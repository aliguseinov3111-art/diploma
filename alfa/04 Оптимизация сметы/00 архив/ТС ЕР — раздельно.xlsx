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F87D0AB7-9DD3-4D37-A00D-3968499FFCD6}" xr6:coauthVersionLast="45" xr6:coauthVersionMax="45" xr10:uidLastSave="{00000000-0000-0000-0000-000000000000}"/>
  <bookViews>
    <workbookView xWindow="5760" yWindow="3396" windowWidth="17280" windowHeight="8964" activeTab="1" xr2:uid="{00000000-000D-0000-FFFF-FFFF00000000}"/>
  </bookViews>
  <sheets>
    <sheet name="О файле" sheetId="1" r:id="rId1"/>
    <sheet name="РАБОТЫ" sheetId="2" r:id="rId2"/>
    <sheet name="МАТЕРИАЛЫ" sheetId="3" r:id="rId3"/>
    <sheet name="Смета" sheetId="4" r:id="rId4"/>
    <sheet name="История цен" sheetId="5" r:id="rId5"/>
    <sheet name="Документация" sheetId="6" r:id="rId6"/>
    <sheet name="Группы" sheetId="7" r:id="rId7"/>
    <sheet name="Разделы" sheetId="8" r:id="rId8"/>
  </sheets>
  <definedNames>
    <definedName name="_FilterDatabase" localSheetId="6" hidden="1">Группы!$A$4:$E$64</definedName>
    <definedName name="_FilterDatabase" localSheetId="3" hidden="1">Смета!$A$21:$M$1103</definedName>
    <definedName name="ДисконтТендер">Смета!$C$18</definedName>
    <definedName name="КурсCNY">Смета!$C$17</definedName>
    <definedName name="КурсEUR">Смета!$C$16</definedName>
    <definedName name="КурсUSD">Смета!$C$15</definedName>
    <definedName name="мат_VRF_ВНУТ">МАТЕРИАЛЫ!$L$2:$L$259</definedName>
    <definedName name="мат_VRF_НАР">МАТЕРИАЛЫ!$L$260:$L$360</definedName>
    <definedName name="мат_БРОНЯ">МАТЕРИАЛЫ!$L$361:$L$382</definedName>
    <definedName name="мат_ДВ">МАТЕРИАЛЫ!$L$383:$L$393</definedName>
    <definedName name="мат_ДВ_АЛ">МАТЕРИАЛЫ!$L$394:$L$399</definedName>
    <definedName name="мат_ДВ_ДЕР">МАТЕРИАЛЫ!$L$400:$L$405</definedName>
    <definedName name="мат_ДВ_СТ">МАТЕРИАЛЫ!$L$406:$L$410</definedName>
    <definedName name="мат_ДОК_ИД">Документация!$F$38:$F$57</definedName>
    <definedName name="мат_ДОК_РД">Документация!$F$2:$F$37</definedName>
    <definedName name="мат_ЗАВЕСА">МАТЕРИАЛЫ!$L$411:$L$414</definedName>
    <definedName name="мат_ЛЮЧОК">МАТЕРИАЛЫ!$L$415:$L$415</definedName>
    <definedName name="мат_ПВУ">МАТЕРИАЛЫ!$L$416:$L$431</definedName>
    <definedName name="мат_ПЕРЕГ_СТ">МАТЕРИАЛЫ!$L$432:$L$432</definedName>
    <definedName name="мат_ПЕРЕГ_ТР">МАТЕРИАЛЫ!$L$433:$L$442</definedName>
    <definedName name="мат_ПОЛ_КГ">МАТЕРИАЛЫ!$L$443:$L$450</definedName>
    <definedName name="мат_ПОЛ_МОД">МАТЕРИАЛЫ!$L$451:$L$455</definedName>
    <definedName name="мат_ПОТОЛОК">МАТЕРИАЛЫ!$L$456:$L$460</definedName>
    <definedName name="мат_РАД">МАТЕРИАЛЫ!$L$461:$L$597</definedName>
    <definedName name="мат_РАД_КОМПЛ">МАТЕРИАЛЫ!$L$598:$L$612</definedName>
    <definedName name="мат_СВЕТ">МАТЕРИАЛЫ!$L$613:$L$925</definedName>
    <definedName name="мат_СВЕТ_АВАР">МАТЕРИАЛЫ!$L$926:$L$1035</definedName>
    <definedName name="мат_СПЛИТ">МАТЕРИАЛЫ!$L$1036:$L$1151</definedName>
    <definedName name="мат_СТЕН_ПЛ">МАТЕРИАЛЫ!$L$1152:$L$1154</definedName>
    <definedName name="мат_СТП_РАК">МАТЕРИАЛЫ!$L$1155:$L$1167</definedName>
    <definedName name="мат_СТП_СМЕС">МАТЕРИАЛЫ!$L$1168:$L$1180</definedName>
    <definedName name="мат_СТП_УНИТ">МАТЕРИАЛЫ!$L$1181:$L$1188</definedName>
    <definedName name="мат_ФАЛЬШПОЛ">МАТЕРИАЛЫ!$L$1189:$L$1197</definedName>
    <definedName name="мат_ЭУИ_ВЫКЛ">МАТЕРИАЛЫ!$L$1198:$L$1199</definedName>
    <definedName name="мат_ЭУИ_РОЗ">МАТЕРИАЛЫ!$L$1200:$L$1208</definedName>
    <definedName name="мат_ЭЩ">МАТЕРИАЛЫ!$L$1209:$L$1219</definedName>
    <definedName name="спрРазделы">Разделы!$A$2:$B$13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019" i="3" l="1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Z1058" i="2"/>
  <c r="Y1058" i="2"/>
  <c r="V1058" i="2"/>
  <c r="U1058" i="2"/>
  <c r="T1058" i="2"/>
  <c r="S1058" i="2"/>
  <c r="R1058" i="2"/>
  <c r="Q1058" i="2"/>
  <c r="P1058" i="2"/>
  <c r="Z1057" i="2"/>
  <c r="Y1057" i="2"/>
  <c r="V1057" i="2"/>
  <c r="U1057" i="2"/>
  <c r="X1057" i="2" s="1"/>
  <c r="T1057" i="2"/>
  <c r="S1057" i="2"/>
  <c r="R1057" i="2"/>
  <c r="Q1057" i="2"/>
  <c r="P1057" i="2"/>
  <c r="Z1056" i="2"/>
  <c r="Y1056" i="2"/>
  <c r="V1056" i="2"/>
  <c r="U1056" i="2"/>
  <c r="T1056" i="2"/>
  <c r="S1056" i="2"/>
  <c r="R1056" i="2"/>
  <c r="Q1056" i="2"/>
  <c r="P1056" i="2"/>
  <c r="Z1055" i="2"/>
  <c r="Y1055" i="2"/>
  <c r="V1055" i="2"/>
  <c r="U1055" i="2"/>
  <c r="T1055" i="2"/>
  <c r="S1055" i="2"/>
  <c r="R1055" i="2"/>
  <c r="Q1055" i="2"/>
  <c r="P1055" i="2"/>
  <c r="Z1054" i="2"/>
  <c r="Y1054" i="2"/>
  <c r="W1054" i="2"/>
  <c r="V1054" i="2"/>
  <c r="U1054" i="2"/>
  <c r="X1054" i="2" s="1"/>
  <c r="T1054" i="2"/>
  <c r="S1054" i="2"/>
  <c r="R1054" i="2"/>
  <c r="Q1054" i="2"/>
  <c r="P1054" i="2"/>
  <c r="Z1053" i="2"/>
  <c r="Y1053" i="2"/>
  <c r="X1053" i="2"/>
  <c r="W1053" i="2"/>
  <c r="V1053" i="2"/>
  <c r="U1053" i="2"/>
  <c r="T1053" i="2"/>
  <c r="S1053" i="2"/>
  <c r="R1053" i="2"/>
  <c r="Q1053" i="2"/>
  <c r="P1053" i="2"/>
  <c r="Z1052" i="2"/>
  <c r="Y1052" i="2"/>
  <c r="V1052" i="2"/>
  <c r="U1052" i="2"/>
  <c r="X1052" i="2" s="1"/>
  <c r="T1052" i="2"/>
  <c r="S1052" i="2"/>
  <c r="R1052" i="2"/>
  <c r="Q1052" i="2"/>
  <c r="P1052" i="2"/>
  <c r="Z1051" i="2"/>
  <c r="Y1051" i="2"/>
  <c r="V1051" i="2"/>
  <c r="U1051" i="2"/>
  <c r="X1051" i="2" s="1"/>
  <c r="T1051" i="2"/>
  <c r="S1051" i="2"/>
  <c r="R1051" i="2"/>
  <c r="Q1051" i="2"/>
  <c r="P1051" i="2"/>
  <c r="Z1050" i="2"/>
  <c r="Y1050" i="2"/>
  <c r="V1050" i="2"/>
  <c r="U1050" i="2"/>
  <c r="T1050" i="2"/>
  <c r="S1050" i="2"/>
  <c r="R1050" i="2"/>
  <c r="Q1050" i="2"/>
  <c r="P1050" i="2"/>
  <c r="Z1049" i="2"/>
  <c r="Y1049" i="2"/>
  <c r="V1049" i="2"/>
  <c r="U1049" i="2"/>
  <c r="W1049" i="2" s="1"/>
  <c r="T1049" i="2"/>
  <c r="S1049" i="2"/>
  <c r="R1049" i="2"/>
  <c r="Q1049" i="2"/>
  <c r="P1049" i="2"/>
  <c r="Z1048" i="2"/>
  <c r="Y1048" i="2"/>
  <c r="V1048" i="2"/>
  <c r="U1048" i="2"/>
  <c r="X1048" i="2" s="1"/>
  <c r="T1048" i="2"/>
  <c r="S1048" i="2"/>
  <c r="R1048" i="2"/>
  <c r="Q1048" i="2"/>
  <c r="P1048" i="2"/>
  <c r="Z1047" i="2"/>
  <c r="Y1047" i="2"/>
  <c r="X1047" i="2"/>
  <c r="W1047" i="2"/>
  <c r="V1047" i="2"/>
  <c r="U1047" i="2"/>
  <c r="T1047" i="2"/>
  <c r="S1047" i="2"/>
  <c r="R1047" i="2"/>
  <c r="Q1047" i="2"/>
  <c r="P1047" i="2"/>
  <c r="Z1046" i="2"/>
  <c r="Y1046" i="2"/>
  <c r="V1046" i="2"/>
  <c r="U1046" i="2"/>
  <c r="X1046" i="2" s="1"/>
  <c r="T1046" i="2"/>
  <c r="S1046" i="2"/>
  <c r="R1046" i="2"/>
  <c r="Q1046" i="2"/>
  <c r="P1046" i="2"/>
  <c r="Z1045" i="2"/>
  <c r="Y1045" i="2"/>
  <c r="V1045" i="2"/>
  <c r="U1045" i="2"/>
  <c r="X1045" i="2" s="1"/>
  <c r="T1045" i="2"/>
  <c r="S1045" i="2"/>
  <c r="R1045" i="2"/>
  <c r="Q1045" i="2"/>
  <c r="P1045" i="2"/>
  <c r="Z1044" i="2"/>
  <c r="Y1044" i="2"/>
  <c r="V1044" i="2"/>
  <c r="U1044" i="2"/>
  <c r="X1044" i="2" s="1"/>
  <c r="T1044" i="2"/>
  <c r="S1044" i="2"/>
  <c r="R1044" i="2"/>
  <c r="Q1044" i="2"/>
  <c r="P1044" i="2"/>
  <c r="Z1043" i="2"/>
  <c r="Y1043" i="2"/>
  <c r="V1043" i="2"/>
  <c r="U1043" i="2"/>
  <c r="W1043" i="2" s="1"/>
  <c r="T1043" i="2"/>
  <c r="S1043" i="2"/>
  <c r="R1043" i="2"/>
  <c r="Q1043" i="2"/>
  <c r="P1043" i="2"/>
  <c r="Z1042" i="2"/>
  <c r="Y1042" i="2"/>
  <c r="V1042" i="2"/>
  <c r="U1042" i="2"/>
  <c r="X1042" i="2" s="1"/>
  <c r="T1042" i="2"/>
  <c r="S1042" i="2"/>
  <c r="R1042" i="2"/>
  <c r="Q1042" i="2"/>
  <c r="P1042" i="2"/>
  <c r="Z1041" i="2"/>
  <c r="Y1041" i="2"/>
  <c r="X1041" i="2"/>
  <c r="W1041" i="2"/>
  <c r="V1041" i="2"/>
  <c r="U1041" i="2"/>
  <c r="T1041" i="2"/>
  <c r="S1041" i="2"/>
  <c r="R1041" i="2"/>
  <c r="Q1041" i="2"/>
  <c r="P1041" i="2"/>
  <c r="Z1040" i="2"/>
  <c r="Y1040" i="2"/>
  <c r="V1040" i="2"/>
  <c r="U1040" i="2"/>
  <c r="W1040" i="2" s="1"/>
  <c r="T1040" i="2"/>
  <c r="S1040" i="2"/>
  <c r="R1040" i="2"/>
  <c r="Q1040" i="2"/>
  <c r="P1040" i="2"/>
  <c r="Z1039" i="2"/>
  <c r="Y1039" i="2"/>
  <c r="V1039" i="2"/>
  <c r="U1039" i="2"/>
  <c r="X1039" i="2" s="1"/>
  <c r="T1039" i="2"/>
  <c r="S1039" i="2"/>
  <c r="R1039" i="2"/>
  <c r="Q1039" i="2"/>
  <c r="P1039" i="2"/>
  <c r="Z1038" i="2"/>
  <c r="Y1038" i="2"/>
  <c r="V1038" i="2"/>
  <c r="U1038" i="2"/>
  <c r="X1038" i="2" s="1"/>
  <c r="T1038" i="2"/>
  <c r="S1038" i="2"/>
  <c r="R1038" i="2"/>
  <c r="Q1038" i="2"/>
  <c r="P1038" i="2"/>
  <c r="Z1037" i="2"/>
  <c r="Y1037" i="2"/>
  <c r="V1037" i="2"/>
  <c r="U1037" i="2"/>
  <c r="W1037" i="2" s="1"/>
  <c r="T1037" i="2"/>
  <c r="S1037" i="2"/>
  <c r="R1037" i="2"/>
  <c r="Q1037" i="2"/>
  <c r="P1037" i="2"/>
  <c r="Z1036" i="2"/>
  <c r="Y1036" i="2"/>
  <c r="V1036" i="2"/>
  <c r="U1036" i="2"/>
  <c r="T1036" i="2"/>
  <c r="S1036" i="2"/>
  <c r="R1036" i="2"/>
  <c r="Q1036" i="2"/>
  <c r="P1036" i="2"/>
  <c r="Z1035" i="2"/>
  <c r="Y1035" i="2"/>
  <c r="X1035" i="2"/>
  <c r="W1035" i="2"/>
  <c r="V1035" i="2"/>
  <c r="U1035" i="2"/>
  <c r="T1035" i="2"/>
  <c r="S1035" i="2"/>
  <c r="R1035" i="2"/>
  <c r="Q1035" i="2"/>
  <c r="P1035" i="2"/>
  <c r="Z1034" i="2"/>
  <c r="Y1034" i="2"/>
  <c r="V1034" i="2"/>
  <c r="U1034" i="2"/>
  <c r="X1034" i="2" s="1"/>
  <c r="T1034" i="2"/>
  <c r="S1034" i="2"/>
  <c r="R1034" i="2"/>
  <c r="Q1034" i="2"/>
  <c r="P1034" i="2"/>
  <c r="Z1033" i="2"/>
  <c r="Y1033" i="2"/>
  <c r="V1033" i="2"/>
  <c r="U1033" i="2"/>
  <c r="X1033" i="2" s="1"/>
  <c r="T1033" i="2"/>
  <c r="S1033" i="2"/>
  <c r="R1033" i="2"/>
  <c r="Q1033" i="2"/>
  <c r="P1033" i="2"/>
  <c r="Z1032" i="2"/>
  <c r="Y1032" i="2"/>
  <c r="V1032" i="2"/>
  <c r="U1032" i="2"/>
  <c r="X1032" i="2" s="1"/>
  <c r="T1032" i="2"/>
  <c r="S1032" i="2"/>
  <c r="R1032" i="2"/>
  <c r="Q1032" i="2"/>
  <c r="P1032" i="2"/>
  <c r="Z1031" i="2"/>
  <c r="Y1031" i="2"/>
  <c r="V1031" i="2"/>
  <c r="U1031" i="2"/>
  <c r="W1031" i="2" s="1"/>
  <c r="T1031" i="2"/>
  <c r="S1031" i="2"/>
  <c r="R1031" i="2"/>
  <c r="Q1031" i="2"/>
  <c r="P1031" i="2"/>
  <c r="Z1030" i="2"/>
  <c r="Y1030" i="2"/>
  <c r="V1030" i="2"/>
  <c r="U1030" i="2"/>
  <c r="X1030" i="2" s="1"/>
  <c r="T1030" i="2"/>
  <c r="S1030" i="2"/>
  <c r="R1030" i="2"/>
  <c r="Q1030" i="2"/>
  <c r="P1030" i="2"/>
  <c r="Z1029" i="2"/>
  <c r="Y1029" i="2"/>
  <c r="X1029" i="2"/>
  <c r="W1029" i="2"/>
  <c r="V1029" i="2"/>
  <c r="U1029" i="2"/>
  <c r="T1029" i="2"/>
  <c r="S1029" i="2"/>
  <c r="R1029" i="2"/>
  <c r="Q1029" i="2"/>
  <c r="P1029" i="2"/>
  <c r="Z1028" i="2"/>
  <c r="Y1028" i="2"/>
  <c r="V1028" i="2"/>
  <c r="U1028" i="2"/>
  <c r="X1028" i="2" s="1"/>
  <c r="T1028" i="2"/>
  <c r="S1028" i="2"/>
  <c r="R1028" i="2"/>
  <c r="Q1028" i="2"/>
  <c r="P1028" i="2"/>
  <c r="Z1027" i="2"/>
  <c r="Y1027" i="2"/>
  <c r="X1027" i="2"/>
  <c r="V1027" i="2"/>
  <c r="U1027" i="2"/>
  <c r="W1027" i="2" s="1"/>
  <c r="T1027" i="2"/>
  <c r="S1027" i="2"/>
  <c r="R1027" i="2"/>
  <c r="Q1027" i="2"/>
  <c r="P1027" i="2"/>
  <c r="Z1026" i="2"/>
  <c r="Y1026" i="2"/>
  <c r="W1026" i="2"/>
  <c r="V1026" i="2"/>
  <c r="U1026" i="2"/>
  <c r="X1026" i="2" s="1"/>
  <c r="T1026" i="2"/>
  <c r="S1026" i="2"/>
  <c r="R1026" i="2"/>
  <c r="Q1026" i="2"/>
  <c r="P1026" i="2"/>
  <c r="Z1025" i="2"/>
  <c r="Y1025" i="2"/>
  <c r="V1025" i="2"/>
  <c r="U1025" i="2"/>
  <c r="X1025" i="2" s="1"/>
  <c r="T1025" i="2"/>
  <c r="S1025" i="2"/>
  <c r="R1025" i="2"/>
  <c r="Q1025" i="2"/>
  <c r="P1025" i="2"/>
  <c r="Z1024" i="2"/>
  <c r="Y1024" i="2"/>
  <c r="X1024" i="2"/>
  <c r="V1024" i="2"/>
  <c r="U1024" i="2"/>
  <c r="W1024" i="2" s="1"/>
  <c r="T1024" i="2"/>
  <c r="S1024" i="2"/>
  <c r="R1024" i="2"/>
  <c r="Q1024" i="2"/>
  <c r="P1024" i="2"/>
  <c r="Z1023" i="2"/>
  <c r="Y1023" i="2"/>
  <c r="V1023" i="2"/>
  <c r="U1023" i="2"/>
  <c r="X1023" i="2" s="1"/>
  <c r="T1023" i="2"/>
  <c r="S1023" i="2"/>
  <c r="R1023" i="2"/>
  <c r="Q1023" i="2"/>
  <c r="P1023" i="2"/>
  <c r="Z1022" i="2"/>
  <c r="Y1022" i="2"/>
  <c r="V1022" i="2"/>
  <c r="U1022" i="2"/>
  <c r="W1022" i="2" s="1"/>
  <c r="T1022" i="2"/>
  <c r="S1022" i="2"/>
  <c r="R1022" i="2"/>
  <c r="Q1022" i="2"/>
  <c r="P1022" i="2"/>
  <c r="Z1021" i="2"/>
  <c r="Y1021" i="2"/>
  <c r="V1021" i="2"/>
  <c r="U1021" i="2"/>
  <c r="T1021" i="2"/>
  <c r="S1021" i="2"/>
  <c r="R1021" i="2"/>
  <c r="Q1021" i="2"/>
  <c r="P1021" i="2"/>
  <c r="Z1020" i="2"/>
  <c r="Y1020" i="2"/>
  <c r="V1020" i="2"/>
  <c r="U1020" i="2"/>
  <c r="X1020" i="2" s="1"/>
  <c r="T1020" i="2"/>
  <c r="S1020" i="2"/>
  <c r="R1020" i="2"/>
  <c r="Q1020" i="2"/>
  <c r="P1020" i="2"/>
  <c r="Z1019" i="2"/>
  <c r="Y1019" i="2"/>
  <c r="V1019" i="2"/>
  <c r="U1019" i="2"/>
  <c r="X1019" i="2" s="1"/>
  <c r="T1019" i="2"/>
  <c r="S1019" i="2"/>
  <c r="R1019" i="2"/>
  <c r="Q1019" i="2"/>
  <c r="P1019" i="2"/>
  <c r="Z1018" i="2"/>
  <c r="Y1018" i="2"/>
  <c r="X1018" i="2"/>
  <c r="V1018" i="2"/>
  <c r="U1018" i="2"/>
  <c r="W1018" i="2" s="1"/>
  <c r="T1018" i="2"/>
  <c r="S1018" i="2"/>
  <c r="R1018" i="2"/>
  <c r="Q1018" i="2"/>
  <c r="P1018" i="2"/>
  <c r="Z1017" i="2"/>
  <c r="Y1017" i="2"/>
  <c r="V1017" i="2"/>
  <c r="U1017" i="2"/>
  <c r="X1017" i="2" s="1"/>
  <c r="T1017" i="2"/>
  <c r="S1017" i="2"/>
  <c r="R1017" i="2"/>
  <c r="Q1017" i="2"/>
  <c r="P1017" i="2"/>
  <c r="Z1016" i="2"/>
  <c r="Y1016" i="2"/>
  <c r="X1016" i="2"/>
  <c r="V1016" i="2"/>
  <c r="U1016" i="2"/>
  <c r="W1016" i="2" s="1"/>
  <c r="T1016" i="2"/>
  <c r="S1016" i="2"/>
  <c r="R1016" i="2"/>
  <c r="Q1016" i="2"/>
  <c r="P1016" i="2"/>
  <c r="Z1015" i="2"/>
  <c r="Y1015" i="2"/>
  <c r="V1015" i="2"/>
  <c r="U1015" i="2"/>
  <c r="T1015" i="2"/>
  <c r="S1015" i="2"/>
  <c r="R1015" i="2"/>
  <c r="Q1015" i="2"/>
  <c r="P1015" i="2"/>
  <c r="Z1014" i="2"/>
  <c r="Y1014" i="2"/>
  <c r="V1014" i="2"/>
  <c r="U1014" i="2"/>
  <c r="X1014" i="2" s="1"/>
  <c r="T1014" i="2"/>
  <c r="S1014" i="2"/>
  <c r="R1014" i="2"/>
  <c r="Q1014" i="2"/>
  <c r="P1014" i="2"/>
  <c r="Z1013" i="2"/>
  <c r="Y1013" i="2"/>
  <c r="V1013" i="2"/>
  <c r="U1013" i="2"/>
  <c r="X1013" i="2" s="1"/>
  <c r="T1013" i="2"/>
  <c r="S1013" i="2"/>
  <c r="R1013" i="2"/>
  <c r="Q1013" i="2"/>
  <c r="P1013" i="2"/>
  <c r="Z1012" i="2"/>
  <c r="Y1012" i="2"/>
  <c r="V1012" i="2"/>
  <c r="U1012" i="2"/>
  <c r="W1012" i="2" s="1"/>
  <c r="T1012" i="2"/>
  <c r="S1012" i="2"/>
  <c r="R1012" i="2"/>
  <c r="Q1012" i="2"/>
  <c r="P1012" i="2"/>
  <c r="Z1011" i="2"/>
  <c r="Y1011" i="2"/>
  <c r="V1011" i="2"/>
  <c r="U1011" i="2"/>
  <c r="X1011" i="2" s="1"/>
  <c r="T1011" i="2"/>
  <c r="S1011" i="2"/>
  <c r="R1011" i="2"/>
  <c r="Q1011" i="2"/>
  <c r="P1011" i="2"/>
  <c r="Z1010" i="2"/>
  <c r="Y1010" i="2"/>
  <c r="X1010" i="2"/>
  <c r="V1010" i="2"/>
  <c r="U1010" i="2"/>
  <c r="W1010" i="2" s="1"/>
  <c r="T1010" i="2"/>
  <c r="S1010" i="2"/>
  <c r="R1010" i="2"/>
  <c r="Q1010" i="2"/>
  <c r="P1010" i="2"/>
  <c r="Z1009" i="2"/>
  <c r="Y1009" i="2"/>
  <c r="V1009" i="2"/>
  <c r="U1009" i="2"/>
  <c r="T1009" i="2"/>
  <c r="S1009" i="2"/>
  <c r="R1009" i="2"/>
  <c r="Q1009" i="2"/>
  <c r="P1009" i="2"/>
  <c r="Z1008" i="2"/>
  <c r="Y1008" i="2"/>
  <c r="V1008" i="2"/>
  <c r="U1008" i="2"/>
  <c r="X1008" i="2" s="1"/>
  <c r="T1008" i="2"/>
  <c r="S1008" i="2"/>
  <c r="R1008" i="2"/>
  <c r="Q1008" i="2"/>
  <c r="P1008" i="2"/>
  <c r="Z1007" i="2"/>
  <c r="Y1007" i="2"/>
  <c r="V1007" i="2"/>
  <c r="U1007" i="2"/>
  <c r="X1007" i="2" s="1"/>
  <c r="T1007" i="2"/>
  <c r="S1007" i="2"/>
  <c r="R1007" i="2"/>
  <c r="Q1007" i="2"/>
  <c r="P1007" i="2"/>
  <c r="Z1006" i="2"/>
  <c r="Y1006" i="2"/>
  <c r="V1006" i="2"/>
  <c r="U1006" i="2"/>
  <c r="W1006" i="2" s="1"/>
  <c r="T1006" i="2"/>
  <c r="S1006" i="2"/>
  <c r="R1006" i="2"/>
  <c r="Q1006" i="2"/>
  <c r="P1006" i="2"/>
  <c r="Z1005" i="2"/>
  <c r="Y1005" i="2"/>
  <c r="W1005" i="2"/>
  <c r="V1005" i="2"/>
  <c r="U1005" i="2"/>
  <c r="X1005" i="2" s="1"/>
  <c r="T1005" i="2"/>
  <c r="S1005" i="2"/>
  <c r="R1005" i="2"/>
  <c r="Q1005" i="2"/>
  <c r="P1005" i="2"/>
  <c r="Z1004" i="2"/>
  <c r="Y1004" i="2"/>
  <c r="X1004" i="2"/>
  <c r="V1004" i="2"/>
  <c r="U1004" i="2"/>
  <c r="W1004" i="2" s="1"/>
  <c r="T1004" i="2"/>
  <c r="S1004" i="2"/>
  <c r="R1004" i="2"/>
  <c r="Q1004" i="2"/>
  <c r="P1004" i="2"/>
  <c r="Z1003" i="2"/>
  <c r="Y1003" i="2"/>
  <c r="V1003" i="2"/>
  <c r="U1003" i="2"/>
  <c r="T1003" i="2"/>
  <c r="S1003" i="2"/>
  <c r="R1003" i="2"/>
  <c r="Q1003" i="2"/>
  <c r="P1003" i="2"/>
  <c r="Z1002" i="2"/>
  <c r="Y1002" i="2"/>
  <c r="X1002" i="2"/>
  <c r="W1002" i="2"/>
  <c r="V1002" i="2"/>
  <c r="U1002" i="2"/>
  <c r="T1002" i="2"/>
  <c r="S1002" i="2"/>
  <c r="R1002" i="2"/>
  <c r="Q1002" i="2"/>
  <c r="P1002" i="2"/>
  <c r="Z1001" i="2"/>
  <c r="Y1001" i="2"/>
  <c r="V1001" i="2"/>
  <c r="U1001" i="2"/>
  <c r="X1001" i="2" s="1"/>
  <c r="T1001" i="2"/>
  <c r="S1001" i="2"/>
  <c r="R1001" i="2"/>
  <c r="Q1001" i="2"/>
  <c r="P1001" i="2"/>
  <c r="Z1000" i="2"/>
  <c r="Y1000" i="2"/>
  <c r="V1000" i="2"/>
  <c r="U1000" i="2"/>
  <c r="W1000" i="2" s="1"/>
  <c r="T1000" i="2"/>
  <c r="S1000" i="2"/>
  <c r="R1000" i="2"/>
  <c r="Q1000" i="2"/>
  <c r="P1000" i="2"/>
  <c r="Z999" i="2"/>
  <c r="Y999" i="2"/>
  <c r="W999" i="2"/>
  <c r="V999" i="2"/>
  <c r="U999" i="2"/>
  <c r="X999" i="2" s="1"/>
  <c r="T999" i="2"/>
  <c r="S999" i="2"/>
  <c r="R999" i="2"/>
  <c r="Q999" i="2"/>
  <c r="P999" i="2"/>
  <c r="Z998" i="2"/>
  <c r="Y998" i="2"/>
  <c r="V998" i="2"/>
  <c r="U998" i="2"/>
  <c r="W998" i="2" s="1"/>
  <c r="T998" i="2"/>
  <c r="S998" i="2"/>
  <c r="R998" i="2"/>
  <c r="Q998" i="2"/>
  <c r="P998" i="2"/>
  <c r="Z997" i="2"/>
  <c r="Y997" i="2"/>
  <c r="V997" i="2"/>
  <c r="U997" i="2"/>
  <c r="T997" i="2"/>
  <c r="S997" i="2"/>
  <c r="R997" i="2"/>
  <c r="Q997" i="2"/>
  <c r="P997" i="2"/>
  <c r="Z996" i="2"/>
  <c r="Y996" i="2"/>
  <c r="X996" i="2"/>
  <c r="W996" i="2"/>
  <c r="V996" i="2"/>
  <c r="U996" i="2"/>
  <c r="T996" i="2"/>
  <c r="S996" i="2"/>
  <c r="R996" i="2"/>
  <c r="Q996" i="2"/>
  <c r="P996" i="2"/>
  <c r="Z995" i="2"/>
  <c r="Y995" i="2"/>
  <c r="V995" i="2"/>
  <c r="U995" i="2"/>
  <c r="X995" i="2" s="1"/>
  <c r="T995" i="2"/>
  <c r="S995" i="2"/>
  <c r="R995" i="2"/>
  <c r="Q995" i="2"/>
  <c r="P995" i="2"/>
  <c r="Z994" i="2"/>
  <c r="Y994" i="2"/>
  <c r="X994" i="2"/>
  <c r="V994" i="2"/>
  <c r="U994" i="2"/>
  <c r="W994" i="2" s="1"/>
  <c r="T994" i="2"/>
  <c r="S994" i="2"/>
  <c r="R994" i="2"/>
  <c r="Q994" i="2"/>
  <c r="P994" i="2"/>
  <c r="Z993" i="2"/>
  <c r="Y993" i="2"/>
  <c r="W993" i="2"/>
  <c r="V993" i="2"/>
  <c r="U993" i="2"/>
  <c r="X993" i="2" s="1"/>
  <c r="T993" i="2"/>
  <c r="S993" i="2"/>
  <c r="R993" i="2"/>
  <c r="Q993" i="2"/>
  <c r="P993" i="2"/>
  <c r="Z992" i="2"/>
  <c r="Y992" i="2"/>
  <c r="V992" i="2"/>
  <c r="U992" i="2"/>
  <c r="W992" i="2" s="1"/>
  <c r="T992" i="2"/>
  <c r="S992" i="2"/>
  <c r="R992" i="2"/>
  <c r="Q992" i="2"/>
  <c r="P992" i="2"/>
  <c r="Z991" i="2"/>
  <c r="Y991" i="2"/>
  <c r="V991" i="2"/>
  <c r="U991" i="2"/>
  <c r="T991" i="2"/>
  <c r="S991" i="2"/>
  <c r="R991" i="2"/>
  <c r="Q991" i="2"/>
  <c r="P991" i="2"/>
  <c r="Z990" i="2"/>
  <c r="Y990" i="2"/>
  <c r="X990" i="2"/>
  <c r="W990" i="2"/>
  <c r="V990" i="2"/>
  <c r="U990" i="2"/>
  <c r="T990" i="2"/>
  <c r="S990" i="2"/>
  <c r="R990" i="2"/>
  <c r="Q990" i="2"/>
  <c r="P990" i="2"/>
  <c r="Z989" i="2"/>
  <c r="Y989" i="2"/>
  <c r="V989" i="2"/>
  <c r="U989" i="2"/>
  <c r="X989" i="2" s="1"/>
  <c r="T989" i="2"/>
  <c r="S989" i="2"/>
  <c r="R989" i="2"/>
  <c r="Q989" i="2"/>
  <c r="P989" i="2"/>
  <c r="Z988" i="2"/>
  <c r="Y988" i="2"/>
  <c r="X988" i="2"/>
  <c r="V988" i="2"/>
  <c r="U988" i="2"/>
  <c r="W988" i="2" s="1"/>
  <c r="T988" i="2"/>
  <c r="S988" i="2"/>
  <c r="R988" i="2"/>
  <c r="Q988" i="2"/>
  <c r="P988" i="2"/>
  <c r="Z987" i="2"/>
  <c r="Y987" i="2"/>
  <c r="V987" i="2"/>
  <c r="U987" i="2"/>
  <c r="X987" i="2" s="1"/>
  <c r="T987" i="2"/>
  <c r="S987" i="2"/>
  <c r="R987" i="2"/>
  <c r="Q987" i="2"/>
  <c r="P987" i="2"/>
  <c r="Z986" i="2"/>
  <c r="Y986" i="2"/>
  <c r="V986" i="2"/>
  <c r="U986" i="2"/>
  <c r="W986" i="2" s="1"/>
  <c r="T986" i="2"/>
  <c r="S986" i="2"/>
  <c r="R986" i="2"/>
  <c r="Q986" i="2"/>
  <c r="P986" i="2"/>
  <c r="Z985" i="2"/>
  <c r="Y985" i="2"/>
  <c r="V985" i="2"/>
  <c r="U985" i="2"/>
  <c r="T985" i="2"/>
  <c r="S985" i="2"/>
  <c r="R985" i="2"/>
  <c r="Q985" i="2"/>
  <c r="P985" i="2"/>
  <c r="Z984" i="2"/>
  <c r="Y984" i="2"/>
  <c r="V984" i="2"/>
  <c r="U984" i="2"/>
  <c r="X984" i="2" s="1"/>
  <c r="T984" i="2"/>
  <c r="S984" i="2"/>
  <c r="R984" i="2"/>
  <c r="Q984" i="2"/>
  <c r="P984" i="2"/>
  <c r="Z983" i="2"/>
  <c r="Y983" i="2"/>
  <c r="V983" i="2"/>
  <c r="U983" i="2"/>
  <c r="X983" i="2" s="1"/>
  <c r="T983" i="2"/>
  <c r="S983" i="2"/>
  <c r="R983" i="2"/>
  <c r="Q983" i="2"/>
  <c r="P983" i="2"/>
  <c r="Z982" i="2"/>
  <c r="Y982" i="2"/>
  <c r="X982" i="2"/>
  <c r="V982" i="2"/>
  <c r="U982" i="2"/>
  <c r="W982" i="2" s="1"/>
  <c r="T982" i="2"/>
  <c r="S982" i="2"/>
  <c r="R982" i="2"/>
  <c r="Q982" i="2"/>
  <c r="P982" i="2"/>
  <c r="Z981" i="2"/>
  <c r="Y981" i="2"/>
  <c r="V981" i="2"/>
  <c r="U981" i="2"/>
  <c r="X981" i="2" s="1"/>
  <c r="T981" i="2"/>
  <c r="S981" i="2"/>
  <c r="R981" i="2"/>
  <c r="Q981" i="2"/>
  <c r="P981" i="2"/>
  <c r="Z980" i="2"/>
  <c r="Y980" i="2"/>
  <c r="X980" i="2"/>
  <c r="V980" i="2"/>
  <c r="U980" i="2"/>
  <c r="W980" i="2" s="1"/>
  <c r="T980" i="2"/>
  <c r="S980" i="2"/>
  <c r="R980" i="2"/>
  <c r="Q980" i="2"/>
  <c r="P980" i="2"/>
  <c r="Z979" i="2"/>
  <c r="Y979" i="2"/>
  <c r="V979" i="2"/>
  <c r="U979" i="2"/>
  <c r="T979" i="2"/>
  <c r="S979" i="2"/>
  <c r="R979" i="2"/>
  <c r="Q979" i="2"/>
  <c r="P979" i="2"/>
  <c r="Z978" i="2"/>
  <c r="Y978" i="2"/>
  <c r="V978" i="2"/>
  <c r="U978" i="2"/>
  <c r="X978" i="2" s="1"/>
  <c r="T978" i="2"/>
  <c r="S978" i="2"/>
  <c r="R978" i="2"/>
  <c r="Q978" i="2"/>
  <c r="P978" i="2"/>
  <c r="Z977" i="2"/>
  <c r="Y977" i="2"/>
  <c r="V977" i="2"/>
  <c r="U977" i="2"/>
  <c r="X977" i="2" s="1"/>
  <c r="T977" i="2"/>
  <c r="S977" i="2"/>
  <c r="R977" i="2"/>
  <c r="Q977" i="2"/>
  <c r="P977" i="2"/>
  <c r="Z976" i="2"/>
  <c r="Y976" i="2"/>
  <c r="V976" i="2"/>
  <c r="U976" i="2"/>
  <c r="W976" i="2" s="1"/>
  <c r="T976" i="2"/>
  <c r="S976" i="2"/>
  <c r="R976" i="2"/>
  <c r="Q976" i="2"/>
  <c r="P976" i="2"/>
  <c r="Z975" i="2"/>
  <c r="Y975" i="2"/>
  <c r="V975" i="2"/>
  <c r="U975" i="2"/>
  <c r="X975" i="2" s="1"/>
  <c r="T975" i="2"/>
  <c r="S975" i="2"/>
  <c r="R975" i="2"/>
  <c r="Q975" i="2"/>
  <c r="P975" i="2"/>
  <c r="Z974" i="2"/>
  <c r="Y974" i="2"/>
  <c r="X974" i="2"/>
  <c r="V974" i="2"/>
  <c r="U974" i="2"/>
  <c r="W974" i="2" s="1"/>
  <c r="T974" i="2"/>
  <c r="S974" i="2"/>
  <c r="R974" i="2"/>
  <c r="Q974" i="2"/>
  <c r="P974" i="2"/>
  <c r="Z973" i="2"/>
  <c r="Y973" i="2"/>
  <c r="V973" i="2"/>
  <c r="U973" i="2"/>
  <c r="T973" i="2"/>
  <c r="S973" i="2"/>
  <c r="R973" i="2"/>
  <c r="Q973" i="2"/>
  <c r="P973" i="2"/>
  <c r="Z972" i="2"/>
  <c r="Y972" i="2"/>
  <c r="V972" i="2"/>
  <c r="U972" i="2"/>
  <c r="X972" i="2" s="1"/>
  <c r="T972" i="2"/>
  <c r="S972" i="2"/>
  <c r="R972" i="2"/>
  <c r="Q972" i="2"/>
  <c r="P972" i="2"/>
  <c r="Z971" i="2"/>
  <c r="Y971" i="2"/>
  <c r="V971" i="2"/>
  <c r="U971" i="2"/>
  <c r="X971" i="2" s="1"/>
  <c r="T971" i="2"/>
  <c r="S971" i="2"/>
  <c r="R971" i="2"/>
  <c r="Q971" i="2"/>
  <c r="P971" i="2"/>
  <c r="Z970" i="2"/>
  <c r="Y970" i="2"/>
  <c r="V970" i="2"/>
  <c r="U970" i="2"/>
  <c r="W970" i="2" s="1"/>
  <c r="T970" i="2"/>
  <c r="S970" i="2"/>
  <c r="R970" i="2"/>
  <c r="Q970" i="2"/>
  <c r="P970" i="2"/>
  <c r="Z969" i="2"/>
  <c r="Y969" i="2"/>
  <c r="W969" i="2"/>
  <c r="V969" i="2"/>
  <c r="U969" i="2"/>
  <c r="X969" i="2" s="1"/>
  <c r="T969" i="2"/>
  <c r="S969" i="2"/>
  <c r="R969" i="2"/>
  <c r="Q969" i="2"/>
  <c r="P969" i="2"/>
  <c r="Z968" i="2"/>
  <c r="Y968" i="2"/>
  <c r="X968" i="2"/>
  <c r="V968" i="2"/>
  <c r="U968" i="2"/>
  <c r="W968" i="2" s="1"/>
  <c r="T968" i="2"/>
  <c r="S968" i="2"/>
  <c r="R968" i="2"/>
  <c r="Q968" i="2"/>
  <c r="P968" i="2"/>
  <c r="Z967" i="2"/>
  <c r="Y967" i="2"/>
  <c r="V967" i="2"/>
  <c r="U967" i="2"/>
  <c r="T967" i="2"/>
  <c r="S967" i="2"/>
  <c r="R967" i="2"/>
  <c r="Q967" i="2"/>
  <c r="P967" i="2"/>
  <c r="Z966" i="2"/>
  <c r="Y966" i="2"/>
  <c r="X966" i="2"/>
  <c r="W966" i="2"/>
  <c r="V966" i="2"/>
  <c r="U966" i="2"/>
  <c r="T966" i="2"/>
  <c r="S966" i="2"/>
  <c r="R966" i="2"/>
  <c r="Q966" i="2"/>
  <c r="P966" i="2"/>
  <c r="Z965" i="2"/>
  <c r="Y965" i="2"/>
  <c r="V965" i="2"/>
  <c r="U965" i="2"/>
  <c r="X965" i="2" s="1"/>
  <c r="T965" i="2"/>
  <c r="S965" i="2"/>
  <c r="R965" i="2"/>
  <c r="Q965" i="2"/>
  <c r="P965" i="2"/>
  <c r="Z964" i="2"/>
  <c r="Y964" i="2"/>
  <c r="V964" i="2"/>
  <c r="U964" i="2"/>
  <c r="W964" i="2" s="1"/>
  <c r="T964" i="2"/>
  <c r="S964" i="2"/>
  <c r="R964" i="2"/>
  <c r="Q964" i="2"/>
  <c r="P964" i="2"/>
  <c r="Z963" i="2"/>
  <c r="Y963" i="2"/>
  <c r="W963" i="2"/>
  <c r="V963" i="2"/>
  <c r="U963" i="2"/>
  <c r="X963" i="2" s="1"/>
  <c r="T963" i="2"/>
  <c r="S963" i="2"/>
  <c r="R963" i="2"/>
  <c r="Q963" i="2"/>
  <c r="P963" i="2"/>
  <c r="Z962" i="2"/>
  <c r="Y962" i="2"/>
  <c r="V962" i="2"/>
  <c r="U962" i="2"/>
  <c r="W962" i="2" s="1"/>
  <c r="T962" i="2"/>
  <c r="S962" i="2"/>
  <c r="R962" i="2"/>
  <c r="Q962" i="2"/>
  <c r="P962" i="2"/>
  <c r="Z961" i="2"/>
  <c r="Y961" i="2"/>
  <c r="V961" i="2"/>
  <c r="U961" i="2"/>
  <c r="T961" i="2"/>
  <c r="S961" i="2"/>
  <c r="R961" i="2"/>
  <c r="Q961" i="2"/>
  <c r="P961" i="2"/>
  <c r="Z960" i="2"/>
  <c r="Y960" i="2"/>
  <c r="X960" i="2"/>
  <c r="W960" i="2"/>
  <c r="V960" i="2"/>
  <c r="U960" i="2"/>
  <c r="T960" i="2"/>
  <c r="S960" i="2"/>
  <c r="R960" i="2"/>
  <c r="Q960" i="2"/>
  <c r="P960" i="2"/>
  <c r="Z959" i="2"/>
  <c r="Y959" i="2"/>
  <c r="V959" i="2"/>
  <c r="U959" i="2"/>
  <c r="X959" i="2" s="1"/>
  <c r="T959" i="2"/>
  <c r="S959" i="2"/>
  <c r="R959" i="2"/>
  <c r="Q959" i="2"/>
  <c r="P959" i="2"/>
  <c r="Z958" i="2"/>
  <c r="Y958" i="2"/>
  <c r="X958" i="2"/>
  <c r="V958" i="2"/>
  <c r="U958" i="2"/>
  <c r="W958" i="2" s="1"/>
  <c r="T958" i="2"/>
  <c r="S958" i="2"/>
  <c r="R958" i="2"/>
  <c r="Q958" i="2"/>
  <c r="P958" i="2"/>
  <c r="Z957" i="2"/>
  <c r="Y957" i="2"/>
  <c r="W957" i="2"/>
  <c r="V957" i="2"/>
  <c r="U957" i="2"/>
  <c r="X957" i="2" s="1"/>
  <c r="T957" i="2"/>
  <c r="S957" i="2"/>
  <c r="R957" i="2"/>
  <c r="Q957" i="2"/>
  <c r="P957" i="2"/>
  <c r="Z956" i="2"/>
  <c r="Y956" i="2"/>
  <c r="V956" i="2"/>
  <c r="U956" i="2"/>
  <c r="W956" i="2" s="1"/>
  <c r="T956" i="2"/>
  <c r="S956" i="2"/>
  <c r="R956" i="2"/>
  <c r="Q956" i="2"/>
  <c r="P956" i="2"/>
  <c r="Z955" i="2"/>
  <c r="Y955" i="2"/>
  <c r="V955" i="2"/>
  <c r="U955" i="2"/>
  <c r="T955" i="2"/>
  <c r="S955" i="2"/>
  <c r="R955" i="2"/>
  <c r="Q955" i="2"/>
  <c r="P955" i="2"/>
  <c r="Z954" i="2"/>
  <c r="Y954" i="2"/>
  <c r="X954" i="2"/>
  <c r="W954" i="2"/>
  <c r="V954" i="2"/>
  <c r="U954" i="2"/>
  <c r="T954" i="2"/>
  <c r="S954" i="2"/>
  <c r="R954" i="2"/>
  <c r="Q954" i="2"/>
  <c r="P954" i="2"/>
  <c r="Z953" i="2"/>
  <c r="Y953" i="2"/>
  <c r="V953" i="2"/>
  <c r="U953" i="2"/>
  <c r="X953" i="2" s="1"/>
  <c r="T953" i="2"/>
  <c r="S953" i="2"/>
  <c r="R953" i="2"/>
  <c r="Q953" i="2"/>
  <c r="P953" i="2"/>
  <c r="Z952" i="2"/>
  <c r="Y952" i="2"/>
  <c r="X952" i="2"/>
  <c r="V952" i="2"/>
  <c r="U952" i="2"/>
  <c r="W952" i="2" s="1"/>
  <c r="T952" i="2"/>
  <c r="S952" i="2"/>
  <c r="R952" i="2"/>
  <c r="Q952" i="2"/>
  <c r="P952" i="2"/>
  <c r="Z951" i="2"/>
  <c r="Y951" i="2"/>
  <c r="V951" i="2"/>
  <c r="U951" i="2"/>
  <c r="X951" i="2" s="1"/>
  <c r="T951" i="2"/>
  <c r="S951" i="2"/>
  <c r="R951" i="2"/>
  <c r="Q951" i="2"/>
  <c r="P951" i="2"/>
  <c r="Z950" i="2"/>
  <c r="Y950" i="2"/>
  <c r="V950" i="2"/>
  <c r="U950" i="2"/>
  <c r="W950" i="2" s="1"/>
  <c r="T950" i="2"/>
  <c r="S950" i="2"/>
  <c r="R950" i="2"/>
  <c r="Q950" i="2"/>
  <c r="P950" i="2"/>
  <c r="Z949" i="2"/>
  <c r="Y949" i="2"/>
  <c r="V949" i="2"/>
  <c r="U949" i="2"/>
  <c r="T949" i="2"/>
  <c r="S949" i="2"/>
  <c r="R949" i="2"/>
  <c r="Q949" i="2"/>
  <c r="P949" i="2"/>
  <c r="Z948" i="2"/>
  <c r="Y948" i="2"/>
  <c r="V948" i="2"/>
  <c r="U948" i="2"/>
  <c r="X948" i="2" s="1"/>
  <c r="T948" i="2"/>
  <c r="S948" i="2"/>
  <c r="R948" i="2"/>
  <c r="Q948" i="2"/>
  <c r="P948" i="2"/>
  <c r="Z947" i="2"/>
  <c r="Y947" i="2"/>
  <c r="V947" i="2"/>
  <c r="U947" i="2"/>
  <c r="X947" i="2" s="1"/>
  <c r="T947" i="2"/>
  <c r="S947" i="2"/>
  <c r="R947" i="2"/>
  <c r="Q947" i="2"/>
  <c r="P947" i="2"/>
  <c r="Z946" i="2"/>
  <c r="Y946" i="2"/>
  <c r="X946" i="2"/>
  <c r="V946" i="2"/>
  <c r="U946" i="2"/>
  <c r="W946" i="2" s="1"/>
  <c r="T946" i="2"/>
  <c r="S946" i="2"/>
  <c r="R946" i="2"/>
  <c r="Q946" i="2"/>
  <c r="P946" i="2"/>
  <c r="Z945" i="2"/>
  <c r="Y945" i="2"/>
  <c r="V945" i="2"/>
  <c r="U945" i="2"/>
  <c r="X945" i="2" s="1"/>
  <c r="T945" i="2"/>
  <c r="S945" i="2"/>
  <c r="R945" i="2"/>
  <c r="Q945" i="2"/>
  <c r="P945" i="2"/>
  <c r="Z944" i="2"/>
  <c r="Y944" i="2"/>
  <c r="X944" i="2"/>
  <c r="V944" i="2"/>
  <c r="U944" i="2"/>
  <c r="W944" i="2" s="1"/>
  <c r="T944" i="2"/>
  <c r="S944" i="2"/>
  <c r="R944" i="2"/>
  <c r="Q944" i="2"/>
  <c r="P944" i="2"/>
  <c r="Z943" i="2"/>
  <c r="Y943" i="2"/>
  <c r="V943" i="2"/>
  <c r="U943" i="2"/>
  <c r="T943" i="2"/>
  <c r="S943" i="2"/>
  <c r="R943" i="2"/>
  <c r="Q943" i="2"/>
  <c r="P943" i="2"/>
  <c r="Z942" i="2"/>
  <c r="Y942" i="2"/>
  <c r="V942" i="2"/>
  <c r="U942" i="2"/>
  <c r="X942" i="2" s="1"/>
  <c r="T942" i="2"/>
  <c r="S942" i="2"/>
  <c r="R942" i="2"/>
  <c r="Q942" i="2"/>
  <c r="P942" i="2"/>
  <c r="Z941" i="2"/>
  <c r="Y941" i="2"/>
  <c r="V941" i="2"/>
  <c r="U941" i="2"/>
  <c r="X941" i="2" s="1"/>
  <c r="T941" i="2"/>
  <c r="S941" i="2"/>
  <c r="R941" i="2"/>
  <c r="Q941" i="2"/>
  <c r="P941" i="2"/>
  <c r="Z940" i="2"/>
  <c r="Y940" i="2"/>
  <c r="V940" i="2"/>
  <c r="U940" i="2"/>
  <c r="W940" i="2" s="1"/>
  <c r="T940" i="2"/>
  <c r="S940" i="2"/>
  <c r="R940" i="2"/>
  <c r="Q940" i="2"/>
  <c r="P940" i="2"/>
  <c r="Z939" i="2"/>
  <c r="Y939" i="2"/>
  <c r="V939" i="2"/>
  <c r="U939" i="2"/>
  <c r="X939" i="2" s="1"/>
  <c r="T939" i="2"/>
  <c r="S939" i="2"/>
  <c r="R939" i="2"/>
  <c r="Q939" i="2"/>
  <c r="P939" i="2"/>
  <c r="Z938" i="2"/>
  <c r="Y938" i="2"/>
  <c r="X938" i="2"/>
  <c r="V938" i="2"/>
  <c r="U938" i="2"/>
  <c r="W938" i="2" s="1"/>
  <c r="T938" i="2"/>
  <c r="S938" i="2"/>
  <c r="R938" i="2"/>
  <c r="Q938" i="2"/>
  <c r="P938" i="2"/>
  <c r="Z937" i="2"/>
  <c r="Y937" i="2"/>
  <c r="V937" i="2"/>
  <c r="U937" i="2"/>
  <c r="T937" i="2"/>
  <c r="S937" i="2"/>
  <c r="R937" i="2"/>
  <c r="Q937" i="2"/>
  <c r="P937" i="2"/>
  <c r="Z936" i="2"/>
  <c r="Y936" i="2"/>
  <c r="V936" i="2"/>
  <c r="U936" i="2"/>
  <c r="X936" i="2" s="1"/>
  <c r="T936" i="2"/>
  <c r="S936" i="2"/>
  <c r="R936" i="2"/>
  <c r="Q936" i="2"/>
  <c r="P936" i="2"/>
  <c r="Z935" i="2"/>
  <c r="Y935" i="2"/>
  <c r="V935" i="2"/>
  <c r="U935" i="2"/>
  <c r="X935" i="2" s="1"/>
  <c r="T935" i="2"/>
  <c r="S935" i="2"/>
  <c r="R935" i="2"/>
  <c r="Q935" i="2"/>
  <c r="P935" i="2"/>
  <c r="Z934" i="2"/>
  <c r="Y934" i="2"/>
  <c r="V934" i="2"/>
  <c r="U934" i="2"/>
  <c r="W934" i="2" s="1"/>
  <c r="T934" i="2"/>
  <c r="S934" i="2"/>
  <c r="R934" i="2"/>
  <c r="Q934" i="2"/>
  <c r="P934" i="2"/>
  <c r="Z933" i="2"/>
  <c r="Y933" i="2"/>
  <c r="W933" i="2"/>
  <c r="V933" i="2"/>
  <c r="U933" i="2"/>
  <c r="X933" i="2" s="1"/>
  <c r="T933" i="2"/>
  <c r="S933" i="2"/>
  <c r="R933" i="2"/>
  <c r="Q933" i="2"/>
  <c r="P933" i="2"/>
  <c r="Z932" i="2"/>
  <c r="Y932" i="2"/>
  <c r="X932" i="2"/>
  <c r="V932" i="2"/>
  <c r="U932" i="2"/>
  <c r="W932" i="2" s="1"/>
  <c r="T932" i="2"/>
  <c r="S932" i="2"/>
  <c r="R932" i="2"/>
  <c r="Q932" i="2"/>
  <c r="P932" i="2"/>
  <c r="Z931" i="2"/>
  <c r="Y931" i="2"/>
  <c r="V931" i="2"/>
  <c r="U931" i="2"/>
  <c r="T931" i="2"/>
  <c r="S931" i="2"/>
  <c r="R931" i="2"/>
  <c r="Q931" i="2"/>
  <c r="P931" i="2"/>
  <c r="Z930" i="2"/>
  <c r="Y930" i="2"/>
  <c r="X930" i="2"/>
  <c r="W930" i="2"/>
  <c r="V930" i="2"/>
  <c r="U930" i="2"/>
  <c r="T930" i="2"/>
  <c r="S930" i="2"/>
  <c r="R930" i="2"/>
  <c r="Q930" i="2"/>
  <c r="P930" i="2"/>
  <c r="Z929" i="2"/>
  <c r="Y929" i="2"/>
  <c r="V929" i="2"/>
  <c r="U929" i="2"/>
  <c r="X929" i="2" s="1"/>
  <c r="T929" i="2"/>
  <c r="S929" i="2"/>
  <c r="R929" i="2"/>
  <c r="Q929" i="2"/>
  <c r="P929" i="2"/>
  <c r="Z928" i="2"/>
  <c r="Y928" i="2"/>
  <c r="V928" i="2"/>
  <c r="U928" i="2"/>
  <c r="W928" i="2" s="1"/>
  <c r="T928" i="2"/>
  <c r="S928" i="2"/>
  <c r="R928" i="2"/>
  <c r="Q928" i="2"/>
  <c r="P928" i="2"/>
  <c r="Z927" i="2"/>
  <c r="Y927" i="2"/>
  <c r="W927" i="2"/>
  <c r="V927" i="2"/>
  <c r="U927" i="2"/>
  <c r="X927" i="2" s="1"/>
  <c r="T927" i="2"/>
  <c r="S927" i="2"/>
  <c r="R927" i="2"/>
  <c r="Q927" i="2"/>
  <c r="P927" i="2"/>
  <c r="Z926" i="2"/>
  <c r="Y926" i="2"/>
  <c r="V926" i="2"/>
  <c r="U926" i="2"/>
  <c r="T926" i="2"/>
  <c r="S926" i="2"/>
  <c r="R926" i="2"/>
  <c r="Q926" i="2"/>
  <c r="P926" i="2"/>
  <c r="Z925" i="2"/>
  <c r="Y925" i="2"/>
  <c r="V925" i="2"/>
  <c r="U925" i="2"/>
  <c r="T925" i="2"/>
  <c r="S925" i="2"/>
  <c r="R925" i="2"/>
  <c r="Q925" i="2"/>
  <c r="P925" i="2"/>
  <c r="Z924" i="2"/>
  <c r="Y924" i="2"/>
  <c r="X924" i="2"/>
  <c r="W924" i="2"/>
  <c r="V924" i="2"/>
  <c r="U924" i="2"/>
  <c r="T924" i="2"/>
  <c r="S924" i="2"/>
  <c r="R924" i="2"/>
  <c r="Q924" i="2"/>
  <c r="P924" i="2"/>
  <c r="Z923" i="2"/>
  <c r="Y923" i="2"/>
  <c r="V923" i="2"/>
  <c r="U923" i="2"/>
  <c r="X923" i="2" s="1"/>
  <c r="T923" i="2"/>
  <c r="S923" i="2"/>
  <c r="R923" i="2"/>
  <c r="Q923" i="2"/>
  <c r="P923" i="2"/>
  <c r="Z922" i="2"/>
  <c r="Y922" i="2"/>
  <c r="X922" i="2"/>
  <c r="V922" i="2"/>
  <c r="U922" i="2"/>
  <c r="W922" i="2" s="1"/>
  <c r="T922" i="2"/>
  <c r="S922" i="2"/>
  <c r="R922" i="2"/>
  <c r="Q922" i="2"/>
  <c r="P922" i="2"/>
  <c r="Z921" i="2"/>
  <c r="Y921" i="2"/>
  <c r="W921" i="2"/>
  <c r="V921" i="2"/>
  <c r="U921" i="2"/>
  <c r="X921" i="2" s="1"/>
  <c r="T921" i="2"/>
  <c r="S921" i="2"/>
  <c r="R921" i="2"/>
  <c r="Q921" i="2"/>
  <c r="P921" i="2"/>
  <c r="Z920" i="2"/>
  <c r="Y920" i="2"/>
  <c r="V920" i="2"/>
  <c r="U920" i="2"/>
  <c r="W920" i="2" s="1"/>
  <c r="T920" i="2"/>
  <c r="S920" i="2"/>
  <c r="R920" i="2"/>
  <c r="Q920" i="2"/>
  <c r="P920" i="2"/>
  <c r="Z919" i="2"/>
  <c r="Y919" i="2"/>
  <c r="V919" i="2"/>
  <c r="U919" i="2"/>
  <c r="T919" i="2"/>
  <c r="S919" i="2"/>
  <c r="R919" i="2"/>
  <c r="Q919" i="2"/>
  <c r="P919" i="2"/>
  <c r="Z918" i="2"/>
  <c r="Y918" i="2"/>
  <c r="X918" i="2"/>
  <c r="W918" i="2"/>
  <c r="V918" i="2"/>
  <c r="U918" i="2"/>
  <c r="T918" i="2"/>
  <c r="S918" i="2"/>
  <c r="R918" i="2"/>
  <c r="Q918" i="2"/>
  <c r="P918" i="2"/>
  <c r="Z917" i="2"/>
  <c r="Y917" i="2"/>
  <c r="V917" i="2"/>
  <c r="U917" i="2"/>
  <c r="X917" i="2" s="1"/>
  <c r="T917" i="2"/>
  <c r="S917" i="2"/>
  <c r="R917" i="2"/>
  <c r="Q917" i="2"/>
  <c r="P917" i="2"/>
  <c r="Z916" i="2"/>
  <c r="Y916" i="2"/>
  <c r="X916" i="2"/>
  <c r="V916" i="2"/>
  <c r="U916" i="2"/>
  <c r="W916" i="2" s="1"/>
  <c r="T916" i="2"/>
  <c r="S916" i="2"/>
  <c r="R916" i="2"/>
  <c r="Q916" i="2"/>
  <c r="P916" i="2"/>
  <c r="Z915" i="2"/>
  <c r="Y915" i="2"/>
  <c r="V915" i="2"/>
  <c r="U915" i="2"/>
  <c r="T915" i="2"/>
  <c r="S915" i="2"/>
  <c r="R915" i="2"/>
  <c r="Q915" i="2"/>
  <c r="P915" i="2"/>
  <c r="Z914" i="2"/>
  <c r="Y914" i="2"/>
  <c r="V914" i="2"/>
  <c r="U914" i="2"/>
  <c r="W914" i="2" s="1"/>
  <c r="T914" i="2"/>
  <c r="S914" i="2"/>
  <c r="R914" i="2"/>
  <c r="Q914" i="2"/>
  <c r="P914" i="2"/>
  <c r="Z913" i="2"/>
  <c r="Y913" i="2"/>
  <c r="V913" i="2"/>
  <c r="U913" i="2"/>
  <c r="T913" i="2"/>
  <c r="S913" i="2"/>
  <c r="R913" i="2"/>
  <c r="Q913" i="2"/>
  <c r="P913" i="2"/>
  <c r="Z912" i="2"/>
  <c r="Y912" i="2"/>
  <c r="V912" i="2"/>
  <c r="U912" i="2"/>
  <c r="T912" i="2"/>
  <c r="S912" i="2"/>
  <c r="R912" i="2"/>
  <c r="Q912" i="2"/>
  <c r="P912" i="2"/>
  <c r="Z911" i="2"/>
  <c r="Y911" i="2"/>
  <c r="V911" i="2"/>
  <c r="U911" i="2"/>
  <c r="X911" i="2" s="1"/>
  <c r="T911" i="2"/>
  <c r="S911" i="2"/>
  <c r="R911" i="2"/>
  <c r="Q911" i="2"/>
  <c r="P911" i="2"/>
  <c r="Z910" i="2"/>
  <c r="Y910" i="2"/>
  <c r="X910" i="2"/>
  <c r="V910" i="2"/>
  <c r="U910" i="2"/>
  <c r="W910" i="2" s="1"/>
  <c r="T910" i="2"/>
  <c r="S910" i="2"/>
  <c r="R910" i="2"/>
  <c r="Q910" i="2"/>
  <c r="P910" i="2"/>
  <c r="Z909" i="2"/>
  <c r="Y909" i="2"/>
  <c r="V909" i="2"/>
  <c r="U909" i="2"/>
  <c r="X909" i="2" s="1"/>
  <c r="T909" i="2"/>
  <c r="S909" i="2"/>
  <c r="R909" i="2"/>
  <c r="Q909" i="2"/>
  <c r="P909" i="2"/>
  <c r="Z908" i="2"/>
  <c r="Y908" i="2"/>
  <c r="X908" i="2"/>
  <c r="V908" i="2"/>
  <c r="U908" i="2"/>
  <c r="W908" i="2" s="1"/>
  <c r="T908" i="2"/>
  <c r="S908" i="2"/>
  <c r="R908" i="2"/>
  <c r="Q908" i="2"/>
  <c r="P908" i="2"/>
  <c r="Z907" i="2"/>
  <c r="Y907" i="2"/>
  <c r="V907" i="2"/>
  <c r="U907" i="2"/>
  <c r="T907" i="2"/>
  <c r="S907" i="2"/>
  <c r="R907" i="2"/>
  <c r="Q907" i="2"/>
  <c r="P907" i="2"/>
  <c r="Z906" i="2"/>
  <c r="Y906" i="2"/>
  <c r="V906" i="2"/>
  <c r="U906" i="2"/>
  <c r="X906" i="2" s="1"/>
  <c r="T906" i="2"/>
  <c r="S906" i="2"/>
  <c r="R906" i="2"/>
  <c r="Q906" i="2"/>
  <c r="P906" i="2"/>
  <c r="Z905" i="2"/>
  <c r="Y905" i="2"/>
  <c r="V905" i="2"/>
  <c r="U905" i="2"/>
  <c r="X905" i="2" s="1"/>
  <c r="T905" i="2"/>
  <c r="S905" i="2"/>
  <c r="R905" i="2"/>
  <c r="Q905" i="2"/>
  <c r="P905" i="2"/>
  <c r="Z904" i="2"/>
  <c r="Y904" i="2"/>
  <c r="V904" i="2"/>
  <c r="U904" i="2"/>
  <c r="T904" i="2"/>
  <c r="S904" i="2"/>
  <c r="R904" i="2"/>
  <c r="Q904" i="2"/>
  <c r="P904" i="2"/>
  <c r="Z903" i="2"/>
  <c r="Y903" i="2"/>
  <c r="V903" i="2"/>
  <c r="U903" i="2"/>
  <c r="X903" i="2" s="1"/>
  <c r="T903" i="2"/>
  <c r="S903" i="2"/>
  <c r="R903" i="2"/>
  <c r="Q903" i="2"/>
  <c r="P903" i="2"/>
  <c r="Z902" i="2"/>
  <c r="Y902" i="2"/>
  <c r="X902" i="2"/>
  <c r="V902" i="2"/>
  <c r="U902" i="2"/>
  <c r="W902" i="2" s="1"/>
  <c r="T902" i="2"/>
  <c r="S902" i="2"/>
  <c r="R902" i="2"/>
  <c r="Q902" i="2"/>
  <c r="P902" i="2"/>
  <c r="Z901" i="2"/>
  <c r="Y901" i="2"/>
  <c r="V901" i="2"/>
  <c r="U901" i="2"/>
  <c r="T901" i="2"/>
  <c r="S901" i="2"/>
  <c r="R901" i="2"/>
  <c r="Q901" i="2"/>
  <c r="P901" i="2"/>
  <c r="Z900" i="2"/>
  <c r="Y900" i="2"/>
  <c r="V900" i="2"/>
  <c r="U900" i="2"/>
  <c r="X900" i="2" s="1"/>
  <c r="T900" i="2"/>
  <c r="S900" i="2"/>
  <c r="R900" i="2"/>
  <c r="Q900" i="2"/>
  <c r="P900" i="2"/>
  <c r="Z899" i="2"/>
  <c r="Y899" i="2"/>
  <c r="V899" i="2"/>
  <c r="U899" i="2"/>
  <c r="X899" i="2" s="1"/>
  <c r="T899" i="2"/>
  <c r="S899" i="2"/>
  <c r="R899" i="2"/>
  <c r="Q899" i="2"/>
  <c r="P899" i="2"/>
  <c r="Z898" i="2"/>
  <c r="Y898" i="2"/>
  <c r="V898" i="2"/>
  <c r="U898" i="2"/>
  <c r="W898" i="2" s="1"/>
  <c r="T898" i="2"/>
  <c r="S898" i="2"/>
  <c r="R898" i="2"/>
  <c r="Q898" i="2"/>
  <c r="P898" i="2"/>
  <c r="Z897" i="2"/>
  <c r="Y897" i="2"/>
  <c r="W897" i="2"/>
  <c r="V897" i="2"/>
  <c r="U897" i="2"/>
  <c r="X897" i="2" s="1"/>
  <c r="T897" i="2"/>
  <c r="S897" i="2"/>
  <c r="R897" i="2"/>
  <c r="Q897" i="2"/>
  <c r="P897" i="2"/>
  <c r="Z896" i="2"/>
  <c r="Y896" i="2"/>
  <c r="X896" i="2"/>
  <c r="V896" i="2"/>
  <c r="U896" i="2"/>
  <c r="W896" i="2" s="1"/>
  <c r="T896" i="2"/>
  <c r="S896" i="2"/>
  <c r="R896" i="2"/>
  <c r="Q896" i="2"/>
  <c r="P896" i="2"/>
  <c r="Z895" i="2"/>
  <c r="Y895" i="2"/>
  <c r="V895" i="2"/>
  <c r="U895" i="2"/>
  <c r="T895" i="2"/>
  <c r="S895" i="2"/>
  <c r="R895" i="2"/>
  <c r="Q895" i="2"/>
  <c r="P895" i="2"/>
  <c r="Z894" i="2"/>
  <c r="Y894" i="2"/>
  <c r="X894" i="2"/>
  <c r="W894" i="2"/>
  <c r="V894" i="2"/>
  <c r="U894" i="2"/>
  <c r="T894" i="2"/>
  <c r="S894" i="2"/>
  <c r="R894" i="2"/>
  <c r="Q894" i="2"/>
  <c r="P894" i="2"/>
  <c r="Z893" i="2"/>
  <c r="Y893" i="2"/>
  <c r="V893" i="2"/>
  <c r="U893" i="2"/>
  <c r="X893" i="2" s="1"/>
  <c r="T893" i="2"/>
  <c r="S893" i="2"/>
  <c r="R893" i="2"/>
  <c r="Q893" i="2"/>
  <c r="P893" i="2"/>
  <c r="Z892" i="2"/>
  <c r="Y892" i="2"/>
  <c r="V892" i="2"/>
  <c r="U892" i="2"/>
  <c r="W892" i="2" s="1"/>
  <c r="T892" i="2"/>
  <c r="S892" i="2"/>
  <c r="R892" i="2"/>
  <c r="Q892" i="2"/>
  <c r="P892" i="2"/>
  <c r="Z891" i="2"/>
  <c r="Y891" i="2"/>
  <c r="W891" i="2"/>
  <c r="V891" i="2"/>
  <c r="U891" i="2"/>
  <c r="X891" i="2" s="1"/>
  <c r="T891" i="2"/>
  <c r="S891" i="2"/>
  <c r="R891" i="2"/>
  <c r="Q891" i="2"/>
  <c r="P891" i="2"/>
  <c r="Z890" i="2"/>
  <c r="Y890" i="2"/>
  <c r="V890" i="2"/>
  <c r="U890" i="2"/>
  <c r="T890" i="2"/>
  <c r="S890" i="2"/>
  <c r="R890" i="2"/>
  <c r="Q890" i="2"/>
  <c r="P890" i="2"/>
  <c r="Z889" i="2"/>
  <c r="Y889" i="2"/>
  <c r="V889" i="2"/>
  <c r="U889" i="2"/>
  <c r="T889" i="2"/>
  <c r="S889" i="2"/>
  <c r="R889" i="2"/>
  <c r="Q889" i="2"/>
  <c r="P889" i="2"/>
  <c r="Z888" i="2"/>
  <c r="Y888" i="2"/>
  <c r="X888" i="2"/>
  <c r="W888" i="2"/>
  <c r="V888" i="2"/>
  <c r="U888" i="2"/>
  <c r="T888" i="2"/>
  <c r="S888" i="2"/>
  <c r="R888" i="2"/>
  <c r="Q888" i="2"/>
  <c r="P888" i="2"/>
  <c r="Z887" i="2"/>
  <c r="Y887" i="2"/>
  <c r="V887" i="2"/>
  <c r="U887" i="2"/>
  <c r="X887" i="2" s="1"/>
  <c r="T887" i="2"/>
  <c r="S887" i="2"/>
  <c r="R887" i="2"/>
  <c r="Q887" i="2"/>
  <c r="P887" i="2"/>
  <c r="Z886" i="2"/>
  <c r="Y886" i="2"/>
  <c r="X886" i="2"/>
  <c r="V886" i="2"/>
  <c r="U886" i="2"/>
  <c r="W886" i="2" s="1"/>
  <c r="T886" i="2"/>
  <c r="S886" i="2"/>
  <c r="R886" i="2"/>
  <c r="Q886" i="2"/>
  <c r="P886" i="2"/>
  <c r="Z885" i="2"/>
  <c r="Y885" i="2"/>
  <c r="W885" i="2"/>
  <c r="V885" i="2"/>
  <c r="U885" i="2"/>
  <c r="X885" i="2" s="1"/>
  <c r="T885" i="2"/>
  <c r="S885" i="2"/>
  <c r="R885" i="2"/>
  <c r="Q885" i="2"/>
  <c r="P885" i="2"/>
  <c r="Z884" i="2"/>
  <c r="Y884" i="2"/>
  <c r="V884" i="2"/>
  <c r="U884" i="2"/>
  <c r="W884" i="2" s="1"/>
  <c r="T884" i="2"/>
  <c r="S884" i="2"/>
  <c r="R884" i="2"/>
  <c r="Q884" i="2"/>
  <c r="P884" i="2"/>
  <c r="Z883" i="2"/>
  <c r="Y883" i="2"/>
  <c r="V883" i="2"/>
  <c r="U883" i="2"/>
  <c r="T883" i="2"/>
  <c r="S883" i="2"/>
  <c r="R883" i="2"/>
  <c r="Q883" i="2"/>
  <c r="P883" i="2"/>
  <c r="Z882" i="2"/>
  <c r="Y882" i="2"/>
  <c r="X882" i="2"/>
  <c r="W882" i="2"/>
  <c r="V882" i="2"/>
  <c r="U882" i="2"/>
  <c r="T882" i="2"/>
  <c r="S882" i="2"/>
  <c r="R882" i="2"/>
  <c r="Q882" i="2"/>
  <c r="P882" i="2"/>
  <c r="Z881" i="2"/>
  <c r="Y881" i="2"/>
  <c r="V881" i="2"/>
  <c r="U881" i="2"/>
  <c r="X881" i="2" s="1"/>
  <c r="T881" i="2"/>
  <c r="S881" i="2"/>
  <c r="R881" i="2"/>
  <c r="Q881" i="2"/>
  <c r="P881" i="2"/>
  <c r="Z880" i="2"/>
  <c r="Y880" i="2"/>
  <c r="X880" i="2"/>
  <c r="V880" i="2"/>
  <c r="U880" i="2"/>
  <c r="W880" i="2" s="1"/>
  <c r="T880" i="2"/>
  <c r="S880" i="2"/>
  <c r="R880" i="2"/>
  <c r="Q880" i="2"/>
  <c r="P880" i="2"/>
  <c r="Z879" i="2"/>
  <c r="Y879" i="2"/>
  <c r="V879" i="2"/>
  <c r="U879" i="2"/>
  <c r="T879" i="2"/>
  <c r="S879" i="2"/>
  <c r="R879" i="2"/>
  <c r="Q879" i="2"/>
  <c r="P879" i="2"/>
  <c r="Z878" i="2"/>
  <c r="Y878" i="2"/>
  <c r="V878" i="2"/>
  <c r="U878" i="2"/>
  <c r="W878" i="2" s="1"/>
  <c r="T878" i="2"/>
  <c r="S878" i="2"/>
  <c r="R878" i="2"/>
  <c r="Q878" i="2"/>
  <c r="P878" i="2"/>
  <c r="Z877" i="2"/>
  <c r="Y877" i="2"/>
  <c r="V877" i="2"/>
  <c r="U877" i="2"/>
  <c r="T877" i="2"/>
  <c r="S877" i="2"/>
  <c r="R877" i="2"/>
  <c r="Q877" i="2"/>
  <c r="P877" i="2"/>
  <c r="Z876" i="2"/>
  <c r="Y876" i="2"/>
  <c r="V876" i="2"/>
  <c r="U876" i="2"/>
  <c r="T876" i="2"/>
  <c r="S876" i="2"/>
  <c r="R876" i="2"/>
  <c r="Q876" i="2"/>
  <c r="P876" i="2"/>
  <c r="Z875" i="2"/>
  <c r="Y875" i="2"/>
  <c r="V875" i="2"/>
  <c r="U875" i="2"/>
  <c r="X875" i="2" s="1"/>
  <c r="T875" i="2"/>
  <c r="S875" i="2"/>
  <c r="R875" i="2"/>
  <c r="Q875" i="2"/>
  <c r="P875" i="2"/>
  <c r="Z874" i="2"/>
  <c r="Y874" i="2"/>
  <c r="X874" i="2"/>
  <c r="V874" i="2"/>
  <c r="U874" i="2"/>
  <c r="W874" i="2" s="1"/>
  <c r="T874" i="2"/>
  <c r="S874" i="2"/>
  <c r="R874" i="2"/>
  <c r="Q874" i="2"/>
  <c r="P874" i="2"/>
  <c r="Z873" i="2"/>
  <c r="Y873" i="2"/>
  <c r="V873" i="2"/>
  <c r="U873" i="2"/>
  <c r="X873" i="2" s="1"/>
  <c r="T873" i="2"/>
  <c r="S873" i="2"/>
  <c r="R873" i="2"/>
  <c r="Q873" i="2"/>
  <c r="P873" i="2"/>
  <c r="Z872" i="2"/>
  <c r="Y872" i="2"/>
  <c r="X872" i="2"/>
  <c r="V872" i="2"/>
  <c r="U872" i="2"/>
  <c r="W872" i="2" s="1"/>
  <c r="T872" i="2"/>
  <c r="S872" i="2"/>
  <c r="R872" i="2"/>
  <c r="Q872" i="2"/>
  <c r="P872" i="2"/>
  <c r="Z871" i="2"/>
  <c r="Y871" i="2"/>
  <c r="V871" i="2"/>
  <c r="U871" i="2"/>
  <c r="T871" i="2"/>
  <c r="S871" i="2"/>
  <c r="R871" i="2"/>
  <c r="Q871" i="2"/>
  <c r="P871" i="2"/>
  <c r="Z870" i="2"/>
  <c r="Y870" i="2"/>
  <c r="V870" i="2"/>
  <c r="U870" i="2"/>
  <c r="X870" i="2" s="1"/>
  <c r="T870" i="2"/>
  <c r="S870" i="2"/>
  <c r="R870" i="2"/>
  <c r="Q870" i="2"/>
  <c r="P870" i="2"/>
  <c r="Z869" i="2"/>
  <c r="Y869" i="2"/>
  <c r="V869" i="2"/>
  <c r="U869" i="2"/>
  <c r="X869" i="2" s="1"/>
  <c r="T869" i="2"/>
  <c r="S869" i="2"/>
  <c r="R869" i="2"/>
  <c r="Q869" i="2"/>
  <c r="P869" i="2"/>
  <c r="Z868" i="2"/>
  <c r="Y868" i="2"/>
  <c r="V868" i="2"/>
  <c r="U868" i="2"/>
  <c r="T868" i="2"/>
  <c r="S868" i="2"/>
  <c r="R868" i="2"/>
  <c r="Q868" i="2"/>
  <c r="P868" i="2"/>
  <c r="Z867" i="2"/>
  <c r="Y867" i="2"/>
  <c r="V867" i="2"/>
  <c r="U867" i="2"/>
  <c r="X867" i="2" s="1"/>
  <c r="T867" i="2"/>
  <c r="S867" i="2"/>
  <c r="R867" i="2"/>
  <c r="Q867" i="2"/>
  <c r="P867" i="2"/>
  <c r="Z866" i="2"/>
  <c r="Y866" i="2"/>
  <c r="X866" i="2"/>
  <c r="V866" i="2"/>
  <c r="U866" i="2"/>
  <c r="W866" i="2" s="1"/>
  <c r="T866" i="2"/>
  <c r="S866" i="2"/>
  <c r="R866" i="2"/>
  <c r="Q866" i="2"/>
  <c r="P866" i="2"/>
  <c r="Z865" i="2"/>
  <c r="Y865" i="2"/>
  <c r="V865" i="2"/>
  <c r="U865" i="2"/>
  <c r="T865" i="2"/>
  <c r="S865" i="2"/>
  <c r="R865" i="2"/>
  <c r="Q865" i="2"/>
  <c r="P865" i="2"/>
  <c r="Z864" i="2"/>
  <c r="Y864" i="2"/>
  <c r="V864" i="2"/>
  <c r="U864" i="2"/>
  <c r="X864" i="2" s="1"/>
  <c r="T864" i="2"/>
  <c r="S864" i="2"/>
  <c r="R864" i="2"/>
  <c r="Q864" i="2"/>
  <c r="P864" i="2"/>
  <c r="Z863" i="2"/>
  <c r="Y863" i="2"/>
  <c r="V863" i="2"/>
  <c r="U863" i="2"/>
  <c r="X863" i="2" s="1"/>
  <c r="T863" i="2"/>
  <c r="S863" i="2"/>
  <c r="R863" i="2"/>
  <c r="Q863" i="2"/>
  <c r="P863" i="2"/>
  <c r="Z862" i="2"/>
  <c r="Y862" i="2"/>
  <c r="V862" i="2"/>
  <c r="U862" i="2"/>
  <c r="W862" i="2" s="1"/>
  <c r="T862" i="2"/>
  <c r="S862" i="2"/>
  <c r="R862" i="2"/>
  <c r="Q862" i="2"/>
  <c r="P862" i="2"/>
  <c r="Z861" i="2"/>
  <c r="Y861" i="2"/>
  <c r="W861" i="2"/>
  <c r="V861" i="2"/>
  <c r="U861" i="2"/>
  <c r="X861" i="2" s="1"/>
  <c r="T861" i="2"/>
  <c r="S861" i="2"/>
  <c r="R861" i="2"/>
  <c r="Q861" i="2"/>
  <c r="P861" i="2"/>
  <c r="Z860" i="2"/>
  <c r="Y860" i="2"/>
  <c r="X860" i="2"/>
  <c r="V860" i="2"/>
  <c r="U860" i="2"/>
  <c r="W860" i="2" s="1"/>
  <c r="T860" i="2"/>
  <c r="S860" i="2"/>
  <c r="R860" i="2"/>
  <c r="Q860" i="2"/>
  <c r="P860" i="2"/>
  <c r="Z859" i="2"/>
  <c r="Y859" i="2"/>
  <c r="V859" i="2"/>
  <c r="U859" i="2"/>
  <c r="T859" i="2"/>
  <c r="S859" i="2"/>
  <c r="R859" i="2"/>
  <c r="Q859" i="2"/>
  <c r="P859" i="2"/>
  <c r="Z858" i="2"/>
  <c r="Y858" i="2"/>
  <c r="X858" i="2"/>
  <c r="W858" i="2"/>
  <c r="V858" i="2"/>
  <c r="U858" i="2"/>
  <c r="T858" i="2"/>
  <c r="S858" i="2"/>
  <c r="R858" i="2"/>
  <c r="Q858" i="2"/>
  <c r="P858" i="2"/>
  <c r="Z857" i="2"/>
  <c r="Y857" i="2"/>
  <c r="V857" i="2"/>
  <c r="U857" i="2"/>
  <c r="X857" i="2" s="1"/>
  <c r="T857" i="2"/>
  <c r="S857" i="2"/>
  <c r="R857" i="2"/>
  <c r="Q857" i="2"/>
  <c r="P857" i="2"/>
  <c r="Z856" i="2"/>
  <c r="Y856" i="2"/>
  <c r="V856" i="2"/>
  <c r="U856" i="2"/>
  <c r="W856" i="2" s="1"/>
  <c r="T856" i="2"/>
  <c r="S856" i="2"/>
  <c r="R856" i="2"/>
  <c r="Q856" i="2"/>
  <c r="P856" i="2"/>
  <c r="Z855" i="2"/>
  <c r="Y855" i="2"/>
  <c r="W855" i="2"/>
  <c r="V855" i="2"/>
  <c r="U855" i="2"/>
  <c r="X855" i="2" s="1"/>
  <c r="T855" i="2"/>
  <c r="S855" i="2"/>
  <c r="R855" i="2"/>
  <c r="Q855" i="2"/>
  <c r="P855" i="2"/>
  <c r="Z854" i="2"/>
  <c r="Y854" i="2"/>
  <c r="X854" i="2"/>
  <c r="W854" i="2"/>
  <c r="V854" i="2"/>
  <c r="U854" i="2"/>
  <c r="T854" i="2"/>
  <c r="S854" i="2"/>
  <c r="R854" i="2"/>
  <c r="Q854" i="2"/>
  <c r="P854" i="2"/>
  <c r="Z853" i="2"/>
  <c r="Y853" i="2"/>
  <c r="V853" i="2"/>
  <c r="U853" i="2"/>
  <c r="T853" i="2"/>
  <c r="S853" i="2"/>
  <c r="R853" i="2"/>
  <c r="Q853" i="2"/>
  <c r="P853" i="2"/>
  <c r="Z852" i="2"/>
  <c r="Y852" i="2"/>
  <c r="X852" i="2"/>
  <c r="W852" i="2"/>
  <c r="V852" i="2"/>
  <c r="U852" i="2"/>
  <c r="T852" i="2"/>
  <c r="S852" i="2"/>
  <c r="R852" i="2"/>
  <c r="Q852" i="2"/>
  <c r="P852" i="2"/>
  <c r="Z851" i="2"/>
  <c r="Y851" i="2"/>
  <c r="V851" i="2"/>
  <c r="U851" i="2"/>
  <c r="X851" i="2" s="1"/>
  <c r="T851" i="2"/>
  <c r="S851" i="2"/>
  <c r="R851" i="2"/>
  <c r="Q851" i="2"/>
  <c r="P851" i="2"/>
  <c r="Z850" i="2"/>
  <c r="Y850" i="2"/>
  <c r="V850" i="2"/>
  <c r="U850" i="2"/>
  <c r="W850" i="2" s="1"/>
  <c r="T850" i="2"/>
  <c r="S850" i="2"/>
  <c r="R850" i="2"/>
  <c r="Q850" i="2"/>
  <c r="P850" i="2"/>
  <c r="Z849" i="2"/>
  <c r="Y849" i="2"/>
  <c r="W849" i="2"/>
  <c r="V849" i="2"/>
  <c r="U849" i="2"/>
  <c r="X849" i="2" s="1"/>
  <c r="T849" i="2"/>
  <c r="S849" i="2"/>
  <c r="R849" i="2"/>
  <c r="Q849" i="2"/>
  <c r="P849" i="2"/>
  <c r="Z848" i="2"/>
  <c r="Y848" i="2"/>
  <c r="V848" i="2"/>
  <c r="U848" i="2"/>
  <c r="T848" i="2"/>
  <c r="S848" i="2"/>
  <c r="R848" i="2"/>
  <c r="Q848" i="2"/>
  <c r="P848" i="2"/>
  <c r="Z847" i="2"/>
  <c r="Y847" i="2"/>
  <c r="V847" i="2"/>
  <c r="U847" i="2"/>
  <c r="T847" i="2"/>
  <c r="S847" i="2"/>
  <c r="R847" i="2"/>
  <c r="Q847" i="2"/>
  <c r="P847" i="2"/>
  <c r="Z846" i="2"/>
  <c r="Y846" i="2"/>
  <c r="X846" i="2"/>
  <c r="W846" i="2"/>
  <c r="V846" i="2"/>
  <c r="U846" i="2"/>
  <c r="T846" i="2"/>
  <c r="S846" i="2"/>
  <c r="R846" i="2"/>
  <c r="Q846" i="2"/>
  <c r="P846" i="2"/>
  <c r="Z845" i="2"/>
  <c r="Y845" i="2"/>
  <c r="V845" i="2"/>
  <c r="U845" i="2"/>
  <c r="X845" i="2" s="1"/>
  <c r="T845" i="2"/>
  <c r="S845" i="2"/>
  <c r="R845" i="2"/>
  <c r="Q845" i="2"/>
  <c r="P845" i="2"/>
  <c r="Z844" i="2"/>
  <c r="Y844" i="2"/>
  <c r="X844" i="2"/>
  <c r="V844" i="2"/>
  <c r="U844" i="2"/>
  <c r="W844" i="2" s="1"/>
  <c r="T844" i="2"/>
  <c r="S844" i="2"/>
  <c r="R844" i="2"/>
  <c r="Q844" i="2"/>
  <c r="P844" i="2"/>
  <c r="Z843" i="2"/>
  <c r="Y843" i="2"/>
  <c r="W843" i="2"/>
  <c r="V843" i="2"/>
  <c r="U843" i="2"/>
  <c r="X843" i="2" s="1"/>
  <c r="T843" i="2"/>
  <c r="S843" i="2"/>
  <c r="R843" i="2"/>
  <c r="Q843" i="2"/>
  <c r="P843" i="2"/>
  <c r="Z842" i="2"/>
  <c r="Y842" i="2"/>
  <c r="V842" i="2"/>
  <c r="U842" i="2"/>
  <c r="W842" i="2" s="1"/>
  <c r="T842" i="2"/>
  <c r="S842" i="2"/>
  <c r="R842" i="2"/>
  <c r="Q842" i="2"/>
  <c r="P842" i="2"/>
  <c r="Z841" i="2"/>
  <c r="Y841" i="2"/>
  <c r="V841" i="2"/>
  <c r="U841" i="2"/>
  <c r="T841" i="2"/>
  <c r="S841" i="2"/>
  <c r="R841" i="2"/>
  <c r="Q841" i="2"/>
  <c r="P841" i="2"/>
  <c r="Z840" i="2"/>
  <c r="Y840" i="2"/>
  <c r="X840" i="2"/>
  <c r="W840" i="2"/>
  <c r="V840" i="2"/>
  <c r="U840" i="2"/>
  <c r="T840" i="2"/>
  <c r="S840" i="2"/>
  <c r="R840" i="2"/>
  <c r="Q840" i="2"/>
  <c r="P840" i="2"/>
  <c r="Z839" i="2"/>
  <c r="Y839" i="2"/>
  <c r="V839" i="2"/>
  <c r="U839" i="2"/>
  <c r="X839" i="2" s="1"/>
  <c r="T839" i="2"/>
  <c r="S839" i="2"/>
  <c r="R839" i="2"/>
  <c r="Q839" i="2"/>
  <c r="P839" i="2"/>
  <c r="Z838" i="2"/>
  <c r="Y838" i="2"/>
  <c r="X838" i="2"/>
  <c r="V838" i="2"/>
  <c r="U838" i="2"/>
  <c r="W838" i="2" s="1"/>
  <c r="T838" i="2"/>
  <c r="S838" i="2"/>
  <c r="R838" i="2"/>
  <c r="Q838" i="2"/>
  <c r="P838" i="2"/>
  <c r="Z837" i="2"/>
  <c r="Y837" i="2"/>
  <c r="V837" i="2"/>
  <c r="U837" i="2"/>
  <c r="T837" i="2"/>
  <c r="S837" i="2"/>
  <c r="R837" i="2"/>
  <c r="Q837" i="2"/>
  <c r="P837" i="2"/>
  <c r="Z836" i="2"/>
  <c r="Y836" i="2"/>
  <c r="V836" i="2"/>
  <c r="U836" i="2"/>
  <c r="W836" i="2" s="1"/>
  <c r="T836" i="2"/>
  <c r="S836" i="2"/>
  <c r="R836" i="2"/>
  <c r="Q836" i="2"/>
  <c r="P836" i="2"/>
  <c r="Z835" i="2"/>
  <c r="Y835" i="2"/>
  <c r="V835" i="2"/>
  <c r="U835" i="2"/>
  <c r="T835" i="2"/>
  <c r="S835" i="2"/>
  <c r="R835" i="2"/>
  <c r="Q835" i="2"/>
  <c r="P835" i="2"/>
  <c r="Z834" i="2"/>
  <c r="Y834" i="2"/>
  <c r="V834" i="2"/>
  <c r="U834" i="2"/>
  <c r="T834" i="2"/>
  <c r="S834" i="2"/>
  <c r="R834" i="2"/>
  <c r="Q834" i="2"/>
  <c r="P834" i="2"/>
  <c r="Z833" i="2"/>
  <c r="Y833" i="2"/>
  <c r="V833" i="2"/>
  <c r="U833" i="2"/>
  <c r="X833" i="2" s="1"/>
  <c r="T833" i="2"/>
  <c r="S833" i="2"/>
  <c r="R833" i="2"/>
  <c r="Q833" i="2"/>
  <c r="P833" i="2"/>
  <c r="Z832" i="2"/>
  <c r="Y832" i="2"/>
  <c r="X832" i="2"/>
  <c r="V832" i="2"/>
  <c r="U832" i="2"/>
  <c r="W832" i="2" s="1"/>
  <c r="T832" i="2"/>
  <c r="S832" i="2"/>
  <c r="R832" i="2"/>
  <c r="Q832" i="2"/>
  <c r="P832" i="2"/>
  <c r="Z831" i="2"/>
  <c r="Y831" i="2"/>
  <c r="V831" i="2"/>
  <c r="U831" i="2"/>
  <c r="X831" i="2" s="1"/>
  <c r="T831" i="2"/>
  <c r="S831" i="2"/>
  <c r="R831" i="2"/>
  <c r="Q831" i="2"/>
  <c r="P831" i="2"/>
  <c r="Z830" i="2"/>
  <c r="Y830" i="2"/>
  <c r="X830" i="2"/>
  <c r="V830" i="2"/>
  <c r="U830" i="2"/>
  <c r="W830" i="2" s="1"/>
  <c r="T830" i="2"/>
  <c r="S830" i="2"/>
  <c r="R830" i="2"/>
  <c r="Q830" i="2"/>
  <c r="P830" i="2"/>
  <c r="Z829" i="2"/>
  <c r="Y829" i="2"/>
  <c r="V829" i="2"/>
  <c r="U829" i="2"/>
  <c r="T829" i="2"/>
  <c r="S829" i="2"/>
  <c r="R829" i="2"/>
  <c r="Q829" i="2"/>
  <c r="P829" i="2"/>
  <c r="Z828" i="2"/>
  <c r="Y828" i="2"/>
  <c r="V828" i="2"/>
  <c r="U828" i="2"/>
  <c r="X828" i="2" s="1"/>
  <c r="T828" i="2"/>
  <c r="S828" i="2"/>
  <c r="R828" i="2"/>
  <c r="Q828" i="2"/>
  <c r="P828" i="2"/>
  <c r="Z827" i="2"/>
  <c r="Y827" i="2"/>
  <c r="V827" i="2"/>
  <c r="U827" i="2"/>
  <c r="X827" i="2" s="1"/>
  <c r="T827" i="2"/>
  <c r="S827" i="2"/>
  <c r="R827" i="2"/>
  <c r="Q827" i="2"/>
  <c r="P827" i="2"/>
  <c r="Z826" i="2"/>
  <c r="Y826" i="2"/>
  <c r="V826" i="2"/>
  <c r="U826" i="2"/>
  <c r="T826" i="2"/>
  <c r="S826" i="2"/>
  <c r="R826" i="2"/>
  <c r="Q826" i="2"/>
  <c r="P826" i="2"/>
  <c r="Z825" i="2"/>
  <c r="Y825" i="2"/>
  <c r="V825" i="2"/>
  <c r="U825" i="2"/>
  <c r="X825" i="2" s="1"/>
  <c r="T825" i="2"/>
  <c r="S825" i="2"/>
  <c r="R825" i="2"/>
  <c r="Q825" i="2"/>
  <c r="P825" i="2"/>
  <c r="Z824" i="2"/>
  <c r="Y824" i="2"/>
  <c r="X824" i="2"/>
  <c r="V824" i="2"/>
  <c r="U824" i="2"/>
  <c r="W824" i="2" s="1"/>
  <c r="T824" i="2"/>
  <c r="S824" i="2"/>
  <c r="R824" i="2"/>
  <c r="Q824" i="2"/>
  <c r="P824" i="2"/>
  <c r="Z823" i="2"/>
  <c r="Y823" i="2"/>
  <c r="V823" i="2"/>
  <c r="U823" i="2"/>
  <c r="T823" i="2"/>
  <c r="S823" i="2"/>
  <c r="R823" i="2"/>
  <c r="Q823" i="2"/>
  <c r="P823" i="2"/>
  <c r="Z822" i="2"/>
  <c r="Y822" i="2"/>
  <c r="V822" i="2"/>
  <c r="U822" i="2"/>
  <c r="X822" i="2" s="1"/>
  <c r="T822" i="2"/>
  <c r="S822" i="2"/>
  <c r="R822" i="2"/>
  <c r="Q822" i="2"/>
  <c r="P822" i="2"/>
  <c r="Z821" i="2"/>
  <c r="Y821" i="2"/>
  <c r="V821" i="2"/>
  <c r="U821" i="2"/>
  <c r="X821" i="2" s="1"/>
  <c r="T821" i="2"/>
  <c r="S821" i="2"/>
  <c r="R821" i="2"/>
  <c r="Q821" i="2"/>
  <c r="P821" i="2"/>
  <c r="Z820" i="2"/>
  <c r="Y820" i="2"/>
  <c r="V820" i="2"/>
  <c r="U820" i="2"/>
  <c r="W820" i="2" s="1"/>
  <c r="T820" i="2"/>
  <c r="S820" i="2"/>
  <c r="R820" i="2"/>
  <c r="Q820" i="2"/>
  <c r="P820" i="2"/>
  <c r="Z819" i="2"/>
  <c r="Y819" i="2"/>
  <c r="W819" i="2"/>
  <c r="V819" i="2"/>
  <c r="U819" i="2"/>
  <c r="X819" i="2" s="1"/>
  <c r="T819" i="2"/>
  <c r="S819" i="2"/>
  <c r="R819" i="2"/>
  <c r="Q819" i="2"/>
  <c r="P819" i="2"/>
  <c r="Z818" i="2"/>
  <c r="Y818" i="2"/>
  <c r="X818" i="2"/>
  <c r="V818" i="2"/>
  <c r="U818" i="2"/>
  <c r="W818" i="2" s="1"/>
  <c r="T818" i="2"/>
  <c r="S818" i="2"/>
  <c r="R818" i="2"/>
  <c r="Q818" i="2"/>
  <c r="P818" i="2"/>
  <c r="Z817" i="2"/>
  <c r="Y817" i="2"/>
  <c r="V817" i="2"/>
  <c r="U817" i="2"/>
  <c r="T817" i="2"/>
  <c r="S817" i="2"/>
  <c r="R817" i="2"/>
  <c r="Q817" i="2"/>
  <c r="P817" i="2"/>
  <c r="Z816" i="2"/>
  <c r="Y816" i="2"/>
  <c r="X816" i="2"/>
  <c r="W816" i="2"/>
  <c r="V816" i="2"/>
  <c r="U816" i="2"/>
  <c r="T816" i="2"/>
  <c r="S816" i="2"/>
  <c r="R816" i="2"/>
  <c r="Q816" i="2"/>
  <c r="P816" i="2"/>
  <c r="Z815" i="2"/>
  <c r="Y815" i="2"/>
  <c r="V815" i="2"/>
  <c r="U815" i="2"/>
  <c r="X815" i="2" s="1"/>
  <c r="T815" i="2"/>
  <c r="S815" i="2"/>
  <c r="R815" i="2"/>
  <c r="Q815" i="2"/>
  <c r="P815" i="2"/>
  <c r="Z814" i="2"/>
  <c r="Y814" i="2"/>
  <c r="V814" i="2"/>
  <c r="U814" i="2"/>
  <c r="W814" i="2" s="1"/>
  <c r="T814" i="2"/>
  <c r="S814" i="2"/>
  <c r="R814" i="2"/>
  <c r="Q814" i="2"/>
  <c r="P814" i="2"/>
  <c r="Z813" i="2"/>
  <c r="Y813" i="2"/>
  <c r="W813" i="2"/>
  <c r="V813" i="2"/>
  <c r="U813" i="2"/>
  <c r="X813" i="2" s="1"/>
  <c r="T813" i="2"/>
  <c r="S813" i="2"/>
  <c r="R813" i="2"/>
  <c r="Q813" i="2"/>
  <c r="P813" i="2"/>
  <c r="Z812" i="2"/>
  <c r="Y812" i="2"/>
  <c r="V812" i="2"/>
  <c r="U812" i="2"/>
  <c r="T812" i="2"/>
  <c r="S812" i="2"/>
  <c r="R812" i="2"/>
  <c r="Q812" i="2"/>
  <c r="P812" i="2"/>
  <c r="Z811" i="2"/>
  <c r="Y811" i="2"/>
  <c r="V811" i="2"/>
  <c r="U811" i="2"/>
  <c r="T811" i="2"/>
  <c r="S811" i="2"/>
  <c r="R811" i="2"/>
  <c r="Q811" i="2"/>
  <c r="P811" i="2"/>
  <c r="Z810" i="2"/>
  <c r="Y810" i="2"/>
  <c r="X810" i="2"/>
  <c r="W810" i="2"/>
  <c r="V810" i="2"/>
  <c r="U810" i="2"/>
  <c r="T810" i="2"/>
  <c r="S810" i="2"/>
  <c r="R810" i="2"/>
  <c r="Q810" i="2"/>
  <c r="P810" i="2"/>
  <c r="Z809" i="2"/>
  <c r="Y809" i="2"/>
  <c r="V809" i="2"/>
  <c r="U809" i="2"/>
  <c r="X809" i="2" s="1"/>
  <c r="T809" i="2"/>
  <c r="S809" i="2"/>
  <c r="R809" i="2"/>
  <c r="Q809" i="2"/>
  <c r="P809" i="2"/>
  <c r="Z808" i="2"/>
  <c r="Y808" i="2"/>
  <c r="X808" i="2"/>
  <c r="V808" i="2"/>
  <c r="U808" i="2"/>
  <c r="W808" i="2" s="1"/>
  <c r="T808" i="2"/>
  <c r="S808" i="2"/>
  <c r="R808" i="2"/>
  <c r="Q808" i="2"/>
  <c r="P808" i="2"/>
  <c r="Z807" i="2"/>
  <c r="Y807" i="2"/>
  <c r="W807" i="2"/>
  <c r="V807" i="2"/>
  <c r="U807" i="2"/>
  <c r="X807" i="2" s="1"/>
  <c r="T807" i="2"/>
  <c r="S807" i="2"/>
  <c r="R807" i="2"/>
  <c r="Q807" i="2"/>
  <c r="P807" i="2"/>
  <c r="Z806" i="2"/>
  <c r="Y806" i="2"/>
  <c r="V806" i="2"/>
  <c r="U806" i="2"/>
  <c r="W806" i="2" s="1"/>
  <c r="T806" i="2"/>
  <c r="S806" i="2"/>
  <c r="R806" i="2"/>
  <c r="Q806" i="2"/>
  <c r="P806" i="2"/>
  <c r="Z805" i="2"/>
  <c r="Y805" i="2"/>
  <c r="V805" i="2"/>
  <c r="U805" i="2"/>
  <c r="T805" i="2"/>
  <c r="S805" i="2"/>
  <c r="R805" i="2"/>
  <c r="Q805" i="2"/>
  <c r="P805" i="2"/>
  <c r="Z804" i="2"/>
  <c r="Y804" i="2"/>
  <c r="X804" i="2"/>
  <c r="W804" i="2"/>
  <c r="V804" i="2"/>
  <c r="U804" i="2"/>
  <c r="T804" i="2"/>
  <c r="S804" i="2"/>
  <c r="R804" i="2"/>
  <c r="Q804" i="2"/>
  <c r="P804" i="2"/>
  <c r="Z803" i="2"/>
  <c r="Y803" i="2"/>
  <c r="V803" i="2"/>
  <c r="U803" i="2"/>
  <c r="X803" i="2" s="1"/>
  <c r="T803" i="2"/>
  <c r="S803" i="2"/>
  <c r="R803" i="2"/>
  <c r="Q803" i="2"/>
  <c r="P803" i="2"/>
  <c r="Z802" i="2"/>
  <c r="Y802" i="2"/>
  <c r="X802" i="2"/>
  <c r="V802" i="2"/>
  <c r="U802" i="2"/>
  <c r="W802" i="2" s="1"/>
  <c r="T802" i="2"/>
  <c r="S802" i="2"/>
  <c r="R802" i="2"/>
  <c r="Q802" i="2"/>
  <c r="P802" i="2"/>
  <c r="Z801" i="2"/>
  <c r="Y801" i="2"/>
  <c r="V801" i="2"/>
  <c r="U801" i="2"/>
  <c r="T801" i="2"/>
  <c r="S801" i="2"/>
  <c r="R801" i="2"/>
  <c r="Q801" i="2"/>
  <c r="P801" i="2"/>
  <c r="Z800" i="2"/>
  <c r="Y800" i="2"/>
  <c r="V800" i="2"/>
  <c r="U800" i="2"/>
  <c r="X800" i="2" s="1"/>
  <c r="T800" i="2"/>
  <c r="S800" i="2"/>
  <c r="R800" i="2"/>
  <c r="Q800" i="2"/>
  <c r="P800" i="2"/>
  <c r="Z799" i="2"/>
  <c r="Y799" i="2"/>
  <c r="V799" i="2"/>
  <c r="U799" i="2"/>
  <c r="T799" i="2"/>
  <c r="S799" i="2"/>
  <c r="R799" i="2"/>
  <c r="Q799" i="2"/>
  <c r="P799" i="2"/>
  <c r="Z798" i="2"/>
  <c r="Y798" i="2"/>
  <c r="X798" i="2"/>
  <c r="W798" i="2"/>
  <c r="V798" i="2"/>
  <c r="U798" i="2"/>
  <c r="T798" i="2"/>
  <c r="S798" i="2"/>
  <c r="R798" i="2"/>
  <c r="Q798" i="2"/>
  <c r="P798" i="2"/>
  <c r="Z797" i="2"/>
  <c r="Y797" i="2"/>
  <c r="V797" i="2"/>
  <c r="U797" i="2"/>
  <c r="X797" i="2" s="1"/>
  <c r="T797" i="2"/>
  <c r="S797" i="2"/>
  <c r="R797" i="2"/>
  <c r="Q797" i="2"/>
  <c r="P797" i="2"/>
  <c r="Z796" i="2"/>
  <c r="Y796" i="2"/>
  <c r="X796" i="2"/>
  <c r="V796" i="2"/>
  <c r="U796" i="2"/>
  <c r="W796" i="2" s="1"/>
  <c r="T796" i="2"/>
  <c r="S796" i="2"/>
  <c r="R796" i="2"/>
  <c r="Q796" i="2"/>
  <c r="P796" i="2"/>
  <c r="Z795" i="2"/>
  <c r="Y795" i="2"/>
  <c r="V795" i="2"/>
  <c r="U795" i="2"/>
  <c r="T795" i="2"/>
  <c r="S795" i="2"/>
  <c r="R795" i="2"/>
  <c r="Q795" i="2"/>
  <c r="P795" i="2"/>
  <c r="Z794" i="2"/>
  <c r="Y794" i="2"/>
  <c r="V794" i="2"/>
  <c r="U794" i="2"/>
  <c r="X794" i="2" s="1"/>
  <c r="T794" i="2"/>
  <c r="S794" i="2"/>
  <c r="R794" i="2"/>
  <c r="Q794" i="2"/>
  <c r="P794" i="2"/>
  <c r="Z793" i="2"/>
  <c r="Y793" i="2"/>
  <c r="V793" i="2"/>
  <c r="U793" i="2"/>
  <c r="T793" i="2"/>
  <c r="S793" i="2"/>
  <c r="R793" i="2"/>
  <c r="Q793" i="2"/>
  <c r="P793" i="2"/>
  <c r="Z792" i="2"/>
  <c r="Y792" i="2"/>
  <c r="X792" i="2"/>
  <c r="W792" i="2"/>
  <c r="V792" i="2"/>
  <c r="U792" i="2"/>
  <c r="T792" i="2"/>
  <c r="S792" i="2"/>
  <c r="R792" i="2"/>
  <c r="Q792" i="2"/>
  <c r="P792" i="2"/>
  <c r="Z791" i="2"/>
  <c r="Y791" i="2"/>
  <c r="V791" i="2"/>
  <c r="U791" i="2"/>
  <c r="X791" i="2" s="1"/>
  <c r="T791" i="2"/>
  <c r="S791" i="2"/>
  <c r="R791" i="2"/>
  <c r="Q791" i="2"/>
  <c r="P791" i="2"/>
  <c r="Z790" i="2"/>
  <c r="Y790" i="2"/>
  <c r="X790" i="2"/>
  <c r="V790" i="2"/>
  <c r="U790" i="2"/>
  <c r="W790" i="2" s="1"/>
  <c r="T790" i="2"/>
  <c r="S790" i="2"/>
  <c r="R790" i="2"/>
  <c r="Q790" i="2"/>
  <c r="P790" i="2"/>
  <c r="Z789" i="2"/>
  <c r="Y789" i="2"/>
  <c r="V789" i="2"/>
  <c r="U789" i="2"/>
  <c r="T789" i="2"/>
  <c r="S789" i="2"/>
  <c r="R789" i="2"/>
  <c r="Q789" i="2"/>
  <c r="P789" i="2"/>
  <c r="Z788" i="2"/>
  <c r="Y788" i="2"/>
  <c r="V788" i="2"/>
  <c r="U788" i="2"/>
  <c r="T788" i="2"/>
  <c r="S788" i="2"/>
  <c r="R788" i="2"/>
  <c r="Q788" i="2"/>
  <c r="P788" i="2"/>
  <c r="Z787" i="2"/>
  <c r="Y787" i="2"/>
  <c r="V787" i="2"/>
  <c r="U787" i="2"/>
  <c r="T787" i="2"/>
  <c r="S787" i="2"/>
  <c r="R787" i="2"/>
  <c r="Q787" i="2"/>
  <c r="P787" i="2"/>
  <c r="Z786" i="2"/>
  <c r="Y786" i="2"/>
  <c r="X786" i="2"/>
  <c r="W786" i="2"/>
  <c r="V786" i="2"/>
  <c r="U786" i="2"/>
  <c r="T786" i="2"/>
  <c r="S786" i="2"/>
  <c r="R786" i="2"/>
  <c r="Q786" i="2"/>
  <c r="P786" i="2"/>
  <c r="Z785" i="2"/>
  <c r="Y785" i="2"/>
  <c r="V785" i="2"/>
  <c r="U785" i="2"/>
  <c r="X785" i="2" s="1"/>
  <c r="T785" i="2"/>
  <c r="S785" i="2"/>
  <c r="R785" i="2"/>
  <c r="Q785" i="2"/>
  <c r="P785" i="2"/>
  <c r="Z784" i="2"/>
  <c r="Y784" i="2"/>
  <c r="X784" i="2"/>
  <c r="V784" i="2"/>
  <c r="U784" i="2"/>
  <c r="W784" i="2" s="1"/>
  <c r="T784" i="2"/>
  <c r="S784" i="2"/>
  <c r="R784" i="2"/>
  <c r="Q784" i="2"/>
  <c r="P784" i="2"/>
  <c r="Z783" i="2"/>
  <c r="Y783" i="2"/>
  <c r="V783" i="2"/>
  <c r="U783" i="2"/>
  <c r="T783" i="2"/>
  <c r="S783" i="2"/>
  <c r="R783" i="2"/>
  <c r="Q783" i="2"/>
  <c r="P783" i="2"/>
  <c r="Z782" i="2"/>
  <c r="Y782" i="2"/>
  <c r="V782" i="2"/>
  <c r="U782" i="2"/>
  <c r="T782" i="2"/>
  <c r="S782" i="2"/>
  <c r="R782" i="2"/>
  <c r="Q782" i="2"/>
  <c r="P782" i="2"/>
  <c r="Z781" i="2"/>
  <c r="Y781" i="2"/>
  <c r="V781" i="2"/>
  <c r="U781" i="2"/>
  <c r="T781" i="2"/>
  <c r="S781" i="2"/>
  <c r="R781" i="2"/>
  <c r="Q781" i="2"/>
  <c r="P781" i="2"/>
  <c r="Z780" i="2"/>
  <c r="Y780" i="2"/>
  <c r="X780" i="2"/>
  <c r="W780" i="2"/>
  <c r="V780" i="2"/>
  <c r="U780" i="2"/>
  <c r="T780" i="2"/>
  <c r="S780" i="2"/>
  <c r="R780" i="2"/>
  <c r="Q780" i="2"/>
  <c r="P780" i="2"/>
  <c r="Z779" i="2"/>
  <c r="Y779" i="2"/>
  <c r="V779" i="2"/>
  <c r="U779" i="2"/>
  <c r="X779" i="2" s="1"/>
  <c r="T779" i="2"/>
  <c r="S779" i="2"/>
  <c r="R779" i="2"/>
  <c r="Q779" i="2"/>
  <c r="P779" i="2"/>
  <c r="Z778" i="2"/>
  <c r="Y778" i="2"/>
  <c r="X778" i="2"/>
  <c r="V778" i="2"/>
  <c r="U778" i="2"/>
  <c r="W778" i="2" s="1"/>
  <c r="T778" i="2"/>
  <c r="S778" i="2"/>
  <c r="R778" i="2"/>
  <c r="Q778" i="2"/>
  <c r="P778" i="2"/>
  <c r="Z777" i="2"/>
  <c r="Y777" i="2"/>
  <c r="V777" i="2"/>
  <c r="U777" i="2"/>
  <c r="T777" i="2"/>
  <c r="S777" i="2"/>
  <c r="R777" i="2"/>
  <c r="Q777" i="2"/>
  <c r="P777" i="2"/>
  <c r="Z776" i="2"/>
  <c r="Y776" i="2"/>
  <c r="V776" i="2"/>
  <c r="U776" i="2"/>
  <c r="T776" i="2"/>
  <c r="S776" i="2"/>
  <c r="R776" i="2"/>
  <c r="Q776" i="2"/>
  <c r="P776" i="2"/>
  <c r="Z775" i="2"/>
  <c r="Y775" i="2"/>
  <c r="V775" i="2"/>
  <c r="U775" i="2"/>
  <c r="T775" i="2"/>
  <c r="S775" i="2"/>
  <c r="R775" i="2"/>
  <c r="Q775" i="2"/>
  <c r="P775" i="2"/>
  <c r="Z774" i="2"/>
  <c r="Y774" i="2"/>
  <c r="X774" i="2"/>
  <c r="W774" i="2"/>
  <c r="V774" i="2"/>
  <c r="U774" i="2"/>
  <c r="T774" i="2"/>
  <c r="S774" i="2"/>
  <c r="R774" i="2"/>
  <c r="Q774" i="2"/>
  <c r="P774" i="2"/>
  <c r="Z773" i="2"/>
  <c r="Y773" i="2"/>
  <c r="V773" i="2"/>
  <c r="U773" i="2"/>
  <c r="X773" i="2" s="1"/>
  <c r="T773" i="2"/>
  <c r="S773" i="2"/>
  <c r="R773" i="2"/>
  <c r="Q773" i="2"/>
  <c r="P773" i="2"/>
  <c r="Z772" i="2"/>
  <c r="Y772" i="2"/>
  <c r="X772" i="2"/>
  <c r="V772" i="2"/>
  <c r="U772" i="2"/>
  <c r="W772" i="2" s="1"/>
  <c r="T772" i="2"/>
  <c r="S772" i="2"/>
  <c r="R772" i="2"/>
  <c r="Q772" i="2"/>
  <c r="P772" i="2"/>
  <c r="Z771" i="2"/>
  <c r="Y771" i="2"/>
  <c r="V771" i="2"/>
  <c r="U771" i="2"/>
  <c r="T771" i="2"/>
  <c r="S771" i="2"/>
  <c r="R771" i="2"/>
  <c r="Q771" i="2"/>
  <c r="P771" i="2"/>
  <c r="Z770" i="2"/>
  <c r="Y770" i="2"/>
  <c r="V770" i="2"/>
  <c r="U770" i="2"/>
  <c r="T770" i="2"/>
  <c r="S770" i="2"/>
  <c r="R770" i="2"/>
  <c r="Q770" i="2"/>
  <c r="P770" i="2"/>
  <c r="Z769" i="2"/>
  <c r="Y769" i="2"/>
  <c r="V769" i="2"/>
  <c r="U769" i="2"/>
  <c r="T769" i="2"/>
  <c r="S769" i="2"/>
  <c r="R769" i="2"/>
  <c r="Q769" i="2"/>
  <c r="P769" i="2"/>
  <c r="Z768" i="2"/>
  <c r="Y768" i="2"/>
  <c r="X768" i="2"/>
  <c r="W768" i="2"/>
  <c r="V768" i="2"/>
  <c r="U768" i="2"/>
  <c r="T768" i="2"/>
  <c r="S768" i="2"/>
  <c r="R768" i="2"/>
  <c r="Q768" i="2"/>
  <c r="P768" i="2"/>
  <c r="Z767" i="2"/>
  <c r="Y767" i="2"/>
  <c r="V767" i="2"/>
  <c r="U767" i="2"/>
  <c r="X767" i="2" s="1"/>
  <c r="T767" i="2"/>
  <c r="S767" i="2"/>
  <c r="R767" i="2"/>
  <c r="Q767" i="2"/>
  <c r="P767" i="2"/>
  <c r="Z766" i="2"/>
  <c r="Y766" i="2"/>
  <c r="X766" i="2"/>
  <c r="V766" i="2"/>
  <c r="U766" i="2"/>
  <c r="W766" i="2" s="1"/>
  <c r="T766" i="2"/>
  <c r="S766" i="2"/>
  <c r="R766" i="2"/>
  <c r="Q766" i="2"/>
  <c r="P766" i="2"/>
  <c r="Z765" i="2"/>
  <c r="Y765" i="2"/>
  <c r="V765" i="2"/>
  <c r="U765" i="2"/>
  <c r="T765" i="2"/>
  <c r="S765" i="2"/>
  <c r="R765" i="2"/>
  <c r="Q765" i="2"/>
  <c r="P765" i="2"/>
  <c r="Z764" i="2"/>
  <c r="Y764" i="2"/>
  <c r="V764" i="2"/>
  <c r="U764" i="2"/>
  <c r="T764" i="2"/>
  <c r="S764" i="2"/>
  <c r="R764" i="2"/>
  <c r="Q764" i="2"/>
  <c r="P764" i="2"/>
  <c r="Z763" i="2"/>
  <c r="Y763" i="2"/>
  <c r="V763" i="2"/>
  <c r="U763" i="2"/>
  <c r="T763" i="2"/>
  <c r="S763" i="2"/>
  <c r="R763" i="2"/>
  <c r="Q763" i="2"/>
  <c r="P763" i="2"/>
  <c r="Z762" i="2"/>
  <c r="Y762" i="2"/>
  <c r="X762" i="2"/>
  <c r="W762" i="2"/>
  <c r="V762" i="2"/>
  <c r="U762" i="2"/>
  <c r="T762" i="2"/>
  <c r="S762" i="2"/>
  <c r="R762" i="2"/>
  <c r="Q762" i="2"/>
  <c r="P762" i="2"/>
  <c r="Z761" i="2"/>
  <c r="Y761" i="2"/>
  <c r="V761" i="2"/>
  <c r="U761" i="2"/>
  <c r="X761" i="2" s="1"/>
  <c r="T761" i="2"/>
  <c r="S761" i="2"/>
  <c r="R761" i="2"/>
  <c r="Q761" i="2"/>
  <c r="P761" i="2"/>
  <c r="Z760" i="2"/>
  <c r="Y760" i="2"/>
  <c r="X760" i="2"/>
  <c r="V760" i="2"/>
  <c r="U760" i="2"/>
  <c r="W760" i="2" s="1"/>
  <c r="T760" i="2"/>
  <c r="S760" i="2"/>
  <c r="R760" i="2"/>
  <c r="Q760" i="2"/>
  <c r="P760" i="2"/>
  <c r="Z759" i="2"/>
  <c r="Y759" i="2"/>
  <c r="V759" i="2"/>
  <c r="U759" i="2"/>
  <c r="T759" i="2"/>
  <c r="S759" i="2"/>
  <c r="R759" i="2"/>
  <c r="Q759" i="2"/>
  <c r="P759" i="2"/>
  <c r="Z758" i="2"/>
  <c r="Y758" i="2"/>
  <c r="V758" i="2"/>
  <c r="U758" i="2"/>
  <c r="T758" i="2"/>
  <c r="S758" i="2"/>
  <c r="R758" i="2"/>
  <c r="Q758" i="2"/>
  <c r="P758" i="2"/>
  <c r="Z757" i="2"/>
  <c r="Y757" i="2"/>
  <c r="V757" i="2"/>
  <c r="U757" i="2"/>
  <c r="T757" i="2"/>
  <c r="S757" i="2"/>
  <c r="R757" i="2"/>
  <c r="Q757" i="2"/>
  <c r="P757" i="2"/>
  <c r="Z756" i="2"/>
  <c r="Y756" i="2"/>
  <c r="X756" i="2"/>
  <c r="W756" i="2"/>
  <c r="V756" i="2"/>
  <c r="U756" i="2"/>
  <c r="T756" i="2"/>
  <c r="S756" i="2"/>
  <c r="R756" i="2"/>
  <c r="Q756" i="2"/>
  <c r="P756" i="2"/>
  <c r="Z755" i="2"/>
  <c r="Y755" i="2"/>
  <c r="V755" i="2"/>
  <c r="U755" i="2"/>
  <c r="X755" i="2" s="1"/>
  <c r="T755" i="2"/>
  <c r="S755" i="2"/>
  <c r="R755" i="2"/>
  <c r="Q755" i="2"/>
  <c r="P755" i="2"/>
  <c r="Z754" i="2"/>
  <c r="Y754" i="2"/>
  <c r="X754" i="2"/>
  <c r="V754" i="2"/>
  <c r="U754" i="2"/>
  <c r="W754" i="2" s="1"/>
  <c r="T754" i="2"/>
  <c r="S754" i="2"/>
  <c r="R754" i="2"/>
  <c r="Q754" i="2"/>
  <c r="P754" i="2"/>
  <c r="Z753" i="2"/>
  <c r="Y753" i="2"/>
  <c r="V753" i="2"/>
  <c r="U753" i="2"/>
  <c r="T753" i="2"/>
  <c r="S753" i="2"/>
  <c r="R753" i="2"/>
  <c r="Q753" i="2"/>
  <c r="P753" i="2"/>
  <c r="Z752" i="2"/>
  <c r="Y752" i="2"/>
  <c r="V752" i="2"/>
  <c r="U752" i="2"/>
  <c r="T752" i="2"/>
  <c r="S752" i="2"/>
  <c r="R752" i="2"/>
  <c r="Q752" i="2"/>
  <c r="P752" i="2"/>
  <c r="Z751" i="2"/>
  <c r="Y751" i="2"/>
  <c r="V751" i="2"/>
  <c r="U751" i="2"/>
  <c r="T751" i="2"/>
  <c r="S751" i="2"/>
  <c r="R751" i="2"/>
  <c r="Q751" i="2"/>
  <c r="P751" i="2"/>
  <c r="Z750" i="2"/>
  <c r="Y750" i="2"/>
  <c r="X750" i="2"/>
  <c r="W750" i="2"/>
  <c r="V750" i="2"/>
  <c r="U750" i="2"/>
  <c r="T750" i="2"/>
  <c r="S750" i="2"/>
  <c r="R750" i="2"/>
  <c r="Q750" i="2"/>
  <c r="P750" i="2"/>
  <c r="Z749" i="2"/>
  <c r="Y749" i="2"/>
  <c r="V749" i="2"/>
  <c r="U749" i="2"/>
  <c r="X749" i="2" s="1"/>
  <c r="T749" i="2"/>
  <c r="S749" i="2"/>
  <c r="R749" i="2"/>
  <c r="Q749" i="2"/>
  <c r="P749" i="2"/>
  <c r="Z748" i="2"/>
  <c r="Y748" i="2"/>
  <c r="X748" i="2"/>
  <c r="V748" i="2"/>
  <c r="U748" i="2"/>
  <c r="W748" i="2" s="1"/>
  <c r="T748" i="2"/>
  <c r="S748" i="2"/>
  <c r="R748" i="2"/>
  <c r="Q748" i="2"/>
  <c r="P748" i="2"/>
  <c r="Z747" i="2"/>
  <c r="Y747" i="2"/>
  <c r="V747" i="2"/>
  <c r="U747" i="2"/>
  <c r="T747" i="2"/>
  <c r="S747" i="2"/>
  <c r="R747" i="2"/>
  <c r="Q747" i="2"/>
  <c r="P747" i="2"/>
  <c r="Z746" i="2"/>
  <c r="Y746" i="2"/>
  <c r="V746" i="2"/>
  <c r="U746" i="2"/>
  <c r="T746" i="2"/>
  <c r="S746" i="2"/>
  <c r="R746" i="2"/>
  <c r="Q746" i="2"/>
  <c r="P746" i="2"/>
  <c r="Z745" i="2"/>
  <c r="Y745" i="2"/>
  <c r="V745" i="2"/>
  <c r="U745" i="2"/>
  <c r="T745" i="2"/>
  <c r="S745" i="2"/>
  <c r="R745" i="2"/>
  <c r="Q745" i="2"/>
  <c r="P745" i="2"/>
  <c r="Z744" i="2"/>
  <c r="Y744" i="2"/>
  <c r="X744" i="2"/>
  <c r="W744" i="2"/>
  <c r="V744" i="2"/>
  <c r="U744" i="2"/>
  <c r="T744" i="2"/>
  <c r="S744" i="2"/>
  <c r="R744" i="2"/>
  <c r="Q744" i="2"/>
  <c r="P744" i="2"/>
  <c r="Z743" i="2"/>
  <c r="Y743" i="2"/>
  <c r="V743" i="2"/>
  <c r="U743" i="2"/>
  <c r="X743" i="2" s="1"/>
  <c r="T743" i="2"/>
  <c r="S743" i="2"/>
  <c r="R743" i="2"/>
  <c r="Q743" i="2"/>
  <c r="P743" i="2"/>
  <c r="Z742" i="2"/>
  <c r="Y742" i="2"/>
  <c r="X742" i="2"/>
  <c r="V742" i="2"/>
  <c r="U742" i="2"/>
  <c r="W742" i="2" s="1"/>
  <c r="T742" i="2"/>
  <c r="S742" i="2"/>
  <c r="R742" i="2"/>
  <c r="Q742" i="2"/>
  <c r="P742" i="2"/>
  <c r="Z741" i="2"/>
  <c r="Y741" i="2"/>
  <c r="V741" i="2"/>
  <c r="U741" i="2"/>
  <c r="T741" i="2"/>
  <c r="S741" i="2"/>
  <c r="R741" i="2"/>
  <c r="Q741" i="2"/>
  <c r="P741" i="2"/>
  <c r="Z740" i="2"/>
  <c r="Y740" i="2"/>
  <c r="V740" i="2"/>
  <c r="U740" i="2"/>
  <c r="T740" i="2"/>
  <c r="S740" i="2"/>
  <c r="R740" i="2"/>
  <c r="Q740" i="2"/>
  <c r="P740" i="2"/>
  <c r="Z739" i="2"/>
  <c r="Y739" i="2"/>
  <c r="V739" i="2"/>
  <c r="U739" i="2"/>
  <c r="T739" i="2"/>
  <c r="S739" i="2"/>
  <c r="R739" i="2"/>
  <c r="Q739" i="2"/>
  <c r="P739" i="2"/>
  <c r="Z738" i="2"/>
  <c r="Y738" i="2"/>
  <c r="X738" i="2"/>
  <c r="W738" i="2"/>
  <c r="V738" i="2"/>
  <c r="U738" i="2"/>
  <c r="T738" i="2"/>
  <c r="S738" i="2"/>
  <c r="R738" i="2"/>
  <c r="Q738" i="2"/>
  <c r="P738" i="2"/>
  <c r="Z737" i="2"/>
  <c r="Y737" i="2"/>
  <c r="V737" i="2"/>
  <c r="U737" i="2"/>
  <c r="X737" i="2" s="1"/>
  <c r="T737" i="2"/>
  <c r="S737" i="2"/>
  <c r="R737" i="2"/>
  <c r="Q737" i="2"/>
  <c r="P737" i="2"/>
  <c r="Z736" i="2"/>
  <c r="Y736" i="2"/>
  <c r="X736" i="2"/>
  <c r="V736" i="2"/>
  <c r="U736" i="2"/>
  <c r="W736" i="2" s="1"/>
  <c r="T736" i="2"/>
  <c r="S736" i="2"/>
  <c r="R736" i="2"/>
  <c r="Q736" i="2"/>
  <c r="P736" i="2"/>
  <c r="Z735" i="2"/>
  <c r="Y735" i="2"/>
  <c r="V735" i="2"/>
  <c r="U735" i="2"/>
  <c r="T735" i="2"/>
  <c r="S735" i="2"/>
  <c r="R735" i="2"/>
  <c r="Q735" i="2"/>
  <c r="P735" i="2"/>
  <c r="Z734" i="2"/>
  <c r="Y734" i="2"/>
  <c r="V734" i="2"/>
  <c r="U734" i="2"/>
  <c r="T734" i="2"/>
  <c r="S734" i="2"/>
  <c r="R734" i="2"/>
  <c r="Q734" i="2"/>
  <c r="P734" i="2"/>
  <c r="Z733" i="2"/>
  <c r="Y733" i="2"/>
  <c r="V733" i="2"/>
  <c r="U733" i="2"/>
  <c r="T733" i="2"/>
  <c r="S733" i="2"/>
  <c r="R733" i="2"/>
  <c r="Q733" i="2"/>
  <c r="P733" i="2"/>
  <c r="Z732" i="2"/>
  <c r="Y732" i="2"/>
  <c r="X732" i="2"/>
  <c r="W732" i="2"/>
  <c r="V732" i="2"/>
  <c r="U732" i="2"/>
  <c r="T732" i="2"/>
  <c r="S732" i="2"/>
  <c r="R732" i="2"/>
  <c r="Q732" i="2"/>
  <c r="P732" i="2"/>
  <c r="Z731" i="2"/>
  <c r="Y731" i="2"/>
  <c r="V731" i="2"/>
  <c r="U731" i="2"/>
  <c r="X731" i="2" s="1"/>
  <c r="T731" i="2"/>
  <c r="S731" i="2"/>
  <c r="R731" i="2"/>
  <c r="Q731" i="2"/>
  <c r="P731" i="2"/>
  <c r="Z730" i="2"/>
  <c r="Y730" i="2"/>
  <c r="X730" i="2"/>
  <c r="V730" i="2"/>
  <c r="U730" i="2"/>
  <c r="W730" i="2" s="1"/>
  <c r="T730" i="2"/>
  <c r="S730" i="2"/>
  <c r="R730" i="2"/>
  <c r="Q730" i="2"/>
  <c r="P730" i="2"/>
  <c r="Z729" i="2"/>
  <c r="Y729" i="2"/>
  <c r="V729" i="2"/>
  <c r="U729" i="2"/>
  <c r="T729" i="2"/>
  <c r="S729" i="2"/>
  <c r="R729" i="2"/>
  <c r="Q729" i="2"/>
  <c r="P729" i="2"/>
  <c r="Z728" i="2"/>
  <c r="Y728" i="2"/>
  <c r="V728" i="2"/>
  <c r="U728" i="2"/>
  <c r="W728" i="2" s="1"/>
  <c r="T728" i="2"/>
  <c r="S728" i="2"/>
  <c r="R728" i="2"/>
  <c r="Q728" i="2"/>
  <c r="P728" i="2"/>
  <c r="Z727" i="2"/>
  <c r="Y727" i="2"/>
  <c r="V727" i="2"/>
  <c r="U727" i="2"/>
  <c r="T727" i="2"/>
  <c r="S727" i="2"/>
  <c r="R727" i="2"/>
  <c r="Q727" i="2"/>
  <c r="P727" i="2"/>
  <c r="Z726" i="2"/>
  <c r="Y726" i="2"/>
  <c r="V726" i="2"/>
  <c r="U726" i="2"/>
  <c r="T726" i="2"/>
  <c r="S726" i="2"/>
  <c r="R726" i="2"/>
  <c r="Q726" i="2"/>
  <c r="P726" i="2"/>
  <c r="Z725" i="2"/>
  <c r="Y725" i="2"/>
  <c r="V725" i="2"/>
  <c r="U725" i="2"/>
  <c r="X725" i="2" s="1"/>
  <c r="T725" i="2"/>
  <c r="S725" i="2"/>
  <c r="R725" i="2"/>
  <c r="Q725" i="2"/>
  <c r="P725" i="2"/>
  <c r="Z724" i="2"/>
  <c r="Y724" i="2"/>
  <c r="X724" i="2"/>
  <c r="V724" i="2"/>
  <c r="U724" i="2"/>
  <c r="W724" i="2" s="1"/>
  <c r="T724" i="2"/>
  <c r="S724" i="2"/>
  <c r="R724" i="2"/>
  <c r="Q724" i="2"/>
  <c r="P724" i="2"/>
  <c r="Z723" i="2"/>
  <c r="Y723" i="2"/>
  <c r="V723" i="2"/>
  <c r="U723" i="2"/>
  <c r="T723" i="2"/>
  <c r="S723" i="2"/>
  <c r="R723" i="2"/>
  <c r="Q723" i="2"/>
  <c r="P723" i="2"/>
  <c r="Z722" i="2"/>
  <c r="Y722" i="2"/>
  <c r="X722" i="2"/>
  <c r="V722" i="2"/>
  <c r="U722" i="2"/>
  <c r="W722" i="2" s="1"/>
  <c r="T722" i="2"/>
  <c r="S722" i="2"/>
  <c r="R722" i="2"/>
  <c r="Q722" i="2"/>
  <c r="P722" i="2"/>
  <c r="Z721" i="2"/>
  <c r="Y721" i="2"/>
  <c r="V721" i="2"/>
  <c r="U721" i="2"/>
  <c r="T721" i="2"/>
  <c r="S721" i="2"/>
  <c r="R721" i="2"/>
  <c r="Q721" i="2"/>
  <c r="P721" i="2"/>
  <c r="Z720" i="2"/>
  <c r="Y720" i="2"/>
  <c r="V720" i="2"/>
  <c r="U720" i="2"/>
  <c r="T720" i="2"/>
  <c r="S720" i="2"/>
  <c r="R720" i="2"/>
  <c r="Q720" i="2"/>
  <c r="P720" i="2"/>
  <c r="Z719" i="2"/>
  <c r="Y719" i="2"/>
  <c r="V719" i="2"/>
  <c r="U719" i="2"/>
  <c r="X719" i="2" s="1"/>
  <c r="T719" i="2"/>
  <c r="S719" i="2"/>
  <c r="R719" i="2"/>
  <c r="Q719" i="2"/>
  <c r="P719" i="2"/>
  <c r="Z718" i="2"/>
  <c r="Y718" i="2"/>
  <c r="V718" i="2"/>
  <c r="U718" i="2"/>
  <c r="T718" i="2"/>
  <c r="S718" i="2"/>
  <c r="R718" i="2"/>
  <c r="Q718" i="2"/>
  <c r="P718" i="2"/>
  <c r="Z717" i="2"/>
  <c r="Y717" i="2"/>
  <c r="V717" i="2"/>
  <c r="U717" i="2"/>
  <c r="X717" i="2" s="1"/>
  <c r="T717" i="2"/>
  <c r="S717" i="2"/>
  <c r="R717" i="2"/>
  <c r="Q717" i="2"/>
  <c r="P717" i="2"/>
  <c r="Z716" i="2"/>
  <c r="Y716" i="2"/>
  <c r="X716" i="2"/>
  <c r="V716" i="2"/>
  <c r="U716" i="2"/>
  <c r="W716" i="2" s="1"/>
  <c r="T716" i="2"/>
  <c r="S716" i="2"/>
  <c r="R716" i="2"/>
  <c r="Q716" i="2"/>
  <c r="P716" i="2"/>
  <c r="Z715" i="2"/>
  <c r="Y715" i="2"/>
  <c r="V715" i="2"/>
  <c r="U715" i="2"/>
  <c r="T715" i="2"/>
  <c r="S715" i="2"/>
  <c r="R715" i="2"/>
  <c r="Q715" i="2"/>
  <c r="P715" i="2"/>
  <c r="Z714" i="2"/>
  <c r="Y714" i="2"/>
  <c r="V714" i="2"/>
  <c r="U714" i="2"/>
  <c r="X714" i="2" s="1"/>
  <c r="T714" i="2"/>
  <c r="S714" i="2"/>
  <c r="R714" i="2"/>
  <c r="Q714" i="2"/>
  <c r="P714" i="2"/>
  <c r="Z713" i="2"/>
  <c r="Y713" i="2"/>
  <c r="V713" i="2"/>
  <c r="U713" i="2"/>
  <c r="X713" i="2" s="1"/>
  <c r="T713" i="2"/>
  <c r="S713" i="2"/>
  <c r="R713" i="2"/>
  <c r="Q713" i="2"/>
  <c r="P713" i="2"/>
  <c r="Z712" i="2"/>
  <c r="Y712" i="2"/>
  <c r="V712" i="2"/>
  <c r="U712" i="2"/>
  <c r="T712" i="2"/>
  <c r="S712" i="2"/>
  <c r="R712" i="2"/>
  <c r="Q712" i="2"/>
  <c r="P712" i="2"/>
  <c r="Z711" i="2"/>
  <c r="Y711" i="2"/>
  <c r="W711" i="2"/>
  <c r="V711" i="2"/>
  <c r="U711" i="2"/>
  <c r="X711" i="2" s="1"/>
  <c r="T711" i="2"/>
  <c r="S711" i="2"/>
  <c r="R711" i="2"/>
  <c r="Q711" i="2"/>
  <c r="P711" i="2"/>
  <c r="Z710" i="2"/>
  <c r="Y710" i="2"/>
  <c r="X710" i="2"/>
  <c r="V710" i="2"/>
  <c r="U710" i="2"/>
  <c r="W710" i="2" s="1"/>
  <c r="T710" i="2"/>
  <c r="S710" i="2"/>
  <c r="R710" i="2"/>
  <c r="Q710" i="2"/>
  <c r="P710" i="2"/>
  <c r="Z709" i="2"/>
  <c r="Y709" i="2"/>
  <c r="V709" i="2"/>
  <c r="U709" i="2"/>
  <c r="T709" i="2"/>
  <c r="S709" i="2"/>
  <c r="R709" i="2"/>
  <c r="Q709" i="2"/>
  <c r="P709" i="2"/>
  <c r="Z708" i="2"/>
  <c r="Y708" i="2"/>
  <c r="X708" i="2"/>
  <c r="W708" i="2"/>
  <c r="V708" i="2"/>
  <c r="U708" i="2"/>
  <c r="T708" i="2"/>
  <c r="S708" i="2"/>
  <c r="R708" i="2"/>
  <c r="Q708" i="2"/>
  <c r="P708" i="2"/>
  <c r="Z707" i="2"/>
  <c r="Y707" i="2"/>
  <c r="V707" i="2"/>
  <c r="U707" i="2"/>
  <c r="X707" i="2" s="1"/>
  <c r="T707" i="2"/>
  <c r="S707" i="2"/>
  <c r="R707" i="2"/>
  <c r="Q707" i="2"/>
  <c r="P707" i="2"/>
  <c r="Z706" i="2"/>
  <c r="Y706" i="2"/>
  <c r="V706" i="2"/>
  <c r="U706" i="2"/>
  <c r="W706" i="2" s="1"/>
  <c r="T706" i="2"/>
  <c r="S706" i="2"/>
  <c r="R706" i="2"/>
  <c r="Q706" i="2"/>
  <c r="P706" i="2"/>
  <c r="Z705" i="2"/>
  <c r="Y705" i="2"/>
  <c r="W705" i="2"/>
  <c r="V705" i="2"/>
  <c r="U705" i="2"/>
  <c r="X705" i="2" s="1"/>
  <c r="T705" i="2"/>
  <c r="S705" i="2"/>
  <c r="R705" i="2"/>
  <c r="Q705" i="2"/>
  <c r="P705" i="2"/>
  <c r="Z704" i="2"/>
  <c r="Y704" i="2"/>
  <c r="V704" i="2"/>
  <c r="U704" i="2"/>
  <c r="T704" i="2"/>
  <c r="S704" i="2"/>
  <c r="R704" i="2"/>
  <c r="Q704" i="2"/>
  <c r="P704" i="2"/>
  <c r="Z703" i="2"/>
  <c r="Y703" i="2"/>
  <c r="V703" i="2"/>
  <c r="U703" i="2"/>
  <c r="T703" i="2"/>
  <c r="S703" i="2"/>
  <c r="R703" i="2"/>
  <c r="Q703" i="2"/>
  <c r="P703" i="2"/>
  <c r="Z702" i="2"/>
  <c r="Y702" i="2"/>
  <c r="X702" i="2"/>
  <c r="W702" i="2"/>
  <c r="V702" i="2"/>
  <c r="U702" i="2"/>
  <c r="T702" i="2"/>
  <c r="S702" i="2"/>
  <c r="R702" i="2"/>
  <c r="Q702" i="2"/>
  <c r="P702" i="2"/>
  <c r="Z701" i="2"/>
  <c r="Y701" i="2"/>
  <c r="V701" i="2"/>
  <c r="U701" i="2"/>
  <c r="X701" i="2" s="1"/>
  <c r="T701" i="2"/>
  <c r="S701" i="2"/>
  <c r="R701" i="2"/>
  <c r="Q701" i="2"/>
  <c r="P701" i="2"/>
  <c r="Z700" i="2"/>
  <c r="Y700" i="2"/>
  <c r="X700" i="2"/>
  <c r="V700" i="2"/>
  <c r="U700" i="2"/>
  <c r="W700" i="2" s="1"/>
  <c r="T700" i="2"/>
  <c r="S700" i="2"/>
  <c r="R700" i="2"/>
  <c r="Q700" i="2"/>
  <c r="P700" i="2"/>
  <c r="Z699" i="2"/>
  <c r="Y699" i="2"/>
  <c r="W699" i="2"/>
  <c r="V699" i="2"/>
  <c r="U699" i="2"/>
  <c r="X699" i="2" s="1"/>
  <c r="T699" i="2"/>
  <c r="S699" i="2"/>
  <c r="R699" i="2"/>
  <c r="Q699" i="2"/>
  <c r="P699" i="2"/>
  <c r="Z698" i="2"/>
  <c r="Y698" i="2"/>
  <c r="V698" i="2"/>
  <c r="U698" i="2"/>
  <c r="T698" i="2"/>
  <c r="S698" i="2"/>
  <c r="R698" i="2"/>
  <c r="Q698" i="2"/>
  <c r="P698" i="2"/>
  <c r="Z697" i="2"/>
  <c r="Y697" i="2"/>
  <c r="V697" i="2"/>
  <c r="U697" i="2"/>
  <c r="T697" i="2"/>
  <c r="S697" i="2"/>
  <c r="R697" i="2"/>
  <c r="Q697" i="2"/>
  <c r="P697" i="2"/>
  <c r="Z696" i="2"/>
  <c r="Y696" i="2"/>
  <c r="X696" i="2"/>
  <c r="W696" i="2"/>
  <c r="V696" i="2"/>
  <c r="U696" i="2"/>
  <c r="T696" i="2"/>
  <c r="S696" i="2"/>
  <c r="R696" i="2"/>
  <c r="Q696" i="2"/>
  <c r="P696" i="2"/>
  <c r="Z695" i="2"/>
  <c r="Y695" i="2"/>
  <c r="V695" i="2"/>
  <c r="U695" i="2"/>
  <c r="X695" i="2" s="1"/>
  <c r="T695" i="2"/>
  <c r="S695" i="2"/>
  <c r="R695" i="2"/>
  <c r="Q695" i="2"/>
  <c r="P695" i="2"/>
  <c r="Z694" i="2"/>
  <c r="Y694" i="2"/>
  <c r="X694" i="2"/>
  <c r="V694" i="2"/>
  <c r="U694" i="2"/>
  <c r="W694" i="2" s="1"/>
  <c r="T694" i="2"/>
  <c r="S694" i="2"/>
  <c r="R694" i="2"/>
  <c r="Q694" i="2"/>
  <c r="P694" i="2"/>
  <c r="Z693" i="2"/>
  <c r="Y693" i="2"/>
  <c r="W693" i="2"/>
  <c r="V693" i="2"/>
  <c r="U693" i="2"/>
  <c r="X693" i="2" s="1"/>
  <c r="T693" i="2"/>
  <c r="S693" i="2"/>
  <c r="R693" i="2"/>
  <c r="Q693" i="2"/>
  <c r="P693" i="2"/>
  <c r="Z692" i="2"/>
  <c r="Y692" i="2"/>
  <c r="V692" i="2"/>
  <c r="U692" i="2"/>
  <c r="T692" i="2"/>
  <c r="S692" i="2"/>
  <c r="R692" i="2"/>
  <c r="Q692" i="2"/>
  <c r="P692" i="2"/>
  <c r="Z691" i="2"/>
  <c r="Y691" i="2"/>
  <c r="V691" i="2"/>
  <c r="U691" i="2"/>
  <c r="T691" i="2"/>
  <c r="S691" i="2"/>
  <c r="R691" i="2"/>
  <c r="Q691" i="2"/>
  <c r="P691" i="2"/>
  <c r="Z690" i="2"/>
  <c r="Y690" i="2"/>
  <c r="V690" i="2"/>
  <c r="U690" i="2"/>
  <c r="T690" i="2"/>
  <c r="S690" i="2"/>
  <c r="R690" i="2"/>
  <c r="Q690" i="2"/>
  <c r="P690" i="2"/>
  <c r="Z689" i="2"/>
  <c r="Y689" i="2"/>
  <c r="V689" i="2"/>
  <c r="U689" i="2"/>
  <c r="X689" i="2" s="1"/>
  <c r="T689" i="2"/>
  <c r="S689" i="2"/>
  <c r="R689" i="2"/>
  <c r="Q689" i="2"/>
  <c r="P689" i="2"/>
  <c r="Z688" i="2"/>
  <c r="Y688" i="2"/>
  <c r="X688" i="2"/>
  <c r="V688" i="2"/>
  <c r="U688" i="2"/>
  <c r="W688" i="2" s="1"/>
  <c r="T688" i="2"/>
  <c r="S688" i="2"/>
  <c r="R688" i="2"/>
  <c r="Q688" i="2"/>
  <c r="P688" i="2"/>
  <c r="Z687" i="2"/>
  <c r="Y687" i="2"/>
  <c r="V687" i="2"/>
  <c r="U687" i="2"/>
  <c r="T687" i="2"/>
  <c r="S687" i="2"/>
  <c r="R687" i="2"/>
  <c r="Q687" i="2"/>
  <c r="P687" i="2"/>
  <c r="Z686" i="2"/>
  <c r="Y686" i="2"/>
  <c r="X686" i="2"/>
  <c r="V686" i="2"/>
  <c r="U686" i="2"/>
  <c r="W686" i="2" s="1"/>
  <c r="T686" i="2"/>
  <c r="S686" i="2"/>
  <c r="R686" i="2"/>
  <c r="Q686" i="2"/>
  <c r="P686" i="2"/>
  <c r="Z685" i="2"/>
  <c r="Y685" i="2"/>
  <c r="V685" i="2"/>
  <c r="U685" i="2"/>
  <c r="T685" i="2"/>
  <c r="S685" i="2"/>
  <c r="R685" i="2"/>
  <c r="Q685" i="2"/>
  <c r="P685" i="2"/>
  <c r="Z684" i="2"/>
  <c r="Y684" i="2"/>
  <c r="V684" i="2"/>
  <c r="U684" i="2"/>
  <c r="T684" i="2"/>
  <c r="S684" i="2"/>
  <c r="R684" i="2"/>
  <c r="Q684" i="2"/>
  <c r="P684" i="2"/>
  <c r="Z683" i="2"/>
  <c r="Y683" i="2"/>
  <c r="V683" i="2"/>
  <c r="U683" i="2"/>
  <c r="X683" i="2" s="1"/>
  <c r="T683" i="2"/>
  <c r="S683" i="2"/>
  <c r="R683" i="2"/>
  <c r="Q683" i="2"/>
  <c r="P683" i="2"/>
  <c r="Z682" i="2"/>
  <c r="Y682" i="2"/>
  <c r="V682" i="2"/>
  <c r="U682" i="2"/>
  <c r="W682" i="2" s="1"/>
  <c r="T682" i="2"/>
  <c r="S682" i="2"/>
  <c r="R682" i="2"/>
  <c r="Q682" i="2"/>
  <c r="P682" i="2"/>
  <c r="Z681" i="2"/>
  <c r="Y681" i="2"/>
  <c r="V681" i="2"/>
  <c r="U681" i="2"/>
  <c r="T681" i="2"/>
  <c r="S681" i="2"/>
  <c r="R681" i="2"/>
  <c r="Q681" i="2"/>
  <c r="P681" i="2"/>
  <c r="Z680" i="2"/>
  <c r="Y680" i="2"/>
  <c r="X680" i="2"/>
  <c r="V680" i="2"/>
  <c r="U680" i="2"/>
  <c r="W680" i="2" s="1"/>
  <c r="T680" i="2"/>
  <c r="S680" i="2"/>
  <c r="R680" i="2"/>
  <c r="Q680" i="2"/>
  <c r="P680" i="2"/>
  <c r="Z679" i="2"/>
  <c r="Y679" i="2"/>
  <c r="V679" i="2"/>
  <c r="U679" i="2"/>
  <c r="T679" i="2"/>
  <c r="S679" i="2"/>
  <c r="R679" i="2"/>
  <c r="Q679" i="2"/>
  <c r="P679" i="2"/>
  <c r="Z678" i="2"/>
  <c r="Y678" i="2"/>
  <c r="V678" i="2"/>
  <c r="U678" i="2"/>
  <c r="T678" i="2"/>
  <c r="S678" i="2"/>
  <c r="R678" i="2"/>
  <c r="Q678" i="2"/>
  <c r="P678" i="2"/>
  <c r="Z677" i="2"/>
  <c r="Y677" i="2"/>
  <c r="V677" i="2"/>
  <c r="U677" i="2"/>
  <c r="X677" i="2" s="1"/>
  <c r="T677" i="2"/>
  <c r="S677" i="2"/>
  <c r="R677" i="2"/>
  <c r="Q677" i="2"/>
  <c r="P677" i="2"/>
  <c r="Z676" i="2"/>
  <c r="Y676" i="2"/>
  <c r="V676" i="2"/>
  <c r="U676" i="2"/>
  <c r="T676" i="2"/>
  <c r="S676" i="2"/>
  <c r="R676" i="2"/>
  <c r="Q676" i="2"/>
  <c r="P676" i="2"/>
  <c r="Z675" i="2"/>
  <c r="Y675" i="2"/>
  <c r="W675" i="2"/>
  <c r="V675" i="2"/>
  <c r="U675" i="2"/>
  <c r="X675" i="2" s="1"/>
  <c r="T675" i="2"/>
  <c r="S675" i="2"/>
  <c r="R675" i="2"/>
  <c r="Q675" i="2"/>
  <c r="P675" i="2"/>
  <c r="Z674" i="2"/>
  <c r="Y674" i="2"/>
  <c r="X674" i="2"/>
  <c r="V674" i="2"/>
  <c r="U674" i="2"/>
  <c r="W674" i="2" s="1"/>
  <c r="T674" i="2"/>
  <c r="S674" i="2"/>
  <c r="R674" i="2"/>
  <c r="Q674" i="2"/>
  <c r="P674" i="2"/>
  <c r="Z673" i="2"/>
  <c r="Y673" i="2"/>
  <c r="V673" i="2"/>
  <c r="U673" i="2"/>
  <c r="T673" i="2"/>
  <c r="S673" i="2"/>
  <c r="R673" i="2"/>
  <c r="Q673" i="2"/>
  <c r="P673" i="2"/>
  <c r="Z672" i="2"/>
  <c r="Y672" i="2"/>
  <c r="X672" i="2"/>
  <c r="W672" i="2"/>
  <c r="V672" i="2"/>
  <c r="U672" i="2"/>
  <c r="T672" i="2"/>
  <c r="S672" i="2"/>
  <c r="R672" i="2"/>
  <c r="Q672" i="2"/>
  <c r="P672" i="2"/>
  <c r="Z671" i="2"/>
  <c r="Y671" i="2"/>
  <c r="V671" i="2"/>
  <c r="U671" i="2"/>
  <c r="X671" i="2" s="1"/>
  <c r="T671" i="2"/>
  <c r="S671" i="2"/>
  <c r="R671" i="2"/>
  <c r="Q671" i="2"/>
  <c r="P671" i="2"/>
  <c r="Z670" i="2"/>
  <c r="Y670" i="2"/>
  <c r="V670" i="2"/>
  <c r="U670" i="2"/>
  <c r="T670" i="2"/>
  <c r="S670" i="2"/>
  <c r="R670" i="2"/>
  <c r="Q670" i="2"/>
  <c r="P670" i="2"/>
  <c r="Z669" i="2"/>
  <c r="Y669" i="2"/>
  <c r="W669" i="2"/>
  <c r="V669" i="2"/>
  <c r="U669" i="2"/>
  <c r="X669" i="2" s="1"/>
  <c r="T669" i="2"/>
  <c r="S669" i="2"/>
  <c r="R669" i="2"/>
  <c r="Q669" i="2"/>
  <c r="P669" i="2"/>
  <c r="Z668" i="2"/>
  <c r="Y668" i="2"/>
  <c r="X668" i="2"/>
  <c r="V668" i="2"/>
  <c r="U668" i="2"/>
  <c r="W668" i="2" s="1"/>
  <c r="T668" i="2"/>
  <c r="S668" i="2"/>
  <c r="R668" i="2"/>
  <c r="Q668" i="2"/>
  <c r="P668" i="2"/>
  <c r="Z667" i="2"/>
  <c r="Y667" i="2"/>
  <c r="V667" i="2"/>
  <c r="U667" i="2"/>
  <c r="X667" i="2" s="1"/>
  <c r="T667" i="2"/>
  <c r="S667" i="2"/>
  <c r="R667" i="2"/>
  <c r="Q667" i="2"/>
  <c r="P667" i="2"/>
  <c r="Z666" i="2"/>
  <c r="Y666" i="2"/>
  <c r="X666" i="2"/>
  <c r="W666" i="2"/>
  <c r="V666" i="2"/>
  <c r="U666" i="2"/>
  <c r="T666" i="2"/>
  <c r="S666" i="2"/>
  <c r="R666" i="2"/>
  <c r="Q666" i="2"/>
  <c r="P666" i="2"/>
  <c r="Z665" i="2"/>
  <c r="Y665" i="2"/>
  <c r="V665" i="2"/>
  <c r="U665" i="2"/>
  <c r="T665" i="2"/>
  <c r="S665" i="2"/>
  <c r="R665" i="2"/>
  <c r="Q665" i="2"/>
  <c r="P665" i="2"/>
  <c r="Z664" i="2"/>
  <c r="Y664" i="2"/>
  <c r="V664" i="2"/>
  <c r="U664" i="2"/>
  <c r="W664" i="2" s="1"/>
  <c r="T664" i="2"/>
  <c r="S664" i="2"/>
  <c r="R664" i="2"/>
  <c r="Q664" i="2"/>
  <c r="P664" i="2"/>
  <c r="Z663" i="2"/>
  <c r="Y663" i="2"/>
  <c r="W663" i="2"/>
  <c r="V663" i="2"/>
  <c r="U663" i="2"/>
  <c r="X663" i="2" s="1"/>
  <c r="T663" i="2"/>
  <c r="S663" i="2"/>
  <c r="R663" i="2"/>
  <c r="Q663" i="2"/>
  <c r="P663" i="2"/>
  <c r="Z662" i="2"/>
  <c r="Y662" i="2"/>
  <c r="V662" i="2"/>
  <c r="U662" i="2"/>
  <c r="T662" i="2"/>
  <c r="S662" i="2"/>
  <c r="R662" i="2"/>
  <c r="Q662" i="2"/>
  <c r="P662" i="2"/>
  <c r="Z661" i="2"/>
  <c r="Y661" i="2"/>
  <c r="V661" i="2"/>
  <c r="U661" i="2"/>
  <c r="X661" i="2" s="1"/>
  <c r="T661" i="2"/>
  <c r="S661" i="2"/>
  <c r="R661" i="2"/>
  <c r="Q661" i="2"/>
  <c r="P661" i="2"/>
  <c r="Z660" i="2"/>
  <c r="Y660" i="2"/>
  <c r="W660" i="2"/>
  <c r="V660" i="2"/>
  <c r="U660" i="2"/>
  <c r="X660" i="2" s="1"/>
  <c r="T660" i="2"/>
  <c r="S660" i="2"/>
  <c r="R660" i="2"/>
  <c r="Q660" i="2"/>
  <c r="P660" i="2"/>
  <c r="Z659" i="2"/>
  <c r="Y659" i="2"/>
  <c r="V659" i="2"/>
  <c r="U659" i="2"/>
  <c r="T659" i="2"/>
  <c r="S659" i="2"/>
  <c r="R659" i="2"/>
  <c r="Q659" i="2"/>
  <c r="P659" i="2"/>
  <c r="Z658" i="2"/>
  <c r="Y658" i="2"/>
  <c r="V658" i="2"/>
  <c r="U658" i="2"/>
  <c r="W658" i="2" s="1"/>
  <c r="T658" i="2"/>
  <c r="S658" i="2"/>
  <c r="R658" i="2"/>
  <c r="Q658" i="2"/>
  <c r="P658" i="2"/>
  <c r="Z657" i="2"/>
  <c r="Y657" i="2"/>
  <c r="V657" i="2"/>
  <c r="U657" i="2"/>
  <c r="T657" i="2"/>
  <c r="S657" i="2"/>
  <c r="R657" i="2"/>
  <c r="Q657" i="2"/>
  <c r="P657" i="2"/>
  <c r="Z656" i="2"/>
  <c r="Y656" i="2"/>
  <c r="X656" i="2"/>
  <c r="V656" i="2"/>
  <c r="U656" i="2"/>
  <c r="W656" i="2" s="1"/>
  <c r="T656" i="2"/>
  <c r="S656" i="2"/>
  <c r="R656" i="2"/>
  <c r="Q656" i="2"/>
  <c r="P656" i="2"/>
  <c r="Z655" i="2"/>
  <c r="Y655" i="2"/>
  <c r="W655" i="2"/>
  <c r="V655" i="2"/>
  <c r="U655" i="2"/>
  <c r="X655" i="2" s="1"/>
  <c r="T655" i="2"/>
  <c r="S655" i="2"/>
  <c r="R655" i="2"/>
  <c r="Q655" i="2"/>
  <c r="P655" i="2"/>
  <c r="Z654" i="2"/>
  <c r="Y654" i="2"/>
  <c r="V654" i="2"/>
  <c r="U654" i="2"/>
  <c r="T654" i="2"/>
  <c r="S654" i="2"/>
  <c r="R654" i="2"/>
  <c r="Q654" i="2"/>
  <c r="P654" i="2"/>
  <c r="Z653" i="2"/>
  <c r="Y653" i="2"/>
  <c r="V653" i="2"/>
  <c r="U653" i="2"/>
  <c r="T653" i="2"/>
  <c r="S653" i="2"/>
  <c r="R653" i="2"/>
  <c r="Q653" i="2"/>
  <c r="P653" i="2"/>
  <c r="Z652" i="2"/>
  <c r="Y652" i="2"/>
  <c r="V652" i="2"/>
  <c r="U652" i="2"/>
  <c r="W652" i="2" s="1"/>
  <c r="T652" i="2"/>
  <c r="S652" i="2"/>
  <c r="R652" i="2"/>
  <c r="Q652" i="2"/>
  <c r="P652" i="2"/>
  <c r="Z651" i="2"/>
  <c r="Y651" i="2"/>
  <c r="V651" i="2"/>
  <c r="U651" i="2"/>
  <c r="T651" i="2"/>
  <c r="S651" i="2"/>
  <c r="R651" i="2"/>
  <c r="Q651" i="2"/>
  <c r="P651" i="2"/>
  <c r="Z650" i="2"/>
  <c r="Y650" i="2"/>
  <c r="X650" i="2"/>
  <c r="V650" i="2"/>
  <c r="U650" i="2"/>
  <c r="W650" i="2" s="1"/>
  <c r="T650" i="2"/>
  <c r="S650" i="2"/>
  <c r="R650" i="2"/>
  <c r="Q650" i="2"/>
  <c r="P650" i="2"/>
  <c r="Z649" i="2"/>
  <c r="Y649" i="2"/>
  <c r="X649" i="2"/>
  <c r="V649" i="2"/>
  <c r="U649" i="2"/>
  <c r="W649" i="2" s="1"/>
  <c r="T649" i="2"/>
  <c r="S649" i="2"/>
  <c r="R649" i="2"/>
  <c r="Q649" i="2"/>
  <c r="P649" i="2"/>
  <c r="Z648" i="2"/>
  <c r="Y648" i="2"/>
  <c r="V648" i="2"/>
  <c r="U648" i="2"/>
  <c r="T648" i="2"/>
  <c r="S648" i="2"/>
  <c r="R648" i="2"/>
  <c r="Q648" i="2"/>
  <c r="P648" i="2"/>
  <c r="Z647" i="2"/>
  <c r="Y647" i="2"/>
  <c r="V647" i="2"/>
  <c r="U647" i="2"/>
  <c r="T647" i="2"/>
  <c r="S647" i="2"/>
  <c r="R647" i="2"/>
  <c r="Q647" i="2"/>
  <c r="P647" i="2"/>
  <c r="Z646" i="2"/>
  <c r="Y646" i="2"/>
  <c r="V646" i="2"/>
  <c r="U646" i="2"/>
  <c r="W646" i="2" s="1"/>
  <c r="T646" i="2"/>
  <c r="S646" i="2"/>
  <c r="R646" i="2"/>
  <c r="Q646" i="2"/>
  <c r="P646" i="2"/>
  <c r="Z645" i="2"/>
  <c r="Y645" i="2"/>
  <c r="W645" i="2"/>
  <c r="V645" i="2"/>
  <c r="U645" i="2"/>
  <c r="X645" i="2" s="1"/>
  <c r="T645" i="2"/>
  <c r="S645" i="2"/>
  <c r="R645" i="2"/>
  <c r="Q645" i="2"/>
  <c r="P645" i="2"/>
  <c r="Z644" i="2"/>
  <c r="Y644" i="2"/>
  <c r="V644" i="2"/>
  <c r="U644" i="2"/>
  <c r="W644" i="2" s="1"/>
  <c r="T644" i="2"/>
  <c r="S644" i="2"/>
  <c r="R644" i="2"/>
  <c r="Q644" i="2"/>
  <c r="P644" i="2"/>
  <c r="Z643" i="2"/>
  <c r="Y643" i="2"/>
  <c r="W643" i="2"/>
  <c r="V643" i="2"/>
  <c r="U643" i="2"/>
  <c r="X643" i="2" s="1"/>
  <c r="T643" i="2"/>
  <c r="S643" i="2"/>
  <c r="R643" i="2"/>
  <c r="Q643" i="2"/>
  <c r="P643" i="2"/>
  <c r="Z642" i="2"/>
  <c r="Y642" i="2"/>
  <c r="V642" i="2"/>
  <c r="U642" i="2"/>
  <c r="T642" i="2"/>
  <c r="S642" i="2"/>
  <c r="R642" i="2"/>
  <c r="Q642" i="2"/>
  <c r="P642" i="2"/>
  <c r="Z641" i="2"/>
  <c r="Y641" i="2"/>
  <c r="V641" i="2"/>
  <c r="U641" i="2"/>
  <c r="T641" i="2"/>
  <c r="S641" i="2"/>
  <c r="R641" i="2"/>
  <c r="Q641" i="2"/>
  <c r="P641" i="2"/>
  <c r="Z640" i="2"/>
  <c r="Y640" i="2"/>
  <c r="V640" i="2"/>
  <c r="U640" i="2"/>
  <c r="W640" i="2" s="1"/>
  <c r="T640" i="2"/>
  <c r="S640" i="2"/>
  <c r="R640" i="2"/>
  <c r="Q640" i="2"/>
  <c r="P640" i="2"/>
  <c r="Z639" i="2"/>
  <c r="Y639" i="2"/>
  <c r="V639" i="2"/>
  <c r="U639" i="2"/>
  <c r="T639" i="2"/>
  <c r="S639" i="2"/>
  <c r="R639" i="2"/>
  <c r="Q639" i="2"/>
  <c r="P639" i="2"/>
  <c r="Z638" i="2"/>
  <c r="Y638" i="2"/>
  <c r="X638" i="2"/>
  <c r="V638" i="2"/>
  <c r="U638" i="2"/>
  <c r="W638" i="2" s="1"/>
  <c r="T638" i="2"/>
  <c r="S638" i="2"/>
  <c r="R638" i="2"/>
  <c r="Q638" i="2"/>
  <c r="P638" i="2"/>
  <c r="Z637" i="2"/>
  <c r="Y637" i="2"/>
  <c r="V637" i="2"/>
  <c r="U637" i="2"/>
  <c r="X637" i="2" s="1"/>
  <c r="T637" i="2"/>
  <c r="S637" i="2"/>
  <c r="R637" i="2"/>
  <c r="Q637" i="2"/>
  <c r="P637" i="2"/>
  <c r="Z636" i="2"/>
  <c r="Y636" i="2"/>
  <c r="V636" i="2"/>
  <c r="U636" i="2"/>
  <c r="X636" i="2" s="1"/>
  <c r="T636" i="2"/>
  <c r="S636" i="2"/>
  <c r="R636" i="2"/>
  <c r="Q636" i="2"/>
  <c r="P636" i="2"/>
  <c r="Z635" i="2"/>
  <c r="Y635" i="2"/>
  <c r="V635" i="2"/>
  <c r="U635" i="2"/>
  <c r="T635" i="2"/>
  <c r="S635" i="2"/>
  <c r="R635" i="2"/>
  <c r="Q635" i="2"/>
  <c r="P635" i="2"/>
  <c r="Z634" i="2"/>
  <c r="Y634" i="2"/>
  <c r="X634" i="2"/>
  <c r="V634" i="2"/>
  <c r="U634" i="2"/>
  <c r="W634" i="2" s="1"/>
  <c r="T634" i="2"/>
  <c r="S634" i="2"/>
  <c r="R634" i="2"/>
  <c r="Q634" i="2"/>
  <c r="P634" i="2"/>
  <c r="Z633" i="2"/>
  <c r="Y633" i="2"/>
  <c r="V633" i="2"/>
  <c r="U633" i="2"/>
  <c r="T633" i="2"/>
  <c r="S633" i="2"/>
  <c r="R633" i="2"/>
  <c r="Q633" i="2"/>
  <c r="P633" i="2"/>
  <c r="Z632" i="2"/>
  <c r="Y632" i="2"/>
  <c r="V632" i="2"/>
  <c r="U632" i="2"/>
  <c r="W632" i="2" s="1"/>
  <c r="T632" i="2"/>
  <c r="S632" i="2"/>
  <c r="R632" i="2"/>
  <c r="Q632" i="2"/>
  <c r="P632" i="2"/>
  <c r="Z631" i="2"/>
  <c r="Y631" i="2"/>
  <c r="V631" i="2"/>
  <c r="U631" i="2"/>
  <c r="X631" i="2" s="1"/>
  <c r="T631" i="2"/>
  <c r="S631" i="2"/>
  <c r="R631" i="2"/>
  <c r="Q631" i="2"/>
  <c r="P631" i="2"/>
  <c r="Z630" i="2"/>
  <c r="Y630" i="2"/>
  <c r="V630" i="2"/>
  <c r="U630" i="2"/>
  <c r="T630" i="2"/>
  <c r="S630" i="2"/>
  <c r="R630" i="2"/>
  <c r="Q630" i="2"/>
  <c r="P630" i="2"/>
  <c r="Z629" i="2"/>
  <c r="Y629" i="2"/>
  <c r="V629" i="2"/>
  <c r="U629" i="2"/>
  <c r="T629" i="2"/>
  <c r="S629" i="2"/>
  <c r="R629" i="2"/>
  <c r="Q629" i="2"/>
  <c r="P629" i="2"/>
  <c r="Z628" i="2"/>
  <c r="Y628" i="2"/>
  <c r="V628" i="2"/>
  <c r="U628" i="2"/>
  <c r="W628" i="2" s="1"/>
  <c r="T628" i="2"/>
  <c r="S628" i="2"/>
  <c r="R628" i="2"/>
  <c r="Q628" i="2"/>
  <c r="P628" i="2"/>
  <c r="Z627" i="2"/>
  <c r="Y627" i="2"/>
  <c r="V627" i="2"/>
  <c r="U627" i="2"/>
  <c r="T627" i="2"/>
  <c r="S627" i="2"/>
  <c r="R627" i="2"/>
  <c r="Q627" i="2"/>
  <c r="P627" i="2"/>
  <c r="Z626" i="2"/>
  <c r="Y626" i="2"/>
  <c r="X626" i="2"/>
  <c r="W626" i="2"/>
  <c r="V626" i="2"/>
  <c r="U626" i="2"/>
  <c r="T626" i="2"/>
  <c r="S626" i="2"/>
  <c r="R626" i="2"/>
  <c r="Q626" i="2"/>
  <c r="P626" i="2"/>
  <c r="Z625" i="2"/>
  <c r="Y625" i="2"/>
  <c r="V625" i="2"/>
  <c r="U625" i="2"/>
  <c r="T625" i="2"/>
  <c r="S625" i="2"/>
  <c r="R625" i="2"/>
  <c r="Q625" i="2"/>
  <c r="P625" i="2"/>
  <c r="Z624" i="2"/>
  <c r="Y624" i="2"/>
  <c r="W624" i="2"/>
  <c r="V624" i="2"/>
  <c r="U624" i="2"/>
  <c r="X624" i="2" s="1"/>
  <c r="T624" i="2"/>
  <c r="S624" i="2"/>
  <c r="R624" i="2"/>
  <c r="Q624" i="2"/>
  <c r="P624" i="2"/>
  <c r="Z623" i="2"/>
  <c r="Y623" i="2"/>
  <c r="V623" i="2"/>
  <c r="U623" i="2"/>
  <c r="T623" i="2"/>
  <c r="S623" i="2"/>
  <c r="R623" i="2"/>
  <c r="Q623" i="2"/>
  <c r="P623" i="2"/>
  <c r="Z622" i="2"/>
  <c r="Y622" i="2"/>
  <c r="V622" i="2"/>
  <c r="U622" i="2"/>
  <c r="W622" i="2" s="1"/>
  <c r="T622" i="2"/>
  <c r="S622" i="2"/>
  <c r="R622" i="2"/>
  <c r="Q622" i="2"/>
  <c r="P622" i="2"/>
  <c r="Z621" i="2"/>
  <c r="Y621" i="2"/>
  <c r="V621" i="2"/>
  <c r="U621" i="2"/>
  <c r="T621" i="2"/>
  <c r="S621" i="2"/>
  <c r="R621" i="2"/>
  <c r="Q621" i="2"/>
  <c r="P621" i="2"/>
  <c r="Z620" i="2"/>
  <c r="Y620" i="2"/>
  <c r="X620" i="2"/>
  <c r="W620" i="2"/>
  <c r="V620" i="2"/>
  <c r="U620" i="2"/>
  <c r="T620" i="2"/>
  <c r="S620" i="2"/>
  <c r="R620" i="2"/>
  <c r="Q620" i="2"/>
  <c r="P620" i="2"/>
  <c r="Z619" i="2"/>
  <c r="Y619" i="2"/>
  <c r="X619" i="2"/>
  <c r="W619" i="2"/>
  <c r="V619" i="2"/>
  <c r="U619" i="2"/>
  <c r="T619" i="2"/>
  <c r="S619" i="2"/>
  <c r="R619" i="2"/>
  <c r="Q619" i="2"/>
  <c r="P619" i="2"/>
  <c r="Z618" i="2"/>
  <c r="Y618" i="2"/>
  <c r="W618" i="2"/>
  <c r="V618" i="2"/>
  <c r="U618" i="2"/>
  <c r="X618" i="2" s="1"/>
  <c r="T618" i="2"/>
  <c r="S618" i="2"/>
  <c r="R618" i="2"/>
  <c r="Q618" i="2"/>
  <c r="P618" i="2"/>
  <c r="Z617" i="2"/>
  <c r="Y617" i="2"/>
  <c r="V617" i="2"/>
  <c r="U617" i="2"/>
  <c r="T617" i="2"/>
  <c r="S617" i="2"/>
  <c r="R617" i="2"/>
  <c r="Q617" i="2"/>
  <c r="P617" i="2"/>
  <c r="Z616" i="2"/>
  <c r="Y616" i="2"/>
  <c r="X616" i="2"/>
  <c r="V616" i="2"/>
  <c r="U616" i="2"/>
  <c r="W616" i="2" s="1"/>
  <c r="T616" i="2"/>
  <c r="S616" i="2"/>
  <c r="R616" i="2"/>
  <c r="Q616" i="2"/>
  <c r="P616" i="2"/>
  <c r="Z615" i="2"/>
  <c r="Y615" i="2"/>
  <c r="V615" i="2"/>
  <c r="U615" i="2"/>
  <c r="X615" i="2" s="1"/>
  <c r="T615" i="2"/>
  <c r="S615" i="2"/>
  <c r="R615" i="2"/>
  <c r="Q615" i="2"/>
  <c r="P615" i="2"/>
  <c r="Z614" i="2"/>
  <c r="Y614" i="2"/>
  <c r="V614" i="2"/>
  <c r="U614" i="2"/>
  <c r="T614" i="2"/>
  <c r="S614" i="2"/>
  <c r="R614" i="2"/>
  <c r="Q614" i="2"/>
  <c r="P614" i="2"/>
  <c r="Z613" i="2"/>
  <c r="Y613" i="2"/>
  <c r="V613" i="2"/>
  <c r="U613" i="2"/>
  <c r="X613" i="2" s="1"/>
  <c r="T613" i="2"/>
  <c r="S613" i="2"/>
  <c r="R613" i="2"/>
  <c r="Q613" i="2"/>
  <c r="P613" i="2"/>
  <c r="Z612" i="2"/>
  <c r="Y612" i="2"/>
  <c r="W612" i="2"/>
  <c r="V612" i="2"/>
  <c r="U612" i="2"/>
  <c r="X612" i="2" s="1"/>
  <c r="T612" i="2"/>
  <c r="S612" i="2"/>
  <c r="R612" i="2"/>
  <c r="Q612" i="2"/>
  <c r="P612" i="2"/>
  <c r="Z611" i="2"/>
  <c r="Y611" i="2"/>
  <c r="V611" i="2"/>
  <c r="U611" i="2"/>
  <c r="T611" i="2"/>
  <c r="S611" i="2"/>
  <c r="R611" i="2"/>
  <c r="Q611" i="2"/>
  <c r="P611" i="2"/>
  <c r="Z610" i="2"/>
  <c r="Y610" i="2"/>
  <c r="X610" i="2"/>
  <c r="V610" i="2"/>
  <c r="U610" i="2"/>
  <c r="W610" i="2" s="1"/>
  <c r="T610" i="2"/>
  <c r="S610" i="2"/>
  <c r="R610" i="2"/>
  <c r="Q610" i="2"/>
  <c r="P610" i="2"/>
  <c r="Z609" i="2"/>
  <c r="Y609" i="2"/>
  <c r="V609" i="2"/>
  <c r="U609" i="2"/>
  <c r="X609" i="2" s="1"/>
  <c r="T609" i="2"/>
  <c r="S609" i="2"/>
  <c r="R609" i="2"/>
  <c r="Q609" i="2"/>
  <c r="P609" i="2"/>
  <c r="Z608" i="2"/>
  <c r="Y608" i="2"/>
  <c r="V608" i="2"/>
  <c r="U608" i="2"/>
  <c r="W608" i="2" s="1"/>
  <c r="T608" i="2"/>
  <c r="S608" i="2"/>
  <c r="R608" i="2"/>
  <c r="Q608" i="2"/>
  <c r="P608" i="2"/>
  <c r="Z607" i="2"/>
  <c r="Y607" i="2"/>
  <c r="X607" i="2"/>
  <c r="W607" i="2"/>
  <c r="V607" i="2"/>
  <c r="U607" i="2"/>
  <c r="T607" i="2"/>
  <c r="S607" i="2"/>
  <c r="R607" i="2"/>
  <c r="Q607" i="2"/>
  <c r="P607" i="2"/>
  <c r="Z606" i="2"/>
  <c r="Y606" i="2"/>
  <c r="X606" i="2"/>
  <c r="W606" i="2"/>
  <c r="V606" i="2"/>
  <c r="U606" i="2"/>
  <c r="T606" i="2"/>
  <c r="S606" i="2"/>
  <c r="R606" i="2"/>
  <c r="Q606" i="2"/>
  <c r="P606" i="2"/>
  <c r="Z605" i="2"/>
  <c r="Y605" i="2"/>
  <c r="V605" i="2"/>
  <c r="U605" i="2"/>
  <c r="X605" i="2" s="1"/>
  <c r="T605" i="2"/>
  <c r="S605" i="2"/>
  <c r="R605" i="2"/>
  <c r="Q605" i="2"/>
  <c r="P605" i="2"/>
  <c r="Z604" i="2"/>
  <c r="Y604" i="2"/>
  <c r="X604" i="2"/>
  <c r="V604" i="2"/>
  <c r="U604" i="2"/>
  <c r="W604" i="2" s="1"/>
  <c r="T604" i="2"/>
  <c r="S604" i="2"/>
  <c r="R604" i="2"/>
  <c r="Q604" i="2"/>
  <c r="P604" i="2"/>
  <c r="Z603" i="2"/>
  <c r="Y603" i="2"/>
  <c r="X603" i="2"/>
  <c r="W603" i="2"/>
  <c r="V603" i="2"/>
  <c r="U603" i="2"/>
  <c r="T603" i="2"/>
  <c r="S603" i="2"/>
  <c r="R603" i="2"/>
  <c r="Q603" i="2"/>
  <c r="P603" i="2"/>
  <c r="Z602" i="2"/>
  <c r="Y602" i="2"/>
  <c r="V602" i="2"/>
  <c r="U602" i="2"/>
  <c r="T602" i="2"/>
  <c r="S602" i="2"/>
  <c r="R602" i="2"/>
  <c r="Q602" i="2"/>
  <c r="P602" i="2"/>
  <c r="Z601" i="2"/>
  <c r="Y601" i="2"/>
  <c r="W601" i="2"/>
  <c r="V601" i="2"/>
  <c r="U601" i="2"/>
  <c r="X601" i="2" s="1"/>
  <c r="T601" i="2"/>
  <c r="S601" i="2"/>
  <c r="R601" i="2"/>
  <c r="Q601" i="2"/>
  <c r="P601" i="2"/>
  <c r="Z600" i="2"/>
  <c r="Y600" i="2"/>
  <c r="V600" i="2"/>
  <c r="U600" i="2"/>
  <c r="X600" i="2" s="1"/>
  <c r="T600" i="2"/>
  <c r="S600" i="2"/>
  <c r="R600" i="2"/>
  <c r="Q600" i="2"/>
  <c r="P600" i="2"/>
  <c r="Z599" i="2"/>
  <c r="Y599" i="2"/>
  <c r="V599" i="2"/>
  <c r="U599" i="2"/>
  <c r="X599" i="2" s="1"/>
  <c r="T599" i="2"/>
  <c r="S599" i="2"/>
  <c r="R599" i="2"/>
  <c r="Q599" i="2"/>
  <c r="P599" i="2"/>
  <c r="Z598" i="2"/>
  <c r="Y598" i="2"/>
  <c r="V598" i="2"/>
  <c r="U598" i="2"/>
  <c r="T598" i="2"/>
  <c r="S598" i="2"/>
  <c r="R598" i="2"/>
  <c r="Q598" i="2"/>
  <c r="P598" i="2"/>
  <c r="Z597" i="2"/>
  <c r="Y597" i="2"/>
  <c r="X597" i="2"/>
  <c r="W597" i="2"/>
  <c r="V597" i="2"/>
  <c r="U597" i="2"/>
  <c r="T597" i="2"/>
  <c r="S597" i="2"/>
  <c r="R597" i="2"/>
  <c r="Q597" i="2"/>
  <c r="P597" i="2"/>
  <c r="Z596" i="2"/>
  <c r="Y596" i="2"/>
  <c r="X596" i="2"/>
  <c r="V596" i="2"/>
  <c r="U596" i="2"/>
  <c r="W596" i="2" s="1"/>
  <c r="T596" i="2"/>
  <c r="S596" i="2"/>
  <c r="R596" i="2"/>
  <c r="Q596" i="2"/>
  <c r="P596" i="2"/>
  <c r="Z595" i="2"/>
  <c r="Y595" i="2"/>
  <c r="W595" i="2"/>
  <c r="V595" i="2"/>
  <c r="U595" i="2"/>
  <c r="X595" i="2" s="1"/>
  <c r="T595" i="2"/>
  <c r="S595" i="2"/>
  <c r="R595" i="2"/>
  <c r="Q595" i="2"/>
  <c r="P595" i="2"/>
  <c r="Z594" i="2"/>
  <c r="Y594" i="2"/>
  <c r="V594" i="2"/>
  <c r="U594" i="2"/>
  <c r="X594" i="2" s="1"/>
  <c r="T594" i="2"/>
  <c r="S594" i="2"/>
  <c r="R594" i="2"/>
  <c r="Q594" i="2"/>
  <c r="P594" i="2"/>
  <c r="Z593" i="2"/>
  <c r="Y593" i="2"/>
  <c r="V593" i="2"/>
  <c r="U593" i="2"/>
  <c r="X593" i="2" s="1"/>
  <c r="T593" i="2"/>
  <c r="S593" i="2"/>
  <c r="R593" i="2"/>
  <c r="Q593" i="2"/>
  <c r="P593" i="2"/>
  <c r="Z592" i="2"/>
  <c r="Y592" i="2"/>
  <c r="V592" i="2"/>
  <c r="U592" i="2"/>
  <c r="T592" i="2"/>
  <c r="S592" i="2"/>
  <c r="R592" i="2"/>
  <c r="Q592" i="2"/>
  <c r="P592" i="2"/>
  <c r="Z591" i="2"/>
  <c r="Y591" i="2"/>
  <c r="X591" i="2"/>
  <c r="W591" i="2"/>
  <c r="V591" i="2"/>
  <c r="U591" i="2"/>
  <c r="T591" i="2"/>
  <c r="S591" i="2"/>
  <c r="R591" i="2"/>
  <c r="Q591" i="2"/>
  <c r="P591" i="2"/>
  <c r="Z590" i="2"/>
  <c r="Y590" i="2"/>
  <c r="X590" i="2"/>
  <c r="V590" i="2"/>
  <c r="U590" i="2"/>
  <c r="W590" i="2" s="1"/>
  <c r="T590" i="2"/>
  <c r="S590" i="2"/>
  <c r="R590" i="2"/>
  <c r="Q590" i="2"/>
  <c r="P590" i="2"/>
  <c r="Z589" i="2"/>
  <c r="Y589" i="2"/>
  <c r="V589" i="2"/>
  <c r="U589" i="2"/>
  <c r="T589" i="2"/>
  <c r="S589" i="2"/>
  <c r="R589" i="2"/>
  <c r="Q589" i="2"/>
  <c r="P589" i="2"/>
  <c r="Z588" i="2"/>
  <c r="Y588" i="2"/>
  <c r="V588" i="2"/>
  <c r="U588" i="2"/>
  <c r="X588" i="2" s="1"/>
  <c r="T588" i="2"/>
  <c r="S588" i="2"/>
  <c r="R588" i="2"/>
  <c r="Q588" i="2"/>
  <c r="P588" i="2"/>
  <c r="Z587" i="2"/>
  <c r="Y587" i="2"/>
  <c r="V587" i="2"/>
  <c r="U587" i="2"/>
  <c r="X587" i="2" s="1"/>
  <c r="T587" i="2"/>
  <c r="S587" i="2"/>
  <c r="R587" i="2"/>
  <c r="Q587" i="2"/>
  <c r="P587" i="2"/>
  <c r="Z586" i="2"/>
  <c r="Y586" i="2"/>
  <c r="V586" i="2"/>
  <c r="U586" i="2"/>
  <c r="T586" i="2"/>
  <c r="S586" i="2"/>
  <c r="R586" i="2"/>
  <c r="Q586" i="2"/>
  <c r="P586" i="2"/>
  <c r="Z585" i="2"/>
  <c r="Y585" i="2"/>
  <c r="X585" i="2"/>
  <c r="W585" i="2"/>
  <c r="V585" i="2"/>
  <c r="U585" i="2"/>
  <c r="T585" i="2"/>
  <c r="S585" i="2"/>
  <c r="R585" i="2"/>
  <c r="Q585" i="2"/>
  <c r="P585" i="2"/>
  <c r="Z584" i="2"/>
  <c r="Y584" i="2"/>
  <c r="V584" i="2"/>
  <c r="U584" i="2"/>
  <c r="T584" i="2"/>
  <c r="S584" i="2"/>
  <c r="R584" i="2"/>
  <c r="Q584" i="2"/>
  <c r="P584" i="2"/>
  <c r="Z583" i="2"/>
  <c r="Y583" i="2"/>
  <c r="W583" i="2"/>
  <c r="V583" i="2"/>
  <c r="U583" i="2"/>
  <c r="X583" i="2" s="1"/>
  <c r="T583" i="2"/>
  <c r="S583" i="2"/>
  <c r="R583" i="2"/>
  <c r="Q583" i="2"/>
  <c r="P583" i="2"/>
  <c r="Z582" i="2"/>
  <c r="Y582" i="2"/>
  <c r="V582" i="2"/>
  <c r="U582" i="2"/>
  <c r="X582" i="2" s="1"/>
  <c r="T582" i="2"/>
  <c r="S582" i="2"/>
  <c r="R582" i="2"/>
  <c r="Q582" i="2"/>
  <c r="P582" i="2"/>
  <c r="Z581" i="2"/>
  <c r="Y581" i="2"/>
  <c r="V581" i="2"/>
  <c r="U581" i="2"/>
  <c r="X581" i="2" s="1"/>
  <c r="T581" i="2"/>
  <c r="S581" i="2"/>
  <c r="R581" i="2"/>
  <c r="Q581" i="2"/>
  <c r="P581" i="2"/>
  <c r="Z580" i="2"/>
  <c r="Y580" i="2"/>
  <c r="V580" i="2"/>
  <c r="U580" i="2"/>
  <c r="T580" i="2"/>
  <c r="S580" i="2"/>
  <c r="R580" i="2"/>
  <c r="Q580" i="2"/>
  <c r="P580" i="2"/>
  <c r="Z579" i="2"/>
  <c r="Y579" i="2"/>
  <c r="X579" i="2"/>
  <c r="W579" i="2"/>
  <c r="V579" i="2"/>
  <c r="U579" i="2"/>
  <c r="T579" i="2"/>
  <c r="S579" i="2"/>
  <c r="R579" i="2"/>
  <c r="Q579" i="2"/>
  <c r="P579" i="2"/>
  <c r="Z578" i="2"/>
  <c r="Y578" i="2"/>
  <c r="X578" i="2"/>
  <c r="V578" i="2"/>
  <c r="U578" i="2"/>
  <c r="W578" i="2" s="1"/>
  <c r="T578" i="2"/>
  <c r="S578" i="2"/>
  <c r="R578" i="2"/>
  <c r="Q578" i="2"/>
  <c r="P578" i="2"/>
  <c r="Z577" i="2"/>
  <c r="Y577" i="2"/>
  <c r="W577" i="2"/>
  <c r="V577" i="2"/>
  <c r="U577" i="2"/>
  <c r="X577" i="2" s="1"/>
  <c r="T577" i="2"/>
  <c r="S577" i="2"/>
  <c r="R577" i="2"/>
  <c r="Q577" i="2"/>
  <c r="P577" i="2"/>
  <c r="Z576" i="2"/>
  <c r="Y576" i="2"/>
  <c r="V576" i="2"/>
  <c r="U576" i="2"/>
  <c r="X576" i="2" s="1"/>
  <c r="T576" i="2"/>
  <c r="S576" i="2"/>
  <c r="R576" i="2"/>
  <c r="Q576" i="2"/>
  <c r="P576" i="2"/>
  <c r="Z575" i="2"/>
  <c r="Y575" i="2"/>
  <c r="V575" i="2"/>
  <c r="U575" i="2"/>
  <c r="X575" i="2" s="1"/>
  <c r="T575" i="2"/>
  <c r="S575" i="2"/>
  <c r="R575" i="2"/>
  <c r="Q575" i="2"/>
  <c r="P575" i="2"/>
  <c r="Z574" i="2"/>
  <c r="Y574" i="2"/>
  <c r="V574" i="2"/>
  <c r="U574" i="2"/>
  <c r="T574" i="2"/>
  <c r="S574" i="2"/>
  <c r="R574" i="2"/>
  <c r="Q574" i="2"/>
  <c r="P574" i="2"/>
  <c r="Z573" i="2"/>
  <c r="Y573" i="2"/>
  <c r="X573" i="2"/>
  <c r="W573" i="2"/>
  <c r="V573" i="2"/>
  <c r="U573" i="2"/>
  <c r="T573" i="2"/>
  <c r="S573" i="2"/>
  <c r="R573" i="2"/>
  <c r="Q573" i="2"/>
  <c r="P573" i="2"/>
  <c r="Z572" i="2"/>
  <c r="Y572" i="2"/>
  <c r="X572" i="2"/>
  <c r="V572" i="2"/>
  <c r="U572" i="2"/>
  <c r="W572" i="2" s="1"/>
  <c r="T572" i="2"/>
  <c r="S572" i="2"/>
  <c r="R572" i="2"/>
  <c r="Q572" i="2"/>
  <c r="P572" i="2"/>
  <c r="Z571" i="2"/>
  <c r="Y571" i="2"/>
  <c r="X571" i="2"/>
  <c r="W571" i="2"/>
  <c r="V571" i="2"/>
  <c r="U571" i="2"/>
  <c r="T571" i="2"/>
  <c r="S571" i="2"/>
  <c r="R571" i="2"/>
  <c r="Q571" i="2"/>
  <c r="P571" i="2"/>
  <c r="Z570" i="2"/>
  <c r="Y570" i="2"/>
  <c r="V570" i="2"/>
  <c r="U570" i="2"/>
  <c r="X570" i="2" s="1"/>
  <c r="T570" i="2"/>
  <c r="S570" i="2"/>
  <c r="R570" i="2"/>
  <c r="Q570" i="2"/>
  <c r="P570" i="2"/>
  <c r="Z569" i="2"/>
  <c r="Y569" i="2"/>
  <c r="V569" i="2"/>
  <c r="U569" i="2"/>
  <c r="X569" i="2" s="1"/>
  <c r="T569" i="2"/>
  <c r="S569" i="2"/>
  <c r="R569" i="2"/>
  <c r="Q569" i="2"/>
  <c r="P569" i="2"/>
  <c r="Z568" i="2"/>
  <c r="Y568" i="2"/>
  <c r="V568" i="2"/>
  <c r="U568" i="2"/>
  <c r="T568" i="2"/>
  <c r="S568" i="2"/>
  <c r="R568" i="2"/>
  <c r="Q568" i="2"/>
  <c r="P568" i="2"/>
  <c r="Z567" i="2"/>
  <c r="Y567" i="2"/>
  <c r="X567" i="2"/>
  <c r="V567" i="2"/>
  <c r="U567" i="2"/>
  <c r="W567" i="2" s="1"/>
  <c r="T567" i="2"/>
  <c r="S567" i="2"/>
  <c r="R567" i="2"/>
  <c r="Q567" i="2"/>
  <c r="P567" i="2"/>
  <c r="Z566" i="2"/>
  <c r="Y566" i="2"/>
  <c r="X566" i="2"/>
  <c r="V566" i="2"/>
  <c r="U566" i="2"/>
  <c r="W566" i="2" s="1"/>
  <c r="T566" i="2"/>
  <c r="S566" i="2"/>
  <c r="R566" i="2"/>
  <c r="Q566" i="2"/>
  <c r="P566" i="2"/>
  <c r="Z565" i="2"/>
  <c r="Y565" i="2"/>
  <c r="V565" i="2"/>
  <c r="U565" i="2"/>
  <c r="T565" i="2"/>
  <c r="S565" i="2"/>
  <c r="R565" i="2"/>
  <c r="Q565" i="2"/>
  <c r="P565" i="2"/>
  <c r="Z564" i="2"/>
  <c r="Y564" i="2"/>
  <c r="V564" i="2"/>
  <c r="U564" i="2"/>
  <c r="X564" i="2" s="1"/>
  <c r="T564" i="2"/>
  <c r="S564" i="2"/>
  <c r="R564" i="2"/>
  <c r="Q564" i="2"/>
  <c r="P564" i="2"/>
  <c r="Z563" i="2"/>
  <c r="Y563" i="2"/>
  <c r="V563" i="2"/>
  <c r="U563" i="2"/>
  <c r="X563" i="2" s="1"/>
  <c r="T563" i="2"/>
  <c r="S563" i="2"/>
  <c r="R563" i="2"/>
  <c r="Q563" i="2"/>
  <c r="P563" i="2"/>
  <c r="Z562" i="2"/>
  <c r="Y562" i="2"/>
  <c r="V562" i="2"/>
  <c r="U562" i="2"/>
  <c r="T562" i="2"/>
  <c r="S562" i="2"/>
  <c r="R562" i="2"/>
  <c r="Q562" i="2"/>
  <c r="P562" i="2"/>
  <c r="Z561" i="2"/>
  <c r="Y561" i="2"/>
  <c r="X561" i="2"/>
  <c r="W561" i="2"/>
  <c r="V561" i="2"/>
  <c r="U561" i="2"/>
  <c r="T561" i="2"/>
  <c r="S561" i="2"/>
  <c r="R561" i="2"/>
  <c r="Q561" i="2"/>
  <c r="P561" i="2"/>
  <c r="Z560" i="2"/>
  <c r="Y560" i="2"/>
  <c r="V560" i="2"/>
  <c r="U560" i="2"/>
  <c r="T560" i="2"/>
  <c r="S560" i="2"/>
  <c r="R560" i="2"/>
  <c r="Q560" i="2"/>
  <c r="P560" i="2"/>
  <c r="Z559" i="2"/>
  <c r="Y559" i="2"/>
  <c r="V559" i="2"/>
  <c r="U559" i="2"/>
  <c r="X559" i="2" s="1"/>
  <c r="T559" i="2"/>
  <c r="S559" i="2"/>
  <c r="R559" i="2"/>
  <c r="Q559" i="2"/>
  <c r="P559" i="2"/>
  <c r="Z558" i="2"/>
  <c r="Y558" i="2"/>
  <c r="V558" i="2"/>
  <c r="U558" i="2"/>
  <c r="X558" i="2" s="1"/>
  <c r="T558" i="2"/>
  <c r="S558" i="2"/>
  <c r="R558" i="2"/>
  <c r="Q558" i="2"/>
  <c r="P558" i="2"/>
  <c r="Z557" i="2"/>
  <c r="Y557" i="2"/>
  <c r="V557" i="2"/>
  <c r="U557" i="2"/>
  <c r="X557" i="2" s="1"/>
  <c r="T557" i="2"/>
  <c r="S557" i="2"/>
  <c r="R557" i="2"/>
  <c r="Q557" i="2"/>
  <c r="P557" i="2"/>
  <c r="Z556" i="2"/>
  <c r="Y556" i="2"/>
  <c r="V556" i="2"/>
  <c r="U556" i="2"/>
  <c r="T556" i="2"/>
  <c r="S556" i="2"/>
  <c r="R556" i="2"/>
  <c r="Q556" i="2"/>
  <c r="P556" i="2"/>
  <c r="Z555" i="2"/>
  <c r="Y555" i="2"/>
  <c r="X555" i="2"/>
  <c r="W555" i="2"/>
  <c r="V555" i="2"/>
  <c r="U555" i="2"/>
  <c r="T555" i="2"/>
  <c r="S555" i="2"/>
  <c r="R555" i="2"/>
  <c r="Q555" i="2"/>
  <c r="P555" i="2"/>
  <c r="Z554" i="2"/>
  <c r="Y554" i="2"/>
  <c r="X554" i="2"/>
  <c r="V554" i="2"/>
  <c r="U554" i="2"/>
  <c r="W554" i="2" s="1"/>
  <c r="T554" i="2"/>
  <c r="S554" i="2"/>
  <c r="R554" i="2"/>
  <c r="Q554" i="2"/>
  <c r="P554" i="2"/>
  <c r="Z553" i="2"/>
  <c r="Y553" i="2"/>
  <c r="W553" i="2"/>
  <c r="V553" i="2"/>
  <c r="U553" i="2"/>
  <c r="X553" i="2" s="1"/>
  <c r="T553" i="2"/>
  <c r="S553" i="2"/>
  <c r="R553" i="2"/>
  <c r="Q553" i="2"/>
  <c r="P553" i="2"/>
  <c r="Z552" i="2"/>
  <c r="Y552" i="2"/>
  <c r="V552" i="2"/>
  <c r="U552" i="2"/>
  <c r="X552" i="2" s="1"/>
  <c r="T552" i="2"/>
  <c r="S552" i="2"/>
  <c r="R552" i="2"/>
  <c r="Q552" i="2"/>
  <c r="P552" i="2"/>
  <c r="Z551" i="2"/>
  <c r="Y551" i="2"/>
  <c r="V551" i="2"/>
  <c r="U551" i="2"/>
  <c r="X551" i="2" s="1"/>
  <c r="T551" i="2"/>
  <c r="S551" i="2"/>
  <c r="R551" i="2"/>
  <c r="Q551" i="2"/>
  <c r="P551" i="2"/>
  <c r="Z550" i="2"/>
  <c r="Y550" i="2"/>
  <c r="V550" i="2"/>
  <c r="U550" i="2"/>
  <c r="T550" i="2"/>
  <c r="S550" i="2"/>
  <c r="R550" i="2"/>
  <c r="Q550" i="2"/>
  <c r="P550" i="2"/>
  <c r="Z549" i="2"/>
  <c r="Y549" i="2"/>
  <c r="V549" i="2"/>
  <c r="U549" i="2"/>
  <c r="T549" i="2"/>
  <c r="S549" i="2"/>
  <c r="R549" i="2"/>
  <c r="Q549" i="2"/>
  <c r="P549" i="2"/>
  <c r="Z548" i="2"/>
  <c r="Y548" i="2"/>
  <c r="X548" i="2"/>
  <c r="V548" i="2"/>
  <c r="U548" i="2"/>
  <c r="W548" i="2" s="1"/>
  <c r="T548" i="2"/>
  <c r="S548" i="2"/>
  <c r="R548" i="2"/>
  <c r="Q548" i="2"/>
  <c r="P548" i="2"/>
  <c r="Z547" i="2"/>
  <c r="Y547" i="2"/>
  <c r="X547" i="2"/>
  <c r="V547" i="2"/>
  <c r="U547" i="2"/>
  <c r="W547" i="2" s="1"/>
  <c r="T547" i="2"/>
  <c r="S547" i="2"/>
  <c r="R547" i="2"/>
  <c r="Q547" i="2"/>
  <c r="P547" i="2"/>
  <c r="Z546" i="2"/>
  <c r="Y546" i="2"/>
  <c r="V546" i="2"/>
  <c r="U546" i="2"/>
  <c r="X546" i="2" s="1"/>
  <c r="T546" i="2"/>
  <c r="S546" i="2"/>
  <c r="R546" i="2"/>
  <c r="Q546" i="2"/>
  <c r="P546" i="2"/>
  <c r="Z545" i="2"/>
  <c r="Y545" i="2"/>
  <c r="V545" i="2"/>
  <c r="U545" i="2"/>
  <c r="X545" i="2" s="1"/>
  <c r="T545" i="2"/>
  <c r="S545" i="2"/>
  <c r="R545" i="2"/>
  <c r="Q545" i="2"/>
  <c r="P545" i="2"/>
  <c r="Z544" i="2"/>
  <c r="Y544" i="2"/>
  <c r="V544" i="2"/>
  <c r="U544" i="2"/>
  <c r="T544" i="2"/>
  <c r="S544" i="2"/>
  <c r="R544" i="2"/>
  <c r="Q544" i="2"/>
  <c r="P544" i="2"/>
  <c r="Z543" i="2"/>
  <c r="Y543" i="2"/>
  <c r="W543" i="2"/>
  <c r="V543" i="2"/>
  <c r="U543" i="2"/>
  <c r="X543" i="2" s="1"/>
  <c r="T543" i="2"/>
  <c r="S543" i="2"/>
  <c r="R543" i="2"/>
  <c r="Q543" i="2"/>
  <c r="P543" i="2"/>
  <c r="Z542" i="2"/>
  <c r="Y542" i="2"/>
  <c r="V542" i="2"/>
  <c r="U542" i="2"/>
  <c r="W542" i="2" s="1"/>
  <c r="T542" i="2"/>
  <c r="S542" i="2"/>
  <c r="R542" i="2"/>
  <c r="Q542" i="2"/>
  <c r="P542" i="2"/>
  <c r="Z541" i="2"/>
  <c r="Y541" i="2"/>
  <c r="X541" i="2"/>
  <c r="W541" i="2"/>
  <c r="V541" i="2"/>
  <c r="U541" i="2"/>
  <c r="T541" i="2"/>
  <c r="S541" i="2"/>
  <c r="R541" i="2"/>
  <c r="Q541" i="2"/>
  <c r="P541" i="2"/>
  <c r="Z540" i="2"/>
  <c r="Y540" i="2"/>
  <c r="V540" i="2"/>
  <c r="U540" i="2"/>
  <c r="X540" i="2" s="1"/>
  <c r="T540" i="2"/>
  <c r="S540" i="2"/>
  <c r="R540" i="2"/>
  <c r="Q540" i="2"/>
  <c r="P540" i="2"/>
  <c r="Z539" i="2"/>
  <c r="Y539" i="2"/>
  <c r="V539" i="2"/>
  <c r="U539" i="2"/>
  <c r="X539" i="2" s="1"/>
  <c r="T539" i="2"/>
  <c r="S539" i="2"/>
  <c r="R539" i="2"/>
  <c r="Q539" i="2"/>
  <c r="P539" i="2"/>
  <c r="Z538" i="2"/>
  <c r="Y538" i="2"/>
  <c r="V538" i="2"/>
  <c r="U538" i="2"/>
  <c r="T538" i="2"/>
  <c r="S538" i="2"/>
  <c r="R538" i="2"/>
  <c r="Q538" i="2"/>
  <c r="P538" i="2"/>
  <c r="Z537" i="2"/>
  <c r="Y537" i="2"/>
  <c r="W537" i="2"/>
  <c r="V537" i="2"/>
  <c r="U537" i="2"/>
  <c r="X537" i="2" s="1"/>
  <c r="T537" i="2"/>
  <c r="S537" i="2"/>
  <c r="R537" i="2"/>
  <c r="Q537" i="2"/>
  <c r="P537" i="2"/>
  <c r="Z536" i="2"/>
  <c r="Y536" i="2"/>
  <c r="X536" i="2"/>
  <c r="V536" i="2"/>
  <c r="U536" i="2"/>
  <c r="W536" i="2" s="1"/>
  <c r="T536" i="2"/>
  <c r="S536" i="2"/>
  <c r="R536" i="2"/>
  <c r="Q536" i="2"/>
  <c r="P536" i="2"/>
  <c r="Z535" i="2"/>
  <c r="Y535" i="2"/>
  <c r="X535" i="2"/>
  <c r="W535" i="2"/>
  <c r="V535" i="2"/>
  <c r="U535" i="2"/>
  <c r="T535" i="2"/>
  <c r="S535" i="2"/>
  <c r="R535" i="2"/>
  <c r="Q535" i="2"/>
  <c r="P535" i="2"/>
  <c r="Z534" i="2"/>
  <c r="Y534" i="2"/>
  <c r="V534" i="2"/>
  <c r="U534" i="2"/>
  <c r="X534" i="2" s="1"/>
  <c r="T534" i="2"/>
  <c r="S534" i="2"/>
  <c r="R534" i="2"/>
  <c r="Q534" i="2"/>
  <c r="P534" i="2"/>
  <c r="Z533" i="2"/>
  <c r="Y533" i="2"/>
  <c r="V533" i="2"/>
  <c r="U533" i="2"/>
  <c r="X533" i="2" s="1"/>
  <c r="T533" i="2"/>
  <c r="S533" i="2"/>
  <c r="R533" i="2"/>
  <c r="Q533" i="2"/>
  <c r="P533" i="2"/>
  <c r="Z532" i="2"/>
  <c r="Y532" i="2"/>
  <c r="V532" i="2"/>
  <c r="U532" i="2"/>
  <c r="T532" i="2"/>
  <c r="S532" i="2"/>
  <c r="R532" i="2"/>
  <c r="Q532" i="2"/>
  <c r="P532" i="2"/>
  <c r="Z531" i="2"/>
  <c r="Y531" i="2"/>
  <c r="X531" i="2"/>
  <c r="V531" i="2"/>
  <c r="U531" i="2"/>
  <c r="W531" i="2" s="1"/>
  <c r="T531" i="2"/>
  <c r="S531" i="2"/>
  <c r="R531" i="2"/>
  <c r="Q531" i="2"/>
  <c r="P531" i="2"/>
  <c r="Z530" i="2"/>
  <c r="Y530" i="2"/>
  <c r="X530" i="2"/>
  <c r="V530" i="2"/>
  <c r="U530" i="2"/>
  <c r="W530" i="2" s="1"/>
  <c r="T530" i="2"/>
  <c r="S530" i="2"/>
  <c r="R530" i="2"/>
  <c r="Q530" i="2"/>
  <c r="P530" i="2"/>
  <c r="Z529" i="2"/>
  <c r="Y529" i="2"/>
  <c r="V529" i="2"/>
  <c r="U529" i="2"/>
  <c r="T529" i="2"/>
  <c r="S529" i="2"/>
  <c r="R529" i="2"/>
  <c r="Q529" i="2"/>
  <c r="P529" i="2"/>
  <c r="Z528" i="2"/>
  <c r="Y528" i="2"/>
  <c r="V528" i="2"/>
  <c r="U528" i="2"/>
  <c r="X528" i="2" s="1"/>
  <c r="T528" i="2"/>
  <c r="S528" i="2"/>
  <c r="R528" i="2"/>
  <c r="Q528" i="2"/>
  <c r="P528" i="2"/>
  <c r="Z527" i="2"/>
  <c r="Y527" i="2"/>
  <c r="V527" i="2"/>
  <c r="U527" i="2"/>
  <c r="X527" i="2" s="1"/>
  <c r="T527" i="2"/>
  <c r="S527" i="2"/>
  <c r="R527" i="2"/>
  <c r="Q527" i="2"/>
  <c r="P527" i="2"/>
  <c r="Z526" i="2"/>
  <c r="Y526" i="2"/>
  <c r="V526" i="2"/>
  <c r="U526" i="2"/>
  <c r="T526" i="2"/>
  <c r="S526" i="2"/>
  <c r="R526" i="2"/>
  <c r="Q526" i="2"/>
  <c r="P526" i="2"/>
  <c r="Z525" i="2"/>
  <c r="Y525" i="2"/>
  <c r="X525" i="2"/>
  <c r="W525" i="2"/>
  <c r="V525" i="2"/>
  <c r="U525" i="2"/>
  <c r="T525" i="2"/>
  <c r="S525" i="2"/>
  <c r="R525" i="2"/>
  <c r="Q525" i="2"/>
  <c r="P525" i="2"/>
  <c r="Z524" i="2"/>
  <c r="Y524" i="2"/>
  <c r="V524" i="2"/>
  <c r="U524" i="2"/>
  <c r="T524" i="2"/>
  <c r="S524" i="2"/>
  <c r="R524" i="2"/>
  <c r="Q524" i="2"/>
  <c r="P524" i="2"/>
  <c r="Z523" i="2"/>
  <c r="Y523" i="2"/>
  <c r="W523" i="2"/>
  <c r="V523" i="2"/>
  <c r="U523" i="2"/>
  <c r="X523" i="2" s="1"/>
  <c r="T523" i="2"/>
  <c r="S523" i="2"/>
  <c r="R523" i="2"/>
  <c r="Q523" i="2"/>
  <c r="P523" i="2"/>
  <c r="Z522" i="2"/>
  <c r="Y522" i="2"/>
  <c r="V522" i="2"/>
  <c r="U522" i="2"/>
  <c r="X522" i="2" s="1"/>
  <c r="T522" i="2"/>
  <c r="S522" i="2"/>
  <c r="R522" i="2"/>
  <c r="Q522" i="2"/>
  <c r="P522" i="2"/>
  <c r="Z521" i="2"/>
  <c r="Y521" i="2"/>
  <c r="V521" i="2"/>
  <c r="U521" i="2"/>
  <c r="X521" i="2" s="1"/>
  <c r="T521" i="2"/>
  <c r="S521" i="2"/>
  <c r="R521" i="2"/>
  <c r="Q521" i="2"/>
  <c r="P521" i="2"/>
  <c r="Z520" i="2"/>
  <c r="Y520" i="2"/>
  <c r="V520" i="2"/>
  <c r="U520" i="2"/>
  <c r="X520" i="2" s="1"/>
  <c r="T520" i="2"/>
  <c r="S520" i="2"/>
  <c r="R520" i="2"/>
  <c r="Q520" i="2"/>
  <c r="P520" i="2"/>
  <c r="Z519" i="2"/>
  <c r="Y519" i="2"/>
  <c r="X519" i="2"/>
  <c r="W519" i="2"/>
  <c r="V519" i="2"/>
  <c r="U519" i="2"/>
  <c r="T519" i="2"/>
  <c r="S519" i="2"/>
  <c r="R519" i="2"/>
  <c r="Q519" i="2"/>
  <c r="P519" i="2"/>
  <c r="Z518" i="2"/>
  <c r="Y518" i="2"/>
  <c r="V518" i="2"/>
  <c r="U518" i="2"/>
  <c r="T518" i="2"/>
  <c r="S518" i="2"/>
  <c r="R518" i="2"/>
  <c r="Q518" i="2"/>
  <c r="P518" i="2"/>
  <c r="Z517" i="2"/>
  <c r="Y517" i="2"/>
  <c r="W517" i="2"/>
  <c r="V517" i="2"/>
  <c r="U517" i="2"/>
  <c r="X517" i="2" s="1"/>
  <c r="T517" i="2"/>
  <c r="S517" i="2"/>
  <c r="R517" i="2"/>
  <c r="Q517" i="2"/>
  <c r="P517" i="2"/>
  <c r="Z516" i="2"/>
  <c r="Y516" i="2"/>
  <c r="V516" i="2"/>
  <c r="U516" i="2"/>
  <c r="X516" i="2" s="1"/>
  <c r="T516" i="2"/>
  <c r="S516" i="2"/>
  <c r="R516" i="2"/>
  <c r="Q516" i="2"/>
  <c r="P516" i="2"/>
  <c r="Z515" i="2"/>
  <c r="Y515" i="2"/>
  <c r="V515" i="2"/>
  <c r="U515" i="2"/>
  <c r="X515" i="2" s="1"/>
  <c r="T515" i="2"/>
  <c r="S515" i="2"/>
  <c r="R515" i="2"/>
  <c r="Q515" i="2"/>
  <c r="P515" i="2"/>
  <c r="Z514" i="2"/>
  <c r="Y514" i="2"/>
  <c r="V514" i="2"/>
  <c r="U514" i="2"/>
  <c r="X514" i="2" s="1"/>
  <c r="T514" i="2"/>
  <c r="S514" i="2"/>
  <c r="R514" i="2"/>
  <c r="Q514" i="2"/>
  <c r="P514" i="2"/>
  <c r="Z513" i="2"/>
  <c r="Y513" i="2"/>
  <c r="X513" i="2"/>
  <c r="W513" i="2"/>
  <c r="V513" i="2"/>
  <c r="U513" i="2"/>
  <c r="T513" i="2"/>
  <c r="S513" i="2"/>
  <c r="R513" i="2"/>
  <c r="Q513" i="2"/>
  <c r="P513" i="2"/>
  <c r="Z512" i="2"/>
  <c r="Y512" i="2"/>
  <c r="V512" i="2"/>
  <c r="U512" i="2"/>
  <c r="T512" i="2"/>
  <c r="S512" i="2"/>
  <c r="R512" i="2"/>
  <c r="Q512" i="2"/>
  <c r="P512" i="2"/>
  <c r="Z511" i="2"/>
  <c r="Y511" i="2"/>
  <c r="W511" i="2"/>
  <c r="V511" i="2"/>
  <c r="U511" i="2"/>
  <c r="X511" i="2" s="1"/>
  <c r="T511" i="2"/>
  <c r="S511" i="2"/>
  <c r="R511" i="2"/>
  <c r="Q511" i="2"/>
  <c r="P511" i="2"/>
  <c r="Z510" i="2"/>
  <c r="Y510" i="2"/>
  <c r="V510" i="2"/>
  <c r="U510" i="2"/>
  <c r="X510" i="2" s="1"/>
  <c r="T510" i="2"/>
  <c r="S510" i="2"/>
  <c r="R510" i="2"/>
  <c r="Q510" i="2"/>
  <c r="P510" i="2"/>
  <c r="Z509" i="2"/>
  <c r="Y509" i="2"/>
  <c r="V509" i="2"/>
  <c r="U509" i="2"/>
  <c r="X509" i="2" s="1"/>
  <c r="T509" i="2"/>
  <c r="S509" i="2"/>
  <c r="R509" i="2"/>
  <c r="Q509" i="2"/>
  <c r="P509" i="2"/>
  <c r="Z508" i="2"/>
  <c r="Y508" i="2"/>
  <c r="V508" i="2"/>
  <c r="U508" i="2"/>
  <c r="X508" i="2" s="1"/>
  <c r="T508" i="2"/>
  <c r="S508" i="2"/>
  <c r="R508" i="2"/>
  <c r="Q508" i="2"/>
  <c r="P508" i="2"/>
  <c r="Z507" i="2"/>
  <c r="Y507" i="2"/>
  <c r="X507" i="2"/>
  <c r="W507" i="2"/>
  <c r="V507" i="2"/>
  <c r="U507" i="2"/>
  <c r="T507" i="2"/>
  <c r="S507" i="2"/>
  <c r="R507" i="2"/>
  <c r="Q507" i="2"/>
  <c r="P507" i="2"/>
  <c r="Z506" i="2"/>
  <c r="Y506" i="2"/>
  <c r="V506" i="2"/>
  <c r="U506" i="2"/>
  <c r="T506" i="2"/>
  <c r="S506" i="2"/>
  <c r="R506" i="2"/>
  <c r="Q506" i="2"/>
  <c r="P506" i="2"/>
  <c r="Z505" i="2"/>
  <c r="Y505" i="2"/>
  <c r="W505" i="2"/>
  <c r="V505" i="2"/>
  <c r="U505" i="2"/>
  <c r="X505" i="2" s="1"/>
  <c r="T505" i="2"/>
  <c r="S505" i="2"/>
  <c r="R505" i="2"/>
  <c r="Q505" i="2"/>
  <c r="P505" i="2"/>
  <c r="Z504" i="2"/>
  <c r="Y504" i="2"/>
  <c r="V504" i="2"/>
  <c r="U504" i="2"/>
  <c r="X504" i="2" s="1"/>
  <c r="T504" i="2"/>
  <c r="S504" i="2"/>
  <c r="R504" i="2"/>
  <c r="Q504" i="2"/>
  <c r="P504" i="2"/>
  <c r="Z503" i="2"/>
  <c r="Y503" i="2"/>
  <c r="V503" i="2"/>
  <c r="U503" i="2"/>
  <c r="X503" i="2" s="1"/>
  <c r="T503" i="2"/>
  <c r="S503" i="2"/>
  <c r="R503" i="2"/>
  <c r="Q503" i="2"/>
  <c r="P503" i="2"/>
  <c r="Z502" i="2"/>
  <c r="Y502" i="2"/>
  <c r="V502" i="2"/>
  <c r="U502" i="2"/>
  <c r="X502" i="2" s="1"/>
  <c r="T502" i="2"/>
  <c r="S502" i="2"/>
  <c r="R502" i="2"/>
  <c r="Q502" i="2"/>
  <c r="P502" i="2"/>
  <c r="Z501" i="2"/>
  <c r="Y501" i="2"/>
  <c r="X501" i="2"/>
  <c r="W501" i="2"/>
  <c r="V501" i="2"/>
  <c r="U501" i="2"/>
  <c r="T501" i="2"/>
  <c r="S501" i="2"/>
  <c r="R501" i="2"/>
  <c r="Q501" i="2"/>
  <c r="P501" i="2"/>
  <c r="Z500" i="2"/>
  <c r="Y500" i="2"/>
  <c r="V500" i="2"/>
  <c r="U500" i="2"/>
  <c r="T500" i="2"/>
  <c r="S500" i="2"/>
  <c r="R500" i="2"/>
  <c r="Q500" i="2"/>
  <c r="P500" i="2"/>
  <c r="Z499" i="2"/>
  <c r="Y499" i="2"/>
  <c r="W499" i="2"/>
  <c r="V499" i="2"/>
  <c r="U499" i="2"/>
  <c r="X499" i="2" s="1"/>
  <c r="T499" i="2"/>
  <c r="S499" i="2"/>
  <c r="R499" i="2"/>
  <c r="Q499" i="2"/>
  <c r="P499" i="2"/>
  <c r="Z498" i="2"/>
  <c r="Y498" i="2"/>
  <c r="V498" i="2"/>
  <c r="U498" i="2"/>
  <c r="X498" i="2" s="1"/>
  <c r="T498" i="2"/>
  <c r="S498" i="2"/>
  <c r="R498" i="2"/>
  <c r="Q498" i="2"/>
  <c r="P498" i="2"/>
  <c r="Z497" i="2"/>
  <c r="Y497" i="2"/>
  <c r="V497" i="2"/>
  <c r="U497" i="2"/>
  <c r="X497" i="2" s="1"/>
  <c r="T497" i="2"/>
  <c r="S497" i="2"/>
  <c r="R497" i="2"/>
  <c r="Q497" i="2"/>
  <c r="P497" i="2"/>
  <c r="Z496" i="2"/>
  <c r="Y496" i="2"/>
  <c r="V496" i="2"/>
  <c r="U496" i="2"/>
  <c r="X496" i="2" s="1"/>
  <c r="T496" i="2"/>
  <c r="S496" i="2"/>
  <c r="R496" i="2"/>
  <c r="Q496" i="2"/>
  <c r="P496" i="2"/>
  <c r="Z495" i="2"/>
  <c r="Y495" i="2"/>
  <c r="X495" i="2"/>
  <c r="W495" i="2"/>
  <c r="V495" i="2"/>
  <c r="U495" i="2"/>
  <c r="T495" i="2"/>
  <c r="S495" i="2"/>
  <c r="R495" i="2"/>
  <c r="Q495" i="2"/>
  <c r="P495" i="2"/>
  <c r="Z494" i="2"/>
  <c r="Y494" i="2"/>
  <c r="V494" i="2"/>
  <c r="U494" i="2"/>
  <c r="T494" i="2"/>
  <c r="S494" i="2"/>
  <c r="R494" i="2"/>
  <c r="Q494" i="2"/>
  <c r="P494" i="2"/>
  <c r="Z493" i="2"/>
  <c r="Y493" i="2"/>
  <c r="W493" i="2"/>
  <c r="V493" i="2"/>
  <c r="U493" i="2"/>
  <c r="X493" i="2" s="1"/>
  <c r="T493" i="2"/>
  <c r="S493" i="2"/>
  <c r="R493" i="2"/>
  <c r="Q493" i="2"/>
  <c r="P493" i="2"/>
  <c r="Z492" i="2"/>
  <c r="Y492" i="2"/>
  <c r="V492" i="2"/>
  <c r="U492" i="2"/>
  <c r="X492" i="2" s="1"/>
  <c r="T492" i="2"/>
  <c r="S492" i="2"/>
  <c r="R492" i="2"/>
  <c r="Q492" i="2"/>
  <c r="P492" i="2"/>
  <c r="Z491" i="2"/>
  <c r="Y491" i="2"/>
  <c r="V491" i="2"/>
  <c r="U491" i="2"/>
  <c r="X491" i="2" s="1"/>
  <c r="T491" i="2"/>
  <c r="S491" i="2"/>
  <c r="R491" i="2"/>
  <c r="Q491" i="2"/>
  <c r="P491" i="2"/>
  <c r="Z490" i="2"/>
  <c r="Y490" i="2"/>
  <c r="V490" i="2"/>
  <c r="U490" i="2"/>
  <c r="X490" i="2" s="1"/>
  <c r="T490" i="2"/>
  <c r="S490" i="2"/>
  <c r="R490" i="2"/>
  <c r="Q490" i="2"/>
  <c r="P490" i="2"/>
  <c r="Z489" i="2"/>
  <c r="Y489" i="2"/>
  <c r="X489" i="2"/>
  <c r="W489" i="2"/>
  <c r="V489" i="2"/>
  <c r="U489" i="2"/>
  <c r="T489" i="2"/>
  <c r="S489" i="2"/>
  <c r="R489" i="2"/>
  <c r="Q489" i="2"/>
  <c r="P489" i="2"/>
  <c r="Z488" i="2"/>
  <c r="Y488" i="2"/>
  <c r="V488" i="2"/>
  <c r="U488" i="2"/>
  <c r="T488" i="2"/>
  <c r="S488" i="2"/>
  <c r="R488" i="2"/>
  <c r="Q488" i="2"/>
  <c r="P488" i="2"/>
  <c r="Z487" i="2"/>
  <c r="Y487" i="2"/>
  <c r="W487" i="2"/>
  <c r="V487" i="2"/>
  <c r="U487" i="2"/>
  <c r="X487" i="2" s="1"/>
  <c r="T487" i="2"/>
  <c r="S487" i="2"/>
  <c r="R487" i="2"/>
  <c r="Q487" i="2"/>
  <c r="P487" i="2"/>
  <c r="Z486" i="2"/>
  <c r="Y486" i="2"/>
  <c r="V486" i="2"/>
  <c r="U486" i="2"/>
  <c r="X486" i="2" s="1"/>
  <c r="T486" i="2"/>
  <c r="S486" i="2"/>
  <c r="R486" i="2"/>
  <c r="Q486" i="2"/>
  <c r="P486" i="2"/>
  <c r="Z485" i="2"/>
  <c r="Y485" i="2"/>
  <c r="V485" i="2"/>
  <c r="U485" i="2"/>
  <c r="X485" i="2" s="1"/>
  <c r="T485" i="2"/>
  <c r="S485" i="2"/>
  <c r="R485" i="2"/>
  <c r="Q485" i="2"/>
  <c r="P485" i="2"/>
  <c r="Z484" i="2"/>
  <c r="Y484" i="2"/>
  <c r="V484" i="2"/>
  <c r="U484" i="2"/>
  <c r="X484" i="2" s="1"/>
  <c r="T484" i="2"/>
  <c r="S484" i="2"/>
  <c r="R484" i="2"/>
  <c r="Q484" i="2"/>
  <c r="P484" i="2"/>
  <c r="Z483" i="2"/>
  <c r="Y483" i="2"/>
  <c r="X483" i="2"/>
  <c r="W483" i="2"/>
  <c r="V483" i="2"/>
  <c r="U483" i="2"/>
  <c r="T483" i="2"/>
  <c r="S483" i="2"/>
  <c r="R483" i="2"/>
  <c r="Q483" i="2"/>
  <c r="P483" i="2"/>
  <c r="Z482" i="2"/>
  <c r="Y482" i="2"/>
  <c r="V482" i="2"/>
  <c r="U482" i="2"/>
  <c r="T482" i="2"/>
  <c r="S482" i="2"/>
  <c r="R482" i="2"/>
  <c r="Q482" i="2"/>
  <c r="P482" i="2"/>
  <c r="Z481" i="2"/>
  <c r="Y481" i="2"/>
  <c r="W481" i="2"/>
  <c r="V481" i="2"/>
  <c r="U481" i="2"/>
  <c r="X481" i="2" s="1"/>
  <c r="T481" i="2"/>
  <c r="S481" i="2"/>
  <c r="R481" i="2"/>
  <c r="Q481" i="2"/>
  <c r="P481" i="2"/>
  <c r="Z480" i="2"/>
  <c r="Y480" i="2"/>
  <c r="V480" i="2"/>
  <c r="U480" i="2"/>
  <c r="X480" i="2" s="1"/>
  <c r="T480" i="2"/>
  <c r="S480" i="2"/>
  <c r="R480" i="2"/>
  <c r="Q480" i="2"/>
  <c r="P480" i="2"/>
  <c r="Z479" i="2"/>
  <c r="Y479" i="2"/>
  <c r="V479" i="2"/>
  <c r="U479" i="2"/>
  <c r="X479" i="2" s="1"/>
  <c r="T479" i="2"/>
  <c r="S479" i="2"/>
  <c r="R479" i="2"/>
  <c r="Q479" i="2"/>
  <c r="P479" i="2"/>
  <c r="Z478" i="2"/>
  <c r="Y478" i="2"/>
  <c r="V478" i="2"/>
  <c r="U478" i="2"/>
  <c r="X478" i="2" s="1"/>
  <c r="T478" i="2"/>
  <c r="S478" i="2"/>
  <c r="R478" i="2"/>
  <c r="Q478" i="2"/>
  <c r="P478" i="2"/>
  <c r="Z477" i="2"/>
  <c r="Y477" i="2"/>
  <c r="X477" i="2"/>
  <c r="W477" i="2"/>
  <c r="V477" i="2"/>
  <c r="U477" i="2"/>
  <c r="T477" i="2"/>
  <c r="S477" i="2"/>
  <c r="R477" i="2"/>
  <c r="Q477" i="2"/>
  <c r="P477" i="2"/>
  <c r="Z476" i="2"/>
  <c r="Y476" i="2"/>
  <c r="V476" i="2"/>
  <c r="U476" i="2"/>
  <c r="T476" i="2"/>
  <c r="S476" i="2"/>
  <c r="R476" i="2"/>
  <c r="Q476" i="2"/>
  <c r="P476" i="2"/>
  <c r="Z475" i="2"/>
  <c r="Y475" i="2"/>
  <c r="W475" i="2"/>
  <c r="V475" i="2"/>
  <c r="U475" i="2"/>
  <c r="X475" i="2" s="1"/>
  <c r="T475" i="2"/>
  <c r="S475" i="2"/>
  <c r="R475" i="2"/>
  <c r="Q475" i="2"/>
  <c r="P475" i="2"/>
  <c r="Z474" i="2"/>
  <c r="Y474" i="2"/>
  <c r="V474" i="2"/>
  <c r="U474" i="2"/>
  <c r="X474" i="2" s="1"/>
  <c r="T474" i="2"/>
  <c r="S474" i="2"/>
  <c r="R474" i="2"/>
  <c r="Q474" i="2"/>
  <c r="P474" i="2"/>
  <c r="Z473" i="2"/>
  <c r="Y473" i="2"/>
  <c r="V473" i="2"/>
  <c r="U473" i="2"/>
  <c r="X473" i="2" s="1"/>
  <c r="T473" i="2"/>
  <c r="S473" i="2"/>
  <c r="R473" i="2"/>
  <c r="Q473" i="2"/>
  <c r="P473" i="2"/>
  <c r="Z472" i="2"/>
  <c r="Y472" i="2"/>
  <c r="V472" i="2"/>
  <c r="U472" i="2"/>
  <c r="X472" i="2" s="1"/>
  <c r="T472" i="2"/>
  <c r="S472" i="2"/>
  <c r="R472" i="2"/>
  <c r="Q472" i="2"/>
  <c r="P472" i="2"/>
  <c r="Z471" i="2"/>
  <c r="Y471" i="2"/>
  <c r="X471" i="2"/>
  <c r="W471" i="2"/>
  <c r="V471" i="2"/>
  <c r="U471" i="2"/>
  <c r="T471" i="2"/>
  <c r="S471" i="2"/>
  <c r="R471" i="2"/>
  <c r="Q471" i="2"/>
  <c r="P471" i="2"/>
  <c r="Z470" i="2"/>
  <c r="Y470" i="2"/>
  <c r="V470" i="2"/>
  <c r="U470" i="2"/>
  <c r="T470" i="2"/>
  <c r="S470" i="2"/>
  <c r="R470" i="2"/>
  <c r="Q470" i="2"/>
  <c r="P470" i="2"/>
  <c r="Z469" i="2"/>
  <c r="Y469" i="2"/>
  <c r="W469" i="2"/>
  <c r="V469" i="2"/>
  <c r="U469" i="2"/>
  <c r="X469" i="2" s="1"/>
  <c r="T469" i="2"/>
  <c r="S469" i="2"/>
  <c r="R469" i="2"/>
  <c r="Q469" i="2"/>
  <c r="P469" i="2"/>
  <c r="Z468" i="2"/>
  <c r="Y468" i="2"/>
  <c r="V468" i="2"/>
  <c r="U468" i="2"/>
  <c r="X468" i="2" s="1"/>
  <c r="T468" i="2"/>
  <c r="S468" i="2"/>
  <c r="R468" i="2"/>
  <c r="Q468" i="2"/>
  <c r="P468" i="2"/>
  <c r="Z467" i="2"/>
  <c r="Y467" i="2"/>
  <c r="V467" i="2"/>
  <c r="U467" i="2"/>
  <c r="X467" i="2" s="1"/>
  <c r="T467" i="2"/>
  <c r="S467" i="2"/>
  <c r="R467" i="2"/>
  <c r="Q467" i="2"/>
  <c r="P467" i="2"/>
  <c r="Z466" i="2"/>
  <c r="Y466" i="2"/>
  <c r="V466" i="2"/>
  <c r="U466" i="2"/>
  <c r="X466" i="2" s="1"/>
  <c r="T466" i="2"/>
  <c r="S466" i="2"/>
  <c r="R466" i="2"/>
  <c r="Q466" i="2"/>
  <c r="P466" i="2"/>
  <c r="Z465" i="2"/>
  <c r="Y465" i="2"/>
  <c r="X465" i="2"/>
  <c r="W465" i="2"/>
  <c r="V465" i="2"/>
  <c r="U465" i="2"/>
  <c r="T465" i="2"/>
  <c r="S465" i="2"/>
  <c r="R465" i="2"/>
  <c r="Q465" i="2"/>
  <c r="P465" i="2"/>
  <c r="Z464" i="2"/>
  <c r="Y464" i="2"/>
  <c r="V464" i="2"/>
  <c r="U464" i="2"/>
  <c r="T464" i="2"/>
  <c r="S464" i="2"/>
  <c r="R464" i="2"/>
  <c r="Q464" i="2"/>
  <c r="P464" i="2"/>
  <c r="Z463" i="2"/>
  <c r="Y463" i="2"/>
  <c r="W463" i="2"/>
  <c r="V463" i="2"/>
  <c r="U463" i="2"/>
  <c r="X463" i="2" s="1"/>
  <c r="T463" i="2"/>
  <c r="S463" i="2"/>
  <c r="R463" i="2"/>
  <c r="Q463" i="2"/>
  <c r="P463" i="2"/>
  <c r="Z462" i="2"/>
  <c r="Y462" i="2"/>
  <c r="V462" i="2"/>
  <c r="U462" i="2"/>
  <c r="X462" i="2" s="1"/>
  <c r="T462" i="2"/>
  <c r="S462" i="2"/>
  <c r="R462" i="2"/>
  <c r="Q462" i="2"/>
  <c r="P462" i="2"/>
  <c r="Z461" i="2"/>
  <c r="Y461" i="2"/>
  <c r="V461" i="2"/>
  <c r="U461" i="2"/>
  <c r="X461" i="2" s="1"/>
  <c r="T461" i="2"/>
  <c r="S461" i="2"/>
  <c r="R461" i="2"/>
  <c r="Q461" i="2"/>
  <c r="P461" i="2"/>
  <c r="Z460" i="2"/>
  <c r="Y460" i="2"/>
  <c r="V460" i="2"/>
  <c r="U460" i="2"/>
  <c r="X460" i="2" s="1"/>
  <c r="T460" i="2"/>
  <c r="S460" i="2"/>
  <c r="R460" i="2"/>
  <c r="Q460" i="2"/>
  <c r="P460" i="2"/>
  <c r="Z459" i="2"/>
  <c r="Y459" i="2"/>
  <c r="X459" i="2"/>
  <c r="W459" i="2"/>
  <c r="V459" i="2"/>
  <c r="U459" i="2"/>
  <c r="T459" i="2"/>
  <c r="S459" i="2"/>
  <c r="R459" i="2"/>
  <c r="Q459" i="2"/>
  <c r="P459" i="2"/>
  <c r="Z458" i="2"/>
  <c r="Y458" i="2"/>
  <c r="V458" i="2"/>
  <c r="U458" i="2"/>
  <c r="T458" i="2"/>
  <c r="S458" i="2"/>
  <c r="R458" i="2"/>
  <c r="Q458" i="2"/>
  <c r="P458" i="2"/>
  <c r="Z457" i="2"/>
  <c r="Y457" i="2"/>
  <c r="W457" i="2"/>
  <c r="V457" i="2"/>
  <c r="U457" i="2"/>
  <c r="X457" i="2" s="1"/>
  <c r="T457" i="2"/>
  <c r="S457" i="2"/>
  <c r="R457" i="2"/>
  <c r="Q457" i="2"/>
  <c r="P457" i="2"/>
  <c r="Z456" i="2"/>
  <c r="Y456" i="2"/>
  <c r="V456" i="2"/>
  <c r="U456" i="2"/>
  <c r="X456" i="2" s="1"/>
  <c r="T456" i="2"/>
  <c r="S456" i="2"/>
  <c r="R456" i="2"/>
  <c r="Q456" i="2"/>
  <c r="P456" i="2"/>
  <c r="Z455" i="2"/>
  <c r="Y455" i="2"/>
  <c r="V455" i="2"/>
  <c r="U455" i="2"/>
  <c r="X455" i="2" s="1"/>
  <c r="T455" i="2"/>
  <c r="S455" i="2"/>
  <c r="R455" i="2"/>
  <c r="Q455" i="2"/>
  <c r="P455" i="2"/>
  <c r="Z454" i="2"/>
  <c r="Y454" i="2"/>
  <c r="V454" i="2"/>
  <c r="U454" i="2"/>
  <c r="X454" i="2" s="1"/>
  <c r="T454" i="2"/>
  <c r="S454" i="2"/>
  <c r="R454" i="2"/>
  <c r="Q454" i="2"/>
  <c r="P454" i="2"/>
  <c r="Z453" i="2"/>
  <c r="Y453" i="2"/>
  <c r="X453" i="2"/>
  <c r="W453" i="2"/>
  <c r="V453" i="2"/>
  <c r="U453" i="2"/>
  <c r="T453" i="2"/>
  <c r="S453" i="2"/>
  <c r="R453" i="2"/>
  <c r="Q453" i="2"/>
  <c r="P453" i="2"/>
  <c r="Z452" i="2"/>
  <c r="Y452" i="2"/>
  <c r="V452" i="2"/>
  <c r="U452" i="2"/>
  <c r="T452" i="2"/>
  <c r="S452" i="2"/>
  <c r="R452" i="2"/>
  <c r="Q452" i="2"/>
  <c r="P452" i="2"/>
  <c r="Z451" i="2"/>
  <c r="Y451" i="2"/>
  <c r="W451" i="2"/>
  <c r="V451" i="2"/>
  <c r="U451" i="2"/>
  <c r="X451" i="2" s="1"/>
  <c r="T451" i="2"/>
  <c r="S451" i="2"/>
  <c r="R451" i="2"/>
  <c r="Q451" i="2"/>
  <c r="P451" i="2"/>
  <c r="Z450" i="2"/>
  <c r="Y450" i="2"/>
  <c r="V450" i="2"/>
  <c r="U450" i="2"/>
  <c r="X450" i="2" s="1"/>
  <c r="T450" i="2"/>
  <c r="S450" i="2"/>
  <c r="R450" i="2"/>
  <c r="Q450" i="2"/>
  <c r="P450" i="2"/>
  <c r="Z449" i="2"/>
  <c r="Y449" i="2"/>
  <c r="V449" i="2"/>
  <c r="U449" i="2"/>
  <c r="X449" i="2" s="1"/>
  <c r="T449" i="2"/>
  <c r="S449" i="2"/>
  <c r="R449" i="2"/>
  <c r="Q449" i="2"/>
  <c r="P449" i="2"/>
  <c r="Z448" i="2"/>
  <c r="Y448" i="2"/>
  <c r="V448" i="2"/>
  <c r="U448" i="2"/>
  <c r="X448" i="2" s="1"/>
  <c r="T448" i="2"/>
  <c r="S448" i="2"/>
  <c r="R448" i="2"/>
  <c r="Q448" i="2"/>
  <c r="P448" i="2"/>
  <c r="Z447" i="2"/>
  <c r="Y447" i="2"/>
  <c r="X447" i="2"/>
  <c r="W447" i="2"/>
  <c r="V447" i="2"/>
  <c r="U447" i="2"/>
  <c r="T447" i="2"/>
  <c r="S447" i="2"/>
  <c r="R447" i="2"/>
  <c r="Q447" i="2"/>
  <c r="P447" i="2"/>
  <c r="Z446" i="2"/>
  <c r="Y446" i="2"/>
  <c r="V446" i="2"/>
  <c r="U446" i="2"/>
  <c r="T446" i="2"/>
  <c r="S446" i="2"/>
  <c r="R446" i="2"/>
  <c r="Q446" i="2"/>
  <c r="P446" i="2"/>
  <c r="Z445" i="2"/>
  <c r="Y445" i="2"/>
  <c r="V445" i="2"/>
  <c r="U445" i="2"/>
  <c r="X445" i="2" s="1"/>
  <c r="T445" i="2"/>
  <c r="S445" i="2"/>
  <c r="R445" i="2"/>
  <c r="Q445" i="2"/>
  <c r="P445" i="2"/>
  <c r="Z444" i="2"/>
  <c r="Y444" i="2"/>
  <c r="V444" i="2"/>
  <c r="U444" i="2"/>
  <c r="X444" i="2" s="1"/>
  <c r="T444" i="2"/>
  <c r="S444" i="2"/>
  <c r="R444" i="2"/>
  <c r="Q444" i="2"/>
  <c r="P444" i="2"/>
  <c r="Z443" i="2"/>
  <c r="Y443" i="2"/>
  <c r="V443" i="2"/>
  <c r="U443" i="2"/>
  <c r="X443" i="2" s="1"/>
  <c r="T443" i="2"/>
  <c r="S443" i="2"/>
  <c r="R443" i="2"/>
  <c r="Q443" i="2"/>
  <c r="P443" i="2"/>
  <c r="Z442" i="2"/>
  <c r="Y442" i="2"/>
  <c r="X442" i="2"/>
  <c r="V442" i="2"/>
  <c r="U442" i="2"/>
  <c r="W442" i="2" s="1"/>
  <c r="T442" i="2"/>
  <c r="S442" i="2"/>
  <c r="R442" i="2"/>
  <c r="Q442" i="2"/>
  <c r="P442" i="2"/>
  <c r="Z441" i="2"/>
  <c r="Y441" i="2"/>
  <c r="X441" i="2"/>
  <c r="W441" i="2"/>
  <c r="V441" i="2"/>
  <c r="U441" i="2"/>
  <c r="T441" i="2"/>
  <c r="S441" i="2"/>
  <c r="R441" i="2"/>
  <c r="Q441" i="2"/>
  <c r="P441" i="2"/>
  <c r="Z440" i="2"/>
  <c r="Y440" i="2"/>
  <c r="V440" i="2"/>
  <c r="U440" i="2"/>
  <c r="T440" i="2"/>
  <c r="S440" i="2"/>
  <c r="R440" i="2"/>
  <c r="Q440" i="2"/>
  <c r="P440" i="2"/>
  <c r="Z439" i="2"/>
  <c r="Y439" i="2"/>
  <c r="V439" i="2"/>
  <c r="U439" i="2"/>
  <c r="X439" i="2" s="1"/>
  <c r="T439" i="2"/>
  <c r="S439" i="2"/>
  <c r="R439" i="2"/>
  <c r="Q439" i="2"/>
  <c r="P439" i="2"/>
  <c r="Z438" i="2"/>
  <c r="Y438" i="2"/>
  <c r="V438" i="2"/>
  <c r="U438" i="2"/>
  <c r="X438" i="2" s="1"/>
  <c r="T438" i="2"/>
  <c r="S438" i="2"/>
  <c r="R438" i="2"/>
  <c r="Q438" i="2"/>
  <c r="P438" i="2"/>
  <c r="Z437" i="2"/>
  <c r="Y437" i="2"/>
  <c r="V437" i="2"/>
  <c r="U437" i="2"/>
  <c r="X437" i="2" s="1"/>
  <c r="T437" i="2"/>
  <c r="S437" i="2"/>
  <c r="R437" i="2"/>
  <c r="Q437" i="2"/>
  <c r="P437" i="2"/>
  <c r="Z436" i="2"/>
  <c r="Y436" i="2"/>
  <c r="X436" i="2"/>
  <c r="V436" i="2"/>
  <c r="U436" i="2"/>
  <c r="W436" i="2" s="1"/>
  <c r="T436" i="2"/>
  <c r="S436" i="2"/>
  <c r="R436" i="2"/>
  <c r="Q436" i="2"/>
  <c r="P436" i="2"/>
  <c r="Z435" i="2"/>
  <c r="Y435" i="2"/>
  <c r="X435" i="2"/>
  <c r="W435" i="2"/>
  <c r="V435" i="2"/>
  <c r="U435" i="2"/>
  <c r="T435" i="2"/>
  <c r="S435" i="2"/>
  <c r="R435" i="2"/>
  <c r="Q435" i="2"/>
  <c r="P435" i="2"/>
  <c r="Z434" i="2"/>
  <c r="Y434" i="2"/>
  <c r="V434" i="2"/>
  <c r="U434" i="2"/>
  <c r="T434" i="2"/>
  <c r="S434" i="2"/>
  <c r="R434" i="2"/>
  <c r="Q434" i="2"/>
  <c r="P434" i="2"/>
  <c r="Z433" i="2"/>
  <c r="Y433" i="2"/>
  <c r="V433" i="2"/>
  <c r="U433" i="2"/>
  <c r="X433" i="2" s="1"/>
  <c r="T433" i="2"/>
  <c r="S433" i="2"/>
  <c r="R433" i="2"/>
  <c r="Q433" i="2"/>
  <c r="P433" i="2"/>
  <c r="Z432" i="2"/>
  <c r="Y432" i="2"/>
  <c r="V432" i="2"/>
  <c r="U432" i="2"/>
  <c r="X432" i="2" s="1"/>
  <c r="T432" i="2"/>
  <c r="S432" i="2"/>
  <c r="R432" i="2"/>
  <c r="Q432" i="2"/>
  <c r="P432" i="2"/>
  <c r="Z431" i="2"/>
  <c r="Y431" i="2"/>
  <c r="V431" i="2"/>
  <c r="U431" i="2"/>
  <c r="X431" i="2" s="1"/>
  <c r="T431" i="2"/>
  <c r="S431" i="2"/>
  <c r="R431" i="2"/>
  <c r="Q431" i="2"/>
  <c r="P431" i="2"/>
  <c r="Z430" i="2"/>
  <c r="Y430" i="2"/>
  <c r="X430" i="2"/>
  <c r="V430" i="2"/>
  <c r="U430" i="2"/>
  <c r="W430" i="2" s="1"/>
  <c r="T430" i="2"/>
  <c r="S430" i="2"/>
  <c r="R430" i="2"/>
  <c r="Q430" i="2"/>
  <c r="P430" i="2"/>
  <c r="Z429" i="2"/>
  <c r="Y429" i="2"/>
  <c r="X429" i="2"/>
  <c r="W429" i="2"/>
  <c r="V429" i="2"/>
  <c r="U429" i="2"/>
  <c r="T429" i="2"/>
  <c r="S429" i="2"/>
  <c r="R429" i="2"/>
  <c r="Q429" i="2"/>
  <c r="P429" i="2"/>
  <c r="Z428" i="2"/>
  <c r="Y428" i="2"/>
  <c r="V428" i="2"/>
  <c r="U428" i="2"/>
  <c r="T428" i="2"/>
  <c r="S428" i="2"/>
  <c r="R428" i="2"/>
  <c r="Q428" i="2"/>
  <c r="P428" i="2"/>
  <c r="Z427" i="2"/>
  <c r="Y427" i="2"/>
  <c r="V427" i="2"/>
  <c r="U427" i="2"/>
  <c r="X427" i="2" s="1"/>
  <c r="T427" i="2"/>
  <c r="S427" i="2"/>
  <c r="R427" i="2"/>
  <c r="Q427" i="2"/>
  <c r="P427" i="2"/>
  <c r="Z426" i="2"/>
  <c r="Y426" i="2"/>
  <c r="V426" i="2"/>
  <c r="U426" i="2"/>
  <c r="X426" i="2" s="1"/>
  <c r="T426" i="2"/>
  <c r="S426" i="2"/>
  <c r="R426" i="2"/>
  <c r="Q426" i="2"/>
  <c r="P426" i="2"/>
  <c r="Z425" i="2"/>
  <c r="Y425" i="2"/>
  <c r="V425" i="2"/>
  <c r="U425" i="2"/>
  <c r="X425" i="2" s="1"/>
  <c r="T425" i="2"/>
  <c r="S425" i="2"/>
  <c r="R425" i="2"/>
  <c r="Q425" i="2"/>
  <c r="P425" i="2"/>
  <c r="Z424" i="2"/>
  <c r="Y424" i="2"/>
  <c r="X424" i="2"/>
  <c r="V424" i="2"/>
  <c r="U424" i="2"/>
  <c r="W424" i="2" s="1"/>
  <c r="T424" i="2"/>
  <c r="S424" i="2"/>
  <c r="R424" i="2"/>
  <c r="Q424" i="2"/>
  <c r="P424" i="2"/>
  <c r="Z423" i="2"/>
  <c r="Y423" i="2"/>
  <c r="X423" i="2"/>
  <c r="W423" i="2"/>
  <c r="V423" i="2"/>
  <c r="U423" i="2"/>
  <c r="T423" i="2"/>
  <c r="S423" i="2"/>
  <c r="R423" i="2"/>
  <c r="Q423" i="2"/>
  <c r="P423" i="2"/>
  <c r="Z422" i="2"/>
  <c r="Y422" i="2"/>
  <c r="V422" i="2"/>
  <c r="U422" i="2"/>
  <c r="T422" i="2"/>
  <c r="S422" i="2"/>
  <c r="R422" i="2"/>
  <c r="Q422" i="2"/>
  <c r="P422" i="2"/>
  <c r="Z421" i="2"/>
  <c r="Y421" i="2"/>
  <c r="V421" i="2"/>
  <c r="U421" i="2"/>
  <c r="X421" i="2" s="1"/>
  <c r="T421" i="2"/>
  <c r="S421" i="2"/>
  <c r="R421" i="2"/>
  <c r="Q421" i="2"/>
  <c r="P421" i="2"/>
  <c r="Z420" i="2"/>
  <c r="Y420" i="2"/>
  <c r="V420" i="2"/>
  <c r="U420" i="2"/>
  <c r="X420" i="2" s="1"/>
  <c r="T420" i="2"/>
  <c r="S420" i="2"/>
  <c r="R420" i="2"/>
  <c r="Q420" i="2"/>
  <c r="P420" i="2"/>
  <c r="Z419" i="2"/>
  <c r="Y419" i="2"/>
  <c r="V419" i="2"/>
  <c r="U419" i="2"/>
  <c r="X419" i="2" s="1"/>
  <c r="T419" i="2"/>
  <c r="S419" i="2"/>
  <c r="R419" i="2"/>
  <c r="Q419" i="2"/>
  <c r="P419" i="2"/>
  <c r="Z418" i="2"/>
  <c r="Y418" i="2"/>
  <c r="X418" i="2"/>
  <c r="V418" i="2"/>
  <c r="U418" i="2"/>
  <c r="W418" i="2" s="1"/>
  <c r="T418" i="2"/>
  <c r="S418" i="2"/>
  <c r="R418" i="2"/>
  <c r="Q418" i="2"/>
  <c r="P418" i="2"/>
  <c r="Z417" i="2"/>
  <c r="Y417" i="2"/>
  <c r="X417" i="2"/>
  <c r="W417" i="2"/>
  <c r="V417" i="2"/>
  <c r="U417" i="2"/>
  <c r="T417" i="2"/>
  <c r="S417" i="2"/>
  <c r="R417" i="2"/>
  <c r="Q417" i="2"/>
  <c r="P417" i="2"/>
  <c r="Z416" i="2"/>
  <c r="Y416" i="2"/>
  <c r="V416" i="2"/>
  <c r="U416" i="2"/>
  <c r="T416" i="2"/>
  <c r="S416" i="2"/>
  <c r="R416" i="2"/>
  <c r="Q416" i="2"/>
  <c r="P416" i="2"/>
  <c r="Z415" i="2"/>
  <c r="Y415" i="2"/>
  <c r="V415" i="2"/>
  <c r="U415" i="2"/>
  <c r="X415" i="2" s="1"/>
  <c r="T415" i="2"/>
  <c r="S415" i="2"/>
  <c r="R415" i="2"/>
  <c r="Q415" i="2"/>
  <c r="P415" i="2"/>
  <c r="Z414" i="2"/>
  <c r="Y414" i="2"/>
  <c r="V414" i="2"/>
  <c r="U414" i="2"/>
  <c r="X414" i="2" s="1"/>
  <c r="T414" i="2"/>
  <c r="S414" i="2"/>
  <c r="R414" i="2"/>
  <c r="Q414" i="2"/>
  <c r="P414" i="2"/>
  <c r="Z413" i="2"/>
  <c r="Y413" i="2"/>
  <c r="V413" i="2"/>
  <c r="U413" i="2"/>
  <c r="X413" i="2" s="1"/>
  <c r="T413" i="2"/>
  <c r="S413" i="2"/>
  <c r="R413" i="2"/>
  <c r="Q413" i="2"/>
  <c r="P413" i="2"/>
  <c r="Z412" i="2"/>
  <c r="Y412" i="2"/>
  <c r="X412" i="2"/>
  <c r="V412" i="2"/>
  <c r="U412" i="2"/>
  <c r="W412" i="2" s="1"/>
  <c r="T412" i="2"/>
  <c r="S412" i="2"/>
  <c r="R412" i="2"/>
  <c r="Q412" i="2"/>
  <c r="P412" i="2"/>
  <c r="Z411" i="2"/>
  <c r="Y411" i="2"/>
  <c r="X411" i="2"/>
  <c r="W411" i="2"/>
  <c r="V411" i="2"/>
  <c r="U411" i="2"/>
  <c r="T411" i="2"/>
  <c r="S411" i="2"/>
  <c r="R411" i="2"/>
  <c r="Q411" i="2"/>
  <c r="P411" i="2"/>
  <c r="Z410" i="2"/>
  <c r="Y410" i="2"/>
  <c r="V410" i="2"/>
  <c r="U410" i="2"/>
  <c r="T410" i="2"/>
  <c r="S410" i="2"/>
  <c r="R410" i="2"/>
  <c r="Q410" i="2"/>
  <c r="P410" i="2"/>
  <c r="Z409" i="2"/>
  <c r="Y409" i="2"/>
  <c r="V409" i="2"/>
  <c r="U409" i="2"/>
  <c r="X409" i="2" s="1"/>
  <c r="T409" i="2"/>
  <c r="S409" i="2"/>
  <c r="R409" i="2"/>
  <c r="Q409" i="2"/>
  <c r="P409" i="2"/>
  <c r="Z408" i="2"/>
  <c r="Y408" i="2"/>
  <c r="V408" i="2"/>
  <c r="U408" i="2"/>
  <c r="X408" i="2" s="1"/>
  <c r="T408" i="2"/>
  <c r="S408" i="2"/>
  <c r="R408" i="2"/>
  <c r="Q408" i="2"/>
  <c r="P408" i="2"/>
  <c r="Z407" i="2"/>
  <c r="Y407" i="2"/>
  <c r="V407" i="2"/>
  <c r="U407" i="2"/>
  <c r="X407" i="2" s="1"/>
  <c r="T407" i="2"/>
  <c r="S407" i="2"/>
  <c r="R407" i="2"/>
  <c r="Q407" i="2"/>
  <c r="P407" i="2"/>
  <c r="Z406" i="2"/>
  <c r="Y406" i="2"/>
  <c r="V406" i="2"/>
  <c r="U406" i="2"/>
  <c r="W406" i="2" s="1"/>
  <c r="T406" i="2"/>
  <c r="S406" i="2"/>
  <c r="R406" i="2"/>
  <c r="Q406" i="2"/>
  <c r="P406" i="2"/>
  <c r="Z405" i="2"/>
  <c r="Y405" i="2"/>
  <c r="X405" i="2"/>
  <c r="W405" i="2"/>
  <c r="V405" i="2"/>
  <c r="U405" i="2"/>
  <c r="T405" i="2"/>
  <c r="S405" i="2"/>
  <c r="R405" i="2"/>
  <c r="Q405" i="2"/>
  <c r="P405" i="2"/>
  <c r="Z404" i="2"/>
  <c r="Y404" i="2"/>
  <c r="V404" i="2"/>
  <c r="U404" i="2"/>
  <c r="T404" i="2"/>
  <c r="S404" i="2"/>
  <c r="R404" i="2"/>
  <c r="Q404" i="2"/>
  <c r="P404" i="2"/>
  <c r="Z403" i="2"/>
  <c r="Y403" i="2"/>
  <c r="V403" i="2"/>
  <c r="U403" i="2"/>
  <c r="X403" i="2" s="1"/>
  <c r="T403" i="2"/>
  <c r="S403" i="2"/>
  <c r="R403" i="2"/>
  <c r="Q403" i="2"/>
  <c r="P403" i="2"/>
  <c r="Z402" i="2"/>
  <c r="Y402" i="2"/>
  <c r="V402" i="2"/>
  <c r="U402" i="2"/>
  <c r="X402" i="2" s="1"/>
  <c r="T402" i="2"/>
  <c r="S402" i="2"/>
  <c r="R402" i="2"/>
  <c r="Q402" i="2"/>
  <c r="P402" i="2"/>
  <c r="Z401" i="2"/>
  <c r="Y401" i="2"/>
  <c r="V401" i="2"/>
  <c r="U401" i="2"/>
  <c r="X401" i="2" s="1"/>
  <c r="T401" i="2"/>
  <c r="S401" i="2"/>
  <c r="R401" i="2"/>
  <c r="Q401" i="2"/>
  <c r="P401" i="2"/>
  <c r="Z400" i="2"/>
  <c r="Y400" i="2"/>
  <c r="X400" i="2"/>
  <c r="V400" i="2"/>
  <c r="U400" i="2"/>
  <c r="W400" i="2" s="1"/>
  <c r="T400" i="2"/>
  <c r="S400" i="2"/>
  <c r="R400" i="2"/>
  <c r="Q400" i="2"/>
  <c r="P400" i="2"/>
  <c r="Z399" i="2"/>
  <c r="Y399" i="2"/>
  <c r="X399" i="2"/>
  <c r="W399" i="2"/>
  <c r="V399" i="2"/>
  <c r="U399" i="2"/>
  <c r="T399" i="2"/>
  <c r="S399" i="2"/>
  <c r="R399" i="2"/>
  <c r="Q399" i="2"/>
  <c r="P399" i="2"/>
  <c r="Z398" i="2"/>
  <c r="Y398" i="2"/>
  <c r="V398" i="2"/>
  <c r="U398" i="2"/>
  <c r="T398" i="2"/>
  <c r="S398" i="2"/>
  <c r="R398" i="2"/>
  <c r="Q398" i="2"/>
  <c r="P398" i="2"/>
  <c r="Z397" i="2"/>
  <c r="Y397" i="2"/>
  <c r="V397" i="2"/>
  <c r="U397" i="2"/>
  <c r="X397" i="2" s="1"/>
  <c r="T397" i="2"/>
  <c r="S397" i="2"/>
  <c r="R397" i="2"/>
  <c r="Q397" i="2"/>
  <c r="P397" i="2"/>
  <c r="Z396" i="2"/>
  <c r="Y396" i="2"/>
  <c r="V396" i="2"/>
  <c r="U396" i="2"/>
  <c r="X396" i="2" s="1"/>
  <c r="T396" i="2"/>
  <c r="S396" i="2"/>
  <c r="R396" i="2"/>
  <c r="Q396" i="2"/>
  <c r="P396" i="2"/>
  <c r="Z395" i="2"/>
  <c r="Y395" i="2"/>
  <c r="V395" i="2"/>
  <c r="U395" i="2"/>
  <c r="X395" i="2" s="1"/>
  <c r="T395" i="2"/>
  <c r="S395" i="2"/>
  <c r="R395" i="2"/>
  <c r="Q395" i="2"/>
  <c r="P395" i="2"/>
  <c r="Z394" i="2"/>
  <c r="Y394" i="2"/>
  <c r="V394" i="2"/>
  <c r="U394" i="2"/>
  <c r="W394" i="2" s="1"/>
  <c r="T394" i="2"/>
  <c r="S394" i="2"/>
  <c r="R394" i="2"/>
  <c r="Q394" i="2"/>
  <c r="P394" i="2"/>
  <c r="Z393" i="2"/>
  <c r="Y393" i="2"/>
  <c r="X393" i="2"/>
  <c r="W393" i="2"/>
  <c r="V393" i="2"/>
  <c r="U393" i="2"/>
  <c r="T393" i="2"/>
  <c r="S393" i="2"/>
  <c r="R393" i="2"/>
  <c r="Q393" i="2"/>
  <c r="P393" i="2"/>
  <c r="Z392" i="2"/>
  <c r="Y392" i="2"/>
  <c r="V392" i="2"/>
  <c r="U392" i="2"/>
  <c r="T392" i="2"/>
  <c r="S392" i="2"/>
  <c r="R392" i="2"/>
  <c r="Q392" i="2"/>
  <c r="P392" i="2"/>
  <c r="Z391" i="2"/>
  <c r="Y391" i="2"/>
  <c r="V391" i="2"/>
  <c r="U391" i="2"/>
  <c r="X391" i="2" s="1"/>
  <c r="T391" i="2"/>
  <c r="S391" i="2"/>
  <c r="R391" i="2"/>
  <c r="Q391" i="2"/>
  <c r="P391" i="2"/>
  <c r="Z390" i="2"/>
  <c r="Y390" i="2"/>
  <c r="V390" i="2"/>
  <c r="U390" i="2"/>
  <c r="X390" i="2" s="1"/>
  <c r="T390" i="2"/>
  <c r="S390" i="2"/>
  <c r="R390" i="2"/>
  <c r="Q390" i="2"/>
  <c r="P390" i="2"/>
  <c r="Z389" i="2"/>
  <c r="Y389" i="2"/>
  <c r="V389" i="2"/>
  <c r="U389" i="2"/>
  <c r="X389" i="2" s="1"/>
  <c r="T389" i="2"/>
  <c r="S389" i="2"/>
  <c r="R389" i="2"/>
  <c r="Q389" i="2"/>
  <c r="P389" i="2"/>
  <c r="Z388" i="2"/>
  <c r="Y388" i="2"/>
  <c r="X388" i="2"/>
  <c r="V388" i="2"/>
  <c r="U388" i="2"/>
  <c r="W388" i="2" s="1"/>
  <c r="T388" i="2"/>
  <c r="S388" i="2"/>
  <c r="R388" i="2"/>
  <c r="Q388" i="2"/>
  <c r="P388" i="2"/>
  <c r="Z387" i="2"/>
  <c r="Y387" i="2"/>
  <c r="X387" i="2"/>
  <c r="W387" i="2"/>
  <c r="V387" i="2"/>
  <c r="U387" i="2"/>
  <c r="T387" i="2"/>
  <c r="S387" i="2"/>
  <c r="R387" i="2"/>
  <c r="Q387" i="2"/>
  <c r="P387" i="2"/>
  <c r="Z386" i="2"/>
  <c r="Y386" i="2"/>
  <c r="V386" i="2"/>
  <c r="U386" i="2"/>
  <c r="T386" i="2"/>
  <c r="S386" i="2"/>
  <c r="R386" i="2"/>
  <c r="Q386" i="2"/>
  <c r="P386" i="2"/>
  <c r="Z385" i="2"/>
  <c r="Y385" i="2"/>
  <c r="V385" i="2"/>
  <c r="U385" i="2"/>
  <c r="X385" i="2" s="1"/>
  <c r="T385" i="2"/>
  <c r="S385" i="2"/>
  <c r="R385" i="2"/>
  <c r="Q385" i="2"/>
  <c r="P385" i="2"/>
  <c r="Z384" i="2"/>
  <c r="Y384" i="2"/>
  <c r="V384" i="2"/>
  <c r="U384" i="2"/>
  <c r="X384" i="2" s="1"/>
  <c r="T384" i="2"/>
  <c r="S384" i="2"/>
  <c r="R384" i="2"/>
  <c r="Q384" i="2"/>
  <c r="P384" i="2"/>
  <c r="Z383" i="2"/>
  <c r="Y383" i="2"/>
  <c r="V383" i="2"/>
  <c r="U383" i="2"/>
  <c r="X383" i="2" s="1"/>
  <c r="T383" i="2"/>
  <c r="S383" i="2"/>
  <c r="R383" i="2"/>
  <c r="Q383" i="2"/>
  <c r="P383" i="2"/>
  <c r="Z382" i="2"/>
  <c r="Y382" i="2"/>
  <c r="V382" i="2"/>
  <c r="U382" i="2"/>
  <c r="W382" i="2" s="1"/>
  <c r="T382" i="2"/>
  <c r="S382" i="2"/>
  <c r="R382" i="2"/>
  <c r="Q382" i="2"/>
  <c r="P382" i="2"/>
  <c r="Z381" i="2"/>
  <c r="Y381" i="2"/>
  <c r="X381" i="2"/>
  <c r="W381" i="2"/>
  <c r="V381" i="2"/>
  <c r="U381" i="2"/>
  <c r="T381" i="2"/>
  <c r="S381" i="2"/>
  <c r="R381" i="2"/>
  <c r="Q381" i="2"/>
  <c r="P381" i="2"/>
  <c r="Z380" i="2"/>
  <c r="Y380" i="2"/>
  <c r="V380" i="2"/>
  <c r="U380" i="2"/>
  <c r="T380" i="2"/>
  <c r="S380" i="2"/>
  <c r="R380" i="2"/>
  <c r="Q380" i="2"/>
  <c r="P380" i="2"/>
  <c r="Z379" i="2"/>
  <c r="Y379" i="2"/>
  <c r="V379" i="2"/>
  <c r="U379" i="2"/>
  <c r="X379" i="2" s="1"/>
  <c r="T379" i="2"/>
  <c r="S379" i="2"/>
  <c r="R379" i="2"/>
  <c r="Q379" i="2"/>
  <c r="P379" i="2"/>
  <c r="Z378" i="2"/>
  <c r="Y378" i="2"/>
  <c r="V378" i="2"/>
  <c r="U378" i="2"/>
  <c r="X378" i="2" s="1"/>
  <c r="T378" i="2"/>
  <c r="S378" i="2"/>
  <c r="R378" i="2"/>
  <c r="Q378" i="2"/>
  <c r="P378" i="2"/>
  <c r="Z377" i="2"/>
  <c r="Y377" i="2"/>
  <c r="V377" i="2"/>
  <c r="U377" i="2"/>
  <c r="X377" i="2" s="1"/>
  <c r="T377" i="2"/>
  <c r="S377" i="2"/>
  <c r="R377" i="2"/>
  <c r="Q377" i="2"/>
  <c r="P377" i="2"/>
  <c r="Z376" i="2"/>
  <c r="Y376" i="2"/>
  <c r="X376" i="2"/>
  <c r="V376" i="2"/>
  <c r="U376" i="2"/>
  <c r="W376" i="2" s="1"/>
  <c r="T376" i="2"/>
  <c r="S376" i="2"/>
  <c r="R376" i="2"/>
  <c r="Q376" i="2"/>
  <c r="P376" i="2"/>
  <c r="Z375" i="2"/>
  <c r="Y375" i="2"/>
  <c r="X375" i="2"/>
  <c r="W375" i="2"/>
  <c r="V375" i="2"/>
  <c r="U375" i="2"/>
  <c r="T375" i="2"/>
  <c r="S375" i="2"/>
  <c r="R375" i="2"/>
  <c r="Q375" i="2"/>
  <c r="P375" i="2"/>
  <c r="Z374" i="2"/>
  <c r="Y374" i="2"/>
  <c r="V374" i="2"/>
  <c r="U374" i="2"/>
  <c r="T374" i="2"/>
  <c r="S374" i="2"/>
  <c r="R374" i="2"/>
  <c r="Q374" i="2"/>
  <c r="P374" i="2"/>
  <c r="Z373" i="2"/>
  <c r="Y373" i="2"/>
  <c r="V373" i="2"/>
  <c r="U373" i="2"/>
  <c r="X373" i="2" s="1"/>
  <c r="T373" i="2"/>
  <c r="S373" i="2"/>
  <c r="R373" i="2"/>
  <c r="Q373" i="2"/>
  <c r="P373" i="2"/>
  <c r="Z372" i="2"/>
  <c r="Y372" i="2"/>
  <c r="V372" i="2"/>
  <c r="U372" i="2"/>
  <c r="X372" i="2" s="1"/>
  <c r="T372" i="2"/>
  <c r="S372" i="2"/>
  <c r="R372" i="2"/>
  <c r="Q372" i="2"/>
  <c r="P372" i="2"/>
  <c r="Z371" i="2"/>
  <c r="Y371" i="2"/>
  <c r="V371" i="2"/>
  <c r="U371" i="2"/>
  <c r="X371" i="2" s="1"/>
  <c r="T371" i="2"/>
  <c r="S371" i="2"/>
  <c r="R371" i="2"/>
  <c r="Q371" i="2"/>
  <c r="P371" i="2"/>
  <c r="Z370" i="2"/>
  <c r="Y370" i="2"/>
  <c r="V370" i="2"/>
  <c r="U370" i="2"/>
  <c r="W370" i="2" s="1"/>
  <c r="T370" i="2"/>
  <c r="S370" i="2"/>
  <c r="R370" i="2"/>
  <c r="Q370" i="2"/>
  <c r="P370" i="2"/>
  <c r="Z369" i="2"/>
  <c r="Y369" i="2"/>
  <c r="X369" i="2"/>
  <c r="W369" i="2"/>
  <c r="V369" i="2"/>
  <c r="U369" i="2"/>
  <c r="T369" i="2"/>
  <c r="S369" i="2"/>
  <c r="R369" i="2"/>
  <c r="Q369" i="2"/>
  <c r="P369" i="2"/>
  <c r="Z368" i="2"/>
  <c r="Y368" i="2"/>
  <c r="V368" i="2"/>
  <c r="U368" i="2"/>
  <c r="T368" i="2"/>
  <c r="S368" i="2"/>
  <c r="R368" i="2"/>
  <c r="Q368" i="2"/>
  <c r="P368" i="2"/>
  <c r="Z367" i="2"/>
  <c r="Y367" i="2"/>
  <c r="V367" i="2"/>
  <c r="U367" i="2"/>
  <c r="X367" i="2" s="1"/>
  <c r="T367" i="2"/>
  <c r="S367" i="2"/>
  <c r="R367" i="2"/>
  <c r="Q367" i="2"/>
  <c r="P367" i="2"/>
  <c r="Z366" i="2"/>
  <c r="Y366" i="2"/>
  <c r="V366" i="2"/>
  <c r="U366" i="2"/>
  <c r="X366" i="2" s="1"/>
  <c r="T366" i="2"/>
  <c r="S366" i="2"/>
  <c r="R366" i="2"/>
  <c r="Q366" i="2"/>
  <c r="P366" i="2"/>
  <c r="Z365" i="2"/>
  <c r="Y365" i="2"/>
  <c r="V365" i="2"/>
  <c r="U365" i="2"/>
  <c r="X365" i="2" s="1"/>
  <c r="T365" i="2"/>
  <c r="S365" i="2"/>
  <c r="R365" i="2"/>
  <c r="Q365" i="2"/>
  <c r="P365" i="2"/>
  <c r="Z364" i="2"/>
  <c r="Y364" i="2"/>
  <c r="X364" i="2"/>
  <c r="V364" i="2"/>
  <c r="U364" i="2"/>
  <c r="W364" i="2" s="1"/>
  <c r="T364" i="2"/>
  <c r="S364" i="2"/>
  <c r="R364" i="2"/>
  <c r="Q364" i="2"/>
  <c r="P364" i="2"/>
  <c r="Z363" i="2"/>
  <c r="Y363" i="2"/>
  <c r="X363" i="2"/>
  <c r="W363" i="2"/>
  <c r="V363" i="2"/>
  <c r="U363" i="2"/>
  <c r="T363" i="2"/>
  <c r="S363" i="2"/>
  <c r="R363" i="2"/>
  <c r="Q363" i="2"/>
  <c r="P363" i="2"/>
  <c r="Z362" i="2"/>
  <c r="Y362" i="2"/>
  <c r="V362" i="2"/>
  <c r="U362" i="2"/>
  <c r="T362" i="2"/>
  <c r="S362" i="2"/>
  <c r="R362" i="2"/>
  <c r="Q362" i="2"/>
  <c r="P362" i="2"/>
  <c r="Z361" i="2"/>
  <c r="Y361" i="2"/>
  <c r="V361" i="2"/>
  <c r="U361" i="2"/>
  <c r="X361" i="2" s="1"/>
  <c r="T361" i="2"/>
  <c r="S361" i="2"/>
  <c r="R361" i="2"/>
  <c r="Q361" i="2"/>
  <c r="P361" i="2"/>
  <c r="Z360" i="2"/>
  <c r="Y360" i="2"/>
  <c r="V360" i="2"/>
  <c r="U360" i="2"/>
  <c r="X360" i="2" s="1"/>
  <c r="T360" i="2"/>
  <c r="S360" i="2"/>
  <c r="R360" i="2"/>
  <c r="Q360" i="2"/>
  <c r="P360" i="2"/>
  <c r="Z359" i="2"/>
  <c r="Y359" i="2"/>
  <c r="V359" i="2"/>
  <c r="U359" i="2"/>
  <c r="X359" i="2" s="1"/>
  <c r="T359" i="2"/>
  <c r="S359" i="2"/>
  <c r="R359" i="2"/>
  <c r="Q359" i="2"/>
  <c r="P359" i="2"/>
  <c r="Z358" i="2"/>
  <c r="Y358" i="2"/>
  <c r="V358" i="2"/>
  <c r="U358" i="2"/>
  <c r="W358" i="2" s="1"/>
  <c r="T358" i="2"/>
  <c r="S358" i="2"/>
  <c r="R358" i="2"/>
  <c r="Q358" i="2"/>
  <c r="P358" i="2"/>
  <c r="Z357" i="2"/>
  <c r="Y357" i="2"/>
  <c r="X357" i="2"/>
  <c r="W357" i="2"/>
  <c r="V357" i="2"/>
  <c r="U357" i="2"/>
  <c r="T357" i="2"/>
  <c r="S357" i="2"/>
  <c r="R357" i="2"/>
  <c r="Q357" i="2"/>
  <c r="P357" i="2"/>
  <c r="Z356" i="2"/>
  <c r="Y356" i="2"/>
  <c r="V356" i="2"/>
  <c r="U356" i="2"/>
  <c r="T356" i="2"/>
  <c r="S356" i="2"/>
  <c r="R356" i="2"/>
  <c r="Q356" i="2"/>
  <c r="P356" i="2"/>
  <c r="Z355" i="2"/>
  <c r="Y355" i="2"/>
  <c r="V355" i="2"/>
  <c r="U355" i="2"/>
  <c r="X355" i="2" s="1"/>
  <c r="T355" i="2"/>
  <c r="S355" i="2"/>
  <c r="R355" i="2"/>
  <c r="Q355" i="2"/>
  <c r="P355" i="2"/>
  <c r="Z354" i="2"/>
  <c r="Y354" i="2"/>
  <c r="V354" i="2"/>
  <c r="U354" i="2"/>
  <c r="X354" i="2" s="1"/>
  <c r="T354" i="2"/>
  <c r="S354" i="2"/>
  <c r="R354" i="2"/>
  <c r="Q354" i="2"/>
  <c r="P354" i="2"/>
  <c r="Z353" i="2"/>
  <c r="Y353" i="2"/>
  <c r="V353" i="2"/>
  <c r="U353" i="2"/>
  <c r="X353" i="2" s="1"/>
  <c r="T353" i="2"/>
  <c r="S353" i="2"/>
  <c r="R353" i="2"/>
  <c r="Q353" i="2"/>
  <c r="P353" i="2"/>
  <c r="Z352" i="2"/>
  <c r="Y352" i="2"/>
  <c r="X352" i="2"/>
  <c r="V352" i="2"/>
  <c r="U352" i="2"/>
  <c r="W352" i="2" s="1"/>
  <c r="T352" i="2"/>
  <c r="S352" i="2"/>
  <c r="R352" i="2"/>
  <c r="Q352" i="2"/>
  <c r="P352" i="2"/>
  <c r="Z351" i="2"/>
  <c r="Y351" i="2"/>
  <c r="X351" i="2"/>
  <c r="W351" i="2"/>
  <c r="V351" i="2"/>
  <c r="U351" i="2"/>
  <c r="T351" i="2"/>
  <c r="S351" i="2"/>
  <c r="R351" i="2"/>
  <c r="Q351" i="2"/>
  <c r="P351" i="2"/>
  <c r="Z350" i="2"/>
  <c r="Y350" i="2"/>
  <c r="V350" i="2"/>
  <c r="U350" i="2"/>
  <c r="T350" i="2"/>
  <c r="S350" i="2"/>
  <c r="R350" i="2"/>
  <c r="Q350" i="2"/>
  <c r="P350" i="2"/>
  <c r="Z349" i="2"/>
  <c r="Y349" i="2"/>
  <c r="V349" i="2"/>
  <c r="U349" i="2"/>
  <c r="X349" i="2" s="1"/>
  <c r="T349" i="2"/>
  <c r="S349" i="2"/>
  <c r="R349" i="2"/>
  <c r="Q349" i="2"/>
  <c r="P349" i="2"/>
  <c r="Z348" i="2"/>
  <c r="Y348" i="2"/>
  <c r="V348" i="2"/>
  <c r="U348" i="2"/>
  <c r="X348" i="2" s="1"/>
  <c r="T348" i="2"/>
  <c r="S348" i="2"/>
  <c r="R348" i="2"/>
  <c r="Q348" i="2"/>
  <c r="P348" i="2"/>
  <c r="Z347" i="2"/>
  <c r="Y347" i="2"/>
  <c r="V347" i="2"/>
  <c r="U347" i="2"/>
  <c r="X347" i="2" s="1"/>
  <c r="T347" i="2"/>
  <c r="S347" i="2"/>
  <c r="R347" i="2"/>
  <c r="Q347" i="2"/>
  <c r="P347" i="2"/>
  <c r="Z346" i="2"/>
  <c r="Y346" i="2"/>
  <c r="V346" i="2"/>
  <c r="U346" i="2"/>
  <c r="W346" i="2" s="1"/>
  <c r="T346" i="2"/>
  <c r="S346" i="2"/>
  <c r="R346" i="2"/>
  <c r="Q346" i="2"/>
  <c r="P346" i="2"/>
  <c r="Z345" i="2"/>
  <c r="Y345" i="2"/>
  <c r="X345" i="2"/>
  <c r="W345" i="2"/>
  <c r="V345" i="2"/>
  <c r="U345" i="2"/>
  <c r="T345" i="2"/>
  <c r="S345" i="2"/>
  <c r="R345" i="2"/>
  <c r="Q345" i="2"/>
  <c r="P345" i="2"/>
  <c r="Z344" i="2"/>
  <c r="Y344" i="2"/>
  <c r="V344" i="2"/>
  <c r="U344" i="2"/>
  <c r="T344" i="2"/>
  <c r="S344" i="2"/>
  <c r="R344" i="2"/>
  <c r="Q344" i="2"/>
  <c r="P344" i="2"/>
  <c r="Z343" i="2"/>
  <c r="Y343" i="2"/>
  <c r="V343" i="2"/>
  <c r="U343" i="2"/>
  <c r="X343" i="2" s="1"/>
  <c r="T343" i="2"/>
  <c r="S343" i="2"/>
  <c r="R343" i="2"/>
  <c r="Q343" i="2"/>
  <c r="P343" i="2"/>
  <c r="Z342" i="2"/>
  <c r="Y342" i="2"/>
  <c r="V342" i="2"/>
  <c r="U342" i="2"/>
  <c r="X342" i="2" s="1"/>
  <c r="T342" i="2"/>
  <c r="S342" i="2"/>
  <c r="R342" i="2"/>
  <c r="Q342" i="2"/>
  <c r="P342" i="2"/>
  <c r="Z341" i="2"/>
  <c r="Y341" i="2"/>
  <c r="V341" i="2"/>
  <c r="U341" i="2"/>
  <c r="X341" i="2" s="1"/>
  <c r="T341" i="2"/>
  <c r="S341" i="2"/>
  <c r="R341" i="2"/>
  <c r="Q341" i="2"/>
  <c r="P341" i="2"/>
  <c r="Z340" i="2"/>
  <c r="Y340" i="2"/>
  <c r="X340" i="2"/>
  <c r="V340" i="2"/>
  <c r="U340" i="2"/>
  <c r="W340" i="2" s="1"/>
  <c r="T340" i="2"/>
  <c r="S340" i="2"/>
  <c r="R340" i="2"/>
  <c r="Q340" i="2"/>
  <c r="P340" i="2"/>
  <c r="Z339" i="2"/>
  <c r="Y339" i="2"/>
  <c r="X339" i="2"/>
  <c r="W339" i="2"/>
  <c r="V339" i="2"/>
  <c r="U339" i="2"/>
  <c r="T339" i="2"/>
  <c r="S339" i="2"/>
  <c r="R339" i="2"/>
  <c r="Q339" i="2"/>
  <c r="P339" i="2"/>
  <c r="Z338" i="2"/>
  <c r="Y338" i="2"/>
  <c r="V338" i="2"/>
  <c r="U338" i="2"/>
  <c r="T338" i="2"/>
  <c r="S338" i="2"/>
  <c r="R338" i="2"/>
  <c r="Q338" i="2"/>
  <c r="P338" i="2"/>
  <c r="Z337" i="2"/>
  <c r="Y337" i="2"/>
  <c r="V337" i="2"/>
  <c r="U337" i="2"/>
  <c r="X337" i="2" s="1"/>
  <c r="T337" i="2"/>
  <c r="S337" i="2"/>
  <c r="R337" i="2"/>
  <c r="Q337" i="2"/>
  <c r="P337" i="2"/>
  <c r="Z336" i="2"/>
  <c r="Y336" i="2"/>
  <c r="V336" i="2"/>
  <c r="U336" i="2"/>
  <c r="X336" i="2" s="1"/>
  <c r="T336" i="2"/>
  <c r="S336" i="2"/>
  <c r="R336" i="2"/>
  <c r="Q336" i="2"/>
  <c r="P336" i="2"/>
  <c r="Z335" i="2"/>
  <c r="Y335" i="2"/>
  <c r="V335" i="2"/>
  <c r="U335" i="2"/>
  <c r="X335" i="2" s="1"/>
  <c r="T335" i="2"/>
  <c r="S335" i="2"/>
  <c r="R335" i="2"/>
  <c r="Q335" i="2"/>
  <c r="P335" i="2"/>
  <c r="Z334" i="2"/>
  <c r="Y334" i="2"/>
  <c r="V334" i="2"/>
  <c r="U334" i="2"/>
  <c r="W334" i="2" s="1"/>
  <c r="T334" i="2"/>
  <c r="S334" i="2"/>
  <c r="R334" i="2"/>
  <c r="Q334" i="2"/>
  <c r="P334" i="2"/>
  <c r="Z333" i="2"/>
  <c r="Y333" i="2"/>
  <c r="X333" i="2"/>
  <c r="W333" i="2"/>
  <c r="V333" i="2"/>
  <c r="U333" i="2"/>
  <c r="T333" i="2"/>
  <c r="S333" i="2"/>
  <c r="R333" i="2"/>
  <c r="Q333" i="2"/>
  <c r="P333" i="2"/>
  <c r="Z332" i="2"/>
  <c r="Y332" i="2"/>
  <c r="V332" i="2"/>
  <c r="U332" i="2"/>
  <c r="T332" i="2"/>
  <c r="S332" i="2"/>
  <c r="R332" i="2"/>
  <c r="Q332" i="2"/>
  <c r="P332" i="2"/>
  <c r="Z331" i="2"/>
  <c r="Y331" i="2"/>
  <c r="V331" i="2"/>
  <c r="U331" i="2"/>
  <c r="X331" i="2" s="1"/>
  <c r="T331" i="2"/>
  <c r="S331" i="2"/>
  <c r="R331" i="2"/>
  <c r="Q331" i="2"/>
  <c r="P331" i="2"/>
  <c r="Z330" i="2"/>
  <c r="Y330" i="2"/>
  <c r="V330" i="2"/>
  <c r="U330" i="2"/>
  <c r="X330" i="2" s="1"/>
  <c r="T330" i="2"/>
  <c r="S330" i="2"/>
  <c r="R330" i="2"/>
  <c r="Q330" i="2"/>
  <c r="P330" i="2"/>
  <c r="Z329" i="2"/>
  <c r="Y329" i="2"/>
  <c r="V329" i="2"/>
  <c r="U329" i="2"/>
  <c r="X329" i="2" s="1"/>
  <c r="T329" i="2"/>
  <c r="S329" i="2"/>
  <c r="R329" i="2"/>
  <c r="Q329" i="2"/>
  <c r="P329" i="2"/>
  <c r="Z328" i="2"/>
  <c r="Y328" i="2"/>
  <c r="X328" i="2"/>
  <c r="V328" i="2"/>
  <c r="U328" i="2"/>
  <c r="W328" i="2" s="1"/>
  <c r="T328" i="2"/>
  <c r="S328" i="2"/>
  <c r="R328" i="2"/>
  <c r="Q328" i="2"/>
  <c r="P328" i="2"/>
  <c r="Z327" i="2"/>
  <c r="Y327" i="2"/>
  <c r="X327" i="2"/>
  <c r="W327" i="2"/>
  <c r="V327" i="2"/>
  <c r="U327" i="2"/>
  <c r="T327" i="2"/>
  <c r="S327" i="2"/>
  <c r="R327" i="2"/>
  <c r="Q327" i="2"/>
  <c r="P327" i="2"/>
  <c r="Z326" i="2"/>
  <c r="Y326" i="2"/>
  <c r="V326" i="2"/>
  <c r="U326" i="2"/>
  <c r="T326" i="2"/>
  <c r="S326" i="2"/>
  <c r="R326" i="2"/>
  <c r="Q326" i="2"/>
  <c r="P326" i="2"/>
  <c r="Z325" i="2"/>
  <c r="Y325" i="2"/>
  <c r="V325" i="2"/>
  <c r="U325" i="2"/>
  <c r="X325" i="2" s="1"/>
  <c r="T325" i="2"/>
  <c r="S325" i="2"/>
  <c r="R325" i="2"/>
  <c r="Q325" i="2"/>
  <c r="P325" i="2"/>
  <c r="Z324" i="2"/>
  <c r="Y324" i="2"/>
  <c r="V324" i="2"/>
  <c r="U324" i="2"/>
  <c r="X324" i="2" s="1"/>
  <c r="T324" i="2"/>
  <c r="S324" i="2"/>
  <c r="R324" i="2"/>
  <c r="Q324" i="2"/>
  <c r="P324" i="2"/>
  <c r="Z323" i="2"/>
  <c r="Y323" i="2"/>
  <c r="V323" i="2"/>
  <c r="U323" i="2"/>
  <c r="X323" i="2" s="1"/>
  <c r="T323" i="2"/>
  <c r="S323" i="2"/>
  <c r="R323" i="2"/>
  <c r="Q323" i="2"/>
  <c r="P323" i="2"/>
  <c r="Z322" i="2"/>
  <c r="Y322" i="2"/>
  <c r="V322" i="2"/>
  <c r="U322" i="2"/>
  <c r="W322" i="2" s="1"/>
  <c r="T322" i="2"/>
  <c r="S322" i="2"/>
  <c r="R322" i="2"/>
  <c r="Q322" i="2"/>
  <c r="P322" i="2"/>
  <c r="Z321" i="2"/>
  <c r="Y321" i="2"/>
  <c r="X321" i="2"/>
  <c r="W321" i="2"/>
  <c r="V321" i="2"/>
  <c r="U321" i="2"/>
  <c r="T321" i="2"/>
  <c r="S321" i="2"/>
  <c r="R321" i="2"/>
  <c r="Q321" i="2"/>
  <c r="P321" i="2"/>
  <c r="Z320" i="2"/>
  <c r="Y320" i="2"/>
  <c r="V320" i="2"/>
  <c r="U320" i="2"/>
  <c r="T320" i="2"/>
  <c r="S320" i="2"/>
  <c r="R320" i="2"/>
  <c r="Q320" i="2"/>
  <c r="P320" i="2"/>
  <c r="Z319" i="2"/>
  <c r="Y319" i="2"/>
  <c r="V319" i="2"/>
  <c r="U319" i="2"/>
  <c r="X319" i="2" s="1"/>
  <c r="T319" i="2"/>
  <c r="S319" i="2"/>
  <c r="R319" i="2"/>
  <c r="Q319" i="2"/>
  <c r="P319" i="2"/>
  <c r="Z318" i="2"/>
  <c r="Y318" i="2"/>
  <c r="V318" i="2"/>
  <c r="U318" i="2"/>
  <c r="X318" i="2" s="1"/>
  <c r="T318" i="2"/>
  <c r="S318" i="2"/>
  <c r="R318" i="2"/>
  <c r="Q318" i="2"/>
  <c r="P318" i="2"/>
  <c r="Z317" i="2"/>
  <c r="Y317" i="2"/>
  <c r="V317" i="2"/>
  <c r="U317" i="2"/>
  <c r="X317" i="2" s="1"/>
  <c r="T317" i="2"/>
  <c r="S317" i="2"/>
  <c r="R317" i="2"/>
  <c r="Q317" i="2"/>
  <c r="P317" i="2"/>
  <c r="Z316" i="2"/>
  <c r="Y316" i="2"/>
  <c r="X316" i="2"/>
  <c r="V316" i="2"/>
  <c r="U316" i="2"/>
  <c r="W316" i="2" s="1"/>
  <c r="T316" i="2"/>
  <c r="S316" i="2"/>
  <c r="R316" i="2"/>
  <c r="Q316" i="2"/>
  <c r="P316" i="2"/>
  <c r="Z315" i="2"/>
  <c r="Y315" i="2"/>
  <c r="X315" i="2"/>
  <c r="W315" i="2"/>
  <c r="V315" i="2"/>
  <c r="U315" i="2"/>
  <c r="T315" i="2"/>
  <c r="S315" i="2"/>
  <c r="R315" i="2"/>
  <c r="Q315" i="2"/>
  <c r="P315" i="2"/>
  <c r="Z314" i="2"/>
  <c r="Y314" i="2"/>
  <c r="V314" i="2"/>
  <c r="U314" i="2"/>
  <c r="T314" i="2"/>
  <c r="S314" i="2"/>
  <c r="R314" i="2"/>
  <c r="Q314" i="2"/>
  <c r="P314" i="2"/>
  <c r="Z313" i="2"/>
  <c r="Y313" i="2"/>
  <c r="V313" i="2"/>
  <c r="U313" i="2"/>
  <c r="X313" i="2" s="1"/>
  <c r="T313" i="2"/>
  <c r="S313" i="2"/>
  <c r="R313" i="2"/>
  <c r="Q313" i="2"/>
  <c r="P313" i="2"/>
  <c r="Z312" i="2"/>
  <c r="Y312" i="2"/>
  <c r="V312" i="2"/>
  <c r="U312" i="2"/>
  <c r="X312" i="2" s="1"/>
  <c r="T312" i="2"/>
  <c r="S312" i="2"/>
  <c r="R312" i="2"/>
  <c r="Q312" i="2"/>
  <c r="P312" i="2"/>
  <c r="Z311" i="2"/>
  <c r="Y311" i="2"/>
  <c r="V311" i="2"/>
  <c r="U311" i="2"/>
  <c r="X311" i="2" s="1"/>
  <c r="T311" i="2"/>
  <c r="S311" i="2"/>
  <c r="R311" i="2"/>
  <c r="Q311" i="2"/>
  <c r="P311" i="2"/>
  <c r="Z310" i="2"/>
  <c r="Y310" i="2"/>
  <c r="V310" i="2"/>
  <c r="U310" i="2"/>
  <c r="W310" i="2" s="1"/>
  <c r="T310" i="2"/>
  <c r="S310" i="2"/>
  <c r="R310" i="2"/>
  <c r="Q310" i="2"/>
  <c r="P310" i="2"/>
  <c r="Z309" i="2"/>
  <c r="Y309" i="2"/>
  <c r="X309" i="2"/>
  <c r="W309" i="2"/>
  <c r="V309" i="2"/>
  <c r="U309" i="2"/>
  <c r="T309" i="2"/>
  <c r="S309" i="2"/>
  <c r="R309" i="2"/>
  <c r="Q309" i="2"/>
  <c r="P309" i="2"/>
  <c r="Z308" i="2"/>
  <c r="Y308" i="2"/>
  <c r="V308" i="2"/>
  <c r="U308" i="2"/>
  <c r="T308" i="2"/>
  <c r="S308" i="2"/>
  <c r="R308" i="2"/>
  <c r="Q308" i="2"/>
  <c r="P308" i="2"/>
  <c r="Z307" i="2"/>
  <c r="Y307" i="2"/>
  <c r="V307" i="2"/>
  <c r="U307" i="2"/>
  <c r="X307" i="2" s="1"/>
  <c r="T307" i="2"/>
  <c r="S307" i="2"/>
  <c r="R307" i="2"/>
  <c r="Q307" i="2"/>
  <c r="P307" i="2"/>
  <c r="Z306" i="2"/>
  <c r="Y306" i="2"/>
  <c r="V306" i="2"/>
  <c r="U306" i="2"/>
  <c r="X306" i="2" s="1"/>
  <c r="T306" i="2"/>
  <c r="S306" i="2"/>
  <c r="R306" i="2"/>
  <c r="Q306" i="2"/>
  <c r="P306" i="2"/>
  <c r="Z305" i="2"/>
  <c r="Y305" i="2"/>
  <c r="V305" i="2"/>
  <c r="U305" i="2"/>
  <c r="X305" i="2" s="1"/>
  <c r="T305" i="2"/>
  <c r="S305" i="2"/>
  <c r="R305" i="2"/>
  <c r="Q305" i="2"/>
  <c r="P305" i="2"/>
  <c r="Z304" i="2"/>
  <c r="Y304" i="2"/>
  <c r="X304" i="2"/>
  <c r="V304" i="2"/>
  <c r="U304" i="2"/>
  <c r="W304" i="2" s="1"/>
  <c r="T304" i="2"/>
  <c r="S304" i="2"/>
  <c r="R304" i="2"/>
  <c r="Q304" i="2"/>
  <c r="P304" i="2"/>
  <c r="Z303" i="2"/>
  <c r="Y303" i="2"/>
  <c r="X303" i="2"/>
  <c r="W303" i="2"/>
  <c r="V303" i="2"/>
  <c r="U303" i="2"/>
  <c r="T303" i="2"/>
  <c r="S303" i="2"/>
  <c r="R303" i="2"/>
  <c r="Q303" i="2"/>
  <c r="P303" i="2"/>
  <c r="Z302" i="2"/>
  <c r="Y302" i="2"/>
  <c r="V302" i="2"/>
  <c r="U302" i="2"/>
  <c r="T302" i="2"/>
  <c r="S302" i="2"/>
  <c r="R302" i="2"/>
  <c r="Q302" i="2"/>
  <c r="P302" i="2"/>
  <c r="Z301" i="2"/>
  <c r="Y301" i="2"/>
  <c r="V301" i="2"/>
  <c r="U301" i="2"/>
  <c r="X301" i="2" s="1"/>
  <c r="T301" i="2"/>
  <c r="S301" i="2"/>
  <c r="R301" i="2"/>
  <c r="Q301" i="2"/>
  <c r="P301" i="2"/>
  <c r="Z300" i="2"/>
  <c r="Y300" i="2"/>
  <c r="V300" i="2"/>
  <c r="U300" i="2"/>
  <c r="X300" i="2" s="1"/>
  <c r="T300" i="2"/>
  <c r="S300" i="2"/>
  <c r="R300" i="2"/>
  <c r="Q300" i="2"/>
  <c r="P300" i="2"/>
  <c r="Z299" i="2"/>
  <c r="Y299" i="2"/>
  <c r="V299" i="2"/>
  <c r="U299" i="2"/>
  <c r="X299" i="2" s="1"/>
  <c r="T299" i="2"/>
  <c r="S299" i="2"/>
  <c r="R299" i="2"/>
  <c r="Q299" i="2"/>
  <c r="P299" i="2"/>
  <c r="Z298" i="2"/>
  <c r="Y298" i="2"/>
  <c r="V298" i="2"/>
  <c r="U298" i="2"/>
  <c r="W298" i="2" s="1"/>
  <c r="T298" i="2"/>
  <c r="S298" i="2"/>
  <c r="R298" i="2"/>
  <c r="Q298" i="2"/>
  <c r="P298" i="2"/>
  <c r="Z297" i="2"/>
  <c r="Y297" i="2"/>
  <c r="X297" i="2"/>
  <c r="W297" i="2"/>
  <c r="V297" i="2"/>
  <c r="U297" i="2"/>
  <c r="T297" i="2"/>
  <c r="S297" i="2"/>
  <c r="R297" i="2"/>
  <c r="Q297" i="2"/>
  <c r="P297" i="2"/>
  <c r="Z296" i="2"/>
  <c r="Y296" i="2"/>
  <c r="V296" i="2"/>
  <c r="U296" i="2"/>
  <c r="T296" i="2"/>
  <c r="S296" i="2"/>
  <c r="R296" i="2"/>
  <c r="Q296" i="2"/>
  <c r="P296" i="2"/>
  <c r="Z295" i="2"/>
  <c r="Y295" i="2"/>
  <c r="V295" i="2"/>
  <c r="U295" i="2"/>
  <c r="X295" i="2" s="1"/>
  <c r="T295" i="2"/>
  <c r="S295" i="2"/>
  <c r="R295" i="2"/>
  <c r="Q295" i="2"/>
  <c r="P295" i="2"/>
  <c r="Z294" i="2"/>
  <c r="Y294" i="2"/>
  <c r="V294" i="2"/>
  <c r="U294" i="2"/>
  <c r="X294" i="2" s="1"/>
  <c r="T294" i="2"/>
  <c r="S294" i="2"/>
  <c r="R294" i="2"/>
  <c r="Q294" i="2"/>
  <c r="P294" i="2"/>
  <c r="Z293" i="2"/>
  <c r="Y293" i="2"/>
  <c r="V293" i="2"/>
  <c r="U293" i="2"/>
  <c r="X293" i="2" s="1"/>
  <c r="T293" i="2"/>
  <c r="S293" i="2"/>
  <c r="R293" i="2"/>
  <c r="Q293" i="2"/>
  <c r="P293" i="2"/>
  <c r="Z292" i="2"/>
  <c r="Y292" i="2"/>
  <c r="X292" i="2"/>
  <c r="V292" i="2"/>
  <c r="U292" i="2"/>
  <c r="W292" i="2" s="1"/>
  <c r="T292" i="2"/>
  <c r="S292" i="2"/>
  <c r="R292" i="2"/>
  <c r="Q292" i="2"/>
  <c r="P292" i="2"/>
  <c r="Z291" i="2"/>
  <c r="Y291" i="2"/>
  <c r="X291" i="2"/>
  <c r="W291" i="2"/>
  <c r="V291" i="2"/>
  <c r="U291" i="2"/>
  <c r="T291" i="2"/>
  <c r="S291" i="2"/>
  <c r="R291" i="2"/>
  <c r="Q291" i="2"/>
  <c r="P291" i="2"/>
  <c r="Z290" i="2"/>
  <c r="Y290" i="2"/>
  <c r="V290" i="2"/>
  <c r="U290" i="2"/>
  <c r="T290" i="2"/>
  <c r="S290" i="2"/>
  <c r="R290" i="2"/>
  <c r="Q290" i="2"/>
  <c r="P290" i="2"/>
  <c r="Z289" i="2"/>
  <c r="Y289" i="2"/>
  <c r="V289" i="2"/>
  <c r="U289" i="2"/>
  <c r="X289" i="2" s="1"/>
  <c r="T289" i="2"/>
  <c r="S289" i="2"/>
  <c r="R289" i="2"/>
  <c r="Q289" i="2"/>
  <c r="P289" i="2"/>
  <c r="Z288" i="2"/>
  <c r="Y288" i="2"/>
  <c r="V288" i="2"/>
  <c r="U288" i="2"/>
  <c r="X288" i="2" s="1"/>
  <c r="T288" i="2"/>
  <c r="S288" i="2"/>
  <c r="R288" i="2"/>
  <c r="Q288" i="2"/>
  <c r="P288" i="2"/>
  <c r="Z287" i="2"/>
  <c r="Y287" i="2"/>
  <c r="V287" i="2"/>
  <c r="U287" i="2"/>
  <c r="X287" i="2" s="1"/>
  <c r="T287" i="2"/>
  <c r="S287" i="2"/>
  <c r="R287" i="2"/>
  <c r="Q287" i="2"/>
  <c r="P287" i="2"/>
  <c r="Z286" i="2"/>
  <c r="Y286" i="2"/>
  <c r="V286" i="2"/>
  <c r="U286" i="2"/>
  <c r="W286" i="2" s="1"/>
  <c r="T286" i="2"/>
  <c r="S286" i="2"/>
  <c r="R286" i="2"/>
  <c r="Q286" i="2"/>
  <c r="P286" i="2"/>
  <c r="Z285" i="2"/>
  <c r="Y285" i="2"/>
  <c r="X285" i="2"/>
  <c r="W285" i="2"/>
  <c r="V285" i="2"/>
  <c r="U285" i="2"/>
  <c r="T285" i="2"/>
  <c r="S285" i="2"/>
  <c r="R285" i="2"/>
  <c r="Q285" i="2"/>
  <c r="P285" i="2"/>
  <c r="Z284" i="2"/>
  <c r="Y284" i="2"/>
  <c r="V284" i="2"/>
  <c r="U284" i="2"/>
  <c r="T284" i="2"/>
  <c r="S284" i="2"/>
  <c r="R284" i="2"/>
  <c r="Q284" i="2"/>
  <c r="P284" i="2"/>
  <c r="Z283" i="2"/>
  <c r="Y283" i="2"/>
  <c r="V283" i="2"/>
  <c r="U283" i="2"/>
  <c r="X283" i="2" s="1"/>
  <c r="T283" i="2"/>
  <c r="S283" i="2"/>
  <c r="R283" i="2"/>
  <c r="Q283" i="2"/>
  <c r="P283" i="2"/>
  <c r="Z282" i="2"/>
  <c r="Y282" i="2"/>
  <c r="V282" i="2"/>
  <c r="U282" i="2"/>
  <c r="X282" i="2" s="1"/>
  <c r="T282" i="2"/>
  <c r="S282" i="2"/>
  <c r="R282" i="2"/>
  <c r="Q282" i="2"/>
  <c r="P282" i="2"/>
  <c r="Z281" i="2"/>
  <c r="Y281" i="2"/>
  <c r="V281" i="2"/>
  <c r="U281" i="2"/>
  <c r="X281" i="2" s="1"/>
  <c r="T281" i="2"/>
  <c r="S281" i="2"/>
  <c r="R281" i="2"/>
  <c r="Q281" i="2"/>
  <c r="P281" i="2"/>
  <c r="Z280" i="2"/>
  <c r="Y280" i="2"/>
  <c r="X280" i="2"/>
  <c r="V280" i="2"/>
  <c r="U280" i="2"/>
  <c r="W280" i="2" s="1"/>
  <c r="T280" i="2"/>
  <c r="S280" i="2"/>
  <c r="R280" i="2"/>
  <c r="Q280" i="2"/>
  <c r="P280" i="2"/>
  <c r="Z279" i="2"/>
  <c r="Y279" i="2"/>
  <c r="X279" i="2"/>
  <c r="W279" i="2"/>
  <c r="V279" i="2"/>
  <c r="U279" i="2"/>
  <c r="T279" i="2"/>
  <c r="S279" i="2"/>
  <c r="R279" i="2"/>
  <c r="Q279" i="2"/>
  <c r="P279" i="2"/>
  <c r="Z278" i="2"/>
  <c r="Y278" i="2"/>
  <c r="V278" i="2"/>
  <c r="U278" i="2"/>
  <c r="T278" i="2"/>
  <c r="S278" i="2"/>
  <c r="R278" i="2"/>
  <c r="Q278" i="2"/>
  <c r="P278" i="2"/>
  <c r="Z277" i="2"/>
  <c r="Y277" i="2"/>
  <c r="V277" i="2"/>
  <c r="U277" i="2"/>
  <c r="X277" i="2" s="1"/>
  <c r="T277" i="2"/>
  <c r="S277" i="2"/>
  <c r="R277" i="2"/>
  <c r="Q277" i="2"/>
  <c r="P277" i="2"/>
  <c r="Z276" i="2"/>
  <c r="Y276" i="2"/>
  <c r="V276" i="2"/>
  <c r="U276" i="2"/>
  <c r="X276" i="2" s="1"/>
  <c r="T276" i="2"/>
  <c r="S276" i="2"/>
  <c r="R276" i="2"/>
  <c r="Q276" i="2"/>
  <c r="P276" i="2"/>
  <c r="Z275" i="2"/>
  <c r="Y275" i="2"/>
  <c r="V275" i="2"/>
  <c r="U275" i="2"/>
  <c r="X275" i="2" s="1"/>
  <c r="T275" i="2"/>
  <c r="S275" i="2"/>
  <c r="R275" i="2"/>
  <c r="Q275" i="2"/>
  <c r="P275" i="2"/>
  <c r="Z274" i="2"/>
  <c r="Y274" i="2"/>
  <c r="V274" i="2"/>
  <c r="U274" i="2"/>
  <c r="W274" i="2" s="1"/>
  <c r="T274" i="2"/>
  <c r="S274" i="2"/>
  <c r="R274" i="2"/>
  <c r="Q274" i="2"/>
  <c r="P274" i="2"/>
  <c r="Z273" i="2"/>
  <c r="Y273" i="2"/>
  <c r="X273" i="2"/>
  <c r="W273" i="2"/>
  <c r="V273" i="2"/>
  <c r="U273" i="2"/>
  <c r="T273" i="2"/>
  <c r="S273" i="2"/>
  <c r="R273" i="2"/>
  <c r="Q273" i="2"/>
  <c r="P273" i="2"/>
  <c r="Z272" i="2"/>
  <c r="Y272" i="2"/>
  <c r="V272" i="2"/>
  <c r="U272" i="2"/>
  <c r="T272" i="2"/>
  <c r="S272" i="2"/>
  <c r="R272" i="2"/>
  <c r="Q272" i="2"/>
  <c r="P272" i="2"/>
  <c r="Z271" i="2"/>
  <c r="Y271" i="2"/>
  <c r="V271" i="2"/>
  <c r="U271" i="2"/>
  <c r="X271" i="2" s="1"/>
  <c r="T271" i="2"/>
  <c r="S271" i="2"/>
  <c r="R271" i="2"/>
  <c r="Q271" i="2"/>
  <c r="P271" i="2"/>
  <c r="Z270" i="2"/>
  <c r="Y270" i="2"/>
  <c r="V270" i="2"/>
  <c r="U270" i="2"/>
  <c r="X270" i="2" s="1"/>
  <c r="T270" i="2"/>
  <c r="S270" i="2"/>
  <c r="R270" i="2"/>
  <c r="Q270" i="2"/>
  <c r="P270" i="2"/>
  <c r="Z269" i="2"/>
  <c r="Y269" i="2"/>
  <c r="V269" i="2"/>
  <c r="U269" i="2"/>
  <c r="X269" i="2" s="1"/>
  <c r="T269" i="2"/>
  <c r="S269" i="2"/>
  <c r="R269" i="2"/>
  <c r="Q269" i="2"/>
  <c r="P269" i="2"/>
  <c r="Z268" i="2"/>
  <c r="Y268" i="2"/>
  <c r="X268" i="2"/>
  <c r="V268" i="2"/>
  <c r="U268" i="2"/>
  <c r="W268" i="2" s="1"/>
  <c r="T268" i="2"/>
  <c r="S268" i="2"/>
  <c r="R268" i="2"/>
  <c r="Q268" i="2"/>
  <c r="P268" i="2"/>
  <c r="Z267" i="2"/>
  <c r="Y267" i="2"/>
  <c r="X267" i="2"/>
  <c r="W267" i="2"/>
  <c r="V267" i="2"/>
  <c r="U267" i="2"/>
  <c r="T267" i="2"/>
  <c r="S267" i="2"/>
  <c r="R267" i="2"/>
  <c r="Q267" i="2"/>
  <c r="P267" i="2"/>
  <c r="Z266" i="2"/>
  <c r="Y266" i="2"/>
  <c r="V266" i="2"/>
  <c r="U266" i="2"/>
  <c r="T266" i="2"/>
  <c r="S266" i="2"/>
  <c r="R266" i="2"/>
  <c r="Q266" i="2"/>
  <c r="P266" i="2"/>
  <c r="Z265" i="2"/>
  <c r="Y265" i="2"/>
  <c r="V265" i="2"/>
  <c r="U265" i="2"/>
  <c r="X265" i="2" s="1"/>
  <c r="T265" i="2"/>
  <c r="S265" i="2"/>
  <c r="R265" i="2"/>
  <c r="Q265" i="2"/>
  <c r="P265" i="2"/>
  <c r="Z264" i="2"/>
  <c r="Y264" i="2"/>
  <c r="V264" i="2"/>
  <c r="U264" i="2"/>
  <c r="X264" i="2" s="1"/>
  <c r="T264" i="2"/>
  <c r="S264" i="2"/>
  <c r="R264" i="2"/>
  <c r="Q264" i="2"/>
  <c r="P264" i="2"/>
  <c r="Z263" i="2"/>
  <c r="Y263" i="2"/>
  <c r="V263" i="2"/>
  <c r="U263" i="2"/>
  <c r="X263" i="2" s="1"/>
  <c r="T263" i="2"/>
  <c r="S263" i="2"/>
  <c r="R263" i="2"/>
  <c r="Q263" i="2"/>
  <c r="P263" i="2"/>
  <c r="Z262" i="2"/>
  <c r="Y262" i="2"/>
  <c r="V262" i="2"/>
  <c r="U262" i="2"/>
  <c r="W262" i="2" s="1"/>
  <c r="T262" i="2"/>
  <c r="S262" i="2"/>
  <c r="R262" i="2"/>
  <c r="Q262" i="2"/>
  <c r="P262" i="2"/>
  <c r="Z261" i="2"/>
  <c r="Y261" i="2"/>
  <c r="X261" i="2"/>
  <c r="W261" i="2"/>
  <c r="V261" i="2"/>
  <c r="U261" i="2"/>
  <c r="T261" i="2"/>
  <c r="S261" i="2"/>
  <c r="R261" i="2"/>
  <c r="Q261" i="2"/>
  <c r="P261" i="2"/>
  <c r="Z260" i="2"/>
  <c r="Y260" i="2"/>
  <c r="V260" i="2"/>
  <c r="U260" i="2"/>
  <c r="T260" i="2"/>
  <c r="S260" i="2"/>
  <c r="R260" i="2"/>
  <c r="Q260" i="2"/>
  <c r="P260" i="2"/>
  <c r="Z259" i="2"/>
  <c r="Y259" i="2"/>
  <c r="V259" i="2"/>
  <c r="U259" i="2"/>
  <c r="X259" i="2" s="1"/>
  <c r="T259" i="2"/>
  <c r="S259" i="2"/>
  <c r="R259" i="2"/>
  <c r="Q259" i="2"/>
  <c r="P259" i="2"/>
  <c r="Z258" i="2"/>
  <c r="Y258" i="2"/>
  <c r="V258" i="2"/>
  <c r="U258" i="2"/>
  <c r="X258" i="2" s="1"/>
  <c r="T258" i="2"/>
  <c r="S258" i="2"/>
  <c r="R258" i="2"/>
  <c r="Q258" i="2"/>
  <c r="P258" i="2"/>
  <c r="Z257" i="2"/>
  <c r="Y257" i="2"/>
  <c r="V257" i="2"/>
  <c r="U257" i="2"/>
  <c r="X257" i="2" s="1"/>
  <c r="T257" i="2"/>
  <c r="S257" i="2"/>
  <c r="R257" i="2"/>
  <c r="Q257" i="2"/>
  <c r="P257" i="2"/>
  <c r="Z256" i="2"/>
  <c r="Y256" i="2"/>
  <c r="X256" i="2"/>
  <c r="V256" i="2"/>
  <c r="U256" i="2"/>
  <c r="W256" i="2" s="1"/>
  <c r="T256" i="2"/>
  <c r="S256" i="2"/>
  <c r="R256" i="2"/>
  <c r="Q256" i="2"/>
  <c r="P256" i="2"/>
  <c r="Z255" i="2"/>
  <c r="Y255" i="2"/>
  <c r="X255" i="2"/>
  <c r="W255" i="2"/>
  <c r="V255" i="2"/>
  <c r="U255" i="2"/>
  <c r="T255" i="2"/>
  <c r="S255" i="2"/>
  <c r="R255" i="2"/>
  <c r="Q255" i="2"/>
  <c r="P255" i="2"/>
  <c r="Z254" i="2"/>
  <c r="Y254" i="2"/>
  <c r="V254" i="2"/>
  <c r="U254" i="2"/>
  <c r="T254" i="2"/>
  <c r="S254" i="2"/>
  <c r="R254" i="2"/>
  <c r="Q254" i="2"/>
  <c r="P254" i="2"/>
  <c r="Z253" i="2"/>
  <c r="Y253" i="2"/>
  <c r="V253" i="2"/>
  <c r="U253" i="2"/>
  <c r="X253" i="2" s="1"/>
  <c r="T253" i="2"/>
  <c r="S253" i="2"/>
  <c r="R253" i="2"/>
  <c r="Q253" i="2"/>
  <c r="P253" i="2"/>
  <c r="Z252" i="2"/>
  <c r="Y252" i="2"/>
  <c r="V252" i="2"/>
  <c r="U252" i="2"/>
  <c r="X252" i="2" s="1"/>
  <c r="T252" i="2"/>
  <c r="S252" i="2"/>
  <c r="R252" i="2"/>
  <c r="Q252" i="2"/>
  <c r="P252" i="2"/>
  <c r="Z251" i="2"/>
  <c r="Y251" i="2"/>
  <c r="V251" i="2"/>
  <c r="U251" i="2"/>
  <c r="X251" i="2" s="1"/>
  <c r="T251" i="2"/>
  <c r="S251" i="2"/>
  <c r="R251" i="2"/>
  <c r="Q251" i="2"/>
  <c r="P251" i="2"/>
  <c r="Z250" i="2"/>
  <c r="Y250" i="2"/>
  <c r="V250" i="2"/>
  <c r="U250" i="2"/>
  <c r="W250" i="2" s="1"/>
  <c r="T250" i="2"/>
  <c r="S250" i="2"/>
  <c r="R250" i="2"/>
  <c r="Q250" i="2"/>
  <c r="P250" i="2"/>
  <c r="Z249" i="2"/>
  <c r="Y249" i="2"/>
  <c r="X249" i="2"/>
  <c r="W249" i="2"/>
  <c r="V249" i="2"/>
  <c r="U249" i="2"/>
  <c r="T249" i="2"/>
  <c r="S249" i="2"/>
  <c r="R249" i="2"/>
  <c r="Q249" i="2"/>
  <c r="P249" i="2"/>
  <c r="Z248" i="2"/>
  <c r="Y248" i="2"/>
  <c r="V248" i="2"/>
  <c r="U248" i="2"/>
  <c r="T248" i="2"/>
  <c r="S248" i="2"/>
  <c r="R248" i="2"/>
  <c r="Q248" i="2"/>
  <c r="P248" i="2"/>
  <c r="Z247" i="2"/>
  <c r="Y247" i="2"/>
  <c r="V247" i="2"/>
  <c r="U247" i="2"/>
  <c r="X247" i="2" s="1"/>
  <c r="T247" i="2"/>
  <c r="S247" i="2"/>
  <c r="R247" i="2"/>
  <c r="Q247" i="2"/>
  <c r="P247" i="2"/>
  <c r="Z246" i="2"/>
  <c r="Y246" i="2"/>
  <c r="V246" i="2"/>
  <c r="U246" i="2"/>
  <c r="X246" i="2" s="1"/>
  <c r="T246" i="2"/>
  <c r="S246" i="2"/>
  <c r="R246" i="2"/>
  <c r="Q246" i="2"/>
  <c r="P246" i="2"/>
  <c r="Z245" i="2"/>
  <c r="Y245" i="2"/>
  <c r="V245" i="2"/>
  <c r="U245" i="2"/>
  <c r="X245" i="2" s="1"/>
  <c r="T245" i="2"/>
  <c r="S245" i="2"/>
  <c r="R245" i="2"/>
  <c r="Q245" i="2"/>
  <c r="P245" i="2"/>
  <c r="Z244" i="2"/>
  <c r="Y244" i="2"/>
  <c r="X244" i="2"/>
  <c r="V244" i="2"/>
  <c r="U244" i="2"/>
  <c r="W244" i="2" s="1"/>
  <c r="T244" i="2"/>
  <c r="S244" i="2"/>
  <c r="R244" i="2"/>
  <c r="Q244" i="2"/>
  <c r="P244" i="2"/>
  <c r="Z243" i="2"/>
  <c r="Y243" i="2"/>
  <c r="X243" i="2"/>
  <c r="W243" i="2"/>
  <c r="V243" i="2"/>
  <c r="U243" i="2"/>
  <c r="T243" i="2"/>
  <c r="S243" i="2"/>
  <c r="R243" i="2"/>
  <c r="Q243" i="2"/>
  <c r="P243" i="2"/>
  <c r="Z242" i="2"/>
  <c r="Y242" i="2"/>
  <c r="V242" i="2"/>
  <c r="U242" i="2"/>
  <c r="T242" i="2"/>
  <c r="S242" i="2"/>
  <c r="R242" i="2"/>
  <c r="Q242" i="2"/>
  <c r="P242" i="2"/>
  <c r="Z241" i="2"/>
  <c r="Y241" i="2"/>
  <c r="V241" i="2"/>
  <c r="U241" i="2"/>
  <c r="X241" i="2" s="1"/>
  <c r="T241" i="2"/>
  <c r="S241" i="2"/>
  <c r="R241" i="2"/>
  <c r="Q241" i="2"/>
  <c r="P241" i="2"/>
  <c r="Z240" i="2"/>
  <c r="Y240" i="2"/>
  <c r="V240" i="2"/>
  <c r="U240" i="2"/>
  <c r="X240" i="2" s="1"/>
  <c r="T240" i="2"/>
  <c r="S240" i="2"/>
  <c r="R240" i="2"/>
  <c r="Q240" i="2"/>
  <c r="P240" i="2"/>
  <c r="Z239" i="2"/>
  <c r="Y239" i="2"/>
  <c r="V239" i="2"/>
  <c r="U239" i="2"/>
  <c r="X239" i="2" s="1"/>
  <c r="T239" i="2"/>
  <c r="S239" i="2"/>
  <c r="R239" i="2"/>
  <c r="Q239" i="2"/>
  <c r="P239" i="2"/>
  <c r="Z238" i="2"/>
  <c r="Y238" i="2"/>
  <c r="V238" i="2"/>
  <c r="U238" i="2"/>
  <c r="W238" i="2" s="1"/>
  <c r="T238" i="2"/>
  <c r="S238" i="2"/>
  <c r="R238" i="2"/>
  <c r="Q238" i="2"/>
  <c r="P238" i="2"/>
  <c r="Z237" i="2"/>
  <c r="Y237" i="2"/>
  <c r="X237" i="2"/>
  <c r="W237" i="2"/>
  <c r="V237" i="2"/>
  <c r="U237" i="2"/>
  <c r="T237" i="2"/>
  <c r="S237" i="2"/>
  <c r="R237" i="2"/>
  <c r="Q237" i="2"/>
  <c r="P237" i="2"/>
  <c r="Z236" i="2"/>
  <c r="Y236" i="2"/>
  <c r="V236" i="2"/>
  <c r="U236" i="2"/>
  <c r="T236" i="2"/>
  <c r="S236" i="2"/>
  <c r="R236" i="2"/>
  <c r="Q236" i="2"/>
  <c r="P236" i="2"/>
  <c r="Z235" i="2"/>
  <c r="Y235" i="2"/>
  <c r="V235" i="2"/>
  <c r="U235" i="2"/>
  <c r="X235" i="2" s="1"/>
  <c r="T235" i="2"/>
  <c r="S235" i="2"/>
  <c r="R235" i="2"/>
  <c r="Q235" i="2"/>
  <c r="P235" i="2"/>
  <c r="Z234" i="2"/>
  <c r="Y234" i="2"/>
  <c r="V234" i="2"/>
  <c r="U234" i="2"/>
  <c r="X234" i="2" s="1"/>
  <c r="T234" i="2"/>
  <c r="S234" i="2"/>
  <c r="R234" i="2"/>
  <c r="Q234" i="2"/>
  <c r="P234" i="2"/>
  <c r="Z233" i="2"/>
  <c r="Y233" i="2"/>
  <c r="V233" i="2"/>
  <c r="U233" i="2"/>
  <c r="X233" i="2" s="1"/>
  <c r="T233" i="2"/>
  <c r="S233" i="2"/>
  <c r="R233" i="2"/>
  <c r="Q233" i="2"/>
  <c r="P233" i="2"/>
  <c r="Z232" i="2"/>
  <c r="Y232" i="2"/>
  <c r="X232" i="2"/>
  <c r="V232" i="2"/>
  <c r="U232" i="2"/>
  <c r="W232" i="2" s="1"/>
  <c r="T232" i="2"/>
  <c r="S232" i="2"/>
  <c r="R232" i="2"/>
  <c r="Q232" i="2"/>
  <c r="P232" i="2"/>
  <c r="Z231" i="2"/>
  <c r="Y231" i="2"/>
  <c r="X231" i="2"/>
  <c r="W231" i="2"/>
  <c r="V231" i="2"/>
  <c r="U231" i="2"/>
  <c r="T231" i="2"/>
  <c r="S231" i="2"/>
  <c r="R231" i="2"/>
  <c r="Q231" i="2"/>
  <c r="P231" i="2"/>
  <c r="Z230" i="2"/>
  <c r="Y230" i="2"/>
  <c r="V230" i="2"/>
  <c r="U230" i="2"/>
  <c r="T230" i="2"/>
  <c r="S230" i="2"/>
  <c r="R230" i="2"/>
  <c r="Q230" i="2"/>
  <c r="P230" i="2"/>
  <c r="Z229" i="2"/>
  <c r="Y229" i="2"/>
  <c r="V229" i="2"/>
  <c r="U229" i="2"/>
  <c r="X229" i="2" s="1"/>
  <c r="T229" i="2"/>
  <c r="S229" i="2"/>
  <c r="R229" i="2"/>
  <c r="Q229" i="2"/>
  <c r="P229" i="2"/>
  <c r="Z228" i="2"/>
  <c r="Y228" i="2"/>
  <c r="V228" i="2"/>
  <c r="U228" i="2"/>
  <c r="X228" i="2" s="1"/>
  <c r="T228" i="2"/>
  <c r="S228" i="2"/>
  <c r="R228" i="2"/>
  <c r="Q228" i="2"/>
  <c r="P228" i="2"/>
  <c r="Z227" i="2"/>
  <c r="Y227" i="2"/>
  <c r="V227" i="2"/>
  <c r="U227" i="2"/>
  <c r="X227" i="2" s="1"/>
  <c r="T227" i="2"/>
  <c r="S227" i="2"/>
  <c r="R227" i="2"/>
  <c r="Q227" i="2"/>
  <c r="P227" i="2"/>
  <c r="Z226" i="2"/>
  <c r="Y226" i="2"/>
  <c r="V226" i="2"/>
  <c r="U226" i="2"/>
  <c r="W226" i="2" s="1"/>
  <c r="T226" i="2"/>
  <c r="S226" i="2"/>
  <c r="R226" i="2"/>
  <c r="Q226" i="2"/>
  <c r="P226" i="2"/>
  <c r="Z225" i="2"/>
  <c r="Y225" i="2"/>
  <c r="X225" i="2"/>
  <c r="W225" i="2"/>
  <c r="V225" i="2"/>
  <c r="U225" i="2"/>
  <c r="T225" i="2"/>
  <c r="S225" i="2"/>
  <c r="R225" i="2"/>
  <c r="Q225" i="2"/>
  <c r="P225" i="2"/>
  <c r="Z224" i="2"/>
  <c r="Y224" i="2"/>
  <c r="V224" i="2"/>
  <c r="U224" i="2"/>
  <c r="T224" i="2"/>
  <c r="S224" i="2"/>
  <c r="R224" i="2"/>
  <c r="Q224" i="2"/>
  <c r="P224" i="2"/>
  <c r="Z223" i="2"/>
  <c r="Y223" i="2"/>
  <c r="V223" i="2"/>
  <c r="U223" i="2"/>
  <c r="X223" i="2" s="1"/>
  <c r="T223" i="2"/>
  <c r="S223" i="2"/>
  <c r="R223" i="2"/>
  <c r="Q223" i="2"/>
  <c r="P223" i="2"/>
  <c r="Z222" i="2"/>
  <c r="Y222" i="2"/>
  <c r="V222" i="2"/>
  <c r="U222" i="2"/>
  <c r="X222" i="2" s="1"/>
  <c r="T222" i="2"/>
  <c r="S222" i="2"/>
  <c r="R222" i="2"/>
  <c r="Q222" i="2"/>
  <c r="P222" i="2"/>
  <c r="Z221" i="2"/>
  <c r="Y221" i="2"/>
  <c r="V221" i="2"/>
  <c r="U221" i="2"/>
  <c r="X221" i="2" s="1"/>
  <c r="T221" i="2"/>
  <c r="S221" i="2"/>
  <c r="R221" i="2"/>
  <c r="Q221" i="2"/>
  <c r="P221" i="2"/>
  <c r="Z220" i="2"/>
  <c r="Y220" i="2"/>
  <c r="X220" i="2"/>
  <c r="V220" i="2"/>
  <c r="U220" i="2"/>
  <c r="W220" i="2" s="1"/>
  <c r="T220" i="2"/>
  <c r="S220" i="2"/>
  <c r="R220" i="2"/>
  <c r="Q220" i="2"/>
  <c r="P220" i="2"/>
  <c r="Z219" i="2"/>
  <c r="Y219" i="2"/>
  <c r="X219" i="2"/>
  <c r="W219" i="2"/>
  <c r="V219" i="2"/>
  <c r="U219" i="2"/>
  <c r="T219" i="2"/>
  <c r="S219" i="2"/>
  <c r="R219" i="2"/>
  <c r="Q219" i="2"/>
  <c r="P219" i="2"/>
  <c r="Z218" i="2"/>
  <c r="Y218" i="2"/>
  <c r="V218" i="2"/>
  <c r="U218" i="2"/>
  <c r="T218" i="2"/>
  <c r="S218" i="2"/>
  <c r="R218" i="2"/>
  <c r="Q218" i="2"/>
  <c r="P218" i="2"/>
  <c r="Z217" i="2"/>
  <c r="Y217" i="2"/>
  <c r="V217" i="2"/>
  <c r="U217" i="2"/>
  <c r="X217" i="2" s="1"/>
  <c r="T217" i="2"/>
  <c r="S217" i="2"/>
  <c r="R217" i="2"/>
  <c r="Q217" i="2"/>
  <c r="P217" i="2"/>
  <c r="Z216" i="2"/>
  <c r="Y216" i="2"/>
  <c r="V216" i="2"/>
  <c r="U216" i="2"/>
  <c r="X216" i="2" s="1"/>
  <c r="T216" i="2"/>
  <c r="S216" i="2"/>
  <c r="R216" i="2"/>
  <c r="Q216" i="2"/>
  <c r="P216" i="2"/>
  <c r="Z215" i="2"/>
  <c r="Y215" i="2"/>
  <c r="V215" i="2"/>
  <c r="U215" i="2"/>
  <c r="X215" i="2" s="1"/>
  <c r="T215" i="2"/>
  <c r="S215" i="2"/>
  <c r="R215" i="2"/>
  <c r="Q215" i="2"/>
  <c r="P215" i="2"/>
  <c r="Z214" i="2"/>
  <c r="Y214" i="2"/>
  <c r="V214" i="2"/>
  <c r="U214" i="2"/>
  <c r="W214" i="2" s="1"/>
  <c r="T214" i="2"/>
  <c r="S214" i="2"/>
  <c r="R214" i="2"/>
  <c r="Q214" i="2"/>
  <c r="P214" i="2"/>
  <c r="Z213" i="2"/>
  <c r="Y213" i="2"/>
  <c r="X213" i="2"/>
  <c r="W213" i="2"/>
  <c r="V213" i="2"/>
  <c r="U213" i="2"/>
  <c r="T213" i="2"/>
  <c r="S213" i="2"/>
  <c r="R213" i="2"/>
  <c r="Q213" i="2"/>
  <c r="P213" i="2"/>
  <c r="Z212" i="2"/>
  <c r="Y212" i="2"/>
  <c r="V212" i="2"/>
  <c r="U212" i="2"/>
  <c r="T212" i="2"/>
  <c r="S212" i="2"/>
  <c r="R212" i="2"/>
  <c r="Q212" i="2"/>
  <c r="P212" i="2"/>
  <c r="Z211" i="2"/>
  <c r="Y211" i="2"/>
  <c r="V211" i="2"/>
  <c r="U211" i="2"/>
  <c r="X211" i="2" s="1"/>
  <c r="T211" i="2"/>
  <c r="S211" i="2"/>
  <c r="R211" i="2"/>
  <c r="Q211" i="2"/>
  <c r="P211" i="2"/>
  <c r="Z210" i="2"/>
  <c r="Y210" i="2"/>
  <c r="V210" i="2"/>
  <c r="U210" i="2"/>
  <c r="X210" i="2" s="1"/>
  <c r="T210" i="2"/>
  <c r="S210" i="2"/>
  <c r="R210" i="2"/>
  <c r="Q210" i="2"/>
  <c r="P210" i="2"/>
  <c r="Z209" i="2"/>
  <c r="Y209" i="2"/>
  <c r="V209" i="2"/>
  <c r="U209" i="2"/>
  <c r="X209" i="2" s="1"/>
  <c r="T209" i="2"/>
  <c r="S209" i="2"/>
  <c r="R209" i="2"/>
  <c r="Q209" i="2"/>
  <c r="P209" i="2"/>
  <c r="Z208" i="2"/>
  <c r="Y208" i="2"/>
  <c r="X208" i="2"/>
  <c r="V208" i="2"/>
  <c r="U208" i="2"/>
  <c r="W208" i="2" s="1"/>
  <c r="T208" i="2"/>
  <c r="S208" i="2"/>
  <c r="R208" i="2"/>
  <c r="Q208" i="2"/>
  <c r="P208" i="2"/>
  <c r="Z207" i="2"/>
  <c r="Y207" i="2"/>
  <c r="X207" i="2"/>
  <c r="W207" i="2"/>
  <c r="V207" i="2"/>
  <c r="U207" i="2"/>
  <c r="T207" i="2"/>
  <c r="S207" i="2"/>
  <c r="R207" i="2"/>
  <c r="Q207" i="2"/>
  <c r="P207" i="2"/>
  <c r="Z206" i="2"/>
  <c r="Y206" i="2"/>
  <c r="V206" i="2"/>
  <c r="U206" i="2"/>
  <c r="T206" i="2"/>
  <c r="S206" i="2"/>
  <c r="R206" i="2"/>
  <c r="Q206" i="2"/>
  <c r="P206" i="2"/>
  <c r="Z205" i="2"/>
  <c r="Y205" i="2"/>
  <c r="V205" i="2"/>
  <c r="U205" i="2"/>
  <c r="X205" i="2" s="1"/>
  <c r="T205" i="2"/>
  <c r="S205" i="2"/>
  <c r="R205" i="2"/>
  <c r="Q205" i="2"/>
  <c r="P205" i="2"/>
  <c r="Z204" i="2"/>
  <c r="Y204" i="2"/>
  <c r="V204" i="2"/>
  <c r="U204" i="2"/>
  <c r="X204" i="2" s="1"/>
  <c r="T204" i="2"/>
  <c r="S204" i="2"/>
  <c r="R204" i="2"/>
  <c r="Q204" i="2"/>
  <c r="P204" i="2"/>
  <c r="Z203" i="2"/>
  <c r="Y203" i="2"/>
  <c r="V203" i="2"/>
  <c r="U203" i="2"/>
  <c r="X203" i="2" s="1"/>
  <c r="T203" i="2"/>
  <c r="S203" i="2"/>
  <c r="R203" i="2"/>
  <c r="Q203" i="2"/>
  <c r="P203" i="2"/>
  <c r="Z202" i="2"/>
  <c r="Y202" i="2"/>
  <c r="V202" i="2"/>
  <c r="U202" i="2"/>
  <c r="W202" i="2" s="1"/>
  <c r="T202" i="2"/>
  <c r="S202" i="2"/>
  <c r="R202" i="2"/>
  <c r="Q202" i="2"/>
  <c r="P202" i="2"/>
  <c r="Z201" i="2"/>
  <c r="Y201" i="2"/>
  <c r="X201" i="2"/>
  <c r="W201" i="2"/>
  <c r="V201" i="2"/>
  <c r="U201" i="2"/>
  <c r="T201" i="2"/>
  <c r="S201" i="2"/>
  <c r="R201" i="2"/>
  <c r="Q201" i="2"/>
  <c r="P201" i="2"/>
  <c r="Z200" i="2"/>
  <c r="Y200" i="2"/>
  <c r="V200" i="2"/>
  <c r="U200" i="2"/>
  <c r="T200" i="2"/>
  <c r="S200" i="2"/>
  <c r="R200" i="2"/>
  <c r="Q200" i="2"/>
  <c r="P200" i="2"/>
  <c r="Z199" i="2"/>
  <c r="Y199" i="2"/>
  <c r="V199" i="2"/>
  <c r="U199" i="2"/>
  <c r="X199" i="2" s="1"/>
  <c r="T199" i="2"/>
  <c r="S199" i="2"/>
  <c r="R199" i="2"/>
  <c r="Q199" i="2"/>
  <c r="P199" i="2"/>
  <c r="Z198" i="2"/>
  <c r="Y198" i="2"/>
  <c r="V198" i="2"/>
  <c r="U198" i="2"/>
  <c r="X198" i="2" s="1"/>
  <c r="T198" i="2"/>
  <c r="S198" i="2"/>
  <c r="R198" i="2"/>
  <c r="Q198" i="2"/>
  <c r="P198" i="2"/>
  <c r="Z197" i="2"/>
  <c r="Y197" i="2"/>
  <c r="V197" i="2"/>
  <c r="U197" i="2"/>
  <c r="X197" i="2" s="1"/>
  <c r="T197" i="2"/>
  <c r="S197" i="2"/>
  <c r="R197" i="2"/>
  <c r="Q197" i="2"/>
  <c r="P197" i="2"/>
  <c r="Z196" i="2"/>
  <c r="Y196" i="2"/>
  <c r="X196" i="2"/>
  <c r="V196" i="2"/>
  <c r="U196" i="2"/>
  <c r="W196" i="2" s="1"/>
  <c r="T196" i="2"/>
  <c r="S196" i="2"/>
  <c r="R196" i="2"/>
  <c r="Q196" i="2"/>
  <c r="P196" i="2"/>
  <c r="Z195" i="2"/>
  <c r="Y195" i="2"/>
  <c r="X195" i="2"/>
  <c r="W195" i="2"/>
  <c r="V195" i="2"/>
  <c r="U195" i="2"/>
  <c r="T195" i="2"/>
  <c r="S195" i="2"/>
  <c r="R195" i="2"/>
  <c r="Q195" i="2"/>
  <c r="P195" i="2"/>
  <c r="Z194" i="2"/>
  <c r="Y194" i="2"/>
  <c r="V194" i="2"/>
  <c r="U194" i="2"/>
  <c r="T194" i="2"/>
  <c r="S194" i="2"/>
  <c r="R194" i="2"/>
  <c r="Q194" i="2"/>
  <c r="P194" i="2"/>
  <c r="Z193" i="2"/>
  <c r="Y193" i="2"/>
  <c r="V193" i="2"/>
  <c r="U193" i="2"/>
  <c r="X193" i="2" s="1"/>
  <c r="T193" i="2"/>
  <c r="S193" i="2"/>
  <c r="R193" i="2"/>
  <c r="Q193" i="2"/>
  <c r="P193" i="2"/>
  <c r="Z192" i="2"/>
  <c r="Y192" i="2"/>
  <c r="V192" i="2"/>
  <c r="U192" i="2"/>
  <c r="X192" i="2" s="1"/>
  <c r="T192" i="2"/>
  <c r="S192" i="2"/>
  <c r="R192" i="2"/>
  <c r="Q192" i="2"/>
  <c r="P192" i="2"/>
  <c r="Z191" i="2"/>
  <c r="Y191" i="2"/>
  <c r="V191" i="2"/>
  <c r="U191" i="2"/>
  <c r="X191" i="2" s="1"/>
  <c r="T191" i="2"/>
  <c r="S191" i="2"/>
  <c r="R191" i="2"/>
  <c r="Q191" i="2"/>
  <c r="P191" i="2"/>
  <c r="Z190" i="2"/>
  <c r="Y190" i="2"/>
  <c r="V190" i="2"/>
  <c r="U190" i="2"/>
  <c r="W190" i="2" s="1"/>
  <c r="T190" i="2"/>
  <c r="S190" i="2"/>
  <c r="R190" i="2"/>
  <c r="Q190" i="2"/>
  <c r="P190" i="2"/>
  <c r="Z189" i="2"/>
  <c r="Y189" i="2"/>
  <c r="X189" i="2"/>
  <c r="W189" i="2"/>
  <c r="V189" i="2"/>
  <c r="U189" i="2"/>
  <c r="T189" i="2"/>
  <c r="S189" i="2"/>
  <c r="R189" i="2"/>
  <c r="Q189" i="2"/>
  <c r="P189" i="2"/>
  <c r="Z188" i="2"/>
  <c r="Y188" i="2"/>
  <c r="V188" i="2"/>
  <c r="U188" i="2"/>
  <c r="T188" i="2"/>
  <c r="S188" i="2"/>
  <c r="R188" i="2"/>
  <c r="Q188" i="2"/>
  <c r="P188" i="2"/>
  <c r="Z187" i="2"/>
  <c r="Y187" i="2"/>
  <c r="V187" i="2"/>
  <c r="U187" i="2"/>
  <c r="X187" i="2" s="1"/>
  <c r="T187" i="2"/>
  <c r="S187" i="2"/>
  <c r="R187" i="2"/>
  <c r="Q187" i="2"/>
  <c r="P187" i="2"/>
  <c r="Z186" i="2"/>
  <c r="Y186" i="2"/>
  <c r="V186" i="2"/>
  <c r="U186" i="2"/>
  <c r="X186" i="2" s="1"/>
  <c r="T186" i="2"/>
  <c r="S186" i="2"/>
  <c r="R186" i="2"/>
  <c r="Q186" i="2"/>
  <c r="P186" i="2"/>
  <c r="Z185" i="2"/>
  <c r="Y185" i="2"/>
  <c r="V185" i="2"/>
  <c r="U185" i="2"/>
  <c r="X185" i="2" s="1"/>
  <c r="T185" i="2"/>
  <c r="S185" i="2"/>
  <c r="R185" i="2"/>
  <c r="Q185" i="2"/>
  <c r="P185" i="2"/>
  <c r="Z184" i="2"/>
  <c r="Y184" i="2"/>
  <c r="X184" i="2"/>
  <c r="V184" i="2"/>
  <c r="U184" i="2"/>
  <c r="W184" i="2" s="1"/>
  <c r="T184" i="2"/>
  <c r="S184" i="2"/>
  <c r="R184" i="2"/>
  <c r="Q184" i="2"/>
  <c r="P184" i="2"/>
  <c r="Z183" i="2"/>
  <c r="Y183" i="2"/>
  <c r="X183" i="2"/>
  <c r="W183" i="2"/>
  <c r="V183" i="2"/>
  <c r="U183" i="2"/>
  <c r="T183" i="2"/>
  <c r="S183" i="2"/>
  <c r="R183" i="2"/>
  <c r="Q183" i="2"/>
  <c r="P183" i="2"/>
  <c r="Z182" i="2"/>
  <c r="Y182" i="2"/>
  <c r="V182" i="2"/>
  <c r="U182" i="2"/>
  <c r="T182" i="2"/>
  <c r="S182" i="2"/>
  <c r="R182" i="2"/>
  <c r="Q182" i="2"/>
  <c r="P182" i="2"/>
  <c r="Z181" i="2"/>
  <c r="Y181" i="2"/>
  <c r="V181" i="2"/>
  <c r="U181" i="2"/>
  <c r="X181" i="2" s="1"/>
  <c r="T181" i="2"/>
  <c r="S181" i="2"/>
  <c r="R181" i="2"/>
  <c r="Q181" i="2"/>
  <c r="P181" i="2"/>
  <c r="Z180" i="2"/>
  <c r="Y180" i="2"/>
  <c r="V180" i="2"/>
  <c r="U180" i="2"/>
  <c r="X180" i="2" s="1"/>
  <c r="T180" i="2"/>
  <c r="S180" i="2"/>
  <c r="R180" i="2"/>
  <c r="Q180" i="2"/>
  <c r="P180" i="2"/>
  <c r="Z179" i="2"/>
  <c r="Y179" i="2"/>
  <c r="V179" i="2"/>
  <c r="U179" i="2"/>
  <c r="X179" i="2" s="1"/>
  <c r="T179" i="2"/>
  <c r="S179" i="2"/>
  <c r="R179" i="2"/>
  <c r="Q179" i="2"/>
  <c r="P179" i="2"/>
  <c r="Z178" i="2"/>
  <c r="Y178" i="2"/>
  <c r="V178" i="2"/>
  <c r="U178" i="2"/>
  <c r="W178" i="2" s="1"/>
  <c r="T178" i="2"/>
  <c r="S178" i="2"/>
  <c r="R178" i="2"/>
  <c r="Q178" i="2"/>
  <c r="P178" i="2"/>
  <c r="Z177" i="2"/>
  <c r="Y177" i="2"/>
  <c r="X177" i="2"/>
  <c r="W177" i="2"/>
  <c r="V177" i="2"/>
  <c r="U177" i="2"/>
  <c r="T177" i="2"/>
  <c r="S177" i="2"/>
  <c r="R177" i="2"/>
  <c r="Q177" i="2"/>
  <c r="P177" i="2"/>
  <c r="Z176" i="2"/>
  <c r="Y176" i="2"/>
  <c r="V176" i="2"/>
  <c r="U176" i="2"/>
  <c r="T176" i="2"/>
  <c r="S176" i="2"/>
  <c r="R176" i="2"/>
  <c r="Q176" i="2"/>
  <c r="P176" i="2"/>
  <c r="Z175" i="2"/>
  <c r="Y175" i="2"/>
  <c r="V175" i="2"/>
  <c r="U175" i="2"/>
  <c r="X175" i="2" s="1"/>
  <c r="T175" i="2"/>
  <c r="S175" i="2"/>
  <c r="R175" i="2"/>
  <c r="Q175" i="2"/>
  <c r="P175" i="2"/>
  <c r="Z174" i="2"/>
  <c r="Y174" i="2"/>
  <c r="V174" i="2"/>
  <c r="U174" i="2"/>
  <c r="X174" i="2" s="1"/>
  <c r="T174" i="2"/>
  <c r="S174" i="2"/>
  <c r="R174" i="2"/>
  <c r="Q174" i="2"/>
  <c r="P174" i="2"/>
  <c r="Z173" i="2"/>
  <c r="Y173" i="2"/>
  <c r="V173" i="2"/>
  <c r="U173" i="2"/>
  <c r="X173" i="2" s="1"/>
  <c r="T173" i="2"/>
  <c r="S173" i="2"/>
  <c r="R173" i="2"/>
  <c r="Q173" i="2"/>
  <c r="P173" i="2"/>
  <c r="Z172" i="2"/>
  <c r="Y172" i="2"/>
  <c r="X172" i="2"/>
  <c r="V172" i="2"/>
  <c r="U172" i="2"/>
  <c r="W172" i="2" s="1"/>
  <c r="T172" i="2"/>
  <c r="S172" i="2"/>
  <c r="R172" i="2"/>
  <c r="Q172" i="2"/>
  <c r="P172" i="2"/>
  <c r="Z171" i="2"/>
  <c r="Y171" i="2"/>
  <c r="X171" i="2"/>
  <c r="W171" i="2"/>
  <c r="V171" i="2"/>
  <c r="U171" i="2"/>
  <c r="T171" i="2"/>
  <c r="S171" i="2"/>
  <c r="R171" i="2"/>
  <c r="Q171" i="2"/>
  <c r="P171" i="2"/>
  <c r="Z170" i="2"/>
  <c r="Y170" i="2"/>
  <c r="V170" i="2"/>
  <c r="U170" i="2"/>
  <c r="T170" i="2"/>
  <c r="S170" i="2"/>
  <c r="R170" i="2"/>
  <c r="Q170" i="2"/>
  <c r="P170" i="2"/>
  <c r="Z169" i="2"/>
  <c r="Y169" i="2"/>
  <c r="V169" i="2"/>
  <c r="U169" i="2"/>
  <c r="X169" i="2" s="1"/>
  <c r="T169" i="2"/>
  <c r="S169" i="2"/>
  <c r="R169" i="2"/>
  <c r="Q169" i="2"/>
  <c r="P169" i="2"/>
  <c r="Z168" i="2"/>
  <c r="Y168" i="2"/>
  <c r="V168" i="2"/>
  <c r="U168" i="2"/>
  <c r="X168" i="2" s="1"/>
  <c r="T168" i="2"/>
  <c r="S168" i="2"/>
  <c r="R168" i="2"/>
  <c r="Q168" i="2"/>
  <c r="P168" i="2"/>
  <c r="Z167" i="2"/>
  <c r="Y167" i="2"/>
  <c r="V167" i="2"/>
  <c r="U167" i="2"/>
  <c r="X167" i="2" s="1"/>
  <c r="T167" i="2"/>
  <c r="S167" i="2"/>
  <c r="R167" i="2"/>
  <c r="Q167" i="2"/>
  <c r="P167" i="2"/>
  <c r="Z166" i="2"/>
  <c r="Y166" i="2"/>
  <c r="V166" i="2"/>
  <c r="U166" i="2"/>
  <c r="W166" i="2" s="1"/>
  <c r="T166" i="2"/>
  <c r="S166" i="2"/>
  <c r="R166" i="2"/>
  <c r="Q166" i="2"/>
  <c r="P166" i="2"/>
  <c r="Z165" i="2"/>
  <c r="Y165" i="2"/>
  <c r="X165" i="2"/>
  <c r="W165" i="2"/>
  <c r="V165" i="2"/>
  <c r="U165" i="2"/>
  <c r="T165" i="2"/>
  <c r="S165" i="2"/>
  <c r="R165" i="2"/>
  <c r="Q165" i="2"/>
  <c r="P165" i="2"/>
  <c r="Z164" i="2"/>
  <c r="Y164" i="2"/>
  <c r="V164" i="2"/>
  <c r="U164" i="2"/>
  <c r="T164" i="2"/>
  <c r="S164" i="2"/>
  <c r="R164" i="2"/>
  <c r="Q164" i="2"/>
  <c r="P164" i="2"/>
  <c r="Z163" i="2"/>
  <c r="Y163" i="2"/>
  <c r="V163" i="2"/>
  <c r="U163" i="2"/>
  <c r="X163" i="2" s="1"/>
  <c r="T163" i="2"/>
  <c r="S163" i="2"/>
  <c r="R163" i="2"/>
  <c r="Q163" i="2"/>
  <c r="P163" i="2"/>
  <c r="Z162" i="2"/>
  <c r="Y162" i="2"/>
  <c r="W162" i="2"/>
  <c r="V162" i="2"/>
  <c r="U162" i="2"/>
  <c r="X162" i="2" s="1"/>
  <c r="T162" i="2"/>
  <c r="S162" i="2"/>
  <c r="R162" i="2"/>
  <c r="Q162" i="2"/>
  <c r="P162" i="2"/>
  <c r="Z161" i="2"/>
  <c r="Y161" i="2"/>
  <c r="V161" i="2"/>
  <c r="U161" i="2"/>
  <c r="X161" i="2" s="1"/>
  <c r="T161" i="2"/>
  <c r="S161" i="2"/>
  <c r="R161" i="2"/>
  <c r="Q161" i="2"/>
  <c r="P161" i="2"/>
  <c r="Z160" i="2"/>
  <c r="Y160" i="2"/>
  <c r="V160" i="2"/>
  <c r="U160" i="2"/>
  <c r="T160" i="2"/>
  <c r="S160" i="2"/>
  <c r="R160" i="2"/>
  <c r="Q160" i="2"/>
  <c r="P160" i="2"/>
  <c r="Z159" i="2"/>
  <c r="Y159" i="2"/>
  <c r="X159" i="2"/>
  <c r="W159" i="2"/>
  <c r="V159" i="2"/>
  <c r="U159" i="2"/>
  <c r="T159" i="2"/>
  <c r="S159" i="2"/>
  <c r="R159" i="2"/>
  <c r="Q159" i="2"/>
  <c r="P159" i="2"/>
  <c r="Z158" i="2"/>
  <c r="Y158" i="2"/>
  <c r="V158" i="2"/>
  <c r="U158" i="2"/>
  <c r="T158" i="2"/>
  <c r="S158" i="2"/>
  <c r="R158" i="2"/>
  <c r="Q158" i="2"/>
  <c r="P158" i="2"/>
  <c r="Z157" i="2"/>
  <c r="Y157" i="2"/>
  <c r="V157" i="2"/>
  <c r="U157" i="2"/>
  <c r="X157" i="2" s="1"/>
  <c r="T157" i="2"/>
  <c r="S157" i="2"/>
  <c r="R157" i="2"/>
  <c r="Q157" i="2"/>
  <c r="P157" i="2"/>
  <c r="Z156" i="2"/>
  <c r="Y156" i="2"/>
  <c r="W156" i="2"/>
  <c r="V156" i="2"/>
  <c r="U156" i="2"/>
  <c r="X156" i="2" s="1"/>
  <c r="T156" i="2"/>
  <c r="S156" i="2"/>
  <c r="R156" i="2"/>
  <c r="Q156" i="2"/>
  <c r="P156" i="2"/>
  <c r="Z155" i="2"/>
  <c r="Y155" i="2"/>
  <c r="V155" i="2"/>
  <c r="U155" i="2"/>
  <c r="X155" i="2" s="1"/>
  <c r="T155" i="2"/>
  <c r="S155" i="2"/>
  <c r="R155" i="2"/>
  <c r="Q155" i="2"/>
  <c r="P155" i="2"/>
  <c r="Z154" i="2"/>
  <c r="Y154" i="2"/>
  <c r="V154" i="2"/>
  <c r="U154" i="2"/>
  <c r="T154" i="2"/>
  <c r="S154" i="2"/>
  <c r="R154" i="2"/>
  <c r="Q154" i="2"/>
  <c r="P154" i="2"/>
  <c r="Z153" i="2"/>
  <c r="Y153" i="2"/>
  <c r="X153" i="2"/>
  <c r="W153" i="2"/>
  <c r="V153" i="2"/>
  <c r="U153" i="2"/>
  <c r="T153" i="2"/>
  <c r="S153" i="2"/>
  <c r="R153" i="2"/>
  <c r="Q153" i="2"/>
  <c r="P153" i="2"/>
  <c r="Z152" i="2"/>
  <c r="Y152" i="2"/>
  <c r="V152" i="2"/>
  <c r="U152" i="2"/>
  <c r="T152" i="2"/>
  <c r="S152" i="2"/>
  <c r="R152" i="2"/>
  <c r="Q152" i="2"/>
  <c r="P152" i="2"/>
  <c r="Z151" i="2"/>
  <c r="Y151" i="2"/>
  <c r="V151" i="2"/>
  <c r="U151" i="2"/>
  <c r="X151" i="2" s="1"/>
  <c r="T151" i="2"/>
  <c r="S151" i="2"/>
  <c r="R151" i="2"/>
  <c r="Q151" i="2"/>
  <c r="P151" i="2"/>
  <c r="Z150" i="2"/>
  <c r="Y150" i="2"/>
  <c r="W150" i="2"/>
  <c r="V150" i="2"/>
  <c r="U150" i="2"/>
  <c r="X150" i="2" s="1"/>
  <c r="T150" i="2"/>
  <c r="S150" i="2"/>
  <c r="R150" i="2"/>
  <c r="Q150" i="2"/>
  <c r="P150" i="2"/>
  <c r="Z149" i="2"/>
  <c r="Y149" i="2"/>
  <c r="V149" i="2"/>
  <c r="U149" i="2"/>
  <c r="X149" i="2" s="1"/>
  <c r="T149" i="2"/>
  <c r="S149" i="2"/>
  <c r="R149" i="2"/>
  <c r="Q149" i="2"/>
  <c r="P149" i="2"/>
  <c r="Z148" i="2"/>
  <c r="Y148" i="2"/>
  <c r="V148" i="2"/>
  <c r="U148" i="2"/>
  <c r="T148" i="2"/>
  <c r="S148" i="2"/>
  <c r="R148" i="2"/>
  <c r="Q148" i="2"/>
  <c r="P148" i="2"/>
  <c r="Z147" i="2"/>
  <c r="Y147" i="2"/>
  <c r="X147" i="2"/>
  <c r="W147" i="2"/>
  <c r="V147" i="2"/>
  <c r="U147" i="2"/>
  <c r="T147" i="2"/>
  <c r="S147" i="2"/>
  <c r="R147" i="2"/>
  <c r="Q147" i="2"/>
  <c r="P147" i="2"/>
  <c r="Z146" i="2"/>
  <c r="Y146" i="2"/>
  <c r="V146" i="2"/>
  <c r="U146" i="2"/>
  <c r="W146" i="2" s="1"/>
  <c r="T146" i="2"/>
  <c r="S146" i="2"/>
  <c r="R146" i="2"/>
  <c r="Q146" i="2"/>
  <c r="P146" i="2"/>
  <c r="Z145" i="2"/>
  <c r="Y145" i="2"/>
  <c r="V145" i="2"/>
  <c r="U145" i="2"/>
  <c r="T145" i="2"/>
  <c r="S145" i="2"/>
  <c r="R145" i="2"/>
  <c r="Q145" i="2"/>
  <c r="P145" i="2"/>
  <c r="Z144" i="2"/>
  <c r="Y144" i="2"/>
  <c r="W144" i="2"/>
  <c r="V144" i="2"/>
  <c r="U144" i="2"/>
  <c r="X144" i="2" s="1"/>
  <c r="T144" i="2"/>
  <c r="S144" i="2"/>
  <c r="R144" i="2"/>
  <c r="Q144" i="2"/>
  <c r="P144" i="2"/>
  <c r="Z143" i="2"/>
  <c r="Y143" i="2"/>
  <c r="V143" i="2"/>
  <c r="U143" i="2"/>
  <c r="X143" i="2" s="1"/>
  <c r="T143" i="2"/>
  <c r="S143" i="2"/>
  <c r="R143" i="2"/>
  <c r="Q143" i="2"/>
  <c r="P143" i="2"/>
  <c r="Z142" i="2"/>
  <c r="Y142" i="2"/>
  <c r="V142" i="2"/>
  <c r="U142" i="2"/>
  <c r="T142" i="2"/>
  <c r="S142" i="2"/>
  <c r="R142" i="2"/>
  <c r="Q142" i="2"/>
  <c r="P142" i="2"/>
  <c r="Z141" i="2"/>
  <c r="Y141" i="2"/>
  <c r="X141" i="2"/>
  <c r="W141" i="2"/>
  <c r="V141" i="2"/>
  <c r="U141" i="2"/>
  <c r="T141" i="2"/>
  <c r="S141" i="2"/>
  <c r="R141" i="2"/>
  <c r="Q141" i="2"/>
  <c r="P141" i="2"/>
  <c r="Z140" i="2"/>
  <c r="Y140" i="2"/>
  <c r="V140" i="2"/>
  <c r="U140" i="2"/>
  <c r="W140" i="2" s="1"/>
  <c r="T140" i="2"/>
  <c r="S140" i="2"/>
  <c r="R140" i="2"/>
  <c r="Q140" i="2"/>
  <c r="P140" i="2"/>
  <c r="Z139" i="2"/>
  <c r="Y139" i="2"/>
  <c r="V139" i="2"/>
  <c r="U139" i="2"/>
  <c r="T139" i="2"/>
  <c r="S139" i="2"/>
  <c r="R139" i="2"/>
  <c r="Q139" i="2"/>
  <c r="P139" i="2"/>
  <c r="Z138" i="2"/>
  <c r="Y138" i="2"/>
  <c r="W138" i="2"/>
  <c r="V138" i="2"/>
  <c r="U138" i="2"/>
  <c r="X138" i="2" s="1"/>
  <c r="T138" i="2"/>
  <c r="S138" i="2"/>
  <c r="R138" i="2"/>
  <c r="Q138" i="2"/>
  <c r="P138" i="2"/>
  <c r="Z137" i="2"/>
  <c r="Y137" i="2"/>
  <c r="V137" i="2"/>
  <c r="U137" i="2"/>
  <c r="X137" i="2" s="1"/>
  <c r="T137" i="2"/>
  <c r="S137" i="2"/>
  <c r="R137" i="2"/>
  <c r="Q137" i="2"/>
  <c r="P137" i="2"/>
  <c r="Z136" i="2"/>
  <c r="Y136" i="2"/>
  <c r="V136" i="2"/>
  <c r="U136" i="2"/>
  <c r="T136" i="2"/>
  <c r="S136" i="2"/>
  <c r="R136" i="2"/>
  <c r="Q136" i="2"/>
  <c r="P136" i="2"/>
  <c r="Z135" i="2"/>
  <c r="Y135" i="2"/>
  <c r="X135" i="2"/>
  <c r="W135" i="2"/>
  <c r="V135" i="2"/>
  <c r="U135" i="2"/>
  <c r="T135" i="2"/>
  <c r="S135" i="2"/>
  <c r="R135" i="2"/>
  <c r="Q135" i="2"/>
  <c r="P135" i="2"/>
  <c r="Z134" i="2"/>
  <c r="Y134" i="2"/>
  <c r="X134" i="2"/>
  <c r="V134" i="2"/>
  <c r="U134" i="2"/>
  <c r="W134" i="2" s="1"/>
  <c r="T134" i="2"/>
  <c r="S134" i="2"/>
  <c r="R134" i="2"/>
  <c r="Q134" i="2"/>
  <c r="P134" i="2"/>
  <c r="Z133" i="2"/>
  <c r="Y133" i="2"/>
  <c r="V133" i="2"/>
  <c r="U133" i="2"/>
  <c r="T133" i="2"/>
  <c r="S133" i="2"/>
  <c r="R133" i="2"/>
  <c r="Q133" i="2"/>
  <c r="P133" i="2"/>
  <c r="Z132" i="2"/>
  <c r="Y132" i="2"/>
  <c r="W132" i="2"/>
  <c r="V132" i="2"/>
  <c r="U132" i="2"/>
  <c r="X132" i="2" s="1"/>
  <c r="T132" i="2"/>
  <c r="S132" i="2"/>
  <c r="R132" i="2"/>
  <c r="Q132" i="2"/>
  <c r="P132" i="2"/>
  <c r="Z131" i="2"/>
  <c r="Y131" i="2"/>
  <c r="V131" i="2"/>
  <c r="U131" i="2"/>
  <c r="X131" i="2" s="1"/>
  <c r="T131" i="2"/>
  <c r="S131" i="2"/>
  <c r="R131" i="2"/>
  <c r="Q131" i="2"/>
  <c r="P131" i="2"/>
  <c r="Z130" i="2"/>
  <c r="Y130" i="2"/>
  <c r="V130" i="2"/>
  <c r="U130" i="2"/>
  <c r="T130" i="2"/>
  <c r="S130" i="2"/>
  <c r="R130" i="2"/>
  <c r="Q130" i="2"/>
  <c r="P130" i="2"/>
  <c r="Z129" i="2"/>
  <c r="Y129" i="2"/>
  <c r="X129" i="2"/>
  <c r="W129" i="2"/>
  <c r="V129" i="2"/>
  <c r="U129" i="2"/>
  <c r="T129" i="2"/>
  <c r="S129" i="2"/>
  <c r="R129" i="2"/>
  <c r="Q129" i="2"/>
  <c r="P129" i="2"/>
  <c r="Z128" i="2"/>
  <c r="Y128" i="2"/>
  <c r="V128" i="2"/>
  <c r="U128" i="2"/>
  <c r="W128" i="2" s="1"/>
  <c r="T128" i="2"/>
  <c r="S128" i="2"/>
  <c r="R128" i="2"/>
  <c r="Q128" i="2"/>
  <c r="P128" i="2"/>
  <c r="Z127" i="2"/>
  <c r="Y127" i="2"/>
  <c r="V127" i="2"/>
  <c r="U127" i="2"/>
  <c r="T127" i="2"/>
  <c r="S127" i="2"/>
  <c r="R127" i="2"/>
  <c r="Q127" i="2"/>
  <c r="P127" i="2"/>
  <c r="Z126" i="2"/>
  <c r="Y126" i="2"/>
  <c r="W126" i="2"/>
  <c r="V126" i="2"/>
  <c r="U126" i="2"/>
  <c r="X126" i="2" s="1"/>
  <c r="T126" i="2"/>
  <c r="S126" i="2"/>
  <c r="R126" i="2"/>
  <c r="Q126" i="2"/>
  <c r="P126" i="2"/>
  <c r="Z125" i="2"/>
  <c r="Y125" i="2"/>
  <c r="V125" i="2"/>
  <c r="U125" i="2"/>
  <c r="X125" i="2" s="1"/>
  <c r="T125" i="2"/>
  <c r="S125" i="2"/>
  <c r="R125" i="2"/>
  <c r="Q125" i="2"/>
  <c r="P125" i="2"/>
  <c r="Z124" i="2"/>
  <c r="Y124" i="2"/>
  <c r="X124" i="2"/>
  <c r="V124" i="2"/>
  <c r="U124" i="2"/>
  <c r="W124" i="2" s="1"/>
  <c r="T124" i="2"/>
  <c r="S124" i="2"/>
  <c r="R124" i="2"/>
  <c r="Q124" i="2"/>
  <c r="P124" i="2"/>
  <c r="Z123" i="2"/>
  <c r="Y123" i="2"/>
  <c r="X123" i="2"/>
  <c r="W123" i="2"/>
  <c r="V123" i="2"/>
  <c r="U123" i="2"/>
  <c r="T123" i="2"/>
  <c r="S123" i="2"/>
  <c r="R123" i="2"/>
  <c r="Q123" i="2"/>
  <c r="P123" i="2"/>
  <c r="Z122" i="2"/>
  <c r="Y122" i="2"/>
  <c r="X122" i="2"/>
  <c r="V122" i="2"/>
  <c r="U122" i="2"/>
  <c r="W122" i="2" s="1"/>
  <c r="T122" i="2"/>
  <c r="S122" i="2"/>
  <c r="R122" i="2"/>
  <c r="Q122" i="2"/>
  <c r="P122" i="2"/>
  <c r="Z121" i="2"/>
  <c r="Y121" i="2"/>
  <c r="V121" i="2"/>
  <c r="U121" i="2"/>
  <c r="T121" i="2"/>
  <c r="S121" i="2"/>
  <c r="R121" i="2"/>
  <c r="Q121" i="2"/>
  <c r="P121" i="2"/>
  <c r="Z120" i="2"/>
  <c r="Y120" i="2"/>
  <c r="W120" i="2"/>
  <c r="V120" i="2"/>
  <c r="U120" i="2"/>
  <c r="X120" i="2" s="1"/>
  <c r="T120" i="2"/>
  <c r="S120" i="2"/>
  <c r="R120" i="2"/>
  <c r="Q120" i="2"/>
  <c r="P120" i="2"/>
  <c r="Z119" i="2"/>
  <c r="Y119" i="2"/>
  <c r="V119" i="2"/>
  <c r="U119" i="2"/>
  <c r="X119" i="2" s="1"/>
  <c r="T119" i="2"/>
  <c r="S119" i="2"/>
  <c r="R119" i="2"/>
  <c r="Q119" i="2"/>
  <c r="P119" i="2"/>
  <c r="Z118" i="2"/>
  <c r="Y118" i="2"/>
  <c r="V118" i="2"/>
  <c r="U118" i="2"/>
  <c r="W118" i="2" s="1"/>
  <c r="T118" i="2"/>
  <c r="S118" i="2"/>
  <c r="R118" i="2"/>
  <c r="Q118" i="2"/>
  <c r="P118" i="2"/>
  <c r="Z117" i="2"/>
  <c r="Y117" i="2"/>
  <c r="X117" i="2"/>
  <c r="W117" i="2"/>
  <c r="V117" i="2"/>
  <c r="U117" i="2"/>
  <c r="T117" i="2"/>
  <c r="S117" i="2"/>
  <c r="R117" i="2"/>
  <c r="Q117" i="2"/>
  <c r="P117" i="2"/>
  <c r="Z116" i="2"/>
  <c r="Y116" i="2"/>
  <c r="V116" i="2"/>
  <c r="U116" i="2"/>
  <c r="W116" i="2" s="1"/>
  <c r="T116" i="2"/>
  <c r="S116" i="2"/>
  <c r="R116" i="2"/>
  <c r="Q116" i="2"/>
  <c r="P116" i="2"/>
  <c r="Z115" i="2"/>
  <c r="Y115" i="2"/>
  <c r="V115" i="2"/>
  <c r="U115" i="2"/>
  <c r="T115" i="2"/>
  <c r="S115" i="2"/>
  <c r="R115" i="2"/>
  <c r="Q115" i="2"/>
  <c r="P115" i="2"/>
  <c r="Z114" i="2"/>
  <c r="Y114" i="2"/>
  <c r="W114" i="2"/>
  <c r="V114" i="2"/>
  <c r="U114" i="2"/>
  <c r="X114" i="2" s="1"/>
  <c r="T114" i="2"/>
  <c r="S114" i="2"/>
  <c r="R114" i="2"/>
  <c r="Q114" i="2"/>
  <c r="P114" i="2"/>
  <c r="Z113" i="2"/>
  <c r="Y113" i="2"/>
  <c r="V113" i="2"/>
  <c r="U113" i="2"/>
  <c r="X113" i="2" s="1"/>
  <c r="T113" i="2"/>
  <c r="S113" i="2"/>
  <c r="R113" i="2"/>
  <c r="Q113" i="2"/>
  <c r="P113" i="2"/>
  <c r="Z112" i="2"/>
  <c r="Y112" i="2"/>
  <c r="V112" i="2"/>
  <c r="U112" i="2"/>
  <c r="W112" i="2" s="1"/>
  <c r="T112" i="2"/>
  <c r="S112" i="2"/>
  <c r="R112" i="2"/>
  <c r="Q112" i="2"/>
  <c r="P112" i="2"/>
  <c r="Z111" i="2"/>
  <c r="Y111" i="2"/>
  <c r="X111" i="2"/>
  <c r="W111" i="2"/>
  <c r="V111" i="2"/>
  <c r="U111" i="2"/>
  <c r="T111" i="2"/>
  <c r="S111" i="2"/>
  <c r="R111" i="2"/>
  <c r="Q111" i="2"/>
  <c r="P111" i="2"/>
  <c r="Z110" i="2"/>
  <c r="Y110" i="2"/>
  <c r="X110" i="2"/>
  <c r="V110" i="2"/>
  <c r="U110" i="2"/>
  <c r="W110" i="2" s="1"/>
  <c r="T110" i="2"/>
  <c r="S110" i="2"/>
  <c r="R110" i="2"/>
  <c r="Q110" i="2"/>
  <c r="P110" i="2"/>
  <c r="Z109" i="2"/>
  <c r="Y109" i="2"/>
  <c r="V109" i="2"/>
  <c r="U109" i="2"/>
  <c r="T109" i="2"/>
  <c r="S109" i="2"/>
  <c r="R109" i="2"/>
  <c r="Q109" i="2"/>
  <c r="P109" i="2"/>
  <c r="Z108" i="2"/>
  <c r="Y108" i="2"/>
  <c r="V108" i="2"/>
  <c r="U108" i="2"/>
  <c r="X108" i="2" s="1"/>
  <c r="T108" i="2"/>
  <c r="S108" i="2"/>
  <c r="R108" i="2"/>
  <c r="Q108" i="2"/>
  <c r="P108" i="2"/>
  <c r="Z107" i="2"/>
  <c r="Y107" i="2"/>
  <c r="V107" i="2"/>
  <c r="U107" i="2"/>
  <c r="X107" i="2" s="1"/>
  <c r="T107" i="2"/>
  <c r="S107" i="2"/>
  <c r="R107" i="2"/>
  <c r="Q107" i="2"/>
  <c r="P107" i="2"/>
  <c r="Z106" i="2"/>
  <c r="Y106" i="2"/>
  <c r="X106" i="2"/>
  <c r="V106" i="2"/>
  <c r="U106" i="2"/>
  <c r="W106" i="2" s="1"/>
  <c r="T106" i="2"/>
  <c r="S106" i="2"/>
  <c r="R106" i="2"/>
  <c r="Q106" i="2"/>
  <c r="P106" i="2"/>
  <c r="Z105" i="2"/>
  <c r="Y105" i="2"/>
  <c r="X105" i="2"/>
  <c r="V105" i="2"/>
  <c r="U105" i="2"/>
  <c r="W105" i="2" s="1"/>
  <c r="T105" i="2"/>
  <c r="S105" i="2"/>
  <c r="R105" i="2"/>
  <c r="Q105" i="2"/>
  <c r="P105" i="2"/>
  <c r="Z104" i="2"/>
  <c r="Y104" i="2"/>
  <c r="X104" i="2"/>
  <c r="V104" i="2"/>
  <c r="U104" i="2"/>
  <c r="W104" i="2" s="1"/>
  <c r="T104" i="2"/>
  <c r="S104" i="2"/>
  <c r="R104" i="2"/>
  <c r="Q104" i="2"/>
  <c r="P104" i="2"/>
  <c r="Z103" i="2"/>
  <c r="Y103" i="2"/>
  <c r="V103" i="2"/>
  <c r="U103" i="2"/>
  <c r="X103" i="2" s="1"/>
  <c r="T103" i="2"/>
  <c r="S103" i="2"/>
  <c r="R103" i="2"/>
  <c r="Q103" i="2"/>
  <c r="P103" i="2"/>
  <c r="Z102" i="2"/>
  <c r="Y102" i="2"/>
  <c r="V102" i="2"/>
  <c r="U102" i="2"/>
  <c r="X102" i="2" s="1"/>
  <c r="T102" i="2"/>
  <c r="S102" i="2"/>
  <c r="R102" i="2"/>
  <c r="Q102" i="2"/>
  <c r="P102" i="2"/>
  <c r="Z101" i="2"/>
  <c r="Y101" i="2"/>
  <c r="V101" i="2"/>
  <c r="U101" i="2"/>
  <c r="X101" i="2" s="1"/>
  <c r="T101" i="2"/>
  <c r="S101" i="2"/>
  <c r="R101" i="2"/>
  <c r="Q101" i="2"/>
  <c r="P101" i="2"/>
  <c r="Z100" i="2"/>
  <c r="Y100" i="2"/>
  <c r="X100" i="2"/>
  <c r="V100" i="2"/>
  <c r="U100" i="2"/>
  <c r="W100" i="2" s="1"/>
  <c r="T100" i="2"/>
  <c r="S100" i="2"/>
  <c r="R100" i="2"/>
  <c r="Q100" i="2"/>
  <c r="P100" i="2"/>
  <c r="Z99" i="2"/>
  <c r="Y99" i="2"/>
  <c r="X99" i="2"/>
  <c r="V99" i="2"/>
  <c r="U99" i="2"/>
  <c r="W99" i="2" s="1"/>
  <c r="T99" i="2"/>
  <c r="S99" i="2"/>
  <c r="R99" i="2"/>
  <c r="Q99" i="2"/>
  <c r="P99" i="2"/>
  <c r="Z98" i="2"/>
  <c r="Y98" i="2"/>
  <c r="X98" i="2"/>
  <c r="V98" i="2"/>
  <c r="U98" i="2"/>
  <c r="W98" i="2" s="1"/>
  <c r="T98" i="2"/>
  <c r="S98" i="2"/>
  <c r="R98" i="2"/>
  <c r="Q98" i="2"/>
  <c r="P98" i="2"/>
  <c r="Z97" i="2"/>
  <c r="Y97" i="2"/>
  <c r="V97" i="2"/>
  <c r="U97" i="2"/>
  <c r="X97" i="2" s="1"/>
  <c r="T97" i="2"/>
  <c r="S97" i="2"/>
  <c r="R97" i="2"/>
  <c r="Q97" i="2"/>
  <c r="P97" i="2"/>
  <c r="Z96" i="2"/>
  <c r="Y96" i="2"/>
  <c r="V96" i="2"/>
  <c r="U96" i="2"/>
  <c r="X96" i="2" s="1"/>
  <c r="T96" i="2"/>
  <c r="S96" i="2"/>
  <c r="R96" i="2"/>
  <c r="Q96" i="2"/>
  <c r="P96" i="2"/>
  <c r="Z95" i="2"/>
  <c r="Y95" i="2"/>
  <c r="V95" i="2"/>
  <c r="U95" i="2"/>
  <c r="X95" i="2" s="1"/>
  <c r="T95" i="2"/>
  <c r="S95" i="2"/>
  <c r="R95" i="2"/>
  <c r="Q95" i="2"/>
  <c r="P95" i="2"/>
  <c r="Z94" i="2"/>
  <c r="Y94" i="2"/>
  <c r="X94" i="2"/>
  <c r="V94" i="2"/>
  <c r="U94" i="2"/>
  <c r="W94" i="2" s="1"/>
  <c r="T94" i="2"/>
  <c r="S94" i="2"/>
  <c r="R94" i="2"/>
  <c r="Q94" i="2"/>
  <c r="P94" i="2"/>
  <c r="Z93" i="2"/>
  <c r="Y93" i="2"/>
  <c r="X93" i="2"/>
  <c r="V93" i="2"/>
  <c r="U93" i="2"/>
  <c r="W93" i="2" s="1"/>
  <c r="T93" i="2"/>
  <c r="S93" i="2"/>
  <c r="R93" i="2"/>
  <c r="Q93" i="2"/>
  <c r="P93" i="2"/>
  <c r="Z92" i="2"/>
  <c r="Y92" i="2"/>
  <c r="X92" i="2"/>
  <c r="V92" i="2"/>
  <c r="U92" i="2"/>
  <c r="W92" i="2" s="1"/>
  <c r="T92" i="2"/>
  <c r="S92" i="2"/>
  <c r="R92" i="2"/>
  <c r="Q92" i="2"/>
  <c r="P92" i="2"/>
  <c r="Z91" i="2"/>
  <c r="Y91" i="2"/>
  <c r="V91" i="2"/>
  <c r="U91" i="2"/>
  <c r="X91" i="2" s="1"/>
  <c r="T91" i="2"/>
  <c r="S91" i="2"/>
  <c r="R91" i="2"/>
  <c r="Q91" i="2"/>
  <c r="P91" i="2"/>
  <c r="Z90" i="2"/>
  <c r="Y90" i="2"/>
  <c r="V90" i="2"/>
  <c r="U90" i="2"/>
  <c r="X90" i="2" s="1"/>
  <c r="T90" i="2"/>
  <c r="S90" i="2"/>
  <c r="R90" i="2"/>
  <c r="Q90" i="2"/>
  <c r="P90" i="2"/>
  <c r="Z89" i="2"/>
  <c r="Y89" i="2"/>
  <c r="V89" i="2"/>
  <c r="U89" i="2"/>
  <c r="X89" i="2" s="1"/>
  <c r="T89" i="2"/>
  <c r="S89" i="2"/>
  <c r="R89" i="2"/>
  <c r="Q89" i="2"/>
  <c r="P89" i="2"/>
  <c r="Z88" i="2"/>
  <c r="Y88" i="2"/>
  <c r="X88" i="2"/>
  <c r="V88" i="2"/>
  <c r="U88" i="2"/>
  <c r="W88" i="2" s="1"/>
  <c r="T88" i="2"/>
  <c r="S88" i="2"/>
  <c r="R88" i="2"/>
  <c r="Q88" i="2"/>
  <c r="P88" i="2"/>
  <c r="Z87" i="2"/>
  <c r="Y87" i="2"/>
  <c r="X87" i="2"/>
  <c r="V87" i="2"/>
  <c r="U87" i="2"/>
  <c r="W87" i="2" s="1"/>
  <c r="T87" i="2"/>
  <c r="S87" i="2"/>
  <c r="R87" i="2"/>
  <c r="Q87" i="2"/>
  <c r="P87" i="2"/>
  <c r="Z86" i="2"/>
  <c r="Y86" i="2"/>
  <c r="X86" i="2"/>
  <c r="V86" i="2"/>
  <c r="U86" i="2"/>
  <c r="W86" i="2" s="1"/>
  <c r="T86" i="2"/>
  <c r="S86" i="2"/>
  <c r="R86" i="2"/>
  <c r="Q86" i="2"/>
  <c r="P86" i="2"/>
  <c r="Z85" i="2"/>
  <c r="Y85" i="2"/>
  <c r="V85" i="2"/>
  <c r="U85" i="2"/>
  <c r="X85" i="2" s="1"/>
  <c r="T85" i="2"/>
  <c r="S85" i="2"/>
  <c r="R85" i="2"/>
  <c r="Q85" i="2"/>
  <c r="P85" i="2"/>
  <c r="Z84" i="2"/>
  <c r="Y84" i="2"/>
  <c r="V84" i="2"/>
  <c r="U84" i="2"/>
  <c r="X84" i="2" s="1"/>
  <c r="T84" i="2"/>
  <c r="S84" i="2"/>
  <c r="R84" i="2"/>
  <c r="Q84" i="2"/>
  <c r="P84" i="2"/>
  <c r="Z83" i="2"/>
  <c r="Y83" i="2"/>
  <c r="V83" i="2"/>
  <c r="U83" i="2"/>
  <c r="X83" i="2" s="1"/>
  <c r="T83" i="2"/>
  <c r="S83" i="2"/>
  <c r="R83" i="2"/>
  <c r="Q83" i="2"/>
  <c r="P83" i="2"/>
  <c r="Z82" i="2"/>
  <c r="Y82" i="2"/>
  <c r="X82" i="2"/>
  <c r="V82" i="2"/>
  <c r="U82" i="2"/>
  <c r="W82" i="2" s="1"/>
  <c r="T82" i="2"/>
  <c r="S82" i="2"/>
  <c r="R82" i="2"/>
  <c r="Q82" i="2"/>
  <c r="P82" i="2"/>
  <c r="Z81" i="2"/>
  <c r="Y81" i="2"/>
  <c r="X81" i="2"/>
  <c r="V81" i="2"/>
  <c r="U81" i="2"/>
  <c r="W81" i="2" s="1"/>
  <c r="T81" i="2"/>
  <c r="S81" i="2"/>
  <c r="R81" i="2"/>
  <c r="Q81" i="2"/>
  <c r="P81" i="2"/>
  <c r="Z80" i="2"/>
  <c r="Y80" i="2"/>
  <c r="X80" i="2"/>
  <c r="V80" i="2"/>
  <c r="U80" i="2"/>
  <c r="W80" i="2" s="1"/>
  <c r="T80" i="2"/>
  <c r="S80" i="2"/>
  <c r="R80" i="2"/>
  <c r="Q80" i="2"/>
  <c r="P80" i="2"/>
  <c r="Z79" i="2"/>
  <c r="Y79" i="2"/>
  <c r="V79" i="2"/>
  <c r="U79" i="2"/>
  <c r="X79" i="2" s="1"/>
  <c r="T79" i="2"/>
  <c r="S79" i="2"/>
  <c r="R79" i="2"/>
  <c r="Q79" i="2"/>
  <c r="P79" i="2"/>
  <c r="Z78" i="2"/>
  <c r="Y78" i="2"/>
  <c r="V78" i="2"/>
  <c r="U78" i="2"/>
  <c r="X78" i="2" s="1"/>
  <c r="T78" i="2"/>
  <c r="S78" i="2"/>
  <c r="R78" i="2"/>
  <c r="Q78" i="2"/>
  <c r="P78" i="2"/>
  <c r="Z77" i="2"/>
  <c r="Y77" i="2"/>
  <c r="V77" i="2"/>
  <c r="U77" i="2"/>
  <c r="X77" i="2" s="1"/>
  <c r="T77" i="2"/>
  <c r="S77" i="2"/>
  <c r="R77" i="2"/>
  <c r="Q77" i="2"/>
  <c r="P77" i="2"/>
  <c r="Z76" i="2"/>
  <c r="Y76" i="2"/>
  <c r="X76" i="2"/>
  <c r="V76" i="2"/>
  <c r="U76" i="2"/>
  <c r="W76" i="2" s="1"/>
  <c r="T76" i="2"/>
  <c r="S76" i="2"/>
  <c r="R76" i="2"/>
  <c r="Q76" i="2"/>
  <c r="P76" i="2"/>
  <c r="Z75" i="2"/>
  <c r="Y75" i="2"/>
  <c r="X75" i="2"/>
  <c r="V75" i="2"/>
  <c r="U75" i="2"/>
  <c r="W75" i="2" s="1"/>
  <c r="T75" i="2"/>
  <c r="S75" i="2"/>
  <c r="R75" i="2"/>
  <c r="Q75" i="2"/>
  <c r="P75" i="2"/>
  <c r="Z74" i="2"/>
  <c r="Y74" i="2"/>
  <c r="X74" i="2"/>
  <c r="V74" i="2"/>
  <c r="U74" i="2"/>
  <c r="W74" i="2" s="1"/>
  <c r="T74" i="2"/>
  <c r="S74" i="2"/>
  <c r="R74" i="2"/>
  <c r="Q74" i="2"/>
  <c r="P74" i="2"/>
  <c r="Z73" i="2"/>
  <c r="Y73" i="2"/>
  <c r="V73" i="2"/>
  <c r="U73" i="2"/>
  <c r="X73" i="2" s="1"/>
  <c r="T73" i="2"/>
  <c r="S73" i="2"/>
  <c r="R73" i="2"/>
  <c r="Q73" i="2"/>
  <c r="P73" i="2"/>
  <c r="Z72" i="2"/>
  <c r="Y72" i="2"/>
  <c r="V72" i="2"/>
  <c r="U72" i="2"/>
  <c r="X72" i="2" s="1"/>
  <c r="T72" i="2"/>
  <c r="S72" i="2"/>
  <c r="R72" i="2"/>
  <c r="Q72" i="2"/>
  <c r="P72" i="2"/>
  <c r="Z71" i="2"/>
  <c r="Y71" i="2"/>
  <c r="V71" i="2"/>
  <c r="U71" i="2"/>
  <c r="X71" i="2" s="1"/>
  <c r="T71" i="2"/>
  <c r="S71" i="2"/>
  <c r="R71" i="2"/>
  <c r="Q71" i="2"/>
  <c r="P71" i="2"/>
  <c r="Z70" i="2"/>
  <c r="Y70" i="2"/>
  <c r="X70" i="2"/>
  <c r="V70" i="2"/>
  <c r="U70" i="2"/>
  <c r="W70" i="2" s="1"/>
  <c r="T70" i="2"/>
  <c r="S70" i="2"/>
  <c r="R70" i="2"/>
  <c r="Q70" i="2"/>
  <c r="P70" i="2"/>
  <c r="Z69" i="2"/>
  <c r="Y69" i="2"/>
  <c r="X69" i="2"/>
  <c r="V69" i="2"/>
  <c r="U69" i="2"/>
  <c r="W69" i="2" s="1"/>
  <c r="T69" i="2"/>
  <c r="S69" i="2"/>
  <c r="R69" i="2"/>
  <c r="Q69" i="2"/>
  <c r="P69" i="2"/>
  <c r="Z68" i="2"/>
  <c r="Y68" i="2"/>
  <c r="X68" i="2"/>
  <c r="V68" i="2"/>
  <c r="U68" i="2"/>
  <c r="W68" i="2" s="1"/>
  <c r="T68" i="2"/>
  <c r="S68" i="2"/>
  <c r="R68" i="2"/>
  <c r="Q68" i="2"/>
  <c r="P68" i="2"/>
  <c r="Z67" i="2"/>
  <c r="Y67" i="2"/>
  <c r="V67" i="2"/>
  <c r="U67" i="2"/>
  <c r="X67" i="2" s="1"/>
  <c r="T67" i="2"/>
  <c r="S67" i="2"/>
  <c r="R67" i="2"/>
  <c r="Q67" i="2"/>
  <c r="P67" i="2"/>
  <c r="Z66" i="2"/>
  <c r="Y66" i="2"/>
  <c r="V66" i="2"/>
  <c r="U66" i="2"/>
  <c r="X66" i="2" s="1"/>
  <c r="T66" i="2"/>
  <c r="S66" i="2"/>
  <c r="R66" i="2"/>
  <c r="Q66" i="2"/>
  <c r="P66" i="2"/>
  <c r="Z65" i="2"/>
  <c r="Y65" i="2"/>
  <c r="V65" i="2"/>
  <c r="U65" i="2"/>
  <c r="X65" i="2" s="1"/>
  <c r="T65" i="2"/>
  <c r="S65" i="2"/>
  <c r="R65" i="2"/>
  <c r="Q65" i="2"/>
  <c r="P65" i="2"/>
  <c r="Z64" i="2"/>
  <c r="Y64" i="2"/>
  <c r="X64" i="2"/>
  <c r="V64" i="2"/>
  <c r="U64" i="2"/>
  <c r="W64" i="2" s="1"/>
  <c r="T64" i="2"/>
  <c r="S64" i="2"/>
  <c r="R64" i="2"/>
  <c r="Q64" i="2"/>
  <c r="P64" i="2"/>
  <c r="Z63" i="2"/>
  <c r="Y63" i="2"/>
  <c r="X63" i="2"/>
  <c r="V63" i="2"/>
  <c r="U63" i="2"/>
  <c r="W63" i="2" s="1"/>
  <c r="T63" i="2"/>
  <c r="S63" i="2"/>
  <c r="R63" i="2"/>
  <c r="Q63" i="2"/>
  <c r="P63" i="2"/>
  <c r="Z62" i="2"/>
  <c r="Y62" i="2"/>
  <c r="X62" i="2"/>
  <c r="V62" i="2"/>
  <c r="U62" i="2"/>
  <c r="W62" i="2" s="1"/>
  <c r="T62" i="2"/>
  <c r="S62" i="2"/>
  <c r="R62" i="2"/>
  <c r="Q62" i="2"/>
  <c r="P62" i="2"/>
  <c r="Z61" i="2"/>
  <c r="Y61" i="2"/>
  <c r="V61" i="2"/>
  <c r="U61" i="2"/>
  <c r="X61" i="2" s="1"/>
  <c r="T61" i="2"/>
  <c r="S61" i="2"/>
  <c r="R61" i="2"/>
  <c r="Q61" i="2"/>
  <c r="P61" i="2"/>
  <c r="Z60" i="2"/>
  <c r="Y60" i="2"/>
  <c r="V60" i="2"/>
  <c r="U60" i="2"/>
  <c r="X60" i="2" s="1"/>
  <c r="T60" i="2"/>
  <c r="S60" i="2"/>
  <c r="R60" i="2"/>
  <c r="Q60" i="2"/>
  <c r="P60" i="2"/>
  <c r="Z59" i="2"/>
  <c r="Y59" i="2"/>
  <c r="V59" i="2"/>
  <c r="U59" i="2"/>
  <c r="X59" i="2" s="1"/>
  <c r="T59" i="2"/>
  <c r="S59" i="2"/>
  <c r="R59" i="2"/>
  <c r="Q59" i="2"/>
  <c r="P59" i="2"/>
  <c r="Z58" i="2"/>
  <c r="Y58" i="2"/>
  <c r="X58" i="2"/>
  <c r="V58" i="2"/>
  <c r="U58" i="2"/>
  <c r="W58" i="2" s="1"/>
  <c r="T58" i="2"/>
  <c r="S58" i="2"/>
  <c r="R58" i="2"/>
  <c r="Q58" i="2"/>
  <c r="P58" i="2"/>
  <c r="Z57" i="2"/>
  <c r="Y57" i="2"/>
  <c r="X57" i="2"/>
  <c r="V57" i="2"/>
  <c r="U57" i="2"/>
  <c r="W57" i="2" s="1"/>
  <c r="T57" i="2"/>
  <c r="S57" i="2"/>
  <c r="R57" i="2"/>
  <c r="Q57" i="2"/>
  <c r="P57" i="2"/>
  <c r="Z56" i="2"/>
  <c r="Y56" i="2"/>
  <c r="X56" i="2"/>
  <c r="V56" i="2"/>
  <c r="U56" i="2"/>
  <c r="W56" i="2" s="1"/>
  <c r="T56" i="2"/>
  <c r="S56" i="2"/>
  <c r="R56" i="2"/>
  <c r="Q56" i="2"/>
  <c r="P56" i="2"/>
  <c r="Z55" i="2"/>
  <c r="Y55" i="2"/>
  <c r="V55" i="2"/>
  <c r="U55" i="2"/>
  <c r="X55" i="2" s="1"/>
  <c r="T55" i="2"/>
  <c r="S55" i="2"/>
  <c r="R55" i="2"/>
  <c r="Q55" i="2"/>
  <c r="P55" i="2"/>
  <c r="Z54" i="2"/>
  <c r="Y54" i="2"/>
  <c r="V54" i="2"/>
  <c r="U54" i="2"/>
  <c r="X54" i="2" s="1"/>
  <c r="T54" i="2"/>
  <c r="S54" i="2"/>
  <c r="R54" i="2"/>
  <c r="Q54" i="2"/>
  <c r="P54" i="2"/>
  <c r="Z53" i="2"/>
  <c r="Y53" i="2"/>
  <c r="V53" i="2"/>
  <c r="U53" i="2"/>
  <c r="X53" i="2" s="1"/>
  <c r="T53" i="2"/>
  <c r="S53" i="2"/>
  <c r="R53" i="2"/>
  <c r="Q53" i="2"/>
  <c r="P53" i="2"/>
  <c r="Z52" i="2"/>
  <c r="Y52" i="2"/>
  <c r="X52" i="2"/>
  <c r="V52" i="2"/>
  <c r="U52" i="2"/>
  <c r="W52" i="2" s="1"/>
  <c r="T52" i="2"/>
  <c r="S52" i="2"/>
  <c r="R52" i="2"/>
  <c r="Q52" i="2"/>
  <c r="P52" i="2"/>
  <c r="Z51" i="2"/>
  <c r="Y51" i="2"/>
  <c r="X51" i="2"/>
  <c r="V51" i="2"/>
  <c r="U51" i="2"/>
  <c r="W51" i="2" s="1"/>
  <c r="T51" i="2"/>
  <c r="S51" i="2"/>
  <c r="R51" i="2"/>
  <c r="Q51" i="2"/>
  <c r="P51" i="2"/>
  <c r="Z50" i="2"/>
  <c r="Y50" i="2"/>
  <c r="X50" i="2"/>
  <c r="V50" i="2"/>
  <c r="U50" i="2"/>
  <c r="W50" i="2" s="1"/>
  <c r="T50" i="2"/>
  <c r="S50" i="2"/>
  <c r="R50" i="2"/>
  <c r="Q50" i="2"/>
  <c r="P50" i="2"/>
  <c r="Z49" i="2"/>
  <c r="Y49" i="2"/>
  <c r="V49" i="2"/>
  <c r="U49" i="2"/>
  <c r="X49" i="2" s="1"/>
  <c r="T49" i="2"/>
  <c r="S49" i="2"/>
  <c r="R49" i="2"/>
  <c r="Q49" i="2"/>
  <c r="P49" i="2"/>
  <c r="Z48" i="2"/>
  <c r="Y48" i="2"/>
  <c r="V48" i="2"/>
  <c r="U48" i="2"/>
  <c r="X48" i="2" s="1"/>
  <c r="T48" i="2"/>
  <c r="S48" i="2"/>
  <c r="R48" i="2"/>
  <c r="Q48" i="2"/>
  <c r="P48" i="2"/>
  <c r="Z47" i="2"/>
  <c r="Y47" i="2"/>
  <c r="V47" i="2"/>
  <c r="U47" i="2"/>
  <c r="X47" i="2" s="1"/>
  <c r="T47" i="2"/>
  <c r="S47" i="2"/>
  <c r="R47" i="2"/>
  <c r="Q47" i="2"/>
  <c r="P47" i="2"/>
  <c r="Z46" i="2"/>
  <c r="Y46" i="2"/>
  <c r="X46" i="2"/>
  <c r="V46" i="2"/>
  <c r="U46" i="2"/>
  <c r="W46" i="2" s="1"/>
  <c r="T46" i="2"/>
  <c r="S46" i="2"/>
  <c r="R46" i="2"/>
  <c r="Q46" i="2"/>
  <c r="P46" i="2"/>
  <c r="Z45" i="2"/>
  <c r="Y45" i="2"/>
  <c r="X45" i="2"/>
  <c r="V45" i="2"/>
  <c r="U45" i="2"/>
  <c r="W45" i="2" s="1"/>
  <c r="T45" i="2"/>
  <c r="S45" i="2"/>
  <c r="R45" i="2"/>
  <c r="Q45" i="2"/>
  <c r="P45" i="2"/>
  <c r="Z44" i="2"/>
  <c r="Y44" i="2"/>
  <c r="X44" i="2"/>
  <c r="V44" i="2"/>
  <c r="U44" i="2"/>
  <c r="W44" i="2" s="1"/>
  <c r="T44" i="2"/>
  <c r="S44" i="2"/>
  <c r="R44" i="2"/>
  <c r="Q44" i="2"/>
  <c r="P44" i="2"/>
  <c r="Z43" i="2"/>
  <c r="Y43" i="2"/>
  <c r="V43" i="2"/>
  <c r="U43" i="2"/>
  <c r="X43" i="2" s="1"/>
  <c r="T43" i="2"/>
  <c r="S43" i="2"/>
  <c r="R43" i="2"/>
  <c r="Q43" i="2"/>
  <c r="P43" i="2"/>
  <c r="Z42" i="2"/>
  <c r="Y42" i="2"/>
  <c r="V42" i="2"/>
  <c r="U42" i="2"/>
  <c r="X42" i="2" s="1"/>
  <c r="T42" i="2"/>
  <c r="S42" i="2"/>
  <c r="R42" i="2"/>
  <c r="Q42" i="2"/>
  <c r="P42" i="2"/>
  <c r="Z41" i="2"/>
  <c r="Y41" i="2"/>
  <c r="V41" i="2"/>
  <c r="U41" i="2"/>
  <c r="X41" i="2" s="1"/>
  <c r="T41" i="2"/>
  <c r="S41" i="2"/>
  <c r="R41" i="2"/>
  <c r="Q41" i="2"/>
  <c r="P41" i="2"/>
  <c r="Z40" i="2"/>
  <c r="Y40" i="2"/>
  <c r="X40" i="2"/>
  <c r="V40" i="2"/>
  <c r="U40" i="2"/>
  <c r="W40" i="2" s="1"/>
  <c r="T40" i="2"/>
  <c r="S40" i="2"/>
  <c r="R40" i="2"/>
  <c r="Q40" i="2"/>
  <c r="P40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X38" i="2"/>
  <c r="V38" i="2"/>
  <c r="U38" i="2"/>
  <c r="W38" i="2" s="1"/>
  <c r="T38" i="2"/>
  <c r="S38" i="2"/>
  <c r="R38" i="2"/>
  <c r="Q38" i="2"/>
  <c r="P38" i="2"/>
  <c r="Z37" i="2"/>
  <c r="Y37" i="2"/>
  <c r="V37" i="2"/>
  <c r="U37" i="2"/>
  <c r="X37" i="2" s="1"/>
  <c r="T37" i="2"/>
  <c r="S37" i="2"/>
  <c r="R37" i="2"/>
  <c r="Q37" i="2"/>
  <c r="P37" i="2"/>
  <c r="Z36" i="2"/>
  <c r="Y36" i="2"/>
  <c r="W36" i="2"/>
  <c r="V36" i="2"/>
  <c r="U36" i="2"/>
  <c r="X36" i="2" s="1"/>
  <c r="T36" i="2"/>
  <c r="S36" i="2"/>
  <c r="R36" i="2"/>
  <c r="Q36" i="2"/>
  <c r="P36" i="2"/>
  <c r="Z35" i="2"/>
  <c r="Y35" i="2"/>
  <c r="V35" i="2"/>
  <c r="U35" i="2"/>
  <c r="X35" i="2" s="1"/>
  <c r="T35" i="2"/>
  <c r="S35" i="2"/>
  <c r="R35" i="2"/>
  <c r="Q35" i="2"/>
  <c r="P35" i="2"/>
  <c r="Z34" i="2"/>
  <c r="Y34" i="2"/>
  <c r="V34" i="2"/>
  <c r="U34" i="2"/>
  <c r="X34" i="2" s="1"/>
  <c r="T34" i="2"/>
  <c r="S34" i="2"/>
  <c r="R34" i="2"/>
  <c r="Q34" i="2"/>
  <c r="P34" i="2"/>
  <c r="Z33" i="2"/>
  <c r="Y33" i="2"/>
  <c r="X33" i="2"/>
  <c r="V33" i="2"/>
  <c r="U33" i="2"/>
  <c r="W33" i="2" s="1"/>
  <c r="T33" i="2"/>
  <c r="S33" i="2"/>
  <c r="R33" i="2"/>
  <c r="Q33" i="2"/>
  <c r="P33" i="2"/>
  <c r="Z32" i="2"/>
  <c r="Y32" i="2"/>
  <c r="V32" i="2"/>
  <c r="U32" i="2"/>
  <c r="W32" i="2" s="1"/>
  <c r="T32" i="2"/>
  <c r="S32" i="2"/>
  <c r="R32" i="2"/>
  <c r="Q32" i="2"/>
  <c r="P32" i="2"/>
  <c r="Z31" i="2"/>
  <c r="Y31" i="2"/>
  <c r="W31" i="2"/>
  <c r="V31" i="2"/>
  <c r="U31" i="2"/>
  <c r="X31" i="2" s="1"/>
  <c r="T31" i="2"/>
  <c r="S31" i="2"/>
  <c r="R31" i="2"/>
  <c r="Q31" i="2"/>
  <c r="P31" i="2"/>
  <c r="Z30" i="2"/>
  <c r="Y30" i="2"/>
  <c r="V30" i="2"/>
  <c r="U30" i="2"/>
  <c r="X30" i="2" s="1"/>
  <c r="T30" i="2"/>
  <c r="S30" i="2"/>
  <c r="R30" i="2"/>
  <c r="Q30" i="2"/>
  <c r="P30" i="2"/>
  <c r="Z29" i="2"/>
  <c r="Y29" i="2"/>
  <c r="V29" i="2"/>
  <c r="U29" i="2"/>
  <c r="X29" i="2" s="1"/>
  <c r="T29" i="2"/>
  <c r="S29" i="2"/>
  <c r="R29" i="2"/>
  <c r="Q29" i="2"/>
  <c r="P29" i="2"/>
  <c r="Z28" i="2"/>
  <c r="Y28" i="2"/>
  <c r="W28" i="2"/>
  <c r="V28" i="2"/>
  <c r="U28" i="2"/>
  <c r="X28" i="2" s="1"/>
  <c r="T28" i="2"/>
  <c r="S28" i="2"/>
  <c r="R28" i="2"/>
  <c r="Q28" i="2"/>
  <c r="P28" i="2"/>
  <c r="Z27" i="2"/>
  <c r="Y27" i="2"/>
  <c r="V27" i="2"/>
  <c r="U27" i="2"/>
  <c r="X27" i="2" s="1"/>
  <c r="T27" i="2"/>
  <c r="S27" i="2"/>
  <c r="R27" i="2"/>
  <c r="Q27" i="2"/>
  <c r="P27" i="2"/>
  <c r="Z26" i="2"/>
  <c r="Y26" i="2"/>
  <c r="X26" i="2"/>
  <c r="V26" i="2"/>
  <c r="U26" i="2"/>
  <c r="W26" i="2" s="1"/>
  <c r="T26" i="2"/>
  <c r="S26" i="2"/>
  <c r="R26" i="2"/>
  <c r="Q26" i="2"/>
  <c r="P26" i="2"/>
  <c r="Z25" i="2"/>
  <c r="Y25" i="2"/>
  <c r="W25" i="2"/>
  <c r="V25" i="2"/>
  <c r="U25" i="2"/>
  <c r="X25" i="2" s="1"/>
  <c r="T25" i="2"/>
  <c r="S25" i="2"/>
  <c r="R25" i="2"/>
  <c r="Q25" i="2"/>
  <c r="P25" i="2"/>
  <c r="Z24" i="2"/>
  <c r="Y24" i="2"/>
  <c r="V24" i="2"/>
  <c r="U24" i="2"/>
  <c r="X24" i="2" s="1"/>
  <c r="T24" i="2"/>
  <c r="S24" i="2"/>
  <c r="R24" i="2"/>
  <c r="Q24" i="2"/>
  <c r="P24" i="2"/>
  <c r="Z23" i="2"/>
  <c r="Y23" i="2"/>
  <c r="V23" i="2"/>
  <c r="U23" i="2"/>
  <c r="X23" i="2" s="1"/>
  <c r="T23" i="2"/>
  <c r="S23" i="2"/>
  <c r="R23" i="2"/>
  <c r="Q23" i="2"/>
  <c r="P23" i="2"/>
  <c r="Z22" i="2"/>
  <c r="Y22" i="2"/>
  <c r="W22" i="2"/>
  <c r="V22" i="2"/>
  <c r="U22" i="2"/>
  <c r="X22" i="2" s="1"/>
  <c r="T22" i="2"/>
  <c r="S22" i="2"/>
  <c r="R22" i="2"/>
  <c r="Q22" i="2"/>
  <c r="P22" i="2"/>
  <c r="Z21" i="2"/>
  <c r="Y21" i="2"/>
  <c r="W21" i="2"/>
  <c r="V21" i="2"/>
  <c r="U21" i="2"/>
  <c r="X21" i="2" s="1"/>
  <c r="T21" i="2"/>
  <c r="S21" i="2"/>
  <c r="R21" i="2"/>
  <c r="Q21" i="2"/>
  <c r="P21" i="2"/>
  <c r="Z20" i="2"/>
  <c r="Y20" i="2"/>
  <c r="V20" i="2"/>
  <c r="U20" i="2"/>
  <c r="W20" i="2" s="1"/>
  <c r="T20" i="2"/>
  <c r="S20" i="2"/>
  <c r="R20" i="2"/>
  <c r="Q20" i="2"/>
  <c r="P20" i="2"/>
  <c r="Z19" i="2"/>
  <c r="Y19" i="2"/>
  <c r="V19" i="2"/>
  <c r="U19" i="2"/>
  <c r="X19" i="2" s="1"/>
  <c r="T19" i="2"/>
  <c r="S19" i="2"/>
  <c r="R19" i="2"/>
  <c r="Q19" i="2"/>
  <c r="P19" i="2"/>
  <c r="Z18" i="2"/>
  <c r="Y18" i="2"/>
  <c r="W18" i="2"/>
  <c r="V18" i="2"/>
  <c r="U18" i="2"/>
  <c r="X18" i="2" s="1"/>
  <c r="T18" i="2"/>
  <c r="S18" i="2"/>
  <c r="R18" i="2"/>
  <c r="Q18" i="2"/>
  <c r="P18" i="2"/>
  <c r="Z17" i="2"/>
  <c r="Y17" i="2"/>
  <c r="V17" i="2"/>
  <c r="U17" i="2"/>
  <c r="X17" i="2" s="1"/>
  <c r="T17" i="2"/>
  <c r="S17" i="2"/>
  <c r="R17" i="2"/>
  <c r="Q17" i="2"/>
  <c r="P17" i="2"/>
  <c r="Z16" i="2"/>
  <c r="Y16" i="2"/>
  <c r="X16" i="2"/>
  <c r="V16" i="2"/>
  <c r="U16" i="2"/>
  <c r="W16" i="2" s="1"/>
  <c r="T16" i="2"/>
  <c r="S16" i="2"/>
  <c r="R16" i="2"/>
  <c r="Q16" i="2"/>
  <c r="P16" i="2"/>
  <c r="Z15" i="2"/>
  <c r="Y15" i="2"/>
  <c r="W15" i="2"/>
  <c r="V15" i="2"/>
  <c r="U15" i="2"/>
  <c r="X15" i="2" s="1"/>
  <c r="T15" i="2"/>
  <c r="S15" i="2"/>
  <c r="R15" i="2"/>
  <c r="Q15" i="2"/>
  <c r="P15" i="2"/>
  <c r="Z14" i="2"/>
  <c r="Y14" i="2"/>
  <c r="V14" i="2"/>
  <c r="U14" i="2"/>
  <c r="W14" i="2" s="1"/>
  <c r="T14" i="2"/>
  <c r="S14" i="2"/>
  <c r="R14" i="2"/>
  <c r="Q14" i="2"/>
  <c r="P14" i="2"/>
  <c r="Z13" i="2"/>
  <c r="Y13" i="2"/>
  <c r="W13" i="2"/>
  <c r="V13" i="2"/>
  <c r="U13" i="2"/>
  <c r="X13" i="2" s="1"/>
  <c r="T13" i="2"/>
  <c r="S13" i="2"/>
  <c r="R13" i="2"/>
  <c r="Q13" i="2"/>
  <c r="P13" i="2"/>
  <c r="Z12" i="2"/>
  <c r="Y12" i="2"/>
  <c r="W12" i="2"/>
  <c r="V12" i="2"/>
  <c r="U12" i="2"/>
  <c r="X12" i="2" s="1"/>
  <c r="T12" i="2"/>
  <c r="S12" i="2"/>
  <c r="R12" i="2"/>
  <c r="Q12" i="2"/>
  <c r="P12" i="2"/>
  <c r="Z11" i="2"/>
  <c r="Y11" i="2"/>
  <c r="V11" i="2"/>
  <c r="U11" i="2"/>
  <c r="X11" i="2" s="1"/>
  <c r="T11" i="2"/>
  <c r="S11" i="2"/>
  <c r="R11" i="2"/>
  <c r="Q11" i="2"/>
  <c r="P11" i="2"/>
  <c r="Z10" i="2"/>
  <c r="Y10" i="2"/>
  <c r="X10" i="2"/>
  <c r="W10" i="2"/>
  <c r="V10" i="2"/>
  <c r="U10" i="2"/>
  <c r="T10" i="2"/>
  <c r="S10" i="2"/>
  <c r="R10" i="2"/>
  <c r="Q10" i="2"/>
  <c r="P10" i="2"/>
  <c r="Z9" i="2"/>
  <c r="Y9" i="2"/>
  <c r="X9" i="2"/>
  <c r="V9" i="2"/>
  <c r="U9" i="2"/>
  <c r="W9" i="2" s="1"/>
  <c r="T9" i="2"/>
  <c r="S9" i="2"/>
  <c r="R9" i="2"/>
  <c r="Q9" i="2"/>
  <c r="P9" i="2"/>
  <c r="Z8" i="2"/>
  <c r="Y8" i="2"/>
  <c r="X8" i="2"/>
  <c r="V8" i="2"/>
  <c r="U8" i="2"/>
  <c r="W8" i="2" s="1"/>
  <c r="T8" i="2"/>
  <c r="S8" i="2"/>
  <c r="R8" i="2"/>
  <c r="Q8" i="2"/>
  <c r="P8" i="2"/>
  <c r="Z7" i="2"/>
  <c r="Y7" i="2"/>
  <c r="V7" i="2"/>
  <c r="U7" i="2"/>
  <c r="X7" i="2" s="1"/>
  <c r="T7" i="2"/>
  <c r="S7" i="2"/>
  <c r="R7" i="2"/>
  <c r="Q7" i="2"/>
  <c r="P7" i="2"/>
  <c r="Z6" i="2"/>
  <c r="Y6" i="2"/>
  <c r="V6" i="2"/>
  <c r="U6" i="2"/>
  <c r="X6" i="2" s="1"/>
  <c r="T6" i="2"/>
  <c r="S6" i="2"/>
  <c r="R6" i="2"/>
  <c r="Q6" i="2"/>
  <c r="P6" i="2"/>
  <c r="Z5" i="2"/>
  <c r="Y5" i="2"/>
  <c r="V5" i="2"/>
  <c r="U5" i="2"/>
  <c r="X5" i="2" s="1"/>
  <c r="T5" i="2"/>
  <c r="S5" i="2"/>
  <c r="R5" i="2"/>
  <c r="Q5" i="2"/>
  <c r="P5" i="2"/>
  <c r="E5" i="2"/>
  <c r="Z4" i="2"/>
  <c r="Y4" i="2"/>
  <c r="V4" i="2"/>
  <c r="U4" i="2"/>
  <c r="X4" i="2" s="1"/>
  <c r="T4" i="2"/>
  <c r="S4" i="2"/>
  <c r="R4" i="2"/>
  <c r="Q4" i="2"/>
  <c r="P4" i="2"/>
  <c r="E4" i="2"/>
  <c r="Z3" i="2"/>
  <c r="Y3" i="2"/>
  <c r="V3" i="2"/>
  <c r="U3" i="2"/>
  <c r="X3" i="2" s="1"/>
  <c r="T3" i="2"/>
  <c r="S3" i="2"/>
  <c r="R3" i="2"/>
  <c r="Q3" i="2"/>
  <c r="P3" i="2"/>
  <c r="Z2" i="2"/>
  <c r="Y2" i="2"/>
  <c r="W2" i="2"/>
  <c r="V2" i="2"/>
  <c r="U2" i="2"/>
  <c r="X2" i="2" s="1"/>
  <c r="T2" i="2"/>
  <c r="S2" i="2"/>
  <c r="R2" i="2"/>
  <c r="Q2" i="2"/>
  <c r="P2" i="2"/>
  <c r="X115" i="2" l="1"/>
  <c r="W115" i="2"/>
  <c r="X139" i="2"/>
  <c r="W139" i="2"/>
  <c r="W584" i="2"/>
  <c r="X584" i="2"/>
  <c r="W826" i="2"/>
  <c r="X826" i="2"/>
  <c r="X109" i="2"/>
  <c r="W109" i="2"/>
  <c r="W614" i="2"/>
  <c r="X614" i="2"/>
  <c r="X690" i="2"/>
  <c r="W690" i="2"/>
  <c r="W812" i="2"/>
  <c r="X812" i="2"/>
  <c r="W154" i="2"/>
  <c r="X154" i="2"/>
  <c r="X14" i="2"/>
  <c r="W24" i="2"/>
  <c r="W27" i="2"/>
  <c r="W34" i="2"/>
  <c r="W37" i="2"/>
  <c r="X118" i="2"/>
  <c r="K159" i="4" s="1"/>
  <c r="X133" i="2"/>
  <c r="W133" i="2"/>
  <c r="W136" i="2"/>
  <c r="X136" i="2"/>
  <c r="W158" i="2"/>
  <c r="X158" i="2"/>
  <c r="W170" i="2"/>
  <c r="X170" i="2"/>
  <c r="W182" i="2"/>
  <c r="X182" i="2"/>
  <c r="W194" i="2"/>
  <c r="X194" i="2"/>
  <c r="W206" i="2"/>
  <c r="X206" i="2"/>
  <c r="W218" i="2"/>
  <c r="X218" i="2"/>
  <c r="W230" i="2"/>
  <c r="X230" i="2"/>
  <c r="W242" i="2"/>
  <c r="X242" i="2"/>
  <c r="W254" i="2"/>
  <c r="X254" i="2"/>
  <c r="W266" i="2"/>
  <c r="X266" i="2"/>
  <c r="W278" i="2"/>
  <c r="X278" i="2"/>
  <c r="W290" i="2"/>
  <c r="X290" i="2"/>
  <c r="W302" i="2"/>
  <c r="X302" i="2"/>
  <c r="W314" i="2"/>
  <c r="X314" i="2"/>
  <c r="W326" i="2"/>
  <c r="X326" i="2"/>
  <c r="W338" i="2"/>
  <c r="X338" i="2"/>
  <c r="W350" i="2"/>
  <c r="X350" i="2"/>
  <c r="W362" i="2"/>
  <c r="X362" i="2"/>
  <c r="W374" i="2"/>
  <c r="X374" i="2"/>
  <c r="W386" i="2"/>
  <c r="X386" i="2"/>
  <c r="W398" i="2"/>
  <c r="X398" i="2"/>
  <c r="W410" i="2"/>
  <c r="X410" i="2"/>
  <c r="W422" i="2"/>
  <c r="X422" i="2"/>
  <c r="W434" i="2"/>
  <c r="X434" i="2"/>
  <c r="W446" i="2"/>
  <c r="X446" i="2"/>
  <c r="W458" i="2"/>
  <c r="X458" i="2"/>
  <c r="W470" i="2"/>
  <c r="X470" i="2"/>
  <c r="W482" i="2"/>
  <c r="X482" i="2"/>
  <c r="W494" i="2"/>
  <c r="X494" i="2"/>
  <c r="W506" i="2"/>
  <c r="X506" i="2"/>
  <c r="W518" i="2"/>
  <c r="X518" i="2"/>
  <c r="X681" i="2"/>
  <c r="W681" i="2"/>
  <c r="W7" i="2"/>
  <c r="X20" i="2"/>
  <c r="W30" i="2"/>
  <c r="W43" i="2"/>
  <c r="W49" i="2"/>
  <c r="W55" i="2"/>
  <c r="W61" i="2"/>
  <c r="W67" i="2"/>
  <c r="W73" i="2"/>
  <c r="W79" i="2"/>
  <c r="W85" i="2"/>
  <c r="W91" i="2"/>
  <c r="W97" i="2"/>
  <c r="W103" i="2"/>
  <c r="X112" i="2"/>
  <c r="X128" i="2"/>
  <c r="X146" i="2"/>
  <c r="X166" i="2"/>
  <c r="X178" i="2"/>
  <c r="X190" i="2"/>
  <c r="X202" i="2"/>
  <c r="X214" i="2"/>
  <c r="X226" i="2"/>
  <c r="X238" i="2"/>
  <c r="X250" i="2"/>
  <c r="X262" i="2"/>
  <c r="X274" i="2"/>
  <c r="X286" i="2"/>
  <c r="X298" i="2"/>
  <c r="X310" i="2"/>
  <c r="X322" i="2"/>
  <c r="X334" i="2"/>
  <c r="X346" i="2"/>
  <c r="X358" i="2"/>
  <c r="X370" i="2"/>
  <c r="X382" i="2"/>
  <c r="X394" i="2"/>
  <c r="X406" i="2"/>
  <c r="X549" i="2"/>
  <c r="W549" i="2"/>
  <c r="X565" i="2"/>
  <c r="W565" i="2"/>
  <c r="W142" i="2"/>
  <c r="X142" i="2"/>
  <c r="X145" i="2"/>
  <c r="W145" i="2"/>
  <c r="W148" i="2"/>
  <c r="X148" i="2"/>
  <c r="W160" i="2"/>
  <c r="X160" i="2"/>
  <c r="X529" i="2"/>
  <c r="W529" i="2"/>
  <c r="X544" i="2"/>
  <c r="W544" i="2"/>
  <c r="W560" i="2"/>
  <c r="X560" i="2"/>
  <c r="X602" i="2"/>
  <c r="W602" i="2"/>
  <c r="X630" i="2"/>
  <c r="W630" i="2"/>
  <c r="X127" i="2"/>
  <c r="W127" i="2"/>
  <c r="W130" i="2"/>
  <c r="X130" i="2"/>
  <c r="W6" i="2"/>
  <c r="W19" i="2"/>
  <c r="X32" i="2"/>
  <c r="W42" i="2"/>
  <c r="W48" i="2"/>
  <c r="W54" i="2"/>
  <c r="W60" i="2"/>
  <c r="W66" i="2"/>
  <c r="W72" i="2"/>
  <c r="W78" i="2"/>
  <c r="W84" i="2"/>
  <c r="W90" i="2"/>
  <c r="W96" i="2"/>
  <c r="W102" i="2"/>
  <c r="W108" i="2"/>
  <c r="X116" i="2"/>
  <c r="X121" i="2"/>
  <c r="W121" i="2"/>
  <c r="X140" i="2"/>
  <c r="W152" i="2"/>
  <c r="X152" i="2"/>
  <c r="W164" i="2"/>
  <c r="X164" i="2"/>
  <c r="W176" i="2"/>
  <c r="X176" i="2"/>
  <c r="W188" i="2"/>
  <c r="X188" i="2"/>
  <c r="W200" i="2"/>
  <c r="X200" i="2"/>
  <c r="W212" i="2"/>
  <c r="X212" i="2"/>
  <c r="W224" i="2"/>
  <c r="X224" i="2"/>
  <c r="W236" i="2"/>
  <c r="X236" i="2"/>
  <c r="W248" i="2"/>
  <c r="X248" i="2"/>
  <c r="W260" i="2"/>
  <c r="X260" i="2"/>
  <c r="W272" i="2"/>
  <c r="X272" i="2"/>
  <c r="W284" i="2"/>
  <c r="X284" i="2"/>
  <c r="W296" i="2"/>
  <c r="X296" i="2"/>
  <c r="W308" i="2"/>
  <c r="X308" i="2"/>
  <c r="W320" i="2"/>
  <c r="X320" i="2"/>
  <c r="W332" i="2"/>
  <c r="X332" i="2"/>
  <c r="W344" i="2"/>
  <c r="X344" i="2"/>
  <c r="W356" i="2"/>
  <c r="X356" i="2"/>
  <c r="W368" i="2"/>
  <c r="X368" i="2"/>
  <c r="W380" i="2"/>
  <c r="X380" i="2"/>
  <c r="W392" i="2"/>
  <c r="X392" i="2"/>
  <c r="W404" i="2"/>
  <c r="X404" i="2"/>
  <c r="W416" i="2"/>
  <c r="X416" i="2"/>
  <c r="W428" i="2"/>
  <c r="X428" i="2"/>
  <c r="W440" i="2"/>
  <c r="X440" i="2"/>
  <c r="W452" i="2"/>
  <c r="X452" i="2"/>
  <c r="W464" i="2"/>
  <c r="X464" i="2"/>
  <c r="W476" i="2"/>
  <c r="X476" i="2"/>
  <c r="W488" i="2"/>
  <c r="X488" i="2"/>
  <c r="W500" i="2"/>
  <c r="X500" i="2"/>
  <c r="W512" i="2"/>
  <c r="X512" i="2"/>
  <c r="W524" i="2"/>
  <c r="X524" i="2"/>
  <c r="X589" i="2"/>
  <c r="W589" i="2"/>
  <c r="W625" i="2"/>
  <c r="X625" i="2"/>
  <c r="X538" i="2"/>
  <c r="W538" i="2"/>
  <c r="X574" i="2"/>
  <c r="W574" i="2"/>
  <c r="X592" i="2"/>
  <c r="W592" i="2"/>
  <c r="X657" i="2"/>
  <c r="W657" i="2"/>
  <c r="W692" i="2"/>
  <c r="X692" i="2"/>
  <c r="X723" i="2"/>
  <c r="W723" i="2"/>
  <c r="X879" i="2"/>
  <c r="W879" i="2"/>
  <c r="X912" i="2"/>
  <c r="W912" i="2"/>
  <c r="X532" i="2"/>
  <c r="W532" i="2"/>
  <c r="X568" i="2"/>
  <c r="W568" i="2"/>
  <c r="X611" i="2"/>
  <c r="W611" i="2"/>
  <c r="X642" i="2"/>
  <c r="W642" i="2"/>
  <c r="X654" i="2"/>
  <c r="W654" i="2"/>
  <c r="W676" i="2"/>
  <c r="X676" i="2"/>
  <c r="X678" i="2"/>
  <c r="W678" i="2"/>
  <c r="X687" i="2"/>
  <c r="W687" i="2"/>
  <c r="W712" i="2"/>
  <c r="X712" i="2"/>
  <c r="X729" i="2"/>
  <c r="W729" i="2"/>
  <c r="X734" i="2"/>
  <c r="W734" i="2"/>
  <c r="X741" i="2"/>
  <c r="W741" i="2"/>
  <c r="X746" i="2"/>
  <c r="W746" i="2"/>
  <c r="X753" i="2"/>
  <c r="W753" i="2"/>
  <c r="X758" i="2"/>
  <c r="W758" i="2"/>
  <c r="X765" i="2"/>
  <c r="W765" i="2"/>
  <c r="X770" i="2"/>
  <c r="W770" i="2"/>
  <c r="X777" i="2"/>
  <c r="W777" i="2"/>
  <c r="X782" i="2"/>
  <c r="W782" i="2"/>
  <c r="X789" i="2"/>
  <c r="W789" i="2"/>
  <c r="X801" i="2"/>
  <c r="W801" i="2"/>
  <c r="X834" i="2"/>
  <c r="W834" i="2"/>
  <c r="W868" i="2"/>
  <c r="X868" i="2"/>
  <c r="W926" i="2"/>
  <c r="X926" i="2"/>
  <c r="X526" i="2"/>
  <c r="W526" i="2"/>
  <c r="W559" i="2"/>
  <c r="X562" i="2"/>
  <c r="W562" i="2"/>
  <c r="X586" i="2"/>
  <c r="W586" i="2"/>
  <c r="X627" i="2"/>
  <c r="W627" i="2"/>
  <c r="X632" i="2"/>
  <c r="W637" i="2"/>
  <c r="X640" i="2"/>
  <c r="X652" i="2"/>
  <c r="W704" i="2"/>
  <c r="X704" i="2"/>
  <c r="W718" i="2"/>
  <c r="X718" i="2"/>
  <c r="X720" i="2"/>
  <c r="W720" i="2"/>
  <c r="W848" i="2"/>
  <c r="X848" i="2"/>
  <c r="W151" i="2"/>
  <c r="W157" i="2"/>
  <c r="W163" i="2"/>
  <c r="W169" i="2"/>
  <c r="W175" i="2"/>
  <c r="W181" i="2"/>
  <c r="W187" i="2"/>
  <c r="W193" i="2"/>
  <c r="W199" i="2"/>
  <c r="W205" i="2"/>
  <c r="W211" i="2"/>
  <c r="W217" i="2"/>
  <c r="W223" i="2"/>
  <c r="W229" i="2"/>
  <c r="W235" i="2"/>
  <c r="W241" i="2"/>
  <c r="W247" i="2"/>
  <c r="W253" i="2"/>
  <c r="W259" i="2"/>
  <c r="W265" i="2"/>
  <c r="W271" i="2"/>
  <c r="W277" i="2"/>
  <c r="W283" i="2"/>
  <c r="W289" i="2"/>
  <c r="W295" i="2"/>
  <c r="W301" i="2"/>
  <c r="W307" i="2"/>
  <c r="W313" i="2"/>
  <c r="W319" i="2"/>
  <c r="W325" i="2"/>
  <c r="W331" i="2"/>
  <c r="W337" i="2"/>
  <c r="W343" i="2"/>
  <c r="W349" i="2"/>
  <c r="W355" i="2"/>
  <c r="W361" i="2"/>
  <c r="W367" i="2"/>
  <c r="W373" i="2"/>
  <c r="W379" i="2"/>
  <c r="W385" i="2"/>
  <c r="W391" i="2"/>
  <c r="W397" i="2"/>
  <c r="W403" i="2"/>
  <c r="W409" i="2"/>
  <c r="W415" i="2"/>
  <c r="W421" i="2"/>
  <c r="W427" i="2"/>
  <c r="W433" i="2"/>
  <c r="W439" i="2"/>
  <c r="W445" i="2"/>
  <c r="X556" i="2"/>
  <c r="W556" i="2"/>
  <c r="X639" i="2"/>
  <c r="W639" i="2"/>
  <c r="X651" i="2"/>
  <c r="W651" i="2"/>
  <c r="W670" i="2"/>
  <c r="X670" i="2"/>
  <c r="X684" i="2"/>
  <c r="W684" i="2"/>
  <c r="X876" i="2"/>
  <c r="W876" i="2"/>
  <c r="X915" i="2"/>
  <c r="W915" i="2"/>
  <c r="W448" i="2"/>
  <c r="W454" i="2"/>
  <c r="W460" i="2"/>
  <c r="W466" i="2"/>
  <c r="W472" i="2"/>
  <c r="W478" i="2"/>
  <c r="W484" i="2"/>
  <c r="W490" i="2"/>
  <c r="W496" i="2"/>
  <c r="W502" i="2"/>
  <c r="W508" i="2"/>
  <c r="W514" i="2"/>
  <c r="W520" i="2"/>
  <c r="X542" i="2"/>
  <c r="X550" i="2"/>
  <c r="W550" i="2"/>
  <c r="X580" i="2"/>
  <c r="W580" i="2"/>
  <c r="X598" i="2"/>
  <c r="W598" i="2"/>
  <c r="X608" i="2"/>
  <c r="X621" i="2"/>
  <c r="W621" i="2"/>
  <c r="X633" i="2"/>
  <c r="W633" i="2"/>
  <c r="W636" i="2"/>
  <c r="X644" i="2"/>
  <c r="X648" i="2"/>
  <c r="W648" i="2"/>
  <c r="W662" i="2"/>
  <c r="X662" i="2"/>
  <c r="X682" i="2"/>
  <c r="W698" i="2"/>
  <c r="X698" i="2"/>
  <c r="X726" i="2"/>
  <c r="W726" i="2"/>
  <c r="X735" i="2"/>
  <c r="W735" i="2"/>
  <c r="X740" i="2"/>
  <c r="W740" i="2"/>
  <c r="X747" i="2"/>
  <c r="W747" i="2"/>
  <c r="X752" i="2"/>
  <c r="W752" i="2"/>
  <c r="X759" i="2"/>
  <c r="W759" i="2"/>
  <c r="X764" i="2"/>
  <c r="W764" i="2"/>
  <c r="X771" i="2"/>
  <c r="W771" i="2"/>
  <c r="X776" i="2"/>
  <c r="W776" i="2"/>
  <c r="X783" i="2"/>
  <c r="W783" i="2"/>
  <c r="X788" i="2"/>
  <c r="W788" i="2"/>
  <c r="X795" i="2"/>
  <c r="W795" i="2"/>
  <c r="X837" i="2"/>
  <c r="W837" i="2"/>
  <c r="W890" i="2"/>
  <c r="X890" i="2"/>
  <c r="W904" i="2"/>
  <c r="X904" i="2"/>
  <c r="X940" i="2"/>
  <c r="W948" i="2"/>
  <c r="W951" i="2"/>
  <c r="X962" i="2"/>
  <c r="X976" i="2"/>
  <c r="W984" i="2"/>
  <c r="W987" i="2"/>
  <c r="X998" i="2"/>
  <c r="X1012" i="2"/>
  <c r="W1020" i="2"/>
  <c r="W1023" i="2"/>
  <c r="X1037" i="2"/>
  <c r="X1040" i="2"/>
  <c r="X1043" i="2"/>
  <c r="X1049" i="2"/>
  <c r="W1052" i="2"/>
  <c r="W794" i="2"/>
  <c r="W800" i="2"/>
  <c r="X806" i="2"/>
  <c r="X820" i="2"/>
  <c r="W828" i="2"/>
  <c r="W831" i="2"/>
  <c r="X842" i="2"/>
  <c r="X862" i="2"/>
  <c r="W870" i="2"/>
  <c r="W873" i="2"/>
  <c r="X884" i="2"/>
  <c r="X898" i="2"/>
  <c r="W906" i="2"/>
  <c r="W909" i="2"/>
  <c r="X920" i="2"/>
  <c r="X934" i="2"/>
  <c r="W942" i="2"/>
  <c r="W945" i="2"/>
  <c r="X956" i="2"/>
  <c r="X970" i="2"/>
  <c r="W978" i="2"/>
  <c r="W981" i="2"/>
  <c r="X992" i="2"/>
  <c r="X1006" i="2"/>
  <c r="W1014" i="2"/>
  <c r="W1017" i="2"/>
  <c r="W1028" i="2"/>
  <c r="X1031" i="2"/>
  <c r="W1039" i="2"/>
  <c r="W1045" i="2"/>
  <c r="W1051" i="2"/>
  <c r="W1057" i="2"/>
  <c r="X706" i="2"/>
  <c r="W714" i="2"/>
  <c r="W717" i="2"/>
  <c r="X728" i="2"/>
  <c r="X814" i="2"/>
  <c r="W822" i="2"/>
  <c r="W825" i="2"/>
  <c r="X836" i="2"/>
  <c r="X850" i="2"/>
  <c r="X856" i="2"/>
  <c r="W864" i="2"/>
  <c r="W867" i="2"/>
  <c r="X878" i="2"/>
  <c r="X892" i="2"/>
  <c r="W900" i="2"/>
  <c r="W903" i="2"/>
  <c r="X914" i="2"/>
  <c r="X928" i="2"/>
  <c r="W936" i="2"/>
  <c r="W939" i="2"/>
  <c r="X950" i="2"/>
  <c r="X964" i="2"/>
  <c r="W972" i="2"/>
  <c r="W975" i="2"/>
  <c r="X986" i="2"/>
  <c r="X1000" i="2"/>
  <c r="W1008" i="2"/>
  <c r="W1011" i="2"/>
  <c r="X1022" i="2"/>
  <c r="W1033" i="2"/>
  <c r="W1048" i="2"/>
  <c r="W168" i="2"/>
  <c r="W174" i="2"/>
  <c r="W180" i="2"/>
  <c r="W186" i="2"/>
  <c r="W192" i="2"/>
  <c r="W198" i="2"/>
  <c r="W204" i="2"/>
  <c r="W210" i="2"/>
  <c r="W216" i="2"/>
  <c r="W222" i="2"/>
  <c r="W228" i="2"/>
  <c r="W234" i="2"/>
  <c r="W240" i="2"/>
  <c r="W246" i="2"/>
  <c r="W252" i="2"/>
  <c r="W258" i="2"/>
  <c r="W264" i="2"/>
  <c r="W270" i="2"/>
  <c r="W276" i="2"/>
  <c r="W282" i="2"/>
  <c r="W288" i="2"/>
  <c r="W294" i="2"/>
  <c r="W300" i="2"/>
  <c r="W306" i="2"/>
  <c r="W312" i="2"/>
  <c r="W318" i="2"/>
  <c r="W324" i="2"/>
  <c r="W330" i="2"/>
  <c r="W336" i="2"/>
  <c r="W342" i="2"/>
  <c r="W348" i="2"/>
  <c r="W354" i="2"/>
  <c r="W360" i="2"/>
  <c r="W366" i="2"/>
  <c r="W372" i="2"/>
  <c r="W378" i="2"/>
  <c r="W384" i="2"/>
  <c r="W390" i="2"/>
  <c r="W396" i="2"/>
  <c r="W402" i="2"/>
  <c r="W408" i="2"/>
  <c r="W414" i="2"/>
  <c r="W420" i="2"/>
  <c r="W426" i="2"/>
  <c r="W432" i="2"/>
  <c r="W438" i="2"/>
  <c r="W444" i="2"/>
  <c r="W450" i="2"/>
  <c r="W456" i="2"/>
  <c r="W462" i="2"/>
  <c r="W468" i="2"/>
  <c r="W474" i="2"/>
  <c r="W480" i="2"/>
  <c r="W486" i="2"/>
  <c r="W492" i="2"/>
  <c r="W498" i="2"/>
  <c r="W504" i="2"/>
  <c r="W510" i="2"/>
  <c r="W516" i="2"/>
  <c r="W522" i="2"/>
  <c r="W528" i="2"/>
  <c r="W534" i="2"/>
  <c r="W540" i="2"/>
  <c r="W546" i="2"/>
  <c r="W552" i="2"/>
  <c r="W558" i="2"/>
  <c r="W564" i="2"/>
  <c r="W570" i="2"/>
  <c r="W576" i="2"/>
  <c r="W582" i="2"/>
  <c r="W588" i="2"/>
  <c r="W594" i="2"/>
  <c r="W600" i="2"/>
  <c r="W605" i="2"/>
  <c r="W613" i="2"/>
  <c r="X623" i="2"/>
  <c r="W623" i="2"/>
  <c r="X628" i="2"/>
  <c r="W631" i="2"/>
  <c r="X647" i="2"/>
  <c r="W647" i="2"/>
  <c r="X658" i="2"/>
  <c r="W661" i="2"/>
  <c r="X673" i="2"/>
  <c r="W673" i="2"/>
  <c r="X709" i="2"/>
  <c r="W709" i="2"/>
  <c r="X817" i="2"/>
  <c r="W817" i="2"/>
  <c r="X853" i="2"/>
  <c r="W853" i="2"/>
  <c r="X859" i="2"/>
  <c r="W859" i="2"/>
  <c r="X895" i="2"/>
  <c r="W895" i="2"/>
  <c r="X931" i="2"/>
  <c r="W931" i="2"/>
  <c r="X967" i="2"/>
  <c r="W967" i="2"/>
  <c r="X1003" i="2"/>
  <c r="W1003" i="2"/>
  <c r="W3" i="2"/>
  <c r="W4" i="2"/>
  <c r="W5" i="2"/>
  <c r="W11" i="2"/>
  <c r="W17" i="2"/>
  <c r="W23" i="2"/>
  <c r="W29" i="2"/>
  <c r="W35" i="2"/>
  <c r="W41" i="2"/>
  <c r="W47" i="2"/>
  <c r="W53" i="2"/>
  <c r="W59" i="2"/>
  <c r="W65" i="2"/>
  <c r="W71" i="2"/>
  <c r="W77" i="2"/>
  <c r="W83" i="2"/>
  <c r="W89" i="2"/>
  <c r="W95" i="2"/>
  <c r="W101" i="2"/>
  <c r="W107" i="2"/>
  <c r="W113" i="2"/>
  <c r="W119" i="2"/>
  <c r="W125" i="2"/>
  <c r="W131" i="2"/>
  <c r="W137" i="2"/>
  <c r="W143" i="2"/>
  <c r="W149" i="2"/>
  <c r="W155" i="2"/>
  <c r="W161" i="2"/>
  <c r="W167" i="2"/>
  <c r="W173" i="2"/>
  <c r="W179" i="2"/>
  <c r="W185" i="2"/>
  <c r="W191" i="2"/>
  <c r="W197" i="2"/>
  <c r="W203" i="2"/>
  <c r="W209" i="2"/>
  <c r="W215" i="2"/>
  <c r="W221" i="2"/>
  <c r="W227" i="2"/>
  <c r="W233" i="2"/>
  <c r="W239" i="2"/>
  <c r="W245" i="2"/>
  <c r="W251" i="2"/>
  <c r="W257" i="2"/>
  <c r="W263" i="2"/>
  <c r="W269" i="2"/>
  <c r="W275" i="2"/>
  <c r="W281" i="2"/>
  <c r="W287" i="2"/>
  <c r="W293" i="2"/>
  <c r="W299" i="2"/>
  <c r="W305" i="2"/>
  <c r="W311" i="2"/>
  <c r="W317" i="2"/>
  <c r="W323" i="2"/>
  <c r="W329" i="2"/>
  <c r="W335" i="2"/>
  <c r="W341" i="2"/>
  <c r="W347" i="2"/>
  <c r="W353" i="2"/>
  <c r="W359" i="2"/>
  <c r="W365" i="2"/>
  <c r="W371" i="2"/>
  <c r="W377" i="2"/>
  <c r="W383" i="2"/>
  <c r="W389" i="2"/>
  <c r="W395" i="2"/>
  <c r="W401" i="2"/>
  <c r="W407" i="2"/>
  <c r="W413" i="2"/>
  <c r="W419" i="2"/>
  <c r="W425" i="2"/>
  <c r="W431" i="2"/>
  <c r="W437" i="2"/>
  <c r="W443" i="2"/>
  <c r="W449" i="2"/>
  <c r="W455" i="2"/>
  <c r="W461" i="2"/>
  <c r="W467" i="2"/>
  <c r="W473" i="2"/>
  <c r="W479" i="2"/>
  <c r="W485" i="2"/>
  <c r="W491" i="2"/>
  <c r="W497" i="2"/>
  <c r="W503" i="2"/>
  <c r="W509" i="2"/>
  <c r="W515" i="2"/>
  <c r="W521" i="2"/>
  <c r="W527" i="2"/>
  <c r="W533" i="2"/>
  <c r="W539" i="2"/>
  <c r="W545" i="2"/>
  <c r="W551" i="2"/>
  <c r="W557" i="2"/>
  <c r="W563" i="2"/>
  <c r="W569" i="2"/>
  <c r="W575" i="2"/>
  <c r="W581" i="2"/>
  <c r="W587" i="2"/>
  <c r="W593" i="2"/>
  <c r="W599" i="2"/>
  <c r="W609" i="2"/>
  <c r="X653" i="2"/>
  <c r="W653" i="2"/>
  <c r="X664" i="2"/>
  <c r="W667" i="2"/>
  <c r="X703" i="2"/>
  <c r="W703" i="2"/>
  <c r="X811" i="2"/>
  <c r="W811" i="2"/>
  <c r="X847" i="2"/>
  <c r="W847" i="2"/>
  <c r="X889" i="2"/>
  <c r="W889" i="2"/>
  <c r="X925" i="2"/>
  <c r="W925" i="2"/>
  <c r="X961" i="2"/>
  <c r="W961" i="2"/>
  <c r="X997" i="2"/>
  <c r="W997" i="2"/>
  <c r="X1036" i="2"/>
  <c r="W1036" i="2"/>
  <c r="X629" i="2"/>
  <c r="W629" i="2"/>
  <c r="X659" i="2"/>
  <c r="W659" i="2"/>
  <c r="X697" i="2"/>
  <c r="W697" i="2"/>
  <c r="X733" i="2"/>
  <c r="W733" i="2"/>
  <c r="X739" i="2"/>
  <c r="W739" i="2"/>
  <c r="X745" i="2"/>
  <c r="W745" i="2"/>
  <c r="X751" i="2"/>
  <c r="W751" i="2"/>
  <c r="X757" i="2"/>
  <c r="W757" i="2"/>
  <c r="X763" i="2"/>
  <c r="W763" i="2"/>
  <c r="X769" i="2"/>
  <c r="W769" i="2"/>
  <c r="X775" i="2"/>
  <c r="W775" i="2"/>
  <c r="X781" i="2"/>
  <c r="W781" i="2"/>
  <c r="X787" i="2"/>
  <c r="W787" i="2"/>
  <c r="X793" i="2"/>
  <c r="W793" i="2"/>
  <c r="X799" i="2"/>
  <c r="W799" i="2"/>
  <c r="X805" i="2"/>
  <c r="W805" i="2"/>
  <c r="X841" i="2"/>
  <c r="W841" i="2"/>
  <c r="X883" i="2"/>
  <c r="W883" i="2"/>
  <c r="X919" i="2"/>
  <c r="W919" i="2"/>
  <c r="X955" i="2"/>
  <c r="W955" i="2"/>
  <c r="X991" i="2"/>
  <c r="W991" i="2"/>
  <c r="X665" i="2"/>
  <c r="W665" i="2"/>
  <c r="X691" i="2"/>
  <c r="W691" i="2"/>
  <c r="X727" i="2"/>
  <c r="W727" i="2"/>
  <c r="X835" i="2"/>
  <c r="W835" i="2"/>
  <c r="X877" i="2"/>
  <c r="W877" i="2"/>
  <c r="X913" i="2"/>
  <c r="W913" i="2"/>
  <c r="X949" i="2"/>
  <c r="W949" i="2"/>
  <c r="X985" i="2"/>
  <c r="W985" i="2"/>
  <c r="X1021" i="2"/>
  <c r="W1021" i="2"/>
  <c r="W615" i="2"/>
  <c r="X617" i="2"/>
  <c r="K521" i="4" s="1"/>
  <c r="W617" i="2"/>
  <c r="X622" i="2"/>
  <c r="X635" i="2"/>
  <c r="W635" i="2"/>
  <c r="X646" i="2"/>
  <c r="X685" i="2"/>
  <c r="W685" i="2"/>
  <c r="X721" i="2"/>
  <c r="W721" i="2"/>
  <c r="X829" i="2"/>
  <c r="W829" i="2"/>
  <c r="X871" i="2"/>
  <c r="W871" i="2"/>
  <c r="X907" i="2"/>
  <c r="W907" i="2"/>
  <c r="X943" i="2"/>
  <c r="W943" i="2"/>
  <c r="X979" i="2"/>
  <c r="W979" i="2"/>
  <c r="X1015" i="2"/>
  <c r="W1015" i="2"/>
  <c r="X1058" i="2"/>
  <c r="W1058" i="2"/>
  <c r="X641" i="2"/>
  <c r="K267" i="4" s="1"/>
  <c r="W641" i="2"/>
  <c r="X679" i="2"/>
  <c r="W679" i="2"/>
  <c r="X715" i="2"/>
  <c r="W715" i="2"/>
  <c r="X823" i="2"/>
  <c r="W823" i="2"/>
  <c r="X865" i="2"/>
  <c r="W865" i="2"/>
  <c r="X901" i="2"/>
  <c r="W901" i="2"/>
  <c r="X937" i="2"/>
  <c r="W937" i="2"/>
  <c r="X973" i="2"/>
  <c r="W973" i="2"/>
  <c r="X1009" i="2"/>
  <c r="W1009" i="2"/>
  <c r="W1055" i="2"/>
  <c r="X1055" i="2"/>
  <c r="W1032" i="2"/>
  <c r="W1044" i="2"/>
  <c r="X1050" i="2"/>
  <c r="W1050" i="2"/>
  <c r="W671" i="2"/>
  <c r="W677" i="2"/>
  <c r="W683" i="2"/>
  <c r="W689" i="2"/>
  <c r="W695" i="2"/>
  <c r="W701" i="2"/>
  <c r="W707" i="2"/>
  <c r="W713" i="2"/>
  <c r="W719" i="2"/>
  <c r="W725" i="2"/>
  <c r="W731" i="2"/>
  <c r="W737" i="2"/>
  <c r="W743" i="2"/>
  <c r="W749" i="2"/>
  <c r="W755" i="2"/>
  <c r="W761" i="2"/>
  <c r="W767" i="2"/>
  <c r="W773" i="2"/>
  <c r="W779" i="2"/>
  <c r="W785" i="2"/>
  <c r="W791" i="2"/>
  <c r="W797" i="2"/>
  <c r="W803" i="2"/>
  <c r="W809" i="2"/>
  <c r="W815" i="2"/>
  <c r="W821" i="2"/>
  <c r="W827" i="2"/>
  <c r="W833" i="2"/>
  <c r="W839" i="2"/>
  <c r="W845" i="2"/>
  <c r="W851" i="2"/>
  <c r="W857" i="2"/>
  <c r="W863" i="2"/>
  <c r="W869" i="2"/>
  <c r="W875" i="2"/>
  <c r="W881" i="2"/>
  <c r="W887" i="2"/>
  <c r="W893" i="2"/>
  <c r="W899" i="2"/>
  <c r="W905" i="2"/>
  <c r="W911" i="2"/>
  <c r="W917" i="2"/>
  <c r="W923" i="2"/>
  <c r="W929" i="2"/>
  <c r="W935" i="2"/>
  <c r="W941" i="2"/>
  <c r="W947" i="2"/>
  <c r="W953" i="2"/>
  <c r="W959" i="2"/>
  <c r="W965" i="2"/>
  <c r="W971" i="2"/>
  <c r="W977" i="2"/>
  <c r="W983" i="2"/>
  <c r="W989" i="2"/>
  <c r="W995" i="2"/>
  <c r="W1001" i="2"/>
  <c r="W1007" i="2"/>
  <c r="W1013" i="2"/>
  <c r="W1019" i="2"/>
  <c r="W1025" i="2"/>
  <c r="W1030" i="2"/>
  <c r="W1034" i="2"/>
  <c r="W1038" i="2"/>
  <c r="W1046" i="2"/>
  <c r="X1056" i="2"/>
  <c r="W1056" i="2"/>
  <c r="W1042" i="2"/>
  <c r="J267" i="4" l="1"/>
  <c r="D267" i="4"/>
  <c r="I267" i="4"/>
  <c r="H267" i="4"/>
  <c r="B267" i="4"/>
  <c r="G267" i="4"/>
  <c r="A267" i="4"/>
  <c r="F267" i="4"/>
  <c r="E267" i="4"/>
  <c r="G521" i="4"/>
  <c r="A521" i="4"/>
  <c r="F521" i="4"/>
  <c r="E521" i="4"/>
  <c r="I521" i="4"/>
  <c r="J521" i="4"/>
  <c r="H521" i="4"/>
  <c r="D521" i="4"/>
  <c r="B521" i="4"/>
  <c r="L134" i="4"/>
  <c r="L242" i="4"/>
  <c r="L68" i="4"/>
  <c r="L176" i="4"/>
  <c r="L291" i="4"/>
  <c r="L74" i="4"/>
  <c r="L182" i="4"/>
  <c r="L313" i="4"/>
  <c r="K105" i="4"/>
  <c r="K213" i="4"/>
  <c r="L325" i="4"/>
  <c r="K111" i="4"/>
  <c r="K219" i="4"/>
  <c r="L337" i="4"/>
  <c r="L128" i="4"/>
  <c r="L236" i="4"/>
  <c r="K22" i="4"/>
  <c r="K40" i="4"/>
  <c r="K58" i="4"/>
  <c r="K76" i="4"/>
  <c r="K94" i="4"/>
  <c r="K112" i="4"/>
  <c r="K130" i="4"/>
  <c r="K148" i="4"/>
  <c r="K166" i="4"/>
  <c r="K184" i="4"/>
  <c r="K202" i="4"/>
  <c r="K220" i="4"/>
  <c r="K238" i="4"/>
  <c r="K256" i="4"/>
  <c r="K274" i="4"/>
  <c r="L314" i="4"/>
  <c r="L347" i="4"/>
  <c r="K481" i="4"/>
  <c r="K35" i="4"/>
  <c r="K53" i="4"/>
  <c r="K71" i="4"/>
  <c r="K89" i="4"/>
  <c r="K107" i="4"/>
  <c r="K125" i="4"/>
  <c r="K143" i="4"/>
  <c r="K161" i="4"/>
  <c r="K179" i="4"/>
  <c r="K197" i="4"/>
  <c r="K215" i="4"/>
  <c r="K233" i="4"/>
  <c r="K251" i="4"/>
  <c r="K269" i="4"/>
  <c r="K292" i="4"/>
  <c r="K330" i="4"/>
  <c r="K448" i="4"/>
  <c r="K30" i="4"/>
  <c r="K48" i="4"/>
  <c r="K66" i="4"/>
  <c r="K84" i="4"/>
  <c r="K102" i="4"/>
  <c r="K120" i="4"/>
  <c r="K138" i="4"/>
  <c r="K156" i="4"/>
  <c r="K174" i="4"/>
  <c r="K192" i="4"/>
  <c r="K210" i="4"/>
  <c r="K228" i="4"/>
  <c r="K246" i="4"/>
  <c r="K264" i="4"/>
  <c r="L281" i="4"/>
  <c r="K308" i="4"/>
  <c r="L359" i="4"/>
  <c r="K25" i="4"/>
  <c r="K43" i="4"/>
  <c r="K61" i="4"/>
  <c r="K79" i="4"/>
  <c r="K97" i="4"/>
  <c r="K115" i="4"/>
  <c r="K133" i="4"/>
  <c r="K151" i="4"/>
  <c r="K169" i="4"/>
  <c r="K187" i="4"/>
  <c r="K205" i="4"/>
  <c r="K223" i="4"/>
  <c r="K241" i="4"/>
  <c r="K259" i="4"/>
  <c r="K277" i="4"/>
  <c r="L308" i="4"/>
  <c r="C308" i="4" s="1"/>
  <c r="K354" i="4"/>
  <c r="K663" i="4"/>
  <c r="K38" i="4"/>
  <c r="K56" i="4"/>
  <c r="K74" i="4"/>
  <c r="K92" i="4"/>
  <c r="K110" i="4"/>
  <c r="K128" i="4"/>
  <c r="K146" i="4"/>
  <c r="K164" i="4"/>
  <c r="K182" i="4"/>
  <c r="K200" i="4"/>
  <c r="K218" i="4"/>
  <c r="K236" i="4"/>
  <c r="K254" i="4"/>
  <c r="K272" i="4"/>
  <c r="L293" i="4"/>
  <c r="K324" i="4"/>
  <c r="L423" i="4"/>
  <c r="L294" i="4"/>
  <c r="L312" i="4"/>
  <c r="L330" i="4"/>
  <c r="C330" i="4" s="1"/>
  <c r="L348" i="4"/>
  <c r="L366" i="4"/>
  <c r="L384" i="4"/>
  <c r="L402" i="4"/>
  <c r="L426" i="4"/>
  <c r="L462" i="4"/>
  <c r="K344" i="4"/>
  <c r="K362" i="4"/>
  <c r="K380" i="4"/>
  <c r="K398" i="4"/>
  <c r="L428" i="4"/>
  <c r="L468" i="4"/>
  <c r="L655" i="4"/>
  <c r="K357" i="4"/>
  <c r="K375" i="4"/>
  <c r="K393" i="4"/>
  <c r="K418" i="4"/>
  <c r="K454" i="4"/>
  <c r="K583" i="4"/>
  <c r="K304" i="4"/>
  <c r="K322" i="4"/>
  <c r="K340" i="4"/>
  <c r="K358" i="4"/>
  <c r="K376" i="4"/>
  <c r="K394" i="4"/>
  <c r="L420" i="4"/>
  <c r="L456" i="4"/>
  <c r="L647" i="4"/>
  <c r="L292" i="4"/>
  <c r="C292" i="4" s="1"/>
  <c r="L310" i="4"/>
  <c r="L328" i="4"/>
  <c r="L346" i="4"/>
  <c r="L364" i="4"/>
  <c r="L382" i="4"/>
  <c r="L400" i="4"/>
  <c r="L434" i="4"/>
  <c r="K463" i="4"/>
  <c r="L661" i="4"/>
  <c r="L421" i="4"/>
  <c r="L439" i="4"/>
  <c r="L457" i="4"/>
  <c r="L475" i="4"/>
  <c r="L493" i="4"/>
  <c r="K512" i="4"/>
  <c r="K566" i="4"/>
  <c r="K600" i="4"/>
  <c r="K465" i="4"/>
  <c r="K483" i="4"/>
  <c r="K501" i="4"/>
  <c r="K526" i="4"/>
  <c r="L630" i="4"/>
  <c r="K466" i="4"/>
  <c r="K484" i="4"/>
  <c r="K502" i="4"/>
  <c r="L547" i="4"/>
  <c r="L418" i="4"/>
  <c r="C418" i="4" s="1"/>
  <c r="L436" i="4"/>
  <c r="L454" i="4"/>
  <c r="L472" i="4"/>
  <c r="L490" i="4"/>
  <c r="L508" i="4"/>
  <c r="K550" i="4"/>
  <c r="L604" i="4"/>
  <c r="L689" i="4"/>
  <c r="L419" i="4"/>
  <c r="L437" i="4"/>
  <c r="L455" i="4"/>
  <c r="L473" i="4"/>
  <c r="L491" i="4"/>
  <c r="L511" i="4"/>
  <c r="L553" i="4"/>
  <c r="L621" i="4"/>
  <c r="L518" i="4"/>
  <c r="L536" i="4"/>
  <c r="L554" i="4"/>
  <c r="L574" i="4"/>
  <c r="K599" i="4"/>
  <c r="K620" i="4"/>
  <c r="K637" i="4"/>
  <c r="K655" i="4"/>
  <c r="K705" i="4"/>
  <c r="K51" i="4"/>
  <c r="L62" i="4"/>
  <c r="K1093" i="4"/>
  <c r="K1075" i="4"/>
  <c r="L1084" i="4"/>
  <c r="L1066" i="4"/>
  <c r="C1066" i="4" s="1"/>
  <c r="L1089" i="4"/>
  <c r="L1071" i="4"/>
  <c r="K1066" i="4"/>
  <c r="L1094" i="4"/>
  <c r="K1088" i="4"/>
  <c r="L1064" i="4"/>
  <c r="K1055" i="4"/>
  <c r="K1034" i="4"/>
  <c r="L1057" i="4"/>
  <c r="K1033" i="4"/>
  <c r="K1015" i="4"/>
  <c r="K997" i="4"/>
  <c r="K1059" i="4"/>
  <c r="L1053" i="4"/>
  <c r="K1031" i="4"/>
  <c r="L1049" i="4"/>
  <c r="K1036" i="4"/>
  <c r="K1018" i="4"/>
  <c r="L1022" i="4"/>
  <c r="K1005" i="4"/>
  <c r="L1034" i="4"/>
  <c r="C1034" i="4" s="1"/>
  <c r="K1011" i="4"/>
  <c r="K990" i="4"/>
  <c r="K1072" i="4"/>
  <c r="L1079" i="4"/>
  <c r="L1021" i="4"/>
  <c r="K1023" i="4"/>
  <c r="K993" i="4"/>
  <c r="L988" i="4"/>
  <c r="K964" i="4"/>
  <c r="L1003" i="4"/>
  <c r="L968" i="4"/>
  <c r="L1027" i="4"/>
  <c r="K1060" i="4"/>
  <c r="L994" i="4"/>
  <c r="L998" i="4"/>
  <c r="L981" i="4"/>
  <c r="K966" i="4"/>
  <c r="K948" i="4"/>
  <c r="K930" i="4"/>
  <c r="K965" i="4"/>
  <c r="K945" i="4"/>
  <c r="L921" i="4"/>
  <c r="L973" i="4"/>
  <c r="L936" i="4"/>
  <c r="K915" i="4"/>
  <c r="K897" i="4"/>
  <c r="K1025" i="4"/>
  <c r="L958" i="4"/>
  <c r="K956" i="4"/>
  <c r="K938" i="4"/>
  <c r="L917" i="4"/>
  <c r="L899" i="4"/>
  <c r="L927" i="4"/>
  <c r="C927" i="4" s="1"/>
  <c r="L904" i="4"/>
  <c r="L928" i="4"/>
  <c r="K904" i="4"/>
  <c r="K961" i="4"/>
  <c r="K905" i="4"/>
  <c r="K889" i="4"/>
  <c r="L872" i="4"/>
  <c r="L854" i="4"/>
  <c r="L836" i="4"/>
  <c r="L932" i="4"/>
  <c r="K884" i="4"/>
  <c r="K866" i="4"/>
  <c r="K848" i="4"/>
  <c r="K830" i="4"/>
  <c r="L960" i="4"/>
  <c r="L882" i="4"/>
  <c r="K976" i="4"/>
  <c r="K876" i="4"/>
  <c r="K875" i="4"/>
  <c r="L846" i="4"/>
  <c r="L873" i="4"/>
  <c r="K911" i="4"/>
  <c r="K870" i="4"/>
  <c r="K841" i="4"/>
  <c r="L818" i="4"/>
  <c r="L803" i="4"/>
  <c r="K846" i="4"/>
  <c r="K821" i="4"/>
  <c r="K807" i="4"/>
  <c r="K785" i="4"/>
  <c r="K767" i="4"/>
  <c r="K931" i="4"/>
  <c r="K845" i="4"/>
  <c r="K803" i="4"/>
  <c r="K784" i="4"/>
  <c r="L898" i="4"/>
  <c r="K834" i="4"/>
  <c r="L822" i="4"/>
  <c r="K795" i="4"/>
  <c r="K777" i="4"/>
  <c r="K880" i="4"/>
  <c r="K826" i="4"/>
  <c r="L800" i="4"/>
  <c r="K782" i="4"/>
  <c r="K764" i="4"/>
  <c r="L861" i="4"/>
  <c r="L761" i="4"/>
  <c r="K739" i="4"/>
  <c r="K721" i="4"/>
  <c r="K703" i="4"/>
  <c r="K769" i="4"/>
  <c r="K750" i="4"/>
  <c r="L792" i="4"/>
  <c r="L758" i="4"/>
  <c r="C758" i="4" s="1"/>
  <c r="K737" i="4"/>
  <c r="K719" i="4"/>
  <c r="K811" i="4"/>
  <c r="L762" i="4"/>
  <c r="L741" i="4"/>
  <c r="L723" i="4"/>
  <c r="L705" i="4"/>
  <c r="L687" i="4"/>
  <c r="L669" i="4"/>
  <c r="L651" i="4"/>
  <c r="L633" i="4"/>
  <c r="L731" i="4"/>
  <c r="C731" i="4" s="1"/>
  <c r="L701" i="4"/>
  <c r="K685" i="4"/>
  <c r="L831" i="4"/>
  <c r="L740" i="4"/>
  <c r="K704" i="4"/>
  <c r="K691" i="4"/>
  <c r="K762" i="4"/>
  <c r="K716" i="4"/>
  <c r="K687" i="4"/>
  <c r="K666" i="4"/>
  <c r="L641" i="4"/>
  <c r="L620" i="4"/>
  <c r="C620" i="4" s="1"/>
  <c r="L602" i="4"/>
  <c r="L584" i="4"/>
  <c r="L812" i="4"/>
  <c r="L737" i="4"/>
  <c r="C737" i="4" s="1"/>
  <c r="K698" i="4"/>
  <c r="K775" i="4"/>
  <c r="L734" i="4"/>
  <c r="K678" i="4"/>
  <c r="K662" i="4"/>
  <c r="L650" i="4"/>
  <c r="C650" i="4" s="1"/>
  <c r="L627" i="4"/>
  <c r="L607" i="4"/>
  <c r="L581" i="4"/>
  <c r="K565" i="4"/>
  <c r="K547" i="4"/>
  <c r="K529" i="4"/>
  <c r="K511" i="4"/>
  <c r="L680" i="4"/>
  <c r="C680" i="4" s="1"/>
  <c r="K650" i="4"/>
  <c r="K636" i="4"/>
  <c r="L618" i="4"/>
  <c r="L597" i="4"/>
  <c r="L577" i="4"/>
  <c r="C577" i="4" s="1"/>
  <c r="L563" i="4"/>
  <c r="L545" i="4"/>
  <c r="L527" i="4"/>
  <c r="K734" i="4"/>
  <c r="K672" i="4"/>
  <c r="L619" i="4"/>
  <c r="L593" i="4"/>
  <c r="K577" i="4"/>
  <c r="L1092" i="4"/>
  <c r="L1074" i="4"/>
  <c r="K1079" i="4"/>
  <c r="K1061" i="4"/>
  <c r="K1084" i="4"/>
  <c r="K1082" i="4"/>
  <c r="L1061" i="4"/>
  <c r="K1080" i="4"/>
  <c r="L1087" i="4"/>
  <c r="K1063" i="4"/>
  <c r="L1051" i="4"/>
  <c r="C1051" i="4" s="1"/>
  <c r="L1033" i="4"/>
  <c r="C1033" i="4" s="1"/>
  <c r="K1056" i="4"/>
  <c r="L1032" i="4"/>
  <c r="L1014" i="4"/>
  <c r="C1014" i="4" s="1"/>
  <c r="L996" i="4"/>
  <c r="K1057" i="4"/>
  <c r="L1048" i="4"/>
  <c r="L1030" i="4"/>
  <c r="K1048" i="4"/>
  <c r="L1035" i="4"/>
  <c r="L1017" i="4"/>
  <c r="K1020" i="4"/>
  <c r="L1001" i="4"/>
  <c r="K1029" i="4"/>
  <c r="L1007" i="4"/>
  <c r="L989" i="4"/>
  <c r="K1062" i="4"/>
  <c r="K1054" i="4"/>
  <c r="K1019" i="4"/>
  <c r="K1014" i="4"/>
  <c r="L992" i="4"/>
  <c r="K987" i="4"/>
  <c r="L963" i="4"/>
  <c r="C963" i="4" s="1"/>
  <c r="L990" i="4"/>
  <c r="K963" i="4"/>
  <c r="L1015" i="4"/>
  <c r="L1040" i="4"/>
  <c r="L985" i="4"/>
  <c r="K994" i="4"/>
  <c r="K980" i="4"/>
  <c r="L965" i="4"/>
  <c r="L947" i="4"/>
  <c r="L929" i="4"/>
  <c r="L964" i="4"/>
  <c r="K940" i="4"/>
  <c r="K916" i="4"/>
  <c r="K962" i="4"/>
  <c r="L931" i="4"/>
  <c r="C931" i="4" s="1"/>
  <c r="L914" i="4"/>
  <c r="L896" i="4"/>
  <c r="L1000" i="4"/>
  <c r="C1000" i="4" s="1"/>
  <c r="L948" i="4"/>
  <c r="C948" i="4" s="1"/>
  <c r="L955" i="4"/>
  <c r="L934" i="4"/>
  <c r="K912" i="4"/>
  <c r="L1018" i="4"/>
  <c r="K926" i="4"/>
  <c r="K967" i="4"/>
  <c r="K927" i="4"/>
  <c r="L897" i="4"/>
  <c r="K947" i="4"/>
  <c r="K902" i="4"/>
  <c r="K887" i="4"/>
  <c r="K867" i="4"/>
  <c r="K849" i="4"/>
  <c r="K992" i="4"/>
  <c r="L924" i="4"/>
  <c r="L883" i="4"/>
  <c r="L865" i="4"/>
  <c r="L847" i="4"/>
  <c r="L829" i="4"/>
  <c r="K932" i="4"/>
  <c r="K877" i="4"/>
  <c r="L940" i="4"/>
  <c r="L875" i="4"/>
  <c r="C875" i="4" s="1"/>
  <c r="L874" i="4"/>
  <c r="K974" i="4"/>
  <c r="K864" i="4"/>
  <c r="K894" i="4"/>
  <c r="L869" i="4"/>
  <c r="K839" i="4"/>
  <c r="K816" i="4"/>
  <c r="K798" i="4"/>
  <c r="L845" i="4"/>
  <c r="C845" i="4" s="1"/>
  <c r="K819" i="4"/>
  <c r="K802" i="4"/>
  <c r="L784" i="4"/>
  <c r="C784" i="4" s="1"/>
  <c r="L766" i="4"/>
  <c r="L913" i="4"/>
  <c r="K840" i="4"/>
  <c r="L798" i="4"/>
  <c r="C798" i="4" s="1"/>
  <c r="L783" i="4"/>
  <c r="L880" i="4"/>
  <c r="C880" i="4" s="1"/>
  <c r="L832" i="4"/>
  <c r="C832" i="4" s="1"/>
  <c r="L820" i="4"/>
  <c r="L794" i="4"/>
  <c r="L776" i="4"/>
  <c r="L856" i="4"/>
  <c r="K822" i="4"/>
  <c r="K799" i="4"/>
  <c r="L781" i="4"/>
  <c r="L763" i="4"/>
  <c r="K856" i="4"/>
  <c r="K759" i="4"/>
  <c r="L738" i="4"/>
  <c r="L720" i="4"/>
  <c r="K868" i="4"/>
  <c r="L768" i="4"/>
  <c r="L749" i="4"/>
  <c r="K781" i="4"/>
  <c r="K756" i="4"/>
  <c r="L736" i="4"/>
  <c r="C736" i="4" s="1"/>
  <c r="L718" i="4"/>
  <c r="K806" i="4"/>
  <c r="K760" i="4"/>
  <c r="K736" i="4"/>
  <c r="K718" i="4"/>
  <c r="K700" i="4"/>
  <c r="K682" i="4"/>
  <c r="K664" i="4"/>
  <c r="K646" i="4"/>
  <c r="K838" i="4"/>
  <c r="K720" i="4"/>
  <c r="L696" i="4"/>
  <c r="C696" i="4" s="1"/>
  <c r="K680" i="4"/>
  <c r="L825" i="4"/>
  <c r="K729" i="4"/>
  <c r="L702" i="4"/>
  <c r="K686" i="4"/>
  <c r="L752" i="4"/>
  <c r="L715" i="4"/>
  <c r="L682" i="4"/>
  <c r="C682" i="4" s="1"/>
  <c r="L662" i="4"/>
  <c r="C662" i="4" s="1"/>
  <c r="L636" i="4"/>
  <c r="C636" i="4" s="1"/>
  <c r="K615" i="4"/>
  <c r="K597" i="4"/>
  <c r="K579" i="4"/>
  <c r="L807" i="4"/>
  <c r="K726" i="4"/>
  <c r="K693" i="4"/>
  <c r="L755" i="4"/>
  <c r="L821" i="4"/>
  <c r="C821" i="4" s="1"/>
  <c r="K674" i="4"/>
  <c r="L660" i="4"/>
  <c r="L648" i="4"/>
  <c r="L622" i="4"/>
  <c r="K606" i="4"/>
  <c r="K580" i="4"/>
  <c r="L564" i="4"/>
  <c r="L546" i="4"/>
  <c r="L528" i="4"/>
  <c r="L510" i="4"/>
  <c r="K679" i="4"/>
  <c r="K648" i="4"/>
  <c r="L634" i="4"/>
  <c r="K617" i="4"/>
  <c r="L592" i="4"/>
  <c r="K576" i="4"/>
  <c r="K558" i="4"/>
  <c r="K540" i="4"/>
  <c r="K522" i="4"/>
  <c r="K722" i="4"/>
  <c r="K667" i="4"/>
  <c r="K618" i="4"/>
  <c r="K592" i="4"/>
  <c r="K572" i="4"/>
  <c r="L556" i="4"/>
  <c r="L538" i="4"/>
  <c r="K1087" i="4"/>
  <c r="L1096" i="4"/>
  <c r="L1078" i="4"/>
  <c r="L1060" i="4"/>
  <c r="C1060" i="4" s="1"/>
  <c r="L1083" i="4"/>
  <c r="L1081" i="4"/>
  <c r="K1053" i="4"/>
  <c r="L1091" i="4"/>
  <c r="L1077" i="4"/>
  <c r="C1077" i="4" s="1"/>
  <c r="L1073" i="4"/>
  <c r="C1073" i="4" s="1"/>
  <c r="K1050" i="4"/>
  <c r="K1077" i="4"/>
  <c r="K1051" i="4"/>
  <c r="K1027" i="4"/>
  <c r="K1009" i="4"/>
  <c r="K1092" i="4"/>
  <c r="K1052" i="4"/>
  <c r="L1043" i="4"/>
  <c r="L1085" i="4"/>
  <c r="L1044" i="4"/>
  <c r="C1044" i="4" s="1"/>
  <c r="K1030" i="4"/>
  <c r="K1049" i="4"/>
  <c r="L1016" i="4"/>
  <c r="K1000" i="4"/>
  <c r="L1024" i="4"/>
  <c r="K1006" i="4"/>
  <c r="K984" i="4"/>
  <c r="K1058" i="4"/>
  <c r="K1044" i="4"/>
  <c r="L1070" i="4"/>
  <c r="L1009" i="4"/>
  <c r="K1076" i="4"/>
  <c r="K982" i="4"/>
  <c r="K958" i="4"/>
  <c r="K988" i="4"/>
  <c r="L962" i="4"/>
  <c r="C962" i="4" s="1"/>
  <c r="L1005" i="4"/>
  <c r="C1005" i="4" s="1"/>
  <c r="K1017" i="4"/>
  <c r="L980" i="4"/>
  <c r="L993" i="4"/>
  <c r="C993" i="4" s="1"/>
  <c r="L976" i="4"/>
  <c r="K960" i="4"/>
  <c r="K942" i="4"/>
  <c r="K924" i="4"/>
  <c r="K953" i="4"/>
  <c r="K935" i="4"/>
  <c r="L915" i="4"/>
  <c r="C915" i="4" s="1"/>
  <c r="L961" i="4"/>
  <c r="C961" i="4" s="1"/>
  <c r="L926" i="4"/>
  <c r="K909" i="4"/>
  <c r="K891" i="4"/>
  <c r="L982" i="4"/>
  <c r="L943" i="4"/>
  <c r="L949" i="4"/>
  <c r="K933" i="4"/>
  <c r="L911" i="4"/>
  <c r="C911" i="4" s="1"/>
  <c r="L954" i="4"/>
  <c r="K920" i="4"/>
  <c r="K949" i="4"/>
  <c r="K919" i="4"/>
  <c r="L892" i="4"/>
  <c r="K939" i="4"/>
  <c r="L901" i="4"/>
  <c r="L884" i="4"/>
  <c r="L866" i="4"/>
  <c r="L848" i="4"/>
  <c r="C848" i="4" s="1"/>
  <c r="L966" i="4"/>
  <c r="C966" i="4" s="1"/>
  <c r="K914" i="4"/>
  <c r="K878" i="4"/>
  <c r="K860" i="4"/>
  <c r="K842" i="4"/>
  <c r="K824" i="4"/>
  <c r="L900" i="4"/>
  <c r="L876" i="4"/>
  <c r="K899" i="4"/>
  <c r="K858" i="4"/>
  <c r="L864" i="4"/>
  <c r="C864" i="4" s="1"/>
  <c r="K923" i="4"/>
  <c r="K862" i="4"/>
  <c r="K890" i="4"/>
  <c r="K859" i="4"/>
  <c r="L834" i="4"/>
  <c r="C834" i="4" s="1"/>
  <c r="L815" i="4"/>
  <c r="L797" i="4"/>
  <c r="L840" i="4"/>
  <c r="C840" i="4" s="1"/>
  <c r="K817" i="4"/>
  <c r="K797" i="4"/>
  <c r="K779" i="4"/>
  <c r="K761" i="4"/>
  <c r="L895" i="4"/>
  <c r="K835" i="4"/>
  <c r="K796" i="4"/>
  <c r="K778" i="4"/>
  <c r="K869" i="4"/>
  <c r="L830" i="4"/>
  <c r="C830" i="4" s="1"/>
  <c r="K814" i="4"/>
  <c r="K789" i="4"/>
  <c r="K771" i="4"/>
  <c r="K844" i="4"/>
  <c r="K820" i="4"/>
  <c r="K794" i="4"/>
  <c r="K776" i="4"/>
  <c r="K758" i="4"/>
  <c r="K805" i="4"/>
  <c r="K751" i="4"/>
  <c r="K733" i="4"/>
  <c r="K715" i="4"/>
  <c r="L837" i="4"/>
  <c r="L765" i="4"/>
  <c r="L816" i="4"/>
  <c r="L774" i="4"/>
  <c r="K749" i="4"/>
  <c r="K731" i="4"/>
  <c r="K713" i="4"/>
  <c r="K801" i="4"/>
  <c r="L753" i="4"/>
  <c r="L735" i="4"/>
  <c r="L717" i="4"/>
  <c r="L699" i="4"/>
  <c r="L681" i="4"/>
  <c r="L663" i="4"/>
  <c r="C663" i="4" s="1"/>
  <c r="L645" i="4"/>
  <c r="L786" i="4"/>
  <c r="L719" i="4"/>
  <c r="C719" i="4" s="1"/>
  <c r="K695" i="4"/>
  <c r="K675" i="4"/>
  <c r="L819" i="4"/>
  <c r="C819" i="4" s="1"/>
  <c r="L728" i="4"/>
  <c r="K701" i="4"/>
  <c r="K681" i="4"/>
  <c r="K740" i="4"/>
  <c r="K702" i="4"/>
  <c r="L677" i="4"/>
  <c r="K661" i="4"/>
  <c r="K635" i="4"/>
  <c r="L614" i="4"/>
  <c r="L596" i="4"/>
  <c r="L578" i="4"/>
  <c r="L802" i="4"/>
  <c r="C802" i="4" s="1"/>
  <c r="L725" i="4"/>
  <c r="L688" i="4"/>
  <c r="K753" i="4"/>
  <c r="L709" i="4"/>
  <c r="L673" i="4"/>
  <c r="L658" i="4"/>
  <c r="L644" i="4"/>
  <c r="C644" i="4" s="1"/>
  <c r="L617" i="4"/>
  <c r="C617" i="4" s="1"/>
  <c r="K601" i="4"/>
  <c r="L576" i="4"/>
  <c r="C576" i="4" s="1"/>
  <c r="K559" i="4"/>
  <c r="K541" i="4"/>
  <c r="K523" i="4"/>
  <c r="K863" i="4"/>
  <c r="K673" i="4"/>
  <c r="K644" i="4"/>
  <c r="K632" i="4"/>
  <c r="L613" i="4"/>
  <c r="L587" i="4"/>
  <c r="K571" i="4"/>
  <c r="L557" i="4"/>
  <c r="L539" i="4"/>
  <c r="L521" i="4"/>
  <c r="C521" i="4" s="1"/>
  <c r="L700" i="4"/>
  <c r="L629" i="4"/>
  <c r="K613" i="4"/>
  <c r="L588" i="4"/>
  <c r="K569" i="4"/>
  <c r="K551" i="4"/>
  <c r="K533" i="4"/>
  <c r="K515" i="4"/>
  <c r="L1086" i="4"/>
  <c r="C1086" i="4" s="1"/>
  <c r="K1091" i="4"/>
  <c r="K1073" i="4"/>
  <c r="K1096" i="4"/>
  <c r="K1078" i="4"/>
  <c r="L1076" i="4"/>
  <c r="C1076" i="4" s="1"/>
  <c r="L1052" i="4"/>
  <c r="C1052" i="4" s="1"/>
  <c r="K1089" i="4"/>
  <c r="L1075" i="4"/>
  <c r="C1075" i="4" s="1"/>
  <c r="K1070" i="4"/>
  <c r="K1045" i="4"/>
  <c r="K1069" i="4"/>
  <c r="K1046" i="4"/>
  <c r="L1026" i="4"/>
  <c r="C1026" i="4" s="1"/>
  <c r="L1008" i="4"/>
  <c r="K1086" i="4"/>
  <c r="L1047" i="4"/>
  <c r="L1042" i="4"/>
  <c r="L1062" i="4"/>
  <c r="C1062" i="4" s="1"/>
  <c r="K1043" i="4"/>
  <c r="L1029" i="4"/>
  <c r="C1029" i="4" s="1"/>
  <c r="L1037" i="4"/>
  <c r="L1011" i="4"/>
  <c r="C1011" i="4" s="1"/>
  <c r="K991" i="4"/>
  <c r="K1022" i="4"/>
  <c r="K1001" i="4"/>
  <c r="L983" i="4"/>
  <c r="L1028" i="4"/>
  <c r="K1041" i="4"/>
  <c r="L1065" i="4"/>
  <c r="L1004" i="4"/>
  <c r="L1013" i="4"/>
  <c r="C1013" i="4" s="1"/>
  <c r="K977" i="4"/>
  <c r="L957" i="4"/>
  <c r="K983" i="4"/>
  <c r="K957" i="4"/>
  <c r="K1004" i="4"/>
  <c r="K1007" i="4"/>
  <c r="K979" i="4"/>
  <c r="K989" i="4"/>
  <c r="K975" i="4"/>
  <c r="L959" i="4"/>
  <c r="L941" i="4"/>
  <c r="L1010" i="4"/>
  <c r="C1010" i="4" s="1"/>
  <c r="L952" i="4"/>
  <c r="L930" i="4"/>
  <c r="C930" i="4" s="1"/>
  <c r="K910" i="4"/>
  <c r="L951" i="4"/>
  <c r="K925" i="4"/>
  <c r="L908" i="4"/>
  <c r="C908" i="4" s="1"/>
  <c r="L890" i="4"/>
  <c r="C890" i="4" s="1"/>
  <c r="K971" i="4"/>
  <c r="K999" i="4"/>
  <c r="L944" i="4"/>
  <c r="K928" i="4"/>
  <c r="K906" i="4"/>
  <c r="K981" i="4"/>
  <c r="L919" i="4"/>
  <c r="C919" i="4" s="1"/>
  <c r="K944" i="4"/>
  <c r="L918" i="4"/>
  <c r="L887" i="4"/>
  <c r="C887" i="4" s="1"/>
  <c r="K929" i="4"/>
  <c r="K895" i="4"/>
  <c r="K879" i="4"/>
  <c r="K861" i="4"/>
  <c r="K843" i="4"/>
  <c r="K955" i="4"/>
  <c r="L910" i="4"/>
  <c r="C910" i="4" s="1"/>
  <c r="L877" i="4"/>
  <c r="C877" i="4" s="1"/>
  <c r="L859" i="4"/>
  <c r="L841" i="4"/>
  <c r="L823" i="4"/>
  <c r="L894" i="4"/>
  <c r="C894" i="4" s="1"/>
  <c r="K871" i="4"/>
  <c r="K896" i="4"/>
  <c r="L945" i="4"/>
  <c r="L862" i="4"/>
  <c r="C862" i="4" s="1"/>
  <c r="L893" i="4"/>
  <c r="L857" i="4"/>
  <c r="C857" i="4" s="1"/>
  <c r="L886" i="4"/>
  <c r="K857" i="4"/>
  <c r="K833" i="4"/>
  <c r="K810" i="4"/>
  <c r="L942" i="4"/>
  <c r="C942" i="4" s="1"/>
  <c r="K831" i="4"/>
  <c r="L813" i="4"/>
  <c r="L796" i="4"/>
  <c r="C796" i="4" s="1"/>
  <c r="L778" i="4"/>
  <c r="L760" i="4"/>
  <c r="C760" i="4" s="1"/>
  <c r="L867" i="4"/>
  <c r="L814" i="4"/>
  <c r="C814" i="4" s="1"/>
  <c r="L795" i="4"/>
  <c r="C795" i="4" s="1"/>
  <c r="L777" i="4"/>
  <c r="C777" i="4" s="1"/>
  <c r="K852" i="4"/>
  <c r="L828" i="4"/>
  <c r="K809" i="4"/>
  <c r="L788" i="4"/>
  <c r="L770" i="4"/>
  <c r="L843" i="4"/>
  <c r="K815" i="4"/>
  <c r="L793" i="4"/>
  <c r="L775" i="4"/>
  <c r="L757" i="4"/>
  <c r="K800" i="4"/>
  <c r="L750" i="4"/>
  <c r="C750" i="4" s="1"/>
  <c r="L732" i="4"/>
  <c r="L714" i="4"/>
  <c r="L791" i="4"/>
  <c r="K763" i="4"/>
  <c r="L811" i="4"/>
  <c r="C811" i="4" s="1"/>
  <c r="K768" i="4"/>
  <c r="L748" i="4"/>
  <c r="L730" i="4"/>
  <c r="L712" i="4"/>
  <c r="C712" i="4" s="1"/>
  <c r="K792" i="4"/>
  <c r="K748" i="4"/>
  <c r="K730" i="4"/>
  <c r="K712" i="4"/>
  <c r="K694" i="4"/>
  <c r="K676" i="4"/>
  <c r="K658" i="4"/>
  <c r="K640" i="4"/>
  <c r="K744" i="4"/>
  <c r="K708" i="4"/>
  <c r="L691" i="4"/>
  <c r="L670" i="4"/>
  <c r="K786" i="4"/>
  <c r="K717" i="4"/>
  <c r="L697" i="4"/>
  <c r="L676" i="4"/>
  <c r="L739" i="4"/>
  <c r="L698" i="4"/>
  <c r="L672" i="4"/>
  <c r="C672" i="4" s="1"/>
  <c r="K656" i="4"/>
  <c r="K627" i="4"/>
  <c r="K609" i="4"/>
  <c r="K591" i="4"/>
  <c r="K573" i="4"/>
  <c r="K766" i="4"/>
  <c r="K714" i="4"/>
  <c r="L683" i="4"/>
  <c r="K747" i="4"/>
  <c r="K689" i="4"/>
  <c r="K669" i="4"/>
  <c r="L656" i="4"/>
  <c r="L642" i="4"/>
  <c r="C642" i="4" s="1"/>
  <c r="K616" i="4"/>
  <c r="K596" i="4"/>
  <c r="K575" i="4"/>
  <c r="L558" i="4"/>
  <c r="L540" i="4"/>
  <c r="L522" i="4"/>
  <c r="C522" i="4" s="1"/>
  <c r="K746" i="4"/>
  <c r="K668" i="4"/>
  <c r="K642" i="4"/>
  <c r="L628" i="4"/>
  <c r="K612" i="4"/>
  <c r="K586" i="4"/>
  <c r="K570" i="4"/>
  <c r="K552" i="4"/>
  <c r="K534" i="4"/>
  <c r="K516" i="4"/>
  <c r="L695" i="4"/>
  <c r="C695" i="4" s="1"/>
  <c r="K628" i="4"/>
  <c r="K608" i="4"/>
  <c r="K587" i="4"/>
  <c r="L568" i="4"/>
  <c r="L550" i="4"/>
  <c r="K1094" i="4"/>
  <c r="K1081" i="4"/>
  <c r="L1090" i="4"/>
  <c r="L1072" i="4"/>
  <c r="L1095" i="4"/>
  <c r="K1083" i="4"/>
  <c r="K1074" i="4"/>
  <c r="K1047" i="4"/>
  <c r="L1088" i="4"/>
  <c r="L1069" i="4"/>
  <c r="C1069" i="4" s="1"/>
  <c r="K1065" i="4"/>
  <c r="K1040" i="4"/>
  <c r="K1064" i="4"/>
  <c r="K1039" i="4"/>
  <c r="K1021" i="4"/>
  <c r="K1003" i="4"/>
  <c r="L1068" i="4"/>
  <c r="K1038" i="4"/>
  <c r="K1037" i="4"/>
  <c r="L1058" i="4"/>
  <c r="C1058" i="4" s="1"/>
  <c r="K1042" i="4"/>
  <c r="K1024" i="4"/>
  <c r="K1032" i="4"/>
  <c r="K1010" i="4"/>
  <c r="L1055" i="4"/>
  <c r="C1055" i="4" s="1"/>
  <c r="K1016" i="4"/>
  <c r="K996" i="4"/>
  <c r="K978" i="4"/>
  <c r="K1026" i="4"/>
  <c r="K1035" i="4"/>
  <c r="L1050" i="4"/>
  <c r="C1050" i="4" s="1"/>
  <c r="L999" i="4"/>
  <c r="C999" i="4" s="1"/>
  <c r="K1012" i="4"/>
  <c r="K970" i="4"/>
  <c r="K952" i="4"/>
  <c r="L978" i="4"/>
  <c r="C978" i="4" s="1"/>
  <c r="L956" i="4"/>
  <c r="C956" i="4" s="1"/>
  <c r="L984" i="4"/>
  <c r="L997" i="4"/>
  <c r="L975" i="4"/>
  <c r="C975" i="4" s="1"/>
  <c r="L986" i="4"/>
  <c r="K972" i="4"/>
  <c r="K954" i="4"/>
  <c r="K936" i="4"/>
  <c r="L991" i="4"/>
  <c r="C991" i="4" s="1"/>
  <c r="K950" i="4"/>
  <c r="L925" i="4"/>
  <c r="L909" i="4"/>
  <c r="C909" i="4" s="1"/>
  <c r="K946" i="4"/>
  <c r="K921" i="4"/>
  <c r="K903" i="4"/>
  <c r="K885" i="4"/>
  <c r="L970" i="4"/>
  <c r="C970" i="4" s="1"/>
  <c r="K968" i="4"/>
  <c r="K943" i="4"/>
  <c r="L923" i="4"/>
  <c r="C923" i="4" s="1"/>
  <c r="L905" i="4"/>
  <c r="K973" i="4"/>
  <c r="K908" i="4"/>
  <c r="L938" i="4"/>
  <c r="C938" i="4" s="1"/>
  <c r="K907" i="4"/>
  <c r="K886" i="4"/>
  <c r="K917" i="4"/>
  <c r="K893" i="4"/>
  <c r="L878" i="4"/>
  <c r="L860" i="4"/>
  <c r="L842" i="4"/>
  <c r="C842" i="4" s="1"/>
  <c r="L950" i="4"/>
  <c r="C950" i="4" s="1"/>
  <c r="K901" i="4"/>
  <c r="K872" i="4"/>
  <c r="K854" i="4"/>
  <c r="K836" i="4"/>
  <c r="K818" i="4"/>
  <c r="L888" i="4"/>
  <c r="C888" i="4" s="1"/>
  <c r="L870" i="4"/>
  <c r="K892" i="4"/>
  <c r="L933" i="4"/>
  <c r="C933" i="4" s="1"/>
  <c r="K853" i="4"/>
  <c r="L889" i="4"/>
  <c r="L855" i="4"/>
  <c r="C855" i="4" s="1"/>
  <c r="K882" i="4"/>
  <c r="L852" i="4"/>
  <c r="C852" i="4" s="1"/>
  <c r="K828" i="4"/>
  <c r="L809" i="4"/>
  <c r="C809" i="4" s="1"/>
  <c r="K881" i="4"/>
  <c r="K827" i="4"/>
  <c r="K812" i="4"/>
  <c r="K791" i="4"/>
  <c r="K773" i="4"/>
  <c r="K755" i="4"/>
  <c r="L858" i="4"/>
  <c r="K813" i="4"/>
  <c r="K790" i="4"/>
  <c r="K772" i="4"/>
  <c r="L844" i="4"/>
  <c r="L826" i="4"/>
  <c r="L804" i="4"/>
  <c r="K783" i="4"/>
  <c r="L903" i="4"/>
  <c r="C903" i="4" s="1"/>
  <c r="L838" i="4"/>
  <c r="C838" i="4" s="1"/>
  <c r="L810" i="4"/>
  <c r="C810" i="4" s="1"/>
  <c r="K788" i="4"/>
  <c r="K770" i="4"/>
  <c r="L916" i="4"/>
  <c r="C916" i="4" s="1"/>
  <c r="K787" i="4"/>
  <c r="K745" i="4"/>
  <c r="K727" i="4"/>
  <c r="K709" i="4"/>
  <c r="K780" i="4"/>
  <c r="L756" i="4"/>
  <c r="C756" i="4" s="1"/>
  <c r="L806" i="4"/>
  <c r="C806" i="4" s="1"/>
  <c r="L767" i="4"/>
  <c r="C767" i="4" s="1"/>
  <c r="K743" i="4"/>
  <c r="K725" i="4"/>
  <c r="K707" i="4"/>
  <c r="L785" i="4"/>
  <c r="C785" i="4" s="1"/>
  <c r="L747" i="4"/>
  <c r="C747" i="4" s="1"/>
  <c r="L729" i="4"/>
  <c r="C729" i="4" s="1"/>
  <c r="L711" i="4"/>
  <c r="L693" i="4"/>
  <c r="C693" i="4" s="1"/>
  <c r="L675" i="4"/>
  <c r="C675" i="4" s="1"/>
  <c r="L657" i="4"/>
  <c r="L639" i="4"/>
  <c r="L743" i="4"/>
  <c r="L707" i="4"/>
  <c r="K690" i="4"/>
  <c r="L665" i="4"/>
  <c r="L751" i="4"/>
  <c r="L716" i="4"/>
  <c r="C716" i="4" s="1"/>
  <c r="K696" i="4"/>
  <c r="K793" i="4"/>
  <c r="K728" i="4"/>
  <c r="K697" i="4"/>
  <c r="K671" i="4"/>
  <c r="K651" i="4"/>
  <c r="L626" i="4"/>
  <c r="L608" i="4"/>
  <c r="C608" i="4" s="1"/>
  <c r="L590" i="4"/>
  <c r="L572" i="4"/>
  <c r="K752" i="4"/>
  <c r="L713" i="4"/>
  <c r="C713" i="4" s="1"/>
  <c r="L863" i="4"/>
  <c r="L746" i="4"/>
  <c r="C746" i="4" s="1"/>
  <c r="K684" i="4"/>
  <c r="L668" i="4"/>
  <c r="C668" i="4" s="1"/>
  <c r="L654" i="4"/>
  <c r="C654" i="4" s="1"/>
  <c r="L638" i="4"/>
  <c r="L612" i="4"/>
  <c r="L591" i="4"/>
  <c r="C591" i="4" s="1"/>
  <c r="L571" i="4"/>
  <c r="K553" i="4"/>
  <c r="K535" i="4"/>
  <c r="K517" i="4"/>
  <c r="L722" i="4"/>
  <c r="C722" i="4" s="1"/>
  <c r="K660" i="4"/>
  <c r="L640" i="4"/>
  <c r="L623" i="4"/>
  <c r="C623" i="4" s="1"/>
  <c r="K607" i="4"/>
  <c r="L582" i="4"/>
  <c r="L569" i="4"/>
  <c r="C569" i="4" s="1"/>
  <c r="L551" i="4"/>
  <c r="C551" i="4" s="1"/>
  <c r="L533" i="4"/>
  <c r="C533" i="4" s="1"/>
  <c r="L515" i="4"/>
  <c r="C515" i="4" s="1"/>
  <c r="L690" i="4"/>
  <c r="C690" i="4" s="1"/>
  <c r="L624" i="4"/>
  <c r="L603" i="4"/>
  <c r="L583" i="4"/>
  <c r="C583" i="4" s="1"/>
  <c r="K563" i="4"/>
  <c r="K545" i="4"/>
  <c r="K527" i="4"/>
  <c r="K509" i="4"/>
  <c r="L833" i="4"/>
  <c r="C833" i="4" s="1"/>
  <c r="K653" i="4"/>
  <c r="K639" i="4"/>
  <c r="L1093" i="4"/>
  <c r="C1093" i="4" s="1"/>
  <c r="L1080" i="4"/>
  <c r="C1080" i="4" s="1"/>
  <c r="K1085" i="4"/>
  <c r="K1067" i="4"/>
  <c r="K1090" i="4"/>
  <c r="L1082" i="4"/>
  <c r="C1082" i="4" s="1"/>
  <c r="K1071" i="4"/>
  <c r="L1046" i="4"/>
  <c r="K1095" i="4"/>
  <c r="K1068" i="4"/>
  <c r="L1056" i="4"/>
  <c r="C1056" i="4" s="1"/>
  <c r="L1039" i="4"/>
  <c r="L1059" i="4"/>
  <c r="C1059" i="4" s="1"/>
  <c r="L1038" i="4"/>
  <c r="C1038" i="4" s="1"/>
  <c r="L1020" i="4"/>
  <c r="L1002" i="4"/>
  <c r="L1063" i="4"/>
  <c r="L1067" i="4"/>
  <c r="C1067" i="4" s="1"/>
  <c r="L1036" i="4"/>
  <c r="C1036" i="4" s="1"/>
  <c r="L1054" i="4"/>
  <c r="C1054" i="4" s="1"/>
  <c r="L1041" i="4"/>
  <c r="C1041" i="4" s="1"/>
  <c r="L1023" i="4"/>
  <c r="C1023" i="4" s="1"/>
  <c r="L1031" i="4"/>
  <c r="C1031" i="4" s="1"/>
  <c r="L1006" i="4"/>
  <c r="C1006" i="4" s="1"/>
  <c r="L1045" i="4"/>
  <c r="C1045" i="4" s="1"/>
  <c r="L1012" i="4"/>
  <c r="C1012" i="4" s="1"/>
  <c r="L995" i="4"/>
  <c r="L977" i="4"/>
  <c r="C977" i="4" s="1"/>
  <c r="L1019" i="4"/>
  <c r="C1019" i="4" s="1"/>
  <c r="K1028" i="4"/>
  <c r="L1025" i="4"/>
  <c r="C1025" i="4" s="1"/>
  <c r="K998" i="4"/>
  <c r="K1002" i="4"/>
  <c r="L969" i="4"/>
  <c r="K1013" i="4"/>
  <c r="K969" i="4"/>
  <c r="K951" i="4"/>
  <c r="L979" i="4"/>
  <c r="C979" i="4" s="1"/>
  <c r="K995" i="4"/>
  <c r="K1008" i="4"/>
  <c r="K985" i="4"/>
  <c r="L971" i="4"/>
  <c r="C971" i="4" s="1"/>
  <c r="L953" i="4"/>
  <c r="C953" i="4" s="1"/>
  <c r="L935" i="4"/>
  <c r="C935" i="4" s="1"/>
  <c r="L987" i="4"/>
  <c r="C987" i="4" s="1"/>
  <c r="L946" i="4"/>
  <c r="K922" i="4"/>
  <c r="L974" i="4"/>
  <c r="C974" i="4" s="1"/>
  <c r="K941" i="4"/>
  <c r="L920" i="4"/>
  <c r="C920" i="4" s="1"/>
  <c r="L902" i="4"/>
  <c r="C902" i="4" s="1"/>
  <c r="K986" i="4"/>
  <c r="K959" i="4"/>
  <c r="L967" i="4"/>
  <c r="L939" i="4"/>
  <c r="C939" i="4" s="1"/>
  <c r="K918" i="4"/>
  <c r="K900" i="4"/>
  <c r="L937" i="4"/>
  <c r="L907" i="4"/>
  <c r="K937" i="4"/>
  <c r="L906" i="4"/>
  <c r="L972" i="4"/>
  <c r="C972" i="4" s="1"/>
  <c r="K913" i="4"/>
  <c r="L891" i="4"/>
  <c r="K873" i="4"/>
  <c r="K855" i="4"/>
  <c r="K837" i="4"/>
  <c r="K934" i="4"/>
  <c r="L885" i="4"/>
  <c r="C885" i="4" s="1"/>
  <c r="L871" i="4"/>
  <c r="L853" i="4"/>
  <c r="C853" i="4" s="1"/>
  <c r="L835" i="4"/>
  <c r="C835" i="4" s="1"/>
  <c r="L817" i="4"/>
  <c r="C817" i="4" s="1"/>
  <c r="K883" i="4"/>
  <c r="K865" i="4"/>
  <c r="K888" i="4"/>
  <c r="L912" i="4"/>
  <c r="C912" i="4" s="1"/>
  <c r="K851" i="4"/>
  <c r="K874" i="4"/>
  <c r="L922" i="4"/>
  <c r="C922" i="4" s="1"/>
  <c r="L881" i="4"/>
  <c r="L850" i="4"/>
  <c r="K823" i="4"/>
  <c r="K804" i="4"/>
  <c r="K847" i="4"/>
  <c r="K825" i="4"/>
  <c r="L808" i="4"/>
  <c r="L790" i="4"/>
  <c r="C790" i="4" s="1"/>
  <c r="L772" i="4"/>
  <c r="C772" i="4" s="1"/>
  <c r="L754" i="4"/>
  <c r="L851" i="4"/>
  <c r="C851" i="4" s="1"/>
  <c r="K808" i="4"/>
  <c r="L789" i="4"/>
  <c r="C789" i="4" s="1"/>
  <c r="L771" i="4"/>
  <c r="C771" i="4" s="1"/>
  <c r="L839" i="4"/>
  <c r="L824" i="4"/>
  <c r="C824" i="4" s="1"/>
  <c r="L799" i="4"/>
  <c r="L782" i="4"/>
  <c r="C782" i="4" s="1"/>
  <c r="K898" i="4"/>
  <c r="K832" i="4"/>
  <c r="L805" i="4"/>
  <c r="C805" i="4" s="1"/>
  <c r="L787" i="4"/>
  <c r="C787" i="4" s="1"/>
  <c r="L769" i="4"/>
  <c r="C769" i="4" s="1"/>
  <c r="L868" i="4"/>
  <c r="C868" i="4" s="1"/>
  <c r="L780" i="4"/>
  <c r="L744" i="4"/>
  <c r="C744" i="4" s="1"/>
  <c r="L726" i="4"/>
  <c r="C726" i="4" s="1"/>
  <c r="L708" i="4"/>
  <c r="C708" i="4" s="1"/>
  <c r="L773" i="4"/>
  <c r="C773" i="4" s="1"/>
  <c r="K754" i="4"/>
  <c r="L801" i="4"/>
  <c r="C801" i="4" s="1"/>
  <c r="K765" i="4"/>
  <c r="L742" i="4"/>
  <c r="C742" i="4" s="1"/>
  <c r="L724" i="4"/>
  <c r="C724" i="4" s="1"/>
  <c r="K850" i="4"/>
  <c r="K774" i="4"/>
  <c r="K742" i="4"/>
  <c r="K724" i="4"/>
  <c r="K706" i="4"/>
  <c r="K688" i="4"/>
  <c r="K670" i="4"/>
  <c r="K652" i="4"/>
  <c r="K634" i="4"/>
  <c r="K732" i="4"/>
  <c r="L704" i="4"/>
  <c r="L686" i="4"/>
  <c r="L879" i="4"/>
  <c r="C879" i="4" s="1"/>
  <c r="K741" i="4"/>
  <c r="L706" i="4"/>
  <c r="L692" i="4"/>
  <c r="L764" i="4"/>
  <c r="C764" i="4" s="1"/>
  <c r="L727" i="4"/>
  <c r="C727" i="4" s="1"/>
  <c r="K692" i="4"/>
  <c r="L667" i="4"/>
  <c r="C667" i="4" s="1"/>
  <c r="L646" i="4"/>
  <c r="C646" i="4" s="1"/>
  <c r="K621" i="4"/>
  <c r="K603" i="4"/>
  <c r="K585" i="4"/>
  <c r="K829" i="4"/>
  <c r="K738" i="4"/>
  <c r="L703" i="4"/>
  <c r="C703" i="4" s="1"/>
  <c r="L849" i="4"/>
  <c r="C849" i="4" s="1"/>
  <c r="K735" i="4"/>
  <c r="L679" i="4"/>
  <c r="L664" i="4"/>
  <c r="C664" i="4" s="1"/>
  <c r="L652" i="4"/>
  <c r="C652" i="4" s="1"/>
  <c r="L632" i="4"/>
  <c r="C632" i="4" s="1"/>
  <c r="K611" i="4"/>
  <c r="L586" i="4"/>
  <c r="L570" i="4"/>
  <c r="C570" i="4" s="1"/>
  <c r="L552" i="4"/>
  <c r="C552" i="4" s="1"/>
  <c r="L534" i="4"/>
  <c r="C534" i="4" s="1"/>
  <c r="L516" i="4"/>
  <c r="C516" i="4" s="1"/>
  <c r="K711" i="4"/>
  <c r="K654" i="4"/>
  <c r="K638" i="4"/>
  <c r="K622" i="4"/>
  <c r="K602" i="4"/>
  <c r="K581" i="4"/>
  <c r="K564" i="4"/>
  <c r="K546" i="4"/>
  <c r="K528" i="4"/>
  <c r="L745" i="4"/>
  <c r="C745" i="4" s="1"/>
  <c r="L685" i="4"/>
  <c r="C685" i="4" s="1"/>
  <c r="K623" i="4"/>
  <c r="L598" i="4"/>
  <c r="K582" i="4"/>
  <c r="L562" i="4"/>
  <c r="L544" i="4"/>
  <c r="L526" i="4"/>
  <c r="C526" i="4" s="1"/>
  <c r="K93" i="4"/>
  <c r="L301" i="4"/>
  <c r="K99" i="4"/>
  <c r="K207" i="4"/>
  <c r="L341" i="4"/>
  <c r="L116" i="4"/>
  <c r="C116" i="4" s="1"/>
  <c r="L224" i="4"/>
  <c r="L377" i="4"/>
  <c r="L122" i="4"/>
  <c r="L230" i="4"/>
  <c r="K45" i="4"/>
  <c r="K153" i="4"/>
  <c r="K261" i="4"/>
  <c r="L27" i="4"/>
  <c r="L45" i="4"/>
  <c r="L63" i="4"/>
  <c r="L81" i="4"/>
  <c r="L99" i="4"/>
  <c r="C99" i="4" s="1"/>
  <c r="L117" i="4"/>
  <c r="L135" i="4"/>
  <c r="L153" i="4"/>
  <c r="L171" i="4"/>
  <c r="L189" i="4"/>
  <c r="L207" i="4"/>
  <c r="C207" i="4" s="1"/>
  <c r="L225" i="4"/>
  <c r="L243" i="4"/>
  <c r="L261" i="4"/>
  <c r="C261" i="4" s="1"/>
  <c r="K285" i="4"/>
  <c r="K315" i="4"/>
  <c r="K372" i="4"/>
  <c r="L22" i="4"/>
  <c r="C22" i="4" s="1"/>
  <c r="L40" i="4"/>
  <c r="C40" i="4" s="1"/>
  <c r="L58" i="4"/>
  <c r="C58" i="4" s="1"/>
  <c r="L76" i="4"/>
  <c r="C76" i="4" s="1"/>
  <c r="L94" i="4"/>
  <c r="C94" i="4" s="1"/>
  <c r="L112" i="4"/>
  <c r="C112" i="4" s="1"/>
  <c r="L130" i="4"/>
  <c r="C130" i="4" s="1"/>
  <c r="L148" i="4"/>
  <c r="C148" i="4" s="1"/>
  <c r="L166" i="4"/>
  <c r="C166" i="4" s="1"/>
  <c r="L184" i="4"/>
  <c r="C184" i="4" s="1"/>
  <c r="L202" i="4"/>
  <c r="C202" i="4" s="1"/>
  <c r="L220" i="4"/>
  <c r="C220" i="4" s="1"/>
  <c r="L238" i="4"/>
  <c r="C238" i="4" s="1"/>
  <c r="L256" i="4"/>
  <c r="C256" i="4" s="1"/>
  <c r="L274" i="4"/>
  <c r="C274" i="4" s="1"/>
  <c r="L305" i="4"/>
  <c r="K342" i="4"/>
  <c r="L459" i="4"/>
  <c r="L35" i="4"/>
  <c r="C35" i="4" s="1"/>
  <c r="L53" i="4"/>
  <c r="C53" i="4" s="1"/>
  <c r="L71" i="4"/>
  <c r="C71" i="4" s="1"/>
  <c r="L89" i="4"/>
  <c r="C89" i="4" s="1"/>
  <c r="L107" i="4"/>
  <c r="C107" i="4" s="1"/>
  <c r="L125" i="4"/>
  <c r="C125" i="4" s="1"/>
  <c r="L143" i="4"/>
  <c r="C143" i="4" s="1"/>
  <c r="L161" i="4"/>
  <c r="C161" i="4" s="1"/>
  <c r="L179" i="4"/>
  <c r="C179" i="4" s="1"/>
  <c r="L197" i="4"/>
  <c r="C197" i="4" s="1"/>
  <c r="L215" i="4"/>
  <c r="C215" i="4" s="1"/>
  <c r="L233" i="4"/>
  <c r="C233" i="4" s="1"/>
  <c r="L251" i="4"/>
  <c r="C251" i="4" s="1"/>
  <c r="L269" i="4"/>
  <c r="C269" i="4" s="1"/>
  <c r="K288" i="4"/>
  <c r="L319" i="4"/>
  <c r="K384" i="4"/>
  <c r="L30" i="4"/>
  <c r="C30" i="4" s="1"/>
  <c r="L48" i="4"/>
  <c r="C48" i="4" s="1"/>
  <c r="L66" i="4"/>
  <c r="C66" i="4" s="1"/>
  <c r="L84" i="4"/>
  <c r="C84" i="4" s="1"/>
  <c r="L102" i="4"/>
  <c r="C102" i="4" s="1"/>
  <c r="L120" i="4"/>
  <c r="C120" i="4" s="1"/>
  <c r="L138" i="4"/>
  <c r="C138" i="4" s="1"/>
  <c r="L156" i="4"/>
  <c r="C156" i="4" s="1"/>
  <c r="L174" i="4"/>
  <c r="C174" i="4" s="1"/>
  <c r="L192" i="4"/>
  <c r="C192" i="4" s="1"/>
  <c r="L210" i="4"/>
  <c r="C210" i="4" s="1"/>
  <c r="L228" i="4"/>
  <c r="C228" i="4" s="1"/>
  <c r="L246" i="4"/>
  <c r="C246" i="4" s="1"/>
  <c r="L264" i="4"/>
  <c r="C264" i="4" s="1"/>
  <c r="L279" i="4"/>
  <c r="K309" i="4"/>
  <c r="L365" i="4"/>
  <c r="L25" i="4"/>
  <c r="C25" i="4" s="1"/>
  <c r="L43" i="4"/>
  <c r="C43" i="4" s="1"/>
  <c r="L61" i="4"/>
  <c r="C61" i="4" s="1"/>
  <c r="L79" i="4"/>
  <c r="C79" i="4" s="1"/>
  <c r="L97" i="4"/>
  <c r="C97" i="4" s="1"/>
  <c r="L115" i="4"/>
  <c r="C115" i="4" s="1"/>
  <c r="L133" i="4"/>
  <c r="C133" i="4" s="1"/>
  <c r="L151" i="4"/>
  <c r="C151" i="4" s="1"/>
  <c r="L169" i="4"/>
  <c r="C169" i="4" s="1"/>
  <c r="L187" i="4"/>
  <c r="C187" i="4" s="1"/>
  <c r="L205" i="4"/>
  <c r="C205" i="4" s="1"/>
  <c r="L223" i="4"/>
  <c r="C223" i="4" s="1"/>
  <c r="L241" i="4"/>
  <c r="C241" i="4" s="1"/>
  <c r="L259" i="4"/>
  <c r="C259" i="4" s="1"/>
  <c r="L277" i="4"/>
  <c r="C277" i="4" s="1"/>
  <c r="L299" i="4"/>
  <c r="L335" i="4"/>
  <c r="L492" i="4"/>
  <c r="K295" i="4"/>
  <c r="K313" i="4"/>
  <c r="K331" i="4"/>
  <c r="K349" i="4"/>
  <c r="K367" i="4"/>
  <c r="K385" i="4"/>
  <c r="K403" i="4"/>
  <c r="K427" i="4"/>
  <c r="K487" i="4"/>
  <c r="L349" i="4"/>
  <c r="C349" i="4" s="1"/>
  <c r="L367" i="4"/>
  <c r="C367" i="4" s="1"/>
  <c r="L385" i="4"/>
  <c r="C385" i="4" s="1"/>
  <c r="L403" i="4"/>
  <c r="C403" i="4" s="1"/>
  <c r="K429" i="4"/>
  <c r="K493" i="4"/>
  <c r="L344" i="4"/>
  <c r="C344" i="4" s="1"/>
  <c r="L362" i="4"/>
  <c r="L380" i="4"/>
  <c r="C380" i="4" s="1"/>
  <c r="L398" i="4"/>
  <c r="C398" i="4" s="1"/>
  <c r="L429" i="4"/>
  <c r="C429" i="4" s="1"/>
  <c r="L474" i="4"/>
  <c r="K593" i="4"/>
  <c r="L309" i="4"/>
  <c r="C309" i="4" s="1"/>
  <c r="L327" i="4"/>
  <c r="L345" i="4"/>
  <c r="L363" i="4"/>
  <c r="L381" i="4"/>
  <c r="L399" i="4"/>
  <c r="K421" i="4"/>
  <c r="K457" i="4"/>
  <c r="L659" i="4"/>
  <c r="C659" i="4" s="1"/>
  <c r="K293" i="4"/>
  <c r="K311" i="4"/>
  <c r="K329" i="4"/>
  <c r="K347" i="4"/>
  <c r="K365" i="4"/>
  <c r="K383" i="4"/>
  <c r="K401" i="4"/>
  <c r="K435" i="4"/>
  <c r="K475" i="4"/>
  <c r="K404" i="4"/>
  <c r="K422" i="4"/>
  <c r="K440" i="4"/>
  <c r="K458" i="4"/>
  <c r="K476" i="4"/>
  <c r="K494" i="4"/>
  <c r="L523" i="4"/>
  <c r="C523" i="4" s="1"/>
  <c r="L575" i="4"/>
  <c r="C575" i="4" s="1"/>
  <c r="K605" i="4"/>
  <c r="L470" i="4"/>
  <c r="C470" i="4" s="1"/>
  <c r="L488" i="4"/>
  <c r="L506" i="4"/>
  <c r="L537" i="4"/>
  <c r="L666" i="4"/>
  <c r="C666" i="4" s="1"/>
  <c r="L471" i="4"/>
  <c r="L489" i="4"/>
  <c r="C489" i="4" s="1"/>
  <c r="L507" i="4"/>
  <c r="K554" i="4"/>
  <c r="K419" i="4"/>
  <c r="K437" i="4"/>
  <c r="K455" i="4"/>
  <c r="K473" i="4"/>
  <c r="K491" i="4"/>
  <c r="L509" i="4"/>
  <c r="C509" i="4" s="1"/>
  <c r="L561" i="4"/>
  <c r="L609" i="4"/>
  <c r="C609" i="4" s="1"/>
  <c r="K699" i="4"/>
  <c r="K420" i="4"/>
  <c r="K438" i="4"/>
  <c r="K456" i="4"/>
  <c r="K474" i="4"/>
  <c r="K492" i="4"/>
  <c r="L513" i="4"/>
  <c r="K560" i="4"/>
  <c r="K626" i="4"/>
  <c r="K519" i="4"/>
  <c r="K537" i="4"/>
  <c r="K555" i="4"/>
  <c r="L579" i="4"/>
  <c r="C579" i="4" s="1"/>
  <c r="L600" i="4"/>
  <c r="C600" i="4" s="1"/>
  <c r="K625" i="4"/>
  <c r="K641" i="4"/>
  <c r="K659" i="4"/>
  <c r="L710" i="4"/>
  <c r="L532" i="4"/>
  <c r="K201" i="4"/>
  <c r="L170" i="4"/>
  <c r="L278" i="4"/>
  <c r="L104" i="4"/>
  <c r="L212" i="4"/>
  <c r="L435" i="4"/>
  <c r="C435" i="4" s="1"/>
  <c r="L110" i="4"/>
  <c r="C110" i="4" s="1"/>
  <c r="L218" i="4"/>
  <c r="C218" i="4" s="1"/>
  <c r="K33" i="4"/>
  <c r="K141" i="4"/>
  <c r="K249" i="4"/>
  <c r="K39" i="4"/>
  <c r="K147" i="4"/>
  <c r="K255" i="4"/>
  <c r="L56" i="4"/>
  <c r="C56" i="4" s="1"/>
  <c r="L164" i="4"/>
  <c r="C164" i="4" s="1"/>
  <c r="L272" i="4"/>
  <c r="C272" i="4" s="1"/>
  <c r="K28" i="4"/>
  <c r="K46" i="4"/>
  <c r="K64" i="4"/>
  <c r="K82" i="4"/>
  <c r="K100" i="4"/>
  <c r="K118" i="4"/>
  <c r="K136" i="4"/>
  <c r="K154" i="4"/>
  <c r="K172" i="4"/>
  <c r="K190" i="4"/>
  <c r="K208" i="4"/>
  <c r="K226" i="4"/>
  <c r="K244" i="4"/>
  <c r="K262" i="4"/>
  <c r="L287" i="4"/>
  <c r="L326" i="4"/>
  <c r="L383" i="4"/>
  <c r="K23" i="4"/>
  <c r="K41" i="4"/>
  <c r="K59" i="4"/>
  <c r="K77" i="4"/>
  <c r="K95" i="4"/>
  <c r="K113" i="4"/>
  <c r="K131" i="4"/>
  <c r="K149" i="4"/>
  <c r="K167" i="4"/>
  <c r="K185" i="4"/>
  <c r="K203" i="4"/>
  <c r="K221" i="4"/>
  <c r="K239" i="4"/>
  <c r="K257" i="4"/>
  <c r="K275" i="4"/>
  <c r="K306" i="4"/>
  <c r="L353" i="4"/>
  <c r="K578" i="4"/>
  <c r="K36" i="4"/>
  <c r="K54" i="4"/>
  <c r="K72" i="4"/>
  <c r="K90" i="4"/>
  <c r="K108" i="4"/>
  <c r="K126" i="4"/>
  <c r="K144" i="4"/>
  <c r="K162" i="4"/>
  <c r="K180" i="4"/>
  <c r="K198" i="4"/>
  <c r="K216" i="4"/>
  <c r="K234" i="4"/>
  <c r="K252" i="4"/>
  <c r="K270" i="4"/>
  <c r="L290" i="4"/>
  <c r="K320" i="4"/>
  <c r="L395" i="4"/>
  <c r="K31" i="4"/>
  <c r="K49" i="4"/>
  <c r="K67" i="4"/>
  <c r="K85" i="4"/>
  <c r="K103" i="4"/>
  <c r="K121" i="4"/>
  <c r="K139" i="4"/>
  <c r="K157" i="4"/>
  <c r="K175" i="4"/>
  <c r="K193" i="4"/>
  <c r="K211" i="4"/>
  <c r="K229" i="4"/>
  <c r="K247" i="4"/>
  <c r="K265" i="4"/>
  <c r="K284" i="4"/>
  <c r="L320" i="4"/>
  <c r="C320" i="4" s="1"/>
  <c r="K390" i="4"/>
  <c r="K26" i="4"/>
  <c r="K44" i="4"/>
  <c r="K62" i="4"/>
  <c r="K80" i="4"/>
  <c r="K98" i="4"/>
  <c r="K116" i="4"/>
  <c r="K134" i="4"/>
  <c r="K152" i="4"/>
  <c r="K170" i="4"/>
  <c r="K188" i="4"/>
  <c r="K206" i="4"/>
  <c r="K224" i="4"/>
  <c r="K242" i="4"/>
  <c r="K260" i="4"/>
  <c r="K278" i="4"/>
  <c r="K300" i="4"/>
  <c r="K336" i="4"/>
  <c r="L282" i="4"/>
  <c r="L300" i="4"/>
  <c r="L318" i="4"/>
  <c r="L336" i="4"/>
  <c r="L354" i="4"/>
  <c r="C354" i="4" s="1"/>
  <c r="L372" i="4"/>
  <c r="C372" i="4" s="1"/>
  <c r="L390" i="4"/>
  <c r="C390" i="4" s="1"/>
  <c r="L404" i="4"/>
  <c r="L438" i="4"/>
  <c r="C438" i="4" s="1"/>
  <c r="L498" i="4"/>
  <c r="K350" i="4"/>
  <c r="K368" i="4"/>
  <c r="K386" i="4"/>
  <c r="K409" i="4"/>
  <c r="L440" i="4"/>
  <c r="L504" i="4"/>
  <c r="K345" i="4"/>
  <c r="K363" i="4"/>
  <c r="K381" i="4"/>
  <c r="K399" i="4"/>
  <c r="K430" i="4"/>
  <c r="K499" i="4"/>
  <c r="K657" i="4"/>
  <c r="K310" i="4"/>
  <c r="K328" i="4"/>
  <c r="K346" i="4"/>
  <c r="K364" i="4"/>
  <c r="K382" i="4"/>
  <c r="K400" i="4"/>
  <c r="L432" i="4"/>
  <c r="C432" i="4" s="1"/>
  <c r="K469" i="4"/>
  <c r="L280" i="4"/>
  <c r="L298" i="4"/>
  <c r="L316" i="4"/>
  <c r="L334" i="4"/>
  <c r="L352" i="4"/>
  <c r="L370" i="4"/>
  <c r="L388" i="4"/>
  <c r="L410" i="4"/>
  <c r="L446" i="4"/>
  <c r="L486" i="4"/>
  <c r="L409" i="4"/>
  <c r="C409" i="4" s="1"/>
  <c r="L427" i="4"/>
  <c r="L445" i="4"/>
  <c r="L463" i="4"/>
  <c r="C463" i="4" s="1"/>
  <c r="L481" i="4"/>
  <c r="C481" i="4" s="1"/>
  <c r="L499" i="4"/>
  <c r="C499" i="4" s="1"/>
  <c r="K530" i="4"/>
  <c r="L580" i="4"/>
  <c r="K610" i="4"/>
  <c r="K471" i="4"/>
  <c r="K489" i="4"/>
  <c r="K507" i="4"/>
  <c r="K544" i="4"/>
  <c r="L671" i="4"/>
  <c r="K472" i="4"/>
  <c r="K490" i="4"/>
  <c r="K508" i="4"/>
  <c r="L565" i="4"/>
  <c r="C565" i="4" s="1"/>
  <c r="L424" i="4"/>
  <c r="C424" i="4" s="1"/>
  <c r="L442" i="4"/>
  <c r="L460" i="4"/>
  <c r="L478" i="4"/>
  <c r="L496" i="4"/>
  <c r="K513" i="4"/>
  <c r="K568" i="4"/>
  <c r="K614" i="4"/>
  <c r="L407" i="4"/>
  <c r="L425" i="4"/>
  <c r="L443" i="4"/>
  <c r="C443" i="4" s="1"/>
  <c r="L461" i="4"/>
  <c r="L479" i="4"/>
  <c r="C479" i="4" s="1"/>
  <c r="L497" i="4"/>
  <c r="L517" i="4"/>
  <c r="C517" i="4" s="1"/>
  <c r="L601" i="4"/>
  <c r="K631" i="4"/>
  <c r="L524" i="4"/>
  <c r="L542" i="4"/>
  <c r="C542" i="4" s="1"/>
  <c r="L560" i="4"/>
  <c r="K584" i="4"/>
  <c r="K604" i="4"/>
  <c r="K630" i="4"/>
  <c r="K643" i="4"/>
  <c r="K710" i="4"/>
  <c r="L733" i="4"/>
  <c r="K539" i="4"/>
  <c r="J159" i="4"/>
  <c r="D159" i="4"/>
  <c r="I159" i="4"/>
  <c r="H159" i="4"/>
  <c r="B159" i="4"/>
  <c r="G159" i="4"/>
  <c r="A159" i="4"/>
  <c r="F159" i="4"/>
  <c r="E159" i="4"/>
  <c r="K87" i="4"/>
  <c r="K195" i="4"/>
  <c r="K402" i="4"/>
  <c r="K129" i="4"/>
  <c r="K237" i="4"/>
  <c r="K27" i="4"/>
  <c r="K135" i="4"/>
  <c r="K243" i="4"/>
  <c r="L44" i="4"/>
  <c r="C44" i="4" s="1"/>
  <c r="L152" i="4"/>
  <c r="C152" i="4" s="1"/>
  <c r="L260" i="4"/>
  <c r="C260" i="4" s="1"/>
  <c r="L50" i="4"/>
  <c r="L158" i="4"/>
  <c r="L266" i="4"/>
  <c r="K81" i="4"/>
  <c r="K189" i="4"/>
  <c r="K338" i="4"/>
  <c r="L33" i="4"/>
  <c r="C33" i="4" s="1"/>
  <c r="L51" i="4"/>
  <c r="C51" i="4" s="1"/>
  <c r="L69" i="4"/>
  <c r="L87" i="4"/>
  <c r="L105" i="4"/>
  <c r="C105" i="4" s="1"/>
  <c r="L123" i="4"/>
  <c r="L141" i="4"/>
  <c r="C141" i="4" s="1"/>
  <c r="L159" i="4"/>
  <c r="C159" i="4" s="1"/>
  <c r="L177" i="4"/>
  <c r="L195" i="4"/>
  <c r="C195" i="4" s="1"/>
  <c r="L213" i="4"/>
  <c r="C213" i="4" s="1"/>
  <c r="L231" i="4"/>
  <c r="L249" i="4"/>
  <c r="C249" i="4" s="1"/>
  <c r="L267" i="4"/>
  <c r="C267" i="4" s="1"/>
  <c r="K294" i="4"/>
  <c r="K327" i="4"/>
  <c r="K406" i="4"/>
  <c r="L28" i="4"/>
  <c r="L46" i="4"/>
  <c r="C46" i="4" s="1"/>
  <c r="L64" i="4"/>
  <c r="C64" i="4" s="1"/>
  <c r="L82" i="4"/>
  <c r="C82" i="4" s="1"/>
  <c r="L100" i="4"/>
  <c r="C100" i="4" s="1"/>
  <c r="L118" i="4"/>
  <c r="C118" i="4" s="1"/>
  <c r="L136" i="4"/>
  <c r="L154" i="4"/>
  <c r="C154" i="4" s="1"/>
  <c r="L172" i="4"/>
  <c r="C172" i="4" s="1"/>
  <c r="L190" i="4"/>
  <c r="C190" i="4" s="1"/>
  <c r="L208" i="4"/>
  <c r="C208" i="4" s="1"/>
  <c r="L226" i="4"/>
  <c r="C226" i="4" s="1"/>
  <c r="L244" i="4"/>
  <c r="L262" i="4"/>
  <c r="C262" i="4" s="1"/>
  <c r="L283" i="4"/>
  <c r="L317" i="4"/>
  <c r="K378" i="4"/>
  <c r="L23" i="4"/>
  <c r="C23" i="4" s="1"/>
  <c r="L41" i="4"/>
  <c r="L59" i="4"/>
  <c r="C59" i="4" s="1"/>
  <c r="L77" i="4"/>
  <c r="C77" i="4" s="1"/>
  <c r="L95" i="4"/>
  <c r="C95" i="4" s="1"/>
  <c r="L113" i="4"/>
  <c r="C113" i="4" s="1"/>
  <c r="L131" i="4"/>
  <c r="C131" i="4" s="1"/>
  <c r="L149" i="4"/>
  <c r="L167" i="4"/>
  <c r="C167" i="4" s="1"/>
  <c r="L185" i="4"/>
  <c r="C185" i="4" s="1"/>
  <c r="L203" i="4"/>
  <c r="C203" i="4" s="1"/>
  <c r="L221" i="4"/>
  <c r="C221" i="4" s="1"/>
  <c r="L239" i="4"/>
  <c r="C239" i="4" s="1"/>
  <c r="L257" i="4"/>
  <c r="L275" i="4"/>
  <c r="C275" i="4" s="1"/>
  <c r="L295" i="4"/>
  <c r="L331" i="4"/>
  <c r="C331" i="4" s="1"/>
  <c r="K460" i="4"/>
  <c r="L36" i="4"/>
  <c r="C36" i="4" s="1"/>
  <c r="L54" i="4"/>
  <c r="L72" i="4"/>
  <c r="C72" i="4" s="1"/>
  <c r="L90" i="4"/>
  <c r="C90" i="4" s="1"/>
  <c r="L108" i="4"/>
  <c r="C108" i="4" s="1"/>
  <c r="L126" i="4"/>
  <c r="C126" i="4" s="1"/>
  <c r="L144" i="4"/>
  <c r="C144" i="4" s="1"/>
  <c r="L162" i="4"/>
  <c r="L180" i="4"/>
  <c r="C180" i="4" s="1"/>
  <c r="L198" i="4"/>
  <c r="C198" i="4" s="1"/>
  <c r="L216" i="4"/>
  <c r="C216" i="4" s="1"/>
  <c r="L234" i="4"/>
  <c r="C234" i="4" s="1"/>
  <c r="L252" i="4"/>
  <c r="C252" i="4" s="1"/>
  <c r="L270" i="4"/>
  <c r="K286" i="4"/>
  <c r="K321" i="4"/>
  <c r="L401" i="4"/>
  <c r="L31" i="4"/>
  <c r="C31" i="4" s="1"/>
  <c r="L49" i="4"/>
  <c r="C49" i="4" s="1"/>
  <c r="L67" i="4"/>
  <c r="L85" i="4"/>
  <c r="C85" i="4" s="1"/>
  <c r="L103" i="4"/>
  <c r="C103" i="4" s="1"/>
  <c r="L121" i="4"/>
  <c r="C121" i="4" s="1"/>
  <c r="L139" i="4"/>
  <c r="C139" i="4" s="1"/>
  <c r="L157" i="4"/>
  <c r="C157" i="4" s="1"/>
  <c r="L175" i="4"/>
  <c r="L193" i="4"/>
  <c r="C193" i="4" s="1"/>
  <c r="L211" i="4"/>
  <c r="C211" i="4" s="1"/>
  <c r="L229" i="4"/>
  <c r="C229" i="4" s="1"/>
  <c r="L247" i="4"/>
  <c r="C247" i="4" s="1"/>
  <c r="L265" i="4"/>
  <c r="C265" i="4" s="1"/>
  <c r="K282" i="4"/>
  <c r="L311" i="4"/>
  <c r="C311" i="4" s="1"/>
  <c r="K360" i="4"/>
  <c r="K283" i="4"/>
  <c r="K301" i="4"/>
  <c r="K319" i="4"/>
  <c r="K337" i="4"/>
  <c r="K355" i="4"/>
  <c r="K373" i="4"/>
  <c r="K391" i="4"/>
  <c r="L406" i="4"/>
  <c r="C406" i="4" s="1"/>
  <c r="K439" i="4"/>
  <c r="K520" i="4"/>
  <c r="L355" i="4"/>
  <c r="C355" i="4" s="1"/>
  <c r="L373" i="4"/>
  <c r="C373" i="4" s="1"/>
  <c r="L391" i="4"/>
  <c r="C391" i="4" s="1"/>
  <c r="L411" i="4"/>
  <c r="K441" i="4"/>
  <c r="K514" i="4"/>
  <c r="L350" i="4"/>
  <c r="C350" i="4" s="1"/>
  <c r="L368" i="4"/>
  <c r="L386" i="4"/>
  <c r="C386" i="4" s="1"/>
  <c r="K405" i="4"/>
  <c r="L441" i="4"/>
  <c r="C441" i="4" s="1"/>
  <c r="L531" i="4"/>
  <c r="L297" i="4"/>
  <c r="L315" i="4"/>
  <c r="C315" i="4" s="1"/>
  <c r="L333" i="4"/>
  <c r="L351" i="4"/>
  <c r="L369" i="4"/>
  <c r="L387" i="4"/>
  <c r="L405" i="4"/>
  <c r="C405" i="4" s="1"/>
  <c r="K433" i="4"/>
  <c r="L480" i="4"/>
  <c r="K281" i="4"/>
  <c r="K299" i="4"/>
  <c r="K317" i="4"/>
  <c r="K335" i="4"/>
  <c r="K353" i="4"/>
  <c r="K371" i="4"/>
  <c r="K389" i="4"/>
  <c r="L412" i="4"/>
  <c r="K447" i="4"/>
  <c r="L567" i="4"/>
  <c r="C567" i="4" s="1"/>
  <c r="K410" i="4"/>
  <c r="K428" i="4"/>
  <c r="K446" i="4"/>
  <c r="K464" i="4"/>
  <c r="K482" i="4"/>
  <c r="K500" i="4"/>
  <c r="L541" i="4"/>
  <c r="C541" i="4" s="1"/>
  <c r="L585" i="4"/>
  <c r="C585" i="4" s="1"/>
  <c r="L684" i="4"/>
  <c r="C684" i="4" s="1"/>
  <c r="L476" i="4"/>
  <c r="C476" i="4" s="1"/>
  <c r="L494" i="4"/>
  <c r="C494" i="4" s="1"/>
  <c r="K510" i="4"/>
  <c r="L555" i="4"/>
  <c r="C555" i="4" s="1"/>
  <c r="K723" i="4"/>
  <c r="L477" i="4"/>
  <c r="L495" i="4"/>
  <c r="K518" i="4"/>
  <c r="K574" i="4"/>
  <c r="K425" i="4"/>
  <c r="K443" i="4"/>
  <c r="K461" i="4"/>
  <c r="K479" i="4"/>
  <c r="K497" i="4"/>
  <c r="L525" i="4"/>
  <c r="L589" i="4"/>
  <c r="K619" i="4"/>
  <c r="K408" i="4"/>
  <c r="K426" i="4"/>
  <c r="K444" i="4"/>
  <c r="K462" i="4"/>
  <c r="K480" i="4"/>
  <c r="K498" i="4"/>
  <c r="K524" i="4"/>
  <c r="L606" i="4"/>
  <c r="C606" i="4" s="1"/>
  <c r="K665" i="4"/>
  <c r="K525" i="4"/>
  <c r="K543" i="4"/>
  <c r="K561" i="4"/>
  <c r="K589" i="4"/>
  <c r="L605" i="4"/>
  <c r="L631" i="4"/>
  <c r="C631" i="4" s="1"/>
  <c r="K645" i="4"/>
  <c r="L721" i="4"/>
  <c r="C721" i="4" s="1"/>
  <c r="L779" i="4"/>
  <c r="C779" i="4" s="1"/>
  <c r="K557" i="4"/>
  <c r="L98" i="4"/>
  <c r="L206" i="4"/>
  <c r="L32" i="4"/>
  <c r="L140" i="4"/>
  <c r="L248" i="4"/>
  <c r="L38" i="4"/>
  <c r="C38" i="4" s="1"/>
  <c r="L146" i="4"/>
  <c r="C146" i="4" s="1"/>
  <c r="L254" i="4"/>
  <c r="C254" i="4" s="1"/>
  <c r="K69" i="4"/>
  <c r="K177" i="4"/>
  <c r="K280" i="4"/>
  <c r="K75" i="4"/>
  <c r="K183" i="4"/>
  <c r="L289" i="4"/>
  <c r="L92" i="4"/>
  <c r="C92" i="4" s="1"/>
  <c r="L200" i="4"/>
  <c r="C200" i="4" s="1"/>
  <c r="K366" i="4"/>
  <c r="K34" i="4"/>
  <c r="K52" i="4"/>
  <c r="K70" i="4"/>
  <c r="K88" i="4"/>
  <c r="K106" i="4"/>
  <c r="K124" i="4"/>
  <c r="K142" i="4"/>
  <c r="K160" i="4"/>
  <c r="K178" i="4"/>
  <c r="K196" i="4"/>
  <c r="K214" i="4"/>
  <c r="K232" i="4"/>
  <c r="K250" i="4"/>
  <c r="K268" i="4"/>
  <c r="L302" i="4"/>
  <c r="C302" i="4" s="1"/>
  <c r="L338" i="4"/>
  <c r="C338" i="4" s="1"/>
  <c r="K436" i="4"/>
  <c r="K29" i="4"/>
  <c r="K47" i="4"/>
  <c r="K65" i="4"/>
  <c r="K83" i="4"/>
  <c r="K101" i="4"/>
  <c r="K119" i="4"/>
  <c r="K137" i="4"/>
  <c r="K155" i="4"/>
  <c r="K173" i="4"/>
  <c r="K191" i="4"/>
  <c r="K209" i="4"/>
  <c r="K227" i="4"/>
  <c r="K245" i="4"/>
  <c r="K263" i="4"/>
  <c r="L285" i="4"/>
  <c r="C285" i="4" s="1"/>
  <c r="K318" i="4"/>
  <c r="L389" i="4"/>
  <c r="C389" i="4" s="1"/>
  <c r="K24" i="4"/>
  <c r="K42" i="4"/>
  <c r="K60" i="4"/>
  <c r="K78" i="4"/>
  <c r="K96" i="4"/>
  <c r="K114" i="4"/>
  <c r="K132" i="4"/>
  <c r="K150" i="4"/>
  <c r="K168" i="4"/>
  <c r="K186" i="4"/>
  <c r="K204" i="4"/>
  <c r="K222" i="4"/>
  <c r="K240" i="4"/>
  <c r="K258" i="4"/>
  <c r="K276" i="4"/>
  <c r="K296" i="4"/>
  <c r="K332" i="4"/>
  <c r="K588" i="4"/>
  <c r="K37" i="4"/>
  <c r="K55" i="4"/>
  <c r="K73" i="4"/>
  <c r="K91" i="4"/>
  <c r="K109" i="4"/>
  <c r="K127" i="4"/>
  <c r="K145" i="4"/>
  <c r="K163" i="4"/>
  <c r="K181" i="4"/>
  <c r="K199" i="4"/>
  <c r="K217" i="4"/>
  <c r="K235" i="4"/>
  <c r="K253" i="4"/>
  <c r="K271" i="4"/>
  <c r="L296" i="4"/>
  <c r="L332" i="4"/>
  <c r="L408" i="4"/>
  <c r="C408" i="4" s="1"/>
  <c r="K32" i="4"/>
  <c r="K50" i="4"/>
  <c r="K68" i="4"/>
  <c r="K86" i="4"/>
  <c r="K104" i="4"/>
  <c r="K122" i="4"/>
  <c r="K140" i="4"/>
  <c r="K158" i="4"/>
  <c r="K176" i="4"/>
  <c r="K194" i="4"/>
  <c r="K212" i="4"/>
  <c r="K230" i="4"/>
  <c r="K248" i="4"/>
  <c r="K266" i="4"/>
  <c r="L284" i="4"/>
  <c r="K312" i="4"/>
  <c r="L371" i="4"/>
  <c r="C371" i="4" s="1"/>
  <c r="L288" i="4"/>
  <c r="C288" i="4" s="1"/>
  <c r="L306" i="4"/>
  <c r="C306" i="4" s="1"/>
  <c r="L324" i="4"/>
  <c r="C324" i="4" s="1"/>
  <c r="L342" i="4"/>
  <c r="L360" i="4"/>
  <c r="L378" i="4"/>
  <c r="C378" i="4" s="1"/>
  <c r="L396" i="4"/>
  <c r="K411" i="4"/>
  <c r="L450" i="4"/>
  <c r="L653" i="4"/>
  <c r="C653" i="4" s="1"/>
  <c r="K356" i="4"/>
  <c r="K374" i="4"/>
  <c r="K392" i="4"/>
  <c r="L416" i="4"/>
  <c r="L452" i="4"/>
  <c r="K538" i="4"/>
  <c r="K351" i="4"/>
  <c r="K369" i="4"/>
  <c r="K387" i="4"/>
  <c r="K407" i="4"/>
  <c r="K442" i="4"/>
  <c r="K556" i="4"/>
  <c r="K298" i="4"/>
  <c r="K316" i="4"/>
  <c r="K334" i="4"/>
  <c r="K352" i="4"/>
  <c r="K370" i="4"/>
  <c r="K388" i="4"/>
  <c r="K412" i="4"/>
  <c r="L444" i="4"/>
  <c r="K505" i="4"/>
  <c r="L286" i="4"/>
  <c r="C286" i="4" s="1"/>
  <c r="L304" i="4"/>
  <c r="C304" i="4" s="1"/>
  <c r="L322" i="4"/>
  <c r="C322" i="4" s="1"/>
  <c r="L340" i="4"/>
  <c r="C340" i="4" s="1"/>
  <c r="L358" i="4"/>
  <c r="C358" i="4" s="1"/>
  <c r="L376" i="4"/>
  <c r="C376" i="4" s="1"/>
  <c r="L394" i="4"/>
  <c r="C394" i="4" s="1"/>
  <c r="L422" i="4"/>
  <c r="C422" i="4" s="1"/>
  <c r="L458" i="4"/>
  <c r="L637" i="4"/>
  <c r="C637" i="4" s="1"/>
  <c r="L415" i="4"/>
  <c r="L433" i="4"/>
  <c r="L451" i="4"/>
  <c r="C451" i="4" s="1"/>
  <c r="L469" i="4"/>
  <c r="C469" i="4" s="1"/>
  <c r="L487" i="4"/>
  <c r="C487" i="4" s="1"/>
  <c r="L505" i="4"/>
  <c r="K548" i="4"/>
  <c r="K590" i="4"/>
  <c r="L694" i="4"/>
  <c r="C694" i="4" s="1"/>
  <c r="K477" i="4"/>
  <c r="K495" i="4"/>
  <c r="L512" i="4"/>
  <c r="C512" i="4" s="1"/>
  <c r="K562" i="4"/>
  <c r="K757" i="4"/>
  <c r="K478" i="4"/>
  <c r="K496" i="4"/>
  <c r="L529" i="4"/>
  <c r="C529" i="4" s="1"/>
  <c r="L674" i="4"/>
  <c r="C674" i="4" s="1"/>
  <c r="L430" i="4"/>
  <c r="C430" i="4" s="1"/>
  <c r="L448" i="4"/>
  <c r="C448" i="4" s="1"/>
  <c r="L466" i="4"/>
  <c r="C466" i="4" s="1"/>
  <c r="L484" i="4"/>
  <c r="C484" i="4" s="1"/>
  <c r="L502" i="4"/>
  <c r="C502" i="4" s="1"/>
  <c r="K532" i="4"/>
  <c r="L594" i="4"/>
  <c r="K624" i="4"/>
  <c r="L413" i="4"/>
  <c r="C413" i="4" s="1"/>
  <c r="L431" i="4"/>
  <c r="L449" i="4"/>
  <c r="L467" i="4"/>
  <c r="L485" i="4"/>
  <c r="L503" i="4"/>
  <c r="L535" i="4"/>
  <c r="C535" i="4" s="1"/>
  <c r="L611" i="4"/>
  <c r="C611" i="4" s="1"/>
  <c r="L678" i="4"/>
  <c r="C678" i="4" s="1"/>
  <c r="L530" i="4"/>
  <c r="L548" i="4"/>
  <c r="C548" i="4" s="1"/>
  <c r="L566" i="4"/>
  <c r="C566" i="4" s="1"/>
  <c r="K594" i="4"/>
  <c r="L610" i="4"/>
  <c r="C610" i="4" s="1"/>
  <c r="K633" i="4"/>
  <c r="K647" i="4"/>
  <c r="L759" i="4"/>
  <c r="C759" i="4" s="1"/>
  <c r="L514" i="4"/>
  <c r="C514" i="4" s="1"/>
  <c r="L26" i="4"/>
  <c r="C26" i="4" s="1"/>
  <c r="K123" i="4"/>
  <c r="K231" i="4"/>
  <c r="K57" i="4"/>
  <c r="K165" i="4"/>
  <c r="K273" i="4"/>
  <c r="K63" i="4"/>
  <c r="K171" i="4"/>
  <c r="K302" i="4"/>
  <c r="L80" i="4"/>
  <c r="L188" i="4"/>
  <c r="K314" i="4"/>
  <c r="L86" i="4"/>
  <c r="C86" i="4" s="1"/>
  <c r="L194" i="4"/>
  <c r="K326" i="4"/>
  <c r="K117" i="4"/>
  <c r="K225" i="4"/>
  <c r="K424" i="4"/>
  <c r="L39" i="4"/>
  <c r="C39" i="4" s="1"/>
  <c r="L57" i="4"/>
  <c r="L75" i="4"/>
  <c r="L93" i="4"/>
  <c r="C93" i="4" s="1"/>
  <c r="L111" i="4"/>
  <c r="C111" i="4" s="1"/>
  <c r="L129" i="4"/>
  <c r="C129" i="4" s="1"/>
  <c r="L147" i="4"/>
  <c r="C147" i="4" s="1"/>
  <c r="L165" i="4"/>
  <c r="L183" i="4"/>
  <c r="L201" i="4"/>
  <c r="L219" i="4"/>
  <c r="C219" i="4" s="1"/>
  <c r="L237" i="4"/>
  <c r="C237" i="4" s="1"/>
  <c r="L255" i="4"/>
  <c r="C255" i="4" s="1"/>
  <c r="L273" i="4"/>
  <c r="K303" i="4"/>
  <c r="K339" i="4"/>
  <c r="L447" i="4"/>
  <c r="C447" i="4" s="1"/>
  <c r="L34" i="4"/>
  <c r="C34" i="4" s="1"/>
  <c r="L52" i="4"/>
  <c r="C52" i="4" s="1"/>
  <c r="L70" i="4"/>
  <c r="L88" i="4"/>
  <c r="L106" i="4"/>
  <c r="L124" i="4"/>
  <c r="C124" i="4" s="1"/>
  <c r="L142" i="4"/>
  <c r="C142" i="4" s="1"/>
  <c r="L160" i="4"/>
  <c r="C160" i="4" s="1"/>
  <c r="L178" i="4"/>
  <c r="L196" i="4"/>
  <c r="L214" i="4"/>
  <c r="L232" i="4"/>
  <c r="C232" i="4" s="1"/>
  <c r="L250" i="4"/>
  <c r="C250" i="4" s="1"/>
  <c r="L268" i="4"/>
  <c r="C268" i="4" s="1"/>
  <c r="K290" i="4"/>
  <c r="L329" i="4"/>
  <c r="C329" i="4" s="1"/>
  <c r="K415" i="4"/>
  <c r="L29" i="4"/>
  <c r="C29" i="4" s="1"/>
  <c r="L47" i="4"/>
  <c r="C47" i="4" s="1"/>
  <c r="L65" i="4"/>
  <c r="C65" i="4" s="1"/>
  <c r="L83" i="4"/>
  <c r="L101" i="4"/>
  <c r="L119" i="4"/>
  <c r="L137" i="4"/>
  <c r="C137" i="4" s="1"/>
  <c r="L155" i="4"/>
  <c r="C155" i="4" s="1"/>
  <c r="L173" i="4"/>
  <c r="C173" i="4" s="1"/>
  <c r="L191" i="4"/>
  <c r="L209" i="4"/>
  <c r="L227" i="4"/>
  <c r="L245" i="4"/>
  <c r="C245" i="4" s="1"/>
  <c r="L263" i="4"/>
  <c r="C263" i="4" s="1"/>
  <c r="K279" i="4"/>
  <c r="L307" i="4"/>
  <c r="K348" i="4"/>
  <c r="L24" i="4"/>
  <c r="L42" i="4"/>
  <c r="C42" i="4" s="1"/>
  <c r="L60" i="4"/>
  <c r="C60" i="4" s="1"/>
  <c r="L78" i="4"/>
  <c r="C78" i="4" s="1"/>
  <c r="L96" i="4"/>
  <c r="L114" i="4"/>
  <c r="L132" i="4"/>
  <c r="L150" i="4"/>
  <c r="C150" i="4" s="1"/>
  <c r="L168" i="4"/>
  <c r="C168" i="4" s="1"/>
  <c r="L186" i="4"/>
  <c r="C186" i="4" s="1"/>
  <c r="L204" i="4"/>
  <c r="L222" i="4"/>
  <c r="L240" i="4"/>
  <c r="L258" i="4"/>
  <c r="C258" i="4" s="1"/>
  <c r="L276" i="4"/>
  <c r="C276" i="4" s="1"/>
  <c r="K297" i="4"/>
  <c r="K333" i="4"/>
  <c r="K598" i="4"/>
  <c r="L37" i="4"/>
  <c r="L55" i="4"/>
  <c r="C55" i="4" s="1"/>
  <c r="L73" i="4"/>
  <c r="C73" i="4" s="1"/>
  <c r="L91" i="4"/>
  <c r="C91" i="4" s="1"/>
  <c r="L109" i="4"/>
  <c r="L127" i="4"/>
  <c r="L145" i="4"/>
  <c r="L163" i="4"/>
  <c r="C163" i="4" s="1"/>
  <c r="L181" i="4"/>
  <c r="C181" i="4" s="1"/>
  <c r="L199" i="4"/>
  <c r="C199" i="4" s="1"/>
  <c r="L217" i="4"/>
  <c r="L235" i="4"/>
  <c r="L253" i="4"/>
  <c r="L271" i="4"/>
  <c r="C271" i="4" s="1"/>
  <c r="K291" i="4"/>
  <c r="L323" i="4"/>
  <c r="C323" i="4" s="1"/>
  <c r="K396" i="4"/>
  <c r="K289" i="4"/>
  <c r="K307" i="4"/>
  <c r="K325" i="4"/>
  <c r="K343" i="4"/>
  <c r="K361" i="4"/>
  <c r="K379" i="4"/>
  <c r="K397" i="4"/>
  <c r="K413" i="4"/>
  <c r="K451" i="4"/>
  <c r="L343" i="4"/>
  <c r="C343" i="4" s="1"/>
  <c r="L361" i="4"/>
  <c r="C361" i="4" s="1"/>
  <c r="L379" i="4"/>
  <c r="C379" i="4" s="1"/>
  <c r="L397" i="4"/>
  <c r="C397" i="4" s="1"/>
  <c r="K417" i="4"/>
  <c r="K453" i="4"/>
  <c r="L643" i="4"/>
  <c r="L356" i="4"/>
  <c r="C356" i="4" s="1"/>
  <c r="L374" i="4"/>
  <c r="L392" i="4"/>
  <c r="L417" i="4"/>
  <c r="C417" i="4" s="1"/>
  <c r="L453" i="4"/>
  <c r="C453" i="4" s="1"/>
  <c r="L573" i="4"/>
  <c r="C573" i="4" s="1"/>
  <c r="L303" i="4"/>
  <c r="C303" i="4" s="1"/>
  <c r="L321" i="4"/>
  <c r="C321" i="4" s="1"/>
  <c r="L339" i="4"/>
  <c r="L357" i="4"/>
  <c r="C357" i="4" s="1"/>
  <c r="L375" i="4"/>
  <c r="C375" i="4" s="1"/>
  <c r="L393" i="4"/>
  <c r="C393" i="4" s="1"/>
  <c r="L414" i="4"/>
  <c r="C414" i="4" s="1"/>
  <c r="K445" i="4"/>
  <c r="L549" i="4"/>
  <c r="K287" i="4"/>
  <c r="K305" i="4"/>
  <c r="K323" i="4"/>
  <c r="K341" i="4"/>
  <c r="K359" i="4"/>
  <c r="K377" i="4"/>
  <c r="K395" i="4"/>
  <c r="K423" i="4"/>
  <c r="K459" i="4"/>
  <c r="L649" i="4"/>
  <c r="K416" i="4"/>
  <c r="K434" i="4"/>
  <c r="K452" i="4"/>
  <c r="K470" i="4"/>
  <c r="K488" i="4"/>
  <c r="K506" i="4"/>
  <c r="L559" i="4"/>
  <c r="C559" i="4" s="1"/>
  <c r="K595" i="4"/>
  <c r="L464" i="4"/>
  <c r="C464" i="4" s="1"/>
  <c r="L482" i="4"/>
  <c r="C482" i="4" s="1"/>
  <c r="L500" i="4"/>
  <c r="L519" i="4"/>
  <c r="C519" i="4" s="1"/>
  <c r="L625" i="4"/>
  <c r="C625" i="4" s="1"/>
  <c r="L465" i="4"/>
  <c r="C465" i="4" s="1"/>
  <c r="L483" i="4"/>
  <c r="C483" i="4" s="1"/>
  <c r="L501" i="4"/>
  <c r="C501" i="4" s="1"/>
  <c r="K536" i="4"/>
  <c r="K677" i="4"/>
  <c r="K431" i="4"/>
  <c r="K449" i="4"/>
  <c r="K467" i="4"/>
  <c r="K485" i="4"/>
  <c r="K503" i="4"/>
  <c r="L543" i="4"/>
  <c r="L599" i="4"/>
  <c r="C599" i="4" s="1"/>
  <c r="K629" i="4"/>
  <c r="K414" i="4"/>
  <c r="K432" i="4"/>
  <c r="K450" i="4"/>
  <c r="K468" i="4"/>
  <c r="K486" i="4"/>
  <c r="K504" i="4"/>
  <c r="K542" i="4"/>
  <c r="L616" i="4"/>
  <c r="C616" i="4" s="1"/>
  <c r="L827" i="4"/>
  <c r="C827" i="4" s="1"/>
  <c r="K531" i="4"/>
  <c r="K549" i="4"/>
  <c r="K567" i="4"/>
  <c r="L595" i="4"/>
  <c r="C595" i="4" s="1"/>
  <c r="L615" i="4"/>
  <c r="C615" i="4" s="1"/>
  <c r="L635" i="4"/>
  <c r="C635" i="4" s="1"/>
  <c r="K649" i="4"/>
  <c r="K683" i="4"/>
  <c r="L520" i="4"/>
  <c r="C396" i="4" l="1"/>
  <c r="C289" i="4"/>
  <c r="C175" i="4"/>
  <c r="C67" i="4"/>
  <c r="C270" i="4"/>
  <c r="C162" i="4"/>
  <c r="C54" i="4"/>
  <c r="C257" i="4"/>
  <c r="C149" i="4"/>
  <c r="C41" i="4"/>
  <c r="C244" i="4"/>
  <c r="C136" i="4"/>
  <c r="C28" i="4"/>
  <c r="C231" i="4"/>
  <c r="C123" i="4"/>
  <c r="C498" i="4"/>
  <c r="C679" i="4"/>
  <c r="C686" i="4"/>
  <c r="C571" i="4"/>
  <c r="C550" i="4"/>
  <c r="C558" i="4"/>
  <c r="C698" i="4"/>
  <c r="C791" i="4"/>
  <c r="C893" i="4"/>
  <c r="C1042" i="4"/>
  <c r="C762" i="4"/>
  <c r="C543" i="4"/>
  <c r="C188" i="4"/>
  <c r="C415" i="4"/>
  <c r="C605" i="4"/>
  <c r="C495" i="4"/>
  <c r="C425" i="4"/>
  <c r="C410" i="4"/>
  <c r="C440" i="4"/>
  <c r="C362" i="4"/>
  <c r="C704" i="4"/>
  <c r="C839" i="4"/>
  <c r="C907" i="4"/>
  <c r="C1063" i="4"/>
  <c r="C711" i="4"/>
  <c r="C844" i="4"/>
  <c r="C878" i="4"/>
  <c r="C925" i="4"/>
  <c r="C986" i="4"/>
  <c r="C1068" i="4"/>
  <c r="C1095" i="4"/>
  <c r="C730" i="4"/>
  <c r="C926" i="4"/>
  <c r="C992" i="4"/>
  <c r="C416" i="4"/>
  <c r="C643" i="4"/>
  <c r="C433" i="4"/>
  <c r="C253" i="4"/>
  <c r="C145" i="4"/>
  <c r="C37" i="4"/>
  <c r="C240" i="4"/>
  <c r="C132" i="4"/>
  <c r="C24" i="4"/>
  <c r="C227" i="4"/>
  <c r="C119" i="4"/>
  <c r="C214" i="4"/>
  <c r="C106" i="4"/>
  <c r="C80" i="4"/>
  <c r="C360" i="4"/>
  <c r="C477" i="4"/>
  <c r="C87" i="4"/>
  <c r="C891" i="4"/>
  <c r="C1002" i="4"/>
  <c r="C863" i="4"/>
  <c r="C50" i="4"/>
  <c r="C342" i="4"/>
  <c r="C870" i="4"/>
  <c r="C905" i="4"/>
  <c r="C1088" i="4"/>
  <c r="C976" i="4"/>
  <c r="C290" i="4"/>
  <c r="C459" i="4"/>
  <c r="C1046" i="4"/>
  <c r="C751" i="4"/>
  <c r="C657" i="4"/>
  <c r="C984" i="4"/>
  <c r="C770" i="4"/>
  <c r="C614" i="4"/>
  <c r="C884" i="4"/>
  <c r="C982" i="4"/>
  <c r="C720" i="4"/>
  <c r="C766" i="4"/>
  <c r="C874" i="4"/>
  <c r="C847" i="4"/>
  <c r="C990" i="4"/>
  <c r="C593" i="4"/>
  <c r="C563" i="4"/>
  <c r="C898" i="4"/>
  <c r="C1064" i="4"/>
  <c r="E341" i="4"/>
  <c r="J341" i="4"/>
  <c r="D341" i="4"/>
  <c r="H341" i="4"/>
  <c r="B341" i="4"/>
  <c r="M341" i="4"/>
  <c r="G341" i="4"/>
  <c r="A341" i="4"/>
  <c r="I341" i="4"/>
  <c r="F341" i="4"/>
  <c r="M478" i="4"/>
  <c r="G478" i="4"/>
  <c r="A478" i="4"/>
  <c r="F478" i="4"/>
  <c r="E478" i="4"/>
  <c r="J478" i="4"/>
  <c r="D478" i="4"/>
  <c r="I478" i="4"/>
  <c r="H478" i="4"/>
  <c r="B478" i="4"/>
  <c r="F352" i="4"/>
  <c r="E352" i="4"/>
  <c r="J352" i="4"/>
  <c r="D352" i="4"/>
  <c r="I352" i="4"/>
  <c r="H352" i="4"/>
  <c r="B352" i="4"/>
  <c r="G352" i="4"/>
  <c r="A352" i="4"/>
  <c r="M352" i="4"/>
  <c r="E248" i="4"/>
  <c r="J248" i="4"/>
  <c r="D248" i="4"/>
  <c r="I248" i="4"/>
  <c r="H248" i="4"/>
  <c r="B248" i="4"/>
  <c r="M248" i="4"/>
  <c r="G248" i="4"/>
  <c r="A248" i="4"/>
  <c r="F248" i="4"/>
  <c r="M222" i="4"/>
  <c r="G222" i="4"/>
  <c r="A222" i="4"/>
  <c r="F222" i="4"/>
  <c r="E222" i="4"/>
  <c r="J222" i="4"/>
  <c r="D222" i="4"/>
  <c r="I222" i="4"/>
  <c r="H222" i="4"/>
  <c r="B222" i="4"/>
  <c r="H101" i="4"/>
  <c r="B101" i="4"/>
  <c r="M101" i="4"/>
  <c r="G101" i="4"/>
  <c r="A101" i="4"/>
  <c r="F101" i="4"/>
  <c r="E101" i="4"/>
  <c r="J101" i="4"/>
  <c r="D101" i="4"/>
  <c r="I101" i="4"/>
  <c r="J69" i="4"/>
  <c r="D69" i="4"/>
  <c r="I69" i="4"/>
  <c r="H69" i="4"/>
  <c r="B69" i="4"/>
  <c r="M69" i="4"/>
  <c r="G69" i="4"/>
  <c r="A69" i="4"/>
  <c r="F69" i="4"/>
  <c r="E69" i="4"/>
  <c r="E462" i="4"/>
  <c r="J462" i="4"/>
  <c r="D462" i="4"/>
  <c r="M462" i="4"/>
  <c r="G462" i="4"/>
  <c r="A462" i="4"/>
  <c r="H462" i="4"/>
  <c r="F462" i="4"/>
  <c r="B462" i="4"/>
  <c r="I462" i="4"/>
  <c r="F286" i="4"/>
  <c r="H286" i="4"/>
  <c r="B286" i="4"/>
  <c r="M286" i="4"/>
  <c r="D286" i="4"/>
  <c r="J286" i="4"/>
  <c r="A286" i="4"/>
  <c r="I286" i="4"/>
  <c r="G286" i="4"/>
  <c r="E286" i="4"/>
  <c r="H544" i="4"/>
  <c r="B544" i="4"/>
  <c r="M544" i="4"/>
  <c r="G544" i="4"/>
  <c r="A544" i="4"/>
  <c r="F544" i="4"/>
  <c r="J544" i="4"/>
  <c r="D544" i="4"/>
  <c r="I544" i="4"/>
  <c r="E544" i="4"/>
  <c r="F310" i="4"/>
  <c r="E310" i="4"/>
  <c r="H310" i="4"/>
  <c r="B310" i="4"/>
  <c r="M310" i="4"/>
  <c r="A310" i="4"/>
  <c r="J310" i="4"/>
  <c r="I310" i="4"/>
  <c r="G310" i="4"/>
  <c r="D310" i="4"/>
  <c r="E206" i="4"/>
  <c r="J206" i="4"/>
  <c r="D206" i="4"/>
  <c r="I206" i="4"/>
  <c r="H206" i="4"/>
  <c r="B206" i="4"/>
  <c r="M206" i="4"/>
  <c r="G206" i="4"/>
  <c r="A206" i="4"/>
  <c r="F206" i="4"/>
  <c r="F85" i="4"/>
  <c r="E85" i="4"/>
  <c r="J85" i="4"/>
  <c r="D85" i="4"/>
  <c r="I85" i="4"/>
  <c r="H85" i="4"/>
  <c r="B85" i="4"/>
  <c r="M85" i="4"/>
  <c r="G85" i="4"/>
  <c r="A85" i="4"/>
  <c r="H59" i="4"/>
  <c r="B59" i="4"/>
  <c r="M59" i="4"/>
  <c r="G59" i="4"/>
  <c r="A59" i="4"/>
  <c r="F59" i="4"/>
  <c r="E59" i="4"/>
  <c r="J59" i="4"/>
  <c r="D59" i="4"/>
  <c r="I59" i="4"/>
  <c r="I154" i="4"/>
  <c r="H154" i="4"/>
  <c r="B154" i="4"/>
  <c r="M154" i="4"/>
  <c r="G154" i="4"/>
  <c r="A154" i="4"/>
  <c r="F154" i="4"/>
  <c r="E154" i="4"/>
  <c r="J154" i="4"/>
  <c r="D154" i="4"/>
  <c r="J560" i="4"/>
  <c r="D560" i="4"/>
  <c r="I560" i="4"/>
  <c r="H560" i="4"/>
  <c r="B560" i="4"/>
  <c r="F560" i="4"/>
  <c r="G560" i="4"/>
  <c r="E560" i="4"/>
  <c r="A560" i="4"/>
  <c r="M560" i="4"/>
  <c r="I458" i="4"/>
  <c r="H458" i="4"/>
  <c r="B458" i="4"/>
  <c r="E458" i="4"/>
  <c r="J458" i="4"/>
  <c r="G458" i="4"/>
  <c r="F458" i="4"/>
  <c r="D458" i="4"/>
  <c r="M458" i="4"/>
  <c r="A458" i="4"/>
  <c r="M934" i="4"/>
  <c r="G934" i="4"/>
  <c r="A934" i="4"/>
  <c r="J934" i="4"/>
  <c r="I934" i="4"/>
  <c r="B934" i="4"/>
  <c r="E934" i="4"/>
  <c r="H934" i="4"/>
  <c r="F934" i="4"/>
  <c r="D934" i="4"/>
  <c r="C500" i="4"/>
  <c r="M291" i="4"/>
  <c r="G291" i="4"/>
  <c r="A291" i="4"/>
  <c r="I291" i="4"/>
  <c r="B291" i="4"/>
  <c r="J291" i="4"/>
  <c r="H291" i="4"/>
  <c r="F291" i="4"/>
  <c r="E291" i="4"/>
  <c r="D291" i="4"/>
  <c r="M424" i="4"/>
  <c r="G424" i="4"/>
  <c r="A424" i="4"/>
  <c r="F424" i="4"/>
  <c r="I424" i="4"/>
  <c r="J424" i="4"/>
  <c r="H424" i="4"/>
  <c r="E424" i="4"/>
  <c r="D424" i="4"/>
  <c r="B424" i="4"/>
  <c r="J273" i="4"/>
  <c r="D273" i="4"/>
  <c r="I273" i="4"/>
  <c r="H273" i="4"/>
  <c r="B273" i="4"/>
  <c r="M273" i="4"/>
  <c r="G273" i="4"/>
  <c r="A273" i="4"/>
  <c r="F273" i="4"/>
  <c r="E273" i="4"/>
  <c r="H624" i="4"/>
  <c r="B624" i="4"/>
  <c r="G624" i="4"/>
  <c r="M624" i="4"/>
  <c r="F624" i="4"/>
  <c r="E624" i="4"/>
  <c r="J624" i="4"/>
  <c r="I624" i="4"/>
  <c r="D624" i="4"/>
  <c r="A624" i="4"/>
  <c r="F590" i="4"/>
  <c r="J590" i="4"/>
  <c r="I590" i="4"/>
  <c r="B590" i="4"/>
  <c r="H590" i="4"/>
  <c r="A590" i="4"/>
  <c r="M590" i="4"/>
  <c r="E590" i="4"/>
  <c r="D590" i="4"/>
  <c r="G590" i="4"/>
  <c r="F334" i="4"/>
  <c r="E334" i="4"/>
  <c r="H334" i="4"/>
  <c r="B334" i="4"/>
  <c r="M334" i="4"/>
  <c r="A334" i="4"/>
  <c r="J334" i="4"/>
  <c r="I334" i="4"/>
  <c r="G334" i="4"/>
  <c r="D334" i="4"/>
  <c r="H332" i="4"/>
  <c r="B332" i="4"/>
  <c r="M332" i="4"/>
  <c r="G332" i="4"/>
  <c r="A332" i="4"/>
  <c r="J332" i="4"/>
  <c r="D332" i="4"/>
  <c r="I332" i="4"/>
  <c r="F332" i="4"/>
  <c r="E332" i="4"/>
  <c r="I70" i="4"/>
  <c r="H70" i="4"/>
  <c r="B70" i="4"/>
  <c r="M70" i="4"/>
  <c r="G70" i="4"/>
  <c r="A70" i="4"/>
  <c r="F70" i="4"/>
  <c r="E70" i="4"/>
  <c r="J70" i="4"/>
  <c r="D70" i="4"/>
  <c r="F485" i="4"/>
  <c r="E485" i="4"/>
  <c r="J485" i="4"/>
  <c r="D485" i="4"/>
  <c r="I485" i="4"/>
  <c r="H485" i="4"/>
  <c r="B485" i="4"/>
  <c r="M485" i="4"/>
  <c r="G485" i="4"/>
  <c r="A485" i="4"/>
  <c r="I325" i="4"/>
  <c r="H325" i="4"/>
  <c r="B325" i="4"/>
  <c r="E325" i="4"/>
  <c r="J325" i="4"/>
  <c r="G325" i="4"/>
  <c r="F325" i="4"/>
  <c r="D325" i="4"/>
  <c r="M325" i="4"/>
  <c r="A325" i="4"/>
  <c r="C485" i="4"/>
  <c r="C444" i="4"/>
  <c r="F413" i="4"/>
  <c r="H413" i="4"/>
  <c r="B413" i="4"/>
  <c r="I413" i="4"/>
  <c r="G413" i="4"/>
  <c r="E413" i="4"/>
  <c r="M413" i="4"/>
  <c r="D413" i="4"/>
  <c r="J413" i="4"/>
  <c r="A413" i="4"/>
  <c r="C505" i="4"/>
  <c r="E194" i="4"/>
  <c r="J194" i="4"/>
  <c r="D194" i="4"/>
  <c r="I194" i="4"/>
  <c r="H194" i="4"/>
  <c r="B194" i="4"/>
  <c r="M194" i="4"/>
  <c r="G194" i="4"/>
  <c r="A194" i="4"/>
  <c r="F194" i="4"/>
  <c r="H47" i="4"/>
  <c r="B47" i="4"/>
  <c r="M47" i="4"/>
  <c r="G47" i="4"/>
  <c r="A47" i="4"/>
  <c r="F47" i="4"/>
  <c r="E47" i="4"/>
  <c r="J47" i="4"/>
  <c r="D47" i="4"/>
  <c r="I47" i="4"/>
  <c r="M557" i="4"/>
  <c r="G557" i="4"/>
  <c r="A557" i="4"/>
  <c r="F557" i="4"/>
  <c r="E557" i="4"/>
  <c r="I557" i="4"/>
  <c r="J557" i="4"/>
  <c r="H557" i="4"/>
  <c r="D557" i="4"/>
  <c r="B557" i="4"/>
  <c r="E389" i="4"/>
  <c r="J389" i="4"/>
  <c r="D389" i="4"/>
  <c r="I389" i="4"/>
  <c r="H389" i="4"/>
  <c r="B389" i="4"/>
  <c r="M389" i="4"/>
  <c r="G389" i="4"/>
  <c r="A389" i="4"/>
  <c r="F389" i="4"/>
  <c r="C351" i="4"/>
  <c r="C411" i="4"/>
  <c r="I301" i="4"/>
  <c r="H301" i="4"/>
  <c r="B301" i="4"/>
  <c r="E301" i="4"/>
  <c r="J301" i="4"/>
  <c r="G301" i="4"/>
  <c r="F301" i="4"/>
  <c r="D301" i="4"/>
  <c r="M301" i="4"/>
  <c r="A301" i="4"/>
  <c r="M460" i="4"/>
  <c r="G460" i="4"/>
  <c r="A460" i="4"/>
  <c r="F460" i="4"/>
  <c r="I460" i="4"/>
  <c r="J460" i="4"/>
  <c r="H460" i="4"/>
  <c r="E460" i="4"/>
  <c r="D460" i="4"/>
  <c r="B460" i="4"/>
  <c r="J378" i="4"/>
  <c r="D378" i="4"/>
  <c r="I378" i="4"/>
  <c r="H378" i="4"/>
  <c r="B378" i="4"/>
  <c r="M378" i="4"/>
  <c r="G378" i="4"/>
  <c r="A378" i="4"/>
  <c r="F378" i="4"/>
  <c r="E378" i="4"/>
  <c r="M327" i="4"/>
  <c r="G327" i="4"/>
  <c r="A327" i="4"/>
  <c r="F327" i="4"/>
  <c r="I327" i="4"/>
  <c r="H327" i="4"/>
  <c r="E327" i="4"/>
  <c r="D327" i="4"/>
  <c r="B327" i="4"/>
  <c r="J327" i="4"/>
  <c r="J81" i="4"/>
  <c r="D81" i="4"/>
  <c r="I81" i="4"/>
  <c r="H81" i="4"/>
  <c r="B81" i="4"/>
  <c r="M81" i="4"/>
  <c r="G81" i="4"/>
  <c r="A81" i="4"/>
  <c r="F81" i="4"/>
  <c r="E81" i="4"/>
  <c r="J402" i="4"/>
  <c r="D402" i="4"/>
  <c r="I402" i="4"/>
  <c r="H402" i="4"/>
  <c r="B402" i="4"/>
  <c r="M402" i="4"/>
  <c r="G402" i="4"/>
  <c r="A402" i="4"/>
  <c r="F402" i="4"/>
  <c r="E402" i="4"/>
  <c r="J604" i="4"/>
  <c r="D604" i="4"/>
  <c r="H604" i="4"/>
  <c r="A604" i="4"/>
  <c r="G604" i="4"/>
  <c r="M604" i="4"/>
  <c r="F604" i="4"/>
  <c r="I604" i="4"/>
  <c r="E604" i="4"/>
  <c r="B604" i="4"/>
  <c r="C601" i="4"/>
  <c r="C478" i="4"/>
  <c r="M490" i="4"/>
  <c r="G490" i="4"/>
  <c r="A490" i="4"/>
  <c r="F490" i="4"/>
  <c r="E490" i="4"/>
  <c r="J490" i="4"/>
  <c r="D490" i="4"/>
  <c r="I490" i="4"/>
  <c r="H490" i="4"/>
  <c r="B490" i="4"/>
  <c r="H471" i="4"/>
  <c r="B471" i="4"/>
  <c r="M471" i="4"/>
  <c r="G471" i="4"/>
  <c r="A471" i="4"/>
  <c r="F471" i="4"/>
  <c r="E471" i="4"/>
  <c r="J471" i="4"/>
  <c r="D471" i="4"/>
  <c r="I471" i="4"/>
  <c r="C298" i="4"/>
  <c r="F364" i="4"/>
  <c r="E364" i="4"/>
  <c r="J364" i="4"/>
  <c r="D364" i="4"/>
  <c r="I364" i="4"/>
  <c r="H364" i="4"/>
  <c r="B364" i="4"/>
  <c r="M364" i="4"/>
  <c r="G364" i="4"/>
  <c r="A364" i="4"/>
  <c r="M430" i="4"/>
  <c r="G430" i="4"/>
  <c r="A430" i="4"/>
  <c r="F430" i="4"/>
  <c r="I430" i="4"/>
  <c r="D430" i="4"/>
  <c r="B430" i="4"/>
  <c r="J430" i="4"/>
  <c r="H430" i="4"/>
  <c r="E430" i="4"/>
  <c r="C318" i="4"/>
  <c r="E260" i="4"/>
  <c r="J260" i="4"/>
  <c r="D260" i="4"/>
  <c r="I260" i="4"/>
  <c r="H260" i="4"/>
  <c r="B260" i="4"/>
  <c r="M260" i="4"/>
  <c r="G260" i="4"/>
  <c r="A260" i="4"/>
  <c r="F260" i="4"/>
  <c r="E152" i="4"/>
  <c r="J152" i="4"/>
  <c r="D152" i="4"/>
  <c r="I152" i="4"/>
  <c r="H152" i="4"/>
  <c r="B152" i="4"/>
  <c r="M152" i="4"/>
  <c r="G152" i="4"/>
  <c r="A152" i="4"/>
  <c r="F152" i="4"/>
  <c r="E44" i="4"/>
  <c r="J44" i="4"/>
  <c r="D44" i="4"/>
  <c r="I44" i="4"/>
  <c r="H44" i="4"/>
  <c r="B44" i="4"/>
  <c r="M44" i="4"/>
  <c r="G44" i="4"/>
  <c r="A44" i="4"/>
  <c r="F44" i="4"/>
  <c r="F247" i="4"/>
  <c r="E247" i="4"/>
  <c r="J247" i="4"/>
  <c r="D247" i="4"/>
  <c r="I247" i="4"/>
  <c r="H247" i="4"/>
  <c r="B247" i="4"/>
  <c r="M247" i="4"/>
  <c r="G247" i="4"/>
  <c r="A247" i="4"/>
  <c r="F139" i="4"/>
  <c r="E139" i="4"/>
  <c r="J139" i="4"/>
  <c r="D139" i="4"/>
  <c r="I139" i="4"/>
  <c r="H139" i="4"/>
  <c r="B139" i="4"/>
  <c r="M139" i="4"/>
  <c r="G139" i="4"/>
  <c r="A139" i="4"/>
  <c r="F31" i="4"/>
  <c r="E31" i="4"/>
  <c r="J31" i="4"/>
  <c r="D31" i="4"/>
  <c r="I31" i="4"/>
  <c r="H31" i="4"/>
  <c r="B31" i="4"/>
  <c r="M31" i="4"/>
  <c r="G31" i="4"/>
  <c r="A31" i="4"/>
  <c r="M234" i="4"/>
  <c r="G234" i="4"/>
  <c r="A234" i="4"/>
  <c r="F234" i="4"/>
  <c r="E234" i="4"/>
  <c r="J234" i="4"/>
  <c r="D234" i="4"/>
  <c r="I234" i="4"/>
  <c r="B234" i="4"/>
  <c r="H234" i="4"/>
  <c r="M126" i="4"/>
  <c r="G126" i="4"/>
  <c r="A126" i="4"/>
  <c r="F126" i="4"/>
  <c r="E126" i="4"/>
  <c r="J126" i="4"/>
  <c r="D126" i="4"/>
  <c r="I126" i="4"/>
  <c r="B126" i="4"/>
  <c r="H126" i="4"/>
  <c r="F578" i="4"/>
  <c r="H578" i="4"/>
  <c r="A578" i="4"/>
  <c r="G578" i="4"/>
  <c r="M578" i="4"/>
  <c r="E578" i="4"/>
  <c r="J578" i="4"/>
  <c r="I578" i="4"/>
  <c r="D578" i="4"/>
  <c r="B578" i="4"/>
  <c r="H221" i="4"/>
  <c r="B221" i="4"/>
  <c r="M221" i="4"/>
  <c r="G221" i="4"/>
  <c r="A221" i="4"/>
  <c r="F221" i="4"/>
  <c r="E221" i="4"/>
  <c r="J221" i="4"/>
  <c r="D221" i="4"/>
  <c r="I221" i="4"/>
  <c r="H113" i="4"/>
  <c r="B113" i="4"/>
  <c r="M113" i="4"/>
  <c r="G113" i="4"/>
  <c r="A113" i="4"/>
  <c r="F113" i="4"/>
  <c r="E113" i="4"/>
  <c r="J113" i="4"/>
  <c r="D113" i="4"/>
  <c r="I113" i="4"/>
  <c r="C383" i="4"/>
  <c r="I208" i="4"/>
  <c r="H208" i="4"/>
  <c r="B208" i="4"/>
  <c r="M208" i="4"/>
  <c r="G208" i="4"/>
  <c r="A208" i="4"/>
  <c r="F208" i="4"/>
  <c r="E208" i="4"/>
  <c r="J208" i="4"/>
  <c r="D208" i="4"/>
  <c r="I100" i="4"/>
  <c r="H100" i="4"/>
  <c r="B100" i="4"/>
  <c r="M100" i="4"/>
  <c r="G100" i="4"/>
  <c r="A100" i="4"/>
  <c r="F100" i="4"/>
  <c r="E100" i="4"/>
  <c r="J100" i="4"/>
  <c r="D100" i="4"/>
  <c r="J141" i="4"/>
  <c r="D141" i="4"/>
  <c r="I141" i="4"/>
  <c r="H141" i="4"/>
  <c r="B141" i="4"/>
  <c r="M141" i="4"/>
  <c r="G141" i="4"/>
  <c r="A141" i="4"/>
  <c r="F141" i="4"/>
  <c r="E141" i="4"/>
  <c r="C104" i="4"/>
  <c r="J659" i="4"/>
  <c r="D659" i="4"/>
  <c r="H659" i="4"/>
  <c r="A659" i="4"/>
  <c r="G659" i="4"/>
  <c r="F659" i="4"/>
  <c r="M659" i="4"/>
  <c r="E659" i="4"/>
  <c r="B659" i="4"/>
  <c r="I659" i="4"/>
  <c r="I537" i="4"/>
  <c r="H537" i="4"/>
  <c r="B537" i="4"/>
  <c r="M537" i="4"/>
  <c r="G537" i="4"/>
  <c r="A537" i="4"/>
  <c r="E537" i="4"/>
  <c r="D537" i="4"/>
  <c r="J537" i="4"/>
  <c r="F537" i="4"/>
  <c r="E474" i="4"/>
  <c r="J474" i="4"/>
  <c r="D474" i="4"/>
  <c r="I474" i="4"/>
  <c r="H474" i="4"/>
  <c r="B474" i="4"/>
  <c r="M474" i="4"/>
  <c r="G474" i="4"/>
  <c r="A474" i="4"/>
  <c r="F474" i="4"/>
  <c r="C561" i="4"/>
  <c r="F419" i="4"/>
  <c r="E419" i="4"/>
  <c r="H419" i="4"/>
  <c r="B419" i="4"/>
  <c r="M419" i="4"/>
  <c r="A419" i="4"/>
  <c r="J419" i="4"/>
  <c r="I419" i="4"/>
  <c r="G419" i="4"/>
  <c r="D419" i="4"/>
  <c r="C537" i="4"/>
  <c r="I404" i="4"/>
  <c r="H404" i="4"/>
  <c r="B404" i="4"/>
  <c r="G404" i="4"/>
  <c r="A404" i="4"/>
  <c r="F404" i="4"/>
  <c r="M404" i="4"/>
  <c r="E404" i="4"/>
  <c r="D404" i="4"/>
  <c r="J404" i="4"/>
  <c r="E347" i="4"/>
  <c r="J347" i="4"/>
  <c r="D347" i="4"/>
  <c r="I347" i="4"/>
  <c r="H347" i="4"/>
  <c r="B347" i="4"/>
  <c r="M347" i="4"/>
  <c r="G347" i="4"/>
  <c r="A347" i="4"/>
  <c r="F347" i="4"/>
  <c r="J421" i="4"/>
  <c r="D421" i="4"/>
  <c r="I421" i="4"/>
  <c r="F421" i="4"/>
  <c r="M421" i="4"/>
  <c r="A421" i="4"/>
  <c r="H421" i="4"/>
  <c r="G421" i="4"/>
  <c r="E421" i="4"/>
  <c r="B421" i="4"/>
  <c r="I367" i="4"/>
  <c r="H367" i="4"/>
  <c r="B367" i="4"/>
  <c r="M367" i="4"/>
  <c r="G367" i="4"/>
  <c r="A367" i="4"/>
  <c r="F367" i="4"/>
  <c r="E367" i="4"/>
  <c r="J367" i="4"/>
  <c r="D367" i="4"/>
  <c r="C335" i="4"/>
  <c r="M309" i="4"/>
  <c r="G309" i="4"/>
  <c r="A309" i="4"/>
  <c r="F309" i="4"/>
  <c r="I309" i="4"/>
  <c r="B309" i="4"/>
  <c r="J309" i="4"/>
  <c r="H309" i="4"/>
  <c r="E309" i="4"/>
  <c r="D309" i="4"/>
  <c r="J288" i="4"/>
  <c r="D288" i="4"/>
  <c r="F288" i="4"/>
  <c r="E288" i="4"/>
  <c r="M288" i="4"/>
  <c r="B288" i="4"/>
  <c r="I288" i="4"/>
  <c r="A288" i="4"/>
  <c r="H288" i="4"/>
  <c r="G288" i="4"/>
  <c r="C153" i="4"/>
  <c r="C45" i="4"/>
  <c r="C122" i="4"/>
  <c r="J99" i="4"/>
  <c r="D99" i="4"/>
  <c r="I99" i="4"/>
  <c r="H99" i="4"/>
  <c r="B99" i="4"/>
  <c r="M99" i="4"/>
  <c r="G99" i="4"/>
  <c r="A99" i="4"/>
  <c r="F99" i="4"/>
  <c r="E99" i="4"/>
  <c r="H582" i="4"/>
  <c r="B582" i="4"/>
  <c r="M582" i="4"/>
  <c r="F582" i="4"/>
  <c r="E582" i="4"/>
  <c r="D582" i="4"/>
  <c r="I582" i="4"/>
  <c r="A582" i="4"/>
  <c r="J582" i="4"/>
  <c r="G582" i="4"/>
  <c r="F546" i="4"/>
  <c r="E546" i="4"/>
  <c r="J546" i="4"/>
  <c r="D546" i="4"/>
  <c r="H546" i="4"/>
  <c r="B546" i="4"/>
  <c r="M546" i="4"/>
  <c r="I546" i="4"/>
  <c r="G546" i="4"/>
  <c r="A546" i="4"/>
  <c r="I654" i="4"/>
  <c r="H654" i="4"/>
  <c r="A654" i="4"/>
  <c r="D654" i="4"/>
  <c r="B654" i="4"/>
  <c r="J654" i="4"/>
  <c r="F654" i="4"/>
  <c r="M654" i="4"/>
  <c r="G654" i="4"/>
  <c r="E654" i="4"/>
  <c r="C586" i="4"/>
  <c r="I735" i="4"/>
  <c r="M735" i="4"/>
  <c r="G735" i="4"/>
  <c r="A735" i="4"/>
  <c r="F735" i="4"/>
  <c r="H735" i="4"/>
  <c r="E735" i="4"/>
  <c r="D735" i="4"/>
  <c r="B735" i="4"/>
  <c r="J735" i="4"/>
  <c r="E603" i="4"/>
  <c r="G603" i="4"/>
  <c r="M603" i="4"/>
  <c r="F603" i="4"/>
  <c r="D603" i="4"/>
  <c r="I603" i="4"/>
  <c r="B603" i="4"/>
  <c r="H603" i="4"/>
  <c r="A603" i="4"/>
  <c r="J603" i="4"/>
  <c r="H706" i="4"/>
  <c r="B706" i="4"/>
  <c r="E706" i="4"/>
  <c r="M706" i="4"/>
  <c r="D706" i="4"/>
  <c r="J706" i="4"/>
  <c r="A706" i="4"/>
  <c r="I706" i="4"/>
  <c r="G706" i="4"/>
  <c r="F706" i="4"/>
  <c r="F823" i="4"/>
  <c r="D823" i="4"/>
  <c r="J823" i="4"/>
  <c r="B823" i="4"/>
  <c r="I823" i="4"/>
  <c r="A823" i="4"/>
  <c r="H823" i="4"/>
  <c r="G823" i="4"/>
  <c r="E823" i="4"/>
  <c r="M823" i="4"/>
  <c r="E873" i="4"/>
  <c r="J873" i="4"/>
  <c r="D873" i="4"/>
  <c r="I873" i="4"/>
  <c r="B873" i="4"/>
  <c r="M873" i="4"/>
  <c r="A873" i="4"/>
  <c r="H873" i="4"/>
  <c r="G873" i="4"/>
  <c r="F873" i="4"/>
  <c r="J959" i="4"/>
  <c r="D959" i="4"/>
  <c r="I959" i="4"/>
  <c r="F959" i="4"/>
  <c r="E959" i="4"/>
  <c r="B959" i="4"/>
  <c r="H959" i="4"/>
  <c r="M959" i="4"/>
  <c r="G959" i="4"/>
  <c r="A959" i="4"/>
  <c r="E922" i="4"/>
  <c r="J922" i="4"/>
  <c r="D922" i="4"/>
  <c r="M922" i="4"/>
  <c r="G922" i="4"/>
  <c r="A922" i="4"/>
  <c r="I922" i="4"/>
  <c r="H922" i="4"/>
  <c r="B922" i="4"/>
  <c r="F922" i="4"/>
  <c r="J985" i="4"/>
  <c r="D985" i="4"/>
  <c r="H985" i="4"/>
  <c r="A985" i="4"/>
  <c r="G985" i="4"/>
  <c r="M985" i="4"/>
  <c r="F985" i="4"/>
  <c r="E985" i="4"/>
  <c r="I985" i="4"/>
  <c r="B985" i="4"/>
  <c r="M1013" i="4"/>
  <c r="G1013" i="4"/>
  <c r="A1013" i="4"/>
  <c r="H1013" i="4"/>
  <c r="F1013" i="4"/>
  <c r="J1013" i="4"/>
  <c r="I1013" i="4"/>
  <c r="E1013" i="4"/>
  <c r="D1013" i="4"/>
  <c r="B1013" i="4"/>
  <c r="H1090" i="4"/>
  <c r="B1090" i="4"/>
  <c r="F1090" i="4"/>
  <c r="E1090" i="4"/>
  <c r="D1090" i="4"/>
  <c r="M1090" i="4"/>
  <c r="A1090" i="4"/>
  <c r="J1090" i="4"/>
  <c r="I1090" i="4"/>
  <c r="G1090" i="4"/>
  <c r="J653" i="4"/>
  <c r="D653" i="4"/>
  <c r="G653" i="4"/>
  <c r="H653" i="4"/>
  <c r="F653" i="4"/>
  <c r="M653" i="4"/>
  <c r="E653" i="4"/>
  <c r="B653" i="4"/>
  <c r="I653" i="4"/>
  <c r="A653" i="4"/>
  <c r="I660" i="4"/>
  <c r="J660" i="4"/>
  <c r="B660" i="4"/>
  <c r="D660" i="4"/>
  <c r="A660" i="4"/>
  <c r="H660" i="4"/>
  <c r="F660" i="4"/>
  <c r="M660" i="4"/>
  <c r="G660" i="4"/>
  <c r="E660" i="4"/>
  <c r="I793" i="4"/>
  <c r="H793" i="4"/>
  <c r="B793" i="4"/>
  <c r="M793" i="4"/>
  <c r="G793" i="4"/>
  <c r="A793" i="4"/>
  <c r="F793" i="4"/>
  <c r="E793" i="4"/>
  <c r="D793" i="4"/>
  <c r="J793" i="4"/>
  <c r="C707" i="4"/>
  <c r="M743" i="4"/>
  <c r="G743" i="4"/>
  <c r="A743" i="4"/>
  <c r="E743" i="4"/>
  <c r="J743" i="4"/>
  <c r="D743" i="4"/>
  <c r="I743" i="4"/>
  <c r="H743" i="4"/>
  <c r="F743" i="4"/>
  <c r="B743" i="4"/>
  <c r="E727" i="4"/>
  <c r="I727" i="4"/>
  <c r="H727" i="4"/>
  <c r="B727" i="4"/>
  <c r="D727" i="4"/>
  <c r="M727" i="4"/>
  <c r="A727" i="4"/>
  <c r="J727" i="4"/>
  <c r="G727" i="4"/>
  <c r="F727" i="4"/>
  <c r="E773" i="4"/>
  <c r="J773" i="4"/>
  <c r="D773" i="4"/>
  <c r="I773" i="4"/>
  <c r="H773" i="4"/>
  <c r="B773" i="4"/>
  <c r="M773" i="4"/>
  <c r="G773" i="4"/>
  <c r="F773" i="4"/>
  <c r="A773" i="4"/>
  <c r="M828" i="4"/>
  <c r="G828" i="4"/>
  <c r="A828" i="4"/>
  <c r="D828" i="4"/>
  <c r="F828" i="4"/>
  <c r="E828" i="4"/>
  <c r="J828" i="4"/>
  <c r="B828" i="4"/>
  <c r="I828" i="4"/>
  <c r="H828" i="4"/>
  <c r="F854" i="4"/>
  <c r="E854" i="4"/>
  <c r="H854" i="4"/>
  <c r="G854" i="4"/>
  <c r="D854" i="4"/>
  <c r="J854" i="4"/>
  <c r="I854" i="4"/>
  <c r="B854" i="4"/>
  <c r="M854" i="4"/>
  <c r="A854" i="4"/>
  <c r="M908" i="4"/>
  <c r="G908" i="4"/>
  <c r="A908" i="4"/>
  <c r="F908" i="4"/>
  <c r="I908" i="4"/>
  <c r="J908" i="4"/>
  <c r="D908" i="4"/>
  <c r="B908" i="4"/>
  <c r="H908" i="4"/>
  <c r="E908" i="4"/>
  <c r="E952" i="4"/>
  <c r="J952" i="4"/>
  <c r="D952" i="4"/>
  <c r="M952" i="4"/>
  <c r="G952" i="4"/>
  <c r="A952" i="4"/>
  <c r="I952" i="4"/>
  <c r="F952" i="4"/>
  <c r="B952" i="4"/>
  <c r="H952" i="4"/>
  <c r="F1026" i="4"/>
  <c r="I1026" i="4"/>
  <c r="E1026" i="4"/>
  <c r="M1026" i="4"/>
  <c r="D1026" i="4"/>
  <c r="B1026" i="4"/>
  <c r="J1026" i="4"/>
  <c r="A1026" i="4"/>
  <c r="H1026" i="4"/>
  <c r="G1026" i="4"/>
  <c r="F1032" i="4"/>
  <c r="J1032" i="4"/>
  <c r="D1032" i="4"/>
  <c r="I1032" i="4"/>
  <c r="H1032" i="4"/>
  <c r="G1032" i="4"/>
  <c r="E1032" i="4"/>
  <c r="B1032" i="4"/>
  <c r="M1032" i="4"/>
  <c r="A1032" i="4"/>
  <c r="M1065" i="4"/>
  <c r="G1065" i="4"/>
  <c r="A1065" i="4"/>
  <c r="J1065" i="4"/>
  <c r="F1065" i="4"/>
  <c r="I1065" i="4"/>
  <c r="H1065" i="4"/>
  <c r="E1065" i="4"/>
  <c r="D1065" i="4"/>
  <c r="B1065" i="4"/>
  <c r="C568" i="4"/>
  <c r="F534" i="4"/>
  <c r="E534" i="4"/>
  <c r="J534" i="4"/>
  <c r="D534" i="4"/>
  <c r="H534" i="4"/>
  <c r="B534" i="4"/>
  <c r="G534" i="4"/>
  <c r="A534" i="4"/>
  <c r="M534" i="4"/>
  <c r="I534" i="4"/>
  <c r="I642" i="4"/>
  <c r="M642" i="4"/>
  <c r="F642" i="4"/>
  <c r="D642" i="4"/>
  <c r="B642" i="4"/>
  <c r="J642" i="4"/>
  <c r="A642" i="4"/>
  <c r="G642" i="4"/>
  <c r="H642" i="4"/>
  <c r="E642" i="4"/>
  <c r="I575" i="4"/>
  <c r="D575" i="4"/>
  <c r="J575" i="4"/>
  <c r="B575" i="4"/>
  <c r="H575" i="4"/>
  <c r="A575" i="4"/>
  <c r="M575" i="4"/>
  <c r="F575" i="4"/>
  <c r="E575" i="4"/>
  <c r="G575" i="4"/>
  <c r="J689" i="4"/>
  <c r="D689" i="4"/>
  <c r="I689" i="4"/>
  <c r="B689" i="4"/>
  <c r="H689" i="4"/>
  <c r="A689" i="4"/>
  <c r="G689" i="4"/>
  <c r="M689" i="4"/>
  <c r="F689" i="4"/>
  <c r="E689" i="4"/>
  <c r="E591" i="4"/>
  <c r="D591" i="4"/>
  <c r="J591" i="4"/>
  <c r="I591" i="4"/>
  <c r="B591" i="4"/>
  <c r="G591" i="4"/>
  <c r="M591" i="4"/>
  <c r="H591" i="4"/>
  <c r="F591" i="4"/>
  <c r="A591" i="4"/>
  <c r="C739" i="4"/>
  <c r="C691" i="4"/>
  <c r="E694" i="4"/>
  <c r="I694" i="4"/>
  <c r="B694" i="4"/>
  <c r="H694" i="4"/>
  <c r="A694" i="4"/>
  <c r="G694" i="4"/>
  <c r="M694" i="4"/>
  <c r="F694" i="4"/>
  <c r="J694" i="4"/>
  <c r="D694" i="4"/>
  <c r="C714" i="4"/>
  <c r="C793" i="4"/>
  <c r="C828" i="4"/>
  <c r="E810" i="4"/>
  <c r="H810" i="4"/>
  <c r="A810" i="4"/>
  <c r="G810" i="4"/>
  <c r="M810" i="4"/>
  <c r="F810" i="4"/>
  <c r="D810" i="4"/>
  <c r="J810" i="4"/>
  <c r="I810" i="4"/>
  <c r="B810" i="4"/>
  <c r="C841" i="4"/>
  <c r="E861" i="4"/>
  <c r="J861" i="4"/>
  <c r="D861" i="4"/>
  <c r="H861" i="4"/>
  <c r="G861" i="4"/>
  <c r="F861" i="4"/>
  <c r="M861" i="4"/>
  <c r="B861" i="4"/>
  <c r="A861" i="4"/>
  <c r="I861" i="4"/>
  <c r="I944" i="4"/>
  <c r="J944" i="4"/>
  <c r="B944" i="4"/>
  <c r="H944" i="4"/>
  <c r="A944" i="4"/>
  <c r="M944" i="4"/>
  <c r="F944" i="4"/>
  <c r="E944" i="4"/>
  <c r="G944" i="4"/>
  <c r="D944" i="4"/>
  <c r="I999" i="4"/>
  <c r="J999" i="4"/>
  <c r="B999" i="4"/>
  <c r="H999" i="4"/>
  <c r="A999" i="4"/>
  <c r="E999" i="4"/>
  <c r="G999" i="4"/>
  <c r="F999" i="4"/>
  <c r="D999" i="4"/>
  <c r="M999" i="4"/>
  <c r="E910" i="4"/>
  <c r="J910" i="4"/>
  <c r="D910" i="4"/>
  <c r="M910" i="4"/>
  <c r="G910" i="4"/>
  <c r="A910" i="4"/>
  <c r="I910" i="4"/>
  <c r="H910" i="4"/>
  <c r="F910" i="4"/>
  <c r="B910" i="4"/>
  <c r="H975" i="4"/>
  <c r="B975" i="4"/>
  <c r="I975" i="4"/>
  <c r="A975" i="4"/>
  <c r="G975" i="4"/>
  <c r="M975" i="4"/>
  <c r="F975" i="4"/>
  <c r="D975" i="4"/>
  <c r="J975" i="4"/>
  <c r="E975" i="4"/>
  <c r="F983" i="4"/>
  <c r="M983" i="4"/>
  <c r="E983" i="4"/>
  <c r="D983" i="4"/>
  <c r="J983" i="4"/>
  <c r="I983" i="4"/>
  <c r="B983" i="4"/>
  <c r="H983" i="4"/>
  <c r="A983" i="4"/>
  <c r="G983" i="4"/>
  <c r="J1041" i="4"/>
  <c r="D1041" i="4"/>
  <c r="I1041" i="4"/>
  <c r="H1041" i="4"/>
  <c r="B1041" i="4"/>
  <c r="M1041" i="4"/>
  <c r="G1041" i="4"/>
  <c r="A1041" i="4"/>
  <c r="F1041" i="4"/>
  <c r="E1041" i="4"/>
  <c r="C1047" i="4"/>
  <c r="M1045" i="4"/>
  <c r="G1045" i="4"/>
  <c r="A1045" i="4"/>
  <c r="D1045" i="4"/>
  <c r="J1045" i="4"/>
  <c r="I1045" i="4"/>
  <c r="B1045" i="4"/>
  <c r="H1045" i="4"/>
  <c r="F1045" i="4"/>
  <c r="E1045" i="4"/>
  <c r="H1078" i="4"/>
  <c r="B1078" i="4"/>
  <c r="F1078" i="4"/>
  <c r="E1078" i="4"/>
  <c r="D1078" i="4"/>
  <c r="I1078" i="4"/>
  <c r="A1078" i="4"/>
  <c r="M1078" i="4"/>
  <c r="J1078" i="4"/>
  <c r="G1078" i="4"/>
  <c r="M533" i="4"/>
  <c r="G533" i="4"/>
  <c r="A533" i="4"/>
  <c r="F533" i="4"/>
  <c r="E533" i="4"/>
  <c r="I533" i="4"/>
  <c r="B533" i="4"/>
  <c r="J533" i="4"/>
  <c r="H533" i="4"/>
  <c r="D533" i="4"/>
  <c r="C700" i="4"/>
  <c r="C613" i="4"/>
  <c r="E541" i="4"/>
  <c r="J541" i="4"/>
  <c r="D541" i="4"/>
  <c r="I541" i="4"/>
  <c r="M541" i="4"/>
  <c r="G541" i="4"/>
  <c r="A541" i="4"/>
  <c r="F541" i="4"/>
  <c r="B541" i="4"/>
  <c r="H541" i="4"/>
  <c r="C658" i="4"/>
  <c r="C677" i="4"/>
  <c r="H801" i="4"/>
  <c r="B801" i="4"/>
  <c r="J801" i="4"/>
  <c r="I801" i="4"/>
  <c r="A801" i="4"/>
  <c r="G801" i="4"/>
  <c r="M801" i="4"/>
  <c r="F801" i="4"/>
  <c r="E801" i="4"/>
  <c r="D801" i="4"/>
  <c r="C765" i="4"/>
  <c r="H758" i="4"/>
  <c r="B758" i="4"/>
  <c r="E758" i="4"/>
  <c r="F758" i="4"/>
  <c r="M758" i="4"/>
  <c r="D758" i="4"/>
  <c r="J758" i="4"/>
  <c r="A758" i="4"/>
  <c r="I758" i="4"/>
  <c r="G758" i="4"/>
  <c r="M789" i="4"/>
  <c r="G789" i="4"/>
  <c r="A789" i="4"/>
  <c r="F789" i="4"/>
  <c r="E789" i="4"/>
  <c r="J789" i="4"/>
  <c r="D789" i="4"/>
  <c r="B789" i="4"/>
  <c r="I789" i="4"/>
  <c r="H789" i="4"/>
  <c r="M835" i="4"/>
  <c r="G835" i="4"/>
  <c r="A835" i="4"/>
  <c r="F835" i="4"/>
  <c r="I835" i="4"/>
  <c r="B835" i="4"/>
  <c r="J835" i="4"/>
  <c r="H835" i="4"/>
  <c r="E835" i="4"/>
  <c r="D835" i="4"/>
  <c r="J862" i="4"/>
  <c r="D862" i="4"/>
  <c r="I862" i="4"/>
  <c r="M862" i="4"/>
  <c r="E862" i="4"/>
  <c r="B862" i="4"/>
  <c r="A862" i="4"/>
  <c r="H862" i="4"/>
  <c r="G862" i="4"/>
  <c r="F862" i="4"/>
  <c r="C900" i="4"/>
  <c r="C892" i="4"/>
  <c r="H933" i="4"/>
  <c r="B933" i="4"/>
  <c r="I933" i="4"/>
  <c r="A933" i="4"/>
  <c r="G933" i="4"/>
  <c r="D933" i="4"/>
  <c r="F933" i="4"/>
  <c r="E933" i="4"/>
  <c r="M933" i="4"/>
  <c r="J933" i="4"/>
  <c r="E942" i="4"/>
  <c r="G942" i="4"/>
  <c r="M942" i="4"/>
  <c r="F942" i="4"/>
  <c r="I942" i="4"/>
  <c r="B942" i="4"/>
  <c r="H942" i="4"/>
  <c r="D942" i="4"/>
  <c r="A942" i="4"/>
  <c r="J942" i="4"/>
  <c r="C1009" i="4"/>
  <c r="C1024" i="4"/>
  <c r="C1085" i="4"/>
  <c r="M1051" i="4"/>
  <c r="G1051" i="4"/>
  <c r="A1051" i="4"/>
  <c r="E1051" i="4"/>
  <c r="D1051" i="4"/>
  <c r="J1051" i="4"/>
  <c r="I1051" i="4"/>
  <c r="B1051" i="4"/>
  <c r="H1051" i="4"/>
  <c r="F1051" i="4"/>
  <c r="E1053" i="4"/>
  <c r="H1053" i="4"/>
  <c r="A1053" i="4"/>
  <c r="G1053" i="4"/>
  <c r="M1053" i="4"/>
  <c r="F1053" i="4"/>
  <c r="D1053" i="4"/>
  <c r="J1053" i="4"/>
  <c r="B1053" i="4"/>
  <c r="I1053" i="4"/>
  <c r="E1087" i="4"/>
  <c r="I1087" i="4"/>
  <c r="H1087" i="4"/>
  <c r="B1087" i="4"/>
  <c r="G1087" i="4"/>
  <c r="F1087" i="4"/>
  <c r="D1087" i="4"/>
  <c r="M1087" i="4"/>
  <c r="A1087" i="4"/>
  <c r="J1087" i="4"/>
  <c r="H667" i="4"/>
  <c r="B667" i="4"/>
  <c r="G667" i="4"/>
  <c r="E667" i="4"/>
  <c r="D667" i="4"/>
  <c r="M667" i="4"/>
  <c r="A667" i="4"/>
  <c r="I667" i="4"/>
  <c r="J667" i="4"/>
  <c r="F667" i="4"/>
  <c r="C592" i="4"/>
  <c r="C528" i="4"/>
  <c r="C648" i="4"/>
  <c r="F726" i="4"/>
  <c r="J726" i="4"/>
  <c r="D726" i="4"/>
  <c r="I726" i="4"/>
  <c r="E726" i="4"/>
  <c r="B726" i="4"/>
  <c r="M726" i="4"/>
  <c r="A726" i="4"/>
  <c r="G726" i="4"/>
  <c r="H726" i="4"/>
  <c r="I729" i="4"/>
  <c r="M729" i="4"/>
  <c r="G729" i="4"/>
  <c r="A729" i="4"/>
  <c r="F729" i="4"/>
  <c r="B729" i="4"/>
  <c r="J729" i="4"/>
  <c r="H729" i="4"/>
  <c r="E729" i="4"/>
  <c r="D729" i="4"/>
  <c r="E646" i="4"/>
  <c r="D646" i="4"/>
  <c r="M646" i="4"/>
  <c r="J646" i="4"/>
  <c r="B646" i="4"/>
  <c r="I646" i="4"/>
  <c r="A646" i="4"/>
  <c r="G646" i="4"/>
  <c r="H646" i="4"/>
  <c r="F646" i="4"/>
  <c r="F760" i="4"/>
  <c r="I760" i="4"/>
  <c r="G760" i="4"/>
  <c r="E760" i="4"/>
  <c r="M760" i="4"/>
  <c r="D760" i="4"/>
  <c r="B760" i="4"/>
  <c r="J760" i="4"/>
  <c r="H760" i="4"/>
  <c r="A760" i="4"/>
  <c r="C749" i="4"/>
  <c r="J856" i="4"/>
  <c r="D856" i="4"/>
  <c r="I856" i="4"/>
  <c r="H856" i="4"/>
  <c r="G856" i="4"/>
  <c r="F856" i="4"/>
  <c r="B856" i="4"/>
  <c r="A856" i="4"/>
  <c r="M856" i="4"/>
  <c r="E856" i="4"/>
  <c r="C776" i="4"/>
  <c r="J819" i="4"/>
  <c r="D819" i="4"/>
  <c r="M819" i="4"/>
  <c r="F819" i="4"/>
  <c r="B819" i="4"/>
  <c r="I819" i="4"/>
  <c r="A819" i="4"/>
  <c r="H819" i="4"/>
  <c r="G819" i="4"/>
  <c r="E819" i="4"/>
  <c r="H894" i="4"/>
  <c r="B894" i="4"/>
  <c r="G894" i="4"/>
  <c r="F894" i="4"/>
  <c r="M894" i="4"/>
  <c r="E894" i="4"/>
  <c r="D894" i="4"/>
  <c r="A894" i="4"/>
  <c r="J894" i="4"/>
  <c r="I894" i="4"/>
  <c r="M877" i="4"/>
  <c r="G877" i="4"/>
  <c r="A877" i="4"/>
  <c r="F877" i="4"/>
  <c r="E877" i="4"/>
  <c r="J877" i="4"/>
  <c r="I877" i="4"/>
  <c r="H877" i="4"/>
  <c r="D877" i="4"/>
  <c r="B877" i="4"/>
  <c r="C924" i="4"/>
  <c r="F947" i="4"/>
  <c r="G947" i="4"/>
  <c r="M947" i="4"/>
  <c r="E947" i="4"/>
  <c r="J947" i="4"/>
  <c r="I947" i="4"/>
  <c r="B947" i="4"/>
  <c r="A947" i="4"/>
  <c r="H947" i="4"/>
  <c r="D947" i="4"/>
  <c r="I912" i="4"/>
  <c r="H912" i="4"/>
  <c r="B912" i="4"/>
  <c r="E912" i="4"/>
  <c r="G912" i="4"/>
  <c r="F912" i="4"/>
  <c r="D912" i="4"/>
  <c r="A912" i="4"/>
  <c r="M912" i="4"/>
  <c r="J912" i="4"/>
  <c r="C914" i="4"/>
  <c r="C929" i="4"/>
  <c r="C1040" i="4"/>
  <c r="C1007" i="4"/>
  <c r="J1048" i="4"/>
  <c r="D1048" i="4"/>
  <c r="H1048" i="4"/>
  <c r="A1048" i="4"/>
  <c r="G1048" i="4"/>
  <c r="M1048" i="4"/>
  <c r="F1048" i="4"/>
  <c r="E1048" i="4"/>
  <c r="I1048" i="4"/>
  <c r="B1048" i="4"/>
  <c r="C1032" i="4"/>
  <c r="F1080" i="4"/>
  <c r="J1080" i="4"/>
  <c r="D1080" i="4"/>
  <c r="I1080" i="4"/>
  <c r="B1080" i="4"/>
  <c r="M1080" i="4"/>
  <c r="A1080" i="4"/>
  <c r="G1080" i="4"/>
  <c r="H1080" i="4"/>
  <c r="E1080" i="4"/>
  <c r="C1074" i="4"/>
  <c r="J734" i="4"/>
  <c r="D734" i="4"/>
  <c r="H734" i="4"/>
  <c r="B734" i="4"/>
  <c r="M734" i="4"/>
  <c r="G734" i="4"/>
  <c r="A734" i="4"/>
  <c r="I734" i="4"/>
  <c r="F734" i="4"/>
  <c r="E734" i="4"/>
  <c r="C618" i="4"/>
  <c r="E547" i="4"/>
  <c r="J547" i="4"/>
  <c r="D547" i="4"/>
  <c r="I547" i="4"/>
  <c r="M547" i="4"/>
  <c r="G547" i="4"/>
  <c r="A547" i="4"/>
  <c r="H547" i="4"/>
  <c r="F547" i="4"/>
  <c r="B547" i="4"/>
  <c r="M662" i="4"/>
  <c r="G662" i="4"/>
  <c r="A662" i="4"/>
  <c r="E662" i="4"/>
  <c r="J662" i="4"/>
  <c r="B662" i="4"/>
  <c r="I662" i="4"/>
  <c r="F662" i="4"/>
  <c r="H662" i="4"/>
  <c r="D662" i="4"/>
  <c r="C812" i="4"/>
  <c r="F687" i="4"/>
  <c r="G687" i="4"/>
  <c r="M687" i="4"/>
  <c r="E687" i="4"/>
  <c r="D687" i="4"/>
  <c r="J687" i="4"/>
  <c r="I687" i="4"/>
  <c r="H687" i="4"/>
  <c r="B687" i="4"/>
  <c r="A687" i="4"/>
  <c r="C831" i="4"/>
  <c r="C669" i="4"/>
  <c r="J811" i="4"/>
  <c r="D811" i="4"/>
  <c r="I811" i="4"/>
  <c r="B811" i="4"/>
  <c r="H811" i="4"/>
  <c r="A811" i="4"/>
  <c r="G811" i="4"/>
  <c r="M811" i="4"/>
  <c r="F811" i="4"/>
  <c r="E811" i="4"/>
  <c r="I769" i="4"/>
  <c r="M769" i="4"/>
  <c r="G769" i="4"/>
  <c r="A769" i="4"/>
  <c r="F769" i="4"/>
  <c r="B769" i="4"/>
  <c r="J769" i="4"/>
  <c r="H769" i="4"/>
  <c r="E769" i="4"/>
  <c r="D769" i="4"/>
  <c r="H764" i="4"/>
  <c r="B764" i="4"/>
  <c r="E764" i="4"/>
  <c r="I764" i="4"/>
  <c r="G764" i="4"/>
  <c r="F764" i="4"/>
  <c r="M764" i="4"/>
  <c r="D764" i="4"/>
  <c r="J764" i="4"/>
  <c r="A764" i="4"/>
  <c r="M795" i="4"/>
  <c r="G795" i="4"/>
  <c r="A795" i="4"/>
  <c r="F795" i="4"/>
  <c r="E795" i="4"/>
  <c r="J795" i="4"/>
  <c r="D795" i="4"/>
  <c r="I795" i="4"/>
  <c r="H795" i="4"/>
  <c r="B795" i="4"/>
  <c r="I845" i="4"/>
  <c r="H845" i="4"/>
  <c r="B845" i="4"/>
  <c r="M845" i="4"/>
  <c r="E845" i="4"/>
  <c r="A845" i="4"/>
  <c r="J845" i="4"/>
  <c r="G845" i="4"/>
  <c r="F845" i="4"/>
  <c r="D845" i="4"/>
  <c r="H846" i="4"/>
  <c r="B846" i="4"/>
  <c r="M846" i="4"/>
  <c r="G846" i="4"/>
  <c r="A846" i="4"/>
  <c r="J846" i="4"/>
  <c r="I846" i="4"/>
  <c r="F846" i="4"/>
  <c r="E846" i="4"/>
  <c r="D846" i="4"/>
  <c r="C873" i="4"/>
  <c r="C960" i="4"/>
  <c r="C836" i="4"/>
  <c r="J904" i="4"/>
  <c r="D904" i="4"/>
  <c r="M904" i="4"/>
  <c r="G904" i="4"/>
  <c r="A904" i="4"/>
  <c r="B904" i="4"/>
  <c r="I904" i="4"/>
  <c r="H904" i="4"/>
  <c r="F904" i="4"/>
  <c r="E904" i="4"/>
  <c r="I938" i="4"/>
  <c r="H938" i="4"/>
  <c r="A938" i="4"/>
  <c r="G938" i="4"/>
  <c r="D938" i="4"/>
  <c r="M938" i="4"/>
  <c r="E938" i="4"/>
  <c r="B938" i="4"/>
  <c r="J938" i="4"/>
  <c r="F938" i="4"/>
  <c r="C936" i="4"/>
  <c r="E948" i="4"/>
  <c r="H948" i="4"/>
  <c r="A948" i="4"/>
  <c r="G948" i="4"/>
  <c r="D948" i="4"/>
  <c r="J948" i="4"/>
  <c r="I948" i="4"/>
  <c r="F948" i="4"/>
  <c r="B948" i="4"/>
  <c r="M948" i="4"/>
  <c r="C1027" i="4"/>
  <c r="I1023" i="4"/>
  <c r="F1023" i="4"/>
  <c r="H1023" i="4"/>
  <c r="G1023" i="4"/>
  <c r="E1023" i="4"/>
  <c r="M1023" i="4"/>
  <c r="D1023" i="4"/>
  <c r="B1023" i="4"/>
  <c r="J1023" i="4"/>
  <c r="A1023" i="4"/>
  <c r="M1031" i="4"/>
  <c r="G1031" i="4"/>
  <c r="A1031" i="4"/>
  <c r="E1031" i="4"/>
  <c r="J1031" i="4"/>
  <c r="D1031" i="4"/>
  <c r="I1031" i="4"/>
  <c r="H1031" i="4"/>
  <c r="F1031" i="4"/>
  <c r="B1031" i="4"/>
  <c r="C1057" i="4"/>
  <c r="F1066" i="4"/>
  <c r="D1066" i="4"/>
  <c r="H1066" i="4"/>
  <c r="A1066" i="4"/>
  <c r="I1066" i="4"/>
  <c r="G1066" i="4"/>
  <c r="E1066" i="4"/>
  <c r="M1066" i="4"/>
  <c r="B1066" i="4"/>
  <c r="J1066" i="4"/>
  <c r="F1093" i="4"/>
  <c r="E1093" i="4"/>
  <c r="I1093" i="4"/>
  <c r="H1093" i="4"/>
  <c r="B1093" i="4"/>
  <c r="M1093" i="4"/>
  <c r="J1093" i="4"/>
  <c r="G1093" i="4"/>
  <c r="D1093" i="4"/>
  <c r="A1093" i="4"/>
  <c r="F620" i="4"/>
  <c r="I620" i="4"/>
  <c r="B620" i="4"/>
  <c r="H620" i="4"/>
  <c r="A620" i="4"/>
  <c r="G620" i="4"/>
  <c r="D620" i="4"/>
  <c r="M620" i="4"/>
  <c r="J620" i="4"/>
  <c r="E620" i="4"/>
  <c r="C621" i="4"/>
  <c r="C437" i="4"/>
  <c r="C490" i="4"/>
  <c r="M502" i="4"/>
  <c r="G502" i="4"/>
  <c r="A502" i="4"/>
  <c r="F502" i="4"/>
  <c r="E502" i="4"/>
  <c r="J502" i="4"/>
  <c r="D502" i="4"/>
  <c r="I502" i="4"/>
  <c r="H502" i="4"/>
  <c r="B502" i="4"/>
  <c r="H483" i="4"/>
  <c r="B483" i="4"/>
  <c r="M483" i="4"/>
  <c r="G483" i="4"/>
  <c r="A483" i="4"/>
  <c r="F483" i="4"/>
  <c r="E483" i="4"/>
  <c r="J483" i="4"/>
  <c r="D483" i="4"/>
  <c r="I483" i="4"/>
  <c r="C475" i="4"/>
  <c r="C434" i="4"/>
  <c r="C310" i="4"/>
  <c r="F376" i="4"/>
  <c r="E376" i="4"/>
  <c r="J376" i="4"/>
  <c r="D376" i="4"/>
  <c r="I376" i="4"/>
  <c r="H376" i="4"/>
  <c r="B376" i="4"/>
  <c r="M376" i="4"/>
  <c r="G376" i="4"/>
  <c r="A376" i="4"/>
  <c r="M454" i="4"/>
  <c r="G454" i="4"/>
  <c r="A454" i="4"/>
  <c r="F454" i="4"/>
  <c r="I454" i="4"/>
  <c r="D454" i="4"/>
  <c r="B454" i="4"/>
  <c r="J454" i="4"/>
  <c r="H454" i="4"/>
  <c r="E454" i="4"/>
  <c r="C468" i="4"/>
  <c r="C462" i="4"/>
  <c r="E272" i="4"/>
  <c r="J272" i="4"/>
  <c r="D272" i="4"/>
  <c r="I272" i="4"/>
  <c r="H272" i="4"/>
  <c r="B272" i="4"/>
  <c r="M272" i="4"/>
  <c r="G272" i="4"/>
  <c r="A272" i="4"/>
  <c r="F272" i="4"/>
  <c r="E164" i="4"/>
  <c r="J164" i="4"/>
  <c r="D164" i="4"/>
  <c r="I164" i="4"/>
  <c r="H164" i="4"/>
  <c r="B164" i="4"/>
  <c r="M164" i="4"/>
  <c r="G164" i="4"/>
  <c r="A164" i="4"/>
  <c r="F164" i="4"/>
  <c r="E56" i="4"/>
  <c r="J56" i="4"/>
  <c r="D56" i="4"/>
  <c r="I56" i="4"/>
  <c r="H56" i="4"/>
  <c r="B56" i="4"/>
  <c r="M56" i="4"/>
  <c r="G56" i="4"/>
  <c r="A56" i="4"/>
  <c r="F56" i="4"/>
  <c r="F259" i="4"/>
  <c r="E259" i="4"/>
  <c r="J259" i="4"/>
  <c r="D259" i="4"/>
  <c r="I259" i="4"/>
  <c r="H259" i="4"/>
  <c r="B259" i="4"/>
  <c r="A259" i="4"/>
  <c r="M259" i="4"/>
  <c r="G259" i="4"/>
  <c r="F151" i="4"/>
  <c r="E151" i="4"/>
  <c r="J151" i="4"/>
  <c r="D151" i="4"/>
  <c r="I151" i="4"/>
  <c r="H151" i="4"/>
  <c r="B151" i="4"/>
  <c r="A151" i="4"/>
  <c r="M151" i="4"/>
  <c r="G151" i="4"/>
  <c r="F43" i="4"/>
  <c r="E43" i="4"/>
  <c r="J43" i="4"/>
  <c r="D43" i="4"/>
  <c r="I43" i="4"/>
  <c r="H43" i="4"/>
  <c r="B43" i="4"/>
  <c r="A43" i="4"/>
  <c r="M43" i="4"/>
  <c r="G43" i="4"/>
  <c r="M246" i="4"/>
  <c r="G246" i="4"/>
  <c r="A246" i="4"/>
  <c r="F246" i="4"/>
  <c r="E246" i="4"/>
  <c r="J246" i="4"/>
  <c r="D246" i="4"/>
  <c r="I246" i="4"/>
  <c r="H246" i="4"/>
  <c r="B246" i="4"/>
  <c r="M138" i="4"/>
  <c r="G138" i="4"/>
  <c r="A138" i="4"/>
  <c r="F138" i="4"/>
  <c r="E138" i="4"/>
  <c r="J138" i="4"/>
  <c r="D138" i="4"/>
  <c r="I138" i="4"/>
  <c r="H138" i="4"/>
  <c r="B138" i="4"/>
  <c r="M30" i="4"/>
  <c r="G30" i="4"/>
  <c r="A30" i="4"/>
  <c r="F30" i="4"/>
  <c r="E30" i="4"/>
  <c r="J30" i="4"/>
  <c r="D30" i="4"/>
  <c r="I30" i="4"/>
  <c r="H30" i="4"/>
  <c r="B30" i="4"/>
  <c r="H233" i="4"/>
  <c r="B233" i="4"/>
  <c r="M233" i="4"/>
  <c r="G233" i="4"/>
  <c r="A233" i="4"/>
  <c r="F233" i="4"/>
  <c r="E233" i="4"/>
  <c r="J233" i="4"/>
  <c r="D233" i="4"/>
  <c r="I233" i="4"/>
  <c r="H125" i="4"/>
  <c r="B125" i="4"/>
  <c r="M125" i="4"/>
  <c r="G125" i="4"/>
  <c r="A125" i="4"/>
  <c r="F125" i="4"/>
  <c r="E125" i="4"/>
  <c r="J125" i="4"/>
  <c r="D125" i="4"/>
  <c r="I125" i="4"/>
  <c r="J481" i="4"/>
  <c r="D481" i="4"/>
  <c r="I481" i="4"/>
  <c r="H481" i="4"/>
  <c r="B481" i="4"/>
  <c r="M481" i="4"/>
  <c r="G481" i="4"/>
  <c r="A481" i="4"/>
  <c r="F481" i="4"/>
  <c r="E481" i="4"/>
  <c r="I220" i="4"/>
  <c r="H220" i="4"/>
  <c r="B220" i="4"/>
  <c r="M220" i="4"/>
  <c r="G220" i="4"/>
  <c r="A220" i="4"/>
  <c r="F220" i="4"/>
  <c r="E220" i="4"/>
  <c r="D220" i="4"/>
  <c r="J220" i="4"/>
  <c r="I112" i="4"/>
  <c r="H112" i="4"/>
  <c r="B112" i="4"/>
  <c r="M112" i="4"/>
  <c r="G112" i="4"/>
  <c r="A112" i="4"/>
  <c r="F112" i="4"/>
  <c r="E112" i="4"/>
  <c r="D112" i="4"/>
  <c r="J112" i="4"/>
  <c r="C236" i="4"/>
  <c r="J213" i="4"/>
  <c r="D213" i="4"/>
  <c r="I213" i="4"/>
  <c r="H213" i="4"/>
  <c r="B213" i="4"/>
  <c r="M213" i="4"/>
  <c r="G213" i="4"/>
  <c r="A213" i="4"/>
  <c r="F213" i="4"/>
  <c r="E213" i="4"/>
  <c r="C176" i="4"/>
  <c r="M267" i="4"/>
  <c r="M297" i="4"/>
  <c r="G297" i="4"/>
  <c r="A297" i="4"/>
  <c r="F297" i="4"/>
  <c r="I297" i="4"/>
  <c r="B297" i="4"/>
  <c r="J297" i="4"/>
  <c r="H297" i="4"/>
  <c r="E297" i="4"/>
  <c r="D297" i="4"/>
  <c r="M279" i="4"/>
  <c r="G279" i="4"/>
  <c r="I279" i="4"/>
  <c r="E279" i="4"/>
  <c r="D279" i="4"/>
  <c r="B279" i="4"/>
  <c r="J279" i="4"/>
  <c r="A279" i="4"/>
  <c r="H279" i="4"/>
  <c r="F279" i="4"/>
  <c r="J63" i="4"/>
  <c r="D63" i="4"/>
  <c r="I63" i="4"/>
  <c r="H63" i="4"/>
  <c r="B63" i="4"/>
  <c r="M63" i="4"/>
  <c r="G63" i="4"/>
  <c r="A63" i="4"/>
  <c r="F63" i="4"/>
  <c r="E63" i="4"/>
  <c r="H594" i="4"/>
  <c r="B594" i="4"/>
  <c r="I594" i="4"/>
  <c r="A594" i="4"/>
  <c r="G594" i="4"/>
  <c r="M594" i="4"/>
  <c r="F594" i="4"/>
  <c r="D594" i="4"/>
  <c r="J594" i="4"/>
  <c r="E594" i="4"/>
  <c r="F127" i="4"/>
  <c r="E127" i="4"/>
  <c r="J127" i="4"/>
  <c r="D127" i="4"/>
  <c r="I127" i="4"/>
  <c r="H127" i="4"/>
  <c r="B127" i="4"/>
  <c r="M127" i="4"/>
  <c r="G127" i="4"/>
  <c r="A127" i="4"/>
  <c r="C32" i="4"/>
  <c r="J574" i="4"/>
  <c r="D574" i="4"/>
  <c r="I574" i="4"/>
  <c r="B574" i="4"/>
  <c r="H574" i="4"/>
  <c r="A574" i="4"/>
  <c r="G574" i="4"/>
  <c r="E574" i="4"/>
  <c r="M574" i="4"/>
  <c r="F574" i="4"/>
  <c r="J27" i="4"/>
  <c r="D27" i="4"/>
  <c r="I27" i="4"/>
  <c r="H27" i="4"/>
  <c r="B27" i="4"/>
  <c r="M27" i="4"/>
  <c r="G27" i="4"/>
  <c r="A27" i="4"/>
  <c r="F27" i="4"/>
  <c r="E27" i="4"/>
  <c r="J710" i="4"/>
  <c r="D710" i="4"/>
  <c r="H710" i="4"/>
  <c r="B710" i="4"/>
  <c r="M710" i="4"/>
  <c r="G710" i="4"/>
  <c r="A710" i="4"/>
  <c r="I710" i="4"/>
  <c r="F710" i="4"/>
  <c r="E710" i="4"/>
  <c r="H368" i="4"/>
  <c r="B368" i="4"/>
  <c r="M368" i="4"/>
  <c r="G368" i="4"/>
  <c r="A368" i="4"/>
  <c r="F368" i="4"/>
  <c r="E368" i="4"/>
  <c r="J368" i="4"/>
  <c r="D368" i="4"/>
  <c r="I368" i="4"/>
  <c r="I262" i="4"/>
  <c r="H262" i="4"/>
  <c r="B262" i="4"/>
  <c r="M262" i="4"/>
  <c r="G262" i="4"/>
  <c r="A262" i="4"/>
  <c r="F262" i="4"/>
  <c r="E262" i="4"/>
  <c r="J262" i="4"/>
  <c r="D262" i="4"/>
  <c r="F473" i="4"/>
  <c r="E473" i="4"/>
  <c r="J473" i="4"/>
  <c r="D473" i="4"/>
  <c r="I473" i="4"/>
  <c r="H473" i="4"/>
  <c r="B473" i="4"/>
  <c r="A473" i="4"/>
  <c r="M473" i="4"/>
  <c r="G473" i="4"/>
  <c r="C363" i="4"/>
  <c r="E450" i="4"/>
  <c r="J450" i="4"/>
  <c r="D450" i="4"/>
  <c r="M450" i="4"/>
  <c r="G450" i="4"/>
  <c r="A450" i="4"/>
  <c r="H450" i="4"/>
  <c r="F450" i="4"/>
  <c r="B450" i="4"/>
  <c r="I450" i="4"/>
  <c r="H392" i="4"/>
  <c r="B392" i="4"/>
  <c r="M392" i="4"/>
  <c r="G392" i="4"/>
  <c r="A392" i="4"/>
  <c r="F392" i="4"/>
  <c r="E392" i="4"/>
  <c r="J392" i="4"/>
  <c r="D392" i="4"/>
  <c r="I392" i="4"/>
  <c r="E230" i="4"/>
  <c r="J230" i="4"/>
  <c r="D230" i="4"/>
  <c r="I230" i="4"/>
  <c r="H230" i="4"/>
  <c r="B230" i="4"/>
  <c r="M230" i="4"/>
  <c r="G230" i="4"/>
  <c r="A230" i="4"/>
  <c r="F230" i="4"/>
  <c r="H83" i="4"/>
  <c r="B83" i="4"/>
  <c r="M83" i="4"/>
  <c r="G83" i="4"/>
  <c r="A83" i="4"/>
  <c r="F83" i="4"/>
  <c r="E83" i="4"/>
  <c r="J83" i="4"/>
  <c r="D83" i="4"/>
  <c r="I83" i="4"/>
  <c r="J451" i="4"/>
  <c r="D451" i="4"/>
  <c r="I451" i="4"/>
  <c r="F451" i="4"/>
  <c r="G451" i="4"/>
  <c r="E451" i="4"/>
  <c r="B451" i="4"/>
  <c r="M451" i="4"/>
  <c r="A451" i="4"/>
  <c r="H451" i="4"/>
  <c r="J225" i="4"/>
  <c r="D225" i="4"/>
  <c r="I225" i="4"/>
  <c r="H225" i="4"/>
  <c r="B225" i="4"/>
  <c r="M225" i="4"/>
  <c r="G225" i="4"/>
  <c r="A225" i="4"/>
  <c r="F225" i="4"/>
  <c r="E225" i="4"/>
  <c r="J165" i="4"/>
  <c r="D165" i="4"/>
  <c r="I165" i="4"/>
  <c r="H165" i="4"/>
  <c r="B165" i="4"/>
  <c r="M165" i="4"/>
  <c r="G165" i="4"/>
  <c r="A165" i="4"/>
  <c r="F165" i="4"/>
  <c r="E165" i="4"/>
  <c r="C594" i="4"/>
  <c r="H562" i="4"/>
  <c r="B562" i="4"/>
  <c r="M562" i="4"/>
  <c r="G562" i="4"/>
  <c r="A562" i="4"/>
  <c r="F562" i="4"/>
  <c r="J562" i="4"/>
  <c r="D562" i="4"/>
  <c r="I562" i="4"/>
  <c r="E562" i="4"/>
  <c r="J548" i="4"/>
  <c r="D548" i="4"/>
  <c r="I548" i="4"/>
  <c r="H548" i="4"/>
  <c r="B548" i="4"/>
  <c r="F548" i="4"/>
  <c r="E548" i="4"/>
  <c r="A548" i="4"/>
  <c r="M548" i="4"/>
  <c r="G548" i="4"/>
  <c r="E414" i="4"/>
  <c r="M414" i="4"/>
  <c r="G414" i="4"/>
  <c r="A414" i="4"/>
  <c r="D414" i="4"/>
  <c r="J414" i="4"/>
  <c r="B414" i="4"/>
  <c r="I414" i="4"/>
  <c r="H414" i="4"/>
  <c r="F414" i="4"/>
  <c r="F467" i="4"/>
  <c r="E467" i="4"/>
  <c r="J467" i="4"/>
  <c r="D467" i="4"/>
  <c r="I467" i="4"/>
  <c r="H467" i="4"/>
  <c r="B467" i="4"/>
  <c r="G467" i="4"/>
  <c r="A467" i="4"/>
  <c r="M467" i="4"/>
  <c r="I452" i="4"/>
  <c r="H452" i="4"/>
  <c r="B452" i="4"/>
  <c r="E452" i="4"/>
  <c r="F452" i="4"/>
  <c r="D452" i="4"/>
  <c r="M452" i="4"/>
  <c r="A452" i="4"/>
  <c r="J452" i="4"/>
  <c r="G452" i="4"/>
  <c r="E287" i="4"/>
  <c r="M287" i="4"/>
  <c r="G287" i="4"/>
  <c r="A287" i="4"/>
  <c r="I287" i="4"/>
  <c r="H287" i="4"/>
  <c r="F287" i="4"/>
  <c r="D287" i="4"/>
  <c r="J287" i="4"/>
  <c r="B287" i="4"/>
  <c r="H417" i="4"/>
  <c r="B417" i="4"/>
  <c r="M417" i="4"/>
  <c r="G417" i="4"/>
  <c r="A417" i="4"/>
  <c r="J417" i="4"/>
  <c r="D417" i="4"/>
  <c r="E417" i="4"/>
  <c r="I417" i="4"/>
  <c r="F417" i="4"/>
  <c r="I307" i="4"/>
  <c r="H307" i="4"/>
  <c r="B307" i="4"/>
  <c r="E307" i="4"/>
  <c r="D307" i="4"/>
  <c r="M307" i="4"/>
  <c r="A307" i="4"/>
  <c r="J307" i="4"/>
  <c r="G307" i="4"/>
  <c r="F307" i="4"/>
  <c r="M339" i="4"/>
  <c r="G339" i="4"/>
  <c r="A339" i="4"/>
  <c r="F339" i="4"/>
  <c r="I339" i="4"/>
  <c r="H339" i="4"/>
  <c r="E339" i="4"/>
  <c r="D339" i="4"/>
  <c r="B339" i="4"/>
  <c r="J339" i="4"/>
  <c r="J57" i="4"/>
  <c r="D57" i="4"/>
  <c r="I57" i="4"/>
  <c r="H57" i="4"/>
  <c r="B57" i="4"/>
  <c r="M57" i="4"/>
  <c r="G57" i="4"/>
  <c r="A57" i="4"/>
  <c r="F57" i="4"/>
  <c r="E57" i="4"/>
  <c r="C530" i="4"/>
  <c r="H532" i="4"/>
  <c r="B532" i="4"/>
  <c r="M532" i="4"/>
  <c r="G532" i="4"/>
  <c r="A532" i="4"/>
  <c r="F532" i="4"/>
  <c r="J532" i="4"/>
  <c r="D532" i="4"/>
  <c r="I532" i="4"/>
  <c r="E532" i="4"/>
  <c r="F298" i="4"/>
  <c r="E298" i="4"/>
  <c r="H298" i="4"/>
  <c r="B298" i="4"/>
  <c r="M298" i="4"/>
  <c r="A298" i="4"/>
  <c r="J298" i="4"/>
  <c r="I298" i="4"/>
  <c r="G298" i="4"/>
  <c r="D298" i="4"/>
  <c r="C296" i="4"/>
  <c r="F73" i="4"/>
  <c r="E73" i="4"/>
  <c r="J73" i="4"/>
  <c r="D73" i="4"/>
  <c r="I73" i="4"/>
  <c r="H73" i="4"/>
  <c r="B73" i="4"/>
  <c r="G73" i="4"/>
  <c r="A73" i="4"/>
  <c r="M73" i="4"/>
  <c r="M168" i="4"/>
  <c r="G168" i="4"/>
  <c r="A168" i="4"/>
  <c r="F168" i="4"/>
  <c r="E168" i="4"/>
  <c r="J168" i="4"/>
  <c r="D168" i="4"/>
  <c r="I168" i="4"/>
  <c r="H168" i="4"/>
  <c r="B168" i="4"/>
  <c r="H263" i="4"/>
  <c r="B263" i="4"/>
  <c r="M263" i="4"/>
  <c r="G263" i="4"/>
  <c r="A263" i="4"/>
  <c r="F263" i="4"/>
  <c r="E263" i="4"/>
  <c r="J263" i="4"/>
  <c r="D263" i="4"/>
  <c r="I263" i="4"/>
  <c r="I142" i="4"/>
  <c r="H142" i="4"/>
  <c r="B142" i="4"/>
  <c r="M142" i="4"/>
  <c r="G142" i="4"/>
  <c r="A142" i="4"/>
  <c r="F142" i="4"/>
  <c r="E142" i="4"/>
  <c r="J142" i="4"/>
  <c r="D142" i="4"/>
  <c r="J524" i="4"/>
  <c r="D524" i="4"/>
  <c r="I524" i="4"/>
  <c r="H524" i="4"/>
  <c r="B524" i="4"/>
  <c r="F524" i="4"/>
  <c r="G524" i="4"/>
  <c r="E524" i="4"/>
  <c r="A524" i="4"/>
  <c r="M524" i="4"/>
  <c r="E408" i="4"/>
  <c r="M408" i="4"/>
  <c r="G408" i="4"/>
  <c r="A408" i="4"/>
  <c r="J408" i="4"/>
  <c r="B408" i="4"/>
  <c r="I408" i="4"/>
  <c r="H408" i="4"/>
  <c r="F408" i="4"/>
  <c r="D408" i="4"/>
  <c r="F461" i="4"/>
  <c r="E461" i="4"/>
  <c r="H461" i="4"/>
  <c r="B461" i="4"/>
  <c r="I461" i="4"/>
  <c r="G461" i="4"/>
  <c r="D461" i="4"/>
  <c r="M461" i="4"/>
  <c r="A461" i="4"/>
  <c r="J461" i="4"/>
  <c r="I446" i="4"/>
  <c r="H446" i="4"/>
  <c r="B446" i="4"/>
  <c r="E446" i="4"/>
  <c r="J446" i="4"/>
  <c r="G446" i="4"/>
  <c r="F446" i="4"/>
  <c r="D446" i="4"/>
  <c r="A446" i="4"/>
  <c r="M446" i="4"/>
  <c r="H405" i="4"/>
  <c r="B405" i="4"/>
  <c r="J405" i="4"/>
  <c r="D405" i="4"/>
  <c r="M405" i="4"/>
  <c r="E405" i="4"/>
  <c r="A405" i="4"/>
  <c r="I405" i="4"/>
  <c r="G405" i="4"/>
  <c r="F405" i="4"/>
  <c r="C520" i="4"/>
  <c r="I567" i="4"/>
  <c r="H567" i="4"/>
  <c r="B567" i="4"/>
  <c r="M567" i="4"/>
  <c r="G567" i="4"/>
  <c r="A567" i="4"/>
  <c r="E567" i="4"/>
  <c r="J567" i="4"/>
  <c r="F567" i="4"/>
  <c r="D567" i="4"/>
  <c r="E504" i="4"/>
  <c r="J504" i="4"/>
  <c r="D504" i="4"/>
  <c r="I504" i="4"/>
  <c r="H504" i="4"/>
  <c r="B504" i="4"/>
  <c r="M504" i="4"/>
  <c r="G504" i="4"/>
  <c r="A504" i="4"/>
  <c r="F504" i="4"/>
  <c r="I629" i="4"/>
  <c r="G629" i="4"/>
  <c r="M629" i="4"/>
  <c r="F629" i="4"/>
  <c r="E629" i="4"/>
  <c r="J629" i="4"/>
  <c r="B629" i="4"/>
  <c r="H629" i="4"/>
  <c r="D629" i="4"/>
  <c r="A629" i="4"/>
  <c r="F449" i="4"/>
  <c r="E449" i="4"/>
  <c r="H449" i="4"/>
  <c r="B449" i="4"/>
  <c r="I449" i="4"/>
  <c r="G449" i="4"/>
  <c r="D449" i="4"/>
  <c r="M449" i="4"/>
  <c r="A449" i="4"/>
  <c r="J449" i="4"/>
  <c r="M595" i="4"/>
  <c r="G595" i="4"/>
  <c r="A595" i="4"/>
  <c r="J595" i="4"/>
  <c r="I595" i="4"/>
  <c r="B595" i="4"/>
  <c r="H595" i="4"/>
  <c r="E595" i="4"/>
  <c r="D595" i="4"/>
  <c r="F595" i="4"/>
  <c r="I434" i="4"/>
  <c r="H434" i="4"/>
  <c r="B434" i="4"/>
  <c r="E434" i="4"/>
  <c r="J434" i="4"/>
  <c r="G434" i="4"/>
  <c r="F434" i="4"/>
  <c r="D434" i="4"/>
  <c r="M434" i="4"/>
  <c r="A434" i="4"/>
  <c r="E377" i="4"/>
  <c r="J377" i="4"/>
  <c r="D377" i="4"/>
  <c r="I377" i="4"/>
  <c r="H377" i="4"/>
  <c r="B377" i="4"/>
  <c r="M377" i="4"/>
  <c r="G377" i="4"/>
  <c r="A377" i="4"/>
  <c r="F377" i="4"/>
  <c r="C549" i="4"/>
  <c r="C339" i="4"/>
  <c r="C392" i="4"/>
  <c r="I397" i="4"/>
  <c r="H397" i="4"/>
  <c r="B397" i="4"/>
  <c r="M397" i="4"/>
  <c r="G397" i="4"/>
  <c r="A397" i="4"/>
  <c r="F397" i="4"/>
  <c r="E397" i="4"/>
  <c r="J397" i="4"/>
  <c r="D397" i="4"/>
  <c r="I289" i="4"/>
  <c r="E289" i="4"/>
  <c r="J289" i="4"/>
  <c r="A289" i="4"/>
  <c r="H289" i="4"/>
  <c r="G289" i="4"/>
  <c r="F289" i="4"/>
  <c r="M289" i="4"/>
  <c r="D289" i="4"/>
  <c r="B289" i="4"/>
  <c r="C235" i="4"/>
  <c r="C127" i="4"/>
  <c r="J598" i="4"/>
  <c r="D598" i="4"/>
  <c r="G598" i="4"/>
  <c r="M598" i="4"/>
  <c r="F598" i="4"/>
  <c r="E598" i="4"/>
  <c r="I598" i="4"/>
  <c r="B598" i="4"/>
  <c r="H598" i="4"/>
  <c r="A598" i="4"/>
  <c r="C222" i="4"/>
  <c r="C114" i="4"/>
  <c r="J348" i="4"/>
  <c r="D348" i="4"/>
  <c r="I348" i="4"/>
  <c r="H348" i="4"/>
  <c r="B348" i="4"/>
  <c r="M348" i="4"/>
  <c r="G348" i="4"/>
  <c r="A348" i="4"/>
  <c r="F348" i="4"/>
  <c r="E348" i="4"/>
  <c r="C209" i="4"/>
  <c r="C101" i="4"/>
  <c r="C196" i="4"/>
  <c r="C88" i="4"/>
  <c r="M303" i="4"/>
  <c r="G303" i="4"/>
  <c r="A303" i="4"/>
  <c r="F303" i="4"/>
  <c r="I303" i="4"/>
  <c r="H303" i="4"/>
  <c r="E303" i="4"/>
  <c r="D303" i="4"/>
  <c r="B303" i="4"/>
  <c r="J303" i="4"/>
  <c r="C183" i="4"/>
  <c r="C75" i="4"/>
  <c r="H326" i="4"/>
  <c r="B326" i="4"/>
  <c r="M326" i="4"/>
  <c r="G326" i="4"/>
  <c r="A326" i="4"/>
  <c r="J326" i="4"/>
  <c r="D326" i="4"/>
  <c r="I326" i="4"/>
  <c r="F326" i="4"/>
  <c r="E326" i="4"/>
  <c r="H302" i="4"/>
  <c r="B302" i="4"/>
  <c r="M302" i="4"/>
  <c r="G302" i="4"/>
  <c r="A302" i="4"/>
  <c r="J302" i="4"/>
  <c r="D302" i="4"/>
  <c r="I302" i="4"/>
  <c r="F302" i="4"/>
  <c r="E302" i="4"/>
  <c r="J231" i="4"/>
  <c r="D231" i="4"/>
  <c r="I231" i="4"/>
  <c r="H231" i="4"/>
  <c r="B231" i="4"/>
  <c r="M231" i="4"/>
  <c r="G231" i="4"/>
  <c r="A231" i="4"/>
  <c r="F231" i="4"/>
  <c r="E231" i="4"/>
  <c r="F633" i="4"/>
  <c r="H633" i="4"/>
  <c r="A633" i="4"/>
  <c r="I633" i="4"/>
  <c r="G633" i="4"/>
  <c r="E633" i="4"/>
  <c r="J633" i="4"/>
  <c r="D633" i="4"/>
  <c r="B633" i="4"/>
  <c r="M633" i="4"/>
  <c r="C449" i="4"/>
  <c r="H495" i="4"/>
  <c r="B495" i="4"/>
  <c r="M495" i="4"/>
  <c r="G495" i="4"/>
  <c r="A495" i="4"/>
  <c r="F495" i="4"/>
  <c r="E495" i="4"/>
  <c r="J495" i="4"/>
  <c r="D495" i="4"/>
  <c r="I495" i="4"/>
  <c r="C458" i="4"/>
  <c r="F388" i="4"/>
  <c r="E388" i="4"/>
  <c r="J388" i="4"/>
  <c r="D388" i="4"/>
  <c r="I388" i="4"/>
  <c r="H388" i="4"/>
  <c r="B388" i="4"/>
  <c r="G388" i="4"/>
  <c r="A388" i="4"/>
  <c r="M388" i="4"/>
  <c r="H556" i="4"/>
  <c r="B556" i="4"/>
  <c r="M556" i="4"/>
  <c r="G556" i="4"/>
  <c r="A556" i="4"/>
  <c r="F556" i="4"/>
  <c r="J556" i="4"/>
  <c r="D556" i="4"/>
  <c r="I556" i="4"/>
  <c r="E556" i="4"/>
  <c r="H538" i="4"/>
  <c r="B538" i="4"/>
  <c r="M538" i="4"/>
  <c r="G538" i="4"/>
  <c r="A538" i="4"/>
  <c r="F538" i="4"/>
  <c r="J538" i="4"/>
  <c r="D538" i="4"/>
  <c r="I538" i="4"/>
  <c r="E538" i="4"/>
  <c r="C284" i="4"/>
  <c r="E176" i="4"/>
  <c r="J176" i="4"/>
  <c r="D176" i="4"/>
  <c r="I176" i="4"/>
  <c r="H176" i="4"/>
  <c r="B176" i="4"/>
  <c r="M176" i="4"/>
  <c r="G176" i="4"/>
  <c r="A176" i="4"/>
  <c r="F176" i="4"/>
  <c r="E68" i="4"/>
  <c r="J68" i="4"/>
  <c r="D68" i="4"/>
  <c r="I68" i="4"/>
  <c r="H68" i="4"/>
  <c r="B68" i="4"/>
  <c r="M68" i="4"/>
  <c r="G68" i="4"/>
  <c r="A68" i="4"/>
  <c r="F68" i="4"/>
  <c r="F271" i="4"/>
  <c r="E271" i="4"/>
  <c r="J271" i="4"/>
  <c r="D271" i="4"/>
  <c r="I271" i="4"/>
  <c r="H271" i="4"/>
  <c r="B271" i="4"/>
  <c r="M271" i="4"/>
  <c r="G271" i="4"/>
  <c r="A271" i="4"/>
  <c r="F163" i="4"/>
  <c r="E163" i="4"/>
  <c r="J163" i="4"/>
  <c r="D163" i="4"/>
  <c r="I163" i="4"/>
  <c r="H163" i="4"/>
  <c r="B163" i="4"/>
  <c r="M163" i="4"/>
  <c r="G163" i="4"/>
  <c r="A163" i="4"/>
  <c r="F55" i="4"/>
  <c r="E55" i="4"/>
  <c r="J55" i="4"/>
  <c r="D55" i="4"/>
  <c r="I55" i="4"/>
  <c r="H55" i="4"/>
  <c r="B55" i="4"/>
  <c r="M55" i="4"/>
  <c r="G55" i="4"/>
  <c r="A55" i="4"/>
  <c r="M258" i="4"/>
  <c r="G258" i="4"/>
  <c r="A258" i="4"/>
  <c r="F258" i="4"/>
  <c r="E258" i="4"/>
  <c r="J258" i="4"/>
  <c r="D258" i="4"/>
  <c r="I258" i="4"/>
  <c r="H258" i="4"/>
  <c r="B258" i="4"/>
  <c r="M150" i="4"/>
  <c r="G150" i="4"/>
  <c r="A150" i="4"/>
  <c r="F150" i="4"/>
  <c r="E150" i="4"/>
  <c r="J150" i="4"/>
  <c r="D150" i="4"/>
  <c r="I150" i="4"/>
  <c r="H150" i="4"/>
  <c r="B150" i="4"/>
  <c r="M42" i="4"/>
  <c r="G42" i="4"/>
  <c r="A42" i="4"/>
  <c r="F42" i="4"/>
  <c r="E42" i="4"/>
  <c r="J42" i="4"/>
  <c r="D42" i="4"/>
  <c r="I42" i="4"/>
  <c r="H42" i="4"/>
  <c r="B42" i="4"/>
  <c r="H245" i="4"/>
  <c r="B245" i="4"/>
  <c r="M245" i="4"/>
  <c r="G245" i="4"/>
  <c r="A245" i="4"/>
  <c r="F245" i="4"/>
  <c r="E245" i="4"/>
  <c r="J245" i="4"/>
  <c r="D245" i="4"/>
  <c r="I245" i="4"/>
  <c r="H137" i="4"/>
  <c r="B137" i="4"/>
  <c r="M137" i="4"/>
  <c r="G137" i="4"/>
  <c r="A137" i="4"/>
  <c r="F137" i="4"/>
  <c r="E137" i="4"/>
  <c r="J137" i="4"/>
  <c r="D137" i="4"/>
  <c r="I137" i="4"/>
  <c r="H29" i="4"/>
  <c r="B29" i="4"/>
  <c r="M29" i="4"/>
  <c r="G29" i="4"/>
  <c r="A29" i="4"/>
  <c r="F29" i="4"/>
  <c r="E29" i="4"/>
  <c r="J29" i="4"/>
  <c r="D29" i="4"/>
  <c r="I29" i="4"/>
  <c r="I232" i="4"/>
  <c r="H232" i="4"/>
  <c r="B232" i="4"/>
  <c r="M232" i="4"/>
  <c r="G232" i="4"/>
  <c r="A232" i="4"/>
  <c r="F232" i="4"/>
  <c r="E232" i="4"/>
  <c r="J232" i="4"/>
  <c r="D232" i="4"/>
  <c r="I124" i="4"/>
  <c r="H124" i="4"/>
  <c r="B124" i="4"/>
  <c r="M124" i="4"/>
  <c r="G124" i="4"/>
  <c r="A124" i="4"/>
  <c r="F124" i="4"/>
  <c r="E124" i="4"/>
  <c r="J124" i="4"/>
  <c r="D124" i="4"/>
  <c r="J366" i="4"/>
  <c r="D366" i="4"/>
  <c r="I366" i="4"/>
  <c r="H366" i="4"/>
  <c r="B366" i="4"/>
  <c r="M366" i="4"/>
  <c r="G366" i="4"/>
  <c r="A366" i="4"/>
  <c r="F366" i="4"/>
  <c r="E366" i="4"/>
  <c r="F280" i="4"/>
  <c r="H280" i="4"/>
  <c r="B280" i="4"/>
  <c r="J280" i="4"/>
  <c r="A280" i="4"/>
  <c r="I280" i="4"/>
  <c r="G280" i="4"/>
  <c r="E280" i="4"/>
  <c r="M280" i="4"/>
  <c r="D280" i="4"/>
  <c r="C248" i="4"/>
  <c r="I561" i="4"/>
  <c r="H561" i="4"/>
  <c r="B561" i="4"/>
  <c r="M561" i="4"/>
  <c r="G561" i="4"/>
  <c r="A561" i="4"/>
  <c r="E561" i="4"/>
  <c r="J561" i="4"/>
  <c r="F561" i="4"/>
  <c r="D561" i="4"/>
  <c r="E498" i="4"/>
  <c r="J498" i="4"/>
  <c r="D498" i="4"/>
  <c r="I498" i="4"/>
  <c r="H498" i="4"/>
  <c r="B498" i="4"/>
  <c r="M498" i="4"/>
  <c r="G498" i="4"/>
  <c r="A498" i="4"/>
  <c r="F498" i="4"/>
  <c r="M619" i="4"/>
  <c r="G619" i="4"/>
  <c r="A619" i="4"/>
  <c r="H619" i="4"/>
  <c r="F619" i="4"/>
  <c r="E619" i="4"/>
  <c r="J619" i="4"/>
  <c r="I619" i="4"/>
  <c r="D619" i="4"/>
  <c r="B619" i="4"/>
  <c r="F443" i="4"/>
  <c r="E443" i="4"/>
  <c r="H443" i="4"/>
  <c r="B443" i="4"/>
  <c r="M443" i="4"/>
  <c r="A443" i="4"/>
  <c r="J443" i="4"/>
  <c r="I443" i="4"/>
  <c r="G443" i="4"/>
  <c r="D443" i="4"/>
  <c r="I723" i="4"/>
  <c r="M723" i="4"/>
  <c r="G723" i="4"/>
  <c r="A723" i="4"/>
  <c r="F723" i="4"/>
  <c r="H723" i="4"/>
  <c r="E723" i="4"/>
  <c r="D723" i="4"/>
  <c r="B723" i="4"/>
  <c r="J723" i="4"/>
  <c r="I428" i="4"/>
  <c r="H428" i="4"/>
  <c r="B428" i="4"/>
  <c r="E428" i="4"/>
  <c r="F428" i="4"/>
  <c r="D428" i="4"/>
  <c r="M428" i="4"/>
  <c r="A428" i="4"/>
  <c r="J428" i="4"/>
  <c r="G428" i="4"/>
  <c r="E371" i="4"/>
  <c r="J371" i="4"/>
  <c r="D371" i="4"/>
  <c r="I371" i="4"/>
  <c r="H371" i="4"/>
  <c r="B371" i="4"/>
  <c r="M371" i="4"/>
  <c r="G371" i="4"/>
  <c r="A371" i="4"/>
  <c r="F371" i="4"/>
  <c r="C480" i="4"/>
  <c r="C333" i="4"/>
  <c r="I391" i="4"/>
  <c r="H391" i="4"/>
  <c r="B391" i="4"/>
  <c r="M391" i="4"/>
  <c r="G391" i="4"/>
  <c r="A391" i="4"/>
  <c r="F391" i="4"/>
  <c r="E391" i="4"/>
  <c r="D391" i="4"/>
  <c r="J391" i="4"/>
  <c r="I283" i="4"/>
  <c r="E283" i="4"/>
  <c r="G283" i="4"/>
  <c r="F283" i="4"/>
  <c r="M283" i="4"/>
  <c r="D283" i="4"/>
  <c r="B283" i="4"/>
  <c r="J283" i="4"/>
  <c r="A283" i="4"/>
  <c r="H283" i="4"/>
  <c r="C401" i="4"/>
  <c r="C317" i="4"/>
  <c r="J294" i="4"/>
  <c r="D294" i="4"/>
  <c r="F294" i="4"/>
  <c r="H294" i="4"/>
  <c r="G294" i="4"/>
  <c r="E294" i="4"/>
  <c r="M294" i="4"/>
  <c r="B294" i="4"/>
  <c r="I294" i="4"/>
  <c r="A294" i="4"/>
  <c r="C177" i="4"/>
  <c r="C69" i="4"/>
  <c r="C266" i="4"/>
  <c r="J243" i="4"/>
  <c r="D243" i="4"/>
  <c r="I243" i="4"/>
  <c r="H243" i="4"/>
  <c r="B243" i="4"/>
  <c r="M243" i="4"/>
  <c r="G243" i="4"/>
  <c r="A243" i="4"/>
  <c r="F243" i="4"/>
  <c r="E243" i="4"/>
  <c r="J195" i="4"/>
  <c r="D195" i="4"/>
  <c r="I195" i="4"/>
  <c r="H195" i="4"/>
  <c r="B195" i="4"/>
  <c r="M195" i="4"/>
  <c r="G195" i="4"/>
  <c r="A195" i="4"/>
  <c r="F195" i="4"/>
  <c r="E195" i="4"/>
  <c r="M159" i="4"/>
  <c r="M539" i="4"/>
  <c r="G539" i="4"/>
  <c r="A539" i="4"/>
  <c r="F539" i="4"/>
  <c r="E539" i="4"/>
  <c r="I539" i="4"/>
  <c r="J539" i="4"/>
  <c r="H539" i="4"/>
  <c r="D539" i="4"/>
  <c r="B539" i="4"/>
  <c r="F584" i="4"/>
  <c r="I584" i="4"/>
  <c r="B584" i="4"/>
  <c r="H584" i="4"/>
  <c r="A584" i="4"/>
  <c r="G584" i="4"/>
  <c r="D584" i="4"/>
  <c r="M584" i="4"/>
  <c r="J584" i="4"/>
  <c r="E584" i="4"/>
  <c r="C407" i="4"/>
  <c r="C460" i="4"/>
  <c r="M472" i="4"/>
  <c r="G472" i="4"/>
  <c r="A472" i="4"/>
  <c r="F472" i="4"/>
  <c r="E472" i="4"/>
  <c r="J472" i="4"/>
  <c r="D472" i="4"/>
  <c r="I472" i="4"/>
  <c r="H472" i="4"/>
  <c r="B472" i="4"/>
  <c r="J610" i="4"/>
  <c r="D610" i="4"/>
  <c r="I610" i="4"/>
  <c r="B610" i="4"/>
  <c r="H610" i="4"/>
  <c r="A610" i="4"/>
  <c r="G610" i="4"/>
  <c r="E610" i="4"/>
  <c r="M610" i="4"/>
  <c r="F610" i="4"/>
  <c r="C445" i="4"/>
  <c r="C388" i="4"/>
  <c r="C280" i="4"/>
  <c r="F346" i="4"/>
  <c r="E346" i="4"/>
  <c r="J346" i="4"/>
  <c r="D346" i="4"/>
  <c r="I346" i="4"/>
  <c r="H346" i="4"/>
  <c r="B346" i="4"/>
  <c r="M346" i="4"/>
  <c r="G346" i="4"/>
  <c r="A346" i="4"/>
  <c r="M399" i="4"/>
  <c r="G399" i="4"/>
  <c r="A399" i="4"/>
  <c r="F399" i="4"/>
  <c r="E399" i="4"/>
  <c r="J399" i="4"/>
  <c r="D399" i="4"/>
  <c r="I399" i="4"/>
  <c r="H399" i="4"/>
  <c r="B399" i="4"/>
  <c r="J409" i="4"/>
  <c r="D409" i="4"/>
  <c r="F409" i="4"/>
  <c r="G409" i="4"/>
  <c r="E409" i="4"/>
  <c r="M409" i="4"/>
  <c r="B409" i="4"/>
  <c r="I409" i="4"/>
  <c r="A409" i="4"/>
  <c r="H409" i="4"/>
  <c r="C404" i="4"/>
  <c r="C300" i="4"/>
  <c r="E242" i="4"/>
  <c r="J242" i="4"/>
  <c r="D242" i="4"/>
  <c r="I242" i="4"/>
  <c r="H242" i="4"/>
  <c r="B242" i="4"/>
  <c r="M242" i="4"/>
  <c r="G242" i="4"/>
  <c r="A242" i="4"/>
  <c r="F242" i="4"/>
  <c r="E134" i="4"/>
  <c r="J134" i="4"/>
  <c r="D134" i="4"/>
  <c r="I134" i="4"/>
  <c r="H134" i="4"/>
  <c r="B134" i="4"/>
  <c r="M134" i="4"/>
  <c r="G134" i="4"/>
  <c r="A134" i="4"/>
  <c r="F134" i="4"/>
  <c r="E26" i="4"/>
  <c r="J26" i="4"/>
  <c r="D26" i="4"/>
  <c r="I26" i="4"/>
  <c r="H26" i="4"/>
  <c r="B26" i="4"/>
  <c r="M26" i="4"/>
  <c r="G26" i="4"/>
  <c r="A26" i="4"/>
  <c r="F26" i="4"/>
  <c r="F229" i="4"/>
  <c r="E229" i="4"/>
  <c r="J229" i="4"/>
  <c r="D229" i="4"/>
  <c r="I229" i="4"/>
  <c r="H229" i="4"/>
  <c r="B229" i="4"/>
  <c r="M229" i="4"/>
  <c r="G229" i="4"/>
  <c r="A229" i="4"/>
  <c r="F121" i="4"/>
  <c r="E121" i="4"/>
  <c r="J121" i="4"/>
  <c r="D121" i="4"/>
  <c r="I121" i="4"/>
  <c r="H121" i="4"/>
  <c r="B121" i="4"/>
  <c r="M121" i="4"/>
  <c r="G121" i="4"/>
  <c r="A121" i="4"/>
  <c r="C395" i="4"/>
  <c r="M216" i="4"/>
  <c r="G216" i="4"/>
  <c r="A216" i="4"/>
  <c r="F216" i="4"/>
  <c r="E216" i="4"/>
  <c r="J216" i="4"/>
  <c r="D216" i="4"/>
  <c r="I216" i="4"/>
  <c r="H216" i="4"/>
  <c r="B216" i="4"/>
  <c r="M108" i="4"/>
  <c r="G108" i="4"/>
  <c r="A108" i="4"/>
  <c r="F108" i="4"/>
  <c r="E108" i="4"/>
  <c r="J108" i="4"/>
  <c r="D108" i="4"/>
  <c r="I108" i="4"/>
  <c r="H108" i="4"/>
  <c r="B108" i="4"/>
  <c r="C353" i="4"/>
  <c r="H203" i="4"/>
  <c r="B203" i="4"/>
  <c r="M203" i="4"/>
  <c r="G203" i="4"/>
  <c r="A203" i="4"/>
  <c r="F203" i="4"/>
  <c r="E203" i="4"/>
  <c r="J203" i="4"/>
  <c r="D203" i="4"/>
  <c r="I203" i="4"/>
  <c r="H95" i="4"/>
  <c r="B95" i="4"/>
  <c r="M95" i="4"/>
  <c r="G95" i="4"/>
  <c r="A95" i="4"/>
  <c r="F95" i="4"/>
  <c r="E95" i="4"/>
  <c r="J95" i="4"/>
  <c r="D95" i="4"/>
  <c r="I95" i="4"/>
  <c r="C326" i="4"/>
  <c r="I190" i="4"/>
  <c r="H190" i="4"/>
  <c r="B190" i="4"/>
  <c r="M190" i="4"/>
  <c r="G190" i="4"/>
  <c r="A190" i="4"/>
  <c r="F190" i="4"/>
  <c r="E190" i="4"/>
  <c r="J190" i="4"/>
  <c r="D190" i="4"/>
  <c r="I82" i="4"/>
  <c r="H82" i="4"/>
  <c r="B82" i="4"/>
  <c r="M82" i="4"/>
  <c r="G82" i="4"/>
  <c r="A82" i="4"/>
  <c r="F82" i="4"/>
  <c r="E82" i="4"/>
  <c r="J82" i="4"/>
  <c r="D82" i="4"/>
  <c r="J33" i="4"/>
  <c r="D33" i="4"/>
  <c r="I33" i="4"/>
  <c r="H33" i="4"/>
  <c r="B33" i="4"/>
  <c r="M33" i="4"/>
  <c r="G33" i="4"/>
  <c r="A33" i="4"/>
  <c r="F33" i="4"/>
  <c r="E33" i="4"/>
  <c r="C278" i="4"/>
  <c r="J641" i="4"/>
  <c r="D641" i="4"/>
  <c r="E641" i="4"/>
  <c r="H641" i="4"/>
  <c r="G641" i="4"/>
  <c r="F641" i="4"/>
  <c r="B641" i="4"/>
  <c r="I641" i="4"/>
  <c r="A641" i="4"/>
  <c r="M641" i="4"/>
  <c r="I519" i="4"/>
  <c r="H519" i="4"/>
  <c r="B519" i="4"/>
  <c r="M519" i="4"/>
  <c r="G519" i="4"/>
  <c r="A519" i="4"/>
  <c r="E519" i="4"/>
  <c r="D519" i="4"/>
  <c r="J519" i="4"/>
  <c r="F519" i="4"/>
  <c r="E456" i="4"/>
  <c r="J456" i="4"/>
  <c r="D456" i="4"/>
  <c r="M456" i="4"/>
  <c r="G456" i="4"/>
  <c r="A456" i="4"/>
  <c r="B456" i="4"/>
  <c r="I456" i="4"/>
  <c r="H456" i="4"/>
  <c r="F456" i="4"/>
  <c r="J554" i="4"/>
  <c r="D554" i="4"/>
  <c r="I554" i="4"/>
  <c r="H554" i="4"/>
  <c r="B554" i="4"/>
  <c r="F554" i="4"/>
  <c r="M554" i="4"/>
  <c r="G554" i="4"/>
  <c r="E554" i="4"/>
  <c r="A554" i="4"/>
  <c r="C506" i="4"/>
  <c r="I494" i="4"/>
  <c r="H494" i="4"/>
  <c r="B494" i="4"/>
  <c r="M494" i="4"/>
  <c r="G494" i="4"/>
  <c r="A494" i="4"/>
  <c r="F494" i="4"/>
  <c r="E494" i="4"/>
  <c r="J494" i="4"/>
  <c r="D494" i="4"/>
  <c r="J475" i="4"/>
  <c r="D475" i="4"/>
  <c r="I475" i="4"/>
  <c r="H475" i="4"/>
  <c r="B475" i="4"/>
  <c r="M475" i="4"/>
  <c r="G475" i="4"/>
  <c r="A475" i="4"/>
  <c r="F475" i="4"/>
  <c r="E475" i="4"/>
  <c r="E329" i="4"/>
  <c r="J329" i="4"/>
  <c r="D329" i="4"/>
  <c r="M329" i="4"/>
  <c r="G329" i="4"/>
  <c r="A329" i="4"/>
  <c r="F329" i="4"/>
  <c r="B329" i="4"/>
  <c r="I329" i="4"/>
  <c r="H329" i="4"/>
  <c r="C399" i="4"/>
  <c r="I593" i="4"/>
  <c r="G593" i="4"/>
  <c r="M593" i="4"/>
  <c r="F593" i="4"/>
  <c r="E593" i="4"/>
  <c r="J593" i="4"/>
  <c r="B593" i="4"/>
  <c r="H593" i="4"/>
  <c r="D593" i="4"/>
  <c r="A593" i="4"/>
  <c r="I349" i="4"/>
  <c r="H349" i="4"/>
  <c r="B349" i="4"/>
  <c r="M349" i="4"/>
  <c r="G349" i="4"/>
  <c r="A349" i="4"/>
  <c r="F349" i="4"/>
  <c r="E349" i="4"/>
  <c r="J349" i="4"/>
  <c r="D349" i="4"/>
  <c r="C299" i="4"/>
  <c r="C279" i="4"/>
  <c r="C243" i="4"/>
  <c r="C135" i="4"/>
  <c r="C27" i="4"/>
  <c r="C377" i="4"/>
  <c r="C301" i="4"/>
  <c r="C598" i="4"/>
  <c r="F564" i="4"/>
  <c r="E564" i="4"/>
  <c r="J564" i="4"/>
  <c r="D564" i="4"/>
  <c r="H564" i="4"/>
  <c r="B564" i="4"/>
  <c r="M564" i="4"/>
  <c r="I564" i="4"/>
  <c r="G564" i="4"/>
  <c r="A564" i="4"/>
  <c r="I711" i="4"/>
  <c r="M711" i="4"/>
  <c r="G711" i="4"/>
  <c r="A711" i="4"/>
  <c r="F711" i="4"/>
  <c r="H711" i="4"/>
  <c r="E711" i="4"/>
  <c r="D711" i="4"/>
  <c r="B711" i="4"/>
  <c r="J711" i="4"/>
  <c r="I611" i="4"/>
  <c r="D611" i="4"/>
  <c r="J611" i="4"/>
  <c r="B611" i="4"/>
  <c r="H611" i="4"/>
  <c r="A611" i="4"/>
  <c r="M611" i="4"/>
  <c r="F611" i="4"/>
  <c r="G611" i="4"/>
  <c r="E611" i="4"/>
  <c r="E621" i="4"/>
  <c r="J621" i="4"/>
  <c r="I621" i="4"/>
  <c r="B621" i="4"/>
  <c r="H621" i="4"/>
  <c r="A621" i="4"/>
  <c r="M621" i="4"/>
  <c r="F621" i="4"/>
  <c r="G621" i="4"/>
  <c r="D621" i="4"/>
  <c r="C692" i="4"/>
  <c r="F732" i="4"/>
  <c r="J732" i="4"/>
  <c r="D732" i="4"/>
  <c r="I732" i="4"/>
  <c r="H732" i="4"/>
  <c r="G732" i="4"/>
  <c r="E732" i="4"/>
  <c r="B732" i="4"/>
  <c r="M732" i="4"/>
  <c r="A732" i="4"/>
  <c r="H724" i="4"/>
  <c r="B724" i="4"/>
  <c r="F724" i="4"/>
  <c r="E724" i="4"/>
  <c r="G724" i="4"/>
  <c r="D724" i="4"/>
  <c r="M724" i="4"/>
  <c r="A724" i="4"/>
  <c r="J724" i="4"/>
  <c r="I724" i="4"/>
  <c r="M765" i="4"/>
  <c r="G765" i="4"/>
  <c r="A765" i="4"/>
  <c r="J765" i="4"/>
  <c r="D765" i="4"/>
  <c r="E765" i="4"/>
  <c r="B765" i="4"/>
  <c r="I765" i="4"/>
  <c r="H765" i="4"/>
  <c r="F765" i="4"/>
  <c r="I832" i="4"/>
  <c r="J832" i="4"/>
  <c r="B832" i="4"/>
  <c r="F832" i="4"/>
  <c r="M832" i="4"/>
  <c r="E832" i="4"/>
  <c r="D832" i="4"/>
  <c r="A832" i="4"/>
  <c r="H832" i="4"/>
  <c r="G832" i="4"/>
  <c r="C850" i="4"/>
  <c r="H888" i="4"/>
  <c r="B888" i="4"/>
  <c r="M888" i="4"/>
  <c r="F888" i="4"/>
  <c r="G888" i="4"/>
  <c r="E888" i="4"/>
  <c r="D888" i="4"/>
  <c r="J888" i="4"/>
  <c r="I888" i="4"/>
  <c r="A888" i="4"/>
  <c r="C871" i="4"/>
  <c r="C937" i="4"/>
  <c r="I986" i="4"/>
  <c r="J986" i="4"/>
  <c r="B986" i="4"/>
  <c r="H986" i="4"/>
  <c r="A986" i="4"/>
  <c r="G986" i="4"/>
  <c r="M986" i="4"/>
  <c r="F986" i="4"/>
  <c r="E986" i="4"/>
  <c r="D986" i="4"/>
  <c r="C946" i="4"/>
  <c r="F1008" i="4"/>
  <c r="H1008" i="4"/>
  <c r="A1008" i="4"/>
  <c r="G1008" i="4"/>
  <c r="J1008" i="4"/>
  <c r="E1008" i="4"/>
  <c r="D1008" i="4"/>
  <c r="B1008" i="4"/>
  <c r="M1008" i="4"/>
  <c r="I1008" i="4"/>
  <c r="C969" i="4"/>
  <c r="J1068" i="4"/>
  <c r="D1068" i="4"/>
  <c r="G1068" i="4"/>
  <c r="E1068" i="4"/>
  <c r="M1068" i="4"/>
  <c r="B1068" i="4"/>
  <c r="A1068" i="4"/>
  <c r="I1068" i="4"/>
  <c r="H1068" i="4"/>
  <c r="F1068" i="4"/>
  <c r="E1067" i="4"/>
  <c r="M1067" i="4"/>
  <c r="F1067" i="4"/>
  <c r="I1067" i="4"/>
  <c r="B1067" i="4"/>
  <c r="G1067" i="4"/>
  <c r="D1067" i="4"/>
  <c r="A1067" i="4"/>
  <c r="J1067" i="4"/>
  <c r="H1067" i="4"/>
  <c r="C603" i="4"/>
  <c r="C612" i="4"/>
  <c r="C626" i="4"/>
  <c r="I696" i="4"/>
  <c r="E696" i="4"/>
  <c r="D696" i="4"/>
  <c r="J696" i="4"/>
  <c r="B696" i="4"/>
  <c r="H696" i="4"/>
  <c r="A696" i="4"/>
  <c r="F696" i="4"/>
  <c r="M696" i="4"/>
  <c r="G696" i="4"/>
  <c r="C743" i="4"/>
  <c r="E745" i="4"/>
  <c r="I745" i="4"/>
  <c r="H745" i="4"/>
  <c r="B745" i="4"/>
  <c r="J745" i="4"/>
  <c r="G745" i="4"/>
  <c r="F745" i="4"/>
  <c r="D745" i="4"/>
  <c r="M745" i="4"/>
  <c r="A745" i="4"/>
  <c r="F772" i="4"/>
  <c r="E772" i="4"/>
  <c r="J772" i="4"/>
  <c r="D772" i="4"/>
  <c r="I772" i="4"/>
  <c r="H772" i="4"/>
  <c r="G772" i="4"/>
  <c r="B772" i="4"/>
  <c r="A772" i="4"/>
  <c r="M772" i="4"/>
  <c r="E791" i="4"/>
  <c r="J791" i="4"/>
  <c r="D791" i="4"/>
  <c r="I791" i="4"/>
  <c r="H791" i="4"/>
  <c r="B791" i="4"/>
  <c r="M791" i="4"/>
  <c r="G791" i="4"/>
  <c r="F791" i="4"/>
  <c r="A791" i="4"/>
  <c r="J892" i="4"/>
  <c r="D892" i="4"/>
  <c r="E892" i="4"/>
  <c r="G892" i="4"/>
  <c r="F892" i="4"/>
  <c r="M892" i="4"/>
  <c r="I892" i="4"/>
  <c r="H892" i="4"/>
  <c r="B892" i="4"/>
  <c r="A892" i="4"/>
  <c r="F872" i="4"/>
  <c r="E872" i="4"/>
  <c r="J872" i="4"/>
  <c r="D872" i="4"/>
  <c r="B872" i="4"/>
  <c r="M872" i="4"/>
  <c r="A872" i="4"/>
  <c r="I872" i="4"/>
  <c r="H872" i="4"/>
  <c r="G872" i="4"/>
  <c r="I893" i="4"/>
  <c r="M893" i="4"/>
  <c r="F893" i="4"/>
  <c r="B893" i="4"/>
  <c r="J893" i="4"/>
  <c r="A893" i="4"/>
  <c r="H893" i="4"/>
  <c r="G893" i="4"/>
  <c r="E893" i="4"/>
  <c r="D893" i="4"/>
  <c r="H973" i="4"/>
  <c r="B973" i="4"/>
  <c r="M973" i="4"/>
  <c r="G973" i="4"/>
  <c r="A973" i="4"/>
  <c r="J973" i="4"/>
  <c r="D973" i="4"/>
  <c r="I973" i="4"/>
  <c r="F973" i="4"/>
  <c r="E973" i="4"/>
  <c r="E885" i="4"/>
  <c r="M885" i="4"/>
  <c r="F885" i="4"/>
  <c r="D885" i="4"/>
  <c r="J885" i="4"/>
  <c r="B885" i="4"/>
  <c r="A885" i="4"/>
  <c r="I885" i="4"/>
  <c r="H885" i="4"/>
  <c r="G885" i="4"/>
  <c r="I950" i="4"/>
  <c r="D950" i="4"/>
  <c r="J950" i="4"/>
  <c r="B950" i="4"/>
  <c r="G950" i="4"/>
  <c r="M950" i="4"/>
  <c r="F950" i="4"/>
  <c r="E950" i="4"/>
  <c r="A950" i="4"/>
  <c r="H950" i="4"/>
  <c r="E970" i="4"/>
  <c r="J970" i="4"/>
  <c r="D970" i="4"/>
  <c r="M970" i="4"/>
  <c r="G970" i="4"/>
  <c r="A970" i="4"/>
  <c r="F970" i="4"/>
  <c r="I970" i="4"/>
  <c r="H970" i="4"/>
  <c r="B970" i="4"/>
  <c r="E978" i="4"/>
  <c r="M978" i="4"/>
  <c r="F978" i="4"/>
  <c r="D978" i="4"/>
  <c r="J978" i="4"/>
  <c r="I978" i="4"/>
  <c r="B978" i="4"/>
  <c r="H978" i="4"/>
  <c r="A978" i="4"/>
  <c r="G978" i="4"/>
  <c r="H1024" i="4"/>
  <c r="B1024" i="4"/>
  <c r="E1024" i="4"/>
  <c r="M1024" i="4"/>
  <c r="D1024" i="4"/>
  <c r="J1024" i="4"/>
  <c r="A1024" i="4"/>
  <c r="I1024" i="4"/>
  <c r="G1024" i="4"/>
  <c r="F1024" i="4"/>
  <c r="E1003" i="4"/>
  <c r="H1003" i="4"/>
  <c r="A1003" i="4"/>
  <c r="G1003" i="4"/>
  <c r="J1003" i="4"/>
  <c r="M1003" i="4"/>
  <c r="I1003" i="4"/>
  <c r="F1003" i="4"/>
  <c r="D1003" i="4"/>
  <c r="B1003" i="4"/>
  <c r="C1072" i="4"/>
  <c r="I587" i="4"/>
  <c r="M587" i="4"/>
  <c r="F587" i="4"/>
  <c r="E587" i="4"/>
  <c r="D587" i="4"/>
  <c r="H587" i="4"/>
  <c r="A587" i="4"/>
  <c r="J587" i="4"/>
  <c r="G587" i="4"/>
  <c r="B587" i="4"/>
  <c r="F552" i="4"/>
  <c r="E552" i="4"/>
  <c r="J552" i="4"/>
  <c r="D552" i="4"/>
  <c r="H552" i="4"/>
  <c r="B552" i="4"/>
  <c r="G552" i="4"/>
  <c r="A552" i="4"/>
  <c r="M552" i="4"/>
  <c r="I552" i="4"/>
  <c r="M668" i="4"/>
  <c r="G668" i="4"/>
  <c r="A668" i="4"/>
  <c r="I668" i="4"/>
  <c r="B668" i="4"/>
  <c r="F668" i="4"/>
  <c r="J668" i="4"/>
  <c r="E668" i="4"/>
  <c r="D668" i="4"/>
  <c r="H668" i="4"/>
  <c r="F596" i="4"/>
  <c r="D596" i="4"/>
  <c r="J596" i="4"/>
  <c r="I596" i="4"/>
  <c r="B596" i="4"/>
  <c r="G596" i="4"/>
  <c r="M596" i="4"/>
  <c r="H596" i="4"/>
  <c r="E596" i="4"/>
  <c r="A596" i="4"/>
  <c r="I747" i="4"/>
  <c r="M747" i="4"/>
  <c r="G747" i="4"/>
  <c r="A747" i="4"/>
  <c r="F747" i="4"/>
  <c r="H747" i="4"/>
  <c r="E747" i="4"/>
  <c r="D747" i="4"/>
  <c r="B747" i="4"/>
  <c r="J747" i="4"/>
  <c r="E609" i="4"/>
  <c r="H609" i="4"/>
  <c r="A609" i="4"/>
  <c r="G609" i="4"/>
  <c r="M609" i="4"/>
  <c r="F609" i="4"/>
  <c r="J609" i="4"/>
  <c r="I609" i="4"/>
  <c r="D609" i="4"/>
  <c r="B609" i="4"/>
  <c r="C676" i="4"/>
  <c r="F708" i="4"/>
  <c r="J708" i="4"/>
  <c r="D708" i="4"/>
  <c r="I708" i="4"/>
  <c r="H708" i="4"/>
  <c r="G708" i="4"/>
  <c r="E708" i="4"/>
  <c r="M708" i="4"/>
  <c r="B708" i="4"/>
  <c r="A708" i="4"/>
  <c r="H712" i="4"/>
  <c r="B712" i="4"/>
  <c r="F712" i="4"/>
  <c r="E712" i="4"/>
  <c r="G712" i="4"/>
  <c r="D712" i="4"/>
  <c r="M712" i="4"/>
  <c r="A712" i="4"/>
  <c r="I712" i="4"/>
  <c r="J712" i="4"/>
  <c r="C748" i="4"/>
  <c r="C732" i="4"/>
  <c r="F815" i="4"/>
  <c r="H815" i="4"/>
  <c r="A815" i="4"/>
  <c r="G815" i="4"/>
  <c r="M815" i="4"/>
  <c r="E815" i="4"/>
  <c r="D815" i="4"/>
  <c r="J815" i="4"/>
  <c r="I815" i="4"/>
  <c r="B815" i="4"/>
  <c r="H852" i="4"/>
  <c r="B852" i="4"/>
  <c r="M852" i="4"/>
  <c r="G852" i="4"/>
  <c r="A852" i="4"/>
  <c r="F852" i="4"/>
  <c r="E852" i="4"/>
  <c r="D852" i="4"/>
  <c r="J852" i="4"/>
  <c r="I852" i="4"/>
  <c r="C778" i="4"/>
  <c r="H833" i="4"/>
  <c r="B833" i="4"/>
  <c r="D833" i="4"/>
  <c r="J833" i="4"/>
  <c r="A833" i="4"/>
  <c r="I833" i="4"/>
  <c r="G833" i="4"/>
  <c r="F833" i="4"/>
  <c r="E833" i="4"/>
  <c r="M833" i="4"/>
  <c r="C945" i="4"/>
  <c r="C859" i="4"/>
  <c r="E879" i="4"/>
  <c r="J879" i="4"/>
  <c r="D879" i="4"/>
  <c r="I879" i="4"/>
  <c r="H879" i="4"/>
  <c r="G879" i="4"/>
  <c r="F879" i="4"/>
  <c r="B879" i="4"/>
  <c r="A879" i="4"/>
  <c r="M879" i="4"/>
  <c r="J971" i="4"/>
  <c r="D971" i="4"/>
  <c r="I971" i="4"/>
  <c r="F971" i="4"/>
  <c r="E971" i="4"/>
  <c r="B971" i="4"/>
  <c r="H971" i="4"/>
  <c r="G971" i="4"/>
  <c r="A971" i="4"/>
  <c r="M971" i="4"/>
  <c r="F989" i="4"/>
  <c r="I989" i="4"/>
  <c r="H989" i="4"/>
  <c r="G989" i="4"/>
  <c r="E989" i="4"/>
  <c r="M989" i="4"/>
  <c r="D989" i="4"/>
  <c r="B989" i="4"/>
  <c r="J989" i="4"/>
  <c r="A989" i="4"/>
  <c r="C957" i="4"/>
  <c r="C1028" i="4"/>
  <c r="C1037" i="4"/>
  <c r="F1086" i="4"/>
  <c r="J1086" i="4"/>
  <c r="D1086" i="4"/>
  <c r="I1086" i="4"/>
  <c r="H1086" i="4"/>
  <c r="G1086" i="4"/>
  <c r="E1086" i="4"/>
  <c r="M1086" i="4"/>
  <c r="A1086" i="4"/>
  <c r="B1086" i="4"/>
  <c r="H1070" i="4"/>
  <c r="B1070" i="4"/>
  <c r="J1070" i="4"/>
  <c r="M1070" i="4"/>
  <c r="F1070" i="4"/>
  <c r="I1070" i="4"/>
  <c r="G1070" i="4"/>
  <c r="E1070" i="4"/>
  <c r="D1070" i="4"/>
  <c r="A1070" i="4"/>
  <c r="I1096" i="4"/>
  <c r="H1096" i="4"/>
  <c r="B1096" i="4"/>
  <c r="M1096" i="4"/>
  <c r="F1096" i="4"/>
  <c r="E1096" i="4"/>
  <c r="J1096" i="4"/>
  <c r="G1096" i="4"/>
  <c r="D1096" i="4"/>
  <c r="A1096" i="4"/>
  <c r="M551" i="4"/>
  <c r="G551" i="4"/>
  <c r="A551" i="4"/>
  <c r="F551" i="4"/>
  <c r="E551" i="4"/>
  <c r="I551" i="4"/>
  <c r="B551" i="4"/>
  <c r="J551" i="4"/>
  <c r="H551" i="4"/>
  <c r="D551" i="4"/>
  <c r="M632" i="4"/>
  <c r="G632" i="4"/>
  <c r="F632" i="4"/>
  <c r="D632" i="4"/>
  <c r="J632" i="4"/>
  <c r="B632" i="4"/>
  <c r="H632" i="4"/>
  <c r="I632" i="4"/>
  <c r="E632" i="4"/>
  <c r="A632" i="4"/>
  <c r="E559" i="4"/>
  <c r="J559" i="4"/>
  <c r="D559" i="4"/>
  <c r="I559" i="4"/>
  <c r="M559" i="4"/>
  <c r="G559" i="4"/>
  <c r="A559" i="4"/>
  <c r="F559" i="4"/>
  <c r="B559" i="4"/>
  <c r="H559" i="4"/>
  <c r="C673" i="4"/>
  <c r="C578" i="4"/>
  <c r="I702" i="4"/>
  <c r="M702" i="4"/>
  <c r="F702" i="4"/>
  <c r="E702" i="4"/>
  <c r="D702" i="4"/>
  <c r="J702" i="4"/>
  <c r="B702" i="4"/>
  <c r="H702" i="4"/>
  <c r="G702" i="4"/>
  <c r="A702" i="4"/>
  <c r="F675" i="4"/>
  <c r="D675" i="4"/>
  <c r="I675" i="4"/>
  <c r="B675" i="4"/>
  <c r="H675" i="4"/>
  <c r="G675" i="4"/>
  <c r="E675" i="4"/>
  <c r="M675" i="4"/>
  <c r="A675" i="4"/>
  <c r="J675" i="4"/>
  <c r="C681" i="4"/>
  <c r="M713" i="4"/>
  <c r="G713" i="4"/>
  <c r="A713" i="4"/>
  <c r="E713" i="4"/>
  <c r="J713" i="4"/>
  <c r="D713" i="4"/>
  <c r="F713" i="4"/>
  <c r="B713" i="4"/>
  <c r="I713" i="4"/>
  <c r="H713" i="4"/>
  <c r="C837" i="4"/>
  <c r="H776" i="4"/>
  <c r="B776" i="4"/>
  <c r="M776" i="4"/>
  <c r="G776" i="4"/>
  <c r="A776" i="4"/>
  <c r="F776" i="4"/>
  <c r="E776" i="4"/>
  <c r="J776" i="4"/>
  <c r="I776" i="4"/>
  <c r="D776" i="4"/>
  <c r="M814" i="4"/>
  <c r="G814" i="4"/>
  <c r="A814" i="4"/>
  <c r="F814" i="4"/>
  <c r="E814" i="4"/>
  <c r="D814" i="4"/>
  <c r="J814" i="4"/>
  <c r="B814" i="4"/>
  <c r="I814" i="4"/>
  <c r="H814" i="4"/>
  <c r="C895" i="4"/>
  <c r="C797" i="4"/>
  <c r="J923" i="4"/>
  <c r="D923" i="4"/>
  <c r="I923" i="4"/>
  <c r="F923" i="4"/>
  <c r="H923" i="4"/>
  <c r="G923" i="4"/>
  <c r="E923" i="4"/>
  <c r="B923" i="4"/>
  <c r="A923" i="4"/>
  <c r="M923" i="4"/>
  <c r="E824" i="4"/>
  <c r="M824" i="4"/>
  <c r="F824" i="4"/>
  <c r="G824" i="4"/>
  <c r="D824" i="4"/>
  <c r="J824" i="4"/>
  <c r="B824" i="4"/>
  <c r="I824" i="4"/>
  <c r="H824" i="4"/>
  <c r="A824" i="4"/>
  <c r="H919" i="4"/>
  <c r="B919" i="4"/>
  <c r="M919" i="4"/>
  <c r="G919" i="4"/>
  <c r="A919" i="4"/>
  <c r="J919" i="4"/>
  <c r="D919" i="4"/>
  <c r="E919" i="4"/>
  <c r="I919" i="4"/>
  <c r="F919" i="4"/>
  <c r="C949" i="4"/>
  <c r="I960" i="4"/>
  <c r="H960" i="4"/>
  <c r="B960" i="4"/>
  <c r="E960" i="4"/>
  <c r="D960" i="4"/>
  <c r="M960" i="4"/>
  <c r="A960" i="4"/>
  <c r="J960" i="4"/>
  <c r="G960" i="4"/>
  <c r="F960" i="4"/>
  <c r="C1070" i="4"/>
  <c r="H1000" i="4"/>
  <c r="B1000" i="4"/>
  <c r="D1000" i="4"/>
  <c r="J1000" i="4"/>
  <c r="M1000" i="4"/>
  <c r="F1000" i="4"/>
  <c r="I1000" i="4"/>
  <c r="G1000" i="4"/>
  <c r="E1000" i="4"/>
  <c r="A1000" i="4"/>
  <c r="C1043" i="4"/>
  <c r="I1077" i="4"/>
  <c r="M1077" i="4"/>
  <c r="G1077" i="4"/>
  <c r="A1077" i="4"/>
  <c r="J1077" i="4"/>
  <c r="H1077" i="4"/>
  <c r="D1077" i="4"/>
  <c r="F1077" i="4"/>
  <c r="E1077" i="4"/>
  <c r="B1077" i="4"/>
  <c r="C1081" i="4"/>
  <c r="C538" i="4"/>
  <c r="J722" i="4"/>
  <c r="D722" i="4"/>
  <c r="H722" i="4"/>
  <c r="B722" i="4"/>
  <c r="M722" i="4"/>
  <c r="G722" i="4"/>
  <c r="A722" i="4"/>
  <c r="I722" i="4"/>
  <c r="F722" i="4"/>
  <c r="E722" i="4"/>
  <c r="I617" i="4"/>
  <c r="E617" i="4"/>
  <c r="D617" i="4"/>
  <c r="J617" i="4"/>
  <c r="B617" i="4"/>
  <c r="G617" i="4"/>
  <c r="M617" i="4"/>
  <c r="H617" i="4"/>
  <c r="F617" i="4"/>
  <c r="A617" i="4"/>
  <c r="C546" i="4"/>
  <c r="C660" i="4"/>
  <c r="C807" i="4"/>
  <c r="C825" i="4"/>
  <c r="E664" i="4"/>
  <c r="H664" i="4"/>
  <c r="A664" i="4"/>
  <c r="J664" i="4"/>
  <c r="B664" i="4"/>
  <c r="I664" i="4"/>
  <c r="F664" i="4"/>
  <c r="M664" i="4"/>
  <c r="G664" i="4"/>
  <c r="D664" i="4"/>
  <c r="I806" i="4"/>
  <c r="J806" i="4"/>
  <c r="B806" i="4"/>
  <c r="H806" i="4"/>
  <c r="A806" i="4"/>
  <c r="G806" i="4"/>
  <c r="M806" i="4"/>
  <c r="F806" i="4"/>
  <c r="E806" i="4"/>
  <c r="D806" i="4"/>
  <c r="C768" i="4"/>
  <c r="C763" i="4"/>
  <c r="C794" i="4"/>
  <c r="H840" i="4"/>
  <c r="B840" i="4"/>
  <c r="M840" i="4"/>
  <c r="G840" i="4"/>
  <c r="A840" i="4"/>
  <c r="F840" i="4"/>
  <c r="J840" i="4"/>
  <c r="I840" i="4"/>
  <c r="E840" i="4"/>
  <c r="D840" i="4"/>
  <c r="H864" i="4"/>
  <c r="B864" i="4"/>
  <c r="M864" i="4"/>
  <c r="G864" i="4"/>
  <c r="A864" i="4"/>
  <c r="E864" i="4"/>
  <c r="D864" i="4"/>
  <c r="J864" i="4"/>
  <c r="I864" i="4"/>
  <c r="F864" i="4"/>
  <c r="I932" i="4"/>
  <c r="G932" i="4"/>
  <c r="M932" i="4"/>
  <c r="F932" i="4"/>
  <c r="J932" i="4"/>
  <c r="B932" i="4"/>
  <c r="E932" i="4"/>
  <c r="D932" i="4"/>
  <c r="H932" i="4"/>
  <c r="A932" i="4"/>
  <c r="J992" i="4"/>
  <c r="D992" i="4"/>
  <c r="I992" i="4"/>
  <c r="F992" i="4"/>
  <c r="H992" i="4"/>
  <c r="G992" i="4"/>
  <c r="E992" i="4"/>
  <c r="B992" i="4"/>
  <c r="M992" i="4"/>
  <c r="A992" i="4"/>
  <c r="C897" i="4"/>
  <c r="C934" i="4"/>
  <c r="C947" i="4"/>
  <c r="C1015" i="4"/>
  <c r="F1014" i="4"/>
  <c r="I1014" i="4"/>
  <c r="B1014" i="4"/>
  <c r="H1014" i="4"/>
  <c r="A1014" i="4"/>
  <c r="D1014" i="4"/>
  <c r="M1014" i="4"/>
  <c r="J1014" i="4"/>
  <c r="G1014" i="4"/>
  <c r="E1014" i="4"/>
  <c r="I1029" i="4"/>
  <c r="M1029" i="4"/>
  <c r="G1029" i="4"/>
  <c r="F1029" i="4"/>
  <c r="B1029" i="4"/>
  <c r="A1029" i="4"/>
  <c r="J1029" i="4"/>
  <c r="H1029" i="4"/>
  <c r="E1029" i="4"/>
  <c r="D1029" i="4"/>
  <c r="C1030" i="4"/>
  <c r="H1056" i="4"/>
  <c r="B1056" i="4"/>
  <c r="E1056" i="4"/>
  <c r="D1056" i="4"/>
  <c r="J1056" i="4"/>
  <c r="I1056" i="4"/>
  <c r="A1056" i="4"/>
  <c r="G1056" i="4"/>
  <c r="F1056" i="4"/>
  <c r="M1056" i="4"/>
  <c r="C1061" i="4"/>
  <c r="C1092" i="4"/>
  <c r="C527" i="4"/>
  <c r="I636" i="4"/>
  <c r="E636" i="4"/>
  <c r="M636" i="4"/>
  <c r="D636" i="4"/>
  <c r="B636" i="4"/>
  <c r="J636" i="4"/>
  <c r="A636" i="4"/>
  <c r="G636" i="4"/>
  <c r="H636" i="4"/>
  <c r="F636" i="4"/>
  <c r="E565" i="4"/>
  <c r="J565" i="4"/>
  <c r="D565" i="4"/>
  <c r="I565" i="4"/>
  <c r="M565" i="4"/>
  <c r="G565" i="4"/>
  <c r="A565" i="4"/>
  <c r="H565" i="4"/>
  <c r="F565" i="4"/>
  <c r="B565" i="4"/>
  <c r="I678" i="4"/>
  <c r="H678" i="4"/>
  <c r="A678" i="4"/>
  <c r="G678" i="4"/>
  <c r="M678" i="4"/>
  <c r="F678" i="4"/>
  <c r="J678" i="4"/>
  <c r="E678" i="4"/>
  <c r="B678" i="4"/>
  <c r="D678" i="4"/>
  <c r="C584" i="4"/>
  <c r="J716" i="4"/>
  <c r="D716" i="4"/>
  <c r="H716" i="4"/>
  <c r="B716" i="4"/>
  <c r="M716" i="4"/>
  <c r="G716" i="4"/>
  <c r="A716" i="4"/>
  <c r="I716" i="4"/>
  <c r="F716" i="4"/>
  <c r="E716" i="4"/>
  <c r="H685" i="4"/>
  <c r="B685" i="4"/>
  <c r="D685" i="4"/>
  <c r="J685" i="4"/>
  <c r="I685" i="4"/>
  <c r="A685" i="4"/>
  <c r="G685" i="4"/>
  <c r="M685" i="4"/>
  <c r="F685" i="4"/>
  <c r="E685" i="4"/>
  <c r="C687" i="4"/>
  <c r="M719" i="4"/>
  <c r="G719" i="4"/>
  <c r="A719" i="4"/>
  <c r="E719" i="4"/>
  <c r="J719" i="4"/>
  <c r="D719" i="4"/>
  <c r="I719" i="4"/>
  <c r="H719" i="4"/>
  <c r="F719" i="4"/>
  <c r="B719" i="4"/>
  <c r="H703" i="4"/>
  <c r="B703" i="4"/>
  <c r="G703" i="4"/>
  <c r="F703" i="4"/>
  <c r="M703" i="4"/>
  <c r="E703" i="4"/>
  <c r="D703" i="4"/>
  <c r="A703" i="4"/>
  <c r="J703" i="4"/>
  <c r="I703" i="4"/>
  <c r="H782" i="4"/>
  <c r="B782" i="4"/>
  <c r="M782" i="4"/>
  <c r="G782" i="4"/>
  <c r="A782" i="4"/>
  <c r="F782" i="4"/>
  <c r="E782" i="4"/>
  <c r="D782" i="4"/>
  <c r="J782" i="4"/>
  <c r="I782" i="4"/>
  <c r="C822" i="4"/>
  <c r="J931" i="4"/>
  <c r="D931" i="4"/>
  <c r="M931" i="4"/>
  <c r="F931" i="4"/>
  <c r="E931" i="4"/>
  <c r="H931" i="4"/>
  <c r="A931" i="4"/>
  <c r="B931" i="4"/>
  <c r="I931" i="4"/>
  <c r="G931" i="4"/>
  <c r="C803" i="4"/>
  <c r="C846" i="4"/>
  <c r="E830" i="4"/>
  <c r="G830" i="4"/>
  <c r="F830" i="4"/>
  <c r="M830" i="4"/>
  <c r="D830" i="4"/>
  <c r="J830" i="4"/>
  <c r="B830" i="4"/>
  <c r="I830" i="4"/>
  <c r="H830" i="4"/>
  <c r="A830" i="4"/>
  <c r="C854" i="4"/>
  <c r="C928" i="4"/>
  <c r="M956" i="4"/>
  <c r="G956" i="4"/>
  <c r="A956" i="4"/>
  <c r="F956" i="4"/>
  <c r="I956" i="4"/>
  <c r="H956" i="4"/>
  <c r="E956" i="4"/>
  <c r="B956" i="4"/>
  <c r="J956" i="4"/>
  <c r="D956" i="4"/>
  <c r="C973" i="4"/>
  <c r="I966" i="4"/>
  <c r="H966" i="4"/>
  <c r="B966" i="4"/>
  <c r="E966" i="4"/>
  <c r="J966" i="4"/>
  <c r="G966" i="4"/>
  <c r="D966" i="4"/>
  <c r="M966" i="4"/>
  <c r="A966" i="4"/>
  <c r="F966" i="4"/>
  <c r="C968" i="4"/>
  <c r="C1021" i="4"/>
  <c r="I1005" i="4"/>
  <c r="D1005" i="4"/>
  <c r="J1005" i="4"/>
  <c r="B1005" i="4"/>
  <c r="M1005" i="4"/>
  <c r="F1005" i="4"/>
  <c r="A1005" i="4"/>
  <c r="H1005" i="4"/>
  <c r="G1005" i="4"/>
  <c r="E1005" i="4"/>
  <c r="C1053" i="4"/>
  <c r="E1034" i="4"/>
  <c r="J1034" i="4"/>
  <c r="D1034" i="4"/>
  <c r="H1034" i="4"/>
  <c r="B1034" i="4"/>
  <c r="M1034" i="4"/>
  <c r="G1034" i="4"/>
  <c r="A1034" i="4"/>
  <c r="I1034" i="4"/>
  <c r="F1034" i="4"/>
  <c r="C1071" i="4"/>
  <c r="C62" i="4"/>
  <c r="I599" i="4"/>
  <c r="H599" i="4"/>
  <c r="A599" i="4"/>
  <c r="G599" i="4"/>
  <c r="M599" i="4"/>
  <c r="F599" i="4"/>
  <c r="D599" i="4"/>
  <c r="J599" i="4"/>
  <c r="E599" i="4"/>
  <c r="B599" i="4"/>
  <c r="C553" i="4"/>
  <c r="C419" i="4"/>
  <c r="C472" i="4"/>
  <c r="M484" i="4"/>
  <c r="G484" i="4"/>
  <c r="A484" i="4"/>
  <c r="F484" i="4"/>
  <c r="E484" i="4"/>
  <c r="J484" i="4"/>
  <c r="D484" i="4"/>
  <c r="I484" i="4"/>
  <c r="B484" i="4"/>
  <c r="H484" i="4"/>
  <c r="H465" i="4"/>
  <c r="B465" i="4"/>
  <c r="M465" i="4"/>
  <c r="G465" i="4"/>
  <c r="A465" i="4"/>
  <c r="E465" i="4"/>
  <c r="J465" i="4"/>
  <c r="D465" i="4"/>
  <c r="I465" i="4"/>
  <c r="F465" i="4"/>
  <c r="C457" i="4"/>
  <c r="C400" i="4"/>
  <c r="F358" i="4"/>
  <c r="E358" i="4"/>
  <c r="J358" i="4"/>
  <c r="D358" i="4"/>
  <c r="I358" i="4"/>
  <c r="H358" i="4"/>
  <c r="B358" i="4"/>
  <c r="A358" i="4"/>
  <c r="M358" i="4"/>
  <c r="G358" i="4"/>
  <c r="M418" i="4"/>
  <c r="G418" i="4"/>
  <c r="A418" i="4"/>
  <c r="F418" i="4"/>
  <c r="I418" i="4"/>
  <c r="D418" i="4"/>
  <c r="B418" i="4"/>
  <c r="J418" i="4"/>
  <c r="H418" i="4"/>
  <c r="E418" i="4"/>
  <c r="C428" i="4"/>
  <c r="C426" i="4"/>
  <c r="C312" i="4"/>
  <c r="E254" i="4"/>
  <c r="J254" i="4"/>
  <c r="D254" i="4"/>
  <c r="I254" i="4"/>
  <c r="H254" i="4"/>
  <c r="B254" i="4"/>
  <c r="M254" i="4"/>
  <c r="G254" i="4"/>
  <c r="A254" i="4"/>
  <c r="F254" i="4"/>
  <c r="E146" i="4"/>
  <c r="J146" i="4"/>
  <c r="D146" i="4"/>
  <c r="I146" i="4"/>
  <c r="H146" i="4"/>
  <c r="B146" i="4"/>
  <c r="M146" i="4"/>
  <c r="G146" i="4"/>
  <c r="A146" i="4"/>
  <c r="F146" i="4"/>
  <c r="E38" i="4"/>
  <c r="J38" i="4"/>
  <c r="D38" i="4"/>
  <c r="I38" i="4"/>
  <c r="H38" i="4"/>
  <c r="B38" i="4"/>
  <c r="M38" i="4"/>
  <c r="G38" i="4"/>
  <c r="A38" i="4"/>
  <c r="F38" i="4"/>
  <c r="F241" i="4"/>
  <c r="E241" i="4"/>
  <c r="J241" i="4"/>
  <c r="D241" i="4"/>
  <c r="I241" i="4"/>
  <c r="H241" i="4"/>
  <c r="B241" i="4"/>
  <c r="M241" i="4"/>
  <c r="G241" i="4"/>
  <c r="A241" i="4"/>
  <c r="F133" i="4"/>
  <c r="E133" i="4"/>
  <c r="J133" i="4"/>
  <c r="D133" i="4"/>
  <c r="I133" i="4"/>
  <c r="H133" i="4"/>
  <c r="B133" i="4"/>
  <c r="M133" i="4"/>
  <c r="G133" i="4"/>
  <c r="A133" i="4"/>
  <c r="F25" i="4"/>
  <c r="E25" i="4"/>
  <c r="J25" i="4"/>
  <c r="D25" i="4"/>
  <c r="I25" i="4"/>
  <c r="H25" i="4"/>
  <c r="B25" i="4"/>
  <c r="M25" i="4"/>
  <c r="G25" i="4"/>
  <c r="A25" i="4"/>
  <c r="M228" i="4"/>
  <c r="G228" i="4"/>
  <c r="A228" i="4"/>
  <c r="F228" i="4"/>
  <c r="E228" i="4"/>
  <c r="J228" i="4"/>
  <c r="D228" i="4"/>
  <c r="I228" i="4"/>
  <c r="H228" i="4"/>
  <c r="B228" i="4"/>
  <c r="M120" i="4"/>
  <c r="G120" i="4"/>
  <c r="A120" i="4"/>
  <c r="F120" i="4"/>
  <c r="E120" i="4"/>
  <c r="J120" i="4"/>
  <c r="D120" i="4"/>
  <c r="I120" i="4"/>
  <c r="H120" i="4"/>
  <c r="B120" i="4"/>
  <c r="M448" i="4"/>
  <c r="G448" i="4"/>
  <c r="A448" i="4"/>
  <c r="F448" i="4"/>
  <c r="I448" i="4"/>
  <c r="J448" i="4"/>
  <c r="H448" i="4"/>
  <c r="E448" i="4"/>
  <c r="D448" i="4"/>
  <c r="B448" i="4"/>
  <c r="H215" i="4"/>
  <c r="B215" i="4"/>
  <c r="M215" i="4"/>
  <c r="G215" i="4"/>
  <c r="A215" i="4"/>
  <c r="F215" i="4"/>
  <c r="E215" i="4"/>
  <c r="J215" i="4"/>
  <c r="D215" i="4"/>
  <c r="I215" i="4"/>
  <c r="H107" i="4"/>
  <c r="B107" i="4"/>
  <c r="M107" i="4"/>
  <c r="G107" i="4"/>
  <c r="A107" i="4"/>
  <c r="F107" i="4"/>
  <c r="E107" i="4"/>
  <c r="J107" i="4"/>
  <c r="D107" i="4"/>
  <c r="I107" i="4"/>
  <c r="C347" i="4"/>
  <c r="I202" i="4"/>
  <c r="H202" i="4"/>
  <c r="B202" i="4"/>
  <c r="M202" i="4"/>
  <c r="G202" i="4"/>
  <c r="A202" i="4"/>
  <c r="F202" i="4"/>
  <c r="E202" i="4"/>
  <c r="J202" i="4"/>
  <c r="D202" i="4"/>
  <c r="I94" i="4"/>
  <c r="H94" i="4"/>
  <c r="B94" i="4"/>
  <c r="M94" i="4"/>
  <c r="G94" i="4"/>
  <c r="A94" i="4"/>
  <c r="F94" i="4"/>
  <c r="E94" i="4"/>
  <c r="J94" i="4"/>
  <c r="D94" i="4"/>
  <c r="C128" i="4"/>
  <c r="J105" i="4"/>
  <c r="D105" i="4"/>
  <c r="I105" i="4"/>
  <c r="H105" i="4"/>
  <c r="B105" i="4"/>
  <c r="M105" i="4"/>
  <c r="G105" i="4"/>
  <c r="A105" i="4"/>
  <c r="F105" i="4"/>
  <c r="E105" i="4"/>
  <c r="C68" i="4"/>
  <c r="M521" i="4"/>
  <c r="I531" i="4"/>
  <c r="H531" i="4"/>
  <c r="B531" i="4"/>
  <c r="M531" i="4"/>
  <c r="G531" i="4"/>
  <c r="A531" i="4"/>
  <c r="E531" i="4"/>
  <c r="J531" i="4"/>
  <c r="F531" i="4"/>
  <c r="D531" i="4"/>
  <c r="C649" i="4"/>
  <c r="E140" i="4"/>
  <c r="J140" i="4"/>
  <c r="D140" i="4"/>
  <c r="I140" i="4"/>
  <c r="H140" i="4"/>
  <c r="B140" i="4"/>
  <c r="M140" i="4"/>
  <c r="G140" i="4"/>
  <c r="A140" i="4"/>
  <c r="F140" i="4"/>
  <c r="H588" i="4"/>
  <c r="B588" i="4"/>
  <c r="G588" i="4"/>
  <c r="M588" i="4"/>
  <c r="F588" i="4"/>
  <c r="E588" i="4"/>
  <c r="J588" i="4"/>
  <c r="I588" i="4"/>
  <c r="D588" i="4"/>
  <c r="A588" i="4"/>
  <c r="H209" i="4"/>
  <c r="B209" i="4"/>
  <c r="M209" i="4"/>
  <c r="G209" i="4"/>
  <c r="A209" i="4"/>
  <c r="F209" i="4"/>
  <c r="E209" i="4"/>
  <c r="J209" i="4"/>
  <c r="D209" i="4"/>
  <c r="I209" i="4"/>
  <c r="I88" i="4"/>
  <c r="H88" i="4"/>
  <c r="B88" i="4"/>
  <c r="M88" i="4"/>
  <c r="G88" i="4"/>
  <c r="A88" i="4"/>
  <c r="F88" i="4"/>
  <c r="E88" i="4"/>
  <c r="J88" i="4"/>
  <c r="D88" i="4"/>
  <c r="I525" i="4"/>
  <c r="H525" i="4"/>
  <c r="B525" i="4"/>
  <c r="M525" i="4"/>
  <c r="G525" i="4"/>
  <c r="A525" i="4"/>
  <c r="E525" i="4"/>
  <c r="J525" i="4"/>
  <c r="F525" i="4"/>
  <c r="D525" i="4"/>
  <c r="C297" i="4"/>
  <c r="I355" i="4"/>
  <c r="H355" i="4"/>
  <c r="B355" i="4"/>
  <c r="M355" i="4"/>
  <c r="G355" i="4"/>
  <c r="A355" i="4"/>
  <c r="F355" i="4"/>
  <c r="E355" i="4"/>
  <c r="D355" i="4"/>
  <c r="J355" i="4"/>
  <c r="H568" i="4"/>
  <c r="B568" i="4"/>
  <c r="M568" i="4"/>
  <c r="G568" i="4"/>
  <c r="A568" i="4"/>
  <c r="F568" i="4"/>
  <c r="J568" i="4"/>
  <c r="D568" i="4"/>
  <c r="I568" i="4"/>
  <c r="E568" i="4"/>
  <c r="C352" i="4"/>
  <c r="M363" i="4"/>
  <c r="G363" i="4"/>
  <c r="A363" i="4"/>
  <c r="F363" i="4"/>
  <c r="E363" i="4"/>
  <c r="J363" i="4"/>
  <c r="D363" i="4"/>
  <c r="I363" i="4"/>
  <c r="H363" i="4"/>
  <c r="B363" i="4"/>
  <c r="E98" i="4"/>
  <c r="J98" i="4"/>
  <c r="D98" i="4"/>
  <c r="I98" i="4"/>
  <c r="H98" i="4"/>
  <c r="B98" i="4"/>
  <c r="M98" i="4"/>
  <c r="G98" i="4"/>
  <c r="A98" i="4"/>
  <c r="F98" i="4"/>
  <c r="M180" i="4"/>
  <c r="G180" i="4"/>
  <c r="A180" i="4"/>
  <c r="F180" i="4"/>
  <c r="E180" i="4"/>
  <c r="J180" i="4"/>
  <c r="D180" i="4"/>
  <c r="I180" i="4"/>
  <c r="H180" i="4"/>
  <c r="B180" i="4"/>
  <c r="E420" i="4"/>
  <c r="J420" i="4"/>
  <c r="D420" i="4"/>
  <c r="M420" i="4"/>
  <c r="G420" i="4"/>
  <c r="A420" i="4"/>
  <c r="B420" i="4"/>
  <c r="I420" i="4"/>
  <c r="H420" i="4"/>
  <c r="F420" i="4"/>
  <c r="M883" i="4"/>
  <c r="G883" i="4"/>
  <c r="A883" i="4"/>
  <c r="F883" i="4"/>
  <c r="E883" i="4"/>
  <c r="D883" i="4"/>
  <c r="B883" i="4"/>
  <c r="J883" i="4"/>
  <c r="I883" i="4"/>
  <c r="H883" i="4"/>
  <c r="F503" i="4"/>
  <c r="E503" i="4"/>
  <c r="J503" i="4"/>
  <c r="D503" i="4"/>
  <c r="I503" i="4"/>
  <c r="H503" i="4"/>
  <c r="B503" i="4"/>
  <c r="G503" i="4"/>
  <c r="A503" i="4"/>
  <c r="M503" i="4"/>
  <c r="I488" i="4"/>
  <c r="H488" i="4"/>
  <c r="B488" i="4"/>
  <c r="M488" i="4"/>
  <c r="G488" i="4"/>
  <c r="A488" i="4"/>
  <c r="F488" i="4"/>
  <c r="E488" i="4"/>
  <c r="J488" i="4"/>
  <c r="D488" i="4"/>
  <c r="E323" i="4"/>
  <c r="J323" i="4"/>
  <c r="D323" i="4"/>
  <c r="M323" i="4"/>
  <c r="G323" i="4"/>
  <c r="A323" i="4"/>
  <c r="I323" i="4"/>
  <c r="H323" i="4"/>
  <c r="F323" i="4"/>
  <c r="B323" i="4"/>
  <c r="I343" i="4"/>
  <c r="H343" i="4"/>
  <c r="B343" i="4"/>
  <c r="M343" i="4"/>
  <c r="G343" i="4"/>
  <c r="A343" i="4"/>
  <c r="F343" i="4"/>
  <c r="E343" i="4"/>
  <c r="J343" i="4"/>
  <c r="D343" i="4"/>
  <c r="H314" i="4"/>
  <c r="B314" i="4"/>
  <c r="M314" i="4"/>
  <c r="G314" i="4"/>
  <c r="A314" i="4"/>
  <c r="J314" i="4"/>
  <c r="D314" i="4"/>
  <c r="I314" i="4"/>
  <c r="F314" i="4"/>
  <c r="E314" i="4"/>
  <c r="J505" i="4"/>
  <c r="D505" i="4"/>
  <c r="I505" i="4"/>
  <c r="H505" i="4"/>
  <c r="B505" i="4"/>
  <c r="M505" i="4"/>
  <c r="G505" i="4"/>
  <c r="A505" i="4"/>
  <c r="F505" i="4"/>
  <c r="E505" i="4"/>
  <c r="J318" i="4"/>
  <c r="D318" i="4"/>
  <c r="I318" i="4"/>
  <c r="F318" i="4"/>
  <c r="E318" i="4"/>
  <c r="B318" i="4"/>
  <c r="M318" i="4"/>
  <c r="A318" i="4"/>
  <c r="H318" i="4"/>
  <c r="G318" i="4"/>
  <c r="I470" i="4"/>
  <c r="H470" i="4"/>
  <c r="B470" i="4"/>
  <c r="M470" i="4"/>
  <c r="G470" i="4"/>
  <c r="A470" i="4"/>
  <c r="F470" i="4"/>
  <c r="E470" i="4"/>
  <c r="D470" i="4"/>
  <c r="J470" i="4"/>
  <c r="E305" i="4"/>
  <c r="J305" i="4"/>
  <c r="D305" i="4"/>
  <c r="M305" i="4"/>
  <c r="G305" i="4"/>
  <c r="A305" i="4"/>
  <c r="F305" i="4"/>
  <c r="B305" i="4"/>
  <c r="I305" i="4"/>
  <c r="H305" i="4"/>
  <c r="H453" i="4"/>
  <c r="B453" i="4"/>
  <c r="M453" i="4"/>
  <c r="G453" i="4"/>
  <c r="A453" i="4"/>
  <c r="J453" i="4"/>
  <c r="D453" i="4"/>
  <c r="E453" i="4"/>
  <c r="I453" i="4"/>
  <c r="F453" i="4"/>
  <c r="J542" i="4"/>
  <c r="D542" i="4"/>
  <c r="I542" i="4"/>
  <c r="H542" i="4"/>
  <c r="B542" i="4"/>
  <c r="F542" i="4"/>
  <c r="G542" i="4"/>
  <c r="E542" i="4"/>
  <c r="A542" i="4"/>
  <c r="M542" i="4"/>
  <c r="E395" i="4"/>
  <c r="J395" i="4"/>
  <c r="D395" i="4"/>
  <c r="I395" i="4"/>
  <c r="H395" i="4"/>
  <c r="B395" i="4"/>
  <c r="M395" i="4"/>
  <c r="G395" i="4"/>
  <c r="A395" i="4"/>
  <c r="F395" i="4"/>
  <c r="J415" i="4"/>
  <c r="D415" i="4"/>
  <c r="F415" i="4"/>
  <c r="I415" i="4"/>
  <c r="A415" i="4"/>
  <c r="H415" i="4"/>
  <c r="G415" i="4"/>
  <c r="E415" i="4"/>
  <c r="M415" i="4"/>
  <c r="B415" i="4"/>
  <c r="C201" i="4"/>
  <c r="J117" i="4"/>
  <c r="D117" i="4"/>
  <c r="I117" i="4"/>
  <c r="H117" i="4"/>
  <c r="B117" i="4"/>
  <c r="M117" i="4"/>
  <c r="G117" i="4"/>
  <c r="A117" i="4"/>
  <c r="F117" i="4"/>
  <c r="E117" i="4"/>
  <c r="J647" i="4"/>
  <c r="D647" i="4"/>
  <c r="M647" i="4"/>
  <c r="F647" i="4"/>
  <c r="H647" i="4"/>
  <c r="G647" i="4"/>
  <c r="E647" i="4"/>
  <c r="B647" i="4"/>
  <c r="I647" i="4"/>
  <c r="A647" i="4"/>
  <c r="C467" i="4"/>
  <c r="M412" i="4"/>
  <c r="G412" i="4"/>
  <c r="A412" i="4"/>
  <c r="I412" i="4"/>
  <c r="D412" i="4"/>
  <c r="B412" i="4"/>
  <c r="J412" i="4"/>
  <c r="H412" i="4"/>
  <c r="F412" i="4"/>
  <c r="E412" i="4"/>
  <c r="M351" i="4"/>
  <c r="G351" i="4"/>
  <c r="A351" i="4"/>
  <c r="F351" i="4"/>
  <c r="E351" i="4"/>
  <c r="J351" i="4"/>
  <c r="D351" i="4"/>
  <c r="I351" i="4"/>
  <c r="H351" i="4"/>
  <c r="B351" i="4"/>
  <c r="H356" i="4"/>
  <c r="B356" i="4"/>
  <c r="M356" i="4"/>
  <c r="G356" i="4"/>
  <c r="A356" i="4"/>
  <c r="F356" i="4"/>
  <c r="E356" i="4"/>
  <c r="J356" i="4"/>
  <c r="D356" i="4"/>
  <c r="I356" i="4"/>
  <c r="J312" i="4"/>
  <c r="D312" i="4"/>
  <c r="I312" i="4"/>
  <c r="F312" i="4"/>
  <c r="H312" i="4"/>
  <c r="G312" i="4"/>
  <c r="E312" i="4"/>
  <c r="B312" i="4"/>
  <c r="M312" i="4"/>
  <c r="A312" i="4"/>
  <c r="E86" i="4"/>
  <c r="J86" i="4"/>
  <c r="D86" i="4"/>
  <c r="I86" i="4"/>
  <c r="H86" i="4"/>
  <c r="B86" i="4"/>
  <c r="M86" i="4"/>
  <c r="G86" i="4"/>
  <c r="A86" i="4"/>
  <c r="F86" i="4"/>
  <c r="F181" i="4"/>
  <c r="E181" i="4"/>
  <c r="J181" i="4"/>
  <c r="D181" i="4"/>
  <c r="I181" i="4"/>
  <c r="H181" i="4"/>
  <c r="B181" i="4"/>
  <c r="G181" i="4"/>
  <c r="A181" i="4"/>
  <c r="M181" i="4"/>
  <c r="M276" i="4"/>
  <c r="G276" i="4"/>
  <c r="A276" i="4"/>
  <c r="F276" i="4"/>
  <c r="E276" i="4"/>
  <c r="J276" i="4"/>
  <c r="D276" i="4"/>
  <c r="I276" i="4"/>
  <c r="H276" i="4"/>
  <c r="B276" i="4"/>
  <c r="M60" i="4"/>
  <c r="G60" i="4"/>
  <c r="A60" i="4"/>
  <c r="F60" i="4"/>
  <c r="E60" i="4"/>
  <c r="J60" i="4"/>
  <c r="D60" i="4"/>
  <c r="I60" i="4"/>
  <c r="H60" i="4"/>
  <c r="B60" i="4"/>
  <c r="H155" i="4"/>
  <c r="B155" i="4"/>
  <c r="M155" i="4"/>
  <c r="G155" i="4"/>
  <c r="A155" i="4"/>
  <c r="F155" i="4"/>
  <c r="E155" i="4"/>
  <c r="J155" i="4"/>
  <c r="D155" i="4"/>
  <c r="I155" i="4"/>
  <c r="I250" i="4"/>
  <c r="H250" i="4"/>
  <c r="B250" i="4"/>
  <c r="M250" i="4"/>
  <c r="G250" i="4"/>
  <c r="A250" i="4"/>
  <c r="F250" i="4"/>
  <c r="E250" i="4"/>
  <c r="J250" i="4"/>
  <c r="D250" i="4"/>
  <c r="I34" i="4"/>
  <c r="H34" i="4"/>
  <c r="B34" i="4"/>
  <c r="M34" i="4"/>
  <c r="G34" i="4"/>
  <c r="A34" i="4"/>
  <c r="F34" i="4"/>
  <c r="E34" i="4"/>
  <c r="J34" i="4"/>
  <c r="D34" i="4"/>
  <c r="J75" i="4"/>
  <c r="D75" i="4"/>
  <c r="I75" i="4"/>
  <c r="H75" i="4"/>
  <c r="B75" i="4"/>
  <c r="M75" i="4"/>
  <c r="G75" i="4"/>
  <c r="A75" i="4"/>
  <c r="F75" i="4"/>
  <c r="E75" i="4"/>
  <c r="M589" i="4"/>
  <c r="G589" i="4"/>
  <c r="A589" i="4"/>
  <c r="I589" i="4"/>
  <c r="B589" i="4"/>
  <c r="H589" i="4"/>
  <c r="F589" i="4"/>
  <c r="D589" i="4"/>
  <c r="J589" i="4"/>
  <c r="E589" i="4"/>
  <c r="E281" i="4"/>
  <c r="M281" i="4"/>
  <c r="G281" i="4"/>
  <c r="A281" i="4"/>
  <c r="F281" i="4"/>
  <c r="D281" i="4"/>
  <c r="J281" i="4"/>
  <c r="B281" i="4"/>
  <c r="I281" i="4"/>
  <c r="H281" i="4"/>
  <c r="J683" i="4"/>
  <c r="D683" i="4"/>
  <c r="H683" i="4"/>
  <c r="A683" i="4"/>
  <c r="G683" i="4"/>
  <c r="M683" i="4"/>
  <c r="F683" i="4"/>
  <c r="B683" i="4"/>
  <c r="I683" i="4"/>
  <c r="E683" i="4"/>
  <c r="I549" i="4"/>
  <c r="H549" i="4"/>
  <c r="B549" i="4"/>
  <c r="M549" i="4"/>
  <c r="G549" i="4"/>
  <c r="A549" i="4"/>
  <c r="E549" i="4"/>
  <c r="J549" i="4"/>
  <c r="F549" i="4"/>
  <c r="D549" i="4"/>
  <c r="E486" i="4"/>
  <c r="J486" i="4"/>
  <c r="D486" i="4"/>
  <c r="I486" i="4"/>
  <c r="H486" i="4"/>
  <c r="B486" i="4"/>
  <c r="M486" i="4"/>
  <c r="G486" i="4"/>
  <c r="A486" i="4"/>
  <c r="F486" i="4"/>
  <c r="F431" i="4"/>
  <c r="E431" i="4"/>
  <c r="H431" i="4"/>
  <c r="B431" i="4"/>
  <c r="M431" i="4"/>
  <c r="A431" i="4"/>
  <c r="J431" i="4"/>
  <c r="I431" i="4"/>
  <c r="G431" i="4"/>
  <c r="D431" i="4"/>
  <c r="I416" i="4"/>
  <c r="H416" i="4"/>
  <c r="E416" i="4"/>
  <c r="F416" i="4"/>
  <c r="D416" i="4"/>
  <c r="M416" i="4"/>
  <c r="B416" i="4"/>
  <c r="A416" i="4"/>
  <c r="J416" i="4"/>
  <c r="G416" i="4"/>
  <c r="E359" i="4"/>
  <c r="J359" i="4"/>
  <c r="D359" i="4"/>
  <c r="I359" i="4"/>
  <c r="H359" i="4"/>
  <c r="B359" i="4"/>
  <c r="M359" i="4"/>
  <c r="G359" i="4"/>
  <c r="A359" i="4"/>
  <c r="F359" i="4"/>
  <c r="J445" i="4"/>
  <c r="D445" i="4"/>
  <c r="I445" i="4"/>
  <c r="F445" i="4"/>
  <c r="M445" i="4"/>
  <c r="A445" i="4"/>
  <c r="H445" i="4"/>
  <c r="G445" i="4"/>
  <c r="E445" i="4"/>
  <c r="B445" i="4"/>
  <c r="C374" i="4"/>
  <c r="I379" i="4"/>
  <c r="H379" i="4"/>
  <c r="B379" i="4"/>
  <c r="M379" i="4"/>
  <c r="G379" i="4"/>
  <c r="A379" i="4"/>
  <c r="F379" i="4"/>
  <c r="E379" i="4"/>
  <c r="J379" i="4"/>
  <c r="D379" i="4"/>
  <c r="J396" i="4"/>
  <c r="D396" i="4"/>
  <c r="I396" i="4"/>
  <c r="H396" i="4"/>
  <c r="B396" i="4"/>
  <c r="M396" i="4"/>
  <c r="G396" i="4"/>
  <c r="A396" i="4"/>
  <c r="F396" i="4"/>
  <c r="E396" i="4"/>
  <c r="C217" i="4"/>
  <c r="C109" i="4"/>
  <c r="M333" i="4"/>
  <c r="G333" i="4"/>
  <c r="A333" i="4"/>
  <c r="F333" i="4"/>
  <c r="I333" i="4"/>
  <c r="B333" i="4"/>
  <c r="J333" i="4"/>
  <c r="H333" i="4"/>
  <c r="E333" i="4"/>
  <c r="D333" i="4"/>
  <c r="C204" i="4"/>
  <c r="C96" i="4"/>
  <c r="C307" i="4"/>
  <c r="C191" i="4"/>
  <c r="C83" i="4"/>
  <c r="H290" i="4"/>
  <c r="B290" i="4"/>
  <c r="J290" i="4"/>
  <c r="D290" i="4"/>
  <c r="F290" i="4"/>
  <c r="M290" i="4"/>
  <c r="E290" i="4"/>
  <c r="A290" i="4"/>
  <c r="I290" i="4"/>
  <c r="G290" i="4"/>
  <c r="C178" i="4"/>
  <c r="C70" i="4"/>
  <c r="C273" i="4"/>
  <c r="C165" i="4"/>
  <c r="C57" i="4"/>
  <c r="C194" i="4"/>
  <c r="J171" i="4"/>
  <c r="D171" i="4"/>
  <c r="I171" i="4"/>
  <c r="H171" i="4"/>
  <c r="B171" i="4"/>
  <c r="M171" i="4"/>
  <c r="G171" i="4"/>
  <c r="A171" i="4"/>
  <c r="F171" i="4"/>
  <c r="E171" i="4"/>
  <c r="J123" i="4"/>
  <c r="D123" i="4"/>
  <c r="I123" i="4"/>
  <c r="H123" i="4"/>
  <c r="B123" i="4"/>
  <c r="M123" i="4"/>
  <c r="G123" i="4"/>
  <c r="A123" i="4"/>
  <c r="F123" i="4"/>
  <c r="E123" i="4"/>
  <c r="C431" i="4"/>
  <c r="M496" i="4"/>
  <c r="G496" i="4"/>
  <c r="A496" i="4"/>
  <c r="F496" i="4"/>
  <c r="E496" i="4"/>
  <c r="J496" i="4"/>
  <c r="D496" i="4"/>
  <c r="I496" i="4"/>
  <c r="H496" i="4"/>
  <c r="B496" i="4"/>
  <c r="H477" i="4"/>
  <c r="B477" i="4"/>
  <c r="M477" i="4"/>
  <c r="G477" i="4"/>
  <c r="A477" i="4"/>
  <c r="F477" i="4"/>
  <c r="E477" i="4"/>
  <c r="J477" i="4"/>
  <c r="D477" i="4"/>
  <c r="I477" i="4"/>
  <c r="F370" i="4"/>
  <c r="E370" i="4"/>
  <c r="J370" i="4"/>
  <c r="D370" i="4"/>
  <c r="I370" i="4"/>
  <c r="H370" i="4"/>
  <c r="B370" i="4"/>
  <c r="M370" i="4"/>
  <c r="G370" i="4"/>
  <c r="A370" i="4"/>
  <c r="M442" i="4"/>
  <c r="G442" i="4"/>
  <c r="A442" i="4"/>
  <c r="F442" i="4"/>
  <c r="I442" i="4"/>
  <c r="D442" i="4"/>
  <c r="B442" i="4"/>
  <c r="J442" i="4"/>
  <c r="H442" i="4"/>
  <c r="E442" i="4"/>
  <c r="C452" i="4"/>
  <c r="C450" i="4"/>
  <c r="E266" i="4"/>
  <c r="J266" i="4"/>
  <c r="D266" i="4"/>
  <c r="I266" i="4"/>
  <c r="H266" i="4"/>
  <c r="B266" i="4"/>
  <c r="M266" i="4"/>
  <c r="G266" i="4"/>
  <c r="A266" i="4"/>
  <c r="F266" i="4"/>
  <c r="E158" i="4"/>
  <c r="J158" i="4"/>
  <c r="D158" i="4"/>
  <c r="I158" i="4"/>
  <c r="H158" i="4"/>
  <c r="B158" i="4"/>
  <c r="M158" i="4"/>
  <c r="G158" i="4"/>
  <c r="A158" i="4"/>
  <c r="F158" i="4"/>
  <c r="E50" i="4"/>
  <c r="J50" i="4"/>
  <c r="D50" i="4"/>
  <c r="I50" i="4"/>
  <c r="H50" i="4"/>
  <c r="B50" i="4"/>
  <c r="M50" i="4"/>
  <c r="G50" i="4"/>
  <c r="A50" i="4"/>
  <c r="F50" i="4"/>
  <c r="F253" i="4"/>
  <c r="E253" i="4"/>
  <c r="J253" i="4"/>
  <c r="D253" i="4"/>
  <c r="I253" i="4"/>
  <c r="H253" i="4"/>
  <c r="B253" i="4"/>
  <c r="G253" i="4"/>
  <c r="A253" i="4"/>
  <c r="M253" i="4"/>
  <c r="F145" i="4"/>
  <c r="E145" i="4"/>
  <c r="J145" i="4"/>
  <c r="D145" i="4"/>
  <c r="I145" i="4"/>
  <c r="H145" i="4"/>
  <c r="B145" i="4"/>
  <c r="G145" i="4"/>
  <c r="A145" i="4"/>
  <c r="M145" i="4"/>
  <c r="F37" i="4"/>
  <c r="E37" i="4"/>
  <c r="J37" i="4"/>
  <c r="D37" i="4"/>
  <c r="I37" i="4"/>
  <c r="H37" i="4"/>
  <c r="B37" i="4"/>
  <c r="G37" i="4"/>
  <c r="A37" i="4"/>
  <c r="M37" i="4"/>
  <c r="M240" i="4"/>
  <c r="G240" i="4"/>
  <c r="A240" i="4"/>
  <c r="F240" i="4"/>
  <c r="E240" i="4"/>
  <c r="J240" i="4"/>
  <c r="D240" i="4"/>
  <c r="I240" i="4"/>
  <c r="H240" i="4"/>
  <c r="B240" i="4"/>
  <c r="M132" i="4"/>
  <c r="G132" i="4"/>
  <c r="A132" i="4"/>
  <c r="F132" i="4"/>
  <c r="E132" i="4"/>
  <c r="J132" i="4"/>
  <c r="D132" i="4"/>
  <c r="I132" i="4"/>
  <c r="H132" i="4"/>
  <c r="B132" i="4"/>
  <c r="M24" i="4"/>
  <c r="G24" i="4"/>
  <c r="A24" i="4"/>
  <c r="F24" i="4"/>
  <c r="E24" i="4"/>
  <c r="J24" i="4"/>
  <c r="D24" i="4"/>
  <c r="I24" i="4"/>
  <c r="H24" i="4"/>
  <c r="B24" i="4"/>
  <c r="H227" i="4"/>
  <c r="B227" i="4"/>
  <c r="M227" i="4"/>
  <c r="G227" i="4"/>
  <c r="A227" i="4"/>
  <c r="F227" i="4"/>
  <c r="E227" i="4"/>
  <c r="J227" i="4"/>
  <c r="D227" i="4"/>
  <c r="I227" i="4"/>
  <c r="H119" i="4"/>
  <c r="B119" i="4"/>
  <c r="M119" i="4"/>
  <c r="G119" i="4"/>
  <c r="A119" i="4"/>
  <c r="F119" i="4"/>
  <c r="E119" i="4"/>
  <c r="J119" i="4"/>
  <c r="D119" i="4"/>
  <c r="I119" i="4"/>
  <c r="M436" i="4"/>
  <c r="G436" i="4"/>
  <c r="A436" i="4"/>
  <c r="F436" i="4"/>
  <c r="I436" i="4"/>
  <c r="J436" i="4"/>
  <c r="H436" i="4"/>
  <c r="E436" i="4"/>
  <c r="D436" i="4"/>
  <c r="B436" i="4"/>
  <c r="I214" i="4"/>
  <c r="H214" i="4"/>
  <c r="B214" i="4"/>
  <c r="M214" i="4"/>
  <c r="G214" i="4"/>
  <c r="A214" i="4"/>
  <c r="F214" i="4"/>
  <c r="E214" i="4"/>
  <c r="J214" i="4"/>
  <c r="D214" i="4"/>
  <c r="I106" i="4"/>
  <c r="H106" i="4"/>
  <c r="B106" i="4"/>
  <c r="M106" i="4"/>
  <c r="G106" i="4"/>
  <c r="A106" i="4"/>
  <c r="F106" i="4"/>
  <c r="E106" i="4"/>
  <c r="J106" i="4"/>
  <c r="D106" i="4"/>
  <c r="J177" i="4"/>
  <c r="D177" i="4"/>
  <c r="I177" i="4"/>
  <c r="H177" i="4"/>
  <c r="B177" i="4"/>
  <c r="M177" i="4"/>
  <c r="G177" i="4"/>
  <c r="A177" i="4"/>
  <c r="F177" i="4"/>
  <c r="E177" i="4"/>
  <c r="C140" i="4"/>
  <c r="I543" i="4"/>
  <c r="H543" i="4"/>
  <c r="B543" i="4"/>
  <c r="M543" i="4"/>
  <c r="G543" i="4"/>
  <c r="A543" i="4"/>
  <c r="E543" i="4"/>
  <c r="J543" i="4"/>
  <c r="F543" i="4"/>
  <c r="D543" i="4"/>
  <c r="E480" i="4"/>
  <c r="J480" i="4"/>
  <c r="D480" i="4"/>
  <c r="I480" i="4"/>
  <c r="H480" i="4"/>
  <c r="B480" i="4"/>
  <c r="M480" i="4"/>
  <c r="G480" i="4"/>
  <c r="A480" i="4"/>
  <c r="F480" i="4"/>
  <c r="C589" i="4"/>
  <c r="F425" i="4"/>
  <c r="E425" i="4"/>
  <c r="H425" i="4"/>
  <c r="B425" i="4"/>
  <c r="I425" i="4"/>
  <c r="G425" i="4"/>
  <c r="D425" i="4"/>
  <c r="M425" i="4"/>
  <c r="A425" i="4"/>
  <c r="J425" i="4"/>
  <c r="I410" i="4"/>
  <c r="E410" i="4"/>
  <c r="B410" i="4"/>
  <c r="J410" i="4"/>
  <c r="A410" i="4"/>
  <c r="H410" i="4"/>
  <c r="G410" i="4"/>
  <c r="F410" i="4"/>
  <c r="M410" i="4"/>
  <c r="D410" i="4"/>
  <c r="E353" i="4"/>
  <c r="J353" i="4"/>
  <c r="D353" i="4"/>
  <c r="I353" i="4"/>
  <c r="H353" i="4"/>
  <c r="B353" i="4"/>
  <c r="M353" i="4"/>
  <c r="G353" i="4"/>
  <c r="A353" i="4"/>
  <c r="F353" i="4"/>
  <c r="J433" i="4"/>
  <c r="D433" i="4"/>
  <c r="I433" i="4"/>
  <c r="F433" i="4"/>
  <c r="M433" i="4"/>
  <c r="A433" i="4"/>
  <c r="H433" i="4"/>
  <c r="G433" i="4"/>
  <c r="E433" i="4"/>
  <c r="B433" i="4"/>
  <c r="C368" i="4"/>
  <c r="I373" i="4"/>
  <c r="H373" i="4"/>
  <c r="B373" i="4"/>
  <c r="M373" i="4"/>
  <c r="G373" i="4"/>
  <c r="A373" i="4"/>
  <c r="F373" i="4"/>
  <c r="E373" i="4"/>
  <c r="J373" i="4"/>
  <c r="D373" i="4"/>
  <c r="J360" i="4"/>
  <c r="D360" i="4"/>
  <c r="I360" i="4"/>
  <c r="H360" i="4"/>
  <c r="B360" i="4"/>
  <c r="M360" i="4"/>
  <c r="G360" i="4"/>
  <c r="A360" i="4"/>
  <c r="F360" i="4"/>
  <c r="E360" i="4"/>
  <c r="M321" i="4"/>
  <c r="G321" i="4"/>
  <c r="A321" i="4"/>
  <c r="F321" i="4"/>
  <c r="I321" i="4"/>
  <c r="B321" i="4"/>
  <c r="J321" i="4"/>
  <c r="H321" i="4"/>
  <c r="E321" i="4"/>
  <c r="D321" i="4"/>
  <c r="C295" i="4"/>
  <c r="C283" i="4"/>
  <c r="C158" i="4"/>
  <c r="J135" i="4"/>
  <c r="D135" i="4"/>
  <c r="I135" i="4"/>
  <c r="H135" i="4"/>
  <c r="B135" i="4"/>
  <c r="M135" i="4"/>
  <c r="G135" i="4"/>
  <c r="A135" i="4"/>
  <c r="F135" i="4"/>
  <c r="E135" i="4"/>
  <c r="J87" i="4"/>
  <c r="D87" i="4"/>
  <c r="I87" i="4"/>
  <c r="H87" i="4"/>
  <c r="B87" i="4"/>
  <c r="M87" i="4"/>
  <c r="G87" i="4"/>
  <c r="A87" i="4"/>
  <c r="F87" i="4"/>
  <c r="E87" i="4"/>
  <c r="C733" i="4"/>
  <c r="C560" i="4"/>
  <c r="C497" i="4"/>
  <c r="F614" i="4"/>
  <c r="H614" i="4"/>
  <c r="A614" i="4"/>
  <c r="G614" i="4"/>
  <c r="M614" i="4"/>
  <c r="E614" i="4"/>
  <c r="J614" i="4"/>
  <c r="I614" i="4"/>
  <c r="D614" i="4"/>
  <c r="B614" i="4"/>
  <c r="C442" i="4"/>
  <c r="C671" i="4"/>
  <c r="C580" i="4"/>
  <c r="C427" i="4"/>
  <c r="C370" i="4"/>
  <c r="J469" i="4"/>
  <c r="D469" i="4"/>
  <c r="I469" i="4"/>
  <c r="H469" i="4"/>
  <c r="B469" i="4"/>
  <c r="M469" i="4"/>
  <c r="G469" i="4"/>
  <c r="A469" i="4"/>
  <c r="F469" i="4"/>
  <c r="E469" i="4"/>
  <c r="F328" i="4"/>
  <c r="E328" i="4"/>
  <c r="H328" i="4"/>
  <c r="B328" i="4"/>
  <c r="G328" i="4"/>
  <c r="D328" i="4"/>
  <c r="M328" i="4"/>
  <c r="A328" i="4"/>
  <c r="J328" i="4"/>
  <c r="I328" i="4"/>
  <c r="M381" i="4"/>
  <c r="G381" i="4"/>
  <c r="A381" i="4"/>
  <c r="F381" i="4"/>
  <c r="E381" i="4"/>
  <c r="J381" i="4"/>
  <c r="D381" i="4"/>
  <c r="I381" i="4"/>
  <c r="H381" i="4"/>
  <c r="B381" i="4"/>
  <c r="H386" i="4"/>
  <c r="B386" i="4"/>
  <c r="M386" i="4"/>
  <c r="G386" i="4"/>
  <c r="A386" i="4"/>
  <c r="F386" i="4"/>
  <c r="E386" i="4"/>
  <c r="J386" i="4"/>
  <c r="D386" i="4"/>
  <c r="I386" i="4"/>
  <c r="C282" i="4"/>
  <c r="E224" i="4"/>
  <c r="J224" i="4"/>
  <c r="D224" i="4"/>
  <c r="I224" i="4"/>
  <c r="H224" i="4"/>
  <c r="B224" i="4"/>
  <c r="M224" i="4"/>
  <c r="G224" i="4"/>
  <c r="A224" i="4"/>
  <c r="F224" i="4"/>
  <c r="E116" i="4"/>
  <c r="J116" i="4"/>
  <c r="D116" i="4"/>
  <c r="I116" i="4"/>
  <c r="H116" i="4"/>
  <c r="B116" i="4"/>
  <c r="M116" i="4"/>
  <c r="G116" i="4"/>
  <c r="A116" i="4"/>
  <c r="F116" i="4"/>
  <c r="J390" i="4"/>
  <c r="D390" i="4"/>
  <c r="I390" i="4"/>
  <c r="H390" i="4"/>
  <c r="B390" i="4"/>
  <c r="M390" i="4"/>
  <c r="G390" i="4"/>
  <c r="A390" i="4"/>
  <c r="F390" i="4"/>
  <c r="E390" i="4"/>
  <c r="F211" i="4"/>
  <c r="E211" i="4"/>
  <c r="J211" i="4"/>
  <c r="D211" i="4"/>
  <c r="I211" i="4"/>
  <c r="H211" i="4"/>
  <c r="B211" i="4"/>
  <c r="M211" i="4"/>
  <c r="G211" i="4"/>
  <c r="A211" i="4"/>
  <c r="F103" i="4"/>
  <c r="E103" i="4"/>
  <c r="J103" i="4"/>
  <c r="D103" i="4"/>
  <c r="I103" i="4"/>
  <c r="H103" i="4"/>
  <c r="B103" i="4"/>
  <c r="M103" i="4"/>
  <c r="G103" i="4"/>
  <c r="A103" i="4"/>
  <c r="H320" i="4"/>
  <c r="B320" i="4"/>
  <c r="M320" i="4"/>
  <c r="G320" i="4"/>
  <c r="A320" i="4"/>
  <c r="J320" i="4"/>
  <c r="D320" i="4"/>
  <c r="I320" i="4"/>
  <c r="F320" i="4"/>
  <c r="E320" i="4"/>
  <c r="M198" i="4"/>
  <c r="G198" i="4"/>
  <c r="A198" i="4"/>
  <c r="F198" i="4"/>
  <c r="E198" i="4"/>
  <c r="J198" i="4"/>
  <c r="D198" i="4"/>
  <c r="I198" i="4"/>
  <c r="B198" i="4"/>
  <c r="H198" i="4"/>
  <c r="M90" i="4"/>
  <c r="G90" i="4"/>
  <c r="A90" i="4"/>
  <c r="F90" i="4"/>
  <c r="E90" i="4"/>
  <c r="J90" i="4"/>
  <c r="D90" i="4"/>
  <c r="I90" i="4"/>
  <c r="B90" i="4"/>
  <c r="H90" i="4"/>
  <c r="J306" i="4"/>
  <c r="D306" i="4"/>
  <c r="I306" i="4"/>
  <c r="F306" i="4"/>
  <c r="E306" i="4"/>
  <c r="B306" i="4"/>
  <c r="M306" i="4"/>
  <c r="A306" i="4"/>
  <c r="H306" i="4"/>
  <c r="G306" i="4"/>
  <c r="H185" i="4"/>
  <c r="B185" i="4"/>
  <c r="M185" i="4"/>
  <c r="G185" i="4"/>
  <c r="A185" i="4"/>
  <c r="F185" i="4"/>
  <c r="E185" i="4"/>
  <c r="J185" i="4"/>
  <c r="D185" i="4"/>
  <c r="I185" i="4"/>
  <c r="H77" i="4"/>
  <c r="B77" i="4"/>
  <c r="M77" i="4"/>
  <c r="G77" i="4"/>
  <c r="A77" i="4"/>
  <c r="F77" i="4"/>
  <c r="E77" i="4"/>
  <c r="J77" i="4"/>
  <c r="D77" i="4"/>
  <c r="I77" i="4"/>
  <c r="C287" i="4"/>
  <c r="I172" i="4"/>
  <c r="H172" i="4"/>
  <c r="B172" i="4"/>
  <c r="M172" i="4"/>
  <c r="G172" i="4"/>
  <c r="A172" i="4"/>
  <c r="F172" i="4"/>
  <c r="E172" i="4"/>
  <c r="J172" i="4"/>
  <c r="D172" i="4"/>
  <c r="I64" i="4"/>
  <c r="H64" i="4"/>
  <c r="B64" i="4"/>
  <c r="M64" i="4"/>
  <c r="G64" i="4"/>
  <c r="A64" i="4"/>
  <c r="F64" i="4"/>
  <c r="E64" i="4"/>
  <c r="J64" i="4"/>
  <c r="D64" i="4"/>
  <c r="J255" i="4"/>
  <c r="D255" i="4"/>
  <c r="I255" i="4"/>
  <c r="H255" i="4"/>
  <c r="B255" i="4"/>
  <c r="M255" i="4"/>
  <c r="G255" i="4"/>
  <c r="A255" i="4"/>
  <c r="F255" i="4"/>
  <c r="E255" i="4"/>
  <c r="C170" i="4"/>
  <c r="M625" i="4"/>
  <c r="G625" i="4"/>
  <c r="A625" i="4"/>
  <c r="I625" i="4"/>
  <c r="B625" i="4"/>
  <c r="H625" i="4"/>
  <c r="F625" i="4"/>
  <c r="D625" i="4"/>
  <c r="J625" i="4"/>
  <c r="E625" i="4"/>
  <c r="F626" i="4"/>
  <c r="J626" i="4"/>
  <c r="I626" i="4"/>
  <c r="B626" i="4"/>
  <c r="H626" i="4"/>
  <c r="A626" i="4"/>
  <c r="M626" i="4"/>
  <c r="E626" i="4"/>
  <c r="G626" i="4"/>
  <c r="D626" i="4"/>
  <c r="E438" i="4"/>
  <c r="J438" i="4"/>
  <c r="D438" i="4"/>
  <c r="M438" i="4"/>
  <c r="G438" i="4"/>
  <c r="A438" i="4"/>
  <c r="H438" i="4"/>
  <c r="F438" i="4"/>
  <c r="B438" i="4"/>
  <c r="I438" i="4"/>
  <c r="F491" i="4"/>
  <c r="E491" i="4"/>
  <c r="J491" i="4"/>
  <c r="D491" i="4"/>
  <c r="I491" i="4"/>
  <c r="H491" i="4"/>
  <c r="B491" i="4"/>
  <c r="M491" i="4"/>
  <c r="G491" i="4"/>
  <c r="A491" i="4"/>
  <c r="C507" i="4"/>
  <c r="C488" i="4"/>
  <c r="I476" i="4"/>
  <c r="H476" i="4"/>
  <c r="B476" i="4"/>
  <c r="M476" i="4"/>
  <c r="G476" i="4"/>
  <c r="A476" i="4"/>
  <c r="F476" i="4"/>
  <c r="E476" i="4"/>
  <c r="J476" i="4"/>
  <c r="D476" i="4"/>
  <c r="H435" i="4"/>
  <c r="B435" i="4"/>
  <c r="M435" i="4"/>
  <c r="G435" i="4"/>
  <c r="A435" i="4"/>
  <c r="J435" i="4"/>
  <c r="D435" i="4"/>
  <c r="I435" i="4"/>
  <c r="F435" i="4"/>
  <c r="E435" i="4"/>
  <c r="E311" i="4"/>
  <c r="J311" i="4"/>
  <c r="D311" i="4"/>
  <c r="M311" i="4"/>
  <c r="G311" i="4"/>
  <c r="A311" i="4"/>
  <c r="I311" i="4"/>
  <c r="H311" i="4"/>
  <c r="F311" i="4"/>
  <c r="B311" i="4"/>
  <c r="C381" i="4"/>
  <c r="C474" i="4"/>
  <c r="J493" i="4"/>
  <c r="D493" i="4"/>
  <c r="I493" i="4"/>
  <c r="H493" i="4"/>
  <c r="B493" i="4"/>
  <c r="M493" i="4"/>
  <c r="G493" i="4"/>
  <c r="A493" i="4"/>
  <c r="F493" i="4"/>
  <c r="E493" i="4"/>
  <c r="J487" i="4"/>
  <c r="D487" i="4"/>
  <c r="I487" i="4"/>
  <c r="H487" i="4"/>
  <c r="B487" i="4"/>
  <c r="M487" i="4"/>
  <c r="G487" i="4"/>
  <c r="A487" i="4"/>
  <c r="F487" i="4"/>
  <c r="E487" i="4"/>
  <c r="I331" i="4"/>
  <c r="H331" i="4"/>
  <c r="B331" i="4"/>
  <c r="E331" i="4"/>
  <c r="D331" i="4"/>
  <c r="M331" i="4"/>
  <c r="A331" i="4"/>
  <c r="J331" i="4"/>
  <c r="G331" i="4"/>
  <c r="F331" i="4"/>
  <c r="C225" i="4"/>
  <c r="C117" i="4"/>
  <c r="J261" i="4"/>
  <c r="D261" i="4"/>
  <c r="I261" i="4"/>
  <c r="H261" i="4"/>
  <c r="B261" i="4"/>
  <c r="M261" i="4"/>
  <c r="G261" i="4"/>
  <c r="A261" i="4"/>
  <c r="F261" i="4"/>
  <c r="E261" i="4"/>
  <c r="C224" i="4"/>
  <c r="J93" i="4"/>
  <c r="D93" i="4"/>
  <c r="I93" i="4"/>
  <c r="H93" i="4"/>
  <c r="B93" i="4"/>
  <c r="M93" i="4"/>
  <c r="G93" i="4"/>
  <c r="A93" i="4"/>
  <c r="F93" i="4"/>
  <c r="E93" i="4"/>
  <c r="I623" i="4"/>
  <c r="M623" i="4"/>
  <c r="F623" i="4"/>
  <c r="E623" i="4"/>
  <c r="D623" i="4"/>
  <c r="H623" i="4"/>
  <c r="A623" i="4"/>
  <c r="G623" i="4"/>
  <c r="B623" i="4"/>
  <c r="J623" i="4"/>
  <c r="I581" i="4"/>
  <c r="E581" i="4"/>
  <c r="D581" i="4"/>
  <c r="J581" i="4"/>
  <c r="B581" i="4"/>
  <c r="G581" i="4"/>
  <c r="M581" i="4"/>
  <c r="H581" i="4"/>
  <c r="F581" i="4"/>
  <c r="A581" i="4"/>
  <c r="C706" i="4"/>
  <c r="E634" i="4"/>
  <c r="I634" i="4"/>
  <c r="B634" i="4"/>
  <c r="M634" i="4"/>
  <c r="D634" i="4"/>
  <c r="J634" i="4"/>
  <c r="A634" i="4"/>
  <c r="G634" i="4"/>
  <c r="H634" i="4"/>
  <c r="F634" i="4"/>
  <c r="H742" i="4"/>
  <c r="B742" i="4"/>
  <c r="F742" i="4"/>
  <c r="E742" i="4"/>
  <c r="M742" i="4"/>
  <c r="A742" i="4"/>
  <c r="J742" i="4"/>
  <c r="I742" i="4"/>
  <c r="G742" i="4"/>
  <c r="D742" i="4"/>
  <c r="C780" i="4"/>
  <c r="J898" i="4"/>
  <c r="D898" i="4"/>
  <c r="M898" i="4"/>
  <c r="G898" i="4"/>
  <c r="A898" i="4"/>
  <c r="H898" i="4"/>
  <c r="I898" i="4"/>
  <c r="F898" i="4"/>
  <c r="E898" i="4"/>
  <c r="B898" i="4"/>
  <c r="C808" i="4"/>
  <c r="C881" i="4"/>
  <c r="M865" i="4"/>
  <c r="G865" i="4"/>
  <c r="A865" i="4"/>
  <c r="F865" i="4"/>
  <c r="J865" i="4"/>
  <c r="B865" i="4"/>
  <c r="I865" i="4"/>
  <c r="H865" i="4"/>
  <c r="E865" i="4"/>
  <c r="D865" i="4"/>
  <c r="H913" i="4"/>
  <c r="B913" i="4"/>
  <c r="M913" i="4"/>
  <c r="G913" i="4"/>
  <c r="A913" i="4"/>
  <c r="J913" i="4"/>
  <c r="D913" i="4"/>
  <c r="F913" i="4"/>
  <c r="E913" i="4"/>
  <c r="I913" i="4"/>
  <c r="H900" i="4"/>
  <c r="B900" i="4"/>
  <c r="E900" i="4"/>
  <c r="I900" i="4"/>
  <c r="D900" i="4"/>
  <c r="M900" i="4"/>
  <c r="A900" i="4"/>
  <c r="J900" i="4"/>
  <c r="G900" i="4"/>
  <c r="F900" i="4"/>
  <c r="M995" i="4"/>
  <c r="G995" i="4"/>
  <c r="A995" i="4"/>
  <c r="F995" i="4"/>
  <c r="I995" i="4"/>
  <c r="E995" i="4"/>
  <c r="D995" i="4"/>
  <c r="B995" i="4"/>
  <c r="J995" i="4"/>
  <c r="H995" i="4"/>
  <c r="F1002" i="4"/>
  <c r="G1002" i="4"/>
  <c r="M1002" i="4"/>
  <c r="E1002" i="4"/>
  <c r="I1002" i="4"/>
  <c r="B1002" i="4"/>
  <c r="J1002" i="4"/>
  <c r="H1002" i="4"/>
  <c r="D1002" i="4"/>
  <c r="A1002" i="4"/>
  <c r="C995" i="4"/>
  <c r="C1020" i="4"/>
  <c r="J1095" i="4"/>
  <c r="D1095" i="4"/>
  <c r="I1095" i="4"/>
  <c r="M1095" i="4"/>
  <c r="G1095" i="4"/>
  <c r="A1095" i="4"/>
  <c r="F1095" i="4"/>
  <c r="E1095" i="4"/>
  <c r="B1095" i="4"/>
  <c r="H1095" i="4"/>
  <c r="M1085" i="4"/>
  <c r="G1085" i="4"/>
  <c r="A1085" i="4"/>
  <c r="E1085" i="4"/>
  <c r="J1085" i="4"/>
  <c r="D1085" i="4"/>
  <c r="I1085" i="4"/>
  <c r="H1085" i="4"/>
  <c r="F1085" i="4"/>
  <c r="B1085" i="4"/>
  <c r="M509" i="4"/>
  <c r="F509" i="4"/>
  <c r="E509" i="4"/>
  <c r="J509" i="4"/>
  <c r="D509" i="4"/>
  <c r="I509" i="4"/>
  <c r="H509" i="4"/>
  <c r="B509" i="4"/>
  <c r="A509" i="4"/>
  <c r="G509" i="4"/>
  <c r="C624" i="4"/>
  <c r="C582" i="4"/>
  <c r="E517" i="4"/>
  <c r="J517" i="4"/>
  <c r="D517" i="4"/>
  <c r="I517" i="4"/>
  <c r="M517" i="4"/>
  <c r="G517" i="4"/>
  <c r="A517" i="4"/>
  <c r="H517" i="4"/>
  <c r="F517" i="4"/>
  <c r="B517" i="4"/>
  <c r="C638" i="4"/>
  <c r="F651" i="4"/>
  <c r="D651" i="4"/>
  <c r="H651" i="4"/>
  <c r="G651" i="4"/>
  <c r="E651" i="4"/>
  <c r="J651" i="4"/>
  <c r="B651" i="4"/>
  <c r="I651" i="4"/>
  <c r="A651" i="4"/>
  <c r="M651" i="4"/>
  <c r="C639" i="4"/>
  <c r="I787" i="4"/>
  <c r="H787" i="4"/>
  <c r="B787" i="4"/>
  <c r="M787" i="4"/>
  <c r="G787" i="4"/>
  <c r="A787" i="4"/>
  <c r="F787" i="4"/>
  <c r="J787" i="4"/>
  <c r="E787" i="4"/>
  <c r="D787" i="4"/>
  <c r="F790" i="4"/>
  <c r="E790" i="4"/>
  <c r="J790" i="4"/>
  <c r="D790" i="4"/>
  <c r="I790" i="4"/>
  <c r="H790" i="4"/>
  <c r="G790" i="4"/>
  <c r="B790" i="4"/>
  <c r="A790" i="4"/>
  <c r="M790" i="4"/>
  <c r="I812" i="4"/>
  <c r="D812" i="4"/>
  <c r="J812" i="4"/>
  <c r="B812" i="4"/>
  <c r="H812" i="4"/>
  <c r="A812" i="4"/>
  <c r="G812" i="4"/>
  <c r="F812" i="4"/>
  <c r="E812" i="4"/>
  <c r="M812" i="4"/>
  <c r="H882" i="4"/>
  <c r="B882" i="4"/>
  <c r="M882" i="4"/>
  <c r="G882" i="4"/>
  <c r="A882" i="4"/>
  <c r="F882" i="4"/>
  <c r="E882" i="4"/>
  <c r="D882" i="4"/>
  <c r="J882" i="4"/>
  <c r="I882" i="4"/>
  <c r="M901" i="4"/>
  <c r="G901" i="4"/>
  <c r="A901" i="4"/>
  <c r="J901" i="4"/>
  <c r="D901" i="4"/>
  <c r="E901" i="4"/>
  <c r="B901" i="4"/>
  <c r="I901" i="4"/>
  <c r="H901" i="4"/>
  <c r="F901" i="4"/>
  <c r="J917" i="4"/>
  <c r="D917" i="4"/>
  <c r="I917" i="4"/>
  <c r="F917" i="4"/>
  <c r="B917" i="4"/>
  <c r="M917" i="4"/>
  <c r="A917" i="4"/>
  <c r="H917" i="4"/>
  <c r="G917" i="4"/>
  <c r="E917" i="4"/>
  <c r="E903" i="4"/>
  <c r="H903" i="4"/>
  <c r="B903" i="4"/>
  <c r="G903" i="4"/>
  <c r="F903" i="4"/>
  <c r="J903" i="4"/>
  <c r="I903" i="4"/>
  <c r="D903" i="4"/>
  <c r="A903" i="4"/>
  <c r="M903" i="4"/>
  <c r="C997" i="4"/>
  <c r="H1012" i="4"/>
  <c r="B1012" i="4"/>
  <c r="M1012" i="4"/>
  <c r="F1012" i="4"/>
  <c r="E1012" i="4"/>
  <c r="I1012" i="4"/>
  <c r="A1012" i="4"/>
  <c r="J1012" i="4"/>
  <c r="G1012" i="4"/>
  <c r="D1012" i="4"/>
  <c r="M996" i="4"/>
  <c r="F996" i="4"/>
  <c r="E996" i="4"/>
  <c r="H996" i="4"/>
  <c r="B996" i="4"/>
  <c r="D996" i="4"/>
  <c r="A996" i="4"/>
  <c r="J996" i="4"/>
  <c r="I996" i="4"/>
  <c r="G996" i="4"/>
  <c r="I1042" i="4"/>
  <c r="H1042" i="4"/>
  <c r="B1042" i="4"/>
  <c r="M1042" i="4"/>
  <c r="G1042" i="4"/>
  <c r="A1042" i="4"/>
  <c r="F1042" i="4"/>
  <c r="E1042" i="4"/>
  <c r="J1042" i="4"/>
  <c r="D1042" i="4"/>
  <c r="E1021" i="4"/>
  <c r="H1021" i="4"/>
  <c r="B1021" i="4"/>
  <c r="G1021" i="4"/>
  <c r="F1021" i="4"/>
  <c r="M1021" i="4"/>
  <c r="D1021" i="4"/>
  <c r="J1021" i="4"/>
  <c r="A1021" i="4"/>
  <c r="I1021" i="4"/>
  <c r="C1090" i="4"/>
  <c r="F608" i="4"/>
  <c r="G608" i="4"/>
  <c r="M608" i="4"/>
  <c r="E608" i="4"/>
  <c r="D608" i="4"/>
  <c r="I608" i="4"/>
  <c r="B608" i="4"/>
  <c r="H608" i="4"/>
  <c r="A608" i="4"/>
  <c r="J608" i="4"/>
  <c r="F570" i="4"/>
  <c r="E570" i="4"/>
  <c r="J570" i="4"/>
  <c r="D570" i="4"/>
  <c r="H570" i="4"/>
  <c r="B570" i="4"/>
  <c r="G570" i="4"/>
  <c r="A570" i="4"/>
  <c r="M570" i="4"/>
  <c r="I570" i="4"/>
  <c r="J746" i="4"/>
  <c r="D746" i="4"/>
  <c r="H746" i="4"/>
  <c r="B746" i="4"/>
  <c r="M746" i="4"/>
  <c r="G746" i="4"/>
  <c r="A746" i="4"/>
  <c r="I746" i="4"/>
  <c r="F746" i="4"/>
  <c r="E746" i="4"/>
  <c r="J616" i="4"/>
  <c r="D616" i="4"/>
  <c r="I616" i="4"/>
  <c r="B616" i="4"/>
  <c r="H616" i="4"/>
  <c r="A616" i="4"/>
  <c r="M616" i="4"/>
  <c r="F616" i="4"/>
  <c r="G616" i="4"/>
  <c r="E616" i="4"/>
  <c r="C683" i="4"/>
  <c r="E627" i="4"/>
  <c r="D627" i="4"/>
  <c r="J627" i="4"/>
  <c r="I627" i="4"/>
  <c r="B627" i="4"/>
  <c r="G627" i="4"/>
  <c r="M627" i="4"/>
  <c r="H627" i="4"/>
  <c r="F627" i="4"/>
  <c r="A627" i="4"/>
  <c r="C697" i="4"/>
  <c r="F744" i="4"/>
  <c r="J744" i="4"/>
  <c r="D744" i="4"/>
  <c r="I744" i="4"/>
  <c r="H744" i="4"/>
  <c r="G744" i="4"/>
  <c r="E744" i="4"/>
  <c r="B744" i="4"/>
  <c r="M744" i="4"/>
  <c r="A744" i="4"/>
  <c r="H730" i="4"/>
  <c r="B730" i="4"/>
  <c r="F730" i="4"/>
  <c r="E730" i="4"/>
  <c r="M730" i="4"/>
  <c r="A730" i="4"/>
  <c r="J730" i="4"/>
  <c r="I730" i="4"/>
  <c r="G730" i="4"/>
  <c r="D730" i="4"/>
  <c r="J768" i="4"/>
  <c r="D768" i="4"/>
  <c r="H768" i="4"/>
  <c r="B768" i="4"/>
  <c r="M768" i="4"/>
  <c r="G768" i="4"/>
  <c r="A768" i="4"/>
  <c r="I768" i="4"/>
  <c r="F768" i="4"/>
  <c r="E768" i="4"/>
  <c r="C843" i="4"/>
  <c r="I857" i="4"/>
  <c r="H857" i="4"/>
  <c r="B857" i="4"/>
  <c r="M857" i="4"/>
  <c r="E857" i="4"/>
  <c r="D857" i="4"/>
  <c r="A857" i="4"/>
  <c r="G857" i="4"/>
  <c r="F857" i="4"/>
  <c r="J857" i="4"/>
  <c r="F896" i="4"/>
  <c r="J896" i="4"/>
  <c r="G896" i="4"/>
  <c r="E896" i="4"/>
  <c r="M896" i="4"/>
  <c r="D896" i="4"/>
  <c r="I896" i="4"/>
  <c r="H896" i="4"/>
  <c r="B896" i="4"/>
  <c r="A896" i="4"/>
  <c r="M895" i="4"/>
  <c r="G895" i="4"/>
  <c r="A895" i="4"/>
  <c r="I895" i="4"/>
  <c r="B895" i="4"/>
  <c r="J895" i="4"/>
  <c r="H895" i="4"/>
  <c r="F895" i="4"/>
  <c r="E895" i="4"/>
  <c r="D895" i="4"/>
  <c r="H981" i="4"/>
  <c r="B981" i="4"/>
  <c r="J981" i="4"/>
  <c r="I981" i="4"/>
  <c r="A981" i="4"/>
  <c r="G981" i="4"/>
  <c r="M981" i="4"/>
  <c r="F981" i="4"/>
  <c r="E981" i="4"/>
  <c r="D981" i="4"/>
  <c r="C952" i="4"/>
  <c r="J979" i="4"/>
  <c r="D979" i="4"/>
  <c r="G979" i="4"/>
  <c r="M979" i="4"/>
  <c r="F979" i="4"/>
  <c r="E979" i="4"/>
  <c r="I979" i="4"/>
  <c r="B979" i="4"/>
  <c r="H979" i="4"/>
  <c r="A979" i="4"/>
  <c r="F977" i="4"/>
  <c r="D977" i="4"/>
  <c r="J977" i="4"/>
  <c r="I977" i="4"/>
  <c r="B977" i="4"/>
  <c r="H977" i="4"/>
  <c r="A977" i="4"/>
  <c r="G977" i="4"/>
  <c r="M977" i="4"/>
  <c r="E977" i="4"/>
  <c r="C983" i="4"/>
  <c r="C1008" i="4"/>
  <c r="M1073" i="4"/>
  <c r="E1073" i="4"/>
  <c r="H1073" i="4"/>
  <c r="A1073" i="4"/>
  <c r="G1073" i="4"/>
  <c r="J1073" i="4"/>
  <c r="I1073" i="4"/>
  <c r="F1073" i="4"/>
  <c r="D1073" i="4"/>
  <c r="B1073" i="4"/>
  <c r="M569" i="4"/>
  <c r="G569" i="4"/>
  <c r="A569" i="4"/>
  <c r="F569" i="4"/>
  <c r="E569" i="4"/>
  <c r="I569" i="4"/>
  <c r="B569" i="4"/>
  <c r="J569" i="4"/>
  <c r="H569" i="4"/>
  <c r="D569" i="4"/>
  <c r="C539" i="4"/>
  <c r="M644" i="4"/>
  <c r="G644" i="4"/>
  <c r="A644" i="4"/>
  <c r="I644" i="4"/>
  <c r="B644" i="4"/>
  <c r="D644" i="4"/>
  <c r="J644" i="4"/>
  <c r="F644" i="4"/>
  <c r="H644" i="4"/>
  <c r="E644" i="4"/>
  <c r="C709" i="4"/>
  <c r="C596" i="4"/>
  <c r="J740" i="4"/>
  <c r="D740" i="4"/>
  <c r="H740" i="4"/>
  <c r="B740" i="4"/>
  <c r="M740" i="4"/>
  <c r="G740" i="4"/>
  <c r="A740" i="4"/>
  <c r="I740" i="4"/>
  <c r="F740" i="4"/>
  <c r="E740" i="4"/>
  <c r="J695" i="4"/>
  <c r="D695" i="4"/>
  <c r="I695" i="4"/>
  <c r="B695" i="4"/>
  <c r="H695" i="4"/>
  <c r="A695" i="4"/>
  <c r="G695" i="4"/>
  <c r="M695" i="4"/>
  <c r="F695" i="4"/>
  <c r="E695" i="4"/>
  <c r="C699" i="4"/>
  <c r="M731" i="4"/>
  <c r="G731" i="4"/>
  <c r="A731" i="4"/>
  <c r="E731" i="4"/>
  <c r="J731" i="4"/>
  <c r="D731" i="4"/>
  <c r="I731" i="4"/>
  <c r="H731" i="4"/>
  <c r="F731" i="4"/>
  <c r="B731" i="4"/>
  <c r="E715" i="4"/>
  <c r="I715" i="4"/>
  <c r="H715" i="4"/>
  <c r="B715" i="4"/>
  <c r="D715" i="4"/>
  <c r="M715" i="4"/>
  <c r="A715" i="4"/>
  <c r="J715" i="4"/>
  <c r="F715" i="4"/>
  <c r="G715" i="4"/>
  <c r="H794" i="4"/>
  <c r="B794" i="4"/>
  <c r="M794" i="4"/>
  <c r="G794" i="4"/>
  <c r="A794" i="4"/>
  <c r="F794" i="4"/>
  <c r="E794" i="4"/>
  <c r="J794" i="4"/>
  <c r="I794" i="4"/>
  <c r="D794" i="4"/>
  <c r="E761" i="4"/>
  <c r="H761" i="4"/>
  <c r="B761" i="4"/>
  <c r="J761" i="4"/>
  <c r="A761" i="4"/>
  <c r="I761" i="4"/>
  <c r="G761" i="4"/>
  <c r="F761" i="4"/>
  <c r="D761" i="4"/>
  <c r="M761" i="4"/>
  <c r="C815" i="4"/>
  <c r="F842" i="4"/>
  <c r="E842" i="4"/>
  <c r="H842" i="4"/>
  <c r="I842" i="4"/>
  <c r="G842" i="4"/>
  <c r="D842" i="4"/>
  <c r="M842" i="4"/>
  <c r="J842" i="4"/>
  <c r="B842" i="4"/>
  <c r="A842" i="4"/>
  <c r="C866" i="4"/>
  <c r="J949" i="4"/>
  <c r="D949" i="4"/>
  <c r="I949" i="4"/>
  <c r="B949" i="4"/>
  <c r="H949" i="4"/>
  <c r="A949" i="4"/>
  <c r="M949" i="4"/>
  <c r="F949" i="4"/>
  <c r="E949" i="4"/>
  <c r="G949" i="4"/>
  <c r="C943" i="4"/>
  <c r="M988" i="4"/>
  <c r="G988" i="4"/>
  <c r="A988" i="4"/>
  <c r="E988" i="4"/>
  <c r="D988" i="4"/>
  <c r="J988" i="4"/>
  <c r="I988" i="4"/>
  <c r="B988" i="4"/>
  <c r="H988" i="4"/>
  <c r="F988" i="4"/>
  <c r="H1044" i="4"/>
  <c r="B1044" i="4"/>
  <c r="J1044" i="4"/>
  <c r="I1044" i="4"/>
  <c r="A1044" i="4"/>
  <c r="G1044" i="4"/>
  <c r="M1044" i="4"/>
  <c r="F1044" i="4"/>
  <c r="E1044" i="4"/>
  <c r="D1044" i="4"/>
  <c r="C1016" i="4"/>
  <c r="F1052" i="4"/>
  <c r="G1052" i="4"/>
  <c r="M1052" i="4"/>
  <c r="E1052" i="4"/>
  <c r="D1052" i="4"/>
  <c r="J1052" i="4"/>
  <c r="I1052" i="4"/>
  <c r="B1052" i="4"/>
  <c r="H1052" i="4"/>
  <c r="A1052" i="4"/>
  <c r="H1050" i="4"/>
  <c r="B1050" i="4"/>
  <c r="D1050" i="4"/>
  <c r="J1050" i="4"/>
  <c r="I1050" i="4"/>
  <c r="A1050" i="4"/>
  <c r="G1050" i="4"/>
  <c r="M1050" i="4"/>
  <c r="F1050" i="4"/>
  <c r="E1050" i="4"/>
  <c r="C1083" i="4"/>
  <c r="C556" i="4"/>
  <c r="F522" i="4"/>
  <c r="E522" i="4"/>
  <c r="J522" i="4"/>
  <c r="D522" i="4"/>
  <c r="H522" i="4"/>
  <c r="B522" i="4"/>
  <c r="A522" i="4"/>
  <c r="M522" i="4"/>
  <c r="I522" i="4"/>
  <c r="G522" i="4"/>
  <c r="C634" i="4"/>
  <c r="C564" i="4"/>
  <c r="M674" i="4"/>
  <c r="G674" i="4"/>
  <c r="A674" i="4"/>
  <c r="J674" i="4"/>
  <c r="H674" i="4"/>
  <c r="I674" i="4"/>
  <c r="F674" i="4"/>
  <c r="D674" i="4"/>
  <c r="E674" i="4"/>
  <c r="B674" i="4"/>
  <c r="E579" i="4"/>
  <c r="I579" i="4"/>
  <c r="B579" i="4"/>
  <c r="H579" i="4"/>
  <c r="A579" i="4"/>
  <c r="G579" i="4"/>
  <c r="D579" i="4"/>
  <c r="M579" i="4"/>
  <c r="J579" i="4"/>
  <c r="F579" i="4"/>
  <c r="C715" i="4"/>
  <c r="M680" i="4"/>
  <c r="G680" i="4"/>
  <c r="A680" i="4"/>
  <c r="D680" i="4"/>
  <c r="J680" i="4"/>
  <c r="I680" i="4"/>
  <c r="B680" i="4"/>
  <c r="H680" i="4"/>
  <c r="E680" i="4"/>
  <c r="F680" i="4"/>
  <c r="E682" i="4"/>
  <c r="G682" i="4"/>
  <c r="M682" i="4"/>
  <c r="F682" i="4"/>
  <c r="D682" i="4"/>
  <c r="B682" i="4"/>
  <c r="A682" i="4"/>
  <c r="J682" i="4"/>
  <c r="I682" i="4"/>
  <c r="H682" i="4"/>
  <c r="C718" i="4"/>
  <c r="J868" i="4"/>
  <c r="D868" i="4"/>
  <c r="I868" i="4"/>
  <c r="H868" i="4"/>
  <c r="B868" i="4"/>
  <c r="G868" i="4"/>
  <c r="F868" i="4"/>
  <c r="E868" i="4"/>
  <c r="M868" i="4"/>
  <c r="A868" i="4"/>
  <c r="C781" i="4"/>
  <c r="C820" i="4"/>
  <c r="C913" i="4"/>
  <c r="E798" i="4"/>
  <c r="M798" i="4"/>
  <c r="F798" i="4"/>
  <c r="D798" i="4"/>
  <c r="J798" i="4"/>
  <c r="I798" i="4"/>
  <c r="B798" i="4"/>
  <c r="H798" i="4"/>
  <c r="G798" i="4"/>
  <c r="A798" i="4"/>
  <c r="I974" i="4"/>
  <c r="G974" i="4"/>
  <c r="A974" i="4"/>
  <c r="M974" i="4"/>
  <c r="F974" i="4"/>
  <c r="J974" i="4"/>
  <c r="B974" i="4"/>
  <c r="H974" i="4"/>
  <c r="E974" i="4"/>
  <c r="D974" i="4"/>
  <c r="C829" i="4"/>
  <c r="E849" i="4"/>
  <c r="J849" i="4"/>
  <c r="D849" i="4"/>
  <c r="I849" i="4"/>
  <c r="A849" i="4"/>
  <c r="H849" i="4"/>
  <c r="G849" i="4"/>
  <c r="B849" i="4"/>
  <c r="M849" i="4"/>
  <c r="F849" i="4"/>
  <c r="H927" i="4"/>
  <c r="B927" i="4"/>
  <c r="G927" i="4"/>
  <c r="M927" i="4"/>
  <c r="F927" i="4"/>
  <c r="J927" i="4"/>
  <c r="I927" i="4"/>
  <c r="E927" i="4"/>
  <c r="D927" i="4"/>
  <c r="A927" i="4"/>
  <c r="C955" i="4"/>
  <c r="M962" i="4"/>
  <c r="G962" i="4"/>
  <c r="A962" i="4"/>
  <c r="F962" i="4"/>
  <c r="I962" i="4"/>
  <c r="B962" i="4"/>
  <c r="H962" i="4"/>
  <c r="E962" i="4"/>
  <c r="J962" i="4"/>
  <c r="D962" i="4"/>
  <c r="C965" i="4"/>
  <c r="F963" i="4"/>
  <c r="E963" i="4"/>
  <c r="H963" i="4"/>
  <c r="B963" i="4"/>
  <c r="M963" i="4"/>
  <c r="A963" i="4"/>
  <c r="J963" i="4"/>
  <c r="G963" i="4"/>
  <c r="D963" i="4"/>
  <c r="I963" i="4"/>
  <c r="M1019" i="4"/>
  <c r="G1019" i="4"/>
  <c r="A1019" i="4"/>
  <c r="J1019" i="4"/>
  <c r="D1019" i="4"/>
  <c r="F1019" i="4"/>
  <c r="E1019" i="4"/>
  <c r="I1019" i="4"/>
  <c r="H1019" i="4"/>
  <c r="B1019" i="4"/>
  <c r="C1001" i="4"/>
  <c r="C1048" i="4"/>
  <c r="J1082" i="4"/>
  <c r="D1082" i="4"/>
  <c r="H1082" i="4"/>
  <c r="B1082" i="4"/>
  <c r="M1082" i="4"/>
  <c r="G1082" i="4"/>
  <c r="A1082" i="4"/>
  <c r="I1082" i="4"/>
  <c r="E1082" i="4"/>
  <c r="F1082" i="4"/>
  <c r="M577" i="4"/>
  <c r="G577" i="4"/>
  <c r="A577" i="4"/>
  <c r="F577" i="4"/>
  <c r="E577" i="4"/>
  <c r="D577" i="4"/>
  <c r="I577" i="4"/>
  <c r="B577" i="4"/>
  <c r="J577" i="4"/>
  <c r="H577" i="4"/>
  <c r="C545" i="4"/>
  <c r="M650" i="4"/>
  <c r="G650" i="4"/>
  <c r="A650" i="4"/>
  <c r="J650" i="4"/>
  <c r="D650" i="4"/>
  <c r="B650" i="4"/>
  <c r="I650" i="4"/>
  <c r="F650" i="4"/>
  <c r="H650" i="4"/>
  <c r="E650" i="4"/>
  <c r="C581" i="4"/>
  <c r="C734" i="4"/>
  <c r="C602" i="4"/>
  <c r="J762" i="4"/>
  <c r="D762" i="4"/>
  <c r="M762" i="4"/>
  <c r="G762" i="4"/>
  <c r="A762" i="4"/>
  <c r="H762" i="4"/>
  <c r="F762" i="4"/>
  <c r="E762" i="4"/>
  <c r="I762" i="4"/>
  <c r="B762" i="4"/>
  <c r="C701" i="4"/>
  <c r="C705" i="4"/>
  <c r="M737" i="4"/>
  <c r="G737" i="4"/>
  <c r="A737" i="4"/>
  <c r="E737" i="4"/>
  <c r="J737" i="4"/>
  <c r="D737" i="4"/>
  <c r="F737" i="4"/>
  <c r="B737" i="4"/>
  <c r="I737" i="4"/>
  <c r="H737" i="4"/>
  <c r="E721" i="4"/>
  <c r="I721" i="4"/>
  <c r="H721" i="4"/>
  <c r="B721" i="4"/>
  <c r="J721" i="4"/>
  <c r="G721" i="4"/>
  <c r="F721" i="4"/>
  <c r="D721" i="4"/>
  <c r="M721" i="4"/>
  <c r="A721" i="4"/>
  <c r="C800" i="4"/>
  <c r="M834" i="4"/>
  <c r="G834" i="4"/>
  <c r="A834" i="4"/>
  <c r="E834" i="4"/>
  <c r="F834" i="4"/>
  <c r="D834" i="4"/>
  <c r="J834" i="4"/>
  <c r="B834" i="4"/>
  <c r="I834" i="4"/>
  <c r="H834" i="4"/>
  <c r="E767" i="4"/>
  <c r="H767" i="4"/>
  <c r="B767" i="4"/>
  <c r="F767" i="4"/>
  <c r="M767" i="4"/>
  <c r="D767" i="4"/>
  <c r="J767" i="4"/>
  <c r="A767" i="4"/>
  <c r="I767" i="4"/>
  <c r="G767" i="4"/>
  <c r="C818" i="4"/>
  <c r="I875" i="4"/>
  <c r="H875" i="4"/>
  <c r="B875" i="4"/>
  <c r="M875" i="4"/>
  <c r="G875" i="4"/>
  <c r="A875" i="4"/>
  <c r="J875" i="4"/>
  <c r="F875" i="4"/>
  <c r="E875" i="4"/>
  <c r="D875" i="4"/>
  <c r="F848" i="4"/>
  <c r="E848" i="4"/>
  <c r="D848" i="4"/>
  <c r="M848" i="4"/>
  <c r="J848" i="4"/>
  <c r="B848" i="4"/>
  <c r="I848" i="4"/>
  <c r="H848" i="4"/>
  <c r="G848" i="4"/>
  <c r="A848" i="4"/>
  <c r="C872" i="4"/>
  <c r="C904" i="4"/>
  <c r="C958" i="4"/>
  <c r="C921" i="4"/>
  <c r="C981" i="4"/>
  <c r="C1003" i="4"/>
  <c r="C1079" i="4"/>
  <c r="C1022" i="4"/>
  <c r="M1059" i="4"/>
  <c r="G1059" i="4"/>
  <c r="A1059" i="4"/>
  <c r="I1059" i="4"/>
  <c r="B1059" i="4"/>
  <c r="E1059" i="4"/>
  <c r="D1059" i="4"/>
  <c r="J1059" i="4"/>
  <c r="H1059" i="4"/>
  <c r="F1059" i="4"/>
  <c r="I1055" i="4"/>
  <c r="D1055" i="4"/>
  <c r="J1055" i="4"/>
  <c r="B1055" i="4"/>
  <c r="H1055" i="4"/>
  <c r="A1055" i="4"/>
  <c r="G1055" i="4"/>
  <c r="M1055" i="4"/>
  <c r="F1055" i="4"/>
  <c r="E1055" i="4"/>
  <c r="C1089" i="4"/>
  <c r="J51" i="4"/>
  <c r="D51" i="4"/>
  <c r="I51" i="4"/>
  <c r="H51" i="4"/>
  <c r="B51" i="4"/>
  <c r="M51" i="4"/>
  <c r="G51" i="4"/>
  <c r="A51" i="4"/>
  <c r="F51" i="4"/>
  <c r="E51" i="4"/>
  <c r="C574" i="4"/>
  <c r="C511" i="4"/>
  <c r="C689" i="4"/>
  <c r="C454" i="4"/>
  <c r="M466" i="4"/>
  <c r="G466" i="4"/>
  <c r="A466" i="4"/>
  <c r="F466" i="4"/>
  <c r="E466" i="4"/>
  <c r="J466" i="4"/>
  <c r="D466" i="4"/>
  <c r="I466" i="4"/>
  <c r="H466" i="4"/>
  <c r="B466" i="4"/>
  <c r="H600" i="4"/>
  <c r="B600" i="4"/>
  <c r="J600" i="4"/>
  <c r="I600" i="4"/>
  <c r="A600" i="4"/>
  <c r="G600" i="4"/>
  <c r="E600" i="4"/>
  <c r="D600" i="4"/>
  <c r="M600" i="4"/>
  <c r="F600" i="4"/>
  <c r="C439" i="4"/>
  <c r="C382" i="4"/>
  <c r="C647" i="4"/>
  <c r="F340" i="4"/>
  <c r="E340" i="4"/>
  <c r="H340" i="4"/>
  <c r="B340" i="4"/>
  <c r="G340" i="4"/>
  <c r="D340" i="4"/>
  <c r="M340" i="4"/>
  <c r="A340" i="4"/>
  <c r="J340" i="4"/>
  <c r="I340" i="4"/>
  <c r="M393" i="4"/>
  <c r="G393" i="4"/>
  <c r="A393" i="4"/>
  <c r="F393" i="4"/>
  <c r="E393" i="4"/>
  <c r="J393" i="4"/>
  <c r="D393" i="4"/>
  <c r="I393" i="4"/>
  <c r="H393" i="4"/>
  <c r="B393" i="4"/>
  <c r="H398" i="4"/>
  <c r="B398" i="4"/>
  <c r="M398" i="4"/>
  <c r="G398" i="4"/>
  <c r="A398" i="4"/>
  <c r="F398" i="4"/>
  <c r="E398" i="4"/>
  <c r="J398" i="4"/>
  <c r="D398" i="4"/>
  <c r="I398" i="4"/>
  <c r="C402" i="4"/>
  <c r="C294" i="4"/>
  <c r="E236" i="4"/>
  <c r="J236" i="4"/>
  <c r="D236" i="4"/>
  <c r="I236" i="4"/>
  <c r="H236" i="4"/>
  <c r="B236" i="4"/>
  <c r="M236" i="4"/>
  <c r="G236" i="4"/>
  <c r="A236" i="4"/>
  <c r="F236" i="4"/>
  <c r="E128" i="4"/>
  <c r="J128" i="4"/>
  <c r="D128" i="4"/>
  <c r="I128" i="4"/>
  <c r="H128" i="4"/>
  <c r="B128" i="4"/>
  <c r="M128" i="4"/>
  <c r="G128" i="4"/>
  <c r="A128" i="4"/>
  <c r="F128" i="4"/>
  <c r="F663" i="4"/>
  <c r="G663" i="4"/>
  <c r="H663" i="4"/>
  <c r="E663" i="4"/>
  <c r="M663" i="4"/>
  <c r="D663" i="4"/>
  <c r="J663" i="4"/>
  <c r="B663" i="4"/>
  <c r="I663" i="4"/>
  <c r="A663" i="4"/>
  <c r="F223" i="4"/>
  <c r="E223" i="4"/>
  <c r="J223" i="4"/>
  <c r="D223" i="4"/>
  <c r="I223" i="4"/>
  <c r="H223" i="4"/>
  <c r="B223" i="4"/>
  <c r="A223" i="4"/>
  <c r="M223" i="4"/>
  <c r="G223" i="4"/>
  <c r="F115" i="4"/>
  <c r="E115" i="4"/>
  <c r="J115" i="4"/>
  <c r="D115" i="4"/>
  <c r="I115" i="4"/>
  <c r="H115" i="4"/>
  <c r="B115" i="4"/>
  <c r="A115" i="4"/>
  <c r="M115" i="4"/>
  <c r="G115" i="4"/>
  <c r="C359" i="4"/>
  <c r="M210" i="4"/>
  <c r="G210" i="4"/>
  <c r="A210" i="4"/>
  <c r="F210" i="4"/>
  <c r="E210" i="4"/>
  <c r="J210" i="4"/>
  <c r="D210" i="4"/>
  <c r="I210" i="4"/>
  <c r="H210" i="4"/>
  <c r="B210" i="4"/>
  <c r="M102" i="4"/>
  <c r="G102" i="4"/>
  <c r="A102" i="4"/>
  <c r="F102" i="4"/>
  <c r="E102" i="4"/>
  <c r="J102" i="4"/>
  <c r="D102" i="4"/>
  <c r="I102" i="4"/>
  <c r="H102" i="4"/>
  <c r="B102" i="4"/>
  <c r="J330" i="4"/>
  <c r="D330" i="4"/>
  <c r="I330" i="4"/>
  <c r="F330" i="4"/>
  <c r="E330" i="4"/>
  <c r="B330" i="4"/>
  <c r="M330" i="4"/>
  <c r="A330" i="4"/>
  <c r="H330" i="4"/>
  <c r="G330" i="4"/>
  <c r="H197" i="4"/>
  <c r="B197" i="4"/>
  <c r="M197" i="4"/>
  <c r="G197" i="4"/>
  <c r="A197" i="4"/>
  <c r="F197" i="4"/>
  <c r="E197" i="4"/>
  <c r="J197" i="4"/>
  <c r="D197" i="4"/>
  <c r="I197" i="4"/>
  <c r="H89" i="4"/>
  <c r="B89" i="4"/>
  <c r="M89" i="4"/>
  <c r="G89" i="4"/>
  <c r="A89" i="4"/>
  <c r="F89" i="4"/>
  <c r="E89" i="4"/>
  <c r="J89" i="4"/>
  <c r="D89" i="4"/>
  <c r="I89" i="4"/>
  <c r="C314" i="4"/>
  <c r="I184" i="4"/>
  <c r="H184" i="4"/>
  <c r="B184" i="4"/>
  <c r="M184" i="4"/>
  <c r="G184" i="4"/>
  <c r="A184" i="4"/>
  <c r="F184" i="4"/>
  <c r="E184" i="4"/>
  <c r="D184" i="4"/>
  <c r="J184" i="4"/>
  <c r="I76" i="4"/>
  <c r="H76" i="4"/>
  <c r="B76" i="4"/>
  <c r="M76" i="4"/>
  <c r="G76" i="4"/>
  <c r="A76" i="4"/>
  <c r="F76" i="4"/>
  <c r="E76" i="4"/>
  <c r="D76" i="4"/>
  <c r="J76" i="4"/>
  <c r="C337" i="4"/>
  <c r="C313" i="4"/>
  <c r="C242" i="4"/>
  <c r="M72" i="4"/>
  <c r="G72" i="4"/>
  <c r="A72" i="4"/>
  <c r="F72" i="4"/>
  <c r="E72" i="4"/>
  <c r="J72" i="4"/>
  <c r="D72" i="4"/>
  <c r="I72" i="4"/>
  <c r="H72" i="4"/>
  <c r="B72" i="4"/>
  <c r="J201" i="4"/>
  <c r="D201" i="4"/>
  <c r="I201" i="4"/>
  <c r="H201" i="4"/>
  <c r="B201" i="4"/>
  <c r="M201" i="4"/>
  <c r="G201" i="4"/>
  <c r="A201" i="4"/>
  <c r="F201" i="4"/>
  <c r="E201" i="4"/>
  <c r="E401" i="4"/>
  <c r="J401" i="4"/>
  <c r="D401" i="4"/>
  <c r="I401" i="4"/>
  <c r="H401" i="4"/>
  <c r="B401" i="4"/>
  <c r="M401" i="4"/>
  <c r="G401" i="4"/>
  <c r="A401" i="4"/>
  <c r="F401" i="4"/>
  <c r="J153" i="4"/>
  <c r="D153" i="4"/>
  <c r="I153" i="4"/>
  <c r="H153" i="4"/>
  <c r="B153" i="4"/>
  <c r="M153" i="4"/>
  <c r="G153" i="4"/>
  <c r="A153" i="4"/>
  <c r="F153" i="4"/>
  <c r="E153" i="4"/>
  <c r="I741" i="4"/>
  <c r="M741" i="4"/>
  <c r="G741" i="4"/>
  <c r="A741" i="4"/>
  <c r="F741" i="4"/>
  <c r="B741" i="4"/>
  <c r="J741" i="4"/>
  <c r="H741" i="4"/>
  <c r="E741" i="4"/>
  <c r="D741" i="4"/>
  <c r="E652" i="4"/>
  <c r="M652" i="4"/>
  <c r="F652" i="4"/>
  <c r="J652" i="4"/>
  <c r="B652" i="4"/>
  <c r="I652" i="4"/>
  <c r="A652" i="4"/>
  <c r="G652" i="4"/>
  <c r="H652" i="4"/>
  <c r="D652" i="4"/>
  <c r="J774" i="4"/>
  <c r="D774" i="4"/>
  <c r="I774" i="4"/>
  <c r="H774" i="4"/>
  <c r="B774" i="4"/>
  <c r="M774" i="4"/>
  <c r="G774" i="4"/>
  <c r="A774" i="4"/>
  <c r="F774" i="4"/>
  <c r="E774" i="4"/>
  <c r="F754" i="4"/>
  <c r="I754" i="4"/>
  <c r="M754" i="4"/>
  <c r="D754" i="4"/>
  <c r="B754" i="4"/>
  <c r="J754" i="4"/>
  <c r="A754" i="4"/>
  <c r="H754" i="4"/>
  <c r="G754" i="4"/>
  <c r="E754" i="4"/>
  <c r="M808" i="4"/>
  <c r="G808" i="4"/>
  <c r="A808" i="4"/>
  <c r="E808" i="4"/>
  <c r="D808" i="4"/>
  <c r="J808" i="4"/>
  <c r="I808" i="4"/>
  <c r="B808" i="4"/>
  <c r="H808" i="4"/>
  <c r="F808" i="4"/>
  <c r="J825" i="4"/>
  <c r="D825" i="4"/>
  <c r="G825" i="4"/>
  <c r="B825" i="4"/>
  <c r="I825" i="4"/>
  <c r="A825" i="4"/>
  <c r="H825" i="4"/>
  <c r="F825" i="4"/>
  <c r="E825" i="4"/>
  <c r="M825" i="4"/>
  <c r="I918" i="4"/>
  <c r="H918" i="4"/>
  <c r="B918" i="4"/>
  <c r="E918" i="4"/>
  <c r="M918" i="4"/>
  <c r="A918" i="4"/>
  <c r="J918" i="4"/>
  <c r="G918" i="4"/>
  <c r="F918" i="4"/>
  <c r="D918" i="4"/>
  <c r="J998" i="4"/>
  <c r="D998" i="4"/>
  <c r="H998" i="4"/>
  <c r="A998" i="4"/>
  <c r="G998" i="4"/>
  <c r="F998" i="4"/>
  <c r="E998" i="4"/>
  <c r="B998" i="4"/>
  <c r="M998" i="4"/>
  <c r="I998" i="4"/>
  <c r="M527" i="4"/>
  <c r="G527" i="4"/>
  <c r="A527" i="4"/>
  <c r="F527" i="4"/>
  <c r="E527" i="4"/>
  <c r="I527" i="4"/>
  <c r="H527" i="4"/>
  <c r="D527" i="4"/>
  <c r="B527" i="4"/>
  <c r="J527" i="4"/>
  <c r="M607" i="4"/>
  <c r="G607" i="4"/>
  <c r="A607" i="4"/>
  <c r="E607" i="4"/>
  <c r="D607" i="4"/>
  <c r="J607" i="4"/>
  <c r="H607" i="4"/>
  <c r="I607" i="4"/>
  <c r="F607" i="4"/>
  <c r="B607" i="4"/>
  <c r="E535" i="4"/>
  <c r="J535" i="4"/>
  <c r="D535" i="4"/>
  <c r="I535" i="4"/>
  <c r="M535" i="4"/>
  <c r="G535" i="4"/>
  <c r="A535" i="4"/>
  <c r="H535" i="4"/>
  <c r="F535" i="4"/>
  <c r="B535" i="4"/>
  <c r="J752" i="4"/>
  <c r="D752" i="4"/>
  <c r="I752" i="4"/>
  <c r="H752" i="4"/>
  <c r="B752" i="4"/>
  <c r="M752" i="4"/>
  <c r="G752" i="4"/>
  <c r="A752" i="4"/>
  <c r="F752" i="4"/>
  <c r="E752" i="4"/>
  <c r="J671" i="4"/>
  <c r="D671" i="4"/>
  <c r="M671" i="4"/>
  <c r="F671" i="4"/>
  <c r="G671" i="4"/>
  <c r="E671" i="4"/>
  <c r="B671" i="4"/>
  <c r="I671" i="4"/>
  <c r="H671" i="4"/>
  <c r="A671" i="4"/>
  <c r="M783" i="4"/>
  <c r="G783" i="4"/>
  <c r="A783" i="4"/>
  <c r="F783" i="4"/>
  <c r="E783" i="4"/>
  <c r="J783" i="4"/>
  <c r="D783" i="4"/>
  <c r="I783" i="4"/>
  <c r="H783" i="4"/>
  <c r="B783" i="4"/>
  <c r="H813" i="4"/>
  <c r="B813" i="4"/>
  <c r="E813" i="4"/>
  <c r="D813" i="4"/>
  <c r="J813" i="4"/>
  <c r="I813" i="4"/>
  <c r="A813" i="4"/>
  <c r="M813" i="4"/>
  <c r="G813" i="4"/>
  <c r="F813" i="4"/>
  <c r="H827" i="4"/>
  <c r="B827" i="4"/>
  <c r="J827" i="4"/>
  <c r="A827" i="4"/>
  <c r="I827" i="4"/>
  <c r="G827" i="4"/>
  <c r="F827" i="4"/>
  <c r="E827" i="4"/>
  <c r="D827" i="4"/>
  <c r="M827" i="4"/>
  <c r="J886" i="4"/>
  <c r="D886" i="4"/>
  <c r="G886" i="4"/>
  <c r="F886" i="4"/>
  <c r="M886" i="4"/>
  <c r="E886" i="4"/>
  <c r="B886" i="4"/>
  <c r="A886" i="4"/>
  <c r="I886" i="4"/>
  <c r="H886" i="4"/>
  <c r="F921" i="4"/>
  <c r="E921" i="4"/>
  <c r="H921" i="4"/>
  <c r="B921" i="4"/>
  <c r="J921" i="4"/>
  <c r="I921" i="4"/>
  <c r="M921" i="4"/>
  <c r="G921" i="4"/>
  <c r="D921" i="4"/>
  <c r="A921" i="4"/>
  <c r="E936" i="4"/>
  <c r="M936" i="4"/>
  <c r="F936" i="4"/>
  <c r="D936" i="4"/>
  <c r="H936" i="4"/>
  <c r="A936" i="4"/>
  <c r="J936" i="4"/>
  <c r="I936" i="4"/>
  <c r="G936" i="4"/>
  <c r="B936" i="4"/>
  <c r="J1016" i="4"/>
  <c r="D1016" i="4"/>
  <c r="E1016" i="4"/>
  <c r="G1016" i="4"/>
  <c r="B1016" i="4"/>
  <c r="A1016" i="4"/>
  <c r="M1016" i="4"/>
  <c r="I1016" i="4"/>
  <c r="H1016" i="4"/>
  <c r="F1016" i="4"/>
  <c r="F1039" i="4"/>
  <c r="E1039" i="4"/>
  <c r="J1039" i="4"/>
  <c r="D1039" i="4"/>
  <c r="I1039" i="4"/>
  <c r="H1039" i="4"/>
  <c r="B1039" i="4"/>
  <c r="M1039" i="4"/>
  <c r="G1039" i="4"/>
  <c r="A1039" i="4"/>
  <c r="E1047" i="4"/>
  <c r="G1047" i="4"/>
  <c r="M1047" i="4"/>
  <c r="F1047" i="4"/>
  <c r="D1047" i="4"/>
  <c r="J1047" i="4"/>
  <c r="I1047" i="4"/>
  <c r="B1047" i="4"/>
  <c r="H1047" i="4"/>
  <c r="A1047" i="4"/>
  <c r="E1081" i="4"/>
  <c r="I1081" i="4"/>
  <c r="H1081" i="4"/>
  <c r="B1081" i="4"/>
  <c r="M1081" i="4"/>
  <c r="A1081" i="4"/>
  <c r="J1081" i="4"/>
  <c r="F1081" i="4"/>
  <c r="G1081" i="4"/>
  <c r="D1081" i="4"/>
  <c r="J628" i="4"/>
  <c r="D628" i="4"/>
  <c r="M628" i="4"/>
  <c r="F628" i="4"/>
  <c r="E628" i="4"/>
  <c r="H628" i="4"/>
  <c r="A628" i="4"/>
  <c r="G628" i="4"/>
  <c r="B628" i="4"/>
  <c r="I628" i="4"/>
  <c r="J586" i="4"/>
  <c r="D586" i="4"/>
  <c r="E586" i="4"/>
  <c r="I586" i="4"/>
  <c r="B586" i="4"/>
  <c r="G586" i="4"/>
  <c r="M586" i="4"/>
  <c r="H586" i="4"/>
  <c r="F586" i="4"/>
  <c r="A586" i="4"/>
  <c r="F714" i="4"/>
  <c r="J714" i="4"/>
  <c r="D714" i="4"/>
  <c r="I714" i="4"/>
  <c r="E714" i="4"/>
  <c r="B714" i="4"/>
  <c r="M714" i="4"/>
  <c r="A714" i="4"/>
  <c r="H714" i="4"/>
  <c r="G714" i="4"/>
  <c r="M656" i="4"/>
  <c r="G656" i="4"/>
  <c r="A656" i="4"/>
  <c r="D656" i="4"/>
  <c r="J656" i="4"/>
  <c r="B656" i="4"/>
  <c r="I656" i="4"/>
  <c r="F656" i="4"/>
  <c r="H656" i="4"/>
  <c r="E656" i="4"/>
  <c r="I717" i="4"/>
  <c r="M717" i="4"/>
  <c r="G717" i="4"/>
  <c r="A717" i="4"/>
  <c r="F717" i="4"/>
  <c r="B717" i="4"/>
  <c r="J717" i="4"/>
  <c r="H717" i="4"/>
  <c r="E717" i="4"/>
  <c r="D717" i="4"/>
  <c r="E640" i="4"/>
  <c r="J640" i="4"/>
  <c r="M640" i="4"/>
  <c r="D640" i="4"/>
  <c r="B640" i="4"/>
  <c r="I640" i="4"/>
  <c r="A640" i="4"/>
  <c r="G640" i="4"/>
  <c r="H640" i="4"/>
  <c r="F640" i="4"/>
  <c r="H748" i="4"/>
  <c r="B748" i="4"/>
  <c r="F748" i="4"/>
  <c r="E748" i="4"/>
  <c r="G748" i="4"/>
  <c r="D748" i="4"/>
  <c r="M748" i="4"/>
  <c r="A748" i="4"/>
  <c r="J748" i="4"/>
  <c r="I748" i="4"/>
  <c r="I800" i="4"/>
  <c r="H800" i="4"/>
  <c r="A800" i="4"/>
  <c r="G800" i="4"/>
  <c r="M800" i="4"/>
  <c r="F800" i="4"/>
  <c r="E800" i="4"/>
  <c r="J800" i="4"/>
  <c r="D800" i="4"/>
  <c r="B800" i="4"/>
  <c r="C813" i="4"/>
  <c r="C886" i="4"/>
  <c r="M871" i="4"/>
  <c r="G871" i="4"/>
  <c r="A871" i="4"/>
  <c r="F871" i="4"/>
  <c r="E871" i="4"/>
  <c r="D871" i="4"/>
  <c r="B871" i="4"/>
  <c r="J871" i="4"/>
  <c r="I871" i="4"/>
  <c r="H871" i="4"/>
  <c r="F929" i="4"/>
  <c r="J929" i="4"/>
  <c r="I929" i="4"/>
  <c r="B929" i="4"/>
  <c r="M929" i="4"/>
  <c r="E929" i="4"/>
  <c r="A929" i="4"/>
  <c r="H929" i="4"/>
  <c r="G929" i="4"/>
  <c r="D929" i="4"/>
  <c r="H906" i="4"/>
  <c r="B906" i="4"/>
  <c r="E906" i="4"/>
  <c r="M906" i="4"/>
  <c r="D906" i="4"/>
  <c r="J906" i="4"/>
  <c r="I906" i="4"/>
  <c r="G906" i="4"/>
  <c r="F906" i="4"/>
  <c r="A906" i="4"/>
  <c r="M1007" i="4"/>
  <c r="G1007" i="4"/>
  <c r="A1007" i="4"/>
  <c r="F1007" i="4"/>
  <c r="E1007" i="4"/>
  <c r="I1007" i="4"/>
  <c r="B1007" i="4"/>
  <c r="D1007" i="4"/>
  <c r="J1007" i="4"/>
  <c r="H1007" i="4"/>
  <c r="M1001" i="4"/>
  <c r="G1001" i="4"/>
  <c r="A1001" i="4"/>
  <c r="E1001" i="4"/>
  <c r="D1001" i="4"/>
  <c r="H1001" i="4"/>
  <c r="J1001" i="4"/>
  <c r="I1001" i="4"/>
  <c r="F1001" i="4"/>
  <c r="B1001" i="4"/>
  <c r="I1043" i="4"/>
  <c r="H1043" i="4"/>
  <c r="B1043" i="4"/>
  <c r="G1043" i="4"/>
  <c r="A1043" i="4"/>
  <c r="M1043" i="4"/>
  <c r="F1043" i="4"/>
  <c r="E1043" i="4"/>
  <c r="D1043" i="4"/>
  <c r="J1043" i="4"/>
  <c r="I1089" i="4"/>
  <c r="M1089" i="4"/>
  <c r="G1089" i="4"/>
  <c r="A1089" i="4"/>
  <c r="F1089" i="4"/>
  <c r="E1089" i="4"/>
  <c r="D1089" i="4"/>
  <c r="B1089" i="4"/>
  <c r="J1089" i="4"/>
  <c r="H1089" i="4"/>
  <c r="H1091" i="4"/>
  <c r="M1091" i="4"/>
  <c r="G1091" i="4"/>
  <c r="A1091" i="4"/>
  <c r="E1091" i="4"/>
  <c r="J1091" i="4"/>
  <c r="D1091" i="4"/>
  <c r="B1091" i="4"/>
  <c r="I1091" i="4"/>
  <c r="F1091" i="4"/>
  <c r="C588" i="4"/>
  <c r="C557" i="4"/>
  <c r="H673" i="4"/>
  <c r="B673" i="4"/>
  <c r="I673" i="4"/>
  <c r="A673" i="4"/>
  <c r="M673" i="4"/>
  <c r="F673" i="4"/>
  <c r="J673" i="4"/>
  <c r="E673" i="4"/>
  <c r="D673" i="4"/>
  <c r="G673" i="4"/>
  <c r="M601" i="4"/>
  <c r="G601" i="4"/>
  <c r="A601" i="4"/>
  <c r="D601" i="4"/>
  <c r="J601" i="4"/>
  <c r="I601" i="4"/>
  <c r="B601" i="4"/>
  <c r="F601" i="4"/>
  <c r="H601" i="4"/>
  <c r="E601" i="4"/>
  <c r="M753" i="4"/>
  <c r="I753" i="4"/>
  <c r="H753" i="4"/>
  <c r="B753" i="4"/>
  <c r="G753" i="4"/>
  <c r="A753" i="4"/>
  <c r="F753" i="4"/>
  <c r="E753" i="4"/>
  <c r="D753" i="4"/>
  <c r="J753" i="4"/>
  <c r="F681" i="4"/>
  <c r="M681" i="4"/>
  <c r="E681" i="4"/>
  <c r="D681" i="4"/>
  <c r="J681" i="4"/>
  <c r="A681" i="4"/>
  <c r="I681" i="4"/>
  <c r="G681" i="4"/>
  <c r="H681" i="4"/>
  <c r="B681" i="4"/>
  <c r="C717" i="4"/>
  <c r="M749" i="4"/>
  <c r="G749" i="4"/>
  <c r="A749" i="4"/>
  <c r="E749" i="4"/>
  <c r="J749" i="4"/>
  <c r="D749" i="4"/>
  <c r="F749" i="4"/>
  <c r="B749" i="4"/>
  <c r="I749" i="4"/>
  <c r="H749" i="4"/>
  <c r="E733" i="4"/>
  <c r="I733" i="4"/>
  <c r="H733" i="4"/>
  <c r="B733" i="4"/>
  <c r="J733" i="4"/>
  <c r="G733" i="4"/>
  <c r="F733" i="4"/>
  <c r="D733" i="4"/>
  <c r="M733" i="4"/>
  <c r="A733" i="4"/>
  <c r="I820" i="4"/>
  <c r="G820" i="4"/>
  <c r="F820" i="4"/>
  <c r="M820" i="4"/>
  <c r="E820" i="4"/>
  <c r="D820" i="4"/>
  <c r="B820" i="4"/>
  <c r="J820" i="4"/>
  <c r="H820" i="4"/>
  <c r="A820" i="4"/>
  <c r="I869" i="4"/>
  <c r="H869" i="4"/>
  <c r="B869" i="4"/>
  <c r="M869" i="4"/>
  <c r="G869" i="4"/>
  <c r="A869" i="4"/>
  <c r="F869" i="4"/>
  <c r="E869" i="4"/>
  <c r="D869" i="4"/>
  <c r="J869" i="4"/>
  <c r="E779" i="4"/>
  <c r="J779" i="4"/>
  <c r="D779" i="4"/>
  <c r="I779" i="4"/>
  <c r="H779" i="4"/>
  <c r="B779" i="4"/>
  <c r="G779" i="4"/>
  <c r="F779" i="4"/>
  <c r="A779" i="4"/>
  <c r="M779" i="4"/>
  <c r="H858" i="4"/>
  <c r="B858" i="4"/>
  <c r="M858" i="4"/>
  <c r="G858" i="4"/>
  <c r="A858" i="4"/>
  <c r="J858" i="4"/>
  <c r="I858" i="4"/>
  <c r="F858" i="4"/>
  <c r="E858" i="4"/>
  <c r="D858" i="4"/>
  <c r="F860" i="4"/>
  <c r="E860" i="4"/>
  <c r="M860" i="4"/>
  <c r="J860" i="4"/>
  <c r="B860" i="4"/>
  <c r="I860" i="4"/>
  <c r="A860" i="4"/>
  <c r="H860" i="4"/>
  <c r="G860" i="4"/>
  <c r="D860" i="4"/>
  <c r="M920" i="4"/>
  <c r="G920" i="4"/>
  <c r="A920" i="4"/>
  <c r="F920" i="4"/>
  <c r="I920" i="4"/>
  <c r="J920" i="4"/>
  <c r="H920" i="4"/>
  <c r="E920" i="4"/>
  <c r="D920" i="4"/>
  <c r="B920" i="4"/>
  <c r="F935" i="4"/>
  <c r="D935" i="4"/>
  <c r="J935" i="4"/>
  <c r="G935" i="4"/>
  <c r="I935" i="4"/>
  <c r="H935" i="4"/>
  <c r="A935" i="4"/>
  <c r="M935" i="4"/>
  <c r="E935" i="4"/>
  <c r="B935" i="4"/>
  <c r="E958" i="4"/>
  <c r="J958" i="4"/>
  <c r="D958" i="4"/>
  <c r="M958" i="4"/>
  <c r="G958" i="4"/>
  <c r="A958" i="4"/>
  <c r="F958" i="4"/>
  <c r="I958" i="4"/>
  <c r="H958" i="4"/>
  <c r="B958" i="4"/>
  <c r="H1058" i="4"/>
  <c r="B1058" i="4"/>
  <c r="G1058" i="4"/>
  <c r="J1058" i="4"/>
  <c r="A1058" i="4"/>
  <c r="I1058" i="4"/>
  <c r="F1058" i="4"/>
  <c r="M1058" i="4"/>
  <c r="E1058" i="4"/>
  <c r="D1058" i="4"/>
  <c r="I1049" i="4"/>
  <c r="J1049" i="4"/>
  <c r="B1049" i="4"/>
  <c r="H1049" i="4"/>
  <c r="A1049" i="4"/>
  <c r="G1049" i="4"/>
  <c r="M1049" i="4"/>
  <c r="F1049" i="4"/>
  <c r="E1049" i="4"/>
  <c r="D1049" i="4"/>
  <c r="M1092" i="4"/>
  <c r="G1092" i="4"/>
  <c r="A1092" i="4"/>
  <c r="F1092" i="4"/>
  <c r="J1092" i="4"/>
  <c r="D1092" i="4"/>
  <c r="I1092" i="4"/>
  <c r="H1092" i="4"/>
  <c r="E1092" i="4"/>
  <c r="B1092" i="4"/>
  <c r="F572" i="4"/>
  <c r="G572" i="4"/>
  <c r="M572" i="4"/>
  <c r="E572" i="4"/>
  <c r="D572" i="4"/>
  <c r="I572" i="4"/>
  <c r="B572" i="4"/>
  <c r="A572" i="4"/>
  <c r="J572" i="4"/>
  <c r="H572" i="4"/>
  <c r="F540" i="4"/>
  <c r="E540" i="4"/>
  <c r="J540" i="4"/>
  <c r="D540" i="4"/>
  <c r="H540" i="4"/>
  <c r="B540" i="4"/>
  <c r="A540" i="4"/>
  <c r="M540" i="4"/>
  <c r="I540" i="4"/>
  <c r="G540" i="4"/>
  <c r="I648" i="4"/>
  <c r="G648" i="4"/>
  <c r="D648" i="4"/>
  <c r="B648" i="4"/>
  <c r="J648" i="4"/>
  <c r="A648" i="4"/>
  <c r="F648" i="4"/>
  <c r="M648" i="4"/>
  <c r="H648" i="4"/>
  <c r="E648" i="4"/>
  <c r="J580" i="4"/>
  <c r="D580" i="4"/>
  <c r="I580" i="4"/>
  <c r="B580" i="4"/>
  <c r="H580" i="4"/>
  <c r="A580" i="4"/>
  <c r="M580" i="4"/>
  <c r="F580" i="4"/>
  <c r="E580" i="4"/>
  <c r="G580" i="4"/>
  <c r="E597" i="4"/>
  <c r="M597" i="4"/>
  <c r="F597" i="4"/>
  <c r="D597" i="4"/>
  <c r="J597" i="4"/>
  <c r="H597" i="4"/>
  <c r="A597" i="4"/>
  <c r="I597" i="4"/>
  <c r="G597" i="4"/>
  <c r="B597" i="4"/>
  <c r="C752" i="4"/>
  <c r="E700" i="4"/>
  <c r="J700" i="4"/>
  <c r="I700" i="4"/>
  <c r="B700" i="4"/>
  <c r="H700" i="4"/>
  <c r="A700" i="4"/>
  <c r="G700" i="4"/>
  <c r="M700" i="4"/>
  <c r="F700" i="4"/>
  <c r="D700" i="4"/>
  <c r="J799" i="4"/>
  <c r="D799" i="4"/>
  <c r="G799" i="4"/>
  <c r="M799" i="4"/>
  <c r="F799" i="4"/>
  <c r="E799" i="4"/>
  <c r="B799" i="4"/>
  <c r="A799" i="4"/>
  <c r="I799" i="4"/>
  <c r="H799" i="4"/>
  <c r="E816" i="4"/>
  <c r="I816" i="4"/>
  <c r="B816" i="4"/>
  <c r="H816" i="4"/>
  <c r="A816" i="4"/>
  <c r="G816" i="4"/>
  <c r="M816" i="4"/>
  <c r="F816" i="4"/>
  <c r="J816" i="4"/>
  <c r="D816" i="4"/>
  <c r="E867" i="4"/>
  <c r="J867" i="4"/>
  <c r="D867" i="4"/>
  <c r="I867" i="4"/>
  <c r="H867" i="4"/>
  <c r="G867" i="4"/>
  <c r="F867" i="4"/>
  <c r="B867" i="4"/>
  <c r="M867" i="4"/>
  <c r="A867" i="4"/>
  <c r="H967" i="4"/>
  <c r="B967" i="4"/>
  <c r="M967" i="4"/>
  <c r="G967" i="4"/>
  <c r="A967" i="4"/>
  <c r="J967" i="4"/>
  <c r="D967" i="4"/>
  <c r="I967" i="4"/>
  <c r="F967" i="4"/>
  <c r="E967" i="4"/>
  <c r="E916" i="4"/>
  <c r="J916" i="4"/>
  <c r="D916" i="4"/>
  <c r="M916" i="4"/>
  <c r="G916" i="4"/>
  <c r="A916" i="4"/>
  <c r="B916" i="4"/>
  <c r="H916" i="4"/>
  <c r="F916" i="4"/>
  <c r="I916" i="4"/>
  <c r="I980" i="4"/>
  <c r="H980" i="4"/>
  <c r="A980" i="4"/>
  <c r="G980" i="4"/>
  <c r="M980" i="4"/>
  <c r="F980" i="4"/>
  <c r="E980" i="4"/>
  <c r="D980" i="4"/>
  <c r="J980" i="4"/>
  <c r="B980" i="4"/>
  <c r="J1054" i="4"/>
  <c r="D1054" i="4"/>
  <c r="I1054" i="4"/>
  <c r="B1054" i="4"/>
  <c r="H1054" i="4"/>
  <c r="A1054" i="4"/>
  <c r="G1054" i="4"/>
  <c r="M1054" i="4"/>
  <c r="F1054" i="4"/>
  <c r="E1054" i="4"/>
  <c r="F1020" i="4"/>
  <c r="I1020" i="4"/>
  <c r="B1020" i="4"/>
  <c r="J1020" i="4"/>
  <c r="A1020" i="4"/>
  <c r="H1020" i="4"/>
  <c r="G1020" i="4"/>
  <c r="E1020" i="4"/>
  <c r="M1020" i="4"/>
  <c r="D1020" i="4"/>
  <c r="M1057" i="4"/>
  <c r="G1057" i="4"/>
  <c r="A1057" i="4"/>
  <c r="F1057" i="4"/>
  <c r="E1057" i="4"/>
  <c r="D1057" i="4"/>
  <c r="J1057" i="4"/>
  <c r="I1057" i="4"/>
  <c r="B1057" i="4"/>
  <c r="H1057" i="4"/>
  <c r="H1084" i="4"/>
  <c r="B1084" i="4"/>
  <c r="F1084" i="4"/>
  <c r="E1084" i="4"/>
  <c r="J1084" i="4"/>
  <c r="I1084" i="4"/>
  <c r="G1084" i="4"/>
  <c r="M1084" i="4"/>
  <c r="D1084" i="4"/>
  <c r="A1084" i="4"/>
  <c r="C607" i="4"/>
  <c r="I775" i="4"/>
  <c r="H775" i="4"/>
  <c r="B775" i="4"/>
  <c r="M775" i="4"/>
  <c r="G775" i="4"/>
  <c r="A775" i="4"/>
  <c r="F775" i="4"/>
  <c r="E775" i="4"/>
  <c r="D775" i="4"/>
  <c r="J775" i="4"/>
  <c r="H691" i="4"/>
  <c r="B691" i="4"/>
  <c r="E691" i="4"/>
  <c r="D691" i="4"/>
  <c r="J691" i="4"/>
  <c r="I691" i="4"/>
  <c r="A691" i="4"/>
  <c r="F691" i="4"/>
  <c r="M691" i="4"/>
  <c r="G691" i="4"/>
  <c r="C723" i="4"/>
  <c r="E739" i="4"/>
  <c r="I739" i="4"/>
  <c r="H739" i="4"/>
  <c r="B739" i="4"/>
  <c r="D739" i="4"/>
  <c r="M739" i="4"/>
  <c r="A739" i="4"/>
  <c r="J739" i="4"/>
  <c r="G739" i="4"/>
  <c r="F739" i="4"/>
  <c r="I826" i="4"/>
  <c r="H826" i="4"/>
  <c r="A826" i="4"/>
  <c r="F826" i="4"/>
  <c r="M826" i="4"/>
  <c r="E826" i="4"/>
  <c r="D826" i="4"/>
  <c r="B826" i="4"/>
  <c r="J826" i="4"/>
  <c r="G826" i="4"/>
  <c r="E785" i="4"/>
  <c r="J785" i="4"/>
  <c r="D785" i="4"/>
  <c r="I785" i="4"/>
  <c r="H785" i="4"/>
  <c r="B785" i="4"/>
  <c r="A785" i="4"/>
  <c r="M785" i="4"/>
  <c r="G785" i="4"/>
  <c r="F785" i="4"/>
  <c r="M841" i="4"/>
  <c r="G841" i="4"/>
  <c r="A841" i="4"/>
  <c r="F841" i="4"/>
  <c r="J841" i="4"/>
  <c r="I841" i="4"/>
  <c r="H841" i="4"/>
  <c r="E841" i="4"/>
  <c r="D841" i="4"/>
  <c r="B841" i="4"/>
  <c r="H876" i="4"/>
  <c r="B876" i="4"/>
  <c r="M876" i="4"/>
  <c r="G876" i="4"/>
  <c r="A876" i="4"/>
  <c r="F876" i="4"/>
  <c r="J876" i="4"/>
  <c r="I876" i="4"/>
  <c r="E876" i="4"/>
  <c r="D876" i="4"/>
  <c r="F866" i="4"/>
  <c r="E866" i="4"/>
  <c r="J866" i="4"/>
  <c r="D866" i="4"/>
  <c r="I866" i="4"/>
  <c r="H866" i="4"/>
  <c r="G866" i="4"/>
  <c r="M866" i="4"/>
  <c r="B866" i="4"/>
  <c r="A866" i="4"/>
  <c r="M889" i="4"/>
  <c r="G889" i="4"/>
  <c r="A889" i="4"/>
  <c r="H889" i="4"/>
  <c r="J889" i="4"/>
  <c r="B889" i="4"/>
  <c r="I889" i="4"/>
  <c r="F889" i="4"/>
  <c r="E889" i="4"/>
  <c r="D889" i="4"/>
  <c r="M1025" i="4"/>
  <c r="G1025" i="4"/>
  <c r="A1025" i="4"/>
  <c r="J1025" i="4"/>
  <c r="D1025" i="4"/>
  <c r="I1025" i="4"/>
  <c r="H1025" i="4"/>
  <c r="F1025" i="4"/>
  <c r="E1025" i="4"/>
  <c r="B1025" i="4"/>
  <c r="H945" i="4"/>
  <c r="B945" i="4"/>
  <c r="D945" i="4"/>
  <c r="J945" i="4"/>
  <c r="G945" i="4"/>
  <c r="M945" i="4"/>
  <c r="F945" i="4"/>
  <c r="E945" i="4"/>
  <c r="A945" i="4"/>
  <c r="I945" i="4"/>
  <c r="C998" i="4"/>
  <c r="E964" i="4"/>
  <c r="J964" i="4"/>
  <c r="D964" i="4"/>
  <c r="M964" i="4"/>
  <c r="G964" i="4"/>
  <c r="A964" i="4"/>
  <c r="I964" i="4"/>
  <c r="F964" i="4"/>
  <c r="H964" i="4"/>
  <c r="B964" i="4"/>
  <c r="F1072" i="4"/>
  <c r="G1072" i="4"/>
  <c r="M1072" i="4"/>
  <c r="E1072" i="4"/>
  <c r="I1072" i="4"/>
  <c r="B1072" i="4"/>
  <c r="J1072" i="4"/>
  <c r="H1072" i="4"/>
  <c r="D1072" i="4"/>
  <c r="A1072" i="4"/>
  <c r="H1018" i="4"/>
  <c r="B1018" i="4"/>
  <c r="E1018" i="4"/>
  <c r="J1018" i="4"/>
  <c r="A1018" i="4"/>
  <c r="I1018" i="4"/>
  <c r="M1018" i="4"/>
  <c r="D1018" i="4"/>
  <c r="G1018" i="4"/>
  <c r="F1018" i="4"/>
  <c r="E997" i="4"/>
  <c r="G997" i="4"/>
  <c r="M997" i="4"/>
  <c r="F997" i="4"/>
  <c r="I997" i="4"/>
  <c r="B997" i="4"/>
  <c r="D997" i="4"/>
  <c r="A997" i="4"/>
  <c r="J997" i="4"/>
  <c r="H997" i="4"/>
  <c r="I705" i="4"/>
  <c r="F705" i="4"/>
  <c r="H705" i="4"/>
  <c r="G705" i="4"/>
  <c r="E705" i="4"/>
  <c r="M705" i="4"/>
  <c r="D705" i="4"/>
  <c r="A705" i="4"/>
  <c r="J705" i="4"/>
  <c r="B705" i="4"/>
  <c r="C554" i="4"/>
  <c r="C491" i="4"/>
  <c r="C604" i="4"/>
  <c r="C436" i="4"/>
  <c r="C630" i="4"/>
  <c r="J566" i="4"/>
  <c r="D566" i="4"/>
  <c r="I566" i="4"/>
  <c r="H566" i="4"/>
  <c r="B566" i="4"/>
  <c r="F566" i="4"/>
  <c r="E566" i="4"/>
  <c r="A566" i="4"/>
  <c r="M566" i="4"/>
  <c r="G566" i="4"/>
  <c r="C421" i="4"/>
  <c r="C364" i="4"/>
  <c r="C456" i="4"/>
  <c r="F322" i="4"/>
  <c r="E322" i="4"/>
  <c r="H322" i="4"/>
  <c r="B322" i="4"/>
  <c r="M322" i="4"/>
  <c r="A322" i="4"/>
  <c r="J322" i="4"/>
  <c r="I322" i="4"/>
  <c r="G322" i="4"/>
  <c r="D322" i="4"/>
  <c r="M375" i="4"/>
  <c r="G375" i="4"/>
  <c r="A375" i="4"/>
  <c r="F375" i="4"/>
  <c r="E375" i="4"/>
  <c r="J375" i="4"/>
  <c r="D375" i="4"/>
  <c r="I375" i="4"/>
  <c r="H375" i="4"/>
  <c r="B375" i="4"/>
  <c r="H380" i="4"/>
  <c r="B380" i="4"/>
  <c r="M380" i="4"/>
  <c r="G380" i="4"/>
  <c r="A380" i="4"/>
  <c r="F380" i="4"/>
  <c r="E380" i="4"/>
  <c r="J380" i="4"/>
  <c r="D380" i="4"/>
  <c r="I380" i="4"/>
  <c r="C384" i="4"/>
  <c r="C423" i="4"/>
  <c r="E218" i="4"/>
  <c r="J218" i="4"/>
  <c r="D218" i="4"/>
  <c r="I218" i="4"/>
  <c r="H218" i="4"/>
  <c r="B218" i="4"/>
  <c r="M218" i="4"/>
  <c r="G218" i="4"/>
  <c r="A218" i="4"/>
  <c r="F218" i="4"/>
  <c r="E110" i="4"/>
  <c r="J110" i="4"/>
  <c r="D110" i="4"/>
  <c r="I110" i="4"/>
  <c r="H110" i="4"/>
  <c r="B110" i="4"/>
  <c r="M110" i="4"/>
  <c r="G110" i="4"/>
  <c r="A110" i="4"/>
  <c r="F110" i="4"/>
  <c r="J354" i="4"/>
  <c r="D354" i="4"/>
  <c r="I354" i="4"/>
  <c r="H354" i="4"/>
  <c r="B354" i="4"/>
  <c r="M354" i="4"/>
  <c r="G354" i="4"/>
  <c r="A354" i="4"/>
  <c r="F354" i="4"/>
  <c r="E354" i="4"/>
  <c r="F205" i="4"/>
  <c r="E205" i="4"/>
  <c r="J205" i="4"/>
  <c r="D205" i="4"/>
  <c r="I205" i="4"/>
  <c r="H205" i="4"/>
  <c r="B205" i="4"/>
  <c r="M205" i="4"/>
  <c r="G205" i="4"/>
  <c r="A205" i="4"/>
  <c r="F97" i="4"/>
  <c r="E97" i="4"/>
  <c r="J97" i="4"/>
  <c r="D97" i="4"/>
  <c r="I97" i="4"/>
  <c r="H97" i="4"/>
  <c r="B97" i="4"/>
  <c r="M97" i="4"/>
  <c r="G97" i="4"/>
  <c r="A97" i="4"/>
  <c r="H308" i="4"/>
  <c r="B308" i="4"/>
  <c r="M308" i="4"/>
  <c r="G308" i="4"/>
  <c r="A308" i="4"/>
  <c r="J308" i="4"/>
  <c r="D308" i="4"/>
  <c r="I308" i="4"/>
  <c r="F308" i="4"/>
  <c r="E308" i="4"/>
  <c r="M192" i="4"/>
  <c r="G192" i="4"/>
  <c r="A192" i="4"/>
  <c r="F192" i="4"/>
  <c r="E192" i="4"/>
  <c r="J192" i="4"/>
  <c r="D192" i="4"/>
  <c r="I192" i="4"/>
  <c r="H192" i="4"/>
  <c r="B192" i="4"/>
  <c r="M84" i="4"/>
  <c r="G84" i="4"/>
  <c r="A84" i="4"/>
  <c r="F84" i="4"/>
  <c r="E84" i="4"/>
  <c r="J84" i="4"/>
  <c r="D84" i="4"/>
  <c r="I84" i="4"/>
  <c r="H84" i="4"/>
  <c r="B84" i="4"/>
  <c r="F292" i="4"/>
  <c r="H292" i="4"/>
  <c r="B292" i="4"/>
  <c r="G292" i="4"/>
  <c r="E292" i="4"/>
  <c r="M292" i="4"/>
  <c r="D292" i="4"/>
  <c r="J292" i="4"/>
  <c r="A292" i="4"/>
  <c r="I292" i="4"/>
  <c r="H179" i="4"/>
  <c r="B179" i="4"/>
  <c r="M179" i="4"/>
  <c r="G179" i="4"/>
  <c r="A179" i="4"/>
  <c r="F179" i="4"/>
  <c r="E179" i="4"/>
  <c r="J179" i="4"/>
  <c r="D179" i="4"/>
  <c r="I179" i="4"/>
  <c r="H71" i="4"/>
  <c r="B71" i="4"/>
  <c r="M71" i="4"/>
  <c r="G71" i="4"/>
  <c r="A71" i="4"/>
  <c r="F71" i="4"/>
  <c r="E71" i="4"/>
  <c r="J71" i="4"/>
  <c r="D71" i="4"/>
  <c r="I71" i="4"/>
  <c r="I274" i="4"/>
  <c r="H274" i="4"/>
  <c r="B274" i="4"/>
  <c r="M274" i="4"/>
  <c r="G274" i="4"/>
  <c r="A274" i="4"/>
  <c r="F274" i="4"/>
  <c r="E274" i="4"/>
  <c r="J274" i="4"/>
  <c r="D274" i="4"/>
  <c r="I166" i="4"/>
  <c r="H166" i="4"/>
  <c r="B166" i="4"/>
  <c r="M166" i="4"/>
  <c r="G166" i="4"/>
  <c r="A166" i="4"/>
  <c r="F166" i="4"/>
  <c r="E166" i="4"/>
  <c r="J166" i="4"/>
  <c r="D166" i="4"/>
  <c r="I58" i="4"/>
  <c r="H58" i="4"/>
  <c r="B58" i="4"/>
  <c r="M58" i="4"/>
  <c r="G58" i="4"/>
  <c r="A58" i="4"/>
  <c r="F58" i="4"/>
  <c r="E58" i="4"/>
  <c r="J58" i="4"/>
  <c r="D58" i="4"/>
  <c r="J219" i="4"/>
  <c r="D219" i="4"/>
  <c r="I219" i="4"/>
  <c r="H219" i="4"/>
  <c r="B219" i="4"/>
  <c r="M219" i="4"/>
  <c r="G219" i="4"/>
  <c r="A219" i="4"/>
  <c r="F219" i="4"/>
  <c r="E219" i="4"/>
  <c r="C182" i="4"/>
  <c r="C134" i="4"/>
  <c r="H649" i="4"/>
  <c r="B649" i="4"/>
  <c r="I649" i="4"/>
  <c r="A649" i="4"/>
  <c r="G649" i="4"/>
  <c r="F649" i="4"/>
  <c r="M649" i="4"/>
  <c r="E649" i="4"/>
  <c r="J649" i="4"/>
  <c r="D649" i="4"/>
  <c r="J677" i="4"/>
  <c r="D677" i="4"/>
  <c r="G677" i="4"/>
  <c r="M677" i="4"/>
  <c r="F677" i="4"/>
  <c r="E677" i="4"/>
  <c r="I677" i="4"/>
  <c r="H677" i="4"/>
  <c r="A677" i="4"/>
  <c r="B677" i="4"/>
  <c r="I361" i="4"/>
  <c r="H361" i="4"/>
  <c r="B361" i="4"/>
  <c r="M361" i="4"/>
  <c r="G361" i="4"/>
  <c r="A361" i="4"/>
  <c r="F361" i="4"/>
  <c r="E361" i="4"/>
  <c r="J361" i="4"/>
  <c r="D361" i="4"/>
  <c r="H411" i="4"/>
  <c r="B411" i="4"/>
  <c r="J411" i="4"/>
  <c r="D411" i="4"/>
  <c r="G411" i="4"/>
  <c r="F411" i="4"/>
  <c r="M411" i="4"/>
  <c r="E411" i="4"/>
  <c r="A411" i="4"/>
  <c r="I411" i="4"/>
  <c r="F235" i="4"/>
  <c r="E235" i="4"/>
  <c r="J235" i="4"/>
  <c r="D235" i="4"/>
  <c r="I235" i="4"/>
  <c r="H235" i="4"/>
  <c r="B235" i="4"/>
  <c r="M235" i="4"/>
  <c r="G235" i="4"/>
  <c r="A235" i="4"/>
  <c r="M114" i="4"/>
  <c r="G114" i="4"/>
  <c r="A114" i="4"/>
  <c r="F114" i="4"/>
  <c r="E114" i="4"/>
  <c r="J114" i="4"/>
  <c r="D114" i="4"/>
  <c r="I114" i="4"/>
  <c r="H114" i="4"/>
  <c r="B114" i="4"/>
  <c r="C525" i="4"/>
  <c r="I500" i="4"/>
  <c r="H500" i="4"/>
  <c r="B500" i="4"/>
  <c r="M500" i="4"/>
  <c r="G500" i="4"/>
  <c r="A500" i="4"/>
  <c r="F500" i="4"/>
  <c r="E500" i="4"/>
  <c r="J500" i="4"/>
  <c r="D500" i="4"/>
  <c r="E335" i="4"/>
  <c r="J335" i="4"/>
  <c r="D335" i="4"/>
  <c r="M335" i="4"/>
  <c r="G335" i="4"/>
  <c r="A335" i="4"/>
  <c r="I335" i="4"/>
  <c r="H335" i="4"/>
  <c r="F335" i="4"/>
  <c r="B335" i="4"/>
  <c r="H275" i="4"/>
  <c r="B275" i="4"/>
  <c r="M275" i="4"/>
  <c r="G275" i="4"/>
  <c r="A275" i="4"/>
  <c r="F275" i="4"/>
  <c r="E275" i="4"/>
  <c r="J275" i="4"/>
  <c r="D275" i="4"/>
  <c r="I275" i="4"/>
  <c r="J147" i="4"/>
  <c r="D147" i="4"/>
  <c r="I147" i="4"/>
  <c r="H147" i="4"/>
  <c r="B147" i="4"/>
  <c r="M147" i="4"/>
  <c r="G147" i="4"/>
  <c r="A147" i="4"/>
  <c r="F147" i="4"/>
  <c r="E147" i="4"/>
  <c r="E293" i="4"/>
  <c r="M293" i="4"/>
  <c r="G293" i="4"/>
  <c r="A293" i="4"/>
  <c r="J293" i="4"/>
  <c r="B293" i="4"/>
  <c r="I293" i="4"/>
  <c r="H293" i="4"/>
  <c r="F293" i="4"/>
  <c r="D293" i="4"/>
  <c r="H429" i="4"/>
  <c r="B429" i="4"/>
  <c r="M429" i="4"/>
  <c r="G429" i="4"/>
  <c r="A429" i="4"/>
  <c r="J429" i="4"/>
  <c r="D429" i="4"/>
  <c r="E429" i="4"/>
  <c r="I429" i="4"/>
  <c r="F429" i="4"/>
  <c r="I313" i="4"/>
  <c r="H313" i="4"/>
  <c r="B313" i="4"/>
  <c r="E313" i="4"/>
  <c r="J313" i="4"/>
  <c r="G313" i="4"/>
  <c r="F313" i="4"/>
  <c r="D313" i="4"/>
  <c r="M313" i="4"/>
  <c r="A313" i="4"/>
  <c r="J372" i="4"/>
  <c r="D372" i="4"/>
  <c r="I372" i="4"/>
  <c r="H372" i="4"/>
  <c r="B372" i="4"/>
  <c r="M372" i="4"/>
  <c r="G372" i="4"/>
  <c r="A372" i="4"/>
  <c r="F372" i="4"/>
  <c r="E372" i="4"/>
  <c r="F602" i="4"/>
  <c r="M602" i="4"/>
  <c r="E602" i="4"/>
  <c r="D602" i="4"/>
  <c r="J602" i="4"/>
  <c r="H602" i="4"/>
  <c r="A602" i="4"/>
  <c r="I602" i="4"/>
  <c r="G602" i="4"/>
  <c r="B602" i="4"/>
  <c r="F738" i="4"/>
  <c r="J738" i="4"/>
  <c r="D738" i="4"/>
  <c r="I738" i="4"/>
  <c r="E738" i="4"/>
  <c r="B738" i="4"/>
  <c r="M738" i="4"/>
  <c r="A738" i="4"/>
  <c r="H738" i="4"/>
  <c r="G738" i="4"/>
  <c r="H459" i="4"/>
  <c r="B459" i="4"/>
  <c r="M459" i="4"/>
  <c r="G459" i="4"/>
  <c r="A459" i="4"/>
  <c r="J459" i="4"/>
  <c r="D459" i="4"/>
  <c r="I459" i="4"/>
  <c r="F459" i="4"/>
  <c r="E459" i="4"/>
  <c r="M387" i="4"/>
  <c r="G387" i="4"/>
  <c r="A387" i="4"/>
  <c r="F387" i="4"/>
  <c r="E387" i="4"/>
  <c r="J387" i="4"/>
  <c r="D387" i="4"/>
  <c r="I387" i="4"/>
  <c r="H387" i="4"/>
  <c r="B387" i="4"/>
  <c r="E122" i="4"/>
  <c r="J122" i="4"/>
  <c r="D122" i="4"/>
  <c r="I122" i="4"/>
  <c r="H122" i="4"/>
  <c r="B122" i="4"/>
  <c r="M122" i="4"/>
  <c r="G122" i="4"/>
  <c r="A122" i="4"/>
  <c r="F122" i="4"/>
  <c r="F109" i="4"/>
  <c r="E109" i="4"/>
  <c r="J109" i="4"/>
  <c r="D109" i="4"/>
  <c r="I109" i="4"/>
  <c r="H109" i="4"/>
  <c r="B109" i="4"/>
  <c r="G109" i="4"/>
  <c r="A109" i="4"/>
  <c r="M109" i="4"/>
  <c r="M204" i="4"/>
  <c r="G204" i="4"/>
  <c r="A204" i="4"/>
  <c r="F204" i="4"/>
  <c r="E204" i="4"/>
  <c r="J204" i="4"/>
  <c r="D204" i="4"/>
  <c r="I204" i="4"/>
  <c r="H204" i="4"/>
  <c r="B204" i="4"/>
  <c r="M96" i="4"/>
  <c r="G96" i="4"/>
  <c r="A96" i="4"/>
  <c r="F96" i="4"/>
  <c r="E96" i="4"/>
  <c r="J96" i="4"/>
  <c r="D96" i="4"/>
  <c r="I96" i="4"/>
  <c r="H96" i="4"/>
  <c r="B96" i="4"/>
  <c r="H191" i="4"/>
  <c r="B191" i="4"/>
  <c r="M191" i="4"/>
  <c r="G191" i="4"/>
  <c r="A191" i="4"/>
  <c r="F191" i="4"/>
  <c r="E191" i="4"/>
  <c r="J191" i="4"/>
  <c r="D191" i="4"/>
  <c r="I191" i="4"/>
  <c r="I178" i="4"/>
  <c r="H178" i="4"/>
  <c r="B178" i="4"/>
  <c r="M178" i="4"/>
  <c r="G178" i="4"/>
  <c r="A178" i="4"/>
  <c r="F178" i="4"/>
  <c r="E178" i="4"/>
  <c r="J178" i="4"/>
  <c r="D178" i="4"/>
  <c r="C206" i="4"/>
  <c r="J665" i="4"/>
  <c r="D665" i="4"/>
  <c r="E665" i="4"/>
  <c r="I665" i="4"/>
  <c r="B665" i="4"/>
  <c r="H665" i="4"/>
  <c r="G665" i="4"/>
  <c r="F665" i="4"/>
  <c r="M665" i="4"/>
  <c r="A665" i="4"/>
  <c r="E444" i="4"/>
  <c r="J444" i="4"/>
  <c r="D444" i="4"/>
  <c r="M444" i="4"/>
  <c r="G444" i="4"/>
  <c r="A444" i="4"/>
  <c r="B444" i="4"/>
  <c r="I444" i="4"/>
  <c r="H444" i="4"/>
  <c r="F444" i="4"/>
  <c r="F497" i="4"/>
  <c r="E497" i="4"/>
  <c r="J497" i="4"/>
  <c r="D497" i="4"/>
  <c r="I497" i="4"/>
  <c r="H497" i="4"/>
  <c r="B497" i="4"/>
  <c r="M497" i="4"/>
  <c r="G497" i="4"/>
  <c r="A497" i="4"/>
  <c r="J518" i="4"/>
  <c r="D518" i="4"/>
  <c r="I518" i="4"/>
  <c r="H518" i="4"/>
  <c r="B518" i="4"/>
  <c r="F518" i="4"/>
  <c r="M518" i="4"/>
  <c r="G518" i="4"/>
  <c r="E518" i="4"/>
  <c r="A518" i="4"/>
  <c r="I482" i="4"/>
  <c r="H482" i="4"/>
  <c r="B482" i="4"/>
  <c r="M482" i="4"/>
  <c r="G482" i="4"/>
  <c r="A482" i="4"/>
  <c r="F482" i="4"/>
  <c r="E482" i="4"/>
  <c r="J482" i="4"/>
  <c r="D482" i="4"/>
  <c r="H447" i="4"/>
  <c r="B447" i="4"/>
  <c r="M447" i="4"/>
  <c r="G447" i="4"/>
  <c r="A447" i="4"/>
  <c r="J447" i="4"/>
  <c r="D447" i="4"/>
  <c r="I447" i="4"/>
  <c r="F447" i="4"/>
  <c r="E447" i="4"/>
  <c r="E317" i="4"/>
  <c r="J317" i="4"/>
  <c r="D317" i="4"/>
  <c r="M317" i="4"/>
  <c r="G317" i="4"/>
  <c r="A317" i="4"/>
  <c r="F317" i="4"/>
  <c r="B317" i="4"/>
  <c r="I317" i="4"/>
  <c r="H317" i="4"/>
  <c r="C387" i="4"/>
  <c r="C531" i="4"/>
  <c r="H514" i="4"/>
  <c r="B514" i="4"/>
  <c r="M514" i="4"/>
  <c r="G514" i="4"/>
  <c r="F514" i="4"/>
  <c r="J514" i="4"/>
  <c r="I514" i="4"/>
  <c r="E514" i="4"/>
  <c r="D514" i="4"/>
  <c r="A514" i="4"/>
  <c r="H520" i="4"/>
  <c r="B520" i="4"/>
  <c r="M520" i="4"/>
  <c r="G520" i="4"/>
  <c r="A520" i="4"/>
  <c r="F520" i="4"/>
  <c r="J520" i="4"/>
  <c r="D520" i="4"/>
  <c r="I520" i="4"/>
  <c r="E520" i="4"/>
  <c r="I337" i="4"/>
  <c r="H337" i="4"/>
  <c r="B337" i="4"/>
  <c r="E337" i="4"/>
  <c r="J337" i="4"/>
  <c r="G337" i="4"/>
  <c r="F337" i="4"/>
  <c r="D337" i="4"/>
  <c r="M337" i="4"/>
  <c r="A337" i="4"/>
  <c r="J282" i="4"/>
  <c r="D282" i="4"/>
  <c r="F282" i="4"/>
  <c r="B282" i="4"/>
  <c r="I282" i="4"/>
  <c r="A282" i="4"/>
  <c r="H282" i="4"/>
  <c r="G282" i="4"/>
  <c r="E282" i="4"/>
  <c r="M282" i="4"/>
  <c r="H338" i="4"/>
  <c r="B338" i="4"/>
  <c r="M338" i="4"/>
  <c r="G338" i="4"/>
  <c r="A338" i="4"/>
  <c r="J338" i="4"/>
  <c r="D338" i="4"/>
  <c r="I338" i="4"/>
  <c r="F338" i="4"/>
  <c r="E338" i="4"/>
  <c r="J237" i="4"/>
  <c r="D237" i="4"/>
  <c r="I237" i="4"/>
  <c r="H237" i="4"/>
  <c r="B237" i="4"/>
  <c r="M237" i="4"/>
  <c r="G237" i="4"/>
  <c r="A237" i="4"/>
  <c r="F237" i="4"/>
  <c r="E237" i="4"/>
  <c r="H643" i="4"/>
  <c r="B643" i="4"/>
  <c r="G643" i="4"/>
  <c r="I643" i="4"/>
  <c r="F643" i="4"/>
  <c r="M643" i="4"/>
  <c r="E643" i="4"/>
  <c r="J643" i="4"/>
  <c r="D643" i="4"/>
  <c r="A643" i="4"/>
  <c r="C524" i="4"/>
  <c r="C461" i="4"/>
  <c r="I513" i="4"/>
  <c r="M513" i="4"/>
  <c r="G513" i="4"/>
  <c r="A513" i="4"/>
  <c r="D513" i="4"/>
  <c r="B513" i="4"/>
  <c r="J513" i="4"/>
  <c r="H513" i="4"/>
  <c r="F513" i="4"/>
  <c r="E513" i="4"/>
  <c r="H507" i="4"/>
  <c r="B507" i="4"/>
  <c r="M507" i="4"/>
  <c r="G507" i="4"/>
  <c r="A507" i="4"/>
  <c r="F507" i="4"/>
  <c r="E507" i="4"/>
  <c r="J507" i="4"/>
  <c r="D507" i="4"/>
  <c r="I507" i="4"/>
  <c r="C486" i="4"/>
  <c r="C334" i="4"/>
  <c r="F400" i="4"/>
  <c r="E400" i="4"/>
  <c r="J400" i="4"/>
  <c r="D400" i="4"/>
  <c r="I400" i="4"/>
  <c r="H400" i="4"/>
  <c r="B400" i="4"/>
  <c r="M400" i="4"/>
  <c r="G400" i="4"/>
  <c r="A400" i="4"/>
  <c r="F657" i="4"/>
  <c r="M657" i="4"/>
  <c r="E657" i="4"/>
  <c r="H657" i="4"/>
  <c r="G657" i="4"/>
  <c r="D657" i="4"/>
  <c r="J657" i="4"/>
  <c r="B657" i="4"/>
  <c r="I657" i="4"/>
  <c r="A657" i="4"/>
  <c r="M345" i="4"/>
  <c r="G345" i="4"/>
  <c r="A345" i="4"/>
  <c r="F345" i="4"/>
  <c r="E345" i="4"/>
  <c r="J345" i="4"/>
  <c r="D345" i="4"/>
  <c r="I345" i="4"/>
  <c r="H345" i="4"/>
  <c r="B345" i="4"/>
  <c r="H350" i="4"/>
  <c r="B350" i="4"/>
  <c r="M350" i="4"/>
  <c r="G350" i="4"/>
  <c r="A350" i="4"/>
  <c r="F350" i="4"/>
  <c r="E350" i="4"/>
  <c r="J350" i="4"/>
  <c r="D350" i="4"/>
  <c r="I350" i="4"/>
  <c r="J300" i="4"/>
  <c r="D300" i="4"/>
  <c r="I300" i="4"/>
  <c r="F300" i="4"/>
  <c r="H300" i="4"/>
  <c r="G300" i="4"/>
  <c r="E300" i="4"/>
  <c r="B300" i="4"/>
  <c r="A300" i="4"/>
  <c r="M300" i="4"/>
  <c r="E188" i="4"/>
  <c r="J188" i="4"/>
  <c r="D188" i="4"/>
  <c r="I188" i="4"/>
  <c r="H188" i="4"/>
  <c r="B188" i="4"/>
  <c r="M188" i="4"/>
  <c r="G188" i="4"/>
  <c r="A188" i="4"/>
  <c r="F188" i="4"/>
  <c r="E80" i="4"/>
  <c r="J80" i="4"/>
  <c r="D80" i="4"/>
  <c r="I80" i="4"/>
  <c r="H80" i="4"/>
  <c r="B80" i="4"/>
  <c r="M80" i="4"/>
  <c r="G80" i="4"/>
  <c r="A80" i="4"/>
  <c r="F80" i="4"/>
  <c r="H284" i="4"/>
  <c r="B284" i="4"/>
  <c r="J284" i="4"/>
  <c r="D284" i="4"/>
  <c r="A284" i="4"/>
  <c r="I284" i="4"/>
  <c r="G284" i="4"/>
  <c r="F284" i="4"/>
  <c r="M284" i="4"/>
  <c r="E284" i="4"/>
  <c r="F175" i="4"/>
  <c r="E175" i="4"/>
  <c r="J175" i="4"/>
  <c r="D175" i="4"/>
  <c r="I175" i="4"/>
  <c r="H175" i="4"/>
  <c r="B175" i="4"/>
  <c r="M175" i="4"/>
  <c r="G175" i="4"/>
  <c r="A175" i="4"/>
  <c r="F67" i="4"/>
  <c r="E67" i="4"/>
  <c r="J67" i="4"/>
  <c r="D67" i="4"/>
  <c r="I67" i="4"/>
  <c r="H67" i="4"/>
  <c r="B67" i="4"/>
  <c r="M67" i="4"/>
  <c r="G67" i="4"/>
  <c r="A67" i="4"/>
  <c r="M270" i="4"/>
  <c r="G270" i="4"/>
  <c r="A270" i="4"/>
  <c r="F270" i="4"/>
  <c r="E270" i="4"/>
  <c r="J270" i="4"/>
  <c r="D270" i="4"/>
  <c r="I270" i="4"/>
  <c r="B270" i="4"/>
  <c r="H270" i="4"/>
  <c r="M162" i="4"/>
  <c r="G162" i="4"/>
  <c r="A162" i="4"/>
  <c r="F162" i="4"/>
  <c r="E162" i="4"/>
  <c r="J162" i="4"/>
  <c r="D162" i="4"/>
  <c r="I162" i="4"/>
  <c r="B162" i="4"/>
  <c r="H162" i="4"/>
  <c r="M54" i="4"/>
  <c r="G54" i="4"/>
  <c r="A54" i="4"/>
  <c r="F54" i="4"/>
  <c r="E54" i="4"/>
  <c r="J54" i="4"/>
  <c r="D54" i="4"/>
  <c r="I54" i="4"/>
  <c r="B54" i="4"/>
  <c r="H54" i="4"/>
  <c r="H257" i="4"/>
  <c r="B257" i="4"/>
  <c r="M257" i="4"/>
  <c r="G257" i="4"/>
  <c r="A257" i="4"/>
  <c r="F257" i="4"/>
  <c r="E257" i="4"/>
  <c r="J257" i="4"/>
  <c r="D257" i="4"/>
  <c r="I257" i="4"/>
  <c r="H149" i="4"/>
  <c r="B149" i="4"/>
  <c r="M149" i="4"/>
  <c r="G149" i="4"/>
  <c r="A149" i="4"/>
  <c r="F149" i="4"/>
  <c r="E149" i="4"/>
  <c r="J149" i="4"/>
  <c r="D149" i="4"/>
  <c r="I149" i="4"/>
  <c r="H41" i="4"/>
  <c r="B41" i="4"/>
  <c r="M41" i="4"/>
  <c r="G41" i="4"/>
  <c r="A41" i="4"/>
  <c r="F41" i="4"/>
  <c r="E41" i="4"/>
  <c r="J41" i="4"/>
  <c r="D41" i="4"/>
  <c r="I41" i="4"/>
  <c r="I244" i="4"/>
  <c r="H244" i="4"/>
  <c r="B244" i="4"/>
  <c r="M244" i="4"/>
  <c r="G244" i="4"/>
  <c r="A244" i="4"/>
  <c r="F244" i="4"/>
  <c r="E244" i="4"/>
  <c r="J244" i="4"/>
  <c r="D244" i="4"/>
  <c r="I136" i="4"/>
  <c r="H136" i="4"/>
  <c r="B136" i="4"/>
  <c r="M136" i="4"/>
  <c r="G136" i="4"/>
  <c r="A136" i="4"/>
  <c r="F136" i="4"/>
  <c r="E136" i="4"/>
  <c r="J136" i="4"/>
  <c r="D136" i="4"/>
  <c r="I28" i="4"/>
  <c r="H28" i="4"/>
  <c r="B28" i="4"/>
  <c r="M28" i="4"/>
  <c r="G28" i="4"/>
  <c r="A28" i="4"/>
  <c r="F28" i="4"/>
  <c r="E28" i="4"/>
  <c r="J28" i="4"/>
  <c r="D28" i="4"/>
  <c r="J39" i="4"/>
  <c r="D39" i="4"/>
  <c r="I39" i="4"/>
  <c r="H39" i="4"/>
  <c r="B39" i="4"/>
  <c r="M39" i="4"/>
  <c r="G39" i="4"/>
  <c r="A39" i="4"/>
  <c r="F39" i="4"/>
  <c r="E39" i="4"/>
  <c r="C532" i="4"/>
  <c r="C513" i="4"/>
  <c r="F699" i="4"/>
  <c r="I699" i="4"/>
  <c r="B699" i="4"/>
  <c r="H699" i="4"/>
  <c r="A699" i="4"/>
  <c r="G699" i="4"/>
  <c r="M699" i="4"/>
  <c r="E699" i="4"/>
  <c r="J699" i="4"/>
  <c r="D699" i="4"/>
  <c r="F455" i="4"/>
  <c r="E455" i="4"/>
  <c r="H455" i="4"/>
  <c r="B455" i="4"/>
  <c r="M455" i="4"/>
  <c r="A455" i="4"/>
  <c r="J455" i="4"/>
  <c r="I455" i="4"/>
  <c r="G455" i="4"/>
  <c r="D455" i="4"/>
  <c r="C471" i="4"/>
  <c r="I605" i="4"/>
  <c r="J605" i="4"/>
  <c r="B605" i="4"/>
  <c r="H605" i="4"/>
  <c r="A605" i="4"/>
  <c r="G605" i="4"/>
  <c r="E605" i="4"/>
  <c r="D605" i="4"/>
  <c r="M605" i="4"/>
  <c r="F605" i="4"/>
  <c r="I440" i="4"/>
  <c r="H440" i="4"/>
  <c r="B440" i="4"/>
  <c r="E440" i="4"/>
  <c r="F440" i="4"/>
  <c r="D440" i="4"/>
  <c r="M440" i="4"/>
  <c r="A440" i="4"/>
  <c r="J440" i="4"/>
  <c r="G440" i="4"/>
  <c r="E383" i="4"/>
  <c r="J383" i="4"/>
  <c r="D383" i="4"/>
  <c r="I383" i="4"/>
  <c r="H383" i="4"/>
  <c r="B383" i="4"/>
  <c r="M383" i="4"/>
  <c r="G383" i="4"/>
  <c r="A383" i="4"/>
  <c r="F383" i="4"/>
  <c r="C345" i="4"/>
  <c r="I403" i="4"/>
  <c r="H403" i="4"/>
  <c r="B403" i="4"/>
  <c r="M403" i="4"/>
  <c r="G403" i="4"/>
  <c r="A403" i="4"/>
  <c r="F403" i="4"/>
  <c r="E403" i="4"/>
  <c r="J403" i="4"/>
  <c r="D403" i="4"/>
  <c r="I295" i="4"/>
  <c r="H295" i="4"/>
  <c r="E295" i="4"/>
  <c r="D295" i="4"/>
  <c r="M295" i="4"/>
  <c r="B295" i="4"/>
  <c r="A295" i="4"/>
  <c r="J295" i="4"/>
  <c r="G295" i="4"/>
  <c r="F295" i="4"/>
  <c r="J384" i="4"/>
  <c r="D384" i="4"/>
  <c r="I384" i="4"/>
  <c r="H384" i="4"/>
  <c r="B384" i="4"/>
  <c r="M384" i="4"/>
  <c r="G384" i="4"/>
  <c r="A384" i="4"/>
  <c r="F384" i="4"/>
  <c r="E384" i="4"/>
  <c r="J342" i="4"/>
  <c r="D342" i="4"/>
  <c r="I342" i="4"/>
  <c r="H342" i="4"/>
  <c r="B342" i="4"/>
  <c r="M342" i="4"/>
  <c r="G342" i="4"/>
  <c r="A342" i="4"/>
  <c r="F342" i="4"/>
  <c r="E342" i="4"/>
  <c r="M315" i="4"/>
  <c r="G315" i="4"/>
  <c r="A315" i="4"/>
  <c r="F315" i="4"/>
  <c r="I315" i="4"/>
  <c r="H315" i="4"/>
  <c r="E315" i="4"/>
  <c r="D315" i="4"/>
  <c r="B315" i="4"/>
  <c r="J315" i="4"/>
  <c r="C189" i="4"/>
  <c r="C81" i="4"/>
  <c r="J45" i="4"/>
  <c r="D45" i="4"/>
  <c r="I45" i="4"/>
  <c r="H45" i="4"/>
  <c r="B45" i="4"/>
  <c r="M45" i="4"/>
  <c r="G45" i="4"/>
  <c r="A45" i="4"/>
  <c r="F45" i="4"/>
  <c r="E45" i="4"/>
  <c r="C341" i="4"/>
  <c r="C544" i="4"/>
  <c r="J622" i="4"/>
  <c r="D622" i="4"/>
  <c r="E622" i="4"/>
  <c r="I622" i="4"/>
  <c r="B622" i="4"/>
  <c r="G622" i="4"/>
  <c r="M622" i="4"/>
  <c r="H622" i="4"/>
  <c r="F622" i="4"/>
  <c r="A622" i="4"/>
  <c r="F829" i="4"/>
  <c r="M829" i="4"/>
  <c r="E829" i="4"/>
  <c r="J829" i="4"/>
  <c r="B829" i="4"/>
  <c r="I829" i="4"/>
  <c r="A829" i="4"/>
  <c r="H829" i="4"/>
  <c r="G829" i="4"/>
  <c r="D829" i="4"/>
  <c r="M692" i="4"/>
  <c r="G692" i="4"/>
  <c r="A692" i="4"/>
  <c r="F692" i="4"/>
  <c r="E692" i="4"/>
  <c r="D692" i="4"/>
  <c r="J692" i="4"/>
  <c r="I692" i="4"/>
  <c r="H692" i="4"/>
  <c r="B692" i="4"/>
  <c r="E670" i="4"/>
  <c r="D670" i="4"/>
  <c r="I670" i="4"/>
  <c r="B670" i="4"/>
  <c r="H670" i="4"/>
  <c r="G670" i="4"/>
  <c r="F670" i="4"/>
  <c r="M670" i="4"/>
  <c r="A670" i="4"/>
  <c r="J670" i="4"/>
  <c r="J850" i="4"/>
  <c r="D850" i="4"/>
  <c r="I850" i="4"/>
  <c r="F850" i="4"/>
  <c r="M850" i="4"/>
  <c r="E850" i="4"/>
  <c r="B850" i="4"/>
  <c r="H850" i="4"/>
  <c r="G850" i="4"/>
  <c r="A850" i="4"/>
  <c r="C799" i="4"/>
  <c r="M847" i="4"/>
  <c r="G847" i="4"/>
  <c r="A847" i="4"/>
  <c r="F847" i="4"/>
  <c r="I847" i="4"/>
  <c r="E847" i="4"/>
  <c r="J847" i="4"/>
  <c r="H847" i="4"/>
  <c r="D847" i="4"/>
  <c r="B847" i="4"/>
  <c r="J874" i="4"/>
  <c r="D874" i="4"/>
  <c r="I874" i="4"/>
  <c r="H874" i="4"/>
  <c r="B874" i="4"/>
  <c r="M874" i="4"/>
  <c r="A874" i="4"/>
  <c r="G874" i="4"/>
  <c r="F874" i="4"/>
  <c r="E874" i="4"/>
  <c r="E837" i="4"/>
  <c r="J837" i="4"/>
  <c r="D837" i="4"/>
  <c r="I837" i="4"/>
  <c r="A837" i="4"/>
  <c r="H837" i="4"/>
  <c r="G837" i="4"/>
  <c r="F837" i="4"/>
  <c r="M837" i="4"/>
  <c r="B837" i="4"/>
  <c r="C906" i="4"/>
  <c r="F941" i="4"/>
  <c r="M941" i="4"/>
  <c r="E941" i="4"/>
  <c r="D941" i="4"/>
  <c r="H941" i="4"/>
  <c r="A941" i="4"/>
  <c r="G941" i="4"/>
  <c r="B941" i="4"/>
  <c r="J941" i="4"/>
  <c r="I941" i="4"/>
  <c r="H951" i="4"/>
  <c r="B951" i="4"/>
  <c r="M951" i="4"/>
  <c r="E951" i="4"/>
  <c r="D951" i="4"/>
  <c r="I951" i="4"/>
  <c r="A951" i="4"/>
  <c r="G951" i="4"/>
  <c r="J951" i="4"/>
  <c r="F951" i="4"/>
  <c r="M1071" i="4"/>
  <c r="G1071" i="4"/>
  <c r="A1071" i="4"/>
  <c r="D1071" i="4"/>
  <c r="H1071" i="4"/>
  <c r="I1071" i="4"/>
  <c r="F1071" i="4"/>
  <c r="E1071" i="4"/>
  <c r="B1071" i="4"/>
  <c r="J1071" i="4"/>
  <c r="M545" i="4"/>
  <c r="G545" i="4"/>
  <c r="A545" i="4"/>
  <c r="F545" i="4"/>
  <c r="E545" i="4"/>
  <c r="I545" i="4"/>
  <c r="H545" i="4"/>
  <c r="D545" i="4"/>
  <c r="B545" i="4"/>
  <c r="J545" i="4"/>
  <c r="E553" i="4"/>
  <c r="J553" i="4"/>
  <c r="D553" i="4"/>
  <c r="I553" i="4"/>
  <c r="M553" i="4"/>
  <c r="G553" i="4"/>
  <c r="A553" i="4"/>
  <c r="H553" i="4"/>
  <c r="F553" i="4"/>
  <c r="B553" i="4"/>
  <c r="C572" i="4"/>
  <c r="H697" i="4"/>
  <c r="B697" i="4"/>
  <c r="M697" i="4"/>
  <c r="F697" i="4"/>
  <c r="E697" i="4"/>
  <c r="D697" i="4"/>
  <c r="J697" i="4"/>
  <c r="I697" i="4"/>
  <c r="G697" i="4"/>
  <c r="A697" i="4"/>
  <c r="C665" i="4"/>
  <c r="M707" i="4"/>
  <c r="G707" i="4"/>
  <c r="A707" i="4"/>
  <c r="E707" i="4"/>
  <c r="J707" i="4"/>
  <c r="D707" i="4"/>
  <c r="I707" i="4"/>
  <c r="H707" i="4"/>
  <c r="F707" i="4"/>
  <c r="B707" i="4"/>
  <c r="J780" i="4"/>
  <c r="D780" i="4"/>
  <c r="I780" i="4"/>
  <c r="H780" i="4"/>
  <c r="B780" i="4"/>
  <c r="M780" i="4"/>
  <c r="G780" i="4"/>
  <c r="A780" i="4"/>
  <c r="F780" i="4"/>
  <c r="E780" i="4"/>
  <c r="H770" i="4"/>
  <c r="B770" i="4"/>
  <c r="M770" i="4"/>
  <c r="G770" i="4"/>
  <c r="F770" i="4"/>
  <c r="E770" i="4"/>
  <c r="A770" i="4"/>
  <c r="J770" i="4"/>
  <c r="I770" i="4"/>
  <c r="D770" i="4"/>
  <c r="C804" i="4"/>
  <c r="C858" i="4"/>
  <c r="I881" i="4"/>
  <c r="H881" i="4"/>
  <c r="B881" i="4"/>
  <c r="M881" i="4"/>
  <c r="G881" i="4"/>
  <c r="A881" i="4"/>
  <c r="F881" i="4"/>
  <c r="E881" i="4"/>
  <c r="D881" i="4"/>
  <c r="J881" i="4"/>
  <c r="C889" i="4"/>
  <c r="E818" i="4"/>
  <c r="D818" i="4"/>
  <c r="G818" i="4"/>
  <c r="F818" i="4"/>
  <c r="M818" i="4"/>
  <c r="J818" i="4"/>
  <c r="B818" i="4"/>
  <c r="I818" i="4"/>
  <c r="H818" i="4"/>
  <c r="A818" i="4"/>
  <c r="H907" i="4"/>
  <c r="B907" i="4"/>
  <c r="M907" i="4"/>
  <c r="G907" i="4"/>
  <c r="A907" i="4"/>
  <c r="J907" i="4"/>
  <c r="D907" i="4"/>
  <c r="I907" i="4"/>
  <c r="F907" i="4"/>
  <c r="E907" i="4"/>
  <c r="J943" i="4"/>
  <c r="D943" i="4"/>
  <c r="H943" i="4"/>
  <c r="A943" i="4"/>
  <c r="G943" i="4"/>
  <c r="I943" i="4"/>
  <c r="F943" i="4"/>
  <c r="E943" i="4"/>
  <c r="M943" i="4"/>
  <c r="B943" i="4"/>
  <c r="M946" i="4"/>
  <c r="G946" i="4"/>
  <c r="A946" i="4"/>
  <c r="E946" i="4"/>
  <c r="D946" i="4"/>
  <c r="I946" i="4"/>
  <c r="B946" i="4"/>
  <c r="H946" i="4"/>
  <c r="J946" i="4"/>
  <c r="F946" i="4"/>
  <c r="I954" i="4"/>
  <c r="H954" i="4"/>
  <c r="B954" i="4"/>
  <c r="E954" i="4"/>
  <c r="J954" i="4"/>
  <c r="G954" i="4"/>
  <c r="D954" i="4"/>
  <c r="M954" i="4"/>
  <c r="A954" i="4"/>
  <c r="F954" i="4"/>
  <c r="H1037" i="4"/>
  <c r="B1037" i="4"/>
  <c r="M1037" i="4"/>
  <c r="G1037" i="4"/>
  <c r="A1037" i="4"/>
  <c r="E1037" i="4"/>
  <c r="J1037" i="4"/>
  <c r="D1037" i="4"/>
  <c r="I1037" i="4"/>
  <c r="F1037" i="4"/>
  <c r="H1064" i="4"/>
  <c r="B1064" i="4"/>
  <c r="I1064" i="4"/>
  <c r="A1064" i="4"/>
  <c r="E1064" i="4"/>
  <c r="M1064" i="4"/>
  <c r="J1064" i="4"/>
  <c r="G1064" i="4"/>
  <c r="F1064" i="4"/>
  <c r="D1064" i="4"/>
  <c r="F1074" i="4"/>
  <c r="J1074" i="4"/>
  <c r="D1074" i="4"/>
  <c r="M1074" i="4"/>
  <c r="B1074" i="4"/>
  <c r="G1074" i="4"/>
  <c r="I1074" i="4"/>
  <c r="H1074" i="4"/>
  <c r="E1074" i="4"/>
  <c r="A1074" i="4"/>
  <c r="E1094" i="4"/>
  <c r="J1094" i="4"/>
  <c r="D1094" i="4"/>
  <c r="H1094" i="4"/>
  <c r="B1094" i="4"/>
  <c r="M1094" i="4"/>
  <c r="G1094" i="4"/>
  <c r="A1094" i="4"/>
  <c r="I1094" i="4"/>
  <c r="F1094" i="4"/>
  <c r="H612" i="4"/>
  <c r="B612" i="4"/>
  <c r="E612" i="4"/>
  <c r="D612" i="4"/>
  <c r="J612" i="4"/>
  <c r="G612" i="4"/>
  <c r="M612" i="4"/>
  <c r="I612" i="4"/>
  <c r="F612" i="4"/>
  <c r="A612" i="4"/>
  <c r="C540" i="4"/>
  <c r="C656" i="4"/>
  <c r="F766" i="4"/>
  <c r="I766" i="4"/>
  <c r="J766" i="4"/>
  <c r="A766" i="4"/>
  <c r="H766" i="4"/>
  <c r="G766" i="4"/>
  <c r="E766" i="4"/>
  <c r="M766" i="4"/>
  <c r="D766" i="4"/>
  <c r="B766" i="4"/>
  <c r="J786" i="4"/>
  <c r="D786" i="4"/>
  <c r="I786" i="4"/>
  <c r="H786" i="4"/>
  <c r="B786" i="4"/>
  <c r="M786" i="4"/>
  <c r="G786" i="4"/>
  <c r="A786" i="4"/>
  <c r="F786" i="4"/>
  <c r="E786" i="4"/>
  <c r="E658" i="4"/>
  <c r="G658" i="4"/>
  <c r="J658" i="4"/>
  <c r="B658" i="4"/>
  <c r="I658" i="4"/>
  <c r="A658" i="4"/>
  <c r="F658" i="4"/>
  <c r="M658" i="4"/>
  <c r="H658" i="4"/>
  <c r="D658" i="4"/>
  <c r="J792" i="4"/>
  <c r="D792" i="4"/>
  <c r="I792" i="4"/>
  <c r="H792" i="4"/>
  <c r="B792" i="4"/>
  <c r="M792" i="4"/>
  <c r="G792" i="4"/>
  <c r="A792" i="4"/>
  <c r="F792" i="4"/>
  <c r="E792" i="4"/>
  <c r="I763" i="4"/>
  <c r="F763" i="4"/>
  <c r="M763" i="4"/>
  <c r="D763" i="4"/>
  <c r="B763" i="4"/>
  <c r="J763" i="4"/>
  <c r="A763" i="4"/>
  <c r="H763" i="4"/>
  <c r="G763" i="4"/>
  <c r="E763" i="4"/>
  <c r="C757" i="4"/>
  <c r="C788" i="4"/>
  <c r="J831" i="4"/>
  <c r="D831" i="4"/>
  <c r="H831" i="4"/>
  <c r="A831" i="4"/>
  <c r="B831" i="4"/>
  <c r="I831" i="4"/>
  <c r="G831" i="4"/>
  <c r="F831" i="4"/>
  <c r="E831" i="4"/>
  <c r="M831" i="4"/>
  <c r="H955" i="4"/>
  <c r="B955" i="4"/>
  <c r="M955" i="4"/>
  <c r="G955" i="4"/>
  <c r="A955" i="4"/>
  <c r="J955" i="4"/>
  <c r="D955" i="4"/>
  <c r="I955" i="4"/>
  <c r="F955" i="4"/>
  <c r="E955" i="4"/>
  <c r="M928" i="4"/>
  <c r="G928" i="4"/>
  <c r="A928" i="4"/>
  <c r="I928" i="4"/>
  <c r="B928" i="4"/>
  <c r="H928" i="4"/>
  <c r="D928" i="4"/>
  <c r="E928" i="4"/>
  <c r="J928" i="4"/>
  <c r="F928" i="4"/>
  <c r="J925" i="4"/>
  <c r="D925" i="4"/>
  <c r="E925" i="4"/>
  <c r="G925" i="4"/>
  <c r="I925" i="4"/>
  <c r="H925" i="4"/>
  <c r="A925" i="4"/>
  <c r="M925" i="4"/>
  <c r="F925" i="4"/>
  <c r="B925" i="4"/>
  <c r="C941" i="4"/>
  <c r="J1004" i="4"/>
  <c r="D1004" i="4"/>
  <c r="I1004" i="4"/>
  <c r="B1004" i="4"/>
  <c r="H1004" i="4"/>
  <c r="A1004" i="4"/>
  <c r="E1004" i="4"/>
  <c r="M1004" i="4"/>
  <c r="G1004" i="4"/>
  <c r="F1004" i="4"/>
  <c r="C1004" i="4"/>
  <c r="J1022" i="4"/>
  <c r="D1022" i="4"/>
  <c r="M1022" i="4"/>
  <c r="G1022" i="4"/>
  <c r="A1022" i="4"/>
  <c r="B1022" i="4"/>
  <c r="I1022" i="4"/>
  <c r="H1022" i="4"/>
  <c r="F1022" i="4"/>
  <c r="E1022" i="4"/>
  <c r="F1046" i="4"/>
  <c r="M1046" i="4"/>
  <c r="E1046" i="4"/>
  <c r="D1046" i="4"/>
  <c r="J1046" i="4"/>
  <c r="I1046" i="4"/>
  <c r="B1046" i="4"/>
  <c r="H1046" i="4"/>
  <c r="A1046" i="4"/>
  <c r="G1046" i="4"/>
  <c r="M613" i="4"/>
  <c r="G613" i="4"/>
  <c r="A613" i="4"/>
  <c r="F613" i="4"/>
  <c r="E613" i="4"/>
  <c r="D613" i="4"/>
  <c r="I613" i="4"/>
  <c r="B613" i="4"/>
  <c r="H613" i="4"/>
  <c r="J613" i="4"/>
  <c r="M571" i="4"/>
  <c r="G571" i="4"/>
  <c r="E571" i="4"/>
  <c r="D571" i="4"/>
  <c r="J571" i="4"/>
  <c r="H571" i="4"/>
  <c r="A571" i="4"/>
  <c r="I571" i="4"/>
  <c r="F571" i="4"/>
  <c r="B571" i="4"/>
  <c r="I863" i="4"/>
  <c r="H863" i="4"/>
  <c r="B863" i="4"/>
  <c r="J863" i="4"/>
  <c r="G863" i="4"/>
  <c r="F863" i="4"/>
  <c r="M863" i="4"/>
  <c r="E863" i="4"/>
  <c r="D863" i="4"/>
  <c r="A863" i="4"/>
  <c r="C688" i="4"/>
  <c r="J635" i="4"/>
  <c r="D635" i="4"/>
  <c r="H635" i="4"/>
  <c r="G635" i="4"/>
  <c r="F635" i="4"/>
  <c r="B635" i="4"/>
  <c r="I635" i="4"/>
  <c r="E635" i="4"/>
  <c r="A635" i="4"/>
  <c r="M635" i="4"/>
  <c r="J701" i="4"/>
  <c r="D701" i="4"/>
  <c r="E701" i="4"/>
  <c r="I701" i="4"/>
  <c r="B701" i="4"/>
  <c r="H701" i="4"/>
  <c r="A701" i="4"/>
  <c r="F701" i="4"/>
  <c r="M701" i="4"/>
  <c r="G701" i="4"/>
  <c r="C786" i="4"/>
  <c r="C735" i="4"/>
  <c r="C774" i="4"/>
  <c r="E751" i="4"/>
  <c r="J751" i="4"/>
  <c r="D751" i="4"/>
  <c r="I751" i="4"/>
  <c r="H751" i="4"/>
  <c r="B751" i="4"/>
  <c r="M751" i="4"/>
  <c r="G751" i="4"/>
  <c r="F751" i="4"/>
  <c r="A751" i="4"/>
  <c r="J844" i="4"/>
  <c r="D844" i="4"/>
  <c r="I844" i="4"/>
  <c r="H844" i="4"/>
  <c r="E844" i="4"/>
  <c r="M844" i="4"/>
  <c r="B844" i="4"/>
  <c r="A844" i="4"/>
  <c r="G844" i="4"/>
  <c r="F844" i="4"/>
  <c r="F778" i="4"/>
  <c r="E778" i="4"/>
  <c r="J778" i="4"/>
  <c r="D778" i="4"/>
  <c r="I778" i="4"/>
  <c r="B778" i="4"/>
  <c r="A778" i="4"/>
  <c r="M778" i="4"/>
  <c r="H778" i="4"/>
  <c r="G778" i="4"/>
  <c r="E797" i="4"/>
  <c r="J797" i="4"/>
  <c r="D797" i="4"/>
  <c r="I797" i="4"/>
  <c r="H797" i="4"/>
  <c r="B797" i="4"/>
  <c r="G797" i="4"/>
  <c r="F797" i="4"/>
  <c r="A797" i="4"/>
  <c r="M797" i="4"/>
  <c r="M859" i="4"/>
  <c r="G859" i="4"/>
  <c r="A859" i="4"/>
  <c r="F859" i="4"/>
  <c r="H859" i="4"/>
  <c r="E859" i="4"/>
  <c r="D859" i="4"/>
  <c r="B859" i="4"/>
  <c r="J859" i="4"/>
  <c r="I859" i="4"/>
  <c r="I899" i="4"/>
  <c r="F899" i="4"/>
  <c r="M899" i="4"/>
  <c r="D899" i="4"/>
  <c r="G899" i="4"/>
  <c r="E899" i="4"/>
  <c r="B899" i="4"/>
  <c r="J899" i="4"/>
  <c r="H899" i="4"/>
  <c r="A899" i="4"/>
  <c r="F878" i="4"/>
  <c r="E878" i="4"/>
  <c r="J878" i="4"/>
  <c r="D878" i="4"/>
  <c r="I878" i="4"/>
  <c r="H878" i="4"/>
  <c r="G878" i="4"/>
  <c r="M878" i="4"/>
  <c r="B878" i="4"/>
  <c r="A878" i="4"/>
  <c r="C901" i="4"/>
  <c r="C954" i="4"/>
  <c r="E891" i="4"/>
  <c r="J891" i="4"/>
  <c r="B891" i="4"/>
  <c r="I891" i="4"/>
  <c r="A891" i="4"/>
  <c r="H891" i="4"/>
  <c r="G891" i="4"/>
  <c r="F891" i="4"/>
  <c r="D891" i="4"/>
  <c r="M891" i="4"/>
  <c r="J953" i="4"/>
  <c r="D953" i="4"/>
  <c r="I953" i="4"/>
  <c r="F953" i="4"/>
  <c r="H953" i="4"/>
  <c r="E953" i="4"/>
  <c r="B953" i="4"/>
  <c r="M953" i="4"/>
  <c r="G953" i="4"/>
  <c r="A953" i="4"/>
  <c r="C980" i="4"/>
  <c r="M982" i="4"/>
  <c r="G982" i="4"/>
  <c r="A982" i="4"/>
  <c r="D982" i="4"/>
  <c r="J982" i="4"/>
  <c r="I982" i="4"/>
  <c r="B982" i="4"/>
  <c r="H982" i="4"/>
  <c r="F982" i="4"/>
  <c r="E982" i="4"/>
  <c r="E984" i="4"/>
  <c r="G984" i="4"/>
  <c r="M984" i="4"/>
  <c r="F984" i="4"/>
  <c r="D984" i="4"/>
  <c r="J984" i="4"/>
  <c r="I984" i="4"/>
  <c r="B984" i="4"/>
  <c r="H984" i="4"/>
  <c r="A984" i="4"/>
  <c r="H1030" i="4"/>
  <c r="B1030" i="4"/>
  <c r="F1030" i="4"/>
  <c r="E1030" i="4"/>
  <c r="M1030" i="4"/>
  <c r="A1030" i="4"/>
  <c r="J1030" i="4"/>
  <c r="I1030" i="4"/>
  <c r="G1030" i="4"/>
  <c r="D1030" i="4"/>
  <c r="E1009" i="4"/>
  <c r="I1009" i="4"/>
  <c r="B1009" i="4"/>
  <c r="H1009" i="4"/>
  <c r="A1009" i="4"/>
  <c r="D1009" i="4"/>
  <c r="G1009" i="4"/>
  <c r="F1009" i="4"/>
  <c r="M1009" i="4"/>
  <c r="J1009" i="4"/>
  <c r="C1078" i="4"/>
  <c r="J592" i="4"/>
  <c r="D592" i="4"/>
  <c r="M592" i="4"/>
  <c r="F592" i="4"/>
  <c r="E592" i="4"/>
  <c r="H592" i="4"/>
  <c r="A592" i="4"/>
  <c r="I592" i="4"/>
  <c r="G592" i="4"/>
  <c r="B592" i="4"/>
  <c r="F558" i="4"/>
  <c r="E558" i="4"/>
  <c r="J558" i="4"/>
  <c r="D558" i="4"/>
  <c r="H558" i="4"/>
  <c r="B558" i="4"/>
  <c r="A558" i="4"/>
  <c r="M558" i="4"/>
  <c r="I558" i="4"/>
  <c r="G558" i="4"/>
  <c r="H679" i="4"/>
  <c r="B679" i="4"/>
  <c r="J679" i="4"/>
  <c r="I679" i="4"/>
  <c r="A679" i="4"/>
  <c r="G679" i="4"/>
  <c r="F679" i="4"/>
  <c r="D679" i="4"/>
  <c r="M679" i="4"/>
  <c r="E679" i="4"/>
  <c r="H606" i="4"/>
  <c r="B606" i="4"/>
  <c r="D606" i="4"/>
  <c r="J606" i="4"/>
  <c r="I606" i="4"/>
  <c r="A606" i="4"/>
  <c r="M606" i="4"/>
  <c r="F606" i="4"/>
  <c r="G606" i="4"/>
  <c r="E606" i="4"/>
  <c r="C755" i="4"/>
  <c r="E615" i="4"/>
  <c r="I615" i="4"/>
  <c r="B615" i="4"/>
  <c r="H615" i="4"/>
  <c r="A615" i="4"/>
  <c r="G615" i="4"/>
  <c r="D615" i="4"/>
  <c r="M615" i="4"/>
  <c r="J615" i="4"/>
  <c r="F615" i="4"/>
  <c r="M686" i="4"/>
  <c r="G686" i="4"/>
  <c r="A686" i="4"/>
  <c r="E686" i="4"/>
  <c r="D686" i="4"/>
  <c r="J686" i="4"/>
  <c r="I686" i="4"/>
  <c r="B686" i="4"/>
  <c r="F686" i="4"/>
  <c r="H686" i="4"/>
  <c r="F720" i="4"/>
  <c r="J720" i="4"/>
  <c r="D720" i="4"/>
  <c r="I720" i="4"/>
  <c r="H720" i="4"/>
  <c r="G720" i="4"/>
  <c r="E720" i="4"/>
  <c r="M720" i="4"/>
  <c r="B720" i="4"/>
  <c r="A720" i="4"/>
  <c r="H718" i="4"/>
  <c r="B718" i="4"/>
  <c r="F718" i="4"/>
  <c r="E718" i="4"/>
  <c r="M718" i="4"/>
  <c r="A718" i="4"/>
  <c r="J718" i="4"/>
  <c r="I718" i="4"/>
  <c r="G718" i="4"/>
  <c r="D718" i="4"/>
  <c r="J756" i="4"/>
  <c r="D756" i="4"/>
  <c r="M756" i="4"/>
  <c r="G756" i="4"/>
  <c r="A756" i="4"/>
  <c r="E756" i="4"/>
  <c r="B756" i="4"/>
  <c r="I756" i="4"/>
  <c r="H756" i="4"/>
  <c r="F756" i="4"/>
  <c r="C738" i="4"/>
  <c r="M822" i="4"/>
  <c r="G822" i="4"/>
  <c r="A822" i="4"/>
  <c r="J822" i="4"/>
  <c r="F822" i="4"/>
  <c r="E822" i="4"/>
  <c r="D822" i="4"/>
  <c r="B822" i="4"/>
  <c r="I822" i="4"/>
  <c r="H822" i="4"/>
  <c r="I839" i="4"/>
  <c r="H839" i="4"/>
  <c r="B839" i="4"/>
  <c r="A839" i="4"/>
  <c r="E839" i="4"/>
  <c r="M839" i="4"/>
  <c r="D839" i="4"/>
  <c r="J839" i="4"/>
  <c r="G839" i="4"/>
  <c r="F839" i="4"/>
  <c r="C865" i="4"/>
  <c r="I887" i="4"/>
  <c r="E887" i="4"/>
  <c r="B887" i="4"/>
  <c r="J887" i="4"/>
  <c r="A887" i="4"/>
  <c r="H887" i="4"/>
  <c r="G887" i="4"/>
  <c r="F887" i="4"/>
  <c r="D887" i="4"/>
  <c r="M887" i="4"/>
  <c r="I926" i="4"/>
  <c r="M926" i="4"/>
  <c r="F926" i="4"/>
  <c r="E926" i="4"/>
  <c r="H926" i="4"/>
  <c r="A926" i="4"/>
  <c r="J926" i="4"/>
  <c r="G926" i="4"/>
  <c r="D926" i="4"/>
  <c r="B926" i="4"/>
  <c r="M940" i="4"/>
  <c r="G940" i="4"/>
  <c r="A940" i="4"/>
  <c r="D940" i="4"/>
  <c r="J940" i="4"/>
  <c r="F940" i="4"/>
  <c r="E940" i="4"/>
  <c r="B940" i="4"/>
  <c r="I940" i="4"/>
  <c r="H940" i="4"/>
  <c r="H994" i="4"/>
  <c r="B994" i="4"/>
  <c r="M994" i="4"/>
  <c r="G994" i="4"/>
  <c r="A994" i="4"/>
  <c r="J994" i="4"/>
  <c r="D994" i="4"/>
  <c r="F994" i="4"/>
  <c r="E994" i="4"/>
  <c r="I994" i="4"/>
  <c r="J1062" i="4"/>
  <c r="D1062" i="4"/>
  <c r="M1062" i="4"/>
  <c r="F1062" i="4"/>
  <c r="I1062" i="4"/>
  <c r="A1062" i="4"/>
  <c r="H1062" i="4"/>
  <c r="G1062" i="4"/>
  <c r="E1062" i="4"/>
  <c r="B1062" i="4"/>
  <c r="C1017" i="4"/>
  <c r="C996" i="4"/>
  <c r="I1063" i="4"/>
  <c r="G1063" i="4"/>
  <c r="E1063" i="4"/>
  <c r="M1063" i="4"/>
  <c r="D1063" i="4"/>
  <c r="B1063" i="4"/>
  <c r="J1063" i="4"/>
  <c r="A1063" i="4"/>
  <c r="H1063" i="4"/>
  <c r="F1063" i="4"/>
  <c r="E1061" i="4"/>
  <c r="D1061" i="4"/>
  <c r="F1061" i="4"/>
  <c r="M1061" i="4"/>
  <c r="J1061" i="4"/>
  <c r="B1061" i="4"/>
  <c r="I1061" i="4"/>
  <c r="A1061" i="4"/>
  <c r="H1061" i="4"/>
  <c r="G1061" i="4"/>
  <c r="C619" i="4"/>
  <c r="E511" i="4"/>
  <c r="I511" i="4"/>
  <c r="B511" i="4"/>
  <c r="J511" i="4"/>
  <c r="A511" i="4"/>
  <c r="H511" i="4"/>
  <c r="G511" i="4"/>
  <c r="F511" i="4"/>
  <c r="M511" i="4"/>
  <c r="D511" i="4"/>
  <c r="C627" i="4"/>
  <c r="M698" i="4"/>
  <c r="G698" i="4"/>
  <c r="A698" i="4"/>
  <c r="H698" i="4"/>
  <c r="F698" i="4"/>
  <c r="E698" i="4"/>
  <c r="D698" i="4"/>
  <c r="B698" i="4"/>
  <c r="J698" i="4"/>
  <c r="I698" i="4"/>
  <c r="C641" i="4"/>
  <c r="J704" i="4"/>
  <c r="D704" i="4"/>
  <c r="M704" i="4"/>
  <c r="G704" i="4"/>
  <c r="A704" i="4"/>
  <c r="B704" i="4"/>
  <c r="I704" i="4"/>
  <c r="H704" i="4"/>
  <c r="F704" i="4"/>
  <c r="E704" i="4"/>
  <c r="C633" i="4"/>
  <c r="C741" i="4"/>
  <c r="C792" i="4"/>
  <c r="C761" i="4"/>
  <c r="J880" i="4"/>
  <c r="D880" i="4"/>
  <c r="I880" i="4"/>
  <c r="H880" i="4"/>
  <c r="B880" i="4"/>
  <c r="G880" i="4"/>
  <c r="F880" i="4"/>
  <c r="E880" i="4"/>
  <c r="M880" i="4"/>
  <c r="A880" i="4"/>
  <c r="F784" i="4"/>
  <c r="E784" i="4"/>
  <c r="J784" i="4"/>
  <c r="D784" i="4"/>
  <c r="I784" i="4"/>
  <c r="M784" i="4"/>
  <c r="H784" i="4"/>
  <c r="G784" i="4"/>
  <c r="B784" i="4"/>
  <c r="A784" i="4"/>
  <c r="H807" i="4"/>
  <c r="B807" i="4"/>
  <c r="D807" i="4"/>
  <c r="J807" i="4"/>
  <c r="I807" i="4"/>
  <c r="A807" i="4"/>
  <c r="G807" i="4"/>
  <c r="F807" i="4"/>
  <c r="E807" i="4"/>
  <c r="M807" i="4"/>
  <c r="H870" i="4"/>
  <c r="B870" i="4"/>
  <c r="M870" i="4"/>
  <c r="G870" i="4"/>
  <c r="A870" i="4"/>
  <c r="F870" i="4"/>
  <c r="E870" i="4"/>
  <c r="D870" i="4"/>
  <c r="J870" i="4"/>
  <c r="I870" i="4"/>
  <c r="M976" i="4"/>
  <c r="G976" i="4"/>
  <c r="A976" i="4"/>
  <c r="J976" i="4"/>
  <c r="I976" i="4"/>
  <c r="B976" i="4"/>
  <c r="H976" i="4"/>
  <c r="F976" i="4"/>
  <c r="E976" i="4"/>
  <c r="D976" i="4"/>
  <c r="F884" i="4"/>
  <c r="E884" i="4"/>
  <c r="J884" i="4"/>
  <c r="D884" i="4"/>
  <c r="B884" i="4"/>
  <c r="M884" i="4"/>
  <c r="A884" i="4"/>
  <c r="I884" i="4"/>
  <c r="H884" i="4"/>
  <c r="G884" i="4"/>
  <c r="I905" i="4"/>
  <c r="F905" i="4"/>
  <c r="H905" i="4"/>
  <c r="G905" i="4"/>
  <c r="J905" i="4"/>
  <c r="E905" i="4"/>
  <c r="D905" i="4"/>
  <c r="B905" i="4"/>
  <c r="A905" i="4"/>
  <c r="M905" i="4"/>
  <c r="C899" i="4"/>
  <c r="E897" i="4"/>
  <c r="D897" i="4"/>
  <c r="J897" i="4"/>
  <c r="B897" i="4"/>
  <c r="I897" i="4"/>
  <c r="A897" i="4"/>
  <c r="H897" i="4"/>
  <c r="M897" i="4"/>
  <c r="G897" i="4"/>
  <c r="F897" i="4"/>
  <c r="J965" i="4"/>
  <c r="D965" i="4"/>
  <c r="I965" i="4"/>
  <c r="F965" i="4"/>
  <c r="H965" i="4"/>
  <c r="E965" i="4"/>
  <c r="B965" i="4"/>
  <c r="M965" i="4"/>
  <c r="G965" i="4"/>
  <c r="A965" i="4"/>
  <c r="C994" i="4"/>
  <c r="C988" i="4"/>
  <c r="E990" i="4"/>
  <c r="H990" i="4"/>
  <c r="B990" i="4"/>
  <c r="M990" i="4"/>
  <c r="D990" i="4"/>
  <c r="J990" i="4"/>
  <c r="A990" i="4"/>
  <c r="I990" i="4"/>
  <c r="G990" i="4"/>
  <c r="F990" i="4"/>
  <c r="I1036" i="4"/>
  <c r="H1036" i="4"/>
  <c r="B1036" i="4"/>
  <c r="F1036" i="4"/>
  <c r="E1036" i="4"/>
  <c r="G1036" i="4"/>
  <c r="D1036" i="4"/>
  <c r="A1036" i="4"/>
  <c r="M1036" i="4"/>
  <c r="J1036" i="4"/>
  <c r="E1015" i="4"/>
  <c r="J1015" i="4"/>
  <c r="I1015" i="4"/>
  <c r="B1015" i="4"/>
  <c r="M1015" i="4"/>
  <c r="F1015" i="4"/>
  <c r="A1015" i="4"/>
  <c r="H1015" i="4"/>
  <c r="G1015" i="4"/>
  <c r="D1015" i="4"/>
  <c r="J1088" i="4"/>
  <c r="D1088" i="4"/>
  <c r="H1088" i="4"/>
  <c r="B1088" i="4"/>
  <c r="M1088" i="4"/>
  <c r="G1088" i="4"/>
  <c r="A1088" i="4"/>
  <c r="F1088" i="4"/>
  <c r="E1088" i="4"/>
  <c r="I1088" i="4"/>
  <c r="C1084" i="4"/>
  <c r="H655" i="4"/>
  <c r="B655" i="4"/>
  <c r="J655" i="4"/>
  <c r="G655" i="4"/>
  <c r="F655" i="4"/>
  <c r="M655" i="4"/>
  <c r="E655" i="4"/>
  <c r="A655" i="4"/>
  <c r="I655" i="4"/>
  <c r="D655" i="4"/>
  <c r="C536" i="4"/>
  <c r="C473" i="4"/>
  <c r="H550" i="4"/>
  <c r="B550" i="4"/>
  <c r="M550" i="4"/>
  <c r="G550" i="4"/>
  <c r="A550" i="4"/>
  <c r="F550" i="4"/>
  <c r="J550" i="4"/>
  <c r="D550" i="4"/>
  <c r="I550" i="4"/>
  <c r="E550" i="4"/>
  <c r="H526" i="4"/>
  <c r="B526" i="4"/>
  <c r="M526" i="4"/>
  <c r="G526" i="4"/>
  <c r="A526" i="4"/>
  <c r="F526" i="4"/>
  <c r="J526" i="4"/>
  <c r="D526" i="4"/>
  <c r="I526" i="4"/>
  <c r="E526" i="4"/>
  <c r="J512" i="4"/>
  <c r="D512" i="4"/>
  <c r="H512" i="4"/>
  <c r="B512" i="4"/>
  <c r="G512" i="4"/>
  <c r="F512" i="4"/>
  <c r="M512" i="4"/>
  <c r="E512" i="4"/>
  <c r="A512" i="4"/>
  <c r="I512" i="4"/>
  <c r="C661" i="4"/>
  <c r="C346" i="4"/>
  <c r="C420" i="4"/>
  <c r="F304" i="4"/>
  <c r="E304" i="4"/>
  <c r="H304" i="4"/>
  <c r="B304" i="4"/>
  <c r="G304" i="4"/>
  <c r="D304" i="4"/>
  <c r="M304" i="4"/>
  <c r="A304" i="4"/>
  <c r="J304" i="4"/>
  <c r="I304" i="4"/>
  <c r="M357" i="4"/>
  <c r="G357" i="4"/>
  <c r="A357" i="4"/>
  <c r="F357" i="4"/>
  <c r="E357" i="4"/>
  <c r="J357" i="4"/>
  <c r="D357" i="4"/>
  <c r="I357" i="4"/>
  <c r="H357" i="4"/>
  <c r="B357" i="4"/>
  <c r="H362" i="4"/>
  <c r="B362" i="4"/>
  <c r="M362" i="4"/>
  <c r="G362" i="4"/>
  <c r="A362" i="4"/>
  <c r="F362" i="4"/>
  <c r="E362" i="4"/>
  <c r="J362" i="4"/>
  <c r="D362" i="4"/>
  <c r="I362" i="4"/>
  <c r="C366" i="4"/>
  <c r="J324" i="4"/>
  <c r="D324" i="4"/>
  <c r="I324" i="4"/>
  <c r="F324" i="4"/>
  <c r="H324" i="4"/>
  <c r="G324" i="4"/>
  <c r="E324" i="4"/>
  <c r="B324" i="4"/>
  <c r="M324" i="4"/>
  <c r="A324" i="4"/>
  <c r="E200" i="4"/>
  <c r="J200" i="4"/>
  <c r="D200" i="4"/>
  <c r="I200" i="4"/>
  <c r="H200" i="4"/>
  <c r="B200" i="4"/>
  <c r="M200" i="4"/>
  <c r="G200" i="4"/>
  <c r="A200" i="4"/>
  <c r="F200" i="4"/>
  <c r="E92" i="4"/>
  <c r="J92" i="4"/>
  <c r="D92" i="4"/>
  <c r="I92" i="4"/>
  <c r="H92" i="4"/>
  <c r="B92" i="4"/>
  <c r="M92" i="4"/>
  <c r="G92" i="4"/>
  <c r="A92" i="4"/>
  <c r="F92" i="4"/>
  <c r="F187" i="4"/>
  <c r="E187" i="4"/>
  <c r="J187" i="4"/>
  <c r="D187" i="4"/>
  <c r="I187" i="4"/>
  <c r="H187" i="4"/>
  <c r="B187" i="4"/>
  <c r="A187" i="4"/>
  <c r="M187" i="4"/>
  <c r="G187" i="4"/>
  <c r="F79" i="4"/>
  <c r="E79" i="4"/>
  <c r="J79" i="4"/>
  <c r="D79" i="4"/>
  <c r="I79" i="4"/>
  <c r="H79" i="4"/>
  <c r="B79" i="4"/>
  <c r="A79" i="4"/>
  <c r="M79" i="4"/>
  <c r="G79" i="4"/>
  <c r="C281" i="4"/>
  <c r="M174" i="4"/>
  <c r="G174" i="4"/>
  <c r="A174" i="4"/>
  <c r="F174" i="4"/>
  <c r="E174" i="4"/>
  <c r="J174" i="4"/>
  <c r="D174" i="4"/>
  <c r="I174" i="4"/>
  <c r="H174" i="4"/>
  <c r="B174" i="4"/>
  <c r="M66" i="4"/>
  <c r="G66" i="4"/>
  <c r="A66" i="4"/>
  <c r="F66" i="4"/>
  <c r="E66" i="4"/>
  <c r="J66" i="4"/>
  <c r="D66" i="4"/>
  <c r="I66" i="4"/>
  <c r="H66" i="4"/>
  <c r="B66" i="4"/>
  <c r="H269" i="4"/>
  <c r="B269" i="4"/>
  <c r="M269" i="4"/>
  <c r="G269" i="4"/>
  <c r="A269" i="4"/>
  <c r="F269" i="4"/>
  <c r="E269" i="4"/>
  <c r="J269" i="4"/>
  <c r="D269" i="4"/>
  <c r="I269" i="4"/>
  <c r="H161" i="4"/>
  <c r="B161" i="4"/>
  <c r="M161" i="4"/>
  <c r="G161" i="4"/>
  <c r="A161" i="4"/>
  <c r="F161" i="4"/>
  <c r="E161" i="4"/>
  <c r="J161" i="4"/>
  <c r="D161" i="4"/>
  <c r="I161" i="4"/>
  <c r="H53" i="4"/>
  <c r="B53" i="4"/>
  <c r="M53" i="4"/>
  <c r="G53" i="4"/>
  <c r="A53" i="4"/>
  <c r="F53" i="4"/>
  <c r="E53" i="4"/>
  <c r="J53" i="4"/>
  <c r="D53" i="4"/>
  <c r="I53" i="4"/>
  <c r="I256" i="4"/>
  <c r="H256" i="4"/>
  <c r="B256" i="4"/>
  <c r="M256" i="4"/>
  <c r="G256" i="4"/>
  <c r="A256" i="4"/>
  <c r="F256" i="4"/>
  <c r="E256" i="4"/>
  <c r="D256" i="4"/>
  <c r="J256" i="4"/>
  <c r="I148" i="4"/>
  <c r="H148" i="4"/>
  <c r="B148" i="4"/>
  <c r="M148" i="4"/>
  <c r="G148" i="4"/>
  <c r="A148" i="4"/>
  <c r="F148" i="4"/>
  <c r="E148" i="4"/>
  <c r="D148" i="4"/>
  <c r="J148" i="4"/>
  <c r="I40" i="4"/>
  <c r="H40" i="4"/>
  <c r="B40" i="4"/>
  <c r="M40" i="4"/>
  <c r="G40" i="4"/>
  <c r="A40" i="4"/>
  <c r="F40" i="4"/>
  <c r="E40" i="4"/>
  <c r="D40" i="4"/>
  <c r="J40" i="4"/>
  <c r="J111" i="4"/>
  <c r="D111" i="4"/>
  <c r="I111" i="4"/>
  <c r="H111" i="4"/>
  <c r="B111" i="4"/>
  <c r="M111" i="4"/>
  <c r="G111" i="4"/>
  <c r="A111" i="4"/>
  <c r="F111" i="4"/>
  <c r="E111" i="4"/>
  <c r="C74" i="4"/>
  <c r="E468" i="4"/>
  <c r="J468" i="4"/>
  <c r="D468" i="4"/>
  <c r="I468" i="4"/>
  <c r="H468" i="4"/>
  <c r="B468" i="4"/>
  <c r="M468" i="4"/>
  <c r="G468" i="4"/>
  <c r="A468" i="4"/>
  <c r="F468" i="4"/>
  <c r="I506" i="4"/>
  <c r="H506" i="4"/>
  <c r="B506" i="4"/>
  <c r="M506" i="4"/>
  <c r="G506" i="4"/>
  <c r="A506" i="4"/>
  <c r="F506" i="4"/>
  <c r="E506" i="4"/>
  <c r="D506" i="4"/>
  <c r="J506" i="4"/>
  <c r="F407" i="4"/>
  <c r="H407" i="4"/>
  <c r="B407" i="4"/>
  <c r="E407" i="4"/>
  <c r="M407" i="4"/>
  <c r="D407" i="4"/>
  <c r="J407" i="4"/>
  <c r="A407" i="4"/>
  <c r="I407" i="4"/>
  <c r="G407" i="4"/>
  <c r="E32" i="4"/>
  <c r="J32" i="4"/>
  <c r="D32" i="4"/>
  <c r="I32" i="4"/>
  <c r="H32" i="4"/>
  <c r="B32" i="4"/>
  <c r="M32" i="4"/>
  <c r="G32" i="4"/>
  <c r="A32" i="4"/>
  <c r="F32" i="4"/>
  <c r="I196" i="4"/>
  <c r="H196" i="4"/>
  <c r="B196" i="4"/>
  <c r="M196" i="4"/>
  <c r="G196" i="4"/>
  <c r="A196" i="4"/>
  <c r="F196" i="4"/>
  <c r="E196" i="4"/>
  <c r="J196" i="4"/>
  <c r="D196" i="4"/>
  <c r="F645" i="4"/>
  <c r="J645" i="4"/>
  <c r="H645" i="4"/>
  <c r="G645" i="4"/>
  <c r="E645" i="4"/>
  <c r="B645" i="4"/>
  <c r="I645" i="4"/>
  <c r="D645" i="4"/>
  <c r="A645" i="4"/>
  <c r="M645" i="4"/>
  <c r="J510" i="4"/>
  <c r="D510" i="4"/>
  <c r="G510" i="4"/>
  <c r="F510" i="4"/>
  <c r="M510" i="4"/>
  <c r="E510" i="4"/>
  <c r="I510" i="4"/>
  <c r="B510" i="4"/>
  <c r="H510" i="4"/>
  <c r="A510" i="4"/>
  <c r="J530" i="4"/>
  <c r="D530" i="4"/>
  <c r="I530" i="4"/>
  <c r="H530" i="4"/>
  <c r="B530" i="4"/>
  <c r="F530" i="4"/>
  <c r="E530" i="4"/>
  <c r="A530" i="4"/>
  <c r="M530" i="4"/>
  <c r="G530" i="4"/>
  <c r="J336" i="4"/>
  <c r="D336" i="4"/>
  <c r="I336" i="4"/>
  <c r="F336" i="4"/>
  <c r="H336" i="4"/>
  <c r="G336" i="4"/>
  <c r="E336" i="4"/>
  <c r="B336" i="4"/>
  <c r="M336" i="4"/>
  <c r="A336" i="4"/>
  <c r="F193" i="4"/>
  <c r="E193" i="4"/>
  <c r="J193" i="4"/>
  <c r="D193" i="4"/>
  <c r="I193" i="4"/>
  <c r="H193" i="4"/>
  <c r="B193" i="4"/>
  <c r="M193" i="4"/>
  <c r="G193" i="4"/>
  <c r="A193" i="4"/>
  <c r="H167" i="4"/>
  <c r="B167" i="4"/>
  <c r="M167" i="4"/>
  <c r="G167" i="4"/>
  <c r="A167" i="4"/>
  <c r="F167" i="4"/>
  <c r="E167" i="4"/>
  <c r="J167" i="4"/>
  <c r="D167" i="4"/>
  <c r="I167" i="4"/>
  <c r="I46" i="4"/>
  <c r="H46" i="4"/>
  <c r="B46" i="4"/>
  <c r="M46" i="4"/>
  <c r="G46" i="4"/>
  <c r="A46" i="4"/>
  <c r="F46" i="4"/>
  <c r="E46" i="4"/>
  <c r="J46" i="4"/>
  <c r="D46" i="4"/>
  <c r="J427" i="4"/>
  <c r="D427" i="4"/>
  <c r="I427" i="4"/>
  <c r="F427" i="4"/>
  <c r="G427" i="4"/>
  <c r="E427" i="4"/>
  <c r="B427" i="4"/>
  <c r="M427" i="4"/>
  <c r="A427" i="4"/>
  <c r="H427" i="4"/>
  <c r="J536" i="4"/>
  <c r="D536" i="4"/>
  <c r="I536" i="4"/>
  <c r="H536" i="4"/>
  <c r="B536" i="4"/>
  <c r="F536" i="4"/>
  <c r="M536" i="4"/>
  <c r="G536" i="4"/>
  <c r="E536" i="4"/>
  <c r="A536" i="4"/>
  <c r="C503" i="4"/>
  <c r="I757" i="4"/>
  <c r="F757" i="4"/>
  <c r="J757" i="4"/>
  <c r="A757" i="4"/>
  <c r="H757" i="4"/>
  <c r="G757" i="4"/>
  <c r="E757" i="4"/>
  <c r="D757" i="4"/>
  <c r="B757" i="4"/>
  <c r="M757" i="4"/>
  <c r="F217" i="4"/>
  <c r="E217" i="4"/>
  <c r="J217" i="4"/>
  <c r="D217" i="4"/>
  <c r="I217" i="4"/>
  <c r="H217" i="4"/>
  <c r="B217" i="4"/>
  <c r="G217" i="4"/>
  <c r="A217" i="4"/>
  <c r="M217" i="4"/>
  <c r="E432" i="4"/>
  <c r="J432" i="4"/>
  <c r="D432" i="4"/>
  <c r="M432" i="4"/>
  <c r="G432" i="4"/>
  <c r="A432" i="4"/>
  <c r="B432" i="4"/>
  <c r="I432" i="4"/>
  <c r="H432" i="4"/>
  <c r="F432" i="4"/>
  <c r="H423" i="4"/>
  <c r="B423" i="4"/>
  <c r="M423" i="4"/>
  <c r="G423" i="4"/>
  <c r="A423" i="4"/>
  <c r="J423" i="4"/>
  <c r="D423" i="4"/>
  <c r="I423" i="4"/>
  <c r="F423" i="4"/>
  <c r="E423" i="4"/>
  <c r="F316" i="4"/>
  <c r="E316" i="4"/>
  <c r="H316" i="4"/>
  <c r="B316" i="4"/>
  <c r="G316" i="4"/>
  <c r="D316" i="4"/>
  <c r="M316" i="4"/>
  <c r="A316" i="4"/>
  <c r="J316" i="4"/>
  <c r="I316" i="4"/>
  <c r="M369" i="4"/>
  <c r="G369" i="4"/>
  <c r="A369" i="4"/>
  <c r="F369" i="4"/>
  <c r="E369" i="4"/>
  <c r="J369" i="4"/>
  <c r="D369" i="4"/>
  <c r="I369" i="4"/>
  <c r="B369" i="4"/>
  <c r="H369" i="4"/>
  <c r="H374" i="4"/>
  <c r="B374" i="4"/>
  <c r="M374" i="4"/>
  <c r="G374" i="4"/>
  <c r="A374" i="4"/>
  <c r="F374" i="4"/>
  <c r="E374" i="4"/>
  <c r="J374" i="4"/>
  <c r="D374" i="4"/>
  <c r="I374" i="4"/>
  <c r="E212" i="4"/>
  <c r="J212" i="4"/>
  <c r="D212" i="4"/>
  <c r="I212" i="4"/>
  <c r="H212" i="4"/>
  <c r="B212" i="4"/>
  <c r="M212" i="4"/>
  <c r="G212" i="4"/>
  <c r="A212" i="4"/>
  <c r="F212" i="4"/>
  <c r="E104" i="4"/>
  <c r="J104" i="4"/>
  <c r="D104" i="4"/>
  <c r="I104" i="4"/>
  <c r="H104" i="4"/>
  <c r="B104" i="4"/>
  <c r="M104" i="4"/>
  <c r="G104" i="4"/>
  <c r="A104" i="4"/>
  <c r="F104" i="4"/>
  <c r="C332" i="4"/>
  <c r="F199" i="4"/>
  <c r="E199" i="4"/>
  <c r="J199" i="4"/>
  <c r="D199" i="4"/>
  <c r="I199" i="4"/>
  <c r="H199" i="4"/>
  <c r="B199" i="4"/>
  <c r="M199" i="4"/>
  <c r="G199" i="4"/>
  <c r="A199" i="4"/>
  <c r="F91" i="4"/>
  <c r="E91" i="4"/>
  <c r="J91" i="4"/>
  <c r="D91" i="4"/>
  <c r="I91" i="4"/>
  <c r="H91" i="4"/>
  <c r="B91" i="4"/>
  <c r="M91" i="4"/>
  <c r="G91" i="4"/>
  <c r="A91" i="4"/>
  <c r="H296" i="4"/>
  <c r="B296" i="4"/>
  <c r="M296" i="4"/>
  <c r="G296" i="4"/>
  <c r="A296" i="4"/>
  <c r="J296" i="4"/>
  <c r="D296" i="4"/>
  <c r="I296" i="4"/>
  <c r="F296" i="4"/>
  <c r="E296" i="4"/>
  <c r="M186" i="4"/>
  <c r="G186" i="4"/>
  <c r="A186" i="4"/>
  <c r="F186" i="4"/>
  <c r="E186" i="4"/>
  <c r="J186" i="4"/>
  <c r="D186" i="4"/>
  <c r="I186" i="4"/>
  <c r="H186" i="4"/>
  <c r="B186" i="4"/>
  <c r="M78" i="4"/>
  <c r="G78" i="4"/>
  <c r="A78" i="4"/>
  <c r="F78" i="4"/>
  <c r="E78" i="4"/>
  <c r="J78" i="4"/>
  <c r="D78" i="4"/>
  <c r="I78" i="4"/>
  <c r="H78" i="4"/>
  <c r="B78" i="4"/>
  <c r="H173" i="4"/>
  <c r="B173" i="4"/>
  <c r="M173" i="4"/>
  <c r="G173" i="4"/>
  <c r="A173" i="4"/>
  <c r="F173" i="4"/>
  <c r="E173" i="4"/>
  <c r="J173" i="4"/>
  <c r="D173" i="4"/>
  <c r="I173" i="4"/>
  <c r="H65" i="4"/>
  <c r="B65" i="4"/>
  <c r="M65" i="4"/>
  <c r="G65" i="4"/>
  <c r="A65" i="4"/>
  <c r="F65" i="4"/>
  <c r="E65" i="4"/>
  <c r="J65" i="4"/>
  <c r="D65" i="4"/>
  <c r="I65" i="4"/>
  <c r="I268" i="4"/>
  <c r="H268" i="4"/>
  <c r="B268" i="4"/>
  <c r="M268" i="4"/>
  <c r="G268" i="4"/>
  <c r="A268" i="4"/>
  <c r="F268" i="4"/>
  <c r="E268" i="4"/>
  <c r="J268" i="4"/>
  <c r="D268" i="4"/>
  <c r="I160" i="4"/>
  <c r="H160" i="4"/>
  <c r="B160" i="4"/>
  <c r="M160" i="4"/>
  <c r="G160" i="4"/>
  <c r="A160" i="4"/>
  <c r="F160" i="4"/>
  <c r="E160" i="4"/>
  <c r="J160" i="4"/>
  <c r="D160" i="4"/>
  <c r="I52" i="4"/>
  <c r="H52" i="4"/>
  <c r="B52" i="4"/>
  <c r="M52" i="4"/>
  <c r="G52" i="4"/>
  <c r="A52" i="4"/>
  <c r="F52" i="4"/>
  <c r="E52" i="4"/>
  <c r="J52" i="4"/>
  <c r="D52" i="4"/>
  <c r="J183" i="4"/>
  <c r="D183" i="4"/>
  <c r="I183" i="4"/>
  <c r="H183" i="4"/>
  <c r="B183" i="4"/>
  <c r="M183" i="4"/>
  <c r="G183" i="4"/>
  <c r="A183" i="4"/>
  <c r="F183" i="4"/>
  <c r="E183" i="4"/>
  <c r="C98" i="4"/>
  <c r="E426" i="4"/>
  <c r="J426" i="4"/>
  <c r="D426" i="4"/>
  <c r="M426" i="4"/>
  <c r="G426" i="4"/>
  <c r="A426" i="4"/>
  <c r="H426" i="4"/>
  <c r="F426" i="4"/>
  <c r="B426" i="4"/>
  <c r="I426" i="4"/>
  <c r="F479" i="4"/>
  <c r="E479" i="4"/>
  <c r="J479" i="4"/>
  <c r="D479" i="4"/>
  <c r="I479" i="4"/>
  <c r="H479" i="4"/>
  <c r="B479" i="4"/>
  <c r="M479" i="4"/>
  <c r="G479" i="4"/>
  <c r="A479" i="4"/>
  <c r="I464" i="4"/>
  <c r="H464" i="4"/>
  <c r="B464" i="4"/>
  <c r="F464" i="4"/>
  <c r="E464" i="4"/>
  <c r="M464" i="4"/>
  <c r="J464" i="4"/>
  <c r="G464" i="4"/>
  <c r="D464" i="4"/>
  <c r="A464" i="4"/>
  <c r="C412" i="4"/>
  <c r="E299" i="4"/>
  <c r="J299" i="4"/>
  <c r="D299" i="4"/>
  <c r="M299" i="4"/>
  <c r="G299" i="4"/>
  <c r="A299" i="4"/>
  <c r="I299" i="4"/>
  <c r="H299" i="4"/>
  <c r="F299" i="4"/>
  <c r="B299" i="4"/>
  <c r="C369" i="4"/>
  <c r="H441" i="4"/>
  <c r="B441" i="4"/>
  <c r="M441" i="4"/>
  <c r="G441" i="4"/>
  <c r="A441" i="4"/>
  <c r="J441" i="4"/>
  <c r="D441" i="4"/>
  <c r="E441" i="4"/>
  <c r="I441" i="4"/>
  <c r="F441" i="4"/>
  <c r="J439" i="4"/>
  <c r="D439" i="4"/>
  <c r="I439" i="4"/>
  <c r="F439" i="4"/>
  <c r="G439" i="4"/>
  <c r="E439" i="4"/>
  <c r="B439" i="4"/>
  <c r="M439" i="4"/>
  <c r="A439" i="4"/>
  <c r="H439" i="4"/>
  <c r="I319" i="4"/>
  <c r="H319" i="4"/>
  <c r="B319" i="4"/>
  <c r="E319" i="4"/>
  <c r="D319" i="4"/>
  <c r="M319" i="4"/>
  <c r="A319" i="4"/>
  <c r="J319" i="4"/>
  <c r="G319" i="4"/>
  <c r="F319" i="4"/>
  <c r="M406" i="4"/>
  <c r="G406" i="4"/>
  <c r="A406" i="4"/>
  <c r="I406" i="4"/>
  <c r="J406" i="4"/>
  <c r="H406" i="4"/>
  <c r="F406" i="4"/>
  <c r="E406" i="4"/>
  <c r="D406" i="4"/>
  <c r="B406" i="4"/>
  <c r="J189" i="4"/>
  <c r="D189" i="4"/>
  <c r="I189" i="4"/>
  <c r="H189" i="4"/>
  <c r="B189" i="4"/>
  <c r="M189" i="4"/>
  <c r="G189" i="4"/>
  <c r="A189" i="4"/>
  <c r="F189" i="4"/>
  <c r="E189" i="4"/>
  <c r="J129" i="4"/>
  <c r="D129" i="4"/>
  <c r="I129" i="4"/>
  <c r="H129" i="4"/>
  <c r="B129" i="4"/>
  <c r="M129" i="4"/>
  <c r="G129" i="4"/>
  <c r="A129" i="4"/>
  <c r="F129" i="4"/>
  <c r="E129" i="4"/>
  <c r="H630" i="4"/>
  <c r="B630" i="4"/>
  <c r="I630" i="4"/>
  <c r="A630" i="4"/>
  <c r="G630" i="4"/>
  <c r="M630" i="4"/>
  <c r="F630" i="4"/>
  <c r="D630" i="4"/>
  <c r="J630" i="4"/>
  <c r="E630" i="4"/>
  <c r="M631" i="4"/>
  <c r="G631" i="4"/>
  <c r="A631" i="4"/>
  <c r="J631" i="4"/>
  <c r="I631" i="4"/>
  <c r="B631" i="4"/>
  <c r="H631" i="4"/>
  <c r="E631" i="4"/>
  <c r="F631" i="4"/>
  <c r="D631" i="4"/>
  <c r="C496" i="4"/>
  <c r="M508" i="4"/>
  <c r="G508" i="4"/>
  <c r="A508" i="4"/>
  <c r="F508" i="4"/>
  <c r="E508" i="4"/>
  <c r="J508" i="4"/>
  <c r="D508" i="4"/>
  <c r="I508" i="4"/>
  <c r="H508" i="4"/>
  <c r="B508" i="4"/>
  <c r="H489" i="4"/>
  <c r="B489" i="4"/>
  <c r="M489" i="4"/>
  <c r="G489" i="4"/>
  <c r="A489" i="4"/>
  <c r="F489" i="4"/>
  <c r="E489" i="4"/>
  <c r="J489" i="4"/>
  <c r="D489" i="4"/>
  <c r="I489" i="4"/>
  <c r="C446" i="4"/>
  <c r="C316" i="4"/>
  <c r="F382" i="4"/>
  <c r="E382" i="4"/>
  <c r="J382" i="4"/>
  <c r="D382" i="4"/>
  <c r="I382" i="4"/>
  <c r="H382" i="4"/>
  <c r="B382" i="4"/>
  <c r="M382" i="4"/>
  <c r="G382" i="4"/>
  <c r="A382" i="4"/>
  <c r="J499" i="4"/>
  <c r="D499" i="4"/>
  <c r="I499" i="4"/>
  <c r="H499" i="4"/>
  <c r="B499" i="4"/>
  <c r="M499" i="4"/>
  <c r="G499" i="4"/>
  <c r="A499" i="4"/>
  <c r="F499" i="4"/>
  <c r="E499" i="4"/>
  <c r="C504" i="4"/>
  <c r="C336" i="4"/>
  <c r="E278" i="4"/>
  <c r="J278" i="4"/>
  <c r="D278" i="4"/>
  <c r="I278" i="4"/>
  <c r="H278" i="4"/>
  <c r="B278" i="4"/>
  <c r="M278" i="4"/>
  <c r="G278" i="4"/>
  <c r="A278" i="4"/>
  <c r="F278" i="4"/>
  <c r="E170" i="4"/>
  <c r="J170" i="4"/>
  <c r="D170" i="4"/>
  <c r="I170" i="4"/>
  <c r="H170" i="4"/>
  <c r="B170" i="4"/>
  <c r="M170" i="4"/>
  <c r="G170" i="4"/>
  <c r="A170" i="4"/>
  <c r="F170" i="4"/>
  <c r="E62" i="4"/>
  <c r="J62" i="4"/>
  <c r="D62" i="4"/>
  <c r="I62" i="4"/>
  <c r="H62" i="4"/>
  <c r="B62" i="4"/>
  <c r="M62" i="4"/>
  <c r="G62" i="4"/>
  <c r="A62" i="4"/>
  <c r="F62" i="4"/>
  <c r="F265" i="4"/>
  <c r="E265" i="4"/>
  <c r="J265" i="4"/>
  <c r="D265" i="4"/>
  <c r="I265" i="4"/>
  <c r="H265" i="4"/>
  <c r="B265" i="4"/>
  <c r="M265" i="4"/>
  <c r="G265" i="4"/>
  <c r="A265" i="4"/>
  <c r="F157" i="4"/>
  <c r="E157" i="4"/>
  <c r="J157" i="4"/>
  <c r="D157" i="4"/>
  <c r="I157" i="4"/>
  <c r="H157" i="4"/>
  <c r="B157" i="4"/>
  <c r="M157" i="4"/>
  <c r="G157" i="4"/>
  <c r="A157" i="4"/>
  <c r="F49" i="4"/>
  <c r="E49" i="4"/>
  <c r="J49" i="4"/>
  <c r="D49" i="4"/>
  <c r="I49" i="4"/>
  <c r="H49" i="4"/>
  <c r="B49" i="4"/>
  <c r="M49" i="4"/>
  <c r="G49" i="4"/>
  <c r="A49" i="4"/>
  <c r="M252" i="4"/>
  <c r="G252" i="4"/>
  <c r="A252" i="4"/>
  <c r="F252" i="4"/>
  <c r="E252" i="4"/>
  <c r="J252" i="4"/>
  <c r="D252" i="4"/>
  <c r="I252" i="4"/>
  <c r="H252" i="4"/>
  <c r="B252" i="4"/>
  <c r="M144" i="4"/>
  <c r="G144" i="4"/>
  <c r="A144" i="4"/>
  <c r="F144" i="4"/>
  <c r="E144" i="4"/>
  <c r="J144" i="4"/>
  <c r="D144" i="4"/>
  <c r="I144" i="4"/>
  <c r="H144" i="4"/>
  <c r="B144" i="4"/>
  <c r="M36" i="4"/>
  <c r="G36" i="4"/>
  <c r="A36" i="4"/>
  <c r="F36" i="4"/>
  <c r="E36" i="4"/>
  <c r="J36" i="4"/>
  <c r="D36" i="4"/>
  <c r="I36" i="4"/>
  <c r="H36" i="4"/>
  <c r="B36" i="4"/>
  <c r="H239" i="4"/>
  <c r="B239" i="4"/>
  <c r="M239" i="4"/>
  <c r="G239" i="4"/>
  <c r="A239" i="4"/>
  <c r="F239" i="4"/>
  <c r="E239" i="4"/>
  <c r="J239" i="4"/>
  <c r="D239" i="4"/>
  <c r="I239" i="4"/>
  <c r="H131" i="4"/>
  <c r="B131" i="4"/>
  <c r="M131" i="4"/>
  <c r="G131" i="4"/>
  <c r="A131" i="4"/>
  <c r="F131" i="4"/>
  <c r="E131" i="4"/>
  <c r="J131" i="4"/>
  <c r="D131" i="4"/>
  <c r="I131" i="4"/>
  <c r="H23" i="4"/>
  <c r="B23" i="4"/>
  <c r="M23" i="4"/>
  <c r="G23" i="4"/>
  <c r="A23" i="4"/>
  <c r="F23" i="4"/>
  <c r="E23" i="4"/>
  <c r="J23" i="4"/>
  <c r="D23" i="4"/>
  <c r="I23" i="4"/>
  <c r="I226" i="4"/>
  <c r="H226" i="4"/>
  <c r="B226" i="4"/>
  <c r="M226" i="4"/>
  <c r="G226" i="4"/>
  <c r="A226" i="4"/>
  <c r="F226" i="4"/>
  <c r="E226" i="4"/>
  <c r="J226" i="4"/>
  <c r="D226" i="4"/>
  <c r="I118" i="4"/>
  <c r="H118" i="4"/>
  <c r="B118" i="4"/>
  <c r="M118" i="4"/>
  <c r="G118" i="4"/>
  <c r="A118" i="4"/>
  <c r="F118" i="4"/>
  <c r="E118" i="4"/>
  <c r="J118" i="4"/>
  <c r="D118" i="4"/>
  <c r="J249" i="4"/>
  <c r="D249" i="4"/>
  <c r="I249" i="4"/>
  <c r="H249" i="4"/>
  <c r="B249" i="4"/>
  <c r="M249" i="4"/>
  <c r="G249" i="4"/>
  <c r="A249" i="4"/>
  <c r="F249" i="4"/>
  <c r="E249" i="4"/>
  <c r="C212" i="4"/>
  <c r="C710" i="4"/>
  <c r="I555" i="4"/>
  <c r="H555" i="4"/>
  <c r="B555" i="4"/>
  <c r="M555" i="4"/>
  <c r="G555" i="4"/>
  <c r="A555" i="4"/>
  <c r="E555" i="4"/>
  <c r="D555" i="4"/>
  <c r="J555" i="4"/>
  <c r="F555" i="4"/>
  <c r="E492" i="4"/>
  <c r="J492" i="4"/>
  <c r="D492" i="4"/>
  <c r="I492" i="4"/>
  <c r="H492" i="4"/>
  <c r="B492" i="4"/>
  <c r="M492" i="4"/>
  <c r="G492" i="4"/>
  <c r="A492" i="4"/>
  <c r="F492" i="4"/>
  <c r="F437" i="4"/>
  <c r="E437" i="4"/>
  <c r="H437" i="4"/>
  <c r="B437" i="4"/>
  <c r="I437" i="4"/>
  <c r="G437" i="4"/>
  <c r="D437" i="4"/>
  <c r="M437" i="4"/>
  <c r="A437" i="4"/>
  <c r="J437" i="4"/>
  <c r="I422" i="4"/>
  <c r="H422" i="4"/>
  <c r="B422" i="4"/>
  <c r="E422" i="4"/>
  <c r="J422" i="4"/>
  <c r="G422" i="4"/>
  <c r="F422" i="4"/>
  <c r="D422" i="4"/>
  <c r="M422" i="4"/>
  <c r="A422" i="4"/>
  <c r="E365" i="4"/>
  <c r="J365" i="4"/>
  <c r="D365" i="4"/>
  <c r="I365" i="4"/>
  <c r="H365" i="4"/>
  <c r="B365" i="4"/>
  <c r="M365" i="4"/>
  <c r="G365" i="4"/>
  <c r="A365" i="4"/>
  <c r="F365" i="4"/>
  <c r="J457" i="4"/>
  <c r="D457" i="4"/>
  <c r="I457" i="4"/>
  <c r="F457" i="4"/>
  <c r="M457" i="4"/>
  <c r="A457" i="4"/>
  <c r="H457" i="4"/>
  <c r="G457" i="4"/>
  <c r="E457" i="4"/>
  <c r="B457" i="4"/>
  <c r="C327" i="4"/>
  <c r="I385" i="4"/>
  <c r="H385" i="4"/>
  <c r="B385" i="4"/>
  <c r="M385" i="4"/>
  <c r="G385" i="4"/>
  <c r="A385" i="4"/>
  <c r="F385" i="4"/>
  <c r="E385" i="4"/>
  <c r="J385" i="4"/>
  <c r="D385" i="4"/>
  <c r="C492" i="4"/>
  <c r="C365" i="4"/>
  <c r="C319" i="4"/>
  <c r="C305" i="4"/>
  <c r="M285" i="4"/>
  <c r="G285" i="4"/>
  <c r="A285" i="4"/>
  <c r="I285" i="4"/>
  <c r="H285" i="4"/>
  <c r="F285" i="4"/>
  <c r="E285" i="4"/>
  <c r="D285" i="4"/>
  <c r="B285" i="4"/>
  <c r="J285" i="4"/>
  <c r="C171" i="4"/>
  <c r="C63" i="4"/>
  <c r="C230" i="4"/>
  <c r="J207" i="4"/>
  <c r="D207" i="4"/>
  <c r="I207" i="4"/>
  <c r="H207" i="4"/>
  <c r="B207" i="4"/>
  <c r="M207" i="4"/>
  <c r="G207" i="4"/>
  <c r="A207" i="4"/>
  <c r="F207" i="4"/>
  <c r="E207" i="4"/>
  <c r="C562" i="4"/>
  <c r="F528" i="4"/>
  <c r="E528" i="4"/>
  <c r="J528" i="4"/>
  <c r="D528" i="4"/>
  <c r="H528" i="4"/>
  <c r="B528" i="4"/>
  <c r="M528" i="4"/>
  <c r="I528" i="4"/>
  <c r="G528" i="4"/>
  <c r="A528" i="4"/>
  <c r="M638" i="4"/>
  <c r="G638" i="4"/>
  <c r="A638" i="4"/>
  <c r="H638" i="4"/>
  <c r="D638" i="4"/>
  <c r="J638" i="4"/>
  <c r="B638" i="4"/>
  <c r="F638" i="4"/>
  <c r="I638" i="4"/>
  <c r="E638" i="4"/>
  <c r="E585" i="4"/>
  <c r="J585" i="4"/>
  <c r="I585" i="4"/>
  <c r="B585" i="4"/>
  <c r="H585" i="4"/>
  <c r="A585" i="4"/>
  <c r="M585" i="4"/>
  <c r="F585" i="4"/>
  <c r="D585" i="4"/>
  <c r="G585" i="4"/>
  <c r="E688" i="4"/>
  <c r="H688" i="4"/>
  <c r="A688" i="4"/>
  <c r="G688" i="4"/>
  <c r="M688" i="4"/>
  <c r="F688" i="4"/>
  <c r="D688" i="4"/>
  <c r="B688" i="4"/>
  <c r="J688" i="4"/>
  <c r="I688" i="4"/>
  <c r="C754" i="4"/>
  <c r="E804" i="4"/>
  <c r="G804" i="4"/>
  <c r="M804" i="4"/>
  <c r="F804" i="4"/>
  <c r="D804" i="4"/>
  <c r="J804" i="4"/>
  <c r="B804" i="4"/>
  <c r="A804" i="4"/>
  <c r="I804" i="4"/>
  <c r="H804" i="4"/>
  <c r="I851" i="4"/>
  <c r="H851" i="4"/>
  <c r="B851" i="4"/>
  <c r="A851" i="4"/>
  <c r="J851" i="4"/>
  <c r="G851" i="4"/>
  <c r="M851" i="4"/>
  <c r="F851" i="4"/>
  <c r="E851" i="4"/>
  <c r="D851" i="4"/>
  <c r="E855" i="4"/>
  <c r="J855" i="4"/>
  <c r="D855" i="4"/>
  <c r="M855" i="4"/>
  <c r="B855" i="4"/>
  <c r="I855" i="4"/>
  <c r="A855" i="4"/>
  <c r="H855" i="4"/>
  <c r="G855" i="4"/>
  <c r="F855" i="4"/>
  <c r="J937" i="4"/>
  <c r="D937" i="4"/>
  <c r="G937" i="4"/>
  <c r="M937" i="4"/>
  <c r="F937" i="4"/>
  <c r="I937" i="4"/>
  <c r="B937" i="4"/>
  <c r="H937" i="4"/>
  <c r="E937" i="4"/>
  <c r="A937" i="4"/>
  <c r="C967" i="4"/>
  <c r="F969" i="4"/>
  <c r="E969" i="4"/>
  <c r="H969" i="4"/>
  <c r="B969" i="4"/>
  <c r="G969" i="4"/>
  <c r="D969" i="4"/>
  <c r="M969" i="4"/>
  <c r="A969" i="4"/>
  <c r="J969" i="4"/>
  <c r="I969" i="4"/>
  <c r="J1028" i="4"/>
  <c r="D1028" i="4"/>
  <c r="M1028" i="4"/>
  <c r="G1028" i="4"/>
  <c r="A1028" i="4"/>
  <c r="F1028" i="4"/>
  <c r="E1028" i="4"/>
  <c r="B1028" i="4"/>
  <c r="I1028" i="4"/>
  <c r="H1028" i="4"/>
  <c r="C1039" i="4"/>
  <c r="F639" i="4"/>
  <c r="I639" i="4"/>
  <c r="B639" i="4"/>
  <c r="H639" i="4"/>
  <c r="G639" i="4"/>
  <c r="E639" i="4"/>
  <c r="J639" i="4"/>
  <c r="D639" i="4"/>
  <c r="A639" i="4"/>
  <c r="M639" i="4"/>
  <c r="M563" i="4"/>
  <c r="G563" i="4"/>
  <c r="A563" i="4"/>
  <c r="F563" i="4"/>
  <c r="E563" i="4"/>
  <c r="I563" i="4"/>
  <c r="H563" i="4"/>
  <c r="D563" i="4"/>
  <c r="B563" i="4"/>
  <c r="J563" i="4"/>
  <c r="C640" i="4"/>
  <c r="I684" i="4"/>
  <c r="J684" i="4"/>
  <c r="B684" i="4"/>
  <c r="H684" i="4"/>
  <c r="A684" i="4"/>
  <c r="G684" i="4"/>
  <c r="M684" i="4"/>
  <c r="F684" i="4"/>
  <c r="E684" i="4"/>
  <c r="D684" i="4"/>
  <c r="C590" i="4"/>
  <c r="J728" i="4"/>
  <c r="D728" i="4"/>
  <c r="H728" i="4"/>
  <c r="B728" i="4"/>
  <c r="M728" i="4"/>
  <c r="G728" i="4"/>
  <c r="A728" i="4"/>
  <c r="I728" i="4"/>
  <c r="F728" i="4"/>
  <c r="E728" i="4"/>
  <c r="I690" i="4"/>
  <c r="D690" i="4"/>
  <c r="J690" i="4"/>
  <c r="B690" i="4"/>
  <c r="H690" i="4"/>
  <c r="A690" i="4"/>
  <c r="G690" i="4"/>
  <c r="M690" i="4"/>
  <c r="F690" i="4"/>
  <c r="E690" i="4"/>
  <c r="M725" i="4"/>
  <c r="G725" i="4"/>
  <c r="A725" i="4"/>
  <c r="E725" i="4"/>
  <c r="J725" i="4"/>
  <c r="D725" i="4"/>
  <c r="F725" i="4"/>
  <c r="B725" i="4"/>
  <c r="I725" i="4"/>
  <c r="H725" i="4"/>
  <c r="E709" i="4"/>
  <c r="I709" i="4"/>
  <c r="H709" i="4"/>
  <c r="B709" i="4"/>
  <c r="J709" i="4"/>
  <c r="G709" i="4"/>
  <c r="F709" i="4"/>
  <c r="D709" i="4"/>
  <c r="A709" i="4"/>
  <c r="M709" i="4"/>
  <c r="H788" i="4"/>
  <c r="B788" i="4"/>
  <c r="M788" i="4"/>
  <c r="G788" i="4"/>
  <c r="A788" i="4"/>
  <c r="F788" i="4"/>
  <c r="E788" i="4"/>
  <c r="J788" i="4"/>
  <c r="I788" i="4"/>
  <c r="D788" i="4"/>
  <c r="C826" i="4"/>
  <c r="E755" i="4"/>
  <c r="H755" i="4"/>
  <c r="B755" i="4"/>
  <c r="I755" i="4"/>
  <c r="G755" i="4"/>
  <c r="F755" i="4"/>
  <c r="M755" i="4"/>
  <c r="D755" i="4"/>
  <c r="A755" i="4"/>
  <c r="J755" i="4"/>
  <c r="M853" i="4"/>
  <c r="G853" i="4"/>
  <c r="A853" i="4"/>
  <c r="F853" i="4"/>
  <c r="J853" i="4"/>
  <c r="B853" i="4"/>
  <c r="I853" i="4"/>
  <c r="E853" i="4"/>
  <c r="D853" i="4"/>
  <c r="H853" i="4"/>
  <c r="F836" i="4"/>
  <c r="E836" i="4"/>
  <c r="D836" i="4"/>
  <c r="J836" i="4"/>
  <c r="A836" i="4"/>
  <c r="I836" i="4"/>
  <c r="H836" i="4"/>
  <c r="G836" i="4"/>
  <c r="M836" i="4"/>
  <c r="B836" i="4"/>
  <c r="C860" i="4"/>
  <c r="M968" i="4"/>
  <c r="G968" i="4"/>
  <c r="A968" i="4"/>
  <c r="F968" i="4"/>
  <c r="I968" i="4"/>
  <c r="H968" i="4"/>
  <c r="E968" i="4"/>
  <c r="B968" i="4"/>
  <c r="J968" i="4"/>
  <c r="D968" i="4"/>
  <c r="I972" i="4"/>
  <c r="H972" i="4"/>
  <c r="B972" i="4"/>
  <c r="E972" i="4"/>
  <c r="D972" i="4"/>
  <c r="M972" i="4"/>
  <c r="A972" i="4"/>
  <c r="J972" i="4"/>
  <c r="G972" i="4"/>
  <c r="F972" i="4"/>
  <c r="J1035" i="4"/>
  <c r="D1035" i="4"/>
  <c r="I1035" i="4"/>
  <c r="M1035" i="4"/>
  <c r="G1035" i="4"/>
  <c r="A1035" i="4"/>
  <c r="F1035" i="4"/>
  <c r="B1035" i="4"/>
  <c r="H1035" i="4"/>
  <c r="E1035" i="4"/>
  <c r="J1010" i="4"/>
  <c r="D1010" i="4"/>
  <c r="I1010" i="4"/>
  <c r="B1010" i="4"/>
  <c r="M1010" i="4"/>
  <c r="F1010" i="4"/>
  <c r="H1010" i="4"/>
  <c r="G1010" i="4"/>
  <c r="E1010" i="4"/>
  <c r="A1010" i="4"/>
  <c r="M1038" i="4"/>
  <c r="G1038" i="4"/>
  <c r="A1038" i="4"/>
  <c r="F1038" i="4"/>
  <c r="E1038" i="4"/>
  <c r="J1038" i="4"/>
  <c r="D1038" i="4"/>
  <c r="I1038" i="4"/>
  <c r="H1038" i="4"/>
  <c r="B1038" i="4"/>
  <c r="E1040" i="4"/>
  <c r="J1040" i="4"/>
  <c r="D1040" i="4"/>
  <c r="I1040" i="4"/>
  <c r="H1040" i="4"/>
  <c r="B1040" i="4"/>
  <c r="M1040" i="4"/>
  <c r="G1040" i="4"/>
  <c r="A1040" i="4"/>
  <c r="F1040" i="4"/>
  <c r="I1083" i="4"/>
  <c r="M1083" i="4"/>
  <c r="G1083" i="4"/>
  <c r="A1083" i="4"/>
  <c r="F1083" i="4"/>
  <c r="J1083" i="4"/>
  <c r="H1083" i="4"/>
  <c r="D1083" i="4"/>
  <c r="E1083" i="4"/>
  <c r="B1083" i="4"/>
  <c r="F516" i="4"/>
  <c r="E516" i="4"/>
  <c r="J516" i="4"/>
  <c r="D516" i="4"/>
  <c r="H516" i="4"/>
  <c r="G516" i="4"/>
  <c r="B516" i="4"/>
  <c r="M516" i="4"/>
  <c r="A516" i="4"/>
  <c r="I516" i="4"/>
  <c r="C628" i="4"/>
  <c r="F669" i="4"/>
  <c r="J669" i="4"/>
  <c r="H669" i="4"/>
  <c r="A669" i="4"/>
  <c r="I669" i="4"/>
  <c r="G669" i="4"/>
  <c r="D669" i="4"/>
  <c r="M669" i="4"/>
  <c r="E669" i="4"/>
  <c r="B669" i="4"/>
  <c r="E573" i="4"/>
  <c r="H573" i="4"/>
  <c r="A573" i="4"/>
  <c r="G573" i="4"/>
  <c r="M573" i="4"/>
  <c r="F573" i="4"/>
  <c r="J573" i="4"/>
  <c r="I573" i="4"/>
  <c r="D573" i="4"/>
  <c r="B573" i="4"/>
  <c r="C670" i="4"/>
  <c r="E676" i="4"/>
  <c r="M676" i="4"/>
  <c r="F676" i="4"/>
  <c r="D676" i="4"/>
  <c r="J676" i="4"/>
  <c r="H676" i="4"/>
  <c r="G676" i="4"/>
  <c r="B676" i="4"/>
  <c r="I676" i="4"/>
  <c r="A676" i="4"/>
  <c r="C775" i="4"/>
  <c r="F809" i="4"/>
  <c r="G809" i="4"/>
  <c r="M809" i="4"/>
  <c r="E809" i="4"/>
  <c r="D809" i="4"/>
  <c r="J809" i="4"/>
  <c r="B809" i="4"/>
  <c r="A809" i="4"/>
  <c r="I809" i="4"/>
  <c r="H809" i="4"/>
  <c r="C867" i="4"/>
  <c r="C823" i="4"/>
  <c r="E843" i="4"/>
  <c r="J843" i="4"/>
  <c r="D843" i="4"/>
  <c r="M843" i="4"/>
  <c r="G843" i="4"/>
  <c r="F843" i="4"/>
  <c r="B843" i="4"/>
  <c r="A843" i="4"/>
  <c r="I843" i="4"/>
  <c r="H843" i="4"/>
  <c r="C918" i="4"/>
  <c r="C944" i="4"/>
  <c r="C951" i="4"/>
  <c r="C959" i="4"/>
  <c r="F957" i="4"/>
  <c r="E957" i="4"/>
  <c r="H957" i="4"/>
  <c r="B957" i="4"/>
  <c r="G957" i="4"/>
  <c r="D957" i="4"/>
  <c r="M957" i="4"/>
  <c r="A957" i="4"/>
  <c r="J957" i="4"/>
  <c r="I957" i="4"/>
  <c r="C1065" i="4"/>
  <c r="J991" i="4"/>
  <c r="D991" i="4"/>
  <c r="M991" i="4"/>
  <c r="G991" i="4"/>
  <c r="A991" i="4"/>
  <c r="I991" i="4"/>
  <c r="H991" i="4"/>
  <c r="F991" i="4"/>
  <c r="E991" i="4"/>
  <c r="B991" i="4"/>
  <c r="I1069" i="4"/>
  <c r="H1069" i="4"/>
  <c r="A1069" i="4"/>
  <c r="E1069" i="4"/>
  <c r="M1069" i="4"/>
  <c r="B1069" i="4"/>
  <c r="J1069" i="4"/>
  <c r="G1069" i="4"/>
  <c r="F1069" i="4"/>
  <c r="D1069" i="4"/>
  <c r="M515" i="4"/>
  <c r="G515" i="4"/>
  <c r="A515" i="4"/>
  <c r="F515" i="4"/>
  <c r="E515" i="4"/>
  <c r="I515" i="4"/>
  <c r="H515" i="4"/>
  <c r="D515" i="4"/>
  <c r="B515" i="4"/>
  <c r="J515" i="4"/>
  <c r="C629" i="4"/>
  <c r="C587" i="4"/>
  <c r="E523" i="4"/>
  <c r="J523" i="4"/>
  <c r="D523" i="4"/>
  <c r="I523" i="4"/>
  <c r="M523" i="4"/>
  <c r="G523" i="4"/>
  <c r="A523" i="4"/>
  <c r="F523" i="4"/>
  <c r="B523" i="4"/>
  <c r="H523" i="4"/>
  <c r="C725" i="4"/>
  <c r="H661" i="4"/>
  <c r="B661" i="4"/>
  <c r="D661" i="4"/>
  <c r="G661" i="4"/>
  <c r="F661" i="4"/>
  <c r="M661" i="4"/>
  <c r="E661" i="4"/>
  <c r="J661" i="4"/>
  <c r="A661" i="4"/>
  <c r="I661" i="4"/>
  <c r="C728" i="4"/>
  <c r="C645" i="4"/>
  <c r="C753" i="4"/>
  <c r="C816" i="4"/>
  <c r="J805" i="4"/>
  <c r="D805" i="4"/>
  <c r="H805" i="4"/>
  <c r="A805" i="4"/>
  <c r="G805" i="4"/>
  <c r="M805" i="4"/>
  <c r="F805" i="4"/>
  <c r="E805" i="4"/>
  <c r="I805" i="4"/>
  <c r="B805" i="4"/>
  <c r="M771" i="4"/>
  <c r="G771" i="4"/>
  <c r="A771" i="4"/>
  <c r="F771" i="4"/>
  <c r="E771" i="4"/>
  <c r="J771" i="4"/>
  <c r="D771" i="4"/>
  <c r="B771" i="4"/>
  <c r="I771" i="4"/>
  <c r="H771" i="4"/>
  <c r="F796" i="4"/>
  <c r="E796" i="4"/>
  <c r="J796" i="4"/>
  <c r="D796" i="4"/>
  <c r="I796" i="4"/>
  <c r="B796" i="4"/>
  <c r="A796" i="4"/>
  <c r="M796" i="4"/>
  <c r="H796" i="4"/>
  <c r="G796" i="4"/>
  <c r="J817" i="4"/>
  <c r="D817" i="4"/>
  <c r="I817" i="4"/>
  <c r="B817" i="4"/>
  <c r="H817" i="4"/>
  <c r="A817" i="4"/>
  <c r="G817" i="4"/>
  <c r="F817" i="4"/>
  <c r="E817" i="4"/>
  <c r="M817" i="4"/>
  <c r="F890" i="4"/>
  <c r="I890" i="4"/>
  <c r="B890" i="4"/>
  <c r="G890" i="4"/>
  <c r="E890" i="4"/>
  <c r="M890" i="4"/>
  <c r="D890" i="4"/>
  <c r="A890" i="4"/>
  <c r="J890" i="4"/>
  <c r="H890" i="4"/>
  <c r="C876" i="4"/>
  <c r="M914" i="4"/>
  <c r="G914" i="4"/>
  <c r="A914" i="4"/>
  <c r="F914" i="4"/>
  <c r="I914" i="4"/>
  <c r="E914" i="4"/>
  <c r="D914" i="4"/>
  <c r="J914" i="4"/>
  <c r="H914" i="4"/>
  <c r="B914" i="4"/>
  <c r="H939" i="4"/>
  <c r="B939" i="4"/>
  <c r="J939" i="4"/>
  <c r="I939" i="4"/>
  <c r="A939" i="4"/>
  <c r="E939" i="4"/>
  <c r="M939" i="4"/>
  <c r="G939" i="4"/>
  <c r="F939" i="4"/>
  <c r="D939" i="4"/>
  <c r="F909" i="4"/>
  <c r="E909" i="4"/>
  <c r="H909" i="4"/>
  <c r="B909" i="4"/>
  <c r="J909" i="4"/>
  <c r="I909" i="4"/>
  <c r="G909" i="4"/>
  <c r="D909" i="4"/>
  <c r="M909" i="4"/>
  <c r="A909" i="4"/>
  <c r="E924" i="4"/>
  <c r="J924" i="4"/>
  <c r="I924" i="4"/>
  <c r="B924" i="4"/>
  <c r="M924" i="4"/>
  <c r="F924" i="4"/>
  <c r="H924" i="4"/>
  <c r="G924" i="4"/>
  <c r="D924" i="4"/>
  <c r="A924" i="4"/>
  <c r="I1017" i="4"/>
  <c r="F1017" i="4"/>
  <c r="M1017" i="4"/>
  <c r="E1017" i="4"/>
  <c r="H1017" i="4"/>
  <c r="A1017" i="4"/>
  <c r="D1017" i="4"/>
  <c r="B1017" i="4"/>
  <c r="J1017" i="4"/>
  <c r="G1017" i="4"/>
  <c r="J1076" i="4"/>
  <c r="D1076" i="4"/>
  <c r="H1076" i="4"/>
  <c r="B1076" i="4"/>
  <c r="M1076" i="4"/>
  <c r="E1076" i="4"/>
  <c r="G1076" i="4"/>
  <c r="I1076" i="4"/>
  <c r="F1076" i="4"/>
  <c r="A1076" i="4"/>
  <c r="H1006" i="4"/>
  <c r="B1006" i="4"/>
  <c r="E1006" i="4"/>
  <c r="D1006" i="4"/>
  <c r="G1006" i="4"/>
  <c r="A1006" i="4"/>
  <c r="M1006" i="4"/>
  <c r="J1006" i="4"/>
  <c r="I1006" i="4"/>
  <c r="F1006" i="4"/>
  <c r="E1027" i="4"/>
  <c r="H1027" i="4"/>
  <c r="B1027" i="4"/>
  <c r="J1027" i="4"/>
  <c r="A1027" i="4"/>
  <c r="I1027" i="4"/>
  <c r="G1027" i="4"/>
  <c r="F1027" i="4"/>
  <c r="M1027" i="4"/>
  <c r="D1027" i="4"/>
  <c r="C1091" i="4"/>
  <c r="C1096" i="4"/>
  <c r="H618" i="4"/>
  <c r="B618" i="4"/>
  <c r="M618" i="4"/>
  <c r="F618" i="4"/>
  <c r="E618" i="4"/>
  <c r="D618" i="4"/>
  <c r="I618" i="4"/>
  <c r="A618" i="4"/>
  <c r="G618" i="4"/>
  <c r="J618" i="4"/>
  <c r="H576" i="4"/>
  <c r="B576" i="4"/>
  <c r="E576" i="4"/>
  <c r="D576" i="4"/>
  <c r="J576" i="4"/>
  <c r="G576" i="4"/>
  <c r="M576" i="4"/>
  <c r="I576" i="4"/>
  <c r="F576" i="4"/>
  <c r="A576" i="4"/>
  <c r="C510" i="4"/>
  <c r="C622" i="4"/>
  <c r="F693" i="4"/>
  <c r="H693" i="4"/>
  <c r="A693" i="4"/>
  <c r="G693" i="4"/>
  <c r="M693" i="4"/>
  <c r="E693" i="4"/>
  <c r="D693" i="4"/>
  <c r="B693" i="4"/>
  <c r="J693" i="4"/>
  <c r="I693" i="4"/>
  <c r="C702" i="4"/>
  <c r="J838" i="4"/>
  <c r="D838" i="4"/>
  <c r="I838" i="4"/>
  <c r="F838" i="4"/>
  <c r="G838" i="4"/>
  <c r="E838" i="4"/>
  <c r="M838" i="4"/>
  <c r="B838" i="4"/>
  <c r="A838" i="4"/>
  <c r="H838" i="4"/>
  <c r="H736" i="4"/>
  <c r="B736" i="4"/>
  <c r="F736" i="4"/>
  <c r="E736" i="4"/>
  <c r="G736" i="4"/>
  <c r="D736" i="4"/>
  <c r="M736" i="4"/>
  <c r="A736" i="4"/>
  <c r="J736" i="4"/>
  <c r="I736" i="4"/>
  <c r="I781" i="4"/>
  <c r="H781" i="4"/>
  <c r="B781" i="4"/>
  <c r="M781" i="4"/>
  <c r="G781" i="4"/>
  <c r="A781" i="4"/>
  <c r="F781" i="4"/>
  <c r="J781" i="4"/>
  <c r="E781" i="4"/>
  <c r="D781" i="4"/>
  <c r="M759" i="4"/>
  <c r="G759" i="4"/>
  <c r="A759" i="4"/>
  <c r="J759" i="4"/>
  <c r="D759" i="4"/>
  <c r="B759" i="4"/>
  <c r="I759" i="4"/>
  <c r="H759" i="4"/>
  <c r="F759" i="4"/>
  <c r="E759" i="4"/>
  <c r="C856" i="4"/>
  <c r="C783" i="4"/>
  <c r="M802" i="4"/>
  <c r="G802" i="4"/>
  <c r="A802" i="4"/>
  <c r="D802" i="4"/>
  <c r="J802" i="4"/>
  <c r="I802" i="4"/>
  <c r="B802" i="4"/>
  <c r="H802" i="4"/>
  <c r="F802" i="4"/>
  <c r="E802" i="4"/>
  <c r="C869" i="4"/>
  <c r="C940" i="4"/>
  <c r="C883" i="4"/>
  <c r="F902" i="4"/>
  <c r="I902" i="4"/>
  <c r="J902" i="4"/>
  <c r="A902" i="4"/>
  <c r="H902" i="4"/>
  <c r="G902" i="4"/>
  <c r="M902" i="4"/>
  <c r="E902" i="4"/>
  <c r="D902" i="4"/>
  <c r="B902" i="4"/>
  <c r="C1018" i="4"/>
  <c r="C896" i="4"/>
  <c r="C964" i="4"/>
  <c r="C985" i="4"/>
  <c r="H987" i="4"/>
  <c r="B987" i="4"/>
  <c r="D987" i="4"/>
  <c r="J987" i="4"/>
  <c r="I987" i="4"/>
  <c r="A987" i="4"/>
  <c r="G987" i="4"/>
  <c r="M987" i="4"/>
  <c r="F987" i="4"/>
  <c r="E987" i="4"/>
  <c r="C989" i="4"/>
  <c r="C1035" i="4"/>
  <c r="C1087" i="4"/>
  <c r="M1079" i="4"/>
  <c r="G1079" i="4"/>
  <c r="A1079" i="4"/>
  <c r="E1079" i="4"/>
  <c r="J1079" i="4"/>
  <c r="D1079" i="4"/>
  <c r="B1079" i="4"/>
  <c r="H1079" i="4"/>
  <c r="I1079" i="4"/>
  <c r="F1079" i="4"/>
  <c r="I672" i="4"/>
  <c r="G672" i="4"/>
  <c r="E672" i="4"/>
  <c r="D672" i="4"/>
  <c r="M672" i="4"/>
  <c r="B672" i="4"/>
  <c r="A672" i="4"/>
  <c r="H672" i="4"/>
  <c r="J672" i="4"/>
  <c r="F672" i="4"/>
  <c r="C597" i="4"/>
  <c r="E529" i="4"/>
  <c r="J529" i="4"/>
  <c r="D529" i="4"/>
  <c r="I529" i="4"/>
  <c r="M529" i="4"/>
  <c r="G529" i="4"/>
  <c r="A529" i="4"/>
  <c r="H529" i="4"/>
  <c r="F529" i="4"/>
  <c r="B529" i="4"/>
  <c r="I666" i="4"/>
  <c r="M666" i="4"/>
  <c r="F666" i="4"/>
  <c r="D666" i="4"/>
  <c r="G666" i="4"/>
  <c r="E666" i="4"/>
  <c r="B666" i="4"/>
  <c r="J666" i="4"/>
  <c r="H666" i="4"/>
  <c r="A666" i="4"/>
  <c r="C740" i="4"/>
  <c r="C651" i="4"/>
  <c r="F750" i="4"/>
  <c r="E750" i="4"/>
  <c r="J750" i="4"/>
  <c r="D750" i="4"/>
  <c r="I750" i="4"/>
  <c r="H750" i="4"/>
  <c r="G750" i="4"/>
  <c r="B750" i="4"/>
  <c r="A750" i="4"/>
  <c r="M750" i="4"/>
  <c r="C861" i="4"/>
  <c r="M777" i="4"/>
  <c r="G777" i="4"/>
  <c r="A777" i="4"/>
  <c r="F777" i="4"/>
  <c r="E777" i="4"/>
  <c r="J777" i="4"/>
  <c r="D777" i="4"/>
  <c r="I777" i="4"/>
  <c r="H777" i="4"/>
  <c r="B777" i="4"/>
  <c r="F803" i="4"/>
  <c r="M803" i="4"/>
  <c r="E803" i="4"/>
  <c r="D803" i="4"/>
  <c r="J803" i="4"/>
  <c r="I803" i="4"/>
  <c r="B803" i="4"/>
  <c r="H803" i="4"/>
  <c r="G803" i="4"/>
  <c r="A803" i="4"/>
  <c r="H821" i="4"/>
  <c r="B821" i="4"/>
  <c r="I821" i="4"/>
  <c r="A821" i="4"/>
  <c r="J821" i="4"/>
  <c r="G821" i="4"/>
  <c r="F821" i="4"/>
  <c r="E821" i="4"/>
  <c r="D821" i="4"/>
  <c r="M821" i="4"/>
  <c r="J911" i="4"/>
  <c r="D911" i="4"/>
  <c r="I911" i="4"/>
  <c r="F911" i="4"/>
  <c r="H911" i="4"/>
  <c r="G911" i="4"/>
  <c r="A911" i="4"/>
  <c r="M911" i="4"/>
  <c r="E911" i="4"/>
  <c r="B911" i="4"/>
  <c r="C882" i="4"/>
  <c r="C932" i="4"/>
  <c r="H961" i="4"/>
  <c r="B961" i="4"/>
  <c r="M961" i="4"/>
  <c r="G961" i="4"/>
  <c r="A961" i="4"/>
  <c r="J961" i="4"/>
  <c r="D961" i="4"/>
  <c r="I961" i="4"/>
  <c r="F961" i="4"/>
  <c r="E961" i="4"/>
  <c r="C917" i="4"/>
  <c r="F915" i="4"/>
  <c r="E915" i="4"/>
  <c r="H915" i="4"/>
  <c r="B915" i="4"/>
  <c r="D915" i="4"/>
  <c r="A915" i="4"/>
  <c r="M915" i="4"/>
  <c r="J915" i="4"/>
  <c r="I915" i="4"/>
  <c r="G915" i="4"/>
  <c r="E930" i="4"/>
  <c r="D930" i="4"/>
  <c r="J930" i="4"/>
  <c r="G930" i="4"/>
  <c r="B930" i="4"/>
  <c r="A930" i="4"/>
  <c r="M930" i="4"/>
  <c r="I930" i="4"/>
  <c r="H930" i="4"/>
  <c r="F930" i="4"/>
  <c r="F1060" i="4"/>
  <c r="J1060" i="4"/>
  <c r="I1060" i="4"/>
  <c r="A1060" i="4"/>
  <c r="H1060" i="4"/>
  <c r="G1060" i="4"/>
  <c r="E1060" i="4"/>
  <c r="M1060" i="4"/>
  <c r="D1060" i="4"/>
  <c r="B1060" i="4"/>
  <c r="I993" i="4"/>
  <c r="H993" i="4"/>
  <c r="B993" i="4"/>
  <c r="E993" i="4"/>
  <c r="G993" i="4"/>
  <c r="F993" i="4"/>
  <c r="D993" i="4"/>
  <c r="M993" i="4"/>
  <c r="A993" i="4"/>
  <c r="J993" i="4"/>
  <c r="I1011" i="4"/>
  <c r="E1011" i="4"/>
  <c r="D1011" i="4"/>
  <c r="G1011" i="4"/>
  <c r="J1011" i="4"/>
  <c r="H1011" i="4"/>
  <c r="F1011" i="4"/>
  <c r="B1011" i="4"/>
  <c r="A1011" i="4"/>
  <c r="M1011" i="4"/>
  <c r="C1049" i="4"/>
  <c r="E1033" i="4"/>
  <c r="I1033" i="4"/>
  <c r="H1033" i="4"/>
  <c r="B1033" i="4"/>
  <c r="J1033" i="4"/>
  <c r="G1033" i="4"/>
  <c r="F1033" i="4"/>
  <c r="D1033" i="4"/>
  <c r="A1033" i="4"/>
  <c r="M1033" i="4"/>
  <c r="C1094" i="4"/>
  <c r="E1075" i="4"/>
  <c r="I1075" i="4"/>
  <c r="H1075" i="4"/>
  <c r="G1075" i="4"/>
  <c r="B1075" i="4"/>
  <c r="D1075" i="4"/>
  <c r="A1075" i="4"/>
  <c r="M1075" i="4"/>
  <c r="J1075" i="4"/>
  <c r="F1075" i="4"/>
  <c r="H637" i="4"/>
  <c r="B637" i="4"/>
  <c r="M637" i="4"/>
  <c r="F637" i="4"/>
  <c r="I637" i="4"/>
  <c r="G637" i="4"/>
  <c r="E637" i="4"/>
  <c r="J637" i="4"/>
  <c r="D637" i="4"/>
  <c r="A637" i="4"/>
  <c r="C518" i="4"/>
  <c r="C455" i="4"/>
  <c r="C508" i="4"/>
  <c r="C547" i="4"/>
  <c r="H501" i="4"/>
  <c r="B501" i="4"/>
  <c r="M501" i="4"/>
  <c r="G501" i="4"/>
  <c r="A501" i="4"/>
  <c r="F501" i="4"/>
  <c r="E501" i="4"/>
  <c r="J501" i="4"/>
  <c r="D501" i="4"/>
  <c r="I501" i="4"/>
  <c r="C493" i="4"/>
  <c r="J463" i="4"/>
  <c r="D463" i="4"/>
  <c r="I463" i="4"/>
  <c r="M463" i="4"/>
  <c r="G463" i="4"/>
  <c r="A463" i="4"/>
  <c r="F463" i="4"/>
  <c r="H463" i="4"/>
  <c r="E463" i="4"/>
  <c r="B463" i="4"/>
  <c r="C328" i="4"/>
  <c r="F394" i="4"/>
  <c r="E394" i="4"/>
  <c r="J394" i="4"/>
  <c r="D394" i="4"/>
  <c r="I394" i="4"/>
  <c r="H394" i="4"/>
  <c r="B394" i="4"/>
  <c r="A394" i="4"/>
  <c r="M394" i="4"/>
  <c r="G394" i="4"/>
  <c r="M583" i="4"/>
  <c r="G583" i="4"/>
  <c r="A583" i="4"/>
  <c r="H583" i="4"/>
  <c r="F583" i="4"/>
  <c r="E583" i="4"/>
  <c r="J583" i="4"/>
  <c r="I583" i="4"/>
  <c r="D583" i="4"/>
  <c r="B583" i="4"/>
  <c r="C655" i="4"/>
  <c r="H344" i="4"/>
  <c r="B344" i="4"/>
  <c r="M344" i="4"/>
  <c r="G344" i="4"/>
  <c r="A344" i="4"/>
  <c r="F344" i="4"/>
  <c r="E344" i="4"/>
  <c r="J344" i="4"/>
  <c r="D344" i="4"/>
  <c r="I344" i="4"/>
  <c r="C348" i="4"/>
  <c r="C293" i="4"/>
  <c r="E182" i="4"/>
  <c r="J182" i="4"/>
  <c r="D182" i="4"/>
  <c r="I182" i="4"/>
  <c r="H182" i="4"/>
  <c r="B182" i="4"/>
  <c r="M182" i="4"/>
  <c r="G182" i="4"/>
  <c r="A182" i="4"/>
  <c r="F182" i="4"/>
  <c r="E74" i="4"/>
  <c r="J74" i="4"/>
  <c r="D74" i="4"/>
  <c r="I74" i="4"/>
  <c r="H74" i="4"/>
  <c r="B74" i="4"/>
  <c r="M74" i="4"/>
  <c r="G74" i="4"/>
  <c r="A74" i="4"/>
  <c r="F74" i="4"/>
  <c r="F277" i="4"/>
  <c r="E277" i="4"/>
  <c r="J277" i="4"/>
  <c r="D277" i="4"/>
  <c r="I277" i="4"/>
  <c r="H277" i="4"/>
  <c r="B277" i="4"/>
  <c r="M277" i="4"/>
  <c r="G277" i="4"/>
  <c r="A277" i="4"/>
  <c r="F169" i="4"/>
  <c r="E169" i="4"/>
  <c r="J169" i="4"/>
  <c r="D169" i="4"/>
  <c r="I169" i="4"/>
  <c r="H169" i="4"/>
  <c r="B169" i="4"/>
  <c r="M169" i="4"/>
  <c r="G169" i="4"/>
  <c r="A169" i="4"/>
  <c r="F61" i="4"/>
  <c r="E61" i="4"/>
  <c r="J61" i="4"/>
  <c r="D61" i="4"/>
  <c r="I61" i="4"/>
  <c r="H61" i="4"/>
  <c r="B61" i="4"/>
  <c r="M61" i="4"/>
  <c r="G61" i="4"/>
  <c r="A61" i="4"/>
  <c r="M264" i="4"/>
  <c r="G264" i="4"/>
  <c r="A264" i="4"/>
  <c r="F264" i="4"/>
  <c r="E264" i="4"/>
  <c r="J264" i="4"/>
  <c r="D264" i="4"/>
  <c r="I264" i="4"/>
  <c r="H264" i="4"/>
  <c r="B264" i="4"/>
  <c r="M156" i="4"/>
  <c r="G156" i="4"/>
  <c r="A156" i="4"/>
  <c r="F156" i="4"/>
  <c r="E156" i="4"/>
  <c r="J156" i="4"/>
  <c r="D156" i="4"/>
  <c r="I156" i="4"/>
  <c r="H156" i="4"/>
  <c r="B156" i="4"/>
  <c r="M48" i="4"/>
  <c r="G48" i="4"/>
  <c r="A48" i="4"/>
  <c r="F48" i="4"/>
  <c r="E48" i="4"/>
  <c r="J48" i="4"/>
  <c r="D48" i="4"/>
  <c r="I48" i="4"/>
  <c r="H48" i="4"/>
  <c r="B48" i="4"/>
  <c r="H251" i="4"/>
  <c r="B251" i="4"/>
  <c r="M251" i="4"/>
  <c r="G251" i="4"/>
  <c r="A251" i="4"/>
  <c r="F251" i="4"/>
  <c r="E251" i="4"/>
  <c r="J251" i="4"/>
  <c r="D251" i="4"/>
  <c r="I251" i="4"/>
  <c r="H143" i="4"/>
  <c r="B143" i="4"/>
  <c r="M143" i="4"/>
  <c r="G143" i="4"/>
  <c r="A143" i="4"/>
  <c r="F143" i="4"/>
  <c r="E143" i="4"/>
  <c r="J143" i="4"/>
  <c r="D143" i="4"/>
  <c r="I143" i="4"/>
  <c r="H35" i="4"/>
  <c r="B35" i="4"/>
  <c r="M35" i="4"/>
  <c r="G35" i="4"/>
  <c r="A35" i="4"/>
  <c r="F35" i="4"/>
  <c r="E35" i="4"/>
  <c r="J35" i="4"/>
  <c r="D35" i="4"/>
  <c r="I35" i="4"/>
  <c r="I238" i="4"/>
  <c r="H238" i="4"/>
  <c r="B238" i="4"/>
  <c r="M238" i="4"/>
  <c r="G238" i="4"/>
  <c r="A238" i="4"/>
  <c r="F238" i="4"/>
  <c r="E238" i="4"/>
  <c r="J238" i="4"/>
  <c r="D238" i="4"/>
  <c r="I130" i="4"/>
  <c r="H130" i="4"/>
  <c r="B130" i="4"/>
  <c r="M130" i="4"/>
  <c r="G130" i="4"/>
  <c r="A130" i="4"/>
  <c r="F130" i="4"/>
  <c r="E130" i="4"/>
  <c r="J130" i="4"/>
  <c r="D130" i="4"/>
  <c r="I22" i="4"/>
  <c r="H22" i="4"/>
  <c r="B22" i="4"/>
  <c r="M22" i="4"/>
  <c r="G22" i="4"/>
  <c r="A22" i="4"/>
  <c r="F22" i="4"/>
  <c r="E22" i="4"/>
  <c r="J22" i="4"/>
  <c r="D22" i="4"/>
  <c r="C325" i="4"/>
  <c r="C291" i="4"/>
  <c r="I1098" i="4" l="1"/>
  <c r="J1099" i="4"/>
  <c r="C12" i="4" s="1"/>
  <c r="H1097" i="4"/>
</calcChain>
</file>

<file path=xl/sharedStrings.xml><?xml version="1.0" encoding="utf-8"?>
<sst xmlns="http://schemas.openxmlformats.org/spreadsheetml/2006/main" count="16727" uniqueCount="6534">
  <si>
    <t>ТС ЕР — раздельно.  Справочник расценок + сборка смет (Excel 2019+)</t>
  </si>
  <si>
    <t>КАК РАБОТАТЬ</t>
  </si>
  <si>
    <t>Этот файл — МАСТЕР (справочник). Смету на объект делай в КОПИИ:</t>
  </si>
  <si>
    <t>1. Файл → Сохранить как → «Смета &lt;объект&gt; &lt;дата&gt;.xlsx».</t>
  </si>
  <si>
    <t>2. Лист РАБОТЫ. По нужным работам поставь «в смету» = да, впиши «Объём».</t>
  </si>
  <si>
    <t xml:space="preserve">   Если работа с материалом — выбери «Материал» из списка (список = материалы группы работы).</t>
  </si>
  <si>
    <t xml:space="preserve">   Нет списка или своего материала — впиши «Цена мат (ручн.), ₽».</t>
  </si>
  <si>
    <t xml:space="preserve">   Строки «Рабочая/Исполнительная документация» (раздел 1): в «Материал» выбери раздел проекта —</t>
  </si>
  <si>
    <t xml:space="preserve">   цена подставится с листа «Документация». Для нескольких разделов — вставь копию строки.</t>
  </si>
  <si>
    <t xml:space="preserve">   Розовая ячейка объёма = работа отмечена, а объём не введён.</t>
  </si>
  <si>
    <t>3. Лист «Смета» — печатная форма. Данные → «Применить повторно» (Ctrl+Alt+L): останутся</t>
  </si>
  <si>
    <t xml:space="preserve">   только отмеченные строки, по разделам, с итогом. Заполни шапку объекта.</t>
  </si>
  <si>
    <t xml:space="preserve">   Курсы USD/EUR/CNY и «Дисконт по тендеру» — в шапке листа «Смета» (жёлтые ячейки).</t>
  </si>
  <si>
    <t>ЧТО ГДЕ</t>
  </si>
  <si>
    <t>РАБОТЫ — вид работы + цена работы. Новая расценка = новая строка. Правка цены = ячейка +</t>
  </si>
  <si>
    <t xml:space="preserve">   «Дата изм.» / «Кто изменил» + строка в «Историю цен».</t>
  </si>
  <si>
    <t>МАТЕРИАЛЫ — вид материала + цена + валюта (RUB/USD/EUR/CNY). Обновление от поставщика —</t>
  </si>
  <si>
    <t xml:space="preserve">   фильтр по «Поставщик», правишь цены + даты.</t>
  </si>
  <si>
    <t>Документация — варианты РД/ИД для раздела 1. Группы — расшифровка кодов групп.</t>
  </si>
  <si>
    <t>История цен — журнал правок (для споров). Разделы — коды Р1…Р12.</t>
  </si>
  <si>
    <t>Ни Power Query, ни макросов, ни связей с другими файлами.</t>
  </si>
  <si>
    <t>Сформировано: 2026-09-01.  Работ: 857.  Материалов: 1218.  Вариантов документации: 56.  Запас строк РАБОТЫ: 1057.</t>
  </si>
  <si>
    <t>Код</t>
  </si>
  <si>
    <t>Раздел</t>
  </si>
  <si>
    <t>Подраздел</t>
  </si>
  <si>
    <t>Наименование работы</t>
  </si>
  <si>
    <t>Ед</t>
  </si>
  <si>
    <t>Цена работы, ₽</t>
  </si>
  <si>
    <t>Группа мат.</t>
  </si>
  <si>
    <t>Вспом. мат., %</t>
  </si>
  <si>
    <t>Источник</t>
  </si>
  <si>
    <t>Дата изм. цены</t>
  </si>
  <si>
    <t>Кто изменил</t>
  </si>
  <si>
    <t>в смету</t>
  </si>
  <si>
    <t>Объём</t>
  </si>
  <si>
    <t>Материал</t>
  </si>
  <si>
    <t>Цена мат (ручн.), ₽</t>
  </si>
  <si>
    <t>Стоим. работ, ₽</t>
  </si>
  <si>
    <t>Стоим. мат, ₽</t>
  </si>
  <si>
    <t>Всего, ₽</t>
  </si>
  <si>
    <t>_цр</t>
  </si>
  <si>
    <t>_цм</t>
  </si>
  <si>
    <t>_ранг</t>
  </si>
  <si>
    <t>_рзд</t>
  </si>
  <si>
    <t>_перв</t>
  </si>
  <si>
    <t>_строка</t>
  </si>
  <si>
    <t>_имя</t>
  </si>
  <si>
    <t>_разд_имя</t>
  </si>
  <si>
    <t>РАБ.Р1.1.001</t>
  </si>
  <si>
    <t>Р1</t>
  </si>
  <si>
    <t>1</t>
  </si>
  <si>
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</si>
  <si>
    <t>м2</t>
  </si>
  <si>
    <t>ТС ЕР</t>
  </si>
  <si>
    <t>РАБ.Р1.1.002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</si>
  <si>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</si>
  <si>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РАБ.Р1.1.901</t>
  </si>
  <si>
    <t>Рабочая документация (раздел проекта — выбрать)</t>
  </si>
  <si>
    <t>ДОК.РД</t>
  </si>
  <si>
    <t>РАБ.Р1.1.961</t>
  </si>
  <si>
    <t>Исполнительная документация (раздел проекта — выбрать)</t>
  </si>
  <si>
    <t>ДОК.ИД</t>
  </si>
  <si>
    <t>РАБ.Р1.1.021</t>
  </si>
  <si>
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</si>
  <si>
    <t>РАБ.Р1.1.022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</si>
  <si>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</si>
  <si>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кв.м.площади фасада</t>
  </si>
  <si>
    <t>РАБ.Р1.1.061</t>
  </si>
  <si>
    <t>Стоимость согласования проекта перепланировки/реставрации объекта культурного наследия в соответствии с нормативными актами г.______________.</t>
  </si>
  <si>
    <t>РАБ.Р1.1.062</t>
  </si>
  <si>
    <t>Стоимость согласования проекта перепланировки/реконструкции объекта в соответствии с нормативными актами г.______________.</t>
  </si>
  <si>
    <t>РАБ.Р1.1.063</t>
  </si>
  <si>
    <t>Получение паспорта БТИ (в черных линиях)</t>
  </si>
  <si>
    <t>РАБ.Р1.1.064</t>
  </si>
  <si>
    <t>Сертификация помещения для совершения операций с ценностями, хранение ценностей по (2) классу вломостойкости и (3) классу пулестойкости</t>
  </si>
  <si>
    <t>РАБ.Р1.1.065</t>
  </si>
  <si>
    <t>Сертификация помещения для совершения операций с ценностями, хранение ценностей по 3 классу вломостойкости и 3 классу пулестойкости</t>
  </si>
  <si>
    <t>РАБ.Р1.1.066</t>
  </si>
  <si>
    <t>Сертификация помещения для совершения операций с ценностями, хранение ценностей по (5) классу вломостойкости</t>
  </si>
  <si>
    <t>РАБ.Р1.1.067</t>
  </si>
  <si>
    <t>Технический отчет электролаборатории для помещений более 100 м.кв.</t>
  </si>
  <si>
    <t>РАБ.Р1.1.068</t>
  </si>
  <si>
    <t>Технический отчет электролаборатории для помещений менее 100 м.кв.</t>
  </si>
  <si>
    <t>компл.</t>
  </si>
  <si>
    <t>РАБ.Р1.1.069</t>
  </si>
  <si>
    <t>Стоимость согласования проекта изменения фасада согласно нормативных и законодательных актов г. ___________ и РФ.</t>
  </si>
  <si>
    <t>РАБ.Р1.1.070</t>
  </si>
  <si>
    <t>Разработка дизайн-проекта интерьера</t>
  </si>
  <si>
    <t>РАБ.Р1.1.071</t>
  </si>
  <si>
    <t>Экспертиза и согласование проекта ЭОМ в Ростехнадзоре</t>
  </si>
  <si>
    <t>РАБ.Р1.1.072</t>
  </si>
  <si>
    <t>Проект системы водоотведения</t>
  </si>
  <si>
    <t>РАБ.Р1.1.073</t>
  </si>
  <si>
    <t>Рабочая документация Системы ливневой канализации</t>
  </si>
  <si>
    <t>РАБ.Р1.1.074</t>
  </si>
  <si>
    <t>Получение Технических условий (при необходимости)</t>
  </si>
  <si>
    <t>РАБ.Р1.1.075</t>
  </si>
  <si>
    <t>Расчет категории пожарной опасности помещений</t>
  </si>
  <si>
    <t>РАБ.Р1.1.076</t>
  </si>
  <si>
    <t>Рабочая документация Системы оповещения и управления эвакуацией в части световых указателей ("СОУЭ")</t>
  </si>
  <si>
    <t>РАБ.Р1.1.077</t>
  </si>
  <si>
    <t>Согласование проекта Системы водоотведения и получения тех условий (при необходимости)</t>
  </si>
  <si>
    <t>РАБ.Р1.1.078</t>
  </si>
  <si>
    <t>Испытание лестниц 3 типа с предоставлением актов</t>
  </si>
  <si>
    <t>РАБ.Р1.1.079</t>
  </si>
  <si>
    <t>Испытания системы внутреннего противопожарного водопровода аккредитованной организацией (ВПВ и АУПТ).</t>
  </si>
  <si>
    <t>РАБ.Р1.1.080</t>
  </si>
  <si>
    <t>Мероприятия по обеспечению доступа инвалидов</t>
  </si>
  <si>
    <t>РАБ.Р1.1.081</t>
  </si>
  <si>
    <t>Расчет пожарного риска</t>
  </si>
  <si>
    <t>РАБ.Р1.1.082</t>
  </si>
  <si>
    <t>Подготовка и постановка на учет Независимой оценки пожарного риска (пожарный аудит), включая Расчет пожарного риска</t>
  </si>
  <si>
    <t>РАБ.Р1.1.083</t>
  </si>
  <si>
    <t>Разработка проекта огнезащиты</t>
  </si>
  <si>
    <t>шт.</t>
  </si>
  <si>
    <t>РАБ.Р1.1.084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</si>
  <si>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</si>
  <si>
    <t>РАБ.Р1.1.085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</si>
  <si>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</si>
  <si>
    <t>РАБ.Р1.1.086</t>
  </si>
  <si>
    <t>Акустический расчет инженерных систем ОВиК (предоставление в Роспотребнадзор) электронный и бумажный вариант</t>
  </si>
  <si>
    <t>РАБ.Р1.1.087</t>
  </si>
  <si>
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</si>
  <si>
    <t>РАБ.Р1.1.088</t>
  </si>
  <si>
    <t>Стоимость согласования проекта перепланировки/реконструкции объекта в соответствии с нормативными актами г. ______________</t>
  </si>
  <si>
    <t>кв.м.площади офиса</t>
  </si>
  <si>
    <t>РАБ.Р1.1.089</t>
  </si>
  <si>
    <t>РАБ.Р1.1.090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</si>
  <si>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</si>
  <si>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РАБ.Р1.1.091</t>
  </si>
  <si>
    <t>Подготовка и сдача в _______научного отчета</t>
  </si>
  <si>
    <t>РАБ.Р1.1.092</t>
  </si>
  <si>
    <t>Сопровождение проектной документации в МВК, ОГПН МЧС, ФГУЗ «ЦГиЭ», КГИОП и прочих при необходимости. Ввод объекта в эксплуатацию в КГИОП И МВК</t>
  </si>
  <si>
    <t>РАБ.Р2.1.001</t>
  </si>
  <si>
    <t>Р2</t>
  </si>
  <si>
    <t>Демонтаж подвесных потолков типа "Армстронг"</t>
  </si>
  <si>
    <t>РАБ.Р2.1.002</t>
  </si>
  <si>
    <t>Демонтаж подвесных потолков "Армстронг" с сохранением</t>
  </si>
  <si>
    <t>РАБ.Р2.1.003</t>
  </si>
  <si>
    <t>Демонтаж одноуровневых потолков из ГКЛ</t>
  </si>
  <si>
    <t>РАБ.Р2.1.004</t>
  </si>
  <si>
    <t>Демонтаж двухуровневых потолков из ГКЛ</t>
  </si>
  <si>
    <t>РАБ.Р2.1.005</t>
  </si>
  <si>
    <t>Демонтаж реечного потолка</t>
  </si>
  <si>
    <t>РАБ.Р2.1.006</t>
  </si>
  <si>
    <t>Демонтаж плитки потолочной из экструдированного полистирола.</t>
  </si>
  <si>
    <t>РАБ.Р2.1.007</t>
  </si>
  <si>
    <t>Демонтаж потолков из ПВХ вагонки</t>
  </si>
  <si>
    <t>РАБ.Р2.1.008</t>
  </si>
  <si>
    <t>Демонтаж утеплителя потолков из минераловатных плит</t>
  </si>
  <si>
    <t>м3</t>
  </si>
  <si>
    <t>РАБ.Р2.1.009</t>
  </si>
  <si>
    <t>Демонтаж потолочного плинтуса, карниза, элементов декора.</t>
  </si>
  <si>
    <t>м.п.</t>
  </si>
  <si>
    <t>РАБ.Р2.1.010</t>
  </si>
  <si>
    <t>Демонтаж потолочного плинтуса, карниза, элементов декора с сохранением.</t>
  </si>
  <si>
    <t>РАБ.Р2.1.011</t>
  </si>
  <si>
    <t>Демонтаж натяжных потолков</t>
  </si>
  <si>
    <t>РАБ.Р2.1.012</t>
  </si>
  <si>
    <t>Демонтаж щтукатурки потолка толщиной до 50 мм.</t>
  </si>
  <si>
    <t>РАБ.Р2.2.001</t>
  </si>
  <si>
    <t>2</t>
  </si>
  <si>
    <t>Демонтаж цементно-песчаной стяжки толщиной до 50 мм</t>
  </si>
  <si>
    <t>РАБ.Р2.2.002</t>
  </si>
  <si>
    <t>Демонтаж цементно-песчаной стяжки толщиной до 100 мм</t>
  </si>
  <si>
    <t>РАБ.Р2.2.003</t>
  </si>
  <si>
    <t>Демонтаж цементно-песчаной стяжки армированной толщиной до 50 мм</t>
  </si>
  <si>
    <t>РАБ.Р2.2.004</t>
  </si>
  <si>
    <t>Демонтаж цементно-песчаной стяжки армированной толщиной до 100 мм</t>
  </si>
  <si>
    <t>РАБ.Р2.2.005</t>
  </si>
  <si>
    <t>Демонтаж полов из гранитных и мраморных плит толщиной 30 мм</t>
  </si>
  <si>
    <t>РАБ.Р2.2.006</t>
  </si>
  <si>
    <t>Демонтаж покрытия полов из керамогранита и кераимческих плиток</t>
  </si>
  <si>
    <t>РАБ.Р2.2.007</t>
  </si>
  <si>
    <t>Расшивка швов поверхности пола из плитки керамической</t>
  </si>
  <si>
    <t>РАБ.Р2.2.008</t>
  </si>
  <si>
    <t>Демонтаж покрытия полов: из линолеума, ковролина</t>
  </si>
  <si>
    <t>РАБ.Р2.2.009</t>
  </si>
  <si>
    <t>Демонтаж покрытия полов: из паркетной доски (ламината)</t>
  </si>
  <si>
    <t>РАБ.Р2.2.010</t>
  </si>
  <si>
    <t>Демонтаж фальшпола</t>
  </si>
  <si>
    <t>РАБ.Р2.2.011</t>
  </si>
  <si>
    <t>Демонтаж деревянных полов на деревянных лагах</t>
  </si>
  <si>
    <t>РАБ.Р2.2.012</t>
  </si>
  <si>
    <t>Демонтаж плинтусов: из керамической плитки</t>
  </si>
  <si>
    <t>РАБ.Р2.2.013</t>
  </si>
  <si>
    <t>Демонтаж плинтусов: деревянных, пвх</t>
  </si>
  <si>
    <t>РАБ.Р2.2.014</t>
  </si>
  <si>
    <t>Демонтаж ЖБ плит перекрытия.</t>
  </si>
  <si>
    <t>РАБ.Р2.2.015</t>
  </si>
  <si>
    <t>Демонтаж деревянных балок перекрытия</t>
  </si>
  <si>
    <t>РАБ.Р2.2.016</t>
  </si>
  <si>
    <t>Демонтаж плиточного клея</t>
  </si>
  <si>
    <t>РАБ.Р2.3.001</t>
  </si>
  <si>
    <t>3</t>
  </si>
  <si>
    <t>Демонтаж кирпичных перегородок (в 1/2 кирпича)</t>
  </si>
  <si>
    <t>РАБ.Р2.3.002</t>
  </si>
  <si>
    <t>Демонтаж кирпичных перегородок (в 1/2 кирпича) с армированием ( d16 яч. 150Х150)</t>
  </si>
  <si>
    <t>РАБ.Р2.3.003</t>
  </si>
  <si>
    <t>Демонтаж кирпичных стен</t>
  </si>
  <si>
    <t>РАБ.Р2.3.004</t>
  </si>
  <si>
    <t>Демонтаж стен из пенобетонных блоков</t>
  </si>
  <si>
    <t>РАБ.Р2.3.005</t>
  </si>
  <si>
    <t>Демонтаж утеплителя стен из минераловатных плит</t>
  </si>
  <si>
    <t>РАБ.Р2.3.006</t>
  </si>
  <si>
    <t>Демонтаж утеплителя стен из пенополистирола</t>
  </si>
  <si>
    <t>РАБ.Р2.3.007</t>
  </si>
  <si>
    <t>Демонтаж облицовки стен листами ГКЛ по металлическому каркасу</t>
  </si>
  <si>
    <t>РАБ.Р2.3.008</t>
  </si>
  <si>
    <t>Демонтаж облицовки стен из МДФ панелей</t>
  </si>
  <si>
    <t>РАБ.Р2.3.009</t>
  </si>
  <si>
    <t>Демонтаж каркасных деревянных перегородок с облицовкой панелями МДФ</t>
  </si>
  <si>
    <t>РАБ.Р2.3.010</t>
  </si>
  <si>
    <t>Демонтаж перегородок по металлическому каркасу с облицовкой панелями МДФ</t>
  </si>
  <si>
    <t>РАБ.Р2.3.011</t>
  </si>
  <si>
    <t>Отбивка штукатурки стен толщиной до 30 мм</t>
  </si>
  <si>
    <t>РАБ.Р2.3.012</t>
  </si>
  <si>
    <t>Снятие обоев</t>
  </si>
  <si>
    <t>РАБ.Р2.3.013</t>
  </si>
  <si>
    <t>Демонтаж облицовки стен из плитки керамической, мрамора.</t>
  </si>
  <si>
    <t>РАБ.Р2.3.014</t>
  </si>
  <si>
    <t>Демонтаж стеклянных перегородок</t>
  </si>
  <si>
    <t>РАБ.Р2.3.015</t>
  </si>
  <si>
    <t>Демонтаж бронепанелей</t>
  </si>
  <si>
    <t>РАБ.Р2.3.016</t>
  </si>
  <si>
    <t>Демонтаж обшивки стен мебельными панелями</t>
  </si>
  <si>
    <t>РАБ.Р2.3.017</t>
  </si>
  <si>
    <t>Разборка перегородок из ГКЛ по металлическому каркасу</t>
  </si>
  <si>
    <t>РАБ.Р2.4.001</t>
  </si>
  <si>
    <t>4</t>
  </si>
  <si>
    <t>Демонтаж дверных блоков деревянных (межкомнатные)</t>
  </si>
  <si>
    <t>РАБ.Р2.4.002</t>
  </si>
  <si>
    <t>Демонтаж дверных блоков из ПВХ профиля</t>
  </si>
  <si>
    <t>РАБ.Р2.4.003</t>
  </si>
  <si>
    <t>Демонтаж дверных блоков металлических</t>
  </si>
  <si>
    <t>РАБ.Р2.4.004</t>
  </si>
  <si>
    <t>Демонтаж дверных блоков (стеклопакет в алюминиевой обвязке)</t>
  </si>
  <si>
    <t>РАБ.Р2.4.005</t>
  </si>
  <si>
    <t>Демонтаж дверных блоков бронированных</t>
  </si>
  <si>
    <t>РАБ.Р2.4.006</t>
  </si>
  <si>
    <t>Демонтаж решетчатой двери (распашные, гармошка).</t>
  </si>
  <si>
    <t>РАБ.Р2.4.007</t>
  </si>
  <si>
    <t>Демонтаж дверей гаражных</t>
  </si>
  <si>
    <t>РАБ.Р2.4.008</t>
  </si>
  <si>
    <t>Демонтаж рольставни</t>
  </si>
  <si>
    <t>РАБ.Р2.5.001</t>
  </si>
  <si>
    <t>5</t>
  </si>
  <si>
    <t>Демонтаж деревянных оконных блоков</t>
  </si>
  <si>
    <t>РАБ.Р2.5.002</t>
  </si>
  <si>
    <t>Демонтаж бронеокон</t>
  </si>
  <si>
    <t>РАБ.Р2.5.003</t>
  </si>
  <si>
    <t>Демонтаж подоконных досок деревянных</t>
  </si>
  <si>
    <t>РАБ.Р2.5.004</t>
  </si>
  <si>
    <t>Демонтаж подоконных досок бетонных</t>
  </si>
  <si>
    <t>РАБ.Р2.5.005</t>
  </si>
  <si>
    <t>Демонтаж отливов из оцинкованной стали</t>
  </si>
  <si>
    <t>РАБ.Р2.5.006</t>
  </si>
  <si>
    <t>Демонтаж откосов ПВХ</t>
  </si>
  <si>
    <t>РАБ.Р2.6.001</t>
  </si>
  <si>
    <t>6</t>
  </si>
  <si>
    <t>Демонтаж рулонной кровли из оклеечных изоляционных материалов в два слоя</t>
  </si>
  <si>
    <t>РАБ.Р2.6.002</t>
  </si>
  <si>
    <t>Демонтаж покрытия кровли из профлиста, металлочерепицы, андулина, металла.</t>
  </si>
  <si>
    <t>РАБ.Р2.6.003</t>
  </si>
  <si>
    <t>Демонтаж стропильной части кровли включая обрешетку</t>
  </si>
  <si>
    <t>РАБ.Р2.6.004</t>
  </si>
  <si>
    <t>Демонтаж утеплителя кровли</t>
  </si>
  <si>
    <t>РАБ.Р2.6.005</t>
  </si>
  <si>
    <t>Демонтаж отливов, водостоков.</t>
  </si>
  <si>
    <t>РАБ.Р2.7.001</t>
  </si>
  <si>
    <t>7</t>
  </si>
  <si>
    <t>Разборка тротуарной плитки</t>
  </si>
  <si>
    <t>РАБ.Р2.7.002</t>
  </si>
  <si>
    <t>Разборка асфальтового покрытия</t>
  </si>
  <si>
    <t>РАБ.Р2.7.003</t>
  </si>
  <si>
    <t>Разборка бетонированного покрытия</t>
  </si>
  <si>
    <t>РАБ.Р2.7.004</t>
  </si>
  <si>
    <t>Выемка грунта</t>
  </si>
  <si>
    <t>РАБ.Р2.7.005</t>
  </si>
  <si>
    <t>Демонтаж бордюрного, тротуарного,дорожного камня.</t>
  </si>
  <si>
    <t>РАБ.Р2.7.006</t>
  </si>
  <si>
    <t>Демонтаж перил ограждения</t>
  </si>
  <si>
    <t>РАБ.Р2.7.007</t>
  </si>
  <si>
    <t>Демонтаж козырьков</t>
  </si>
  <si>
    <t>РАБ.Р2.7.008</t>
  </si>
  <si>
    <t>Демонтаж облицовки цоколя, фасада (плитка керамическая, камень натуральный)</t>
  </si>
  <si>
    <t>РАБ.Р2.7.009</t>
  </si>
  <si>
    <t>Демонтаж штукатурки фасада</t>
  </si>
  <si>
    <t>РАБ.Р2.7.010</t>
  </si>
  <si>
    <t>Расшивка швов поверхности фасада</t>
  </si>
  <si>
    <t>РАБ.Р2.7.011</t>
  </si>
  <si>
    <t>Демонтаж фасада из композитных панелей "Алюкобонд" с подсистемой, навесных фасадов (металл, керамогранит)</t>
  </si>
  <si>
    <t>РАБ.Р2.7.012</t>
  </si>
  <si>
    <t>Демонтаж информационной, рекламной конструкции на фасаде здания</t>
  </si>
  <si>
    <t>РАБ.Р2.7.013</t>
  </si>
  <si>
    <t>Демонтаж ограждающих конструкций из профлиста</t>
  </si>
  <si>
    <t>РАБ.Р2.7.014</t>
  </si>
  <si>
    <t>Демонтаж сварных металлических конструкций</t>
  </si>
  <si>
    <t>тн.</t>
  </si>
  <si>
    <t>РАБ.Р2.8.001</t>
  </si>
  <si>
    <t>8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</si>
  <si>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</si>
  <si>
    <t>РАБ.Р2.8.002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</si>
  <si>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</si>
  <si>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РАБ.Р2.8.003</t>
  </si>
  <si>
    <t>Демонтаж выключателей, розеток</t>
  </si>
  <si>
    <t>РАБ.Р2.8.004</t>
  </si>
  <si>
    <t>Демонтаж светильников</t>
  </si>
  <si>
    <t>РАБ.Р2.8.005</t>
  </si>
  <si>
    <t>Демонтаж электрощитов распределительных</t>
  </si>
  <si>
    <t>РАБ.Р2.8.006</t>
  </si>
  <si>
    <t>Демонтаж щитов ВРУ</t>
  </si>
  <si>
    <t>РАБ.Р2.8.007</t>
  </si>
  <si>
    <t>Демонтаж вводных кабелей высоковольтных</t>
  </si>
  <si>
    <t>РАБ.Р2.8.008</t>
  </si>
  <si>
    <t>Демонтаж светильников с сохранением</t>
  </si>
  <si>
    <t>РАБ.Р2.8.009</t>
  </si>
  <si>
    <t>Демонтаж кабель канала</t>
  </si>
  <si>
    <t>РАБ.Р2.9.001</t>
  </si>
  <si>
    <t>9</t>
  </si>
  <si>
    <t>Демонтаж воздуховодов системы вентиляциии и охлаждения воздуха</t>
  </si>
  <si>
    <t>РАБ.Р2.9.002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</si>
  <si>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</si>
  <si>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РАБ.Р2.9.003</t>
  </si>
  <si>
    <t>Демонтаж кондиционера (сплит система, внешний и внутренний блоки) с сохранением</t>
  </si>
  <si>
    <t>РАБ.Р2.9.004</t>
  </si>
  <si>
    <t>Демонтаж вент машин</t>
  </si>
  <si>
    <t>РАБ.Р2.9.005</t>
  </si>
  <si>
    <t>Демонтаж вент машин с сохранением</t>
  </si>
  <si>
    <t>РАБ.Р2.10.001</t>
  </si>
  <si>
    <t>10</t>
  </si>
  <si>
    <t>Демонтаж унитаза</t>
  </si>
  <si>
    <t>РАБ.Р2.10.002</t>
  </si>
  <si>
    <t>Демонтаж раковины</t>
  </si>
  <si>
    <t>РАБ.Р2.10.003</t>
  </si>
  <si>
    <t>Демонтаж смесителя</t>
  </si>
  <si>
    <t>РАБ.Р2.10.004</t>
  </si>
  <si>
    <t>Демонтаж ванн, душевых кабин.</t>
  </si>
  <si>
    <t>РАБ.Р2.10.005</t>
  </si>
  <si>
    <t>Демонтаж радиаторов отопления с запорной арматурой</t>
  </si>
  <si>
    <t>РАБ.Р2.10.006</t>
  </si>
  <si>
    <t>Демонтаж труб системы отопления</t>
  </si>
  <si>
    <t>РАБ.Р2.10.007</t>
  </si>
  <si>
    <t>Демонтаж труб водоснабжения и канализации диаметром до 50 мм</t>
  </si>
  <si>
    <t>РАБ.Р2.10.008</t>
  </si>
  <si>
    <t>Демонтаж труб канализации и водоснабжения диаметром до 110 мм</t>
  </si>
  <si>
    <t>РАБ.Р2.10.009</t>
  </si>
  <si>
    <t>Демонтаж запорной арматуры белее 50 мм</t>
  </si>
  <si>
    <t>РАБ.Р2.10.010</t>
  </si>
  <si>
    <t>Демонтаж запорной арматуры диаметром до 50 мм</t>
  </si>
  <si>
    <t>РАБ.Р2.10.011</t>
  </si>
  <si>
    <t>Демонтаж циркуляционных насосов</t>
  </si>
  <si>
    <t>РАБ.Р2.10.012</t>
  </si>
  <si>
    <t>Демонтаж регистров отопления</t>
  </si>
  <si>
    <t>РАБ.Р2.10.013</t>
  </si>
  <si>
    <t>Демонтаж панельного радиатора</t>
  </si>
  <si>
    <t>РАБ.Р2.11.001</t>
  </si>
  <si>
    <t>11</t>
  </si>
  <si>
    <t>Вывоз мусора (бункер 5т - 8м3)</t>
  </si>
  <si>
    <t>РАБ.Р2.11.002</t>
  </si>
  <si>
    <t>Вывоз мусора (бункер 27 м3)</t>
  </si>
  <si>
    <t>РАБ.Р2.11.003</t>
  </si>
  <si>
    <t>Вывоз мусора (бункер 24 м3)</t>
  </si>
  <si>
    <t>РАБ.Р2.11.004</t>
  </si>
  <si>
    <t>Вывоз мусора (бункер 20 м3)</t>
  </si>
  <si>
    <t>РАБ.Р2.11.005</t>
  </si>
  <si>
    <t>Перемещение вручную строительных материалов, мусора на расстоянии свыше 50 м от объекта</t>
  </si>
  <si>
    <t>РАБ.Р2.11.006</t>
  </si>
  <si>
    <t>Уборка послестроительная</t>
  </si>
  <si>
    <t>РАБ.Р2.11.007</t>
  </si>
  <si>
    <t>Поддерживающая уборка в течении недели перед открытием</t>
  </si>
  <si>
    <t>РАБ.Р2.11.008</t>
  </si>
  <si>
    <t>Клининговая уборка перед открытием (включая ночные работы).</t>
  </si>
  <si>
    <t>РАБ.Р2.12.001</t>
  </si>
  <si>
    <t>12</t>
  </si>
  <si>
    <t>Демонтаж мебельных конструкций</t>
  </si>
  <si>
    <t>РАБ.Р2.12.002</t>
  </si>
  <si>
    <t>Демонтаж шлюза инкосаторского</t>
  </si>
  <si>
    <t>РАБ.Р2.12.003</t>
  </si>
  <si>
    <t>Удаление старого огнезащитного покрытия</t>
  </si>
  <si>
    <t>РАБ.Р2.12.004</t>
  </si>
  <si>
    <t>Демонтаж жалюзей</t>
  </si>
  <si>
    <t>РАБ.Р2.12.005</t>
  </si>
  <si>
    <t>Демонтаж металлоконструкций</t>
  </si>
  <si>
    <t>РАБ.Р2.12.006</t>
  </si>
  <si>
    <t>Демонтаж наборных ступеней ЛС 90 с выломкой четвертей</t>
  </si>
  <si>
    <t>РАБ.Р2.12.007</t>
  </si>
  <si>
    <t>Демонтаж лифта включая Двери, двигатели, тросы, уловители,ограничители.</t>
  </si>
  <si>
    <t>РАБ.Р2.12.008</t>
  </si>
  <si>
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</si>
  <si>
    <t>РАБ.Р2.13.001</t>
  </si>
  <si>
    <t>13</t>
  </si>
  <si>
    <t>Демонтажные работы до состояния shell-and-core</t>
  </si>
  <si>
    <t>РАБ.Р3.1.001</t>
  </si>
  <si>
    <t>Р3</t>
  </si>
  <si>
    <t>Кладка перегородок толщиной в 1/2 кирпича</t>
  </si>
  <si>
    <t>КЛАДКА</t>
  </si>
  <si>
    <t>РАБ.Р3.1.002</t>
  </si>
  <si>
    <t>Кладка перегородок армированных толщиной в 1 кирпич</t>
  </si>
  <si>
    <t>РАБ.Р3.1.003</t>
  </si>
  <si>
    <t>Кладка перегородок из пеноблоков (600*300*200)</t>
  </si>
  <si>
    <t>РАБ.Р3.1.004</t>
  </si>
  <si>
    <t>Заделка проемов в кирпичных стенах</t>
  </si>
  <si>
    <t>РАБ.Р3.1.005</t>
  </si>
  <si>
    <t>Усиление проемов металлическим профилем из уголка 50*3</t>
  </si>
  <si>
    <t>РАБ.Р3.1.006</t>
  </si>
  <si>
    <t>Усиление проемов металлическим профилем из уголка 100*100*10</t>
  </si>
  <si>
    <t>РАБ.Р3.1.007</t>
  </si>
  <si>
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</si>
  <si>
    <t>ГКЛ</t>
  </si>
  <si>
    <t>РАБ.Р3.1.008</t>
  </si>
  <si>
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</si>
  <si>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РАБ.Р3.1.009</t>
  </si>
  <si>
    <t>Устройство перегородки / облицовки из ГКЛ</t>
  </si>
  <si>
    <t>РАБ.Р3.1.010</t>
  </si>
  <si>
    <t>РАБ.Р3.1.011</t>
  </si>
  <si>
    <t>Облицовка стен гипсокартонными листами (ГКЛ) "Кнауф" в один слой на клее (включая перфорированные уголки на внешние углы)</t>
  </si>
  <si>
    <t>РАБ.Р3.1.012</t>
  </si>
  <si>
    <t>Устройство оконных откосов из ГКЛВ толщ. 12 мм.</t>
  </si>
  <si>
    <t>РАБ.Р3.1.013</t>
  </si>
  <si>
    <t>Тепло- и звукоизоляция стен из минеральных материалов</t>
  </si>
  <si>
    <t>ИЗОЛ</t>
  </si>
  <si>
    <t>РАБ.Р3.1.014</t>
  </si>
  <si>
    <t>Штукатурка стен</t>
  </si>
  <si>
    <t>РАБ.Р3.1.015</t>
  </si>
  <si>
    <t>Устройство штроб в кирпичных стенах</t>
  </si>
  <si>
    <t>РАБ.Р3.1.016</t>
  </si>
  <si>
    <t>Устройство штроб в конструкциях газосиликатных, керамзитобетонных, шлакобетонных, пенобетонных.</t>
  </si>
  <si>
    <t>РАБ.Р3.1.017</t>
  </si>
  <si>
    <t>Пробивка отверстий в кирпичных стенах фасада, внутренних перегородках под прокладку труб ОВиК, электролотков,</t>
  </si>
  <si>
    <t>РАБ.Р3.1.018</t>
  </si>
  <si>
    <t>Пробивка отверстий в бетоных стенах фасада, внутренних перегородках под прокладку труб ОВиК, электролотков.</t>
  </si>
  <si>
    <t>РАБ.Р3.1.019</t>
  </si>
  <si>
    <t>Запенивание противопожарной пеной тех. отверстий прохода транзитных коммуникаций</t>
  </si>
  <si>
    <t>РАБ.Р3.1.020</t>
  </si>
  <si>
    <t>Пробивка проемов в стенах из пенобетонных блоков</t>
  </si>
  <si>
    <t>РАБ.Р3.1.021</t>
  </si>
  <si>
    <t>Пробивка проемов в стенах из кирпича</t>
  </si>
  <si>
    <t>РАБ.Р3.1.022</t>
  </si>
  <si>
    <t>Алмазное сверление отверстий в стенах Ø50-100 мм</t>
  </si>
  <si>
    <t>см.</t>
  </si>
  <si>
    <t>РАБ.Р3.1.023</t>
  </si>
  <si>
    <t>Алмазное сверление отверстий в стенах Ø101-200 мм</t>
  </si>
  <si>
    <t>РАБ.Р3.1.024</t>
  </si>
  <si>
    <t>Алмазное сверление отверстий в стенах Ø201-300 мм</t>
  </si>
  <si>
    <t>РАБ.Р3.1.025</t>
  </si>
  <si>
    <t>Алмазное сверление отверстий в стенах Ø301-400 мм</t>
  </si>
  <si>
    <t>РАБ.Р3.1.026</t>
  </si>
  <si>
    <t>Монтаж закладных из фанеры 12мм под шкафы обработанная составом "NEOMID 450-1".</t>
  </si>
  <si>
    <t>РАБ.Р3.1.027</t>
  </si>
  <si>
    <t>Устройство ниши ГКЛ по м/к под монтаж приборов отопления</t>
  </si>
  <si>
    <t>РАБ.Р3.1.028</t>
  </si>
  <si>
    <t>Устройство пароизоляции из полиэтиленовой пленки до 100 мкр.</t>
  </si>
  <si>
    <t>РАБ.Р3.1.029</t>
  </si>
  <si>
    <t>Усиление проемов деревянным антисептированным бруском 50*50</t>
  </si>
  <si>
    <t>РАБ.Р3.1.030</t>
  </si>
  <si>
    <t>Люк скрытый нажимной 300*300</t>
  </si>
  <si>
    <t>РАБ.Р3.1.031</t>
  </si>
  <si>
    <t>Люк скрытый нажимной 400*600</t>
  </si>
  <si>
    <t>РАБ.Р3.1.032</t>
  </si>
  <si>
    <t>Люк скрытый нажимной 500*600</t>
  </si>
  <si>
    <t>РАБ.Р3.1.033</t>
  </si>
  <si>
    <t>Люк скрытый нажимной 600*600</t>
  </si>
  <si>
    <t>РАБ.Р3.1.034</t>
  </si>
  <si>
    <t>Устройство коробов из ГКЛ до 600 мм шириной (для обшивки ригелей, балок колонн и т.д.)</t>
  </si>
  <si>
    <t>РАБ.Р3.2.001</t>
  </si>
  <si>
    <t>Монтаж стеклянных бескаркасных перегородок , стекло 10 мм, закаленное с фурнитурой цвета матовая нержавеющая сталь</t>
  </si>
  <si>
    <t>РАБ.Р3.2.002</t>
  </si>
  <si>
    <t>Устройство стеклянной перегородки в алюминиевом профиле по RAL. Стекло закаленное 6 мм.</t>
  </si>
  <si>
    <t>ПЕРЕГ.СТ</t>
  </si>
  <si>
    <t>РАБ.Р3.2.003</t>
  </si>
  <si>
    <t>Устройство стеклянной перегородки в пластиковом профиле. Стекло закаленное 6 мм.</t>
  </si>
  <si>
    <t>РАБ.Р3.2.004</t>
  </si>
  <si>
    <t>Оклейка стеклянных перегородок декоративной пленкой (перфорированной) с фоторисунком</t>
  </si>
  <si>
    <t>РАБ.Р3.2.005</t>
  </si>
  <si>
    <t>Монтаж стеклянной перегородки</t>
  </si>
  <si>
    <t>РАБ.Р3.2.006</t>
  </si>
  <si>
    <t>Устройство фальшпола</t>
  </si>
  <si>
    <t>ФАЛЬШПОЛ</t>
  </si>
  <si>
    <t>РАБ.Р3.2.007</t>
  </si>
  <si>
    <t>Замок для трансформируемой перегородки типа «Т-009 PSS»</t>
  </si>
  <si>
    <t>ПЕРЕГ.ТР</t>
  </si>
  <si>
    <t>РАБ.Р3.2.008</t>
  </si>
  <si>
    <t>Цилиндр с заверткой для нижнего замка</t>
  </si>
  <si>
    <t>РАБ.Р3.3.001</t>
  </si>
  <si>
    <t>Обработка стен, поврежденных грибком антисептическим раствором за 2 раза</t>
  </si>
  <si>
    <t>РАБ.Р3.3.002</t>
  </si>
  <si>
    <t>Шпатлевка швов, саморезов и примыканий стен и перегородок из ГКЛ</t>
  </si>
  <si>
    <t>РАБ.Р3.3.003</t>
  </si>
  <si>
    <t>Шпатлевка стен</t>
  </si>
  <si>
    <t>РАБ.Р3.3.004</t>
  </si>
  <si>
    <t>Шпатлевка стен по стеклохолсту</t>
  </si>
  <si>
    <t>РАБ.Р3.3.005</t>
  </si>
  <si>
    <t>Сплошное выравние стен составами "Ветонит" толщиной до 10 мм</t>
  </si>
  <si>
    <t>РАБ.Р3.3.006</t>
  </si>
  <si>
    <t>Грунтовка поверхности стен и перегородок за 2 раза</t>
  </si>
  <si>
    <t>РАБ.Р3.3.007</t>
  </si>
  <si>
    <t>Окраска стен за 2 раза краской Tikkurila EURO 7 (колерованная)</t>
  </si>
  <si>
    <t>КРАСКА</t>
  </si>
  <si>
    <t>РАБ.Р3.3.008</t>
  </si>
  <si>
    <t>Оклейка стен стеклообоями типа "Паутинка" (нефактурными)</t>
  </si>
  <si>
    <t>ОБОИ</t>
  </si>
  <si>
    <t>РАБ.Р3.3.009</t>
  </si>
  <si>
    <t>Ремонт штукатурки стен с расшивкой швов, отдельными местами до 1 м.кв.</t>
  </si>
  <si>
    <t>РАБ.Р3.3.010</t>
  </si>
  <si>
    <t>Облицовка стен керамической плиткой с затиркой швов.</t>
  </si>
  <si>
    <t>СТЕН.ПЛ</t>
  </si>
  <si>
    <t>РАБ.Р3.3.011</t>
  </si>
  <si>
    <t>Облицовка стен керамической плиткой</t>
  </si>
  <si>
    <t>РАБ.Р3.3.012</t>
  </si>
  <si>
    <t>Бордюр 500*15 "Szklana T40" коллекциии "Oxford" " Ctramica Konskie" с затиркой швов.</t>
  </si>
  <si>
    <t>РАБ.Р3.3.013</t>
  </si>
  <si>
    <t>Установка пластиковых уголков на наружные углы колонн и стен</t>
  </si>
  <si>
    <t>РАБ.Р3.3.014</t>
  </si>
  <si>
    <t>Штукатурка поверхности</t>
  </si>
  <si>
    <t>РАБ.Р3.3.015</t>
  </si>
  <si>
    <t>Оклейка стен стеклообоями типа "Рогожка"</t>
  </si>
  <si>
    <t>РАБ.Р3.3.016</t>
  </si>
  <si>
    <t>Декоративные крашенные МДФ ПАНЕЛИ 20ММ, ЦВЕТ RAL 7040, Швы - черный, П-образный профиль 10мм</t>
  </si>
  <si>
    <t>РАБ.Р3.3.017</t>
  </si>
  <si>
    <t>Аккустическая панель из Войлока, максимальные размери 1200X2400см, клеиться на стену</t>
  </si>
  <si>
    <t>РАБ.Р3.3.018</t>
  </si>
  <si>
    <t>Оклейка обоями / стеклохолстом</t>
  </si>
  <si>
    <t>РАБ.Р3.3.019</t>
  </si>
  <si>
    <t>Оклейка поверхностей стен и перегородок Обои Голландские обои Eijffinger, коллекция Ibiza, артикул 330203</t>
  </si>
  <si>
    <t>РАБ.Р3.3.020</t>
  </si>
  <si>
    <t>Оклейка поверхностей стен и перегородок бумажными обоями (рисунок обоев выполняется "на заказ")</t>
  </si>
  <si>
    <t>РАБ.Р3.4.001</t>
  </si>
  <si>
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</si>
  <si>
    <t>ДВ.АЛ</t>
  </si>
  <si>
    <t>РАБ.Р3.4.002</t>
  </si>
  <si>
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</si>
  <si>
    <t>РАБ.Р3.4.003</t>
  </si>
  <si>
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</si>
  <si>
    <t>РАБ.Р3.4.004</t>
  </si>
  <si>
    <t>Монтаж дверного блока / дверных приборов</t>
  </si>
  <si>
    <t>ДВ</t>
  </si>
  <si>
    <t>РАБ.Р3.4.005</t>
  </si>
  <si>
    <t>РАБ.Р3.4.006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</si>
  <si>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</si>
  <si>
    <t>РАБ.Р3.4.007</t>
  </si>
  <si>
    <t>Доводчик на рабочую створку NOTEDO DC-025-095 (со скользящим каналом). Доводчик на паразитную створку NOTEDO DC-070 (паук)</t>
  </si>
  <si>
    <t>РАБ.Р3.4.008</t>
  </si>
  <si>
    <t>Установка металлической двери-решетчатой гармошки с замком 900х2100 мм (запасной выход)</t>
  </si>
  <si>
    <t>ДВ.БР</t>
  </si>
  <si>
    <t>РАБ.Р3.4.009</t>
  </si>
  <si>
    <t>Монтаж дверного блока стеклянного</t>
  </si>
  <si>
    <t>ДВ.СТ</t>
  </si>
  <si>
    <t>РАБ.Р3.4.010</t>
  </si>
  <si>
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</si>
  <si>
    <t>РАБ.Р3.4.011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</si>
  <si>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</si>
  <si>
    <t>РАБ.Р3.4.012</t>
  </si>
  <si>
    <t>Монтаж дверного блока противопожарного</t>
  </si>
  <si>
    <t>ДВ.ПП</t>
  </si>
  <si>
    <t>РАБ.Р3.4.013</t>
  </si>
  <si>
    <t>РАБ.Р3.4.014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</si>
  <si>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</si>
  <si>
    <t>РАБ.Р3.4.015</t>
  </si>
  <si>
    <t>Комплект антипаника Doorlock на активную створку DL PD800FR-BAR (или аналог по согласованию заказчика)</t>
  </si>
  <si>
    <t>РАБ.Р3.4.016</t>
  </si>
  <si>
    <t>Монтаж дверного блока деревянного</t>
  </si>
  <si>
    <t>ДВ.ДЕР</t>
  </si>
  <si>
    <t>РАБ.Р3.4.017</t>
  </si>
  <si>
    <t>Установка стопора дверного Standers, 3.5х3.2 см, нержавеющая сталь</t>
  </si>
  <si>
    <t>РАБ.Р3.4.018</t>
  </si>
  <si>
    <t>Монтаж оконного блока / светопрозрачной конструкции</t>
  </si>
  <si>
    <t>ОКНО</t>
  </si>
  <si>
    <t>РАБ.Р3.4.019</t>
  </si>
  <si>
    <t>Окраска поверхности</t>
  </si>
  <si>
    <t>РАБ.Р3.4.020</t>
  </si>
  <si>
    <t>Установка рулонных штор</t>
  </si>
  <si>
    <t>ЖАЛЮЗИ</t>
  </si>
  <si>
    <t>РАБ.Р3.4.021</t>
  </si>
  <si>
    <t>Установка жалюзи вертикальных серии Line</t>
  </si>
  <si>
    <t>РАБ.Р3.4.022</t>
  </si>
  <si>
    <t>Установка подоконной доски</t>
  </si>
  <si>
    <t>ПОДОК</t>
  </si>
  <si>
    <t>РАБ.Р3.4.023</t>
  </si>
  <si>
    <t>Установка оконных отливов с окраской по RAL</t>
  </si>
  <si>
    <t>РАБ.Р3.4.024</t>
  </si>
  <si>
    <t>Оклейка окон, стеклянных поверхностей дверных полотен пленкой класса защиты А3</t>
  </si>
  <si>
    <t>ПЛЁНКА</t>
  </si>
  <si>
    <t>РАБ.Р3.4.025</t>
  </si>
  <si>
    <t>Оклейка окон, стеклянных поверхностей дверных полотен пленкой класса защиты А1</t>
  </si>
  <si>
    <t>РАБ.Р3.4.026</t>
  </si>
  <si>
    <t>РАБ.Р3.4.027</t>
  </si>
  <si>
    <t>Механизм открывания фрамуги естественного проветривания (дистанционный, ручной)</t>
  </si>
  <si>
    <t>РАБ.Р3.5.001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</si>
  <si>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</si>
  <si>
    <t>ПОТОЛОК</t>
  </si>
  <si>
    <t>РАБ.Р3.5.002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</si>
  <si>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</si>
  <si>
    <t>РАБ.Р3.5.003</t>
  </si>
  <si>
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</si>
  <si>
    <t>РАБ.Р3.5.004</t>
  </si>
  <si>
    <t>Замена потолочных плит OWA «Sinfonia»</t>
  </si>
  <si>
    <t>РАБ.Р3.5.005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</si>
  <si>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</si>
  <si>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РАБ.Р3.5.006</t>
  </si>
  <si>
    <t>Устройство подвесного потолка</t>
  </si>
  <si>
    <t>РАБ.Р3.5.007</t>
  </si>
  <si>
    <t>РАБ.Р3.5.008</t>
  </si>
  <si>
    <t>Реечный потолок, кубообразная рейка 30х70мм</t>
  </si>
  <si>
    <t>РАБ.Р3.5.009</t>
  </si>
  <si>
    <t>Маркерное белое стекло цвет: RAL 9010</t>
  </si>
  <si>
    <t>РАБ.Р3.5.010</t>
  </si>
  <si>
    <t>Облицовка деревяных потолков ГКЛО</t>
  </si>
  <si>
    <t>РАБ.Р3.5.011</t>
  </si>
  <si>
    <t>Штукатурка потолка цемено-песчаным раствором толщ. до 20 мм.</t>
  </si>
  <si>
    <t>РАБ.Р3.5.012</t>
  </si>
  <si>
    <t>Устройство тепло- и звукоизоляции перекрытия минеральной ватой с устройством пароизоляции</t>
  </si>
  <si>
    <t>РАБ.Р3.5.013</t>
  </si>
  <si>
    <t>Шпатлевка потолка</t>
  </si>
  <si>
    <t>РАБ.Р3.5.014</t>
  </si>
  <si>
    <t>Грунтовка потолка за два раза</t>
  </si>
  <si>
    <t>РАБ.Р3.5.015</t>
  </si>
  <si>
    <t>Оклейка потолков стеклообоями типа "Паутинка" (не фактурные)</t>
  </si>
  <si>
    <t>РАБ.Р3.5.016</t>
  </si>
  <si>
    <t>РАБ.Р3.5.017</t>
  </si>
  <si>
    <t>Потолочный акустический остров 1195*1530*40мм цвет: белый, форма под заказ (форма яйцо)в комплекте с подвесами</t>
  </si>
  <si>
    <t>РАБ.Р3.5.018</t>
  </si>
  <si>
    <t>Потолочный акустический остров цвет: белый, форма круг D=750мм, толщ. 40мм, в комплекте с подвесами</t>
  </si>
  <si>
    <t>РАБ.Р3.5.019</t>
  </si>
  <si>
    <t>Подготовка и обеспылевание потолка поверхности и коммуникаций под покраску . (воздуховоды, лотки эл. и т.д.)</t>
  </si>
  <si>
    <t>РАБ.Р3.5.020</t>
  </si>
  <si>
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</si>
  <si>
    <t>РАБ.Р3.5.021</t>
  </si>
  <si>
    <t>Устройство потолков реечных алюминиевых, крепление подвесов металлическим крепежным элементом.</t>
  </si>
  <si>
    <t>РАБ.Р3.5.022</t>
  </si>
  <si>
    <t>Замена потолочных плит Армстронг</t>
  </si>
  <si>
    <t>РАБ.Р3.5.023</t>
  </si>
  <si>
    <t>Запенивание швов между плитами</t>
  </si>
  <si>
    <t>РАБ.Р3.6.001</t>
  </si>
  <si>
    <t>Р3.6.1.0 Основание пола</t>
  </si>
  <si>
    <t>шт</t>
  </si>
  <si>
    <t>РАБ.Р3.6.002</t>
  </si>
  <si>
    <t>Устройство подсыпки пола из керамзита</t>
  </si>
  <si>
    <t>РАБ.Р3.6.003</t>
  </si>
  <si>
    <t>Устройство стяжек цементно-песчаных толщиной 20 мм (добавляется на каждые 20 мм стяжки)</t>
  </si>
  <si>
    <t>РАБ.Р3.6.004</t>
  </si>
  <si>
    <t>Устройство стяжек цементно-песчаных толщиной более 50 мм (добавляется на каждые 50 мм стяжки)</t>
  </si>
  <si>
    <t>РАБ.Р3.6.005</t>
  </si>
  <si>
    <t>Устройство самовыравнивающейся стяжки типа Vetonit (толщина 5 мм)</t>
  </si>
  <si>
    <t>РАБ.Р3.6.006</t>
  </si>
  <si>
    <t>Укладка дорожной металлической сетки 100х100 диаметром 4мм</t>
  </si>
  <si>
    <t>РАБ.Р3.6.007</t>
  </si>
  <si>
    <t>Грунтовка пола за два раза</t>
  </si>
  <si>
    <t>РАБ.Р3.6.008</t>
  </si>
  <si>
    <t>Обработка поверхности составом "Бетоноконтакт"</t>
  </si>
  <si>
    <t>РАБ.Р3.6.009</t>
  </si>
  <si>
    <t>Устройство горизонтальной обмазочной гидроизоляции с захлестом на стены на 15см</t>
  </si>
  <si>
    <t>РАБ.Р3.6.010</t>
  </si>
  <si>
    <t>Подготовка под устройство гидроизоляции (просушка, шлифовка адгезионная, локальный ремонт)</t>
  </si>
  <si>
    <t>РАБ.Р3.6.011</t>
  </si>
  <si>
    <t>Нанесение обмазочной гидроизоляции на пол в 2 слоя</t>
  </si>
  <si>
    <t>РАБ.Р3.6.012</t>
  </si>
  <si>
    <t>Нанесение обмазочной гидроизоляции на стены 3 слоя на высоту до 0,5 метров</t>
  </si>
  <si>
    <t>РАБ.Р3.6.013</t>
  </si>
  <si>
    <t>Укладка ПВХ плёнки 400 мкм</t>
  </si>
  <si>
    <t>РАБ.Р3.6.014</t>
  </si>
  <si>
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</si>
  <si>
    <t>РАБ.Р3.6.015</t>
  </si>
  <si>
    <t>Затирка бетоноотделочными машинами с внесением сухого упрочнителя 4 кг/м2</t>
  </si>
  <si>
    <t>ПОЛ.НАЛ</t>
  </si>
  <si>
    <t>РАБ.Р3.6.016</t>
  </si>
  <si>
    <t>Шлифовка поверхности пола, нанесение жидкого упрочнителя и полировка до степени от 50 до 1500 грит</t>
  </si>
  <si>
    <t>РАБ.Р3.6.017</t>
  </si>
  <si>
    <t>Нарезка швов и гермитизация шаг швов 3х3м</t>
  </si>
  <si>
    <t>РАБ.Р3.6.018</t>
  </si>
  <si>
    <t>Разметка стоянок под автомобили ( нанесение пластиковой разметки по праковочным местам с утройством колесоотбойников)</t>
  </si>
  <si>
    <t>РАБ.Р3.6.019</t>
  </si>
  <si>
    <t>Монтаж иньекционного пакера</t>
  </si>
  <si>
    <t>РАБ.Р3.6.020</t>
  </si>
  <si>
    <t>Монтаж гидропломбы</t>
  </si>
  <si>
    <t>РАБ.Р3.6.021</t>
  </si>
  <si>
    <t>Устройство каркаса из бруса 100*200</t>
  </si>
  <si>
    <t>РАБ.Р3.6.022</t>
  </si>
  <si>
    <t>Устройство лаг 75*75</t>
  </si>
  <si>
    <t>РАБ.Р3.6.023</t>
  </si>
  <si>
    <t>Устройство пола в кассу из фанеры 1500*1500*12</t>
  </si>
  <si>
    <t>РАБ.Р3.6.024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</si>
  <si>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</si>
  <si>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АРМ.УКР</t>
  </si>
  <si>
    <t>РАБ.Р3.6.025</t>
  </si>
  <si>
    <t>Р3.6.1.0 Покрытие пола</t>
  </si>
  <si>
    <t>РАБ.Р3.6.026</t>
  </si>
  <si>
    <t>Облицовка пола керамогранитом / плиткой</t>
  </si>
  <si>
    <t>ПОЛ.КГ</t>
  </si>
  <si>
    <t>РАБ.Р3.6.027</t>
  </si>
  <si>
    <t>Установка плинтуса</t>
  </si>
  <si>
    <t>ПЛИНТ</t>
  </si>
  <si>
    <t>РАБ.Р3.6.028</t>
  </si>
  <si>
    <t>Устройство плинтусов из керамогранита h=40 мм с установкой раскладки из пластика на торец в цвет плинтуса с затиркой швовов</t>
  </si>
  <si>
    <t>РАБ.Р3.6.029</t>
  </si>
  <si>
    <t>Устройство покрытия пола из модульной плитки (ковролин / ПВХ / линолеум)</t>
  </si>
  <si>
    <t>ПОЛ.МОД</t>
  </si>
  <si>
    <t>РАБ.Р3.6.030</t>
  </si>
  <si>
    <t>Устройство плинтусов из керамогранита h=100 мм с установкой раскладки из пластика на торец в цвет плинтуса с затиркой швовов</t>
  </si>
  <si>
    <t>РАБ.Р3.6.031</t>
  </si>
  <si>
    <t>Затирка швов поверхности пола, плитка керамическая</t>
  </si>
  <si>
    <t>РАБ.Р3.6.032</t>
  </si>
  <si>
    <t>Устройство полов из ПВХ-плитки Gerflor Creation 70 CLIFTON 0556</t>
  </si>
  <si>
    <t>РАБ.Р3.6.033</t>
  </si>
  <si>
    <t>Устройство плинтусов пластиковых</t>
  </si>
  <si>
    <t>РАБ.Р3.6.034</t>
  </si>
  <si>
    <t>Устройство плинтусов пластиковых с ковровым заполнением высотой 55 мм</t>
  </si>
  <si>
    <t>РАБ.Р3.6.035</t>
  </si>
  <si>
    <t>Устройство покрытия пола из полу коммерческого линолеума типа "Таркет" цвет согласовать с Заказчиком</t>
  </si>
  <si>
    <t>РАБ.Р3.6.036</t>
  </si>
  <si>
    <t>Установка плинтуса алюминиевого Metal Line 90 h=40мм, покраска, черный матовый, гнущийся по радиусу</t>
  </si>
  <si>
    <t>РАБ.Р3.6.037</t>
  </si>
  <si>
    <t>Установка плинтуса алюминиевого h80 мм, Fezard 2500*80*10 c соединителями и углами или аналог.</t>
  </si>
  <si>
    <t>РАБ.Р3.6.038</t>
  </si>
  <si>
    <t>Устройство ниши в покрытии из керамогранита для укладки грязезащитного коврика</t>
  </si>
  <si>
    <t>РАБ.Р3.6.039</t>
  </si>
  <si>
    <t>Монтаж грязезащитного коврика СИТИТОП Сити резина + текстиль + скребок)</t>
  </si>
  <si>
    <t>РАБ.Р3.6.040</t>
  </si>
  <si>
    <t>Устройство штроб в цементно-песчаной стяжке пола</t>
  </si>
  <si>
    <t>РАБ.Р3.6.041</t>
  </si>
  <si>
    <t>Заделка штроб в полу цементно-песчаным р-ром</t>
  </si>
  <si>
    <t>РАБ.Р3.6.042</t>
  </si>
  <si>
    <t>Укрытие полов листами ДВП на время производства работ</t>
  </si>
  <si>
    <t>РАБ.Р3.6.043</t>
  </si>
  <si>
    <t>Укрытие полов пленкой полиэтиленовой 200 мкм на время производства работ</t>
  </si>
  <si>
    <t>РАБ.Р3.6.044</t>
  </si>
  <si>
    <t>РАБ.Р3.6.045</t>
  </si>
  <si>
    <t>антистатическим покрытием) ANKER тип BRIKK N28ST/PVC Emerald Plus 5092, с учетом подрезки 10%</t>
  </si>
  <si>
    <t>РАБ.Р3.6.046</t>
  </si>
  <si>
    <t>Устройство противоскользящих уголков на ступени</t>
  </si>
  <si>
    <t>РАБ.Р3.6.047</t>
  </si>
  <si>
    <t>Укладка паркетной доски 200*2000 Solid Floor Piraness</t>
  </si>
  <si>
    <t>ПОЛ.ДОСК</t>
  </si>
  <si>
    <t>РАБ.Р3.6.048</t>
  </si>
  <si>
    <t>Шлифовка бетонного основания мозаично-шлифовальными машинами с алмазными сегментами</t>
  </si>
  <si>
    <t>РАБ.Р3.6.049</t>
  </si>
  <si>
    <t>Выравнивание бетонного основания полимерными компаундами с кварцевым песком, толщиной до 4 мм</t>
  </si>
  <si>
    <t>РАБ.Р3.6.050</t>
  </si>
  <si>
    <t>Устройство полимерного наливного пола FEIDAL</t>
  </si>
  <si>
    <t>РАБ.Р3.6.051</t>
  </si>
  <si>
    <t>Устройство антистатического контура</t>
  </si>
  <si>
    <t>РАБ.Р3.7.001</t>
  </si>
  <si>
    <t>Монтаж дверного блока бронированного</t>
  </si>
  <si>
    <t>РАБ.Р3.7.002</t>
  </si>
  <si>
    <t>РАБ.Р3.7.003</t>
  </si>
  <si>
    <t>Дверной блок 5-го класса устойчивости к взлому с решетчатой дверью . 2 замка СИ600 900х2100 мм по раме.</t>
  </si>
  <si>
    <t>РАБ.Р3.7.004</t>
  </si>
  <si>
    <t>Установка доводчиков на бронированных металлических дверях</t>
  </si>
  <si>
    <t>РАБ.Р3.7.005</t>
  </si>
  <si>
    <t>Укрепление стен, перегородок и потолка арматурой или прутом диаметром 10 мм, ячейкой 150х150 мм с анкерным креплением из арматуры</t>
  </si>
  <si>
    <t>РАБ.Р3.7.006</t>
  </si>
  <si>
    <t>Укрепление стен, перегородок и потолка арматурой или прутом диаметром 10 мм, ячейкой 100х100 мм с анкерным креплением из арматуры</t>
  </si>
  <si>
    <t>РАБ.Р3.7.007</t>
  </si>
  <si>
    <t>Укрепление стен, перегородок и потолка арматурой или прутом диаметром 12 мм, ячейкой 150х150 мм с анкерным креплением из арматуры</t>
  </si>
  <si>
    <t>РАБ.Р3.7.008</t>
  </si>
  <si>
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</si>
  <si>
    <t>РАБ.Р3.7.009</t>
  </si>
  <si>
    <t>Бронестекло ПУз-Бр3 (1000*1000 мм. Видимая часть). По раме 1090х1090 мм без учета лотка.</t>
  </si>
  <si>
    <t>БРОНЯ</t>
  </si>
  <si>
    <t>РАБ.Р3.7.010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</si>
  <si>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</si>
  <si>
    <t>РАБ.Р3.7.011</t>
  </si>
  <si>
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</si>
  <si>
    <t>РАБ.Р3.7.012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</si>
  <si>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</si>
  <si>
    <t>РАБ.Р3.7.013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</si>
  <si>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</si>
  <si>
    <t>РАБ.Р3.7.014</t>
  </si>
  <si>
    <t>Монтаж переговорного устройство DD-205T</t>
  </si>
  <si>
    <t>РАБ.Р3.7.015</t>
  </si>
  <si>
    <t>РАБ.Р3.7.016</t>
  </si>
  <si>
    <t>Панели защитные, стеновые V класс взломостойкости, сварное соединение, бетонно-заливная. Покраска грунт</t>
  </si>
  <si>
    <t>РАБ.Р3.8.001</t>
  </si>
  <si>
    <t>Мобилизация обьекта (более 300 кв.м.)</t>
  </si>
  <si>
    <t>обьект</t>
  </si>
  <si>
    <t>РАБ.Р3.8.002</t>
  </si>
  <si>
    <t>Мобилизация обьекта (менее 300 кв.м.)</t>
  </si>
  <si>
    <t>РАБ.Р3.8.003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</si>
  <si>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</si>
  <si>
    <t>РАБ.Р3.8.004</t>
  </si>
  <si>
    <t>Грунтовка поверхности</t>
  </si>
  <si>
    <t>РАБ.Р3.8.005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</si>
  <si>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</si>
  <si>
    <t>РАБ.Р3.8.006</t>
  </si>
  <si>
    <t>Масляная окраска стальных труб с учетом подготовки</t>
  </si>
  <si>
    <t>РАБ.Р3.8.007</t>
  </si>
  <si>
    <t>Устройство ограждения из нержавеющей стали (стойка и поручень)</t>
  </si>
  <si>
    <t>РАБ.Р3.8.008</t>
  </si>
  <si>
    <t>Установка отбойной доски из ламинированного ДСП, шириной до 600мм</t>
  </si>
  <si>
    <t>РАБ.Р3.8.009</t>
  </si>
  <si>
    <t>Установка рольставни с электроприводом</t>
  </si>
  <si>
    <t>РАБ.Р3.8.010</t>
  </si>
  <si>
    <t>Установка алюминиевой рольставни</t>
  </si>
  <si>
    <t>РАБ.Р3.8.011</t>
  </si>
  <si>
    <t>Заливка бетона М150</t>
  </si>
  <si>
    <t>РАБ.Р3.8.012</t>
  </si>
  <si>
    <t>Монтаж металлического листа толщ. 4 мм</t>
  </si>
  <si>
    <t>РАБ.Р3.8.013</t>
  </si>
  <si>
    <t>Изготовление и монтаж металлоконструкций</t>
  </si>
  <si>
    <t>РАБ.Р3.8.014</t>
  </si>
  <si>
    <t>Устройство технологических проходов над помещениями из профильной трубы и просечной сетки.</t>
  </si>
  <si>
    <t>РАБ.Р3.8.015</t>
  </si>
  <si>
    <t>Монтаж мобильных лесов или тура</t>
  </si>
  <si>
    <t>РАБ.Р3.8.016</t>
  </si>
  <si>
    <t>Укрытие мебели и перегородок пленкой полиэтиленовой на время производства работ</t>
  </si>
  <si>
    <t>РАБ.Р3.8.017</t>
  </si>
  <si>
    <t>Монтаж экрана из поликарбоната.</t>
  </si>
  <si>
    <t>РАБ.Р3.8.018</t>
  </si>
  <si>
    <t>Лючки ревизии потайные</t>
  </si>
  <si>
    <t>РАБ.Р3.8.019</t>
  </si>
  <si>
    <t>Окраска по металлу с учетом подготовки</t>
  </si>
  <si>
    <t>РАБ.Р3.8.020</t>
  </si>
  <si>
    <t>Пробивка отверстий в ЖБ плитах перекрытия толщиной до 250 мм.</t>
  </si>
  <si>
    <t>РАБ.Р3.8.021</t>
  </si>
  <si>
    <t>Обшивка стен листовой нержавеющей сталью толщиной 1 мм.</t>
  </si>
  <si>
    <t>РАБ.Р3.8.022</t>
  </si>
  <si>
    <t>Обшивка каркаса лестничного марша ГКЛВ</t>
  </si>
  <si>
    <t>РАБ.Р3.8.023</t>
  </si>
  <si>
    <t>Устройство каркаса лестничного марша под крепление сэндвич- панелей из металоконструкций</t>
  </si>
  <si>
    <t>РАБ.Р3.8.024</t>
  </si>
  <si>
    <t>Обшивка каркаса лестничного марша сэндвич - панелями Ruukki ( RE 90)</t>
  </si>
  <si>
    <t>РАБ.Р3.8.025</t>
  </si>
  <si>
    <t>Заделка рустов в фундаментных блоках примыканий стена-пол смесью типа "Gidro S2"</t>
  </si>
  <si>
    <t>РАБ.Р3.8.026</t>
  </si>
  <si>
    <t>Обработка поверхности стен составом "Gidro +" 2 раза</t>
  </si>
  <si>
    <t>РАБ.Р3.8.027</t>
  </si>
  <si>
    <t>Установка конвекционных решеток из ПВХ 600*900 мм</t>
  </si>
  <si>
    <t>РАБ.Р3.8.028</t>
  </si>
  <si>
    <t>Армирование площадки арматурой АIII</t>
  </si>
  <si>
    <t>РАБ.Р3.8.029</t>
  </si>
  <si>
    <t>Монтаж наборных ступеней ЛС 13-14</t>
  </si>
  <si>
    <t>РАБ.Р3.8.030</t>
  </si>
  <si>
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</si>
  <si>
    <t>РАБ.Р3.8.031</t>
  </si>
  <si>
    <t>Установка подъемно трансформируемого устройства (ПТУ - 001) с радиоуправляемым пультом и доплнительным ограждением</t>
  </si>
  <si>
    <t>РАБ.Р4.1.001</t>
  </si>
  <si>
    <t>Р4</t>
  </si>
  <si>
    <t>Частичный ремонт цементно-песчаной стяжки под устройсво рулонной кровли толщиной 50 мм</t>
  </si>
  <si>
    <t>РАБ.Р4.1.002</t>
  </si>
  <si>
    <t>Устройство рулонной мягкой кровли в 2 слоя с нахлестом на поребрик (мастика, стеклогидроизол, газовая горелка)</t>
  </si>
  <si>
    <t>РАБ.Р4.1.003</t>
  </si>
  <si>
    <t>Устройство примыкания (шва) между кровлей и стеной</t>
  </si>
  <si>
    <t>РАБ.Р4.1.004</t>
  </si>
  <si>
    <t>Устройство кровли из профлиста, металлочерепицы по деревянной обрешетке</t>
  </si>
  <si>
    <t>РАБ.Р4.1.005</t>
  </si>
  <si>
    <t>Грунтовка битумной мастикой примыканий и поверхности ремонтируемой кровли</t>
  </si>
  <si>
    <t>РАБ.Р4.1.006</t>
  </si>
  <si>
    <t>Монтаж водоотводных воронок с грязеуловителями</t>
  </si>
  <si>
    <t>РАБ.Р4.1.007</t>
  </si>
  <si>
    <t>Заделка стыков морозоустойчивым герметиком</t>
  </si>
  <si>
    <t>РАБ.Р4.1.008</t>
  </si>
  <si>
    <t>Ревизия кровли и водосточных систем с подготовкой акта</t>
  </si>
  <si>
    <t>РАБ.Р4.1.009</t>
  </si>
  <si>
    <t>Устройство мелких покрытий (брандмауэры, парапеты, свесы и т.р.) из листовой оцинкованной стали</t>
  </si>
  <si>
    <t>РАБ.Р4.1.010</t>
  </si>
  <si>
    <t>Подъем материалов на крышу здания</t>
  </si>
  <si>
    <t>РАБ.Р4.1.011</t>
  </si>
  <si>
    <t>Устройство фартука из оцинкованной стали</t>
  </si>
  <si>
    <t>РАБ.Р4.1.012</t>
  </si>
  <si>
    <t>Устройство эл подогрева воронок и кровли вокруг низ не менее 1 п.м от воронки</t>
  </si>
  <si>
    <t>РАБ.Р4.2.001</t>
  </si>
  <si>
    <t>Устройство основания под штукатурку из металлической сетки по кирпичным и бетонным поверхностям</t>
  </si>
  <si>
    <t>РАБ.Р4.2.002</t>
  </si>
  <si>
    <t>Штукатурка фасада по сетке морозоустройчивыми смесями с устройством "рисунка" согласно архитектуры фасада здания</t>
  </si>
  <si>
    <t>РАБ.Р4.2.003</t>
  </si>
  <si>
    <t>Ремонт штукатурки гладких фасадов по камню и бетону цементно-известковым раствором толщиной слоя до 20 мм</t>
  </si>
  <si>
    <t>РАБ.Р4.2.004</t>
  </si>
  <si>
    <t>Частичный ремонт фасада (расшивка и заделка трещин на штукарке, шпатлевка выбоин, сколов)</t>
  </si>
  <si>
    <t>РАБ.Р4.2.005</t>
  </si>
  <si>
    <t>Грунтовка фасада глубопроникающей грунтовкой за два раза</t>
  </si>
  <si>
    <t>РАБ.Р4.2.006</t>
  </si>
  <si>
    <t>Шпатлевка фасада смесями Vetonit VH</t>
  </si>
  <si>
    <t>РАБ.Р4.2.007</t>
  </si>
  <si>
    <t>РАБ.Р4.2.008</t>
  </si>
  <si>
    <t>Установка и разборка лесов</t>
  </si>
  <si>
    <t>РАБ.Р4.2.009</t>
  </si>
  <si>
    <t>Монтаж фасада из композитных панелей "Алюкобонд" с подсистемой без утеплителя</t>
  </si>
  <si>
    <t>РАБ.Р4.2.010</t>
  </si>
  <si>
    <t>Монтаж фасада из композитных панелей "Алюкобонд" с подсистемой с утеплителем 100 мм. и ветровлагозащиткая мембраной (негорючая).</t>
  </si>
  <si>
    <t>РАБ.Р4.2.011</t>
  </si>
  <si>
    <t>Монтаж фасада из кассетного профиля (оцинкованный лист окрашенный) без утеплителя</t>
  </si>
  <si>
    <t>РАБ.Р4.2.012</t>
  </si>
  <si>
    <t>Монтаж фасада из кассетного профиля (оцинкованный лист окрашенный) с утеплением</t>
  </si>
  <si>
    <t>РАБ.Р4.2.013</t>
  </si>
  <si>
    <t>Изоляция покрытий теплоизоляционными матами URSA</t>
  </si>
  <si>
    <t>РАБ.Р4.2.014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</si>
  <si>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</si>
  <si>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РАБ.Р4.2.015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</si>
  <si>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</si>
  <si>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РАБ.Р4.2.016</t>
  </si>
  <si>
    <t>Устройство пароизоляции</t>
  </si>
  <si>
    <t>РАБ.Р4.2.017</t>
  </si>
  <si>
    <t>Очистка фасада от пыли грязи, навесных и монтажных элементов</t>
  </si>
  <si>
    <t>РАБ.Р4.2.018</t>
  </si>
  <si>
    <t>Облицовка ступеней крыльца керамогранитом 300х300 мм.</t>
  </si>
  <si>
    <t>РАБ.Р4.2.019</t>
  </si>
  <si>
    <t>Облицовка крыльца клинкерной плиткой</t>
  </si>
  <si>
    <t>РАБ.Р4.2.020</t>
  </si>
  <si>
    <t>Крепление Г-образных алюминиевых с резиновой вставкой противоскользящик порогов на ступени-25*45</t>
  </si>
  <si>
    <t>РАБ.Р4.2.021</t>
  </si>
  <si>
    <t>Устройство козырьков на основе профтрубы (с грунтовкой и покраской) из поликарбоната</t>
  </si>
  <si>
    <t>РАБ.Р4.2.022</t>
  </si>
  <si>
    <t>Монтаж ветрозащиты (пароизоляции) негорючей</t>
  </si>
  <si>
    <t>РАБ.Р4.2.023</t>
  </si>
  <si>
    <t>Козырёк из триплекса на подвесах, габариты 1000*1500</t>
  </si>
  <si>
    <t>РАБ.Р4.2.024</t>
  </si>
  <si>
    <t>Козырёк из триплекса на подвесах, габариты 1000*2000</t>
  </si>
  <si>
    <t>РАБ.Р4.2.025</t>
  </si>
  <si>
    <t>Козырёк из триплекса на подвесах, габариты 1000*1000</t>
  </si>
  <si>
    <t>РАБ.Р4.3.001</t>
  </si>
  <si>
    <t>Устройство каркаса из бруса (брус 100х50, 50х50, доска 150х15, саморезы, скобы, гвозди) с последующим демантажом</t>
  </si>
  <si>
    <t>РАБ.Р4.3.002</t>
  </si>
  <si>
    <t>Устройство защитного шатра из полиэтиленовой пленкой до 100 мкр., с последующим демонтажом</t>
  </si>
  <si>
    <t>РАБ.Р4.3.003</t>
  </si>
  <si>
    <t>Устройство защитного полотна из сетки строительной фасадной (зеленая мелкоячеистая) с последующим демантажом</t>
  </si>
  <si>
    <t>РАБ.Р4.3.004</t>
  </si>
  <si>
    <t>Отопление временных конструкций в зимний период (электрическая пушка)</t>
  </si>
  <si>
    <t>м/час</t>
  </si>
  <si>
    <t>РАБ.Р4.3.005</t>
  </si>
  <si>
    <t>Отопление временных конструкций в зимний период (дизельная пушка)</t>
  </si>
  <si>
    <t>РАБ.Р4.3.006</t>
  </si>
  <si>
    <t>Отопление временных конструкций в зимний период (газовая пушка)</t>
  </si>
  <si>
    <t>РАБ.Р4.5.001</t>
  </si>
  <si>
    <t>Разработка грунта вручную</t>
  </si>
  <si>
    <t>РАБ.Р4.5.002</t>
  </si>
  <si>
    <t>Обратная засыпка грунта вручную</t>
  </si>
  <si>
    <t>РАБ.Р4.5.003</t>
  </si>
  <si>
    <t>Подготовка подстилающих слоев вручную с уплотнением</t>
  </si>
  <si>
    <t>РАБ.Р4.5.004</t>
  </si>
  <si>
    <t>Установка подъемно секционных ворот автоматических 3000Х3000 мм</t>
  </si>
  <si>
    <t>РАБ.Р4.5.005</t>
  </si>
  <si>
    <t>Установка подъемно секционных ворот автоматических 4500Х3000 мм</t>
  </si>
  <si>
    <t>РАБ.Р4.5.006</t>
  </si>
  <si>
    <t>Установка автоматического шлагбаума GARD 4000-кр</t>
  </si>
  <si>
    <t>РАБ.Р4.5.007</t>
  </si>
  <si>
    <t>Устройство ограждения прилегающей территории ( Н - 2м. Проф-труба 60Х40 мм. с шагом 100 мм. Порошковая окраска - цвет черный).</t>
  </si>
  <si>
    <t>РАБ.Р4.5.008</t>
  </si>
  <si>
    <t>Разметка стоянок под автомобили</t>
  </si>
  <si>
    <t>РАБ.Р4.5.009</t>
  </si>
  <si>
    <t>Облицовка фасада профлистом крашенным по RAL</t>
  </si>
  <si>
    <t>РАБ.Р4.5.010</t>
  </si>
  <si>
    <t>Устройство приямков</t>
  </si>
  <si>
    <t>РАБ.Р4.5.011</t>
  </si>
  <si>
    <t>Укладка геотекстиля</t>
  </si>
  <si>
    <t>РАБ.Р4.5.012</t>
  </si>
  <si>
    <t>Укладка тротуарной плитки (толщину и цвет согласовать с заказчиком)</t>
  </si>
  <si>
    <t>РАБ.Р4.5.013</t>
  </si>
  <si>
    <t>Устройство бордюра тротуарного</t>
  </si>
  <si>
    <t>РАБ.Р4.5.014</t>
  </si>
  <si>
    <t>Устройство асфальтового покрытия</t>
  </si>
  <si>
    <t>РАБ.Р4.5.015</t>
  </si>
  <si>
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</si>
  <si>
    <t>РАБ.Р5.1.001</t>
  </si>
  <si>
    <t>Р5</t>
  </si>
  <si>
    <t>Установка пожарного шкафа в комлекте с пожарным рукавом 20 м и огнетушителем</t>
  </si>
  <si>
    <t>РАБ.Р5.1.002</t>
  </si>
  <si>
    <t>Установка пожарного шкафа двойного в комлекте с пожарными рукавами 20м- 2шт. и огнетушителями-2шт. ШПК-03-12</t>
  </si>
  <si>
    <t>РАБ.Р5.1.003</t>
  </si>
  <si>
    <t>Врезка в существующий пожарный водопрвод</t>
  </si>
  <si>
    <t>РАБ.Р5.1.004</t>
  </si>
  <si>
    <t>Установка пожарных кранов</t>
  </si>
  <si>
    <t>АРМ.ОВ</t>
  </si>
  <si>
    <t>РАБ.Р5.1.005</t>
  </si>
  <si>
    <t>Монтаж трубы электросварной д 50 мм</t>
  </si>
  <si>
    <t>ТРУБА.ОВ</t>
  </si>
  <si>
    <t>РАБ.Р5.2.001</t>
  </si>
  <si>
    <t>Установка Крючка для вещей и одежды. Merida MHW31 матовый</t>
  </si>
  <si>
    <t>РАБ.Р5.2.002</t>
  </si>
  <si>
    <t>Установка корзины для использованных бумажных полотенец на 27 литров. Merida KSM 101. Матовый.</t>
  </si>
  <si>
    <t>РАБ.Р5.2.003</t>
  </si>
  <si>
    <t>Установка щетки санитарной. Merida TAS02 (364747). Матовый.</t>
  </si>
  <si>
    <t>РАБ.Р5.2.004</t>
  </si>
  <si>
    <t>Ревизия и установка Люстр заказчика (без стоимости люстры) с заменой ламп</t>
  </si>
  <si>
    <t>РАБ.Р5.3.001</t>
  </si>
  <si>
    <t>Установка унитаза / писсуара / инсталляции</t>
  </si>
  <si>
    <t>СТП.УНИТ</t>
  </si>
  <si>
    <t>РАБ.Р5.3.002</t>
  </si>
  <si>
    <t>Установка умывальника / раковины / мойки</t>
  </si>
  <si>
    <t>СТП.РАК</t>
  </si>
  <si>
    <t>РАБ.Р5.3.003</t>
  </si>
  <si>
    <t>РАБ.Р5.3.004</t>
  </si>
  <si>
    <t>Установка системы инсталяции Geberit Duofix UP320 111.300.00.5</t>
  </si>
  <si>
    <t>РАБ.Р5.3.005</t>
  </si>
  <si>
    <t>РАБ.Р5.3.006</t>
  </si>
  <si>
    <t>Установка смесителя / водоразборной арматуры</t>
  </si>
  <si>
    <t>СТП.СМЕС</t>
  </si>
  <si>
    <t>РАБ.Р5.3.007</t>
  </si>
  <si>
    <t>РАБ.Р5.3.008</t>
  </si>
  <si>
    <t>Установка смесителя для раковины Damixa Jupiter 770230001 с гигиеническим душем, хром</t>
  </si>
  <si>
    <t>РАБ.Р5.3.009</t>
  </si>
  <si>
    <t>РАБ.Р5.3.010</t>
  </si>
  <si>
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</si>
  <si>
    <t>РАБ.Р5.3.011</t>
  </si>
  <si>
    <t>Монтаж трубопровода (отопление / водоснабжение)</t>
  </si>
  <si>
    <t>РАБ.Р5.3.012</t>
  </si>
  <si>
    <t>Монтаж арматуры и фасонных частей (ВК / отопление)</t>
  </si>
  <si>
    <t>РАБ.Р5.3.013</t>
  </si>
  <si>
    <t>Монтаж трубопроводов канализации из полипропиленовых труб диаметром 50 мм</t>
  </si>
  <si>
    <t>РАБ.Р5.3.014</t>
  </si>
  <si>
    <t>Прокладка канализации Ду50 (Труба канализационная чугунная безраструбная Duker SML Ду50)</t>
  </si>
  <si>
    <t>РАБ.Р5.3.015</t>
  </si>
  <si>
    <t>Прокладка канализации Ду50 скрыто в штробах и коробах (Труба канализационная раструбная ПНД Ду50)</t>
  </si>
  <si>
    <t>РАБ.Р5.3.016</t>
  </si>
  <si>
    <t>Монтаж трубопроводов канализации из полипропиленовых труб диаметром 110 мм</t>
  </si>
  <si>
    <t>РАБ.Р5.3.017</t>
  </si>
  <si>
    <t>Подводка гибкая сантехническая</t>
  </si>
  <si>
    <t>РАБ.Р5.3.018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</si>
  <si>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</si>
  <si>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РАБ.Р5.3.019</t>
  </si>
  <si>
    <t>Изоляция Thermoflex Ду 32</t>
  </si>
  <si>
    <t>РАБ.Р5.3.020</t>
  </si>
  <si>
    <t>Проход стояков 2хДу15 через перекрытие в гильзах</t>
  </si>
  <si>
    <t>РАБ.Р5.3.021</t>
  </si>
  <si>
    <t>Установка счетчиков на горячее и холодное водоснабжение</t>
  </si>
  <si>
    <t>РАБ.Р5.3.022</t>
  </si>
  <si>
    <t>Врезка в существующие сети ГВС/ХВС</t>
  </si>
  <si>
    <t>РАБ.Р5.3.023</t>
  </si>
  <si>
    <t>Врезка в существующие сети канализации</t>
  </si>
  <si>
    <t>РАБ.Р5.3.024</t>
  </si>
  <si>
    <t>Установка водонагревателя</t>
  </si>
  <si>
    <t>СТП.ВН</t>
  </si>
  <si>
    <t>РАБ.Р5.3.025</t>
  </si>
  <si>
    <t>Капельная воронка HL 21</t>
  </si>
  <si>
    <t>РАБ.Р5.3.026</t>
  </si>
  <si>
    <t>Ревизия системы водоснабжения и канализации</t>
  </si>
  <si>
    <t>РАБ.Р5.3.027</t>
  </si>
  <si>
    <t>Установка душевой кабины River Neva 90/18 (сидение, зеркало, полки, душевая лейка, смеситель)</t>
  </si>
  <si>
    <t>РАБ.Р5.3.028</t>
  </si>
  <si>
    <t>Сололифт Grundfos Sololift</t>
  </si>
  <si>
    <t>РАБ.Р5.3.029</t>
  </si>
  <si>
    <t>Монтаж гигиенического ручного душа Hansgrohe, шланг 1,6м, настенный держатель ( арт.3212800)</t>
  </si>
  <si>
    <t>РАБ.Р5.3.030</t>
  </si>
  <si>
    <t>Монтаж металлического трубопровода D 110 мм (водоснабжение и канализация)</t>
  </si>
  <si>
    <t>РАБ.Р5.3.031</t>
  </si>
  <si>
    <t>РАБ.Р5.3.032</t>
  </si>
  <si>
    <t>Монтаж задвижек 30с64нж Ду100 (водоснабжение и канализация)</t>
  </si>
  <si>
    <t>РАБ.Р5.3.033</t>
  </si>
  <si>
    <t>Монтаж задвижек 30с64нж Ду50</t>
  </si>
  <si>
    <t>РАБ.Р5.3.034</t>
  </si>
  <si>
    <t>Клапан обратный 50 мм</t>
  </si>
  <si>
    <t>РАБ.Р5.3.035</t>
  </si>
  <si>
    <t>Монтаж Трубы ПВХ для систем наружной канализации ТУ 2248-057-72311668-2007 из ПВХ оранжевого цвета диаметром от 150 мм классом жесткости SN 4</t>
  </si>
  <si>
    <t>РАБ.Р5.4.001</t>
  </si>
  <si>
    <t>Перенос оросителя спринклера</t>
  </si>
  <si>
    <t>РАБ.Р5.4.002</t>
  </si>
  <si>
    <t>Устройство спринкерной системы пожаротушения ( в том числе гибкие подводки, оросители и т.д)</t>
  </si>
  <si>
    <t>РАБ.Р6.1.001</t>
  </si>
  <si>
    <t>Р6</t>
  </si>
  <si>
    <t>Отключение стояков отопления</t>
  </si>
  <si>
    <t>РАБ.Р6.1.002</t>
  </si>
  <si>
    <t>Работы на существующих инженерных сетях (отключение / промывка / врезка)</t>
  </si>
  <si>
    <t>РАБ.Р6.1.003</t>
  </si>
  <si>
    <t>Монтаж радиатора отопления</t>
  </si>
  <si>
    <t>секц.</t>
  </si>
  <si>
    <t>РАД</t>
  </si>
  <si>
    <t>РАБ.Р6.1.004</t>
  </si>
  <si>
    <t>РАБ.Р6.1.005</t>
  </si>
  <si>
    <t>Монтаж комплектующих радиатора (кронштейны, узлы подключения)</t>
  </si>
  <si>
    <t>РАД.КОМПЛ</t>
  </si>
  <si>
    <t>РАБ.Р6.1.006</t>
  </si>
  <si>
    <t>РАБ.Р6.1.007</t>
  </si>
  <si>
    <t>Наценка на радиатор с нп Комплектация для радиатора с НП ( клапан термостатический с комплектующими , монтажный комплект</t>
  </si>
  <si>
    <t>РАБ.Р6.1.008</t>
  </si>
  <si>
    <t>РАБ.Р6.1.009</t>
  </si>
  <si>
    <t>РАБ.Р6.1.010</t>
  </si>
  <si>
    <t>РАБ.Р6.1.011</t>
  </si>
  <si>
    <t>РАБ.Р6.1.012</t>
  </si>
  <si>
    <t>РАБ.Р6.1.013</t>
  </si>
  <si>
    <t>РАБ.Р6.1.014</t>
  </si>
  <si>
    <t>РАБ.Р6.1.015</t>
  </si>
  <si>
    <t>РАБ.Р6.1.016</t>
  </si>
  <si>
    <t>РАБ.Р6.1.017</t>
  </si>
  <si>
    <t>РАБ.Р6.1.018</t>
  </si>
  <si>
    <t>Циркуляционный насос VALTEC 25-60 (VRS.256.13.0) DN25</t>
  </si>
  <si>
    <t>РАБ.Р6.1.019</t>
  </si>
  <si>
    <t>РАБ.Р6.1.020</t>
  </si>
  <si>
    <t>РАБ.Р6.1.021</t>
  </si>
  <si>
    <t>РАБ.Р6.1.022</t>
  </si>
  <si>
    <t>Конвектор электрический Ballu с электронным термостатом 500 Вт</t>
  </si>
  <si>
    <t>РАБ.Р6.1.023</t>
  </si>
  <si>
    <t>Электрический Обогреватель ТеплЭко. (указать типоразмер)</t>
  </si>
  <si>
    <t>РАБ.Р6.1.024</t>
  </si>
  <si>
    <t>Монтаж радиатора чугунного Радиаторы МС-140</t>
  </si>
  <si>
    <t>РАБ.Р6.1.025</t>
  </si>
  <si>
    <t>РАБ.Р6.1.026</t>
  </si>
  <si>
    <t>Клапан VALTEC ручной, прямой 3/4 VT.008.LN.05</t>
  </si>
  <si>
    <t>РАБ.Р6.1.027</t>
  </si>
  <si>
    <t>Опрессовка системы отопления до 450 м.кв</t>
  </si>
  <si>
    <t>РАБ.Р6.1.028</t>
  </si>
  <si>
    <t>Опрессовка системы отопления от 450 м.кв</t>
  </si>
  <si>
    <t>РАБ.Р6.1.029</t>
  </si>
  <si>
    <t>Вырезка участка стояковых труб</t>
  </si>
  <si>
    <t>РАБ.Р6.1.030</t>
  </si>
  <si>
    <t>Врезка в существующую систему отопления</t>
  </si>
  <si>
    <t>РАБ.Р6.1.031</t>
  </si>
  <si>
    <t>Установка крестовин стояковых труб (труба 32, отвод 16)</t>
  </si>
  <si>
    <t>РАБ.Р6.1.032</t>
  </si>
  <si>
    <t>Монтаж конвекторов электрических NOBO C2F 10 XSC 0,75 кВт с встроенным термостатом R80 XSC</t>
  </si>
  <si>
    <t>РАБ.Р6.1.033</t>
  </si>
  <si>
    <t>Монтаж труб отопления из стальных водогазопроводных труб, диаметр до 16мм</t>
  </si>
  <si>
    <t>РАБ.Р6.1.034</t>
  </si>
  <si>
    <t>Монтаж труб отопления из стальных водогазопроводных труб, диаметр до 25мм</t>
  </si>
  <si>
    <t>РАБ.Р6.1.035</t>
  </si>
  <si>
    <t>Монтаж труб отопления из стальных водогазопроводных труб, диаметр до 32мм</t>
  </si>
  <si>
    <t>РАБ.Р6.1.036</t>
  </si>
  <si>
    <t>Ревизия отопительных приборов</t>
  </si>
  <si>
    <t>РАБ.Р6.1.037</t>
  </si>
  <si>
    <t>Ревизия системы трубопроводов и запорно-регулирующей арматуры</t>
  </si>
  <si>
    <t>РАБ.Р6.1.038</t>
  </si>
  <si>
    <t>Коллектор в сборе универсальный 1" ВР-3/4" НР, 12 выходов</t>
  </si>
  <si>
    <t>РАБ.Р6.1.039</t>
  </si>
  <si>
    <t>Коллектор в сборе универсальный 1" ВР-3/4" НР, 10 выходов</t>
  </si>
  <si>
    <t>РАБ.Р6.1.040</t>
  </si>
  <si>
    <t>Коллектор в сборе универсальный 1" ВР-3/4" НР, 8 выходов</t>
  </si>
  <si>
    <t>РАБ.Р6.1.041</t>
  </si>
  <si>
    <t>Соединение прямое с внутренней резьбой 16 (накидная гайка, евроконус)</t>
  </si>
  <si>
    <t>РАБ.Р6.1.042</t>
  </si>
  <si>
    <t>Монтаж задвижек 30с64нж Ду100 (отопление)</t>
  </si>
  <si>
    <t>РАБ.Р6.1.043</t>
  </si>
  <si>
    <t>Монтаж отводов D 110 мм (отопление)</t>
  </si>
  <si>
    <t>РАБ.Р6.1.044</t>
  </si>
  <si>
    <t>Монтаж металлического трубопровода D 110 мм (отопление)</t>
  </si>
  <si>
    <t>РАБ.Р6.1.045</t>
  </si>
  <si>
    <t>Расходные и крепежные материалы</t>
  </si>
  <si>
    <t>РАБ.Р6.1.046</t>
  </si>
  <si>
    <t>Ревизия газовых котлов отопления</t>
  </si>
  <si>
    <t>РАБ.Р6.1.047</t>
  </si>
  <si>
    <t>Установка сантехнического люка доступа</t>
  </si>
  <si>
    <t>РАБ.Р7.1.001</t>
  </si>
  <si>
    <t>Р7</t>
  </si>
  <si>
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</si>
  <si>
    <t>ПВУ</t>
  </si>
  <si>
    <t>РАБ.Р7.1.002</t>
  </si>
  <si>
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</si>
  <si>
    <t>РАБ.Р7.1.003</t>
  </si>
  <si>
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</si>
  <si>
    <t>РАБ.Р7.1.004</t>
  </si>
  <si>
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</si>
  <si>
    <t>РАБ.Р7.1.005</t>
  </si>
  <si>
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</si>
  <si>
    <t>РАБ.Р7.1.006</t>
  </si>
  <si>
    <t>Компактная воздушно-тепловая завеса КЭВ-3П1154Е с пультом</t>
  </si>
  <si>
    <t>ЗАВЕСА</t>
  </si>
  <si>
    <t>РАБ.Р7.1.007</t>
  </si>
  <si>
    <t>Монтаж тепловой завесы</t>
  </si>
  <si>
    <t>РАБ.Р7.1.008</t>
  </si>
  <si>
    <t>Приточный очиститель воздуха Тион Бризер 4S Magic</t>
  </si>
  <si>
    <t>РАБ.Р7.1.009</t>
  </si>
  <si>
    <t>Подставка под ПВУ сборная , усиленная - (уголок металлический, окрашеный)</t>
  </si>
  <si>
    <t>РАБ.Р7.1.010</t>
  </si>
  <si>
    <t>Привод для клапана вентмашины</t>
  </si>
  <si>
    <t>РАБ.Р7.1.011</t>
  </si>
  <si>
    <t>Клапан 600х300 вентмашины</t>
  </si>
  <si>
    <t>РАБ.Р7.1.012</t>
  </si>
  <si>
    <t>Клапан 700х400 вентмашины</t>
  </si>
  <si>
    <t>РАБ.Р7.1.013</t>
  </si>
  <si>
    <t>Гибкая вставка 600х300 вентмашины</t>
  </si>
  <si>
    <t>РАБ.Р7.1.014</t>
  </si>
  <si>
    <t>Гибкая вставка 700х400 вентмашины</t>
  </si>
  <si>
    <t>РАБ.Р7.1.015</t>
  </si>
  <si>
    <t>Монтаж вентилятора</t>
  </si>
  <si>
    <t>ВЕНТ</t>
  </si>
  <si>
    <t>РАБ.Р7.1.016</t>
  </si>
  <si>
    <t>Тепловая завеса Frico с термостатом и пультом</t>
  </si>
  <si>
    <t>РАБ.Р7.1.017</t>
  </si>
  <si>
    <t>Пусконаладочные работы системы вентиляции</t>
  </si>
  <si>
    <t>РАБ.Р7.1.018</t>
  </si>
  <si>
    <t>Противопожарный клапан (с электромеханическим приводом Belimo с возвратной пружиной) НО 500*300</t>
  </si>
  <si>
    <t>РАБ.Р7.1.019</t>
  </si>
  <si>
    <t>Монтаж тепло-шумоизоляции K-FLEX K-Flex Air 25мм самоклеющаяся (или Энергофлекс) воздуховодов согласно ТЗ</t>
  </si>
  <si>
    <t>ВОЗД</t>
  </si>
  <si>
    <t>РАБ.Р7.1.020</t>
  </si>
  <si>
    <t>Монтаж тепло-шумоизоляции K-FLEX K-Flex Air 6мм самоклеющаяся (или Энергофлекс) воздуховодов согласно ТЗ</t>
  </si>
  <si>
    <t>РАБ.Р7.1.021</t>
  </si>
  <si>
    <t>Монтаж ленты K-FLEX ST Н50х3х15 самоклеющаяся для изоляции стыков.</t>
  </si>
  <si>
    <t>РАБ.Р7.1.022</t>
  </si>
  <si>
    <t>Монтаж теплоизоляции K-FLEX (или Энергофлекс) воздуховодов согласно ТЗ</t>
  </si>
  <si>
    <t>м2 (по площади помещения)</t>
  </si>
  <si>
    <t>РАБ.Р7.1.023</t>
  </si>
  <si>
    <t>Монтаж воздухораспределителя (решётка / диффузор)</t>
  </si>
  <si>
    <t>ВР</t>
  </si>
  <si>
    <t>РАБ.Р7.1.024</t>
  </si>
  <si>
    <t>РАБ.Р7.1.025</t>
  </si>
  <si>
    <t>Монтаж шумоглушителя</t>
  </si>
  <si>
    <t>ШГ</t>
  </si>
  <si>
    <t>РАБ.Р7.1.026</t>
  </si>
  <si>
    <t>RSK 100, обратный клапан для круглых каналов</t>
  </si>
  <si>
    <t>РАБ.Р7.1.027</t>
  </si>
  <si>
    <t>РАБ.Р7.1.028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</si>
  <si>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</si>
  <si>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РАБ.Р7.1.029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</si>
  <si>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</si>
  <si>
    <t>РАБ.Р7.2.001</t>
  </si>
  <si>
    <t>Вентилятор дымоудаления Systemair DVV 400D4-6/F400 в комплекте со щитом автоматики.</t>
  </si>
  <si>
    <t>РАБ.Р7.2.002</t>
  </si>
  <si>
    <t>Монтаж матов теплоизоляционных из минеральной ваты, фольгированные S=50мм ISOVER KIM-Light-Al 50 мм</t>
  </si>
  <si>
    <t>РАБ.Р7.2.003</t>
  </si>
  <si>
    <t>Нанесение конструктивной огнезащиты</t>
  </si>
  <si>
    <t>РАБ.Р7.2.004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</si>
  <si>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</si>
  <si>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КЛ.ОЗК</t>
  </si>
  <si>
    <t>РАБ.Р7.2.005</t>
  </si>
  <si>
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</si>
  <si>
    <t>РАБ.Р8.1.001</t>
  </si>
  <si>
    <t>Р8</t>
  </si>
  <si>
    <t>Монтаж сплит-системы</t>
  </si>
  <si>
    <t>СПЛИТ</t>
  </si>
  <si>
    <t>РАБ.Р8.1.002</t>
  </si>
  <si>
    <t>СБР02 Проводной контроллер для серверных помещений (Включая Модуль управления кондиционером СБР02-М - 2 шт)</t>
  </si>
  <si>
    <t>РАБ.Р8.2.001</t>
  </si>
  <si>
    <t>РАБ.Р8.2.002</t>
  </si>
  <si>
    <t>Монтаж приточной / приточно-вытяжной установки</t>
  </si>
  <si>
    <t>РАБ.Р8.2.003</t>
  </si>
  <si>
    <t>РАБ.Р8.2.004</t>
  </si>
  <si>
    <t>Канальный кондиционер MDV 48 MDTJ2-48HWN1 / MDOU3-48HN1-L+пульт (либо аналог согласно ТЗ. Замену согласовать с заказчиком)</t>
  </si>
  <si>
    <t>РАБ.Р8.2.005</t>
  </si>
  <si>
    <t>Канальный кондиционер MDV 60 MDTJ2-60HWN1 / MDOU3-60HN1-L+пульт (либо аналог согласно ТЗ. Замену согласовать с заказчиком)</t>
  </si>
  <si>
    <t>РАБ.Р8.2.006</t>
  </si>
  <si>
    <t>Кассетный кондиционер MDV 12 MDCA6-12HRN1 / T-MBQ4-03B / MDOU3-12HN1-L+пульт (либо аналог согласно ТЗ. Замену согласовать с заказчиком)</t>
  </si>
  <si>
    <t>РАБ.Р8.2.007</t>
  </si>
  <si>
    <t>Монтаж внутреннего блока VRF / мультисплит</t>
  </si>
  <si>
    <t>VRF.ВНУТ</t>
  </si>
  <si>
    <t>РАБ.Р8.2.008</t>
  </si>
  <si>
    <t>РАБ.Р8.2.009</t>
  </si>
  <si>
    <t>РАБ.Р8.2.010</t>
  </si>
  <si>
    <t>Разветвитель FQG-B335A</t>
  </si>
  <si>
    <t>РАБ.Р8.2.011</t>
  </si>
  <si>
    <t>Разветвитель FQG-B506A</t>
  </si>
  <si>
    <t>РАБ.Р8.2.012</t>
  </si>
  <si>
    <t>Экран для потолочного (кассетного) кондиционера из ударопрочного стекла</t>
  </si>
  <si>
    <t>РАБ.Р8.2.013</t>
  </si>
  <si>
    <t>Экран для настенного кондиционера из ударопрочного стекла</t>
  </si>
  <si>
    <t>РАБ.Р8.2.014</t>
  </si>
  <si>
    <t>Вентиль шаровый под пайку для внутреннего блока</t>
  </si>
  <si>
    <t>РАБ.Р8.2.015</t>
  </si>
  <si>
    <t>Регенерация, заправка хладагентом, Фреон R407C, R410A R 32</t>
  </si>
  <si>
    <t>кг</t>
  </si>
  <si>
    <t>РАБ.Р8.2.016</t>
  </si>
  <si>
    <t>Дренажный насос Aqua mini blue, ASPEN</t>
  </si>
  <si>
    <t>РАБ.Р8.2.017</t>
  </si>
  <si>
    <t>Антивандальные решетки с козырьком для внешних блоков</t>
  </si>
  <si>
    <t>РАБ.Р8.2.018</t>
  </si>
  <si>
    <t>Пусконаладочные работы систем кондиционирования</t>
  </si>
  <si>
    <t>РАБ.Р8.2.019</t>
  </si>
  <si>
    <t>Зимний комплект к кондиционерам</t>
  </si>
  <si>
    <t>РАБ.Р8.2.020</t>
  </si>
  <si>
    <t>Помпа дренажная Si 1805</t>
  </si>
  <si>
    <t>РАБ.Р8.2.021</t>
  </si>
  <si>
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</si>
  <si>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РАБ.Р8.2.022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</si>
  <si>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</si>
  <si>
    <t>VRF.НАР</t>
  </si>
  <si>
    <t>РАБ.Р8.2.023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</si>
  <si>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</si>
  <si>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РАБ.Р9.1.001</t>
  </si>
  <si>
    <t>Р9</t>
  </si>
  <si>
    <t>ГРЩ(1)</t>
  </si>
  <si>
    <t>ЭЩ</t>
  </si>
  <si>
    <t>РАБ.Р9.1.002</t>
  </si>
  <si>
    <t>ГРЩ(2)</t>
  </si>
  <si>
    <t>РАБ.Р9.1.003</t>
  </si>
  <si>
    <t>ППУ</t>
  </si>
  <si>
    <t>РАБ.Р9.2.001</t>
  </si>
  <si>
    <t>Монтаж щита / бокса</t>
  </si>
  <si>
    <t>РАБ.Р9.2.002</t>
  </si>
  <si>
    <t>Щит 48 модулей, IP43, ABB или Legrand, с замком в комплекте с DIN-рейками, перемычками, шинами РЕ и N</t>
  </si>
  <si>
    <t>РАБ.Р9.2.003</t>
  </si>
  <si>
    <t>Щит 72 модулей, IP43, ABB или Legrand, с замком в комплекте с DIN-рейками, перемычками, шинами РЕ и N</t>
  </si>
  <si>
    <t>РАБ.Р9.2.004</t>
  </si>
  <si>
    <t>Щит 96 модулей, IP43, ABB или Legrand, с замком в комплекте с DIN-рейками, перемычками, шинами РЕ и N</t>
  </si>
  <si>
    <t>РАБ.Р9.2.005</t>
  </si>
  <si>
    <t>Щит 144 модулей, IP43, ABB или Legrand, с замком в комплекте с DIN-рейками, перемычками, шинами РЕ и N</t>
  </si>
  <si>
    <t>РАБ.Р9.2.006</t>
  </si>
  <si>
    <t>Щит 168 модулей, IP43, ABB или Legrand, с замком в комплекте с DIN-рейками, перемычками, шинами РЕ и N</t>
  </si>
  <si>
    <t>РАБ.Р9.2.007</t>
  </si>
  <si>
    <t>Щит ППУ 8-12 мод IP 65 красный металлический</t>
  </si>
  <si>
    <t>РАБ.Р9.2.008</t>
  </si>
  <si>
    <t>Автоматический ввод резерва 63А, 380В в сборе</t>
  </si>
  <si>
    <t>РАБ.Р9.2.009</t>
  </si>
  <si>
    <t>Автоматический ввод резерва 80А, 380В в сборе</t>
  </si>
  <si>
    <t>РАБ.Р9.2.010</t>
  </si>
  <si>
    <t>Автоматический ввод резерва 125А, 380В в сборе</t>
  </si>
  <si>
    <t>РАБ.Р9.2.011</t>
  </si>
  <si>
    <t>Монтаж модульного аппарата (автомат / УЗО / дифавтомат / рубильник)</t>
  </si>
  <si>
    <t>ЭА.МОД</t>
  </si>
  <si>
    <t>РАБ.Р9.2.012</t>
  </si>
  <si>
    <t>Выключатель нагрузки OT45E3, 45А, ABB</t>
  </si>
  <si>
    <t>РАБ.Р9.2.013</t>
  </si>
  <si>
    <t>Выключатель нагрузки OT63E3, 63А, ABB</t>
  </si>
  <si>
    <t>РАБ.Р9.2.014</t>
  </si>
  <si>
    <t>РАБ.Р9.2.015</t>
  </si>
  <si>
    <t>Счетчик электроэнергии, Меркурий 231 АТ 01 (двухтарифный, 3-х фазный, 63А)</t>
  </si>
  <si>
    <t>РАБ.Р9.2.016</t>
  </si>
  <si>
    <t>Счетчик электроэнергии, Меркурий 231 АТ 01 с трансформаторами тока (двухтарифный, 3-х фазный, 63А)</t>
  </si>
  <si>
    <t>РАБ.Р9.2.017</t>
  </si>
  <si>
    <t>Устройство защитного отключения 2пол. тип A 16A 10mA F202 A-16/0,01 ABB</t>
  </si>
  <si>
    <t>РАБ.Р9.2.018</t>
  </si>
  <si>
    <t>Устройство защитного отключения 2пол. тип A 25A 30mA F202 A-25/0,03 АВВ</t>
  </si>
  <si>
    <t>РАБ.Р9.2.019</t>
  </si>
  <si>
    <t>Устройство защитного отключения 2пол. тип A 40A 30mA F202 A-40/0,03 АВВ</t>
  </si>
  <si>
    <t>РАБ.Р9.2.020</t>
  </si>
  <si>
    <t>Устройство защитного отключения 2пол. тип AC 63A 100mA F202 AC-63/0,1 АВВ</t>
  </si>
  <si>
    <t>РАБ.Р9.2.021</t>
  </si>
  <si>
    <t>Устройство защитного отключения 4пол. F204 AC-40/0,1 ABB</t>
  </si>
  <si>
    <t>РАБ.Р9.2.022</t>
  </si>
  <si>
    <t>Устройство защитного отключения 4пол. тип A 25A 30mA F204 A-25/0,03 АВВ</t>
  </si>
  <si>
    <t>РАБ.Р9.2.023</t>
  </si>
  <si>
    <t>Устройство защитного отключения 4пол. тип AC 63A 100mA F204 AC-63/0,1 ABB</t>
  </si>
  <si>
    <t>РАБ.Р9.2.024</t>
  </si>
  <si>
    <t>Устройство защитного отключения 4пол. тип AC 80A 300mA F204 AC-80/0,3 ABB</t>
  </si>
  <si>
    <t>РАБ.Р9.2.025</t>
  </si>
  <si>
    <t>Устройство защитного отключения 4пол. тип AC 100A 300mA F204 AC-100/0,3 ABB</t>
  </si>
  <si>
    <t>РАБ.Р9.2.026</t>
  </si>
  <si>
    <t>Устройство защитного отключения 4пол. тип AC 125A 300mA F204 AC-125/0,3 ABB</t>
  </si>
  <si>
    <t>РАБ.Р9.2.027</t>
  </si>
  <si>
    <t>РАБ.Р9.2.028</t>
  </si>
  <si>
    <t>РАБ.Р9.2.029</t>
  </si>
  <si>
    <t>РАБ.Р9.2.030</t>
  </si>
  <si>
    <t>РАБ.Р9.2.031</t>
  </si>
  <si>
    <t>РАБ.Р9.2.032</t>
  </si>
  <si>
    <t>РАБ.Р9.2.033</t>
  </si>
  <si>
    <t>РАБ.Р9.2.034</t>
  </si>
  <si>
    <t>РАБ.Р9.2.035</t>
  </si>
  <si>
    <t>РАБ.Р9.2.036</t>
  </si>
  <si>
    <t>РАБ.Р9.2.037</t>
  </si>
  <si>
    <t>РАБ.Р9.2.038</t>
  </si>
  <si>
    <t>РАБ.Р9.2.039</t>
  </si>
  <si>
    <t>РАБ.Р9.2.040</t>
  </si>
  <si>
    <t>РАБ.Р9.2.041</t>
  </si>
  <si>
    <t>РАБ.Р9.2.042</t>
  </si>
  <si>
    <t>РАБ.Р9.2.043</t>
  </si>
  <si>
    <t>РАБ.Р9.2.044</t>
  </si>
  <si>
    <t>Автомат.выкл-ль АВВ Т1В160 40А</t>
  </si>
  <si>
    <t>РАБ.Р9.2.045</t>
  </si>
  <si>
    <t>Автомат.выкл-ль АВВ Т1В160 32А</t>
  </si>
  <si>
    <t>РАБ.Р9.2.046</t>
  </si>
  <si>
    <t>Автомат.выкл-ль АВВ Т1В160 25А</t>
  </si>
  <si>
    <t>РАБ.Р9.2.047</t>
  </si>
  <si>
    <t>Автомат.выкл-ль АВВ Т1В160 63А</t>
  </si>
  <si>
    <t>РАБ.Р9.2.048</t>
  </si>
  <si>
    <t>Автомат.выкл-ль АВВ Т1В160 50А</t>
  </si>
  <si>
    <t>РАБ.Р9.2.049</t>
  </si>
  <si>
    <t>Автомат.выкл-ль АВВ Т1В160 80А</t>
  </si>
  <si>
    <t>РАБ.Р9.2.050</t>
  </si>
  <si>
    <t>Автомат.выкл-ль АВВ Т1В160 100А</t>
  </si>
  <si>
    <t>РАБ.Р9.2.051</t>
  </si>
  <si>
    <t>Автомат.выкл-ль АВВ Т1В160 125А</t>
  </si>
  <si>
    <t>РАБ.Р9.2.052</t>
  </si>
  <si>
    <t>Монтажная площадка для Т1В 160</t>
  </si>
  <si>
    <t>РАБ.Р9.2.053</t>
  </si>
  <si>
    <t>РАБ.Р9.2.054</t>
  </si>
  <si>
    <t>Дифференциальный автомат АВВ DS204 C10 4P 10А (C) 6kA тип AC 30mA (6мод.)</t>
  </si>
  <si>
    <t>РАБ.Р9.2.055</t>
  </si>
  <si>
    <t>РАБ.Р9.2.056</t>
  </si>
  <si>
    <t>РАБ.Р9.2.057</t>
  </si>
  <si>
    <t>Дифференциальный автомат АВВ DS204 C63 4P 63А (C) 6kA тип AC 30mA (6мод.)</t>
  </si>
  <si>
    <t>РАБ.Р9.2.058</t>
  </si>
  <si>
    <t>Контактор модульный ABB ESB24-31</t>
  </si>
  <si>
    <t>РАБ.Р9.2.059</t>
  </si>
  <si>
    <t>Контактор модульный ABB ESB40-40</t>
  </si>
  <si>
    <t>РАБ.Р9.2.060</t>
  </si>
  <si>
    <t>Контактор модульный ABB ESB63-40</t>
  </si>
  <si>
    <t>РАБ.Р9.2.061</t>
  </si>
  <si>
    <t>Реле освещенности ABB TW, Датчик освещенности ABB LS-SP</t>
  </si>
  <si>
    <t>РАБ.Р9.2.062</t>
  </si>
  <si>
    <t>Реле управления нагрузкой LSS1/2 230В ,90А (АВВ)</t>
  </si>
  <si>
    <t>РАБ.Р9.2.063</t>
  </si>
  <si>
    <t>Реле максимального тока STT6 114 E 451 5,7A</t>
  </si>
  <si>
    <t>РАБ.Р9.2.064</t>
  </si>
  <si>
    <t>Трансформатор 230В/24В понижающий однофазный 160ВА , на din -рейку,</t>
  </si>
  <si>
    <t>РАБ.Р9.2.065</t>
  </si>
  <si>
    <t>Устройство отключения неприоритетных цепей Legrand 038 13</t>
  </si>
  <si>
    <t>РАБ.Р9.2.066</t>
  </si>
  <si>
    <t>Электромеханический недельный таймер ABB</t>
  </si>
  <si>
    <t>РАБ.Р9.2.067</t>
  </si>
  <si>
    <t>Выключатель нагрузки Legrand 04350, 63А, 3-полюсный</t>
  </si>
  <si>
    <t>РАБ.Р9.2.068</t>
  </si>
  <si>
    <t>Монтаж светильника аварийного / эвакуационного</t>
  </si>
  <si>
    <t>СВЕТ.АВАР</t>
  </si>
  <si>
    <t>РАБ.Р9.2.069</t>
  </si>
  <si>
    <t>Светильник с зеркалом и SPC-RNG-600-LED-TCH, 12W, 220-240V, 600x30с подсветкой и сенсорным выключателем belbagno арт. SPC-RNG-600-LED-TCH</t>
  </si>
  <si>
    <t>СВЕТ</t>
  </si>
  <si>
    <t>РАБ.Р9.2.070</t>
  </si>
  <si>
    <t>Монтаж трубы ПВХ / гофротрубы под электропроводку</t>
  </si>
  <si>
    <t>ТРУБА.ЭЛ</t>
  </si>
  <si>
    <t>РАБ.Р9.2.071</t>
  </si>
  <si>
    <t>Труба гладкая жесткая ПВХ 20 мм легкая серая (3м) в комплекте с углами, крепежами,переходниками и расходными материалами</t>
  </si>
  <si>
    <t>РАБ.Р9.2.072</t>
  </si>
  <si>
    <t>Труба гладкая жесткая ПВХ 32 мм легкая серая (3м) в комплекте с углами, крепежами,переходниками и расходными материалами</t>
  </si>
  <si>
    <t>РАБ.Р9.2.073</t>
  </si>
  <si>
    <t>Труба гофрированная ПНД HF d20мм с протяжкой, безгалогенная оранжевая</t>
  </si>
  <si>
    <t>РАБ.Р9.2.074</t>
  </si>
  <si>
    <t>Гладкая труба ∅ 40 ПНД</t>
  </si>
  <si>
    <t>РАБ.Р9.2.075</t>
  </si>
  <si>
    <t>Поворот 90° для ПВХ-трубы ∅ 40</t>
  </si>
  <si>
    <t>РАБ.Р9.2.076</t>
  </si>
  <si>
    <t>Монтаж кабель-канала</t>
  </si>
  <si>
    <t>КОРОБ.ЭЛ</t>
  </si>
  <si>
    <t>РАБ.Р9.2.077</t>
  </si>
  <si>
    <t>Консоль с опорой ML 100 мм облегченная</t>
  </si>
  <si>
    <t>РАБ.Р9.2.078</t>
  </si>
  <si>
    <t>Монтаж кабельного лотка</t>
  </si>
  <si>
    <t>ЛОТОК</t>
  </si>
  <si>
    <t>РАБ.Р9.2.079</t>
  </si>
  <si>
    <t>РАБ.Р9.2.080</t>
  </si>
  <si>
    <t>Лоток проволочный 100х50х3000</t>
  </si>
  <si>
    <t>РАБ.Р9.2.081</t>
  </si>
  <si>
    <t>Лоток проволочный 300х50х3000</t>
  </si>
  <si>
    <t>РАБ.Р9.2.082</t>
  </si>
  <si>
    <t>Установка розетки</t>
  </si>
  <si>
    <t>ЭУИ.РОЗ</t>
  </si>
  <si>
    <t>РАБ.Р9.2.083</t>
  </si>
  <si>
    <t>РАБ.Р9.2.084</t>
  </si>
  <si>
    <t>Установка выключателя электроустановочного</t>
  </si>
  <si>
    <t>ЭУИ.ВЫКЛ</t>
  </si>
  <si>
    <t>РАБ.Р9.2.085</t>
  </si>
  <si>
    <t>РАБ.Р9.2.086</t>
  </si>
  <si>
    <t>Установка точечных светодиодных светильников R63 12 Вт в мебельные конструкции (холодное свечение)</t>
  </si>
  <si>
    <t>РАБ.Р9.2.087</t>
  </si>
  <si>
    <t>Лампа DULUXSTAR MICRO TWIST 23W/840</t>
  </si>
  <si>
    <t>РАБ.Р9.2.088</t>
  </si>
  <si>
    <t>Пуско-наладочные работы</t>
  </si>
  <si>
    <t>РАБ.Р9.2.089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</si>
  <si>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</si>
  <si>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КАБЕЛЬ</t>
  </si>
  <si>
    <t>РАБ.Р9.2.090</t>
  </si>
  <si>
    <t>Установка коробки напольной 18 модульн Mosaik с нерж крышкой (суппорта в комплекте )</t>
  </si>
  <si>
    <t>РАБ.Р9.2.091</t>
  </si>
  <si>
    <t>Блок аварийного питания INTERLUX ES-1 ( 6-58Ц)</t>
  </si>
  <si>
    <t>РАБ.Р9.2.092</t>
  </si>
  <si>
    <t>Встраиваемый блок розеток EVOLINE FlipTop Medium</t>
  </si>
  <si>
    <t>РАБ.Р9.2.093</t>
  </si>
  <si>
    <t>Светодиодная лента, IP65 Источник света: LED,14Вт/м, 4200К (основной свет в переговорных)</t>
  </si>
  <si>
    <t>РАБ.Р9.2.094</t>
  </si>
  <si>
    <t>Алюминиевый профиль встраевыемый в гипсокартон для светодиодной ленты</t>
  </si>
  <si>
    <t>РАБ.Р9.2.095</t>
  </si>
  <si>
    <t>Распред коробка legrand</t>
  </si>
  <si>
    <t>РАБ.Р9.2.096</t>
  </si>
  <si>
    <t>Установка люстры ARSTID, 3-х рожковая с лампами э/сберег.</t>
  </si>
  <si>
    <t>РАБ.Р9.2.097</t>
  </si>
  <si>
    <t>Подвес LGD-4TR-HANG-2-WH ©</t>
  </si>
  <si>
    <t>РАБ.Р9.2.098</t>
  </si>
  <si>
    <t>Коннектор прямой LGD-4TR-CON-LONG-WH</t>
  </si>
  <si>
    <t>РАБ.Р9.2.099</t>
  </si>
  <si>
    <t>Трек LGD-4TR-TRACK-3000-WH-M КРАСНЫЙ RAL3020</t>
  </si>
  <si>
    <t>РАБ.Р9.2.100</t>
  </si>
  <si>
    <t>Трек LGD-4TR-TRACK-2000-WH-M КРАСНЫЙ RAL3020</t>
  </si>
  <si>
    <t>РАБ.Р9.2.101</t>
  </si>
  <si>
    <t>Коннектор питания LGD-4TR-CON-POWER-L-WH</t>
  </si>
  <si>
    <t>РАБ.Р9.2.102</t>
  </si>
  <si>
    <t>Заглушка LGD-4TR-CAP-WH</t>
  </si>
  <si>
    <t>РАБ.Р9.2.103</t>
  </si>
  <si>
    <t>Коннектор внутренний LGD-4TR-CON-MINI-WH ©</t>
  </si>
  <si>
    <t>РАБ.Р9.2.104</t>
  </si>
  <si>
    <t>Зажим LGD-4TR-CLIP-WH ©</t>
  </si>
  <si>
    <t>РАБ.Р9.2.105</t>
  </si>
  <si>
    <t>Монтаж светильника</t>
  </si>
  <si>
    <t>РАБ.Р9.2.106</t>
  </si>
  <si>
    <t>РАБ.Р9.2.107</t>
  </si>
  <si>
    <t>Лайтбокс LED Высота114 мм.Диаметр 1000 мм RAL 3020,ORTUS SORES 1000 DIMM 0-10V, c функцией диммрования, производство ООО "Профлед"</t>
  </si>
  <si>
    <t>РАБ.Р9.2.108</t>
  </si>
  <si>
    <t>Лайтбокс LED Высота114 мм.Диаметр 1500 мм RAL 3020, ORTUS SORES 1500 DIMM 0-10V c функцией диммрования, производство ООО "Профлед"</t>
  </si>
  <si>
    <t>РАБ.Р9.2.109</t>
  </si>
  <si>
    <t>Лайтбокс LED Высота114 мм.Диаметр 2000 мм RAL 3020, ORTUS SORES 2000 DIMM 0-10V c функцией диммрования, производство ООО "Профлед"</t>
  </si>
  <si>
    <t>РАБ.Р9.2.110</t>
  </si>
  <si>
    <t>Лайтбокс LED Высота114 мм.Диаметр 2500 мм RAL 3020, ORTUS SORES 2500 DIMM 0-10V c функцией диммрования, производство ООО "Профлед"</t>
  </si>
  <si>
    <t>РАБ.Р9.2.111</t>
  </si>
  <si>
    <t>Пульт дистанционного управления SMART-R10-DIM для лайтбоксов Профлед</t>
  </si>
  <si>
    <t>РАБ.Р9.2.112</t>
  </si>
  <si>
    <t>РАБ.Р9.2.113</t>
  </si>
  <si>
    <t>РАБ.Р9.2.114</t>
  </si>
  <si>
    <t>РАБ.Р9.2.115</t>
  </si>
  <si>
    <t>РАБ.Р9.2.116</t>
  </si>
  <si>
    <t>РАБ.Р9.2.117</t>
  </si>
  <si>
    <t>РАБ.Р9.2.118</t>
  </si>
  <si>
    <t>Quark IN IT D70 REF 60` 12W-4000K CRI 90 Recess WHI - Светильник + Acc. Emergency kit 0,72-1,4W 20-45V {COBx1, {1xL12/0,5-1xL24} EM1H (18-35V, max 40V) BOX I - Аварийный блок</t>
  </si>
  <si>
    <t>РАБ.Р9.2.119</t>
  </si>
  <si>
    <t>MICA D190 14W-4000K CRI 90 Recess MP ECO WHI - Светильник</t>
  </si>
  <si>
    <t>РАБ.Р9.2.120</t>
  </si>
  <si>
    <t>РАБ.Р9.2.121</t>
  </si>
  <si>
    <t>РАБ.Р9.2.122</t>
  </si>
  <si>
    <t>РАБ.Р9.2.123</t>
  </si>
  <si>
    <t>РАБ.Р9.2.124</t>
  </si>
  <si>
    <t>Quark AIR IT Lens D70 8W-4000K CRI 90 H210 Susp WHI- Светильник</t>
  </si>
  <si>
    <t>РАБ.Р9.2.125</t>
  </si>
  <si>
    <t>Quark AIR IT MP D70 8W-4000K CRI 90 H210 Susp BLK - Светильник</t>
  </si>
  <si>
    <t>РАБ.Р9.2.126</t>
  </si>
  <si>
    <t>Quark AIR IT MP D45 12W-4000K CRI 90 H210 Susp - Светильник + NECK Q45 IT - Декоративная насадка</t>
  </si>
  <si>
    <t>РАБ.Р9.2.127</t>
  </si>
  <si>
    <t>Agat D80 31W/mt-4000K CRI 90 ROW Susp WHI - Светильник</t>
  </si>
  <si>
    <t>РАБ.Р9.2.128</t>
  </si>
  <si>
    <t>Ray IN D750 49W-4000K CRI 90 Reduced Susp BLK - Светильник</t>
  </si>
  <si>
    <t>РАБ.Р9.2.129</t>
  </si>
  <si>
    <t>Ray IN D750 69W-4000K CRI 90 Susp WHI - Светильник + Acc. Emergency kit 1,8-3,5W {1-5L12/0,5-2,5L24} EM1H (18-35V, max 100V) BOX I - Аварийный блок</t>
  </si>
  <si>
    <t>РАБ.Р9.2.130</t>
  </si>
  <si>
    <t>Rota D650 MP ECO 28W-4000K CRI 90 Susp BLK - Светильник</t>
  </si>
  <si>
    <t>РАБ.Р9.2.131</t>
  </si>
  <si>
    <t>Longa 61 46W-4000K CRI 90 MP 2xL24 Reduced M1200 Susp BLK - Светильник</t>
  </si>
  <si>
    <t>РАБ.Р9.2.132</t>
  </si>
  <si>
    <t>Longa 61 35W-4000K CRI 90 MP M1200 Susp BLK - Светильник</t>
  </si>
  <si>
    <t>РАБ.Р9.2.133</t>
  </si>
  <si>
    <t>Longa 61 35W-4000K CRI 90 MP M1200 Susp BLK- Светильник + Acc. Emergency kit 1,8-3,5W {1-5L12/0,5-2,5L24} EM1H (18-35V, max 100V) BOX I - Аварийный блок</t>
  </si>
  <si>
    <t>РАБ.Р9.2.134</t>
  </si>
  <si>
    <t>Longa 40 DI 22W/mt-4000K CRI 90 ROW Reduced Susp BLK - Светильник</t>
  </si>
  <si>
    <t>РАБ.Р9.2.135</t>
  </si>
  <si>
    <t>Longa 40 DI 25W-4000K CRI 90 M1200 Reduced Susp WHI - Светильник</t>
  </si>
  <si>
    <t>РАБ.Р9.2.136</t>
  </si>
  <si>
    <t>Longa 40 DI 25W-4000K CRI 90 M1200 Reduced Susp WHI Emerg - Светильник + Acc. Emergency kit 1,8-3,5W {1-5L12/0,5-2,5L24} EM1H (18-35V, max 100V) BOX I - Аварийный блок</t>
  </si>
  <si>
    <t>РАБ.Р9.2.137</t>
  </si>
  <si>
    <t>Longa 40 DI 39W-4000K CRI 90 M1400 Susp WHI, L=1392mm - Светильник</t>
  </si>
  <si>
    <t>РАБ.Р9.2.138</t>
  </si>
  <si>
    <t>Ray line 31W/mt-4000K CRI 90 ROW Recess - Светильник</t>
  </si>
  <si>
    <t>РАБ.Р9.2.139</t>
  </si>
  <si>
    <t>Ray line.U-kit - Крепёж в потолок 1 шт.</t>
  </si>
  <si>
    <t>РАБ.Р9.2.140</t>
  </si>
  <si>
    <t>Longa 40 DI 22W/mt-4000K CRI 90 ROW Reduced Susp BLK, L=3928mm - Светильник</t>
  </si>
  <si>
    <t>РАБ.Р9.2.141</t>
  </si>
  <si>
    <t>Ray line 31W/mt-4000K CRI 90 ROW Susp BLK, L=931mm - Светильник</t>
  </si>
  <si>
    <t>РАБ.Р9.2.142</t>
  </si>
  <si>
    <t>Ray line 20W/mt-3500K ROW 270mA Susp BLK, L=2314mm - Светильник</t>
  </si>
  <si>
    <t>РАБ.Р9.2.143</t>
  </si>
  <si>
    <t>Ray line 20W/mt-3500K ROW 270mA Susp BLK, L=3697mm - Светильник</t>
  </si>
  <si>
    <t>РАБ.Р9.2.144</t>
  </si>
  <si>
    <t>Ray line 33W-4000K CRI 90 M1200 Susp BLK - Светильник</t>
  </si>
  <si>
    <t>РАБ.Р9.2.145</t>
  </si>
  <si>
    <t>Ray line 31W/mt-4000K CRI 90 ROW Susp BLK, L=2084mm - Светильник</t>
  </si>
  <si>
    <t>РАБ.Р9.2.146</t>
  </si>
  <si>
    <t>РАБ.Р9.2.147</t>
  </si>
  <si>
    <t>РАБ.Р9.2.148</t>
  </si>
  <si>
    <t>Ray line 15W/mt-4000K CRI 90 ROW 175mA Susp, L=3928mm - Светильник</t>
  </si>
  <si>
    <t>РАБ.Р9.2.149</t>
  </si>
  <si>
    <t>Ray line 15W/mt-4000K CRI 90 ROW 175mA Susp, L=5080mm - Светильник</t>
  </si>
  <si>
    <t>РАБ.Р9.2.150</t>
  </si>
  <si>
    <t>Ray line 31W/mt-4000K CRI 90 ROW Susp BLK, L=5311mm - Светильник</t>
  </si>
  <si>
    <t>РАБ.Р9.2.151</t>
  </si>
  <si>
    <t>Ray line 31W/mt-4000K CRI 90 ROW Susp BLK, L=5541mm - Светильник</t>
  </si>
  <si>
    <t>РАБ.Р9.2.152</t>
  </si>
  <si>
    <t>Ray line 15W/mt-4000K CRI 90 ROW 175mA Susp, L=5772mm - Светильник</t>
  </si>
  <si>
    <t>РАБ.Р9.2.153</t>
  </si>
  <si>
    <t>Ray line 15W/mt-4000K CRI 90 ROW 175mA Susp, L=6694mm - Светильник</t>
  </si>
  <si>
    <t>РАБ.Р9.2.154</t>
  </si>
  <si>
    <t>Ray line 31W/mt-4000K CRI 90 ROW Susp BLK, L=6924mm - Светильник</t>
  </si>
  <si>
    <t>РАБ.Р9.2.155</t>
  </si>
  <si>
    <t>Ray line 15W/mt-4000K CRI 90 ROW 175mA Susp, L=7846mm - Светильник</t>
  </si>
  <si>
    <t>РАБ.Р9.2.156</t>
  </si>
  <si>
    <t>Ray line 15W/mt-4000K CRI 90 ROW 175mA Susp, L=8077mm - Светильник</t>
  </si>
  <si>
    <t>РАБ.Р9.2.157</t>
  </si>
  <si>
    <t>Ray line 15W/mt-4000K CRI 90 ROW 175mA Susp, L=8307mm - Светильник</t>
  </si>
  <si>
    <t>РАБ.Р9.2.158</t>
  </si>
  <si>
    <t>Ray line 15W/mt-4000K CRI 90 ROW 175mA Susp, L=8999mm - Светильник</t>
  </si>
  <si>
    <t>РАБ.Р9.2.159</t>
  </si>
  <si>
    <t>IEK Светильник ДСП 1318 48Вт 4500К IP65 1500мм</t>
  </si>
  <si>
    <t>РАБ.Р9.2.160</t>
  </si>
  <si>
    <t>IEK Светильник ДСП 1318 48Вт 4500К IP65 1500мм Emerg</t>
  </si>
  <si>
    <t>РАБ.Р9.2.161</t>
  </si>
  <si>
    <t>Acc. Wire ↓ suspension 1500mm - Тросовый подвес с регулировкой внизу, 1 шт.</t>
  </si>
  <si>
    <t>РАБ.Р9.2.162</t>
  </si>
  <si>
    <t>LED strip N2835 11W/m 24V 120led/m 1220Lm/m 4000K CRI90 IP20 5m</t>
  </si>
  <si>
    <t>РАБ.Р9.2.163</t>
  </si>
  <si>
    <t>Led driver N24V45W</t>
  </si>
  <si>
    <t>РАБ.Р9.2.164</t>
  </si>
  <si>
    <t>Led driver N24V60W</t>
  </si>
  <si>
    <t>РАБ.Р9.2.165</t>
  </si>
  <si>
    <t>Led driver N24V80W</t>
  </si>
  <si>
    <t>РАБ.Р9.2.166</t>
  </si>
  <si>
    <t>Longa 16 L=2000 mm h=12 ANO - Профиль накладной алюминиевый анодированный, цена за 2 п.м.</t>
  </si>
  <si>
    <t>РАБ.Р9.2.167</t>
  </si>
  <si>
    <t>Longa 15/16/22 L=2000 mm PC Clear - Рассеиватель прозрачный</t>
  </si>
  <si>
    <t>РАБ.Р9.2.168</t>
  </si>
  <si>
    <t>Шинопровод 3м (черный) (белый)</t>
  </si>
  <si>
    <t>РАБ.Р9.2.169</t>
  </si>
  <si>
    <t>Внутренний стык к шинопроводу (черный) (белый)</t>
  </si>
  <si>
    <t>РАБ.Р9.2.170</t>
  </si>
  <si>
    <t>Усилитель стыка, (черный) (белый)</t>
  </si>
  <si>
    <t>РАБ.Р9.2.171</t>
  </si>
  <si>
    <t>Левый токоподвод к шинопроводу (черный) (белый)</t>
  </si>
  <si>
    <t>РАБ.Р9.2.172</t>
  </si>
  <si>
    <t>Скоба крепления к шинопроводу (черный) (белый)</t>
  </si>
  <si>
    <t>РАБ.Р9.2.173</t>
  </si>
  <si>
    <t>Tросик 1,5м (серебро)</t>
  </si>
  <si>
    <t>РАБ.Р9.2.174</t>
  </si>
  <si>
    <t>Колпачок к шинопроводу (черный)</t>
  </si>
  <si>
    <t>РАБ.Р9.2.175</t>
  </si>
  <si>
    <t>Q45 Track 8W-4000K CRI 90 BLK / WHI - Прожектор</t>
  </si>
  <si>
    <t>РАБ.Р9.2.176</t>
  </si>
  <si>
    <t>Угол к шинопроводу (черный)</t>
  </si>
  <si>
    <t>РАБ.Р9.2.177</t>
  </si>
  <si>
    <t>Шинопровод 1м (черный) (белый)</t>
  </si>
  <si>
    <t>РАБ.Р9.2.178</t>
  </si>
  <si>
    <t>Заглушка, (черная, белая)</t>
  </si>
  <si>
    <t>РАБ.Р9.2.179</t>
  </si>
  <si>
    <t>Шинопровод 2м (белый)</t>
  </si>
  <si>
    <t>РАБ.Р9.2.180</t>
  </si>
  <si>
    <t>Silent acoustic D380x230x(h)500 mm, 1xE27, one side colour Susp (белый внутри, серый снаружи)- Светильник</t>
  </si>
  <si>
    <t>РАБ.Р9.2.181</t>
  </si>
  <si>
    <t>Silent acoustic D200-100x(h)300 mm, 1xE27, one side colour Susp Серый- Светильник</t>
  </si>
  <si>
    <t>РАБ.Р9.2.182</t>
  </si>
  <si>
    <t>Silent acoustic D800-400x(h)400 mm, 3xE27, one side colour Susp RED - Светильник</t>
  </si>
  <si>
    <t>РАБ.Р9.2.183</t>
  </si>
  <si>
    <t>Grata Slim SL D750 MP ECO 50W-4000K CRI 90 Reduced Susp BLK - Светильник</t>
  </si>
  <si>
    <t>РАБ.Р9.2.184</t>
  </si>
  <si>
    <t>LED лампа 13W/827 FR DIM E27 1521 lm</t>
  </si>
  <si>
    <t>РАБ.Р9.2.185</t>
  </si>
  <si>
    <t>Longa 40 DI 26W-4000K CRI 90 M900 WALL WHI - Светильник</t>
  </si>
  <si>
    <t>РАБ.Р9.2.186</t>
  </si>
  <si>
    <t>Байпасная блокировка АВВ</t>
  </si>
  <si>
    <t>РАБ.Р9.2.187</t>
  </si>
  <si>
    <t>Кабель ВВГнг-LS 5х16</t>
  </si>
  <si>
    <t>РАБ.Р9.2.188</t>
  </si>
  <si>
    <t>Кабель ВВГнг-LS 5х10</t>
  </si>
  <si>
    <t>РАБ.Р9.2.189</t>
  </si>
  <si>
    <t>Кабель ВВГнг-LS 5х6</t>
  </si>
  <si>
    <t>РАБ.Р9.2.190</t>
  </si>
  <si>
    <t>Кабель ВВГнг-LS 5х4</t>
  </si>
  <si>
    <t>РАБ.Р9.2.191</t>
  </si>
  <si>
    <t>Прокладка кабеля / провода</t>
  </si>
  <si>
    <t>РАБ.Р9.2.192</t>
  </si>
  <si>
    <t>РАБ.Р9.2.193</t>
  </si>
  <si>
    <t>РАБ.Р9.2.194</t>
  </si>
  <si>
    <t>РАБ.Р9.2.195</t>
  </si>
  <si>
    <t>Кабель ППГнг(А)-HF 5х35</t>
  </si>
  <si>
    <t>РАБ.Р9.2.196</t>
  </si>
  <si>
    <t>Кабель ППГнг(А)-HF 5х25</t>
  </si>
  <si>
    <t>РАБ.Р9.2.197</t>
  </si>
  <si>
    <t>РАБ.Р9.2.198</t>
  </si>
  <si>
    <t>Кабель ППГнг(А)-HF 5х6</t>
  </si>
  <si>
    <t>РАБ.Р9.2.199</t>
  </si>
  <si>
    <t>Кабель ППГнг(А)-HF 5х4</t>
  </si>
  <si>
    <t>РАБ.Р9.2.200</t>
  </si>
  <si>
    <t>Кабель ППГнг(А)-HF 3х6,0</t>
  </si>
  <si>
    <t>РАБ.Р9.2.201</t>
  </si>
  <si>
    <t>РАБ.Р9.2.202</t>
  </si>
  <si>
    <t>РАБ.Р9.2.203</t>
  </si>
  <si>
    <t>Кабельная проходка ОГНЕЗА-ПМ-К/50 (муфта)</t>
  </si>
  <si>
    <t>РАБ.Р9.2.204</t>
  </si>
  <si>
    <t>РАБ.Р9.2.205</t>
  </si>
  <si>
    <t>Напольная коробка 18 модулей Legrand арт. 089611</t>
  </si>
  <si>
    <t>ЛЮЧОК</t>
  </si>
  <si>
    <t>РАБ.Р9.2.206</t>
  </si>
  <si>
    <t>РАБ.Р9.2.207</t>
  </si>
  <si>
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</si>
  <si>
    <t>РАБ.Р9.2.208</t>
  </si>
  <si>
    <t>Обработка проходов кабелей через перегородки огнезой с 2 сторон</t>
  </si>
  <si>
    <t>РАБ.Р9.3.001</t>
  </si>
  <si>
    <t>ВРЩ(микро)</t>
  </si>
  <si>
    <t>РАБ.Р9.3.002</t>
  </si>
  <si>
    <t>ППУ(микро)</t>
  </si>
  <si>
    <t>РАБ.Р9.4.001</t>
  </si>
  <si>
    <t>Монтаж Светильника аварийного светодиодного iTECH M2 302 M ST, 2W/1LED, IP65, 115 Lm, 3 часа, постоянного действия, ручное тестирование</t>
  </si>
  <si>
    <t>РАБ.Р9.4.002</t>
  </si>
  <si>
    <t>Гофрированная ПВХ труба ∅ 20</t>
  </si>
  <si>
    <t>РАБ.Р9.4.003</t>
  </si>
  <si>
    <t>РАБ.Р9.4.004</t>
  </si>
  <si>
    <t>Кабель-канал DLP 105х50 мм Legrand, включая заглушки, уголки и разделители.</t>
  </si>
  <si>
    <t>РАБ.Р9.4.005</t>
  </si>
  <si>
    <t>Зажим 773-302 безвинтовой 6х (0,75-2,5) кв. мм для меди и алюминия (Wago)</t>
  </si>
  <si>
    <t>РАБ.Р9.4.006</t>
  </si>
  <si>
    <t>Провод ПВ1 1х6 (красный/голубой/желтый/зеленый/желто-зеленый)</t>
  </si>
  <si>
    <t>РАБ.Р9.4.007</t>
  </si>
  <si>
    <t>Провод ПВ1 1х4 (красный/голубой/желтый/зеленый/желто-зеленый)</t>
  </si>
  <si>
    <t>РАБ.Р9.4.008</t>
  </si>
  <si>
    <t>РАБ.Р9.4.009</t>
  </si>
  <si>
    <t>Установка выключателя с ключом двухпозиционного</t>
  </si>
  <si>
    <t>РАБ.Р9.4.010</t>
  </si>
  <si>
    <t>РАБ.Р9.4.011</t>
  </si>
  <si>
    <t>РАБ.Р9.4.012</t>
  </si>
  <si>
    <t>РАБ.Р9.4.013</t>
  </si>
  <si>
    <t>РАБ.Р9.4.014</t>
  </si>
  <si>
    <t>РАБ.Р9.5.001</t>
  </si>
  <si>
    <t>Полоса 40х5 горячеоцинкованная NC2405 DKC</t>
  </si>
  <si>
    <t>МЗ</t>
  </si>
  <si>
    <t>РАБ.Р9.5.002</t>
  </si>
  <si>
    <t>Пруток 8 мм горячеоцинкованный NC1008 DKC</t>
  </si>
  <si>
    <t>РАБ.Р9.5.003</t>
  </si>
  <si>
    <t>Зажим угловой коньковый 100мм ND2202 DKC</t>
  </si>
  <si>
    <t>РАБ.Р9.5.004</t>
  </si>
  <si>
    <t>Держатель металлический для плоской кровли 100мм ND2106 DKC</t>
  </si>
  <si>
    <t>РАБ.Р9.5.005</t>
  </si>
  <si>
    <t>Держатель фасадный 100мм ND2307 DKC</t>
  </si>
  <si>
    <t>РАБ.Р9.5.006</t>
  </si>
  <si>
    <t>Заземлитель вертикальный из уголка 50х50х5мм 3м NE5503 DKC</t>
  </si>
  <si>
    <t>РАБ.Р9.5.007</t>
  </si>
  <si>
    <t>Соединитель универсальный NG3103 DKC</t>
  </si>
  <si>
    <t>РАБ.Р9.5.008</t>
  </si>
  <si>
    <t>Зажим параллельный D8-10мм NG3108 DKC</t>
  </si>
  <si>
    <t>РАБ.Р9.5.009</t>
  </si>
  <si>
    <t>Держатель прутка на водостоке с болтом ND2308 DKC</t>
  </si>
  <si>
    <t>РАБ.Р9.5.010</t>
  </si>
  <si>
    <t>Соединитель пруток - полоса, 80х80 мм NG3101 DKC</t>
  </si>
  <si>
    <t>РАБ.Р9.5.011</t>
  </si>
  <si>
    <t>Скоба-держатель полосы с болтом ND2312 DKC</t>
  </si>
  <si>
    <t>РАБ.Р9.5.012</t>
  </si>
  <si>
    <t>Коробка уравнивания потенциалов 85х85х40 КУП2603-И HEGEL</t>
  </si>
  <si>
    <t>РАБ.Р10.1.001</t>
  </si>
  <si>
    <t>Р10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</si>
  <si>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</si>
  <si>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РАБ.Р10.1.002</t>
  </si>
  <si>
    <t>Установка подъемной платформы для МГН с наклонным перемещением БК 350 (Брянск, Россия).</t>
  </si>
  <si>
    <t>РАБ.Р10.1.003</t>
  </si>
  <si>
    <t>Монтаж элемента адаптации для МГН</t>
  </si>
  <si>
    <t>МГН</t>
  </si>
  <si>
    <t>РАБ.Р10.1.004</t>
  </si>
  <si>
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</si>
  <si>
    <t>РАБ.Р10.1.005</t>
  </si>
  <si>
    <t>Откидной пандус. Конструкция из двух рельс (аппарелей), которые соединены между собой направляющими (до 2,5 м)</t>
  </si>
  <si>
    <t>РАБ.Р10.1.006</t>
  </si>
  <si>
    <t>Мини пандус из листового метала. Выполнен из алюминиевого рифленого листа на металлическом каркасе (900х350х50 мм).</t>
  </si>
  <si>
    <t>РАБ.Р10.1.007</t>
  </si>
  <si>
    <t>Мини пандус из листового метала. Выполнен из алюминиевого рифленого листа на металлическом каркасе (900х350х100 мм).</t>
  </si>
  <si>
    <t>РАБ.Р10.1.008</t>
  </si>
  <si>
    <t>Мини пандус из листового метала. Выполнен из алюминиевого рифленого листа на металлическом каркасе (900х700х50 мм).</t>
  </si>
  <si>
    <t>РАБ.Р10.1.009</t>
  </si>
  <si>
    <t>Мини пандус из листового метала. Выполнен из алюминиевого рифленого листа на металлическом каркасе (900х1000х100 мм).</t>
  </si>
  <si>
    <t>РАБ.Р10.1.010</t>
  </si>
  <si>
    <t>Наклейка на дверь круг. Самоклеящаяся, виниловая, желтого цвета, размер 200мм.</t>
  </si>
  <si>
    <t>РАБ.Р10.1.011</t>
  </si>
  <si>
    <t>Транспортные расходы (% от стоимости материалов):</t>
  </si>
  <si>
    <t>%</t>
  </si>
  <si>
    <t>РАБ.Р10.1.012</t>
  </si>
  <si>
    <t>ВСЕГО*:</t>
  </si>
  <si>
    <t>руб.</t>
  </si>
  <si>
    <t>РАБ.Р11.1.001</t>
  </si>
  <si>
    <t>Р11</t>
  </si>
  <si>
    <t>Автоматическая пожарная сигнализация (АПС) — монтаж и ПНР</t>
  </si>
  <si>
    <t>компл</t>
  </si>
  <si>
    <t>РАБ.Р11.1.002</t>
  </si>
  <si>
    <t>Система оповещения и управления эвакуацией (СОУЭ) — монтаж и ПНР</t>
  </si>
  <si>
    <t>РАБ.Р11.2.001</t>
  </si>
  <si>
    <t>Система контроля и управления доступом (СКУД) — монтаж и ПНР</t>
  </si>
  <si>
    <t>РАБ.Р11.2.002</t>
  </si>
  <si>
    <t>Система охранного видеонаблюдения (CCTV) — монтаж и ПНР</t>
  </si>
  <si>
    <t>РАБ.Р11.2.003</t>
  </si>
  <si>
    <t>Охранная и тревожная сигнализация — монтаж и ПНР</t>
  </si>
  <si>
    <t>РАБ.Р11.2.004</t>
  </si>
  <si>
    <t>Охрана кассового узла (ДКБ) — оборудование и ПНР</t>
  </si>
  <si>
    <t>РАБ.Р11.3.001</t>
  </si>
  <si>
    <t>Структурированная кабельная сеть (СКС/ЛВС) — монтаж</t>
  </si>
  <si>
    <t>РАБ.Р11.3.002</t>
  </si>
  <si>
    <t>Закладные и лотки под слаботочные системы</t>
  </si>
  <si>
    <t>РАБ.Р11.9.001</t>
  </si>
  <si>
    <t>Граница ответственности: слаботочка/безопасность — вендор банка</t>
  </si>
  <si>
    <t>РАБ.Р12.1.001</t>
  </si>
  <si>
    <t>Р12</t>
  </si>
  <si>
    <t>Временное электроснабжение строительной площадки</t>
  </si>
  <si>
    <t>РАБ.Р12.1.002</t>
  </si>
  <si>
    <t>Временное водоснабжение строительной площадки</t>
  </si>
  <si>
    <t>РАБ.Р12.1.003</t>
  </si>
  <si>
    <t>Ограждение строительной зоны</t>
  </si>
  <si>
    <t>РАБ.Р12.1.004</t>
  </si>
  <si>
    <t>Бытовое помещение на период производства работ</t>
  </si>
  <si>
    <t>мес</t>
  </si>
  <si>
    <t>РАБ.Р12.1.005</t>
  </si>
  <si>
    <t>Охрана объекта на период производства работ</t>
  </si>
  <si>
    <t>РАБ.Р12.1.006</t>
  </si>
  <si>
    <t>Мероприятия по охране труда, пожарной безопасности, СИЗ</t>
  </si>
  <si>
    <t>РАБ.Р12.2.001</t>
  </si>
  <si>
    <t>Пусконаладочные работы систем вентиляции</t>
  </si>
  <si>
    <t>РАБ.Р12.2.002</t>
  </si>
  <si>
    <t>РАБ.Р12.2.003</t>
  </si>
  <si>
    <t>Пусконаладочные работы систем отопления</t>
  </si>
  <si>
    <t>РАБ.Р12.2.004</t>
  </si>
  <si>
    <t>Пусконаладочные работы систем водоснабжения, канализации и ВПВ</t>
  </si>
  <si>
    <t>РАБ.Р12.2.005</t>
  </si>
  <si>
    <t>Пусконаладочные работы систем АУПТ (спринклерные)</t>
  </si>
  <si>
    <t>РАБ.Р12.3.001</t>
  </si>
  <si>
    <t>Исполнительная документация (комплект)</t>
  </si>
  <si>
    <t>РАБ.Р12.3.002</t>
  </si>
  <si>
    <t>Геодезическая разбивка, вынос осей и отметок</t>
  </si>
  <si>
    <t>РАБ.Р12.3.003</t>
  </si>
  <si>
    <t>Обмерные работы помещений</t>
  </si>
  <si>
    <t>РАБ.Р12.4.001</t>
  </si>
  <si>
    <t>Предсдаточная (финишная) уборка помещений</t>
  </si>
  <si>
    <t>РАБ.Р12.4.002</t>
  </si>
  <si>
    <t>Вывоз и утилизация строительного мусора (сверх демонтажа)</t>
  </si>
  <si>
    <t>РАБ.Р12.5.001</t>
  </si>
  <si>
    <t>Резерв на непредвиденные работы и затраты</t>
  </si>
  <si>
    <t>Код_материала</t>
  </si>
  <si>
    <t>Группа</t>
  </si>
  <si>
    <t>Наименование</t>
  </si>
  <si>
    <t>Артикул</t>
  </si>
  <si>
    <t>Производитель</t>
  </si>
  <si>
    <t>Поставщик</t>
  </si>
  <si>
    <t>Ед_изм</t>
  </si>
  <si>
    <t>Цена</t>
  </si>
  <si>
    <t>Валюта</t>
  </si>
  <si>
    <t>КОД — Наименование (служебный)</t>
  </si>
  <si>
    <t>МАТ.VRF.ВНУТ.001</t>
  </si>
  <si>
    <t>BMS interface HCM-04</t>
  </si>
  <si>
    <t>HCM-04</t>
  </si>
  <si>
    <t>Haier</t>
  </si>
  <si>
    <t>Хайер</t>
  </si>
  <si>
    <t>USD</t>
  </si>
  <si>
    <t>МАТ.VRF.ВНУТ.001 — BMS interface HCM-04</t>
  </si>
  <si>
    <t>МАТ.VRF.ВНУТ.002</t>
  </si>
  <si>
    <t>Inverter Protocol Adapter IGU02</t>
  </si>
  <si>
    <t>IGU02</t>
  </si>
  <si>
    <t>МАТ.VRF.ВНУТ.002 — Inverter Protocol Adapter IGU02</t>
  </si>
  <si>
    <t>МАТ.VRF.ВНУТ.003</t>
  </si>
  <si>
    <t>MDVI3-100C4VR12D</t>
  </si>
  <si>
    <t>MDV</t>
  </si>
  <si>
    <t>Дженерал-Трейд (АЯК)</t>
  </si>
  <si>
    <t>МАТ.VRF.ВНУТ.003 — MDVI3-100C4VR12D</t>
  </si>
  <si>
    <t>МАТ.VRF.ВНУТ.004</t>
  </si>
  <si>
    <t>MDVI3-100CFVR12D</t>
  </si>
  <si>
    <t>МАТ.VRF.ВНУТ.004 — MDVI3-100CFVR12D</t>
  </si>
  <si>
    <t>МАТ.VRF.ВНУТ.005</t>
  </si>
  <si>
    <t>MDVI3-112C4VR12D</t>
  </si>
  <si>
    <t>МАТ.VRF.ВНУТ.005 — MDVI3-112C4VR12D</t>
  </si>
  <si>
    <t>МАТ.VRF.ВНУТ.006</t>
  </si>
  <si>
    <t>MDVI3-112CFVR12D</t>
  </si>
  <si>
    <t>МАТ.VRF.ВНУТ.006 — MDVI3-112CFVR12D</t>
  </si>
  <si>
    <t>МАТ.VRF.ВНУТ.007</t>
  </si>
  <si>
    <t>MDVI3-112D1VR12D</t>
  </si>
  <si>
    <t>МАТ.VRF.ВНУТ.007 — MDVI3-112D1VR12D</t>
  </si>
  <si>
    <t>МАТ.VRF.ВНУТ.008</t>
  </si>
  <si>
    <t>MDVI3-112D2VR12D</t>
  </si>
  <si>
    <t>МАТ.VRF.ВНУТ.008 — MDVI3-112D2VR12D</t>
  </si>
  <si>
    <t>МАТ.VRF.ВНУТ.009</t>
  </si>
  <si>
    <t>MDVI3-112D3VR12D</t>
  </si>
  <si>
    <t>МАТ.VRF.ВНУТ.009 — MDVI3-112D3VR12D</t>
  </si>
  <si>
    <t>МАТ.VRF.ВНУТ.010</t>
  </si>
  <si>
    <t>MDVI3-125CFVR12D</t>
  </si>
  <si>
    <t>МАТ.VRF.ВНУТ.010 — MDVI3-125CFVR12D</t>
  </si>
  <si>
    <t>МАТ.VRF.ВНУТ.011</t>
  </si>
  <si>
    <t>MDVI3-125D2VR12D</t>
  </si>
  <si>
    <t>МАТ.VRF.ВНУТ.011 — MDVI3-125D2VR12D</t>
  </si>
  <si>
    <t>МАТ.VRF.ВНУТ.012</t>
  </si>
  <si>
    <t>MDVI3-125D3VR12D</t>
  </si>
  <si>
    <t>МАТ.VRF.ВНУТ.012 — MDVI3-125D3VR12D</t>
  </si>
  <si>
    <t>МАТ.VRF.ВНУТ.013</t>
  </si>
  <si>
    <t>MDVI3-140C4VR12D</t>
  </si>
  <si>
    <t>МАТ.VRF.ВНУТ.013 — MDVI3-140C4VR12D</t>
  </si>
  <si>
    <t>МАТ.VRF.ВНУТ.014</t>
  </si>
  <si>
    <t>MDVI3-140CFVR12D</t>
  </si>
  <si>
    <t>МАТ.VRF.ВНУТ.014 — MDVI3-140CFVR12D</t>
  </si>
  <si>
    <t>МАТ.VRF.ВНУТ.015</t>
  </si>
  <si>
    <t>MDVI3-140D2VR12D</t>
  </si>
  <si>
    <t>МАТ.VRF.ВНУТ.015 — MDVI3-140D2VR12D</t>
  </si>
  <si>
    <t>МАТ.VRF.ВНУТ.016</t>
  </si>
  <si>
    <t>MDVI3-140D3VR12D</t>
  </si>
  <si>
    <t>МАТ.VRF.ВНУТ.016 — MDVI3-140D3VR12D</t>
  </si>
  <si>
    <t>МАТ.VRF.ВНУТ.017</t>
  </si>
  <si>
    <t>MDVI3-140OAVR12D(A)</t>
  </si>
  <si>
    <t>МАТ.VRF.ВНУТ.017 — MDVI3-140OAVR12D(A)</t>
  </si>
  <si>
    <t>МАТ.VRF.ВНУТ.018</t>
  </si>
  <si>
    <t>MDVI3-15C4CVR12D</t>
  </si>
  <si>
    <t>МАТ.VRF.ВНУТ.018 — MDVI3-15C4CVR12D</t>
  </si>
  <si>
    <t>МАТ.VRF.ВНУТ.019</t>
  </si>
  <si>
    <t>MDVI3-15D1VR12D</t>
  </si>
  <si>
    <t>МАТ.VRF.ВНУТ.019 — MDVI3-15D1VR12D</t>
  </si>
  <si>
    <t>МАТ.VRF.ВНУТ.020</t>
  </si>
  <si>
    <t>MDVI3-15D2VR12D</t>
  </si>
  <si>
    <t>МАТ.VRF.ВНУТ.020 — MDVI3-15D2VR12D</t>
  </si>
  <si>
    <t>МАТ.VRF.ВНУТ.021</t>
  </si>
  <si>
    <t>MDVI3-15WMVR12D</t>
  </si>
  <si>
    <t>МАТ.VRF.ВНУТ.021 — MDVI3-15WMVR12D</t>
  </si>
  <si>
    <t>МАТ.VRF.ВНУТ.022</t>
  </si>
  <si>
    <t>MDVI3-15WMVR12D-B</t>
  </si>
  <si>
    <t>МАТ.VRF.ВНУТ.022 — MDVI3-15WMVR12D-B</t>
  </si>
  <si>
    <t>МАТ.VRF.ВНУТ.023</t>
  </si>
  <si>
    <t>MDVI3-160C4VR12D</t>
  </si>
  <si>
    <t>МАТ.VRF.ВНУТ.023 — MDVI3-160C4VR12D</t>
  </si>
  <si>
    <t>МАТ.VRF.ВНУТ.024</t>
  </si>
  <si>
    <t>MDVI3-160D2VR12D</t>
  </si>
  <si>
    <t>МАТ.VRF.ВНУТ.024 — MDVI3-160D2VR12D</t>
  </si>
  <si>
    <t>МАТ.VRF.ВНУТ.025</t>
  </si>
  <si>
    <t>MDVI3-160D3VR12D</t>
  </si>
  <si>
    <t>МАТ.VRF.ВНУТ.025 — MDVI3-160D3VR12D</t>
  </si>
  <si>
    <t>МАТ.VRF.ВНУТ.026</t>
  </si>
  <si>
    <t>MDVI3-160OAVR12D(A)</t>
  </si>
  <si>
    <t>МАТ.VRF.ВНУТ.026 — MDVI3-160OAVR12D(A)</t>
  </si>
  <si>
    <t>МАТ.VRF.ВНУТ.027</t>
  </si>
  <si>
    <t>MDVI3-180C4VR12D</t>
  </si>
  <si>
    <t>МАТ.VRF.ВНУТ.027 — MDVI3-180C4VR12D</t>
  </si>
  <si>
    <t>МАТ.VRF.ВНУТ.028</t>
  </si>
  <si>
    <t>MDVI3-18C1VR12D</t>
  </si>
  <si>
    <t>МАТ.VRF.ВНУТ.028 — MDVI3-18C1VR12D</t>
  </si>
  <si>
    <t>МАТ.VRF.ВНУТ.029</t>
  </si>
  <si>
    <t>MDVI3-200D3VR12D</t>
  </si>
  <si>
    <t>МАТ.VRF.ВНУТ.029 — MDVI3-200D3VR12D</t>
  </si>
  <si>
    <t>МАТ.VRF.ВНУТ.030</t>
  </si>
  <si>
    <t>MDVI3-200OAVR12D</t>
  </si>
  <si>
    <t>МАТ.VRF.ВНУТ.030 — MDVI3-200OAVR12D</t>
  </si>
  <si>
    <t>МАТ.VRF.ВНУТ.031</t>
  </si>
  <si>
    <t>MDVI3-224D3VR12D</t>
  </si>
  <si>
    <t>МАТ.VRF.ВНУТ.031 — MDVI3-224D3VR12D</t>
  </si>
  <si>
    <t>МАТ.VRF.ВНУТ.032</t>
  </si>
  <si>
    <t>MDVI3-224OAVR12D</t>
  </si>
  <si>
    <t>МАТ.VRF.ВНУТ.032 — MDVI3-224OAVR12D</t>
  </si>
  <si>
    <t>МАТ.VRF.ВНУТ.033</t>
  </si>
  <si>
    <t>MDVI3-224OAVR12D(A)</t>
  </si>
  <si>
    <t>МАТ.VRF.ВНУТ.033 — MDVI3-224OAVR12D(A)</t>
  </si>
  <si>
    <t>МАТ.VRF.ВНУТ.034</t>
  </si>
  <si>
    <t>MDVI3-22C1VR12D</t>
  </si>
  <si>
    <t>МАТ.VRF.ВНУТ.034 — MDVI3-22C1VR12D</t>
  </si>
  <si>
    <t>МАТ.VRF.ВНУТ.035</t>
  </si>
  <si>
    <t>MDVI3-22C2VR12D</t>
  </si>
  <si>
    <t>МАТ.VRF.ВНУТ.035 — MDVI3-22C2VR12D</t>
  </si>
  <si>
    <t>МАТ.VRF.ВНУТ.036</t>
  </si>
  <si>
    <t>MDVI3-22C4CVR12D</t>
  </si>
  <si>
    <t>МАТ.VRF.ВНУТ.036 — MDVI3-22C4CVR12D</t>
  </si>
  <si>
    <t>МАТ.VRF.ВНУТ.037</t>
  </si>
  <si>
    <t>MDVI3-22D1VR12D</t>
  </si>
  <si>
    <t>МАТ.VRF.ВНУТ.037 — MDVI3-22D1VR12D</t>
  </si>
  <si>
    <t>МАТ.VRF.ВНУТ.038</t>
  </si>
  <si>
    <t>MDVI3-22D2VR12D</t>
  </si>
  <si>
    <t>МАТ.VRF.ВНУТ.038 — MDVI3-22D2VR12D</t>
  </si>
  <si>
    <t>МАТ.VRF.ВНУТ.039</t>
  </si>
  <si>
    <t>MDVI3-22FS3VR12D</t>
  </si>
  <si>
    <t>МАТ.VRF.ВНУТ.039 — MDVI3-22FS3VR12D</t>
  </si>
  <si>
    <t>МАТ.VRF.ВНУТ.040</t>
  </si>
  <si>
    <t>MDVI3-22FS4VR12D</t>
  </si>
  <si>
    <t>МАТ.VRF.ВНУТ.040 — MDVI3-22FS4VR12D</t>
  </si>
  <si>
    <t>МАТ.VRF.ВНУТ.041</t>
  </si>
  <si>
    <t>MDVI3-22FS5VR12D</t>
  </si>
  <si>
    <t>МАТ.VRF.ВНУТ.041 — MDVI3-22FS5VR12D</t>
  </si>
  <si>
    <t>МАТ.VRF.ВНУТ.042</t>
  </si>
  <si>
    <t>MDVI3-22WMVR12D</t>
  </si>
  <si>
    <t>МАТ.VRF.ВНУТ.042 — MDVI3-22WMVR12D</t>
  </si>
  <si>
    <t>МАТ.VRF.ВНУТ.043</t>
  </si>
  <si>
    <t>MDVI3-22WMVR12D-B</t>
  </si>
  <si>
    <t>МАТ.VRF.ВНУТ.043 — MDVI3-22WMVR12D-B</t>
  </si>
  <si>
    <t>МАТ.VRF.ВНУТ.044</t>
  </si>
  <si>
    <t>MDVI3-252D3VR12D</t>
  </si>
  <si>
    <t>МАТ.VRF.ВНУТ.044 — MDVI3-252D3VR12D</t>
  </si>
  <si>
    <t>МАТ.VRF.ВНУТ.045</t>
  </si>
  <si>
    <t>MDVI3-252OAVR12D</t>
  </si>
  <si>
    <t>МАТ.VRF.ВНУТ.045 — MDVI3-252OAVR12D</t>
  </si>
  <si>
    <t>МАТ.VRF.ВНУТ.046</t>
  </si>
  <si>
    <t>MDVI3-280D3VR12D</t>
  </si>
  <si>
    <t>МАТ.VRF.ВНУТ.046 — MDVI3-280D3VR12D</t>
  </si>
  <si>
    <t>МАТ.VRF.ВНУТ.047</t>
  </si>
  <si>
    <t>MDVI3-280OAVR12D</t>
  </si>
  <si>
    <t>МАТ.VRF.ВНУТ.047 — MDVI3-280OAVR12D</t>
  </si>
  <si>
    <t>МАТ.VRF.ВНУТ.048</t>
  </si>
  <si>
    <t>MDVI3-280OAVR12D(A)</t>
  </si>
  <si>
    <t>МАТ.VRF.ВНУТ.048 — MDVI3-280OAVR12D(A)</t>
  </si>
  <si>
    <t>МАТ.VRF.ВНУТ.049</t>
  </si>
  <si>
    <t>MDVI3-28C1VR12D</t>
  </si>
  <si>
    <t>МАТ.VRF.ВНУТ.049 — MDVI3-28C1VR12D</t>
  </si>
  <si>
    <t>МАТ.VRF.ВНУТ.050</t>
  </si>
  <si>
    <t>MDVI3-28C2VR12D</t>
  </si>
  <si>
    <t>МАТ.VRF.ВНУТ.050 — MDVI3-28C2VR12D</t>
  </si>
  <si>
    <t>МАТ.VRF.ВНУТ.051</t>
  </si>
  <si>
    <t>MDVI3-28C4CVR12D</t>
  </si>
  <si>
    <t>МАТ.VRF.ВНУТ.051 — MDVI3-28C4CVR12D</t>
  </si>
  <si>
    <t>МАТ.VRF.ВНУТ.052</t>
  </si>
  <si>
    <t>MDVI3-28C4VR12D</t>
  </si>
  <si>
    <t>МАТ.VRF.ВНУТ.052 — MDVI3-28C4VR12D</t>
  </si>
  <si>
    <t>МАТ.VRF.ВНУТ.053</t>
  </si>
  <si>
    <t>MDVI3-28D1VR12D</t>
  </si>
  <si>
    <t>МАТ.VRF.ВНУТ.053 — MDVI3-28D1VR12D</t>
  </si>
  <si>
    <t>МАТ.VRF.ВНУТ.054</t>
  </si>
  <si>
    <t>MDVI3-28D2VR12D</t>
  </si>
  <si>
    <t>МАТ.VRF.ВНУТ.054 — MDVI3-28D2VR12D</t>
  </si>
  <si>
    <t>МАТ.VRF.ВНУТ.055</t>
  </si>
  <si>
    <t>MDVI3-28FS3VR12D</t>
  </si>
  <si>
    <t>МАТ.VRF.ВНУТ.055 — MDVI3-28FS3VR12D</t>
  </si>
  <si>
    <t>МАТ.VRF.ВНУТ.056</t>
  </si>
  <si>
    <t>MDVI3-28FS4VR12D</t>
  </si>
  <si>
    <t>МАТ.VRF.ВНУТ.056 — MDVI3-28FS4VR12D</t>
  </si>
  <si>
    <t>МАТ.VRF.ВНУТ.057</t>
  </si>
  <si>
    <t>MDVI3-28FS5VR12D</t>
  </si>
  <si>
    <t>МАТ.VRF.ВНУТ.057 — MDVI3-28FS5VR12D</t>
  </si>
  <si>
    <t>МАТ.VRF.ВНУТ.058</t>
  </si>
  <si>
    <t>MDVI3-28WMVR12D</t>
  </si>
  <si>
    <t>МАТ.VRF.ВНУТ.058 — MDVI3-28WMVR12D</t>
  </si>
  <si>
    <t>МАТ.VRF.ВНУТ.059</t>
  </si>
  <si>
    <t>MDVI3-28WMVR12D-B</t>
  </si>
  <si>
    <t>МАТ.VRF.ВНУТ.059 — MDVI3-28WMVR12D-B</t>
  </si>
  <si>
    <t>МАТ.VRF.ВНУТ.060</t>
  </si>
  <si>
    <t>MDVI3-335D3VR12D</t>
  </si>
  <si>
    <t>МАТ.VRF.ВНУТ.060 — MDVI3-335D3VR12D</t>
  </si>
  <si>
    <t>МАТ.VRF.ВНУТ.061</t>
  </si>
  <si>
    <t>MDVI3-335OAVR12D</t>
  </si>
  <si>
    <t>МАТ.VRF.ВНУТ.061 — MDVI3-335OAVR12D</t>
  </si>
  <si>
    <t>МАТ.VRF.ВНУТ.062</t>
  </si>
  <si>
    <t>MDVI3-36C1VR12D</t>
  </si>
  <si>
    <t>МАТ.VRF.ВНУТ.062 — MDVI3-36C1VR12D</t>
  </si>
  <si>
    <t>МАТ.VRF.ВНУТ.063</t>
  </si>
  <si>
    <t>MDVI3-36C2VR12D</t>
  </si>
  <si>
    <t>МАТ.VRF.ВНУТ.063 — MDVI3-36C2VR12D</t>
  </si>
  <si>
    <t>МАТ.VRF.ВНУТ.064</t>
  </si>
  <si>
    <t>MDVI3-36C4CVR12D</t>
  </si>
  <si>
    <t>МАТ.VRF.ВНУТ.064 — MDVI3-36C4CVR12D</t>
  </si>
  <si>
    <t>МАТ.VRF.ВНУТ.065</t>
  </si>
  <si>
    <t>MDVI3-36C4VR12D</t>
  </si>
  <si>
    <t>МАТ.VRF.ВНУТ.065 — MDVI3-36C4VR12D</t>
  </si>
  <si>
    <t>МАТ.VRF.ВНУТ.066</t>
  </si>
  <si>
    <t>MDVI3-36CFVR12D</t>
  </si>
  <si>
    <t>МАТ.VRF.ВНУТ.066 — MDVI3-36CFVR12D</t>
  </si>
  <si>
    <t>МАТ.VRF.ВНУТ.067</t>
  </si>
  <si>
    <t>MDVI3-36D1VR12D</t>
  </si>
  <si>
    <t>МАТ.VRF.ВНУТ.067 — MDVI3-36D1VR12D</t>
  </si>
  <si>
    <t>МАТ.VRF.ВНУТ.068</t>
  </si>
  <si>
    <t>MDVI3-36D2VR12D</t>
  </si>
  <si>
    <t>МАТ.VRF.ВНУТ.068 — MDVI3-36D2VR12D</t>
  </si>
  <si>
    <t>МАТ.VRF.ВНУТ.069</t>
  </si>
  <si>
    <t>MDVI3-36FS3VR12D</t>
  </si>
  <si>
    <t>МАТ.VRF.ВНУТ.069 — MDVI3-36FS3VR12D</t>
  </si>
  <si>
    <t>МАТ.VRF.ВНУТ.070</t>
  </si>
  <si>
    <t>MDVI3-36FS4VR12D</t>
  </si>
  <si>
    <t>МАТ.VRF.ВНУТ.070 — MDVI3-36FS4VR12D</t>
  </si>
  <si>
    <t>МАТ.VRF.ВНУТ.071</t>
  </si>
  <si>
    <t>MDVI3-36FS5VR12D</t>
  </si>
  <si>
    <t>МАТ.VRF.ВНУТ.071 — MDVI3-36FS5VR12D</t>
  </si>
  <si>
    <t>МАТ.VRF.ВНУТ.072</t>
  </si>
  <si>
    <t>MDVI3-36WMVR12D</t>
  </si>
  <si>
    <t>МАТ.VRF.ВНУТ.072 — MDVI3-36WMVR12D</t>
  </si>
  <si>
    <t>МАТ.VRF.ВНУТ.073</t>
  </si>
  <si>
    <t>MDVI3-36WMVR12D-B</t>
  </si>
  <si>
    <t>МАТ.VRF.ВНУТ.073 — MDVI3-36WMVR12D-B</t>
  </si>
  <si>
    <t>МАТ.VRF.ВНУТ.074</t>
  </si>
  <si>
    <t>MDVI3-400D3VR12D</t>
  </si>
  <si>
    <t>МАТ.VRF.ВНУТ.074 — MDVI3-400D3VR12D</t>
  </si>
  <si>
    <t>МАТ.VRF.ВНУТ.075</t>
  </si>
  <si>
    <t>MDVI3-400OAVR12D</t>
  </si>
  <si>
    <t>МАТ.VRF.ВНУТ.075 — MDVI3-400OAVR12D</t>
  </si>
  <si>
    <t>МАТ.VRF.ВНУТ.076</t>
  </si>
  <si>
    <t>MDVI3-450D3VR12D</t>
  </si>
  <si>
    <t>МАТ.VRF.ВНУТ.076 — MDVI3-450D3VR12D</t>
  </si>
  <si>
    <t>МАТ.VRF.ВНУТ.077</t>
  </si>
  <si>
    <t>MDVI3-450OAVR12D</t>
  </si>
  <si>
    <t>МАТ.VRF.ВНУТ.077 — MDVI3-450OAVR12D</t>
  </si>
  <si>
    <t>МАТ.VRF.ВНУТ.078</t>
  </si>
  <si>
    <t>MDVI3-45C1VR12D</t>
  </si>
  <si>
    <t>МАТ.VRF.ВНУТ.078 — MDVI3-45C1VR12D</t>
  </si>
  <si>
    <t>МАТ.VRF.ВНУТ.079</t>
  </si>
  <si>
    <t>MDVI3-45C2VR12D</t>
  </si>
  <si>
    <t>МАТ.VRF.ВНУТ.079 — MDVI3-45C2VR12D</t>
  </si>
  <si>
    <t>МАТ.VRF.ВНУТ.080</t>
  </si>
  <si>
    <t>MDVI3-45C4CVR12D</t>
  </si>
  <si>
    <t>МАТ.VRF.ВНУТ.080 — MDVI3-45C4CVR12D</t>
  </si>
  <si>
    <t>МАТ.VRF.ВНУТ.081</t>
  </si>
  <si>
    <t>MDVI3-45C4VR12D</t>
  </si>
  <si>
    <t>МАТ.VRF.ВНУТ.081 — MDVI3-45C4VR12D</t>
  </si>
  <si>
    <t>МАТ.VRF.ВНУТ.082</t>
  </si>
  <si>
    <t>MDVI3-45CFVR12D</t>
  </si>
  <si>
    <t>МАТ.VRF.ВНУТ.082 — MDVI3-45CFVR12D</t>
  </si>
  <si>
    <t>МАТ.VRF.ВНУТ.083</t>
  </si>
  <si>
    <t>MDVI3-45D1VR12D</t>
  </si>
  <si>
    <t>МАТ.VRF.ВНУТ.083 — MDVI3-45D1VR12D</t>
  </si>
  <si>
    <t>МАТ.VRF.ВНУТ.084</t>
  </si>
  <si>
    <t>MDVI3-45D2VR12D</t>
  </si>
  <si>
    <t>МАТ.VRF.ВНУТ.084 — MDVI3-45D2VR12D</t>
  </si>
  <si>
    <t>МАТ.VRF.ВНУТ.085</t>
  </si>
  <si>
    <t>MDVI3-45FS3VR12D</t>
  </si>
  <si>
    <t>МАТ.VRF.ВНУТ.085 — MDVI3-45FS3VR12D</t>
  </si>
  <si>
    <t>МАТ.VRF.ВНУТ.086</t>
  </si>
  <si>
    <t>MDVI3-45FS4VR12D</t>
  </si>
  <si>
    <t>МАТ.VRF.ВНУТ.086 — MDVI3-45FS4VR12D</t>
  </si>
  <si>
    <t>МАТ.VRF.ВНУТ.087</t>
  </si>
  <si>
    <t>MDVI3-45FS5VR12D</t>
  </si>
  <si>
    <t>МАТ.VRF.ВНУТ.087 — MDVI3-45FS5VR12D</t>
  </si>
  <si>
    <t>МАТ.VRF.ВНУТ.088</t>
  </si>
  <si>
    <t>MDVI3-45WMVR12D</t>
  </si>
  <si>
    <t>МАТ.VRF.ВНУТ.088 — MDVI3-45WMVR12D</t>
  </si>
  <si>
    <t>МАТ.VRF.ВНУТ.089</t>
  </si>
  <si>
    <t>MDVI3-45WMVR12D-B</t>
  </si>
  <si>
    <t>МАТ.VRF.ВНУТ.089 — MDVI3-45WMVR12D-B</t>
  </si>
  <si>
    <t>МАТ.VRF.ВНУТ.090</t>
  </si>
  <si>
    <t>MDVI3-560D3VR12D</t>
  </si>
  <si>
    <t>МАТ.VRF.ВНУТ.090 — MDVI3-560D3VR12D</t>
  </si>
  <si>
    <t>МАТ.VRF.ВНУТ.091</t>
  </si>
  <si>
    <t>MDVI3-560OAVR12D</t>
  </si>
  <si>
    <t>МАТ.VRF.ВНУТ.091 — MDVI3-560OAVR12D</t>
  </si>
  <si>
    <t>МАТ.VRF.ВНУТ.092</t>
  </si>
  <si>
    <t>MDVI3-56C1VR12D</t>
  </si>
  <si>
    <t>МАТ.VRF.ВНУТ.092 — MDVI3-56C1VR12D</t>
  </si>
  <si>
    <t>МАТ.VRF.ВНУТ.093</t>
  </si>
  <si>
    <t>MDVI3-56C2VR12D</t>
  </si>
  <si>
    <t>МАТ.VRF.ВНУТ.093 — MDVI3-56C2VR12D</t>
  </si>
  <si>
    <t>МАТ.VRF.ВНУТ.094</t>
  </si>
  <si>
    <t>MDVI3-56C4CVR12D</t>
  </si>
  <si>
    <t>МАТ.VRF.ВНУТ.094 — MDVI3-56C4CVR12D</t>
  </si>
  <si>
    <t>МАТ.VRF.ВНУТ.095</t>
  </si>
  <si>
    <t>MDVI3-56C4VR12D</t>
  </si>
  <si>
    <t>МАТ.VRF.ВНУТ.095 — MDVI3-56C4VR12D</t>
  </si>
  <si>
    <t>МАТ.VRF.ВНУТ.096</t>
  </si>
  <si>
    <t>MDVI3-56CFVR12D</t>
  </si>
  <si>
    <t>МАТ.VRF.ВНУТ.096 — MDVI3-56CFVR12D</t>
  </si>
  <si>
    <t>МАТ.VRF.ВНУТ.097</t>
  </si>
  <si>
    <t>MDVI3-56D1VR12D</t>
  </si>
  <si>
    <t>МАТ.VRF.ВНУТ.097 — MDVI3-56D1VR12D</t>
  </si>
  <si>
    <t>МАТ.VRF.ВНУТ.098</t>
  </si>
  <si>
    <t>MDVI3-56D2VR12D</t>
  </si>
  <si>
    <t>МАТ.VRF.ВНУТ.098 — MDVI3-56D2VR12D</t>
  </si>
  <si>
    <t>МАТ.VRF.ВНУТ.099</t>
  </si>
  <si>
    <t>MDVI3-56D3VR12D</t>
  </si>
  <si>
    <t>МАТ.VRF.ВНУТ.099 — MDVI3-56D3VR12D</t>
  </si>
  <si>
    <t>МАТ.VRF.ВНУТ.100</t>
  </si>
  <si>
    <t>MDVI3-56FS3VR12D</t>
  </si>
  <si>
    <t>МАТ.VRF.ВНУТ.100 — MDVI3-56FS3VR12D</t>
  </si>
  <si>
    <t>МАТ.VRF.ВНУТ.101</t>
  </si>
  <si>
    <t>MDVI3-56FS4VR12D</t>
  </si>
  <si>
    <t>МАТ.VRF.ВНУТ.101 — MDVI3-56FS4VR12D</t>
  </si>
  <si>
    <t>МАТ.VRF.ВНУТ.102</t>
  </si>
  <si>
    <t>MDVI3-56FS5VR12D</t>
  </si>
  <si>
    <t>МАТ.VRF.ВНУТ.102 — MDVI3-56FS5VR12D</t>
  </si>
  <si>
    <t>МАТ.VRF.ВНУТ.103</t>
  </si>
  <si>
    <t>MDVI3-56WMVR12D</t>
  </si>
  <si>
    <t>МАТ.VRF.ВНУТ.103 — MDVI3-56WMVR12D</t>
  </si>
  <si>
    <t>МАТ.VRF.ВНУТ.104</t>
  </si>
  <si>
    <t>MDVI3-56WMVR12D-B</t>
  </si>
  <si>
    <t>МАТ.VRF.ВНУТ.104 — MDVI3-56WMVR12D-B</t>
  </si>
  <si>
    <t>МАТ.VRF.ВНУТ.105</t>
  </si>
  <si>
    <t>MDVI3-63C4CVR12D</t>
  </si>
  <si>
    <t>МАТ.VRF.ВНУТ.105 — MDVI3-63C4CVR12D</t>
  </si>
  <si>
    <t>МАТ.VRF.ВНУТ.106</t>
  </si>
  <si>
    <t>MDVI3-71C1VR12D</t>
  </si>
  <si>
    <t>МАТ.VRF.ВНУТ.106 — MDVI3-71C1VR12D</t>
  </si>
  <si>
    <t>МАТ.VRF.ВНУТ.107</t>
  </si>
  <si>
    <t>MDVI3-71C2VR12D</t>
  </si>
  <si>
    <t>МАТ.VRF.ВНУТ.107 — MDVI3-71C2VR12D</t>
  </si>
  <si>
    <t>МАТ.VRF.ВНУТ.108</t>
  </si>
  <si>
    <t>MDVI3-71C4VR12D</t>
  </si>
  <si>
    <t>МАТ.VRF.ВНУТ.108 — MDVI3-71C4VR12D</t>
  </si>
  <si>
    <t>МАТ.VRF.ВНУТ.109</t>
  </si>
  <si>
    <t>MDVI3-71CFVR12D</t>
  </si>
  <si>
    <t>МАТ.VRF.ВНУТ.109 — MDVI3-71CFVR12D</t>
  </si>
  <si>
    <t>МАТ.VRF.ВНУТ.110</t>
  </si>
  <si>
    <t>MDVI3-71D1VR12D</t>
  </si>
  <si>
    <t>МАТ.VRF.ВНУТ.110 — MDVI3-71D1VR12D</t>
  </si>
  <si>
    <t>МАТ.VRF.ВНУТ.111</t>
  </si>
  <si>
    <t>MDVI3-71D2VR12D</t>
  </si>
  <si>
    <t>МАТ.VRF.ВНУТ.111 — MDVI3-71D2VR12D</t>
  </si>
  <si>
    <t>МАТ.VRF.ВНУТ.112</t>
  </si>
  <si>
    <t>MDVI3-71D3VR12D</t>
  </si>
  <si>
    <t>МАТ.VRF.ВНУТ.112 — MDVI3-71D3VR12D</t>
  </si>
  <si>
    <t>МАТ.VRF.ВНУТ.113</t>
  </si>
  <si>
    <t>MDVI3-71FS3VR12D</t>
  </si>
  <si>
    <t>МАТ.VRF.ВНУТ.113 — MDVI3-71FS3VR12D</t>
  </si>
  <si>
    <t>МАТ.VRF.ВНУТ.114</t>
  </si>
  <si>
    <t>MDVI3-71FS4VR12D</t>
  </si>
  <si>
    <t>МАТ.VRF.ВНУТ.114 — MDVI3-71FS4VR12D</t>
  </si>
  <si>
    <t>МАТ.VRF.ВНУТ.115</t>
  </si>
  <si>
    <t>MDVI3-71FS5VR12D</t>
  </si>
  <si>
    <t>МАТ.VRF.ВНУТ.115 — MDVI3-71FS5VR12D</t>
  </si>
  <si>
    <t>МАТ.VRF.ВНУТ.116</t>
  </si>
  <si>
    <t>MDVI3-71WMVR12D</t>
  </si>
  <si>
    <t>МАТ.VRF.ВНУТ.116 — MDVI3-71WMVR12D</t>
  </si>
  <si>
    <t>МАТ.VRF.ВНУТ.117</t>
  </si>
  <si>
    <t>MDVI3-71WMVR12D-B</t>
  </si>
  <si>
    <t>МАТ.VRF.ВНУТ.117 — MDVI3-71WMVR12D-B</t>
  </si>
  <si>
    <t>МАТ.VRF.ВНУТ.118</t>
  </si>
  <si>
    <t>MDVI3-80C4VR12D</t>
  </si>
  <si>
    <t>МАТ.VRF.ВНУТ.118 — MDVI3-80C4VR12D</t>
  </si>
  <si>
    <t>МАТ.VRF.ВНУТ.119</t>
  </si>
  <si>
    <t>MDVI3-80CFVR12D</t>
  </si>
  <si>
    <t>МАТ.VRF.ВНУТ.119 — MDVI3-80CFVR12D</t>
  </si>
  <si>
    <t>МАТ.VRF.ВНУТ.120</t>
  </si>
  <si>
    <t>MDVI3-80D1VR12D</t>
  </si>
  <si>
    <t>МАТ.VRF.ВНУТ.120 — MDVI3-80D1VR12D</t>
  </si>
  <si>
    <t>МАТ.VRF.ВНУТ.121</t>
  </si>
  <si>
    <t>MDVI3-80D2VR12D</t>
  </si>
  <si>
    <t>МАТ.VRF.ВНУТ.121 — MDVI3-80D2VR12D</t>
  </si>
  <si>
    <t>МАТ.VRF.ВНУТ.122</t>
  </si>
  <si>
    <t>MDVI3-80D3VR12D</t>
  </si>
  <si>
    <t>МАТ.VRF.ВНУТ.122 — MDVI3-80D3VR12D</t>
  </si>
  <si>
    <t>МАТ.VRF.ВНУТ.123</t>
  </si>
  <si>
    <t>MDVI3-80FS3VR12D</t>
  </si>
  <si>
    <t>МАТ.VRF.ВНУТ.123 — MDVI3-80FS3VR12D</t>
  </si>
  <si>
    <t>МАТ.VRF.ВНУТ.124</t>
  </si>
  <si>
    <t>MDVI3-80FS4VR12D</t>
  </si>
  <si>
    <t>МАТ.VRF.ВНУТ.124 — MDVI3-80FS4VR12D</t>
  </si>
  <si>
    <t>МАТ.VRF.ВНУТ.125</t>
  </si>
  <si>
    <t>MDVI3-80FS5VR12D</t>
  </si>
  <si>
    <t>МАТ.VRF.ВНУТ.125 — MDVI3-80FS5VR12D</t>
  </si>
  <si>
    <t>МАТ.VRF.ВНУТ.126</t>
  </si>
  <si>
    <t>MDVI3-80WMVR12D</t>
  </si>
  <si>
    <t>МАТ.VRF.ВНУТ.126 — MDVI3-80WMVR12D</t>
  </si>
  <si>
    <t>МАТ.VRF.ВНУТ.127</t>
  </si>
  <si>
    <t>MDVI3-80WMVR12D-B</t>
  </si>
  <si>
    <t>МАТ.VRF.ВНУТ.127 — MDVI3-80WMVR12D-B</t>
  </si>
  <si>
    <t>МАТ.VRF.ВНУТ.128</t>
  </si>
  <si>
    <t>MDVI3-90C4VR12D</t>
  </si>
  <si>
    <t>МАТ.VRF.ВНУТ.128 — MDVI3-90C4VR12D</t>
  </si>
  <si>
    <t>МАТ.VRF.ВНУТ.129</t>
  </si>
  <si>
    <t>MDVI3-90CFVR12D</t>
  </si>
  <si>
    <t>МАТ.VRF.ВНУТ.129 — MDVI3-90CFVR12D</t>
  </si>
  <si>
    <t>МАТ.VRF.ВНУТ.130</t>
  </si>
  <si>
    <t>MDVI3-90D1VR12D</t>
  </si>
  <si>
    <t>МАТ.VRF.ВНУТ.130 — MDVI3-90D1VR12D</t>
  </si>
  <si>
    <t>МАТ.VRF.ВНУТ.131</t>
  </si>
  <si>
    <t>MDVI3-90D2VR12D</t>
  </si>
  <si>
    <t>МАТ.VRF.ВНУТ.131 — MDVI3-90D2VR12D</t>
  </si>
  <si>
    <t>МАТ.VRF.ВНУТ.132</t>
  </si>
  <si>
    <t>MDVI3-90D3VR12D</t>
  </si>
  <si>
    <t>МАТ.VRF.ВНУТ.132 — MDVI3-90D3VR12D</t>
  </si>
  <si>
    <t>МАТ.VRF.ВНУТ.133</t>
  </si>
  <si>
    <t>MDVI3-90OAVR12D(A)</t>
  </si>
  <si>
    <t>МАТ.VRF.ВНУТ.133 — MDVI3-90OAVR12D(A)</t>
  </si>
  <si>
    <t>МАТ.VRF.ВНУТ.134</t>
  </si>
  <si>
    <t>WI-FI модуль для управления центральным пультом HC-SA164DBT HI-WA164DBI</t>
  </si>
  <si>
    <t>HI-WA164DBI</t>
  </si>
  <si>
    <t>МАТ.VRF.ВНУТ.134 — WI-FI модуль для управления центральным пультом HC-SA164DBT HI-WA164DBI</t>
  </si>
  <si>
    <t>МАТ.VRF.ВНУТ.135</t>
  </si>
  <si>
    <t>Жалюзи к канальным блокам серии AD…MSERA P1B-1210IA</t>
  </si>
  <si>
    <t>P1B-1210IA</t>
  </si>
  <si>
    <t>МАТ.VRF.ВНУТ.135 — Жалюзи к канальным блокам серии AD…MSERA P1B-1210IA</t>
  </si>
  <si>
    <t>МАТ.VRF.ВНУТ.136</t>
  </si>
  <si>
    <t>Жалюзи к канальным блокам серии AD…MSERA P1B-1210IA(D) с дисплеем</t>
  </si>
  <si>
    <t>P1B-1210IA(D)                 с дисплеем</t>
  </si>
  <si>
    <t>МАТ.VRF.ВНУТ.136 — Жалюзи к канальным блокам серии AD…MSERA P1B-1210IA(D) с дисплеем</t>
  </si>
  <si>
    <t>МАТ.VRF.ВНУТ.137</t>
  </si>
  <si>
    <t>Жалюзи к канальным блокам серии AD…MSERA P1B-890IA</t>
  </si>
  <si>
    <t>P1B-890IA</t>
  </si>
  <si>
    <t>МАТ.VRF.ВНУТ.137 — Жалюзи к канальным блокам серии AD…MSERA P1B-890IA</t>
  </si>
  <si>
    <t>МАТ.VRF.ВНУТ.138</t>
  </si>
  <si>
    <t>Жалюзи к канальным блокам серии AD…MSERA P1B-890IA(D) с дисплеем</t>
  </si>
  <si>
    <t>P1B-890IA(D)           с дисплеем</t>
  </si>
  <si>
    <t>МАТ.VRF.ВНУТ.138 — Жалюзи к канальным блокам серии AD…MSERA P1B-890IA(D) с дисплеем</t>
  </si>
  <si>
    <t>МАТ.VRF.ВНУТ.139</t>
  </si>
  <si>
    <t>ИК-пульт YR-HQS01</t>
  </si>
  <si>
    <t>YR-HQS01</t>
  </si>
  <si>
    <t>МАТ.VRF.ВНУТ.139 — ИК-пульт YR-HQS01</t>
  </si>
  <si>
    <t>МАТ.VRF.ВНУТ.140</t>
  </si>
  <si>
    <t>ИК-пульт YR-HRS01</t>
  </si>
  <si>
    <t>YR-HRS01</t>
  </si>
  <si>
    <t>МАТ.VRF.ВНУТ.140 — ИК-пульт YR-HRS01</t>
  </si>
  <si>
    <t>МАТ.VRF.ВНУТ.141</t>
  </si>
  <si>
    <t>Канальный 12K AD122MJERA</t>
  </si>
  <si>
    <t>AD122MJERA</t>
  </si>
  <si>
    <t>МАТ.VRF.ВНУТ.141 — Канальный 12K AD122MJERA</t>
  </si>
  <si>
    <t>МАТ.VRF.ВНУТ.142</t>
  </si>
  <si>
    <t>Канальный 12K AD122MJERAD</t>
  </si>
  <si>
    <t>AD122MJERAD</t>
  </si>
  <si>
    <t>МАТ.VRF.ВНУТ.142 — Канальный 12K AD122MJERAD</t>
  </si>
  <si>
    <t>МАТ.VRF.ВНУТ.143</t>
  </si>
  <si>
    <t>Канальный 12K AD122MSERA</t>
  </si>
  <si>
    <t>AD122MSERA</t>
  </si>
  <si>
    <t>МАТ.VRF.ВНУТ.143 — Канальный 12K AD122MSERA</t>
  </si>
  <si>
    <t>МАТ.VRF.ВНУТ.144</t>
  </si>
  <si>
    <t>Канальный 12K AD122MSERA (D)</t>
  </si>
  <si>
    <t>AD122MSERA (D)</t>
  </si>
  <si>
    <t>МАТ.VRF.ВНУТ.144 — Канальный 12K AD122MSERA (D)</t>
  </si>
  <si>
    <t>МАТ.VRF.ВНУТ.145</t>
  </si>
  <si>
    <t>Канальный 16K AD162MJERA</t>
  </si>
  <si>
    <t>AD162MJERA</t>
  </si>
  <si>
    <t>МАТ.VRF.ВНУТ.145 — Канальный 16K AD162MJERA</t>
  </si>
  <si>
    <t>МАТ.VRF.ВНУТ.146</t>
  </si>
  <si>
    <t>Канальный 16K AD162MJERAD</t>
  </si>
  <si>
    <t>AD162MJERAD</t>
  </si>
  <si>
    <t>МАТ.VRF.ВНУТ.146 — Канальный 16K AD162MJERAD</t>
  </si>
  <si>
    <t>МАТ.VRF.ВНУТ.147</t>
  </si>
  <si>
    <t>Канальный 16K AD162MSERA</t>
  </si>
  <si>
    <t>AD162MSERA</t>
  </si>
  <si>
    <t>МАТ.VRF.ВНУТ.147 — Канальный 16K AD162MSERA</t>
  </si>
  <si>
    <t>МАТ.VRF.ВНУТ.148</t>
  </si>
  <si>
    <t>Канальный 16K AD162MSERA (D)</t>
  </si>
  <si>
    <t>AD162MSERA (D)</t>
  </si>
  <si>
    <t>МАТ.VRF.ВНУТ.148 — Канальный 16K AD162MSERA (D)</t>
  </si>
  <si>
    <t>МАТ.VRF.ВНУТ.149</t>
  </si>
  <si>
    <t>Канальный 18K AD182MJERA</t>
  </si>
  <si>
    <t>AD182MJERA</t>
  </si>
  <si>
    <t>МАТ.VRF.ВНУТ.149 — Канальный 18K AD182MJERA</t>
  </si>
  <si>
    <t>МАТ.VRF.ВНУТ.150</t>
  </si>
  <si>
    <t>Канальный 18K AD182MJERAD</t>
  </si>
  <si>
    <t>AD182MJERAD</t>
  </si>
  <si>
    <t>МАТ.VRF.ВНУТ.150 — Канальный 18K AD182MJERAD</t>
  </si>
  <si>
    <t>МАТ.VRF.ВНУТ.151</t>
  </si>
  <si>
    <t>Канальный 18K AD182MSERA</t>
  </si>
  <si>
    <t>AD182MSERA</t>
  </si>
  <si>
    <t>МАТ.VRF.ВНУТ.151 — Канальный 18K AD182MSERA</t>
  </si>
  <si>
    <t>МАТ.VRF.ВНУТ.152</t>
  </si>
  <si>
    <t>Канальный 18K AD182MSERA (D)</t>
  </si>
  <si>
    <t>AD182MSERA (D)</t>
  </si>
  <si>
    <t>МАТ.VRF.ВНУТ.152 — Канальный 18K AD182MSERA (D)</t>
  </si>
  <si>
    <t>МАТ.VRF.ВНУТ.153</t>
  </si>
  <si>
    <t>Канальный 24K AD242MJERA</t>
  </si>
  <si>
    <t>AD242MJERA</t>
  </si>
  <si>
    <t>МАТ.VRF.ВНУТ.153 — Канальный 24K AD242MJERA</t>
  </si>
  <si>
    <t>МАТ.VRF.ВНУТ.154</t>
  </si>
  <si>
    <t>Канальный 24K AD242MJERAD</t>
  </si>
  <si>
    <t>AD242MJERAD</t>
  </si>
  <si>
    <t>МАТ.VRF.ВНУТ.154 — Канальный 24K AD242MJERAD</t>
  </si>
  <si>
    <t>МАТ.VRF.ВНУТ.155</t>
  </si>
  <si>
    <t>Канальный 24K AD242MSERA</t>
  </si>
  <si>
    <t>AD242MSERA</t>
  </si>
  <si>
    <t>МАТ.VRF.ВНУТ.155 — Канальный 24K AD242MSERA</t>
  </si>
  <si>
    <t>МАТ.VRF.ВНУТ.156</t>
  </si>
  <si>
    <t>Канальный 24K AD242MSERA (D)</t>
  </si>
  <si>
    <t>AD242MSERA (D)</t>
  </si>
  <si>
    <t>МАТ.VRF.ВНУТ.156 — Канальный 24K AD242MSERA (D)</t>
  </si>
  <si>
    <t>МАТ.VRF.ВНУТ.157</t>
  </si>
  <si>
    <t>Канальный 28K AD282MJERA</t>
  </si>
  <si>
    <t>AD282MJERA</t>
  </si>
  <si>
    <t>МАТ.VRF.ВНУТ.157 — Канальный 28K AD282MJERA</t>
  </si>
  <si>
    <t>МАТ.VRF.ВНУТ.158</t>
  </si>
  <si>
    <t>Канальный 30K AD282MJERAD</t>
  </si>
  <si>
    <t>AD282MJERAD</t>
  </si>
  <si>
    <t>МАТ.VRF.ВНУТ.158 — Канальный 30K AD282MJERAD</t>
  </si>
  <si>
    <t>МАТ.VRF.ВНУТ.159</t>
  </si>
  <si>
    <t>Канальный 30K AD302MJERA</t>
  </si>
  <si>
    <t>AD302MJERA</t>
  </si>
  <si>
    <t>МАТ.VRF.ВНУТ.159 — Канальный 30K AD302MJERA</t>
  </si>
  <si>
    <t>МАТ.VRF.ВНУТ.160</t>
  </si>
  <si>
    <t>Канальный 36K AD302MJERAD</t>
  </si>
  <si>
    <t>AD302MJERAD</t>
  </si>
  <si>
    <t>МАТ.VRF.ВНУТ.160 — Канальный 36K AD302MJERAD</t>
  </si>
  <si>
    <t>МАТ.VRF.ВНУТ.161</t>
  </si>
  <si>
    <t>Канальный 38K AD382MJERA</t>
  </si>
  <si>
    <t>AD382MJERA</t>
  </si>
  <si>
    <t>МАТ.VRF.ВНУТ.161 — Канальный 38K AD382MJERA</t>
  </si>
  <si>
    <t>МАТ.VRF.ВНУТ.162</t>
  </si>
  <si>
    <t>Канальный 42K AD382MJERAD</t>
  </si>
  <si>
    <t>AD382MJERAD</t>
  </si>
  <si>
    <t>МАТ.VRF.ВНУТ.162 — Канальный 42K AD382MJERAD</t>
  </si>
  <si>
    <t>МАТ.VRF.ВНУТ.163</t>
  </si>
  <si>
    <t>Канальный 48K AD482MJERA</t>
  </si>
  <si>
    <t>AD482MJERA</t>
  </si>
  <si>
    <t>МАТ.VRF.ВНУТ.163 — Канальный 48K AD482MJERA</t>
  </si>
  <si>
    <t>МАТ.VRF.ВНУТ.164</t>
  </si>
  <si>
    <t>Канальный 48K AD482MJERAD</t>
  </si>
  <si>
    <t>AD482MJERAD</t>
  </si>
  <si>
    <t>МАТ.VRF.ВНУТ.164 — Канальный 48K AD482MJERAD</t>
  </si>
  <si>
    <t>МАТ.VRF.ВНУТ.165</t>
  </si>
  <si>
    <t>Канальный 48K AD482MJERAF</t>
  </si>
  <si>
    <t>AD482MJERAF</t>
  </si>
  <si>
    <t>МАТ.VRF.ВНУТ.165 — Канальный 48K AD482MJERAF</t>
  </si>
  <si>
    <t>МАТ.VRF.ВНУТ.166</t>
  </si>
  <si>
    <t>Канальный 54K AD542MJERA</t>
  </si>
  <si>
    <t>AD542MJERA</t>
  </si>
  <si>
    <t>МАТ.VRF.ВНУТ.166 — Канальный 54K AD542MJERA</t>
  </si>
  <si>
    <t>МАТ.VRF.ВНУТ.167</t>
  </si>
  <si>
    <t>Канальный 54K AD542MJERAD</t>
  </si>
  <si>
    <t>AD542MJERAD</t>
  </si>
  <si>
    <t>МАТ.VRF.ВНУТ.167 — Канальный 54K AD542MJERAD</t>
  </si>
  <si>
    <t>МАТ.VRF.ВНУТ.168</t>
  </si>
  <si>
    <t>Канальный 5K AD052MJERA</t>
  </si>
  <si>
    <t>AD052MJERA</t>
  </si>
  <si>
    <t>МАТ.VRF.ВНУТ.168 — Канальный 5K AD052MJERA</t>
  </si>
  <si>
    <t>МАТ.VRF.ВНУТ.169</t>
  </si>
  <si>
    <t>Канальный 5K AD052MJERAD</t>
  </si>
  <si>
    <t>AD052MJERAD</t>
  </si>
  <si>
    <t>МАТ.VRF.ВНУТ.169 — Канальный 5K AD052MJERAD</t>
  </si>
  <si>
    <t>МАТ.VRF.ВНУТ.170</t>
  </si>
  <si>
    <t>Канальный 5K AD052MSERA</t>
  </si>
  <si>
    <t>AD052MSERA</t>
  </si>
  <si>
    <t>МАТ.VRF.ВНУТ.170 — Канальный 5K AD052MSERA</t>
  </si>
  <si>
    <t>МАТ.VRF.ВНУТ.171</t>
  </si>
  <si>
    <t>Канальный 5K AD052MSERA (D)</t>
  </si>
  <si>
    <t>AD052MSERA (D)</t>
  </si>
  <si>
    <t>МАТ.VRF.ВНУТ.171 — Канальный 5K AD052MSERA (D)</t>
  </si>
  <si>
    <t>МАТ.VRF.ВНУТ.172</t>
  </si>
  <si>
    <t>Канальный 72K AD722MHERA</t>
  </si>
  <si>
    <t>AD722MHERA</t>
  </si>
  <si>
    <t>МАТ.VRF.ВНУТ.172 — Канальный 72K AD722MHERA</t>
  </si>
  <si>
    <t>МАТ.VRF.ВНУТ.173</t>
  </si>
  <si>
    <t>Канальный 72K AD722MTERAF</t>
  </si>
  <si>
    <t>AD722MTERAF</t>
  </si>
  <si>
    <t>МАТ.VRF.ВНУТ.173 — Канальный 72K AD722MTERAF</t>
  </si>
  <si>
    <t>МАТ.VRF.ВНУТ.174</t>
  </si>
  <si>
    <t>Канальный 7K AD072MJERA</t>
  </si>
  <si>
    <t>AD072MJERA</t>
  </si>
  <si>
    <t>МАТ.VRF.ВНУТ.174 — Канальный 7K AD072MJERA</t>
  </si>
  <si>
    <t>МАТ.VRF.ВНУТ.175</t>
  </si>
  <si>
    <t>Канальный 7K AD072MJERAD</t>
  </si>
  <si>
    <t>AD072MJERAD</t>
  </si>
  <si>
    <t>МАТ.VRF.ВНУТ.175 — Канальный 7K AD072MJERAD</t>
  </si>
  <si>
    <t>МАТ.VRF.ВНУТ.176</t>
  </si>
  <si>
    <t>Канальный 7K AD072MSERA</t>
  </si>
  <si>
    <t>AD072MSERA</t>
  </si>
  <si>
    <t>МАТ.VRF.ВНУТ.176 — Канальный 7K AD072MSERA</t>
  </si>
  <si>
    <t>МАТ.VRF.ВНУТ.177</t>
  </si>
  <si>
    <t>Канальный 7K AD072MSERA (D)</t>
  </si>
  <si>
    <t>AD072MSERA (D)</t>
  </si>
  <si>
    <t>МАТ.VRF.ВНУТ.177 — Канальный 7K AD072MSERA (D)</t>
  </si>
  <si>
    <t>МАТ.VRF.ВНУТ.178</t>
  </si>
  <si>
    <t>Канальный 96K AD962MHERA</t>
  </si>
  <si>
    <t>AD962MHERA</t>
  </si>
  <si>
    <t>МАТ.VRF.ВНУТ.178 — Канальный 96K AD962MHERA</t>
  </si>
  <si>
    <t>МАТ.VRF.ВНУТ.179</t>
  </si>
  <si>
    <t>Канальный 96K AD962MTERAF</t>
  </si>
  <si>
    <t>AD962MTERAF</t>
  </si>
  <si>
    <t>МАТ.VRF.ВНУТ.179 — Канальный 96K AD962MTERAF</t>
  </si>
  <si>
    <t>МАТ.VRF.ВНУТ.180</t>
  </si>
  <si>
    <t>Канальный 9K AD092MJERA</t>
  </si>
  <si>
    <t>AD092MJERA</t>
  </si>
  <si>
    <t>МАТ.VRF.ВНУТ.180 — Канальный 9K AD092MJERA</t>
  </si>
  <si>
    <t>МАТ.VRF.ВНУТ.181</t>
  </si>
  <si>
    <t>Канальный 9K AD092MJERAD</t>
  </si>
  <si>
    <t>AD092MJERAD</t>
  </si>
  <si>
    <t>МАТ.VRF.ВНУТ.181 — Канальный 9K AD092MJERAD</t>
  </si>
  <si>
    <t>МАТ.VRF.ВНУТ.182</t>
  </si>
  <si>
    <t>Канальный 9K AD092MSERA</t>
  </si>
  <si>
    <t>AD092MSERA</t>
  </si>
  <si>
    <t>МАТ.VRF.ВНУТ.182 — Канальный 9K AD092MSERA</t>
  </si>
  <si>
    <t>МАТ.VRF.ВНУТ.183</t>
  </si>
  <si>
    <t>Канальный 9K AD092MSERA (D)</t>
  </si>
  <si>
    <t>AD092MSERA (D)</t>
  </si>
  <si>
    <t>МАТ.VRF.ВНУТ.183 — Канальный 9K AD092MSERA (D)</t>
  </si>
  <si>
    <t>МАТ.VRF.ВНУТ.184</t>
  </si>
  <si>
    <t>Кассетный 12K AB122MCERA(M)</t>
  </si>
  <si>
    <t>AB122MCERA(M)</t>
  </si>
  <si>
    <t>МАТ.VRF.ВНУТ.184 — Кассетный 12K AB122MCERA(M)</t>
  </si>
  <si>
    <t>МАТ.VRF.ВНУТ.185</t>
  </si>
  <si>
    <t>Кассетный 16K AB162MCERA(M)</t>
  </si>
  <si>
    <t>AB162MCERA(M)</t>
  </si>
  <si>
    <t>МАТ.VRF.ВНУТ.185 — Кассетный 16K AB162MCERA(M)</t>
  </si>
  <si>
    <t>МАТ.VRF.ВНУТ.186</t>
  </si>
  <si>
    <t>Кассетный 18K AB182MCERA(M)</t>
  </si>
  <si>
    <t>AB182MCERA(M)</t>
  </si>
  <si>
    <t>МАТ.VRF.ВНУТ.186 — Кассетный 18K AB182MCERA(M)</t>
  </si>
  <si>
    <t>МАТ.VRF.ВНУТ.187</t>
  </si>
  <si>
    <t>Кассетный 18K AB182MNERA</t>
  </si>
  <si>
    <t>AB182MNERA</t>
  </si>
  <si>
    <t>МАТ.VRF.ВНУТ.187 — Кассетный 18K AB182MNERA</t>
  </si>
  <si>
    <t>МАТ.VRF.ВНУТ.188</t>
  </si>
  <si>
    <t>Кассетный 24K AB242MNERA</t>
  </si>
  <si>
    <t>AB242MNERA</t>
  </si>
  <si>
    <t>МАТ.VRF.ВНУТ.188 — Кассетный 24K AB242MNERA</t>
  </si>
  <si>
    <t>МАТ.VRF.ВНУТ.189</t>
  </si>
  <si>
    <t>Кассетный 28K AB282MNERA</t>
  </si>
  <si>
    <t>AB282MNERA</t>
  </si>
  <si>
    <t>МАТ.VRF.ВНУТ.189 — Кассетный 28K AB282MNERA</t>
  </si>
  <si>
    <t>МАТ.VRF.ВНУТ.190</t>
  </si>
  <si>
    <t>Кассетный 30K AB302MNERA</t>
  </si>
  <si>
    <t>AB302MNERA</t>
  </si>
  <si>
    <t>МАТ.VRF.ВНУТ.190 — Кассетный 30K AB302MNERA</t>
  </si>
  <si>
    <t>МАТ.VRF.ВНУТ.191</t>
  </si>
  <si>
    <t>Кассетный 38K AB382MNERA</t>
  </si>
  <si>
    <t>AB382MNERA</t>
  </si>
  <si>
    <t>МАТ.VRF.ВНУТ.191 — Кассетный 38K AB382MNERA</t>
  </si>
  <si>
    <t>МАТ.VRF.ВНУТ.192</t>
  </si>
  <si>
    <t>Кассетный 48K AB482MNERA</t>
  </si>
  <si>
    <t>AB482MNERA</t>
  </si>
  <si>
    <t>МАТ.VRF.ВНУТ.192 — Кассетный 48K AB482MNERA</t>
  </si>
  <si>
    <t>МАТ.VRF.ВНУТ.193</t>
  </si>
  <si>
    <t>Кассетный 5K AB052MCERA(M)</t>
  </si>
  <si>
    <t>AB052MCERA(M)</t>
  </si>
  <si>
    <t>МАТ.VRF.ВНУТ.193 — Кассетный 5K AB052MCERA(M)</t>
  </si>
  <si>
    <t>МАТ.VRF.ВНУТ.194</t>
  </si>
  <si>
    <t>Кассетный 7K AB072MCERA(M)</t>
  </si>
  <si>
    <t>AB072MCERA(M)</t>
  </si>
  <si>
    <t>МАТ.VRF.ВНУТ.194 — Кассетный 7K AB072MCERA(M)</t>
  </si>
  <si>
    <t>МАТ.VRF.ВНУТ.195</t>
  </si>
  <si>
    <t>Кассетный 9K AB092MCERA(M)</t>
  </si>
  <si>
    <t>AB092MCERA(M)</t>
  </si>
  <si>
    <t>МАТ.VRF.ВНУТ.195 — Кассетный 9K AB092MCERA(M)</t>
  </si>
  <si>
    <t>МАТ.VRF.ВНУТ.196</t>
  </si>
  <si>
    <t>Кассетный AB602MNERA</t>
  </si>
  <si>
    <t>AB602MNERA</t>
  </si>
  <si>
    <t>МАТ.VRF.ВНУТ.196 — Кассетный AB602MNERA</t>
  </si>
  <si>
    <t>МАТ.VRF.ВНУТ.197</t>
  </si>
  <si>
    <t>Конвектор сетевого протокола Lonworks IGU07</t>
  </si>
  <si>
    <t>IGU07</t>
  </si>
  <si>
    <t>МАТ.VRF.ВНУТ.197 — Конвектор сетевого протокола Lonworks IGU07</t>
  </si>
  <si>
    <t>МАТ.VRF.ВНУТ.198</t>
  </si>
  <si>
    <t>Настенный Family 12K AS122MNERA</t>
  </si>
  <si>
    <t>AS122MNERA</t>
  </si>
  <si>
    <t>МАТ.VRF.ВНУТ.198 — Настенный Family 12K AS122MNERA</t>
  </si>
  <si>
    <t>МАТ.VRF.ВНУТ.199</t>
  </si>
  <si>
    <t>Настенный Family 16K AS162MNERA</t>
  </si>
  <si>
    <t>AS162MNERA</t>
  </si>
  <si>
    <t>МАТ.VRF.ВНУТ.199 — Настенный Family 16K AS162MNERA</t>
  </si>
  <si>
    <t>МАТ.VRF.ВНУТ.200</t>
  </si>
  <si>
    <t>Настенный Family 18K AS182MNERA</t>
  </si>
  <si>
    <t>AS182MNERA</t>
  </si>
  <si>
    <t>МАТ.VRF.ВНУТ.200 — Настенный Family 18K AS182MNERA</t>
  </si>
  <si>
    <t>МАТ.VRF.ВНУТ.201</t>
  </si>
  <si>
    <t>Настенный Family 24K AS242MNERA</t>
  </si>
  <si>
    <t>AS242MNERA</t>
  </si>
  <si>
    <t>МАТ.VRF.ВНУТ.201 — Настенный Family 24K AS242MNERA</t>
  </si>
  <si>
    <t>МАТ.VRF.ВНУТ.202</t>
  </si>
  <si>
    <t>Настенный Family 28K AS282MNERA</t>
  </si>
  <si>
    <t>AS282MNERA</t>
  </si>
  <si>
    <t>МАТ.VRF.ВНУТ.202 — Настенный Family 28K AS282MNERA</t>
  </si>
  <si>
    <t>МАТ.VRF.ВНУТ.203</t>
  </si>
  <si>
    <t>Настенный Family 30K AS302MNERA</t>
  </si>
  <si>
    <t>AS302MNERA</t>
  </si>
  <si>
    <t>МАТ.VRF.ВНУТ.203 — Настенный Family 30K AS302MNERA</t>
  </si>
  <si>
    <t>МАТ.VRF.ВНУТ.204</t>
  </si>
  <si>
    <t>Настенный Family 5K AS052MNERA</t>
  </si>
  <si>
    <t>AS052MNERA</t>
  </si>
  <si>
    <t>МАТ.VRF.ВНУТ.204 — Настенный Family 5K AS052MNERA</t>
  </si>
  <si>
    <t>МАТ.VRF.ВНУТ.205</t>
  </si>
  <si>
    <t>Настенный Family 7K AS072MNERA</t>
  </si>
  <si>
    <t>AS072MNERA</t>
  </si>
  <si>
    <t>МАТ.VRF.ВНУТ.205 — Настенный Family 7K AS072MNERA</t>
  </si>
  <si>
    <t>МАТ.VRF.ВНУТ.206</t>
  </si>
  <si>
    <t>Настенный Family 9K AS092MNERA</t>
  </si>
  <si>
    <t>AS092MNERA</t>
  </si>
  <si>
    <t>МАТ.VRF.ВНУТ.206 — Настенный Family 9K AS092MNERA</t>
  </si>
  <si>
    <t>МАТ.VRF.ВНУТ.207</t>
  </si>
  <si>
    <t>Настенный Lightera 12K AS122MFERA</t>
  </si>
  <si>
    <t>AS122MFERA</t>
  </si>
  <si>
    <t>МАТ.VRF.ВНУТ.207 — Настенный Lightera 12K AS122MFERA</t>
  </si>
  <si>
    <t>МАТ.VRF.ВНУТ.208</t>
  </si>
  <si>
    <t>Настенный Lightera 16K AS162MFERA</t>
  </si>
  <si>
    <t>AS162MFERA</t>
  </si>
  <si>
    <t>МАТ.VRF.ВНУТ.208 — Настенный Lightera 16K AS162MFERA</t>
  </si>
  <si>
    <t>МАТ.VRF.ВНУТ.209</t>
  </si>
  <si>
    <t>Настенный Lightera 18K AS182MFERA</t>
  </si>
  <si>
    <t>AS182MFERA</t>
  </si>
  <si>
    <t>МАТ.VRF.ВНУТ.209 — Настенный Lightera 18K AS182MFERA</t>
  </si>
  <si>
    <t>МАТ.VRF.ВНУТ.210</t>
  </si>
  <si>
    <t>Настенный Lightera 24K AS242MFERA</t>
  </si>
  <si>
    <t>AS242MFERA</t>
  </si>
  <si>
    <t>МАТ.VRF.ВНУТ.210 — Настенный Lightera 24K AS242MFERA</t>
  </si>
  <si>
    <t>МАТ.VRF.ВНУТ.211</t>
  </si>
  <si>
    <t>Настенный Lightera 5K AS052MFERA</t>
  </si>
  <si>
    <t>AS052MFERA</t>
  </si>
  <si>
    <t>МАТ.VRF.ВНУТ.211 — Настенный Lightera 5K AS052MFERA</t>
  </si>
  <si>
    <t>МАТ.VRF.ВНУТ.212</t>
  </si>
  <si>
    <t>Настенный Lightera 7K AS072MFERA</t>
  </si>
  <si>
    <t>AS072MFERA</t>
  </si>
  <si>
    <t>МАТ.VRF.ВНУТ.212 — Настенный Lightera 7K AS072MFERA</t>
  </si>
  <si>
    <t>МАТ.VRF.ВНУТ.213</t>
  </si>
  <si>
    <t>Настенный Lightera 9K AS092MFERA</t>
  </si>
  <si>
    <t>AS092MFERA</t>
  </si>
  <si>
    <t>МАТ.VRF.ВНУТ.213 — Настенный Lightera 9K AS092MFERA</t>
  </si>
  <si>
    <t>МАТ.VRF.ВНУТ.214</t>
  </si>
  <si>
    <t>Панели к кассетным блокам P1B-1050IB</t>
  </si>
  <si>
    <t>P1B-1050IB</t>
  </si>
  <si>
    <t>МАТ.VRF.ВНУТ.214 — Панели к кассетным блокам P1B-1050IB</t>
  </si>
  <si>
    <t>МАТ.VRF.ВНУТ.215</t>
  </si>
  <si>
    <t>Панели к кассетным блокам P2B-1055IB</t>
  </si>
  <si>
    <t>P2B-1055IB</t>
  </si>
  <si>
    <t>МАТ.VRF.ВНУТ.215 — Панели к кассетным блокам P2B-1055IB</t>
  </si>
  <si>
    <t>МАТ.VRF.ВНУТ.216</t>
  </si>
  <si>
    <t>Панели к кассетным блокам PB-620KB</t>
  </si>
  <si>
    <t>PB-620KB</t>
  </si>
  <si>
    <t>МАТ.VRF.ВНУТ.216 — Панели к кассетным блокам PB-620KB</t>
  </si>
  <si>
    <t>МАТ.VRF.ВНУТ.217</t>
  </si>
  <si>
    <t>Панели к кассетным блокам PB-700IB</t>
  </si>
  <si>
    <t>PB-700IB</t>
  </si>
  <si>
    <t>МАТ.VRF.ВНУТ.217 — Панели к кассетным блокам PB-700IB</t>
  </si>
  <si>
    <t>МАТ.VRF.ВНУТ.218</t>
  </si>
  <si>
    <t>Панели к кассетным блокам PB-950JB</t>
  </si>
  <si>
    <t>PB-950JB</t>
  </si>
  <si>
    <t>МАТ.VRF.ВНУТ.218 — Панели к кассетным блокам PB-950JB</t>
  </si>
  <si>
    <t>МАТ.VRF.ВНУТ.219</t>
  </si>
  <si>
    <t>Панели к кассетным блокам PB-950KB</t>
  </si>
  <si>
    <t>PB-950KB</t>
  </si>
  <si>
    <t>МАТ.VRF.ВНУТ.219 — Панели к кассетным блокам PB-950KB</t>
  </si>
  <si>
    <t>МАТ.VRF.ВНУТ.220</t>
  </si>
  <si>
    <t>Пульт управления (проводной) YR-E17A</t>
  </si>
  <si>
    <t>YR-E17A</t>
  </si>
  <si>
    <t>МАТ.VRF.ВНУТ.220 — Пульт управления (проводной) YR-E17A</t>
  </si>
  <si>
    <t>МАТ.VRF.ВНУТ.221</t>
  </si>
  <si>
    <t>Пульт управления (проводной) YR-E20</t>
  </si>
  <si>
    <t>YR-E20</t>
  </si>
  <si>
    <t>МАТ.VRF.ВНУТ.221 — Пульт управления (проводной) YR-E20</t>
  </si>
  <si>
    <t>МАТ.VRF.ВНУТ.222</t>
  </si>
  <si>
    <t>Пульт управления (проводной) black new HW-BA101ABT</t>
  </si>
  <si>
    <t>HW-BA101ABT</t>
  </si>
  <si>
    <t>МАТ.VRF.ВНУТ.222 — Пульт управления (проводной) black new HW-BA101ABT</t>
  </si>
  <si>
    <t>МАТ.VRF.ВНУТ.223</t>
  </si>
  <si>
    <t>Пульт управления (проводной) new HW-BA116ABK</t>
  </si>
  <si>
    <t>HW-BA116ABK</t>
  </si>
  <si>
    <t>МАТ.VRF.ВНУТ.223 — Пульт управления (проводной) new HW-BA116ABK</t>
  </si>
  <si>
    <t>МАТ.VRF.ВНУТ.224</t>
  </si>
  <si>
    <t>Пульт управления (проводной) цветной дисплей YR-E16B</t>
  </si>
  <si>
    <t>YR-E16B</t>
  </si>
  <si>
    <t>МАТ.VRF.ВНУТ.224 — Пульт управления (проводной) цветной дисплей YR-E16B</t>
  </si>
  <si>
    <t>МАТ.VRF.ВНУТ.225</t>
  </si>
  <si>
    <t>Рефнет для внутренних блоков FQG-B1350A</t>
  </si>
  <si>
    <t>FQG-B1350A</t>
  </si>
  <si>
    <t>МАТ.VRF.ВНУТ.225 — Рефнет для внутренних блоков FQG-B1350A</t>
  </si>
  <si>
    <t>МАТ.VRF.ВНУТ.226</t>
  </si>
  <si>
    <t>Рефнет для внутренних блоков FQG-B2040A</t>
  </si>
  <si>
    <t>FQG-B2040A</t>
  </si>
  <si>
    <t>МАТ.VRF.ВНУТ.226 — Рефнет для внутренних блоков FQG-B2040A</t>
  </si>
  <si>
    <t>МАТ.VRF.ВНУТ.227</t>
  </si>
  <si>
    <t>Рефнет для внутренних блоков FQG-B335A</t>
  </si>
  <si>
    <t>FQG-B335A</t>
  </si>
  <si>
    <t>МАТ.VRF.ВНУТ.227 — Рефнет для внутренних блоков FQG-B335A</t>
  </si>
  <si>
    <t>МАТ.VRF.ВНУТ.228</t>
  </si>
  <si>
    <t>Рефнет для внутренних блоков FQG-B506A</t>
  </si>
  <si>
    <t>FQG-B506A</t>
  </si>
  <si>
    <t>МАТ.VRF.ВНУТ.228 — Рефнет для внутренних блоков FQG-B506A</t>
  </si>
  <si>
    <t>МАТ.VRF.ВНУТ.229</t>
  </si>
  <si>
    <t>Рефнет для внутренних блоков FQG-B730A</t>
  </si>
  <si>
    <t>FQG-B730A</t>
  </si>
  <si>
    <t>МАТ.VRF.ВНУТ.229 — Рефнет для внутренних блоков FQG-B730A</t>
  </si>
  <si>
    <t>МАТ.VRF.ВНУТ.230</t>
  </si>
  <si>
    <t>Скрытый напольный 12K AE122MLERA</t>
  </si>
  <si>
    <t>AE122MLERA</t>
  </si>
  <si>
    <t>МАТ.VRF.ВНУТ.230 — Скрытый напольный 12K AE122MLERA</t>
  </si>
  <si>
    <t>МАТ.VRF.ВНУТ.231</t>
  </si>
  <si>
    <t>Скрытый напольный 16K AE162MLERA</t>
  </si>
  <si>
    <t>AE162MLERA</t>
  </si>
  <si>
    <t>МАТ.VRF.ВНУТ.231 — Скрытый напольный 16K AE162MLERA</t>
  </si>
  <si>
    <t>МАТ.VRF.ВНУТ.232</t>
  </si>
  <si>
    <t>Скрытый напольный 18K AE182MLERA</t>
  </si>
  <si>
    <t>AE182MLERA</t>
  </si>
  <si>
    <t>МАТ.VRF.ВНУТ.232 — Скрытый напольный 18K AE182MLERA</t>
  </si>
  <si>
    <t>МАТ.VRF.ВНУТ.233</t>
  </si>
  <si>
    <t>Скрытый напольный 24K AE242MLERA</t>
  </si>
  <si>
    <t>AE242MLERA</t>
  </si>
  <si>
    <t>МАТ.VRF.ВНУТ.233 — Скрытый напольный 24K AE242MLERA</t>
  </si>
  <si>
    <t>МАТ.VRF.ВНУТ.234</t>
  </si>
  <si>
    <t>Скрытый напольный 7K AE072MLERA</t>
  </si>
  <si>
    <t>AE072MLERA</t>
  </si>
  <si>
    <t>МАТ.VRF.ВНУТ.234 — Скрытый напольный 7K AE072MLERA</t>
  </si>
  <si>
    <t>МАТ.VRF.ВНУТ.235</t>
  </si>
  <si>
    <t>Скрытый напольный 9K AE092MLERA</t>
  </si>
  <si>
    <t>AE092MLERA</t>
  </si>
  <si>
    <t>МАТ.VRF.ВНУТ.235 — Скрытый напольный 9K AE092MLERA</t>
  </si>
  <si>
    <t>МАТ.VRF.ВНУТ.236</t>
  </si>
  <si>
    <t>Соединительный комплект с AHU (14-28 кВт) AH1-280B</t>
  </si>
  <si>
    <t>AH1-280B</t>
  </si>
  <si>
    <t>МАТ.VRF.ВНУТ.236 — Соединительный комплект с AHU (14-28 кВт) AH1-280B</t>
  </si>
  <si>
    <t>МАТ.VRF.ВНУТ.237</t>
  </si>
  <si>
    <t>Соединительный комплект с AHU (28-56 кВт) AH1-560B</t>
  </si>
  <si>
    <t>AH1-560B</t>
  </si>
  <si>
    <t>МАТ.VRF.ВНУТ.237 — Соединительный комплект с AHU (28-56 кВт) AH1-560B</t>
  </si>
  <si>
    <t>МАТ.VRF.ВНУТ.238</t>
  </si>
  <si>
    <t>Соединительный комплект с AHU (56-78 кВт) AH1-730B</t>
  </si>
  <si>
    <t>AH1-730B</t>
  </si>
  <si>
    <t>МАТ.VRF.ВНУТ.238 — Соединительный комплект с AHU (56-78 кВт) AH1-730B</t>
  </si>
  <si>
    <t>МАТ.VRF.ВНУТ.239</t>
  </si>
  <si>
    <t>Соединительный комплект с AHU (8-14 кВт) AH1-140B</t>
  </si>
  <si>
    <t>AH1-140B</t>
  </si>
  <si>
    <t>МАТ.VRF.ВНУТ.239 — Соединительный комплект с AHU (8-14 кВт) AH1-140B</t>
  </si>
  <si>
    <t>МАТ.VRF.ВНУТ.240</t>
  </si>
  <si>
    <t>Соединительный комплект с AHU (до 7 кВт) AH1-070B</t>
  </si>
  <si>
    <t>AH1-070B</t>
  </si>
  <si>
    <t>МАТ.VRF.ВНУТ.240 — Соединительный комплект с AHU (до 7 кВт) AH1-070B</t>
  </si>
  <si>
    <t>МАТ.VRF.ВНУТ.241</t>
  </si>
  <si>
    <t>Универсальный 12K AC122MDERA</t>
  </si>
  <si>
    <t>AC122MDERA</t>
  </si>
  <si>
    <t>МАТ.VRF.ВНУТ.241 — Универсальный 12K AC122MDERA</t>
  </si>
  <si>
    <t>МАТ.VRF.ВНУТ.242</t>
  </si>
  <si>
    <t>Универсальный 16K AC162MDERA</t>
  </si>
  <si>
    <t>AC162MDERA</t>
  </si>
  <si>
    <t>МАТ.VRF.ВНУТ.242 — Универсальный 16K AC162MDERA</t>
  </si>
  <si>
    <t>МАТ.VRF.ВНУТ.243</t>
  </si>
  <si>
    <t>Универсальный 18K AC182MDERA</t>
  </si>
  <si>
    <t>AC182MDERA</t>
  </si>
  <si>
    <t>МАТ.VRF.ВНУТ.243 — Универсальный 18K AC182MDERA</t>
  </si>
  <si>
    <t>МАТ.VRF.ВНУТ.244</t>
  </si>
  <si>
    <t>Универсальный 24K AC242MDERA</t>
  </si>
  <si>
    <t>AC242MDERA</t>
  </si>
  <si>
    <t>МАТ.VRF.ВНУТ.244 — Универсальный 24K AC242MDERA</t>
  </si>
  <si>
    <t>МАТ.VRF.ВНУТ.245</t>
  </si>
  <si>
    <t>Универсальный 28K AC282MDERA</t>
  </si>
  <si>
    <t>AC282MDERA</t>
  </si>
  <si>
    <t>МАТ.VRF.ВНУТ.245 — Универсальный 28K AC282MDERA</t>
  </si>
  <si>
    <t>МАТ.VRF.ВНУТ.246</t>
  </si>
  <si>
    <t>Универсальный 30K AC302MDERA</t>
  </si>
  <si>
    <t>AC302MDERA</t>
  </si>
  <si>
    <t>МАТ.VRF.ВНУТ.246 — Универсальный 30K AC302MDERA</t>
  </si>
  <si>
    <t>МАТ.VRF.ВНУТ.247</t>
  </si>
  <si>
    <t>Универсальный 38K AC382MDERA</t>
  </si>
  <si>
    <t>AC382MDERA</t>
  </si>
  <si>
    <t>МАТ.VRF.ВНУТ.247 — Универсальный 38K AC382MDERA</t>
  </si>
  <si>
    <t>МАТ.VRF.ВНУТ.248</t>
  </si>
  <si>
    <t>Универсальный 48K AC482MDERA</t>
  </si>
  <si>
    <t>AC482MDERA</t>
  </si>
  <si>
    <t>МАТ.VRF.ВНУТ.248 — Универсальный 48K AC482MDERA</t>
  </si>
  <si>
    <t>МАТ.VRF.ВНУТ.249</t>
  </si>
  <si>
    <t>Универсальный 9K AC092MDERA</t>
  </si>
  <si>
    <t>AC092MDERA</t>
  </si>
  <si>
    <t>МАТ.VRF.ВНУТ.249 — Универсальный 9K AC092MDERA</t>
  </si>
  <si>
    <t>МАТ.VRF.ВНУТ.250</t>
  </si>
  <si>
    <t>Центральный пульт (до 256 внутр. блоков) YCZ-A004</t>
  </si>
  <si>
    <t>YCZ-A004</t>
  </si>
  <si>
    <t>МАТ.VRF.ВНУТ.250 — Центральный пульт (до 256 внутр. блоков) YCZ-A004</t>
  </si>
  <si>
    <t>МАТ.VRF.ВНУТ.251</t>
  </si>
  <si>
    <t>Центральный пульт (до 64 внутр. блоков) HC-SA164DBT</t>
  </si>
  <si>
    <t>HC-SA164DBT</t>
  </si>
  <si>
    <t>МАТ.VRF.ВНУТ.251 — Центральный пульт (до 64 внутр. блоков) HC-SA164DBT</t>
  </si>
  <si>
    <t>МАТ.VRF.ВНУТ.252</t>
  </si>
  <si>
    <t>Шлюз BACnet/IP,Modbas(BMS 3 поколения) HCM-03A</t>
  </si>
  <si>
    <t>HCM-03A</t>
  </si>
  <si>
    <t>МАТ.VRF.ВНУТ.252 — Шлюз BACnet/IP,Modbas(BMS 3 поколения) HCM-03A</t>
  </si>
  <si>
    <t>МАТ.VRF.ВНУТ.253</t>
  </si>
  <si>
    <t>Шлюз BACnet/IP,Modbas(BMS 5 поколения) HCM-05</t>
  </si>
  <si>
    <t>HCM-05</t>
  </si>
  <si>
    <t>МАТ.VRF.ВНУТ.253 — Шлюз BACnet/IP,Modbas(BMS 5 поколения) HCM-05</t>
  </si>
  <si>
    <t>МАТ.VRF.ВНУТ.254</t>
  </si>
  <si>
    <t>Шлюз BACnet/IP,Modbas(BMS 5 поколения) HCM-05A</t>
  </si>
  <si>
    <t>HCM-05A</t>
  </si>
  <si>
    <t>МАТ.VRF.ВНУТ.254 — Шлюз BACnet/IP,Modbas(BMS 5 поколения) HCM-05A</t>
  </si>
  <si>
    <t>МАТ.VRF.ВНУТ.255</t>
  </si>
  <si>
    <t>Шлюз RS485&amp;232 Converter + Software HCM-01A</t>
  </si>
  <si>
    <t>HCM-01A</t>
  </si>
  <si>
    <t>МАТ.VRF.ВНУТ.255 — Шлюз RS485&amp;232 Converter + Software HCM-01A</t>
  </si>
  <si>
    <t>МАТ.VRF.ВНУТ.256</t>
  </si>
  <si>
    <t>Шлюз для интеграции с Modbus HA-MA164AD</t>
  </si>
  <si>
    <t>HA-MA164AD</t>
  </si>
  <si>
    <t>МАТ.VRF.ВНУТ.256 — Шлюз для интеграции с Modbus HA-MA164AD</t>
  </si>
  <si>
    <t>МАТ.VRF.ВНУТ.257</t>
  </si>
  <si>
    <t>Шлюз для интеграции с Modbus IGU06</t>
  </si>
  <si>
    <t>IGU06</t>
  </si>
  <si>
    <t>МАТ.VRF.ВНУТ.257 — Шлюз для интеграции с Modbus IGU06</t>
  </si>
  <si>
    <t>МАТ.VRF.ВНУТ.258</t>
  </si>
  <si>
    <t>Шлюз для интеграции с Modbus new HA-MA164ADB</t>
  </si>
  <si>
    <t>HA-MA164ADB</t>
  </si>
  <si>
    <t>МАТ.VRF.ВНУТ.258 — Шлюз для интеграции с Modbus new HA-MA164ADB</t>
  </si>
  <si>
    <t>МАТ.VRF.НАР.001</t>
  </si>
  <si>
    <t>MDV-V81010V2R1A(MA)</t>
  </si>
  <si>
    <t>МАТ.VRF.НАР.001 — MDV-V81010V2R1A(MA)</t>
  </si>
  <si>
    <t>МАТ.VRF.НАР.002</t>
  </si>
  <si>
    <t>MDV-V81060V2R1A(MA)</t>
  </si>
  <si>
    <t>МАТ.VRF.НАР.002 — MDV-V81060V2R1A(MA)</t>
  </si>
  <si>
    <t>МАТ.VRF.НАР.003</t>
  </si>
  <si>
    <t>MDV-V81120V2R1A(MA)</t>
  </si>
  <si>
    <t>МАТ.VRF.НАР.003 — MDV-V81120V2R1A(MA)</t>
  </si>
  <si>
    <t>МАТ.VRF.НАР.004</t>
  </si>
  <si>
    <t>MDV-V8252V2R1A(MA)</t>
  </si>
  <si>
    <t>МАТ.VRF.НАР.004 — MDV-V8252V2R1A(MA)</t>
  </si>
  <si>
    <t>МАТ.VRF.НАР.005</t>
  </si>
  <si>
    <t>MDV-V8280V2R1A(MA)</t>
  </si>
  <si>
    <t>МАТ.VRF.НАР.005 — MDV-V8280V2R1A(MA)</t>
  </si>
  <si>
    <t>МАТ.VRF.НАР.006</t>
  </si>
  <si>
    <t>MDV-V8335V2R1A(MA)</t>
  </si>
  <si>
    <t>МАТ.VRF.НАР.006 — MDV-V8335V2R1A(MA)</t>
  </si>
  <si>
    <t>МАТ.VRF.НАР.007</t>
  </si>
  <si>
    <t>MDV-V8400V2R1A(MA)</t>
  </si>
  <si>
    <t>МАТ.VRF.НАР.007 — MDV-V8400V2R1A(MA)</t>
  </si>
  <si>
    <t>МАТ.VRF.НАР.008</t>
  </si>
  <si>
    <t>MDV-V8450V2R1A(MA)</t>
  </si>
  <si>
    <t>МАТ.VRF.НАР.008 — MDV-V8450V2R1A(MA)</t>
  </si>
  <si>
    <t>МАТ.VRF.НАР.009</t>
  </si>
  <si>
    <t>MDV-V8500V2R1A(MA)</t>
  </si>
  <si>
    <t>МАТ.VRF.НАР.009 — MDV-V8500V2R1A(MA)</t>
  </si>
  <si>
    <t>МАТ.VRF.НАР.010</t>
  </si>
  <si>
    <t>MDV-V8560V2R1A(MA)</t>
  </si>
  <si>
    <t>МАТ.VRF.НАР.010 — MDV-V8560V2R1A(MA)</t>
  </si>
  <si>
    <t>МАТ.VRF.НАР.011</t>
  </si>
  <si>
    <t>MDV-V8615V2R1A(MA)</t>
  </si>
  <si>
    <t>МАТ.VRF.НАР.011 — MDV-V8615V2R1A(MA)</t>
  </si>
  <si>
    <t>МАТ.VRF.НАР.012</t>
  </si>
  <si>
    <t>MDV-V8670V2R1A(MA)</t>
  </si>
  <si>
    <t>МАТ.VRF.НАР.012 — MDV-V8670V2R1A(MA)</t>
  </si>
  <si>
    <t>МАТ.VRF.НАР.013</t>
  </si>
  <si>
    <t>MDV-V8730V2R1A(MA)</t>
  </si>
  <si>
    <t>МАТ.VRF.НАР.013 — MDV-V8730V2R1A(MA)</t>
  </si>
  <si>
    <t>МАТ.VRF.НАР.014</t>
  </si>
  <si>
    <t>MDV-V8785V2R1A(MA)</t>
  </si>
  <si>
    <t>МАТ.VRF.НАР.014 — MDV-V8785V2R1A(MA)</t>
  </si>
  <si>
    <t>МАТ.VRF.НАР.015</t>
  </si>
  <si>
    <t>MDV-V8850V2R1A(MA)</t>
  </si>
  <si>
    <t>МАТ.VRF.НАР.015 — MDV-V8850V2R1A(MA)</t>
  </si>
  <si>
    <t>МАТ.VRF.НАР.016</t>
  </si>
  <si>
    <t>MDV-V8900V2R1A(MA)</t>
  </si>
  <si>
    <t>МАТ.VRF.НАР.016 — MDV-V8900V2R1A(MA)</t>
  </si>
  <si>
    <t>МАТ.VRF.НАР.017</t>
  </si>
  <si>
    <t>MDV-V8950V2R1A(MA)</t>
  </si>
  <si>
    <t>МАТ.VRF.НАР.017 — MDV-V8950V2R1A(MA)</t>
  </si>
  <si>
    <t>МАТ.VRF.НАР.018</t>
  </si>
  <si>
    <t>MDV-V8M100V2R1E</t>
  </si>
  <si>
    <t>МАТ.VRF.НАР.018 — MDV-V8M100V2R1E</t>
  </si>
  <si>
    <t>МАТ.VRF.НАР.019</t>
  </si>
  <si>
    <t>MDV-V8M120V2R1B</t>
  </si>
  <si>
    <t>МАТ.VRF.НАР.019 — MDV-V8M120V2R1B</t>
  </si>
  <si>
    <t>МАТ.VRF.НАР.020</t>
  </si>
  <si>
    <t>MDV-V8M120V2R1E</t>
  </si>
  <si>
    <t>МАТ.VRF.НАР.020 — MDV-V8M120V2R1E</t>
  </si>
  <si>
    <t>МАТ.VRF.НАР.021</t>
  </si>
  <si>
    <t>MDV-V8M140V2R1B</t>
  </si>
  <si>
    <t>МАТ.VRF.НАР.021 — MDV-V8M140V2R1B</t>
  </si>
  <si>
    <t>МАТ.VRF.НАР.022</t>
  </si>
  <si>
    <t>MDV-V8M140V2R1E</t>
  </si>
  <si>
    <t>МАТ.VRF.НАР.022 — MDV-V8M140V2R1E</t>
  </si>
  <si>
    <t>МАТ.VRF.НАР.023</t>
  </si>
  <si>
    <t>MDV-V8M160V2R1B</t>
  </si>
  <si>
    <t>МАТ.VRF.НАР.023 — MDV-V8M160V2R1B</t>
  </si>
  <si>
    <t>МАТ.VRF.НАР.024</t>
  </si>
  <si>
    <t>MDV-V8M160V2R1E</t>
  </si>
  <si>
    <t>МАТ.VRF.НАР.024 — MDV-V8M160V2R1E</t>
  </si>
  <si>
    <t>МАТ.VRF.НАР.025</t>
  </si>
  <si>
    <t>MDV-V8M80V2R1E</t>
  </si>
  <si>
    <t>МАТ.VRF.НАР.025 — MDV-V8M80V2R1E</t>
  </si>
  <si>
    <t>МАТ.VRF.НАР.026</t>
  </si>
  <si>
    <t>MDV-V8S252V2R1A</t>
  </si>
  <si>
    <t>МАТ.VRF.НАР.026 — MDV-V8S252V2R1A</t>
  </si>
  <si>
    <t>МАТ.VRF.НАР.027</t>
  </si>
  <si>
    <t>MDV-V8S280V2R1A</t>
  </si>
  <si>
    <t>МАТ.VRF.НАР.027 — MDV-V8S280V2R1A</t>
  </si>
  <si>
    <t>МАТ.VRF.НАР.028</t>
  </si>
  <si>
    <t>MDV-V8S335V2R1A</t>
  </si>
  <si>
    <t>МАТ.VRF.НАР.028 — MDV-V8S335V2R1A</t>
  </si>
  <si>
    <t>МАТ.VRF.НАР.029</t>
  </si>
  <si>
    <t>MDV-V8S400V2R1A</t>
  </si>
  <si>
    <t>МАТ.VRF.НАР.029 — MDV-V8S400V2R1A</t>
  </si>
  <si>
    <t>МАТ.VRF.НАР.030</t>
  </si>
  <si>
    <t>MDV-V8S450V2R1A</t>
  </si>
  <si>
    <t>МАТ.VRF.НАР.030 — MDV-V8S450V2R1A</t>
  </si>
  <si>
    <t>МАТ.VRF.НАР.031</t>
  </si>
  <si>
    <t>MDV-V8S500V2R1A</t>
  </si>
  <si>
    <t>МАТ.VRF.НАР.031 — MDV-V8S500V2R1A</t>
  </si>
  <si>
    <t>МАТ.VRF.НАР.032</t>
  </si>
  <si>
    <t>MDV-V8S560V2R1A</t>
  </si>
  <si>
    <t>МАТ.VRF.НАР.032 — MDV-V8S560V2R1A</t>
  </si>
  <si>
    <t>МАТ.VRF.НАР.033</t>
  </si>
  <si>
    <t>MDV-V8S615V2R1A</t>
  </si>
  <si>
    <t>МАТ.VRF.НАР.033 — MDV-V8S615V2R1A</t>
  </si>
  <si>
    <t>МАТ.VRF.НАР.034</t>
  </si>
  <si>
    <t>MDV-V8S670V2R1A</t>
  </si>
  <si>
    <t>МАТ.VRF.НАР.034 — MDV-V8S670V2R1A</t>
  </si>
  <si>
    <t>МАТ.VRF.НАР.035</t>
  </si>
  <si>
    <t>MDV-V8i1010V2R1A(MA)</t>
  </si>
  <si>
    <t>МАТ.VRF.НАР.035 — MDV-V8i1010V2R1A(MA)</t>
  </si>
  <si>
    <t>МАТ.VRF.НАР.036</t>
  </si>
  <si>
    <t>MDV-V8i1060V2R1A(MA)</t>
  </si>
  <si>
    <t>МАТ.VRF.НАР.036 — MDV-V8i1060V2R1A(MA)</t>
  </si>
  <si>
    <t>МАТ.VRF.НАР.037</t>
  </si>
  <si>
    <t>MDV-V8i1120V2R1A(MA)</t>
  </si>
  <si>
    <t>МАТ.VRF.НАР.037 — MDV-V8i1120V2R1A(MA)</t>
  </si>
  <si>
    <t>МАТ.VRF.НАР.038</t>
  </si>
  <si>
    <t>MDV-V8i1170V2R1A(MA)</t>
  </si>
  <si>
    <t>МАТ.VRF.НАР.038 — MDV-V8i1170V2R1A(MA)</t>
  </si>
  <si>
    <t>МАТ.VRF.НАР.039</t>
  </si>
  <si>
    <t>MDV-V8i252V2R1A(MA)</t>
  </si>
  <si>
    <t>МАТ.VRF.НАР.039 — MDV-V8i252V2R1A(MA)</t>
  </si>
  <si>
    <t>МАТ.VRF.НАР.040</t>
  </si>
  <si>
    <t>MDV-V8i280V2R1A(MA)</t>
  </si>
  <si>
    <t>МАТ.VRF.НАР.040 — MDV-V8i280V2R1A(MA)</t>
  </si>
  <si>
    <t>МАТ.VRF.НАР.041</t>
  </si>
  <si>
    <t>MDV-V8i335V2R1A(MA)</t>
  </si>
  <si>
    <t>МАТ.VRF.НАР.041 — MDV-V8i335V2R1A(MA)</t>
  </si>
  <si>
    <t>МАТ.VRF.НАР.042</t>
  </si>
  <si>
    <t>MDV-V8i400V2R1A(MA)</t>
  </si>
  <si>
    <t>МАТ.VRF.НАР.042 — MDV-V8i400V2R1A(MA)</t>
  </si>
  <si>
    <t>МАТ.VRF.НАР.043</t>
  </si>
  <si>
    <t>MDV-V8i450V2R1A(MA)</t>
  </si>
  <si>
    <t>МАТ.VRF.НАР.043 — MDV-V8i450V2R1A(MA)</t>
  </si>
  <si>
    <t>МАТ.VRF.НАР.044</t>
  </si>
  <si>
    <t>MDV-V8i500V2R1A(MA)</t>
  </si>
  <si>
    <t>МАТ.VRF.НАР.044 — MDV-V8i500V2R1A(MA)</t>
  </si>
  <si>
    <t>МАТ.VRF.НАР.045</t>
  </si>
  <si>
    <t>MDV-V8i560V2R1A(MA)</t>
  </si>
  <si>
    <t>МАТ.VRF.НАР.045 — MDV-V8i560V2R1A(MA)</t>
  </si>
  <si>
    <t>МАТ.VRF.НАР.046</t>
  </si>
  <si>
    <t>MDV-V8i615V2R1A(MA)</t>
  </si>
  <si>
    <t>МАТ.VRF.НАР.046 — MDV-V8i615V2R1A(MA)</t>
  </si>
  <si>
    <t>МАТ.VRF.НАР.047</t>
  </si>
  <si>
    <t>MDV-V8i670V2R1A(MA)</t>
  </si>
  <si>
    <t>МАТ.VRF.НАР.047 — MDV-V8i670V2R1A(MA)</t>
  </si>
  <si>
    <t>МАТ.VRF.НАР.048</t>
  </si>
  <si>
    <t>MDV-V8i730V2R1A(MA)</t>
  </si>
  <si>
    <t>МАТ.VRF.НАР.048 — MDV-V8i730V2R1A(MA)</t>
  </si>
  <si>
    <t>МАТ.VRF.НАР.049</t>
  </si>
  <si>
    <t>MDV-V8i785V2R1A(MA)</t>
  </si>
  <si>
    <t>МАТ.VRF.НАР.049 — MDV-V8i785V2R1A(MA)</t>
  </si>
  <si>
    <t>МАТ.VRF.НАР.050</t>
  </si>
  <si>
    <t>MDV-V8i850V2R1A(MA)</t>
  </si>
  <si>
    <t>МАТ.VRF.НАР.050 — MDV-V8i850V2R1A(MA)</t>
  </si>
  <si>
    <t>МАТ.VRF.НАР.051</t>
  </si>
  <si>
    <t>MDV-V8i900V2R1A(MA)</t>
  </si>
  <si>
    <t>МАТ.VRF.НАР.051 — MDV-V8i900V2R1A(MA)</t>
  </si>
  <si>
    <t>МАТ.VRF.НАР.052</t>
  </si>
  <si>
    <t>MDV-V8i950V2R1A(MA)</t>
  </si>
  <si>
    <t>МАТ.VRF.НАР.052 — MDV-V8i950V2R1A(MA)</t>
  </si>
  <si>
    <t>МАТ.VRF.НАР.053</t>
  </si>
  <si>
    <t>MDV-Vi252V2R1A</t>
  </si>
  <si>
    <t>МАТ.VRF.НАР.053 — MDV-Vi252V2R1A</t>
  </si>
  <si>
    <t>МАТ.VRF.НАР.054</t>
  </si>
  <si>
    <t>MDV-Vi280V2R1A</t>
  </si>
  <si>
    <t>МАТ.VRF.НАР.054 — MDV-Vi280V2R1A</t>
  </si>
  <si>
    <t>МАТ.VRF.НАР.055</t>
  </si>
  <si>
    <t>MDV-Vi335V2R1A</t>
  </si>
  <si>
    <t>МАТ.VRF.НАР.055 — MDV-Vi335V2R1A</t>
  </si>
  <si>
    <t>МАТ.VRF.НАР.056</t>
  </si>
  <si>
    <t>MDV-Vi400V2R1A</t>
  </si>
  <si>
    <t>МАТ.VRF.НАР.056 — MDV-Vi400V2R1A</t>
  </si>
  <si>
    <t>МАТ.VRF.НАР.057</t>
  </si>
  <si>
    <t>MDV-Vi450V2R1A</t>
  </si>
  <si>
    <t>МАТ.VRF.НАР.057 — MDV-Vi450V2R1A</t>
  </si>
  <si>
    <t>МАТ.VRF.НАР.058</t>
  </si>
  <si>
    <t>MDV-Vi500V2R1A</t>
  </si>
  <si>
    <t>МАТ.VRF.НАР.058 — MDV-Vi500V2R1A</t>
  </si>
  <si>
    <t>МАТ.VRF.НАР.059</t>
  </si>
  <si>
    <t>MDV-Vi560V2R1A</t>
  </si>
  <si>
    <t>МАТ.VRF.НАР.059 — MDV-Vi560V2R1A</t>
  </si>
  <si>
    <t>МАТ.VRF.НАР.060</t>
  </si>
  <si>
    <t>MDV-Vi615V2R1A</t>
  </si>
  <si>
    <t>МАТ.VRF.НАР.060 — MDV-Vi615V2R1A</t>
  </si>
  <si>
    <t>МАТ.VRF.НАР.061</t>
  </si>
  <si>
    <t>MDV-Vi670V2R1A</t>
  </si>
  <si>
    <t>МАТ.VRF.НАР.061 — MDV-Vi670V2R1A</t>
  </si>
  <si>
    <t>МАТ.VRF.НАР.062</t>
  </si>
  <si>
    <t>MDVO-VCM224V2R1A</t>
  </si>
  <si>
    <t>МАТ.VRF.НАР.062 — MDVO-VCM224V2R1A</t>
  </si>
  <si>
    <t>МАТ.VRF.НАР.063</t>
  </si>
  <si>
    <t>MDVO-VCM280V2R1A</t>
  </si>
  <si>
    <t>МАТ.VRF.НАР.063 — MDVO-VCM280V2R1A</t>
  </si>
  <si>
    <t>МАТ.VRF.НАР.064</t>
  </si>
  <si>
    <t>MDVO-VCM335V2R1A</t>
  </si>
  <si>
    <t>МАТ.VRF.НАР.064 — MDVO-VCM335V2R1A</t>
  </si>
  <si>
    <t>МАТ.VRF.НАР.065</t>
  </si>
  <si>
    <t>MDVO-VCM400V2R1A</t>
  </si>
  <si>
    <t>МАТ.VRF.НАР.065 — MDVO-VCM400V2R1A</t>
  </si>
  <si>
    <t>МАТ.VRF.НАР.066</t>
  </si>
  <si>
    <t>MDVO-VCM450V2R1A</t>
  </si>
  <si>
    <t>МАТ.VRF.НАР.066 — MDVO-VCM450V2R1A</t>
  </si>
  <si>
    <t>МАТ.VRF.НАР.067</t>
  </si>
  <si>
    <t>MDVO-VCM500V2R1A</t>
  </si>
  <si>
    <t>МАТ.VRF.НАР.067 — MDVO-VCM500V2R1A</t>
  </si>
  <si>
    <t>МАТ.VRF.НАР.068</t>
  </si>
  <si>
    <t>MDVO-VCM560V2R1A</t>
  </si>
  <si>
    <t>МАТ.VRF.НАР.068 — MDVO-VCM560V2R1A</t>
  </si>
  <si>
    <t>МАТ.VRF.НАР.069</t>
  </si>
  <si>
    <t>MDVO-VCM615V2R1A</t>
  </si>
  <si>
    <t>МАТ.VRF.НАР.069 — MDVO-VCM615V2R1A</t>
  </si>
  <si>
    <t>МАТ.VRF.НАР.070</t>
  </si>
  <si>
    <t>MDVO-VCM670V2R1A</t>
  </si>
  <si>
    <t>МАТ.VRF.НАР.070 — MDVO-VCM670V2R1A</t>
  </si>
  <si>
    <t>МАТ.VRF.НАР.071</t>
  </si>
  <si>
    <t>MDVO-VCM730V2R1A</t>
  </si>
  <si>
    <t>МАТ.VRF.НАР.071 — MDVO-VCM730V2R1A</t>
  </si>
  <si>
    <t>МАТ.VRF.НАР.072</t>
  </si>
  <si>
    <t>MDVO-VCM785V2R1A</t>
  </si>
  <si>
    <t>МАТ.VRF.НАР.072 — MDVO-VCM785V2R1A</t>
  </si>
  <si>
    <t>МАТ.VRF.НАР.073</t>
  </si>
  <si>
    <t>MDVO-VCM850V2R1A</t>
  </si>
  <si>
    <t>МАТ.VRF.НАР.073 — MDVO-VCM850V2R1A</t>
  </si>
  <si>
    <t>МАТ.VRF.НАР.074</t>
  </si>
  <si>
    <t>MRV III - S Внешний блок 10HP AU10NFKERA</t>
  </si>
  <si>
    <t>AU10NFKERA</t>
  </si>
  <si>
    <t>МАТ.VRF.НАР.074 — MRV III - S Внешний блок 10HP AU10NFKERA</t>
  </si>
  <si>
    <t>МАТ.VRF.НАР.075</t>
  </si>
  <si>
    <t>MRV III - S Внешний блок 12HP AU12NFKERA</t>
  </si>
  <si>
    <t>AU12NFKERA</t>
  </si>
  <si>
    <t>МАТ.VRF.НАР.075 — MRV III - S Внешний блок 12HP AU12NFKERA</t>
  </si>
  <si>
    <t>МАТ.VRF.НАР.076</t>
  </si>
  <si>
    <t>MRV III - S Внешний блок 3HP AU032FSEUA</t>
  </si>
  <si>
    <t>AU032FSEUA</t>
  </si>
  <si>
    <t>МАТ.VRF.НАР.076 — MRV III - S Внешний блок 3HP AU032FSEUA</t>
  </si>
  <si>
    <t>МАТ.VRF.НАР.077</t>
  </si>
  <si>
    <t>MRV III - S Внешний блок 4HP AU042FNERA</t>
  </si>
  <si>
    <t>AU042FNERA</t>
  </si>
  <si>
    <t>МАТ.VRF.НАР.077 — MRV III - S Внешний блок 4HP AU042FNERA</t>
  </si>
  <si>
    <t>МАТ.VRF.НАР.078</t>
  </si>
  <si>
    <t>MRV III - S Внешний блок 4HP AU042FPERA</t>
  </si>
  <si>
    <t>AU042FPERA</t>
  </si>
  <si>
    <t>МАТ.VRF.НАР.078 — MRV III - S Внешний блок 4HP AU042FPERA</t>
  </si>
  <si>
    <t>МАТ.VRF.НАР.079</t>
  </si>
  <si>
    <t>MRV III - S Внешний блок 4HP AU04IFPERA</t>
  </si>
  <si>
    <t>AU04IFPERA</t>
  </si>
  <si>
    <t>МАТ.VRF.НАР.079 — MRV III - S Внешний блок 4HP AU04IFPERA</t>
  </si>
  <si>
    <t>МАТ.VRF.НАР.080</t>
  </si>
  <si>
    <t>MRV III - S Внешний блок 5HP AU052FNERA</t>
  </si>
  <si>
    <t>AU052FNERA</t>
  </si>
  <si>
    <t>МАТ.VRF.НАР.080 — MRV III - S Внешний блок 5HP AU052FNERA</t>
  </si>
  <si>
    <t>МАТ.VRF.НАР.081</t>
  </si>
  <si>
    <t>MRV III - S Внешний блок 5HP AU052FPERA</t>
  </si>
  <si>
    <t>AU052FPERA</t>
  </si>
  <si>
    <t>МАТ.VRF.НАР.081 — MRV III - S Внешний блок 5HP AU052FPERA</t>
  </si>
  <si>
    <t>МАТ.VRF.НАР.082</t>
  </si>
  <si>
    <t>MRV III - S Внешний блок 5HP AU052FPEUA</t>
  </si>
  <si>
    <t>AU052FPEUA</t>
  </si>
  <si>
    <t>МАТ.VRF.НАР.082 — MRV III - S Внешний блок 5HP AU052FPEUA</t>
  </si>
  <si>
    <t>МАТ.VRF.НАР.083</t>
  </si>
  <si>
    <t>MRV III - S Внешний блок 5HP AU05IFPERA</t>
  </si>
  <si>
    <t>AU05IFPERA</t>
  </si>
  <si>
    <t>МАТ.VRF.НАР.083 — MRV III - S Внешний блок 5HP AU05IFPERA</t>
  </si>
  <si>
    <t>МАТ.VRF.НАР.084</t>
  </si>
  <si>
    <t>MRV III - S Внешний блок 6HP AU062FPERA</t>
  </si>
  <si>
    <t>AU062FPERA</t>
  </si>
  <si>
    <t>МАТ.VRF.НАР.084 — MRV III - S Внешний блок 6HP AU062FPERA</t>
  </si>
  <si>
    <t>МАТ.VRF.НАР.085</t>
  </si>
  <si>
    <t>MRV III - S Внешний блок 6HP AU06IFPERA</t>
  </si>
  <si>
    <t>AU06IFPERA</t>
  </si>
  <si>
    <t>МАТ.VRF.НАР.085 — MRV III - S Внешний блок 6HP AU06IFPERA</t>
  </si>
  <si>
    <t>МАТ.VRF.НАР.086</t>
  </si>
  <si>
    <t>MRV III - S Внешний блок 6HP AU07NFPEUA</t>
  </si>
  <si>
    <t>AU07NFPEUA</t>
  </si>
  <si>
    <t>МАТ.VRF.НАР.086 — MRV III - S Внешний блок 6HP AU07NFPEUA</t>
  </si>
  <si>
    <t>МАТ.VRF.НАР.087</t>
  </si>
  <si>
    <t>MRV III - S Внешний блок 8HP AU08NFKERA</t>
  </si>
  <si>
    <t>AU08NFKERA</t>
  </si>
  <si>
    <t>МАТ.VRF.НАР.087 — MRV III - S Внешний блок 8HP AU08NFKERA</t>
  </si>
  <si>
    <t>МАТ.VRF.НАР.088</t>
  </si>
  <si>
    <t>MRV- V Внешний блок 10HP AV10IMVEVA</t>
  </si>
  <si>
    <t>AV10IMVEVA</t>
  </si>
  <si>
    <t>МАТ.VRF.НАР.088 — MRV- V Внешний блок 10HP AV10IMVEVA</t>
  </si>
  <si>
    <t>МАТ.VRF.НАР.089</t>
  </si>
  <si>
    <t>MRV- V Внешний блок 12HP AV12IMVEVA</t>
  </si>
  <si>
    <t>AV12IMVEVA</t>
  </si>
  <si>
    <t>МАТ.VRF.НАР.089 — MRV- V Внешний блок 12HP AV12IMVEVA</t>
  </si>
  <si>
    <t>МАТ.VRF.НАР.090</t>
  </si>
  <si>
    <t>MRV- V Внешний блок 14HP AV14IMVEVA</t>
  </si>
  <si>
    <t>AV14IMVEVA</t>
  </si>
  <si>
    <t>МАТ.VRF.НАР.090 — MRV- V Внешний блок 14HP AV14IMVEVA</t>
  </si>
  <si>
    <t>МАТ.VRF.НАР.091</t>
  </si>
  <si>
    <t>MRV- V Внешний блок 16HP AV16IMVEVA</t>
  </si>
  <si>
    <t>AV16IMVEVA</t>
  </si>
  <si>
    <t>МАТ.VRF.НАР.091 — MRV- V Внешний блок 16HP AV16IMVEVA</t>
  </si>
  <si>
    <t>МАТ.VRF.НАР.092</t>
  </si>
  <si>
    <t>MRV- V Внешний блок 18HP AV18IMVEVA</t>
  </si>
  <si>
    <t>AV18IMVEVA</t>
  </si>
  <si>
    <t>МАТ.VRF.НАР.092 — MRV- V Внешний блок 18HP AV18IMVEVA</t>
  </si>
  <si>
    <t>МАТ.VRF.НАР.093</t>
  </si>
  <si>
    <t>MRV- V Внешний блок 20HP AV20IMVEVA</t>
  </si>
  <si>
    <t>AV20IMVEVA</t>
  </si>
  <si>
    <t>МАТ.VRF.НАР.093 — MRV- V Внешний блок 20HP AV20IMVEVA</t>
  </si>
  <si>
    <t>МАТ.VRF.НАР.094</t>
  </si>
  <si>
    <t>MRV- V Внешний блок 22HP AV22IMVEVA</t>
  </si>
  <si>
    <t>AV22IMVEVA</t>
  </si>
  <si>
    <t>МАТ.VRF.НАР.094 — MRV- V Внешний блок 22HP AV22IMVEVA</t>
  </si>
  <si>
    <t>МАТ.VRF.НАР.095</t>
  </si>
  <si>
    <t>MRV- V Внешний блок 24HP AV24IMVEVA</t>
  </si>
  <si>
    <t>AV24IMVEVA</t>
  </si>
  <si>
    <t>МАТ.VRF.НАР.095 — MRV- V Внешний блок 24HP AV24IMVEVA</t>
  </si>
  <si>
    <t>МАТ.VRF.НАР.096</t>
  </si>
  <si>
    <t>MRV- V Внешний блок 26HP AV26IMVEVA</t>
  </si>
  <si>
    <t>AV26IMVEVA</t>
  </si>
  <si>
    <t>МАТ.VRF.НАР.096 — MRV- V Внешний блок 26HP AV26IMVEVA</t>
  </si>
  <si>
    <t>МАТ.VRF.НАР.097</t>
  </si>
  <si>
    <t>MRV- V Внешний блок 8HP AV08IMVEVA</t>
  </si>
  <si>
    <t>AV08IMVEVA</t>
  </si>
  <si>
    <t>МАТ.VRF.НАР.097 — MRV- V Внешний блок 8HP AV08IMVEVA</t>
  </si>
  <si>
    <t>МАТ.VRF.НАР.098</t>
  </si>
  <si>
    <t>Рефнет для наружных блоков HZG-20A</t>
  </si>
  <si>
    <t>HZG-20A</t>
  </si>
  <si>
    <t>МАТ.VRF.НАР.098 — Рефнет для наружных блоков HZG-20A</t>
  </si>
  <si>
    <t>МАТ.VRF.НАР.099</t>
  </si>
  <si>
    <t>Рефнет для наружных блоков HZG-30A</t>
  </si>
  <si>
    <t>HZG-30A</t>
  </si>
  <si>
    <t>МАТ.VRF.НАР.099 — Рефнет для наружных блоков HZG-30A</t>
  </si>
  <si>
    <t>МАТ.VRF.НАР.100</t>
  </si>
  <si>
    <t>Рефнет для наружных блоков MRV V HZG-20B</t>
  </si>
  <si>
    <t>HZG-20B</t>
  </si>
  <si>
    <t>МАТ.VRF.НАР.100 — Рефнет для наружных блоков MRV V HZG-20B</t>
  </si>
  <si>
    <t>МАТ.VRF.НАР.101</t>
  </si>
  <si>
    <t>Рефнет для наружных блоков MRV V HZG-30B</t>
  </si>
  <si>
    <t>HZG-30B</t>
  </si>
  <si>
    <t>МАТ.VRF.НАР.101 — Рефнет для наружных блоков MRV V HZG-30B</t>
  </si>
  <si>
    <t>МАТ.БРОНЯ.001</t>
  </si>
  <si>
    <t>Бронестекло ПУз-Бр3 (1000*1000 мм. Видимая часть). По раме 1090х1090 мм без учета лотка. ЛИСТ 2.</t>
  </si>
  <si>
    <t>СПЕЦ Прожект групп</t>
  </si>
  <si>
    <t>RUB</t>
  </si>
  <si>
    <t>МАТ.БРОНЯ.001 — Бронестекло ПУз-Бр3 (1000*1000 мм. Видимая часть). По раме 1090х1090 мм без учета лотка. ЛИСТ 2.</t>
  </si>
  <si>
    <t>МАТ.БРОНЯ.002</t>
  </si>
  <si>
    <t>Бронестекло ПУз-Бр3 (1090*1335 мм. ). С учетом лотка. ЛИСТ 1.</t>
  </si>
  <si>
    <t>МАТ.БРОНЯ.002 — Бронестекло ПУз-Бр3 (1090*1335 мм. ). С учетом лотка. ЛИСТ 1.</t>
  </si>
  <si>
    <t>МАТ.БРОНЯ.003</t>
  </si>
  <si>
    <t>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</si>
  <si>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МАТ.БРОНЯ.003 — 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</si>
  <si>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МАТ.БРОНЯ.004</t>
  </si>
  <si>
    <t>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</si>
  <si>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МАТ.БРОНЯ.004 — 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</si>
  <si>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МАТ.БРОНЯ.005</t>
  </si>
  <si>
    <t>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</si>
  <si>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МАТ.БРОНЯ.005 — 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</si>
  <si>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МАТ.БРОНЯ.006</t>
  </si>
  <si>
    <t>Дверной блок 5-го класса устойчивости к взлому с решетчатой дверью . 2 замка СИ600 (дверное полотно 898*1970), 1030х2100 мм по раме. ЛИСТ 13.</t>
  </si>
  <si>
    <t>МАТ.БРОНЯ.006 — Дверной блок 5-го класса устойчивости к взлому с решетчатой дверью . 2 замка СИ600 (дверное полотно 898*1970), 1030х2100 мм по раме. ЛИСТ 13.</t>
  </si>
  <si>
    <t>МАТ.БРОНЯ.007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</si>
  <si>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</si>
  <si>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МАТ.БРОНЯ.007 — 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</si>
  <si>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МАТ.БРОНЯ.008</t>
  </si>
  <si>
    <t>МАТ.БРОНЯ.008 — Доводчик на рабочую створку NOTEDO DC-025-095 (со скользящим каналом). Доводчик на паразитную створку NOTEDO DC-070 (паук)</t>
  </si>
  <si>
    <t>МАТ.БРОНЯ.009</t>
  </si>
  <si>
    <t>МАТ.БРОНЯ.009 — Панели защитные, стеновые V класс взломостойкости, сварное соединение, бетонно-заливная. Покраска грунт</t>
  </si>
  <si>
    <t>МАТ.БРОНЯ.010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</si>
  <si>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</si>
  <si>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МАТ.БРОНЯ.010 — Панели защитные, стеновые кл. Бр-2 по пулестойкости и II класс взломостойкости, болтовое соединение, облегченные, Покраска грунт</t>
  </si>
  <si>
    <t>МАТ.БРОНЯ.011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</si>
  <si>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</si>
  <si>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МАТ.БРОНЯ.011 — Панели защитные, стеновые кл. Бр-2 по пулестойкости и II класс взломостойкости, сварное соединение, облегченные, Покраска грунт</t>
  </si>
  <si>
    <t>МАТ.БРОНЯ.012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</si>
  <si>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</si>
  <si>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МАТ.БРОНЯ.012 — 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</si>
  <si>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МАТ.БРОНЯ.013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</si>
  <si>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</si>
  <si>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МАТ.БРОНЯ.013 — Панели защитные, стеновые кл. Бр-3 по пулестойкости и III класс взломостойкости, сварное соединение, облегченные, Покраска грунт</t>
  </si>
  <si>
    <t>МАТ.БРОНЯ.014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</si>
  <si>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</si>
  <si>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МАТ.БРОНЯ.014 — 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</si>
  <si>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МАТ.БРОНЯ.015</t>
  </si>
  <si>
    <t>Противопожарный однопольный дверной блок , min EI60 с фурнитурой 1000х2100мм по раме</t>
  </si>
  <si>
    <t>МАТ.БРОНЯ.015 — Противопожарный однопольный дверной блок , min EI60 с фурнитурой 1000х2100мм по раме</t>
  </si>
  <si>
    <t>МАТ.БРОНЯ.016</t>
  </si>
  <si>
    <t>Установка противопожарного однопольного дверного блока, min EI60 с фурнитурой 1200х2100мм</t>
  </si>
  <si>
    <t>МАТ.БРОНЯ.016 — Установка противопожарного однопольного дверного блока, min EI60 с фурнитурой 1200х2100мм</t>
  </si>
  <si>
    <t>МАТ.БРОНЯ.017</t>
  </si>
  <si>
    <t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</si>
  <si>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МАТ.БРОНЯ.017 — 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</si>
  <si>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МАТ.БРОНЯ.018</t>
  </si>
  <si>
    <t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</si>
  <si>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МАТ.БРОНЯ.018 — 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</si>
  <si>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МАТ.БРОНЯ.019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</si>
  <si>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</si>
  <si>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МАТ.БРОНЯ.019 — 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</si>
  <si>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МАТ.БРОНЯ.020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</si>
  <si>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</si>
  <si>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МАТ.БРОНЯ.020 — 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</si>
  <si>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МАТ.БРОНЯ.021</t>
  </si>
  <si>
    <t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</si>
  <si>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МАТ.БРОНЯ.021 — 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</si>
  <si>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МАТ.БРОНЯ.022</t>
  </si>
  <si>
    <t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</si>
  <si>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МАТ.БРОНЯ.022 — 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</si>
  <si>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МАТ.ДВ.001</t>
  </si>
  <si>
    <t>Добор для F-наличника серый 7035 (5х100х2070мм)</t>
  </si>
  <si>
    <t>Kapelli</t>
  </si>
  <si>
    <t>Фабрика дверей KAPELLI</t>
  </si>
  <si>
    <t>МАТ.ДВ.001 — Добор для F-наличника серый 7035 (5х100х2070мм)</t>
  </si>
  <si>
    <t>МАТ.ДВ.002</t>
  </si>
  <si>
    <t>Добор для F-наличника серый 7035 (5х150х2070мм)</t>
  </si>
  <si>
    <t>МАТ.ДВ.002 — Добор для F-наличника серый 7035 (5х150х2070мм)</t>
  </si>
  <si>
    <t>МАТ.ДВ.003</t>
  </si>
  <si>
    <t>Завертка WC</t>
  </si>
  <si>
    <t>МАТ.ДВ.003 — Завертка WC</t>
  </si>
  <si>
    <t>МАТ.ДВ.004</t>
  </si>
  <si>
    <t>Замок магнитный (под цилиндр / под фиксатор)</t>
  </si>
  <si>
    <t>МАТ.ДВ.004 — Замок магнитный (под цилиндр / под фиксатор)</t>
  </si>
  <si>
    <t>МАТ.ДВ.005</t>
  </si>
  <si>
    <t>Замок механический (под цилиндр / под фиксатор)</t>
  </si>
  <si>
    <t>МАТ.ДВ.005 — Замок механический (под цилиндр / под фиксатор)</t>
  </si>
  <si>
    <t>МАТ.ДВ.006</t>
  </si>
  <si>
    <t>Накладка под цилиндр</t>
  </si>
  <si>
    <t>МАТ.ДВ.006 — Накладка под цилиндр</t>
  </si>
  <si>
    <t>МАТ.ДВ.007</t>
  </si>
  <si>
    <t>Наличник F ПВХ 2,17м серый 7035 телескопический</t>
  </si>
  <si>
    <t>МАТ.ДВ.007 — Наличник F ПВХ 2,17м серый 7035 телескопический</t>
  </si>
  <si>
    <t>МАТ.ДВ.008</t>
  </si>
  <si>
    <t>Петля накладная</t>
  </si>
  <si>
    <t>МАТ.ДВ.008 — Петля накладная</t>
  </si>
  <si>
    <t>МАТ.ДВ.009</t>
  </si>
  <si>
    <t>Установка дверного доводчика штанга рычажная на входные двери (210 кг)</t>
  </si>
  <si>
    <t>ФАСАДСТРОЙ</t>
  </si>
  <si>
    <t>МАТ.ДВ.009 — Установка дверного доводчика штанга рычажная на входные двери (210 кг)</t>
  </si>
  <si>
    <t>МАТ.ДВ.010</t>
  </si>
  <si>
    <t>Цилиндр (клю-ключ)</t>
  </si>
  <si>
    <t>МАТ.ДВ.010 — Цилиндр (клю-ключ)</t>
  </si>
  <si>
    <t>МАТ.ДВ.011</t>
  </si>
  <si>
    <t>Цилиндр (ключ-фиксатор)</t>
  </si>
  <si>
    <t>МАТ.ДВ.011 — Цилиндр (ключ-фиксатор)</t>
  </si>
  <si>
    <t>МАТ.ДВ.АЛ.001</t>
  </si>
  <si>
    <t>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</si>
  <si>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МАТ.ДВ.АЛ.001 — 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</si>
  <si>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МАТ.ДВ.АЛ.002</t>
  </si>
  <si>
    <t xml:space="preserve">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</si>
  <si>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 xml:space="preserve">МАТ.ДВ.АЛ.002 — 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</si>
  <si>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>МАТ.ДВ.АЛ.003</t>
  </si>
  <si>
    <t>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</si>
  <si>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МАТ.ДВ.АЛ.003 — 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</si>
  <si>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МАТ.ДВ.АЛ.004</t>
  </si>
  <si>
    <t>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</si>
  <si>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МАТ.ДВ.АЛ.004 — 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</si>
  <si>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МАТ.ДВ.АЛ.005</t>
  </si>
  <si>
    <t>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</si>
  <si>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МАТ.ДВ.АЛ.005 — 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</si>
  <si>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МАТ.ДВ.АЛ.006</t>
  </si>
  <si>
    <t xml:space="preserve">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</si>
  <si>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 xml:space="preserve">МАТ.ДВ.АЛ.006 — 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</si>
  <si>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>МАТ.ДВ.ДЕР.001</t>
  </si>
  <si>
    <t>ДГ 21-10 КАПЕЛЬ Гладкая МС7035 (полотно 2000*900, ДКТ80) УД</t>
  </si>
  <si>
    <t>МАТ.ДВ.ДЕР.001 — ДГ 21-10 КАПЕЛЬ Гладкая МС7035 (полотно 2000*900, ДКТ80) УД</t>
  </si>
  <si>
    <t>МАТ.ДВ.ДЕР.002</t>
  </si>
  <si>
    <t>ДГ 21-7 КАПЕЛЬ Гладкая МС7035 (полотно 2000*600, ДКТ80) УД</t>
  </si>
  <si>
    <t>МАТ.ДВ.ДЕР.002 — ДГ 21-7 КАПЕЛЬ Гладкая МС7035 (полотно 2000*600, ДКТ80) УД</t>
  </si>
  <si>
    <t>МАТ.ДВ.ДЕР.003</t>
  </si>
  <si>
    <t>ДГ 21-8 КАПЕЛЬ Гладкая МС7035 (полотно 2000*700, ДКТ80) УД</t>
  </si>
  <si>
    <t>МАТ.ДВ.ДЕР.003 — ДГ 21-8 КАПЕЛЬ Гладкая МС7035 (полотно 2000*700, ДКТ80) УД</t>
  </si>
  <si>
    <t>МАТ.ДВ.ДЕР.004</t>
  </si>
  <si>
    <t>ДГ 21-9 КАПЕЛЬ Гладкая МС7035 (полотно 2000*800, ДКТ80) УД</t>
  </si>
  <si>
    <t>МАТ.ДВ.ДЕР.004 — ДГ 21-9 КАПЕЛЬ Гладкая МС7035 (полотно 2000*800, ДКТ80) УД</t>
  </si>
  <si>
    <t>МАТ.ДВ.ДЕР.005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</si>
  <si>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</si>
  <si>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Вертикальный транспорт</t>
  </si>
  <si>
    <t>МАТ.ДВ.ДЕР.005 — 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</si>
  <si>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МАТ.ДВ.ДЕР.006</t>
  </si>
  <si>
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</si>
  <si>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МАТ.ДВ.ДЕР.006 — 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</si>
  <si>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МАТ.ДВ.СТ.001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</si>
  <si>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</si>
  <si>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МАТ.ДВ.СТ.001 — 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</si>
  <si>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МАТ.ДВ.СТ.002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</si>
  <si>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</si>
  <si>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МАТ.ДВ.СТ.002 — 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</si>
  <si>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МАТ.ДВ.СТ.003</t>
  </si>
  <si>
    <t>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</si>
  <si>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МАТ.ДВ.СТ.003 — 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</si>
  <si>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МАТ.ДВ.СТ.004</t>
  </si>
  <si>
    <t>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</si>
  <si>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МАТ.ДВ.СТ.004 — 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</si>
  <si>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МАТ.ДВ.СТ.005</t>
  </si>
  <si>
    <t>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</si>
  <si>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МАТ.ДВ.СТ.005 — 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</si>
  <si>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МАТ.ЗАВЕСА.001</t>
  </si>
  <si>
    <t>Компактная воздушно-тепловая завеса КЭВ-12П3042E</t>
  </si>
  <si>
    <t>123040</t>
  </si>
  <si>
    <t>Тепломаш</t>
  </si>
  <si>
    <t>МАТ.ЗАВЕСА.001 — Компактная воздушно-тепловая завеса КЭВ-12П3042E</t>
  </si>
  <si>
    <t>МАТ.ЗАВЕСА.002</t>
  </si>
  <si>
    <t>Компактная воздушно-тепловая завеса КЭВ-3П1154Е</t>
  </si>
  <si>
    <t>121021</t>
  </si>
  <si>
    <t>МАТ.ЗАВЕСА.002 — Компактная воздушно-тепловая завеса КЭВ-3П1154Е</t>
  </si>
  <si>
    <t>МАТ.ЗАВЕСА.003</t>
  </si>
  <si>
    <t>Компактная воздушно-тепловая завеса КЭВ-6П2212E</t>
  </si>
  <si>
    <t>122002</t>
  </si>
  <si>
    <t>МАТ.ЗАВЕСА.003 — Компактная воздушно-тепловая завеса КЭВ-6П2212E</t>
  </si>
  <si>
    <t>МАТ.ЗАВЕСА.004</t>
  </si>
  <si>
    <t>Компактная воздушно-тепловая завеса КЭВ-9П3012E</t>
  </si>
  <si>
    <t>123037</t>
  </si>
  <si>
    <t>МАТ.ЗАВЕСА.004 — Компактная воздушно-тепловая завеса КЭВ-9П3012E</t>
  </si>
  <si>
    <t>МАТ.ЛЮЧОК.001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</si>
  <si>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</si>
  <si>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</si>
  <si>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</si>
  <si>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РусТрэйд</t>
  </si>
  <si>
    <t>МАТ.ЛЮЧОК.001 — Лючок напольный SEG-Lux 250x250x100мм на 16 модуля арт. ALFB16M с розетками 2К+3 красного(Legrand Mozaic 077218) 4 шт. и белого(Legrand Mozaic 077211) 2 шт. цвета</t>
  </si>
  <si>
    <t>МАТ.ПВУ.001</t>
  </si>
  <si>
    <t>Вентилятор LITENED 70-40 G1.31-1,1х30</t>
  </si>
  <si>
    <t>NED</t>
  </si>
  <si>
    <t>МАТ.ПВУ.001 — Вентилятор LITENED 70-40 G1.31-1,1х30</t>
  </si>
  <si>
    <t>МАТ.ПВУ.002</t>
  </si>
  <si>
    <t>ПВВУ iClimate 025</t>
  </si>
  <si>
    <t>Globalvent</t>
  </si>
  <si>
    <t>МАТ.ПВУ.002 — ПВВУ iClimate 025</t>
  </si>
  <si>
    <t>МАТ.ПВУ.003</t>
  </si>
  <si>
    <t>ПВВУ iClimate 031</t>
  </si>
  <si>
    <t>МАТ.ПВУ.003 — ПВВУ iClimate 031</t>
  </si>
  <si>
    <t>МАТ.ПВУ.004</t>
  </si>
  <si>
    <t>ПВВУ iClimate 038</t>
  </si>
  <si>
    <t>МАТ.ПВУ.004 — ПВВУ iClimate 038</t>
  </si>
  <si>
    <t>МАТ.ПВУ.005</t>
  </si>
  <si>
    <t>ПВВУ iClimate 038+</t>
  </si>
  <si>
    <t>МАТ.ПВУ.005 — ПВВУ iClimate 038+</t>
  </si>
  <si>
    <t>МАТ.ПВУ.006</t>
  </si>
  <si>
    <t>ПВВУ iClimate 042</t>
  </si>
  <si>
    <t>МАТ.ПВУ.006 — ПВВУ iClimate 042</t>
  </si>
  <si>
    <t>МАТ.ПВУ.007</t>
  </si>
  <si>
    <t>ПВВУ iClimate 042+</t>
  </si>
  <si>
    <t>МАТ.ПВУ.007 — ПВВУ iClimate 042+</t>
  </si>
  <si>
    <t>МАТ.ПВУ.008</t>
  </si>
  <si>
    <t>ПВВУ iClimate 050</t>
  </si>
  <si>
    <t>МАТ.ПВУ.008 — ПВВУ iClimate 050</t>
  </si>
  <si>
    <t>МАТ.ПВУ.009</t>
  </si>
  <si>
    <t>ПВВУ iClimate 050+</t>
  </si>
  <si>
    <t>МАТ.ПВУ.009 — ПВВУ iClimate 050+</t>
  </si>
  <si>
    <t>МАТ.ПВУ.010</t>
  </si>
  <si>
    <t>ПВВУ iClimate 067</t>
  </si>
  <si>
    <t>МАТ.ПВУ.010 — ПВВУ iClimate 067</t>
  </si>
  <si>
    <t>МАТ.ПВУ.011</t>
  </si>
  <si>
    <t>Установка компактная напольная MININED 1600-V-RC-E7,5</t>
  </si>
  <si>
    <t>МАТ.ПВУ.011 — Установка компактная напольная MININED 1600-V-RC-E7,5</t>
  </si>
  <si>
    <t>МАТ.ПВУ.012</t>
  </si>
  <si>
    <t>Установка компактная напольная MININED 2900-V-RC-E18</t>
  </si>
  <si>
    <t>МАТ.ПВУ.012 — Установка компактная напольная MININED 2900-V-RC-E18</t>
  </si>
  <si>
    <t>МАТ.ПВУ.013</t>
  </si>
  <si>
    <t>Установка компактная напольная MININED 3800-V-RC-E25,5</t>
  </si>
  <si>
    <t>МАТ.ПВУ.013 — Установка компактная напольная MININED 3800-V-RC-E25,5</t>
  </si>
  <si>
    <t>МАТ.ПВУ.014</t>
  </si>
  <si>
    <t>МАТ.ПВУ.014 — Установка компактная напольная MININED 3800-V-RC-E25,5</t>
  </si>
  <si>
    <t>МАТ.ПВУ.015</t>
  </si>
  <si>
    <t>Установка компактная подвесная ND-RV-X30DS</t>
  </si>
  <si>
    <t>МАТ.ПВУ.015 — Установка компактная подвесная ND-RV-X30DS</t>
  </si>
  <si>
    <t>МАТ.ПВУ.016</t>
  </si>
  <si>
    <t>МАТ.ПВУ.016 — Установка компактная подвесная ND-RV-X30DS</t>
  </si>
  <si>
    <t>МАТ.ПЕРЕГ.СТ.001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</si>
  <si>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</si>
  <si>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МАТ.ПЕРЕГ.СТ.001 — 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</si>
  <si>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МАТ.ПЕРЕГ.ТР.001</t>
  </si>
  <si>
    <t>Cтекло закаленное М1, прозрачное, 10 мм, кромка полированная, для перегородок высотой до 3000мм</t>
  </si>
  <si>
    <t>7.59</t>
  </si>
  <si>
    <t>Р-Перегородки</t>
  </si>
  <si>
    <t>МАТ.ПЕРЕГ.ТР.001 — Cтекло закаленное М1, прозрачное, 10 мм, кромка полированная, для перегородок высотой до 3000мм</t>
  </si>
  <si>
    <t>МАТ.ПЕРЕГ.ТР.002</t>
  </si>
  <si>
    <t>Cтекло закаленное М1, прозрачное, 12 мм, кромка полированная, для перегородок высотой 3000-3300мм</t>
  </si>
  <si>
    <t>МАТ.ПЕРЕГ.ТР.002 — Cтекло закаленное М1, прозрачное, 12 мм, кромка полированная, для перегородок высотой 3000-3300мм</t>
  </si>
  <si>
    <t>МАТ.ПЕРЕГ.ТР.003</t>
  </si>
  <si>
    <t>Доводчик напольный 840-20-90 (SSS)</t>
  </si>
  <si>
    <t>МАТ.ПЕРЕГ.ТР.003 — Доводчик напольный 840-20-90 (SSS)</t>
  </si>
  <si>
    <t>МАТ.ПЕРЕГ.ТР.004</t>
  </si>
  <si>
    <t>Доводчик скрытый 850-25 (SSS)</t>
  </si>
  <si>
    <t>МАТ.ПЕРЕГ.ТР.004 — Доводчик скрытый 850-25 (SSS)</t>
  </si>
  <si>
    <t>МАТ.ПЕРЕГ.ТР.005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</si>
  <si>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</si>
  <si>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МАТ.ПЕРЕГ.ТР.005 — 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</si>
  <si>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МАТ.ПЕРЕГ.ТР.006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</si>
  <si>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</si>
  <si>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МАТ.ПЕРЕГ.ТР.006 — 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</si>
  <si>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МАТ.ПЕРЕГ.ТР.007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</si>
  <si>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</si>
  <si>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МАТ.ПЕРЕГ.ТР.007 — 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</si>
  <si>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МАТ.ПЕРЕГ.ТР.008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</si>
  <si>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</si>
  <si>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МАТ.ПЕРЕГ.ТР.008 — 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</si>
  <si>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МАТ.ПЕРЕГ.ТР.009</t>
  </si>
  <si>
    <t>МАТ.ПЕРЕГ.ТР.009 — Цилиндр с заверткой для нижнего замка</t>
  </si>
  <si>
    <t>МАТ.ПЕРЕГ.ТР.010</t>
  </si>
  <si>
    <t>Цилиндр с заверткой для среднего замка</t>
  </si>
  <si>
    <t>МАТ.ПЕРЕГ.ТР.010 — Цилиндр с заверткой для среднего замка</t>
  </si>
  <si>
    <t>МАТ.ПОЛ.КГ.001</t>
  </si>
  <si>
    <t>Atlas Concorde Forte dei Marmi Rock Tiffany White 60x120 Mat</t>
  </si>
  <si>
    <t>Отделкино</t>
  </si>
  <si>
    <t>МАТ.ПОЛ.КГ.001 — Atlas Concorde Forte dei Marmi Rock Tiffany White 60x120 Mat</t>
  </si>
  <si>
    <t>МАТ.ПОЛ.КГ.002</t>
  </si>
  <si>
    <t>Atlas Concorde Forte dei Marmi Rock Tiffany White 80x160 Mat</t>
  </si>
  <si>
    <t>МАТ.ПОЛ.КГ.002 — Atlas Concorde Forte dei Marmi Rock Tiffany White 80x160 Mat</t>
  </si>
  <si>
    <t>МАТ.ПОЛ.КГ.003</t>
  </si>
  <si>
    <t>Atlas Concorde Rin. Grey 60x120/Ринашенте Грей 60X120</t>
  </si>
  <si>
    <t>МАТ.ПОЛ.КГ.003 — Atlas Concorde Rin. Grey 60x120/Ринашенте Грей 60X120</t>
  </si>
  <si>
    <t>МАТ.ПОЛ.КГ.004</t>
  </si>
  <si>
    <t>Atlas Concorde Rin. Grey 80x80/Ринашенте Грей 80X80</t>
  </si>
  <si>
    <t>МАТ.ПОЛ.КГ.004 — Atlas Concorde Rin. Grey 80x80/Ринашенте Грей 80X80</t>
  </si>
  <si>
    <t>МАТ.ПОЛ.КГ.005</t>
  </si>
  <si>
    <t>Atlas Concorde Rinascente IVORY 600х1200х9 с затиркой швов.</t>
  </si>
  <si>
    <t>МАТ.ПОЛ.КГ.005 — Atlas Concorde Rinascente IVORY 600х1200х9 с затиркой швов.</t>
  </si>
  <si>
    <t>МАТ.ПОЛ.КГ.006</t>
  </si>
  <si>
    <t>Atlas Concorde Rinascente PEARL 600х1200х9 с затиркой швов.</t>
  </si>
  <si>
    <t>МАТ.ПОЛ.КГ.006 — Atlas Concorde Rinascente PEARL 600х1200х9 с затиркой швов.</t>
  </si>
  <si>
    <t>МАТ.ПОЛ.КГ.007</t>
  </si>
  <si>
    <t>Atlas Concorde Rinascente SMOKE 600х1200х9 с затиркой швов.</t>
  </si>
  <si>
    <t>МАТ.ПОЛ.КГ.007 — Atlas Concorde Rinascente SMOKE 600х1200х9 с затиркой швов.</t>
  </si>
  <si>
    <t>МАТ.ПОЛ.КГ.008</t>
  </si>
  <si>
    <t>Терраццо серый светлый обрезной арт. SG632400R</t>
  </si>
  <si>
    <t>Керамогрес</t>
  </si>
  <si>
    <t>МАТ.ПОЛ.КГ.008 — Терраццо серый светлый обрезной арт. SG632400R</t>
  </si>
  <si>
    <t>МАТ.ПОЛ.МОД.001</t>
  </si>
  <si>
    <t>Ковровая плитка Desso Grezzo AB64 7923 (зеленый) КМ3</t>
  </si>
  <si>
    <t>Desso</t>
  </si>
  <si>
    <t>Интерьерные решения</t>
  </si>
  <si>
    <t>EUR</t>
  </si>
  <si>
    <t>МАТ.ПОЛ.МОД.001 — Ковровая плитка Desso Grezzo AB64 7923 (зеленый) КМ3</t>
  </si>
  <si>
    <t>МАТ.ПОЛ.МОД.002</t>
  </si>
  <si>
    <t>Ковровая плитка Desso Grezzo AB64 8904 (cиний) КМ3</t>
  </si>
  <si>
    <t>МАТ.ПОЛ.МОД.002 — Ковровая плитка Desso Grezzo AB64 8904 (cиний) КМ3</t>
  </si>
  <si>
    <t>МАТ.ПОЛ.МОД.003</t>
  </si>
  <si>
    <t>Ковровая плитка Desso Grezzo AB64 9027 (серый светлый) КМ3</t>
  </si>
  <si>
    <t>МАТ.ПОЛ.МОД.003 — Ковровая плитка Desso Grezzo AB64 9027 (серый светлый) КМ3</t>
  </si>
  <si>
    <t>МАТ.ПОЛ.МОД.004</t>
  </si>
  <si>
    <t>Ковровая плитка Desso Grezzo AB64 9033 (серый темный) КМ3</t>
  </si>
  <si>
    <t>МАТ.ПОЛ.МОД.004 — Ковровая плитка Desso Grezzo AB64 9033 (серый темный) КМ3</t>
  </si>
  <si>
    <t>МАТ.ПОЛ.МОД.005</t>
  </si>
  <si>
    <t>Коммерческая ПВХ плитка ADO Floor 4020 мм, толщина 5мм, размер 305Х610мм, КМ2 с учетом клея фиксатора и подрезки 10%</t>
  </si>
  <si>
    <t>Опус-Контракт</t>
  </si>
  <si>
    <t>МАТ.ПОЛ.МОД.005 — Коммерческая ПВХ плитка ADO Floor 4020 мм, толщина 5мм, размер 305Х610мм, КМ2 с учетом клея фиксатора и подрезки 10%</t>
  </si>
  <si>
    <t>МАТ.ПОТОЛОК.001</t>
  </si>
  <si>
    <t>УПТК (акуст. потолки)</t>
  </si>
  <si>
    <t>МАТ.ПОТОЛОК.001 — Потолочный акустический остров 1195*1530*40мм цвет: белый, форма под заказ (форма яйцо)в комплекте с подвесами</t>
  </si>
  <si>
    <t>МАТ.ПОТОЛОК.002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</si>
  <si>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</si>
  <si>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МАТ.ПОТОЛОК.002 — 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</si>
  <si>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МАТ.ПОТОЛОК.003</t>
  </si>
  <si>
    <t>Потолочный акустический остров цвет: белый, форма круг D=1200мм, толщ. 40мм, в комплекте с подвесами</t>
  </si>
  <si>
    <t>МАТ.ПОТОЛОК.003 — Потолочный акустический остров цвет: белый, форма круг D=1200мм, толщ. 40мм, в комплекте с подвесами</t>
  </si>
  <si>
    <t>МАТ.ПОТОЛОК.004</t>
  </si>
  <si>
    <t>МАТ.ПОТОЛОК.004 — Потолочный акустический остров цвет: белый, форма круг D=750мм, толщ. 40мм, в комплекте с подвесами</t>
  </si>
  <si>
    <t>МАТ.ПОТОЛОК.005</t>
  </si>
  <si>
    <t>Потолочный акустический остров цвет: белый, форма прямоугольник, размеры 1190 х 293 мм., толщ. 40мм, в комплекте с подвесами</t>
  </si>
  <si>
    <t>МАТ.ПОТОЛОК.005 — Потолочный акустический остров цвет: белый, форма прямоугольник, размеры 1190 х 293 мм., толщ. 40мм, в комплекте с подвесами</t>
  </si>
  <si>
    <t>МАТ.РАД.001</t>
  </si>
  <si>
    <t>Монтажный комплект RIFAR 3/4 для радиаторов MONOLIT/SUPReMO</t>
  </si>
  <si>
    <t>R.Ad.G34MS</t>
  </si>
  <si>
    <t>RIFAR</t>
  </si>
  <si>
    <t>ТМ Инвест</t>
  </si>
  <si>
    <t>МАТ.РАД.001 — Монтажный комплект RIFAR 3/4 для радиаторов MONOLIT/SUPReMO</t>
  </si>
  <si>
    <t>МАТ.РАД.002</t>
  </si>
  <si>
    <t>Монтажный комплект RIFAR 3/4 для радиаторов MONOLIT/SUPReMO Хром</t>
  </si>
  <si>
    <t>R.Ad.G34MSХ</t>
  </si>
  <si>
    <t>МАТ.РАД.002 — Монтажный комплект RIFAR 3/4 для радиаторов MONOLIT/SUPReMO Хром</t>
  </si>
  <si>
    <t>МАТ.РАД.003</t>
  </si>
  <si>
    <t>Радиатор биметаллический RIFAR BASE 200 10 секц. бок.</t>
  </si>
  <si>
    <t>R-BA-200-10</t>
  </si>
  <si>
    <t>МАТ.РАД.003 — Радиатор биметаллический RIFAR BASE 200 10 секц. бок.</t>
  </si>
  <si>
    <t>МАТ.РАД.004</t>
  </si>
  <si>
    <t>Радиатор биметаллический RIFAR BASE 350 10 секц. бок.</t>
  </si>
  <si>
    <t>R-BA-350-10</t>
  </si>
  <si>
    <t>МАТ.РАД.004 — Радиатор биметаллический RIFAR BASE 350 10 секц. бок.</t>
  </si>
  <si>
    <t>МАТ.РАД.005</t>
  </si>
  <si>
    <t>Радиатор биметаллический RIFAR BASE 500 10 секц. бок.</t>
  </si>
  <si>
    <t>R-BA-500-10</t>
  </si>
  <si>
    <t>МАТ.РАД.005 — Радиатор биметаллический RIFAR BASE 500 10 секц. бок.</t>
  </si>
  <si>
    <t>МАТ.РАД.006</t>
  </si>
  <si>
    <t>Радиатор биметаллический RIFAR BASE Ventil 200 04 секц. нижн. прав.</t>
  </si>
  <si>
    <t>R-BA-200-04-VR</t>
  </si>
  <si>
    <t>МАТ.РАД.006 — Радиатор биметаллический RIFAR BASE Ventil 200 04 секц. нижн. прав.</t>
  </si>
  <si>
    <t>МАТ.РАД.007</t>
  </si>
  <si>
    <t>Радиатор биметаллический RIFAR BASE Ventil 200 05 секц. нижн. прав.</t>
  </si>
  <si>
    <t>R-BA-200-05-VR</t>
  </si>
  <si>
    <t>МАТ.РАД.007 — Радиатор биметаллический RIFAR BASE Ventil 200 05 секц. нижн. прав.</t>
  </si>
  <si>
    <t>МАТ.РАД.008</t>
  </si>
  <si>
    <t>Радиатор биметаллический RIFAR BASE Ventil 200 07 секц. нижн. прав.</t>
  </si>
  <si>
    <t>R-BA-200-07-VR</t>
  </si>
  <si>
    <t>МАТ.РАД.008 — Радиатор биметаллический RIFAR BASE Ventil 200 07 секц. нижн. прав.</t>
  </si>
  <si>
    <t>МАТ.РАД.009</t>
  </si>
  <si>
    <t>Радиатор биметаллический RIFAR BASE Ventil 200 08 секц. нижн. прав.</t>
  </si>
  <si>
    <t>R-BA-200-08-VR</t>
  </si>
  <si>
    <t>МАТ.РАД.009 — Радиатор биметаллический RIFAR BASE Ventil 200 08 секц. нижн. прав.</t>
  </si>
  <si>
    <t>МАТ.РАД.010</t>
  </si>
  <si>
    <t>Радиатор биметаллический RIFAR BASE Ventil 200 10 секц. нижн. прав.</t>
  </si>
  <si>
    <t>R-BA-200-10-VR</t>
  </si>
  <si>
    <t>МАТ.РАД.010 — Радиатор биметаллический RIFAR BASE Ventil 200 10 секц. нижн. прав.</t>
  </si>
  <si>
    <t>МАТ.РАД.011</t>
  </si>
  <si>
    <t>Радиатор биметаллический RIFAR BASE Ventil 200 11 секц. нижн. прав.</t>
  </si>
  <si>
    <t>R-BA-200-11-VR</t>
  </si>
  <si>
    <t>МАТ.РАД.011 — Радиатор биметаллический RIFAR BASE Ventil 200 11 секц. нижн. прав.</t>
  </si>
  <si>
    <t>МАТ.РАД.012</t>
  </si>
  <si>
    <t>Радиатор биметаллический RIFAR BASE Ventil 200 12 секц. нижн. прав.</t>
  </si>
  <si>
    <t>R-BA-200-12-VR</t>
  </si>
  <si>
    <t>МАТ.РАД.012 — Радиатор биметаллический RIFAR BASE Ventil 200 12 секц. нижн. прав.</t>
  </si>
  <si>
    <t>МАТ.РАД.013</t>
  </si>
  <si>
    <t>Радиатор биметаллический RIFAR BASE Ventil 200 13 секц. нижн. прав.</t>
  </si>
  <si>
    <t>R-BA-200-13-VR</t>
  </si>
  <si>
    <t>МАТ.РАД.013 — Радиатор биметаллический RIFAR BASE Ventil 200 13 секц. нижн. прав.</t>
  </si>
  <si>
    <t>МАТ.РАД.014</t>
  </si>
  <si>
    <t>Радиатор биметаллический RIFAR BASE Ventil 200 14 секц. нижн. прав.</t>
  </si>
  <si>
    <t>R-BA-200-14-VR</t>
  </si>
  <si>
    <t>МАТ.РАД.014 — Радиатор биметаллический RIFAR BASE Ventil 200 14 секц. нижн. прав.</t>
  </si>
  <si>
    <t>МАТ.РАД.015</t>
  </si>
  <si>
    <t>Радиатор биметаллический RIFAR BASE Ventil 350 04 секц. нижн. прав.</t>
  </si>
  <si>
    <t>R-BA-350-04-VR</t>
  </si>
  <si>
    <t>МАТ.РАД.015 — Радиатор биметаллический RIFAR BASE Ventil 350 04 секц. нижн. прав.</t>
  </si>
  <si>
    <t>МАТ.РАД.016</t>
  </si>
  <si>
    <t>Радиатор биметаллический RIFAR BASE Ventil 350 05 секц. нижн. прав.</t>
  </si>
  <si>
    <t>R-BA-350-05-VR</t>
  </si>
  <si>
    <t>МАТ.РАД.016 — Радиатор биметаллический RIFAR BASE Ventil 350 05 секц. нижн. прав.</t>
  </si>
  <si>
    <t>МАТ.РАД.017</t>
  </si>
  <si>
    <t>Радиатор биметаллический RIFAR BASE Ventil 350 06 секц. нижн. прав.</t>
  </si>
  <si>
    <t>R-BA-350-06-VR</t>
  </si>
  <si>
    <t>МАТ.РАД.017 — Радиатор биметаллический RIFAR BASE Ventil 350 06 секц. нижн. прав.</t>
  </si>
  <si>
    <t>МАТ.РАД.018</t>
  </si>
  <si>
    <t>Радиатор биметаллический RIFAR BASE Ventil 350 07 секц. нижн. прав.</t>
  </si>
  <si>
    <t>R-BA-350-07-VR</t>
  </si>
  <si>
    <t>МАТ.РАД.018 — Радиатор биметаллический RIFAR BASE Ventil 350 07 секц. нижн. прав.</t>
  </si>
  <si>
    <t>МАТ.РАД.019</t>
  </si>
  <si>
    <t>Радиатор биметаллический RIFAR BASE Ventil 350 08 секц. нижн. прав.</t>
  </si>
  <si>
    <t>R-BA-350-08-VR</t>
  </si>
  <si>
    <t>МАТ.РАД.019 — Радиатор биметаллический RIFAR BASE Ventil 350 08 секц. нижн. прав.</t>
  </si>
  <si>
    <t>МАТ.РАД.020</t>
  </si>
  <si>
    <t>Радиатор биметаллический RIFAR BASE Ventil 350 09 секц. нижн. прав.</t>
  </si>
  <si>
    <t>R-BA-350-09-VR</t>
  </si>
  <si>
    <t>МАТ.РАД.020 — Радиатор биметаллический RIFAR BASE Ventil 350 09 секц. нижн. прав.</t>
  </si>
  <si>
    <t>МАТ.РАД.021</t>
  </si>
  <si>
    <t>Радиатор биметаллический RIFAR BASE Ventil 350 10 секц. нижн. прав.</t>
  </si>
  <si>
    <t>R-BA-350-10-VR</t>
  </si>
  <si>
    <t>МАТ.РАД.021 — Радиатор биметаллический RIFAR BASE Ventil 350 10 секц. нижн. прав.</t>
  </si>
  <si>
    <t>МАТ.РАД.022</t>
  </si>
  <si>
    <t>Радиатор биметаллический RIFAR BASE Ventil 350 11 секц. нижн. прав.</t>
  </si>
  <si>
    <t>R-BA-350-11-VR</t>
  </si>
  <si>
    <t>МАТ.РАД.022 — Радиатор биметаллический RIFAR BASE Ventil 350 11 секц. нижн. прав.</t>
  </si>
  <si>
    <t>МАТ.РАД.023</t>
  </si>
  <si>
    <t>Радиатор биметаллический RIFAR BASE Ventil 350 12 секц. нижн. прав.</t>
  </si>
  <si>
    <t>R-BA-350-12-VR</t>
  </si>
  <si>
    <t>МАТ.РАД.023 — Радиатор биметаллический RIFAR BASE Ventil 350 12 секц. нижн. прав.</t>
  </si>
  <si>
    <t>МАТ.РАД.024</t>
  </si>
  <si>
    <t>Радиатор биметаллический RIFAR BASE Ventil 350 13 секц. нижн. прав.</t>
  </si>
  <si>
    <t>R-BA-350-13-VR</t>
  </si>
  <si>
    <t>МАТ.РАД.024 — Радиатор биметаллический RIFAR BASE Ventil 350 13 секц. нижн. прав.</t>
  </si>
  <si>
    <t>МАТ.РАД.025</t>
  </si>
  <si>
    <t>Радиатор биметаллический RIFAR BASE Ventil 350 14 секц. нижн. прав.</t>
  </si>
  <si>
    <t>R-BA-350-14-VR</t>
  </si>
  <si>
    <t>МАТ.РАД.025 — Радиатор биметаллический RIFAR BASE Ventil 350 14 секц. нижн. прав.</t>
  </si>
  <si>
    <t>МАТ.РАД.026</t>
  </si>
  <si>
    <t>Радиатор биметаллический RIFAR BASE Ventil 500 04 секц. нижн. прав.</t>
  </si>
  <si>
    <t>R-BA-500-04-VR</t>
  </si>
  <si>
    <t>МАТ.РАД.026 — Радиатор биметаллический RIFAR BASE Ventil 500 04 секц. нижн. прав.</t>
  </si>
  <si>
    <t>МАТ.РАД.027</t>
  </si>
  <si>
    <t>Радиатор биметаллический RIFAR BASE Ventil 500 05 секц. нижн. прав.</t>
  </si>
  <si>
    <t>R-BA-500-05-VR</t>
  </si>
  <si>
    <t>МАТ.РАД.027 — Радиатор биметаллический RIFAR BASE Ventil 500 05 секц. нижн. прав.</t>
  </si>
  <si>
    <t>МАТ.РАД.028</t>
  </si>
  <si>
    <t>Радиатор биметаллический RIFAR BASE Ventil 500 06 секц. нижн. прав.</t>
  </si>
  <si>
    <t>R-BA-500-06-VR</t>
  </si>
  <si>
    <t>МАТ.РАД.028 — Радиатор биметаллический RIFAR BASE Ventil 500 06 секц. нижн. прав.</t>
  </si>
  <si>
    <t>МАТ.РАД.029</t>
  </si>
  <si>
    <t>Радиатор биметаллический RIFAR BASE Ventil 500 07 секц. нижн. прав.</t>
  </si>
  <si>
    <t>R-BA-500-07-VR</t>
  </si>
  <si>
    <t>МАТ.РАД.029 — Радиатор биметаллический RIFAR BASE Ventil 500 07 секц. нижн. прав.</t>
  </si>
  <si>
    <t>МАТ.РАД.030</t>
  </si>
  <si>
    <t>Радиатор биметаллический RIFAR BASE Ventil 500 08 секц. нижн. прав.</t>
  </si>
  <si>
    <t>R-BA-500-08-VR</t>
  </si>
  <si>
    <t>МАТ.РАД.030 — Радиатор биметаллический RIFAR BASE Ventil 500 08 секц. нижн. прав.</t>
  </si>
  <si>
    <t>МАТ.РАД.031</t>
  </si>
  <si>
    <t>Радиатор биметаллический RIFAR BASE Ventil 500 09 секц. нижн. прав.</t>
  </si>
  <si>
    <t>R-BA-500-09-VR</t>
  </si>
  <si>
    <t>МАТ.РАД.031 — Радиатор биметаллический RIFAR BASE Ventil 500 09 секц. нижн. прав.</t>
  </si>
  <si>
    <t>МАТ.РАД.032</t>
  </si>
  <si>
    <t>Радиатор биметаллический RIFAR BASE Ventil 500 10 секц. нижн. прав.</t>
  </si>
  <si>
    <t>R-BA-500-10-VR</t>
  </si>
  <si>
    <t>МАТ.РАД.032 — Радиатор биметаллический RIFAR BASE Ventil 500 10 секц. нижн. прав.</t>
  </si>
  <si>
    <t>МАТ.РАД.033</t>
  </si>
  <si>
    <t>Радиатор биметаллический RIFAR BASE Ventil 500 11 секц. нижн. прав.</t>
  </si>
  <si>
    <t>R-BA-500-11-VR</t>
  </si>
  <si>
    <t>МАТ.РАД.033 — Радиатор биметаллический RIFAR BASE Ventil 500 11 секц. нижн. прав.</t>
  </si>
  <si>
    <t>МАТ.РАД.034</t>
  </si>
  <si>
    <t>Радиатор биметаллический RIFAR BASE Ventil 500 12 секц. нижн. прав.</t>
  </si>
  <si>
    <t>R-BA-500-12-VR</t>
  </si>
  <si>
    <t>МАТ.РАД.034 — Радиатор биметаллический RIFAR BASE Ventil 500 12 секц. нижн. прав.</t>
  </si>
  <si>
    <t>МАТ.РАД.035</t>
  </si>
  <si>
    <t>Радиатор биметаллический RIFAR BASE Ventil 500 13 секц. нижн. прав.</t>
  </si>
  <si>
    <t>R-BA-500-13-VR</t>
  </si>
  <si>
    <t>МАТ.РАД.035 — Радиатор биметаллический RIFAR BASE Ventil 500 13 секц. нижн. прав.</t>
  </si>
  <si>
    <t>МАТ.РАД.036</t>
  </si>
  <si>
    <t>Радиатор биметаллический RIFAR BASE Ventil 500 14 секц. нижн. прав.</t>
  </si>
  <si>
    <t>R-BA-500-14-VR</t>
  </si>
  <si>
    <t>МАТ.РАД.036 — Радиатор биметаллический RIFAR BASE Ventil 500 14 секц. нижн. прав.</t>
  </si>
  <si>
    <t>МАТ.РАД.037</t>
  </si>
  <si>
    <t>Радиатор биметаллический RIFAR ECOBUILD 300 10 секц. бок.</t>
  </si>
  <si>
    <t>R-EB-300-10</t>
  </si>
  <si>
    <t>МАТ.РАД.037 — Радиатор биметаллический RIFAR ECOBUILD 300 10 секц. бок.</t>
  </si>
  <si>
    <t>МАТ.РАД.038</t>
  </si>
  <si>
    <t>Радиатор биметаллический RIFAR ECOBUILD 500 10 секц. бок.</t>
  </si>
  <si>
    <t>R-EB-500-10</t>
  </si>
  <si>
    <t>МАТ.РАД.038 — Радиатор биметаллический RIFAR ECOBUILD 500 10 секц. бок.</t>
  </si>
  <si>
    <t>МАТ.РАД.039</t>
  </si>
  <si>
    <t>Радиатор биметаллический RIFAR ECOBUILD Ventil 300 04 секц. нижн. прав.</t>
  </si>
  <si>
    <t>R-EB-300-04-VR</t>
  </si>
  <si>
    <t>МАТ.РАД.039 — Радиатор биметаллический RIFAR ECOBUILD Ventil 300 04 секц. нижн. прав.</t>
  </si>
  <si>
    <t>МАТ.РАД.040</t>
  </si>
  <si>
    <t>Радиатор биметаллический RIFAR ECOBUILD Ventil 300 05 секц. нижн. прав.</t>
  </si>
  <si>
    <t>R-EB-300-05-VR</t>
  </si>
  <si>
    <t>МАТ.РАД.040 — Радиатор биметаллический RIFAR ECOBUILD Ventil 300 05 секц. нижн. прав.</t>
  </si>
  <si>
    <t>МАТ.РАД.041</t>
  </si>
  <si>
    <t>Радиатор биметаллический RIFAR ECOBUILD Ventil 300 06 секц. нижн. прав.</t>
  </si>
  <si>
    <t>R-EB-300-06-VR</t>
  </si>
  <si>
    <t>МАТ.РАД.041 — Радиатор биметаллический RIFAR ECOBUILD Ventil 300 06 секц. нижн. прав.</t>
  </si>
  <si>
    <t>МАТ.РАД.042</t>
  </si>
  <si>
    <t>Радиатор биметаллический RIFAR ECOBUILD Ventil 300 07 секц. нижн. прав.</t>
  </si>
  <si>
    <t>R-EB-300-07-VR</t>
  </si>
  <si>
    <t>МАТ.РАД.042 — Радиатор биметаллический RIFAR ECOBUILD Ventil 300 07 секц. нижн. прав.</t>
  </si>
  <si>
    <t>МАТ.РАД.043</t>
  </si>
  <si>
    <t>Радиатор биметаллический RIFAR ECOBUILD Ventil 300 08 секц. нижн. прав.</t>
  </si>
  <si>
    <t>R-EB-300-08-VR</t>
  </si>
  <si>
    <t>МАТ.РАД.043 — Радиатор биметаллический RIFAR ECOBUILD Ventil 300 08 секц. нижн. прав.</t>
  </si>
  <si>
    <t>МАТ.РАД.044</t>
  </si>
  <si>
    <t>Радиатор биметаллический RIFAR ECOBUILD Ventil 300 09 секц. нижн. прав.</t>
  </si>
  <si>
    <t>R-EB-300-09-VR</t>
  </si>
  <si>
    <t>МАТ.РАД.044 — Радиатор биметаллический RIFAR ECOBUILD Ventil 300 09 секц. нижн. прав.</t>
  </si>
  <si>
    <t>МАТ.РАД.045</t>
  </si>
  <si>
    <t>Радиатор биметаллический RIFAR ECOBUILD Ventil 300 10 секц. нижн. прав.</t>
  </si>
  <si>
    <t>R-EB-300-10-VR</t>
  </si>
  <si>
    <t>МАТ.РАД.045 — Радиатор биметаллический RIFAR ECOBUILD Ventil 300 10 секц. нижн. прав.</t>
  </si>
  <si>
    <t>МАТ.РАД.046</t>
  </si>
  <si>
    <t>Радиатор биметаллический RIFAR ECOBUILD Ventil 300 11 секц. нижн. прав.</t>
  </si>
  <si>
    <t>R-EB-300-11-VR</t>
  </si>
  <si>
    <t>МАТ.РАД.046 — Радиатор биметаллический RIFAR ECOBUILD Ventil 300 11 секц. нижн. прав.</t>
  </si>
  <si>
    <t>МАТ.РАД.047</t>
  </si>
  <si>
    <t>Радиатор биметаллический RIFAR ECOBUILD Ventil 300 12 секц. нижн. прав.</t>
  </si>
  <si>
    <t>R-EB-300-12-VR</t>
  </si>
  <si>
    <t>МАТ.РАД.047 — Радиатор биметаллический RIFAR ECOBUILD Ventil 300 12 секц. нижн. прав.</t>
  </si>
  <si>
    <t>МАТ.РАД.048</t>
  </si>
  <si>
    <t>Радиатор биметаллический RIFAR ECOBUILD Ventil 300 13 секц. нижн. прав.</t>
  </si>
  <si>
    <t>R-EB-300-13-VR</t>
  </si>
  <si>
    <t>МАТ.РАД.048 — Радиатор биметаллический RIFAR ECOBUILD Ventil 300 13 секц. нижн. прав.</t>
  </si>
  <si>
    <t>МАТ.РАД.049</t>
  </si>
  <si>
    <t>Радиатор биметаллический RIFAR ECOBUILD Ventil 300 14 секц. нижн. прав.</t>
  </si>
  <si>
    <t>R-EB-300-14-VR</t>
  </si>
  <si>
    <t>МАТ.РАД.049 — Радиатор биметаллический RIFAR ECOBUILD Ventil 300 14 секц. нижн. прав.</t>
  </si>
  <si>
    <t>МАТ.РАД.050</t>
  </si>
  <si>
    <t>Радиатор биметаллический RIFAR ECOBUILD Ventil 500 04 секц. нижн. прав.</t>
  </si>
  <si>
    <t>R-EB-500-04-VR</t>
  </si>
  <si>
    <t>МАТ.РАД.050 — Радиатор биметаллический RIFAR ECOBUILD Ventil 500 04 секц. нижн. прав.</t>
  </si>
  <si>
    <t>МАТ.РАД.051</t>
  </si>
  <si>
    <t>Радиатор биметаллический RIFAR ECOBUILD Ventil 500 05 секц. нижн. прав.</t>
  </si>
  <si>
    <t>R-EB-500-05-VR</t>
  </si>
  <si>
    <t>МАТ.РАД.051 — Радиатор биметаллический RIFAR ECOBUILD Ventil 500 05 секц. нижн. прав.</t>
  </si>
  <si>
    <t>МАТ.РАД.052</t>
  </si>
  <si>
    <t>Радиатор биметаллический RIFAR ECOBUILD Ventil 500 06 секц. нижн. прав.</t>
  </si>
  <si>
    <t>R-EB-500-06-VR</t>
  </si>
  <si>
    <t>МАТ.РАД.052 — Радиатор биметаллический RIFAR ECOBUILD Ventil 500 06 секц. нижн. прав.</t>
  </si>
  <si>
    <t>МАТ.РАД.053</t>
  </si>
  <si>
    <t>Радиатор биметаллический RIFAR ECOBUILD Ventil 500 07 секц. нижн. прав.</t>
  </si>
  <si>
    <t>R-EB-500-07-VR</t>
  </si>
  <si>
    <t>МАТ.РАД.053 — Радиатор биметаллический RIFAR ECOBUILD Ventil 500 07 секц. нижн. прав.</t>
  </si>
  <si>
    <t>МАТ.РАД.054</t>
  </si>
  <si>
    <t>Радиатор биметаллический RIFAR ECOBUILD Ventil 500 08 секц. нижн. прав.</t>
  </si>
  <si>
    <t>R-EB-500-08-VR</t>
  </si>
  <si>
    <t>МАТ.РАД.054 — Радиатор биметаллический RIFAR ECOBUILD Ventil 500 08 секц. нижн. прав.</t>
  </si>
  <si>
    <t>МАТ.РАД.055</t>
  </si>
  <si>
    <t>Радиатор биметаллический RIFAR ECOBUILD Ventil 500 09 секц. нижн. прав.</t>
  </si>
  <si>
    <t>R-EB-500-09-VR</t>
  </si>
  <si>
    <t>МАТ.РАД.055 — Радиатор биметаллический RIFAR ECOBUILD Ventil 500 09 секц. нижн. прав.</t>
  </si>
  <si>
    <t>МАТ.РАД.056</t>
  </si>
  <si>
    <t>Радиатор биметаллический RIFAR ECOBUILD Ventil 500 10 секц. нижн. прав.</t>
  </si>
  <si>
    <t>R-EB-500-10-VR</t>
  </si>
  <si>
    <t>МАТ.РАД.056 — Радиатор биметаллический RIFAR ECOBUILD Ventil 500 10 секц. нижн. прав.</t>
  </si>
  <si>
    <t>МАТ.РАД.057</t>
  </si>
  <si>
    <t>Радиатор биметаллический RIFAR ECOBUILD Ventil 500 11 секц. нижн. прав.</t>
  </si>
  <si>
    <t>R-EB-500-11-VR</t>
  </si>
  <si>
    <t>МАТ.РАД.057 — Радиатор биметаллический RIFAR ECOBUILD Ventil 500 11 секц. нижн. прав.</t>
  </si>
  <si>
    <t>МАТ.РАД.058</t>
  </si>
  <si>
    <t>Радиатор биметаллический RIFAR ECOBUILD Ventil 500 12 секц. нижн. прав.</t>
  </si>
  <si>
    <t>R-EB-500-12-VR</t>
  </si>
  <si>
    <t>МАТ.РАД.058 — Радиатор биметаллический RIFAR ECOBUILD Ventil 500 12 секц. нижн. прав.</t>
  </si>
  <si>
    <t>МАТ.РАД.059</t>
  </si>
  <si>
    <t>Радиатор биметаллический RIFAR ECOBUILD Ventil 500 13 секц. нижн. прав.</t>
  </si>
  <si>
    <t>R-EB-500-13-VR</t>
  </si>
  <si>
    <t>МАТ.РАД.059 — Радиатор биметаллический RIFAR ECOBUILD Ventil 500 13 секц. нижн. прав.</t>
  </si>
  <si>
    <t>МАТ.РАД.060</t>
  </si>
  <si>
    <t>Радиатор биметаллический RIFAR ECOBUILD Ventil 500 14 секц. нижн. прав.</t>
  </si>
  <si>
    <t>R-EB-500-14-VR</t>
  </si>
  <si>
    <t>МАТ.РАД.060 — Радиатор биметаллический RIFAR ECOBUILD Ventil 500 14 секц. нижн. прав.</t>
  </si>
  <si>
    <t>МАТ.РАД.061</t>
  </si>
  <si>
    <t>Радиатор биметаллический RIFAR MONOLIT 300 10 секц. бок.</t>
  </si>
  <si>
    <t>R-MN-300-10</t>
  </si>
  <si>
    <t>МАТ.РАД.061 — Радиатор биметаллический RIFAR MONOLIT 300 10 секц. бок.</t>
  </si>
  <si>
    <t>МАТ.РАД.062</t>
  </si>
  <si>
    <t>Радиатор биметаллический RIFAR MONOLIT 350 10 секц. бок.</t>
  </si>
  <si>
    <t>R-MN-350-10</t>
  </si>
  <si>
    <t>МАТ.РАД.062 — Радиатор биметаллический RIFAR MONOLIT 350 10 секц. бок.</t>
  </si>
  <si>
    <t>МАТ.РАД.063</t>
  </si>
  <si>
    <t>Радиатор биметаллический RIFAR MONOLIT 500 10 секц. бок.</t>
  </si>
  <si>
    <t>R-MN-500-10</t>
  </si>
  <si>
    <t>МАТ.РАД.063 — Радиатор биметаллический RIFAR MONOLIT 500 10 секц. бок.</t>
  </si>
  <si>
    <t>МАТ.РАД.064</t>
  </si>
  <si>
    <t>Радиатор биметаллический RIFAR MONOLIT Ventil 300 04 секц. нижн. прав.</t>
  </si>
  <si>
    <t>R-MN-300-04-VR</t>
  </si>
  <si>
    <t>МАТ.РАД.064 — Радиатор биметаллический RIFAR MONOLIT Ventil 300 04 секц. нижн. прав.</t>
  </si>
  <si>
    <t>МАТ.РАД.065</t>
  </si>
  <si>
    <t>Радиатор биметаллический RIFAR MONOLIT Ventil 300 05 секц. нижн. прав.</t>
  </si>
  <si>
    <t>R-MN-300-05-VR</t>
  </si>
  <si>
    <t>МАТ.РАД.065 — Радиатор биметаллический RIFAR MONOLIT Ventil 300 05 секц. нижн. прав.</t>
  </si>
  <si>
    <t>МАТ.РАД.066</t>
  </si>
  <si>
    <t>Радиатор биметаллический RIFAR MONOLIT Ventil 300 06 секц. нижн. прав.</t>
  </si>
  <si>
    <t>R-MN-300-06-VR</t>
  </si>
  <si>
    <t>МАТ.РАД.066 — Радиатор биметаллический RIFAR MONOLIT Ventil 300 06 секц. нижн. прав.</t>
  </si>
  <si>
    <t>МАТ.РАД.067</t>
  </si>
  <si>
    <t>Радиатор биметаллический RIFAR MONOLIT Ventil 300 07 секц. нижн. прав.</t>
  </si>
  <si>
    <t>R-MN-300-07-VR</t>
  </si>
  <si>
    <t>МАТ.РАД.067 — Радиатор биметаллический RIFAR MONOLIT Ventil 300 07 секц. нижн. прав.</t>
  </si>
  <si>
    <t>МАТ.РАД.068</t>
  </si>
  <si>
    <t>Радиатор биметаллический RIFAR MONOLIT Ventil 300 08 секц. нижн. прав.</t>
  </si>
  <si>
    <t>R-MN-300-08-VR</t>
  </si>
  <si>
    <t>МАТ.РАД.068 — Радиатор биметаллический RIFAR MONOLIT Ventil 300 08 секц. нижн. прав.</t>
  </si>
  <si>
    <t>МАТ.РАД.069</t>
  </si>
  <si>
    <t>Радиатор биметаллический RIFAR MONOLIT Ventil 300 09 секц. нижн. прав.</t>
  </si>
  <si>
    <t>R-MN-300-09-VR</t>
  </si>
  <si>
    <t>МАТ.РАД.069 — Радиатор биметаллический RIFAR MONOLIT Ventil 300 09 секц. нижн. прав.</t>
  </si>
  <si>
    <t>МАТ.РАД.070</t>
  </si>
  <si>
    <t>Радиатор биметаллический RIFAR MONOLIT Ventil 300 10 секц. нижн. прав.</t>
  </si>
  <si>
    <t>R-MN-300-10-VR</t>
  </si>
  <si>
    <t>МАТ.РАД.070 — Радиатор биметаллический RIFAR MONOLIT Ventil 300 10 секц. нижн. прав.</t>
  </si>
  <si>
    <t>МАТ.РАД.071</t>
  </si>
  <si>
    <t>Радиатор биметаллический RIFAR MONOLIT Ventil 300 11 секц. нижн. прав.</t>
  </si>
  <si>
    <t>R-MN-300-11-VR</t>
  </si>
  <si>
    <t>МАТ.РАД.071 — Радиатор биметаллический RIFAR MONOLIT Ventil 300 11 секц. нижн. прав.</t>
  </si>
  <si>
    <t>МАТ.РАД.072</t>
  </si>
  <si>
    <t>Радиатор биметаллический RIFAR MONOLIT Ventil 300 12 секц. нижн. прав.</t>
  </si>
  <si>
    <t>R-MN-300-12-VR</t>
  </si>
  <si>
    <t>МАТ.РАД.072 — Радиатор биметаллический RIFAR MONOLIT Ventil 300 12 секц. нижн. прав.</t>
  </si>
  <si>
    <t>МАТ.РАД.073</t>
  </si>
  <si>
    <t>Радиатор биметаллический RIFAR MONOLIT Ventil 300 13 секц. нижн. прав.</t>
  </si>
  <si>
    <t>R-MN-300-13-VR</t>
  </si>
  <si>
    <t>МАТ.РАД.073 — Радиатор биметаллический RIFAR MONOLIT Ventil 300 13 секц. нижн. прав.</t>
  </si>
  <si>
    <t>МАТ.РАД.074</t>
  </si>
  <si>
    <t>Радиатор биметаллический RIFAR MONOLIT Ventil 300 14 секц. нижн. прав.</t>
  </si>
  <si>
    <t>R-MN-300-14-VR</t>
  </si>
  <si>
    <t>МАТ.РАД.074 — Радиатор биметаллический RIFAR MONOLIT Ventil 300 14 секц. нижн. прав.</t>
  </si>
  <si>
    <t>МАТ.РАД.075</t>
  </si>
  <si>
    <t>Радиатор биметаллический RIFAR MONOLIT Ventil 350 04 секц. нижн. прав.</t>
  </si>
  <si>
    <t>R-MN-350-04-VR</t>
  </si>
  <si>
    <t>МАТ.РАД.075 — Радиатор биметаллический RIFAR MONOLIT Ventil 350 04 секц. нижн. прав.</t>
  </si>
  <si>
    <t>МАТ.РАД.076</t>
  </si>
  <si>
    <t>Радиатор биметаллический RIFAR MONOLIT Ventil 350 05 секц. нижн. прав.</t>
  </si>
  <si>
    <t>R-MN-350-05-VR</t>
  </si>
  <si>
    <t>МАТ.РАД.076 — Радиатор биметаллический RIFAR MONOLIT Ventil 350 05 секц. нижн. прав.</t>
  </si>
  <si>
    <t>МАТ.РАД.077</t>
  </si>
  <si>
    <t>Радиатор биметаллический RIFAR MONOLIT Ventil 350 06 секц. нижн. прав.</t>
  </si>
  <si>
    <t>R-MN-350-06-VR</t>
  </si>
  <si>
    <t>МАТ.РАД.077 — Радиатор биметаллический RIFAR MONOLIT Ventil 350 06 секц. нижн. прав.</t>
  </si>
  <si>
    <t>МАТ.РАД.078</t>
  </si>
  <si>
    <t>Радиатор биметаллический RIFAR MONOLIT Ventil 350 07 секц. нижн. прав.</t>
  </si>
  <si>
    <t>R-MN-350-07-VR</t>
  </si>
  <si>
    <t>МАТ.РАД.078 — Радиатор биметаллический RIFAR MONOLIT Ventil 350 07 секц. нижн. прав.</t>
  </si>
  <si>
    <t>МАТ.РАД.079</t>
  </si>
  <si>
    <t>Радиатор биметаллический RIFAR MONOLIT Ventil 350 08 секц. нижн. прав.</t>
  </si>
  <si>
    <t>R-MN-350-08-VR</t>
  </si>
  <si>
    <t>МАТ.РАД.079 — Радиатор биметаллический RIFAR MONOLIT Ventil 350 08 секц. нижн. прав.</t>
  </si>
  <si>
    <t>МАТ.РАД.080</t>
  </si>
  <si>
    <t>Радиатор биметаллический RIFAR MONOLIT Ventil 350 09 секц. нижн. прав.</t>
  </si>
  <si>
    <t>R-MN-350-09-VR</t>
  </si>
  <si>
    <t>МАТ.РАД.080 — Радиатор биметаллический RIFAR MONOLIT Ventil 350 09 секц. нижн. прав.</t>
  </si>
  <si>
    <t>МАТ.РАД.081</t>
  </si>
  <si>
    <t>Радиатор биметаллический RIFAR MONOLIT Ventil 350 10 секц. нижн. прав.</t>
  </si>
  <si>
    <t>R-MN-350-10-VR</t>
  </si>
  <si>
    <t>МАТ.РАД.081 — Радиатор биметаллический RIFAR MONOLIT Ventil 350 10 секц. нижн. прав.</t>
  </si>
  <si>
    <t>МАТ.РАД.082</t>
  </si>
  <si>
    <t>Радиатор биметаллический RIFAR MONOLIT Ventil 350 11 секц. нижн. прав.</t>
  </si>
  <si>
    <t>R-MN-350-11-VR</t>
  </si>
  <si>
    <t>МАТ.РАД.082 — Радиатор биметаллический RIFAR MONOLIT Ventil 350 11 секц. нижн. прав.</t>
  </si>
  <si>
    <t>МАТ.РАД.083</t>
  </si>
  <si>
    <t>Радиатор биметаллический RIFAR MONOLIT Ventil 350 12 секц. нижн. прав.</t>
  </si>
  <si>
    <t>R-MN-350-12-VR</t>
  </si>
  <si>
    <t>МАТ.РАД.083 — Радиатор биметаллический RIFAR MONOLIT Ventil 350 12 секц. нижн. прав.</t>
  </si>
  <si>
    <t>МАТ.РАД.084</t>
  </si>
  <si>
    <t>Радиатор биметаллический RIFAR MONOLIT Ventil 350 13 секц. нижн. прав.</t>
  </si>
  <si>
    <t>R-MN-350-13-VR</t>
  </si>
  <si>
    <t>МАТ.РАД.084 — Радиатор биметаллический RIFAR MONOLIT Ventil 350 13 секц. нижн. прав.</t>
  </si>
  <si>
    <t>МАТ.РАД.085</t>
  </si>
  <si>
    <t>Радиатор биметаллический RIFAR MONOLIT Ventil 350 14 секц. нижн. прав.</t>
  </si>
  <si>
    <t>R-MN-350-14-VR</t>
  </si>
  <si>
    <t>МАТ.РАД.085 — Радиатор биметаллический RIFAR MONOLIT Ventil 350 14 секц. нижн. прав.</t>
  </si>
  <si>
    <t>МАТ.РАД.086</t>
  </si>
  <si>
    <t>Радиатор биметаллический RIFAR MONOLIT Ventil 500 04 секц. нижн. прав.</t>
  </si>
  <si>
    <t>R-MN-500-04-VR</t>
  </si>
  <si>
    <t>МАТ.РАД.086 — Радиатор биметаллический RIFAR MONOLIT Ventil 500 04 секц. нижн. прав.</t>
  </si>
  <si>
    <t>МАТ.РАД.087</t>
  </si>
  <si>
    <t>Радиатор биметаллический RIFAR MONOLIT Ventil 500 05 секц. нижн. прав.</t>
  </si>
  <si>
    <t>R-MN-500-05-VR</t>
  </si>
  <si>
    <t>МАТ.РАД.087 — Радиатор биметаллический RIFAR MONOLIT Ventil 500 05 секц. нижн. прав.</t>
  </si>
  <si>
    <t>МАТ.РАД.088</t>
  </si>
  <si>
    <t>Радиатор биметаллический RIFAR MONOLIT Ventil 500 06 секц. нижн. прав.</t>
  </si>
  <si>
    <t>R-MN-500-06-VR</t>
  </si>
  <si>
    <t>МАТ.РАД.088 — Радиатор биметаллический RIFAR MONOLIT Ventil 500 06 секц. нижн. прав.</t>
  </si>
  <si>
    <t>МАТ.РАД.089</t>
  </si>
  <si>
    <t>Радиатор биметаллический RIFAR MONOLIT Ventil 500 07 секц. нижн. прав.</t>
  </si>
  <si>
    <t>R-MN-500-07-VR</t>
  </si>
  <si>
    <t>МАТ.РАД.089 — Радиатор биметаллический RIFAR MONOLIT Ventil 500 07 секц. нижн. прав.</t>
  </si>
  <si>
    <t>МАТ.РАД.090</t>
  </si>
  <si>
    <t>Радиатор биметаллический RIFAR MONOLIT Ventil 500 08 секц. нижн. прав.</t>
  </si>
  <si>
    <t>R-MN-500-08-VR</t>
  </si>
  <si>
    <t>МАТ.РАД.090 — Радиатор биметаллический RIFAR MONOLIT Ventil 500 08 секц. нижн. прав.</t>
  </si>
  <si>
    <t>МАТ.РАД.091</t>
  </si>
  <si>
    <t>Радиатор биметаллический RIFAR MONOLIT Ventil 500 09 секц. нижн. прав.</t>
  </si>
  <si>
    <t>R-MN-500-09-VR</t>
  </si>
  <si>
    <t>МАТ.РАД.091 — Радиатор биметаллический RIFAR MONOLIT Ventil 500 09 секц. нижн. прав.</t>
  </si>
  <si>
    <t>МАТ.РАД.092</t>
  </si>
  <si>
    <t>Радиатор биметаллический RIFAR MONOLIT Ventil 500 10 секц. нижн. прав.</t>
  </si>
  <si>
    <t>R-MN-500-10-VR</t>
  </si>
  <si>
    <t>МАТ.РАД.092 — Радиатор биметаллический RIFAR MONOLIT Ventil 500 10 секц. нижн. прав.</t>
  </si>
  <si>
    <t>МАТ.РАД.093</t>
  </si>
  <si>
    <t>Радиатор биметаллический RIFAR MONOLIT Ventil 500 11 секц. нижн. прав.</t>
  </si>
  <si>
    <t>R-MN-500-11-VR</t>
  </si>
  <si>
    <t>МАТ.РАД.093 — Радиатор биметаллический RIFAR MONOLIT Ventil 500 11 секц. нижн. прав.</t>
  </si>
  <si>
    <t>МАТ.РАД.094</t>
  </si>
  <si>
    <t>Радиатор биметаллический RIFAR MONOLIT Ventil 500 12 секц. нижн. прав.</t>
  </si>
  <si>
    <t>R-MN-500-12-VR</t>
  </si>
  <si>
    <t>МАТ.РАД.094 — Радиатор биметаллический RIFAR MONOLIT Ventil 500 12 секц. нижн. прав.</t>
  </si>
  <si>
    <t>МАТ.РАД.095</t>
  </si>
  <si>
    <t>Радиатор биметаллический RIFAR MONOLIT Ventil 500 13 секц. нижн. прав.</t>
  </si>
  <si>
    <t>R-MN-500-13-VR</t>
  </si>
  <si>
    <t>МАТ.РАД.095 — Радиатор биметаллический RIFAR MONOLIT Ventil 500 13 секц. нижн. прав.</t>
  </si>
  <si>
    <t>МАТ.РАД.096</t>
  </si>
  <si>
    <t>Радиатор биметаллический RIFAR MONOLIT Ventil 500 14 секц. нижн. прав.</t>
  </si>
  <si>
    <t>R-MN-500-14-VR</t>
  </si>
  <si>
    <t>МАТ.РАД.096 — Радиатор биметаллический RIFAR MONOLIT Ventil 500 14 секц. нижн. прав.</t>
  </si>
  <si>
    <t>МАТ.РАД.097</t>
  </si>
  <si>
    <t>Радиатор биметаллический RIFAR SUPReMO 350 10 секц. бок.</t>
  </si>
  <si>
    <t>R-SU-350-10</t>
  </si>
  <si>
    <t>МАТ.РАД.097 — Радиатор биметаллический RIFAR SUPReMO 350 10 секц. бок.</t>
  </si>
  <si>
    <t>МАТ.РАД.098</t>
  </si>
  <si>
    <t>Радиатор биметаллический RIFAR SUPReMO 500 10 секц. бок.</t>
  </si>
  <si>
    <t>R-SU-500-10</t>
  </si>
  <si>
    <t>МАТ.РАД.098 — Радиатор биметаллический RIFAR SUPReMO 500 10 секц. бок.</t>
  </si>
  <si>
    <t>МАТ.РАД.099</t>
  </si>
  <si>
    <t>Радиатор биметаллический RIFAR SUPReMO 800 10 секц. бок.</t>
  </si>
  <si>
    <t>R-SU-800-10</t>
  </si>
  <si>
    <t>МАТ.РАД.099 — Радиатор биметаллический RIFAR SUPReMO 800 10 секц. бок.</t>
  </si>
  <si>
    <t>МАТ.РАД.100</t>
  </si>
  <si>
    <t>Радиатор биметаллический RIFAR SUPReMO Ventil 350 04 секц. нижн. прав.</t>
  </si>
  <si>
    <t>R-SU-350-04-VR</t>
  </si>
  <si>
    <t>МАТ.РАД.100 — Радиатор биметаллический RIFAR SUPReMO Ventil 350 04 секц. нижн. прав.</t>
  </si>
  <si>
    <t>МАТ.РАД.101</t>
  </si>
  <si>
    <t>Радиатор биметаллический RIFAR SUPReMO Ventil 350 05 секц. нижн. прав.</t>
  </si>
  <si>
    <t>R-SU-350-05-VR</t>
  </si>
  <si>
    <t>МАТ.РАД.101 — Радиатор биметаллический RIFAR SUPReMO Ventil 350 05 секц. нижн. прав.</t>
  </si>
  <si>
    <t>МАТ.РАД.102</t>
  </si>
  <si>
    <t>Радиатор биметаллический RIFAR SUPReMO Ventil 350 06 секц. нижн. прав.</t>
  </si>
  <si>
    <t>R-SU-350-06-VR</t>
  </si>
  <si>
    <t>МАТ.РАД.102 — Радиатор биметаллический RIFAR SUPReMO Ventil 350 06 секц. нижн. прав.</t>
  </si>
  <si>
    <t>МАТ.РАД.103</t>
  </si>
  <si>
    <t>Радиатор биметаллический RIFAR SUPReMO Ventil 350 07 секц. нижн. прав.</t>
  </si>
  <si>
    <t>R-SU-350-07-VR</t>
  </si>
  <si>
    <t>МАТ.РАД.103 — Радиатор биметаллический RIFAR SUPReMO Ventil 350 07 секц. нижн. прав.</t>
  </si>
  <si>
    <t>МАТ.РАД.104</t>
  </si>
  <si>
    <t>Радиатор биметаллический RIFAR SUPReMO Ventil 350 08 секц. нижн. прав.</t>
  </si>
  <si>
    <t>R-SU-350-08-VR</t>
  </si>
  <si>
    <t>МАТ.РАД.104 — Радиатор биметаллический RIFAR SUPReMO Ventil 350 08 секц. нижн. прав.</t>
  </si>
  <si>
    <t>МАТ.РАД.105</t>
  </si>
  <si>
    <t>Радиатор биметаллический RIFAR SUPReMO Ventil 350 09 секц. нижн. прав.</t>
  </si>
  <si>
    <t>R-SU-350-09-VR</t>
  </si>
  <si>
    <t>МАТ.РАД.105 — Радиатор биметаллический RIFAR SUPReMO Ventil 350 09 секц. нижн. прав.</t>
  </si>
  <si>
    <t>МАТ.РАД.106</t>
  </si>
  <si>
    <t>Радиатор биметаллический RIFAR SUPReMO Ventil 350 10 секц. нижн. прав.</t>
  </si>
  <si>
    <t>R-SU-350-10-VR</t>
  </si>
  <si>
    <t>МАТ.РАД.106 — Радиатор биметаллический RIFAR SUPReMO Ventil 350 10 секц. нижн. прав.</t>
  </si>
  <si>
    <t>МАТ.РАД.107</t>
  </si>
  <si>
    <t>Радиатор биметаллический RIFAR SUPReMO Ventil 350 11 секц. нижн. прав.</t>
  </si>
  <si>
    <t>R-SU-350-11-VR</t>
  </si>
  <si>
    <t>МАТ.РАД.107 — Радиатор биметаллический RIFAR SUPReMO Ventil 350 11 секц. нижн. прав.</t>
  </si>
  <si>
    <t>МАТ.РАД.108</t>
  </si>
  <si>
    <t>Радиатор биметаллический RIFAR SUPReMO Ventil 350 12 секц. нижн. прав.</t>
  </si>
  <si>
    <t>R-SU-350-12-VR</t>
  </si>
  <si>
    <t>МАТ.РАД.108 — Радиатор биметаллический RIFAR SUPReMO Ventil 350 12 секц. нижн. прав.</t>
  </si>
  <si>
    <t>МАТ.РАД.109</t>
  </si>
  <si>
    <t>Радиатор биметаллический RIFAR SUPReMO Ventil 350 13 секц. нижн. прав.</t>
  </si>
  <si>
    <t>R-SU-350-13-VR</t>
  </si>
  <si>
    <t>МАТ.РАД.109 — Радиатор биметаллический RIFAR SUPReMO Ventil 350 13 секц. нижн. прав.</t>
  </si>
  <si>
    <t>МАТ.РАД.110</t>
  </si>
  <si>
    <t>Радиатор биметаллический RIFAR SUPReMO Ventil 350 14 секц. нижн. прав.</t>
  </si>
  <si>
    <t>R-SU-350-14-VR</t>
  </si>
  <si>
    <t>МАТ.РАД.110 — Радиатор биметаллический RIFAR SUPReMO Ventil 350 14 секц. нижн. прав.</t>
  </si>
  <si>
    <t>МАТ.РАД.111</t>
  </si>
  <si>
    <t>Радиатор биметаллический RIFAR SUPReMO Ventil 500 04 секц. нижн. прав.</t>
  </si>
  <si>
    <t>R-SU-500-04-VR</t>
  </si>
  <si>
    <t>МАТ.РАД.111 — Радиатор биметаллический RIFAR SUPReMO Ventil 500 04 секц. нижн. прав.</t>
  </si>
  <si>
    <t>МАТ.РАД.112</t>
  </si>
  <si>
    <t>Радиатор биметаллический RIFAR SUPReMO Ventil 500 05 секц. нижн. прав.</t>
  </si>
  <si>
    <t>R-SU-500-05-VR</t>
  </si>
  <si>
    <t>МАТ.РАД.112 — Радиатор биметаллический RIFAR SUPReMO Ventil 500 05 секц. нижн. прав.</t>
  </si>
  <si>
    <t>МАТ.РАД.113</t>
  </si>
  <si>
    <t>Радиатор биметаллический RIFAR SUPReMO Ventil 500 06 секц. нижн. прав.</t>
  </si>
  <si>
    <t>R-SU-500-06-VR</t>
  </si>
  <si>
    <t>МАТ.РАД.113 — Радиатор биметаллический RIFAR SUPReMO Ventil 500 06 секц. нижн. прав.</t>
  </si>
  <si>
    <t>МАТ.РАД.114</t>
  </si>
  <si>
    <t>Радиатор биметаллический RIFAR SUPReMO Ventil 500 07 секц. нижн. прав.</t>
  </si>
  <si>
    <t>R-SU-500-07-VR</t>
  </si>
  <si>
    <t>МАТ.РАД.114 — Радиатор биметаллический RIFAR SUPReMO Ventil 500 07 секц. нижн. прав.</t>
  </si>
  <si>
    <t>МАТ.РАД.115</t>
  </si>
  <si>
    <t>Радиатор биметаллический RIFAR SUPReMO Ventil 500 08 секц. нижн. прав.</t>
  </si>
  <si>
    <t>R-SU-500-08-VR</t>
  </si>
  <si>
    <t>МАТ.РАД.115 — Радиатор биметаллический RIFAR SUPReMO Ventil 500 08 секц. нижн. прав.</t>
  </si>
  <si>
    <t>МАТ.РАД.116</t>
  </si>
  <si>
    <t>Радиатор биметаллический RIFAR SUPReMO Ventil 500 09 секц. нижн. прав.</t>
  </si>
  <si>
    <t>R-SU-500-09-VR</t>
  </si>
  <si>
    <t>МАТ.РАД.116 — Радиатор биметаллический RIFAR SUPReMO Ventil 500 09 секц. нижн. прав.</t>
  </si>
  <si>
    <t>МАТ.РАД.117</t>
  </si>
  <si>
    <t>Радиатор биметаллический RIFAR SUPReMO Ventil 500 10 секц. нижн. прав.</t>
  </si>
  <si>
    <t>R-SU-500-10-VR</t>
  </si>
  <si>
    <t>МАТ.РАД.117 — Радиатор биметаллический RIFAR SUPReMO Ventil 500 10 секц. нижн. прав.</t>
  </si>
  <si>
    <t>МАТ.РАД.118</t>
  </si>
  <si>
    <t>Радиатор биметаллический RIFAR SUPReMO Ventil 500 11 секц. нижн. прав.</t>
  </si>
  <si>
    <t>R-SU-500-11-VR</t>
  </si>
  <si>
    <t>МАТ.РАД.118 — Радиатор биметаллический RIFAR SUPReMO Ventil 500 11 секц. нижн. прав.</t>
  </si>
  <si>
    <t>МАТ.РАД.119</t>
  </si>
  <si>
    <t>Радиатор биметаллический RIFAR SUPReMO Ventil 500 12 секц. нижн. прав.</t>
  </si>
  <si>
    <t>R-SU-500-12-VR</t>
  </si>
  <si>
    <t>МАТ.РАД.119 — Радиатор биметаллический RIFAR SUPReMO Ventil 500 12 секц. нижн. прав.</t>
  </si>
  <si>
    <t>МАТ.РАД.120</t>
  </si>
  <si>
    <t>Радиатор биметаллический RIFAR SUPReMO Ventil 500 13 секц. нижн. прав.</t>
  </si>
  <si>
    <t>R-SU-500-13-VR</t>
  </si>
  <si>
    <t>МАТ.РАД.120 — Радиатор биметаллический RIFAR SUPReMO Ventil 500 13 секц. нижн. прав.</t>
  </si>
  <si>
    <t>МАТ.РАД.121</t>
  </si>
  <si>
    <t>Радиатор биметаллический RIFAR SUPReMO Ventil 500 14 секц. нижн. прав.</t>
  </si>
  <si>
    <t>R-SU-500-14-VR</t>
  </si>
  <si>
    <t>МАТ.РАД.121 — Радиатор биметаллический RIFAR SUPReMO Ventil 500 14 секц. нижн. прав.</t>
  </si>
  <si>
    <t>МАТ.РАД.122</t>
  </si>
  <si>
    <t>Радиатор биметаллический RIFAR SUPReMO Ventil 800 04 секц. нижн. прав.</t>
  </si>
  <si>
    <t>R-SU-800-04-VR</t>
  </si>
  <si>
    <t>МАТ.РАД.122 — Радиатор биметаллический RIFAR SUPReMO Ventil 800 04 секц. нижн. прав.</t>
  </si>
  <si>
    <t>МАТ.РАД.123</t>
  </si>
  <si>
    <t>Радиатор биметаллический RIFAR SUPReMO Ventil 800 05 секц. нижн. прав.</t>
  </si>
  <si>
    <t>R-SU-800-05-VR</t>
  </si>
  <si>
    <t>МАТ.РАД.123 — Радиатор биметаллический RIFAR SUPReMO Ventil 800 05 секц. нижн. прав.</t>
  </si>
  <si>
    <t>МАТ.РАД.124</t>
  </si>
  <si>
    <t>Радиатор биметаллический RIFAR SUPReMO Ventil 800 06 секц. нижн. прав.</t>
  </si>
  <si>
    <t>R-SU-800-06-VR</t>
  </si>
  <si>
    <t>МАТ.РАД.124 — Радиатор биметаллический RIFAR SUPReMO Ventil 800 06 секц. нижн. прав.</t>
  </si>
  <si>
    <t>МАТ.РАД.125</t>
  </si>
  <si>
    <t>Радиатор биметаллический RIFAR SUPReMO Ventil 800 07 секц. нижн. прав.</t>
  </si>
  <si>
    <t>R-SU-800-07-VR</t>
  </si>
  <si>
    <t>МАТ.РАД.125 — Радиатор биметаллический RIFAR SUPReMO Ventil 800 07 секц. нижн. прав.</t>
  </si>
  <si>
    <t>МАТ.РАД.126</t>
  </si>
  <si>
    <t>Радиатор биметаллический RIFAR SUPReMO Ventil 800 08 секц. нижн. прав.</t>
  </si>
  <si>
    <t>R-SU-800-08-VR</t>
  </si>
  <si>
    <t>МАТ.РАД.126 — Радиатор биметаллический RIFAR SUPReMO Ventil 800 08 секц. нижн. прав.</t>
  </si>
  <si>
    <t>МАТ.РАД.127</t>
  </si>
  <si>
    <t>Радиатор биметаллический RIFAR SUPReMO Ventil 800 09 секц. нижн. прав.</t>
  </si>
  <si>
    <t>R-SU-800-09-VR</t>
  </si>
  <si>
    <t>МАТ.РАД.127 — Радиатор биметаллический RIFAR SUPReMO Ventil 800 09 секц. нижн. прав.</t>
  </si>
  <si>
    <t>МАТ.РАД.128</t>
  </si>
  <si>
    <t>Радиатор биметаллический RIFAR SUPReMO Ventil 800 10 секц. нижн. прав.</t>
  </si>
  <si>
    <t>R-SU-800-10-VR</t>
  </si>
  <si>
    <t>МАТ.РАД.128 — Радиатор биметаллический RIFAR SUPReMO Ventil 800 10 секц. нижн. прав.</t>
  </si>
  <si>
    <t>МАТ.РАД.129</t>
  </si>
  <si>
    <t>Радиатор биметаллический RIFAR SUPReMO Ventil 800 11 секц. нижн. прав.</t>
  </si>
  <si>
    <t>R-SU-800-11-VR</t>
  </si>
  <si>
    <t>МАТ.РАД.129 — Радиатор биметаллический RIFAR SUPReMO Ventil 800 11 секц. нижн. прав.</t>
  </si>
  <si>
    <t>МАТ.РАД.130</t>
  </si>
  <si>
    <t>Радиатор биметаллический RIFAR SUPReMO Ventil 800 12 секц. нижн. прав.</t>
  </si>
  <si>
    <t>R-SU-800-12-VR</t>
  </si>
  <si>
    <t>МАТ.РАД.130 — Радиатор биметаллический RIFAR SUPReMO Ventil 800 12 секц. нижн. прав.</t>
  </si>
  <si>
    <t>МАТ.РАД.131</t>
  </si>
  <si>
    <t>Радиатор биметаллический RIFAR SUPReMO Ventil 800 13 секц. нижн. прав.</t>
  </si>
  <si>
    <t>R-SU-800-13-VR</t>
  </si>
  <si>
    <t>МАТ.РАД.131 — Радиатор биметаллический RIFAR SUPReMO Ventil 800 13 секц. нижн. прав.</t>
  </si>
  <si>
    <t>МАТ.РАД.132</t>
  </si>
  <si>
    <t>Радиатор биметаллический RIFAR SUPReMO Ventil 800 14 секц. нижн. прав.</t>
  </si>
  <si>
    <t>R-SU-800-14-VR</t>
  </si>
  <si>
    <t>МАТ.РАД.132 — Радиатор биметаллический RIFAR SUPReMO Ventil 800 14 секц. нижн. прав.</t>
  </si>
  <si>
    <t>МАТ.РАД.133</t>
  </si>
  <si>
    <t>Радиатор трубчатый RIFAR TUBOG 2057 10 секц. бок.</t>
  </si>
  <si>
    <t>TUB 2057-10</t>
  </si>
  <si>
    <t>МАТ.РАД.133 — Радиатор трубчатый RIFAR TUBOG 2057 10 секц. бок.</t>
  </si>
  <si>
    <t>МАТ.РАД.134</t>
  </si>
  <si>
    <t>Радиатор трубчатый RIFAR TUBOG 2180 10 секц. бок.</t>
  </si>
  <si>
    <t>TUB 2180-10</t>
  </si>
  <si>
    <t>МАТ.РАД.134 — Радиатор трубчатый RIFAR TUBOG 2180 10 секц. бок.</t>
  </si>
  <si>
    <t>МАТ.РАД.135</t>
  </si>
  <si>
    <t>Радиатор трубчатый RIFAR TUBOG 3037 10 секц. бок.</t>
  </si>
  <si>
    <t>TUB 3037-10</t>
  </si>
  <si>
    <t>МАТ.РАД.135 — Радиатор трубчатый RIFAR TUBOG 3037 10 секц. бок.</t>
  </si>
  <si>
    <t>МАТ.РАД.136</t>
  </si>
  <si>
    <t>Трубка РЕХАУ из. нерж. стали для подкл. радиатора, Г-образная 16/250</t>
  </si>
  <si>
    <t>11096641002</t>
  </si>
  <si>
    <t>МАТ.РАД.136 — Трубка РЕХАУ из. нерж. стали для подкл. радиатора, Г-образная 16/250</t>
  </si>
  <si>
    <t>МАТ.РАД.137</t>
  </si>
  <si>
    <t>Узел подключения радиатора H-образный Arrowhead Element, прямой, 3/4"- 3/4" (без ниппелей)</t>
  </si>
  <si>
    <t>216033</t>
  </si>
  <si>
    <t>МАТ.РАД.137 — Узел подключения радиатора H-образный Arrowhead Element, прямой, 3/4"- 3/4" (без ниппелей)</t>
  </si>
  <si>
    <t>МАТ.РАД.КОМПЛ.001</t>
  </si>
  <si>
    <t>КОМПЛЕКТ МОНТАЖНЫЙ 1/2 универсальный белый без кронштейнов</t>
  </si>
  <si>
    <t>КМУ12</t>
  </si>
  <si>
    <t>МАТ.РАД.КОМПЛ.001 — КОМПЛЕКТ МОНТАЖНЫЙ 1/2 универсальный белый без кронштейнов</t>
  </si>
  <si>
    <t>МАТ.РАД.КОМПЛ.002</t>
  </si>
  <si>
    <t>КОМПЛЕКТ МОНТАЖНЫЙ 3/4 универсальный белый без кронштейнов</t>
  </si>
  <si>
    <t>КМУ34</t>
  </si>
  <si>
    <t>МАТ.РАД.КОМПЛ.002 — КОМПЛЕКТ МОНТАЖНЫЙ 3/4 универсальный белый без кронштейнов</t>
  </si>
  <si>
    <t>МАТ.РАД.КОМПЛ.003</t>
  </si>
  <si>
    <t>Кронштейн напольный RIFAR (комплект 2 шт.)</t>
  </si>
  <si>
    <t>R.Ad.SW01</t>
  </si>
  <si>
    <t>МАТ.РАД.КОМПЛ.003 — Кронштейн напольный RIFAR (комплект 2 шт.)</t>
  </si>
  <si>
    <t>МАТ.РАД.КОМПЛ.004</t>
  </si>
  <si>
    <t>Кронштейн регулируемый RIFAR (комплект 2 шт.)</t>
  </si>
  <si>
    <t>R.Ad.SA01</t>
  </si>
  <si>
    <t>МАТ.РАД.КОМПЛ.004 — Кронштейн регулируемый RIFAR (комплект 2 шт.)</t>
  </si>
  <si>
    <t>МАТ.РАД.КОМПЛ.005</t>
  </si>
  <si>
    <t>Монтажный комплект RIFAR 1/2</t>
  </si>
  <si>
    <t>R.Ad.G12</t>
  </si>
  <si>
    <t>МАТ.РАД.КОМПЛ.005 — Монтажный комплект RIFAR 1/2</t>
  </si>
  <si>
    <t>МАТ.РАД.КОМПЛ.006</t>
  </si>
  <si>
    <t>Монтажный комплект RIFAR 3/4</t>
  </si>
  <si>
    <t>R.Ad.G34</t>
  </si>
  <si>
    <t>МАТ.РАД.КОМПЛ.006 — Монтажный комплект RIFAR 3/4</t>
  </si>
  <si>
    <t>МАТ.РАД.КОМПЛ.007</t>
  </si>
  <si>
    <t>Узел нижнего подключения RIFAR для 2-трубных систем угловой G3/4"</t>
  </si>
  <si>
    <t>R.Ad.L01</t>
  </si>
  <si>
    <t>МАТ.РАД.КОМПЛ.007 — Узел нижнего подключения RIFAR для 2-трубных систем угловой G3/4"</t>
  </si>
  <si>
    <t>МАТ.РАД.КОМПЛ.008</t>
  </si>
  <si>
    <t>Узел нижней подводки "RIFAR" двойной прямой евроконус G 3/4"</t>
  </si>
  <si>
    <t>R.Ad.H01</t>
  </si>
  <si>
    <t>МАТ.РАД.КОМПЛ.008 — Узел нижней подводки "RIFAR" двойной прямой евроконус G 3/4"</t>
  </si>
  <si>
    <t>МАТ.РАД.КОМПЛ.009</t>
  </si>
  <si>
    <t>твек. 6.3. Кронштейн "RIFAR" штырьевой бел. плоский 8х180</t>
  </si>
  <si>
    <t>ТВЕК63</t>
  </si>
  <si>
    <t>МАТ.РАД.КОМПЛ.009 — твек. 6.3. Кронштейн "RIFAR" штырьевой бел. плоский 8х180</t>
  </si>
  <si>
    <t>МАТ.РАД.КОМПЛ.010</t>
  </si>
  <si>
    <t>твек. 6.7. Кронштейн "DUETTO" штырьевой бел. плоский 9х220</t>
  </si>
  <si>
    <t>ТВЕК67</t>
  </si>
  <si>
    <t>МАТ.РАД.КОМПЛ.010 — твек. 6.7. Кронштейн "DUETTO" штырьевой бел. плоский 9х220</t>
  </si>
  <si>
    <t>МАТ.РАД.КОМПЛ.011</t>
  </si>
  <si>
    <t>твек. 6.7.01 Кронштейн штырьевой бел. плоский 9х260</t>
  </si>
  <si>
    <t>ТВЕК6701</t>
  </si>
  <si>
    <t>МАТ.РАД.КОМПЛ.011 — твек. 6.7.01 Кронштейн штырьевой бел. плоский 9х260</t>
  </si>
  <si>
    <t>МАТ.РАД.КОМПЛ.012</t>
  </si>
  <si>
    <t>твек. 6.8. Кронштейн SIRA RS штырьевой белый плоский 1,8 9х220</t>
  </si>
  <si>
    <t>ТВЕК68</t>
  </si>
  <si>
    <t>МАТ.РАД.КОМПЛ.012 — твек. 6.8. Кронштейн SIRA RS штырьевой белый плоский 1,8 9х220</t>
  </si>
  <si>
    <t>МАТ.РАД.КОМПЛ.013</t>
  </si>
  <si>
    <t>твек. 7.3. Кронштейн угл. универс. бел. "ЭЛЕГАНС" (2,0)</t>
  </si>
  <si>
    <t>ТВЕК73</t>
  </si>
  <si>
    <t>МАТ.РАД.КОМПЛ.013 — твек. 7.3. Кронштейн угл. универс. бел. "ЭЛЕГАНС" (2,0)</t>
  </si>
  <si>
    <t>МАТ.РАД.КОМПЛ.014</t>
  </si>
  <si>
    <t>твек. 7.8. Кронштейн усил. угловой универсальный белый "Элеганс" 1,7</t>
  </si>
  <si>
    <t>ТВЕК78</t>
  </si>
  <si>
    <t>МАТ.РАД.КОМПЛ.014 — твек. 7.8. Кронштейн усил. угловой универсальный белый "Элеганс" 1,7</t>
  </si>
  <si>
    <t>МАТ.РАД.КОМПЛ.015</t>
  </si>
  <si>
    <t>твек.10.1. Кронштейн напольный "RIFAR"</t>
  </si>
  <si>
    <t>ТВЕК101</t>
  </si>
  <si>
    <t>МАТ.РАД.КОМПЛ.015 — твек.10.1. Кронштейн напольный "RIFAR"</t>
  </si>
  <si>
    <t>МАТ.СВЕТ.001</t>
  </si>
  <si>
    <t>ANT Conical D250, H120 9W-4000K Susp BLK - Светильник</t>
  </si>
  <si>
    <t>2207881_ BLK</t>
  </si>
  <si>
    <t>REFLECTA</t>
  </si>
  <si>
    <t>Рефлекта</t>
  </si>
  <si>
    <t>МАТ.СВЕТ.001 — ANT Conical D250, H120 9W-4000K Susp BLK - Светильник</t>
  </si>
  <si>
    <t>МАТ.СВЕТ.002</t>
  </si>
  <si>
    <t>ANT Conical D250, H120 9W-4000K Susp RAL 3020 - Светильник</t>
  </si>
  <si>
    <t>2207881_ RAL 3020</t>
  </si>
  <si>
    <t>МАТ.СВЕТ.002 — ANT Conical D250, H120 9W-4000K Susp RAL 3020 - Светильник</t>
  </si>
  <si>
    <t>МАТ.СВЕТ.003</t>
  </si>
  <si>
    <t>ANT Conical D400 9W-4000K Susp BLK - Светильник</t>
  </si>
  <si>
    <t>2207884_ BLK</t>
  </si>
  <si>
    <t>МАТ.СВЕТ.003 — ANT Conical D400 9W-4000K Susp BLK - Светильник</t>
  </si>
  <si>
    <t>МАТ.СВЕТ.004</t>
  </si>
  <si>
    <t>ANT Conical D400 9W-4000K Susp RED RAL 3020- Светильник</t>
  </si>
  <si>
    <t>2207884_ RAL 3020</t>
  </si>
  <si>
    <t>МАТ.СВЕТ.004 — ANT Conical D400 9W-4000K Susp RED RAL 3020- Светильник</t>
  </si>
  <si>
    <t>МАТ.СВЕТ.005</t>
  </si>
  <si>
    <t>ANT Conical D600, H210 9W-4000K Susp BLK - Светильник</t>
  </si>
  <si>
    <t>2207887_ BLK</t>
  </si>
  <si>
    <t>МАТ.СВЕТ.005 — ANT Conical D600, H210 9W-4000K Susp BLK - Светильник</t>
  </si>
  <si>
    <t>МАТ.СВЕТ.006</t>
  </si>
  <si>
    <t>ANT Conical D600, H210 9W-4000K Susp RAL 3020 - Светильник</t>
  </si>
  <si>
    <t>2207887_RAL 3020</t>
  </si>
  <si>
    <t>МАТ.СВЕТ.006 — ANT Conical D600, H210 9W-4000K Susp RAL 3020 - Светильник</t>
  </si>
  <si>
    <t>МАТ.СВЕТ.007</t>
  </si>
  <si>
    <t>AURA ALFA 49W-4000K CRI 90 M1200x800 EDG (Triangle) - Светильник</t>
  </si>
  <si>
    <t>2204325</t>
  </si>
  <si>
    <t>МАТ.СВЕТ.007 — AURA ALFA 49W-4000K CRI 90 M1200x800 EDG (Triangle) - Светильник</t>
  </si>
  <si>
    <t>МАТ.СВЕТ.008</t>
  </si>
  <si>
    <t>1400140</t>
  </si>
  <si>
    <t>МАТ.СВЕТ.008 — Acc. Wire ↓ suspension 1500mm - Тросовый подвес с регулировкой внизу, 1 шт.</t>
  </si>
  <si>
    <t>МАТ.СВЕТ.009</t>
  </si>
  <si>
    <t>2309053_ WHI</t>
  </si>
  <si>
    <t>МАТ.СВЕТ.009 — Agat D80 31W/mt-4000K CRI 90 ROW Susp WHI - Светильник</t>
  </si>
  <si>
    <t>МАТ.СВЕТ.010</t>
  </si>
  <si>
    <t>Agat D80 35W-4000K CRI 90 M1200 Susp (драйвер выносной) WHI - Светильник</t>
  </si>
  <si>
    <t>2309027_ WHI</t>
  </si>
  <si>
    <t>МАТ.СВЕТ.010 — Agat D80 35W-4000K CRI 90 M1200 Susp (драйвер выносной) WHI - Светильник</t>
  </si>
  <si>
    <t>МАТ.СВЕТ.011</t>
  </si>
  <si>
    <t>Agat D80 37W/mt-4000K CRI 90 2xL24 270mA ROW Susp WHI, L=2135mm - Светильник</t>
  </si>
  <si>
    <t>2309054_2135 WHI</t>
  </si>
  <si>
    <t>МАТ.СВЕТ.011 — Agat D80 37W/mt-4000K CRI 90 2xL24 270mA ROW Susp WHI, L=2135mm - Светильник</t>
  </si>
  <si>
    <t>МАТ.СВЕТ.012</t>
  </si>
  <si>
    <t>Agat Vertical D80 12W-4000K CRI 90 H200 Susp (ceiling rose incl.) WHI - Светильник</t>
  </si>
  <si>
    <t>2409707_ WHI</t>
  </si>
  <si>
    <t>МАТ.СВЕТ.012 — Agat Vertical D80 12W-4000K CRI 90 H200 Susp (ceiling rose incl.) WHI - Светильник</t>
  </si>
  <si>
    <t>МАТ.СВЕТ.013</t>
  </si>
  <si>
    <t>Astra 1xD450 E27 max 40W Susp - Светильник</t>
  </si>
  <si>
    <t>2204207</t>
  </si>
  <si>
    <t>МАТ.СВЕТ.013 — Astra 1xD450 E27 max 40W Susp - Светильник</t>
  </si>
  <si>
    <t>МАТ.СВЕТ.014</t>
  </si>
  <si>
    <t>Astra-Chino Sphere D300 E27 max 40W Susp - Светильник</t>
  </si>
  <si>
    <t>2308819</t>
  </si>
  <si>
    <t>МАТ.СВЕТ.014 — Astra-Chino Sphere D300 E27 max 40W Susp - Светильник</t>
  </si>
  <si>
    <t>МАТ.СВЕТ.015</t>
  </si>
  <si>
    <t>Astra-Chino Sphere D400 E27 max 40W Susp - Светильник</t>
  </si>
  <si>
    <t>2400475</t>
  </si>
  <si>
    <t>МАТ.СВЕТ.015 — Astra-Chino Sphere D400 E27 max 40W Susp - Светильник</t>
  </si>
  <si>
    <t>МАТ.СВЕТ.016</t>
  </si>
  <si>
    <t>CSVT FLORA-50 27 993х50х70 CRI80 4000 microprisma IP40 красный AB (в комплекте с подвесом и заглушками)</t>
  </si>
  <si>
    <t>Arlight/ЦСС</t>
  </si>
  <si>
    <t>ЭТМ</t>
  </si>
  <si>
    <t>МАТ.СВЕТ.016 — CSVT FLORA-50 27 993х50х70 CRI80 4000 microprisma IP40 красный AB (в комплекте с подвесом и заглушками)</t>
  </si>
  <si>
    <t>МАТ.СВЕТ.017</t>
  </si>
  <si>
    <t>CSVT FLORA-50 36 1540х50х70 CRI80 4000 microprisma IP40 красный AB (в комплекте с подвесом и заглушками)</t>
  </si>
  <si>
    <t>МАТ.СВЕТ.017 — CSVT FLORA-50 36 1540х50х70 CRI80 4000 microprisma IP40 красный AB (в комплекте с подвесом и заглушками)</t>
  </si>
  <si>
    <t>МАТ.СВЕТ.018</t>
  </si>
  <si>
    <t>CSVT FLORA-50 52 1985х50х70 CRI80 4000 microprisma IP40 красный AB (в комплекте с подвесом и заглушками)</t>
  </si>
  <si>
    <t>МАТ.СВЕТ.018 — CSVT FLORA-50 52 1985х50х70 CRI80 4000 microprisma IP40 красный AB (в комплекте с подвесом и заглушками)</t>
  </si>
  <si>
    <t>МАТ.СВЕТ.019</t>
  </si>
  <si>
    <t>CSVT FLORA-50 70 3040х50х70 CRI80 4000 microprisma IP40 красный AB (в комплекте с подвесом и заглушками)</t>
  </si>
  <si>
    <t>МАТ.СВЕТ.019 — CSVT FLORA-50 70 3040х50х70 CRI80 4000 microprisma IP40 красный AB (в комплекте с подвесом и заглушками)</t>
  </si>
  <si>
    <t>МАТ.СВЕТ.020</t>
  </si>
  <si>
    <t>Calida MP ECO 16W/mt-4000K CRI 90 R-2850 Line_3575 ROW Susp BLK</t>
  </si>
  <si>
    <t>2204401_3575x60_ BLK</t>
  </si>
  <si>
    <t>МАТ.СВЕТ.020 — Calida MP ECO 16W/mt-4000K CRI 90 R-2850 Line_3575 ROW Susp BLK</t>
  </si>
  <si>
    <t>МАТ.СВЕТ.021</t>
  </si>
  <si>
    <t>Calida MP ECO 16W/mt-4000K CRI 90 R-8620 Line_2500 ROW Susp BLK</t>
  </si>
  <si>
    <t>2204401_2500x60_ BLK</t>
  </si>
  <si>
    <t>МАТ.СВЕТ.021 — Calida MP ECO 16W/mt-4000K CRI 90 R-8620 Line_2500 ROW Susp BLK</t>
  </si>
  <si>
    <t>МАТ.СВЕТ.022</t>
  </si>
  <si>
    <t>Calida MP ECO 16W/mt-4000K CRI 90 R-8620 Line_5764 ROW Susp BLK</t>
  </si>
  <si>
    <t>2204401_5764x60_ BLK</t>
  </si>
  <si>
    <t>МАТ.СВЕТ.022 — Calida MP ECO 16W/mt-4000K CRI 90 R-8620 Line_5764 ROW Susp BLK</t>
  </si>
  <si>
    <t>МАТ.СВЕТ.023</t>
  </si>
  <si>
    <t>Calida MP ECO 16W/mt-4000K CRI 90 R-XXX Line_XXXX ROW Susp BLK</t>
  </si>
  <si>
    <t>2204401_XXXXx60_ BLK</t>
  </si>
  <si>
    <t>МАТ.СВЕТ.023 — Calida MP ECO 16W/mt-4000K CRI 90 R-XXX Line_XXXX ROW Susp BLK</t>
  </si>
  <si>
    <t>МАТ.СВЕТ.024</t>
  </si>
  <si>
    <t>Calida MP ECO 16W/mt-4000K CRI 90 R-XXX Line_XXXX ROW Susp WHI</t>
  </si>
  <si>
    <t>2204401_XXXXx60_ WHI</t>
  </si>
  <si>
    <t>МАТ.СВЕТ.024 — Calida MP ECO 16W/mt-4000K CRI 90 R-XXX Line_XXXX ROW Susp WHI</t>
  </si>
  <si>
    <t>МАТ.СВЕТ.025</t>
  </si>
  <si>
    <t>Dew DI/IN 2 x 4.2W-4000K CRI 90 WALL BLK - Светильник</t>
  </si>
  <si>
    <t>2100390_ BLK</t>
  </si>
  <si>
    <t>МАТ.СВЕТ.025 — Dew DI/IN 2 x 4.2W-4000K CRI 90 WALL BLK - Светильник</t>
  </si>
  <si>
    <t>МАТ.СВЕТ.026</t>
  </si>
  <si>
    <t>FAT 12W-4000K CRI 90 H180 MP Susp BLK - Светильник</t>
  </si>
  <si>
    <t>2200669_ BLK</t>
  </si>
  <si>
    <t>МАТ.СВЕТ.026 — FAT 12W-4000K CRI 90 H180 MP Susp BLK - Светильник</t>
  </si>
  <si>
    <t>МАТ.СВЕТ.027</t>
  </si>
  <si>
    <t>FAT 12W-4000K CRI 90 H180 MP Susp RED - Светильник</t>
  </si>
  <si>
    <t>2200669_ RED</t>
  </si>
  <si>
    <t>МАТ.СВЕТ.027 — FAT 12W-4000K CRI 90 H180 MP Susp RED - Светильник</t>
  </si>
  <si>
    <t>МАТ.СВЕТ.028</t>
  </si>
  <si>
    <t>FAT 12W-4000K CRI 90 H180 MP Susp WHI - Светильник</t>
  </si>
  <si>
    <t>2200669_ WHI</t>
  </si>
  <si>
    <t>МАТ.СВЕТ.028 — FAT 12W-4000K CRI 90 H180 MP Susp WHI - Светильник</t>
  </si>
  <si>
    <t>МАТ.СВЕТ.029</t>
  </si>
  <si>
    <t>FAT 12W-4000K CRI 90 H95 MP Ceil BLK - Светильник потолочный. Предусмотреть выход кабеля сбоку</t>
  </si>
  <si>
    <t>2200580_ BLK</t>
  </si>
  <si>
    <t>МАТ.СВЕТ.029 — FAT 12W-4000K CRI 90 H95 MP Ceil BLK - Светильник потолочный. Предусмотреть выход кабеля сбоку</t>
  </si>
  <si>
    <t>МАТ.СВЕТ.030</t>
  </si>
  <si>
    <t>FAT 12W-4000K CRI 90 H95 MP Ceil WHI - Светильник потолочный. Предусмотреть выход кабеля сбоку</t>
  </si>
  <si>
    <t>2200580_ WHI</t>
  </si>
  <si>
    <t>МАТ.СВЕТ.030 — FAT 12W-4000K CRI 90 H95 MP Ceil WHI - Светильник потолочный. Предусмотреть выход кабеля сбоку</t>
  </si>
  <si>
    <t>МАТ.СВЕТ.031</t>
  </si>
  <si>
    <t>FAT 12W-4000K CRI 90 H95 MP Susp BLK - Светильник</t>
  </si>
  <si>
    <t>2200661_ BLK</t>
  </si>
  <si>
    <t>МАТ.СВЕТ.031 — FAT 12W-4000K CRI 90 H95 MP Susp BLK - Светильник</t>
  </si>
  <si>
    <t>МАТ.СВЕТ.032</t>
  </si>
  <si>
    <t>FAT 12W-4000K CRI 90 H95 MP Susp WHI - Светильник</t>
  </si>
  <si>
    <t>2200661_ WHI</t>
  </si>
  <si>
    <t>МАТ.СВЕТ.032 — FAT 12W-4000K CRI 90 H95 MP Susp WHI - Светильник</t>
  </si>
  <si>
    <t>МАТ.СВЕТ.033</t>
  </si>
  <si>
    <t>FAT 12W-4000K CRI 90 H95 REF 45`Ceil BLK - Светильник</t>
  </si>
  <si>
    <t>2309088_ BLK</t>
  </si>
  <si>
    <t>МАТ.СВЕТ.033 — FAT 12W-4000K CRI 90 H95 REF 45`Ceil BLK - Светильник</t>
  </si>
  <si>
    <t>МАТ.СВЕТ.034</t>
  </si>
  <si>
    <t>FAT 12W-4000K CRI 90 H95 REF 45`Ceil WHI - Светильник</t>
  </si>
  <si>
    <t>2309088_ WHI</t>
  </si>
  <si>
    <t>МАТ.СВЕТ.034 — FAT 12W-4000K CRI 90 H95 REF 45`Ceil WHI - Светильник</t>
  </si>
  <si>
    <t>МАТ.СВЕТ.035</t>
  </si>
  <si>
    <t>FAT 8W-4000K CRI 90 H180 MP Susp BLK - Светильник</t>
  </si>
  <si>
    <t>2200665_ BLK</t>
  </si>
  <si>
    <t>МАТ.СВЕТ.035 — FAT 8W-4000K CRI 90 H180 MP Susp BLK - Светильник</t>
  </si>
  <si>
    <t>МАТ.СВЕТ.036</t>
  </si>
  <si>
    <t>FAT 8W-4000K CRI 90 H180 MP Susp WHI - Светильник</t>
  </si>
  <si>
    <t>2200665_ WHI</t>
  </si>
  <si>
    <t>МАТ.СВЕТ.036 — FAT 8W-4000K CRI 90 H180 MP Susp WHI - Светильник</t>
  </si>
  <si>
    <t>МАТ.СВЕТ.037</t>
  </si>
  <si>
    <t>FAT 8W-4000K CRI 90 H180 REF 45`Ceil BLK - Светильник</t>
  </si>
  <si>
    <t>2502602_ BLK</t>
  </si>
  <si>
    <t>МАТ.СВЕТ.037 — FAT 8W-4000K CRI 90 H180 REF 45`Ceil BLK - Светильник</t>
  </si>
  <si>
    <t>МАТ.СВЕТ.038</t>
  </si>
  <si>
    <t>FAT 8W-4000K CRI 90 H180 REF 45`Ceil WHI - Светильник</t>
  </si>
  <si>
    <t>2502602_ WHI</t>
  </si>
  <si>
    <t>МАТ.СВЕТ.038 — FAT 8W-4000K CRI 90 H180 REF 45`Ceil WHI - Светильник</t>
  </si>
  <si>
    <t>МАТ.СВЕТ.039</t>
  </si>
  <si>
    <t>FAT 8W-4000K CRI 90 H180 REF45` Susp BLK - Светильник</t>
  </si>
  <si>
    <t>2407201_ BLK</t>
  </si>
  <si>
    <t>МАТ.СВЕТ.039 — FAT 8W-4000K CRI 90 H180 REF45` Susp BLK - Светильник</t>
  </si>
  <si>
    <t>МАТ.СВЕТ.040</t>
  </si>
  <si>
    <t>FAT 8W-4000K CRI 90 H180 REF45` Susp WHI - Светильник</t>
  </si>
  <si>
    <t>2407201_ WHI</t>
  </si>
  <si>
    <t>МАТ.СВЕТ.040 — FAT 8W-4000K CRI 90 H180 REF45` Susp WHI - Светильник</t>
  </si>
  <si>
    <t>МАТ.СВЕТ.041</t>
  </si>
  <si>
    <t>FAT 8W-4000K CRI 90 H95 MP Ceil BLK - Светильник потолочный. Предусмотреть выход кабеля сбоку</t>
  </si>
  <si>
    <t>2200576_ BLK</t>
  </si>
  <si>
    <t>МАТ.СВЕТ.041 — FAT 8W-4000K CRI 90 H95 MP Ceil BLK - Светильник потолочный. Предусмотреть выход кабеля сбоку</t>
  </si>
  <si>
    <t>МАТ.СВЕТ.042</t>
  </si>
  <si>
    <t>FAT 8W-4000K CRI 90 H95 MP Ceil WHI - Светильник потолочный. Предусмотреть выход кабеля сбоку</t>
  </si>
  <si>
    <t>2200576_ WHI</t>
  </si>
  <si>
    <t>МАТ.СВЕТ.042 — FAT 8W-4000K CRI 90 H95 MP Ceil WHI - Светильник потолочный. Предусмотреть выход кабеля сбоку</t>
  </si>
  <si>
    <t>МАТ.СВЕТ.043</t>
  </si>
  <si>
    <t>FAT 8W-4000K CRI 90 H95 MP Susp BLK - Светильник</t>
  </si>
  <si>
    <t>2200657_ BLK</t>
  </si>
  <si>
    <t>МАТ.СВЕТ.043 — FAT 8W-4000K CRI 90 H95 MP Susp BLK - Светильник</t>
  </si>
  <si>
    <t>МАТ.СВЕТ.044</t>
  </si>
  <si>
    <t>FAT 8W-4000K CRI 90 H95 MP Susp WHI - Светильник</t>
  </si>
  <si>
    <t>2200657_ WHI</t>
  </si>
  <si>
    <t>МАТ.СВЕТ.044 — FAT 8W-4000K CRI 90 H95 MP Susp WHI - Светильник</t>
  </si>
  <si>
    <t>МАТ.СВЕТ.045</t>
  </si>
  <si>
    <t>FAT Comfort 12W-4000K CRI 90 H130 MP Susp BLK - Светильник</t>
  </si>
  <si>
    <t>2200685_ BLK</t>
  </si>
  <si>
    <t>МАТ.СВЕТ.045 — FAT Comfort 12W-4000K CRI 90 H130 MP Susp BLK - Светильник</t>
  </si>
  <si>
    <t>МАТ.СВЕТ.046</t>
  </si>
  <si>
    <t>FAT Comfort 12W-4000K CRI 90 H130 MP Susp WHI - Светильник</t>
  </si>
  <si>
    <t>2200685_ WHI</t>
  </si>
  <si>
    <t>МАТ.СВЕТ.046 — FAT Comfort 12W-4000K CRI 90 H130 MP Susp WHI - Светильник</t>
  </si>
  <si>
    <t>МАТ.СВЕТ.047</t>
  </si>
  <si>
    <t>FAT Comfort 12W-4000K CRI 90 H215 MP Susp BLK - Светильник</t>
  </si>
  <si>
    <t>2200693_ BLK</t>
  </si>
  <si>
    <t>МАТ.СВЕТ.047 — FAT Comfort 12W-4000K CRI 90 H215 MP Susp BLK - Светильник</t>
  </si>
  <si>
    <t>МАТ.СВЕТ.048</t>
  </si>
  <si>
    <t>FAT Comfort 12W-4000K CRI 90 H215 MP Susp WHI - Светильник</t>
  </si>
  <si>
    <t>2200693_ WHI</t>
  </si>
  <si>
    <t>МАТ.СВЕТ.048 — FAT Comfort 12W-4000K CRI 90 H215 MP Susp WHI - Светильник</t>
  </si>
  <si>
    <t>МАТ.СВЕТ.049</t>
  </si>
  <si>
    <t>FAT Comfort 8W-4000K CRI 90 H130 MP Susp BLK - Светильник</t>
  </si>
  <si>
    <t>2200681_ BLK</t>
  </si>
  <si>
    <t>МАТ.СВЕТ.049 — FAT Comfort 8W-4000K CRI 90 H130 MP Susp BLK - Светильник</t>
  </si>
  <si>
    <t>МАТ.СВЕТ.050</t>
  </si>
  <si>
    <t>FAT Comfort 8W-4000K CRI 90 H130 MP Susp WHI - Светильник</t>
  </si>
  <si>
    <t>2200681_ WHI</t>
  </si>
  <si>
    <t>МАТ.СВЕТ.050 — FAT Comfort 8W-4000K CRI 90 H130 MP Susp WHI - Светильник</t>
  </si>
  <si>
    <t>МАТ.СВЕТ.051</t>
  </si>
  <si>
    <t>FAT Track 12W-4000K CRI 90 H95 MP ECO BLK - Светильник</t>
  </si>
  <si>
    <t>2200653_ BLK</t>
  </si>
  <si>
    <t>МАТ.СВЕТ.051 — FAT Track 12W-4000K CRI 90 H95 MP ECO BLK - Светильник</t>
  </si>
  <si>
    <t>МАТ.СВЕТ.052</t>
  </si>
  <si>
    <t>Gibrida 40 Base _ROW Recessed BLK - База</t>
  </si>
  <si>
    <t>1403175_ BLK</t>
  </si>
  <si>
    <t>МАТ.СВЕТ.052 — Gibrida 40 Base _ROW Recessed BLK - База</t>
  </si>
  <si>
    <t>МАТ.СВЕТ.053</t>
  </si>
  <si>
    <t>Gibrida 40 Base _ROW Recessed WHI - База</t>
  </si>
  <si>
    <t>1403175_ WHI</t>
  </si>
  <si>
    <t>МАТ.СВЕТ.053 — Gibrida 40 Base _ROW Recessed WHI - База</t>
  </si>
  <si>
    <t>МАТ.СВЕТ.054</t>
  </si>
  <si>
    <t>Gibrida 40/50.90⁰ - Соединение угловое 90⁰ BLK, подключен к магистральному линейному светильнику на заводе</t>
  </si>
  <si>
    <t>1904414_ BLK</t>
  </si>
  <si>
    <t>МАТ.СВЕТ.054 — Gibrida 40/50.90⁰ - Соединение угловое 90⁰ BLK, подключен к магистральному линейному светильнику на заводе</t>
  </si>
  <si>
    <t>МАТ.СВЕТ.055</t>
  </si>
  <si>
    <t>Gibrida 40/50.90⁰ - Соединение угловое 90⁰ WHI, подключен к магистральному линейному светильнику на заводе</t>
  </si>
  <si>
    <t>1904414_ WHI</t>
  </si>
  <si>
    <t>МАТ.СВЕТ.055 — Gibrida 40/50.90⁰ - Соединение угловое 90⁰ WHI, подключен к магистральному линейному светильнику на заводе</t>
  </si>
  <si>
    <t>МАТ.СВЕТ.056</t>
  </si>
  <si>
    <t>Gibrida 40/50.U-kit - Крепёж в потолок 1 шт.</t>
  </si>
  <si>
    <t>1403334</t>
  </si>
  <si>
    <t>МАТ.СВЕТ.056 — Gibrida 40/50.U-kit - Крепёж в потолок 1 шт.</t>
  </si>
  <si>
    <t>МАТ.СВЕТ.057</t>
  </si>
  <si>
    <t>МАТ.СВЕТ.057 — Gibrida 40/50.U-kit - Крепёж в потолок 1 шт.</t>
  </si>
  <si>
    <t>МАТ.СВЕТ.058</t>
  </si>
  <si>
    <t>Gibrida 40/50.VAR` - Соединение угловое ХХ`, подключен к магистральному светильнику на заводе</t>
  </si>
  <si>
    <t>1904415_ BLK</t>
  </si>
  <si>
    <t>МАТ.СВЕТ.058 — Gibrida 40/50.VAR` - Соединение угловое ХХ`, подключен к магистральному светильнику на заводе</t>
  </si>
  <si>
    <t>МАТ.СВЕТ.059</t>
  </si>
  <si>
    <t>Gibrida 61 Base _ROW Recessed - База</t>
  </si>
  <si>
    <t>1403238_</t>
  </si>
  <si>
    <t>МАТ.СВЕТ.059 — Gibrida 61 Base _ROW Recessed - База</t>
  </si>
  <si>
    <t>МАТ.СВЕТ.060</t>
  </si>
  <si>
    <t>Gibrida 61/71.U-kit - Крепёж в потолок 1 шт., брать 2 шт. на светильник или на 1,8 погонных м.</t>
  </si>
  <si>
    <t>1401895</t>
  </si>
  <si>
    <t>МАТ.СВЕТ.060 — Gibrida 61/71.U-kit - Крепёж в потолок 1 шт., брать 2 шт. на светильник или на 1,8 погонных м.</t>
  </si>
  <si>
    <t>МАТ.СВЕТ.061</t>
  </si>
  <si>
    <t>Gibrida Adj NET L40 9W-3000K CRI 90 M250 - Световой модуль</t>
  </si>
  <si>
    <t>2503189</t>
  </si>
  <si>
    <t>МАТ.СВЕТ.061 — Gibrida Adj NET L40 9W-3000K CRI 90 M250 - Световой модуль</t>
  </si>
  <si>
    <t>МАТ.СВЕТ.062</t>
  </si>
  <si>
    <t>Gibrida Adj Q70 MB 8W-4000K CRI 90 BLK - Световой модуль</t>
  </si>
  <si>
    <t>2200774_ BLK</t>
  </si>
  <si>
    <t>МАТ.СВЕТ.062 — Gibrida Adj Q70 MB 8W-4000K CRI 90 BLK - Световой модуль</t>
  </si>
  <si>
    <t>МАТ.СВЕТ.063</t>
  </si>
  <si>
    <t>Gibrida Adj Q70 MB 8W-4000K CRI 90 WHI - Световой модуль</t>
  </si>
  <si>
    <t>2200774_ WHI</t>
  </si>
  <si>
    <t>МАТ.СВЕТ.063 — Gibrida Adj Q70 MB 8W-4000K CRI 90 WHI - Световой модуль</t>
  </si>
  <si>
    <t>МАТ.СВЕТ.064</t>
  </si>
  <si>
    <t>Gibrida F L40 14W-4000K CRI 90 M500 BLK - Световой модуль</t>
  </si>
  <si>
    <t>2204875_ BLK</t>
  </si>
  <si>
    <t>МАТ.СВЕТ.064 — Gibrida F L40 14W-4000K CRI 90 M500 BLK - Световой модуль</t>
  </si>
  <si>
    <t>МАТ.СВЕТ.065</t>
  </si>
  <si>
    <t>Gibrida F L40 14W-4000K CRI 90 M500 WHI - Световой модуль</t>
  </si>
  <si>
    <t>2204875_ WHI</t>
  </si>
  <si>
    <t>МАТ.СВЕТ.065 — Gibrida F L40 14W-4000K CRI 90 M500 WHI - Световой модуль</t>
  </si>
  <si>
    <t>МАТ.СВЕТ.066</t>
  </si>
  <si>
    <t>Grata Slim SL D750 MP ECO 33W-4000K CRI 90 175mA Susp BLK - Светильник</t>
  </si>
  <si>
    <t>2308772_ BLK</t>
  </si>
  <si>
    <t>МАТ.СВЕТ.066 — Grata Slim SL D750 MP ECO 33W-4000K CRI 90 175mA Susp BLK - Светильник</t>
  </si>
  <si>
    <t>МАТ.СВЕТ.067</t>
  </si>
  <si>
    <t>Grata Slim SL D750 MP ECO 33W-4000K CRI 90 175mA Susp WHI - Светильник</t>
  </si>
  <si>
    <t>2308772_ WHI</t>
  </si>
  <si>
    <t>МАТ.СВЕТ.067 — Grata Slim SL D750 MP ECO 33W-4000K CRI 90 175mA Susp WHI - Светильник</t>
  </si>
  <si>
    <t>МАТ.СВЕТ.068</t>
  </si>
  <si>
    <t>Grata Slim SL D750 MP ECO 50W-4000K CRI 90 270mA Susp BLK - Светильник</t>
  </si>
  <si>
    <t>2205153_ BLK</t>
  </si>
  <si>
    <t>МАТ.СВЕТ.068 — Grata Slim SL D750 MP ECO 50W-4000K CRI 90 270mA Susp BLK - Светильник</t>
  </si>
  <si>
    <t>МАТ.СВЕТ.069</t>
  </si>
  <si>
    <t>Grata Slim SL D750 MP ECO 50W-4000K CRI 90 270mA Susp WHI - Светильник</t>
  </si>
  <si>
    <t>2205153_ WHI</t>
  </si>
  <si>
    <t>МАТ.СВЕТ.069 — Grata Slim SL D750 MP ECO 50W-4000K CRI 90 270mA Susp WHI - Светильник</t>
  </si>
  <si>
    <t>МАТ.СВЕТ.070</t>
  </si>
  <si>
    <t>Grata Slim SL D900 MP ECO 40W-4000K CRI 90 175mA Susp BLK - Светильник</t>
  </si>
  <si>
    <t>2205161_ BLK</t>
  </si>
  <si>
    <t>МАТ.СВЕТ.070 — Grata Slim SL D900 MP ECO 40W-4000K CRI 90 175mA Susp BLK - Светильник</t>
  </si>
  <si>
    <t>МАТ.СВЕТ.071</t>
  </si>
  <si>
    <t>Grata Slim SL D900 MP ECO 40W-4000K CRI 90 175mA Susp WHI - Светильник</t>
  </si>
  <si>
    <t>2205161_ WHI</t>
  </si>
  <si>
    <t>МАТ.СВЕТ.071 — Grata Slim SL D900 MP ECO 40W-4000K CRI 90 175mA Susp WHI - Светильник</t>
  </si>
  <si>
    <t>МАТ.СВЕТ.072</t>
  </si>
  <si>
    <t>Grata Slim SL D900 MP ECO 60W-4000K CRI 90 270mA Susp BLK- Светильник</t>
  </si>
  <si>
    <t>2205160_ BLK</t>
  </si>
  <si>
    <t>МАТ.СВЕТ.072 — Grata Slim SL D900 MP ECO 60W-4000K CRI 90 270mA Susp BLK- Светильник</t>
  </si>
  <si>
    <t>МАТ.СВЕТ.073</t>
  </si>
  <si>
    <t>Grata Slim SL D900 MP ECO 60W-4000K CRI 90 270mA Susp WHI- Светильник</t>
  </si>
  <si>
    <t>2205160_ WHI</t>
  </si>
  <si>
    <t>МАТ.СВЕТ.073 — Grata Slim SL D900 MP ECO 60W-4000K CRI 90 270mA Susp WHI- Светильник</t>
  </si>
  <si>
    <t>МАТ.СВЕТ.074</t>
  </si>
  <si>
    <t>IEK Светильник ДСП 1304 18Вт 4000К IP65 600мм - Светильник</t>
  </si>
  <si>
    <t>2409705</t>
  </si>
  <si>
    <t>Поставка REFLECTA</t>
  </si>
  <si>
    <t>МАТ.СВЕТ.074 — IEK Светильник ДСП 1304 18Вт 4000К IP65 600мм - Светильник</t>
  </si>
  <si>
    <t>МАТ.СВЕТ.075</t>
  </si>
  <si>
    <t>2200204</t>
  </si>
  <si>
    <t>МАТ.СВЕТ.075 — IEK Светильник ДСП 1318 48Вт 4500К IP65 1500мм</t>
  </si>
  <si>
    <t>МАТ.СВЕТ.076</t>
  </si>
  <si>
    <t>2203468</t>
  </si>
  <si>
    <t>МАТ.СВЕТ.076 — LED strip N2835 11W/m 24V 120led/m 1220Lm/m 4000K CRI90 IP20 5m</t>
  </si>
  <si>
    <t>МАТ.СВЕТ.077</t>
  </si>
  <si>
    <t>2200202</t>
  </si>
  <si>
    <t>МАТ.СВЕТ.077 — Led driver N24V45W</t>
  </si>
  <si>
    <t>МАТ.СВЕТ.078</t>
  </si>
  <si>
    <t>2200178</t>
  </si>
  <si>
    <t>МАТ.СВЕТ.078 — Led driver N24V60W</t>
  </si>
  <si>
    <t>МАТ.СВЕТ.079</t>
  </si>
  <si>
    <t>1400214</t>
  </si>
  <si>
    <t>МАТ.СВЕТ.079 — Longa 15/16/22 L=2000 mm PC Clear - Рассеиватель прозрачный</t>
  </si>
  <si>
    <t>МАТ.СВЕТ.080</t>
  </si>
  <si>
    <t>1400208</t>
  </si>
  <si>
    <t>МАТ.СВЕТ.080 — Longa 16 L=2000 mm h=12 ANO - Профиль накладной алюминиевый анодированный, цена за 2 п.м.</t>
  </si>
  <si>
    <t>МАТ.СВЕТ.081</t>
  </si>
  <si>
    <t>Longa 40 DI 15W/mt-4000K CRI 90 ROW 175mA Ceil RED, L=2775mm - Светильник</t>
  </si>
  <si>
    <t>2205599_2775 RED</t>
  </si>
  <si>
    <t>МАТ.СВЕТ.081 — Longa 40 DI 15W/mt-4000K CRI 90 ROW 175mA Ceil RED, L=2775mm - Светильник</t>
  </si>
  <si>
    <t>МАТ.СВЕТ.082</t>
  </si>
  <si>
    <t>Longa 40 DI 15W/mt-4000K CRI 90 ROW 175mA Susp BLK - Светильник</t>
  </si>
  <si>
    <t>2205725_ BLK</t>
  </si>
  <si>
    <t>МАТ.СВЕТ.082 — Longa 40 DI 15W/mt-4000K CRI 90 ROW 175mA Susp BLK - Светильник</t>
  </si>
  <si>
    <t>МАТ.СВЕТ.083</t>
  </si>
  <si>
    <t>Longa 40 DI 15W/mt-4000K CRI 90 ROW 175mA Susp RAL3020 - Светильник</t>
  </si>
  <si>
    <t>2205725_RAL3020</t>
  </si>
  <si>
    <t>МАТ.СВЕТ.083 — Longa 40 DI 15W/mt-4000K CRI 90 ROW 175mA Susp RAL3020 - Светильник</t>
  </si>
  <si>
    <t>МАТ.СВЕТ.084</t>
  </si>
  <si>
    <t>Longa 40 DI 15W/mt-4000K CRI 90 ROW 175mA Susp WHI - Светильник</t>
  </si>
  <si>
    <t>2205725_ WHI</t>
  </si>
  <si>
    <t>МАТ.СВЕТ.084 — Longa 40 DI 15W/mt-4000K CRI 90 ROW 175mA Susp WHI - Светильник</t>
  </si>
  <si>
    <t>МАТ.СВЕТ.085</t>
  </si>
  <si>
    <t>Longa 40 DI 20W-4000K CRI 90 M900 270mA Susp BLK - Светильник</t>
  </si>
  <si>
    <t>2205636_ BLK</t>
  </si>
  <si>
    <t>МАТ.СВЕТ.085 — Longa 40 DI 20W-4000K CRI 90 M900 270mA Susp BLK - Светильник</t>
  </si>
  <si>
    <t>МАТ.СВЕТ.086</t>
  </si>
  <si>
    <t>Longa 40 DI 20W-4000K CRI 90 M900 270mA Susp WHI - Светильник</t>
  </si>
  <si>
    <t>2205636_ WHI</t>
  </si>
  <si>
    <t>МАТ.СВЕТ.086 — Longa 40 DI 20W-4000K CRI 90 M900 270mA Susp WHI - Светильник</t>
  </si>
  <si>
    <t>МАТ.СВЕТ.087</t>
  </si>
  <si>
    <t>Longa 40 DI 22W/mt-4000K CRI 90 ROW 270mA Ceil BLK, L=2314mm - Светильник</t>
  </si>
  <si>
    <t>2205598_ 2314 BLK</t>
  </si>
  <si>
    <t>МАТ.СВЕТ.087 — Longa 40 DI 22W/mt-4000K CRI 90 ROW 270mA Ceil BLK, L=2314mm - Светильник</t>
  </si>
  <si>
    <t>МАТ.СВЕТ.088</t>
  </si>
  <si>
    <t>Longa 40 DI 22W/mt-4000K CRI 90 ROW 270mA Ceil WHI, L=2314mm - Светильник</t>
  </si>
  <si>
    <t>2205598_ 2314 WHI</t>
  </si>
  <si>
    <t>МАТ.СВЕТ.088 — Longa 40 DI 22W/mt-4000K CRI 90 ROW 270mA Ceil WHI, L=2314mm - Светильник</t>
  </si>
  <si>
    <t>МАТ.СВЕТ.089</t>
  </si>
  <si>
    <t>Longa 40 DI 22W/mt-4000K CRI 90 ROW 270mA Susp BLK - Светильник</t>
  </si>
  <si>
    <t>2205724_ BLK</t>
  </si>
  <si>
    <t>МАТ.СВЕТ.089 — Longa 40 DI 22W/mt-4000K CRI 90 ROW 270mA Susp BLK - Светильник</t>
  </si>
  <si>
    <t>МАТ.СВЕТ.090</t>
  </si>
  <si>
    <t>Longa 40 DI 22W/mt-4000K CRI 90 ROW 270mA Susp WHI - Светильник</t>
  </si>
  <si>
    <t>2205724_ WHI</t>
  </si>
  <si>
    <t>МАТ.СВЕТ.090 — Longa 40 DI 22W/mt-4000K CRI 90 ROW 270mA Susp WHI - Светильник</t>
  </si>
  <si>
    <t>МАТ.СВЕТ.091</t>
  </si>
  <si>
    <t>Longa 40 DI 25W-4000K CRI 90 M1200 270mA Susp BLK - Светильник</t>
  </si>
  <si>
    <t>2205657_ BLK</t>
  </si>
  <si>
    <t>МАТ.СВЕТ.091 — Longa 40 DI 25W-4000K CRI 90 M1200 270mA Susp BLK - Светильник</t>
  </si>
  <si>
    <t>МАТ.СВЕТ.092</t>
  </si>
  <si>
    <t>Longa 40 DI 25W-4000K CRI 90 M1200 270mA Susp WHI - Светильник</t>
  </si>
  <si>
    <t>2205657_ WHI</t>
  </si>
  <si>
    <t>МАТ.СВЕТ.092 — Longa 40 DI 25W-4000K CRI 90 M1200 270mA Susp WHI - Светильник</t>
  </si>
  <si>
    <t>МАТ.СВЕТ.093</t>
  </si>
  <si>
    <t>2205838_ WHI</t>
  </si>
  <si>
    <t>МАТ.СВЕТ.093 — Longa 40 DI 26W-4000K CRI 90 M900 WALL WHI - Светильник</t>
  </si>
  <si>
    <t>МАТ.СВЕТ.094</t>
  </si>
  <si>
    <t>Longa 40 DI 29W/mt-4000K CRI 90 ROW Ceil BLK - Светильник</t>
  </si>
  <si>
    <t>2205597_ BLK</t>
  </si>
  <si>
    <t>МАТ.СВЕТ.094 — Longa 40 DI 29W/mt-4000K CRI 90 ROW Ceil BLK - Светильник</t>
  </si>
  <si>
    <t>МАТ.СВЕТ.095</t>
  </si>
  <si>
    <t>Longa 40 DI 29W/mt-4000K CRI 90 ROW Ceil WHI - Светильник</t>
  </si>
  <si>
    <t>2205597_ WHI</t>
  </si>
  <si>
    <t>МАТ.СВЕТ.095 — Longa 40 DI 29W/mt-4000K CRI 90 ROW Ceil WHI - Светильник</t>
  </si>
  <si>
    <t>МАТ.СВЕТ.096</t>
  </si>
  <si>
    <t>Longa 40 DI 29W/mt-4000K CRI 90 ROW Susp BLK - Светильник</t>
  </si>
  <si>
    <t>2205719_ BLK</t>
  </si>
  <si>
    <t>МАТ.СВЕТ.096 — Longa 40 DI 29W/mt-4000K CRI 90 ROW Susp BLK - Светильник</t>
  </si>
  <si>
    <t>МАТ.СВЕТ.097</t>
  </si>
  <si>
    <t>Longa 40 DI 29W/mt-4000K CRI 90 ROW Susp WHI - Светильник</t>
  </si>
  <si>
    <t>2205719_ WHI</t>
  </si>
  <si>
    <t>МАТ.СВЕТ.097 — Longa 40 DI 29W/mt-4000K CRI 90 ROW Susp WHI - Светильник</t>
  </si>
  <si>
    <t>МАТ.СВЕТ.098</t>
  </si>
  <si>
    <t>Longa 40 DI 29W/mt-4000K CRI 90 ROW WALL WHI - Светильник</t>
  </si>
  <si>
    <t>2205850_XXX_ WHI</t>
  </si>
  <si>
    <t>МАТ.СВЕТ.098 — Longa 40 DI 29W/mt-4000K CRI 90 ROW WALL WHI - Светильник</t>
  </si>
  <si>
    <t>МАТ.СВЕТ.099</t>
  </si>
  <si>
    <t>Longa 40 DI 33W-4000K CRI 90 M1200 Susp BLK - Светильник</t>
  </si>
  <si>
    <t>2205651_ BLK</t>
  </si>
  <si>
    <t>МАТ.СВЕТ.099 — Longa 40 DI 33W-4000K CRI 90 M1200 Susp BLK - Светильник</t>
  </si>
  <si>
    <t>МАТ.СВЕТ.100</t>
  </si>
  <si>
    <t>Longa 40 DI 33W-4000K CRI 90 M1200 Susp WHI - Светильник</t>
  </si>
  <si>
    <t>2205651_ WHI</t>
  </si>
  <si>
    <t>МАТ.СВЕТ.100 — Longa 40 DI 33W-4000K CRI 90 M1200 Susp WHI - Светильник</t>
  </si>
  <si>
    <t>МАТ.СВЕТ.101</t>
  </si>
  <si>
    <t>Longa 40 DI 33W-4000K CRI 90 M1200 WALL WHI - Светильник</t>
  </si>
  <si>
    <t>2205842_ WHI</t>
  </si>
  <si>
    <t>МАТ.СВЕТ.101 — Longa 40 DI 33W-4000K CRI 90 M1200 WALL WHI - Светильник</t>
  </si>
  <si>
    <t>МАТ.СВЕТ.102</t>
  </si>
  <si>
    <t>Longa 40 DI 39W-4000K CRI 90 M1400 Susp BLK, L=1392mm - Светильник</t>
  </si>
  <si>
    <t>2205670_1392_ BLK</t>
  </si>
  <si>
    <t>МАТ.СВЕТ.102 — Longa 40 DI 39W-4000K CRI 90 M1400 Susp BLK, L=1392mm - Светильник</t>
  </si>
  <si>
    <t>МАТ.СВЕТ.103</t>
  </si>
  <si>
    <t>2205670_1392_ WHI</t>
  </si>
  <si>
    <t>МАТ.СВЕТ.103 — Longa 40 DI 39W-4000K CRI 90 M1400 Susp WHI, L=1392mm - Светильник</t>
  </si>
  <si>
    <t>МАТ.СВЕТ.104</t>
  </si>
  <si>
    <t>Longa 40 DI 39W-4000K CRI 90 M1400 WALL BLK, L=1392mm - Светильник</t>
  </si>
  <si>
    <t>2205846_ BLK</t>
  </si>
  <si>
    <t>МАТ.СВЕТ.104 — Longa 40 DI 39W-4000K CRI 90 M1400 WALL BLK, L=1392mm - Светильник</t>
  </si>
  <si>
    <t>МАТ.СВЕТ.105</t>
  </si>
  <si>
    <t>Longa 40 DI 44W/mt-4000K CRI 90 2xL24 Reduced ROW Ceil BLK - Светильник</t>
  </si>
  <si>
    <t>2205601_ BLK</t>
  </si>
  <si>
    <t>МАТ.СВЕТ.105 — Longa 40 DI 44W/mt-4000K CRI 90 2xL24 Reduced ROW Ceil BLK - Светильник</t>
  </si>
  <si>
    <t>МАТ.СВЕТ.106</t>
  </si>
  <si>
    <t>Longa 40 DI 44W/mt-4000K CRI 90 2xL24 Reduced ROW Ceil WHI - Светильник</t>
  </si>
  <si>
    <t>2205601_ WHI</t>
  </si>
  <si>
    <t>МАТ.СВЕТ.106 — Longa 40 DI 44W/mt-4000K CRI 90 2xL24 Reduced ROW Ceil WHI - Светильник</t>
  </si>
  <si>
    <t>МАТ.СВЕТ.107</t>
  </si>
  <si>
    <t>Longa 40 DI 65W-4000K CRI 90 M1200 2xL24 Susp BLK - Светильник</t>
  </si>
  <si>
    <t>2205653_ BLK</t>
  </si>
  <si>
    <t>МАТ.СВЕТ.107 — Longa 40 DI 65W-4000K CRI 90 M1200 2xL24 Susp BLK - Светильник</t>
  </si>
  <si>
    <t>МАТ.СВЕТ.108</t>
  </si>
  <si>
    <t>Longa 40 DI 65W-4000K CRI 90 M1200 2xL24 Susp WHI - Светильник</t>
  </si>
  <si>
    <t>2205653_ WHI</t>
  </si>
  <si>
    <t>МАТ.СВЕТ.108 — Longa 40 DI 65W-4000K CRI 90 M1200 2xL24 Susp WHI - Светильник</t>
  </si>
  <si>
    <t>МАТ.СВЕТ.109</t>
  </si>
  <si>
    <t>Longa 40 DI ADJ 14W-4000K CRI 90 M500 WALL - Светильник</t>
  </si>
  <si>
    <t>2205820</t>
  </si>
  <si>
    <t>МАТ.СВЕТ.109 — Longa 40 DI ADJ 14W-4000K CRI 90 M500 WALL - Светильник</t>
  </si>
  <si>
    <t>МАТ.СВЕТ.110</t>
  </si>
  <si>
    <t>Longa 40 DI/IN 20W-4000K CRI 90 M700 270mA WALL RAL3028 - Светильник</t>
  </si>
  <si>
    <t>2205875_ Reduced RAL3028</t>
  </si>
  <si>
    <t>МАТ.СВЕТ.110 — Longa 40 DI/IN 20W-4000K CRI 90 M700 270mA WALL RAL3028 - Светильник</t>
  </si>
  <si>
    <t>МАТ.СВЕТ.111</t>
  </si>
  <si>
    <t>Longa 40 DI/IN M1200 39W-4000K CRI 90 One head Floor (Switch PUSH dimmer function) BLK - Светильник</t>
  </si>
  <si>
    <t>2205810_ BLK</t>
  </si>
  <si>
    <t>МАТ.СВЕТ.111 — Longa 40 DI/IN M1200 39W-4000K CRI 90 One head Floor (Switch PUSH dimmer function) BLK - Светильник</t>
  </si>
  <si>
    <t>МАТ.СВЕТ.112</t>
  </si>
  <si>
    <t>Longa 40 DI/IN M1200 39W-4000K CRI 90 One head Floor (Switch PUSH dimmer function) WHI - Светильник</t>
  </si>
  <si>
    <t>2205810_ WHI</t>
  </si>
  <si>
    <t>МАТ.СВЕТ.112 — Longa 40 DI/IN M1200 39W-4000K CRI 90 One head Floor (Switch PUSH dimmer function) WHI - Светильник</t>
  </si>
  <si>
    <t>МАТ.СВЕТ.113</t>
  </si>
  <si>
    <t>Longa 40 DI_IN 33W-4000K CRI 90 M1200 270mA WALL RAL3028 - Светильник</t>
  </si>
  <si>
    <t>2205883_Reduced RAL3028</t>
  </si>
  <si>
    <t>МАТ.СВЕТ.113 — Longa 40 DI_IN 33W-4000K CRI 90 M1200 270mA WALL RAL3028 - Светильник</t>
  </si>
  <si>
    <t>МАТ.СВЕТ.114</t>
  </si>
  <si>
    <t>Longa 40.3D` - Соединие 3D`</t>
  </si>
  <si>
    <t>1400388</t>
  </si>
  <si>
    <t>МАТ.СВЕТ.114 — Longa 40.3D` - Соединие 3D`</t>
  </si>
  <si>
    <t>МАТ.СВЕТ.115</t>
  </si>
  <si>
    <t>Longa 40.90⁰ - Соединение угловое 90⁰, подключен к магистральному линейному светильнику на заводе</t>
  </si>
  <si>
    <t>1401627</t>
  </si>
  <si>
    <t>МАТ.СВЕТ.115 — Longa 40.90⁰ - Соединение угловое 90⁰, подключен к магистральному линейному светильнику на заводе</t>
  </si>
  <si>
    <t>МАТ.СВЕТ.116</t>
  </si>
  <si>
    <t>Longa 40/50.VAR` - Соединение угловое ХХ`, подключен к магистральному светильнику на заводе</t>
  </si>
  <si>
    <t>1401701</t>
  </si>
  <si>
    <t>МАТ.СВЕТ.116 — Longa 40/50.VAR` - Соединение угловое ХХ`, подключен к магистральному светильнику на заводе</t>
  </si>
  <si>
    <t>МАТ.СВЕТ.117</t>
  </si>
  <si>
    <t>Longa 61 15W/mt-4000K CRI 90 MP 175mA ROW Susp BLK - Светильник</t>
  </si>
  <si>
    <t>2206002_ BLK</t>
  </si>
  <si>
    <t>МАТ.СВЕТ.117 — Longa 61 15W/mt-4000K CRI 90 MP 175mA ROW Susp BLK - Светильник</t>
  </si>
  <si>
    <t>МАТ.СВЕТ.118</t>
  </si>
  <si>
    <t>Longa 61 15W/mt-4000K CRI 90 MP 175mA ROW Susp WHI - Светильник</t>
  </si>
  <si>
    <t>2206002_ WHI</t>
  </si>
  <si>
    <t>МАТ.СВЕТ.118 — Longa 61 15W/mt-4000K CRI 90 MP 175mA ROW Susp WHI - Светильник</t>
  </si>
  <si>
    <t>МАТ.СВЕТ.119</t>
  </si>
  <si>
    <t>Longa 61 22W/mt-4000K CRI 90 MP 270mA ROW Ceil BLK, L=XXXXmm - Светильник потолочный. Предусмотреть выход кабеля сбоку</t>
  </si>
  <si>
    <t>2205944_XXXX_ BLK</t>
  </si>
  <si>
    <t>МАТ.СВЕТ.119 — Longa 61 22W/mt-4000K CRI 90 MP 270mA ROW Ceil BLK, L=XXXXmm - Светильник потолочный. Предусмотреть выход кабеля сбоку</t>
  </si>
  <si>
    <t>МАТ.СВЕТ.120</t>
  </si>
  <si>
    <t>Longa 61 22W/mt-4000K CRI 90 MP 270mA ROW Ceil WHI, L=XXXXmm - Светильник потолочный. Предусмотреть выход кабеля сбоку</t>
  </si>
  <si>
    <t>2205944_XXXX_ WHI</t>
  </si>
  <si>
    <t>МАТ.СВЕТ.120 — Longa 61 22W/mt-4000K CRI 90 MP 270mA ROW Ceil WHI, L=XXXXmm - Светильник потолочный. Предусмотреть выход кабеля сбоку</t>
  </si>
  <si>
    <t>МАТ.СВЕТ.121</t>
  </si>
  <si>
    <t>Longa 61 25W-4000K CRI 90 MP 270mA M1200 Susp BLK - Светильник</t>
  </si>
  <si>
    <t>2205976_ BLK</t>
  </si>
  <si>
    <t>МАТ.СВЕТ.121 — Longa 61 25W-4000K CRI 90 MP 270mA M1200 Susp BLK - Светильник</t>
  </si>
  <si>
    <t>МАТ.СВЕТ.122</t>
  </si>
  <si>
    <t>Longa 61 25W-4000K CRI 90 MP 270mA M1200 Susp WHI - Светильник</t>
  </si>
  <si>
    <t>2205976_ WHI</t>
  </si>
  <si>
    <t>МАТ.СВЕТ.122 — Longa 61 25W-4000K CRI 90 MP 270mA M1200 Susp WHI - Светильник</t>
  </si>
  <si>
    <t>МАТ.СВЕТ.123</t>
  </si>
  <si>
    <t>2205970_ BLK</t>
  </si>
  <si>
    <t>МАТ.СВЕТ.123 — Longa 61 35W-4000K CRI 90 MP M1200 Susp BLK - Светильник</t>
  </si>
  <si>
    <t>МАТ.СВЕТ.124</t>
  </si>
  <si>
    <t>Longa 61 35W-4000K CRI 90 MP M1200 Susp WHI - Светильник</t>
  </si>
  <si>
    <t>2205970_ WHI</t>
  </si>
  <si>
    <t>МАТ.СВЕТ.124 — Longa 61 35W-4000K CRI 90 MP M1200 Susp WHI - Светильник</t>
  </si>
  <si>
    <t>МАТ.СВЕТ.125</t>
  </si>
  <si>
    <t>Longa 61 37W-4000K CRI 90 390mA MP M1200 Susp BLK - Светильник</t>
  </si>
  <si>
    <t>2205971_ BLK</t>
  </si>
  <si>
    <t>МАТ.СВЕТ.125 — Longa 61 37W-4000K CRI 90 390mA MP M1200 Susp BLK - Светильник</t>
  </si>
  <si>
    <t>МАТ.СВЕТ.126</t>
  </si>
  <si>
    <t>Longa 61 37W-4000K CRI 90 390mA MP M1200 Susp WHI - Светильник</t>
  </si>
  <si>
    <t>2205971_ WHI</t>
  </si>
  <si>
    <t>МАТ.СВЕТ.126 — Longa 61 37W-4000K CRI 90 390mA MP M1200 Susp WHI - Светильник</t>
  </si>
  <si>
    <t>МАТ.СВЕТ.127</t>
  </si>
  <si>
    <t>Longa 61 46W-4000K CRI 90 MP 2xL24 270mA M1200 Susp BLK - Светильник</t>
  </si>
  <si>
    <t>2205973_ BLK</t>
  </si>
  <si>
    <t>МАТ.СВЕТ.127 — Longa 61 46W-4000K CRI 90 MP 2xL24 270mA M1200 Susp BLK - Светильник</t>
  </si>
  <si>
    <t>МАТ.СВЕТ.128</t>
  </si>
  <si>
    <t>Longa 61 46W-4000K CRI 90 MP 2xL24 270mA M1200 Susp WHI - Светильник</t>
  </si>
  <si>
    <t>2205973_ WHI</t>
  </si>
  <si>
    <t>МАТ.СВЕТ.128 — Longa 61 46W-4000K CRI 90 MP 2xL24 270mA M1200 Susp WHI - Светильник</t>
  </si>
  <si>
    <t>МАТ.СВЕТ.129</t>
  </si>
  <si>
    <t>Longa 61/71.U-kit - Крепёж в потолок 1 шт.</t>
  </si>
  <si>
    <t>1400131</t>
  </si>
  <si>
    <t>МАТ.СВЕТ.129 — Longa 61/71.U-kit - Крепёж в потолок 1 шт.</t>
  </si>
  <si>
    <t>МАТ.СВЕТ.130</t>
  </si>
  <si>
    <t>МАТ.СВЕТ.130 — Longa 61/71.U-kit - Крепёж в потолок 1 шт.</t>
  </si>
  <si>
    <t>МАТ.СВЕТ.131</t>
  </si>
  <si>
    <t>Longa 71 39W-4000K CRI 90 MP M1400 Recess WHI - Светильник</t>
  </si>
  <si>
    <t>2206099_ WHI</t>
  </si>
  <si>
    <t>МАТ.СВЕТ.131 — Longa 71 39W-4000K CRI 90 MP M1400 Recess WHI - Светильник</t>
  </si>
  <si>
    <t>МАТ.СВЕТ.132</t>
  </si>
  <si>
    <t>Longa 71 45W-4000K CRI 90 MP ROW Recess WHI - Светильник</t>
  </si>
  <si>
    <t>2206113_ WHI</t>
  </si>
  <si>
    <t>МАТ.СВЕТ.132 — Longa 71 45W-4000K CRI 90 MP ROW Recess WHI - Светильник</t>
  </si>
  <si>
    <t>МАТ.СВЕТ.133</t>
  </si>
  <si>
    <t>MICA D190 14W-4000K CRI 90 Recess MP ECO BLK - Светильник</t>
  </si>
  <si>
    <t>2206137_ BLK</t>
  </si>
  <si>
    <t>МАТ.СВЕТ.133 — MICA D190 14W-4000K CRI 90 Recess MP ECO BLK - Светильник</t>
  </si>
  <si>
    <t>МАТ.СВЕТ.134</t>
  </si>
  <si>
    <t>2206137_ WHI</t>
  </si>
  <si>
    <t>МАТ.СВЕТ.134 — MICA D190 14W-4000K CRI 90 Recess MP ECO WHI - Светильник</t>
  </si>
  <si>
    <t>МАТ.СВЕТ.135</t>
  </si>
  <si>
    <t>MICA System Base Kit, ROW Susp BLK, L=XXXXmm - База</t>
  </si>
  <si>
    <t>2100369_XXXX BLK</t>
  </si>
  <si>
    <t>МАТ.СВЕТ.135 — MICA System Base Kit, ROW Susp BLK, L=XXXXmm - База</t>
  </si>
  <si>
    <t>МАТ.СВЕТ.136</t>
  </si>
  <si>
    <t>MICA System D330 27W-4000K CRI 90 MP ECO BLK - Светильник</t>
  </si>
  <si>
    <t>2206251 BLK</t>
  </si>
  <si>
    <t>МАТ.СВЕТ.136 — MICA System D330 27W-4000K CRI 90 MP ECO BLK - Светильник</t>
  </si>
  <si>
    <t>МАТ.СВЕТ.137</t>
  </si>
  <si>
    <t>Nuby 600x600 LongPrism T15-24 20W-4000K CRI 90 M600 175mA Recess - Светильник</t>
  </si>
  <si>
    <t>2206306_LOW_ WHI</t>
  </si>
  <si>
    <t>МАТ.СВЕТ.137 — Nuby 600x600 LongPrism T15-24 20W-4000K CRI 90 M600 175mA Recess - Светильник</t>
  </si>
  <si>
    <t>МАТ.СВЕТ.138</t>
  </si>
  <si>
    <t>Nuby 600x600 LongPrism T15-24 30W-4000K CRI 90 M600 270mA Recess - Светильник</t>
  </si>
  <si>
    <t>2206306_Reduced_ WHI</t>
  </si>
  <si>
    <t>МАТ.СВЕТ.138 — Nuby 600x600 LongPrism T15-24 30W-4000K CRI 90 M600 270mA Recess - Светильник</t>
  </si>
  <si>
    <t>МАТ.СВЕТ.139</t>
  </si>
  <si>
    <t>Nuby 600x600 LongPrism T15-24 39W-4000K CRI 90 M600 Recess - Светильник</t>
  </si>
  <si>
    <t>2206306_ WHI</t>
  </si>
  <si>
    <t>МАТ.СВЕТ.139 — Nuby 600x600 LongPrism T15-24 39W-4000K CRI 90 M600 Recess - Светильник</t>
  </si>
  <si>
    <t>МАТ.СВЕТ.140</t>
  </si>
  <si>
    <t>O-Brant D600, L1750 25W-4000K CRI 90 Susp BLK - Светильник</t>
  </si>
  <si>
    <t>2503502_ BLK</t>
  </si>
  <si>
    <t>МАТ.СВЕТ.140 — O-Brant D600, L1750 25W-4000K CRI 90 Susp BLK - Светильник</t>
  </si>
  <si>
    <t>МАТ.СВЕТ.141</t>
  </si>
  <si>
    <t>ORTUS SORES 1000 св-к подвесной/накладной LED 76W/4000K (КРАСНЫЙ RAL 3020 ШАГРЕНЬ)</t>
  </si>
  <si>
    <t>Prof-LED</t>
  </si>
  <si>
    <t>МАТ.СВЕТ.141 — ORTUS SORES 1000 св-к подвесной/накладной LED 76W/4000K (КРАСНЫЙ RAL 3020 ШАГРЕНЬ)</t>
  </si>
  <si>
    <t>МАТ.СВЕТ.142</t>
  </si>
  <si>
    <t>ORTUS SORES 1000 св-к подвесной/накладной LED 76W/4000K DIMM 0-10V (КРАСНЫЙ RAL 3020 ШАГРЕНЬ)</t>
  </si>
  <si>
    <t>МАТ.СВЕТ.142 — ORTUS SORES 1000 св-к подвесной/накладной LED 76W/4000K DIMM 0-10V (КРАСНЫЙ RAL 3020 ШАГРЕНЬ)</t>
  </si>
  <si>
    <t>МАТ.СВЕТ.143</t>
  </si>
  <si>
    <t>ORTUS SORES 1500 св-к подвесной LED 124W/4000K DIMM 0-10V (КРАСНЫЙ RAL 3020 ШАГРЕНЬ)</t>
  </si>
  <si>
    <t>МАТ.СВЕТ.143 — ORTUS SORES 1500 св-к подвесной LED 124W/4000K DIMM 0-10V (КРАСНЫЙ RAL 3020 ШАГРЕНЬ)</t>
  </si>
  <si>
    <t>МАТ.СВЕТ.144</t>
  </si>
  <si>
    <t>ORTUS SORES 2000 св-к подвесной LED 192W/4000K DIMM 0-10V (КРАСНЫЙ RAL 3020 ШАГРЕНЬ)</t>
  </si>
  <si>
    <t>МАТ.СВЕТ.144 — ORTUS SORES 2000 св-к подвесной LED 192W/4000K DIMM 0-10V (КРАСНЫЙ RAL 3020 ШАГРЕНЬ)</t>
  </si>
  <si>
    <t>МАТ.СВЕТ.145</t>
  </si>
  <si>
    <t>ORTUS SORES 2500 св-к подвесной LED 285W/4000K DIMM 0-10V (КРАСНЫЙ RAL 3020 ШАГРЕНЬ)</t>
  </si>
  <si>
    <t>МАТ.СВЕТ.145 — ORTUS SORES 2500 св-к подвесной LED 285W/4000K DIMM 0-10V (КРАСНЫЙ RAL 3020 ШАГРЕНЬ)</t>
  </si>
  <si>
    <t>МАТ.СВЕТ.146</t>
  </si>
  <si>
    <t>ORTUS SORES 650 св-к накладной LED 53W/4000K (СЕРЫЙ RAL 7047 МАТОВЫЙ)</t>
  </si>
  <si>
    <t>МАТ.СВЕТ.146 — ORTUS SORES 650 св-к накладной LED 53W/4000K (СЕРЫЙ RAL 7047 МАТОВЫЙ)</t>
  </si>
  <si>
    <t>МАТ.СВЕТ.147</t>
  </si>
  <si>
    <t>ORTUS SORES 650 св-к подвесной LED 53W/4000K подвес 1,5м (СЕРЫЙ RAL 7047 МАТОВЫЙ)</t>
  </si>
  <si>
    <t>МАТ.СВЕТ.147 — ORTUS SORES 650 св-к подвесной LED 53W/4000K подвес 1,5м (СЕРЫЙ RAL 7047 МАТОВЫЙ)</t>
  </si>
  <si>
    <t>МАТ.СВЕТ.148</t>
  </si>
  <si>
    <t>PLS-36-2 Соединитель T-образный для шинопровода, черный</t>
  </si>
  <si>
    <t>МАТ.СВЕТ.148 — PLS-36-2 Соединитель T-образный для шинопровода, черный</t>
  </si>
  <si>
    <t>МАТ.СВЕТ.149</t>
  </si>
  <si>
    <t>PLS-37-2 Соединитель T-образный для шинопровода, черный</t>
  </si>
  <si>
    <t>МАТ.СВЕТ.149 — PLS-37-2 Соединитель T-образный для шинопровода, черный</t>
  </si>
  <si>
    <t>МАТ.СВЕТ.150</t>
  </si>
  <si>
    <t>PLS-38-2 Соединитель X-образный для шинопровода, черный</t>
  </si>
  <si>
    <t>МАТ.СВЕТ.150 — PLS-38-2 Соединитель X-образный для шинопровода, черный</t>
  </si>
  <si>
    <t>МАТ.СВЕТ.151</t>
  </si>
  <si>
    <t>PLS-39-2 Соединитель T-образный для шинопровода, черный</t>
  </si>
  <si>
    <t>МАТ.СВЕТ.151 — PLS-39-2 Соединитель T-образный для шинопровода, черный</t>
  </si>
  <si>
    <t>МАТ.СВЕТ.152</t>
  </si>
  <si>
    <t>PLS-40-2 Соединитель T-образный для шинопровода, черный</t>
  </si>
  <si>
    <t>МАТ.СВЕТ.152 — PLS-40-2 Соединитель T-образный для шинопровода, черный</t>
  </si>
  <si>
    <t>МАТ.СВЕТ.153</t>
  </si>
  <si>
    <t>Panel 7W -4000K 500mm w/o diffuser w/reflector 400mm Ceil - Светильник без рассеивателя, без отражателя</t>
  </si>
  <si>
    <t>2409716</t>
  </si>
  <si>
    <t>МАТ.СВЕТ.153 — Panel 7W -4000K 500mm w/o diffuser w/reflector 400mm Ceil - Светильник без рассеивателя, без отражателя</t>
  </si>
  <si>
    <t>МАТ.СВЕТ.154</t>
  </si>
  <si>
    <t>Q45 Track Lens 36` 8W-4000K CRI 90 - Прожектор</t>
  </si>
  <si>
    <t>2200794_ BLK</t>
  </si>
  <si>
    <t>МАТ.СВЕТ.154 — Q45 Track Lens 36` 8W-4000K CRI 90 - Прожектор</t>
  </si>
  <si>
    <t>МАТ.СВЕТ.155</t>
  </si>
  <si>
    <t>Q70 Track Ref 38` 8W-4000K CRI 90 BLK - Светильник</t>
  </si>
  <si>
    <t>2407348_ BLK</t>
  </si>
  <si>
    <t>МАТ.СВЕТ.155 — Q70 Track Ref 38` 8W-4000K CRI 90 BLK - Светильник</t>
  </si>
  <si>
    <t>МАТ.СВЕТ.156</t>
  </si>
  <si>
    <t>Q70 Track Ref 45` 8W-4000K CRI 90_BLK - Светильник</t>
  </si>
  <si>
    <t>2407366_ BLK</t>
  </si>
  <si>
    <t>МАТ.СВЕТ.156 — Q70 Track Ref 45` 8W-4000K CRI 90_BLK - Светильник</t>
  </si>
  <si>
    <t>МАТ.СВЕТ.157</t>
  </si>
  <si>
    <t>Quark AIR HE D30 Lens 10` 2W-4000K CRI 90 H200 Susp BLK - Светильник</t>
  </si>
  <si>
    <t>2503487 BLK</t>
  </si>
  <si>
    <t>МАТ.СВЕТ.157 — Quark AIR HE D30 Lens 10` 2W-4000K CRI 90 H200 Susp BLK - Светильник</t>
  </si>
  <si>
    <t>МАТ.СВЕТ.158</t>
  </si>
  <si>
    <t>Quark AIR HE D30 Lens 10` 2W-4000K CRI 90 H300 Susp - Светильник</t>
  </si>
  <si>
    <t>2503488</t>
  </si>
  <si>
    <t>МАТ.СВЕТ.158 — Quark AIR HE D30 Lens 10` 2W-4000K CRI 90 H300 Susp - Светильник</t>
  </si>
  <si>
    <t>МАТ.СВЕТ.159</t>
  </si>
  <si>
    <t>Quark AIR HE D30 Lens 10` 2W-4000K CRI 90 H500 Susp BLK - Светильник</t>
  </si>
  <si>
    <t>2503489 BLK</t>
  </si>
  <si>
    <t>МАТ.СВЕТ.159 — Quark AIR HE D30 Lens 10` 2W-4000K CRI 90 H500 Susp BLK - Светильник</t>
  </si>
  <si>
    <t>МАТ.СВЕТ.160</t>
  </si>
  <si>
    <t>Quark AIR HE D30 Lens 10` 2W-4000K CRI 90 H500 Susp Gold - Светильник</t>
  </si>
  <si>
    <t>2503489 Gold</t>
  </si>
  <si>
    <t>МАТ.СВЕТ.160 — Quark AIR HE D30 Lens 10` 2W-4000K CRI 90 H500 Susp Gold - Светильник</t>
  </si>
  <si>
    <t>МАТ.СВЕТ.161</t>
  </si>
  <si>
    <t>Quark AIR HE D45 MP 8W-4000K CRI 90 H110 Susp BLK - Светильник</t>
  </si>
  <si>
    <t>2503425_ BLK</t>
  </si>
  <si>
    <t>МАТ.СВЕТ.161 — Quark AIR HE D45 MP 8W-4000K CRI 90 H110 Susp BLK - Светильник</t>
  </si>
  <si>
    <t>МАТ.СВЕТ.162</t>
  </si>
  <si>
    <t>Quark AIR HE MP D30 8W-4000K CRI 90 H420 Susp BLK - Светильник</t>
  </si>
  <si>
    <t>2201251_ BLK</t>
  </si>
  <si>
    <t>МАТ.СВЕТ.162 — Quark AIR HE MP D30 8W-4000K CRI 90 H420 Susp BLK - Светильник</t>
  </si>
  <si>
    <t>МАТ.СВЕТ.163</t>
  </si>
  <si>
    <t>Quark AIR HE MP D30 8W-4000K CRI 90 H420 Susp WHI - Светильник</t>
  </si>
  <si>
    <t>МАТ.СВЕТ.163 — Quark AIR HE MP D30 8W-4000K CRI 90 H420 Susp WHI - Светильник</t>
  </si>
  <si>
    <t>МАТ.СВЕТ.164</t>
  </si>
  <si>
    <t>Quark AIR HE MP D70 12W-4000K CRI 90 H210 Susp BLK - Светильник</t>
  </si>
  <si>
    <t>2201293_ BLK</t>
  </si>
  <si>
    <t>МАТ.СВЕТ.164 — Quark AIR HE MP D70 12W-4000K CRI 90 H210 Susp BLK - Светильник</t>
  </si>
  <si>
    <t>МАТ.СВЕТ.165</t>
  </si>
  <si>
    <t>Quark AIR HE MP D70 12W-4000K CRI 90 H210 Susp WHI - Светильник</t>
  </si>
  <si>
    <t>2201293_ WHI</t>
  </si>
  <si>
    <t>МАТ.СВЕТ.165 — Quark AIR HE MP D70 12W-4000K CRI 90 H210 Susp WHI - Светильник</t>
  </si>
  <si>
    <t>МАТ.СВЕТ.166</t>
  </si>
  <si>
    <t>Quark AIR IT MP D30 8W-4000K CRI 90 H420 Susp BLK - Светильник (драйвер выносной)</t>
  </si>
  <si>
    <t>2201739_ BLK</t>
  </si>
  <si>
    <t>МАТ.СВЕТ.166 — Quark AIR IT MP D30 8W-4000K CRI 90 H420 Susp BLK - Светильник (драйвер выносной)</t>
  </si>
  <si>
    <t>МАТ.СВЕТ.167</t>
  </si>
  <si>
    <t>Quark AIR IT MP D30 8W-4000K CRI 90 H420 Susp WHI - Светильник (драйвер выносной)</t>
  </si>
  <si>
    <t>2201739_ WHI</t>
  </si>
  <si>
    <t>МАТ.СВЕТ.167 — Quark AIR IT MP D30 8W-4000K CRI 90 H420 Susp WHI - Светильник (драйвер выносной)</t>
  </si>
  <si>
    <t>МАТ.СВЕТ.168</t>
  </si>
  <si>
    <t>Quark AIR IT MP D45 12W-4000K CRI 90 H210 Susp BLK - Светильник + NECK Q45 IT - Декоративная насадка</t>
  </si>
  <si>
    <t>2201786_ BLK + 2200018</t>
  </si>
  <si>
    <t>МАТ.СВЕТ.168 — Quark AIR IT MP D45 12W-4000K CRI 90 H210 Susp BLK - Светильник + NECK Q45 IT - Декоративная насадка</t>
  </si>
  <si>
    <t>МАТ.СВЕТ.169</t>
  </si>
  <si>
    <t>Quark AIR IT MP D45 12W-4000K CRI 90 H210 Susp WHI - Светильник + NECK Q45 IT - Декоративная насадка</t>
  </si>
  <si>
    <t>2201786_ WHI + 2200018</t>
  </si>
  <si>
    <t>МАТ.СВЕТ.169 — Quark AIR IT MP D45 12W-4000K CRI 90 H210 Susp WHI - Светильник + NECK Q45 IT - Декоративная насадка</t>
  </si>
  <si>
    <t>МАТ.СВЕТ.170</t>
  </si>
  <si>
    <t>Quark AIR IT MP D70 12W-4000K CRI 90 H210 Susp BLK - Светильник</t>
  </si>
  <si>
    <t>2201857_ BLK</t>
  </si>
  <si>
    <t>МАТ.СВЕТ.170 — Quark AIR IT MP D70 12W-4000K CRI 90 H210 Susp BLK - Светильник</t>
  </si>
  <si>
    <t>МАТ.СВЕТ.171</t>
  </si>
  <si>
    <t>Quark AIR IT MP D70 12W-4000K CRI 90 H210 Susp WHI - Светильник</t>
  </si>
  <si>
    <t>2201857_ WHI</t>
  </si>
  <si>
    <t>МАТ.СВЕТ.171 — Quark AIR IT MP D70 12W-4000K CRI 90 H210 Susp WHI - Светильник</t>
  </si>
  <si>
    <t>МАТ.СВЕТ.172</t>
  </si>
  <si>
    <t>2201851_ BLK</t>
  </si>
  <si>
    <t>МАТ.СВЕТ.172 — Quark AIR IT MP D70 8W-4000K CRI 90 H210 Susp BLK - Светильник</t>
  </si>
  <si>
    <t>МАТ.СВЕТ.173</t>
  </si>
  <si>
    <t>Quark AIR IT MP D70 8W-4000K CRI 90 H210 Susp WHI - Светильник</t>
  </si>
  <si>
    <t>2201851_ WHI</t>
  </si>
  <si>
    <t>МАТ.СВЕТ.173 — Quark AIR IT MP D70 8W-4000K CRI 90 H210 Susp WHI - Светильник</t>
  </si>
  <si>
    <t>МАТ.СВЕТ.174</t>
  </si>
  <si>
    <t>Quark AIR IT Ref 45` D70 6W-4000K CRI 90 H210 Susp BLK - Светильник</t>
  </si>
  <si>
    <t>2407161_ BLK</t>
  </si>
  <si>
    <t>МАТ.СВЕТ.174 — Quark AIR IT Ref 45` D70 6W-4000K CRI 90 H210 Susp BLK - Светильник</t>
  </si>
  <si>
    <t>МАТ.СВЕТ.175</t>
  </si>
  <si>
    <t>Quark AIR IT Ref 45` D70 6W-4000K CRI 90 H210 Susp WHI - Светильник</t>
  </si>
  <si>
    <t>2407161_ WHI</t>
  </si>
  <si>
    <t>МАТ.СВЕТ.175 — Quark AIR IT Ref 45` D70 6W-4000K CRI 90 H210 Susp WHI - Светильник</t>
  </si>
  <si>
    <t>МАТ.СВЕТ.176</t>
  </si>
  <si>
    <t>Quark AIR IT Ref 45` D70 8W-4000K CRI 90 H210 Susp BLK - Светильник</t>
  </si>
  <si>
    <t>2406751_ BLK</t>
  </si>
  <si>
    <t>МАТ.СВЕТ.176 — Quark AIR IT Ref 45` D70 8W-4000K CRI 90 H210 Susp BLK - Светильник</t>
  </si>
  <si>
    <t>МАТ.СВЕТ.177</t>
  </si>
  <si>
    <t>Quark AIR IT Ref 45` D70 8W-4000K CRI 90 H210 Susp WHI - Светильник</t>
  </si>
  <si>
    <t>2406751_ WHI</t>
  </si>
  <si>
    <t>МАТ.СВЕТ.177 — Quark AIR IT Ref 45` D70 8W-4000K CRI 90 H210 Susp WHI - Светильник</t>
  </si>
  <si>
    <t>МАТ.СВЕТ.178</t>
  </si>
  <si>
    <t>Quark AIR IT Ref 60` D70 12W-4000K CRI 90 H210 Susp BLK - Светильник</t>
  </si>
  <si>
    <t>2406768_ BLK</t>
  </si>
  <si>
    <t>МАТ.СВЕТ.178 — Quark AIR IT Ref 60` D70 12W-4000K CRI 90 H210 Susp BLK - Светильник</t>
  </si>
  <si>
    <t>МАТ.СВЕТ.179</t>
  </si>
  <si>
    <t>Quark AIR IT Ref 60` D70 12W-4000K CRI 90 H210 Susp WHI - Светильник</t>
  </si>
  <si>
    <t>2406768_ WHI</t>
  </si>
  <si>
    <t>МАТ.СВЕТ.179 — Quark AIR IT Ref 60` D70 12W-4000K CRI 90 H210 Susp WHI - Светильник</t>
  </si>
  <si>
    <t>МАТ.СВЕТ.180</t>
  </si>
  <si>
    <t>Quark AIR IT Ref 60` D70 6W-4000K CRI 90 H210 Susp BLK - Светильник</t>
  </si>
  <si>
    <t>2407155_ BLK</t>
  </si>
  <si>
    <t>МАТ.СВЕТ.180 — Quark AIR IT Ref 60` D70 6W-4000K CRI 90 H210 Susp BLK - Светильник</t>
  </si>
  <si>
    <t>МАТ.СВЕТ.181</t>
  </si>
  <si>
    <t>Quark AIR IT Ref 60` D70 6W-4000K CRI 90 H210 Susp WHI - Светильник</t>
  </si>
  <si>
    <t>2407155_ WHI</t>
  </si>
  <si>
    <t>МАТ.СВЕТ.181 — Quark AIR IT Ref 60` D70 6W-4000K CRI 90 H210 Susp WHI - Светильник</t>
  </si>
  <si>
    <t>МАТ.СВЕТ.182</t>
  </si>
  <si>
    <t>Quark AIR IT Ref 60` D70 8W-4000K CRI 90 H210 Susp BLK - Светильник</t>
  </si>
  <si>
    <t>2406762_ BLK</t>
  </si>
  <si>
    <t>МАТ.СВЕТ.182 — Quark AIR IT Ref 60` D70 8W-4000K CRI 90 H210 Susp BLK - Светильник</t>
  </si>
  <si>
    <t>МАТ.СВЕТ.183</t>
  </si>
  <si>
    <t>Quark AIR IT Ref 60` D70 8W-4000K CRI 90 H210 Susp WHI - Светильник</t>
  </si>
  <si>
    <t>2406762_ WHI</t>
  </si>
  <si>
    <t>МАТ.СВЕТ.183 — Quark AIR IT Ref 60` D70 8W-4000K CRI 90 H210 Susp WHI - Светильник</t>
  </si>
  <si>
    <t>МАТ.СВЕТ.184</t>
  </si>
  <si>
    <t>Quark IN HE D70 MP 8W-4000K CRI 90 Recess BLK - Светильник</t>
  </si>
  <si>
    <t>2202126_ BLK</t>
  </si>
  <si>
    <t>МАТ.СВЕТ.184 — Quark IN HE D70 MP 8W-4000K CRI 90 Recess BLK - Светильник</t>
  </si>
  <si>
    <t>МАТ.СВЕТ.185</t>
  </si>
  <si>
    <t>Quark IN HE D70 MP 8W-4000K CRI 90 Recess IP44 BLK - Светильник</t>
  </si>
  <si>
    <t>2202126 IP44_ BLK</t>
  </si>
  <si>
    <t>МАТ.СВЕТ.185 — Quark IN HE D70 MP 8W-4000K CRI 90 Recess IP44 BLK - Светильник</t>
  </si>
  <si>
    <t>МАТ.СВЕТ.186</t>
  </si>
  <si>
    <t>Quark IN HE D70 MP 8W-4000K CRI 90 Recess IP44 WHI - Светильник</t>
  </si>
  <si>
    <t>2202126 IP44_ WHI</t>
  </si>
  <si>
    <t>МАТ.СВЕТ.186 — Quark IN HE D70 MP 8W-4000K CRI 90 Recess IP44 WHI - Светильник</t>
  </si>
  <si>
    <t>МАТ.СВЕТ.187</t>
  </si>
  <si>
    <t>Quark IN HE D70 MP 8W-4000K CRI 90 Recess WHI - Светильник</t>
  </si>
  <si>
    <t>2202126_ WHI</t>
  </si>
  <si>
    <t>МАТ.СВЕТ.187 — Quark IN HE D70 MP 8W-4000K CRI 90 Recess WHI - Светильник</t>
  </si>
  <si>
    <t>МАТ.СВЕТ.188</t>
  </si>
  <si>
    <t>Quark IN IT D70 REF 45` 6W-4000K CRI 90 Recess BLK - Светильник</t>
  </si>
  <si>
    <t>2407247_ BLK</t>
  </si>
  <si>
    <t>МАТ.СВЕТ.188 — Quark IN IT D70 REF 45` 6W-4000K CRI 90 Recess BLK - Светильник</t>
  </si>
  <si>
    <t>МАТ.СВЕТ.189</t>
  </si>
  <si>
    <t>Quark IN IT D70 REF 45` 6W-4000K CRI 90 Recess IP54 BLK - Светильник</t>
  </si>
  <si>
    <t>2407247_  IP54_ BLK</t>
  </si>
  <si>
    <t>МАТ.СВЕТ.189 — Quark IN IT D70 REF 45` 6W-4000K CRI 90 Recess IP54 BLK - Светильник</t>
  </si>
  <si>
    <t>МАТ.СВЕТ.190</t>
  </si>
  <si>
    <t>Quark IN IT D70 REF 45` 6W-4000K CRI 90 Recess IP54 WHI - Светильник</t>
  </si>
  <si>
    <t>2407247_  IP54_ WHI</t>
  </si>
  <si>
    <t>МАТ.СВЕТ.190 — Quark IN IT D70 REF 45` 6W-4000K CRI 90 Recess IP54 WHI - Светильник</t>
  </si>
  <si>
    <t>МАТ.СВЕТ.191</t>
  </si>
  <si>
    <t>Quark IN IT D70 REF 45` 6W-4000K CRI 90 Recess WHI - Светильник</t>
  </si>
  <si>
    <t>2407247_ WHI</t>
  </si>
  <si>
    <t>МАТ.СВЕТ.191 — Quark IN IT D70 REF 45` 6W-4000K CRI 90 Recess WHI - Светильник</t>
  </si>
  <si>
    <t>МАТ.СВЕТ.192</t>
  </si>
  <si>
    <t>Quark IN IT D70 REF 45` 8W-4000K CRI 90 Recess BLK - Светильник</t>
  </si>
  <si>
    <t>2400009_ BLK</t>
  </si>
  <si>
    <t>МАТ.СВЕТ.192 — Quark IN IT D70 REF 45` 8W-4000K CRI 90 Recess BLK - Светильник</t>
  </si>
  <si>
    <t>МАТ.СВЕТ.193</t>
  </si>
  <si>
    <t>Quark IN IT D70 REF 45` 8W-4000K CRI 90 Recess WHI - Светильник</t>
  </si>
  <si>
    <t>2400009_ WHI</t>
  </si>
  <si>
    <t>МАТ.СВЕТ.193 — Quark IN IT D70 REF 45` 8W-4000K CRI 90 Recess WHI - Светильник</t>
  </si>
  <si>
    <t>МАТ.СВЕТ.194</t>
  </si>
  <si>
    <t>Quark IN IT D70 REF 60` 12W-4000K CRI 90 Recess BLK - Светильник</t>
  </si>
  <si>
    <t>2400039_ BLK</t>
  </si>
  <si>
    <t>МАТ.СВЕТ.194 — Quark IN IT D70 REF 60` 12W-4000K CRI 90 Recess BLK - Светильник</t>
  </si>
  <si>
    <t>МАТ.СВЕТ.195</t>
  </si>
  <si>
    <t>Quark IN IT D70 REF 60` 12W-4000K CRI 90 Recess WHI - Светильник</t>
  </si>
  <si>
    <t>2400039_ WHI</t>
  </si>
  <si>
    <t>МАТ.СВЕТ.195 — Quark IN IT D70 REF 60` 12W-4000K CRI 90 Recess WHI - Светильник</t>
  </si>
  <si>
    <t>МАТ.СВЕТ.196</t>
  </si>
  <si>
    <t>Quark IN IT D70 REF 60` 6W-4000K CRI 90 Recess BLK - Светильник</t>
  </si>
  <si>
    <t>2408711_ BLK</t>
  </si>
  <si>
    <t>МАТ.СВЕТ.196 — Quark IN IT D70 REF 60` 6W-4000K CRI 90 Recess BLK - Светильник</t>
  </si>
  <si>
    <t>МАТ.СВЕТ.197</t>
  </si>
  <si>
    <t>Quark IN IT D70 REF 60` 6W-4000K CRI 90 Recess WHI - Светильник</t>
  </si>
  <si>
    <t>2408711_ WHI</t>
  </si>
  <si>
    <t>МАТ.СВЕТ.197 — Quark IN IT D70 REF 60` 6W-4000K CRI 90 Recess WHI - Светильник</t>
  </si>
  <si>
    <t>МАТ.СВЕТ.198</t>
  </si>
  <si>
    <t>Quark IN IT D70 REF 60` 8W-4000K CRI 90 Recess BLK - Светильник</t>
  </si>
  <si>
    <t>2400033_ BLK</t>
  </si>
  <si>
    <t>МАТ.СВЕТ.198 — Quark IN IT D70 REF 60` 8W-4000K CRI 90 Recess BLK - Светильник</t>
  </si>
  <si>
    <t>МАТ.СВЕТ.199</t>
  </si>
  <si>
    <t>Quark IN IT D70 REF 60` 8W-4000K CRI 90 Recess WHI - Светильник</t>
  </si>
  <si>
    <t>2400033_ WHI</t>
  </si>
  <si>
    <t>МАТ.СВЕТ.199 — Quark IN IT D70 REF 60` 8W-4000K CRI 90 Recess WHI - Светильник</t>
  </si>
  <si>
    <t>МАТ.СВЕТ.200</t>
  </si>
  <si>
    <t>Quark ON HE MP D30 8W-4000K CRI 90 H420 Ceil BLK - Светильник (драйвер выносной)</t>
  </si>
  <si>
    <t>2202635_ BLK</t>
  </si>
  <si>
    <t>МАТ.СВЕТ.200 — Quark ON HE MP D30 8W-4000K CRI 90 H420 Ceil BLK - Светильник (драйвер выносной)</t>
  </si>
  <si>
    <t>МАТ.СВЕТ.201</t>
  </si>
  <si>
    <t>Quark ON HE MP D30 8W-4000K CRI 90 H630 Ceil BLK - Светильник (драйвер выносной)</t>
  </si>
  <si>
    <t>2202647 BLK</t>
  </si>
  <si>
    <t>МАТ.СВЕТ.201 — Quark ON HE MP D30 8W-4000K CRI 90 H630 Ceil BLK - Светильник (драйвер выносной)</t>
  </si>
  <si>
    <t>МАТ.СВЕТ.202</t>
  </si>
  <si>
    <t>Quark ON IT D70 45` 8W-4000K CRI 90 H210 Ceil RAL3028 - Светильник</t>
  </si>
  <si>
    <t>2308932 RAL3028</t>
  </si>
  <si>
    <t>МАТ.СВЕТ.202 — Quark ON IT D70 45` 8W-4000K CRI 90 H210 Ceil RAL3028 - Светильник</t>
  </si>
  <si>
    <t>МАТ.СВЕТ.203</t>
  </si>
  <si>
    <t>Ray IN D1000 69W-4000K CRI 90 270mA Susp BLK - Светильник</t>
  </si>
  <si>
    <t>2206388_ Reduced BLK</t>
  </si>
  <si>
    <t>МАТ.СВЕТ.203 — Ray IN D1000 69W-4000K CRI 90 270mA Susp BLK - Светильник</t>
  </si>
  <si>
    <t>МАТ.СВЕТ.204</t>
  </si>
  <si>
    <t>Ray IN D1000 69W-4000K CRI 90 270mA Susp WHI - Светильник</t>
  </si>
  <si>
    <t>2206388_ Reduced WHI</t>
  </si>
  <si>
    <t>МАТ.СВЕТ.204 — Ray IN D1000 69W-4000K CRI 90 270mA Susp WHI - Светильник</t>
  </si>
  <si>
    <t>МАТ.СВЕТ.205</t>
  </si>
  <si>
    <t>Ray IN D750 69W-4000K CRI 90 Susp BLK - Светильник</t>
  </si>
  <si>
    <t>2206334_ BLK</t>
  </si>
  <si>
    <t>МАТ.СВЕТ.205 — Ray IN D750 69W-4000K CRI 90 Susp BLK - Светильник</t>
  </si>
  <si>
    <t>МАТ.СВЕТ.206</t>
  </si>
  <si>
    <t>Ray IN D750 69W-4000K CRI 90 Susp WHI - Светильник</t>
  </si>
  <si>
    <t>2206334_ WHI</t>
  </si>
  <si>
    <t>МАТ.СВЕТ.206 — Ray IN D750 69W-4000K CRI 90 Susp WHI - Светильник</t>
  </si>
  <si>
    <t>МАТ.СВЕТ.207</t>
  </si>
  <si>
    <t>Ray line 14W-4000K CRI 90 M500 TRACK BLK - Светильник на трек</t>
  </si>
  <si>
    <t>2206551_ BLK</t>
  </si>
  <si>
    <t>МАТ.СВЕТ.207 — Ray line 14W-4000K CRI 90 M500 TRACK BLK - Светильник на трек</t>
  </si>
  <si>
    <t>МАТ.СВЕТ.208</t>
  </si>
  <si>
    <t>Ray line 15W/mt-4000K CRI 90 ROW 175mA Susp BLK - Светильник</t>
  </si>
  <si>
    <t>2206542_ BLK</t>
  </si>
  <si>
    <t>МАТ.СВЕТ.208 — Ray line 15W/mt-4000K CRI 90 ROW 175mA Susp BLK - Светильник</t>
  </si>
  <si>
    <t>МАТ.СВЕТ.209</t>
  </si>
  <si>
    <t>Ray line 15W/mt-4000K CRI 90 ROW 175mA Susp WHI - Светильник</t>
  </si>
  <si>
    <t>2206542_ WHI</t>
  </si>
  <si>
    <t>МАТ.СВЕТ.209 — Ray line 15W/mt-4000K CRI 90 ROW 175mA Susp WHI - Светильник</t>
  </si>
  <si>
    <t>МАТ.СВЕТ.210</t>
  </si>
  <si>
    <t>Ray line 20W/mt-4000K CRI 90 ROW 270mA Susp BLK (драйвер выносной) - Светильник</t>
  </si>
  <si>
    <t>2206537_ BLK</t>
  </si>
  <si>
    <t>МАТ.СВЕТ.210 — Ray line 20W/mt-4000K CRI 90 ROW 270mA Susp BLK (драйвер выносной) - Светильник</t>
  </si>
  <si>
    <t>МАТ.СВЕТ.211</t>
  </si>
  <si>
    <t>2206541_ BLK</t>
  </si>
  <si>
    <t>МАТ.СВЕТ.211 — Ray line 20W/mt-4000K CRI 90 ROW 270mA Susp BLK (драйвер выносной) - Светильник</t>
  </si>
  <si>
    <t>МАТ.СВЕТ.212</t>
  </si>
  <si>
    <t>Ray line 20W/mt-4000K CRI 90 ROW 270mA Susp WHI (драйвер выносной) - Светильник</t>
  </si>
  <si>
    <t>2206537_ WHI</t>
  </si>
  <si>
    <t>МАТ.СВЕТ.212 — Ray line 20W/mt-4000K CRI 90 ROW 270mA Susp WHI (драйвер выносной) - Светильник</t>
  </si>
  <si>
    <t>МАТ.СВЕТ.213</t>
  </si>
  <si>
    <t>2206541_ WHI</t>
  </si>
  <si>
    <t>МАТ.СВЕТ.213 — Ray line 20W/mt-4000K CRI 90 ROW 270mA Susp WHI (драйвер выносной) - Светильник</t>
  </si>
  <si>
    <t>МАТ.СВЕТ.214</t>
  </si>
  <si>
    <t>Ray line 26W-4000K CRI 90 M900 Susp BLK - Светильник</t>
  </si>
  <si>
    <t>2206502_ BLK</t>
  </si>
  <si>
    <t>МАТ.СВЕТ.214 — Ray line 26W-4000K CRI 90 M900 Susp BLK - Светильник</t>
  </si>
  <si>
    <t>МАТ.СВЕТ.215</t>
  </si>
  <si>
    <t>Ray line 26W-4000K CRI 90 M900 Susp WHI - Светильник</t>
  </si>
  <si>
    <t>2206502_ WHI</t>
  </si>
  <si>
    <t>МАТ.СВЕТ.215 — Ray line 26W-4000K CRI 90 M900 Susp WHI - Светильник</t>
  </si>
  <si>
    <t>МАТ.СВЕТ.216</t>
  </si>
  <si>
    <t>2206598_</t>
  </si>
  <si>
    <t>МАТ.СВЕТ.216 — Ray line 31W/mt-4000K CRI 90 ROW Recess - Светильник</t>
  </si>
  <si>
    <t>МАТ.СВЕТ.217</t>
  </si>
  <si>
    <t>2206512_ BLK</t>
  </si>
  <si>
    <t>МАТ.СВЕТ.217 — Ray line 33W-4000K CRI 90 M1200 Susp BLK - Светильник</t>
  </si>
  <si>
    <t>МАТ.СВЕТ.218</t>
  </si>
  <si>
    <t>Ray line 33W-4000K CRI 90 M1200 Susp WHI - Светильник</t>
  </si>
  <si>
    <t>2206512_ WHI</t>
  </si>
  <si>
    <t>МАТ.СВЕТ.218 — Ray line 33W-4000K CRI 90 M1200 Susp WHI - Светильник</t>
  </si>
  <si>
    <t>МАТ.СВЕТ.219</t>
  </si>
  <si>
    <t>Ray line 39W-3000K CRI 90 2xL24 M700 Susp BLK - Светильник</t>
  </si>
  <si>
    <t>2206491_ BLK</t>
  </si>
  <si>
    <t>МАТ.СВЕТ.219 — Ray line 39W-3000K CRI 90 2xL24 M700 Susp BLK - Светильник</t>
  </si>
  <si>
    <t>МАТ.СВЕТ.220</t>
  </si>
  <si>
    <t>Ray line 39W-3000K CRI 90 2xL24 M700 Susp WHI - Светильник</t>
  </si>
  <si>
    <t>2206491_ WHI</t>
  </si>
  <si>
    <t>МАТ.СВЕТ.220 — Ray line 39W-3000K CRI 90 2xL24 M700 Susp WHI - Светильник</t>
  </si>
  <si>
    <t>МАТ.СВЕТ.221</t>
  </si>
  <si>
    <t>Ray line 39W-4000K CRI 90 M1400 Susp BLK - Светильник</t>
  </si>
  <si>
    <t>2206519_ BLK</t>
  </si>
  <si>
    <t>МАТ.СВЕТ.221 — Ray line 39W-4000K CRI 90 M1400 Susp BLK - Светильник</t>
  </si>
  <si>
    <t>МАТ.СВЕТ.222</t>
  </si>
  <si>
    <t>Ray line 39W-4000K CRI 90 M1400 Susp WHI - Светильник</t>
  </si>
  <si>
    <t>2206519_ WHI</t>
  </si>
  <si>
    <t>МАТ.СВЕТ.222 — Ray line 39W-4000K CRI 90 M1400 Susp WHI - Светильник</t>
  </si>
  <si>
    <t>МАТ.СВЕТ.223</t>
  </si>
  <si>
    <t>Ray line 46W-4000K CRI 90 ROW 2xL24 270mA Recess BLK, L=1162mm - Светильник</t>
  </si>
  <si>
    <t>2208169_1162 BLK</t>
  </si>
  <si>
    <t>МАТ.СВЕТ.223 — Ray line 46W-4000K CRI 90 ROW 2xL24 270mA Recess BLK, L=1162mm - Светильник</t>
  </si>
  <si>
    <t>МАТ.СВЕТ.224</t>
  </si>
  <si>
    <t>Ray line.90⁰ - Соединение угловое 90⁰ в одной плоскости, подключен к магистральному линейному светильнику на заводе</t>
  </si>
  <si>
    <t>1402012</t>
  </si>
  <si>
    <t>МАТ.СВЕТ.224 — Ray line.90⁰ - Соединение угловое 90⁰ в одной плоскости, подключен к магистральному линейному светильнику на заводе</t>
  </si>
  <si>
    <t>МАТ.СВЕТ.225</t>
  </si>
  <si>
    <t>1402010</t>
  </si>
  <si>
    <t>МАТ.СВЕТ.225 — Ray line.U-kit - Крепёж в потолок 1 шт.</t>
  </si>
  <si>
    <t>МАТ.СВЕТ.226</t>
  </si>
  <si>
    <t>МАТ.СВЕТ.226 — Ray line.U-kit - Крепёж в потолок 1 шт.</t>
  </si>
  <si>
    <t>МАТ.СВЕТ.227</t>
  </si>
  <si>
    <t>Rota D1000 MP ECO 28W-4000K CRI 90 270mA Susp BLK - Светильник</t>
  </si>
  <si>
    <t>2208013_ BLK</t>
  </si>
  <si>
    <t>МАТ.СВЕТ.227 — Rota D1000 MP ECO 28W-4000K CRI 90 270mA Susp BLK - Светильник</t>
  </si>
  <si>
    <t>МАТ.СВЕТ.228</t>
  </si>
  <si>
    <t>Rota D1000 MP ECO 28W-4000K CRI 90 270mA Susp WHI - Светильник</t>
  </si>
  <si>
    <t>2208013_ WHI</t>
  </si>
  <si>
    <t>МАТ.СВЕТ.228 — Rota D1000 MP ECO 28W-4000K CRI 90 270mA Susp WHI - Светильник</t>
  </si>
  <si>
    <t>МАТ.СВЕТ.229</t>
  </si>
  <si>
    <t>Rota D1000 MP ECO 42W-4000K CRI 90 Ceil BLK H95 - Светильник потолочный специсполнение под данный проект. Предусмотреть выход кабеля сбоку</t>
  </si>
  <si>
    <t>2206696_ BLK H95</t>
  </si>
  <si>
    <t>МАТ.СВЕТ.229 — Rota D1000 MP ECO 42W-4000K CRI 90 Ceil BLK H95 - Светильник потолочный специсполнение под данный проект. Предусмотреть выход кабеля сбоку</t>
  </si>
  <si>
    <t>МАТ.СВЕТ.230</t>
  </si>
  <si>
    <t>Rota D1000 MP ECO 42W-4000K CRI 90 Ceil WHI H95 - Светильник потолочный специсполнение под данный проект. Предусмотреть выход кабеля сбоку</t>
  </si>
  <si>
    <t>2206696_ WHI H95</t>
  </si>
  <si>
    <t>МАТ.СВЕТ.230 — Rota D1000 MP ECO 42W-4000K CRI 90 Ceil WHI H95 - Светильник потолочный специсполнение под данный проект. Предусмотреть выход кабеля сбоку</t>
  </si>
  <si>
    <t>МАТ.СВЕТ.231</t>
  </si>
  <si>
    <t>Rota D1000 MP ECO 42W-4000K CRI 90 Susp BLK - Светильник</t>
  </si>
  <si>
    <t>2206905_ BLK</t>
  </si>
  <si>
    <t>МАТ.СВЕТ.231 — Rota D1000 MP ECO 42W-4000K CRI 90 Susp BLK - Светильник</t>
  </si>
  <si>
    <t>МАТ.СВЕТ.232</t>
  </si>
  <si>
    <t>Rota D1000 MP ECO 42W-4000K CRI 90 Susp WHI - Светильник</t>
  </si>
  <si>
    <t>2206905_ WHI</t>
  </si>
  <si>
    <t>МАТ.СВЕТ.232 — Rota D1000 MP ECO 42W-4000K CRI 90 Susp WHI - Светильник</t>
  </si>
  <si>
    <t>МАТ.СВЕТ.233</t>
  </si>
  <si>
    <t>Rota D1000 MP ECO 54W-4000K CRI 90 L24 270mA Susp BLK - Светильник</t>
  </si>
  <si>
    <t>2206911_ BLK</t>
  </si>
  <si>
    <t>МАТ.СВЕТ.233 — Rota D1000 MP ECO 54W-4000K CRI 90 L24 270mA Susp BLK - Светильник</t>
  </si>
  <si>
    <t>МАТ.СВЕТ.234</t>
  </si>
  <si>
    <t>Rota D1000 MP ECO 54W-4000K CRI 90 L24 270mA Susp WHI - Светильник</t>
  </si>
  <si>
    <t>2206911_ WHI</t>
  </si>
  <si>
    <t>МАТ.СВЕТ.234 — Rota D1000 MP ECO 54W-4000K CRI 90 L24 270mA Susp WHI - Светильник</t>
  </si>
  <si>
    <t>МАТ.СВЕТ.235</t>
  </si>
  <si>
    <t>Rota D1000 MP ECO 77W-4000K CRI 90 L24 Susp BLK - Светильник</t>
  </si>
  <si>
    <t>2400467_ BLK</t>
  </si>
  <si>
    <t>МАТ.СВЕТ.235 — Rota D1000 MP ECO 77W-4000K CRI 90 L24 Susp BLK - Светильник</t>
  </si>
  <si>
    <t>МАТ.СВЕТ.236</t>
  </si>
  <si>
    <t>Rota D1000 MP ECO 77W-4000K CRI 90 L24 Susp WHI - Светильник</t>
  </si>
  <si>
    <t>2400467_ WHI</t>
  </si>
  <si>
    <t>МАТ.СВЕТ.236 — Rota D1000 MP ECO 77W-4000K CRI 90 L24 Susp WHI - Светильник</t>
  </si>
  <si>
    <t>МАТ.СВЕТ.237</t>
  </si>
  <si>
    <t>Rota D1500 MP ECO 69W-4000K CRI 90 Susp BLK - Светильник</t>
  </si>
  <si>
    <t>2206933_ BLK</t>
  </si>
  <si>
    <t>МАТ.СВЕТ.237 — Rota D1500 MP ECO 69W-4000K CRI 90 Susp BLK - Светильник</t>
  </si>
  <si>
    <t>МАТ.СВЕТ.238</t>
  </si>
  <si>
    <t>Rota D1500 MP ECO 69W-4000K CRI 90 Susp WHI - Светильник</t>
  </si>
  <si>
    <t>2206933_ WHI</t>
  </si>
  <si>
    <t>МАТ.СВЕТ.238 — Rota D1500 MP ECO 69W-4000K CRI 90 Susp WHI - Светильник</t>
  </si>
  <si>
    <t>МАТ.СВЕТ.239</t>
  </si>
  <si>
    <t>2206872_ BLK</t>
  </si>
  <si>
    <t>МАТ.СВЕТ.239 — Rota D650 MP ECO 28W-4000K CRI 90 Susp BLK - Светильник</t>
  </si>
  <si>
    <t>МАТ.СВЕТ.240</t>
  </si>
  <si>
    <t>Rota D650 MP ECO 28W-4000K CRI 90 Susp WHI - Светильник</t>
  </si>
  <si>
    <t>2206872_ WHI</t>
  </si>
  <si>
    <t>МАТ.СВЕТ.240 — Rota D650 MP ECO 28W-4000K CRI 90 Susp WHI - Светильник</t>
  </si>
  <si>
    <t>МАТ.СВЕТ.241</t>
  </si>
  <si>
    <t>Rota D650 MP ECO 36W-4000K CRI 90 L24 Reduced Susp BLK - Светильник</t>
  </si>
  <si>
    <t>2206873_ BLK</t>
  </si>
  <si>
    <t>МАТ.СВЕТ.241 — Rota D650 MP ECO 36W-4000K CRI 90 L24 Reduced Susp BLK - Светильник</t>
  </si>
  <si>
    <t>МАТ.СВЕТ.242</t>
  </si>
  <si>
    <t>Rota D650 MP ECO 36W-4000K CRI 90 L24 Reduced Susp WHI - Светильник</t>
  </si>
  <si>
    <t>2206873_ WHI</t>
  </si>
  <si>
    <t>МАТ.СВЕТ.242 — Rota D650 MP ECO 36W-4000K CRI 90 L24 Reduced Susp WHI - Светильник</t>
  </si>
  <si>
    <t>МАТ.СВЕТ.243</t>
  </si>
  <si>
    <t>Rota D800 MP ECO 40W-4000K CRI 90 Ceil BLK H95 - Светильник потолочный специсполнение под данный проект. Предусмотреть выход кабеля сбоку</t>
  </si>
  <si>
    <t>2206689_ BLK H95</t>
  </si>
  <si>
    <t>МАТ.СВЕТ.243 — Rota D800 MP ECO 40W-4000K CRI 90 Ceil BLK H95 - Светильник потолочный специсполнение под данный проект. Предусмотреть выход кабеля сбоку</t>
  </si>
  <si>
    <t>МАТ.СВЕТ.244</t>
  </si>
  <si>
    <t>Rota D800 MP ECO 40W-4000K CRI 90 Ceil WHI H95 - Светильник потолочный специсполнение под данный проект. Предусмотреть выход кабеля сбоку</t>
  </si>
  <si>
    <t>2206689_ WHI H95</t>
  </si>
  <si>
    <t>МАТ.СВЕТ.244 — Rota D800 MP ECO 40W-4000K CRI 90 Ceil WHI H95 - Светильник потолочный специсполнение под данный проект. Предусмотреть выход кабеля сбоку</t>
  </si>
  <si>
    <t>МАТ.СВЕТ.245</t>
  </si>
  <si>
    <t>Rota D800 MP ECO 40W-4000K CRI 90 Susp BLK - Светильник</t>
  </si>
  <si>
    <t>2206886_ BLK</t>
  </si>
  <si>
    <t>МАТ.СВЕТ.245 — Rota D800 MP ECO 40W-4000K CRI 90 Susp BLK - Светильник</t>
  </si>
  <si>
    <t>МАТ.СВЕТ.246</t>
  </si>
  <si>
    <t>Rota D800 MP ECO 40W-4000K CRI 90 Susp WHI - Светильник</t>
  </si>
  <si>
    <t>2206886_ WHI</t>
  </si>
  <si>
    <t>МАТ.СВЕТ.246 — Rota D800 MP ECO 40W-4000K CRI 90 Susp WHI - Светильник</t>
  </si>
  <si>
    <t>МАТ.СВЕТ.247</t>
  </si>
  <si>
    <t>Rota Egg DI MP ECO 28W-4000K CRI 90 270mA Susp BLK - Светильник</t>
  </si>
  <si>
    <t>2208098_ BLK</t>
  </si>
  <si>
    <t>МАТ.СВЕТ.247 — Rota Egg DI MP ECO 28W-4000K CRI 90 270mA Susp BLK - Светильник</t>
  </si>
  <si>
    <t>МАТ.СВЕТ.248</t>
  </si>
  <si>
    <t>Rota Egg DI MP ECO 28W-4000K CRI 90 270mA Susp WHI - Светильник</t>
  </si>
  <si>
    <t>2208098_ WHI</t>
  </si>
  <si>
    <t>МАТ.СВЕТ.248 — Rota Egg DI MP ECO 28W-4000K CRI 90 270mA Susp WHI - Светильник</t>
  </si>
  <si>
    <t>МАТ.СВЕТ.249</t>
  </si>
  <si>
    <t>Rota Egg DI MP ECO 40W-4000K CRI 90 Susp BLK - Светильник</t>
  </si>
  <si>
    <t>2207549_ BLK</t>
  </si>
  <si>
    <t>МАТ.СВЕТ.249 — Rota Egg DI MP ECO 40W-4000K CRI 90 Susp BLK - Светильник</t>
  </si>
  <si>
    <t>МАТ.СВЕТ.250</t>
  </si>
  <si>
    <t>Rota Egg DI MP ECO 40W-4000K CRI 90 Susp WHI - Светильник</t>
  </si>
  <si>
    <t>2207549_ WHI</t>
  </si>
  <si>
    <t>МАТ.СВЕТ.250 — Rota Egg DI MP ECO 40W-4000K CRI 90 Susp WHI - Светильник</t>
  </si>
  <si>
    <t>МАТ.СВЕТ.251</t>
  </si>
  <si>
    <t>Rota Egg DI MP ECO 54W-4000K CRI 90 L24 270mA BLK Susp - Светильник</t>
  </si>
  <si>
    <t>2207550_ BLK</t>
  </si>
  <si>
    <t>МАТ.СВЕТ.251 — Rota Egg DI MP ECO 54W-4000K CRI 90 L24 270mA BLK Susp - Светильник</t>
  </si>
  <si>
    <t>МАТ.СВЕТ.252</t>
  </si>
  <si>
    <t>Rota Egg DI MP ECO 54W-4000K CRI 90 L24 270mA WHI Susp - Светильник</t>
  </si>
  <si>
    <t>2207550_ WHI</t>
  </si>
  <si>
    <t>МАТ.СВЕТ.252 — Rota Egg DI MP ECO 54W-4000K CRI 90 L24 270mA WHI Susp - Светильник</t>
  </si>
  <si>
    <t>МАТ.СВЕТ.253</t>
  </si>
  <si>
    <t>Rota Egg DI MP ECO 77W-4000K CRI 90 L24 Susp BLK - Светильник</t>
  </si>
  <si>
    <t>2400466_ BLK</t>
  </si>
  <si>
    <t>МАТ.СВЕТ.253 — Rota Egg DI MP ECO 77W-4000K CRI 90 L24 Susp BLK - Светильник</t>
  </si>
  <si>
    <t>МАТ.СВЕТ.254</t>
  </si>
  <si>
    <t>Rota Egg DI MP ECO 77W-4000K CRI 90 L24 Susp WHI - Светильник</t>
  </si>
  <si>
    <t>2400466_ WHI</t>
  </si>
  <si>
    <t>МАТ.СВЕТ.254 — Rota Egg DI MP ECO 77W-4000K CRI 90 L24 Susp WHI - Светильник</t>
  </si>
  <si>
    <t>МАТ.СВЕТ.255</t>
  </si>
  <si>
    <t>Rota Slim D1000 MP ECO 23W-4000K CRI 90 175mA Susp BLK - Светильник</t>
  </si>
  <si>
    <t>2207442_ BLK</t>
  </si>
  <si>
    <t>МАТ.СВЕТ.255 — Rota Slim D1000 MP ECO 23W-4000K CRI 90 175mA Susp BLK - Светильник</t>
  </si>
  <si>
    <t>МАТ.СВЕТ.256</t>
  </si>
  <si>
    <t>Rota Slim D1000 MP ECO 23W-4000K CRI 90 175mA Susp WHI - Светильник</t>
  </si>
  <si>
    <t>2207442_ WHI</t>
  </si>
  <si>
    <t>МАТ.СВЕТ.256 — Rota Slim D1000 MP ECO 23W-4000K CRI 90 175mA Susp WHI - Светильник</t>
  </si>
  <si>
    <t>МАТ.СВЕТ.257</t>
  </si>
  <si>
    <t>Rota Slim D1000 MP ECO 49W-4000K CRI 90 Susp BLK - Светильник</t>
  </si>
  <si>
    <t>2207441 BLK</t>
  </si>
  <si>
    <t>МАТ.СВЕТ.257 — Rota Slim D1000 MP ECO 49W-4000K CRI 90 Susp BLK - Светильник</t>
  </si>
  <si>
    <t>МАТ.СВЕТ.258</t>
  </si>
  <si>
    <t>Rota Triangle DI MP ECO 28W-4000K CRI 90 270mA Susp BLK - Светильник</t>
  </si>
  <si>
    <t>2208099_ BLK</t>
  </si>
  <si>
    <t>МАТ.СВЕТ.258 — Rota Triangle DI MP ECO 28W-4000K CRI 90 270mA Susp BLK - Светильник</t>
  </si>
  <si>
    <t>МАТ.СВЕТ.259</t>
  </si>
  <si>
    <t>Rota Triangle DI MP ECO 28W-4000K CRI 90 270mA Susp WHI - Светильник</t>
  </si>
  <si>
    <t>2208099_ WHI</t>
  </si>
  <si>
    <t>МАТ.СВЕТ.259 — Rota Triangle DI MP ECO 28W-4000K CRI 90 270mA Susp WHI - Светильник</t>
  </si>
  <si>
    <t>МАТ.СВЕТ.260</t>
  </si>
  <si>
    <t>Rota Triangle DI MP ECO 42W-4000K CRI 90 Susp BLK - Светильник</t>
  </si>
  <si>
    <t>2207574_ BLK</t>
  </si>
  <si>
    <t>МАТ.СВЕТ.260 — Rota Triangle DI MP ECO 42W-4000K CRI 90 Susp BLK - Светильник</t>
  </si>
  <si>
    <t>МАТ.СВЕТ.261</t>
  </si>
  <si>
    <t>Rota Triangle DI MP ECO 42W-4000K CRI 90 Susp WHI - Светильник</t>
  </si>
  <si>
    <t>2207574_ WHI</t>
  </si>
  <si>
    <t>МАТ.СВЕТ.261 — Rota Triangle DI MP ECO 42W-4000K CRI 90 Susp WHI - Светильник</t>
  </si>
  <si>
    <t>МАТ.СВЕТ.262</t>
  </si>
  <si>
    <t>Rota Triangle DI MP ECO 54W-4000K CRI 90 L24 270mA BLK Susp - Светильник</t>
  </si>
  <si>
    <t>2207575_ BLK</t>
  </si>
  <si>
    <t>МАТ.СВЕТ.262 — Rota Triangle DI MP ECO 54W-4000K CRI 90 L24 270mA BLK Susp - Светильник</t>
  </si>
  <si>
    <t>МАТ.СВЕТ.263</t>
  </si>
  <si>
    <t>Rota Triangle DI MP ECO 54W-4000K CRI 90 L24 270mA WHI Susp - Светильник</t>
  </si>
  <si>
    <t>2207575_ WHI</t>
  </si>
  <si>
    <t>МАТ.СВЕТ.263 — Rota Triangle DI MP ECO 54W-4000K CRI 90 L24 270mA WHI Susp - Светильник</t>
  </si>
  <si>
    <t>МАТ.СВЕТ.264</t>
  </si>
  <si>
    <t>Rota Triangle DI MP ECO 77W-4000K CRI 90 L24 Susp BLK - Светильник</t>
  </si>
  <si>
    <t>2400468_ BLK</t>
  </si>
  <si>
    <t>МАТ.СВЕТ.264 — Rota Triangle DI MP ECO 77W-4000K CRI 90 L24 Susp BLK - Светильник</t>
  </si>
  <si>
    <t>МАТ.СВЕТ.265</t>
  </si>
  <si>
    <t>МАТ.СВЕТ.265 — Rota Triangle DI MP ECO 77W-4000K CRI 90 L24 Susp BLK - Светильник</t>
  </si>
  <si>
    <t>МАТ.СВЕТ.266</t>
  </si>
  <si>
    <t>Rota Triangle DI MP ECO 77W-4000K CRI 90 L24 Susp WHI - Светильник</t>
  </si>
  <si>
    <t>2400468_ WHI</t>
  </si>
  <si>
    <t>МАТ.СВЕТ.266 — Rota Triangle DI MP ECO 77W-4000K CRI 90 L24 Susp WHI - Светильник</t>
  </si>
  <si>
    <t>МАТ.СВЕТ.267</t>
  </si>
  <si>
    <t>МАТ.СВЕТ.267 — Rota Triangle DI MP ECO 77W-4000K CRI 90 L24 Susp WHI - Светильник</t>
  </si>
  <si>
    <t>МАТ.СВЕТ.268</t>
  </si>
  <si>
    <t>SILED / SKB 18-3 Усилитель стыка для шинопровода КРАСНЫЙ ГЛАДКИЙ 3020</t>
  </si>
  <si>
    <t>SILED</t>
  </si>
  <si>
    <t>СИЛЕД</t>
  </si>
  <si>
    <t>МАТ.СВЕТ.268 — SILED / SKB 18-3 Усилитель стыка для шинопровода КРАСНЫЙ ГЛАДКИЙ 3020</t>
  </si>
  <si>
    <t>МАТ.СВЕТ.269</t>
  </si>
  <si>
    <t>SILED / XTS 11-3 Токоподвод левый КРАСНЫЙ ГЛАДКИЙ МАТОВЫЙ RAL3020</t>
  </si>
  <si>
    <t>МАТ.СВЕТ.269 — SILED / XTS 11-3 Токоподвод левый КРАСНЫЙ ГЛАДКИЙ МАТОВЫЙ RAL3020</t>
  </si>
  <si>
    <t>МАТ.СВЕТ.270</t>
  </si>
  <si>
    <t>SILED / XTS 21 Cтык внутренний КРАСНЫЙ ГЛАДКИЙ МАТОВЫЙ RAL3020</t>
  </si>
  <si>
    <t>МАТ.СВЕТ.270 — SILED / XTS 21 Cтык внутренний КРАСНЫЙ ГЛАДКИЙ МАТОВЫЙ RAL3020</t>
  </si>
  <si>
    <t>МАТ.СВЕТ.271</t>
  </si>
  <si>
    <t>SILED / XTS 41-3 Заглушка для шинопровода КРАСНЫЙ ГЛАДКИЙ МАТОВЫЙ RAL3020</t>
  </si>
  <si>
    <t>МАТ.СВЕТ.271 — SILED / XTS 41-3 Заглушка для шинопровода КРАСНЫЙ ГЛАДКИЙ МАТОВЫЙ RAL3020</t>
  </si>
  <si>
    <t>МАТ.СВЕТ.272</t>
  </si>
  <si>
    <t>SILED Шинопровод 1000 мм КРАСНЫЙ</t>
  </si>
  <si>
    <t>МАТ.СВЕТ.272 — SILED Шинопровод 1000 мм КРАСНЫЙ</t>
  </si>
  <si>
    <t>МАТ.СВЕТ.273</t>
  </si>
  <si>
    <t>SILED Шинопровод 1500 мм КРАСНЫЙ</t>
  </si>
  <si>
    <t>МАТ.СВЕТ.273 — SILED Шинопровод 1500 мм КРАСНЫЙ</t>
  </si>
  <si>
    <t>МАТ.СВЕТ.274</t>
  </si>
  <si>
    <t>SILED Шинопровод 2000 мм КРАСНЫЙ</t>
  </si>
  <si>
    <t>МАТ.СВЕТ.274 — SILED Шинопровод 2000 мм КРАСНЫЙ</t>
  </si>
  <si>
    <t>МАТ.СВЕТ.275</t>
  </si>
  <si>
    <t>SILED Шинопровод 2500 мм КРАСНЫЙ</t>
  </si>
  <si>
    <t>МАТ.СВЕТ.275 — SILED Шинопровод 2500 мм КРАСНЫЙ</t>
  </si>
  <si>
    <t>МАТ.СВЕТ.276</t>
  </si>
  <si>
    <t>SILED Шинопровод 3000 мм КРАСНЫЙ</t>
  </si>
  <si>
    <t>МАТ.СВЕТ.276 — SILED Шинопровод 3000 мм КРАСНЫЙ</t>
  </si>
  <si>
    <t>МАТ.СВЕТ.277</t>
  </si>
  <si>
    <t>Silent acoustic D200-100x(h)300mm, 1xE27, one side colour Susp Серый- Светильник</t>
  </si>
  <si>
    <t>1904746_ GRY</t>
  </si>
  <si>
    <t>МАТ.СВЕТ.277 — Silent acoustic D200-100x(h)300mm, 1xE27, one side colour Susp Серый- Светильник</t>
  </si>
  <si>
    <t>МАТ.СВЕТ.278</t>
  </si>
  <si>
    <t>Silent acoustic D380-230x(h)500mm, 1xE27, one side colour Susp (белый внутри, серый снаружи)- Светильник</t>
  </si>
  <si>
    <t>2200104_ GRY-WHI</t>
  </si>
  <si>
    <t>МАТ.СВЕТ.278 — Silent acoustic D380-230x(h)500mm, 1xE27, one side colour Susp (белый внутри, серый снаружи)- Светильник</t>
  </si>
  <si>
    <t>МАТ.СВЕТ.279</t>
  </si>
  <si>
    <t>Silent acoustic D800-400x(h)400mm, 3xE27, one side colour Susp RED - Светильник</t>
  </si>
  <si>
    <t>2400162_ RED</t>
  </si>
  <si>
    <t>МАТ.СВЕТ.279 — Silent acoustic D800-400x(h)400mm, 3xE27, one side colour Susp RED - Светильник</t>
  </si>
  <si>
    <t>МАТ.СВЕТ.280</t>
  </si>
  <si>
    <t>Snap R D33mm-1.5W-4000K CRI 90 Recess BLK - Светильник</t>
  </si>
  <si>
    <t>1904622_ BLK</t>
  </si>
  <si>
    <t>МАТ.СВЕТ.280 — Snap R D33mm-1.5W-4000K CRI 90 Recess BLK - Светильник</t>
  </si>
  <si>
    <t>МАТ.СВЕТ.281</t>
  </si>
  <si>
    <t>Snap R D33mm-1.5W-4000K CRI 90 Recess WHI - Светильник</t>
  </si>
  <si>
    <t>1904622_ WHI</t>
  </si>
  <si>
    <t>МАТ.СВЕТ.281 — Snap R D33mm-1.5W-4000K CRI 90 Recess WHI - Светильник</t>
  </si>
  <si>
    <t>МАТ.СВЕТ.282</t>
  </si>
  <si>
    <t>Заглушка LGD-4TR-CAP-WH ©</t>
  </si>
  <si>
    <t>024729</t>
  </si>
  <si>
    <t>МАТ.СВЕТ.282 — Заглушка LGD-4TR-CAP-WH ©</t>
  </si>
  <si>
    <t>МАТ.СВЕТ.283</t>
  </si>
  <si>
    <t>Заглушка, черная</t>
  </si>
  <si>
    <t>МАТ.СВЕТ.283 — Заглушка, черная</t>
  </si>
  <si>
    <t>МАТ.СВЕТ.284</t>
  </si>
  <si>
    <t>024727</t>
  </si>
  <si>
    <t>МАТ.СВЕТ.284 — Зажим LGD-4TR-CLIP-WH ©</t>
  </si>
  <si>
    <t>МАТ.СВЕТ.285</t>
  </si>
  <si>
    <t>Комплект линейного соединения для св-ка LA LINEA SILED</t>
  </si>
  <si>
    <t>МАТ.СВЕТ.285 — Комплект линейного соединения для св-ка LA LINEA SILED</t>
  </si>
  <si>
    <t>МАТ.СВЕТ.286</t>
  </si>
  <si>
    <t>Комплект подвеса 3м черный</t>
  </si>
  <si>
    <t>МАТ.СВЕТ.286 — Комплект подвеса 3м черный</t>
  </si>
  <si>
    <t>МАТ.СВЕТ.287</t>
  </si>
  <si>
    <t>Комплект подвеса для шинопровода 3000 мм (SILED)КРАСНЫЙ ГЛАДКИЙ 3020</t>
  </si>
  <si>
    <t>МАТ.СВЕТ.287 — Комплект подвеса для шинопровода 3000 мм (SILED)КРАСНЫЙ ГЛАДКИЙ 3020</t>
  </si>
  <si>
    <t>МАТ.СВЕТ.288</t>
  </si>
  <si>
    <t>042557</t>
  </si>
  <si>
    <t>МАТ.СВЕТ.288 — Коннектор внутренний LGD-4TR-CON-MINI-WH ©</t>
  </si>
  <si>
    <t>МАТ.СВЕТ.289</t>
  </si>
  <si>
    <t>Коннектор питания LGD-4TR-CON-POWER-L-WH ©</t>
  </si>
  <si>
    <t>024714</t>
  </si>
  <si>
    <t>МАТ.СВЕТ.289 — Коннектор питания LGD-4TR-CON-POWER-L-WH ©</t>
  </si>
  <si>
    <t>МАТ.СВЕТ.290</t>
  </si>
  <si>
    <t>Коннектор прямой LGD-4TR-CON-LONG-WH ©</t>
  </si>
  <si>
    <t>028836</t>
  </si>
  <si>
    <t>МАТ.СВЕТ.290 — Коннектор прямой LGD-4TR-CON-LONG-WH ©</t>
  </si>
  <si>
    <t>МАТ.СВЕТ.291</t>
  </si>
  <si>
    <t>024280</t>
  </si>
  <si>
    <t>МАТ.СВЕТ.291 — Подвес LGD-4TR-HANG-2-WH ©</t>
  </si>
  <si>
    <t>МАТ.СВЕТ.292</t>
  </si>
  <si>
    <t>Пульт SMART-R10-DIM (4 зоны, 2.4G)</t>
  </si>
  <si>
    <t>МАТ.СВЕТ.292 — Пульт SMART-R10-DIM (4 зоны, 2.4G)</t>
  </si>
  <si>
    <t>МАТ.СВЕТ.293</t>
  </si>
  <si>
    <t>Светильник LGD-GERA-4TR-R74-20W Day4000 (WH, 24 deg, 230V)</t>
  </si>
  <si>
    <t>024085(2)</t>
  </si>
  <si>
    <t>МАТ.СВЕТ.293 — Светильник LGD-GERA-4TR-R74-20W Day4000 (WH, 24 deg, 230V)</t>
  </si>
  <si>
    <t>МАТ.СВЕТ.294</t>
  </si>
  <si>
    <t>Светильник светодиодный SILED LA LINEA 1000 25W 4000K Ra80, МИКРОПРИЗМА, 992 мм КРАСНЫЙ ГЛАДКИЙ 3020 в комплекте с подвесом и заглушками</t>
  </si>
  <si>
    <t>МАТ.СВЕТ.294 — Светильник светодиодный SILED LA LINEA 1000 25W 4000K Ra80, МИКРОПРИЗМА, 992 мм КРАСНЫЙ ГЛАДКИЙ 3020 в комплекте с подвесом и заглушками</t>
  </si>
  <si>
    <t>МАТ.СВЕТ.295</t>
  </si>
  <si>
    <t>Светильник светодиодный SILED LA LINEA 1500 38W 4000K Ra80, МИКРОПРИЗМА, 1484 мм КРАСНЫЙ ГЛАДКИЙ 3020 в комплекте с подвесом и заглушками</t>
  </si>
  <si>
    <t>МАТ.СВЕТ.295 — Светильник светодиодный SILED LA LINEA 1500 38W 4000K Ra80, МИКРОПРИЗМА, 1484 мм КРАСНЫЙ ГЛАДКИЙ 3020 в комплекте с подвесом и заглушками</t>
  </si>
  <si>
    <t>МАТ.СВЕТ.296</t>
  </si>
  <si>
    <t>Светильник светодиодный SILED LA LINEA 2000 50W 4000K Ra80, МИКРОПРИЗМА, 1976 мм КРАСНЫЙ ГЛАДКИЙ 3020 в комплекте с подвесом и заглушками</t>
  </si>
  <si>
    <t>МАТ.СВЕТ.296 — Светильник светодиодный SILED LA LINEA 2000 50W 4000K Ra80, МИКРОПРИЗМА, 1976 мм КРАСНЫЙ ГЛАДКИЙ 3020 в комплекте с подвесом и заглушками</t>
  </si>
  <si>
    <t>МАТ.СВЕТ.297</t>
  </si>
  <si>
    <t>Светильник светодиодный SILED LA LINEA 3000 75W 4000K Ra80, МИКРОПРИЗМА, 2968 мм КРАСНЫЙ ГЛАДКИЙ 3020 в комплекте с подвесом и заглушками</t>
  </si>
  <si>
    <t>МАТ.СВЕТ.297 — Светильник светодиодный SILED LA LINEA 3000 75W 4000K Ra80, МИКРОПРИЗМА, 2968 мм КРАСНЫЙ ГЛАДКИЙ 3020 в комплекте с подвесом и заглушками</t>
  </si>
  <si>
    <t>МАТ.СВЕТ.298</t>
  </si>
  <si>
    <t>Светильник светодиодный трековый SILED LINE SPOT 20W 4000K/CRI80 45 гр КРАСНЫЙ RAL3020</t>
  </si>
  <si>
    <t>МАТ.СВЕТ.298 — Светильник светодиодный трековый SILED LINE SPOT 20W 4000K/CRI80 45 гр КРАСНЫЙ RAL3020</t>
  </si>
  <si>
    <t>МАТ.СВЕТ.299</t>
  </si>
  <si>
    <t>Соединитель внутренний, черный</t>
  </si>
  <si>
    <t>МАТ.СВЕТ.299 — Соединитель внутренний, черный</t>
  </si>
  <si>
    <t>МАТ.СВЕТ.300</t>
  </si>
  <si>
    <t>Соединитель угловой 90° внешний Правый, черный</t>
  </si>
  <si>
    <t>МАТ.СВЕТ.300 — Соединитель угловой 90° внешний Правый, черный</t>
  </si>
  <si>
    <t>МАТ.СВЕТ.301</t>
  </si>
  <si>
    <t>Соединитель угловой 90° внутренний</t>
  </si>
  <si>
    <t>МАТ.СВЕТ.301 — Соединитель угловой 90° внутренний</t>
  </si>
  <si>
    <t>МАТ.СВЕТ.302</t>
  </si>
  <si>
    <t>Токоподвод д/шинопровода Левый, черный</t>
  </si>
  <si>
    <t>МАТ.СВЕТ.302 — Токоподвод д/шинопровода Левый, черный</t>
  </si>
  <si>
    <t>МАТ.СВЕТ.303</t>
  </si>
  <si>
    <t>Токоподвод д/шинопровода Правый, черный</t>
  </si>
  <si>
    <t>МАТ.СВЕТ.303 — Токоподвод д/шинопровода Правый, черный</t>
  </si>
  <si>
    <t>МАТ.СВЕТ.304</t>
  </si>
  <si>
    <t>Торшер ADDIT F Ant Conical D600 E27 max 40W - Светильник</t>
  </si>
  <si>
    <t>2207965</t>
  </si>
  <si>
    <t>МАТ.СВЕТ.304 — Торшер ADDIT F Ant Conical D600 E27 max 40W - Светильник</t>
  </si>
  <si>
    <t>МАТ.СВЕТ.305</t>
  </si>
  <si>
    <t>Трек LGD-4TR-TRACK-1000-WH-M ©</t>
  </si>
  <si>
    <t>030562(2)</t>
  </si>
  <si>
    <t>МАТ.СВЕТ.305 — Трек LGD-4TR-TRACK-1000-WH-M ©</t>
  </si>
  <si>
    <t>МАТ.СВЕТ.306</t>
  </si>
  <si>
    <t>Трек LGD-4TR-TRACK-2000-WH-M ©</t>
  </si>
  <si>
    <t>026140(2)</t>
  </si>
  <si>
    <t>МАТ.СВЕТ.306 — Трек LGD-4TR-TRACK-2000-WH-M ©</t>
  </si>
  <si>
    <t>МАТ.СВЕТ.307</t>
  </si>
  <si>
    <t>МАТ.СВЕТ.307 — Трек LGD-4TR-TRACK-2000-WH-M ©</t>
  </si>
  <si>
    <t>МАТ.СВЕТ.308</t>
  </si>
  <si>
    <t>Трек LGD-4TR-TRACK-3000-WH-M ©</t>
  </si>
  <si>
    <t>046092</t>
  </si>
  <si>
    <t>МАТ.СВЕТ.308 — Трек LGD-4TR-TRACK-3000-WH-M ©</t>
  </si>
  <si>
    <t>МАТ.СВЕТ.309</t>
  </si>
  <si>
    <t>МАТ.СВЕТ.309 — Трек LGD-4TR-TRACK-3000-WH-M ©</t>
  </si>
  <si>
    <t>МАТ.СВЕТ.310</t>
  </si>
  <si>
    <t>Усилитель стыка, черный</t>
  </si>
  <si>
    <t>МАТ.СВЕТ.310 — Усилитель стыка, черный</t>
  </si>
  <si>
    <t>МАТ.СВЕТ.311</t>
  </si>
  <si>
    <t>Шинопровод черный 1м.</t>
  </si>
  <si>
    <t>МАТ.СВЕТ.311 — Шинопровод черный 1м.</t>
  </si>
  <si>
    <t>МАТ.СВЕТ.312</t>
  </si>
  <si>
    <t>Шинопровод черный 2м.</t>
  </si>
  <si>
    <t>МАТ.СВЕТ.312 — Шинопровод черный 2м.</t>
  </si>
  <si>
    <t>МАТ.СВЕТ.313</t>
  </si>
  <si>
    <t>Шинопровод черный 3м.</t>
  </si>
  <si>
    <t>МАТ.СВЕТ.313 — Шинопровод черный 3м.</t>
  </si>
  <si>
    <t>МАТ.СВЕТ.АВАР.001</t>
  </si>
  <si>
    <t>Agat D80 35W-4000K CRI 90 M1200 Susp (драйвер выносной) WHI Emerg - Светильник</t>
  </si>
  <si>
    <t>2309027_ WHI Emg</t>
  </si>
  <si>
    <t>МАТ.СВЕТ.АВАР.001 — Agat D80 35W-4000K CRI 90 M1200 Susp (драйвер выносной) WHI Emerg - Светильник</t>
  </si>
  <si>
    <t>МАТ.СВЕТ.АВАР.002</t>
  </si>
  <si>
    <t>Agat Vertical D80 12W-4000K CRI 90 H200 Susp (ceiling rose incl.) WHI Emerg - Светильник</t>
  </si>
  <si>
    <t>2409707_ WHI Emg</t>
  </si>
  <si>
    <t>МАТ.СВЕТ.АВАР.002 — Agat Vertical D80 12W-4000K CRI 90 H200 Susp (ceiling rose incl.) WHI Emerg - Светильник</t>
  </si>
  <si>
    <t>МАТ.СВЕТ.АВАР.003</t>
  </si>
  <si>
    <t>FAT 12W-4000K CRI 90 H180 MP Susp BLK Emerg - Светильник</t>
  </si>
  <si>
    <t>2200669_ BLK Emg</t>
  </si>
  <si>
    <t>МАТ.СВЕТ.АВАР.003 — FAT 12W-4000K CRI 90 H180 MP Susp BLK Emerg - Светильник</t>
  </si>
  <si>
    <t>МАТ.СВЕТ.АВАР.004</t>
  </si>
  <si>
    <t>FAT 12W-4000K CRI 90 H180 MP Susp RED Emerg - Светильник</t>
  </si>
  <si>
    <t>2200669_ RED Emg</t>
  </si>
  <si>
    <t>МАТ.СВЕТ.АВАР.004 — FAT 12W-4000K CRI 90 H180 MP Susp RED Emerg - Светильник</t>
  </si>
  <si>
    <t>МАТ.СВЕТ.АВАР.005</t>
  </si>
  <si>
    <t>FAT 12W-4000K CRI 90 H180 MP Susp WHI Emerg - Светильник</t>
  </si>
  <si>
    <t>2200669_ WHI Emg</t>
  </si>
  <si>
    <t>МАТ.СВЕТ.АВАР.005 — FAT 12W-4000K CRI 90 H180 MP Susp WHI Emerg - Светильник</t>
  </si>
  <si>
    <t>МАТ.СВЕТ.АВАР.006</t>
  </si>
  <si>
    <t>FAT 12W-4000K CRI 90 H95 MP Susp WHI Emerg - Светильник</t>
  </si>
  <si>
    <t>2200661_ WHI Emg</t>
  </si>
  <si>
    <t>МАТ.СВЕТ.АВАР.006 — FAT 12W-4000K CRI 90 H95 MP Susp WHI Emerg - Светильник</t>
  </si>
  <si>
    <t>МАТ.СВЕТ.АВАР.007</t>
  </si>
  <si>
    <t>FAT 12W-4000K CRI 90 H95 REF 45`Ceil BLK - Светильник. Аварийный блок выносной</t>
  </si>
  <si>
    <t>2309088_ BLK Emg</t>
  </si>
  <si>
    <t>МАТ.СВЕТ.АВАР.007 — FAT 12W-4000K CRI 90 H95 REF 45`Ceil BLK - Светильник. Аварийный блок выносной</t>
  </si>
  <si>
    <t>МАТ.СВЕТ.АВАР.008</t>
  </si>
  <si>
    <t>FAT 12W-4000K CRI 90 H95 REF 45`Ceil WHI - Светильник. Аварийный блок выносной</t>
  </si>
  <si>
    <t>2309088_ WHI Emg</t>
  </si>
  <si>
    <t>МАТ.СВЕТ.АВАР.008 — FAT 12W-4000K CRI 90 H95 REF 45`Ceil WHI - Светильник. Аварийный блок выносной</t>
  </si>
  <si>
    <t>МАТ.СВЕТ.АВАР.009</t>
  </si>
  <si>
    <t>FAT 8W-4000K CRI 90 H180 REF 45`Ceil BLK Emerg - Светильник</t>
  </si>
  <si>
    <t>2502602_ BLK Emg</t>
  </si>
  <si>
    <t>МАТ.СВЕТ.АВАР.009 — FAT 8W-4000K CRI 90 H180 REF 45`Ceil BLK Emerg - Светильник</t>
  </si>
  <si>
    <t>МАТ.СВЕТ.АВАР.010</t>
  </si>
  <si>
    <t>FAT 8W-4000K CRI 90 H180 REF 45`Ceil WHI Emerg - Светильник</t>
  </si>
  <si>
    <t>2502602_ WHI Emg</t>
  </si>
  <si>
    <t>МАТ.СВЕТ.АВАР.010 — FAT 8W-4000K CRI 90 H180 REF 45`Ceil WHI Emerg - Светильник</t>
  </si>
  <si>
    <t>МАТ.СВЕТ.АВАР.011</t>
  </si>
  <si>
    <t>FAT 8W-4000K CRI 90 H180 REF45` Susp BLK Emerg - Светильник</t>
  </si>
  <si>
    <t>2407201_ BLK Emg</t>
  </si>
  <si>
    <t>МАТ.СВЕТ.АВАР.011 — FAT 8W-4000K CRI 90 H180 REF45` Susp BLK Emerg - Светильник</t>
  </si>
  <si>
    <t>МАТ.СВЕТ.АВАР.012</t>
  </si>
  <si>
    <t>FAT 8W-4000K CRI 90 H180 REF45` Susp WHI Emerg - Светильник</t>
  </si>
  <si>
    <t>2407201_ WHI Emg</t>
  </si>
  <si>
    <t>МАТ.СВЕТ.АВАР.012 — FAT 8W-4000K CRI 90 H180 REF45` Susp WHI Emerg - Светильник</t>
  </si>
  <si>
    <t>МАТ.СВЕТ.АВАР.013</t>
  </si>
  <si>
    <t>FAT 8W-4000K CRI 90 H95 MP Ceil BLK Emerg - Светильник потолочный. Предусмотреть выход кабеля сбоку</t>
  </si>
  <si>
    <t>2200576_ BLK Emerg</t>
  </si>
  <si>
    <t>МАТ.СВЕТ.АВАР.013 — FAT 8W-4000K CRI 90 H95 MP Ceil BLK Emerg - Светильник потолочный. Предусмотреть выход кабеля сбоку</t>
  </si>
  <si>
    <t>МАТ.СВЕТ.АВАР.014</t>
  </si>
  <si>
    <t>FAT 8W-4000K CRI 90 H95 MP Ceil WHI Emerg - Светильник потолочный. Предусмотреть выход кабеля сбоку</t>
  </si>
  <si>
    <t>2200576_ WHI Emerg</t>
  </si>
  <si>
    <t>МАТ.СВЕТ.АВАР.014 — FAT 8W-4000K CRI 90 H95 MP Ceil WHI Emerg - Светильник потолочный. Предусмотреть выход кабеля сбоку</t>
  </si>
  <si>
    <t>МАТ.СВЕТ.АВАР.015</t>
  </si>
  <si>
    <t>FAT Comfort 12W-4000K CRI 90 H130 MP Susp BLK Emerg - Светильник</t>
  </si>
  <si>
    <t>2200685_ BLK Emg</t>
  </si>
  <si>
    <t>МАТ.СВЕТ.АВАР.015 — FAT Comfort 12W-4000K CRI 90 H130 MP Susp BLK Emerg - Светильник</t>
  </si>
  <si>
    <t>МАТ.СВЕТ.АВАР.016</t>
  </si>
  <si>
    <t>FAT Comfort 12W-4000K CRI 90 H130 MP Susp WHI Emerg - Светильник</t>
  </si>
  <si>
    <t>2200685_ WHI Emg</t>
  </si>
  <si>
    <t>МАТ.СВЕТ.АВАР.016 — FAT Comfort 12W-4000K CRI 90 H130 MP Susp WHI Emerg - Светильник</t>
  </si>
  <si>
    <t>МАТ.СВЕТ.АВАР.017</t>
  </si>
  <si>
    <t>FAT Comfort 12W-4000K CRI 90 H215 MP Susp BLK Emerg - Светильник</t>
  </si>
  <si>
    <t>2200693_ BLK Emg</t>
  </si>
  <si>
    <t>МАТ.СВЕТ.АВАР.017 — FAT Comfort 12W-4000K CRI 90 H215 MP Susp BLK Emerg - Светильник</t>
  </si>
  <si>
    <t>МАТ.СВЕТ.АВАР.018</t>
  </si>
  <si>
    <t>FAT Comfort 12W-4000K CRI 90 H215 MP Susp WHI Emerg - Светильник</t>
  </si>
  <si>
    <t>2200693_ WHI Emg</t>
  </si>
  <si>
    <t>МАТ.СВЕТ.АВАР.018 — FAT Comfort 12W-4000K CRI 90 H215 MP Susp WHI Emerg - Светильник</t>
  </si>
  <si>
    <t>МАТ.СВЕТ.АВАР.019</t>
  </si>
  <si>
    <t>FAT Comfort 8W-4000K CRI 90 H130 MP Susp BLK Emerg - Светильник</t>
  </si>
  <si>
    <t>2200681_ BLK Emg</t>
  </si>
  <si>
    <t>МАТ.СВЕТ.АВАР.019 — FAT Comfort 8W-4000K CRI 90 H130 MP Susp BLK Emerg - Светильник</t>
  </si>
  <si>
    <t>МАТ.СВЕТ.АВАР.020</t>
  </si>
  <si>
    <t>FAT Comfort 8W-4000K CRI 90 H130 MP Susp WHI Emerg - Светильник</t>
  </si>
  <si>
    <t>2200681_ WHI Emg</t>
  </si>
  <si>
    <t>МАТ.СВЕТ.АВАР.020 — FAT Comfort 8W-4000K CRI 90 H130 MP Susp WHI Emerg - Светильник</t>
  </si>
  <si>
    <t>МАТ.СВЕТ.АВАР.021</t>
  </si>
  <si>
    <t>GARDA WALL 7W-4000K CRI 90 ON/OFF IP65 Emerg- Светильник. Аварийный блок выносной</t>
  </si>
  <si>
    <t>2208138 Emg</t>
  </si>
  <si>
    <t>МАТ.СВЕТ.АВАР.021 — GARDA WALL 7W-4000K CRI 90 ON/OFF IP65 Emerg- Светильник. Аварийный блок выносной</t>
  </si>
  <si>
    <t>МАТ.СВЕТ.АВАР.022</t>
  </si>
  <si>
    <t>Get ON Emergency EM1H Susp " ↑" - Светильник аварийный</t>
  </si>
  <si>
    <t>2103226</t>
  </si>
  <si>
    <t>МАТ.СВЕТ.АВАР.022 — Get ON Emergency EM1H Susp " ↑" - Светильник аварийный</t>
  </si>
  <si>
    <t>МАТ.СВЕТ.АВАР.023</t>
  </si>
  <si>
    <t>МАТ.СВЕТ.АВАР.023 — Get ON Emergency EM1H Susp " ↑" - Светильник аварийный</t>
  </si>
  <si>
    <t>МАТ.СВЕТ.АВАР.024</t>
  </si>
  <si>
    <t>Get ON Emergency EM1H Susp " ↓" BLK - Светильник аварийный</t>
  </si>
  <si>
    <t>1903918_ BLK</t>
  </si>
  <si>
    <t>МАТ.СВЕТ.АВАР.024 — Get ON Emergency EM1H Susp " ↓" BLK - Светильник аварийный</t>
  </si>
  <si>
    <t>МАТ.СВЕТ.АВАР.025</t>
  </si>
  <si>
    <t>Get ON Emergency EM1H Susp " ↓" WHI - Светильник аварийный</t>
  </si>
  <si>
    <t>1903918_ WHI</t>
  </si>
  <si>
    <t>МАТ.СВЕТ.АВАР.025 — Get ON Emergency EM1H Susp " ↓" WHI - Светильник аварийный</t>
  </si>
  <si>
    <t>МАТ.СВЕТ.АВАР.026</t>
  </si>
  <si>
    <t>Get ON Emergency EM1H Susp "ВЫХОД" BLK - Светильник аварийный</t>
  </si>
  <si>
    <t>1903912_ BLK</t>
  </si>
  <si>
    <t>МАТ.СВЕТ.АВАР.026 — Get ON Emergency EM1H Susp "ВЫХОД" BLK - Светильник аварийный</t>
  </si>
  <si>
    <t>МАТ.СВЕТ.АВАР.027</t>
  </si>
  <si>
    <t>Get ON Emergency EM1H Susp "ВЫХОД" WHI - Светильник аварийный</t>
  </si>
  <si>
    <t>1903912_ WHI</t>
  </si>
  <si>
    <t>МАТ.СВЕТ.АВАР.027 — Get ON Emergency EM1H Susp "ВЫХОД" WHI - Светильник аварийный</t>
  </si>
  <si>
    <t>МАТ.СВЕТ.АВАР.028</t>
  </si>
  <si>
    <t>Get ON Emergency EM1H Susp "→" BLK - Светильник аварийный</t>
  </si>
  <si>
    <t>1903915_ BLK</t>
  </si>
  <si>
    <t>МАТ.СВЕТ.АВАР.028 — Get ON Emergency EM1H Susp "→" BLK - Светильник аварийный</t>
  </si>
  <si>
    <t>МАТ.СВЕТ.АВАР.029</t>
  </si>
  <si>
    <t>Get ON Emergency EM1H Susp "→" WHI - Светильник аварийный</t>
  </si>
  <si>
    <t>1903915_ WHI</t>
  </si>
  <si>
    <t>МАТ.СВЕТ.АВАР.029 — Get ON Emergency EM1H Susp "→" WHI - Светильник аварийный</t>
  </si>
  <si>
    <t>МАТ.СВЕТ.АВАР.030</t>
  </si>
  <si>
    <t>Get ON Emergency EM1H Susp Двухсторонний "→" BLK - Светильник аварийный</t>
  </si>
  <si>
    <t>1903922_ BLK</t>
  </si>
  <si>
    <t>МАТ.СВЕТ.АВАР.030 — Get ON Emergency EM1H Susp Двухсторонний "→" BLK - Светильник аварийный</t>
  </si>
  <si>
    <t>МАТ.СВЕТ.АВАР.031</t>
  </si>
  <si>
    <t>Get ON Emergency EM1H Susp Двухсторонний "→" WHI - Светильник аварийный</t>
  </si>
  <si>
    <t>1903922_ WHI</t>
  </si>
  <si>
    <t>МАТ.СВЕТ.АВАР.031 — Get ON Emergency EM1H Susp Двухсторонний "→" WHI - Светильник аварийный</t>
  </si>
  <si>
    <t>МАТ.СВЕТ.АВАР.032</t>
  </si>
  <si>
    <t>Get ON Emergency EM1H Wall "ВЫХОД" BLK - Светильник аварийный</t>
  </si>
  <si>
    <t>1403537_ BLK</t>
  </si>
  <si>
    <t>МАТ.СВЕТ.АВАР.032 — Get ON Emergency EM1H Wall "ВЫХОД" BLK - Светильник аварийный</t>
  </si>
  <si>
    <t>МАТ.СВЕТ.АВАР.033</t>
  </si>
  <si>
    <t>Get ON Emergency EM1H Wall "ВЫХОД" WHI - Светильник аварийный</t>
  </si>
  <si>
    <t>1403537_ WHI</t>
  </si>
  <si>
    <t>МАТ.СВЕТ.АВАР.033 — Get ON Emergency EM1H Wall "ВЫХОД" WHI - Светильник аварийный</t>
  </si>
  <si>
    <t>МАТ.СВЕТ.АВАР.034</t>
  </si>
  <si>
    <t>Get ON Emergency EM1H Wall "←" BLK - Светильник аварийный</t>
  </si>
  <si>
    <t>1903613_ BLK</t>
  </si>
  <si>
    <t>МАТ.СВЕТ.АВАР.034 — Get ON Emergency EM1H Wall "←" BLK - Светильник аварийный</t>
  </si>
  <si>
    <t>МАТ.СВЕТ.АВАР.035</t>
  </si>
  <si>
    <t>Get ON Emergency EM1H Wall "←" WHI - Светильник аварийный</t>
  </si>
  <si>
    <t>1903613_ WHI</t>
  </si>
  <si>
    <t>МАТ.СВЕТ.АВАР.035 — Get ON Emergency EM1H Wall "←" WHI - Светильник аварийный</t>
  </si>
  <si>
    <t>МАТ.СВЕТ.АВАР.036</t>
  </si>
  <si>
    <t>Get ON Emergency EM1H Wall "→" BLK - Светильник аварийный</t>
  </si>
  <si>
    <t>1903612_ BLK</t>
  </si>
  <si>
    <t>МАТ.СВЕТ.АВАР.036 — Get ON Emergency EM1H Wall "→" BLK - Светильник аварийный</t>
  </si>
  <si>
    <t>МАТ.СВЕТ.АВАР.037</t>
  </si>
  <si>
    <t>Get ON Emergency EM1H Wall "→" WHI - Светильник аварийный</t>
  </si>
  <si>
    <t>1903612_ WHI</t>
  </si>
  <si>
    <t>МАТ.СВЕТ.АВАР.037 — Get ON Emergency EM1H Wall "→" WHI - Светильник аварийный</t>
  </si>
  <si>
    <t>МАТ.СВЕТ.АВАР.038</t>
  </si>
  <si>
    <t>Grata Slim SL D750 MP ECO 33W-4000K CRI 90 175mA Susp Emerg BLK - Светильник</t>
  </si>
  <si>
    <t>2308772_ BLK Emg</t>
  </si>
  <si>
    <t>МАТ.СВЕТ.АВАР.038 — Grata Slim SL D750 MP ECO 33W-4000K CRI 90 175mA Susp Emerg BLK - Светильник</t>
  </si>
  <si>
    <t>МАТ.СВЕТ.АВАР.039</t>
  </si>
  <si>
    <t>Grata Slim SL D750 MP ECO 33W-4000K CRI 90 175mA Susp Emerg WHI - Светильник</t>
  </si>
  <si>
    <t>2308772_ WHI Emg</t>
  </si>
  <si>
    <t>МАТ.СВЕТ.АВАР.039 — Grata Slim SL D750 MP ECO 33W-4000K CRI 90 175mA Susp Emerg WHI - Светильник</t>
  </si>
  <si>
    <t>МАТ.СВЕТ.АВАР.040</t>
  </si>
  <si>
    <t>IEK Светильник ДСП 1304 18Вт 4000К IP65 600мм Emerg - Светильник</t>
  </si>
  <si>
    <t>2409705 Emg</t>
  </si>
  <si>
    <t>МАТ.СВЕТ.АВАР.040 — IEK Светильник ДСП 1304 18Вт 4000К IP65 600мм Emerg - Светильник</t>
  </si>
  <si>
    <t>МАТ.СВЕТ.АВАР.041</t>
  </si>
  <si>
    <t>2200204 Emg</t>
  </si>
  <si>
    <t>МАТ.СВЕТ.АВАР.041 — IEK Светильник ДСП 1318 48Вт 4500К IP65 1500мм Emerg</t>
  </si>
  <si>
    <t>МАТ.СВЕТ.АВАР.042</t>
  </si>
  <si>
    <t>Longa 40 DI 15W/mt-4000K CRI 90 ROW 175mA Susp BLK Emerg - Светильник</t>
  </si>
  <si>
    <t>2205725_ BLK Emg</t>
  </si>
  <si>
    <t>МАТ.СВЕТ.АВАР.042 — Longa 40 DI 15W/mt-4000K CRI 90 ROW 175mA Susp BLK Emerg - Светильник</t>
  </si>
  <si>
    <t>МАТ.СВЕТ.АВАР.043</t>
  </si>
  <si>
    <t>Longa 40 DI 15W/mt-4000K CRI 90 ROW 175mA Susp RAL3020 Emerg - Светильник</t>
  </si>
  <si>
    <t>2205725_RAL3020 Emg</t>
  </si>
  <si>
    <t>МАТ.СВЕТ.АВАР.043 — Longa 40 DI 15W/mt-4000K CRI 90 ROW 175mA Susp RAL3020 Emerg - Светильник</t>
  </si>
  <si>
    <t>МАТ.СВЕТ.АВАР.044</t>
  </si>
  <si>
    <t>Longa 40 DI 15W/mt-4000K CRI 90 ROW 175mA Susp WHI Emerg - Светильник</t>
  </si>
  <si>
    <t>2205725_ WHI Emg</t>
  </si>
  <si>
    <t>МАТ.СВЕТ.АВАР.044 — Longa 40 DI 15W/mt-4000K CRI 90 ROW 175mA Susp WHI Emerg - Светильник</t>
  </si>
  <si>
    <t>МАТ.СВЕТ.АВАР.045</t>
  </si>
  <si>
    <t>Longa 40 DI 22W/mt-4000K CRI 90 ROW 270mA Ceil BLK Emerg, L=2314mm - Светильник</t>
  </si>
  <si>
    <t>2205598_ 2314 BLK Emg</t>
  </si>
  <si>
    <t>МАТ.СВЕТ.АВАР.045 — Longa 40 DI 22W/mt-4000K CRI 90 ROW 270mA Ceil BLK Emerg, L=2314mm - Светильник</t>
  </si>
  <si>
    <t>МАТ.СВЕТ.АВАР.046</t>
  </si>
  <si>
    <t>Longa 40 DI 22W/mt-4000K CRI 90 ROW 270mA Ceil WHI Emerg, L=2314mm - Светильник</t>
  </si>
  <si>
    <t>2205598_ 2314 WHI Emg</t>
  </si>
  <si>
    <t>МАТ.СВЕТ.АВАР.046 — Longa 40 DI 22W/mt-4000K CRI 90 ROW 270mA Ceil WHI Emerg, L=2314mm - Светильник</t>
  </si>
  <si>
    <t>МАТ.СВЕТ.АВАР.047</t>
  </si>
  <si>
    <t>Longa 40 DI 22W/mt-4000K CRI 90 ROW 270mA Susp BLK Emerg - Светильник</t>
  </si>
  <si>
    <t>2205724_ BLK Emg</t>
  </si>
  <si>
    <t>МАТ.СВЕТ.АВАР.047 — Longa 40 DI 22W/mt-4000K CRI 90 ROW 270mA Susp BLK Emerg - Светильник</t>
  </si>
  <si>
    <t>МАТ.СВЕТ.АВАР.048</t>
  </si>
  <si>
    <t>Longa 40 DI 22W/mt-4000K CRI 90 ROW 270mA Susp WHI Emerg - Светильник</t>
  </si>
  <si>
    <t>2205724_ WHI Emg</t>
  </si>
  <si>
    <t>МАТ.СВЕТ.АВАР.048 — Longa 40 DI 22W/mt-4000K CRI 90 ROW 270mA Susp WHI Emerg - Светильник</t>
  </si>
  <si>
    <t>МАТ.СВЕТ.АВАР.049</t>
  </si>
  <si>
    <t>Longa 40 DI 25W-4000K CRI 90 M1200 270mA Susp BLK Emerg - Светильник</t>
  </si>
  <si>
    <t>2205657_ BLK  Emg</t>
  </si>
  <si>
    <t>МАТ.СВЕТ.АВАР.049 — Longa 40 DI 25W-4000K CRI 90 M1200 270mA Susp BLK Emerg - Светильник</t>
  </si>
  <si>
    <t>МАТ.СВЕТ.АВАР.050</t>
  </si>
  <si>
    <t>Longa 40 DI 25W-4000K CRI 90 M1200 270mA Susp WHI Emerg - Светильник</t>
  </si>
  <si>
    <t>2205657_ WHI  Emg</t>
  </si>
  <si>
    <t>МАТ.СВЕТ.АВАР.050 — Longa 40 DI 25W-4000K CRI 90 M1200 270mA Susp WHI Emerg - Светильник</t>
  </si>
  <si>
    <t>МАТ.СВЕТ.АВАР.051</t>
  </si>
  <si>
    <t>Longa 40 DI 26W-4000K CRI 90 M900 WALL WHI Emerg - Светильник</t>
  </si>
  <si>
    <t>2205838_ WHI Emg</t>
  </si>
  <si>
    <t>МАТ.СВЕТ.АВАР.051 — Longa 40 DI 26W-4000K CRI 90 M900 WALL WHI Emerg - Светильник</t>
  </si>
  <si>
    <t>МАТ.СВЕТ.АВАР.052</t>
  </si>
  <si>
    <t>Longa 40 DI 39W-4000K CRI 90 M1400 WALL BLK Emerg, L=1392mm - Светильник</t>
  </si>
  <si>
    <t>2205846_ BLK Emg</t>
  </si>
  <si>
    <t>МАТ.СВЕТ.АВАР.052 — Longa 40 DI 39W-4000K CRI 90 M1400 WALL BLK Emerg, L=1392mm - Светильник</t>
  </si>
  <si>
    <t>МАТ.СВЕТ.АВАР.053</t>
  </si>
  <si>
    <t>Longa 40 DI 65W-4000K CRI 90 M1200 2xL24 Susp BLK Emerg - Светильник</t>
  </si>
  <si>
    <t>2205653_ BLK Emg</t>
  </si>
  <si>
    <t>МАТ.СВЕТ.АВАР.053 — Longa 40 DI 65W-4000K CRI 90 M1200 2xL24 Susp BLK Emerg - Светильник</t>
  </si>
  <si>
    <t>МАТ.СВЕТ.АВАР.054</t>
  </si>
  <si>
    <t>Longa 40 DI 65W-4000K CRI 90 M1200 2xL24 Susp WHI Emerg - Светильник</t>
  </si>
  <si>
    <t>2205653_ WHI Emg</t>
  </si>
  <si>
    <t>МАТ.СВЕТ.АВАР.054 — Longa 40 DI 65W-4000K CRI 90 M1200 2xL24 Susp WHI Emerg - Светильник</t>
  </si>
  <si>
    <t>МАТ.СВЕТ.АВАР.055</t>
  </si>
  <si>
    <t>Longa 40 DI_IN 45W-4000K CRI 90 M1200 WALL RAL3028 Emerg - Светильник</t>
  </si>
  <si>
    <t>2205883_RAL3028 Emg</t>
  </si>
  <si>
    <t>МАТ.СВЕТ.АВАР.055 — Longa 40 DI_IN 45W-4000K CRI 90 M1200 WALL RAL3028 Emerg - Светильник</t>
  </si>
  <si>
    <t>МАТ.СВЕТ.АВАР.056</t>
  </si>
  <si>
    <t>Longa 61 25W-4000K CRI 90 MP 270mA M1200 Susp BLK Emerg - Светильник</t>
  </si>
  <si>
    <t>2205976_ BLK Emg</t>
  </si>
  <si>
    <t>МАТ.СВЕТ.АВАР.056 — Longa 61 25W-4000K CRI 90 MP 270mA M1200 Susp BLK Emerg - Светильник</t>
  </si>
  <si>
    <t>МАТ.СВЕТ.АВАР.057</t>
  </si>
  <si>
    <t>Longa 61 25W-4000K CRI 90 MP 270mA M1200 Susp WHI Emerg - Светильник</t>
  </si>
  <si>
    <t>2205976_ WHI Emg</t>
  </si>
  <si>
    <t>МАТ.СВЕТ.АВАР.057 — Longa 61 25W-4000K CRI 90 MP 270mA M1200 Susp WHI Emerg - Светильник</t>
  </si>
  <si>
    <t>МАТ.СВЕТ.АВАР.058</t>
  </si>
  <si>
    <t>Longa 61 35W-4000K CRI 90 MP M1200 Susp BLK Emerg- Светильник</t>
  </si>
  <si>
    <t>2205970_ BLK Emg</t>
  </si>
  <si>
    <t>МАТ.СВЕТ.АВАР.058 — Longa 61 35W-4000K CRI 90 MP M1200 Susp BLK Emerg- Светильник</t>
  </si>
  <si>
    <t>МАТ.СВЕТ.АВАР.059</t>
  </si>
  <si>
    <t>Longa 61 35W-4000K CRI 90 MP M1200 Susp WHI Emerg- Светильник</t>
  </si>
  <si>
    <t>2205970_ WHI Emg</t>
  </si>
  <si>
    <t>МАТ.СВЕТ.АВАР.059 — Longa 61 35W-4000K CRI 90 MP M1200 Susp WHI Emerg- Светильник</t>
  </si>
  <si>
    <t>МАТ.СВЕТ.АВАР.060</t>
  </si>
  <si>
    <t>Longa 61 50W-4000K CRI 90 MP 2xL24 270mA M1200 Susp BLK Emerg - Светильник</t>
  </si>
  <si>
    <t>2205973_ BLK  Emg</t>
  </si>
  <si>
    <t>МАТ.СВЕТ.АВАР.060 — Longa 61 50W-4000K CRI 90 MP 2xL24 270mA M1200 Susp BLK Emerg - Светильник</t>
  </si>
  <si>
    <t>МАТ.СВЕТ.АВАР.061</t>
  </si>
  <si>
    <t>Longa 61 50W-4000K CRI 90 MP 2xL24 270mA M1200 Susp WHI Emerg - Светильник</t>
  </si>
  <si>
    <t>2205973_ WHI Emg</t>
  </si>
  <si>
    <t>МАТ.СВЕТ.АВАР.061 — Longa 61 50W-4000K CRI 90 MP 2xL24 270mA M1200 Susp WHI Emerg - Светильник</t>
  </si>
  <si>
    <t>МАТ.СВЕТ.АВАР.062</t>
  </si>
  <si>
    <t>MICA D190 14W-4000K CRI 90 Recess MP ECO BLK Emerg - Светильник</t>
  </si>
  <si>
    <t>2206137_ BLK Emg</t>
  </si>
  <si>
    <t>МАТ.СВЕТ.АВАР.062 — MICA D190 14W-4000K CRI 90 Recess MP ECO BLK Emerg - Светильник</t>
  </si>
  <si>
    <t>МАТ.СВЕТ.АВАР.063</t>
  </si>
  <si>
    <t>MICA D190 14W-4000K CRI 90 Recess MP ECO WHI Emerg - Светильник</t>
  </si>
  <si>
    <t>2206137_ WHI Emg</t>
  </si>
  <si>
    <t>МАТ.СВЕТ.АВАР.063 — MICA D190 14W-4000K CRI 90 Recess MP ECO WHI Emerg - Светильник</t>
  </si>
  <si>
    <t>МАТ.СВЕТ.АВАР.064</t>
  </si>
  <si>
    <t>MICA ON D330 27W-4000K CRI 90 Ceil MP ECO BLK Emerg IP54 - Светильник. Аварийный блок выносной</t>
  </si>
  <si>
    <t>2206277_IP 54 BLK Emg</t>
  </si>
  <si>
    <t>МАТ.СВЕТ.АВАР.064 — MICA ON D330 27W-4000K CRI 90 Ceil MP ECO BLK Emerg IP54 - Светильник. Аварийный блок выносной</t>
  </si>
  <si>
    <t>МАТ.СВЕТ.АВАР.065</t>
  </si>
  <si>
    <t>MICA ON D330 27W-4000K CRI 90 Ceil MP ECO WHI Emerg IP54 - Светильник. Аварийный блок выносной</t>
  </si>
  <si>
    <t>2206277_IP 54 WHI  Emg</t>
  </si>
  <si>
    <t>МАТ.СВЕТ.АВАР.065 — MICA ON D330 27W-4000K CRI 90 Ceil MP ECO WHI Emerg IP54 - Светильник. Аварийный блок выносной</t>
  </si>
  <si>
    <t>МАТ.СВЕТ.АВАР.066</t>
  </si>
  <si>
    <t>MICA System D330 27W-4000K CRI 90 MP ECO BLK Emerg - Светильник</t>
  </si>
  <si>
    <t>2206251 BLK Emg</t>
  </si>
  <si>
    <t>МАТ.СВЕТ.АВАР.066 — MICA System D330 27W-4000K CRI 90 MP ECO BLK Emerg - Светильник</t>
  </si>
  <si>
    <t>МАТ.СВЕТ.АВАР.067</t>
  </si>
  <si>
    <t>Nuby 600x600 LongPrism T15-24 39W-4000K CRI 90 M600 Recess Emerg - Светильник</t>
  </si>
  <si>
    <t>2206306_ WHI Emg</t>
  </si>
  <si>
    <t>МАТ.СВЕТ.АВАР.067 — Nuby 600x600 LongPrism T15-24 39W-4000K CRI 90 M600 Recess Emerg - Светильник</t>
  </si>
  <si>
    <t>МАТ.СВЕТ.АВАР.068</t>
  </si>
  <si>
    <t>Quark AIR HE D45 MP 8W-4000K CRI 90 H110 Susp BLK Emerg - Светильник</t>
  </si>
  <si>
    <t>2503425_ BLK Emg</t>
  </si>
  <si>
    <t>МАТ.СВЕТ.АВАР.068 — Quark AIR HE D45 MP 8W-4000K CRI 90 H110 Susp BLK Emerg - Светильник</t>
  </si>
  <si>
    <t>МАТ.СВЕТ.АВАР.069</t>
  </si>
  <si>
    <t>Quark AIR HE MP D70 12W-4000K CRI 90 H210 Susp BLK Emerg- Светильник</t>
  </si>
  <si>
    <t>2201293_ BLK  Emg</t>
  </si>
  <si>
    <t>МАТ.СВЕТ.АВАР.069 — Quark AIR HE MP D70 12W-4000K CRI 90 H210 Susp BLK Emerg- Светильник</t>
  </si>
  <si>
    <t>МАТ.СВЕТ.АВАР.070</t>
  </si>
  <si>
    <t>Quark AIR HE MP D70 12W-4000K CRI 90 H210 Susp WHI Emerg- Светильник</t>
  </si>
  <si>
    <t>2201293_ WHI Emg</t>
  </si>
  <si>
    <t>МАТ.СВЕТ.АВАР.070 — Quark AIR HE MP D70 12W-4000K CRI 90 H210 Susp WHI Emerg- Светильник</t>
  </si>
  <si>
    <t>МАТ.СВЕТ.АВАР.071</t>
  </si>
  <si>
    <t>Quark AIR IT MP D70 12W-4000K CRI 90 H210 Susp BLK Emerg - Светильник</t>
  </si>
  <si>
    <t>2201857_ BLK Emg</t>
  </si>
  <si>
    <t>МАТ.СВЕТ.АВАР.071 — Quark AIR IT MP D70 12W-4000K CRI 90 H210 Susp BLK Emerg - Светильник</t>
  </si>
  <si>
    <t>МАТ.СВЕТ.АВАР.072</t>
  </si>
  <si>
    <t>Quark AIR IT MP D70 12W-4000K CRI 90 H210 Susp WHI Emerg - Светильник</t>
  </si>
  <si>
    <t>2201857_ WHI Emg</t>
  </si>
  <si>
    <t>МАТ.СВЕТ.АВАР.072 — Quark AIR IT MP D70 12W-4000K CRI 90 H210 Susp WHI Emerg - Светильник</t>
  </si>
  <si>
    <t>МАТ.СВЕТ.АВАР.073</t>
  </si>
  <si>
    <t>Quark AIR IT Ref 45` D70 6W-4000K CRI 90 H210 Susp BLK Emerg - Светильник</t>
  </si>
  <si>
    <t>2407161_ BLK Emg</t>
  </si>
  <si>
    <t>МАТ.СВЕТ.АВАР.073 — Quark AIR IT Ref 45` D70 6W-4000K CRI 90 H210 Susp BLK Emerg - Светильник</t>
  </si>
  <si>
    <t>МАТ.СВЕТ.АВАР.074</t>
  </si>
  <si>
    <t>Quark AIR IT Ref 45` D70 6W-4000K CRI 90 H210 Susp WHI Emerg - Светильник</t>
  </si>
  <si>
    <t>2407161_ WHI Emg</t>
  </si>
  <si>
    <t>МАТ.СВЕТ.АВАР.074 — Quark AIR IT Ref 45` D70 6W-4000K CRI 90 H210 Susp WHI Emerg - Светильник</t>
  </si>
  <si>
    <t>МАТ.СВЕТ.АВАР.075</t>
  </si>
  <si>
    <t>Quark AIR IT Ref 45` D70 8W-4000K CRI 90 H210 Susp BLK Emerg - Светильник</t>
  </si>
  <si>
    <t>2406751_ BLK Emg</t>
  </si>
  <si>
    <t>МАТ.СВЕТ.АВАР.075 — Quark AIR IT Ref 45` D70 8W-4000K CRI 90 H210 Susp BLK Emerg - Светильник</t>
  </si>
  <si>
    <t>МАТ.СВЕТ.АВАР.076</t>
  </si>
  <si>
    <t>Quark AIR IT Ref 45` D70 8W-4000K CRI 90 H210 Susp WHI Emerg - Светильник</t>
  </si>
  <si>
    <t>2406751_ WHI Emg</t>
  </si>
  <si>
    <t>МАТ.СВЕТ.АВАР.076 — Quark AIR IT Ref 45` D70 8W-4000K CRI 90 H210 Susp WHI Emerg - Светильник</t>
  </si>
  <si>
    <t>МАТ.СВЕТ.АВАР.077</t>
  </si>
  <si>
    <t>Quark AIR IT Ref 60` D70 6W-4000K CRI 90 H210 Susp BLK Emerg - Светильник</t>
  </si>
  <si>
    <t>2407155_ BLK Emg</t>
  </si>
  <si>
    <t>МАТ.СВЕТ.АВАР.077 — Quark AIR IT Ref 60` D70 6W-4000K CRI 90 H210 Susp BLK Emerg - Светильник</t>
  </si>
  <si>
    <t>МАТ.СВЕТ.АВАР.078</t>
  </si>
  <si>
    <t>Quark AIR IT Ref 60` D70 6W-4000K CRI 90 H210 Susp WHI Emerg - Светильник</t>
  </si>
  <si>
    <t>2407155_ WHI Emg</t>
  </si>
  <si>
    <t>МАТ.СВЕТ.АВАР.078 — Quark AIR IT Ref 60` D70 6W-4000K CRI 90 H210 Susp WHI Emerg - Светильник</t>
  </si>
  <si>
    <t>МАТ.СВЕТ.АВАР.079</t>
  </si>
  <si>
    <t>Quark AIR IT Ref 60` D70 8W-4000K CRI 90 H210 Susp BLK Emerg - Светильник</t>
  </si>
  <si>
    <t>2406762_ BLK Emg</t>
  </si>
  <si>
    <t>МАТ.СВЕТ.АВАР.079 — Quark AIR IT Ref 60` D70 8W-4000K CRI 90 H210 Susp BLK Emerg - Светильник</t>
  </si>
  <si>
    <t>МАТ.СВЕТ.АВАР.080</t>
  </si>
  <si>
    <t>Quark AIR IT Ref 60` D70 8W-4000K CRI 90 H210 Susp WHI Emerg - Светильник</t>
  </si>
  <si>
    <t>2406762_ WHI Emg</t>
  </si>
  <si>
    <t>МАТ.СВЕТ.АВАР.080 — Quark AIR IT Ref 60` D70 8W-4000K CRI 90 H210 Susp WHI Emerg - Светильник</t>
  </si>
  <si>
    <t>МАТ.СВЕТ.АВАР.081</t>
  </si>
  <si>
    <t>Quark IN HE D70 MP 8W-4000K CRI 90 Recess BLK Emerg - Светильник</t>
  </si>
  <si>
    <t>2202126_ BLK Emg</t>
  </si>
  <si>
    <t>МАТ.СВЕТ.АВАР.081 — Quark IN HE D70 MP 8W-4000K CRI 90 Recess BLK Emerg - Светильник</t>
  </si>
  <si>
    <t>МАТ.СВЕТ.АВАР.082</t>
  </si>
  <si>
    <t>Quark IN HE D70 MP 8W-4000K CRI 90 Recess WHI Emerg - Светильник</t>
  </si>
  <si>
    <t>2202126_ WHI Emg</t>
  </si>
  <si>
    <t>МАТ.СВЕТ.АВАР.082 — Quark IN HE D70 MP 8W-4000K CRI 90 Recess WHI Emerg - Светильник</t>
  </si>
  <si>
    <t>МАТ.СВЕТ.АВАР.083</t>
  </si>
  <si>
    <t>Quark IN IT D70 REF 45` 6W-4000K CRI 90 Recess BLK Emerg - Светильник</t>
  </si>
  <si>
    <t>2407247_ BLK Emg</t>
  </si>
  <si>
    <t>МАТ.СВЕТ.АВАР.083 — Quark IN IT D70 REF 45` 6W-4000K CRI 90 Recess BLK Emerg - Светильник</t>
  </si>
  <si>
    <t>МАТ.СВЕТ.АВАР.084</t>
  </si>
  <si>
    <t>Quark IN IT D70 REF 45` 6W-4000K CRI 90 Recess WHI Emerg - Светильник</t>
  </si>
  <si>
    <t>2407247_ WHI Emg</t>
  </si>
  <si>
    <t>МАТ.СВЕТ.АВАР.084 — Quark IN IT D70 REF 45` 6W-4000K CRI 90 Recess WHI Emerg - Светильник</t>
  </si>
  <si>
    <t>МАТ.СВЕТ.АВАР.085</t>
  </si>
  <si>
    <t>Quark IN IT D70 REF 60` 12W-4000K CRI 90 Recess BLK Emerg - Светильник</t>
  </si>
  <si>
    <t>2400039_ BLK Emg</t>
  </si>
  <si>
    <t>МАТ.СВЕТ.АВАР.085 — Quark IN IT D70 REF 60` 12W-4000K CRI 90 Recess BLK Emerg - Светильник</t>
  </si>
  <si>
    <t>МАТ.СВЕТ.АВАР.086</t>
  </si>
  <si>
    <t>Quark IN IT D70 REF 60` 12W-4000K CRI 90 Recess WHI Emerg - Светильник</t>
  </si>
  <si>
    <t>2400039_ WHI Emg</t>
  </si>
  <si>
    <t>МАТ.СВЕТ.АВАР.086 — Quark IN IT D70 REF 60` 12W-4000K CRI 90 Recess WHI Emerg - Светильник</t>
  </si>
  <si>
    <t>МАТ.СВЕТ.АВАР.087</t>
  </si>
  <si>
    <t>Quark IN IT D70 REF 60` 8W-4000K CRI 90 Recess BLK Emerg - Светильник</t>
  </si>
  <si>
    <t>2400033_ BLK Emg</t>
  </si>
  <si>
    <t>МАТ.СВЕТ.АВАР.087 — Quark IN IT D70 REF 60` 8W-4000K CRI 90 Recess BLK Emerg - Светильник</t>
  </si>
  <si>
    <t>МАТ.СВЕТ.АВАР.088</t>
  </si>
  <si>
    <t>Quark IN IT D70 REF 60` 8W-4000K CRI 90 Recess WHI Emerg - Светильник</t>
  </si>
  <si>
    <t>2400033_ WHI Emg</t>
  </si>
  <si>
    <t>МАТ.СВЕТ.АВАР.088 — Quark IN IT D70 REF 60` 8W-4000K CRI 90 Recess WHI Emerg - Светильник</t>
  </si>
  <si>
    <t>МАТ.СВЕТ.АВАР.089</t>
  </si>
  <si>
    <t>Quark ON IT D70 45` 8W-4000K CRI 90 H210 Ceil RAL3028 Emerg - Светильник</t>
  </si>
  <si>
    <t>2308932 RAL3028 Emg</t>
  </si>
  <si>
    <t>МАТ.СВЕТ.АВАР.089 — Quark ON IT D70 45` 8W-4000K CRI 90 H210 Ceil RAL3028 Emerg - Светильник</t>
  </si>
  <si>
    <t>МАТ.СВЕТ.АВАР.090</t>
  </si>
  <si>
    <t>Ray IN D750 69W-4000K CRI 90 Susp BLK Emerg - Светильник</t>
  </si>
  <si>
    <t>2206334_ BLK Emg</t>
  </si>
  <si>
    <t>МАТ.СВЕТ.АВАР.090 — Ray IN D750 69W-4000K CRI 90 Susp BLK Emerg - Светильник</t>
  </si>
  <si>
    <t>МАТ.СВЕТ.АВАР.091</t>
  </si>
  <si>
    <t>Ray IN D750 69W-4000K CRI 90 Susp WHI Emerg - Светильник</t>
  </si>
  <si>
    <t>2206334_ WHI Emg</t>
  </si>
  <si>
    <t>МАТ.СВЕТ.АВАР.091 — Ray IN D750 69W-4000K CRI 90 Susp WHI Emerg - Светильник</t>
  </si>
  <si>
    <t>МАТ.СВЕТ.АВАР.092</t>
  </si>
  <si>
    <t>Rota D1000 MP ECO 42W-4000K CRI 90 Susp BLK Emerg- Светильник</t>
  </si>
  <si>
    <t>2206905_ BLK Emg</t>
  </si>
  <si>
    <t>МАТ.СВЕТ.АВАР.092 — Rota D1000 MP ECO 42W-4000K CRI 90 Susp BLK Emerg- Светильник</t>
  </si>
  <si>
    <t>МАТ.СВЕТ.АВАР.093</t>
  </si>
  <si>
    <t>Rota D1000 MP ECO 42W-4000K CRI 90 Susp WHI Emerg- Светильник</t>
  </si>
  <si>
    <t>2206905_ WHI Emg</t>
  </si>
  <si>
    <t>МАТ.СВЕТ.АВАР.093 — Rota D1000 MP ECO 42W-4000K CRI 90 Susp WHI Emerg- Светильник</t>
  </si>
  <si>
    <t>МАТ.СВЕТ.АВАР.094</t>
  </si>
  <si>
    <t>Rota D1000 MP ECO 54W-4000K CRI 90 L24 270mA Susp BLK Emerg- Светильник</t>
  </si>
  <si>
    <t>2206911_ BLK Emg</t>
  </si>
  <si>
    <t>МАТ.СВЕТ.АВАР.094 — Rota D1000 MP ECO 54W-4000K CRI 90 L24 270mA Susp BLK Emerg- Светильник</t>
  </si>
  <si>
    <t>МАТ.СВЕТ.АВАР.095</t>
  </si>
  <si>
    <t>Rota D1000 MP ECO 54W-4000K CRI 90 L24 270mA Susp WHI Emerg- Светильник</t>
  </si>
  <si>
    <t>2206911_ WHI Emerg</t>
  </si>
  <si>
    <t>МАТ.СВЕТ.АВАР.095 — Rota D1000 MP ECO 54W-4000K CRI 90 L24 270mA Susp WHI Emerg- Светильник</t>
  </si>
  <si>
    <t>МАТ.СВЕТ.АВАР.096</t>
  </si>
  <si>
    <t>Rota D1000 MP ECO 54W-4000K CRI 90 L24 Susp BLK Emerg - Светильник</t>
  </si>
  <si>
    <t>2400467_ BLK Emg</t>
  </si>
  <si>
    <t>МАТ.СВЕТ.АВАР.096 — Rota D1000 MP ECO 54W-4000K CRI 90 L24 Susp BLK Emerg - Светильник</t>
  </si>
  <si>
    <t>МАТ.СВЕТ.АВАР.097</t>
  </si>
  <si>
    <t>Rota D1000 MP ECO 54W-4000K CRI 90 L24 Susp WHI Emerg - Светильник</t>
  </si>
  <si>
    <t>2400467_ WHI Emg</t>
  </si>
  <si>
    <t>МАТ.СВЕТ.АВАР.097 — Rota D1000 MP ECO 54W-4000K CRI 90 L24 Susp WHI Emerg - Светильник</t>
  </si>
  <si>
    <t>МАТ.СВЕТ.АВАР.098</t>
  </si>
  <si>
    <t>Rota Egg DI MP ECO 28W-4000K CRI 90 270mA Susp BLK Emerg- Светильник</t>
  </si>
  <si>
    <t>2208098_ BLK Emg</t>
  </si>
  <si>
    <t>МАТ.СВЕТ.АВАР.098 — Rota Egg DI MP ECO 28W-4000K CRI 90 270mA Susp BLK Emerg- Светильник</t>
  </si>
  <si>
    <t>МАТ.СВЕТ.АВАР.099</t>
  </si>
  <si>
    <t>Rota Egg DI MP ECO 28W-4000K CRI 90 270mA Susp WHI Emerg- Светильник</t>
  </si>
  <si>
    <t>2208098_ WHI Emg</t>
  </si>
  <si>
    <t>МАТ.СВЕТ.АВАР.099 — Rota Egg DI MP ECO 28W-4000K CRI 90 270mA Susp WHI Emerg- Светильник</t>
  </si>
  <si>
    <t>МАТ.СВЕТ.АВАР.100</t>
  </si>
  <si>
    <t>Rota Egg DI MP ECO 40W-4000K CRI 90 Susp BLK Emerg - Светильник</t>
  </si>
  <si>
    <t>2207549_ BLK Emg</t>
  </si>
  <si>
    <t>МАТ.СВЕТ.АВАР.100 — Rota Egg DI MP ECO 40W-4000K CRI 90 Susp BLK Emerg - Светильник</t>
  </si>
  <si>
    <t>МАТ.СВЕТ.АВАР.101</t>
  </si>
  <si>
    <t>Rota Egg DI MP ECO 40W-4000K CRI 90 Susp WHI Emerg - Светильник</t>
  </si>
  <si>
    <t>2207549_ WHI Emg</t>
  </si>
  <si>
    <t>МАТ.СВЕТ.АВАР.101 — Rota Egg DI MP ECO 40W-4000K CRI 90 Susp WHI Emerg - Светильник</t>
  </si>
  <si>
    <t>МАТ.СВЕТ.АВАР.102</t>
  </si>
  <si>
    <t>Rota Egg DI MP ECO 54W-4000K CRI 90 L24 270mA Susp BLK Emerg- Светильник</t>
  </si>
  <si>
    <t>2207550_ BLK Emg</t>
  </si>
  <si>
    <t>МАТ.СВЕТ.АВАР.102 — Rota Egg DI MP ECO 54W-4000K CRI 90 L24 270mA Susp BLK Emerg- Светильник</t>
  </si>
  <si>
    <t>МАТ.СВЕТ.АВАР.103</t>
  </si>
  <si>
    <t>Rota Egg DI MP ECO 54W-4000K CRI 90 L24 270mA Susp WHI Emerg- Светильник</t>
  </si>
  <si>
    <t>2207550_ WHI Emg</t>
  </si>
  <si>
    <t>МАТ.СВЕТ.АВАР.103 — Rota Egg DI MP ECO 54W-4000K CRI 90 L24 270mA Susp WHI Emerg- Светильник</t>
  </si>
  <si>
    <t>МАТ.СВЕТ.АВАР.104</t>
  </si>
  <si>
    <t>Rota Egg DI MP ECO 77W-4000K CRI 90 L24 Susp BLK Emerg - Светильник</t>
  </si>
  <si>
    <t>2400466_ BLK Emg</t>
  </si>
  <si>
    <t>МАТ.СВЕТ.АВАР.104 — Rota Egg DI MP ECO 77W-4000K CRI 90 L24 Susp BLK Emerg - Светильник</t>
  </si>
  <si>
    <t>МАТ.СВЕТ.АВАР.105</t>
  </si>
  <si>
    <t>Rota Egg DI MP ECO 77W-4000K CRI 90 L24 Susp WHI Emerg - Светильник</t>
  </si>
  <si>
    <t>2400466_ WHI Emg</t>
  </si>
  <si>
    <t>МАТ.СВЕТ.АВАР.105 — Rota Egg DI MP ECO 77W-4000K CRI 90 L24 Susp WHI Emerg - Светильник</t>
  </si>
  <si>
    <t>МАТ.СВЕТ.АВАР.106</t>
  </si>
  <si>
    <t>Rota Triangle DI MP ECO 42W-4000K CRI 90 Susp BLK Emerg - Светильник</t>
  </si>
  <si>
    <t>2207574_ BLK Emg</t>
  </si>
  <si>
    <t>МАТ.СВЕТ.АВАР.106 — Rota Triangle DI MP ECO 42W-4000K CRI 90 Susp BLK Emerg - Светильник</t>
  </si>
  <si>
    <t>МАТ.СВЕТ.АВАР.107</t>
  </si>
  <si>
    <t>Rota Triangle DI MP ECO 42W-4000K CRI 90 Susp WHI Emerg - Светильник</t>
  </si>
  <si>
    <t>2207574_ WHI Emg</t>
  </si>
  <si>
    <t>МАТ.СВЕТ.АВАР.107 — Rota Triangle DI MP ECO 42W-4000K CRI 90 Susp WHI Emerg - Светильник</t>
  </si>
  <si>
    <t>МАТ.СВЕТ.АВАР.108</t>
  </si>
  <si>
    <t>Rota Triangle DI MP ECO 54W-4000K CRI 90 L24 270mA Susp BLK Emerg- Светильник</t>
  </si>
  <si>
    <t>2207575_ BLK  Emg</t>
  </si>
  <si>
    <t>МАТ.СВЕТ.АВАР.108 — Rota Triangle DI MP ECO 54W-4000K CRI 90 L24 270mA Susp BLK Emerg- Светильник</t>
  </si>
  <si>
    <t>МАТ.СВЕТ.АВАР.109</t>
  </si>
  <si>
    <t>Rota Triangle DI MP ECO 54W-4000K CRI 90 L24 270mA Susp WHI Emerg- Светильник</t>
  </si>
  <si>
    <t>2207575_ WHI  Emg</t>
  </si>
  <si>
    <t>МАТ.СВЕТ.АВАР.109 — Rota Triangle DI MP ECO 54W-4000K CRI 90 L24 270mA Susp WHI Emerg- Светильник</t>
  </si>
  <si>
    <t>МАТ.СВЕТ.АВАР.110</t>
  </si>
  <si>
    <t>Zest AREA BOX Q 7W/2W-4000K CRI 90 1HNM Ceil BLK RAL7021 - Аварийный светильник</t>
  </si>
  <si>
    <t>1401194_ BLK RAL7021</t>
  </si>
  <si>
    <t>МАТ.СВЕТ.АВАР.110 — Zest AREA BOX Q 7W/2W-4000K CRI 90 1HNM Ceil BLK RAL7021 - Аварийный светильник</t>
  </si>
  <si>
    <t>МАТ.СПЛИТ.001</t>
  </si>
  <si>
    <t>Канальный 18 AD50S2LM1FA/1U50S1LM1FA</t>
  </si>
  <si>
    <t>МАТ.СПЛИТ.001 — Канальный 18 AD50S2LM1FA/1U50S1LM1FA</t>
  </si>
  <si>
    <t>МАТ.СПЛИТ.002</t>
  </si>
  <si>
    <t>Канальный 18 MDT2I-18HWFN8 / MDOU-18HFN8</t>
  </si>
  <si>
    <t>МАТ.СПЛИТ.002 — Канальный 18 MDT2I-18HWFN8 / MDOU-18HFN8</t>
  </si>
  <si>
    <t>МАТ.СПЛИТ.003</t>
  </si>
  <si>
    <t>Канальный 24 AD71S2LM1FA/1U71S1LR1FA</t>
  </si>
  <si>
    <t>МАТ.СПЛИТ.003 — Канальный 24 AD71S2LM1FA/1U71S1LR1FA</t>
  </si>
  <si>
    <t>МАТ.СПЛИТ.004</t>
  </si>
  <si>
    <t>Канальный 24 MDT2I-24HWFN8 / MDOUN-24HFN8</t>
  </si>
  <si>
    <t>МАТ.СПЛИТ.004 — Канальный 24 MDT2I-24HWFN8 / MDOUN-24HFN8</t>
  </si>
  <si>
    <t>МАТ.СПЛИТ.005</t>
  </si>
  <si>
    <t>Канальный 24 MDTJ2-24HWN1 / MDOU3-24HN1-L</t>
  </si>
  <si>
    <t>МАТ.СПЛИТ.005 — Канальный 24 MDTJ2-24HWN1 / MDOU3-24HN1-L</t>
  </si>
  <si>
    <t>МАТ.СПЛИТ.006</t>
  </si>
  <si>
    <t>Канальный 36 AD105S2LM1FA/1U105S1LS1FA</t>
  </si>
  <si>
    <t>МАТ.СПЛИТ.006 — Канальный 36 AD105S2LM1FA/1U105S1LS1FA</t>
  </si>
  <si>
    <t>МАТ.СПЛИТ.007</t>
  </si>
  <si>
    <t>Канальный 36 MDT2I-36HWFN8 / MDOU-36HFN8</t>
  </si>
  <si>
    <t>МАТ.СПЛИТ.007 — Канальный 36 MDT2I-36HWFN8 / MDOU-36HFN8</t>
  </si>
  <si>
    <t>МАТ.СПЛИТ.008</t>
  </si>
  <si>
    <t>Канальный 36 MDTJ2-36HWN1 / MDOU3-36HN1-L</t>
  </si>
  <si>
    <t>МАТ.СПЛИТ.008 — Канальный 36 MDTJ2-36HWN1 / MDOU3-36HN1-L</t>
  </si>
  <si>
    <t>МАТ.СПЛИТ.009</t>
  </si>
  <si>
    <t>Канальный 48 AD140S2LM1FA/1U140S1LN1FB</t>
  </si>
  <si>
    <t>МАТ.СПЛИТ.009 — Канальный 48 AD140S2LM1FA/1U140S1LN1FB</t>
  </si>
  <si>
    <t>МАТ.СПЛИТ.010</t>
  </si>
  <si>
    <t>Канальный 48 MDT2I-48HWFN8 / MDOUN-48HFN8</t>
  </si>
  <si>
    <t>МАТ.СПЛИТ.010 — Канальный 48 MDT2I-48HWFN8 / MDOUN-48HFN8</t>
  </si>
  <si>
    <t>МАТ.СПЛИТ.011</t>
  </si>
  <si>
    <t>Канальный 48 MDTJ2-48HWN1 / MDOU3-48HN1-L</t>
  </si>
  <si>
    <t>МАТ.СПЛИТ.011 — Канальный 48 MDTJ2-48HWN1 / MDOU3-48HN1-L</t>
  </si>
  <si>
    <t>МАТ.СПЛИТ.012</t>
  </si>
  <si>
    <t>Канальный 60 AD160S2LM1FA/1U160S1LN1FB</t>
  </si>
  <si>
    <t>МАТ.СПЛИТ.012 — Канальный 60 AD160S2LM1FA/1U160S1LN1FB</t>
  </si>
  <si>
    <t>МАТ.СПЛИТ.013</t>
  </si>
  <si>
    <t>Канальный 60 MDT2I-60HWFN8 / MDOUN-60HFN8</t>
  </si>
  <si>
    <t>МАТ.СПЛИТ.013 — Канальный 60 MDT2I-60HWFN8 / MDOUN-60HFN8</t>
  </si>
  <si>
    <t>МАТ.СПЛИТ.014</t>
  </si>
  <si>
    <t>Канальный 60 MDTJ2-60HWN1 / MDOU3-60HN1-L</t>
  </si>
  <si>
    <t>МАТ.СПЛИТ.014 — Канальный 60 MDTJ2-60HWN1 / MDOU3-60HN1-L</t>
  </si>
  <si>
    <t>МАТ.СПЛИТ.015</t>
  </si>
  <si>
    <t>Кассетный 12 AB35S2SC1FA/1U35S2SM4FA/PB-700KB</t>
  </si>
  <si>
    <t>МАТ.СПЛИТ.015 — Кассетный 12 AB35S2SC1FA/1U35S2SM4FA/PB-700KB</t>
  </si>
  <si>
    <t>МАТ.СПЛИТ.016</t>
  </si>
  <si>
    <t>Кассетный 12 MDCA6-12HRN1 / T-MBQ4-03B / MDOU3-12HN1-L</t>
  </si>
  <si>
    <t>МАТ.СПЛИТ.016 — Кассетный 12 MDCA6-12HRN1 / T-MBQ4-03B / MDOU3-12HN1-L</t>
  </si>
  <si>
    <t>МАТ.СПЛИТ.017</t>
  </si>
  <si>
    <t>Кассетный 12 MDCAC4I-12HRFN8 / T-MBQ4-03BD / MDOAG-12HFN8</t>
  </si>
  <si>
    <t>МАТ.СПЛИТ.017 — Кассетный 12 MDCAC4I-12HRFN8 / T-MBQ4-03BD / MDOAG-12HFN8</t>
  </si>
  <si>
    <t>МАТ.СПЛИТ.018</t>
  </si>
  <si>
    <t>Кассетный 18 AB50S2SC1FA/1U50S2SJ3FA/PB-700KB</t>
  </si>
  <si>
    <t>МАТ.СПЛИТ.018 — Кассетный 18 AB50S2SC1FA/1U50S2SJ3FA/PB-700KB</t>
  </si>
  <si>
    <t>МАТ.СПЛИТ.019</t>
  </si>
  <si>
    <t>Кассетный 18 MDCA6-18HRN1 / T-MBQ4-03B / MDOU3-18HN1-L</t>
  </si>
  <si>
    <t>МАТ.СПЛИТ.019 — Кассетный 18 MDCA6-18HRN1 / T-MBQ4-03B / MDOU3-18HN1-L</t>
  </si>
  <si>
    <t>МАТ.СПЛИТ.020</t>
  </si>
  <si>
    <t>Кассетный 18 MDCAC4I-18HRFN8 / T-MBQ4-03BD / MDOAG-18HFN8</t>
  </si>
  <si>
    <t>МАТ.СПЛИТ.020 — Кассетный 18 MDCAC4I-18HRFN8 / T-MBQ4-03BD / MDOAG-18HFN8</t>
  </si>
  <si>
    <t>МАТ.СПЛИТ.021</t>
  </si>
  <si>
    <t>Кассетный 24 AB71S2LR2FA/1U71S1LR2FA/PB-950QB(P)</t>
  </si>
  <si>
    <t>МАТ.СПЛИТ.021 — Кассетный 24 AB71S2LR2FA/1U71S1LR2FA/PB-950QB(P)</t>
  </si>
  <si>
    <t>МАТ.СПЛИТ.022</t>
  </si>
  <si>
    <t>Кассетный 24 MDCD-24HRFN8 / T-MBQ4-04BD / MDOUN-24HFN8</t>
  </si>
  <si>
    <t>МАТ.СПЛИТ.022 — Кассетный 24 MDCD-24HRFN8 / T-MBQ4-04BD / MDOUN-24HFN8</t>
  </si>
  <si>
    <t>МАТ.СПЛИТ.023</t>
  </si>
  <si>
    <t>Кассетный 24 MDCF-24HRN1 / T-MBQ4-04B / MDOU3-24HN1-L</t>
  </si>
  <si>
    <t>МАТ.СПЛИТ.023 — Кассетный 24 MDCF-24HRN1 / T-MBQ4-04B / MDOU3-24HN1-L</t>
  </si>
  <si>
    <t>МАТ.СПЛИТ.024</t>
  </si>
  <si>
    <t>Кассетный 30 AB71S2LR2FA/1U71S1LR2FA/PB-950QB(P)</t>
  </si>
  <si>
    <t>МАТ.СПЛИТ.024 — Кассетный 30 AB71S2LR2FA/1U71S1LR2FA/PB-950QB(P)</t>
  </si>
  <si>
    <t>МАТ.СПЛИТ.025</t>
  </si>
  <si>
    <t>Кассетный 30 MDCD-24HRFN8 / T-MBQ4-04BD / MDOUN-24HFN8</t>
  </si>
  <si>
    <t>МАТ.СПЛИТ.025 — Кассетный 30 MDCD-24HRFN8 / T-MBQ4-04BD / MDOUN-24HFN8</t>
  </si>
  <si>
    <t>МАТ.СПЛИТ.026</t>
  </si>
  <si>
    <t>Кассетный 30 MDCF-24HRN1 / T-MBQ4-04B / MDOU3-24HN1-L</t>
  </si>
  <si>
    <t>МАТ.СПЛИТ.026 — Кассетный 30 MDCF-24HRN1 / T-MBQ4-04B / MDOU3-24HN1-L</t>
  </si>
  <si>
    <t>МАТ.СПЛИТ.027</t>
  </si>
  <si>
    <t>Кассетный 36 AB105S2LR2FA/1U105S1LS2FB/PB-950QB(P)</t>
  </si>
  <si>
    <t>МАТ.СПЛИТ.027 — Кассетный 36 AB105S2LR2FA/1U105S1LS2FB/PB-950QB(P)</t>
  </si>
  <si>
    <t>МАТ.СПЛИТ.028</t>
  </si>
  <si>
    <t>Кассетный 36 MDCD-36HRFN8 / T-MBQ4-04BD / MDOU-36HFN8</t>
  </si>
  <si>
    <t>МАТ.СПЛИТ.028 — Кассетный 36 MDCD-36HRFN8 / T-MBQ4-04BD / MDOU-36HFN8</t>
  </si>
  <si>
    <t>МАТ.СПЛИТ.029</t>
  </si>
  <si>
    <t>Кассетный 36 MDCF2-36HRN1 / T-MBQ4-04B / MDOU3-36HN1-L</t>
  </si>
  <si>
    <t>МАТ.СПЛИТ.029 — Кассетный 36 MDCF2-36HRN1 / T-MBQ4-04B / MDOU3-36HN1-L</t>
  </si>
  <si>
    <t>МАТ.СПЛИТ.030</t>
  </si>
  <si>
    <t>Кассетный 48 AB140S2LR2FA/1U140S2LN2FB/PB-950QB(P)</t>
  </si>
  <si>
    <t>МАТ.СПЛИТ.030 — Кассетный 48 AB140S2LR2FA/1U140S2LN2FB/PB-950QB(P)</t>
  </si>
  <si>
    <t>МАТ.СПЛИТ.031</t>
  </si>
  <si>
    <t>Кассетный 48 MDCD-48HRFN8 / T-MBQ4-04BD / MDOUN-48HFN8</t>
  </si>
  <si>
    <t>МАТ.СПЛИТ.031 — Кассетный 48 MDCD-48HRFN8 / T-MBQ4-04BD / MDOUN-48HFN8</t>
  </si>
  <si>
    <t>МАТ.СПЛИТ.032</t>
  </si>
  <si>
    <t>Кассетный 48 MDCF-48HRN1 / T-MBQ4-04B / MDOU3-48HN1-L</t>
  </si>
  <si>
    <t>МАТ.СПЛИТ.032 — Кассетный 48 MDCF-48HRN1 / T-MBQ4-04B / MDOU3-48HN1-L</t>
  </si>
  <si>
    <t>МАТ.СПЛИТ.033</t>
  </si>
  <si>
    <t>Кассетный 54 AB160S2LR2FA/1U160S2LN2FB/PB-950QB(P)</t>
  </si>
  <si>
    <t>МАТ.СПЛИТ.033 — Кассетный 54 AB160S2LR2FA/1U160S2LN2FB/PB-950QB(P)</t>
  </si>
  <si>
    <t>МАТ.СПЛИТ.034</t>
  </si>
  <si>
    <t>Кассетный 54 MDCD-60HRFN8 / T-MBQ4-04BD / MDOUN-60HFN8</t>
  </si>
  <si>
    <t>МАТ.СПЛИТ.034 — Кассетный 54 MDCD-60HRFN8 / T-MBQ4-04BD / MDOUN-60HFN8</t>
  </si>
  <si>
    <t>МАТ.СПЛИТ.035</t>
  </si>
  <si>
    <t>Кассетный 54 MDCF2-60HRN1 / T-MBQ4-04B / MDOU3-60HN1-L</t>
  </si>
  <si>
    <t>МАТ.СПЛИТ.035 — Кассетный 54 MDCF2-60HRN1 / T-MBQ4-04B / MDOU3-60HN1-L</t>
  </si>
  <si>
    <t>МАТ.СПЛИТ.036</t>
  </si>
  <si>
    <t>Мульти-сплит внешн. блок 2U50S2SM1FA-3</t>
  </si>
  <si>
    <t>МАТ.СПЛИТ.036 — Мульти-сплит внешн. блок 2U50S2SM1FA-3</t>
  </si>
  <si>
    <t>МАТ.СПЛИТ.037</t>
  </si>
  <si>
    <t>Мульти-сплит внешн. блок 3U55S2SR5FA</t>
  </si>
  <si>
    <t>МАТ.СПЛИТ.037 — Мульти-сплит внешн. блок 3U55S2SR5FA</t>
  </si>
  <si>
    <t>МАТ.СПЛИТ.038</t>
  </si>
  <si>
    <t>Мульти-сплит внешн. блок 4U75S2SR5FA</t>
  </si>
  <si>
    <t>МАТ.СПЛИТ.038 — Мульти-сплит внешн. блок 4U75S2SR5FA</t>
  </si>
  <si>
    <t>МАТ.СПЛИТ.039</t>
  </si>
  <si>
    <t>Мульти-сплит внешн. блок 5U105S2SS5FA</t>
  </si>
  <si>
    <t>МАТ.СПЛИТ.039 — Мульти-сплит внешн. блок 5U105S2SS5FA</t>
  </si>
  <si>
    <t>МАТ.СПЛИТ.040</t>
  </si>
  <si>
    <t>Мульти-сплит внешн. блок 5U125S2SN1FA</t>
  </si>
  <si>
    <t>МАТ.СПЛИТ.040 — Мульти-сплит внешн. блок 5U125S2SN1FA</t>
  </si>
  <si>
    <t>МАТ.СПЛИТ.041</t>
  </si>
  <si>
    <t>Мульти-сплит внешн. блок 5U90S2SS5FA</t>
  </si>
  <si>
    <t>МАТ.СПЛИТ.041 — Мульти-сплит внешн. блок 5U90S2SS5FA</t>
  </si>
  <si>
    <t>МАТ.СПЛИТ.042</t>
  </si>
  <si>
    <t>Мульти-сплит внешн. блок MD2O-18HFN8</t>
  </si>
  <si>
    <t>МАТ.СПЛИТ.042 — Мульти-сплит внешн. блок MD2O-18HFN8</t>
  </si>
  <si>
    <t>МАТ.СПЛИТ.043</t>
  </si>
  <si>
    <t>Мульти-сплит внешн. блок MD3O-21HFN8</t>
  </si>
  <si>
    <t>МАТ.СПЛИТ.043 — Мульти-сплит внешн. блок MD3O-21HFN8</t>
  </si>
  <si>
    <t>МАТ.СПЛИТ.044</t>
  </si>
  <si>
    <t>Мульти-сплит внешн. блок MD4O-28HFN8</t>
  </si>
  <si>
    <t>МАТ.СПЛИТ.044 — Мульти-сплит внешн. блок MD4O-28HFN8</t>
  </si>
  <si>
    <t>МАТ.СПЛИТ.045</t>
  </si>
  <si>
    <t>Мульти-сплит внешн. блок MD4O-36HFN8</t>
  </si>
  <si>
    <t>МАТ.СПЛИТ.045 — Мульти-сплит внешн. блок MD4O-36HFN8</t>
  </si>
  <si>
    <t>МАТ.СПЛИТ.046</t>
  </si>
  <si>
    <t>Мульти-сплит внешн. блок MD5OB-42HFN8</t>
  </si>
  <si>
    <t>МАТ.СПЛИТ.046 — Мульти-сплит внешн. блок MD5OB-42HFN8</t>
  </si>
  <si>
    <t>МАТ.СПЛИТ.047</t>
  </si>
  <si>
    <t>Мульти-сплит канальный внутр. блок AD25S2SS1FA</t>
  </si>
  <si>
    <t>МАТ.СПЛИТ.047 — Мульти-сплит канальный внутр. блок AD25S2SS1FA</t>
  </si>
  <si>
    <t>МАТ.СПЛИТ.048</t>
  </si>
  <si>
    <t>Мульти-сплит канальный внутр. блок AD35S2SS1FA</t>
  </si>
  <si>
    <t>МАТ.СПЛИТ.048 — Мульти-сплит канальный внутр. блок AD35S2SS1FA</t>
  </si>
  <si>
    <t>МАТ.СПЛИТ.049</t>
  </si>
  <si>
    <t>Мульти-сплит канальный внутр. блок AD50S2SS1FA</t>
  </si>
  <si>
    <t>МАТ.СПЛИТ.049 — Мульти-сплит канальный внутр. блок AD50S2SS1FA</t>
  </si>
  <si>
    <t>МАТ.СПЛИТ.050</t>
  </si>
  <si>
    <t>Мульти-сплит канальный внутр. блок AD71S2SS1FA</t>
  </si>
  <si>
    <t>МАТ.СПЛИТ.050 — Мульти-сплит канальный внутр. блок AD71S2SS1FA</t>
  </si>
  <si>
    <t>МАТ.СПЛИТ.051</t>
  </si>
  <si>
    <t>Мульти-сплит канальный внутр. блок MDT2II-09HWFN8</t>
  </si>
  <si>
    <t>МАТ.СПЛИТ.051 — Мульти-сплит канальный внутр. блок MDT2II-09HWFN8</t>
  </si>
  <si>
    <t>МАТ.СПЛИТ.052</t>
  </si>
  <si>
    <t>Мульти-сплит канальный внутр. блок MDT2II-12HWFN8</t>
  </si>
  <si>
    <t>МАТ.СПЛИТ.052 — Мульти-сплит канальный внутр. блок MDT2II-12HWFN8</t>
  </si>
  <si>
    <t>МАТ.СПЛИТ.053</t>
  </si>
  <si>
    <t>Мульти-сплит канальный внутр. блок MDT2II-18HWFN8</t>
  </si>
  <si>
    <t>МАТ.СПЛИТ.053 — Мульти-сплит канальный внутр. блок MDT2II-18HWFN8</t>
  </si>
  <si>
    <t>МАТ.СПЛИТ.054</t>
  </si>
  <si>
    <t>Мульти-сплит канальный внутр. блок MDT2II-24HWFN8</t>
  </si>
  <si>
    <t>МАТ.СПЛИТ.054 — Мульти-сплит канальный внутр. блок MDT2II-24HWFN8</t>
  </si>
  <si>
    <t>МАТ.СПЛИТ.055</t>
  </si>
  <si>
    <t>Мульти-сплит кассетный внутр. блок AB25S2SC1FA/PB-700KB</t>
  </si>
  <si>
    <t>МАТ.СПЛИТ.055 — Мульти-сплит кассетный внутр. блок AB25S2SC1FA/PB-700KB</t>
  </si>
  <si>
    <t>МАТ.СПЛИТ.056</t>
  </si>
  <si>
    <t>МАТ.СПЛИТ.056 — Мульти-сплит кассетный внутр. блок AB25S2SC1FA/PB-700KB</t>
  </si>
  <si>
    <t>МАТ.СПЛИТ.057</t>
  </si>
  <si>
    <t>МАТ.СПЛИТ.057 — Мульти-сплит кассетный внутр. блок AB25S2SC1FA/PB-700KB</t>
  </si>
  <si>
    <t>МАТ.СПЛИТ.058</t>
  </si>
  <si>
    <t>Мульти-сплит кассетный внутр. блок AB35S2SC1FA/PB-700KB</t>
  </si>
  <si>
    <t>МАТ.СПЛИТ.058 — Мульти-сплит кассетный внутр. блок AB35S2SC1FA/PB-700KB</t>
  </si>
  <si>
    <t>МАТ.СПЛИТ.059</t>
  </si>
  <si>
    <t>Мульти-сплит кассетный внутр. блок AB50S2SC1FA/PB-700KB</t>
  </si>
  <si>
    <t>МАТ.СПЛИТ.059 — Мульти-сплит кассетный внутр. блок AB50S2SC1FA/PB-700KB</t>
  </si>
  <si>
    <t>МАТ.СПЛИТ.060</t>
  </si>
  <si>
    <t>Мульти-сплит кассетный внутр. блок AB71S2SG1FA/PB-950KB</t>
  </si>
  <si>
    <t>МАТ.СПЛИТ.060 — Мульти-сплит кассетный внутр. блок AB71S2SG1FA/PB-950KB</t>
  </si>
  <si>
    <t>МАТ.СПЛИТ.061</t>
  </si>
  <si>
    <t>Мульти-сплит кассетный внутр. блок MDCAC4I-07HRFN8 / T-MBQ4-03BD</t>
  </si>
  <si>
    <t>МАТ.СПЛИТ.061 — Мульти-сплит кассетный внутр. блок MDCAC4I-07HRFN8 / T-MBQ4-03BD</t>
  </si>
  <si>
    <t>МАТ.СПЛИТ.062</t>
  </si>
  <si>
    <t>МАТ.СПЛИТ.062 — Мульти-сплит кассетный внутр. блок MDCAC4I-07HRFN8 / T-MBQ4-03BD</t>
  </si>
  <si>
    <t>МАТ.СПЛИТ.063</t>
  </si>
  <si>
    <t>Мульти-сплит кассетный внутр. блок MDCAC4I-09HRFN8 / T-MBQ4-03BD</t>
  </si>
  <si>
    <t>МАТ.СПЛИТ.063 — Мульти-сплит кассетный внутр. блок MDCAC4I-09HRFN8 / T-MBQ4-03BD</t>
  </si>
  <si>
    <t>МАТ.СПЛИТ.064</t>
  </si>
  <si>
    <t>Мульти-сплит кассетный внутр. блок MDCAC4I-12HRFN8 / T-MBQ4-03BD</t>
  </si>
  <si>
    <t>МАТ.СПЛИТ.064 — Мульти-сплит кассетный внутр. блок MDCAC4I-12HRFN8 / T-MBQ4-03BD</t>
  </si>
  <si>
    <t>МАТ.СПЛИТ.065</t>
  </si>
  <si>
    <t>Мульти-сплит кассетный внутр. блок MDCAC4I-18HRFN8 / T-MBQ4-03BD</t>
  </si>
  <si>
    <t>МАТ.СПЛИТ.065 — Мульти-сплит кассетный внутр. блок MDCAC4I-18HRFN8 / T-MBQ4-03BD</t>
  </si>
  <si>
    <t>МАТ.СПЛИТ.066</t>
  </si>
  <si>
    <t>Мульти-сплит напольно-потолочный внутр. блок AC35S2SG1FA</t>
  </si>
  <si>
    <t>МАТ.СПЛИТ.066 — Мульти-сплит напольно-потолочный внутр. блок AC35S2SG1FA</t>
  </si>
  <si>
    <t>МАТ.СПЛИТ.067</t>
  </si>
  <si>
    <t>МАТ.СПЛИТ.067 — Мульти-сплит напольно-потолочный внутр. блок AC35S2SG1FA</t>
  </si>
  <si>
    <t>МАТ.СПЛИТ.068</t>
  </si>
  <si>
    <t>Мульти-сплит напольно-потолочный внутр. блок AC50S2SG1FA</t>
  </si>
  <si>
    <t>МАТ.СПЛИТ.068 — Мульти-сплит напольно-потолочный внутр. блок AC50S2SG1FA</t>
  </si>
  <si>
    <t>МАТ.СПЛИТ.069</t>
  </si>
  <si>
    <t>Мульти-сплит напольно-потолочный внутр. блок AC71S2SG1FA</t>
  </si>
  <si>
    <t>МАТ.СПЛИТ.069 — Мульти-сплит напольно-потолочный внутр. блок AC71S2SG1FA</t>
  </si>
  <si>
    <t>МАТ.СПЛИТ.070</t>
  </si>
  <si>
    <t>Мульти-сплит настенный внутр. блок AS20PS1HRA-M</t>
  </si>
  <si>
    <t>МАТ.СПЛИТ.070 — Мульти-сплит настенный внутр. блок AS20PS1HRA-M</t>
  </si>
  <si>
    <t>МАТ.СПЛИТ.071</t>
  </si>
  <si>
    <t>МАТ.СПЛИТ.071 — Мульти-сплит настенный внутр. блок AS20PS1HRA-M</t>
  </si>
  <si>
    <t>МАТ.СПЛИТ.072</t>
  </si>
  <si>
    <t>Мульти-сплит настенный внутр. блок AS25PS1HRA-M</t>
  </si>
  <si>
    <t>МАТ.СПЛИТ.072 — Мульти-сплит настенный внутр. блок AS25PS1HRA-M</t>
  </si>
  <si>
    <t>МАТ.СПЛИТ.073</t>
  </si>
  <si>
    <t>Мульти-сплит настенный внутр. блок AS35PS1HRA-M</t>
  </si>
  <si>
    <t>МАТ.СПЛИТ.073 — Мульти-сплит настенный внутр. блок AS35PS1HRA-M</t>
  </si>
  <si>
    <t>МАТ.СПЛИТ.074</t>
  </si>
  <si>
    <t>Мульти-сплит настенный внутр. блок AS50PS1HRA-M</t>
  </si>
  <si>
    <t>МАТ.СПЛИТ.074 — Мульти-сплит настенный внутр. блок AS50PS1HRA-M</t>
  </si>
  <si>
    <t>МАТ.СПЛИТ.075</t>
  </si>
  <si>
    <t>Мульти-сплит настенный внутр. блок AS70PS1HRA-M</t>
  </si>
  <si>
    <t>МАТ.СПЛИТ.075 — Мульти-сплит настенный внутр. блок AS70PS1HRA-M</t>
  </si>
  <si>
    <t>МАТ.СПЛИТ.076</t>
  </si>
  <si>
    <t>Мульти-сплит настенный внутр. блок MDSAJ-07HRFN8</t>
  </si>
  <si>
    <t>МАТ.СПЛИТ.076 — Мульти-сплит настенный внутр. блок MDSAJ-07HRFN8</t>
  </si>
  <si>
    <t>МАТ.СПЛИТ.077</t>
  </si>
  <si>
    <t>Мульти-сплит настенный внутр. блок MDSAJ-09HRFN8</t>
  </si>
  <si>
    <t>МАТ.СПЛИТ.077 — Мульти-сплит настенный внутр. блок MDSAJ-09HRFN8</t>
  </si>
  <si>
    <t>МАТ.СПЛИТ.078</t>
  </si>
  <si>
    <t>Мульти-сплит настенный внутр. блок MDSAJ-12HRFN8</t>
  </si>
  <si>
    <t>МАТ.СПЛИТ.078 — Мульти-сплит настенный внутр. блок MDSAJ-12HRFN8</t>
  </si>
  <si>
    <t>МАТ.СПЛИТ.079</t>
  </si>
  <si>
    <t>Мульти-сплит настенный внутр. блок MDSAJ-18HRFN8</t>
  </si>
  <si>
    <t>МАТ.СПЛИТ.079 — Мульти-сплит настенный внутр. блок MDSAJ-18HRFN8</t>
  </si>
  <si>
    <t>МАТ.СПЛИТ.080</t>
  </si>
  <si>
    <t>Мульти-сплит настенный внутр. блок MDSAJ-24HRFN8</t>
  </si>
  <si>
    <t>МАТ.СПЛИТ.080 — Мульти-сплит настенный внутр. блок MDSAJ-24HRFN8</t>
  </si>
  <si>
    <t>МАТ.СПЛИТ.081</t>
  </si>
  <si>
    <t>МАТ.СПЛИТ.081 — Мульти-сплит настенный внутр. блок MDSAJ-24HRFN8</t>
  </si>
  <si>
    <t>МАТ.СПЛИТ.082</t>
  </si>
  <si>
    <t>Напольно - потолочный 18 AC50S1LG2FA/1U50S1LM2FA</t>
  </si>
  <si>
    <t>МАТ.СПЛИТ.082 — Напольно - потолочный 18 AC50S1LG2FA/1U50S1LM2FA</t>
  </si>
  <si>
    <t>МАТ.СПЛИТ.083</t>
  </si>
  <si>
    <t>Напольно - потолочный 18 MDUE-18HRFN8 / MDOU-18HFN8</t>
  </si>
  <si>
    <t>МАТ.СПЛИТ.083 — Напольно - потолочный 18 MDUE-18HRFN8 / MDOU-18HFN8</t>
  </si>
  <si>
    <t>МАТ.СПЛИТ.084</t>
  </si>
  <si>
    <t>Напольно - потолочный 24 AC71S1LG2FA/1U71S1LR2FA</t>
  </si>
  <si>
    <t>МАТ.СПЛИТ.084 — Напольно - потолочный 24 AC71S1LG2FA/1U71S1LR2FA</t>
  </si>
  <si>
    <t>МАТ.СПЛИТ.085</t>
  </si>
  <si>
    <t>Напольно - потолочный 24 MDUE-24HRFN8 / MDOUN-24HFN8</t>
  </si>
  <si>
    <t>МАТ.СПЛИТ.085 — Напольно - потолочный 24 MDUE-24HRFN8 / MDOUN-24HFN8</t>
  </si>
  <si>
    <t>МАТ.СПЛИТ.086</t>
  </si>
  <si>
    <t>Напольно - потолочный 24 MDUE-24HRN1 / MDOU3-24HN1-L</t>
  </si>
  <si>
    <t>МАТ.СПЛИТ.086 — Напольно - потолочный 24 MDUE-24HRN1 / MDOU3-24HN1-L</t>
  </si>
  <si>
    <t>МАТ.СПЛИТ.087</t>
  </si>
  <si>
    <t>Напольно - потолочный 36 AC105S2LH2FA/1U105S1LS2FB</t>
  </si>
  <si>
    <t>МАТ.СПЛИТ.087 — Напольно - потолочный 36 AC105S2LH2FA/1U105S1LS2FB</t>
  </si>
  <si>
    <t>МАТ.СПЛИТ.088</t>
  </si>
  <si>
    <t>Напольно - потолочный 36 MDUE-36HRFN8 / MDOU-36HFN8</t>
  </si>
  <si>
    <t>МАТ.СПЛИТ.088 — Напольно - потолочный 36 MDUE-36HRFN8 / MDOU-36HFN8</t>
  </si>
  <si>
    <t>МАТ.СПЛИТ.089</t>
  </si>
  <si>
    <t>Напольно - потолочный 36 MDUE2-36HRN1 / MDOU3-36HN1-L</t>
  </si>
  <si>
    <t>МАТ.СПЛИТ.089 — Напольно - потолочный 36 MDUE2-36HRN1 / MDOU3-36HN1-L</t>
  </si>
  <si>
    <t>МАТ.СПЛИТ.090</t>
  </si>
  <si>
    <t>Напольно - потолочный 48 AC140S2LK2FA/1U140S2LN2FB</t>
  </si>
  <si>
    <t>МАТ.СПЛИТ.090 — Напольно - потолочный 48 AC140S2LK2FA/1U140S2LN2FB</t>
  </si>
  <si>
    <t>МАТ.СПЛИТ.091</t>
  </si>
  <si>
    <t>Напольно - потолочный 48 MDUE-48HRFN8 / MDOUN-48HFN8</t>
  </si>
  <si>
    <t>МАТ.СПЛИТ.091 — Напольно - потолочный 48 MDUE-48HRFN8 / MDOUN-48HFN8</t>
  </si>
  <si>
    <t>МАТ.СПЛИТ.092</t>
  </si>
  <si>
    <t>Напольно - потолочный 48 MDUE-48HRN1 / MDOU3-48HN1-L</t>
  </si>
  <si>
    <t>МАТ.СПЛИТ.092 — Напольно - потолочный 48 MDUE-48HRN1 / MDOU3-48HN1-L</t>
  </si>
  <si>
    <t>МАТ.СПЛИТ.093</t>
  </si>
  <si>
    <t>Напольно - потолочный 60 AC160S2LK2FA/1U160S2LN2FB</t>
  </si>
  <si>
    <t>МАТ.СПЛИТ.093 — Напольно - потолочный 60 AC160S2LK2FA/1U160S2LN2FB</t>
  </si>
  <si>
    <t>МАТ.СПЛИТ.094</t>
  </si>
  <si>
    <t>Напольно - потолочный 60 MDUE-60HRFN8 / MDOUN-60HFN8</t>
  </si>
  <si>
    <t>МАТ.СПЛИТ.094 — Напольно - потолочный 60 MDUE-60HRFN8 / MDOUN-60HFN8</t>
  </si>
  <si>
    <t>МАТ.СПЛИТ.095</t>
  </si>
  <si>
    <t>Напольно - потолочный 60 MDUE-60HRN1 / MDOU3-60HN1-L</t>
  </si>
  <si>
    <t>МАТ.СПЛИТ.095 — Напольно - потолочный 60 MDUE-60HRN1 / MDOU3-60HN1-L</t>
  </si>
  <si>
    <t>МАТ.СПЛИТ.096</t>
  </si>
  <si>
    <t>Настенный 12 AS35HQJ2HRA-W/1U35HQJ2FRA</t>
  </si>
  <si>
    <t>МАТ.СПЛИТ.096 — Настенный 12 AS35HQJ2HRA-W/1U35HQJ2FRA</t>
  </si>
  <si>
    <t>МАТ.СПЛИТ.097</t>
  </si>
  <si>
    <t>Настенный 12 HSU-12HSL103/R3-W(IN)/HSU-12HSL103/R3(OUT)</t>
  </si>
  <si>
    <t>МАТ.СПЛИТ.097 — Настенный 12 HSU-12HSL103/R3-W(IN)/HSU-12HSL103/R3(OUT)</t>
  </si>
  <si>
    <t>МАТ.СПЛИТ.098</t>
  </si>
  <si>
    <t>Настенный 12 MDSAJ-12HRN8 / MDOAJ-12HN8</t>
  </si>
  <si>
    <t>МАТ.СПЛИТ.098 — Настенный 12 MDSAJ-12HRN8 / MDOAJ-12HN8</t>
  </si>
  <si>
    <t>МАТ.СПЛИТ.099</t>
  </si>
  <si>
    <t>Настенный 12 MDSI-12HRDN8 (WF) / MDOI-12HDN8</t>
  </si>
  <si>
    <t>МАТ.СПЛИТ.099 — Настенный 12 MDSI-12HRDN8 (WF) / MDOI-12HDN8</t>
  </si>
  <si>
    <t>МАТ.СПЛИТ.100</t>
  </si>
  <si>
    <t>Настенный 18 AS50HQJ2HRA-W/1U50HQJ2FRA</t>
  </si>
  <si>
    <t>МАТ.СПЛИТ.100 — Настенный 18 AS50HQJ2HRA-W/1U50HQJ2FRA</t>
  </si>
  <si>
    <t>МАТ.СПЛИТ.101</t>
  </si>
  <si>
    <t>Настенный 18 HSU-18HSL103/R3-W(IN)/HSU-18HSL103/R3(OUT)</t>
  </si>
  <si>
    <t>МАТ.СПЛИТ.101 — Настенный 18 HSU-18HSL103/R3-W(IN)/HSU-18HSL103/R3(OUT)</t>
  </si>
  <si>
    <t>МАТ.СПЛИТ.102</t>
  </si>
  <si>
    <t>Настенный 18 MDSAJ-18HRN8 / MDOAJ-18HN8</t>
  </si>
  <si>
    <t>МАТ.СПЛИТ.102 — Настенный 18 MDSAJ-18HRN8 / MDOAJ-18HN8</t>
  </si>
  <si>
    <t>МАТ.СПЛИТ.103</t>
  </si>
  <si>
    <t>Настенный 18 MDSI2-18HRFN8 / MDOI2-18HFN8</t>
  </si>
  <si>
    <t>МАТ.СПЛИТ.103 — Настенный 18 MDSI2-18HRFN8 / MDOI2-18HFN8</t>
  </si>
  <si>
    <t>МАТ.СПЛИТ.104</t>
  </si>
  <si>
    <t>Настенный 24 AS70HQJ2HRA-W/1U70HQJ2FRA</t>
  </si>
  <si>
    <t>МАТ.СПЛИТ.104 — Настенный 24 AS70HQJ2HRA-W/1U70HQJ2FRA</t>
  </si>
  <si>
    <t>МАТ.СПЛИТ.105</t>
  </si>
  <si>
    <t>Настенный 24 AS70S2SF3FA-W/1U70S2SJ2FA</t>
  </si>
  <si>
    <t>МАТ.СПЛИТ.105 — Настенный 24 AS70S2SF3FA-W/1U70S2SJ2FA</t>
  </si>
  <si>
    <t>МАТ.СПЛИТ.106</t>
  </si>
  <si>
    <t>Настенный 24 HSU-24HSL103/R3-W(IN)/HSU-24HSL103/R3(OUT)</t>
  </si>
  <si>
    <t>МАТ.СПЛИТ.106 — Настенный 24 HSU-24HSL103/R3-W(IN)/HSU-24HSL103/R3(OUT)</t>
  </si>
  <si>
    <t>МАТ.СПЛИТ.107</t>
  </si>
  <si>
    <t>Настенный 24 MDSAJ-24HRN8 / MDOAJ-24HN8</t>
  </si>
  <si>
    <t>МАТ.СПЛИТ.107 — Настенный 24 MDSAJ-24HRN8 / MDOAJ-24HN8</t>
  </si>
  <si>
    <t>МАТ.СПЛИТ.108</t>
  </si>
  <si>
    <t>Настенный 24 MDSI2-24HRFN8 / MDOI2-24HFN8</t>
  </si>
  <si>
    <t>МАТ.СПЛИТ.108 — Настенный 24 MDSI2-24HRFN8 / MDOI2-24HFN8</t>
  </si>
  <si>
    <t>МАТ.СПЛИТ.109</t>
  </si>
  <si>
    <t>Настенный 7 AS20HQJ2HRA-W/1U20HQJ2FRA</t>
  </si>
  <si>
    <t>МАТ.СПЛИТ.109 — Настенный 7 AS20HQJ2HRA-W/1U20HQJ2FRA</t>
  </si>
  <si>
    <t>МАТ.СПЛИТ.110</t>
  </si>
  <si>
    <t>Настенный 7 HSU-07HSL103/R3-W(IN)/HSU-07HSL103/R3(OUT)</t>
  </si>
  <si>
    <t>МАТ.СПЛИТ.110 — Настенный 7 HSU-07HSL103/R3-W(IN)/HSU-07HSL103/R3(OUT)</t>
  </si>
  <si>
    <t>МАТ.СПЛИТ.111</t>
  </si>
  <si>
    <t>Настенный 7 MDSAJ-07HRN8 / MDOAJ-07HN8</t>
  </si>
  <si>
    <t>МАТ.СПЛИТ.111 — Настенный 7 MDSAJ-07HRN8 / MDOAJ-07HN8</t>
  </si>
  <si>
    <t>МАТ.СПЛИТ.112</t>
  </si>
  <si>
    <t>Настенный 7 MDSI-07HRDN8 (WF) / MDOI-07HDN8</t>
  </si>
  <si>
    <t>МАТ.СПЛИТ.112 — Настенный 7 MDSI-07HRDN8 (WF) / MDOI-07HDN8</t>
  </si>
  <si>
    <t>МАТ.СПЛИТ.113</t>
  </si>
  <si>
    <t>Настенный 9 AS25HQJ2HRA-W/1U25HQJ2FRA</t>
  </si>
  <si>
    <t>МАТ.СПЛИТ.113 — Настенный 9 AS25HQJ2HRA-W/1U25HQJ2FRA</t>
  </si>
  <si>
    <t>МАТ.СПЛИТ.114</t>
  </si>
  <si>
    <t>Настенный 9 HSU-09HSL103/R3-W(IN)/HSU-09HSL103/R3(OUT)</t>
  </si>
  <si>
    <t>МАТ.СПЛИТ.114 — Настенный 9 HSU-09HSL103/R3-W(IN)/HSU-09HSL103/R3(OUT)</t>
  </si>
  <si>
    <t>МАТ.СПЛИТ.115</t>
  </si>
  <si>
    <t>Настенный 9 MDSAJ-09HRN8 / MDOAJ-09HN8</t>
  </si>
  <si>
    <t>МАТ.СПЛИТ.115 — Настенный 9 MDSAJ-09HRN8 / MDOAJ-09HN8</t>
  </si>
  <si>
    <t>МАТ.СПЛИТ.116</t>
  </si>
  <si>
    <t>Настенный 9 MDSI-09HRDN8 (WF) / MDOI-09HDN8</t>
  </si>
  <si>
    <t>МАТ.СПЛИТ.116 — Настенный 9 MDSI-09HRDN8 (WF) / MDOI-09HDN8</t>
  </si>
  <si>
    <t>МАТ.СТЕН.ПЛ.001</t>
  </si>
  <si>
    <t>Керамическая плитка 200*500 Amsterdam graphite " Ctramica Konskie"</t>
  </si>
  <si>
    <t>МАТ.СТЕН.ПЛ.001 — Керамическая плитка 200*500 Amsterdam graphite " Ctramica Konskie"</t>
  </si>
  <si>
    <t>МАТ.СТЕН.ПЛ.002</t>
  </si>
  <si>
    <t>Плитка Frida gray 30х60</t>
  </si>
  <si>
    <t>00-00-5-18-01-06-3325</t>
  </si>
  <si>
    <t>МАТ.СТЕН.ПЛ.002 — Плитка Frida gray 30х60</t>
  </si>
  <si>
    <t>МАТ.СТЕН.ПЛ.003</t>
  </si>
  <si>
    <t>Плитка Mountain silver 25х50</t>
  </si>
  <si>
    <t>00-00-5-10-01-06-2835</t>
  </si>
  <si>
    <t>МАТ.СТЕН.ПЛ.003 — Плитка Mountain silver 25х50</t>
  </si>
  <si>
    <t>МАТ.СТП.РАК.001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</si>
  <si>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</si>
  <si>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</si>
  <si>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Splendy</t>
  </si>
  <si>
    <t>Сантехника (УЦЗ)</t>
  </si>
  <si>
    <t>МАТ.СТП.РАК.001 — AA213N380RBM Держатель верхнего душа, Splendy, вид-настенный, вынос, мм-380, круглый отражатель, материал-латунь, цвет-черный матовый</t>
  </si>
  <si>
    <t>МАТ.СТП.РАК.002</t>
  </si>
  <si>
    <t>CN6014 Умывальник Ceramicanova чаша накладная круглая Element 435*435*135мм</t>
  </si>
  <si>
    <t>CN6014</t>
  </si>
  <si>
    <t>Ceramicanova</t>
  </si>
  <si>
    <t>МАТ.СТП.РАК.002 — CN6014 Умывальник Ceramicanova чаша накладная круглая Element 435*435*135мм</t>
  </si>
  <si>
    <t>МАТ.СТП.РАК.003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</si>
  <si>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</si>
  <si>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FR212X300R1BM</t>
  </si>
  <si>
    <t>МАТ.СТП.РАК.003 — 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</si>
  <si>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МАТ.СТП.РАК.004</t>
  </si>
  <si>
    <t>HB66 Донный клапан для раковины Haiba без перелива, хром</t>
  </si>
  <si>
    <t>HB66</t>
  </si>
  <si>
    <t>Haiba</t>
  </si>
  <si>
    <t>МАТ.СТП.РАК.004 — HB66 Донный клапан для раковины Haiba без перелива, хром</t>
  </si>
  <si>
    <t>МАТ.СТП.РАК.005</t>
  </si>
  <si>
    <t>Ванна моечная моповая КОБОР ВМБ/1-50/50</t>
  </si>
  <si>
    <t>ВМБ/1-50/50</t>
  </si>
  <si>
    <t>КОБОР</t>
  </si>
  <si>
    <t>МАТ.СТП.РАК.005 — Ванна моечная моповая КОБОР ВМБ/1-50/50</t>
  </si>
  <si>
    <t>МАТ.СТП.РАК.006</t>
  </si>
  <si>
    <t>Донный клапан для раковины Splendy AA3071NORMBM без перелива, матовый черный</t>
  </si>
  <si>
    <t>AA3071NORMBM</t>
  </si>
  <si>
    <t>МАТ.СТП.РАК.006 — Донный клапан для раковины Splendy AA3071NORMBM без перелива, матовый черный</t>
  </si>
  <si>
    <t>МАТ.СТП.РАК.007</t>
  </si>
  <si>
    <t>Душевая дверь в нишу Allen Brau Приорити (Priority) 3.31003.BBA 90</t>
  </si>
  <si>
    <t>3.31003.BBA</t>
  </si>
  <si>
    <t>Allen Brau</t>
  </si>
  <si>
    <t>МАТ.СТП.РАК.007 — Душевая дверь в нишу Allen Brau Приорити (Priority) 3.31003.BBA 90</t>
  </si>
  <si>
    <t>МАТ.СТП.РАК.008</t>
  </si>
  <si>
    <t>Душевая дверь в нишу River SUEZ 80 МТ 10000000740</t>
  </si>
  <si>
    <t>10000000740</t>
  </si>
  <si>
    <t>River</t>
  </si>
  <si>
    <t>МАТ.СТП.РАК.008 — Душевая дверь в нишу River SUEZ 80 МТ 10000000740</t>
  </si>
  <si>
    <t>МАТ.СТП.РАК.009</t>
  </si>
  <si>
    <t>Зеркало с встроенным светильником и сенсорным выключателем 12W, 220-240V, 600x30</t>
  </si>
  <si>
    <t>SPC-RNG-600-LED-TCH</t>
  </si>
  <si>
    <t>belbagno</t>
  </si>
  <si>
    <t>МАТ.СТП.РАК.009 — Зеркало с встроенным светильником и сенсорным выключателем 12W, 220-240V, 600x30</t>
  </si>
  <si>
    <t>МАТ.СТП.РАК.010</t>
  </si>
  <si>
    <t>Мойка для кухни Granula 4445U графит матовый, 44х45 см, квадратная</t>
  </si>
  <si>
    <t>Granula</t>
  </si>
  <si>
    <t>МАТ.СТП.РАК.010 — Мойка для кухни Granula 4445U графит матовый, 44х45 см, квадратная</t>
  </si>
  <si>
    <t>МАТ.СТП.РАК.011</t>
  </si>
  <si>
    <t>Поручень AQUATEK AQ4996CR латунь, хром, настенный 650 мм</t>
  </si>
  <si>
    <t>AQ4996CR</t>
  </si>
  <si>
    <t>AQUATEK</t>
  </si>
  <si>
    <t>МАТ.СТП.РАК.011 — Поручень AQUATEK AQ4996CR латунь, хром, настенный 650 мм</t>
  </si>
  <si>
    <t>МАТ.СТП.РАК.012</t>
  </si>
  <si>
    <t>Раковина Creavit Next NX242-00CB00E-0000 белая (Ширина: 500 мм, Высота: 130 мм, Глубина: 400 мм)</t>
  </si>
  <si>
    <t>NX242-00CB00E-0000</t>
  </si>
  <si>
    <t>Creavit</t>
  </si>
  <si>
    <t>МАТ.СТП.РАК.012 — Раковина Creavit Next NX242-00CB00E-0000 белая (Ширина: 500 мм, Высота: 130 мм, Глубина: 400 мм)</t>
  </si>
  <si>
    <t>МАТ.СТП.РАК.013</t>
  </si>
  <si>
    <t>Раковина SantiLine SL-2005</t>
  </si>
  <si>
    <t>SL-2005</t>
  </si>
  <si>
    <t>SantiLine</t>
  </si>
  <si>
    <t>МАТ.СТП.РАК.013 — Раковина SantiLine SL-2005</t>
  </si>
  <si>
    <t>МАТ.СТП.СМЕС.001</t>
  </si>
  <si>
    <t>AQ2060MB ВЕГА душевая система AQUATEK (смеситель для душа) 3jet 250мм, матовый черный</t>
  </si>
  <si>
    <t>AQ2060MB</t>
  </si>
  <si>
    <t>МАТ.СТП.СМЕС.001 — AQ2060MB ВЕГА душевая система AQUATEK (смеситель для душа) 3jet 250мм, матовый черный</t>
  </si>
  <si>
    <t>МАТ.СТП.СМЕС.002</t>
  </si>
  <si>
    <t>HB80 Сифон для раковины Haiba хром</t>
  </si>
  <si>
    <t>HB80</t>
  </si>
  <si>
    <t>МАТ.СТП.СМЕС.002 — HB80 Сифон для раковины Haiba хром</t>
  </si>
  <si>
    <t>МАТ.СТП.СМЕС.003</t>
  </si>
  <si>
    <t xml:space="preserve">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</si>
  <si>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15103079</t>
  </si>
  <si>
    <t>TECElinus</t>
  </si>
  <si>
    <t xml:space="preserve">МАТ.СТП.СМЕС.003 — 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</si>
  <si>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МАТ.СТП.СМЕС.004</t>
  </si>
  <si>
    <t>Сифон для раковины Viega 100674 Хром</t>
  </si>
  <si>
    <t>100674</t>
  </si>
  <si>
    <t>Viega</t>
  </si>
  <si>
    <t>МАТ.СТП.СМЕС.004 — Сифон для раковины Viega 100674 Хром</t>
  </si>
  <si>
    <t>МАТ.СТП.СМЕС.005</t>
  </si>
  <si>
    <t>Сифон для умывальника бутылочный 1 1/4"x40 с гофрой 40х40/50 выпуск с нержавеющей решёткой D=65мм АНИ Пласт C1015</t>
  </si>
  <si>
    <t>C1015</t>
  </si>
  <si>
    <t>АНИ пласт</t>
  </si>
  <si>
    <t>МАТ.СТП.СМЕС.005 — Сифон для умывальника бутылочный 1 1/4"x40 с гофрой 40х40/50 выпуск с нержавеющей решёткой D=65мм АНИ Пласт C1015</t>
  </si>
  <si>
    <t>МАТ.СТП.СМЕС.006</t>
  </si>
  <si>
    <t>Смеситель гигиенический Ideal Standart DB130AA</t>
  </si>
  <si>
    <t>DB130AA</t>
  </si>
  <si>
    <t>Ideal Standard</t>
  </si>
  <si>
    <t>МАТ.СТП.СМЕС.006 — Смеситель гигиенический Ideal Standart DB130AA</t>
  </si>
  <si>
    <t>МАТ.СТП.СМЕС.007</t>
  </si>
  <si>
    <t>Смеситель для ванны Rossinka S35-33 универсальный</t>
  </si>
  <si>
    <t>S35-33</t>
  </si>
  <si>
    <t>Rossinka</t>
  </si>
  <si>
    <t>МАТ.СТП.СМЕС.007 — Смеситель для ванны Rossinka S35-33 универсальный</t>
  </si>
  <si>
    <t>МАТ.СТП.СМЕС.008</t>
  </si>
  <si>
    <t>Смеситель для кухни Omoikiri Kanto PVD-GM с гибким изливом</t>
  </si>
  <si>
    <t>Kanto PVD-GM</t>
  </si>
  <si>
    <t>Omoikiri</t>
  </si>
  <si>
    <t>МАТ.СТП.СМЕС.008 — Смеситель для кухни Omoikiri Kanto PVD-GM с гибким изливом</t>
  </si>
  <si>
    <t>МАТ.СТП.СМЕС.009</t>
  </si>
  <si>
    <t>Смеситель для раковины IDEAL STANDARD CERALINE BC193AA однорычажный, хром</t>
  </si>
  <si>
    <t>МАТ.СТП.СМЕС.009 — Смеситель для раковины IDEAL STANDARD CERALINE BC193AA однорычажный, хром</t>
  </si>
  <si>
    <t>МАТ.СТП.СМЕС.010</t>
  </si>
  <si>
    <t>Смеситель сенсорный Swedbe Europe 6000-220</t>
  </si>
  <si>
    <t>6000-220</t>
  </si>
  <si>
    <t>Swedbe</t>
  </si>
  <si>
    <t>МАТ.СТП.СМЕС.010 — Смеситель сенсорный Swedbe Europe 6000-220</t>
  </si>
  <si>
    <t>МАТ.СТП.СМЕС.011</t>
  </si>
  <si>
    <t>Термостатический смеситель встраиваемый Splendy Passion PA204U2T3BM С ВНУТРЕННЕЙ ЧАСТЬЮ, черный матовый</t>
  </si>
  <si>
    <t>PA204U2T3BM</t>
  </si>
  <si>
    <t>МАТ.СТП.СМЕС.011 — Термостатический смеситель встраиваемый Splendy Passion PA204U2T3BM С ВНУТРЕННЕЙ ЧАСТЬЮ, черный матовый</t>
  </si>
  <si>
    <t>МАТ.СТП.СМЕС.012</t>
  </si>
  <si>
    <t>смеситель с гигиеническим душем Allen Brau Priority 5.31A29-31 (с внутренней частью), цвет черный матовый</t>
  </si>
  <si>
    <t>5.31A29-31</t>
  </si>
  <si>
    <t>МАТ.СТП.СМЕС.012 — смеситель с гигиеническим душем Allen Brau Priority 5.31A29-31 (с внутренней частью), цвет черный матовый</t>
  </si>
  <si>
    <t>МАТ.СТП.СМЕС.013</t>
  </si>
  <si>
    <t>торговая сеть, смеситель для раковины Allen Brau Priority 5.31001-31, цвет черный матовый</t>
  </si>
  <si>
    <t>5.31001-31</t>
  </si>
  <si>
    <t>МАТ.СТП.СМЕС.013 — торговая сеть, смеситель для раковины Allen Brau Priority 5.31001-31, цвет черный матовый</t>
  </si>
  <si>
    <t>МАТ.СТП.УНИТ.001</t>
  </si>
  <si>
    <t>E253701 i.life Писсуар Ideal Standard, задняя подводка, с крепежами и фитингами в комплекте. Безободковая чаша без</t>
  </si>
  <si>
    <t>E253701</t>
  </si>
  <si>
    <t>МАТ.СТП.УНИТ.001 — E253701 i.life Писсуар Ideal Standard, задняя подводка, с крепежами и фитингами в комплекте. Безободковая чаша без</t>
  </si>
  <si>
    <t>МАТ.СТП.УНИТ.002</t>
  </si>
  <si>
    <t>ES3300 CREAVIT Кран для писсуара сенсорный</t>
  </si>
  <si>
    <t>ES3300</t>
  </si>
  <si>
    <t>CREAVIT</t>
  </si>
  <si>
    <t>МАТ.СТП.УНИТ.002 — ES3300 CREAVIT Кран для писсуара сенсорный</t>
  </si>
  <si>
    <t>МАТ.СТП.УНИТ.003</t>
  </si>
  <si>
    <t>LEMARK Смывное устройство для писсуара, сенсорное, встраиваемое</t>
  </si>
  <si>
    <t>LM4657CE</t>
  </si>
  <si>
    <t>LEMARK</t>
  </si>
  <si>
    <t>МАТ.СТП.УНИТ.003 — LEMARK Смывное устройство для писсуара, сенсорное, встраиваемое</t>
  </si>
  <si>
    <t>МАТ.СТП.УНИТ.004</t>
  </si>
  <si>
    <t>Инсталляция для подвесного унитаза Aquatek Standart 37 INS-0000017, кнопка Акватек KDI-0000016 хром</t>
  </si>
  <si>
    <t>366527</t>
  </si>
  <si>
    <t>Aquatek</t>
  </si>
  <si>
    <t>МАТ.СТП.УНИТ.004 — Инсталляция для подвесного унитаза Aquatek Standart 37 INS-0000017, кнопка Акватек KDI-0000016 хром</t>
  </si>
  <si>
    <t>МАТ.СТП.УНИТ.005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</si>
  <si>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</si>
  <si>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МАТ.СТП.УНИТ.005 — 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</si>
  <si>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МАТ.СТП.УНИТ.006</t>
  </si>
  <si>
    <t>Поручень для инсталляции Aquatek POR-0000004, хром, 800 мм</t>
  </si>
  <si>
    <t>POR-0000004</t>
  </si>
  <si>
    <t>МАТ.СТП.УНИТ.006 — Поручень для инсталляции Aquatek POR-0000004, хром, 800 мм</t>
  </si>
  <si>
    <t>МАТ.СТП.УНИТ.007</t>
  </si>
  <si>
    <t>Рама для монтажа PROSYS R016367 писсуара с задней подводкой</t>
  </si>
  <si>
    <t>R016367</t>
  </si>
  <si>
    <t>МАТ.СТП.УНИТ.007 — Рама для монтажа PROSYS R016367 писсуара с задней подводкой</t>
  </si>
  <si>
    <t>МАТ.СТП.УНИТ.008</t>
  </si>
  <si>
    <t>Унитаз подвесной SantiLine SL-5007 безободковый, с микролифтом</t>
  </si>
  <si>
    <t>SL-5007</t>
  </si>
  <si>
    <t>МАТ.СТП.УНИТ.008 — Унитаз подвесной SantiLine SL-5007 безободковый, с микролифтом</t>
  </si>
  <si>
    <t>МАТ.ФАЛЬШПОЛ.001</t>
  </si>
  <si>
    <t>Алюминиевые регулировочные пластины r 20*20*0,2мм</t>
  </si>
  <si>
    <t>Анкер Индастри</t>
  </si>
  <si>
    <t>МАТ.ФАЛЬШПОЛ.001 — Алюминиевые регулировочные пластины r 20*20*0,2мм</t>
  </si>
  <si>
    <t>МАТ.ФАЛЬШПОЛ.002</t>
  </si>
  <si>
    <t>Гаскет</t>
  </si>
  <si>
    <t>МАТ.ФАЛЬШПОЛ.002 — Гаскет</t>
  </si>
  <si>
    <t>МАТ.ФАЛЬШПОЛ.003</t>
  </si>
  <si>
    <t>Клей для стоек, 600 мл.</t>
  </si>
  <si>
    <t>МАТ.ФАЛЬШПОЛ.003 — Клей для стоек, 600 мл.</t>
  </si>
  <si>
    <t>МАТ.ФАЛЬШПОЛ.004</t>
  </si>
  <si>
    <t>Клей для фиксации резьбы, 800 грамм.</t>
  </si>
  <si>
    <t>МАТ.ФАЛЬШПОЛ.004 — Клей для фиксации резьбы, 800 грамм.</t>
  </si>
  <si>
    <t>МАТ.ФАЛЬШПОЛ.005</t>
  </si>
  <si>
    <t>Клин регулировочный</t>
  </si>
  <si>
    <t>МАТ.ФАЛЬШПОЛ.005 — Клин регулировочный</t>
  </si>
  <si>
    <t>МАТ.ФАЛЬШПОЛ.006</t>
  </si>
  <si>
    <t>Лента демпферная 5 x 15 mm (10 пог.м)</t>
  </si>
  <si>
    <t>МАТ.ФАЛЬШПОЛ.006 — Лента демпферная 5 x 15 mm (10 пог.м)</t>
  </si>
  <si>
    <t>МАТ.ФАЛЬШПОЛ.007</t>
  </si>
  <si>
    <t>Панель фальшпола 600*600*38мм, тип 38 AL/ST (сверху -оцинкованная сталь 0,5 мм, снизу - алюминиевая фольга 0,05 мм), с учетом подрезки 10%</t>
  </si>
  <si>
    <t>МАТ.ФАЛЬШПОЛ.007 — Панель фальшпола 600*600*38мм, тип 38 AL/ST (сверху -оцинкованная сталь 0,5 мм, снизу - алюминиевая фольга 0,05 мм), с учетом подрезки 10%</t>
  </si>
  <si>
    <t>МАТ.ФАЛЬШПОЛ.008</t>
  </si>
  <si>
    <t>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</si>
  <si>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МАТ.ФАЛЬШПОЛ.008 — 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</si>
  <si>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МАТ.ФАЛЬШПОЛ.009</t>
  </si>
  <si>
    <t>Стойка РОК100ARL- M12, 80-120mm</t>
  </si>
  <si>
    <t>МАТ.ФАЛЬШПОЛ.009 — Стойка РОК100ARL- M12, 80-120mm</t>
  </si>
  <si>
    <t>МАТ.ЭУИ.ВЫКЛ.001</t>
  </si>
  <si>
    <t>Выключатель двухклавишный в стену, "Avanti", "Белое облако" 4400104</t>
  </si>
  <si>
    <t>DKC</t>
  </si>
  <si>
    <t>ДКС</t>
  </si>
  <si>
    <t>МАТ.ЭУИ.ВЫКЛ.001 — Выключатель двухклавишный в стену, "Avanti", "Белое облако" 4400104</t>
  </si>
  <si>
    <t>МАТ.ЭУИ.ВЫКЛ.002</t>
  </si>
  <si>
    <t>Выключатель одноклавишный в стену, "Avanti", "Белое облако" 4400103</t>
  </si>
  <si>
    <t>МАТ.ЭУИ.ВЫКЛ.002 — Выключатель одноклавишный в стену, "Avanti", "Белое облако" 4400103</t>
  </si>
  <si>
    <t>МАТ.ЭУИ.РОЗ.001</t>
  </si>
  <si>
    <t>Лючок напольный c изменяемой глубиной, 16 модулей 88316</t>
  </si>
  <si>
    <t>МАТ.ЭУИ.РОЗ.001 — Лючок напольный c изменяемой глубиной, 16 модулей 88316</t>
  </si>
  <si>
    <t>МАТ.ЭУИ.РОЗ.002</t>
  </si>
  <si>
    <t>Рамка "Avanti", "Белое облако", 1 пост (2 мод.) 4400902</t>
  </si>
  <si>
    <t>МАТ.ЭУИ.РОЗ.002 — Рамка "Avanti", "Белое облако", 1 пост (2 мод.) 4400902</t>
  </si>
  <si>
    <t>МАТ.ЭУИ.РОЗ.003</t>
  </si>
  <si>
    <t>Рамка "Avanti", "Белое облако", 2 поста (4 мод.) 4400904</t>
  </si>
  <si>
    <t>МАТ.ЭУИ.РОЗ.003 — Рамка "Avanti", "Белое облако", 2 поста (4 мод.) 4400904</t>
  </si>
  <si>
    <t>МАТ.ЭУИ.РОЗ.004</t>
  </si>
  <si>
    <t>Рамка "Avanti", "Белое облако", 3 поста (6 мод.) 4400906</t>
  </si>
  <si>
    <t>МАТ.ЭУИ.РОЗ.004 — Рамка "Avanti", "Белое облако", 3 поста (6 мод.) 4400906</t>
  </si>
  <si>
    <t>МАТ.ЭУИ.РОЗ.005</t>
  </si>
  <si>
    <t>Рамка "Avanti", "Белое облако", 4 поста (8 мод.) 4400908</t>
  </si>
  <si>
    <t>МАТ.ЭУИ.РОЗ.005 — Рамка "Avanti", "Белое облако", 4 поста (8 мод.) 4400908</t>
  </si>
  <si>
    <t>МАТ.ЭУИ.РОЗ.006</t>
  </si>
  <si>
    <t>Розетка модульная, 2P+E, с з/ш, "Avanti", "Белое облако", 2 модуля 4400002</t>
  </si>
  <si>
    <t>МАТ.ЭУИ.РОЗ.006 — Розетка модульная, 2P+E, с з/ш, "Avanti", "Белое облако", 2 модуля 4400002</t>
  </si>
  <si>
    <t>МАТ.ЭУИ.РОЗ.007</t>
  </si>
  <si>
    <t>Розетка модульная, 2P+E, с з/ш, "Avanti", "Красный квадрат", 2 модуля 4401002</t>
  </si>
  <si>
    <t>МАТ.ЭУИ.РОЗ.007 — Розетка модульная, 2P+E, с з/ш, "Avanti", "Красный квадрат", 2 модуля 4401002</t>
  </si>
  <si>
    <t>МАТ.ЭУИ.РОЗ.008</t>
  </si>
  <si>
    <t>Штепсельная розетка с заземлением в стену, 2P+E, с з/ш, "Avanti", "Белое облако" (арт. 4400003), с суппоротом и рамкой</t>
  </si>
  <si>
    <t>МАТ.ЭУИ.РОЗ.008 — Штепсельная розетка с заземлением в стену, 2P+E, с з/ш, "Avanti", "Белое облако" (арт. 4400003), с суппоротом и рамкой</t>
  </si>
  <si>
    <t>МАТ.ЭУИ.РОЗ.009</t>
  </si>
  <si>
    <t>Штепсельная розетка с заземлением в стену, 2P+E, с з/ш, "Avanti", "Красный квадрат" (арт. 4401003), с суппортом и рамкой</t>
  </si>
  <si>
    <t>МАТ.ЭУИ.РОЗ.009 — Штепсельная розетка с заземлением в стену, 2P+E, с з/ш, "Avanti", "Красный квадрат" (арт. 4401003), с суппортом и рамкой</t>
  </si>
  <si>
    <t>МАТ.ЭЩ.001</t>
  </si>
  <si>
    <t>ВРЩ микро</t>
  </si>
  <si>
    <t>System Electric / ABB</t>
  </si>
  <si>
    <t>АББ Электроинжиниринг</t>
  </si>
  <si>
    <t>МАТ.ЭЩ.001 — ВРЩ микро</t>
  </si>
  <si>
    <t>МАТ.ЭЩ.002</t>
  </si>
  <si>
    <t>ГРЩ-0080-54 (ГРЩ1)</t>
  </si>
  <si>
    <t>МАТ.ЭЩ.002 — ГРЩ-0080-54 (ГРЩ1)</t>
  </si>
  <si>
    <t>МАТ.ЭЩ.003</t>
  </si>
  <si>
    <t>ГРЩ-0080-54 (ГРЩ2+АВР)</t>
  </si>
  <si>
    <t>МАТ.ЭЩ.003 — ГРЩ-0080-54 (ГРЩ2+АВР)</t>
  </si>
  <si>
    <t>МАТ.ЭЩ.004</t>
  </si>
  <si>
    <t>ЩППУ(красный) микро</t>
  </si>
  <si>
    <t>МАТ.ЭЩ.004 — ЩППУ(красный) микро</t>
  </si>
  <si>
    <t>МАТ.ЭЩ.005</t>
  </si>
  <si>
    <t>ЩР (НАНО 1-ф)</t>
  </si>
  <si>
    <t>МАТ.ЭЩ.005 — ЩР (НАНО 1-ф)</t>
  </si>
  <si>
    <t>МАТ.ЭЩ.006</t>
  </si>
  <si>
    <t>ЩР (НАНО 3-ф)</t>
  </si>
  <si>
    <t>МАТ.ЭЩ.006 — ЩР (НАНО 3-ф)</t>
  </si>
  <si>
    <t>МАТ.ЭЩ.007</t>
  </si>
  <si>
    <t>ЩР-0025-54 (ППУ)</t>
  </si>
  <si>
    <t>МАТ.ЭЩ.007 — ЩР-0025-54 (ППУ)</t>
  </si>
  <si>
    <t>МАТ.ЭЩ.008</t>
  </si>
  <si>
    <t>ЩР-0025-54 (ЩИБП)</t>
  </si>
  <si>
    <t>МАТ.ЭЩ.008 — ЩР-0025-54 (ЩИБП)</t>
  </si>
  <si>
    <t>МАТ.ЭЩ.009</t>
  </si>
  <si>
    <t>ЩР-0025-54 (ЩСБ)</t>
  </si>
  <si>
    <t>МАТ.ЭЩ.009 — ЩР-0025-54 (ЩСБ)</t>
  </si>
  <si>
    <t>МАТ.ЭЩ.010</t>
  </si>
  <si>
    <t>ЩР-0063-54 (ЩС1)</t>
  </si>
  <si>
    <t>МАТ.ЭЩ.010 — ЩР-0063-54 (ЩС1)</t>
  </si>
  <si>
    <t>МАТ.ЭЩ.011</t>
  </si>
  <si>
    <t>ЩР-0063-54 (ЩС2)</t>
  </si>
  <si>
    <t>МАТ.ЭЩ.011 — ЩР-0063-54 (ЩС2)</t>
  </si>
  <si>
    <t>СМЕТА</t>
  </si>
  <si>
    <t>Формат объекта:</t>
  </si>
  <si>
    <t>Адрес объекта:</t>
  </si>
  <si>
    <t>Площадь объекта (м.кв.):</t>
  </si>
  <si>
    <t>Срок проведения работ:</t>
  </si>
  <si>
    <t>ПОДРЯДЧИК:</t>
  </si>
  <si>
    <t>Юридический адрес:</t>
  </si>
  <si>
    <t>Электронный адрес:</t>
  </si>
  <si>
    <t>Контактное лицо (Ф.И.О.):</t>
  </si>
  <si>
    <t>Контактный телефон:</t>
  </si>
  <si>
    <t>Реквизиты:</t>
  </si>
  <si>
    <t>Сумма по смете, ₽:</t>
  </si>
  <si>
    <t>Цены на дату:</t>
  </si>
  <si>
    <t>Курс USD:</t>
  </si>
  <si>
    <t>Курс EUR:</t>
  </si>
  <si>
    <t>Курс CNY:</t>
  </si>
  <si>
    <t>Дисконт по тендеру, доля:</t>
  </si>
  <si>
    <t>РАСШИФРОВКА РАБОТ И ЗАТРАТ.  Отметь работы в листе РАБОТЫ («в смету» = да) и проставь объёмы, затем здесь: Данные → «Применить повторно» (Ctrl+Alt+L).</t>
  </si>
  <si>
    <t>№</t>
  </si>
  <si>
    <t>Наименование работ и затрат</t>
  </si>
  <si>
    <t>Ед. изм.</t>
  </si>
  <si>
    <t>Кол-во</t>
  </si>
  <si>
    <t>Цена ед. работ, ₽</t>
  </si>
  <si>
    <t>Цена ед. материалов/оборуд., ₽</t>
  </si>
  <si>
    <t>Стоимость работ, ₽</t>
  </si>
  <si>
    <t>Стоимость материалов/оборуд., ₽</t>
  </si>
  <si>
    <t>_w</t>
  </si>
  <si>
    <t>_hdr</t>
  </si>
  <si>
    <t>_показать</t>
  </si>
  <si>
    <t>Итого работы:</t>
  </si>
  <si>
    <t>показать</t>
  </si>
  <si>
    <t>Итого материалы и оборудование:</t>
  </si>
  <si>
    <t>ВСЕГО:</t>
  </si>
  <si>
    <t>Цены по справочнику. Накладные расходы, сметная прибыль и НДС не включены — определяются коммерческим предложением подрядчика.</t>
  </si>
  <si>
    <t>Составил: _______________________</t>
  </si>
  <si>
    <t>Проверил: _______________________</t>
  </si>
  <si>
    <t>ЖУРНАЛ ИЗМЕНЕНИЙ ЦЕН. При каждой правке цены (в РАБОТЫ или МАТЕРИАЛЫ) дописывай строку: дата, код позиции, что менялось, было → стало, кто, комментарий/номер письма.</t>
  </si>
  <si>
    <t>Дата</t>
  </si>
  <si>
    <t>Код позиции</t>
  </si>
  <si>
    <t>Что изменилось</t>
  </si>
  <si>
    <t>Было</t>
  </si>
  <si>
    <t>Стало</t>
  </si>
  <si>
    <t>Кто</t>
  </si>
  <si>
    <t>Комментарий / № письма</t>
  </si>
  <si>
    <t>Вид</t>
  </si>
  <si>
    <t>Раздел проекта</t>
  </si>
  <si>
    <t>База расчёта</t>
  </si>
  <si>
    <t>Цена ЕР, ₽</t>
  </si>
  <si>
    <t>Ключ (текст выбора)</t>
  </si>
  <si>
    <t>Наименование для сметы</t>
  </si>
  <si>
    <t>РД</t>
  </si>
  <si>
    <t>КР — усиление/устройство несущих конструкций</t>
  </si>
  <si>
    <t>за м² · объект 100–450 м²</t>
  </si>
  <si>
    <t>РД · КР — усиление/устройство несущих конструкций · за м² · объект 100–450 м²</t>
  </si>
  <si>
    <t>Рабочая документация: КР — усиление/устройство несущих конструкций (за м² · объект 100–450 м²)</t>
  </si>
  <si>
    <t>комплексом · объект &lt; 100 м²</t>
  </si>
  <si>
    <t>РД · КР — усиление/устройство несущих конструкций · комплексом · объект &lt; 100 м²</t>
  </si>
  <si>
    <t>Рабочая документация: КР — усиление/устройство несущих конструкций (комплексом · объект &lt; 100 м²)</t>
  </si>
  <si>
    <t>АР — архитектурные решения</t>
  </si>
  <si>
    <t>РД · АР — архитектурные решения · за м² · объект 100–450 м²</t>
  </si>
  <si>
    <t>Рабочая документация: АР — архитектурные решения (за м² · объект 100–450 м²)</t>
  </si>
  <si>
    <t>РД · АР — архитектурные решения · комплексом · объект &lt; 100 м²</t>
  </si>
  <si>
    <t>Рабочая документация: АР — архитектурные решения (комплексом · объект &lt; 100 м²)</t>
  </si>
  <si>
    <t>ЭОМ — электроснабжение и электроосвещение</t>
  </si>
  <si>
    <t>РД · ЭОМ — электроснабжение и электроосвещение · за м² · объект 100–450 м²</t>
  </si>
  <si>
    <t>Рабочая документация: ЭОМ — электроснабжение и электроосвещение (за м² · объект 100–450 м²)</t>
  </si>
  <si>
    <t>РД · ЭОМ — электроснабжение и электроосвещение · комплексом · объект &lt; 100 м²</t>
  </si>
  <si>
    <t>Рабочая документация: ЭОМ — электроснабжение и электроосвещение (комплексом · объект &lt; 100 м²)</t>
  </si>
  <si>
    <t>ОВиК-В — вентиляция</t>
  </si>
  <si>
    <t>РД · ОВиК-В — вентиляция · за м² · объект 100–450 м²</t>
  </si>
  <si>
    <t>Рабочая документация: ОВиК-В — вентиляция (за м² · объект 100–450 м²)</t>
  </si>
  <si>
    <t>РД · ОВиК-В — вентиляция · комплексом · объект &lt; 100 м²</t>
  </si>
  <si>
    <t>Рабочая документация: ОВиК-В — вентиляция (комплексом · объект &lt; 100 м²)</t>
  </si>
  <si>
    <t>ОВиК-К — кондиционирование</t>
  </si>
  <si>
    <t>РД · ОВиК-К — кондиционирование · за м² · объект 100–450 м²</t>
  </si>
  <si>
    <t>Рабочая документация: ОВиК-К — кондиционирование (за м² · объект 100–450 м²)</t>
  </si>
  <si>
    <t>РД · ОВиК-К — кондиционирование · комплексом · объект &lt; 100 м²</t>
  </si>
  <si>
    <t>Рабочая документация: ОВиК-К — кондиционирование (комплексом · объект &lt; 100 м²)</t>
  </si>
  <si>
    <t>ОВиК-О — отопление</t>
  </si>
  <si>
    <t>РД · ОВиК-О — отопление · за м² · объект 100–450 м²</t>
  </si>
  <si>
    <t>Рабочая документация: ОВиК-О — отопление (за м² · объект 100–450 м²)</t>
  </si>
  <si>
    <t>РД · ОВиК-О — отопление · комплексом · объект &lt; 100 м²</t>
  </si>
  <si>
    <t>Рабочая документация: ОВиК-О — отопление (комплексом · объект &lt; 100 м²)</t>
  </si>
  <si>
    <t>ВК — водоснабжение и канализация</t>
  </si>
  <si>
    <t>РД · ВК — водоснабжение и канализация · за м² · объект 100–450 м²</t>
  </si>
  <si>
    <t>Рабочая документация: ВК — водоснабжение и канализация (за м² · объект 100–450 м²)</t>
  </si>
  <si>
    <t>РД · ВК — водоснабжение и канализация · комплексом · объект &lt; 100 м²</t>
  </si>
  <si>
    <t>Рабочая документация: ВК — водоснабжение и канализация (комплексом · объект &lt; 100 м²)</t>
  </si>
  <si>
    <t>АУВПТ — автоматическая установка водяного пожаротушения</t>
  </si>
  <si>
    <t>РД · АУВПТ — автоматическая установка водяного пожаротушения · за м² · объект 100–450 м²</t>
  </si>
  <si>
    <t>Рабочая документация: АУВПТ — автоматическая установка водяного пожаротушения (за м² · объект 100–450 м²)</t>
  </si>
  <si>
    <t>РД · АУВПТ — автоматическая установка водяного пожаротушения · комплексом · объект &lt; 100 м²</t>
  </si>
  <si>
    <t>Рабочая документация: АУВПТ — автоматическая установка водяного пожаротушения (комплексом · объект &lt; 100 м²)</t>
  </si>
  <si>
    <t>ВПВ — внутренний противопожарный водопровод</t>
  </si>
  <si>
    <t>РД · ВПВ — внутренний противопожарный водопровод · за м² · объект 100–450 м²</t>
  </si>
  <si>
    <t>Рабочая документация: ВПВ — внутренний противопожарный водопровод (за м² · объект 100–450 м²)</t>
  </si>
  <si>
    <t>РД · ВПВ — внутренний противопожарный водопровод · комплексом · объект &lt; 100 м²</t>
  </si>
  <si>
    <t>Рабочая документация: ВПВ — внутренний противопожарный водопровод (комплексом · объект &lt; 100 м²)</t>
  </si>
  <si>
    <t>ДУ — дымоудаление</t>
  </si>
  <si>
    <t>РД · ДУ — дымоудаление · за м² · объект 100–450 м²</t>
  </si>
  <si>
    <t>Рабочая документация: ДУ — дымоудаление (за м² · объект 100–450 м²)</t>
  </si>
  <si>
    <t>РД · ДУ — дымоудаление · комплексом · объект &lt; 100 м²</t>
  </si>
  <si>
    <t>Рабочая документация: ДУ — дымоудаление (комплексом · объект &lt; 100 м²)</t>
  </si>
  <si>
    <t>АПС — автоматическая пожарная сигнализация</t>
  </si>
  <si>
    <t>за м² · малый объект</t>
  </si>
  <si>
    <t>РД · АПС — автоматическая пожарная сигнализация · за м² · малый объект</t>
  </si>
  <si>
    <t>Рабочая документация: АПС — автоматическая пожарная сигнализация (за м² · малый объект)</t>
  </si>
  <si>
    <t>за м² · крупный объект</t>
  </si>
  <si>
    <t>РД · АПС — автоматическая пожарная сигнализация · за м² · крупный объект</t>
  </si>
  <si>
    <t>Рабочая документация: АПС — автоматическая пожарная сигнализация (за м² · крупный объект)</t>
  </si>
  <si>
    <t>СОУЭ — оповещение и управление эвакуацией</t>
  </si>
  <si>
    <t>РД · СОУЭ — оповещение и управление эвакуацией · за м² · малый объект</t>
  </si>
  <si>
    <t>Рабочая документация: СОУЭ — оповещение и управление эвакуацией (за м² · малый объект)</t>
  </si>
  <si>
    <t>РД · СОУЭ — оповещение и управление эвакуацией · за м² · крупный объект</t>
  </si>
  <si>
    <t>Рабочая документация: СОУЭ — оповещение и управление эвакуацией (за м² · крупный объект)</t>
  </si>
  <si>
    <t>Автоматизация ВПВ</t>
  </si>
  <si>
    <t>РД · Автоматизация ВПВ · за м² · малый объект</t>
  </si>
  <si>
    <t>Рабочая документация: Автоматизация ВПВ (за м² · малый объект)</t>
  </si>
  <si>
    <t>РД · Автоматизация ВПВ · за м² · крупный объект</t>
  </si>
  <si>
    <t>Рабочая документация: Автоматизация ВПВ (за м² · крупный объект)</t>
  </si>
  <si>
    <t>Автоматизация ПДВ (противодымная вентиляция)</t>
  </si>
  <si>
    <t>РД · Автоматизация ПДВ (противодымная вентиляция) · за м² · малый объект</t>
  </si>
  <si>
    <t>Рабочая документация: Автоматизация ПДВ (противодымная вентиляция) (за м² · малый объект)</t>
  </si>
  <si>
    <t>РД · Автоматизация ПДВ (противодымная вентиляция) · за м² · крупный объект</t>
  </si>
  <si>
    <t>Рабочая документация: Автоматизация ПДВ (противодымная вентиляция) (за м² · крупный объект)</t>
  </si>
  <si>
    <t>Автоматизация ОВиК</t>
  </si>
  <si>
    <t>РД · Автоматизация ОВиК · за м² · малый объект</t>
  </si>
  <si>
    <t>Рабочая документация: Автоматизация ОВиК (за м² · малый объект)</t>
  </si>
  <si>
    <t>РД · Автоматизация ОВиК · за м² · крупный объект</t>
  </si>
  <si>
    <t>Рабочая документация: Автоматизация ОВиК (за м² · крупный объект)</t>
  </si>
  <si>
    <t>Автоматизация АО (аварийное освещение)</t>
  </si>
  <si>
    <t>РД · Автоматизация АО (аварийное освещение) · за м² · малый объект</t>
  </si>
  <si>
    <t>Рабочая документация: Автоматизация АО (аварийное освещение) (за м² · малый объект)</t>
  </si>
  <si>
    <t>РД · Автоматизация АО (аварийное освещение) · за м² · крупный объект</t>
  </si>
  <si>
    <t>Рабочая документация: Автоматизация АО (аварийное освещение) (за м² · крупный объект)</t>
  </si>
  <si>
    <t>Автоматизация лифтового хозяйства</t>
  </si>
  <si>
    <t>РД · Автоматизация лифтового хозяйства · за м² · малый объект</t>
  </si>
  <si>
    <t>Рабочая документация: Автоматизация лифтового хозяйства (за м² · малый объект)</t>
  </si>
  <si>
    <t>РД · Автоматизация лифтового хозяйства · за м² · крупный объект</t>
  </si>
  <si>
    <t>Рабочая документация: Автоматизация лифтового хозяйства (за м² · крупный объект)</t>
  </si>
  <si>
    <t>Автоматизация СКУД</t>
  </si>
  <si>
    <t>РД · Автоматизация СКУД · за м² · малый объект</t>
  </si>
  <si>
    <t>Рабочая документация: Автоматизация СКУД (за м² · малый объект)</t>
  </si>
  <si>
    <t>РД · Автоматизация СКУД · за м² · крупный объект</t>
  </si>
  <si>
    <t>Рабочая документация: Автоматизация СКУД (за м² · крупный объект)</t>
  </si>
  <si>
    <t>ИД</t>
  </si>
  <si>
    <t>за м² · объект &gt; 100 м²</t>
  </si>
  <si>
    <t>ИД · КР — усиление/устройство несущих конструкций · за м² · объект &gt; 100 м²</t>
  </si>
  <si>
    <t>Исполнительная документация: КР — усиление/устройство несущих конструкций (за м² · объект &gt; 100 м²)</t>
  </si>
  <si>
    <t>ИД · КР — усиление/устройство несущих конструкций · комплексом · объект &lt; 100 м²</t>
  </si>
  <si>
    <t>Исполнительная документация: КР — усиление/устройство несущих конструкций (комплексом · объект &lt; 100 м²)</t>
  </si>
  <si>
    <t>ИД · АР — архитектурные решения · за м² · объект &gt; 100 м²</t>
  </si>
  <si>
    <t>Исполнительная документация: АР — архитектурные решения (за м² · объект &gt; 100 м²)</t>
  </si>
  <si>
    <t>ИД · АР — архитектурные решения · комплексом · объект &lt; 100 м²</t>
  </si>
  <si>
    <t>Исполнительная документация: АР — архитектурные решения (комплексом · объект &lt; 100 м²)</t>
  </si>
  <si>
    <t>ИД · ЭОМ — электроснабжение и электроосвещение · за м² · объект &gt; 100 м²</t>
  </si>
  <si>
    <t>Исполнительная документация: ЭОМ — электроснабжение и электроосвещение (за м² · объект &gt; 100 м²)</t>
  </si>
  <si>
    <t>ИД · ЭОМ — электроснабжение и электроосвещение · комплексом · объект &lt; 100 м²</t>
  </si>
  <si>
    <t>Исполнительная документация: ЭОМ — электроснабжение и электроосвещение (комплексом · объект &lt; 100 м²)</t>
  </si>
  <si>
    <t>ИД · ОВиК-В — вентиляция · за м² · объект &gt; 100 м²</t>
  </si>
  <si>
    <t>Исполнительная документация: ОВиК-В — вентиляция (за м² · объект &gt; 100 м²)</t>
  </si>
  <si>
    <t>ИД · ОВиК-В — вентиляция · комплексом · объект &lt; 100 м²</t>
  </si>
  <si>
    <t>Исполнительная документация: ОВиК-В — вентиляция (комплексом · объект &lt; 100 м²)</t>
  </si>
  <si>
    <t>ИД · ОВиК-К — кондиционирование · за м² · объект &gt; 100 м²</t>
  </si>
  <si>
    <t>Исполнительная документация: ОВиК-К — кондиционирование (за м² · объект &gt; 100 м²)</t>
  </si>
  <si>
    <t>ИД · ОВиК-К — кондиционирование · комплексом · объект &lt; 100 м²</t>
  </si>
  <si>
    <t>Исполнительная документация: ОВиК-К — кондиционирование (комплексом · объект &lt; 100 м²)</t>
  </si>
  <si>
    <t>ИД · ОВиК-О — отопление · за м² · объект &gt; 100 м²</t>
  </si>
  <si>
    <t>Исполнительная документация: ОВиК-О — отопление (за м² · объект &gt; 100 м²)</t>
  </si>
  <si>
    <t>ИД · ОВиК-О — отопление · комплексом · объект &lt; 100 м²</t>
  </si>
  <si>
    <t>Исполнительная документация: ОВиК-О — отопление (комплексом · объект &lt; 100 м²)</t>
  </si>
  <si>
    <t>ИД · ВК — водоснабжение и канализация · за м² · объект &gt; 100 м²</t>
  </si>
  <si>
    <t>Исполнительная документация: ВК — водоснабжение и канализация (за м² · объект &gt; 100 м²)</t>
  </si>
  <si>
    <t>ИД · ВК — водоснабжение и канализация · комплексом · объект &lt; 100 м²</t>
  </si>
  <si>
    <t>Исполнительная документация: ВК — водоснабжение и канализация (комплексом · объект &lt; 100 м²)</t>
  </si>
  <si>
    <t>ИД · АУВПТ — автоматическая установка водяного пожаротушения · за м² · объект &gt; 100 м²</t>
  </si>
  <si>
    <t>Исполнительная документация: АУВПТ — автоматическая установка водяного пожаротушения (за м² · объект &gt; 100 м²)</t>
  </si>
  <si>
    <t>ИД · АУВПТ — автоматическая установка водяного пожаротушения · комплексом · объект &lt; 100 м²</t>
  </si>
  <si>
    <t>Исполнительная документация: АУВПТ — автоматическая установка водяного пожаротушения (комплексом · объект &lt; 100 м²)</t>
  </si>
  <si>
    <t>ИД · ВПВ — внутренний противопожарный водопровод · за м² · объект &gt; 100 м²</t>
  </si>
  <si>
    <t>Исполнительная документация: ВПВ — внутренний противопожарный водопровод (за м² · объект &gt; 100 м²)</t>
  </si>
  <si>
    <t>ИД · ВПВ — внутренний противопожарный водопровод · комплексом · объект &lt; 100 м²</t>
  </si>
  <si>
    <t>Исполнительная документация: ВПВ — внутренний противопожарный водопровод (комплексом · объект &lt; 100 м²)</t>
  </si>
  <si>
    <t>ИД · ДУ — дымоудаление · за м² · объект &gt; 100 м²</t>
  </si>
  <si>
    <t>Исполнительная документация: ДУ — дымоудаление (за м² · объект &gt; 100 м²)</t>
  </si>
  <si>
    <t>ИД · ДУ — дымоудаление · комплексом · объект &lt; 100 м²</t>
  </si>
  <si>
    <t>Исполнительная документация: ДУ — дымоудаление (комплексом · объект &lt; 100 м²)</t>
  </si>
  <si>
    <t>ГРУППЫ МАТЕРИАЛОВ — расшифровка кодов</t>
  </si>
  <si>
    <t>У работы стоит код группы, у материала — тот же код. В листе РАБОТЫ список материала (столбец «Материал») показывает только материалы группы этой работы. Пустая группа или нет материалов в группе — цену материала вводишь в столбце «Цена мат (ручн.)».</t>
  </si>
  <si>
    <t>Код группы</t>
  </si>
  <si>
    <t>Область</t>
  </si>
  <si>
    <t>Что входит</t>
  </si>
  <si>
    <t>Пример операции</t>
  </si>
  <si>
    <t>Внутренние блоки VRF / мультисплит</t>
  </si>
  <si>
    <t>Кондиционирование</t>
  </si>
  <si>
    <t>Внутренние блоки мультизональных систем + пульты, декоративные панели</t>
  </si>
  <si>
    <t>Наружные блоки VRF / ККБ</t>
  </si>
  <si>
    <t>Наружные блоки мультизональных систем, компрессорно-конденсаторные блоки</t>
  </si>
  <si>
    <t>Монтаж наружного блока / ККБ</t>
  </si>
  <si>
    <t>Арматура и фасонные части ВК / отопления</t>
  </si>
  <si>
    <t>Отопление / ВК</t>
  </si>
  <si>
    <t>Краны шаровые, вентили, фильтры, обратные клапаны, балансировочные клапаны, фланцы, отводы, гильзы</t>
  </si>
  <si>
    <t>Арматура для укрепления конструкций</t>
  </si>
  <si>
    <t>Безопасность (ККО)</t>
  </si>
  <si>
    <t>Армосетка / пруток по классу взломостойкости, анкерный крепёж</t>
  </si>
  <si>
    <t>Укрепление конструкций арматурой</t>
  </si>
  <si>
    <t>Элементы технической укреплённости</t>
  </si>
  <si>
    <t>Бронестекло, бронепанели, передаточные лотки, шлюзы инкассаторские, переговорные устройства</t>
  </si>
  <si>
    <t>Монтаж элемента технической укреплённости (броня)</t>
  </si>
  <si>
    <t>Вентиляторы</t>
  </si>
  <si>
    <t>Вентиляция</t>
  </si>
  <si>
    <t>Вентиляторы канальные, крышные, осевые, вытяжные бытовые; с регуляторами</t>
  </si>
  <si>
    <t>Воздуховоды и фасонные части</t>
  </si>
  <si>
    <t>Воздуховоды круглые и прямоугольные, отводы, переходы, врезки, гибкие воздуховоды, изоляция</t>
  </si>
  <si>
    <t>Монтаж воздуховода</t>
  </si>
  <si>
    <t>Воздухораспределители</t>
  </si>
  <si>
    <t>Решётки приточные и вытяжные, диффузоры, анемостаты, регуляторы расхода</t>
  </si>
  <si>
    <t>Комплект ГКЛ — перегородки и облицовки</t>
  </si>
  <si>
    <t>Отделка стен</t>
  </si>
  <si>
    <t>ГКЛ / ГКЛВ / ГКЛО, профиль, крепёж, лента, серпянка</t>
  </si>
  <si>
    <t>Дверные блоки (общая группа) и дверные приборы</t>
  </si>
  <si>
    <t>Двери</t>
  </si>
  <si>
    <t>Дверные блоки без чёткого подтипа, доводчики, упоры, ручки, замки</t>
  </si>
  <si>
    <t>Двери алюминиевые</t>
  </si>
  <si>
    <t>Дверные блоки в алюминиевом тёплом/холодном профиле, с заполнением</t>
  </si>
  <si>
    <t>Монтаж дверного блока алюминиевого</t>
  </si>
  <si>
    <t>Двери бронированные / взломостойкие</t>
  </si>
  <si>
    <t>Двери / безопасность</t>
  </si>
  <si>
    <t>Дверные блоки классов устойчивости к взлому, решётчатые двери запасного выхода</t>
  </si>
  <si>
    <t>Двери деревянные</t>
  </si>
  <si>
    <t>Деревянные и ламинированные дверные блоки с коробкой, добором, наличниками, фурнитурой</t>
  </si>
  <si>
    <t>Двери противопожарные</t>
  </si>
  <si>
    <t>Противопожарные дверные блоки EI-30 / EI-60, металлические и остеклённые</t>
  </si>
  <si>
    <t>Двери стеклянные</t>
  </si>
  <si>
    <t>Цельностеклянные и бескаркасные дверные блоки, стекло закалённое, фурнитура (Dorma и др.)</t>
  </si>
  <si>
    <t>Солнцезащита</t>
  </si>
  <si>
    <t>Окна</t>
  </si>
  <si>
    <t>Жалюзи вертикальные и горизонтальные, рулонные шторы, роллеты, рольставни</t>
  </si>
  <si>
    <t>Установка солнцезащиты (жалюзи / роллет)</t>
  </si>
  <si>
    <t>Тепловые и воздушные завесы</t>
  </si>
  <si>
    <t>Вентиляция / отопление</t>
  </si>
  <si>
    <t>Завесы электрические и водяные, с пультом</t>
  </si>
  <si>
    <t>Тепло- и звукоизоляция</t>
  </si>
  <si>
    <t>Отделка / инженерия</t>
  </si>
  <si>
    <t>Минвата плитная и рулонная, вспененный полиэтилен, пароизоляция</t>
  </si>
  <si>
    <t>Устройство тепло- / звукоизоляции</t>
  </si>
  <si>
    <t>Кабель и провод</t>
  </si>
  <si>
    <t>Электрика</t>
  </si>
  <si>
    <t>Силовой и слаботочный кабель, провод установочный, кабель огнестойкий (FR)</t>
  </si>
  <si>
    <t>Клапаны противопожарные / дымовые</t>
  </si>
  <si>
    <t>Клапаны огнезадерживающие, противопожарные нормально открытые/закрытые, дымовые</t>
  </si>
  <si>
    <t>Монтаж противопожарного / огнезадерживающего клапана</t>
  </si>
  <si>
    <t>Стеновые материалы кладки</t>
  </si>
  <si>
    <t>Кирпич, пеноблок, газобетон; кладочный раствор, армирование</t>
  </si>
  <si>
    <t>Кладка перегородок</t>
  </si>
  <si>
    <t>Кабель-каналы (короба)</t>
  </si>
  <si>
    <t>Кабель-каналы пластиковые и металлические, парапетные короба, напольные короба</t>
  </si>
  <si>
    <t>Краски</t>
  </si>
  <si>
    <t>Отделка стен / потолков</t>
  </si>
  <si>
    <t>Краски интерьерные, негорючие, по металлу; грунт-эмали</t>
  </si>
  <si>
    <t>Кабельные лотки</t>
  </si>
  <si>
    <t>Лотки металлические перфорированные, проволочные, лестничные; фасонные части, крышки</t>
  </si>
  <si>
    <t>Напольные лючки и коробки</t>
  </si>
  <si>
    <t>Напольные лючки и монтажные коробки на N модулей, крышки под покрытие</t>
  </si>
  <si>
    <t>Установка напольного лючка</t>
  </si>
  <si>
    <t>Элементы адаптации для МГН</t>
  </si>
  <si>
    <t>Доступная среда</t>
  </si>
  <si>
    <t>Пандусы откидные и стационарные, поручни, тактильные и визуальные знаки, кнопки вызова</t>
  </si>
  <si>
    <t>Молниезащита и заземление</t>
  </si>
  <si>
    <t>Полоса, пруток, держатели, зажимы, заземлители, коробки уравнивания потенциалов</t>
  </si>
  <si>
    <t>Монтаж элемента молниезащиты / заземления</t>
  </si>
  <si>
    <t>Обои и стеклохолст</t>
  </si>
  <si>
    <t>Обои бумажные, флизелиновые, стеклообои, стеклохолст «паутинка», клей</t>
  </si>
  <si>
    <t>ОГНЕЗ</t>
  </si>
  <si>
    <t>Составы конструктивной огнезащиты</t>
  </si>
  <si>
    <t>Пожарная безопасность</t>
  </si>
  <si>
    <t>Огнезащитные краски, штукатурки, плиты для металлоконструкций</t>
  </si>
  <si>
    <t>Оконные и светопрозрачные конструкции</t>
  </si>
  <si>
    <t>Оконные блоки ПВХ и алюминиевые, витражи, фасадное остекление, стеклопакеты</t>
  </si>
  <si>
    <t>Приточные и приточно-вытяжные установки</t>
  </si>
  <si>
    <t>Вентиляция / кондиционирование</t>
  </si>
  <si>
    <t>Компактные ПВУ, приточные установки, рекуператоры, канальные кондиционеры-доводчики; с автоматикой</t>
  </si>
  <si>
    <t>Перегородки стеклянные</t>
  </si>
  <si>
    <t>Каркасные и цельностеклянные перегородки, стекло закалённое, фурнитура, профиль</t>
  </si>
  <si>
    <t>Перегородки трансформируемые / раздвижные</t>
  </si>
  <si>
    <t>Мобильные и раздвижные перегородки на подвесе, звукоизоляционные</t>
  </si>
  <si>
    <t>Монтаж трансформируемой перегородки</t>
  </si>
  <si>
    <t>Плёнки на стекло</t>
  </si>
  <si>
    <t>Окна / безопасность</t>
  </si>
  <si>
    <t>Плёнки защитные (класс А1–А3, К4), матирующие, тонирующие, теплоотражающие</t>
  </si>
  <si>
    <t>Оклейка светопрозрачных поверхностей защитной / матирующей плёнкой</t>
  </si>
  <si>
    <t>Плинтусы</t>
  </si>
  <si>
    <t>Отделка полов</t>
  </si>
  <si>
    <t>Плинтусы ПВХ, МДФ, алюминиевые, с закладкой ковролина; стыковочные профили</t>
  </si>
  <si>
    <t>Подоконные доски</t>
  </si>
  <si>
    <t>Подоконники ПВХ, ЛДСП, каменные; торцевые заглушки</t>
  </si>
  <si>
    <t>Покрытие пола — доска / ламинат</t>
  </si>
  <si>
    <t>Паркетная и инженерная доска, ламинат, подложка</t>
  </si>
  <si>
    <t>Устройство покрытия пола из доски / ламината</t>
  </si>
  <si>
    <t>Покрытие пола — керамогранит и плитка</t>
  </si>
  <si>
    <t>Керамогранит, керамическая плитка для пола; клей, затирка, СВП, грунт</t>
  </si>
  <si>
    <t>Покрытие пола — модульное (ковролин / ПВХ / линолеум)</t>
  </si>
  <si>
    <t>Ковровая плитка, ПВХ-плитка (LVT), линолеум коммерческий; клей-фиксатор</t>
  </si>
  <si>
    <t>Покрытие пола — наливное / полимерное</t>
  </si>
  <si>
    <t>Наливные полы, полимерные и эпоксидные покрытия, топпинг, упрочнители, грунты</t>
  </si>
  <si>
    <t>Устройство наливного / полимерного пола</t>
  </si>
  <si>
    <t>Подвесные потолки</t>
  </si>
  <si>
    <t>Отделка потолков</t>
  </si>
  <si>
    <t>Потолки Армстронг, Грильято, ГКЛ, реечные, кассетные, акустические; каркас, подвесы</t>
  </si>
  <si>
    <t>Радиаторы отопления</t>
  </si>
  <si>
    <t>Отопление</t>
  </si>
  <si>
    <t>Радиаторы биметаллические, алюминиевые, стальные; конвекторы</t>
  </si>
  <si>
    <t>Комплектующие радиаторов</t>
  </si>
  <si>
    <t>Кронштейны, монтажные комплекты, узлы нижнего/бокового подключения, воздухоотводчики</t>
  </si>
  <si>
    <t>Светильники общего освещения</t>
  </si>
  <si>
    <t>Подвесные, встраиваемые, накладные, трековые, линейные светильники; люстры</t>
  </si>
  <si>
    <t>Светильники аварийные и эвакуационные</t>
  </si>
  <si>
    <t>Светильники с БАП, указатели «Выход», эвакуационные, противопожарные</t>
  </si>
  <si>
    <t>Сплит-системы</t>
  </si>
  <si>
    <t>Настенные, кассетные, канальные, напольно-потолочные сплит- и мультисплит-системы</t>
  </si>
  <si>
    <t>Облицовка стен — керамическая плитка</t>
  </si>
  <si>
    <t>Настенная плитка, керамогранит стеновой, бордюры; клей, затирка</t>
  </si>
  <si>
    <t>Водонагреватели</t>
  </si>
  <si>
    <t>Водоснабжение / канализация</t>
  </si>
  <si>
    <t>Водонагреватели накопительные и проточные, бойлеры</t>
  </si>
  <si>
    <t>Санприборы — раковины, умывальники, мойки</t>
  </si>
  <si>
    <t>Раковины, умывальники, мойки; в комплекте сифон, кронштейны</t>
  </si>
  <si>
    <t>Санприборы — смесители и водоразборная арматура</t>
  </si>
  <si>
    <t>Смесители, сенсорные краны, гигиенические души, смывные устройства для писсуаров</t>
  </si>
  <si>
    <t>Санприборы — унитазы, писсуары, инсталляции</t>
  </si>
  <si>
    <t>Унитазы подвесные и напольные, писсуары, инсталляции, рамы монтажные</t>
  </si>
  <si>
    <t>Трубы отопления и водоснабжения</t>
  </si>
  <si>
    <t>Труба PP-R, металлопласт, PEX, сшитый полиэтилен, сталь — с фитингами и изоляцией</t>
  </si>
  <si>
    <t>Трубы и гофра под электропроводку</t>
  </si>
  <si>
    <t>Труба ПВХ гладкая жёсткая, гофрированная (ПВХ, ПНД), металлорукав</t>
  </si>
  <si>
    <t>Фальшпол</t>
  </si>
  <si>
    <t>Панели фальшпола, стойки, гаскеты, клей</t>
  </si>
  <si>
    <t>ФРЕОН</t>
  </si>
  <si>
    <t>Фреонопроводы</t>
  </si>
  <si>
    <t>Медная труба, теплоизоляция трубопроводная, крепёж трасс</t>
  </si>
  <si>
    <t>Монтаж фреонопровода</t>
  </si>
  <si>
    <t>Шумоглушители</t>
  </si>
  <si>
    <t>Шумоглушители канальные пластинчатые и трубчатые</t>
  </si>
  <si>
    <t>Электроаппараты модульные (на DIN-рейку)</t>
  </si>
  <si>
    <t>Автоматические выключатели, УЗО, дифавтоматы (АВДТ), рубильники, реле, контакторы модульные</t>
  </si>
  <si>
    <t>Электроустановочные изделия — выключатели</t>
  </si>
  <si>
    <t>Выключатели клавишные, проходные, с ключом, кнопки, диммеры, датчики движения</t>
  </si>
  <si>
    <t>Электроустановочные изделия — розетки</t>
  </si>
  <si>
    <t>Розетки силовые, слаботочные лючки-модули, рамки, суппорты, коробки установочные</t>
  </si>
  <si>
    <t>Щиты, боксы, шкафы распределительные</t>
  </si>
  <si>
    <t>ГРЩ, этажные и групповые щиты, ППУ, боксы модульные, шкафы распределительные (корпус + начинка)</t>
  </si>
  <si>
    <t>Наименование раздела</t>
  </si>
  <si>
    <t>Проектные работы и согласования</t>
  </si>
  <si>
    <t>Демонтажные работы</t>
  </si>
  <si>
    <t>Внутренние строительные работы</t>
  </si>
  <si>
    <t>Наружные строительные работы</t>
  </si>
  <si>
    <t>Водоснабжение и канализация</t>
  </si>
  <si>
    <t>Электротехнические работы</t>
  </si>
  <si>
    <t>Адаптация для МГН</t>
  </si>
  <si>
    <t>Слаботочные системы и безопасность</t>
  </si>
  <si>
    <t>Лимитированные и прочие затраты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</si>
</sst>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4" fontId="0" fillId="3" borderId="0" xfId="0" applyNumberFormat="1" applyFill="1"/>
    <xf numFmtId="0" fontId="0" fillId="3" borderId="0" xfId="0" applyFill="1"/>
    <xf numFmtId="4" fontId="0" fillId="0" borderId="0" xfId="0" applyNumberFormat="1"/>
    <xf numFmtId="0" fontId="0" fillId="4" borderId="0" xfId="0" applyFill="1"/>
    <xf numFmtId="0" fontId="0" fillId="3" borderId="1" xfId="0" applyFill="1" applyBorder="1"/>
    <xf numFmtId="4" fontId="4" fillId="0" borderId="1" xfId="0" applyNumberFormat="1" applyFont="1" applyBorder="1"/>
    <xf numFmtId="164" fontId="0" fillId="3" borderId="1" xfId="0" applyNumberFormat="1" applyFill="1" applyBorder="1"/>
    <xf numFmtId="1" fontId="0" fillId="3" borderId="1" xfId="0" applyNumberFormat="1" applyFill="1" applyBorder="1"/>
    <xf numFmtId="2" fontId="0" fillId="3" borderId="1" xfId="0" applyNumberFormat="1" applyFill="1" applyBorder="1"/>
    <xf numFmtId="0" fontId="5" fillId="0" borderId="0" xfId="0" applyFont="1"/>
    <xf numFmtId="4" fontId="4" fillId="0" borderId="0" xfId="0" applyNumberFormat="1" applyFont="1"/>
    <xf numFmtId="164" fontId="0" fillId="0" borderId="0" xfId="0" applyNumberFormat="1"/>
    <xf numFmtId="0" fontId="2" fillId="0" borderId="0" xfId="0" applyFont="1"/>
  </cellXfs>
  <cellStyles count="1">
    <cellStyle name="Обычный" xfId="0" builtinId="0"/>
  </cellStyles>
  <dxfs count="2">
    <dxf>
      <font>
        <b/>
      </font>
      <fill>
        <patternFill patternType="solid">
          <fgColor rgb="FFDCE6F1"/>
          <bgColor rgb="FFDCE6F1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бРаботы" displayName="тбРаботы" ref="A1:R1058">
  <autoFilter ref="A1:R1058" xr:uid="{00000000-0009-0000-0100-000001000000}"/>
  <tableColumns count="18">
    <tableColumn id="1" xr3:uid="{00000000-0010-0000-0000-000001000000}" name="Код"/>
    <tableColumn id="2" xr3:uid="{00000000-0010-0000-0000-000002000000}" name="Раздел"/>
    <tableColumn id="3" xr3:uid="{00000000-0010-0000-0000-000003000000}" name="Подраздел"/>
    <tableColumn id="4" xr3:uid="{00000000-0010-0000-0000-000004000000}" name="Наименование работы"/>
    <tableColumn id="5" xr3:uid="{00000000-0010-0000-0000-000005000000}" name="Ед"/>
    <tableColumn id="6" xr3:uid="{00000000-0010-0000-0000-000006000000}" name="Цена работы, ₽"/>
    <tableColumn id="7" xr3:uid="{00000000-0010-0000-0000-000007000000}" name="Группа мат."/>
    <tableColumn id="8" xr3:uid="{00000000-0010-0000-0000-000008000000}" name="Вспом. мат., %"/>
    <tableColumn id="9" xr3:uid="{00000000-0010-0000-0000-000009000000}" name="Источник"/>
    <tableColumn id="10" xr3:uid="{00000000-0010-0000-0000-00000A000000}" name="Дата изм. цены"/>
    <tableColumn id="11" xr3:uid="{00000000-0010-0000-0000-00000B000000}" name="Кто изменил"/>
    <tableColumn id="12" xr3:uid="{00000000-0010-0000-0000-00000C000000}" name="в смету"/>
    <tableColumn id="13" xr3:uid="{00000000-0010-0000-0000-00000D000000}" name="Объём"/>
    <tableColumn id="14" xr3:uid="{00000000-0010-0000-0000-00000E000000}" name="Материал"/>
    <tableColumn id="15" xr3:uid="{00000000-0010-0000-0000-00000F000000}" name="Цена мат (ручн.), ₽"/>
    <tableColumn id="16" xr3:uid="{00000000-0010-0000-0000-000010000000}" name="Стоим. работ, ₽"/>
    <tableColumn id="17" xr3:uid="{00000000-0010-0000-0000-000011000000}" name="Стоим. мат, ₽"/>
    <tableColumn id="18" xr3:uid="{00000000-0010-0000-0000-000012000000}" name="Всего, ₽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бМатериалы" displayName="тбМатериалы" ref="A1:L1219">
  <autoFilter ref="A1:L1219" xr:uid="{00000000-0009-0000-0100-000002000000}"/>
  <tableColumns count="12">
    <tableColumn id="1" xr3:uid="{00000000-0010-0000-0100-000001000000}" name="Код_материала"/>
    <tableColumn id="2" xr3:uid="{00000000-0010-0000-0100-000002000000}" name="Группа"/>
    <tableColumn id="3" xr3:uid="{00000000-0010-0000-0100-000003000000}" name="Наименование"/>
    <tableColumn id="4" xr3:uid="{00000000-0010-0000-0100-000004000000}" name="Артикул"/>
    <tableColumn id="5" xr3:uid="{00000000-0010-0000-0100-000005000000}" name="Производитель"/>
    <tableColumn id="6" xr3:uid="{00000000-0010-0000-0100-000006000000}" name="Поставщик"/>
    <tableColumn id="7" xr3:uid="{00000000-0010-0000-0100-000007000000}" name="Ед_изм"/>
    <tableColumn id="8" xr3:uid="{00000000-0010-0000-0100-000008000000}" name="Цена"/>
    <tableColumn id="9" xr3:uid="{00000000-0010-0000-0100-000009000000}" name="Валюта"/>
    <tableColumn id="10" xr3:uid="{00000000-0010-0000-0100-00000A000000}" name="Дата изм. цены"/>
    <tableColumn id="11" xr3:uid="{00000000-0010-0000-0100-00000B000000}" name="Кто изменил"/>
    <tableColumn id="12" xr3:uid="{00000000-0010-0000-0100-00000C000000}" name="КОД — Наименование (служебный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бИстория" displayName="тбИстория" ref="A3:G253">
  <autoFilter ref="A3:G253" xr:uid="{00000000-0009-0000-0100-000003000000}"/>
  <tableColumns count="7">
    <tableColumn id="1" xr3:uid="{00000000-0010-0000-0200-000001000000}" name="Дата"/>
    <tableColumn id="2" xr3:uid="{00000000-0010-0000-0200-000002000000}" name="Код позиции"/>
    <tableColumn id="3" xr3:uid="{00000000-0010-0000-0200-000003000000}" name="Что изменилось"/>
    <tableColumn id="4" xr3:uid="{00000000-0010-0000-0200-000004000000}" name="Было"/>
    <tableColumn id="5" xr3:uid="{00000000-0010-0000-0200-000005000000}" name="Стало"/>
    <tableColumn id="6" xr3:uid="{00000000-0010-0000-0200-000006000000}" name="Кто"/>
    <tableColumn id="7" xr3:uid="{00000000-0010-0000-0200-000007000000}" name="Комментарий / № письма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бДокументация" displayName="тбДокументация" ref="A1:G57">
  <autoFilter ref="A1:G57" xr:uid="{00000000-0009-0000-0100-000004000000}"/>
  <tableColumns count="7">
    <tableColumn id="1" xr3:uid="{00000000-0010-0000-0300-000001000000}" name="Вид"/>
    <tableColumn id="2" xr3:uid="{00000000-0010-0000-0300-000002000000}" name="Раздел проекта"/>
    <tableColumn id="3" xr3:uid="{00000000-0010-0000-0300-000003000000}" name="База расчёта"/>
    <tableColumn id="4" xr3:uid="{00000000-0010-0000-0300-000004000000}" name="Ед"/>
    <tableColumn id="5" xr3:uid="{00000000-0010-0000-0300-000005000000}" name="Цена ЕР, ₽"/>
    <tableColumn id="6" xr3:uid="{00000000-0010-0000-0300-000006000000}" name="Ключ (текст выбора)"/>
    <tableColumn id="7" xr3:uid="{00000000-0010-0000-0300-000007000000}" name="Наименование для сметы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defaultRowHeight="14.4" x14ac:dyDescent="0.3"/>
  <cols>
    <col min="1" max="1" width="118" customWidth="1"/>
  </cols>
  <sheetData>
    <row r="1" spans="1:1" ht="18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s="2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Z1058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3" width="7" customWidth="1"/>
    <col min="4" max="4" width="46" customWidth="1"/>
    <col min="5" max="5" width="7" customWidth="1"/>
    <col min="6" max="6" width="13" customWidth="1"/>
    <col min="7" max="7" width="12" customWidth="1"/>
    <col min="8" max="8" width="8" customWidth="1"/>
    <col min="9" max="10" width="12" customWidth="1"/>
    <col min="11" max="11" width="14" customWidth="1"/>
    <col min="12" max="12" width="8" customWidth="1"/>
    <col min="13" max="13" width="9" customWidth="1"/>
    <col min="14" max="14" width="34" customWidth="1"/>
    <col min="15" max="18" width="15" customWidth="1"/>
    <col min="19" max="20" width="12" hidden="1" customWidth="1"/>
    <col min="21" max="24" width="7" hidden="1" customWidth="1"/>
    <col min="25" max="25" width="40" hidden="1" customWidth="1"/>
    <col min="26" max="26" width="28" hidden="1" customWidth="1"/>
  </cols>
  <sheetData>
    <row r="1" spans="1:26" ht="28.8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</row>
    <row r="2" spans="1:26" ht="72" x14ac:dyDescent="0.3">
      <c r="A2" t="s">
        <v>48</v>
      </c>
      <c r="B2" t="s">
        <v>49</v>
      </c>
      <c r="C2" t="s">
        <v>50</v>
      </c>
      <c r="D2" s="4" t="s">
        <v>51</v>
      </c>
      <c r="E2" t="s">
        <v>52</v>
      </c>
      <c r="F2" s="5">
        <v>3675</v>
      </c>
      <c r="H2">
        <v>0</v>
      </c>
      <c r="I2" t="s">
        <v>53</v>
      </c>
      <c r="L2" s="6"/>
      <c r="M2" s="6"/>
      <c r="N2" s="6"/>
      <c r="O2" s="5"/>
      <c r="P2" s="7" t="str">
        <f t="shared" ref="P2:P65" si="0">IF($L2="да",ROUND(N($M2)*$S2,2),"")</f>
        <v/>
      </c>
      <c r="Q2" s="7" t="str">
        <f t="shared" ref="Q2:Q65" si="1">IF($L2="да",ROUND(N($M2)*$T2,2),"")</f>
        <v/>
      </c>
      <c r="R2" s="7" t="str">
        <f t="shared" ref="R2:R65" si="2">IF($L2="да",N($P2)+N($Q2),"")</f>
        <v/>
      </c>
      <c r="S2" s="7">
        <f>IF($A2="","",IF(AND(LEFT($G2,3)="ДОК",$N2&lt;&gt;""),IFERROR(INDEX(Документация!$E$2:$E$57,MATCH($N2,Документация!$F$2:$F$57,0)),0),N($F2))*(1-MEDIAN(0,N(ДисконтТендер),1)))</f>
        <v>3675</v>
      </c>
      <c r="T2" s="7">
        <f>IF($A2="","",IF(AND(LEFT($G2,3)="ДОК",$N2&lt;&gt;""),0,IF(AND(LEFT($G2,3)&lt;&gt;"ДОК",$N2&lt;&gt;""),IFERROR(INDEX(МАТЕРИАЛЫ!$H$2:$H$9000,MATCH($N2,МАТЕРИАЛЫ!$L$2:$L$9000,0))*IF(INDEX(МАТЕРИАЛЫ!$I$2:$I$9000,MATCH($N2,МАТЕРИАЛЫ!$L$2:$L$9000,0))="USD",КурсUSD,IF(INDEX(МАТЕРИАЛЫ!$I$2:$I$9000,MATCH($N2,МАТЕРИАЛЫ!$L$2:$L$9000,0))="EUR",КурсEUR,IF(INDEX(МАТЕРИАЛЫ!$I$2:$I$9000,MATCH($N2,МАТЕРИАЛЫ!$L$2:$L$9000,0))="CNY",КурсCNY,1)))*(1+N($H2)/100),0),N($O2))*(1-MEDIAN(0,N(ДисконтТендер),1))))</f>
        <v>0</v>
      </c>
      <c r="U2" t="str">
        <f>IF($L2="да",MAX($U$1:$U1)+1,"")</f>
        <v/>
      </c>
      <c r="V2" t="str">
        <f t="shared" ref="V2:V65" si="3">IF($A2="","",$B2)</f>
        <v>Р1</v>
      </c>
      <c r="W2" t="str">
        <f t="shared" ref="W2:W65" si="4">IF($U2="","",IF($U2=1,1,IF($V2&lt;&gt;IFERROR(INDEX($V$2:$V$1058,MATCH($U2-1,$U$2:$U$1058,0)),"~"),1,0)))</f>
        <v/>
      </c>
      <c r="X2" t="str">
        <f t="shared" ref="X2:X65" si="5">IF($U2="","",$U2+SUMIFS($W$2:$W$1058,$U$2:$U$1058,"&lt;="&amp;$U2))</f>
        <v/>
      </c>
      <c r="Y2" s="4" t="str">
        <f>IF($A2="","",IF(AND(LEFT($G2,3)="ДОК",$N2&lt;&gt;""),IFERROR(INDEX(Документация!$G$2:$G$57,MATCH($N2,Документация!$F$2:$F$57,0)),$D2),$D2&amp;IF(AND(LEFT($G2,3)&lt;&gt;"ДОК",$N2&lt;&gt;"")," — "&amp;IFERROR(INDEX(МАТЕРИАЛЫ!$C$2:$C$9000,MATCH($N2,МАТЕРИАЛЫ!$L$2:$L$9000,0)),""),"")))</f>
        <v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v>
      </c>
      <c r="Z2" t="str">
        <f t="shared" ref="Z2:Z65" si="6">IF($B2="","",$B2&amp;" · "&amp;IFERROR(VLOOKUP($B2,спрРазделы,2,0),""))</f>
        <v>Р1 · Проектные работы и согласования</v>
      </c>
    </row>
    <row r="3" spans="1:26" ht="72" x14ac:dyDescent="0.3">
      <c r="A3" t="s">
        <v>54</v>
      </c>
      <c r="B3" t="s">
        <v>49</v>
      </c>
      <c r="C3" t="s">
        <v>50</v>
      </c>
      <c r="D3" s="4" t="s">
        <v>55</v>
      </c>
      <c r="E3" t="s">
        <v>52</v>
      </c>
      <c r="F3" s="5">
        <v>7822.5</v>
      </c>
      <c r="H3">
        <v>0</v>
      </c>
      <c r="I3" t="s">
        <v>53</v>
      </c>
      <c r="L3" s="6"/>
      <c r="M3" s="6"/>
      <c r="N3" s="6"/>
      <c r="O3" s="5"/>
      <c r="P3" s="7" t="str">
        <f t="shared" si="0"/>
        <v/>
      </c>
      <c r="Q3" s="7" t="str">
        <f t="shared" si="1"/>
        <v/>
      </c>
      <c r="R3" s="7" t="str">
        <f t="shared" si="2"/>
        <v/>
      </c>
      <c r="S3" s="7">
        <f>IF($A3="","",IF(AND(LEFT($G3,3)="ДОК",$N3&lt;&gt;""),IFERROR(INDEX(Документация!$E$2:$E$57,MATCH($N3,Документация!$F$2:$F$57,0)),0),N($F3))*(1-MEDIAN(0,N(ДисконтТендер),1)))</f>
        <v>7822.5</v>
      </c>
      <c r="T3" s="7">
        <f>IF($A3="","",IF(AND(LEFT($G3,3)="ДОК",$N3&lt;&gt;""),0,IF(AND(LEFT($G3,3)&lt;&gt;"ДОК",$N3&lt;&gt;""),IFERROR(INDEX(МАТЕРИАЛЫ!$H$2:$H$9000,MATCH($N3,МАТЕРИАЛЫ!$L$2:$L$9000,0))*IF(INDEX(МАТЕРИАЛЫ!$I$2:$I$9000,MATCH($N3,МАТЕРИАЛЫ!$L$2:$L$9000,0))="USD",КурсUSD,IF(INDEX(МАТЕРИАЛЫ!$I$2:$I$9000,MATCH($N3,МАТЕРИАЛЫ!$L$2:$L$9000,0))="EUR",КурсEUR,IF(INDEX(МАТЕРИАЛЫ!$I$2:$I$9000,MATCH($N3,МАТЕРИАЛЫ!$L$2:$L$9000,0))="CNY",КурсCNY,1)))*(1+N($H3)/100),0),N($O3))*(1-MEDIAN(0,N(ДисконтТендер),1))))</f>
        <v>0</v>
      </c>
      <c r="U3" t="str">
        <f>IF($L3="да",MAX($U$1:$U2)+1,"")</f>
        <v/>
      </c>
      <c r="V3" t="str">
        <f t="shared" si="3"/>
        <v>Р1</v>
      </c>
      <c r="W3" t="str">
        <f t="shared" si="4"/>
        <v/>
      </c>
      <c r="X3" t="str">
        <f t="shared" si="5"/>
        <v/>
      </c>
      <c r="Y3" s="4" t="str">
        <f>IF($A3="","",IF(AND(LEFT($G3,3)="ДОК",$N3&lt;&gt;""),IFERROR(INDEX(Документация!$G$2:$G$57,MATCH($N3,Документация!$F$2:$F$57,0)),$D3),$D3&amp;IF(AND(LEFT($G3,3)&lt;&gt;"ДОК",$N3&lt;&gt;"")," — "&amp;IFERROR(INDEX(МАТЕРИАЛЫ!$C$2:$C$9000,MATCH($N3,МАТЕРИАЛЫ!$L$2:$L$9000,0)),""),"")))</f>
        <v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v>
      </c>
      <c r="Z3" t="str">
        <f t="shared" si="6"/>
        <v>Р1 · Проектные работы и согласования</v>
      </c>
    </row>
    <row r="4" spans="1:26" ht="28.8" x14ac:dyDescent="0.3">
      <c r="A4" t="s">
        <v>56</v>
      </c>
      <c r="B4" t="s">
        <v>49</v>
      </c>
      <c r="C4" t="s">
        <v>50</v>
      </c>
      <c r="D4" s="4" t="s">
        <v>57</v>
      </c>
      <c r="E4" t="str">
        <f>IF($N4="","—",IFERROR(INDEX(Документация!$D$2:$D$57,MATCH($N4,Документация!$F$2:$F$57,0)),"—"))</f>
        <v>—</v>
      </c>
      <c r="F4" s="5">
        <v>0</v>
      </c>
      <c r="G4" t="s">
        <v>58</v>
      </c>
      <c r="H4">
        <v>0</v>
      </c>
      <c r="I4" t="s">
        <v>53</v>
      </c>
      <c r="L4" s="6"/>
      <c r="M4" s="6"/>
      <c r="N4" s="6"/>
      <c r="O4" s="5"/>
      <c r="P4" s="7" t="str">
        <f t="shared" si="0"/>
        <v/>
      </c>
      <c r="Q4" s="7" t="str">
        <f t="shared" si="1"/>
        <v/>
      </c>
      <c r="R4" s="7" t="str">
        <f t="shared" si="2"/>
        <v/>
      </c>
      <c r="S4" s="7">
        <f>IF($A4="","",IF(AND(LEFT($G4,3)="ДОК",$N4&lt;&gt;""),IFERROR(INDEX(Документация!$E$2:$E$57,MATCH($N4,Документация!$F$2:$F$57,0)),0),N($F4))*(1-MEDIAN(0,N(ДисконтТендер),1)))</f>
        <v>0</v>
      </c>
      <c r="T4" s="7">
        <f>IF($A4="","",IF(AND(LEFT($G4,3)="ДОК",$N4&lt;&gt;""),0,IF(AND(LEFT($G4,3)&lt;&gt;"ДОК",$N4&lt;&gt;""),IFERROR(INDEX(МАТЕРИАЛЫ!$H$2:$H$9000,MATCH($N4,МАТЕРИАЛЫ!$L$2:$L$9000,0))*IF(INDEX(МАТЕРИАЛЫ!$I$2:$I$9000,MATCH($N4,МАТЕРИАЛЫ!$L$2:$L$9000,0))="USD",КурсUSD,IF(INDEX(МАТЕРИАЛЫ!$I$2:$I$9000,MATCH($N4,МАТЕРИАЛЫ!$L$2:$L$9000,0))="EUR",КурсEUR,IF(INDEX(МАТЕРИАЛЫ!$I$2:$I$9000,MATCH($N4,МАТЕРИАЛЫ!$L$2:$L$9000,0))="CNY",КурсCNY,1)))*(1+N($H4)/100),0),N($O4))*(1-MEDIAN(0,N(ДисконтТендер),1))))</f>
        <v>0</v>
      </c>
      <c r="U4" t="str">
        <f>IF($L4="да",MAX($U$1:$U3)+1,"")</f>
        <v/>
      </c>
      <c r="V4" t="str">
        <f t="shared" si="3"/>
        <v>Р1</v>
      </c>
      <c r="W4" t="str">
        <f t="shared" si="4"/>
        <v/>
      </c>
      <c r="X4" t="str">
        <f t="shared" si="5"/>
        <v/>
      </c>
      <c r="Y4" s="4" t="str">
        <f>IF($A4="","",IF(AND(LEFT($G4,3)="ДОК",$N4&lt;&gt;""),IFERROR(INDEX(Документация!$G$2:$G$57,MATCH($N4,Документация!$F$2:$F$57,0)),$D4),$D4&amp;IF(AND(LEFT($G4,3)&lt;&gt;"ДОК",$N4&lt;&gt;"")," — "&amp;IFERROR(INDEX(МАТЕРИАЛЫ!$C$2:$C$9000,MATCH($N4,МАТЕРИАЛЫ!$L$2:$L$9000,0)),""),"")))</f>
        <v>Рабочая документация (раздел проекта — выбрать)</v>
      </c>
      <c r="Z4" t="str">
        <f t="shared" si="6"/>
        <v>Р1 · Проектные работы и согласования</v>
      </c>
    </row>
    <row r="5" spans="1:26" ht="28.8" x14ac:dyDescent="0.3">
      <c r="A5" t="s">
        <v>59</v>
      </c>
      <c r="B5" t="s">
        <v>49</v>
      </c>
      <c r="C5" t="s">
        <v>50</v>
      </c>
      <c r="D5" s="4" t="s">
        <v>60</v>
      </c>
      <c r="E5" t="str">
        <f>IF($N5="","—",IFERROR(INDEX(Документация!$D$2:$D$57,MATCH($N5,Документация!$F$2:$F$57,0)),"—"))</f>
        <v>—</v>
      </c>
      <c r="F5" s="5">
        <v>0</v>
      </c>
      <c r="G5" t="s">
        <v>61</v>
      </c>
      <c r="H5">
        <v>0</v>
      </c>
      <c r="I5" t="s">
        <v>53</v>
      </c>
      <c r="L5" s="6"/>
      <c r="M5" s="6"/>
      <c r="N5" s="6"/>
      <c r="O5" s="5"/>
      <c r="P5" s="7" t="str">
        <f t="shared" si="0"/>
        <v/>
      </c>
      <c r="Q5" s="7" t="str">
        <f t="shared" si="1"/>
        <v/>
      </c>
      <c r="R5" s="7" t="str">
        <f t="shared" si="2"/>
        <v/>
      </c>
      <c r="S5" s="7">
        <f>IF($A5="","",IF(AND(LEFT($G5,3)="ДОК",$N5&lt;&gt;""),IFERROR(INDEX(Документация!$E$2:$E$57,MATCH($N5,Документация!$F$2:$F$57,0)),0),N($F5))*(1-MEDIAN(0,N(ДисконтТендер),1)))</f>
        <v>0</v>
      </c>
      <c r="T5" s="7">
        <f>IF($A5="","",IF(AND(LEFT($G5,3)="ДОК",$N5&lt;&gt;""),0,IF(AND(LEFT($G5,3)&lt;&gt;"ДОК",$N5&lt;&gt;""),IFERROR(INDEX(МАТЕРИАЛЫ!$H$2:$H$9000,MATCH($N5,МАТЕРИАЛЫ!$L$2:$L$9000,0))*IF(INDEX(МАТЕРИАЛЫ!$I$2:$I$9000,MATCH($N5,МАТЕРИАЛЫ!$L$2:$L$9000,0))="USD",КурсUSD,IF(INDEX(МАТЕРИАЛЫ!$I$2:$I$9000,MATCH($N5,МАТЕРИАЛЫ!$L$2:$L$9000,0))="EUR",КурсEUR,IF(INDEX(МАТЕРИАЛЫ!$I$2:$I$9000,MATCH($N5,МАТЕРИАЛЫ!$L$2:$L$9000,0))="CNY",КурсCNY,1)))*(1+N($H5)/100),0),N($O5))*(1-MEDIAN(0,N(ДисконтТендер),1))))</f>
        <v>0</v>
      </c>
      <c r="U5" t="str">
        <f>IF($L5="да",MAX($U$1:$U4)+1,"")</f>
        <v/>
      </c>
      <c r="V5" t="str">
        <f t="shared" si="3"/>
        <v>Р1</v>
      </c>
      <c r="W5" t="str">
        <f t="shared" si="4"/>
        <v/>
      </c>
      <c r="X5" t="str">
        <f t="shared" si="5"/>
        <v/>
      </c>
      <c r="Y5" s="4" t="str">
        <f>IF($A5="","",IF(AND(LEFT($G5,3)="ДОК",$N5&lt;&gt;""),IFERROR(INDEX(Документация!$G$2:$G$57,MATCH($N5,Документация!$F$2:$F$57,0)),$D5),$D5&amp;IF(AND(LEFT($G5,3)&lt;&gt;"ДОК",$N5&lt;&gt;"")," — "&amp;IFERROR(INDEX(МАТЕРИАЛЫ!$C$2:$C$9000,MATCH($N5,МАТЕРИАЛЫ!$L$2:$L$9000,0)),""),"")))</f>
        <v>Исполнительная документация (раздел проекта — выбрать)</v>
      </c>
      <c r="Z5" t="str">
        <f t="shared" si="6"/>
        <v>Р1 · Проектные работы и согласования</v>
      </c>
    </row>
    <row r="6" spans="1:26" ht="72" x14ac:dyDescent="0.3">
      <c r="A6" t="s">
        <v>62</v>
      </c>
      <c r="B6" t="s">
        <v>49</v>
      </c>
      <c r="C6" t="s">
        <v>50</v>
      </c>
      <c r="D6" s="4" t="s">
        <v>63</v>
      </c>
      <c r="E6" t="s">
        <v>52</v>
      </c>
      <c r="F6" s="5">
        <v>3675</v>
      </c>
      <c r="H6">
        <v>0</v>
      </c>
      <c r="I6" t="s">
        <v>53</v>
      </c>
      <c r="L6" s="6"/>
      <c r="M6" s="6"/>
      <c r="N6" s="6"/>
      <c r="O6" s="5"/>
      <c r="P6" s="7" t="str">
        <f t="shared" si="0"/>
        <v/>
      </c>
      <c r="Q6" s="7" t="str">
        <f t="shared" si="1"/>
        <v/>
      </c>
      <c r="R6" s="7" t="str">
        <f t="shared" si="2"/>
        <v/>
      </c>
      <c r="S6" s="7">
        <f>IF($A6="","",IF(AND(LEFT($G6,3)="ДОК",$N6&lt;&gt;""),IFERROR(INDEX(Документация!$E$2:$E$57,MATCH($N6,Документация!$F$2:$F$57,0)),0),N($F6))*(1-MEDIAN(0,N(ДисконтТендер),1)))</f>
        <v>3675</v>
      </c>
      <c r="T6" s="7">
        <f>IF($A6="","",IF(AND(LEFT($G6,3)="ДОК",$N6&lt;&gt;""),0,IF(AND(LEFT($G6,3)&lt;&gt;"ДОК",$N6&lt;&gt;""),IFERROR(INDEX(МАТЕРИАЛЫ!$H$2:$H$9000,MATCH($N6,МАТЕРИАЛЫ!$L$2:$L$9000,0))*IF(INDEX(МАТЕРИАЛЫ!$I$2:$I$9000,MATCH($N6,МАТЕРИАЛЫ!$L$2:$L$9000,0))="USD",КурсUSD,IF(INDEX(МАТЕРИАЛЫ!$I$2:$I$9000,MATCH($N6,МАТЕРИАЛЫ!$L$2:$L$9000,0))="EUR",КурсEUR,IF(INDEX(МАТЕРИАЛЫ!$I$2:$I$9000,MATCH($N6,МАТЕРИАЛЫ!$L$2:$L$9000,0))="CNY",КурсCNY,1)))*(1+N($H6)/100),0),N($O6))*(1-MEDIAN(0,N(ДисконтТендер),1))))</f>
        <v>0</v>
      </c>
      <c r="U6" t="str">
        <f>IF($L6="да",MAX($U$1:$U5)+1,"")</f>
        <v/>
      </c>
      <c r="V6" t="str">
        <f t="shared" si="3"/>
        <v>Р1</v>
      </c>
      <c r="W6" t="str">
        <f t="shared" si="4"/>
        <v/>
      </c>
      <c r="X6" t="str">
        <f t="shared" si="5"/>
        <v/>
      </c>
      <c r="Y6" s="4" t="str">
        <f>IF($A6="","",IF(AND(LEFT($G6,3)="ДОК",$N6&lt;&gt;""),IFERROR(INDEX(Документация!$G$2:$G$57,MATCH($N6,Документация!$F$2:$F$57,0)),$D6),$D6&amp;IF(AND(LEFT($G6,3)&lt;&gt;"ДОК",$N6&lt;&gt;"")," — "&amp;IFERROR(INDEX(МАТЕРИАЛЫ!$C$2:$C$9000,MATCH($N6,МАТЕРИАЛЫ!$L$2:$L$9000,0)),""),"")))</f>
        <v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v>
      </c>
      <c r="Z6" t="str">
        <f t="shared" si="6"/>
        <v>Р1 · Проектные работы и согласования</v>
      </c>
    </row>
    <row r="7" spans="1:26" ht="72" x14ac:dyDescent="0.3">
      <c r="A7" t="s">
        <v>64</v>
      </c>
      <c r="B7" t="s">
        <v>49</v>
      </c>
      <c r="C7" t="s">
        <v>50</v>
      </c>
      <c r="D7" s="4" t="s">
        <v>65</v>
      </c>
      <c r="E7" t="s">
        <v>66</v>
      </c>
      <c r="F7" s="5">
        <v>7822.5</v>
      </c>
      <c r="H7">
        <v>0</v>
      </c>
      <c r="I7" t="s">
        <v>53</v>
      </c>
      <c r="L7" s="6"/>
      <c r="M7" s="6"/>
      <c r="N7" s="6"/>
      <c r="O7" s="5"/>
      <c r="P7" s="7" t="str">
        <f t="shared" si="0"/>
        <v/>
      </c>
      <c r="Q7" s="7" t="str">
        <f t="shared" si="1"/>
        <v/>
      </c>
      <c r="R7" s="7" t="str">
        <f t="shared" si="2"/>
        <v/>
      </c>
      <c r="S7" s="7">
        <f>IF($A7="","",IF(AND(LEFT($G7,3)="ДОК",$N7&lt;&gt;""),IFERROR(INDEX(Документация!$E$2:$E$57,MATCH($N7,Документация!$F$2:$F$57,0)),0),N($F7))*(1-MEDIAN(0,N(ДисконтТендер),1)))</f>
        <v>7822.5</v>
      </c>
      <c r="T7" s="7">
        <f>IF($A7="","",IF(AND(LEFT($G7,3)="ДОК",$N7&lt;&gt;""),0,IF(AND(LEFT($G7,3)&lt;&gt;"ДОК",$N7&lt;&gt;""),IFERROR(INDEX(МАТЕРИАЛЫ!$H$2:$H$9000,MATCH($N7,МАТЕРИАЛЫ!$L$2:$L$9000,0))*IF(INDEX(МАТЕРИАЛЫ!$I$2:$I$9000,MATCH($N7,МАТЕРИАЛЫ!$L$2:$L$9000,0))="USD",КурсUSD,IF(INDEX(МАТЕРИАЛЫ!$I$2:$I$9000,MATCH($N7,МАТЕРИАЛЫ!$L$2:$L$9000,0))="EUR",КурсEUR,IF(INDEX(МАТЕРИАЛЫ!$I$2:$I$9000,MATCH($N7,МАТЕРИАЛЫ!$L$2:$L$9000,0))="CNY",КурсCNY,1)))*(1+N($H7)/100),0),N($O7))*(1-MEDIAN(0,N(ДисконтТендер),1))))</f>
        <v>0</v>
      </c>
      <c r="U7" t="str">
        <f>IF($L7="да",MAX($U$1:$U6)+1,"")</f>
        <v/>
      </c>
      <c r="V7" t="str">
        <f t="shared" si="3"/>
        <v>Р1</v>
      </c>
      <c r="W7" t="str">
        <f t="shared" si="4"/>
        <v/>
      </c>
      <c r="X7" t="str">
        <f t="shared" si="5"/>
        <v/>
      </c>
      <c r="Y7" s="4" t="str">
        <f>IF($A7="","",IF(AND(LEFT($G7,3)="ДОК",$N7&lt;&gt;""),IFERROR(INDEX(Документация!$G$2:$G$57,MATCH($N7,Документация!$F$2:$F$57,0)),$D7),$D7&amp;IF(AND(LEFT($G7,3)&lt;&gt;"ДОК",$N7&lt;&gt;"")," — "&amp;IFERROR(INDEX(МАТЕРИАЛЫ!$C$2:$C$9000,MATCH($N7,МАТЕРИАЛЫ!$L$2:$L$9000,0)),""),"")))</f>
        <v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v>
      </c>
      <c r="Z7" t="str">
        <f t="shared" si="6"/>
        <v>Р1 · Проектные работы и согласования</v>
      </c>
    </row>
    <row r="8" spans="1:26" ht="57.6" x14ac:dyDescent="0.3">
      <c r="A8" t="s">
        <v>67</v>
      </c>
      <c r="B8" t="s">
        <v>49</v>
      </c>
      <c r="C8" t="s">
        <v>50</v>
      </c>
      <c r="D8" s="4" t="s">
        <v>68</v>
      </c>
      <c r="E8" t="s">
        <v>52</v>
      </c>
      <c r="F8" s="5">
        <v>0</v>
      </c>
      <c r="H8">
        <v>0</v>
      </c>
      <c r="I8" t="s">
        <v>53</v>
      </c>
      <c r="L8" s="6"/>
      <c r="M8" s="6"/>
      <c r="N8" s="6"/>
      <c r="O8" s="5"/>
      <c r="P8" s="7" t="str">
        <f t="shared" si="0"/>
        <v/>
      </c>
      <c r="Q8" s="7" t="str">
        <f t="shared" si="1"/>
        <v/>
      </c>
      <c r="R8" s="7" t="str">
        <f t="shared" si="2"/>
        <v/>
      </c>
      <c r="S8" s="7">
        <f>IF($A8="","",IF(AND(LEFT($G8,3)="ДОК",$N8&lt;&gt;""),IFERROR(INDEX(Документация!$E$2:$E$57,MATCH($N8,Документация!$F$2:$F$57,0)),0),N($F8))*(1-MEDIAN(0,N(ДисконтТендер),1)))</f>
        <v>0</v>
      </c>
      <c r="T8" s="7">
        <f>IF($A8="","",IF(AND(LEFT($G8,3)="ДОК",$N8&lt;&gt;""),0,IF(AND(LEFT($G8,3)&lt;&gt;"ДОК",$N8&lt;&gt;""),IFERROR(INDEX(МАТЕРИАЛЫ!$H$2:$H$9000,MATCH($N8,МАТЕРИАЛЫ!$L$2:$L$9000,0))*IF(INDEX(МАТЕРИАЛЫ!$I$2:$I$9000,MATCH($N8,МАТЕРИАЛЫ!$L$2:$L$9000,0))="USD",КурсUSD,IF(INDEX(МАТЕРИАЛЫ!$I$2:$I$9000,MATCH($N8,МАТЕРИАЛЫ!$L$2:$L$9000,0))="EUR",КурсEUR,IF(INDEX(МАТЕРИАЛЫ!$I$2:$I$9000,MATCH($N8,МАТЕРИАЛЫ!$L$2:$L$9000,0))="CNY",КурсCNY,1)))*(1+N($H8)/100),0),N($O8))*(1-MEDIAN(0,N(ДисконтТендер),1))))</f>
        <v>0</v>
      </c>
      <c r="U8" t="str">
        <f>IF($L8="да",MAX($U$1:$U7)+1,"")</f>
        <v/>
      </c>
      <c r="V8" t="str">
        <f t="shared" si="3"/>
        <v>Р1</v>
      </c>
      <c r="W8" t="str">
        <f t="shared" si="4"/>
        <v/>
      </c>
      <c r="X8" t="str">
        <f t="shared" si="5"/>
        <v/>
      </c>
      <c r="Y8" s="4" t="str">
        <f>IF($A8="","",IF(AND(LEFT($G8,3)="ДОК",$N8&lt;&gt;""),IFERROR(INDEX(Документация!$G$2:$G$57,MATCH($N8,Документация!$F$2:$F$57,0)),$D8),$D8&amp;IF(AND(LEFT($G8,3)&lt;&gt;"ДОК",$N8&lt;&gt;"")," — "&amp;IFERROR(INDEX(МАТЕРИАЛЫ!$C$2:$C$9000,MATCH($N8,МАТЕРИАЛЫ!$L$2:$L$9000,0)),""),"")))</f>
        <v>Стоимость согласования проекта перепланировки/реставрации объекта культурного наследия в соответствии с нормативными актами г.______________.</v>
      </c>
      <c r="Z8" t="str">
        <f t="shared" si="6"/>
        <v>Р1 · Проектные работы и согласования</v>
      </c>
    </row>
    <row r="9" spans="1:26" ht="57.6" x14ac:dyDescent="0.3">
      <c r="A9" t="s">
        <v>69</v>
      </c>
      <c r="B9" t="s">
        <v>49</v>
      </c>
      <c r="C9" t="s">
        <v>50</v>
      </c>
      <c r="D9" s="4" t="s">
        <v>70</v>
      </c>
      <c r="E9" t="s">
        <v>52</v>
      </c>
      <c r="F9" s="5">
        <v>0</v>
      </c>
      <c r="H9">
        <v>0</v>
      </c>
      <c r="I9" t="s">
        <v>53</v>
      </c>
      <c r="L9" s="6"/>
      <c r="M9" s="6"/>
      <c r="N9" s="6"/>
      <c r="O9" s="5"/>
      <c r="P9" s="7" t="str">
        <f t="shared" si="0"/>
        <v/>
      </c>
      <c r="Q9" s="7" t="str">
        <f t="shared" si="1"/>
        <v/>
      </c>
      <c r="R9" s="7" t="str">
        <f t="shared" si="2"/>
        <v/>
      </c>
      <c r="S9" s="7">
        <f>IF($A9="","",IF(AND(LEFT($G9,3)="ДОК",$N9&lt;&gt;""),IFERROR(INDEX(Документация!$E$2:$E$57,MATCH($N9,Документация!$F$2:$F$57,0)),0),N($F9))*(1-MEDIAN(0,N(ДисконтТендер),1)))</f>
        <v>0</v>
      </c>
      <c r="T9" s="7">
        <f>IF($A9="","",IF(AND(LEFT($G9,3)="ДОК",$N9&lt;&gt;""),0,IF(AND(LEFT($G9,3)&lt;&gt;"ДОК",$N9&lt;&gt;""),IFERROR(INDEX(МАТЕРИАЛЫ!$H$2:$H$9000,MATCH($N9,МАТЕРИАЛЫ!$L$2:$L$9000,0))*IF(INDEX(МАТЕРИАЛЫ!$I$2:$I$9000,MATCH($N9,МАТЕРИАЛЫ!$L$2:$L$9000,0))="USD",КурсUSD,IF(INDEX(МАТЕРИАЛЫ!$I$2:$I$9000,MATCH($N9,МАТЕРИАЛЫ!$L$2:$L$9000,0))="EUR",КурсEUR,IF(INDEX(МАТЕРИАЛЫ!$I$2:$I$9000,MATCH($N9,МАТЕРИАЛЫ!$L$2:$L$9000,0))="CNY",КурсCNY,1)))*(1+N($H9)/100),0),N($O9))*(1-MEDIAN(0,N(ДисконтТендер),1))))</f>
        <v>0</v>
      </c>
      <c r="U9" t="str">
        <f>IF($L9="да",MAX($U$1:$U8)+1,"")</f>
        <v/>
      </c>
      <c r="V9" t="str">
        <f t="shared" si="3"/>
        <v>Р1</v>
      </c>
      <c r="W9" t="str">
        <f t="shared" si="4"/>
        <v/>
      </c>
      <c r="X9" t="str">
        <f t="shared" si="5"/>
        <v/>
      </c>
      <c r="Y9" s="4" t="str">
        <f>IF($A9="","",IF(AND(LEFT($G9,3)="ДОК",$N9&lt;&gt;""),IFERROR(INDEX(Документация!$G$2:$G$57,MATCH($N9,Документация!$F$2:$F$57,0)),$D9),$D9&amp;IF(AND(LEFT($G9,3)&lt;&gt;"ДОК",$N9&lt;&gt;"")," — "&amp;IFERROR(INDEX(МАТЕРИАЛЫ!$C$2:$C$9000,MATCH($N9,МАТЕРИАЛЫ!$L$2:$L$9000,0)),""),"")))</f>
        <v>Стоимость согласования проекта перепланировки/реконструкции объекта в соответствии с нормативными актами г.______________.</v>
      </c>
      <c r="Z9" t="str">
        <f t="shared" si="6"/>
        <v>Р1 · Проектные работы и согласования</v>
      </c>
    </row>
    <row r="10" spans="1:26" x14ac:dyDescent="0.3">
      <c r="A10" t="s">
        <v>71</v>
      </c>
      <c r="B10" t="s">
        <v>49</v>
      </c>
      <c r="C10" t="s">
        <v>50</v>
      </c>
      <c r="D10" s="4" t="s">
        <v>72</v>
      </c>
      <c r="E10" t="s">
        <v>52</v>
      </c>
      <c r="F10" s="5">
        <v>0</v>
      </c>
      <c r="H10">
        <v>0</v>
      </c>
      <c r="I10" t="s">
        <v>53</v>
      </c>
      <c r="L10" s="6"/>
      <c r="M10" s="6"/>
      <c r="N10" s="6"/>
      <c r="O10" s="5"/>
      <c r="P10" s="7" t="str">
        <f t="shared" si="0"/>
        <v/>
      </c>
      <c r="Q10" s="7" t="str">
        <f t="shared" si="1"/>
        <v/>
      </c>
      <c r="R10" s="7" t="str">
        <f t="shared" si="2"/>
        <v/>
      </c>
      <c r="S10" s="7">
        <f>IF($A10="","",IF(AND(LEFT($G10,3)="ДОК",$N10&lt;&gt;""),IFERROR(INDEX(Документация!$E$2:$E$57,MATCH($N10,Документация!$F$2:$F$57,0)),0),N($F10))*(1-MEDIAN(0,N(ДисконтТендер),1)))</f>
        <v>0</v>
      </c>
      <c r="T10" s="7">
        <f>IF($A10="","",IF(AND(LEFT($G10,3)="ДОК",$N10&lt;&gt;""),0,IF(AND(LEFT($G10,3)&lt;&gt;"ДОК",$N10&lt;&gt;""),IFERROR(INDEX(МАТЕРИАЛЫ!$H$2:$H$9000,MATCH($N10,МАТЕРИАЛЫ!$L$2:$L$9000,0))*IF(INDEX(МАТЕРИАЛЫ!$I$2:$I$9000,MATCH($N10,МАТЕРИАЛЫ!$L$2:$L$9000,0))="USD",КурсUSD,IF(INDEX(МАТЕРИАЛЫ!$I$2:$I$9000,MATCH($N10,МАТЕРИАЛЫ!$L$2:$L$9000,0))="EUR",КурсEUR,IF(INDEX(МАТЕРИАЛЫ!$I$2:$I$9000,MATCH($N10,МАТЕРИАЛЫ!$L$2:$L$9000,0))="CNY",КурсCNY,1)))*(1+N($H10)/100),0),N($O10))*(1-MEDIAN(0,N(ДисконтТендер),1))))</f>
        <v>0</v>
      </c>
      <c r="U10" t="str">
        <f>IF($L10="да",MAX($U$1:$U9)+1,"")</f>
        <v/>
      </c>
      <c r="V10" t="str">
        <f t="shared" si="3"/>
        <v>Р1</v>
      </c>
      <c r="W10" t="str">
        <f t="shared" si="4"/>
        <v/>
      </c>
      <c r="X10" t="str">
        <f t="shared" si="5"/>
        <v/>
      </c>
      <c r="Y10" s="4" t="str">
        <f>IF($A10="","",IF(AND(LEFT($G10,3)="ДОК",$N10&lt;&gt;""),IFERROR(INDEX(Документация!$G$2:$G$57,MATCH($N10,Документация!$F$2:$F$57,0)),$D10),$D10&amp;IF(AND(LEFT($G10,3)&lt;&gt;"ДОК",$N10&lt;&gt;"")," — "&amp;IFERROR(INDEX(МАТЕРИАЛЫ!$C$2:$C$9000,MATCH($N10,МАТЕРИАЛЫ!$L$2:$L$9000,0)),""),"")))</f>
        <v>Получение паспорта БТИ (в черных линиях)</v>
      </c>
      <c r="Z10" t="str">
        <f t="shared" si="6"/>
        <v>Р1 · Проектные работы и согласования</v>
      </c>
    </row>
    <row r="11" spans="1:26" ht="57.6" x14ac:dyDescent="0.3">
      <c r="A11" t="s">
        <v>73</v>
      </c>
      <c r="B11" t="s">
        <v>49</v>
      </c>
      <c r="C11" t="s">
        <v>50</v>
      </c>
      <c r="D11" s="4" t="s">
        <v>74</v>
      </c>
      <c r="E11" t="s">
        <v>52</v>
      </c>
      <c r="F11" s="5">
        <v>88.99</v>
      </c>
      <c r="H11">
        <v>0</v>
      </c>
      <c r="I11" t="s">
        <v>53</v>
      </c>
      <c r="L11" s="6"/>
      <c r="M11" s="6"/>
      <c r="N11" s="6"/>
      <c r="O11" s="5"/>
      <c r="P11" s="7" t="str">
        <f t="shared" si="0"/>
        <v/>
      </c>
      <c r="Q11" s="7" t="str">
        <f t="shared" si="1"/>
        <v/>
      </c>
      <c r="R11" s="7" t="str">
        <f t="shared" si="2"/>
        <v/>
      </c>
      <c r="S11" s="7">
        <f>IF($A11="","",IF(AND(LEFT($G11,3)="ДОК",$N11&lt;&gt;""),IFERROR(INDEX(Документация!$E$2:$E$57,MATCH($N11,Документация!$F$2:$F$57,0)),0),N($F11))*(1-MEDIAN(0,N(ДисконтТендер),1)))</f>
        <v>88.99</v>
      </c>
      <c r="T11" s="7">
        <f>IF($A11="","",IF(AND(LEFT($G11,3)="ДОК",$N11&lt;&gt;""),0,IF(AND(LEFT($G11,3)&lt;&gt;"ДОК",$N11&lt;&gt;""),IFERROR(INDEX(МАТЕРИАЛЫ!$H$2:$H$9000,MATCH($N11,МАТЕРИАЛЫ!$L$2:$L$9000,0))*IF(INDEX(МАТЕРИАЛЫ!$I$2:$I$9000,MATCH($N11,МАТЕРИАЛЫ!$L$2:$L$9000,0))="USD",КурсUSD,IF(INDEX(МАТЕРИАЛЫ!$I$2:$I$9000,MATCH($N11,МАТЕРИАЛЫ!$L$2:$L$9000,0))="EUR",КурсEUR,IF(INDEX(МАТЕРИАЛЫ!$I$2:$I$9000,MATCH($N11,МАТЕРИАЛЫ!$L$2:$L$9000,0))="CNY",КурсCNY,1)))*(1+N($H11)/100),0),N($O11))*(1-MEDIAN(0,N(ДисконтТендер),1))))</f>
        <v>0</v>
      </c>
      <c r="U11" t="str">
        <f>IF($L11="да",MAX($U$1:$U10)+1,"")</f>
        <v/>
      </c>
      <c r="V11" t="str">
        <f t="shared" si="3"/>
        <v>Р1</v>
      </c>
      <c r="W11" t="str">
        <f t="shared" si="4"/>
        <v/>
      </c>
      <c r="X11" t="str">
        <f t="shared" si="5"/>
        <v/>
      </c>
      <c r="Y11" s="4" t="str">
        <f>IF($A11="","",IF(AND(LEFT($G11,3)="ДОК",$N11&lt;&gt;""),IFERROR(INDEX(Документация!$G$2:$G$57,MATCH($N11,Документация!$F$2:$F$57,0)),$D11),$D11&amp;IF(AND(LEFT($G11,3)&lt;&gt;"ДОК",$N11&lt;&gt;"")," — "&amp;IFERROR(INDEX(МАТЕРИАЛЫ!$C$2:$C$9000,MATCH($N11,МАТЕРИАЛЫ!$L$2:$L$9000,0)),""),"")))</f>
        <v>Сертификация помещения для совершения операций с ценностями, хранение ценностей по (2) классу вломостойкости и (3) классу пулестойкости</v>
      </c>
      <c r="Z11" t="str">
        <f t="shared" si="6"/>
        <v>Р1 · Проектные работы и согласования</v>
      </c>
    </row>
    <row r="12" spans="1:26" ht="43.2" x14ac:dyDescent="0.3">
      <c r="A12" t="s">
        <v>75</v>
      </c>
      <c r="B12" t="s">
        <v>49</v>
      </c>
      <c r="C12" t="s">
        <v>50</v>
      </c>
      <c r="D12" s="4" t="s">
        <v>76</v>
      </c>
      <c r="E12" t="s">
        <v>52</v>
      </c>
      <c r="F12" s="5">
        <v>149.82</v>
      </c>
      <c r="H12">
        <v>0</v>
      </c>
      <c r="I12" t="s">
        <v>53</v>
      </c>
      <c r="L12" s="6"/>
      <c r="M12" s="6"/>
      <c r="N12" s="6"/>
      <c r="O12" s="5"/>
      <c r="P12" s="7" t="str">
        <f t="shared" si="0"/>
        <v/>
      </c>
      <c r="Q12" s="7" t="str">
        <f t="shared" si="1"/>
        <v/>
      </c>
      <c r="R12" s="7" t="str">
        <f t="shared" si="2"/>
        <v/>
      </c>
      <c r="S12" s="7">
        <f>IF($A12="","",IF(AND(LEFT($G12,3)="ДОК",$N12&lt;&gt;""),IFERROR(INDEX(Документация!$E$2:$E$57,MATCH($N12,Документация!$F$2:$F$57,0)),0),N($F12))*(1-MEDIAN(0,N(ДисконтТендер),1)))</f>
        <v>149.82</v>
      </c>
      <c r="T12" s="7">
        <f>IF($A12="","",IF(AND(LEFT($G12,3)="ДОК",$N12&lt;&gt;""),0,IF(AND(LEFT($G12,3)&lt;&gt;"ДОК",$N12&lt;&gt;""),IFERROR(INDEX(МАТЕРИАЛЫ!$H$2:$H$9000,MATCH($N12,МАТЕРИАЛЫ!$L$2:$L$9000,0))*IF(INDEX(МАТЕРИАЛЫ!$I$2:$I$9000,MATCH($N12,МАТЕРИАЛЫ!$L$2:$L$9000,0))="USD",КурсUSD,IF(INDEX(МАТЕРИАЛЫ!$I$2:$I$9000,MATCH($N12,МАТЕРИАЛЫ!$L$2:$L$9000,0))="EUR",КурсEUR,IF(INDEX(МАТЕРИАЛЫ!$I$2:$I$9000,MATCH($N12,МАТЕРИАЛЫ!$L$2:$L$9000,0))="CNY",КурсCNY,1)))*(1+N($H12)/100),0),N($O12))*(1-MEDIAN(0,N(ДисконтТендер),1))))</f>
        <v>0</v>
      </c>
      <c r="U12" t="str">
        <f>IF($L12="да",MAX($U$1:$U11)+1,"")</f>
        <v/>
      </c>
      <c r="V12" t="str">
        <f t="shared" si="3"/>
        <v>Р1</v>
      </c>
      <c r="W12" t="str">
        <f t="shared" si="4"/>
        <v/>
      </c>
      <c r="X12" t="str">
        <f t="shared" si="5"/>
        <v/>
      </c>
      <c r="Y12" s="4" t="str">
        <f>IF($A12="","",IF(AND(LEFT($G12,3)="ДОК",$N12&lt;&gt;""),IFERROR(INDEX(Документация!$G$2:$G$57,MATCH($N12,Документация!$F$2:$F$57,0)),$D12),$D12&amp;IF(AND(LEFT($G12,3)&lt;&gt;"ДОК",$N12&lt;&gt;"")," — "&amp;IFERROR(INDEX(МАТЕРИАЛЫ!$C$2:$C$9000,MATCH($N12,МАТЕРИАЛЫ!$L$2:$L$9000,0)),""),"")))</f>
        <v>Сертификация помещения для совершения операций с ценностями, хранение ценностей по 3 классу вломостойкости и 3 классу пулестойкости</v>
      </c>
      <c r="Z12" t="str">
        <f t="shared" si="6"/>
        <v>Р1 · Проектные работы и согласования</v>
      </c>
    </row>
    <row r="13" spans="1:26" ht="43.2" x14ac:dyDescent="0.3">
      <c r="A13" t="s">
        <v>77</v>
      </c>
      <c r="B13" t="s">
        <v>49</v>
      </c>
      <c r="C13" t="s">
        <v>50</v>
      </c>
      <c r="D13" s="4" t="s">
        <v>78</v>
      </c>
      <c r="E13" t="s">
        <v>52</v>
      </c>
      <c r="F13" s="5">
        <v>96.48</v>
      </c>
      <c r="H13">
        <v>0</v>
      </c>
      <c r="I13" t="s">
        <v>53</v>
      </c>
      <c r="L13" s="6"/>
      <c r="M13" s="6"/>
      <c r="N13" s="6"/>
      <c r="O13" s="5"/>
      <c r="P13" s="7" t="str">
        <f t="shared" si="0"/>
        <v/>
      </c>
      <c r="Q13" s="7" t="str">
        <f t="shared" si="1"/>
        <v/>
      </c>
      <c r="R13" s="7" t="str">
        <f t="shared" si="2"/>
        <v/>
      </c>
      <c r="S13" s="7">
        <f>IF($A13="","",IF(AND(LEFT($G13,3)="ДОК",$N13&lt;&gt;""),IFERROR(INDEX(Документация!$E$2:$E$57,MATCH($N13,Документация!$F$2:$F$57,0)),0),N($F13))*(1-MEDIAN(0,N(ДисконтТендер),1)))</f>
        <v>96.48</v>
      </c>
      <c r="T13" s="7">
        <f>IF($A13="","",IF(AND(LEFT($G13,3)="ДОК",$N13&lt;&gt;""),0,IF(AND(LEFT($G13,3)&lt;&gt;"ДОК",$N13&lt;&gt;""),IFERROR(INDEX(МАТЕРИАЛЫ!$H$2:$H$9000,MATCH($N13,МАТЕРИАЛЫ!$L$2:$L$9000,0))*IF(INDEX(МАТЕРИАЛЫ!$I$2:$I$9000,MATCH($N13,МАТЕРИАЛЫ!$L$2:$L$9000,0))="USD",КурсUSD,IF(INDEX(МАТЕРИАЛЫ!$I$2:$I$9000,MATCH($N13,МАТЕРИАЛЫ!$L$2:$L$9000,0))="EUR",КурсEUR,IF(INDEX(МАТЕРИАЛЫ!$I$2:$I$9000,MATCH($N13,МАТЕРИАЛЫ!$L$2:$L$9000,0))="CNY",КурсCNY,1)))*(1+N($H13)/100),0),N($O13))*(1-MEDIAN(0,N(ДисконтТендер),1))))</f>
        <v>0</v>
      </c>
      <c r="U13" t="str">
        <f>IF($L13="да",MAX($U$1:$U12)+1,"")</f>
        <v/>
      </c>
      <c r="V13" t="str">
        <f t="shared" si="3"/>
        <v>Р1</v>
      </c>
      <c r="W13" t="str">
        <f t="shared" si="4"/>
        <v/>
      </c>
      <c r="X13" t="str">
        <f t="shared" si="5"/>
        <v/>
      </c>
      <c r="Y13" s="4" t="str">
        <f>IF($A13="","",IF(AND(LEFT($G13,3)="ДОК",$N13&lt;&gt;""),IFERROR(INDEX(Документация!$G$2:$G$57,MATCH($N13,Документация!$F$2:$F$57,0)),$D13),$D13&amp;IF(AND(LEFT($G13,3)&lt;&gt;"ДОК",$N13&lt;&gt;"")," — "&amp;IFERROR(INDEX(МАТЕРИАЛЫ!$C$2:$C$9000,MATCH($N13,МАТЕРИАЛЫ!$L$2:$L$9000,0)),""),"")))</f>
        <v>Сертификация помещения для совершения операций с ценностями, хранение ценностей по (5) классу вломостойкости</v>
      </c>
      <c r="Z13" t="str">
        <f t="shared" si="6"/>
        <v>Р1 · Проектные работы и согласования</v>
      </c>
    </row>
    <row r="14" spans="1:26" ht="28.8" x14ac:dyDescent="0.3">
      <c r="A14" t="s">
        <v>79</v>
      </c>
      <c r="B14" t="s">
        <v>49</v>
      </c>
      <c r="C14" t="s">
        <v>50</v>
      </c>
      <c r="D14" s="4" t="s">
        <v>80</v>
      </c>
      <c r="E14" t="s">
        <v>52</v>
      </c>
      <c r="F14" s="5">
        <v>123.58</v>
      </c>
      <c r="H14">
        <v>0</v>
      </c>
      <c r="I14" t="s">
        <v>53</v>
      </c>
      <c r="L14" s="6"/>
      <c r="M14" s="6"/>
      <c r="N14" s="6"/>
      <c r="O14" s="5"/>
      <c r="P14" s="7" t="str">
        <f t="shared" si="0"/>
        <v/>
      </c>
      <c r="Q14" s="7" t="str">
        <f t="shared" si="1"/>
        <v/>
      </c>
      <c r="R14" s="7" t="str">
        <f t="shared" si="2"/>
        <v/>
      </c>
      <c r="S14" s="7">
        <f>IF($A14="","",IF(AND(LEFT($G14,3)="ДОК",$N14&lt;&gt;""),IFERROR(INDEX(Документация!$E$2:$E$57,MATCH($N14,Документация!$F$2:$F$57,0)),0),N($F14))*(1-MEDIAN(0,N(ДисконтТендер),1)))</f>
        <v>123.58</v>
      </c>
      <c r="T14" s="7">
        <f>IF($A14="","",IF(AND(LEFT($G14,3)="ДОК",$N14&lt;&gt;""),0,IF(AND(LEFT($G14,3)&lt;&gt;"ДОК",$N14&lt;&gt;""),IFERROR(INDEX(МАТЕРИАЛЫ!$H$2:$H$9000,MATCH($N14,МАТЕРИАЛЫ!$L$2:$L$9000,0))*IF(INDEX(МАТЕРИАЛЫ!$I$2:$I$9000,MATCH($N14,МАТЕРИАЛЫ!$L$2:$L$9000,0))="USD",КурсUSD,IF(INDEX(МАТЕРИАЛЫ!$I$2:$I$9000,MATCH($N14,МАТЕРИАЛЫ!$L$2:$L$9000,0))="EUR",КурсEUR,IF(INDEX(МАТЕРИАЛЫ!$I$2:$I$9000,MATCH($N14,МАТЕРИАЛЫ!$L$2:$L$9000,0))="CNY",КурсCNY,1)))*(1+N($H14)/100),0),N($O14))*(1-MEDIAN(0,N(ДисконтТендер),1))))</f>
        <v>0</v>
      </c>
      <c r="U14" t="str">
        <f>IF($L14="да",MAX($U$1:$U13)+1,"")</f>
        <v/>
      </c>
      <c r="V14" t="str">
        <f t="shared" si="3"/>
        <v>Р1</v>
      </c>
      <c r="W14" t="str">
        <f t="shared" si="4"/>
        <v/>
      </c>
      <c r="X14" t="str">
        <f t="shared" si="5"/>
        <v/>
      </c>
      <c r="Y14" s="4" t="str">
        <f>IF($A14="","",IF(AND(LEFT($G14,3)="ДОК",$N14&lt;&gt;""),IFERROR(INDEX(Документация!$G$2:$G$57,MATCH($N14,Документация!$F$2:$F$57,0)),$D14),$D14&amp;IF(AND(LEFT($G14,3)&lt;&gt;"ДОК",$N14&lt;&gt;"")," — "&amp;IFERROR(INDEX(МАТЕРИАЛЫ!$C$2:$C$9000,MATCH($N14,МАТЕРИАЛЫ!$L$2:$L$9000,0)),""),"")))</f>
        <v>Технический отчет электролаборатории для помещений более 100 м.кв.</v>
      </c>
      <c r="Z14" t="str">
        <f t="shared" si="6"/>
        <v>Р1 · Проектные работы и согласования</v>
      </c>
    </row>
    <row r="15" spans="1:26" ht="28.8" x14ac:dyDescent="0.3">
      <c r="A15" t="s">
        <v>81</v>
      </c>
      <c r="B15" t="s">
        <v>49</v>
      </c>
      <c r="C15" t="s">
        <v>50</v>
      </c>
      <c r="D15" s="4" t="s">
        <v>82</v>
      </c>
      <c r="E15" t="s">
        <v>83</v>
      </c>
      <c r="F15" s="5">
        <v>13074.35</v>
      </c>
      <c r="H15">
        <v>0</v>
      </c>
      <c r="I15" t="s">
        <v>53</v>
      </c>
      <c r="L15" s="6"/>
      <c r="M15" s="6"/>
      <c r="N15" s="6"/>
      <c r="O15" s="5"/>
      <c r="P15" s="7" t="str">
        <f t="shared" si="0"/>
        <v/>
      </c>
      <c r="Q15" s="7" t="str">
        <f t="shared" si="1"/>
        <v/>
      </c>
      <c r="R15" s="7" t="str">
        <f t="shared" si="2"/>
        <v/>
      </c>
      <c r="S15" s="7">
        <f>IF($A15="","",IF(AND(LEFT($G15,3)="ДОК",$N15&lt;&gt;""),IFERROR(INDEX(Документация!$E$2:$E$57,MATCH($N15,Документация!$F$2:$F$57,0)),0),N($F15))*(1-MEDIAN(0,N(ДисконтТендер),1)))</f>
        <v>13074.35</v>
      </c>
      <c r="T15" s="7">
        <f>IF($A15="","",IF(AND(LEFT($G15,3)="ДОК",$N15&lt;&gt;""),0,IF(AND(LEFT($G15,3)&lt;&gt;"ДОК",$N15&lt;&gt;""),IFERROR(INDEX(МАТЕРИАЛЫ!$H$2:$H$9000,MATCH($N15,МАТЕРИАЛЫ!$L$2:$L$9000,0))*IF(INDEX(МАТЕРИАЛЫ!$I$2:$I$9000,MATCH($N15,МАТЕРИАЛЫ!$L$2:$L$9000,0))="USD",КурсUSD,IF(INDEX(МАТЕРИАЛЫ!$I$2:$I$9000,MATCH($N15,МАТЕРИАЛЫ!$L$2:$L$9000,0))="EUR",КурсEUR,IF(INDEX(МАТЕРИАЛЫ!$I$2:$I$9000,MATCH($N15,МАТЕРИАЛЫ!$L$2:$L$9000,0))="CNY",КурсCNY,1)))*(1+N($H15)/100),0),N($O15))*(1-MEDIAN(0,N(ДисконтТендер),1))))</f>
        <v>0</v>
      </c>
      <c r="U15" t="str">
        <f>IF($L15="да",MAX($U$1:$U14)+1,"")</f>
        <v/>
      </c>
      <c r="V15" t="str">
        <f t="shared" si="3"/>
        <v>Р1</v>
      </c>
      <c r="W15" t="str">
        <f t="shared" si="4"/>
        <v/>
      </c>
      <c r="X15" t="str">
        <f t="shared" si="5"/>
        <v/>
      </c>
      <c r="Y15" s="4" t="str">
        <f>IF($A15="","",IF(AND(LEFT($G15,3)="ДОК",$N15&lt;&gt;""),IFERROR(INDEX(Документация!$G$2:$G$57,MATCH($N15,Документация!$F$2:$F$57,0)),$D15),$D15&amp;IF(AND(LEFT($G15,3)&lt;&gt;"ДОК",$N15&lt;&gt;"")," — "&amp;IFERROR(INDEX(МАТЕРИАЛЫ!$C$2:$C$9000,MATCH($N15,МАТЕРИАЛЫ!$L$2:$L$9000,0)),""),"")))</f>
        <v>Технический отчет электролаборатории для помещений менее 100 м.кв.</v>
      </c>
      <c r="Z15" t="str">
        <f t="shared" si="6"/>
        <v>Р1 · Проектные работы и согласования</v>
      </c>
    </row>
    <row r="16" spans="1:26" ht="43.2" x14ac:dyDescent="0.3">
      <c r="A16" t="s">
        <v>84</v>
      </c>
      <c r="B16" t="s">
        <v>49</v>
      </c>
      <c r="C16" t="s">
        <v>50</v>
      </c>
      <c r="D16" s="4" t="s">
        <v>85</v>
      </c>
      <c r="E16" t="s">
        <v>52</v>
      </c>
      <c r="F16" s="5">
        <v>190.9</v>
      </c>
      <c r="H16">
        <v>0</v>
      </c>
      <c r="I16" t="s">
        <v>53</v>
      </c>
      <c r="L16" s="6"/>
      <c r="M16" s="6"/>
      <c r="N16" s="6"/>
      <c r="O16" s="5"/>
      <c r="P16" s="7" t="str">
        <f t="shared" si="0"/>
        <v/>
      </c>
      <c r="Q16" s="7" t="str">
        <f t="shared" si="1"/>
        <v/>
      </c>
      <c r="R16" s="7" t="str">
        <f t="shared" si="2"/>
        <v/>
      </c>
      <c r="S16" s="7">
        <f>IF($A16="","",IF(AND(LEFT($G16,3)="ДОК",$N16&lt;&gt;""),IFERROR(INDEX(Документация!$E$2:$E$57,MATCH($N16,Документация!$F$2:$F$57,0)),0),N($F16))*(1-MEDIAN(0,N(ДисконтТендер),1)))</f>
        <v>190.9</v>
      </c>
      <c r="T16" s="7">
        <f>IF($A16="","",IF(AND(LEFT($G16,3)="ДОК",$N16&lt;&gt;""),0,IF(AND(LEFT($G16,3)&lt;&gt;"ДОК",$N16&lt;&gt;""),IFERROR(INDEX(МАТЕРИАЛЫ!$H$2:$H$9000,MATCH($N16,МАТЕРИАЛЫ!$L$2:$L$9000,0))*IF(INDEX(МАТЕРИАЛЫ!$I$2:$I$9000,MATCH($N16,МАТЕРИАЛЫ!$L$2:$L$9000,0))="USD",КурсUSD,IF(INDEX(МАТЕРИАЛЫ!$I$2:$I$9000,MATCH($N16,МАТЕРИАЛЫ!$L$2:$L$9000,0))="EUR",КурсEUR,IF(INDEX(МАТЕРИАЛЫ!$I$2:$I$9000,MATCH($N16,МАТЕРИАЛЫ!$L$2:$L$9000,0))="CNY",КурсCNY,1)))*(1+N($H16)/100),0),N($O16))*(1-MEDIAN(0,N(ДисконтТендер),1))))</f>
        <v>0</v>
      </c>
      <c r="U16" t="str">
        <f>IF($L16="да",MAX($U$1:$U15)+1,"")</f>
        <v/>
      </c>
      <c r="V16" t="str">
        <f t="shared" si="3"/>
        <v>Р1</v>
      </c>
      <c r="W16" t="str">
        <f t="shared" si="4"/>
        <v/>
      </c>
      <c r="X16" t="str">
        <f t="shared" si="5"/>
        <v/>
      </c>
      <c r="Y16" s="4" t="str">
        <f>IF($A16="","",IF(AND(LEFT($G16,3)="ДОК",$N16&lt;&gt;""),IFERROR(INDEX(Документация!$G$2:$G$57,MATCH($N16,Документация!$F$2:$F$57,0)),$D16),$D16&amp;IF(AND(LEFT($G16,3)&lt;&gt;"ДОК",$N16&lt;&gt;"")," — "&amp;IFERROR(INDEX(МАТЕРИАЛЫ!$C$2:$C$9000,MATCH($N16,МАТЕРИАЛЫ!$L$2:$L$9000,0)),""),"")))</f>
        <v>Стоимость согласования проекта изменения фасада согласно нормативных и законодательных актов г. ___________ и РФ.</v>
      </c>
      <c r="Z16" t="str">
        <f t="shared" si="6"/>
        <v>Р1 · Проектные работы и согласования</v>
      </c>
    </row>
    <row r="17" spans="1:26" x14ac:dyDescent="0.3">
      <c r="A17" t="s">
        <v>86</v>
      </c>
      <c r="B17" t="s">
        <v>49</v>
      </c>
      <c r="C17" t="s">
        <v>50</v>
      </c>
      <c r="D17" s="4" t="s">
        <v>87</v>
      </c>
      <c r="E17" t="s">
        <v>52</v>
      </c>
      <c r="F17" s="5">
        <v>0</v>
      </c>
      <c r="H17">
        <v>0</v>
      </c>
      <c r="I17" t="s">
        <v>53</v>
      </c>
      <c r="L17" s="6"/>
      <c r="M17" s="6"/>
      <c r="N17" s="6"/>
      <c r="O17" s="5"/>
      <c r="P17" s="7" t="str">
        <f t="shared" si="0"/>
        <v/>
      </c>
      <c r="Q17" s="7" t="str">
        <f t="shared" si="1"/>
        <v/>
      </c>
      <c r="R17" s="7" t="str">
        <f t="shared" si="2"/>
        <v/>
      </c>
      <c r="S17" s="7">
        <f>IF($A17="","",IF(AND(LEFT($G17,3)="ДОК",$N17&lt;&gt;""),IFERROR(INDEX(Документация!$E$2:$E$57,MATCH($N17,Документация!$F$2:$F$57,0)),0),N($F17))*(1-MEDIAN(0,N(ДисконтТендер),1)))</f>
        <v>0</v>
      </c>
      <c r="T17" s="7">
        <f>IF($A17="","",IF(AND(LEFT($G17,3)="ДОК",$N17&lt;&gt;""),0,IF(AND(LEFT($G17,3)&lt;&gt;"ДОК",$N17&lt;&gt;""),IFERROR(INDEX(МАТЕРИАЛЫ!$H$2:$H$9000,MATCH($N17,МАТЕРИАЛЫ!$L$2:$L$9000,0))*IF(INDEX(МАТЕРИАЛЫ!$I$2:$I$9000,MATCH($N17,МАТЕРИАЛЫ!$L$2:$L$9000,0))="USD",КурсUSD,IF(INDEX(МАТЕРИАЛЫ!$I$2:$I$9000,MATCH($N17,МАТЕРИАЛЫ!$L$2:$L$9000,0))="EUR",КурсEUR,IF(INDEX(МАТЕРИАЛЫ!$I$2:$I$9000,MATCH($N17,МАТЕРИАЛЫ!$L$2:$L$9000,0))="CNY",КурсCNY,1)))*(1+N($H17)/100),0),N($O17))*(1-MEDIAN(0,N(ДисконтТендер),1))))</f>
        <v>0</v>
      </c>
      <c r="U17" t="str">
        <f>IF($L17="да",MAX($U$1:$U16)+1,"")</f>
        <v/>
      </c>
      <c r="V17" t="str">
        <f t="shared" si="3"/>
        <v>Р1</v>
      </c>
      <c r="W17" t="str">
        <f t="shared" si="4"/>
        <v/>
      </c>
      <c r="X17" t="str">
        <f t="shared" si="5"/>
        <v/>
      </c>
      <c r="Y17" s="4" t="str">
        <f>IF($A17="","",IF(AND(LEFT($G17,3)="ДОК",$N17&lt;&gt;""),IFERROR(INDEX(Документация!$G$2:$G$57,MATCH($N17,Документация!$F$2:$F$57,0)),$D17),$D17&amp;IF(AND(LEFT($G17,3)&lt;&gt;"ДОК",$N17&lt;&gt;"")," — "&amp;IFERROR(INDEX(МАТЕРИАЛЫ!$C$2:$C$9000,MATCH($N17,МАТЕРИАЛЫ!$L$2:$L$9000,0)),""),"")))</f>
        <v>Разработка дизайн-проекта интерьера</v>
      </c>
      <c r="Z17" t="str">
        <f t="shared" si="6"/>
        <v>Р1 · Проектные работы и согласования</v>
      </c>
    </row>
    <row r="18" spans="1:26" ht="28.8" x14ac:dyDescent="0.3">
      <c r="A18" t="s">
        <v>88</v>
      </c>
      <c r="B18" t="s">
        <v>49</v>
      </c>
      <c r="C18" t="s">
        <v>50</v>
      </c>
      <c r="D18" s="4" t="s">
        <v>89</v>
      </c>
      <c r="E18" t="s">
        <v>52</v>
      </c>
      <c r="F18" s="5">
        <v>98.96</v>
      </c>
      <c r="H18">
        <v>0</v>
      </c>
      <c r="I18" t="s">
        <v>53</v>
      </c>
      <c r="L18" s="6"/>
      <c r="M18" s="6"/>
      <c r="N18" s="6"/>
      <c r="O18" s="5"/>
      <c r="P18" s="7" t="str">
        <f t="shared" si="0"/>
        <v/>
      </c>
      <c r="Q18" s="7" t="str">
        <f t="shared" si="1"/>
        <v/>
      </c>
      <c r="R18" s="7" t="str">
        <f t="shared" si="2"/>
        <v/>
      </c>
      <c r="S18" s="7">
        <f>IF($A18="","",IF(AND(LEFT($G18,3)="ДОК",$N18&lt;&gt;""),IFERROR(INDEX(Документация!$E$2:$E$57,MATCH($N18,Документация!$F$2:$F$57,0)),0),N($F18))*(1-MEDIAN(0,N(ДисконтТендер),1)))</f>
        <v>98.96</v>
      </c>
      <c r="T18" s="7">
        <f>IF($A18="","",IF(AND(LEFT($G18,3)="ДОК",$N18&lt;&gt;""),0,IF(AND(LEFT($G18,3)&lt;&gt;"ДОК",$N18&lt;&gt;""),IFERROR(INDEX(МАТЕРИАЛЫ!$H$2:$H$9000,MATCH($N18,МАТЕРИАЛЫ!$L$2:$L$9000,0))*IF(INDEX(МАТЕРИАЛЫ!$I$2:$I$9000,MATCH($N18,МАТЕРИАЛЫ!$L$2:$L$9000,0))="USD",КурсUSD,IF(INDEX(МАТЕРИАЛЫ!$I$2:$I$9000,MATCH($N18,МАТЕРИАЛЫ!$L$2:$L$9000,0))="EUR",КурсEUR,IF(INDEX(МАТЕРИАЛЫ!$I$2:$I$9000,MATCH($N18,МАТЕРИАЛЫ!$L$2:$L$9000,0))="CNY",КурсCNY,1)))*(1+N($H18)/100),0),N($O18))*(1-MEDIAN(0,N(ДисконтТендер),1))))</f>
        <v>0</v>
      </c>
      <c r="U18" t="str">
        <f>IF($L18="да",MAX($U$1:$U17)+1,"")</f>
        <v/>
      </c>
      <c r="V18" t="str">
        <f t="shared" si="3"/>
        <v>Р1</v>
      </c>
      <c r="W18" t="str">
        <f t="shared" si="4"/>
        <v/>
      </c>
      <c r="X18" t="str">
        <f t="shared" si="5"/>
        <v/>
      </c>
      <c r="Y18" s="4" t="str">
        <f>IF($A18="","",IF(AND(LEFT($G18,3)="ДОК",$N18&lt;&gt;""),IFERROR(INDEX(Документация!$G$2:$G$57,MATCH($N18,Документация!$F$2:$F$57,0)),$D18),$D18&amp;IF(AND(LEFT($G18,3)&lt;&gt;"ДОК",$N18&lt;&gt;"")," — "&amp;IFERROR(INDEX(МАТЕРИАЛЫ!$C$2:$C$9000,MATCH($N18,МАТЕРИАЛЫ!$L$2:$L$9000,0)),""),"")))</f>
        <v>Экспертиза и согласование проекта ЭОМ в Ростехнадзоре</v>
      </c>
      <c r="Z18" t="str">
        <f t="shared" si="6"/>
        <v>Р1 · Проектные работы и согласования</v>
      </c>
    </row>
    <row r="19" spans="1:26" x14ac:dyDescent="0.3">
      <c r="A19" t="s">
        <v>90</v>
      </c>
      <c r="B19" t="s">
        <v>49</v>
      </c>
      <c r="C19" t="s">
        <v>50</v>
      </c>
      <c r="D19" s="4" t="s">
        <v>91</v>
      </c>
      <c r="E19" t="s">
        <v>52</v>
      </c>
      <c r="F19" s="5">
        <v>0</v>
      </c>
      <c r="H19">
        <v>0</v>
      </c>
      <c r="I19" t="s">
        <v>53</v>
      </c>
      <c r="L19" s="6"/>
      <c r="M19" s="6"/>
      <c r="N19" s="6"/>
      <c r="O19" s="5"/>
      <c r="P19" s="7" t="str">
        <f t="shared" si="0"/>
        <v/>
      </c>
      <c r="Q19" s="7" t="str">
        <f t="shared" si="1"/>
        <v/>
      </c>
      <c r="R19" s="7" t="str">
        <f t="shared" si="2"/>
        <v/>
      </c>
      <c r="S19" s="7">
        <f>IF($A19="","",IF(AND(LEFT($G19,3)="ДОК",$N19&lt;&gt;""),IFERROR(INDEX(Документация!$E$2:$E$57,MATCH($N19,Документация!$F$2:$F$57,0)),0),N($F19))*(1-MEDIAN(0,N(ДисконтТендер),1)))</f>
        <v>0</v>
      </c>
      <c r="T19" s="7">
        <f>IF($A19="","",IF(AND(LEFT($G19,3)="ДОК",$N19&lt;&gt;""),0,IF(AND(LEFT($G19,3)&lt;&gt;"ДОК",$N19&lt;&gt;""),IFERROR(INDEX(МАТЕРИАЛЫ!$H$2:$H$9000,MATCH($N19,МАТЕРИАЛЫ!$L$2:$L$9000,0))*IF(INDEX(МАТЕРИАЛЫ!$I$2:$I$9000,MATCH($N19,МАТЕРИАЛЫ!$L$2:$L$9000,0))="USD",КурсUSD,IF(INDEX(МАТЕРИАЛЫ!$I$2:$I$9000,MATCH($N19,МАТЕРИАЛЫ!$L$2:$L$9000,0))="EUR",КурсEUR,IF(INDEX(МАТЕРИАЛЫ!$I$2:$I$9000,MATCH($N19,МАТЕРИАЛЫ!$L$2:$L$9000,0))="CNY",КурсCNY,1)))*(1+N($H19)/100),0),N($O19))*(1-MEDIAN(0,N(ДисконтТендер),1))))</f>
        <v>0</v>
      </c>
      <c r="U19" t="str">
        <f>IF($L19="да",MAX($U$1:$U18)+1,"")</f>
        <v/>
      </c>
      <c r="V19" t="str">
        <f t="shared" si="3"/>
        <v>Р1</v>
      </c>
      <c r="W19" t="str">
        <f t="shared" si="4"/>
        <v/>
      </c>
      <c r="X19" t="str">
        <f t="shared" si="5"/>
        <v/>
      </c>
      <c r="Y19" s="4" t="str">
        <f>IF($A19="","",IF(AND(LEFT($G19,3)="ДОК",$N19&lt;&gt;""),IFERROR(INDEX(Документация!$G$2:$G$57,MATCH($N19,Документация!$F$2:$F$57,0)),$D19),$D19&amp;IF(AND(LEFT($G19,3)&lt;&gt;"ДОК",$N19&lt;&gt;"")," — "&amp;IFERROR(INDEX(МАТЕРИАЛЫ!$C$2:$C$9000,MATCH($N19,МАТЕРИАЛЫ!$L$2:$L$9000,0)),""),"")))</f>
        <v>Проект системы водоотведения</v>
      </c>
      <c r="Z19" t="str">
        <f t="shared" si="6"/>
        <v>Р1 · Проектные работы и согласования</v>
      </c>
    </row>
    <row r="20" spans="1:26" ht="28.8" x14ac:dyDescent="0.3">
      <c r="A20" t="s">
        <v>92</v>
      </c>
      <c r="B20" t="s">
        <v>49</v>
      </c>
      <c r="C20" t="s">
        <v>50</v>
      </c>
      <c r="D20" s="4" t="s">
        <v>93</v>
      </c>
      <c r="E20" t="s">
        <v>52</v>
      </c>
      <c r="F20" s="5">
        <v>0</v>
      </c>
      <c r="H20">
        <v>0</v>
      </c>
      <c r="I20" t="s">
        <v>53</v>
      </c>
      <c r="L20" s="6"/>
      <c r="M20" s="6"/>
      <c r="N20" s="6"/>
      <c r="O20" s="5"/>
      <c r="P20" s="7" t="str">
        <f t="shared" si="0"/>
        <v/>
      </c>
      <c r="Q20" s="7" t="str">
        <f t="shared" si="1"/>
        <v/>
      </c>
      <c r="R20" s="7" t="str">
        <f t="shared" si="2"/>
        <v/>
      </c>
      <c r="S20" s="7">
        <f>IF($A20="","",IF(AND(LEFT($G20,3)="ДОК",$N20&lt;&gt;""),IFERROR(INDEX(Документация!$E$2:$E$57,MATCH($N20,Документация!$F$2:$F$57,0)),0),N($F20))*(1-MEDIAN(0,N(ДисконтТендер),1)))</f>
        <v>0</v>
      </c>
      <c r="T20" s="7">
        <f>IF($A20="","",IF(AND(LEFT($G20,3)="ДОК",$N20&lt;&gt;""),0,IF(AND(LEFT($G20,3)&lt;&gt;"ДОК",$N20&lt;&gt;""),IFERROR(INDEX(МАТЕРИАЛЫ!$H$2:$H$9000,MATCH($N20,МАТЕРИАЛЫ!$L$2:$L$9000,0))*IF(INDEX(МАТЕРИАЛЫ!$I$2:$I$9000,MATCH($N20,МАТЕРИАЛЫ!$L$2:$L$9000,0))="USD",КурсUSD,IF(INDEX(МАТЕРИАЛЫ!$I$2:$I$9000,MATCH($N20,МАТЕРИАЛЫ!$L$2:$L$9000,0))="EUR",КурсEUR,IF(INDEX(МАТЕРИАЛЫ!$I$2:$I$9000,MATCH($N20,МАТЕРИАЛЫ!$L$2:$L$9000,0))="CNY",КурсCNY,1)))*(1+N($H20)/100),0),N($O20))*(1-MEDIAN(0,N(ДисконтТендер),1))))</f>
        <v>0</v>
      </c>
      <c r="U20" t="str">
        <f>IF($L20="да",MAX($U$1:$U19)+1,"")</f>
        <v/>
      </c>
      <c r="V20" t="str">
        <f t="shared" si="3"/>
        <v>Р1</v>
      </c>
      <c r="W20" t="str">
        <f t="shared" si="4"/>
        <v/>
      </c>
      <c r="X20" t="str">
        <f t="shared" si="5"/>
        <v/>
      </c>
      <c r="Y20" s="4" t="str">
        <f>IF($A20="","",IF(AND(LEFT($G20,3)="ДОК",$N20&lt;&gt;""),IFERROR(INDEX(Документация!$G$2:$G$57,MATCH($N20,Документация!$F$2:$F$57,0)),$D20),$D20&amp;IF(AND(LEFT($G20,3)&lt;&gt;"ДОК",$N20&lt;&gt;"")," — "&amp;IFERROR(INDEX(МАТЕРИАЛЫ!$C$2:$C$9000,MATCH($N20,МАТЕРИАЛЫ!$L$2:$L$9000,0)),""),"")))</f>
        <v>Рабочая документация Системы ливневой канализации</v>
      </c>
      <c r="Z20" t="str">
        <f t="shared" si="6"/>
        <v>Р1 · Проектные работы и согласования</v>
      </c>
    </row>
    <row r="21" spans="1:26" ht="28.8" x14ac:dyDescent="0.3">
      <c r="A21" t="s">
        <v>94</v>
      </c>
      <c r="B21" t="s">
        <v>49</v>
      </c>
      <c r="C21" t="s">
        <v>50</v>
      </c>
      <c r="D21" s="4" t="s">
        <v>95</v>
      </c>
      <c r="E21" t="s">
        <v>52</v>
      </c>
      <c r="F21" s="5">
        <v>0</v>
      </c>
      <c r="H21">
        <v>0</v>
      </c>
      <c r="I21" t="s">
        <v>53</v>
      </c>
      <c r="L21" s="6"/>
      <c r="M21" s="6"/>
      <c r="N21" s="6"/>
      <c r="O21" s="5"/>
      <c r="P21" s="7" t="str">
        <f t="shared" si="0"/>
        <v/>
      </c>
      <c r="Q21" s="7" t="str">
        <f t="shared" si="1"/>
        <v/>
      </c>
      <c r="R21" s="7" t="str">
        <f t="shared" si="2"/>
        <v/>
      </c>
      <c r="S21" s="7">
        <f>IF($A21="","",IF(AND(LEFT($G21,3)="ДОК",$N21&lt;&gt;""),IFERROR(INDEX(Документация!$E$2:$E$57,MATCH($N21,Документация!$F$2:$F$57,0)),0),N($F21))*(1-MEDIAN(0,N(ДисконтТендер),1)))</f>
        <v>0</v>
      </c>
      <c r="T21" s="7">
        <f>IF($A21="","",IF(AND(LEFT($G21,3)="ДОК",$N21&lt;&gt;""),0,IF(AND(LEFT($G21,3)&lt;&gt;"ДОК",$N21&lt;&gt;""),IFERROR(INDEX(МАТЕРИАЛЫ!$H$2:$H$9000,MATCH($N21,МАТЕРИАЛЫ!$L$2:$L$9000,0))*IF(INDEX(МАТЕРИАЛЫ!$I$2:$I$9000,MATCH($N21,МАТЕРИАЛЫ!$L$2:$L$9000,0))="USD",КурсUSD,IF(INDEX(МАТЕРИАЛЫ!$I$2:$I$9000,MATCH($N21,МАТЕРИАЛЫ!$L$2:$L$9000,0))="EUR",КурсEUR,IF(INDEX(МАТЕРИАЛЫ!$I$2:$I$9000,MATCH($N21,МАТЕРИАЛЫ!$L$2:$L$9000,0))="CNY",КурсCNY,1)))*(1+N($H21)/100),0),N($O21))*(1-MEDIAN(0,N(ДисконтТендер),1))))</f>
        <v>0</v>
      </c>
      <c r="U21" t="str">
        <f>IF($L21="да",MAX($U$1:$U20)+1,"")</f>
        <v/>
      </c>
      <c r="V21" t="str">
        <f t="shared" si="3"/>
        <v>Р1</v>
      </c>
      <c r="W21" t="str">
        <f t="shared" si="4"/>
        <v/>
      </c>
      <c r="X21" t="str">
        <f t="shared" si="5"/>
        <v/>
      </c>
      <c r="Y21" s="4" t="str">
        <f>IF($A21="","",IF(AND(LEFT($G21,3)="ДОК",$N21&lt;&gt;""),IFERROR(INDEX(Документация!$G$2:$G$57,MATCH($N21,Документация!$F$2:$F$57,0)),$D21),$D21&amp;IF(AND(LEFT($G21,3)&lt;&gt;"ДОК",$N21&lt;&gt;"")," — "&amp;IFERROR(INDEX(МАТЕРИАЛЫ!$C$2:$C$9000,MATCH($N21,МАТЕРИАЛЫ!$L$2:$L$9000,0)),""),"")))</f>
        <v>Получение Технических условий (при необходимости)</v>
      </c>
      <c r="Z21" t="str">
        <f t="shared" si="6"/>
        <v>Р1 · Проектные работы и согласования</v>
      </c>
    </row>
    <row r="22" spans="1:26" x14ac:dyDescent="0.3">
      <c r="A22" t="s">
        <v>96</v>
      </c>
      <c r="B22" t="s">
        <v>49</v>
      </c>
      <c r="C22" t="s">
        <v>50</v>
      </c>
      <c r="D22" s="4" t="s">
        <v>97</v>
      </c>
      <c r="E22" t="s">
        <v>52</v>
      </c>
      <c r="F22" s="5">
        <v>114.84</v>
      </c>
      <c r="H22">
        <v>0</v>
      </c>
      <c r="I22" t="s">
        <v>53</v>
      </c>
      <c r="L22" s="6"/>
      <c r="M22" s="6"/>
      <c r="N22" s="6"/>
      <c r="O22" s="5"/>
      <c r="P22" s="7" t="str">
        <f t="shared" si="0"/>
        <v/>
      </c>
      <c r="Q22" s="7" t="str">
        <f t="shared" si="1"/>
        <v/>
      </c>
      <c r="R22" s="7" t="str">
        <f t="shared" si="2"/>
        <v/>
      </c>
      <c r="S22" s="7">
        <f>IF($A22="","",IF(AND(LEFT($G22,3)="ДОК",$N22&lt;&gt;""),IFERROR(INDEX(Документация!$E$2:$E$57,MATCH($N22,Документация!$F$2:$F$57,0)),0),N($F22))*(1-MEDIAN(0,N(ДисконтТендер),1)))</f>
        <v>114.84</v>
      </c>
      <c r="T22" s="7">
        <f>IF($A22="","",IF(AND(LEFT($G22,3)="ДОК",$N22&lt;&gt;""),0,IF(AND(LEFT($G22,3)&lt;&gt;"ДОК",$N22&lt;&gt;""),IFERROR(INDEX(МАТЕРИАЛЫ!$H$2:$H$9000,MATCH($N22,МАТЕРИАЛЫ!$L$2:$L$9000,0))*IF(INDEX(МАТЕРИАЛЫ!$I$2:$I$9000,MATCH($N22,МАТЕРИАЛЫ!$L$2:$L$9000,0))="USD",КурсUSD,IF(INDEX(МАТЕРИАЛЫ!$I$2:$I$9000,MATCH($N22,МАТЕРИАЛЫ!$L$2:$L$9000,0))="EUR",КурсEUR,IF(INDEX(МАТЕРИАЛЫ!$I$2:$I$9000,MATCH($N22,МАТЕРИАЛЫ!$L$2:$L$9000,0))="CNY",КурсCNY,1)))*(1+N($H22)/100),0),N($O22))*(1-MEDIAN(0,N(ДисконтТендер),1))))</f>
        <v>0</v>
      </c>
      <c r="U22" t="str">
        <f>IF($L22="да",MAX($U$1:$U21)+1,"")</f>
        <v/>
      </c>
      <c r="V22" t="str">
        <f t="shared" si="3"/>
        <v>Р1</v>
      </c>
      <c r="W22" t="str">
        <f t="shared" si="4"/>
        <v/>
      </c>
      <c r="X22" t="str">
        <f t="shared" si="5"/>
        <v/>
      </c>
      <c r="Y22" s="4" t="str">
        <f>IF($A22="","",IF(AND(LEFT($G22,3)="ДОК",$N22&lt;&gt;""),IFERROR(INDEX(Документация!$G$2:$G$57,MATCH($N22,Документация!$F$2:$F$57,0)),$D22),$D22&amp;IF(AND(LEFT($G22,3)&lt;&gt;"ДОК",$N22&lt;&gt;"")," — "&amp;IFERROR(INDEX(МАТЕРИАЛЫ!$C$2:$C$9000,MATCH($N22,МАТЕРИАЛЫ!$L$2:$L$9000,0)),""),"")))</f>
        <v>Расчет категории пожарной опасности помещений</v>
      </c>
      <c r="Z22" t="str">
        <f t="shared" si="6"/>
        <v>Р1 · Проектные работы и согласования</v>
      </c>
    </row>
    <row r="23" spans="1:26" ht="43.2" x14ac:dyDescent="0.3">
      <c r="A23" t="s">
        <v>98</v>
      </c>
      <c r="B23" t="s">
        <v>49</v>
      </c>
      <c r="C23" t="s">
        <v>50</v>
      </c>
      <c r="D23" s="4" t="s">
        <v>99</v>
      </c>
      <c r="E23" t="s">
        <v>52</v>
      </c>
      <c r="F23" s="5">
        <v>52.25</v>
      </c>
      <c r="H23">
        <v>0</v>
      </c>
      <c r="I23" t="s">
        <v>53</v>
      </c>
      <c r="L23" s="6"/>
      <c r="M23" s="6"/>
      <c r="N23" s="6"/>
      <c r="O23" s="5"/>
      <c r="P23" s="7" t="str">
        <f t="shared" si="0"/>
        <v/>
      </c>
      <c r="Q23" s="7" t="str">
        <f t="shared" si="1"/>
        <v/>
      </c>
      <c r="R23" s="7" t="str">
        <f t="shared" si="2"/>
        <v/>
      </c>
      <c r="S23" s="7">
        <f>IF($A23="","",IF(AND(LEFT($G23,3)="ДОК",$N23&lt;&gt;""),IFERROR(INDEX(Документация!$E$2:$E$57,MATCH($N23,Документация!$F$2:$F$57,0)),0),N($F23))*(1-MEDIAN(0,N(ДисконтТендер),1)))</f>
        <v>52.25</v>
      </c>
      <c r="T23" s="7">
        <f>IF($A23="","",IF(AND(LEFT($G23,3)="ДОК",$N23&lt;&gt;""),0,IF(AND(LEFT($G23,3)&lt;&gt;"ДОК",$N23&lt;&gt;""),IFERROR(INDEX(МАТЕРИАЛЫ!$H$2:$H$9000,MATCH($N23,МАТЕРИАЛЫ!$L$2:$L$9000,0))*IF(INDEX(МАТЕРИАЛЫ!$I$2:$I$9000,MATCH($N23,МАТЕРИАЛЫ!$L$2:$L$9000,0))="USD",КурсUSD,IF(INDEX(МАТЕРИАЛЫ!$I$2:$I$9000,MATCH($N23,МАТЕРИАЛЫ!$L$2:$L$9000,0))="EUR",КурсEUR,IF(INDEX(МАТЕРИАЛЫ!$I$2:$I$9000,MATCH($N23,МАТЕРИАЛЫ!$L$2:$L$9000,0))="CNY",КурсCNY,1)))*(1+N($H23)/100),0),N($O23))*(1-MEDIAN(0,N(ДисконтТендер),1))))</f>
        <v>0</v>
      </c>
      <c r="U23" t="str">
        <f>IF($L23="да",MAX($U$1:$U22)+1,"")</f>
        <v/>
      </c>
      <c r="V23" t="str">
        <f t="shared" si="3"/>
        <v>Р1</v>
      </c>
      <c r="W23" t="str">
        <f t="shared" si="4"/>
        <v/>
      </c>
      <c r="X23" t="str">
        <f t="shared" si="5"/>
        <v/>
      </c>
      <c r="Y23" s="4" t="str">
        <f>IF($A23="","",IF(AND(LEFT($G23,3)="ДОК",$N23&lt;&gt;""),IFERROR(INDEX(Документация!$G$2:$G$57,MATCH($N23,Документация!$F$2:$F$57,0)),$D23),$D23&amp;IF(AND(LEFT($G23,3)&lt;&gt;"ДОК",$N23&lt;&gt;"")," — "&amp;IFERROR(INDEX(МАТЕРИАЛЫ!$C$2:$C$9000,MATCH($N23,МАТЕРИАЛЫ!$L$2:$L$9000,0)),""),"")))</f>
        <v>Рабочая документация Системы оповещения и управления эвакуацией в части световых указателей ("СОУЭ")</v>
      </c>
      <c r="Z23" t="str">
        <f t="shared" si="6"/>
        <v>Р1 · Проектные работы и согласования</v>
      </c>
    </row>
    <row r="24" spans="1:26" ht="28.8" x14ac:dyDescent="0.3">
      <c r="A24" t="s">
        <v>100</v>
      </c>
      <c r="B24" t="s">
        <v>49</v>
      </c>
      <c r="C24" t="s">
        <v>50</v>
      </c>
      <c r="D24" s="4" t="s">
        <v>101</v>
      </c>
      <c r="E24" t="s">
        <v>52</v>
      </c>
      <c r="F24" s="5">
        <v>0</v>
      </c>
      <c r="H24">
        <v>0</v>
      </c>
      <c r="I24" t="s">
        <v>53</v>
      </c>
      <c r="L24" s="6"/>
      <c r="M24" s="6"/>
      <c r="N24" s="6"/>
      <c r="O24" s="5"/>
      <c r="P24" s="7" t="str">
        <f t="shared" si="0"/>
        <v/>
      </c>
      <c r="Q24" s="7" t="str">
        <f t="shared" si="1"/>
        <v/>
      </c>
      <c r="R24" s="7" t="str">
        <f t="shared" si="2"/>
        <v/>
      </c>
      <c r="S24" s="7">
        <f>IF($A24="","",IF(AND(LEFT($G24,3)="ДОК",$N24&lt;&gt;""),IFERROR(INDEX(Документация!$E$2:$E$57,MATCH($N24,Документация!$F$2:$F$57,0)),0),N($F24))*(1-MEDIAN(0,N(ДисконтТендер),1)))</f>
        <v>0</v>
      </c>
      <c r="T24" s="7">
        <f>IF($A24="","",IF(AND(LEFT($G24,3)="ДОК",$N24&lt;&gt;""),0,IF(AND(LEFT($G24,3)&lt;&gt;"ДОК",$N24&lt;&gt;""),IFERROR(INDEX(МАТЕРИАЛЫ!$H$2:$H$9000,MATCH($N24,МАТЕРИАЛЫ!$L$2:$L$9000,0))*IF(INDEX(МАТЕРИАЛЫ!$I$2:$I$9000,MATCH($N24,МАТЕРИАЛЫ!$L$2:$L$9000,0))="USD",КурсUSD,IF(INDEX(МАТЕРИАЛЫ!$I$2:$I$9000,MATCH($N24,МАТЕРИАЛЫ!$L$2:$L$9000,0))="EUR",КурсEUR,IF(INDEX(МАТЕРИАЛЫ!$I$2:$I$9000,MATCH($N24,МАТЕРИАЛЫ!$L$2:$L$9000,0))="CNY",КурсCNY,1)))*(1+N($H24)/100),0),N($O24))*(1-MEDIAN(0,N(ДисконтТендер),1))))</f>
        <v>0</v>
      </c>
      <c r="U24" t="str">
        <f>IF($L24="да",MAX($U$1:$U23)+1,"")</f>
        <v/>
      </c>
      <c r="V24" t="str">
        <f t="shared" si="3"/>
        <v>Р1</v>
      </c>
      <c r="W24" t="str">
        <f t="shared" si="4"/>
        <v/>
      </c>
      <c r="X24" t="str">
        <f t="shared" si="5"/>
        <v/>
      </c>
      <c r="Y24" s="4" t="str">
        <f>IF($A24="","",IF(AND(LEFT($G24,3)="ДОК",$N24&lt;&gt;""),IFERROR(INDEX(Документация!$G$2:$G$57,MATCH($N24,Документация!$F$2:$F$57,0)),$D24),$D24&amp;IF(AND(LEFT($G24,3)&lt;&gt;"ДОК",$N24&lt;&gt;"")," — "&amp;IFERROR(INDEX(МАТЕРИАЛЫ!$C$2:$C$9000,MATCH($N24,МАТЕРИАЛЫ!$L$2:$L$9000,0)),""),"")))</f>
        <v>Согласование проекта Системы водоотведения и получения тех условий (при необходимости)</v>
      </c>
      <c r="Z24" t="str">
        <f t="shared" si="6"/>
        <v>Р1 · Проектные работы и согласования</v>
      </c>
    </row>
    <row r="25" spans="1:26" ht="28.8" x14ac:dyDescent="0.3">
      <c r="A25" t="s">
        <v>102</v>
      </c>
      <c r="B25" t="s">
        <v>49</v>
      </c>
      <c r="C25" t="s">
        <v>50</v>
      </c>
      <c r="D25" s="4" t="s">
        <v>103</v>
      </c>
      <c r="E25" t="s">
        <v>52</v>
      </c>
      <c r="F25" s="5">
        <v>30.63</v>
      </c>
      <c r="H25">
        <v>0</v>
      </c>
      <c r="I25" t="s">
        <v>53</v>
      </c>
      <c r="L25" s="6"/>
      <c r="M25" s="6"/>
      <c r="N25" s="6"/>
      <c r="O25" s="5"/>
      <c r="P25" s="7" t="str">
        <f t="shared" si="0"/>
        <v/>
      </c>
      <c r="Q25" s="7" t="str">
        <f t="shared" si="1"/>
        <v/>
      </c>
      <c r="R25" s="7" t="str">
        <f t="shared" si="2"/>
        <v/>
      </c>
      <c r="S25" s="7">
        <f>IF($A25="","",IF(AND(LEFT($G25,3)="ДОК",$N25&lt;&gt;""),IFERROR(INDEX(Документация!$E$2:$E$57,MATCH($N25,Документация!$F$2:$F$57,0)),0),N($F25))*(1-MEDIAN(0,N(ДисконтТендер),1)))</f>
        <v>30.63</v>
      </c>
      <c r="T25" s="7">
        <f>IF($A25="","",IF(AND(LEFT($G25,3)="ДОК",$N25&lt;&gt;""),0,IF(AND(LEFT($G25,3)&lt;&gt;"ДОК",$N25&lt;&gt;""),IFERROR(INDEX(МАТЕРИАЛЫ!$H$2:$H$9000,MATCH($N25,МАТЕРИАЛЫ!$L$2:$L$9000,0))*IF(INDEX(МАТЕРИАЛЫ!$I$2:$I$9000,MATCH($N25,МАТЕРИАЛЫ!$L$2:$L$9000,0))="USD",КурсUSD,IF(INDEX(МАТЕРИАЛЫ!$I$2:$I$9000,MATCH($N25,МАТЕРИАЛЫ!$L$2:$L$9000,0))="EUR",КурсEUR,IF(INDEX(МАТЕРИАЛЫ!$I$2:$I$9000,MATCH($N25,МАТЕРИАЛЫ!$L$2:$L$9000,0))="CNY",КурсCNY,1)))*(1+N($H25)/100),0),N($O25))*(1-MEDIAN(0,N(ДисконтТендер),1))))</f>
        <v>0</v>
      </c>
      <c r="U25" t="str">
        <f>IF($L25="да",MAX($U$1:$U24)+1,"")</f>
        <v/>
      </c>
      <c r="V25" t="str">
        <f t="shared" si="3"/>
        <v>Р1</v>
      </c>
      <c r="W25" t="str">
        <f t="shared" si="4"/>
        <v/>
      </c>
      <c r="X25" t="str">
        <f t="shared" si="5"/>
        <v/>
      </c>
      <c r="Y25" s="4" t="str">
        <f>IF($A25="","",IF(AND(LEFT($G25,3)="ДОК",$N25&lt;&gt;""),IFERROR(INDEX(Документация!$G$2:$G$57,MATCH($N25,Документация!$F$2:$F$57,0)),$D25),$D25&amp;IF(AND(LEFT($G25,3)&lt;&gt;"ДОК",$N25&lt;&gt;"")," — "&amp;IFERROR(INDEX(МАТЕРИАЛЫ!$C$2:$C$9000,MATCH($N25,МАТЕРИАЛЫ!$L$2:$L$9000,0)),""),"")))</f>
        <v>Испытание лестниц 3 типа с предоставлением актов</v>
      </c>
      <c r="Z25" t="str">
        <f t="shared" si="6"/>
        <v>Р1 · Проектные работы и согласования</v>
      </c>
    </row>
    <row r="26" spans="1:26" ht="43.2" x14ac:dyDescent="0.3">
      <c r="A26" t="s">
        <v>104</v>
      </c>
      <c r="B26" t="s">
        <v>49</v>
      </c>
      <c r="C26" t="s">
        <v>50</v>
      </c>
      <c r="D26" s="4" t="s">
        <v>105</v>
      </c>
      <c r="E26" t="s">
        <v>83</v>
      </c>
      <c r="F26" s="5">
        <v>10207.56</v>
      </c>
      <c r="H26">
        <v>0</v>
      </c>
      <c r="I26" t="s">
        <v>53</v>
      </c>
      <c r="L26" s="6"/>
      <c r="M26" s="6"/>
      <c r="N26" s="6"/>
      <c r="O26" s="5"/>
      <c r="P26" s="7" t="str">
        <f t="shared" si="0"/>
        <v/>
      </c>
      <c r="Q26" s="7" t="str">
        <f t="shared" si="1"/>
        <v/>
      </c>
      <c r="R26" s="7" t="str">
        <f t="shared" si="2"/>
        <v/>
      </c>
      <c r="S26" s="7">
        <f>IF($A26="","",IF(AND(LEFT($G26,3)="ДОК",$N26&lt;&gt;""),IFERROR(INDEX(Документация!$E$2:$E$57,MATCH($N26,Документация!$F$2:$F$57,0)),0),N($F26))*(1-MEDIAN(0,N(ДисконтТендер),1)))</f>
        <v>10207.56</v>
      </c>
      <c r="T26" s="7">
        <f>IF($A26="","",IF(AND(LEFT($G26,3)="ДОК",$N26&lt;&gt;""),0,IF(AND(LEFT($G26,3)&lt;&gt;"ДОК",$N26&lt;&gt;""),IFERROR(INDEX(МАТЕРИАЛЫ!$H$2:$H$9000,MATCH($N26,МАТЕРИАЛЫ!$L$2:$L$9000,0))*IF(INDEX(МАТЕРИАЛЫ!$I$2:$I$9000,MATCH($N26,МАТЕРИАЛЫ!$L$2:$L$9000,0))="USD",КурсUSD,IF(INDEX(МАТЕРИАЛЫ!$I$2:$I$9000,MATCH($N26,МАТЕРИАЛЫ!$L$2:$L$9000,0))="EUR",КурсEUR,IF(INDEX(МАТЕРИАЛЫ!$I$2:$I$9000,MATCH($N26,МАТЕРИАЛЫ!$L$2:$L$9000,0))="CNY",КурсCNY,1)))*(1+N($H26)/100),0),N($O26))*(1-MEDIAN(0,N(ДисконтТендер),1))))</f>
        <v>0</v>
      </c>
      <c r="U26" t="str">
        <f>IF($L26="да",MAX($U$1:$U25)+1,"")</f>
        <v/>
      </c>
      <c r="V26" t="str">
        <f t="shared" si="3"/>
        <v>Р1</v>
      </c>
      <c r="W26" t="str">
        <f t="shared" si="4"/>
        <v/>
      </c>
      <c r="X26" t="str">
        <f t="shared" si="5"/>
        <v/>
      </c>
      <c r="Y26" s="4" t="str">
        <f>IF($A26="","",IF(AND(LEFT($G26,3)="ДОК",$N26&lt;&gt;""),IFERROR(INDEX(Документация!$G$2:$G$57,MATCH($N26,Документация!$F$2:$F$57,0)),$D26),$D26&amp;IF(AND(LEFT($G26,3)&lt;&gt;"ДОК",$N26&lt;&gt;"")," — "&amp;IFERROR(INDEX(МАТЕРИАЛЫ!$C$2:$C$9000,MATCH($N26,МАТЕРИАЛЫ!$L$2:$L$9000,0)),""),"")))</f>
        <v>Испытания системы внутреннего противопожарного водопровода аккредитованной организацией (ВПВ и АУПТ).</v>
      </c>
      <c r="Z26" t="str">
        <f t="shared" si="6"/>
        <v>Р1 · Проектные работы и согласования</v>
      </c>
    </row>
    <row r="27" spans="1:26" x14ac:dyDescent="0.3">
      <c r="A27" t="s">
        <v>106</v>
      </c>
      <c r="B27" t="s">
        <v>49</v>
      </c>
      <c r="C27" t="s">
        <v>50</v>
      </c>
      <c r="D27" s="4" t="s">
        <v>107</v>
      </c>
      <c r="E27" t="s">
        <v>52</v>
      </c>
      <c r="F27" s="5">
        <v>76.52</v>
      </c>
      <c r="H27">
        <v>0</v>
      </c>
      <c r="I27" t="s">
        <v>53</v>
      </c>
      <c r="L27" s="6"/>
      <c r="M27" s="6"/>
      <c r="N27" s="6"/>
      <c r="O27" s="5"/>
      <c r="P27" s="7" t="str">
        <f t="shared" si="0"/>
        <v/>
      </c>
      <c r="Q27" s="7" t="str">
        <f t="shared" si="1"/>
        <v/>
      </c>
      <c r="R27" s="7" t="str">
        <f t="shared" si="2"/>
        <v/>
      </c>
      <c r="S27" s="7">
        <f>IF($A27="","",IF(AND(LEFT($G27,3)="ДОК",$N27&lt;&gt;""),IFERROR(INDEX(Документация!$E$2:$E$57,MATCH($N27,Документация!$F$2:$F$57,0)),0),N($F27))*(1-MEDIAN(0,N(ДисконтТендер),1)))</f>
        <v>76.52</v>
      </c>
      <c r="T27" s="7">
        <f>IF($A27="","",IF(AND(LEFT($G27,3)="ДОК",$N27&lt;&gt;""),0,IF(AND(LEFT($G27,3)&lt;&gt;"ДОК",$N27&lt;&gt;""),IFERROR(INDEX(МАТЕРИАЛЫ!$H$2:$H$9000,MATCH($N27,МАТЕРИАЛЫ!$L$2:$L$9000,0))*IF(INDEX(МАТЕРИАЛЫ!$I$2:$I$9000,MATCH($N27,МАТЕРИАЛЫ!$L$2:$L$9000,0))="USD",КурсUSD,IF(INDEX(МАТЕРИАЛЫ!$I$2:$I$9000,MATCH($N27,МАТЕРИАЛЫ!$L$2:$L$9000,0))="EUR",КурсEUR,IF(INDEX(МАТЕРИАЛЫ!$I$2:$I$9000,MATCH($N27,МАТЕРИАЛЫ!$L$2:$L$9000,0))="CNY",КурсCNY,1)))*(1+N($H27)/100),0),N($O27))*(1-MEDIAN(0,N(ДисконтТендер),1))))</f>
        <v>0</v>
      </c>
      <c r="U27" t="str">
        <f>IF($L27="да",MAX($U$1:$U26)+1,"")</f>
        <v/>
      </c>
      <c r="V27" t="str">
        <f t="shared" si="3"/>
        <v>Р1</v>
      </c>
      <c r="W27" t="str">
        <f t="shared" si="4"/>
        <v/>
      </c>
      <c r="X27" t="str">
        <f t="shared" si="5"/>
        <v/>
      </c>
      <c r="Y27" s="4" t="str">
        <f>IF($A27="","",IF(AND(LEFT($G27,3)="ДОК",$N27&lt;&gt;""),IFERROR(INDEX(Документация!$G$2:$G$57,MATCH($N27,Документация!$F$2:$F$57,0)),$D27),$D27&amp;IF(AND(LEFT($G27,3)&lt;&gt;"ДОК",$N27&lt;&gt;"")," — "&amp;IFERROR(INDEX(МАТЕРИАЛЫ!$C$2:$C$9000,MATCH($N27,МАТЕРИАЛЫ!$L$2:$L$9000,0)),""),"")))</f>
        <v>Мероприятия по обеспечению доступа инвалидов</v>
      </c>
      <c r="Z27" t="str">
        <f t="shared" si="6"/>
        <v>Р1 · Проектные работы и согласования</v>
      </c>
    </row>
    <row r="28" spans="1:26" x14ac:dyDescent="0.3">
      <c r="A28" t="s">
        <v>108</v>
      </c>
      <c r="B28" t="s">
        <v>49</v>
      </c>
      <c r="C28" t="s">
        <v>50</v>
      </c>
      <c r="D28" s="4" t="s">
        <v>109</v>
      </c>
      <c r="E28" t="s">
        <v>52</v>
      </c>
      <c r="F28" s="5">
        <v>0</v>
      </c>
      <c r="H28">
        <v>0</v>
      </c>
      <c r="I28" t="s">
        <v>53</v>
      </c>
      <c r="L28" s="6"/>
      <c r="M28" s="6"/>
      <c r="N28" s="6"/>
      <c r="O28" s="5"/>
      <c r="P28" s="7" t="str">
        <f t="shared" si="0"/>
        <v/>
      </c>
      <c r="Q28" s="7" t="str">
        <f t="shared" si="1"/>
        <v/>
      </c>
      <c r="R28" s="7" t="str">
        <f t="shared" si="2"/>
        <v/>
      </c>
      <c r="S28" s="7">
        <f>IF($A28="","",IF(AND(LEFT($G28,3)="ДОК",$N28&lt;&gt;""),IFERROR(INDEX(Документация!$E$2:$E$57,MATCH($N28,Документация!$F$2:$F$57,0)),0),N($F28))*(1-MEDIAN(0,N(ДисконтТендер),1)))</f>
        <v>0</v>
      </c>
      <c r="T28" s="7">
        <f>IF($A28="","",IF(AND(LEFT($G28,3)="ДОК",$N28&lt;&gt;""),0,IF(AND(LEFT($G28,3)&lt;&gt;"ДОК",$N28&lt;&gt;""),IFERROR(INDEX(МАТЕРИАЛЫ!$H$2:$H$9000,MATCH($N28,МАТЕРИАЛЫ!$L$2:$L$9000,0))*IF(INDEX(МАТЕРИАЛЫ!$I$2:$I$9000,MATCH($N28,МАТЕРИАЛЫ!$L$2:$L$9000,0))="USD",КурсUSD,IF(INDEX(МАТЕРИАЛЫ!$I$2:$I$9000,MATCH($N28,МАТЕРИАЛЫ!$L$2:$L$9000,0))="EUR",КурсEUR,IF(INDEX(МАТЕРИАЛЫ!$I$2:$I$9000,MATCH($N28,МАТЕРИАЛЫ!$L$2:$L$9000,0))="CNY",КурсCNY,1)))*(1+N($H28)/100),0),N($O28))*(1-MEDIAN(0,N(ДисконтТендер),1))))</f>
        <v>0</v>
      </c>
      <c r="U28" t="str">
        <f>IF($L28="да",MAX($U$1:$U27)+1,"")</f>
        <v/>
      </c>
      <c r="V28" t="str">
        <f t="shared" si="3"/>
        <v>Р1</v>
      </c>
      <c r="W28" t="str">
        <f t="shared" si="4"/>
        <v/>
      </c>
      <c r="X28" t="str">
        <f t="shared" si="5"/>
        <v/>
      </c>
      <c r="Y28" s="4" t="str">
        <f>IF($A28="","",IF(AND(LEFT($G28,3)="ДОК",$N28&lt;&gt;""),IFERROR(INDEX(Документация!$G$2:$G$57,MATCH($N28,Документация!$F$2:$F$57,0)),$D28),$D28&amp;IF(AND(LEFT($G28,3)&lt;&gt;"ДОК",$N28&lt;&gt;"")," — "&amp;IFERROR(INDEX(МАТЕРИАЛЫ!$C$2:$C$9000,MATCH($N28,МАТЕРИАЛЫ!$L$2:$L$9000,0)),""),"")))</f>
        <v>Расчет пожарного риска</v>
      </c>
      <c r="Z28" t="str">
        <f t="shared" si="6"/>
        <v>Р1 · Проектные работы и согласования</v>
      </c>
    </row>
    <row r="29" spans="1:26" ht="43.2" x14ac:dyDescent="0.3">
      <c r="A29" t="s">
        <v>110</v>
      </c>
      <c r="B29" t="s">
        <v>49</v>
      </c>
      <c r="C29" t="s">
        <v>50</v>
      </c>
      <c r="D29" s="4" t="s">
        <v>111</v>
      </c>
      <c r="E29" t="s">
        <v>52</v>
      </c>
      <c r="F29" s="5">
        <v>0</v>
      </c>
      <c r="H29">
        <v>0</v>
      </c>
      <c r="I29" t="s">
        <v>53</v>
      </c>
      <c r="L29" s="6"/>
      <c r="M29" s="6"/>
      <c r="N29" s="6"/>
      <c r="O29" s="5"/>
      <c r="P29" s="7" t="str">
        <f t="shared" si="0"/>
        <v/>
      </c>
      <c r="Q29" s="7" t="str">
        <f t="shared" si="1"/>
        <v/>
      </c>
      <c r="R29" s="7" t="str">
        <f t="shared" si="2"/>
        <v/>
      </c>
      <c r="S29" s="7">
        <f>IF($A29="","",IF(AND(LEFT($G29,3)="ДОК",$N29&lt;&gt;""),IFERROR(INDEX(Документация!$E$2:$E$57,MATCH($N29,Документация!$F$2:$F$57,0)),0),N($F29))*(1-MEDIAN(0,N(ДисконтТендер),1)))</f>
        <v>0</v>
      </c>
      <c r="T29" s="7">
        <f>IF($A29="","",IF(AND(LEFT($G29,3)="ДОК",$N29&lt;&gt;""),0,IF(AND(LEFT($G29,3)&lt;&gt;"ДОК",$N29&lt;&gt;""),IFERROR(INDEX(МАТЕРИАЛЫ!$H$2:$H$9000,MATCH($N29,МАТЕРИАЛЫ!$L$2:$L$9000,0))*IF(INDEX(МАТЕРИАЛЫ!$I$2:$I$9000,MATCH($N29,МАТЕРИАЛЫ!$L$2:$L$9000,0))="USD",КурсUSD,IF(INDEX(МАТЕРИАЛЫ!$I$2:$I$9000,MATCH($N29,МАТЕРИАЛЫ!$L$2:$L$9000,0))="EUR",КурсEUR,IF(INDEX(МАТЕРИАЛЫ!$I$2:$I$9000,MATCH($N29,МАТЕРИАЛЫ!$L$2:$L$9000,0))="CNY",КурсCNY,1)))*(1+N($H29)/100),0),N($O29))*(1-MEDIAN(0,N(ДисконтТендер),1))))</f>
        <v>0</v>
      </c>
      <c r="U29" t="str">
        <f>IF($L29="да",MAX($U$1:$U28)+1,"")</f>
        <v/>
      </c>
      <c r="V29" t="str">
        <f t="shared" si="3"/>
        <v>Р1</v>
      </c>
      <c r="W29" t="str">
        <f t="shared" si="4"/>
        <v/>
      </c>
      <c r="X29" t="str">
        <f t="shared" si="5"/>
        <v/>
      </c>
      <c r="Y29" s="4" t="str">
        <f>IF($A29="","",IF(AND(LEFT($G29,3)="ДОК",$N29&lt;&gt;""),IFERROR(INDEX(Документация!$G$2:$G$57,MATCH($N29,Документация!$F$2:$F$57,0)),$D29),$D29&amp;IF(AND(LEFT($G29,3)&lt;&gt;"ДОК",$N29&lt;&gt;"")," — "&amp;IFERROR(INDEX(МАТЕРИАЛЫ!$C$2:$C$9000,MATCH($N29,МАТЕРИАЛЫ!$L$2:$L$9000,0)),""),"")))</f>
        <v>Подготовка и постановка на учет Независимой оценки пожарного риска (пожарный аудит), включая Расчет пожарного риска</v>
      </c>
      <c r="Z29" t="str">
        <f t="shared" si="6"/>
        <v>Р1 · Проектные работы и согласования</v>
      </c>
    </row>
    <row r="30" spans="1:26" x14ac:dyDescent="0.3">
      <c r="A30" t="s">
        <v>112</v>
      </c>
      <c r="B30" t="s">
        <v>49</v>
      </c>
      <c r="C30" t="s">
        <v>50</v>
      </c>
      <c r="D30" s="4" t="s">
        <v>113</v>
      </c>
      <c r="E30" t="s">
        <v>114</v>
      </c>
      <c r="F30" s="5">
        <v>16168.42</v>
      </c>
      <c r="H30">
        <v>0</v>
      </c>
      <c r="I30" t="s">
        <v>53</v>
      </c>
      <c r="L30" s="6"/>
      <c r="M30" s="6"/>
      <c r="N30" s="6"/>
      <c r="O30" s="5"/>
      <c r="P30" s="7" t="str">
        <f t="shared" si="0"/>
        <v/>
      </c>
      <c r="Q30" s="7" t="str">
        <f t="shared" si="1"/>
        <v/>
      </c>
      <c r="R30" s="7" t="str">
        <f t="shared" si="2"/>
        <v/>
      </c>
      <c r="S30" s="7">
        <f>IF($A30="","",IF(AND(LEFT($G30,3)="ДОК",$N30&lt;&gt;""),IFERROR(INDEX(Документация!$E$2:$E$57,MATCH($N30,Документация!$F$2:$F$57,0)),0),N($F30))*(1-MEDIAN(0,N(ДисконтТендер),1)))</f>
        <v>16168.42</v>
      </c>
      <c r="T30" s="7">
        <f>IF($A30="","",IF(AND(LEFT($G30,3)="ДОК",$N30&lt;&gt;""),0,IF(AND(LEFT($G30,3)&lt;&gt;"ДОК",$N30&lt;&gt;""),IFERROR(INDEX(МАТЕРИАЛЫ!$H$2:$H$9000,MATCH($N30,МАТЕРИАЛЫ!$L$2:$L$9000,0))*IF(INDEX(МАТЕРИАЛЫ!$I$2:$I$9000,MATCH($N30,МАТЕРИАЛЫ!$L$2:$L$9000,0))="USD",КурсUSD,IF(INDEX(МАТЕРИАЛЫ!$I$2:$I$9000,MATCH($N30,МАТЕРИАЛЫ!$L$2:$L$9000,0))="EUR",КурсEUR,IF(INDEX(МАТЕРИАЛЫ!$I$2:$I$9000,MATCH($N30,МАТЕРИАЛЫ!$L$2:$L$9000,0))="CNY",КурсCNY,1)))*(1+N($H30)/100),0),N($O30))*(1-MEDIAN(0,N(ДисконтТендер),1))))</f>
        <v>0</v>
      </c>
      <c r="U30" t="str">
        <f>IF($L30="да",MAX($U$1:$U29)+1,"")</f>
        <v/>
      </c>
      <c r="V30" t="str">
        <f t="shared" si="3"/>
        <v>Р1</v>
      </c>
      <c r="W30" t="str">
        <f t="shared" si="4"/>
        <v/>
      </c>
      <c r="X30" t="str">
        <f t="shared" si="5"/>
        <v/>
      </c>
      <c r="Y30" s="4" t="str">
        <f>IF($A30="","",IF(AND(LEFT($G30,3)="ДОК",$N30&lt;&gt;""),IFERROR(INDEX(Документация!$G$2:$G$57,MATCH($N30,Документация!$F$2:$F$57,0)),$D30),$D30&amp;IF(AND(LEFT($G30,3)&lt;&gt;"ДОК",$N30&lt;&gt;"")," — "&amp;IFERROR(INDEX(МАТЕРИАЛЫ!$C$2:$C$9000,MATCH($N30,МАТЕРИАЛЫ!$L$2:$L$9000,0)),""),"")))</f>
        <v>Разработка проекта огнезащиты</v>
      </c>
      <c r="Z30" t="str">
        <f t="shared" si="6"/>
        <v>Р1 · Проектные работы и согласования</v>
      </c>
    </row>
    <row r="31" spans="1:26" ht="72" x14ac:dyDescent="0.3">
      <c r="A31" t="s">
        <v>115</v>
      </c>
      <c r="B31" t="s">
        <v>49</v>
      </c>
      <c r="C31" t="s">
        <v>50</v>
      </c>
      <c r="D31" s="4" t="s">
        <v>116</v>
      </c>
      <c r="E31" t="s">
        <v>83</v>
      </c>
      <c r="F31" s="5">
        <v>23438.15</v>
      </c>
      <c r="H31">
        <v>0</v>
      </c>
      <c r="I31" t="s">
        <v>53</v>
      </c>
      <c r="L31" s="6"/>
      <c r="M31" s="6"/>
      <c r="N31" s="6"/>
      <c r="O31" s="5"/>
      <c r="P31" s="7" t="str">
        <f t="shared" si="0"/>
        <v/>
      </c>
      <c r="Q31" s="7" t="str">
        <f t="shared" si="1"/>
        <v/>
      </c>
      <c r="R31" s="7" t="str">
        <f t="shared" si="2"/>
        <v/>
      </c>
      <c r="S31" s="7">
        <f>IF($A31="","",IF(AND(LEFT($G31,3)="ДОК",$N31&lt;&gt;""),IFERROR(INDEX(Документация!$E$2:$E$57,MATCH($N31,Документация!$F$2:$F$57,0)),0),N($F31))*(1-MEDIAN(0,N(ДисконтТендер),1)))</f>
        <v>23438.15</v>
      </c>
      <c r="T31" s="7">
        <f>IF($A31="","",IF(AND(LEFT($G31,3)="ДОК",$N31&lt;&gt;""),0,IF(AND(LEFT($G31,3)&lt;&gt;"ДОК",$N31&lt;&gt;""),IFERROR(INDEX(МАТЕРИАЛЫ!$H$2:$H$9000,MATCH($N31,МАТЕРИАЛЫ!$L$2:$L$9000,0))*IF(INDEX(МАТЕРИАЛЫ!$I$2:$I$9000,MATCH($N31,МАТЕРИАЛЫ!$L$2:$L$9000,0))="USD",КурсUSD,IF(INDEX(МАТЕРИАЛЫ!$I$2:$I$9000,MATCH($N31,МАТЕРИАЛЫ!$L$2:$L$9000,0))="EUR",КурсEUR,IF(INDEX(МАТЕРИАЛЫ!$I$2:$I$9000,MATCH($N31,МАТЕРИАЛЫ!$L$2:$L$9000,0))="CNY",КурсCNY,1)))*(1+N($H31)/100),0),N($O31))*(1-MEDIAN(0,N(ДисконтТендер),1))))</f>
        <v>0</v>
      </c>
      <c r="U31" t="str">
        <f>IF($L31="да",MAX($U$1:$U30)+1,"")</f>
        <v/>
      </c>
      <c r="V31" t="str">
        <f t="shared" si="3"/>
        <v>Р1</v>
      </c>
      <c r="W31" t="str">
        <f t="shared" si="4"/>
        <v/>
      </c>
      <c r="X31" t="str">
        <f t="shared" si="5"/>
        <v/>
      </c>
      <c r="Y31" s="4" t="str">
        <f>IF($A31="","",IF(AND(LEFT($G31,3)="ДОК",$N31&lt;&gt;""),IFERROR(INDEX(Документация!$G$2:$G$57,MATCH($N31,Документация!$F$2:$F$57,0)),$D31),$D31&amp;IF(AND(LEFT($G31,3)&lt;&gt;"ДОК",$N31&lt;&gt;"")," — "&amp;IFERROR(INDEX(МАТЕРИАЛЫ!$C$2:$C$9000,MATCH($N31,МАТЕРИАЛЫ!$L$2:$L$9000,0)),""),"")))</f>
        <v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v>
      </c>
      <c r="Z31" t="str">
        <f t="shared" si="6"/>
        <v>Р1 · Проектные работы и согласования</v>
      </c>
    </row>
    <row r="32" spans="1:26" ht="72" x14ac:dyDescent="0.3">
      <c r="A32" t="s">
        <v>117</v>
      </c>
      <c r="B32" t="s">
        <v>49</v>
      </c>
      <c r="C32" t="s">
        <v>50</v>
      </c>
      <c r="D32" s="4" t="s">
        <v>118</v>
      </c>
      <c r="E32" t="s">
        <v>52</v>
      </c>
      <c r="F32" s="5">
        <v>17.8</v>
      </c>
      <c r="H32">
        <v>0</v>
      </c>
      <c r="I32" t="s">
        <v>53</v>
      </c>
      <c r="L32" s="6"/>
      <c r="M32" s="6"/>
      <c r="N32" s="6"/>
      <c r="O32" s="5"/>
      <c r="P32" s="7" t="str">
        <f t="shared" si="0"/>
        <v/>
      </c>
      <c r="Q32" s="7" t="str">
        <f t="shared" si="1"/>
        <v/>
      </c>
      <c r="R32" s="7" t="str">
        <f t="shared" si="2"/>
        <v/>
      </c>
      <c r="S32" s="7">
        <f>IF($A32="","",IF(AND(LEFT($G32,3)="ДОК",$N32&lt;&gt;""),IFERROR(INDEX(Документация!$E$2:$E$57,MATCH($N32,Документация!$F$2:$F$57,0)),0),N($F32))*(1-MEDIAN(0,N(ДисконтТендер),1)))</f>
        <v>17.8</v>
      </c>
      <c r="T32" s="7">
        <f>IF($A32="","",IF(AND(LEFT($G32,3)="ДОК",$N32&lt;&gt;""),0,IF(AND(LEFT($G32,3)&lt;&gt;"ДОК",$N32&lt;&gt;""),IFERROR(INDEX(МАТЕРИАЛЫ!$H$2:$H$9000,MATCH($N32,МАТЕРИАЛЫ!$L$2:$L$9000,0))*IF(INDEX(МАТЕРИАЛЫ!$I$2:$I$9000,MATCH($N32,МАТЕРИАЛЫ!$L$2:$L$9000,0))="USD",КурсUSD,IF(INDEX(МАТЕРИАЛЫ!$I$2:$I$9000,MATCH($N32,МАТЕРИАЛЫ!$L$2:$L$9000,0))="EUR",КурсEUR,IF(INDEX(МАТЕРИАЛЫ!$I$2:$I$9000,MATCH($N32,МАТЕРИАЛЫ!$L$2:$L$9000,0))="CNY",КурсCNY,1)))*(1+N($H32)/100),0),N($O32))*(1-MEDIAN(0,N(ДисконтТендер),1))))</f>
        <v>0</v>
      </c>
      <c r="U32" t="str">
        <f>IF($L32="да",MAX($U$1:$U31)+1,"")</f>
        <v/>
      </c>
      <c r="V32" t="str">
        <f t="shared" si="3"/>
        <v>Р1</v>
      </c>
      <c r="W32" t="str">
        <f t="shared" si="4"/>
        <v/>
      </c>
      <c r="X32" t="str">
        <f t="shared" si="5"/>
        <v/>
      </c>
      <c r="Y32" s="4" t="str">
        <f>IF($A32="","",IF(AND(LEFT($G32,3)="ДОК",$N32&lt;&gt;""),IFERROR(INDEX(Документация!$G$2:$G$57,MATCH($N32,Документация!$F$2:$F$57,0)),$D32),$D32&amp;IF(AND(LEFT($G32,3)&lt;&gt;"ДОК",$N32&lt;&gt;"")," — "&amp;IFERROR(INDEX(МАТЕРИАЛЫ!$C$2:$C$9000,MATCH($N32,МАТЕРИАЛЫ!$L$2:$L$9000,0)),""),"")))</f>
        <v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v>
      </c>
      <c r="Z32" t="str">
        <f t="shared" si="6"/>
        <v>Р1 · Проектные работы и согласования</v>
      </c>
    </row>
    <row r="33" spans="1:26" ht="43.2" x14ac:dyDescent="0.3">
      <c r="A33" t="s">
        <v>119</v>
      </c>
      <c r="B33" t="s">
        <v>49</v>
      </c>
      <c r="C33" t="s">
        <v>50</v>
      </c>
      <c r="D33" s="4" t="s">
        <v>120</v>
      </c>
      <c r="E33" t="s">
        <v>83</v>
      </c>
      <c r="F33" s="5">
        <v>132501.92000000001</v>
      </c>
      <c r="H33">
        <v>0</v>
      </c>
      <c r="I33" t="s">
        <v>53</v>
      </c>
      <c r="L33" s="6"/>
      <c r="M33" s="6"/>
      <c r="N33" s="6"/>
      <c r="O33" s="5"/>
      <c r="P33" s="7" t="str">
        <f t="shared" si="0"/>
        <v/>
      </c>
      <c r="Q33" s="7" t="str">
        <f t="shared" si="1"/>
        <v/>
      </c>
      <c r="R33" s="7" t="str">
        <f t="shared" si="2"/>
        <v/>
      </c>
      <c r="S33" s="7">
        <f>IF($A33="","",IF(AND(LEFT($G33,3)="ДОК",$N33&lt;&gt;""),IFERROR(INDEX(Документация!$E$2:$E$57,MATCH($N33,Документация!$F$2:$F$57,0)),0),N($F33))*(1-MEDIAN(0,N(ДисконтТендер),1)))</f>
        <v>132501.92000000001</v>
      </c>
      <c r="T33" s="7">
        <f>IF($A33="","",IF(AND(LEFT($G33,3)="ДОК",$N33&lt;&gt;""),0,IF(AND(LEFT($G33,3)&lt;&gt;"ДОК",$N33&lt;&gt;""),IFERROR(INDEX(МАТЕРИАЛЫ!$H$2:$H$9000,MATCH($N33,МАТЕРИАЛЫ!$L$2:$L$9000,0))*IF(INDEX(МАТЕРИАЛЫ!$I$2:$I$9000,MATCH($N33,МАТЕРИАЛЫ!$L$2:$L$9000,0))="USD",КурсUSD,IF(INDEX(МАТЕРИАЛЫ!$I$2:$I$9000,MATCH($N33,МАТЕРИАЛЫ!$L$2:$L$9000,0))="EUR",КурсEUR,IF(INDEX(МАТЕРИАЛЫ!$I$2:$I$9000,MATCH($N33,МАТЕРИАЛЫ!$L$2:$L$9000,0))="CNY",КурсCNY,1)))*(1+N($H33)/100),0),N($O33))*(1-MEDIAN(0,N(ДисконтТендер),1))))</f>
        <v>0</v>
      </c>
      <c r="U33" t="str">
        <f>IF($L33="да",MAX($U$1:$U32)+1,"")</f>
        <v/>
      </c>
      <c r="V33" t="str">
        <f t="shared" si="3"/>
        <v>Р1</v>
      </c>
      <c r="W33" t="str">
        <f t="shared" si="4"/>
        <v/>
      </c>
      <c r="X33" t="str">
        <f t="shared" si="5"/>
        <v/>
      </c>
      <c r="Y33" s="4" t="str">
        <f>IF($A33="","",IF(AND(LEFT($G33,3)="ДОК",$N33&lt;&gt;""),IFERROR(INDEX(Документация!$G$2:$G$57,MATCH($N33,Документация!$F$2:$F$57,0)),$D33),$D33&amp;IF(AND(LEFT($G33,3)&lt;&gt;"ДОК",$N33&lt;&gt;"")," — "&amp;IFERROR(INDEX(МАТЕРИАЛЫ!$C$2:$C$9000,MATCH($N33,МАТЕРИАЛЫ!$L$2:$L$9000,0)),""),"")))</f>
        <v>Акустический расчет инженерных систем ОВиК (предоставление в Роспотребнадзор) электронный и бумажный вариант</v>
      </c>
      <c r="Z33" t="str">
        <f t="shared" si="6"/>
        <v>Р1 · Проектные работы и согласования</v>
      </c>
    </row>
    <row r="34" spans="1:26" ht="57.6" x14ac:dyDescent="0.3">
      <c r="A34" t="s">
        <v>121</v>
      </c>
      <c r="B34" t="s">
        <v>49</v>
      </c>
      <c r="C34" t="s">
        <v>50</v>
      </c>
      <c r="D34" s="4" t="s">
        <v>122</v>
      </c>
      <c r="E34" t="s">
        <v>83</v>
      </c>
      <c r="F34" s="5">
        <v>134515.32999999999</v>
      </c>
      <c r="H34">
        <v>0</v>
      </c>
      <c r="I34" t="s">
        <v>53</v>
      </c>
      <c r="L34" s="6"/>
      <c r="M34" s="6"/>
      <c r="N34" s="6"/>
      <c r="O34" s="5"/>
      <c r="P34" s="7" t="str">
        <f t="shared" si="0"/>
        <v/>
      </c>
      <c r="Q34" s="7" t="str">
        <f t="shared" si="1"/>
        <v/>
      </c>
      <c r="R34" s="7" t="str">
        <f t="shared" si="2"/>
        <v/>
      </c>
      <c r="S34" s="7">
        <f>IF($A34="","",IF(AND(LEFT($G34,3)="ДОК",$N34&lt;&gt;""),IFERROR(INDEX(Документация!$E$2:$E$57,MATCH($N34,Документация!$F$2:$F$57,0)),0),N($F34))*(1-MEDIAN(0,N(ДисконтТендер),1)))</f>
        <v>134515.32999999999</v>
      </c>
      <c r="T34" s="7">
        <f>IF($A34="","",IF(AND(LEFT($G34,3)="ДОК",$N34&lt;&gt;""),0,IF(AND(LEFT($G34,3)&lt;&gt;"ДОК",$N34&lt;&gt;""),IFERROR(INDEX(МАТЕРИАЛЫ!$H$2:$H$9000,MATCH($N34,МАТЕРИАЛЫ!$L$2:$L$9000,0))*IF(INDEX(МАТЕРИАЛЫ!$I$2:$I$9000,MATCH($N34,МАТЕРИАЛЫ!$L$2:$L$9000,0))="USD",КурсUSD,IF(INDEX(МАТЕРИАЛЫ!$I$2:$I$9000,MATCH($N34,МАТЕРИАЛЫ!$L$2:$L$9000,0))="EUR",КурсEUR,IF(INDEX(МАТЕРИАЛЫ!$I$2:$I$9000,MATCH($N34,МАТЕРИАЛЫ!$L$2:$L$9000,0))="CNY",КурсCNY,1)))*(1+N($H34)/100),0),N($O34))*(1-MEDIAN(0,N(ДисконтТендер),1))))</f>
        <v>0</v>
      </c>
      <c r="U34" t="str">
        <f>IF($L34="да",MAX($U$1:$U33)+1,"")</f>
        <v/>
      </c>
      <c r="V34" t="str">
        <f t="shared" si="3"/>
        <v>Р1</v>
      </c>
      <c r="W34" t="str">
        <f t="shared" si="4"/>
        <v/>
      </c>
      <c r="X34" t="str">
        <f t="shared" si="5"/>
        <v/>
      </c>
      <c r="Y34" s="4" t="str">
        <f>IF($A34="","",IF(AND(LEFT($G34,3)="ДОК",$N34&lt;&gt;""),IFERROR(INDEX(Документация!$G$2:$G$57,MATCH($N34,Документация!$F$2:$F$57,0)),$D34),$D34&amp;IF(AND(LEFT($G34,3)&lt;&gt;"ДОК",$N34&lt;&gt;"")," — "&amp;IFERROR(INDEX(МАТЕРИАЛЫ!$C$2:$C$9000,MATCH($N34,МАТЕРИАЛЫ!$L$2:$L$9000,0)),""),"")))</f>
        <v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v>
      </c>
      <c r="Z34" t="str">
        <f t="shared" si="6"/>
        <v>Р1 · Проектные работы и согласования</v>
      </c>
    </row>
    <row r="35" spans="1:26" ht="57.6" x14ac:dyDescent="0.3">
      <c r="A35" t="s">
        <v>123</v>
      </c>
      <c r="B35" t="s">
        <v>49</v>
      </c>
      <c r="C35" t="s">
        <v>50</v>
      </c>
      <c r="D35" s="4" t="s">
        <v>124</v>
      </c>
      <c r="E35" t="s">
        <v>125</v>
      </c>
      <c r="F35" s="5">
        <v>137099.85999999999</v>
      </c>
      <c r="H35">
        <v>0</v>
      </c>
      <c r="I35" t="s">
        <v>53</v>
      </c>
      <c r="L35" s="6"/>
      <c r="M35" s="6"/>
      <c r="N35" s="6"/>
      <c r="O35" s="5"/>
      <c r="P35" s="7" t="str">
        <f t="shared" si="0"/>
        <v/>
      </c>
      <c r="Q35" s="7" t="str">
        <f t="shared" si="1"/>
        <v/>
      </c>
      <c r="R35" s="7" t="str">
        <f t="shared" si="2"/>
        <v/>
      </c>
      <c r="S35" s="7">
        <f>IF($A35="","",IF(AND(LEFT($G35,3)="ДОК",$N35&lt;&gt;""),IFERROR(INDEX(Документация!$E$2:$E$57,MATCH($N35,Документация!$F$2:$F$57,0)),0),N($F35))*(1-MEDIAN(0,N(ДисконтТендер),1)))</f>
        <v>137099.85999999999</v>
      </c>
      <c r="T35" s="7">
        <f>IF($A35="","",IF(AND(LEFT($G35,3)="ДОК",$N35&lt;&gt;""),0,IF(AND(LEFT($G35,3)&lt;&gt;"ДОК",$N35&lt;&gt;""),IFERROR(INDEX(МАТЕРИАЛЫ!$H$2:$H$9000,MATCH($N35,МАТЕРИАЛЫ!$L$2:$L$9000,0))*IF(INDEX(МАТЕРИАЛЫ!$I$2:$I$9000,MATCH($N35,МАТЕРИАЛЫ!$L$2:$L$9000,0))="USD",КурсUSD,IF(INDEX(МАТЕРИАЛЫ!$I$2:$I$9000,MATCH($N35,МАТЕРИАЛЫ!$L$2:$L$9000,0))="EUR",КурсEUR,IF(INDEX(МАТЕРИАЛЫ!$I$2:$I$9000,MATCH($N35,МАТЕРИАЛЫ!$L$2:$L$9000,0))="CNY",КурсCNY,1)))*(1+N($H35)/100),0),N($O35))*(1-MEDIAN(0,N(ДисконтТендер),1))))</f>
        <v>0</v>
      </c>
      <c r="U35" t="str">
        <f>IF($L35="да",MAX($U$1:$U34)+1,"")</f>
        <v/>
      </c>
      <c r="V35" t="str">
        <f t="shared" si="3"/>
        <v>Р1</v>
      </c>
      <c r="W35" t="str">
        <f t="shared" si="4"/>
        <v/>
      </c>
      <c r="X35" t="str">
        <f t="shared" si="5"/>
        <v/>
      </c>
      <c r="Y35" s="4" t="str">
        <f>IF($A35="","",IF(AND(LEFT($G35,3)="ДОК",$N35&lt;&gt;""),IFERROR(INDEX(Документация!$G$2:$G$57,MATCH($N35,Документация!$F$2:$F$57,0)),$D35),$D35&amp;IF(AND(LEFT($G35,3)&lt;&gt;"ДОК",$N35&lt;&gt;"")," — "&amp;IFERROR(INDEX(МАТЕРИАЛЫ!$C$2:$C$9000,MATCH($N35,МАТЕРИАЛЫ!$L$2:$L$9000,0)),""),"")))</f>
        <v>Стоимость согласования проекта перепланировки/реконструкции объекта в соответствии с нормативными актами г. ______________</v>
      </c>
      <c r="Z35" t="str">
        <f t="shared" si="6"/>
        <v>Р1 · Проектные работы и согласования</v>
      </c>
    </row>
    <row r="36" spans="1:26" x14ac:dyDescent="0.3">
      <c r="A36" t="s">
        <v>126</v>
      </c>
      <c r="B36" t="s">
        <v>49</v>
      </c>
      <c r="C36" t="s">
        <v>50</v>
      </c>
      <c r="D36" s="4" t="s">
        <v>72</v>
      </c>
      <c r="E36" t="s">
        <v>83</v>
      </c>
      <c r="F36" s="5">
        <v>134499.93</v>
      </c>
      <c r="H36">
        <v>0</v>
      </c>
      <c r="I36" t="s">
        <v>53</v>
      </c>
      <c r="L36" s="6"/>
      <c r="M36" s="6"/>
      <c r="N36" s="6"/>
      <c r="O36" s="5"/>
      <c r="P36" s="7" t="str">
        <f t="shared" si="0"/>
        <v/>
      </c>
      <c r="Q36" s="7" t="str">
        <f t="shared" si="1"/>
        <v/>
      </c>
      <c r="R36" s="7" t="str">
        <f t="shared" si="2"/>
        <v/>
      </c>
      <c r="S36" s="7">
        <f>IF($A36="","",IF(AND(LEFT($G36,3)="ДОК",$N36&lt;&gt;""),IFERROR(INDEX(Документация!$E$2:$E$57,MATCH($N36,Документация!$F$2:$F$57,0)),0),N($F36))*(1-MEDIAN(0,N(ДисконтТендер),1)))</f>
        <v>134499.93</v>
      </c>
      <c r="T36" s="7">
        <f>IF($A36="","",IF(AND(LEFT($G36,3)="ДОК",$N36&lt;&gt;""),0,IF(AND(LEFT($G36,3)&lt;&gt;"ДОК",$N36&lt;&gt;""),IFERROR(INDEX(МАТЕРИАЛЫ!$H$2:$H$9000,MATCH($N36,МАТЕРИАЛЫ!$L$2:$L$9000,0))*IF(INDEX(МАТЕРИАЛЫ!$I$2:$I$9000,MATCH($N36,МАТЕРИАЛЫ!$L$2:$L$9000,0))="USD",КурсUSD,IF(INDEX(МАТЕРИАЛЫ!$I$2:$I$9000,MATCH($N36,МАТЕРИАЛЫ!$L$2:$L$9000,0))="EUR",КурсEUR,IF(INDEX(МАТЕРИАЛЫ!$I$2:$I$9000,MATCH($N36,МАТЕРИАЛЫ!$L$2:$L$9000,0))="CNY",КурсCNY,1)))*(1+N($H36)/100),0),N($O36))*(1-MEDIAN(0,N(ДисконтТендер),1))))</f>
        <v>0</v>
      </c>
      <c r="U36" t="str">
        <f>IF($L36="да",MAX($U$1:$U35)+1,"")</f>
        <v/>
      </c>
      <c r="V36" t="str">
        <f t="shared" si="3"/>
        <v>Р1</v>
      </c>
      <c r="W36" t="str">
        <f t="shared" si="4"/>
        <v/>
      </c>
      <c r="X36" t="str">
        <f t="shared" si="5"/>
        <v/>
      </c>
      <c r="Y36" s="4" t="str">
        <f>IF($A36="","",IF(AND(LEFT($G36,3)="ДОК",$N36&lt;&gt;""),IFERROR(INDEX(Документация!$G$2:$G$57,MATCH($N36,Документация!$F$2:$F$57,0)),$D36),$D36&amp;IF(AND(LEFT($G36,3)&lt;&gt;"ДОК",$N36&lt;&gt;"")," — "&amp;IFERROR(INDEX(МАТЕРИАЛЫ!$C$2:$C$9000,MATCH($N36,МАТЕРИАЛЫ!$L$2:$L$9000,0)),""),"")))</f>
        <v>Получение паспорта БТИ (в черных линиях)</v>
      </c>
      <c r="Z36" t="str">
        <f t="shared" si="6"/>
        <v>Р1 · Проектные работы и согласования</v>
      </c>
    </row>
    <row r="37" spans="1:26" ht="57.6" x14ac:dyDescent="0.3">
      <c r="A37" t="s">
        <v>127</v>
      </c>
      <c r="B37" t="s">
        <v>49</v>
      </c>
      <c r="C37" t="s">
        <v>50</v>
      </c>
      <c r="D37" s="4" t="s">
        <v>128</v>
      </c>
      <c r="E37" t="s">
        <v>83</v>
      </c>
      <c r="F37" s="5">
        <v>135524.49</v>
      </c>
      <c r="H37">
        <v>0</v>
      </c>
      <c r="I37" t="s">
        <v>53</v>
      </c>
      <c r="L37" s="6"/>
      <c r="M37" s="6"/>
      <c r="N37" s="6"/>
      <c r="O37" s="5"/>
      <c r="P37" s="7" t="str">
        <f t="shared" si="0"/>
        <v/>
      </c>
      <c r="Q37" s="7" t="str">
        <f t="shared" si="1"/>
        <v/>
      </c>
      <c r="R37" s="7" t="str">
        <f t="shared" si="2"/>
        <v/>
      </c>
      <c r="S37" s="7">
        <f>IF($A37="","",IF(AND(LEFT($G37,3)="ДОК",$N37&lt;&gt;""),IFERROR(INDEX(Документация!$E$2:$E$57,MATCH($N37,Документация!$F$2:$F$57,0)),0),N($F37))*(1-MEDIAN(0,N(ДисконтТендер),1)))</f>
        <v>135524.49</v>
      </c>
      <c r="T37" s="7">
        <f>IF($A37="","",IF(AND(LEFT($G37,3)="ДОК",$N37&lt;&gt;""),0,IF(AND(LEFT($G37,3)&lt;&gt;"ДОК",$N37&lt;&gt;""),IFERROR(INDEX(МАТЕРИАЛЫ!$H$2:$H$9000,MATCH($N37,МАТЕРИАЛЫ!$L$2:$L$9000,0))*IF(INDEX(МАТЕРИАЛЫ!$I$2:$I$9000,MATCH($N37,МАТЕРИАЛЫ!$L$2:$L$9000,0))="USD",КурсUSD,IF(INDEX(МАТЕРИАЛЫ!$I$2:$I$9000,MATCH($N37,МАТЕРИАЛЫ!$L$2:$L$9000,0))="EUR",КурсEUR,IF(INDEX(МАТЕРИАЛЫ!$I$2:$I$9000,MATCH($N37,МАТЕРИАЛЫ!$L$2:$L$9000,0))="CNY",КурсCNY,1)))*(1+N($H37)/100),0),N($O37))*(1-MEDIAN(0,N(ДисконтТендер),1))))</f>
        <v>0</v>
      </c>
      <c r="U37" t="str">
        <f>IF($L37="да",MAX($U$1:$U36)+1,"")</f>
        <v/>
      </c>
      <c r="V37" t="str">
        <f t="shared" si="3"/>
        <v>Р1</v>
      </c>
      <c r="W37" t="str">
        <f t="shared" si="4"/>
        <v/>
      </c>
      <c r="X37" t="str">
        <f t="shared" si="5"/>
        <v/>
      </c>
      <c r="Y37" s="4" t="str">
        <f>IF($A37="","",IF(AND(LEFT($G37,3)="ДОК",$N37&lt;&gt;""),IFERROR(INDEX(Документация!$G$2:$G$57,MATCH($N37,Документация!$F$2:$F$57,0)),$D37),$D37&amp;IF(AND(LEFT($G37,3)&lt;&gt;"ДОК",$N37&lt;&gt;"")," — "&amp;IFERROR(INDEX(МАТЕРИАЛЫ!$C$2:$C$9000,MATCH($N37,МАТЕРИАЛЫ!$L$2:$L$9000,0)),""),"")))</f>
        <v>Ведение авторского надзора в период проведения РСР по приспособлению объекта культурного наследия( в соответствии с условиями ТЗ)</v>
      </c>
      <c r="Z37" t="str">
        <f t="shared" si="6"/>
        <v>Р1 · Проектные работы и согласования</v>
      </c>
    </row>
    <row r="38" spans="1:26" x14ac:dyDescent="0.3">
      <c r="A38" t="s">
        <v>129</v>
      </c>
      <c r="B38" t="s">
        <v>49</v>
      </c>
      <c r="C38" t="s">
        <v>50</v>
      </c>
      <c r="D38" s="4" t="s">
        <v>130</v>
      </c>
      <c r="E38" t="s">
        <v>83</v>
      </c>
      <c r="F38" s="5">
        <v>134002.26</v>
      </c>
      <c r="H38">
        <v>0</v>
      </c>
      <c r="I38" t="s">
        <v>53</v>
      </c>
      <c r="L38" s="6"/>
      <c r="M38" s="6"/>
      <c r="N38" s="6"/>
      <c r="O38" s="5"/>
      <c r="P38" s="7" t="str">
        <f t="shared" si="0"/>
        <v/>
      </c>
      <c r="Q38" s="7" t="str">
        <f t="shared" si="1"/>
        <v/>
      </c>
      <c r="R38" s="7" t="str">
        <f t="shared" si="2"/>
        <v/>
      </c>
      <c r="S38" s="7">
        <f>IF($A38="","",IF(AND(LEFT($G38,3)="ДОК",$N38&lt;&gt;""),IFERROR(INDEX(Документация!$E$2:$E$57,MATCH($N38,Документация!$F$2:$F$57,0)),0),N($F38))*(1-MEDIAN(0,N(ДисконтТендер),1)))</f>
        <v>134002.26</v>
      </c>
      <c r="T38" s="7">
        <f>IF($A38="","",IF(AND(LEFT($G38,3)="ДОК",$N38&lt;&gt;""),0,IF(AND(LEFT($G38,3)&lt;&gt;"ДОК",$N38&lt;&gt;""),IFERROR(INDEX(МАТЕРИАЛЫ!$H$2:$H$9000,MATCH($N38,МАТЕРИАЛЫ!$L$2:$L$9000,0))*IF(INDEX(МАТЕРИАЛЫ!$I$2:$I$9000,MATCH($N38,МАТЕРИАЛЫ!$L$2:$L$9000,0))="USD",КурсUSD,IF(INDEX(МАТЕРИАЛЫ!$I$2:$I$9000,MATCH($N38,МАТЕРИАЛЫ!$L$2:$L$9000,0))="EUR",КурсEUR,IF(INDEX(МАТЕРИАЛЫ!$I$2:$I$9000,MATCH($N38,МАТЕРИАЛЫ!$L$2:$L$9000,0))="CNY",КурсCNY,1)))*(1+N($H38)/100),0),N($O38))*(1-MEDIAN(0,N(ДисконтТендер),1))))</f>
        <v>0</v>
      </c>
      <c r="U38" t="str">
        <f>IF($L38="да",MAX($U$1:$U37)+1,"")</f>
        <v/>
      </c>
      <c r="V38" t="str">
        <f t="shared" si="3"/>
        <v>Р1</v>
      </c>
      <c r="W38" t="str">
        <f t="shared" si="4"/>
        <v/>
      </c>
      <c r="X38" t="str">
        <f t="shared" si="5"/>
        <v/>
      </c>
      <c r="Y38" s="4" t="str">
        <f>IF($A38="","",IF(AND(LEFT($G38,3)="ДОК",$N38&lt;&gt;""),IFERROR(INDEX(Документация!$G$2:$G$57,MATCH($N38,Документация!$F$2:$F$57,0)),$D38),$D38&amp;IF(AND(LEFT($G38,3)&lt;&gt;"ДОК",$N38&lt;&gt;"")," — "&amp;IFERROR(INDEX(МАТЕРИАЛЫ!$C$2:$C$9000,MATCH($N38,МАТЕРИАЛЫ!$L$2:$L$9000,0)),""),"")))</f>
        <v>Подготовка и сдача в _______научного отчета</v>
      </c>
      <c r="Z38" t="str">
        <f t="shared" si="6"/>
        <v>Р1 · Проектные работы и согласования</v>
      </c>
    </row>
    <row r="39" spans="1:26" ht="57.6" x14ac:dyDescent="0.3">
      <c r="A39" t="s">
        <v>131</v>
      </c>
      <c r="B39" t="s">
        <v>49</v>
      </c>
      <c r="C39" t="s">
        <v>50</v>
      </c>
      <c r="D39" s="4" t="s">
        <v>132</v>
      </c>
      <c r="E39" t="s">
        <v>83</v>
      </c>
      <c r="F39" s="5">
        <v>852600</v>
      </c>
      <c r="H39">
        <v>0</v>
      </c>
      <c r="I39" t="s">
        <v>53</v>
      </c>
      <c r="L39" s="6"/>
      <c r="M39" s="6"/>
      <c r="N39" s="6"/>
      <c r="O39" s="5"/>
      <c r="P39" s="7" t="str">
        <f t="shared" si="0"/>
        <v/>
      </c>
      <c r="Q39" s="7" t="str">
        <f t="shared" si="1"/>
        <v/>
      </c>
      <c r="R39" s="7" t="str">
        <f t="shared" si="2"/>
        <v/>
      </c>
      <c r="S39" s="7">
        <f>IF($A39="","",IF(AND(LEFT($G39,3)="ДОК",$N39&lt;&gt;""),IFERROR(INDEX(Документация!$E$2:$E$57,MATCH($N39,Документация!$F$2:$F$57,0)),0),N($F39))*(1-MEDIAN(0,N(ДисконтТендер),1)))</f>
        <v>852600</v>
      </c>
      <c r="T39" s="7">
        <f>IF($A39="","",IF(AND(LEFT($G39,3)="ДОК",$N39&lt;&gt;""),0,IF(AND(LEFT($G39,3)&lt;&gt;"ДОК",$N39&lt;&gt;""),IFERROR(INDEX(МАТЕРИАЛЫ!$H$2:$H$9000,MATCH($N39,МАТЕРИАЛЫ!$L$2:$L$9000,0))*IF(INDEX(МАТЕРИАЛЫ!$I$2:$I$9000,MATCH($N39,МАТЕРИАЛЫ!$L$2:$L$9000,0))="USD",КурсUSD,IF(INDEX(МАТЕРИАЛЫ!$I$2:$I$9000,MATCH($N39,МАТЕРИАЛЫ!$L$2:$L$9000,0))="EUR",КурсEUR,IF(INDEX(МАТЕРИАЛЫ!$I$2:$I$9000,MATCH($N39,МАТЕРИАЛЫ!$L$2:$L$9000,0))="CNY",КурсCNY,1)))*(1+N($H39)/100),0),N($O39))*(1-MEDIAN(0,N(ДисконтТендер),1))))</f>
        <v>0</v>
      </c>
      <c r="U39" t="str">
        <f>IF($L39="да",MAX($U$1:$U38)+1,"")</f>
        <v/>
      </c>
      <c r="V39" t="str">
        <f t="shared" si="3"/>
        <v>Р1</v>
      </c>
      <c r="W39" t="str">
        <f t="shared" si="4"/>
        <v/>
      </c>
      <c r="X39" t="str">
        <f t="shared" si="5"/>
        <v/>
      </c>
      <c r="Y39" s="4" t="str">
        <f>IF($A39="","",IF(AND(LEFT($G39,3)="ДОК",$N39&lt;&gt;""),IFERROR(INDEX(Документация!$G$2:$G$57,MATCH($N39,Документация!$F$2:$F$57,0)),$D39),$D39&amp;IF(AND(LEFT($G39,3)&lt;&gt;"ДОК",$N39&lt;&gt;"")," — "&amp;IFERROR(INDEX(МАТЕРИАЛЫ!$C$2:$C$9000,MATCH($N39,МАТЕРИАЛЫ!$L$2:$L$9000,0)),""),"")))</f>
        <v>Сопровождение проектной документации в МВК, ОГПН МЧС, ФГУЗ «ЦГиЭ», КГИОП и прочих при необходимости. Ввод объекта в эксплуатацию в КГИОП И МВК</v>
      </c>
      <c r="Z39" t="str">
        <f t="shared" si="6"/>
        <v>Р1 · Проектные работы и согласования</v>
      </c>
    </row>
    <row r="40" spans="1:26" x14ac:dyDescent="0.3">
      <c r="A40" t="s">
        <v>133</v>
      </c>
      <c r="B40" t="s">
        <v>134</v>
      </c>
      <c r="C40" t="s">
        <v>50</v>
      </c>
      <c r="D40" s="4" t="s">
        <v>135</v>
      </c>
      <c r="E40" t="s">
        <v>52</v>
      </c>
      <c r="F40" s="5">
        <v>313.2</v>
      </c>
      <c r="H40">
        <v>0</v>
      </c>
      <c r="I40" t="s">
        <v>53</v>
      </c>
      <c r="L40" s="6"/>
      <c r="M40" s="6"/>
      <c r="N40" s="6"/>
      <c r="O40" s="5"/>
      <c r="P40" s="7" t="str">
        <f t="shared" si="0"/>
        <v/>
      </c>
      <c r="Q40" s="7" t="str">
        <f t="shared" si="1"/>
        <v/>
      </c>
      <c r="R40" s="7" t="str">
        <f t="shared" si="2"/>
        <v/>
      </c>
      <c r="S40" s="7">
        <f>IF($A40="","",IF(AND(LEFT($G40,3)="ДОК",$N40&lt;&gt;""),IFERROR(INDEX(Документация!$E$2:$E$57,MATCH($N40,Документация!$F$2:$F$57,0)),0),N($F40))*(1-MEDIAN(0,N(ДисконтТендер),1)))</f>
        <v>313.2</v>
      </c>
      <c r="T40" s="7">
        <f>IF($A40="","",IF(AND(LEFT($G40,3)="ДОК",$N40&lt;&gt;""),0,IF(AND(LEFT($G40,3)&lt;&gt;"ДОК",$N40&lt;&gt;""),IFERROR(INDEX(МАТЕРИАЛЫ!$H$2:$H$9000,MATCH($N40,МАТЕРИАЛЫ!$L$2:$L$9000,0))*IF(INDEX(МАТЕРИАЛЫ!$I$2:$I$9000,MATCH($N40,МАТЕРИАЛЫ!$L$2:$L$9000,0))="USD",КурсUSD,IF(INDEX(МАТЕРИАЛЫ!$I$2:$I$9000,MATCH($N40,МАТЕРИАЛЫ!$L$2:$L$9000,0))="EUR",КурсEUR,IF(INDEX(МАТЕРИАЛЫ!$I$2:$I$9000,MATCH($N40,МАТЕРИАЛЫ!$L$2:$L$9000,0))="CNY",КурсCNY,1)))*(1+N($H40)/100),0),N($O40))*(1-MEDIAN(0,N(ДисконтТендер),1))))</f>
        <v>0</v>
      </c>
      <c r="U40" t="str">
        <f>IF($L40="да",MAX($U$1:$U39)+1,"")</f>
        <v/>
      </c>
      <c r="V40" t="str">
        <f t="shared" si="3"/>
        <v>Р2</v>
      </c>
      <c r="W40" t="str">
        <f t="shared" si="4"/>
        <v/>
      </c>
      <c r="X40" t="str">
        <f t="shared" si="5"/>
        <v/>
      </c>
      <c r="Y40" s="4" t="str">
        <f>IF($A40="","",IF(AND(LEFT($G40,3)="ДОК",$N40&lt;&gt;""),IFERROR(INDEX(Документация!$G$2:$G$57,MATCH($N40,Документация!$F$2:$F$57,0)),$D40),$D40&amp;IF(AND(LEFT($G40,3)&lt;&gt;"ДОК",$N40&lt;&gt;"")," — "&amp;IFERROR(INDEX(МАТЕРИАЛЫ!$C$2:$C$9000,MATCH($N40,МАТЕРИАЛЫ!$L$2:$L$9000,0)),""),"")))</f>
        <v>Демонтаж подвесных потолков типа "Армстронг"</v>
      </c>
      <c r="Z40" t="str">
        <f t="shared" si="6"/>
        <v>Р2 · Демонтажные работы</v>
      </c>
    </row>
    <row r="41" spans="1:26" ht="28.8" x14ac:dyDescent="0.3">
      <c r="A41" t="s">
        <v>136</v>
      </c>
      <c r="B41" t="s">
        <v>134</v>
      </c>
      <c r="C41" t="s">
        <v>50</v>
      </c>
      <c r="D41" s="4" t="s">
        <v>137</v>
      </c>
      <c r="E41" t="s">
        <v>52</v>
      </c>
      <c r="F41" s="5">
        <v>574.75</v>
      </c>
      <c r="H41">
        <v>0</v>
      </c>
      <c r="I41" t="s">
        <v>53</v>
      </c>
      <c r="L41" s="6"/>
      <c r="M41" s="6"/>
      <c r="N41" s="6"/>
      <c r="O41" s="5"/>
      <c r="P41" s="7" t="str">
        <f t="shared" si="0"/>
        <v/>
      </c>
      <c r="Q41" s="7" t="str">
        <f t="shared" si="1"/>
        <v/>
      </c>
      <c r="R41" s="7" t="str">
        <f t="shared" si="2"/>
        <v/>
      </c>
      <c r="S41" s="7">
        <f>IF($A41="","",IF(AND(LEFT($G41,3)="ДОК",$N41&lt;&gt;""),IFERROR(INDEX(Документация!$E$2:$E$57,MATCH($N41,Документация!$F$2:$F$57,0)),0),N($F41))*(1-MEDIAN(0,N(ДисконтТендер),1)))</f>
        <v>574.75</v>
      </c>
      <c r="T41" s="7">
        <f>IF($A41="","",IF(AND(LEFT($G41,3)="ДОК",$N41&lt;&gt;""),0,IF(AND(LEFT($G41,3)&lt;&gt;"ДОК",$N41&lt;&gt;""),IFERROR(INDEX(МАТЕРИАЛЫ!$H$2:$H$9000,MATCH($N41,МАТЕРИАЛЫ!$L$2:$L$9000,0))*IF(INDEX(МАТЕРИАЛЫ!$I$2:$I$9000,MATCH($N41,МАТЕРИАЛЫ!$L$2:$L$9000,0))="USD",КурсUSD,IF(INDEX(МАТЕРИАЛЫ!$I$2:$I$9000,MATCH($N41,МАТЕРИАЛЫ!$L$2:$L$9000,0))="EUR",КурсEUR,IF(INDEX(МАТЕРИАЛЫ!$I$2:$I$9000,MATCH($N41,МАТЕРИАЛЫ!$L$2:$L$9000,0))="CNY",КурсCNY,1)))*(1+N($H41)/100),0),N($O41))*(1-MEDIAN(0,N(ДисконтТендер),1))))</f>
        <v>0</v>
      </c>
      <c r="U41" t="str">
        <f>IF($L41="да",MAX($U$1:$U40)+1,"")</f>
        <v/>
      </c>
      <c r="V41" t="str">
        <f t="shared" si="3"/>
        <v>Р2</v>
      </c>
      <c r="W41" t="str">
        <f t="shared" si="4"/>
        <v/>
      </c>
      <c r="X41" t="str">
        <f t="shared" si="5"/>
        <v/>
      </c>
      <c r="Y41" s="4" t="str">
        <f>IF($A41="","",IF(AND(LEFT($G41,3)="ДОК",$N41&lt;&gt;""),IFERROR(INDEX(Документация!$G$2:$G$57,MATCH($N41,Документация!$F$2:$F$57,0)),$D41),$D41&amp;IF(AND(LEFT($G41,3)&lt;&gt;"ДОК",$N41&lt;&gt;"")," — "&amp;IFERROR(INDEX(МАТЕРИАЛЫ!$C$2:$C$9000,MATCH($N41,МАТЕРИАЛЫ!$L$2:$L$9000,0)),""),"")))</f>
        <v>Демонтаж подвесных потолков "Армстронг" с сохранением</v>
      </c>
      <c r="Z41" t="str">
        <f t="shared" si="6"/>
        <v>Р2 · Демонтажные работы</v>
      </c>
    </row>
    <row r="42" spans="1:26" x14ac:dyDescent="0.3">
      <c r="A42" t="s">
        <v>138</v>
      </c>
      <c r="B42" t="s">
        <v>134</v>
      </c>
      <c r="C42" t="s">
        <v>50</v>
      </c>
      <c r="D42" s="4" t="s">
        <v>139</v>
      </c>
      <c r="E42" t="s">
        <v>52</v>
      </c>
      <c r="F42" s="5">
        <v>318.72000000000003</v>
      </c>
      <c r="H42">
        <v>0</v>
      </c>
      <c r="I42" t="s">
        <v>53</v>
      </c>
      <c r="L42" s="6"/>
      <c r="M42" s="6"/>
      <c r="N42" s="6"/>
      <c r="O42" s="5"/>
      <c r="P42" s="7" t="str">
        <f t="shared" si="0"/>
        <v/>
      </c>
      <c r="Q42" s="7" t="str">
        <f t="shared" si="1"/>
        <v/>
      </c>
      <c r="R42" s="7" t="str">
        <f t="shared" si="2"/>
        <v/>
      </c>
      <c r="S42" s="7">
        <f>IF($A42="","",IF(AND(LEFT($G42,3)="ДОК",$N42&lt;&gt;""),IFERROR(INDEX(Документация!$E$2:$E$57,MATCH($N42,Документация!$F$2:$F$57,0)),0),N($F42))*(1-MEDIAN(0,N(ДисконтТендер),1)))</f>
        <v>318.72000000000003</v>
      </c>
      <c r="T42" s="7">
        <f>IF($A42="","",IF(AND(LEFT($G42,3)="ДОК",$N42&lt;&gt;""),0,IF(AND(LEFT($G42,3)&lt;&gt;"ДОК",$N42&lt;&gt;""),IFERROR(INDEX(МАТЕРИАЛЫ!$H$2:$H$9000,MATCH($N42,МАТЕРИАЛЫ!$L$2:$L$9000,0))*IF(INDEX(МАТЕРИАЛЫ!$I$2:$I$9000,MATCH($N42,МАТЕРИАЛЫ!$L$2:$L$9000,0))="USD",КурсUSD,IF(INDEX(МАТЕРИАЛЫ!$I$2:$I$9000,MATCH($N42,МАТЕРИАЛЫ!$L$2:$L$9000,0))="EUR",КурсEUR,IF(INDEX(МАТЕРИАЛЫ!$I$2:$I$9000,MATCH($N42,МАТЕРИАЛЫ!$L$2:$L$9000,0))="CNY",КурсCNY,1)))*(1+N($H42)/100),0),N($O42))*(1-MEDIAN(0,N(ДисконтТендер),1))))</f>
        <v>0</v>
      </c>
      <c r="U42" t="str">
        <f>IF($L42="да",MAX($U$1:$U41)+1,"")</f>
        <v/>
      </c>
      <c r="V42" t="str">
        <f t="shared" si="3"/>
        <v>Р2</v>
      </c>
      <c r="W42" t="str">
        <f t="shared" si="4"/>
        <v/>
      </c>
      <c r="X42" t="str">
        <f t="shared" si="5"/>
        <v/>
      </c>
      <c r="Y42" s="4" t="str">
        <f>IF($A42="","",IF(AND(LEFT($G42,3)="ДОК",$N42&lt;&gt;""),IFERROR(INDEX(Документация!$G$2:$G$57,MATCH($N42,Документация!$F$2:$F$57,0)),$D42),$D42&amp;IF(AND(LEFT($G42,3)&lt;&gt;"ДОК",$N42&lt;&gt;"")," — "&amp;IFERROR(INDEX(МАТЕРИАЛЫ!$C$2:$C$9000,MATCH($N42,МАТЕРИАЛЫ!$L$2:$L$9000,0)),""),"")))</f>
        <v>Демонтаж одноуровневых потолков из ГКЛ</v>
      </c>
      <c r="Z42" t="str">
        <f t="shared" si="6"/>
        <v>Р2 · Демонтажные работы</v>
      </c>
    </row>
    <row r="43" spans="1:26" x14ac:dyDescent="0.3">
      <c r="A43" t="s">
        <v>140</v>
      </c>
      <c r="B43" t="s">
        <v>134</v>
      </c>
      <c r="C43" t="s">
        <v>50</v>
      </c>
      <c r="D43" s="4" t="s">
        <v>141</v>
      </c>
      <c r="E43" t="s">
        <v>52</v>
      </c>
      <c r="F43" s="5">
        <v>341.73</v>
      </c>
      <c r="H43">
        <v>0</v>
      </c>
      <c r="I43" t="s">
        <v>53</v>
      </c>
      <c r="L43" s="6"/>
      <c r="M43" s="6"/>
      <c r="N43" s="6"/>
      <c r="O43" s="5"/>
      <c r="P43" s="7" t="str">
        <f t="shared" si="0"/>
        <v/>
      </c>
      <c r="Q43" s="7" t="str">
        <f t="shared" si="1"/>
        <v/>
      </c>
      <c r="R43" s="7" t="str">
        <f t="shared" si="2"/>
        <v/>
      </c>
      <c r="S43" s="7">
        <f>IF($A43="","",IF(AND(LEFT($G43,3)="ДОК",$N43&lt;&gt;""),IFERROR(INDEX(Документация!$E$2:$E$57,MATCH($N43,Документация!$F$2:$F$57,0)),0),N($F43))*(1-MEDIAN(0,N(ДисконтТендер),1)))</f>
        <v>341.73</v>
      </c>
      <c r="T43" s="7">
        <f>IF($A43="","",IF(AND(LEFT($G43,3)="ДОК",$N43&lt;&gt;""),0,IF(AND(LEFT($G43,3)&lt;&gt;"ДОК",$N43&lt;&gt;""),IFERROR(INDEX(МАТЕРИАЛЫ!$H$2:$H$9000,MATCH($N43,МАТЕРИАЛЫ!$L$2:$L$9000,0))*IF(INDEX(МАТЕРИАЛЫ!$I$2:$I$9000,MATCH($N43,МАТЕРИАЛЫ!$L$2:$L$9000,0))="USD",КурсUSD,IF(INDEX(МАТЕРИАЛЫ!$I$2:$I$9000,MATCH($N43,МАТЕРИАЛЫ!$L$2:$L$9000,0))="EUR",КурсEUR,IF(INDEX(МАТЕРИАЛЫ!$I$2:$I$9000,MATCH($N43,МАТЕРИАЛЫ!$L$2:$L$9000,0))="CNY",КурсCNY,1)))*(1+N($H43)/100),0),N($O43))*(1-MEDIAN(0,N(ДисконтТендер),1))))</f>
        <v>0</v>
      </c>
      <c r="U43" t="str">
        <f>IF($L43="да",MAX($U$1:$U42)+1,"")</f>
        <v/>
      </c>
      <c r="V43" t="str">
        <f t="shared" si="3"/>
        <v>Р2</v>
      </c>
      <c r="W43" t="str">
        <f t="shared" si="4"/>
        <v/>
      </c>
      <c r="X43" t="str">
        <f t="shared" si="5"/>
        <v/>
      </c>
      <c r="Y43" s="4" t="str">
        <f>IF($A43="","",IF(AND(LEFT($G43,3)="ДОК",$N43&lt;&gt;""),IFERROR(INDEX(Документация!$G$2:$G$57,MATCH($N43,Документация!$F$2:$F$57,0)),$D43),$D43&amp;IF(AND(LEFT($G43,3)&lt;&gt;"ДОК",$N43&lt;&gt;"")," — "&amp;IFERROR(INDEX(МАТЕРИАЛЫ!$C$2:$C$9000,MATCH($N43,МАТЕРИАЛЫ!$L$2:$L$9000,0)),""),"")))</f>
        <v>Демонтаж двухуровневых потолков из ГКЛ</v>
      </c>
      <c r="Z43" t="str">
        <f t="shared" si="6"/>
        <v>Р2 · Демонтажные работы</v>
      </c>
    </row>
    <row r="44" spans="1:26" x14ac:dyDescent="0.3">
      <c r="A44" t="s">
        <v>142</v>
      </c>
      <c r="B44" t="s">
        <v>134</v>
      </c>
      <c r="C44" t="s">
        <v>50</v>
      </c>
      <c r="D44" s="4" t="s">
        <v>143</v>
      </c>
      <c r="E44" t="s">
        <v>52</v>
      </c>
      <c r="F44" s="5">
        <v>260.13</v>
      </c>
      <c r="H44">
        <v>0</v>
      </c>
      <c r="I44" t="s">
        <v>53</v>
      </c>
      <c r="L44" s="6"/>
      <c r="M44" s="6"/>
      <c r="N44" s="6"/>
      <c r="O44" s="5"/>
      <c r="P44" s="7" t="str">
        <f t="shared" si="0"/>
        <v/>
      </c>
      <c r="Q44" s="7" t="str">
        <f t="shared" si="1"/>
        <v/>
      </c>
      <c r="R44" s="7" t="str">
        <f t="shared" si="2"/>
        <v/>
      </c>
      <c r="S44" s="7">
        <f>IF($A44="","",IF(AND(LEFT($G44,3)="ДОК",$N44&lt;&gt;""),IFERROR(INDEX(Документация!$E$2:$E$57,MATCH($N44,Документация!$F$2:$F$57,0)),0),N($F44))*(1-MEDIAN(0,N(ДисконтТендер),1)))</f>
        <v>260.13</v>
      </c>
      <c r="T44" s="7">
        <f>IF($A44="","",IF(AND(LEFT($G44,3)="ДОК",$N44&lt;&gt;""),0,IF(AND(LEFT($G44,3)&lt;&gt;"ДОК",$N44&lt;&gt;""),IFERROR(INDEX(МАТЕРИАЛЫ!$H$2:$H$9000,MATCH($N44,МАТЕРИАЛЫ!$L$2:$L$9000,0))*IF(INDEX(МАТЕРИАЛЫ!$I$2:$I$9000,MATCH($N44,МАТЕРИАЛЫ!$L$2:$L$9000,0))="USD",КурсUSD,IF(INDEX(МАТЕРИАЛЫ!$I$2:$I$9000,MATCH($N44,МАТЕРИАЛЫ!$L$2:$L$9000,0))="EUR",КурсEUR,IF(INDEX(МАТЕРИАЛЫ!$I$2:$I$9000,MATCH($N44,МАТЕРИАЛЫ!$L$2:$L$9000,0))="CNY",КурсCNY,1)))*(1+N($H44)/100),0),N($O44))*(1-MEDIAN(0,N(ДисконтТендер),1))))</f>
        <v>0</v>
      </c>
      <c r="U44" t="str">
        <f>IF($L44="да",MAX($U$1:$U43)+1,"")</f>
        <v/>
      </c>
      <c r="V44" t="str">
        <f t="shared" si="3"/>
        <v>Р2</v>
      </c>
      <c r="W44" t="str">
        <f t="shared" si="4"/>
        <v/>
      </c>
      <c r="X44" t="str">
        <f t="shared" si="5"/>
        <v/>
      </c>
      <c r="Y44" s="4" t="str">
        <f>IF($A44="","",IF(AND(LEFT($G44,3)="ДОК",$N44&lt;&gt;""),IFERROR(INDEX(Документация!$G$2:$G$57,MATCH($N44,Документация!$F$2:$F$57,0)),$D44),$D44&amp;IF(AND(LEFT($G44,3)&lt;&gt;"ДОК",$N44&lt;&gt;"")," — "&amp;IFERROR(INDEX(МАТЕРИАЛЫ!$C$2:$C$9000,MATCH($N44,МАТЕРИАЛЫ!$L$2:$L$9000,0)),""),"")))</f>
        <v>Демонтаж реечного потолка</v>
      </c>
      <c r="Z44" t="str">
        <f t="shared" si="6"/>
        <v>Р2 · Демонтажные работы</v>
      </c>
    </row>
    <row r="45" spans="1:26" ht="28.8" x14ac:dyDescent="0.3">
      <c r="A45" t="s">
        <v>144</v>
      </c>
      <c r="B45" t="s">
        <v>134</v>
      </c>
      <c r="C45" t="s">
        <v>50</v>
      </c>
      <c r="D45" s="4" t="s">
        <v>145</v>
      </c>
      <c r="E45" t="s">
        <v>52</v>
      </c>
      <c r="F45" s="5">
        <v>276.02</v>
      </c>
      <c r="H45">
        <v>0</v>
      </c>
      <c r="I45" t="s">
        <v>53</v>
      </c>
      <c r="L45" s="6"/>
      <c r="M45" s="6"/>
      <c r="N45" s="6"/>
      <c r="O45" s="5"/>
      <c r="P45" s="7" t="str">
        <f t="shared" si="0"/>
        <v/>
      </c>
      <c r="Q45" s="7" t="str">
        <f t="shared" si="1"/>
        <v/>
      </c>
      <c r="R45" s="7" t="str">
        <f t="shared" si="2"/>
        <v/>
      </c>
      <c r="S45" s="7">
        <f>IF($A45="","",IF(AND(LEFT($G45,3)="ДОК",$N45&lt;&gt;""),IFERROR(INDEX(Документация!$E$2:$E$57,MATCH($N45,Документация!$F$2:$F$57,0)),0),N($F45))*(1-MEDIAN(0,N(ДисконтТендер),1)))</f>
        <v>276.02</v>
      </c>
      <c r="T45" s="7">
        <f>IF($A45="","",IF(AND(LEFT($G45,3)="ДОК",$N45&lt;&gt;""),0,IF(AND(LEFT($G45,3)&lt;&gt;"ДОК",$N45&lt;&gt;""),IFERROR(INDEX(МАТЕРИАЛЫ!$H$2:$H$9000,MATCH($N45,МАТЕРИАЛЫ!$L$2:$L$9000,0))*IF(INDEX(МАТЕРИАЛЫ!$I$2:$I$9000,MATCH($N45,МАТЕРИАЛЫ!$L$2:$L$9000,0))="USD",КурсUSD,IF(INDEX(МАТЕРИАЛЫ!$I$2:$I$9000,MATCH($N45,МАТЕРИАЛЫ!$L$2:$L$9000,0))="EUR",КурсEUR,IF(INDEX(МАТЕРИАЛЫ!$I$2:$I$9000,MATCH($N45,МАТЕРИАЛЫ!$L$2:$L$9000,0))="CNY",КурсCNY,1)))*(1+N($H45)/100),0),N($O45))*(1-MEDIAN(0,N(ДисконтТендер),1))))</f>
        <v>0</v>
      </c>
      <c r="U45" t="str">
        <f>IF($L45="да",MAX($U$1:$U44)+1,"")</f>
        <v/>
      </c>
      <c r="V45" t="str">
        <f t="shared" si="3"/>
        <v>Р2</v>
      </c>
      <c r="W45" t="str">
        <f t="shared" si="4"/>
        <v/>
      </c>
      <c r="X45" t="str">
        <f t="shared" si="5"/>
        <v/>
      </c>
      <c r="Y45" s="4" t="str">
        <f>IF($A45="","",IF(AND(LEFT($G45,3)="ДОК",$N45&lt;&gt;""),IFERROR(INDEX(Документация!$G$2:$G$57,MATCH($N45,Документация!$F$2:$F$57,0)),$D45),$D45&amp;IF(AND(LEFT($G45,3)&lt;&gt;"ДОК",$N45&lt;&gt;"")," — "&amp;IFERROR(INDEX(МАТЕРИАЛЫ!$C$2:$C$9000,MATCH($N45,МАТЕРИАЛЫ!$L$2:$L$9000,0)),""),"")))</f>
        <v>Демонтаж плитки потолочной из экструдированного полистирола.</v>
      </c>
      <c r="Z45" t="str">
        <f t="shared" si="6"/>
        <v>Р2 · Демонтажные работы</v>
      </c>
    </row>
    <row r="46" spans="1:26" x14ac:dyDescent="0.3">
      <c r="A46" t="s">
        <v>146</v>
      </c>
      <c r="B46" t="s">
        <v>134</v>
      </c>
      <c r="C46" t="s">
        <v>50</v>
      </c>
      <c r="D46" s="4" t="s">
        <v>147</v>
      </c>
      <c r="E46" t="s">
        <v>52</v>
      </c>
      <c r="F46" s="5">
        <v>234.9</v>
      </c>
      <c r="H46">
        <v>0</v>
      </c>
      <c r="I46" t="s">
        <v>53</v>
      </c>
      <c r="L46" s="6"/>
      <c r="M46" s="6"/>
      <c r="N46" s="6"/>
      <c r="O46" s="5"/>
      <c r="P46" s="7" t="str">
        <f t="shared" si="0"/>
        <v/>
      </c>
      <c r="Q46" s="7" t="str">
        <f t="shared" si="1"/>
        <v/>
      </c>
      <c r="R46" s="7" t="str">
        <f t="shared" si="2"/>
        <v/>
      </c>
      <c r="S46" s="7">
        <f>IF($A46="","",IF(AND(LEFT($G46,3)="ДОК",$N46&lt;&gt;""),IFERROR(INDEX(Документация!$E$2:$E$57,MATCH($N46,Документация!$F$2:$F$57,0)),0),N($F46))*(1-MEDIAN(0,N(ДисконтТендер),1)))</f>
        <v>234.9</v>
      </c>
      <c r="T46" s="7">
        <f>IF($A46="","",IF(AND(LEFT($G46,3)="ДОК",$N46&lt;&gt;""),0,IF(AND(LEFT($G46,3)&lt;&gt;"ДОК",$N46&lt;&gt;""),IFERROR(INDEX(МАТЕРИАЛЫ!$H$2:$H$9000,MATCH($N46,МАТЕРИАЛЫ!$L$2:$L$9000,0))*IF(INDEX(МАТЕРИАЛЫ!$I$2:$I$9000,MATCH($N46,МАТЕРИАЛЫ!$L$2:$L$9000,0))="USD",КурсUSD,IF(INDEX(МАТЕРИАЛЫ!$I$2:$I$9000,MATCH($N46,МАТЕРИАЛЫ!$L$2:$L$9000,0))="EUR",КурсEUR,IF(INDEX(МАТЕРИАЛЫ!$I$2:$I$9000,MATCH($N46,МАТЕРИАЛЫ!$L$2:$L$9000,0))="CNY",КурсCNY,1)))*(1+N($H46)/100),0),N($O46))*(1-MEDIAN(0,N(ДисконтТендер),1))))</f>
        <v>0</v>
      </c>
      <c r="U46" t="str">
        <f>IF($L46="да",MAX($U$1:$U45)+1,"")</f>
        <v/>
      </c>
      <c r="V46" t="str">
        <f t="shared" si="3"/>
        <v>Р2</v>
      </c>
      <c r="W46" t="str">
        <f t="shared" si="4"/>
        <v/>
      </c>
      <c r="X46" t="str">
        <f t="shared" si="5"/>
        <v/>
      </c>
      <c r="Y46" s="4" t="str">
        <f>IF($A46="","",IF(AND(LEFT($G46,3)="ДОК",$N46&lt;&gt;""),IFERROR(INDEX(Документация!$G$2:$G$57,MATCH($N46,Документация!$F$2:$F$57,0)),$D46),$D46&amp;IF(AND(LEFT($G46,3)&lt;&gt;"ДОК",$N46&lt;&gt;"")," — "&amp;IFERROR(INDEX(МАТЕРИАЛЫ!$C$2:$C$9000,MATCH($N46,МАТЕРИАЛЫ!$L$2:$L$9000,0)),""),"")))</f>
        <v>Демонтаж потолков из ПВХ вагонки</v>
      </c>
      <c r="Z46" t="str">
        <f t="shared" si="6"/>
        <v>Р2 · Демонтажные работы</v>
      </c>
    </row>
    <row r="47" spans="1:26" ht="28.8" x14ac:dyDescent="0.3">
      <c r="A47" t="s">
        <v>148</v>
      </c>
      <c r="B47" t="s">
        <v>134</v>
      </c>
      <c r="C47" t="s">
        <v>50</v>
      </c>
      <c r="D47" s="4" t="s">
        <v>149</v>
      </c>
      <c r="E47" t="s">
        <v>150</v>
      </c>
      <c r="F47" s="5">
        <v>814.32</v>
      </c>
      <c r="H47">
        <v>0</v>
      </c>
      <c r="I47" t="s">
        <v>53</v>
      </c>
      <c r="L47" s="6"/>
      <c r="M47" s="6"/>
      <c r="N47" s="6"/>
      <c r="O47" s="5"/>
      <c r="P47" s="7" t="str">
        <f t="shared" si="0"/>
        <v/>
      </c>
      <c r="Q47" s="7" t="str">
        <f t="shared" si="1"/>
        <v/>
      </c>
      <c r="R47" s="7" t="str">
        <f t="shared" si="2"/>
        <v/>
      </c>
      <c r="S47" s="7">
        <f>IF($A47="","",IF(AND(LEFT($G47,3)="ДОК",$N47&lt;&gt;""),IFERROR(INDEX(Документация!$E$2:$E$57,MATCH($N47,Документация!$F$2:$F$57,0)),0),N($F47))*(1-MEDIAN(0,N(ДисконтТендер),1)))</f>
        <v>814.32</v>
      </c>
      <c r="T47" s="7">
        <f>IF($A47="","",IF(AND(LEFT($G47,3)="ДОК",$N47&lt;&gt;""),0,IF(AND(LEFT($G47,3)&lt;&gt;"ДОК",$N47&lt;&gt;""),IFERROR(INDEX(МАТЕРИАЛЫ!$H$2:$H$9000,MATCH($N47,МАТЕРИАЛЫ!$L$2:$L$9000,0))*IF(INDEX(МАТЕРИАЛЫ!$I$2:$I$9000,MATCH($N47,МАТЕРИАЛЫ!$L$2:$L$9000,0))="USD",КурсUSD,IF(INDEX(МАТЕРИАЛЫ!$I$2:$I$9000,MATCH($N47,МАТЕРИАЛЫ!$L$2:$L$9000,0))="EUR",КурсEUR,IF(INDEX(МАТЕРИАЛЫ!$I$2:$I$9000,MATCH($N47,МАТЕРИАЛЫ!$L$2:$L$9000,0))="CNY",КурсCNY,1)))*(1+N($H47)/100),0),N($O47))*(1-MEDIAN(0,N(ДисконтТендер),1))))</f>
        <v>0</v>
      </c>
      <c r="U47" t="str">
        <f>IF($L47="да",MAX($U$1:$U46)+1,"")</f>
        <v/>
      </c>
      <c r="V47" t="str">
        <f t="shared" si="3"/>
        <v>Р2</v>
      </c>
      <c r="W47" t="str">
        <f t="shared" si="4"/>
        <v/>
      </c>
      <c r="X47" t="str">
        <f t="shared" si="5"/>
        <v/>
      </c>
      <c r="Y47" s="4" t="str">
        <f>IF($A47="","",IF(AND(LEFT($G47,3)="ДОК",$N47&lt;&gt;""),IFERROR(INDEX(Документация!$G$2:$G$57,MATCH($N47,Документация!$F$2:$F$57,0)),$D47),$D47&amp;IF(AND(LEFT($G47,3)&lt;&gt;"ДОК",$N47&lt;&gt;"")," — "&amp;IFERROR(INDEX(МАТЕРИАЛЫ!$C$2:$C$9000,MATCH($N47,МАТЕРИАЛЫ!$L$2:$L$9000,0)),""),"")))</f>
        <v>Демонтаж утеплителя потолков из минераловатных плит</v>
      </c>
      <c r="Z47" t="str">
        <f t="shared" si="6"/>
        <v>Р2 · Демонтажные работы</v>
      </c>
    </row>
    <row r="48" spans="1:26" ht="28.8" x14ac:dyDescent="0.3">
      <c r="A48" t="s">
        <v>151</v>
      </c>
      <c r="B48" t="s">
        <v>134</v>
      </c>
      <c r="C48" t="s">
        <v>50</v>
      </c>
      <c r="D48" s="4" t="s">
        <v>152</v>
      </c>
      <c r="E48" t="s">
        <v>153</v>
      </c>
      <c r="F48" s="5">
        <v>78.3</v>
      </c>
      <c r="H48">
        <v>0</v>
      </c>
      <c r="I48" t="s">
        <v>53</v>
      </c>
      <c r="L48" s="6"/>
      <c r="M48" s="6"/>
      <c r="N48" s="6"/>
      <c r="O48" s="5"/>
      <c r="P48" s="7" t="str">
        <f t="shared" si="0"/>
        <v/>
      </c>
      <c r="Q48" s="7" t="str">
        <f t="shared" si="1"/>
        <v/>
      </c>
      <c r="R48" s="7" t="str">
        <f t="shared" si="2"/>
        <v/>
      </c>
      <c r="S48" s="7">
        <f>IF($A48="","",IF(AND(LEFT($G48,3)="ДОК",$N48&lt;&gt;""),IFERROR(INDEX(Документация!$E$2:$E$57,MATCH($N48,Документация!$F$2:$F$57,0)),0),N($F48))*(1-MEDIAN(0,N(ДисконтТендер),1)))</f>
        <v>78.3</v>
      </c>
      <c r="T48" s="7">
        <f>IF($A48="","",IF(AND(LEFT($G48,3)="ДОК",$N48&lt;&gt;""),0,IF(AND(LEFT($G48,3)&lt;&gt;"ДОК",$N48&lt;&gt;""),IFERROR(INDEX(МАТЕРИАЛЫ!$H$2:$H$9000,MATCH($N48,МАТЕРИАЛЫ!$L$2:$L$9000,0))*IF(INDEX(МАТЕРИАЛЫ!$I$2:$I$9000,MATCH($N48,МАТЕРИАЛЫ!$L$2:$L$9000,0))="USD",КурсUSD,IF(INDEX(МАТЕРИАЛЫ!$I$2:$I$9000,MATCH($N48,МАТЕРИАЛЫ!$L$2:$L$9000,0))="EUR",КурсEUR,IF(INDEX(МАТЕРИАЛЫ!$I$2:$I$9000,MATCH($N48,МАТЕРИАЛЫ!$L$2:$L$9000,0))="CNY",КурсCNY,1)))*(1+N($H48)/100),0),N($O48))*(1-MEDIAN(0,N(ДисконтТендер),1))))</f>
        <v>0</v>
      </c>
      <c r="U48" t="str">
        <f>IF($L48="да",MAX($U$1:$U47)+1,"")</f>
        <v/>
      </c>
      <c r="V48" t="str">
        <f t="shared" si="3"/>
        <v>Р2</v>
      </c>
      <c r="W48" t="str">
        <f t="shared" si="4"/>
        <v/>
      </c>
      <c r="X48" t="str">
        <f t="shared" si="5"/>
        <v/>
      </c>
      <c r="Y48" s="4" t="str">
        <f>IF($A48="","",IF(AND(LEFT($G48,3)="ДОК",$N48&lt;&gt;""),IFERROR(INDEX(Документация!$G$2:$G$57,MATCH($N48,Документация!$F$2:$F$57,0)),$D48),$D48&amp;IF(AND(LEFT($G48,3)&lt;&gt;"ДОК",$N48&lt;&gt;"")," — "&amp;IFERROR(INDEX(МАТЕРИАЛЫ!$C$2:$C$9000,MATCH($N48,МАТЕРИАЛЫ!$L$2:$L$9000,0)),""),"")))</f>
        <v>Демонтаж потолочного плинтуса, карниза, элементов декора.</v>
      </c>
      <c r="Z48" t="str">
        <f t="shared" si="6"/>
        <v>Р2 · Демонтажные работы</v>
      </c>
    </row>
    <row r="49" spans="1:26" ht="28.8" x14ac:dyDescent="0.3">
      <c r="A49" t="s">
        <v>154</v>
      </c>
      <c r="B49" t="s">
        <v>134</v>
      </c>
      <c r="C49" t="s">
        <v>50</v>
      </c>
      <c r="D49" s="4" t="s">
        <v>155</v>
      </c>
      <c r="E49" t="s">
        <v>153</v>
      </c>
      <c r="F49" s="5">
        <v>134.19999999999999</v>
      </c>
      <c r="H49">
        <v>0</v>
      </c>
      <c r="I49" t="s">
        <v>53</v>
      </c>
      <c r="L49" s="6"/>
      <c r="M49" s="6"/>
      <c r="N49" s="6"/>
      <c r="O49" s="5"/>
      <c r="P49" s="7" t="str">
        <f t="shared" si="0"/>
        <v/>
      </c>
      <c r="Q49" s="7" t="str">
        <f t="shared" si="1"/>
        <v/>
      </c>
      <c r="R49" s="7" t="str">
        <f t="shared" si="2"/>
        <v/>
      </c>
      <c r="S49" s="7">
        <f>IF($A49="","",IF(AND(LEFT($G49,3)="ДОК",$N49&lt;&gt;""),IFERROR(INDEX(Документация!$E$2:$E$57,MATCH($N49,Документация!$F$2:$F$57,0)),0),N($F49))*(1-MEDIAN(0,N(ДисконтТендер),1)))</f>
        <v>134.19999999999999</v>
      </c>
      <c r="T49" s="7">
        <f>IF($A49="","",IF(AND(LEFT($G49,3)="ДОК",$N49&lt;&gt;""),0,IF(AND(LEFT($G49,3)&lt;&gt;"ДОК",$N49&lt;&gt;""),IFERROR(INDEX(МАТЕРИАЛЫ!$H$2:$H$9000,MATCH($N49,МАТЕРИАЛЫ!$L$2:$L$9000,0))*IF(INDEX(МАТЕРИАЛЫ!$I$2:$I$9000,MATCH($N49,МАТЕРИАЛЫ!$L$2:$L$9000,0))="USD",КурсUSD,IF(INDEX(МАТЕРИАЛЫ!$I$2:$I$9000,MATCH($N49,МАТЕРИАЛЫ!$L$2:$L$9000,0))="EUR",КурсEUR,IF(INDEX(МАТЕРИАЛЫ!$I$2:$I$9000,MATCH($N49,МАТЕРИАЛЫ!$L$2:$L$9000,0))="CNY",КурсCNY,1)))*(1+N($H49)/100),0),N($O49))*(1-MEDIAN(0,N(ДисконтТендер),1))))</f>
        <v>0</v>
      </c>
      <c r="U49" t="str">
        <f>IF($L49="да",MAX($U$1:$U48)+1,"")</f>
        <v/>
      </c>
      <c r="V49" t="str">
        <f t="shared" si="3"/>
        <v>Р2</v>
      </c>
      <c r="W49" t="str">
        <f t="shared" si="4"/>
        <v/>
      </c>
      <c r="X49" t="str">
        <f t="shared" si="5"/>
        <v/>
      </c>
      <c r="Y49" s="4" t="str">
        <f>IF($A49="","",IF(AND(LEFT($G49,3)="ДОК",$N49&lt;&gt;""),IFERROR(INDEX(Документация!$G$2:$G$57,MATCH($N49,Документация!$F$2:$F$57,0)),$D49),$D49&amp;IF(AND(LEFT($G49,3)&lt;&gt;"ДОК",$N49&lt;&gt;"")," — "&amp;IFERROR(INDEX(МАТЕРИАЛЫ!$C$2:$C$9000,MATCH($N49,МАТЕРИАЛЫ!$L$2:$L$9000,0)),""),"")))</f>
        <v>Демонтаж потолочного плинтуса, карниза, элементов декора с сохранением.</v>
      </c>
      <c r="Z49" t="str">
        <f t="shared" si="6"/>
        <v>Р2 · Демонтажные работы</v>
      </c>
    </row>
    <row r="50" spans="1:26" x14ac:dyDescent="0.3">
      <c r="A50" t="s">
        <v>156</v>
      </c>
      <c r="B50" t="s">
        <v>134</v>
      </c>
      <c r="C50" t="s">
        <v>50</v>
      </c>
      <c r="D50" s="4" t="s">
        <v>157</v>
      </c>
      <c r="E50" t="s">
        <v>52</v>
      </c>
      <c r="F50" s="5">
        <v>157.72</v>
      </c>
      <c r="H50">
        <v>0</v>
      </c>
      <c r="I50" t="s">
        <v>53</v>
      </c>
      <c r="L50" s="6"/>
      <c r="M50" s="6"/>
      <c r="N50" s="6"/>
      <c r="O50" s="5"/>
      <c r="P50" s="7" t="str">
        <f t="shared" si="0"/>
        <v/>
      </c>
      <c r="Q50" s="7" t="str">
        <f t="shared" si="1"/>
        <v/>
      </c>
      <c r="R50" s="7" t="str">
        <f t="shared" si="2"/>
        <v/>
      </c>
      <c r="S50" s="7">
        <f>IF($A50="","",IF(AND(LEFT($G50,3)="ДОК",$N50&lt;&gt;""),IFERROR(INDEX(Документация!$E$2:$E$57,MATCH($N50,Документация!$F$2:$F$57,0)),0),N($F50))*(1-MEDIAN(0,N(ДисконтТендер),1)))</f>
        <v>157.72</v>
      </c>
      <c r="T50" s="7">
        <f>IF($A50="","",IF(AND(LEFT($G50,3)="ДОК",$N50&lt;&gt;""),0,IF(AND(LEFT($G50,3)&lt;&gt;"ДОК",$N50&lt;&gt;""),IFERROR(INDEX(МАТЕРИАЛЫ!$H$2:$H$9000,MATCH($N50,МАТЕРИАЛЫ!$L$2:$L$9000,0))*IF(INDEX(МАТЕРИАЛЫ!$I$2:$I$9000,MATCH($N50,МАТЕРИАЛЫ!$L$2:$L$9000,0))="USD",КурсUSD,IF(INDEX(МАТЕРИАЛЫ!$I$2:$I$9000,MATCH($N50,МАТЕРИАЛЫ!$L$2:$L$9000,0))="EUR",КурсEUR,IF(INDEX(МАТЕРИАЛЫ!$I$2:$I$9000,MATCH($N50,МАТЕРИАЛЫ!$L$2:$L$9000,0))="CNY",КурсCNY,1)))*(1+N($H50)/100),0),N($O50))*(1-MEDIAN(0,N(ДисконтТендер),1))))</f>
        <v>0</v>
      </c>
      <c r="U50" t="str">
        <f>IF($L50="да",MAX($U$1:$U49)+1,"")</f>
        <v/>
      </c>
      <c r="V50" t="str">
        <f t="shared" si="3"/>
        <v>Р2</v>
      </c>
      <c r="W50" t="str">
        <f t="shared" si="4"/>
        <v/>
      </c>
      <c r="X50" t="str">
        <f t="shared" si="5"/>
        <v/>
      </c>
      <c r="Y50" s="4" t="str">
        <f>IF($A50="","",IF(AND(LEFT($G50,3)="ДОК",$N50&lt;&gt;""),IFERROR(INDEX(Документация!$G$2:$G$57,MATCH($N50,Документация!$F$2:$F$57,0)),$D50),$D50&amp;IF(AND(LEFT($G50,3)&lt;&gt;"ДОК",$N50&lt;&gt;"")," — "&amp;IFERROR(INDEX(МАТЕРИАЛЫ!$C$2:$C$9000,MATCH($N50,МАТЕРИАЛЫ!$L$2:$L$9000,0)),""),"")))</f>
        <v>Демонтаж натяжных потолков</v>
      </c>
      <c r="Z50" t="str">
        <f t="shared" si="6"/>
        <v>Р2 · Демонтажные работы</v>
      </c>
    </row>
    <row r="51" spans="1:26" ht="28.8" x14ac:dyDescent="0.3">
      <c r="A51" t="s">
        <v>158</v>
      </c>
      <c r="B51" t="s">
        <v>134</v>
      </c>
      <c r="C51" t="s">
        <v>50</v>
      </c>
      <c r="D51" s="4" t="s">
        <v>159</v>
      </c>
      <c r="E51" t="s">
        <v>52</v>
      </c>
      <c r="F51" s="5">
        <v>281.88</v>
      </c>
      <c r="H51">
        <v>0</v>
      </c>
      <c r="I51" t="s">
        <v>53</v>
      </c>
      <c r="L51" s="6"/>
      <c r="M51" s="6"/>
      <c r="N51" s="6"/>
      <c r="O51" s="5"/>
      <c r="P51" s="7" t="str">
        <f t="shared" si="0"/>
        <v/>
      </c>
      <c r="Q51" s="7" t="str">
        <f t="shared" si="1"/>
        <v/>
      </c>
      <c r="R51" s="7" t="str">
        <f t="shared" si="2"/>
        <v/>
      </c>
      <c r="S51" s="7">
        <f>IF($A51="","",IF(AND(LEFT($G51,3)="ДОК",$N51&lt;&gt;""),IFERROR(INDEX(Документация!$E$2:$E$57,MATCH($N51,Документация!$F$2:$F$57,0)),0),N($F51))*(1-MEDIAN(0,N(ДисконтТендер),1)))</f>
        <v>281.88</v>
      </c>
      <c r="T51" s="7">
        <f>IF($A51="","",IF(AND(LEFT($G51,3)="ДОК",$N51&lt;&gt;""),0,IF(AND(LEFT($G51,3)&lt;&gt;"ДОК",$N51&lt;&gt;""),IFERROR(INDEX(МАТЕРИАЛЫ!$H$2:$H$9000,MATCH($N51,МАТЕРИАЛЫ!$L$2:$L$9000,0))*IF(INDEX(МАТЕРИАЛЫ!$I$2:$I$9000,MATCH($N51,МАТЕРИАЛЫ!$L$2:$L$9000,0))="USD",КурсUSD,IF(INDEX(МАТЕРИАЛЫ!$I$2:$I$9000,MATCH($N51,МАТЕРИАЛЫ!$L$2:$L$9000,0))="EUR",КурсEUR,IF(INDEX(МАТЕРИАЛЫ!$I$2:$I$9000,MATCH($N51,МАТЕРИАЛЫ!$L$2:$L$9000,0))="CNY",КурсCNY,1)))*(1+N($H51)/100),0),N($O51))*(1-MEDIAN(0,N(ДисконтТендер),1))))</f>
        <v>0</v>
      </c>
      <c r="U51" t="str">
        <f>IF($L51="да",MAX($U$1:$U50)+1,"")</f>
        <v/>
      </c>
      <c r="V51" t="str">
        <f t="shared" si="3"/>
        <v>Р2</v>
      </c>
      <c r="W51" t="str">
        <f t="shared" si="4"/>
        <v/>
      </c>
      <c r="X51" t="str">
        <f t="shared" si="5"/>
        <v/>
      </c>
      <c r="Y51" s="4" t="str">
        <f>IF($A51="","",IF(AND(LEFT($G51,3)="ДОК",$N51&lt;&gt;""),IFERROR(INDEX(Документация!$G$2:$G$57,MATCH($N51,Документация!$F$2:$F$57,0)),$D51),$D51&amp;IF(AND(LEFT($G51,3)&lt;&gt;"ДОК",$N51&lt;&gt;"")," — "&amp;IFERROR(INDEX(МАТЕРИАЛЫ!$C$2:$C$9000,MATCH($N51,МАТЕРИАЛЫ!$L$2:$L$9000,0)),""),"")))</f>
        <v>Демонтаж щтукатурки потолка толщиной до 50 мм.</v>
      </c>
      <c r="Z51" t="str">
        <f t="shared" si="6"/>
        <v>Р2 · Демонтажные работы</v>
      </c>
    </row>
    <row r="52" spans="1:26" ht="28.8" x14ac:dyDescent="0.3">
      <c r="A52" t="s">
        <v>160</v>
      </c>
      <c r="B52" t="s">
        <v>134</v>
      </c>
      <c r="C52" t="s">
        <v>161</v>
      </c>
      <c r="D52" s="4" t="s">
        <v>162</v>
      </c>
      <c r="E52" t="s">
        <v>52</v>
      </c>
      <c r="F52" s="5">
        <v>232.64</v>
      </c>
      <c r="H52">
        <v>0</v>
      </c>
      <c r="I52" t="s">
        <v>53</v>
      </c>
      <c r="L52" s="6"/>
      <c r="M52" s="6"/>
      <c r="N52" s="6"/>
      <c r="O52" s="5"/>
      <c r="P52" s="7" t="str">
        <f t="shared" si="0"/>
        <v/>
      </c>
      <c r="Q52" s="7" t="str">
        <f t="shared" si="1"/>
        <v/>
      </c>
      <c r="R52" s="7" t="str">
        <f t="shared" si="2"/>
        <v/>
      </c>
      <c r="S52" s="7">
        <f>IF($A52="","",IF(AND(LEFT($G52,3)="ДОК",$N52&lt;&gt;""),IFERROR(INDEX(Документация!$E$2:$E$57,MATCH($N52,Документация!$F$2:$F$57,0)),0),N($F52))*(1-MEDIAN(0,N(ДисконтТендер),1)))</f>
        <v>232.64</v>
      </c>
      <c r="T52" s="7">
        <f>IF($A52="","",IF(AND(LEFT($G52,3)="ДОК",$N52&lt;&gt;""),0,IF(AND(LEFT($G52,3)&lt;&gt;"ДОК",$N52&lt;&gt;""),IFERROR(INDEX(МАТЕРИАЛЫ!$H$2:$H$9000,MATCH($N52,МАТЕРИАЛЫ!$L$2:$L$9000,0))*IF(INDEX(МАТЕРИАЛЫ!$I$2:$I$9000,MATCH($N52,МАТЕРИАЛЫ!$L$2:$L$9000,0))="USD",КурсUSD,IF(INDEX(МАТЕРИАЛЫ!$I$2:$I$9000,MATCH($N52,МАТЕРИАЛЫ!$L$2:$L$9000,0))="EUR",КурсEUR,IF(INDEX(МАТЕРИАЛЫ!$I$2:$I$9000,MATCH($N52,МАТЕРИАЛЫ!$L$2:$L$9000,0))="CNY",КурсCNY,1)))*(1+N($H52)/100),0),N($O52))*(1-MEDIAN(0,N(ДисконтТендер),1))))</f>
        <v>0</v>
      </c>
      <c r="U52" t="str">
        <f>IF($L52="да",MAX($U$1:$U51)+1,"")</f>
        <v/>
      </c>
      <c r="V52" t="str">
        <f t="shared" si="3"/>
        <v>Р2</v>
      </c>
      <c r="W52" t="str">
        <f t="shared" si="4"/>
        <v/>
      </c>
      <c r="X52" t="str">
        <f t="shared" si="5"/>
        <v/>
      </c>
      <c r="Y52" s="4" t="str">
        <f>IF($A52="","",IF(AND(LEFT($G52,3)="ДОК",$N52&lt;&gt;""),IFERROR(INDEX(Документация!$G$2:$G$57,MATCH($N52,Документация!$F$2:$F$57,0)),$D52),$D52&amp;IF(AND(LEFT($G52,3)&lt;&gt;"ДОК",$N52&lt;&gt;"")," — "&amp;IFERROR(INDEX(МАТЕРИАЛЫ!$C$2:$C$9000,MATCH($N52,МАТЕРИАЛЫ!$L$2:$L$9000,0)),""),"")))</f>
        <v>Демонтаж цементно-песчаной стяжки толщиной до 50 мм</v>
      </c>
      <c r="Z52" t="str">
        <f t="shared" si="6"/>
        <v>Р2 · Демонтажные работы</v>
      </c>
    </row>
    <row r="53" spans="1:26" ht="28.8" x14ac:dyDescent="0.3">
      <c r="A53" t="s">
        <v>163</v>
      </c>
      <c r="B53" t="s">
        <v>134</v>
      </c>
      <c r="C53" t="s">
        <v>161</v>
      </c>
      <c r="D53" s="4" t="s">
        <v>164</v>
      </c>
      <c r="E53" t="s">
        <v>52</v>
      </c>
      <c r="F53" s="5">
        <v>319.39</v>
      </c>
      <c r="H53">
        <v>0</v>
      </c>
      <c r="I53" t="s">
        <v>53</v>
      </c>
      <c r="L53" s="6"/>
      <c r="M53" s="6"/>
      <c r="N53" s="6"/>
      <c r="O53" s="5"/>
      <c r="P53" s="7" t="str">
        <f t="shared" si="0"/>
        <v/>
      </c>
      <c r="Q53" s="7" t="str">
        <f t="shared" si="1"/>
        <v/>
      </c>
      <c r="R53" s="7" t="str">
        <f t="shared" si="2"/>
        <v/>
      </c>
      <c r="S53" s="7">
        <f>IF($A53="","",IF(AND(LEFT($G53,3)="ДОК",$N53&lt;&gt;""),IFERROR(INDEX(Документация!$E$2:$E$57,MATCH($N53,Документация!$F$2:$F$57,0)),0),N($F53))*(1-MEDIAN(0,N(ДисконтТендер),1)))</f>
        <v>319.39</v>
      </c>
      <c r="T53" s="7">
        <f>IF($A53="","",IF(AND(LEFT($G53,3)="ДОК",$N53&lt;&gt;""),0,IF(AND(LEFT($G53,3)&lt;&gt;"ДОК",$N53&lt;&gt;""),IFERROR(INDEX(МАТЕРИАЛЫ!$H$2:$H$9000,MATCH($N53,МАТЕРИАЛЫ!$L$2:$L$9000,0))*IF(INDEX(МАТЕРИАЛЫ!$I$2:$I$9000,MATCH($N53,МАТЕРИАЛЫ!$L$2:$L$9000,0))="USD",КурсUSD,IF(INDEX(МАТЕРИАЛЫ!$I$2:$I$9000,MATCH($N53,МАТЕРИАЛЫ!$L$2:$L$9000,0))="EUR",КурсEUR,IF(INDEX(МАТЕРИАЛЫ!$I$2:$I$9000,MATCH($N53,МАТЕРИАЛЫ!$L$2:$L$9000,0))="CNY",КурсCNY,1)))*(1+N($H53)/100),0),N($O53))*(1-MEDIAN(0,N(ДисконтТендер),1))))</f>
        <v>0</v>
      </c>
      <c r="U53" t="str">
        <f>IF($L53="да",MAX($U$1:$U52)+1,"")</f>
        <v/>
      </c>
      <c r="V53" t="str">
        <f t="shared" si="3"/>
        <v>Р2</v>
      </c>
      <c r="W53" t="str">
        <f t="shared" si="4"/>
        <v/>
      </c>
      <c r="X53" t="str">
        <f t="shared" si="5"/>
        <v/>
      </c>
      <c r="Y53" s="4" t="str">
        <f>IF($A53="","",IF(AND(LEFT($G53,3)="ДОК",$N53&lt;&gt;""),IFERROR(INDEX(Документация!$G$2:$G$57,MATCH($N53,Документация!$F$2:$F$57,0)),$D53),$D53&amp;IF(AND(LEFT($G53,3)&lt;&gt;"ДОК",$N53&lt;&gt;"")," — "&amp;IFERROR(INDEX(МАТЕРИАЛЫ!$C$2:$C$9000,MATCH($N53,МАТЕРИАЛЫ!$L$2:$L$9000,0)),""),"")))</f>
        <v>Демонтаж цементно-песчаной стяжки толщиной до 100 мм</v>
      </c>
      <c r="Z53" t="str">
        <f t="shared" si="6"/>
        <v>Р2 · Демонтажные работы</v>
      </c>
    </row>
    <row r="54" spans="1:26" ht="28.8" x14ac:dyDescent="0.3">
      <c r="A54" t="s">
        <v>165</v>
      </c>
      <c r="B54" t="s">
        <v>134</v>
      </c>
      <c r="C54" t="s">
        <v>161</v>
      </c>
      <c r="D54" s="4" t="s">
        <v>166</v>
      </c>
      <c r="E54" t="s">
        <v>52</v>
      </c>
      <c r="F54" s="5">
        <v>272.8</v>
      </c>
      <c r="H54">
        <v>0</v>
      </c>
      <c r="I54" t="s">
        <v>53</v>
      </c>
      <c r="L54" s="6"/>
      <c r="M54" s="6"/>
      <c r="N54" s="6"/>
      <c r="O54" s="5"/>
      <c r="P54" s="7" t="str">
        <f t="shared" si="0"/>
        <v/>
      </c>
      <c r="Q54" s="7" t="str">
        <f t="shared" si="1"/>
        <v/>
      </c>
      <c r="R54" s="7" t="str">
        <f t="shared" si="2"/>
        <v/>
      </c>
      <c r="S54" s="7">
        <f>IF($A54="","",IF(AND(LEFT($G54,3)="ДОК",$N54&lt;&gt;""),IFERROR(INDEX(Документация!$E$2:$E$57,MATCH($N54,Документация!$F$2:$F$57,0)),0),N($F54))*(1-MEDIAN(0,N(ДисконтТендер),1)))</f>
        <v>272.8</v>
      </c>
      <c r="T54" s="7">
        <f>IF($A54="","",IF(AND(LEFT($G54,3)="ДОК",$N54&lt;&gt;""),0,IF(AND(LEFT($G54,3)&lt;&gt;"ДОК",$N54&lt;&gt;""),IFERROR(INDEX(МАТЕРИАЛЫ!$H$2:$H$9000,MATCH($N54,МАТЕРИАЛЫ!$L$2:$L$9000,0))*IF(INDEX(МАТЕРИАЛЫ!$I$2:$I$9000,MATCH($N54,МАТЕРИАЛЫ!$L$2:$L$9000,0))="USD",КурсUSD,IF(INDEX(МАТЕРИАЛЫ!$I$2:$I$9000,MATCH($N54,МАТЕРИАЛЫ!$L$2:$L$9000,0))="EUR",КурсEUR,IF(INDEX(МАТЕРИАЛЫ!$I$2:$I$9000,MATCH($N54,МАТЕРИАЛЫ!$L$2:$L$9000,0))="CNY",КурсCNY,1)))*(1+N($H54)/100),0),N($O54))*(1-MEDIAN(0,N(ДисконтТендер),1))))</f>
        <v>0</v>
      </c>
      <c r="U54" t="str">
        <f>IF($L54="да",MAX($U$1:$U53)+1,"")</f>
        <v/>
      </c>
      <c r="V54" t="str">
        <f t="shared" si="3"/>
        <v>Р2</v>
      </c>
      <c r="W54" t="str">
        <f t="shared" si="4"/>
        <v/>
      </c>
      <c r="X54" t="str">
        <f t="shared" si="5"/>
        <v/>
      </c>
      <c r="Y54" s="4" t="str">
        <f>IF($A54="","",IF(AND(LEFT($G54,3)="ДОК",$N54&lt;&gt;""),IFERROR(INDEX(Документация!$G$2:$G$57,MATCH($N54,Документация!$F$2:$F$57,0)),$D54),$D54&amp;IF(AND(LEFT($G54,3)&lt;&gt;"ДОК",$N54&lt;&gt;"")," — "&amp;IFERROR(INDEX(МАТЕРИАЛЫ!$C$2:$C$9000,MATCH($N54,МАТЕРИАЛЫ!$L$2:$L$9000,0)),""),"")))</f>
        <v>Демонтаж цементно-песчаной стяжки армированной толщиной до 50 мм</v>
      </c>
      <c r="Z54" t="str">
        <f t="shared" si="6"/>
        <v>Р2 · Демонтажные работы</v>
      </c>
    </row>
    <row r="55" spans="1:26" ht="28.8" x14ac:dyDescent="0.3">
      <c r="A55" t="s">
        <v>167</v>
      </c>
      <c r="B55" t="s">
        <v>134</v>
      </c>
      <c r="C55" t="s">
        <v>161</v>
      </c>
      <c r="D55" s="4" t="s">
        <v>168</v>
      </c>
      <c r="E55" t="s">
        <v>52</v>
      </c>
      <c r="F55" s="5">
        <v>391.5</v>
      </c>
      <c r="H55">
        <v>0</v>
      </c>
      <c r="I55" t="s">
        <v>53</v>
      </c>
      <c r="L55" s="6"/>
      <c r="M55" s="6"/>
      <c r="N55" s="6"/>
      <c r="O55" s="5"/>
      <c r="P55" s="7" t="str">
        <f t="shared" si="0"/>
        <v/>
      </c>
      <c r="Q55" s="7" t="str">
        <f t="shared" si="1"/>
        <v/>
      </c>
      <c r="R55" s="7" t="str">
        <f t="shared" si="2"/>
        <v/>
      </c>
      <c r="S55" s="7">
        <f>IF($A55="","",IF(AND(LEFT($G55,3)="ДОК",$N55&lt;&gt;""),IFERROR(INDEX(Документация!$E$2:$E$57,MATCH($N55,Документация!$F$2:$F$57,0)),0),N($F55))*(1-MEDIAN(0,N(ДисконтТендер),1)))</f>
        <v>391.5</v>
      </c>
      <c r="T55" s="7">
        <f>IF($A55="","",IF(AND(LEFT($G55,3)="ДОК",$N55&lt;&gt;""),0,IF(AND(LEFT($G55,3)&lt;&gt;"ДОК",$N55&lt;&gt;""),IFERROR(INDEX(МАТЕРИАЛЫ!$H$2:$H$9000,MATCH($N55,МАТЕРИАЛЫ!$L$2:$L$9000,0))*IF(INDEX(МАТЕРИАЛЫ!$I$2:$I$9000,MATCH($N55,МАТЕРИАЛЫ!$L$2:$L$9000,0))="USD",КурсUSD,IF(INDEX(МАТЕРИАЛЫ!$I$2:$I$9000,MATCH($N55,МАТЕРИАЛЫ!$L$2:$L$9000,0))="EUR",КурсEUR,IF(INDEX(МАТЕРИАЛЫ!$I$2:$I$9000,MATCH($N55,МАТЕРИАЛЫ!$L$2:$L$9000,0))="CNY",КурсCNY,1)))*(1+N($H55)/100),0),N($O55))*(1-MEDIAN(0,N(ДисконтТендер),1))))</f>
        <v>0</v>
      </c>
      <c r="U55" t="str">
        <f>IF($L55="да",MAX($U$1:$U54)+1,"")</f>
        <v/>
      </c>
      <c r="V55" t="str">
        <f t="shared" si="3"/>
        <v>Р2</v>
      </c>
      <c r="W55" t="str">
        <f t="shared" si="4"/>
        <v/>
      </c>
      <c r="X55" t="str">
        <f t="shared" si="5"/>
        <v/>
      </c>
      <c r="Y55" s="4" t="str">
        <f>IF($A55="","",IF(AND(LEFT($G55,3)="ДОК",$N55&lt;&gt;""),IFERROR(INDEX(Документация!$G$2:$G$57,MATCH($N55,Документация!$F$2:$F$57,0)),$D55),$D55&amp;IF(AND(LEFT($G55,3)&lt;&gt;"ДОК",$N55&lt;&gt;"")," — "&amp;IFERROR(INDEX(МАТЕРИАЛЫ!$C$2:$C$9000,MATCH($N55,МАТЕРИАЛЫ!$L$2:$L$9000,0)),""),"")))</f>
        <v>Демонтаж цементно-песчаной стяжки армированной толщиной до 100 мм</v>
      </c>
      <c r="Z55" t="str">
        <f t="shared" si="6"/>
        <v>Р2 · Демонтажные работы</v>
      </c>
    </row>
    <row r="56" spans="1:26" ht="28.8" x14ac:dyDescent="0.3">
      <c r="A56" t="s">
        <v>169</v>
      </c>
      <c r="B56" t="s">
        <v>134</v>
      </c>
      <c r="C56" t="s">
        <v>161</v>
      </c>
      <c r="D56" s="4" t="s">
        <v>170</v>
      </c>
      <c r="E56" t="s">
        <v>52</v>
      </c>
      <c r="F56" s="5">
        <v>376.67</v>
      </c>
      <c r="H56">
        <v>0</v>
      </c>
      <c r="I56" t="s">
        <v>53</v>
      </c>
      <c r="L56" s="6"/>
      <c r="M56" s="6"/>
      <c r="N56" s="6"/>
      <c r="O56" s="5"/>
      <c r="P56" s="7" t="str">
        <f t="shared" si="0"/>
        <v/>
      </c>
      <c r="Q56" s="7" t="str">
        <f t="shared" si="1"/>
        <v/>
      </c>
      <c r="R56" s="7" t="str">
        <f t="shared" si="2"/>
        <v/>
      </c>
      <c r="S56" s="7">
        <f>IF($A56="","",IF(AND(LEFT($G56,3)="ДОК",$N56&lt;&gt;""),IFERROR(INDEX(Документация!$E$2:$E$57,MATCH($N56,Документация!$F$2:$F$57,0)),0),N($F56))*(1-MEDIAN(0,N(ДисконтТендер),1)))</f>
        <v>376.67</v>
      </c>
      <c r="T56" s="7">
        <f>IF($A56="","",IF(AND(LEFT($G56,3)="ДОК",$N56&lt;&gt;""),0,IF(AND(LEFT($G56,3)&lt;&gt;"ДОК",$N56&lt;&gt;""),IFERROR(INDEX(МАТЕРИАЛЫ!$H$2:$H$9000,MATCH($N56,МАТЕРИАЛЫ!$L$2:$L$9000,0))*IF(INDEX(МАТЕРИАЛЫ!$I$2:$I$9000,MATCH($N56,МАТЕРИАЛЫ!$L$2:$L$9000,0))="USD",КурсUSD,IF(INDEX(МАТЕРИАЛЫ!$I$2:$I$9000,MATCH($N56,МАТЕРИАЛЫ!$L$2:$L$9000,0))="EUR",КурсEUR,IF(INDEX(МАТЕРИАЛЫ!$I$2:$I$9000,MATCH($N56,МАТЕРИАЛЫ!$L$2:$L$9000,0))="CNY",КурсCNY,1)))*(1+N($H56)/100),0),N($O56))*(1-MEDIAN(0,N(ДисконтТендер),1))))</f>
        <v>0</v>
      </c>
      <c r="U56" t="str">
        <f>IF($L56="да",MAX($U$1:$U55)+1,"")</f>
        <v/>
      </c>
      <c r="V56" t="str">
        <f t="shared" si="3"/>
        <v>Р2</v>
      </c>
      <c r="W56" t="str">
        <f t="shared" si="4"/>
        <v/>
      </c>
      <c r="X56" t="str">
        <f t="shared" si="5"/>
        <v/>
      </c>
      <c r="Y56" s="4" t="str">
        <f>IF($A56="","",IF(AND(LEFT($G56,3)="ДОК",$N56&lt;&gt;""),IFERROR(INDEX(Документация!$G$2:$G$57,MATCH($N56,Документация!$F$2:$F$57,0)),$D56),$D56&amp;IF(AND(LEFT($G56,3)&lt;&gt;"ДОК",$N56&lt;&gt;"")," — "&amp;IFERROR(INDEX(МАТЕРИАЛЫ!$C$2:$C$9000,MATCH($N56,МАТЕРИАЛЫ!$L$2:$L$9000,0)),""),"")))</f>
        <v>Демонтаж полов из гранитных и мраморных плит толщиной 30 мм</v>
      </c>
      <c r="Z56" t="str">
        <f t="shared" si="6"/>
        <v>Р2 · Демонтажные работы</v>
      </c>
    </row>
    <row r="57" spans="1:26" ht="28.8" x14ac:dyDescent="0.3">
      <c r="A57" t="s">
        <v>171</v>
      </c>
      <c r="B57" t="s">
        <v>134</v>
      </c>
      <c r="C57" t="s">
        <v>161</v>
      </c>
      <c r="D57" s="4" t="s">
        <v>172</v>
      </c>
      <c r="E57" t="s">
        <v>52</v>
      </c>
      <c r="F57" s="5">
        <v>501.12</v>
      </c>
      <c r="H57">
        <v>0</v>
      </c>
      <c r="I57" t="s">
        <v>53</v>
      </c>
      <c r="L57" s="6"/>
      <c r="M57" s="6"/>
      <c r="N57" s="6"/>
      <c r="O57" s="5"/>
      <c r="P57" s="7" t="str">
        <f t="shared" si="0"/>
        <v/>
      </c>
      <c r="Q57" s="7" t="str">
        <f t="shared" si="1"/>
        <v/>
      </c>
      <c r="R57" s="7" t="str">
        <f t="shared" si="2"/>
        <v/>
      </c>
      <c r="S57" s="7">
        <f>IF($A57="","",IF(AND(LEFT($G57,3)="ДОК",$N57&lt;&gt;""),IFERROR(INDEX(Документация!$E$2:$E$57,MATCH($N57,Документация!$F$2:$F$57,0)),0),N($F57))*(1-MEDIAN(0,N(ДисконтТендер),1)))</f>
        <v>501.12</v>
      </c>
      <c r="T57" s="7">
        <f>IF($A57="","",IF(AND(LEFT($G57,3)="ДОК",$N57&lt;&gt;""),0,IF(AND(LEFT($G57,3)&lt;&gt;"ДОК",$N57&lt;&gt;""),IFERROR(INDEX(МАТЕРИАЛЫ!$H$2:$H$9000,MATCH($N57,МАТЕРИАЛЫ!$L$2:$L$9000,0))*IF(INDEX(МАТЕРИАЛЫ!$I$2:$I$9000,MATCH($N57,МАТЕРИАЛЫ!$L$2:$L$9000,0))="USD",КурсUSD,IF(INDEX(МАТЕРИАЛЫ!$I$2:$I$9000,MATCH($N57,МАТЕРИАЛЫ!$L$2:$L$9000,0))="EUR",КурсEUR,IF(INDEX(МАТЕРИАЛЫ!$I$2:$I$9000,MATCH($N57,МАТЕРИАЛЫ!$L$2:$L$9000,0))="CNY",КурсCNY,1)))*(1+N($H57)/100),0),N($O57))*(1-MEDIAN(0,N(ДисконтТендер),1))))</f>
        <v>0</v>
      </c>
      <c r="U57" t="str">
        <f>IF($L57="да",MAX($U$1:$U56)+1,"")</f>
        <v/>
      </c>
      <c r="V57" t="str">
        <f t="shared" si="3"/>
        <v>Р2</v>
      </c>
      <c r="W57" t="str">
        <f t="shared" si="4"/>
        <v/>
      </c>
      <c r="X57" t="str">
        <f t="shared" si="5"/>
        <v/>
      </c>
      <c r="Y57" s="4" t="str">
        <f>IF($A57="","",IF(AND(LEFT($G57,3)="ДОК",$N57&lt;&gt;""),IFERROR(INDEX(Документация!$G$2:$G$57,MATCH($N57,Документация!$F$2:$F$57,0)),$D57),$D57&amp;IF(AND(LEFT($G57,3)&lt;&gt;"ДОК",$N57&lt;&gt;"")," — "&amp;IFERROR(INDEX(МАТЕРИАЛЫ!$C$2:$C$9000,MATCH($N57,МАТЕРИАЛЫ!$L$2:$L$9000,0)),""),"")))</f>
        <v>Демонтаж покрытия полов из керамогранита и кераимческих плиток</v>
      </c>
      <c r="Z57" t="str">
        <f t="shared" si="6"/>
        <v>Р2 · Демонтажные работы</v>
      </c>
    </row>
    <row r="58" spans="1:26" ht="28.8" x14ac:dyDescent="0.3">
      <c r="A58" t="s">
        <v>173</v>
      </c>
      <c r="B58" t="s">
        <v>134</v>
      </c>
      <c r="C58" t="s">
        <v>161</v>
      </c>
      <c r="D58" s="4" t="s">
        <v>174</v>
      </c>
      <c r="E58" t="s">
        <v>52</v>
      </c>
      <c r="F58" s="5">
        <v>187.92</v>
      </c>
      <c r="H58">
        <v>0</v>
      </c>
      <c r="I58" t="s">
        <v>53</v>
      </c>
      <c r="L58" s="6"/>
      <c r="M58" s="6"/>
      <c r="N58" s="6"/>
      <c r="O58" s="5"/>
      <c r="P58" s="7" t="str">
        <f t="shared" si="0"/>
        <v/>
      </c>
      <c r="Q58" s="7" t="str">
        <f t="shared" si="1"/>
        <v/>
      </c>
      <c r="R58" s="7" t="str">
        <f t="shared" si="2"/>
        <v/>
      </c>
      <c r="S58" s="7">
        <f>IF($A58="","",IF(AND(LEFT($G58,3)="ДОК",$N58&lt;&gt;""),IFERROR(INDEX(Документация!$E$2:$E$57,MATCH($N58,Документация!$F$2:$F$57,0)),0),N($F58))*(1-MEDIAN(0,N(ДисконтТендер),1)))</f>
        <v>187.92</v>
      </c>
      <c r="T58" s="7">
        <f>IF($A58="","",IF(AND(LEFT($G58,3)="ДОК",$N58&lt;&gt;""),0,IF(AND(LEFT($G58,3)&lt;&gt;"ДОК",$N58&lt;&gt;""),IFERROR(INDEX(МАТЕРИАЛЫ!$H$2:$H$9000,MATCH($N58,МАТЕРИАЛЫ!$L$2:$L$9000,0))*IF(INDEX(МАТЕРИАЛЫ!$I$2:$I$9000,MATCH($N58,МАТЕРИАЛЫ!$L$2:$L$9000,0))="USD",КурсUSD,IF(INDEX(МАТЕРИАЛЫ!$I$2:$I$9000,MATCH($N58,МАТЕРИАЛЫ!$L$2:$L$9000,0))="EUR",КурсEUR,IF(INDEX(МАТЕРИАЛЫ!$I$2:$I$9000,MATCH($N58,МАТЕРИАЛЫ!$L$2:$L$9000,0))="CNY",КурсCNY,1)))*(1+N($H58)/100),0),N($O58))*(1-MEDIAN(0,N(ДисконтТендер),1))))</f>
        <v>0</v>
      </c>
      <c r="U58" t="str">
        <f>IF($L58="да",MAX($U$1:$U57)+1,"")</f>
        <v/>
      </c>
      <c r="V58" t="str">
        <f t="shared" si="3"/>
        <v>Р2</v>
      </c>
      <c r="W58" t="str">
        <f t="shared" si="4"/>
        <v/>
      </c>
      <c r="X58" t="str">
        <f t="shared" si="5"/>
        <v/>
      </c>
      <c r="Y58" s="4" t="str">
        <f>IF($A58="","",IF(AND(LEFT($G58,3)="ДОК",$N58&lt;&gt;""),IFERROR(INDEX(Документация!$G$2:$G$57,MATCH($N58,Документация!$F$2:$F$57,0)),$D58),$D58&amp;IF(AND(LEFT($G58,3)&lt;&gt;"ДОК",$N58&lt;&gt;"")," — "&amp;IFERROR(INDEX(МАТЕРИАЛЫ!$C$2:$C$9000,MATCH($N58,МАТЕРИАЛЫ!$L$2:$L$9000,0)),""),"")))</f>
        <v>Расшивка швов поверхности пола из плитки керамической</v>
      </c>
      <c r="Z58" t="str">
        <f t="shared" si="6"/>
        <v>Р2 · Демонтажные работы</v>
      </c>
    </row>
    <row r="59" spans="1:26" ht="28.8" x14ac:dyDescent="0.3">
      <c r="A59" t="s">
        <v>175</v>
      </c>
      <c r="B59" t="s">
        <v>134</v>
      </c>
      <c r="C59" t="s">
        <v>161</v>
      </c>
      <c r="D59" s="4" t="s">
        <v>176</v>
      </c>
      <c r="E59" t="s">
        <v>52</v>
      </c>
      <c r="F59" s="5">
        <v>220</v>
      </c>
      <c r="H59">
        <v>0</v>
      </c>
      <c r="I59" t="s">
        <v>53</v>
      </c>
      <c r="L59" s="6"/>
      <c r="M59" s="6"/>
      <c r="N59" s="6"/>
      <c r="O59" s="5"/>
      <c r="P59" s="7" t="str">
        <f t="shared" si="0"/>
        <v/>
      </c>
      <c r="Q59" s="7" t="str">
        <f t="shared" si="1"/>
        <v/>
      </c>
      <c r="R59" s="7" t="str">
        <f t="shared" si="2"/>
        <v/>
      </c>
      <c r="S59" s="7">
        <f>IF($A59="","",IF(AND(LEFT($G59,3)="ДОК",$N59&lt;&gt;""),IFERROR(INDEX(Документация!$E$2:$E$57,MATCH($N59,Документация!$F$2:$F$57,0)),0),N($F59))*(1-MEDIAN(0,N(ДисконтТендер),1)))</f>
        <v>220</v>
      </c>
      <c r="T59" s="7">
        <f>IF($A59="","",IF(AND(LEFT($G59,3)="ДОК",$N59&lt;&gt;""),0,IF(AND(LEFT($G59,3)&lt;&gt;"ДОК",$N59&lt;&gt;""),IFERROR(INDEX(МАТЕРИАЛЫ!$H$2:$H$9000,MATCH($N59,МАТЕРИАЛЫ!$L$2:$L$9000,0))*IF(INDEX(МАТЕРИАЛЫ!$I$2:$I$9000,MATCH($N59,МАТЕРИАЛЫ!$L$2:$L$9000,0))="USD",КурсUSD,IF(INDEX(МАТЕРИАЛЫ!$I$2:$I$9000,MATCH($N59,МАТЕРИАЛЫ!$L$2:$L$9000,0))="EUR",КурсEUR,IF(INDEX(МАТЕРИАЛЫ!$I$2:$I$9000,MATCH($N59,МАТЕРИАЛЫ!$L$2:$L$9000,0))="CNY",КурсCNY,1)))*(1+N($H59)/100),0),N($O59))*(1-MEDIAN(0,N(ДисконтТендер),1))))</f>
        <v>0</v>
      </c>
      <c r="U59" t="str">
        <f>IF($L59="да",MAX($U$1:$U58)+1,"")</f>
        <v/>
      </c>
      <c r="V59" t="str">
        <f t="shared" si="3"/>
        <v>Р2</v>
      </c>
      <c r="W59" t="str">
        <f t="shared" si="4"/>
        <v/>
      </c>
      <c r="X59" t="str">
        <f t="shared" si="5"/>
        <v/>
      </c>
      <c r="Y59" s="4" t="str">
        <f>IF($A59="","",IF(AND(LEFT($G59,3)="ДОК",$N59&lt;&gt;""),IFERROR(INDEX(Документация!$G$2:$G$57,MATCH($N59,Документация!$F$2:$F$57,0)),$D59),$D59&amp;IF(AND(LEFT($G59,3)&lt;&gt;"ДОК",$N59&lt;&gt;"")," — "&amp;IFERROR(INDEX(МАТЕРИАЛЫ!$C$2:$C$9000,MATCH($N59,МАТЕРИАЛЫ!$L$2:$L$9000,0)),""),"")))</f>
        <v>Демонтаж покрытия полов: из линолеума, ковролина</v>
      </c>
      <c r="Z59" t="str">
        <f t="shared" si="6"/>
        <v>Р2 · Демонтажные работы</v>
      </c>
    </row>
    <row r="60" spans="1:26" ht="28.8" x14ac:dyDescent="0.3">
      <c r="A60" t="s">
        <v>177</v>
      </c>
      <c r="B60" t="s">
        <v>134</v>
      </c>
      <c r="C60" t="s">
        <v>161</v>
      </c>
      <c r="D60" s="4" t="s">
        <v>178</v>
      </c>
      <c r="E60" t="s">
        <v>52</v>
      </c>
      <c r="F60" s="5">
        <v>374.59</v>
      </c>
      <c r="H60">
        <v>0</v>
      </c>
      <c r="I60" t="s">
        <v>53</v>
      </c>
      <c r="L60" s="6"/>
      <c r="M60" s="6"/>
      <c r="N60" s="6"/>
      <c r="O60" s="5"/>
      <c r="P60" s="7" t="str">
        <f t="shared" si="0"/>
        <v/>
      </c>
      <c r="Q60" s="7" t="str">
        <f t="shared" si="1"/>
        <v/>
      </c>
      <c r="R60" s="7" t="str">
        <f t="shared" si="2"/>
        <v/>
      </c>
      <c r="S60" s="7">
        <f>IF($A60="","",IF(AND(LEFT($G60,3)="ДОК",$N60&lt;&gt;""),IFERROR(INDEX(Документация!$E$2:$E$57,MATCH($N60,Документация!$F$2:$F$57,0)),0),N($F60))*(1-MEDIAN(0,N(ДисконтТендер),1)))</f>
        <v>374.59</v>
      </c>
      <c r="T60" s="7">
        <f>IF($A60="","",IF(AND(LEFT($G60,3)="ДОК",$N60&lt;&gt;""),0,IF(AND(LEFT($G60,3)&lt;&gt;"ДОК",$N60&lt;&gt;""),IFERROR(INDEX(МАТЕРИАЛЫ!$H$2:$H$9000,MATCH($N60,МАТЕРИАЛЫ!$L$2:$L$9000,0))*IF(INDEX(МАТЕРИАЛЫ!$I$2:$I$9000,MATCH($N60,МАТЕРИАЛЫ!$L$2:$L$9000,0))="USD",КурсUSD,IF(INDEX(МАТЕРИАЛЫ!$I$2:$I$9000,MATCH($N60,МАТЕРИАЛЫ!$L$2:$L$9000,0))="EUR",КурсEUR,IF(INDEX(МАТЕРИАЛЫ!$I$2:$I$9000,MATCH($N60,МАТЕРИАЛЫ!$L$2:$L$9000,0))="CNY",КурсCNY,1)))*(1+N($H60)/100),0),N($O60))*(1-MEDIAN(0,N(ДисконтТендер),1))))</f>
        <v>0</v>
      </c>
      <c r="U60" t="str">
        <f>IF($L60="да",MAX($U$1:$U59)+1,"")</f>
        <v/>
      </c>
      <c r="V60" t="str">
        <f t="shared" si="3"/>
        <v>Р2</v>
      </c>
      <c r="W60" t="str">
        <f t="shared" si="4"/>
        <v/>
      </c>
      <c r="X60" t="str">
        <f t="shared" si="5"/>
        <v/>
      </c>
      <c r="Y60" s="4" t="str">
        <f>IF($A60="","",IF(AND(LEFT($G60,3)="ДОК",$N60&lt;&gt;""),IFERROR(INDEX(Документация!$G$2:$G$57,MATCH($N60,Документация!$F$2:$F$57,0)),$D60),$D60&amp;IF(AND(LEFT($G60,3)&lt;&gt;"ДОК",$N60&lt;&gt;"")," — "&amp;IFERROR(INDEX(МАТЕРИАЛЫ!$C$2:$C$9000,MATCH($N60,МАТЕРИАЛЫ!$L$2:$L$9000,0)),""),"")))</f>
        <v>Демонтаж покрытия полов: из паркетной доски (ламината)</v>
      </c>
      <c r="Z60" t="str">
        <f t="shared" si="6"/>
        <v>Р2 · Демонтажные работы</v>
      </c>
    </row>
    <row r="61" spans="1:26" x14ac:dyDescent="0.3">
      <c r="A61" t="s">
        <v>179</v>
      </c>
      <c r="B61" t="s">
        <v>134</v>
      </c>
      <c r="C61" t="s">
        <v>161</v>
      </c>
      <c r="D61" s="4" t="s">
        <v>180</v>
      </c>
      <c r="E61" t="s">
        <v>52</v>
      </c>
      <c r="F61" s="5">
        <v>322.01</v>
      </c>
      <c r="H61">
        <v>0</v>
      </c>
      <c r="I61" t="s">
        <v>53</v>
      </c>
      <c r="L61" s="6"/>
      <c r="M61" s="6"/>
      <c r="N61" s="6"/>
      <c r="O61" s="5"/>
      <c r="P61" s="7" t="str">
        <f t="shared" si="0"/>
        <v/>
      </c>
      <c r="Q61" s="7" t="str">
        <f t="shared" si="1"/>
        <v/>
      </c>
      <c r="R61" s="7" t="str">
        <f t="shared" si="2"/>
        <v/>
      </c>
      <c r="S61" s="7">
        <f>IF($A61="","",IF(AND(LEFT($G61,3)="ДОК",$N61&lt;&gt;""),IFERROR(INDEX(Документация!$E$2:$E$57,MATCH($N61,Документация!$F$2:$F$57,0)),0),N($F61))*(1-MEDIAN(0,N(ДисконтТендер),1)))</f>
        <v>322.01</v>
      </c>
      <c r="T61" s="7">
        <f>IF($A61="","",IF(AND(LEFT($G61,3)="ДОК",$N61&lt;&gt;""),0,IF(AND(LEFT($G61,3)&lt;&gt;"ДОК",$N61&lt;&gt;""),IFERROR(INDEX(МАТЕРИАЛЫ!$H$2:$H$9000,MATCH($N61,МАТЕРИАЛЫ!$L$2:$L$9000,0))*IF(INDEX(МАТЕРИАЛЫ!$I$2:$I$9000,MATCH($N61,МАТЕРИАЛЫ!$L$2:$L$9000,0))="USD",КурсUSD,IF(INDEX(МАТЕРИАЛЫ!$I$2:$I$9000,MATCH($N61,МАТЕРИАЛЫ!$L$2:$L$9000,0))="EUR",КурсEUR,IF(INDEX(МАТЕРИАЛЫ!$I$2:$I$9000,MATCH($N61,МАТЕРИАЛЫ!$L$2:$L$9000,0))="CNY",КурсCNY,1)))*(1+N($H61)/100),0),N($O61))*(1-MEDIAN(0,N(ДисконтТендер),1))))</f>
        <v>0</v>
      </c>
      <c r="U61" t="str">
        <f>IF($L61="да",MAX($U$1:$U60)+1,"")</f>
        <v/>
      </c>
      <c r="V61" t="str">
        <f t="shared" si="3"/>
        <v>Р2</v>
      </c>
      <c r="W61" t="str">
        <f t="shared" si="4"/>
        <v/>
      </c>
      <c r="X61" t="str">
        <f t="shared" si="5"/>
        <v/>
      </c>
      <c r="Y61" s="4" t="str">
        <f>IF($A61="","",IF(AND(LEFT($G61,3)="ДОК",$N61&lt;&gt;""),IFERROR(INDEX(Документация!$G$2:$G$57,MATCH($N61,Документация!$F$2:$F$57,0)),$D61),$D61&amp;IF(AND(LEFT($G61,3)&lt;&gt;"ДОК",$N61&lt;&gt;"")," — "&amp;IFERROR(INDEX(МАТЕРИАЛЫ!$C$2:$C$9000,MATCH($N61,МАТЕРИАЛЫ!$L$2:$L$9000,0)),""),"")))</f>
        <v>Демонтаж фальшпола</v>
      </c>
      <c r="Z61" t="str">
        <f t="shared" si="6"/>
        <v>Р2 · Демонтажные работы</v>
      </c>
    </row>
    <row r="62" spans="1:26" ht="28.8" x14ac:dyDescent="0.3">
      <c r="A62" t="s">
        <v>181</v>
      </c>
      <c r="B62" t="s">
        <v>134</v>
      </c>
      <c r="C62" t="s">
        <v>161</v>
      </c>
      <c r="D62" s="4" t="s">
        <v>182</v>
      </c>
      <c r="E62" t="s">
        <v>52</v>
      </c>
      <c r="F62" s="5">
        <v>375.84</v>
      </c>
      <c r="H62">
        <v>0</v>
      </c>
      <c r="I62" t="s">
        <v>53</v>
      </c>
      <c r="L62" s="6"/>
      <c r="M62" s="6"/>
      <c r="N62" s="6"/>
      <c r="O62" s="5"/>
      <c r="P62" s="7" t="str">
        <f t="shared" si="0"/>
        <v/>
      </c>
      <c r="Q62" s="7" t="str">
        <f t="shared" si="1"/>
        <v/>
      </c>
      <c r="R62" s="7" t="str">
        <f t="shared" si="2"/>
        <v/>
      </c>
      <c r="S62" s="7">
        <f>IF($A62="","",IF(AND(LEFT($G62,3)="ДОК",$N62&lt;&gt;""),IFERROR(INDEX(Документация!$E$2:$E$57,MATCH($N62,Документация!$F$2:$F$57,0)),0),N($F62))*(1-MEDIAN(0,N(ДисконтТендер),1)))</f>
        <v>375.84</v>
      </c>
      <c r="T62" s="7">
        <f>IF($A62="","",IF(AND(LEFT($G62,3)="ДОК",$N62&lt;&gt;""),0,IF(AND(LEFT($G62,3)&lt;&gt;"ДОК",$N62&lt;&gt;""),IFERROR(INDEX(МАТЕРИАЛЫ!$H$2:$H$9000,MATCH($N62,МАТЕРИАЛЫ!$L$2:$L$9000,0))*IF(INDEX(МАТЕРИАЛЫ!$I$2:$I$9000,MATCH($N62,МАТЕРИАЛЫ!$L$2:$L$9000,0))="USD",КурсUSD,IF(INDEX(МАТЕРИАЛЫ!$I$2:$I$9000,MATCH($N62,МАТЕРИАЛЫ!$L$2:$L$9000,0))="EUR",КурсEUR,IF(INDEX(МАТЕРИАЛЫ!$I$2:$I$9000,MATCH($N62,МАТЕРИАЛЫ!$L$2:$L$9000,0))="CNY",КурсCNY,1)))*(1+N($H62)/100),0),N($O62))*(1-MEDIAN(0,N(ДисконтТендер),1))))</f>
        <v>0</v>
      </c>
      <c r="U62" t="str">
        <f>IF($L62="да",MAX($U$1:$U61)+1,"")</f>
        <v/>
      </c>
      <c r="V62" t="str">
        <f t="shared" si="3"/>
        <v>Р2</v>
      </c>
      <c r="W62" t="str">
        <f t="shared" si="4"/>
        <v/>
      </c>
      <c r="X62" t="str">
        <f t="shared" si="5"/>
        <v/>
      </c>
      <c r="Y62" s="4" t="str">
        <f>IF($A62="","",IF(AND(LEFT($G62,3)="ДОК",$N62&lt;&gt;""),IFERROR(INDEX(Документация!$G$2:$G$57,MATCH($N62,Документация!$F$2:$F$57,0)),$D62),$D62&amp;IF(AND(LEFT($G62,3)&lt;&gt;"ДОК",$N62&lt;&gt;"")," — "&amp;IFERROR(INDEX(МАТЕРИАЛЫ!$C$2:$C$9000,MATCH($N62,МАТЕРИАЛЫ!$L$2:$L$9000,0)),""),"")))</f>
        <v>Демонтаж деревянных полов на деревянных лагах</v>
      </c>
      <c r="Z62" t="str">
        <f t="shared" si="6"/>
        <v>Р2 · Демонтажные работы</v>
      </c>
    </row>
    <row r="63" spans="1:26" x14ac:dyDescent="0.3">
      <c r="A63" t="s">
        <v>183</v>
      </c>
      <c r="B63" t="s">
        <v>134</v>
      </c>
      <c r="C63" t="s">
        <v>161</v>
      </c>
      <c r="D63" s="4" t="s">
        <v>184</v>
      </c>
      <c r="E63" t="s">
        <v>153</v>
      </c>
      <c r="F63" s="5">
        <v>78.86</v>
      </c>
      <c r="H63">
        <v>0</v>
      </c>
      <c r="I63" t="s">
        <v>53</v>
      </c>
      <c r="L63" s="6"/>
      <c r="M63" s="6"/>
      <c r="N63" s="6"/>
      <c r="O63" s="5"/>
      <c r="P63" s="7" t="str">
        <f t="shared" si="0"/>
        <v/>
      </c>
      <c r="Q63" s="7" t="str">
        <f t="shared" si="1"/>
        <v/>
      </c>
      <c r="R63" s="7" t="str">
        <f t="shared" si="2"/>
        <v/>
      </c>
      <c r="S63" s="7">
        <f>IF($A63="","",IF(AND(LEFT($G63,3)="ДОК",$N63&lt;&gt;""),IFERROR(INDEX(Документация!$E$2:$E$57,MATCH($N63,Документация!$F$2:$F$57,0)),0),N($F63))*(1-MEDIAN(0,N(ДисконтТендер),1)))</f>
        <v>78.86</v>
      </c>
      <c r="T63" s="7">
        <f>IF($A63="","",IF(AND(LEFT($G63,3)="ДОК",$N63&lt;&gt;""),0,IF(AND(LEFT($G63,3)&lt;&gt;"ДОК",$N63&lt;&gt;""),IFERROR(INDEX(МАТЕРИАЛЫ!$H$2:$H$9000,MATCH($N63,МАТЕРИАЛЫ!$L$2:$L$9000,0))*IF(INDEX(МАТЕРИАЛЫ!$I$2:$I$9000,MATCH($N63,МАТЕРИАЛЫ!$L$2:$L$9000,0))="USD",КурсUSD,IF(INDEX(МАТЕРИАЛЫ!$I$2:$I$9000,MATCH($N63,МАТЕРИАЛЫ!$L$2:$L$9000,0))="EUR",КурсEUR,IF(INDEX(МАТЕРИАЛЫ!$I$2:$I$9000,MATCH($N63,МАТЕРИАЛЫ!$L$2:$L$9000,0))="CNY",КурсCNY,1)))*(1+N($H63)/100),0),N($O63))*(1-MEDIAN(0,N(ДисконтТендер),1))))</f>
        <v>0</v>
      </c>
      <c r="U63" t="str">
        <f>IF($L63="да",MAX($U$1:$U62)+1,"")</f>
        <v/>
      </c>
      <c r="V63" t="str">
        <f t="shared" si="3"/>
        <v>Р2</v>
      </c>
      <c r="W63" t="str">
        <f t="shared" si="4"/>
        <v/>
      </c>
      <c r="X63" t="str">
        <f t="shared" si="5"/>
        <v/>
      </c>
      <c r="Y63" s="4" t="str">
        <f>IF($A63="","",IF(AND(LEFT($G63,3)="ДОК",$N63&lt;&gt;""),IFERROR(INDEX(Документация!$G$2:$G$57,MATCH($N63,Документация!$F$2:$F$57,0)),$D63),$D63&amp;IF(AND(LEFT($G63,3)&lt;&gt;"ДОК",$N63&lt;&gt;"")," — "&amp;IFERROR(INDEX(МАТЕРИАЛЫ!$C$2:$C$9000,MATCH($N63,МАТЕРИАЛЫ!$L$2:$L$9000,0)),""),"")))</f>
        <v>Демонтаж плинтусов: из керамической плитки</v>
      </c>
      <c r="Z63" t="str">
        <f t="shared" si="6"/>
        <v>Р2 · Демонтажные работы</v>
      </c>
    </row>
    <row r="64" spans="1:26" x14ac:dyDescent="0.3">
      <c r="A64" t="s">
        <v>185</v>
      </c>
      <c r="B64" t="s">
        <v>134</v>
      </c>
      <c r="C64" t="s">
        <v>161</v>
      </c>
      <c r="D64" s="4" t="s">
        <v>186</v>
      </c>
      <c r="E64" t="s">
        <v>153</v>
      </c>
      <c r="F64" s="5">
        <v>78.38</v>
      </c>
      <c r="H64">
        <v>0</v>
      </c>
      <c r="I64" t="s">
        <v>53</v>
      </c>
      <c r="L64" s="6"/>
      <c r="M64" s="6"/>
      <c r="N64" s="6"/>
      <c r="O64" s="5"/>
      <c r="P64" s="7" t="str">
        <f t="shared" si="0"/>
        <v/>
      </c>
      <c r="Q64" s="7" t="str">
        <f t="shared" si="1"/>
        <v/>
      </c>
      <c r="R64" s="7" t="str">
        <f t="shared" si="2"/>
        <v/>
      </c>
      <c r="S64" s="7">
        <f>IF($A64="","",IF(AND(LEFT($G64,3)="ДОК",$N64&lt;&gt;""),IFERROR(INDEX(Документация!$E$2:$E$57,MATCH($N64,Документация!$F$2:$F$57,0)),0),N($F64))*(1-MEDIAN(0,N(ДисконтТендер),1)))</f>
        <v>78.38</v>
      </c>
      <c r="T64" s="7">
        <f>IF($A64="","",IF(AND(LEFT($G64,3)="ДОК",$N64&lt;&gt;""),0,IF(AND(LEFT($G64,3)&lt;&gt;"ДОК",$N64&lt;&gt;""),IFERROR(INDEX(МАТЕРИАЛЫ!$H$2:$H$9000,MATCH($N64,МАТЕРИАЛЫ!$L$2:$L$9000,0))*IF(INDEX(МАТЕРИАЛЫ!$I$2:$I$9000,MATCH($N64,МАТЕРИАЛЫ!$L$2:$L$9000,0))="USD",КурсUSD,IF(INDEX(МАТЕРИАЛЫ!$I$2:$I$9000,MATCH($N64,МАТЕРИАЛЫ!$L$2:$L$9000,0))="EUR",КурсEUR,IF(INDEX(МАТЕРИАЛЫ!$I$2:$I$9000,MATCH($N64,МАТЕРИАЛЫ!$L$2:$L$9000,0))="CNY",КурсCNY,1)))*(1+N($H64)/100),0),N($O64))*(1-MEDIAN(0,N(ДисконтТендер),1))))</f>
        <v>0</v>
      </c>
      <c r="U64" t="str">
        <f>IF($L64="да",MAX($U$1:$U63)+1,"")</f>
        <v/>
      </c>
      <c r="V64" t="str">
        <f t="shared" si="3"/>
        <v>Р2</v>
      </c>
      <c r="W64" t="str">
        <f t="shared" si="4"/>
        <v/>
      </c>
      <c r="X64" t="str">
        <f t="shared" si="5"/>
        <v/>
      </c>
      <c r="Y64" s="4" t="str">
        <f>IF($A64="","",IF(AND(LEFT($G64,3)="ДОК",$N64&lt;&gt;""),IFERROR(INDEX(Документация!$G$2:$G$57,MATCH($N64,Документация!$F$2:$F$57,0)),$D64),$D64&amp;IF(AND(LEFT($G64,3)&lt;&gt;"ДОК",$N64&lt;&gt;"")," — "&amp;IFERROR(INDEX(МАТЕРИАЛЫ!$C$2:$C$9000,MATCH($N64,МАТЕРИАЛЫ!$L$2:$L$9000,0)),""),"")))</f>
        <v>Демонтаж плинтусов: деревянных, пвх</v>
      </c>
      <c r="Z64" t="str">
        <f t="shared" si="6"/>
        <v>Р2 · Демонтажные работы</v>
      </c>
    </row>
    <row r="65" spans="1:26" x14ac:dyDescent="0.3">
      <c r="A65" t="s">
        <v>187</v>
      </c>
      <c r="B65" t="s">
        <v>134</v>
      </c>
      <c r="C65" t="s">
        <v>161</v>
      </c>
      <c r="D65" s="4" t="s">
        <v>188</v>
      </c>
      <c r="E65" t="s">
        <v>52</v>
      </c>
      <c r="F65" s="5">
        <v>5622.11</v>
      </c>
      <c r="H65">
        <v>0</v>
      </c>
      <c r="I65" t="s">
        <v>53</v>
      </c>
      <c r="L65" s="6"/>
      <c r="M65" s="6"/>
      <c r="N65" s="6"/>
      <c r="O65" s="5"/>
      <c r="P65" s="7" t="str">
        <f t="shared" si="0"/>
        <v/>
      </c>
      <c r="Q65" s="7" t="str">
        <f t="shared" si="1"/>
        <v/>
      </c>
      <c r="R65" s="7" t="str">
        <f t="shared" si="2"/>
        <v/>
      </c>
      <c r="S65" s="7">
        <f>IF($A65="","",IF(AND(LEFT($G65,3)="ДОК",$N65&lt;&gt;""),IFERROR(INDEX(Документация!$E$2:$E$57,MATCH($N65,Документация!$F$2:$F$57,0)),0),N($F65))*(1-MEDIAN(0,N(ДисконтТендер),1)))</f>
        <v>5622.11</v>
      </c>
      <c r="T65" s="7">
        <f>IF($A65="","",IF(AND(LEFT($G65,3)="ДОК",$N65&lt;&gt;""),0,IF(AND(LEFT($G65,3)&lt;&gt;"ДОК",$N65&lt;&gt;""),IFERROR(INDEX(МАТЕРИАЛЫ!$H$2:$H$9000,MATCH($N65,МАТЕРИАЛЫ!$L$2:$L$9000,0))*IF(INDEX(МАТЕРИАЛЫ!$I$2:$I$9000,MATCH($N65,МАТЕРИАЛЫ!$L$2:$L$9000,0))="USD",КурсUSD,IF(INDEX(МАТЕРИАЛЫ!$I$2:$I$9000,MATCH($N65,МАТЕРИАЛЫ!$L$2:$L$9000,0))="EUR",КурсEUR,IF(INDEX(МАТЕРИАЛЫ!$I$2:$I$9000,MATCH($N65,МАТЕРИАЛЫ!$L$2:$L$9000,0))="CNY",КурсCNY,1)))*(1+N($H65)/100),0),N($O65))*(1-MEDIAN(0,N(ДисконтТендер),1))))</f>
        <v>0</v>
      </c>
      <c r="U65" t="str">
        <f>IF($L65="да",MAX($U$1:$U64)+1,"")</f>
        <v/>
      </c>
      <c r="V65" t="str">
        <f t="shared" si="3"/>
        <v>Р2</v>
      </c>
      <c r="W65" t="str">
        <f t="shared" si="4"/>
        <v/>
      </c>
      <c r="X65" t="str">
        <f t="shared" si="5"/>
        <v/>
      </c>
      <c r="Y65" s="4" t="str">
        <f>IF($A65="","",IF(AND(LEFT($G65,3)="ДОК",$N65&lt;&gt;""),IFERROR(INDEX(Документация!$G$2:$G$57,MATCH($N65,Документация!$F$2:$F$57,0)),$D65),$D65&amp;IF(AND(LEFT($G65,3)&lt;&gt;"ДОК",$N65&lt;&gt;"")," — "&amp;IFERROR(INDEX(МАТЕРИАЛЫ!$C$2:$C$9000,MATCH($N65,МАТЕРИАЛЫ!$L$2:$L$9000,0)),""),"")))</f>
        <v>Демонтаж ЖБ плит перекрытия.</v>
      </c>
      <c r="Z65" t="str">
        <f t="shared" si="6"/>
        <v>Р2 · Демонтажные работы</v>
      </c>
    </row>
    <row r="66" spans="1:26" x14ac:dyDescent="0.3">
      <c r="A66" t="s">
        <v>189</v>
      </c>
      <c r="B66" t="s">
        <v>134</v>
      </c>
      <c r="C66" t="s">
        <v>161</v>
      </c>
      <c r="D66" s="4" t="s">
        <v>190</v>
      </c>
      <c r="E66" t="s">
        <v>153</v>
      </c>
      <c r="F66" s="5">
        <v>814.32</v>
      </c>
      <c r="H66">
        <v>0</v>
      </c>
      <c r="I66" t="s">
        <v>53</v>
      </c>
      <c r="L66" s="6"/>
      <c r="M66" s="6"/>
      <c r="N66" s="6"/>
      <c r="O66" s="5"/>
      <c r="P66" s="7" t="str">
        <f t="shared" ref="P66:P129" si="7">IF($L66="да",ROUND(N($M66)*$S66,2),"")</f>
        <v/>
      </c>
      <c r="Q66" s="7" t="str">
        <f t="shared" ref="Q66:Q129" si="8">IF($L66="да",ROUND(N($M66)*$T66,2),"")</f>
        <v/>
      </c>
      <c r="R66" s="7" t="str">
        <f t="shared" ref="R66:R129" si="9">IF($L66="да",N($P66)+N($Q66),"")</f>
        <v/>
      </c>
      <c r="S66" s="7">
        <f>IF($A66="","",IF(AND(LEFT($G66,3)="ДОК",$N66&lt;&gt;""),IFERROR(INDEX(Документация!$E$2:$E$57,MATCH($N66,Документация!$F$2:$F$57,0)),0),N($F66))*(1-MEDIAN(0,N(ДисконтТендер),1)))</f>
        <v>814.32</v>
      </c>
      <c r="T66" s="7">
        <f>IF($A66="","",IF(AND(LEFT($G66,3)="ДОК",$N66&lt;&gt;""),0,IF(AND(LEFT($G66,3)&lt;&gt;"ДОК",$N66&lt;&gt;""),IFERROR(INDEX(МАТЕРИАЛЫ!$H$2:$H$9000,MATCH($N66,МАТЕРИАЛЫ!$L$2:$L$9000,0))*IF(INDEX(МАТЕРИАЛЫ!$I$2:$I$9000,MATCH($N66,МАТЕРИАЛЫ!$L$2:$L$9000,0))="USD",КурсUSD,IF(INDEX(МАТЕРИАЛЫ!$I$2:$I$9000,MATCH($N66,МАТЕРИАЛЫ!$L$2:$L$9000,0))="EUR",КурсEUR,IF(INDEX(МАТЕРИАЛЫ!$I$2:$I$9000,MATCH($N66,МАТЕРИАЛЫ!$L$2:$L$9000,0))="CNY",КурсCNY,1)))*(1+N($H66)/100),0),N($O66))*(1-MEDIAN(0,N(ДисконтТендер),1))))</f>
        <v>0</v>
      </c>
      <c r="U66" t="str">
        <f>IF($L66="да",MAX($U$1:$U65)+1,"")</f>
        <v/>
      </c>
      <c r="V66" t="str">
        <f t="shared" ref="V66:V129" si="10">IF($A66="","",$B66)</f>
        <v>Р2</v>
      </c>
      <c r="W66" t="str">
        <f t="shared" ref="W66:W129" si="11">IF($U66="","",IF($U66=1,1,IF($V66&lt;&gt;IFERROR(INDEX($V$2:$V$1058,MATCH($U66-1,$U$2:$U$1058,0)),"~"),1,0)))</f>
        <v/>
      </c>
      <c r="X66" t="str">
        <f t="shared" ref="X66:X129" si="12">IF($U66="","",$U66+SUMIFS($W$2:$W$1058,$U$2:$U$1058,"&lt;="&amp;$U66))</f>
        <v/>
      </c>
      <c r="Y66" s="4" t="str">
        <f>IF($A66="","",IF(AND(LEFT($G66,3)="ДОК",$N66&lt;&gt;""),IFERROR(INDEX(Документация!$G$2:$G$57,MATCH($N66,Документация!$F$2:$F$57,0)),$D66),$D66&amp;IF(AND(LEFT($G66,3)&lt;&gt;"ДОК",$N66&lt;&gt;"")," — "&amp;IFERROR(INDEX(МАТЕРИАЛЫ!$C$2:$C$9000,MATCH($N66,МАТЕРИАЛЫ!$L$2:$L$9000,0)),""),"")))</f>
        <v>Демонтаж деревянных балок перекрытия</v>
      </c>
      <c r="Z66" t="str">
        <f t="shared" ref="Z66:Z129" si="13">IF($B66="","",$B66&amp;" · "&amp;IFERROR(VLOOKUP($B66,спрРазделы,2,0),""))</f>
        <v>Р2 · Демонтажные работы</v>
      </c>
    </row>
    <row r="67" spans="1:26" x14ac:dyDescent="0.3">
      <c r="A67" t="s">
        <v>191</v>
      </c>
      <c r="B67" t="s">
        <v>134</v>
      </c>
      <c r="C67" t="s">
        <v>161</v>
      </c>
      <c r="D67" s="4" t="s">
        <v>192</v>
      </c>
      <c r="E67" t="s">
        <v>52</v>
      </c>
      <c r="F67" s="5">
        <v>209</v>
      </c>
      <c r="H67">
        <v>0</v>
      </c>
      <c r="I67" t="s">
        <v>53</v>
      </c>
      <c r="L67" s="6"/>
      <c r="M67" s="6"/>
      <c r="N67" s="6"/>
      <c r="O67" s="5"/>
      <c r="P67" s="7" t="str">
        <f t="shared" si="7"/>
        <v/>
      </c>
      <c r="Q67" s="7" t="str">
        <f t="shared" si="8"/>
        <v/>
      </c>
      <c r="R67" s="7" t="str">
        <f t="shared" si="9"/>
        <v/>
      </c>
      <c r="S67" s="7">
        <f>IF($A67="","",IF(AND(LEFT($G67,3)="ДОК",$N67&lt;&gt;""),IFERROR(INDEX(Документация!$E$2:$E$57,MATCH($N67,Документация!$F$2:$F$57,0)),0),N($F67))*(1-MEDIAN(0,N(ДисконтТендер),1)))</f>
        <v>209</v>
      </c>
      <c r="T67" s="7">
        <f>IF($A67="","",IF(AND(LEFT($G67,3)="ДОК",$N67&lt;&gt;""),0,IF(AND(LEFT($G67,3)&lt;&gt;"ДОК",$N67&lt;&gt;""),IFERROR(INDEX(МАТЕРИАЛЫ!$H$2:$H$9000,MATCH($N67,МАТЕРИАЛЫ!$L$2:$L$9000,0))*IF(INDEX(МАТЕРИАЛЫ!$I$2:$I$9000,MATCH($N67,МАТЕРИАЛЫ!$L$2:$L$9000,0))="USD",КурсUSD,IF(INDEX(МАТЕРИАЛЫ!$I$2:$I$9000,MATCH($N67,МАТЕРИАЛЫ!$L$2:$L$9000,0))="EUR",КурсEUR,IF(INDEX(МАТЕРИАЛЫ!$I$2:$I$9000,MATCH($N67,МАТЕРИАЛЫ!$L$2:$L$9000,0))="CNY",КурсCNY,1)))*(1+N($H67)/100),0),N($O67))*(1-MEDIAN(0,N(ДисконтТендер),1))))</f>
        <v>0</v>
      </c>
      <c r="U67" t="str">
        <f>IF($L67="да",MAX($U$1:$U66)+1,"")</f>
        <v/>
      </c>
      <c r="V67" t="str">
        <f t="shared" si="10"/>
        <v>Р2</v>
      </c>
      <c r="W67" t="str">
        <f t="shared" si="11"/>
        <v/>
      </c>
      <c r="X67" t="str">
        <f t="shared" si="12"/>
        <v/>
      </c>
      <c r="Y67" s="4" t="str">
        <f>IF($A67="","",IF(AND(LEFT($G67,3)="ДОК",$N67&lt;&gt;""),IFERROR(INDEX(Документация!$G$2:$G$57,MATCH($N67,Документация!$F$2:$F$57,0)),$D67),$D67&amp;IF(AND(LEFT($G67,3)&lt;&gt;"ДОК",$N67&lt;&gt;"")," — "&amp;IFERROR(INDEX(МАТЕРИАЛЫ!$C$2:$C$9000,MATCH($N67,МАТЕРИАЛЫ!$L$2:$L$9000,0)),""),"")))</f>
        <v>Демонтаж плиточного клея</v>
      </c>
      <c r="Z67" t="str">
        <f t="shared" si="13"/>
        <v>Р2 · Демонтажные работы</v>
      </c>
    </row>
    <row r="68" spans="1:26" x14ac:dyDescent="0.3">
      <c r="A68" t="s">
        <v>193</v>
      </c>
      <c r="B68" t="s">
        <v>134</v>
      </c>
      <c r="C68" t="s">
        <v>194</v>
      </c>
      <c r="D68" s="4" t="s">
        <v>195</v>
      </c>
      <c r="E68" t="s">
        <v>52</v>
      </c>
      <c r="F68" s="5">
        <v>1021.9</v>
      </c>
      <c r="H68">
        <v>0</v>
      </c>
      <c r="I68" t="s">
        <v>53</v>
      </c>
      <c r="L68" s="6"/>
      <c r="M68" s="6"/>
      <c r="N68" s="6"/>
      <c r="O68" s="5"/>
      <c r="P68" s="7" t="str">
        <f t="shared" si="7"/>
        <v/>
      </c>
      <c r="Q68" s="7" t="str">
        <f t="shared" si="8"/>
        <v/>
      </c>
      <c r="R68" s="7" t="str">
        <f t="shared" si="9"/>
        <v/>
      </c>
      <c r="S68" s="7">
        <f>IF($A68="","",IF(AND(LEFT($G68,3)="ДОК",$N68&lt;&gt;""),IFERROR(INDEX(Документация!$E$2:$E$57,MATCH($N68,Документация!$F$2:$F$57,0)),0),N($F68))*(1-MEDIAN(0,N(ДисконтТендер),1)))</f>
        <v>1021.9</v>
      </c>
      <c r="T68" s="7">
        <f>IF($A68="","",IF(AND(LEFT($G68,3)="ДОК",$N68&lt;&gt;""),0,IF(AND(LEFT($G68,3)&lt;&gt;"ДОК",$N68&lt;&gt;""),IFERROR(INDEX(МАТЕРИАЛЫ!$H$2:$H$9000,MATCH($N68,МАТЕРИАЛЫ!$L$2:$L$9000,0))*IF(INDEX(МАТЕРИАЛЫ!$I$2:$I$9000,MATCH($N68,МАТЕРИАЛЫ!$L$2:$L$9000,0))="USD",КурсUSD,IF(INDEX(МАТЕРИАЛЫ!$I$2:$I$9000,MATCH($N68,МАТЕРИАЛЫ!$L$2:$L$9000,0))="EUR",КурсEUR,IF(INDEX(МАТЕРИАЛЫ!$I$2:$I$9000,MATCH($N68,МАТЕРИАЛЫ!$L$2:$L$9000,0))="CNY",КурсCNY,1)))*(1+N($H68)/100),0),N($O68))*(1-MEDIAN(0,N(ДисконтТендер),1))))</f>
        <v>0</v>
      </c>
      <c r="U68" t="str">
        <f>IF($L68="да",MAX($U$1:$U67)+1,"")</f>
        <v/>
      </c>
      <c r="V68" t="str">
        <f t="shared" si="10"/>
        <v>Р2</v>
      </c>
      <c r="W68" t="str">
        <f t="shared" si="11"/>
        <v/>
      </c>
      <c r="X68" t="str">
        <f t="shared" si="12"/>
        <v/>
      </c>
      <c r="Y68" s="4" t="str">
        <f>IF($A68="","",IF(AND(LEFT($G68,3)="ДОК",$N68&lt;&gt;""),IFERROR(INDEX(Документация!$G$2:$G$57,MATCH($N68,Документация!$F$2:$F$57,0)),$D68),$D68&amp;IF(AND(LEFT($G68,3)&lt;&gt;"ДОК",$N68&lt;&gt;"")," — "&amp;IFERROR(INDEX(МАТЕРИАЛЫ!$C$2:$C$9000,MATCH($N68,МАТЕРИАЛЫ!$L$2:$L$9000,0)),""),"")))</f>
        <v>Демонтаж кирпичных перегородок (в 1/2 кирпича)</v>
      </c>
      <c r="Z68" t="str">
        <f t="shared" si="13"/>
        <v>Р2 · Демонтажные работы</v>
      </c>
    </row>
    <row r="69" spans="1:26" ht="28.8" x14ac:dyDescent="0.3">
      <c r="A69" t="s">
        <v>196</v>
      </c>
      <c r="B69" t="s">
        <v>134</v>
      </c>
      <c r="C69" t="s">
        <v>194</v>
      </c>
      <c r="D69" s="4" t="s">
        <v>197</v>
      </c>
      <c r="E69" t="s">
        <v>52</v>
      </c>
      <c r="F69" s="5">
        <v>1287</v>
      </c>
      <c r="H69">
        <v>0</v>
      </c>
      <c r="I69" t="s">
        <v>53</v>
      </c>
      <c r="L69" s="6"/>
      <c r="M69" s="6"/>
      <c r="N69" s="6"/>
      <c r="O69" s="5"/>
      <c r="P69" s="7" t="str">
        <f t="shared" si="7"/>
        <v/>
      </c>
      <c r="Q69" s="7" t="str">
        <f t="shared" si="8"/>
        <v/>
      </c>
      <c r="R69" s="7" t="str">
        <f t="shared" si="9"/>
        <v/>
      </c>
      <c r="S69" s="7">
        <f>IF($A69="","",IF(AND(LEFT($G69,3)="ДОК",$N69&lt;&gt;""),IFERROR(INDEX(Документация!$E$2:$E$57,MATCH($N69,Документация!$F$2:$F$57,0)),0),N($F69))*(1-MEDIAN(0,N(ДисконтТендер),1)))</f>
        <v>1287</v>
      </c>
      <c r="T69" s="7">
        <f>IF($A69="","",IF(AND(LEFT($G69,3)="ДОК",$N69&lt;&gt;""),0,IF(AND(LEFT($G69,3)&lt;&gt;"ДОК",$N69&lt;&gt;""),IFERROR(INDEX(МАТЕРИАЛЫ!$H$2:$H$9000,MATCH($N69,МАТЕРИАЛЫ!$L$2:$L$9000,0))*IF(INDEX(МАТЕРИАЛЫ!$I$2:$I$9000,MATCH($N69,МАТЕРИАЛЫ!$L$2:$L$9000,0))="USD",КурсUSD,IF(INDEX(МАТЕРИАЛЫ!$I$2:$I$9000,MATCH($N69,МАТЕРИАЛЫ!$L$2:$L$9000,0))="EUR",КурсEUR,IF(INDEX(МАТЕРИАЛЫ!$I$2:$I$9000,MATCH($N69,МАТЕРИАЛЫ!$L$2:$L$9000,0))="CNY",КурсCNY,1)))*(1+N($H69)/100),0),N($O69))*(1-MEDIAN(0,N(ДисконтТендер),1))))</f>
        <v>0</v>
      </c>
      <c r="U69" t="str">
        <f>IF($L69="да",MAX($U$1:$U68)+1,"")</f>
        <v/>
      </c>
      <c r="V69" t="str">
        <f t="shared" si="10"/>
        <v>Р2</v>
      </c>
      <c r="W69" t="str">
        <f t="shared" si="11"/>
        <v/>
      </c>
      <c r="X69" t="str">
        <f t="shared" si="12"/>
        <v/>
      </c>
      <c r="Y69" s="4" t="str">
        <f>IF($A69="","",IF(AND(LEFT($G69,3)="ДОК",$N69&lt;&gt;""),IFERROR(INDEX(Документация!$G$2:$G$57,MATCH($N69,Документация!$F$2:$F$57,0)),$D69),$D69&amp;IF(AND(LEFT($G69,3)&lt;&gt;"ДОК",$N69&lt;&gt;"")," — "&amp;IFERROR(INDEX(МАТЕРИАЛЫ!$C$2:$C$9000,MATCH($N69,МАТЕРИАЛЫ!$L$2:$L$9000,0)),""),"")))</f>
        <v>Демонтаж кирпичных перегородок (в 1/2 кирпича) с армированием ( d16 яч. 150Х150)</v>
      </c>
      <c r="Z69" t="str">
        <f t="shared" si="13"/>
        <v>Р2 · Демонтажные работы</v>
      </c>
    </row>
    <row r="70" spans="1:26" x14ac:dyDescent="0.3">
      <c r="A70" t="s">
        <v>198</v>
      </c>
      <c r="B70" t="s">
        <v>134</v>
      </c>
      <c r="C70" t="s">
        <v>194</v>
      </c>
      <c r="D70" s="4" t="s">
        <v>199</v>
      </c>
      <c r="E70" t="s">
        <v>150</v>
      </c>
      <c r="F70" s="5">
        <v>8175.22</v>
      </c>
      <c r="H70">
        <v>0</v>
      </c>
      <c r="I70" t="s">
        <v>53</v>
      </c>
      <c r="L70" s="6"/>
      <c r="M70" s="6"/>
      <c r="N70" s="6"/>
      <c r="O70" s="5"/>
      <c r="P70" s="7" t="str">
        <f t="shared" si="7"/>
        <v/>
      </c>
      <c r="Q70" s="7" t="str">
        <f t="shared" si="8"/>
        <v/>
      </c>
      <c r="R70" s="7" t="str">
        <f t="shared" si="9"/>
        <v/>
      </c>
      <c r="S70" s="7">
        <f>IF($A70="","",IF(AND(LEFT($G70,3)="ДОК",$N70&lt;&gt;""),IFERROR(INDEX(Документация!$E$2:$E$57,MATCH($N70,Документация!$F$2:$F$57,0)),0),N($F70))*(1-MEDIAN(0,N(ДисконтТендер),1)))</f>
        <v>8175.22</v>
      </c>
      <c r="T70" s="7">
        <f>IF($A70="","",IF(AND(LEFT($G70,3)="ДОК",$N70&lt;&gt;""),0,IF(AND(LEFT($G70,3)&lt;&gt;"ДОК",$N70&lt;&gt;""),IFERROR(INDEX(МАТЕРИАЛЫ!$H$2:$H$9000,MATCH($N70,МАТЕРИАЛЫ!$L$2:$L$9000,0))*IF(INDEX(МАТЕРИАЛЫ!$I$2:$I$9000,MATCH($N70,МАТЕРИАЛЫ!$L$2:$L$9000,0))="USD",КурсUSD,IF(INDEX(МАТЕРИАЛЫ!$I$2:$I$9000,MATCH($N70,МАТЕРИАЛЫ!$L$2:$L$9000,0))="EUR",КурсEUR,IF(INDEX(МАТЕРИАЛЫ!$I$2:$I$9000,MATCH($N70,МАТЕРИАЛЫ!$L$2:$L$9000,0))="CNY",КурсCNY,1)))*(1+N($H70)/100),0),N($O70))*(1-MEDIAN(0,N(ДисконтТендер),1))))</f>
        <v>0</v>
      </c>
      <c r="U70" t="str">
        <f>IF($L70="да",MAX($U$1:$U69)+1,"")</f>
        <v/>
      </c>
      <c r="V70" t="str">
        <f t="shared" si="10"/>
        <v>Р2</v>
      </c>
      <c r="W70" t="str">
        <f t="shared" si="11"/>
        <v/>
      </c>
      <c r="X70" t="str">
        <f t="shared" si="12"/>
        <v/>
      </c>
      <c r="Y70" s="4" t="str">
        <f>IF($A70="","",IF(AND(LEFT($G70,3)="ДОК",$N70&lt;&gt;""),IFERROR(INDEX(Документация!$G$2:$G$57,MATCH($N70,Документация!$F$2:$F$57,0)),$D70),$D70&amp;IF(AND(LEFT($G70,3)&lt;&gt;"ДОК",$N70&lt;&gt;"")," — "&amp;IFERROR(INDEX(МАТЕРИАЛЫ!$C$2:$C$9000,MATCH($N70,МАТЕРИАЛЫ!$L$2:$L$9000,0)),""),"")))</f>
        <v>Демонтаж кирпичных стен</v>
      </c>
      <c r="Z70" t="str">
        <f t="shared" si="13"/>
        <v>Р2 · Демонтажные работы</v>
      </c>
    </row>
    <row r="71" spans="1:26" x14ac:dyDescent="0.3">
      <c r="A71" t="s">
        <v>200</v>
      </c>
      <c r="B71" t="s">
        <v>134</v>
      </c>
      <c r="C71" t="s">
        <v>194</v>
      </c>
      <c r="D71" s="4" t="s">
        <v>201</v>
      </c>
      <c r="E71" t="s">
        <v>150</v>
      </c>
      <c r="F71" s="5">
        <v>8992.74</v>
      </c>
      <c r="H71">
        <v>0</v>
      </c>
      <c r="I71" t="s">
        <v>53</v>
      </c>
      <c r="L71" s="6"/>
      <c r="M71" s="6"/>
      <c r="N71" s="6"/>
      <c r="O71" s="5"/>
      <c r="P71" s="7" t="str">
        <f t="shared" si="7"/>
        <v/>
      </c>
      <c r="Q71" s="7" t="str">
        <f t="shared" si="8"/>
        <v/>
      </c>
      <c r="R71" s="7" t="str">
        <f t="shared" si="9"/>
        <v/>
      </c>
      <c r="S71" s="7">
        <f>IF($A71="","",IF(AND(LEFT($G71,3)="ДОК",$N71&lt;&gt;""),IFERROR(INDEX(Документация!$E$2:$E$57,MATCH($N71,Документация!$F$2:$F$57,0)),0),N($F71))*(1-MEDIAN(0,N(ДисконтТендер),1)))</f>
        <v>8992.74</v>
      </c>
      <c r="T71" s="7">
        <f>IF($A71="","",IF(AND(LEFT($G71,3)="ДОК",$N71&lt;&gt;""),0,IF(AND(LEFT($G71,3)&lt;&gt;"ДОК",$N71&lt;&gt;""),IFERROR(INDEX(МАТЕРИАЛЫ!$H$2:$H$9000,MATCH($N71,МАТЕРИАЛЫ!$L$2:$L$9000,0))*IF(INDEX(МАТЕРИАЛЫ!$I$2:$I$9000,MATCH($N71,МАТЕРИАЛЫ!$L$2:$L$9000,0))="USD",КурсUSD,IF(INDEX(МАТЕРИАЛЫ!$I$2:$I$9000,MATCH($N71,МАТЕРИАЛЫ!$L$2:$L$9000,0))="EUR",КурсEUR,IF(INDEX(МАТЕРИАЛЫ!$I$2:$I$9000,MATCH($N71,МАТЕРИАЛЫ!$L$2:$L$9000,0))="CNY",КурсCNY,1)))*(1+N($H71)/100),0),N($O71))*(1-MEDIAN(0,N(ДисконтТендер),1))))</f>
        <v>0</v>
      </c>
      <c r="U71" t="str">
        <f>IF($L71="да",MAX($U$1:$U70)+1,"")</f>
        <v/>
      </c>
      <c r="V71" t="str">
        <f t="shared" si="10"/>
        <v>Р2</v>
      </c>
      <c r="W71" t="str">
        <f t="shared" si="11"/>
        <v/>
      </c>
      <c r="X71" t="str">
        <f t="shared" si="12"/>
        <v/>
      </c>
      <c r="Y71" s="4" t="str">
        <f>IF($A71="","",IF(AND(LEFT($G71,3)="ДОК",$N71&lt;&gt;""),IFERROR(INDEX(Документация!$G$2:$G$57,MATCH($N71,Документация!$F$2:$F$57,0)),$D71),$D71&amp;IF(AND(LEFT($G71,3)&lt;&gt;"ДОК",$N71&lt;&gt;"")," — "&amp;IFERROR(INDEX(МАТЕРИАЛЫ!$C$2:$C$9000,MATCH($N71,МАТЕРИАЛЫ!$L$2:$L$9000,0)),""),"")))</f>
        <v>Демонтаж стен из пенобетонных блоков</v>
      </c>
      <c r="Z71" t="str">
        <f t="shared" si="13"/>
        <v>Р2 · Демонтажные работы</v>
      </c>
    </row>
    <row r="72" spans="1:26" ht="28.8" x14ac:dyDescent="0.3">
      <c r="A72" t="s">
        <v>202</v>
      </c>
      <c r="B72" t="s">
        <v>134</v>
      </c>
      <c r="C72" t="s">
        <v>194</v>
      </c>
      <c r="D72" s="4" t="s">
        <v>203</v>
      </c>
      <c r="E72" t="s">
        <v>52</v>
      </c>
      <c r="F72" s="5">
        <v>144.58000000000001</v>
      </c>
      <c r="H72">
        <v>0</v>
      </c>
      <c r="I72" t="s">
        <v>53</v>
      </c>
      <c r="L72" s="6"/>
      <c r="M72" s="6"/>
      <c r="N72" s="6"/>
      <c r="O72" s="5"/>
      <c r="P72" s="7" t="str">
        <f t="shared" si="7"/>
        <v/>
      </c>
      <c r="Q72" s="7" t="str">
        <f t="shared" si="8"/>
        <v/>
      </c>
      <c r="R72" s="7" t="str">
        <f t="shared" si="9"/>
        <v/>
      </c>
      <c r="S72" s="7">
        <f>IF($A72="","",IF(AND(LEFT($G72,3)="ДОК",$N72&lt;&gt;""),IFERROR(INDEX(Документация!$E$2:$E$57,MATCH($N72,Документация!$F$2:$F$57,0)),0),N($F72))*(1-MEDIAN(0,N(ДисконтТендер),1)))</f>
        <v>144.58000000000001</v>
      </c>
      <c r="T72" s="7">
        <f>IF($A72="","",IF(AND(LEFT($G72,3)="ДОК",$N72&lt;&gt;""),0,IF(AND(LEFT($G72,3)&lt;&gt;"ДОК",$N72&lt;&gt;""),IFERROR(INDEX(МАТЕРИАЛЫ!$H$2:$H$9000,MATCH($N72,МАТЕРИАЛЫ!$L$2:$L$9000,0))*IF(INDEX(МАТЕРИАЛЫ!$I$2:$I$9000,MATCH($N72,МАТЕРИАЛЫ!$L$2:$L$9000,0))="USD",КурсUSD,IF(INDEX(МАТЕРИАЛЫ!$I$2:$I$9000,MATCH($N72,МАТЕРИАЛЫ!$L$2:$L$9000,0))="EUR",КурсEUR,IF(INDEX(МАТЕРИАЛЫ!$I$2:$I$9000,MATCH($N72,МАТЕРИАЛЫ!$L$2:$L$9000,0))="CNY",КурсCNY,1)))*(1+N($H72)/100),0),N($O72))*(1-MEDIAN(0,N(ДисконтТендер),1))))</f>
        <v>0</v>
      </c>
      <c r="U72" t="str">
        <f>IF($L72="да",MAX($U$1:$U71)+1,"")</f>
        <v/>
      </c>
      <c r="V72" t="str">
        <f t="shared" si="10"/>
        <v>Р2</v>
      </c>
      <c r="W72" t="str">
        <f t="shared" si="11"/>
        <v/>
      </c>
      <c r="X72" t="str">
        <f t="shared" si="12"/>
        <v/>
      </c>
      <c r="Y72" s="4" t="str">
        <f>IF($A72="","",IF(AND(LEFT($G72,3)="ДОК",$N72&lt;&gt;""),IFERROR(INDEX(Документация!$G$2:$G$57,MATCH($N72,Документация!$F$2:$F$57,0)),$D72),$D72&amp;IF(AND(LEFT($G72,3)&lt;&gt;"ДОК",$N72&lt;&gt;"")," — "&amp;IFERROR(INDEX(МАТЕРИАЛЫ!$C$2:$C$9000,MATCH($N72,МАТЕРИАЛЫ!$L$2:$L$9000,0)),""),"")))</f>
        <v>Демонтаж утеплителя стен из минераловатных плит</v>
      </c>
      <c r="Z72" t="str">
        <f t="shared" si="13"/>
        <v>Р2 · Демонтажные работы</v>
      </c>
    </row>
    <row r="73" spans="1:26" x14ac:dyDescent="0.3">
      <c r="A73" t="s">
        <v>204</v>
      </c>
      <c r="B73" t="s">
        <v>134</v>
      </c>
      <c r="C73" t="s">
        <v>194</v>
      </c>
      <c r="D73" s="4" t="s">
        <v>205</v>
      </c>
      <c r="E73" t="s">
        <v>150</v>
      </c>
      <c r="F73" s="5">
        <v>156.6</v>
      </c>
      <c r="H73">
        <v>0</v>
      </c>
      <c r="I73" t="s">
        <v>53</v>
      </c>
      <c r="L73" s="6"/>
      <c r="M73" s="6"/>
      <c r="N73" s="6"/>
      <c r="O73" s="5"/>
      <c r="P73" s="7" t="str">
        <f t="shared" si="7"/>
        <v/>
      </c>
      <c r="Q73" s="7" t="str">
        <f t="shared" si="8"/>
        <v/>
      </c>
      <c r="R73" s="7" t="str">
        <f t="shared" si="9"/>
        <v/>
      </c>
      <c r="S73" s="7">
        <f>IF($A73="","",IF(AND(LEFT($G73,3)="ДОК",$N73&lt;&gt;""),IFERROR(INDEX(Документация!$E$2:$E$57,MATCH($N73,Документация!$F$2:$F$57,0)),0),N($F73))*(1-MEDIAN(0,N(ДисконтТендер),1)))</f>
        <v>156.6</v>
      </c>
      <c r="T73" s="7">
        <f>IF($A73="","",IF(AND(LEFT($G73,3)="ДОК",$N73&lt;&gt;""),0,IF(AND(LEFT($G73,3)&lt;&gt;"ДОК",$N73&lt;&gt;""),IFERROR(INDEX(МАТЕРИАЛЫ!$H$2:$H$9000,MATCH($N73,МАТЕРИАЛЫ!$L$2:$L$9000,0))*IF(INDEX(МАТЕРИАЛЫ!$I$2:$I$9000,MATCH($N73,МАТЕРИАЛЫ!$L$2:$L$9000,0))="USD",КурсUSD,IF(INDEX(МАТЕРИАЛЫ!$I$2:$I$9000,MATCH($N73,МАТЕРИАЛЫ!$L$2:$L$9000,0))="EUR",КурсEUR,IF(INDEX(МАТЕРИАЛЫ!$I$2:$I$9000,MATCH($N73,МАТЕРИАЛЫ!$L$2:$L$9000,0))="CNY",КурсCNY,1)))*(1+N($H73)/100),0),N($O73))*(1-MEDIAN(0,N(ДисконтТендер),1))))</f>
        <v>0</v>
      </c>
      <c r="U73" t="str">
        <f>IF($L73="да",MAX($U$1:$U72)+1,"")</f>
        <v/>
      </c>
      <c r="V73" t="str">
        <f t="shared" si="10"/>
        <v>Р2</v>
      </c>
      <c r="W73" t="str">
        <f t="shared" si="11"/>
        <v/>
      </c>
      <c r="X73" t="str">
        <f t="shared" si="12"/>
        <v/>
      </c>
      <c r="Y73" s="4" t="str">
        <f>IF($A73="","",IF(AND(LEFT($G73,3)="ДОК",$N73&lt;&gt;""),IFERROR(INDEX(Документация!$G$2:$G$57,MATCH($N73,Документация!$F$2:$F$57,0)),$D73),$D73&amp;IF(AND(LEFT($G73,3)&lt;&gt;"ДОК",$N73&lt;&gt;"")," — "&amp;IFERROR(INDEX(МАТЕРИАЛЫ!$C$2:$C$9000,MATCH($N73,МАТЕРИАЛЫ!$L$2:$L$9000,0)),""),"")))</f>
        <v>Демонтаж утеплителя стен из пенополистирола</v>
      </c>
      <c r="Z73" t="str">
        <f t="shared" si="13"/>
        <v>Р2 · Демонтажные работы</v>
      </c>
    </row>
    <row r="74" spans="1:26" ht="28.8" x14ac:dyDescent="0.3">
      <c r="A74" t="s">
        <v>206</v>
      </c>
      <c r="B74" t="s">
        <v>134</v>
      </c>
      <c r="C74" t="s">
        <v>194</v>
      </c>
      <c r="D74" s="4" t="s">
        <v>207</v>
      </c>
      <c r="E74" t="s">
        <v>52</v>
      </c>
      <c r="F74" s="5">
        <v>341.73</v>
      </c>
      <c r="H74">
        <v>0</v>
      </c>
      <c r="I74" t="s">
        <v>53</v>
      </c>
      <c r="L74" s="6"/>
      <c r="M74" s="6"/>
      <c r="N74" s="6"/>
      <c r="O74" s="5"/>
      <c r="P74" s="7" t="str">
        <f t="shared" si="7"/>
        <v/>
      </c>
      <c r="Q74" s="7" t="str">
        <f t="shared" si="8"/>
        <v/>
      </c>
      <c r="R74" s="7" t="str">
        <f t="shared" si="9"/>
        <v/>
      </c>
      <c r="S74" s="7">
        <f>IF($A74="","",IF(AND(LEFT($G74,3)="ДОК",$N74&lt;&gt;""),IFERROR(INDEX(Документация!$E$2:$E$57,MATCH($N74,Документация!$F$2:$F$57,0)),0),N($F74))*(1-MEDIAN(0,N(ДисконтТендер),1)))</f>
        <v>341.73</v>
      </c>
      <c r="T74" s="7">
        <f>IF($A74="","",IF(AND(LEFT($G74,3)="ДОК",$N74&lt;&gt;""),0,IF(AND(LEFT($G74,3)&lt;&gt;"ДОК",$N74&lt;&gt;""),IFERROR(INDEX(МАТЕРИАЛЫ!$H$2:$H$9000,MATCH($N74,МАТЕРИАЛЫ!$L$2:$L$9000,0))*IF(INDEX(МАТЕРИАЛЫ!$I$2:$I$9000,MATCH($N74,МАТЕРИАЛЫ!$L$2:$L$9000,0))="USD",КурсUSD,IF(INDEX(МАТЕРИАЛЫ!$I$2:$I$9000,MATCH($N74,МАТЕРИАЛЫ!$L$2:$L$9000,0))="EUR",КурсEUR,IF(INDEX(МАТЕРИАЛЫ!$I$2:$I$9000,MATCH($N74,МАТЕРИАЛЫ!$L$2:$L$9000,0))="CNY",КурсCNY,1)))*(1+N($H74)/100),0),N($O74))*(1-MEDIAN(0,N(ДисконтТендер),1))))</f>
        <v>0</v>
      </c>
      <c r="U74" t="str">
        <f>IF($L74="да",MAX($U$1:$U73)+1,"")</f>
        <v/>
      </c>
      <c r="V74" t="str">
        <f t="shared" si="10"/>
        <v>Р2</v>
      </c>
      <c r="W74" t="str">
        <f t="shared" si="11"/>
        <v/>
      </c>
      <c r="X74" t="str">
        <f t="shared" si="12"/>
        <v/>
      </c>
      <c r="Y74" s="4" t="str">
        <f>IF($A74="","",IF(AND(LEFT($G74,3)="ДОК",$N74&lt;&gt;""),IFERROR(INDEX(Документация!$G$2:$G$57,MATCH($N74,Документация!$F$2:$F$57,0)),$D74),$D74&amp;IF(AND(LEFT($G74,3)&lt;&gt;"ДОК",$N74&lt;&gt;"")," — "&amp;IFERROR(INDEX(МАТЕРИАЛЫ!$C$2:$C$9000,MATCH($N74,МАТЕРИАЛЫ!$L$2:$L$9000,0)),""),"")))</f>
        <v>Демонтаж облицовки стен листами ГКЛ по металлическому каркасу</v>
      </c>
      <c r="Z74" t="str">
        <f t="shared" si="13"/>
        <v>Р2 · Демонтажные работы</v>
      </c>
    </row>
    <row r="75" spans="1:26" x14ac:dyDescent="0.3">
      <c r="A75" t="s">
        <v>208</v>
      </c>
      <c r="B75" t="s">
        <v>134</v>
      </c>
      <c r="C75" t="s">
        <v>194</v>
      </c>
      <c r="D75" s="4" t="s">
        <v>209</v>
      </c>
      <c r="E75" t="s">
        <v>52</v>
      </c>
      <c r="F75" s="5">
        <v>281.88</v>
      </c>
      <c r="H75">
        <v>0</v>
      </c>
      <c r="I75" t="s">
        <v>53</v>
      </c>
      <c r="L75" s="6"/>
      <c r="M75" s="6"/>
      <c r="N75" s="6"/>
      <c r="O75" s="5"/>
      <c r="P75" s="7" t="str">
        <f t="shared" si="7"/>
        <v/>
      </c>
      <c r="Q75" s="7" t="str">
        <f t="shared" si="8"/>
        <v/>
      </c>
      <c r="R75" s="7" t="str">
        <f t="shared" si="9"/>
        <v/>
      </c>
      <c r="S75" s="7">
        <f>IF($A75="","",IF(AND(LEFT($G75,3)="ДОК",$N75&lt;&gt;""),IFERROR(INDEX(Документация!$E$2:$E$57,MATCH($N75,Документация!$F$2:$F$57,0)),0),N($F75))*(1-MEDIAN(0,N(ДисконтТендер),1)))</f>
        <v>281.88</v>
      </c>
      <c r="T75" s="7">
        <f>IF($A75="","",IF(AND(LEFT($G75,3)="ДОК",$N75&lt;&gt;""),0,IF(AND(LEFT($G75,3)&lt;&gt;"ДОК",$N75&lt;&gt;""),IFERROR(INDEX(МАТЕРИАЛЫ!$H$2:$H$9000,MATCH($N75,МАТЕРИАЛЫ!$L$2:$L$9000,0))*IF(INDEX(МАТЕРИАЛЫ!$I$2:$I$9000,MATCH($N75,МАТЕРИАЛЫ!$L$2:$L$9000,0))="USD",КурсUSD,IF(INDEX(МАТЕРИАЛЫ!$I$2:$I$9000,MATCH($N75,МАТЕРИАЛЫ!$L$2:$L$9000,0))="EUR",КурсEUR,IF(INDEX(МАТЕРИАЛЫ!$I$2:$I$9000,MATCH($N75,МАТЕРИАЛЫ!$L$2:$L$9000,0))="CNY",КурсCNY,1)))*(1+N($H75)/100),0),N($O75))*(1-MEDIAN(0,N(ДисконтТендер),1))))</f>
        <v>0</v>
      </c>
      <c r="U75" t="str">
        <f>IF($L75="да",MAX($U$1:$U74)+1,"")</f>
        <v/>
      </c>
      <c r="V75" t="str">
        <f t="shared" si="10"/>
        <v>Р2</v>
      </c>
      <c r="W75" t="str">
        <f t="shared" si="11"/>
        <v/>
      </c>
      <c r="X75" t="str">
        <f t="shared" si="12"/>
        <v/>
      </c>
      <c r="Y75" s="4" t="str">
        <f>IF($A75="","",IF(AND(LEFT($G75,3)="ДОК",$N75&lt;&gt;""),IFERROR(INDEX(Документация!$G$2:$G$57,MATCH($N75,Документация!$F$2:$F$57,0)),$D75),$D75&amp;IF(AND(LEFT($G75,3)&lt;&gt;"ДОК",$N75&lt;&gt;"")," — "&amp;IFERROR(INDEX(МАТЕРИАЛЫ!$C$2:$C$9000,MATCH($N75,МАТЕРИАЛЫ!$L$2:$L$9000,0)),""),"")))</f>
        <v>Демонтаж облицовки стен из МДФ панелей</v>
      </c>
      <c r="Z75" t="str">
        <f t="shared" si="13"/>
        <v>Р2 · Демонтажные работы</v>
      </c>
    </row>
    <row r="76" spans="1:26" ht="28.8" x14ac:dyDescent="0.3">
      <c r="A76" t="s">
        <v>210</v>
      </c>
      <c r="B76" t="s">
        <v>134</v>
      </c>
      <c r="C76" t="s">
        <v>194</v>
      </c>
      <c r="D76" s="4" t="s">
        <v>211</v>
      </c>
      <c r="E76" t="s">
        <v>52</v>
      </c>
      <c r="F76" s="5">
        <v>433.73</v>
      </c>
      <c r="H76">
        <v>0</v>
      </c>
      <c r="I76" t="s">
        <v>53</v>
      </c>
      <c r="L76" s="6"/>
      <c r="M76" s="6"/>
      <c r="N76" s="6"/>
      <c r="O76" s="5"/>
      <c r="P76" s="7" t="str">
        <f t="shared" si="7"/>
        <v/>
      </c>
      <c r="Q76" s="7" t="str">
        <f t="shared" si="8"/>
        <v/>
      </c>
      <c r="R76" s="7" t="str">
        <f t="shared" si="9"/>
        <v/>
      </c>
      <c r="S76" s="7">
        <f>IF($A76="","",IF(AND(LEFT($G76,3)="ДОК",$N76&lt;&gt;""),IFERROR(INDEX(Документация!$E$2:$E$57,MATCH($N76,Документация!$F$2:$F$57,0)),0),N($F76))*(1-MEDIAN(0,N(ДисконтТендер),1)))</f>
        <v>433.73</v>
      </c>
      <c r="T76" s="7">
        <f>IF($A76="","",IF(AND(LEFT($G76,3)="ДОК",$N76&lt;&gt;""),0,IF(AND(LEFT($G76,3)&lt;&gt;"ДОК",$N76&lt;&gt;""),IFERROR(INDEX(МАТЕРИАЛЫ!$H$2:$H$9000,MATCH($N76,МАТЕРИАЛЫ!$L$2:$L$9000,0))*IF(INDEX(МАТЕРИАЛЫ!$I$2:$I$9000,MATCH($N76,МАТЕРИАЛЫ!$L$2:$L$9000,0))="USD",КурсUSD,IF(INDEX(МАТЕРИАЛЫ!$I$2:$I$9000,MATCH($N76,МАТЕРИАЛЫ!$L$2:$L$9000,0))="EUR",КурсEUR,IF(INDEX(МАТЕРИАЛЫ!$I$2:$I$9000,MATCH($N76,МАТЕРИАЛЫ!$L$2:$L$9000,0))="CNY",КурсCNY,1)))*(1+N($H76)/100),0),N($O76))*(1-MEDIAN(0,N(ДисконтТендер),1))))</f>
        <v>0</v>
      </c>
      <c r="U76" t="str">
        <f>IF($L76="да",MAX($U$1:$U75)+1,"")</f>
        <v/>
      </c>
      <c r="V76" t="str">
        <f t="shared" si="10"/>
        <v>Р2</v>
      </c>
      <c r="W76" t="str">
        <f t="shared" si="11"/>
        <v/>
      </c>
      <c r="X76" t="str">
        <f t="shared" si="12"/>
        <v/>
      </c>
      <c r="Y76" s="4" t="str">
        <f>IF($A76="","",IF(AND(LEFT($G76,3)="ДОК",$N76&lt;&gt;""),IFERROR(INDEX(Документация!$G$2:$G$57,MATCH($N76,Документация!$F$2:$F$57,0)),$D76),$D76&amp;IF(AND(LEFT($G76,3)&lt;&gt;"ДОК",$N76&lt;&gt;"")," — "&amp;IFERROR(INDEX(МАТЕРИАЛЫ!$C$2:$C$9000,MATCH($N76,МАТЕРИАЛЫ!$L$2:$L$9000,0)),""),"")))</f>
        <v>Демонтаж каркасных деревянных перегородок с облицовкой панелями МДФ</v>
      </c>
      <c r="Z76" t="str">
        <f t="shared" si="13"/>
        <v>Р2 · Демонтажные работы</v>
      </c>
    </row>
    <row r="77" spans="1:26" ht="28.8" x14ac:dyDescent="0.3">
      <c r="A77" t="s">
        <v>212</v>
      </c>
      <c r="B77" t="s">
        <v>134</v>
      </c>
      <c r="C77" t="s">
        <v>194</v>
      </c>
      <c r="D77" s="4" t="s">
        <v>213</v>
      </c>
      <c r="E77" t="s">
        <v>52</v>
      </c>
      <c r="F77" s="5">
        <v>453.45</v>
      </c>
      <c r="H77">
        <v>0</v>
      </c>
      <c r="I77" t="s">
        <v>53</v>
      </c>
      <c r="L77" s="6"/>
      <c r="M77" s="6"/>
      <c r="N77" s="6"/>
      <c r="O77" s="5"/>
      <c r="P77" s="7" t="str">
        <f t="shared" si="7"/>
        <v/>
      </c>
      <c r="Q77" s="7" t="str">
        <f t="shared" si="8"/>
        <v/>
      </c>
      <c r="R77" s="7" t="str">
        <f t="shared" si="9"/>
        <v/>
      </c>
      <c r="S77" s="7">
        <f>IF($A77="","",IF(AND(LEFT($G77,3)="ДОК",$N77&lt;&gt;""),IFERROR(INDEX(Документация!$E$2:$E$57,MATCH($N77,Документация!$F$2:$F$57,0)),0),N($F77))*(1-MEDIAN(0,N(ДисконтТендер),1)))</f>
        <v>453.45</v>
      </c>
      <c r="T77" s="7">
        <f>IF($A77="","",IF(AND(LEFT($G77,3)="ДОК",$N77&lt;&gt;""),0,IF(AND(LEFT($G77,3)&lt;&gt;"ДОК",$N77&lt;&gt;""),IFERROR(INDEX(МАТЕРИАЛЫ!$H$2:$H$9000,MATCH($N77,МАТЕРИАЛЫ!$L$2:$L$9000,0))*IF(INDEX(МАТЕРИАЛЫ!$I$2:$I$9000,MATCH($N77,МАТЕРИАЛЫ!$L$2:$L$9000,0))="USD",КурсUSD,IF(INDEX(МАТЕРИАЛЫ!$I$2:$I$9000,MATCH($N77,МАТЕРИАЛЫ!$L$2:$L$9000,0))="EUR",КурсEUR,IF(INDEX(МАТЕРИАЛЫ!$I$2:$I$9000,MATCH($N77,МАТЕРИАЛЫ!$L$2:$L$9000,0))="CNY",КурсCNY,1)))*(1+N($H77)/100),0),N($O77))*(1-MEDIAN(0,N(ДисконтТендер),1))))</f>
        <v>0</v>
      </c>
      <c r="U77" t="str">
        <f>IF($L77="да",MAX($U$1:$U76)+1,"")</f>
        <v/>
      </c>
      <c r="V77" t="str">
        <f t="shared" si="10"/>
        <v>Р2</v>
      </c>
      <c r="W77" t="str">
        <f t="shared" si="11"/>
        <v/>
      </c>
      <c r="X77" t="str">
        <f t="shared" si="12"/>
        <v/>
      </c>
      <c r="Y77" s="4" t="str">
        <f>IF($A77="","",IF(AND(LEFT($G77,3)="ДОК",$N77&lt;&gt;""),IFERROR(INDEX(Документация!$G$2:$G$57,MATCH($N77,Документация!$F$2:$F$57,0)),$D77),$D77&amp;IF(AND(LEFT($G77,3)&lt;&gt;"ДОК",$N77&lt;&gt;"")," — "&amp;IFERROR(INDEX(МАТЕРИАЛЫ!$C$2:$C$9000,MATCH($N77,МАТЕРИАЛЫ!$L$2:$L$9000,0)),""),"")))</f>
        <v>Демонтаж перегородок по металлическому каркасу с облицовкой панелями МДФ</v>
      </c>
      <c r="Z77" t="str">
        <f t="shared" si="13"/>
        <v>Р2 · Демонтажные работы</v>
      </c>
    </row>
    <row r="78" spans="1:26" x14ac:dyDescent="0.3">
      <c r="A78" t="s">
        <v>214</v>
      </c>
      <c r="B78" t="s">
        <v>134</v>
      </c>
      <c r="C78" t="s">
        <v>194</v>
      </c>
      <c r="D78" s="4" t="s">
        <v>215</v>
      </c>
      <c r="E78" t="s">
        <v>52</v>
      </c>
      <c r="F78" s="5">
        <v>337.56</v>
      </c>
      <c r="H78">
        <v>0</v>
      </c>
      <c r="I78" t="s">
        <v>53</v>
      </c>
      <c r="L78" s="6"/>
      <c r="M78" s="6"/>
      <c r="N78" s="6"/>
      <c r="O78" s="5"/>
      <c r="P78" s="7" t="str">
        <f t="shared" si="7"/>
        <v/>
      </c>
      <c r="Q78" s="7" t="str">
        <f t="shared" si="8"/>
        <v/>
      </c>
      <c r="R78" s="7" t="str">
        <f t="shared" si="9"/>
        <v/>
      </c>
      <c r="S78" s="7">
        <f>IF($A78="","",IF(AND(LEFT($G78,3)="ДОК",$N78&lt;&gt;""),IFERROR(INDEX(Документация!$E$2:$E$57,MATCH($N78,Документация!$F$2:$F$57,0)),0),N($F78))*(1-MEDIAN(0,N(ДисконтТендер),1)))</f>
        <v>337.56</v>
      </c>
      <c r="T78" s="7">
        <f>IF($A78="","",IF(AND(LEFT($G78,3)="ДОК",$N78&lt;&gt;""),0,IF(AND(LEFT($G78,3)&lt;&gt;"ДОК",$N78&lt;&gt;""),IFERROR(INDEX(МАТЕРИАЛЫ!$H$2:$H$9000,MATCH($N78,МАТЕРИАЛЫ!$L$2:$L$9000,0))*IF(INDEX(МАТЕРИАЛЫ!$I$2:$I$9000,MATCH($N78,МАТЕРИАЛЫ!$L$2:$L$9000,0))="USD",КурсUSD,IF(INDEX(МАТЕРИАЛЫ!$I$2:$I$9000,MATCH($N78,МАТЕРИАЛЫ!$L$2:$L$9000,0))="EUR",КурсEUR,IF(INDEX(МАТЕРИАЛЫ!$I$2:$I$9000,MATCH($N78,МАТЕРИАЛЫ!$L$2:$L$9000,0))="CNY",КурсCNY,1)))*(1+N($H78)/100),0),N($O78))*(1-MEDIAN(0,N(ДисконтТендер),1))))</f>
        <v>0</v>
      </c>
      <c r="U78" t="str">
        <f>IF($L78="да",MAX($U$1:$U77)+1,"")</f>
        <v/>
      </c>
      <c r="V78" t="str">
        <f t="shared" si="10"/>
        <v>Р2</v>
      </c>
      <c r="W78" t="str">
        <f t="shared" si="11"/>
        <v/>
      </c>
      <c r="X78" t="str">
        <f t="shared" si="12"/>
        <v/>
      </c>
      <c r="Y78" s="4" t="str">
        <f>IF($A78="","",IF(AND(LEFT($G78,3)="ДОК",$N78&lt;&gt;""),IFERROR(INDEX(Документация!$G$2:$G$57,MATCH($N78,Документация!$F$2:$F$57,0)),$D78),$D78&amp;IF(AND(LEFT($G78,3)&lt;&gt;"ДОК",$N78&lt;&gt;"")," — "&amp;IFERROR(INDEX(МАТЕРИАЛЫ!$C$2:$C$9000,MATCH($N78,МАТЕРИАЛЫ!$L$2:$L$9000,0)),""),"")))</f>
        <v>Отбивка штукатурки стен толщиной до 30 мм</v>
      </c>
      <c r="Z78" t="str">
        <f t="shared" si="13"/>
        <v>Р2 · Демонтажные работы</v>
      </c>
    </row>
    <row r="79" spans="1:26" x14ac:dyDescent="0.3">
      <c r="A79" t="s">
        <v>216</v>
      </c>
      <c r="B79" t="s">
        <v>134</v>
      </c>
      <c r="C79" t="s">
        <v>194</v>
      </c>
      <c r="D79" s="4" t="s">
        <v>217</v>
      </c>
      <c r="E79" t="s">
        <v>52</v>
      </c>
      <c r="F79" s="5">
        <v>125.28</v>
      </c>
      <c r="H79">
        <v>0</v>
      </c>
      <c r="I79" t="s">
        <v>53</v>
      </c>
      <c r="L79" s="6"/>
      <c r="M79" s="6"/>
      <c r="N79" s="6"/>
      <c r="O79" s="5"/>
      <c r="P79" s="7" t="str">
        <f t="shared" si="7"/>
        <v/>
      </c>
      <c r="Q79" s="7" t="str">
        <f t="shared" si="8"/>
        <v/>
      </c>
      <c r="R79" s="7" t="str">
        <f t="shared" si="9"/>
        <v/>
      </c>
      <c r="S79" s="7">
        <f>IF($A79="","",IF(AND(LEFT($G79,3)="ДОК",$N79&lt;&gt;""),IFERROR(INDEX(Документация!$E$2:$E$57,MATCH($N79,Документация!$F$2:$F$57,0)),0),N($F79))*(1-MEDIAN(0,N(ДисконтТендер),1)))</f>
        <v>125.28</v>
      </c>
      <c r="T79" s="7">
        <f>IF($A79="","",IF(AND(LEFT($G79,3)="ДОК",$N79&lt;&gt;""),0,IF(AND(LEFT($G79,3)&lt;&gt;"ДОК",$N79&lt;&gt;""),IFERROR(INDEX(МАТЕРИАЛЫ!$H$2:$H$9000,MATCH($N79,МАТЕРИАЛЫ!$L$2:$L$9000,0))*IF(INDEX(МАТЕРИАЛЫ!$I$2:$I$9000,MATCH($N79,МАТЕРИАЛЫ!$L$2:$L$9000,0))="USD",КурсUSD,IF(INDEX(МАТЕРИАЛЫ!$I$2:$I$9000,MATCH($N79,МАТЕРИАЛЫ!$L$2:$L$9000,0))="EUR",КурсEUR,IF(INDEX(МАТЕРИАЛЫ!$I$2:$I$9000,MATCH($N79,МАТЕРИАЛЫ!$L$2:$L$9000,0))="CNY",КурсCNY,1)))*(1+N($H79)/100),0),N($O79))*(1-MEDIAN(0,N(ДисконтТендер),1))))</f>
        <v>0</v>
      </c>
      <c r="U79" t="str">
        <f>IF($L79="да",MAX($U$1:$U78)+1,"")</f>
        <v/>
      </c>
      <c r="V79" t="str">
        <f t="shared" si="10"/>
        <v>Р2</v>
      </c>
      <c r="W79" t="str">
        <f t="shared" si="11"/>
        <v/>
      </c>
      <c r="X79" t="str">
        <f t="shared" si="12"/>
        <v/>
      </c>
      <c r="Y79" s="4" t="str">
        <f>IF($A79="","",IF(AND(LEFT($G79,3)="ДОК",$N79&lt;&gt;""),IFERROR(INDEX(Документация!$G$2:$G$57,MATCH($N79,Документация!$F$2:$F$57,0)),$D79),$D79&amp;IF(AND(LEFT($G79,3)&lt;&gt;"ДОК",$N79&lt;&gt;"")," — "&amp;IFERROR(INDEX(МАТЕРИАЛЫ!$C$2:$C$9000,MATCH($N79,МАТЕРИАЛЫ!$L$2:$L$9000,0)),""),"")))</f>
        <v>Снятие обоев</v>
      </c>
      <c r="Z79" t="str">
        <f t="shared" si="13"/>
        <v>Р2 · Демонтажные работы</v>
      </c>
    </row>
    <row r="80" spans="1:26" ht="28.8" x14ac:dyDescent="0.3">
      <c r="A80" t="s">
        <v>218</v>
      </c>
      <c r="B80" t="s">
        <v>134</v>
      </c>
      <c r="C80" t="s">
        <v>194</v>
      </c>
      <c r="D80" s="4" t="s">
        <v>219</v>
      </c>
      <c r="E80" t="s">
        <v>52</v>
      </c>
      <c r="F80" s="5">
        <v>501.12</v>
      </c>
      <c r="H80">
        <v>0</v>
      </c>
      <c r="I80" t="s">
        <v>53</v>
      </c>
      <c r="L80" s="6"/>
      <c r="M80" s="6"/>
      <c r="N80" s="6"/>
      <c r="O80" s="5"/>
      <c r="P80" s="7" t="str">
        <f t="shared" si="7"/>
        <v/>
      </c>
      <c r="Q80" s="7" t="str">
        <f t="shared" si="8"/>
        <v/>
      </c>
      <c r="R80" s="7" t="str">
        <f t="shared" si="9"/>
        <v/>
      </c>
      <c r="S80" s="7">
        <f>IF($A80="","",IF(AND(LEFT($G80,3)="ДОК",$N80&lt;&gt;""),IFERROR(INDEX(Документация!$E$2:$E$57,MATCH($N80,Документация!$F$2:$F$57,0)),0),N($F80))*(1-MEDIAN(0,N(ДисконтТендер),1)))</f>
        <v>501.12</v>
      </c>
      <c r="T80" s="7">
        <f>IF($A80="","",IF(AND(LEFT($G80,3)="ДОК",$N80&lt;&gt;""),0,IF(AND(LEFT($G80,3)&lt;&gt;"ДОК",$N80&lt;&gt;""),IFERROR(INDEX(МАТЕРИАЛЫ!$H$2:$H$9000,MATCH($N80,МАТЕРИАЛЫ!$L$2:$L$9000,0))*IF(INDEX(МАТЕРИАЛЫ!$I$2:$I$9000,MATCH($N80,МАТЕРИАЛЫ!$L$2:$L$9000,0))="USD",КурсUSD,IF(INDEX(МАТЕРИАЛЫ!$I$2:$I$9000,MATCH($N80,МАТЕРИАЛЫ!$L$2:$L$9000,0))="EUR",КурсEUR,IF(INDEX(МАТЕРИАЛЫ!$I$2:$I$9000,MATCH($N80,МАТЕРИАЛЫ!$L$2:$L$9000,0))="CNY",КурсCNY,1)))*(1+N($H80)/100),0),N($O80))*(1-MEDIAN(0,N(ДисконтТендер),1))))</f>
        <v>0</v>
      </c>
      <c r="U80" t="str">
        <f>IF($L80="да",MAX($U$1:$U79)+1,"")</f>
        <v/>
      </c>
      <c r="V80" t="str">
        <f t="shared" si="10"/>
        <v>Р2</v>
      </c>
      <c r="W80" t="str">
        <f t="shared" si="11"/>
        <v/>
      </c>
      <c r="X80" t="str">
        <f t="shared" si="12"/>
        <v/>
      </c>
      <c r="Y80" s="4" t="str">
        <f>IF($A80="","",IF(AND(LEFT($G80,3)="ДОК",$N80&lt;&gt;""),IFERROR(INDEX(Документация!$G$2:$G$57,MATCH($N80,Документация!$F$2:$F$57,0)),$D80),$D80&amp;IF(AND(LEFT($G80,3)&lt;&gt;"ДОК",$N80&lt;&gt;"")," — "&amp;IFERROR(INDEX(МАТЕРИАЛЫ!$C$2:$C$9000,MATCH($N80,МАТЕРИАЛЫ!$L$2:$L$9000,0)),""),"")))</f>
        <v>Демонтаж облицовки стен из плитки керамической, мрамора.</v>
      </c>
      <c r="Z80" t="str">
        <f t="shared" si="13"/>
        <v>Р2 · Демонтажные работы</v>
      </c>
    </row>
    <row r="81" spans="1:26" x14ac:dyDescent="0.3">
      <c r="A81" t="s">
        <v>220</v>
      </c>
      <c r="B81" t="s">
        <v>134</v>
      </c>
      <c r="C81" t="s">
        <v>194</v>
      </c>
      <c r="D81" s="4" t="s">
        <v>221</v>
      </c>
      <c r="E81" t="s">
        <v>52</v>
      </c>
      <c r="F81" s="5">
        <v>627</v>
      </c>
      <c r="H81">
        <v>0</v>
      </c>
      <c r="I81" t="s">
        <v>53</v>
      </c>
      <c r="L81" s="6"/>
      <c r="M81" s="6"/>
      <c r="N81" s="6"/>
      <c r="O81" s="5"/>
      <c r="P81" s="7" t="str">
        <f t="shared" si="7"/>
        <v/>
      </c>
      <c r="Q81" s="7" t="str">
        <f t="shared" si="8"/>
        <v/>
      </c>
      <c r="R81" s="7" t="str">
        <f t="shared" si="9"/>
        <v/>
      </c>
      <c r="S81" s="7">
        <f>IF($A81="","",IF(AND(LEFT($G81,3)="ДОК",$N81&lt;&gt;""),IFERROR(INDEX(Документация!$E$2:$E$57,MATCH($N81,Документация!$F$2:$F$57,0)),0),N($F81))*(1-MEDIAN(0,N(ДисконтТендер),1)))</f>
        <v>627</v>
      </c>
      <c r="T81" s="7">
        <f>IF($A81="","",IF(AND(LEFT($G81,3)="ДОК",$N81&lt;&gt;""),0,IF(AND(LEFT($G81,3)&lt;&gt;"ДОК",$N81&lt;&gt;""),IFERROR(INDEX(МАТЕРИАЛЫ!$H$2:$H$9000,MATCH($N81,МАТЕРИАЛЫ!$L$2:$L$9000,0))*IF(INDEX(МАТЕРИАЛЫ!$I$2:$I$9000,MATCH($N81,МАТЕРИАЛЫ!$L$2:$L$9000,0))="USD",КурсUSD,IF(INDEX(МАТЕРИАЛЫ!$I$2:$I$9000,MATCH($N81,МАТЕРИАЛЫ!$L$2:$L$9000,0))="EUR",КурсEUR,IF(INDEX(МАТЕРИАЛЫ!$I$2:$I$9000,MATCH($N81,МАТЕРИАЛЫ!$L$2:$L$9000,0))="CNY",КурсCNY,1)))*(1+N($H81)/100),0),N($O81))*(1-MEDIAN(0,N(ДисконтТендер),1))))</f>
        <v>0</v>
      </c>
      <c r="U81" t="str">
        <f>IF($L81="да",MAX($U$1:$U80)+1,"")</f>
        <v/>
      </c>
      <c r="V81" t="str">
        <f t="shared" si="10"/>
        <v>Р2</v>
      </c>
      <c r="W81" t="str">
        <f t="shared" si="11"/>
        <v/>
      </c>
      <c r="X81" t="str">
        <f t="shared" si="12"/>
        <v/>
      </c>
      <c r="Y81" s="4" t="str">
        <f>IF($A81="","",IF(AND(LEFT($G81,3)="ДОК",$N81&lt;&gt;""),IFERROR(INDEX(Документация!$G$2:$G$57,MATCH($N81,Документация!$F$2:$F$57,0)),$D81),$D81&amp;IF(AND(LEFT($G81,3)&lt;&gt;"ДОК",$N81&lt;&gt;"")," — "&amp;IFERROR(INDEX(МАТЕРИАЛЫ!$C$2:$C$9000,MATCH($N81,МАТЕРИАЛЫ!$L$2:$L$9000,0)),""),"")))</f>
        <v>Демонтаж стеклянных перегородок</v>
      </c>
      <c r="Z81" t="str">
        <f t="shared" si="13"/>
        <v>Р2 · Демонтажные работы</v>
      </c>
    </row>
    <row r="82" spans="1:26" x14ac:dyDescent="0.3">
      <c r="A82" t="s">
        <v>222</v>
      </c>
      <c r="B82" t="s">
        <v>134</v>
      </c>
      <c r="C82" t="s">
        <v>194</v>
      </c>
      <c r="D82" s="4" t="s">
        <v>223</v>
      </c>
      <c r="E82" t="s">
        <v>52</v>
      </c>
      <c r="F82" s="5">
        <v>1252.8</v>
      </c>
      <c r="H82">
        <v>0</v>
      </c>
      <c r="I82" t="s">
        <v>53</v>
      </c>
      <c r="L82" s="6"/>
      <c r="M82" s="6"/>
      <c r="N82" s="6"/>
      <c r="O82" s="5"/>
      <c r="P82" s="7" t="str">
        <f t="shared" si="7"/>
        <v/>
      </c>
      <c r="Q82" s="7" t="str">
        <f t="shared" si="8"/>
        <v/>
      </c>
      <c r="R82" s="7" t="str">
        <f t="shared" si="9"/>
        <v/>
      </c>
      <c r="S82" s="7">
        <f>IF($A82="","",IF(AND(LEFT($G82,3)="ДОК",$N82&lt;&gt;""),IFERROR(INDEX(Документация!$E$2:$E$57,MATCH($N82,Документация!$F$2:$F$57,0)),0),N($F82))*(1-MEDIAN(0,N(ДисконтТендер),1)))</f>
        <v>1252.8</v>
      </c>
      <c r="T82" s="7">
        <f>IF($A82="","",IF(AND(LEFT($G82,3)="ДОК",$N82&lt;&gt;""),0,IF(AND(LEFT($G82,3)&lt;&gt;"ДОК",$N82&lt;&gt;""),IFERROR(INDEX(МАТЕРИАЛЫ!$H$2:$H$9000,MATCH($N82,МАТЕРИАЛЫ!$L$2:$L$9000,0))*IF(INDEX(МАТЕРИАЛЫ!$I$2:$I$9000,MATCH($N82,МАТЕРИАЛЫ!$L$2:$L$9000,0))="USD",КурсUSD,IF(INDEX(МАТЕРИАЛЫ!$I$2:$I$9000,MATCH($N82,МАТЕРИАЛЫ!$L$2:$L$9000,0))="EUR",КурсEUR,IF(INDEX(МАТЕРИАЛЫ!$I$2:$I$9000,MATCH($N82,МАТЕРИАЛЫ!$L$2:$L$9000,0))="CNY",КурсCNY,1)))*(1+N($H82)/100),0),N($O82))*(1-MEDIAN(0,N(ДисконтТендер),1))))</f>
        <v>0</v>
      </c>
      <c r="U82" t="str">
        <f>IF($L82="да",MAX($U$1:$U81)+1,"")</f>
        <v/>
      </c>
      <c r="V82" t="str">
        <f t="shared" si="10"/>
        <v>Р2</v>
      </c>
      <c r="W82" t="str">
        <f t="shared" si="11"/>
        <v/>
      </c>
      <c r="X82" t="str">
        <f t="shared" si="12"/>
        <v/>
      </c>
      <c r="Y82" s="4" t="str">
        <f>IF($A82="","",IF(AND(LEFT($G82,3)="ДОК",$N82&lt;&gt;""),IFERROR(INDEX(Документация!$G$2:$G$57,MATCH($N82,Документация!$F$2:$F$57,0)),$D82),$D82&amp;IF(AND(LEFT($G82,3)&lt;&gt;"ДОК",$N82&lt;&gt;"")," — "&amp;IFERROR(INDEX(МАТЕРИАЛЫ!$C$2:$C$9000,MATCH($N82,МАТЕРИАЛЫ!$L$2:$L$9000,0)),""),"")))</f>
        <v>Демонтаж бронепанелей</v>
      </c>
      <c r="Z82" t="str">
        <f t="shared" si="13"/>
        <v>Р2 · Демонтажные работы</v>
      </c>
    </row>
    <row r="83" spans="1:26" x14ac:dyDescent="0.3">
      <c r="A83" t="s">
        <v>224</v>
      </c>
      <c r="B83" t="s">
        <v>134</v>
      </c>
      <c r="C83" t="s">
        <v>194</v>
      </c>
      <c r="D83" s="4" t="s">
        <v>225</v>
      </c>
      <c r="E83" t="s">
        <v>52</v>
      </c>
      <c r="F83" s="5">
        <v>313.2</v>
      </c>
      <c r="H83">
        <v>0</v>
      </c>
      <c r="I83" t="s">
        <v>53</v>
      </c>
      <c r="L83" s="6"/>
      <c r="M83" s="6"/>
      <c r="N83" s="6"/>
      <c r="O83" s="5"/>
      <c r="P83" s="7" t="str">
        <f t="shared" si="7"/>
        <v/>
      </c>
      <c r="Q83" s="7" t="str">
        <f t="shared" si="8"/>
        <v/>
      </c>
      <c r="R83" s="7" t="str">
        <f t="shared" si="9"/>
        <v/>
      </c>
      <c r="S83" s="7">
        <f>IF($A83="","",IF(AND(LEFT($G83,3)="ДОК",$N83&lt;&gt;""),IFERROR(INDEX(Документация!$E$2:$E$57,MATCH($N83,Документация!$F$2:$F$57,0)),0),N($F83))*(1-MEDIAN(0,N(ДисконтТендер),1)))</f>
        <v>313.2</v>
      </c>
      <c r="T83" s="7">
        <f>IF($A83="","",IF(AND(LEFT($G83,3)="ДОК",$N83&lt;&gt;""),0,IF(AND(LEFT($G83,3)&lt;&gt;"ДОК",$N83&lt;&gt;""),IFERROR(INDEX(МАТЕРИАЛЫ!$H$2:$H$9000,MATCH($N83,МАТЕРИАЛЫ!$L$2:$L$9000,0))*IF(INDEX(МАТЕРИАЛЫ!$I$2:$I$9000,MATCH($N83,МАТЕРИАЛЫ!$L$2:$L$9000,0))="USD",КурсUSD,IF(INDEX(МАТЕРИАЛЫ!$I$2:$I$9000,MATCH($N83,МАТЕРИАЛЫ!$L$2:$L$9000,0))="EUR",КурсEUR,IF(INDEX(МАТЕРИАЛЫ!$I$2:$I$9000,MATCH($N83,МАТЕРИАЛЫ!$L$2:$L$9000,0))="CNY",КурсCNY,1)))*(1+N($H83)/100),0),N($O83))*(1-MEDIAN(0,N(ДисконтТендер),1))))</f>
        <v>0</v>
      </c>
      <c r="U83" t="str">
        <f>IF($L83="да",MAX($U$1:$U82)+1,"")</f>
        <v/>
      </c>
      <c r="V83" t="str">
        <f t="shared" si="10"/>
        <v>Р2</v>
      </c>
      <c r="W83" t="str">
        <f t="shared" si="11"/>
        <v/>
      </c>
      <c r="X83" t="str">
        <f t="shared" si="12"/>
        <v/>
      </c>
      <c r="Y83" s="4" t="str">
        <f>IF($A83="","",IF(AND(LEFT($G83,3)="ДОК",$N83&lt;&gt;""),IFERROR(INDEX(Документация!$G$2:$G$57,MATCH($N83,Документация!$F$2:$F$57,0)),$D83),$D83&amp;IF(AND(LEFT($G83,3)&lt;&gt;"ДОК",$N83&lt;&gt;"")," — "&amp;IFERROR(INDEX(МАТЕРИАЛЫ!$C$2:$C$9000,MATCH($N83,МАТЕРИАЛЫ!$L$2:$L$9000,0)),""),"")))</f>
        <v>Демонтаж обшивки стен мебельными панелями</v>
      </c>
      <c r="Z83" t="str">
        <f t="shared" si="13"/>
        <v>Р2 · Демонтажные работы</v>
      </c>
    </row>
    <row r="84" spans="1:26" ht="28.8" x14ac:dyDescent="0.3">
      <c r="A84" t="s">
        <v>226</v>
      </c>
      <c r="B84" t="s">
        <v>134</v>
      </c>
      <c r="C84" t="s">
        <v>194</v>
      </c>
      <c r="D84" s="4" t="s">
        <v>227</v>
      </c>
      <c r="E84" t="s">
        <v>52</v>
      </c>
      <c r="F84" s="5">
        <v>402.77</v>
      </c>
      <c r="H84">
        <v>0</v>
      </c>
      <c r="I84" t="s">
        <v>53</v>
      </c>
      <c r="L84" s="6"/>
      <c r="M84" s="6"/>
      <c r="N84" s="6"/>
      <c r="O84" s="5"/>
      <c r="P84" s="7" t="str">
        <f t="shared" si="7"/>
        <v/>
      </c>
      <c r="Q84" s="7" t="str">
        <f t="shared" si="8"/>
        <v/>
      </c>
      <c r="R84" s="7" t="str">
        <f t="shared" si="9"/>
        <v/>
      </c>
      <c r="S84" s="7">
        <f>IF($A84="","",IF(AND(LEFT($G84,3)="ДОК",$N84&lt;&gt;""),IFERROR(INDEX(Документация!$E$2:$E$57,MATCH($N84,Документация!$F$2:$F$57,0)),0),N($F84))*(1-MEDIAN(0,N(ДисконтТендер),1)))</f>
        <v>402.77</v>
      </c>
      <c r="T84" s="7">
        <f>IF($A84="","",IF(AND(LEFT($G84,3)="ДОК",$N84&lt;&gt;""),0,IF(AND(LEFT($G84,3)&lt;&gt;"ДОК",$N84&lt;&gt;""),IFERROR(INDEX(МАТЕРИАЛЫ!$H$2:$H$9000,MATCH($N84,МАТЕРИАЛЫ!$L$2:$L$9000,0))*IF(INDEX(МАТЕРИАЛЫ!$I$2:$I$9000,MATCH($N84,МАТЕРИАЛЫ!$L$2:$L$9000,0))="USD",КурсUSD,IF(INDEX(МАТЕРИАЛЫ!$I$2:$I$9000,MATCH($N84,МАТЕРИАЛЫ!$L$2:$L$9000,0))="EUR",КурсEUR,IF(INDEX(МАТЕРИАЛЫ!$I$2:$I$9000,MATCH($N84,МАТЕРИАЛЫ!$L$2:$L$9000,0))="CNY",КурсCNY,1)))*(1+N($H84)/100),0),N($O84))*(1-MEDIAN(0,N(ДисконтТендер),1))))</f>
        <v>0</v>
      </c>
      <c r="U84" t="str">
        <f>IF($L84="да",MAX($U$1:$U83)+1,"")</f>
        <v/>
      </c>
      <c r="V84" t="str">
        <f t="shared" si="10"/>
        <v>Р2</v>
      </c>
      <c r="W84" t="str">
        <f t="shared" si="11"/>
        <v/>
      </c>
      <c r="X84" t="str">
        <f t="shared" si="12"/>
        <v/>
      </c>
      <c r="Y84" s="4" t="str">
        <f>IF($A84="","",IF(AND(LEFT($G84,3)="ДОК",$N84&lt;&gt;""),IFERROR(INDEX(Документация!$G$2:$G$57,MATCH($N84,Документация!$F$2:$F$57,0)),$D84),$D84&amp;IF(AND(LEFT($G84,3)&lt;&gt;"ДОК",$N84&lt;&gt;"")," — "&amp;IFERROR(INDEX(МАТЕРИАЛЫ!$C$2:$C$9000,MATCH($N84,МАТЕРИАЛЫ!$L$2:$L$9000,0)),""),"")))</f>
        <v>Разборка перегородок из ГКЛ по металлическому каркасу</v>
      </c>
      <c r="Z84" t="str">
        <f t="shared" si="13"/>
        <v>Р2 · Демонтажные работы</v>
      </c>
    </row>
    <row r="85" spans="1:26" ht="28.8" x14ac:dyDescent="0.3">
      <c r="A85" t="s">
        <v>228</v>
      </c>
      <c r="B85" t="s">
        <v>134</v>
      </c>
      <c r="C85" t="s">
        <v>229</v>
      </c>
      <c r="D85" s="4" t="s">
        <v>230</v>
      </c>
      <c r="E85" t="s">
        <v>114</v>
      </c>
      <c r="F85" s="5">
        <v>1045</v>
      </c>
      <c r="H85">
        <v>0</v>
      </c>
      <c r="I85" t="s">
        <v>53</v>
      </c>
      <c r="L85" s="6"/>
      <c r="M85" s="6"/>
      <c r="N85" s="6"/>
      <c r="O85" s="5"/>
      <c r="P85" s="7" t="str">
        <f t="shared" si="7"/>
        <v/>
      </c>
      <c r="Q85" s="7" t="str">
        <f t="shared" si="8"/>
        <v/>
      </c>
      <c r="R85" s="7" t="str">
        <f t="shared" si="9"/>
        <v/>
      </c>
      <c r="S85" s="7">
        <f>IF($A85="","",IF(AND(LEFT($G85,3)="ДОК",$N85&lt;&gt;""),IFERROR(INDEX(Документация!$E$2:$E$57,MATCH($N85,Документация!$F$2:$F$57,0)),0),N($F85))*(1-MEDIAN(0,N(ДисконтТендер),1)))</f>
        <v>1045</v>
      </c>
      <c r="T85" s="7">
        <f>IF($A85="","",IF(AND(LEFT($G85,3)="ДОК",$N85&lt;&gt;""),0,IF(AND(LEFT($G85,3)&lt;&gt;"ДОК",$N85&lt;&gt;""),IFERROR(INDEX(МАТЕРИАЛЫ!$H$2:$H$9000,MATCH($N85,МАТЕРИАЛЫ!$L$2:$L$9000,0))*IF(INDEX(МАТЕРИАЛЫ!$I$2:$I$9000,MATCH($N85,МАТЕРИАЛЫ!$L$2:$L$9000,0))="USD",КурсUSD,IF(INDEX(МАТЕРИАЛЫ!$I$2:$I$9000,MATCH($N85,МАТЕРИАЛЫ!$L$2:$L$9000,0))="EUR",КурсEUR,IF(INDEX(МАТЕРИАЛЫ!$I$2:$I$9000,MATCH($N85,МАТЕРИАЛЫ!$L$2:$L$9000,0))="CNY",КурсCNY,1)))*(1+N($H85)/100),0),N($O85))*(1-MEDIAN(0,N(ДисконтТендер),1))))</f>
        <v>0</v>
      </c>
      <c r="U85" t="str">
        <f>IF($L85="да",MAX($U$1:$U84)+1,"")</f>
        <v/>
      </c>
      <c r="V85" t="str">
        <f t="shared" si="10"/>
        <v>Р2</v>
      </c>
      <c r="W85" t="str">
        <f t="shared" si="11"/>
        <v/>
      </c>
      <c r="X85" t="str">
        <f t="shared" si="12"/>
        <v/>
      </c>
      <c r="Y85" s="4" t="str">
        <f>IF($A85="","",IF(AND(LEFT($G85,3)="ДОК",$N85&lt;&gt;""),IFERROR(INDEX(Документация!$G$2:$G$57,MATCH($N85,Документация!$F$2:$F$57,0)),$D85),$D85&amp;IF(AND(LEFT($G85,3)&lt;&gt;"ДОК",$N85&lt;&gt;"")," — "&amp;IFERROR(INDEX(МАТЕРИАЛЫ!$C$2:$C$9000,MATCH($N85,МАТЕРИАЛЫ!$L$2:$L$9000,0)),""),"")))</f>
        <v>Демонтаж дверных блоков деревянных (межкомнатные)</v>
      </c>
      <c r="Z85" t="str">
        <f t="shared" si="13"/>
        <v>Р2 · Демонтажные работы</v>
      </c>
    </row>
    <row r="86" spans="1:26" x14ac:dyDescent="0.3">
      <c r="A86" t="s">
        <v>231</v>
      </c>
      <c r="B86" t="s">
        <v>134</v>
      </c>
      <c r="C86" t="s">
        <v>229</v>
      </c>
      <c r="D86" s="4" t="s">
        <v>232</v>
      </c>
      <c r="E86" t="s">
        <v>114</v>
      </c>
      <c r="F86" s="5">
        <v>1252.8</v>
      </c>
      <c r="H86">
        <v>0</v>
      </c>
      <c r="I86" t="s">
        <v>53</v>
      </c>
      <c r="L86" s="6"/>
      <c r="M86" s="6"/>
      <c r="N86" s="6"/>
      <c r="O86" s="5"/>
      <c r="P86" s="7" t="str">
        <f t="shared" si="7"/>
        <v/>
      </c>
      <c r="Q86" s="7" t="str">
        <f t="shared" si="8"/>
        <v/>
      </c>
      <c r="R86" s="7" t="str">
        <f t="shared" si="9"/>
        <v/>
      </c>
      <c r="S86" s="7">
        <f>IF($A86="","",IF(AND(LEFT($G86,3)="ДОК",$N86&lt;&gt;""),IFERROR(INDEX(Документация!$E$2:$E$57,MATCH($N86,Документация!$F$2:$F$57,0)),0),N($F86))*(1-MEDIAN(0,N(ДисконтТендер),1)))</f>
        <v>1252.8</v>
      </c>
      <c r="T86" s="7">
        <f>IF($A86="","",IF(AND(LEFT($G86,3)="ДОК",$N86&lt;&gt;""),0,IF(AND(LEFT($G86,3)&lt;&gt;"ДОК",$N86&lt;&gt;""),IFERROR(INDEX(МАТЕРИАЛЫ!$H$2:$H$9000,MATCH($N86,МАТЕРИАЛЫ!$L$2:$L$9000,0))*IF(INDEX(МАТЕРИАЛЫ!$I$2:$I$9000,MATCH($N86,МАТЕРИАЛЫ!$L$2:$L$9000,0))="USD",КурсUSD,IF(INDEX(МАТЕРИАЛЫ!$I$2:$I$9000,MATCH($N86,МАТЕРИАЛЫ!$L$2:$L$9000,0))="EUR",КурсEUR,IF(INDEX(МАТЕРИАЛЫ!$I$2:$I$9000,MATCH($N86,МАТЕРИАЛЫ!$L$2:$L$9000,0))="CNY",КурсCNY,1)))*(1+N($H86)/100),0),N($O86))*(1-MEDIAN(0,N(ДисконтТендер),1))))</f>
        <v>0</v>
      </c>
      <c r="U86" t="str">
        <f>IF($L86="да",MAX($U$1:$U85)+1,"")</f>
        <v/>
      </c>
      <c r="V86" t="str">
        <f t="shared" si="10"/>
        <v>Р2</v>
      </c>
      <c r="W86" t="str">
        <f t="shared" si="11"/>
        <v/>
      </c>
      <c r="X86" t="str">
        <f t="shared" si="12"/>
        <v/>
      </c>
      <c r="Y86" s="4" t="str">
        <f>IF($A86="","",IF(AND(LEFT($G86,3)="ДОК",$N86&lt;&gt;""),IFERROR(INDEX(Документация!$G$2:$G$57,MATCH($N86,Документация!$F$2:$F$57,0)),$D86),$D86&amp;IF(AND(LEFT($G86,3)&lt;&gt;"ДОК",$N86&lt;&gt;"")," — "&amp;IFERROR(INDEX(МАТЕРИАЛЫ!$C$2:$C$9000,MATCH($N86,МАТЕРИАЛЫ!$L$2:$L$9000,0)),""),"")))</f>
        <v>Демонтаж дверных блоков из ПВХ профиля</v>
      </c>
      <c r="Z86" t="str">
        <f t="shared" si="13"/>
        <v>Р2 · Демонтажные работы</v>
      </c>
    </row>
    <row r="87" spans="1:26" x14ac:dyDescent="0.3">
      <c r="A87" t="s">
        <v>233</v>
      </c>
      <c r="B87" t="s">
        <v>134</v>
      </c>
      <c r="C87" t="s">
        <v>229</v>
      </c>
      <c r="D87" s="4" t="s">
        <v>234</v>
      </c>
      <c r="E87" t="s">
        <v>114</v>
      </c>
      <c r="F87" s="5">
        <v>1980</v>
      </c>
      <c r="H87">
        <v>0</v>
      </c>
      <c r="I87" t="s">
        <v>53</v>
      </c>
      <c r="L87" s="6"/>
      <c r="M87" s="6"/>
      <c r="N87" s="6"/>
      <c r="O87" s="5"/>
      <c r="P87" s="7" t="str">
        <f t="shared" si="7"/>
        <v/>
      </c>
      <c r="Q87" s="7" t="str">
        <f t="shared" si="8"/>
        <v/>
      </c>
      <c r="R87" s="7" t="str">
        <f t="shared" si="9"/>
        <v/>
      </c>
      <c r="S87" s="7">
        <f>IF($A87="","",IF(AND(LEFT($G87,3)="ДОК",$N87&lt;&gt;""),IFERROR(INDEX(Документация!$E$2:$E$57,MATCH($N87,Документация!$F$2:$F$57,0)),0),N($F87))*(1-MEDIAN(0,N(ДисконтТендер),1)))</f>
        <v>1980</v>
      </c>
      <c r="T87" s="7">
        <f>IF($A87="","",IF(AND(LEFT($G87,3)="ДОК",$N87&lt;&gt;""),0,IF(AND(LEFT($G87,3)&lt;&gt;"ДОК",$N87&lt;&gt;""),IFERROR(INDEX(МАТЕРИАЛЫ!$H$2:$H$9000,MATCH($N87,МАТЕРИАЛЫ!$L$2:$L$9000,0))*IF(INDEX(МАТЕРИАЛЫ!$I$2:$I$9000,MATCH($N87,МАТЕРИАЛЫ!$L$2:$L$9000,0))="USD",КурсUSD,IF(INDEX(МАТЕРИАЛЫ!$I$2:$I$9000,MATCH($N87,МАТЕРИАЛЫ!$L$2:$L$9000,0))="EUR",КурсEUR,IF(INDEX(МАТЕРИАЛЫ!$I$2:$I$9000,MATCH($N87,МАТЕРИАЛЫ!$L$2:$L$9000,0))="CNY",КурсCNY,1)))*(1+N($H87)/100),0),N($O87))*(1-MEDIAN(0,N(ДисконтТендер),1))))</f>
        <v>0</v>
      </c>
      <c r="U87" t="str">
        <f>IF($L87="да",MAX($U$1:$U86)+1,"")</f>
        <v/>
      </c>
      <c r="V87" t="str">
        <f t="shared" si="10"/>
        <v>Р2</v>
      </c>
      <c r="W87" t="str">
        <f t="shared" si="11"/>
        <v/>
      </c>
      <c r="X87" t="str">
        <f t="shared" si="12"/>
        <v/>
      </c>
      <c r="Y87" s="4" t="str">
        <f>IF($A87="","",IF(AND(LEFT($G87,3)="ДОК",$N87&lt;&gt;""),IFERROR(INDEX(Документация!$G$2:$G$57,MATCH($N87,Документация!$F$2:$F$57,0)),$D87),$D87&amp;IF(AND(LEFT($G87,3)&lt;&gt;"ДОК",$N87&lt;&gt;"")," — "&amp;IFERROR(INDEX(МАТЕРИАЛЫ!$C$2:$C$9000,MATCH($N87,МАТЕРИАЛЫ!$L$2:$L$9000,0)),""),"")))</f>
        <v>Демонтаж дверных блоков металлических</v>
      </c>
      <c r="Z87" t="str">
        <f t="shared" si="13"/>
        <v>Р2 · Демонтажные работы</v>
      </c>
    </row>
    <row r="88" spans="1:26" ht="28.8" x14ac:dyDescent="0.3">
      <c r="A88" t="s">
        <v>235</v>
      </c>
      <c r="B88" t="s">
        <v>134</v>
      </c>
      <c r="C88" t="s">
        <v>229</v>
      </c>
      <c r="D88" s="4" t="s">
        <v>236</v>
      </c>
      <c r="E88" t="s">
        <v>114</v>
      </c>
      <c r="F88" s="5">
        <v>2750</v>
      </c>
      <c r="H88">
        <v>0</v>
      </c>
      <c r="I88" t="s">
        <v>53</v>
      </c>
      <c r="L88" s="6"/>
      <c r="M88" s="6"/>
      <c r="N88" s="6"/>
      <c r="O88" s="5"/>
      <c r="P88" s="7" t="str">
        <f t="shared" si="7"/>
        <v/>
      </c>
      <c r="Q88" s="7" t="str">
        <f t="shared" si="8"/>
        <v/>
      </c>
      <c r="R88" s="7" t="str">
        <f t="shared" si="9"/>
        <v/>
      </c>
      <c r="S88" s="7">
        <f>IF($A88="","",IF(AND(LEFT($G88,3)="ДОК",$N88&lt;&gt;""),IFERROR(INDEX(Документация!$E$2:$E$57,MATCH($N88,Документация!$F$2:$F$57,0)),0),N($F88))*(1-MEDIAN(0,N(ДисконтТендер),1)))</f>
        <v>2750</v>
      </c>
      <c r="T88" s="7">
        <f>IF($A88="","",IF(AND(LEFT($G88,3)="ДОК",$N88&lt;&gt;""),0,IF(AND(LEFT($G88,3)&lt;&gt;"ДОК",$N88&lt;&gt;""),IFERROR(INDEX(МАТЕРИАЛЫ!$H$2:$H$9000,MATCH($N88,МАТЕРИАЛЫ!$L$2:$L$9000,0))*IF(INDEX(МАТЕРИАЛЫ!$I$2:$I$9000,MATCH($N88,МАТЕРИАЛЫ!$L$2:$L$9000,0))="USD",КурсUSD,IF(INDEX(МАТЕРИАЛЫ!$I$2:$I$9000,MATCH($N88,МАТЕРИАЛЫ!$L$2:$L$9000,0))="EUR",КурсEUR,IF(INDEX(МАТЕРИАЛЫ!$I$2:$I$9000,MATCH($N88,МАТЕРИАЛЫ!$L$2:$L$9000,0))="CNY",КурсCNY,1)))*(1+N($H88)/100),0),N($O88))*(1-MEDIAN(0,N(ДисконтТендер),1))))</f>
        <v>0</v>
      </c>
      <c r="U88" t="str">
        <f>IF($L88="да",MAX($U$1:$U87)+1,"")</f>
        <v/>
      </c>
      <c r="V88" t="str">
        <f t="shared" si="10"/>
        <v>Р2</v>
      </c>
      <c r="W88" t="str">
        <f t="shared" si="11"/>
        <v/>
      </c>
      <c r="X88" t="str">
        <f t="shared" si="12"/>
        <v/>
      </c>
      <c r="Y88" s="4" t="str">
        <f>IF($A88="","",IF(AND(LEFT($G88,3)="ДОК",$N88&lt;&gt;""),IFERROR(INDEX(Документация!$G$2:$G$57,MATCH($N88,Документация!$F$2:$F$57,0)),$D88),$D88&amp;IF(AND(LEFT($G88,3)&lt;&gt;"ДОК",$N88&lt;&gt;"")," — "&amp;IFERROR(INDEX(МАТЕРИАЛЫ!$C$2:$C$9000,MATCH($N88,МАТЕРИАЛЫ!$L$2:$L$9000,0)),""),"")))</f>
        <v>Демонтаж дверных блоков (стеклопакет в алюминиевой обвязке)</v>
      </c>
      <c r="Z88" t="str">
        <f t="shared" si="13"/>
        <v>Р2 · Демонтажные работы</v>
      </c>
    </row>
    <row r="89" spans="1:26" x14ac:dyDescent="0.3">
      <c r="A89" t="s">
        <v>237</v>
      </c>
      <c r="B89" t="s">
        <v>134</v>
      </c>
      <c r="C89" t="s">
        <v>229</v>
      </c>
      <c r="D89" s="4" t="s">
        <v>238</v>
      </c>
      <c r="E89" t="s">
        <v>114</v>
      </c>
      <c r="F89" s="5">
        <v>2612.5</v>
      </c>
      <c r="H89">
        <v>0</v>
      </c>
      <c r="I89" t="s">
        <v>53</v>
      </c>
      <c r="L89" s="6"/>
      <c r="M89" s="6"/>
      <c r="N89" s="6"/>
      <c r="O89" s="5"/>
      <c r="P89" s="7" t="str">
        <f t="shared" si="7"/>
        <v/>
      </c>
      <c r="Q89" s="7" t="str">
        <f t="shared" si="8"/>
        <v/>
      </c>
      <c r="R89" s="7" t="str">
        <f t="shared" si="9"/>
        <v/>
      </c>
      <c r="S89" s="7">
        <f>IF($A89="","",IF(AND(LEFT($G89,3)="ДОК",$N89&lt;&gt;""),IFERROR(INDEX(Документация!$E$2:$E$57,MATCH($N89,Документация!$F$2:$F$57,0)),0),N($F89))*(1-MEDIAN(0,N(ДисконтТендер),1)))</f>
        <v>2612.5</v>
      </c>
      <c r="T89" s="7">
        <f>IF($A89="","",IF(AND(LEFT($G89,3)="ДОК",$N89&lt;&gt;""),0,IF(AND(LEFT($G89,3)&lt;&gt;"ДОК",$N89&lt;&gt;""),IFERROR(INDEX(МАТЕРИАЛЫ!$H$2:$H$9000,MATCH($N89,МАТЕРИАЛЫ!$L$2:$L$9000,0))*IF(INDEX(МАТЕРИАЛЫ!$I$2:$I$9000,MATCH($N89,МАТЕРИАЛЫ!$L$2:$L$9000,0))="USD",КурсUSD,IF(INDEX(МАТЕРИАЛЫ!$I$2:$I$9000,MATCH($N89,МАТЕРИАЛЫ!$L$2:$L$9000,0))="EUR",КурсEUR,IF(INDEX(МАТЕРИАЛЫ!$I$2:$I$9000,MATCH($N89,МАТЕРИАЛЫ!$L$2:$L$9000,0))="CNY",КурсCNY,1)))*(1+N($H89)/100),0),N($O89))*(1-MEDIAN(0,N(ДисконтТендер),1))))</f>
        <v>0</v>
      </c>
      <c r="U89" t="str">
        <f>IF($L89="да",MAX($U$1:$U88)+1,"")</f>
        <v/>
      </c>
      <c r="V89" t="str">
        <f t="shared" si="10"/>
        <v>Р2</v>
      </c>
      <c r="W89" t="str">
        <f t="shared" si="11"/>
        <v/>
      </c>
      <c r="X89" t="str">
        <f t="shared" si="12"/>
        <v/>
      </c>
      <c r="Y89" s="4" t="str">
        <f>IF($A89="","",IF(AND(LEFT($G89,3)="ДОК",$N89&lt;&gt;""),IFERROR(INDEX(Документация!$G$2:$G$57,MATCH($N89,Документация!$F$2:$F$57,0)),$D89),$D89&amp;IF(AND(LEFT($G89,3)&lt;&gt;"ДОК",$N89&lt;&gt;"")," — "&amp;IFERROR(INDEX(МАТЕРИАЛЫ!$C$2:$C$9000,MATCH($N89,МАТЕРИАЛЫ!$L$2:$L$9000,0)),""),"")))</f>
        <v>Демонтаж дверных блоков бронированных</v>
      </c>
      <c r="Z89" t="str">
        <f t="shared" si="13"/>
        <v>Р2 · Демонтажные работы</v>
      </c>
    </row>
    <row r="90" spans="1:26" ht="28.8" x14ac:dyDescent="0.3">
      <c r="A90" t="s">
        <v>239</v>
      </c>
      <c r="B90" t="s">
        <v>134</v>
      </c>
      <c r="C90" t="s">
        <v>229</v>
      </c>
      <c r="D90" s="4" t="s">
        <v>240</v>
      </c>
      <c r="E90" t="s">
        <v>114</v>
      </c>
      <c r="F90" s="5">
        <v>1412.92</v>
      </c>
      <c r="H90">
        <v>0</v>
      </c>
      <c r="I90" t="s">
        <v>53</v>
      </c>
      <c r="L90" s="6"/>
      <c r="M90" s="6"/>
      <c r="N90" s="6"/>
      <c r="O90" s="5"/>
      <c r="P90" s="7" t="str">
        <f t="shared" si="7"/>
        <v/>
      </c>
      <c r="Q90" s="7" t="str">
        <f t="shared" si="8"/>
        <v/>
      </c>
      <c r="R90" s="7" t="str">
        <f t="shared" si="9"/>
        <v/>
      </c>
      <c r="S90" s="7">
        <f>IF($A90="","",IF(AND(LEFT($G90,3)="ДОК",$N90&lt;&gt;""),IFERROR(INDEX(Документация!$E$2:$E$57,MATCH($N90,Документация!$F$2:$F$57,0)),0),N($F90))*(1-MEDIAN(0,N(ДисконтТендер),1)))</f>
        <v>1412.92</v>
      </c>
      <c r="T90" s="7">
        <f>IF($A90="","",IF(AND(LEFT($G90,3)="ДОК",$N90&lt;&gt;""),0,IF(AND(LEFT($G90,3)&lt;&gt;"ДОК",$N90&lt;&gt;""),IFERROR(INDEX(МАТЕРИАЛЫ!$H$2:$H$9000,MATCH($N90,МАТЕРИАЛЫ!$L$2:$L$9000,0))*IF(INDEX(МАТЕРИАЛЫ!$I$2:$I$9000,MATCH($N90,МАТЕРИАЛЫ!$L$2:$L$9000,0))="USD",КурсUSD,IF(INDEX(МАТЕРИАЛЫ!$I$2:$I$9000,MATCH($N90,МАТЕРИАЛЫ!$L$2:$L$9000,0))="EUR",КурсEUR,IF(INDEX(МАТЕРИАЛЫ!$I$2:$I$9000,MATCH($N90,МАТЕРИАЛЫ!$L$2:$L$9000,0))="CNY",КурсCNY,1)))*(1+N($H90)/100),0),N($O90))*(1-MEDIAN(0,N(ДисконтТендер),1))))</f>
        <v>0</v>
      </c>
      <c r="U90" t="str">
        <f>IF($L90="да",MAX($U$1:$U89)+1,"")</f>
        <v/>
      </c>
      <c r="V90" t="str">
        <f t="shared" si="10"/>
        <v>Р2</v>
      </c>
      <c r="W90" t="str">
        <f t="shared" si="11"/>
        <v/>
      </c>
      <c r="X90" t="str">
        <f t="shared" si="12"/>
        <v/>
      </c>
      <c r="Y90" s="4" t="str">
        <f>IF($A90="","",IF(AND(LEFT($G90,3)="ДОК",$N90&lt;&gt;""),IFERROR(INDEX(Документация!$G$2:$G$57,MATCH($N90,Документация!$F$2:$F$57,0)),$D90),$D90&amp;IF(AND(LEFT($G90,3)&lt;&gt;"ДОК",$N90&lt;&gt;"")," — "&amp;IFERROR(INDEX(МАТЕРИАЛЫ!$C$2:$C$9000,MATCH($N90,МАТЕРИАЛЫ!$L$2:$L$9000,0)),""),"")))</f>
        <v>Демонтаж решетчатой двери (распашные, гармошка).</v>
      </c>
      <c r="Z90" t="str">
        <f t="shared" si="13"/>
        <v>Р2 · Демонтажные работы</v>
      </c>
    </row>
    <row r="91" spans="1:26" x14ac:dyDescent="0.3">
      <c r="A91" t="s">
        <v>241</v>
      </c>
      <c r="B91" t="s">
        <v>134</v>
      </c>
      <c r="C91" t="s">
        <v>229</v>
      </c>
      <c r="D91" s="4" t="s">
        <v>242</v>
      </c>
      <c r="E91" t="s">
        <v>114</v>
      </c>
      <c r="F91" s="5">
        <v>3052.5</v>
      </c>
      <c r="H91">
        <v>0</v>
      </c>
      <c r="I91" t="s">
        <v>53</v>
      </c>
      <c r="L91" s="6"/>
      <c r="M91" s="6"/>
      <c r="N91" s="6"/>
      <c r="O91" s="5"/>
      <c r="P91" s="7" t="str">
        <f t="shared" si="7"/>
        <v/>
      </c>
      <c r="Q91" s="7" t="str">
        <f t="shared" si="8"/>
        <v/>
      </c>
      <c r="R91" s="7" t="str">
        <f t="shared" si="9"/>
        <v/>
      </c>
      <c r="S91" s="7">
        <f>IF($A91="","",IF(AND(LEFT($G91,3)="ДОК",$N91&lt;&gt;""),IFERROR(INDEX(Документация!$E$2:$E$57,MATCH($N91,Документация!$F$2:$F$57,0)),0),N($F91))*(1-MEDIAN(0,N(ДисконтТендер),1)))</f>
        <v>3052.5</v>
      </c>
      <c r="T91" s="7">
        <f>IF($A91="","",IF(AND(LEFT($G91,3)="ДОК",$N91&lt;&gt;""),0,IF(AND(LEFT($G91,3)&lt;&gt;"ДОК",$N91&lt;&gt;""),IFERROR(INDEX(МАТЕРИАЛЫ!$H$2:$H$9000,MATCH($N91,МАТЕРИАЛЫ!$L$2:$L$9000,0))*IF(INDEX(МАТЕРИАЛЫ!$I$2:$I$9000,MATCH($N91,МАТЕРИАЛЫ!$L$2:$L$9000,0))="USD",КурсUSD,IF(INDEX(МАТЕРИАЛЫ!$I$2:$I$9000,MATCH($N91,МАТЕРИАЛЫ!$L$2:$L$9000,0))="EUR",КурсEUR,IF(INDEX(МАТЕРИАЛЫ!$I$2:$I$9000,MATCH($N91,МАТЕРИАЛЫ!$L$2:$L$9000,0))="CNY",КурсCNY,1)))*(1+N($H91)/100),0),N($O91))*(1-MEDIAN(0,N(ДисконтТендер),1))))</f>
        <v>0</v>
      </c>
      <c r="U91" t="str">
        <f>IF($L91="да",MAX($U$1:$U90)+1,"")</f>
        <v/>
      </c>
      <c r="V91" t="str">
        <f t="shared" si="10"/>
        <v>Р2</v>
      </c>
      <c r="W91" t="str">
        <f t="shared" si="11"/>
        <v/>
      </c>
      <c r="X91" t="str">
        <f t="shared" si="12"/>
        <v/>
      </c>
      <c r="Y91" s="4" t="str">
        <f>IF($A91="","",IF(AND(LEFT($G91,3)="ДОК",$N91&lt;&gt;""),IFERROR(INDEX(Документация!$G$2:$G$57,MATCH($N91,Документация!$F$2:$F$57,0)),$D91),$D91&amp;IF(AND(LEFT($G91,3)&lt;&gt;"ДОК",$N91&lt;&gt;"")," — "&amp;IFERROR(INDEX(МАТЕРИАЛЫ!$C$2:$C$9000,MATCH($N91,МАТЕРИАЛЫ!$L$2:$L$9000,0)),""),"")))</f>
        <v>Демонтаж дверей гаражных</v>
      </c>
      <c r="Z91" t="str">
        <f t="shared" si="13"/>
        <v>Р2 · Демонтажные работы</v>
      </c>
    </row>
    <row r="92" spans="1:26" x14ac:dyDescent="0.3">
      <c r="A92" t="s">
        <v>243</v>
      </c>
      <c r="B92" t="s">
        <v>134</v>
      </c>
      <c r="C92" t="s">
        <v>229</v>
      </c>
      <c r="D92" s="4" t="s">
        <v>244</v>
      </c>
      <c r="E92" t="s">
        <v>114</v>
      </c>
      <c r="F92" s="5">
        <v>3135</v>
      </c>
      <c r="H92">
        <v>0</v>
      </c>
      <c r="I92" t="s">
        <v>53</v>
      </c>
      <c r="L92" s="6"/>
      <c r="M92" s="6"/>
      <c r="N92" s="6"/>
      <c r="O92" s="5"/>
      <c r="P92" s="7" t="str">
        <f t="shared" si="7"/>
        <v/>
      </c>
      <c r="Q92" s="7" t="str">
        <f t="shared" si="8"/>
        <v/>
      </c>
      <c r="R92" s="7" t="str">
        <f t="shared" si="9"/>
        <v/>
      </c>
      <c r="S92" s="7">
        <f>IF($A92="","",IF(AND(LEFT($G92,3)="ДОК",$N92&lt;&gt;""),IFERROR(INDEX(Документация!$E$2:$E$57,MATCH($N92,Документация!$F$2:$F$57,0)),0),N($F92))*(1-MEDIAN(0,N(ДисконтТендер),1)))</f>
        <v>3135</v>
      </c>
      <c r="T92" s="7">
        <f>IF($A92="","",IF(AND(LEFT($G92,3)="ДОК",$N92&lt;&gt;""),0,IF(AND(LEFT($G92,3)&lt;&gt;"ДОК",$N92&lt;&gt;""),IFERROR(INDEX(МАТЕРИАЛЫ!$H$2:$H$9000,MATCH($N92,МАТЕРИАЛЫ!$L$2:$L$9000,0))*IF(INDEX(МАТЕРИАЛЫ!$I$2:$I$9000,MATCH($N92,МАТЕРИАЛЫ!$L$2:$L$9000,0))="USD",КурсUSD,IF(INDEX(МАТЕРИАЛЫ!$I$2:$I$9000,MATCH($N92,МАТЕРИАЛЫ!$L$2:$L$9000,0))="EUR",КурсEUR,IF(INDEX(МАТЕРИАЛЫ!$I$2:$I$9000,MATCH($N92,МАТЕРИАЛЫ!$L$2:$L$9000,0))="CNY",КурсCNY,1)))*(1+N($H92)/100),0),N($O92))*(1-MEDIAN(0,N(ДисконтТендер),1))))</f>
        <v>0</v>
      </c>
      <c r="U92" t="str">
        <f>IF($L92="да",MAX($U$1:$U91)+1,"")</f>
        <v/>
      </c>
      <c r="V92" t="str">
        <f t="shared" si="10"/>
        <v>Р2</v>
      </c>
      <c r="W92" t="str">
        <f t="shared" si="11"/>
        <v/>
      </c>
      <c r="X92" t="str">
        <f t="shared" si="12"/>
        <v/>
      </c>
      <c r="Y92" s="4" t="str">
        <f>IF($A92="","",IF(AND(LEFT($G92,3)="ДОК",$N92&lt;&gt;""),IFERROR(INDEX(Документация!$G$2:$G$57,MATCH($N92,Документация!$F$2:$F$57,0)),$D92),$D92&amp;IF(AND(LEFT($G92,3)&lt;&gt;"ДОК",$N92&lt;&gt;"")," — "&amp;IFERROR(INDEX(МАТЕРИАЛЫ!$C$2:$C$9000,MATCH($N92,МАТЕРИАЛЫ!$L$2:$L$9000,0)),""),"")))</f>
        <v>Демонтаж рольставни</v>
      </c>
      <c r="Z92" t="str">
        <f t="shared" si="13"/>
        <v>Р2 · Демонтажные работы</v>
      </c>
    </row>
    <row r="93" spans="1:26" x14ac:dyDescent="0.3">
      <c r="A93" t="s">
        <v>245</v>
      </c>
      <c r="B93" t="s">
        <v>134</v>
      </c>
      <c r="C93" t="s">
        <v>246</v>
      </c>
      <c r="D93" s="4" t="s">
        <v>247</v>
      </c>
      <c r="E93" t="s">
        <v>52</v>
      </c>
      <c r="F93" s="5">
        <v>736.03</v>
      </c>
      <c r="H93">
        <v>0</v>
      </c>
      <c r="I93" t="s">
        <v>53</v>
      </c>
      <c r="L93" s="6"/>
      <c r="M93" s="6"/>
      <c r="N93" s="6"/>
      <c r="O93" s="5"/>
      <c r="P93" s="7" t="str">
        <f t="shared" si="7"/>
        <v/>
      </c>
      <c r="Q93" s="7" t="str">
        <f t="shared" si="8"/>
        <v/>
      </c>
      <c r="R93" s="7" t="str">
        <f t="shared" si="9"/>
        <v/>
      </c>
      <c r="S93" s="7">
        <f>IF($A93="","",IF(AND(LEFT($G93,3)="ДОК",$N93&lt;&gt;""),IFERROR(INDEX(Документация!$E$2:$E$57,MATCH($N93,Документация!$F$2:$F$57,0)),0),N($F93))*(1-MEDIAN(0,N(ДисконтТендер),1)))</f>
        <v>736.03</v>
      </c>
      <c r="T93" s="7">
        <f>IF($A93="","",IF(AND(LEFT($G93,3)="ДОК",$N93&lt;&gt;""),0,IF(AND(LEFT($G93,3)&lt;&gt;"ДОК",$N93&lt;&gt;""),IFERROR(INDEX(МАТЕРИАЛЫ!$H$2:$H$9000,MATCH($N93,МАТЕРИАЛЫ!$L$2:$L$9000,0))*IF(INDEX(МАТЕРИАЛЫ!$I$2:$I$9000,MATCH($N93,МАТЕРИАЛЫ!$L$2:$L$9000,0))="USD",КурсUSD,IF(INDEX(МАТЕРИАЛЫ!$I$2:$I$9000,MATCH($N93,МАТЕРИАЛЫ!$L$2:$L$9000,0))="EUR",КурсEUR,IF(INDEX(МАТЕРИАЛЫ!$I$2:$I$9000,MATCH($N93,МАТЕРИАЛЫ!$L$2:$L$9000,0))="CNY",КурсCNY,1)))*(1+N($H93)/100),0),N($O93))*(1-MEDIAN(0,N(ДисконтТендер),1))))</f>
        <v>0</v>
      </c>
      <c r="U93" t="str">
        <f>IF($L93="да",MAX($U$1:$U92)+1,"")</f>
        <v/>
      </c>
      <c r="V93" t="str">
        <f t="shared" si="10"/>
        <v>Р2</v>
      </c>
      <c r="W93" t="str">
        <f t="shared" si="11"/>
        <v/>
      </c>
      <c r="X93" t="str">
        <f t="shared" si="12"/>
        <v/>
      </c>
      <c r="Y93" s="4" t="str">
        <f>IF($A93="","",IF(AND(LEFT($G93,3)="ДОК",$N93&lt;&gt;""),IFERROR(INDEX(Документация!$G$2:$G$57,MATCH($N93,Документация!$F$2:$F$57,0)),$D93),$D93&amp;IF(AND(LEFT($G93,3)&lt;&gt;"ДОК",$N93&lt;&gt;"")," — "&amp;IFERROR(INDEX(МАТЕРИАЛЫ!$C$2:$C$9000,MATCH($N93,МАТЕРИАЛЫ!$L$2:$L$9000,0)),""),"")))</f>
        <v>Демонтаж деревянных оконных блоков</v>
      </c>
      <c r="Z93" t="str">
        <f t="shared" si="13"/>
        <v>Р2 · Демонтажные работы</v>
      </c>
    </row>
    <row r="94" spans="1:26" x14ac:dyDescent="0.3">
      <c r="A94" t="s">
        <v>248</v>
      </c>
      <c r="B94" t="s">
        <v>134</v>
      </c>
      <c r="C94" t="s">
        <v>246</v>
      </c>
      <c r="D94" s="4" t="s">
        <v>249</v>
      </c>
      <c r="E94" t="s">
        <v>52</v>
      </c>
      <c r="F94" s="5">
        <v>1612.66</v>
      </c>
      <c r="H94">
        <v>0</v>
      </c>
      <c r="I94" t="s">
        <v>53</v>
      </c>
      <c r="L94" s="6"/>
      <c r="M94" s="6"/>
      <c r="N94" s="6"/>
      <c r="O94" s="5"/>
      <c r="P94" s="7" t="str">
        <f t="shared" si="7"/>
        <v/>
      </c>
      <c r="Q94" s="7" t="str">
        <f t="shared" si="8"/>
        <v/>
      </c>
      <c r="R94" s="7" t="str">
        <f t="shared" si="9"/>
        <v/>
      </c>
      <c r="S94" s="7">
        <f>IF($A94="","",IF(AND(LEFT($G94,3)="ДОК",$N94&lt;&gt;""),IFERROR(INDEX(Документация!$E$2:$E$57,MATCH($N94,Документация!$F$2:$F$57,0)),0),N($F94))*(1-MEDIAN(0,N(ДисконтТендер),1)))</f>
        <v>1612.66</v>
      </c>
      <c r="T94" s="7">
        <f>IF($A94="","",IF(AND(LEFT($G94,3)="ДОК",$N94&lt;&gt;""),0,IF(AND(LEFT($G94,3)&lt;&gt;"ДОК",$N94&lt;&gt;""),IFERROR(INDEX(МАТЕРИАЛЫ!$H$2:$H$9000,MATCH($N94,МАТЕРИАЛЫ!$L$2:$L$9000,0))*IF(INDEX(МАТЕРИАЛЫ!$I$2:$I$9000,MATCH($N94,МАТЕРИАЛЫ!$L$2:$L$9000,0))="USD",КурсUSD,IF(INDEX(МАТЕРИАЛЫ!$I$2:$I$9000,MATCH($N94,МАТЕРИАЛЫ!$L$2:$L$9000,0))="EUR",КурсEUR,IF(INDEX(МАТЕРИАЛЫ!$I$2:$I$9000,MATCH($N94,МАТЕРИАЛЫ!$L$2:$L$9000,0))="CNY",КурсCNY,1)))*(1+N($H94)/100),0),N($O94))*(1-MEDIAN(0,N(ДисконтТендер),1))))</f>
        <v>0</v>
      </c>
      <c r="U94" t="str">
        <f>IF($L94="да",MAX($U$1:$U93)+1,"")</f>
        <v/>
      </c>
      <c r="V94" t="str">
        <f t="shared" si="10"/>
        <v>Р2</v>
      </c>
      <c r="W94" t="str">
        <f t="shared" si="11"/>
        <v/>
      </c>
      <c r="X94" t="str">
        <f t="shared" si="12"/>
        <v/>
      </c>
      <c r="Y94" s="4" t="str">
        <f>IF($A94="","",IF(AND(LEFT($G94,3)="ДОК",$N94&lt;&gt;""),IFERROR(INDEX(Документация!$G$2:$G$57,MATCH($N94,Документация!$F$2:$F$57,0)),$D94),$D94&amp;IF(AND(LEFT($G94,3)&lt;&gt;"ДОК",$N94&lt;&gt;"")," — "&amp;IFERROR(INDEX(МАТЕРИАЛЫ!$C$2:$C$9000,MATCH($N94,МАТЕРИАЛЫ!$L$2:$L$9000,0)),""),"")))</f>
        <v>Демонтаж бронеокон</v>
      </c>
      <c r="Z94" t="str">
        <f t="shared" si="13"/>
        <v>Р2 · Демонтажные работы</v>
      </c>
    </row>
    <row r="95" spans="1:26" x14ac:dyDescent="0.3">
      <c r="A95" t="s">
        <v>250</v>
      </c>
      <c r="B95" t="s">
        <v>134</v>
      </c>
      <c r="C95" t="s">
        <v>246</v>
      </c>
      <c r="D95" s="4" t="s">
        <v>251</v>
      </c>
      <c r="E95" t="s">
        <v>153</v>
      </c>
      <c r="F95" s="5">
        <v>261</v>
      </c>
      <c r="H95">
        <v>0</v>
      </c>
      <c r="I95" t="s">
        <v>53</v>
      </c>
      <c r="L95" s="6"/>
      <c r="M95" s="6"/>
      <c r="N95" s="6"/>
      <c r="O95" s="5"/>
      <c r="P95" s="7" t="str">
        <f t="shared" si="7"/>
        <v/>
      </c>
      <c r="Q95" s="7" t="str">
        <f t="shared" si="8"/>
        <v/>
      </c>
      <c r="R95" s="7" t="str">
        <f t="shared" si="9"/>
        <v/>
      </c>
      <c r="S95" s="7">
        <f>IF($A95="","",IF(AND(LEFT($G95,3)="ДОК",$N95&lt;&gt;""),IFERROR(INDEX(Документация!$E$2:$E$57,MATCH($N95,Документация!$F$2:$F$57,0)),0),N($F95))*(1-MEDIAN(0,N(ДисконтТендер),1)))</f>
        <v>261</v>
      </c>
      <c r="T95" s="7">
        <f>IF($A95="","",IF(AND(LEFT($G95,3)="ДОК",$N95&lt;&gt;""),0,IF(AND(LEFT($G95,3)&lt;&gt;"ДОК",$N95&lt;&gt;""),IFERROR(INDEX(МАТЕРИАЛЫ!$H$2:$H$9000,MATCH($N95,МАТЕРИАЛЫ!$L$2:$L$9000,0))*IF(INDEX(МАТЕРИАЛЫ!$I$2:$I$9000,MATCH($N95,МАТЕРИАЛЫ!$L$2:$L$9000,0))="USD",КурсUSD,IF(INDEX(МАТЕРИАЛЫ!$I$2:$I$9000,MATCH($N95,МАТЕРИАЛЫ!$L$2:$L$9000,0))="EUR",КурсEUR,IF(INDEX(МАТЕРИАЛЫ!$I$2:$I$9000,MATCH($N95,МАТЕРИАЛЫ!$L$2:$L$9000,0))="CNY",КурсCNY,1)))*(1+N($H95)/100),0),N($O95))*(1-MEDIAN(0,N(ДисконтТендер),1))))</f>
        <v>0</v>
      </c>
      <c r="U95" t="str">
        <f>IF($L95="да",MAX($U$1:$U94)+1,"")</f>
        <v/>
      </c>
      <c r="V95" t="str">
        <f t="shared" si="10"/>
        <v>Р2</v>
      </c>
      <c r="W95" t="str">
        <f t="shared" si="11"/>
        <v/>
      </c>
      <c r="X95" t="str">
        <f t="shared" si="12"/>
        <v/>
      </c>
      <c r="Y95" s="4" t="str">
        <f>IF($A95="","",IF(AND(LEFT($G95,3)="ДОК",$N95&lt;&gt;""),IFERROR(INDEX(Документация!$G$2:$G$57,MATCH($N95,Документация!$F$2:$F$57,0)),$D95),$D95&amp;IF(AND(LEFT($G95,3)&lt;&gt;"ДОК",$N95&lt;&gt;"")," — "&amp;IFERROR(INDEX(МАТЕРИАЛЫ!$C$2:$C$9000,MATCH($N95,МАТЕРИАЛЫ!$L$2:$L$9000,0)),""),"")))</f>
        <v>Демонтаж подоконных досок деревянных</v>
      </c>
      <c r="Z95" t="str">
        <f t="shared" si="13"/>
        <v>Р2 · Демонтажные работы</v>
      </c>
    </row>
    <row r="96" spans="1:26" x14ac:dyDescent="0.3">
      <c r="A96" t="s">
        <v>252</v>
      </c>
      <c r="B96" t="s">
        <v>134</v>
      </c>
      <c r="C96" t="s">
        <v>246</v>
      </c>
      <c r="D96" s="4" t="s">
        <v>253</v>
      </c>
      <c r="E96" t="s">
        <v>153</v>
      </c>
      <c r="F96" s="5">
        <v>689.04</v>
      </c>
      <c r="H96">
        <v>0</v>
      </c>
      <c r="I96" t="s">
        <v>53</v>
      </c>
      <c r="L96" s="6"/>
      <c r="M96" s="6"/>
      <c r="N96" s="6"/>
      <c r="O96" s="5"/>
      <c r="P96" s="7" t="str">
        <f t="shared" si="7"/>
        <v/>
      </c>
      <c r="Q96" s="7" t="str">
        <f t="shared" si="8"/>
        <v/>
      </c>
      <c r="R96" s="7" t="str">
        <f t="shared" si="9"/>
        <v/>
      </c>
      <c r="S96" s="7">
        <f>IF($A96="","",IF(AND(LEFT($G96,3)="ДОК",$N96&lt;&gt;""),IFERROR(INDEX(Документация!$E$2:$E$57,MATCH($N96,Документация!$F$2:$F$57,0)),0),N($F96))*(1-MEDIAN(0,N(ДисконтТендер),1)))</f>
        <v>689.04</v>
      </c>
      <c r="T96" s="7">
        <f>IF($A96="","",IF(AND(LEFT($G96,3)="ДОК",$N96&lt;&gt;""),0,IF(AND(LEFT($G96,3)&lt;&gt;"ДОК",$N96&lt;&gt;""),IFERROR(INDEX(МАТЕРИАЛЫ!$H$2:$H$9000,MATCH($N96,МАТЕРИАЛЫ!$L$2:$L$9000,0))*IF(INDEX(МАТЕРИАЛЫ!$I$2:$I$9000,MATCH($N96,МАТЕРИАЛЫ!$L$2:$L$9000,0))="USD",КурсUSD,IF(INDEX(МАТЕРИАЛЫ!$I$2:$I$9000,MATCH($N96,МАТЕРИАЛЫ!$L$2:$L$9000,0))="EUR",КурсEUR,IF(INDEX(МАТЕРИАЛЫ!$I$2:$I$9000,MATCH($N96,МАТЕРИАЛЫ!$L$2:$L$9000,0))="CNY",КурсCNY,1)))*(1+N($H96)/100),0),N($O96))*(1-MEDIAN(0,N(ДисконтТендер),1))))</f>
        <v>0</v>
      </c>
      <c r="U96" t="str">
        <f>IF($L96="да",MAX($U$1:$U95)+1,"")</f>
        <v/>
      </c>
      <c r="V96" t="str">
        <f t="shared" si="10"/>
        <v>Р2</v>
      </c>
      <c r="W96" t="str">
        <f t="shared" si="11"/>
        <v/>
      </c>
      <c r="X96" t="str">
        <f t="shared" si="12"/>
        <v/>
      </c>
      <c r="Y96" s="4" t="str">
        <f>IF($A96="","",IF(AND(LEFT($G96,3)="ДОК",$N96&lt;&gt;""),IFERROR(INDEX(Документация!$G$2:$G$57,MATCH($N96,Документация!$F$2:$F$57,0)),$D96),$D96&amp;IF(AND(LEFT($G96,3)&lt;&gt;"ДОК",$N96&lt;&gt;"")," — "&amp;IFERROR(INDEX(МАТЕРИАЛЫ!$C$2:$C$9000,MATCH($N96,МАТЕРИАЛЫ!$L$2:$L$9000,0)),""),"")))</f>
        <v>Демонтаж подоконных досок бетонных</v>
      </c>
      <c r="Z96" t="str">
        <f t="shared" si="13"/>
        <v>Р2 · Демонтажные работы</v>
      </c>
    </row>
    <row r="97" spans="1:26" x14ac:dyDescent="0.3">
      <c r="A97" t="s">
        <v>254</v>
      </c>
      <c r="B97" t="s">
        <v>134</v>
      </c>
      <c r="C97" t="s">
        <v>246</v>
      </c>
      <c r="D97" s="4" t="s">
        <v>255</v>
      </c>
      <c r="E97" t="s">
        <v>153</v>
      </c>
      <c r="F97" s="5">
        <v>111.79</v>
      </c>
      <c r="H97">
        <v>0</v>
      </c>
      <c r="I97" t="s">
        <v>53</v>
      </c>
      <c r="L97" s="6"/>
      <c r="M97" s="6"/>
      <c r="N97" s="6"/>
      <c r="O97" s="5"/>
      <c r="P97" s="7" t="str">
        <f t="shared" si="7"/>
        <v/>
      </c>
      <c r="Q97" s="7" t="str">
        <f t="shared" si="8"/>
        <v/>
      </c>
      <c r="R97" s="7" t="str">
        <f t="shared" si="9"/>
        <v/>
      </c>
      <c r="S97" s="7">
        <f>IF($A97="","",IF(AND(LEFT($G97,3)="ДОК",$N97&lt;&gt;""),IFERROR(INDEX(Документация!$E$2:$E$57,MATCH($N97,Документация!$F$2:$F$57,0)),0),N($F97))*(1-MEDIAN(0,N(ДисконтТендер),1)))</f>
        <v>111.79</v>
      </c>
      <c r="T97" s="7">
        <f>IF($A97="","",IF(AND(LEFT($G97,3)="ДОК",$N97&lt;&gt;""),0,IF(AND(LEFT($G97,3)&lt;&gt;"ДОК",$N97&lt;&gt;""),IFERROR(INDEX(МАТЕРИАЛЫ!$H$2:$H$9000,MATCH($N97,МАТЕРИАЛЫ!$L$2:$L$9000,0))*IF(INDEX(МАТЕРИАЛЫ!$I$2:$I$9000,MATCH($N97,МАТЕРИАЛЫ!$L$2:$L$9000,0))="USD",КурсUSD,IF(INDEX(МАТЕРИАЛЫ!$I$2:$I$9000,MATCH($N97,МАТЕРИАЛЫ!$L$2:$L$9000,0))="EUR",КурсEUR,IF(INDEX(МАТЕРИАЛЫ!$I$2:$I$9000,MATCH($N97,МАТЕРИАЛЫ!$L$2:$L$9000,0))="CNY",КурсCNY,1)))*(1+N($H97)/100),0),N($O97))*(1-MEDIAN(0,N(ДисконтТендер),1))))</f>
        <v>0</v>
      </c>
      <c r="U97" t="str">
        <f>IF($L97="да",MAX($U$1:$U96)+1,"")</f>
        <v/>
      </c>
      <c r="V97" t="str">
        <f t="shared" si="10"/>
        <v>Р2</v>
      </c>
      <c r="W97" t="str">
        <f t="shared" si="11"/>
        <v/>
      </c>
      <c r="X97" t="str">
        <f t="shared" si="12"/>
        <v/>
      </c>
      <c r="Y97" s="4" t="str">
        <f>IF($A97="","",IF(AND(LEFT($G97,3)="ДОК",$N97&lt;&gt;""),IFERROR(INDEX(Документация!$G$2:$G$57,MATCH($N97,Документация!$F$2:$F$57,0)),$D97),$D97&amp;IF(AND(LEFT($G97,3)&lt;&gt;"ДОК",$N97&lt;&gt;"")," — "&amp;IFERROR(INDEX(МАТЕРИАЛЫ!$C$2:$C$9000,MATCH($N97,МАТЕРИАЛЫ!$L$2:$L$9000,0)),""),"")))</f>
        <v>Демонтаж отливов из оцинкованной стали</v>
      </c>
      <c r="Z97" t="str">
        <f t="shared" si="13"/>
        <v>Р2 · Демонтажные работы</v>
      </c>
    </row>
    <row r="98" spans="1:26" x14ac:dyDescent="0.3">
      <c r="A98" t="s">
        <v>256</v>
      </c>
      <c r="B98" t="s">
        <v>134</v>
      </c>
      <c r="C98" t="s">
        <v>246</v>
      </c>
      <c r="D98" s="4" t="s">
        <v>257</v>
      </c>
      <c r="E98" t="s">
        <v>52</v>
      </c>
      <c r="F98" s="5">
        <v>130.5</v>
      </c>
      <c r="H98">
        <v>0</v>
      </c>
      <c r="I98" t="s">
        <v>53</v>
      </c>
      <c r="L98" s="6"/>
      <c r="M98" s="6"/>
      <c r="N98" s="6"/>
      <c r="O98" s="5"/>
      <c r="P98" s="7" t="str">
        <f t="shared" si="7"/>
        <v/>
      </c>
      <c r="Q98" s="7" t="str">
        <f t="shared" si="8"/>
        <v/>
      </c>
      <c r="R98" s="7" t="str">
        <f t="shared" si="9"/>
        <v/>
      </c>
      <c r="S98" s="7">
        <f>IF($A98="","",IF(AND(LEFT($G98,3)="ДОК",$N98&lt;&gt;""),IFERROR(INDEX(Документация!$E$2:$E$57,MATCH($N98,Документация!$F$2:$F$57,0)),0),N($F98))*(1-MEDIAN(0,N(ДисконтТендер),1)))</f>
        <v>130.5</v>
      </c>
      <c r="T98" s="7">
        <f>IF($A98="","",IF(AND(LEFT($G98,3)="ДОК",$N98&lt;&gt;""),0,IF(AND(LEFT($G98,3)&lt;&gt;"ДОК",$N98&lt;&gt;""),IFERROR(INDEX(МАТЕРИАЛЫ!$H$2:$H$9000,MATCH($N98,МАТЕРИАЛЫ!$L$2:$L$9000,0))*IF(INDEX(МАТЕРИАЛЫ!$I$2:$I$9000,MATCH($N98,МАТЕРИАЛЫ!$L$2:$L$9000,0))="USD",КурсUSD,IF(INDEX(МАТЕРИАЛЫ!$I$2:$I$9000,MATCH($N98,МАТЕРИАЛЫ!$L$2:$L$9000,0))="EUR",КурсEUR,IF(INDEX(МАТЕРИАЛЫ!$I$2:$I$9000,MATCH($N98,МАТЕРИАЛЫ!$L$2:$L$9000,0))="CNY",КурсCNY,1)))*(1+N($H98)/100),0),N($O98))*(1-MEDIAN(0,N(ДисконтТендер),1))))</f>
        <v>0</v>
      </c>
      <c r="U98" t="str">
        <f>IF($L98="да",MAX($U$1:$U97)+1,"")</f>
        <v/>
      </c>
      <c r="V98" t="str">
        <f t="shared" si="10"/>
        <v>Р2</v>
      </c>
      <c r="W98" t="str">
        <f t="shared" si="11"/>
        <v/>
      </c>
      <c r="X98" t="str">
        <f t="shared" si="12"/>
        <v/>
      </c>
      <c r="Y98" s="4" t="str">
        <f>IF($A98="","",IF(AND(LEFT($G98,3)="ДОК",$N98&lt;&gt;""),IFERROR(INDEX(Документация!$G$2:$G$57,MATCH($N98,Документация!$F$2:$F$57,0)),$D98),$D98&amp;IF(AND(LEFT($G98,3)&lt;&gt;"ДОК",$N98&lt;&gt;"")," — "&amp;IFERROR(INDEX(МАТЕРИАЛЫ!$C$2:$C$9000,MATCH($N98,МАТЕРИАЛЫ!$L$2:$L$9000,0)),""),"")))</f>
        <v>Демонтаж откосов ПВХ</v>
      </c>
      <c r="Z98" t="str">
        <f t="shared" si="13"/>
        <v>Р2 · Демонтажные работы</v>
      </c>
    </row>
    <row r="99" spans="1:26" ht="28.8" x14ac:dyDescent="0.3">
      <c r="A99" t="s">
        <v>258</v>
      </c>
      <c r="B99" t="s">
        <v>134</v>
      </c>
      <c r="C99" t="s">
        <v>259</v>
      </c>
      <c r="D99" s="4" t="s">
        <v>260</v>
      </c>
      <c r="E99" t="s">
        <v>52</v>
      </c>
      <c r="F99" s="5">
        <v>1460</v>
      </c>
      <c r="H99">
        <v>0</v>
      </c>
      <c r="I99" t="s">
        <v>53</v>
      </c>
      <c r="L99" s="6"/>
      <c r="M99" s="6"/>
      <c r="N99" s="6"/>
      <c r="O99" s="5"/>
      <c r="P99" s="7" t="str">
        <f t="shared" si="7"/>
        <v/>
      </c>
      <c r="Q99" s="7" t="str">
        <f t="shared" si="8"/>
        <v/>
      </c>
      <c r="R99" s="7" t="str">
        <f t="shared" si="9"/>
        <v/>
      </c>
      <c r="S99" s="7">
        <f>IF($A99="","",IF(AND(LEFT($G99,3)="ДОК",$N99&lt;&gt;""),IFERROR(INDEX(Документация!$E$2:$E$57,MATCH($N99,Документация!$F$2:$F$57,0)),0),N($F99))*(1-MEDIAN(0,N(ДисконтТендер),1)))</f>
        <v>1460</v>
      </c>
      <c r="T99" s="7">
        <f>IF($A99="","",IF(AND(LEFT($G99,3)="ДОК",$N99&lt;&gt;""),0,IF(AND(LEFT($G99,3)&lt;&gt;"ДОК",$N99&lt;&gt;""),IFERROR(INDEX(МАТЕРИАЛЫ!$H$2:$H$9000,MATCH($N99,МАТЕРИАЛЫ!$L$2:$L$9000,0))*IF(INDEX(МАТЕРИАЛЫ!$I$2:$I$9000,MATCH($N99,МАТЕРИАЛЫ!$L$2:$L$9000,0))="USD",КурсUSD,IF(INDEX(МАТЕРИАЛЫ!$I$2:$I$9000,MATCH($N99,МАТЕРИАЛЫ!$L$2:$L$9000,0))="EUR",КурсEUR,IF(INDEX(МАТЕРИАЛЫ!$I$2:$I$9000,MATCH($N99,МАТЕРИАЛЫ!$L$2:$L$9000,0))="CNY",КурсCNY,1)))*(1+N($H99)/100),0),N($O99))*(1-MEDIAN(0,N(ДисконтТендер),1))))</f>
        <v>0</v>
      </c>
      <c r="U99" t="str">
        <f>IF($L99="да",MAX($U$1:$U98)+1,"")</f>
        <v/>
      </c>
      <c r="V99" t="str">
        <f t="shared" si="10"/>
        <v>Р2</v>
      </c>
      <c r="W99" t="str">
        <f t="shared" si="11"/>
        <v/>
      </c>
      <c r="X99" t="str">
        <f t="shared" si="12"/>
        <v/>
      </c>
      <c r="Y99" s="4" t="str">
        <f>IF($A99="","",IF(AND(LEFT($G99,3)="ДОК",$N99&lt;&gt;""),IFERROR(INDEX(Документация!$G$2:$G$57,MATCH($N99,Документация!$F$2:$F$57,0)),$D99),$D99&amp;IF(AND(LEFT($G99,3)&lt;&gt;"ДОК",$N99&lt;&gt;"")," — "&amp;IFERROR(INDEX(МАТЕРИАЛЫ!$C$2:$C$9000,MATCH($N99,МАТЕРИАЛЫ!$L$2:$L$9000,0)),""),"")))</f>
        <v>Демонтаж рулонной кровли из оклеечных изоляционных материалов в два слоя</v>
      </c>
      <c r="Z99" t="str">
        <f t="shared" si="13"/>
        <v>Р2 · Демонтажные работы</v>
      </c>
    </row>
    <row r="100" spans="1:26" ht="28.8" x14ac:dyDescent="0.3">
      <c r="A100" t="s">
        <v>261</v>
      </c>
      <c r="B100" t="s">
        <v>134</v>
      </c>
      <c r="C100" t="s">
        <v>259</v>
      </c>
      <c r="D100" s="4" t="s">
        <v>262</v>
      </c>
      <c r="E100" t="s">
        <v>52</v>
      </c>
      <c r="F100" s="5">
        <v>422.78</v>
      </c>
      <c r="H100">
        <v>0</v>
      </c>
      <c r="I100" t="s">
        <v>53</v>
      </c>
      <c r="L100" s="6"/>
      <c r="M100" s="6"/>
      <c r="N100" s="6"/>
      <c r="O100" s="5"/>
      <c r="P100" s="7" t="str">
        <f t="shared" si="7"/>
        <v/>
      </c>
      <c r="Q100" s="7" t="str">
        <f t="shared" si="8"/>
        <v/>
      </c>
      <c r="R100" s="7" t="str">
        <f t="shared" si="9"/>
        <v/>
      </c>
      <c r="S100" s="7">
        <f>IF($A100="","",IF(AND(LEFT($G100,3)="ДОК",$N100&lt;&gt;""),IFERROR(INDEX(Документация!$E$2:$E$57,MATCH($N100,Документация!$F$2:$F$57,0)),0),N($F100))*(1-MEDIAN(0,N(ДисконтТендер),1)))</f>
        <v>422.78</v>
      </c>
      <c r="T100" s="7">
        <f>IF($A100="","",IF(AND(LEFT($G100,3)="ДОК",$N100&lt;&gt;""),0,IF(AND(LEFT($G100,3)&lt;&gt;"ДОК",$N100&lt;&gt;""),IFERROR(INDEX(МАТЕРИАЛЫ!$H$2:$H$9000,MATCH($N100,МАТЕРИАЛЫ!$L$2:$L$9000,0))*IF(INDEX(МАТЕРИАЛЫ!$I$2:$I$9000,MATCH($N100,МАТЕРИАЛЫ!$L$2:$L$9000,0))="USD",КурсUSD,IF(INDEX(МАТЕРИАЛЫ!$I$2:$I$9000,MATCH($N100,МАТЕРИАЛЫ!$L$2:$L$9000,0))="EUR",КурсEUR,IF(INDEX(МАТЕРИАЛЫ!$I$2:$I$9000,MATCH($N100,МАТЕРИАЛЫ!$L$2:$L$9000,0))="CNY",КурсCNY,1)))*(1+N($H100)/100),0),N($O100))*(1-MEDIAN(0,N(ДисконтТендер),1))))</f>
        <v>0</v>
      </c>
      <c r="U100" t="str">
        <f>IF($L100="да",MAX($U$1:$U99)+1,"")</f>
        <v/>
      </c>
      <c r="V100" t="str">
        <f t="shared" si="10"/>
        <v>Р2</v>
      </c>
      <c r="W100" t="str">
        <f t="shared" si="11"/>
        <v/>
      </c>
      <c r="X100" t="str">
        <f t="shared" si="12"/>
        <v/>
      </c>
      <c r="Y100" s="4" t="str">
        <f>IF($A100="","",IF(AND(LEFT($G100,3)="ДОК",$N100&lt;&gt;""),IFERROR(INDEX(Документация!$G$2:$G$57,MATCH($N100,Документация!$F$2:$F$57,0)),$D100),$D100&amp;IF(AND(LEFT($G100,3)&lt;&gt;"ДОК",$N100&lt;&gt;"")," — "&amp;IFERROR(INDEX(МАТЕРИАЛЫ!$C$2:$C$9000,MATCH($N100,МАТЕРИАЛЫ!$L$2:$L$9000,0)),""),"")))</f>
        <v>Демонтаж покрытия кровли из профлиста, металлочерепицы, андулина, металла.</v>
      </c>
      <c r="Z100" t="str">
        <f t="shared" si="13"/>
        <v>Р2 · Демонтажные работы</v>
      </c>
    </row>
    <row r="101" spans="1:26" ht="28.8" x14ac:dyDescent="0.3">
      <c r="A101" t="s">
        <v>263</v>
      </c>
      <c r="B101" t="s">
        <v>134</v>
      </c>
      <c r="C101" t="s">
        <v>259</v>
      </c>
      <c r="D101" s="4" t="s">
        <v>264</v>
      </c>
      <c r="E101" t="s">
        <v>52</v>
      </c>
      <c r="F101" s="5">
        <v>1379.7</v>
      </c>
      <c r="H101">
        <v>0</v>
      </c>
      <c r="I101" t="s">
        <v>53</v>
      </c>
      <c r="L101" s="6"/>
      <c r="M101" s="6"/>
      <c r="N101" s="6"/>
      <c r="O101" s="5"/>
      <c r="P101" s="7" t="str">
        <f t="shared" si="7"/>
        <v/>
      </c>
      <c r="Q101" s="7" t="str">
        <f t="shared" si="8"/>
        <v/>
      </c>
      <c r="R101" s="7" t="str">
        <f t="shared" si="9"/>
        <v/>
      </c>
      <c r="S101" s="7">
        <f>IF($A101="","",IF(AND(LEFT($G101,3)="ДОК",$N101&lt;&gt;""),IFERROR(INDEX(Документация!$E$2:$E$57,MATCH($N101,Документация!$F$2:$F$57,0)),0),N($F101))*(1-MEDIAN(0,N(ДисконтТендер),1)))</f>
        <v>1379.7</v>
      </c>
      <c r="T101" s="7">
        <f>IF($A101="","",IF(AND(LEFT($G101,3)="ДОК",$N101&lt;&gt;""),0,IF(AND(LEFT($G101,3)&lt;&gt;"ДОК",$N101&lt;&gt;""),IFERROR(INDEX(МАТЕРИАЛЫ!$H$2:$H$9000,MATCH($N101,МАТЕРИАЛЫ!$L$2:$L$9000,0))*IF(INDEX(МАТЕРИАЛЫ!$I$2:$I$9000,MATCH($N101,МАТЕРИАЛЫ!$L$2:$L$9000,0))="USD",КурсUSD,IF(INDEX(МАТЕРИАЛЫ!$I$2:$I$9000,MATCH($N101,МАТЕРИАЛЫ!$L$2:$L$9000,0))="EUR",КурсEUR,IF(INDEX(МАТЕРИАЛЫ!$I$2:$I$9000,MATCH($N101,МАТЕРИАЛЫ!$L$2:$L$9000,0))="CNY",КурсCNY,1)))*(1+N($H101)/100),0),N($O101))*(1-MEDIAN(0,N(ДисконтТендер),1))))</f>
        <v>0</v>
      </c>
      <c r="U101" t="str">
        <f>IF($L101="да",MAX($U$1:$U100)+1,"")</f>
        <v/>
      </c>
      <c r="V101" t="str">
        <f t="shared" si="10"/>
        <v>Р2</v>
      </c>
      <c r="W101" t="str">
        <f t="shared" si="11"/>
        <v/>
      </c>
      <c r="X101" t="str">
        <f t="shared" si="12"/>
        <v/>
      </c>
      <c r="Y101" s="4" t="str">
        <f>IF($A101="","",IF(AND(LEFT($G101,3)="ДОК",$N101&lt;&gt;""),IFERROR(INDEX(Документация!$G$2:$G$57,MATCH($N101,Документация!$F$2:$F$57,0)),$D101),$D101&amp;IF(AND(LEFT($G101,3)&lt;&gt;"ДОК",$N101&lt;&gt;"")," — "&amp;IFERROR(INDEX(МАТЕРИАЛЫ!$C$2:$C$9000,MATCH($N101,МАТЕРИАЛЫ!$L$2:$L$9000,0)),""),"")))</f>
        <v>Демонтаж стропильной части кровли включая обрешетку</v>
      </c>
      <c r="Z101" t="str">
        <f t="shared" si="13"/>
        <v>Р2 · Демонтажные работы</v>
      </c>
    </row>
    <row r="102" spans="1:26" x14ac:dyDescent="0.3">
      <c r="A102" t="s">
        <v>265</v>
      </c>
      <c r="B102" t="s">
        <v>134</v>
      </c>
      <c r="C102" t="s">
        <v>259</v>
      </c>
      <c r="D102" s="4" t="s">
        <v>266</v>
      </c>
      <c r="E102" t="s">
        <v>150</v>
      </c>
      <c r="F102" s="5">
        <v>1163.98</v>
      </c>
      <c r="H102">
        <v>0</v>
      </c>
      <c r="I102" t="s">
        <v>53</v>
      </c>
      <c r="L102" s="6"/>
      <c r="M102" s="6"/>
      <c r="N102" s="6"/>
      <c r="O102" s="5"/>
      <c r="P102" s="7" t="str">
        <f t="shared" si="7"/>
        <v/>
      </c>
      <c r="Q102" s="7" t="str">
        <f t="shared" si="8"/>
        <v/>
      </c>
      <c r="R102" s="7" t="str">
        <f t="shared" si="9"/>
        <v/>
      </c>
      <c r="S102" s="7">
        <f>IF($A102="","",IF(AND(LEFT($G102,3)="ДОК",$N102&lt;&gt;""),IFERROR(INDEX(Документация!$E$2:$E$57,MATCH($N102,Документация!$F$2:$F$57,0)),0),N($F102))*(1-MEDIAN(0,N(ДисконтТендер),1)))</f>
        <v>1163.98</v>
      </c>
      <c r="T102" s="7">
        <f>IF($A102="","",IF(AND(LEFT($G102,3)="ДОК",$N102&lt;&gt;""),0,IF(AND(LEFT($G102,3)&lt;&gt;"ДОК",$N102&lt;&gt;""),IFERROR(INDEX(МАТЕРИАЛЫ!$H$2:$H$9000,MATCH($N102,МАТЕРИАЛЫ!$L$2:$L$9000,0))*IF(INDEX(МАТЕРИАЛЫ!$I$2:$I$9000,MATCH($N102,МАТЕРИАЛЫ!$L$2:$L$9000,0))="USD",КурсUSD,IF(INDEX(МАТЕРИАЛЫ!$I$2:$I$9000,MATCH($N102,МАТЕРИАЛЫ!$L$2:$L$9000,0))="EUR",КурсEUR,IF(INDEX(МАТЕРИАЛЫ!$I$2:$I$9000,MATCH($N102,МАТЕРИАЛЫ!$L$2:$L$9000,0))="CNY",КурсCNY,1)))*(1+N($H102)/100),0),N($O102))*(1-MEDIAN(0,N(ДисконтТендер),1))))</f>
        <v>0</v>
      </c>
      <c r="U102" t="str">
        <f>IF($L102="да",MAX($U$1:$U101)+1,"")</f>
        <v/>
      </c>
      <c r="V102" t="str">
        <f t="shared" si="10"/>
        <v>Р2</v>
      </c>
      <c r="W102" t="str">
        <f t="shared" si="11"/>
        <v/>
      </c>
      <c r="X102" t="str">
        <f t="shared" si="12"/>
        <v/>
      </c>
      <c r="Y102" s="4" t="str">
        <f>IF($A102="","",IF(AND(LEFT($G102,3)="ДОК",$N102&lt;&gt;""),IFERROR(INDEX(Документация!$G$2:$G$57,MATCH($N102,Документация!$F$2:$F$57,0)),$D102),$D102&amp;IF(AND(LEFT($G102,3)&lt;&gt;"ДОК",$N102&lt;&gt;"")," — "&amp;IFERROR(INDEX(МАТЕРИАЛЫ!$C$2:$C$9000,MATCH($N102,МАТЕРИАЛЫ!$L$2:$L$9000,0)),""),"")))</f>
        <v>Демонтаж утеплителя кровли</v>
      </c>
      <c r="Z102" t="str">
        <f t="shared" si="13"/>
        <v>Р2 · Демонтажные работы</v>
      </c>
    </row>
    <row r="103" spans="1:26" x14ac:dyDescent="0.3">
      <c r="A103" t="s">
        <v>267</v>
      </c>
      <c r="B103" t="s">
        <v>134</v>
      </c>
      <c r="C103" t="s">
        <v>259</v>
      </c>
      <c r="D103" s="4" t="s">
        <v>268</v>
      </c>
      <c r="E103" t="s">
        <v>153</v>
      </c>
      <c r="F103" s="5">
        <v>209</v>
      </c>
      <c r="H103">
        <v>0</v>
      </c>
      <c r="I103" t="s">
        <v>53</v>
      </c>
      <c r="L103" s="6"/>
      <c r="M103" s="6"/>
      <c r="N103" s="6"/>
      <c r="O103" s="5"/>
      <c r="P103" s="7" t="str">
        <f t="shared" si="7"/>
        <v/>
      </c>
      <c r="Q103" s="7" t="str">
        <f t="shared" si="8"/>
        <v/>
      </c>
      <c r="R103" s="7" t="str">
        <f t="shared" si="9"/>
        <v/>
      </c>
      <c r="S103" s="7">
        <f>IF($A103="","",IF(AND(LEFT($G103,3)="ДОК",$N103&lt;&gt;""),IFERROR(INDEX(Документация!$E$2:$E$57,MATCH($N103,Документация!$F$2:$F$57,0)),0),N($F103))*(1-MEDIAN(0,N(ДисконтТендер),1)))</f>
        <v>209</v>
      </c>
      <c r="T103" s="7">
        <f>IF($A103="","",IF(AND(LEFT($G103,3)="ДОК",$N103&lt;&gt;""),0,IF(AND(LEFT($G103,3)&lt;&gt;"ДОК",$N103&lt;&gt;""),IFERROR(INDEX(МАТЕРИАЛЫ!$H$2:$H$9000,MATCH($N103,МАТЕРИАЛЫ!$L$2:$L$9000,0))*IF(INDEX(МАТЕРИАЛЫ!$I$2:$I$9000,MATCH($N103,МАТЕРИАЛЫ!$L$2:$L$9000,0))="USD",КурсUSD,IF(INDEX(МАТЕРИАЛЫ!$I$2:$I$9000,MATCH($N103,МАТЕРИАЛЫ!$L$2:$L$9000,0))="EUR",КурсEUR,IF(INDEX(МАТЕРИАЛЫ!$I$2:$I$9000,MATCH($N103,МАТЕРИАЛЫ!$L$2:$L$9000,0))="CNY",КурсCNY,1)))*(1+N($H103)/100),0),N($O103))*(1-MEDIAN(0,N(ДисконтТендер),1))))</f>
        <v>0</v>
      </c>
      <c r="U103" t="str">
        <f>IF($L103="да",MAX($U$1:$U102)+1,"")</f>
        <v/>
      </c>
      <c r="V103" t="str">
        <f t="shared" si="10"/>
        <v>Р2</v>
      </c>
      <c r="W103" t="str">
        <f t="shared" si="11"/>
        <v/>
      </c>
      <c r="X103" t="str">
        <f t="shared" si="12"/>
        <v/>
      </c>
      <c r="Y103" s="4" t="str">
        <f>IF($A103="","",IF(AND(LEFT($G103,3)="ДОК",$N103&lt;&gt;""),IFERROR(INDEX(Документация!$G$2:$G$57,MATCH($N103,Документация!$F$2:$F$57,0)),$D103),$D103&amp;IF(AND(LEFT($G103,3)&lt;&gt;"ДОК",$N103&lt;&gt;"")," — "&amp;IFERROR(INDEX(МАТЕРИАЛЫ!$C$2:$C$9000,MATCH($N103,МАТЕРИАЛЫ!$L$2:$L$9000,0)),""),"")))</f>
        <v>Демонтаж отливов, водостоков.</v>
      </c>
      <c r="Z103" t="str">
        <f t="shared" si="13"/>
        <v>Р2 · Демонтажные работы</v>
      </c>
    </row>
    <row r="104" spans="1:26" x14ac:dyDescent="0.3">
      <c r="A104" t="s">
        <v>269</v>
      </c>
      <c r="B104" t="s">
        <v>134</v>
      </c>
      <c r="C104" t="s">
        <v>270</v>
      </c>
      <c r="D104" s="4" t="s">
        <v>271</v>
      </c>
      <c r="E104" t="s">
        <v>52</v>
      </c>
      <c r="F104" s="5">
        <v>339.3</v>
      </c>
      <c r="H104">
        <v>0</v>
      </c>
      <c r="I104" t="s">
        <v>53</v>
      </c>
      <c r="L104" s="6"/>
      <c r="M104" s="6"/>
      <c r="N104" s="6"/>
      <c r="O104" s="5"/>
      <c r="P104" s="7" t="str">
        <f t="shared" si="7"/>
        <v/>
      </c>
      <c r="Q104" s="7" t="str">
        <f t="shared" si="8"/>
        <v/>
      </c>
      <c r="R104" s="7" t="str">
        <f t="shared" si="9"/>
        <v/>
      </c>
      <c r="S104" s="7">
        <f>IF($A104="","",IF(AND(LEFT($G104,3)="ДОК",$N104&lt;&gt;""),IFERROR(INDEX(Документация!$E$2:$E$57,MATCH($N104,Документация!$F$2:$F$57,0)),0),N($F104))*(1-MEDIAN(0,N(ДисконтТендер),1)))</f>
        <v>339.3</v>
      </c>
      <c r="T104" s="7">
        <f>IF($A104="","",IF(AND(LEFT($G104,3)="ДОК",$N104&lt;&gt;""),0,IF(AND(LEFT($G104,3)&lt;&gt;"ДОК",$N104&lt;&gt;""),IFERROR(INDEX(МАТЕРИАЛЫ!$H$2:$H$9000,MATCH($N104,МАТЕРИАЛЫ!$L$2:$L$9000,0))*IF(INDEX(МАТЕРИАЛЫ!$I$2:$I$9000,MATCH($N104,МАТЕРИАЛЫ!$L$2:$L$9000,0))="USD",КурсUSD,IF(INDEX(МАТЕРИАЛЫ!$I$2:$I$9000,MATCH($N104,МАТЕРИАЛЫ!$L$2:$L$9000,0))="EUR",КурсEUR,IF(INDEX(МАТЕРИАЛЫ!$I$2:$I$9000,MATCH($N104,МАТЕРИАЛЫ!$L$2:$L$9000,0))="CNY",КурсCNY,1)))*(1+N($H104)/100),0),N($O104))*(1-MEDIAN(0,N(ДисконтТендер),1))))</f>
        <v>0</v>
      </c>
      <c r="U104" t="str">
        <f>IF($L104="да",MAX($U$1:$U103)+1,"")</f>
        <v/>
      </c>
      <c r="V104" t="str">
        <f t="shared" si="10"/>
        <v>Р2</v>
      </c>
      <c r="W104" t="str">
        <f t="shared" si="11"/>
        <v/>
      </c>
      <c r="X104" t="str">
        <f t="shared" si="12"/>
        <v/>
      </c>
      <c r="Y104" s="4" t="str">
        <f>IF($A104="","",IF(AND(LEFT($G104,3)="ДОК",$N104&lt;&gt;""),IFERROR(INDEX(Документация!$G$2:$G$57,MATCH($N104,Документация!$F$2:$F$57,0)),$D104),$D104&amp;IF(AND(LEFT($G104,3)&lt;&gt;"ДОК",$N104&lt;&gt;"")," — "&amp;IFERROR(INDEX(МАТЕРИАЛЫ!$C$2:$C$9000,MATCH($N104,МАТЕРИАЛЫ!$L$2:$L$9000,0)),""),"")))</f>
        <v>Разборка тротуарной плитки</v>
      </c>
      <c r="Z104" t="str">
        <f t="shared" si="13"/>
        <v>Р2 · Демонтажные работы</v>
      </c>
    </row>
    <row r="105" spans="1:26" x14ac:dyDescent="0.3">
      <c r="A105" t="s">
        <v>272</v>
      </c>
      <c r="B105" t="s">
        <v>134</v>
      </c>
      <c r="C105" t="s">
        <v>270</v>
      </c>
      <c r="D105" s="4" t="s">
        <v>273</v>
      </c>
      <c r="E105" t="s">
        <v>52</v>
      </c>
      <c r="F105" s="5">
        <v>882.18</v>
      </c>
      <c r="H105">
        <v>0</v>
      </c>
      <c r="I105" t="s">
        <v>53</v>
      </c>
      <c r="L105" s="6"/>
      <c r="M105" s="6"/>
      <c r="N105" s="6"/>
      <c r="O105" s="5"/>
      <c r="P105" s="7" t="str">
        <f t="shared" si="7"/>
        <v/>
      </c>
      <c r="Q105" s="7" t="str">
        <f t="shared" si="8"/>
        <v/>
      </c>
      <c r="R105" s="7" t="str">
        <f t="shared" si="9"/>
        <v/>
      </c>
      <c r="S105" s="7">
        <f>IF($A105="","",IF(AND(LEFT($G105,3)="ДОК",$N105&lt;&gt;""),IFERROR(INDEX(Документация!$E$2:$E$57,MATCH($N105,Документация!$F$2:$F$57,0)),0),N($F105))*(1-MEDIAN(0,N(ДисконтТендер),1)))</f>
        <v>882.18</v>
      </c>
      <c r="T105" s="7">
        <f>IF($A105="","",IF(AND(LEFT($G105,3)="ДОК",$N105&lt;&gt;""),0,IF(AND(LEFT($G105,3)&lt;&gt;"ДОК",$N105&lt;&gt;""),IFERROR(INDEX(МАТЕРИАЛЫ!$H$2:$H$9000,MATCH($N105,МАТЕРИАЛЫ!$L$2:$L$9000,0))*IF(INDEX(МАТЕРИАЛЫ!$I$2:$I$9000,MATCH($N105,МАТЕРИАЛЫ!$L$2:$L$9000,0))="USD",КурсUSD,IF(INDEX(МАТЕРИАЛЫ!$I$2:$I$9000,MATCH($N105,МАТЕРИАЛЫ!$L$2:$L$9000,0))="EUR",КурсEUR,IF(INDEX(МАТЕРИАЛЫ!$I$2:$I$9000,MATCH($N105,МАТЕРИАЛЫ!$L$2:$L$9000,0))="CNY",КурсCNY,1)))*(1+N($H105)/100),0),N($O105))*(1-MEDIAN(0,N(ДисконтТендер),1))))</f>
        <v>0</v>
      </c>
      <c r="U105" t="str">
        <f>IF($L105="да",MAX($U$1:$U104)+1,"")</f>
        <v/>
      </c>
      <c r="V105" t="str">
        <f t="shared" si="10"/>
        <v>Р2</v>
      </c>
      <c r="W105" t="str">
        <f t="shared" si="11"/>
        <v/>
      </c>
      <c r="X105" t="str">
        <f t="shared" si="12"/>
        <v/>
      </c>
      <c r="Y105" s="4" t="str">
        <f>IF($A105="","",IF(AND(LEFT($G105,3)="ДОК",$N105&lt;&gt;""),IFERROR(INDEX(Документация!$G$2:$G$57,MATCH($N105,Документация!$F$2:$F$57,0)),$D105),$D105&amp;IF(AND(LEFT($G105,3)&lt;&gt;"ДОК",$N105&lt;&gt;"")," — "&amp;IFERROR(INDEX(МАТЕРИАЛЫ!$C$2:$C$9000,MATCH($N105,МАТЕРИАЛЫ!$L$2:$L$9000,0)),""),"")))</f>
        <v>Разборка асфальтового покрытия</v>
      </c>
      <c r="Z105" t="str">
        <f t="shared" si="13"/>
        <v>Р2 · Демонтажные работы</v>
      </c>
    </row>
    <row r="106" spans="1:26" x14ac:dyDescent="0.3">
      <c r="A106" t="s">
        <v>274</v>
      </c>
      <c r="B106" t="s">
        <v>134</v>
      </c>
      <c r="C106" t="s">
        <v>270</v>
      </c>
      <c r="D106" s="4" t="s">
        <v>275</v>
      </c>
      <c r="E106" t="s">
        <v>52</v>
      </c>
      <c r="F106" s="5">
        <v>7464.6</v>
      </c>
      <c r="H106">
        <v>0</v>
      </c>
      <c r="I106" t="s">
        <v>53</v>
      </c>
      <c r="L106" s="6"/>
      <c r="M106" s="6"/>
      <c r="N106" s="6"/>
      <c r="O106" s="5"/>
      <c r="P106" s="7" t="str">
        <f t="shared" si="7"/>
        <v/>
      </c>
      <c r="Q106" s="7" t="str">
        <f t="shared" si="8"/>
        <v/>
      </c>
      <c r="R106" s="7" t="str">
        <f t="shared" si="9"/>
        <v/>
      </c>
      <c r="S106" s="7">
        <f>IF($A106="","",IF(AND(LEFT($G106,3)="ДОК",$N106&lt;&gt;""),IFERROR(INDEX(Документация!$E$2:$E$57,MATCH($N106,Документация!$F$2:$F$57,0)),0),N($F106))*(1-MEDIAN(0,N(ДисконтТендер),1)))</f>
        <v>7464.6</v>
      </c>
      <c r="T106" s="7">
        <f>IF($A106="","",IF(AND(LEFT($G106,3)="ДОК",$N106&lt;&gt;""),0,IF(AND(LEFT($G106,3)&lt;&gt;"ДОК",$N106&lt;&gt;""),IFERROR(INDEX(МАТЕРИАЛЫ!$H$2:$H$9000,MATCH($N106,МАТЕРИАЛЫ!$L$2:$L$9000,0))*IF(INDEX(МАТЕРИАЛЫ!$I$2:$I$9000,MATCH($N106,МАТЕРИАЛЫ!$L$2:$L$9000,0))="USD",КурсUSD,IF(INDEX(МАТЕРИАЛЫ!$I$2:$I$9000,MATCH($N106,МАТЕРИАЛЫ!$L$2:$L$9000,0))="EUR",КурсEUR,IF(INDEX(МАТЕРИАЛЫ!$I$2:$I$9000,MATCH($N106,МАТЕРИАЛЫ!$L$2:$L$9000,0))="CNY",КурсCNY,1)))*(1+N($H106)/100),0),N($O106))*(1-MEDIAN(0,N(ДисконтТендер),1))))</f>
        <v>0</v>
      </c>
      <c r="U106" t="str">
        <f>IF($L106="да",MAX($U$1:$U105)+1,"")</f>
        <v/>
      </c>
      <c r="V106" t="str">
        <f t="shared" si="10"/>
        <v>Р2</v>
      </c>
      <c r="W106" t="str">
        <f t="shared" si="11"/>
        <v/>
      </c>
      <c r="X106" t="str">
        <f t="shared" si="12"/>
        <v/>
      </c>
      <c r="Y106" s="4" t="str">
        <f>IF($A106="","",IF(AND(LEFT($G106,3)="ДОК",$N106&lt;&gt;""),IFERROR(INDEX(Документация!$G$2:$G$57,MATCH($N106,Документация!$F$2:$F$57,0)),$D106),$D106&amp;IF(AND(LEFT($G106,3)&lt;&gt;"ДОК",$N106&lt;&gt;"")," — "&amp;IFERROR(INDEX(МАТЕРИАЛЫ!$C$2:$C$9000,MATCH($N106,МАТЕРИАЛЫ!$L$2:$L$9000,0)),""),"")))</f>
        <v>Разборка бетонированного покрытия</v>
      </c>
      <c r="Z106" t="str">
        <f t="shared" si="13"/>
        <v>Р2 · Демонтажные работы</v>
      </c>
    </row>
    <row r="107" spans="1:26" x14ac:dyDescent="0.3">
      <c r="A107" t="s">
        <v>276</v>
      </c>
      <c r="B107" t="s">
        <v>134</v>
      </c>
      <c r="C107" t="s">
        <v>270</v>
      </c>
      <c r="D107" s="4" t="s">
        <v>277</v>
      </c>
      <c r="E107" t="s">
        <v>150</v>
      </c>
      <c r="F107" s="5">
        <v>3732.3</v>
      </c>
      <c r="H107">
        <v>0</v>
      </c>
      <c r="I107" t="s">
        <v>53</v>
      </c>
      <c r="L107" s="6"/>
      <c r="M107" s="6"/>
      <c r="N107" s="6"/>
      <c r="O107" s="5"/>
      <c r="P107" s="7" t="str">
        <f t="shared" si="7"/>
        <v/>
      </c>
      <c r="Q107" s="7" t="str">
        <f t="shared" si="8"/>
        <v/>
      </c>
      <c r="R107" s="7" t="str">
        <f t="shared" si="9"/>
        <v/>
      </c>
      <c r="S107" s="7">
        <f>IF($A107="","",IF(AND(LEFT($G107,3)="ДОК",$N107&lt;&gt;""),IFERROR(INDEX(Документация!$E$2:$E$57,MATCH($N107,Документация!$F$2:$F$57,0)),0),N($F107))*(1-MEDIAN(0,N(ДисконтТендер),1)))</f>
        <v>3732.3</v>
      </c>
      <c r="T107" s="7">
        <f>IF($A107="","",IF(AND(LEFT($G107,3)="ДОК",$N107&lt;&gt;""),0,IF(AND(LEFT($G107,3)&lt;&gt;"ДОК",$N107&lt;&gt;""),IFERROR(INDEX(МАТЕРИАЛЫ!$H$2:$H$9000,MATCH($N107,МАТЕРИАЛЫ!$L$2:$L$9000,0))*IF(INDEX(МАТЕРИАЛЫ!$I$2:$I$9000,MATCH($N107,МАТЕРИАЛЫ!$L$2:$L$9000,0))="USD",КурсUSD,IF(INDEX(МАТЕРИАЛЫ!$I$2:$I$9000,MATCH($N107,МАТЕРИАЛЫ!$L$2:$L$9000,0))="EUR",КурсEUR,IF(INDEX(МАТЕРИАЛЫ!$I$2:$I$9000,MATCH($N107,МАТЕРИАЛЫ!$L$2:$L$9000,0))="CNY",КурсCNY,1)))*(1+N($H107)/100),0),N($O107))*(1-MEDIAN(0,N(ДисконтТендер),1))))</f>
        <v>0</v>
      </c>
      <c r="U107" t="str">
        <f>IF($L107="да",MAX($U$1:$U106)+1,"")</f>
        <v/>
      </c>
      <c r="V107" t="str">
        <f t="shared" si="10"/>
        <v>Р2</v>
      </c>
      <c r="W107" t="str">
        <f t="shared" si="11"/>
        <v/>
      </c>
      <c r="X107" t="str">
        <f t="shared" si="12"/>
        <v/>
      </c>
      <c r="Y107" s="4" t="str">
        <f>IF($A107="","",IF(AND(LEFT($G107,3)="ДОК",$N107&lt;&gt;""),IFERROR(INDEX(Документация!$G$2:$G$57,MATCH($N107,Документация!$F$2:$F$57,0)),$D107),$D107&amp;IF(AND(LEFT($G107,3)&lt;&gt;"ДОК",$N107&lt;&gt;"")," — "&amp;IFERROR(INDEX(МАТЕРИАЛЫ!$C$2:$C$9000,MATCH($N107,МАТЕРИАЛЫ!$L$2:$L$9000,0)),""),"")))</f>
        <v>Выемка грунта</v>
      </c>
      <c r="Z107" t="str">
        <f t="shared" si="13"/>
        <v>Р2 · Демонтажные работы</v>
      </c>
    </row>
    <row r="108" spans="1:26" ht="28.8" x14ac:dyDescent="0.3">
      <c r="A108" t="s">
        <v>278</v>
      </c>
      <c r="B108" t="s">
        <v>134</v>
      </c>
      <c r="C108" t="s">
        <v>270</v>
      </c>
      <c r="D108" s="4" t="s">
        <v>279</v>
      </c>
      <c r="E108" t="s">
        <v>153</v>
      </c>
      <c r="F108" s="5">
        <v>916.11</v>
      </c>
      <c r="H108">
        <v>0</v>
      </c>
      <c r="I108" t="s">
        <v>53</v>
      </c>
      <c r="L108" s="6"/>
      <c r="M108" s="6"/>
      <c r="N108" s="6"/>
      <c r="O108" s="5"/>
      <c r="P108" s="7" t="str">
        <f t="shared" si="7"/>
        <v/>
      </c>
      <c r="Q108" s="7" t="str">
        <f t="shared" si="8"/>
        <v/>
      </c>
      <c r="R108" s="7" t="str">
        <f t="shared" si="9"/>
        <v/>
      </c>
      <c r="S108" s="7">
        <f>IF($A108="","",IF(AND(LEFT($G108,3)="ДОК",$N108&lt;&gt;""),IFERROR(INDEX(Документация!$E$2:$E$57,MATCH($N108,Документация!$F$2:$F$57,0)),0),N($F108))*(1-MEDIAN(0,N(ДисконтТендер),1)))</f>
        <v>916.11</v>
      </c>
      <c r="T108" s="7">
        <f>IF($A108="","",IF(AND(LEFT($G108,3)="ДОК",$N108&lt;&gt;""),0,IF(AND(LEFT($G108,3)&lt;&gt;"ДОК",$N108&lt;&gt;""),IFERROR(INDEX(МАТЕРИАЛЫ!$H$2:$H$9000,MATCH($N108,МАТЕРИАЛЫ!$L$2:$L$9000,0))*IF(INDEX(МАТЕРИАЛЫ!$I$2:$I$9000,MATCH($N108,МАТЕРИАЛЫ!$L$2:$L$9000,0))="USD",КурсUSD,IF(INDEX(МАТЕРИАЛЫ!$I$2:$I$9000,MATCH($N108,МАТЕРИАЛЫ!$L$2:$L$9000,0))="EUR",КурсEUR,IF(INDEX(МАТЕРИАЛЫ!$I$2:$I$9000,MATCH($N108,МАТЕРИАЛЫ!$L$2:$L$9000,0))="CNY",КурсCNY,1)))*(1+N($H108)/100),0),N($O108))*(1-MEDIAN(0,N(ДисконтТендер),1))))</f>
        <v>0</v>
      </c>
      <c r="U108" t="str">
        <f>IF($L108="да",MAX($U$1:$U107)+1,"")</f>
        <v/>
      </c>
      <c r="V108" t="str">
        <f t="shared" si="10"/>
        <v>Р2</v>
      </c>
      <c r="W108" t="str">
        <f t="shared" si="11"/>
        <v/>
      </c>
      <c r="X108" t="str">
        <f t="shared" si="12"/>
        <v/>
      </c>
      <c r="Y108" s="4" t="str">
        <f>IF($A108="","",IF(AND(LEFT($G108,3)="ДОК",$N108&lt;&gt;""),IFERROR(INDEX(Документация!$G$2:$G$57,MATCH($N108,Документация!$F$2:$F$57,0)),$D108),$D108&amp;IF(AND(LEFT($G108,3)&lt;&gt;"ДОК",$N108&lt;&gt;"")," — "&amp;IFERROR(INDEX(МАТЕРИАЛЫ!$C$2:$C$9000,MATCH($N108,МАТЕРИАЛЫ!$L$2:$L$9000,0)),""),"")))</f>
        <v>Демонтаж бордюрного, тротуарного,дорожного камня.</v>
      </c>
      <c r="Z108" t="str">
        <f t="shared" si="13"/>
        <v>Р2 · Демонтажные работы</v>
      </c>
    </row>
    <row r="109" spans="1:26" x14ac:dyDescent="0.3">
      <c r="A109" t="s">
        <v>280</v>
      </c>
      <c r="B109" t="s">
        <v>134</v>
      </c>
      <c r="C109" t="s">
        <v>270</v>
      </c>
      <c r="D109" s="4" t="s">
        <v>281</v>
      </c>
      <c r="E109" t="s">
        <v>153</v>
      </c>
      <c r="F109" s="5">
        <v>610.74</v>
      </c>
      <c r="H109">
        <v>0</v>
      </c>
      <c r="I109" t="s">
        <v>53</v>
      </c>
      <c r="L109" s="6"/>
      <c r="M109" s="6"/>
      <c r="N109" s="6"/>
      <c r="O109" s="5"/>
      <c r="P109" s="7" t="str">
        <f t="shared" si="7"/>
        <v/>
      </c>
      <c r="Q109" s="7" t="str">
        <f t="shared" si="8"/>
        <v/>
      </c>
      <c r="R109" s="7" t="str">
        <f t="shared" si="9"/>
        <v/>
      </c>
      <c r="S109" s="7">
        <f>IF($A109="","",IF(AND(LEFT($G109,3)="ДОК",$N109&lt;&gt;""),IFERROR(INDEX(Документация!$E$2:$E$57,MATCH($N109,Документация!$F$2:$F$57,0)),0),N($F109))*(1-MEDIAN(0,N(ДисконтТендер),1)))</f>
        <v>610.74</v>
      </c>
      <c r="T109" s="7">
        <f>IF($A109="","",IF(AND(LEFT($G109,3)="ДОК",$N109&lt;&gt;""),0,IF(AND(LEFT($G109,3)&lt;&gt;"ДОК",$N109&lt;&gt;""),IFERROR(INDEX(МАТЕРИАЛЫ!$H$2:$H$9000,MATCH($N109,МАТЕРИАЛЫ!$L$2:$L$9000,0))*IF(INDEX(МАТЕРИАЛЫ!$I$2:$I$9000,MATCH($N109,МАТЕРИАЛЫ!$L$2:$L$9000,0))="USD",КурсUSD,IF(INDEX(МАТЕРИАЛЫ!$I$2:$I$9000,MATCH($N109,МАТЕРИАЛЫ!$L$2:$L$9000,0))="EUR",КурсEUR,IF(INDEX(МАТЕРИАЛЫ!$I$2:$I$9000,MATCH($N109,МАТЕРИАЛЫ!$L$2:$L$9000,0))="CNY",КурсCNY,1)))*(1+N($H109)/100),0),N($O109))*(1-MEDIAN(0,N(ДисконтТендер),1))))</f>
        <v>0</v>
      </c>
      <c r="U109" t="str">
        <f>IF($L109="да",MAX($U$1:$U108)+1,"")</f>
        <v/>
      </c>
      <c r="V109" t="str">
        <f t="shared" si="10"/>
        <v>Р2</v>
      </c>
      <c r="W109" t="str">
        <f t="shared" si="11"/>
        <v/>
      </c>
      <c r="X109" t="str">
        <f t="shared" si="12"/>
        <v/>
      </c>
      <c r="Y109" s="4" t="str">
        <f>IF($A109="","",IF(AND(LEFT($G109,3)="ДОК",$N109&lt;&gt;""),IFERROR(INDEX(Документация!$G$2:$G$57,MATCH($N109,Документация!$F$2:$F$57,0)),$D109),$D109&amp;IF(AND(LEFT($G109,3)&lt;&gt;"ДОК",$N109&lt;&gt;"")," — "&amp;IFERROR(INDEX(МАТЕРИАЛЫ!$C$2:$C$9000,MATCH($N109,МАТЕРИАЛЫ!$L$2:$L$9000,0)),""),"")))</f>
        <v>Демонтаж перил ограждения</v>
      </c>
      <c r="Z109" t="str">
        <f t="shared" si="13"/>
        <v>Р2 · Демонтажные работы</v>
      </c>
    </row>
    <row r="110" spans="1:26" x14ac:dyDescent="0.3">
      <c r="A110" t="s">
        <v>282</v>
      </c>
      <c r="B110" t="s">
        <v>134</v>
      </c>
      <c r="C110" t="s">
        <v>270</v>
      </c>
      <c r="D110" s="4" t="s">
        <v>283</v>
      </c>
      <c r="E110" t="s">
        <v>52</v>
      </c>
      <c r="F110" s="5">
        <v>780.39</v>
      </c>
      <c r="H110">
        <v>0</v>
      </c>
      <c r="I110" t="s">
        <v>53</v>
      </c>
      <c r="L110" s="6"/>
      <c r="M110" s="6"/>
      <c r="N110" s="6"/>
      <c r="O110" s="5"/>
      <c r="P110" s="7" t="str">
        <f t="shared" si="7"/>
        <v/>
      </c>
      <c r="Q110" s="7" t="str">
        <f t="shared" si="8"/>
        <v/>
      </c>
      <c r="R110" s="7" t="str">
        <f t="shared" si="9"/>
        <v/>
      </c>
      <c r="S110" s="7">
        <f>IF($A110="","",IF(AND(LEFT($G110,3)="ДОК",$N110&lt;&gt;""),IFERROR(INDEX(Документация!$E$2:$E$57,MATCH($N110,Документация!$F$2:$F$57,0)),0),N($F110))*(1-MEDIAN(0,N(ДисконтТендер),1)))</f>
        <v>780.39</v>
      </c>
      <c r="T110" s="7">
        <f>IF($A110="","",IF(AND(LEFT($G110,3)="ДОК",$N110&lt;&gt;""),0,IF(AND(LEFT($G110,3)&lt;&gt;"ДОК",$N110&lt;&gt;""),IFERROR(INDEX(МАТЕРИАЛЫ!$H$2:$H$9000,MATCH($N110,МАТЕРИАЛЫ!$L$2:$L$9000,0))*IF(INDEX(МАТЕРИАЛЫ!$I$2:$I$9000,MATCH($N110,МАТЕРИАЛЫ!$L$2:$L$9000,0))="USD",КурсUSD,IF(INDEX(МАТЕРИАЛЫ!$I$2:$I$9000,MATCH($N110,МАТЕРИАЛЫ!$L$2:$L$9000,0))="EUR",КурсEUR,IF(INDEX(МАТЕРИАЛЫ!$I$2:$I$9000,MATCH($N110,МАТЕРИАЛЫ!$L$2:$L$9000,0))="CNY",КурсCNY,1)))*(1+N($H110)/100),0),N($O110))*(1-MEDIAN(0,N(ДисконтТендер),1))))</f>
        <v>0</v>
      </c>
      <c r="U110" t="str">
        <f>IF($L110="да",MAX($U$1:$U109)+1,"")</f>
        <v/>
      </c>
      <c r="V110" t="str">
        <f t="shared" si="10"/>
        <v>Р2</v>
      </c>
      <c r="W110" t="str">
        <f t="shared" si="11"/>
        <v/>
      </c>
      <c r="X110" t="str">
        <f t="shared" si="12"/>
        <v/>
      </c>
      <c r="Y110" s="4" t="str">
        <f>IF($A110="","",IF(AND(LEFT($G110,3)="ДОК",$N110&lt;&gt;""),IFERROR(INDEX(Документация!$G$2:$G$57,MATCH($N110,Документация!$F$2:$F$57,0)),$D110),$D110&amp;IF(AND(LEFT($G110,3)&lt;&gt;"ДОК",$N110&lt;&gt;"")," — "&amp;IFERROR(INDEX(МАТЕРИАЛЫ!$C$2:$C$9000,MATCH($N110,МАТЕРИАЛЫ!$L$2:$L$9000,0)),""),"")))</f>
        <v>Демонтаж козырьков</v>
      </c>
      <c r="Z110" t="str">
        <f t="shared" si="13"/>
        <v>Р2 · Демонтажные работы</v>
      </c>
    </row>
    <row r="111" spans="1:26" ht="28.8" x14ac:dyDescent="0.3">
      <c r="A111" t="s">
        <v>284</v>
      </c>
      <c r="B111" t="s">
        <v>134</v>
      </c>
      <c r="C111" t="s">
        <v>270</v>
      </c>
      <c r="D111" s="4" t="s">
        <v>285</v>
      </c>
      <c r="E111" t="s">
        <v>52</v>
      </c>
      <c r="F111" s="5">
        <v>433.22</v>
      </c>
      <c r="H111">
        <v>0</v>
      </c>
      <c r="I111" t="s">
        <v>53</v>
      </c>
      <c r="L111" s="6"/>
      <c r="M111" s="6"/>
      <c r="N111" s="6"/>
      <c r="O111" s="5"/>
      <c r="P111" s="7" t="str">
        <f t="shared" si="7"/>
        <v/>
      </c>
      <c r="Q111" s="7" t="str">
        <f t="shared" si="8"/>
        <v/>
      </c>
      <c r="R111" s="7" t="str">
        <f t="shared" si="9"/>
        <v/>
      </c>
      <c r="S111" s="7">
        <f>IF($A111="","",IF(AND(LEFT($G111,3)="ДОК",$N111&lt;&gt;""),IFERROR(INDEX(Документация!$E$2:$E$57,MATCH($N111,Документация!$F$2:$F$57,0)),0),N($F111))*(1-MEDIAN(0,N(ДисконтТендер),1)))</f>
        <v>433.22</v>
      </c>
      <c r="T111" s="7">
        <f>IF($A111="","",IF(AND(LEFT($G111,3)="ДОК",$N111&lt;&gt;""),0,IF(AND(LEFT($G111,3)&lt;&gt;"ДОК",$N111&lt;&gt;""),IFERROR(INDEX(МАТЕРИАЛЫ!$H$2:$H$9000,MATCH($N111,МАТЕРИАЛЫ!$L$2:$L$9000,0))*IF(INDEX(МАТЕРИАЛЫ!$I$2:$I$9000,MATCH($N111,МАТЕРИАЛЫ!$L$2:$L$9000,0))="USD",КурсUSD,IF(INDEX(МАТЕРИАЛЫ!$I$2:$I$9000,MATCH($N111,МАТЕРИАЛЫ!$L$2:$L$9000,0))="EUR",КурсEUR,IF(INDEX(МАТЕРИАЛЫ!$I$2:$I$9000,MATCH($N111,МАТЕРИАЛЫ!$L$2:$L$9000,0))="CNY",КурсCNY,1)))*(1+N($H111)/100),0),N($O111))*(1-MEDIAN(0,N(ДисконтТендер),1))))</f>
        <v>0</v>
      </c>
      <c r="U111" t="str">
        <f>IF($L111="да",MAX($U$1:$U110)+1,"")</f>
        <v/>
      </c>
      <c r="V111" t="str">
        <f t="shared" si="10"/>
        <v>Р2</v>
      </c>
      <c r="W111" t="str">
        <f t="shared" si="11"/>
        <v/>
      </c>
      <c r="X111" t="str">
        <f t="shared" si="12"/>
        <v/>
      </c>
      <c r="Y111" s="4" t="str">
        <f>IF($A111="","",IF(AND(LEFT($G111,3)="ДОК",$N111&lt;&gt;""),IFERROR(INDEX(Документация!$G$2:$G$57,MATCH($N111,Документация!$F$2:$F$57,0)),$D111),$D111&amp;IF(AND(LEFT($G111,3)&lt;&gt;"ДОК",$N111&lt;&gt;"")," — "&amp;IFERROR(INDEX(МАТЕРИАЛЫ!$C$2:$C$9000,MATCH($N111,МАТЕРИАЛЫ!$L$2:$L$9000,0)),""),"")))</f>
        <v>Демонтаж облицовки цоколя, фасада (плитка керамическая, камень натуральный)</v>
      </c>
      <c r="Z111" t="str">
        <f t="shared" si="13"/>
        <v>Р2 · Демонтажные работы</v>
      </c>
    </row>
    <row r="112" spans="1:26" x14ac:dyDescent="0.3">
      <c r="A112" t="s">
        <v>286</v>
      </c>
      <c r="B112" t="s">
        <v>134</v>
      </c>
      <c r="C112" t="s">
        <v>270</v>
      </c>
      <c r="D112" s="4" t="s">
        <v>287</v>
      </c>
      <c r="E112" t="s">
        <v>52</v>
      </c>
      <c r="F112" s="5">
        <v>470.25</v>
      </c>
      <c r="H112">
        <v>0</v>
      </c>
      <c r="I112" t="s">
        <v>53</v>
      </c>
      <c r="L112" s="6"/>
      <c r="M112" s="6"/>
      <c r="N112" s="6"/>
      <c r="O112" s="5"/>
      <c r="P112" s="7" t="str">
        <f t="shared" si="7"/>
        <v/>
      </c>
      <c r="Q112" s="7" t="str">
        <f t="shared" si="8"/>
        <v/>
      </c>
      <c r="R112" s="7" t="str">
        <f t="shared" si="9"/>
        <v/>
      </c>
      <c r="S112" s="7">
        <f>IF($A112="","",IF(AND(LEFT($G112,3)="ДОК",$N112&lt;&gt;""),IFERROR(INDEX(Документация!$E$2:$E$57,MATCH($N112,Документация!$F$2:$F$57,0)),0),N($F112))*(1-MEDIAN(0,N(ДисконтТендер),1)))</f>
        <v>470.25</v>
      </c>
      <c r="T112" s="7">
        <f>IF($A112="","",IF(AND(LEFT($G112,3)="ДОК",$N112&lt;&gt;""),0,IF(AND(LEFT($G112,3)&lt;&gt;"ДОК",$N112&lt;&gt;""),IFERROR(INDEX(МАТЕРИАЛЫ!$H$2:$H$9000,MATCH($N112,МАТЕРИАЛЫ!$L$2:$L$9000,0))*IF(INDEX(МАТЕРИАЛЫ!$I$2:$I$9000,MATCH($N112,МАТЕРИАЛЫ!$L$2:$L$9000,0))="USD",КурсUSD,IF(INDEX(МАТЕРИАЛЫ!$I$2:$I$9000,MATCH($N112,МАТЕРИАЛЫ!$L$2:$L$9000,0))="EUR",КурсEUR,IF(INDEX(МАТЕРИАЛЫ!$I$2:$I$9000,MATCH($N112,МАТЕРИАЛЫ!$L$2:$L$9000,0))="CNY",КурсCNY,1)))*(1+N($H112)/100),0),N($O112))*(1-MEDIAN(0,N(ДисконтТендер),1))))</f>
        <v>0</v>
      </c>
      <c r="U112" t="str">
        <f>IF($L112="да",MAX($U$1:$U111)+1,"")</f>
        <v/>
      </c>
      <c r="V112" t="str">
        <f t="shared" si="10"/>
        <v>Р2</v>
      </c>
      <c r="W112" t="str">
        <f t="shared" si="11"/>
        <v/>
      </c>
      <c r="X112" t="str">
        <f t="shared" si="12"/>
        <v/>
      </c>
      <c r="Y112" s="4" t="str">
        <f>IF($A112="","",IF(AND(LEFT($G112,3)="ДОК",$N112&lt;&gt;""),IFERROR(INDEX(Документация!$G$2:$G$57,MATCH($N112,Документация!$F$2:$F$57,0)),$D112),$D112&amp;IF(AND(LEFT($G112,3)&lt;&gt;"ДОК",$N112&lt;&gt;"")," — "&amp;IFERROR(INDEX(МАТЕРИАЛЫ!$C$2:$C$9000,MATCH($N112,МАТЕРИАЛЫ!$L$2:$L$9000,0)),""),"")))</f>
        <v>Демонтаж штукатурки фасада</v>
      </c>
      <c r="Z112" t="str">
        <f t="shared" si="13"/>
        <v>Р2 · Демонтажные работы</v>
      </c>
    </row>
    <row r="113" spans="1:26" x14ac:dyDescent="0.3">
      <c r="A113" t="s">
        <v>288</v>
      </c>
      <c r="B113" t="s">
        <v>134</v>
      </c>
      <c r="C113" t="s">
        <v>270</v>
      </c>
      <c r="D113" s="4" t="s">
        <v>289</v>
      </c>
      <c r="E113" t="s">
        <v>153</v>
      </c>
      <c r="F113" s="5">
        <v>434.96</v>
      </c>
      <c r="H113">
        <v>0</v>
      </c>
      <c r="I113" t="s">
        <v>53</v>
      </c>
      <c r="L113" s="6"/>
      <c r="M113" s="6"/>
      <c r="N113" s="6"/>
      <c r="O113" s="5"/>
      <c r="P113" s="7" t="str">
        <f t="shared" si="7"/>
        <v/>
      </c>
      <c r="Q113" s="7" t="str">
        <f t="shared" si="8"/>
        <v/>
      </c>
      <c r="R113" s="7" t="str">
        <f t="shared" si="9"/>
        <v/>
      </c>
      <c r="S113" s="7">
        <f>IF($A113="","",IF(AND(LEFT($G113,3)="ДОК",$N113&lt;&gt;""),IFERROR(INDEX(Документация!$E$2:$E$57,MATCH($N113,Документация!$F$2:$F$57,0)),0),N($F113))*(1-MEDIAN(0,N(ДисконтТендер),1)))</f>
        <v>434.96</v>
      </c>
      <c r="T113" s="7">
        <f>IF($A113="","",IF(AND(LEFT($G113,3)="ДОК",$N113&lt;&gt;""),0,IF(AND(LEFT($G113,3)&lt;&gt;"ДОК",$N113&lt;&gt;""),IFERROR(INDEX(МАТЕРИАЛЫ!$H$2:$H$9000,MATCH($N113,МАТЕРИАЛЫ!$L$2:$L$9000,0))*IF(INDEX(МАТЕРИАЛЫ!$I$2:$I$9000,MATCH($N113,МАТЕРИАЛЫ!$L$2:$L$9000,0))="USD",КурсUSD,IF(INDEX(МАТЕРИАЛЫ!$I$2:$I$9000,MATCH($N113,МАТЕРИАЛЫ!$L$2:$L$9000,0))="EUR",КурсEUR,IF(INDEX(МАТЕРИАЛЫ!$I$2:$I$9000,MATCH($N113,МАТЕРИАЛЫ!$L$2:$L$9000,0))="CNY",КурсCNY,1)))*(1+N($H113)/100),0),N($O113))*(1-MEDIAN(0,N(ДисконтТендер),1))))</f>
        <v>0</v>
      </c>
      <c r="U113" t="str">
        <f>IF($L113="да",MAX($U$1:$U112)+1,"")</f>
        <v/>
      </c>
      <c r="V113" t="str">
        <f t="shared" si="10"/>
        <v>Р2</v>
      </c>
      <c r="W113" t="str">
        <f t="shared" si="11"/>
        <v/>
      </c>
      <c r="X113" t="str">
        <f t="shared" si="12"/>
        <v/>
      </c>
      <c r="Y113" s="4" t="str">
        <f>IF($A113="","",IF(AND(LEFT($G113,3)="ДОК",$N113&lt;&gt;""),IFERROR(INDEX(Документация!$G$2:$G$57,MATCH($N113,Документация!$F$2:$F$57,0)),$D113),$D113&amp;IF(AND(LEFT($G113,3)&lt;&gt;"ДОК",$N113&lt;&gt;"")," — "&amp;IFERROR(INDEX(МАТЕРИАЛЫ!$C$2:$C$9000,MATCH($N113,МАТЕРИАЛЫ!$L$2:$L$9000,0)),""),"")))</f>
        <v>Расшивка швов поверхности фасада</v>
      </c>
      <c r="Z113" t="str">
        <f t="shared" si="13"/>
        <v>Р2 · Демонтажные работы</v>
      </c>
    </row>
    <row r="114" spans="1:26" ht="43.2" x14ac:dyDescent="0.3">
      <c r="A114" t="s">
        <v>290</v>
      </c>
      <c r="B114" t="s">
        <v>134</v>
      </c>
      <c r="C114" t="s">
        <v>270</v>
      </c>
      <c r="D114" s="4" t="s">
        <v>291</v>
      </c>
      <c r="E114" t="s">
        <v>52</v>
      </c>
      <c r="F114" s="5">
        <v>627</v>
      </c>
      <c r="H114">
        <v>0</v>
      </c>
      <c r="I114" t="s">
        <v>53</v>
      </c>
      <c r="L114" s="6"/>
      <c r="M114" s="6"/>
      <c r="N114" s="6"/>
      <c r="O114" s="5"/>
      <c r="P114" s="7" t="str">
        <f t="shared" si="7"/>
        <v/>
      </c>
      <c r="Q114" s="7" t="str">
        <f t="shared" si="8"/>
        <v/>
      </c>
      <c r="R114" s="7" t="str">
        <f t="shared" si="9"/>
        <v/>
      </c>
      <c r="S114" s="7">
        <f>IF($A114="","",IF(AND(LEFT($G114,3)="ДОК",$N114&lt;&gt;""),IFERROR(INDEX(Документация!$E$2:$E$57,MATCH($N114,Документация!$F$2:$F$57,0)),0),N($F114))*(1-MEDIAN(0,N(ДисконтТендер),1)))</f>
        <v>627</v>
      </c>
      <c r="T114" s="7">
        <f>IF($A114="","",IF(AND(LEFT($G114,3)="ДОК",$N114&lt;&gt;""),0,IF(AND(LEFT($G114,3)&lt;&gt;"ДОК",$N114&lt;&gt;""),IFERROR(INDEX(МАТЕРИАЛЫ!$H$2:$H$9000,MATCH($N114,МАТЕРИАЛЫ!$L$2:$L$9000,0))*IF(INDEX(МАТЕРИАЛЫ!$I$2:$I$9000,MATCH($N114,МАТЕРИАЛЫ!$L$2:$L$9000,0))="USD",КурсUSD,IF(INDEX(МАТЕРИАЛЫ!$I$2:$I$9000,MATCH($N114,МАТЕРИАЛЫ!$L$2:$L$9000,0))="EUR",КурсEUR,IF(INDEX(МАТЕРИАЛЫ!$I$2:$I$9000,MATCH($N114,МАТЕРИАЛЫ!$L$2:$L$9000,0))="CNY",КурсCNY,1)))*(1+N($H114)/100),0),N($O114))*(1-MEDIAN(0,N(ДисконтТендер),1))))</f>
        <v>0</v>
      </c>
      <c r="U114" t="str">
        <f>IF($L114="да",MAX($U$1:$U113)+1,"")</f>
        <v/>
      </c>
      <c r="V114" t="str">
        <f t="shared" si="10"/>
        <v>Р2</v>
      </c>
      <c r="W114" t="str">
        <f t="shared" si="11"/>
        <v/>
      </c>
      <c r="X114" t="str">
        <f t="shared" si="12"/>
        <v/>
      </c>
      <c r="Y114" s="4" t="str">
        <f>IF($A114="","",IF(AND(LEFT($G114,3)="ДОК",$N114&lt;&gt;""),IFERROR(INDEX(Документация!$G$2:$G$57,MATCH($N114,Документация!$F$2:$F$57,0)),$D114),$D114&amp;IF(AND(LEFT($G114,3)&lt;&gt;"ДОК",$N114&lt;&gt;"")," — "&amp;IFERROR(INDEX(МАТЕРИАЛЫ!$C$2:$C$9000,MATCH($N114,МАТЕРИАЛЫ!$L$2:$L$9000,0)),""),"")))</f>
        <v>Демонтаж фасада из композитных панелей "Алюкобонд" с подсистемой, навесных фасадов (металл, керамогранит)</v>
      </c>
      <c r="Z114" t="str">
        <f t="shared" si="13"/>
        <v>Р2 · Демонтажные работы</v>
      </c>
    </row>
    <row r="115" spans="1:26" ht="28.8" x14ac:dyDescent="0.3">
      <c r="A115" t="s">
        <v>292</v>
      </c>
      <c r="B115" t="s">
        <v>134</v>
      </c>
      <c r="C115" t="s">
        <v>270</v>
      </c>
      <c r="D115" s="4" t="s">
        <v>293</v>
      </c>
      <c r="E115" t="s">
        <v>52</v>
      </c>
      <c r="F115" s="5">
        <v>475.02</v>
      </c>
      <c r="H115">
        <v>0</v>
      </c>
      <c r="I115" t="s">
        <v>53</v>
      </c>
      <c r="L115" s="6"/>
      <c r="M115" s="6"/>
      <c r="N115" s="6"/>
      <c r="O115" s="5"/>
      <c r="P115" s="7" t="str">
        <f t="shared" si="7"/>
        <v/>
      </c>
      <c r="Q115" s="7" t="str">
        <f t="shared" si="8"/>
        <v/>
      </c>
      <c r="R115" s="7" t="str">
        <f t="shared" si="9"/>
        <v/>
      </c>
      <c r="S115" s="7">
        <f>IF($A115="","",IF(AND(LEFT($G115,3)="ДОК",$N115&lt;&gt;""),IFERROR(INDEX(Документация!$E$2:$E$57,MATCH($N115,Документация!$F$2:$F$57,0)),0),N($F115))*(1-MEDIAN(0,N(ДисконтТендер),1)))</f>
        <v>475.02</v>
      </c>
      <c r="T115" s="7">
        <f>IF($A115="","",IF(AND(LEFT($G115,3)="ДОК",$N115&lt;&gt;""),0,IF(AND(LEFT($G115,3)&lt;&gt;"ДОК",$N115&lt;&gt;""),IFERROR(INDEX(МАТЕРИАЛЫ!$H$2:$H$9000,MATCH($N115,МАТЕРИАЛЫ!$L$2:$L$9000,0))*IF(INDEX(МАТЕРИАЛЫ!$I$2:$I$9000,MATCH($N115,МАТЕРИАЛЫ!$L$2:$L$9000,0))="USD",КурсUSD,IF(INDEX(МАТЕРИАЛЫ!$I$2:$I$9000,MATCH($N115,МАТЕРИАЛЫ!$L$2:$L$9000,0))="EUR",КурсEUR,IF(INDEX(МАТЕРИАЛЫ!$I$2:$I$9000,MATCH($N115,МАТЕРИАЛЫ!$L$2:$L$9000,0))="CNY",КурсCNY,1)))*(1+N($H115)/100),0),N($O115))*(1-MEDIAN(0,N(ДисконтТендер),1))))</f>
        <v>0</v>
      </c>
      <c r="U115" t="str">
        <f>IF($L115="да",MAX($U$1:$U114)+1,"")</f>
        <v/>
      </c>
      <c r="V115" t="str">
        <f t="shared" si="10"/>
        <v>Р2</v>
      </c>
      <c r="W115" t="str">
        <f t="shared" si="11"/>
        <v/>
      </c>
      <c r="X115" t="str">
        <f t="shared" si="12"/>
        <v/>
      </c>
      <c r="Y115" s="4" t="str">
        <f>IF($A115="","",IF(AND(LEFT($G115,3)="ДОК",$N115&lt;&gt;""),IFERROR(INDEX(Документация!$G$2:$G$57,MATCH($N115,Документация!$F$2:$F$57,0)),$D115),$D115&amp;IF(AND(LEFT($G115,3)&lt;&gt;"ДОК",$N115&lt;&gt;"")," — "&amp;IFERROR(INDEX(МАТЕРИАЛЫ!$C$2:$C$9000,MATCH($N115,МАТЕРИАЛЫ!$L$2:$L$9000,0)),""),"")))</f>
        <v>Демонтаж информационной, рекламной конструкции на фасаде здания</v>
      </c>
      <c r="Z115" t="str">
        <f t="shared" si="13"/>
        <v>Р2 · Демонтажные работы</v>
      </c>
    </row>
    <row r="116" spans="1:26" ht="28.8" x14ac:dyDescent="0.3">
      <c r="A116" t="s">
        <v>294</v>
      </c>
      <c r="B116" t="s">
        <v>134</v>
      </c>
      <c r="C116" t="s">
        <v>270</v>
      </c>
      <c r="D116" s="4" t="s">
        <v>295</v>
      </c>
      <c r="E116" t="s">
        <v>52</v>
      </c>
      <c r="F116" s="5">
        <v>373.23</v>
      </c>
      <c r="H116">
        <v>0</v>
      </c>
      <c r="I116" t="s">
        <v>53</v>
      </c>
      <c r="L116" s="6"/>
      <c r="M116" s="6"/>
      <c r="N116" s="6"/>
      <c r="O116" s="5"/>
      <c r="P116" s="7" t="str">
        <f t="shared" si="7"/>
        <v/>
      </c>
      <c r="Q116" s="7" t="str">
        <f t="shared" si="8"/>
        <v/>
      </c>
      <c r="R116" s="7" t="str">
        <f t="shared" si="9"/>
        <v/>
      </c>
      <c r="S116" s="7">
        <f>IF($A116="","",IF(AND(LEFT($G116,3)="ДОК",$N116&lt;&gt;""),IFERROR(INDEX(Документация!$E$2:$E$57,MATCH($N116,Документация!$F$2:$F$57,0)),0),N($F116))*(1-MEDIAN(0,N(ДисконтТендер),1)))</f>
        <v>373.23</v>
      </c>
      <c r="T116" s="7">
        <f>IF($A116="","",IF(AND(LEFT($G116,3)="ДОК",$N116&lt;&gt;""),0,IF(AND(LEFT($G116,3)&lt;&gt;"ДОК",$N116&lt;&gt;""),IFERROR(INDEX(МАТЕРИАЛЫ!$H$2:$H$9000,MATCH($N116,МАТЕРИАЛЫ!$L$2:$L$9000,0))*IF(INDEX(МАТЕРИАЛЫ!$I$2:$I$9000,MATCH($N116,МАТЕРИАЛЫ!$L$2:$L$9000,0))="USD",КурсUSD,IF(INDEX(МАТЕРИАЛЫ!$I$2:$I$9000,MATCH($N116,МАТЕРИАЛЫ!$L$2:$L$9000,0))="EUR",КурсEUR,IF(INDEX(МАТЕРИАЛЫ!$I$2:$I$9000,MATCH($N116,МАТЕРИАЛЫ!$L$2:$L$9000,0))="CNY",КурсCNY,1)))*(1+N($H116)/100),0),N($O116))*(1-MEDIAN(0,N(ДисконтТендер),1))))</f>
        <v>0</v>
      </c>
      <c r="U116" t="str">
        <f>IF($L116="да",MAX($U$1:$U115)+1,"")</f>
        <v/>
      </c>
      <c r="V116" t="str">
        <f t="shared" si="10"/>
        <v>Р2</v>
      </c>
      <c r="W116" t="str">
        <f t="shared" si="11"/>
        <v/>
      </c>
      <c r="X116" t="str">
        <f t="shared" si="12"/>
        <v/>
      </c>
      <c r="Y116" s="4" t="str">
        <f>IF($A116="","",IF(AND(LEFT($G116,3)="ДОК",$N116&lt;&gt;""),IFERROR(INDEX(Документация!$G$2:$G$57,MATCH($N116,Документация!$F$2:$F$57,0)),$D116),$D116&amp;IF(AND(LEFT($G116,3)&lt;&gt;"ДОК",$N116&lt;&gt;"")," — "&amp;IFERROR(INDEX(МАТЕРИАЛЫ!$C$2:$C$9000,MATCH($N116,МАТЕРИАЛЫ!$L$2:$L$9000,0)),""),"")))</f>
        <v>Демонтаж ограждающих конструкций из профлиста</v>
      </c>
      <c r="Z116" t="str">
        <f t="shared" si="13"/>
        <v>Р2 · Демонтажные работы</v>
      </c>
    </row>
    <row r="117" spans="1:26" x14ac:dyDescent="0.3">
      <c r="A117" t="s">
        <v>296</v>
      </c>
      <c r="B117" t="s">
        <v>134</v>
      </c>
      <c r="C117" t="s">
        <v>270</v>
      </c>
      <c r="D117" s="4" t="s">
        <v>297</v>
      </c>
      <c r="E117" t="s">
        <v>298</v>
      </c>
      <c r="F117" s="5">
        <v>6786</v>
      </c>
      <c r="H117">
        <v>0</v>
      </c>
      <c r="I117" t="s">
        <v>53</v>
      </c>
      <c r="L117" s="6"/>
      <c r="M117" s="6"/>
      <c r="N117" s="6"/>
      <c r="O117" s="5"/>
      <c r="P117" s="7" t="str">
        <f t="shared" si="7"/>
        <v/>
      </c>
      <c r="Q117" s="7" t="str">
        <f t="shared" si="8"/>
        <v/>
      </c>
      <c r="R117" s="7" t="str">
        <f t="shared" si="9"/>
        <v/>
      </c>
      <c r="S117" s="7">
        <f>IF($A117="","",IF(AND(LEFT($G117,3)="ДОК",$N117&lt;&gt;""),IFERROR(INDEX(Документация!$E$2:$E$57,MATCH($N117,Документация!$F$2:$F$57,0)),0),N($F117))*(1-MEDIAN(0,N(ДисконтТендер),1)))</f>
        <v>6786</v>
      </c>
      <c r="T117" s="7">
        <f>IF($A117="","",IF(AND(LEFT($G117,3)="ДОК",$N117&lt;&gt;""),0,IF(AND(LEFT($G117,3)&lt;&gt;"ДОК",$N117&lt;&gt;""),IFERROR(INDEX(МАТЕРИАЛЫ!$H$2:$H$9000,MATCH($N117,МАТЕРИАЛЫ!$L$2:$L$9000,0))*IF(INDEX(МАТЕРИАЛЫ!$I$2:$I$9000,MATCH($N117,МАТЕРИАЛЫ!$L$2:$L$9000,0))="USD",КурсUSD,IF(INDEX(МАТЕРИАЛЫ!$I$2:$I$9000,MATCH($N117,МАТЕРИАЛЫ!$L$2:$L$9000,0))="EUR",КурсEUR,IF(INDEX(МАТЕРИАЛЫ!$I$2:$I$9000,MATCH($N117,МАТЕРИАЛЫ!$L$2:$L$9000,0))="CNY",КурсCNY,1)))*(1+N($H117)/100),0),N($O117))*(1-MEDIAN(0,N(ДисконтТендер),1))))</f>
        <v>0</v>
      </c>
      <c r="U117" t="str">
        <f>IF($L117="да",MAX($U$1:$U116)+1,"")</f>
        <v/>
      </c>
      <c r="V117" t="str">
        <f t="shared" si="10"/>
        <v>Р2</v>
      </c>
      <c r="W117" t="str">
        <f t="shared" si="11"/>
        <v/>
      </c>
      <c r="X117" t="str">
        <f t="shared" si="12"/>
        <v/>
      </c>
      <c r="Y117" s="4" t="str">
        <f>IF($A117="","",IF(AND(LEFT($G117,3)="ДОК",$N117&lt;&gt;""),IFERROR(INDEX(Документация!$G$2:$G$57,MATCH($N117,Документация!$F$2:$F$57,0)),$D117),$D117&amp;IF(AND(LEFT($G117,3)&lt;&gt;"ДОК",$N117&lt;&gt;"")," — "&amp;IFERROR(INDEX(МАТЕРИАЛЫ!$C$2:$C$9000,MATCH($N117,МАТЕРИАЛЫ!$L$2:$L$9000,0)),""),"")))</f>
        <v>Демонтаж сварных металлических конструкций</v>
      </c>
      <c r="Z117" t="str">
        <f t="shared" si="13"/>
        <v>Р2 · Демонтажные работы</v>
      </c>
    </row>
    <row r="118" spans="1:26" ht="72" x14ac:dyDescent="0.3">
      <c r="A118" t="s">
        <v>299</v>
      </c>
      <c r="B118" t="s">
        <v>134</v>
      </c>
      <c r="C118" t="s">
        <v>300</v>
      </c>
      <c r="D118" s="4" t="s">
        <v>301</v>
      </c>
      <c r="E118" t="s">
        <v>125</v>
      </c>
      <c r="F118" s="5">
        <v>86.13</v>
      </c>
      <c r="H118">
        <v>0</v>
      </c>
      <c r="I118" t="s">
        <v>53</v>
      </c>
      <c r="L118" s="6"/>
      <c r="M118" s="6"/>
      <c r="N118" s="6"/>
      <c r="O118" s="5"/>
      <c r="P118" s="7" t="str">
        <f t="shared" si="7"/>
        <v/>
      </c>
      <c r="Q118" s="7" t="str">
        <f t="shared" si="8"/>
        <v/>
      </c>
      <c r="R118" s="7" t="str">
        <f t="shared" si="9"/>
        <v/>
      </c>
      <c r="S118" s="7">
        <f>IF($A118="","",IF(AND(LEFT($G118,3)="ДОК",$N118&lt;&gt;""),IFERROR(INDEX(Документация!$E$2:$E$57,MATCH($N118,Документация!$F$2:$F$57,0)),0),N($F118))*(1-MEDIAN(0,N(ДисконтТендер),1)))</f>
        <v>86.13</v>
      </c>
      <c r="T118" s="7">
        <f>IF($A118="","",IF(AND(LEFT($G118,3)="ДОК",$N118&lt;&gt;""),0,IF(AND(LEFT($G118,3)&lt;&gt;"ДОК",$N118&lt;&gt;""),IFERROR(INDEX(МАТЕРИАЛЫ!$H$2:$H$9000,MATCH($N118,МАТЕРИАЛЫ!$L$2:$L$9000,0))*IF(INDEX(МАТЕРИАЛЫ!$I$2:$I$9000,MATCH($N118,МАТЕРИАЛЫ!$L$2:$L$9000,0))="USD",КурсUSD,IF(INDEX(МАТЕРИАЛЫ!$I$2:$I$9000,MATCH($N118,МАТЕРИАЛЫ!$L$2:$L$9000,0))="EUR",КурсEUR,IF(INDEX(МАТЕРИАЛЫ!$I$2:$I$9000,MATCH($N118,МАТЕРИАЛЫ!$L$2:$L$9000,0))="CNY",КурсCNY,1)))*(1+N($H118)/100),0),N($O118))*(1-MEDIAN(0,N(ДисконтТендер),1))))</f>
        <v>0</v>
      </c>
      <c r="U118" t="str">
        <f>IF($L118="да",MAX($U$1:$U117)+1,"")</f>
        <v/>
      </c>
      <c r="V118" t="str">
        <f t="shared" si="10"/>
        <v>Р2</v>
      </c>
      <c r="W118" t="str">
        <f t="shared" si="11"/>
        <v/>
      </c>
      <c r="X118" t="str">
        <f t="shared" si="12"/>
        <v/>
      </c>
      <c r="Y118" s="4" t="str">
        <f>IF($A118="","",IF(AND(LEFT($G118,3)="ДОК",$N118&lt;&gt;""),IFERROR(INDEX(Документация!$G$2:$G$57,MATCH($N118,Документация!$F$2:$F$57,0)),$D118),$D118&amp;IF(AND(LEFT($G118,3)&lt;&gt;"ДОК",$N118&lt;&gt;"")," — "&amp;IFERROR(INDEX(МАТЕРИАЛЫ!$C$2:$C$9000,MATCH($N118,МАТЕРИАЛЫ!$L$2:$L$9000,0)),""),"")))</f>
        <v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v>
      </c>
      <c r="Z118" t="str">
        <f t="shared" si="13"/>
        <v>Р2 · Демонтажные работы</v>
      </c>
    </row>
    <row r="119" spans="1:26" ht="57.6" x14ac:dyDescent="0.3">
      <c r="A119" t="s">
        <v>302</v>
      </c>
      <c r="B119" t="s">
        <v>134</v>
      </c>
      <c r="C119" t="s">
        <v>300</v>
      </c>
      <c r="D119" s="4" t="s">
        <v>303</v>
      </c>
      <c r="E119" t="s">
        <v>125</v>
      </c>
      <c r="F119" s="5">
        <v>92.39</v>
      </c>
      <c r="H119">
        <v>0</v>
      </c>
      <c r="I119" t="s">
        <v>53</v>
      </c>
      <c r="L119" s="6"/>
      <c r="M119" s="6"/>
      <c r="N119" s="6"/>
      <c r="O119" s="5"/>
      <c r="P119" s="7" t="str">
        <f t="shared" si="7"/>
        <v/>
      </c>
      <c r="Q119" s="7" t="str">
        <f t="shared" si="8"/>
        <v/>
      </c>
      <c r="R119" s="7" t="str">
        <f t="shared" si="9"/>
        <v/>
      </c>
      <c r="S119" s="7">
        <f>IF($A119="","",IF(AND(LEFT($G119,3)="ДОК",$N119&lt;&gt;""),IFERROR(INDEX(Документация!$E$2:$E$57,MATCH($N119,Документация!$F$2:$F$57,0)),0),N($F119))*(1-MEDIAN(0,N(ДисконтТендер),1)))</f>
        <v>92.39</v>
      </c>
      <c r="T119" s="7">
        <f>IF($A119="","",IF(AND(LEFT($G119,3)="ДОК",$N119&lt;&gt;""),0,IF(AND(LEFT($G119,3)&lt;&gt;"ДОК",$N119&lt;&gt;""),IFERROR(INDEX(МАТЕРИАЛЫ!$H$2:$H$9000,MATCH($N119,МАТЕРИАЛЫ!$L$2:$L$9000,0))*IF(INDEX(МАТЕРИАЛЫ!$I$2:$I$9000,MATCH($N119,МАТЕРИАЛЫ!$L$2:$L$9000,0))="USD",КурсUSD,IF(INDEX(МАТЕРИАЛЫ!$I$2:$I$9000,MATCH($N119,МАТЕРИАЛЫ!$L$2:$L$9000,0))="EUR",КурсEUR,IF(INDEX(МАТЕРИАЛЫ!$I$2:$I$9000,MATCH($N119,МАТЕРИАЛЫ!$L$2:$L$9000,0))="CNY",КурсCNY,1)))*(1+N($H119)/100),0),N($O119))*(1-MEDIAN(0,N(ДисконтТендер),1))))</f>
        <v>0</v>
      </c>
      <c r="U119" t="str">
        <f>IF($L119="да",MAX($U$1:$U118)+1,"")</f>
        <v/>
      </c>
      <c r="V119" t="str">
        <f t="shared" si="10"/>
        <v>Р2</v>
      </c>
      <c r="W119" t="str">
        <f t="shared" si="11"/>
        <v/>
      </c>
      <c r="X119" t="str">
        <f t="shared" si="12"/>
        <v/>
      </c>
      <c r="Y119" s="4" t="str">
        <f>IF($A119="","",IF(AND(LEFT($G119,3)="ДОК",$N119&lt;&gt;""),IFERROR(INDEX(Документация!$G$2:$G$57,MATCH($N119,Документация!$F$2:$F$57,0)),$D119),$D119&amp;IF(AND(LEFT($G119,3)&lt;&gt;"ДОК",$N119&lt;&gt;"")," — "&amp;IFERROR(INDEX(МАТЕРИАЛЫ!$C$2:$C$9000,MATCH($N119,МАТЕРИАЛЫ!$L$2:$L$9000,0)),""),"")))</f>
        <v>Демонтаж скрытой электропроводки (проложенной в перегородках, за подвесными потолками, под фальшполами и в других конструктивных элементах зданий)</v>
      </c>
      <c r="Z119" t="str">
        <f t="shared" si="13"/>
        <v>Р2 · Демонтажные работы</v>
      </c>
    </row>
    <row r="120" spans="1:26" x14ac:dyDescent="0.3">
      <c r="A120" t="s">
        <v>304</v>
      </c>
      <c r="B120" t="s">
        <v>134</v>
      </c>
      <c r="C120" t="s">
        <v>300</v>
      </c>
      <c r="D120" s="4" t="s">
        <v>305</v>
      </c>
      <c r="E120" t="s">
        <v>114</v>
      </c>
      <c r="F120" s="5">
        <v>191.4</v>
      </c>
      <c r="H120">
        <v>0</v>
      </c>
      <c r="I120" t="s">
        <v>53</v>
      </c>
      <c r="L120" s="6"/>
      <c r="M120" s="6"/>
      <c r="N120" s="6"/>
      <c r="O120" s="5"/>
      <c r="P120" s="7" t="str">
        <f t="shared" si="7"/>
        <v/>
      </c>
      <c r="Q120" s="7" t="str">
        <f t="shared" si="8"/>
        <v/>
      </c>
      <c r="R120" s="7" t="str">
        <f t="shared" si="9"/>
        <v/>
      </c>
      <c r="S120" s="7">
        <f>IF($A120="","",IF(AND(LEFT($G120,3)="ДОК",$N120&lt;&gt;""),IFERROR(INDEX(Документация!$E$2:$E$57,MATCH($N120,Документация!$F$2:$F$57,0)),0),N($F120))*(1-MEDIAN(0,N(ДисконтТендер),1)))</f>
        <v>191.4</v>
      </c>
      <c r="T120" s="7">
        <f>IF($A120="","",IF(AND(LEFT($G120,3)="ДОК",$N120&lt;&gt;""),0,IF(AND(LEFT($G120,3)&lt;&gt;"ДОК",$N120&lt;&gt;""),IFERROR(INDEX(МАТЕРИАЛЫ!$H$2:$H$9000,MATCH($N120,МАТЕРИАЛЫ!$L$2:$L$9000,0))*IF(INDEX(МАТЕРИАЛЫ!$I$2:$I$9000,MATCH($N120,МАТЕРИАЛЫ!$L$2:$L$9000,0))="USD",КурсUSD,IF(INDEX(МАТЕРИАЛЫ!$I$2:$I$9000,MATCH($N120,МАТЕРИАЛЫ!$L$2:$L$9000,0))="EUR",КурсEUR,IF(INDEX(МАТЕРИАЛЫ!$I$2:$I$9000,MATCH($N120,МАТЕРИАЛЫ!$L$2:$L$9000,0))="CNY",КурсCNY,1)))*(1+N($H120)/100),0),N($O120))*(1-MEDIAN(0,N(ДисконтТендер),1))))</f>
        <v>0</v>
      </c>
      <c r="U120" t="str">
        <f>IF($L120="да",MAX($U$1:$U119)+1,"")</f>
        <v/>
      </c>
      <c r="V120" t="str">
        <f t="shared" si="10"/>
        <v>Р2</v>
      </c>
      <c r="W120" t="str">
        <f t="shared" si="11"/>
        <v/>
      </c>
      <c r="X120" t="str">
        <f t="shared" si="12"/>
        <v/>
      </c>
      <c r="Y120" s="4" t="str">
        <f>IF($A120="","",IF(AND(LEFT($G120,3)="ДОК",$N120&lt;&gt;""),IFERROR(INDEX(Документация!$G$2:$G$57,MATCH($N120,Документация!$F$2:$F$57,0)),$D120),$D120&amp;IF(AND(LEFT($G120,3)&lt;&gt;"ДОК",$N120&lt;&gt;"")," — "&amp;IFERROR(INDEX(МАТЕРИАЛЫ!$C$2:$C$9000,MATCH($N120,МАТЕРИАЛЫ!$L$2:$L$9000,0)),""),"")))</f>
        <v>Демонтаж выключателей, розеток</v>
      </c>
      <c r="Z120" t="str">
        <f t="shared" si="13"/>
        <v>Р2 · Демонтажные работы</v>
      </c>
    </row>
    <row r="121" spans="1:26" x14ac:dyDescent="0.3">
      <c r="A121" t="s">
        <v>306</v>
      </c>
      <c r="B121" t="s">
        <v>134</v>
      </c>
      <c r="C121" t="s">
        <v>300</v>
      </c>
      <c r="D121" s="4" t="s">
        <v>307</v>
      </c>
      <c r="E121" t="s">
        <v>114</v>
      </c>
      <c r="F121" s="5">
        <v>431.61</v>
      </c>
      <c r="H121">
        <v>0</v>
      </c>
      <c r="I121" t="s">
        <v>53</v>
      </c>
      <c r="L121" s="6"/>
      <c r="M121" s="6"/>
      <c r="N121" s="6"/>
      <c r="O121" s="5"/>
      <c r="P121" s="7" t="str">
        <f t="shared" si="7"/>
        <v/>
      </c>
      <c r="Q121" s="7" t="str">
        <f t="shared" si="8"/>
        <v/>
      </c>
      <c r="R121" s="7" t="str">
        <f t="shared" si="9"/>
        <v/>
      </c>
      <c r="S121" s="7">
        <f>IF($A121="","",IF(AND(LEFT($G121,3)="ДОК",$N121&lt;&gt;""),IFERROR(INDEX(Документация!$E$2:$E$57,MATCH($N121,Документация!$F$2:$F$57,0)),0),N($F121))*(1-MEDIAN(0,N(ДисконтТендер),1)))</f>
        <v>431.61</v>
      </c>
      <c r="T121" s="7">
        <f>IF($A121="","",IF(AND(LEFT($G121,3)="ДОК",$N121&lt;&gt;""),0,IF(AND(LEFT($G121,3)&lt;&gt;"ДОК",$N121&lt;&gt;""),IFERROR(INDEX(МАТЕРИАЛЫ!$H$2:$H$9000,MATCH($N121,МАТЕРИАЛЫ!$L$2:$L$9000,0))*IF(INDEX(МАТЕРИАЛЫ!$I$2:$I$9000,MATCH($N121,МАТЕРИАЛЫ!$L$2:$L$9000,0))="USD",КурсUSD,IF(INDEX(МАТЕРИАЛЫ!$I$2:$I$9000,MATCH($N121,МАТЕРИАЛЫ!$L$2:$L$9000,0))="EUR",КурсEUR,IF(INDEX(МАТЕРИАЛЫ!$I$2:$I$9000,MATCH($N121,МАТЕРИАЛЫ!$L$2:$L$9000,0))="CNY",КурсCNY,1)))*(1+N($H121)/100),0),N($O121))*(1-MEDIAN(0,N(ДисконтТендер),1))))</f>
        <v>0</v>
      </c>
      <c r="U121" t="str">
        <f>IF($L121="да",MAX($U$1:$U120)+1,"")</f>
        <v/>
      </c>
      <c r="V121" t="str">
        <f t="shared" si="10"/>
        <v>Р2</v>
      </c>
      <c r="W121" t="str">
        <f t="shared" si="11"/>
        <v/>
      </c>
      <c r="X121" t="str">
        <f t="shared" si="12"/>
        <v/>
      </c>
      <c r="Y121" s="4" t="str">
        <f>IF($A121="","",IF(AND(LEFT($G121,3)="ДОК",$N121&lt;&gt;""),IFERROR(INDEX(Документация!$G$2:$G$57,MATCH($N121,Документация!$F$2:$F$57,0)),$D121),$D121&amp;IF(AND(LEFT($G121,3)&lt;&gt;"ДОК",$N121&lt;&gt;"")," — "&amp;IFERROR(INDEX(МАТЕРИАЛЫ!$C$2:$C$9000,MATCH($N121,МАТЕРИАЛЫ!$L$2:$L$9000,0)),""),"")))</f>
        <v>Демонтаж светильников</v>
      </c>
      <c r="Z121" t="str">
        <f t="shared" si="13"/>
        <v>Р2 · Демонтажные работы</v>
      </c>
    </row>
    <row r="122" spans="1:26" x14ac:dyDescent="0.3">
      <c r="A122" t="s">
        <v>308</v>
      </c>
      <c r="B122" t="s">
        <v>134</v>
      </c>
      <c r="C122" t="s">
        <v>300</v>
      </c>
      <c r="D122" s="4" t="s">
        <v>309</v>
      </c>
      <c r="E122" t="s">
        <v>114</v>
      </c>
      <c r="F122" s="5">
        <v>2200</v>
      </c>
      <c r="H122">
        <v>0</v>
      </c>
      <c r="I122" t="s">
        <v>53</v>
      </c>
      <c r="L122" s="6"/>
      <c r="M122" s="6"/>
      <c r="N122" s="6"/>
      <c r="O122" s="5"/>
      <c r="P122" s="7" t="str">
        <f t="shared" si="7"/>
        <v/>
      </c>
      <c r="Q122" s="7" t="str">
        <f t="shared" si="8"/>
        <v/>
      </c>
      <c r="R122" s="7" t="str">
        <f t="shared" si="9"/>
        <v/>
      </c>
      <c r="S122" s="7">
        <f>IF($A122="","",IF(AND(LEFT($G122,3)="ДОК",$N122&lt;&gt;""),IFERROR(INDEX(Документация!$E$2:$E$57,MATCH($N122,Документация!$F$2:$F$57,0)),0),N($F122))*(1-MEDIAN(0,N(ДисконтТендер),1)))</f>
        <v>2200</v>
      </c>
      <c r="T122" s="7">
        <f>IF($A122="","",IF(AND(LEFT($G122,3)="ДОК",$N122&lt;&gt;""),0,IF(AND(LEFT($G122,3)&lt;&gt;"ДОК",$N122&lt;&gt;""),IFERROR(INDEX(МАТЕРИАЛЫ!$H$2:$H$9000,MATCH($N122,МАТЕРИАЛЫ!$L$2:$L$9000,0))*IF(INDEX(МАТЕРИАЛЫ!$I$2:$I$9000,MATCH($N122,МАТЕРИАЛЫ!$L$2:$L$9000,0))="USD",КурсUSD,IF(INDEX(МАТЕРИАЛЫ!$I$2:$I$9000,MATCH($N122,МАТЕРИАЛЫ!$L$2:$L$9000,0))="EUR",КурсEUR,IF(INDEX(МАТЕРИАЛЫ!$I$2:$I$9000,MATCH($N122,МАТЕРИАЛЫ!$L$2:$L$9000,0))="CNY",КурсCNY,1)))*(1+N($H122)/100),0),N($O122))*(1-MEDIAN(0,N(ДисконтТендер),1))))</f>
        <v>0</v>
      </c>
      <c r="U122" t="str">
        <f>IF($L122="да",MAX($U$1:$U121)+1,"")</f>
        <v/>
      </c>
      <c r="V122" t="str">
        <f t="shared" si="10"/>
        <v>Р2</v>
      </c>
      <c r="W122" t="str">
        <f t="shared" si="11"/>
        <v/>
      </c>
      <c r="X122" t="str">
        <f t="shared" si="12"/>
        <v/>
      </c>
      <c r="Y122" s="4" t="str">
        <f>IF($A122="","",IF(AND(LEFT($G122,3)="ДОК",$N122&lt;&gt;""),IFERROR(INDEX(Документация!$G$2:$G$57,MATCH($N122,Документация!$F$2:$F$57,0)),$D122),$D122&amp;IF(AND(LEFT($G122,3)&lt;&gt;"ДОК",$N122&lt;&gt;"")," — "&amp;IFERROR(INDEX(МАТЕРИАЛЫ!$C$2:$C$9000,MATCH($N122,МАТЕРИАЛЫ!$L$2:$L$9000,0)),""),"")))</f>
        <v>Демонтаж электрощитов распределительных</v>
      </c>
      <c r="Z122" t="str">
        <f t="shared" si="13"/>
        <v>Р2 · Демонтажные работы</v>
      </c>
    </row>
    <row r="123" spans="1:26" x14ac:dyDescent="0.3">
      <c r="A123" t="s">
        <v>310</v>
      </c>
      <c r="B123" t="s">
        <v>134</v>
      </c>
      <c r="C123" t="s">
        <v>300</v>
      </c>
      <c r="D123" s="4" t="s">
        <v>311</v>
      </c>
      <c r="E123" t="s">
        <v>114</v>
      </c>
      <c r="F123" s="5">
        <v>5225</v>
      </c>
      <c r="H123">
        <v>0</v>
      </c>
      <c r="I123" t="s">
        <v>53</v>
      </c>
      <c r="L123" s="6"/>
      <c r="M123" s="6"/>
      <c r="N123" s="6"/>
      <c r="O123" s="5"/>
      <c r="P123" s="7" t="str">
        <f t="shared" si="7"/>
        <v/>
      </c>
      <c r="Q123" s="7" t="str">
        <f t="shared" si="8"/>
        <v/>
      </c>
      <c r="R123" s="7" t="str">
        <f t="shared" si="9"/>
        <v/>
      </c>
      <c r="S123" s="7">
        <f>IF($A123="","",IF(AND(LEFT($G123,3)="ДОК",$N123&lt;&gt;""),IFERROR(INDEX(Документация!$E$2:$E$57,MATCH($N123,Документация!$F$2:$F$57,0)),0),N($F123))*(1-MEDIAN(0,N(ДисконтТендер),1)))</f>
        <v>5225</v>
      </c>
      <c r="T123" s="7">
        <f>IF($A123="","",IF(AND(LEFT($G123,3)="ДОК",$N123&lt;&gt;""),0,IF(AND(LEFT($G123,3)&lt;&gt;"ДОК",$N123&lt;&gt;""),IFERROR(INDEX(МАТЕРИАЛЫ!$H$2:$H$9000,MATCH($N123,МАТЕРИАЛЫ!$L$2:$L$9000,0))*IF(INDEX(МАТЕРИАЛЫ!$I$2:$I$9000,MATCH($N123,МАТЕРИАЛЫ!$L$2:$L$9000,0))="USD",КурсUSD,IF(INDEX(МАТЕРИАЛЫ!$I$2:$I$9000,MATCH($N123,МАТЕРИАЛЫ!$L$2:$L$9000,0))="EUR",КурсEUR,IF(INDEX(МАТЕРИАЛЫ!$I$2:$I$9000,MATCH($N123,МАТЕРИАЛЫ!$L$2:$L$9000,0))="CNY",КурсCNY,1)))*(1+N($H123)/100),0),N($O123))*(1-MEDIAN(0,N(ДисконтТендер),1))))</f>
        <v>0</v>
      </c>
      <c r="U123" t="str">
        <f>IF($L123="да",MAX($U$1:$U122)+1,"")</f>
        <v/>
      </c>
      <c r="V123" t="str">
        <f t="shared" si="10"/>
        <v>Р2</v>
      </c>
      <c r="W123" t="str">
        <f t="shared" si="11"/>
        <v/>
      </c>
      <c r="X123" t="str">
        <f t="shared" si="12"/>
        <v/>
      </c>
      <c r="Y123" s="4" t="str">
        <f>IF($A123="","",IF(AND(LEFT($G123,3)="ДОК",$N123&lt;&gt;""),IFERROR(INDEX(Документация!$G$2:$G$57,MATCH($N123,Документация!$F$2:$F$57,0)),$D123),$D123&amp;IF(AND(LEFT($G123,3)&lt;&gt;"ДОК",$N123&lt;&gt;"")," — "&amp;IFERROR(INDEX(МАТЕРИАЛЫ!$C$2:$C$9000,MATCH($N123,МАТЕРИАЛЫ!$L$2:$L$9000,0)),""),"")))</f>
        <v>Демонтаж щитов ВРУ</v>
      </c>
      <c r="Z123" t="str">
        <f t="shared" si="13"/>
        <v>Р2 · Демонтажные работы</v>
      </c>
    </row>
    <row r="124" spans="1:26" x14ac:dyDescent="0.3">
      <c r="A124" t="s">
        <v>312</v>
      </c>
      <c r="B124" t="s">
        <v>134</v>
      </c>
      <c r="C124" t="s">
        <v>300</v>
      </c>
      <c r="D124" s="4" t="s">
        <v>313</v>
      </c>
      <c r="E124" t="s">
        <v>153</v>
      </c>
      <c r="F124" s="5">
        <v>435.41</v>
      </c>
      <c r="H124">
        <v>0</v>
      </c>
      <c r="I124" t="s">
        <v>53</v>
      </c>
      <c r="L124" s="6"/>
      <c r="M124" s="6"/>
      <c r="N124" s="6"/>
      <c r="O124" s="5"/>
      <c r="P124" s="7" t="str">
        <f t="shared" si="7"/>
        <v/>
      </c>
      <c r="Q124" s="7" t="str">
        <f t="shared" si="8"/>
        <v/>
      </c>
      <c r="R124" s="7" t="str">
        <f t="shared" si="9"/>
        <v/>
      </c>
      <c r="S124" s="7">
        <f>IF($A124="","",IF(AND(LEFT($G124,3)="ДОК",$N124&lt;&gt;""),IFERROR(INDEX(Документация!$E$2:$E$57,MATCH($N124,Документация!$F$2:$F$57,0)),0),N($F124))*(1-MEDIAN(0,N(ДисконтТендер),1)))</f>
        <v>435.41</v>
      </c>
      <c r="T124" s="7">
        <f>IF($A124="","",IF(AND(LEFT($G124,3)="ДОК",$N124&lt;&gt;""),0,IF(AND(LEFT($G124,3)&lt;&gt;"ДОК",$N124&lt;&gt;""),IFERROR(INDEX(МАТЕРИАЛЫ!$H$2:$H$9000,MATCH($N124,МАТЕРИАЛЫ!$L$2:$L$9000,0))*IF(INDEX(МАТЕРИАЛЫ!$I$2:$I$9000,MATCH($N124,МАТЕРИАЛЫ!$L$2:$L$9000,0))="USD",КурсUSD,IF(INDEX(МАТЕРИАЛЫ!$I$2:$I$9000,MATCH($N124,МАТЕРИАЛЫ!$L$2:$L$9000,0))="EUR",КурсEUR,IF(INDEX(МАТЕРИАЛЫ!$I$2:$I$9000,MATCH($N124,МАТЕРИАЛЫ!$L$2:$L$9000,0))="CNY",КурсCNY,1)))*(1+N($H124)/100),0),N($O124))*(1-MEDIAN(0,N(ДисконтТендер),1))))</f>
        <v>0</v>
      </c>
      <c r="U124" t="str">
        <f>IF($L124="да",MAX($U$1:$U123)+1,"")</f>
        <v/>
      </c>
      <c r="V124" t="str">
        <f t="shared" si="10"/>
        <v>Р2</v>
      </c>
      <c r="W124" t="str">
        <f t="shared" si="11"/>
        <v/>
      </c>
      <c r="X124" t="str">
        <f t="shared" si="12"/>
        <v/>
      </c>
      <c r="Y124" s="4" t="str">
        <f>IF($A124="","",IF(AND(LEFT($G124,3)="ДОК",$N124&lt;&gt;""),IFERROR(INDEX(Документация!$G$2:$G$57,MATCH($N124,Документация!$F$2:$F$57,0)),$D124),$D124&amp;IF(AND(LEFT($G124,3)&lt;&gt;"ДОК",$N124&lt;&gt;"")," — "&amp;IFERROR(INDEX(МАТЕРИАЛЫ!$C$2:$C$9000,MATCH($N124,МАТЕРИАЛЫ!$L$2:$L$9000,0)),""),"")))</f>
        <v>Демонтаж вводных кабелей высоковольтных</v>
      </c>
      <c r="Z124" t="str">
        <f t="shared" si="13"/>
        <v>Р2 · Демонтажные работы</v>
      </c>
    </row>
    <row r="125" spans="1:26" x14ac:dyDescent="0.3">
      <c r="A125" t="s">
        <v>314</v>
      </c>
      <c r="B125" t="s">
        <v>134</v>
      </c>
      <c r="C125" t="s">
        <v>300</v>
      </c>
      <c r="D125" s="4" t="s">
        <v>315</v>
      </c>
      <c r="E125" t="s">
        <v>114</v>
      </c>
      <c r="F125" s="5">
        <v>1045</v>
      </c>
      <c r="H125">
        <v>0</v>
      </c>
      <c r="I125" t="s">
        <v>53</v>
      </c>
      <c r="L125" s="6"/>
      <c r="M125" s="6"/>
      <c r="N125" s="6"/>
      <c r="O125" s="5"/>
      <c r="P125" s="7" t="str">
        <f t="shared" si="7"/>
        <v/>
      </c>
      <c r="Q125" s="7" t="str">
        <f t="shared" si="8"/>
        <v/>
      </c>
      <c r="R125" s="7" t="str">
        <f t="shared" si="9"/>
        <v/>
      </c>
      <c r="S125" s="7">
        <f>IF($A125="","",IF(AND(LEFT($G125,3)="ДОК",$N125&lt;&gt;""),IFERROR(INDEX(Документация!$E$2:$E$57,MATCH($N125,Документация!$F$2:$F$57,0)),0),N($F125))*(1-MEDIAN(0,N(ДисконтТендер),1)))</f>
        <v>1045</v>
      </c>
      <c r="T125" s="7">
        <f>IF($A125="","",IF(AND(LEFT($G125,3)="ДОК",$N125&lt;&gt;""),0,IF(AND(LEFT($G125,3)&lt;&gt;"ДОК",$N125&lt;&gt;""),IFERROR(INDEX(МАТЕРИАЛЫ!$H$2:$H$9000,MATCH($N125,МАТЕРИАЛЫ!$L$2:$L$9000,0))*IF(INDEX(МАТЕРИАЛЫ!$I$2:$I$9000,MATCH($N125,МАТЕРИАЛЫ!$L$2:$L$9000,0))="USD",КурсUSD,IF(INDEX(МАТЕРИАЛЫ!$I$2:$I$9000,MATCH($N125,МАТЕРИАЛЫ!$L$2:$L$9000,0))="EUR",КурсEUR,IF(INDEX(МАТЕРИАЛЫ!$I$2:$I$9000,MATCH($N125,МАТЕРИАЛЫ!$L$2:$L$9000,0))="CNY",КурсCNY,1)))*(1+N($H125)/100),0),N($O125))*(1-MEDIAN(0,N(ДисконтТендер),1))))</f>
        <v>0</v>
      </c>
      <c r="U125" t="str">
        <f>IF($L125="да",MAX($U$1:$U124)+1,"")</f>
        <v/>
      </c>
      <c r="V125" t="str">
        <f t="shared" si="10"/>
        <v>Р2</v>
      </c>
      <c r="W125" t="str">
        <f t="shared" si="11"/>
        <v/>
      </c>
      <c r="X125" t="str">
        <f t="shared" si="12"/>
        <v/>
      </c>
      <c r="Y125" s="4" t="str">
        <f>IF($A125="","",IF(AND(LEFT($G125,3)="ДОК",$N125&lt;&gt;""),IFERROR(INDEX(Документация!$G$2:$G$57,MATCH($N125,Документация!$F$2:$F$57,0)),$D125),$D125&amp;IF(AND(LEFT($G125,3)&lt;&gt;"ДОК",$N125&lt;&gt;"")," — "&amp;IFERROR(INDEX(МАТЕРИАЛЫ!$C$2:$C$9000,MATCH($N125,МАТЕРИАЛЫ!$L$2:$L$9000,0)),""),"")))</f>
        <v>Демонтаж светильников с сохранением</v>
      </c>
      <c r="Z125" t="str">
        <f t="shared" si="13"/>
        <v>Р2 · Демонтажные работы</v>
      </c>
    </row>
    <row r="126" spans="1:26" x14ac:dyDescent="0.3">
      <c r="A126" t="s">
        <v>316</v>
      </c>
      <c r="B126" t="s">
        <v>134</v>
      </c>
      <c r="C126" t="s">
        <v>300</v>
      </c>
      <c r="D126" s="4" t="s">
        <v>317</v>
      </c>
      <c r="E126" t="s">
        <v>153</v>
      </c>
      <c r="F126" s="5">
        <v>255.07</v>
      </c>
      <c r="H126">
        <v>0</v>
      </c>
      <c r="I126" t="s">
        <v>53</v>
      </c>
      <c r="L126" s="6"/>
      <c r="M126" s="6"/>
      <c r="N126" s="6"/>
      <c r="O126" s="5"/>
      <c r="P126" s="7" t="str">
        <f t="shared" si="7"/>
        <v/>
      </c>
      <c r="Q126" s="7" t="str">
        <f t="shared" si="8"/>
        <v/>
      </c>
      <c r="R126" s="7" t="str">
        <f t="shared" si="9"/>
        <v/>
      </c>
      <c r="S126" s="7">
        <f>IF($A126="","",IF(AND(LEFT($G126,3)="ДОК",$N126&lt;&gt;""),IFERROR(INDEX(Документация!$E$2:$E$57,MATCH($N126,Документация!$F$2:$F$57,0)),0),N($F126))*(1-MEDIAN(0,N(ДисконтТендер),1)))</f>
        <v>255.07</v>
      </c>
      <c r="T126" s="7">
        <f>IF($A126="","",IF(AND(LEFT($G126,3)="ДОК",$N126&lt;&gt;""),0,IF(AND(LEFT($G126,3)&lt;&gt;"ДОК",$N126&lt;&gt;""),IFERROR(INDEX(МАТЕРИАЛЫ!$H$2:$H$9000,MATCH($N126,МАТЕРИАЛЫ!$L$2:$L$9000,0))*IF(INDEX(МАТЕРИАЛЫ!$I$2:$I$9000,MATCH($N126,МАТЕРИАЛЫ!$L$2:$L$9000,0))="USD",КурсUSD,IF(INDEX(МАТЕРИАЛЫ!$I$2:$I$9000,MATCH($N126,МАТЕРИАЛЫ!$L$2:$L$9000,0))="EUR",КурсEUR,IF(INDEX(МАТЕРИАЛЫ!$I$2:$I$9000,MATCH($N126,МАТЕРИАЛЫ!$L$2:$L$9000,0))="CNY",КурсCNY,1)))*(1+N($H126)/100),0),N($O126))*(1-MEDIAN(0,N(ДисконтТендер),1))))</f>
        <v>0</v>
      </c>
      <c r="U126" t="str">
        <f>IF($L126="да",MAX($U$1:$U125)+1,"")</f>
        <v/>
      </c>
      <c r="V126" t="str">
        <f t="shared" si="10"/>
        <v>Р2</v>
      </c>
      <c r="W126" t="str">
        <f t="shared" si="11"/>
        <v/>
      </c>
      <c r="X126" t="str">
        <f t="shared" si="12"/>
        <v/>
      </c>
      <c r="Y126" s="4" t="str">
        <f>IF($A126="","",IF(AND(LEFT($G126,3)="ДОК",$N126&lt;&gt;""),IFERROR(INDEX(Документация!$G$2:$G$57,MATCH($N126,Документация!$F$2:$F$57,0)),$D126),$D126&amp;IF(AND(LEFT($G126,3)&lt;&gt;"ДОК",$N126&lt;&gt;"")," — "&amp;IFERROR(INDEX(МАТЕРИАЛЫ!$C$2:$C$9000,MATCH($N126,МАТЕРИАЛЫ!$L$2:$L$9000,0)),""),"")))</f>
        <v>Демонтаж кабель канала</v>
      </c>
      <c r="Z126" t="str">
        <f t="shared" si="13"/>
        <v>Р2 · Демонтажные работы</v>
      </c>
    </row>
    <row r="127" spans="1:26" ht="28.8" x14ac:dyDescent="0.3">
      <c r="A127" t="s">
        <v>318</v>
      </c>
      <c r="B127" t="s">
        <v>134</v>
      </c>
      <c r="C127" t="s">
        <v>319</v>
      </c>
      <c r="D127" s="4" t="s">
        <v>320</v>
      </c>
      <c r="E127" t="s">
        <v>125</v>
      </c>
      <c r="F127" s="5">
        <v>197.84</v>
      </c>
      <c r="H127">
        <v>0</v>
      </c>
      <c r="I127" t="s">
        <v>53</v>
      </c>
      <c r="L127" s="6"/>
      <c r="M127" s="6"/>
      <c r="N127" s="6"/>
      <c r="O127" s="5"/>
      <c r="P127" s="7" t="str">
        <f t="shared" si="7"/>
        <v/>
      </c>
      <c r="Q127" s="7" t="str">
        <f t="shared" si="8"/>
        <v/>
      </c>
      <c r="R127" s="7" t="str">
        <f t="shared" si="9"/>
        <v/>
      </c>
      <c r="S127" s="7">
        <f>IF($A127="","",IF(AND(LEFT($G127,3)="ДОК",$N127&lt;&gt;""),IFERROR(INDEX(Документация!$E$2:$E$57,MATCH($N127,Документация!$F$2:$F$57,0)),0),N($F127))*(1-MEDIAN(0,N(ДисконтТендер),1)))</f>
        <v>197.84</v>
      </c>
      <c r="T127" s="7">
        <f>IF($A127="","",IF(AND(LEFT($G127,3)="ДОК",$N127&lt;&gt;""),0,IF(AND(LEFT($G127,3)&lt;&gt;"ДОК",$N127&lt;&gt;""),IFERROR(INDEX(МАТЕРИАЛЫ!$H$2:$H$9000,MATCH($N127,МАТЕРИАЛЫ!$L$2:$L$9000,0))*IF(INDEX(МАТЕРИАЛЫ!$I$2:$I$9000,MATCH($N127,МАТЕРИАЛЫ!$L$2:$L$9000,0))="USD",КурсUSD,IF(INDEX(МАТЕРИАЛЫ!$I$2:$I$9000,MATCH($N127,МАТЕРИАЛЫ!$L$2:$L$9000,0))="EUR",КурсEUR,IF(INDEX(МАТЕРИАЛЫ!$I$2:$I$9000,MATCH($N127,МАТЕРИАЛЫ!$L$2:$L$9000,0))="CNY",КурсCNY,1)))*(1+N($H127)/100),0),N($O127))*(1-MEDIAN(0,N(ДисконтТендер),1))))</f>
        <v>0</v>
      </c>
      <c r="U127" t="str">
        <f>IF($L127="да",MAX($U$1:$U126)+1,"")</f>
        <v/>
      </c>
      <c r="V127" t="str">
        <f t="shared" si="10"/>
        <v>Р2</v>
      </c>
      <c r="W127" t="str">
        <f t="shared" si="11"/>
        <v/>
      </c>
      <c r="X127" t="str">
        <f t="shared" si="12"/>
        <v/>
      </c>
      <c r="Y127" s="4" t="str">
        <f>IF($A127="","",IF(AND(LEFT($G127,3)="ДОК",$N127&lt;&gt;""),IFERROR(INDEX(Документация!$G$2:$G$57,MATCH($N127,Документация!$F$2:$F$57,0)),$D127),$D127&amp;IF(AND(LEFT($G127,3)&lt;&gt;"ДОК",$N127&lt;&gt;"")," — "&amp;IFERROR(INDEX(МАТЕРИАЛЫ!$C$2:$C$9000,MATCH($N127,МАТЕРИАЛЫ!$L$2:$L$9000,0)),""),"")))</f>
        <v>Демонтаж воздуховодов системы вентиляциии и охлаждения воздуха</v>
      </c>
      <c r="Z127" t="str">
        <f t="shared" si="13"/>
        <v>Р2 · Демонтажные работы</v>
      </c>
    </row>
    <row r="128" spans="1:26" ht="57.6" x14ac:dyDescent="0.3">
      <c r="A128" t="s">
        <v>321</v>
      </c>
      <c r="B128" t="s">
        <v>134</v>
      </c>
      <c r="C128" t="s">
        <v>319</v>
      </c>
      <c r="D128" s="4" t="s">
        <v>322</v>
      </c>
      <c r="E128" t="s">
        <v>114</v>
      </c>
      <c r="F128" s="5">
        <v>2639.67</v>
      </c>
      <c r="H128">
        <v>0</v>
      </c>
      <c r="I128" t="s">
        <v>53</v>
      </c>
      <c r="L128" s="6"/>
      <c r="M128" s="6"/>
      <c r="N128" s="6"/>
      <c r="O128" s="5"/>
      <c r="P128" s="7" t="str">
        <f t="shared" si="7"/>
        <v/>
      </c>
      <c r="Q128" s="7" t="str">
        <f t="shared" si="8"/>
        <v/>
      </c>
      <c r="R128" s="7" t="str">
        <f t="shared" si="9"/>
        <v/>
      </c>
      <c r="S128" s="7">
        <f>IF($A128="","",IF(AND(LEFT($G128,3)="ДОК",$N128&lt;&gt;""),IFERROR(INDEX(Документация!$E$2:$E$57,MATCH($N128,Документация!$F$2:$F$57,0)),0),N($F128))*(1-MEDIAN(0,N(ДисконтТендер),1)))</f>
        <v>2639.67</v>
      </c>
      <c r="T128" s="7">
        <f>IF($A128="","",IF(AND(LEFT($G128,3)="ДОК",$N128&lt;&gt;""),0,IF(AND(LEFT($G128,3)&lt;&gt;"ДОК",$N128&lt;&gt;""),IFERROR(INDEX(МАТЕРИАЛЫ!$H$2:$H$9000,MATCH($N128,МАТЕРИАЛЫ!$L$2:$L$9000,0))*IF(INDEX(МАТЕРИАЛЫ!$I$2:$I$9000,MATCH($N128,МАТЕРИАЛЫ!$L$2:$L$9000,0))="USD",КурсUSD,IF(INDEX(МАТЕРИАЛЫ!$I$2:$I$9000,MATCH($N128,МАТЕРИАЛЫ!$L$2:$L$9000,0))="EUR",КурсEUR,IF(INDEX(МАТЕРИАЛЫ!$I$2:$I$9000,MATCH($N128,МАТЕРИАЛЫ!$L$2:$L$9000,0))="CNY",КурсCNY,1)))*(1+N($H128)/100),0),N($O128))*(1-MEDIAN(0,N(ДисконтТендер),1))))</f>
        <v>0</v>
      </c>
      <c r="U128" t="str">
        <f>IF($L128="да",MAX($U$1:$U127)+1,"")</f>
        <v/>
      </c>
      <c r="V128" t="str">
        <f t="shared" si="10"/>
        <v>Р2</v>
      </c>
      <c r="W128" t="str">
        <f t="shared" si="11"/>
        <v/>
      </c>
      <c r="X128" t="str">
        <f t="shared" si="12"/>
        <v/>
      </c>
      <c r="Y128" s="4" t="str">
        <f>IF($A128="","",IF(AND(LEFT($G128,3)="ДОК",$N128&lt;&gt;""),IFERROR(INDEX(Документация!$G$2:$G$57,MATCH($N128,Документация!$F$2:$F$57,0)),$D128),$D128&amp;IF(AND(LEFT($G128,3)&lt;&gt;"ДОК",$N128&lt;&gt;"")," — "&amp;IFERROR(INDEX(МАТЕРИАЛЫ!$C$2:$C$9000,MATCH($N128,МАТЕРИАЛЫ!$L$2:$L$9000,0)),""),"")))</f>
        <v>Демонтаж кондиционера (сплит система, внешний и внутренний блоки с трассами фреонопровода и межблочными кабельными линиями)</v>
      </c>
      <c r="Z128" t="str">
        <f t="shared" si="13"/>
        <v>Р2 · Демонтажные работы</v>
      </c>
    </row>
    <row r="129" spans="1:26" ht="28.8" x14ac:dyDescent="0.3">
      <c r="A129" t="s">
        <v>323</v>
      </c>
      <c r="B129" t="s">
        <v>134</v>
      </c>
      <c r="C129" t="s">
        <v>319</v>
      </c>
      <c r="D129" s="4" t="s">
        <v>324</v>
      </c>
      <c r="E129" t="s">
        <v>114</v>
      </c>
      <c r="F129" s="5">
        <v>7657.74</v>
      </c>
      <c r="H129">
        <v>0</v>
      </c>
      <c r="I129" t="s">
        <v>53</v>
      </c>
      <c r="L129" s="6"/>
      <c r="M129" s="6"/>
      <c r="N129" s="6"/>
      <c r="O129" s="5"/>
      <c r="P129" s="7" t="str">
        <f t="shared" si="7"/>
        <v/>
      </c>
      <c r="Q129" s="7" t="str">
        <f t="shared" si="8"/>
        <v/>
      </c>
      <c r="R129" s="7" t="str">
        <f t="shared" si="9"/>
        <v/>
      </c>
      <c r="S129" s="7">
        <f>IF($A129="","",IF(AND(LEFT($G129,3)="ДОК",$N129&lt;&gt;""),IFERROR(INDEX(Документация!$E$2:$E$57,MATCH($N129,Документация!$F$2:$F$57,0)),0),N($F129))*(1-MEDIAN(0,N(ДисконтТендер),1)))</f>
        <v>7657.74</v>
      </c>
      <c r="T129" s="7">
        <f>IF($A129="","",IF(AND(LEFT($G129,3)="ДОК",$N129&lt;&gt;""),0,IF(AND(LEFT($G129,3)&lt;&gt;"ДОК",$N129&lt;&gt;""),IFERROR(INDEX(МАТЕРИАЛЫ!$H$2:$H$9000,MATCH($N129,МАТЕРИАЛЫ!$L$2:$L$9000,0))*IF(INDEX(МАТЕРИАЛЫ!$I$2:$I$9000,MATCH($N129,МАТЕРИАЛЫ!$L$2:$L$9000,0))="USD",КурсUSD,IF(INDEX(МАТЕРИАЛЫ!$I$2:$I$9000,MATCH($N129,МАТЕРИАЛЫ!$L$2:$L$9000,0))="EUR",КурсEUR,IF(INDEX(МАТЕРИАЛЫ!$I$2:$I$9000,MATCH($N129,МАТЕРИАЛЫ!$L$2:$L$9000,0))="CNY",КурсCNY,1)))*(1+N($H129)/100),0),N($O129))*(1-MEDIAN(0,N(ДисконтТендер),1))))</f>
        <v>0</v>
      </c>
      <c r="U129" t="str">
        <f>IF($L129="да",MAX($U$1:$U128)+1,"")</f>
        <v/>
      </c>
      <c r="V129" t="str">
        <f t="shared" si="10"/>
        <v>Р2</v>
      </c>
      <c r="W129" t="str">
        <f t="shared" si="11"/>
        <v/>
      </c>
      <c r="X129" t="str">
        <f t="shared" si="12"/>
        <v/>
      </c>
      <c r="Y129" s="4" t="str">
        <f>IF($A129="","",IF(AND(LEFT($G129,3)="ДОК",$N129&lt;&gt;""),IFERROR(INDEX(Документация!$G$2:$G$57,MATCH($N129,Документация!$F$2:$F$57,0)),$D129),$D129&amp;IF(AND(LEFT($G129,3)&lt;&gt;"ДОК",$N129&lt;&gt;"")," — "&amp;IFERROR(INDEX(МАТЕРИАЛЫ!$C$2:$C$9000,MATCH($N129,МАТЕРИАЛЫ!$L$2:$L$9000,0)),""),"")))</f>
        <v>Демонтаж кондиционера (сплит система, внешний и внутренний блоки) с сохранением</v>
      </c>
      <c r="Z129" t="str">
        <f t="shared" si="13"/>
        <v>Р2 · Демонтажные работы</v>
      </c>
    </row>
    <row r="130" spans="1:26" x14ac:dyDescent="0.3">
      <c r="A130" t="s">
        <v>325</v>
      </c>
      <c r="B130" t="s">
        <v>134</v>
      </c>
      <c r="C130" t="s">
        <v>319</v>
      </c>
      <c r="D130" s="4" t="s">
        <v>326</v>
      </c>
      <c r="E130" t="s">
        <v>114</v>
      </c>
      <c r="F130" s="5">
        <v>27311.040000000001</v>
      </c>
      <c r="H130">
        <v>0</v>
      </c>
      <c r="I130" t="s">
        <v>53</v>
      </c>
      <c r="L130" s="6"/>
      <c r="M130" s="6"/>
      <c r="N130" s="6"/>
      <c r="O130" s="5"/>
      <c r="P130" s="7" t="str">
        <f t="shared" ref="P130:P193" si="14">IF($L130="да",ROUND(N($M130)*$S130,2),"")</f>
        <v/>
      </c>
      <c r="Q130" s="7" t="str">
        <f t="shared" ref="Q130:Q193" si="15">IF($L130="да",ROUND(N($M130)*$T130,2),"")</f>
        <v/>
      </c>
      <c r="R130" s="7" t="str">
        <f t="shared" ref="R130:R193" si="16">IF($L130="да",N($P130)+N($Q130),"")</f>
        <v/>
      </c>
      <c r="S130" s="7">
        <f>IF($A130="","",IF(AND(LEFT($G130,3)="ДОК",$N130&lt;&gt;""),IFERROR(INDEX(Документация!$E$2:$E$57,MATCH($N130,Документация!$F$2:$F$57,0)),0),N($F130))*(1-MEDIAN(0,N(ДисконтТендер),1)))</f>
        <v>27311.040000000001</v>
      </c>
      <c r="T130" s="7">
        <f>IF($A130="","",IF(AND(LEFT($G130,3)="ДОК",$N130&lt;&gt;""),0,IF(AND(LEFT($G130,3)&lt;&gt;"ДОК",$N130&lt;&gt;""),IFERROR(INDEX(МАТЕРИАЛЫ!$H$2:$H$9000,MATCH($N130,МАТЕРИАЛЫ!$L$2:$L$9000,0))*IF(INDEX(МАТЕРИАЛЫ!$I$2:$I$9000,MATCH($N130,МАТЕРИАЛЫ!$L$2:$L$9000,0))="USD",КурсUSD,IF(INDEX(МАТЕРИАЛЫ!$I$2:$I$9000,MATCH($N130,МАТЕРИАЛЫ!$L$2:$L$9000,0))="EUR",КурсEUR,IF(INDEX(МАТЕРИАЛЫ!$I$2:$I$9000,MATCH($N130,МАТЕРИАЛЫ!$L$2:$L$9000,0))="CNY",КурсCNY,1)))*(1+N($H130)/100),0),N($O130))*(1-MEDIAN(0,N(ДисконтТендер),1))))</f>
        <v>0</v>
      </c>
      <c r="U130" t="str">
        <f>IF($L130="да",MAX($U$1:$U129)+1,"")</f>
        <v/>
      </c>
      <c r="V130" t="str">
        <f t="shared" ref="V130:V193" si="17">IF($A130="","",$B130)</f>
        <v>Р2</v>
      </c>
      <c r="W130" t="str">
        <f t="shared" ref="W130:W193" si="18">IF($U130="","",IF($U130=1,1,IF($V130&lt;&gt;IFERROR(INDEX($V$2:$V$1058,MATCH($U130-1,$U$2:$U$1058,0)),"~"),1,0)))</f>
        <v/>
      </c>
      <c r="X130" t="str">
        <f t="shared" ref="X130:X193" si="19">IF($U130="","",$U130+SUMIFS($W$2:$W$1058,$U$2:$U$1058,"&lt;="&amp;$U130))</f>
        <v/>
      </c>
      <c r="Y130" s="4" t="str">
        <f>IF($A130="","",IF(AND(LEFT($G130,3)="ДОК",$N130&lt;&gt;""),IFERROR(INDEX(Документация!$G$2:$G$57,MATCH($N130,Документация!$F$2:$F$57,0)),$D130),$D130&amp;IF(AND(LEFT($G130,3)&lt;&gt;"ДОК",$N130&lt;&gt;"")," — "&amp;IFERROR(INDEX(МАТЕРИАЛЫ!$C$2:$C$9000,MATCH($N130,МАТЕРИАЛЫ!$L$2:$L$9000,0)),""),"")))</f>
        <v>Демонтаж вент машин</v>
      </c>
      <c r="Z130" t="str">
        <f t="shared" ref="Z130:Z193" si="20">IF($B130="","",$B130&amp;" · "&amp;IFERROR(VLOOKUP($B130,спрРазделы,2,0),""))</f>
        <v>Р2 · Демонтажные работы</v>
      </c>
    </row>
    <row r="131" spans="1:26" x14ac:dyDescent="0.3">
      <c r="A131" t="s">
        <v>327</v>
      </c>
      <c r="B131" t="s">
        <v>134</v>
      </c>
      <c r="C131" t="s">
        <v>319</v>
      </c>
      <c r="D131" s="4" t="s">
        <v>328</v>
      </c>
      <c r="E131" t="s">
        <v>114</v>
      </c>
      <c r="F131" s="5">
        <v>39400.559999999998</v>
      </c>
      <c r="H131">
        <v>0</v>
      </c>
      <c r="I131" t="s">
        <v>53</v>
      </c>
      <c r="L131" s="6"/>
      <c r="M131" s="6"/>
      <c r="N131" s="6"/>
      <c r="O131" s="5"/>
      <c r="P131" s="7" t="str">
        <f t="shared" si="14"/>
        <v/>
      </c>
      <c r="Q131" s="7" t="str">
        <f t="shared" si="15"/>
        <v/>
      </c>
      <c r="R131" s="7" t="str">
        <f t="shared" si="16"/>
        <v/>
      </c>
      <c r="S131" s="7">
        <f>IF($A131="","",IF(AND(LEFT($G131,3)="ДОК",$N131&lt;&gt;""),IFERROR(INDEX(Документация!$E$2:$E$57,MATCH($N131,Документация!$F$2:$F$57,0)),0),N($F131))*(1-MEDIAN(0,N(ДисконтТендер),1)))</f>
        <v>39400.559999999998</v>
      </c>
      <c r="T131" s="7">
        <f>IF($A131="","",IF(AND(LEFT($G131,3)="ДОК",$N131&lt;&gt;""),0,IF(AND(LEFT($G131,3)&lt;&gt;"ДОК",$N131&lt;&gt;""),IFERROR(INDEX(МАТЕРИАЛЫ!$H$2:$H$9000,MATCH($N131,МАТЕРИАЛЫ!$L$2:$L$9000,0))*IF(INDEX(МАТЕРИАЛЫ!$I$2:$I$9000,MATCH($N131,МАТЕРИАЛЫ!$L$2:$L$9000,0))="USD",КурсUSD,IF(INDEX(МАТЕРИАЛЫ!$I$2:$I$9000,MATCH($N131,МАТЕРИАЛЫ!$L$2:$L$9000,0))="EUR",КурсEUR,IF(INDEX(МАТЕРИАЛЫ!$I$2:$I$9000,MATCH($N131,МАТЕРИАЛЫ!$L$2:$L$9000,0))="CNY",КурсCNY,1)))*(1+N($H131)/100),0),N($O131))*(1-MEDIAN(0,N(ДисконтТендер),1))))</f>
        <v>0</v>
      </c>
      <c r="U131" t="str">
        <f>IF($L131="да",MAX($U$1:$U130)+1,"")</f>
        <v/>
      </c>
      <c r="V131" t="str">
        <f t="shared" si="17"/>
        <v>Р2</v>
      </c>
      <c r="W131" t="str">
        <f t="shared" si="18"/>
        <v/>
      </c>
      <c r="X131" t="str">
        <f t="shared" si="19"/>
        <v/>
      </c>
      <c r="Y131" s="4" t="str">
        <f>IF($A131="","",IF(AND(LEFT($G131,3)="ДОК",$N131&lt;&gt;""),IFERROR(INDEX(Документация!$G$2:$G$57,MATCH($N131,Документация!$F$2:$F$57,0)),$D131),$D131&amp;IF(AND(LEFT($G131,3)&lt;&gt;"ДОК",$N131&lt;&gt;"")," — "&amp;IFERROR(INDEX(МАТЕРИАЛЫ!$C$2:$C$9000,MATCH($N131,МАТЕРИАЛЫ!$L$2:$L$9000,0)),""),"")))</f>
        <v>Демонтаж вент машин с сохранением</v>
      </c>
      <c r="Z131" t="str">
        <f t="shared" si="20"/>
        <v>Р2 · Демонтажные работы</v>
      </c>
    </row>
    <row r="132" spans="1:26" x14ac:dyDescent="0.3">
      <c r="A132" t="s">
        <v>329</v>
      </c>
      <c r="B132" t="s">
        <v>134</v>
      </c>
      <c r="C132" t="s">
        <v>330</v>
      </c>
      <c r="D132" s="4" t="s">
        <v>331</v>
      </c>
      <c r="E132" t="s">
        <v>114</v>
      </c>
      <c r="F132" s="5">
        <v>783</v>
      </c>
      <c r="H132">
        <v>0</v>
      </c>
      <c r="I132" t="s">
        <v>53</v>
      </c>
      <c r="L132" s="6"/>
      <c r="M132" s="6"/>
      <c r="N132" s="6"/>
      <c r="O132" s="5"/>
      <c r="P132" s="7" t="str">
        <f t="shared" si="14"/>
        <v/>
      </c>
      <c r="Q132" s="7" t="str">
        <f t="shared" si="15"/>
        <v/>
      </c>
      <c r="R132" s="7" t="str">
        <f t="shared" si="16"/>
        <v/>
      </c>
      <c r="S132" s="7">
        <f>IF($A132="","",IF(AND(LEFT($G132,3)="ДОК",$N132&lt;&gt;""),IFERROR(INDEX(Документация!$E$2:$E$57,MATCH($N132,Документация!$F$2:$F$57,0)),0),N($F132))*(1-MEDIAN(0,N(ДисконтТендер),1)))</f>
        <v>783</v>
      </c>
      <c r="T132" s="7">
        <f>IF($A132="","",IF(AND(LEFT($G132,3)="ДОК",$N132&lt;&gt;""),0,IF(AND(LEFT($G132,3)&lt;&gt;"ДОК",$N132&lt;&gt;""),IFERROR(INDEX(МАТЕРИАЛЫ!$H$2:$H$9000,MATCH($N132,МАТЕРИАЛЫ!$L$2:$L$9000,0))*IF(INDEX(МАТЕРИАЛЫ!$I$2:$I$9000,MATCH($N132,МАТЕРИАЛЫ!$L$2:$L$9000,0))="USD",КурсUSD,IF(INDEX(МАТЕРИАЛЫ!$I$2:$I$9000,MATCH($N132,МАТЕРИАЛЫ!$L$2:$L$9000,0))="EUR",КурсEUR,IF(INDEX(МАТЕРИАЛЫ!$I$2:$I$9000,MATCH($N132,МАТЕРИАЛЫ!$L$2:$L$9000,0))="CNY",КурсCNY,1)))*(1+N($H132)/100),0),N($O132))*(1-MEDIAN(0,N(ДисконтТендер),1))))</f>
        <v>0</v>
      </c>
      <c r="U132" t="str">
        <f>IF($L132="да",MAX($U$1:$U131)+1,"")</f>
        <v/>
      </c>
      <c r="V132" t="str">
        <f t="shared" si="17"/>
        <v>Р2</v>
      </c>
      <c r="W132" t="str">
        <f t="shared" si="18"/>
        <v/>
      </c>
      <c r="X132" t="str">
        <f t="shared" si="19"/>
        <v/>
      </c>
      <c r="Y132" s="4" t="str">
        <f>IF($A132="","",IF(AND(LEFT($G132,3)="ДОК",$N132&lt;&gt;""),IFERROR(INDEX(Документация!$G$2:$G$57,MATCH($N132,Документация!$F$2:$F$57,0)),$D132),$D132&amp;IF(AND(LEFT($G132,3)&lt;&gt;"ДОК",$N132&lt;&gt;"")," — "&amp;IFERROR(INDEX(МАТЕРИАЛЫ!$C$2:$C$9000,MATCH($N132,МАТЕРИАЛЫ!$L$2:$L$9000,0)),""),"")))</f>
        <v>Демонтаж унитаза</v>
      </c>
      <c r="Z132" t="str">
        <f t="shared" si="20"/>
        <v>Р2 · Демонтажные работы</v>
      </c>
    </row>
    <row r="133" spans="1:26" x14ac:dyDescent="0.3">
      <c r="A133" t="s">
        <v>332</v>
      </c>
      <c r="B133" t="s">
        <v>134</v>
      </c>
      <c r="C133" t="s">
        <v>330</v>
      </c>
      <c r="D133" s="4" t="s">
        <v>333</v>
      </c>
      <c r="E133" t="s">
        <v>114</v>
      </c>
      <c r="F133" s="5">
        <v>689.04</v>
      </c>
      <c r="H133">
        <v>0</v>
      </c>
      <c r="I133" t="s">
        <v>53</v>
      </c>
      <c r="L133" s="6"/>
      <c r="M133" s="6"/>
      <c r="N133" s="6"/>
      <c r="O133" s="5"/>
      <c r="P133" s="7" t="str">
        <f t="shared" si="14"/>
        <v/>
      </c>
      <c r="Q133" s="7" t="str">
        <f t="shared" si="15"/>
        <v/>
      </c>
      <c r="R133" s="7" t="str">
        <f t="shared" si="16"/>
        <v/>
      </c>
      <c r="S133" s="7">
        <f>IF($A133="","",IF(AND(LEFT($G133,3)="ДОК",$N133&lt;&gt;""),IFERROR(INDEX(Документация!$E$2:$E$57,MATCH($N133,Документация!$F$2:$F$57,0)),0),N($F133))*(1-MEDIAN(0,N(ДисконтТендер),1)))</f>
        <v>689.04</v>
      </c>
      <c r="T133" s="7">
        <f>IF($A133="","",IF(AND(LEFT($G133,3)="ДОК",$N133&lt;&gt;""),0,IF(AND(LEFT($G133,3)&lt;&gt;"ДОК",$N133&lt;&gt;""),IFERROR(INDEX(МАТЕРИАЛЫ!$H$2:$H$9000,MATCH($N133,МАТЕРИАЛЫ!$L$2:$L$9000,0))*IF(INDEX(МАТЕРИАЛЫ!$I$2:$I$9000,MATCH($N133,МАТЕРИАЛЫ!$L$2:$L$9000,0))="USD",КурсUSD,IF(INDEX(МАТЕРИАЛЫ!$I$2:$I$9000,MATCH($N133,МАТЕРИАЛЫ!$L$2:$L$9000,0))="EUR",КурсEUR,IF(INDEX(МАТЕРИАЛЫ!$I$2:$I$9000,MATCH($N133,МАТЕРИАЛЫ!$L$2:$L$9000,0))="CNY",КурсCNY,1)))*(1+N($H133)/100),0),N($O133))*(1-MEDIAN(0,N(ДисконтТендер),1))))</f>
        <v>0</v>
      </c>
      <c r="U133" t="str">
        <f>IF($L133="да",MAX($U$1:$U132)+1,"")</f>
        <v/>
      </c>
      <c r="V133" t="str">
        <f t="shared" si="17"/>
        <v>Р2</v>
      </c>
      <c r="W133" t="str">
        <f t="shared" si="18"/>
        <v/>
      </c>
      <c r="X133" t="str">
        <f t="shared" si="19"/>
        <v/>
      </c>
      <c r="Y133" s="4" t="str">
        <f>IF($A133="","",IF(AND(LEFT($G133,3)="ДОК",$N133&lt;&gt;""),IFERROR(INDEX(Документация!$G$2:$G$57,MATCH($N133,Документация!$F$2:$F$57,0)),$D133),$D133&amp;IF(AND(LEFT($G133,3)&lt;&gt;"ДОК",$N133&lt;&gt;"")," — "&amp;IFERROR(INDEX(МАТЕРИАЛЫ!$C$2:$C$9000,MATCH($N133,МАТЕРИАЛЫ!$L$2:$L$9000,0)),""),"")))</f>
        <v>Демонтаж раковины</v>
      </c>
      <c r="Z133" t="str">
        <f t="shared" si="20"/>
        <v>Р2 · Демонтажные работы</v>
      </c>
    </row>
    <row r="134" spans="1:26" x14ac:dyDescent="0.3">
      <c r="A134" t="s">
        <v>334</v>
      </c>
      <c r="B134" t="s">
        <v>134</v>
      </c>
      <c r="C134" t="s">
        <v>330</v>
      </c>
      <c r="D134" s="4" t="s">
        <v>335</v>
      </c>
      <c r="E134" t="s">
        <v>83</v>
      </c>
      <c r="F134" s="5">
        <v>330</v>
      </c>
      <c r="H134">
        <v>0</v>
      </c>
      <c r="I134" t="s">
        <v>53</v>
      </c>
      <c r="L134" s="6"/>
      <c r="M134" s="6"/>
      <c r="N134" s="6"/>
      <c r="O134" s="5"/>
      <c r="P134" s="7" t="str">
        <f t="shared" si="14"/>
        <v/>
      </c>
      <c r="Q134" s="7" t="str">
        <f t="shared" si="15"/>
        <v/>
      </c>
      <c r="R134" s="7" t="str">
        <f t="shared" si="16"/>
        <v/>
      </c>
      <c r="S134" s="7">
        <f>IF($A134="","",IF(AND(LEFT($G134,3)="ДОК",$N134&lt;&gt;""),IFERROR(INDEX(Документация!$E$2:$E$57,MATCH($N134,Документация!$F$2:$F$57,0)),0),N($F134))*(1-MEDIAN(0,N(ДисконтТендер),1)))</f>
        <v>330</v>
      </c>
      <c r="T134" s="7">
        <f>IF($A134="","",IF(AND(LEFT($G134,3)="ДОК",$N134&lt;&gt;""),0,IF(AND(LEFT($G134,3)&lt;&gt;"ДОК",$N134&lt;&gt;""),IFERROR(INDEX(МАТЕРИАЛЫ!$H$2:$H$9000,MATCH($N134,МАТЕРИАЛЫ!$L$2:$L$9000,0))*IF(INDEX(МАТЕРИАЛЫ!$I$2:$I$9000,MATCH($N134,МАТЕРИАЛЫ!$L$2:$L$9000,0))="USD",КурсUSD,IF(INDEX(МАТЕРИАЛЫ!$I$2:$I$9000,MATCH($N134,МАТЕРИАЛЫ!$L$2:$L$9000,0))="EUR",КурсEUR,IF(INDEX(МАТЕРИАЛЫ!$I$2:$I$9000,MATCH($N134,МАТЕРИАЛЫ!$L$2:$L$9000,0))="CNY",КурсCNY,1)))*(1+N($H134)/100),0),N($O134))*(1-MEDIAN(0,N(ДисконтТендер),1))))</f>
        <v>0</v>
      </c>
      <c r="U134" t="str">
        <f>IF($L134="да",MAX($U$1:$U133)+1,"")</f>
        <v/>
      </c>
      <c r="V134" t="str">
        <f t="shared" si="17"/>
        <v>Р2</v>
      </c>
      <c r="W134" t="str">
        <f t="shared" si="18"/>
        <v/>
      </c>
      <c r="X134" t="str">
        <f t="shared" si="19"/>
        <v/>
      </c>
      <c r="Y134" s="4" t="str">
        <f>IF($A134="","",IF(AND(LEFT($G134,3)="ДОК",$N134&lt;&gt;""),IFERROR(INDEX(Документация!$G$2:$G$57,MATCH($N134,Документация!$F$2:$F$57,0)),$D134),$D134&amp;IF(AND(LEFT($G134,3)&lt;&gt;"ДОК",$N134&lt;&gt;"")," — "&amp;IFERROR(INDEX(МАТЕРИАЛЫ!$C$2:$C$9000,MATCH($N134,МАТЕРИАЛЫ!$L$2:$L$9000,0)),""),"")))</f>
        <v>Демонтаж смесителя</v>
      </c>
      <c r="Z134" t="str">
        <f t="shared" si="20"/>
        <v>Р2 · Демонтажные работы</v>
      </c>
    </row>
    <row r="135" spans="1:26" x14ac:dyDescent="0.3">
      <c r="A135" t="s">
        <v>336</v>
      </c>
      <c r="B135" t="s">
        <v>134</v>
      </c>
      <c r="C135" t="s">
        <v>330</v>
      </c>
      <c r="D135" s="4" t="s">
        <v>337</v>
      </c>
      <c r="E135" t="s">
        <v>114</v>
      </c>
      <c r="F135" s="5">
        <v>2612.5</v>
      </c>
      <c r="H135">
        <v>0</v>
      </c>
      <c r="I135" t="s">
        <v>53</v>
      </c>
      <c r="L135" s="6"/>
      <c r="M135" s="6"/>
      <c r="N135" s="6"/>
      <c r="O135" s="5"/>
      <c r="P135" s="7" t="str">
        <f t="shared" si="14"/>
        <v/>
      </c>
      <c r="Q135" s="7" t="str">
        <f t="shared" si="15"/>
        <v/>
      </c>
      <c r="R135" s="7" t="str">
        <f t="shared" si="16"/>
        <v/>
      </c>
      <c r="S135" s="7">
        <f>IF($A135="","",IF(AND(LEFT($G135,3)="ДОК",$N135&lt;&gt;""),IFERROR(INDEX(Документация!$E$2:$E$57,MATCH($N135,Документация!$F$2:$F$57,0)),0),N($F135))*(1-MEDIAN(0,N(ДисконтТендер),1)))</f>
        <v>2612.5</v>
      </c>
      <c r="T135" s="7">
        <f>IF($A135="","",IF(AND(LEFT($G135,3)="ДОК",$N135&lt;&gt;""),0,IF(AND(LEFT($G135,3)&lt;&gt;"ДОК",$N135&lt;&gt;""),IFERROR(INDEX(МАТЕРИАЛЫ!$H$2:$H$9000,MATCH($N135,МАТЕРИАЛЫ!$L$2:$L$9000,0))*IF(INDEX(МАТЕРИАЛЫ!$I$2:$I$9000,MATCH($N135,МАТЕРИАЛЫ!$L$2:$L$9000,0))="USD",КурсUSD,IF(INDEX(МАТЕРИАЛЫ!$I$2:$I$9000,MATCH($N135,МАТЕРИАЛЫ!$L$2:$L$9000,0))="EUR",КурсEUR,IF(INDEX(МАТЕРИАЛЫ!$I$2:$I$9000,MATCH($N135,МАТЕРИАЛЫ!$L$2:$L$9000,0))="CNY",КурсCNY,1)))*(1+N($H135)/100),0),N($O135))*(1-MEDIAN(0,N(ДисконтТендер),1))))</f>
        <v>0</v>
      </c>
      <c r="U135" t="str">
        <f>IF($L135="да",MAX($U$1:$U134)+1,"")</f>
        <v/>
      </c>
      <c r="V135" t="str">
        <f t="shared" si="17"/>
        <v>Р2</v>
      </c>
      <c r="W135" t="str">
        <f t="shared" si="18"/>
        <v/>
      </c>
      <c r="X135" t="str">
        <f t="shared" si="19"/>
        <v/>
      </c>
      <c r="Y135" s="4" t="str">
        <f>IF($A135="","",IF(AND(LEFT($G135,3)="ДОК",$N135&lt;&gt;""),IFERROR(INDEX(Документация!$G$2:$G$57,MATCH($N135,Документация!$F$2:$F$57,0)),$D135),$D135&amp;IF(AND(LEFT($G135,3)&lt;&gt;"ДОК",$N135&lt;&gt;"")," — "&amp;IFERROR(INDEX(МАТЕРИАЛЫ!$C$2:$C$9000,MATCH($N135,МАТЕРИАЛЫ!$L$2:$L$9000,0)),""),"")))</f>
        <v>Демонтаж ванн, душевых кабин.</v>
      </c>
      <c r="Z135" t="str">
        <f t="shared" si="20"/>
        <v>Р2 · Демонтажные работы</v>
      </c>
    </row>
    <row r="136" spans="1:26" ht="28.8" x14ac:dyDescent="0.3">
      <c r="A136" t="s">
        <v>338</v>
      </c>
      <c r="B136" t="s">
        <v>134</v>
      </c>
      <c r="C136" t="s">
        <v>330</v>
      </c>
      <c r="D136" s="4" t="s">
        <v>339</v>
      </c>
      <c r="E136" t="s">
        <v>114</v>
      </c>
      <c r="F136" s="5">
        <v>1212.71</v>
      </c>
      <c r="H136">
        <v>0</v>
      </c>
      <c r="I136" t="s">
        <v>53</v>
      </c>
      <c r="L136" s="6"/>
      <c r="M136" s="6"/>
      <c r="N136" s="6"/>
      <c r="O136" s="5"/>
      <c r="P136" s="7" t="str">
        <f t="shared" si="14"/>
        <v/>
      </c>
      <c r="Q136" s="7" t="str">
        <f t="shared" si="15"/>
        <v/>
      </c>
      <c r="R136" s="7" t="str">
        <f t="shared" si="16"/>
        <v/>
      </c>
      <c r="S136" s="7">
        <f>IF($A136="","",IF(AND(LEFT($G136,3)="ДОК",$N136&lt;&gt;""),IFERROR(INDEX(Документация!$E$2:$E$57,MATCH($N136,Документация!$F$2:$F$57,0)),0),N($F136))*(1-MEDIAN(0,N(ДисконтТендер),1)))</f>
        <v>1212.71</v>
      </c>
      <c r="T136" s="7">
        <f>IF($A136="","",IF(AND(LEFT($G136,3)="ДОК",$N136&lt;&gt;""),0,IF(AND(LEFT($G136,3)&lt;&gt;"ДОК",$N136&lt;&gt;""),IFERROR(INDEX(МАТЕРИАЛЫ!$H$2:$H$9000,MATCH($N136,МАТЕРИАЛЫ!$L$2:$L$9000,0))*IF(INDEX(МАТЕРИАЛЫ!$I$2:$I$9000,MATCH($N136,МАТЕРИАЛЫ!$L$2:$L$9000,0))="USD",КурсUSD,IF(INDEX(МАТЕРИАЛЫ!$I$2:$I$9000,MATCH($N136,МАТЕРИАЛЫ!$L$2:$L$9000,0))="EUR",КурсEUR,IF(INDEX(МАТЕРИАЛЫ!$I$2:$I$9000,MATCH($N136,МАТЕРИАЛЫ!$L$2:$L$9000,0))="CNY",КурсCNY,1)))*(1+N($H136)/100),0),N($O136))*(1-MEDIAN(0,N(ДисконтТендер),1))))</f>
        <v>0</v>
      </c>
      <c r="U136" t="str">
        <f>IF($L136="да",MAX($U$1:$U135)+1,"")</f>
        <v/>
      </c>
      <c r="V136" t="str">
        <f t="shared" si="17"/>
        <v>Р2</v>
      </c>
      <c r="W136" t="str">
        <f t="shared" si="18"/>
        <v/>
      </c>
      <c r="X136" t="str">
        <f t="shared" si="19"/>
        <v/>
      </c>
      <c r="Y136" s="4" t="str">
        <f>IF($A136="","",IF(AND(LEFT($G136,3)="ДОК",$N136&lt;&gt;""),IFERROR(INDEX(Документация!$G$2:$G$57,MATCH($N136,Документация!$F$2:$F$57,0)),$D136),$D136&amp;IF(AND(LEFT($G136,3)&lt;&gt;"ДОК",$N136&lt;&gt;"")," — "&amp;IFERROR(INDEX(МАТЕРИАЛЫ!$C$2:$C$9000,MATCH($N136,МАТЕРИАЛЫ!$L$2:$L$9000,0)),""),"")))</f>
        <v>Демонтаж радиаторов отопления с запорной арматурой</v>
      </c>
      <c r="Z136" t="str">
        <f t="shared" si="20"/>
        <v>Р2 · Демонтажные работы</v>
      </c>
    </row>
    <row r="137" spans="1:26" x14ac:dyDescent="0.3">
      <c r="A137" t="s">
        <v>340</v>
      </c>
      <c r="B137" t="s">
        <v>134</v>
      </c>
      <c r="C137" t="s">
        <v>330</v>
      </c>
      <c r="D137" s="4" t="s">
        <v>341</v>
      </c>
      <c r="E137" t="s">
        <v>153</v>
      </c>
      <c r="F137" s="5">
        <v>128.15</v>
      </c>
      <c r="H137">
        <v>0</v>
      </c>
      <c r="I137" t="s">
        <v>53</v>
      </c>
      <c r="L137" s="6"/>
      <c r="M137" s="6"/>
      <c r="N137" s="6"/>
      <c r="O137" s="5"/>
      <c r="P137" s="7" t="str">
        <f t="shared" si="14"/>
        <v/>
      </c>
      <c r="Q137" s="7" t="str">
        <f t="shared" si="15"/>
        <v/>
      </c>
      <c r="R137" s="7" t="str">
        <f t="shared" si="16"/>
        <v/>
      </c>
      <c r="S137" s="7">
        <f>IF($A137="","",IF(AND(LEFT($G137,3)="ДОК",$N137&lt;&gt;""),IFERROR(INDEX(Документация!$E$2:$E$57,MATCH($N137,Документация!$F$2:$F$57,0)),0),N($F137))*(1-MEDIAN(0,N(ДисконтТендер),1)))</f>
        <v>128.15</v>
      </c>
      <c r="T137" s="7">
        <f>IF($A137="","",IF(AND(LEFT($G137,3)="ДОК",$N137&lt;&gt;""),0,IF(AND(LEFT($G137,3)&lt;&gt;"ДОК",$N137&lt;&gt;""),IFERROR(INDEX(МАТЕРИАЛЫ!$H$2:$H$9000,MATCH($N137,МАТЕРИАЛЫ!$L$2:$L$9000,0))*IF(INDEX(МАТЕРИАЛЫ!$I$2:$I$9000,MATCH($N137,МАТЕРИАЛЫ!$L$2:$L$9000,0))="USD",КурсUSD,IF(INDEX(МАТЕРИАЛЫ!$I$2:$I$9000,MATCH($N137,МАТЕРИАЛЫ!$L$2:$L$9000,0))="EUR",КурсEUR,IF(INDEX(МАТЕРИАЛЫ!$I$2:$I$9000,MATCH($N137,МАТЕРИАЛЫ!$L$2:$L$9000,0))="CNY",КурсCNY,1)))*(1+N($H137)/100),0),N($O137))*(1-MEDIAN(0,N(ДисконтТендер),1))))</f>
        <v>0</v>
      </c>
      <c r="U137" t="str">
        <f>IF($L137="да",MAX($U$1:$U136)+1,"")</f>
        <v/>
      </c>
      <c r="V137" t="str">
        <f t="shared" si="17"/>
        <v>Р2</v>
      </c>
      <c r="W137" t="str">
        <f t="shared" si="18"/>
        <v/>
      </c>
      <c r="X137" t="str">
        <f t="shared" si="19"/>
        <v/>
      </c>
      <c r="Y137" s="4" t="str">
        <f>IF($A137="","",IF(AND(LEFT($G137,3)="ДОК",$N137&lt;&gt;""),IFERROR(INDEX(Документация!$G$2:$G$57,MATCH($N137,Документация!$F$2:$F$57,0)),$D137),$D137&amp;IF(AND(LEFT($G137,3)&lt;&gt;"ДОК",$N137&lt;&gt;"")," — "&amp;IFERROR(INDEX(МАТЕРИАЛЫ!$C$2:$C$9000,MATCH($N137,МАТЕРИАЛЫ!$L$2:$L$9000,0)),""),"")))</f>
        <v>Демонтаж труб системы отопления</v>
      </c>
      <c r="Z137" t="str">
        <f t="shared" si="20"/>
        <v>Р2 · Демонтажные работы</v>
      </c>
    </row>
    <row r="138" spans="1:26" ht="28.8" x14ac:dyDescent="0.3">
      <c r="A138" t="s">
        <v>342</v>
      </c>
      <c r="B138" t="s">
        <v>134</v>
      </c>
      <c r="C138" t="s">
        <v>330</v>
      </c>
      <c r="D138" s="4" t="s">
        <v>343</v>
      </c>
      <c r="E138" t="s">
        <v>153</v>
      </c>
      <c r="F138" s="5">
        <v>178.94</v>
      </c>
      <c r="H138">
        <v>0</v>
      </c>
      <c r="I138" t="s">
        <v>53</v>
      </c>
      <c r="L138" s="6"/>
      <c r="M138" s="6"/>
      <c r="N138" s="6"/>
      <c r="O138" s="5"/>
      <c r="P138" s="7" t="str">
        <f t="shared" si="14"/>
        <v/>
      </c>
      <c r="Q138" s="7" t="str">
        <f t="shared" si="15"/>
        <v/>
      </c>
      <c r="R138" s="7" t="str">
        <f t="shared" si="16"/>
        <v/>
      </c>
      <c r="S138" s="7">
        <f>IF($A138="","",IF(AND(LEFT($G138,3)="ДОК",$N138&lt;&gt;""),IFERROR(INDEX(Документация!$E$2:$E$57,MATCH($N138,Документация!$F$2:$F$57,0)),0),N($F138))*(1-MEDIAN(0,N(ДисконтТендер),1)))</f>
        <v>178.94</v>
      </c>
      <c r="T138" s="7">
        <f>IF($A138="","",IF(AND(LEFT($G138,3)="ДОК",$N138&lt;&gt;""),0,IF(AND(LEFT($G138,3)&lt;&gt;"ДОК",$N138&lt;&gt;""),IFERROR(INDEX(МАТЕРИАЛЫ!$H$2:$H$9000,MATCH($N138,МАТЕРИАЛЫ!$L$2:$L$9000,0))*IF(INDEX(МАТЕРИАЛЫ!$I$2:$I$9000,MATCH($N138,МАТЕРИАЛЫ!$L$2:$L$9000,0))="USD",КурсUSD,IF(INDEX(МАТЕРИАЛЫ!$I$2:$I$9000,MATCH($N138,МАТЕРИАЛЫ!$L$2:$L$9000,0))="EUR",КурсEUR,IF(INDEX(МАТЕРИАЛЫ!$I$2:$I$9000,MATCH($N138,МАТЕРИАЛЫ!$L$2:$L$9000,0))="CNY",КурсCNY,1)))*(1+N($H138)/100),0),N($O138))*(1-MEDIAN(0,N(ДисконтТендер),1))))</f>
        <v>0</v>
      </c>
      <c r="U138" t="str">
        <f>IF($L138="да",MAX($U$1:$U137)+1,"")</f>
        <v/>
      </c>
      <c r="V138" t="str">
        <f t="shared" si="17"/>
        <v>Р2</v>
      </c>
      <c r="W138" t="str">
        <f t="shared" si="18"/>
        <v/>
      </c>
      <c r="X138" t="str">
        <f t="shared" si="19"/>
        <v/>
      </c>
      <c r="Y138" s="4" t="str">
        <f>IF($A138="","",IF(AND(LEFT($G138,3)="ДОК",$N138&lt;&gt;""),IFERROR(INDEX(Документация!$G$2:$G$57,MATCH($N138,Документация!$F$2:$F$57,0)),$D138),$D138&amp;IF(AND(LEFT($G138,3)&lt;&gt;"ДОК",$N138&lt;&gt;"")," — "&amp;IFERROR(INDEX(МАТЕРИАЛЫ!$C$2:$C$9000,MATCH($N138,МАТЕРИАЛЫ!$L$2:$L$9000,0)),""),"")))</f>
        <v>Демонтаж труб водоснабжения и канализации диаметром до 50 мм</v>
      </c>
      <c r="Z138" t="str">
        <f t="shared" si="20"/>
        <v>Р2 · Демонтажные работы</v>
      </c>
    </row>
    <row r="139" spans="1:26" ht="28.8" x14ac:dyDescent="0.3">
      <c r="A139" t="s">
        <v>344</v>
      </c>
      <c r="B139" t="s">
        <v>134</v>
      </c>
      <c r="C139" t="s">
        <v>330</v>
      </c>
      <c r="D139" s="4" t="s">
        <v>345</v>
      </c>
      <c r="E139" t="s">
        <v>153</v>
      </c>
      <c r="F139" s="5">
        <v>183.45</v>
      </c>
      <c r="H139">
        <v>0</v>
      </c>
      <c r="I139" t="s">
        <v>53</v>
      </c>
      <c r="L139" s="6"/>
      <c r="M139" s="6"/>
      <c r="N139" s="6"/>
      <c r="O139" s="5"/>
      <c r="P139" s="7" t="str">
        <f t="shared" si="14"/>
        <v/>
      </c>
      <c r="Q139" s="7" t="str">
        <f t="shared" si="15"/>
        <v/>
      </c>
      <c r="R139" s="7" t="str">
        <f t="shared" si="16"/>
        <v/>
      </c>
      <c r="S139" s="7">
        <f>IF($A139="","",IF(AND(LEFT($G139,3)="ДОК",$N139&lt;&gt;""),IFERROR(INDEX(Документация!$E$2:$E$57,MATCH($N139,Документация!$F$2:$F$57,0)),0),N($F139))*(1-MEDIAN(0,N(ДисконтТендер),1)))</f>
        <v>183.45</v>
      </c>
      <c r="T139" s="7">
        <f>IF($A139="","",IF(AND(LEFT($G139,3)="ДОК",$N139&lt;&gt;""),0,IF(AND(LEFT($G139,3)&lt;&gt;"ДОК",$N139&lt;&gt;""),IFERROR(INDEX(МАТЕРИАЛЫ!$H$2:$H$9000,MATCH($N139,МАТЕРИАЛЫ!$L$2:$L$9000,0))*IF(INDEX(МАТЕРИАЛЫ!$I$2:$I$9000,MATCH($N139,МАТЕРИАЛЫ!$L$2:$L$9000,0))="USD",КурсUSD,IF(INDEX(МАТЕРИАЛЫ!$I$2:$I$9000,MATCH($N139,МАТЕРИАЛЫ!$L$2:$L$9000,0))="EUR",КурсEUR,IF(INDEX(МАТЕРИАЛЫ!$I$2:$I$9000,MATCH($N139,МАТЕРИАЛЫ!$L$2:$L$9000,0))="CNY",КурсCNY,1)))*(1+N($H139)/100),0),N($O139))*(1-MEDIAN(0,N(ДисконтТендер),1))))</f>
        <v>0</v>
      </c>
      <c r="U139" t="str">
        <f>IF($L139="да",MAX($U$1:$U138)+1,"")</f>
        <v/>
      </c>
      <c r="V139" t="str">
        <f t="shared" si="17"/>
        <v>Р2</v>
      </c>
      <c r="W139" t="str">
        <f t="shared" si="18"/>
        <v/>
      </c>
      <c r="X139" t="str">
        <f t="shared" si="19"/>
        <v/>
      </c>
      <c r="Y139" s="4" t="str">
        <f>IF($A139="","",IF(AND(LEFT($G139,3)="ДОК",$N139&lt;&gt;""),IFERROR(INDEX(Документация!$G$2:$G$57,MATCH($N139,Документация!$F$2:$F$57,0)),$D139),$D139&amp;IF(AND(LEFT($G139,3)&lt;&gt;"ДОК",$N139&lt;&gt;"")," — "&amp;IFERROR(INDEX(МАТЕРИАЛЫ!$C$2:$C$9000,MATCH($N139,МАТЕРИАЛЫ!$L$2:$L$9000,0)),""),"")))</f>
        <v>Демонтаж труб канализации и водоснабжения диаметром до 110 мм</v>
      </c>
      <c r="Z139" t="str">
        <f t="shared" si="20"/>
        <v>Р2 · Демонтажные работы</v>
      </c>
    </row>
    <row r="140" spans="1:26" x14ac:dyDescent="0.3">
      <c r="A140" t="s">
        <v>346</v>
      </c>
      <c r="B140" t="s">
        <v>134</v>
      </c>
      <c r="C140" t="s">
        <v>330</v>
      </c>
      <c r="D140" s="4" t="s">
        <v>347</v>
      </c>
      <c r="E140" t="s">
        <v>114</v>
      </c>
      <c r="F140" s="5">
        <v>720.26</v>
      </c>
      <c r="H140">
        <v>0</v>
      </c>
      <c r="I140" t="s">
        <v>53</v>
      </c>
      <c r="L140" s="6"/>
      <c r="M140" s="6"/>
      <c r="N140" s="6"/>
      <c r="O140" s="5"/>
      <c r="P140" s="7" t="str">
        <f t="shared" si="14"/>
        <v/>
      </c>
      <c r="Q140" s="7" t="str">
        <f t="shared" si="15"/>
        <v/>
      </c>
      <c r="R140" s="7" t="str">
        <f t="shared" si="16"/>
        <v/>
      </c>
      <c r="S140" s="7">
        <f>IF($A140="","",IF(AND(LEFT($G140,3)="ДОК",$N140&lt;&gt;""),IFERROR(INDEX(Документация!$E$2:$E$57,MATCH($N140,Документация!$F$2:$F$57,0)),0),N($F140))*(1-MEDIAN(0,N(ДисконтТендер),1)))</f>
        <v>720.26</v>
      </c>
      <c r="T140" s="7">
        <f>IF($A140="","",IF(AND(LEFT($G140,3)="ДОК",$N140&lt;&gt;""),0,IF(AND(LEFT($G140,3)&lt;&gt;"ДОК",$N140&lt;&gt;""),IFERROR(INDEX(МАТЕРИАЛЫ!$H$2:$H$9000,MATCH($N140,МАТЕРИАЛЫ!$L$2:$L$9000,0))*IF(INDEX(МАТЕРИАЛЫ!$I$2:$I$9000,MATCH($N140,МАТЕРИАЛЫ!$L$2:$L$9000,0))="USD",КурсUSD,IF(INDEX(МАТЕРИАЛЫ!$I$2:$I$9000,MATCH($N140,МАТЕРИАЛЫ!$L$2:$L$9000,0))="EUR",КурсEUR,IF(INDEX(МАТЕРИАЛЫ!$I$2:$I$9000,MATCH($N140,МАТЕРИАЛЫ!$L$2:$L$9000,0))="CNY",КурсCNY,1)))*(1+N($H140)/100),0),N($O140))*(1-MEDIAN(0,N(ДисконтТендер),1))))</f>
        <v>0</v>
      </c>
      <c r="U140" t="str">
        <f>IF($L140="да",MAX($U$1:$U139)+1,"")</f>
        <v/>
      </c>
      <c r="V140" t="str">
        <f t="shared" si="17"/>
        <v>Р2</v>
      </c>
      <c r="W140" t="str">
        <f t="shared" si="18"/>
        <v/>
      </c>
      <c r="X140" t="str">
        <f t="shared" si="19"/>
        <v/>
      </c>
      <c r="Y140" s="4" t="str">
        <f>IF($A140="","",IF(AND(LEFT($G140,3)="ДОК",$N140&lt;&gt;""),IFERROR(INDEX(Документация!$G$2:$G$57,MATCH($N140,Документация!$F$2:$F$57,0)),$D140),$D140&amp;IF(AND(LEFT($G140,3)&lt;&gt;"ДОК",$N140&lt;&gt;"")," — "&amp;IFERROR(INDEX(МАТЕРИАЛЫ!$C$2:$C$9000,MATCH($N140,МАТЕРИАЛЫ!$L$2:$L$9000,0)),""),"")))</f>
        <v>Демонтаж запорной арматуры белее 50 мм</v>
      </c>
      <c r="Z140" t="str">
        <f t="shared" si="20"/>
        <v>Р2 · Демонтажные работы</v>
      </c>
    </row>
    <row r="141" spans="1:26" ht="28.8" x14ac:dyDescent="0.3">
      <c r="A141" t="s">
        <v>348</v>
      </c>
      <c r="B141" t="s">
        <v>134</v>
      </c>
      <c r="C141" t="s">
        <v>330</v>
      </c>
      <c r="D141" s="4" t="s">
        <v>349</v>
      </c>
      <c r="E141" t="s">
        <v>114</v>
      </c>
      <c r="F141" s="5">
        <v>313.5</v>
      </c>
      <c r="H141">
        <v>0</v>
      </c>
      <c r="I141" t="s">
        <v>53</v>
      </c>
      <c r="L141" s="6"/>
      <c r="M141" s="6"/>
      <c r="N141" s="6"/>
      <c r="O141" s="5"/>
      <c r="P141" s="7" t="str">
        <f t="shared" si="14"/>
        <v/>
      </c>
      <c r="Q141" s="7" t="str">
        <f t="shared" si="15"/>
        <v/>
      </c>
      <c r="R141" s="7" t="str">
        <f t="shared" si="16"/>
        <v/>
      </c>
      <c r="S141" s="7">
        <f>IF($A141="","",IF(AND(LEFT($G141,3)="ДОК",$N141&lt;&gt;""),IFERROR(INDEX(Документация!$E$2:$E$57,MATCH($N141,Документация!$F$2:$F$57,0)),0),N($F141))*(1-MEDIAN(0,N(ДисконтТендер),1)))</f>
        <v>313.5</v>
      </c>
      <c r="T141" s="7">
        <f>IF($A141="","",IF(AND(LEFT($G141,3)="ДОК",$N141&lt;&gt;""),0,IF(AND(LEFT($G141,3)&lt;&gt;"ДОК",$N141&lt;&gt;""),IFERROR(INDEX(МАТЕРИАЛЫ!$H$2:$H$9000,MATCH($N141,МАТЕРИАЛЫ!$L$2:$L$9000,0))*IF(INDEX(МАТЕРИАЛЫ!$I$2:$I$9000,MATCH($N141,МАТЕРИАЛЫ!$L$2:$L$9000,0))="USD",КурсUSD,IF(INDEX(МАТЕРИАЛЫ!$I$2:$I$9000,MATCH($N141,МАТЕРИАЛЫ!$L$2:$L$9000,0))="EUR",КурсEUR,IF(INDEX(МАТЕРИАЛЫ!$I$2:$I$9000,MATCH($N141,МАТЕРИАЛЫ!$L$2:$L$9000,0))="CNY",КурсCNY,1)))*(1+N($H141)/100),0),N($O141))*(1-MEDIAN(0,N(ДисконтТендер),1))))</f>
        <v>0</v>
      </c>
      <c r="U141" t="str">
        <f>IF($L141="да",MAX($U$1:$U140)+1,"")</f>
        <v/>
      </c>
      <c r="V141" t="str">
        <f t="shared" si="17"/>
        <v>Р2</v>
      </c>
      <c r="W141" t="str">
        <f t="shared" si="18"/>
        <v/>
      </c>
      <c r="X141" t="str">
        <f t="shared" si="19"/>
        <v/>
      </c>
      <c r="Y141" s="4" t="str">
        <f>IF($A141="","",IF(AND(LEFT($G141,3)="ДОК",$N141&lt;&gt;""),IFERROR(INDEX(Документация!$G$2:$G$57,MATCH($N141,Документация!$F$2:$F$57,0)),$D141),$D141&amp;IF(AND(LEFT($G141,3)&lt;&gt;"ДОК",$N141&lt;&gt;"")," — "&amp;IFERROR(INDEX(МАТЕРИАЛЫ!$C$2:$C$9000,MATCH($N141,МАТЕРИАЛЫ!$L$2:$L$9000,0)),""),"")))</f>
        <v>Демонтаж запорной арматуры диаметром до 50 мм</v>
      </c>
      <c r="Z141" t="str">
        <f t="shared" si="20"/>
        <v>Р2 · Демонтажные работы</v>
      </c>
    </row>
    <row r="142" spans="1:26" x14ac:dyDescent="0.3">
      <c r="A142" t="s">
        <v>350</v>
      </c>
      <c r="B142" t="s">
        <v>134</v>
      </c>
      <c r="C142" t="s">
        <v>330</v>
      </c>
      <c r="D142" s="4" t="s">
        <v>351</v>
      </c>
      <c r="E142" t="s">
        <v>114</v>
      </c>
      <c r="F142" s="5">
        <v>1492.92</v>
      </c>
      <c r="H142">
        <v>0</v>
      </c>
      <c r="I142" t="s">
        <v>53</v>
      </c>
      <c r="L142" s="6"/>
      <c r="M142" s="6"/>
      <c r="N142" s="6"/>
      <c r="O142" s="5"/>
      <c r="P142" s="7" t="str">
        <f t="shared" si="14"/>
        <v/>
      </c>
      <c r="Q142" s="7" t="str">
        <f t="shared" si="15"/>
        <v/>
      </c>
      <c r="R142" s="7" t="str">
        <f t="shared" si="16"/>
        <v/>
      </c>
      <c r="S142" s="7">
        <f>IF($A142="","",IF(AND(LEFT($G142,3)="ДОК",$N142&lt;&gt;""),IFERROR(INDEX(Документация!$E$2:$E$57,MATCH($N142,Документация!$F$2:$F$57,0)),0),N($F142))*(1-MEDIAN(0,N(ДисконтТендер),1)))</f>
        <v>1492.92</v>
      </c>
      <c r="T142" s="7">
        <f>IF($A142="","",IF(AND(LEFT($G142,3)="ДОК",$N142&lt;&gt;""),0,IF(AND(LEFT($G142,3)&lt;&gt;"ДОК",$N142&lt;&gt;""),IFERROR(INDEX(МАТЕРИАЛЫ!$H$2:$H$9000,MATCH($N142,МАТЕРИАЛЫ!$L$2:$L$9000,0))*IF(INDEX(МАТЕРИАЛЫ!$I$2:$I$9000,MATCH($N142,МАТЕРИАЛЫ!$L$2:$L$9000,0))="USD",КурсUSD,IF(INDEX(МАТЕРИАЛЫ!$I$2:$I$9000,MATCH($N142,МАТЕРИАЛЫ!$L$2:$L$9000,0))="EUR",КурсEUR,IF(INDEX(МАТЕРИАЛЫ!$I$2:$I$9000,MATCH($N142,МАТЕРИАЛЫ!$L$2:$L$9000,0))="CNY",КурсCNY,1)))*(1+N($H142)/100),0),N($O142))*(1-MEDIAN(0,N(ДисконтТендер),1))))</f>
        <v>0</v>
      </c>
      <c r="U142" t="str">
        <f>IF($L142="да",MAX($U$1:$U141)+1,"")</f>
        <v/>
      </c>
      <c r="V142" t="str">
        <f t="shared" si="17"/>
        <v>Р2</v>
      </c>
      <c r="W142" t="str">
        <f t="shared" si="18"/>
        <v/>
      </c>
      <c r="X142" t="str">
        <f t="shared" si="19"/>
        <v/>
      </c>
      <c r="Y142" s="4" t="str">
        <f>IF($A142="","",IF(AND(LEFT($G142,3)="ДОК",$N142&lt;&gt;""),IFERROR(INDEX(Документация!$G$2:$G$57,MATCH($N142,Документация!$F$2:$F$57,0)),$D142),$D142&amp;IF(AND(LEFT($G142,3)&lt;&gt;"ДОК",$N142&lt;&gt;"")," — "&amp;IFERROR(INDEX(МАТЕРИАЛЫ!$C$2:$C$9000,MATCH($N142,МАТЕРИАЛЫ!$L$2:$L$9000,0)),""),"")))</f>
        <v>Демонтаж циркуляционных насосов</v>
      </c>
      <c r="Z142" t="str">
        <f t="shared" si="20"/>
        <v>Р2 · Демонтажные работы</v>
      </c>
    </row>
    <row r="143" spans="1:26" x14ac:dyDescent="0.3">
      <c r="A143" t="s">
        <v>352</v>
      </c>
      <c r="B143" t="s">
        <v>134</v>
      </c>
      <c r="C143" t="s">
        <v>330</v>
      </c>
      <c r="D143" s="4" t="s">
        <v>353</v>
      </c>
      <c r="E143" t="s">
        <v>114</v>
      </c>
      <c r="F143" s="5">
        <v>463.67</v>
      </c>
      <c r="H143">
        <v>0</v>
      </c>
      <c r="I143" t="s">
        <v>53</v>
      </c>
      <c r="L143" s="6"/>
      <c r="M143" s="6"/>
      <c r="N143" s="6"/>
      <c r="O143" s="5"/>
      <c r="P143" s="7" t="str">
        <f t="shared" si="14"/>
        <v/>
      </c>
      <c r="Q143" s="7" t="str">
        <f t="shared" si="15"/>
        <v/>
      </c>
      <c r="R143" s="7" t="str">
        <f t="shared" si="16"/>
        <v/>
      </c>
      <c r="S143" s="7">
        <f>IF($A143="","",IF(AND(LEFT($G143,3)="ДОК",$N143&lt;&gt;""),IFERROR(INDEX(Документация!$E$2:$E$57,MATCH($N143,Документация!$F$2:$F$57,0)),0),N($F143))*(1-MEDIAN(0,N(ДисконтТендер),1)))</f>
        <v>463.67</v>
      </c>
      <c r="T143" s="7">
        <f>IF($A143="","",IF(AND(LEFT($G143,3)="ДОК",$N143&lt;&gt;""),0,IF(AND(LEFT($G143,3)&lt;&gt;"ДОК",$N143&lt;&gt;""),IFERROR(INDEX(МАТЕРИАЛЫ!$H$2:$H$9000,MATCH($N143,МАТЕРИАЛЫ!$L$2:$L$9000,0))*IF(INDEX(МАТЕРИАЛЫ!$I$2:$I$9000,MATCH($N143,МАТЕРИАЛЫ!$L$2:$L$9000,0))="USD",КурсUSD,IF(INDEX(МАТЕРИАЛЫ!$I$2:$I$9000,MATCH($N143,МАТЕРИАЛЫ!$L$2:$L$9000,0))="EUR",КурсEUR,IF(INDEX(МАТЕРИАЛЫ!$I$2:$I$9000,MATCH($N143,МАТЕРИАЛЫ!$L$2:$L$9000,0))="CNY",КурсCNY,1)))*(1+N($H143)/100),0),N($O143))*(1-MEDIAN(0,N(ДисконтТендер),1))))</f>
        <v>0</v>
      </c>
      <c r="U143" t="str">
        <f>IF($L143="да",MAX($U$1:$U142)+1,"")</f>
        <v/>
      </c>
      <c r="V143" t="str">
        <f t="shared" si="17"/>
        <v>Р2</v>
      </c>
      <c r="W143" t="str">
        <f t="shared" si="18"/>
        <v/>
      </c>
      <c r="X143" t="str">
        <f t="shared" si="19"/>
        <v/>
      </c>
      <c r="Y143" s="4" t="str">
        <f>IF($A143="","",IF(AND(LEFT($G143,3)="ДОК",$N143&lt;&gt;""),IFERROR(INDEX(Документация!$G$2:$G$57,MATCH($N143,Документация!$F$2:$F$57,0)),$D143),$D143&amp;IF(AND(LEFT($G143,3)&lt;&gt;"ДОК",$N143&lt;&gt;"")," — "&amp;IFERROR(INDEX(МАТЕРИАЛЫ!$C$2:$C$9000,MATCH($N143,МАТЕРИАЛЫ!$L$2:$L$9000,0)),""),"")))</f>
        <v>Демонтаж регистров отопления</v>
      </c>
      <c r="Z143" t="str">
        <f t="shared" si="20"/>
        <v>Р2 · Демонтажные работы</v>
      </c>
    </row>
    <row r="144" spans="1:26" x14ac:dyDescent="0.3">
      <c r="A144" t="s">
        <v>354</v>
      </c>
      <c r="B144" t="s">
        <v>134</v>
      </c>
      <c r="C144" t="s">
        <v>330</v>
      </c>
      <c r="D144" s="4" t="s">
        <v>355</v>
      </c>
      <c r="E144" t="s">
        <v>114</v>
      </c>
      <c r="F144" s="5">
        <v>2592.6</v>
      </c>
      <c r="H144">
        <v>0</v>
      </c>
      <c r="I144" t="s">
        <v>53</v>
      </c>
      <c r="L144" s="6"/>
      <c r="M144" s="6"/>
      <c r="N144" s="6"/>
      <c r="O144" s="5"/>
      <c r="P144" s="7" t="str">
        <f t="shared" si="14"/>
        <v/>
      </c>
      <c r="Q144" s="7" t="str">
        <f t="shared" si="15"/>
        <v/>
      </c>
      <c r="R144" s="7" t="str">
        <f t="shared" si="16"/>
        <v/>
      </c>
      <c r="S144" s="7">
        <f>IF($A144="","",IF(AND(LEFT($G144,3)="ДОК",$N144&lt;&gt;""),IFERROR(INDEX(Документация!$E$2:$E$57,MATCH($N144,Документация!$F$2:$F$57,0)),0),N($F144))*(1-MEDIAN(0,N(ДисконтТендер),1)))</f>
        <v>2592.6</v>
      </c>
      <c r="T144" s="7">
        <f>IF($A144="","",IF(AND(LEFT($G144,3)="ДОК",$N144&lt;&gt;""),0,IF(AND(LEFT($G144,3)&lt;&gt;"ДОК",$N144&lt;&gt;""),IFERROR(INDEX(МАТЕРИАЛЫ!$H$2:$H$9000,MATCH($N144,МАТЕРИАЛЫ!$L$2:$L$9000,0))*IF(INDEX(МАТЕРИАЛЫ!$I$2:$I$9000,MATCH($N144,МАТЕРИАЛЫ!$L$2:$L$9000,0))="USD",КурсUSD,IF(INDEX(МАТЕРИАЛЫ!$I$2:$I$9000,MATCH($N144,МАТЕРИАЛЫ!$L$2:$L$9000,0))="EUR",КурсEUR,IF(INDEX(МАТЕРИАЛЫ!$I$2:$I$9000,MATCH($N144,МАТЕРИАЛЫ!$L$2:$L$9000,0))="CNY",КурсCNY,1)))*(1+N($H144)/100),0),N($O144))*(1-MEDIAN(0,N(ДисконтТендер),1))))</f>
        <v>0</v>
      </c>
      <c r="U144" t="str">
        <f>IF($L144="да",MAX($U$1:$U143)+1,"")</f>
        <v/>
      </c>
      <c r="V144" t="str">
        <f t="shared" si="17"/>
        <v>Р2</v>
      </c>
      <c r="W144" t="str">
        <f t="shared" si="18"/>
        <v/>
      </c>
      <c r="X144" t="str">
        <f t="shared" si="19"/>
        <v/>
      </c>
      <c r="Y144" s="4" t="str">
        <f>IF($A144="","",IF(AND(LEFT($G144,3)="ДОК",$N144&lt;&gt;""),IFERROR(INDEX(Документация!$G$2:$G$57,MATCH($N144,Документация!$F$2:$F$57,0)),$D144),$D144&amp;IF(AND(LEFT($G144,3)&lt;&gt;"ДОК",$N144&lt;&gt;"")," — "&amp;IFERROR(INDEX(МАТЕРИАЛЫ!$C$2:$C$9000,MATCH($N144,МАТЕРИАЛЫ!$L$2:$L$9000,0)),""),"")))</f>
        <v>Демонтаж панельного радиатора</v>
      </c>
      <c r="Z144" t="str">
        <f t="shared" si="20"/>
        <v>Р2 · Демонтажные работы</v>
      </c>
    </row>
    <row r="145" spans="1:26" x14ac:dyDescent="0.3">
      <c r="A145" t="s">
        <v>356</v>
      </c>
      <c r="B145" t="s">
        <v>134</v>
      </c>
      <c r="C145" t="s">
        <v>357</v>
      </c>
      <c r="D145" s="4" t="s">
        <v>358</v>
      </c>
      <c r="E145" t="s">
        <v>114</v>
      </c>
      <c r="F145" s="5">
        <v>13200</v>
      </c>
      <c r="H145">
        <v>0</v>
      </c>
      <c r="I145" t="s">
        <v>53</v>
      </c>
      <c r="L145" s="6"/>
      <c r="M145" s="6"/>
      <c r="N145" s="6"/>
      <c r="O145" s="5"/>
      <c r="P145" s="7" t="str">
        <f t="shared" si="14"/>
        <v/>
      </c>
      <c r="Q145" s="7" t="str">
        <f t="shared" si="15"/>
        <v/>
      </c>
      <c r="R145" s="7" t="str">
        <f t="shared" si="16"/>
        <v/>
      </c>
      <c r="S145" s="7">
        <f>IF($A145="","",IF(AND(LEFT($G145,3)="ДОК",$N145&lt;&gt;""),IFERROR(INDEX(Документация!$E$2:$E$57,MATCH($N145,Документация!$F$2:$F$57,0)),0),N($F145))*(1-MEDIAN(0,N(ДисконтТендер),1)))</f>
        <v>13200</v>
      </c>
      <c r="T145" s="7">
        <f>IF($A145="","",IF(AND(LEFT($G145,3)="ДОК",$N145&lt;&gt;""),0,IF(AND(LEFT($G145,3)&lt;&gt;"ДОК",$N145&lt;&gt;""),IFERROR(INDEX(МАТЕРИАЛЫ!$H$2:$H$9000,MATCH($N145,МАТЕРИАЛЫ!$L$2:$L$9000,0))*IF(INDEX(МАТЕРИАЛЫ!$I$2:$I$9000,MATCH($N145,МАТЕРИАЛЫ!$L$2:$L$9000,0))="USD",КурсUSD,IF(INDEX(МАТЕРИАЛЫ!$I$2:$I$9000,MATCH($N145,МАТЕРИАЛЫ!$L$2:$L$9000,0))="EUR",КурсEUR,IF(INDEX(МАТЕРИАЛЫ!$I$2:$I$9000,MATCH($N145,МАТЕРИАЛЫ!$L$2:$L$9000,0))="CNY",КурсCNY,1)))*(1+N($H145)/100),0),N($O145))*(1-MEDIAN(0,N(ДисконтТендер),1))))</f>
        <v>0</v>
      </c>
      <c r="U145" t="str">
        <f>IF($L145="да",MAX($U$1:$U144)+1,"")</f>
        <v/>
      </c>
      <c r="V145" t="str">
        <f t="shared" si="17"/>
        <v>Р2</v>
      </c>
      <c r="W145" t="str">
        <f t="shared" si="18"/>
        <v/>
      </c>
      <c r="X145" t="str">
        <f t="shared" si="19"/>
        <v/>
      </c>
      <c r="Y145" s="4" t="str">
        <f>IF($A145="","",IF(AND(LEFT($G145,3)="ДОК",$N145&lt;&gt;""),IFERROR(INDEX(Документация!$G$2:$G$57,MATCH($N145,Документация!$F$2:$F$57,0)),$D145),$D145&amp;IF(AND(LEFT($G145,3)&lt;&gt;"ДОК",$N145&lt;&gt;"")," — "&amp;IFERROR(INDEX(МАТЕРИАЛЫ!$C$2:$C$9000,MATCH($N145,МАТЕРИАЛЫ!$L$2:$L$9000,0)),""),"")))</f>
        <v>Вывоз мусора (бункер 5т - 8м3)</v>
      </c>
      <c r="Z145" t="str">
        <f t="shared" si="20"/>
        <v>Р2 · Демонтажные работы</v>
      </c>
    </row>
    <row r="146" spans="1:26" x14ac:dyDescent="0.3">
      <c r="A146" t="s">
        <v>359</v>
      </c>
      <c r="B146" t="s">
        <v>134</v>
      </c>
      <c r="C146" t="s">
        <v>357</v>
      </c>
      <c r="D146" s="4" t="s">
        <v>360</v>
      </c>
      <c r="E146" t="s">
        <v>114</v>
      </c>
      <c r="F146" s="5">
        <v>32447.25</v>
      </c>
      <c r="H146">
        <v>0</v>
      </c>
      <c r="I146" t="s">
        <v>53</v>
      </c>
      <c r="L146" s="6"/>
      <c r="M146" s="6"/>
      <c r="N146" s="6"/>
      <c r="O146" s="5"/>
      <c r="P146" s="7" t="str">
        <f t="shared" si="14"/>
        <v/>
      </c>
      <c r="Q146" s="7" t="str">
        <f t="shared" si="15"/>
        <v/>
      </c>
      <c r="R146" s="7" t="str">
        <f t="shared" si="16"/>
        <v/>
      </c>
      <c r="S146" s="7">
        <f>IF($A146="","",IF(AND(LEFT($G146,3)="ДОК",$N146&lt;&gt;""),IFERROR(INDEX(Документация!$E$2:$E$57,MATCH($N146,Документация!$F$2:$F$57,0)),0),N($F146))*(1-MEDIAN(0,N(ДисконтТендер),1)))</f>
        <v>32447.25</v>
      </c>
      <c r="T146" s="7">
        <f>IF($A146="","",IF(AND(LEFT($G146,3)="ДОК",$N146&lt;&gt;""),0,IF(AND(LEFT($G146,3)&lt;&gt;"ДОК",$N146&lt;&gt;""),IFERROR(INDEX(МАТЕРИАЛЫ!$H$2:$H$9000,MATCH($N146,МАТЕРИАЛЫ!$L$2:$L$9000,0))*IF(INDEX(МАТЕРИАЛЫ!$I$2:$I$9000,MATCH($N146,МАТЕРИАЛЫ!$L$2:$L$9000,0))="USD",КурсUSD,IF(INDEX(МАТЕРИАЛЫ!$I$2:$I$9000,MATCH($N146,МАТЕРИАЛЫ!$L$2:$L$9000,0))="EUR",КурсEUR,IF(INDEX(МАТЕРИАЛЫ!$I$2:$I$9000,MATCH($N146,МАТЕРИАЛЫ!$L$2:$L$9000,0))="CNY",КурсCNY,1)))*(1+N($H146)/100),0),N($O146))*(1-MEDIAN(0,N(ДисконтТендер),1))))</f>
        <v>0</v>
      </c>
      <c r="U146" t="str">
        <f>IF($L146="да",MAX($U$1:$U145)+1,"")</f>
        <v/>
      </c>
      <c r="V146" t="str">
        <f t="shared" si="17"/>
        <v>Р2</v>
      </c>
      <c r="W146" t="str">
        <f t="shared" si="18"/>
        <v/>
      </c>
      <c r="X146" t="str">
        <f t="shared" si="19"/>
        <v/>
      </c>
      <c r="Y146" s="4" t="str">
        <f>IF($A146="","",IF(AND(LEFT($G146,3)="ДОК",$N146&lt;&gt;""),IFERROR(INDEX(Документация!$G$2:$G$57,MATCH($N146,Документация!$F$2:$F$57,0)),$D146),$D146&amp;IF(AND(LEFT($G146,3)&lt;&gt;"ДОК",$N146&lt;&gt;"")," — "&amp;IFERROR(INDEX(МАТЕРИАЛЫ!$C$2:$C$9000,MATCH($N146,МАТЕРИАЛЫ!$L$2:$L$9000,0)),""),"")))</f>
        <v>Вывоз мусора (бункер 27 м3)</v>
      </c>
      <c r="Z146" t="str">
        <f t="shared" si="20"/>
        <v>Р2 · Демонтажные работы</v>
      </c>
    </row>
    <row r="147" spans="1:26" x14ac:dyDescent="0.3">
      <c r="A147" t="s">
        <v>361</v>
      </c>
      <c r="B147" t="s">
        <v>134</v>
      </c>
      <c r="C147" t="s">
        <v>357</v>
      </c>
      <c r="D147" s="4" t="s">
        <v>362</v>
      </c>
      <c r="E147" t="s">
        <v>114</v>
      </c>
      <c r="F147" s="5">
        <v>28842</v>
      </c>
      <c r="H147">
        <v>0</v>
      </c>
      <c r="I147" t="s">
        <v>53</v>
      </c>
      <c r="L147" s="6"/>
      <c r="M147" s="6"/>
      <c r="N147" s="6"/>
      <c r="O147" s="5"/>
      <c r="P147" s="7" t="str">
        <f t="shared" si="14"/>
        <v/>
      </c>
      <c r="Q147" s="7" t="str">
        <f t="shared" si="15"/>
        <v/>
      </c>
      <c r="R147" s="7" t="str">
        <f t="shared" si="16"/>
        <v/>
      </c>
      <c r="S147" s="7">
        <f>IF($A147="","",IF(AND(LEFT($G147,3)="ДОК",$N147&lt;&gt;""),IFERROR(INDEX(Документация!$E$2:$E$57,MATCH($N147,Документация!$F$2:$F$57,0)),0),N($F147))*(1-MEDIAN(0,N(ДисконтТендер),1)))</f>
        <v>28842</v>
      </c>
      <c r="T147" s="7">
        <f>IF($A147="","",IF(AND(LEFT($G147,3)="ДОК",$N147&lt;&gt;""),0,IF(AND(LEFT($G147,3)&lt;&gt;"ДОК",$N147&lt;&gt;""),IFERROR(INDEX(МАТЕРИАЛЫ!$H$2:$H$9000,MATCH($N147,МАТЕРИАЛЫ!$L$2:$L$9000,0))*IF(INDEX(МАТЕРИАЛЫ!$I$2:$I$9000,MATCH($N147,МАТЕРИАЛЫ!$L$2:$L$9000,0))="USD",КурсUSD,IF(INDEX(МАТЕРИАЛЫ!$I$2:$I$9000,MATCH($N147,МАТЕРИАЛЫ!$L$2:$L$9000,0))="EUR",КурсEUR,IF(INDEX(МАТЕРИАЛЫ!$I$2:$I$9000,MATCH($N147,МАТЕРИАЛЫ!$L$2:$L$9000,0))="CNY",КурсCNY,1)))*(1+N($H147)/100),0),N($O147))*(1-MEDIAN(0,N(ДисконтТендер),1))))</f>
        <v>0</v>
      </c>
      <c r="U147" t="str">
        <f>IF($L147="да",MAX($U$1:$U146)+1,"")</f>
        <v/>
      </c>
      <c r="V147" t="str">
        <f t="shared" si="17"/>
        <v>Р2</v>
      </c>
      <c r="W147" t="str">
        <f t="shared" si="18"/>
        <v/>
      </c>
      <c r="X147" t="str">
        <f t="shared" si="19"/>
        <v/>
      </c>
      <c r="Y147" s="4" t="str">
        <f>IF($A147="","",IF(AND(LEFT($G147,3)="ДОК",$N147&lt;&gt;""),IFERROR(INDEX(Документация!$G$2:$G$57,MATCH($N147,Документация!$F$2:$F$57,0)),$D147),$D147&amp;IF(AND(LEFT($G147,3)&lt;&gt;"ДОК",$N147&lt;&gt;"")," — "&amp;IFERROR(INDEX(МАТЕРИАЛЫ!$C$2:$C$9000,MATCH($N147,МАТЕРИАЛЫ!$L$2:$L$9000,0)),""),"")))</f>
        <v>Вывоз мусора (бункер 24 м3)</v>
      </c>
      <c r="Z147" t="str">
        <f t="shared" si="20"/>
        <v>Р2 · Демонтажные работы</v>
      </c>
    </row>
    <row r="148" spans="1:26" x14ac:dyDescent="0.3">
      <c r="A148" t="s">
        <v>363</v>
      </c>
      <c r="B148" t="s">
        <v>134</v>
      </c>
      <c r="C148" t="s">
        <v>357</v>
      </c>
      <c r="D148" s="4" t="s">
        <v>364</v>
      </c>
      <c r="E148" t="s">
        <v>114</v>
      </c>
      <c r="F148" s="5">
        <v>24795</v>
      </c>
      <c r="H148">
        <v>0</v>
      </c>
      <c r="I148" t="s">
        <v>53</v>
      </c>
      <c r="L148" s="6"/>
      <c r="M148" s="6"/>
      <c r="N148" s="6"/>
      <c r="O148" s="5"/>
      <c r="P148" s="7" t="str">
        <f t="shared" si="14"/>
        <v/>
      </c>
      <c r="Q148" s="7" t="str">
        <f t="shared" si="15"/>
        <v/>
      </c>
      <c r="R148" s="7" t="str">
        <f t="shared" si="16"/>
        <v/>
      </c>
      <c r="S148" s="7">
        <f>IF($A148="","",IF(AND(LEFT($G148,3)="ДОК",$N148&lt;&gt;""),IFERROR(INDEX(Документация!$E$2:$E$57,MATCH($N148,Документация!$F$2:$F$57,0)),0),N($F148))*(1-MEDIAN(0,N(ДисконтТендер),1)))</f>
        <v>24795</v>
      </c>
      <c r="T148" s="7">
        <f>IF($A148="","",IF(AND(LEFT($G148,3)="ДОК",$N148&lt;&gt;""),0,IF(AND(LEFT($G148,3)&lt;&gt;"ДОК",$N148&lt;&gt;""),IFERROR(INDEX(МАТЕРИАЛЫ!$H$2:$H$9000,MATCH($N148,МАТЕРИАЛЫ!$L$2:$L$9000,0))*IF(INDEX(МАТЕРИАЛЫ!$I$2:$I$9000,MATCH($N148,МАТЕРИАЛЫ!$L$2:$L$9000,0))="USD",КурсUSD,IF(INDEX(МАТЕРИАЛЫ!$I$2:$I$9000,MATCH($N148,МАТЕРИАЛЫ!$L$2:$L$9000,0))="EUR",КурсEUR,IF(INDEX(МАТЕРИАЛЫ!$I$2:$I$9000,MATCH($N148,МАТЕРИАЛЫ!$L$2:$L$9000,0))="CNY",КурсCNY,1)))*(1+N($H148)/100),0),N($O148))*(1-MEDIAN(0,N(ДисконтТендер),1))))</f>
        <v>0</v>
      </c>
      <c r="U148" t="str">
        <f>IF($L148="да",MAX($U$1:$U147)+1,"")</f>
        <v/>
      </c>
      <c r="V148" t="str">
        <f t="shared" si="17"/>
        <v>Р2</v>
      </c>
      <c r="W148" t="str">
        <f t="shared" si="18"/>
        <v/>
      </c>
      <c r="X148" t="str">
        <f t="shared" si="19"/>
        <v/>
      </c>
      <c r="Y148" s="4" t="str">
        <f>IF($A148="","",IF(AND(LEFT($G148,3)="ДОК",$N148&lt;&gt;""),IFERROR(INDEX(Документация!$G$2:$G$57,MATCH($N148,Документация!$F$2:$F$57,0)),$D148),$D148&amp;IF(AND(LEFT($G148,3)&lt;&gt;"ДОК",$N148&lt;&gt;"")," — "&amp;IFERROR(INDEX(МАТЕРИАЛЫ!$C$2:$C$9000,MATCH($N148,МАТЕРИАЛЫ!$L$2:$L$9000,0)),""),"")))</f>
        <v>Вывоз мусора (бункер 20 м3)</v>
      </c>
      <c r="Z148" t="str">
        <f t="shared" si="20"/>
        <v>Р2 · Демонтажные работы</v>
      </c>
    </row>
    <row r="149" spans="1:26" ht="28.8" x14ac:dyDescent="0.3">
      <c r="A149" t="s">
        <v>365</v>
      </c>
      <c r="B149" t="s">
        <v>134</v>
      </c>
      <c r="C149" t="s">
        <v>357</v>
      </c>
      <c r="D149" s="4" t="s">
        <v>366</v>
      </c>
      <c r="E149" t="s">
        <v>298</v>
      </c>
      <c r="F149" s="5">
        <v>1268.6300000000001</v>
      </c>
      <c r="H149">
        <v>0</v>
      </c>
      <c r="I149" t="s">
        <v>53</v>
      </c>
      <c r="L149" s="6"/>
      <c r="M149" s="6"/>
      <c r="N149" s="6"/>
      <c r="O149" s="5"/>
      <c r="P149" s="7" t="str">
        <f t="shared" si="14"/>
        <v/>
      </c>
      <c r="Q149" s="7" t="str">
        <f t="shared" si="15"/>
        <v/>
      </c>
      <c r="R149" s="7" t="str">
        <f t="shared" si="16"/>
        <v/>
      </c>
      <c r="S149" s="7">
        <f>IF($A149="","",IF(AND(LEFT($G149,3)="ДОК",$N149&lt;&gt;""),IFERROR(INDEX(Документация!$E$2:$E$57,MATCH($N149,Документация!$F$2:$F$57,0)),0),N($F149))*(1-MEDIAN(0,N(ДисконтТендер),1)))</f>
        <v>1268.6300000000001</v>
      </c>
      <c r="T149" s="7">
        <f>IF($A149="","",IF(AND(LEFT($G149,3)="ДОК",$N149&lt;&gt;""),0,IF(AND(LEFT($G149,3)&lt;&gt;"ДОК",$N149&lt;&gt;""),IFERROR(INDEX(МАТЕРИАЛЫ!$H$2:$H$9000,MATCH($N149,МАТЕРИАЛЫ!$L$2:$L$9000,0))*IF(INDEX(МАТЕРИАЛЫ!$I$2:$I$9000,MATCH($N149,МАТЕРИАЛЫ!$L$2:$L$9000,0))="USD",КурсUSD,IF(INDEX(МАТЕРИАЛЫ!$I$2:$I$9000,MATCH($N149,МАТЕРИАЛЫ!$L$2:$L$9000,0))="EUR",КурсEUR,IF(INDEX(МАТЕРИАЛЫ!$I$2:$I$9000,MATCH($N149,МАТЕРИАЛЫ!$L$2:$L$9000,0))="CNY",КурсCNY,1)))*(1+N($H149)/100),0),N($O149))*(1-MEDIAN(0,N(ДисконтТендер),1))))</f>
        <v>0</v>
      </c>
      <c r="U149" t="str">
        <f>IF($L149="да",MAX($U$1:$U148)+1,"")</f>
        <v/>
      </c>
      <c r="V149" t="str">
        <f t="shared" si="17"/>
        <v>Р2</v>
      </c>
      <c r="W149" t="str">
        <f t="shared" si="18"/>
        <v/>
      </c>
      <c r="X149" t="str">
        <f t="shared" si="19"/>
        <v/>
      </c>
      <c r="Y149" s="4" t="str">
        <f>IF($A149="","",IF(AND(LEFT($G149,3)="ДОК",$N149&lt;&gt;""),IFERROR(INDEX(Документация!$G$2:$G$57,MATCH($N149,Документация!$F$2:$F$57,0)),$D149),$D149&amp;IF(AND(LEFT($G149,3)&lt;&gt;"ДОК",$N149&lt;&gt;"")," — "&amp;IFERROR(INDEX(МАТЕРИАЛЫ!$C$2:$C$9000,MATCH($N149,МАТЕРИАЛЫ!$L$2:$L$9000,0)),""),"")))</f>
        <v>Перемещение вручную строительных материалов, мусора на расстоянии свыше 50 м от объекта</v>
      </c>
      <c r="Z149" t="str">
        <f t="shared" si="20"/>
        <v>Р2 · Демонтажные работы</v>
      </c>
    </row>
    <row r="150" spans="1:26" x14ac:dyDescent="0.3">
      <c r="A150" t="s">
        <v>367</v>
      </c>
      <c r="B150" t="s">
        <v>134</v>
      </c>
      <c r="C150" t="s">
        <v>357</v>
      </c>
      <c r="D150" s="4" t="s">
        <v>368</v>
      </c>
      <c r="E150" t="s">
        <v>52</v>
      </c>
      <c r="F150" s="5">
        <v>94.05</v>
      </c>
      <c r="H150">
        <v>0</v>
      </c>
      <c r="I150" t="s">
        <v>53</v>
      </c>
      <c r="L150" s="6"/>
      <c r="M150" s="6"/>
      <c r="N150" s="6"/>
      <c r="O150" s="5"/>
      <c r="P150" s="7" t="str">
        <f t="shared" si="14"/>
        <v/>
      </c>
      <c r="Q150" s="7" t="str">
        <f t="shared" si="15"/>
        <v/>
      </c>
      <c r="R150" s="7" t="str">
        <f t="shared" si="16"/>
        <v/>
      </c>
      <c r="S150" s="7">
        <f>IF($A150="","",IF(AND(LEFT($G150,3)="ДОК",$N150&lt;&gt;""),IFERROR(INDEX(Документация!$E$2:$E$57,MATCH($N150,Документация!$F$2:$F$57,0)),0),N($F150))*(1-MEDIAN(0,N(ДисконтТендер),1)))</f>
        <v>94.05</v>
      </c>
      <c r="T150" s="7">
        <f>IF($A150="","",IF(AND(LEFT($G150,3)="ДОК",$N150&lt;&gt;""),0,IF(AND(LEFT($G150,3)&lt;&gt;"ДОК",$N150&lt;&gt;""),IFERROR(INDEX(МАТЕРИАЛЫ!$H$2:$H$9000,MATCH($N150,МАТЕРИАЛЫ!$L$2:$L$9000,0))*IF(INDEX(МАТЕРИАЛЫ!$I$2:$I$9000,MATCH($N150,МАТЕРИАЛЫ!$L$2:$L$9000,0))="USD",КурсUSD,IF(INDEX(МАТЕРИАЛЫ!$I$2:$I$9000,MATCH($N150,МАТЕРИАЛЫ!$L$2:$L$9000,0))="EUR",КурсEUR,IF(INDEX(МАТЕРИАЛЫ!$I$2:$I$9000,MATCH($N150,МАТЕРИАЛЫ!$L$2:$L$9000,0))="CNY",КурсCNY,1)))*(1+N($H150)/100),0),N($O150))*(1-MEDIAN(0,N(ДисконтТендер),1))))</f>
        <v>0</v>
      </c>
      <c r="U150" t="str">
        <f>IF($L150="да",MAX($U$1:$U149)+1,"")</f>
        <v/>
      </c>
      <c r="V150" t="str">
        <f t="shared" si="17"/>
        <v>Р2</v>
      </c>
      <c r="W150" t="str">
        <f t="shared" si="18"/>
        <v/>
      </c>
      <c r="X150" t="str">
        <f t="shared" si="19"/>
        <v/>
      </c>
      <c r="Y150" s="4" t="str">
        <f>IF($A150="","",IF(AND(LEFT($G150,3)="ДОК",$N150&lt;&gt;""),IFERROR(INDEX(Документация!$G$2:$G$57,MATCH($N150,Документация!$F$2:$F$57,0)),$D150),$D150&amp;IF(AND(LEFT($G150,3)&lt;&gt;"ДОК",$N150&lt;&gt;"")," — "&amp;IFERROR(INDEX(МАТЕРИАЛЫ!$C$2:$C$9000,MATCH($N150,МАТЕРИАЛЫ!$L$2:$L$9000,0)),""),"")))</f>
        <v>Уборка послестроительная</v>
      </c>
      <c r="Z150" t="str">
        <f t="shared" si="20"/>
        <v>Р2 · Демонтажные работы</v>
      </c>
    </row>
    <row r="151" spans="1:26" ht="28.8" x14ac:dyDescent="0.3">
      <c r="A151" t="s">
        <v>369</v>
      </c>
      <c r="B151" t="s">
        <v>134</v>
      </c>
      <c r="C151" t="s">
        <v>357</v>
      </c>
      <c r="D151" s="4" t="s">
        <v>370</v>
      </c>
      <c r="E151" t="s">
        <v>52</v>
      </c>
      <c r="F151" s="5">
        <v>110.69</v>
      </c>
      <c r="H151">
        <v>0</v>
      </c>
      <c r="I151" t="s">
        <v>53</v>
      </c>
      <c r="L151" s="6"/>
      <c r="M151" s="6"/>
      <c r="N151" s="6"/>
      <c r="O151" s="5"/>
      <c r="P151" s="7" t="str">
        <f t="shared" si="14"/>
        <v/>
      </c>
      <c r="Q151" s="7" t="str">
        <f t="shared" si="15"/>
        <v/>
      </c>
      <c r="R151" s="7" t="str">
        <f t="shared" si="16"/>
        <v/>
      </c>
      <c r="S151" s="7">
        <f>IF($A151="","",IF(AND(LEFT($G151,3)="ДОК",$N151&lt;&gt;""),IFERROR(INDEX(Документация!$E$2:$E$57,MATCH($N151,Документация!$F$2:$F$57,0)),0),N($F151))*(1-MEDIAN(0,N(ДисконтТендер),1)))</f>
        <v>110.69</v>
      </c>
      <c r="T151" s="7">
        <f>IF($A151="","",IF(AND(LEFT($G151,3)="ДОК",$N151&lt;&gt;""),0,IF(AND(LEFT($G151,3)&lt;&gt;"ДОК",$N151&lt;&gt;""),IFERROR(INDEX(МАТЕРИАЛЫ!$H$2:$H$9000,MATCH($N151,МАТЕРИАЛЫ!$L$2:$L$9000,0))*IF(INDEX(МАТЕРИАЛЫ!$I$2:$I$9000,MATCH($N151,МАТЕРИАЛЫ!$L$2:$L$9000,0))="USD",КурсUSD,IF(INDEX(МАТЕРИАЛЫ!$I$2:$I$9000,MATCH($N151,МАТЕРИАЛЫ!$L$2:$L$9000,0))="EUR",КурсEUR,IF(INDEX(МАТЕРИАЛЫ!$I$2:$I$9000,MATCH($N151,МАТЕРИАЛЫ!$L$2:$L$9000,0))="CNY",КурсCNY,1)))*(1+N($H151)/100),0),N($O151))*(1-MEDIAN(0,N(ДисконтТендер),1))))</f>
        <v>0</v>
      </c>
      <c r="U151" t="str">
        <f>IF($L151="да",MAX($U$1:$U150)+1,"")</f>
        <v/>
      </c>
      <c r="V151" t="str">
        <f t="shared" si="17"/>
        <v>Р2</v>
      </c>
      <c r="W151" t="str">
        <f t="shared" si="18"/>
        <v/>
      </c>
      <c r="X151" t="str">
        <f t="shared" si="19"/>
        <v/>
      </c>
      <c r="Y151" s="4" t="str">
        <f>IF($A151="","",IF(AND(LEFT($G151,3)="ДОК",$N151&lt;&gt;""),IFERROR(INDEX(Документация!$G$2:$G$57,MATCH($N151,Документация!$F$2:$F$57,0)),$D151),$D151&amp;IF(AND(LEFT($G151,3)&lt;&gt;"ДОК",$N151&lt;&gt;"")," — "&amp;IFERROR(INDEX(МАТЕРИАЛЫ!$C$2:$C$9000,MATCH($N151,МАТЕРИАЛЫ!$L$2:$L$9000,0)),""),"")))</f>
        <v>Поддерживающая уборка в течении недели перед открытием</v>
      </c>
      <c r="Z151" t="str">
        <f t="shared" si="20"/>
        <v>Р2 · Демонтажные работы</v>
      </c>
    </row>
    <row r="152" spans="1:26" ht="28.8" x14ac:dyDescent="0.3">
      <c r="A152" t="s">
        <v>371</v>
      </c>
      <c r="B152" t="s">
        <v>134</v>
      </c>
      <c r="C152" t="s">
        <v>357</v>
      </c>
      <c r="D152" s="4" t="s">
        <v>372</v>
      </c>
      <c r="E152" t="s">
        <v>52</v>
      </c>
      <c r="F152" s="5">
        <v>519</v>
      </c>
      <c r="H152">
        <v>0</v>
      </c>
      <c r="I152" t="s">
        <v>53</v>
      </c>
      <c r="L152" s="6"/>
      <c r="M152" s="6"/>
      <c r="N152" s="6"/>
      <c r="O152" s="5"/>
      <c r="P152" s="7" t="str">
        <f t="shared" si="14"/>
        <v/>
      </c>
      <c r="Q152" s="7" t="str">
        <f t="shared" si="15"/>
        <v/>
      </c>
      <c r="R152" s="7" t="str">
        <f t="shared" si="16"/>
        <v/>
      </c>
      <c r="S152" s="7">
        <f>IF($A152="","",IF(AND(LEFT($G152,3)="ДОК",$N152&lt;&gt;""),IFERROR(INDEX(Документация!$E$2:$E$57,MATCH($N152,Документация!$F$2:$F$57,0)),0),N($F152))*(1-MEDIAN(0,N(ДисконтТендер),1)))</f>
        <v>519</v>
      </c>
      <c r="T152" s="7">
        <f>IF($A152="","",IF(AND(LEFT($G152,3)="ДОК",$N152&lt;&gt;""),0,IF(AND(LEFT($G152,3)&lt;&gt;"ДОК",$N152&lt;&gt;""),IFERROR(INDEX(МАТЕРИАЛЫ!$H$2:$H$9000,MATCH($N152,МАТЕРИАЛЫ!$L$2:$L$9000,0))*IF(INDEX(МАТЕРИАЛЫ!$I$2:$I$9000,MATCH($N152,МАТЕРИАЛЫ!$L$2:$L$9000,0))="USD",КурсUSD,IF(INDEX(МАТЕРИАЛЫ!$I$2:$I$9000,MATCH($N152,МАТЕРИАЛЫ!$L$2:$L$9000,0))="EUR",КурсEUR,IF(INDEX(МАТЕРИАЛЫ!$I$2:$I$9000,MATCH($N152,МАТЕРИАЛЫ!$L$2:$L$9000,0))="CNY",КурсCNY,1)))*(1+N($H152)/100),0),N($O152))*(1-MEDIAN(0,N(ДисконтТендер),1))))</f>
        <v>0</v>
      </c>
      <c r="U152" t="str">
        <f>IF($L152="да",MAX($U$1:$U151)+1,"")</f>
        <v/>
      </c>
      <c r="V152" t="str">
        <f t="shared" si="17"/>
        <v>Р2</v>
      </c>
      <c r="W152" t="str">
        <f t="shared" si="18"/>
        <v/>
      </c>
      <c r="X152" t="str">
        <f t="shared" si="19"/>
        <v/>
      </c>
      <c r="Y152" s="4" t="str">
        <f>IF($A152="","",IF(AND(LEFT($G152,3)="ДОК",$N152&lt;&gt;""),IFERROR(INDEX(Документация!$G$2:$G$57,MATCH($N152,Документация!$F$2:$F$57,0)),$D152),$D152&amp;IF(AND(LEFT($G152,3)&lt;&gt;"ДОК",$N152&lt;&gt;"")," — "&amp;IFERROR(INDEX(МАТЕРИАЛЫ!$C$2:$C$9000,MATCH($N152,МАТЕРИАЛЫ!$L$2:$L$9000,0)),""),"")))</f>
        <v>Клининговая уборка перед открытием (включая ночные работы).</v>
      </c>
      <c r="Z152" t="str">
        <f t="shared" si="20"/>
        <v>Р2 · Демонтажные работы</v>
      </c>
    </row>
    <row r="153" spans="1:26" x14ac:dyDescent="0.3">
      <c r="A153" t="s">
        <v>373</v>
      </c>
      <c r="B153" t="s">
        <v>134</v>
      </c>
      <c r="C153" t="s">
        <v>374</v>
      </c>
      <c r="D153" s="4" t="s">
        <v>375</v>
      </c>
      <c r="E153" t="s">
        <v>114</v>
      </c>
      <c r="F153" s="5">
        <v>522.5</v>
      </c>
      <c r="H153">
        <v>0</v>
      </c>
      <c r="I153" t="s">
        <v>53</v>
      </c>
      <c r="L153" s="6"/>
      <c r="M153" s="6"/>
      <c r="N153" s="6"/>
      <c r="O153" s="5"/>
      <c r="P153" s="7" t="str">
        <f t="shared" si="14"/>
        <v/>
      </c>
      <c r="Q153" s="7" t="str">
        <f t="shared" si="15"/>
        <v/>
      </c>
      <c r="R153" s="7" t="str">
        <f t="shared" si="16"/>
        <v/>
      </c>
      <c r="S153" s="7">
        <f>IF($A153="","",IF(AND(LEFT($G153,3)="ДОК",$N153&lt;&gt;""),IFERROR(INDEX(Документация!$E$2:$E$57,MATCH($N153,Документация!$F$2:$F$57,0)),0),N($F153))*(1-MEDIAN(0,N(ДисконтТендер),1)))</f>
        <v>522.5</v>
      </c>
      <c r="T153" s="7">
        <f>IF($A153="","",IF(AND(LEFT($G153,3)="ДОК",$N153&lt;&gt;""),0,IF(AND(LEFT($G153,3)&lt;&gt;"ДОК",$N153&lt;&gt;""),IFERROR(INDEX(МАТЕРИАЛЫ!$H$2:$H$9000,MATCH($N153,МАТЕРИАЛЫ!$L$2:$L$9000,0))*IF(INDEX(МАТЕРИАЛЫ!$I$2:$I$9000,MATCH($N153,МАТЕРИАЛЫ!$L$2:$L$9000,0))="USD",КурсUSD,IF(INDEX(МАТЕРИАЛЫ!$I$2:$I$9000,MATCH($N153,МАТЕРИАЛЫ!$L$2:$L$9000,0))="EUR",КурсEUR,IF(INDEX(МАТЕРИАЛЫ!$I$2:$I$9000,MATCH($N153,МАТЕРИАЛЫ!$L$2:$L$9000,0))="CNY",КурсCNY,1)))*(1+N($H153)/100),0),N($O153))*(1-MEDIAN(0,N(ДисконтТендер),1))))</f>
        <v>0</v>
      </c>
      <c r="U153" t="str">
        <f>IF($L153="да",MAX($U$1:$U152)+1,"")</f>
        <v/>
      </c>
      <c r="V153" t="str">
        <f t="shared" si="17"/>
        <v>Р2</v>
      </c>
      <c r="W153" t="str">
        <f t="shared" si="18"/>
        <v/>
      </c>
      <c r="X153" t="str">
        <f t="shared" si="19"/>
        <v/>
      </c>
      <c r="Y153" s="4" t="str">
        <f>IF($A153="","",IF(AND(LEFT($G153,3)="ДОК",$N153&lt;&gt;""),IFERROR(INDEX(Документация!$G$2:$G$57,MATCH($N153,Документация!$F$2:$F$57,0)),$D153),$D153&amp;IF(AND(LEFT($G153,3)&lt;&gt;"ДОК",$N153&lt;&gt;"")," — "&amp;IFERROR(INDEX(МАТЕРИАЛЫ!$C$2:$C$9000,MATCH($N153,МАТЕРИАЛЫ!$L$2:$L$9000,0)),""),"")))</f>
        <v>Демонтаж мебельных конструкций</v>
      </c>
      <c r="Z153" t="str">
        <f t="shared" si="20"/>
        <v>Р2 · Демонтажные работы</v>
      </c>
    </row>
    <row r="154" spans="1:26" x14ac:dyDescent="0.3">
      <c r="A154" t="s">
        <v>376</v>
      </c>
      <c r="B154" t="s">
        <v>134</v>
      </c>
      <c r="C154" t="s">
        <v>374</v>
      </c>
      <c r="D154" s="4" t="s">
        <v>377</v>
      </c>
      <c r="E154" t="s">
        <v>114</v>
      </c>
      <c r="F154" s="5">
        <v>3027.6</v>
      </c>
      <c r="H154">
        <v>0</v>
      </c>
      <c r="I154" t="s">
        <v>53</v>
      </c>
      <c r="L154" s="6"/>
      <c r="M154" s="6"/>
      <c r="N154" s="6"/>
      <c r="O154" s="5"/>
      <c r="P154" s="7" t="str">
        <f t="shared" si="14"/>
        <v/>
      </c>
      <c r="Q154" s="7" t="str">
        <f t="shared" si="15"/>
        <v/>
      </c>
      <c r="R154" s="7" t="str">
        <f t="shared" si="16"/>
        <v/>
      </c>
      <c r="S154" s="7">
        <f>IF($A154="","",IF(AND(LEFT($G154,3)="ДОК",$N154&lt;&gt;""),IFERROR(INDEX(Документация!$E$2:$E$57,MATCH($N154,Документация!$F$2:$F$57,0)),0),N($F154))*(1-MEDIAN(0,N(ДисконтТендер),1)))</f>
        <v>3027.6</v>
      </c>
      <c r="T154" s="7">
        <f>IF($A154="","",IF(AND(LEFT($G154,3)="ДОК",$N154&lt;&gt;""),0,IF(AND(LEFT($G154,3)&lt;&gt;"ДОК",$N154&lt;&gt;""),IFERROR(INDEX(МАТЕРИАЛЫ!$H$2:$H$9000,MATCH($N154,МАТЕРИАЛЫ!$L$2:$L$9000,0))*IF(INDEX(МАТЕРИАЛЫ!$I$2:$I$9000,MATCH($N154,МАТЕРИАЛЫ!$L$2:$L$9000,0))="USD",КурсUSD,IF(INDEX(МАТЕРИАЛЫ!$I$2:$I$9000,MATCH($N154,МАТЕРИАЛЫ!$L$2:$L$9000,0))="EUR",КурсEUR,IF(INDEX(МАТЕРИАЛЫ!$I$2:$I$9000,MATCH($N154,МАТЕРИАЛЫ!$L$2:$L$9000,0))="CNY",КурсCNY,1)))*(1+N($H154)/100),0),N($O154))*(1-MEDIAN(0,N(ДисконтТендер),1))))</f>
        <v>0</v>
      </c>
      <c r="U154" t="str">
        <f>IF($L154="да",MAX($U$1:$U153)+1,"")</f>
        <v/>
      </c>
      <c r="V154" t="str">
        <f t="shared" si="17"/>
        <v>Р2</v>
      </c>
      <c r="W154" t="str">
        <f t="shared" si="18"/>
        <v/>
      </c>
      <c r="X154" t="str">
        <f t="shared" si="19"/>
        <v/>
      </c>
      <c r="Y154" s="4" t="str">
        <f>IF($A154="","",IF(AND(LEFT($G154,3)="ДОК",$N154&lt;&gt;""),IFERROR(INDEX(Документация!$G$2:$G$57,MATCH($N154,Документация!$F$2:$F$57,0)),$D154),$D154&amp;IF(AND(LEFT($G154,3)&lt;&gt;"ДОК",$N154&lt;&gt;"")," — "&amp;IFERROR(INDEX(МАТЕРИАЛЫ!$C$2:$C$9000,MATCH($N154,МАТЕРИАЛЫ!$L$2:$L$9000,0)),""),"")))</f>
        <v>Демонтаж шлюза инкосаторского</v>
      </c>
      <c r="Z154" t="str">
        <f t="shared" si="20"/>
        <v>Р2 · Демонтажные работы</v>
      </c>
    </row>
    <row r="155" spans="1:26" x14ac:dyDescent="0.3">
      <c r="A155" t="s">
        <v>378</v>
      </c>
      <c r="B155" t="s">
        <v>134</v>
      </c>
      <c r="C155" t="s">
        <v>374</v>
      </c>
      <c r="D155" s="4" t="s">
        <v>379</v>
      </c>
      <c r="E155" t="s">
        <v>52</v>
      </c>
      <c r="F155" s="5">
        <v>626.4</v>
      </c>
      <c r="H155">
        <v>0</v>
      </c>
      <c r="I155" t="s">
        <v>53</v>
      </c>
      <c r="L155" s="6"/>
      <c r="M155" s="6"/>
      <c r="N155" s="6"/>
      <c r="O155" s="5"/>
      <c r="P155" s="7" t="str">
        <f t="shared" si="14"/>
        <v/>
      </c>
      <c r="Q155" s="7" t="str">
        <f t="shared" si="15"/>
        <v/>
      </c>
      <c r="R155" s="7" t="str">
        <f t="shared" si="16"/>
        <v/>
      </c>
      <c r="S155" s="7">
        <f>IF($A155="","",IF(AND(LEFT($G155,3)="ДОК",$N155&lt;&gt;""),IFERROR(INDEX(Документация!$E$2:$E$57,MATCH($N155,Документация!$F$2:$F$57,0)),0),N($F155))*(1-MEDIAN(0,N(ДисконтТендер),1)))</f>
        <v>626.4</v>
      </c>
      <c r="T155" s="7">
        <f>IF($A155="","",IF(AND(LEFT($G155,3)="ДОК",$N155&lt;&gt;""),0,IF(AND(LEFT($G155,3)&lt;&gt;"ДОК",$N155&lt;&gt;""),IFERROR(INDEX(МАТЕРИАЛЫ!$H$2:$H$9000,MATCH($N155,МАТЕРИАЛЫ!$L$2:$L$9000,0))*IF(INDEX(МАТЕРИАЛЫ!$I$2:$I$9000,MATCH($N155,МАТЕРИАЛЫ!$L$2:$L$9000,0))="USD",КурсUSD,IF(INDEX(МАТЕРИАЛЫ!$I$2:$I$9000,MATCH($N155,МАТЕРИАЛЫ!$L$2:$L$9000,0))="EUR",КурсEUR,IF(INDEX(МАТЕРИАЛЫ!$I$2:$I$9000,MATCH($N155,МАТЕРИАЛЫ!$L$2:$L$9000,0))="CNY",КурсCNY,1)))*(1+N($H155)/100),0),N($O155))*(1-MEDIAN(0,N(ДисконтТендер),1))))</f>
        <v>0</v>
      </c>
      <c r="U155" t="str">
        <f>IF($L155="да",MAX($U$1:$U154)+1,"")</f>
        <v/>
      </c>
      <c r="V155" t="str">
        <f t="shared" si="17"/>
        <v>Р2</v>
      </c>
      <c r="W155" t="str">
        <f t="shared" si="18"/>
        <v/>
      </c>
      <c r="X155" t="str">
        <f t="shared" si="19"/>
        <v/>
      </c>
      <c r="Y155" s="4" t="str">
        <f>IF($A155="","",IF(AND(LEFT($G155,3)="ДОК",$N155&lt;&gt;""),IFERROR(INDEX(Документация!$G$2:$G$57,MATCH($N155,Документация!$F$2:$F$57,0)),$D155),$D155&amp;IF(AND(LEFT($G155,3)&lt;&gt;"ДОК",$N155&lt;&gt;"")," — "&amp;IFERROR(INDEX(МАТЕРИАЛЫ!$C$2:$C$9000,MATCH($N155,МАТЕРИАЛЫ!$L$2:$L$9000,0)),""),"")))</f>
        <v>Удаление старого огнезащитного покрытия</v>
      </c>
      <c r="Z155" t="str">
        <f t="shared" si="20"/>
        <v>Р2 · Демонтажные работы</v>
      </c>
    </row>
    <row r="156" spans="1:26" x14ac:dyDescent="0.3">
      <c r="A156" t="s">
        <v>380</v>
      </c>
      <c r="B156" t="s">
        <v>134</v>
      </c>
      <c r="C156" t="s">
        <v>374</v>
      </c>
      <c r="D156" s="4" t="s">
        <v>381</v>
      </c>
      <c r="E156" t="s">
        <v>52</v>
      </c>
      <c r="F156" s="5">
        <v>174</v>
      </c>
      <c r="H156">
        <v>0</v>
      </c>
      <c r="I156" t="s">
        <v>53</v>
      </c>
      <c r="L156" s="6"/>
      <c r="M156" s="6"/>
      <c r="N156" s="6"/>
      <c r="O156" s="5"/>
      <c r="P156" s="7" t="str">
        <f t="shared" si="14"/>
        <v/>
      </c>
      <c r="Q156" s="7" t="str">
        <f t="shared" si="15"/>
        <v/>
      </c>
      <c r="R156" s="7" t="str">
        <f t="shared" si="16"/>
        <v/>
      </c>
      <c r="S156" s="7">
        <f>IF($A156="","",IF(AND(LEFT($G156,3)="ДОК",$N156&lt;&gt;""),IFERROR(INDEX(Документация!$E$2:$E$57,MATCH($N156,Документация!$F$2:$F$57,0)),0),N($F156))*(1-MEDIAN(0,N(ДисконтТендер),1)))</f>
        <v>174</v>
      </c>
      <c r="T156" s="7">
        <f>IF($A156="","",IF(AND(LEFT($G156,3)="ДОК",$N156&lt;&gt;""),0,IF(AND(LEFT($G156,3)&lt;&gt;"ДОК",$N156&lt;&gt;""),IFERROR(INDEX(МАТЕРИАЛЫ!$H$2:$H$9000,MATCH($N156,МАТЕРИАЛЫ!$L$2:$L$9000,0))*IF(INDEX(МАТЕРИАЛЫ!$I$2:$I$9000,MATCH($N156,МАТЕРИАЛЫ!$L$2:$L$9000,0))="USD",КурсUSD,IF(INDEX(МАТЕРИАЛЫ!$I$2:$I$9000,MATCH($N156,МАТЕРИАЛЫ!$L$2:$L$9000,0))="EUR",КурсEUR,IF(INDEX(МАТЕРИАЛЫ!$I$2:$I$9000,MATCH($N156,МАТЕРИАЛЫ!$L$2:$L$9000,0))="CNY",КурсCNY,1)))*(1+N($H156)/100),0),N($O156))*(1-MEDIAN(0,N(ДисконтТендер),1))))</f>
        <v>0</v>
      </c>
      <c r="U156" t="str">
        <f>IF($L156="да",MAX($U$1:$U155)+1,"")</f>
        <v/>
      </c>
      <c r="V156" t="str">
        <f t="shared" si="17"/>
        <v>Р2</v>
      </c>
      <c r="W156" t="str">
        <f t="shared" si="18"/>
        <v/>
      </c>
      <c r="X156" t="str">
        <f t="shared" si="19"/>
        <v/>
      </c>
      <c r="Y156" s="4" t="str">
        <f>IF($A156="","",IF(AND(LEFT($G156,3)="ДОК",$N156&lt;&gt;""),IFERROR(INDEX(Документация!$G$2:$G$57,MATCH($N156,Документация!$F$2:$F$57,0)),$D156),$D156&amp;IF(AND(LEFT($G156,3)&lt;&gt;"ДОК",$N156&lt;&gt;"")," — "&amp;IFERROR(INDEX(МАТЕРИАЛЫ!$C$2:$C$9000,MATCH($N156,МАТЕРИАЛЫ!$L$2:$L$9000,0)),""),"")))</f>
        <v>Демонтаж жалюзей</v>
      </c>
      <c r="Z156" t="str">
        <f t="shared" si="20"/>
        <v>Р2 · Демонтажные работы</v>
      </c>
    </row>
    <row r="157" spans="1:26" x14ac:dyDescent="0.3">
      <c r="A157" t="s">
        <v>382</v>
      </c>
      <c r="B157" t="s">
        <v>134</v>
      </c>
      <c r="C157" t="s">
        <v>374</v>
      </c>
      <c r="D157" s="4" t="s">
        <v>383</v>
      </c>
      <c r="E157" t="s">
        <v>298</v>
      </c>
      <c r="F157" s="5">
        <v>5225</v>
      </c>
      <c r="H157">
        <v>0</v>
      </c>
      <c r="I157" t="s">
        <v>53</v>
      </c>
      <c r="L157" s="6"/>
      <c r="M157" s="6"/>
      <c r="N157" s="6"/>
      <c r="O157" s="5"/>
      <c r="P157" s="7" t="str">
        <f t="shared" si="14"/>
        <v/>
      </c>
      <c r="Q157" s="7" t="str">
        <f t="shared" si="15"/>
        <v/>
      </c>
      <c r="R157" s="7" t="str">
        <f t="shared" si="16"/>
        <v/>
      </c>
      <c r="S157" s="7">
        <f>IF($A157="","",IF(AND(LEFT($G157,3)="ДОК",$N157&lt;&gt;""),IFERROR(INDEX(Документация!$E$2:$E$57,MATCH($N157,Документация!$F$2:$F$57,0)),0),N($F157))*(1-MEDIAN(0,N(ДисконтТендер),1)))</f>
        <v>5225</v>
      </c>
      <c r="T157" s="7">
        <f>IF($A157="","",IF(AND(LEFT($G157,3)="ДОК",$N157&lt;&gt;""),0,IF(AND(LEFT($G157,3)&lt;&gt;"ДОК",$N157&lt;&gt;""),IFERROR(INDEX(МАТЕРИАЛЫ!$H$2:$H$9000,MATCH($N157,МАТЕРИАЛЫ!$L$2:$L$9000,0))*IF(INDEX(МАТЕРИАЛЫ!$I$2:$I$9000,MATCH($N157,МАТЕРИАЛЫ!$L$2:$L$9000,0))="USD",КурсUSD,IF(INDEX(МАТЕРИАЛЫ!$I$2:$I$9000,MATCH($N157,МАТЕРИАЛЫ!$L$2:$L$9000,0))="EUR",КурсEUR,IF(INDEX(МАТЕРИАЛЫ!$I$2:$I$9000,MATCH($N157,МАТЕРИАЛЫ!$L$2:$L$9000,0))="CNY",КурсCNY,1)))*(1+N($H157)/100),0),N($O157))*(1-MEDIAN(0,N(ДисконтТендер),1))))</f>
        <v>0</v>
      </c>
      <c r="U157" t="str">
        <f>IF($L157="да",MAX($U$1:$U156)+1,"")</f>
        <v/>
      </c>
      <c r="V157" t="str">
        <f t="shared" si="17"/>
        <v>Р2</v>
      </c>
      <c r="W157" t="str">
        <f t="shared" si="18"/>
        <v/>
      </c>
      <c r="X157" t="str">
        <f t="shared" si="19"/>
        <v/>
      </c>
      <c r="Y157" s="4" t="str">
        <f>IF($A157="","",IF(AND(LEFT($G157,3)="ДОК",$N157&lt;&gt;""),IFERROR(INDEX(Документация!$G$2:$G$57,MATCH($N157,Документация!$F$2:$F$57,0)),$D157),$D157&amp;IF(AND(LEFT($G157,3)&lt;&gt;"ДОК",$N157&lt;&gt;"")," — "&amp;IFERROR(INDEX(МАТЕРИАЛЫ!$C$2:$C$9000,MATCH($N157,МАТЕРИАЛЫ!$L$2:$L$9000,0)),""),"")))</f>
        <v>Демонтаж металлоконструкций</v>
      </c>
      <c r="Z157" t="str">
        <f t="shared" si="20"/>
        <v>Р2 · Демонтажные работы</v>
      </c>
    </row>
    <row r="158" spans="1:26" ht="28.8" x14ac:dyDescent="0.3">
      <c r="A158" t="s">
        <v>384</v>
      </c>
      <c r="B158" t="s">
        <v>134</v>
      </c>
      <c r="C158" t="s">
        <v>374</v>
      </c>
      <c r="D158" s="4" t="s">
        <v>385</v>
      </c>
      <c r="E158" t="s">
        <v>114</v>
      </c>
      <c r="F158" s="5">
        <v>8143.2</v>
      </c>
      <c r="H158">
        <v>0</v>
      </c>
      <c r="I158" t="s">
        <v>53</v>
      </c>
      <c r="L158" s="6"/>
      <c r="M158" s="6"/>
      <c r="N158" s="6"/>
      <c r="O158" s="5"/>
      <c r="P158" s="7" t="str">
        <f t="shared" si="14"/>
        <v/>
      </c>
      <c r="Q158" s="7" t="str">
        <f t="shared" si="15"/>
        <v/>
      </c>
      <c r="R158" s="7" t="str">
        <f t="shared" si="16"/>
        <v/>
      </c>
      <c r="S158" s="7">
        <f>IF($A158="","",IF(AND(LEFT($G158,3)="ДОК",$N158&lt;&gt;""),IFERROR(INDEX(Документация!$E$2:$E$57,MATCH($N158,Документация!$F$2:$F$57,0)),0),N($F158))*(1-MEDIAN(0,N(ДисконтТендер),1)))</f>
        <v>8143.2</v>
      </c>
      <c r="T158" s="7">
        <f>IF($A158="","",IF(AND(LEFT($G158,3)="ДОК",$N158&lt;&gt;""),0,IF(AND(LEFT($G158,3)&lt;&gt;"ДОК",$N158&lt;&gt;""),IFERROR(INDEX(МАТЕРИАЛЫ!$H$2:$H$9000,MATCH($N158,МАТЕРИАЛЫ!$L$2:$L$9000,0))*IF(INDEX(МАТЕРИАЛЫ!$I$2:$I$9000,MATCH($N158,МАТЕРИАЛЫ!$L$2:$L$9000,0))="USD",КурсUSD,IF(INDEX(МАТЕРИАЛЫ!$I$2:$I$9000,MATCH($N158,МАТЕРИАЛЫ!$L$2:$L$9000,0))="EUR",КурсEUR,IF(INDEX(МАТЕРИАЛЫ!$I$2:$I$9000,MATCH($N158,МАТЕРИАЛЫ!$L$2:$L$9000,0))="CNY",КурсCNY,1)))*(1+N($H158)/100),0),N($O158))*(1-MEDIAN(0,N(ДисконтТендер),1))))</f>
        <v>0</v>
      </c>
      <c r="U158" t="str">
        <f>IF($L158="да",MAX($U$1:$U157)+1,"")</f>
        <v/>
      </c>
      <c r="V158" t="str">
        <f t="shared" si="17"/>
        <v>Р2</v>
      </c>
      <c r="W158" t="str">
        <f t="shared" si="18"/>
        <v/>
      </c>
      <c r="X158" t="str">
        <f t="shared" si="19"/>
        <v/>
      </c>
      <c r="Y158" s="4" t="str">
        <f>IF($A158="","",IF(AND(LEFT($G158,3)="ДОК",$N158&lt;&gt;""),IFERROR(INDEX(Документация!$G$2:$G$57,MATCH($N158,Документация!$F$2:$F$57,0)),$D158),$D158&amp;IF(AND(LEFT($G158,3)&lt;&gt;"ДОК",$N158&lt;&gt;"")," — "&amp;IFERROR(INDEX(МАТЕРИАЛЫ!$C$2:$C$9000,MATCH($N158,МАТЕРИАЛЫ!$L$2:$L$9000,0)),""),"")))</f>
        <v>Демонтаж наборных ступеней ЛС 90 с выломкой четвертей</v>
      </c>
      <c r="Z158" t="str">
        <f t="shared" si="20"/>
        <v>Р2 · Демонтажные работы</v>
      </c>
    </row>
    <row r="159" spans="1:26" ht="28.8" x14ac:dyDescent="0.3">
      <c r="A159" t="s">
        <v>386</v>
      </c>
      <c r="B159" t="s">
        <v>134</v>
      </c>
      <c r="C159" t="s">
        <v>374</v>
      </c>
      <c r="D159" s="4" t="s">
        <v>387</v>
      </c>
      <c r="E159" t="s">
        <v>114</v>
      </c>
      <c r="F159" s="5">
        <v>305370</v>
      </c>
      <c r="H159">
        <v>0</v>
      </c>
      <c r="I159" t="s">
        <v>53</v>
      </c>
      <c r="L159" s="6"/>
      <c r="M159" s="6"/>
      <c r="N159" s="6"/>
      <c r="O159" s="5"/>
      <c r="P159" s="7" t="str">
        <f t="shared" si="14"/>
        <v/>
      </c>
      <c r="Q159" s="7" t="str">
        <f t="shared" si="15"/>
        <v/>
      </c>
      <c r="R159" s="7" t="str">
        <f t="shared" si="16"/>
        <v/>
      </c>
      <c r="S159" s="7">
        <f>IF($A159="","",IF(AND(LEFT($G159,3)="ДОК",$N159&lt;&gt;""),IFERROR(INDEX(Документация!$E$2:$E$57,MATCH($N159,Документация!$F$2:$F$57,0)),0),N($F159))*(1-MEDIAN(0,N(ДисконтТендер),1)))</f>
        <v>305370</v>
      </c>
      <c r="T159" s="7">
        <f>IF($A159="","",IF(AND(LEFT($G159,3)="ДОК",$N159&lt;&gt;""),0,IF(AND(LEFT($G159,3)&lt;&gt;"ДОК",$N159&lt;&gt;""),IFERROR(INDEX(МАТЕРИАЛЫ!$H$2:$H$9000,MATCH($N159,МАТЕРИАЛЫ!$L$2:$L$9000,0))*IF(INDEX(МАТЕРИАЛЫ!$I$2:$I$9000,MATCH($N159,МАТЕРИАЛЫ!$L$2:$L$9000,0))="USD",КурсUSD,IF(INDEX(МАТЕРИАЛЫ!$I$2:$I$9000,MATCH($N159,МАТЕРИАЛЫ!$L$2:$L$9000,0))="EUR",КурсEUR,IF(INDEX(МАТЕРИАЛЫ!$I$2:$I$9000,MATCH($N159,МАТЕРИАЛЫ!$L$2:$L$9000,0))="CNY",КурсCNY,1)))*(1+N($H159)/100),0),N($O159))*(1-MEDIAN(0,N(ДисконтТендер),1))))</f>
        <v>0</v>
      </c>
      <c r="U159" t="str">
        <f>IF($L159="да",MAX($U$1:$U158)+1,"")</f>
        <v/>
      </c>
      <c r="V159" t="str">
        <f t="shared" si="17"/>
        <v>Р2</v>
      </c>
      <c r="W159" t="str">
        <f t="shared" si="18"/>
        <v/>
      </c>
      <c r="X159" t="str">
        <f t="shared" si="19"/>
        <v/>
      </c>
      <c r="Y159" s="4" t="str">
        <f>IF($A159="","",IF(AND(LEFT($G159,3)="ДОК",$N159&lt;&gt;""),IFERROR(INDEX(Документация!$G$2:$G$57,MATCH($N159,Документация!$F$2:$F$57,0)),$D159),$D159&amp;IF(AND(LEFT($G159,3)&lt;&gt;"ДОК",$N159&lt;&gt;"")," — "&amp;IFERROR(INDEX(МАТЕРИАЛЫ!$C$2:$C$9000,MATCH($N159,МАТЕРИАЛЫ!$L$2:$L$9000,0)),""),"")))</f>
        <v>Демонтаж лифта включая Двери, двигатели, тросы, уловители,ограничители.</v>
      </c>
      <c r="Z159" t="str">
        <f t="shared" si="20"/>
        <v>Р2 · Демонтажные работы</v>
      </c>
    </row>
    <row r="160" spans="1:26" ht="72" x14ac:dyDescent="0.3">
      <c r="A160" t="s">
        <v>388</v>
      </c>
      <c r="B160" t="s">
        <v>134</v>
      </c>
      <c r="C160" t="s">
        <v>374</v>
      </c>
      <c r="D160" s="4" t="s">
        <v>389</v>
      </c>
      <c r="E160" t="s">
        <v>52</v>
      </c>
      <c r="F160" s="5">
        <v>820</v>
      </c>
      <c r="H160">
        <v>0</v>
      </c>
      <c r="I160" t="s">
        <v>53</v>
      </c>
      <c r="L160" s="6"/>
      <c r="M160" s="6"/>
      <c r="N160" s="6"/>
      <c r="O160" s="5"/>
      <c r="P160" s="7" t="str">
        <f t="shared" si="14"/>
        <v/>
      </c>
      <c r="Q160" s="7" t="str">
        <f t="shared" si="15"/>
        <v/>
      </c>
      <c r="R160" s="7" t="str">
        <f t="shared" si="16"/>
        <v/>
      </c>
      <c r="S160" s="7">
        <f>IF($A160="","",IF(AND(LEFT($G160,3)="ДОК",$N160&lt;&gt;""),IFERROR(INDEX(Документация!$E$2:$E$57,MATCH($N160,Документация!$F$2:$F$57,0)),0),N($F160))*(1-MEDIAN(0,N(ДисконтТендер),1)))</f>
        <v>820</v>
      </c>
      <c r="T160" s="7">
        <f>IF($A160="","",IF(AND(LEFT($G160,3)="ДОК",$N160&lt;&gt;""),0,IF(AND(LEFT($G160,3)&lt;&gt;"ДОК",$N160&lt;&gt;""),IFERROR(INDEX(МАТЕРИАЛЫ!$H$2:$H$9000,MATCH($N160,МАТЕРИАЛЫ!$L$2:$L$9000,0))*IF(INDEX(МАТЕРИАЛЫ!$I$2:$I$9000,MATCH($N160,МАТЕРИАЛЫ!$L$2:$L$9000,0))="USD",КурсUSD,IF(INDEX(МАТЕРИАЛЫ!$I$2:$I$9000,MATCH($N160,МАТЕРИАЛЫ!$L$2:$L$9000,0))="EUR",КурсEUR,IF(INDEX(МАТЕРИАЛЫ!$I$2:$I$9000,MATCH($N160,МАТЕРИАЛЫ!$L$2:$L$9000,0))="CNY",КурсCNY,1)))*(1+N($H160)/100),0),N($O160))*(1-MEDIAN(0,N(ДисконтТендер),1))))</f>
        <v>0</v>
      </c>
      <c r="U160" t="str">
        <f>IF($L160="да",MAX($U$1:$U159)+1,"")</f>
        <v/>
      </c>
      <c r="V160" t="str">
        <f t="shared" si="17"/>
        <v>Р2</v>
      </c>
      <c r="W160" t="str">
        <f t="shared" si="18"/>
        <v/>
      </c>
      <c r="X160" t="str">
        <f t="shared" si="19"/>
        <v/>
      </c>
      <c r="Y160" s="4" t="str">
        <f>IF($A160="","",IF(AND(LEFT($G160,3)="ДОК",$N160&lt;&gt;""),IFERROR(INDEX(Документация!$G$2:$G$57,MATCH($N160,Документация!$F$2:$F$57,0)),$D160),$D160&amp;IF(AND(LEFT($G160,3)&lt;&gt;"ДОК",$N160&lt;&gt;"")," — "&amp;IFERROR(INDEX(МАТЕРИАЛЫ!$C$2:$C$9000,MATCH($N160,МАТЕРИАЛЫ!$L$2:$L$9000,0)),""),"")))</f>
        <v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v>
      </c>
      <c r="Z160" t="str">
        <f t="shared" si="20"/>
        <v>Р2 · Демонтажные работы</v>
      </c>
    </row>
    <row r="161" spans="1:26" x14ac:dyDescent="0.3">
      <c r="A161" t="s">
        <v>390</v>
      </c>
      <c r="B161" t="s">
        <v>134</v>
      </c>
      <c r="C161" t="s">
        <v>391</v>
      </c>
      <c r="D161" s="4" t="s">
        <v>392</v>
      </c>
      <c r="E161" t="s">
        <v>52</v>
      </c>
      <c r="F161" s="5">
        <v>2133.33</v>
      </c>
      <c r="H161">
        <v>0</v>
      </c>
      <c r="I161" t="s">
        <v>53</v>
      </c>
      <c r="L161" s="6"/>
      <c r="M161" s="6"/>
      <c r="N161" s="6"/>
      <c r="O161" s="5"/>
      <c r="P161" s="7" t="str">
        <f t="shared" si="14"/>
        <v/>
      </c>
      <c r="Q161" s="7" t="str">
        <f t="shared" si="15"/>
        <v/>
      </c>
      <c r="R161" s="7" t="str">
        <f t="shared" si="16"/>
        <v/>
      </c>
      <c r="S161" s="7">
        <f>IF($A161="","",IF(AND(LEFT($G161,3)="ДОК",$N161&lt;&gt;""),IFERROR(INDEX(Документация!$E$2:$E$57,MATCH($N161,Документация!$F$2:$F$57,0)),0),N($F161))*(1-MEDIAN(0,N(ДисконтТендер),1)))</f>
        <v>2133.33</v>
      </c>
      <c r="T161" s="7">
        <f>IF($A161="","",IF(AND(LEFT($G161,3)="ДОК",$N161&lt;&gt;""),0,IF(AND(LEFT($G161,3)&lt;&gt;"ДОК",$N161&lt;&gt;""),IFERROR(INDEX(МАТЕРИАЛЫ!$H$2:$H$9000,MATCH($N161,МАТЕРИАЛЫ!$L$2:$L$9000,0))*IF(INDEX(МАТЕРИАЛЫ!$I$2:$I$9000,MATCH($N161,МАТЕРИАЛЫ!$L$2:$L$9000,0))="USD",КурсUSD,IF(INDEX(МАТЕРИАЛЫ!$I$2:$I$9000,MATCH($N161,МАТЕРИАЛЫ!$L$2:$L$9000,0))="EUR",КурсEUR,IF(INDEX(МАТЕРИАЛЫ!$I$2:$I$9000,MATCH($N161,МАТЕРИАЛЫ!$L$2:$L$9000,0))="CNY",КурсCNY,1)))*(1+N($H161)/100),0),N($O161))*(1-MEDIAN(0,N(ДисконтТендер),1))))</f>
        <v>0</v>
      </c>
      <c r="U161" t="str">
        <f>IF($L161="да",MAX($U$1:$U160)+1,"")</f>
        <v/>
      </c>
      <c r="V161" t="str">
        <f t="shared" si="17"/>
        <v>Р2</v>
      </c>
      <c r="W161" t="str">
        <f t="shared" si="18"/>
        <v/>
      </c>
      <c r="X161" t="str">
        <f t="shared" si="19"/>
        <v/>
      </c>
      <c r="Y161" s="4" t="str">
        <f>IF($A161="","",IF(AND(LEFT($G161,3)="ДОК",$N161&lt;&gt;""),IFERROR(INDEX(Документация!$G$2:$G$57,MATCH($N161,Документация!$F$2:$F$57,0)),$D161),$D161&amp;IF(AND(LEFT($G161,3)&lt;&gt;"ДОК",$N161&lt;&gt;"")," — "&amp;IFERROR(INDEX(МАТЕРИАЛЫ!$C$2:$C$9000,MATCH($N161,МАТЕРИАЛЫ!$L$2:$L$9000,0)),""),"")))</f>
        <v>Демонтажные работы до состояния shell-and-core</v>
      </c>
      <c r="Z161" t="str">
        <f t="shared" si="20"/>
        <v>Р2 · Демонтажные работы</v>
      </c>
    </row>
    <row r="162" spans="1:26" x14ac:dyDescent="0.3">
      <c r="A162" t="s">
        <v>393</v>
      </c>
      <c r="B162" t="s">
        <v>394</v>
      </c>
      <c r="C162" t="s">
        <v>50</v>
      </c>
      <c r="D162" s="4" t="s">
        <v>395</v>
      </c>
      <c r="E162" t="s">
        <v>52</v>
      </c>
      <c r="F162" s="5">
        <v>2392.5</v>
      </c>
      <c r="G162" t="s">
        <v>396</v>
      </c>
      <c r="H162">
        <v>5</v>
      </c>
      <c r="I162" t="s">
        <v>53</v>
      </c>
      <c r="L162" s="6"/>
      <c r="M162" s="6"/>
      <c r="N162" s="6"/>
      <c r="O162" s="5"/>
      <c r="P162" s="7" t="str">
        <f t="shared" si="14"/>
        <v/>
      </c>
      <c r="Q162" s="7" t="str">
        <f t="shared" si="15"/>
        <v/>
      </c>
      <c r="R162" s="7" t="str">
        <f t="shared" si="16"/>
        <v/>
      </c>
      <c r="S162" s="7">
        <f>IF($A162="","",IF(AND(LEFT($G162,3)="ДОК",$N162&lt;&gt;""),IFERROR(INDEX(Документация!$E$2:$E$57,MATCH($N162,Документация!$F$2:$F$57,0)),0),N($F162))*(1-MEDIAN(0,N(ДисконтТендер),1)))</f>
        <v>2392.5</v>
      </c>
      <c r="T162" s="7">
        <f>IF($A162="","",IF(AND(LEFT($G162,3)="ДОК",$N162&lt;&gt;""),0,IF(AND(LEFT($G162,3)&lt;&gt;"ДОК",$N162&lt;&gt;""),IFERROR(INDEX(МАТЕРИАЛЫ!$H$2:$H$9000,MATCH($N162,МАТЕРИАЛЫ!$L$2:$L$9000,0))*IF(INDEX(МАТЕРИАЛЫ!$I$2:$I$9000,MATCH($N162,МАТЕРИАЛЫ!$L$2:$L$9000,0))="USD",КурсUSD,IF(INDEX(МАТЕРИАЛЫ!$I$2:$I$9000,MATCH($N162,МАТЕРИАЛЫ!$L$2:$L$9000,0))="EUR",КурсEUR,IF(INDEX(МАТЕРИАЛЫ!$I$2:$I$9000,MATCH($N162,МАТЕРИАЛЫ!$L$2:$L$9000,0))="CNY",КурсCNY,1)))*(1+N($H162)/100),0),N($O162))*(1-MEDIAN(0,N(ДисконтТендер),1))))</f>
        <v>0</v>
      </c>
      <c r="U162" t="str">
        <f>IF($L162="да",MAX($U$1:$U161)+1,"")</f>
        <v/>
      </c>
      <c r="V162" t="str">
        <f t="shared" si="17"/>
        <v>Р3</v>
      </c>
      <c r="W162" t="str">
        <f t="shared" si="18"/>
        <v/>
      </c>
      <c r="X162" t="str">
        <f t="shared" si="19"/>
        <v/>
      </c>
      <c r="Y162" s="4" t="str">
        <f>IF($A162="","",IF(AND(LEFT($G162,3)="ДОК",$N162&lt;&gt;""),IFERROR(INDEX(Документация!$G$2:$G$57,MATCH($N162,Документация!$F$2:$F$57,0)),$D162),$D162&amp;IF(AND(LEFT($G162,3)&lt;&gt;"ДОК",$N162&lt;&gt;"")," — "&amp;IFERROR(INDEX(МАТЕРИАЛЫ!$C$2:$C$9000,MATCH($N162,МАТЕРИАЛЫ!$L$2:$L$9000,0)),""),"")))</f>
        <v>Кладка перегородок толщиной в 1/2 кирпича</v>
      </c>
      <c r="Z162" t="str">
        <f t="shared" si="20"/>
        <v>Р3 · Внутренние строительные работы</v>
      </c>
    </row>
    <row r="163" spans="1:26" ht="28.8" x14ac:dyDescent="0.3">
      <c r="A163" t="s">
        <v>397</v>
      </c>
      <c r="B163" t="s">
        <v>394</v>
      </c>
      <c r="C163" t="s">
        <v>50</v>
      </c>
      <c r="D163" s="4" t="s">
        <v>398</v>
      </c>
      <c r="E163" t="s">
        <v>52</v>
      </c>
      <c r="F163" s="5">
        <v>2704.48</v>
      </c>
      <c r="G163" t="s">
        <v>396</v>
      </c>
      <c r="H163">
        <v>5</v>
      </c>
      <c r="I163" t="s">
        <v>53</v>
      </c>
      <c r="L163" s="6"/>
      <c r="M163" s="6"/>
      <c r="N163" s="6"/>
      <c r="O163" s="5"/>
      <c r="P163" s="7" t="str">
        <f t="shared" si="14"/>
        <v/>
      </c>
      <c r="Q163" s="7" t="str">
        <f t="shared" si="15"/>
        <v/>
      </c>
      <c r="R163" s="7" t="str">
        <f t="shared" si="16"/>
        <v/>
      </c>
      <c r="S163" s="7">
        <f>IF($A163="","",IF(AND(LEFT($G163,3)="ДОК",$N163&lt;&gt;""),IFERROR(INDEX(Документация!$E$2:$E$57,MATCH($N163,Документация!$F$2:$F$57,0)),0),N($F163))*(1-MEDIAN(0,N(ДисконтТендер),1)))</f>
        <v>2704.48</v>
      </c>
      <c r="T163" s="7">
        <f>IF($A163="","",IF(AND(LEFT($G163,3)="ДОК",$N163&lt;&gt;""),0,IF(AND(LEFT($G163,3)&lt;&gt;"ДОК",$N163&lt;&gt;""),IFERROR(INDEX(МАТЕРИАЛЫ!$H$2:$H$9000,MATCH($N163,МАТЕРИАЛЫ!$L$2:$L$9000,0))*IF(INDEX(МАТЕРИАЛЫ!$I$2:$I$9000,MATCH($N163,МАТЕРИАЛЫ!$L$2:$L$9000,0))="USD",КурсUSD,IF(INDEX(МАТЕРИАЛЫ!$I$2:$I$9000,MATCH($N163,МАТЕРИАЛЫ!$L$2:$L$9000,0))="EUR",КурсEUR,IF(INDEX(МАТЕРИАЛЫ!$I$2:$I$9000,MATCH($N163,МАТЕРИАЛЫ!$L$2:$L$9000,0))="CNY",КурсCNY,1)))*(1+N($H163)/100),0),N($O163))*(1-MEDIAN(0,N(ДисконтТендер),1))))</f>
        <v>0</v>
      </c>
      <c r="U163" t="str">
        <f>IF($L163="да",MAX($U$1:$U162)+1,"")</f>
        <v/>
      </c>
      <c r="V163" t="str">
        <f t="shared" si="17"/>
        <v>Р3</v>
      </c>
      <c r="W163" t="str">
        <f t="shared" si="18"/>
        <v/>
      </c>
      <c r="X163" t="str">
        <f t="shared" si="19"/>
        <v/>
      </c>
      <c r="Y163" s="4" t="str">
        <f>IF($A163="","",IF(AND(LEFT($G163,3)="ДОК",$N163&lt;&gt;""),IFERROR(INDEX(Документация!$G$2:$G$57,MATCH($N163,Документация!$F$2:$F$57,0)),$D163),$D163&amp;IF(AND(LEFT($G163,3)&lt;&gt;"ДОК",$N163&lt;&gt;"")," — "&amp;IFERROR(INDEX(МАТЕРИАЛЫ!$C$2:$C$9000,MATCH($N163,МАТЕРИАЛЫ!$L$2:$L$9000,0)),""),"")))</f>
        <v>Кладка перегородок армированных толщиной в 1 кирпич</v>
      </c>
      <c r="Z163" t="str">
        <f t="shared" si="20"/>
        <v>Р3 · Внутренние строительные работы</v>
      </c>
    </row>
    <row r="164" spans="1:26" x14ac:dyDescent="0.3">
      <c r="A164" t="s">
        <v>399</v>
      </c>
      <c r="B164" t="s">
        <v>394</v>
      </c>
      <c r="C164" t="s">
        <v>50</v>
      </c>
      <c r="D164" s="4" t="s">
        <v>400</v>
      </c>
      <c r="E164" t="s">
        <v>52</v>
      </c>
      <c r="F164" s="5">
        <v>2035.8</v>
      </c>
      <c r="G164" t="s">
        <v>396</v>
      </c>
      <c r="H164">
        <v>5</v>
      </c>
      <c r="I164" t="s">
        <v>53</v>
      </c>
      <c r="L164" s="6"/>
      <c r="M164" s="6"/>
      <c r="N164" s="6"/>
      <c r="O164" s="5"/>
      <c r="P164" s="7" t="str">
        <f t="shared" si="14"/>
        <v/>
      </c>
      <c r="Q164" s="7" t="str">
        <f t="shared" si="15"/>
        <v/>
      </c>
      <c r="R164" s="7" t="str">
        <f t="shared" si="16"/>
        <v/>
      </c>
      <c r="S164" s="7">
        <f>IF($A164="","",IF(AND(LEFT($G164,3)="ДОК",$N164&lt;&gt;""),IFERROR(INDEX(Документация!$E$2:$E$57,MATCH($N164,Документация!$F$2:$F$57,0)),0),N($F164))*(1-MEDIAN(0,N(ДисконтТендер),1)))</f>
        <v>2035.8</v>
      </c>
      <c r="T164" s="7">
        <f>IF($A164="","",IF(AND(LEFT($G164,3)="ДОК",$N164&lt;&gt;""),0,IF(AND(LEFT($G164,3)&lt;&gt;"ДОК",$N164&lt;&gt;""),IFERROR(INDEX(МАТЕРИАЛЫ!$H$2:$H$9000,MATCH($N164,МАТЕРИАЛЫ!$L$2:$L$9000,0))*IF(INDEX(МАТЕРИАЛЫ!$I$2:$I$9000,MATCH($N164,МАТЕРИАЛЫ!$L$2:$L$9000,0))="USD",КурсUSD,IF(INDEX(МАТЕРИАЛЫ!$I$2:$I$9000,MATCH($N164,МАТЕРИАЛЫ!$L$2:$L$9000,0))="EUR",КурсEUR,IF(INDEX(МАТЕРИАЛЫ!$I$2:$I$9000,MATCH($N164,МАТЕРИАЛЫ!$L$2:$L$9000,0))="CNY",КурсCNY,1)))*(1+N($H164)/100),0),N($O164))*(1-MEDIAN(0,N(ДисконтТендер),1))))</f>
        <v>0</v>
      </c>
      <c r="U164" t="str">
        <f>IF($L164="да",MAX($U$1:$U163)+1,"")</f>
        <v/>
      </c>
      <c r="V164" t="str">
        <f t="shared" si="17"/>
        <v>Р3</v>
      </c>
      <c r="W164" t="str">
        <f t="shared" si="18"/>
        <v/>
      </c>
      <c r="X164" t="str">
        <f t="shared" si="19"/>
        <v/>
      </c>
      <c r="Y164" s="4" t="str">
        <f>IF($A164="","",IF(AND(LEFT($G164,3)="ДОК",$N164&lt;&gt;""),IFERROR(INDEX(Документация!$G$2:$G$57,MATCH($N164,Документация!$F$2:$F$57,0)),$D164),$D164&amp;IF(AND(LEFT($G164,3)&lt;&gt;"ДОК",$N164&lt;&gt;"")," — "&amp;IFERROR(INDEX(МАТЕРИАЛЫ!$C$2:$C$9000,MATCH($N164,МАТЕРИАЛЫ!$L$2:$L$9000,0)),""),"")))</f>
        <v>Кладка перегородок из пеноблоков (600*300*200)</v>
      </c>
      <c r="Z164" t="str">
        <f t="shared" si="20"/>
        <v>Р3 · Внутренние строительные работы</v>
      </c>
    </row>
    <row r="165" spans="1:26" x14ac:dyDescent="0.3">
      <c r="A165" t="s">
        <v>401</v>
      </c>
      <c r="B165" t="s">
        <v>394</v>
      </c>
      <c r="C165" t="s">
        <v>50</v>
      </c>
      <c r="D165" s="4" t="s">
        <v>402</v>
      </c>
      <c r="E165" t="s">
        <v>150</v>
      </c>
      <c r="F165" s="5">
        <v>9787.5</v>
      </c>
      <c r="G165" t="s">
        <v>396</v>
      </c>
      <c r="H165">
        <v>5</v>
      </c>
      <c r="I165" t="s">
        <v>53</v>
      </c>
      <c r="L165" s="6"/>
      <c r="M165" s="6"/>
      <c r="N165" s="6"/>
      <c r="O165" s="5"/>
      <c r="P165" s="7" t="str">
        <f t="shared" si="14"/>
        <v/>
      </c>
      <c r="Q165" s="7" t="str">
        <f t="shared" si="15"/>
        <v/>
      </c>
      <c r="R165" s="7" t="str">
        <f t="shared" si="16"/>
        <v/>
      </c>
      <c r="S165" s="7">
        <f>IF($A165="","",IF(AND(LEFT($G165,3)="ДОК",$N165&lt;&gt;""),IFERROR(INDEX(Документация!$E$2:$E$57,MATCH($N165,Документация!$F$2:$F$57,0)),0),N($F165))*(1-MEDIAN(0,N(ДисконтТендер),1)))</f>
        <v>9787.5</v>
      </c>
      <c r="T165" s="7">
        <f>IF($A165="","",IF(AND(LEFT($G165,3)="ДОК",$N165&lt;&gt;""),0,IF(AND(LEFT($G165,3)&lt;&gt;"ДОК",$N165&lt;&gt;""),IFERROR(INDEX(МАТЕРИАЛЫ!$H$2:$H$9000,MATCH($N165,МАТЕРИАЛЫ!$L$2:$L$9000,0))*IF(INDEX(МАТЕРИАЛЫ!$I$2:$I$9000,MATCH($N165,МАТЕРИАЛЫ!$L$2:$L$9000,0))="USD",КурсUSD,IF(INDEX(МАТЕРИАЛЫ!$I$2:$I$9000,MATCH($N165,МАТЕРИАЛЫ!$L$2:$L$9000,0))="EUR",КурсEUR,IF(INDEX(МАТЕРИАЛЫ!$I$2:$I$9000,MATCH($N165,МАТЕРИАЛЫ!$L$2:$L$9000,0))="CNY",КурсCNY,1)))*(1+N($H165)/100),0),N($O165))*(1-MEDIAN(0,N(ДисконтТендер),1))))</f>
        <v>0</v>
      </c>
      <c r="U165" t="str">
        <f>IF($L165="да",MAX($U$1:$U164)+1,"")</f>
        <v/>
      </c>
      <c r="V165" t="str">
        <f t="shared" si="17"/>
        <v>Р3</v>
      </c>
      <c r="W165" t="str">
        <f t="shared" si="18"/>
        <v/>
      </c>
      <c r="X165" t="str">
        <f t="shared" si="19"/>
        <v/>
      </c>
      <c r="Y165" s="4" t="str">
        <f>IF($A165="","",IF(AND(LEFT($G165,3)="ДОК",$N165&lt;&gt;""),IFERROR(INDEX(Документация!$G$2:$G$57,MATCH($N165,Документация!$F$2:$F$57,0)),$D165),$D165&amp;IF(AND(LEFT($G165,3)&lt;&gt;"ДОК",$N165&lt;&gt;"")," — "&amp;IFERROR(INDEX(МАТЕРИАЛЫ!$C$2:$C$9000,MATCH($N165,МАТЕРИАЛЫ!$L$2:$L$9000,0)),""),"")))</f>
        <v>Заделка проемов в кирпичных стенах</v>
      </c>
      <c r="Z165" t="str">
        <f t="shared" si="20"/>
        <v>Р3 · Внутренние строительные работы</v>
      </c>
    </row>
    <row r="166" spans="1:26" ht="28.8" x14ac:dyDescent="0.3">
      <c r="A166" t="s">
        <v>403</v>
      </c>
      <c r="B166" t="s">
        <v>394</v>
      </c>
      <c r="C166" t="s">
        <v>50</v>
      </c>
      <c r="D166" s="4" t="s">
        <v>404</v>
      </c>
      <c r="E166" t="s">
        <v>153</v>
      </c>
      <c r="F166" s="5">
        <v>1045</v>
      </c>
      <c r="H166">
        <v>0</v>
      </c>
      <c r="I166" t="s">
        <v>53</v>
      </c>
      <c r="L166" s="6"/>
      <c r="M166" s="6"/>
      <c r="N166" s="6"/>
      <c r="O166" s="5"/>
      <c r="P166" s="7" t="str">
        <f t="shared" si="14"/>
        <v/>
      </c>
      <c r="Q166" s="7" t="str">
        <f t="shared" si="15"/>
        <v/>
      </c>
      <c r="R166" s="7" t="str">
        <f t="shared" si="16"/>
        <v/>
      </c>
      <c r="S166" s="7">
        <f>IF($A166="","",IF(AND(LEFT($G166,3)="ДОК",$N166&lt;&gt;""),IFERROR(INDEX(Документация!$E$2:$E$57,MATCH($N166,Документация!$F$2:$F$57,0)),0),N($F166))*(1-MEDIAN(0,N(ДисконтТендер),1)))</f>
        <v>1045</v>
      </c>
      <c r="T166" s="7">
        <f>IF($A166="","",IF(AND(LEFT($G166,3)="ДОК",$N166&lt;&gt;""),0,IF(AND(LEFT($G166,3)&lt;&gt;"ДОК",$N166&lt;&gt;""),IFERROR(INDEX(МАТЕРИАЛЫ!$H$2:$H$9000,MATCH($N166,МАТЕРИАЛЫ!$L$2:$L$9000,0))*IF(INDEX(МАТЕРИАЛЫ!$I$2:$I$9000,MATCH($N166,МАТЕРИАЛЫ!$L$2:$L$9000,0))="USD",КурсUSD,IF(INDEX(МАТЕРИАЛЫ!$I$2:$I$9000,MATCH($N166,МАТЕРИАЛЫ!$L$2:$L$9000,0))="EUR",КурсEUR,IF(INDEX(МАТЕРИАЛЫ!$I$2:$I$9000,MATCH($N166,МАТЕРИАЛЫ!$L$2:$L$9000,0))="CNY",КурсCNY,1)))*(1+N($H166)/100),0),N($O166))*(1-MEDIAN(0,N(ДисконтТендер),1))))</f>
        <v>0</v>
      </c>
      <c r="U166" t="str">
        <f>IF($L166="да",MAX($U$1:$U165)+1,"")</f>
        <v/>
      </c>
      <c r="V166" t="str">
        <f t="shared" si="17"/>
        <v>Р3</v>
      </c>
      <c r="W166" t="str">
        <f t="shared" si="18"/>
        <v/>
      </c>
      <c r="X166" t="str">
        <f t="shared" si="19"/>
        <v/>
      </c>
      <c r="Y166" s="4" t="str">
        <f>IF($A166="","",IF(AND(LEFT($G166,3)="ДОК",$N166&lt;&gt;""),IFERROR(INDEX(Документация!$G$2:$G$57,MATCH($N166,Документация!$F$2:$F$57,0)),$D166),$D166&amp;IF(AND(LEFT($G166,3)&lt;&gt;"ДОК",$N166&lt;&gt;"")," — "&amp;IFERROR(INDEX(МАТЕРИАЛЫ!$C$2:$C$9000,MATCH($N166,МАТЕРИАЛЫ!$L$2:$L$9000,0)),""),"")))</f>
        <v>Усиление проемов металлическим профилем из уголка 50*3</v>
      </c>
      <c r="Z166" t="str">
        <f t="shared" si="20"/>
        <v>Р3 · Внутренние строительные работы</v>
      </c>
    </row>
    <row r="167" spans="1:26" ht="28.8" x14ac:dyDescent="0.3">
      <c r="A167" t="s">
        <v>405</v>
      </c>
      <c r="B167" t="s">
        <v>394</v>
      </c>
      <c r="C167" t="s">
        <v>50</v>
      </c>
      <c r="D167" s="4" t="s">
        <v>406</v>
      </c>
      <c r="E167" t="s">
        <v>153</v>
      </c>
      <c r="F167" s="5">
        <v>2090</v>
      </c>
      <c r="H167">
        <v>0</v>
      </c>
      <c r="I167" t="s">
        <v>53</v>
      </c>
      <c r="L167" s="6"/>
      <c r="M167" s="6"/>
      <c r="N167" s="6"/>
      <c r="O167" s="5"/>
      <c r="P167" s="7" t="str">
        <f t="shared" si="14"/>
        <v/>
      </c>
      <c r="Q167" s="7" t="str">
        <f t="shared" si="15"/>
        <v/>
      </c>
      <c r="R167" s="7" t="str">
        <f t="shared" si="16"/>
        <v/>
      </c>
      <c r="S167" s="7">
        <f>IF($A167="","",IF(AND(LEFT($G167,3)="ДОК",$N167&lt;&gt;""),IFERROR(INDEX(Документация!$E$2:$E$57,MATCH($N167,Документация!$F$2:$F$57,0)),0),N($F167))*(1-MEDIAN(0,N(ДисконтТендер),1)))</f>
        <v>2090</v>
      </c>
      <c r="T167" s="7">
        <f>IF($A167="","",IF(AND(LEFT($G167,3)="ДОК",$N167&lt;&gt;""),0,IF(AND(LEFT($G167,3)&lt;&gt;"ДОК",$N167&lt;&gt;""),IFERROR(INDEX(МАТЕРИАЛЫ!$H$2:$H$9000,MATCH($N167,МАТЕРИАЛЫ!$L$2:$L$9000,0))*IF(INDEX(МАТЕРИАЛЫ!$I$2:$I$9000,MATCH($N167,МАТЕРИАЛЫ!$L$2:$L$9000,0))="USD",КурсUSD,IF(INDEX(МАТЕРИАЛЫ!$I$2:$I$9000,MATCH($N167,МАТЕРИАЛЫ!$L$2:$L$9000,0))="EUR",КурсEUR,IF(INDEX(МАТЕРИАЛЫ!$I$2:$I$9000,MATCH($N167,МАТЕРИАЛЫ!$L$2:$L$9000,0))="CNY",КурсCNY,1)))*(1+N($H167)/100),0),N($O167))*(1-MEDIAN(0,N(ДисконтТендер),1))))</f>
        <v>0</v>
      </c>
      <c r="U167" t="str">
        <f>IF($L167="да",MAX($U$1:$U166)+1,"")</f>
        <v/>
      </c>
      <c r="V167" t="str">
        <f t="shared" si="17"/>
        <v>Р3</v>
      </c>
      <c r="W167" t="str">
        <f t="shared" si="18"/>
        <v/>
      </c>
      <c r="X167" t="str">
        <f t="shared" si="19"/>
        <v/>
      </c>
      <c r="Y167" s="4" t="str">
        <f>IF($A167="","",IF(AND(LEFT($G167,3)="ДОК",$N167&lt;&gt;""),IFERROR(INDEX(Документация!$G$2:$G$57,MATCH($N167,Документация!$F$2:$F$57,0)),$D167),$D167&amp;IF(AND(LEFT($G167,3)&lt;&gt;"ДОК",$N167&lt;&gt;"")," — "&amp;IFERROR(INDEX(МАТЕРИАЛЫ!$C$2:$C$9000,MATCH($N167,МАТЕРИАЛЫ!$L$2:$L$9000,0)),""),"")))</f>
        <v>Усиление проемов металлическим профилем из уголка 100*100*10</v>
      </c>
      <c r="Z167" t="str">
        <f t="shared" si="20"/>
        <v>Р3 · Внутренние строительные работы</v>
      </c>
    </row>
    <row r="168" spans="1:26" ht="57.6" x14ac:dyDescent="0.3">
      <c r="A168" t="s">
        <v>407</v>
      </c>
      <c r="B168" t="s">
        <v>394</v>
      </c>
      <c r="C168" t="s">
        <v>50</v>
      </c>
      <c r="D168" s="4" t="s">
        <v>408</v>
      </c>
      <c r="E168" t="s">
        <v>52</v>
      </c>
      <c r="F168" s="5">
        <v>1722.6</v>
      </c>
      <c r="G168" t="s">
        <v>409</v>
      </c>
      <c r="H168">
        <v>5</v>
      </c>
      <c r="I168" t="s">
        <v>53</v>
      </c>
      <c r="L168" s="6"/>
      <c r="M168" s="6"/>
      <c r="N168" s="6"/>
      <c r="O168" s="5"/>
      <c r="P168" s="7" t="str">
        <f t="shared" si="14"/>
        <v/>
      </c>
      <c r="Q168" s="7" t="str">
        <f t="shared" si="15"/>
        <v/>
      </c>
      <c r="R168" s="7" t="str">
        <f t="shared" si="16"/>
        <v/>
      </c>
      <c r="S168" s="7">
        <f>IF($A168="","",IF(AND(LEFT($G168,3)="ДОК",$N168&lt;&gt;""),IFERROR(INDEX(Документация!$E$2:$E$57,MATCH($N168,Документация!$F$2:$F$57,0)),0),N($F168))*(1-MEDIAN(0,N(ДисконтТендер),1)))</f>
        <v>1722.6</v>
      </c>
      <c r="T168" s="7">
        <f>IF($A168="","",IF(AND(LEFT($G168,3)="ДОК",$N168&lt;&gt;""),0,IF(AND(LEFT($G168,3)&lt;&gt;"ДОК",$N168&lt;&gt;""),IFERROR(INDEX(МАТЕРИАЛЫ!$H$2:$H$9000,MATCH($N168,МАТЕРИАЛЫ!$L$2:$L$9000,0))*IF(INDEX(МАТЕРИАЛЫ!$I$2:$I$9000,MATCH($N168,МАТЕРИАЛЫ!$L$2:$L$9000,0))="USD",КурсUSD,IF(INDEX(МАТЕРИАЛЫ!$I$2:$I$9000,MATCH($N168,МАТЕРИАЛЫ!$L$2:$L$9000,0))="EUR",КурсEUR,IF(INDEX(МАТЕРИАЛЫ!$I$2:$I$9000,MATCH($N168,МАТЕРИАЛЫ!$L$2:$L$9000,0))="CNY",КурсCNY,1)))*(1+N($H168)/100),0),N($O168))*(1-MEDIAN(0,N(ДисконтТендер),1))))</f>
        <v>0</v>
      </c>
      <c r="U168" t="str">
        <f>IF($L168="да",MAX($U$1:$U167)+1,"")</f>
        <v/>
      </c>
      <c r="V168" t="str">
        <f t="shared" si="17"/>
        <v>Р3</v>
      </c>
      <c r="W168" t="str">
        <f t="shared" si="18"/>
        <v/>
      </c>
      <c r="X168" t="str">
        <f t="shared" si="19"/>
        <v/>
      </c>
      <c r="Y168" s="4" t="str">
        <f>IF($A168="","",IF(AND(LEFT($G168,3)="ДОК",$N168&lt;&gt;""),IFERROR(INDEX(Документация!$G$2:$G$57,MATCH($N168,Документация!$F$2:$F$57,0)),$D168),$D168&amp;IF(AND(LEFT($G168,3)&lt;&gt;"ДОК",$N168&lt;&gt;"")," — "&amp;IFERROR(INDEX(МАТЕРИАЛЫ!$C$2:$C$9000,MATCH($N168,МАТЕРИАЛЫ!$L$2:$L$9000,0)),""),"")))</f>
        <v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v>
      </c>
      <c r="Z168" t="str">
        <f t="shared" si="20"/>
        <v>Р3 · Внутренние строительные работы</v>
      </c>
    </row>
    <row r="169" spans="1:26" ht="57.6" x14ac:dyDescent="0.3">
      <c r="A169" t="s">
        <v>410</v>
      </c>
      <c r="B169" t="s">
        <v>394</v>
      </c>
      <c r="C169" t="s">
        <v>50</v>
      </c>
      <c r="D169" s="4" t="s">
        <v>411</v>
      </c>
      <c r="E169" t="s">
        <v>52</v>
      </c>
      <c r="F169" s="5">
        <v>1894.86</v>
      </c>
      <c r="G169" t="s">
        <v>409</v>
      </c>
      <c r="H169">
        <v>5</v>
      </c>
      <c r="I169" t="s">
        <v>53</v>
      </c>
      <c r="L169" s="6"/>
      <c r="M169" s="6"/>
      <c r="N169" s="6"/>
      <c r="O169" s="5"/>
      <c r="P169" s="7" t="str">
        <f t="shared" si="14"/>
        <v/>
      </c>
      <c r="Q169" s="7" t="str">
        <f t="shared" si="15"/>
        <v/>
      </c>
      <c r="R169" s="7" t="str">
        <f t="shared" si="16"/>
        <v/>
      </c>
      <c r="S169" s="7">
        <f>IF($A169="","",IF(AND(LEFT($G169,3)="ДОК",$N169&lt;&gt;""),IFERROR(INDEX(Документация!$E$2:$E$57,MATCH($N169,Документация!$F$2:$F$57,0)),0),N($F169))*(1-MEDIAN(0,N(ДисконтТендер),1)))</f>
        <v>1894.86</v>
      </c>
      <c r="T169" s="7">
        <f>IF($A169="","",IF(AND(LEFT($G169,3)="ДОК",$N169&lt;&gt;""),0,IF(AND(LEFT($G169,3)&lt;&gt;"ДОК",$N169&lt;&gt;""),IFERROR(INDEX(МАТЕРИАЛЫ!$H$2:$H$9000,MATCH($N169,МАТЕРИАЛЫ!$L$2:$L$9000,0))*IF(INDEX(МАТЕРИАЛЫ!$I$2:$I$9000,MATCH($N169,МАТЕРИАЛЫ!$L$2:$L$9000,0))="USD",КурсUSD,IF(INDEX(МАТЕРИАЛЫ!$I$2:$I$9000,MATCH($N169,МАТЕРИАЛЫ!$L$2:$L$9000,0))="EUR",КурсEUR,IF(INDEX(МАТЕРИАЛЫ!$I$2:$I$9000,MATCH($N169,МАТЕРИАЛЫ!$L$2:$L$9000,0))="CNY",КурсCNY,1)))*(1+N($H169)/100),0),N($O169))*(1-MEDIAN(0,N(ДисконтТендер),1))))</f>
        <v>0</v>
      </c>
      <c r="U169" t="str">
        <f>IF($L169="да",MAX($U$1:$U168)+1,"")</f>
        <v/>
      </c>
      <c r="V169" t="str">
        <f t="shared" si="17"/>
        <v>Р3</v>
      </c>
      <c r="W169" t="str">
        <f t="shared" si="18"/>
        <v/>
      </c>
      <c r="X169" t="str">
        <f t="shared" si="19"/>
        <v/>
      </c>
      <c r="Y169" s="4" t="str">
        <f>IF($A169="","",IF(AND(LEFT($G169,3)="ДОК",$N169&lt;&gt;""),IFERROR(INDEX(Документация!$G$2:$G$57,MATCH($N169,Документация!$F$2:$F$57,0)),$D169),$D169&amp;IF(AND(LEFT($G169,3)&lt;&gt;"ДОК",$N169&lt;&gt;"")," — "&amp;IFERROR(INDEX(МАТЕРИАЛЫ!$C$2:$C$9000,MATCH($N169,МАТЕРИАЛЫ!$L$2:$L$9000,0)),""),"")))</f>
        <v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v>
      </c>
      <c r="Z169" t="str">
        <f t="shared" si="20"/>
        <v>Р3 · Внутренние строительные работы</v>
      </c>
    </row>
    <row r="170" spans="1:26" x14ac:dyDescent="0.3">
      <c r="A170" t="s">
        <v>412</v>
      </c>
      <c r="B170" t="s">
        <v>394</v>
      </c>
      <c r="C170" t="s">
        <v>50</v>
      </c>
      <c r="D170" s="4" t="s">
        <v>413</v>
      </c>
      <c r="E170" t="s">
        <v>52</v>
      </c>
      <c r="F170" s="5">
        <v>1305.22</v>
      </c>
      <c r="G170" t="s">
        <v>409</v>
      </c>
      <c r="H170">
        <v>5</v>
      </c>
      <c r="I170" t="s">
        <v>53</v>
      </c>
      <c r="L170" s="6"/>
      <c r="M170" s="6"/>
      <c r="N170" s="6"/>
      <c r="O170" s="5"/>
      <c r="P170" s="7" t="str">
        <f t="shared" si="14"/>
        <v/>
      </c>
      <c r="Q170" s="7" t="str">
        <f t="shared" si="15"/>
        <v/>
      </c>
      <c r="R170" s="7" t="str">
        <f t="shared" si="16"/>
        <v/>
      </c>
      <c r="S170" s="7">
        <f>IF($A170="","",IF(AND(LEFT($G170,3)="ДОК",$N170&lt;&gt;""),IFERROR(INDEX(Документация!$E$2:$E$57,MATCH($N170,Документация!$F$2:$F$57,0)),0),N($F170))*(1-MEDIAN(0,N(ДисконтТендер),1)))</f>
        <v>1305.22</v>
      </c>
      <c r="T170" s="7">
        <f>IF($A170="","",IF(AND(LEFT($G170,3)="ДОК",$N170&lt;&gt;""),0,IF(AND(LEFT($G170,3)&lt;&gt;"ДОК",$N170&lt;&gt;""),IFERROR(INDEX(МАТЕРИАЛЫ!$H$2:$H$9000,MATCH($N170,МАТЕРИАЛЫ!$L$2:$L$9000,0))*IF(INDEX(МАТЕРИАЛЫ!$I$2:$I$9000,MATCH($N170,МАТЕРИАЛЫ!$L$2:$L$9000,0))="USD",КурсUSD,IF(INDEX(МАТЕРИАЛЫ!$I$2:$I$9000,MATCH($N170,МАТЕРИАЛЫ!$L$2:$L$9000,0))="EUR",КурсEUR,IF(INDEX(МАТЕРИАЛЫ!$I$2:$I$9000,MATCH($N170,МАТЕРИАЛЫ!$L$2:$L$9000,0))="CNY",КурсCNY,1)))*(1+N($H170)/100),0),N($O170))*(1-MEDIAN(0,N(ДисконтТендер),1))))</f>
        <v>0</v>
      </c>
      <c r="U170" t="str">
        <f>IF($L170="да",MAX($U$1:$U169)+1,"")</f>
        <v/>
      </c>
      <c r="V170" t="str">
        <f t="shared" si="17"/>
        <v>Р3</v>
      </c>
      <c r="W170" t="str">
        <f t="shared" si="18"/>
        <v/>
      </c>
      <c r="X170" t="str">
        <f t="shared" si="19"/>
        <v/>
      </c>
      <c r="Y170" s="4" t="str">
        <f>IF($A170="","",IF(AND(LEFT($G170,3)="ДОК",$N170&lt;&gt;""),IFERROR(INDEX(Документация!$G$2:$G$57,MATCH($N170,Документация!$F$2:$F$57,0)),$D170),$D170&amp;IF(AND(LEFT($G170,3)&lt;&gt;"ДОК",$N170&lt;&gt;"")," — "&amp;IFERROR(INDEX(МАТЕРИАЛЫ!$C$2:$C$9000,MATCH($N170,МАТЕРИАЛЫ!$L$2:$L$9000,0)),""),"")))</f>
        <v>Устройство перегородки / облицовки из ГКЛ</v>
      </c>
      <c r="Z170" t="str">
        <f t="shared" si="20"/>
        <v>Р3 · Внутренние строительные работы</v>
      </c>
    </row>
    <row r="171" spans="1:26" x14ac:dyDescent="0.3">
      <c r="A171" t="s">
        <v>414</v>
      </c>
      <c r="B171" t="s">
        <v>394</v>
      </c>
      <c r="C171" t="s">
        <v>50</v>
      </c>
      <c r="D171" s="4" t="s">
        <v>413</v>
      </c>
      <c r="E171" t="s">
        <v>52</v>
      </c>
      <c r="F171" s="5">
        <v>1515.98</v>
      </c>
      <c r="G171" t="s">
        <v>409</v>
      </c>
      <c r="H171">
        <v>5</v>
      </c>
      <c r="I171" t="s">
        <v>53</v>
      </c>
      <c r="L171" s="6"/>
      <c r="M171" s="6"/>
      <c r="N171" s="6"/>
      <c r="O171" s="5"/>
      <c r="P171" s="7" t="str">
        <f t="shared" si="14"/>
        <v/>
      </c>
      <c r="Q171" s="7" t="str">
        <f t="shared" si="15"/>
        <v/>
      </c>
      <c r="R171" s="7" t="str">
        <f t="shared" si="16"/>
        <v/>
      </c>
      <c r="S171" s="7">
        <f>IF($A171="","",IF(AND(LEFT($G171,3)="ДОК",$N171&lt;&gt;""),IFERROR(INDEX(Документация!$E$2:$E$57,MATCH($N171,Документация!$F$2:$F$57,0)),0),N($F171))*(1-MEDIAN(0,N(ДисконтТендер),1)))</f>
        <v>1515.98</v>
      </c>
      <c r="T171" s="7">
        <f>IF($A171="","",IF(AND(LEFT($G171,3)="ДОК",$N171&lt;&gt;""),0,IF(AND(LEFT($G171,3)&lt;&gt;"ДОК",$N171&lt;&gt;""),IFERROR(INDEX(МАТЕРИАЛЫ!$H$2:$H$9000,MATCH($N171,МАТЕРИАЛЫ!$L$2:$L$9000,0))*IF(INDEX(МАТЕРИАЛЫ!$I$2:$I$9000,MATCH($N171,МАТЕРИАЛЫ!$L$2:$L$9000,0))="USD",КурсUSD,IF(INDEX(МАТЕРИАЛЫ!$I$2:$I$9000,MATCH($N171,МАТЕРИАЛЫ!$L$2:$L$9000,0))="EUR",КурсEUR,IF(INDEX(МАТЕРИАЛЫ!$I$2:$I$9000,MATCH($N171,МАТЕРИАЛЫ!$L$2:$L$9000,0))="CNY",КурсCNY,1)))*(1+N($H171)/100),0),N($O171))*(1-MEDIAN(0,N(ДисконтТендер),1))))</f>
        <v>0</v>
      </c>
      <c r="U171" t="str">
        <f>IF($L171="да",MAX($U$1:$U170)+1,"")</f>
        <v/>
      </c>
      <c r="V171" t="str">
        <f t="shared" si="17"/>
        <v>Р3</v>
      </c>
      <c r="W171" t="str">
        <f t="shared" si="18"/>
        <v/>
      </c>
      <c r="X171" t="str">
        <f t="shared" si="19"/>
        <v/>
      </c>
      <c r="Y171" s="4" t="str">
        <f>IF($A171="","",IF(AND(LEFT($G171,3)="ДОК",$N171&lt;&gt;""),IFERROR(INDEX(Документация!$G$2:$G$57,MATCH($N171,Документация!$F$2:$F$57,0)),$D171),$D171&amp;IF(AND(LEFT($G171,3)&lt;&gt;"ДОК",$N171&lt;&gt;"")," — "&amp;IFERROR(INDEX(МАТЕРИАЛЫ!$C$2:$C$9000,MATCH($N171,МАТЕРИАЛЫ!$L$2:$L$9000,0)),""),"")))</f>
        <v>Устройство перегородки / облицовки из ГКЛ</v>
      </c>
      <c r="Z171" t="str">
        <f t="shared" si="20"/>
        <v>Р3 · Внутренние строительные работы</v>
      </c>
    </row>
    <row r="172" spans="1:26" ht="43.2" x14ac:dyDescent="0.3">
      <c r="A172" t="s">
        <v>415</v>
      </c>
      <c r="B172" t="s">
        <v>394</v>
      </c>
      <c r="C172" t="s">
        <v>50</v>
      </c>
      <c r="D172" s="4" t="s">
        <v>416</v>
      </c>
      <c r="E172" t="s">
        <v>52</v>
      </c>
      <c r="F172" s="5">
        <v>1357.2</v>
      </c>
      <c r="G172" t="s">
        <v>409</v>
      </c>
      <c r="H172">
        <v>5</v>
      </c>
      <c r="I172" t="s">
        <v>53</v>
      </c>
      <c r="L172" s="6"/>
      <c r="M172" s="6"/>
      <c r="N172" s="6"/>
      <c r="O172" s="5"/>
      <c r="P172" s="7" t="str">
        <f t="shared" si="14"/>
        <v/>
      </c>
      <c r="Q172" s="7" t="str">
        <f t="shared" si="15"/>
        <v/>
      </c>
      <c r="R172" s="7" t="str">
        <f t="shared" si="16"/>
        <v/>
      </c>
      <c r="S172" s="7">
        <f>IF($A172="","",IF(AND(LEFT($G172,3)="ДОК",$N172&lt;&gt;""),IFERROR(INDEX(Документация!$E$2:$E$57,MATCH($N172,Документация!$F$2:$F$57,0)),0),N($F172))*(1-MEDIAN(0,N(ДисконтТендер),1)))</f>
        <v>1357.2</v>
      </c>
      <c r="T172" s="7">
        <f>IF($A172="","",IF(AND(LEFT($G172,3)="ДОК",$N172&lt;&gt;""),0,IF(AND(LEFT($G172,3)&lt;&gt;"ДОК",$N172&lt;&gt;""),IFERROR(INDEX(МАТЕРИАЛЫ!$H$2:$H$9000,MATCH($N172,МАТЕРИАЛЫ!$L$2:$L$9000,0))*IF(INDEX(МАТЕРИАЛЫ!$I$2:$I$9000,MATCH($N172,МАТЕРИАЛЫ!$L$2:$L$9000,0))="USD",КурсUSD,IF(INDEX(МАТЕРИАЛЫ!$I$2:$I$9000,MATCH($N172,МАТЕРИАЛЫ!$L$2:$L$9000,0))="EUR",КурсEUR,IF(INDEX(МАТЕРИАЛЫ!$I$2:$I$9000,MATCH($N172,МАТЕРИАЛЫ!$L$2:$L$9000,0))="CNY",КурсCNY,1)))*(1+N($H172)/100),0),N($O172))*(1-MEDIAN(0,N(ДисконтТендер),1))))</f>
        <v>0</v>
      </c>
      <c r="U172" t="str">
        <f>IF($L172="да",MAX($U$1:$U171)+1,"")</f>
        <v/>
      </c>
      <c r="V172" t="str">
        <f t="shared" si="17"/>
        <v>Р3</v>
      </c>
      <c r="W172" t="str">
        <f t="shared" si="18"/>
        <v/>
      </c>
      <c r="X172" t="str">
        <f t="shared" si="19"/>
        <v/>
      </c>
      <c r="Y172" s="4" t="str">
        <f>IF($A172="","",IF(AND(LEFT($G172,3)="ДОК",$N172&lt;&gt;""),IFERROR(INDEX(Документация!$G$2:$G$57,MATCH($N172,Документация!$F$2:$F$57,0)),$D172),$D172&amp;IF(AND(LEFT($G172,3)&lt;&gt;"ДОК",$N172&lt;&gt;"")," — "&amp;IFERROR(INDEX(МАТЕРИАЛЫ!$C$2:$C$9000,MATCH($N172,МАТЕРИАЛЫ!$L$2:$L$9000,0)),""),"")))</f>
        <v>Облицовка стен гипсокартонными листами (ГКЛ) "Кнауф" в один слой на клее (включая перфорированные уголки на внешние углы)</v>
      </c>
      <c r="Z172" t="str">
        <f t="shared" si="20"/>
        <v>Р3 · Внутренние строительные работы</v>
      </c>
    </row>
    <row r="173" spans="1:26" x14ac:dyDescent="0.3">
      <c r="A173" t="s">
        <v>417</v>
      </c>
      <c r="B173" t="s">
        <v>394</v>
      </c>
      <c r="C173" t="s">
        <v>50</v>
      </c>
      <c r="D173" s="4" t="s">
        <v>418</v>
      </c>
      <c r="E173" t="s">
        <v>52</v>
      </c>
      <c r="F173" s="5">
        <v>1305</v>
      </c>
      <c r="G173" t="s">
        <v>409</v>
      </c>
      <c r="H173">
        <v>5</v>
      </c>
      <c r="I173" t="s">
        <v>53</v>
      </c>
      <c r="L173" s="6"/>
      <c r="M173" s="6"/>
      <c r="N173" s="6"/>
      <c r="O173" s="5"/>
      <c r="P173" s="7" t="str">
        <f t="shared" si="14"/>
        <v/>
      </c>
      <c r="Q173" s="7" t="str">
        <f t="shared" si="15"/>
        <v/>
      </c>
      <c r="R173" s="7" t="str">
        <f t="shared" si="16"/>
        <v/>
      </c>
      <c r="S173" s="7">
        <f>IF($A173="","",IF(AND(LEFT($G173,3)="ДОК",$N173&lt;&gt;""),IFERROR(INDEX(Документация!$E$2:$E$57,MATCH($N173,Документация!$F$2:$F$57,0)),0),N($F173))*(1-MEDIAN(0,N(ДисконтТендер),1)))</f>
        <v>1305</v>
      </c>
      <c r="T173" s="7">
        <f>IF($A173="","",IF(AND(LEFT($G173,3)="ДОК",$N173&lt;&gt;""),0,IF(AND(LEFT($G173,3)&lt;&gt;"ДОК",$N173&lt;&gt;""),IFERROR(INDEX(МАТЕРИАЛЫ!$H$2:$H$9000,MATCH($N173,МАТЕРИАЛЫ!$L$2:$L$9000,0))*IF(INDEX(МАТЕРИАЛЫ!$I$2:$I$9000,MATCH($N173,МАТЕРИАЛЫ!$L$2:$L$9000,0))="USD",КурсUSD,IF(INDEX(МАТЕРИАЛЫ!$I$2:$I$9000,MATCH($N173,МАТЕРИАЛЫ!$L$2:$L$9000,0))="EUR",КурсEUR,IF(INDEX(МАТЕРИАЛЫ!$I$2:$I$9000,MATCH($N173,МАТЕРИАЛЫ!$L$2:$L$9000,0))="CNY",КурсCNY,1)))*(1+N($H173)/100),0),N($O173))*(1-MEDIAN(0,N(ДисконтТендер),1))))</f>
        <v>0</v>
      </c>
      <c r="U173" t="str">
        <f>IF($L173="да",MAX($U$1:$U172)+1,"")</f>
        <v/>
      </c>
      <c r="V173" t="str">
        <f t="shared" si="17"/>
        <v>Р3</v>
      </c>
      <c r="W173" t="str">
        <f t="shared" si="18"/>
        <v/>
      </c>
      <c r="X173" t="str">
        <f t="shared" si="19"/>
        <v/>
      </c>
      <c r="Y173" s="4" t="str">
        <f>IF($A173="","",IF(AND(LEFT($G173,3)="ДОК",$N173&lt;&gt;""),IFERROR(INDEX(Документация!$G$2:$G$57,MATCH($N173,Документация!$F$2:$F$57,0)),$D173),$D173&amp;IF(AND(LEFT($G173,3)&lt;&gt;"ДОК",$N173&lt;&gt;"")," — "&amp;IFERROR(INDEX(МАТЕРИАЛЫ!$C$2:$C$9000,MATCH($N173,МАТЕРИАЛЫ!$L$2:$L$9000,0)),""),"")))</f>
        <v>Устройство оконных откосов из ГКЛВ толщ. 12 мм.</v>
      </c>
      <c r="Z173" t="str">
        <f t="shared" si="20"/>
        <v>Р3 · Внутренние строительные работы</v>
      </c>
    </row>
    <row r="174" spans="1:26" ht="28.8" x14ac:dyDescent="0.3">
      <c r="A174" t="s">
        <v>419</v>
      </c>
      <c r="B174" t="s">
        <v>394</v>
      </c>
      <c r="C174" t="s">
        <v>50</v>
      </c>
      <c r="D174" s="4" t="s">
        <v>420</v>
      </c>
      <c r="E174" t="s">
        <v>52</v>
      </c>
      <c r="F174" s="5">
        <v>106.14</v>
      </c>
      <c r="G174" t="s">
        <v>421</v>
      </c>
      <c r="H174">
        <v>5</v>
      </c>
      <c r="I174" t="s">
        <v>53</v>
      </c>
      <c r="L174" s="6"/>
      <c r="M174" s="6"/>
      <c r="N174" s="6"/>
      <c r="O174" s="5"/>
      <c r="P174" s="7" t="str">
        <f t="shared" si="14"/>
        <v/>
      </c>
      <c r="Q174" s="7" t="str">
        <f t="shared" si="15"/>
        <v/>
      </c>
      <c r="R174" s="7" t="str">
        <f t="shared" si="16"/>
        <v/>
      </c>
      <c r="S174" s="7">
        <f>IF($A174="","",IF(AND(LEFT($G174,3)="ДОК",$N174&lt;&gt;""),IFERROR(INDEX(Документация!$E$2:$E$57,MATCH($N174,Документация!$F$2:$F$57,0)),0),N($F174))*(1-MEDIAN(0,N(ДисконтТендер),1)))</f>
        <v>106.14</v>
      </c>
      <c r="T174" s="7">
        <f>IF($A174="","",IF(AND(LEFT($G174,3)="ДОК",$N174&lt;&gt;""),0,IF(AND(LEFT($G174,3)&lt;&gt;"ДОК",$N174&lt;&gt;""),IFERROR(INDEX(МАТЕРИАЛЫ!$H$2:$H$9000,MATCH($N174,МАТЕРИАЛЫ!$L$2:$L$9000,0))*IF(INDEX(МАТЕРИАЛЫ!$I$2:$I$9000,MATCH($N174,МАТЕРИАЛЫ!$L$2:$L$9000,0))="USD",КурсUSD,IF(INDEX(МАТЕРИАЛЫ!$I$2:$I$9000,MATCH($N174,МАТЕРИАЛЫ!$L$2:$L$9000,0))="EUR",КурсEUR,IF(INDEX(МАТЕРИАЛЫ!$I$2:$I$9000,MATCH($N174,МАТЕРИАЛЫ!$L$2:$L$9000,0))="CNY",КурсCNY,1)))*(1+N($H174)/100),0),N($O174))*(1-MEDIAN(0,N(ДисконтТендер),1))))</f>
        <v>0</v>
      </c>
      <c r="U174" t="str">
        <f>IF($L174="да",MAX($U$1:$U173)+1,"")</f>
        <v/>
      </c>
      <c r="V174" t="str">
        <f t="shared" si="17"/>
        <v>Р3</v>
      </c>
      <c r="W174" t="str">
        <f t="shared" si="18"/>
        <v/>
      </c>
      <c r="X174" t="str">
        <f t="shared" si="19"/>
        <v/>
      </c>
      <c r="Y174" s="4" t="str">
        <f>IF($A174="","",IF(AND(LEFT($G174,3)="ДОК",$N174&lt;&gt;""),IFERROR(INDEX(Документация!$G$2:$G$57,MATCH($N174,Документация!$F$2:$F$57,0)),$D174),$D174&amp;IF(AND(LEFT($G174,3)&lt;&gt;"ДОК",$N174&lt;&gt;"")," — "&amp;IFERROR(INDEX(МАТЕРИАЛЫ!$C$2:$C$9000,MATCH($N174,МАТЕРИАЛЫ!$L$2:$L$9000,0)),""),"")))</f>
        <v>Тепло- и звукоизоляция стен из минеральных материалов</v>
      </c>
      <c r="Z174" t="str">
        <f t="shared" si="20"/>
        <v>Р3 · Внутренние строительные работы</v>
      </c>
    </row>
    <row r="175" spans="1:26" x14ac:dyDescent="0.3">
      <c r="A175" t="s">
        <v>422</v>
      </c>
      <c r="B175" t="s">
        <v>394</v>
      </c>
      <c r="C175" t="s">
        <v>50</v>
      </c>
      <c r="D175" s="4" t="s">
        <v>423</v>
      </c>
      <c r="E175" t="s">
        <v>52</v>
      </c>
      <c r="F175" s="5">
        <v>977.08</v>
      </c>
      <c r="H175">
        <v>0</v>
      </c>
      <c r="I175" t="s">
        <v>53</v>
      </c>
      <c r="L175" s="6"/>
      <c r="M175" s="6"/>
      <c r="N175" s="6"/>
      <c r="O175" s="5"/>
      <c r="P175" s="7" t="str">
        <f t="shared" si="14"/>
        <v/>
      </c>
      <c r="Q175" s="7" t="str">
        <f t="shared" si="15"/>
        <v/>
      </c>
      <c r="R175" s="7" t="str">
        <f t="shared" si="16"/>
        <v/>
      </c>
      <c r="S175" s="7">
        <f>IF($A175="","",IF(AND(LEFT($G175,3)="ДОК",$N175&lt;&gt;""),IFERROR(INDEX(Документация!$E$2:$E$57,MATCH($N175,Документация!$F$2:$F$57,0)),0),N($F175))*(1-MEDIAN(0,N(ДисконтТендер),1)))</f>
        <v>977.08</v>
      </c>
      <c r="T175" s="7">
        <f>IF($A175="","",IF(AND(LEFT($G175,3)="ДОК",$N175&lt;&gt;""),0,IF(AND(LEFT($G175,3)&lt;&gt;"ДОК",$N175&lt;&gt;""),IFERROR(INDEX(МАТЕРИАЛЫ!$H$2:$H$9000,MATCH($N175,МАТЕРИАЛЫ!$L$2:$L$9000,0))*IF(INDEX(МАТЕРИАЛЫ!$I$2:$I$9000,MATCH($N175,МАТЕРИАЛЫ!$L$2:$L$9000,0))="USD",КурсUSD,IF(INDEX(МАТЕРИАЛЫ!$I$2:$I$9000,MATCH($N175,МАТЕРИАЛЫ!$L$2:$L$9000,0))="EUR",КурсEUR,IF(INDEX(МАТЕРИАЛЫ!$I$2:$I$9000,MATCH($N175,МАТЕРИАЛЫ!$L$2:$L$9000,0))="CNY",КурсCNY,1)))*(1+N($H175)/100),0),N($O175))*(1-MEDIAN(0,N(ДисконтТендер),1))))</f>
        <v>0</v>
      </c>
      <c r="U175" t="str">
        <f>IF($L175="да",MAX($U$1:$U174)+1,"")</f>
        <v/>
      </c>
      <c r="V175" t="str">
        <f t="shared" si="17"/>
        <v>Р3</v>
      </c>
      <c r="W175" t="str">
        <f t="shared" si="18"/>
        <v/>
      </c>
      <c r="X175" t="str">
        <f t="shared" si="19"/>
        <v/>
      </c>
      <c r="Y175" s="4" t="str">
        <f>IF($A175="","",IF(AND(LEFT($G175,3)="ДОК",$N175&lt;&gt;""),IFERROR(INDEX(Документация!$G$2:$G$57,MATCH($N175,Документация!$F$2:$F$57,0)),$D175),$D175&amp;IF(AND(LEFT($G175,3)&lt;&gt;"ДОК",$N175&lt;&gt;"")," — "&amp;IFERROR(INDEX(МАТЕРИАЛЫ!$C$2:$C$9000,MATCH($N175,МАТЕРИАЛЫ!$L$2:$L$9000,0)),""),"")))</f>
        <v>Штукатурка стен</v>
      </c>
      <c r="Z175" t="str">
        <f t="shared" si="20"/>
        <v>Р3 · Внутренние строительные работы</v>
      </c>
    </row>
    <row r="176" spans="1:26" x14ac:dyDescent="0.3">
      <c r="A176" t="s">
        <v>424</v>
      </c>
      <c r="B176" t="s">
        <v>394</v>
      </c>
      <c r="C176" t="s">
        <v>50</v>
      </c>
      <c r="D176" s="4" t="s">
        <v>425</v>
      </c>
      <c r="E176" t="s">
        <v>153</v>
      </c>
      <c r="F176" s="5">
        <v>616.1</v>
      </c>
      <c r="G176" t="s">
        <v>396</v>
      </c>
      <c r="H176">
        <v>5</v>
      </c>
      <c r="I176" t="s">
        <v>53</v>
      </c>
      <c r="L176" s="6"/>
      <c r="M176" s="6"/>
      <c r="N176" s="6"/>
      <c r="O176" s="5"/>
      <c r="P176" s="7" t="str">
        <f t="shared" si="14"/>
        <v/>
      </c>
      <c r="Q176" s="7" t="str">
        <f t="shared" si="15"/>
        <v/>
      </c>
      <c r="R176" s="7" t="str">
        <f t="shared" si="16"/>
        <v/>
      </c>
      <c r="S176" s="7">
        <f>IF($A176="","",IF(AND(LEFT($G176,3)="ДОК",$N176&lt;&gt;""),IFERROR(INDEX(Документация!$E$2:$E$57,MATCH($N176,Документация!$F$2:$F$57,0)),0),N($F176))*(1-MEDIAN(0,N(ДисконтТендер),1)))</f>
        <v>616.1</v>
      </c>
      <c r="T176" s="7">
        <f>IF($A176="","",IF(AND(LEFT($G176,3)="ДОК",$N176&lt;&gt;""),0,IF(AND(LEFT($G176,3)&lt;&gt;"ДОК",$N176&lt;&gt;""),IFERROR(INDEX(МАТЕРИАЛЫ!$H$2:$H$9000,MATCH($N176,МАТЕРИАЛЫ!$L$2:$L$9000,0))*IF(INDEX(МАТЕРИАЛЫ!$I$2:$I$9000,MATCH($N176,МАТЕРИАЛЫ!$L$2:$L$9000,0))="USD",КурсUSD,IF(INDEX(МАТЕРИАЛЫ!$I$2:$I$9000,MATCH($N176,МАТЕРИАЛЫ!$L$2:$L$9000,0))="EUR",КурсEUR,IF(INDEX(МАТЕРИАЛЫ!$I$2:$I$9000,MATCH($N176,МАТЕРИАЛЫ!$L$2:$L$9000,0))="CNY",КурсCNY,1)))*(1+N($H176)/100),0),N($O176))*(1-MEDIAN(0,N(ДисконтТендер),1))))</f>
        <v>0</v>
      </c>
      <c r="U176" t="str">
        <f>IF($L176="да",MAX($U$1:$U175)+1,"")</f>
        <v/>
      </c>
      <c r="V176" t="str">
        <f t="shared" si="17"/>
        <v>Р3</v>
      </c>
      <c r="W176" t="str">
        <f t="shared" si="18"/>
        <v/>
      </c>
      <c r="X176" t="str">
        <f t="shared" si="19"/>
        <v/>
      </c>
      <c r="Y176" s="4" t="str">
        <f>IF($A176="","",IF(AND(LEFT($G176,3)="ДОК",$N176&lt;&gt;""),IFERROR(INDEX(Документация!$G$2:$G$57,MATCH($N176,Документация!$F$2:$F$57,0)),$D176),$D176&amp;IF(AND(LEFT($G176,3)&lt;&gt;"ДОК",$N176&lt;&gt;"")," — "&amp;IFERROR(INDEX(МАТЕРИАЛЫ!$C$2:$C$9000,MATCH($N176,МАТЕРИАЛЫ!$L$2:$L$9000,0)),""),"")))</f>
        <v>Устройство штроб в кирпичных стенах</v>
      </c>
      <c r="Z176" t="str">
        <f t="shared" si="20"/>
        <v>Р3 · Внутренние строительные работы</v>
      </c>
    </row>
    <row r="177" spans="1:26" ht="43.2" x14ac:dyDescent="0.3">
      <c r="A177" t="s">
        <v>426</v>
      </c>
      <c r="B177" t="s">
        <v>394</v>
      </c>
      <c r="C177" t="s">
        <v>50</v>
      </c>
      <c r="D177" s="4" t="s">
        <v>427</v>
      </c>
      <c r="E177" t="s">
        <v>153</v>
      </c>
      <c r="F177" s="5">
        <v>585.20000000000005</v>
      </c>
      <c r="H177">
        <v>0</v>
      </c>
      <c r="I177" t="s">
        <v>53</v>
      </c>
      <c r="L177" s="6"/>
      <c r="M177" s="6"/>
      <c r="N177" s="6"/>
      <c r="O177" s="5"/>
      <c r="P177" s="7" t="str">
        <f t="shared" si="14"/>
        <v/>
      </c>
      <c r="Q177" s="7" t="str">
        <f t="shared" si="15"/>
        <v/>
      </c>
      <c r="R177" s="7" t="str">
        <f t="shared" si="16"/>
        <v/>
      </c>
      <c r="S177" s="7">
        <f>IF($A177="","",IF(AND(LEFT($G177,3)="ДОК",$N177&lt;&gt;""),IFERROR(INDEX(Документация!$E$2:$E$57,MATCH($N177,Документация!$F$2:$F$57,0)),0),N($F177))*(1-MEDIAN(0,N(ДисконтТендер),1)))</f>
        <v>585.20000000000005</v>
      </c>
      <c r="T177" s="7">
        <f>IF($A177="","",IF(AND(LEFT($G177,3)="ДОК",$N177&lt;&gt;""),0,IF(AND(LEFT($G177,3)&lt;&gt;"ДОК",$N177&lt;&gt;""),IFERROR(INDEX(МАТЕРИАЛЫ!$H$2:$H$9000,MATCH($N177,МАТЕРИАЛЫ!$L$2:$L$9000,0))*IF(INDEX(МАТЕРИАЛЫ!$I$2:$I$9000,MATCH($N177,МАТЕРИАЛЫ!$L$2:$L$9000,0))="USD",КурсUSD,IF(INDEX(МАТЕРИАЛЫ!$I$2:$I$9000,MATCH($N177,МАТЕРИАЛЫ!$L$2:$L$9000,0))="EUR",КурсEUR,IF(INDEX(МАТЕРИАЛЫ!$I$2:$I$9000,MATCH($N177,МАТЕРИАЛЫ!$L$2:$L$9000,0))="CNY",КурсCNY,1)))*(1+N($H177)/100),0),N($O177))*(1-MEDIAN(0,N(ДисконтТендер),1))))</f>
        <v>0</v>
      </c>
      <c r="U177" t="str">
        <f>IF($L177="да",MAX($U$1:$U176)+1,"")</f>
        <v/>
      </c>
      <c r="V177" t="str">
        <f t="shared" si="17"/>
        <v>Р3</v>
      </c>
      <c r="W177" t="str">
        <f t="shared" si="18"/>
        <v/>
      </c>
      <c r="X177" t="str">
        <f t="shared" si="19"/>
        <v/>
      </c>
      <c r="Y177" s="4" t="str">
        <f>IF($A177="","",IF(AND(LEFT($G177,3)="ДОК",$N177&lt;&gt;""),IFERROR(INDEX(Документация!$G$2:$G$57,MATCH($N177,Документация!$F$2:$F$57,0)),$D177),$D177&amp;IF(AND(LEFT($G177,3)&lt;&gt;"ДОК",$N177&lt;&gt;"")," — "&amp;IFERROR(INDEX(МАТЕРИАЛЫ!$C$2:$C$9000,MATCH($N177,МАТЕРИАЛЫ!$L$2:$L$9000,0)),""),"")))</f>
        <v>Устройство штроб в конструкциях газосиликатных, керамзитобетонных, шлакобетонных, пенобетонных.</v>
      </c>
      <c r="Z177" t="str">
        <f t="shared" si="20"/>
        <v>Р3 · Внутренние строительные работы</v>
      </c>
    </row>
    <row r="178" spans="1:26" ht="43.2" x14ac:dyDescent="0.3">
      <c r="A178" t="s">
        <v>428</v>
      </c>
      <c r="B178" t="s">
        <v>394</v>
      </c>
      <c r="C178" t="s">
        <v>50</v>
      </c>
      <c r="D178" s="4" t="s">
        <v>429</v>
      </c>
      <c r="E178" t="s">
        <v>150</v>
      </c>
      <c r="F178" s="5">
        <v>25414.48</v>
      </c>
      <c r="G178" t="s">
        <v>396</v>
      </c>
      <c r="H178">
        <v>5</v>
      </c>
      <c r="I178" t="s">
        <v>53</v>
      </c>
      <c r="L178" s="6"/>
      <c r="M178" s="6"/>
      <c r="N178" s="6"/>
      <c r="O178" s="5"/>
      <c r="P178" s="7" t="str">
        <f t="shared" si="14"/>
        <v/>
      </c>
      <c r="Q178" s="7" t="str">
        <f t="shared" si="15"/>
        <v/>
      </c>
      <c r="R178" s="7" t="str">
        <f t="shared" si="16"/>
        <v/>
      </c>
      <c r="S178" s="7">
        <f>IF($A178="","",IF(AND(LEFT($G178,3)="ДОК",$N178&lt;&gt;""),IFERROR(INDEX(Документация!$E$2:$E$57,MATCH($N178,Документация!$F$2:$F$57,0)),0),N($F178))*(1-MEDIAN(0,N(ДисконтТендер),1)))</f>
        <v>25414.48</v>
      </c>
      <c r="T178" s="7">
        <f>IF($A178="","",IF(AND(LEFT($G178,3)="ДОК",$N178&lt;&gt;""),0,IF(AND(LEFT($G178,3)&lt;&gt;"ДОК",$N178&lt;&gt;""),IFERROR(INDEX(МАТЕРИАЛЫ!$H$2:$H$9000,MATCH($N178,МАТЕРИАЛЫ!$L$2:$L$9000,0))*IF(INDEX(МАТЕРИАЛЫ!$I$2:$I$9000,MATCH($N178,МАТЕРИАЛЫ!$L$2:$L$9000,0))="USD",КурсUSD,IF(INDEX(МАТЕРИАЛЫ!$I$2:$I$9000,MATCH($N178,МАТЕРИАЛЫ!$L$2:$L$9000,0))="EUR",КурсEUR,IF(INDEX(МАТЕРИАЛЫ!$I$2:$I$9000,MATCH($N178,МАТЕРИАЛЫ!$L$2:$L$9000,0))="CNY",КурсCNY,1)))*(1+N($H178)/100),0),N($O178))*(1-MEDIAN(0,N(ДисконтТендер),1))))</f>
        <v>0</v>
      </c>
      <c r="U178" t="str">
        <f>IF($L178="да",MAX($U$1:$U177)+1,"")</f>
        <v/>
      </c>
      <c r="V178" t="str">
        <f t="shared" si="17"/>
        <v>Р3</v>
      </c>
      <c r="W178" t="str">
        <f t="shared" si="18"/>
        <v/>
      </c>
      <c r="X178" t="str">
        <f t="shared" si="19"/>
        <v/>
      </c>
      <c r="Y178" s="4" t="str">
        <f>IF($A178="","",IF(AND(LEFT($G178,3)="ДОК",$N178&lt;&gt;""),IFERROR(INDEX(Документация!$G$2:$G$57,MATCH($N178,Документация!$F$2:$F$57,0)),$D178),$D178&amp;IF(AND(LEFT($G178,3)&lt;&gt;"ДОК",$N178&lt;&gt;"")," — "&amp;IFERROR(INDEX(МАТЕРИАЛЫ!$C$2:$C$9000,MATCH($N178,МАТЕРИАЛЫ!$L$2:$L$9000,0)),""),"")))</f>
        <v>Пробивка отверстий в кирпичных стенах фасада, внутренних перегородках под прокладку труб ОВиК, электролотков,</v>
      </c>
      <c r="Z178" t="str">
        <f t="shared" si="20"/>
        <v>Р3 · Внутренние строительные работы</v>
      </c>
    </row>
    <row r="179" spans="1:26" ht="43.2" x14ac:dyDescent="0.3">
      <c r="A179" t="s">
        <v>430</v>
      </c>
      <c r="B179" t="s">
        <v>394</v>
      </c>
      <c r="C179" t="s">
        <v>50</v>
      </c>
      <c r="D179" s="4" t="s">
        <v>431</v>
      </c>
      <c r="E179" t="s">
        <v>150</v>
      </c>
      <c r="F179" s="5">
        <v>31115.45</v>
      </c>
      <c r="H179">
        <v>0</v>
      </c>
      <c r="I179" t="s">
        <v>53</v>
      </c>
      <c r="L179" s="6"/>
      <c r="M179" s="6"/>
      <c r="N179" s="6"/>
      <c r="O179" s="5"/>
      <c r="P179" s="7" t="str">
        <f t="shared" si="14"/>
        <v/>
      </c>
      <c r="Q179" s="7" t="str">
        <f t="shared" si="15"/>
        <v/>
      </c>
      <c r="R179" s="7" t="str">
        <f t="shared" si="16"/>
        <v/>
      </c>
      <c r="S179" s="7">
        <f>IF($A179="","",IF(AND(LEFT($G179,3)="ДОК",$N179&lt;&gt;""),IFERROR(INDEX(Документация!$E$2:$E$57,MATCH($N179,Документация!$F$2:$F$57,0)),0),N($F179))*(1-MEDIAN(0,N(ДисконтТендер),1)))</f>
        <v>31115.45</v>
      </c>
      <c r="T179" s="7">
        <f>IF($A179="","",IF(AND(LEFT($G179,3)="ДОК",$N179&lt;&gt;""),0,IF(AND(LEFT($G179,3)&lt;&gt;"ДОК",$N179&lt;&gt;""),IFERROR(INDEX(МАТЕРИАЛЫ!$H$2:$H$9000,MATCH($N179,МАТЕРИАЛЫ!$L$2:$L$9000,0))*IF(INDEX(МАТЕРИАЛЫ!$I$2:$I$9000,MATCH($N179,МАТЕРИАЛЫ!$L$2:$L$9000,0))="USD",КурсUSD,IF(INDEX(МАТЕРИАЛЫ!$I$2:$I$9000,MATCH($N179,МАТЕРИАЛЫ!$L$2:$L$9000,0))="EUR",КурсEUR,IF(INDEX(МАТЕРИАЛЫ!$I$2:$I$9000,MATCH($N179,МАТЕРИАЛЫ!$L$2:$L$9000,0))="CNY",КурсCNY,1)))*(1+N($H179)/100),0),N($O179))*(1-MEDIAN(0,N(ДисконтТендер),1))))</f>
        <v>0</v>
      </c>
      <c r="U179" t="str">
        <f>IF($L179="да",MAX($U$1:$U178)+1,"")</f>
        <v/>
      </c>
      <c r="V179" t="str">
        <f t="shared" si="17"/>
        <v>Р3</v>
      </c>
      <c r="W179" t="str">
        <f t="shared" si="18"/>
        <v/>
      </c>
      <c r="X179" t="str">
        <f t="shared" si="19"/>
        <v/>
      </c>
      <c r="Y179" s="4" t="str">
        <f>IF($A179="","",IF(AND(LEFT($G179,3)="ДОК",$N179&lt;&gt;""),IFERROR(INDEX(Документация!$G$2:$G$57,MATCH($N179,Документация!$F$2:$F$57,0)),$D179),$D179&amp;IF(AND(LEFT($G179,3)&lt;&gt;"ДОК",$N179&lt;&gt;"")," — "&amp;IFERROR(INDEX(МАТЕРИАЛЫ!$C$2:$C$9000,MATCH($N179,МАТЕРИАЛЫ!$L$2:$L$9000,0)),""),"")))</f>
        <v>Пробивка отверстий в бетоных стенах фасада, внутренних перегородках под прокладку труб ОВиК, электролотков.</v>
      </c>
      <c r="Z179" t="str">
        <f t="shared" si="20"/>
        <v>Р3 · Внутренние строительные работы</v>
      </c>
    </row>
    <row r="180" spans="1:26" ht="28.8" x14ac:dyDescent="0.3">
      <c r="A180" t="s">
        <v>432</v>
      </c>
      <c r="B180" t="s">
        <v>394</v>
      </c>
      <c r="C180" t="s">
        <v>50</v>
      </c>
      <c r="D180" s="4" t="s">
        <v>433</v>
      </c>
      <c r="E180" t="s">
        <v>52</v>
      </c>
      <c r="F180" s="5">
        <v>500.21</v>
      </c>
      <c r="H180">
        <v>0</v>
      </c>
      <c r="I180" t="s">
        <v>53</v>
      </c>
      <c r="L180" s="6"/>
      <c r="M180" s="6"/>
      <c r="N180" s="6"/>
      <c r="O180" s="5"/>
      <c r="P180" s="7" t="str">
        <f t="shared" si="14"/>
        <v/>
      </c>
      <c r="Q180" s="7" t="str">
        <f t="shared" si="15"/>
        <v/>
      </c>
      <c r="R180" s="7" t="str">
        <f t="shared" si="16"/>
        <v/>
      </c>
      <c r="S180" s="7">
        <f>IF($A180="","",IF(AND(LEFT($G180,3)="ДОК",$N180&lt;&gt;""),IFERROR(INDEX(Документация!$E$2:$E$57,MATCH($N180,Документация!$F$2:$F$57,0)),0),N($F180))*(1-MEDIAN(0,N(ДисконтТендер),1)))</f>
        <v>500.21</v>
      </c>
      <c r="T180" s="7">
        <f>IF($A180="","",IF(AND(LEFT($G180,3)="ДОК",$N180&lt;&gt;""),0,IF(AND(LEFT($G180,3)&lt;&gt;"ДОК",$N180&lt;&gt;""),IFERROR(INDEX(МАТЕРИАЛЫ!$H$2:$H$9000,MATCH($N180,МАТЕРИАЛЫ!$L$2:$L$9000,0))*IF(INDEX(МАТЕРИАЛЫ!$I$2:$I$9000,MATCH($N180,МАТЕРИАЛЫ!$L$2:$L$9000,0))="USD",КурсUSD,IF(INDEX(МАТЕРИАЛЫ!$I$2:$I$9000,MATCH($N180,МАТЕРИАЛЫ!$L$2:$L$9000,0))="EUR",КурсEUR,IF(INDEX(МАТЕРИАЛЫ!$I$2:$I$9000,MATCH($N180,МАТЕРИАЛЫ!$L$2:$L$9000,0))="CNY",КурсCNY,1)))*(1+N($H180)/100),0),N($O180))*(1-MEDIAN(0,N(ДисконтТендер),1))))</f>
        <v>0</v>
      </c>
      <c r="U180" t="str">
        <f>IF($L180="да",MAX($U$1:$U179)+1,"")</f>
        <v/>
      </c>
      <c r="V180" t="str">
        <f t="shared" si="17"/>
        <v>Р3</v>
      </c>
      <c r="W180" t="str">
        <f t="shared" si="18"/>
        <v/>
      </c>
      <c r="X180" t="str">
        <f t="shared" si="19"/>
        <v/>
      </c>
      <c r="Y180" s="4" t="str">
        <f>IF($A180="","",IF(AND(LEFT($G180,3)="ДОК",$N180&lt;&gt;""),IFERROR(INDEX(Документация!$G$2:$G$57,MATCH($N180,Документация!$F$2:$F$57,0)),$D180),$D180&amp;IF(AND(LEFT($G180,3)&lt;&gt;"ДОК",$N180&lt;&gt;"")," — "&amp;IFERROR(INDEX(МАТЕРИАЛЫ!$C$2:$C$9000,MATCH($N180,МАТЕРИАЛЫ!$L$2:$L$9000,0)),""),"")))</f>
        <v>Запенивание противопожарной пеной тех. отверстий прохода транзитных коммуникаций</v>
      </c>
      <c r="Z180" t="str">
        <f t="shared" si="20"/>
        <v>Р3 · Внутренние строительные работы</v>
      </c>
    </row>
    <row r="181" spans="1:26" ht="28.8" x14ac:dyDescent="0.3">
      <c r="A181" t="s">
        <v>434</v>
      </c>
      <c r="B181" t="s">
        <v>394</v>
      </c>
      <c r="C181" t="s">
        <v>50</v>
      </c>
      <c r="D181" s="4" t="s">
        <v>435</v>
      </c>
      <c r="E181" t="s">
        <v>150</v>
      </c>
      <c r="F181" s="5">
        <v>12214.8</v>
      </c>
      <c r="H181">
        <v>0</v>
      </c>
      <c r="I181" t="s">
        <v>53</v>
      </c>
      <c r="L181" s="6"/>
      <c r="M181" s="6"/>
      <c r="N181" s="6"/>
      <c r="O181" s="5"/>
      <c r="P181" s="7" t="str">
        <f t="shared" si="14"/>
        <v/>
      </c>
      <c r="Q181" s="7" t="str">
        <f t="shared" si="15"/>
        <v/>
      </c>
      <c r="R181" s="7" t="str">
        <f t="shared" si="16"/>
        <v/>
      </c>
      <c r="S181" s="7">
        <f>IF($A181="","",IF(AND(LEFT($G181,3)="ДОК",$N181&lt;&gt;""),IFERROR(INDEX(Документация!$E$2:$E$57,MATCH($N181,Документация!$F$2:$F$57,0)),0),N($F181))*(1-MEDIAN(0,N(ДисконтТендер),1)))</f>
        <v>12214.8</v>
      </c>
      <c r="T181" s="7">
        <f>IF($A181="","",IF(AND(LEFT($G181,3)="ДОК",$N181&lt;&gt;""),0,IF(AND(LEFT($G181,3)&lt;&gt;"ДОК",$N181&lt;&gt;""),IFERROR(INDEX(МАТЕРИАЛЫ!$H$2:$H$9000,MATCH($N181,МАТЕРИАЛЫ!$L$2:$L$9000,0))*IF(INDEX(МАТЕРИАЛЫ!$I$2:$I$9000,MATCH($N181,МАТЕРИАЛЫ!$L$2:$L$9000,0))="USD",КурсUSD,IF(INDEX(МАТЕРИАЛЫ!$I$2:$I$9000,MATCH($N181,МАТЕРИАЛЫ!$L$2:$L$9000,0))="EUR",КурсEUR,IF(INDEX(МАТЕРИАЛЫ!$I$2:$I$9000,MATCH($N181,МАТЕРИАЛЫ!$L$2:$L$9000,0))="CNY",КурсCNY,1)))*(1+N($H181)/100),0),N($O181))*(1-MEDIAN(0,N(ДисконтТендер),1))))</f>
        <v>0</v>
      </c>
      <c r="U181" t="str">
        <f>IF($L181="да",MAX($U$1:$U180)+1,"")</f>
        <v/>
      </c>
      <c r="V181" t="str">
        <f t="shared" si="17"/>
        <v>Р3</v>
      </c>
      <c r="W181" t="str">
        <f t="shared" si="18"/>
        <v/>
      </c>
      <c r="X181" t="str">
        <f t="shared" si="19"/>
        <v/>
      </c>
      <c r="Y181" s="4" t="str">
        <f>IF($A181="","",IF(AND(LEFT($G181,3)="ДОК",$N181&lt;&gt;""),IFERROR(INDEX(Документация!$G$2:$G$57,MATCH($N181,Документация!$F$2:$F$57,0)),$D181),$D181&amp;IF(AND(LEFT($G181,3)&lt;&gt;"ДОК",$N181&lt;&gt;"")," — "&amp;IFERROR(INDEX(МАТЕРИАЛЫ!$C$2:$C$9000,MATCH($N181,МАТЕРИАЛЫ!$L$2:$L$9000,0)),""),"")))</f>
        <v>Пробивка проемов в стенах из пенобетонных блоков</v>
      </c>
      <c r="Z181" t="str">
        <f t="shared" si="20"/>
        <v>Р3 · Внутренние строительные работы</v>
      </c>
    </row>
    <row r="182" spans="1:26" x14ac:dyDescent="0.3">
      <c r="A182" t="s">
        <v>436</v>
      </c>
      <c r="B182" t="s">
        <v>394</v>
      </c>
      <c r="C182" t="s">
        <v>50</v>
      </c>
      <c r="D182" s="4" t="s">
        <v>437</v>
      </c>
      <c r="E182" t="s">
        <v>150</v>
      </c>
      <c r="F182" s="5">
        <v>10521.32</v>
      </c>
      <c r="G182" t="s">
        <v>396</v>
      </c>
      <c r="H182">
        <v>5</v>
      </c>
      <c r="I182" t="s">
        <v>53</v>
      </c>
      <c r="L182" s="6"/>
      <c r="M182" s="6"/>
      <c r="N182" s="6"/>
      <c r="O182" s="5"/>
      <c r="P182" s="7" t="str">
        <f t="shared" si="14"/>
        <v/>
      </c>
      <c r="Q182" s="7" t="str">
        <f t="shared" si="15"/>
        <v/>
      </c>
      <c r="R182" s="7" t="str">
        <f t="shared" si="16"/>
        <v/>
      </c>
      <c r="S182" s="7">
        <f>IF($A182="","",IF(AND(LEFT($G182,3)="ДОК",$N182&lt;&gt;""),IFERROR(INDEX(Документация!$E$2:$E$57,MATCH($N182,Документация!$F$2:$F$57,0)),0),N($F182))*(1-MEDIAN(0,N(ДисконтТендер),1)))</f>
        <v>10521.32</v>
      </c>
      <c r="T182" s="7">
        <f>IF($A182="","",IF(AND(LEFT($G182,3)="ДОК",$N182&lt;&gt;""),0,IF(AND(LEFT($G182,3)&lt;&gt;"ДОК",$N182&lt;&gt;""),IFERROR(INDEX(МАТЕРИАЛЫ!$H$2:$H$9000,MATCH($N182,МАТЕРИАЛЫ!$L$2:$L$9000,0))*IF(INDEX(МАТЕРИАЛЫ!$I$2:$I$9000,MATCH($N182,МАТЕРИАЛЫ!$L$2:$L$9000,0))="USD",КурсUSD,IF(INDEX(МАТЕРИАЛЫ!$I$2:$I$9000,MATCH($N182,МАТЕРИАЛЫ!$L$2:$L$9000,0))="EUR",КурсEUR,IF(INDEX(МАТЕРИАЛЫ!$I$2:$I$9000,MATCH($N182,МАТЕРИАЛЫ!$L$2:$L$9000,0))="CNY",КурсCNY,1)))*(1+N($H182)/100),0),N($O182))*(1-MEDIAN(0,N(ДисконтТендер),1))))</f>
        <v>0</v>
      </c>
      <c r="U182" t="str">
        <f>IF($L182="да",MAX($U$1:$U181)+1,"")</f>
        <v/>
      </c>
      <c r="V182" t="str">
        <f t="shared" si="17"/>
        <v>Р3</v>
      </c>
      <c r="W182" t="str">
        <f t="shared" si="18"/>
        <v/>
      </c>
      <c r="X182" t="str">
        <f t="shared" si="19"/>
        <v/>
      </c>
      <c r="Y182" s="4" t="str">
        <f>IF($A182="","",IF(AND(LEFT($G182,3)="ДОК",$N182&lt;&gt;""),IFERROR(INDEX(Документация!$G$2:$G$57,MATCH($N182,Документация!$F$2:$F$57,0)),$D182),$D182&amp;IF(AND(LEFT($G182,3)&lt;&gt;"ДОК",$N182&lt;&gt;"")," — "&amp;IFERROR(INDEX(МАТЕРИАЛЫ!$C$2:$C$9000,MATCH($N182,МАТЕРИАЛЫ!$L$2:$L$9000,0)),""),"")))</f>
        <v>Пробивка проемов в стенах из кирпича</v>
      </c>
      <c r="Z182" t="str">
        <f t="shared" si="20"/>
        <v>Р3 · Внутренние строительные работы</v>
      </c>
    </row>
    <row r="183" spans="1:26" ht="28.8" x14ac:dyDescent="0.3">
      <c r="A183" t="s">
        <v>438</v>
      </c>
      <c r="B183" t="s">
        <v>394</v>
      </c>
      <c r="C183" t="s">
        <v>50</v>
      </c>
      <c r="D183" s="4" t="s">
        <v>439</v>
      </c>
      <c r="E183" t="s">
        <v>440</v>
      </c>
      <c r="F183" s="5">
        <v>76.37</v>
      </c>
      <c r="H183">
        <v>0</v>
      </c>
      <c r="I183" t="s">
        <v>53</v>
      </c>
      <c r="L183" s="6"/>
      <c r="M183" s="6"/>
      <c r="N183" s="6"/>
      <c r="O183" s="5"/>
      <c r="P183" s="7" t="str">
        <f t="shared" si="14"/>
        <v/>
      </c>
      <c r="Q183" s="7" t="str">
        <f t="shared" si="15"/>
        <v/>
      </c>
      <c r="R183" s="7" t="str">
        <f t="shared" si="16"/>
        <v/>
      </c>
      <c r="S183" s="7">
        <f>IF($A183="","",IF(AND(LEFT($G183,3)="ДОК",$N183&lt;&gt;""),IFERROR(INDEX(Документация!$E$2:$E$57,MATCH($N183,Документация!$F$2:$F$57,0)),0),N($F183))*(1-MEDIAN(0,N(ДисконтТендер),1)))</f>
        <v>76.37</v>
      </c>
      <c r="T183" s="7">
        <f>IF($A183="","",IF(AND(LEFT($G183,3)="ДОК",$N183&lt;&gt;""),0,IF(AND(LEFT($G183,3)&lt;&gt;"ДОК",$N183&lt;&gt;""),IFERROR(INDEX(МАТЕРИАЛЫ!$H$2:$H$9000,MATCH($N183,МАТЕРИАЛЫ!$L$2:$L$9000,0))*IF(INDEX(МАТЕРИАЛЫ!$I$2:$I$9000,MATCH($N183,МАТЕРИАЛЫ!$L$2:$L$9000,0))="USD",КурсUSD,IF(INDEX(МАТЕРИАЛЫ!$I$2:$I$9000,MATCH($N183,МАТЕРИАЛЫ!$L$2:$L$9000,0))="EUR",КурсEUR,IF(INDEX(МАТЕРИАЛЫ!$I$2:$I$9000,MATCH($N183,МАТЕРИАЛЫ!$L$2:$L$9000,0))="CNY",КурсCNY,1)))*(1+N($H183)/100),0),N($O183))*(1-MEDIAN(0,N(ДисконтТендер),1))))</f>
        <v>0</v>
      </c>
      <c r="U183" t="str">
        <f>IF($L183="да",MAX($U$1:$U182)+1,"")</f>
        <v/>
      </c>
      <c r="V183" t="str">
        <f t="shared" si="17"/>
        <v>Р3</v>
      </c>
      <c r="W183" t="str">
        <f t="shared" si="18"/>
        <v/>
      </c>
      <c r="X183" t="str">
        <f t="shared" si="19"/>
        <v/>
      </c>
      <c r="Y183" s="4" t="str">
        <f>IF($A183="","",IF(AND(LEFT($G183,3)="ДОК",$N183&lt;&gt;""),IFERROR(INDEX(Документация!$G$2:$G$57,MATCH($N183,Документация!$F$2:$F$57,0)),$D183),$D183&amp;IF(AND(LEFT($G183,3)&lt;&gt;"ДОК",$N183&lt;&gt;"")," — "&amp;IFERROR(INDEX(МАТЕРИАЛЫ!$C$2:$C$9000,MATCH($N183,МАТЕРИАЛЫ!$L$2:$L$9000,0)),""),"")))</f>
        <v>Алмазное сверление отверстий в стенах Ø50-100 мм</v>
      </c>
      <c r="Z183" t="str">
        <f t="shared" si="20"/>
        <v>Р3 · Внутренние строительные работы</v>
      </c>
    </row>
    <row r="184" spans="1:26" ht="28.8" x14ac:dyDescent="0.3">
      <c r="A184" t="s">
        <v>441</v>
      </c>
      <c r="B184" t="s">
        <v>394</v>
      </c>
      <c r="C184" t="s">
        <v>50</v>
      </c>
      <c r="D184" s="4" t="s">
        <v>442</v>
      </c>
      <c r="E184" t="s">
        <v>440</v>
      </c>
      <c r="F184" s="5">
        <v>78.959999999999994</v>
      </c>
      <c r="H184">
        <v>0</v>
      </c>
      <c r="I184" t="s">
        <v>53</v>
      </c>
      <c r="L184" s="6"/>
      <c r="M184" s="6"/>
      <c r="N184" s="6"/>
      <c r="O184" s="5"/>
      <c r="P184" s="7" t="str">
        <f t="shared" si="14"/>
        <v/>
      </c>
      <c r="Q184" s="7" t="str">
        <f t="shared" si="15"/>
        <v/>
      </c>
      <c r="R184" s="7" t="str">
        <f t="shared" si="16"/>
        <v/>
      </c>
      <c r="S184" s="7">
        <f>IF($A184="","",IF(AND(LEFT($G184,3)="ДОК",$N184&lt;&gt;""),IFERROR(INDEX(Документация!$E$2:$E$57,MATCH($N184,Документация!$F$2:$F$57,0)),0),N($F184))*(1-MEDIAN(0,N(ДисконтТендер),1)))</f>
        <v>78.959999999999994</v>
      </c>
      <c r="T184" s="7">
        <f>IF($A184="","",IF(AND(LEFT($G184,3)="ДОК",$N184&lt;&gt;""),0,IF(AND(LEFT($G184,3)&lt;&gt;"ДОК",$N184&lt;&gt;""),IFERROR(INDEX(МАТЕРИАЛЫ!$H$2:$H$9000,MATCH($N184,МАТЕРИАЛЫ!$L$2:$L$9000,0))*IF(INDEX(МАТЕРИАЛЫ!$I$2:$I$9000,MATCH($N184,МАТЕРИАЛЫ!$L$2:$L$9000,0))="USD",КурсUSD,IF(INDEX(МАТЕРИАЛЫ!$I$2:$I$9000,MATCH($N184,МАТЕРИАЛЫ!$L$2:$L$9000,0))="EUR",КурсEUR,IF(INDEX(МАТЕРИАЛЫ!$I$2:$I$9000,MATCH($N184,МАТЕРИАЛЫ!$L$2:$L$9000,0))="CNY",КурсCNY,1)))*(1+N($H184)/100),0),N($O184))*(1-MEDIAN(0,N(ДисконтТендер),1))))</f>
        <v>0</v>
      </c>
      <c r="U184" t="str">
        <f>IF($L184="да",MAX($U$1:$U183)+1,"")</f>
        <v/>
      </c>
      <c r="V184" t="str">
        <f t="shared" si="17"/>
        <v>Р3</v>
      </c>
      <c r="W184" t="str">
        <f t="shared" si="18"/>
        <v/>
      </c>
      <c r="X184" t="str">
        <f t="shared" si="19"/>
        <v/>
      </c>
      <c r="Y184" s="4" t="str">
        <f>IF($A184="","",IF(AND(LEFT($G184,3)="ДОК",$N184&lt;&gt;""),IFERROR(INDEX(Документация!$G$2:$G$57,MATCH($N184,Документация!$F$2:$F$57,0)),$D184),$D184&amp;IF(AND(LEFT($G184,3)&lt;&gt;"ДОК",$N184&lt;&gt;"")," — "&amp;IFERROR(INDEX(МАТЕРИАЛЫ!$C$2:$C$9000,MATCH($N184,МАТЕРИАЛЫ!$L$2:$L$9000,0)),""),"")))</f>
        <v>Алмазное сверление отверстий в стенах Ø101-200 мм</v>
      </c>
      <c r="Z184" t="str">
        <f t="shared" si="20"/>
        <v>Р3 · Внутренние строительные работы</v>
      </c>
    </row>
    <row r="185" spans="1:26" ht="28.8" x14ac:dyDescent="0.3">
      <c r="A185" t="s">
        <v>443</v>
      </c>
      <c r="B185" t="s">
        <v>394</v>
      </c>
      <c r="C185" t="s">
        <v>50</v>
      </c>
      <c r="D185" s="4" t="s">
        <v>444</v>
      </c>
      <c r="E185" t="s">
        <v>440</v>
      </c>
      <c r="F185" s="5">
        <v>134.85</v>
      </c>
      <c r="H185">
        <v>0</v>
      </c>
      <c r="I185" t="s">
        <v>53</v>
      </c>
      <c r="L185" s="6"/>
      <c r="M185" s="6"/>
      <c r="N185" s="6"/>
      <c r="O185" s="5"/>
      <c r="P185" s="7" t="str">
        <f t="shared" si="14"/>
        <v/>
      </c>
      <c r="Q185" s="7" t="str">
        <f t="shared" si="15"/>
        <v/>
      </c>
      <c r="R185" s="7" t="str">
        <f t="shared" si="16"/>
        <v/>
      </c>
      <c r="S185" s="7">
        <f>IF($A185="","",IF(AND(LEFT($G185,3)="ДОК",$N185&lt;&gt;""),IFERROR(INDEX(Документация!$E$2:$E$57,MATCH($N185,Документация!$F$2:$F$57,0)),0),N($F185))*(1-MEDIAN(0,N(ДисконтТендер),1)))</f>
        <v>134.85</v>
      </c>
      <c r="T185" s="7">
        <f>IF($A185="","",IF(AND(LEFT($G185,3)="ДОК",$N185&lt;&gt;""),0,IF(AND(LEFT($G185,3)&lt;&gt;"ДОК",$N185&lt;&gt;""),IFERROR(INDEX(МАТЕРИАЛЫ!$H$2:$H$9000,MATCH($N185,МАТЕРИАЛЫ!$L$2:$L$9000,0))*IF(INDEX(МАТЕРИАЛЫ!$I$2:$I$9000,MATCH($N185,МАТЕРИАЛЫ!$L$2:$L$9000,0))="USD",КурсUSD,IF(INDEX(МАТЕРИАЛЫ!$I$2:$I$9000,MATCH($N185,МАТЕРИАЛЫ!$L$2:$L$9000,0))="EUR",КурсEUR,IF(INDEX(МАТЕРИАЛЫ!$I$2:$I$9000,MATCH($N185,МАТЕРИАЛЫ!$L$2:$L$9000,0))="CNY",КурсCNY,1)))*(1+N($H185)/100),0),N($O185))*(1-MEDIAN(0,N(ДисконтТендер),1))))</f>
        <v>0</v>
      </c>
      <c r="U185" t="str">
        <f>IF($L185="да",MAX($U$1:$U184)+1,"")</f>
        <v/>
      </c>
      <c r="V185" t="str">
        <f t="shared" si="17"/>
        <v>Р3</v>
      </c>
      <c r="W185" t="str">
        <f t="shared" si="18"/>
        <v/>
      </c>
      <c r="X185" t="str">
        <f t="shared" si="19"/>
        <v/>
      </c>
      <c r="Y185" s="4" t="str">
        <f>IF($A185="","",IF(AND(LEFT($G185,3)="ДОК",$N185&lt;&gt;""),IFERROR(INDEX(Документация!$G$2:$G$57,MATCH($N185,Документация!$F$2:$F$57,0)),$D185),$D185&amp;IF(AND(LEFT($G185,3)&lt;&gt;"ДОК",$N185&lt;&gt;"")," — "&amp;IFERROR(INDEX(МАТЕРИАЛЫ!$C$2:$C$9000,MATCH($N185,МАТЕРИАЛЫ!$L$2:$L$9000,0)),""),"")))</f>
        <v>Алмазное сверление отверстий в стенах Ø201-300 мм</v>
      </c>
      <c r="Z185" t="str">
        <f t="shared" si="20"/>
        <v>Р3 · Внутренние строительные работы</v>
      </c>
    </row>
    <row r="186" spans="1:26" ht="28.8" x14ac:dyDescent="0.3">
      <c r="A186" t="s">
        <v>445</v>
      </c>
      <c r="B186" t="s">
        <v>394</v>
      </c>
      <c r="C186" t="s">
        <v>50</v>
      </c>
      <c r="D186" s="4" t="s">
        <v>446</v>
      </c>
      <c r="E186" t="s">
        <v>440</v>
      </c>
      <c r="F186" s="5">
        <v>174</v>
      </c>
      <c r="H186">
        <v>0</v>
      </c>
      <c r="I186" t="s">
        <v>53</v>
      </c>
      <c r="L186" s="6"/>
      <c r="M186" s="6"/>
      <c r="N186" s="6"/>
      <c r="O186" s="5"/>
      <c r="P186" s="7" t="str">
        <f t="shared" si="14"/>
        <v/>
      </c>
      <c r="Q186" s="7" t="str">
        <f t="shared" si="15"/>
        <v/>
      </c>
      <c r="R186" s="7" t="str">
        <f t="shared" si="16"/>
        <v/>
      </c>
      <c r="S186" s="7">
        <f>IF($A186="","",IF(AND(LEFT($G186,3)="ДОК",$N186&lt;&gt;""),IFERROR(INDEX(Документация!$E$2:$E$57,MATCH($N186,Документация!$F$2:$F$57,0)),0),N($F186))*(1-MEDIAN(0,N(ДисконтТендер),1)))</f>
        <v>174</v>
      </c>
      <c r="T186" s="7">
        <f>IF($A186="","",IF(AND(LEFT($G186,3)="ДОК",$N186&lt;&gt;""),0,IF(AND(LEFT($G186,3)&lt;&gt;"ДОК",$N186&lt;&gt;""),IFERROR(INDEX(МАТЕРИАЛЫ!$H$2:$H$9000,MATCH($N186,МАТЕРИАЛЫ!$L$2:$L$9000,0))*IF(INDEX(МАТЕРИАЛЫ!$I$2:$I$9000,MATCH($N186,МАТЕРИАЛЫ!$L$2:$L$9000,0))="USD",КурсUSD,IF(INDEX(МАТЕРИАЛЫ!$I$2:$I$9000,MATCH($N186,МАТЕРИАЛЫ!$L$2:$L$9000,0))="EUR",КурсEUR,IF(INDEX(МАТЕРИАЛЫ!$I$2:$I$9000,MATCH($N186,МАТЕРИАЛЫ!$L$2:$L$9000,0))="CNY",КурсCNY,1)))*(1+N($H186)/100),0),N($O186))*(1-MEDIAN(0,N(ДисконтТендер),1))))</f>
        <v>0</v>
      </c>
      <c r="U186" t="str">
        <f>IF($L186="да",MAX($U$1:$U185)+1,"")</f>
        <v/>
      </c>
      <c r="V186" t="str">
        <f t="shared" si="17"/>
        <v>Р3</v>
      </c>
      <c r="W186" t="str">
        <f t="shared" si="18"/>
        <v/>
      </c>
      <c r="X186" t="str">
        <f t="shared" si="19"/>
        <v/>
      </c>
      <c r="Y186" s="4" t="str">
        <f>IF($A186="","",IF(AND(LEFT($G186,3)="ДОК",$N186&lt;&gt;""),IFERROR(INDEX(Документация!$G$2:$G$57,MATCH($N186,Документация!$F$2:$F$57,0)),$D186),$D186&amp;IF(AND(LEFT($G186,3)&lt;&gt;"ДОК",$N186&lt;&gt;"")," — "&amp;IFERROR(INDEX(МАТЕРИАЛЫ!$C$2:$C$9000,MATCH($N186,МАТЕРИАЛЫ!$L$2:$L$9000,0)),""),"")))</f>
        <v>Алмазное сверление отверстий в стенах Ø301-400 мм</v>
      </c>
      <c r="Z186" t="str">
        <f t="shared" si="20"/>
        <v>Р3 · Внутренние строительные работы</v>
      </c>
    </row>
    <row r="187" spans="1:26" ht="28.8" x14ac:dyDescent="0.3">
      <c r="A187" t="s">
        <v>447</v>
      </c>
      <c r="B187" t="s">
        <v>394</v>
      </c>
      <c r="C187" t="s">
        <v>50</v>
      </c>
      <c r="D187" s="4" t="s">
        <v>448</v>
      </c>
      <c r="E187" t="s">
        <v>52</v>
      </c>
      <c r="F187" s="5">
        <v>560</v>
      </c>
      <c r="H187">
        <v>0</v>
      </c>
      <c r="I187" t="s">
        <v>53</v>
      </c>
      <c r="L187" s="6"/>
      <c r="M187" s="6"/>
      <c r="N187" s="6"/>
      <c r="O187" s="5"/>
      <c r="P187" s="7" t="str">
        <f t="shared" si="14"/>
        <v/>
      </c>
      <c r="Q187" s="7" t="str">
        <f t="shared" si="15"/>
        <v/>
      </c>
      <c r="R187" s="7" t="str">
        <f t="shared" si="16"/>
        <v/>
      </c>
      <c r="S187" s="7">
        <f>IF($A187="","",IF(AND(LEFT($G187,3)="ДОК",$N187&lt;&gt;""),IFERROR(INDEX(Документация!$E$2:$E$57,MATCH($N187,Документация!$F$2:$F$57,0)),0),N($F187))*(1-MEDIAN(0,N(ДисконтТендер),1)))</f>
        <v>560</v>
      </c>
      <c r="T187" s="7">
        <f>IF($A187="","",IF(AND(LEFT($G187,3)="ДОК",$N187&lt;&gt;""),0,IF(AND(LEFT($G187,3)&lt;&gt;"ДОК",$N187&lt;&gt;""),IFERROR(INDEX(МАТЕРИАЛЫ!$H$2:$H$9000,MATCH($N187,МАТЕРИАЛЫ!$L$2:$L$9000,0))*IF(INDEX(МАТЕРИАЛЫ!$I$2:$I$9000,MATCH($N187,МАТЕРИАЛЫ!$L$2:$L$9000,0))="USD",КурсUSD,IF(INDEX(МАТЕРИАЛЫ!$I$2:$I$9000,MATCH($N187,МАТЕРИАЛЫ!$L$2:$L$9000,0))="EUR",КурсEUR,IF(INDEX(МАТЕРИАЛЫ!$I$2:$I$9000,MATCH($N187,МАТЕРИАЛЫ!$L$2:$L$9000,0))="CNY",КурсCNY,1)))*(1+N($H187)/100),0),N($O187))*(1-MEDIAN(0,N(ДисконтТендер),1))))</f>
        <v>0</v>
      </c>
      <c r="U187" t="str">
        <f>IF($L187="да",MAX($U$1:$U186)+1,"")</f>
        <v/>
      </c>
      <c r="V187" t="str">
        <f t="shared" si="17"/>
        <v>Р3</v>
      </c>
      <c r="W187" t="str">
        <f t="shared" si="18"/>
        <v/>
      </c>
      <c r="X187" t="str">
        <f t="shared" si="19"/>
        <v/>
      </c>
      <c r="Y187" s="4" t="str">
        <f>IF($A187="","",IF(AND(LEFT($G187,3)="ДОК",$N187&lt;&gt;""),IFERROR(INDEX(Документация!$G$2:$G$57,MATCH($N187,Документация!$F$2:$F$57,0)),$D187),$D187&amp;IF(AND(LEFT($G187,3)&lt;&gt;"ДОК",$N187&lt;&gt;"")," — "&amp;IFERROR(INDEX(МАТЕРИАЛЫ!$C$2:$C$9000,MATCH($N187,МАТЕРИАЛЫ!$L$2:$L$9000,0)),""),"")))</f>
        <v>Монтаж закладных из фанеры 12мм под шкафы обработанная составом "NEOMID 450-1".</v>
      </c>
      <c r="Z187" t="str">
        <f t="shared" si="20"/>
        <v>Р3 · Внутренние строительные работы</v>
      </c>
    </row>
    <row r="188" spans="1:26" ht="28.8" x14ac:dyDescent="0.3">
      <c r="A188" t="s">
        <v>449</v>
      </c>
      <c r="B188" t="s">
        <v>394</v>
      </c>
      <c r="C188" t="s">
        <v>50</v>
      </c>
      <c r="D188" s="4" t="s">
        <v>450</v>
      </c>
      <c r="E188" t="s">
        <v>114</v>
      </c>
      <c r="F188" s="5">
        <v>3063.98</v>
      </c>
      <c r="G188" t="s">
        <v>409</v>
      </c>
      <c r="H188">
        <v>5</v>
      </c>
      <c r="I188" t="s">
        <v>53</v>
      </c>
      <c r="L188" s="6"/>
      <c r="M188" s="6"/>
      <c r="N188" s="6"/>
      <c r="O188" s="5"/>
      <c r="P188" s="7" t="str">
        <f t="shared" si="14"/>
        <v/>
      </c>
      <c r="Q188" s="7" t="str">
        <f t="shared" si="15"/>
        <v/>
      </c>
      <c r="R188" s="7" t="str">
        <f t="shared" si="16"/>
        <v/>
      </c>
      <c r="S188" s="7">
        <f>IF($A188="","",IF(AND(LEFT($G188,3)="ДОК",$N188&lt;&gt;""),IFERROR(INDEX(Документация!$E$2:$E$57,MATCH($N188,Документация!$F$2:$F$57,0)),0),N($F188))*(1-MEDIAN(0,N(ДисконтТендер),1)))</f>
        <v>3063.98</v>
      </c>
      <c r="T188" s="7">
        <f>IF($A188="","",IF(AND(LEFT($G188,3)="ДОК",$N188&lt;&gt;""),0,IF(AND(LEFT($G188,3)&lt;&gt;"ДОК",$N188&lt;&gt;""),IFERROR(INDEX(МАТЕРИАЛЫ!$H$2:$H$9000,MATCH($N188,МАТЕРИАЛЫ!$L$2:$L$9000,0))*IF(INDEX(МАТЕРИАЛЫ!$I$2:$I$9000,MATCH($N188,МАТЕРИАЛЫ!$L$2:$L$9000,0))="USD",КурсUSD,IF(INDEX(МАТЕРИАЛЫ!$I$2:$I$9000,MATCH($N188,МАТЕРИАЛЫ!$L$2:$L$9000,0))="EUR",КурсEUR,IF(INDEX(МАТЕРИАЛЫ!$I$2:$I$9000,MATCH($N188,МАТЕРИАЛЫ!$L$2:$L$9000,0))="CNY",КурсCNY,1)))*(1+N($H188)/100),0),N($O188))*(1-MEDIAN(0,N(ДисконтТендер),1))))</f>
        <v>0</v>
      </c>
      <c r="U188" t="str">
        <f>IF($L188="да",MAX($U$1:$U187)+1,"")</f>
        <v/>
      </c>
      <c r="V188" t="str">
        <f t="shared" si="17"/>
        <v>Р3</v>
      </c>
      <c r="W188" t="str">
        <f t="shared" si="18"/>
        <v/>
      </c>
      <c r="X188" t="str">
        <f t="shared" si="19"/>
        <v/>
      </c>
      <c r="Y188" s="4" t="str">
        <f>IF($A188="","",IF(AND(LEFT($G188,3)="ДОК",$N188&lt;&gt;""),IFERROR(INDEX(Документация!$G$2:$G$57,MATCH($N188,Документация!$F$2:$F$57,0)),$D188),$D188&amp;IF(AND(LEFT($G188,3)&lt;&gt;"ДОК",$N188&lt;&gt;"")," — "&amp;IFERROR(INDEX(МАТЕРИАЛЫ!$C$2:$C$9000,MATCH($N188,МАТЕРИАЛЫ!$L$2:$L$9000,0)),""),"")))</f>
        <v>Устройство ниши ГКЛ по м/к под монтаж приборов отопления</v>
      </c>
      <c r="Z188" t="str">
        <f t="shared" si="20"/>
        <v>Р3 · Внутренние строительные работы</v>
      </c>
    </row>
    <row r="189" spans="1:26" ht="28.8" x14ac:dyDescent="0.3">
      <c r="A189" t="s">
        <v>451</v>
      </c>
      <c r="B189" t="s">
        <v>394</v>
      </c>
      <c r="C189" t="s">
        <v>50</v>
      </c>
      <c r="D189" s="4" t="s">
        <v>452</v>
      </c>
      <c r="E189" t="s">
        <v>52</v>
      </c>
      <c r="F189" s="5">
        <v>115.13</v>
      </c>
      <c r="H189">
        <v>0</v>
      </c>
      <c r="I189" t="s">
        <v>53</v>
      </c>
      <c r="L189" s="6"/>
      <c r="M189" s="6"/>
      <c r="N189" s="6"/>
      <c r="O189" s="5"/>
      <c r="P189" s="7" t="str">
        <f t="shared" si="14"/>
        <v/>
      </c>
      <c r="Q189" s="7" t="str">
        <f t="shared" si="15"/>
        <v/>
      </c>
      <c r="R189" s="7" t="str">
        <f t="shared" si="16"/>
        <v/>
      </c>
      <c r="S189" s="7">
        <f>IF($A189="","",IF(AND(LEFT($G189,3)="ДОК",$N189&lt;&gt;""),IFERROR(INDEX(Документация!$E$2:$E$57,MATCH($N189,Документация!$F$2:$F$57,0)),0),N($F189))*(1-MEDIAN(0,N(ДисконтТендер),1)))</f>
        <v>115.13</v>
      </c>
      <c r="T189" s="7">
        <f>IF($A189="","",IF(AND(LEFT($G189,3)="ДОК",$N189&lt;&gt;""),0,IF(AND(LEFT($G189,3)&lt;&gt;"ДОК",$N189&lt;&gt;""),IFERROR(INDEX(МАТЕРИАЛЫ!$H$2:$H$9000,MATCH($N189,МАТЕРИАЛЫ!$L$2:$L$9000,0))*IF(INDEX(МАТЕРИАЛЫ!$I$2:$I$9000,MATCH($N189,МАТЕРИАЛЫ!$L$2:$L$9000,0))="USD",КурсUSD,IF(INDEX(МАТЕРИАЛЫ!$I$2:$I$9000,MATCH($N189,МАТЕРИАЛЫ!$L$2:$L$9000,0))="EUR",КурсEUR,IF(INDEX(МАТЕРИАЛЫ!$I$2:$I$9000,MATCH($N189,МАТЕРИАЛЫ!$L$2:$L$9000,0))="CNY",КурсCNY,1)))*(1+N($H189)/100),0),N($O189))*(1-MEDIAN(0,N(ДисконтТендер),1))))</f>
        <v>0</v>
      </c>
      <c r="U189" t="str">
        <f>IF($L189="да",MAX($U$1:$U188)+1,"")</f>
        <v/>
      </c>
      <c r="V189" t="str">
        <f t="shared" si="17"/>
        <v>Р3</v>
      </c>
      <c r="W189" t="str">
        <f t="shared" si="18"/>
        <v/>
      </c>
      <c r="X189" t="str">
        <f t="shared" si="19"/>
        <v/>
      </c>
      <c r="Y189" s="4" t="str">
        <f>IF($A189="","",IF(AND(LEFT($G189,3)="ДОК",$N189&lt;&gt;""),IFERROR(INDEX(Документация!$G$2:$G$57,MATCH($N189,Документация!$F$2:$F$57,0)),$D189),$D189&amp;IF(AND(LEFT($G189,3)&lt;&gt;"ДОК",$N189&lt;&gt;"")," — "&amp;IFERROR(INDEX(МАТЕРИАЛЫ!$C$2:$C$9000,MATCH($N189,МАТЕРИАЛЫ!$L$2:$L$9000,0)),""),"")))</f>
        <v>Устройство пароизоляции из полиэтиленовой пленки до 100 мкр.</v>
      </c>
      <c r="Z189" t="str">
        <f t="shared" si="20"/>
        <v>Р3 · Внутренние строительные работы</v>
      </c>
    </row>
    <row r="190" spans="1:26" ht="28.8" x14ac:dyDescent="0.3">
      <c r="A190" t="s">
        <v>453</v>
      </c>
      <c r="B190" t="s">
        <v>394</v>
      </c>
      <c r="C190" t="s">
        <v>50</v>
      </c>
      <c r="D190" s="4" t="s">
        <v>454</v>
      </c>
      <c r="E190" t="s">
        <v>153</v>
      </c>
      <c r="F190" s="5">
        <v>490.94</v>
      </c>
      <c r="H190">
        <v>0</v>
      </c>
      <c r="I190" t="s">
        <v>53</v>
      </c>
      <c r="L190" s="6"/>
      <c r="M190" s="6"/>
      <c r="N190" s="6"/>
      <c r="O190" s="5"/>
      <c r="P190" s="7" t="str">
        <f t="shared" si="14"/>
        <v/>
      </c>
      <c r="Q190" s="7" t="str">
        <f t="shared" si="15"/>
        <v/>
      </c>
      <c r="R190" s="7" t="str">
        <f t="shared" si="16"/>
        <v/>
      </c>
      <c r="S190" s="7">
        <f>IF($A190="","",IF(AND(LEFT($G190,3)="ДОК",$N190&lt;&gt;""),IFERROR(INDEX(Документация!$E$2:$E$57,MATCH($N190,Документация!$F$2:$F$57,0)),0),N($F190))*(1-MEDIAN(0,N(ДисконтТендер),1)))</f>
        <v>490.94</v>
      </c>
      <c r="T190" s="7">
        <f>IF($A190="","",IF(AND(LEFT($G190,3)="ДОК",$N190&lt;&gt;""),0,IF(AND(LEFT($G190,3)&lt;&gt;"ДОК",$N190&lt;&gt;""),IFERROR(INDEX(МАТЕРИАЛЫ!$H$2:$H$9000,MATCH($N190,МАТЕРИАЛЫ!$L$2:$L$9000,0))*IF(INDEX(МАТЕРИАЛЫ!$I$2:$I$9000,MATCH($N190,МАТЕРИАЛЫ!$L$2:$L$9000,0))="USD",КурсUSD,IF(INDEX(МАТЕРИАЛЫ!$I$2:$I$9000,MATCH($N190,МАТЕРИАЛЫ!$L$2:$L$9000,0))="EUR",КурсEUR,IF(INDEX(МАТЕРИАЛЫ!$I$2:$I$9000,MATCH($N190,МАТЕРИАЛЫ!$L$2:$L$9000,0))="CNY",КурсCNY,1)))*(1+N($H190)/100),0),N($O190))*(1-MEDIAN(0,N(ДисконтТендер),1))))</f>
        <v>0</v>
      </c>
      <c r="U190" t="str">
        <f>IF($L190="да",MAX($U$1:$U189)+1,"")</f>
        <v/>
      </c>
      <c r="V190" t="str">
        <f t="shared" si="17"/>
        <v>Р3</v>
      </c>
      <c r="W190" t="str">
        <f t="shared" si="18"/>
        <v/>
      </c>
      <c r="X190" t="str">
        <f t="shared" si="19"/>
        <v/>
      </c>
      <c r="Y190" s="4" t="str">
        <f>IF($A190="","",IF(AND(LEFT($G190,3)="ДОК",$N190&lt;&gt;""),IFERROR(INDEX(Документация!$G$2:$G$57,MATCH($N190,Документация!$F$2:$F$57,0)),$D190),$D190&amp;IF(AND(LEFT($G190,3)&lt;&gt;"ДОК",$N190&lt;&gt;"")," — "&amp;IFERROR(INDEX(МАТЕРИАЛЫ!$C$2:$C$9000,MATCH($N190,МАТЕРИАЛЫ!$L$2:$L$9000,0)),""),"")))</f>
        <v>Усиление проемов деревянным антисептированным бруском 50*50</v>
      </c>
      <c r="Z190" t="str">
        <f t="shared" si="20"/>
        <v>Р3 · Внутренние строительные работы</v>
      </c>
    </row>
    <row r="191" spans="1:26" x14ac:dyDescent="0.3">
      <c r="A191" t="s">
        <v>455</v>
      </c>
      <c r="B191" t="s">
        <v>394</v>
      </c>
      <c r="C191" t="s">
        <v>50</v>
      </c>
      <c r="D191" s="4" t="s">
        <v>456</v>
      </c>
      <c r="E191" t="s">
        <v>114</v>
      </c>
      <c r="F191" s="5">
        <v>1788.72</v>
      </c>
      <c r="H191">
        <v>0</v>
      </c>
      <c r="I191" t="s">
        <v>53</v>
      </c>
      <c r="L191" s="6"/>
      <c r="M191" s="6"/>
      <c r="N191" s="6"/>
      <c r="O191" s="5"/>
      <c r="P191" s="7" t="str">
        <f t="shared" si="14"/>
        <v/>
      </c>
      <c r="Q191" s="7" t="str">
        <f t="shared" si="15"/>
        <v/>
      </c>
      <c r="R191" s="7" t="str">
        <f t="shared" si="16"/>
        <v/>
      </c>
      <c r="S191" s="7">
        <f>IF($A191="","",IF(AND(LEFT($G191,3)="ДОК",$N191&lt;&gt;""),IFERROR(INDEX(Документация!$E$2:$E$57,MATCH($N191,Документация!$F$2:$F$57,0)),0),N($F191))*(1-MEDIAN(0,N(ДисконтТендер),1)))</f>
        <v>1788.72</v>
      </c>
      <c r="T191" s="7">
        <f>IF($A191="","",IF(AND(LEFT($G191,3)="ДОК",$N191&lt;&gt;""),0,IF(AND(LEFT($G191,3)&lt;&gt;"ДОК",$N191&lt;&gt;""),IFERROR(INDEX(МАТЕРИАЛЫ!$H$2:$H$9000,MATCH($N191,МАТЕРИАЛЫ!$L$2:$L$9000,0))*IF(INDEX(МАТЕРИАЛЫ!$I$2:$I$9000,MATCH($N191,МАТЕРИАЛЫ!$L$2:$L$9000,0))="USD",КурсUSD,IF(INDEX(МАТЕРИАЛЫ!$I$2:$I$9000,MATCH($N191,МАТЕРИАЛЫ!$L$2:$L$9000,0))="EUR",КурсEUR,IF(INDEX(МАТЕРИАЛЫ!$I$2:$I$9000,MATCH($N191,МАТЕРИАЛЫ!$L$2:$L$9000,0))="CNY",КурсCNY,1)))*(1+N($H191)/100),0),N($O191))*(1-MEDIAN(0,N(ДисконтТендер),1))))</f>
        <v>0</v>
      </c>
      <c r="U191" t="str">
        <f>IF($L191="да",MAX($U$1:$U190)+1,"")</f>
        <v/>
      </c>
      <c r="V191" t="str">
        <f t="shared" si="17"/>
        <v>Р3</v>
      </c>
      <c r="W191" t="str">
        <f t="shared" si="18"/>
        <v/>
      </c>
      <c r="X191" t="str">
        <f t="shared" si="19"/>
        <v/>
      </c>
      <c r="Y191" s="4" t="str">
        <f>IF($A191="","",IF(AND(LEFT($G191,3)="ДОК",$N191&lt;&gt;""),IFERROR(INDEX(Документация!$G$2:$G$57,MATCH($N191,Документация!$F$2:$F$57,0)),$D191),$D191&amp;IF(AND(LEFT($G191,3)&lt;&gt;"ДОК",$N191&lt;&gt;"")," — "&amp;IFERROR(INDEX(МАТЕРИАЛЫ!$C$2:$C$9000,MATCH($N191,МАТЕРИАЛЫ!$L$2:$L$9000,0)),""),"")))</f>
        <v>Люк скрытый нажимной 300*300</v>
      </c>
      <c r="Z191" t="str">
        <f t="shared" si="20"/>
        <v>Р3 · Внутренние строительные работы</v>
      </c>
    </row>
    <row r="192" spans="1:26" x14ac:dyDescent="0.3">
      <c r="A192" t="s">
        <v>457</v>
      </c>
      <c r="B192" t="s">
        <v>394</v>
      </c>
      <c r="C192" t="s">
        <v>50</v>
      </c>
      <c r="D192" s="4" t="s">
        <v>458</v>
      </c>
      <c r="E192" t="s">
        <v>114</v>
      </c>
      <c r="F192" s="5">
        <v>2401.1999999999998</v>
      </c>
      <c r="H192">
        <v>0</v>
      </c>
      <c r="I192" t="s">
        <v>53</v>
      </c>
      <c r="L192" s="6"/>
      <c r="M192" s="6"/>
      <c r="N192" s="6"/>
      <c r="O192" s="5"/>
      <c r="P192" s="7" t="str">
        <f t="shared" si="14"/>
        <v/>
      </c>
      <c r="Q192" s="7" t="str">
        <f t="shared" si="15"/>
        <v/>
      </c>
      <c r="R192" s="7" t="str">
        <f t="shared" si="16"/>
        <v/>
      </c>
      <c r="S192" s="7">
        <f>IF($A192="","",IF(AND(LEFT($G192,3)="ДОК",$N192&lt;&gt;""),IFERROR(INDEX(Документация!$E$2:$E$57,MATCH($N192,Документация!$F$2:$F$57,0)),0),N($F192))*(1-MEDIAN(0,N(ДисконтТендер),1)))</f>
        <v>2401.1999999999998</v>
      </c>
      <c r="T192" s="7">
        <f>IF($A192="","",IF(AND(LEFT($G192,3)="ДОК",$N192&lt;&gt;""),0,IF(AND(LEFT($G192,3)&lt;&gt;"ДОК",$N192&lt;&gt;""),IFERROR(INDEX(МАТЕРИАЛЫ!$H$2:$H$9000,MATCH($N192,МАТЕРИАЛЫ!$L$2:$L$9000,0))*IF(INDEX(МАТЕРИАЛЫ!$I$2:$I$9000,MATCH($N192,МАТЕРИАЛЫ!$L$2:$L$9000,0))="USD",КурсUSD,IF(INDEX(МАТЕРИАЛЫ!$I$2:$I$9000,MATCH($N192,МАТЕРИАЛЫ!$L$2:$L$9000,0))="EUR",КурсEUR,IF(INDEX(МАТЕРИАЛЫ!$I$2:$I$9000,MATCH($N192,МАТЕРИАЛЫ!$L$2:$L$9000,0))="CNY",КурсCNY,1)))*(1+N($H192)/100),0),N($O192))*(1-MEDIAN(0,N(ДисконтТендер),1))))</f>
        <v>0</v>
      </c>
      <c r="U192" t="str">
        <f>IF($L192="да",MAX($U$1:$U191)+1,"")</f>
        <v/>
      </c>
      <c r="V192" t="str">
        <f t="shared" si="17"/>
        <v>Р3</v>
      </c>
      <c r="W192" t="str">
        <f t="shared" si="18"/>
        <v/>
      </c>
      <c r="X192" t="str">
        <f t="shared" si="19"/>
        <v/>
      </c>
      <c r="Y192" s="4" t="str">
        <f>IF($A192="","",IF(AND(LEFT($G192,3)="ДОК",$N192&lt;&gt;""),IFERROR(INDEX(Документация!$G$2:$G$57,MATCH($N192,Документация!$F$2:$F$57,0)),$D192),$D192&amp;IF(AND(LEFT($G192,3)&lt;&gt;"ДОК",$N192&lt;&gt;"")," — "&amp;IFERROR(INDEX(МАТЕРИАЛЫ!$C$2:$C$9000,MATCH($N192,МАТЕРИАЛЫ!$L$2:$L$9000,0)),""),"")))</f>
        <v>Люк скрытый нажимной 400*600</v>
      </c>
      <c r="Z192" t="str">
        <f t="shared" si="20"/>
        <v>Р3 · Внутренние строительные работы</v>
      </c>
    </row>
    <row r="193" spans="1:26" x14ac:dyDescent="0.3">
      <c r="A193" t="s">
        <v>459</v>
      </c>
      <c r="B193" t="s">
        <v>394</v>
      </c>
      <c r="C193" t="s">
        <v>50</v>
      </c>
      <c r="D193" s="4" t="s">
        <v>460</v>
      </c>
      <c r="E193" t="s">
        <v>114</v>
      </c>
      <c r="F193" s="5">
        <v>2554.3200000000002</v>
      </c>
      <c r="H193">
        <v>0</v>
      </c>
      <c r="I193" t="s">
        <v>53</v>
      </c>
      <c r="L193" s="6"/>
      <c r="M193" s="6"/>
      <c r="N193" s="6"/>
      <c r="O193" s="5"/>
      <c r="P193" s="7" t="str">
        <f t="shared" si="14"/>
        <v/>
      </c>
      <c r="Q193" s="7" t="str">
        <f t="shared" si="15"/>
        <v/>
      </c>
      <c r="R193" s="7" t="str">
        <f t="shared" si="16"/>
        <v/>
      </c>
      <c r="S193" s="7">
        <f>IF($A193="","",IF(AND(LEFT($G193,3)="ДОК",$N193&lt;&gt;""),IFERROR(INDEX(Документация!$E$2:$E$57,MATCH($N193,Документация!$F$2:$F$57,0)),0),N($F193))*(1-MEDIAN(0,N(ДисконтТендер),1)))</f>
        <v>2554.3200000000002</v>
      </c>
      <c r="T193" s="7">
        <f>IF($A193="","",IF(AND(LEFT($G193,3)="ДОК",$N193&lt;&gt;""),0,IF(AND(LEFT($G193,3)&lt;&gt;"ДОК",$N193&lt;&gt;""),IFERROR(INDEX(МАТЕРИАЛЫ!$H$2:$H$9000,MATCH($N193,МАТЕРИАЛЫ!$L$2:$L$9000,0))*IF(INDEX(МАТЕРИАЛЫ!$I$2:$I$9000,MATCH($N193,МАТЕРИАЛЫ!$L$2:$L$9000,0))="USD",КурсUSD,IF(INDEX(МАТЕРИАЛЫ!$I$2:$I$9000,MATCH($N193,МАТЕРИАЛЫ!$L$2:$L$9000,0))="EUR",КурсEUR,IF(INDEX(МАТЕРИАЛЫ!$I$2:$I$9000,MATCH($N193,МАТЕРИАЛЫ!$L$2:$L$9000,0))="CNY",КурсCNY,1)))*(1+N($H193)/100),0),N($O193))*(1-MEDIAN(0,N(ДисконтТендер),1))))</f>
        <v>0</v>
      </c>
      <c r="U193" t="str">
        <f>IF($L193="да",MAX($U$1:$U192)+1,"")</f>
        <v/>
      </c>
      <c r="V193" t="str">
        <f t="shared" si="17"/>
        <v>Р3</v>
      </c>
      <c r="W193" t="str">
        <f t="shared" si="18"/>
        <v/>
      </c>
      <c r="X193" t="str">
        <f t="shared" si="19"/>
        <v/>
      </c>
      <c r="Y193" s="4" t="str">
        <f>IF($A193="","",IF(AND(LEFT($G193,3)="ДОК",$N193&lt;&gt;""),IFERROR(INDEX(Документация!$G$2:$G$57,MATCH($N193,Документация!$F$2:$F$57,0)),$D193),$D193&amp;IF(AND(LEFT($G193,3)&lt;&gt;"ДОК",$N193&lt;&gt;"")," — "&amp;IFERROR(INDEX(МАТЕРИАЛЫ!$C$2:$C$9000,MATCH($N193,МАТЕРИАЛЫ!$L$2:$L$9000,0)),""),"")))</f>
        <v>Люк скрытый нажимной 500*600</v>
      </c>
      <c r="Z193" t="str">
        <f t="shared" si="20"/>
        <v>Р3 · Внутренние строительные работы</v>
      </c>
    </row>
    <row r="194" spans="1:26" x14ac:dyDescent="0.3">
      <c r="A194" t="s">
        <v>461</v>
      </c>
      <c r="B194" t="s">
        <v>394</v>
      </c>
      <c r="C194" t="s">
        <v>50</v>
      </c>
      <c r="D194" s="4" t="s">
        <v>462</v>
      </c>
      <c r="E194" t="s">
        <v>114</v>
      </c>
      <c r="F194" s="5">
        <v>2924.94</v>
      </c>
      <c r="H194">
        <v>0</v>
      </c>
      <c r="I194" t="s">
        <v>53</v>
      </c>
      <c r="L194" s="6"/>
      <c r="M194" s="6"/>
      <c r="N194" s="6"/>
      <c r="O194" s="5"/>
      <c r="P194" s="7" t="str">
        <f t="shared" ref="P194:P257" si="21">IF($L194="да",ROUND(N($M194)*$S194,2),"")</f>
        <v/>
      </c>
      <c r="Q194" s="7" t="str">
        <f t="shared" ref="Q194:Q257" si="22">IF($L194="да",ROUND(N($M194)*$T194,2),"")</f>
        <v/>
      </c>
      <c r="R194" s="7" t="str">
        <f t="shared" ref="R194:R257" si="23">IF($L194="да",N($P194)+N($Q194),"")</f>
        <v/>
      </c>
      <c r="S194" s="7">
        <f>IF($A194="","",IF(AND(LEFT($G194,3)="ДОК",$N194&lt;&gt;""),IFERROR(INDEX(Документация!$E$2:$E$57,MATCH($N194,Документация!$F$2:$F$57,0)),0),N($F194))*(1-MEDIAN(0,N(ДисконтТендер),1)))</f>
        <v>2924.94</v>
      </c>
      <c r="T194" s="7">
        <f>IF($A194="","",IF(AND(LEFT($G194,3)="ДОК",$N194&lt;&gt;""),0,IF(AND(LEFT($G194,3)&lt;&gt;"ДОК",$N194&lt;&gt;""),IFERROR(INDEX(МАТЕРИАЛЫ!$H$2:$H$9000,MATCH($N194,МАТЕРИАЛЫ!$L$2:$L$9000,0))*IF(INDEX(МАТЕРИАЛЫ!$I$2:$I$9000,MATCH($N194,МАТЕРИАЛЫ!$L$2:$L$9000,0))="USD",КурсUSD,IF(INDEX(МАТЕРИАЛЫ!$I$2:$I$9000,MATCH($N194,МАТЕРИАЛЫ!$L$2:$L$9000,0))="EUR",КурсEUR,IF(INDEX(МАТЕРИАЛЫ!$I$2:$I$9000,MATCH($N194,МАТЕРИАЛЫ!$L$2:$L$9000,0))="CNY",КурсCNY,1)))*(1+N($H194)/100),0),N($O194))*(1-MEDIAN(0,N(ДисконтТендер),1))))</f>
        <v>0</v>
      </c>
      <c r="U194" t="str">
        <f>IF($L194="да",MAX($U$1:$U193)+1,"")</f>
        <v/>
      </c>
      <c r="V194" t="str">
        <f t="shared" ref="V194:V257" si="24">IF($A194="","",$B194)</f>
        <v>Р3</v>
      </c>
      <c r="W194" t="str">
        <f t="shared" ref="W194:W257" si="25">IF($U194="","",IF($U194=1,1,IF($V194&lt;&gt;IFERROR(INDEX($V$2:$V$1058,MATCH($U194-1,$U$2:$U$1058,0)),"~"),1,0)))</f>
        <v/>
      </c>
      <c r="X194" t="str">
        <f t="shared" ref="X194:X257" si="26">IF($U194="","",$U194+SUMIFS($W$2:$W$1058,$U$2:$U$1058,"&lt;="&amp;$U194))</f>
        <v/>
      </c>
      <c r="Y194" s="4" t="str">
        <f>IF($A194="","",IF(AND(LEFT($G194,3)="ДОК",$N194&lt;&gt;""),IFERROR(INDEX(Документация!$G$2:$G$57,MATCH($N194,Документация!$F$2:$F$57,0)),$D194),$D194&amp;IF(AND(LEFT($G194,3)&lt;&gt;"ДОК",$N194&lt;&gt;"")," — "&amp;IFERROR(INDEX(МАТЕРИАЛЫ!$C$2:$C$9000,MATCH($N194,МАТЕРИАЛЫ!$L$2:$L$9000,0)),""),"")))</f>
        <v>Люк скрытый нажимной 600*600</v>
      </c>
      <c r="Z194" t="str">
        <f t="shared" ref="Z194:Z257" si="27">IF($B194="","",$B194&amp;" · "&amp;IFERROR(VLOOKUP($B194,спрРазделы,2,0),""))</f>
        <v>Р3 · Внутренние строительные работы</v>
      </c>
    </row>
    <row r="195" spans="1:26" ht="28.8" x14ac:dyDescent="0.3">
      <c r="A195" t="s">
        <v>463</v>
      </c>
      <c r="B195" t="s">
        <v>394</v>
      </c>
      <c r="C195" t="s">
        <v>50</v>
      </c>
      <c r="D195" s="4" t="s">
        <v>464</v>
      </c>
      <c r="E195" t="s">
        <v>153</v>
      </c>
      <c r="F195" s="5">
        <v>1733.48</v>
      </c>
      <c r="G195" t="s">
        <v>409</v>
      </c>
      <c r="H195">
        <v>5</v>
      </c>
      <c r="I195" t="s">
        <v>53</v>
      </c>
      <c r="L195" s="6"/>
      <c r="M195" s="6"/>
      <c r="N195" s="6"/>
      <c r="O195" s="5"/>
      <c r="P195" s="7" t="str">
        <f t="shared" si="21"/>
        <v/>
      </c>
      <c r="Q195" s="7" t="str">
        <f t="shared" si="22"/>
        <v/>
      </c>
      <c r="R195" s="7" t="str">
        <f t="shared" si="23"/>
        <v/>
      </c>
      <c r="S195" s="7">
        <f>IF($A195="","",IF(AND(LEFT($G195,3)="ДОК",$N195&lt;&gt;""),IFERROR(INDEX(Документация!$E$2:$E$57,MATCH($N195,Документация!$F$2:$F$57,0)),0),N($F195))*(1-MEDIAN(0,N(ДисконтТендер),1)))</f>
        <v>1733.48</v>
      </c>
      <c r="T195" s="7">
        <f>IF($A195="","",IF(AND(LEFT($G195,3)="ДОК",$N195&lt;&gt;""),0,IF(AND(LEFT($G195,3)&lt;&gt;"ДОК",$N195&lt;&gt;""),IFERROR(INDEX(МАТЕРИАЛЫ!$H$2:$H$9000,MATCH($N195,МАТЕРИАЛЫ!$L$2:$L$9000,0))*IF(INDEX(МАТЕРИАЛЫ!$I$2:$I$9000,MATCH($N195,МАТЕРИАЛЫ!$L$2:$L$9000,0))="USD",КурсUSD,IF(INDEX(МАТЕРИАЛЫ!$I$2:$I$9000,MATCH($N195,МАТЕРИАЛЫ!$L$2:$L$9000,0))="EUR",КурсEUR,IF(INDEX(МАТЕРИАЛЫ!$I$2:$I$9000,MATCH($N195,МАТЕРИАЛЫ!$L$2:$L$9000,0))="CNY",КурсCNY,1)))*(1+N($H195)/100),0),N($O195))*(1-MEDIAN(0,N(ДисконтТендер),1))))</f>
        <v>0</v>
      </c>
      <c r="U195" t="str">
        <f>IF($L195="да",MAX($U$1:$U194)+1,"")</f>
        <v/>
      </c>
      <c r="V195" t="str">
        <f t="shared" si="24"/>
        <v>Р3</v>
      </c>
      <c r="W195" t="str">
        <f t="shared" si="25"/>
        <v/>
      </c>
      <c r="X195" t="str">
        <f t="shared" si="26"/>
        <v/>
      </c>
      <c r="Y195" s="4" t="str">
        <f>IF($A195="","",IF(AND(LEFT($G195,3)="ДОК",$N195&lt;&gt;""),IFERROR(INDEX(Документация!$G$2:$G$57,MATCH($N195,Документация!$F$2:$F$57,0)),$D195),$D195&amp;IF(AND(LEFT($G195,3)&lt;&gt;"ДОК",$N195&lt;&gt;"")," — "&amp;IFERROR(INDEX(МАТЕРИАЛЫ!$C$2:$C$9000,MATCH($N195,МАТЕРИАЛЫ!$L$2:$L$9000,0)),""),"")))</f>
        <v>Устройство коробов из ГКЛ до 600 мм шириной (для обшивки ригелей, балок колонн и т.д.)</v>
      </c>
      <c r="Z195" t="str">
        <f t="shared" si="27"/>
        <v>Р3 · Внутренние строительные работы</v>
      </c>
    </row>
    <row r="196" spans="1:26" ht="43.2" x14ac:dyDescent="0.3">
      <c r="A196" t="s">
        <v>465</v>
      </c>
      <c r="B196" t="s">
        <v>394</v>
      </c>
      <c r="C196" t="s">
        <v>161</v>
      </c>
      <c r="D196" s="4" t="s">
        <v>466</v>
      </c>
      <c r="E196" t="s">
        <v>52</v>
      </c>
      <c r="F196" s="5">
        <v>3065.04</v>
      </c>
      <c r="H196">
        <v>0</v>
      </c>
      <c r="I196" t="s">
        <v>53</v>
      </c>
      <c r="L196" s="6"/>
      <c r="M196" s="6"/>
      <c r="N196" s="6"/>
      <c r="O196" s="5"/>
      <c r="P196" s="7" t="str">
        <f t="shared" si="21"/>
        <v/>
      </c>
      <c r="Q196" s="7" t="str">
        <f t="shared" si="22"/>
        <v/>
      </c>
      <c r="R196" s="7" t="str">
        <f t="shared" si="23"/>
        <v/>
      </c>
      <c r="S196" s="7">
        <f>IF($A196="","",IF(AND(LEFT($G196,3)="ДОК",$N196&lt;&gt;""),IFERROR(INDEX(Документация!$E$2:$E$57,MATCH($N196,Документация!$F$2:$F$57,0)),0),N($F196))*(1-MEDIAN(0,N(ДисконтТендер),1)))</f>
        <v>3065.04</v>
      </c>
      <c r="T196" s="7">
        <f>IF($A196="","",IF(AND(LEFT($G196,3)="ДОК",$N196&lt;&gt;""),0,IF(AND(LEFT($G196,3)&lt;&gt;"ДОК",$N196&lt;&gt;""),IFERROR(INDEX(МАТЕРИАЛЫ!$H$2:$H$9000,MATCH($N196,МАТЕРИАЛЫ!$L$2:$L$9000,0))*IF(INDEX(МАТЕРИАЛЫ!$I$2:$I$9000,MATCH($N196,МАТЕРИАЛЫ!$L$2:$L$9000,0))="USD",КурсUSD,IF(INDEX(МАТЕРИАЛЫ!$I$2:$I$9000,MATCH($N196,МАТЕРИАЛЫ!$L$2:$L$9000,0))="EUR",КурсEUR,IF(INDEX(МАТЕРИАЛЫ!$I$2:$I$9000,MATCH($N196,МАТЕРИАЛЫ!$L$2:$L$9000,0))="CNY",КурсCNY,1)))*(1+N($H196)/100),0),N($O196))*(1-MEDIAN(0,N(ДисконтТендер),1))))</f>
        <v>0</v>
      </c>
      <c r="U196" t="str">
        <f>IF($L196="да",MAX($U$1:$U195)+1,"")</f>
        <v/>
      </c>
      <c r="V196" t="str">
        <f t="shared" si="24"/>
        <v>Р3</v>
      </c>
      <c r="W196" t="str">
        <f t="shared" si="25"/>
        <v/>
      </c>
      <c r="X196" t="str">
        <f t="shared" si="26"/>
        <v/>
      </c>
      <c r="Y196" s="4" t="str">
        <f>IF($A196="","",IF(AND(LEFT($G196,3)="ДОК",$N196&lt;&gt;""),IFERROR(INDEX(Документация!$G$2:$G$57,MATCH($N196,Документация!$F$2:$F$57,0)),$D196),$D196&amp;IF(AND(LEFT($G196,3)&lt;&gt;"ДОК",$N196&lt;&gt;"")," — "&amp;IFERROR(INDEX(МАТЕРИАЛЫ!$C$2:$C$9000,MATCH($N196,МАТЕРИАЛЫ!$L$2:$L$9000,0)),""),"")))</f>
        <v>Монтаж стеклянных бескаркасных перегородок , стекло 10 мм, закаленное с фурнитурой цвета матовая нержавеющая сталь</v>
      </c>
      <c r="Z196" t="str">
        <f t="shared" si="27"/>
        <v>Р3 · Внутренние строительные работы</v>
      </c>
    </row>
    <row r="197" spans="1:26" ht="43.2" x14ac:dyDescent="0.3">
      <c r="A197" t="s">
        <v>467</v>
      </c>
      <c r="B197" t="s">
        <v>394</v>
      </c>
      <c r="C197" t="s">
        <v>161</v>
      </c>
      <c r="D197" s="4" t="s">
        <v>468</v>
      </c>
      <c r="E197" t="s">
        <v>52</v>
      </c>
      <c r="F197" s="5">
        <v>2210.33</v>
      </c>
      <c r="G197" t="s">
        <v>469</v>
      </c>
      <c r="H197">
        <v>5</v>
      </c>
      <c r="I197" t="s">
        <v>53</v>
      </c>
      <c r="L197" s="6"/>
      <c r="M197" s="6"/>
      <c r="N197" s="6"/>
      <c r="O197" s="5"/>
      <c r="P197" s="7" t="str">
        <f t="shared" si="21"/>
        <v/>
      </c>
      <c r="Q197" s="7" t="str">
        <f t="shared" si="22"/>
        <v/>
      </c>
      <c r="R197" s="7" t="str">
        <f t="shared" si="23"/>
        <v/>
      </c>
      <c r="S197" s="7">
        <f>IF($A197="","",IF(AND(LEFT($G197,3)="ДОК",$N197&lt;&gt;""),IFERROR(INDEX(Документация!$E$2:$E$57,MATCH($N197,Документация!$F$2:$F$57,0)),0),N($F197))*(1-MEDIAN(0,N(ДисконтТендер),1)))</f>
        <v>2210.33</v>
      </c>
      <c r="T197" s="7">
        <f>IF($A197="","",IF(AND(LEFT($G197,3)="ДОК",$N197&lt;&gt;""),0,IF(AND(LEFT($G197,3)&lt;&gt;"ДОК",$N197&lt;&gt;""),IFERROR(INDEX(МАТЕРИАЛЫ!$H$2:$H$9000,MATCH($N197,МАТЕРИАЛЫ!$L$2:$L$9000,0))*IF(INDEX(МАТЕРИАЛЫ!$I$2:$I$9000,MATCH($N197,МАТЕРИАЛЫ!$L$2:$L$9000,0))="USD",КурсUSD,IF(INDEX(МАТЕРИАЛЫ!$I$2:$I$9000,MATCH($N197,МАТЕРИАЛЫ!$L$2:$L$9000,0))="EUR",КурсEUR,IF(INDEX(МАТЕРИАЛЫ!$I$2:$I$9000,MATCH($N197,МАТЕРИАЛЫ!$L$2:$L$9000,0))="CNY",КурсCNY,1)))*(1+N($H197)/100),0),N($O197))*(1-MEDIAN(0,N(ДисконтТендер),1))))</f>
        <v>0</v>
      </c>
      <c r="U197" t="str">
        <f>IF($L197="да",MAX($U$1:$U196)+1,"")</f>
        <v/>
      </c>
      <c r="V197" t="str">
        <f t="shared" si="24"/>
        <v>Р3</v>
      </c>
      <c r="W197" t="str">
        <f t="shared" si="25"/>
        <v/>
      </c>
      <c r="X197" t="str">
        <f t="shared" si="26"/>
        <v/>
      </c>
      <c r="Y197" s="4" t="str">
        <f>IF($A197="","",IF(AND(LEFT($G197,3)="ДОК",$N197&lt;&gt;""),IFERROR(INDEX(Документация!$G$2:$G$57,MATCH($N197,Документация!$F$2:$F$57,0)),$D197),$D197&amp;IF(AND(LEFT($G197,3)&lt;&gt;"ДОК",$N197&lt;&gt;"")," — "&amp;IFERROR(INDEX(МАТЕРИАЛЫ!$C$2:$C$9000,MATCH($N197,МАТЕРИАЛЫ!$L$2:$L$9000,0)),""),"")))</f>
        <v>Устройство стеклянной перегородки в алюминиевом профиле по RAL. Стекло закаленное 6 мм.</v>
      </c>
      <c r="Z197" t="str">
        <f t="shared" si="27"/>
        <v>Р3 · Внутренние строительные работы</v>
      </c>
    </row>
    <row r="198" spans="1:26" ht="28.8" x14ac:dyDescent="0.3">
      <c r="A198" t="s">
        <v>470</v>
      </c>
      <c r="B198" t="s">
        <v>394</v>
      </c>
      <c r="C198" t="s">
        <v>161</v>
      </c>
      <c r="D198" s="4" t="s">
        <v>471</v>
      </c>
      <c r="E198" t="s">
        <v>52</v>
      </c>
      <c r="F198" s="5">
        <v>2197.3200000000002</v>
      </c>
      <c r="G198" t="s">
        <v>469</v>
      </c>
      <c r="H198">
        <v>5</v>
      </c>
      <c r="I198" t="s">
        <v>53</v>
      </c>
      <c r="L198" s="6"/>
      <c r="M198" s="6"/>
      <c r="N198" s="6"/>
      <c r="O198" s="5"/>
      <c r="P198" s="7" t="str">
        <f t="shared" si="21"/>
        <v/>
      </c>
      <c r="Q198" s="7" t="str">
        <f t="shared" si="22"/>
        <v/>
      </c>
      <c r="R198" s="7" t="str">
        <f t="shared" si="23"/>
        <v/>
      </c>
      <c r="S198" s="7">
        <f>IF($A198="","",IF(AND(LEFT($G198,3)="ДОК",$N198&lt;&gt;""),IFERROR(INDEX(Документация!$E$2:$E$57,MATCH($N198,Документация!$F$2:$F$57,0)),0),N($F198))*(1-MEDIAN(0,N(ДисконтТендер),1)))</f>
        <v>2197.3200000000002</v>
      </c>
      <c r="T198" s="7">
        <f>IF($A198="","",IF(AND(LEFT($G198,3)="ДОК",$N198&lt;&gt;""),0,IF(AND(LEFT($G198,3)&lt;&gt;"ДОК",$N198&lt;&gt;""),IFERROR(INDEX(МАТЕРИАЛЫ!$H$2:$H$9000,MATCH($N198,МАТЕРИАЛЫ!$L$2:$L$9000,0))*IF(INDEX(МАТЕРИАЛЫ!$I$2:$I$9000,MATCH($N198,МАТЕРИАЛЫ!$L$2:$L$9000,0))="USD",КурсUSD,IF(INDEX(МАТЕРИАЛЫ!$I$2:$I$9000,MATCH($N198,МАТЕРИАЛЫ!$L$2:$L$9000,0))="EUR",КурсEUR,IF(INDEX(МАТЕРИАЛЫ!$I$2:$I$9000,MATCH($N198,МАТЕРИАЛЫ!$L$2:$L$9000,0))="CNY",КурсCNY,1)))*(1+N($H198)/100),0),N($O198))*(1-MEDIAN(0,N(ДисконтТендер),1))))</f>
        <v>0</v>
      </c>
      <c r="U198" t="str">
        <f>IF($L198="да",MAX($U$1:$U197)+1,"")</f>
        <v/>
      </c>
      <c r="V198" t="str">
        <f t="shared" si="24"/>
        <v>Р3</v>
      </c>
      <c r="W198" t="str">
        <f t="shared" si="25"/>
        <v/>
      </c>
      <c r="X198" t="str">
        <f t="shared" si="26"/>
        <v/>
      </c>
      <c r="Y198" s="4" t="str">
        <f>IF($A198="","",IF(AND(LEFT($G198,3)="ДОК",$N198&lt;&gt;""),IFERROR(INDEX(Документация!$G$2:$G$57,MATCH($N198,Документация!$F$2:$F$57,0)),$D198),$D198&amp;IF(AND(LEFT($G198,3)&lt;&gt;"ДОК",$N198&lt;&gt;"")," — "&amp;IFERROR(INDEX(МАТЕРИАЛЫ!$C$2:$C$9000,MATCH($N198,МАТЕРИАЛЫ!$L$2:$L$9000,0)),""),"")))</f>
        <v>Устройство стеклянной перегородки в пластиковом профиле. Стекло закаленное 6 мм.</v>
      </c>
      <c r="Z198" t="str">
        <f t="shared" si="27"/>
        <v>Р3 · Внутренние строительные работы</v>
      </c>
    </row>
    <row r="199" spans="1:26" ht="28.8" x14ac:dyDescent="0.3">
      <c r="A199" t="s">
        <v>472</v>
      </c>
      <c r="B199" t="s">
        <v>394</v>
      </c>
      <c r="C199" t="s">
        <v>161</v>
      </c>
      <c r="D199" s="4" t="s">
        <v>473</v>
      </c>
      <c r="E199" t="s">
        <v>52</v>
      </c>
      <c r="F199" s="5">
        <v>1650</v>
      </c>
      <c r="H199">
        <v>0</v>
      </c>
      <c r="I199" t="s">
        <v>53</v>
      </c>
      <c r="L199" s="6"/>
      <c r="M199" s="6"/>
      <c r="N199" s="6"/>
      <c r="O199" s="5"/>
      <c r="P199" s="7" t="str">
        <f t="shared" si="21"/>
        <v/>
      </c>
      <c r="Q199" s="7" t="str">
        <f t="shared" si="22"/>
        <v/>
      </c>
      <c r="R199" s="7" t="str">
        <f t="shared" si="23"/>
        <v/>
      </c>
      <c r="S199" s="7">
        <f>IF($A199="","",IF(AND(LEFT($G199,3)="ДОК",$N199&lt;&gt;""),IFERROR(INDEX(Документация!$E$2:$E$57,MATCH($N199,Документация!$F$2:$F$57,0)),0),N($F199))*(1-MEDIAN(0,N(ДисконтТендер),1)))</f>
        <v>1650</v>
      </c>
      <c r="T199" s="7">
        <f>IF($A199="","",IF(AND(LEFT($G199,3)="ДОК",$N199&lt;&gt;""),0,IF(AND(LEFT($G199,3)&lt;&gt;"ДОК",$N199&lt;&gt;""),IFERROR(INDEX(МАТЕРИАЛЫ!$H$2:$H$9000,MATCH($N199,МАТЕРИАЛЫ!$L$2:$L$9000,0))*IF(INDEX(МАТЕРИАЛЫ!$I$2:$I$9000,MATCH($N199,МАТЕРИАЛЫ!$L$2:$L$9000,0))="USD",КурсUSD,IF(INDEX(МАТЕРИАЛЫ!$I$2:$I$9000,MATCH($N199,МАТЕРИАЛЫ!$L$2:$L$9000,0))="EUR",КурсEUR,IF(INDEX(МАТЕРИАЛЫ!$I$2:$I$9000,MATCH($N199,МАТЕРИАЛЫ!$L$2:$L$9000,0))="CNY",КурсCNY,1)))*(1+N($H199)/100),0),N($O199))*(1-MEDIAN(0,N(ДисконтТендер),1))))</f>
        <v>0</v>
      </c>
      <c r="U199" t="str">
        <f>IF($L199="да",MAX($U$1:$U198)+1,"")</f>
        <v/>
      </c>
      <c r="V199" t="str">
        <f t="shared" si="24"/>
        <v>Р3</v>
      </c>
      <c r="W199" t="str">
        <f t="shared" si="25"/>
        <v/>
      </c>
      <c r="X199" t="str">
        <f t="shared" si="26"/>
        <v/>
      </c>
      <c r="Y199" s="4" t="str">
        <f>IF($A199="","",IF(AND(LEFT($G199,3)="ДОК",$N199&lt;&gt;""),IFERROR(INDEX(Документация!$G$2:$G$57,MATCH($N199,Документация!$F$2:$F$57,0)),$D199),$D199&amp;IF(AND(LEFT($G199,3)&lt;&gt;"ДОК",$N199&lt;&gt;"")," — "&amp;IFERROR(INDEX(МАТЕРИАЛЫ!$C$2:$C$9000,MATCH($N199,МАТЕРИАЛЫ!$L$2:$L$9000,0)),""),"")))</f>
        <v>Оклейка стеклянных перегородок декоративной пленкой (перфорированной) с фоторисунком</v>
      </c>
      <c r="Z199" t="str">
        <f t="shared" si="27"/>
        <v>Р3 · Внутренние строительные работы</v>
      </c>
    </row>
    <row r="200" spans="1:26" x14ac:dyDescent="0.3">
      <c r="A200" t="s">
        <v>474</v>
      </c>
      <c r="B200" t="s">
        <v>394</v>
      </c>
      <c r="C200" t="s">
        <v>161</v>
      </c>
      <c r="D200" s="4" t="s">
        <v>475</v>
      </c>
      <c r="E200" t="s">
        <v>52</v>
      </c>
      <c r="F200" s="5">
        <v>5637.6</v>
      </c>
      <c r="G200" t="s">
        <v>469</v>
      </c>
      <c r="H200">
        <v>5</v>
      </c>
      <c r="I200" t="s">
        <v>53</v>
      </c>
      <c r="L200" s="6"/>
      <c r="M200" s="6"/>
      <c r="N200" s="6"/>
      <c r="O200" s="5"/>
      <c r="P200" s="7" t="str">
        <f t="shared" si="21"/>
        <v/>
      </c>
      <c r="Q200" s="7" t="str">
        <f t="shared" si="22"/>
        <v/>
      </c>
      <c r="R200" s="7" t="str">
        <f t="shared" si="23"/>
        <v/>
      </c>
      <c r="S200" s="7">
        <f>IF($A200="","",IF(AND(LEFT($G200,3)="ДОК",$N200&lt;&gt;""),IFERROR(INDEX(Документация!$E$2:$E$57,MATCH($N200,Документация!$F$2:$F$57,0)),0),N($F200))*(1-MEDIAN(0,N(ДисконтТендер),1)))</f>
        <v>5637.6</v>
      </c>
      <c r="T200" s="7">
        <f>IF($A200="","",IF(AND(LEFT($G200,3)="ДОК",$N200&lt;&gt;""),0,IF(AND(LEFT($G200,3)&lt;&gt;"ДОК",$N200&lt;&gt;""),IFERROR(INDEX(МАТЕРИАЛЫ!$H$2:$H$9000,MATCH($N200,МАТЕРИАЛЫ!$L$2:$L$9000,0))*IF(INDEX(МАТЕРИАЛЫ!$I$2:$I$9000,MATCH($N200,МАТЕРИАЛЫ!$L$2:$L$9000,0))="USD",КурсUSD,IF(INDEX(МАТЕРИАЛЫ!$I$2:$I$9000,MATCH($N200,МАТЕРИАЛЫ!$L$2:$L$9000,0))="EUR",КурсEUR,IF(INDEX(МАТЕРИАЛЫ!$I$2:$I$9000,MATCH($N200,МАТЕРИАЛЫ!$L$2:$L$9000,0))="CNY",КурсCNY,1)))*(1+N($H200)/100),0),N($O200))*(1-MEDIAN(0,N(ДисконтТендер),1))))</f>
        <v>0</v>
      </c>
      <c r="U200" t="str">
        <f>IF($L200="да",MAX($U$1:$U199)+1,"")</f>
        <v/>
      </c>
      <c r="V200" t="str">
        <f t="shared" si="24"/>
        <v>Р3</v>
      </c>
      <c r="W200" t="str">
        <f t="shared" si="25"/>
        <v/>
      </c>
      <c r="X200" t="str">
        <f t="shared" si="26"/>
        <v/>
      </c>
      <c r="Y200" s="4" t="str">
        <f>IF($A200="","",IF(AND(LEFT($G200,3)="ДОК",$N200&lt;&gt;""),IFERROR(INDEX(Документация!$G$2:$G$57,MATCH($N200,Документация!$F$2:$F$57,0)),$D200),$D200&amp;IF(AND(LEFT($G200,3)&lt;&gt;"ДОК",$N200&lt;&gt;"")," — "&amp;IFERROR(INDEX(МАТЕРИАЛЫ!$C$2:$C$9000,MATCH($N200,МАТЕРИАЛЫ!$L$2:$L$9000,0)),""),"")))</f>
        <v>Монтаж стеклянной перегородки</v>
      </c>
      <c r="Z200" t="str">
        <f t="shared" si="27"/>
        <v>Р3 · Внутренние строительные работы</v>
      </c>
    </row>
    <row r="201" spans="1:26" x14ac:dyDescent="0.3">
      <c r="A201" t="s">
        <v>476</v>
      </c>
      <c r="B201" t="s">
        <v>394</v>
      </c>
      <c r="C201" t="s">
        <v>161</v>
      </c>
      <c r="D201" s="4" t="s">
        <v>477</v>
      </c>
      <c r="E201" t="s">
        <v>52</v>
      </c>
      <c r="F201" s="5">
        <v>8143.2</v>
      </c>
      <c r="G201" t="s">
        <v>478</v>
      </c>
      <c r="H201">
        <v>5</v>
      </c>
      <c r="I201" t="s">
        <v>53</v>
      </c>
      <c r="L201" s="6"/>
      <c r="M201" s="6"/>
      <c r="N201" s="6"/>
      <c r="O201" s="5"/>
      <c r="P201" s="7" t="str">
        <f t="shared" si="21"/>
        <v/>
      </c>
      <c r="Q201" s="7" t="str">
        <f t="shared" si="22"/>
        <v/>
      </c>
      <c r="R201" s="7" t="str">
        <f t="shared" si="23"/>
        <v/>
      </c>
      <c r="S201" s="7">
        <f>IF($A201="","",IF(AND(LEFT($G201,3)="ДОК",$N201&lt;&gt;""),IFERROR(INDEX(Документация!$E$2:$E$57,MATCH($N201,Документация!$F$2:$F$57,0)),0),N($F201))*(1-MEDIAN(0,N(ДисконтТендер),1)))</f>
        <v>8143.2</v>
      </c>
      <c r="T201" s="7">
        <f>IF($A201="","",IF(AND(LEFT($G201,3)="ДОК",$N201&lt;&gt;""),0,IF(AND(LEFT($G201,3)&lt;&gt;"ДОК",$N201&lt;&gt;""),IFERROR(INDEX(МАТЕРИАЛЫ!$H$2:$H$9000,MATCH($N201,МАТЕРИАЛЫ!$L$2:$L$9000,0))*IF(INDEX(МАТЕРИАЛЫ!$I$2:$I$9000,MATCH($N201,МАТЕРИАЛЫ!$L$2:$L$9000,0))="USD",КурсUSD,IF(INDEX(МАТЕРИАЛЫ!$I$2:$I$9000,MATCH($N201,МАТЕРИАЛЫ!$L$2:$L$9000,0))="EUR",КурсEUR,IF(INDEX(МАТЕРИАЛЫ!$I$2:$I$9000,MATCH($N201,МАТЕРИАЛЫ!$L$2:$L$9000,0))="CNY",КурсCNY,1)))*(1+N($H201)/100),0),N($O201))*(1-MEDIAN(0,N(ДисконтТендер),1))))</f>
        <v>0</v>
      </c>
      <c r="U201" t="str">
        <f>IF($L201="да",MAX($U$1:$U200)+1,"")</f>
        <v/>
      </c>
      <c r="V201" t="str">
        <f t="shared" si="24"/>
        <v>Р3</v>
      </c>
      <c r="W201" t="str">
        <f t="shared" si="25"/>
        <v/>
      </c>
      <c r="X201" t="str">
        <f t="shared" si="26"/>
        <v/>
      </c>
      <c r="Y201" s="4" t="str">
        <f>IF($A201="","",IF(AND(LEFT($G201,3)="ДОК",$N201&lt;&gt;""),IFERROR(INDEX(Документация!$G$2:$G$57,MATCH($N201,Документация!$F$2:$F$57,0)),$D201),$D201&amp;IF(AND(LEFT($G201,3)&lt;&gt;"ДОК",$N201&lt;&gt;"")," — "&amp;IFERROR(INDEX(МАТЕРИАЛЫ!$C$2:$C$9000,MATCH($N201,МАТЕРИАЛЫ!$L$2:$L$9000,0)),""),"")))</f>
        <v>Устройство фальшпола</v>
      </c>
      <c r="Z201" t="str">
        <f t="shared" si="27"/>
        <v>Р3 · Внутренние строительные работы</v>
      </c>
    </row>
    <row r="202" spans="1:26" ht="28.8" x14ac:dyDescent="0.3">
      <c r="A202" t="s">
        <v>479</v>
      </c>
      <c r="B202" t="s">
        <v>394</v>
      </c>
      <c r="C202" t="s">
        <v>161</v>
      </c>
      <c r="D202" s="4" t="s">
        <v>480</v>
      </c>
      <c r="E202" t="s">
        <v>114</v>
      </c>
      <c r="F202" s="5">
        <v>720.36</v>
      </c>
      <c r="G202" t="s">
        <v>481</v>
      </c>
      <c r="H202">
        <v>5</v>
      </c>
      <c r="I202" t="s">
        <v>53</v>
      </c>
      <c r="L202" s="6"/>
      <c r="M202" s="6"/>
      <c r="N202" s="6"/>
      <c r="O202" s="5"/>
      <c r="P202" s="7" t="str">
        <f t="shared" si="21"/>
        <v/>
      </c>
      <c r="Q202" s="7" t="str">
        <f t="shared" si="22"/>
        <v/>
      </c>
      <c r="R202" s="7" t="str">
        <f t="shared" si="23"/>
        <v/>
      </c>
      <c r="S202" s="7">
        <f>IF($A202="","",IF(AND(LEFT($G202,3)="ДОК",$N202&lt;&gt;""),IFERROR(INDEX(Документация!$E$2:$E$57,MATCH($N202,Документация!$F$2:$F$57,0)),0),N($F202))*(1-MEDIAN(0,N(ДисконтТендер),1)))</f>
        <v>720.36</v>
      </c>
      <c r="T202" s="7">
        <f>IF($A202="","",IF(AND(LEFT($G202,3)="ДОК",$N202&lt;&gt;""),0,IF(AND(LEFT($G202,3)&lt;&gt;"ДОК",$N202&lt;&gt;""),IFERROR(INDEX(МАТЕРИАЛЫ!$H$2:$H$9000,MATCH($N202,МАТЕРИАЛЫ!$L$2:$L$9000,0))*IF(INDEX(МАТЕРИАЛЫ!$I$2:$I$9000,MATCH($N202,МАТЕРИАЛЫ!$L$2:$L$9000,0))="USD",КурсUSD,IF(INDEX(МАТЕРИАЛЫ!$I$2:$I$9000,MATCH($N202,МАТЕРИАЛЫ!$L$2:$L$9000,0))="EUR",КурсEUR,IF(INDEX(МАТЕРИАЛЫ!$I$2:$I$9000,MATCH($N202,МАТЕРИАЛЫ!$L$2:$L$9000,0))="CNY",КурсCNY,1)))*(1+N($H202)/100),0),N($O202))*(1-MEDIAN(0,N(ДисконтТендер),1))))</f>
        <v>0</v>
      </c>
      <c r="U202" t="str">
        <f>IF($L202="да",MAX($U$1:$U201)+1,"")</f>
        <v/>
      </c>
      <c r="V202" t="str">
        <f t="shared" si="24"/>
        <v>Р3</v>
      </c>
      <c r="W202" t="str">
        <f t="shared" si="25"/>
        <v/>
      </c>
      <c r="X202" t="str">
        <f t="shared" si="26"/>
        <v/>
      </c>
      <c r="Y202" s="4" t="str">
        <f>IF($A202="","",IF(AND(LEFT($G202,3)="ДОК",$N202&lt;&gt;""),IFERROR(INDEX(Документация!$G$2:$G$57,MATCH($N202,Документация!$F$2:$F$57,0)),$D202),$D202&amp;IF(AND(LEFT($G202,3)&lt;&gt;"ДОК",$N202&lt;&gt;"")," — "&amp;IFERROR(INDEX(МАТЕРИАЛЫ!$C$2:$C$9000,MATCH($N202,МАТЕРИАЛЫ!$L$2:$L$9000,0)),""),"")))</f>
        <v>Замок для трансформируемой перегородки типа «Т-009 PSS»</v>
      </c>
      <c r="Z202" t="str">
        <f t="shared" si="27"/>
        <v>Р3 · Внутренние строительные работы</v>
      </c>
    </row>
    <row r="203" spans="1:26" x14ac:dyDescent="0.3">
      <c r="A203" t="s">
        <v>482</v>
      </c>
      <c r="B203" t="s">
        <v>394</v>
      </c>
      <c r="C203" t="s">
        <v>161</v>
      </c>
      <c r="D203" s="4" t="s">
        <v>483</v>
      </c>
      <c r="E203" t="s">
        <v>114</v>
      </c>
      <c r="F203" s="5">
        <v>250.56</v>
      </c>
      <c r="H203">
        <v>0</v>
      </c>
      <c r="I203" t="s">
        <v>53</v>
      </c>
      <c r="L203" s="6"/>
      <c r="M203" s="6"/>
      <c r="N203" s="6"/>
      <c r="O203" s="5"/>
      <c r="P203" s="7" t="str">
        <f t="shared" si="21"/>
        <v/>
      </c>
      <c r="Q203" s="7" t="str">
        <f t="shared" si="22"/>
        <v/>
      </c>
      <c r="R203" s="7" t="str">
        <f t="shared" si="23"/>
        <v/>
      </c>
      <c r="S203" s="7">
        <f>IF($A203="","",IF(AND(LEFT($G203,3)="ДОК",$N203&lt;&gt;""),IFERROR(INDEX(Документация!$E$2:$E$57,MATCH($N203,Документация!$F$2:$F$57,0)),0),N($F203))*(1-MEDIAN(0,N(ДисконтТендер),1)))</f>
        <v>250.56</v>
      </c>
      <c r="T203" s="7">
        <f>IF($A203="","",IF(AND(LEFT($G203,3)="ДОК",$N203&lt;&gt;""),0,IF(AND(LEFT($G203,3)&lt;&gt;"ДОК",$N203&lt;&gt;""),IFERROR(INDEX(МАТЕРИАЛЫ!$H$2:$H$9000,MATCH($N203,МАТЕРИАЛЫ!$L$2:$L$9000,0))*IF(INDEX(МАТЕРИАЛЫ!$I$2:$I$9000,MATCH($N203,МАТЕРИАЛЫ!$L$2:$L$9000,0))="USD",КурсUSD,IF(INDEX(МАТЕРИАЛЫ!$I$2:$I$9000,MATCH($N203,МАТЕРИАЛЫ!$L$2:$L$9000,0))="EUR",КурсEUR,IF(INDEX(МАТЕРИАЛЫ!$I$2:$I$9000,MATCH($N203,МАТЕРИАЛЫ!$L$2:$L$9000,0))="CNY",КурсCNY,1)))*(1+N($H203)/100),0),N($O203))*(1-MEDIAN(0,N(ДисконтТендер),1))))</f>
        <v>0</v>
      </c>
      <c r="U203" t="str">
        <f>IF($L203="да",MAX($U$1:$U202)+1,"")</f>
        <v/>
      </c>
      <c r="V203" t="str">
        <f t="shared" si="24"/>
        <v>Р3</v>
      </c>
      <c r="W203" t="str">
        <f t="shared" si="25"/>
        <v/>
      </c>
      <c r="X203" t="str">
        <f t="shared" si="26"/>
        <v/>
      </c>
      <c r="Y203" s="4" t="str">
        <f>IF($A203="","",IF(AND(LEFT($G203,3)="ДОК",$N203&lt;&gt;""),IFERROR(INDEX(Документация!$G$2:$G$57,MATCH($N203,Документация!$F$2:$F$57,0)),$D203),$D203&amp;IF(AND(LEFT($G203,3)&lt;&gt;"ДОК",$N203&lt;&gt;"")," — "&amp;IFERROR(INDEX(МАТЕРИАЛЫ!$C$2:$C$9000,MATCH($N203,МАТЕРИАЛЫ!$L$2:$L$9000,0)),""),"")))</f>
        <v>Цилиндр с заверткой для нижнего замка</v>
      </c>
      <c r="Z203" t="str">
        <f t="shared" si="27"/>
        <v>Р3 · Внутренние строительные работы</v>
      </c>
    </row>
    <row r="204" spans="1:26" ht="28.8" x14ac:dyDescent="0.3">
      <c r="A204" t="s">
        <v>484</v>
      </c>
      <c r="B204" t="s">
        <v>394</v>
      </c>
      <c r="C204" t="s">
        <v>194</v>
      </c>
      <c r="D204" s="4" t="s">
        <v>485</v>
      </c>
      <c r="E204" t="s">
        <v>52</v>
      </c>
      <c r="F204" s="5">
        <v>87</v>
      </c>
      <c r="H204">
        <v>0</v>
      </c>
      <c r="I204" t="s">
        <v>53</v>
      </c>
      <c r="L204" s="6"/>
      <c r="M204" s="6"/>
      <c r="N204" s="6"/>
      <c r="O204" s="5"/>
      <c r="P204" s="7" t="str">
        <f t="shared" si="21"/>
        <v/>
      </c>
      <c r="Q204" s="7" t="str">
        <f t="shared" si="22"/>
        <v/>
      </c>
      <c r="R204" s="7" t="str">
        <f t="shared" si="23"/>
        <v/>
      </c>
      <c r="S204" s="7">
        <f>IF($A204="","",IF(AND(LEFT($G204,3)="ДОК",$N204&lt;&gt;""),IFERROR(INDEX(Документация!$E$2:$E$57,MATCH($N204,Документация!$F$2:$F$57,0)),0),N($F204))*(1-MEDIAN(0,N(ДисконтТендер),1)))</f>
        <v>87</v>
      </c>
      <c r="T204" s="7">
        <f>IF($A204="","",IF(AND(LEFT($G204,3)="ДОК",$N204&lt;&gt;""),0,IF(AND(LEFT($G204,3)&lt;&gt;"ДОК",$N204&lt;&gt;""),IFERROR(INDEX(МАТЕРИАЛЫ!$H$2:$H$9000,MATCH($N204,МАТЕРИАЛЫ!$L$2:$L$9000,0))*IF(INDEX(МАТЕРИАЛЫ!$I$2:$I$9000,MATCH($N204,МАТЕРИАЛЫ!$L$2:$L$9000,0))="USD",КурсUSD,IF(INDEX(МАТЕРИАЛЫ!$I$2:$I$9000,MATCH($N204,МАТЕРИАЛЫ!$L$2:$L$9000,0))="EUR",КурсEUR,IF(INDEX(МАТЕРИАЛЫ!$I$2:$I$9000,MATCH($N204,МАТЕРИАЛЫ!$L$2:$L$9000,0))="CNY",КурсCNY,1)))*(1+N($H204)/100),0),N($O204))*(1-MEDIAN(0,N(ДисконтТендер),1))))</f>
        <v>0</v>
      </c>
      <c r="U204" t="str">
        <f>IF($L204="да",MAX($U$1:$U203)+1,"")</f>
        <v/>
      </c>
      <c r="V204" t="str">
        <f t="shared" si="24"/>
        <v>Р3</v>
      </c>
      <c r="W204" t="str">
        <f t="shared" si="25"/>
        <v/>
      </c>
      <c r="X204" t="str">
        <f t="shared" si="26"/>
        <v/>
      </c>
      <c r="Y204" s="4" t="str">
        <f>IF($A204="","",IF(AND(LEFT($G204,3)="ДОК",$N204&lt;&gt;""),IFERROR(INDEX(Документация!$G$2:$G$57,MATCH($N204,Документация!$F$2:$F$57,0)),$D204),$D204&amp;IF(AND(LEFT($G204,3)&lt;&gt;"ДОК",$N204&lt;&gt;"")," — "&amp;IFERROR(INDEX(МАТЕРИАЛЫ!$C$2:$C$9000,MATCH($N204,МАТЕРИАЛЫ!$L$2:$L$9000,0)),""),"")))</f>
        <v>Обработка стен, поврежденных грибком антисептическим раствором за 2 раза</v>
      </c>
      <c r="Z204" t="str">
        <f t="shared" si="27"/>
        <v>Р3 · Внутренние строительные работы</v>
      </c>
    </row>
    <row r="205" spans="1:26" ht="28.8" x14ac:dyDescent="0.3">
      <c r="A205" t="s">
        <v>486</v>
      </c>
      <c r="B205" t="s">
        <v>394</v>
      </c>
      <c r="C205" t="s">
        <v>194</v>
      </c>
      <c r="D205" s="4" t="s">
        <v>487</v>
      </c>
      <c r="E205" t="s">
        <v>52</v>
      </c>
      <c r="F205" s="5">
        <v>143.55000000000001</v>
      </c>
      <c r="H205">
        <v>0</v>
      </c>
      <c r="I205" t="s">
        <v>53</v>
      </c>
      <c r="L205" s="6"/>
      <c r="M205" s="6"/>
      <c r="N205" s="6"/>
      <c r="O205" s="5"/>
      <c r="P205" s="7" t="str">
        <f t="shared" si="21"/>
        <v/>
      </c>
      <c r="Q205" s="7" t="str">
        <f t="shared" si="22"/>
        <v/>
      </c>
      <c r="R205" s="7" t="str">
        <f t="shared" si="23"/>
        <v/>
      </c>
      <c r="S205" s="7">
        <f>IF($A205="","",IF(AND(LEFT($G205,3)="ДОК",$N205&lt;&gt;""),IFERROR(INDEX(Документация!$E$2:$E$57,MATCH($N205,Документация!$F$2:$F$57,0)),0),N($F205))*(1-MEDIAN(0,N(ДисконтТендер),1)))</f>
        <v>143.55000000000001</v>
      </c>
      <c r="T205" s="7">
        <f>IF($A205="","",IF(AND(LEFT($G205,3)="ДОК",$N205&lt;&gt;""),0,IF(AND(LEFT($G205,3)&lt;&gt;"ДОК",$N205&lt;&gt;""),IFERROR(INDEX(МАТЕРИАЛЫ!$H$2:$H$9000,MATCH($N205,МАТЕРИАЛЫ!$L$2:$L$9000,0))*IF(INDEX(МАТЕРИАЛЫ!$I$2:$I$9000,MATCH($N205,МАТЕРИАЛЫ!$L$2:$L$9000,0))="USD",КурсUSD,IF(INDEX(МАТЕРИАЛЫ!$I$2:$I$9000,MATCH($N205,МАТЕРИАЛЫ!$L$2:$L$9000,0))="EUR",КурсEUR,IF(INDEX(МАТЕРИАЛЫ!$I$2:$I$9000,MATCH($N205,МАТЕРИАЛЫ!$L$2:$L$9000,0))="CNY",КурсCNY,1)))*(1+N($H205)/100),0),N($O205))*(1-MEDIAN(0,N(ДисконтТендер),1))))</f>
        <v>0</v>
      </c>
      <c r="U205" t="str">
        <f>IF($L205="да",MAX($U$1:$U204)+1,"")</f>
        <v/>
      </c>
      <c r="V205" t="str">
        <f t="shared" si="24"/>
        <v>Р3</v>
      </c>
      <c r="W205" t="str">
        <f t="shared" si="25"/>
        <v/>
      </c>
      <c r="X205" t="str">
        <f t="shared" si="26"/>
        <v/>
      </c>
      <c r="Y205" s="4" t="str">
        <f>IF($A205="","",IF(AND(LEFT($G205,3)="ДОК",$N205&lt;&gt;""),IFERROR(INDEX(Документация!$G$2:$G$57,MATCH($N205,Документация!$F$2:$F$57,0)),$D205),$D205&amp;IF(AND(LEFT($G205,3)&lt;&gt;"ДОК",$N205&lt;&gt;"")," — "&amp;IFERROR(INDEX(МАТЕРИАЛЫ!$C$2:$C$9000,MATCH($N205,МАТЕРИАЛЫ!$L$2:$L$9000,0)),""),"")))</f>
        <v>Шпатлевка швов, саморезов и примыканий стен и перегородок из ГКЛ</v>
      </c>
      <c r="Z205" t="str">
        <f t="shared" si="27"/>
        <v>Р3 · Внутренние строительные работы</v>
      </c>
    </row>
    <row r="206" spans="1:26" x14ac:dyDescent="0.3">
      <c r="A206" t="s">
        <v>488</v>
      </c>
      <c r="B206" t="s">
        <v>394</v>
      </c>
      <c r="C206" t="s">
        <v>194</v>
      </c>
      <c r="D206" s="4" t="s">
        <v>489</v>
      </c>
      <c r="E206" t="s">
        <v>52</v>
      </c>
      <c r="F206" s="5">
        <v>530.66</v>
      </c>
      <c r="H206">
        <v>0</v>
      </c>
      <c r="I206" t="s">
        <v>53</v>
      </c>
      <c r="L206" s="6"/>
      <c r="M206" s="6"/>
      <c r="N206" s="6"/>
      <c r="O206" s="5"/>
      <c r="P206" s="7" t="str">
        <f t="shared" si="21"/>
        <v/>
      </c>
      <c r="Q206" s="7" t="str">
        <f t="shared" si="22"/>
        <v/>
      </c>
      <c r="R206" s="7" t="str">
        <f t="shared" si="23"/>
        <v/>
      </c>
      <c r="S206" s="7">
        <f>IF($A206="","",IF(AND(LEFT($G206,3)="ДОК",$N206&lt;&gt;""),IFERROR(INDEX(Документация!$E$2:$E$57,MATCH($N206,Документация!$F$2:$F$57,0)),0),N($F206))*(1-MEDIAN(0,N(ДисконтТендер),1)))</f>
        <v>530.66</v>
      </c>
      <c r="T206" s="7">
        <f>IF($A206="","",IF(AND(LEFT($G206,3)="ДОК",$N206&lt;&gt;""),0,IF(AND(LEFT($G206,3)&lt;&gt;"ДОК",$N206&lt;&gt;""),IFERROR(INDEX(МАТЕРИАЛЫ!$H$2:$H$9000,MATCH($N206,МАТЕРИАЛЫ!$L$2:$L$9000,0))*IF(INDEX(МАТЕРИАЛЫ!$I$2:$I$9000,MATCH($N206,МАТЕРИАЛЫ!$L$2:$L$9000,0))="USD",КурсUSD,IF(INDEX(МАТЕРИАЛЫ!$I$2:$I$9000,MATCH($N206,МАТЕРИАЛЫ!$L$2:$L$9000,0))="EUR",КурсEUR,IF(INDEX(МАТЕРИАЛЫ!$I$2:$I$9000,MATCH($N206,МАТЕРИАЛЫ!$L$2:$L$9000,0))="CNY",КурсCNY,1)))*(1+N($H206)/100),0),N($O206))*(1-MEDIAN(0,N(ДисконтТендер),1))))</f>
        <v>0</v>
      </c>
      <c r="U206" t="str">
        <f>IF($L206="да",MAX($U$1:$U205)+1,"")</f>
        <v/>
      </c>
      <c r="V206" t="str">
        <f t="shared" si="24"/>
        <v>Р3</v>
      </c>
      <c r="W206" t="str">
        <f t="shared" si="25"/>
        <v/>
      </c>
      <c r="X206" t="str">
        <f t="shared" si="26"/>
        <v/>
      </c>
      <c r="Y206" s="4" t="str">
        <f>IF($A206="","",IF(AND(LEFT($G206,3)="ДОК",$N206&lt;&gt;""),IFERROR(INDEX(Документация!$G$2:$G$57,MATCH($N206,Документация!$F$2:$F$57,0)),$D206),$D206&amp;IF(AND(LEFT($G206,3)&lt;&gt;"ДОК",$N206&lt;&gt;"")," — "&amp;IFERROR(INDEX(МАТЕРИАЛЫ!$C$2:$C$9000,MATCH($N206,МАТЕРИАЛЫ!$L$2:$L$9000,0)),""),"")))</f>
        <v>Шпатлевка стен</v>
      </c>
      <c r="Z206" t="str">
        <f t="shared" si="27"/>
        <v>Р3 · Внутренние строительные работы</v>
      </c>
    </row>
    <row r="207" spans="1:26" x14ac:dyDescent="0.3">
      <c r="A207" t="s">
        <v>490</v>
      </c>
      <c r="B207" t="s">
        <v>394</v>
      </c>
      <c r="C207" t="s">
        <v>194</v>
      </c>
      <c r="D207" s="4" t="s">
        <v>491</v>
      </c>
      <c r="E207" t="s">
        <v>52</v>
      </c>
      <c r="F207" s="5">
        <v>531.53</v>
      </c>
      <c r="H207">
        <v>0</v>
      </c>
      <c r="I207" t="s">
        <v>53</v>
      </c>
      <c r="L207" s="6"/>
      <c r="M207" s="6"/>
      <c r="N207" s="6"/>
      <c r="O207" s="5"/>
      <c r="P207" s="7" t="str">
        <f t="shared" si="21"/>
        <v/>
      </c>
      <c r="Q207" s="7" t="str">
        <f t="shared" si="22"/>
        <v/>
      </c>
      <c r="R207" s="7" t="str">
        <f t="shared" si="23"/>
        <v/>
      </c>
      <c r="S207" s="7">
        <f>IF($A207="","",IF(AND(LEFT($G207,3)="ДОК",$N207&lt;&gt;""),IFERROR(INDEX(Документация!$E$2:$E$57,MATCH($N207,Документация!$F$2:$F$57,0)),0),N($F207))*(1-MEDIAN(0,N(ДисконтТендер),1)))</f>
        <v>531.53</v>
      </c>
      <c r="T207" s="7">
        <f>IF($A207="","",IF(AND(LEFT($G207,3)="ДОК",$N207&lt;&gt;""),0,IF(AND(LEFT($G207,3)&lt;&gt;"ДОК",$N207&lt;&gt;""),IFERROR(INDEX(МАТЕРИАЛЫ!$H$2:$H$9000,MATCH($N207,МАТЕРИАЛЫ!$L$2:$L$9000,0))*IF(INDEX(МАТЕРИАЛЫ!$I$2:$I$9000,MATCH($N207,МАТЕРИАЛЫ!$L$2:$L$9000,0))="USD",КурсUSD,IF(INDEX(МАТЕРИАЛЫ!$I$2:$I$9000,MATCH($N207,МАТЕРИАЛЫ!$L$2:$L$9000,0))="EUR",КурсEUR,IF(INDEX(МАТЕРИАЛЫ!$I$2:$I$9000,MATCH($N207,МАТЕРИАЛЫ!$L$2:$L$9000,0))="CNY",КурсCNY,1)))*(1+N($H207)/100),0),N($O207))*(1-MEDIAN(0,N(ДисконтТендер),1))))</f>
        <v>0</v>
      </c>
      <c r="U207" t="str">
        <f>IF($L207="да",MAX($U$1:$U206)+1,"")</f>
        <v/>
      </c>
      <c r="V207" t="str">
        <f t="shared" si="24"/>
        <v>Р3</v>
      </c>
      <c r="W207" t="str">
        <f t="shared" si="25"/>
        <v/>
      </c>
      <c r="X207" t="str">
        <f t="shared" si="26"/>
        <v/>
      </c>
      <c r="Y207" s="4" t="str">
        <f>IF($A207="","",IF(AND(LEFT($G207,3)="ДОК",$N207&lt;&gt;""),IFERROR(INDEX(Документация!$G$2:$G$57,MATCH($N207,Документация!$F$2:$F$57,0)),$D207),$D207&amp;IF(AND(LEFT($G207,3)&lt;&gt;"ДОК",$N207&lt;&gt;"")," — "&amp;IFERROR(INDEX(МАТЕРИАЛЫ!$C$2:$C$9000,MATCH($N207,МАТЕРИАЛЫ!$L$2:$L$9000,0)),""),"")))</f>
        <v>Шпатлевка стен по стеклохолсту</v>
      </c>
      <c r="Z207" t="str">
        <f t="shared" si="27"/>
        <v>Р3 · Внутренние строительные работы</v>
      </c>
    </row>
    <row r="208" spans="1:26" ht="28.8" x14ac:dyDescent="0.3">
      <c r="A208" t="s">
        <v>492</v>
      </c>
      <c r="B208" t="s">
        <v>394</v>
      </c>
      <c r="C208" t="s">
        <v>194</v>
      </c>
      <c r="D208" s="4" t="s">
        <v>493</v>
      </c>
      <c r="E208" t="s">
        <v>52</v>
      </c>
      <c r="F208" s="5">
        <v>532.4</v>
      </c>
      <c r="H208">
        <v>0</v>
      </c>
      <c r="I208" t="s">
        <v>53</v>
      </c>
      <c r="L208" s="6"/>
      <c r="M208" s="6"/>
      <c r="N208" s="6"/>
      <c r="O208" s="5"/>
      <c r="P208" s="7" t="str">
        <f t="shared" si="21"/>
        <v/>
      </c>
      <c r="Q208" s="7" t="str">
        <f t="shared" si="22"/>
        <v/>
      </c>
      <c r="R208" s="7" t="str">
        <f t="shared" si="23"/>
        <v/>
      </c>
      <c r="S208" s="7">
        <f>IF($A208="","",IF(AND(LEFT($G208,3)="ДОК",$N208&lt;&gt;""),IFERROR(INDEX(Документация!$E$2:$E$57,MATCH($N208,Документация!$F$2:$F$57,0)),0),N($F208))*(1-MEDIAN(0,N(ДисконтТендер),1)))</f>
        <v>532.4</v>
      </c>
      <c r="T208" s="7">
        <f>IF($A208="","",IF(AND(LEFT($G208,3)="ДОК",$N208&lt;&gt;""),0,IF(AND(LEFT($G208,3)&lt;&gt;"ДОК",$N208&lt;&gt;""),IFERROR(INDEX(МАТЕРИАЛЫ!$H$2:$H$9000,MATCH($N208,МАТЕРИАЛЫ!$L$2:$L$9000,0))*IF(INDEX(МАТЕРИАЛЫ!$I$2:$I$9000,MATCH($N208,МАТЕРИАЛЫ!$L$2:$L$9000,0))="USD",КурсUSD,IF(INDEX(МАТЕРИАЛЫ!$I$2:$I$9000,MATCH($N208,МАТЕРИАЛЫ!$L$2:$L$9000,0))="EUR",КурсEUR,IF(INDEX(МАТЕРИАЛЫ!$I$2:$I$9000,MATCH($N208,МАТЕРИАЛЫ!$L$2:$L$9000,0))="CNY",КурсCNY,1)))*(1+N($H208)/100),0),N($O208))*(1-MEDIAN(0,N(ДисконтТендер),1))))</f>
        <v>0</v>
      </c>
      <c r="U208" t="str">
        <f>IF($L208="да",MAX($U$1:$U207)+1,"")</f>
        <v/>
      </c>
      <c r="V208" t="str">
        <f t="shared" si="24"/>
        <v>Р3</v>
      </c>
      <c r="W208" t="str">
        <f t="shared" si="25"/>
        <v/>
      </c>
      <c r="X208" t="str">
        <f t="shared" si="26"/>
        <v/>
      </c>
      <c r="Y208" s="4" t="str">
        <f>IF($A208="","",IF(AND(LEFT($G208,3)="ДОК",$N208&lt;&gt;""),IFERROR(INDEX(Документация!$G$2:$G$57,MATCH($N208,Документация!$F$2:$F$57,0)),$D208),$D208&amp;IF(AND(LEFT($G208,3)&lt;&gt;"ДОК",$N208&lt;&gt;"")," — "&amp;IFERROR(INDEX(МАТЕРИАЛЫ!$C$2:$C$9000,MATCH($N208,МАТЕРИАЛЫ!$L$2:$L$9000,0)),""),"")))</f>
        <v>Сплошное выравние стен составами "Ветонит" толщиной до 10 мм</v>
      </c>
      <c r="Z208" t="str">
        <f t="shared" si="27"/>
        <v>Р3 · Внутренние строительные работы</v>
      </c>
    </row>
    <row r="209" spans="1:26" ht="28.8" x14ac:dyDescent="0.3">
      <c r="A209" t="s">
        <v>494</v>
      </c>
      <c r="B209" t="s">
        <v>394</v>
      </c>
      <c r="C209" t="s">
        <v>194</v>
      </c>
      <c r="D209" s="4" t="s">
        <v>495</v>
      </c>
      <c r="E209" t="s">
        <v>52</v>
      </c>
      <c r="F209" s="5">
        <v>75.2</v>
      </c>
      <c r="H209">
        <v>0</v>
      </c>
      <c r="I209" t="s">
        <v>53</v>
      </c>
      <c r="L209" s="6"/>
      <c r="M209" s="6"/>
      <c r="N209" s="6"/>
      <c r="O209" s="5"/>
      <c r="P209" s="7" t="str">
        <f t="shared" si="21"/>
        <v/>
      </c>
      <c r="Q209" s="7" t="str">
        <f t="shared" si="22"/>
        <v/>
      </c>
      <c r="R209" s="7" t="str">
        <f t="shared" si="23"/>
        <v/>
      </c>
      <c r="S209" s="7">
        <f>IF($A209="","",IF(AND(LEFT($G209,3)="ДОК",$N209&lt;&gt;""),IFERROR(INDEX(Документация!$E$2:$E$57,MATCH($N209,Документация!$F$2:$F$57,0)),0),N($F209))*(1-MEDIAN(0,N(ДисконтТендер),1)))</f>
        <v>75.2</v>
      </c>
      <c r="T209" s="7">
        <f>IF($A209="","",IF(AND(LEFT($G209,3)="ДОК",$N209&lt;&gt;""),0,IF(AND(LEFT($G209,3)&lt;&gt;"ДОК",$N209&lt;&gt;""),IFERROR(INDEX(МАТЕРИАЛЫ!$H$2:$H$9000,MATCH($N209,МАТЕРИАЛЫ!$L$2:$L$9000,0))*IF(INDEX(МАТЕРИАЛЫ!$I$2:$I$9000,MATCH($N209,МАТЕРИАЛЫ!$L$2:$L$9000,0))="USD",КурсUSD,IF(INDEX(МАТЕРИАЛЫ!$I$2:$I$9000,MATCH($N209,МАТЕРИАЛЫ!$L$2:$L$9000,0))="EUR",КурсEUR,IF(INDEX(МАТЕРИАЛЫ!$I$2:$I$9000,MATCH($N209,МАТЕРИАЛЫ!$L$2:$L$9000,0))="CNY",КурсCNY,1)))*(1+N($H209)/100),0),N($O209))*(1-MEDIAN(0,N(ДисконтТендер),1))))</f>
        <v>0</v>
      </c>
      <c r="U209" t="str">
        <f>IF($L209="да",MAX($U$1:$U208)+1,"")</f>
        <v/>
      </c>
      <c r="V209" t="str">
        <f t="shared" si="24"/>
        <v>Р3</v>
      </c>
      <c r="W209" t="str">
        <f t="shared" si="25"/>
        <v/>
      </c>
      <c r="X209" t="str">
        <f t="shared" si="26"/>
        <v/>
      </c>
      <c r="Y209" s="4" t="str">
        <f>IF($A209="","",IF(AND(LEFT($G209,3)="ДОК",$N209&lt;&gt;""),IFERROR(INDEX(Документация!$G$2:$G$57,MATCH($N209,Документация!$F$2:$F$57,0)),$D209),$D209&amp;IF(AND(LEFT($G209,3)&lt;&gt;"ДОК",$N209&lt;&gt;"")," — "&amp;IFERROR(INDEX(МАТЕРИАЛЫ!$C$2:$C$9000,MATCH($N209,МАТЕРИАЛЫ!$L$2:$L$9000,0)),""),"")))</f>
        <v>Грунтовка поверхности стен и перегородок за 2 раза</v>
      </c>
      <c r="Z209" t="str">
        <f t="shared" si="27"/>
        <v>Р3 · Внутренние строительные работы</v>
      </c>
    </row>
    <row r="210" spans="1:26" ht="28.8" x14ac:dyDescent="0.3">
      <c r="A210" t="s">
        <v>496</v>
      </c>
      <c r="B210" t="s">
        <v>394</v>
      </c>
      <c r="C210" t="s">
        <v>194</v>
      </c>
      <c r="D210" s="4" t="s">
        <v>497</v>
      </c>
      <c r="E210" t="s">
        <v>52</v>
      </c>
      <c r="F210" s="5">
        <v>350</v>
      </c>
      <c r="G210" t="s">
        <v>498</v>
      </c>
      <c r="H210">
        <v>5</v>
      </c>
      <c r="I210" t="s">
        <v>53</v>
      </c>
      <c r="L210" s="6"/>
      <c r="M210" s="6"/>
      <c r="N210" s="6"/>
      <c r="O210" s="5"/>
      <c r="P210" s="7" t="str">
        <f t="shared" si="21"/>
        <v/>
      </c>
      <c r="Q210" s="7" t="str">
        <f t="shared" si="22"/>
        <v/>
      </c>
      <c r="R210" s="7" t="str">
        <f t="shared" si="23"/>
        <v/>
      </c>
      <c r="S210" s="7">
        <f>IF($A210="","",IF(AND(LEFT($G210,3)="ДОК",$N210&lt;&gt;""),IFERROR(INDEX(Документация!$E$2:$E$57,MATCH($N210,Документация!$F$2:$F$57,0)),0),N($F210))*(1-MEDIAN(0,N(ДисконтТендер),1)))</f>
        <v>350</v>
      </c>
      <c r="T210" s="7">
        <f>IF($A210="","",IF(AND(LEFT($G210,3)="ДОК",$N210&lt;&gt;""),0,IF(AND(LEFT($G210,3)&lt;&gt;"ДОК",$N210&lt;&gt;""),IFERROR(INDEX(МАТЕРИАЛЫ!$H$2:$H$9000,MATCH($N210,МАТЕРИАЛЫ!$L$2:$L$9000,0))*IF(INDEX(МАТЕРИАЛЫ!$I$2:$I$9000,MATCH($N210,МАТЕРИАЛЫ!$L$2:$L$9000,0))="USD",КурсUSD,IF(INDEX(МАТЕРИАЛЫ!$I$2:$I$9000,MATCH($N210,МАТЕРИАЛЫ!$L$2:$L$9000,0))="EUR",КурсEUR,IF(INDEX(МАТЕРИАЛЫ!$I$2:$I$9000,MATCH($N210,МАТЕРИАЛЫ!$L$2:$L$9000,0))="CNY",КурсCNY,1)))*(1+N($H210)/100),0),N($O210))*(1-MEDIAN(0,N(ДисконтТендер),1))))</f>
        <v>0</v>
      </c>
      <c r="U210" t="str">
        <f>IF($L210="да",MAX($U$1:$U209)+1,"")</f>
        <v/>
      </c>
      <c r="V210" t="str">
        <f t="shared" si="24"/>
        <v>Р3</v>
      </c>
      <c r="W210" t="str">
        <f t="shared" si="25"/>
        <v/>
      </c>
      <c r="X210" t="str">
        <f t="shared" si="26"/>
        <v/>
      </c>
      <c r="Y210" s="4" t="str">
        <f>IF($A210="","",IF(AND(LEFT($G210,3)="ДОК",$N210&lt;&gt;""),IFERROR(INDEX(Документация!$G$2:$G$57,MATCH($N210,Документация!$F$2:$F$57,0)),$D210),$D210&amp;IF(AND(LEFT($G210,3)&lt;&gt;"ДОК",$N210&lt;&gt;"")," — "&amp;IFERROR(INDEX(МАТЕРИАЛЫ!$C$2:$C$9000,MATCH($N210,МАТЕРИАЛЫ!$L$2:$L$9000,0)),""),"")))</f>
        <v>Окраска стен за 2 раза краской Tikkurila EURO 7 (колерованная)</v>
      </c>
      <c r="Z210" t="str">
        <f t="shared" si="27"/>
        <v>Р3 · Внутренние строительные работы</v>
      </c>
    </row>
    <row r="211" spans="1:26" ht="28.8" x14ac:dyDescent="0.3">
      <c r="A211" t="s">
        <v>499</v>
      </c>
      <c r="B211" t="s">
        <v>394</v>
      </c>
      <c r="C211" t="s">
        <v>194</v>
      </c>
      <c r="D211" s="4" t="s">
        <v>500</v>
      </c>
      <c r="E211" t="s">
        <v>52</v>
      </c>
      <c r="F211" s="5">
        <v>220</v>
      </c>
      <c r="G211" t="s">
        <v>501</v>
      </c>
      <c r="H211">
        <v>5</v>
      </c>
      <c r="I211" t="s">
        <v>53</v>
      </c>
      <c r="L211" s="6"/>
      <c r="M211" s="6"/>
      <c r="N211" s="6"/>
      <c r="O211" s="5"/>
      <c r="P211" s="7" t="str">
        <f t="shared" si="21"/>
        <v/>
      </c>
      <c r="Q211" s="7" t="str">
        <f t="shared" si="22"/>
        <v/>
      </c>
      <c r="R211" s="7" t="str">
        <f t="shared" si="23"/>
        <v/>
      </c>
      <c r="S211" s="7">
        <f>IF($A211="","",IF(AND(LEFT($G211,3)="ДОК",$N211&lt;&gt;""),IFERROR(INDEX(Документация!$E$2:$E$57,MATCH($N211,Документация!$F$2:$F$57,0)),0),N($F211))*(1-MEDIAN(0,N(ДисконтТендер),1)))</f>
        <v>220</v>
      </c>
      <c r="T211" s="7">
        <f>IF($A211="","",IF(AND(LEFT($G211,3)="ДОК",$N211&lt;&gt;""),0,IF(AND(LEFT($G211,3)&lt;&gt;"ДОК",$N211&lt;&gt;""),IFERROR(INDEX(МАТЕРИАЛЫ!$H$2:$H$9000,MATCH($N211,МАТЕРИАЛЫ!$L$2:$L$9000,0))*IF(INDEX(МАТЕРИАЛЫ!$I$2:$I$9000,MATCH($N211,МАТЕРИАЛЫ!$L$2:$L$9000,0))="USD",КурсUSD,IF(INDEX(МАТЕРИАЛЫ!$I$2:$I$9000,MATCH($N211,МАТЕРИАЛЫ!$L$2:$L$9000,0))="EUR",КурсEUR,IF(INDEX(МАТЕРИАЛЫ!$I$2:$I$9000,MATCH($N211,МАТЕРИАЛЫ!$L$2:$L$9000,0))="CNY",КурсCNY,1)))*(1+N($H211)/100),0),N($O211))*(1-MEDIAN(0,N(ДисконтТендер),1))))</f>
        <v>0</v>
      </c>
      <c r="U211" t="str">
        <f>IF($L211="да",MAX($U$1:$U210)+1,"")</f>
        <v/>
      </c>
      <c r="V211" t="str">
        <f t="shared" si="24"/>
        <v>Р3</v>
      </c>
      <c r="W211" t="str">
        <f t="shared" si="25"/>
        <v/>
      </c>
      <c r="X211" t="str">
        <f t="shared" si="26"/>
        <v/>
      </c>
      <c r="Y211" s="4" t="str">
        <f>IF($A211="","",IF(AND(LEFT($G211,3)="ДОК",$N211&lt;&gt;""),IFERROR(INDEX(Документация!$G$2:$G$57,MATCH($N211,Документация!$F$2:$F$57,0)),$D211),$D211&amp;IF(AND(LEFT($G211,3)&lt;&gt;"ДОК",$N211&lt;&gt;"")," — "&amp;IFERROR(INDEX(МАТЕРИАЛЫ!$C$2:$C$9000,MATCH($N211,МАТЕРИАЛЫ!$L$2:$L$9000,0)),""),"")))</f>
        <v>Оклейка стен стеклообоями типа "Паутинка" (нефактурными)</v>
      </c>
      <c r="Z211" t="str">
        <f t="shared" si="27"/>
        <v>Р3 · Внутренние строительные работы</v>
      </c>
    </row>
    <row r="212" spans="1:26" ht="28.8" x14ac:dyDescent="0.3">
      <c r="A212" t="s">
        <v>502</v>
      </c>
      <c r="B212" t="s">
        <v>394</v>
      </c>
      <c r="C212" t="s">
        <v>194</v>
      </c>
      <c r="D212" s="4" t="s">
        <v>503</v>
      </c>
      <c r="E212" t="s">
        <v>52</v>
      </c>
      <c r="F212" s="5">
        <v>977.08</v>
      </c>
      <c r="H212">
        <v>0</v>
      </c>
      <c r="I212" t="s">
        <v>53</v>
      </c>
      <c r="L212" s="6"/>
      <c r="M212" s="6"/>
      <c r="N212" s="6"/>
      <c r="O212" s="5"/>
      <c r="P212" s="7" t="str">
        <f t="shared" si="21"/>
        <v/>
      </c>
      <c r="Q212" s="7" t="str">
        <f t="shared" si="22"/>
        <v/>
      </c>
      <c r="R212" s="7" t="str">
        <f t="shared" si="23"/>
        <v/>
      </c>
      <c r="S212" s="7">
        <f>IF($A212="","",IF(AND(LEFT($G212,3)="ДОК",$N212&lt;&gt;""),IFERROR(INDEX(Документация!$E$2:$E$57,MATCH($N212,Документация!$F$2:$F$57,0)),0),N($F212))*(1-MEDIAN(0,N(ДисконтТендер),1)))</f>
        <v>977.08</v>
      </c>
      <c r="T212" s="7">
        <f>IF($A212="","",IF(AND(LEFT($G212,3)="ДОК",$N212&lt;&gt;""),0,IF(AND(LEFT($G212,3)&lt;&gt;"ДОК",$N212&lt;&gt;""),IFERROR(INDEX(МАТЕРИАЛЫ!$H$2:$H$9000,MATCH($N212,МАТЕРИАЛЫ!$L$2:$L$9000,0))*IF(INDEX(МАТЕРИАЛЫ!$I$2:$I$9000,MATCH($N212,МАТЕРИАЛЫ!$L$2:$L$9000,0))="USD",КурсUSD,IF(INDEX(МАТЕРИАЛЫ!$I$2:$I$9000,MATCH($N212,МАТЕРИАЛЫ!$L$2:$L$9000,0))="EUR",КурсEUR,IF(INDEX(МАТЕРИАЛЫ!$I$2:$I$9000,MATCH($N212,МАТЕРИАЛЫ!$L$2:$L$9000,0))="CNY",КурсCNY,1)))*(1+N($H212)/100),0),N($O212))*(1-MEDIAN(0,N(ДисконтТендер),1))))</f>
        <v>0</v>
      </c>
      <c r="U212" t="str">
        <f>IF($L212="да",MAX($U$1:$U211)+1,"")</f>
        <v/>
      </c>
      <c r="V212" t="str">
        <f t="shared" si="24"/>
        <v>Р3</v>
      </c>
      <c r="W212" t="str">
        <f t="shared" si="25"/>
        <v/>
      </c>
      <c r="X212" t="str">
        <f t="shared" si="26"/>
        <v/>
      </c>
      <c r="Y212" s="4" t="str">
        <f>IF($A212="","",IF(AND(LEFT($G212,3)="ДОК",$N212&lt;&gt;""),IFERROR(INDEX(Документация!$G$2:$G$57,MATCH($N212,Документация!$F$2:$F$57,0)),$D212),$D212&amp;IF(AND(LEFT($G212,3)&lt;&gt;"ДОК",$N212&lt;&gt;"")," — "&amp;IFERROR(INDEX(МАТЕРИАЛЫ!$C$2:$C$9000,MATCH($N212,МАТЕРИАЛЫ!$L$2:$L$9000,0)),""),"")))</f>
        <v>Ремонт штукатурки стен с расшивкой швов, отдельными местами до 1 м.кв.</v>
      </c>
      <c r="Z212" t="str">
        <f t="shared" si="27"/>
        <v>Р3 · Внутренние строительные работы</v>
      </c>
    </row>
    <row r="213" spans="1:26" ht="28.8" x14ac:dyDescent="0.3">
      <c r="A213" t="s">
        <v>504</v>
      </c>
      <c r="B213" t="s">
        <v>394</v>
      </c>
      <c r="C213" t="s">
        <v>194</v>
      </c>
      <c r="D213" s="4" t="s">
        <v>505</v>
      </c>
      <c r="E213" t="s">
        <v>52</v>
      </c>
      <c r="F213" s="5">
        <v>2307.71</v>
      </c>
      <c r="G213" t="s">
        <v>506</v>
      </c>
      <c r="H213">
        <v>5</v>
      </c>
      <c r="I213" t="s">
        <v>53</v>
      </c>
      <c r="L213" s="6"/>
      <c r="M213" s="6"/>
      <c r="N213" s="6"/>
      <c r="O213" s="5"/>
      <c r="P213" s="7" t="str">
        <f t="shared" si="21"/>
        <v/>
      </c>
      <c r="Q213" s="7" t="str">
        <f t="shared" si="22"/>
        <v/>
      </c>
      <c r="R213" s="7" t="str">
        <f t="shared" si="23"/>
        <v/>
      </c>
      <c r="S213" s="7">
        <f>IF($A213="","",IF(AND(LEFT($G213,3)="ДОК",$N213&lt;&gt;""),IFERROR(INDEX(Документация!$E$2:$E$57,MATCH($N213,Документация!$F$2:$F$57,0)),0),N($F213))*(1-MEDIAN(0,N(ДисконтТендер),1)))</f>
        <v>2307.71</v>
      </c>
      <c r="T213" s="7">
        <f>IF($A213="","",IF(AND(LEFT($G213,3)="ДОК",$N213&lt;&gt;""),0,IF(AND(LEFT($G213,3)&lt;&gt;"ДОК",$N213&lt;&gt;""),IFERROR(INDEX(МАТЕРИАЛЫ!$H$2:$H$9000,MATCH($N213,МАТЕРИАЛЫ!$L$2:$L$9000,0))*IF(INDEX(МАТЕРИАЛЫ!$I$2:$I$9000,MATCH($N213,МАТЕРИАЛЫ!$L$2:$L$9000,0))="USD",КурсUSD,IF(INDEX(МАТЕРИАЛЫ!$I$2:$I$9000,MATCH($N213,МАТЕРИАЛЫ!$L$2:$L$9000,0))="EUR",КурсEUR,IF(INDEX(МАТЕРИАЛЫ!$I$2:$I$9000,MATCH($N213,МАТЕРИАЛЫ!$L$2:$L$9000,0))="CNY",КурсCNY,1)))*(1+N($H213)/100),0),N($O213))*(1-MEDIAN(0,N(ДисконтТендер),1))))</f>
        <v>0</v>
      </c>
      <c r="U213" t="str">
        <f>IF($L213="да",MAX($U$1:$U212)+1,"")</f>
        <v/>
      </c>
      <c r="V213" t="str">
        <f t="shared" si="24"/>
        <v>Р3</v>
      </c>
      <c r="W213" t="str">
        <f t="shared" si="25"/>
        <v/>
      </c>
      <c r="X213" t="str">
        <f t="shared" si="26"/>
        <v/>
      </c>
      <c r="Y213" s="4" t="str">
        <f>IF($A213="","",IF(AND(LEFT($G213,3)="ДОК",$N213&lt;&gt;""),IFERROR(INDEX(Документация!$G$2:$G$57,MATCH($N213,Документация!$F$2:$F$57,0)),$D213),$D213&amp;IF(AND(LEFT($G213,3)&lt;&gt;"ДОК",$N213&lt;&gt;"")," — "&amp;IFERROR(INDEX(МАТЕРИАЛЫ!$C$2:$C$9000,MATCH($N213,МАТЕРИАЛЫ!$L$2:$L$9000,0)),""),"")))</f>
        <v>Облицовка стен керамической плиткой с затиркой швов.</v>
      </c>
      <c r="Z213" t="str">
        <f t="shared" si="27"/>
        <v>Р3 · Внутренние строительные работы</v>
      </c>
    </row>
    <row r="214" spans="1:26" x14ac:dyDescent="0.3">
      <c r="A214" t="s">
        <v>507</v>
      </c>
      <c r="B214" t="s">
        <v>394</v>
      </c>
      <c r="C214" t="s">
        <v>194</v>
      </c>
      <c r="D214" s="4" t="s">
        <v>508</v>
      </c>
      <c r="E214" t="s">
        <v>52</v>
      </c>
      <c r="F214" s="5">
        <v>3048.05</v>
      </c>
      <c r="G214" t="s">
        <v>506</v>
      </c>
      <c r="H214">
        <v>5</v>
      </c>
      <c r="I214" t="s">
        <v>53</v>
      </c>
      <c r="L214" s="6"/>
      <c r="M214" s="6"/>
      <c r="N214" s="6"/>
      <c r="O214" s="5"/>
      <c r="P214" s="7" t="str">
        <f t="shared" si="21"/>
        <v/>
      </c>
      <c r="Q214" s="7" t="str">
        <f t="shared" si="22"/>
        <v/>
      </c>
      <c r="R214" s="7" t="str">
        <f t="shared" si="23"/>
        <v/>
      </c>
      <c r="S214" s="7">
        <f>IF($A214="","",IF(AND(LEFT($G214,3)="ДОК",$N214&lt;&gt;""),IFERROR(INDEX(Документация!$E$2:$E$57,MATCH($N214,Документация!$F$2:$F$57,0)),0),N($F214))*(1-MEDIAN(0,N(ДисконтТендер),1)))</f>
        <v>3048.05</v>
      </c>
      <c r="T214" s="7">
        <f>IF($A214="","",IF(AND(LEFT($G214,3)="ДОК",$N214&lt;&gt;""),0,IF(AND(LEFT($G214,3)&lt;&gt;"ДОК",$N214&lt;&gt;""),IFERROR(INDEX(МАТЕРИАЛЫ!$H$2:$H$9000,MATCH($N214,МАТЕРИАЛЫ!$L$2:$L$9000,0))*IF(INDEX(МАТЕРИАЛЫ!$I$2:$I$9000,MATCH($N214,МАТЕРИАЛЫ!$L$2:$L$9000,0))="USD",КурсUSD,IF(INDEX(МАТЕРИАЛЫ!$I$2:$I$9000,MATCH($N214,МАТЕРИАЛЫ!$L$2:$L$9000,0))="EUR",КурсEUR,IF(INDEX(МАТЕРИАЛЫ!$I$2:$I$9000,MATCH($N214,МАТЕРИАЛЫ!$L$2:$L$9000,0))="CNY",КурсCNY,1)))*(1+N($H214)/100),0),N($O214))*(1-MEDIAN(0,N(ДисконтТендер),1))))</f>
        <v>0</v>
      </c>
      <c r="U214" t="str">
        <f>IF($L214="да",MAX($U$1:$U213)+1,"")</f>
        <v/>
      </c>
      <c r="V214" t="str">
        <f t="shared" si="24"/>
        <v>Р3</v>
      </c>
      <c r="W214" t="str">
        <f t="shared" si="25"/>
        <v/>
      </c>
      <c r="X214" t="str">
        <f t="shared" si="26"/>
        <v/>
      </c>
      <c r="Y214" s="4" t="str">
        <f>IF($A214="","",IF(AND(LEFT($G214,3)="ДОК",$N214&lt;&gt;""),IFERROR(INDEX(Документация!$G$2:$G$57,MATCH($N214,Документация!$F$2:$F$57,0)),$D214),$D214&amp;IF(AND(LEFT($G214,3)&lt;&gt;"ДОК",$N214&lt;&gt;"")," — "&amp;IFERROR(INDEX(МАТЕРИАЛЫ!$C$2:$C$9000,MATCH($N214,МАТЕРИАЛЫ!$L$2:$L$9000,0)),""),"")))</f>
        <v>Облицовка стен керамической плиткой</v>
      </c>
      <c r="Z214" t="str">
        <f t="shared" si="27"/>
        <v>Р3 · Внутренние строительные работы</v>
      </c>
    </row>
    <row r="215" spans="1:26" ht="28.8" x14ac:dyDescent="0.3">
      <c r="A215" t="s">
        <v>509</v>
      </c>
      <c r="B215" t="s">
        <v>394</v>
      </c>
      <c r="C215" t="s">
        <v>194</v>
      </c>
      <c r="D215" s="4" t="s">
        <v>510</v>
      </c>
      <c r="E215" t="s">
        <v>114</v>
      </c>
      <c r="F215" s="5">
        <v>339.3</v>
      </c>
      <c r="H215">
        <v>0</v>
      </c>
      <c r="I215" t="s">
        <v>53</v>
      </c>
      <c r="L215" s="6"/>
      <c r="M215" s="6"/>
      <c r="N215" s="6"/>
      <c r="O215" s="5"/>
      <c r="P215" s="7" t="str">
        <f t="shared" si="21"/>
        <v/>
      </c>
      <c r="Q215" s="7" t="str">
        <f t="shared" si="22"/>
        <v/>
      </c>
      <c r="R215" s="7" t="str">
        <f t="shared" si="23"/>
        <v/>
      </c>
      <c r="S215" s="7">
        <f>IF($A215="","",IF(AND(LEFT($G215,3)="ДОК",$N215&lt;&gt;""),IFERROR(INDEX(Документация!$E$2:$E$57,MATCH($N215,Документация!$F$2:$F$57,0)),0),N($F215))*(1-MEDIAN(0,N(ДисконтТендер),1)))</f>
        <v>339.3</v>
      </c>
      <c r="T215" s="7">
        <f>IF($A215="","",IF(AND(LEFT($G215,3)="ДОК",$N215&lt;&gt;""),0,IF(AND(LEFT($G215,3)&lt;&gt;"ДОК",$N215&lt;&gt;""),IFERROR(INDEX(МАТЕРИАЛЫ!$H$2:$H$9000,MATCH($N215,МАТЕРИАЛЫ!$L$2:$L$9000,0))*IF(INDEX(МАТЕРИАЛЫ!$I$2:$I$9000,MATCH($N215,МАТЕРИАЛЫ!$L$2:$L$9000,0))="USD",КурсUSD,IF(INDEX(МАТЕРИАЛЫ!$I$2:$I$9000,MATCH($N215,МАТЕРИАЛЫ!$L$2:$L$9000,0))="EUR",КурсEUR,IF(INDEX(МАТЕРИАЛЫ!$I$2:$I$9000,MATCH($N215,МАТЕРИАЛЫ!$L$2:$L$9000,0))="CNY",КурсCNY,1)))*(1+N($H215)/100),0),N($O215))*(1-MEDIAN(0,N(ДисконтТендер),1))))</f>
        <v>0</v>
      </c>
      <c r="U215" t="str">
        <f>IF($L215="да",MAX($U$1:$U214)+1,"")</f>
        <v/>
      </c>
      <c r="V215" t="str">
        <f t="shared" si="24"/>
        <v>Р3</v>
      </c>
      <c r="W215" t="str">
        <f t="shared" si="25"/>
        <v/>
      </c>
      <c r="X215" t="str">
        <f t="shared" si="26"/>
        <v/>
      </c>
      <c r="Y215" s="4" t="str">
        <f>IF($A215="","",IF(AND(LEFT($G215,3)="ДОК",$N215&lt;&gt;""),IFERROR(INDEX(Документация!$G$2:$G$57,MATCH($N215,Документация!$F$2:$F$57,0)),$D215),$D215&amp;IF(AND(LEFT($G215,3)&lt;&gt;"ДОК",$N215&lt;&gt;"")," — "&amp;IFERROR(INDEX(МАТЕРИАЛЫ!$C$2:$C$9000,MATCH($N215,МАТЕРИАЛЫ!$L$2:$L$9000,0)),""),"")))</f>
        <v>Бордюр 500*15 "Szklana T40" коллекциии "Oxford" " Ctramica Konskie" с затиркой швов.</v>
      </c>
      <c r="Z215" t="str">
        <f t="shared" si="27"/>
        <v>Р3 · Внутренние строительные работы</v>
      </c>
    </row>
    <row r="216" spans="1:26" ht="28.8" x14ac:dyDescent="0.3">
      <c r="A216" t="s">
        <v>511</v>
      </c>
      <c r="B216" t="s">
        <v>394</v>
      </c>
      <c r="C216" t="s">
        <v>194</v>
      </c>
      <c r="D216" s="4" t="s">
        <v>512</v>
      </c>
      <c r="E216" t="s">
        <v>153</v>
      </c>
      <c r="F216" s="5">
        <v>297.58</v>
      </c>
      <c r="H216">
        <v>0</v>
      </c>
      <c r="I216" t="s">
        <v>53</v>
      </c>
      <c r="L216" s="6"/>
      <c r="M216" s="6"/>
      <c r="N216" s="6"/>
      <c r="O216" s="5"/>
      <c r="P216" s="7" t="str">
        <f t="shared" si="21"/>
        <v/>
      </c>
      <c r="Q216" s="7" t="str">
        <f t="shared" si="22"/>
        <v/>
      </c>
      <c r="R216" s="7" t="str">
        <f t="shared" si="23"/>
        <v/>
      </c>
      <c r="S216" s="7">
        <f>IF($A216="","",IF(AND(LEFT($G216,3)="ДОК",$N216&lt;&gt;""),IFERROR(INDEX(Документация!$E$2:$E$57,MATCH($N216,Документация!$F$2:$F$57,0)),0),N($F216))*(1-MEDIAN(0,N(ДисконтТендер),1)))</f>
        <v>297.58</v>
      </c>
      <c r="T216" s="7">
        <f>IF($A216="","",IF(AND(LEFT($G216,3)="ДОК",$N216&lt;&gt;""),0,IF(AND(LEFT($G216,3)&lt;&gt;"ДОК",$N216&lt;&gt;""),IFERROR(INDEX(МАТЕРИАЛЫ!$H$2:$H$9000,MATCH($N216,МАТЕРИАЛЫ!$L$2:$L$9000,0))*IF(INDEX(МАТЕРИАЛЫ!$I$2:$I$9000,MATCH($N216,МАТЕРИАЛЫ!$L$2:$L$9000,0))="USD",КурсUSD,IF(INDEX(МАТЕРИАЛЫ!$I$2:$I$9000,MATCH($N216,МАТЕРИАЛЫ!$L$2:$L$9000,0))="EUR",КурсEUR,IF(INDEX(МАТЕРИАЛЫ!$I$2:$I$9000,MATCH($N216,МАТЕРИАЛЫ!$L$2:$L$9000,0))="CNY",КурсCNY,1)))*(1+N($H216)/100),0),N($O216))*(1-MEDIAN(0,N(ДисконтТендер),1))))</f>
        <v>0</v>
      </c>
      <c r="U216" t="str">
        <f>IF($L216="да",MAX($U$1:$U215)+1,"")</f>
        <v/>
      </c>
      <c r="V216" t="str">
        <f t="shared" si="24"/>
        <v>Р3</v>
      </c>
      <c r="W216" t="str">
        <f t="shared" si="25"/>
        <v/>
      </c>
      <c r="X216" t="str">
        <f t="shared" si="26"/>
        <v/>
      </c>
      <c r="Y216" s="4" t="str">
        <f>IF($A216="","",IF(AND(LEFT($G216,3)="ДОК",$N216&lt;&gt;""),IFERROR(INDEX(Документация!$G$2:$G$57,MATCH($N216,Документация!$F$2:$F$57,0)),$D216),$D216&amp;IF(AND(LEFT($G216,3)&lt;&gt;"ДОК",$N216&lt;&gt;"")," — "&amp;IFERROR(INDEX(МАТЕРИАЛЫ!$C$2:$C$9000,MATCH($N216,МАТЕРИАЛЫ!$L$2:$L$9000,0)),""),"")))</f>
        <v>Установка пластиковых уголков на наружные углы колонн и стен</v>
      </c>
      <c r="Z216" t="str">
        <f t="shared" si="27"/>
        <v>Р3 · Внутренние строительные работы</v>
      </c>
    </row>
    <row r="217" spans="1:26" x14ac:dyDescent="0.3">
      <c r="A217" t="s">
        <v>513</v>
      </c>
      <c r="B217" t="s">
        <v>394</v>
      </c>
      <c r="C217" t="s">
        <v>194</v>
      </c>
      <c r="D217" s="4" t="s">
        <v>514</v>
      </c>
      <c r="E217" t="s">
        <v>52</v>
      </c>
      <c r="F217" s="5">
        <v>2926</v>
      </c>
      <c r="H217">
        <v>0</v>
      </c>
      <c r="I217" t="s">
        <v>53</v>
      </c>
      <c r="L217" s="6"/>
      <c r="M217" s="6"/>
      <c r="N217" s="6"/>
      <c r="O217" s="5"/>
      <c r="P217" s="7" t="str">
        <f t="shared" si="21"/>
        <v/>
      </c>
      <c r="Q217" s="7" t="str">
        <f t="shared" si="22"/>
        <v/>
      </c>
      <c r="R217" s="7" t="str">
        <f t="shared" si="23"/>
        <v/>
      </c>
      <c r="S217" s="7">
        <f>IF($A217="","",IF(AND(LEFT($G217,3)="ДОК",$N217&lt;&gt;""),IFERROR(INDEX(Документация!$E$2:$E$57,MATCH($N217,Документация!$F$2:$F$57,0)),0),N($F217))*(1-MEDIAN(0,N(ДисконтТендер),1)))</f>
        <v>2926</v>
      </c>
      <c r="T217" s="7">
        <f>IF($A217="","",IF(AND(LEFT($G217,3)="ДОК",$N217&lt;&gt;""),0,IF(AND(LEFT($G217,3)&lt;&gt;"ДОК",$N217&lt;&gt;""),IFERROR(INDEX(МАТЕРИАЛЫ!$H$2:$H$9000,MATCH($N217,МАТЕРИАЛЫ!$L$2:$L$9000,0))*IF(INDEX(МАТЕРИАЛЫ!$I$2:$I$9000,MATCH($N217,МАТЕРИАЛЫ!$L$2:$L$9000,0))="USD",КурсUSD,IF(INDEX(МАТЕРИАЛЫ!$I$2:$I$9000,MATCH($N217,МАТЕРИАЛЫ!$L$2:$L$9000,0))="EUR",КурсEUR,IF(INDEX(МАТЕРИАЛЫ!$I$2:$I$9000,MATCH($N217,МАТЕРИАЛЫ!$L$2:$L$9000,0))="CNY",КурсCNY,1)))*(1+N($H217)/100),0),N($O217))*(1-MEDIAN(0,N(ДисконтТендер),1))))</f>
        <v>0</v>
      </c>
      <c r="U217" t="str">
        <f>IF($L217="да",MAX($U$1:$U216)+1,"")</f>
        <v/>
      </c>
      <c r="V217" t="str">
        <f t="shared" si="24"/>
        <v>Р3</v>
      </c>
      <c r="W217" t="str">
        <f t="shared" si="25"/>
        <v/>
      </c>
      <c r="X217" t="str">
        <f t="shared" si="26"/>
        <v/>
      </c>
      <c r="Y217" s="4" t="str">
        <f>IF($A217="","",IF(AND(LEFT($G217,3)="ДОК",$N217&lt;&gt;""),IFERROR(INDEX(Документация!$G$2:$G$57,MATCH($N217,Документация!$F$2:$F$57,0)),$D217),$D217&amp;IF(AND(LEFT($G217,3)&lt;&gt;"ДОК",$N217&lt;&gt;"")," — "&amp;IFERROR(INDEX(МАТЕРИАЛЫ!$C$2:$C$9000,MATCH($N217,МАТЕРИАЛЫ!$L$2:$L$9000,0)),""),"")))</f>
        <v>Штукатурка поверхности</v>
      </c>
      <c r="Z217" t="str">
        <f t="shared" si="27"/>
        <v>Р3 · Внутренние строительные работы</v>
      </c>
    </row>
    <row r="218" spans="1:26" x14ac:dyDescent="0.3">
      <c r="A218" t="s">
        <v>515</v>
      </c>
      <c r="B218" t="s">
        <v>394</v>
      </c>
      <c r="C218" t="s">
        <v>194</v>
      </c>
      <c r="D218" s="4" t="s">
        <v>516</v>
      </c>
      <c r="E218" t="s">
        <v>52</v>
      </c>
      <c r="F218" s="5">
        <v>475.02</v>
      </c>
      <c r="G218" t="s">
        <v>501</v>
      </c>
      <c r="H218">
        <v>5</v>
      </c>
      <c r="I218" t="s">
        <v>53</v>
      </c>
      <c r="L218" s="6"/>
      <c r="M218" s="6"/>
      <c r="N218" s="6"/>
      <c r="O218" s="5"/>
      <c r="P218" s="7" t="str">
        <f t="shared" si="21"/>
        <v/>
      </c>
      <c r="Q218" s="7" t="str">
        <f t="shared" si="22"/>
        <v/>
      </c>
      <c r="R218" s="7" t="str">
        <f t="shared" si="23"/>
        <v/>
      </c>
      <c r="S218" s="7">
        <f>IF($A218="","",IF(AND(LEFT($G218,3)="ДОК",$N218&lt;&gt;""),IFERROR(INDEX(Документация!$E$2:$E$57,MATCH($N218,Документация!$F$2:$F$57,0)),0),N($F218))*(1-MEDIAN(0,N(ДисконтТендер),1)))</f>
        <v>475.02</v>
      </c>
      <c r="T218" s="7">
        <f>IF($A218="","",IF(AND(LEFT($G218,3)="ДОК",$N218&lt;&gt;""),0,IF(AND(LEFT($G218,3)&lt;&gt;"ДОК",$N218&lt;&gt;""),IFERROR(INDEX(МАТЕРИАЛЫ!$H$2:$H$9000,MATCH($N218,МАТЕРИАЛЫ!$L$2:$L$9000,0))*IF(INDEX(МАТЕРИАЛЫ!$I$2:$I$9000,MATCH($N218,МАТЕРИАЛЫ!$L$2:$L$9000,0))="USD",КурсUSD,IF(INDEX(МАТЕРИАЛЫ!$I$2:$I$9000,MATCH($N218,МАТЕРИАЛЫ!$L$2:$L$9000,0))="EUR",КурсEUR,IF(INDEX(МАТЕРИАЛЫ!$I$2:$I$9000,MATCH($N218,МАТЕРИАЛЫ!$L$2:$L$9000,0))="CNY",КурсCNY,1)))*(1+N($H218)/100),0),N($O218))*(1-MEDIAN(0,N(ДисконтТендер),1))))</f>
        <v>0</v>
      </c>
      <c r="U218" t="str">
        <f>IF($L218="да",MAX($U$1:$U217)+1,"")</f>
        <v/>
      </c>
      <c r="V218" t="str">
        <f t="shared" si="24"/>
        <v>Р3</v>
      </c>
      <c r="W218" t="str">
        <f t="shared" si="25"/>
        <v/>
      </c>
      <c r="X218" t="str">
        <f t="shared" si="26"/>
        <v/>
      </c>
      <c r="Y218" s="4" t="str">
        <f>IF($A218="","",IF(AND(LEFT($G218,3)="ДОК",$N218&lt;&gt;""),IFERROR(INDEX(Документация!$G$2:$G$57,MATCH($N218,Документация!$F$2:$F$57,0)),$D218),$D218&amp;IF(AND(LEFT($G218,3)&lt;&gt;"ДОК",$N218&lt;&gt;"")," — "&amp;IFERROR(INDEX(МАТЕРИАЛЫ!$C$2:$C$9000,MATCH($N218,МАТЕРИАЛЫ!$L$2:$L$9000,0)),""),"")))</f>
        <v>Оклейка стен стеклообоями типа "Рогожка"</v>
      </c>
      <c r="Z218" t="str">
        <f t="shared" si="27"/>
        <v>Р3 · Внутренние строительные работы</v>
      </c>
    </row>
    <row r="219" spans="1:26" ht="43.2" x14ac:dyDescent="0.3">
      <c r="A219" t="s">
        <v>517</v>
      </c>
      <c r="B219" t="s">
        <v>394</v>
      </c>
      <c r="C219" t="s">
        <v>194</v>
      </c>
      <c r="D219" s="4" t="s">
        <v>518</v>
      </c>
      <c r="E219" t="s">
        <v>52</v>
      </c>
      <c r="F219" s="5">
        <v>1289.3399999999999</v>
      </c>
      <c r="H219">
        <v>0</v>
      </c>
      <c r="I219" t="s">
        <v>53</v>
      </c>
      <c r="L219" s="6"/>
      <c r="M219" s="6"/>
      <c r="N219" s="6"/>
      <c r="O219" s="5"/>
      <c r="P219" s="7" t="str">
        <f t="shared" si="21"/>
        <v/>
      </c>
      <c r="Q219" s="7" t="str">
        <f t="shared" si="22"/>
        <v/>
      </c>
      <c r="R219" s="7" t="str">
        <f t="shared" si="23"/>
        <v/>
      </c>
      <c r="S219" s="7">
        <f>IF($A219="","",IF(AND(LEFT($G219,3)="ДОК",$N219&lt;&gt;""),IFERROR(INDEX(Документация!$E$2:$E$57,MATCH($N219,Документация!$F$2:$F$57,0)),0),N($F219))*(1-MEDIAN(0,N(ДисконтТендер),1)))</f>
        <v>1289.3399999999999</v>
      </c>
      <c r="T219" s="7">
        <f>IF($A219="","",IF(AND(LEFT($G219,3)="ДОК",$N219&lt;&gt;""),0,IF(AND(LEFT($G219,3)&lt;&gt;"ДОК",$N219&lt;&gt;""),IFERROR(INDEX(МАТЕРИАЛЫ!$H$2:$H$9000,MATCH($N219,МАТЕРИАЛЫ!$L$2:$L$9000,0))*IF(INDEX(МАТЕРИАЛЫ!$I$2:$I$9000,MATCH($N219,МАТЕРИАЛЫ!$L$2:$L$9000,0))="USD",КурсUSD,IF(INDEX(МАТЕРИАЛЫ!$I$2:$I$9000,MATCH($N219,МАТЕРИАЛЫ!$L$2:$L$9000,0))="EUR",КурсEUR,IF(INDEX(МАТЕРИАЛЫ!$I$2:$I$9000,MATCH($N219,МАТЕРИАЛЫ!$L$2:$L$9000,0))="CNY",КурсCNY,1)))*(1+N($H219)/100),0),N($O219))*(1-MEDIAN(0,N(ДисконтТендер),1))))</f>
        <v>0</v>
      </c>
      <c r="U219" t="str">
        <f>IF($L219="да",MAX($U$1:$U218)+1,"")</f>
        <v/>
      </c>
      <c r="V219" t="str">
        <f t="shared" si="24"/>
        <v>Р3</v>
      </c>
      <c r="W219" t="str">
        <f t="shared" si="25"/>
        <v/>
      </c>
      <c r="X219" t="str">
        <f t="shared" si="26"/>
        <v/>
      </c>
      <c r="Y219" s="4" t="str">
        <f>IF($A219="","",IF(AND(LEFT($G219,3)="ДОК",$N219&lt;&gt;""),IFERROR(INDEX(Документация!$G$2:$G$57,MATCH($N219,Документация!$F$2:$F$57,0)),$D219),$D219&amp;IF(AND(LEFT($G219,3)&lt;&gt;"ДОК",$N219&lt;&gt;"")," — "&amp;IFERROR(INDEX(МАТЕРИАЛЫ!$C$2:$C$9000,MATCH($N219,МАТЕРИАЛЫ!$L$2:$L$9000,0)),""),"")))</f>
        <v>Декоративные крашенные МДФ ПАНЕЛИ 20ММ, ЦВЕТ RAL 7040, Швы - черный, П-образный профиль 10мм</v>
      </c>
      <c r="Z219" t="str">
        <f t="shared" si="27"/>
        <v>Р3 · Внутренние строительные работы</v>
      </c>
    </row>
    <row r="220" spans="1:26" ht="28.8" x14ac:dyDescent="0.3">
      <c r="A220" t="s">
        <v>519</v>
      </c>
      <c r="B220" t="s">
        <v>394</v>
      </c>
      <c r="C220" t="s">
        <v>194</v>
      </c>
      <c r="D220" s="4" t="s">
        <v>520</v>
      </c>
      <c r="E220" t="s">
        <v>52</v>
      </c>
      <c r="F220" s="5">
        <v>548.05999999999995</v>
      </c>
      <c r="H220">
        <v>0</v>
      </c>
      <c r="I220" t="s">
        <v>53</v>
      </c>
      <c r="L220" s="6"/>
      <c r="M220" s="6"/>
      <c r="N220" s="6"/>
      <c r="O220" s="5"/>
      <c r="P220" s="7" t="str">
        <f t="shared" si="21"/>
        <v/>
      </c>
      <c r="Q220" s="7" t="str">
        <f t="shared" si="22"/>
        <v/>
      </c>
      <c r="R220" s="7" t="str">
        <f t="shared" si="23"/>
        <v/>
      </c>
      <c r="S220" s="7">
        <f>IF($A220="","",IF(AND(LEFT($G220,3)="ДОК",$N220&lt;&gt;""),IFERROR(INDEX(Документация!$E$2:$E$57,MATCH($N220,Документация!$F$2:$F$57,0)),0),N($F220))*(1-MEDIAN(0,N(ДисконтТендер),1)))</f>
        <v>548.05999999999995</v>
      </c>
      <c r="T220" s="7">
        <f>IF($A220="","",IF(AND(LEFT($G220,3)="ДОК",$N220&lt;&gt;""),0,IF(AND(LEFT($G220,3)&lt;&gt;"ДОК",$N220&lt;&gt;""),IFERROR(INDEX(МАТЕРИАЛЫ!$H$2:$H$9000,MATCH($N220,МАТЕРИАЛЫ!$L$2:$L$9000,0))*IF(INDEX(МАТЕРИАЛЫ!$I$2:$I$9000,MATCH($N220,МАТЕРИАЛЫ!$L$2:$L$9000,0))="USD",КурсUSD,IF(INDEX(МАТЕРИАЛЫ!$I$2:$I$9000,MATCH($N220,МАТЕРИАЛЫ!$L$2:$L$9000,0))="EUR",КурсEUR,IF(INDEX(МАТЕРИАЛЫ!$I$2:$I$9000,MATCH($N220,МАТЕРИАЛЫ!$L$2:$L$9000,0))="CNY",КурсCNY,1)))*(1+N($H220)/100),0),N($O220))*(1-MEDIAN(0,N(ДисконтТендер),1))))</f>
        <v>0</v>
      </c>
      <c r="U220" t="str">
        <f>IF($L220="да",MAX($U$1:$U219)+1,"")</f>
        <v/>
      </c>
      <c r="V220" t="str">
        <f t="shared" si="24"/>
        <v>Р3</v>
      </c>
      <c r="W220" t="str">
        <f t="shared" si="25"/>
        <v/>
      </c>
      <c r="X220" t="str">
        <f t="shared" si="26"/>
        <v/>
      </c>
      <c r="Y220" s="4" t="str">
        <f>IF($A220="","",IF(AND(LEFT($G220,3)="ДОК",$N220&lt;&gt;""),IFERROR(INDEX(Документация!$G$2:$G$57,MATCH($N220,Документация!$F$2:$F$57,0)),$D220),$D220&amp;IF(AND(LEFT($G220,3)&lt;&gt;"ДОК",$N220&lt;&gt;"")," — "&amp;IFERROR(INDEX(МАТЕРИАЛЫ!$C$2:$C$9000,MATCH($N220,МАТЕРИАЛЫ!$L$2:$L$9000,0)),""),"")))</f>
        <v>Аккустическая панель из Войлока, максимальные размери 1200X2400см, клеиться на стену</v>
      </c>
      <c r="Z220" t="str">
        <f t="shared" si="27"/>
        <v>Р3 · Внутренние строительные работы</v>
      </c>
    </row>
    <row r="221" spans="1:26" x14ac:dyDescent="0.3">
      <c r="A221" t="s">
        <v>521</v>
      </c>
      <c r="B221" t="s">
        <v>394</v>
      </c>
      <c r="C221" t="s">
        <v>194</v>
      </c>
      <c r="D221" s="4" t="s">
        <v>522</v>
      </c>
      <c r="E221" t="s">
        <v>52</v>
      </c>
      <c r="F221" s="5">
        <v>1628.64</v>
      </c>
      <c r="G221" t="s">
        <v>501</v>
      </c>
      <c r="H221">
        <v>5</v>
      </c>
      <c r="I221" t="s">
        <v>53</v>
      </c>
      <c r="L221" s="6"/>
      <c r="M221" s="6"/>
      <c r="N221" s="6"/>
      <c r="O221" s="5"/>
      <c r="P221" s="7" t="str">
        <f t="shared" si="21"/>
        <v/>
      </c>
      <c r="Q221" s="7" t="str">
        <f t="shared" si="22"/>
        <v/>
      </c>
      <c r="R221" s="7" t="str">
        <f t="shared" si="23"/>
        <v/>
      </c>
      <c r="S221" s="7">
        <f>IF($A221="","",IF(AND(LEFT($G221,3)="ДОК",$N221&lt;&gt;""),IFERROR(INDEX(Документация!$E$2:$E$57,MATCH($N221,Документация!$F$2:$F$57,0)),0),N($F221))*(1-MEDIAN(0,N(ДисконтТендер),1)))</f>
        <v>1628.64</v>
      </c>
      <c r="T221" s="7">
        <f>IF($A221="","",IF(AND(LEFT($G221,3)="ДОК",$N221&lt;&gt;""),0,IF(AND(LEFT($G221,3)&lt;&gt;"ДОК",$N221&lt;&gt;""),IFERROR(INDEX(МАТЕРИАЛЫ!$H$2:$H$9000,MATCH($N221,МАТЕРИАЛЫ!$L$2:$L$9000,0))*IF(INDEX(МАТЕРИАЛЫ!$I$2:$I$9000,MATCH($N221,МАТЕРИАЛЫ!$L$2:$L$9000,0))="USD",КурсUSD,IF(INDEX(МАТЕРИАЛЫ!$I$2:$I$9000,MATCH($N221,МАТЕРИАЛЫ!$L$2:$L$9000,0))="EUR",КурсEUR,IF(INDEX(МАТЕРИАЛЫ!$I$2:$I$9000,MATCH($N221,МАТЕРИАЛЫ!$L$2:$L$9000,0))="CNY",КурсCNY,1)))*(1+N($H221)/100),0),N($O221))*(1-MEDIAN(0,N(ДисконтТендер),1))))</f>
        <v>0</v>
      </c>
      <c r="U221" t="str">
        <f>IF($L221="да",MAX($U$1:$U220)+1,"")</f>
        <v/>
      </c>
      <c r="V221" t="str">
        <f t="shared" si="24"/>
        <v>Р3</v>
      </c>
      <c r="W221" t="str">
        <f t="shared" si="25"/>
        <v/>
      </c>
      <c r="X221" t="str">
        <f t="shared" si="26"/>
        <v/>
      </c>
      <c r="Y221" s="4" t="str">
        <f>IF($A221="","",IF(AND(LEFT($G221,3)="ДОК",$N221&lt;&gt;""),IFERROR(INDEX(Документация!$G$2:$G$57,MATCH($N221,Документация!$F$2:$F$57,0)),$D221),$D221&amp;IF(AND(LEFT($G221,3)&lt;&gt;"ДОК",$N221&lt;&gt;"")," — "&amp;IFERROR(INDEX(МАТЕРИАЛЫ!$C$2:$C$9000,MATCH($N221,МАТЕРИАЛЫ!$L$2:$L$9000,0)),""),"")))</f>
        <v>Оклейка обоями / стеклохолстом</v>
      </c>
      <c r="Z221" t="str">
        <f t="shared" si="27"/>
        <v>Р3 · Внутренние строительные работы</v>
      </c>
    </row>
    <row r="222" spans="1:26" ht="43.2" x14ac:dyDescent="0.3">
      <c r="A222" t="s">
        <v>523</v>
      </c>
      <c r="B222" t="s">
        <v>394</v>
      </c>
      <c r="C222" t="s">
        <v>194</v>
      </c>
      <c r="D222" s="4" t="s">
        <v>524</v>
      </c>
      <c r="E222" t="s">
        <v>52</v>
      </c>
      <c r="F222" s="5">
        <v>474.15</v>
      </c>
      <c r="G222" t="s">
        <v>501</v>
      </c>
      <c r="H222">
        <v>5</v>
      </c>
      <c r="I222" t="s">
        <v>53</v>
      </c>
      <c r="L222" s="6"/>
      <c r="M222" s="6"/>
      <c r="N222" s="6"/>
      <c r="O222" s="5"/>
      <c r="P222" s="7" t="str">
        <f t="shared" si="21"/>
        <v/>
      </c>
      <c r="Q222" s="7" t="str">
        <f t="shared" si="22"/>
        <v/>
      </c>
      <c r="R222" s="7" t="str">
        <f t="shared" si="23"/>
        <v/>
      </c>
      <c r="S222" s="7">
        <f>IF($A222="","",IF(AND(LEFT($G222,3)="ДОК",$N222&lt;&gt;""),IFERROR(INDEX(Документация!$E$2:$E$57,MATCH($N222,Документация!$F$2:$F$57,0)),0),N($F222))*(1-MEDIAN(0,N(ДисконтТендер),1)))</f>
        <v>474.15</v>
      </c>
      <c r="T222" s="7">
        <f>IF($A222="","",IF(AND(LEFT($G222,3)="ДОК",$N222&lt;&gt;""),0,IF(AND(LEFT($G222,3)&lt;&gt;"ДОК",$N222&lt;&gt;""),IFERROR(INDEX(МАТЕРИАЛЫ!$H$2:$H$9000,MATCH($N222,МАТЕРИАЛЫ!$L$2:$L$9000,0))*IF(INDEX(МАТЕРИАЛЫ!$I$2:$I$9000,MATCH($N222,МАТЕРИАЛЫ!$L$2:$L$9000,0))="USD",КурсUSD,IF(INDEX(МАТЕРИАЛЫ!$I$2:$I$9000,MATCH($N222,МАТЕРИАЛЫ!$L$2:$L$9000,0))="EUR",КурсEUR,IF(INDEX(МАТЕРИАЛЫ!$I$2:$I$9000,MATCH($N222,МАТЕРИАЛЫ!$L$2:$L$9000,0))="CNY",КурсCNY,1)))*(1+N($H222)/100),0),N($O222))*(1-MEDIAN(0,N(ДисконтТендер),1))))</f>
        <v>0</v>
      </c>
      <c r="U222" t="str">
        <f>IF($L222="да",MAX($U$1:$U221)+1,"")</f>
        <v/>
      </c>
      <c r="V222" t="str">
        <f t="shared" si="24"/>
        <v>Р3</v>
      </c>
      <c r="W222" t="str">
        <f t="shared" si="25"/>
        <v/>
      </c>
      <c r="X222" t="str">
        <f t="shared" si="26"/>
        <v/>
      </c>
      <c r="Y222" s="4" t="str">
        <f>IF($A222="","",IF(AND(LEFT($G222,3)="ДОК",$N222&lt;&gt;""),IFERROR(INDEX(Документация!$G$2:$G$57,MATCH($N222,Документация!$F$2:$F$57,0)),$D222),$D222&amp;IF(AND(LEFT($G222,3)&lt;&gt;"ДОК",$N222&lt;&gt;"")," — "&amp;IFERROR(INDEX(МАТЕРИАЛЫ!$C$2:$C$9000,MATCH($N222,МАТЕРИАЛЫ!$L$2:$L$9000,0)),""),"")))</f>
        <v>Оклейка поверхностей стен и перегородок Обои Голландские обои Eijffinger, коллекция Ibiza, артикул 330203</v>
      </c>
      <c r="Z222" t="str">
        <f t="shared" si="27"/>
        <v>Р3 · Внутренние строительные работы</v>
      </c>
    </row>
    <row r="223" spans="1:26" ht="43.2" x14ac:dyDescent="0.3">
      <c r="A223" t="s">
        <v>525</v>
      </c>
      <c r="B223" t="s">
        <v>394</v>
      </c>
      <c r="C223" t="s">
        <v>194</v>
      </c>
      <c r="D223" s="4" t="s">
        <v>526</v>
      </c>
      <c r="E223" t="s">
        <v>52</v>
      </c>
      <c r="F223" s="5">
        <v>652.5</v>
      </c>
      <c r="G223" t="s">
        <v>501</v>
      </c>
      <c r="H223">
        <v>5</v>
      </c>
      <c r="I223" t="s">
        <v>53</v>
      </c>
      <c r="L223" s="6"/>
      <c r="M223" s="6"/>
      <c r="N223" s="6"/>
      <c r="O223" s="5"/>
      <c r="P223" s="7" t="str">
        <f t="shared" si="21"/>
        <v/>
      </c>
      <c r="Q223" s="7" t="str">
        <f t="shared" si="22"/>
        <v/>
      </c>
      <c r="R223" s="7" t="str">
        <f t="shared" si="23"/>
        <v/>
      </c>
      <c r="S223" s="7">
        <f>IF($A223="","",IF(AND(LEFT($G223,3)="ДОК",$N223&lt;&gt;""),IFERROR(INDEX(Документация!$E$2:$E$57,MATCH($N223,Документация!$F$2:$F$57,0)),0),N($F223))*(1-MEDIAN(0,N(ДисконтТендер),1)))</f>
        <v>652.5</v>
      </c>
      <c r="T223" s="7">
        <f>IF($A223="","",IF(AND(LEFT($G223,3)="ДОК",$N223&lt;&gt;""),0,IF(AND(LEFT($G223,3)&lt;&gt;"ДОК",$N223&lt;&gt;""),IFERROR(INDEX(МАТЕРИАЛЫ!$H$2:$H$9000,MATCH($N223,МАТЕРИАЛЫ!$L$2:$L$9000,0))*IF(INDEX(МАТЕРИАЛЫ!$I$2:$I$9000,MATCH($N223,МАТЕРИАЛЫ!$L$2:$L$9000,0))="USD",КурсUSD,IF(INDEX(МАТЕРИАЛЫ!$I$2:$I$9000,MATCH($N223,МАТЕРИАЛЫ!$L$2:$L$9000,0))="EUR",КурсEUR,IF(INDEX(МАТЕРИАЛЫ!$I$2:$I$9000,MATCH($N223,МАТЕРИАЛЫ!$L$2:$L$9000,0))="CNY",КурсCNY,1)))*(1+N($H223)/100),0),N($O223))*(1-MEDIAN(0,N(ДисконтТендер),1))))</f>
        <v>0</v>
      </c>
      <c r="U223" t="str">
        <f>IF($L223="да",MAX($U$1:$U222)+1,"")</f>
        <v/>
      </c>
      <c r="V223" t="str">
        <f t="shared" si="24"/>
        <v>Р3</v>
      </c>
      <c r="W223" t="str">
        <f t="shared" si="25"/>
        <v/>
      </c>
      <c r="X223" t="str">
        <f t="shared" si="26"/>
        <v/>
      </c>
      <c r="Y223" s="4" t="str">
        <f>IF($A223="","",IF(AND(LEFT($G223,3)="ДОК",$N223&lt;&gt;""),IFERROR(INDEX(Документация!$G$2:$G$57,MATCH($N223,Документация!$F$2:$F$57,0)),$D223),$D223&amp;IF(AND(LEFT($G223,3)&lt;&gt;"ДОК",$N223&lt;&gt;"")," — "&amp;IFERROR(INDEX(МАТЕРИАЛЫ!$C$2:$C$9000,MATCH($N223,МАТЕРИАЛЫ!$L$2:$L$9000,0)),""),"")))</f>
        <v>Оклейка поверхностей стен и перегородок бумажными обоями (рисунок обоев выполняется "на заказ")</v>
      </c>
      <c r="Z223" t="str">
        <f t="shared" si="27"/>
        <v>Р3 · Внутренние строительные работы</v>
      </c>
    </row>
    <row r="224" spans="1:26" ht="72" x14ac:dyDescent="0.3">
      <c r="A224" t="s">
        <v>527</v>
      </c>
      <c r="B224" t="s">
        <v>394</v>
      </c>
      <c r="C224" t="s">
        <v>229</v>
      </c>
      <c r="D224" s="4" t="s">
        <v>528</v>
      </c>
      <c r="E224" t="s">
        <v>114</v>
      </c>
      <c r="F224" s="5">
        <v>5781.74</v>
      </c>
      <c r="G224" t="s">
        <v>529</v>
      </c>
      <c r="H224">
        <v>5</v>
      </c>
      <c r="I224" t="s">
        <v>53</v>
      </c>
      <c r="L224" s="6"/>
      <c r="M224" s="6"/>
      <c r="N224" s="6"/>
      <c r="O224" s="5"/>
      <c r="P224" s="7" t="str">
        <f t="shared" si="21"/>
        <v/>
      </c>
      <c r="Q224" s="7" t="str">
        <f t="shared" si="22"/>
        <v/>
      </c>
      <c r="R224" s="7" t="str">
        <f t="shared" si="23"/>
        <v/>
      </c>
      <c r="S224" s="7">
        <f>IF($A224="","",IF(AND(LEFT($G224,3)="ДОК",$N224&lt;&gt;""),IFERROR(INDEX(Документация!$E$2:$E$57,MATCH($N224,Документация!$F$2:$F$57,0)),0),N($F224))*(1-MEDIAN(0,N(ДисконтТендер),1)))</f>
        <v>5781.74</v>
      </c>
      <c r="T224" s="7">
        <f>IF($A224="","",IF(AND(LEFT($G224,3)="ДОК",$N224&lt;&gt;""),0,IF(AND(LEFT($G224,3)&lt;&gt;"ДОК",$N224&lt;&gt;""),IFERROR(INDEX(МАТЕРИАЛЫ!$H$2:$H$9000,MATCH($N224,МАТЕРИАЛЫ!$L$2:$L$9000,0))*IF(INDEX(МАТЕРИАЛЫ!$I$2:$I$9000,MATCH($N224,МАТЕРИАЛЫ!$L$2:$L$9000,0))="USD",КурсUSD,IF(INDEX(МАТЕРИАЛЫ!$I$2:$I$9000,MATCH($N224,МАТЕРИАЛЫ!$L$2:$L$9000,0))="EUR",КурсEUR,IF(INDEX(МАТЕРИАЛЫ!$I$2:$I$9000,MATCH($N224,МАТЕРИАЛЫ!$L$2:$L$9000,0))="CNY",КурсCNY,1)))*(1+N($H224)/100),0),N($O224))*(1-MEDIAN(0,N(ДисконтТендер),1))))</f>
        <v>0</v>
      </c>
      <c r="U224" t="str">
        <f>IF($L224="да",MAX($U$1:$U223)+1,"")</f>
        <v/>
      </c>
      <c r="V224" t="str">
        <f t="shared" si="24"/>
        <v>Р3</v>
      </c>
      <c r="W224" t="str">
        <f t="shared" si="25"/>
        <v/>
      </c>
      <c r="X224" t="str">
        <f t="shared" si="26"/>
        <v/>
      </c>
      <c r="Y224" s="4" t="str">
        <f>IF($A224="","",IF(AND(LEFT($G224,3)="ДОК",$N224&lt;&gt;""),IFERROR(INDEX(Документация!$G$2:$G$57,MATCH($N224,Документация!$F$2:$F$57,0)),$D224),$D224&amp;IF(AND(LEFT($G224,3)&lt;&gt;"ДОК",$N224&lt;&gt;"")," — "&amp;IFERROR(INDEX(МАТЕРИАЛЫ!$C$2:$C$9000,MATCH($N224,МАТЕРИАЛЫ!$L$2:$L$9000,0)),""),"")))</f>
        <v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v>
      </c>
      <c r="Z224" t="str">
        <f t="shared" si="27"/>
        <v>Р3 · Внутренние строительные работы</v>
      </c>
    </row>
    <row r="225" spans="1:26" ht="72" x14ac:dyDescent="0.3">
      <c r="A225" t="s">
        <v>530</v>
      </c>
      <c r="B225" t="s">
        <v>394</v>
      </c>
      <c r="C225" t="s">
        <v>229</v>
      </c>
      <c r="D225" s="4" t="s">
        <v>531</v>
      </c>
      <c r="E225" t="s">
        <v>114</v>
      </c>
      <c r="F225" s="5">
        <v>7892.64</v>
      </c>
      <c r="G225" t="s">
        <v>529</v>
      </c>
      <c r="H225">
        <v>5</v>
      </c>
      <c r="I225" t="s">
        <v>53</v>
      </c>
      <c r="L225" s="6"/>
      <c r="M225" s="6"/>
      <c r="N225" s="6"/>
      <c r="O225" s="5"/>
      <c r="P225" s="7" t="str">
        <f t="shared" si="21"/>
        <v/>
      </c>
      <c r="Q225" s="7" t="str">
        <f t="shared" si="22"/>
        <v/>
      </c>
      <c r="R225" s="7" t="str">
        <f t="shared" si="23"/>
        <v/>
      </c>
      <c r="S225" s="7">
        <f>IF($A225="","",IF(AND(LEFT($G225,3)="ДОК",$N225&lt;&gt;""),IFERROR(INDEX(Документация!$E$2:$E$57,MATCH($N225,Документация!$F$2:$F$57,0)),0),N($F225))*(1-MEDIAN(0,N(ДисконтТендер),1)))</f>
        <v>7892.64</v>
      </c>
      <c r="T225" s="7">
        <f>IF($A225="","",IF(AND(LEFT($G225,3)="ДОК",$N225&lt;&gt;""),0,IF(AND(LEFT($G225,3)&lt;&gt;"ДОК",$N225&lt;&gt;""),IFERROR(INDEX(МАТЕРИАЛЫ!$H$2:$H$9000,MATCH($N225,МАТЕРИАЛЫ!$L$2:$L$9000,0))*IF(INDEX(МАТЕРИАЛЫ!$I$2:$I$9000,MATCH($N225,МАТЕРИАЛЫ!$L$2:$L$9000,0))="USD",КурсUSD,IF(INDEX(МАТЕРИАЛЫ!$I$2:$I$9000,MATCH($N225,МАТЕРИАЛЫ!$L$2:$L$9000,0))="EUR",КурсEUR,IF(INDEX(МАТЕРИАЛЫ!$I$2:$I$9000,MATCH($N225,МАТЕРИАЛЫ!$L$2:$L$9000,0))="CNY",КурсCNY,1)))*(1+N($H225)/100),0),N($O225))*(1-MEDIAN(0,N(ДисконтТендер),1))))</f>
        <v>0</v>
      </c>
      <c r="U225" t="str">
        <f>IF($L225="да",MAX($U$1:$U224)+1,"")</f>
        <v/>
      </c>
      <c r="V225" t="str">
        <f t="shared" si="24"/>
        <v>Р3</v>
      </c>
      <c r="W225" t="str">
        <f t="shared" si="25"/>
        <v/>
      </c>
      <c r="X225" t="str">
        <f t="shared" si="26"/>
        <v/>
      </c>
      <c r="Y225" s="4" t="str">
        <f>IF($A225="","",IF(AND(LEFT($G225,3)="ДОК",$N225&lt;&gt;""),IFERROR(INDEX(Документация!$G$2:$G$57,MATCH($N225,Документация!$F$2:$F$57,0)),$D225),$D225&amp;IF(AND(LEFT($G225,3)&lt;&gt;"ДОК",$N225&lt;&gt;"")," — "&amp;IFERROR(INDEX(МАТЕРИАЛЫ!$C$2:$C$9000,MATCH($N225,МАТЕРИАЛЫ!$L$2:$L$9000,0)),""),"")))</f>
        <v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v>
      </c>
      <c r="Z225" t="str">
        <f t="shared" si="27"/>
        <v>Р3 · Внутренние строительные работы</v>
      </c>
    </row>
    <row r="226" spans="1:26" ht="72" x14ac:dyDescent="0.3">
      <c r="A226" t="s">
        <v>532</v>
      </c>
      <c r="B226" t="s">
        <v>394</v>
      </c>
      <c r="C226" t="s">
        <v>229</v>
      </c>
      <c r="D226" s="4" t="s">
        <v>533</v>
      </c>
      <c r="E226" t="s">
        <v>114</v>
      </c>
      <c r="F226" s="5">
        <v>9900</v>
      </c>
      <c r="G226" t="s">
        <v>529</v>
      </c>
      <c r="H226">
        <v>5</v>
      </c>
      <c r="I226" t="s">
        <v>53</v>
      </c>
      <c r="L226" s="6"/>
      <c r="M226" s="6"/>
      <c r="N226" s="6"/>
      <c r="O226" s="5"/>
      <c r="P226" s="7" t="str">
        <f t="shared" si="21"/>
        <v/>
      </c>
      <c r="Q226" s="7" t="str">
        <f t="shared" si="22"/>
        <v/>
      </c>
      <c r="R226" s="7" t="str">
        <f t="shared" si="23"/>
        <v/>
      </c>
      <c r="S226" s="7">
        <f>IF($A226="","",IF(AND(LEFT($G226,3)="ДОК",$N226&lt;&gt;""),IFERROR(INDEX(Документация!$E$2:$E$57,MATCH($N226,Документация!$F$2:$F$57,0)),0),N($F226))*(1-MEDIAN(0,N(ДисконтТендер),1)))</f>
        <v>9900</v>
      </c>
      <c r="T226" s="7">
        <f>IF($A226="","",IF(AND(LEFT($G226,3)="ДОК",$N226&lt;&gt;""),0,IF(AND(LEFT($G226,3)&lt;&gt;"ДОК",$N226&lt;&gt;""),IFERROR(INDEX(МАТЕРИАЛЫ!$H$2:$H$9000,MATCH($N226,МАТЕРИАЛЫ!$L$2:$L$9000,0))*IF(INDEX(МАТЕРИАЛЫ!$I$2:$I$9000,MATCH($N226,МАТЕРИАЛЫ!$L$2:$L$9000,0))="USD",КурсUSD,IF(INDEX(МАТЕРИАЛЫ!$I$2:$I$9000,MATCH($N226,МАТЕРИАЛЫ!$L$2:$L$9000,0))="EUR",КурсEUR,IF(INDEX(МАТЕРИАЛЫ!$I$2:$I$9000,MATCH($N226,МАТЕРИАЛЫ!$L$2:$L$9000,0))="CNY",КурсCNY,1)))*(1+N($H226)/100),0),N($O226))*(1-MEDIAN(0,N(ДисконтТендер),1))))</f>
        <v>0</v>
      </c>
      <c r="U226" t="str">
        <f>IF($L226="да",MAX($U$1:$U225)+1,"")</f>
        <v/>
      </c>
      <c r="V226" t="str">
        <f t="shared" si="24"/>
        <v>Р3</v>
      </c>
      <c r="W226" t="str">
        <f t="shared" si="25"/>
        <v/>
      </c>
      <c r="X226" t="str">
        <f t="shared" si="26"/>
        <v/>
      </c>
      <c r="Y226" s="4" t="str">
        <f>IF($A226="","",IF(AND(LEFT($G226,3)="ДОК",$N226&lt;&gt;""),IFERROR(INDEX(Документация!$G$2:$G$57,MATCH($N226,Документация!$F$2:$F$57,0)),$D226),$D226&amp;IF(AND(LEFT($G226,3)&lt;&gt;"ДОК",$N226&lt;&gt;"")," — "&amp;IFERROR(INDEX(МАТЕРИАЛЫ!$C$2:$C$9000,MATCH($N226,МАТЕРИАЛЫ!$L$2:$L$9000,0)),""),"")))</f>
        <v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v>
      </c>
      <c r="Z226" t="str">
        <f t="shared" si="27"/>
        <v>Р3 · Внутренние строительные работы</v>
      </c>
    </row>
    <row r="227" spans="1:26" x14ac:dyDescent="0.3">
      <c r="A227" t="s">
        <v>534</v>
      </c>
      <c r="B227" t="s">
        <v>394</v>
      </c>
      <c r="C227" t="s">
        <v>229</v>
      </c>
      <c r="D227" s="4" t="s">
        <v>535</v>
      </c>
      <c r="E227" t="s">
        <v>114</v>
      </c>
      <c r="F227" s="5">
        <v>1280.1300000000001</v>
      </c>
      <c r="G227" t="s">
        <v>536</v>
      </c>
      <c r="H227">
        <v>5</v>
      </c>
      <c r="I227" t="s">
        <v>53</v>
      </c>
      <c r="L227" s="6"/>
      <c r="M227" s="6"/>
      <c r="N227" s="6"/>
      <c r="O227" s="5"/>
      <c r="P227" s="7" t="str">
        <f t="shared" si="21"/>
        <v/>
      </c>
      <c r="Q227" s="7" t="str">
        <f t="shared" si="22"/>
        <v/>
      </c>
      <c r="R227" s="7" t="str">
        <f t="shared" si="23"/>
        <v/>
      </c>
      <c r="S227" s="7">
        <f>IF($A227="","",IF(AND(LEFT($G227,3)="ДОК",$N227&lt;&gt;""),IFERROR(INDEX(Документация!$E$2:$E$57,MATCH($N227,Документация!$F$2:$F$57,0)),0),N($F227))*(1-MEDIAN(0,N(ДисконтТендер),1)))</f>
        <v>1280.1300000000001</v>
      </c>
      <c r="T227" s="7">
        <f>IF($A227="","",IF(AND(LEFT($G227,3)="ДОК",$N227&lt;&gt;""),0,IF(AND(LEFT($G227,3)&lt;&gt;"ДОК",$N227&lt;&gt;""),IFERROR(INDEX(МАТЕРИАЛЫ!$H$2:$H$9000,MATCH($N227,МАТЕРИАЛЫ!$L$2:$L$9000,0))*IF(INDEX(МАТЕРИАЛЫ!$I$2:$I$9000,MATCH($N227,МАТЕРИАЛЫ!$L$2:$L$9000,0))="USD",КурсUSD,IF(INDEX(МАТЕРИАЛЫ!$I$2:$I$9000,MATCH($N227,МАТЕРИАЛЫ!$L$2:$L$9000,0))="EUR",КурсEUR,IF(INDEX(МАТЕРИАЛЫ!$I$2:$I$9000,MATCH($N227,МАТЕРИАЛЫ!$L$2:$L$9000,0))="CNY",КурсCNY,1)))*(1+N($H227)/100),0),N($O227))*(1-MEDIAN(0,N(ДисконтТендер),1))))</f>
        <v>0</v>
      </c>
      <c r="U227" t="str">
        <f>IF($L227="да",MAX($U$1:$U226)+1,"")</f>
        <v/>
      </c>
      <c r="V227" t="str">
        <f t="shared" si="24"/>
        <v>Р3</v>
      </c>
      <c r="W227" t="str">
        <f t="shared" si="25"/>
        <v/>
      </c>
      <c r="X227" t="str">
        <f t="shared" si="26"/>
        <v/>
      </c>
      <c r="Y227" s="4" t="str">
        <f>IF($A227="","",IF(AND(LEFT($G227,3)="ДОК",$N227&lt;&gt;""),IFERROR(INDEX(Документация!$G$2:$G$57,MATCH($N227,Документация!$F$2:$F$57,0)),$D227),$D227&amp;IF(AND(LEFT($G227,3)&lt;&gt;"ДОК",$N227&lt;&gt;"")," — "&amp;IFERROR(INDEX(МАТЕРИАЛЫ!$C$2:$C$9000,MATCH($N227,МАТЕРИАЛЫ!$L$2:$L$9000,0)),""),"")))</f>
        <v>Монтаж дверного блока / дверных приборов</v>
      </c>
      <c r="Z227" t="str">
        <f t="shared" si="27"/>
        <v>Р3 · Внутренние строительные работы</v>
      </c>
    </row>
    <row r="228" spans="1:26" x14ac:dyDescent="0.3">
      <c r="A228" t="s">
        <v>537</v>
      </c>
      <c r="B228" t="s">
        <v>394</v>
      </c>
      <c r="C228" t="s">
        <v>229</v>
      </c>
      <c r="D228" s="4" t="s">
        <v>535</v>
      </c>
      <c r="E228" t="s">
        <v>114</v>
      </c>
      <c r="F228" s="5">
        <v>10648.8</v>
      </c>
      <c r="G228" t="s">
        <v>536</v>
      </c>
      <c r="H228">
        <v>5</v>
      </c>
      <c r="I228" t="s">
        <v>53</v>
      </c>
      <c r="L228" s="6"/>
      <c r="M228" s="6"/>
      <c r="N228" s="6"/>
      <c r="O228" s="5"/>
      <c r="P228" s="7" t="str">
        <f t="shared" si="21"/>
        <v/>
      </c>
      <c r="Q228" s="7" t="str">
        <f t="shared" si="22"/>
        <v/>
      </c>
      <c r="R228" s="7" t="str">
        <f t="shared" si="23"/>
        <v/>
      </c>
      <c r="S228" s="7">
        <f>IF($A228="","",IF(AND(LEFT($G228,3)="ДОК",$N228&lt;&gt;""),IFERROR(INDEX(Документация!$E$2:$E$57,MATCH($N228,Документация!$F$2:$F$57,0)),0),N($F228))*(1-MEDIAN(0,N(ДисконтТендер),1)))</f>
        <v>10648.8</v>
      </c>
      <c r="T228" s="7">
        <f>IF($A228="","",IF(AND(LEFT($G228,3)="ДОК",$N228&lt;&gt;""),0,IF(AND(LEFT($G228,3)&lt;&gt;"ДОК",$N228&lt;&gt;""),IFERROR(INDEX(МАТЕРИАЛЫ!$H$2:$H$9000,MATCH($N228,МАТЕРИАЛЫ!$L$2:$L$9000,0))*IF(INDEX(МАТЕРИАЛЫ!$I$2:$I$9000,MATCH($N228,МАТЕРИАЛЫ!$L$2:$L$9000,0))="USD",КурсUSD,IF(INDEX(МАТЕРИАЛЫ!$I$2:$I$9000,MATCH($N228,МАТЕРИАЛЫ!$L$2:$L$9000,0))="EUR",КурсEUR,IF(INDEX(МАТЕРИАЛЫ!$I$2:$I$9000,MATCH($N228,МАТЕРИАЛЫ!$L$2:$L$9000,0))="CNY",КурсCNY,1)))*(1+N($H228)/100),0),N($O228))*(1-MEDIAN(0,N(ДисконтТендер),1))))</f>
        <v>0</v>
      </c>
      <c r="U228" t="str">
        <f>IF($L228="да",MAX($U$1:$U227)+1,"")</f>
        <v/>
      </c>
      <c r="V228" t="str">
        <f t="shared" si="24"/>
        <v>Р3</v>
      </c>
      <c r="W228" t="str">
        <f t="shared" si="25"/>
        <v/>
      </c>
      <c r="X228" t="str">
        <f t="shared" si="26"/>
        <v/>
      </c>
      <c r="Y228" s="4" t="str">
        <f>IF($A228="","",IF(AND(LEFT($G228,3)="ДОК",$N228&lt;&gt;""),IFERROR(INDEX(Документация!$G$2:$G$57,MATCH($N228,Документация!$F$2:$F$57,0)),$D228),$D228&amp;IF(AND(LEFT($G228,3)&lt;&gt;"ДОК",$N228&lt;&gt;"")," — "&amp;IFERROR(INDEX(МАТЕРИАЛЫ!$C$2:$C$9000,MATCH($N228,МАТЕРИАЛЫ!$L$2:$L$9000,0)),""),"")))</f>
        <v>Монтаж дверного блока / дверных приборов</v>
      </c>
      <c r="Z228" t="str">
        <f t="shared" si="27"/>
        <v>Р3 · Внутренние строительные работы</v>
      </c>
    </row>
    <row r="229" spans="1:26" ht="57.6" x14ac:dyDescent="0.3">
      <c r="A229" t="s">
        <v>538</v>
      </c>
      <c r="B229" t="s">
        <v>394</v>
      </c>
      <c r="C229" t="s">
        <v>229</v>
      </c>
      <c r="D229" s="4" t="s">
        <v>539</v>
      </c>
      <c r="E229" t="s">
        <v>114</v>
      </c>
      <c r="F229" s="5">
        <v>13154.4</v>
      </c>
      <c r="G229" t="s">
        <v>498</v>
      </c>
      <c r="H229">
        <v>5</v>
      </c>
      <c r="I229" t="s">
        <v>53</v>
      </c>
      <c r="L229" s="6"/>
      <c r="M229" s="6"/>
      <c r="N229" s="6"/>
      <c r="O229" s="5"/>
      <c r="P229" s="7" t="str">
        <f t="shared" si="21"/>
        <v/>
      </c>
      <c r="Q229" s="7" t="str">
        <f t="shared" si="22"/>
        <v/>
      </c>
      <c r="R229" s="7" t="str">
        <f t="shared" si="23"/>
        <v/>
      </c>
      <c r="S229" s="7">
        <f>IF($A229="","",IF(AND(LEFT($G229,3)="ДОК",$N229&lt;&gt;""),IFERROR(INDEX(Документация!$E$2:$E$57,MATCH($N229,Документация!$F$2:$F$57,0)),0),N($F229))*(1-MEDIAN(0,N(ДисконтТендер),1)))</f>
        <v>13154.4</v>
      </c>
      <c r="T229" s="7">
        <f>IF($A229="","",IF(AND(LEFT($G229,3)="ДОК",$N229&lt;&gt;""),0,IF(AND(LEFT($G229,3)&lt;&gt;"ДОК",$N229&lt;&gt;""),IFERROR(INDEX(МАТЕРИАЛЫ!$H$2:$H$9000,MATCH($N229,МАТЕРИАЛЫ!$L$2:$L$9000,0))*IF(INDEX(МАТЕРИАЛЫ!$I$2:$I$9000,MATCH($N229,МАТЕРИАЛЫ!$L$2:$L$9000,0))="USD",КурсUSD,IF(INDEX(МАТЕРИАЛЫ!$I$2:$I$9000,MATCH($N229,МАТЕРИАЛЫ!$L$2:$L$9000,0))="EUR",КурсEUR,IF(INDEX(МАТЕРИАЛЫ!$I$2:$I$9000,MATCH($N229,МАТЕРИАЛЫ!$L$2:$L$9000,0))="CNY",КурсCNY,1)))*(1+N($H229)/100),0),N($O229))*(1-MEDIAN(0,N(ДисконтТендер),1))))</f>
        <v>0</v>
      </c>
      <c r="U229" t="str">
        <f>IF($L229="да",MAX($U$1:$U228)+1,"")</f>
        <v/>
      </c>
      <c r="V229" t="str">
        <f t="shared" si="24"/>
        <v>Р3</v>
      </c>
      <c r="W229" t="str">
        <f t="shared" si="25"/>
        <v/>
      </c>
      <c r="X229" t="str">
        <f t="shared" si="26"/>
        <v/>
      </c>
      <c r="Y229" s="4" t="str">
        <f>IF($A229="","",IF(AND(LEFT($G229,3)="ДОК",$N229&lt;&gt;""),IFERROR(INDEX(Документация!$G$2:$G$57,MATCH($N229,Документация!$F$2:$F$57,0)),$D229),$D229&amp;IF(AND(LEFT($G229,3)&lt;&gt;"ДОК",$N229&lt;&gt;"")," — "&amp;IFERROR(INDEX(МАТЕРИАЛЫ!$C$2:$C$9000,MATCH($N229,МАТЕРИАЛЫ!$L$2:$L$9000,0)),""),"")))</f>
        <v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v>
      </c>
      <c r="Z229" t="str">
        <f t="shared" si="27"/>
        <v>Р3 · Внутренние строительные работы</v>
      </c>
    </row>
    <row r="230" spans="1:26" ht="43.2" x14ac:dyDescent="0.3">
      <c r="A230" t="s">
        <v>540</v>
      </c>
      <c r="B230" t="s">
        <v>394</v>
      </c>
      <c r="C230" t="s">
        <v>229</v>
      </c>
      <c r="D230" s="4" t="s">
        <v>541</v>
      </c>
      <c r="E230" t="s">
        <v>114</v>
      </c>
      <c r="F230" s="5">
        <v>1315.44</v>
      </c>
      <c r="G230" t="s">
        <v>536</v>
      </c>
      <c r="H230">
        <v>5</v>
      </c>
      <c r="I230" t="s">
        <v>53</v>
      </c>
      <c r="L230" s="6"/>
      <c r="M230" s="6"/>
      <c r="N230" s="6"/>
      <c r="O230" s="5"/>
      <c r="P230" s="7" t="str">
        <f t="shared" si="21"/>
        <v/>
      </c>
      <c r="Q230" s="7" t="str">
        <f t="shared" si="22"/>
        <v/>
      </c>
      <c r="R230" s="7" t="str">
        <f t="shared" si="23"/>
        <v/>
      </c>
      <c r="S230" s="7">
        <f>IF($A230="","",IF(AND(LEFT($G230,3)="ДОК",$N230&lt;&gt;""),IFERROR(INDEX(Документация!$E$2:$E$57,MATCH($N230,Документация!$F$2:$F$57,0)),0),N($F230))*(1-MEDIAN(0,N(ДисконтТендер),1)))</f>
        <v>1315.44</v>
      </c>
      <c r="T230" s="7">
        <f>IF($A230="","",IF(AND(LEFT($G230,3)="ДОК",$N230&lt;&gt;""),0,IF(AND(LEFT($G230,3)&lt;&gt;"ДОК",$N230&lt;&gt;""),IFERROR(INDEX(МАТЕРИАЛЫ!$H$2:$H$9000,MATCH($N230,МАТЕРИАЛЫ!$L$2:$L$9000,0))*IF(INDEX(МАТЕРИАЛЫ!$I$2:$I$9000,MATCH($N230,МАТЕРИАЛЫ!$L$2:$L$9000,0))="USD",КурсUSD,IF(INDEX(МАТЕРИАЛЫ!$I$2:$I$9000,MATCH($N230,МАТЕРИАЛЫ!$L$2:$L$9000,0))="EUR",КурсEUR,IF(INDEX(МАТЕРИАЛЫ!$I$2:$I$9000,MATCH($N230,МАТЕРИАЛЫ!$L$2:$L$9000,0))="CNY",КурсCNY,1)))*(1+N($H230)/100),0),N($O230))*(1-MEDIAN(0,N(ДисконтТендер),1))))</f>
        <v>0</v>
      </c>
      <c r="U230" t="str">
        <f>IF($L230="да",MAX($U$1:$U229)+1,"")</f>
        <v/>
      </c>
      <c r="V230" t="str">
        <f t="shared" si="24"/>
        <v>Р3</v>
      </c>
      <c r="W230" t="str">
        <f t="shared" si="25"/>
        <v/>
      </c>
      <c r="X230" t="str">
        <f t="shared" si="26"/>
        <v/>
      </c>
      <c r="Y230" s="4" t="str">
        <f>IF($A230="","",IF(AND(LEFT($G230,3)="ДОК",$N230&lt;&gt;""),IFERROR(INDEX(Документация!$G$2:$G$57,MATCH($N230,Документация!$F$2:$F$57,0)),$D230),$D230&amp;IF(AND(LEFT($G230,3)&lt;&gt;"ДОК",$N230&lt;&gt;"")," — "&amp;IFERROR(INDEX(МАТЕРИАЛЫ!$C$2:$C$9000,MATCH($N230,МАТЕРИАЛЫ!$L$2:$L$9000,0)),""),"")))</f>
        <v>Доводчик на рабочую створку NOTEDO DC-025-095 (со скользящим каналом). Доводчик на паразитную створку NOTEDO DC-070 (паук)</v>
      </c>
      <c r="Z230" t="str">
        <f t="shared" si="27"/>
        <v>Р3 · Внутренние строительные работы</v>
      </c>
    </row>
    <row r="231" spans="1:26" ht="28.8" x14ac:dyDescent="0.3">
      <c r="A231" t="s">
        <v>542</v>
      </c>
      <c r="B231" t="s">
        <v>394</v>
      </c>
      <c r="C231" t="s">
        <v>229</v>
      </c>
      <c r="D231" s="4" t="s">
        <v>543</v>
      </c>
      <c r="E231" t="s">
        <v>114</v>
      </c>
      <c r="F231" s="5">
        <v>11901.6</v>
      </c>
      <c r="G231" t="s">
        <v>544</v>
      </c>
      <c r="H231">
        <v>5</v>
      </c>
      <c r="I231" t="s">
        <v>53</v>
      </c>
      <c r="L231" s="6"/>
      <c r="M231" s="6"/>
      <c r="N231" s="6"/>
      <c r="O231" s="5"/>
      <c r="P231" s="7" t="str">
        <f t="shared" si="21"/>
        <v/>
      </c>
      <c r="Q231" s="7" t="str">
        <f t="shared" si="22"/>
        <v/>
      </c>
      <c r="R231" s="7" t="str">
        <f t="shared" si="23"/>
        <v/>
      </c>
      <c r="S231" s="7">
        <f>IF($A231="","",IF(AND(LEFT($G231,3)="ДОК",$N231&lt;&gt;""),IFERROR(INDEX(Документация!$E$2:$E$57,MATCH($N231,Документация!$F$2:$F$57,0)),0),N($F231))*(1-MEDIAN(0,N(ДисконтТендер),1)))</f>
        <v>11901.6</v>
      </c>
      <c r="T231" s="7">
        <f>IF($A231="","",IF(AND(LEFT($G231,3)="ДОК",$N231&lt;&gt;""),0,IF(AND(LEFT($G231,3)&lt;&gt;"ДОК",$N231&lt;&gt;""),IFERROR(INDEX(МАТЕРИАЛЫ!$H$2:$H$9000,MATCH($N231,МАТЕРИАЛЫ!$L$2:$L$9000,0))*IF(INDEX(МАТЕРИАЛЫ!$I$2:$I$9000,MATCH($N231,МАТЕРИАЛЫ!$L$2:$L$9000,0))="USD",КурсUSD,IF(INDEX(МАТЕРИАЛЫ!$I$2:$I$9000,MATCH($N231,МАТЕРИАЛЫ!$L$2:$L$9000,0))="EUR",КурсEUR,IF(INDEX(МАТЕРИАЛЫ!$I$2:$I$9000,MATCH($N231,МАТЕРИАЛЫ!$L$2:$L$9000,0))="CNY",КурсCNY,1)))*(1+N($H231)/100),0),N($O231))*(1-MEDIAN(0,N(ДисконтТендер),1))))</f>
        <v>0</v>
      </c>
      <c r="U231" t="str">
        <f>IF($L231="да",MAX($U$1:$U230)+1,"")</f>
        <v/>
      </c>
      <c r="V231" t="str">
        <f t="shared" si="24"/>
        <v>Р3</v>
      </c>
      <c r="W231" t="str">
        <f t="shared" si="25"/>
        <v/>
      </c>
      <c r="X231" t="str">
        <f t="shared" si="26"/>
        <v/>
      </c>
      <c r="Y231" s="4" t="str">
        <f>IF($A231="","",IF(AND(LEFT($G231,3)="ДОК",$N231&lt;&gt;""),IFERROR(INDEX(Документация!$G$2:$G$57,MATCH($N231,Документация!$F$2:$F$57,0)),$D231),$D231&amp;IF(AND(LEFT($G231,3)&lt;&gt;"ДОК",$N231&lt;&gt;"")," — "&amp;IFERROR(INDEX(МАТЕРИАЛЫ!$C$2:$C$9000,MATCH($N231,МАТЕРИАЛЫ!$L$2:$L$9000,0)),""),"")))</f>
        <v>Установка металлической двери-решетчатой гармошки с замком 900х2100 мм (запасной выход)</v>
      </c>
      <c r="Z231" t="str">
        <f t="shared" si="27"/>
        <v>Р3 · Внутренние строительные работы</v>
      </c>
    </row>
    <row r="232" spans="1:26" x14ac:dyDescent="0.3">
      <c r="A232" t="s">
        <v>545</v>
      </c>
      <c r="B232" t="s">
        <v>394</v>
      </c>
      <c r="C232" t="s">
        <v>229</v>
      </c>
      <c r="D232" s="4" t="s">
        <v>546</v>
      </c>
      <c r="E232" t="s">
        <v>114</v>
      </c>
      <c r="F232" s="5">
        <v>9350</v>
      </c>
      <c r="G232" t="s">
        <v>547</v>
      </c>
      <c r="H232">
        <v>5</v>
      </c>
      <c r="I232" t="s">
        <v>53</v>
      </c>
      <c r="L232" s="6"/>
      <c r="M232" s="6"/>
      <c r="N232" s="6"/>
      <c r="O232" s="5"/>
      <c r="P232" s="7" t="str">
        <f t="shared" si="21"/>
        <v/>
      </c>
      <c r="Q232" s="7" t="str">
        <f t="shared" si="22"/>
        <v/>
      </c>
      <c r="R232" s="7" t="str">
        <f t="shared" si="23"/>
        <v/>
      </c>
      <c r="S232" s="7">
        <f>IF($A232="","",IF(AND(LEFT($G232,3)="ДОК",$N232&lt;&gt;""),IFERROR(INDEX(Документация!$E$2:$E$57,MATCH($N232,Документация!$F$2:$F$57,0)),0),N($F232))*(1-MEDIAN(0,N(ДисконтТендер),1)))</f>
        <v>9350</v>
      </c>
      <c r="T232" s="7">
        <f>IF($A232="","",IF(AND(LEFT($G232,3)="ДОК",$N232&lt;&gt;""),0,IF(AND(LEFT($G232,3)&lt;&gt;"ДОК",$N232&lt;&gt;""),IFERROR(INDEX(МАТЕРИАЛЫ!$H$2:$H$9000,MATCH($N232,МАТЕРИАЛЫ!$L$2:$L$9000,0))*IF(INDEX(МАТЕРИАЛЫ!$I$2:$I$9000,MATCH($N232,МАТЕРИАЛЫ!$L$2:$L$9000,0))="USD",КурсUSD,IF(INDEX(МАТЕРИАЛЫ!$I$2:$I$9000,MATCH($N232,МАТЕРИАЛЫ!$L$2:$L$9000,0))="EUR",КурсEUR,IF(INDEX(МАТЕРИАЛЫ!$I$2:$I$9000,MATCH($N232,МАТЕРИАЛЫ!$L$2:$L$9000,0))="CNY",КурсCNY,1)))*(1+N($H232)/100),0),N($O232))*(1-MEDIAN(0,N(ДисконтТендер),1))))</f>
        <v>0</v>
      </c>
      <c r="U232" t="str">
        <f>IF($L232="да",MAX($U$1:$U231)+1,"")</f>
        <v/>
      </c>
      <c r="V232" t="str">
        <f t="shared" si="24"/>
        <v>Р3</v>
      </c>
      <c r="W232" t="str">
        <f t="shared" si="25"/>
        <v/>
      </c>
      <c r="X232" t="str">
        <f t="shared" si="26"/>
        <v/>
      </c>
      <c r="Y232" s="4" t="str">
        <f>IF($A232="","",IF(AND(LEFT($G232,3)="ДОК",$N232&lt;&gt;""),IFERROR(INDEX(Документация!$G$2:$G$57,MATCH($N232,Документация!$F$2:$F$57,0)),$D232),$D232&amp;IF(AND(LEFT($G232,3)&lt;&gt;"ДОК",$N232&lt;&gt;"")," — "&amp;IFERROR(INDEX(МАТЕРИАЛЫ!$C$2:$C$9000,MATCH($N232,МАТЕРИАЛЫ!$L$2:$L$9000,0)),""),"")))</f>
        <v>Монтаж дверного блока стеклянного</v>
      </c>
      <c r="Z232" t="str">
        <f t="shared" si="27"/>
        <v>Р3 · Внутренние строительные работы</v>
      </c>
    </row>
    <row r="233" spans="1:26" ht="72" x14ac:dyDescent="0.3">
      <c r="A233" t="s">
        <v>548</v>
      </c>
      <c r="B233" t="s">
        <v>394</v>
      </c>
      <c r="C233" t="s">
        <v>229</v>
      </c>
      <c r="D233" s="4" t="s">
        <v>549</v>
      </c>
      <c r="E233" t="s">
        <v>114</v>
      </c>
      <c r="F233" s="5">
        <v>12069.75</v>
      </c>
      <c r="G233" t="s">
        <v>547</v>
      </c>
      <c r="H233">
        <v>5</v>
      </c>
      <c r="I233" t="s">
        <v>53</v>
      </c>
      <c r="L233" s="6"/>
      <c r="M233" s="6"/>
      <c r="N233" s="6"/>
      <c r="O233" s="5"/>
      <c r="P233" s="7" t="str">
        <f t="shared" si="21"/>
        <v/>
      </c>
      <c r="Q233" s="7" t="str">
        <f t="shared" si="22"/>
        <v/>
      </c>
      <c r="R233" s="7" t="str">
        <f t="shared" si="23"/>
        <v/>
      </c>
      <c r="S233" s="7">
        <f>IF($A233="","",IF(AND(LEFT($G233,3)="ДОК",$N233&lt;&gt;""),IFERROR(INDEX(Документация!$E$2:$E$57,MATCH($N233,Документация!$F$2:$F$57,0)),0),N($F233))*(1-MEDIAN(0,N(ДисконтТендер),1)))</f>
        <v>12069.75</v>
      </c>
      <c r="T233" s="7">
        <f>IF($A233="","",IF(AND(LEFT($G233,3)="ДОК",$N233&lt;&gt;""),0,IF(AND(LEFT($G233,3)&lt;&gt;"ДОК",$N233&lt;&gt;""),IFERROR(INDEX(МАТЕРИАЛЫ!$H$2:$H$9000,MATCH($N233,МАТЕРИАЛЫ!$L$2:$L$9000,0))*IF(INDEX(МАТЕРИАЛЫ!$I$2:$I$9000,MATCH($N233,МАТЕРИАЛЫ!$L$2:$L$9000,0))="USD",КурсUSD,IF(INDEX(МАТЕРИАЛЫ!$I$2:$I$9000,MATCH($N233,МАТЕРИАЛЫ!$L$2:$L$9000,0))="EUR",КурсEUR,IF(INDEX(МАТЕРИАЛЫ!$I$2:$I$9000,MATCH($N233,МАТЕРИАЛЫ!$L$2:$L$9000,0))="CNY",КурсCNY,1)))*(1+N($H233)/100),0),N($O233))*(1-MEDIAN(0,N(ДисконтТендер),1))))</f>
        <v>0</v>
      </c>
      <c r="U233" t="str">
        <f>IF($L233="да",MAX($U$1:$U232)+1,"")</f>
        <v/>
      </c>
      <c r="V233" t="str">
        <f t="shared" si="24"/>
        <v>Р3</v>
      </c>
      <c r="W233" t="str">
        <f t="shared" si="25"/>
        <v/>
      </c>
      <c r="X233" t="str">
        <f t="shared" si="26"/>
        <v/>
      </c>
      <c r="Y233" s="4" t="str">
        <f>IF($A233="","",IF(AND(LEFT($G233,3)="ДОК",$N233&lt;&gt;""),IFERROR(INDEX(Документация!$G$2:$G$57,MATCH($N233,Документация!$F$2:$F$57,0)),$D233),$D233&amp;IF(AND(LEFT($G233,3)&lt;&gt;"ДОК",$N233&lt;&gt;"")," — "&amp;IFERROR(INDEX(МАТЕРИАЛЫ!$C$2:$C$9000,MATCH($N233,МАТЕРИАЛЫ!$L$2:$L$9000,0)),""),"")))</f>
        <v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v>
      </c>
      <c r="Z233" t="str">
        <f t="shared" si="27"/>
        <v>Р3 · Внутренние строительные работы</v>
      </c>
    </row>
    <row r="234" spans="1:26" ht="72" x14ac:dyDescent="0.3">
      <c r="A234" t="s">
        <v>550</v>
      </c>
      <c r="B234" t="s">
        <v>394</v>
      </c>
      <c r="C234" t="s">
        <v>229</v>
      </c>
      <c r="D234" s="4" t="s">
        <v>551</v>
      </c>
      <c r="E234" t="s">
        <v>114</v>
      </c>
      <c r="F234" s="5">
        <v>11000</v>
      </c>
      <c r="G234" t="s">
        <v>529</v>
      </c>
      <c r="H234">
        <v>5</v>
      </c>
      <c r="I234" t="s">
        <v>53</v>
      </c>
      <c r="L234" s="6"/>
      <c r="M234" s="6"/>
      <c r="N234" s="6"/>
      <c r="O234" s="5"/>
      <c r="P234" s="7" t="str">
        <f t="shared" si="21"/>
        <v/>
      </c>
      <c r="Q234" s="7" t="str">
        <f t="shared" si="22"/>
        <v/>
      </c>
      <c r="R234" s="7" t="str">
        <f t="shared" si="23"/>
        <v/>
      </c>
      <c r="S234" s="7">
        <f>IF($A234="","",IF(AND(LEFT($G234,3)="ДОК",$N234&lt;&gt;""),IFERROR(INDEX(Документация!$E$2:$E$57,MATCH($N234,Документация!$F$2:$F$57,0)),0),N($F234))*(1-MEDIAN(0,N(ДисконтТендер),1)))</f>
        <v>11000</v>
      </c>
      <c r="T234" s="7">
        <f>IF($A234="","",IF(AND(LEFT($G234,3)="ДОК",$N234&lt;&gt;""),0,IF(AND(LEFT($G234,3)&lt;&gt;"ДОК",$N234&lt;&gt;""),IFERROR(INDEX(МАТЕРИАЛЫ!$H$2:$H$9000,MATCH($N234,МАТЕРИАЛЫ!$L$2:$L$9000,0))*IF(INDEX(МАТЕРИАЛЫ!$I$2:$I$9000,MATCH($N234,МАТЕРИАЛЫ!$L$2:$L$9000,0))="USD",КурсUSD,IF(INDEX(МАТЕРИАЛЫ!$I$2:$I$9000,MATCH($N234,МАТЕРИАЛЫ!$L$2:$L$9000,0))="EUR",КурсEUR,IF(INDEX(МАТЕРИАЛЫ!$I$2:$I$9000,MATCH($N234,МАТЕРИАЛЫ!$L$2:$L$9000,0))="CNY",КурсCNY,1)))*(1+N($H234)/100),0),N($O234))*(1-MEDIAN(0,N(ДисконтТендер),1))))</f>
        <v>0</v>
      </c>
      <c r="U234" t="str">
        <f>IF($L234="да",MAX($U$1:$U233)+1,"")</f>
        <v/>
      </c>
      <c r="V234" t="str">
        <f t="shared" si="24"/>
        <v>Р3</v>
      </c>
      <c r="W234" t="str">
        <f t="shared" si="25"/>
        <v/>
      </c>
      <c r="X234" t="str">
        <f t="shared" si="26"/>
        <v/>
      </c>
      <c r="Y234" s="4" t="str">
        <f>IF($A234="","",IF(AND(LEFT($G234,3)="ДОК",$N234&lt;&gt;""),IFERROR(INDEX(Документация!$G$2:$G$57,MATCH($N234,Документация!$F$2:$F$57,0)),$D234),$D234&amp;IF(AND(LEFT($G234,3)&lt;&gt;"ДОК",$N234&lt;&gt;"")," — "&amp;IFERROR(INDEX(МАТЕРИАЛЫ!$C$2:$C$9000,MATCH($N234,МАТЕРИАЛЫ!$L$2:$L$9000,0)),""),"")))</f>
        <v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v>
      </c>
      <c r="Z234" t="str">
        <f t="shared" si="27"/>
        <v>Р3 · Внутренние строительные работы</v>
      </c>
    </row>
    <row r="235" spans="1:26" x14ac:dyDescent="0.3">
      <c r="A235" t="s">
        <v>552</v>
      </c>
      <c r="B235" t="s">
        <v>394</v>
      </c>
      <c r="C235" t="s">
        <v>229</v>
      </c>
      <c r="D235" s="4" t="s">
        <v>553</v>
      </c>
      <c r="E235" t="s">
        <v>114</v>
      </c>
      <c r="F235" s="5">
        <v>11880</v>
      </c>
      <c r="G235" t="s">
        <v>554</v>
      </c>
      <c r="H235">
        <v>5</v>
      </c>
      <c r="I235" t="s">
        <v>53</v>
      </c>
      <c r="L235" s="6"/>
      <c r="M235" s="6"/>
      <c r="N235" s="6"/>
      <c r="O235" s="5"/>
      <c r="P235" s="7" t="str">
        <f t="shared" si="21"/>
        <v/>
      </c>
      <c r="Q235" s="7" t="str">
        <f t="shared" si="22"/>
        <v/>
      </c>
      <c r="R235" s="7" t="str">
        <f t="shared" si="23"/>
        <v/>
      </c>
      <c r="S235" s="7">
        <f>IF($A235="","",IF(AND(LEFT($G235,3)="ДОК",$N235&lt;&gt;""),IFERROR(INDEX(Документация!$E$2:$E$57,MATCH($N235,Документация!$F$2:$F$57,0)),0),N($F235))*(1-MEDIAN(0,N(ДисконтТендер),1)))</f>
        <v>11880</v>
      </c>
      <c r="T235" s="7">
        <f>IF($A235="","",IF(AND(LEFT($G235,3)="ДОК",$N235&lt;&gt;""),0,IF(AND(LEFT($G235,3)&lt;&gt;"ДОК",$N235&lt;&gt;""),IFERROR(INDEX(МАТЕРИАЛЫ!$H$2:$H$9000,MATCH($N235,МАТЕРИАЛЫ!$L$2:$L$9000,0))*IF(INDEX(МАТЕРИАЛЫ!$I$2:$I$9000,MATCH($N235,МАТЕРИАЛЫ!$L$2:$L$9000,0))="USD",КурсUSD,IF(INDEX(МАТЕРИАЛЫ!$I$2:$I$9000,MATCH($N235,МАТЕРИАЛЫ!$L$2:$L$9000,0))="EUR",КурсEUR,IF(INDEX(МАТЕРИАЛЫ!$I$2:$I$9000,MATCH($N235,МАТЕРИАЛЫ!$L$2:$L$9000,0))="CNY",КурсCNY,1)))*(1+N($H235)/100),0),N($O235))*(1-MEDIAN(0,N(ДисконтТендер),1))))</f>
        <v>0</v>
      </c>
      <c r="U235" t="str">
        <f>IF($L235="да",MAX($U$1:$U234)+1,"")</f>
        <v/>
      </c>
      <c r="V235" t="str">
        <f t="shared" si="24"/>
        <v>Р3</v>
      </c>
      <c r="W235" t="str">
        <f t="shared" si="25"/>
        <v/>
      </c>
      <c r="X235" t="str">
        <f t="shared" si="26"/>
        <v/>
      </c>
      <c r="Y235" s="4" t="str">
        <f>IF($A235="","",IF(AND(LEFT($G235,3)="ДОК",$N235&lt;&gt;""),IFERROR(INDEX(Документация!$G$2:$G$57,MATCH($N235,Документация!$F$2:$F$57,0)),$D235),$D235&amp;IF(AND(LEFT($G235,3)&lt;&gt;"ДОК",$N235&lt;&gt;"")," — "&amp;IFERROR(INDEX(МАТЕРИАЛЫ!$C$2:$C$9000,MATCH($N235,МАТЕРИАЛЫ!$L$2:$L$9000,0)),""),"")))</f>
        <v>Монтаж дверного блока противопожарного</v>
      </c>
      <c r="Z235" t="str">
        <f t="shared" si="27"/>
        <v>Р3 · Внутренние строительные работы</v>
      </c>
    </row>
    <row r="236" spans="1:26" x14ac:dyDescent="0.3">
      <c r="A236" t="s">
        <v>555</v>
      </c>
      <c r="B236" t="s">
        <v>394</v>
      </c>
      <c r="C236" t="s">
        <v>229</v>
      </c>
      <c r="D236" s="4" t="s">
        <v>553</v>
      </c>
      <c r="E236" t="s">
        <v>114</v>
      </c>
      <c r="F236" s="5">
        <v>13750</v>
      </c>
      <c r="G236" t="s">
        <v>554</v>
      </c>
      <c r="H236">
        <v>5</v>
      </c>
      <c r="I236" t="s">
        <v>53</v>
      </c>
      <c r="L236" s="6"/>
      <c r="M236" s="6"/>
      <c r="N236" s="6"/>
      <c r="O236" s="5"/>
      <c r="P236" s="7" t="str">
        <f t="shared" si="21"/>
        <v/>
      </c>
      <c r="Q236" s="7" t="str">
        <f t="shared" si="22"/>
        <v/>
      </c>
      <c r="R236" s="7" t="str">
        <f t="shared" si="23"/>
        <v/>
      </c>
      <c r="S236" s="7">
        <f>IF($A236="","",IF(AND(LEFT($G236,3)="ДОК",$N236&lt;&gt;""),IFERROR(INDEX(Документация!$E$2:$E$57,MATCH($N236,Документация!$F$2:$F$57,0)),0),N($F236))*(1-MEDIAN(0,N(ДисконтТендер),1)))</f>
        <v>13750</v>
      </c>
      <c r="T236" s="7">
        <f>IF($A236="","",IF(AND(LEFT($G236,3)="ДОК",$N236&lt;&gt;""),0,IF(AND(LEFT($G236,3)&lt;&gt;"ДОК",$N236&lt;&gt;""),IFERROR(INDEX(МАТЕРИАЛЫ!$H$2:$H$9000,MATCH($N236,МАТЕРИАЛЫ!$L$2:$L$9000,0))*IF(INDEX(МАТЕРИАЛЫ!$I$2:$I$9000,MATCH($N236,МАТЕРИАЛЫ!$L$2:$L$9000,0))="USD",КурсUSD,IF(INDEX(МАТЕРИАЛЫ!$I$2:$I$9000,MATCH($N236,МАТЕРИАЛЫ!$L$2:$L$9000,0))="EUR",КурсEUR,IF(INDEX(МАТЕРИАЛЫ!$I$2:$I$9000,MATCH($N236,МАТЕРИАЛЫ!$L$2:$L$9000,0))="CNY",КурсCNY,1)))*(1+N($H236)/100),0),N($O236))*(1-MEDIAN(0,N(ДисконтТендер),1))))</f>
        <v>0</v>
      </c>
      <c r="U236" t="str">
        <f>IF($L236="да",MAX($U$1:$U235)+1,"")</f>
        <v/>
      </c>
      <c r="V236" t="str">
        <f t="shared" si="24"/>
        <v>Р3</v>
      </c>
      <c r="W236" t="str">
        <f t="shared" si="25"/>
        <v/>
      </c>
      <c r="X236" t="str">
        <f t="shared" si="26"/>
        <v/>
      </c>
      <c r="Y236" s="4" t="str">
        <f>IF($A236="","",IF(AND(LEFT($G236,3)="ДОК",$N236&lt;&gt;""),IFERROR(INDEX(Документация!$G$2:$G$57,MATCH($N236,Документация!$F$2:$F$57,0)),$D236),$D236&amp;IF(AND(LEFT($G236,3)&lt;&gt;"ДОК",$N236&lt;&gt;"")," — "&amp;IFERROR(INDEX(МАТЕРИАЛЫ!$C$2:$C$9000,MATCH($N236,МАТЕРИАЛЫ!$L$2:$L$9000,0)),""),"")))</f>
        <v>Монтаж дверного блока противопожарного</v>
      </c>
      <c r="Z236" t="str">
        <f t="shared" si="27"/>
        <v>Р3 · Внутренние строительные работы</v>
      </c>
    </row>
    <row r="237" spans="1:26" ht="57.6" x14ac:dyDescent="0.3">
      <c r="A237" t="s">
        <v>556</v>
      </c>
      <c r="B237" t="s">
        <v>394</v>
      </c>
      <c r="C237" t="s">
        <v>229</v>
      </c>
      <c r="D237" s="4" t="s">
        <v>557</v>
      </c>
      <c r="E237" t="s">
        <v>114</v>
      </c>
      <c r="F237" s="5">
        <v>1503.36</v>
      </c>
      <c r="G237" t="s">
        <v>536</v>
      </c>
      <c r="H237">
        <v>5</v>
      </c>
      <c r="I237" t="s">
        <v>53</v>
      </c>
      <c r="L237" s="6"/>
      <c r="M237" s="6"/>
      <c r="N237" s="6"/>
      <c r="O237" s="5"/>
      <c r="P237" s="7" t="str">
        <f t="shared" si="21"/>
        <v/>
      </c>
      <c r="Q237" s="7" t="str">
        <f t="shared" si="22"/>
        <v/>
      </c>
      <c r="R237" s="7" t="str">
        <f t="shared" si="23"/>
        <v/>
      </c>
      <c r="S237" s="7">
        <f>IF($A237="","",IF(AND(LEFT($G237,3)="ДОК",$N237&lt;&gt;""),IFERROR(INDEX(Документация!$E$2:$E$57,MATCH($N237,Документация!$F$2:$F$57,0)),0),N($F237))*(1-MEDIAN(0,N(ДисконтТендер),1)))</f>
        <v>1503.36</v>
      </c>
      <c r="T237" s="7">
        <f>IF($A237="","",IF(AND(LEFT($G237,3)="ДОК",$N237&lt;&gt;""),0,IF(AND(LEFT($G237,3)&lt;&gt;"ДОК",$N237&lt;&gt;""),IFERROR(INDEX(МАТЕРИАЛЫ!$H$2:$H$9000,MATCH($N237,МАТЕРИАЛЫ!$L$2:$L$9000,0))*IF(INDEX(МАТЕРИАЛЫ!$I$2:$I$9000,MATCH($N237,МАТЕРИАЛЫ!$L$2:$L$9000,0))="USD",КурсUSD,IF(INDEX(МАТЕРИАЛЫ!$I$2:$I$9000,MATCH($N237,МАТЕРИАЛЫ!$L$2:$L$9000,0))="EUR",КурсEUR,IF(INDEX(МАТЕРИАЛЫ!$I$2:$I$9000,MATCH($N237,МАТЕРИАЛЫ!$L$2:$L$9000,0))="CNY",КурсCNY,1)))*(1+N($H237)/100),0),N($O237))*(1-MEDIAN(0,N(ДисконтТендер),1))))</f>
        <v>0</v>
      </c>
      <c r="U237" t="str">
        <f>IF($L237="да",MAX($U$1:$U236)+1,"")</f>
        <v/>
      </c>
      <c r="V237" t="str">
        <f t="shared" si="24"/>
        <v>Р3</v>
      </c>
      <c r="W237" t="str">
        <f t="shared" si="25"/>
        <v/>
      </c>
      <c r="X237" t="str">
        <f t="shared" si="26"/>
        <v/>
      </c>
      <c r="Y237" s="4" t="str">
        <f>IF($A237="","",IF(AND(LEFT($G237,3)="ДОК",$N237&lt;&gt;""),IFERROR(INDEX(Документация!$G$2:$G$57,MATCH($N237,Документация!$F$2:$F$57,0)),$D237),$D237&amp;IF(AND(LEFT($G237,3)&lt;&gt;"ДОК",$N237&lt;&gt;"")," — "&amp;IFERROR(INDEX(МАТЕРИАЛЫ!$C$2:$C$9000,MATCH($N237,МАТЕРИАЛЫ!$L$2:$L$9000,0)),""),"")))</f>
        <v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v>
      </c>
      <c r="Z237" t="str">
        <f t="shared" si="27"/>
        <v>Р3 · Внутренние строительные работы</v>
      </c>
    </row>
    <row r="238" spans="1:26" ht="43.2" x14ac:dyDescent="0.3">
      <c r="A238" t="s">
        <v>558</v>
      </c>
      <c r="B238" t="s">
        <v>394</v>
      </c>
      <c r="C238" t="s">
        <v>229</v>
      </c>
      <c r="D238" s="4" t="s">
        <v>559</v>
      </c>
      <c r="E238" t="s">
        <v>114</v>
      </c>
      <c r="F238" s="5">
        <v>2192.4</v>
      </c>
      <c r="H238">
        <v>0</v>
      </c>
      <c r="I238" t="s">
        <v>53</v>
      </c>
      <c r="L238" s="6"/>
      <c r="M238" s="6"/>
      <c r="N238" s="6"/>
      <c r="O238" s="5"/>
      <c r="P238" s="7" t="str">
        <f t="shared" si="21"/>
        <v/>
      </c>
      <c r="Q238" s="7" t="str">
        <f t="shared" si="22"/>
        <v/>
      </c>
      <c r="R238" s="7" t="str">
        <f t="shared" si="23"/>
        <v/>
      </c>
      <c r="S238" s="7">
        <f>IF($A238="","",IF(AND(LEFT($G238,3)="ДОК",$N238&lt;&gt;""),IFERROR(INDEX(Документация!$E$2:$E$57,MATCH($N238,Документация!$F$2:$F$57,0)),0),N($F238))*(1-MEDIAN(0,N(ДисконтТендер),1)))</f>
        <v>2192.4</v>
      </c>
      <c r="T238" s="7">
        <f>IF($A238="","",IF(AND(LEFT($G238,3)="ДОК",$N238&lt;&gt;""),0,IF(AND(LEFT($G238,3)&lt;&gt;"ДОК",$N238&lt;&gt;""),IFERROR(INDEX(МАТЕРИАЛЫ!$H$2:$H$9000,MATCH($N238,МАТЕРИАЛЫ!$L$2:$L$9000,0))*IF(INDEX(МАТЕРИАЛЫ!$I$2:$I$9000,MATCH($N238,МАТЕРИАЛЫ!$L$2:$L$9000,0))="USD",КурсUSD,IF(INDEX(МАТЕРИАЛЫ!$I$2:$I$9000,MATCH($N238,МАТЕРИАЛЫ!$L$2:$L$9000,0))="EUR",КурсEUR,IF(INDEX(МАТЕРИАЛЫ!$I$2:$I$9000,MATCH($N238,МАТЕРИАЛЫ!$L$2:$L$9000,0))="CNY",КурсCNY,1)))*(1+N($H238)/100),0),N($O238))*(1-MEDIAN(0,N(ДисконтТендер),1))))</f>
        <v>0</v>
      </c>
      <c r="U238" t="str">
        <f>IF($L238="да",MAX($U$1:$U237)+1,"")</f>
        <v/>
      </c>
      <c r="V238" t="str">
        <f t="shared" si="24"/>
        <v>Р3</v>
      </c>
      <c r="W238" t="str">
        <f t="shared" si="25"/>
        <v/>
      </c>
      <c r="X238" t="str">
        <f t="shared" si="26"/>
        <v/>
      </c>
      <c r="Y238" s="4" t="str">
        <f>IF($A238="","",IF(AND(LEFT($G238,3)="ДОК",$N238&lt;&gt;""),IFERROR(INDEX(Документация!$G$2:$G$57,MATCH($N238,Документация!$F$2:$F$57,0)),$D238),$D238&amp;IF(AND(LEFT($G238,3)&lt;&gt;"ДОК",$N238&lt;&gt;"")," — "&amp;IFERROR(INDEX(МАТЕРИАЛЫ!$C$2:$C$9000,MATCH($N238,МАТЕРИАЛЫ!$L$2:$L$9000,0)),""),"")))</f>
        <v>Комплект антипаника Doorlock на активную створку DL PD800FR-BAR (или аналог по согласованию заказчика)</v>
      </c>
      <c r="Z238" t="str">
        <f t="shared" si="27"/>
        <v>Р3 · Внутренние строительные работы</v>
      </c>
    </row>
    <row r="239" spans="1:26" x14ac:dyDescent="0.3">
      <c r="A239" t="s">
        <v>560</v>
      </c>
      <c r="B239" t="s">
        <v>394</v>
      </c>
      <c r="C239" t="s">
        <v>229</v>
      </c>
      <c r="D239" s="4" t="s">
        <v>561</v>
      </c>
      <c r="E239" t="s">
        <v>114</v>
      </c>
      <c r="F239" s="5">
        <v>7297.56</v>
      </c>
      <c r="G239" t="s">
        <v>562</v>
      </c>
      <c r="H239">
        <v>5</v>
      </c>
      <c r="I239" t="s">
        <v>53</v>
      </c>
      <c r="L239" s="6"/>
      <c r="M239" s="6"/>
      <c r="N239" s="6"/>
      <c r="O239" s="5"/>
      <c r="P239" s="7" t="str">
        <f t="shared" si="21"/>
        <v/>
      </c>
      <c r="Q239" s="7" t="str">
        <f t="shared" si="22"/>
        <v/>
      </c>
      <c r="R239" s="7" t="str">
        <f t="shared" si="23"/>
        <v/>
      </c>
      <c r="S239" s="7">
        <f>IF($A239="","",IF(AND(LEFT($G239,3)="ДОК",$N239&lt;&gt;""),IFERROR(INDEX(Документация!$E$2:$E$57,MATCH($N239,Документация!$F$2:$F$57,0)),0),N($F239))*(1-MEDIAN(0,N(ДисконтТендер),1)))</f>
        <v>7297.56</v>
      </c>
      <c r="T239" s="7">
        <f>IF($A239="","",IF(AND(LEFT($G239,3)="ДОК",$N239&lt;&gt;""),0,IF(AND(LEFT($G239,3)&lt;&gt;"ДОК",$N239&lt;&gt;""),IFERROR(INDEX(МАТЕРИАЛЫ!$H$2:$H$9000,MATCH($N239,МАТЕРИАЛЫ!$L$2:$L$9000,0))*IF(INDEX(МАТЕРИАЛЫ!$I$2:$I$9000,MATCH($N239,МАТЕРИАЛЫ!$L$2:$L$9000,0))="USD",КурсUSD,IF(INDEX(МАТЕРИАЛЫ!$I$2:$I$9000,MATCH($N239,МАТЕРИАЛЫ!$L$2:$L$9000,0))="EUR",КурсEUR,IF(INDEX(МАТЕРИАЛЫ!$I$2:$I$9000,MATCH($N239,МАТЕРИАЛЫ!$L$2:$L$9000,0))="CNY",КурсCNY,1)))*(1+N($H239)/100),0),N($O239))*(1-MEDIAN(0,N(ДисконтТендер),1))))</f>
        <v>0</v>
      </c>
      <c r="U239" t="str">
        <f>IF($L239="да",MAX($U$1:$U238)+1,"")</f>
        <v/>
      </c>
      <c r="V239" t="str">
        <f t="shared" si="24"/>
        <v>Р3</v>
      </c>
      <c r="W239" t="str">
        <f t="shared" si="25"/>
        <v/>
      </c>
      <c r="X239" t="str">
        <f t="shared" si="26"/>
        <v/>
      </c>
      <c r="Y239" s="4" t="str">
        <f>IF($A239="","",IF(AND(LEFT($G239,3)="ДОК",$N239&lt;&gt;""),IFERROR(INDEX(Документация!$G$2:$G$57,MATCH($N239,Документация!$F$2:$F$57,0)),$D239),$D239&amp;IF(AND(LEFT($G239,3)&lt;&gt;"ДОК",$N239&lt;&gt;"")," — "&amp;IFERROR(INDEX(МАТЕРИАЛЫ!$C$2:$C$9000,MATCH($N239,МАТЕРИАЛЫ!$L$2:$L$9000,0)),""),"")))</f>
        <v>Монтаж дверного блока деревянного</v>
      </c>
      <c r="Z239" t="str">
        <f t="shared" si="27"/>
        <v>Р3 · Внутренние строительные работы</v>
      </c>
    </row>
    <row r="240" spans="1:26" ht="28.8" x14ac:dyDescent="0.3">
      <c r="A240" t="s">
        <v>563</v>
      </c>
      <c r="B240" t="s">
        <v>394</v>
      </c>
      <c r="C240" t="s">
        <v>229</v>
      </c>
      <c r="D240" s="4" t="s">
        <v>564</v>
      </c>
      <c r="E240" t="s">
        <v>114</v>
      </c>
      <c r="F240" s="5">
        <v>224.46</v>
      </c>
      <c r="G240" t="s">
        <v>536</v>
      </c>
      <c r="H240">
        <v>5</v>
      </c>
      <c r="I240" t="s">
        <v>53</v>
      </c>
      <c r="L240" s="6"/>
      <c r="M240" s="6"/>
      <c r="N240" s="6"/>
      <c r="O240" s="5"/>
      <c r="P240" s="7" t="str">
        <f t="shared" si="21"/>
        <v/>
      </c>
      <c r="Q240" s="7" t="str">
        <f t="shared" si="22"/>
        <v/>
      </c>
      <c r="R240" s="7" t="str">
        <f t="shared" si="23"/>
        <v/>
      </c>
      <c r="S240" s="7">
        <f>IF($A240="","",IF(AND(LEFT($G240,3)="ДОК",$N240&lt;&gt;""),IFERROR(INDEX(Документация!$E$2:$E$57,MATCH($N240,Документация!$F$2:$F$57,0)),0),N($F240))*(1-MEDIAN(0,N(ДисконтТендер),1)))</f>
        <v>224.46</v>
      </c>
      <c r="T240" s="7">
        <f>IF($A240="","",IF(AND(LEFT($G240,3)="ДОК",$N240&lt;&gt;""),0,IF(AND(LEFT($G240,3)&lt;&gt;"ДОК",$N240&lt;&gt;""),IFERROR(INDEX(МАТЕРИАЛЫ!$H$2:$H$9000,MATCH($N240,МАТЕРИАЛЫ!$L$2:$L$9000,0))*IF(INDEX(МАТЕРИАЛЫ!$I$2:$I$9000,MATCH($N240,МАТЕРИАЛЫ!$L$2:$L$9000,0))="USD",КурсUSD,IF(INDEX(МАТЕРИАЛЫ!$I$2:$I$9000,MATCH($N240,МАТЕРИАЛЫ!$L$2:$L$9000,0))="EUR",КурсEUR,IF(INDEX(МАТЕРИАЛЫ!$I$2:$I$9000,MATCH($N240,МАТЕРИАЛЫ!$L$2:$L$9000,0))="CNY",КурсCNY,1)))*(1+N($H240)/100),0),N($O240))*(1-MEDIAN(0,N(ДисконтТендер),1))))</f>
        <v>0</v>
      </c>
      <c r="U240" t="str">
        <f>IF($L240="да",MAX($U$1:$U239)+1,"")</f>
        <v/>
      </c>
      <c r="V240" t="str">
        <f t="shared" si="24"/>
        <v>Р3</v>
      </c>
      <c r="W240" t="str">
        <f t="shared" si="25"/>
        <v/>
      </c>
      <c r="X240" t="str">
        <f t="shared" si="26"/>
        <v/>
      </c>
      <c r="Y240" s="4" t="str">
        <f>IF($A240="","",IF(AND(LEFT($G240,3)="ДОК",$N240&lt;&gt;""),IFERROR(INDEX(Документация!$G$2:$G$57,MATCH($N240,Документация!$F$2:$F$57,0)),$D240),$D240&amp;IF(AND(LEFT($G240,3)&lt;&gt;"ДОК",$N240&lt;&gt;"")," — "&amp;IFERROR(INDEX(МАТЕРИАЛЫ!$C$2:$C$9000,MATCH($N240,МАТЕРИАЛЫ!$L$2:$L$9000,0)),""),"")))</f>
        <v>Установка стопора дверного Standers, 3.5х3.2 см, нержавеющая сталь</v>
      </c>
      <c r="Z240" t="str">
        <f t="shared" si="27"/>
        <v>Р3 · Внутренние строительные работы</v>
      </c>
    </row>
    <row r="241" spans="1:26" ht="28.8" x14ac:dyDescent="0.3">
      <c r="A241" t="s">
        <v>565</v>
      </c>
      <c r="B241" t="s">
        <v>394</v>
      </c>
      <c r="C241" t="s">
        <v>229</v>
      </c>
      <c r="D241" s="4" t="s">
        <v>566</v>
      </c>
      <c r="E241" t="s">
        <v>52</v>
      </c>
      <c r="F241" s="5">
        <v>2750</v>
      </c>
      <c r="G241" t="s">
        <v>567</v>
      </c>
      <c r="H241">
        <v>5</v>
      </c>
      <c r="I241" t="s">
        <v>53</v>
      </c>
      <c r="L241" s="6"/>
      <c r="M241" s="6"/>
      <c r="N241" s="6"/>
      <c r="O241" s="5"/>
      <c r="P241" s="7" t="str">
        <f t="shared" si="21"/>
        <v/>
      </c>
      <c r="Q241" s="7" t="str">
        <f t="shared" si="22"/>
        <v/>
      </c>
      <c r="R241" s="7" t="str">
        <f t="shared" si="23"/>
        <v/>
      </c>
      <c r="S241" s="7">
        <f>IF($A241="","",IF(AND(LEFT($G241,3)="ДОК",$N241&lt;&gt;""),IFERROR(INDEX(Документация!$E$2:$E$57,MATCH($N241,Документация!$F$2:$F$57,0)),0),N($F241))*(1-MEDIAN(0,N(ДисконтТендер),1)))</f>
        <v>2750</v>
      </c>
      <c r="T241" s="7">
        <f>IF($A241="","",IF(AND(LEFT($G241,3)="ДОК",$N241&lt;&gt;""),0,IF(AND(LEFT($G241,3)&lt;&gt;"ДОК",$N241&lt;&gt;""),IFERROR(INDEX(МАТЕРИАЛЫ!$H$2:$H$9000,MATCH($N241,МАТЕРИАЛЫ!$L$2:$L$9000,0))*IF(INDEX(МАТЕРИАЛЫ!$I$2:$I$9000,MATCH($N241,МАТЕРИАЛЫ!$L$2:$L$9000,0))="USD",КурсUSD,IF(INDEX(МАТЕРИАЛЫ!$I$2:$I$9000,MATCH($N241,МАТЕРИАЛЫ!$L$2:$L$9000,0))="EUR",КурсEUR,IF(INDEX(МАТЕРИАЛЫ!$I$2:$I$9000,MATCH($N241,МАТЕРИАЛЫ!$L$2:$L$9000,0))="CNY",КурсCNY,1)))*(1+N($H241)/100),0),N($O241))*(1-MEDIAN(0,N(ДисконтТендер),1))))</f>
        <v>0</v>
      </c>
      <c r="U241" t="str">
        <f>IF($L241="да",MAX($U$1:$U240)+1,"")</f>
        <v/>
      </c>
      <c r="V241" t="str">
        <f t="shared" si="24"/>
        <v>Р3</v>
      </c>
      <c r="W241" t="str">
        <f t="shared" si="25"/>
        <v/>
      </c>
      <c r="X241" t="str">
        <f t="shared" si="26"/>
        <v/>
      </c>
      <c r="Y241" s="4" t="str">
        <f>IF($A241="","",IF(AND(LEFT($G241,3)="ДОК",$N241&lt;&gt;""),IFERROR(INDEX(Документация!$G$2:$G$57,MATCH($N241,Документация!$F$2:$F$57,0)),$D241),$D241&amp;IF(AND(LEFT($G241,3)&lt;&gt;"ДОК",$N241&lt;&gt;"")," — "&amp;IFERROR(INDEX(МАТЕРИАЛЫ!$C$2:$C$9000,MATCH($N241,МАТЕРИАЛЫ!$L$2:$L$9000,0)),""),"")))</f>
        <v>Монтаж оконного блока / светопрозрачной конструкции</v>
      </c>
      <c r="Z241" t="str">
        <f t="shared" si="27"/>
        <v>Р3 · Внутренние строительные работы</v>
      </c>
    </row>
    <row r="242" spans="1:26" x14ac:dyDescent="0.3">
      <c r="A242" t="s">
        <v>568</v>
      </c>
      <c r="B242" t="s">
        <v>394</v>
      </c>
      <c r="C242" t="s">
        <v>229</v>
      </c>
      <c r="D242" s="4" t="s">
        <v>569</v>
      </c>
      <c r="E242" t="s">
        <v>52</v>
      </c>
      <c r="F242" s="5">
        <v>1252.8</v>
      </c>
      <c r="G242" t="s">
        <v>498</v>
      </c>
      <c r="H242">
        <v>5</v>
      </c>
      <c r="I242" t="s">
        <v>53</v>
      </c>
      <c r="L242" s="6"/>
      <c r="M242" s="6"/>
      <c r="N242" s="6"/>
      <c r="O242" s="5"/>
      <c r="P242" s="7" t="str">
        <f t="shared" si="21"/>
        <v/>
      </c>
      <c r="Q242" s="7" t="str">
        <f t="shared" si="22"/>
        <v/>
      </c>
      <c r="R242" s="7" t="str">
        <f t="shared" si="23"/>
        <v/>
      </c>
      <c r="S242" s="7">
        <f>IF($A242="","",IF(AND(LEFT($G242,3)="ДОК",$N242&lt;&gt;""),IFERROR(INDEX(Документация!$E$2:$E$57,MATCH($N242,Документация!$F$2:$F$57,0)),0),N($F242))*(1-MEDIAN(0,N(ДисконтТендер),1)))</f>
        <v>1252.8</v>
      </c>
      <c r="T242" s="7">
        <f>IF($A242="","",IF(AND(LEFT($G242,3)="ДОК",$N242&lt;&gt;""),0,IF(AND(LEFT($G242,3)&lt;&gt;"ДОК",$N242&lt;&gt;""),IFERROR(INDEX(МАТЕРИАЛЫ!$H$2:$H$9000,MATCH($N242,МАТЕРИАЛЫ!$L$2:$L$9000,0))*IF(INDEX(МАТЕРИАЛЫ!$I$2:$I$9000,MATCH($N242,МАТЕРИАЛЫ!$L$2:$L$9000,0))="USD",КурсUSD,IF(INDEX(МАТЕРИАЛЫ!$I$2:$I$9000,MATCH($N242,МАТЕРИАЛЫ!$L$2:$L$9000,0))="EUR",КурсEUR,IF(INDEX(МАТЕРИАЛЫ!$I$2:$I$9000,MATCH($N242,МАТЕРИАЛЫ!$L$2:$L$9000,0))="CNY",КурсCNY,1)))*(1+N($H242)/100),0),N($O242))*(1-MEDIAN(0,N(ДисконтТендер),1))))</f>
        <v>0</v>
      </c>
      <c r="U242" t="str">
        <f>IF($L242="да",MAX($U$1:$U241)+1,"")</f>
        <v/>
      </c>
      <c r="V242" t="str">
        <f t="shared" si="24"/>
        <v>Р3</v>
      </c>
      <c r="W242" t="str">
        <f t="shared" si="25"/>
        <v/>
      </c>
      <c r="X242" t="str">
        <f t="shared" si="26"/>
        <v/>
      </c>
      <c r="Y242" s="4" t="str">
        <f>IF($A242="","",IF(AND(LEFT($G242,3)="ДОК",$N242&lt;&gt;""),IFERROR(INDEX(Документация!$G$2:$G$57,MATCH($N242,Документация!$F$2:$F$57,0)),$D242),$D242&amp;IF(AND(LEFT($G242,3)&lt;&gt;"ДОК",$N242&lt;&gt;"")," — "&amp;IFERROR(INDEX(МАТЕРИАЛЫ!$C$2:$C$9000,MATCH($N242,МАТЕРИАЛЫ!$L$2:$L$9000,0)),""),"")))</f>
        <v>Окраска поверхности</v>
      </c>
      <c r="Z242" t="str">
        <f t="shared" si="27"/>
        <v>Р3 · Внутренние строительные работы</v>
      </c>
    </row>
    <row r="243" spans="1:26" x14ac:dyDescent="0.3">
      <c r="A243" t="s">
        <v>570</v>
      </c>
      <c r="B243" t="s">
        <v>394</v>
      </c>
      <c r="C243" t="s">
        <v>229</v>
      </c>
      <c r="D243" s="4" t="s">
        <v>571</v>
      </c>
      <c r="E243" t="s">
        <v>52</v>
      </c>
      <c r="F243" s="5">
        <v>220</v>
      </c>
      <c r="G243" t="s">
        <v>572</v>
      </c>
      <c r="H243">
        <v>5</v>
      </c>
      <c r="I243" t="s">
        <v>53</v>
      </c>
      <c r="L243" s="6"/>
      <c r="M243" s="6"/>
      <c r="N243" s="6"/>
      <c r="O243" s="5"/>
      <c r="P243" s="7" t="str">
        <f t="shared" si="21"/>
        <v/>
      </c>
      <c r="Q243" s="7" t="str">
        <f t="shared" si="22"/>
        <v/>
      </c>
      <c r="R243" s="7" t="str">
        <f t="shared" si="23"/>
        <v/>
      </c>
      <c r="S243" s="7">
        <f>IF($A243="","",IF(AND(LEFT($G243,3)="ДОК",$N243&lt;&gt;""),IFERROR(INDEX(Документация!$E$2:$E$57,MATCH($N243,Документация!$F$2:$F$57,0)),0),N($F243))*(1-MEDIAN(0,N(ДисконтТендер),1)))</f>
        <v>220</v>
      </c>
      <c r="T243" s="7">
        <f>IF($A243="","",IF(AND(LEFT($G243,3)="ДОК",$N243&lt;&gt;""),0,IF(AND(LEFT($G243,3)&lt;&gt;"ДОК",$N243&lt;&gt;""),IFERROR(INDEX(МАТЕРИАЛЫ!$H$2:$H$9000,MATCH($N243,МАТЕРИАЛЫ!$L$2:$L$9000,0))*IF(INDEX(МАТЕРИАЛЫ!$I$2:$I$9000,MATCH($N243,МАТЕРИАЛЫ!$L$2:$L$9000,0))="USD",КурсUSD,IF(INDEX(МАТЕРИАЛЫ!$I$2:$I$9000,MATCH($N243,МАТЕРИАЛЫ!$L$2:$L$9000,0))="EUR",КурсEUR,IF(INDEX(МАТЕРИАЛЫ!$I$2:$I$9000,MATCH($N243,МАТЕРИАЛЫ!$L$2:$L$9000,0))="CNY",КурсCNY,1)))*(1+N($H243)/100),0),N($O243))*(1-MEDIAN(0,N(ДисконтТендер),1))))</f>
        <v>0</v>
      </c>
      <c r="U243" t="str">
        <f>IF($L243="да",MAX($U$1:$U242)+1,"")</f>
        <v/>
      </c>
      <c r="V243" t="str">
        <f t="shared" si="24"/>
        <v>Р3</v>
      </c>
      <c r="W243" t="str">
        <f t="shared" si="25"/>
        <v/>
      </c>
      <c r="X243" t="str">
        <f t="shared" si="26"/>
        <v/>
      </c>
      <c r="Y243" s="4" t="str">
        <f>IF($A243="","",IF(AND(LEFT($G243,3)="ДОК",$N243&lt;&gt;""),IFERROR(INDEX(Документация!$G$2:$G$57,MATCH($N243,Документация!$F$2:$F$57,0)),$D243),$D243&amp;IF(AND(LEFT($G243,3)&lt;&gt;"ДОК",$N243&lt;&gt;"")," — "&amp;IFERROR(INDEX(МАТЕРИАЛЫ!$C$2:$C$9000,MATCH($N243,МАТЕРИАЛЫ!$L$2:$L$9000,0)),""),"")))</f>
        <v>Установка рулонных штор</v>
      </c>
      <c r="Z243" t="str">
        <f t="shared" si="27"/>
        <v>Р3 · Внутренние строительные работы</v>
      </c>
    </row>
    <row r="244" spans="1:26" x14ac:dyDescent="0.3">
      <c r="A244" t="s">
        <v>573</v>
      </c>
      <c r="B244" t="s">
        <v>394</v>
      </c>
      <c r="C244" t="s">
        <v>229</v>
      </c>
      <c r="D244" s="4" t="s">
        <v>574</v>
      </c>
      <c r="E244" t="s">
        <v>52</v>
      </c>
      <c r="F244" s="5">
        <v>330</v>
      </c>
      <c r="G244" t="s">
        <v>572</v>
      </c>
      <c r="H244">
        <v>5</v>
      </c>
      <c r="I244" t="s">
        <v>53</v>
      </c>
      <c r="L244" s="6"/>
      <c r="M244" s="6"/>
      <c r="N244" s="6"/>
      <c r="O244" s="5"/>
      <c r="P244" s="7" t="str">
        <f t="shared" si="21"/>
        <v/>
      </c>
      <c r="Q244" s="7" t="str">
        <f t="shared" si="22"/>
        <v/>
      </c>
      <c r="R244" s="7" t="str">
        <f t="shared" si="23"/>
        <v/>
      </c>
      <c r="S244" s="7">
        <f>IF($A244="","",IF(AND(LEFT($G244,3)="ДОК",$N244&lt;&gt;""),IFERROR(INDEX(Документация!$E$2:$E$57,MATCH($N244,Документация!$F$2:$F$57,0)),0),N($F244))*(1-MEDIAN(0,N(ДисконтТендер),1)))</f>
        <v>330</v>
      </c>
      <c r="T244" s="7">
        <f>IF($A244="","",IF(AND(LEFT($G244,3)="ДОК",$N244&lt;&gt;""),0,IF(AND(LEFT($G244,3)&lt;&gt;"ДОК",$N244&lt;&gt;""),IFERROR(INDEX(МАТЕРИАЛЫ!$H$2:$H$9000,MATCH($N244,МАТЕРИАЛЫ!$L$2:$L$9000,0))*IF(INDEX(МАТЕРИАЛЫ!$I$2:$I$9000,MATCH($N244,МАТЕРИАЛЫ!$L$2:$L$9000,0))="USD",КурсUSD,IF(INDEX(МАТЕРИАЛЫ!$I$2:$I$9000,MATCH($N244,МАТЕРИАЛЫ!$L$2:$L$9000,0))="EUR",КурсEUR,IF(INDEX(МАТЕРИАЛЫ!$I$2:$I$9000,MATCH($N244,МАТЕРИАЛЫ!$L$2:$L$9000,0))="CNY",КурсCNY,1)))*(1+N($H244)/100),0),N($O244))*(1-MEDIAN(0,N(ДисконтТендер),1))))</f>
        <v>0</v>
      </c>
      <c r="U244" t="str">
        <f>IF($L244="да",MAX($U$1:$U243)+1,"")</f>
        <v/>
      </c>
      <c r="V244" t="str">
        <f t="shared" si="24"/>
        <v>Р3</v>
      </c>
      <c r="W244" t="str">
        <f t="shared" si="25"/>
        <v/>
      </c>
      <c r="X244" t="str">
        <f t="shared" si="26"/>
        <v/>
      </c>
      <c r="Y244" s="4" t="str">
        <f>IF($A244="","",IF(AND(LEFT($G244,3)="ДОК",$N244&lt;&gt;""),IFERROR(INDEX(Документация!$G$2:$G$57,MATCH($N244,Документация!$F$2:$F$57,0)),$D244),$D244&amp;IF(AND(LEFT($G244,3)&lt;&gt;"ДОК",$N244&lt;&gt;"")," — "&amp;IFERROR(INDEX(МАТЕРИАЛЫ!$C$2:$C$9000,MATCH($N244,МАТЕРИАЛЫ!$L$2:$L$9000,0)),""),"")))</f>
        <v>Установка жалюзи вертикальных серии Line</v>
      </c>
      <c r="Z244" t="str">
        <f t="shared" si="27"/>
        <v>Р3 · Внутренние строительные работы</v>
      </c>
    </row>
    <row r="245" spans="1:26" x14ac:dyDescent="0.3">
      <c r="A245" t="s">
        <v>575</v>
      </c>
      <c r="B245" t="s">
        <v>394</v>
      </c>
      <c r="C245" t="s">
        <v>229</v>
      </c>
      <c r="D245" s="4" t="s">
        <v>576</v>
      </c>
      <c r="E245" t="s">
        <v>153</v>
      </c>
      <c r="F245" s="5">
        <v>888.25</v>
      </c>
      <c r="G245" t="s">
        <v>577</v>
      </c>
      <c r="H245">
        <v>5</v>
      </c>
      <c r="I245" t="s">
        <v>53</v>
      </c>
      <c r="L245" s="6"/>
      <c r="M245" s="6"/>
      <c r="N245" s="6"/>
      <c r="O245" s="5"/>
      <c r="P245" s="7" t="str">
        <f t="shared" si="21"/>
        <v/>
      </c>
      <c r="Q245" s="7" t="str">
        <f t="shared" si="22"/>
        <v/>
      </c>
      <c r="R245" s="7" t="str">
        <f t="shared" si="23"/>
        <v/>
      </c>
      <c r="S245" s="7">
        <f>IF($A245="","",IF(AND(LEFT($G245,3)="ДОК",$N245&lt;&gt;""),IFERROR(INDEX(Документация!$E$2:$E$57,MATCH($N245,Документация!$F$2:$F$57,0)),0),N($F245))*(1-MEDIAN(0,N(ДисконтТендер),1)))</f>
        <v>888.25</v>
      </c>
      <c r="T245" s="7">
        <f>IF($A245="","",IF(AND(LEFT($G245,3)="ДОК",$N245&lt;&gt;""),0,IF(AND(LEFT($G245,3)&lt;&gt;"ДОК",$N245&lt;&gt;""),IFERROR(INDEX(МАТЕРИАЛЫ!$H$2:$H$9000,MATCH($N245,МАТЕРИАЛЫ!$L$2:$L$9000,0))*IF(INDEX(МАТЕРИАЛЫ!$I$2:$I$9000,MATCH($N245,МАТЕРИАЛЫ!$L$2:$L$9000,0))="USD",КурсUSD,IF(INDEX(МАТЕРИАЛЫ!$I$2:$I$9000,MATCH($N245,МАТЕРИАЛЫ!$L$2:$L$9000,0))="EUR",КурсEUR,IF(INDEX(МАТЕРИАЛЫ!$I$2:$I$9000,MATCH($N245,МАТЕРИАЛЫ!$L$2:$L$9000,0))="CNY",КурсCNY,1)))*(1+N($H245)/100),0),N($O245))*(1-MEDIAN(0,N(ДисконтТендер),1))))</f>
        <v>0</v>
      </c>
      <c r="U245" t="str">
        <f>IF($L245="да",MAX($U$1:$U244)+1,"")</f>
        <v/>
      </c>
      <c r="V245" t="str">
        <f t="shared" si="24"/>
        <v>Р3</v>
      </c>
      <c r="W245" t="str">
        <f t="shared" si="25"/>
        <v/>
      </c>
      <c r="X245" t="str">
        <f t="shared" si="26"/>
        <v/>
      </c>
      <c r="Y245" s="4" t="str">
        <f>IF($A245="","",IF(AND(LEFT($G245,3)="ДОК",$N245&lt;&gt;""),IFERROR(INDEX(Документация!$G$2:$G$57,MATCH($N245,Документация!$F$2:$F$57,0)),$D245),$D245&amp;IF(AND(LEFT($G245,3)&lt;&gt;"ДОК",$N245&lt;&gt;"")," — "&amp;IFERROR(INDEX(МАТЕРИАЛЫ!$C$2:$C$9000,MATCH($N245,МАТЕРИАЛЫ!$L$2:$L$9000,0)),""),"")))</f>
        <v>Установка подоконной доски</v>
      </c>
      <c r="Z245" t="str">
        <f t="shared" si="27"/>
        <v>Р3 · Внутренние строительные работы</v>
      </c>
    </row>
    <row r="246" spans="1:26" x14ac:dyDescent="0.3">
      <c r="A246" t="s">
        <v>578</v>
      </c>
      <c r="B246" t="s">
        <v>394</v>
      </c>
      <c r="C246" t="s">
        <v>229</v>
      </c>
      <c r="D246" s="4" t="s">
        <v>579</v>
      </c>
      <c r="E246" t="s">
        <v>153</v>
      </c>
      <c r="F246" s="5">
        <v>599.39</v>
      </c>
      <c r="G246" t="s">
        <v>498</v>
      </c>
      <c r="H246">
        <v>5</v>
      </c>
      <c r="I246" t="s">
        <v>53</v>
      </c>
      <c r="L246" s="6"/>
      <c r="M246" s="6"/>
      <c r="N246" s="6"/>
      <c r="O246" s="5"/>
      <c r="P246" s="7" t="str">
        <f t="shared" si="21"/>
        <v/>
      </c>
      <c r="Q246" s="7" t="str">
        <f t="shared" si="22"/>
        <v/>
      </c>
      <c r="R246" s="7" t="str">
        <f t="shared" si="23"/>
        <v/>
      </c>
      <c r="S246" s="7">
        <f>IF($A246="","",IF(AND(LEFT($G246,3)="ДОК",$N246&lt;&gt;""),IFERROR(INDEX(Документация!$E$2:$E$57,MATCH($N246,Документация!$F$2:$F$57,0)),0),N($F246))*(1-MEDIAN(0,N(ДисконтТендер),1)))</f>
        <v>599.39</v>
      </c>
      <c r="T246" s="7">
        <f>IF($A246="","",IF(AND(LEFT($G246,3)="ДОК",$N246&lt;&gt;""),0,IF(AND(LEFT($G246,3)&lt;&gt;"ДОК",$N246&lt;&gt;""),IFERROR(INDEX(МАТЕРИАЛЫ!$H$2:$H$9000,MATCH($N246,МАТЕРИАЛЫ!$L$2:$L$9000,0))*IF(INDEX(МАТЕРИАЛЫ!$I$2:$I$9000,MATCH($N246,МАТЕРИАЛЫ!$L$2:$L$9000,0))="USD",КурсUSD,IF(INDEX(МАТЕРИАЛЫ!$I$2:$I$9000,MATCH($N246,МАТЕРИАЛЫ!$L$2:$L$9000,0))="EUR",КурсEUR,IF(INDEX(МАТЕРИАЛЫ!$I$2:$I$9000,MATCH($N246,МАТЕРИАЛЫ!$L$2:$L$9000,0))="CNY",КурсCNY,1)))*(1+N($H246)/100),0),N($O246))*(1-MEDIAN(0,N(ДисконтТендер),1))))</f>
        <v>0</v>
      </c>
      <c r="U246" t="str">
        <f>IF($L246="да",MAX($U$1:$U245)+1,"")</f>
        <v/>
      </c>
      <c r="V246" t="str">
        <f t="shared" si="24"/>
        <v>Р3</v>
      </c>
      <c r="W246" t="str">
        <f t="shared" si="25"/>
        <v/>
      </c>
      <c r="X246" t="str">
        <f t="shared" si="26"/>
        <v/>
      </c>
      <c r="Y246" s="4" t="str">
        <f>IF($A246="","",IF(AND(LEFT($G246,3)="ДОК",$N246&lt;&gt;""),IFERROR(INDEX(Документация!$G$2:$G$57,MATCH($N246,Документация!$F$2:$F$57,0)),$D246),$D246&amp;IF(AND(LEFT($G246,3)&lt;&gt;"ДОК",$N246&lt;&gt;"")," — "&amp;IFERROR(INDEX(МАТЕРИАЛЫ!$C$2:$C$9000,MATCH($N246,МАТЕРИАЛЫ!$L$2:$L$9000,0)),""),"")))</f>
        <v>Установка оконных отливов с окраской по RAL</v>
      </c>
      <c r="Z246" t="str">
        <f t="shared" si="27"/>
        <v>Р3 · Внутренние строительные работы</v>
      </c>
    </row>
    <row r="247" spans="1:26" ht="28.8" x14ac:dyDescent="0.3">
      <c r="A247" t="s">
        <v>580</v>
      </c>
      <c r="B247" t="s">
        <v>394</v>
      </c>
      <c r="C247" t="s">
        <v>229</v>
      </c>
      <c r="D247" s="4" t="s">
        <v>581</v>
      </c>
      <c r="E247" t="s">
        <v>52</v>
      </c>
      <c r="F247" s="5">
        <v>2000</v>
      </c>
      <c r="G247" t="s">
        <v>582</v>
      </c>
      <c r="H247">
        <v>5</v>
      </c>
      <c r="I247" t="s">
        <v>53</v>
      </c>
      <c r="L247" s="6"/>
      <c r="M247" s="6"/>
      <c r="N247" s="6"/>
      <c r="O247" s="5"/>
      <c r="P247" s="7" t="str">
        <f t="shared" si="21"/>
        <v/>
      </c>
      <c r="Q247" s="7" t="str">
        <f t="shared" si="22"/>
        <v/>
      </c>
      <c r="R247" s="7" t="str">
        <f t="shared" si="23"/>
        <v/>
      </c>
      <c r="S247" s="7">
        <f>IF($A247="","",IF(AND(LEFT($G247,3)="ДОК",$N247&lt;&gt;""),IFERROR(INDEX(Документация!$E$2:$E$57,MATCH($N247,Документация!$F$2:$F$57,0)),0),N($F247))*(1-MEDIAN(0,N(ДисконтТендер),1)))</f>
        <v>2000</v>
      </c>
      <c r="T247" s="7">
        <f>IF($A247="","",IF(AND(LEFT($G247,3)="ДОК",$N247&lt;&gt;""),0,IF(AND(LEFT($G247,3)&lt;&gt;"ДОК",$N247&lt;&gt;""),IFERROR(INDEX(МАТЕРИАЛЫ!$H$2:$H$9000,MATCH($N247,МАТЕРИАЛЫ!$L$2:$L$9000,0))*IF(INDEX(МАТЕРИАЛЫ!$I$2:$I$9000,MATCH($N247,МАТЕРИАЛЫ!$L$2:$L$9000,0))="USD",КурсUSD,IF(INDEX(МАТЕРИАЛЫ!$I$2:$I$9000,MATCH($N247,МАТЕРИАЛЫ!$L$2:$L$9000,0))="EUR",КурсEUR,IF(INDEX(МАТЕРИАЛЫ!$I$2:$I$9000,MATCH($N247,МАТЕРИАЛЫ!$L$2:$L$9000,0))="CNY",КурсCNY,1)))*(1+N($H247)/100),0),N($O247))*(1-MEDIAN(0,N(ДисконтТендер),1))))</f>
        <v>0</v>
      </c>
      <c r="U247" t="str">
        <f>IF($L247="да",MAX($U$1:$U246)+1,"")</f>
        <v/>
      </c>
      <c r="V247" t="str">
        <f t="shared" si="24"/>
        <v>Р3</v>
      </c>
      <c r="W247" t="str">
        <f t="shared" si="25"/>
        <v/>
      </c>
      <c r="X247" t="str">
        <f t="shared" si="26"/>
        <v/>
      </c>
      <c r="Y247" s="4" t="str">
        <f>IF($A247="","",IF(AND(LEFT($G247,3)="ДОК",$N247&lt;&gt;""),IFERROR(INDEX(Документация!$G$2:$G$57,MATCH($N247,Документация!$F$2:$F$57,0)),$D247),$D247&amp;IF(AND(LEFT($G247,3)&lt;&gt;"ДОК",$N247&lt;&gt;"")," — "&amp;IFERROR(INDEX(МАТЕРИАЛЫ!$C$2:$C$9000,MATCH($N247,МАТЕРИАЛЫ!$L$2:$L$9000,0)),""),"")))</f>
        <v>Оклейка окон, стеклянных поверхностей дверных полотен пленкой класса защиты А3</v>
      </c>
      <c r="Z247" t="str">
        <f t="shared" si="27"/>
        <v>Р3 · Внутренние строительные работы</v>
      </c>
    </row>
    <row r="248" spans="1:26" ht="28.8" x14ac:dyDescent="0.3">
      <c r="A248" t="s">
        <v>583</v>
      </c>
      <c r="B248" t="s">
        <v>394</v>
      </c>
      <c r="C248" t="s">
        <v>229</v>
      </c>
      <c r="D248" s="4" t="s">
        <v>584</v>
      </c>
      <c r="E248" t="s">
        <v>52</v>
      </c>
      <c r="F248" s="5">
        <v>1450</v>
      </c>
      <c r="G248" t="s">
        <v>582</v>
      </c>
      <c r="H248">
        <v>5</v>
      </c>
      <c r="I248" t="s">
        <v>53</v>
      </c>
      <c r="L248" s="6"/>
      <c r="M248" s="6"/>
      <c r="N248" s="6"/>
      <c r="O248" s="5"/>
      <c r="P248" s="7" t="str">
        <f t="shared" si="21"/>
        <v/>
      </c>
      <c r="Q248" s="7" t="str">
        <f t="shared" si="22"/>
        <v/>
      </c>
      <c r="R248" s="7" t="str">
        <f t="shared" si="23"/>
        <v/>
      </c>
      <c r="S248" s="7">
        <f>IF($A248="","",IF(AND(LEFT($G248,3)="ДОК",$N248&lt;&gt;""),IFERROR(INDEX(Документация!$E$2:$E$57,MATCH($N248,Документация!$F$2:$F$57,0)),0),N($F248))*(1-MEDIAN(0,N(ДисконтТендер),1)))</f>
        <v>1450</v>
      </c>
      <c r="T248" s="7">
        <f>IF($A248="","",IF(AND(LEFT($G248,3)="ДОК",$N248&lt;&gt;""),0,IF(AND(LEFT($G248,3)&lt;&gt;"ДОК",$N248&lt;&gt;""),IFERROR(INDEX(МАТЕРИАЛЫ!$H$2:$H$9000,MATCH($N248,МАТЕРИАЛЫ!$L$2:$L$9000,0))*IF(INDEX(МАТЕРИАЛЫ!$I$2:$I$9000,MATCH($N248,МАТЕРИАЛЫ!$L$2:$L$9000,0))="USD",КурсUSD,IF(INDEX(МАТЕРИАЛЫ!$I$2:$I$9000,MATCH($N248,МАТЕРИАЛЫ!$L$2:$L$9000,0))="EUR",КурсEUR,IF(INDEX(МАТЕРИАЛЫ!$I$2:$I$9000,MATCH($N248,МАТЕРИАЛЫ!$L$2:$L$9000,0))="CNY",КурсCNY,1)))*(1+N($H248)/100),0),N($O248))*(1-MEDIAN(0,N(ДисконтТендер),1))))</f>
        <v>0</v>
      </c>
      <c r="U248" t="str">
        <f>IF($L248="да",MAX($U$1:$U247)+1,"")</f>
        <v/>
      </c>
      <c r="V248" t="str">
        <f t="shared" si="24"/>
        <v>Р3</v>
      </c>
      <c r="W248" t="str">
        <f t="shared" si="25"/>
        <v/>
      </c>
      <c r="X248" t="str">
        <f t="shared" si="26"/>
        <v/>
      </c>
      <c r="Y248" s="4" t="str">
        <f>IF($A248="","",IF(AND(LEFT($G248,3)="ДОК",$N248&lt;&gt;""),IFERROR(INDEX(Документация!$G$2:$G$57,MATCH($N248,Документация!$F$2:$F$57,0)),$D248),$D248&amp;IF(AND(LEFT($G248,3)&lt;&gt;"ДОК",$N248&lt;&gt;"")," — "&amp;IFERROR(INDEX(МАТЕРИАЛЫ!$C$2:$C$9000,MATCH($N248,МАТЕРИАЛЫ!$L$2:$L$9000,0)),""),"")))</f>
        <v>Оклейка окон, стеклянных поверхностей дверных полотен пленкой класса защиты А1</v>
      </c>
      <c r="Z248" t="str">
        <f t="shared" si="27"/>
        <v>Р3 · Внутренние строительные работы</v>
      </c>
    </row>
    <row r="249" spans="1:26" ht="28.8" x14ac:dyDescent="0.3">
      <c r="A249" t="s">
        <v>585</v>
      </c>
      <c r="B249" t="s">
        <v>394</v>
      </c>
      <c r="C249" t="s">
        <v>229</v>
      </c>
      <c r="D249" s="4" t="s">
        <v>566</v>
      </c>
      <c r="E249" t="s">
        <v>52</v>
      </c>
      <c r="F249" s="5">
        <v>4384.8</v>
      </c>
      <c r="G249" t="s">
        <v>567</v>
      </c>
      <c r="H249">
        <v>5</v>
      </c>
      <c r="I249" t="s">
        <v>53</v>
      </c>
      <c r="L249" s="6"/>
      <c r="M249" s="6"/>
      <c r="N249" s="6"/>
      <c r="O249" s="5"/>
      <c r="P249" s="7" t="str">
        <f t="shared" si="21"/>
        <v/>
      </c>
      <c r="Q249" s="7" t="str">
        <f t="shared" si="22"/>
        <v/>
      </c>
      <c r="R249" s="7" t="str">
        <f t="shared" si="23"/>
        <v/>
      </c>
      <c r="S249" s="7">
        <f>IF($A249="","",IF(AND(LEFT($G249,3)="ДОК",$N249&lt;&gt;""),IFERROR(INDEX(Документация!$E$2:$E$57,MATCH($N249,Документация!$F$2:$F$57,0)),0),N($F249))*(1-MEDIAN(0,N(ДисконтТендер),1)))</f>
        <v>4384.8</v>
      </c>
      <c r="T249" s="7">
        <f>IF($A249="","",IF(AND(LEFT($G249,3)="ДОК",$N249&lt;&gt;""),0,IF(AND(LEFT($G249,3)&lt;&gt;"ДОК",$N249&lt;&gt;""),IFERROR(INDEX(МАТЕРИАЛЫ!$H$2:$H$9000,MATCH($N249,МАТЕРИАЛЫ!$L$2:$L$9000,0))*IF(INDEX(МАТЕРИАЛЫ!$I$2:$I$9000,MATCH($N249,МАТЕРИАЛЫ!$L$2:$L$9000,0))="USD",КурсUSD,IF(INDEX(МАТЕРИАЛЫ!$I$2:$I$9000,MATCH($N249,МАТЕРИАЛЫ!$L$2:$L$9000,0))="EUR",КурсEUR,IF(INDEX(МАТЕРИАЛЫ!$I$2:$I$9000,MATCH($N249,МАТЕРИАЛЫ!$L$2:$L$9000,0))="CNY",КурсCNY,1)))*(1+N($H249)/100),0),N($O249))*(1-MEDIAN(0,N(ДисконтТендер),1))))</f>
        <v>0</v>
      </c>
      <c r="U249" t="str">
        <f>IF($L249="да",MAX($U$1:$U248)+1,"")</f>
        <v/>
      </c>
      <c r="V249" t="str">
        <f t="shared" si="24"/>
        <v>Р3</v>
      </c>
      <c r="W249" t="str">
        <f t="shared" si="25"/>
        <v/>
      </c>
      <c r="X249" t="str">
        <f t="shared" si="26"/>
        <v/>
      </c>
      <c r="Y249" s="4" t="str">
        <f>IF($A249="","",IF(AND(LEFT($G249,3)="ДОК",$N249&lt;&gt;""),IFERROR(INDEX(Документация!$G$2:$G$57,MATCH($N249,Документация!$F$2:$F$57,0)),$D249),$D249&amp;IF(AND(LEFT($G249,3)&lt;&gt;"ДОК",$N249&lt;&gt;"")," — "&amp;IFERROR(INDEX(МАТЕРИАЛЫ!$C$2:$C$9000,MATCH($N249,МАТЕРИАЛЫ!$L$2:$L$9000,0)),""),"")))</f>
        <v>Монтаж оконного блока / светопрозрачной конструкции</v>
      </c>
      <c r="Z249" t="str">
        <f t="shared" si="27"/>
        <v>Р3 · Внутренние строительные работы</v>
      </c>
    </row>
    <row r="250" spans="1:26" ht="28.8" x14ac:dyDescent="0.3">
      <c r="A250" t="s">
        <v>586</v>
      </c>
      <c r="B250" t="s">
        <v>394</v>
      </c>
      <c r="C250" t="s">
        <v>229</v>
      </c>
      <c r="D250" s="4" t="s">
        <v>587</v>
      </c>
      <c r="E250" t="s">
        <v>114</v>
      </c>
      <c r="F250" s="5">
        <v>3758.4</v>
      </c>
      <c r="H250">
        <v>0</v>
      </c>
      <c r="I250" t="s">
        <v>53</v>
      </c>
      <c r="L250" s="6"/>
      <c r="M250" s="6"/>
      <c r="N250" s="6"/>
      <c r="O250" s="5"/>
      <c r="P250" s="7" t="str">
        <f t="shared" si="21"/>
        <v/>
      </c>
      <c r="Q250" s="7" t="str">
        <f t="shared" si="22"/>
        <v/>
      </c>
      <c r="R250" s="7" t="str">
        <f t="shared" si="23"/>
        <v/>
      </c>
      <c r="S250" s="7">
        <f>IF($A250="","",IF(AND(LEFT($G250,3)="ДОК",$N250&lt;&gt;""),IFERROR(INDEX(Документация!$E$2:$E$57,MATCH($N250,Документация!$F$2:$F$57,0)),0),N($F250))*(1-MEDIAN(0,N(ДисконтТендер),1)))</f>
        <v>3758.4</v>
      </c>
      <c r="T250" s="7">
        <f>IF($A250="","",IF(AND(LEFT($G250,3)="ДОК",$N250&lt;&gt;""),0,IF(AND(LEFT($G250,3)&lt;&gt;"ДОК",$N250&lt;&gt;""),IFERROR(INDEX(МАТЕРИАЛЫ!$H$2:$H$9000,MATCH($N250,МАТЕРИАЛЫ!$L$2:$L$9000,0))*IF(INDEX(МАТЕРИАЛЫ!$I$2:$I$9000,MATCH($N250,МАТЕРИАЛЫ!$L$2:$L$9000,0))="USD",КурсUSD,IF(INDEX(МАТЕРИАЛЫ!$I$2:$I$9000,MATCH($N250,МАТЕРИАЛЫ!$L$2:$L$9000,0))="EUR",КурсEUR,IF(INDEX(МАТЕРИАЛЫ!$I$2:$I$9000,MATCH($N250,МАТЕРИАЛЫ!$L$2:$L$9000,0))="CNY",КурсCNY,1)))*(1+N($H250)/100),0),N($O250))*(1-MEDIAN(0,N(ДисконтТендер),1))))</f>
        <v>0</v>
      </c>
      <c r="U250" t="str">
        <f>IF($L250="да",MAX($U$1:$U249)+1,"")</f>
        <v/>
      </c>
      <c r="V250" t="str">
        <f t="shared" si="24"/>
        <v>Р3</v>
      </c>
      <c r="W250" t="str">
        <f t="shared" si="25"/>
        <v/>
      </c>
      <c r="X250" t="str">
        <f t="shared" si="26"/>
        <v/>
      </c>
      <c r="Y250" s="4" t="str">
        <f>IF($A250="","",IF(AND(LEFT($G250,3)="ДОК",$N250&lt;&gt;""),IFERROR(INDEX(Документация!$G$2:$G$57,MATCH($N250,Документация!$F$2:$F$57,0)),$D250),$D250&amp;IF(AND(LEFT($G250,3)&lt;&gt;"ДОК",$N250&lt;&gt;"")," — "&amp;IFERROR(INDEX(МАТЕРИАЛЫ!$C$2:$C$9000,MATCH($N250,МАТЕРИАЛЫ!$L$2:$L$9000,0)),""),"")))</f>
        <v>Механизм открывания фрамуги естественного проветривания (дистанционный, ручной)</v>
      </c>
      <c r="Z250" t="str">
        <f t="shared" si="27"/>
        <v>Р3 · Внутренние строительные работы</v>
      </c>
    </row>
    <row r="251" spans="1:26" ht="57.6" x14ac:dyDescent="0.3">
      <c r="A251" t="s">
        <v>588</v>
      </c>
      <c r="B251" t="s">
        <v>394</v>
      </c>
      <c r="C251" t="s">
        <v>246</v>
      </c>
      <c r="D251" s="4" t="s">
        <v>589</v>
      </c>
      <c r="E251" t="s">
        <v>52</v>
      </c>
      <c r="F251" s="5">
        <v>609.83000000000004</v>
      </c>
      <c r="G251" t="s">
        <v>590</v>
      </c>
      <c r="H251">
        <v>5</v>
      </c>
      <c r="I251" t="s">
        <v>53</v>
      </c>
      <c r="L251" s="6"/>
      <c r="M251" s="6"/>
      <c r="N251" s="6"/>
      <c r="O251" s="5"/>
      <c r="P251" s="7" t="str">
        <f t="shared" si="21"/>
        <v/>
      </c>
      <c r="Q251" s="7" t="str">
        <f t="shared" si="22"/>
        <v/>
      </c>
      <c r="R251" s="7" t="str">
        <f t="shared" si="23"/>
        <v/>
      </c>
      <c r="S251" s="7">
        <f>IF($A251="","",IF(AND(LEFT($G251,3)="ДОК",$N251&lt;&gt;""),IFERROR(INDEX(Документация!$E$2:$E$57,MATCH($N251,Документация!$F$2:$F$57,0)),0),N($F251))*(1-MEDIAN(0,N(ДисконтТендер),1)))</f>
        <v>609.83000000000004</v>
      </c>
      <c r="T251" s="7">
        <f>IF($A251="","",IF(AND(LEFT($G251,3)="ДОК",$N251&lt;&gt;""),0,IF(AND(LEFT($G251,3)&lt;&gt;"ДОК",$N251&lt;&gt;""),IFERROR(INDEX(МАТЕРИАЛЫ!$H$2:$H$9000,MATCH($N251,МАТЕРИАЛЫ!$L$2:$L$9000,0))*IF(INDEX(МАТЕРИАЛЫ!$I$2:$I$9000,MATCH($N251,МАТЕРИАЛЫ!$L$2:$L$9000,0))="USD",КурсUSD,IF(INDEX(МАТЕРИАЛЫ!$I$2:$I$9000,MATCH($N251,МАТЕРИАЛЫ!$L$2:$L$9000,0))="EUR",КурсEUR,IF(INDEX(МАТЕРИАЛЫ!$I$2:$I$9000,MATCH($N251,МАТЕРИАЛЫ!$L$2:$L$9000,0))="CNY",КурсCNY,1)))*(1+N($H251)/100),0),N($O251))*(1-MEDIAN(0,N(ДисконтТендер),1))))</f>
        <v>0</v>
      </c>
      <c r="U251" t="str">
        <f>IF($L251="да",MAX($U$1:$U250)+1,"")</f>
        <v/>
      </c>
      <c r="V251" t="str">
        <f t="shared" si="24"/>
        <v>Р3</v>
      </c>
      <c r="W251" t="str">
        <f t="shared" si="25"/>
        <v/>
      </c>
      <c r="X251" t="str">
        <f t="shared" si="26"/>
        <v/>
      </c>
      <c r="Y251" s="4" t="str">
        <f>IF($A251="","",IF(AND(LEFT($G251,3)="ДОК",$N251&lt;&gt;""),IFERROR(INDEX(Документация!$G$2:$G$57,MATCH($N251,Документация!$F$2:$F$57,0)),$D251),$D251&amp;IF(AND(LEFT($G251,3)&lt;&gt;"ДОК",$N251&lt;&gt;"")," — "&amp;IFERROR(INDEX(МАТЕРИАЛЫ!$C$2:$C$9000,MATCH($N251,МАТЕРИАЛЫ!$L$2:$L$9000,0)),""),"")))</f>
        <v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v>
      </c>
      <c r="Z251" t="str">
        <f t="shared" si="27"/>
        <v>Р3 · Внутренние строительные работы</v>
      </c>
    </row>
    <row r="252" spans="1:26" ht="57.6" x14ac:dyDescent="0.3">
      <c r="A252" t="s">
        <v>591</v>
      </c>
      <c r="B252" t="s">
        <v>394</v>
      </c>
      <c r="C252" t="s">
        <v>246</v>
      </c>
      <c r="D252" s="4" t="s">
        <v>592</v>
      </c>
      <c r="E252" t="s">
        <v>52</v>
      </c>
      <c r="F252" s="5">
        <v>610.70000000000005</v>
      </c>
      <c r="G252" t="s">
        <v>590</v>
      </c>
      <c r="H252">
        <v>5</v>
      </c>
      <c r="I252" t="s">
        <v>53</v>
      </c>
      <c r="L252" s="6"/>
      <c r="M252" s="6"/>
      <c r="N252" s="6"/>
      <c r="O252" s="5"/>
      <c r="P252" s="7" t="str">
        <f t="shared" si="21"/>
        <v/>
      </c>
      <c r="Q252" s="7" t="str">
        <f t="shared" si="22"/>
        <v/>
      </c>
      <c r="R252" s="7" t="str">
        <f t="shared" si="23"/>
        <v/>
      </c>
      <c r="S252" s="7">
        <f>IF($A252="","",IF(AND(LEFT($G252,3)="ДОК",$N252&lt;&gt;""),IFERROR(INDEX(Документация!$E$2:$E$57,MATCH($N252,Документация!$F$2:$F$57,0)),0),N($F252))*(1-MEDIAN(0,N(ДисконтТендер),1)))</f>
        <v>610.70000000000005</v>
      </c>
      <c r="T252" s="7">
        <f>IF($A252="","",IF(AND(LEFT($G252,3)="ДОК",$N252&lt;&gt;""),0,IF(AND(LEFT($G252,3)&lt;&gt;"ДОК",$N252&lt;&gt;""),IFERROR(INDEX(МАТЕРИАЛЫ!$H$2:$H$9000,MATCH($N252,МАТЕРИАЛЫ!$L$2:$L$9000,0))*IF(INDEX(МАТЕРИАЛЫ!$I$2:$I$9000,MATCH($N252,МАТЕРИАЛЫ!$L$2:$L$9000,0))="USD",КурсUSD,IF(INDEX(МАТЕРИАЛЫ!$I$2:$I$9000,MATCH($N252,МАТЕРИАЛЫ!$L$2:$L$9000,0))="EUR",КурсEUR,IF(INDEX(МАТЕРИАЛЫ!$I$2:$I$9000,MATCH($N252,МАТЕРИАЛЫ!$L$2:$L$9000,0))="CNY",КурсCNY,1)))*(1+N($H252)/100),0),N($O252))*(1-MEDIAN(0,N(ДисконтТендер),1))))</f>
        <v>0</v>
      </c>
      <c r="U252" t="str">
        <f>IF($L252="да",MAX($U$1:$U251)+1,"")</f>
        <v/>
      </c>
      <c r="V252" t="str">
        <f t="shared" si="24"/>
        <v>Р3</v>
      </c>
      <c r="W252" t="str">
        <f t="shared" si="25"/>
        <v/>
      </c>
      <c r="X252" t="str">
        <f t="shared" si="26"/>
        <v/>
      </c>
      <c r="Y252" s="4" t="str">
        <f>IF($A252="","",IF(AND(LEFT($G252,3)="ДОК",$N252&lt;&gt;""),IFERROR(INDEX(Документация!$G$2:$G$57,MATCH($N252,Документация!$F$2:$F$57,0)),$D252),$D252&amp;IF(AND(LEFT($G252,3)&lt;&gt;"ДОК",$N252&lt;&gt;"")," — "&amp;IFERROR(INDEX(МАТЕРИАЛЫ!$C$2:$C$9000,MATCH($N252,МАТЕРИАЛЫ!$L$2:$L$9000,0)),""),"")))</f>
        <v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v>
      </c>
      <c r="Z252" t="str">
        <f t="shared" si="27"/>
        <v>Р3 · Внутренние строительные работы</v>
      </c>
    </row>
    <row r="253" spans="1:26" ht="57.6" x14ac:dyDescent="0.3">
      <c r="A253" t="s">
        <v>593</v>
      </c>
      <c r="B253" t="s">
        <v>394</v>
      </c>
      <c r="C253" t="s">
        <v>246</v>
      </c>
      <c r="D253" s="4" t="s">
        <v>594</v>
      </c>
      <c r="E253" t="s">
        <v>52</v>
      </c>
      <c r="F253" s="5">
        <v>611.57000000000005</v>
      </c>
      <c r="G253" t="s">
        <v>590</v>
      </c>
      <c r="H253">
        <v>5</v>
      </c>
      <c r="I253" t="s">
        <v>53</v>
      </c>
      <c r="L253" s="6"/>
      <c r="M253" s="6"/>
      <c r="N253" s="6"/>
      <c r="O253" s="5"/>
      <c r="P253" s="7" t="str">
        <f t="shared" si="21"/>
        <v/>
      </c>
      <c r="Q253" s="7" t="str">
        <f t="shared" si="22"/>
        <v/>
      </c>
      <c r="R253" s="7" t="str">
        <f t="shared" si="23"/>
        <v/>
      </c>
      <c r="S253" s="7">
        <f>IF($A253="","",IF(AND(LEFT($G253,3)="ДОК",$N253&lt;&gt;""),IFERROR(INDEX(Документация!$E$2:$E$57,MATCH($N253,Документация!$F$2:$F$57,0)),0),N($F253))*(1-MEDIAN(0,N(ДисконтТендер),1)))</f>
        <v>611.57000000000005</v>
      </c>
      <c r="T253" s="7">
        <f>IF($A253="","",IF(AND(LEFT($G253,3)="ДОК",$N253&lt;&gt;""),0,IF(AND(LEFT($G253,3)&lt;&gt;"ДОК",$N253&lt;&gt;""),IFERROR(INDEX(МАТЕРИАЛЫ!$H$2:$H$9000,MATCH($N253,МАТЕРИАЛЫ!$L$2:$L$9000,0))*IF(INDEX(МАТЕРИАЛЫ!$I$2:$I$9000,MATCH($N253,МАТЕРИАЛЫ!$L$2:$L$9000,0))="USD",КурсUSD,IF(INDEX(МАТЕРИАЛЫ!$I$2:$I$9000,MATCH($N253,МАТЕРИАЛЫ!$L$2:$L$9000,0))="EUR",КурсEUR,IF(INDEX(МАТЕРИАЛЫ!$I$2:$I$9000,MATCH($N253,МАТЕРИАЛЫ!$L$2:$L$9000,0))="CNY",КурсCNY,1)))*(1+N($H253)/100),0),N($O253))*(1-MEDIAN(0,N(ДисконтТендер),1))))</f>
        <v>0</v>
      </c>
      <c r="U253" t="str">
        <f>IF($L253="да",MAX($U$1:$U252)+1,"")</f>
        <v/>
      </c>
      <c r="V253" t="str">
        <f t="shared" si="24"/>
        <v>Р3</v>
      </c>
      <c r="W253" t="str">
        <f t="shared" si="25"/>
        <v/>
      </c>
      <c r="X253" t="str">
        <f t="shared" si="26"/>
        <v/>
      </c>
      <c r="Y253" s="4" t="str">
        <f>IF($A253="","",IF(AND(LEFT($G253,3)="ДОК",$N253&lt;&gt;""),IFERROR(INDEX(Документация!$G$2:$G$57,MATCH($N253,Документация!$F$2:$F$57,0)),$D253),$D253&amp;IF(AND(LEFT($G253,3)&lt;&gt;"ДОК",$N253&lt;&gt;"")," — "&amp;IFERROR(INDEX(МАТЕРИАЛЫ!$C$2:$C$9000,MATCH($N253,МАТЕРИАЛЫ!$L$2:$L$9000,0)),""),"")))</f>
        <v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v>
      </c>
      <c r="Z253" t="str">
        <f t="shared" si="27"/>
        <v>Р3 · Внутренние строительные работы</v>
      </c>
    </row>
    <row r="254" spans="1:26" x14ac:dyDescent="0.3">
      <c r="A254" t="s">
        <v>595</v>
      </c>
      <c r="B254" t="s">
        <v>394</v>
      </c>
      <c r="C254" t="s">
        <v>246</v>
      </c>
      <c r="D254" s="4" t="s">
        <v>596</v>
      </c>
      <c r="E254" t="s">
        <v>52</v>
      </c>
      <c r="F254" s="5">
        <v>326.25</v>
      </c>
      <c r="H254">
        <v>0</v>
      </c>
      <c r="I254" t="s">
        <v>53</v>
      </c>
      <c r="L254" s="6"/>
      <c r="M254" s="6"/>
      <c r="N254" s="6"/>
      <c r="O254" s="5"/>
      <c r="P254" s="7" t="str">
        <f t="shared" si="21"/>
        <v/>
      </c>
      <c r="Q254" s="7" t="str">
        <f t="shared" si="22"/>
        <v/>
      </c>
      <c r="R254" s="7" t="str">
        <f t="shared" si="23"/>
        <v/>
      </c>
      <c r="S254" s="7">
        <f>IF($A254="","",IF(AND(LEFT($G254,3)="ДОК",$N254&lt;&gt;""),IFERROR(INDEX(Документация!$E$2:$E$57,MATCH($N254,Документация!$F$2:$F$57,0)),0),N($F254))*(1-MEDIAN(0,N(ДисконтТендер),1)))</f>
        <v>326.25</v>
      </c>
      <c r="T254" s="7">
        <f>IF($A254="","",IF(AND(LEFT($G254,3)="ДОК",$N254&lt;&gt;""),0,IF(AND(LEFT($G254,3)&lt;&gt;"ДОК",$N254&lt;&gt;""),IFERROR(INDEX(МАТЕРИАЛЫ!$H$2:$H$9000,MATCH($N254,МАТЕРИАЛЫ!$L$2:$L$9000,0))*IF(INDEX(МАТЕРИАЛЫ!$I$2:$I$9000,MATCH($N254,МАТЕРИАЛЫ!$L$2:$L$9000,0))="USD",КурсUSD,IF(INDEX(МАТЕРИАЛЫ!$I$2:$I$9000,MATCH($N254,МАТЕРИАЛЫ!$L$2:$L$9000,0))="EUR",КурсEUR,IF(INDEX(МАТЕРИАЛЫ!$I$2:$I$9000,MATCH($N254,МАТЕРИАЛЫ!$L$2:$L$9000,0))="CNY",КурсCNY,1)))*(1+N($H254)/100),0),N($O254))*(1-MEDIAN(0,N(ДисконтТендер),1))))</f>
        <v>0</v>
      </c>
      <c r="U254" t="str">
        <f>IF($L254="да",MAX($U$1:$U253)+1,"")</f>
        <v/>
      </c>
      <c r="V254" t="str">
        <f t="shared" si="24"/>
        <v>Р3</v>
      </c>
      <c r="W254" t="str">
        <f t="shared" si="25"/>
        <v/>
      </c>
      <c r="X254" t="str">
        <f t="shared" si="26"/>
        <v/>
      </c>
      <c r="Y254" s="4" t="str">
        <f>IF($A254="","",IF(AND(LEFT($G254,3)="ДОК",$N254&lt;&gt;""),IFERROR(INDEX(Документация!$G$2:$G$57,MATCH($N254,Документация!$F$2:$F$57,0)),$D254),$D254&amp;IF(AND(LEFT($G254,3)&lt;&gt;"ДОК",$N254&lt;&gt;"")," — "&amp;IFERROR(INDEX(МАТЕРИАЛЫ!$C$2:$C$9000,MATCH($N254,МАТЕРИАЛЫ!$L$2:$L$9000,0)),""),"")))</f>
        <v>Замена потолочных плит OWA «Sinfonia»</v>
      </c>
      <c r="Z254" t="str">
        <f t="shared" si="27"/>
        <v>Р3 · Внутренние строительные работы</v>
      </c>
    </row>
    <row r="255" spans="1:26" ht="43.2" x14ac:dyDescent="0.3">
      <c r="A255" t="s">
        <v>597</v>
      </c>
      <c r="B255" t="s">
        <v>394</v>
      </c>
      <c r="C255" t="s">
        <v>246</v>
      </c>
      <c r="D255" s="4" t="s">
        <v>598</v>
      </c>
      <c r="E255" t="s">
        <v>52</v>
      </c>
      <c r="F255" s="5">
        <v>1934.01</v>
      </c>
      <c r="G255" t="s">
        <v>590</v>
      </c>
      <c r="H255">
        <v>5</v>
      </c>
      <c r="I255" t="s">
        <v>53</v>
      </c>
      <c r="L255" s="6"/>
      <c r="M255" s="6"/>
      <c r="N255" s="6"/>
      <c r="O255" s="5"/>
      <c r="P255" s="7" t="str">
        <f t="shared" si="21"/>
        <v/>
      </c>
      <c r="Q255" s="7" t="str">
        <f t="shared" si="22"/>
        <v/>
      </c>
      <c r="R255" s="7" t="str">
        <f t="shared" si="23"/>
        <v/>
      </c>
      <c r="S255" s="7">
        <f>IF($A255="","",IF(AND(LEFT($G255,3)="ДОК",$N255&lt;&gt;""),IFERROR(INDEX(Документация!$E$2:$E$57,MATCH($N255,Документация!$F$2:$F$57,0)),0),N($F255))*(1-MEDIAN(0,N(ДисконтТендер),1)))</f>
        <v>1934.01</v>
      </c>
      <c r="T255" s="7">
        <f>IF($A255="","",IF(AND(LEFT($G255,3)="ДОК",$N255&lt;&gt;""),0,IF(AND(LEFT($G255,3)&lt;&gt;"ДОК",$N255&lt;&gt;""),IFERROR(INDEX(МАТЕРИАЛЫ!$H$2:$H$9000,MATCH($N255,МАТЕРИАЛЫ!$L$2:$L$9000,0))*IF(INDEX(МАТЕРИАЛЫ!$I$2:$I$9000,MATCH($N255,МАТЕРИАЛЫ!$L$2:$L$9000,0))="USD",КурсUSD,IF(INDEX(МАТЕРИАЛЫ!$I$2:$I$9000,MATCH($N255,МАТЕРИАЛЫ!$L$2:$L$9000,0))="EUR",КурсEUR,IF(INDEX(МАТЕРИАЛЫ!$I$2:$I$9000,MATCH($N255,МАТЕРИАЛЫ!$L$2:$L$9000,0))="CNY",КурсCNY,1)))*(1+N($H255)/100),0),N($O255))*(1-MEDIAN(0,N(ДисконтТендер),1))))</f>
        <v>0</v>
      </c>
      <c r="U255" t="str">
        <f>IF($L255="да",MAX($U$1:$U254)+1,"")</f>
        <v/>
      </c>
      <c r="V255" t="str">
        <f t="shared" si="24"/>
        <v>Р3</v>
      </c>
      <c r="W255" t="str">
        <f t="shared" si="25"/>
        <v/>
      </c>
      <c r="X255" t="str">
        <f t="shared" si="26"/>
        <v/>
      </c>
      <c r="Y255" s="4" t="str">
        <f>IF($A255="","",IF(AND(LEFT($G255,3)="ДОК",$N255&lt;&gt;""),IFERROR(INDEX(Документация!$G$2:$G$57,MATCH($N255,Документация!$F$2:$F$57,0)),$D255),$D255&amp;IF(AND(LEFT($G255,3)&lt;&gt;"ДОК",$N255&lt;&gt;"")," — "&amp;IFERROR(INDEX(МАТЕРИАЛЫ!$C$2:$C$9000,MATCH($N255,МАТЕРИАЛЫ!$L$2:$L$9000,0)),""),"")))</f>
        <v>Устройство подвесных потолков: одноуровневых из ГКЛ по металлическому каркасу, крепление подвесов металлическим крепежным элементом.</v>
      </c>
      <c r="Z255" t="str">
        <f t="shared" si="27"/>
        <v>Р3 · Внутренние строительные работы</v>
      </c>
    </row>
    <row r="256" spans="1:26" x14ac:dyDescent="0.3">
      <c r="A256" t="s">
        <v>599</v>
      </c>
      <c r="B256" t="s">
        <v>394</v>
      </c>
      <c r="C256" t="s">
        <v>246</v>
      </c>
      <c r="D256" s="4" t="s">
        <v>600</v>
      </c>
      <c r="E256" t="s">
        <v>52</v>
      </c>
      <c r="F256" s="5">
        <v>2035.8</v>
      </c>
      <c r="G256" t="s">
        <v>590</v>
      </c>
      <c r="H256">
        <v>5</v>
      </c>
      <c r="I256" t="s">
        <v>53</v>
      </c>
      <c r="L256" s="6"/>
      <c r="M256" s="6"/>
      <c r="N256" s="6"/>
      <c r="O256" s="5"/>
      <c r="P256" s="7" t="str">
        <f t="shared" si="21"/>
        <v/>
      </c>
      <c r="Q256" s="7" t="str">
        <f t="shared" si="22"/>
        <v/>
      </c>
      <c r="R256" s="7" t="str">
        <f t="shared" si="23"/>
        <v/>
      </c>
      <c r="S256" s="7">
        <f>IF($A256="","",IF(AND(LEFT($G256,3)="ДОК",$N256&lt;&gt;""),IFERROR(INDEX(Документация!$E$2:$E$57,MATCH($N256,Документация!$F$2:$F$57,0)),0),N($F256))*(1-MEDIAN(0,N(ДисконтТендер),1)))</f>
        <v>2035.8</v>
      </c>
      <c r="T256" s="7">
        <f>IF($A256="","",IF(AND(LEFT($G256,3)="ДОК",$N256&lt;&gt;""),0,IF(AND(LEFT($G256,3)&lt;&gt;"ДОК",$N256&lt;&gt;""),IFERROR(INDEX(МАТЕРИАЛЫ!$H$2:$H$9000,MATCH($N256,МАТЕРИАЛЫ!$L$2:$L$9000,0))*IF(INDEX(МАТЕРИАЛЫ!$I$2:$I$9000,MATCH($N256,МАТЕРИАЛЫ!$L$2:$L$9000,0))="USD",КурсUSD,IF(INDEX(МАТЕРИАЛЫ!$I$2:$I$9000,MATCH($N256,МАТЕРИАЛЫ!$L$2:$L$9000,0))="EUR",КурсEUR,IF(INDEX(МАТЕРИАЛЫ!$I$2:$I$9000,MATCH($N256,МАТЕРИАЛЫ!$L$2:$L$9000,0))="CNY",КурсCNY,1)))*(1+N($H256)/100),0),N($O256))*(1-MEDIAN(0,N(ДисконтТендер),1))))</f>
        <v>0</v>
      </c>
      <c r="U256" t="str">
        <f>IF($L256="да",MAX($U$1:$U255)+1,"")</f>
        <v/>
      </c>
      <c r="V256" t="str">
        <f t="shared" si="24"/>
        <v>Р3</v>
      </c>
      <c r="W256" t="str">
        <f t="shared" si="25"/>
        <v/>
      </c>
      <c r="X256" t="str">
        <f t="shared" si="26"/>
        <v/>
      </c>
      <c r="Y256" s="4" t="str">
        <f>IF($A256="","",IF(AND(LEFT($G256,3)="ДОК",$N256&lt;&gt;""),IFERROR(INDEX(Документация!$G$2:$G$57,MATCH($N256,Документация!$F$2:$F$57,0)),$D256),$D256&amp;IF(AND(LEFT($G256,3)&lt;&gt;"ДОК",$N256&lt;&gt;"")," — "&amp;IFERROR(INDEX(МАТЕРИАЛЫ!$C$2:$C$9000,MATCH($N256,МАТЕРИАЛЫ!$L$2:$L$9000,0)),""),"")))</f>
        <v>Устройство подвесного потолка</v>
      </c>
      <c r="Z256" t="str">
        <f t="shared" si="27"/>
        <v>Р3 · Внутренние строительные работы</v>
      </c>
    </row>
    <row r="257" spans="1:26" x14ac:dyDescent="0.3">
      <c r="A257" t="s">
        <v>601</v>
      </c>
      <c r="B257" t="s">
        <v>394</v>
      </c>
      <c r="C257" t="s">
        <v>246</v>
      </c>
      <c r="D257" s="4" t="s">
        <v>600</v>
      </c>
      <c r="E257" t="s">
        <v>52</v>
      </c>
      <c r="F257" s="5">
        <v>660</v>
      </c>
      <c r="G257" t="s">
        <v>590</v>
      </c>
      <c r="H257">
        <v>5</v>
      </c>
      <c r="I257" t="s">
        <v>53</v>
      </c>
      <c r="L257" s="6"/>
      <c r="M257" s="6"/>
      <c r="N257" s="6"/>
      <c r="O257" s="5"/>
      <c r="P257" s="7" t="str">
        <f t="shared" si="21"/>
        <v/>
      </c>
      <c r="Q257" s="7" t="str">
        <f t="shared" si="22"/>
        <v/>
      </c>
      <c r="R257" s="7" t="str">
        <f t="shared" si="23"/>
        <v/>
      </c>
      <c r="S257" s="7">
        <f>IF($A257="","",IF(AND(LEFT($G257,3)="ДОК",$N257&lt;&gt;""),IFERROR(INDEX(Документация!$E$2:$E$57,MATCH($N257,Документация!$F$2:$F$57,0)),0),N($F257))*(1-MEDIAN(0,N(ДисконтТендер),1)))</f>
        <v>660</v>
      </c>
      <c r="T257" s="7">
        <f>IF($A257="","",IF(AND(LEFT($G257,3)="ДОК",$N257&lt;&gt;""),0,IF(AND(LEFT($G257,3)&lt;&gt;"ДОК",$N257&lt;&gt;""),IFERROR(INDEX(МАТЕРИАЛЫ!$H$2:$H$9000,MATCH($N257,МАТЕРИАЛЫ!$L$2:$L$9000,0))*IF(INDEX(МАТЕРИАЛЫ!$I$2:$I$9000,MATCH($N257,МАТЕРИАЛЫ!$L$2:$L$9000,0))="USD",КурсUSD,IF(INDEX(МАТЕРИАЛЫ!$I$2:$I$9000,MATCH($N257,МАТЕРИАЛЫ!$L$2:$L$9000,0))="EUR",КурсEUR,IF(INDEX(МАТЕРИАЛЫ!$I$2:$I$9000,MATCH($N257,МАТЕРИАЛЫ!$L$2:$L$9000,0))="CNY",КурсCNY,1)))*(1+N($H257)/100),0),N($O257))*(1-MEDIAN(0,N(ДисконтТендер),1))))</f>
        <v>0</v>
      </c>
      <c r="U257" t="str">
        <f>IF($L257="да",MAX($U$1:$U256)+1,"")</f>
        <v/>
      </c>
      <c r="V257" t="str">
        <f t="shared" si="24"/>
        <v>Р3</v>
      </c>
      <c r="W257" t="str">
        <f t="shared" si="25"/>
        <v/>
      </c>
      <c r="X257" t="str">
        <f t="shared" si="26"/>
        <v/>
      </c>
      <c r="Y257" s="4" t="str">
        <f>IF($A257="","",IF(AND(LEFT($G257,3)="ДОК",$N257&lt;&gt;""),IFERROR(INDEX(Документация!$G$2:$G$57,MATCH($N257,Документация!$F$2:$F$57,0)),$D257),$D257&amp;IF(AND(LEFT($G257,3)&lt;&gt;"ДОК",$N257&lt;&gt;"")," — "&amp;IFERROR(INDEX(МАТЕРИАЛЫ!$C$2:$C$9000,MATCH($N257,МАТЕРИАЛЫ!$L$2:$L$9000,0)),""),"")))</f>
        <v>Устройство подвесного потолка</v>
      </c>
      <c r="Z257" t="str">
        <f t="shared" si="27"/>
        <v>Р3 · Внутренние строительные работы</v>
      </c>
    </row>
    <row r="258" spans="1:26" x14ac:dyDescent="0.3">
      <c r="A258" t="s">
        <v>602</v>
      </c>
      <c r="B258" t="s">
        <v>394</v>
      </c>
      <c r="C258" t="s">
        <v>246</v>
      </c>
      <c r="D258" s="4" t="s">
        <v>603</v>
      </c>
      <c r="E258" t="s">
        <v>52</v>
      </c>
      <c r="F258" s="5">
        <v>890.14</v>
      </c>
      <c r="G258" t="s">
        <v>590</v>
      </c>
      <c r="H258">
        <v>5</v>
      </c>
      <c r="I258" t="s">
        <v>53</v>
      </c>
      <c r="L258" s="6"/>
      <c r="M258" s="6"/>
      <c r="N258" s="6"/>
      <c r="O258" s="5"/>
      <c r="P258" s="7" t="str">
        <f t="shared" ref="P258:P321" si="28">IF($L258="да",ROUND(N($M258)*$S258,2),"")</f>
        <v/>
      </c>
      <c r="Q258" s="7" t="str">
        <f t="shared" ref="Q258:Q321" si="29">IF($L258="да",ROUND(N($M258)*$T258,2),"")</f>
        <v/>
      </c>
      <c r="R258" s="7" t="str">
        <f t="shared" ref="R258:R321" si="30">IF($L258="да",N($P258)+N($Q258),"")</f>
        <v/>
      </c>
      <c r="S258" s="7">
        <f>IF($A258="","",IF(AND(LEFT($G258,3)="ДОК",$N258&lt;&gt;""),IFERROR(INDEX(Документация!$E$2:$E$57,MATCH($N258,Документация!$F$2:$F$57,0)),0),N($F258))*(1-MEDIAN(0,N(ДисконтТендер),1)))</f>
        <v>890.14</v>
      </c>
      <c r="T258" s="7">
        <f>IF($A258="","",IF(AND(LEFT($G258,3)="ДОК",$N258&lt;&gt;""),0,IF(AND(LEFT($G258,3)&lt;&gt;"ДОК",$N258&lt;&gt;""),IFERROR(INDEX(МАТЕРИАЛЫ!$H$2:$H$9000,MATCH($N258,МАТЕРИАЛЫ!$L$2:$L$9000,0))*IF(INDEX(МАТЕРИАЛЫ!$I$2:$I$9000,MATCH($N258,МАТЕРИАЛЫ!$L$2:$L$9000,0))="USD",КурсUSD,IF(INDEX(МАТЕРИАЛЫ!$I$2:$I$9000,MATCH($N258,МАТЕРИАЛЫ!$L$2:$L$9000,0))="EUR",КурсEUR,IF(INDEX(МАТЕРИАЛЫ!$I$2:$I$9000,MATCH($N258,МАТЕРИАЛЫ!$L$2:$L$9000,0))="CNY",КурсCNY,1)))*(1+N($H258)/100),0),N($O258))*(1-MEDIAN(0,N(ДисконтТендер),1))))</f>
        <v>0</v>
      </c>
      <c r="U258" t="str">
        <f>IF($L258="да",MAX($U$1:$U257)+1,"")</f>
        <v/>
      </c>
      <c r="V258" t="str">
        <f t="shared" ref="V258:V321" si="31">IF($A258="","",$B258)</f>
        <v>Р3</v>
      </c>
      <c r="W258" t="str">
        <f t="shared" ref="W258:W321" si="32">IF($U258="","",IF($U258=1,1,IF($V258&lt;&gt;IFERROR(INDEX($V$2:$V$1058,MATCH($U258-1,$U$2:$U$1058,0)),"~"),1,0)))</f>
        <v/>
      </c>
      <c r="X258" t="str">
        <f t="shared" ref="X258:X321" si="33">IF($U258="","",$U258+SUMIFS($W$2:$W$1058,$U$2:$U$1058,"&lt;="&amp;$U258))</f>
        <v/>
      </c>
      <c r="Y258" s="4" t="str">
        <f>IF($A258="","",IF(AND(LEFT($G258,3)="ДОК",$N258&lt;&gt;""),IFERROR(INDEX(Документация!$G$2:$G$57,MATCH($N258,Документация!$F$2:$F$57,0)),$D258),$D258&amp;IF(AND(LEFT($G258,3)&lt;&gt;"ДОК",$N258&lt;&gt;"")," — "&amp;IFERROR(INDEX(МАТЕРИАЛЫ!$C$2:$C$9000,MATCH($N258,МАТЕРИАЛЫ!$L$2:$L$9000,0)),""),"")))</f>
        <v>Реечный потолок, кубообразная рейка 30х70мм</v>
      </c>
      <c r="Z258" t="str">
        <f t="shared" ref="Z258:Z321" si="34">IF($B258="","",$B258&amp;" · "&amp;IFERROR(VLOOKUP($B258,спрРазделы,2,0),""))</f>
        <v>Р3 · Внутренние строительные работы</v>
      </c>
    </row>
    <row r="259" spans="1:26" x14ac:dyDescent="0.3">
      <c r="A259" t="s">
        <v>604</v>
      </c>
      <c r="B259" t="s">
        <v>394</v>
      </c>
      <c r="C259" t="s">
        <v>246</v>
      </c>
      <c r="D259" s="4" t="s">
        <v>605</v>
      </c>
      <c r="E259" t="s">
        <v>52</v>
      </c>
      <c r="F259" s="5">
        <v>2239.38</v>
      </c>
      <c r="H259">
        <v>0</v>
      </c>
      <c r="I259" t="s">
        <v>53</v>
      </c>
      <c r="L259" s="6"/>
      <c r="M259" s="6"/>
      <c r="N259" s="6"/>
      <c r="O259" s="5"/>
      <c r="P259" s="7" t="str">
        <f t="shared" si="28"/>
        <v/>
      </c>
      <c r="Q259" s="7" t="str">
        <f t="shared" si="29"/>
        <v/>
      </c>
      <c r="R259" s="7" t="str">
        <f t="shared" si="30"/>
        <v/>
      </c>
      <c r="S259" s="7">
        <f>IF($A259="","",IF(AND(LEFT($G259,3)="ДОК",$N259&lt;&gt;""),IFERROR(INDEX(Документация!$E$2:$E$57,MATCH($N259,Документация!$F$2:$F$57,0)),0),N($F259))*(1-MEDIAN(0,N(ДисконтТендер),1)))</f>
        <v>2239.38</v>
      </c>
      <c r="T259" s="7">
        <f>IF($A259="","",IF(AND(LEFT($G259,3)="ДОК",$N259&lt;&gt;""),0,IF(AND(LEFT($G259,3)&lt;&gt;"ДОК",$N259&lt;&gt;""),IFERROR(INDEX(МАТЕРИАЛЫ!$H$2:$H$9000,MATCH($N259,МАТЕРИАЛЫ!$L$2:$L$9000,0))*IF(INDEX(МАТЕРИАЛЫ!$I$2:$I$9000,MATCH($N259,МАТЕРИАЛЫ!$L$2:$L$9000,0))="USD",КурсUSD,IF(INDEX(МАТЕРИАЛЫ!$I$2:$I$9000,MATCH($N259,МАТЕРИАЛЫ!$L$2:$L$9000,0))="EUR",КурсEUR,IF(INDEX(МАТЕРИАЛЫ!$I$2:$I$9000,MATCH($N259,МАТЕРИАЛЫ!$L$2:$L$9000,0))="CNY",КурсCNY,1)))*(1+N($H259)/100),0),N($O259))*(1-MEDIAN(0,N(ДисконтТендер),1))))</f>
        <v>0</v>
      </c>
      <c r="U259" t="str">
        <f>IF($L259="да",MAX($U$1:$U258)+1,"")</f>
        <v/>
      </c>
      <c r="V259" t="str">
        <f t="shared" si="31"/>
        <v>Р3</v>
      </c>
      <c r="W259" t="str">
        <f t="shared" si="32"/>
        <v/>
      </c>
      <c r="X259" t="str">
        <f t="shared" si="33"/>
        <v/>
      </c>
      <c r="Y259" s="4" t="str">
        <f>IF($A259="","",IF(AND(LEFT($G259,3)="ДОК",$N259&lt;&gt;""),IFERROR(INDEX(Документация!$G$2:$G$57,MATCH($N259,Документация!$F$2:$F$57,0)),$D259),$D259&amp;IF(AND(LEFT($G259,3)&lt;&gt;"ДОК",$N259&lt;&gt;"")," — "&amp;IFERROR(INDEX(МАТЕРИАЛЫ!$C$2:$C$9000,MATCH($N259,МАТЕРИАЛЫ!$L$2:$L$9000,0)),""),"")))</f>
        <v>Маркерное белое стекло цвет: RAL 9010</v>
      </c>
      <c r="Z259" t="str">
        <f t="shared" si="34"/>
        <v>Р3 · Внутренние строительные работы</v>
      </c>
    </row>
    <row r="260" spans="1:26" x14ac:dyDescent="0.3">
      <c r="A260" t="s">
        <v>606</v>
      </c>
      <c r="B260" t="s">
        <v>394</v>
      </c>
      <c r="C260" t="s">
        <v>246</v>
      </c>
      <c r="D260" s="4" t="s">
        <v>607</v>
      </c>
      <c r="E260" t="s">
        <v>52</v>
      </c>
      <c r="F260" s="5">
        <v>622.01</v>
      </c>
      <c r="G260" t="s">
        <v>590</v>
      </c>
      <c r="H260">
        <v>5</v>
      </c>
      <c r="I260" t="s">
        <v>53</v>
      </c>
      <c r="L260" s="6"/>
      <c r="M260" s="6"/>
      <c r="N260" s="6"/>
      <c r="O260" s="5"/>
      <c r="P260" s="7" t="str">
        <f t="shared" si="28"/>
        <v/>
      </c>
      <c r="Q260" s="7" t="str">
        <f t="shared" si="29"/>
        <v/>
      </c>
      <c r="R260" s="7" t="str">
        <f t="shared" si="30"/>
        <v/>
      </c>
      <c r="S260" s="7">
        <f>IF($A260="","",IF(AND(LEFT($G260,3)="ДОК",$N260&lt;&gt;""),IFERROR(INDEX(Документация!$E$2:$E$57,MATCH($N260,Документация!$F$2:$F$57,0)),0),N($F260))*(1-MEDIAN(0,N(ДисконтТендер),1)))</f>
        <v>622.01</v>
      </c>
      <c r="T260" s="7">
        <f>IF($A260="","",IF(AND(LEFT($G260,3)="ДОК",$N260&lt;&gt;""),0,IF(AND(LEFT($G260,3)&lt;&gt;"ДОК",$N260&lt;&gt;""),IFERROR(INDEX(МАТЕРИАЛЫ!$H$2:$H$9000,MATCH($N260,МАТЕРИАЛЫ!$L$2:$L$9000,0))*IF(INDEX(МАТЕРИАЛЫ!$I$2:$I$9000,MATCH($N260,МАТЕРИАЛЫ!$L$2:$L$9000,0))="USD",КурсUSD,IF(INDEX(МАТЕРИАЛЫ!$I$2:$I$9000,MATCH($N260,МАТЕРИАЛЫ!$L$2:$L$9000,0))="EUR",КурсEUR,IF(INDEX(МАТЕРИАЛЫ!$I$2:$I$9000,MATCH($N260,МАТЕРИАЛЫ!$L$2:$L$9000,0))="CNY",КурсCNY,1)))*(1+N($H260)/100),0),N($O260))*(1-MEDIAN(0,N(ДисконтТендер),1))))</f>
        <v>0</v>
      </c>
      <c r="U260" t="str">
        <f>IF($L260="да",MAX($U$1:$U259)+1,"")</f>
        <v/>
      </c>
      <c r="V260" t="str">
        <f t="shared" si="31"/>
        <v>Р3</v>
      </c>
      <c r="W260" t="str">
        <f t="shared" si="32"/>
        <v/>
      </c>
      <c r="X260" t="str">
        <f t="shared" si="33"/>
        <v/>
      </c>
      <c r="Y260" s="4" t="str">
        <f>IF($A260="","",IF(AND(LEFT($G260,3)="ДОК",$N260&lt;&gt;""),IFERROR(INDEX(Документация!$G$2:$G$57,MATCH($N260,Документация!$F$2:$F$57,0)),$D260),$D260&amp;IF(AND(LEFT($G260,3)&lt;&gt;"ДОК",$N260&lt;&gt;"")," — "&amp;IFERROR(INDEX(МАТЕРИАЛЫ!$C$2:$C$9000,MATCH($N260,МАТЕРИАЛЫ!$L$2:$L$9000,0)),""),"")))</f>
        <v>Облицовка деревяных потолков ГКЛО</v>
      </c>
      <c r="Z260" t="str">
        <f t="shared" si="34"/>
        <v>Р3 · Внутренние строительные работы</v>
      </c>
    </row>
    <row r="261" spans="1:26" ht="28.8" x14ac:dyDescent="0.3">
      <c r="A261" t="s">
        <v>608</v>
      </c>
      <c r="B261" t="s">
        <v>394</v>
      </c>
      <c r="C261" t="s">
        <v>246</v>
      </c>
      <c r="D261" s="4" t="s">
        <v>609</v>
      </c>
      <c r="E261" t="s">
        <v>52</v>
      </c>
      <c r="F261" s="5">
        <v>1196.25</v>
      </c>
      <c r="H261">
        <v>0</v>
      </c>
      <c r="I261" t="s">
        <v>53</v>
      </c>
      <c r="L261" s="6"/>
      <c r="M261" s="6"/>
      <c r="N261" s="6"/>
      <c r="O261" s="5"/>
      <c r="P261" s="7" t="str">
        <f t="shared" si="28"/>
        <v/>
      </c>
      <c r="Q261" s="7" t="str">
        <f t="shared" si="29"/>
        <v/>
      </c>
      <c r="R261" s="7" t="str">
        <f t="shared" si="30"/>
        <v/>
      </c>
      <c r="S261" s="7">
        <f>IF($A261="","",IF(AND(LEFT($G261,3)="ДОК",$N261&lt;&gt;""),IFERROR(INDEX(Документация!$E$2:$E$57,MATCH($N261,Документация!$F$2:$F$57,0)),0),N($F261))*(1-MEDIAN(0,N(ДисконтТендер),1)))</f>
        <v>1196.25</v>
      </c>
      <c r="T261" s="7">
        <f>IF($A261="","",IF(AND(LEFT($G261,3)="ДОК",$N261&lt;&gt;""),0,IF(AND(LEFT($G261,3)&lt;&gt;"ДОК",$N261&lt;&gt;""),IFERROR(INDEX(МАТЕРИАЛЫ!$H$2:$H$9000,MATCH($N261,МАТЕРИАЛЫ!$L$2:$L$9000,0))*IF(INDEX(МАТЕРИАЛЫ!$I$2:$I$9000,MATCH($N261,МАТЕРИАЛЫ!$L$2:$L$9000,0))="USD",КурсUSD,IF(INDEX(МАТЕРИАЛЫ!$I$2:$I$9000,MATCH($N261,МАТЕРИАЛЫ!$L$2:$L$9000,0))="EUR",КурсEUR,IF(INDEX(МАТЕРИАЛЫ!$I$2:$I$9000,MATCH($N261,МАТЕРИАЛЫ!$L$2:$L$9000,0))="CNY",КурсCNY,1)))*(1+N($H261)/100),0),N($O261))*(1-MEDIAN(0,N(ДисконтТендер),1))))</f>
        <v>0</v>
      </c>
      <c r="U261" t="str">
        <f>IF($L261="да",MAX($U$1:$U260)+1,"")</f>
        <v/>
      </c>
      <c r="V261" t="str">
        <f t="shared" si="31"/>
        <v>Р3</v>
      </c>
      <c r="W261" t="str">
        <f t="shared" si="32"/>
        <v/>
      </c>
      <c r="X261" t="str">
        <f t="shared" si="33"/>
        <v/>
      </c>
      <c r="Y261" s="4" t="str">
        <f>IF($A261="","",IF(AND(LEFT($G261,3)="ДОК",$N261&lt;&gt;""),IFERROR(INDEX(Документация!$G$2:$G$57,MATCH($N261,Документация!$F$2:$F$57,0)),$D261),$D261&amp;IF(AND(LEFT($G261,3)&lt;&gt;"ДОК",$N261&lt;&gt;"")," — "&amp;IFERROR(INDEX(МАТЕРИАЛЫ!$C$2:$C$9000,MATCH($N261,МАТЕРИАЛЫ!$L$2:$L$9000,0)),""),"")))</f>
        <v>Штукатурка потолка цемено-песчаным раствором толщ. до 20 мм.</v>
      </c>
      <c r="Z261" t="str">
        <f t="shared" si="34"/>
        <v>Р3 · Внутренние строительные работы</v>
      </c>
    </row>
    <row r="262" spans="1:26" ht="28.8" x14ac:dyDescent="0.3">
      <c r="A262" t="s">
        <v>610</v>
      </c>
      <c r="B262" t="s">
        <v>394</v>
      </c>
      <c r="C262" t="s">
        <v>246</v>
      </c>
      <c r="D262" s="4" t="s">
        <v>611</v>
      </c>
      <c r="E262" t="s">
        <v>52</v>
      </c>
      <c r="F262" s="5">
        <v>134.85</v>
      </c>
      <c r="G262" t="s">
        <v>421</v>
      </c>
      <c r="H262">
        <v>5</v>
      </c>
      <c r="I262" t="s">
        <v>53</v>
      </c>
      <c r="L262" s="6"/>
      <c r="M262" s="6"/>
      <c r="N262" s="6"/>
      <c r="O262" s="5"/>
      <c r="P262" s="7" t="str">
        <f t="shared" si="28"/>
        <v/>
      </c>
      <c r="Q262" s="7" t="str">
        <f t="shared" si="29"/>
        <v/>
      </c>
      <c r="R262" s="7" t="str">
        <f t="shared" si="30"/>
        <v/>
      </c>
      <c r="S262" s="7">
        <f>IF($A262="","",IF(AND(LEFT($G262,3)="ДОК",$N262&lt;&gt;""),IFERROR(INDEX(Документация!$E$2:$E$57,MATCH($N262,Документация!$F$2:$F$57,0)),0),N($F262))*(1-MEDIAN(0,N(ДисконтТендер),1)))</f>
        <v>134.85</v>
      </c>
      <c r="T262" s="7">
        <f>IF($A262="","",IF(AND(LEFT($G262,3)="ДОК",$N262&lt;&gt;""),0,IF(AND(LEFT($G262,3)&lt;&gt;"ДОК",$N262&lt;&gt;""),IFERROR(INDEX(МАТЕРИАЛЫ!$H$2:$H$9000,MATCH($N262,МАТЕРИАЛЫ!$L$2:$L$9000,0))*IF(INDEX(МАТЕРИАЛЫ!$I$2:$I$9000,MATCH($N262,МАТЕРИАЛЫ!$L$2:$L$9000,0))="USD",КурсUSD,IF(INDEX(МАТЕРИАЛЫ!$I$2:$I$9000,MATCH($N262,МАТЕРИАЛЫ!$L$2:$L$9000,0))="EUR",КурсEUR,IF(INDEX(МАТЕРИАЛЫ!$I$2:$I$9000,MATCH($N262,МАТЕРИАЛЫ!$L$2:$L$9000,0))="CNY",КурсCNY,1)))*(1+N($H262)/100),0),N($O262))*(1-MEDIAN(0,N(ДисконтТендер),1))))</f>
        <v>0</v>
      </c>
      <c r="U262" t="str">
        <f>IF($L262="да",MAX($U$1:$U261)+1,"")</f>
        <v/>
      </c>
      <c r="V262" t="str">
        <f t="shared" si="31"/>
        <v>Р3</v>
      </c>
      <c r="W262" t="str">
        <f t="shared" si="32"/>
        <v/>
      </c>
      <c r="X262" t="str">
        <f t="shared" si="33"/>
        <v/>
      </c>
      <c r="Y262" s="4" t="str">
        <f>IF($A262="","",IF(AND(LEFT($G262,3)="ДОК",$N262&lt;&gt;""),IFERROR(INDEX(Документация!$G$2:$G$57,MATCH($N262,Документация!$F$2:$F$57,0)),$D262),$D262&amp;IF(AND(LEFT($G262,3)&lt;&gt;"ДОК",$N262&lt;&gt;"")," — "&amp;IFERROR(INDEX(МАТЕРИАЛЫ!$C$2:$C$9000,MATCH($N262,МАТЕРИАЛЫ!$L$2:$L$9000,0)),""),"")))</f>
        <v>Устройство тепло- и звукоизоляции перекрытия минеральной ватой с устройством пароизоляции</v>
      </c>
      <c r="Z262" t="str">
        <f t="shared" si="34"/>
        <v>Р3 · Внутренние строительные работы</v>
      </c>
    </row>
    <row r="263" spans="1:26" x14ac:dyDescent="0.3">
      <c r="A263" t="s">
        <v>612</v>
      </c>
      <c r="B263" t="s">
        <v>394</v>
      </c>
      <c r="C263" t="s">
        <v>246</v>
      </c>
      <c r="D263" s="4" t="s">
        <v>613</v>
      </c>
      <c r="E263" t="s">
        <v>52</v>
      </c>
      <c r="F263" s="5">
        <v>625.49</v>
      </c>
      <c r="H263">
        <v>0</v>
      </c>
      <c r="I263" t="s">
        <v>53</v>
      </c>
      <c r="L263" s="6"/>
      <c r="M263" s="6"/>
      <c r="N263" s="6"/>
      <c r="O263" s="5"/>
      <c r="P263" s="7" t="str">
        <f t="shared" si="28"/>
        <v/>
      </c>
      <c r="Q263" s="7" t="str">
        <f t="shared" si="29"/>
        <v/>
      </c>
      <c r="R263" s="7" t="str">
        <f t="shared" si="30"/>
        <v/>
      </c>
      <c r="S263" s="7">
        <f>IF($A263="","",IF(AND(LEFT($G263,3)="ДОК",$N263&lt;&gt;""),IFERROR(INDEX(Документация!$E$2:$E$57,MATCH($N263,Документация!$F$2:$F$57,0)),0),N($F263))*(1-MEDIAN(0,N(ДисконтТендер),1)))</f>
        <v>625.49</v>
      </c>
      <c r="T263" s="7">
        <f>IF($A263="","",IF(AND(LEFT($G263,3)="ДОК",$N263&lt;&gt;""),0,IF(AND(LEFT($G263,3)&lt;&gt;"ДОК",$N263&lt;&gt;""),IFERROR(INDEX(МАТЕРИАЛЫ!$H$2:$H$9000,MATCH($N263,МАТЕРИАЛЫ!$L$2:$L$9000,0))*IF(INDEX(МАТЕРИАЛЫ!$I$2:$I$9000,MATCH($N263,МАТЕРИАЛЫ!$L$2:$L$9000,0))="USD",КурсUSD,IF(INDEX(МАТЕРИАЛЫ!$I$2:$I$9000,MATCH($N263,МАТЕРИАЛЫ!$L$2:$L$9000,0))="EUR",КурсEUR,IF(INDEX(МАТЕРИАЛЫ!$I$2:$I$9000,MATCH($N263,МАТЕРИАЛЫ!$L$2:$L$9000,0))="CNY",КурсCNY,1)))*(1+N($H263)/100),0),N($O263))*(1-MEDIAN(0,N(ДисконтТендер),1))))</f>
        <v>0</v>
      </c>
      <c r="U263" t="str">
        <f>IF($L263="да",MAX($U$1:$U262)+1,"")</f>
        <v/>
      </c>
      <c r="V263" t="str">
        <f t="shared" si="31"/>
        <v>Р3</v>
      </c>
      <c r="W263" t="str">
        <f t="shared" si="32"/>
        <v/>
      </c>
      <c r="X263" t="str">
        <f t="shared" si="33"/>
        <v/>
      </c>
      <c r="Y263" s="4" t="str">
        <f>IF($A263="","",IF(AND(LEFT($G263,3)="ДОК",$N263&lt;&gt;""),IFERROR(INDEX(Документация!$G$2:$G$57,MATCH($N263,Документация!$F$2:$F$57,0)),$D263),$D263&amp;IF(AND(LEFT($G263,3)&lt;&gt;"ДОК",$N263&lt;&gt;"")," — "&amp;IFERROR(INDEX(МАТЕРИАЛЫ!$C$2:$C$9000,MATCH($N263,МАТЕРИАЛЫ!$L$2:$L$9000,0)),""),"")))</f>
        <v>Шпатлевка потолка</v>
      </c>
      <c r="Z263" t="str">
        <f t="shared" si="34"/>
        <v>Р3 · Внутренние строительные работы</v>
      </c>
    </row>
    <row r="264" spans="1:26" x14ac:dyDescent="0.3">
      <c r="A264" t="s">
        <v>614</v>
      </c>
      <c r="B264" t="s">
        <v>394</v>
      </c>
      <c r="C264" t="s">
        <v>246</v>
      </c>
      <c r="D264" s="4" t="s">
        <v>615</v>
      </c>
      <c r="E264" t="s">
        <v>52</v>
      </c>
      <c r="F264" s="5">
        <v>105.33</v>
      </c>
      <c r="H264">
        <v>0</v>
      </c>
      <c r="I264" t="s">
        <v>53</v>
      </c>
      <c r="L264" s="6"/>
      <c r="M264" s="6"/>
      <c r="N264" s="6"/>
      <c r="O264" s="5"/>
      <c r="P264" s="7" t="str">
        <f t="shared" si="28"/>
        <v/>
      </c>
      <c r="Q264" s="7" t="str">
        <f t="shared" si="29"/>
        <v/>
      </c>
      <c r="R264" s="7" t="str">
        <f t="shared" si="30"/>
        <v/>
      </c>
      <c r="S264" s="7">
        <f>IF($A264="","",IF(AND(LEFT($G264,3)="ДОК",$N264&lt;&gt;""),IFERROR(INDEX(Документация!$E$2:$E$57,MATCH($N264,Документация!$F$2:$F$57,0)),0),N($F264))*(1-MEDIAN(0,N(ДисконтТендер),1)))</f>
        <v>105.33</v>
      </c>
      <c r="T264" s="7">
        <f>IF($A264="","",IF(AND(LEFT($G264,3)="ДОК",$N264&lt;&gt;""),0,IF(AND(LEFT($G264,3)&lt;&gt;"ДОК",$N264&lt;&gt;""),IFERROR(INDEX(МАТЕРИАЛЫ!$H$2:$H$9000,MATCH($N264,МАТЕРИАЛЫ!$L$2:$L$9000,0))*IF(INDEX(МАТЕРИАЛЫ!$I$2:$I$9000,MATCH($N264,МАТЕРИАЛЫ!$L$2:$L$9000,0))="USD",КурсUSD,IF(INDEX(МАТЕРИАЛЫ!$I$2:$I$9000,MATCH($N264,МАТЕРИАЛЫ!$L$2:$L$9000,0))="EUR",КурсEUR,IF(INDEX(МАТЕРИАЛЫ!$I$2:$I$9000,MATCH($N264,МАТЕРИАЛЫ!$L$2:$L$9000,0))="CNY",КурсCNY,1)))*(1+N($H264)/100),0),N($O264))*(1-MEDIAN(0,N(ДисконтТендер),1))))</f>
        <v>0</v>
      </c>
      <c r="U264" t="str">
        <f>IF($L264="да",MAX($U$1:$U263)+1,"")</f>
        <v/>
      </c>
      <c r="V264" t="str">
        <f t="shared" si="31"/>
        <v>Р3</v>
      </c>
      <c r="W264" t="str">
        <f t="shared" si="32"/>
        <v/>
      </c>
      <c r="X264" t="str">
        <f t="shared" si="33"/>
        <v/>
      </c>
      <c r="Y264" s="4" t="str">
        <f>IF($A264="","",IF(AND(LEFT($G264,3)="ДОК",$N264&lt;&gt;""),IFERROR(INDEX(Документация!$G$2:$G$57,MATCH($N264,Документация!$F$2:$F$57,0)),$D264),$D264&amp;IF(AND(LEFT($G264,3)&lt;&gt;"ДОК",$N264&lt;&gt;"")," — "&amp;IFERROR(INDEX(МАТЕРИАЛЫ!$C$2:$C$9000,MATCH($N264,МАТЕРИАЛЫ!$L$2:$L$9000,0)),""),"")))</f>
        <v>Грунтовка потолка за два раза</v>
      </c>
      <c r="Z264" t="str">
        <f t="shared" si="34"/>
        <v>Р3 · Внутренние строительные работы</v>
      </c>
    </row>
    <row r="265" spans="1:26" ht="28.8" x14ac:dyDescent="0.3">
      <c r="A265" t="s">
        <v>616</v>
      </c>
      <c r="B265" t="s">
        <v>394</v>
      </c>
      <c r="C265" t="s">
        <v>246</v>
      </c>
      <c r="D265" s="4" t="s">
        <v>617</v>
      </c>
      <c r="E265" t="s">
        <v>52</v>
      </c>
      <c r="F265" s="5">
        <v>232</v>
      </c>
      <c r="G265" t="s">
        <v>501</v>
      </c>
      <c r="H265">
        <v>5</v>
      </c>
      <c r="I265" t="s">
        <v>53</v>
      </c>
      <c r="L265" s="6"/>
      <c r="M265" s="6"/>
      <c r="N265" s="6"/>
      <c r="O265" s="5"/>
      <c r="P265" s="7" t="str">
        <f t="shared" si="28"/>
        <v/>
      </c>
      <c r="Q265" s="7" t="str">
        <f t="shared" si="29"/>
        <v/>
      </c>
      <c r="R265" s="7" t="str">
        <f t="shared" si="30"/>
        <v/>
      </c>
      <c r="S265" s="7">
        <f>IF($A265="","",IF(AND(LEFT($G265,3)="ДОК",$N265&lt;&gt;""),IFERROR(INDEX(Документация!$E$2:$E$57,MATCH($N265,Документация!$F$2:$F$57,0)),0),N($F265))*(1-MEDIAN(0,N(ДисконтТендер),1)))</f>
        <v>232</v>
      </c>
      <c r="T265" s="7">
        <f>IF($A265="","",IF(AND(LEFT($G265,3)="ДОК",$N265&lt;&gt;""),0,IF(AND(LEFT($G265,3)&lt;&gt;"ДОК",$N265&lt;&gt;""),IFERROR(INDEX(МАТЕРИАЛЫ!$H$2:$H$9000,MATCH($N265,МАТЕРИАЛЫ!$L$2:$L$9000,0))*IF(INDEX(МАТЕРИАЛЫ!$I$2:$I$9000,MATCH($N265,МАТЕРИАЛЫ!$L$2:$L$9000,0))="USD",КурсUSD,IF(INDEX(МАТЕРИАЛЫ!$I$2:$I$9000,MATCH($N265,МАТЕРИАЛЫ!$L$2:$L$9000,0))="EUR",КурсEUR,IF(INDEX(МАТЕРИАЛЫ!$I$2:$I$9000,MATCH($N265,МАТЕРИАЛЫ!$L$2:$L$9000,0))="CNY",КурсCNY,1)))*(1+N($H265)/100),0),N($O265))*(1-MEDIAN(0,N(ДисконтТендер),1))))</f>
        <v>0</v>
      </c>
      <c r="U265" t="str">
        <f>IF($L265="да",MAX($U$1:$U264)+1,"")</f>
        <v/>
      </c>
      <c r="V265" t="str">
        <f t="shared" si="31"/>
        <v>Р3</v>
      </c>
      <c r="W265" t="str">
        <f t="shared" si="32"/>
        <v/>
      </c>
      <c r="X265" t="str">
        <f t="shared" si="33"/>
        <v/>
      </c>
      <c r="Y265" s="4" t="str">
        <f>IF($A265="","",IF(AND(LEFT($G265,3)="ДОК",$N265&lt;&gt;""),IFERROR(INDEX(Документация!$G$2:$G$57,MATCH($N265,Документация!$F$2:$F$57,0)),$D265),$D265&amp;IF(AND(LEFT($G265,3)&lt;&gt;"ДОК",$N265&lt;&gt;"")," — "&amp;IFERROR(INDEX(МАТЕРИАЛЫ!$C$2:$C$9000,MATCH($N265,МАТЕРИАЛЫ!$L$2:$L$9000,0)),""),"")))</f>
        <v>Оклейка потолков стеклообоями типа "Паутинка" (не фактурные)</v>
      </c>
      <c r="Z265" t="str">
        <f t="shared" si="34"/>
        <v>Р3 · Внутренние строительные работы</v>
      </c>
    </row>
    <row r="266" spans="1:26" x14ac:dyDescent="0.3">
      <c r="A266" t="s">
        <v>618</v>
      </c>
      <c r="B266" t="s">
        <v>394</v>
      </c>
      <c r="C266" t="s">
        <v>246</v>
      </c>
      <c r="D266" s="4" t="s">
        <v>569</v>
      </c>
      <c r="E266" t="s">
        <v>52</v>
      </c>
      <c r="F266" s="5">
        <v>393.67</v>
      </c>
      <c r="G266" t="s">
        <v>498</v>
      </c>
      <c r="H266">
        <v>5</v>
      </c>
      <c r="I266" t="s">
        <v>53</v>
      </c>
      <c r="L266" s="6"/>
      <c r="M266" s="6"/>
      <c r="N266" s="6"/>
      <c r="O266" s="5"/>
      <c r="P266" s="7" t="str">
        <f t="shared" si="28"/>
        <v/>
      </c>
      <c r="Q266" s="7" t="str">
        <f t="shared" si="29"/>
        <v/>
      </c>
      <c r="R266" s="7" t="str">
        <f t="shared" si="30"/>
        <v/>
      </c>
      <c r="S266" s="7">
        <f>IF($A266="","",IF(AND(LEFT($G266,3)="ДОК",$N266&lt;&gt;""),IFERROR(INDEX(Документация!$E$2:$E$57,MATCH($N266,Документация!$F$2:$F$57,0)),0),N($F266))*(1-MEDIAN(0,N(ДисконтТендер),1)))</f>
        <v>393.67</v>
      </c>
      <c r="T266" s="7">
        <f>IF($A266="","",IF(AND(LEFT($G266,3)="ДОК",$N266&lt;&gt;""),0,IF(AND(LEFT($G266,3)&lt;&gt;"ДОК",$N266&lt;&gt;""),IFERROR(INDEX(МАТЕРИАЛЫ!$H$2:$H$9000,MATCH($N266,МАТЕРИАЛЫ!$L$2:$L$9000,0))*IF(INDEX(МАТЕРИАЛЫ!$I$2:$I$9000,MATCH($N266,МАТЕРИАЛЫ!$L$2:$L$9000,0))="USD",КурсUSD,IF(INDEX(МАТЕРИАЛЫ!$I$2:$I$9000,MATCH($N266,МАТЕРИАЛЫ!$L$2:$L$9000,0))="EUR",КурсEUR,IF(INDEX(МАТЕРИАЛЫ!$I$2:$I$9000,MATCH($N266,МАТЕРИАЛЫ!$L$2:$L$9000,0))="CNY",КурсCNY,1)))*(1+N($H266)/100),0),N($O266))*(1-MEDIAN(0,N(ДисконтТендер),1))))</f>
        <v>0</v>
      </c>
      <c r="U266" t="str">
        <f>IF($L266="да",MAX($U$1:$U265)+1,"")</f>
        <v/>
      </c>
      <c r="V266" t="str">
        <f t="shared" si="31"/>
        <v>Р3</v>
      </c>
      <c r="W266" t="str">
        <f t="shared" si="32"/>
        <v/>
      </c>
      <c r="X266" t="str">
        <f t="shared" si="33"/>
        <v/>
      </c>
      <c r="Y266" s="4" t="str">
        <f>IF($A266="","",IF(AND(LEFT($G266,3)="ДОК",$N266&lt;&gt;""),IFERROR(INDEX(Документация!$G$2:$G$57,MATCH($N266,Документация!$F$2:$F$57,0)),$D266),$D266&amp;IF(AND(LEFT($G266,3)&lt;&gt;"ДОК",$N266&lt;&gt;"")," — "&amp;IFERROR(INDEX(МАТЕРИАЛЫ!$C$2:$C$9000,MATCH($N266,МАТЕРИАЛЫ!$L$2:$L$9000,0)),""),"")))</f>
        <v>Окраска поверхности</v>
      </c>
      <c r="Z266" t="str">
        <f t="shared" si="34"/>
        <v>Р3 · Внутренние строительные работы</v>
      </c>
    </row>
    <row r="267" spans="1:26" ht="43.2" x14ac:dyDescent="0.3">
      <c r="A267" t="s">
        <v>619</v>
      </c>
      <c r="B267" t="s">
        <v>394</v>
      </c>
      <c r="C267" t="s">
        <v>246</v>
      </c>
      <c r="D267" s="4" t="s">
        <v>620</v>
      </c>
      <c r="E267" t="s">
        <v>114</v>
      </c>
      <c r="F267" s="5">
        <v>1480.74</v>
      </c>
      <c r="H267">
        <v>0</v>
      </c>
      <c r="I267" t="s">
        <v>53</v>
      </c>
      <c r="L267" s="6"/>
      <c r="M267" s="6"/>
      <c r="N267" s="6"/>
      <c r="O267" s="5"/>
      <c r="P267" s="7" t="str">
        <f t="shared" si="28"/>
        <v/>
      </c>
      <c r="Q267" s="7" t="str">
        <f t="shared" si="29"/>
        <v/>
      </c>
      <c r="R267" s="7" t="str">
        <f t="shared" si="30"/>
        <v/>
      </c>
      <c r="S267" s="7">
        <f>IF($A267="","",IF(AND(LEFT($G267,3)="ДОК",$N267&lt;&gt;""),IFERROR(INDEX(Документация!$E$2:$E$57,MATCH($N267,Документация!$F$2:$F$57,0)),0),N($F267))*(1-MEDIAN(0,N(ДисконтТендер),1)))</f>
        <v>1480.74</v>
      </c>
      <c r="T267" s="7">
        <f>IF($A267="","",IF(AND(LEFT($G267,3)="ДОК",$N267&lt;&gt;""),0,IF(AND(LEFT($G267,3)&lt;&gt;"ДОК",$N267&lt;&gt;""),IFERROR(INDEX(МАТЕРИАЛЫ!$H$2:$H$9000,MATCH($N267,МАТЕРИАЛЫ!$L$2:$L$9000,0))*IF(INDEX(МАТЕРИАЛЫ!$I$2:$I$9000,MATCH($N267,МАТЕРИАЛЫ!$L$2:$L$9000,0))="USD",КурсUSD,IF(INDEX(МАТЕРИАЛЫ!$I$2:$I$9000,MATCH($N267,МАТЕРИАЛЫ!$L$2:$L$9000,0))="EUR",КурсEUR,IF(INDEX(МАТЕРИАЛЫ!$I$2:$I$9000,MATCH($N267,МАТЕРИАЛЫ!$L$2:$L$9000,0))="CNY",КурсCNY,1)))*(1+N($H267)/100),0),N($O267))*(1-MEDIAN(0,N(ДисконтТендер),1))))</f>
        <v>0</v>
      </c>
      <c r="U267" t="str">
        <f>IF($L267="да",MAX($U$1:$U266)+1,"")</f>
        <v/>
      </c>
      <c r="V267" t="str">
        <f t="shared" si="31"/>
        <v>Р3</v>
      </c>
      <c r="W267" t="str">
        <f t="shared" si="32"/>
        <v/>
      </c>
      <c r="X267" t="str">
        <f t="shared" si="33"/>
        <v/>
      </c>
      <c r="Y267" s="4" t="str">
        <f>IF($A267="","",IF(AND(LEFT($G267,3)="ДОК",$N267&lt;&gt;""),IFERROR(INDEX(Документация!$G$2:$G$57,MATCH($N267,Документация!$F$2:$F$57,0)),$D267),$D267&amp;IF(AND(LEFT($G267,3)&lt;&gt;"ДОК",$N267&lt;&gt;"")," — "&amp;IFERROR(INDEX(МАТЕРИАЛЫ!$C$2:$C$9000,MATCH($N267,МАТЕРИАЛЫ!$L$2:$L$9000,0)),""),"")))</f>
        <v>Потолочный акустический остров 1195*1530*40мм цвет: белый, форма под заказ (форма яйцо)в комплекте с подвесами</v>
      </c>
      <c r="Z267" t="str">
        <f t="shared" si="34"/>
        <v>Р3 · Внутренние строительные работы</v>
      </c>
    </row>
    <row r="268" spans="1:26" ht="43.2" x14ac:dyDescent="0.3">
      <c r="A268" t="s">
        <v>621</v>
      </c>
      <c r="B268" t="s">
        <v>394</v>
      </c>
      <c r="C268" t="s">
        <v>246</v>
      </c>
      <c r="D268" s="4" t="s">
        <v>622</v>
      </c>
      <c r="E268" t="s">
        <v>114</v>
      </c>
      <c r="F268" s="5">
        <v>1378.95</v>
      </c>
      <c r="H268">
        <v>0</v>
      </c>
      <c r="I268" t="s">
        <v>53</v>
      </c>
      <c r="L268" s="6"/>
      <c r="M268" s="6"/>
      <c r="N268" s="6"/>
      <c r="O268" s="5"/>
      <c r="P268" s="7" t="str">
        <f t="shared" si="28"/>
        <v/>
      </c>
      <c r="Q268" s="7" t="str">
        <f t="shared" si="29"/>
        <v/>
      </c>
      <c r="R268" s="7" t="str">
        <f t="shared" si="30"/>
        <v/>
      </c>
      <c r="S268" s="7">
        <f>IF($A268="","",IF(AND(LEFT($G268,3)="ДОК",$N268&lt;&gt;""),IFERROR(INDEX(Документация!$E$2:$E$57,MATCH($N268,Документация!$F$2:$F$57,0)),0),N($F268))*(1-MEDIAN(0,N(ДисконтТендер),1)))</f>
        <v>1378.95</v>
      </c>
      <c r="T268" s="7">
        <f>IF($A268="","",IF(AND(LEFT($G268,3)="ДОК",$N268&lt;&gt;""),0,IF(AND(LEFT($G268,3)&lt;&gt;"ДОК",$N268&lt;&gt;""),IFERROR(INDEX(МАТЕРИАЛЫ!$H$2:$H$9000,MATCH($N268,МАТЕРИАЛЫ!$L$2:$L$9000,0))*IF(INDEX(МАТЕРИАЛЫ!$I$2:$I$9000,MATCH($N268,МАТЕРИАЛЫ!$L$2:$L$9000,0))="USD",КурсUSD,IF(INDEX(МАТЕРИАЛЫ!$I$2:$I$9000,MATCH($N268,МАТЕРИАЛЫ!$L$2:$L$9000,0))="EUR",КурсEUR,IF(INDEX(МАТЕРИАЛЫ!$I$2:$I$9000,MATCH($N268,МАТЕРИАЛЫ!$L$2:$L$9000,0))="CNY",КурсCNY,1)))*(1+N($H268)/100),0),N($O268))*(1-MEDIAN(0,N(ДисконтТендер),1))))</f>
        <v>0</v>
      </c>
      <c r="U268" t="str">
        <f>IF($L268="да",MAX($U$1:$U267)+1,"")</f>
        <v/>
      </c>
      <c r="V268" t="str">
        <f t="shared" si="31"/>
        <v>Р3</v>
      </c>
      <c r="W268" t="str">
        <f t="shared" si="32"/>
        <v/>
      </c>
      <c r="X268" t="str">
        <f t="shared" si="33"/>
        <v/>
      </c>
      <c r="Y268" s="4" t="str">
        <f>IF($A268="","",IF(AND(LEFT($G268,3)="ДОК",$N268&lt;&gt;""),IFERROR(INDEX(Документация!$G$2:$G$57,MATCH($N268,Документация!$F$2:$F$57,0)),$D268),$D268&amp;IF(AND(LEFT($G268,3)&lt;&gt;"ДОК",$N268&lt;&gt;"")," — "&amp;IFERROR(INDEX(МАТЕРИАЛЫ!$C$2:$C$9000,MATCH($N268,МАТЕРИАЛЫ!$L$2:$L$9000,0)),""),"")))</f>
        <v>Потолочный акустический остров цвет: белый, форма круг D=750мм, толщ. 40мм, в комплекте с подвесами</v>
      </c>
      <c r="Z268" t="str">
        <f t="shared" si="34"/>
        <v>Р3 · Внутренние строительные работы</v>
      </c>
    </row>
    <row r="269" spans="1:26" ht="43.2" x14ac:dyDescent="0.3">
      <c r="A269" t="s">
        <v>623</v>
      </c>
      <c r="B269" t="s">
        <v>394</v>
      </c>
      <c r="C269" t="s">
        <v>246</v>
      </c>
      <c r="D269" s="4" t="s">
        <v>624</v>
      </c>
      <c r="E269" t="s">
        <v>52</v>
      </c>
      <c r="F269" s="5">
        <v>217.5</v>
      </c>
      <c r="H269">
        <v>0</v>
      </c>
      <c r="I269" t="s">
        <v>53</v>
      </c>
      <c r="L269" s="6"/>
      <c r="M269" s="6"/>
      <c r="N269" s="6"/>
      <c r="O269" s="5"/>
      <c r="P269" s="7" t="str">
        <f t="shared" si="28"/>
        <v/>
      </c>
      <c r="Q269" s="7" t="str">
        <f t="shared" si="29"/>
        <v/>
      </c>
      <c r="R269" s="7" t="str">
        <f t="shared" si="30"/>
        <v/>
      </c>
      <c r="S269" s="7">
        <f>IF($A269="","",IF(AND(LEFT($G269,3)="ДОК",$N269&lt;&gt;""),IFERROR(INDEX(Документация!$E$2:$E$57,MATCH($N269,Документация!$F$2:$F$57,0)),0),N($F269))*(1-MEDIAN(0,N(ДисконтТендер),1)))</f>
        <v>217.5</v>
      </c>
      <c r="T269" s="7">
        <f>IF($A269="","",IF(AND(LEFT($G269,3)="ДОК",$N269&lt;&gt;""),0,IF(AND(LEFT($G269,3)&lt;&gt;"ДОК",$N269&lt;&gt;""),IFERROR(INDEX(МАТЕРИАЛЫ!$H$2:$H$9000,MATCH($N269,МАТЕРИАЛЫ!$L$2:$L$9000,0))*IF(INDEX(МАТЕРИАЛЫ!$I$2:$I$9000,MATCH($N269,МАТЕРИАЛЫ!$L$2:$L$9000,0))="USD",КурсUSD,IF(INDEX(МАТЕРИАЛЫ!$I$2:$I$9000,MATCH($N269,МАТЕРИАЛЫ!$L$2:$L$9000,0))="EUR",КурсEUR,IF(INDEX(МАТЕРИАЛЫ!$I$2:$I$9000,MATCH($N269,МАТЕРИАЛЫ!$L$2:$L$9000,0))="CNY",КурсCNY,1)))*(1+N($H269)/100),0),N($O269))*(1-MEDIAN(0,N(ДисконтТендер),1))))</f>
        <v>0</v>
      </c>
      <c r="U269" t="str">
        <f>IF($L269="да",MAX($U$1:$U268)+1,"")</f>
        <v/>
      </c>
      <c r="V269" t="str">
        <f t="shared" si="31"/>
        <v>Р3</v>
      </c>
      <c r="W269" t="str">
        <f t="shared" si="32"/>
        <v/>
      </c>
      <c r="X269" t="str">
        <f t="shared" si="33"/>
        <v/>
      </c>
      <c r="Y269" s="4" t="str">
        <f>IF($A269="","",IF(AND(LEFT($G269,3)="ДОК",$N269&lt;&gt;""),IFERROR(INDEX(Документация!$G$2:$G$57,MATCH($N269,Документация!$F$2:$F$57,0)),$D269),$D269&amp;IF(AND(LEFT($G269,3)&lt;&gt;"ДОК",$N269&lt;&gt;"")," — "&amp;IFERROR(INDEX(МАТЕРИАЛЫ!$C$2:$C$9000,MATCH($N269,МАТЕРИАЛЫ!$L$2:$L$9000,0)),""),"")))</f>
        <v>Подготовка и обеспылевание потолка поверхности и коммуникаций под покраску . (воздуховоды, лотки эл. и т.д.)</v>
      </c>
      <c r="Z269" t="str">
        <f t="shared" si="34"/>
        <v>Р3 · Внутренние строительные работы</v>
      </c>
    </row>
    <row r="270" spans="1:26" ht="57.6" x14ac:dyDescent="0.3">
      <c r="A270" t="s">
        <v>625</v>
      </c>
      <c r="B270" t="s">
        <v>394</v>
      </c>
      <c r="C270" t="s">
        <v>246</v>
      </c>
      <c r="D270" s="4" t="s">
        <v>626</v>
      </c>
      <c r="E270" t="s">
        <v>52</v>
      </c>
      <c r="F270" s="5">
        <v>516.78</v>
      </c>
      <c r="H270">
        <v>0</v>
      </c>
      <c r="I270" t="s">
        <v>53</v>
      </c>
      <c r="L270" s="6"/>
      <c r="M270" s="6"/>
      <c r="N270" s="6"/>
      <c r="O270" s="5"/>
      <c r="P270" s="7" t="str">
        <f t="shared" si="28"/>
        <v/>
      </c>
      <c r="Q270" s="7" t="str">
        <f t="shared" si="29"/>
        <v/>
      </c>
      <c r="R270" s="7" t="str">
        <f t="shared" si="30"/>
        <v/>
      </c>
      <c r="S270" s="7">
        <f>IF($A270="","",IF(AND(LEFT($G270,3)="ДОК",$N270&lt;&gt;""),IFERROR(INDEX(Документация!$E$2:$E$57,MATCH($N270,Документация!$F$2:$F$57,0)),0),N($F270))*(1-MEDIAN(0,N(ДисконтТендер),1)))</f>
        <v>516.78</v>
      </c>
      <c r="T270" s="7">
        <f>IF($A270="","",IF(AND(LEFT($G270,3)="ДОК",$N270&lt;&gt;""),0,IF(AND(LEFT($G270,3)&lt;&gt;"ДОК",$N270&lt;&gt;""),IFERROR(INDEX(МАТЕРИАЛЫ!$H$2:$H$9000,MATCH($N270,МАТЕРИАЛЫ!$L$2:$L$9000,0))*IF(INDEX(МАТЕРИАЛЫ!$I$2:$I$9000,MATCH($N270,МАТЕРИАЛЫ!$L$2:$L$9000,0))="USD",КурсUSD,IF(INDEX(МАТЕРИАЛЫ!$I$2:$I$9000,MATCH($N270,МАТЕРИАЛЫ!$L$2:$L$9000,0))="EUR",КурсEUR,IF(INDEX(МАТЕРИАЛЫ!$I$2:$I$9000,MATCH($N270,МАТЕРИАЛЫ!$L$2:$L$9000,0))="CNY",КурсCNY,1)))*(1+N($H270)/100),0),N($O270))*(1-MEDIAN(0,N(ДисконтТендер),1))))</f>
        <v>0</v>
      </c>
      <c r="U270" t="str">
        <f>IF($L270="да",MAX($U$1:$U269)+1,"")</f>
        <v/>
      </c>
      <c r="V270" t="str">
        <f t="shared" si="31"/>
        <v>Р3</v>
      </c>
      <c r="W270" t="str">
        <f t="shared" si="32"/>
        <v/>
      </c>
      <c r="X270" t="str">
        <f t="shared" si="33"/>
        <v/>
      </c>
      <c r="Y270" s="4" t="str">
        <f>IF($A270="","",IF(AND(LEFT($G270,3)="ДОК",$N270&lt;&gt;""),IFERROR(INDEX(Документация!$G$2:$G$57,MATCH($N270,Документация!$F$2:$F$57,0)),$D270),$D270&amp;IF(AND(LEFT($G270,3)&lt;&gt;"ДОК",$N270&lt;&gt;"")," — "&amp;IFERROR(INDEX(МАТЕРИАЛЫ!$C$2:$C$9000,MATCH($N270,МАТЕРИАЛЫ!$L$2:$L$9000,0)),""),"")))</f>
        <v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v>
      </c>
      <c r="Z270" t="str">
        <f t="shared" si="34"/>
        <v>Р3 · Внутренние строительные работы</v>
      </c>
    </row>
    <row r="271" spans="1:26" ht="43.2" x14ac:dyDescent="0.3">
      <c r="A271" t="s">
        <v>627</v>
      </c>
      <c r="B271" t="s">
        <v>394</v>
      </c>
      <c r="C271" t="s">
        <v>246</v>
      </c>
      <c r="D271" s="4" t="s">
        <v>628</v>
      </c>
      <c r="E271" t="s">
        <v>52</v>
      </c>
      <c r="F271" s="5">
        <v>1581.22</v>
      </c>
      <c r="G271" t="s">
        <v>590</v>
      </c>
      <c r="H271">
        <v>5</v>
      </c>
      <c r="I271" t="s">
        <v>53</v>
      </c>
      <c r="L271" s="6"/>
      <c r="M271" s="6"/>
      <c r="N271" s="6"/>
      <c r="O271" s="5"/>
      <c r="P271" s="7" t="str">
        <f t="shared" si="28"/>
        <v/>
      </c>
      <c r="Q271" s="7" t="str">
        <f t="shared" si="29"/>
        <v/>
      </c>
      <c r="R271" s="7" t="str">
        <f t="shared" si="30"/>
        <v/>
      </c>
      <c r="S271" s="7">
        <f>IF($A271="","",IF(AND(LEFT($G271,3)="ДОК",$N271&lt;&gt;""),IFERROR(INDEX(Документация!$E$2:$E$57,MATCH($N271,Документация!$F$2:$F$57,0)),0),N($F271))*(1-MEDIAN(0,N(ДисконтТендер),1)))</f>
        <v>1581.22</v>
      </c>
      <c r="T271" s="7">
        <f>IF($A271="","",IF(AND(LEFT($G271,3)="ДОК",$N271&lt;&gt;""),0,IF(AND(LEFT($G271,3)&lt;&gt;"ДОК",$N271&lt;&gt;""),IFERROR(INDEX(МАТЕРИАЛЫ!$H$2:$H$9000,MATCH($N271,МАТЕРИАЛЫ!$L$2:$L$9000,0))*IF(INDEX(МАТЕРИАЛЫ!$I$2:$I$9000,MATCH($N271,МАТЕРИАЛЫ!$L$2:$L$9000,0))="USD",КурсUSD,IF(INDEX(МАТЕРИАЛЫ!$I$2:$I$9000,MATCH($N271,МАТЕРИАЛЫ!$L$2:$L$9000,0))="EUR",КурсEUR,IF(INDEX(МАТЕРИАЛЫ!$I$2:$I$9000,MATCH($N271,МАТЕРИАЛЫ!$L$2:$L$9000,0))="CNY",КурсCNY,1)))*(1+N($H271)/100),0),N($O271))*(1-MEDIAN(0,N(ДисконтТендер),1))))</f>
        <v>0</v>
      </c>
      <c r="U271" t="str">
        <f>IF($L271="да",MAX($U$1:$U270)+1,"")</f>
        <v/>
      </c>
      <c r="V271" t="str">
        <f t="shared" si="31"/>
        <v>Р3</v>
      </c>
      <c r="W271" t="str">
        <f t="shared" si="32"/>
        <v/>
      </c>
      <c r="X271" t="str">
        <f t="shared" si="33"/>
        <v/>
      </c>
      <c r="Y271" s="4" t="str">
        <f>IF($A271="","",IF(AND(LEFT($G271,3)="ДОК",$N271&lt;&gt;""),IFERROR(INDEX(Документация!$G$2:$G$57,MATCH($N271,Документация!$F$2:$F$57,0)),$D271),$D271&amp;IF(AND(LEFT($G271,3)&lt;&gt;"ДОК",$N271&lt;&gt;"")," — "&amp;IFERROR(INDEX(МАТЕРИАЛЫ!$C$2:$C$9000,MATCH($N271,МАТЕРИАЛЫ!$L$2:$L$9000,0)),""),"")))</f>
        <v>Устройство потолков реечных алюминиевых, крепление подвесов металлическим крепежным элементом.</v>
      </c>
      <c r="Z271" t="str">
        <f t="shared" si="34"/>
        <v>Р3 · Внутренние строительные работы</v>
      </c>
    </row>
    <row r="272" spans="1:26" x14ac:dyDescent="0.3">
      <c r="A272" t="s">
        <v>629</v>
      </c>
      <c r="B272" t="s">
        <v>394</v>
      </c>
      <c r="C272" t="s">
        <v>246</v>
      </c>
      <c r="D272" s="4" t="s">
        <v>630</v>
      </c>
      <c r="E272" t="s">
        <v>52</v>
      </c>
      <c r="F272" s="5">
        <v>221.85</v>
      </c>
      <c r="G272" t="s">
        <v>590</v>
      </c>
      <c r="H272">
        <v>5</v>
      </c>
      <c r="I272" t="s">
        <v>53</v>
      </c>
      <c r="L272" s="6"/>
      <c r="M272" s="6"/>
      <c r="N272" s="6"/>
      <c r="O272" s="5"/>
      <c r="P272" s="7" t="str">
        <f t="shared" si="28"/>
        <v/>
      </c>
      <c r="Q272" s="7" t="str">
        <f t="shared" si="29"/>
        <v/>
      </c>
      <c r="R272" s="7" t="str">
        <f t="shared" si="30"/>
        <v/>
      </c>
      <c r="S272" s="7">
        <f>IF($A272="","",IF(AND(LEFT($G272,3)="ДОК",$N272&lt;&gt;""),IFERROR(INDEX(Документация!$E$2:$E$57,MATCH($N272,Документация!$F$2:$F$57,0)),0),N($F272))*(1-MEDIAN(0,N(ДисконтТендер),1)))</f>
        <v>221.85</v>
      </c>
      <c r="T272" s="7">
        <f>IF($A272="","",IF(AND(LEFT($G272,3)="ДОК",$N272&lt;&gt;""),0,IF(AND(LEFT($G272,3)&lt;&gt;"ДОК",$N272&lt;&gt;""),IFERROR(INDEX(МАТЕРИАЛЫ!$H$2:$H$9000,MATCH($N272,МАТЕРИАЛЫ!$L$2:$L$9000,0))*IF(INDEX(МАТЕРИАЛЫ!$I$2:$I$9000,MATCH($N272,МАТЕРИАЛЫ!$L$2:$L$9000,0))="USD",КурсUSD,IF(INDEX(МАТЕРИАЛЫ!$I$2:$I$9000,MATCH($N272,МАТЕРИАЛЫ!$L$2:$L$9000,0))="EUR",КурсEUR,IF(INDEX(МАТЕРИАЛЫ!$I$2:$I$9000,MATCH($N272,МАТЕРИАЛЫ!$L$2:$L$9000,0))="CNY",КурсCNY,1)))*(1+N($H272)/100),0),N($O272))*(1-MEDIAN(0,N(ДисконтТендер),1))))</f>
        <v>0</v>
      </c>
      <c r="U272" t="str">
        <f>IF($L272="да",MAX($U$1:$U271)+1,"")</f>
        <v/>
      </c>
      <c r="V272" t="str">
        <f t="shared" si="31"/>
        <v>Р3</v>
      </c>
      <c r="W272" t="str">
        <f t="shared" si="32"/>
        <v/>
      </c>
      <c r="X272" t="str">
        <f t="shared" si="33"/>
        <v/>
      </c>
      <c r="Y272" s="4" t="str">
        <f>IF($A272="","",IF(AND(LEFT($G272,3)="ДОК",$N272&lt;&gt;""),IFERROR(INDEX(Документация!$G$2:$G$57,MATCH($N272,Документация!$F$2:$F$57,0)),$D272),$D272&amp;IF(AND(LEFT($G272,3)&lt;&gt;"ДОК",$N272&lt;&gt;"")," — "&amp;IFERROR(INDEX(МАТЕРИАЛЫ!$C$2:$C$9000,MATCH($N272,МАТЕРИАЛЫ!$L$2:$L$9000,0)),""),"")))</f>
        <v>Замена потолочных плит Армстронг</v>
      </c>
      <c r="Z272" t="str">
        <f t="shared" si="34"/>
        <v>Р3 · Внутренние строительные работы</v>
      </c>
    </row>
    <row r="273" spans="1:26" x14ac:dyDescent="0.3">
      <c r="A273" t="s">
        <v>631</v>
      </c>
      <c r="B273" t="s">
        <v>394</v>
      </c>
      <c r="C273" t="s">
        <v>246</v>
      </c>
      <c r="D273" s="4" t="s">
        <v>632</v>
      </c>
      <c r="E273" t="s">
        <v>153</v>
      </c>
      <c r="F273" s="5">
        <v>302.08999999999997</v>
      </c>
      <c r="H273">
        <v>0</v>
      </c>
      <c r="I273" t="s">
        <v>53</v>
      </c>
      <c r="L273" s="6"/>
      <c r="M273" s="6"/>
      <c r="N273" s="6"/>
      <c r="O273" s="5"/>
      <c r="P273" s="7" t="str">
        <f t="shared" si="28"/>
        <v/>
      </c>
      <c r="Q273" s="7" t="str">
        <f t="shared" si="29"/>
        <v/>
      </c>
      <c r="R273" s="7" t="str">
        <f t="shared" si="30"/>
        <v/>
      </c>
      <c r="S273" s="7">
        <f>IF($A273="","",IF(AND(LEFT($G273,3)="ДОК",$N273&lt;&gt;""),IFERROR(INDEX(Документация!$E$2:$E$57,MATCH($N273,Документация!$F$2:$F$57,0)),0),N($F273))*(1-MEDIAN(0,N(ДисконтТендер),1)))</f>
        <v>302.08999999999997</v>
      </c>
      <c r="T273" s="7">
        <f>IF($A273="","",IF(AND(LEFT($G273,3)="ДОК",$N273&lt;&gt;""),0,IF(AND(LEFT($G273,3)&lt;&gt;"ДОК",$N273&lt;&gt;""),IFERROR(INDEX(МАТЕРИАЛЫ!$H$2:$H$9000,MATCH($N273,МАТЕРИАЛЫ!$L$2:$L$9000,0))*IF(INDEX(МАТЕРИАЛЫ!$I$2:$I$9000,MATCH($N273,МАТЕРИАЛЫ!$L$2:$L$9000,0))="USD",КурсUSD,IF(INDEX(МАТЕРИАЛЫ!$I$2:$I$9000,MATCH($N273,МАТЕРИАЛЫ!$L$2:$L$9000,0))="EUR",КурсEUR,IF(INDEX(МАТЕРИАЛЫ!$I$2:$I$9000,MATCH($N273,МАТЕРИАЛЫ!$L$2:$L$9000,0))="CNY",КурсCNY,1)))*(1+N($H273)/100),0),N($O273))*(1-MEDIAN(0,N(ДисконтТендер),1))))</f>
        <v>0</v>
      </c>
      <c r="U273" t="str">
        <f>IF($L273="да",MAX($U$1:$U272)+1,"")</f>
        <v/>
      </c>
      <c r="V273" t="str">
        <f t="shared" si="31"/>
        <v>Р3</v>
      </c>
      <c r="W273" t="str">
        <f t="shared" si="32"/>
        <v/>
      </c>
      <c r="X273" t="str">
        <f t="shared" si="33"/>
        <v/>
      </c>
      <c r="Y273" s="4" t="str">
        <f>IF($A273="","",IF(AND(LEFT($G273,3)="ДОК",$N273&lt;&gt;""),IFERROR(INDEX(Документация!$G$2:$G$57,MATCH($N273,Документация!$F$2:$F$57,0)),$D273),$D273&amp;IF(AND(LEFT($G273,3)&lt;&gt;"ДОК",$N273&lt;&gt;"")," — "&amp;IFERROR(INDEX(МАТЕРИАЛЫ!$C$2:$C$9000,MATCH($N273,МАТЕРИАЛЫ!$L$2:$L$9000,0)),""),"")))</f>
        <v>Запенивание швов между плитами</v>
      </c>
      <c r="Z273" t="str">
        <f t="shared" si="34"/>
        <v>Р3 · Внутренние строительные работы</v>
      </c>
    </row>
    <row r="274" spans="1:26" x14ac:dyDescent="0.3">
      <c r="A274" t="s">
        <v>633</v>
      </c>
      <c r="B274" t="s">
        <v>394</v>
      </c>
      <c r="C274" t="s">
        <v>259</v>
      </c>
      <c r="D274" s="4" t="s">
        <v>634</v>
      </c>
      <c r="E274" t="s">
        <v>635</v>
      </c>
      <c r="F274" s="5">
        <v>0</v>
      </c>
      <c r="H274">
        <v>0</v>
      </c>
      <c r="I274" t="s">
        <v>53</v>
      </c>
      <c r="L274" s="6"/>
      <c r="M274" s="6"/>
      <c r="N274" s="6"/>
      <c r="O274" s="5"/>
      <c r="P274" s="7" t="str">
        <f t="shared" si="28"/>
        <v/>
      </c>
      <c r="Q274" s="7" t="str">
        <f t="shared" si="29"/>
        <v/>
      </c>
      <c r="R274" s="7" t="str">
        <f t="shared" si="30"/>
        <v/>
      </c>
      <c r="S274" s="7">
        <f>IF($A274="","",IF(AND(LEFT($G274,3)="ДОК",$N274&lt;&gt;""),IFERROR(INDEX(Документация!$E$2:$E$57,MATCH($N274,Документация!$F$2:$F$57,0)),0),N($F274))*(1-MEDIAN(0,N(ДисконтТендер),1)))</f>
        <v>0</v>
      </c>
      <c r="T274" s="7">
        <f>IF($A274="","",IF(AND(LEFT($G274,3)="ДОК",$N274&lt;&gt;""),0,IF(AND(LEFT($G274,3)&lt;&gt;"ДОК",$N274&lt;&gt;""),IFERROR(INDEX(МАТЕРИАЛЫ!$H$2:$H$9000,MATCH($N274,МАТЕРИАЛЫ!$L$2:$L$9000,0))*IF(INDEX(МАТЕРИАЛЫ!$I$2:$I$9000,MATCH($N274,МАТЕРИАЛЫ!$L$2:$L$9000,0))="USD",КурсUSD,IF(INDEX(МАТЕРИАЛЫ!$I$2:$I$9000,MATCH($N274,МАТЕРИАЛЫ!$L$2:$L$9000,0))="EUR",КурсEUR,IF(INDEX(МАТЕРИАЛЫ!$I$2:$I$9000,MATCH($N274,МАТЕРИАЛЫ!$L$2:$L$9000,0))="CNY",КурсCNY,1)))*(1+N($H274)/100),0),N($O274))*(1-MEDIAN(0,N(ДисконтТендер),1))))</f>
        <v>0</v>
      </c>
      <c r="U274" t="str">
        <f>IF($L274="да",MAX($U$1:$U273)+1,"")</f>
        <v/>
      </c>
      <c r="V274" t="str">
        <f t="shared" si="31"/>
        <v>Р3</v>
      </c>
      <c r="W274" t="str">
        <f t="shared" si="32"/>
        <v/>
      </c>
      <c r="X274" t="str">
        <f t="shared" si="33"/>
        <v/>
      </c>
      <c r="Y274" s="4" t="str">
        <f>IF($A274="","",IF(AND(LEFT($G274,3)="ДОК",$N274&lt;&gt;""),IFERROR(INDEX(Документация!$G$2:$G$57,MATCH($N274,Документация!$F$2:$F$57,0)),$D274),$D274&amp;IF(AND(LEFT($G274,3)&lt;&gt;"ДОК",$N274&lt;&gt;"")," — "&amp;IFERROR(INDEX(МАТЕРИАЛЫ!$C$2:$C$9000,MATCH($N274,МАТЕРИАЛЫ!$L$2:$L$9000,0)),""),"")))</f>
        <v>Р3.6.1.0 Основание пола</v>
      </c>
      <c r="Z274" t="str">
        <f t="shared" si="34"/>
        <v>Р3 · Внутренние строительные работы</v>
      </c>
    </row>
    <row r="275" spans="1:26" x14ac:dyDescent="0.3">
      <c r="A275" t="s">
        <v>636</v>
      </c>
      <c r="B275" t="s">
        <v>394</v>
      </c>
      <c r="C275" t="s">
        <v>259</v>
      </c>
      <c r="D275" s="4" t="s">
        <v>637</v>
      </c>
      <c r="E275" t="s">
        <v>150</v>
      </c>
      <c r="F275" s="5">
        <v>1306.25</v>
      </c>
      <c r="H275">
        <v>0</v>
      </c>
      <c r="I275" t="s">
        <v>53</v>
      </c>
      <c r="L275" s="6"/>
      <c r="M275" s="6"/>
      <c r="N275" s="6"/>
      <c r="O275" s="5"/>
      <c r="P275" s="7" t="str">
        <f t="shared" si="28"/>
        <v/>
      </c>
      <c r="Q275" s="7" t="str">
        <f t="shared" si="29"/>
        <v/>
      </c>
      <c r="R275" s="7" t="str">
        <f t="shared" si="30"/>
        <v/>
      </c>
      <c r="S275" s="7">
        <f>IF($A275="","",IF(AND(LEFT($G275,3)="ДОК",$N275&lt;&gt;""),IFERROR(INDEX(Документация!$E$2:$E$57,MATCH($N275,Документация!$F$2:$F$57,0)),0),N($F275))*(1-MEDIAN(0,N(ДисконтТендер),1)))</f>
        <v>1306.25</v>
      </c>
      <c r="T275" s="7">
        <f>IF($A275="","",IF(AND(LEFT($G275,3)="ДОК",$N275&lt;&gt;""),0,IF(AND(LEFT($G275,3)&lt;&gt;"ДОК",$N275&lt;&gt;""),IFERROR(INDEX(МАТЕРИАЛЫ!$H$2:$H$9000,MATCH($N275,МАТЕРИАЛЫ!$L$2:$L$9000,0))*IF(INDEX(МАТЕРИАЛЫ!$I$2:$I$9000,MATCH($N275,МАТЕРИАЛЫ!$L$2:$L$9000,0))="USD",КурсUSD,IF(INDEX(МАТЕРИАЛЫ!$I$2:$I$9000,MATCH($N275,МАТЕРИАЛЫ!$L$2:$L$9000,0))="EUR",КурсEUR,IF(INDEX(МАТЕРИАЛЫ!$I$2:$I$9000,MATCH($N275,МАТЕРИАЛЫ!$L$2:$L$9000,0))="CNY",КурсCNY,1)))*(1+N($H275)/100),0),N($O275))*(1-MEDIAN(0,N(ДисконтТендер),1))))</f>
        <v>0</v>
      </c>
      <c r="U275" t="str">
        <f>IF($L275="да",MAX($U$1:$U274)+1,"")</f>
        <v/>
      </c>
      <c r="V275" t="str">
        <f t="shared" si="31"/>
        <v>Р3</v>
      </c>
      <c r="W275" t="str">
        <f t="shared" si="32"/>
        <v/>
      </c>
      <c r="X275" t="str">
        <f t="shared" si="33"/>
        <v/>
      </c>
      <c r="Y275" s="4" t="str">
        <f>IF($A275="","",IF(AND(LEFT($G275,3)="ДОК",$N275&lt;&gt;""),IFERROR(INDEX(Документация!$G$2:$G$57,MATCH($N275,Документация!$F$2:$F$57,0)),$D275),$D275&amp;IF(AND(LEFT($G275,3)&lt;&gt;"ДОК",$N275&lt;&gt;"")," — "&amp;IFERROR(INDEX(МАТЕРИАЛЫ!$C$2:$C$9000,MATCH($N275,МАТЕРИАЛЫ!$L$2:$L$9000,0)),""),"")))</f>
        <v>Устройство подсыпки пола из керамзита</v>
      </c>
      <c r="Z275" t="str">
        <f t="shared" si="34"/>
        <v>Р3 · Внутренние строительные работы</v>
      </c>
    </row>
    <row r="276" spans="1:26" ht="28.8" x14ac:dyDescent="0.3">
      <c r="A276" t="s">
        <v>638</v>
      </c>
      <c r="B276" t="s">
        <v>394</v>
      </c>
      <c r="C276" t="s">
        <v>259</v>
      </c>
      <c r="D276" s="4" t="s">
        <v>639</v>
      </c>
      <c r="E276" t="s">
        <v>52</v>
      </c>
      <c r="F276" s="5">
        <v>652.5</v>
      </c>
      <c r="H276">
        <v>0</v>
      </c>
      <c r="I276" t="s">
        <v>53</v>
      </c>
      <c r="L276" s="6"/>
      <c r="M276" s="6"/>
      <c r="N276" s="6"/>
      <c r="O276" s="5"/>
      <c r="P276" s="7" t="str">
        <f t="shared" si="28"/>
        <v/>
      </c>
      <c r="Q276" s="7" t="str">
        <f t="shared" si="29"/>
        <v/>
      </c>
      <c r="R276" s="7" t="str">
        <f t="shared" si="30"/>
        <v/>
      </c>
      <c r="S276" s="7">
        <f>IF($A276="","",IF(AND(LEFT($G276,3)="ДОК",$N276&lt;&gt;""),IFERROR(INDEX(Документация!$E$2:$E$57,MATCH($N276,Документация!$F$2:$F$57,0)),0),N($F276))*(1-MEDIAN(0,N(ДисконтТендер),1)))</f>
        <v>652.5</v>
      </c>
      <c r="T276" s="7">
        <f>IF($A276="","",IF(AND(LEFT($G276,3)="ДОК",$N276&lt;&gt;""),0,IF(AND(LEFT($G276,3)&lt;&gt;"ДОК",$N276&lt;&gt;""),IFERROR(INDEX(МАТЕРИАЛЫ!$H$2:$H$9000,MATCH($N276,МАТЕРИАЛЫ!$L$2:$L$9000,0))*IF(INDEX(МАТЕРИАЛЫ!$I$2:$I$9000,MATCH($N276,МАТЕРИАЛЫ!$L$2:$L$9000,0))="USD",КурсUSD,IF(INDEX(МАТЕРИАЛЫ!$I$2:$I$9000,MATCH($N276,МАТЕРИАЛЫ!$L$2:$L$9000,0))="EUR",КурсEUR,IF(INDEX(МАТЕРИАЛЫ!$I$2:$I$9000,MATCH($N276,МАТЕРИАЛЫ!$L$2:$L$9000,0))="CNY",КурсCNY,1)))*(1+N($H276)/100),0),N($O276))*(1-MEDIAN(0,N(ДисконтТендер),1))))</f>
        <v>0</v>
      </c>
      <c r="U276" t="str">
        <f>IF($L276="да",MAX($U$1:$U275)+1,"")</f>
        <v/>
      </c>
      <c r="V276" t="str">
        <f t="shared" si="31"/>
        <v>Р3</v>
      </c>
      <c r="W276" t="str">
        <f t="shared" si="32"/>
        <v/>
      </c>
      <c r="X276" t="str">
        <f t="shared" si="33"/>
        <v/>
      </c>
      <c r="Y276" s="4" t="str">
        <f>IF($A276="","",IF(AND(LEFT($G276,3)="ДОК",$N276&lt;&gt;""),IFERROR(INDEX(Документация!$G$2:$G$57,MATCH($N276,Документация!$F$2:$F$57,0)),$D276),$D276&amp;IF(AND(LEFT($G276,3)&lt;&gt;"ДОК",$N276&lt;&gt;"")," — "&amp;IFERROR(INDEX(МАТЕРИАЛЫ!$C$2:$C$9000,MATCH($N276,МАТЕРИАЛЫ!$L$2:$L$9000,0)),""),"")))</f>
        <v>Устройство стяжек цементно-песчаных толщиной 20 мм (добавляется на каждые 20 мм стяжки)</v>
      </c>
      <c r="Z276" t="str">
        <f t="shared" si="34"/>
        <v>Р3 · Внутренние строительные работы</v>
      </c>
    </row>
    <row r="277" spans="1:26" ht="43.2" x14ac:dyDescent="0.3">
      <c r="A277" t="s">
        <v>640</v>
      </c>
      <c r="B277" t="s">
        <v>394</v>
      </c>
      <c r="C277" t="s">
        <v>259</v>
      </c>
      <c r="D277" s="4" t="s">
        <v>641</v>
      </c>
      <c r="E277" t="s">
        <v>52</v>
      </c>
      <c r="F277" s="5">
        <v>761.25</v>
      </c>
      <c r="H277">
        <v>0</v>
      </c>
      <c r="I277" t="s">
        <v>53</v>
      </c>
      <c r="L277" s="6"/>
      <c r="M277" s="6"/>
      <c r="N277" s="6"/>
      <c r="O277" s="5"/>
      <c r="P277" s="7" t="str">
        <f t="shared" si="28"/>
        <v/>
      </c>
      <c r="Q277" s="7" t="str">
        <f t="shared" si="29"/>
        <v/>
      </c>
      <c r="R277" s="7" t="str">
        <f t="shared" si="30"/>
        <v/>
      </c>
      <c r="S277" s="7">
        <f>IF($A277="","",IF(AND(LEFT($G277,3)="ДОК",$N277&lt;&gt;""),IFERROR(INDEX(Документация!$E$2:$E$57,MATCH($N277,Документация!$F$2:$F$57,0)),0),N($F277))*(1-MEDIAN(0,N(ДисконтТендер),1)))</f>
        <v>761.25</v>
      </c>
      <c r="T277" s="7">
        <f>IF($A277="","",IF(AND(LEFT($G277,3)="ДОК",$N277&lt;&gt;""),0,IF(AND(LEFT($G277,3)&lt;&gt;"ДОК",$N277&lt;&gt;""),IFERROR(INDEX(МАТЕРИАЛЫ!$H$2:$H$9000,MATCH($N277,МАТЕРИАЛЫ!$L$2:$L$9000,0))*IF(INDEX(МАТЕРИАЛЫ!$I$2:$I$9000,MATCH($N277,МАТЕРИАЛЫ!$L$2:$L$9000,0))="USD",КурсUSD,IF(INDEX(МАТЕРИАЛЫ!$I$2:$I$9000,MATCH($N277,МАТЕРИАЛЫ!$L$2:$L$9000,0))="EUR",КурсEUR,IF(INDEX(МАТЕРИАЛЫ!$I$2:$I$9000,MATCH($N277,МАТЕРИАЛЫ!$L$2:$L$9000,0))="CNY",КурсCNY,1)))*(1+N($H277)/100),0),N($O277))*(1-MEDIAN(0,N(ДисконтТендер),1))))</f>
        <v>0</v>
      </c>
      <c r="U277" t="str">
        <f>IF($L277="да",MAX($U$1:$U276)+1,"")</f>
        <v/>
      </c>
      <c r="V277" t="str">
        <f t="shared" si="31"/>
        <v>Р3</v>
      </c>
      <c r="W277" t="str">
        <f t="shared" si="32"/>
        <v/>
      </c>
      <c r="X277" t="str">
        <f t="shared" si="33"/>
        <v/>
      </c>
      <c r="Y277" s="4" t="str">
        <f>IF($A277="","",IF(AND(LEFT($G277,3)="ДОК",$N277&lt;&gt;""),IFERROR(INDEX(Документация!$G$2:$G$57,MATCH($N277,Документация!$F$2:$F$57,0)),$D277),$D277&amp;IF(AND(LEFT($G277,3)&lt;&gt;"ДОК",$N277&lt;&gt;"")," — "&amp;IFERROR(INDEX(МАТЕРИАЛЫ!$C$2:$C$9000,MATCH($N277,МАТЕРИАЛЫ!$L$2:$L$9000,0)),""),"")))</f>
        <v>Устройство стяжек цементно-песчаных толщиной более 50 мм (добавляется на каждые 50 мм стяжки)</v>
      </c>
      <c r="Z277" t="str">
        <f t="shared" si="34"/>
        <v>Р3 · Внутренние строительные работы</v>
      </c>
    </row>
    <row r="278" spans="1:26" ht="28.8" x14ac:dyDescent="0.3">
      <c r="A278" t="s">
        <v>642</v>
      </c>
      <c r="B278" t="s">
        <v>394</v>
      </c>
      <c r="C278" t="s">
        <v>259</v>
      </c>
      <c r="D278" s="4" t="s">
        <v>643</v>
      </c>
      <c r="E278" t="s">
        <v>52</v>
      </c>
      <c r="F278" s="5">
        <v>634.67999999999995</v>
      </c>
      <c r="H278">
        <v>0</v>
      </c>
      <c r="I278" t="s">
        <v>53</v>
      </c>
      <c r="L278" s="6"/>
      <c r="M278" s="6"/>
      <c r="N278" s="6"/>
      <c r="O278" s="5"/>
      <c r="P278" s="7" t="str">
        <f t="shared" si="28"/>
        <v/>
      </c>
      <c r="Q278" s="7" t="str">
        <f t="shared" si="29"/>
        <v/>
      </c>
      <c r="R278" s="7" t="str">
        <f t="shared" si="30"/>
        <v/>
      </c>
      <c r="S278" s="7">
        <f>IF($A278="","",IF(AND(LEFT($G278,3)="ДОК",$N278&lt;&gt;""),IFERROR(INDEX(Документация!$E$2:$E$57,MATCH($N278,Документация!$F$2:$F$57,0)),0),N($F278))*(1-MEDIAN(0,N(ДисконтТендер),1)))</f>
        <v>634.67999999999995</v>
      </c>
      <c r="T278" s="7">
        <f>IF($A278="","",IF(AND(LEFT($G278,3)="ДОК",$N278&lt;&gt;""),0,IF(AND(LEFT($G278,3)&lt;&gt;"ДОК",$N278&lt;&gt;""),IFERROR(INDEX(МАТЕРИАЛЫ!$H$2:$H$9000,MATCH($N278,МАТЕРИАЛЫ!$L$2:$L$9000,0))*IF(INDEX(МАТЕРИАЛЫ!$I$2:$I$9000,MATCH($N278,МАТЕРИАЛЫ!$L$2:$L$9000,0))="USD",КурсUSD,IF(INDEX(МАТЕРИАЛЫ!$I$2:$I$9000,MATCH($N278,МАТЕРИАЛЫ!$L$2:$L$9000,0))="EUR",КурсEUR,IF(INDEX(МАТЕРИАЛЫ!$I$2:$I$9000,MATCH($N278,МАТЕРИАЛЫ!$L$2:$L$9000,0))="CNY",КурсCNY,1)))*(1+N($H278)/100),0),N($O278))*(1-MEDIAN(0,N(ДисконтТендер),1))))</f>
        <v>0</v>
      </c>
      <c r="U278" t="str">
        <f>IF($L278="да",MAX($U$1:$U277)+1,"")</f>
        <v/>
      </c>
      <c r="V278" t="str">
        <f t="shared" si="31"/>
        <v>Р3</v>
      </c>
      <c r="W278" t="str">
        <f t="shared" si="32"/>
        <v/>
      </c>
      <c r="X278" t="str">
        <f t="shared" si="33"/>
        <v/>
      </c>
      <c r="Y278" s="4" t="str">
        <f>IF($A278="","",IF(AND(LEFT($G278,3)="ДОК",$N278&lt;&gt;""),IFERROR(INDEX(Документация!$G$2:$G$57,MATCH($N278,Документация!$F$2:$F$57,0)),$D278),$D278&amp;IF(AND(LEFT($G278,3)&lt;&gt;"ДОК",$N278&lt;&gt;"")," — "&amp;IFERROR(INDEX(МАТЕРИАЛЫ!$C$2:$C$9000,MATCH($N278,МАТЕРИАЛЫ!$L$2:$L$9000,0)),""),"")))</f>
        <v>Устройство самовыравнивающейся стяжки типа Vetonit (толщина 5 мм)</v>
      </c>
      <c r="Z278" t="str">
        <f t="shared" si="34"/>
        <v>Р3 · Внутренние строительные работы</v>
      </c>
    </row>
    <row r="279" spans="1:26" ht="28.8" x14ac:dyDescent="0.3">
      <c r="A279" t="s">
        <v>644</v>
      </c>
      <c r="B279" t="s">
        <v>394</v>
      </c>
      <c r="C279" t="s">
        <v>259</v>
      </c>
      <c r="D279" s="4" t="s">
        <v>645</v>
      </c>
      <c r="E279" t="s">
        <v>52</v>
      </c>
      <c r="F279" s="5">
        <v>172.26</v>
      </c>
      <c r="H279">
        <v>0</v>
      </c>
      <c r="I279" t="s">
        <v>53</v>
      </c>
      <c r="L279" s="6"/>
      <c r="M279" s="6"/>
      <c r="N279" s="6"/>
      <c r="O279" s="5"/>
      <c r="P279" s="7" t="str">
        <f t="shared" si="28"/>
        <v/>
      </c>
      <c r="Q279" s="7" t="str">
        <f t="shared" si="29"/>
        <v/>
      </c>
      <c r="R279" s="7" t="str">
        <f t="shared" si="30"/>
        <v/>
      </c>
      <c r="S279" s="7">
        <f>IF($A279="","",IF(AND(LEFT($G279,3)="ДОК",$N279&lt;&gt;""),IFERROR(INDEX(Документация!$E$2:$E$57,MATCH($N279,Документация!$F$2:$F$57,0)),0),N($F279))*(1-MEDIAN(0,N(ДисконтТендер),1)))</f>
        <v>172.26</v>
      </c>
      <c r="T279" s="7">
        <f>IF($A279="","",IF(AND(LEFT($G279,3)="ДОК",$N279&lt;&gt;""),0,IF(AND(LEFT($G279,3)&lt;&gt;"ДОК",$N279&lt;&gt;""),IFERROR(INDEX(МАТЕРИАЛЫ!$H$2:$H$9000,MATCH($N279,МАТЕРИАЛЫ!$L$2:$L$9000,0))*IF(INDEX(МАТЕРИАЛЫ!$I$2:$I$9000,MATCH($N279,МАТЕРИАЛЫ!$L$2:$L$9000,0))="USD",КурсUSD,IF(INDEX(МАТЕРИАЛЫ!$I$2:$I$9000,MATCH($N279,МАТЕРИАЛЫ!$L$2:$L$9000,0))="EUR",КурсEUR,IF(INDEX(МАТЕРИАЛЫ!$I$2:$I$9000,MATCH($N279,МАТЕРИАЛЫ!$L$2:$L$9000,0))="CNY",КурсCNY,1)))*(1+N($H279)/100),0),N($O279))*(1-MEDIAN(0,N(ДисконтТендер),1))))</f>
        <v>0</v>
      </c>
      <c r="U279" t="str">
        <f>IF($L279="да",MAX($U$1:$U278)+1,"")</f>
        <v/>
      </c>
      <c r="V279" t="str">
        <f t="shared" si="31"/>
        <v>Р3</v>
      </c>
      <c r="W279" t="str">
        <f t="shared" si="32"/>
        <v/>
      </c>
      <c r="X279" t="str">
        <f t="shared" si="33"/>
        <v/>
      </c>
      <c r="Y279" s="4" t="str">
        <f>IF($A279="","",IF(AND(LEFT($G279,3)="ДОК",$N279&lt;&gt;""),IFERROR(INDEX(Документация!$G$2:$G$57,MATCH($N279,Документация!$F$2:$F$57,0)),$D279),$D279&amp;IF(AND(LEFT($G279,3)&lt;&gt;"ДОК",$N279&lt;&gt;"")," — "&amp;IFERROR(INDEX(МАТЕРИАЛЫ!$C$2:$C$9000,MATCH($N279,МАТЕРИАЛЫ!$L$2:$L$9000,0)),""),"")))</f>
        <v>Укладка дорожной металлической сетки 100х100 диаметром 4мм</v>
      </c>
      <c r="Z279" t="str">
        <f t="shared" si="34"/>
        <v>Р3 · Внутренние строительные работы</v>
      </c>
    </row>
    <row r="280" spans="1:26" x14ac:dyDescent="0.3">
      <c r="A280" t="s">
        <v>646</v>
      </c>
      <c r="B280" t="s">
        <v>394</v>
      </c>
      <c r="C280" t="s">
        <v>259</v>
      </c>
      <c r="D280" s="4" t="s">
        <v>647</v>
      </c>
      <c r="E280" t="s">
        <v>52</v>
      </c>
      <c r="F280" s="5">
        <v>65.25</v>
      </c>
      <c r="H280">
        <v>0</v>
      </c>
      <c r="I280" t="s">
        <v>53</v>
      </c>
      <c r="L280" s="6"/>
      <c r="M280" s="6"/>
      <c r="N280" s="6"/>
      <c r="O280" s="5"/>
      <c r="P280" s="7" t="str">
        <f t="shared" si="28"/>
        <v/>
      </c>
      <c r="Q280" s="7" t="str">
        <f t="shared" si="29"/>
        <v/>
      </c>
      <c r="R280" s="7" t="str">
        <f t="shared" si="30"/>
        <v/>
      </c>
      <c r="S280" s="7">
        <f>IF($A280="","",IF(AND(LEFT($G280,3)="ДОК",$N280&lt;&gt;""),IFERROR(INDEX(Документация!$E$2:$E$57,MATCH($N280,Документация!$F$2:$F$57,0)),0),N($F280))*(1-MEDIAN(0,N(ДисконтТендер),1)))</f>
        <v>65.25</v>
      </c>
      <c r="T280" s="7">
        <f>IF($A280="","",IF(AND(LEFT($G280,3)="ДОК",$N280&lt;&gt;""),0,IF(AND(LEFT($G280,3)&lt;&gt;"ДОК",$N280&lt;&gt;""),IFERROR(INDEX(МАТЕРИАЛЫ!$H$2:$H$9000,MATCH($N280,МАТЕРИАЛЫ!$L$2:$L$9000,0))*IF(INDEX(МАТЕРИАЛЫ!$I$2:$I$9000,MATCH($N280,МАТЕРИАЛЫ!$L$2:$L$9000,0))="USD",КурсUSD,IF(INDEX(МАТЕРИАЛЫ!$I$2:$I$9000,MATCH($N280,МАТЕРИАЛЫ!$L$2:$L$9000,0))="EUR",КурсEUR,IF(INDEX(МАТЕРИАЛЫ!$I$2:$I$9000,MATCH($N280,МАТЕРИАЛЫ!$L$2:$L$9000,0))="CNY",КурсCNY,1)))*(1+N($H280)/100),0),N($O280))*(1-MEDIAN(0,N(ДисконтТендер),1))))</f>
        <v>0</v>
      </c>
      <c r="U280" t="str">
        <f>IF($L280="да",MAX($U$1:$U279)+1,"")</f>
        <v/>
      </c>
      <c r="V280" t="str">
        <f t="shared" si="31"/>
        <v>Р3</v>
      </c>
      <c r="W280" t="str">
        <f t="shared" si="32"/>
        <v/>
      </c>
      <c r="X280" t="str">
        <f t="shared" si="33"/>
        <v/>
      </c>
      <c r="Y280" s="4" t="str">
        <f>IF($A280="","",IF(AND(LEFT($G280,3)="ДОК",$N280&lt;&gt;""),IFERROR(INDEX(Документация!$G$2:$G$57,MATCH($N280,Документация!$F$2:$F$57,0)),$D280),$D280&amp;IF(AND(LEFT($G280,3)&lt;&gt;"ДОК",$N280&lt;&gt;"")," — "&amp;IFERROR(INDEX(МАТЕРИАЛЫ!$C$2:$C$9000,MATCH($N280,МАТЕРИАЛЫ!$L$2:$L$9000,0)),""),"")))</f>
        <v>Грунтовка пола за два раза</v>
      </c>
      <c r="Z280" t="str">
        <f t="shared" si="34"/>
        <v>Р3 · Внутренние строительные работы</v>
      </c>
    </row>
    <row r="281" spans="1:26" ht="28.8" x14ac:dyDescent="0.3">
      <c r="A281" t="s">
        <v>648</v>
      </c>
      <c r="B281" t="s">
        <v>394</v>
      </c>
      <c r="C281" t="s">
        <v>259</v>
      </c>
      <c r="D281" s="4" t="s">
        <v>649</v>
      </c>
      <c r="E281" t="s">
        <v>52</v>
      </c>
      <c r="F281" s="5">
        <v>81.430000000000007</v>
      </c>
      <c r="H281">
        <v>0</v>
      </c>
      <c r="I281" t="s">
        <v>53</v>
      </c>
      <c r="L281" s="6"/>
      <c r="M281" s="6"/>
      <c r="N281" s="6"/>
      <c r="O281" s="5"/>
      <c r="P281" s="7" t="str">
        <f t="shared" si="28"/>
        <v/>
      </c>
      <c r="Q281" s="7" t="str">
        <f t="shared" si="29"/>
        <v/>
      </c>
      <c r="R281" s="7" t="str">
        <f t="shared" si="30"/>
        <v/>
      </c>
      <c r="S281" s="7">
        <f>IF($A281="","",IF(AND(LEFT($G281,3)="ДОК",$N281&lt;&gt;""),IFERROR(INDEX(Документация!$E$2:$E$57,MATCH($N281,Документация!$F$2:$F$57,0)),0),N($F281))*(1-MEDIAN(0,N(ДисконтТендер),1)))</f>
        <v>81.430000000000007</v>
      </c>
      <c r="T281" s="7">
        <f>IF($A281="","",IF(AND(LEFT($G281,3)="ДОК",$N281&lt;&gt;""),0,IF(AND(LEFT($G281,3)&lt;&gt;"ДОК",$N281&lt;&gt;""),IFERROR(INDEX(МАТЕРИАЛЫ!$H$2:$H$9000,MATCH($N281,МАТЕРИАЛЫ!$L$2:$L$9000,0))*IF(INDEX(МАТЕРИАЛЫ!$I$2:$I$9000,MATCH($N281,МАТЕРИАЛЫ!$L$2:$L$9000,0))="USD",КурсUSD,IF(INDEX(МАТЕРИАЛЫ!$I$2:$I$9000,MATCH($N281,МАТЕРИАЛЫ!$L$2:$L$9000,0))="EUR",КурсEUR,IF(INDEX(МАТЕРИАЛЫ!$I$2:$I$9000,MATCH($N281,МАТЕРИАЛЫ!$L$2:$L$9000,0))="CNY",КурсCNY,1)))*(1+N($H281)/100),0),N($O281))*(1-MEDIAN(0,N(ДисконтТендер),1))))</f>
        <v>0</v>
      </c>
      <c r="U281" t="str">
        <f>IF($L281="да",MAX($U$1:$U280)+1,"")</f>
        <v/>
      </c>
      <c r="V281" t="str">
        <f t="shared" si="31"/>
        <v>Р3</v>
      </c>
      <c r="W281" t="str">
        <f t="shared" si="32"/>
        <v/>
      </c>
      <c r="X281" t="str">
        <f t="shared" si="33"/>
        <v/>
      </c>
      <c r="Y281" s="4" t="str">
        <f>IF($A281="","",IF(AND(LEFT($G281,3)="ДОК",$N281&lt;&gt;""),IFERROR(INDEX(Документация!$G$2:$G$57,MATCH($N281,Документация!$F$2:$F$57,0)),$D281),$D281&amp;IF(AND(LEFT($G281,3)&lt;&gt;"ДОК",$N281&lt;&gt;"")," — "&amp;IFERROR(INDEX(МАТЕРИАЛЫ!$C$2:$C$9000,MATCH($N281,МАТЕРИАЛЫ!$L$2:$L$9000,0)),""),"")))</f>
        <v>Обработка поверхности составом "Бетоноконтакт"</v>
      </c>
      <c r="Z281" t="str">
        <f t="shared" si="34"/>
        <v>Р3 · Внутренние строительные работы</v>
      </c>
    </row>
    <row r="282" spans="1:26" ht="28.8" x14ac:dyDescent="0.3">
      <c r="A282" t="s">
        <v>650</v>
      </c>
      <c r="B282" t="s">
        <v>394</v>
      </c>
      <c r="C282" t="s">
        <v>259</v>
      </c>
      <c r="D282" s="4" t="s">
        <v>651</v>
      </c>
      <c r="E282" t="s">
        <v>52</v>
      </c>
      <c r="F282" s="5">
        <v>478.5</v>
      </c>
      <c r="H282">
        <v>0</v>
      </c>
      <c r="I282" t="s">
        <v>53</v>
      </c>
      <c r="L282" s="6"/>
      <c r="M282" s="6"/>
      <c r="N282" s="6"/>
      <c r="O282" s="5"/>
      <c r="P282" s="7" t="str">
        <f t="shared" si="28"/>
        <v/>
      </c>
      <c r="Q282" s="7" t="str">
        <f t="shared" si="29"/>
        <v/>
      </c>
      <c r="R282" s="7" t="str">
        <f t="shared" si="30"/>
        <v/>
      </c>
      <c r="S282" s="7">
        <f>IF($A282="","",IF(AND(LEFT($G282,3)="ДОК",$N282&lt;&gt;""),IFERROR(INDEX(Документация!$E$2:$E$57,MATCH($N282,Документация!$F$2:$F$57,0)),0),N($F282))*(1-MEDIAN(0,N(ДисконтТендер),1)))</f>
        <v>478.5</v>
      </c>
      <c r="T282" s="7">
        <f>IF($A282="","",IF(AND(LEFT($G282,3)="ДОК",$N282&lt;&gt;""),0,IF(AND(LEFT($G282,3)&lt;&gt;"ДОК",$N282&lt;&gt;""),IFERROR(INDEX(МАТЕРИАЛЫ!$H$2:$H$9000,MATCH($N282,МАТЕРИАЛЫ!$L$2:$L$9000,0))*IF(INDEX(МАТЕРИАЛЫ!$I$2:$I$9000,MATCH($N282,МАТЕРИАЛЫ!$L$2:$L$9000,0))="USD",КурсUSD,IF(INDEX(МАТЕРИАЛЫ!$I$2:$I$9000,MATCH($N282,МАТЕРИАЛЫ!$L$2:$L$9000,0))="EUR",КурсEUR,IF(INDEX(МАТЕРИАЛЫ!$I$2:$I$9000,MATCH($N282,МАТЕРИАЛЫ!$L$2:$L$9000,0))="CNY",КурсCNY,1)))*(1+N($H282)/100),0),N($O282))*(1-MEDIAN(0,N(ДисконтТендер),1))))</f>
        <v>0</v>
      </c>
      <c r="U282" t="str">
        <f>IF($L282="да",MAX($U$1:$U281)+1,"")</f>
        <v/>
      </c>
      <c r="V282" t="str">
        <f t="shared" si="31"/>
        <v>Р3</v>
      </c>
      <c r="W282" t="str">
        <f t="shared" si="32"/>
        <v/>
      </c>
      <c r="X282" t="str">
        <f t="shared" si="33"/>
        <v/>
      </c>
      <c r="Y282" s="4" t="str">
        <f>IF($A282="","",IF(AND(LEFT($G282,3)="ДОК",$N282&lt;&gt;""),IFERROR(INDEX(Документация!$G$2:$G$57,MATCH($N282,Документация!$F$2:$F$57,0)),$D282),$D282&amp;IF(AND(LEFT($G282,3)&lt;&gt;"ДОК",$N282&lt;&gt;"")," — "&amp;IFERROR(INDEX(МАТЕРИАЛЫ!$C$2:$C$9000,MATCH($N282,МАТЕРИАЛЫ!$L$2:$L$9000,0)),""),"")))</f>
        <v>Устройство горизонтальной обмазочной гидроизоляции с захлестом на стены на 15см</v>
      </c>
      <c r="Z282" t="str">
        <f t="shared" si="34"/>
        <v>Р3 · Внутренние строительные работы</v>
      </c>
    </row>
    <row r="283" spans="1:26" ht="43.2" x14ac:dyDescent="0.3">
      <c r="A283" t="s">
        <v>652</v>
      </c>
      <c r="B283" t="s">
        <v>394</v>
      </c>
      <c r="C283" t="s">
        <v>259</v>
      </c>
      <c r="D283" s="4" t="s">
        <v>653</v>
      </c>
      <c r="E283" t="s">
        <v>52</v>
      </c>
      <c r="F283" s="5">
        <v>0</v>
      </c>
      <c r="H283">
        <v>0</v>
      </c>
      <c r="I283" t="s">
        <v>53</v>
      </c>
      <c r="L283" s="6"/>
      <c r="M283" s="6"/>
      <c r="N283" s="6"/>
      <c r="O283" s="5"/>
      <c r="P283" s="7" t="str">
        <f t="shared" si="28"/>
        <v/>
      </c>
      <c r="Q283" s="7" t="str">
        <f t="shared" si="29"/>
        <v/>
      </c>
      <c r="R283" s="7" t="str">
        <f t="shared" si="30"/>
        <v/>
      </c>
      <c r="S283" s="7">
        <f>IF($A283="","",IF(AND(LEFT($G283,3)="ДОК",$N283&lt;&gt;""),IFERROR(INDEX(Документация!$E$2:$E$57,MATCH($N283,Документация!$F$2:$F$57,0)),0),N($F283))*(1-MEDIAN(0,N(ДисконтТендер),1)))</f>
        <v>0</v>
      </c>
      <c r="T283" s="7">
        <f>IF($A283="","",IF(AND(LEFT($G283,3)="ДОК",$N283&lt;&gt;""),0,IF(AND(LEFT($G283,3)&lt;&gt;"ДОК",$N283&lt;&gt;""),IFERROR(INDEX(МАТЕРИАЛЫ!$H$2:$H$9000,MATCH($N283,МАТЕРИАЛЫ!$L$2:$L$9000,0))*IF(INDEX(МАТЕРИАЛЫ!$I$2:$I$9000,MATCH($N283,МАТЕРИАЛЫ!$L$2:$L$9000,0))="USD",КурсUSD,IF(INDEX(МАТЕРИАЛЫ!$I$2:$I$9000,MATCH($N283,МАТЕРИАЛЫ!$L$2:$L$9000,0))="EUR",КурсEUR,IF(INDEX(МАТЕРИАЛЫ!$I$2:$I$9000,MATCH($N283,МАТЕРИАЛЫ!$L$2:$L$9000,0))="CNY",КурсCNY,1)))*(1+N($H283)/100),0),N($O283))*(1-MEDIAN(0,N(ДисконтТендер),1))))</f>
        <v>0</v>
      </c>
      <c r="U283" t="str">
        <f>IF($L283="да",MAX($U$1:$U282)+1,"")</f>
        <v/>
      </c>
      <c r="V283" t="str">
        <f t="shared" si="31"/>
        <v>Р3</v>
      </c>
      <c r="W283" t="str">
        <f t="shared" si="32"/>
        <v/>
      </c>
      <c r="X283" t="str">
        <f t="shared" si="33"/>
        <v/>
      </c>
      <c r="Y283" s="4" t="str">
        <f>IF($A283="","",IF(AND(LEFT($G283,3)="ДОК",$N283&lt;&gt;""),IFERROR(INDEX(Документация!$G$2:$G$57,MATCH($N283,Документация!$F$2:$F$57,0)),$D283),$D283&amp;IF(AND(LEFT($G283,3)&lt;&gt;"ДОК",$N283&lt;&gt;"")," — "&amp;IFERROR(INDEX(МАТЕРИАЛЫ!$C$2:$C$9000,MATCH($N283,МАТЕРИАЛЫ!$L$2:$L$9000,0)),""),"")))</f>
        <v>Подготовка под устройство гидроизоляции (просушка, шлифовка адгезионная, локальный ремонт)</v>
      </c>
      <c r="Z283" t="str">
        <f t="shared" si="34"/>
        <v>Р3 · Внутренние строительные работы</v>
      </c>
    </row>
    <row r="284" spans="1:26" ht="28.8" x14ac:dyDescent="0.3">
      <c r="A284" t="s">
        <v>654</v>
      </c>
      <c r="B284" t="s">
        <v>394</v>
      </c>
      <c r="C284" t="s">
        <v>259</v>
      </c>
      <c r="D284" s="4" t="s">
        <v>655</v>
      </c>
      <c r="E284" t="s">
        <v>52</v>
      </c>
      <c r="F284" s="5">
        <v>0</v>
      </c>
      <c r="H284">
        <v>0</v>
      </c>
      <c r="I284" t="s">
        <v>53</v>
      </c>
      <c r="L284" s="6"/>
      <c r="M284" s="6"/>
      <c r="N284" s="6"/>
      <c r="O284" s="5"/>
      <c r="P284" s="7" t="str">
        <f t="shared" si="28"/>
        <v/>
      </c>
      <c r="Q284" s="7" t="str">
        <f t="shared" si="29"/>
        <v/>
      </c>
      <c r="R284" s="7" t="str">
        <f t="shared" si="30"/>
        <v/>
      </c>
      <c r="S284" s="7">
        <f>IF($A284="","",IF(AND(LEFT($G284,3)="ДОК",$N284&lt;&gt;""),IFERROR(INDEX(Документация!$E$2:$E$57,MATCH($N284,Документация!$F$2:$F$57,0)),0),N($F284))*(1-MEDIAN(0,N(ДисконтТендер),1)))</f>
        <v>0</v>
      </c>
      <c r="T284" s="7">
        <f>IF($A284="","",IF(AND(LEFT($G284,3)="ДОК",$N284&lt;&gt;""),0,IF(AND(LEFT($G284,3)&lt;&gt;"ДОК",$N284&lt;&gt;""),IFERROR(INDEX(МАТЕРИАЛЫ!$H$2:$H$9000,MATCH($N284,МАТЕРИАЛЫ!$L$2:$L$9000,0))*IF(INDEX(МАТЕРИАЛЫ!$I$2:$I$9000,MATCH($N284,МАТЕРИАЛЫ!$L$2:$L$9000,0))="USD",КурсUSD,IF(INDEX(МАТЕРИАЛЫ!$I$2:$I$9000,MATCH($N284,МАТЕРИАЛЫ!$L$2:$L$9000,0))="EUR",КурсEUR,IF(INDEX(МАТЕРИАЛЫ!$I$2:$I$9000,MATCH($N284,МАТЕРИАЛЫ!$L$2:$L$9000,0))="CNY",КурсCNY,1)))*(1+N($H284)/100),0),N($O284))*(1-MEDIAN(0,N(ДисконтТендер),1))))</f>
        <v>0</v>
      </c>
      <c r="U284" t="str">
        <f>IF($L284="да",MAX($U$1:$U283)+1,"")</f>
        <v/>
      </c>
      <c r="V284" t="str">
        <f t="shared" si="31"/>
        <v>Р3</v>
      </c>
      <c r="W284" t="str">
        <f t="shared" si="32"/>
        <v/>
      </c>
      <c r="X284" t="str">
        <f t="shared" si="33"/>
        <v/>
      </c>
      <c r="Y284" s="4" t="str">
        <f>IF($A284="","",IF(AND(LEFT($G284,3)="ДОК",$N284&lt;&gt;""),IFERROR(INDEX(Документация!$G$2:$G$57,MATCH($N284,Документация!$F$2:$F$57,0)),$D284),$D284&amp;IF(AND(LEFT($G284,3)&lt;&gt;"ДОК",$N284&lt;&gt;"")," — "&amp;IFERROR(INDEX(МАТЕРИАЛЫ!$C$2:$C$9000,MATCH($N284,МАТЕРИАЛЫ!$L$2:$L$9000,0)),""),"")))</f>
        <v>Нанесение обмазочной гидроизоляции на пол в 2 слоя</v>
      </c>
      <c r="Z284" t="str">
        <f t="shared" si="34"/>
        <v>Р3 · Внутренние строительные работы</v>
      </c>
    </row>
    <row r="285" spans="1:26" ht="28.8" x14ac:dyDescent="0.3">
      <c r="A285" t="s">
        <v>656</v>
      </c>
      <c r="B285" t="s">
        <v>394</v>
      </c>
      <c r="C285" t="s">
        <v>259</v>
      </c>
      <c r="D285" s="4" t="s">
        <v>657</v>
      </c>
      <c r="E285" t="s">
        <v>52</v>
      </c>
      <c r="F285" s="5">
        <v>0</v>
      </c>
      <c r="H285">
        <v>0</v>
      </c>
      <c r="I285" t="s">
        <v>53</v>
      </c>
      <c r="L285" s="6"/>
      <c r="M285" s="6"/>
      <c r="N285" s="6"/>
      <c r="O285" s="5"/>
      <c r="P285" s="7" t="str">
        <f t="shared" si="28"/>
        <v/>
      </c>
      <c r="Q285" s="7" t="str">
        <f t="shared" si="29"/>
        <v/>
      </c>
      <c r="R285" s="7" t="str">
        <f t="shared" si="30"/>
        <v/>
      </c>
      <c r="S285" s="7">
        <f>IF($A285="","",IF(AND(LEFT($G285,3)="ДОК",$N285&lt;&gt;""),IFERROR(INDEX(Документация!$E$2:$E$57,MATCH($N285,Документация!$F$2:$F$57,0)),0),N($F285))*(1-MEDIAN(0,N(ДисконтТендер),1)))</f>
        <v>0</v>
      </c>
      <c r="T285" s="7">
        <f>IF($A285="","",IF(AND(LEFT($G285,3)="ДОК",$N285&lt;&gt;""),0,IF(AND(LEFT($G285,3)&lt;&gt;"ДОК",$N285&lt;&gt;""),IFERROR(INDEX(МАТЕРИАЛЫ!$H$2:$H$9000,MATCH($N285,МАТЕРИАЛЫ!$L$2:$L$9000,0))*IF(INDEX(МАТЕРИАЛЫ!$I$2:$I$9000,MATCH($N285,МАТЕРИАЛЫ!$L$2:$L$9000,0))="USD",КурсUSD,IF(INDEX(МАТЕРИАЛЫ!$I$2:$I$9000,MATCH($N285,МАТЕРИАЛЫ!$L$2:$L$9000,0))="EUR",КурсEUR,IF(INDEX(МАТЕРИАЛЫ!$I$2:$I$9000,MATCH($N285,МАТЕРИАЛЫ!$L$2:$L$9000,0))="CNY",КурсCNY,1)))*(1+N($H285)/100),0),N($O285))*(1-MEDIAN(0,N(ДисконтТендер),1))))</f>
        <v>0</v>
      </c>
      <c r="U285" t="str">
        <f>IF($L285="да",MAX($U$1:$U284)+1,"")</f>
        <v/>
      </c>
      <c r="V285" t="str">
        <f t="shared" si="31"/>
        <v>Р3</v>
      </c>
      <c r="W285" t="str">
        <f t="shared" si="32"/>
        <v/>
      </c>
      <c r="X285" t="str">
        <f t="shared" si="33"/>
        <v/>
      </c>
      <c r="Y285" s="4" t="str">
        <f>IF($A285="","",IF(AND(LEFT($G285,3)="ДОК",$N285&lt;&gt;""),IFERROR(INDEX(Документация!$G$2:$G$57,MATCH($N285,Документация!$F$2:$F$57,0)),$D285),$D285&amp;IF(AND(LEFT($G285,3)&lt;&gt;"ДОК",$N285&lt;&gt;"")," — "&amp;IFERROR(INDEX(МАТЕРИАЛЫ!$C$2:$C$9000,MATCH($N285,МАТЕРИАЛЫ!$L$2:$L$9000,0)),""),"")))</f>
        <v>Нанесение обмазочной гидроизоляции на стены 3 слоя на высоту до 0,5 метров</v>
      </c>
      <c r="Z285" t="str">
        <f t="shared" si="34"/>
        <v>Р3 · Внутренние строительные работы</v>
      </c>
    </row>
    <row r="286" spans="1:26" x14ac:dyDescent="0.3">
      <c r="A286" t="s">
        <v>658</v>
      </c>
      <c r="B286" t="s">
        <v>394</v>
      </c>
      <c r="C286" t="s">
        <v>259</v>
      </c>
      <c r="D286" s="4" t="s">
        <v>659</v>
      </c>
      <c r="E286" t="s">
        <v>52</v>
      </c>
      <c r="F286" s="5">
        <v>0</v>
      </c>
      <c r="H286">
        <v>0</v>
      </c>
      <c r="I286" t="s">
        <v>53</v>
      </c>
      <c r="L286" s="6"/>
      <c r="M286" s="6"/>
      <c r="N286" s="6"/>
      <c r="O286" s="5"/>
      <c r="P286" s="7" t="str">
        <f t="shared" si="28"/>
        <v/>
      </c>
      <c r="Q286" s="7" t="str">
        <f t="shared" si="29"/>
        <v/>
      </c>
      <c r="R286" s="7" t="str">
        <f t="shared" si="30"/>
        <v/>
      </c>
      <c r="S286" s="7">
        <f>IF($A286="","",IF(AND(LEFT($G286,3)="ДОК",$N286&lt;&gt;""),IFERROR(INDEX(Документация!$E$2:$E$57,MATCH($N286,Документация!$F$2:$F$57,0)),0),N($F286))*(1-MEDIAN(0,N(ДисконтТендер),1)))</f>
        <v>0</v>
      </c>
      <c r="T286" s="7">
        <f>IF($A286="","",IF(AND(LEFT($G286,3)="ДОК",$N286&lt;&gt;""),0,IF(AND(LEFT($G286,3)&lt;&gt;"ДОК",$N286&lt;&gt;""),IFERROR(INDEX(МАТЕРИАЛЫ!$H$2:$H$9000,MATCH($N286,МАТЕРИАЛЫ!$L$2:$L$9000,0))*IF(INDEX(МАТЕРИАЛЫ!$I$2:$I$9000,MATCH($N286,МАТЕРИАЛЫ!$L$2:$L$9000,0))="USD",КурсUSD,IF(INDEX(МАТЕРИАЛЫ!$I$2:$I$9000,MATCH($N286,МАТЕРИАЛЫ!$L$2:$L$9000,0))="EUR",КурсEUR,IF(INDEX(МАТЕРИАЛЫ!$I$2:$I$9000,MATCH($N286,МАТЕРИАЛЫ!$L$2:$L$9000,0))="CNY",КурсCNY,1)))*(1+N($H286)/100),0),N($O286))*(1-MEDIAN(0,N(ДисконтТендер),1))))</f>
        <v>0</v>
      </c>
      <c r="U286" t="str">
        <f>IF($L286="да",MAX($U$1:$U285)+1,"")</f>
        <v/>
      </c>
      <c r="V286" t="str">
        <f t="shared" si="31"/>
        <v>Р3</v>
      </c>
      <c r="W286" t="str">
        <f t="shared" si="32"/>
        <v/>
      </c>
      <c r="X286" t="str">
        <f t="shared" si="33"/>
        <v/>
      </c>
      <c r="Y286" s="4" t="str">
        <f>IF($A286="","",IF(AND(LEFT($G286,3)="ДОК",$N286&lt;&gt;""),IFERROR(INDEX(Документация!$G$2:$G$57,MATCH($N286,Документация!$F$2:$F$57,0)),$D286),$D286&amp;IF(AND(LEFT($G286,3)&lt;&gt;"ДОК",$N286&lt;&gt;"")," — "&amp;IFERROR(INDEX(МАТЕРИАЛЫ!$C$2:$C$9000,MATCH($N286,МАТЕРИАЛЫ!$L$2:$L$9000,0)),""),"")))</f>
        <v>Укладка ПВХ плёнки 400 мкм</v>
      </c>
      <c r="Z286" t="str">
        <f t="shared" si="34"/>
        <v>Р3 · Внутренние строительные работы</v>
      </c>
    </row>
    <row r="287" spans="1:26" ht="57.6" x14ac:dyDescent="0.3">
      <c r="A287" t="s">
        <v>660</v>
      </c>
      <c r="B287" t="s">
        <v>394</v>
      </c>
      <c r="C287" t="s">
        <v>259</v>
      </c>
      <c r="D287" s="4" t="s">
        <v>661</v>
      </c>
      <c r="E287" t="s">
        <v>150</v>
      </c>
      <c r="F287" s="5">
        <v>0</v>
      </c>
      <c r="H287">
        <v>0</v>
      </c>
      <c r="I287" t="s">
        <v>53</v>
      </c>
      <c r="L287" s="6"/>
      <c r="M287" s="6"/>
      <c r="N287" s="6"/>
      <c r="O287" s="5"/>
      <c r="P287" s="7" t="str">
        <f t="shared" si="28"/>
        <v/>
      </c>
      <c r="Q287" s="7" t="str">
        <f t="shared" si="29"/>
        <v/>
      </c>
      <c r="R287" s="7" t="str">
        <f t="shared" si="30"/>
        <v/>
      </c>
      <c r="S287" s="7">
        <f>IF($A287="","",IF(AND(LEFT($G287,3)="ДОК",$N287&lt;&gt;""),IFERROR(INDEX(Документация!$E$2:$E$57,MATCH($N287,Документация!$F$2:$F$57,0)),0),N($F287))*(1-MEDIAN(0,N(ДисконтТендер),1)))</f>
        <v>0</v>
      </c>
      <c r="T287" s="7">
        <f>IF($A287="","",IF(AND(LEFT($G287,3)="ДОК",$N287&lt;&gt;""),0,IF(AND(LEFT($G287,3)&lt;&gt;"ДОК",$N287&lt;&gt;""),IFERROR(INDEX(МАТЕРИАЛЫ!$H$2:$H$9000,MATCH($N287,МАТЕРИАЛЫ!$L$2:$L$9000,0))*IF(INDEX(МАТЕРИАЛЫ!$I$2:$I$9000,MATCH($N287,МАТЕРИАЛЫ!$L$2:$L$9000,0))="USD",КурсUSD,IF(INDEX(МАТЕРИАЛЫ!$I$2:$I$9000,MATCH($N287,МАТЕРИАЛЫ!$L$2:$L$9000,0))="EUR",КурсEUR,IF(INDEX(МАТЕРИАЛЫ!$I$2:$I$9000,MATCH($N287,МАТЕРИАЛЫ!$L$2:$L$9000,0))="CNY",КурсCNY,1)))*(1+N($H287)/100),0),N($O287))*(1-MEDIAN(0,N(ДисконтТендер),1))))</f>
        <v>0</v>
      </c>
      <c r="U287" t="str">
        <f>IF($L287="да",MAX($U$1:$U286)+1,"")</f>
        <v/>
      </c>
      <c r="V287" t="str">
        <f t="shared" si="31"/>
        <v>Р3</v>
      </c>
      <c r="W287" t="str">
        <f t="shared" si="32"/>
        <v/>
      </c>
      <c r="X287" t="str">
        <f t="shared" si="33"/>
        <v/>
      </c>
      <c r="Y287" s="4" t="str">
        <f>IF($A287="","",IF(AND(LEFT($G287,3)="ДОК",$N287&lt;&gt;""),IFERROR(INDEX(Документация!$G$2:$G$57,MATCH($N287,Документация!$F$2:$F$57,0)),$D287),$D287&amp;IF(AND(LEFT($G287,3)&lt;&gt;"ДОК",$N287&lt;&gt;"")," — "&amp;IFERROR(INDEX(МАТЕРИАЛЫ!$C$2:$C$9000,MATCH($N287,МАТЕРИАЛЫ!$L$2:$L$9000,0)),""),"")))</f>
        <v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v>
      </c>
      <c r="Z287" t="str">
        <f t="shared" si="34"/>
        <v>Р3 · Внутренние строительные работы</v>
      </c>
    </row>
    <row r="288" spans="1:26" ht="28.8" x14ac:dyDescent="0.3">
      <c r="A288" t="s">
        <v>662</v>
      </c>
      <c r="B288" t="s">
        <v>394</v>
      </c>
      <c r="C288" t="s">
        <v>259</v>
      </c>
      <c r="D288" s="4" t="s">
        <v>663</v>
      </c>
      <c r="E288" t="s">
        <v>52</v>
      </c>
      <c r="F288" s="5">
        <v>0</v>
      </c>
      <c r="G288" t="s">
        <v>664</v>
      </c>
      <c r="H288">
        <v>0</v>
      </c>
      <c r="I288" t="s">
        <v>53</v>
      </c>
      <c r="L288" s="6"/>
      <c r="M288" s="6"/>
      <c r="N288" s="6"/>
      <c r="O288" s="5"/>
      <c r="P288" s="7" t="str">
        <f t="shared" si="28"/>
        <v/>
      </c>
      <c r="Q288" s="7" t="str">
        <f t="shared" si="29"/>
        <v/>
      </c>
      <c r="R288" s="7" t="str">
        <f t="shared" si="30"/>
        <v/>
      </c>
      <c r="S288" s="7">
        <f>IF($A288="","",IF(AND(LEFT($G288,3)="ДОК",$N288&lt;&gt;""),IFERROR(INDEX(Документация!$E$2:$E$57,MATCH($N288,Документация!$F$2:$F$57,0)),0),N($F288))*(1-MEDIAN(0,N(ДисконтТендер),1)))</f>
        <v>0</v>
      </c>
      <c r="T288" s="7">
        <f>IF($A288="","",IF(AND(LEFT($G288,3)="ДОК",$N288&lt;&gt;""),0,IF(AND(LEFT($G288,3)&lt;&gt;"ДОК",$N288&lt;&gt;""),IFERROR(INDEX(МАТЕРИАЛЫ!$H$2:$H$9000,MATCH($N288,МАТЕРИАЛЫ!$L$2:$L$9000,0))*IF(INDEX(МАТЕРИАЛЫ!$I$2:$I$9000,MATCH($N288,МАТЕРИАЛЫ!$L$2:$L$9000,0))="USD",КурсUSD,IF(INDEX(МАТЕРИАЛЫ!$I$2:$I$9000,MATCH($N288,МАТЕРИАЛЫ!$L$2:$L$9000,0))="EUR",КурсEUR,IF(INDEX(МАТЕРИАЛЫ!$I$2:$I$9000,MATCH($N288,МАТЕРИАЛЫ!$L$2:$L$9000,0))="CNY",КурсCNY,1)))*(1+N($H288)/100),0),N($O288))*(1-MEDIAN(0,N(ДисконтТендер),1))))</f>
        <v>0</v>
      </c>
      <c r="U288" t="str">
        <f>IF($L288="да",MAX($U$1:$U287)+1,"")</f>
        <v/>
      </c>
      <c r="V288" t="str">
        <f t="shared" si="31"/>
        <v>Р3</v>
      </c>
      <c r="W288" t="str">
        <f t="shared" si="32"/>
        <v/>
      </c>
      <c r="X288" t="str">
        <f t="shared" si="33"/>
        <v/>
      </c>
      <c r="Y288" s="4" t="str">
        <f>IF($A288="","",IF(AND(LEFT($G288,3)="ДОК",$N288&lt;&gt;""),IFERROR(INDEX(Документация!$G$2:$G$57,MATCH($N288,Документация!$F$2:$F$57,0)),$D288),$D288&amp;IF(AND(LEFT($G288,3)&lt;&gt;"ДОК",$N288&lt;&gt;"")," — "&amp;IFERROR(INDEX(МАТЕРИАЛЫ!$C$2:$C$9000,MATCH($N288,МАТЕРИАЛЫ!$L$2:$L$9000,0)),""),"")))</f>
        <v>Затирка бетоноотделочными машинами с внесением сухого упрочнителя 4 кг/м2</v>
      </c>
      <c r="Z288" t="str">
        <f t="shared" si="34"/>
        <v>Р3 · Внутренние строительные работы</v>
      </c>
    </row>
    <row r="289" spans="1:26" ht="43.2" x14ac:dyDescent="0.3">
      <c r="A289" t="s">
        <v>665</v>
      </c>
      <c r="B289" t="s">
        <v>394</v>
      </c>
      <c r="C289" t="s">
        <v>259</v>
      </c>
      <c r="D289" s="4" t="s">
        <v>666</v>
      </c>
      <c r="E289" t="s">
        <v>52</v>
      </c>
      <c r="F289" s="5">
        <v>0</v>
      </c>
      <c r="G289" t="s">
        <v>664</v>
      </c>
      <c r="H289">
        <v>0</v>
      </c>
      <c r="I289" t="s">
        <v>53</v>
      </c>
      <c r="L289" s="6"/>
      <c r="M289" s="6"/>
      <c r="N289" s="6"/>
      <c r="O289" s="5"/>
      <c r="P289" s="7" t="str">
        <f t="shared" si="28"/>
        <v/>
      </c>
      <c r="Q289" s="7" t="str">
        <f t="shared" si="29"/>
        <v/>
      </c>
      <c r="R289" s="7" t="str">
        <f t="shared" si="30"/>
        <v/>
      </c>
      <c r="S289" s="7">
        <f>IF($A289="","",IF(AND(LEFT($G289,3)="ДОК",$N289&lt;&gt;""),IFERROR(INDEX(Документация!$E$2:$E$57,MATCH($N289,Документация!$F$2:$F$57,0)),0),N($F289))*(1-MEDIAN(0,N(ДисконтТендер),1)))</f>
        <v>0</v>
      </c>
      <c r="T289" s="7">
        <f>IF($A289="","",IF(AND(LEFT($G289,3)="ДОК",$N289&lt;&gt;""),0,IF(AND(LEFT($G289,3)&lt;&gt;"ДОК",$N289&lt;&gt;""),IFERROR(INDEX(МАТЕРИАЛЫ!$H$2:$H$9000,MATCH($N289,МАТЕРИАЛЫ!$L$2:$L$9000,0))*IF(INDEX(МАТЕРИАЛЫ!$I$2:$I$9000,MATCH($N289,МАТЕРИАЛЫ!$L$2:$L$9000,0))="USD",КурсUSD,IF(INDEX(МАТЕРИАЛЫ!$I$2:$I$9000,MATCH($N289,МАТЕРИАЛЫ!$L$2:$L$9000,0))="EUR",КурсEUR,IF(INDEX(МАТЕРИАЛЫ!$I$2:$I$9000,MATCH($N289,МАТЕРИАЛЫ!$L$2:$L$9000,0))="CNY",КурсCNY,1)))*(1+N($H289)/100),0),N($O289))*(1-MEDIAN(0,N(ДисконтТендер),1))))</f>
        <v>0</v>
      </c>
      <c r="U289" t="str">
        <f>IF($L289="да",MAX($U$1:$U288)+1,"")</f>
        <v/>
      </c>
      <c r="V289" t="str">
        <f t="shared" si="31"/>
        <v>Р3</v>
      </c>
      <c r="W289" t="str">
        <f t="shared" si="32"/>
        <v/>
      </c>
      <c r="X289" t="str">
        <f t="shared" si="33"/>
        <v/>
      </c>
      <c r="Y289" s="4" t="str">
        <f>IF($A289="","",IF(AND(LEFT($G289,3)="ДОК",$N289&lt;&gt;""),IFERROR(INDEX(Документация!$G$2:$G$57,MATCH($N289,Документация!$F$2:$F$57,0)),$D289),$D289&amp;IF(AND(LEFT($G289,3)&lt;&gt;"ДОК",$N289&lt;&gt;"")," — "&amp;IFERROR(INDEX(МАТЕРИАЛЫ!$C$2:$C$9000,MATCH($N289,МАТЕРИАЛЫ!$L$2:$L$9000,0)),""),"")))</f>
        <v>Шлифовка поверхности пола, нанесение жидкого упрочнителя и полировка до степени от 50 до 1500 грит</v>
      </c>
      <c r="Z289" t="str">
        <f t="shared" si="34"/>
        <v>Р3 · Внутренние строительные работы</v>
      </c>
    </row>
    <row r="290" spans="1:26" x14ac:dyDescent="0.3">
      <c r="A290" t="s">
        <v>667</v>
      </c>
      <c r="B290" t="s">
        <v>394</v>
      </c>
      <c r="C290" t="s">
        <v>259</v>
      </c>
      <c r="D290" s="4" t="s">
        <v>668</v>
      </c>
      <c r="E290" t="s">
        <v>52</v>
      </c>
      <c r="F290" s="5">
        <v>0</v>
      </c>
      <c r="H290">
        <v>0</v>
      </c>
      <c r="I290" t="s">
        <v>53</v>
      </c>
      <c r="L290" s="6"/>
      <c r="M290" s="6"/>
      <c r="N290" s="6"/>
      <c r="O290" s="5"/>
      <c r="P290" s="7" t="str">
        <f t="shared" si="28"/>
        <v/>
      </c>
      <c r="Q290" s="7" t="str">
        <f t="shared" si="29"/>
        <v/>
      </c>
      <c r="R290" s="7" t="str">
        <f t="shared" si="30"/>
        <v/>
      </c>
      <c r="S290" s="7">
        <f>IF($A290="","",IF(AND(LEFT($G290,3)="ДОК",$N290&lt;&gt;""),IFERROR(INDEX(Документация!$E$2:$E$57,MATCH($N290,Документация!$F$2:$F$57,0)),0),N($F290))*(1-MEDIAN(0,N(ДисконтТендер),1)))</f>
        <v>0</v>
      </c>
      <c r="T290" s="7">
        <f>IF($A290="","",IF(AND(LEFT($G290,3)="ДОК",$N290&lt;&gt;""),0,IF(AND(LEFT($G290,3)&lt;&gt;"ДОК",$N290&lt;&gt;""),IFERROR(INDEX(МАТЕРИАЛЫ!$H$2:$H$9000,MATCH($N290,МАТЕРИАЛЫ!$L$2:$L$9000,0))*IF(INDEX(МАТЕРИАЛЫ!$I$2:$I$9000,MATCH($N290,МАТЕРИАЛЫ!$L$2:$L$9000,0))="USD",КурсUSD,IF(INDEX(МАТЕРИАЛЫ!$I$2:$I$9000,MATCH($N290,МАТЕРИАЛЫ!$L$2:$L$9000,0))="EUR",КурсEUR,IF(INDEX(МАТЕРИАЛЫ!$I$2:$I$9000,MATCH($N290,МАТЕРИАЛЫ!$L$2:$L$9000,0))="CNY",КурсCNY,1)))*(1+N($H290)/100),0),N($O290))*(1-MEDIAN(0,N(ДисконтТендер),1))))</f>
        <v>0</v>
      </c>
      <c r="U290" t="str">
        <f>IF($L290="да",MAX($U$1:$U289)+1,"")</f>
        <v/>
      </c>
      <c r="V290" t="str">
        <f t="shared" si="31"/>
        <v>Р3</v>
      </c>
      <c r="W290" t="str">
        <f t="shared" si="32"/>
        <v/>
      </c>
      <c r="X290" t="str">
        <f t="shared" si="33"/>
        <v/>
      </c>
      <c r="Y290" s="4" t="str">
        <f>IF($A290="","",IF(AND(LEFT($G290,3)="ДОК",$N290&lt;&gt;""),IFERROR(INDEX(Документация!$G$2:$G$57,MATCH($N290,Документация!$F$2:$F$57,0)),$D290),$D290&amp;IF(AND(LEFT($G290,3)&lt;&gt;"ДОК",$N290&lt;&gt;"")," — "&amp;IFERROR(INDEX(МАТЕРИАЛЫ!$C$2:$C$9000,MATCH($N290,МАТЕРИАЛЫ!$L$2:$L$9000,0)),""),"")))</f>
        <v>Нарезка швов и гермитизация шаг швов 3х3м</v>
      </c>
      <c r="Z290" t="str">
        <f t="shared" si="34"/>
        <v>Р3 · Внутренние строительные работы</v>
      </c>
    </row>
    <row r="291" spans="1:26" ht="43.2" x14ac:dyDescent="0.3">
      <c r="A291" t="s">
        <v>669</v>
      </c>
      <c r="B291" t="s">
        <v>394</v>
      </c>
      <c r="C291" t="s">
        <v>259</v>
      </c>
      <c r="D291" s="4" t="s">
        <v>670</v>
      </c>
      <c r="E291" t="s">
        <v>52</v>
      </c>
      <c r="F291" s="5">
        <v>0</v>
      </c>
      <c r="H291">
        <v>0</v>
      </c>
      <c r="I291" t="s">
        <v>53</v>
      </c>
      <c r="L291" s="6"/>
      <c r="M291" s="6"/>
      <c r="N291" s="6"/>
      <c r="O291" s="5"/>
      <c r="P291" s="7" t="str">
        <f t="shared" si="28"/>
        <v/>
      </c>
      <c r="Q291" s="7" t="str">
        <f t="shared" si="29"/>
        <v/>
      </c>
      <c r="R291" s="7" t="str">
        <f t="shared" si="30"/>
        <v/>
      </c>
      <c r="S291" s="7">
        <f>IF($A291="","",IF(AND(LEFT($G291,3)="ДОК",$N291&lt;&gt;""),IFERROR(INDEX(Документация!$E$2:$E$57,MATCH($N291,Документация!$F$2:$F$57,0)),0),N($F291))*(1-MEDIAN(0,N(ДисконтТендер),1)))</f>
        <v>0</v>
      </c>
      <c r="T291" s="7">
        <f>IF($A291="","",IF(AND(LEFT($G291,3)="ДОК",$N291&lt;&gt;""),0,IF(AND(LEFT($G291,3)&lt;&gt;"ДОК",$N291&lt;&gt;""),IFERROR(INDEX(МАТЕРИАЛЫ!$H$2:$H$9000,MATCH($N291,МАТЕРИАЛЫ!$L$2:$L$9000,0))*IF(INDEX(МАТЕРИАЛЫ!$I$2:$I$9000,MATCH($N291,МАТЕРИАЛЫ!$L$2:$L$9000,0))="USD",КурсUSD,IF(INDEX(МАТЕРИАЛЫ!$I$2:$I$9000,MATCH($N291,МАТЕРИАЛЫ!$L$2:$L$9000,0))="EUR",КурсEUR,IF(INDEX(МАТЕРИАЛЫ!$I$2:$I$9000,MATCH($N291,МАТЕРИАЛЫ!$L$2:$L$9000,0))="CNY",КурсCNY,1)))*(1+N($H291)/100),0),N($O291))*(1-MEDIAN(0,N(ДисконтТендер),1))))</f>
        <v>0</v>
      </c>
      <c r="U291" t="str">
        <f>IF($L291="да",MAX($U$1:$U290)+1,"")</f>
        <v/>
      </c>
      <c r="V291" t="str">
        <f t="shared" si="31"/>
        <v>Р3</v>
      </c>
      <c r="W291" t="str">
        <f t="shared" si="32"/>
        <v/>
      </c>
      <c r="X291" t="str">
        <f t="shared" si="33"/>
        <v/>
      </c>
      <c r="Y291" s="4" t="str">
        <f>IF($A291="","",IF(AND(LEFT($G291,3)="ДОК",$N291&lt;&gt;""),IFERROR(INDEX(Документация!$G$2:$G$57,MATCH($N291,Документация!$F$2:$F$57,0)),$D291),$D291&amp;IF(AND(LEFT($G291,3)&lt;&gt;"ДОК",$N291&lt;&gt;"")," — "&amp;IFERROR(INDEX(МАТЕРИАЛЫ!$C$2:$C$9000,MATCH($N291,МАТЕРИАЛЫ!$L$2:$L$9000,0)),""),"")))</f>
        <v>Разметка стоянок под автомобили ( нанесение пластиковой разметки по праковочным местам с утройством колесоотбойников)</v>
      </c>
      <c r="Z291" t="str">
        <f t="shared" si="34"/>
        <v>Р3 · Внутренние строительные работы</v>
      </c>
    </row>
    <row r="292" spans="1:26" x14ac:dyDescent="0.3">
      <c r="A292" t="s">
        <v>671</v>
      </c>
      <c r="B292" t="s">
        <v>394</v>
      </c>
      <c r="C292" t="s">
        <v>259</v>
      </c>
      <c r="D292" s="4" t="s">
        <v>672</v>
      </c>
      <c r="E292" t="s">
        <v>114</v>
      </c>
      <c r="F292" s="5">
        <v>0</v>
      </c>
      <c r="H292">
        <v>0</v>
      </c>
      <c r="I292" t="s">
        <v>53</v>
      </c>
      <c r="L292" s="6"/>
      <c r="M292" s="6"/>
      <c r="N292" s="6"/>
      <c r="O292" s="5"/>
      <c r="P292" s="7" t="str">
        <f t="shared" si="28"/>
        <v/>
      </c>
      <c r="Q292" s="7" t="str">
        <f t="shared" si="29"/>
        <v/>
      </c>
      <c r="R292" s="7" t="str">
        <f t="shared" si="30"/>
        <v/>
      </c>
      <c r="S292" s="7">
        <f>IF($A292="","",IF(AND(LEFT($G292,3)="ДОК",$N292&lt;&gt;""),IFERROR(INDEX(Документация!$E$2:$E$57,MATCH($N292,Документация!$F$2:$F$57,0)),0),N($F292))*(1-MEDIAN(0,N(ДисконтТендер),1)))</f>
        <v>0</v>
      </c>
      <c r="T292" s="7">
        <f>IF($A292="","",IF(AND(LEFT($G292,3)="ДОК",$N292&lt;&gt;""),0,IF(AND(LEFT($G292,3)&lt;&gt;"ДОК",$N292&lt;&gt;""),IFERROR(INDEX(МАТЕРИАЛЫ!$H$2:$H$9000,MATCH($N292,МАТЕРИАЛЫ!$L$2:$L$9000,0))*IF(INDEX(МАТЕРИАЛЫ!$I$2:$I$9000,MATCH($N292,МАТЕРИАЛЫ!$L$2:$L$9000,0))="USD",КурсUSD,IF(INDEX(МАТЕРИАЛЫ!$I$2:$I$9000,MATCH($N292,МАТЕРИАЛЫ!$L$2:$L$9000,0))="EUR",КурсEUR,IF(INDEX(МАТЕРИАЛЫ!$I$2:$I$9000,MATCH($N292,МАТЕРИАЛЫ!$L$2:$L$9000,0))="CNY",КурсCNY,1)))*(1+N($H292)/100),0),N($O292))*(1-MEDIAN(0,N(ДисконтТендер),1))))</f>
        <v>0</v>
      </c>
      <c r="U292" t="str">
        <f>IF($L292="да",MAX($U$1:$U291)+1,"")</f>
        <v/>
      </c>
      <c r="V292" t="str">
        <f t="shared" si="31"/>
        <v>Р3</v>
      </c>
      <c r="W292" t="str">
        <f t="shared" si="32"/>
        <v/>
      </c>
      <c r="X292" t="str">
        <f t="shared" si="33"/>
        <v/>
      </c>
      <c r="Y292" s="4" t="str">
        <f>IF($A292="","",IF(AND(LEFT($G292,3)="ДОК",$N292&lt;&gt;""),IFERROR(INDEX(Документация!$G$2:$G$57,MATCH($N292,Документация!$F$2:$F$57,0)),$D292),$D292&amp;IF(AND(LEFT($G292,3)&lt;&gt;"ДОК",$N292&lt;&gt;"")," — "&amp;IFERROR(INDEX(МАТЕРИАЛЫ!$C$2:$C$9000,MATCH($N292,МАТЕРИАЛЫ!$L$2:$L$9000,0)),""),"")))</f>
        <v>Монтаж иньекционного пакера</v>
      </c>
      <c r="Z292" t="str">
        <f t="shared" si="34"/>
        <v>Р3 · Внутренние строительные работы</v>
      </c>
    </row>
    <row r="293" spans="1:26" x14ac:dyDescent="0.3">
      <c r="A293" t="s">
        <v>673</v>
      </c>
      <c r="B293" t="s">
        <v>394</v>
      </c>
      <c r="C293" t="s">
        <v>259</v>
      </c>
      <c r="D293" s="4" t="s">
        <v>674</v>
      </c>
      <c r="E293" t="s">
        <v>153</v>
      </c>
      <c r="F293" s="5">
        <v>0</v>
      </c>
      <c r="H293">
        <v>0</v>
      </c>
      <c r="I293" t="s">
        <v>53</v>
      </c>
      <c r="L293" s="6"/>
      <c r="M293" s="6"/>
      <c r="N293" s="6"/>
      <c r="O293" s="5"/>
      <c r="P293" s="7" t="str">
        <f t="shared" si="28"/>
        <v/>
      </c>
      <c r="Q293" s="7" t="str">
        <f t="shared" si="29"/>
        <v/>
      </c>
      <c r="R293" s="7" t="str">
        <f t="shared" si="30"/>
        <v/>
      </c>
      <c r="S293" s="7">
        <f>IF($A293="","",IF(AND(LEFT($G293,3)="ДОК",$N293&lt;&gt;""),IFERROR(INDEX(Документация!$E$2:$E$57,MATCH($N293,Документация!$F$2:$F$57,0)),0),N($F293))*(1-MEDIAN(0,N(ДисконтТендер),1)))</f>
        <v>0</v>
      </c>
      <c r="T293" s="7">
        <f>IF($A293="","",IF(AND(LEFT($G293,3)="ДОК",$N293&lt;&gt;""),0,IF(AND(LEFT($G293,3)&lt;&gt;"ДОК",$N293&lt;&gt;""),IFERROR(INDEX(МАТЕРИАЛЫ!$H$2:$H$9000,MATCH($N293,МАТЕРИАЛЫ!$L$2:$L$9000,0))*IF(INDEX(МАТЕРИАЛЫ!$I$2:$I$9000,MATCH($N293,МАТЕРИАЛЫ!$L$2:$L$9000,0))="USD",КурсUSD,IF(INDEX(МАТЕРИАЛЫ!$I$2:$I$9000,MATCH($N293,МАТЕРИАЛЫ!$L$2:$L$9000,0))="EUR",КурсEUR,IF(INDEX(МАТЕРИАЛЫ!$I$2:$I$9000,MATCH($N293,МАТЕРИАЛЫ!$L$2:$L$9000,0))="CNY",КурсCNY,1)))*(1+N($H293)/100),0),N($O293))*(1-MEDIAN(0,N(ДисконтТендер),1))))</f>
        <v>0</v>
      </c>
      <c r="U293" t="str">
        <f>IF($L293="да",MAX($U$1:$U292)+1,"")</f>
        <v/>
      </c>
      <c r="V293" t="str">
        <f t="shared" si="31"/>
        <v>Р3</v>
      </c>
      <c r="W293" t="str">
        <f t="shared" si="32"/>
        <v/>
      </c>
      <c r="X293" t="str">
        <f t="shared" si="33"/>
        <v/>
      </c>
      <c r="Y293" s="4" t="str">
        <f>IF($A293="","",IF(AND(LEFT($G293,3)="ДОК",$N293&lt;&gt;""),IFERROR(INDEX(Документация!$G$2:$G$57,MATCH($N293,Документация!$F$2:$F$57,0)),$D293),$D293&amp;IF(AND(LEFT($G293,3)&lt;&gt;"ДОК",$N293&lt;&gt;"")," — "&amp;IFERROR(INDEX(МАТЕРИАЛЫ!$C$2:$C$9000,MATCH($N293,МАТЕРИАЛЫ!$L$2:$L$9000,0)),""),"")))</f>
        <v>Монтаж гидропломбы</v>
      </c>
      <c r="Z293" t="str">
        <f t="shared" si="34"/>
        <v>Р3 · Внутренние строительные работы</v>
      </c>
    </row>
    <row r="294" spans="1:26" x14ac:dyDescent="0.3">
      <c r="A294" t="s">
        <v>675</v>
      </c>
      <c r="B294" t="s">
        <v>394</v>
      </c>
      <c r="C294" t="s">
        <v>259</v>
      </c>
      <c r="D294" s="4" t="s">
        <v>676</v>
      </c>
      <c r="E294" t="s">
        <v>150</v>
      </c>
      <c r="F294" s="5">
        <v>7464.6</v>
      </c>
      <c r="H294">
        <v>0</v>
      </c>
      <c r="I294" t="s">
        <v>53</v>
      </c>
      <c r="L294" s="6"/>
      <c r="M294" s="6"/>
      <c r="N294" s="6"/>
      <c r="O294" s="5"/>
      <c r="P294" s="7" t="str">
        <f t="shared" si="28"/>
        <v/>
      </c>
      <c r="Q294" s="7" t="str">
        <f t="shared" si="29"/>
        <v/>
      </c>
      <c r="R294" s="7" t="str">
        <f t="shared" si="30"/>
        <v/>
      </c>
      <c r="S294" s="7">
        <f>IF($A294="","",IF(AND(LEFT($G294,3)="ДОК",$N294&lt;&gt;""),IFERROR(INDEX(Документация!$E$2:$E$57,MATCH($N294,Документация!$F$2:$F$57,0)),0),N($F294))*(1-MEDIAN(0,N(ДисконтТендер),1)))</f>
        <v>7464.6</v>
      </c>
      <c r="T294" s="7">
        <f>IF($A294="","",IF(AND(LEFT($G294,3)="ДОК",$N294&lt;&gt;""),0,IF(AND(LEFT($G294,3)&lt;&gt;"ДОК",$N294&lt;&gt;""),IFERROR(INDEX(МАТЕРИАЛЫ!$H$2:$H$9000,MATCH($N294,МАТЕРИАЛЫ!$L$2:$L$9000,0))*IF(INDEX(МАТЕРИАЛЫ!$I$2:$I$9000,MATCH($N294,МАТЕРИАЛЫ!$L$2:$L$9000,0))="USD",КурсUSD,IF(INDEX(МАТЕРИАЛЫ!$I$2:$I$9000,MATCH($N294,МАТЕРИАЛЫ!$L$2:$L$9000,0))="EUR",КурсEUR,IF(INDEX(МАТЕРИАЛЫ!$I$2:$I$9000,MATCH($N294,МАТЕРИАЛЫ!$L$2:$L$9000,0))="CNY",КурсCNY,1)))*(1+N($H294)/100),0),N($O294))*(1-MEDIAN(0,N(ДисконтТендер),1))))</f>
        <v>0</v>
      </c>
      <c r="U294" t="str">
        <f>IF($L294="да",MAX($U$1:$U293)+1,"")</f>
        <v/>
      </c>
      <c r="V294" t="str">
        <f t="shared" si="31"/>
        <v>Р3</v>
      </c>
      <c r="W294" t="str">
        <f t="shared" si="32"/>
        <v/>
      </c>
      <c r="X294" t="str">
        <f t="shared" si="33"/>
        <v/>
      </c>
      <c r="Y294" s="4" t="str">
        <f>IF($A294="","",IF(AND(LEFT($G294,3)="ДОК",$N294&lt;&gt;""),IFERROR(INDEX(Документация!$G$2:$G$57,MATCH($N294,Документация!$F$2:$F$57,0)),$D294),$D294&amp;IF(AND(LEFT($G294,3)&lt;&gt;"ДОК",$N294&lt;&gt;"")," — "&amp;IFERROR(INDEX(МАТЕРИАЛЫ!$C$2:$C$9000,MATCH($N294,МАТЕРИАЛЫ!$L$2:$L$9000,0)),""),"")))</f>
        <v>Устройство каркаса из бруса 100*200</v>
      </c>
      <c r="Z294" t="str">
        <f t="shared" si="34"/>
        <v>Р3 · Внутренние строительные работы</v>
      </c>
    </row>
    <row r="295" spans="1:26" x14ac:dyDescent="0.3">
      <c r="A295" t="s">
        <v>677</v>
      </c>
      <c r="B295" t="s">
        <v>394</v>
      </c>
      <c r="C295" t="s">
        <v>259</v>
      </c>
      <c r="D295" s="4" t="s">
        <v>678</v>
      </c>
      <c r="E295" t="s">
        <v>153</v>
      </c>
      <c r="F295" s="5">
        <v>407.16</v>
      </c>
      <c r="H295">
        <v>0</v>
      </c>
      <c r="I295" t="s">
        <v>53</v>
      </c>
      <c r="L295" s="6"/>
      <c r="M295" s="6"/>
      <c r="N295" s="6"/>
      <c r="O295" s="5"/>
      <c r="P295" s="7" t="str">
        <f t="shared" si="28"/>
        <v/>
      </c>
      <c r="Q295" s="7" t="str">
        <f t="shared" si="29"/>
        <v/>
      </c>
      <c r="R295" s="7" t="str">
        <f t="shared" si="30"/>
        <v/>
      </c>
      <c r="S295" s="7">
        <f>IF($A295="","",IF(AND(LEFT($G295,3)="ДОК",$N295&lt;&gt;""),IFERROR(INDEX(Документация!$E$2:$E$57,MATCH($N295,Документация!$F$2:$F$57,0)),0),N($F295))*(1-MEDIAN(0,N(ДисконтТендер),1)))</f>
        <v>407.16</v>
      </c>
      <c r="T295" s="7">
        <f>IF($A295="","",IF(AND(LEFT($G295,3)="ДОК",$N295&lt;&gt;""),0,IF(AND(LEFT($G295,3)&lt;&gt;"ДОК",$N295&lt;&gt;""),IFERROR(INDEX(МАТЕРИАЛЫ!$H$2:$H$9000,MATCH($N295,МАТЕРИАЛЫ!$L$2:$L$9000,0))*IF(INDEX(МАТЕРИАЛЫ!$I$2:$I$9000,MATCH($N295,МАТЕРИАЛЫ!$L$2:$L$9000,0))="USD",КурсUSD,IF(INDEX(МАТЕРИАЛЫ!$I$2:$I$9000,MATCH($N295,МАТЕРИАЛЫ!$L$2:$L$9000,0))="EUR",КурсEUR,IF(INDEX(МАТЕРИАЛЫ!$I$2:$I$9000,MATCH($N295,МАТЕРИАЛЫ!$L$2:$L$9000,0))="CNY",КурсCNY,1)))*(1+N($H295)/100),0),N($O295))*(1-MEDIAN(0,N(ДисконтТендер),1))))</f>
        <v>0</v>
      </c>
      <c r="U295" t="str">
        <f>IF($L295="да",MAX($U$1:$U294)+1,"")</f>
        <v/>
      </c>
      <c r="V295" t="str">
        <f t="shared" si="31"/>
        <v>Р3</v>
      </c>
      <c r="W295" t="str">
        <f t="shared" si="32"/>
        <v/>
      </c>
      <c r="X295" t="str">
        <f t="shared" si="33"/>
        <v/>
      </c>
      <c r="Y295" s="4" t="str">
        <f>IF($A295="","",IF(AND(LEFT($G295,3)="ДОК",$N295&lt;&gt;""),IFERROR(INDEX(Документация!$G$2:$G$57,MATCH($N295,Документация!$F$2:$F$57,0)),$D295),$D295&amp;IF(AND(LEFT($G295,3)&lt;&gt;"ДОК",$N295&lt;&gt;"")," — "&amp;IFERROR(INDEX(МАТЕРИАЛЫ!$C$2:$C$9000,MATCH($N295,МАТЕРИАЛЫ!$L$2:$L$9000,0)),""),"")))</f>
        <v>Устройство лаг 75*75</v>
      </c>
      <c r="Z295" t="str">
        <f t="shared" si="34"/>
        <v>Р3 · Внутренние строительные работы</v>
      </c>
    </row>
    <row r="296" spans="1:26" x14ac:dyDescent="0.3">
      <c r="A296" t="s">
        <v>679</v>
      </c>
      <c r="B296" t="s">
        <v>394</v>
      </c>
      <c r="C296" t="s">
        <v>259</v>
      </c>
      <c r="D296" s="4" t="s">
        <v>680</v>
      </c>
      <c r="E296" t="s">
        <v>52</v>
      </c>
      <c r="F296" s="5">
        <v>646.37</v>
      </c>
      <c r="H296">
        <v>0</v>
      </c>
      <c r="I296" t="s">
        <v>53</v>
      </c>
      <c r="L296" s="6"/>
      <c r="M296" s="6"/>
      <c r="N296" s="6"/>
      <c r="O296" s="5"/>
      <c r="P296" s="7" t="str">
        <f t="shared" si="28"/>
        <v/>
      </c>
      <c r="Q296" s="7" t="str">
        <f t="shared" si="29"/>
        <v/>
      </c>
      <c r="R296" s="7" t="str">
        <f t="shared" si="30"/>
        <v/>
      </c>
      <c r="S296" s="7">
        <f>IF($A296="","",IF(AND(LEFT($G296,3)="ДОК",$N296&lt;&gt;""),IFERROR(INDEX(Документация!$E$2:$E$57,MATCH($N296,Документация!$F$2:$F$57,0)),0),N($F296))*(1-MEDIAN(0,N(ДисконтТендер),1)))</f>
        <v>646.37</v>
      </c>
      <c r="T296" s="7">
        <f>IF($A296="","",IF(AND(LEFT($G296,3)="ДОК",$N296&lt;&gt;""),0,IF(AND(LEFT($G296,3)&lt;&gt;"ДОК",$N296&lt;&gt;""),IFERROR(INDEX(МАТЕРИАЛЫ!$H$2:$H$9000,MATCH($N296,МАТЕРИАЛЫ!$L$2:$L$9000,0))*IF(INDEX(МАТЕРИАЛЫ!$I$2:$I$9000,MATCH($N296,МАТЕРИАЛЫ!$L$2:$L$9000,0))="USD",КурсUSD,IF(INDEX(МАТЕРИАЛЫ!$I$2:$I$9000,MATCH($N296,МАТЕРИАЛЫ!$L$2:$L$9000,0))="EUR",КурсEUR,IF(INDEX(МАТЕРИАЛЫ!$I$2:$I$9000,MATCH($N296,МАТЕРИАЛЫ!$L$2:$L$9000,0))="CNY",КурсCNY,1)))*(1+N($H296)/100),0),N($O296))*(1-MEDIAN(0,N(ДисконтТендер),1))))</f>
        <v>0</v>
      </c>
      <c r="U296" t="str">
        <f>IF($L296="да",MAX($U$1:$U295)+1,"")</f>
        <v/>
      </c>
      <c r="V296" t="str">
        <f t="shared" si="31"/>
        <v>Р3</v>
      </c>
      <c r="W296" t="str">
        <f t="shared" si="32"/>
        <v/>
      </c>
      <c r="X296" t="str">
        <f t="shared" si="33"/>
        <v/>
      </c>
      <c r="Y296" s="4" t="str">
        <f>IF($A296="","",IF(AND(LEFT($G296,3)="ДОК",$N296&lt;&gt;""),IFERROR(INDEX(Документация!$G$2:$G$57,MATCH($N296,Документация!$F$2:$F$57,0)),$D296),$D296&amp;IF(AND(LEFT($G296,3)&lt;&gt;"ДОК",$N296&lt;&gt;"")," — "&amp;IFERROR(INDEX(МАТЕРИАЛЫ!$C$2:$C$9000,MATCH($N296,МАТЕРИАЛЫ!$L$2:$L$9000,0)),""),"")))</f>
        <v>Устройство пола в кассу из фанеры 1500*1500*12</v>
      </c>
      <c r="Z296" t="str">
        <f t="shared" si="34"/>
        <v>Р3 · Внутренние строительные работы</v>
      </c>
    </row>
    <row r="297" spans="1:26" ht="57.6" x14ac:dyDescent="0.3">
      <c r="A297" t="s">
        <v>681</v>
      </c>
      <c r="B297" t="s">
        <v>394</v>
      </c>
      <c r="C297" t="s">
        <v>259</v>
      </c>
      <c r="D297" s="4" t="s">
        <v>682</v>
      </c>
      <c r="E297" t="s">
        <v>52</v>
      </c>
      <c r="F297" s="5">
        <v>8160.6</v>
      </c>
      <c r="G297" t="s">
        <v>683</v>
      </c>
      <c r="H297">
        <v>0</v>
      </c>
      <c r="I297" t="s">
        <v>53</v>
      </c>
      <c r="L297" s="6"/>
      <c r="M297" s="6"/>
      <c r="N297" s="6"/>
      <c r="O297" s="5"/>
      <c r="P297" s="7" t="str">
        <f t="shared" si="28"/>
        <v/>
      </c>
      <c r="Q297" s="7" t="str">
        <f t="shared" si="29"/>
        <v/>
      </c>
      <c r="R297" s="7" t="str">
        <f t="shared" si="30"/>
        <v/>
      </c>
      <c r="S297" s="7">
        <f>IF($A297="","",IF(AND(LEFT($G297,3)="ДОК",$N297&lt;&gt;""),IFERROR(INDEX(Документация!$E$2:$E$57,MATCH($N297,Документация!$F$2:$F$57,0)),0),N($F297))*(1-MEDIAN(0,N(ДисконтТендер),1)))</f>
        <v>8160.6</v>
      </c>
      <c r="T297" s="7">
        <f>IF($A297="","",IF(AND(LEFT($G297,3)="ДОК",$N297&lt;&gt;""),0,IF(AND(LEFT($G297,3)&lt;&gt;"ДОК",$N297&lt;&gt;""),IFERROR(INDEX(МАТЕРИАЛЫ!$H$2:$H$9000,MATCH($N297,МАТЕРИАЛЫ!$L$2:$L$9000,0))*IF(INDEX(МАТЕРИАЛЫ!$I$2:$I$9000,MATCH($N297,МАТЕРИАЛЫ!$L$2:$L$9000,0))="USD",КурсUSD,IF(INDEX(МАТЕРИАЛЫ!$I$2:$I$9000,MATCH($N297,МАТЕРИАЛЫ!$L$2:$L$9000,0))="EUR",КурсEUR,IF(INDEX(МАТЕРИАЛЫ!$I$2:$I$9000,MATCH($N297,МАТЕРИАЛЫ!$L$2:$L$9000,0))="CNY",КурсCNY,1)))*(1+N($H297)/100),0),N($O297))*(1-MEDIAN(0,N(ДисконтТендер),1))))</f>
        <v>0</v>
      </c>
      <c r="U297" t="str">
        <f>IF($L297="да",MAX($U$1:$U296)+1,"")</f>
        <v/>
      </c>
      <c r="V297" t="str">
        <f t="shared" si="31"/>
        <v>Р3</v>
      </c>
      <c r="W297" t="str">
        <f t="shared" si="32"/>
        <v/>
      </c>
      <c r="X297" t="str">
        <f t="shared" si="33"/>
        <v/>
      </c>
      <c r="Y297" s="4" t="str">
        <f>IF($A297="","",IF(AND(LEFT($G297,3)="ДОК",$N297&lt;&gt;""),IFERROR(INDEX(Документация!$G$2:$G$57,MATCH($N297,Документация!$F$2:$F$57,0)),$D297),$D297&amp;IF(AND(LEFT($G297,3)&lt;&gt;"ДОК",$N297&lt;&gt;"")," — "&amp;IFERROR(INDEX(МАТЕРИАЛЫ!$C$2:$C$9000,MATCH($N297,МАТЕРИАЛЫ!$L$2:$L$9000,0)),""),"")))</f>
        <v>Устройство ЖБ перекрытий ( профлист Н100 по металлокаркасу с армированием и заливкой бетоном) толщиной 220 мм. и несущей способностью не менее 800 кг.м2.</v>
      </c>
      <c r="Z297" t="str">
        <f t="shared" si="34"/>
        <v>Р3 · Внутренние строительные работы</v>
      </c>
    </row>
    <row r="298" spans="1:26" x14ac:dyDescent="0.3">
      <c r="A298" t="s">
        <v>684</v>
      </c>
      <c r="B298" t="s">
        <v>394</v>
      </c>
      <c r="C298" t="s">
        <v>259</v>
      </c>
      <c r="D298" s="4" t="s">
        <v>685</v>
      </c>
      <c r="E298" t="s">
        <v>635</v>
      </c>
      <c r="F298" s="5">
        <v>0</v>
      </c>
      <c r="H298">
        <v>0</v>
      </c>
      <c r="I298" t="s">
        <v>53</v>
      </c>
      <c r="L298" s="6"/>
      <c r="M298" s="6"/>
      <c r="N298" s="6"/>
      <c r="O298" s="5"/>
      <c r="P298" s="7" t="str">
        <f t="shared" si="28"/>
        <v/>
      </c>
      <c r="Q298" s="7" t="str">
        <f t="shared" si="29"/>
        <v/>
      </c>
      <c r="R298" s="7" t="str">
        <f t="shared" si="30"/>
        <v/>
      </c>
      <c r="S298" s="7">
        <f>IF($A298="","",IF(AND(LEFT($G298,3)="ДОК",$N298&lt;&gt;""),IFERROR(INDEX(Документация!$E$2:$E$57,MATCH($N298,Документация!$F$2:$F$57,0)),0),N($F298))*(1-MEDIAN(0,N(ДисконтТендер),1)))</f>
        <v>0</v>
      </c>
      <c r="T298" s="7">
        <f>IF($A298="","",IF(AND(LEFT($G298,3)="ДОК",$N298&lt;&gt;""),0,IF(AND(LEFT($G298,3)&lt;&gt;"ДОК",$N298&lt;&gt;""),IFERROR(INDEX(МАТЕРИАЛЫ!$H$2:$H$9000,MATCH($N298,МАТЕРИАЛЫ!$L$2:$L$9000,0))*IF(INDEX(МАТЕРИАЛЫ!$I$2:$I$9000,MATCH($N298,МАТЕРИАЛЫ!$L$2:$L$9000,0))="USD",КурсUSD,IF(INDEX(МАТЕРИАЛЫ!$I$2:$I$9000,MATCH($N298,МАТЕРИАЛЫ!$L$2:$L$9000,0))="EUR",КурсEUR,IF(INDEX(МАТЕРИАЛЫ!$I$2:$I$9000,MATCH($N298,МАТЕРИАЛЫ!$L$2:$L$9000,0))="CNY",КурсCNY,1)))*(1+N($H298)/100),0),N($O298))*(1-MEDIAN(0,N(ДисконтТендер),1))))</f>
        <v>0</v>
      </c>
      <c r="U298" t="str">
        <f>IF($L298="да",MAX($U$1:$U297)+1,"")</f>
        <v/>
      </c>
      <c r="V298" t="str">
        <f t="shared" si="31"/>
        <v>Р3</v>
      </c>
      <c r="W298" t="str">
        <f t="shared" si="32"/>
        <v/>
      </c>
      <c r="X298" t="str">
        <f t="shared" si="33"/>
        <v/>
      </c>
      <c r="Y298" s="4" t="str">
        <f>IF($A298="","",IF(AND(LEFT($G298,3)="ДОК",$N298&lt;&gt;""),IFERROR(INDEX(Документация!$G$2:$G$57,MATCH($N298,Документация!$F$2:$F$57,0)),$D298),$D298&amp;IF(AND(LEFT($G298,3)&lt;&gt;"ДОК",$N298&lt;&gt;"")," — "&amp;IFERROR(INDEX(МАТЕРИАЛЫ!$C$2:$C$9000,MATCH($N298,МАТЕРИАЛЫ!$L$2:$L$9000,0)),""),"")))</f>
        <v>Р3.6.1.0 Покрытие пола</v>
      </c>
      <c r="Z298" t="str">
        <f t="shared" si="34"/>
        <v>Р3 · Внутренние строительные работы</v>
      </c>
    </row>
    <row r="299" spans="1:26" x14ac:dyDescent="0.3">
      <c r="A299" t="s">
        <v>686</v>
      </c>
      <c r="B299" t="s">
        <v>394</v>
      </c>
      <c r="C299" t="s">
        <v>259</v>
      </c>
      <c r="D299" s="4" t="s">
        <v>687</v>
      </c>
      <c r="E299" t="s">
        <v>52</v>
      </c>
      <c r="F299" s="5">
        <v>3048.05</v>
      </c>
      <c r="G299" t="s">
        <v>688</v>
      </c>
      <c r="H299">
        <v>5</v>
      </c>
      <c r="I299" t="s">
        <v>53</v>
      </c>
      <c r="L299" s="6"/>
      <c r="M299" s="6"/>
      <c r="N299" s="6"/>
      <c r="O299" s="5"/>
      <c r="P299" s="7" t="str">
        <f t="shared" si="28"/>
        <v/>
      </c>
      <c r="Q299" s="7" t="str">
        <f t="shared" si="29"/>
        <v/>
      </c>
      <c r="R299" s="7" t="str">
        <f t="shared" si="30"/>
        <v/>
      </c>
      <c r="S299" s="7">
        <f>IF($A299="","",IF(AND(LEFT($G299,3)="ДОК",$N299&lt;&gt;""),IFERROR(INDEX(Документация!$E$2:$E$57,MATCH($N299,Документация!$F$2:$F$57,0)),0),N($F299))*(1-MEDIAN(0,N(ДисконтТендер),1)))</f>
        <v>3048.05</v>
      </c>
      <c r="T299" s="7">
        <f>IF($A299="","",IF(AND(LEFT($G299,3)="ДОК",$N299&lt;&gt;""),0,IF(AND(LEFT($G299,3)&lt;&gt;"ДОК",$N299&lt;&gt;""),IFERROR(INDEX(МАТЕРИАЛЫ!$H$2:$H$9000,MATCH($N299,МАТЕРИАЛЫ!$L$2:$L$9000,0))*IF(INDEX(МАТЕРИАЛЫ!$I$2:$I$9000,MATCH($N299,МАТЕРИАЛЫ!$L$2:$L$9000,0))="USD",КурсUSD,IF(INDEX(МАТЕРИАЛЫ!$I$2:$I$9000,MATCH($N299,МАТЕРИАЛЫ!$L$2:$L$9000,0))="EUR",КурсEUR,IF(INDEX(МАТЕРИАЛЫ!$I$2:$I$9000,MATCH($N299,МАТЕРИАЛЫ!$L$2:$L$9000,0))="CNY",КурсCNY,1)))*(1+N($H299)/100),0),N($O299))*(1-MEDIAN(0,N(ДисконтТендер),1))))</f>
        <v>0</v>
      </c>
      <c r="U299" t="str">
        <f>IF($L299="да",MAX($U$1:$U298)+1,"")</f>
        <v/>
      </c>
      <c r="V299" t="str">
        <f t="shared" si="31"/>
        <v>Р3</v>
      </c>
      <c r="W299" t="str">
        <f t="shared" si="32"/>
        <v/>
      </c>
      <c r="X299" t="str">
        <f t="shared" si="33"/>
        <v/>
      </c>
      <c r="Y299" s="4" t="str">
        <f>IF($A299="","",IF(AND(LEFT($G299,3)="ДОК",$N299&lt;&gt;""),IFERROR(INDEX(Документация!$G$2:$G$57,MATCH($N299,Документация!$F$2:$F$57,0)),$D299),$D299&amp;IF(AND(LEFT($G299,3)&lt;&gt;"ДОК",$N299&lt;&gt;"")," — "&amp;IFERROR(INDEX(МАТЕРИАЛЫ!$C$2:$C$9000,MATCH($N299,МАТЕРИАЛЫ!$L$2:$L$9000,0)),""),"")))</f>
        <v>Облицовка пола керамогранитом / плиткой</v>
      </c>
      <c r="Z299" t="str">
        <f t="shared" si="34"/>
        <v>Р3 · Внутренние строительные работы</v>
      </c>
    </row>
    <row r="300" spans="1:26" x14ac:dyDescent="0.3">
      <c r="A300" t="s">
        <v>689</v>
      </c>
      <c r="B300" t="s">
        <v>394</v>
      </c>
      <c r="C300" t="s">
        <v>259</v>
      </c>
      <c r="D300" s="4" t="s">
        <v>690</v>
      </c>
      <c r="E300" t="s">
        <v>153</v>
      </c>
      <c r="F300" s="5">
        <v>297.58</v>
      </c>
      <c r="G300" t="s">
        <v>691</v>
      </c>
      <c r="H300">
        <v>5</v>
      </c>
      <c r="I300" t="s">
        <v>53</v>
      </c>
      <c r="L300" s="6"/>
      <c r="M300" s="6"/>
      <c r="N300" s="6"/>
      <c r="O300" s="5"/>
      <c r="P300" s="7" t="str">
        <f t="shared" si="28"/>
        <v/>
      </c>
      <c r="Q300" s="7" t="str">
        <f t="shared" si="29"/>
        <v/>
      </c>
      <c r="R300" s="7" t="str">
        <f t="shared" si="30"/>
        <v/>
      </c>
      <c r="S300" s="7">
        <f>IF($A300="","",IF(AND(LEFT($G300,3)="ДОК",$N300&lt;&gt;""),IFERROR(INDEX(Документация!$E$2:$E$57,MATCH($N300,Документация!$F$2:$F$57,0)),0),N($F300))*(1-MEDIAN(0,N(ДисконтТендер),1)))</f>
        <v>297.58</v>
      </c>
      <c r="T300" s="7">
        <f>IF($A300="","",IF(AND(LEFT($G300,3)="ДОК",$N300&lt;&gt;""),0,IF(AND(LEFT($G300,3)&lt;&gt;"ДОК",$N300&lt;&gt;""),IFERROR(INDEX(МАТЕРИАЛЫ!$H$2:$H$9000,MATCH($N300,МАТЕРИАЛЫ!$L$2:$L$9000,0))*IF(INDEX(МАТЕРИАЛЫ!$I$2:$I$9000,MATCH($N300,МАТЕРИАЛЫ!$L$2:$L$9000,0))="USD",КурсUSD,IF(INDEX(МАТЕРИАЛЫ!$I$2:$I$9000,MATCH($N300,МАТЕРИАЛЫ!$L$2:$L$9000,0))="EUR",КурсEUR,IF(INDEX(МАТЕРИАЛЫ!$I$2:$I$9000,MATCH($N300,МАТЕРИАЛЫ!$L$2:$L$9000,0))="CNY",КурсCNY,1)))*(1+N($H300)/100),0),N($O300))*(1-MEDIAN(0,N(ДисконтТендер),1))))</f>
        <v>0</v>
      </c>
      <c r="U300" t="str">
        <f>IF($L300="да",MAX($U$1:$U299)+1,"")</f>
        <v/>
      </c>
      <c r="V300" t="str">
        <f t="shared" si="31"/>
        <v>Р3</v>
      </c>
      <c r="W300" t="str">
        <f t="shared" si="32"/>
        <v/>
      </c>
      <c r="X300" t="str">
        <f t="shared" si="33"/>
        <v/>
      </c>
      <c r="Y300" s="4" t="str">
        <f>IF($A300="","",IF(AND(LEFT($G300,3)="ДОК",$N300&lt;&gt;""),IFERROR(INDEX(Документация!$G$2:$G$57,MATCH($N300,Документация!$F$2:$F$57,0)),$D300),$D300&amp;IF(AND(LEFT($G300,3)&lt;&gt;"ДОК",$N300&lt;&gt;"")," — "&amp;IFERROR(INDEX(МАТЕРИАЛЫ!$C$2:$C$9000,MATCH($N300,МАТЕРИАЛЫ!$L$2:$L$9000,0)),""),"")))</f>
        <v>Установка плинтуса</v>
      </c>
      <c r="Z300" t="str">
        <f t="shared" si="34"/>
        <v>Р3 · Внутренние строительные работы</v>
      </c>
    </row>
    <row r="301" spans="1:26" ht="43.2" x14ac:dyDescent="0.3">
      <c r="A301" t="s">
        <v>692</v>
      </c>
      <c r="B301" t="s">
        <v>394</v>
      </c>
      <c r="C301" t="s">
        <v>259</v>
      </c>
      <c r="D301" s="4" t="s">
        <v>693</v>
      </c>
      <c r="E301" t="s">
        <v>153</v>
      </c>
      <c r="F301" s="5">
        <v>330.6</v>
      </c>
      <c r="G301" t="s">
        <v>691</v>
      </c>
      <c r="H301">
        <v>5</v>
      </c>
      <c r="I301" t="s">
        <v>53</v>
      </c>
      <c r="L301" s="6"/>
      <c r="M301" s="6"/>
      <c r="N301" s="6"/>
      <c r="O301" s="5"/>
      <c r="P301" s="7" t="str">
        <f t="shared" si="28"/>
        <v/>
      </c>
      <c r="Q301" s="7" t="str">
        <f t="shared" si="29"/>
        <v/>
      </c>
      <c r="R301" s="7" t="str">
        <f t="shared" si="30"/>
        <v/>
      </c>
      <c r="S301" s="7">
        <f>IF($A301="","",IF(AND(LEFT($G301,3)="ДОК",$N301&lt;&gt;""),IFERROR(INDEX(Документация!$E$2:$E$57,MATCH($N301,Документация!$F$2:$F$57,0)),0),N($F301))*(1-MEDIAN(0,N(ДисконтТендер),1)))</f>
        <v>330.6</v>
      </c>
      <c r="T301" s="7">
        <f>IF($A301="","",IF(AND(LEFT($G301,3)="ДОК",$N301&lt;&gt;""),0,IF(AND(LEFT($G301,3)&lt;&gt;"ДОК",$N301&lt;&gt;""),IFERROR(INDEX(МАТЕРИАЛЫ!$H$2:$H$9000,MATCH($N301,МАТЕРИАЛЫ!$L$2:$L$9000,0))*IF(INDEX(МАТЕРИАЛЫ!$I$2:$I$9000,MATCH($N301,МАТЕРИАЛЫ!$L$2:$L$9000,0))="USD",КурсUSD,IF(INDEX(МАТЕРИАЛЫ!$I$2:$I$9000,MATCH($N301,МАТЕРИАЛЫ!$L$2:$L$9000,0))="EUR",КурсEUR,IF(INDEX(МАТЕРИАЛЫ!$I$2:$I$9000,MATCH($N301,МАТЕРИАЛЫ!$L$2:$L$9000,0))="CNY",КурсCNY,1)))*(1+N($H301)/100),0),N($O301))*(1-MEDIAN(0,N(ДисконтТендер),1))))</f>
        <v>0</v>
      </c>
      <c r="U301" t="str">
        <f>IF($L301="да",MAX($U$1:$U300)+1,"")</f>
        <v/>
      </c>
      <c r="V301" t="str">
        <f t="shared" si="31"/>
        <v>Р3</v>
      </c>
      <c r="W301" t="str">
        <f t="shared" si="32"/>
        <v/>
      </c>
      <c r="X301" t="str">
        <f t="shared" si="33"/>
        <v/>
      </c>
      <c r="Y301" s="4" t="str">
        <f>IF($A301="","",IF(AND(LEFT($G301,3)="ДОК",$N301&lt;&gt;""),IFERROR(INDEX(Документация!$G$2:$G$57,MATCH($N301,Документация!$F$2:$F$57,0)),$D301),$D301&amp;IF(AND(LEFT($G301,3)&lt;&gt;"ДОК",$N301&lt;&gt;"")," — "&amp;IFERROR(INDEX(МАТЕРИАЛЫ!$C$2:$C$9000,MATCH($N301,МАТЕРИАЛЫ!$L$2:$L$9000,0)),""),"")))</f>
        <v>Устройство плинтусов из керамогранита h=40 мм с установкой раскладки из пластика на торец в цвет плинтуса с затиркой швовов</v>
      </c>
      <c r="Z301" t="str">
        <f t="shared" si="34"/>
        <v>Р3 · Внутренние строительные работы</v>
      </c>
    </row>
    <row r="302" spans="1:26" ht="28.8" x14ac:dyDescent="0.3">
      <c r="A302" t="s">
        <v>694</v>
      </c>
      <c r="B302" t="s">
        <v>394</v>
      </c>
      <c r="C302" t="s">
        <v>259</v>
      </c>
      <c r="D302" s="4" t="s">
        <v>695</v>
      </c>
      <c r="E302" t="s">
        <v>52</v>
      </c>
      <c r="F302" s="5">
        <v>535.91999999999996</v>
      </c>
      <c r="G302" t="s">
        <v>696</v>
      </c>
      <c r="H302">
        <v>5</v>
      </c>
      <c r="I302" t="s">
        <v>53</v>
      </c>
      <c r="L302" s="6"/>
      <c r="M302" s="6"/>
      <c r="N302" s="6"/>
      <c r="O302" s="5"/>
      <c r="P302" s="7" t="str">
        <f t="shared" si="28"/>
        <v/>
      </c>
      <c r="Q302" s="7" t="str">
        <f t="shared" si="29"/>
        <v/>
      </c>
      <c r="R302" s="7" t="str">
        <f t="shared" si="30"/>
        <v/>
      </c>
      <c r="S302" s="7">
        <f>IF($A302="","",IF(AND(LEFT($G302,3)="ДОК",$N302&lt;&gt;""),IFERROR(INDEX(Документация!$E$2:$E$57,MATCH($N302,Документация!$F$2:$F$57,0)),0),N($F302))*(1-MEDIAN(0,N(ДисконтТендер),1)))</f>
        <v>535.91999999999996</v>
      </c>
      <c r="T302" s="7">
        <f>IF($A302="","",IF(AND(LEFT($G302,3)="ДОК",$N302&lt;&gt;""),0,IF(AND(LEFT($G302,3)&lt;&gt;"ДОК",$N302&lt;&gt;""),IFERROR(INDEX(МАТЕРИАЛЫ!$H$2:$H$9000,MATCH($N302,МАТЕРИАЛЫ!$L$2:$L$9000,0))*IF(INDEX(МАТЕРИАЛЫ!$I$2:$I$9000,MATCH($N302,МАТЕРИАЛЫ!$L$2:$L$9000,0))="USD",КурсUSD,IF(INDEX(МАТЕРИАЛЫ!$I$2:$I$9000,MATCH($N302,МАТЕРИАЛЫ!$L$2:$L$9000,0))="EUR",КурсEUR,IF(INDEX(МАТЕРИАЛЫ!$I$2:$I$9000,MATCH($N302,МАТЕРИАЛЫ!$L$2:$L$9000,0))="CNY",КурсCNY,1)))*(1+N($H302)/100),0),N($O302))*(1-MEDIAN(0,N(ДисконтТендер),1))))</f>
        <v>0</v>
      </c>
      <c r="U302" t="str">
        <f>IF($L302="да",MAX($U$1:$U301)+1,"")</f>
        <v/>
      </c>
      <c r="V302" t="str">
        <f t="shared" si="31"/>
        <v>Р3</v>
      </c>
      <c r="W302" t="str">
        <f t="shared" si="32"/>
        <v/>
      </c>
      <c r="X302" t="str">
        <f t="shared" si="33"/>
        <v/>
      </c>
      <c r="Y302" s="4" t="str">
        <f>IF($A302="","",IF(AND(LEFT($G302,3)="ДОК",$N302&lt;&gt;""),IFERROR(INDEX(Документация!$G$2:$G$57,MATCH($N302,Документация!$F$2:$F$57,0)),$D302),$D302&amp;IF(AND(LEFT($G302,3)&lt;&gt;"ДОК",$N302&lt;&gt;"")," — "&amp;IFERROR(INDEX(МАТЕРИАЛЫ!$C$2:$C$9000,MATCH($N302,МАТЕРИАЛЫ!$L$2:$L$9000,0)),""),"")))</f>
        <v>Устройство покрытия пола из модульной плитки (ковролин / ПВХ / линолеум)</v>
      </c>
      <c r="Z302" t="str">
        <f t="shared" si="34"/>
        <v>Р3 · Внутренние строительные работы</v>
      </c>
    </row>
    <row r="303" spans="1:26" ht="43.2" x14ac:dyDescent="0.3">
      <c r="A303" t="s">
        <v>697</v>
      </c>
      <c r="B303" t="s">
        <v>394</v>
      </c>
      <c r="C303" t="s">
        <v>259</v>
      </c>
      <c r="D303" s="4" t="s">
        <v>698</v>
      </c>
      <c r="E303" t="s">
        <v>153</v>
      </c>
      <c r="F303" s="5">
        <v>387.15</v>
      </c>
      <c r="G303" t="s">
        <v>691</v>
      </c>
      <c r="H303">
        <v>5</v>
      </c>
      <c r="I303" t="s">
        <v>53</v>
      </c>
      <c r="L303" s="6"/>
      <c r="M303" s="6"/>
      <c r="N303" s="6"/>
      <c r="O303" s="5"/>
      <c r="P303" s="7" t="str">
        <f t="shared" si="28"/>
        <v/>
      </c>
      <c r="Q303" s="7" t="str">
        <f t="shared" si="29"/>
        <v/>
      </c>
      <c r="R303" s="7" t="str">
        <f t="shared" si="30"/>
        <v/>
      </c>
      <c r="S303" s="7">
        <f>IF($A303="","",IF(AND(LEFT($G303,3)="ДОК",$N303&lt;&gt;""),IFERROR(INDEX(Документация!$E$2:$E$57,MATCH($N303,Документация!$F$2:$F$57,0)),0),N($F303))*(1-MEDIAN(0,N(ДисконтТендер),1)))</f>
        <v>387.15</v>
      </c>
      <c r="T303" s="7">
        <f>IF($A303="","",IF(AND(LEFT($G303,3)="ДОК",$N303&lt;&gt;""),0,IF(AND(LEFT($G303,3)&lt;&gt;"ДОК",$N303&lt;&gt;""),IFERROR(INDEX(МАТЕРИАЛЫ!$H$2:$H$9000,MATCH($N303,МАТЕРИАЛЫ!$L$2:$L$9000,0))*IF(INDEX(МАТЕРИАЛЫ!$I$2:$I$9000,MATCH($N303,МАТЕРИАЛЫ!$L$2:$L$9000,0))="USD",КурсUSD,IF(INDEX(МАТЕРИАЛЫ!$I$2:$I$9000,MATCH($N303,МАТЕРИАЛЫ!$L$2:$L$9000,0))="EUR",КурсEUR,IF(INDEX(МАТЕРИАЛЫ!$I$2:$I$9000,MATCH($N303,МАТЕРИАЛЫ!$L$2:$L$9000,0))="CNY",КурсCNY,1)))*(1+N($H303)/100),0),N($O303))*(1-MEDIAN(0,N(ДисконтТендер),1))))</f>
        <v>0</v>
      </c>
      <c r="U303" t="str">
        <f>IF($L303="да",MAX($U$1:$U302)+1,"")</f>
        <v/>
      </c>
      <c r="V303" t="str">
        <f t="shared" si="31"/>
        <v>Р3</v>
      </c>
      <c r="W303" t="str">
        <f t="shared" si="32"/>
        <v/>
      </c>
      <c r="X303" t="str">
        <f t="shared" si="33"/>
        <v/>
      </c>
      <c r="Y303" s="4" t="str">
        <f>IF($A303="","",IF(AND(LEFT($G303,3)="ДОК",$N303&lt;&gt;""),IFERROR(INDEX(Документация!$G$2:$G$57,MATCH($N303,Документация!$F$2:$F$57,0)),$D303),$D303&amp;IF(AND(LEFT($G303,3)&lt;&gt;"ДОК",$N303&lt;&gt;"")," — "&amp;IFERROR(INDEX(МАТЕРИАЛЫ!$C$2:$C$9000,MATCH($N303,МАТЕРИАЛЫ!$L$2:$L$9000,0)),""),"")))</f>
        <v>Устройство плинтусов из керамогранита h=100 мм с установкой раскладки из пластика на торец в цвет плинтуса с затиркой швовов</v>
      </c>
      <c r="Z303" t="str">
        <f t="shared" si="34"/>
        <v>Р3 · Внутренние строительные работы</v>
      </c>
    </row>
    <row r="304" spans="1:26" ht="28.8" x14ac:dyDescent="0.3">
      <c r="A304" t="s">
        <v>699</v>
      </c>
      <c r="B304" t="s">
        <v>394</v>
      </c>
      <c r="C304" t="s">
        <v>259</v>
      </c>
      <c r="D304" s="4" t="s">
        <v>700</v>
      </c>
      <c r="E304" t="s">
        <v>52</v>
      </c>
      <c r="F304" s="5">
        <v>221.85</v>
      </c>
      <c r="G304" t="s">
        <v>688</v>
      </c>
      <c r="H304">
        <v>5</v>
      </c>
      <c r="I304" t="s">
        <v>53</v>
      </c>
      <c r="L304" s="6"/>
      <c r="M304" s="6"/>
      <c r="N304" s="6"/>
      <c r="O304" s="5"/>
      <c r="P304" s="7" t="str">
        <f t="shared" si="28"/>
        <v/>
      </c>
      <c r="Q304" s="7" t="str">
        <f t="shared" si="29"/>
        <v/>
      </c>
      <c r="R304" s="7" t="str">
        <f t="shared" si="30"/>
        <v/>
      </c>
      <c r="S304" s="7">
        <f>IF($A304="","",IF(AND(LEFT($G304,3)="ДОК",$N304&lt;&gt;""),IFERROR(INDEX(Документация!$E$2:$E$57,MATCH($N304,Документация!$F$2:$F$57,0)),0),N($F304))*(1-MEDIAN(0,N(ДисконтТендер),1)))</f>
        <v>221.85</v>
      </c>
      <c r="T304" s="7">
        <f>IF($A304="","",IF(AND(LEFT($G304,3)="ДОК",$N304&lt;&gt;""),0,IF(AND(LEFT($G304,3)&lt;&gt;"ДОК",$N304&lt;&gt;""),IFERROR(INDEX(МАТЕРИАЛЫ!$H$2:$H$9000,MATCH($N304,МАТЕРИАЛЫ!$L$2:$L$9000,0))*IF(INDEX(МАТЕРИАЛЫ!$I$2:$I$9000,MATCH($N304,МАТЕРИАЛЫ!$L$2:$L$9000,0))="USD",КурсUSD,IF(INDEX(МАТЕРИАЛЫ!$I$2:$I$9000,MATCH($N304,МАТЕРИАЛЫ!$L$2:$L$9000,0))="EUR",КурсEUR,IF(INDEX(МАТЕРИАЛЫ!$I$2:$I$9000,MATCH($N304,МАТЕРИАЛЫ!$L$2:$L$9000,0))="CNY",КурсCNY,1)))*(1+N($H304)/100),0),N($O304))*(1-MEDIAN(0,N(ДисконтТендер),1))))</f>
        <v>0</v>
      </c>
      <c r="U304" t="str">
        <f>IF($L304="да",MAX($U$1:$U303)+1,"")</f>
        <v/>
      </c>
      <c r="V304" t="str">
        <f t="shared" si="31"/>
        <v>Р3</v>
      </c>
      <c r="W304" t="str">
        <f t="shared" si="32"/>
        <v/>
      </c>
      <c r="X304" t="str">
        <f t="shared" si="33"/>
        <v/>
      </c>
      <c r="Y304" s="4" t="str">
        <f>IF($A304="","",IF(AND(LEFT($G304,3)="ДОК",$N304&lt;&gt;""),IFERROR(INDEX(Документация!$G$2:$G$57,MATCH($N304,Документация!$F$2:$F$57,0)),$D304),$D304&amp;IF(AND(LEFT($G304,3)&lt;&gt;"ДОК",$N304&lt;&gt;"")," — "&amp;IFERROR(INDEX(МАТЕРИАЛЫ!$C$2:$C$9000,MATCH($N304,МАТЕРИАЛЫ!$L$2:$L$9000,0)),""),"")))</f>
        <v>Затирка швов поверхности пола, плитка керамическая</v>
      </c>
      <c r="Z304" t="str">
        <f t="shared" si="34"/>
        <v>Р3 · Внутренние строительные работы</v>
      </c>
    </row>
    <row r="305" spans="1:26" ht="28.8" x14ac:dyDescent="0.3">
      <c r="A305" t="s">
        <v>701</v>
      </c>
      <c r="B305" t="s">
        <v>394</v>
      </c>
      <c r="C305" t="s">
        <v>259</v>
      </c>
      <c r="D305" s="4" t="s">
        <v>702</v>
      </c>
      <c r="E305" t="s">
        <v>52</v>
      </c>
      <c r="F305" s="5">
        <v>543.75</v>
      </c>
      <c r="G305" t="s">
        <v>688</v>
      </c>
      <c r="H305">
        <v>5</v>
      </c>
      <c r="I305" t="s">
        <v>53</v>
      </c>
      <c r="L305" s="6"/>
      <c r="M305" s="6"/>
      <c r="N305" s="6"/>
      <c r="O305" s="5"/>
      <c r="P305" s="7" t="str">
        <f t="shared" si="28"/>
        <v/>
      </c>
      <c r="Q305" s="7" t="str">
        <f t="shared" si="29"/>
        <v/>
      </c>
      <c r="R305" s="7" t="str">
        <f t="shared" si="30"/>
        <v/>
      </c>
      <c r="S305" s="7">
        <f>IF($A305="","",IF(AND(LEFT($G305,3)="ДОК",$N305&lt;&gt;""),IFERROR(INDEX(Документация!$E$2:$E$57,MATCH($N305,Документация!$F$2:$F$57,0)),0),N($F305))*(1-MEDIAN(0,N(ДисконтТендер),1)))</f>
        <v>543.75</v>
      </c>
      <c r="T305" s="7">
        <f>IF($A305="","",IF(AND(LEFT($G305,3)="ДОК",$N305&lt;&gt;""),0,IF(AND(LEFT($G305,3)&lt;&gt;"ДОК",$N305&lt;&gt;""),IFERROR(INDEX(МАТЕРИАЛЫ!$H$2:$H$9000,MATCH($N305,МАТЕРИАЛЫ!$L$2:$L$9000,0))*IF(INDEX(МАТЕРИАЛЫ!$I$2:$I$9000,MATCH($N305,МАТЕРИАЛЫ!$L$2:$L$9000,0))="USD",КурсUSD,IF(INDEX(МАТЕРИАЛЫ!$I$2:$I$9000,MATCH($N305,МАТЕРИАЛЫ!$L$2:$L$9000,0))="EUR",КурсEUR,IF(INDEX(МАТЕРИАЛЫ!$I$2:$I$9000,MATCH($N305,МАТЕРИАЛЫ!$L$2:$L$9000,0))="CNY",КурсCNY,1)))*(1+N($H305)/100),0),N($O305))*(1-MEDIAN(0,N(ДисконтТендер),1))))</f>
        <v>0</v>
      </c>
      <c r="U305" t="str">
        <f>IF($L305="да",MAX($U$1:$U304)+1,"")</f>
        <v/>
      </c>
      <c r="V305" t="str">
        <f t="shared" si="31"/>
        <v>Р3</v>
      </c>
      <c r="W305" t="str">
        <f t="shared" si="32"/>
        <v/>
      </c>
      <c r="X305" t="str">
        <f t="shared" si="33"/>
        <v/>
      </c>
      <c r="Y305" s="4" t="str">
        <f>IF($A305="","",IF(AND(LEFT($G305,3)="ДОК",$N305&lt;&gt;""),IFERROR(INDEX(Документация!$G$2:$G$57,MATCH($N305,Документация!$F$2:$F$57,0)),$D305),$D305&amp;IF(AND(LEFT($G305,3)&lt;&gt;"ДОК",$N305&lt;&gt;"")," — "&amp;IFERROR(INDEX(МАТЕРИАЛЫ!$C$2:$C$9000,MATCH($N305,МАТЕРИАЛЫ!$L$2:$L$9000,0)),""),"")))</f>
        <v>Устройство полов из ПВХ-плитки Gerflor Creation 70 CLIFTON 0556</v>
      </c>
      <c r="Z305" t="str">
        <f t="shared" si="34"/>
        <v>Р3 · Внутренние строительные работы</v>
      </c>
    </row>
    <row r="306" spans="1:26" x14ac:dyDescent="0.3">
      <c r="A306" t="s">
        <v>703</v>
      </c>
      <c r="B306" t="s">
        <v>394</v>
      </c>
      <c r="C306" t="s">
        <v>259</v>
      </c>
      <c r="D306" s="4" t="s">
        <v>704</v>
      </c>
      <c r="E306" t="s">
        <v>153</v>
      </c>
      <c r="F306" s="5">
        <v>339.3</v>
      </c>
      <c r="G306" t="s">
        <v>691</v>
      </c>
      <c r="H306">
        <v>5</v>
      </c>
      <c r="I306" t="s">
        <v>53</v>
      </c>
      <c r="L306" s="6"/>
      <c r="M306" s="6"/>
      <c r="N306" s="6"/>
      <c r="O306" s="5"/>
      <c r="P306" s="7" t="str">
        <f t="shared" si="28"/>
        <v/>
      </c>
      <c r="Q306" s="7" t="str">
        <f t="shared" si="29"/>
        <v/>
      </c>
      <c r="R306" s="7" t="str">
        <f t="shared" si="30"/>
        <v/>
      </c>
      <c r="S306" s="7">
        <f>IF($A306="","",IF(AND(LEFT($G306,3)="ДОК",$N306&lt;&gt;""),IFERROR(INDEX(Документация!$E$2:$E$57,MATCH($N306,Документация!$F$2:$F$57,0)),0),N($F306))*(1-MEDIAN(0,N(ДисконтТендер),1)))</f>
        <v>339.3</v>
      </c>
      <c r="T306" s="7">
        <f>IF($A306="","",IF(AND(LEFT($G306,3)="ДОК",$N306&lt;&gt;""),0,IF(AND(LEFT($G306,3)&lt;&gt;"ДОК",$N306&lt;&gt;""),IFERROR(INDEX(МАТЕРИАЛЫ!$H$2:$H$9000,MATCH($N306,МАТЕРИАЛЫ!$L$2:$L$9000,0))*IF(INDEX(МАТЕРИАЛЫ!$I$2:$I$9000,MATCH($N306,МАТЕРИАЛЫ!$L$2:$L$9000,0))="USD",КурсUSD,IF(INDEX(МАТЕРИАЛЫ!$I$2:$I$9000,MATCH($N306,МАТЕРИАЛЫ!$L$2:$L$9000,0))="EUR",КурсEUR,IF(INDEX(МАТЕРИАЛЫ!$I$2:$I$9000,MATCH($N306,МАТЕРИАЛЫ!$L$2:$L$9000,0))="CNY",КурсCNY,1)))*(1+N($H306)/100),0),N($O306))*(1-MEDIAN(0,N(ДисконтТендер),1))))</f>
        <v>0</v>
      </c>
      <c r="U306" t="str">
        <f>IF($L306="да",MAX($U$1:$U305)+1,"")</f>
        <v/>
      </c>
      <c r="V306" t="str">
        <f t="shared" si="31"/>
        <v>Р3</v>
      </c>
      <c r="W306" t="str">
        <f t="shared" si="32"/>
        <v/>
      </c>
      <c r="X306" t="str">
        <f t="shared" si="33"/>
        <v/>
      </c>
      <c r="Y306" s="4" t="str">
        <f>IF($A306="","",IF(AND(LEFT($G306,3)="ДОК",$N306&lt;&gt;""),IFERROR(INDEX(Документация!$G$2:$G$57,MATCH($N306,Документация!$F$2:$F$57,0)),$D306),$D306&amp;IF(AND(LEFT($G306,3)&lt;&gt;"ДОК",$N306&lt;&gt;"")," — "&amp;IFERROR(INDEX(МАТЕРИАЛЫ!$C$2:$C$9000,MATCH($N306,МАТЕРИАЛЫ!$L$2:$L$9000,0)),""),"")))</f>
        <v>Устройство плинтусов пластиковых</v>
      </c>
      <c r="Z306" t="str">
        <f t="shared" si="34"/>
        <v>Р3 · Внутренние строительные работы</v>
      </c>
    </row>
    <row r="307" spans="1:26" ht="28.8" x14ac:dyDescent="0.3">
      <c r="A307" t="s">
        <v>705</v>
      </c>
      <c r="B307" t="s">
        <v>394</v>
      </c>
      <c r="C307" t="s">
        <v>259</v>
      </c>
      <c r="D307" s="4" t="s">
        <v>706</v>
      </c>
      <c r="E307" t="s">
        <v>153</v>
      </c>
      <c r="F307" s="5">
        <v>380.02</v>
      </c>
      <c r="G307" t="s">
        <v>691</v>
      </c>
      <c r="H307">
        <v>5</v>
      </c>
      <c r="I307" t="s">
        <v>53</v>
      </c>
      <c r="L307" s="6"/>
      <c r="M307" s="6"/>
      <c r="N307" s="6"/>
      <c r="O307" s="5"/>
      <c r="P307" s="7" t="str">
        <f t="shared" si="28"/>
        <v/>
      </c>
      <c r="Q307" s="7" t="str">
        <f t="shared" si="29"/>
        <v/>
      </c>
      <c r="R307" s="7" t="str">
        <f t="shared" si="30"/>
        <v/>
      </c>
      <c r="S307" s="7">
        <f>IF($A307="","",IF(AND(LEFT($G307,3)="ДОК",$N307&lt;&gt;""),IFERROR(INDEX(Документация!$E$2:$E$57,MATCH($N307,Документация!$F$2:$F$57,0)),0),N($F307))*(1-MEDIAN(0,N(ДисконтТендер),1)))</f>
        <v>380.02</v>
      </c>
      <c r="T307" s="7">
        <f>IF($A307="","",IF(AND(LEFT($G307,3)="ДОК",$N307&lt;&gt;""),0,IF(AND(LEFT($G307,3)&lt;&gt;"ДОК",$N307&lt;&gt;""),IFERROR(INDEX(МАТЕРИАЛЫ!$H$2:$H$9000,MATCH($N307,МАТЕРИАЛЫ!$L$2:$L$9000,0))*IF(INDEX(МАТЕРИАЛЫ!$I$2:$I$9000,MATCH($N307,МАТЕРИАЛЫ!$L$2:$L$9000,0))="USD",КурсUSD,IF(INDEX(МАТЕРИАЛЫ!$I$2:$I$9000,MATCH($N307,МАТЕРИАЛЫ!$L$2:$L$9000,0))="EUR",КурсEUR,IF(INDEX(МАТЕРИАЛЫ!$I$2:$I$9000,MATCH($N307,МАТЕРИАЛЫ!$L$2:$L$9000,0))="CNY",КурсCNY,1)))*(1+N($H307)/100),0),N($O307))*(1-MEDIAN(0,N(ДисконтТендер),1))))</f>
        <v>0</v>
      </c>
      <c r="U307" t="str">
        <f>IF($L307="да",MAX($U$1:$U306)+1,"")</f>
        <v/>
      </c>
      <c r="V307" t="str">
        <f t="shared" si="31"/>
        <v>Р3</v>
      </c>
      <c r="W307" t="str">
        <f t="shared" si="32"/>
        <v/>
      </c>
      <c r="X307" t="str">
        <f t="shared" si="33"/>
        <v/>
      </c>
      <c r="Y307" s="4" t="str">
        <f>IF($A307="","",IF(AND(LEFT($G307,3)="ДОК",$N307&lt;&gt;""),IFERROR(INDEX(Документация!$G$2:$G$57,MATCH($N307,Документация!$F$2:$F$57,0)),$D307),$D307&amp;IF(AND(LEFT($G307,3)&lt;&gt;"ДОК",$N307&lt;&gt;"")," — "&amp;IFERROR(INDEX(МАТЕРИАЛЫ!$C$2:$C$9000,MATCH($N307,МАТЕРИАЛЫ!$L$2:$L$9000,0)),""),"")))</f>
        <v>Устройство плинтусов пластиковых с ковровым заполнением высотой 55 мм</v>
      </c>
      <c r="Z307" t="str">
        <f t="shared" si="34"/>
        <v>Р3 · Внутренние строительные работы</v>
      </c>
    </row>
    <row r="308" spans="1:26" ht="43.2" x14ac:dyDescent="0.3">
      <c r="A308" t="s">
        <v>707</v>
      </c>
      <c r="B308" t="s">
        <v>394</v>
      </c>
      <c r="C308" t="s">
        <v>259</v>
      </c>
      <c r="D308" s="4" t="s">
        <v>708</v>
      </c>
      <c r="E308" t="s">
        <v>52</v>
      </c>
      <c r="F308" s="5">
        <v>406.29</v>
      </c>
      <c r="G308" t="s">
        <v>696</v>
      </c>
      <c r="H308">
        <v>5</v>
      </c>
      <c r="I308" t="s">
        <v>53</v>
      </c>
      <c r="L308" s="6"/>
      <c r="M308" s="6"/>
      <c r="N308" s="6"/>
      <c r="O308" s="5"/>
      <c r="P308" s="7" t="str">
        <f t="shared" si="28"/>
        <v/>
      </c>
      <c r="Q308" s="7" t="str">
        <f t="shared" si="29"/>
        <v/>
      </c>
      <c r="R308" s="7" t="str">
        <f t="shared" si="30"/>
        <v/>
      </c>
      <c r="S308" s="7">
        <f>IF($A308="","",IF(AND(LEFT($G308,3)="ДОК",$N308&lt;&gt;""),IFERROR(INDEX(Документация!$E$2:$E$57,MATCH($N308,Документация!$F$2:$F$57,0)),0),N($F308))*(1-MEDIAN(0,N(ДисконтТендер),1)))</f>
        <v>406.29</v>
      </c>
      <c r="T308" s="7">
        <f>IF($A308="","",IF(AND(LEFT($G308,3)="ДОК",$N308&lt;&gt;""),0,IF(AND(LEFT($G308,3)&lt;&gt;"ДОК",$N308&lt;&gt;""),IFERROR(INDEX(МАТЕРИАЛЫ!$H$2:$H$9000,MATCH($N308,МАТЕРИАЛЫ!$L$2:$L$9000,0))*IF(INDEX(МАТЕРИАЛЫ!$I$2:$I$9000,MATCH($N308,МАТЕРИАЛЫ!$L$2:$L$9000,0))="USD",КурсUSD,IF(INDEX(МАТЕРИАЛЫ!$I$2:$I$9000,MATCH($N308,МАТЕРИАЛЫ!$L$2:$L$9000,0))="EUR",КурсEUR,IF(INDEX(МАТЕРИАЛЫ!$I$2:$I$9000,MATCH($N308,МАТЕРИАЛЫ!$L$2:$L$9000,0))="CNY",КурсCNY,1)))*(1+N($H308)/100),0),N($O308))*(1-MEDIAN(0,N(ДисконтТендер),1))))</f>
        <v>0</v>
      </c>
      <c r="U308" t="str">
        <f>IF($L308="да",MAX($U$1:$U307)+1,"")</f>
        <v/>
      </c>
      <c r="V308" t="str">
        <f t="shared" si="31"/>
        <v>Р3</v>
      </c>
      <c r="W308" t="str">
        <f t="shared" si="32"/>
        <v/>
      </c>
      <c r="X308" t="str">
        <f t="shared" si="33"/>
        <v/>
      </c>
      <c r="Y308" s="4" t="str">
        <f>IF($A308="","",IF(AND(LEFT($G308,3)="ДОК",$N308&lt;&gt;""),IFERROR(INDEX(Документация!$G$2:$G$57,MATCH($N308,Документация!$F$2:$F$57,0)),$D308),$D308&amp;IF(AND(LEFT($G308,3)&lt;&gt;"ДОК",$N308&lt;&gt;"")," — "&amp;IFERROR(INDEX(МАТЕРИАЛЫ!$C$2:$C$9000,MATCH($N308,МАТЕРИАЛЫ!$L$2:$L$9000,0)),""),"")))</f>
        <v>Устройство покрытия пола из полу коммерческого линолеума типа "Таркет" цвет согласовать с Заказчиком</v>
      </c>
      <c r="Z308" t="str">
        <f t="shared" si="34"/>
        <v>Р3 · Внутренние строительные работы</v>
      </c>
    </row>
    <row r="309" spans="1:26" ht="43.2" x14ac:dyDescent="0.3">
      <c r="A309" t="s">
        <v>709</v>
      </c>
      <c r="B309" t="s">
        <v>394</v>
      </c>
      <c r="C309" t="s">
        <v>259</v>
      </c>
      <c r="D309" s="4" t="s">
        <v>710</v>
      </c>
      <c r="E309" t="s">
        <v>153</v>
      </c>
      <c r="F309" s="5">
        <v>317.55</v>
      </c>
      <c r="G309" t="s">
        <v>691</v>
      </c>
      <c r="H309">
        <v>5</v>
      </c>
      <c r="I309" t="s">
        <v>53</v>
      </c>
      <c r="L309" s="6"/>
      <c r="M309" s="6"/>
      <c r="N309" s="6"/>
      <c r="O309" s="5"/>
      <c r="P309" s="7" t="str">
        <f t="shared" si="28"/>
        <v/>
      </c>
      <c r="Q309" s="7" t="str">
        <f t="shared" si="29"/>
        <v/>
      </c>
      <c r="R309" s="7" t="str">
        <f t="shared" si="30"/>
        <v/>
      </c>
      <c r="S309" s="7">
        <f>IF($A309="","",IF(AND(LEFT($G309,3)="ДОК",$N309&lt;&gt;""),IFERROR(INDEX(Документация!$E$2:$E$57,MATCH($N309,Документация!$F$2:$F$57,0)),0),N($F309))*(1-MEDIAN(0,N(ДисконтТендер),1)))</f>
        <v>317.55</v>
      </c>
      <c r="T309" s="7">
        <f>IF($A309="","",IF(AND(LEFT($G309,3)="ДОК",$N309&lt;&gt;""),0,IF(AND(LEFT($G309,3)&lt;&gt;"ДОК",$N309&lt;&gt;""),IFERROR(INDEX(МАТЕРИАЛЫ!$H$2:$H$9000,MATCH($N309,МАТЕРИАЛЫ!$L$2:$L$9000,0))*IF(INDEX(МАТЕРИАЛЫ!$I$2:$I$9000,MATCH($N309,МАТЕРИАЛЫ!$L$2:$L$9000,0))="USD",КурсUSD,IF(INDEX(МАТЕРИАЛЫ!$I$2:$I$9000,MATCH($N309,МАТЕРИАЛЫ!$L$2:$L$9000,0))="EUR",КурсEUR,IF(INDEX(МАТЕРИАЛЫ!$I$2:$I$9000,MATCH($N309,МАТЕРИАЛЫ!$L$2:$L$9000,0))="CNY",КурсCNY,1)))*(1+N($H309)/100),0),N($O309))*(1-MEDIAN(0,N(ДисконтТендер),1))))</f>
        <v>0</v>
      </c>
      <c r="U309" t="str">
        <f>IF($L309="да",MAX($U$1:$U308)+1,"")</f>
        <v/>
      </c>
      <c r="V309" t="str">
        <f t="shared" si="31"/>
        <v>Р3</v>
      </c>
      <c r="W309" t="str">
        <f t="shared" si="32"/>
        <v/>
      </c>
      <c r="X309" t="str">
        <f t="shared" si="33"/>
        <v/>
      </c>
      <c r="Y309" s="4" t="str">
        <f>IF($A309="","",IF(AND(LEFT($G309,3)="ДОК",$N309&lt;&gt;""),IFERROR(INDEX(Документация!$G$2:$G$57,MATCH($N309,Документация!$F$2:$F$57,0)),$D309),$D309&amp;IF(AND(LEFT($G309,3)&lt;&gt;"ДОК",$N309&lt;&gt;"")," — "&amp;IFERROR(INDEX(МАТЕРИАЛЫ!$C$2:$C$9000,MATCH($N309,МАТЕРИАЛЫ!$L$2:$L$9000,0)),""),"")))</f>
        <v>Установка плинтуса алюминиевого Metal Line 90 h=40мм, покраска, черный матовый, гнущийся по радиусу</v>
      </c>
      <c r="Z309" t="str">
        <f t="shared" si="34"/>
        <v>Р3 · Внутренние строительные работы</v>
      </c>
    </row>
    <row r="310" spans="1:26" ht="28.8" x14ac:dyDescent="0.3">
      <c r="A310" t="s">
        <v>711</v>
      </c>
      <c r="B310" t="s">
        <v>394</v>
      </c>
      <c r="C310" t="s">
        <v>259</v>
      </c>
      <c r="D310" s="4" t="s">
        <v>712</v>
      </c>
      <c r="E310" t="s">
        <v>153</v>
      </c>
      <c r="F310" s="5">
        <v>434.3</v>
      </c>
      <c r="G310" t="s">
        <v>691</v>
      </c>
      <c r="H310">
        <v>5</v>
      </c>
      <c r="I310" t="s">
        <v>53</v>
      </c>
      <c r="L310" s="6"/>
      <c r="M310" s="6"/>
      <c r="N310" s="6"/>
      <c r="O310" s="5"/>
      <c r="P310" s="7" t="str">
        <f t="shared" si="28"/>
        <v/>
      </c>
      <c r="Q310" s="7" t="str">
        <f t="shared" si="29"/>
        <v/>
      </c>
      <c r="R310" s="7" t="str">
        <f t="shared" si="30"/>
        <v/>
      </c>
      <c r="S310" s="7">
        <f>IF($A310="","",IF(AND(LEFT($G310,3)="ДОК",$N310&lt;&gt;""),IFERROR(INDEX(Документация!$E$2:$E$57,MATCH($N310,Документация!$F$2:$F$57,0)),0),N($F310))*(1-MEDIAN(0,N(ДисконтТендер),1)))</f>
        <v>434.3</v>
      </c>
      <c r="T310" s="7">
        <f>IF($A310="","",IF(AND(LEFT($G310,3)="ДОК",$N310&lt;&gt;""),0,IF(AND(LEFT($G310,3)&lt;&gt;"ДОК",$N310&lt;&gt;""),IFERROR(INDEX(МАТЕРИАЛЫ!$H$2:$H$9000,MATCH($N310,МАТЕРИАЛЫ!$L$2:$L$9000,0))*IF(INDEX(МАТЕРИАЛЫ!$I$2:$I$9000,MATCH($N310,МАТЕРИАЛЫ!$L$2:$L$9000,0))="USD",КурсUSD,IF(INDEX(МАТЕРИАЛЫ!$I$2:$I$9000,MATCH($N310,МАТЕРИАЛЫ!$L$2:$L$9000,0))="EUR",КурсEUR,IF(INDEX(МАТЕРИАЛЫ!$I$2:$I$9000,MATCH($N310,МАТЕРИАЛЫ!$L$2:$L$9000,0))="CNY",КурсCNY,1)))*(1+N($H310)/100),0),N($O310))*(1-MEDIAN(0,N(ДисконтТендер),1))))</f>
        <v>0</v>
      </c>
      <c r="U310" t="str">
        <f>IF($L310="да",MAX($U$1:$U309)+1,"")</f>
        <v/>
      </c>
      <c r="V310" t="str">
        <f t="shared" si="31"/>
        <v>Р3</v>
      </c>
      <c r="W310" t="str">
        <f t="shared" si="32"/>
        <v/>
      </c>
      <c r="X310" t="str">
        <f t="shared" si="33"/>
        <v/>
      </c>
      <c r="Y310" s="4" t="str">
        <f>IF($A310="","",IF(AND(LEFT($G310,3)="ДОК",$N310&lt;&gt;""),IFERROR(INDEX(Документация!$G$2:$G$57,MATCH($N310,Документация!$F$2:$F$57,0)),$D310),$D310&amp;IF(AND(LEFT($G310,3)&lt;&gt;"ДОК",$N310&lt;&gt;"")," — "&amp;IFERROR(INDEX(МАТЕРИАЛЫ!$C$2:$C$9000,MATCH($N310,МАТЕРИАЛЫ!$L$2:$L$9000,0)),""),"")))</f>
        <v>Установка плинтуса алюминиевого h80 мм, Fezard 2500*80*10 c соединителями и углами или аналог.</v>
      </c>
      <c r="Z310" t="str">
        <f t="shared" si="34"/>
        <v>Р3 · Внутренние строительные работы</v>
      </c>
    </row>
    <row r="311" spans="1:26" ht="28.8" x14ac:dyDescent="0.3">
      <c r="A311" t="s">
        <v>713</v>
      </c>
      <c r="B311" t="s">
        <v>394</v>
      </c>
      <c r="C311" t="s">
        <v>259</v>
      </c>
      <c r="D311" s="4" t="s">
        <v>714</v>
      </c>
      <c r="E311" t="s">
        <v>52</v>
      </c>
      <c r="F311" s="5">
        <v>3262.5</v>
      </c>
      <c r="G311" t="s">
        <v>688</v>
      </c>
      <c r="H311">
        <v>5</v>
      </c>
      <c r="I311" t="s">
        <v>53</v>
      </c>
      <c r="L311" s="6"/>
      <c r="M311" s="6"/>
      <c r="N311" s="6"/>
      <c r="O311" s="5"/>
      <c r="P311" s="7" t="str">
        <f t="shared" si="28"/>
        <v/>
      </c>
      <c r="Q311" s="7" t="str">
        <f t="shared" si="29"/>
        <v/>
      </c>
      <c r="R311" s="7" t="str">
        <f t="shared" si="30"/>
        <v/>
      </c>
      <c r="S311" s="7">
        <f>IF($A311="","",IF(AND(LEFT($G311,3)="ДОК",$N311&lt;&gt;""),IFERROR(INDEX(Документация!$E$2:$E$57,MATCH($N311,Документация!$F$2:$F$57,0)),0),N($F311))*(1-MEDIAN(0,N(ДисконтТендер),1)))</f>
        <v>3262.5</v>
      </c>
      <c r="T311" s="7">
        <f>IF($A311="","",IF(AND(LEFT($G311,3)="ДОК",$N311&lt;&gt;""),0,IF(AND(LEFT($G311,3)&lt;&gt;"ДОК",$N311&lt;&gt;""),IFERROR(INDEX(МАТЕРИАЛЫ!$H$2:$H$9000,MATCH($N311,МАТЕРИАЛЫ!$L$2:$L$9000,0))*IF(INDEX(МАТЕРИАЛЫ!$I$2:$I$9000,MATCH($N311,МАТЕРИАЛЫ!$L$2:$L$9000,0))="USD",КурсUSD,IF(INDEX(МАТЕРИАЛЫ!$I$2:$I$9000,MATCH($N311,МАТЕРИАЛЫ!$L$2:$L$9000,0))="EUR",КурсEUR,IF(INDEX(МАТЕРИАЛЫ!$I$2:$I$9000,MATCH($N311,МАТЕРИАЛЫ!$L$2:$L$9000,0))="CNY",КурсCNY,1)))*(1+N($H311)/100),0),N($O311))*(1-MEDIAN(0,N(ДисконтТендер),1))))</f>
        <v>0</v>
      </c>
      <c r="U311" t="str">
        <f>IF($L311="да",MAX($U$1:$U310)+1,"")</f>
        <v/>
      </c>
      <c r="V311" t="str">
        <f t="shared" si="31"/>
        <v>Р3</v>
      </c>
      <c r="W311" t="str">
        <f t="shared" si="32"/>
        <v/>
      </c>
      <c r="X311" t="str">
        <f t="shared" si="33"/>
        <v/>
      </c>
      <c r="Y311" s="4" t="str">
        <f>IF($A311="","",IF(AND(LEFT($G311,3)="ДОК",$N311&lt;&gt;""),IFERROR(INDEX(Документация!$G$2:$G$57,MATCH($N311,Документация!$F$2:$F$57,0)),$D311),$D311&amp;IF(AND(LEFT($G311,3)&lt;&gt;"ДОК",$N311&lt;&gt;"")," — "&amp;IFERROR(INDEX(МАТЕРИАЛЫ!$C$2:$C$9000,MATCH($N311,МАТЕРИАЛЫ!$L$2:$L$9000,0)),""),"")))</f>
        <v>Устройство ниши в покрытии из керамогранита для укладки грязезащитного коврика</v>
      </c>
      <c r="Z311" t="str">
        <f t="shared" si="34"/>
        <v>Р3 · Внутренние строительные работы</v>
      </c>
    </row>
    <row r="312" spans="1:26" ht="28.8" x14ac:dyDescent="0.3">
      <c r="A312" t="s">
        <v>715</v>
      </c>
      <c r="B312" t="s">
        <v>394</v>
      </c>
      <c r="C312" t="s">
        <v>259</v>
      </c>
      <c r="D312" s="4" t="s">
        <v>716</v>
      </c>
      <c r="E312" t="s">
        <v>52</v>
      </c>
      <c r="F312" s="5">
        <v>1746.09</v>
      </c>
      <c r="H312">
        <v>0</v>
      </c>
      <c r="I312" t="s">
        <v>53</v>
      </c>
      <c r="L312" s="6"/>
      <c r="M312" s="6"/>
      <c r="N312" s="6"/>
      <c r="O312" s="5"/>
      <c r="P312" s="7" t="str">
        <f t="shared" si="28"/>
        <v/>
      </c>
      <c r="Q312" s="7" t="str">
        <f t="shared" si="29"/>
        <v/>
      </c>
      <c r="R312" s="7" t="str">
        <f t="shared" si="30"/>
        <v/>
      </c>
      <c r="S312" s="7">
        <f>IF($A312="","",IF(AND(LEFT($G312,3)="ДОК",$N312&lt;&gt;""),IFERROR(INDEX(Документация!$E$2:$E$57,MATCH($N312,Документация!$F$2:$F$57,0)),0),N($F312))*(1-MEDIAN(0,N(ДисконтТендер),1)))</f>
        <v>1746.09</v>
      </c>
      <c r="T312" s="7">
        <f>IF($A312="","",IF(AND(LEFT($G312,3)="ДОК",$N312&lt;&gt;""),0,IF(AND(LEFT($G312,3)&lt;&gt;"ДОК",$N312&lt;&gt;""),IFERROR(INDEX(МАТЕРИАЛЫ!$H$2:$H$9000,MATCH($N312,МАТЕРИАЛЫ!$L$2:$L$9000,0))*IF(INDEX(МАТЕРИАЛЫ!$I$2:$I$9000,MATCH($N312,МАТЕРИАЛЫ!$L$2:$L$9000,0))="USD",КурсUSD,IF(INDEX(МАТЕРИАЛЫ!$I$2:$I$9000,MATCH($N312,МАТЕРИАЛЫ!$L$2:$L$9000,0))="EUR",КурсEUR,IF(INDEX(МАТЕРИАЛЫ!$I$2:$I$9000,MATCH($N312,МАТЕРИАЛЫ!$L$2:$L$9000,0))="CNY",КурсCNY,1)))*(1+N($H312)/100),0),N($O312))*(1-MEDIAN(0,N(ДисконтТендер),1))))</f>
        <v>0</v>
      </c>
      <c r="U312" t="str">
        <f>IF($L312="да",MAX($U$1:$U311)+1,"")</f>
        <v/>
      </c>
      <c r="V312" t="str">
        <f t="shared" si="31"/>
        <v>Р3</v>
      </c>
      <c r="W312" t="str">
        <f t="shared" si="32"/>
        <v/>
      </c>
      <c r="X312" t="str">
        <f t="shared" si="33"/>
        <v/>
      </c>
      <c r="Y312" s="4" t="str">
        <f>IF($A312="","",IF(AND(LEFT($G312,3)="ДОК",$N312&lt;&gt;""),IFERROR(INDEX(Документация!$G$2:$G$57,MATCH($N312,Документация!$F$2:$F$57,0)),$D312),$D312&amp;IF(AND(LEFT($G312,3)&lt;&gt;"ДОК",$N312&lt;&gt;"")," — "&amp;IFERROR(INDEX(МАТЕРИАЛЫ!$C$2:$C$9000,MATCH($N312,МАТЕРИАЛЫ!$L$2:$L$9000,0)),""),"")))</f>
        <v>Монтаж грязезащитного коврика СИТИТОП Сити резина + текстиль + скребок)</v>
      </c>
      <c r="Z312" t="str">
        <f t="shared" si="34"/>
        <v>Р3 · Внутренние строительные работы</v>
      </c>
    </row>
    <row r="313" spans="1:26" ht="28.8" x14ac:dyDescent="0.3">
      <c r="A313" t="s">
        <v>717</v>
      </c>
      <c r="B313" t="s">
        <v>394</v>
      </c>
      <c r="C313" t="s">
        <v>259</v>
      </c>
      <c r="D313" s="4" t="s">
        <v>718</v>
      </c>
      <c r="E313" t="s">
        <v>153</v>
      </c>
      <c r="F313" s="5">
        <v>616.1</v>
      </c>
      <c r="H313">
        <v>0</v>
      </c>
      <c r="I313" t="s">
        <v>53</v>
      </c>
      <c r="L313" s="6"/>
      <c r="M313" s="6"/>
      <c r="N313" s="6"/>
      <c r="O313" s="5"/>
      <c r="P313" s="7" t="str">
        <f t="shared" si="28"/>
        <v/>
      </c>
      <c r="Q313" s="7" t="str">
        <f t="shared" si="29"/>
        <v/>
      </c>
      <c r="R313" s="7" t="str">
        <f t="shared" si="30"/>
        <v/>
      </c>
      <c r="S313" s="7">
        <f>IF($A313="","",IF(AND(LEFT($G313,3)="ДОК",$N313&lt;&gt;""),IFERROR(INDEX(Документация!$E$2:$E$57,MATCH($N313,Документация!$F$2:$F$57,0)),0),N($F313))*(1-MEDIAN(0,N(ДисконтТендер),1)))</f>
        <v>616.1</v>
      </c>
      <c r="T313" s="7">
        <f>IF($A313="","",IF(AND(LEFT($G313,3)="ДОК",$N313&lt;&gt;""),0,IF(AND(LEFT($G313,3)&lt;&gt;"ДОК",$N313&lt;&gt;""),IFERROR(INDEX(МАТЕРИАЛЫ!$H$2:$H$9000,MATCH($N313,МАТЕРИАЛЫ!$L$2:$L$9000,0))*IF(INDEX(МАТЕРИАЛЫ!$I$2:$I$9000,MATCH($N313,МАТЕРИАЛЫ!$L$2:$L$9000,0))="USD",КурсUSD,IF(INDEX(МАТЕРИАЛЫ!$I$2:$I$9000,MATCH($N313,МАТЕРИАЛЫ!$L$2:$L$9000,0))="EUR",КурсEUR,IF(INDEX(МАТЕРИАЛЫ!$I$2:$I$9000,MATCH($N313,МАТЕРИАЛЫ!$L$2:$L$9000,0))="CNY",КурсCNY,1)))*(1+N($H313)/100),0),N($O313))*(1-MEDIAN(0,N(ДисконтТендер),1))))</f>
        <v>0</v>
      </c>
      <c r="U313" t="str">
        <f>IF($L313="да",MAX($U$1:$U312)+1,"")</f>
        <v/>
      </c>
      <c r="V313" t="str">
        <f t="shared" si="31"/>
        <v>Р3</v>
      </c>
      <c r="W313" t="str">
        <f t="shared" si="32"/>
        <v/>
      </c>
      <c r="X313" t="str">
        <f t="shared" si="33"/>
        <v/>
      </c>
      <c r="Y313" s="4" t="str">
        <f>IF($A313="","",IF(AND(LEFT($G313,3)="ДОК",$N313&lt;&gt;""),IFERROR(INDEX(Документация!$G$2:$G$57,MATCH($N313,Документация!$F$2:$F$57,0)),$D313),$D313&amp;IF(AND(LEFT($G313,3)&lt;&gt;"ДОК",$N313&lt;&gt;"")," — "&amp;IFERROR(INDEX(МАТЕРИАЛЫ!$C$2:$C$9000,MATCH($N313,МАТЕРИАЛЫ!$L$2:$L$9000,0)),""),"")))</f>
        <v>Устройство штроб в цементно-песчаной стяжке пола</v>
      </c>
      <c r="Z313" t="str">
        <f t="shared" si="34"/>
        <v>Р3 · Внутренние строительные работы</v>
      </c>
    </row>
    <row r="314" spans="1:26" x14ac:dyDescent="0.3">
      <c r="A314" t="s">
        <v>719</v>
      </c>
      <c r="B314" t="s">
        <v>394</v>
      </c>
      <c r="C314" t="s">
        <v>259</v>
      </c>
      <c r="D314" s="4" t="s">
        <v>720</v>
      </c>
      <c r="E314" t="s">
        <v>153</v>
      </c>
      <c r="F314" s="5">
        <v>528.39</v>
      </c>
      <c r="H314">
        <v>0</v>
      </c>
      <c r="I314" t="s">
        <v>53</v>
      </c>
      <c r="L314" s="6"/>
      <c r="M314" s="6"/>
      <c r="N314" s="6"/>
      <c r="O314" s="5"/>
      <c r="P314" s="7" t="str">
        <f t="shared" si="28"/>
        <v/>
      </c>
      <c r="Q314" s="7" t="str">
        <f t="shared" si="29"/>
        <v/>
      </c>
      <c r="R314" s="7" t="str">
        <f t="shared" si="30"/>
        <v/>
      </c>
      <c r="S314" s="7">
        <f>IF($A314="","",IF(AND(LEFT($G314,3)="ДОК",$N314&lt;&gt;""),IFERROR(INDEX(Документация!$E$2:$E$57,MATCH($N314,Документация!$F$2:$F$57,0)),0),N($F314))*(1-MEDIAN(0,N(ДисконтТендер),1)))</f>
        <v>528.39</v>
      </c>
      <c r="T314" s="7">
        <f>IF($A314="","",IF(AND(LEFT($G314,3)="ДОК",$N314&lt;&gt;""),0,IF(AND(LEFT($G314,3)&lt;&gt;"ДОК",$N314&lt;&gt;""),IFERROR(INDEX(МАТЕРИАЛЫ!$H$2:$H$9000,MATCH($N314,МАТЕРИАЛЫ!$L$2:$L$9000,0))*IF(INDEX(МАТЕРИАЛЫ!$I$2:$I$9000,MATCH($N314,МАТЕРИАЛЫ!$L$2:$L$9000,0))="USD",КурсUSD,IF(INDEX(МАТЕРИАЛЫ!$I$2:$I$9000,MATCH($N314,МАТЕРИАЛЫ!$L$2:$L$9000,0))="EUR",КурсEUR,IF(INDEX(МАТЕРИАЛЫ!$I$2:$I$9000,MATCH($N314,МАТЕРИАЛЫ!$L$2:$L$9000,0))="CNY",КурсCNY,1)))*(1+N($H314)/100),0),N($O314))*(1-MEDIAN(0,N(ДисконтТендер),1))))</f>
        <v>0</v>
      </c>
      <c r="U314" t="str">
        <f>IF($L314="да",MAX($U$1:$U313)+1,"")</f>
        <v/>
      </c>
      <c r="V314" t="str">
        <f t="shared" si="31"/>
        <v>Р3</v>
      </c>
      <c r="W314" t="str">
        <f t="shared" si="32"/>
        <v/>
      </c>
      <c r="X314" t="str">
        <f t="shared" si="33"/>
        <v/>
      </c>
      <c r="Y314" s="4" t="str">
        <f>IF($A314="","",IF(AND(LEFT($G314,3)="ДОК",$N314&lt;&gt;""),IFERROR(INDEX(Документация!$G$2:$G$57,MATCH($N314,Документация!$F$2:$F$57,0)),$D314),$D314&amp;IF(AND(LEFT($G314,3)&lt;&gt;"ДОК",$N314&lt;&gt;"")," — "&amp;IFERROR(INDEX(МАТЕРИАЛЫ!$C$2:$C$9000,MATCH($N314,МАТЕРИАЛЫ!$L$2:$L$9000,0)),""),"")))</f>
        <v>Заделка штроб в полу цементно-песчаным р-ром</v>
      </c>
      <c r="Z314" t="str">
        <f t="shared" si="34"/>
        <v>Р3 · Внутренние строительные работы</v>
      </c>
    </row>
    <row r="315" spans="1:26" ht="28.8" x14ac:dyDescent="0.3">
      <c r="A315" t="s">
        <v>721</v>
      </c>
      <c r="B315" t="s">
        <v>394</v>
      </c>
      <c r="C315" t="s">
        <v>259</v>
      </c>
      <c r="D315" s="4" t="s">
        <v>722</v>
      </c>
      <c r="E315" t="s">
        <v>52</v>
      </c>
      <c r="F315" s="5">
        <v>95.7</v>
      </c>
      <c r="H315">
        <v>0</v>
      </c>
      <c r="I315" t="s">
        <v>53</v>
      </c>
      <c r="L315" s="6"/>
      <c r="M315" s="6"/>
      <c r="N315" s="6"/>
      <c r="O315" s="5"/>
      <c r="P315" s="7" t="str">
        <f t="shared" si="28"/>
        <v/>
      </c>
      <c r="Q315" s="7" t="str">
        <f t="shared" si="29"/>
        <v/>
      </c>
      <c r="R315" s="7" t="str">
        <f t="shared" si="30"/>
        <v/>
      </c>
      <c r="S315" s="7">
        <f>IF($A315="","",IF(AND(LEFT($G315,3)="ДОК",$N315&lt;&gt;""),IFERROR(INDEX(Документация!$E$2:$E$57,MATCH($N315,Документация!$F$2:$F$57,0)),0),N($F315))*(1-MEDIAN(0,N(ДисконтТендер),1)))</f>
        <v>95.7</v>
      </c>
      <c r="T315" s="7">
        <f>IF($A315="","",IF(AND(LEFT($G315,3)="ДОК",$N315&lt;&gt;""),0,IF(AND(LEFT($G315,3)&lt;&gt;"ДОК",$N315&lt;&gt;""),IFERROR(INDEX(МАТЕРИАЛЫ!$H$2:$H$9000,MATCH($N315,МАТЕРИАЛЫ!$L$2:$L$9000,0))*IF(INDEX(МАТЕРИАЛЫ!$I$2:$I$9000,MATCH($N315,МАТЕРИАЛЫ!$L$2:$L$9000,0))="USD",КурсUSD,IF(INDEX(МАТЕРИАЛЫ!$I$2:$I$9000,MATCH($N315,МАТЕРИАЛЫ!$L$2:$L$9000,0))="EUR",КурсEUR,IF(INDEX(МАТЕРИАЛЫ!$I$2:$I$9000,MATCH($N315,МАТЕРИАЛЫ!$L$2:$L$9000,0))="CNY",КурсCNY,1)))*(1+N($H315)/100),0),N($O315))*(1-MEDIAN(0,N(ДисконтТендер),1))))</f>
        <v>0</v>
      </c>
      <c r="U315" t="str">
        <f>IF($L315="да",MAX($U$1:$U314)+1,"")</f>
        <v/>
      </c>
      <c r="V315" t="str">
        <f t="shared" si="31"/>
        <v>Р3</v>
      </c>
      <c r="W315" t="str">
        <f t="shared" si="32"/>
        <v/>
      </c>
      <c r="X315" t="str">
        <f t="shared" si="33"/>
        <v/>
      </c>
      <c r="Y315" s="4" t="str">
        <f>IF($A315="","",IF(AND(LEFT($G315,3)="ДОК",$N315&lt;&gt;""),IFERROR(INDEX(Документация!$G$2:$G$57,MATCH($N315,Документация!$F$2:$F$57,0)),$D315),$D315&amp;IF(AND(LEFT($G315,3)&lt;&gt;"ДОК",$N315&lt;&gt;"")," — "&amp;IFERROR(INDEX(МАТЕРИАЛЫ!$C$2:$C$9000,MATCH($N315,МАТЕРИАЛЫ!$L$2:$L$9000,0)),""),"")))</f>
        <v>Укрытие полов листами ДВП на время производства работ</v>
      </c>
      <c r="Z315" t="str">
        <f t="shared" si="34"/>
        <v>Р3 · Внутренние строительные работы</v>
      </c>
    </row>
    <row r="316" spans="1:26" ht="28.8" x14ac:dyDescent="0.3">
      <c r="A316" t="s">
        <v>723</v>
      </c>
      <c r="B316" t="s">
        <v>394</v>
      </c>
      <c r="C316" t="s">
        <v>259</v>
      </c>
      <c r="D316" s="4" t="s">
        <v>724</v>
      </c>
      <c r="E316" t="s">
        <v>52</v>
      </c>
      <c r="F316" s="5">
        <v>67.86</v>
      </c>
      <c r="H316">
        <v>0</v>
      </c>
      <c r="I316" t="s">
        <v>53</v>
      </c>
      <c r="L316" s="6"/>
      <c r="M316" s="6"/>
      <c r="N316" s="6"/>
      <c r="O316" s="5"/>
      <c r="P316" s="7" t="str">
        <f t="shared" si="28"/>
        <v/>
      </c>
      <c r="Q316" s="7" t="str">
        <f t="shared" si="29"/>
        <v/>
      </c>
      <c r="R316" s="7" t="str">
        <f t="shared" si="30"/>
        <v/>
      </c>
      <c r="S316" s="7">
        <f>IF($A316="","",IF(AND(LEFT($G316,3)="ДОК",$N316&lt;&gt;""),IFERROR(INDEX(Документация!$E$2:$E$57,MATCH($N316,Документация!$F$2:$F$57,0)),0),N($F316))*(1-MEDIAN(0,N(ДисконтТендер),1)))</f>
        <v>67.86</v>
      </c>
      <c r="T316" s="7">
        <f>IF($A316="","",IF(AND(LEFT($G316,3)="ДОК",$N316&lt;&gt;""),0,IF(AND(LEFT($G316,3)&lt;&gt;"ДОК",$N316&lt;&gt;""),IFERROR(INDEX(МАТЕРИАЛЫ!$H$2:$H$9000,MATCH($N316,МАТЕРИАЛЫ!$L$2:$L$9000,0))*IF(INDEX(МАТЕРИАЛЫ!$I$2:$I$9000,MATCH($N316,МАТЕРИАЛЫ!$L$2:$L$9000,0))="USD",КурсUSD,IF(INDEX(МАТЕРИАЛЫ!$I$2:$I$9000,MATCH($N316,МАТЕРИАЛЫ!$L$2:$L$9000,0))="EUR",КурсEUR,IF(INDEX(МАТЕРИАЛЫ!$I$2:$I$9000,MATCH($N316,МАТЕРИАЛЫ!$L$2:$L$9000,0))="CNY",КурсCNY,1)))*(1+N($H316)/100),0),N($O316))*(1-MEDIAN(0,N(ДисконтТендер),1))))</f>
        <v>0</v>
      </c>
      <c r="U316" t="str">
        <f>IF($L316="да",MAX($U$1:$U315)+1,"")</f>
        <v/>
      </c>
      <c r="V316" t="str">
        <f t="shared" si="31"/>
        <v>Р3</v>
      </c>
      <c r="W316" t="str">
        <f t="shared" si="32"/>
        <v/>
      </c>
      <c r="X316" t="str">
        <f t="shared" si="33"/>
        <v/>
      </c>
      <c r="Y316" s="4" t="str">
        <f>IF($A316="","",IF(AND(LEFT($G316,3)="ДОК",$N316&lt;&gt;""),IFERROR(INDEX(Документация!$G$2:$G$57,MATCH($N316,Документация!$F$2:$F$57,0)),$D316),$D316&amp;IF(AND(LEFT($G316,3)&lt;&gt;"ДОК",$N316&lt;&gt;"")," — "&amp;IFERROR(INDEX(МАТЕРИАЛЫ!$C$2:$C$9000,MATCH($N316,МАТЕРИАЛЫ!$L$2:$L$9000,0)),""),"")))</f>
        <v>Укрытие полов пленкой полиэтиленовой 200 мкм на время производства работ</v>
      </c>
      <c r="Z316" t="str">
        <f t="shared" si="34"/>
        <v>Р3 · Внутренние строительные работы</v>
      </c>
    </row>
    <row r="317" spans="1:26" x14ac:dyDescent="0.3">
      <c r="A317" t="s">
        <v>725</v>
      </c>
      <c r="B317" t="s">
        <v>394</v>
      </c>
      <c r="C317" t="s">
        <v>259</v>
      </c>
      <c r="D317" s="4" t="s">
        <v>477</v>
      </c>
      <c r="E317" t="s">
        <v>52</v>
      </c>
      <c r="F317" s="5">
        <v>1287</v>
      </c>
      <c r="G317" t="s">
        <v>478</v>
      </c>
      <c r="H317">
        <v>5</v>
      </c>
      <c r="I317" t="s">
        <v>53</v>
      </c>
      <c r="L317" s="6"/>
      <c r="M317" s="6"/>
      <c r="N317" s="6"/>
      <c r="O317" s="5"/>
      <c r="P317" s="7" t="str">
        <f t="shared" si="28"/>
        <v/>
      </c>
      <c r="Q317" s="7" t="str">
        <f t="shared" si="29"/>
        <v/>
      </c>
      <c r="R317" s="7" t="str">
        <f t="shared" si="30"/>
        <v/>
      </c>
      <c r="S317" s="7">
        <f>IF($A317="","",IF(AND(LEFT($G317,3)="ДОК",$N317&lt;&gt;""),IFERROR(INDEX(Документация!$E$2:$E$57,MATCH($N317,Документация!$F$2:$F$57,0)),0),N($F317))*(1-MEDIAN(0,N(ДисконтТендер),1)))</f>
        <v>1287</v>
      </c>
      <c r="T317" s="7">
        <f>IF($A317="","",IF(AND(LEFT($G317,3)="ДОК",$N317&lt;&gt;""),0,IF(AND(LEFT($G317,3)&lt;&gt;"ДОК",$N317&lt;&gt;""),IFERROR(INDEX(МАТЕРИАЛЫ!$H$2:$H$9000,MATCH($N317,МАТЕРИАЛЫ!$L$2:$L$9000,0))*IF(INDEX(МАТЕРИАЛЫ!$I$2:$I$9000,MATCH($N317,МАТЕРИАЛЫ!$L$2:$L$9000,0))="USD",КурсUSD,IF(INDEX(МАТЕРИАЛЫ!$I$2:$I$9000,MATCH($N317,МАТЕРИАЛЫ!$L$2:$L$9000,0))="EUR",КурсEUR,IF(INDEX(МАТЕРИАЛЫ!$I$2:$I$9000,MATCH($N317,МАТЕРИАЛЫ!$L$2:$L$9000,0))="CNY",КурсCNY,1)))*(1+N($H317)/100),0),N($O317))*(1-MEDIAN(0,N(ДисконтТендер),1))))</f>
        <v>0</v>
      </c>
      <c r="U317" t="str">
        <f>IF($L317="да",MAX($U$1:$U316)+1,"")</f>
        <v/>
      </c>
      <c r="V317" t="str">
        <f t="shared" si="31"/>
        <v>Р3</v>
      </c>
      <c r="W317" t="str">
        <f t="shared" si="32"/>
        <v/>
      </c>
      <c r="X317" t="str">
        <f t="shared" si="33"/>
        <v/>
      </c>
      <c r="Y317" s="4" t="str">
        <f>IF($A317="","",IF(AND(LEFT($G317,3)="ДОК",$N317&lt;&gt;""),IFERROR(INDEX(Документация!$G$2:$G$57,MATCH($N317,Документация!$F$2:$F$57,0)),$D317),$D317&amp;IF(AND(LEFT($G317,3)&lt;&gt;"ДОК",$N317&lt;&gt;"")," — "&amp;IFERROR(INDEX(МАТЕРИАЛЫ!$C$2:$C$9000,MATCH($N317,МАТЕРИАЛЫ!$L$2:$L$9000,0)),""),"")))</f>
        <v>Устройство фальшпола</v>
      </c>
      <c r="Z317" t="str">
        <f t="shared" si="34"/>
        <v>Р3 · Внутренние строительные работы</v>
      </c>
    </row>
    <row r="318" spans="1:26" ht="43.2" x14ac:dyDescent="0.3">
      <c r="A318" t="s">
        <v>726</v>
      </c>
      <c r="B318" t="s">
        <v>394</v>
      </c>
      <c r="C318" t="s">
        <v>259</v>
      </c>
      <c r="D318" s="4" t="s">
        <v>727</v>
      </c>
      <c r="E318" t="s">
        <v>52</v>
      </c>
      <c r="F318" s="5">
        <v>165</v>
      </c>
      <c r="H318">
        <v>0</v>
      </c>
      <c r="I318" t="s">
        <v>53</v>
      </c>
      <c r="L318" s="6"/>
      <c r="M318" s="6"/>
      <c r="N318" s="6"/>
      <c r="O318" s="5"/>
      <c r="P318" s="7" t="str">
        <f t="shared" si="28"/>
        <v/>
      </c>
      <c r="Q318" s="7" t="str">
        <f t="shared" si="29"/>
        <v/>
      </c>
      <c r="R318" s="7" t="str">
        <f t="shared" si="30"/>
        <v/>
      </c>
      <c r="S318" s="7">
        <f>IF($A318="","",IF(AND(LEFT($G318,3)="ДОК",$N318&lt;&gt;""),IFERROR(INDEX(Документация!$E$2:$E$57,MATCH($N318,Документация!$F$2:$F$57,0)),0),N($F318))*(1-MEDIAN(0,N(ДисконтТендер),1)))</f>
        <v>165</v>
      </c>
      <c r="T318" s="7">
        <f>IF($A318="","",IF(AND(LEFT($G318,3)="ДОК",$N318&lt;&gt;""),0,IF(AND(LEFT($G318,3)&lt;&gt;"ДОК",$N318&lt;&gt;""),IFERROR(INDEX(МАТЕРИАЛЫ!$H$2:$H$9000,MATCH($N318,МАТЕРИАЛЫ!$L$2:$L$9000,0))*IF(INDEX(МАТЕРИАЛЫ!$I$2:$I$9000,MATCH($N318,МАТЕРИАЛЫ!$L$2:$L$9000,0))="USD",КурсUSD,IF(INDEX(МАТЕРИАЛЫ!$I$2:$I$9000,MATCH($N318,МАТЕРИАЛЫ!$L$2:$L$9000,0))="EUR",КурсEUR,IF(INDEX(МАТЕРИАЛЫ!$I$2:$I$9000,MATCH($N318,МАТЕРИАЛЫ!$L$2:$L$9000,0))="CNY",КурсCNY,1)))*(1+N($H318)/100),0),N($O318))*(1-MEDIAN(0,N(ДисконтТендер),1))))</f>
        <v>0</v>
      </c>
      <c r="U318" t="str">
        <f>IF($L318="да",MAX($U$1:$U317)+1,"")</f>
        <v/>
      </c>
      <c r="V318" t="str">
        <f t="shared" si="31"/>
        <v>Р3</v>
      </c>
      <c r="W318" t="str">
        <f t="shared" si="32"/>
        <v/>
      </c>
      <c r="X318" t="str">
        <f t="shared" si="33"/>
        <v/>
      </c>
      <c r="Y318" s="4" t="str">
        <f>IF($A318="","",IF(AND(LEFT($G318,3)="ДОК",$N318&lt;&gt;""),IFERROR(INDEX(Документация!$G$2:$G$57,MATCH($N318,Документация!$F$2:$F$57,0)),$D318),$D318&amp;IF(AND(LEFT($G318,3)&lt;&gt;"ДОК",$N318&lt;&gt;"")," — "&amp;IFERROR(INDEX(МАТЕРИАЛЫ!$C$2:$C$9000,MATCH($N318,МАТЕРИАЛЫ!$L$2:$L$9000,0)),""),"")))</f>
        <v>антистатическим покрытием) ANKER тип BRIKK N28ST/PVC Emerald Plus 5092, с учетом подрезки 10%</v>
      </c>
      <c r="Z318" t="str">
        <f t="shared" si="34"/>
        <v>Р3 · Внутренние строительные работы</v>
      </c>
    </row>
    <row r="319" spans="1:26" ht="28.8" x14ac:dyDescent="0.3">
      <c r="A319" t="s">
        <v>728</v>
      </c>
      <c r="B319" t="s">
        <v>394</v>
      </c>
      <c r="C319" t="s">
        <v>259</v>
      </c>
      <c r="D319" s="4" t="s">
        <v>729</v>
      </c>
      <c r="E319" t="s">
        <v>153</v>
      </c>
      <c r="F319" s="5">
        <v>393.59</v>
      </c>
      <c r="H319">
        <v>0</v>
      </c>
      <c r="I319" t="s">
        <v>53</v>
      </c>
      <c r="L319" s="6"/>
      <c r="M319" s="6"/>
      <c r="N319" s="6"/>
      <c r="O319" s="5"/>
      <c r="P319" s="7" t="str">
        <f t="shared" si="28"/>
        <v/>
      </c>
      <c r="Q319" s="7" t="str">
        <f t="shared" si="29"/>
        <v/>
      </c>
      <c r="R319" s="7" t="str">
        <f t="shared" si="30"/>
        <v/>
      </c>
      <c r="S319" s="7">
        <f>IF($A319="","",IF(AND(LEFT($G319,3)="ДОК",$N319&lt;&gt;""),IFERROR(INDEX(Документация!$E$2:$E$57,MATCH($N319,Документация!$F$2:$F$57,0)),0),N($F319))*(1-MEDIAN(0,N(ДисконтТендер),1)))</f>
        <v>393.59</v>
      </c>
      <c r="T319" s="7">
        <f>IF($A319="","",IF(AND(LEFT($G319,3)="ДОК",$N319&lt;&gt;""),0,IF(AND(LEFT($G319,3)&lt;&gt;"ДОК",$N319&lt;&gt;""),IFERROR(INDEX(МАТЕРИАЛЫ!$H$2:$H$9000,MATCH($N319,МАТЕРИАЛЫ!$L$2:$L$9000,0))*IF(INDEX(МАТЕРИАЛЫ!$I$2:$I$9000,MATCH($N319,МАТЕРИАЛЫ!$L$2:$L$9000,0))="USD",КурсUSD,IF(INDEX(МАТЕРИАЛЫ!$I$2:$I$9000,MATCH($N319,МАТЕРИАЛЫ!$L$2:$L$9000,0))="EUR",КурсEUR,IF(INDEX(МАТЕРИАЛЫ!$I$2:$I$9000,MATCH($N319,МАТЕРИАЛЫ!$L$2:$L$9000,0))="CNY",КурсCNY,1)))*(1+N($H319)/100),0),N($O319))*(1-MEDIAN(0,N(ДисконтТендер),1))))</f>
        <v>0</v>
      </c>
      <c r="U319" t="str">
        <f>IF($L319="да",MAX($U$1:$U318)+1,"")</f>
        <v/>
      </c>
      <c r="V319" t="str">
        <f t="shared" si="31"/>
        <v>Р3</v>
      </c>
      <c r="W319" t="str">
        <f t="shared" si="32"/>
        <v/>
      </c>
      <c r="X319" t="str">
        <f t="shared" si="33"/>
        <v/>
      </c>
      <c r="Y319" s="4" t="str">
        <f>IF($A319="","",IF(AND(LEFT($G319,3)="ДОК",$N319&lt;&gt;""),IFERROR(INDEX(Документация!$G$2:$G$57,MATCH($N319,Документация!$F$2:$F$57,0)),$D319),$D319&amp;IF(AND(LEFT($G319,3)&lt;&gt;"ДОК",$N319&lt;&gt;"")," — "&amp;IFERROR(INDEX(МАТЕРИАЛЫ!$C$2:$C$9000,MATCH($N319,МАТЕРИАЛЫ!$L$2:$L$9000,0)),""),"")))</f>
        <v>Устройство противоскользящих уголков на ступени</v>
      </c>
      <c r="Z319" t="str">
        <f t="shared" si="34"/>
        <v>Р3 · Внутренние строительные работы</v>
      </c>
    </row>
    <row r="320" spans="1:26" ht="28.8" x14ac:dyDescent="0.3">
      <c r="A320" t="s">
        <v>730</v>
      </c>
      <c r="B320" t="s">
        <v>394</v>
      </c>
      <c r="C320" t="s">
        <v>259</v>
      </c>
      <c r="D320" s="4" t="s">
        <v>731</v>
      </c>
      <c r="E320" t="s">
        <v>52</v>
      </c>
      <c r="F320" s="5">
        <v>2030.58</v>
      </c>
      <c r="G320" t="s">
        <v>732</v>
      </c>
      <c r="H320">
        <v>5</v>
      </c>
      <c r="I320" t="s">
        <v>53</v>
      </c>
      <c r="L320" s="6"/>
      <c r="M320" s="6"/>
      <c r="N320" s="6"/>
      <c r="O320" s="5"/>
      <c r="P320" s="7" t="str">
        <f t="shared" si="28"/>
        <v/>
      </c>
      <c r="Q320" s="7" t="str">
        <f t="shared" si="29"/>
        <v/>
      </c>
      <c r="R320" s="7" t="str">
        <f t="shared" si="30"/>
        <v/>
      </c>
      <c r="S320" s="7">
        <f>IF($A320="","",IF(AND(LEFT($G320,3)="ДОК",$N320&lt;&gt;""),IFERROR(INDEX(Документация!$E$2:$E$57,MATCH($N320,Документация!$F$2:$F$57,0)),0),N($F320))*(1-MEDIAN(0,N(ДисконтТендер),1)))</f>
        <v>2030.58</v>
      </c>
      <c r="T320" s="7">
        <f>IF($A320="","",IF(AND(LEFT($G320,3)="ДОК",$N320&lt;&gt;""),0,IF(AND(LEFT($G320,3)&lt;&gt;"ДОК",$N320&lt;&gt;""),IFERROR(INDEX(МАТЕРИАЛЫ!$H$2:$H$9000,MATCH($N320,МАТЕРИАЛЫ!$L$2:$L$9000,0))*IF(INDEX(МАТЕРИАЛЫ!$I$2:$I$9000,MATCH($N320,МАТЕРИАЛЫ!$L$2:$L$9000,0))="USD",КурсUSD,IF(INDEX(МАТЕРИАЛЫ!$I$2:$I$9000,MATCH($N320,МАТЕРИАЛЫ!$L$2:$L$9000,0))="EUR",КурсEUR,IF(INDEX(МАТЕРИАЛЫ!$I$2:$I$9000,MATCH($N320,МАТЕРИАЛЫ!$L$2:$L$9000,0))="CNY",КурсCNY,1)))*(1+N($H320)/100),0),N($O320))*(1-MEDIAN(0,N(ДисконтТендер),1))))</f>
        <v>0</v>
      </c>
      <c r="U320" t="str">
        <f>IF($L320="да",MAX($U$1:$U319)+1,"")</f>
        <v/>
      </c>
      <c r="V320" t="str">
        <f t="shared" si="31"/>
        <v>Р3</v>
      </c>
      <c r="W320" t="str">
        <f t="shared" si="32"/>
        <v/>
      </c>
      <c r="X320" t="str">
        <f t="shared" si="33"/>
        <v/>
      </c>
      <c r="Y320" s="4" t="str">
        <f>IF($A320="","",IF(AND(LEFT($G320,3)="ДОК",$N320&lt;&gt;""),IFERROR(INDEX(Документация!$G$2:$G$57,MATCH($N320,Документация!$F$2:$F$57,0)),$D320),$D320&amp;IF(AND(LEFT($G320,3)&lt;&gt;"ДОК",$N320&lt;&gt;"")," — "&amp;IFERROR(INDEX(МАТЕРИАЛЫ!$C$2:$C$9000,MATCH($N320,МАТЕРИАЛЫ!$L$2:$L$9000,0)),""),"")))</f>
        <v>Укладка паркетной доски 200*2000 Solid Floor Piraness</v>
      </c>
      <c r="Z320" t="str">
        <f t="shared" si="34"/>
        <v>Р3 · Внутренние строительные работы</v>
      </c>
    </row>
    <row r="321" spans="1:26" ht="43.2" x14ac:dyDescent="0.3">
      <c r="A321" t="s">
        <v>733</v>
      </c>
      <c r="B321" t="s">
        <v>394</v>
      </c>
      <c r="C321" t="s">
        <v>259</v>
      </c>
      <c r="D321" s="4" t="s">
        <v>734</v>
      </c>
      <c r="E321" t="s">
        <v>52</v>
      </c>
      <c r="F321" s="5">
        <v>4438.46</v>
      </c>
      <c r="H321">
        <v>0</v>
      </c>
      <c r="I321" t="s">
        <v>53</v>
      </c>
      <c r="L321" s="6"/>
      <c r="M321" s="6"/>
      <c r="N321" s="6"/>
      <c r="O321" s="5"/>
      <c r="P321" s="7" t="str">
        <f t="shared" si="28"/>
        <v/>
      </c>
      <c r="Q321" s="7" t="str">
        <f t="shared" si="29"/>
        <v/>
      </c>
      <c r="R321" s="7" t="str">
        <f t="shared" si="30"/>
        <v/>
      </c>
      <c r="S321" s="7">
        <f>IF($A321="","",IF(AND(LEFT($G321,3)="ДОК",$N321&lt;&gt;""),IFERROR(INDEX(Документация!$E$2:$E$57,MATCH($N321,Документация!$F$2:$F$57,0)),0),N($F321))*(1-MEDIAN(0,N(ДисконтТендер),1)))</f>
        <v>4438.46</v>
      </c>
      <c r="T321" s="7">
        <f>IF($A321="","",IF(AND(LEFT($G321,3)="ДОК",$N321&lt;&gt;""),0,IF(AND(LEFT($G321,3)&lt;&gt;"ДОК",$N321&lt;&gt;""),IFERROR(INDEX(МАТЕРИАЛЫ!$H$2:$H$9000,MATCH($N321,МАТЕРИАЛЫ!$L$2:$L$9000,0))*IF(INDEX(МАТЕРИАЛЫ!$I$2:$I$9000,MATCH($N321,МАТЕРИАЛЫ!$L$2:$L$9000,0))="USD",КурсUSD,IF(INDEX(МАТЕРИАЛЫ!$I$2:$I$9000,MATCH($N321,МАТЕРИАЛЫ!$L$2:$L$9000,0))="EUR",КурсEUR,IF(INDEX(МАТЕРИАЛЫ!$I$2:$I$9000,MATCH($N321,МАТЕРИАЛЫ!$L$2:$L$9000,0))="CNY",КурсCNY,1)))*(1+N($H321)/100),0),N($O321))*(1-MEDIAN(0,N(ДисконтТендер),1))))</f>
        <v>0</v>
      </c>
      <c r="U321" t="str">
        <f>IF($L321="да",MAX($U$1:$U320)+1,"")</f>
        <v/>
      </c>
      <c r="V321" t="str">
        <f t="shared" si="31"/>
        <v>Р3</v>
      </c>
      <c r="W321" t="str">
        <f t="shared" si="32"/>
        <v/>
      </c>
      <c r="X321" t="str">
        <f t="shared" si="33"/>
        <v/>
      </c>
      <c r="Y321" s="4" t="str">
        <f>IF($A321="","",IF(AND(LEFT($G321,3)="ДОК",$N321&lt;&gt;""),IFERROR(INDEX(Документация!$G$2:$G$57,MATCH($N321,Документация!$F$2:$F$57,0)),$D321),$D321&amp;IF(AND(LEFT($G321,3)&lt;&gt;"ДОК",$N321&lt;&gt;"")," — "&amp;IFERROR(INDEX(МАТЕРИАЛЫ!$C$2:$C$9000,MATCH($N321,МАТЕРИАЛЫ!$L$2:$L$9000,0)),""),"")))</f>
        <v>Шлифовка бетонного основания мозаично-шлифовальными машинами с алмазными сегментами</v>
      </c>
      <c r="Z321" t="str">
        <f t="shared" si="34"/>
        <v>Р3 · Внутренние строительные работы</v>
      </c>
    </row>
    <row r="322" spans="1:26" ht="43.2" x14ac:dyDescent="0.3">
      <c r="A322" t="s">
        <v>735</v>
      </c>
      <c r="B322" t="s">
        <v>394</v>
      </c>
      <c r="C322" t="s">
        <v>259</v>
      </c>
      <c r="D322" s="4" t="s">
        <v>736</v>
      </c>
      <c r="E322" t="s">
        <v>52</v>
      </c>
      <c r="F322" s="5">
        <v>1900.08</v>
      </c>
      <c r="H322">
        <v>0</v>
      </c>
      <c r="I322" t="s">
        <v>53</v>
      </c>
      <c r="L322" s="6"/>
      <c r="M322" s="6"/>
      <c r="N322" s="6"/>
      <c r="O322" s="5"/>
      <c r="P322" s="7" t="str">
        <f t="shared" ref="P322:P385" si="35">IF($L322="да",ROUND(N($M322)*$S322,2),"")</f>
        <v/>
      </c>
      <c r="Q322" s="7" t="str">
        <f t="shared" ref="Q322:Q385" si="36">IF($L322="да",ROUND(N($M322)*$T322,2),"")</f>
        <v/>
      </c>
      <c r="R322" s="7" t="str">
        <f t="shared" ref="R322:R385" si="37">IF($L322="да",N($P322)+N($Q322),"")</f>
        <v/>
      </c>
      <c r="S322" s="7">
        <f>IF($A322="","",IF(AND(LEFT($G322,3)="ДОК",$N322&lt;&gt;""),IFERROR(INDEX(Документация!$E$2:$E$57,MATCH($N322,Документация!$F$2:$F$57,0)),0),N($F322))*(1-MEDIAN(0,N(ДисконтТендер),1)))</f>
        <v>1900.08</v>
      </c>
      <c r="T322" s="7">
        <f>IF($A322="","",IF(AND(LEFT($G322,3)="ДОК",$N322&lt;&gt;""),0,IF(AND(LEFT($G322,3)&lt;&gt;"ДОК",$N322&lt;&gt;""),IFERROR(INDEX(МАТЕРИАЛЫ!$H$2:$H$9000,MATCH($N322,МАТЕРИАЛЫ!$L$2:$L$9000,0))*IF(INDEX(МАТЕРИАЛЫ!$I$2:$I$9000,MATCH($N322,МАТЕРИАЛЫ!$L$2:$L$9000,0))="USD",КурсUSD,IF(INDEX(МАТЕРИАЛЫ!$I$2:$I$9000,MATCH($N322,МАТЕРИАЛЫ!$L$2:$L$9000,0))="EUR",КурсEUR,IF(INDEX(МАТЕРИАЛЫ!$I$2:$I$9000,MATCH($N322,МАТЕРИАЛЫ!$L$2:$L$9000,0))="CNY",КурсCNY,1)))*(1+N($H322)/100),0),N($O322))*(1-MEDIAN(0,N(ДисконтТендер),1))))</f>
        <v>0</v>
      </c>
      <c r="U322" t="str">
        <f>IF($L322="да",MAX($U$1:$U321)+1,"")</f>
        <v/>
      </c>
      <c r="V322" t="str">
        <f t="shared" ref="V322:V385" si="38">IF($A322="","",$B322)</f>
        <v>Р3</v>
      </c>
      <c r="W322" t="str">
        <f t="shared" ref="W322:W385" si="39">IF($U322="","",IF($U322=1,1,IF($V322&lt;&gt;IFERROR(INDEX($V$2:$V$1058,MATCH($U322-1,$U$2:$U$1058,0)),"~"),1,0)))</f>
        <v/>
      </c>
      <c r="X322" t="str">
        <f t="shared" ref="X322:X385" si="40">IF($U322="","",$U322+SUMIFS($W$2:$W$1058,$U$2:$U$1058,"&lt;="&amp;$U322))</f>
        <v/>
      </c>
      <c r="Y322" s="4" t="str">
        <f>IF($A322="","",IF(AND(LEFT($G322,3)="ДОК",$N322&lt;&gt;""),IFERROR(INDEX(Документация!$G$2:$G$57,MATCH($N322,Документация!$F$2:$F$57,0)),$D322),$D322&amp;IF(AND(LEFT($G322,3)&lt;&gt;"ДОК",$N322&lt;&gt;"")," — "&amp;IFERROR(INDEX(МАТЕРИАЛЫ!$C$2:$C$9000,MATCH($N322,МАТЕРИАЛЫ!$L$2:$L$9000,0)),""),"")))</f>
        <v>Выравнивание бетонного основания полимерными компаундами с кварцевым песком, толщиной до 4 мм</v>
      </c>
      <c r="Z322" t="str">
        <f t="shared" ref="Z322:Z385" si="41">IF($B322="","",$B322&amp;" · "&amp;IFERROR(VLOOKUP($B322,спрРазделы,2,0),""))</f>
        <v>Р3 · Внутренние строительные работы</v>
      </c>
    </row>
    <row r="323" spans="1:26" x14ac:dyDescent="0.3">
      <c r="A323" t="s">
        <v>737</v>
      </c>
      <c r="B323" t="s">
        <v>394</v>
      </c>
      <c r="C323" t="s">
        <v>259</v>
      </c>
      <c r="D323" s="4" t="s">
        <v>738</v>
      </c>
      <c r="E323" t="s">
        <v>52</v>
      </c>
      <c r="F323" s="5">
        <v>2015.27</v>
      </c>
      <c r="G323" t="s">
        <v>664</v>
      </c>
      <c r="H323">
        <v>5</v>
      </c>
      <c r="I323" t="s">
        <v>53</v>
      </c>
      <c r="L323" s="6"/>
      <c r="M323" s="6"/>
      <c r="N323" s="6"/>
      <c r="O323" s="5"/>
      <c r="P323" s="7" t="str">
        <f t="shared" si="35"/>
        <v/>
      </c>
      <c r="Q323" s="7" t="str">
        <f t="shared" si="36"/>
        <v/>
      </c>
      <c r="R323" s="7" t="str">
        <f t="shared" si="37"/>
        <v/>
      </c>
      <c r="S323" s="7">
        <f>IF($A323="","",IF(AND(LEFT($G323,3)="ДОК",$N323&lt;&gt;""),IFERROR(INDEX(Документация!$E$2:$E$57,MATCH($N323,Документация!$F$2:$F$57,0)),0),N($F323))*(1-MEDIAN(0,N(ДисконтТендер),1)))</f>
        <v>2015.27</v>
      </c>
      <c r="T323" s="7">
        <f>IF($A323="","",IF(AND(LEFT($G323,3)="ДОК",$N323&lt;&gt;""),0,IF(AND(LEFT($G323,3)&lt;&gt;"ДОК",$N323&lt;&gt;""),IFERROR(INDEX(МАТЕРИАЛЫ!$H$2:$H$9000,MATCH($N323,МАТЕРИАЛЫ!$L$2:$L$9000,0))*IF(INDEX(МАТЕРИАЛЫ!$I$2:$I$9000,MATCH($N323,МАТЕРИАЛЫ!$L$2:$L$9000,0))="USD",КурсUSD,IF(INDEX(МАТЕРИАЛЫ!$I$2:$I$9000,MATCH($N323,МАТЕРИАЛЫ!$L$2:$L$9000,0))="EUR",КурсEUR,IF(INDEX(МАТЕРИАЛЫ!$I$2:$I$9000,MATCH($N323,МАТЕРИАЛЫ!$L$2:$L$9000,0))="CNY",КурсCNY,1)))*(1+N($H323)/100),0),N($O323))*(1-MEDIAN(0,N(ДисконтТендер),1))))</f>
        <v>0</v>
      </c>
      <c r="U323" t="str">
        <f>IF($L323="да",MAX($U$1:$U322)+1,"")</f>
        <v/>
      </c>
      <c r="V323" t="str">
        <f t="shared" si="38"/>
        <v>Р3</v>
      </c>
      <c r="W323" t="str">
        <f t="shared" si="39"/>
        <v/>
      </c>
      <c r="X323" t="str">
        <f t="shared" si="40"/>
        <v/>
      </c>
      <c r="Y323" s="4" t="str">
        <f>IF($A323="","",IF(AND(LEFT($G323,3)="ДОК",$N323&lt;&gt;""),IFERROR(INDEX(Документация!$G$2:$G$57,MATCH($N323,Документация!$F$2:$F$57,0)),$D323),$D323&amp;IF(AND(LEFT($G323,3)&lt;&gt;"ДОК",$N323&lt;&gt;"")," — "&amp;IFERROR(INDEX(МАТЕРИАЛЫ!$C$2:$C$9000,MATCH($N323,МАТЕРИАЛЫ!$L$2:$L$9000,0)),""),"")))</f>
        <v>Устройство полимерного наливного пола FEIDAL</v>
      </c>
      <c r="Z323" t="str">
        <f t="shared" si="41"/>
        <v>Р3 · Внутренние строительные работы</v>
      </c>
    </row>
    <row r="324" spans="1:26" x14ac:dyDescent="0.3">
      <c r="A324" t="s">
        <v>739</v>
      </c>
      <c r="B324" t="s">
        <v>394</v>
      </c>
      <c r="C324" t="s">
        <v>259</v>
      </c>
      <c r="D324" s="4" t="s">
        <v>740</v>
      </c>
      <c r="E324" t="s">
        <v>52</v>
      </c>
      <c r="F324" s="5">
        <v>475.02</v>
      </c>
      <c r="H324">
        <v>0</v>
      </c>
      <c r="I324" t="s">
        <v>53</v>
      </c>
      <c r="L324" s="6"/>
      <c r="M324" s="6"/>
      <c r="N324" s="6"/>
      <c r="O324" s="5"/>
      <c r="P324" s="7" t="str">
        <f t="shared" si="35"/>
        <v/>
      </c>
      <c r="Q324" s="7" t="str">
        <f t="shared" si="36"/>
        <v/>
      </c>
      <c r="R324" s="7" t="str">
        <f t="shared" si="37"/>
        <v/>
      </c>
      <c r="S324" s="7">
        <f>IF($A324="","",IF(AND(LEFT($G324,3)="ДОК",$N324&lt;&gt;""),IFERROR(INDEX(Документация!$E$2:$E$57,MATCH($N324,Документация!$F$2:$F$57,0)),0),N($F324))*(1-MEDIAN(0,N(ДисконтТендер),1)))</f>
        <v>475.02</v>
      </c>
      <c r="T324" s="7">
        <f>IF($A324="","",IF(AND(LEFT($G324,3)="ДОК",$N324&lt;&gt;""),0,IF(AND(LEFT($G324,3)&lt;&gt;"ДОК",$N324&lt;&gt;""),IFERROR(INDEX(МАТЕРИАЛЫ!$H$2:$H$9000,MATCH($N324,МАТЕРИАЛЫ!$L$2:$L$9000,0))*IF(INDEX(МАТЕРИАЛЫ!$I$2:$I$9000,MATCH($N324,МАТЕРИАЛЫ!$L$2:$L$9000,0))="USD",КурсUSD,IF(INDEX(МАТЕРИАЛЫ!$I$2:$I$9000,MATCH($N324,МАТЕРИАЛЫ!$L$2:$L$9000,0))="EUR",КурсEUR,IF(INDEX(МАТЕРИАЛЫ!$I$2:$I$9000,MATCH($N324,МАТЕРИАЛЫ!$L$2:$L$9000,0))="CNY",КурсCNY,1)))*(1+N($H324)/100),0),N($O324))*(1-MEDIAN(0,N(ДисконтТендер),1))))</f>
        <v>0</v>
      </c>
      <c r="U324" t="str">
        <f>IF($L324="да",MAX($U$1:$U323)+1,"")</f>
        <v/>
      </c>
      <c r="V324" t="str">
        <f t="shared" si="38"/>
        <v>Р3</v>
      </c>
      <c r="W324" t="str">
        <f t="shared" si="39"/>
        <v/>
      </c>
      <c r="X324" t="str">
        <f t="shared" si="40"/>
        <v/>
      </c>
      <c r="Y324" s="4" t="str">
        <f>IF($A324="","",IF(AND(LEFT($G324,3)="ДОК",$N324&lt;&gt;""),IFERROR(INDEX(Документация!$G$2:$G$57,MATCH($N324,Документация!$F$2:$F$57,0)),$D324),$D324&amp;IF(AND(LEFT($G324,3)&lt;&gt;"ДОК",$N324&lt;&gt;"")," — "&amp;IFERROR(INDEX(МАТЕРИАЛЫ!$C$2:$C$9000,MATCH($N324,МАТЕРИАЛЫ!$L$2:$L$9000,0)),""),"")))</f>
        <v>Устройство антистатического контура</v>
      </c>
      <c r="Z324" t="str">
        <f t="shared" si="41"/>
        <v>Р3 · Внутренние строительные работы</v>
      </c>
    </row>
    <row r="325" spans="1:26" x14ac:dyDescent="0.3">
      <c r="A325" t="s">
        <v>741</v>
      </c>
      <c r="B325" t="s">
        <v>394</v>
      </c>
      <c r="C325" t="s">
        <v>270</v>
      </c>
      <c r="D325" s="4" t="s">
        <v>742</v>
      </c>
      <c r="E325" t="s">
        <v>114</v>
      </c>
      <c r="F325" s="5">
        <v>8143.2</v>
      </c>
      <c r="G325" t="s">
        <v>544</v>
      </c>
      <c r="H325">
        <v>5</v>
      </c>
      <c r="I325" t="s">
        <v>53</v>
      </c>
      <c r="L325" s="6"/>
      <c r="M325" s="6"/>
      <c r="N325" s="6"/>
      <c r="O325" s="5"/>
      <c r="P325" s="7" t="str">
        <f t="shared" si="35"/>
        <v/>
      </c>
      <c r="Q325" s="7" t="str">
        <f t="shared" si="36"/>
        <v/>
      </c>
      <c r="R325" s="7" t="str">
        <f t="shared" si="37"/>
        <v/>
      </c>
      <c r="S325" s="7">
        <f>IF($A325="","",IF(AND(LEFT($G325,3)="ДОК",$N325&lt;&gt;""),IFERROR(INDEX(Документация!$E$2:$E$57,MATCH($N325,Документация!$F$2:$F$57,0)),0),N($F325))*(1-MEDIAN(0,N(ДисконтТендер),1)))</f>
        <v>8143.2</v>
      </c>
      <c r="T325" s="7">
        <f>IF($A325="","",IF(AND(LEFT($G325,3)="ДОК",$N325&lt;&gt;""),0,IF(AND(LEFT($G325,3)&lt;&gt;"ДОК",$N325&lt;&gt;""),IFERROR(INDEX(МАТЕРИАЛЫ!$H$2:$H$9000,MATCH($N325,МАТЕРИАЛЫ!$L$2:$L$9000,0))*IF(INDEX(МАТЕРИАЛЫ!$I$2:$I$9000,MATCH($N325,МАТЕРИАЛЫ!$L$2:$L$9000,0))="USD",КурсUSD,IF(INDEX(МАТЕРИАЛЫ!$I$2:$I$9000,MATCH($N325,МАТЕРИАЛЫ!$L$2:$L$9000,0))="EUR",КурсEUR,IF(INDEX(МАТЕРИАЛЫ!$I$2:$I$9000,MATCH($N325,МАТЕРИАЛЫ!$L$2:$L$9000,0))="CNY",КурсCNY,1)))*(1+N($H325)/100),0),N($O325))*(1-MEDIAN(0,N(ДисконтТендер),1))))</f>
        <v>0</v>
      </c>
      <c r="U325" t="str">
        <f>IF($L325="да",MAX($U$1:$U324)+1,"")</f>
        <v/>
      </c>
      <c r="V325" t="str">
        <f t="shared" si="38"/>
        <v>Р3</v>
      </c>
      <c r="W325" t="str">
        <f t="shared" si="39"/>
        <v/>
      </c>
      <c r="X325" t="str">
        <f t="shared" si="40"/>
        <v/>
      </c>
      <c r="Y325" s="4" t="str">
        <f>IF($A325="","",IF(AND(LEFT($G325,3)="ДОК",$N325&lt;&gt;""),IFERROR(INDEX(Документация!$G$2:$G$57,MATCH($N325,Документация!$F$2:$F$57,0)),$D325),$D325&amp;IF(AND(LEFT($G325,3)&lt;&gt;"ДОК",$N325&lt;&gt;"")," — "&amp;IFERROR(INDEX(МАТЕРИАЛЫ!$C$2:$C$9000,MATCH($N325,МАТЕРИАЛЫ!$L$2:$L$9000,0)),""),"")))</f>
        <v>Монтаж дверного блока бронированного</v>
      </c>
      <c r="Z325" t="str">
        <f t="shared" si="41"/>
        <v>Р3 · Внутренние строительные работы</v>
      </c>
    </row>
    <row r="326" spans="1:26" x14ac:dyDescent="0.3">
      <c r="A326" t="s">
        <v>743</v>
      </c>
      <c r="B326" t="s">
        <v>394</v>
      </c>
      <c r="C326" t="s">
        <v>270</v>
      </c>
      <c r="D326" s="4" t="s">
        <v>742</v>
      </c>
      <c r="E326" t="s">
        <v>114</v>
      </c>
      <c r="F326" s="5">
        <v>13154.4</v>
      </c>
      <c r="G326" t="s">
        <v>544</v>
      </c>
      <c r="H326">
        <v>5</v>
      </c>
      <c r="I326" t="s">
        <v>53</v>
      </c>
      <c r="L326" s="6"/>
      <c r="M326" s="6"/>
      <c r="N326" s="6"/>
      <c r="O326" s="5"/>
      <c r="P326" s="7" t="str">
        <f t="shared" si="35"/>
        <v/>
      </c>
      <c r="Q326" s="7" t="str">
        <f t="shared" si="36"/>
        <v/>
      </c>
      <c r="R326" s="7" t="str">
        <f t="shared" si="37"/>
        <v/>
      </c>
      <c r="S326" s="7">
        <f>IF($A326="","",IF(AND(LEFT($G326,3)="ДОК",$N326&lt;&gt;""),IFERROR(INDEX(Документация!$E$2:$E$57,MATCH($N326,Документация!$F$2:$F$57,0)),0),N($F326))*(1-MEDIAN(0,N(ДисконтТендер),1)))</f>
        <v>13154.4</v>
      </c>
      <c r="T326" s="7">
        <f>IF($A326="","",IF(AND(LEFT($G326,3)="ДОК",$N326&lt;&gt;""),0,IF(AND(LEFT($G326,3)&lt;&gt;"ДОК",$N326&lt;&gt;""),IFERROR(INDEX(МАТЕРИАЛЫ!$H$2:$H$9000,MATCH($N326,МАТЕРИАЛЫ!$L$2:$L$9000,0))*IF(INDEX(МАТЕРИАЛЫ!$I$2:$I$9000,MATCH($N326,МАТЕРИАЛЫ!$L$2:$L$9000,0))="USD",КурсUSD,IF(INDEX(МАТЕРИАЛЫ!$I$2:$I$9000,MATCH($N326,МАТЕРИАЛЫ!$L$2:$L$9000,0))="EUR",КурсEUR,IF(INDEX(МАТЕРИАЛЫ!$I$2:$I$9000,MATCH($N326,МАТЕРИАЛЫ!$L$2:$L$9000,0))="CNY",КурсCNY,1)))*(1+N($H326)/100),0),N($O326))*(1-MEDIAN(0,N(ДисконтТендер),1))))</f>
        <v>0</v>
      </c>
      <c r="U326" t="str">
        <f>IF($L326="да",MAX($U$1:$U325)+1,"")</f>
        <v/>
      </c>
      <c r="V326" t="str">
        <f t="shared" si="38"/>
        <v>Р3</v>
      </c>
      <c r="W326" t="str">
        <f t="shared" si="39"/>
        <v/>
      </c>
      <c r="X326" t="str">
        <f t="shared" si="40"/>
        <v/>
      </c>
      <c r="Y326" s="4" t="str">
        <f>IF($A326="","",IF(AND(LEFT($G326,3)="ДОК",$N326&lt;&gt;""),IFERROR(INDEX(Документация!$G$2:$G$57,MATCH($N326,Документация!$F$2:$F$57,0)),$D326),$D326&amp;IF(AND(LEFT($G326,3)&lt;&gt;"ДОК",$N326&lt;&gt;"")," — "&amp;IFERROR(INDEX(МАТЕРИАЛЫ!$C$2:$C$9000,MATCH($N326,МАТЕРИАЛЫ!$L$2:$L$9000,0)),""),"")))</f>
        <v>Монтаж дверного блока бронированного</v>
      </c>
      <c r="Z326" t="str">
        <f t="shared" si="41"/>
        <v>Р3 · Внутренние строительные работы</v>
      </c>
    </row>
    <row r="327" spans="1:26" ht="43.2" x14ac:dyDescent="0.3">
      <c r="A327" t="s">
        <v>744</v>
      </c>
      <c r="B327" t="s">
        <v>394</v>
      </c>
      <c r="C327" t="s">
        <v>270</v>
      </c>
      <c r="D327" s="4" t="s">
        <v>745</v>
      </c>
      <c r="E327" t="s">
        <v>114</v>
      </c>
      <c r="F327" s="5">
        <v>25056</v>
      </c>
      <c r="G327" t="s">
        <v>544</v>
      </c>
      <c r="H327">
        <v>5</v>
      </c>
      <c r="I327" t="s">
        <v>53</v>
      </c>
      <c r="L327" s="6"/>
      <c r="M327" s="6"/>
      <c r="N327" s="6"/>
      <c r="O327" s="5"/>
      <c r="P327" s="7" t="str">
        <f t="shared" si="35"/>
        <v/>
      </c>
      <c r="Q327" s="7" t="str">
        <f t="shared" si="36"/>
        <v/>
      </c>
      <c r="R327" s="7" t="str">
        <f t="shared" si="37"/>
        <v/>
      </c>
      <c r="S327" s="7">
        <f>IF($A327="","",IF(AND(LEFT($G327,3)="ДОК",$N327&lt;&gt;""),IFERROR(INDEX(Документация!$E$2:$E$57,MATCH($N327,Документация!$F$2:$F$57,0)),0),N($F327))*(1-MEDIAN(0,N(ДисконтТендер),1)))</f>
        <v>25056</v>
      </c>
      <c r="T327" s="7">
        <f>IF($A327="","",IF(AND(LEFT($G327,3)="ДОК",$N327&lt;&gt;""),0,IF(AND(LEFT($G327,3)&lt;&gt;"ДОК",$N327&lt;&gt;""),IFERROR(INDEX(МАТЕРИАЛЫ!$H$2:$H$9000,MATCH($N327,МАТЕРИАЛЫ!$L$2:$L$9000,0))*IF(INDEX(МАТЕРИАЛЫ!$I$2:$I$9000,MATCH($N327,МАТЕРИАЛЫ!$L$2:$L$9000,0))="USD",КурсUSD,IF(INDEX(МАТЕРИАЛЫ!$I$2:$I$9000,MATCH($N327,МАТЕРИАЛЫ!$L$2:$L$9000,0))="EUR",КурсEUR,IF(INDEX(МАТЕРИАЛЫ!$I$2:$I$9000,MATCH($N327,МАТЕРИАЛЫ!$L$2:$L$9000,0))="CNY",КурсCNY,1)))*(1+N($H327)/100),0),N($O327))*(1-MEDIAN(0,N(ДисконтТендер),1))))</f>
        <v>0</v>
      </c>
      <c r="U327" t="str">
        <f>IF($L327="да",MAX($U$1:$U326)+1,"")</f>
        <v/>
      </c>
      <c r="V327" t="str">
        <f t="shared" si="38"/>
        <v>Р3</v>
      </c>
      <c r="W327" t="str">
        <f t="shared" si="39"/>
        <v/>
      </c>
      <c r="X327" t="str">
        <f t="shared" si="40"/>
        <v/>
      </c>
      <c r="Y327" s="4" t="str">
        <f>IF($A327="","",IF(AND(LEFT($G327,3)="ДОК",$N327&lt;&gt;""),IFERROR(INDEX(Документация!$G$2:$G$57,MATCH($N327,Документация!$F$2:$F$57,0)),$D327),$D327&amp;IF(AND(LEFT($G327,3)&lt;&gt;"ДОК",$N327&lt;&gt;"")," — "&amp;IFERROR(INDEX(МАТЕРИАЛЫ!$C$2:$C$9000,MATCH($N327,МАТЕРИАЛЫ!$L$2:$L$9000,0)),""),"")))</f>
        <v>Дверной блок 5-го класса устойчивости к взлому с решетчатой дверью . 2 замка СИ600 900х2100 мм по раме.</v>
      </c>
      <c r="Z327" t="str">
        <f t="shared" si="41"/>
        <v>Р3 · Внутренние строительные работы</v>
      </c>
    </row>
    <row r="328" spans="1:26" ht="28.8" x14ac:dyDescent="0.3">
      <c r="A328" t="s">
        <v>746</v>
      </c>
      <c r="B328" t="s">
        <v>394</v>
      </c>
      <c r="C328" t="s">
        <v>270</v>
      </c>
      <c r="D328" s="4" t="s">
        <v>747</v>
      </c>
      <c r="E328" t="s">
        <v>114</v>
      </c>
      <c r="F328" s="5">
        <v>1879.2</v>
      </c>
      <c r="G328" t="s">
        <v>536</v>
      </c>
      <c r="H328">
        <v>5</v>
      </c>
      <c r="I328" t="s">
        <v>53</v>
      </c>
      <c r="L328" s="6"/>
      <c r="M328" s="6"/>
      <c r="N328" s="6"/>
      <c r="O328" s="5"/>
      <c r="P328" s="7" t="str">
        <f t="shared" si="35"/>
        <v/>
      </c>
      <c r="Q328" s="7" t="str">
        <f t="shared" si="36"/>
        <v/>
      </c>
      <c r="R328" s="7" t="str">
        <f t="shared" si="37"/>
        <v/>
      </c>
      <c r="S328" s="7">
        <f>IF($A328="","",IF(AND(LEFT($G328,3)="ДОК",$N328&lt;&gt;""),IFERROR(INDEX(Документация!$E$2:$E$57,MATCH($N328,Документация!$F$2:$F$57,0)),0),N($F328))*(1-MEDIAN(0,N(ДисконтТендер),1)))</f>
        <v>1879.2</v>
      </c>
      <c r="T328" s="7">
        <f>IF($A328="","",IF(AND(LEFT($G328,3)="ДОК",$N328&lt;&gt;""),0,IF(AND(LEFT($G328,3)&lt;&gt;"ДОК",$N328&lt;&gt;""),IFERROR(INDEX(МАТЕРИАЛЫ!$H$2:$H$9000,MATCH($N328,МАТЕРИАЛЫ!$L$2:$L$9000,0))*IF(INDEX(МАТЕРИАЛЫ!$I$2:$I$9000,MATCH($N328,МАТЕРИАЛЫ!$L$2:$L$9000,0))="USD",КурсUSD,IF(INDEX(МАТЕРИАЛЫ!$I$2:$I$9000,MATCH($N328,МАТЕРИАЛЫ!$L$2:$L$9000,0))="EUR",КурсEUR,IF(INDEX(МАТЕРИАЛЫ!$I$2:$I$9000,MATCH($N328,МАТЕРИАЛЫ!$L$2:$L$9000,0))="CNY",КурсCNY,1)))*(1+N($H328)/100),0),N($O328))*(1-MEDIAN(0,N(ДисконтТендер),1))))</f>
        <v>0</v>
      </c>
      <c r="U328" t="str">
        <f>IF($L328="да",MAX($U$1:$U327)+1,"")</f>
        <v/>
      </c>
      <c r="V328" t="str">
        <f t="shared" si="38"/>
        <v>Р3</v>
      </c>
      <c r="W328" t="str">
        <f t="shared" si="39"/>
        <v/>
      </c>
      <c r="X328" t="str">
        <f t="shared" si="40"/>
        <v/>
      </c>
      <c r="Y328" s="4" t="str">
        <f>IF($A328="","",IF(AND(LEFT($G328,3)="ДОК",$N328&lt;&gt;""),IFERROR(INDEX(Документация!$G$2:$G$57,MATCH($N328,Документация!$F$2:$F$57,0)),$D328),$D328&amp;IF(AND(LEFT($G328,3)&lt;&gt;"ДОК",$N328&lt;&gt;"")," — "&amp;IFERROR(INDEX(МАТЕРИАЛЫ!$C$2:$C$9000,MATCH($N328,МАТЕРИАЛЫ!$L$2:$L$9000,0)),""),"")))</f>
        <v>Установка доводчиков на бронированных металлических дверях</v>
      </c>
      <c r="Z328" t="str">
        <f t="shared" si="41"/>
        <v>Р3 · Внутренние строительные работы</v>
      </c>
    </row>
    <row r="329" spans="1:26" ht="43.2" x14ac:dyDescent="0.3">
      <c r="A329" t="s">
        <v>748</v>
      </c>
      <c r="B329" t="s">
        <v>394</v>
      </c>
      <c r="C329" t="s">
        <v>270</v>
      </c>
      <c r="D329" s="4" t="s">
        <v>749</v>
      </c>
      <c r="E329" t="s">
        <v>52</v>
      </c>
      <c r="F329" s="5">
        <v>600.5</v>
      </c>
      <c r="G329" t="s">
        <v>683</v>
      </c>
      <c r="H329">
        <v>0</v>
      </c>
      <c r="I329" t="s">
        <v>53</v>
      </c>
      <c r="L329" s="6"/>
      <c r="M329" s="6"/>
      <c r="N329" s="6"/>
      <c r="O329" s="5"/>
      <c r="P329" s="7" t="str">
        <f t="shared" si="35"/>
        <v/>
      </c>
      <c r="Q329" s="7" t="str">
        <f t="shared" si="36"/>
        <v/>
      </c>
      <c r="R329" s="7" t="str">
        <f t="shared" si="37"/>
        <v/>
      </c>
      <c r="S329" s="7">
        <f>IF($A329="","",IF(AND(LEFT($G329,3)="ДОК",$N329&lt;&gt;""),IFERROR(INDEX(Документация!$E$2:$E$57,MATCH($N329,Документация!$F$2:$F$57,0)),0),N($F329))*(1-MEDIAN(0,N(ДисконтТендер),1)))</f>
        <v>600.5</v>
      </c>
      <c r="T329" s="7">
        <f>IF($A329="","",IF(AND(LEFT($G329,3)="ДОК",$N329&lt;&gt;""),0,IF(AND(LEFT($G329,3)&lt;&gt;"ДОК",$N329&lt;&gt;""),IFERROR(INDEX(МАТЕРИАЛЫ!$H$2:$H$9000,MATCH($N329,МАТЕРИАЛЫ!$L$2:$L$9000,0))*IF(INDEX(МАТЕРИАЛЫ!$I$2:$I$9000,MATCH($N329,МАТЕРИАЛЫ!$L$2:$L$9000,0))="USD",КурсUSD,IF(INDEX(МАТЕРИАЛЫ!$I$2:$I$9000,MATCH($N329,МАТЕРИАЛЫ!$L$2:$L$9000,0))="EUR",КурсEUR,IF(INDEX(МАТЕРИАЛЫ!$I$2:$I$9000,MATCH($N329,МАТЕРИАЛЫ!$L$2:$L$9000,0))="CNY",КурсCNY,1)))*(1+N($H329)/100),0),N($O329))*(1-MEDIAN(0,N(ДисконтТендер),1))))</f>
        <v>0</v>
      </c>
      <c r="U329" t="str">
        <f>IF($L329="да",MAX($U$1:$U328)+1,"")</f>
        <v/>
      </c>
      <c r="V329" t="str">
        <f t="shared" si="38"/>
        <v>Р3</v>
      </c>
      <c r="W329" t="str">
        <f t="shared" si="39"/>
        <v/>
      </c>
      <c r="X329" t="str">
        <f t="shared" si="40"/>
        <v/>
      </c>
      <c r="Y329" s="4" t="str">
        <f>IF($A329="","",IF(AND(LEFT($G329,3)="ДОК",$N329&lt;&gt;""),IFERROR(INDEX(Документация!$G$2:$G$57,MATCH($N329,Документация!$F$2:$F$57,0)),$D329),$D329&amp;IF(AND(LEFT($G329,3)&lt;&gt;"ДОК",$N329&lt;&gt;"")," — "&amp;IFERROR(INDEX(МАТЕРИАЛЫ!$C$2:$C$9000,MATCH($N329,МАТЕРИАЛЫ!$L$2:$L$9000,0)),""),"")))</f>
        <v>Укрепление стен, перегородок и потолка арматурой или прутом диаметром 10 мм, ячейкой 150х150 мм с анкерным креплением из арматуры</v>
      </c>
      <c r="Z329" t="str">
        <f t="shared" si="41"/>
        <v>Р3 · Внутренние строительные работы</v>
      </c>
    </row>
    <row r="330" spans="1:26" ht="43.2" x14ac:dyDescent="0.3">
      <c r="A330" t="s">
        <v>750</v>
      </c>
      <c r="B330" t="s">
        <v>394</v>
      </c>
      <c r="C330" t="s">
        <v>270</v>
      </c>
      <c r="D330" s="4" t="s">
        <v>751</v>
      </c>
      <c r="E330" t="s">
        <v>52</v>
      </c>
      <c r="F330" s="5">
        <v>814.32</v>
      </c>
      <c r="G330" t="s">
        <v>683</v>
      </c>
      <c r="H330">
        <v>0</v>
      </c>
      <c r="I330" t="s">
        <v>53</v>
      </c>
      <c r="L330" s="6"/>
      <c r="M330" s="6"/>
      <c r="N330" s="6"/>
      <c r="O330" s="5"/>
      <c r="P330" s="7" t="str">
        <f t="shared" si="35"/>
        <v/>
      </c>
      <c r="Q330" s="7" t="str">
        <f t="shared" si="36"/>
        <v/>
      </c>
      <c r="R330" s="7" t="str">
        <f t="shared" si="37"/>
        <v/>
      </c>
      <c r="S330" s="7">
        <f>IF($A330="","",IF(AND(LEFT($G330,3)="ДОК",$N330&lt;&gt;""),IFERROR(INDEX(Документация!$E$2:$E$57,MATCH($N330,Документация!$F$2:$F$57,0)),0),N($F330))*(1-MEDIAN(0,N(ДисконтТендер),1)))</f>
        <v>814.32</v>
      </c>
      <c r="T330" s="7">
        <f>IF($A330="","",IF(AND(LEFT($G330,3)="ДОК",$N330&lt;&gt;""),0,IF(AND(LEFT($G330,3)&lt;&gt;"ДОК",$N330&lt;&gt;""),IFERROR(INDEX(МАТЕРИАЛЫ!$H$2:$H$9000,MATCH($N330,МАТЕРИАЛЫ!$L$2:$L$9000,0))*IF(INDEX(МАТЕРИАЛЫ!$I$2:$I$9000,MATCH($N330,МАТЕРИАЛЫ!$L$2:$L$9000,0))="USD",КурсUSD,IF(INDEX(МАТЕРИАЛЫ!$I$2:$I$9000,MATCH($N330,МАТЕРИАЛЫ!$L$2:$L$9000,0))="EUR",КурсEUR,IF(INDEX(МАТЕРИАЛЫ!$I$2:$I$9000,MATCH($N330,МАТЕРИАЛЫ!$L$2:$L$9000,0))="CNY",КурсCNY,1)))*(1+N($H330)/100),0),N($O330))*(1-MEDIAN(0,N(ДисконтТендер),1))))</f>
        <v>0</v>
      </c>
      <c r="U330" t="str">
        <f>IF($L330="да",MAX($U$1:$U329)+1,"")</f>
        <v/>
      </c>
      <c r="V330" t="str">
        <f t="shared" si="38"/>
        <v>Р3</v>
      </c>
      <c r="W330" t="str">
        <f t="shared" si="39"/>
        <v/>
      </c>
      <c r="X330" t="str">
        <f t="shared" si="40"/>
        <v/>
      </c>
      <c r="Y330" s="4" t="str">
        <f>IF($A330="","",IF(AND(LEFT($G330,3)="ДОК",$N330&lt;&gt;""),IFERROR(INDEX(Документация!$G$2:$G$57,MATCH($N330,Документация!$F$2:$F$57,0)),$D330),$D330&amp;IF(AND(LEFT($G330,3)&lt;&gt;"ДОК",$N330&lt;&gt;"")," — "&amp;IFERROR(INDEX(МАТЕРИАЛЫ!$C$2:$C$9000,MATCH($N330,МАТЕРИАЛЫ!$L$2:$L$9000,0)),""),"")))</f>
        <v>Укрепление стен, перегородок и потолка арматурой или прутом диаметром 10 мм, ячейкой 100х100 мм с анкерным креплением из арматуры</v>
      </c>
      <c r="Z330" t="str">
        <f t="shared" si="41"/>
        <v>Р3 · Внутренние строительные работы</v>
      </c>
    </row>
    <row r="331" spans="1:26" ht="43.2" x14ac:dyDescent="0.3">
      <c r="A331" t="s">
        <v>752</v>
      </c>
      <c r="B331" t="s">
        <v>394</v>
      </c>
      <c r="C331" t="s">
        <v>270</v>
      </c>
      <c r="D331" s="4" t="s">
        <v>753</v>
      </c>
      <c r="E331" t="s">
        <v>52</v>
      </c>
      <c r="F331" s="5">
        <v>597.11</v>
      </c>
      <c r="G331" t="s">
        <v>683</v>
      </c>
      <c r="H331">
        <v>0</v>
      </c>
      <c r="I331" t="s">
        <v>53</v>
      </c>
      <c r="L331" s="6"/>
      <c r="M331" s="6"/>
      <c r="N331" s="6"/>
      <c r="O331" s="5"/>
      <c r="P331" s="7" t="str">
        <f t="shared" si="35"/>
        <v/>
      </c>
      <c r="Q331" s="7" t="str">
        <f t="shared" si="36"/>
        <v/>
      </c>
      <c r="R331" s="7" t="str">
        <f t="shared" si="37"/>
        <v/>
      </c>
      <c r="S331" s="7">
        <f>IF($A331="","",IF(AND(LEFT($G331,3)="ДОК",$N331&lt;&gt;""),IFERROR(INDEX(Документация!$E$2:$E$57,MATCH($N331,Документация!$F$2:$F$57,0)),0),N($F331))*(1-MEDIAN(0,N(ДисконтТендер),1)))</f>
        <v>597.11</v>
      </c>
      <c r="T331" s="7">
        <f>IF($A331="","",IF(AND(LEFT($G331,3)="ДОК",$N331&lt;&gt;""),0,IF(AND(LEFT($G331,3)&lt;&gt;"ДОК",$N331&lt;&gt;""),IFERROR(INDEX(МАТЕРИАЛЫ!$H$2:$H$9000,MATCH($N331,МАТЕРИАЛЫ!$L$2:$L$9000,0))*IF(INDEX(МАТЕРИАЛЫ!$I$2:$I$9000,MATCH($N331,МАТЕРИАЛЫ!$L$2:$L$9000,0))="USD",КурсUSD,IF(INDEX(МАТЕРИАЛЫ!$I$2:$I$9000,MATCH($N331,МАТЕРИАЛЫ!$L$2:$L$9000,0))="EUR",КурсEUR,IF(INDEX(МАТЕРИАЛЫ!$I$2:$I$9000,MATCH($N331,МАТЕРИАЛЫ!$L$2:$L$9000,0))="CNY",КурсCNY,1)))*(1+N($H331)/100),0),N($O331))*(1-MEDIAN(0,N(ДисконтТендер),1))))</f>
        <v>0</v>
      </c>
      <c r="U331" t="str">
        <f>IF($L331="да",MAX($U$1:$U330)+1,"")</f>
        <v/>
      </c>
      <c r="V331" t="str">
        <f t="shared" si="38"/>
        <v>Р3</v>
      </c>
      <c r="W331" t="str">
        <f t="shared" si="39"/>
        <v/>
      </c>
      <c r="X331" t="str">
        <f t="shared" si="40"/>
        <v/>
      </c>
      <c r="Y331" s="4" t="str">
        <f>IF($A331="","",IF(AND(LEFT($G331,3)="ДОК",$N331&lt;&gt;""),IFERROR(INDEX(Документация!$G$2:$G$57,MATCH($N331,Документация!$F$2:$F$57,0)),$D331),$D331&amp;IF(AND(LEFT($G331,3)&lt;&gt;"ДОК",$N331&lt;&gt;"")," — "&amp;IFERROR(INDEX(МАТЕРИАЛЫ!$C$2:$C$9000,MATCH($N331,МАТЕРИАЛЫ!$L$2:$L$9000,0)),""),"")))</f>
        <v>Укрепление стен, перегородок и потолка арматурой или прутом диаметром 12 мм, ячейкой 150х150 мм с анкерным креплением из арматуры</v>
      </c>
      <c r="Z331" t="str">
        <f t="shared" si="41"/>
        <v>Р3 · Внутренние строительные работы</v>
      </c>
    </row>
    <row r="332" spans="1:26" ht="57.6" x14ac:dyDescent="0.3">
      <c r="A332" t="s">
        <v>754</v>
      </c>
      <c r="B332" t="s">
        <v>394</v>
      </c>
      <c r="C332" t="s">
        <v>270</v>
      </c>
      <c r="D332" s="4" t="s">
        <v>755</v>
      </c>
      <c r="E332" t="s">
        <v>52</v>
      </c>
      <c r="F332" s="5">
        <v>583.73</v>
      </c>
      <c r="G332" t="s">
        <v>683</v>
      </c>
      <c r="H332">
        <v>0</v>
      </c>
      <c r="I332" t="s">
        <v>53</v>
      </c>
      <c r="L332" s="6"/>
      <c r="M332" s="6"/>
      <c r="N332" s="6"/>
      <c r="O332" s="5"/>
      <c r="P332" s="7" t="str">
        <f t="shared" si="35"/>
        <v/>
      </c>
      <c r="Q332" s="7" t="str">
        <f t="shared" si="36"/>
        <v/>
      </c>
      <c r="R332" s="7" t="str">
        <f t="shared" si="37"/>
        <v/>
      </c>
      <c r="S332" s="7">
        <f>IF($A332="","",IF(AND(LEFT($G332,3)="ДОК",$N332&lt;&gt;""),IFERROR(INDEX(Документация!$E$2:$E$57,MATCH($N332,Документация!$F$2:$F$57,0)),0),N($F332))*(1-MEDIAN(0,N(ДисконтТендер),1)))</f>
        <v>583.73</v>
      </c>
      <c r="T332" s="7">
        <f>IF($A332="","",IF(AND(LEFT($G332,3)="ДОК",$N332&lt;&gt;""),0,IF(AND(LEFT($G332,3)&lt;&gt;"ДОК",$N332&lt;&gt;""),IFERROR(INDEX(МАТЕРИАЛЫ!$H$2:$H$9000,MATCH($N332,МАТЕРИАЛЫ!$L$2:$L$9000,0))*IF(INDEX(МАТЕРИАЛЫ!$I$2:$I$9000,MATCH($N332,МАТЕРИАЛЫ!$L$2:$L$9000,0))="USD",КурсUSD,IF(INDEX(МАТЕРИАЛЫ!$I$2:$I$9000,MATCH($N332,МАТЕРИАЛЫ!$L$2:$L$9000,0))="EUR",КурсEUR,IF(INDEX(МАТЕРИАЛЫ!$I$2:$I$9000,MATCH($N332,МАТЕРИАЛЫ!$L$2:$L$9000,0))="CNY",КурсCNY,1)))*(1+N($H332)/100),0),N($O332))*(1-MEDIAN(0,N(ДисконтТендер),1))))</f>
        <v>0</v>
      </c>
      <c r="U332" t="str">
        <f>IF($L332="да",MAX($U$1:$U331)+1,"")</f>
        <v/>
      </c>
      <c r="V332" t="str">
        <f t="shared" si="38"/>
        <v>Р3</v>
      </c>
      <c r="W332" t="str">
        <f t="shared" si="39"/>
        <v/>
      </c>
      <c r="X332" t="str">
        <f t="shared" si="40"/>
        <v/>
      </c>
      <c r="Y332" s="4" t="str">
        <f>IF($A332="","",IF(AND(LEFT($G332,3)="ДОК",$N332&lt;&gt;""),IFERROR(INDEX(Документация!$G$2:$G$57,MATCH($N332,Документация!$F$2:$F$57,0)),$D332),$D332&amp;IF(AND(LEFT($G332,3)&lt;&gt;"ДОК",$N332&lt;&gt;"")," — "&amp;IFERROR(INDEX(МАТЕРИАЛЫ!$C$2:$C$9000,MATCH($N332,МАТЕРИАЛЫ!$L$2:$L$9000,0)),""),"")))</f>
        <v>Укрепление стен, перегородок и потолка арматурой или прутом диаметром 16 мм, ячейкой 150х150 мм (по 2 классу на взлом) с анкерным креплением из арматуры</v>
      </c>
      <c r="Z332" t="str">
        <f t="shared" si="41"/>
        <v>Р3 · Внутренние строительные работы</v>
      </c>
    </row>
    <row r="333" spans="1:26" ht="28.8" x14ac:dyDescent="0.3">
      <c r="A333" t="s">
        <v>756</v>
      </c>
      <c r="B333" t="s">
        <v>394</v>
      </c>
      <c r="C333" t="s">
        <v>270</v>
      </c>
      <c r="D333" s="4" t="s">
        <v>757</v>
      </c>
      <c r="E333" t="s">
        <v>114</v>
      </c>
      <c r="F333" s="5">
        <v>6890.4</v>
      </c>
      <c r="G333" t="s">
        <v>758</v>
      </c>
      <c r="H333">
        <v>5</v>
      </c>
      <c r="I333" t="s">
        <v>53</v>
      </c>
      <c r="L333" s="6"/>
      <c r="M333" s="6"/>
      <c r="N333" s="6"/>
      <c r="O333" s="5"/>
      <c r="P333" s="7" t="str">
        <f t="shared" si="35"/>
        <v/>
      </c>
      <c r="Q333" s="7" t="str">
        <f t="shared" si="36"/>
        <v/>
      </c>
      <c r="R333" s="7" t="str">
        <f t="shared" si="37"/>
        <v/>
      </c>
      <c r="S333" s="7">
        <f>IF($A333="","",IF(AND(LEFT($G333,3)="ДОК",$N333&lt;&gt;""),IFERROR(INDEX(Документация!$E$2:$E$57,MATCH($N333,Документация!$F$2:$F$57,0)),0),N($F333))*(1-MEDIAN(0,N(ДисконтТендер),1)))</f>
        <v>6890.4</v>
      </c>
      <c r="T333" s="7">
        <f>IF($A333="","",IF(AND(LEFT($G333,3)="ДОК",$N333&lt;&gt;""),0,IF(AND(LEFT($G333,3)&lt;&gt;"ДОК",$N333&lt;&gt;""),IFERROR(INDEX(МАТЕРИАЛЫ!$H$2:$H$9000,MATCH($N333,МАТЕРИАЛЫ!$L$2:$L$9000,0))*IF(INDEX(МАТЕРИАЛЫ!$I$2:$I$9000,MATCH($N333,МАТЕРИАЛЫ!$L$2:$L$9000,0))="USD",КурсUSD,IF(INDEX(МАТЕРИАЛЫ!$I$2:$I$9000,MATCH($N333,МАТЕРИАЛЫ!$L$2:$L$9000,0))="EUR",КурсEUR,IF(INDEX(МАТЕРИАЛЫ!$I$2:$I$9000,MATCH($N333,МАТЕРИАЛЫ!$L$2:$L$9000,0))="CNY",КурсCNY,1)))*(1+N($H333)/100),0),N($O333))*(1-MEDIAN(0,N(ДисконтТендер),1))))</f>
        <v>0</v>
      </c>
      <c r="U333" t="str">
        <f>IF($L333="да",MAX($U$1:$U332)+1,"")</f>
        <v/>
      </c>
      <c r="V333" t="str">
        <f t="shared" si="38"/>
        <v>Р3</v>
      </c>
      <c r="W333" t="str">
        <f t="shared" si="39"/>
        <v/>
      </c>
      <c r="X333" t="str">
        <f t="shared" si="40"/>
        <v/>
      </c>
      <c r="Y333" s="4" t="str">
        <f>IF($A333="","",IF(AND(LEFT($G333,3)="ДОК",$N333&lt;&gt;""),IFERROR(INDEX(Документация!$G$2:$G$57,MATCH($N333,Документация!$F$2:$F$57,0)),$D333),$D333&amp;IF(AND(LEFT($G333,3)&lt;&gt;"ДОК",$N333&lt;&gt;"")," — "&amp;IFERROR(INDEX(МАТЕРИАЛЫ!$C$2:$C$9000,MATCH($N333,МАТЕРИАЛЫ!$L$2:$L$9000,0)),""),"")))</f>
        <v>Бронестекло ПУз-Бр3 (1000*1000 мм. Видимая часть). По раме 1090х1090 мм без учета лотка.</v>
      </c>
      <c r="Z333" t="str">
        <f t="shared" si="41"/>
        <v>Р3 · Внутренние строительные работы</v>
      </c>
    </row>
    <row r="334" spans="1:26" ht="72" x14ac:dyDescent="0.3">
      <c r="A334" t="s">
        <v>759</v>
      </c>
      <c r="B334" t="s">
        <v>394</v>
      </c>
      <c r="C334" t="s">
        <v>270</v>
      </c>
      <c r="D334" s="4" t="s">
        <v>760</v>
      </c>
      <c r="E334" t="s">
        <v>114</v>
      </c>
      <c r="F334" s="5">
        <v>4384.8</v>
      </c>
      <c r="G334" t="s">
        <v>498</v>
      </c>
      <c r="H334">
        <v>5</v>
      </c>
      <c r="I334" t="s">
        <v>53</v>
      </c>
      <c r="L334" s="6"/>
      <c r="M334" s="6"/>
      <c r="N334" s="6"/>
      <c r="O334" s="5"/>
      <c r="P334" s="7" t="str">
        <f t="shared" si="35"/>
        <v/>
      </c>
      <c r="Q334" s="7" t="str">
        <f t="shared" si="36"/>
        <v/>
      </c>
      <c r="R334" s="7" t="str">
        <f t="shared" si="37"/>
        <v/>
      </c>
      <c r="S334" s="7">
        <f>IF($A334="","",IF(AND(LEFT($G334,3)="ДОК",$N334&lt;&gt;""),IFERROR(INDEX(Документация!$E$2:$E$57,MATCH($N334,Документация!$F$2:$F$57,0)),0),N($F334))*(1-MEDIAN(0,N(ДисконтТендер),1)))</f>
        <v>4384.8</v>
      </c>
      <c r="T334" s="7">
        <f>IF($A334="","",IF(AND(LEFT($G334,3)="ДОК",$N334&lt;&gt;""),0,IF(AND(LEFT($G334,3)&lt;&gt;"ДОК",$N334&lt;&gt;""),IFERROR(INDEX(МАТЕРИАЛЫ!$H$2:$H$9000,MATCH($N334,МАТЕРИАЛЫ!$L$2:$L$9000,0))*IF(INDEX(МАТЕРИАЛЫ!$I$2:$I$9000,MATCH($N334,МАТЕРИАЛЫ!$L$2:$L$9000,0))="USD",КурсUSD,IF(INDEX(МАТЕРИАЛЫ!$I$2:$I$9000,MATCH($N334,МАТЕРИАЛЫ!$L$2:$L$9000,0))="EUR",КурсEUR,IF(INDEX(МАТЕРИАЛЫ!$I$2:$I$9000,MATCH($N334,МАТЕРИАЛЫ!$L$2:$L$9000,0))="CNY",КурсCNY,1)))*(1+N($H334)/100),0),N($O334))*(1-MEDIAN(0,N(ДисконтТендер),1))))</f>
        <v>0</v>
      </c>
      <c r="U334" t="str">
        <f>IF($L334="да",MAX($U$1:$U333)+1,"")</f>
        <v/>
      </c>
      <c r="V334" t="str">
        <f t="shared" si="38"/>
        <v>Р3</v>
      </c>
      <c r="W334" t="str">
        <f t="shared" si="39"/>
        <v/>
      </c>
      <c r="X334" t="str">
        <f t="shared" si="40"/>
        <v/>
      </c>
      <c r="Y334" s="4" t="str">
        <f>IF($A334="","",IF(AND(LEFT($G334,3)="ДОК",$N334&lt;&gt;""),IFERROR(INDEX(Документация!$G$2:$G$57,MATCH($N334,Документация!$F$2:$F$57,0)),$D334),$D334&amp;IF(AND(LEFT($G334,3)&lt;&gt;"ДОК",$N334&lt;&gt;"")," — "&amp;IFERROR(INDEX(МАТЕРИАЛЫ!$C$2:$C$9000,MATCH($N334,МАТЕРИАЛЫ!$L$2:$L$9000,0)),""),"")))</f>
        <v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v>
      </c>
      <c r="Z334" t="str">
        <f t="shared" si="41"/>
        <v>Р3 · Внутренние строительные работы</v>
      </c>
    </row>
    <row r="335" spans="1:26" ht="72" x14ac:dyDescent="0.3">
      <c r="A335" t="s">
        <v>761</v>
      </c>
      <c r="B335" t="s">
        <v>394</v>
      </c>
      <c r="C335" t="s">
        <v>270</v>
      </c>
      <c r="D335" s="4" t="s">
        <v>762</v>
      </c>
      <c r="E335" t="s">
        <v>635</v>
      </c>
      <c r="F335" s="5">
        <v>8207.66</v>
      </c>
      <c r="G335" t="s">
        <v>498</v>
      </c>
      <c r="H335">
        <v>5</v>
      </c>
      <c r="I335" t="s">
        <v>53</v>
      </c>
      <c r="L335" s="6"/>
      <c r="M335" s="6"/>
      <c r="N335" s="6"/>
      <c r="O335" s="5"/>
      <c r="P335" s="7" t="str">
        <f t="shared" si="35"/>
        <v/>
      </c>
      <c r="Q335" s="7" t="str">
        <f t="shared" si="36"/>
        <v/>
      </c>
      <c r="R335" s="7" t="str">
        <f t="shared" si="37"/>
        <v/>
      </c>
      <c r="S335" s="7">
        <f>IF($A335="","",IF(AND(LEFT($G335,3)="ДОК",$N335&lt;&gt;""),IFERROR(INDEX(Документация!$E$2:$E$57,MATCH($N335,Документация!$F$2:$F$57,0)),0),N($F335))*(1-MEDIAN(0,N(ДисконтТендер),1)))</f>
        <v>8207.66</v>
      </c>
      <c r="T335" s="7">
        <f>IF($A335="","",IF(AND(LEFT($G335,3)="ДОК",$N335&lt;&gt;""),0,IF(AND(LEFT($G335,3)&lt;&gt;"ДОК",$N335&lt;&gt;""),IFERROR(INDEX(МАТЕРИАЛЫ!$H$2:$H$9000,MATCH($N335,МАТЕРИАЛЫ!$L$2:$L$9000,0))*IF(INDEX(МАТЕРИАЛЫ!$I$2:$I$9000,MATCH($N335,МАТЕРИАЛЫ!$L$2:$L$9000,0))="USD",КурсUSD,IF(INDEX(МАТЕРИАЛЫ!$I$2:$I$9000,MATCH($N335,МАТЕРИАЛЫ!$L$2:$L$9000,0))="EUR",КурсEUR,IF(INDEX(МАТЕРИАЛЫ!$I$2:$I$9000,MATCH($N335,МАТЕРИАЛЫ!$L$2:$L$9000,0))="CNY",КурсCNY,1)))*(1+N($H335)/100),0),N($O335))*(1-MEDIAN(0,N(ДисконтТендер),1))))</f>
        <v>0</v>
      </c>
      <c r="U335" t="str">
        <f>IF($L335="да",MAX($U$1:$U334)+1,"")</f>
        <v/>
      </c>
      <c r="V335" t="str">
        <f t="shared" si="38"/>
        <v>Р3</v>
      </c>
      <c r="W335" t="str">
        <f t="shared" si="39"/>
        <v/>
      </c>
      <c r="X335" t="str">
        <f t="shared" si="40"/>
        <v/>
      </c>
      <c r="Y335" s="4" t="str">
        <f>IF($A335="","",IF(AND(LEFT($G335,3)="ДОК",$N335&lt;&gt;""),IFERROR(INDEX(Документация!$G$2:$G$57,MATCH($N335,Документация!$F$2:$F$57,0)),$D335),$D335&amp;IF(AND(LEFT($G335,3)&lt;&gt;"ДОК",$N335&lt;&gt;"")," — "&amp;IFERROR(INDEX(МАТЕРИАЛЫ!$C$2:$C$9000,MATCH($N335,МАТЕРИАЛЫ!$L$2:$L$9000,0)),""),"")))</f>
        <v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v>
      </c>
      <c r="Z335" t="str">
        <f t="shared" si="41"/>
        <v>Р3 · Внутренние строительные работы</v>
      </c>
    </row>
    <row r="336" spans="1:26" ht="72" x14ac:dyDescent="0.3">
      <c r="A336" t="s">
        <v>763</v>
      </c>
      <c r="B336" t="s">
        <v>394</v>
      </c>
      <c r="C336" t="s">
        <v>270</v>
      </c>
      <c r="D336" s="4" t="s">
        <v>764</v>
      </c>
      <c r="E336" t="s">
        <v>114</v>
      </c>
      <c r="F336" s="5">
        <v>9396</v>
      </c>
      <c r="G336" t="s">
        <v>498</v>
      </c>
      <c r="H336">
        <v>5</v>
      </c>
      <c r="I336" t="s">
        <v>53</v>
      </c>
      <c r="L336" s="6"/>
      <c r="M336" s="6"/>
      <c r="N336" s="6"/>
      <c r="O336" s="5"/>
      <c r="P336" s="7" t="str">
        <f t="shared" si="35"/>
        <v/>
      </c>
      <c r="Q336" s="7" t="str">
        <f t="shared" si="36"/>
        <v/>
      </c>
      <c r="R336" s="7" t="str">
        <f t="shared" si="37"/>
        <v/>
      </c>
      <c r="S336" s="7">
        <f>IF($A336="","",IF(AND(LEFT($G336,3)="ДОК",$N336&lt;&gt;""),IFERROR(INDEX(Документация!$E$2:$E$57,MATCH($N336,Документация!$F$2:$F$57,0)),0),N($F336))*(1-MEDIAN(0,N(ДисконтТендер),1)))</f>
        <v>9396</v>
      </c>
      <c r="T336" s="7">
        <f>IF($A336="","",IF(AND(LEFT($G336,3)="ДОК",$N336&lt;&gt;""),0,IF(AND(LEFT($G336,3)&lt;&gt;"ДОК",$N336&lt;&gt;""),IFERROR(INDEX(МАТЕРИАЛЫ!$H$2:$H$9000,MATCH($N336,МАТЕРИАЛЫ!$L$2:$L$9000,0))*IF(INDEX(МАТЕРИАЛЫ!$I$2:$I$9000,MATCH($N336,МАТЕРИАЛЫ!$L$2:$L$9000,0))="USD",КурсUSD,IF(INDEX(МАТЕРИАЛЫ!$I$2:$I$9000,MATCH($N336,МАТЕРИАЛЫ!$L$2:$L$9000,0))="EUR",КурсEUR,IF(INDEX(МАТЕРИАЛЫ!$I$2:$I$9000,MATCH($N336,МАТЕРИАЛЫ!$L$2:$L$9000,0))="CNY",КурсCNY,1)))*(1+N($H336)/100),0),N($O336))*(1-MEDIAN(0,N(ДисконтТендер),1))))</f>
        <v>0</v>
      </c>
      <c r="U336" t="str">
        <f>IF($L336="да",MAX($U$1:$U335)+1,"")</f>
        <v/>
      </c>
      <c r="V336" t="str">
        <f t="shared" si="38"/>
        <v>Р3</v>
      </c>
      <c r="W336" t="str">
        <f t="shared" si="39"/>
        <v/>
      </c>
      <c r="X336" t="str">
        <f t="shared" si="40"/>
        <v/>
      </c>
      <c r="Y336" s="4" t="str">
        <f>IF($A336="","",IF(AND(LEFT($G336,3)="ДОК",$N336&lt;&gt;""),IFERROR(INDEX(Документация!$G$2:$G$57,MATCH($N336,Документация!$F$2:$F$57,0)),$D336),$D336&amp;IF(AND(LEFT($G336,3)&lt;&gt;"ДОК",$N336&lt;&gt;"")," — "&amp;IFERROR(INDEX(МАТЕРИАЛЫ!$C$2:$C$9000,MATCH($N336,МАТЕРИАЛЫ!$L$2:$L$9000,0)),""),"")))</f>
        <v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v>
      </c>
      <c r="Z336" t="str">
        <f t="shared" si="41"/>
        <v>Р3 · Внутренние строительные работы</v>
      </c>
    </row>
    <row r="337" spans="1:26" ht="72" x14ac:dyDescent="0.3">
      <c r="A337" t="s">
        <v>765</v>
      </c>
      <c r="B337" t="s">
        <v>394</v>
      </c>
      <c r="C337" t="s">
        <v>270</v>
      </c>
      <c r="D337" s="4" t="s">
        <v>766</v>
      </c>
      <c r="E337" t="s">
        <v>635</v>
      </c>
      <c r="F337" s="5">
        <v>8769.6</v>
      </c>
      <c r="G337" t="s">
        <v>498</v>
      </c>
      <c r="H337">
        <v>5</v>
      </c>
      <c r="I337" t="s">
        <v>53</v>
      </c>
      <c r="L337" s="6"/>
      <c r="M337" s="6"/>
      <c r="N337" s="6"/>
      <c r="O337" s="5"/>
      <c r="P337" s="7" t="str">
        <f t="shared" si="35"/>
        <v/>
      </c>
      <c r="Q337" s="7" t="str">
        <f t="shared" si="36"/>
        <v/>
      </c>
      <c r="R337" s="7" t="str">
        <f t="shared" si="37"/>
        <v/>
      </c>
      <c r="S337" s="7">
        <f>IF($A337="","",IF(AND(LEFT($G337,3)="ДОК",$N337&lt;&gt;""),IFERROR(INDEX(Документация!$E$2:$E$57,MATCH($N337,Документация!$F$2:$F$57,0)),0),N($F337))*(1-MEDIAN(0,N(ДисконтТендер),1)))</f>
        <v>8769.6</v>
      </c>
      <c r="T337" s="7">
        <f>IF($A337="","",IF(AND(LEFT($G337,3)="ДОК",$N337&lt;&gt;""),0,IF(AND(LEFT($G337,3)&lt;&gt;"ДОК",$N337&lt;&gt;""),IFERROR(INDEX(МАТЕРИАЛЫ!$H$2:$H$9000,MATCH($N337,МАТЕРИАЛЫ!$L$2:$L$9000,0))*IF(INDEX(МАТЕРИАЛЫ!$I$2:$I$9000,MATCH($N337,МАТЕРИАЛЫ!$L$2:$L$9000,0))="USD",КурсUSD,IF(INDEX(МАТЕРИАЛЫ!$I$2:$I$9000,MATCH($N337,МАТЕРИАЛЫ!$L$2:$L$9000,0))="EUR",КурсEUR,IF(INDEX(МАТЕРИАЛЫ!$I$2:$I$9000,MATCH($N337,МАТЕРИАЛЫ!$L$2:$L$9000,0))="CNY",КурсCNY,1)))*(1+N($H337)/100),0),N($O337))*(1-MEDIAN(0,N(ДисконтТендер),1))))</f>
        <v>0</v>
      </c>
      <c r="U337" t="str">
        <f>IF($L337="да",MAX($U$1:$U336)+1,"")</f>
        <v/>
      </c>
      <c r="V337" t="str">
        <f t="shared" si="38"/>
        <v>Р3</v>
      </c>
      <c r="W337" t="str">
        <f t="shared" si="39"/>
        <v/>
      </c>
      <c r="X337" t="str">
        <f t="shared" si="40"/>
        <v/>
      </c>
      <c r="Y337" s="4" t="str">
        <f>IF($A337="","",IF(AND(LEFT($G337,3)="ДОК",$N337&lt;&gt;""),IFERROR(INDEX(Документация!$G$2:$G$57,MATCH($N337,Документация!$F$2:$F$57,0)),$D337),$D337&amp;IF(AND(LEFT($G337,3)&lt;&gt;"ДОК",$N337&lt;&gt;"")," — "&amp;IFERROR(INDEX(МАТЕРИАЛЫ!$C$2:$C$9000,MATCH($N337,МАТЕРИАЛЫ!$L$2:$L$9000,0)),""),"")))</f>
        <v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v>
      </c>
      <c r="Z337" t="str">
        <f t="shared" si="41"/>
        <v>Р3 · Внутренние строительные работы</v>
      </c>
    </row>
    <row r="338" spans="1:26" x14ac:dyDescent="0.3">
      <c r="A338" t="s">
        <v>767</v>
      </c>
      <c r="B338" t="s">
        <v>394</v>
      </c>
      <c r="C338" t="s">
        <v>270</v>
      </c>
      <c r="D338" s="4" t="s">
        <v>768</v>
      </c>
      <c r="E338" t="s">
        <v>114</v>
      </c>
      <c r="F338" s="5">
        <v>1711.97</v>
      </c>
      <c r="G338" t="s">
        <v>758</v>
      </c>
      <c r="H338">
        <v>5</v>
      </c>
      <c r="I338" t="s">
        <v>53</v>
      </c>
      <c r="L338" s="6"/>
      <c r="M338" s="6"/>
      <c r="N338" s="6"/>
      <c r="O338" s="5"/>
      <c r="P338" s="7" t="str">
        <f t="shared" si="35"/>
        <v/>
      </c>
      <c r="Q338" s="7" t="str">
        <f t="shared" si="36"/>
        <v/>
      </c>
      <c r="R338" s="7" t="str">
        <f t="shared" si="37"/>
        <v/>
      </c>
      <c r="S338" s="7">
        <f>IF($A338="","",IF(AND(LEFT($G338,3)="ДОК",$N338&lt;&gt;""),IFERROR(INDEX(Документация!$E$2:$E$57,MATCH($N338,Документация!$F$2:$F$57,0)),0),N($F338))*(1-MEDIAN(0,N(ДисконтТендер),1)))</f>
        <v>1711.97</v>
      </c>
      <c r="T338" s="7">
        <f>IF($A338="","",IF(AND(LEFT($G338,3)="ДОК",$N338&lt;&gt;""),0,IF(AND(LEFT($G338,3)&lt;&gt;"ДОК",$N338&lt;&gt;""),IFERROR(INDEX(МАТЕРИАЛЫ!$H$2:$H$9000,MATCH($N338,МАТЕРИАЛЫ!$L$2:$L$9000,0))*IF(INDEX(МАТЕРИАЛЫ!$I$2:$I$9000,MATCH($N338,МАТЕРИАЛЫ!$L$2:$L$9000,0))="USD",КурсUSD,IF(INDEX(МАТЕРИАЛЫ!$I$2:$I$9000,MATCH($N338,МАТЕРИАЛЫ!$L$2:$L$9000,0))="EUR",КурсEUR,IF(INDEX(МАТЕРИАЛЫ!$I$2:$I$9000,MATCH($N338,МАТЕРИАЛЫ!$L$2:$L$9000,0))="CNY",КурсCNY,1)))*(1+N($H338)/100),0),N($O338))*(1-MEDIAN(0,N(ДисконтТендер),1))))</f>
        <v>0</v>
      </c>
      <c r="U338" t="str">
        <f>IF($L338="да",MAX($U$1:$U337)+1,"")</f>
        <v/>
      </c>
      <c r="V338" t="str">
        <f t="shared" si="38"/>
        <v>Р3</v>
      </c>
      <c r="W338" t="str">
        <f t="shared" si="39"/>
        <v/>
      </c>
      <c r="X338" t="str">
        <f t="shared" si="40"/>
        <v/>
      </c>
      <c r="Y338" s="4" t="str">
        <f>IF($A338="","",IF(AND(LEFT($G338,3)="ДОК",$N338&lt;&gt;""),IFERROR(INDEX(Документация!$G$2:$G$57,MATCH($N338,Документация!$F$2:$F$57,0)),$D338),$D338&amp;IF(AND(LEFT($G338,3)&lt;&gt;"ДОК",$N338&lt;&gt;"")," — "&amp;IFERROR(INDEX(МАТЕРИАЛЫ!$C$2:$C$9000,MATCH($N338,МАТЕРИАЛЫ!$L$2:$L$9000,0)),""),"")))</f>
        <v>Монтаж переговорного устройство DD-205T</v>
      </c>
      <c r="Z338" t="str">
        <f t="shared" si="41"/>
        <v>Р3 · Внутренние строительные работы</v>
      </c>
    </row>
    <row r="339" spans="1:26" x14ac:dyDescent="0.3">
      <c r="A339" t="s">
        <v>769</v>
      </c>
      <c r="B339" t="s">
        <v>394</v>
      </c>
      <c r="C339" t="s">
        <v>270</v>
      </c>
      <c r="D339" s="4" t="s">
        <v>569</v>
      </c>
      <c r="E339" t="s">
        <v>52</v>
      </c>
      <c r="F339" s="5">
        <v>3908.74</v>
      </c>
      <c r="G339" t="s">
        <v>498</v>
      </c>
      <c r="H339">
        <v>5</v>
      </c>
      <c r="I339" t="s">
        <v>53</v>
      </c>
      <c r="L339" s="6"/>
      <c r="M339" s="6"/>
      <c r="N339" s="6"/>
      <c r="O339" s="5"/>
      <c r="P339" s="7" t="str">
        <f t="shared" si="35"/>
        <v/>
      </c>
      <c r="Q339" s="7" t="str">
        <f t="shared" si="36"/>
        <v/>
      </c>
      <c r="R339" s="7" t="str">
        <f t="shared" si="37"/>
        <v/>
      </c>
      <c r="S339" s="7">
        <f>IF($A339="","",IF(AND(LEFT($G339,3)="ДОК",$N339&lt;&gt;""),IFERROR(INDEX(Документация!$E$2:$E$57,MATCH($N339,Документация!$F$2:$F$57,0)),0),N($F339))*(1-MEDIAN(0,N(ДисконтТендер),1)))</f>
        <v>3908.74</v>
      </c>
      <c r="T339" s="7">
        <f>IF($A339="","",IF(AND(LEFT($G339,3)="ДОК",$N339&lt;&gt;""),0,IF(AND(LEFT($G339,3)&lt;&gt;"ДОК",$N339&lt;&gt;""),IFERROR(INDEX(МАТЕРИАЛЫ!$H$2:$H$9000,MATCH($N339,МАТЕРИАЛЫ!$L$2:$L$9000,0))*IF(INDEX(МАТЕРИАЛЫ!$I$2:$I$9000,MATCH($N339,МАТЕРИАЛЫ!$L$2:$L$9000,0))="USD",КурсUSD,IF(INDEX(МАТЕРИАЛЫ!$I$2:$I$9000,MATCH($N339,МАТЕРИАЛЫ!$L$2:$L$9000,0))="EUR",КурсEUR,IF(INDEX(МАТЕРИАЛЫ!$I$2:$I$9000,MATCH($N339,МАТЕРИАЛЫ!$L$2:$L$9000,0))="CNY",КурсCNY,1)))*(1+N($H339)/100),0),N($O339))*(1-MEDIAN(0,N(ДисконтТендер),1))))</f>
        <v>0</v>
      </c>
      <c r="U339" t="str">
        <f>IF($L339="да",MAX($U$1:$U338)+1,"")</f>
        <v/>
      </c>
      <c r="V339" t="str">
        <f t="shared" si="38"/>
        <v>Р3</v>
      </c>
      <c r="W339" t="str">
        <f t="shared" si="39"/>
        <v/>
      </c>
      <c r="X339" t="str">
        <f t="shared" si="40"/>
        <v/>
      </c>
      <c r="Y339" s="4" t="str">
        <f>IF($A339="","",IF(AND(LEFT($G339,3)="ДОК",$N339&lt;&gt;""),IFERROR(INDEX(Документация!$G$2:$G$57,MATCH($N339,Документация!$F$2:$F$57,0)),$D339),$D339&amp;IF(AND(LEFT($G339,3)&lt;&gt;"ДОК",$N339&lt;&gt;"")," — "&amp;IFERROR(INDEX(МАТЕРИАЛЫ!$C$2:$C$9000,MATCH($N339,МАТЕРИАЛЫ!$L$2:$L$9000,0)),""),"")))</f>
        <v>Окраска поверхности</v>
      </c>
      <c r="Z339" t="str">
        <f t="shared" si="41"/>
        <v>Р3 · Внутренние строительные работы</v>
      </c>
    </row>
    <row r="340" spans="1:26" ht="43.2" x14ac:dyDescent="0.3">
      <c r="A340" t="s">
        <v>770</v>
      </c>
      <c r="B340" t="s">
        <v>394</v>
      </c>
      <c r="C340" t="s">
        <v>270</v>
      </c>
      <c r="D340" s="4" t="s">
        <v>771</v>
      </c>
      <c r="E340" t="s">
        <v>52</v>
      </c>
      <c r="F340" s="5">
        <v>5345.28</v>
      </c>
      <c r="G340" t="s">
        <v>498</v>
      </c>
      <c r="H340">
        <v>5</v>
      </c>
      <c r="I340" t="s">
        <v>53</v>
      </c>
      <c r="L340" s="6"/>
      <c r="M340" s="6"/>
      <c r="N340" s="6"/>
      <c r="O340" s="5"/>
      <c r="P340" s="7" t="str">
        <f t="shared" si="35"/>
        <v/>
      </c>
      <c r="Q340" s="7" t="str">
        <f t="shared" si="36"/>
        <v/>
      </c>
      <c r="R340" s="7" t="str">
        <f t="shared" si="37"/>
        <v/>
      </c>
      <c r="S340" s="7">
        <f>IF($A340="","",IF(AND(LEFT($G340,3)="ДОК",$N340&lt;&gt;""),IFERROR(INDEX(Документация!$E$2:$E$57,MATCH($N340,Документация!$F$2:$F$57,0)),0),N($F340))*(1-MEDIAN(0,N(ДисконтТендер),1)))</f>
        <v>5345.28</v>
      </c>
      <c r="T340" s="7">
        <f>IF($A340="","",IF(AND(LEFT($G340,3)="ДОК",$N340&lt;&gt;""),0,IF(AND(LEFT($G340,3)&lt;&gt;"ДОК",$N340&lt;&gt;""),IFERROR(INDEX(МАТЕРИАЛЫ!$H$2:$H$9000,MATCH($N340,МАТЕРИАЛЫ!$L$2:$L$9000,0))*IF(INDEX(МАТЕРИАЛЫ!$I$2:$I$9000,MATCH($N340,МАТЕРИАЛЫ!$L$2:$L$9000,0))="USD",КурсUSD,IF(INDEX(МАТЕРИАЛЫ!$I$2:$I$9000,MATCH($N340,МАТЕРИАЛЫ!$L$2:$L$9000,0))="EUR",КурсEUR,IF(INDEX(МАТЕРИАЛЫ!$I$2:$I$9000,MATCH($N340,МАТЕРИАЛЫ!$L$2:$L$9000,0))="CNY",КурсCNY,1)))*(1+N($H340)/100),0),N($O340))*(1-MEDIAN(0,N(ДисконтТендер),1))))</f>
        <v>0</v>
      </c>
      <c r="U340" t="str">
        <f>IF($L340="да",MAX($U$1:$U339)+1,"")</f>
        <v/>
      </c>
      <c r="V340" t="str">
        <f t="shared" si="38"/>
        <v>Р3</v>
      </c>
      <c r="W340" t="str">
        <f t="shared" si="39"/>
        <v/>
      </c>
      <c r="X340" t="str">
        <f t="shared" si="40"/>
        <v/>
      </c>
      <c r="Y340" s="4" t="str">
        <f>IF($A340="","",IF(AND(LEFT($G340,3)="ДОК",$N340&lt;&gt;""),IFERROR(INDEX(Документация!$G$2:$G$57,MATCH($N340,Документация!$F$2:$F$57,0)),$D340),$D340&amp;IF(AND(LEFT($G340,3)&lt;&gt;"ДОК",$N340&lt;&gt;"")," — "&amp;IFERROR(INDEX(МАТЕРИАЛЫ!$C$2:$C$9000,MATCH($N340,МАТЕРИАЛЫ!$L$2:$L$9000,0)),""),"")))</f>
        <v>Панели защитные, стеновые V класс взломостойкости, сварное соединение, бетонно-заливная. Покраска грунт</v>
      </c>
      <c r="Z340" t="str">
        <f t="shared" si="41"/>
        <v>Р3 · Внутренние строительные работы</v>
      </c>
    </row>
    <row r="341" spans="1:26" x14ac:dyDescent="0.3">
      <c r="A341" t="s">
        <v>772</v>
      </c>
      <c r="B341" t="s">
        <v>394</v>
      </c>
      <c r="C341" t="s">
        <v>300</v>
      </c>
      <c r="D341" s="4" t="s">
        <v>773</v>
      </c>
      <c r="E341" t="s">
        <v>774</v>
      </c>
      <c r="F341" s="5">
        <v>0</v>
      </c>
      <c r="H341">
        <v>0</v>
      </c>
      <c r="I341" t="s">
        <v>53</v>
      </c>
      <c r="L341" s="6"/>
      <c r="M341" s="6"/>
      <c r="N341" s="6"/>
      <c r="O341" s="5"/>
      <c r="P341" s="7" t="str">
        <f t="shared" si="35"/>
        <v/>
      </c>
      <c r="Q341" s="7" t="str">
        <f t="shared" si="36"/>
        <v/>
      </c>
      <c r="R341" s="7" t="str">
        <f t="shared" si="37"/>
        <v/>
      </c>
      <c r="S341" s="7">
        <f>IF($A341="","",IF(AND(LEFT($G341,3)="ДОК",$N341&lt;&gt;""),IFERROR(INDEX(Документация!$E$2:$E$57,MATCH($N341,Документация!$F$2:$F$57,0)),0),N($F341))*(1-MEDIAN(0,N(ДисконтТендер),1)))</f>
        <v>0</v>
      </c>
      <c r="T341" s="7">
        <f>IF($A341="","",IF(AND(LEFT($G341,3)="ДОК",$N341&lt;&gt;""),0,IF(AND(LEFT($G341,3)&lt;&gt;"ДОК",$N341&lt;&gt;""),IFERROR(INDEX(МАТЕРИАЛЫ!$H$2:$H$9000,MATCH($N341,МАТЕРИАЛЫ!$L$2:$L$9000,0))*IF(INDEX(МАТЕРИАЛЫ!$I$2:$I$9000,MATCH($N341,МАТЕРИАЛЫ!$L$2:$L$9000,0))="USD",КурсUSD,IF(INDEX(МАТЕРИАЛЫ!$I$2:$I$9000,MATCH($N341,МАТЕРИАЛЫ!$L$2:$L$9000,0))="EUR",КурсEUR,IF(INDEX(МАТЕРИАЛЫ!$I$2:$I$9000,MATCH($N341,МАТЕРИАЛЫ!$L$2:$L$9000,0))="CNY",КурсCNY,1)))*(1+N($H341)/100),0),N($O341))*(1-MEDIAN(0,N(ДисконтТендер),1))))</f>
        <v>0</v>
      </c>
      <c r="U341" t="str">
        <f>IF($L341="да",MAX($U$1:$U340)+1,"")</f>
        <v/>
      </c>
      <c r="V341" t="str">
        <f t="shared" si="38"/>
        <v>Р3</v>
      </c>
      <c r="W341" t="str">
        <f t="shared" si="39"/>
        <v/>
      </c>
      <c r="X341" t="str">
        <f t="shared" si="40"/>
        <v/>
      </c>
      <c r="Y341" s="4" t="str">
        <f>IF($A341="","",IF(AND(LEFT($G341,3)="ДОК",$N341&lt;&gt;""),IFERROR(INDEX(Документация!$G$2:$G$57,MATCH($N341,Документация!$F$2:$F$57,0)),$D341),$D341&amp;IF(AND(LEFT($G341,3)&lt;&gt;"ДОК",$N341&lt;&gt;"")," — "&amp;IFERROR(INDEX(МАТЕРИАЛЫ!$C$2:$C$9000,MATCH($N341,МАТЕРИАЛЫ!$L$2:$L$9000,0)),""),"")))</f>
        <v>Мобилизация обьекта (более 300 кв.м.)</v>
      </c>
      <c r="Z341" t="str">
        <f t="shared" si="41"/>
        <v>Р3 · Внутренние строительные работы</v>
      </c>
    </row>
    <row r="342" spans="1:26" x14ac:dyDescent="0.3">
      <c r="A342" t="s">
        <v>775</v>
      </c>
      <c r="B342" t="s">
        <v>394</v>
      </c>
      <c r="C342" t="s">
        <v>300</v>
      </c>
      <c r="D342" s="4" t="s">
        <v>776</v>
      </c>
      <c r="E342" t="s">
        <v>774</v>
      </c>
      <c r="F342" s="5">
        <v>0</v>
      </c>
      <c r="H342">
        <v>0</v>
      </c>
      <c r="I342" t="s">
        <v>53</v>
      </c>
      <c r="L342" s="6"/>
      <c r="M342" s="6"/>
      <c r="N342" s="6"/>
      <c r="O342" s="5"/>
      <c r="P342" s="7" t="str">
        <f t="shared" si="35"/>
        <v/>
      </c>
      <c r="Q342" s="7" t="str">
        <f t="shared" si="36"/>
        <v/>
      </c>
      <c r="R342" s="7" t="str">
        <f t="shared" si="37"/>
        <v/>
      </c>
      <c r="S342" s="7">
        <f>IF($A342="","",IF(AND(LEFT($G342,3)="ДОК",$N342&lt;&gt;""),IFERROR(INDEX(Документация!$E$2:$E$57,MATCH($N342,Документация!$F$2:$F$57,0)),0),N($F342))*(1-MEDIAN(0,N(ДисконтТендер),1)))</f>
        <v>0</v>
      </c>
      <c r="T342" s="7">
        <f>IF($A342="","",IF(AND(LEFT($G342,3)="ДОК",$N342&lt;&gt;""),0,IF(AND(LEFT($G342,3)&lt;&gt;"ДОК",$N342&lt;&gt;""),IFERROR(INDEX(МАТЕРИАЛЫ!$H$2:$H$9000,MATCH($N342,МАТЕРИАЛЫ!$L$2:$L$9000,0))*IF(INDEX(МАТЕРИАЛЫ!$I$2:$I$9000,MATCH($N342,МАТЕРИАЛЫ!$L$2:$L$9000,0))="USD",КурсUSD,IF(INDEX(МАТЕРИАЛЫ!$I$2:$I$9000,MATCH($N342,МАТЕРИАЛЫ!$L$2:$L$9000,0))="EUR",КурсEUR,IF(INDEX(МАТЕРИАЛЫ!$I$2:$I$9000,MATCH($N342,МАТЕРИАЛЫ!$L$2:$L$9000,0))="CNY",КурсCNY,1)))*(1+N($H342)/100),0),N($O342))*(1-MEDIAN(0,N(ДисконтТендер),1))))</f>
        <v>0</v>
      </c>
      <c r="U342" t="str">
        <f>IF($L342="да",MAX($U$1:$U341)+1,"")</f>
        <v/>
      </c>
      <c r="V342" t="str">
        <f t="shared" si="38"/>
        <v>Р3</v>
      </c>
      <c r="W342" t="str">
        <f t="shared" si="39"/>
        <v/>
      </c>
      <c r="X342" t="str">
        <f t="shared" si="40"/>
        <v/>
      </c>
      <c r="Y342" s="4" t="str">
        <f>IF($A342="","",IF(AND(LEFT($G342,3)="ДОК",$N342&lt;&gt;""),IFERROR(INDEX(Документация!$G$2:$G$57,MATCH($N342,Документация!$F$2:$F$57,0)),$D342),$D342&amp;IF(AND(LEFT($G342,3)&lt;&gt;"ДОК",$N342&lt;&gt;"")," — "&amp;IFERROR(INDEX(МАТЕРИАЛЫ!$C$2:$C$9000,MATCH($N342,МАТЕРИАЛЫ!$L$2:$L$9000,0)),""),"")))</f>
        <v>Мобилизация обьекта (менее 300 кв.м.)</v>
      </c>
      <c r="Z342" t="str">
        <f t="shared" si="41"/>
        <v>Р3 · Внутренние строительные работы</v>
      </c>
    </row>
    <row r="343" spans="1:26" ht="72" x14ac:dyDescent="0.3">
      <c r="A343" t="s">
        <v>777</v>
      </c>
      <c r="B343" t="s">
        <v>394</v>
      </c>
      <c r="C343" t="s">
        <v>300</v>
      </c>
      <c r="D343" s="4" t="s">
        <v>778</v>
      </c>
      <c r="E343" t="s">
        <v>52</v>
      </c>
      <c r="F343" s="5">
        <v>718.58</v>
      </c>
      <c r="H343">
        <v>0</v>
      </c>
      <c r="I343" t="s">
        <v>53</v>
      </c>
      <c r="L343" s="6"/>
      <c r="M343" s="6"/>
      <c r="N343" s="6"/>
      <c r="O343" s="5"/>
      <c r="P343" s="7" t="str">
        <f t="shared" si="35"/>
        <v/>
      </c>
      <c r="Q343" s="7" t="str">
        <f t="shared" si="36"/>
        <v/>
      </c>
      <c r="R343" s="7" t="str">
        <f t="shared" si="37"/>
        <v/>
      </c>
      <c r="S343" s="7">
        <f>IF($A343="","",IF(AND(LEFT($G343,3)="ДОК",$N343&lt;&gt;""),IFERROR(INDEX(Документация!$E$2:$E$57,MATCH($N343,Документация!$F$2:$F$57,0)),0),N($F343))*(1-MEDIAN(0,N(ДисконтТендер),1)))</f>
        <v>718.58</v>
      </c>
      <c r="T343" s="7">
        <f>IF($A343="","",IF(AND(LEFT($G343,3)="ДОК",$N343&lt;&gt;""),0,IF(AND(LEFT($G343,3)&lt;&gt;"ДОК",$N343&lt;&gt;""),IFERROR(INDEX(МАТЕРИАЛЫ!$H$2:$H$9000,MATCH($N343,МАТЕРИАЛЫ!$L$2:$L$9000,0))*IF(INDEX(МАТЕРИАЛЫ!$I$2:$I$9000,MATCH($N343,МАТЕРИАЛЫ!$L$2:$L$9000,0))="USD",КурсUSD,IF(INDEX(МАТЕРИАЛЫ!$I$2:$I$9000,MATCH($N343,МАТЕРИАЛЫ!$L$2:$L$9000,0))="EUR",КурсEUR,IF(INDEX(МАТЕРИАЛЫ!$I$2:$I$9000,MATCH($N343,МАТЕРИАЛЫ!$L$2:$L$9000,0))="CNY",КурсCNY,1)))*(1+N($H343)/100),0),N($O343))*(1-MEDIAN(0,N(ДисконтТендер),1))))</f>
        <v>0</v>
      </c>
      <c r="U343" t="str">
        <f>IF($L343="да",MAX($U$1:$U342)+1,"")</f>
        <v/>
      </c>
      <c r="V343" t="str">
        <f t="shared" si="38"/>
        <v>Р3</v>
      </c>
      <c r="W343" t="str">
        <f t="shared" si="39"/>
        <v/>
      </c>
      <c r="X343" t="str">
        <f t="shared" si="40"/>
        <v/>
      </c>
      <c r="Y343" s="4" t="str">
        <f>IF($A343="","",IF(AND(LEFT($G343,3)="ДОК",$N343&lt;&gt;""),IFERROR(INDEX(Документация!$G$2:$G$57,MATCH($N343,Документация!$F$2:$F$57,0)),$D343),$D343&amp;IF(AND(LEFT($G343,3)&lt;&gt;"ДОК",$N343&lt;&gt;"")," — "&amp;IFERROR(INDEX(МАТЕРИАЛЫ!$C$2:$C$9000,MATCH($N343,МАТЕРИАЛЫ!$L$2:$L$9000,0)),""),"")))</f>
        <v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v>
      </c>
      <c r="Z343" t="str">
        <f t="shared" si="41"/>
        <v>Р3 · Внутренние строительные работы</v>
      </c>
    </row>
    <row r="344" spans="1:26" x14ac:dyDescent="0.3">
      <c r="A344" t="s">
        <v>779</v>
      </c>
      <c r="B344" t="s">
        <v>394</v>
      </c>
      <c r="C344" t="s">
        <v>300</v>
      </c>
      <c r="D344" s="4" t="s">
        <v>780</v>
      </c>
      <c r="E344" t="s">
        <v>52</v>
      </c>
      <c r="F344" s="5">
        <v>1503.36</v>
      </c>
      <c r="H344">
        <v>0</v>
      </c>
      <c r="I344" t="s">
        <v>53</v>
      </c>
      <c r="L344" s="6"/>
      <c r="M344" s="6"/>
      <c r="N344" s="6"/>
      <c r="O344" s="5"/>
      <c r="P344" s="7" t="str">
        <f t="shared" si="35"/>
        <v/>
      </c>
      <c r="Q344" s="7" t="str">
        <f t="shared" si="36"/>
        <v/>
      </c>
      <c r="R344" s="7" t="str">
        <f t="shared" si="37"/>
        <v/>
      </c>
      <c r="S344" s="7">
        <f>IF($A344="","",IF(AND(LEFT($G344,3)="ДОК",$N344&lt;&gt;""),IFERROR(INDEX(Документация!$E$2:$E$57,MATCH($N344,Документация!$F$2:$F$57,0)),0),N($F344))*(1-MEDIAN(0,N(ДисконтТендер),1)))</f>
        <v>1503.36</v>
      </c>
      <c r="T344" s="7">
        <f>IF($A344="","",IF(AND(LEFT($G344,3)="ДОК",$N344&lt;&gt;""),0,IF(AND(LEFT($G344,3)&lt;&gt;"ДОК",$N344&lt;&gt;""),IFERROR(INDEX(МАТЕРИАЛЫ!$H$2:$H$9000,MATCH($N344,МАТЕРИАЛЫ!$L$2:$L$9000,0))*IF(INDEX(МАТЕРИАЛЫ!$I$2:$I$9000,MATCH($N344,МАТЕРИАЛЫ!$L$2:$L$9000,0))="USD",КурсUSD,IF(INDEX(МАТЕРИАЛЫ!$I$2:$I$9000,MATCH($N344,МАТЕРИАЛЫ!$L$2:$L$9000,0))="EUR",КурсEUR,IF(INDEX(МАТЕРИАЛЫ!$I$2:$I$9000,MATCH($N344,МАТЕРИАЛЫ!$L$2:$L$9000,0))="CNY",КурсCNY,1)))*(1+N($H344)/100),0),N($O344))*(1-MEDIAN(0,N(ДисконтТендер),1))))</f>
        <v>0</v>
      </c>
      <c r="U344" t="str">
        <f>IF($L344="да",MAX($U$1:$U343)+1,"")</f>
        <v/>
      </c>
      <c r="V344" t="str">
        <f t="shared" si="38"/>
        <v>Р3</v>
      </c>
      <c r="W344" t="str">
        <f t="shared" si="39"/>
        <v/>
      </c>
      <c r="X344" t="str">
        <f t="shared" si="40"/>
        <v/>
      </c>
      <c r="Y344" s="4" t="str">
        <f>IF($A344="","",IF(AND(LEFT($G344,3)="ДОК",$N344&lt;&gt;""),IFERROR(INDEX(Документация!$G$2:$G$57,MATCH($N344,Документация!$F$2:$F$57,0)),$D344),$D344&amp;IF(AND(LEFT($G344,3)&lt;&gt;"ДОК",$N344&lt;&gt;"")," — "&amp;IFERROR(INDEX(МАТЕРИАЛЫ!$C$2:$C$9000,MATCH($N344,МАТЕРИАЛЫ!$L$2:$L$9000,0)),""),"")))</f>
        <v>Грунтовка поверхности</v>
      </c>
      <c r="Z344" t="str">
        <f t="shared" si="41"/>
        <v>Р3 · Внутренние строительные работы</v>
      </c>
    </row>
    <row r="345" spans="1:26" ht="72" x14ac:dyDescent="0.3">
      <c r="A345" t="s">
        <v>781</v>
      </c>
      <c r="B345" t="s">
        <v>394</v>
      </c>
      <c r="C345" t="s">
        <v>300</v>
      </c>
      <c r="D345" s="4" t="s">
        <v>782</v>
      </c>
      <c r="E345" t="s">
        <v>52</v>
      </c>
      <c r="F345" s="5">
        <v>2100</v>
      </c>
      <c r="H345">
        <v>0</v>
      </c>
      <c r="I345" t="s">
        <v>53</v>
      </c>
      <c r="L345" s="6"/>
      <c r="M345" s="6"/>
      <c r="N345" s="6"/>
      <c r="O345" s="5"/>
      <c r="P345" s="7" t="str">
        <f t="shared" si="35"/>
        <v/>
      </c>
      <c r="Q345" s="7" t="str">
        <f t="shared" si="36"/>
        <v/>
      </c>
      <c r="R345" s="7" t="str">
        <f t="shared" si="37"/>
        <v/>
      </c>
      <c r="S345" s="7">
        <f>IF($A345="","",IF(AND(LEFT($G345,3)="ДОК",$N345&lt;&gt;""),IFERROR(INDEX(Документация!$E$2:$E$57,MATCH($N345,Документация!$F$2:$F$57,0)),0),N($F345))*(1-MEDIAN(0,N(ДисконтТендер),1)))</f>
        <v>2100</v>
      </c>
      <c r="T345" s="7">
        <f>IF($A345="","",IF(AND(LEFT($G345,3)="ДОК",$N345&lt;&gt;""),0,IF(AND(LEFT($G345,3)&lt;&gt;"ДОК",$N345&lt;&gt;""),IFERROR(INDEX(МАТЕРИАЛЫ!$H$2:$H$9000,MATCH($N345,МАТЕРИАЛЫ!$L$2:$L$9000,0))*IF(INDEX(МАТЕРИАЛЫ!$I$2:$I$9000,MATCH($N345,МАТЕРИАЛЫ!$L$2:$L$9000,0))="USD",КурсUSD,IF(INDEX(МАТЕРИАЛЫ!$I$2:$I$9000,MATCH($N345,МАТЕРИАЛЫ!$L$2:$L$9000,0))="EUR",КурсEUR,IF(INDEX(МАТЕРИАЛЫ!$I$2:$I$9000,MATCH($N345,МАТЕРИАЛЫ!$L$2:$L$9000,0))="CNY",КурсCNY,1)))*(1+N($H345)/100),0),N($O345))*(1-MEDIAN(0,N(ДисконтТендер),1))))</f>
        <v>0</v>
      </c>
      <c r="U345" t="str">
        <f>IF($L345="да",MAX($U$1:$U344)+1,"")</f>
        <v/>
      </c>
      <c r="V345" t="str">
        <f t="shared" si="38"/>
        <v>Р3</v>
      </c>
      <c r="W345" t="str">
        <f t="shared" si="39"/>
        <v/>
      </c>
      <c r="X345" t="str">
        <f t="shared" si="40"/>
        <v/>
      </c>
      <c r="Y345" s="4" t="str">
        <f>IF($A345="","",IF(AND(LEFT($G345,3)="ДОК",$N345&lt;&gt;""),IFERROR(INDEX(Документация!$G$2:$G$57,MATCH($N345,Документация!$F$2:$F$57,0)),$D345),$D345&amp;IF(AND(LEFT($G345,3)&lt;&gt;"ДОК",$N345&lt;&gt;"")," — "&amp;IFERROR(INDEX(МАТЕРИАЛЫ!$C$2:$C$9000,MATCH($N345,МАТЕРИАЛЫ!$L$2:$L$9000,0)),""),"")))</f>
        <v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v>
      </c>
      <c r="Z345" t="str">
        <f t="shared" si="41"/>
        <v>Р3 · Внутренние строительные работы</v>
      </c>
    </row>
    <row r="346" spans="1:26" ht="28.8" x14ac:dyDescent="0.3">
      <c r="A346" t="s">
        <v>783</v>
      </c>
      <c r="B346" t="s">
        <v>394</v>
      </c>
      <c r="C346" t="s">
        <v>300</v>
      </c>
      <c r="D346" s="4" t="s">
        <v>784</v>
      </c>
      <c r="E346" t="s">
        <v>52</v>
      </c>
      <c r="F346" s="5">
        <v>382.8</v>
      </c>
      <c r="G346" t="s">
        <v>498</v>
      </c>
      <c r="H346">
        <v>5</v>
      </c>
      <c r="I346" t="s">
        <v>53</v>
      </c>
      <c r="L346" s="6"/>
      <c r="M346" s="6"/>
      <c r="N346" s="6"/>
      <c r="O346" s="5"/>
      <c r="P346" s="7" t="str">
        <f t="shared" si="35"/>
        <v/>
      </c>
      <c r="Q346" s="7" t="str">
        <f t="shared" si="36"/>
        <v/>
      </c>
      <c r="R346" s="7" t="str">
        <f t="shared" si="37"/>
        <v/>
      </c>
      <c r="S346" s="7">
        <f>IF($A346="","",IF(AND(LEFT($G346,3)="ДОК",$N346&lt;&gt;""),IFERROR(INDEX(Документация!$E$2:$E$57,MATCH($N346,Документация!$F$2:$F$57,0)),0),N($F346))*(1-MEDIAN(0,N(ДисконтТендер),1)))</f>
        <v>382.8</v>
      </c>
      <c r="T346" s="7">
        <f>IF($A346="","",IF(AND(LEFT($G346,3)="ДОК",$N346&lt;&gt;""),0,IF(AND(LEFT($G346,3)&lt;&gt;"ДОК",$N346&lt;&gt;""),IFERROR(INDEX(МАТЕРИАЛЫ!$H$2:$H$9000,MATCH($N346,МАТЕРИАЛЫ!$L$2:$L$9000,0))*IF(INDEX(МАТЕРИАЛЫ!$I$2:$I$9000,MATCH($N346,МАТЕРИАЛЫ!$L$2:$L$9000,0))="USD",КурсUSD,IF(INDEX(МАТЕРИАЛЫ!$I$2:$I$9000,MATCH($N346,МАТЕРИАЛЫ!$L$2:$L$9000,0))="EUR",КурсEUR,IF(INDEX(МАТЕРИАЛЫ!$I$2:$I$9000,MATCH($N346,МАТЕРИАЛЫ!$L$2:$L$9000,0))="CNY",КурсCNY,1)))*(1+N($H346)/100),0),N($O346))*(1-MEDIAN(0,N(ДисконтТендер),1))))</f>
        <v>0</v>
      </c>
      <c r="U346" t="str">
        <f>IF($L346="да",MAX($U$1:$U345)+1,"")</f>
        <v/>
      </c>
      <c r="V346" t="str">
        <f t="shared" si="38"/>
        <v>Р3</v>
      </c>
      <c r="W346" t="str">
        <f t="shared" si="39"/>
        <v/>
      </c>
      <c r="X346" t="str">
        <f t="shared" si="40"/>
        <v/>
      </c>
      <c r="Y346" s="4" t="str">
        <f>IF($A346="","",IF(AND(LEFT($G346,3)="ДОК",$N346&lt;&gt;""),IFERROR(INDEX(Документация!$G$2:$G$57,MATCH($N346,Документация!$F$2:$F$57,0)),$D346),$D346&amp;IF(AND(LEFT($G346,3)&lt;&gt;"ДОК",$N346&lt;&gt;"")," — "&amp;IFERROR(INDEX(МАТЕРИАЛЫ!$C$2:$C$9000,MATCH($N346,МАТЕРИАЛЫ!$L$2:$L$9000,0)),""),"")))</f>
        <v>Масляная окраска стальных труб с учетом подготовки</v>
      </c>
      <c r="Z346" t="str">
        <f t="shared" si="41"/>
        <v>Р3 · Внутренние строительные работы</v>
      </c>
    </row>
    <row r="347" spans="1:26" ht="28.8" x14ac:dyDescent="0.3">
      <c r="A347" t="s">
        <v>785</v>
      </c>
      <c r="B347" t="s">
        <v>394</v>
      </c>
      <c r="C347" t="s">
        <v>300</v>
      </c>
      <c r="D347" s="4" t="s">
        <v>786</v>
      </c>
      <c r="E347" t="s">
        <v>153</v>
      </c>
      <c r="F347" s="5">
        <v>2612.5</v>
      </c>
      <c r="H347">
        <v>0</v>
      </c>
      <c r="I347" t="s">
        <v>53</v>
      </c>
      <c r="L347" s="6"/>
      <c r="M347" s="6"/>
      <c r="N347" s="6"/>
      <c r="O347" s="5"/>
      <c r="P347" s="7" t="str">
        <f t="shared" si="35"/>
        <v/>
      </c>
      <c r="Q347" s="7" t="str">
        <f t="shared" si="36"/>
        <v/>
      </c>
      <c r="R347" s="7" t="str">
        <f t="shared" si="37"/>
        <v/>
      </c>
      <c r="S347" s="7">
        <f>IF($A347="","",IF(AND(LEFT($G347,3)="ДОК",$N347&lt;&gt;""),IFERROR(INDEX(Документация!$E$2:$E$57,MATCH($N347,Документация!$F$2:$F$57,0)),0),N($F347))*(1-MEDIAN(0,N(ДисконтТендер),1)))</f>
        <v>2612.5</v>
      </c>
      <c r="T347" s="7">
        <f>IF($A347="","",IF(AND(LEFT($G347,3)="ДОК",$N347&lt;&gt;""),0,IF(AND(LEFT($G347,3)&lt;&gt;"ДОК",$N347&lt;&gt;""),IFERROR(INDEX(МАТЕРИАЛЫ!$H$2:$H$9000,MATCH($N347,МАТЕРИАЛЫ!$L$2:$L$9000,0))*IF(INDEX(МАТЕРИАЛЫ!$I$2:$I$9000,MATCH($N347,МАТЕРИАЛЫ!$L$2:$L$9000,0))="USD",КурсUSD,IF(INDEX(МАТЕРИАЛЫ!$I$2:$I$9000,MATCH($N347,МАТЕРИАЛЫ!$L$2:$L$9000,0))="EUR",КурсEUR,IF(INDEX(МАТЕРИАЛЫ!$I$2:$I$9000,MATCH($N347,МАТЕРИАЛЫ!$L$2:$L$9000,0))="CNY",КурсCNY,1)))*(1+N($H347)/100),0),N($O347))*(1-MEDIAN(0,N(ДисконтТендер),1))))</f>
        <v>0</v>
      </c>
      <c r="U347" t="str">
        <f>IF($L347="да",MAX($U$1:$U346)+1,"")</f>
        <v/>
      </c>
      <c r="V347" t="str">
        <f t="shared" si="38"/>
        <v>Р3</v>
      </c>
      <c r="W347" t="str">
        <f t="shared" si="39"/>
        <v/>
      </c>
      <c r="X347" t="str">
        <f t="shared" si="40"/>
        <v/>
      </c>
      <c r="Y347" s="4" t="str">
        <f>IF($A347="","",IF(AND(LEFT($G347,3)="ДОК",$N347&lt;&gt;""),IFERROR(INDEX(Документация!$G$2:$G$57,MATCH($N347,Документация!$F$2:$F$57,0)),$D347),$D347&amp;IF(AND(LEFT($G347,3)&lt;&gt;"ДОК",$N347&lt;&gt;"")," — "&amp;IFERROR(INDEX(МАТЕРИАЛЫ!$C$2:$C$9000,MATCH($N347,МАТЕРИАЛЫ!$L$2:$L$9000,0)),""),"")))</f>
        <v>Устройство ограждения из нержавеющей стали (стойка и поручень)</v>
      </c>
      <c r="Z347" t="str">
        <f t="shared" si="41"/>
        <v>Р3 · Внутренние строительные работы</v>
      </c>
    </row>
    <row r="348" spans="1:26" ht="28.8" x14ac:dyDescent="0.3">
      <c r="A348" t="s">
        <v>787</v>
      </c>
      <c r="B348" t="s">
        <v>394</v>
      </c>
      <c r="C348" t="s">
        <v>300</v>
      </c>
      <c r="D348" s="4" t="s">
        <v>788</v>
      </c>
      <c r="E348" t="s">
        <v>153</v>
      </c>
      <c r="F348" s="5">
        <v>670.77</v>
      </c>
      <c r="H348">
        <v>0</v>
      </c>
      <c r="I348" t="s">
        <v>53</v>
      </c>
      <c r="L348" s="6"/>
      <c r="M348" s="6"/>
      <c r="N348" s="6"/>
      <c r="O348" s="5"/>
      <c r="P348" s="7" t="str">
        <f t="shared" si="35"/>
        <v/>
      </c>
      <c r="Q348" s="7" t="str">
        <f t="shared" si="36"/>
        <v/>
      </c>
      <c r="R348" s="7" t="str">
        <f t="shared" si="37"/>
        <v/>
      </c>
      <c r="S348" s="7">
        <f>IF($A348="","",IF(AND(LEFT($G348,3)="ДОК",$N348&lt;&gt;""),IFERROR(INDEX(Документация!$E$2:$E$57,MATCH($N348,Документация!$F$2:$F$57,0)),0),N($F348))*(1-MEDIAN(0,N(ДисконтТендер),1)))</f>
        <v>670.77</v>
      </c>
      <c r="T348" s="7">
        <f>IF($A348="","",IF(AND(LEFT($G348,3)="ДОК",$N348&lt;&gt;""),0,IF(AND(LEFT($G348,3)&lt;&gt;"ДОК",$N348&lt;&gt;""),IFERROR(INDEX(МАТЕРИАЛЫ!$H$2:$H$9000,MATCH($N348,МАТЕРИАЛЫ!$L$2:$L$9000,0))*IF(INDEX(МАТЕРИАЛЫ!$I$2:$I$9000,MATCH($N348,МАТЕРИАЛЫ!$L$2:$L$9000,0))="USD",КурсUSD,IF(INDEX(МАТЕРИАЛЫ!$I$2:$I$9000,MATCH($N348,МАТЕРИАЛЫ!$L$2:$L$9000,0))="EUR",КурсEUR,IF(INDEX(МАТЕРИАЛЫ!$I$2:$I$9000,MATCH($N348,МАТЕРИАЛЫ!$L$2:$L$9000,0))="CNY",КурсCNY,1)))*(1+N($H348)/100),0),N($O348))*(1-MEDIAN(0,N(ДисконтТендер),1))))</f>
        <v>0</v>
      </c>
      <c r="U348" t="str">
        <f>IF($L348="да",MAX($U$1:$U347)+1,"")</f>
        <v/>
      </c>
      <c r="V348" t="str">
        <f t="shared" si="38"/>
        <v>Р3</v>
      </c>
      <c r="W348" t="str">
        <f t="shared" si="39"/>
        <v/>
      </c>
      <c r="X348" t="str">
        <f t="shared" si="40"/>
        <v/>
      </c>
      <c r="Y348" s="4" t="str">
        <f>IF($A348="","",IF(AND(LEFT($G348,3)="ДОК",$N348&lt;&gt;""),IFERROR(INDEX(Документация!$G$2:$G$57,MATCH($N348,Документация!$F$2:$F$57,0)),$D348),$D348&amp;IF(AND(LEFT($G348,3)&lt;&gt;"ДОК",$N348&lt;&gt;"")," — "&amp;IFERROR(INDEX(МАТЕРИАЛЫ!$C$2:$C$9000,MATCH($N348,МАТЕРИАЛЫ!$L$2:$L$9000,0)),""),"")))</f>
        <v>Установка отбойной доски из ламинированного ДСП, шириной до 600мм</v>
      </c>
      <c r="Z348" t="str">
        <f t="shared" si="41"/>
        <v>Р3 · Внутренние строительные работы</v>
      </c>
    </row>
    <row r="349" spans="1:26" x14ac:dyDescent="0.3">
      <c r="A349" t="s">
        <v>789</v>
      </c>
      <c r="B349" t="s">
        <v>394</v>
      </c>
      <c r="C349" t="s">
        <v>300</v>
      </c>
      <c r="D349" s="4" t="s">
        <v>790</v>
      </c>
      <c r="E349" t="s">
        <v>52</v>
      </c>
      <c r="F349" s="5">
        <v>2505.6</v>
      </c>
      <c r="G349" t="s">
        <v>572</v>
      </c>
      <c r="H349">
        <v>5</v>
      </c>
      <c r="I349" t="s">
        <v>53</v>
      </c>
      <c r="L349" s="6"/>
      <c r="M349" s="6"/>
      <c r="N349" s="6"/>
      <c r="O349" s="5"/>
      <c r="P349" s="7" t="str">
        <f t="shared" si="35"/>
        <v/>
      </c>
      <c r="Q349" s="7" t="str">
        <f t="shared" si="36"/>
        <v/>
      </c>
      <c r="R349" s="7" t="str">
        <f t="shared" si="37"/>
        <v/>
      </c>
      <c r="S349" s="7">
        <f>IF($A349="","",IF(AND(LEFT($G349,3)="ДОК",$N349&lt;&gt;""),IFERROR(INDEX(Документация!$E$2:$E$57,MATCH($N349,Документация!$F$2:$F$57,0)),0),N($F349))*(1-MEDIAN(0,N(ДисконтТендер),1)))</f>
        <v>2505.6</v>
      </c>
      <c r="T349" s="7">
        <f>IF($A349="","",IF(AND(LEFT($G349,3)="ДОК",$N349&lt;&gt;""),0,IF(AND(LEFT($G349,3)&lt;&gt;"ДОК",$N349&lt;&gt;""),IFERROR(INDEX(МАТЕРИАЛЫ!$H$2:$H$9000,MATCH($N349,МАТЕРИАЛЫ!$L$2:$L$9000,0))*IF(INDEX(МАТЕРИАЛЫ!$I$2:$I$9000,MATCH($N349,МАТЕРИАЛЫ!$L$2:$L$9000,0))="USD",КурсUSD,IF(INDEX(МАТЕРИАЛЫ!$I$2:$I$9000,MATCH($N349,МАТЕРИАЛЫ!$L$2:$L$9000,0))="EUR",КурсEUR,IF(INDEX(МАТЕРИАЛЫ!$I$2:$I$9000,MATCH($N349,МАТЕРИАЛЫ!$L$2:$L$9000,0))="CNY",КурсCNY,1)))*(1+N($H349)/100),0),N($O349))*(1-MEDIAN(0,N(ДисконтТендер),1))))</f>
        <v>0</v>
      </c>
      <c r="U349" t="str">
        <f>IF($L349="да",MAX($U$1:$U348)+1,"")</f>
        <v/>
      </c>
      <c r="V349" t="str">
        <f t="shared" si="38"/>
        <v>Р3</v>
      </c>
      <c r="W349" t="str">
        <f t="shared" si="39"/>
        <v/>
      </c>
      <c r="X349" t="str">
        <f t="shared" si="40"/>
        <v/>
      </c>
      <c r="Y349" s="4" t="str">
        <f>IF($A349="","",IF(AND(LEFT($G349,3)="ДОК",$N349&lt;&gt;""),IFERROR(INDEX(Документация!$G$2:$G$57,MATCH($N349,Документация!$F$2:$F$57,0)),$D349),$D349&amp;IF(AND(LEFT($G349,3)&lt;&gt;"ДОК",$N349&lt;&gt;"")," — "&amp;IFERROR(INDEX(МАТЕРИАЛЫ!$C$2:$C$9000,MATCH($N349,МАТЕРИАЛЫ!$L$2:$L$9000,0)),""),"")))</f>
        <v>Установка рольставни с электроприводом</v>
      </c>
      <c r="Z349" t="str">
        <f t="shared" si="41"/>
        <v>Р3 · Внутренние строительные работы</v>
      </c>
    </row>
    <row r="350" spans="1:26" x14ac:dyDescent="0.3">
      <c r="A350" t="s">
        <v>791</v>
      </c>
      <c r="B350" t="s">
        <v>394</v>
      </c>
      <c r="C350" t="s">
        <v>300</v>
      </c>
      <c r="D350" s="4" t="s">
        <v>792</v>
      </c>
      <c r="E350" t="s">
        <v>52</v>
      </c>
      <c r="F350" s="5">
        <v>1879.2</v>
      </c>
      <c r="G350" t="s">
        <v>572</v>
      </c>
      <c r="H350">
        <v>5</v>
      </c>
      <c r="I350" t="s">
        <v>53</v>
      </c>
      <c r="L350" s="6"/>
      <c r="M350" s="6"/>
      <c r="N350" s="6"/>
      <c r="O350" s="5"/>
      <c r="P350" s="7" t="str">
        <f t="shared" si="35"/>
        <v/>
      </c>
      <c r="Q350" s="7" t="str">
        <f t="shared" si="36"/>
        <v/>
      </c>
      <c r="R350" s="7" t="str">
        <f t="shared" si="37"/>
        <v/>
      </c>
      <c r="S350" s="7">
        <f>IF($A350="","",IF(AND(LEFT($G350,3)="ДОК",$N350&lt;&gt;""),IFERROR(INDEX(Документация!$E$2:$E$57,MATCH($N350,Документация!$F$2:$F$57,0)),0),N($F350))*(1-MEDIAN(0,N(ДисконтТендер),1)))</f>
        <v>1879.2</v>
      </c>
      <c r="T350" s="7">
        <f>IF($A350="","",IF(AND(LEFT($G350,3)="ДОК",$N350&lt;&gt;""),0,IF(AND(LEFT($G350,3)&lt;&gt;"ДОК",$N350&lt;&gt;""),IFERROR(INDEX(МАТЕРИАЛЫ!$H$2:$H$9000,MATCH($N350,МАТЕРИАЛЫ!$L$2:$L$9000,0))*IF(INDEX(МАТЕРИАЛЫ!$I$2:$I$9000,MATCH($N350,МАТЕРИАЛЫ!$L$2:$L$9000,0))="USD",КурсUSD,IF(INDEX(МАТЕРИАЛЫ!$I$2:$I$9000,MATCH($N350,МАТЕРИАЛЫ!$L$2:$L$9000,0))="EUR",КурсEUR,IF(INDEX(МАТЕРИАЛЫ!$I$2:$I$9000,MATCH($N350,МАТЕРИАЛЫ!$L$2:$L$9000,0))="CNY",КурсCNY,1)))*(1+N($H350)/100),0),N($O350))*(1-MEDIAN(0,N(ДисконтТендер),1))))</f>
        <v>0</v>
      </c>
      <c r="U350" t="str">
        <f>IF($L350="да",MAX($U$1:$U349)+1,"")</f>
        <v/>
      </c>
      <c r="V350" t="str">
        <f t="shared" si="38"/>
        <v>Р3</v>
      </c>
      <c r="W350" t="str">
        <f t="shared" si="39"/>
        <v/>
      </c>
      <c r="X350" t="str">
        <f t="shared" si="40"/>
        <v/>
      </c>
      <c r="Y350" s="4" t="str">
        <f>IF($A350="","",IF(AND(LEFT($G350,3)="ДОК",$N350&lt;&gt;""),IFERROR(INDEX(Документация!$G$2:$G$57,MATCH($N350,Документация!$F$2:$F$57,0)),$D350),$D350&amp;IF(AND(LEFT($G350,3)&lt;&gt;"ДОК",$N350&lt;&gt;"")," — "&amp;IFERROR(INDEX(МАТЕРИАЛЫ!$C$2:$C$9000,MATCH($N350,МАТЕРИАЛЫ!$L$2:$L$9000,0)),""),"")))</f>
        <v>Установка алюминиевой рольставни</v>
      </c>
      <c r="Z350" t="str">
        <f t="shared" si="41"/>
        <v>Р3 · Внутренние строительные работы</v>
      </c>
    </row>
    <row r="351" spans="1:26" x14ac:dyDescent="0.3">
      <c r="A351" t="s">
        <v>793</v>
      </c>
      <c r="B351" t="s">
        <v>394</v>
      </c>
      <c r="C351" t="s">
        <v>300</v>
      </c>
      <c r="D351" s="4" t="s">
        <v>794</v>
      </c>
      <c r="E351" t="s">
        <v>150</v>
      </c>
      <c r="F351" s="5">
        <v>2035.2</v>
      </c>
      <c r="H351">
        <v>0</v>
      </c>
      <c r="I351" t="s">
        <v>53</v>
      </c>
      <c r="L351" s="6"/>
      <c r="M351" s="6"/>
      <c r="N351" s="6"/>
      <c r="O351" s="5"/>
      <c r="P351" s="7" t="str">
        <f t="shared" si="35"/>
        <v/>
      </c>
      <c r="Q351" s="7" t="str">
        <f t="shared" si="36"/>
        <v/>
      </c>
      <c r="R351" s="7" t="str">
        <f t="shared" si="37"/>
        <v/>
      </c>
      <c r="S351" s="7">
        <f>IF($A351="","",IF(AND(LEFT($G351,3)="ДОК",$N351&lt;&gt;""),IFERROR(INDEX(Документация!$E$2:$E$57,MATCH($N351,Документация!$F$2:$F$57,0)),0),N($F351))*(1-MEDIAN(0,N(ДисконтТендер),1)))</f>
        <v>2035.2</v>
      </c>
      <c r="T351" s="7">
        <f>IF($A351="","",IF(AND(LEFT($G351,3)="ДОК",$N351&lt;&gt;""),0,IF(AND(LEFT($G351,3)&lt;&gt;"ДОК",$N351&lt;&gt;""),IFERROR(INDEX(МАТЕРИАЛЫ!$H$2:$H$9000,MATCH($N351,МАТЕРИАЛЫ!$L$2:$L$9000,0))*IF(INDEX(МАТЕРИАЛЫ!$I$2:$I$9000,MATCH($N351,МАТЕРИАЛЫ!$L$2:$L$9000,0))="USD",КурсUSD,IF(INDEX(МАТЕРИАЛЫ!$I$2:$I$9000,MATCH($N351,МАТЕРИАЛЫ!$L$2:$L$9000,0))="EUR",КурсEUR,IF(INDEX(МАТЕРИАЛЫ!$I$2:$I$9000,MATCH($N351,МАТЕРИАЛЫ!$L$2:$L$9000,0))="CNY",КурсCNY,1)))*(1+N($H351)/100),0),N($O351))*(1-MEDIAN(0,N(ДисконтТендер),1))))</f>
        <v>0</v>
      </c>
      <c r="U351" t="str">
        <f>IF($L351="да",MAX($U$1:$U350)+1,"")</f>
        <v/>
      </c>
      <c r="V351" t="str">
        <f t="shared" si="38"/>
        <v>Р3</v>
      </c>
      <c r="W351" t="str">
        <f t="shared" si="39"/>
        <v/>
      </c>
      <c r="X351" t="str">
        <f t="shared" si="40"/>
        <v/>
      </c>
      <c r="Y351" s="4" t="str">
        <f>IF($A351="","",IF(AND(LEFT($G351,3)="ДОК",$N351&lt;&gt;""),IFERROR(INDEX(Документация!$G$2:$G$57,MATCH($N351,Документация!$F$2:$F$57,0)),$D351),$D351&amp;IF(AND(LEFT($G351,3)&lt;&gt;"ДОК",$N351&lt;&gt;"")," — "&amp;IFERROR(INDEX(МАТЕРИАЛЫ!$C$2:$C$9000,MATCH($N351,МАТЕРИАЛЫ!$L$2:$L$9000,0)),""),"")))</f>
        <v>Заливка бетона М150</v>
      </c>
      <c r="Z351" t="str">
        <f t="shared" si="41"/>
        <v>Р3 · Внутренние строительные работы</v>
      </c>
    </row>
    <row r="352" spans="1:26" x14ac:dyDescent="0.3">
      <c r="A352" t="s">
        <v>795</v>
      </c>
      <c r="B352" t="s">
        <v>394</v>
      </c>
      <c r="C352" t="s">
        <v>300</v>
      </c>
      <c r="D352" s="4" t="s">
        <v>796</v>
      </c>
      <c r="E352" t="s">
        <v>52</v>
      </c>
      <c r="F352" s="5">
        <v>962.5</v>
      </c>
      <c r="H352">
        <v>0</v>
      </c>
      <c r="I352" t="s">
        <v>53</v>
      </c>
      <c r="L352" s="6"/>
      <c r="M352" s="6"/>
      <c r="N352" s="6"/>
      <c r="O352" s="5"/>
      <c r="P352" s="7" t="str">
        <f t="shared" si="35"/>
        <v/>
      </c>
      <c r="Q352" s="7" t="str">
        <f t="shared" si="36"/>
        <v/>
      </c>
      <c r="R352" s="7" t="str">
        <f t="shared" si="37"/>
        <v/>
      </c>
      <c r="S352" s="7">
        <f>IF($A352="","",IF(AND(LEFT($G352,3)="ДОК",$N352&lt;&gt;""),IFERROR(INDEX(Документация!$E$2:$E$57,MATCH($N352,Документация!$F$2:$F$57,0)),0),N($F352))*(1-MEDIAN(0,N(ДисконтТендер),1)))</f>
        <v>962.5</v>
      </c>
      <c r="T352" s="7">
        <f>IF($A352="","",IF(AND(LEFT($G352,3)="ДОК",$N352&lt;&gt;""),0,IF(AND(LEFT($G352,3)&lt;&gt;"ДОК",$N352&lt;&gt;""),IFERROR(INDEX(МАТЕРИАЛЫ!$H$2:$H$9000,MATCH($N352,МАТЕРИАЛЫ!$L$2:$L$9000,0))*IF(INDEX(МАТЕРИАЛЫ!$I$2:$I$9000,MATCH($N352,МАТЕРИАЛЫ!$L$2:$L$9000,0))="USD",КурсUSD,IF(INDEX(МАТЕРИАЛЫ!$I$2:$I$9000,MATCH($N352,МАТЕРИАЛЫ!$L$2:$L$9000,0))="EUR",КурсEUR,IF(INDEX(МАТЕРИАЛЫ!$I$2:$I$9000,MATCH($N352,МАТЕРИАЛЫ!$L$2:$L$9000,0))="CNY",КурсCNY,1)))*(1+N($H352)/100),0),N($O352))*(1-MEDIAN(0,N(ДисконтТендер),1))))</f>
        <v>0</v>
      </c>
      <c r="U352" t="str">
        <f>IF($L352="да",MAX($U$1:$U351)+1,"")</f>
        <v/>
      </c>
      <c r="V352" t="str">
        <f t="shared" si="38"/>
        <v>Р3</v>
      </c>
      <c r="W352" t="str">
        <f t="shared" si="39"/>
        <v/>
      </c>
      <c r="X352" t="str">
        <f t="shared" si="40"/>
        <v/>
      </c>
      <c r="Y352" s="4" t="str">
        <f>IF($A352="","",IF(AND(LEFT($G352,3)="ДОК",$N352&lt;&gt;""),IFERROR(INDEX(Документация!$G$2:$G$57,MATCH($N352,Документация!$F$2:$F$57,0)),$D352),$D352&amp;IF(AND(LEFT($G352,3)&lt;&gt;"ДОК",$N352&lt;&gt;"")," — "&amp;IFERROR(INDEX(МАТЕРИАЛЫ!$C$2:$C$9000,MATCH($N352,МАТЕРИАЛЫ!$L$2:$L$9000,0)),""),"")))</f>
        <v>Монтаж металлического листа толщ. 4 мм</v>
      </c>
      <c r="Z352" t="str">
        <f t="shared" si="41"/>
        <v>Р3 · Внутренние строительные работы</v>
      </c>
    </row>
    <row r="353" spans="1:26" x14ac:dyDescent="0.3">
      <c r="A353" t="s">
        <v>797</v>
      </c>
      <c r="B353" t="s">
        <v>394</v>
      </c>
      <c r="C353" t="s">
        <v>300</v>
      </c>
      <c r="D353" s="4" t="s">
        <v>798</v>
      </c>
      <c r="E353" t="s">
        <v>298</v>
      </c>
      <c r="F353" s="5">
        <v>125280</v>
      </c>
      <c r="H353">
        <v>0</v>
      </c>
      <c r="I353" t="s">
        <v>53</v>
      </c>
      <c r="L353" s="6"/>
      <c r="M353" s="6"/>
      <c r="N353" s="6"/>
      <c r="O353" s="5"/>
      <c r="P353" s="7" t="str">
        <f t="shared" si="35"/>
        <v/>
      </c>
      <c r="Q353" s="7" t="str">
        <f t="shared" si="36"/>
        <v/>
      </c>
      <c r="R353" s="7" t="str">
        <f t="shared" si="37"/>
        <v/>
      </c>
      <c r="S353" s="7">
        <f>IF($A353="","",IF(AND(LEFT($G353,3)="ДОК",$N353&lt;&gt;""),IFERROR(INDEX(Документация!$E$2:$E$57,MATCH($N353,Документация!$F$2:$F$57,0)),0),N($F353))*(1-MEDIAN(0,N(ДисконтТендер),1)))</f>
        <v>125280</v>
      </c>
      <c r="T353" s="7">
        <f>IF($A353="","",IF(AND(LEFT($G353,3)="ДОК",$N353&lt;&gt;""),0,IF(AND(LEFT($G353,3)&lt;&gt;"ДОК",$N353&lt;&gt;""),IFERROR(INDEX(МАТЕРИАЛЫ!$H$2:$H$9000,MATCH($N353,МАТЕРИАЛЫ!$L$2:$L$9000,0))*IF(INDEX(МАТЕРИАЛЫ!$I$2:$I$9000,MATCH($N353,МАТЕРИАЛЫ!$L$2:$L$9000,0))="USD",КурсUSD,IF(INDEX(МАТЕРИАЛЫ!$I$2:$I$9000,MATCH($N353,МАТЕРИАЛЫ!$L$2:$L$9000,0))="EUR",КурсEUR,IF(INDEX(МАТЕРИАЛЫ!$I$2:$I$9000,MATCH($N353,МАТЕРИАЛЫ!$L$2:$L$9000,0))="CNY",КурсCNY,1)))*(1+N($H353)/100),0),N($O353))*(1-MEDIAN(0,N(ДисконтТендер),1))))</f>
        <v>0</v>
      </c>
      <c r="U353" t="str">
        <f>IF($L353="да",MAX($U$1:$U352)+1,"")</f>
        <v/>
      </c>
      <c r="V353" t="str">
        <f t="shared" si="38"/>
        <v>Р3</v>
      </c>
      <c r="W353" t="str">
        <f t="shared" si="39"/>
        <v/>
      </c>
      <c r="X353" t="str">
        <f t="shared" si="40"/>
        <v/>
      </c>
      <c r="Y353" s="4" t="str">
        <f>IF($A353="","",IF(AND(LEFT($G353,3)="ДОК",$N353&lt;&gt;""),IFERROR(INDEX(Документация!$G$2:$G$57,MATCH($N353,Документация!$F$2:$F$57,0)),$D353),$D353&amp;IF(AND(LEFT($G353,3)&lt;&gt;"ДОК",$N353&lt;&gt;"")," — "&amp;IFERROR(INDEX(МАТЕРИАЛЫ!$C$2:$C$9000,MATCH($N353,МАТЕРИАЛЫ!$L$2:$L$9000,0)),""),"")))</f>
        <v>Изготовление и монтаж металлоконструкций</v>
      </c>
      <c r="Z353" t="str">
        <f t="shared" si="41"/>
        <v>Р3 · Внутренние строительные работы</v>
      </c>
    </row>
    <row r="354" spans="1:26" ht="43.2" x14ac:dyDescent="0.3">
      <c r="A354" t="s">
        <v>799</v>
      </c>
      <c r="B354" t="s">
        <v>394</v>
      </c>
      <c r="C354" t="s">
        <v>300</v>
      </c>
      <c r="D354" s="4" t="s">
        <v>800</v>
      </c>
      <c r="E354" t="s">
        <v>52</v>
      </c>
      <c r="F354" s="5">
        <v>2860</v>
      </c>
      <c r="H354">
        <v>0</v>
      </c>
      <c r="I354" t="s">
        <v>53</v>
      </c>
      <c r="L354" s="6"/>
      <c r="M354" s="6"/>
      <c r="N354" s="6"/>
      <c r="O354" s="5"/>
      <c r="P354" s="7" t="str">
        <f t="shared" si="35"/>
        <v/>
      </c>
      <c r="Q354" s="7" t="str">
        <f t="shared" si="36"/>
        <v/>
      </c>
      <c r="R354" s="7" t="str">
        <f t="shared" si="37"/>
        <v/>
      </c>
      <c r="S354" s="7">
        <f>IF($A354="","",IF(AND(LEFT($G354,3)="ДОК",$N354&lt;&gt;""),IFERROR(INDEX(Документация!$E$2:$E$57,MATCH($N354,Документация!$F$2:$F$57,0)),0),N($F354))*(1-MEDIAN(0,N(ДисконтТендер),1)))</f>
        <v>2860</v>
      </c>
      <c r="T354" s="7">
        <f>IF($A354="","",IF(AND(LEFT($G354,3)="ДОК",$N354&lt;&gt;""),0,IF(AND(LEFT($G354,3)&lt;&gt;"ДОК",$N354&lt;&gt;""),IFERROR(INDEX(МАТЕРИАЛЫ!$H$2:$H$9000,MATCH($N354,МАТЕРИАЛЫ!$L$2:$L$9000,0))*IF(INDEX(МАТЕРИАЛЫ!$I$2:$I$9000,MATCH($N354,МАТЕРИАЛЫ!$L$2:$L$9000,0))="USD",КурсUSD,IF(INDEX(МАТЕРИАЛЫ!$I$2:$I$9000,MATCH($N354,МАТЕРИАЛЫ!$L$2:$L$9000,0))="EUR",КурсEUR,IF(INDEX(МАТЕРИАЛЫ!$I$2:$I$9000,MATCH($N354,МАТЕРИАЛЫ!$L$2:$L$9000,0))="CNY",КурсCNY,1)))*(1+N($H354)/100),0),N($O354))*(1-MEDIAN(0,N(ДисконтТендер),1))))</f>
        <v>0</v>
      </c>
      <c r="U354" t="str">
        <f>IF($L354="да",MAX($U$1:$U353)+1,"")</f>
        <v/>
      </c>
      <c r="V354" t="str">
        <f t="shared" si="38"/>
        <v>Р3</v>
      </c>
      <c r="W354" t="str">
        <f t="shared" si="39"/>
        <v/>
      </c>
      <c r="X354" t="str">
        <f t="shared" si="40"/>
        <v/>
      </c>
      <c r="Y354" s="4" t="str">
        <f>IF($A354="","",IF(AND(LEFT($G354,3)="ДОК",$N354&lt;&gt;""),IFERROR(INDEX(Документация!$G$2:$G$57,MATCH($N354,Документация!$F$2:$F$57,0)),$D354),$D354&amp;IF(AND(LEFT($G354,3)&lt;&gt;"ДОК",$N354&lt;&gt;"")," — "&amp;IFERROR(INDEX(МАТЕРИАЛЫ!$C$2:$C$9000,MATCH($N354,МАТЕРИАЛЫ!$L$2:$L$9000,0)),""),"")))</f>
        <v>Устройство технологических проходов над помещениями из профильной трубы и просечной сетки.</v>
      </c>
      <c r="Z354" t="str">
        <f t="shared" si="41"/>
        <v>Р3 · Внутренние строительные работы</v>
      </c>
    </row>
    <row r="355" spans="1:26" x14ac:dyDescent="0.3">
      <c r="A355" t="s">
        <v>801</v>
      </c>
      <c r="B355" t="s">
        <v>394</v>
      </c>
      <c r="C355" t="s">
        <v>300</v>
      </c>
      <c r="D355" s="4" t="s">
        <v>802</v>
      </c>
      <c r="E355" t="s">
        <v>52</v>
      </c>
      <c r="F355" s="5">
        <v>371.49</v>
      </c>
      <c r="H355">
        <v>0</v>
      </c>
      <c r="I355" t="s">
        <v>53</v>
      </c>
      <c r="L355" s="6"/>
      <c r="M355" s="6"/>
      <c r="N355" s="6"/>
      <c r="O355" s="5"/>
      <c r="P355" s="7" t="str">
        <f t="shared" si="35"/>
        <v/>
      </c>
      <c r="Q355" s="7" t="str">
        <f t="shared" si="36"/>
        <v/>
      </c>
      <c r="R355" s="7" t="str">
        <f t="shared" si="37"/>
        <v/>
      </c>
      <c r="S355" s="7">
        <f>IF($A355="","",IF(AND(LEFT($G355,3)="ДОК",$N355&lt;&gt;""),IFERROR(INDEX(Документация!$E$2:$E$57,MATCH($N355,Документация!$F$2:$F$57,0)),0),N($F355))*(1-MEDIAN(0,N(ДисконтТендер),1)))</f>
        <v>371.49</v>
      </c>
      <c r="T355" s="7">
        <f>IF($A355="","",IF(AND(LEFT($G355,3)="ДОК",$N355&lt;&gt;""),0,IF(AND(LEFT($G355,3)&lt;&gt;"ДОК",$N355&lt;&gt;""),IFERROR(INDEX(МАТЕРИАЛЫ!$H$2:$H$9000,MATCH($N355,МАТЕРИАЛЫ!$L$2:$L$9000,0))*IF(INDEX(МАТЕРИАЛЫ!$I$2:$I$9000,MATCH($N355,МАТЕРИАЛЫ!$L$2:$L$9000,0))="USD",КурсUSD,IF(INDEX(МАТЕРИАЛЫ!$I$2:$I$9000,MATCH($N355,МАТЕРИАЛЫ!$L$2:$L$9000,0))="EUR",КурсEUR,IF(INDEX(МАТЕРИАЛЫ!$I$2:$I$9000,MATCH($N355,МАТЕРИАЛЫ!$L$2:$L$9000,0))="CNY",КурсCNY,1)))*(1+N($H355)/100),0),N($O355))*(1-MEDIAN(0,N(ДисконтТендер),1))))</f>
        <v>0</v>
      </c>
      <c r="U355" t="str">
        <f>IF($L355="да",MAX($U$1:$U354)+1,"")</f>
        <v/>
      </c>
      <c r="V355" t="str">
        <f t="shared" si="38"/>
        <v>Р3</v>
      </c>
      <c r="W355" t="str">
        <f t="shared" si="39"/>
        <v/>
      </c>
      <c r="X355" t="str">
        <f t="shared" si="40"/>
        <v/>
      </c>
      <c r="Y355" s="4" t="str">
        <f>IF($A355="","",IF(AND(LEFT($G355,3)="ДОК",$N355&lt;&gt;""),IFERROR(INDEX(Документация!$G$2:$G$57,MATCH($N355,Документация!$F$2:$F$57,0)),$D355),$D355&amp;IF(AND(LEFT($G355,3)&lt;&gt;"ДОК",$N355&lt;&gt;"")," — "&amp;IFERROR(INDEX(МАТЕРИАЛЫ!$C$2:$C$9000,MATCH($N355,МАТЕРИАЛЫ!$L$2:$L$9000,0)),""),"")))</f>
        <v>Монтаж мобильных лесов или тура</v>
      </c>
      <c r="Z355" t="str">
        <f t="shared" si="41"/>
        <v>Р3 · Внутренние строительные работы</v>
      </c>
    </row>
    <row r="356" spans="1:26" ht="28.8" x14ac:dyDescent="0.3">
      <c r="A356" t="s">
        <v>803</v>
      </c>
      <c r="B356" t="s">
        <v>394</v>
      </c>
      <c r="C356" t="s">
        <v>300</v>
      </c>
      <c r="D356" s="4" t="s">
        <v>804</v>
      </c>
      <c r="E356" t="s">
        <v>52</v>
      </c>
      <c r="F356" s="5">
        <v>63.95</v>
      </c>
      <c r="H356">
        <v>0</v>
      </c>
      <c r="I356" t="s">
        <v>53</v>
      </c>
      <c r="L356" s="6"/>
      <c r="M356" s="6"/>
      <c r="N356" s="6"/>
      <c r="O356" s="5"/>
      <c r="P356" s="7" t="str">
        <f t="shared" si="35"/>
        <v/>
      </c>
      <c r="Q356" s="7" t="str">
        <f t="shared" si="36"/>
        <v/>
      </c>
      <c r="R356" s="7" t="str">
        <f t="shared" si="37"/>
        <v/>
      </c>
      <c r="S356" s="7">
        <f>IF($A356="","",IF(AND(LEFT($G356,3)="ДОК",$N356&lt;&gt;""),IFERROR(INDEX(Документация!$E$2:$E$57,MATCH($N356,Документация!$F$2:$F$57,0)),0),N($F356))*(1-MEDIAN(0,N(ДисконтТендер),1)))</f>
        <v>63.95</v>
      </c>
      <c r="T356" s="7">
        <f>IF($A356="","",IF(AND(LEFT($G356,3)="ДОК",$N356&lt;&gt;""),0,IF(AND(LEFT($G356,3)&lt;&gt;"ДОК",$N356&lt;&gt;""),IFERROR(INDEX(МАТЕРИАЛЫ!$H$2:$H$9000,MATCH($N356,МАТЕРИАЛЫ!$L$2:$L$9000,0))*IF(INDEX(МАТЕРИАЛЫ!$I$2:$I$9000,MATCH($N356,МАТЕРИАЛЫ!$L$2:$L$9000,0))="USD",КурсUSD,IF(INDEX(МАТЕРИАЛЫ!$I$2:$I$9000,MATCH($N356,МАТЕРИАЛЫ!$L$2:$L$9000,0))="EUR",КурсEUR,IF(INDEX(МАТЕРИАЛЫ!$I$2:$I$9000,MATCH($N356,МАТЕРИАЛЫ!$L$2:$L$9000,0))="CNY",КурсCNY,1)))*(1+N($H356)/100),0),N($O356))*(1-MEDIAN(0,N(ДисконтТендер),1))))</f>
        <v>0</v>
      </c>
      <c r="U356" t="str">
        <f>IF($L356="да",MAX($U$1:$U355)+1,"")</f>
        <v/>
      </c>
      <c r="V356" t="str">
        <f t="shared" si="38"/>
        <v>Р3</v>
      </c>
      <c r="W356" t="str">
        <f t="shared" si="39"/>
        <v/>
      </c>
      <c r="X356" t="str">
        <f t="shared" si="40"/>
        <v/>
      </c>
      <c r="Y356" s="4" t="str">
        <f>IF($A356="","",IF(AND(LEFT($G356,3)="ДОК",$N356&lt;&gt;""),IFERROR(INDEX(Документация!$G$2:$G$57,MATCH($N356,Документация!$F$2:$F$57,0)),$D356),$D356&amp;IF(AND(LEFT($G356,3)&lt;&gt;"ДОК",$N356&lt;&gt;"")," — "&amp;IFERROR(INDEX(МАТЕРИАЛЫ!$C$2:$C$9000,MATCH($N356,МАТЕРИАЛЫ!$L$2:$L$9000,0)),""),"")))</f>
        <v>Укрытие мебели и перегородок пленкой полиэтиленовой на время производства работ</v>
      </c>
      <c r="Z356" t="str">
        <f t="shared" si="41"/>
        <v>Р3 · Внутренние строительные работы</v>
      </c>
    </row>
    <row r="357" spans="1:26" x14ac:dyDescent="0.3">
      <c r="A357" t="s">
        <v>805</v>
      </c>
      <c r="B357" t="s">
        <v>394</v>
      </c>
      <c r="C357" t="s">
        <v>300</v>
      </c>
      <c r="D357" s="4" t="s">
        <v>806</v>
      </c>
      <c r="E357" t="s">
        <v>52</v>
      </c>
      <c r="F357" s="5">
        <v>626.4</v>
      </c>
      <c r="H357">
        <v>0</v>
      </c>
      <c r="I357" t="s">
        <v>53</v>
      </c>
      <c r="L357" s="6"/>
      <c r="M357" s="6"/>
      <c r="N357" s="6"/>
      <c r="O357" s="5"/>
      <c r="P357" s="7" t="str">
        <f t="shared" si="35"/>
        <v/>
      </c>
      <c r="Q357" s="7" t="str">
        <f t="shared" si="36"/>
        <v/>
      </c>
      <c r="R357" s="7" t="str">
        <f t="shared" si="37"/>
        <v/>
      </c>
      <c r="S357" s="7">
        <f>IF($A357="","",IF(AND(LEFT($G357,3)="ДОК",$N357&lt;&gt;""),IFERROR(INDEX(Документация!$E$2:$E$57,MATCH($N357,Документация!$F$2:$F$57,0)),0),N($F357))*(1-MEDIAN(0,N(ДисконтТендер),1)))</f>
        <v>626.4</v>
      </c>
      <c r="T357" s="7">
        <f>IF($A357="","",IF(AND(LEFT($G357,3)="ДОК",$N357&lt;&gt;""),0,IF(AND(LEFT($G357,3)&lt;&gt;"ДОК",$N357&lt;&gt;""),IFERROR(INDEX(МАТЕРИАЛЫ!$H$2:$H$9000,MATCH($N357,МАТЕРИАЛЫ!$L$2:$L$9000,0))*IF(INDEX(МАТЕРИАЛЫ!$I$2:$I$9000,MATCH($N357,МАТЕРИАЛЫ!$L$2:$L$9000,0))="USD",КурсUSD,IF(INDEX(МАТЕРИАЛЫ!$I$2:$I$9000,MATCH($N357,МАТЕРИАЛЫ!$L$2:$L$9000,0))="EUR",КурсEUR,IF(INDEX(МАТЕРИАЛЫ!$I$2:$I$9000,MATCH($N357,МАТЕРИАЛЫ!$L$2:$L$9000,0))="CNY",КурсCNY,1)))*(1+N($H357)/100),0),N($O357))*(1-MEDIAN(0,N(ДисконтТендер),1))))</f>
        <v>0</v>
      </c>
      <c r="U357" t="str">
        <f>IF($L357="да",MAX($U$1:$U356)+1,"")</f>
        <v/>
      </c>
      <c r="V357" t="str">
        <f t="shared" si="38"/>
        <v>Р3</v>
      </c>
      <c r="W357" t="str">
        <f t="shared" si="39"/>
        <v/>
      </c>
      <c r="X357" t="str">
        <f t="shared" si="40"/>
        <v/>
      </c>
      <c r="Y357" s="4" t="str">
        <f>IF($A357="","",IF(AND(LEFT($G357,3)="ДОК",$N357&lt;&gt;""),IFERROR(INDEX(Документация!$G$2:$G$57,MATCH($N357,Документация!$F$2:$F$57,0)),$D357),$D357&amp;IF(AND(LEFT($G357,3)&lt;&gt;"ДОК",$N357&lt;&gt;"")," — "&amp;IFERROR(INDEX(МАТЕРИАЛЫ!$C$2:$C$9000,MATCH($N357,МАТЕРИАЛЫ!$L$2:$L$9000,0)),""),"")))</f>
        <v>Монтаж экрана из поликарбоната.</v>
      </c>
      <c r="Z357" t="str">
        <f t="shared" si="41"/>
        <v>Р3 · Внутренние строительные работы</v>
      </c>
    </row>
    <row r="358" spans="1:26" x14ac:dyDescent="0.3">
      <c r="A358" t="s">
        <v>807</v>
      </c>
      <c r="B358" t="s">
        <v>394</v>
      </c>
      <c r="C358" t="s">
        <v>300</v>
      </c>
      <c r="D358" s="4" t="s">
        <v>808</v>
      </c>
      <c r="E358" t="s">
        <v>114</v>
      </c>
      <c r="F358" s="5">
        <v>730.76</v>
      </c>
      <c r="H358">
        <v>0</v>
      </c>
      <c r="I358" t="s">
        <v>53</v>
      </c>
      <c r="L358" s="6"/>
      <c r="M358" s="6"/>
      <c r="N358" s="6"/>
      <c r="O358" s="5"/>
      <c r="P358" s="7" t="str">
        <f t="shared" si="35"/>
        <v/>
      </c>
      <c r="Q358" s="7" t="str">
        <f t="shared" si="36"/>
        <v/>
      </c>
      <c r="R358" s="7" t="str">
        <f t="shared" si="37"/>
        <v/>
      </c>
      <c r="S358" s="7">
        <f>IF($A358="","",IF(AND(LEFT($G358,3)="ДОК",$N358&lt;&gt;""),IFERROR(INDEX(Документация!$E$2:$E$57,MATCH($N358,Документация!$F$2:$F$57,0)),0),N($F358))*(1-MEDIAN(0,N(ДисконтТендер),1)))</f>
        <v>730.76</v>
      </c>
      <c r="T358" s="7">
        <f>IF($A358="","",IF(AND(LEFT($G358,3)="ДОК",$N358&lt;&gt;""),0,IF(AND(LEFT($G358,3)&lt;&gt;"ДОК",$N358&lt;&gt;""),IFERROR(INDEX(МАТЕРИАЛЫ!$H$2:$H$9000,MATCH($N358,МАТЕРИАЛЫ!$L$2:$L$9000,0))*IF(INDEX(МАТЕРИАЛЫ!$I$2:$I$9000,MATCH($N358,МАТЕРИАЛЫ!$L$2:$L$9000,0))="USD",КурсUSD,IF(INDEX(МАТЕРИАЛЫ!$I$2:$I$9000,MATCH($N358,МАТЕРИАЛЫ!$L$2:$L$9000,0))="EUR",КурсEUR,IF(INDEX(МАТЕРИАЛЫ!$I$2:$I$9000,MATCH($N358,МАТЕРИАЛЫ!$L$2:$L$9000,0))="CNY",КурсCNY,1)))*(1+N($H358)/100),0),N($O358))*(1-MEDIAN(0,N(ДисконтТендер),1))))</f>
        <v>0</v>
      </c>
      <c r="U358" t="str">
        <f>IF($L358="да",MAX($U$1:$U357)+1,"")</f>
        <v/>
      </c>
      <c r="V358" t="str">
        <f t="shared" si="38"/>
        <v>Р3</v>
      </c>
      <c r="W358" t="str">
        <f t="shared" si="39"/>
        <v/>
      </c>
      <c r="X358" t="str">
        <f t="shared" si="40"/>
        <v/>
      </c>
      <c r="Y358" s="4" t="str">
        <f>IF($A358="","",IF(AND(LEFT($G358,3)="ДОК",$N358&lt;&gt;""),IFERROR(INDEX(Документация!$G$2:$G$57,MATCH($N358,Документация!$F$2:$F$57,0)),$D358),$D358&amp;IF(AND(LEFT($G358,3)&lt;&gt;"ДОК",$N358&lt;&gt;"")," — "&amp;IFERROR(INDEX(МАТЕРИАЛЫ!$C$2:$C$9000,MATCH($N358,МАТЕРИАЛЫ!$L$2:$L$9000,0)),""),"")))</f>
        <v>Лючки ревизии потайные</v>
      </c>
      <c r="Z358" t="str">
        <f t="shared" si="41"/>
        <v>Р3 · Внутренние строительные работы</v>
      </c>
    </row>
    <row r="359" spans="1:26" x14ac:dyDescent="0.3">
      <c r="A359" t="s">
        <v>809</v>
      </c>
      <c r="B359" t="s">
        <v>394</v>
      </c>
      <c r="C359" t="s">
        <v>300</v>
      </c>
      <c r="D359" s="4" t="s">
        <v>810</v>
      </c>
      <c r="E359" t="s">
        <v>52</v>
      </c>
      <c r="F359" s="5">
        <v>381.78</v>
      </c>
      <c r="G359" t="s">
        <v>498</v>
      </c>
      <c r="H359">
        <v>5</v>
      </c>
      <c r="I359" t="s">
        <v>53</v>
      </c>
      <c r="L359" s="6"/>
      <c r="M359" s="6"/>
      <c r="N359" s="6"/>
      <c r="O359" s="5"/>
      <c r="P359" s="7" t="str">
        <f t="shared" si="35"/>
        <v/>
      </c>
      <c r="Q359" s="7" t="str">
        <f t="shared" si="36"/>
        <v/>
      </c>
      <c r="R359" s="7" t="str">
        <f t="shared" si="37"/>
        <v/>
      </c>
      <c r="S359" s="7">
        <f>IF($A359="","",IF(AND(LEFT($G359,3)="ДОК",$N359&lt;&gt;""),IFERROR(INDEX(Документация!$E$2:$E$57,MATCH($N359,Документация!$F$2:$F$57,0)),0),N($F359))*(1-MEDIAN(0,N(ДисконтТендер),1)))</f>
        <v>381.78</v>
      </c>
      <c r="T359" s="7">
        <f>IF($A359="","",IF(AND(LEFT($G359,3)="ДОК",$N359&lt;&gt;""),0,IF(AND(LEFT($G359,3)&lt;&gt;"ДОК",$N359&lt;&gt;""),IFERROR(INDEX(МАТЕРИАЛЫ!$H$2:$H$9000,MATCH($N359,МАТЕРИАЛЫ!$L$2:$L$9000,0))*IF(INDEX(МАТЕРИАЛЫ!$I$2:$I$9000,MATCH($N359,МАТЕРИАЛЫ!$L$2:$L$9000,0))="USD",КурсUSD,IF(INDEX(МАТЕРИАЛЫ!$I$2:$I$9000,MATCH($N359,МАТЕРИАЛЫ!$L$2:$L$9000,0))="EUR",КурсEUR,IF(INDEX(МАТЕРИАЛЫ!$I$2:$I$9000,MATCH($N359,МАТЕРИАЛЫ!$L$2:$L$9000,0))="CNY",КурсCNY,1)))*(1+N($H359)/100),0),N($O359))*(1-MEDIAN(0,N(ДисконтТендер),1))))</f>
        <v>0</v>
      </c>
      <c r="U359" t="str">
        <f>IF($L359="да",MAX($U$1:$U358)+1,"")</f>
        <v/>
      </c>
      <c r="V359" t="str">
        <f t="shared" si="38"/>
        <v>Р3</v>
      </c>
      <c r="W359" t="str">
        <f t="shared" si="39"/>
        <v/>
      </c>
      <c r="X359" t="str">
        <f t="shared" si="40"/>
        <v/>
      </c>
      <c r="Y359" s="4" t="str">
        <f>IF($A359="","",IF(AND(LEFT($G359,3)="ДОК",$N359&lt;&gt;""),IFERROR(INDEX(Документация!$G$2:$G$57,MATCH($N359,Документация!$F$2:$F$57,0)),$D359),$D359&amp;IF(AND(LEFT($G359,3)&lt;&gt;"ДОК",$N359&lt;&gt;"")," — "&amp;IFERROR(INDEX(МАТЕРИАЛЫ!$C$2:$C$9000,MATCH($N359,МАТЕРИАЛЫ!$L$2:$L$9000,0)),""),"")))</f>
        <v>Окраска по металлу с учетом подготовки</v>
      </c>
      <c r="Z359" t="str">
        <f t="shared" si="41"/>
        <v>Р3 · Внутренние строительные работы</v>
      </c>
    </row>
    <row r="360" spans="1:26" ht="28.8" x14ac:dyDescent="0.3">
      <c r="A360" t="s">
        <v>811</v>
      </c>
      <c r="B360" t="s">
        <v>394</v>
      </c>
      <c r="C360" t="s">
        <v>300</v>
      </c>
      <c r="D360" s="4" t="s">
        <v>812</v>
      </c>
      <c r="E360" t="s">
        <v>52</v>
      </c>
      <c r="F360" s="5">
        <v>11400.52</v>
      </c>
      <c r="H360">
        <v>0</v>
      </c>
      <c r="I360" t="s">
        <v>53</v>
      </c>
      <c r="L360" s="6"/>
      <c r="M360" s="6"/>
      <c r="N360" s="6"/>
      <c r="O360" s="5"/>
      <c r="P360" s="7" t="str">
        <f t="shared" si="35"/>
        <v/>
      </c>
      <c r="Q360" s="7" t="str">
        <f t="shared" si="36"/>
        <v/>
      </c>
      <c r="R360" s="7" t="str">
        <f t="shared" si="37"/>
        <v/>
      </c>
      <c r="S360" s="7">
        <f>IF($A360="","",IF(AND(LEFT($G360,3)="ДОК",$N360&lt;&gt;""),IFERROR(INDEX(Документация!$E$2:$E$57,MATCH($N360,Документация!$F$2:$F$57,0)),0),N($F360))*(1-MEDIAN(0,N(ДисконтТендер),1)))</f>
        <v>11400.52</v>
      </c>
      <c r="T360" s="7">
        <f>IF($A360="","",IF(AND(LEFT($G360,3)="ДОК",$N360&lt;&gt;""),0,IF(AND(LEFT($G360,3)&lt;&gt;"ДОК",$N360&lt;&gt;""),IFERROR(INDEX(МАТЕРИАЛЫ!$H$2:$H$9000,MATCH($N360,МАТЕРИАЛЫ!$L$2:$L$9000,0))*IF(INDEX(МАТЕРИАЛЫ!$I$2:$I$9000,MATCH($N360,МАТЕРИАЛЫ!$L$2:$L$9000,0))="USD",КурсUSD,IF(INDEX(МАТЕРИАЛЫ!$I$2:$I$9000,MATCH($N360,МАТЕРИАЛЫ!$L$2:$L$9000,0))="EUR",КурсEUR,IF(INDEX(МАТЕРИАЛЫ!$I$2:$I$9000,MATCH($N360,МАТЕРИАЛЫ!$L$2:$L$9000,0))="CNY",КурсCNY,1)))*(1+N($H360)/100),0),N($O360))*(1-MEDIAN(0,N(ДисконтТендер),1))))</f>
        <v>0</v>
      </c>
      <c r="U360" t="str">
        <f>IF($L360="да",MAX($U$1:$U359)+1,"")</f>
        <v/>
      </c>
      <c r="V360" t="str">
        <f t="shared" si="38"/>
        <v>Р3</v>
      </c>
      <c r="W360" t="str">
        <f t="shared" si="39"/>
        <v/>
      </c>
      <c r="X360" t="str">
        <f t="shared" si="40"/>
        <v/>
      </c>
      <c r="Y360" s="4" t="str">
        <f>IF($A360="","",IF(AND(LEFT($G360,3)="ДОК",$N360&lt;&gt;""),IFERROR(INDEX(Документация!$G$2:$G$57,MATCH($N360,Документация!$F$2:$F$57,0)),$D360),$D360&amp;IF(AND(LEFT($G360,3)&lt;&gt;"ДОК",$N360&lt;&gt;"")," — "&amp;IFERROR(INDEX(МАТЕРИАЛЫ!$C$2:$C$9000,MATCH($N360,МАТЕРИАЛЫ!$L$2:$L$9000,0)),""),"")))</f>
        <v>Пробивка отверстий в ЖБ плитах перекрытия толщиной до 250 мм.</v>
      </c>
      <c r="Z360" t="str">
        <f t="shared" si="41"/>
        <v>Р3 · Внутренние строительные работы</v>
      </c>
    </row>
    <row r="361" spans="1:26" ht="28.8" x14ac:dyDescent="0.3">
      <c r="A361" t="s">
        <v>813</v>
      </c>
      <c r="B361" t="s">
        <v>394</v>
      </c>
      <c r="C361" t="s">
        <v>300</v>
      </c>
      <c r="D361" s="4" t="s">
        <v>814</v>
      </c>
      <c r="E361" t="s">
        <v>52</v>
      </c>
      <c r="F361" s="5">
        <v>669.87</v>
      </c>
      <c r="H361">
        <v>0</v>
      </c>
      <c r="I361" t="s">
        <v>53</v>
      </c>
      <c r="L361" s="6"/>
      <c r="M361" s="6"/>
      <c r="N361" s="6"/>
      <c r="O361" s="5"/>
      <c r="P361" s="7" t="str">
        <f t="shared" si="35"/>
        <v/>
      </c>
      <c r="Q361" s="7" t="str">
        <f t="shared" si="36"/>
        <v/>
      </c>
      <c r="R361" s="7" t="str">
        <f t="shared" si="37"/>
        <v/>
      </c>
      <c r="S361" s="7">
        <f>IF($A361="","",IF(AND(LEFT($G361,3)="ДОК",$N361&lt;&gt;""),IFERROR(INDEX(Документация!$E$2:$E$57,MATCH($N361,Документация!$F$2:$F$57,0)),0),N($F361))*(1-MEDIAN(0,N(ДисконтТендер),1)))</f>
        <v>669.87</v>
      </c>
      <c r="T361" s="7">
        <f>IF($A361="","",IF(AND(LEFT($G361,3)="ДОК",$N361&lt;&gt;""),0,IF(AND(LEFT($G361,3)&lt;&gt;"ДОК",$N361&lt;&gt;""),IFERROR(INDEX(МАТЕРИАЛЫ!$H$2:$H$9000,MATCH($N361,МАТЕРИАЛЫ!$L$2:$L$9000,0))*IF(INDEX(МАТЕРИАЛЫ!$I$2:$I$9000,MATCH($N361,МАТЕРИАЛЫ!$L$2:$L$9000,0))="USD",КурсUSD,IF(INDEX(МАТЕРИАЛЫ!$I$2:$I$9000,MATCH($N361,МАТЕРИАЛЫ!$L$2:$L$9000,0))="EUR",КурсEUR,IF(INDEX(МАТЕРИАЛЫ!$I$2:$I$9000,MATCH($N361,МАТЕРИАЛЫ!$L$2:$L$9000,0))="CNY",КурсCNY,1)))*(1+N($H361)/100),0),N($O361))*(1-MEDIAN(0,N(ДисконтТендер),1))))</f>
        <v>0</v>
      </c>
      <c r="U361" t="str">
        <f>IF($L361="да",MAX($U$1:$U360)+1,"")</f>
        <v/>
      </c>
      <c r="V361" t="str">
        <f t="shared" si="38"/>
        <v>Р3</v>
      </c>
      <c r="W361" t="str">
        <f t="shared" si="39"/>
        <v/>
      </c>
      <c r="X361" t="str">
        <f t="shared" si="40"/>
        <v/>
      </c>
      <c r="Y361" s="4" t="str">
        <f>IF($A361="","",IF(AND(LEFT($G361,3)="ДОК",$N361&lt;&gt;""),IFERROR(INDEX(Документация!$G$2:$G$57,MATCH($N361,Документация!$F$2:$F$57,0)),$D361),$D361&amp;IF(AND(LEFT($G361,3)&lt;&gt;"ДОК",$N361&lt;&gt;"")," — "&amp;IFERROR(INDEX(МАТЕРИАЛЫ!$C$2:$C$9000,MATCH($N361,МАТЕРИАЛЫ!$L$2:$L$9000,0)),""),"")))</f>
        <v>Обшивка стен листовой нержавеющей сталью толщиной 1 мм.</v>
      </c>
      <c r="Z361" t="str">
        <f t="shared" si="41"/>
        <v>Р3 · Внутренние строительные работы</v>
      </c>
    </row>
    <row r="362" spans="1:26" x14ac:dyDescent="0.3">
      <c r="A362" t="s">
        <v>815</v>
      </c>
      <c r="B362" t="s">
        <v>394</v>
      </c>
      <c r="C362" t="s">
        <v>300</v>
      </c>
      <c r="D362" s="4" t="s">
        <v>816</v>
      </c>
      <c r="E362" t="s">
        <v>52</v>
      </c>
      <c r="F362" s="5">
        <v>736.85</v>
      </c>
      <c r="G362" t="s">
        <v>409</v>
      </c>
      <c r="H362">
        <v>5</v>
      </c>
      <c r="I362" t="s">
        <v>53</v>
      </c>
      <c r="L362" s="6"/>
      <c r="M362" s="6"/>
      <c r="N362" s="6"/>
      <c r="O362" s="5"/>
      <c r="P362" s="7" t="str">
        <f t="shared" si="35"/>
        <v/>
      </c>
      <c r="Q362" s="7" t="str">
        <f t="shared" si="36"/>
        <v/>
      </c>
      <c r="R362" s="7" t="str">
        <f t="shared" si="37"/>
        <v/>
      </c>
      <c r="S362" s="7">
        <f>IF($A362="","",IF(AND(LEFT($G362,3)="ДОК",$N362&lt;&gt;""),IFERROR(INDEX(Документация!$E$2:$E$57,MATCH($N362,Документация!$F$2:$F$57,0)),0),N($F362))*(1-MEDIAN(0,N(ДисконтТендер),1)))</f>
        <v>736.85</v>
      </c>
      <c r="T362" s="7">
        <f>IF($A362="","",IF(AND(LEFT($G362,3)="ДОК",$N362&lt;&gt;""),0,IF(AND(LEFT($G362,3)&lt;&gt;"ДОК",$N362&lt;&gt;""),IFERROR(INDEX(МАТЕРИАЛЫ!$H$2:$H$9000,MATCH($N362,МАТЕРИАЛЫ!$L$2:$L$9000,0))*IF(INDEX(МАТЕРИАЛЫ!$I$2:$I$9000,MATCH($N362,МАТЕРИАЛЫ!$L$2:$L$9000,0))="USD",КурсUSD,IF(INDEX(МАТЕРИАЛЫ!$I$2:$I$9000,MATCH($N362,МАТЕРИАЛЫ!$L$2:$L$9000,0))="EUR",КурсEUR,IF(INDEX(МАТЕРИАЛЫ!$I$2:$I$9000,MATCH($N362,МАТЕРИАЛЫ!$L$2:$L$9000,0))="CNY",КурсCNY,1)))*(1+N($H362)/100),0),N($O362))*(1-MEDIAN(0,N(ДисконтТендер),1))))</f>
        <v>0</v>
      </c>
      <c r="U362" t="str">
        <f>IF($L362="да",MAX($U$1:$U361)+1,"")</f>
        <v/>
      </c>
      <c r="V362" t="str">
        <f t="shared" si="38"/>
        <v>Р3</v>
      </c>
      <c r="W362" t="str">
        <f t="shared" si="39"/>
        <v/>
      </c>
      <c r="X362" t="str">
        <f t="shared" si="40"/>
        <v/>
      </c>
      <c r="Y362" s="4" t="str">
        <f>IF($A362="","",IF(AND(LEFT($G362,3)="ДОК",$N362&lt;&gt;""),IFERROR(INDEX(Документация!$G$2:$G$57,MATCH($N362,Документация!$F$2:$F$57,0)),$D362),$D362&amp;IF(AND(LEFT($G362,3)&lt;&gt;"ДОК",$N362&lt;&gt;"")," — "&amp;IFERROR(INDEX(МАТЕРИАЛЫ!$C$2:$C$9000,MATCH($N362,МАТЕРИАЛЫ!$L$2:$L$9000,0)),""),"")))</f>
        <v>Обшивка каркаса лестничного марша ГКЛВ</v>
      </c>
      <c r="Z362" t="str">
        <f t="shared" si="41"/>
        <v>Р3 · Внутренние строительные работы</v>
      </c>
    </row>
    <row r="363" spans="1:26" ht="43.2" x14ac:dyDescent="0.3">
      <c r="A363" t="s">
        <v>817</v>
      </c>
      <c r="B363" t="s">
        <v>394</v>
      </c>
      <c r="C363" t="s">
        <v>300</v>
      </c>
      <c r="D363" s="4" t="s">
        <v>818</v>
      </c>
      <c r="E363" t="s">
        <v>298</v>
      </c>
      <c r="F363" s="5">
        <v>93960</v>
      </c>
      <c r="H363">
        <v>0</v>
      </c>
      <c r="I363" t="s">
        <v>53</v>
      </c>
      <c r="L363" s="6"/>
      <c r="M363" s="6"/>
      <c r="N363" s="6"/>
      <c r="O363" s="5"/>
      <c r="P363" s="7" t="str">
        <f t="shared" si="35"/>
        <v/>
      </c>
      <c r="Q363" s="7" t="str">
        <f t="shared" si="36"/>
        <v/>
      </c>
      <c r="R363" s="7" t="str">
        <f t="shared" si="37"/>
        <v/>
      </c>
      <c r="S363" s="7">
        <f>IF($A363="","",IF(AND(LEFT($G363,3)="ДОК",$N363&lt;&gt;""),IFERROR(INDEX(Документация!$E$2:$E$57,MATCH($N363,Документация!$F$2:$F$57,0)),0),N($F363))*(1-MEDIAN(0,N(ДисконтТендер),1)))</f>
        <v>93960</v>
      </c>
      <c r="T363" s="7">
        <f>IF($A363="","",IF(AND(LEFT($G363,3)="ДОК",$N363&lt;&gt;""),0,IF(AND(LEFT($G363,3)&lt;&gt;"ДОК",$N363&lt;&gt;""),IFERROR(INDEX(МАТЕРИАЛЫ!$H$2:$H$9000,MATCH($N363,МАТЕРИАЛЫ!$L$2:$L$9000,0))*IF(INDEX(МАТЕРИАЛЫ!$I$2:$I$9000,MATCH($N363,МАТЕРИАЛЫ!$L$2:$L$9000,0))="USD",КурсUSD,IF(INDEX(МАТЕРИАЛЫ!$I$2:$I$9000,MATCH($N363,МАТЕРИАЛЫ!$L$2:$L$9000,0))="EUR",КурсEUR,IF(INDEX(МАТЕРИАЛЫ!$I$2:$I$9000,MATCH($N363,МАТЕРИАЛЫ!$L$2:$L$9000,0))="CNY",КурсCNY,1)))*(1+N($H363)/100),0),N($O363))*(1-MEDIAN(0,N(ДисконтТендер),1))))</f>
        <v>0</v>
      </c>
      <c r="U363" t="str">
        <f>IF($L363="да",MAX($U$1:$U362)+1,"")</f>
        <v/>
      </c>
      <c r="V363" t="str">
        <f t="shared" si="38"/>
        <v>Р3</v>
      </c>
      <c r="W363" t="str">
        <f t="shared" si="39"/>
        <v/>
      </c>
      <c r="X363" t="str">
        <f t="shared" si="40"/>
        <v/>
      </c>
      <c r="Y363" s="4" t="str">
        <f>IF($A363="","",IF(AND(LEFT($G363,3)="ДОК",$N363&lt;&gt;""),IFERROR(INDEX(Документация!$G$2:$G$57,MATCH($N363,Документация!$F$2:$F$57,0)),$D363),$D363&amp;IF(AND(LEFT($G363,3)&lt;&gt;"ДОК",$N363&lt;&gt;"")," — "&amp;IFERROR(INDEX(МАТЕРИАЛЫ!$C$2:$C$9000,MATCH($N363,МАТЕРИАЛЫ!$L$2:$L$9000,0)),""),"")))</f>
        <v>Устройство каркаса лестничного марша под крепление сэндвич- панелей из металоконструкций</v>
      </c>
      <c r="Z363" t="str">
        <f t="shared" si="41"/>
        <v>Р3 · Внутренние строительные работы</v>
      </c>
    </row>
    <row r="364" spans="1:26" ht="28.8" x14ac:dyDescent="0.3">
      <c r="A364" t="s">
        <v>819</v>
      </c>
      <c r="B364" t="s">
        <v>394</v>
      </c>
      <c r="C364" t="s">
        <v>300</v>
      </c>
      <c r="D364" s="4" t="s">
        <v>820</v>
      </c>
      <c r="E364" t="s">
        <v>52</v>
      </c>
      <c r="F364" s="5">
        <v>738.59</v>
      </c>
      <c r="H364">
        <v>0</v>
      </c>
      <c r="I364" t="s">
        <v>53</v>
      </c>
      <c r="L364" s="6"/>
      <c r="M364" s="6"/>
      <c r="N364" s="6"/>
      <c r="O364" s="5"/>
      <c r="P364" s="7" t="str">
        <f t="shared" si="35"/>
        <v/>
      </c>
      <c r="Q364" s="7" t="str">
        <f t="shared" si="36"/>
        <v/>
      </c>
      <c r="R364" s="7" t="str">
        <f t="shared" si="37"/>
        <v/>
      </c>
      <c r="S364" s="7">
        <f>IF($A364="","",IF(AND(LEFT($G364,3)="ДОК",$N364&lt;&gt;""),IFERROR(INDEX(Документация!$E$2:$E$57,MATCH($N364,Документация!$F$2:$F$57,0)),0),N($F364))*(1-MEDIAN(0,N(ДисконтТендер),1)))</f>
        <v>738.59</v>
      </c>
      <c r="T364" s="7">
        <f>IF($A364="","",IF(AND(LEFT($G364,3)="ДОК",$N364&lt;&gt;""),0,IF(AND(LEFT($G364,3)&lt;&gt;"ДОК",$N364&lt;&gt;""),IFERROR(INDEX(МАТЕРИАЛЫ!$H$2:$H$9000,MATCH($N364,МАТЕРИАЛЫ!$L$2:$L$9000,0))*IF(INDEX(МАТЕРИАЛЫ!$I$2:$I$9000,MATCH($N364,МАТЕРИАЛЫ!$L$2:$L$9000,0))="USD",КурсUSD,IF(INDEX(МАТЕРИАЛЫ!$I$2:$I$9000,MATCH($N364,МАТЕРИАЛЫ!$L$2:$L$9000,0))="EUR",КурсEUR,IF(INDEX(МАТЕРИАЛЫ!$I$2:$I$9000,MATCH($N364,МАТЕРИАЛЫ!$L$2:$L$9000,0))="CNY",КурсCNY,1)))*(1+N($H364)/100),0),N($O364))*(1-MEDIAN(0,N(ДисконтТендер),1))))</f>
        <v>0</v>
      </c>
      <c r="U364" t="str">
        <f>IF($L364="да",MAX($U$1:$U363)+1,"")</f>
        <v/>
      </c>
      <c r="V364" t="str">
        <f t="shared" si="38"/>
        <v>Р3</v>
      </c>
      <c r="W364" t="str">
        <f t="shared" si="39"/>
        <v/>
      </c>
      <c r="X364" t="str">
        <f t="shared" si="40"/>
        <v/>
      </c>
      <c r="Y364" s="4" t="str">
        <f>IF($A364="","",IF(AND(LEFT($G364,3)="ДОК",$N364&lt;&gt;""),IFERROR(INDEX(Документация!$G$2:$G$57,MATCH($N364,Документация!$F$2:$F$57,0)),$D364),$D364&amp;IF(AND(LEFT($G364,3)&lt;&gt;"ДОК",$N364&lt;&gt;"")," — "&amp;IFERROR(INDEX(МАТЕРИАЛЫ!$C$2:$C$9000,MATCH($N364,МАТЕРИАЛЫ!$L$2:$L$9000,0)),""),"")))</f>
        <v>Обшивка каркаса лестничного марша сэндвич - панелями Ruukki ( RE 90)</v>
      </c>
      <c r="Z364" t="str">
        <f t="shared" si="41"/>
        <v>Р3 · Внутренние строительные работы</v>
      </c>
    </row>
    <row r="365" spans="1:26" ht="28.8" x14ac:dyDescent="0.3">
      <c r="A365" t="s">
        <v>821</v>
      </c>
      <c r="B365" t="s">
        <v>394</v>
      </c>
      <c r="C365" t="s">
        <v>300</v>
      </c>
      <c r="D365" s="4" t="s">
        <v>822</v>
      </c>
      <c r="E365" t="s">
        <v>153</v>
      </c>
      <c r="F365" s="5">
        <v>281.88</v>
      </c>
      <c r="H365">
        <v>0</v>
      </c>
      <c r="I365" t="s">
        <v>53</v>
      </c>
      <c r="L365" s="6"/>
      <c r="M365" s="6"/>
      <c r="N365" s="6"/>
      <c r="O365" s="5"/>
      <c r="P365" s="7" t="str">
        <f t="shared" si="35"/>
        <v/>
      </c>
      <c r="Q365" s="7" t="str">
        <f t="shared" si="36"/>
        <v/>
      </c>
      <c r="R365" s="7" t="str">
        <f t="shared" si="37"/>
        <v/>
      </c>
      <c r="S365" s="7">
        <f>IF($A365="","",IF(AND(LEFT($G365,3)="ДОК",$N365&lt;&gt;""),IFERROR(INDEX(Документация!$E$2:$E$57,MATCH($N365,Документация!$F$2:$F$57,0)),0),N($F365))*(1-MEDIAN(0,N(ДисконтТендер),1)))</f>
        <v>281.88</v>
      </c>
      <c r="T365" s="7">
        <f>IF($A365="","",IF(AND(LEFT($G365,3)="ДОК",$N365&lt;&gt;""),0,IF(AND(LEFT($G365,3)&lt;&gt;"ДОК",$N365&lt;&gt;""),IFERROR(INDEX(МАТЕРИАЛЫ!$H$2:$H$9000,MATCH($N365,МАТЕРИАЛЫ!$L$2:$L$9000,0))*IF(INDEX(МАТЕРИАЛЫ!$I$2:$I$9000,MATCH($N365,МАТЕРИАЛЫ!$L$2:$L$9000,0))="USD",КурсUSD,IF(INDEX(МАТЕРИАЛЫ!$I$2:$I$9000,MATCH($N365,МАТЕРИАЛЫ!$L$2:$L$9000,0))="EUR",КурсEUR,IF(INDEX(МАТЕРИАЛЫ!$I$2:$I$9000,MATCH($N365,МАТЕРИАЛЫ!$L$2:$L$9000,0))="CNY",КурсCNY,1)))*(1+N($H365)/100),0),N($O365))*(1-MEDIAN(0,N(ДисконтТендер),1))))</f>
        <v>0</v>
      </c>
      <c r="U365" t="str">
        <f>IF($L365="да",MAX($U$1:$U364)+1,"")</f>
        <v/>
      </c>
      <c r="V365" t="str">
        <f t="shared" si="38"/>
        <v>Р3</v>
      </c>
      <c r="W365" t="str">
        <f t="shared" si="39"/>
        <v/>
      </c>
      <c r="X365" t="str">
        <f t="shared" si="40"/>
        <v/>
      </c>
      <c r="Y365" s="4" t="str">
        <f>IF($A365="","",IF(AND(LEFT($G365,3)="ДОК",$N365&lt;&gt;""),IFERROR(INDEX(Документация!$G$2:$G$57,MATCH($N365,Документация!$F$2:$F$57,0)),$D365),$D365&amp;IF(AND(LEFT($G365,3)&lt;&gt;"ДОК",$N365&lt;&gt;"")," — "&amp;IFERROR(INDEX(МАТЕРИАЛЫ!$C$2:$C$9000,MATCH($N365,МАТЕРИАЛЫ!$L$2:$L$9000,0)),""),"")))</f>
        <v>Заделка рустов в фундаментных блоках примыканий стена-пол смесью типа "Gidro S2"</v>
      </c>
      <c r="Z365" t="str">
        <f t="shared" si="41"/>
        <v>Р3 · Внутренние строительные работы</v>
      </c>
    </row>
    <row r="366" spans="1:26" ht="28.8" x14ac:dyDescent="0.3">
      <c r="A366" t="s">
        <v>823</v>
      </c>
      <c r="B366" t="s">
        <v>394</v>
      </c>
      <c r="C366" t="s">
        <v>300</v>
      </c>
      <c r="D366" s="4" t="s">
        <v>824</v>
      </c>
      <c r="E366" t="s">
        <v>52</v>
      </c>
      <c r="F366" s="5">
        <v>516.26</v>
      </c>
      <c r="H366">
        <v>0</v>
      </c>
      <c r="I366" t="s">
        <v>53</v>
      </c>
      <c r="L366" s="6"/>
      <c r="M366" s="6"/>
      <c r="N366" s="6"/>
      <c r="O366" s="5"/>
      <c r="P366" s="7" t="str">
        <f t="shared" si="35"/>
        <v/>
      </c>
      <c r="Q366" s="7" t="str">
        <f t="shared" si="36"/>
        <v/>
      </c>
      <c r="R366" s="7" t="str">
        <f t="shared" si="37"/>
        <v/>
      </c>
      <c r="S366" s="7">
        <f>IF($A366="","",IF(AND(LEFT($G366,3)="ДОК",$N366&lt;&gt;""),IFERROR(INDEX(Документация!$E$2:$E$57,MATCH($N366,Документация!$F$2:$F$57,0)),0),N($F366))*(1-MEDIAN(0,N(ДисконтТендер),1)))</f>
        <v>516.26</v>
      </c>
      <c r="T366" s="7">
        <f>IF($A366="","",IF(AND(LEFT($G366,3)="ДОК",$N366&lt;&gt;""),0,IF(AND(LEFT($G366,3)&lt;&gt;"ДОК",$N366&lt;&gt;""),IFERROR(INDEX(МАТЕРИАЛЫ!$H$2:$H$9000,MATCH($N366,МАТЕРИАЛЫ!$L$2:$L$9000,0))*IF(INDEX(МАТЕРИАЛЫ!$I$2:$I$9000,MATCH($N366,МАТЕРИАЛЫ!$L$2:$L$9000,0))="USD",КурсUSD,IF(INDEX(МАТЕРИАЛЫ!$I$2:$I$9000,MATCH($N366,МАТЕРИАЛЫ!$L$2:$L$9000,0))="EUR",КурсEUR,IF(INDEX(МАТЕРИАЛЫ!$I$2:$I$9000,MATCH($N366,МАТЕРИАЛЫ!$L$2:$L$9000,0))="CNY",КурсCNY,1)))*(1+N($H366)/100),0),N($O366))*(1-MEDIAN(0,N(ДисконтТендер),1))))</f>
        <v>0</v>
      </c>
      <c r="U366" t="str">
        <f>IF($L366="да",MAX($U$1:$U365)+1,"")</f>
        <v/>
      </c>
      <c r="V366" t="str">
        <f t="shared" si="38"/>
        <v>Р3</v>
      </c>
      <c r="W366" t="str">
        <f t="shared" si="39"/>
        <v/>
      </c>
      <c r="X366" t="str">
        <f t="shared" si="40"/>
        <v/>
      </c>
      <c r="Y366" s="4" t="str">
        <f>IF($A366="","",IF(AND(LEFT($G366,3)="ДОК",$N366&lt;&gt;""),IFERROR(INDEX(Документация!$G$2:$G$57,MATCH($N366,Документация!$F$2:$F$57,0)),$D366),$D366&amp;IF(AND(LEFT($G366,3)&lt;&gt;"ДОК",$N366&lt;&gt;"")," — "&amp;IFERROR(INDEX(МАТЕРИАЛЫ!$C$2:$C$9000,MATCH($N366,МАТЕРИАЛЫ!$L$2:$L$9000,0)),""),"")))</f>
        <v>Обработка поверхности стен составом "Gidro +" 2 раза</v>
      </c>
      <c r="Z366" t="str">
        <f t="shared" si="41"/>
        <v>Р3 · Внутренние строительные работы</v>
      </c>
    </row>
    <row r="367" spans="1:26" ht="28.8" x14ac:dyDescent="0.3">
      <c r="A367" t="s">
        <v>825</v>
      </c>
      <c r="B367" t="s">
        <v>394</v>
      </c>
      <c r="C367" t="s">
        <v>300</v>
      </c>
      <c r="D367" s="4" t="s">
        <v>826</v>
      </c>
      <c r="E367" t="s">
        <v>114</v>
      </c>
      <c r="F367" s="5">
        <v>741.2</v>
      </c>
      <c r="H367">
        <v>0</v>
      </c>
      <c r="I367" t="s">
        <v>53</v>
      </c>
      <c r="L367" s="6"/>
      <c r="M367" s="6"/>
      <c r="N367" s="6"/>
      <c r="O367" s="5"/>
      <c r="P367" s="7" t="str">
        <f t="shared" si="35"/>
        <v/>
      </c>
      <c r="Q367" s="7" t="str">
        <f t="shared" si="36"/>
        <v/>
      </c>
      <c r="R367" s="7" t="str">
        <f t="shared" si="37"/>
        <v/>
      </c>
      <c r="S367" s="7">
        <f>IF($A367="","",IF(AND(LEFT($G367,3)="ДОК",$N367&lt;&gt;""),IFERROR(INDEX(Документация!$E$2:$E$57,MATCH($N367,Документация!$F$2:$F$57,0)),0),N($F367))*(1-MEDIAN(0,N(ДисконтТендер),1)))</f>
        <v>741.2</v>
      </c>
      <c r="T367" s="7">
        <f>IF($A367="","",IF(AND(LEFT($G367,3)="ДОК",$N367&lt;&gt;""),0,IF(AND(LEFT($G367,3)&lt;&gt;"ДОК",$N367&lt;&gt;""),IFERROR(INDEX(МАТЕРИАЛЫ!$H$2:$H$9000,MATCH($N367,МАТЕРИАЛЫ!$L$2:$L$9000,0))*IF(INDEX(МАТЕРИАЛЫ!$I$2:$I$9000,MATCH($N367,МАТЕРИАЛЫ!$L$2:$L$9000,0))="USD",КурсUSD,IF(INDEX(МАТЕРИАЛЫ!$I$2:$I$9000,MATCH($N367,МАТЕРИАЛЫ!$L$2:$L$9000,0))="EUR",КурсEUR,IF(INDEX(МАТЕРИАЛЫ!$I$2:$I$9000,MATCH($N367,МАТЕРИАЛЫ!$L$2:$L$9000,0))="CNY",КурсCNY,1)))*(1+N($H367)/100),0),N($O367))*(1-MEDIAN(0,N(ДисконтТендер),1))))</f>
        <v>0</v>
      </c>
      <c r="U367" t="str">
        <f>IF($L367="да",MAX($U$1:$U366)+1,"")</f>
        <v/>
      </c>
      <c r="V367" t="str">
        <f t="shared" si="38"/>
        <v>Р3</v>
      </c>
      <c r="W367" t="str">
        <f t="shared" si="39"/>
        <v/>
      </c>
      <c r="X367" t="str">
        <f t="shared" si="40"/>
        <v/>
      </c>
      <c r="Y367" s="4" t="str">
        <f>IF($A367="","",IF(AND(LEFT($G367,3)="ДОК",$N367&lt;&gt;""),IFERROR(INDEX(Документация!$G$2:$G$57,MATCH($N367,Документация!$F$2:$F$57,0)),$D367),$D367&amp;IF(AND(LEFT($G367,3)&lt;&gt;"ДОК",$N367&lt;&gt;"")," — "&amp;IFERROR(INDEX(МАТЕРИАЛЫ!$C$2:$C$9000,MATCH($N367,МАТЕРИАЛЫ!$L$2:$L$9000,0)),""),"")))</f>
        <v>Установка конвекционных решеток из ПВХ 600*900 мм</v>
      </c>
      <c r="Z367" t="str">
        <f t="shared" si="41"/>
        <v>Р3 · Внутренние строительные работы</v>
      </c>
    </row>
    <row r="368" spans="1:26" x14ac:dyDescent="0.3">
      <c r="A368" t="s">
        <v>827</v>
      </c>
      <c r="B368" t="s">
        <v>394</v>
      </c>
      <c r="C368" t="s">
        <v>300</v>
      </c>
      <c r="D368" s="4" t="s">
        <v>828</v>
      </c>
      <c r="E368" t="s">
        <v>298</v>
      </c>
      <c r="F368" s="5">
        <v>10875.13</v>
      </c>
      <c r="G368" t="s">
        <v>683</v>
      </c>
      <c r="H368">
        <v>0</v>
      </c>
      <c r="I368" t="s">
        <v>53</v>
      </c>
      <c r="L368" s="6"/>
      <c r="M368" s="6"/>
      <c r="N368" s="6"/>
      <c r="O368" s="5"/>
      <c r="P368" s="7" t="str">
        <f t="shared" si="35"/>
        <v/>
      </c>
      <c r="Q368" s="7" t="str">
        <f t="shared" si="36"/>
        <v/>
      </c>
      <c r="R368" s="7" t="str">
        <f t="shared" si="37"/>
        <v/>
      </c>
      <c r="S368" s="7">
        <f>IF($A368="","",IF(AND(LEFT($G368,3)="ДОК",$N368&lt;&gt;""),IFERROR(INDEX(Документация!$E$2:$E$57,MATCH($N368,Документация!$F$2:$F$57,0)),0),N($F368))*(1-MEDIAN(0,N(ДисконтТендер),1)))</f>
        <v>10875.13</v>
      </c>
      <c r="T368" s="7">
        <f>IF($A368="","",IF(AND(LEFT($G368,3)="ДОК",$N368&lt;&gt;""),0,IF(AND(LEFT($G368,3)&lt;&gt;"ДОК",$N368&lt;&gt;""),IFERROR(INDEX(МАТЕРИАЛЫ!$H$2:$H$9000,MATCH($N368,МАТЕРИАЛЫ!$L$2:$L$9000,0))*IF(INDEX(МАТЕРИАЛЫ!$I$2:$I$9000,MATCH($N368,МАТЕРИАЛЫ!$L$2:$L$9000,0))="USD",КурсUSD,IF(INDEX(МАТЕРИАЛЫ!$I$2:$I$9000,MATCH($N368,МАТЕРИАЛЫ!$L$2:$L$9000,0))="EUR",КурсEUR,IF(INDEX(МАТЕРИАЛЫ!$I$2:$I$9000,MATCH($N368,МАТЕРИАЛЫ!$L$2:$L$9000,0))="CNY",КурсCNY,1)))*(1+N($H368)/100),0),N($O368))*(1-MEDIAN(0,N(ДисконтТендер),1))))</f>
        <v>0</v>
      </c>
      <c r="U368" t="str">
        <f>IF($L368="да",MAX($U$1:$U367)+1,"")</f>
        <v/>
      </c>
      <c r="V368" t="str">
        <f t="shared" si="38"/>
        <v>Р3</v>
      </c>
      <c r="W368" t="str">
        <f t="shared" si="39"/>
        <v/>
      </c>
      <c r="X368" t="str">
        <f t="shared" si="40"/>
        <v/>
      </c>
      <c r="Y368" s="4" t="str">
        <f>IF($A368="","",IF(AND(LEFT($G368,3)="ДОК",$N368&lt;&gt;""),IFERROR(INDEX(Документация!$G$2:$G$57,MATCH($N368,Документация!$F$2:$F$57,0)),$D368),$D368&amp;IF(AND(LEFT($G368,3)&lt;&gt;"ДОК",$N368&lt;&gt;"")," — "&amp;IFERROR(INDEX(МАТЕРИАЛЫ!$C$2:$C$9000,MATCH($N368,МАТЕРИАЛЫ!$L$2:$L$9000,0)),""),"")))</f>
        <v>Армирование площадки арматурой АIII</v>
      </c>
      <c r="Z368" t="str">
        <f t="shared" si="41"/>
        <v>Р3 · Внутренние строительные работы</v>
      </c>
    </row>
    <row r="369" spans="1:26" x14ac:dyDescent="0.3">
      <c r="A369" t="s">
        <v>829</v>
      </c>
      <c r="B369" t="s">
        <v>394</v>
      </c>
      <c r="C369" t="s">
        <v>300</v>
      </c>
      <c r="D369" s="4" t="s">
        <v>830</v>
      </c>
      <c r="E369" t="s">
        <v>114</v>
      </c>
      <c r="F369" s="5">
        <v>1127.52</v>
      </c>
      <c r="H369">
        <v>0</v>
      </c>
      <c r="I369" t="s">
        <v>53</v>
      </c>
      <c r="L369" s="6"/>
      <c r="M369" s="6"/>
      <c r="N369" s="6"/>
      <c r="O369" s="5"/>
      <c r="P369" s="7" t="str">
        <f t="shared" si="35"/>
        <v/>
      </c>
      <c r="Q369" s="7" t="str">
        <f t="shared" si="36"/>
        <v/>
      </c>
      <c r="R369" s="7" t="str">
        <f t="shared" si="37"/>
        <v/>
      </c>
      <c r="S369" s="7">
        <f>IF($A369="","",IF(AND(LEFT($G369,3)="ДОК",$N369&lt;&gt;""),IFERROR(INDEX(Документация!$E$2:$E$57,MATCH($N369,Документация!$F$2:$F$57,0)),0),N($F369))*(1-MEDIAN(0,N(ДисконтТендер),1)))</f>
        <v>1127.52</v>
      </c>
      <c r="T369" s="7">
        <f>IF($A369="","",IF(AND(LEFT($G369,3)="ДОК",$N369&lt;&gt;""),0,IF(AND(LEFT($G369,3)&lt;&gt;"ДОК",$N369&lt;&gt;""),IFERROR(INDEX(МАТЕРИАЛЫ!$H$2:$H$9000,MATCH($N369,МАТЕРИАЛЫ!$L$2:$L$9000,0))*IF(INDEX(МАТЕРИАЛЫ!$I$2:$I$9000,MATCH($N369,МАТЕРИАЛЫ!$L$2:$L$9000,0))="USD",КурсUSD,IF(INDEX(МАТЕРИАЛЫ!$I$2:$I$9000,MATCH($N369,МАТЕРИАЛЫ!$L$2:$L$9000,0))="EUR",КурсEUR,IF(INDEX(МАТЕРИАЛЫ!$I$2:$I$9000,MATCH($N369,МАТЕРИАЛЫ!$L$2:$L$9000,0))="CNY",КурсCNY,1)))*(1+N($H369)/100),0),N($O369))*(1-MEDIAN(0,N(ДисконтТендер),1))))</f>
        <v>0</v>
      </c>
      <c r="U369" t="str">
        <f>IF($L369="да",MAX($U$1:$U368)+1,"")</f>
        <v/>
      </c>
      <c r="V369" t="str">
        <f t="shared" si="38"/>
        <v>Р3</v>
      </c>
      <c r="W369" t="str">
        <f t="shared" si="39"/>
        <v/>
      </c>
      <c r="X369" t="str">
        <f t="shared" si="40"/>
        <v/>
      </c>
      <c r="Y369" s="4" t="str">
        <f>IF($A369="","",IF(AND(LEFT($G369,3)="ДОК",$N369&lt;&gt;""),IFERROR(INDEX(Документация!$G$2:$G$57,MATCH($N369,Документация!$F$2:$F$57,0)),$D369),$D369&amp;IF(AND(LEFT($G369,3)&lt;&gt;"ДОК",$N369&lt;&gt;"")," — "&amp;IFERROR(INDEX(МАТЕРИАЛЫ!$C$2:$C$9000,MATCH($N369,МАТЕРИАЛЫ!$L$2:$L$9000,0)),""),"")))</f>
        <v>Монтаж наборных ступеней ЛС 13-14</v>
      </c>
      <c r="Z369" t="str">
        <f t="shared" si="41"/>
        <v>Р3 · Внутренние строительные работы</v>
      </c>
    </row>
    <row r="370" spans="1:26" ht="57.6" x14ac:dyDescent="0.3">
      <c r="A370" t="s">
        <v>831</v>
      </c>
      <c r="B370" t="s">
        <v>394</v>
      </c>
      <c r="C370" t="s">
        <v>300</v>
      </c>
      <c r="D370" s="4" t="s">
        <v>832</v>
      </c>
      <c r="E370" t="s">
        <v>153</v>
      </c>
      <c r="F370" s="5">
        <v>1697</v>
      </c>
      <c r="H370">
        <v>0</v>
      </c>
      <c r="I370" t="s">
        <v>53</v>
      </c>
      <c r="L370" s="6"/>
      <c r="M370" s="6"/>
      <c r="N370" s="6"/>
      <c r="O370" s="5"/>
      <c r="P370" s="7" t="str">
        <f t="shared" si="35"/>
        <v/>
      </c>
      <c r="Q370" s="7" t="str">
        <f t="shared" si="36"/>
        <v/>
      </c>
      <c r="R370" s="7" t="str">
        <f t="shared" si="37"/>
        <v/>
      </c>
      <c r="S370" s="7">
        <f>IF($A370="","",IF(AND(LEFT($G370,3)="ДОК",$N370&lt;&gt;""),IFERROR(INDEX(Документация!$E$2:$E$57,MATCH($N370,Документация!$F$2:$F$57,0)),0),N($F370))*(1-MEDIAN(0,N(ДисконтТендер),1)))</f>
        <v>1697</v>
      </c>
      <c r="T370" s="7">
        <f>IF($A370="","",IF(AND(LEFT($G370,3)="ДОК",$N370&lt;&gt;""),0,IF(AND(LEFT($G370,3)&lt;&gt;"ДОК",$N370&lt;&gt;""),IFERROR(INDEX(МАТЕРИАЛЫ!$H$2:$H$9000,MATCH($N370,МАТЕРИАЛЫ!$L$2:$L$9000,0))*IF(INDEX(МАТЕРИАЛЫ!$I$2:$I$9000,MATCH($N370,МАТЕРИАЛЫ!$L$2:$L$9000,0))="USD",КурсUSD,IF(INDEX(МАТЕРИАЛЫ!$I$2:$I$9000,MATCH($N370,МАТЕРИАЛЫ!$L$2:$L$9000,0))="EUR",КурсEUR,IF(INDEX(МАТЕРИАЛЫ!$I$2:$I$9000,MATCH($N370,МАТЕРИАЛЫ!$L$2:$L$9000,0))="CNY",КурсCNY,1)))*(1+N($H370)/100),0),N($O370))*(1-MEDIAN(0,N(ДисконтТендер),1))))</f>
        <v>0</v>
      </c>
      <c r="U370" t="str">
        <f>IF($L370="да",MAX($U$1:$U369)+1,"")</f>
        <v/>
      </c>
      <c r="V370" t="str">
        <f t="shared" si="38"/>
        <v>Р3</v>
      </c>
      <c r="W370" t="str">
        <f t="shared" si="39"/>
        <v/>
      </c>
      <c r="X370" t="str">
        <f t="shared" si="40"/>
        <v/>
      </c>
      <c r="Y370" s="4" t="str">
        <f>IF($A370="","",IF(AND(LEFT($G370,3)="ДОК",$N370&lt;&gt;""),IFERROR(INDEX(Документация!$G$2:$G$57,MATCH($N370,Документация!$F$2:$F$57,0)),$D370),$D370&amp;IF(AND(LEFT($G370,3)&lt;&gt;"ДОК",$N370&lt;&gt;"")," — "&amp;IFERROR(INDEX(МАТЕРИАЛЫ!$C$2:$C$9000,MATCH($N370,МАТЕРИАЛЫ!$L$2:$L$9000,0)),""),"")))</f>
        <v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v>
      </c>
      <c r="Z370" t="str">
        <f t="shared" si="41"/>
        <v>Р3 · Внутренние строительные работы</v>
      </c>
    </row>
    <row r="371" spans="1:26" ht="43.2" x14ac:dyDescent="0.3">
      <c r="A371" t="s">
        <v>833</v>
      </c>
      <c r="B371" t="s">
        <v>394</v>
      </c>
      <c r="C371" t="s">
        <v>300</v>
      </c>
      <c r="D371" s="4" t="s">
        <v>834</v>
      </c>
      <c r="E371" t="s">
        <v>114</v>
      </c>
      <c r="F371" s="5">
        <v>20044.8</v>
      </c>
      <c r="H371">
        <v>0</v>
      </c>
      <c r="I371" t="s">
        <v>53</v>
      </c>
      <c r="L371" s="6"/>
      <c r="M371" s="6"/>
      <c r="N371" s="6"/>
      <c r="O371" s="5"/>
      <c r="P371" s="7" t="str">
        <f t="shared" si="35"/>
        <v/>
      </c>
      <c r="Q371" s="7" t="str">
        <f t="shared" si="36"/>
        <v/>
      </c>
      <c r="R371" s="7" t="str">
        <f t="shared" si="37"/>
        <v/>
      </c>
      <c r="S371" s="7">
        <f>IF($A371="","",IF(AND(LEFT($G371,3)="ДОК",$N371&lt;&gt;""),IFERROR(INDEX(Документация!$E$2:$E$57,MATCH($N371,Документация!$F$2:$F$57,0)),0),N($F371))*(1-MEDIAN(0,N(ДисконтТендер),1)))</f>
        <v>20044.8</v>
      </c>
      <c r="T371" s="7">
        <f>IF($A371="","",IF(AND(LEFT($G371,3)="ДОК",$N371&lt;&gt;""),0,IF(AND(LEFT($G371,3)&lt;&gt;"ДОК",$N371&lt;&gt;""),IFERROR(INDEX(МАТЕРИАЛЫ!$H$2:$H$9000,MATCH($N371,МАТЕРИАЛЫ!$L$2:$L$9000,0))*IF(INDEX(МАТЕРИАЛЫ!$I$2:$I$9000,MATCH($N371,МАТЕРИАЛЫ!$L$2:$L$9000,0))="USD",КурсUSD,IF(INDEX(МАТЕРИАЛЫ!$I$2:$I$9000,MATCH($N371,МАТЕРИАЛЫ!$L$2:$L$9000,0))="EUR",КурсEUR,IF(INDEX(МАТЕРИАЛЫ!$I$2:$I$9000,MATCH($N371,МАТЕРИАЛЫ!$L$2:$L$9000,0))="CNY",КурсCNY,1)))*(1+N($H371)/100),0),N($O371))*(1-MEDIAN(0,N(ДисконтТендер),1))))</f>
        <v>0</v>
      </c>
      <c r="U371" t="str">
        <f>IF($L371="да",MAX($U$1:$U370)+1,"")</f>
        <v/>
      </c>
      <c r="V371" t="str">
        <f t="shared" si="38"/>
        <v>Р3</v>
      </c>
      <c r="W371" t="str">
        <f t="shared" si="39"/>
        <v/>
      </c>
      <c r="X371" t="str">
        <f t="shared" si="40"/>
        <v/>
      </c>
      <c r="Y371" s="4" t="str">
        <f>IF($A371="","",IF(AND(LEFT($G371,3)="ДОК",$N371&lt;&gt;""),IFERROR(INDEX(Документация!$G$2:$G$57,MATCH($N371,Документация!$F$2:$F$57,0)),$D371),$D371&amp;IF(AND(LEFT($G371,3)&lt;&gt;"ДОК",$N371&lt;&gt;"")," — "&amp;IFERROR(INDEX(МАТЕРИАЛЫ!$C$2:$C$9000,MATCH($N371,МАТЕРИАЛЫ!$L$2:$L$9000,0)),""),"")))</f>
        <v>Установка подъемно трансформируемого устройства (ПТУ - 001) с радиоуправляемым пультом и доплнительным ограждением</v>
      </c>
      <c r="Z371" t="str">
        <f t="shared" si="41"/>
        <v>Р3 · Внутренние строительные работы</v>
      </c>
    </row>
    <row r="372" spans="1:26" ht="28.8" x14ac:dyDescent="0.3">
      <c r="A372" t="s">
        <v>835</v>
      </c>
      <c r="B372" t="s">
        <v>836</v>
      </c>
      <c r="C372" t="s">
        <v>50</v>
      </c>
      <c r="D372" s="4" t="s">
        <v>837</v>
      </c>
      <c r="E372" t="s">
        <v>52</v>
      </c>
      <c r="F372" s="5">
        <v>365.88</v>
      </c>
      <c r="H372">
        <v>0</v>
      </c>
      <c r="I372" t="s">
        <v>53</v>
      </c>
      <c r="L372" s="6"/>
      <c r="M372" s="6"/>
      <c r="N372" s="6"/>
      <c r="O372" s="5"/>
      <c r="P372" s="7" t="str">
        <f t="shared" si="35"/>
        <v/>
      </c>
      <c r="Q372" s="7" t="str">
        <f t="shared" si="36"/>
        <v/>
      </c>
      <c r="R372" s="7" t="str">
        <f t="shared" si="37"/>
        <v/>
      </c>
      <c r="S372" s="7">
        <f>IF($A372="","",IF(AND(LEFT($G372,3)="ДОК",$N372&lt;&gt;""),IFERROR(INDEX(Документация!$E$2:$E$57,MATCH($N372,Документация!$F$2:$F$57,0)),0),N($F372))*(1-MEDIAN(0,N(ДисконтТендер),1)))</f>
        <v>365.88</v>
      </c>
      <c r="T372" s="7">
        <f>IF($A372="","",IF(AND(LEFT($G372,3)="ДОК",$N372&lt;&gt;""),0,IF(AND(LEFT($G372,3)&lt;&gt;"ДОК",$N372&lt;&gt;""),IFERROR(INDEX(МАТЕРИАЛЫ!$H$2:$H$9000,MATCH($N372,МАТЕРИАЛЫ!$L$2:$L$9000,0))*IF(INDEX(МАТЕРИАЛЫ!$I$2:$I$9000,MATCH($N372,МАТЕРИАЛЫ!$L$2:$L$9000,0))="USD",КурсUSD,IF(INDEX(МАТЕРИАЛЫ!$I$2:$I$9000,MATCH($N372,МАТЕРИАЛЫ!$L$2:$L$9000,0))="EUR",КурсEUR,IF(INDEX(МАТЕРИАЛЫ!$I$2:$I$9000,MATCH($N372,МАТЕРИАЛЫ!$L$2:$L$9000,0))="CNY",КурсCNY,1)))*(1+N($H372)/100),0),N($O372))*(1-MEDIAN(0,N(ДисконтТендер),1))))</f>
        <v>0</v>
      </c>
      <c r="U372" t="str">
        <f>IF($L372="да",MAX($U$1:$U371)+1,"")</f>
        <v/>
      </c>
      <c r="V372" t="str">
        <f t="shared" si="38"/>
        <v>Р4</v>
      </c>
      <c r="W372" t="str">
        <f t="shared" si="39"/>
        <v/>
      </c>
      <c r="X372" t="str">
        <f t="shared" si="40"/>
        <v/>
      </c>
      <c r="Y372" s="4" t="str">
        <f>IF($A372="","",IF(AND(LEFT($G372,3)="ДОК",$N372&lt;&gt;""),IFERROR(INDEX(Документация!$G$2:$G$57,MATCH($N372,Документация!$F$2:$F$57,0)),$D372),$D372&amp;IF(AND(LEFT($G372,3)&lt;&gt;"ДОК",$N372&lt;&gt;"")," — "&amp;IFERROR(INDEX(МАТЕРИАЛЫ!$C$2:$C$9000,MATCH($N372,МАТЕРИАЛЫ!$L$2:$L$9000,0)),""),"")))</f>
        <v>Частичный ремонт цементно-песчаной стяжки под устройсво рулонной кровли толщиной 50 мм</v>
      </c>
      <c r="Z372" t="str">
        <f t="shared" si="41"/>
        <v>Р4 · Наружные строительные работы</v>
      </c>
    </row>
    <row r="373" spans="1:26" ht="43.2" x14ac:dyDescent="0.3">
      <c r="A373" t="s">
        <v>838</v>
      </c>
      <c r="B373" t="s">
        <v>836</v>
      </c>
      <c r="C373" t="s">
        <v>50</v>
      </c>
      <c r="D373" s="4" t="s">
        <v>839</v>
      </c>
      <c r="E373" t="s">
        <v>52</v>
      </c>
      <c r="F373" s="5">
        <v>1000</v>
      </c>
      <c r="H373">
        <v>0</v>
      </c>
      <c r="I373" t="s">
        <v>53</v>
      </c>
      <c r="L373" s="6"/>
      <c r="M373" s="6"/>
      <c r="N373" s="6"/>
      <c r="O373" s="5"/>
      <c r="P373" s="7" t="str">
        <f t="shared" si="35"/>
        <v/>
      </c>
      <c r="Q373" s="7" t="str">
        <f t="shared" si="36"/>
        <v/>
      </c>
      <c r="R373" s="7" t="str">
        <f t="shared" si="37"/>
        <v/>
      </c>
      <c r="S373" s="7">
        <f>IF($A373="","",IF(AND(LEFT($G373,3)="ДОК",$N373&lt;&gt;""),IFERROR(INDEX(Документация!$E$2:$E$57,MATCH($N373,Документация!$F$2:$F$57,0)),0),N($F373))*(1-MEDIAN(0,N(ДисконтТендер),1)))</f>
        <v>1000</v>
      </c>
      <c r="T373" s="7">
        <f>IF($A373="","",IF(AND(LEFT($G373,3)="ДОК",$N373&lt;&gt;""),0,IF(AND(LEFT($G373,3)&lt;&gt;"ДОК",$N373&lt;&gt;""),IFERROR(INDEX(МАТЕРИАЛЫ!$H$2:$H$9000,MATCH($N373,МАТЕРИАЛЫ!$L$2:$L$9000,0))*IF(INDEX(МАТЕРИАЛЫ!$I$2:$I$9000,MATCH($N373,МАТЕРИАЛЫ!$L$2:$L$9000,0))="USD",КурсUSD,IF(INDEX(МАТЕРИАЛЫ!$I$2:$I$9000,MATCH($N373,МАТЕРИАЛЫ!$L$2:$L$9000,0))="EUR",КурсEUR,IF(INDEX(МАТЕРИАЛЫ!$I$2:$I$9000,MATCH($N373,МАТЕРИАЛЫ!$L$2:$L$9000,0))="CNY",КурсCNY,1)))*(1+N($H373)/100),0),N($O373))*(1-MEDIAN(0,N(ДисконтТендер),1))))</f>
        <v>0</v>
      </c>
      <c r="U373" t="str">
        <f>IF($L373="да",MAX($U$1:$U372)+1,"")</f>
        <v/>
      </c>
      <c r="V373" t="str">
        <f t="shared" si="38"/>
        <v>Р4</v>
      </c>
      <c r="W373" t="str">
        <f t="shared" si="39"/>
        <v/>
      </c>
      <c r="X373" t="str">
        <f t="shared" si="40"/>
        <v/>
      </c>
      <c r="Y373" s="4" t="str">
        <f>IF($A373="","",IF(AND(LEFT($G373,3)="ДОК",$N373&lt;&gt;""),IFERROR(INDEX(Документация!$G$2:$G$57,MATCH($N373,Документация!$F$2:$F$57,0)),$D373),$D373&amp;IF(AND(LEFT($G373,3)&lt;&gt;"ДОК",$N373&lt;&gt;"")," — "&amp;IFERROR(INDEX(МАТЕРИАЛЫ!$C$2:$C$9000,MATCH($N373,МАТЕРИАЛЫ!$L$2:$L$9000,0)),""),"")))</f>
        <v>Устройство рулонной мягкой кровли в 2 слоя с нахлестом на поребрик (мастика, стеклогидроизол, газовая горелка)</v>
      </c>
      <c r="Z373" t="str">
        <f t="shared" si="41"/>
        <v>Р4 · Наружные строительные работы</v>
      </c>
    </row>
    <row r="374" spans="1:26" ht="28.8" x14ac:dyDescent="0.3">
      <c r="A374" t="s">
        <v>840</v>
      </c>
      <c r="B374" t="s">
        <v>836</v>
      </c>
      <c r="C374" t="s">
        <v>50</v>
      </c>
      <c r="D374" s="4" t="s">
        <v>841</v>
      </c>
      <c r="E374" t="s">
        <v>153</v>
      </c>
      <c r="F374" s="5">
        <v>640</v>
      </c>
      <c r="H374">
        <v>0</v>
      </c>
      <c r="I374" t="s">
        <v>53</v>
      </c>
      <c r="L374" s="6"/>
      <c r="M374" s="6"/>
      <c r="N374" s="6"/>
      <c r="O374" s="5"/>
      <c r="P374" s="7" t="str">
        <f t="shared" si="35"/>
        <v/>
      </c>
      <c r="Q374" s="7" t="str">
        <f t="shared" si="36"/>
        <v/>
      </c>
      <c r="R374" s="7" t="str">
        <f t="shared" si="37"/>
        <v/>
      </c>
      <c r="S374" s="7">
        <f>IF($A374="","",IF(AND(LEFT($G374,3)="ДОК",$N374&lt;&gt;""),IFERROR(INDEX(Документация!$E$2:$E$57,MATCH($N374,Документация!$F$2:$F$57,0)),0),N($F374))*(1-MEDIAN(0,N(ДисконтТендер),1)))</f>
        <v>640</v>
      </c>
      <c r="T374" s="7">
        <f>IF($A374="","",IF(AND(LEFT($G374,3)="ДОК",$N374&lt;&gt;""),0,IF(AND(LEFT($G374,3)&lt;&gt;"ДОК",$N374&lt;&gt;""),IFERROR(INDEX(МАТЕРИАЛЫ!$H$2:$H$9000,MATCH($N374,МАТЕРИАЛЫ!$L$2:$L$9000,0))*IF(INDEX(МАТЕРИАЛЫ!$I$2:$I$9000,MATCH($N374,МАТЕРИАЛЫ!$L$2:$L$9000,0))="USD",КурсUSD,IF(INDEX(МАТЕРИАЛЫ!$I$2:$I$9000,MATCH($N374,МАТЕРИАЛЫ!$L$2:$L$9000,0))="EUR",КурсEUR,IF(INDEX(МАТЕРИАЛЫ!$I$2:$I$9000,MATCH($N374,МАТЕРИАЛЫ!$L$2:$L$9000,0))="CNY",КурсCNY,1)))*(1+N($H374)/100),0),N($O374))*(1-MEDIAN(0,N(ДисконтТендер),1))))</f>
        <v>0</v>
      </c>
      <c r="U374" t="str">
        <f>IF($L374="да",MAX($U$1:$U373)+1,"")</f>
        <v/>
      </c>
      <c r="V374" t="str">
        <f t="shared" si="38"/>
        <v>Р4</v>
      </c>
      <c r="W374" t="str">
        <f t="shared" si="39"/>
        <v/>
      </c>
      <c r="X374" t="str">
        <f t="shared" si="40"/>
        <v/>
      </c>
      <c r="Y374" s="4" t="str">
        <f>IF($A374="","",IF(AND(LEFT($G374,3)="ДОК",$N374&lt;&gt;""),IFERROR(INDEX(Документация!$G$2:$G$57,MATCH($N374,Документация!$F$2:$F$57,0)),$D374),$D374&amp;IF(AND(LEFT($G374,3)&lt;&gt;"ДОК",$N374&lt;&gt;"")," — "&amp;IFERROR(INDEX(МАТЕРИАЛЫ!$C$2:$C$9000,MATCH($N374,МАТЕРИАЛЫ!$L$2:$L$9000,0)),""),"")))</f>
        <v>Устройство примыкания (шва) между кровлей и стеной</v>
      </c>
      <c r="Z374" t="str">
        <f t="shared" si="41"/>
        <v>Р4 · Наружные строительные работы</v>
      </c>
    </row>
    <row r="375" spans="1:26" ht="28.8" x14ac:dyDescent="0.3">
      <c r="A375" t="s">
        <v>842</v>
      </c>
      <c r="B375" t="s">
        <v>836</v>
      </c>
      <c r="C375" t="s">
        <v>50</v>
      </c>
      <c r="D375" s="4" t="s">
        <v>843</v>
      </c>
      <c r="E375" t="s">
        <v>52</v>
      </c>
      <c r="F375" s="5">
        <v>1289.3399999999999</v>
      </c>
      <c r="H375">
        <v>0</v>
      </c>
      <c r="I375" t="s">
        <v>53</v>
      </c>
      <c r="L375" s="6"/>
      <c r="M375" s="6"/>
      <c r="N375" s="6"/>
      <c r="O375" s="5"/>
      <c r="P375" s="7" t="str">
        <f t="shared" si="35"/>
        <v/>
      </c>
      <c r="Q375" s="7" t="str">
        <f t="shared" si="36"/>
        <v/>
      </c>
      <c r="R375" s="7" t="str">
        <f t="shared" si="37"/>
        <v/>
      </c>
      <c r="S375" s="7">
        <f>IF($A375="","",IF(AND(LEFT($G375,3)="ДОК",$N375&lt;&gt;""),IFERROR(INDEX(Документация!$E$2:$E$57,MATCH($N375,Документация!$F$2:$F$57,0)),0),N($F375))*(1-MEDIAN(0,N(ДисконтТендер),1)))</f>
        <v>1289.3399999999999</v>
      </c>
      <c r="T375" s="7">
        <f>IF($A375="","",IF(AND(LEFT($G375,3)="ДОК",$N375&lt;&gt;""),0,IF(AND(LEFT($G375,3)&lt;&gt;"ДОК",$N375&lt;&gt;""),IFERROR(INDEX(МАТЕРИАЛЫ!$H$2:$H$9000,MATCH($N375,МАТЕРИАЛЫ!$L$2:$L$9000,0))*IF(INDEX(МАТЕРИАЛЫ!$I$2:$I$9000,MATCH($N375,МАТЕРИАЛЫ!$L$2:$L$9000,0))="USD",КурсUSD,IF(INDEX(МАТЕРИАЛЫ!$I$2:$I$9000,MATCH($N375,МАТЕРИАЛЫ!$L$2:$L$9000,0))="EUR",КурсEUR,IF(INDEX(МАТЕРИАЛЫ!$I$2:$I$9000,MATCH($N375,МАТЕРИАЛЫ!$L$2:$L$9000,0))="CNY",КурсCNY,1)))*(1+N($H375)/100),0),N($O375))*(1-MEDIAN(0,N(ДисконтТендер),1))))</f>
        <v>0</v>
      </c>
      <c r="U375" t="str">
        <f>IF($L375="да",MAX($U$1:$U374)+1,"")</f>
        <v/>
      </c>
      <c r="V375" t="str">
        <f t="shared" si="38"/>
        <v>Р4</v>
      </c>
      <c r="W375" t="str">
        <f t="shared" si="39"/>
        <v/>
      </c>
      <c r="X375" t="str">
        <f t="shared" si="40"/>
        <v/>
      </c>
      <c r="Y375" s="4" t="str">
        <f>IF($A375="","",IF(AND(LEFT($G375,3)="ДОК",$N375&lt;&gt;""),IFERROR(INDEX(Документация!$G$2:$G$57,MATCH($N375,Документация!$F$2:$F$57,0)),$D375),$D375&amp;IF(AND(LEFT($G375,3)&lt;&gt;"ДОК",$N375&lt;&gt;"")," — "&amp;IFERROR(INDEX(МАТЕРИАЛЫ!$C$2:$C$9000,MATCH($N375,МАТЕРИАЛЫ!$L$2:$L$9000,0)),""),"")))</f>
        <v>Устройство кровли из профлиста, металлочерепицы по деревянной обрешетке</v>
      </c>
      <c r="Z375" t="str">
        <f t="shared" si="41"/>
        <v>Р4 · Наружные строительные работы</v>
      </c>
    </row>
    <row r="376" spans="1:26" ht="28.8" x14ac:dyDescent="0.3">
      <c r="A376" t="s">
        <v>844</v>
      </c>
      <c r="B376" t="s">
        <v>836</v>
      </c>
      <c r="C376" t="s">
        <v>50</v>
      </c>
      <c r="D376" s="4" t="s">
        <v>845</v>
      </c>
      <c r="E376" t="s">
        <v>52</v>
      </c>
      <c r="F376" s="5">
        <v>547.04999999999995</v>
      </c>
      <c r="H376">
        <v>0</v>
      </c>
      <c r="I376" t="s">
        <v>53</v>
      </c>
      <c r="L376" s="6"/>
      <c r="M376" s="6"/>
      <c r="N376" s="6"/>
      <c r="O376" s="5"/>
      <c r="P376" s="7" t="str">
        <f t="shared" si="35"/>
        <v/>
      </c>
      <c r="Q376" s="7" t="str">
        <f t="shared" si="36"/>
        <v/>
      </c>
      <c r="R376" s="7" t="str">
        <f t="shared" si="37"/>
        <v/>
      </c>
      <c r="S376" s="7">
        <f>IF($A376="","",IF(AND(LEFT($G376,3)="ДОК",$N376&lt;&gt;""),IFERROR(INDEX(Документация!$E$2:$E$57,MATCH($N376,Документация!$F$2:$F$57,0)),0),N($F376))*(1-MEDIAN(0,N(ДисконтТендер),1)))</f>
        <v>547.04999999999995</v>
      </c>
      <c r="T376" s="7">
        <f>IF($A376="","",IF(AND(LEFT($G376,3)="ДОК",$N376&lt;&gt;""),0,IF(AND(LEFT($G376,3)&lt;&gt;"ДОК",$N376&lt;&gt;""),IFERROR(INDEX(МАТЕРИАЛЫ!$H$2:$H$9000,MATCH($N376,МАТЕРИАЛЫ!$L$2:$L$9000,0))*IF(INDEX(МАТЕРИАЛЫ!$I$2:$I$9000,MATCH($N376,МАТЕРИАЛЫ!$L$2:$L$9000,0))="USD",КурсUSD,IF(INDEX(МАТЕРИАЛЫ!$I$2:$I$9000,MATCH($N376,МАТЕРИАЛЫ!$L$2:$L$9000,0))="EUR",КурсEUR,IF(INDEX(МАТЕРИАЛЫ!$I$2:$I$9000,MATCH($N376,МАТЕРИАЛЫ!$L$2:$L$9000,0))="CNY",КурсCNY,1)))*(1+N($H376)/100),0),N($O376))*(1-MEDIAN(0,N(ДисконтТендер),1))))</f>
        <v>0</v>
      </c>
      <c r="U376" t="str">
        <f>IF($L376="да",MAX($U$1:$U375)+1,"")</f>
        <v/>
      </c>
      <c r="V376" t="str">
        <f t="shared" si="38"/>
        <v>Р4</v>
      </c>
      <c r="W376" t="str">
        <f t="shared" si="39"/>
        <v/>
      </c>
      <c r="X376" t="str">
        <f t="shared" si="40"/>
        <v/>
      </c>
      <c r="Y376" s="4" t="str">
        <f>IF($A376="","",IF(AND(LEFT($G376,3)="ДОК",$N376&lt;&gt;""),IFERROR(INDEX(Документация!$G$2:$G$57,MATCH($N376,Документация!$F$2:$F$57,0)),$D376),$D376&amp;IF(AND(LEFT($G376,3)&lt;&gt;"ДОК",$N376&lt;&gt;"")," — "&amp;IFERROR(INDEX(МАТЕРИАЛЫ!$C$2:$C$9000,MATCH($N376,МАТЕРИАЛЫ!$L$2:$L$9000,0)),""),"")))</f>
        <v>Грунтовка битумной мастикой примыканий и поверхности ремонтируемой кровли</v>
      </c>
      <c r="Z376" t="str">
        <f t="shared" si="41"/>
        <v>Р4 · Наружные строительные работы</v>
      </c>
    </row>
    <row r="377" spans="1:26" ht="28.8" x14ac:dyDescent="0.3">
      <c r="A377" t="s">
        <v>846</v>
      </c>
      <c r="B377" t="s">
        <v>836</v>
      </c>
      <c r="C377" t="s">
        <v>50</v>
      </c>
      <c r="D377" s="4" t="s">
        <v>847</v>
      </c>
      <c r="E377" t="s">
        <v>114</v>
      </c>
      <c r="F377" s="5">
        <v>752.51</v>
      </c>
      <c r="H377">
        <v>0</v>
      </c>
      <c r="I377" t="s">
        <v>53</v>
      </c>
      <c r="L377" s="6"/>
      <c r="M377" s="6"/>
      <c r="N377" s="6"/>
      <c r="O377" s="5"/>
      <c r="P377" s="7" t="str">
        <f t="shared" si="35"/>
        <v/>
      </c>
      <c r="Q377" s="7" t="str">
        <f t="shared" si="36"/>
        <v/>
      </c>
      <c r="R377" s="7" t="str">
        <f t="shared" si="37"/>
        <v/>
      </c>
      <c r="S377" s="7">
        <f>IF($A377="","",IF(AND(LEFT($G377,3)="ДОК",$N377&lt;&gt;""),IFERROR(INDEX(Документация!$E$2:$E$57,MATCH($N377,Документация!$F$2:$F$57,0)),0),N($F377))*(1-MEDIAN(0,N(ДисконтТендер),1)))</f>
        <v>752.51</v>
      </c>
      <c r="T377" s="7">
        <f>IF($A377="","",IF(AND(LEFT($G377,3)="ДОК",$N377&lt;&gt;""),0,IF(AND(LEFT($G377,3)&lt;&gt;"ДОК",$N377&lt;&gt;""),IFERROR(INDEX(МАТЕРИАЛЫ!$H$2:$H$9000,MATCH($N377,МАТЕРИАЛЫ!$L$2:$L$9000,0))*IF(INDEX(МАТЕРИАЛЫ!$I$2:$I$9000,MATCH($N377,МАТЕРИАЛЫ!$L$2:$L$9000,0))="USD",КурсUSD,IF(INDEX(МАТЕРИАЛЫ!$I$2:$I$9000,MATCH($N377,МАТЕРИАЛЫ!$L$2:$L$9000,0))="EUR",КурсEUR,IF(INDEX(МАТЕРИАЛЫ!$I$2:$I$9000,MATCH($N377,МАТЕРИАЛЫ!$L$2:$L$9000,0))="CNY",КурсCNY,1)))*(1+N($H377)/100),0),N($O377))*(1-MEDIAN(0,N(ДисконтТендер),1))))</f>
        <v>0</v>
      </c>
      <c r="U377" t="str">
        <f>IF($L377="да",MAX($U$1:$U376)+1,"")</f>
        <v/>
      </c>
      <c r="V377" t="str">
        <f t="shared" si="38"/>
        <v>Р4</v>
      </c>
      <c r="W377" t="str">
        <f t="shared" si="39"/>
        <v/>
      </c>
      <c r="X377" t="str">
        <f t="shared" si="40"/>
        <v/>
      </c>
      <c r="Y377" s="4" t="str">
        <f>IF($A377="","",IF(AND(LEFT($G377,3)="ДОК",$N377&lt;&gt;""),IFERROR(INDEX(Документация!$G$2:$G$57,MATCH($N377,Документация!$F$2:$F$57,0)),$D377),$D377&amp;IF(AND(LEFT($G377,3)&lt;&gt;"ДОК",$N377&lt;&gt;"")," — "&amp;IFERROR(INDEX(МАТЕРИАЛЫ!$C$2:$C$9000,MATCH($N377,МАТЕРИАЛЫ!$L$2:$L$9000,0)),""),"")))</f>
        <v>Монтаж водоотводных воронок с грязеуловителями</v>
      </c>
      <c r="Z377" t="str">
        <f t="shared" si="41"/>
        <v>Р4 · Наружные строительные работы</v>
      </c>
    </row>
    <row r="378" spans="1:26" x14ac:dyDescent="0.3">
      <c r="A378" t="s">
        <v>848</v>
      </c>
      <c r="B378" t="s">
        <v>836</v>
      </c>
      <c r="C378" t="s">
        <v>50</v>
      </c>
      <c r="D378" s="4" t="s">
        <v>849</v>
      </c>
      <c r="E378" t="s">
        <v>153</v>
      </c>
      <c r="F378" s="5">
        <v>203.58</v>
      </c>
      <c r="H378">
        <v>0</v>
      </c>
      <c r="I378" t="s">
        <v>53</v>
      </c>
      <c r="L378" s="6"/>
      <c r="M378" s="6"/>
      <c r="N378" s="6"/>
      <c r="O378" s="5"/>
      <c r="P378" s="7" t="str">
        <f t="shared" si="35"/>
        <v/>
      </c>
      <c r="Q378" s="7" t="str">
        <f t="shared" si="36"/>
        <v/>
      </c>
      <c r="R378" s="7" t="str">
        <f t="shared" si="37"/>
        <v/>
      </c>
      <c r="S378" s="7">
        <f>IF($A378="","",IF(AND(LEFT($G378,3)="ДОК",$N378&lt;&gt;""),IFERROR(INDEX(Документация!$E$2:$E$57,MATCH($N378,Документация!$F$2:$F$57,0)),0),N($F378))*(1-MEDIAN(0,N(ДисконтТендер),1)))</f>
        <v>203.58</v>
      </c>
      <c r="T378" s="7">
        <f>IF($A378="","",IF(AND(LEFT($G378,3)="ДОК",$N378&lt;&gt;""),0,IF(AND(LEFT($G378,3)&lt;&gt;"ДОК",$N378&lt;&gt;""),IFERROR(INDEX(МАТЕРИАЛЫ!$H$2:$H$9000,MATCH($N378,МАТЕРИАЛЫ!$L$2:$L$9000,0))*IF(INDEX(МАТЕРИАЛЫ!$I$2:$I$9000,MATCH($N378,МАТЕРИАЛЫ!$L$2:$L$9000,0))="USD",КурсUSD,IF(INDEX(МАТЕРИАЛЫ!$I$2:$I$9000,MATCH($N378,МАТЕРИАЛЫ!$L$2:$L$9000,0))="EUR",КурсEUR,IF(INDEX(МАТЕРИАЛЫ!$I$2:$I$9000,MATCH($N378,МАТЕРИАЛЫ!$L$2:$L$9000,0))="CNY",КурсCNY,1)))*(1+N($H378)/100),0),N($O378))*(1-MEDIAN(0,N(ДисконтТендер),1))))</f>
        <v>0</v>
      </c>
      <c r="U378" t="str">
        <f>IF($L378="да",MAX($U$1:$U377)+1,"")</f>
        <v/>
      </c>
      <c r="V378" t="str">
        <f t="shared" si="38"/>
        <v>Р4</v>
      </c>
      <c r="W378" t="str">
        <f t="shared" si="39"/>
        <v/>
      </c>
      <c r="X378" t="str">
        <f t="shared" si="40"/>
        <v/>
      </c>
      <c r="Y378" s="4" t="str">
        <f>IF($A378="","",IF(AND(LEFT($G378,3)="ДОК",$N378&lt;&gt;""),IFERROR(INDEX(Документация!$G$2:$G$57,MATCH($N378,Документация!$F$2:$F$57,0)),$D378),$D378&amp;IF(AND(LEFT($G378,3)&lt;&gt;"ДОК",$N378&lt;&gt;"")," — "&amp;IFERROR(INDEX(МАТЕРИАЛЫ!$C$2:$C$9000,MATCH($N378,МАТЕРИАЛЫ!$L$2:$L$9000,0)),""),"")))</f>
        <v>Заделка стыков морозоустойчивым герметиком</v>
      </c>
      <c r="Z378" t="str">
        <f t="shared" si="41"/>
        <v>Р4 · Наружные строительные работы</v>
      </c>
    </row>
    <row r="379" spans="1:26" ht="28.8" x14ac:dyDescent="0.3">
      <c r="A379" t="s">
        <v>850</v>
      </c>
      <c r="B379" t="s">
        <v>836</v>
      </c>
      <c r="C379" t="s">
        <v>50</v>
      </c>
      <c r="D379" s="4" t="s">
        <v>851</v>
      </c>
      <c r="E379" t="s">
        <v>52</v>
      </c>
      <c r="F379" s="5">
        <v>135.72</v>
      </c>
      <c r="H379">
        <v>0</v>
      </c>
      <c r="I379" t="s">
        <v>53</v>
      </c>
      <c r="L379" s="6"/>
      <c r="M379" s="6"/>
      <c r="N379" s="6"/>
      <c r="O379" s="5"/>
      <c r="P379" s="7" t="str">
        <f t="shared" si="35"/>
        <v/>
      </c>
      <c r="Q379" s="7" t="str">
        <f t="shared" si="36"/>
        <v/>
      </c>
      <c r="R379" s="7" t="str">
        <f t="shared" si="37"/>
        <v/>
      </c>
      <c r="S379" s="7">
        <f>IF($A379="","",IF(AND(LEFT($G379,3)="ДОК",$N379&lt;&gt;""),IFERROR(INDEX(Документация!$E$2:$E$57,MATCH($N379,Документация!$F$2:$F$57,0)),0),N($F379))*(1-MEDIAN(0,N(ДисконтТендер),1)))</f>
        <v>135.72</v>
      </c>
      <c r="T379" s="7">
        <f>IF($A379="","",IF(AND(LEFT($G379,3)="ДОК",$N379&lt;&gt;""),0,IF(AND(LEFT($G379,3)&lt;&gt;"ДОК",$N379&lt;&gt;""),IFERROR(INDEX(МАТЕРИАЛЫ!$H$2:$H$9000,MATCH($N379,МАТЕРИАЛЫ!$L$2:$L$9000,0))*IF(INDEX(МАТЕРИАЛЫ!$I$2:$I$9000,MATCH($N379,МАТЕРИАЛЫ!$L$2:$L$9000,0))="USD",КурсUSD,IF(INDEX(МАТЕРИАЛЫ!$I$2:$I$9000,MATCH($N379,МАТЕРИАЛЫ!$L$2:$L$9000,0))="EUR",КурсEUR,IF(INDEX(МАТЕРИАЛЫ!$I$2:$I$9000,MATCH($N379,МАТЕРИАЛЫ!$L$2:$L$9000,0))="CNY",КурсCNY,1)))*(1+N($H379)/100),0),N($O379))*(1-MEDIAN(0,N(ДисконтТендер),1))))</f>
        <v>0</v>
      </c>
      <c r="U379" t="str">
        <f>IF($L379="да",MAX($U$1:$U378)+1,"")</f>
        <v/>
      </c>
      <c r="V379" t="str">
        <f t="shared" si="38"/>
        <v>Р4</v>
      </c>
      <c r="W379" t="str">
        <f t="shared" si="39"/>
        <v/>
      </c>
      <c r="X379" t="str">
        <f t="shared" si="40"/>
        <v/>
      </c>
      <c r="Y379" s="4" t="str">
        <f>IF($A379="","",IF(AND(LEFT($G379,3)="ДОК",$N379&lt;&gt;""),IFERROR(INDEX(Документация!$G$2:$G$57,MATCH($N379,Документация!$F$2:$F$57,0)),$D379),$D379&amp;IF(AND(LEFT($G379,3)&lt;&gt;"ДОК",$N379&lt;&gt;"")," — "&amp;IFERROR(INDEX(МАТЕРИАЛЫ!$C$2:$C$9000,MATCH($N379,МАТЕРИАЛЫ!$L$2:$L$9000,0)),""),"")))</f>
        <v>Ревизия кровли и водосточных систем с подготовкой акта</v>
      </c>
      <c r="Z379" t="str">
        <f t="shared" si="41"/>
        <v>Р4 · Наружные строительные работы</v>
      </c>
    </row>
    <row r="380" spans="1:26" ht="43.2" x14ac:dyDescent="0.3">
      <c r="A380" t="s">
        <v>852</v>
      </c>
      <c r="B380" t="s">
        <v>836</v>
      </c>
      <c r="C380" t="s">
        <v>50</v>
      </c>
      <c r="D380" s="4" t="s">
        <v>853</v>
      </c>
      <c r="E380" t="s">
        <v>52</v>
      </c>
      <c r="F380" s="5">
        <v>755.12</v>
      </c>
      <c r="H380">
        <v>0</v>
      </c>
      <c r="I380" t="s">
        <v>53</v>
      </c>
      <c r="L380" s="6"/>
      <c r="M380" s="6"/>
      <c r="N380" s="6"/>
      <c r="O380" s="5"/>
      <c r="P380" s="7" t="str">
        <f t="shared" si="35"/>
        <v/>
      </c>
      <c r="Q380" s="7" t="str">
        <f t="shared" si="36"/>
        <v/>
      </c>
      <c r="R380" s="7" t="str">
        <f t="shared" si="37"/>
        <v/>
      </c>
      <c r="S380" s="7">
        <f>IF($A380="","",IF(AND(LEFT($G380,3)="ДОК",$N380&lt;&gt;""),IFERROR(INDEX(Документация!$E$2:$E$57,MATCH($N380,Документация!$F$2:$F$57,0)),0),N($F380))*(1-MEDIAN(0,N(ДисконтТендер),1)))</f>
        <v>755.12</v>
      </c>
      <c r="T380" s="7">
        <f>IF($A380="","",IF(AND(LEFT($G380,3)="ДОК",$N380&lt;&gt;""),0,IF(AND(LEFT($G380,3)&lt;&gt;"ДОК",$N380&lt;&gt;""),IFERROR(INDEX(МАТЕРИАЛЫ!$H$2:$H$9000,MATCH($N380,МАТЕРИАЛЫ!$L$2:$L$9000,0))*IF(INDEX(МАТЕРИАЛЫ!$I$2:$I$9000,MATCH($N380,МАТЕРИАЛЫ!$L$2:$L$9000,0))="USD",КурсUSD,IF(INDEX(МАТЕРИАЛЫ!$I$2:$I$9000,MATCH($N380,МАТЕРИАЛЫ!$L$2:$L$9000,0))="EUR",КурсEUR,IF(INDEX(МАТЕРИАЛЫ!$I$2:$I$9000,MATCH($N380,МАТЕРИАЛЫ!$L$2:$L$9000,0))="CNY",КурсCNY,1)))*(1+N($H380)/100),0),N($O380))*(1-MEDIAN(0,N(ДисконтТендер),1))))</f>
        <v>0</v>
      </c>
      <c r="U380" t="str">
        <f>IF($L380="да",MAX($U$1:$U379)+1,"")</f>
        <v/>
      </c>
      <c r="V380" t="str">
        <f t="shared" si="38"/>
        <v>Р4</v>
      </c>
      <c r="W380" t="str">
        <f t="shared" si="39"/>
        <v/>
      </c>
      <c r="X380" t="str">
        <f t="shared" si="40"/>
        <v/>
      </c>
      <c r="Y380" s="4" t="str">
        <f>IF($A380="","",IF(AND(LEFT($G380,3)="ДОК",$N380&lt;&gt;""),IFERROR(INDEX(Документация!$G$2:$G$57,MATCH($N380,Документация!$F$2:$F$57,0)),$D380),$D380&amp;IF(AND(LEFT($G380,3)&lt;&gt;"ДОК",$N380&lt;&gt;"")," — "&amp;IFERROR(INDEX(МАТЕРИАЛЫ!$C$2:$C$9000,MATCH($N380,МАТЕРИАЛЫ!$L$2:$L$9000,0)),""),"")))</f>
        <v>Устройство мелких покрытий (брандмауэры, парапеты, свесы и т.р.) из листовой оцинкованной стали</v>
      </c>
      <c r="Z380" t="str">
        <f t="shared" si="41"/>
        <v>Р4 · Наружные строительные работы</v>
      </c>
    </row>
    <row r="381" spans="1:26" x14ac:dyDescent="0.3">
      <c r="A381" t="s">
        <v>854</v>
      </c>
      <c r="B381" t="s">
        <v>836</v>
      </c>
      <c r="C381" t="s">
        <v>50</v>
      </c>
      <c r="D381" s="4" t="s">
        <v>855</v>
      </c>
      <c r="E381" t="s">
        <v>298</v>
      </c>
      <c r="F381" s="5">
        <v>11296.84</v>
      </c>
      <c r="H381">
        <v>0</v>
      </c>
      <c r="I381" t="s">
        <v>53</v>
      </c>
      <c r="L381" s="6"/>
      <c r="M381" s="6"/>
      <c r="N381" s="6"/>
      <c r="O381" s="5"/>
      <c r="P381" s="7" t="str">
        <f t="shared" si="35"/>
        <v/>
      </c>
      <c r="Q381" s="7" t="str">
        <f t="shared" si="36"/>
        <v/>
      </c>
      <c r="R381" s="7" t="str">
        <f t="shared" si="37"/>
        <v/>
      </c>
      <c r="S381" s="7">
        <f>IF($A381="","",IF(AND(LEFT($G381,3)="ДОК",$N381&lt;&gt;""),IFERROR(INDEX(Документация!$E$2:$E$57,MATCH($N381,Документация!$F$2:$F$57,0)),0),N($F381))*(1-MEDIAN(0,N(ДисконтТендер),1)))</f>
        <v>11296.84</v>
      </c>
      <c r="T381" s="7">
        <f>IF($A381="","",IF(AND(LEFT($G381,3)="ДОК",$N381&lt;&gt;""),0,IF(AND(LEFT($G381,3)&lt;&gt;"ДОК",$N381&lt;&gt;""),IFERROR(INDEX(МАТЕРИАЛЫ!$H$2:$H$9000,MATCH($N381,МАТЕРИАЛЫ!$L$2:$L$9000,0))*IF(INDEX(МАТЕРИАЛЫ!$I$2:$I$9000,MATCH($N381,МАТЕРИАЛЫ!$L$2:$L$9000,0))="USD",КурсUSD,IF(INDEX(МАТЕРИАЛЫ!$I$2:$I$9000,MATCH($N381,МАТЕРИАЛЫ!$L$2:$L$9000,0))="EUR",КурсEUR,IF(INDEX(МАТЕРИАЛЫ!$I$2:$I$9000,MATCH($N381,МАТЕРИАЛЫ!$L$2:$L$9000,0))="CNY",КурсCNY,1)))*(1+N($H381)/100),0),N($O381))*(1-MEDIAN(0,N(ДисконтТендер),1))))</f>
        <v>0</v>
      </c>
      <c r="U381" t="str">
        <f>IF($L381="да",MAX($U$1:$U380)+1,"")</f>
        <v/>
      </c>
      <c r="V381" t="str">
        <f t="shared" si="38"/>
        <v>Р4</v>
      </c>
      <c r="W381" t="str">
        <f t="shared" si="39"/>
        <v/>
      </c>
      <c r="X381" t="str">
        <f t="shared" si="40"/>
        <v/>
      </c>
      <c r="Y381" s="4" t="str">
        <f>IF($A381="","",IF(AND(LEFT($G381,3)="ДОК",$N381&lt;&gt;""),IFERROR(INDEX(Документация!$G$2:$G$57,MATCH($N381,Документация!$F$2:$F$57,0)),$D381),$D381&amp;IF(AND(LEFT($G381,3)&lt;&gt;"ДОК",$N381&lt;&gt;"")," — "&amp;IFERROR(INDEX(МАТЕРИАЛЫ!$C$2:$C$9000,MATCH($N381,МАТЕРИАЛЫ!$L$2:$L$9000,0)),""),"")))</f>
        <v>Подъем материалов на крышу здания</v>
      </c>
      <c r="Z381" t="str">
        <f t="shared" si="41"/>
        <v>Р4 · Наружные строительные работы</v>
      </c>
    </row>
    <row r="382" spans="1:26" x14ac:dyDescent="0.3">
      <c r="A382" t="s">
        <v>856</v>
      </c>
      <c r="B382" t="s">
        <v>836</v>
      </c>
      <c r="C382" t="s">
        <v>50</v>
      </c>
      <c r="D382" s="4" t="s">
        <v>857</v>
      </c>
      <c r="E382" t="s">
        <v>153</v>
      </c>
      <c r="F382" s="5">
        <v>610.74</v>
      </c>
      <c r="H382">
        <v>0</v>
      </c>
      <c r="I382" t="s">
        <v>53</v>
      </c>
      <c r="L382" s="6"/>
      <c r="M382" s="6"/>
      <c r="N382" s="6"/>
      <c r="O382" s="5"/>
      <c r="P382" s="7" t="str">
        <f t="shared" si="35"/>
        <v/>
      </c>
      <c r="Q382" s="7" t="str">
        <f t="shared" si="36"/>
        <v/>
      </c>
      <c r="R382" s="7" t="str">
        <f t="shared" si="37"/>
        <v/>
      </c>
      <c r="S382" s="7">
        <f>IF($A382="","",IF(AND(LEFT($G382,3)="ДОК",$N382&lt;&gt;""),IFERROR(INDEX(Документация!$E$2:$E$57,MATCH($N382,Документация!$F$2:$F$57,0)),0),N($F382))*(1-MEDIAN(0,N(ДисконтТендер),1)))</f>
        <v>610.74</v>
      </c>
      <c r="T382" s="7">
        <f>IF($A382="","",IF(AND(LEFT($G382,3)="ДОК",$N382&lt;&gt;""),0,IF(AND(LEFT($G382,3)&lt;&gt;"ДОК",$N382&lt;&gt;""),IFERROR(INDEX(МАТЕРИАЛЫ!$H$2:$H$9000,MATCH($N382,МАТЕРИАЛЫ!$L$2:$L$9000,0))*IF(INDEX(МАТЕРИАЛЫ!$I$2:$I$9000,MATCH($N382,МАТЕРИАЛЫ!$L$2:$L$9000,0))="USD",КурсUSD,IF(INDEX(МАТЕРИАЛЫ!$I$2:$I$9000,MATCH($N382,МАТЕРИАЛЫ!$L$2:$L$9000,0))="EUR",КурсEUR,IF(INDEX(МАТЕРИАЛЫ!$I$2:$I$9000,MATCH($N382,МАТЕРИАЛЫ!$L$2:$L$9000,0))="CNY",КурсCNY,1)))*(1+N($H382)/100),0),N($O382))*(1-MEDIAN(0,N(ДисконтТендер),1))))</f>
        <v>0</v>
      </c>
      <c r="U382" t="str">
        <f>IF($L382="да",MAX($U$1:$U381)+1,"")</f>
        <v/>
      </c>
      <c r="V382" t="str">
        <f t="shared" si="38"/>
        <v>Р4</v>
      </c>
      <c r="W382" t="str">
        <f t="shared" si="39"/>
        <v/>
      </c>
      <c r="X382" t="str">
        <f t="shared" si="40"/>
        <v/>
      </c>
      <c r="Y382" s="4" t="str">
        <f>IF($A382="","",IF(AND(LEFT($G382,3)="ДОК",$N382&lt;&gt;""),IFERROR(INDEX(Документация!$G$2:$G$57,MATCH($N382,Документация!$F$2:$F$57,0)),$D382),$D382&amp;IF(AND(LEFT($G382,3)&lt;&gt;"ДОК",$N382&lt;&gt;"")," — "&amp;IFERROR(INDEX(МАТЕРИАЛЫ!$C$2:$C$9000,MATCH($N382,МАТЕРИАЛЫ!$L$2:$L$9000,0)),""),"")))</f>
        <v>Устройство фартука из оцинкованной стали</v>
      </c>
      <c r="Z382" t="str">
        <f t="shared" si="41"/>
        <v>Р4 · Наружные строительные работы</v>
      </c>
    </row>
    <row r="383" spans="1:26" ht="28.8" x14ac:dyDescent="0.3">
      <c r="A383" t="s">
        <v>858</v>
      </c>
      <c r="B383" t="s">
        <v>836</v>
      </c>
      <c r="C383" t="s">
        <v>50</v>
      </c>
      <c r="D383" s="4" t="s">
        <v>859</v>
      </c>
      <c r="E383" t="s">
        <v>83</v>
      </c>
      <c r="F383" s="5">
        <v>12325.63</v>
      </c>
      <c r="H383">
        <v>0</v>
      </c>
      <c r="I383" t="s">
        <v>53</v>
      </c>
      <c r="L383" s="6"/>
      <c r="M383" s="6"/>
      <c r="N383" s="6"/>
      <c r="O383" s="5"/>
      <c r="P383" s="7" t="str">
        <f t="shared" si="35"/>
        <v/>
      </c>
      <c r="Q383" s="7" t="str">
        <f t="shared" si="36"/>
        <v/>
      </c>
      <c r="R383" s="7" t="str">
        <f t="shared" si="37"/>
        <v/>
      </c>
      <c r="S383" s="7">
        <f>IF($A383="","",IF(AND(LEFT($G383,3)="ДОК",$N383&lt;&gt;""),IFERROR(INDEX(Документация!$E$2:$E$57,MATCH($N383,Документация!$F$2:$F$57,0)),0),N($F383))*(1-MEDIAN(0,N(ДисконтТендер),1)))</f>
        <v>12325.63</v>
      </c>
      <c r="T383" s="7">
        <f>IF($A383="","",IF(AND(LEFT($G383,3)="ДОК",$N383&lt;&gt;""),0,IF(AND(LEFT($G383,3)&lt;&gt;"ДОК",$N383&lt;&gt;""),IFERROR(INDEX(МАТЕРИАЛЫ!$H$2:$H$9000,MATCH($N383,МАТЕРИАЛЫ!$L$2:$L$9000,0))*IF(INDEX(МАТЕРИАЛЫ!$I$2:$I$9000,MATCH($N383,МАТЕРИАЛЫ!$L$2:$L$9000,0))="USD",КурсUSD,IF(INDEX(МАТЕРИАЛЫ!$I$2:$I$9000,MATCH($N383,МАТЕРИАЛЫ!$L$2:$L$9000,0))="EUR",КурсEUR,IF(INDEX(МАТЕРИАЛЫ!$I$2:$I$9000,MATCH($N383,МАТЕРИАЛЫ!$L$2:$L$9000,0))="CNY",КурсCNY,1)))*(1+N($H383)/100),0),N($O383))*(1-MEDIAN(0,N(ДисконтТендер),1))))</f>
        <v>0</v>
      </c>
      <c r="U383" t="str">
        <f>IF($L383="да",MAX($U$1:$U382)+1,"")</f>
        <v/>
      </c>
      <c r="V383" t="str">
        <f t="shared" si="38"/>
        <v>Р4</v>
      </c>
      <c r="W383" t="str">
        <f t="shared" si="39"/>
        <v/>
      </c>
      <c r="X383" t="str">
        <f t="shared" si="40"/>
        <v/>
      </c>
      <c r="Y383" s="4" t="str">
        <f>IF($A383="","",IF(AND(LEFT($G383,3)="ДОК",$N383&lt;&gt;""),IFERROR(INDEX(Документация!$G$2:$G$57,MATCH($N383,Документация!$F$2:$F$57,0)),$D383),$D383&amp;IF(AND(LEFT($G383,3)&lt;&gt;"ДОК",$N383&lt;&gt;"")," — "&amp;IFERROR(INDEX(МАТЕРИАЛЫ!$C$2:$C$9000,MATCH($N383,МАТЕРИАЛЫ!$L$2:$L$9000,0)),""),"")))</f>
        <v>Устройство эл подогрева воронок и кровли вокруг низ не менее 1 п.м от воронки</v>
      </c>
      <c r="Z383" t="str">
        <f t="shared" si="41"/>
        <v>Р4 · Наружные строительные работы</v>
      </c>
    </row>
    <row r="384" spans="1:26" ht="43.2" x14ac:dyDescent="0.3">
      <c r="A384" t="s">
        <v>860</v>
      </c>
      <c r="B384" t="s">
        <v>836</v>
      </c>
      <c r="C384" t="s">
        <v>161</v>
      </c>
      <c r="D384" s="4" t="s">
        <v>861</v>
      </c>
      <c r="E384" t="s">
        <v>52</v>
      </c>
      <c r="F384" s="5">
        <v>339.3</v>
      </c>
      <c r="H384">
        <v>0</v>
      </c>
      <c r="I384" t="s">
        <v>53</v>
      </c>
      <c r="L384" s="6"/>
      <c r="M384" s="6"/>
      <c r="N384" s="6"/>
      <c r="O384" s="5"/>
      <c r="P384" s="7" t="str">
        <f t="shared" si="35"/>
        <v/>
      </c>
      <c r="Q384" s="7" t="str">
        <f t="shared" si="36"/>
        <v/>
      </c>
      <c r="R384" s="7" t="str">
        <f t="shared" si="37"/>
        <v/>
      </c>
      <c r="S384" s="7">
        <f>IF($A384="","",IF(AND(LEFT($G384,3)="ДОК",$N384&lt;&gt;""),IFERROR(INDEX(Документация!$E$2:$E$57,MATCH($N384,Документация!$F$2:$F$57,0)),0),N($F384))*(1-MEDIAN(0,N(ДисконтТендер),1)))</f>
        <v>339.3</v>
      </c>
      <c r="T384" s="7">
        <f>IF($A384="","",IF(AND(LEFT($G384,3)="ДОК",$N384&lt;&gt;""),0,IF(AND(LEFT($G384,3)&lt;&gt;"ДОК",$N384&lt;&gt;""),IFERROR(INDEX(МАТЕРИАЛЫ!$H$2:$H$9000,MATCH($N384,МАТЕРИАЛЫ!$L$2:$L$9000,0))*IF(INDEX(МАТЕРИАЛЫ!$I$2:$I$9000,MATCH($N384,МАТЕРИАЛЫ!$L$2:$L$9000,0))="USD",КурсUSD,IF(INDEX(МАТЕРИАЛЫ!$I$2:$I$9000,MATCH($N384,МАТЕРИАЛЫ!$L$2:$L$9000,0))="EUR",КурсEUR,IF(INDEX(МАТЕРИАЛЫ!$I$2:$I$9000,MATCH($N384,МАТЕРИАЛЫ!$L$2:$L$9000,0))="CNY",КурсCNY,1)))*(1+N($H384)/100),0),N($O384))*(1-MEDIAN(0,N(ДисконтТендер),1))))</f>
        <v>0</v>
      </c>
      <c r="U384" t="str">
        <f>IF($L384="да",MAX($U$1:$U383)+1,"")</f>
        <v/>
      </c>
      <c r="V384" t="str">
        <f t="shared" si="38"/>
        <v>Р4</v>
      </c>
      <c r="W384" t="str">
        <f t="shared" si="39"/>
        <v/>
      </c>
      <c r="X384" t="str">
        <f t="shared" si="40"/>
        <v/>
      </c>
      <c r="Y384" s="4" t="str">
        <f>IF($A384="","",IF(AND(LEFT($G384,3)="ДОК",$N384&lt;&gt;""),IFERROR(INDEX(Документация!$G$2:$G$57,MATCH($N384,Документация!$F$2:$F$57,0)),$D384),$D384&amp;IF(AND(LEFT($G384,3)&lt;&gt;"ДОК",$N384&lt;&gt;"")," — "&amp;IFERROR(INDEX(МАТЕРИАЛЫ!$C$2:$C$9000,MATCH($N384,МАТЕРИАЛЫ!$L$2:$L$9000,0)),""),"")))</f>
        <v>Устройство основания под штукатурку из металлической сетки по кирпичным и бетонным поверхностям</v>
      </c>
      <c r="Z384" t="str">
        <f t="shared" si="41"/>
        <v>Р4 · Наружные строительные работы</v>
      </c>
    </row>
    <row r="385" spans="1:26" ht="43.2" x14ac:dyDescent="0.3">
      <c r="A385" t="s">
        <v>862</v>
      </c>
      <c r="B385" t="s">
        <v>836</v>
      </c>
      <c r="C385" t="s">
        <v>161</v>
      </c>
      <c r="D385" s="4" t="s">
        <v>863</v>
      </c>
      <c r="E385" t="s">
        <v>52</v>
      </c>
      <c r="F385" s="5">
        <v>1000</v>
      </c>
      <c r="H385">
        <v>0</v>
      </c>
      <c r="I385" t="s">
        <v>53</v>
      </c>
      <c r="L385" s="6"/>
      <c r="M385" s="6"/>
      <c r="N385" s="6"/>
      <c r="O385" s="5"/>
      <c r="P385" s="7" t="str">
        <f t="shared" si="35"/>
        <v/>
      </c>
      <c r="Q385" s="7" t="str">
        <f t="shared" si="36"/>
        <v/>
      </c>
      <c r="R385" s="7" t="str">
        <f t="shared" si="37"/>
        <v/>
      </c>
      <c r="S385" s="7">
        <f>IF($A385="","",IF(AND(LEFT($G385,3)="ДОК",$N385&lt;&gt;""),IFERROR(INDEX(Документация!$E$2:$E$57,MATCH($N385,Документация!$F$2:$F$57,0)),0),N($F385))*(1-MEDIAN(0,N(ДисконтТендер),1)))</f>
        <v>1000</v>
      </c>
      <c r="T385" s="7">
        <f>IF($A385="","",IF(AND(LEFT($G385,3)="ДОК",$N385&lt;&gt;""),0,IF(AND(LEFT($G385,3)&lt;&gt;"ДОК",$N385&lt;&gt;""),IFERROR(INDEX(МАТЕРИАЛЫ!$H$2:$H$9000,MATCH($N385,МАТЕРИАЛЫ!$L$2:$L$9000,0))*IF(INDEX(МАТЕРИАЛЫ!$I$2:$I$9000,MATCH($N385,МАТЕРИАЛЫ!$L$2:$L$9000,0))="USD",КурсUSD,IF(INDEX(МАТЕРИАЛЫ!$I$2:$I$9000,MATCH($N385,МАТЕРИАЛЫ!$L$2:$L$9000,0))="EUR",КурсEUR,IF(INDEX(МАТЕРИАЛЫ!$I$2:$I$9000,MATCH($N385,МАТЕРИАЛЫ!$L$2:$L$9000,0))="CNY",КурсCNY,1)))*(1+N($H385)/100),0),N($O385))*(1-MEDIAN(0,N(ДисконтТендер),1))))</f>
        <v>0</v>
      </c>
      <c r="U385" t="str">
        <f>IF($L385="да",MAX($U$1:$U384)+1,"")</f>
        <v/>
      </c>
      <c r="V385" t="str">
        <f t="shared" si="38"/>
        <v>Р4</v>
      </c>
      <c r="W385" t="str">
        <f t="shared" si="39"/>
        <v/>
      </c>
      <c r="X385" t="str">
        <f t="shared" si="40"/>
        <v/>
      </c>
      <c r="Y385" s="4" t="str">
        <f>IF($A385="","",IF(AND(LEFT($G385,3)="ДОК",$N385&lt;&gt;""),IFERROR(INDEX(Документация!$G$2:$G$57,MATCH($N385,Документация!$F$2:$F$57,0)),$D385),$D385&amp;IF(AND(LEFT($G385,3)&lt;&gt;"ДОК",$N385&lt;&gt;"")," — "&amp;IFERROR(INDEX(МАТЕРИАЛЫ!$C$2:$C$9000,MATCH($N385,МАТЕРИАЛЫ!$L$2:$L$9000,0)),""),"")))</f>
        <v>Штукатурка фасада по сетке морозоустройчивыми смесями с устройством "рисунка" согласно архитектуры фасада здания</v>
      </c>
      <c r="Z385" t="str">
        <f t="shared" si="41"/>
        <v>Р4 · Наружные строительные работы</v>
      </c>
    </row>
    <row r="386" spans="1:26" ht="43.2" x14ac:dyDescent="0.3">
      <c r="A386" t="s">
        <v>864</v>
      </c>
      <c r="B386" t="s">
        <v>836</v>
      </c>
      <c r="C386" t="s">
        <v>161</v>
      </c>
      <c r="D386" s="4" t="s">
        <v>865</v>
      </c>
      <c r="E386" t="s">
        <v>52</v>
      </c>
      <c r="F386" s="5">
        <v>761.21</v>
      </c>
      <c r="H386">
        <v>0</v>
      </c>
      <c r="I386" t="s">
        <v>53</v>
      </c>
      <c r="L386" s="6"/>
      <c r="M386" s="6"/>
      <c r="N386" s="6"/>
      <c r="O386" s="5"/>
      <c r="P386" s="7" t="str">
        <f t="shared" ref="P386:P449" si="42">IF($L386="да",ROUND(N($M386)*$S386,2),"")</f>
        <v/>
      </c>
      <c r="Q386" s="7" t="str">
        <f t="shared" ref="Q386:Q449" si="43">IF($L386="да",ROUND(N($M386)*$T386,2),"")</f>
        <v/>
      </c>
      <c r="R386" s="7" t="str">
        <f t="shared" ref="R386:R449" si="44">IF($L386="да",N($P386)+N($Q386),"")</f>
        <v/>
      </c>
      <c r="S386" s="7">
        <f>IF($A386="","",IF(AND(LEFT($G386,3)="ДОК",$N386&lt;&gt;""),IFERROR(INDEX(Документация!$E$2:$E$57,MATCH($N386,Документация!$F$2:$F$57,0)),0),N($F386))*(1-MEDIAN(0,N(ДисконтТендер),1)))</f>
        <v>761.21</v>
      </c>
      <c r="T386" s="7">
        <f>IF($A386="","",IF(AND(LEFT($G386,3)="ДОК",$N386&lt;&gt;""),0,IF(AND(LEFT($G386,3)&lt;&gt;"ДОК",$N386&lt;&gt;""),IFERROR(INDEX(МАТЕРИАЛЫ!$H$2:$H$9000,MATCH($N386,МАТЕРИАЛЫ!$L$2:$L$9000,0))*IF(INDEX(МАТЕРИАЛЫ!$I$2:$I$9000,MATCH($N386,МАТЕРИАЛЫ!$L$2:$L$9000,0))="USD",КурсUSD,IF(INDEX(МАТЕРИАЛЫ!$I$2:$I$9000,MATCH($N386,МАТЕРИАЛЫ!$L$2:$L$9000,0))="EUR",КурсEUR,IF(INDEX(МАТЕРИАЛЫ!$I$2:$I$9000,MATCH($N386,МАТЕРИАЛЫ!$L$2:$L$9000,0))="CNY",КурсCNY,1)))*(1+N($H386)/100),0),N($O386))*(1-MEDIAN(0,N(ДисконтТендер),1))))</f>
        <v>0</v>
      </c>
      <c r="U386" t="str">
        <f>IF($L386="да",MAX($U$1:$U385)+1,"")</f>
        <v/>
      </c>
      <c r="V386" t="str">
        <f t="shared" ref="V386:V449" si="45">IF($A386="","",$B386)</f>
        <v>Р4</v>
      </c>
      <c r="W386" t="str">
        <f t="shared" ref="W386:W449" si="46">IF($U386="","",IF($U386=1,1,IF($V386&lt;&gt;IFERROR(INDEX($V$2:$V$1058,MATCH($U386-1,$U$2:$U$1058,0)),"~"),1,0)))</f>
        <v/>
      </c>
      <c r="X386" t="str">
        <f t="shared" ref="X386:X449" si="47">IF($U386="","",$U386+SUMIFS($W$2:$W$1058,$U$2:$U$1058,"&lt;="&amp;$U386))</f>
        <v/>
      </c>
      <c r="Y386" s="4" t="str">
        <f>IF($A386="","",IF(AND(LEFT($G386,3)="ДОК",$N386&lt;&gt;""),IFERROR(INDEX(Документация!$G$2:$G$57,MATCH($N386,Документация!$F$2:$F$57,0)),$D386),$D386&amp;IF(AND(LEFT($G386,3)&lt;&gt;"ДОК",$N386&lt;&gt;"")," — "&amp;IFERROR(INDEX(МАТЕРИАЛЫ!$C$2:$C$9000,MATCH($N386,МАТЕРИАЛЫ!$L$2:$L$9000,0)),""),"")))</f>
        <v>Ремонт штукатурки гладких фасадов по камню и бетону цементно-известковым раствором толщиной слоя до 20 мм</v>
      </c>
      <c r="Z386" t="str">
        <f t="shared" ref="Z386:Z449" si="48">IF($B386="","",$B386&amp;" · "&amp;IFERROR(VLOOKUP($B386,спрРазделы,2,0),""))</f>
        <v>Р4 · Наружные строительные работы</v>
      </c>
    </row>
    <row r="387" spans="1:26" ht="28.8" x14ac:dyDescent="0.3">
      <c r="A387" t="s">
        <v>866</v>
      </c>
      <c r="B387" t="s">
        <v>836</v>
      </c>
      <c r="C387" t="s">
        <v>161</v>
      </c>
      <c r="D387" s="4" t="s">
        <v>867</v>
      </c>
      <c r="E387" t="s">
        <v>52</v>
      </c>
      <c r="F387" s="5">
        <v>762.08</v>
      </c>
      <c r="H387">
        <v>0</v>
      </c>
      <c r="I387" t="s">
        <v>53</v>
      </c>
      <c r="L387" s="6"/>
      <c r="M387" s="6"/>
      <c r="N387" s="6"/>
      <c r="O387" s="5"/>
      <c r="P387" s="7" t="str">
        <f t="shared" si="42"/>
        <v/>
      </c>
      <c r="Q387" s="7" t="str">
        <f t="shared" si="43"/>
        <v/>
      </c>
      <c r="R387" s="7" t="str">
        <f t="shared" si="44"/>
        <v/>
      </c>
      <c r="S387" s="7">
        <f>IF($A387="","",IF(AND(LEFT($G387,3)="ДОК",$N387&lt;&gt;""),IFERROR(INDEX(Документация!$E$2:$E$57,MATCH($N387,Документация!$F$2:$F$57,0)),0),N($F387))*(1-MEDIAN(0,N(ДисконтТендер),1)))</f>
        <v>762.08</v>
      </c>
      <c r="T387" s="7">
        <f>IF($A387="","",IF(AND(LEFT($G387,3)="ДОК",$N387&lt;&gt;""),0,IF(AND(LEFT($G387,3)&lt;&gt;"ДОК",$N387&lt;&gt;""),IFERROR(INDEX(МАТЕРИАЛЫ!$H$2:$H$9000,MATCH($N387,МАТЕРИАЛЫ!$L$2:$L$9000,0))*IF(INDEX(МАТЕРИАЛЫ!$I$2:$I$9000,MATCH($N387,МАТЕРИАЛЫ!$L$2:$L$9000,0))="USD",КурсUSD,IF(INDEX(МАТЕРИАЛЫ!$I$2:$I$9000,MATCH($N387,МАТЕРИАЛЫ!$L$2:$L$9000,0))="EUR",КурсEUR,IF(INDEX(МАТЕРИАЛЫ!$I$2:$I$9000,MATCH($N387,МАТЕРИАЛЫ!$L$2:$L$9000,0))="CNY",КурсCNY,1)))*(1+N($H387)/100),0),N($O387))*(1-MEDIAN(0,N(ДисконтТендер),1))))</f>
        <v>0</v>
      </c>
      <c r="U387" t="str">
        <f>IF($L387="да",MAX($U$1:$U386)+1,"")</f>
        <v/>
      </c>
      <c r="V387" t="str">
        <f t="shared" si="45"/>
        <v>Р4</v>
      </c>
      <c r="W387" t="str">
        <f t="shared" si="46"/>
        <v/>
      </c>
      <c r="X387" t="str">
        <f t="shared" si="47"/>
        <v/>
      </c>
      <c r="Y387" s="4" t="str">
        <f>IF($A387="","",IF(AND(LEFT($G387,3)="ДОК",$N387&lt;&gt;""),IFERROR(INDEX(Документация!$G$2:$G$57,MATCH($N387,Документация!$F$2:$F$57,0)),$D387),$D387&amp;IF(AND(LEFT($G387,3)&lt;&gt;"ДОК",$N387&lt;&gt;"")," — "&amp;IFERROR(INDEX(МАТЕРИАЛЫ!$C$2:$C$9000,MATCH($N387,МАТЕРИАЛЫ!$L$2:$L$9000,0)),""),"")))</f>
        <v>Частичный ремонт фасада (расшивка и заделка трещин на штукарке, шпатлевка выбоин, сколов)</v>
      </c>
      <c r="Z387" t="str">
        <f t="shared" si="48"/>
        <v>Р4 · Наружные строительные работы</v>
      </c>
    </row>
    <row r="388" spans="1:26" ht="28.8" x14ac:dyDescent="0.3">
      <c r="A388" t="s">
        <v>868</v>
      </c>
      <c r="B388" t="s">
        <v>836</v>
      </c>
      <c r="C388" t="s">
        <v>161</v>
      </c>
      <c r="D388" s="4" t="s">
        <v>869</v>
      </c>
      <c r="E388" t="s">
        <v>52</v>
      </c>
      <c r="F388" s="5">
        <v>75.2</v>
      </c>
      <c r="H388">
        <v>0</v>
      </c>
      <c r="I388" t="s">
        <v>53</v>
      </c>
      <c r="L388" s="6"/>
      <c r="M388" s="6"/>
      <c r="N388" s="6"/>
      <c r="O388" s="5"/>
      <c r="P388" s="7" t="str">
        <f t="shared" si="42"/>
        <v/>
      </c>
      <c r="Q388" s="7" t="str">
        <f t="shared" si="43"/>
        <v/>
      </c>
      <c r="R388" s="7" t="str">
        <f t="shared" si="44"/>
        <v/>
      </c>
      <c r="S388" s="7">
        <f>IF($A388="","",IF(AND(LEFT($G388,3)="ДОК",$N388&lt;&gt;""),IFERROR(INDEX(Документация!$E$2:$E$57,MATCH($N388,Документация!$F$2:$F$57,0)),0),N($F388))*(1-MEDIAN(0,N(ДисконтТендер),1)))</f>
        <v>75.2</v>
      </c>
      <c r="T388" s="7">
        <f>IF($A388="","",IF(AND(LEFT($G388,3)="ДОК",$N388&lt;&gt;""),0,IF(AND(LEFT($G388,3)&lt;&gt;"ДОК",$N388&lt;&gt;""),IFERROR(INDEX(МАТЕРИАЛЫ!$H$2:$H$9000,MATCH($N388,МАТЕРИАЛЫ!$L$2:$L$9000,0))*IF(INDEX(МАТЕРИАЛЫ!$I$2:$I$9000,MATCH($N388,МАТЕРИАЛЫ!$L$2:$L$9000,0))="USD",КурсUSD,IF(INDEX(МАТЕРИАЛЫ!$I$2:$I$9000,MATCH($N388,МАТЕРИАЛЫ!$L$2:$L$9000,0))="EUR",КурсEUR,IF(INDEX(МАТЕРИАЛЫ!$I$2:$I$9000,MATCH($N388,МАТЕРИАЛЫ!$L$2:$L$9000,0))="CNY",КурсCNY,1)))*(1+N($H388)/100),0),N($O388))*(1-MEDIAN(0,N(ДисконтТендер),1))))</f>
        <v>0</v>
      </c>
      <c r="U388" t="str">
        <f>IF($L388="да",MAX($U$1:$U387)+1,"")</f>
        <v/>
      </c>
      <c r="V388" t="str">
        <f t="shared" si="45"/>
        <v>Р4</v>
      </c>
      <c r="W388" t="str">
        <f t="shared" si="46"/>
        <v/>
      </c>
      <c r="X388" t="str">
        <f t="shared" si="47"/>
        <v/>
      </c>
      <c r="Y388" s="4" t="str">
        <f>IF($A388="","",IF(AND(LEFT($G388,3)="ДОК",$N388&lt;&gt;""),IFERROR(INDEX(Документация!$G$2:$G$57,MATCH($N388,Документация!$F$2:$F$57,0)),$D388),$D388&amp;IF(AND(LEFT($G388,3)&lt;&gt;"ДОК",$N388&lt;&gt;"")," — "&amp;IFERROR(INDEX(МАТЕРИАЛЫ!$C$2:$C$9000,MATCH($N388,МАТЕРИАЛЫ!$L$2:$L$9000,0)),""),"")))</f>
        <v>Грунтовка фасада глубопроникающей грунтовкой за два раза</v>
      </c>
      <c r="Z388" t="str">
        <f t="shared" si="48"/>
        <v>Р4 · Наружные строительные работы</v>
      </c>
    </row>
    <row r="389" spans="1:26" x14ac:dyDescent="0.3">
      <c r="A389" t="s">
        <v>870</v>
      </c>
      <c r="B389" t="s">
        <v>836</v>
      </c>
      <c r="C389" t="s">
        <v>161</v>
      </c>
      <c r="D389" s="4" t="s">
        <v>871</v>
      </c>
      <c r="E389" t="s">
        <v>52</v>
      </c>
      <c r="F389" s="5">
        <v>763.82</v>
      </c>
      <c r="H389">
        <v>0</v>
      </c>
      <c r="I389" t="s">
        <v>53</v>
      </c>
      <c r="L389" s="6"/>
      <c r="M389" s="6"/>
      <c r="N389" s="6"/>
      <c r="O389" s="5"/>
      <c r="P389" s="7" t="str">
        <f t="shared" si="42"/>
        <v/>
      </c>
      <c r="Q389" s="7" t="str">
        <f t="shared" si="43"/>
        <v/>
      </c>
      <c r="R389" s="7" t="str">
        <f t="shared" si="44"/>
        <v/>
      </c>
      <c r="S389" s="7">
        <f>IF($A389="","",IF(AND(LEFT($G389,3)="ДОК",$N389&lt;&gt;""),IFERROR(INDEX(Документация!$E$2:$E$57,MATCH($N389,Документация!$F$2:$F$57,0)),0),N($F389))*(1-MEDIAN(0,N(ДисконтТендер),1)))</f>
        <v>763.82</v>
      </c>
      <c r="T389" s="7">
        <f>IF($A389="","",IF(AND(LEFT($G389,3)="ДОК",$N389&lt;&gt;""),0,IF(AND(LEFT($G389,3)&lt;&gt;"ДОК",$N389&lt;&gt;""),IFERROR(INDEX(МАТЕРИАЛЫ!$H$2:$H$9000,MATCH($N389,МАТЕРИАЛЫ!$L$2:$L$9000,0))*IF(INDEX(МАТЕРИАЛЫ!$I$2:$I$9000,MATCH($N389,МАТЕРИАЛЫ!$L$2:$L$9000,0))="USD",КурсUSD,IF(INDEX(МАТЕРИАЛЫ!$I$2:$I$9000,MATCH($N389,МАТЕРИАЛЫ!$L$2:$L$9000,0))="EUR",КурсEUR,IF(INDEX(МАТЕРИАЛЫ!$I$2:$I$9000,MATCH($N389,МАТЕРИАЛЫ!$L$2:$L$9000,0))="CNY",КурсCNY,1)))*(1+N($H389)/100),0),N($O389))*(1-MEDIAN(0,N(ДисконтТендер),1))))</f>
        <v>0</v>
      </c>
      <c r="U389" t="str">
        <f>IF($L389="да",MAX($U$1:$U388)+1,"")</f>
        <v/>
      </c>
      <c r="V389" t="str">
        <f t="shared" si="45"/>
        <v>Р4</v>
      </c>
      <c r="W389" t="str">
        <f t="shared" si="46"/>
        <v/>
      </c>
      <c r="X389" t="str">
        <f t="shared" si="47"/>
        <v/>
      </c>
      <c r="Y389" s="4" t="str">
        <f>IF($A389="","",IF(AND(LEFT($G389,3)="ДОК",$N389&lt;&gt;""),IFERROR(INDEX(Документация!$G$2:$G$57,MATCH($N389,Документация!$F$2:$F$57,0)),$D389),$D389&amp;IF(AND(LEFT($G389,3)&lt;&gt;"ДОК",$N389&lt;&gt;"")," — "&amp;IFERROR(INDEX(МАТЕРИАЛЫ!$C$2:$C$9000,MATCH($N389,МАТЕРИАЛЫ!$L$2:$L$9000,0)),""),"")))</f>
        <v>Шпатлевка фасада смесями Vetonit VH</v>
      </c>
      <c r="Z389" t="str">
        <f t="shared" si="48"/>
        <v>Р4 · Наружные строительные работы</v>
      </c>
    </row>
    <row r="390" spans="1:26" x14ac:dyDescent="0.3">
      <c r="A390" t="s">
        <v>872</v>
      </c>
      <c r="B390" t="s">
        <v>836</v>
      </c>
      <c r="C390" t="s">
        <v>161</v>
      </c>
      <c r="D390" s="4" t="s">
        <v>569</v>
      </c>
      <c r="E390" t="s">
        <v>52</v>
      </c>
      <c r="F390" s="5">
        <v>746.46</v>
      </c>
      <c r="G390" t="s">
        <v>498</v>
      </c>
      <c r="H390">
        <v>5</v>
      </c>
      <c r="I390" t="s">
        <v>53</v>
      </c>
      <c r="L390" s="6"/>
      <c r="M390" s="6"/>
      <c r="N390" s="6"/>
      <c r="O390" s="5"/>
      <c r="P390" s="7" t="str">
        <f t="shared" si="42"/>
        <v/>
      </c>
      <c r="Q390" s="7" t="str">
        <f t="shared" si="43"/>
        <v/>
      </c>
      <c r="R390" s="7" t="str">
        <f t="shared" si="44"/>
        <v/>
      </c>
      <c r="S390" s="7">
        <f>IF($A390="","",IF(AND(LEFT($G390,3)="ДОК",$N390&lt;&gt;""),IFERROR(INDEX(Документация!$E$2:$E$57,MATCH($N390,Документация!$F$2:$F$57,0)),0),N($F390))*(1-MEDIAN(0,N(ДисконтТендер),1)))</f>
        <v>746.46</v>
      </c>
      <c r="T390" s="7">
        <f>IF($A390="","",IF(AND(LEFT($G390,3)="ДОК",$N390&lt;&gt;""),0,IF(AND(LEFT($G390,3)&lt;&gt;"ДОК",$N390&lt;&gt;""),IFERROR(INDEX(МАТЕРИАЛЫ!$H$2:$H$9000,MATCH($N390,МАТЕРИАЛЫ!$L$2:$L$9000,0))*IF(INDEX(МАТЕРИАЛЫ!$I$2:$I$9000,MATCH($N390,МАТЕРИАЛЫ!$L$2:$L$9000,0))="USD",КурсUSD,IF(INDEX(МАТЕРИАЛЫ!$I$2:$I$9000,MATCH($N390,МАТЕРИАЛЫ!$L$2:$L$9000,0))="EUR",КурсEUR,IF(INDEX(МАТЕРИАЛЫ!$I$2:$I$9000,MATCH($N390,МАТЕРИАЛЫ!$L$2:$L$9000,0))="CNY",КурсCNY,1)))*(1+N($H390)/100),0),N($O390))*(1-MEDIAN(0,N(ДисконтТендер),1))))</f>
        <v>0</v>
      </c>
      <c r="U390" t="str">
        <f>IF($L390="да",MAX($U$1:$U389)+1,"")</f>
        <v/>
      </c>
      <c r="V390" t="str">
        <f t="shared" si="45"/>
        <v>Р4</v>
      </c>
      <c r="W390" t="str">
        <f t="shared" si="46"/>
        <v/>
      </c>
      <c r="X390" t="str">
        <f t="shared" si="47"/>
        <v/>
      </c>
      <c r="Y390" s="4" t="str">
        <f>IF($A390="","",IF(AND(LEFT($G390,3)="ДОК",$N390&lt;&gt;""),IFERROR(INDEX(Документация!$G$2:$G$57,MATCH($N390,Документация!$F$2:$F$57,0)),$D390),$D390&amp;IF(AND(LEFT($G390,3)&lt;&gt;"ДОК",$N390&lt;&gt;"")," — "&amp;IFERROR(INDEX(МАТЕРИАЛЫ!$C$2:$C$9000,MATCH($N390,МАТЕРИАЛЫ!$L$2:$L$9000,0)),""),"")))</f>
        <v>Окраска поверхности</v>
      </c>
      <c r="Z390" t="str">
        <f t="shared" si="48"/>
        <v>Р4 · Наружные строительные работы</v>
      </c>
    </row>
    <row r="391" spans="1:26" x14ac:dyDescent="0.3">
      <c r="A391" t="s">
        <v>873</v>
      </c>
      <c r="B391" t="s">
        <v>836</v>
      </c>
      <c r="C391" t="s">
        <v>161</v>
      </c>
      <c r="D391" s="4" t="s">
        <v>874</v>
      </c>
      <c r="E391" t="s">
        <v>52</v>
      </c>
      <c r="F391" s="5">
        <v>475.02</v>
      </c>
      <c r="H391">
        <v>0</v>
      </c>
      <c r="I391" t="s">
        <v>53</v>
      </c>
      <c r="L391" s="6"/>
      <c r="M391" s="6"/>
      <c r="N391" s="6"/>
      <c r="O391" s="5"/>
      <c r="P391" s="7" t="str">
        <f t="shared" si="42"/>
        <v/>
      </c>
      <c r="Q391" s="7" t="str">
        <f t="shared" si="43"/>
        <v/>
      </c>
      <c r="R391" s="7" t="str">
        <f t="shared" si="44"/>
        <v/>
      </c>
      <c r="S391" s="7">
        <f>IF($A391="","",IF(AND(LEFT($G391,3)="ДОК",$N391&lt;&gt;""),IFERROR(INDEX(Документация!$E$2:$E$57,MATCH($N391,Документация!$F$2:$F$57,0)),0),N($F391))*(1-MEDIAN(0,N(ДисконтТендер),1)))</f>
        <v>475.02</v>
      </c>
      <c r="T391" s="7">
        <f>IF($A391="","",IF(AND(LEFT($G391,3)="ДОК",$N391&lt;&gt;""),0,IF(AND(LEFT($G391,3)&lt;&gt;"ДОК",$N391&lt;&gt;""),IFERROR(INDEX(МАТЕРИАЛЫ!$H$2:$H$9000,MATCH($N391,МАТЕРИАЛЫ!$L$2:$L$9000,0))*IF(INDEX(МАТЕРИАЛЫ!$I$2:$I$9000,MATCH($N391,МАТЕРИАЛЫ!$L$2:$L$9000,0))="USD",КурсUSD,IF(INDEX(МАТЕРИАЛЫ!$I$2:$I$9000,MATCH($N391,МАТЕРИАЛЫ!$L$2:$L$9000,0))="EUR",КурсEUR,IF(INDEX(МАТЕРИАЛЫ!$I$2:$I$9000,MATCH($N391,МАТЕРИАЛЫ!$L$2:$L$9000,0))="CNY",КурсCNY,1)))*(1+N($H391)/100),0),N($O391))*(1-MEDIAN(0,N(ДисконтТендер),1))))</f>
        <v>0</v>
      </c>
      <c r="U391" t="str">
        <f>IF($L391="да",MAX($U$1:$U390)+1,"")</f>
        <v/>
      </c>
      <c r="V391" t="str">
        <f t="shared" si="45"/>
        <v>Р4</v>
      </c>
      <c r="W391" t="str">
        <f t="shared" si="46"/>
        <v/>
      </c>
      <c r="X391" t="str">
        <f t="shared" si="47"/>
        <v/>
      </c>
      <c r="Y391" s="4" t="str">
        <f>IF($A391="","",IF(AND(LEFT($G391,3)="ДОК",$N391&lt;&gt;""),IFERROR(INDEX(Документация!$G$2:$G$57,MATCH($N391,Документация!$F$2:$F$57,0)),$D391),$D391&amp;IF(AND(LEFT($G391,3)&lt;&gt;"ДОК",$N391&lt;&gt;"")," — "&amp;IFERROR(INDEX(МАТЕРИАЛЫ!$C$2:$C$9000,MATCH($N391,МАТЕРИАЛЫ!$L$2:$L$9000,0)),""),"")))</f>
        <v>Установка и разборка лесов</v>
      </c>
      <c r="Z391" t="str">
        <f t="shared" si="48"/>
        <v>Р4 · Наружные строительные работы</v>
      </c>
    </row>
    <row r="392" spans="1:26" ht="28.8" x14ac:dyDescent="0.3">
      <c r="A392" t="s">
        <v>875</v>
      </c>
      <c r="B392" t="s">
        <v>836</v>
      </c>
      <c r="C392" t="s">
        <v>161</v>
      </c>
      <c r="D392" s="4" t="s">
        <v>876</v>
      </c>
      <c r="E392" t="s">
        <v>52</v>
      </c>
      <c r="F392" s="5">
        <v>4500</v>
      </c>
      <c r="H392">
        <v>0</v>
      </c>
      <c r="I392" t="s">
        <v>53</v>
      </c>
      <c r="L392" s="6"/>
      <c r="M392" s="6"/>
      <c r="N392" s="6"/>
      <c r="O392" s="5"/>
      <c r="P392" s="7" t="str">
        <f t="shared" si="42"/>
        <v/>
      </c>
      <c r="Q392" s="7" t="str">
        <f t="shared" si="43"/>
        <v/>
      </c>
      <c r="R392" s="7" t="str">
        <f t="shared" si="44"/>
        <v/>
      </c>
      <c r="S392" s="7">
        <f>IF($A392="","",IF(AND(LEFT($G392,3)="ДОК",$N392&lt;&gt;""),IFERROR(INDEX(Документация!$E$2:$E$57,MATCH($N392,Документация!$F$2:$F$57,0)),0),N($F392))*(1-MEDIAN(0,N(ДисконтТендер),1)))</f>
        <v>4500</v>
      </c>
      <c r="T392" s="7">
        <f>IF($A392="","",IF(AND(LEFT($G392,3)="ДОК",$N392&lt;&gt;""),0,IF(AND(LEFT($G392,3)&lt;&gt;"ДОК",$N392&lt;&gt;""),IFERROR(INDEX(МАТЕРИАЛЫ!$H$2:$H$9000,MATCH($N392,МАТЕРИАЛЫ!$L$2:$L$9000,0))*IF(INDEX(МАТЕРИАЛЫ!$I$2:$I$9000,MATCH($N392,МАТЕРИАЛЫ!$L$2:$L$9000,0))="USD",КурсUSD,IF(INDEX(МАТЕРИАЛЫ!$I$2:$I$9000,MATCH($N392,МАТЕРИАЛЫ!$L$2:$L$9000,0))="EUR",КурсEUR,IF(INDEX(МАТЕРИАЛЫ!$I$2:$I$9000,MATCH($N392,МАТЕРИАЛЫ!$L$2:$L$9000,0))="CNY",КурсCNY,1)))*(1+N($H392)/100),0),N($O392))*(1-MEDIAN(0,N(ДисконтТендер),1))))</f>
        <v>0</v>
      </c>
      <c r="U392" t="str">
        <f>IF($L392="да",MAX($U$1:$U391)+1,"")</f>
        <v/>
      </c>
      <c r="V392" t="str">
        <f t="shared" si="45"/>
        <v>Р4</v>
      </c>
      <c r="W392" t="str">
        <f t="shared" si="46"/>
        <v/>
      </c>
      <c r="X392" t="str">
        <f t="shared" si="47"/>
        <v/>
      </c>
      <c r="Y392" s="4" t="str">
        <f>IF($A392="","",IF(AND(LEFT($G392,3)="ДОК",$N392&lt;&gt;""),IFERROR(INDEX(Документация!$G$2:$G$57,MATCH($N392,Документация!$F$2:$F$57,0)),$D392),$D392&amp;IF(AND(LEFT($G392,3)&lt;&gt;"ДОК",$N392&lt;&gt;"")," — "&amp;IFERROR(INDEX(МАТЕРИАЛЫ!$C$2:$C$9000,MATCH($N392,МАТЕРИАЛЫ!$L$2:$L$9000,0)),""),"")))</f>
        <v>Монтаж фасада из композитных панелей "Алюкобонд" с подсистемой без утеплителя</v>
      </c>
      <c r="Z392" t="str">
        <f t="shared" si="48"/>
        <v>Р4 · Наружные строительные работы</v>
      </c>
    </row>
    <row r="393" spans="1:26" ht="57.6" x14ac:dyDescent="0.3">
      <c r="A393" t="s">
        <v>877</v>
      </c>
      <c r="B393" t="s">
        <v>836</v>
      </c>
      <c r="C393" t="s">
        <v>161</v>
      </c>
      <c r="D393" s="4" t="s">
        <v>878</v>
      </c>
      <c r="E393" t="s">
        <v>52</v>
      </c>
      <c r="F393" s="5">
        <v>5500</v>
      </c>
      <c r="H393">
        <v>0</v>
      </c>
      <c r="I393" t="s">
        <v>53</v>
      </c>
      <c r="L393" s="6"/>
      <c r="M393" s="6"/>
      <c r="N393" s="6"/>
      <c r="O393" s="5"/>
      <c r="P393" s="7" t="str">
        <f t="shared" si="42"/>
        <v/>
      </c>
      <c r="Q393" s="7" t="str">
        <f t="shared" si="43"/>
        <v/>
      </c>
      <c r="R393" s="7" t="str">
        <f t="shared" si="44"/>
        <v/>
      </c>
      <c r="S393" s="7">
        <f>IF($A393="","",IF(AND(LEFT($G393,3)="ДОК",$N393&lt;&gt;""),IFERROR(INDEX(Документация!$E$2:$E$57,MATCH($N393,Документация!$F$2:$F$57,0)),0),N($F393))*(1-MEDIAN(0,N(ДисконтТендер),1)))</f>
        <v>5500</v>
      </c>
      <c r="T393" s="7">
        <f>IF($A393="","",IF(AND(LEFT($G393,3)="ДОК",$N393&lt;&gt;""),0,IF(AND(LEFT($G393,3)&lt;&gt;"ДОК",$N393&lt;&gt;""),IFERROR(INDEX(МАТЕРИАЛЫ!$H$2:$H$9000,MATCH($N393,МАТЕРИАЛЫ!$L$2:$L$9000,0))*IF(INDEX(МАТЕРИАЛЫ!$I$2:$I$9000,MATCH($N393,МАТЕРИАЛЫ!$L$2:$L$9000,0))="USD",КурсUSD,IF(INDEX(МАТЕРИАЛЫ!$I$2:$I$9000,MATCH($N393,МАТЕРИАЛЫ!$L$2:$L$9000,0))="EUR",КурсEUR,IF(INDEX(МАТЕРИАЛЫ!$I$2:$I$9000,MATCH($N393,МАТЕРИАЛЫ!$L$2:$L$9000,0))="CNY",КурсCNY,1)))*(1+N($H393)/100),0),N($O393))*(1-MEDIAN(0,N(ДисконтТендер),1))))</f>
        <v>0</v>
      </c>
      <c r="U393" t="str">
        <f>IF($L393="да",MAX($U$1:$U392)+1,"")</f>
        <v/>
      </c>
      <c r="V393" t="str">
        <f t="shared" si="45"/>
        <v>Р4</v>
      </c>
      <c r="W393" t="str">
        <f t="shared" si="46"/>
        <v/>
      </c>
      <c r="X393" t="str">
        <f t="shared" si="47"/>
        <v/>
      </c>
      <c r="Y393" s="4" t="str">
        <f>IF($A393="","",IF(AND(LEFT($G393,3)="ДОК",$N393&lt;&gt;""),IFERROR(INDEX(Документация!$G$2:$G$57,MATCH($N393,Документация!$F$2:$F$57,0)),$D393),$D393&amp;IF(AND(LEFT($G393,3)&lt;&gt;"ДОК",$N393&lt;&gt;"")," — "&amp;IFERROR(INDEX(МАТЕРИАЛЫ!$C$2:$C$9000,MATCH($N393,МАТЕРИАЛЫ!$L$2:$L$9000,0)),""),"")))</f>
        <v>Монтаж фасада из композитных панелей "Алюкобонд" с подсистемой с утеплителем 100 мм. и ветровлагозащиткая мембраной (негорючая).</v>
      </c>
      <c r="Z393" t="str">
        <f t="shared" si="48"/>
        <v>Р4 · Наружные строительные работы</v>
      </c>
    </row>
    <row r="394" spans="1:26" ht="28.8" x14ac:dyDescent="0.3">
      <c r="A394" t="s">
        <v>879</v>
      </c>
      <c r="B394" t="s">
        <v>836</v>
      </c>
      <c r="C394" t="s">
        <v>161</v>
      </c>
      <c r="D394" s="4" t="s">
        <v>880</v>
      </c>
      <c r="E394" t="s">
        <v>52</v>
      </c>
      <c r="F394" s="5">
        <v>3393</v>
      </c>
      <c r="G394" t="s">
        <v>498</v>
      </c>
      <c r="H394">
        <v>5</v>
      </c>
      <c r="I394" t="s">
        <v>53</v>
      </c>
      <c r="L394" s="6"/>
      <c r="M394" s="6"/>
      <c r="N394" s="6"/>
      <c r="O394" s="5"/>
      <c r="P394" s="7" t="str">
        <f t="shared" si="42"/>
        <v/>
      </c>
      <c r="Q394" s="7" t="str">
        <f t="shared" si="43"/>
        <v/>
      </c>
      <c r="R394" s="7" t="str">
        <f t="shared" si="44"/>
        <v/>
      </c>
      <c r="S394" s="7">
        <f>IF($A394="","",IF(AND(LEFT($G394,3)="ДОК",$N394&lt;&gt;""),IFERROR(INDEX(Документация!$E$2:$E$57,MATCH($N394,Документация!$F$2:$F$57,0)),0),N($F394))*(1-MEDIAN(0,N(ДисконтТендер),1)))</f>
        <v>3393</v>
      </c>
      <c r="T394" s="7">
        <f>IF($A394="","",IF(AND(LEFT($G394,3)="ДОК",$N394&lt;&gt;""),0,IF(AND(LEFT($G394,3)&lt;&gt;"ДОК",$N394&lt;&gt;""),IFERROR(INDEX(МАТЕРИАЛЫ!$H$2:$H$9000,MATCH($N394,МАТЕРИАЛЫ!$L$2:$L$9000,0))*IF(INDEX(МАТЕРИАЛЫ!$I$2:$I$9000,MATCH($N394,МАТЕРИАЛЫ!$L$2:$L$9000,0))="USD",КурсUSD,IF(INDEX(МАТЕРИАЛЫ!$I$2:$I$9000,MATCH($N394,МАТЕРИАЛЫ!$L$2:$L$9000,0))="EUR",КурсEUR,IF(INDEX(МАТЕРИАЛЫ!$I$2:$I$9000,MATCH($N394,МАТЕРИАЛЫ!$L$2:$L$9000,0))="CNY",КурсCNY,1)))*(1+N($H394)/100),0),N($O394))*(1-MEDIAN(0,N(ДисконтТендер),1))))</f>
        <v>0</v>
      </c>
      <c r="U394" t="str">
        <f>IF($L394="да",MAX($U$1:$U393)+1,"")</f>
        <v/>
      </c>
      <c r="V394" t="str">
        <f t="shared" si="45"/>
        <v>Р4</v>
      </c>
      <c r="W394" t="str">
        <f t="shared" si="46"/>
        <v/>
      </c>
      <c r="X394" t="str">
        <f t="shared" si="47"/>
        <v/>
      </c>
      <c r="Y394" s="4" t="str">
        <f>IF($A394="","",IF(AND(LEFT($G394,3)="ДОК",$N394&lt;&gt;""),IFERROR(INDEX(Документация!$G$2:$G$57,MATCH($N394,Документация!$F$2:$F$57,0)),$D394),$D394&amp;IF(AND(LEFT($G394,3)&lt;&gt;"ДОК",$N394&lt;&gt;"")," — "&amp;IFERROR(INDEX(МАТЕРИАЛЫ!$C$2:$C$9000,MATCH($N394,МАТЕРИАЛЫ!$L$2:$L$9000,0)),""),"")))</f>
        <v>Монтаж фасада из кассетного профиля (оцинкованный лист окрашенный) без утеплителя</v>
      </c>
      <c r="Z394" t="str">
        <f t="shared" si="48"/>
        <v>Р4 · Наружные строительные работы</v>
      </c>
    </row>
    <row r="395" spans="1:26" ht="28.8" x14ac:dyDescent="0.3">
      <c r="A395" t="s">
        <v>881</v>
      </c>
      <c r="B395" t="s">
        <v>836</v>
      </c>
      <c r="C395" t="s">
        <v>161</v>
      </c>
      <c r="D395" s="4" t="s">
        <v>882</v>
      </c>
      <c r="E395" t="s">
        <v>52</v>
      </c>
      <c r="F395" s="5">
        <v>4071.6</v>
      </c>
      <c r="G395" t="s">
        <v>498</v>
      </c>
      <c r="H395">
        <v>5</v>
      </c>
      <c r="I395" t="s">
        <v>53</v>
      </c>
      <c r="L395" s="6"/>
      <c r="M395" s="6"/>
      <c r="N395" s="6"/>
      <c r="O395" s="5"/>
      <c r="P395" s="7" t="str">
        <f t="shared" si="42"/>
        <v/>
      </c>
      <c r="Q395" s="7" t="str">
        <f t="shared" si="43"/>
        <v/>
      </c>
      <c r="R395" s="7" t="str">
        <f t="shared" si="44"/>
        <v/>
      </c>
      <c r="S395" s="7">
        <f>IF($A395="","",IF(AND(LEFT($G395,3)="ДОК",$N395&lt;&gt;""),IFERROR(INDEX(Документация!$E$2:$E$57,MATCH($N395,Документация!$F$2:$F$57,0)),0),N($F395))*(1-MEDIAN(0,N(ДисконтТендер),1)))</f>
        <v>4071.6</v>
      </c>
      <c r="T395" s="7">
        <f>IF($A395="","",IF(AND(LEFT($G395,3)="ДОК",$N395&lt;&gt;""),0,IF(AND(LEFT($G395,3)&lt;&gt;"ДОК",$N395&lt;&gt;""),IFERROR(INDEX(МАТЕРИАЛЫ!$H$2:$H$9000,MATCH($N395,МАТЕРИАЛЫ!$L$2:$L$9000,0))*IF(INDEX(МАТЕРИАЛЫ!$I$2:$I$9000,MATCH($N395,МАТЕРИАЛЫ!$L$2:$L$9000,0))="USD",КурсUSD,IF(INDEX(МАТЕРИАЛЫ!$I$2:$I$9000,MATCH($N395,МАТЕРИАЛЫ!$L$2:$L$9000,0))="EUR",КурсEUR,IF(INDEX(МАТЕРИАЛЫ!$I$2:$I$9000,MATCH($N395,МАТЕРИАЛЫ!$L$2:$L$9000,0))="CNY",КурсCNY,1)))*(1+N($H395)/100),0),N($O395))*(1-MEDIAN(0,N(ДисконтТендер),1))))</f>
        <v>0</v>
      </c>
      <c r="U395" t="str">
        <f>IF($L395="да",MAX($U$1:$U394)+1,"")</f>
        <v/>
      </c>
      <c r="V395" t="str">
        <f t="shared" si="45"/>
        <v>Р4</v>
      </c>
      <c r="W395" t="str">
        <f t="shared" si="46"/>
        <v/>
      </c>
      <c r="X395" t="str">
        <f t="shared" si="47"/>
        <v/>
      </c>
      <c r="Y395" s="4" t="str">
        <f>IF($A395="","",IF(AND(LEFT($G395,3)="ДОК",$N395&lt;&gt;""),IFERROR(INDEX(Документация!$G$2:$G$57,MATCH($N395,Документация!$F$2:$F$57,0)),$D395),$D395&amp;IF(AND(LEFT($G395,3)&lt;&gt;"ДОК",$N395&lt;&gt;"")," — "&amp;IFERROR(INDEX(МАТЕРИАЛЫ!$C$2:$C$9000,MATCH($N395,МАТЕРИАЛЫ!$L$2:$L$9000,0)),""),"")))</f>
        <v>Монтаж фасада из кассетного профиля (оцинкованный лист окрашенный) с утеплением</v>
      </c>
      <c r="Z395" t="str">
        <f t="shared" si="48"/>
        <v>Р4 · Наружные строительные работы</v>
      </c>
    </row>
    <row r="396" spans="1:26" ht="28.8" x14ac:dyDescent="0.3">
      <c r="A396" t="s">
        <v>883</v>
      </c>
      <c r="B396" t="s">
        <v>836</v>
      </c>
      <c r="C396" t="s">
        <v>161</v>
      </c>
      <c r="D396" s="4" t="s">
        <v>884</v>
      </c>
      <c r="E396" t="s">
        <v>150</v>
      </c>
      <c r="F396" s="5">
        <v>3725.76</v>
      </c>
      <c r="H396">
        <v>0</v>
      </c>
      <c r="I396" t="s">
        <v>53</v>
      </c>
      <c r="L396" s="6"/>
      <c r="M396" s="6"/>
      <c r="N396" s="6"/>
      <c r="O396" s="5"/>
      <c r="P396" s="7" t="str">
        <f t="shared" si="42"/>
        <v/>
      </c>
      <c r="Q396" s="7" t="str">
        <f t="shared" si="43"/>
        <v/>
      </c>
      <c r="R396" s="7" t="str">
        <f t="shared" si="44"/>
        <v/>
      </c>
      <c r="S396" s="7">
        <f>IF($A396="","",IF(AND(LEFT($G396,3)="ДОК",$N396&lt;&gt;""),IFERROR(INDEX(Документация!$E$2:$E$57,MATCH($N396,Документация!$F$2:$F$57,0)),0),N($F396))*(1-MEDIAN(0,N(ДисконтТендер),1)))</f>
        <v>3725.76</v>
      </c>
      <c r="T396" s="7">
        <f>IF($A396="","",IF(AND(LEFT($G396,3)="ДОК",$N396&lt;&gt;""),0,IF(AND(LEFT($G396,3)&lt;&gt;"ДОК",$N396&lt;&gt;""),IFERROR(INDEX(МАТЕРИАЛЫ!$H$2:$H$9000,MATCH($N396,МАТЕРИАЛЫ!$L$2:$L$9000,0))*IF(INDEX(МАТЕРИАЛЫ!$I$2:$I$9000,MATCH($N396,МАТЕРИАЛЫ!$L$2:$L$9000,0))="USD",КурсUSD,IF(INDEX(МАТЕРИАЛЫ!$I$2:$I$9000,MATCH($N396,МАТЕРИАЛЫ!$L$2:$L$9000,0))="EUR",КурсEUR,IF(INDEX(МАТЕРИАЛЫ!$I$2:$I$9000,MATCH($N396,МАТЕРИАЛЫ!$L$2:$L$9000,0))="CNY",КурсCNY,1)))*(1+N($H396)/100),0),N($O396))*(1-MEDIAN(0,N(ДисконтТендер),1))))</f>
        <v>0</v>
      </c>
      <c r="U396" t="str">
        <f>IF($L396="да",MAX($U$1:$U395)+1,"")</f>
        <v/>
      </c>
      <c r="V396" t="str">
        <f t="shared" si="45"/>
        <v>Р4</v>
      </c>
      <c r="W396" t="str">
        <f t="shared" si="46"/>
        <v/>
      </c>
      <c r="X396" t="str">
        <f t="shared" si="47"/>
        <v/>
      </c>
      <c r="Y396" s="4" t="str">
        <f>IF($A396="","",IF(AND(LEFT($G396,3)="ДОК",$N396&lt;&gt;""),IFERROR(INDEX(Документация!$G$2:$G$57,MATCH($N396,Документация!$F$2:$F$57,0)),$D396),$D396&amp;IF(AND(LEFT($G396,3)&lt;&gt;"ДОК",$N396&lt;&gt;"")," — "&amp;IFERROR(INDEX(МАТЕРИАЛЫ!$C$2:$C$9000,MATCH($N396,МАТЕРИАЛЫ!$L$2:$L$9000,0)),""),"")))</f>
        <v>Изоляция покрытий теплоизоляционными матами URSA</v>
      </c>
      <c r="Z396" t="str">
        <f t="shared" si="48"/>
        <v>Р4 · Наружные строительные работы</v>
      </c>
    </row>
    <row r="397" spans="1:26" ht="72" x14ac:dyDescent="0.3">
      <c r="A397" t="s">
        <v>885</v>
      </c>
      <c r="B397" t="s">
        <v>836</v>
      </c>
      <c r="C397" t="s">
        <v>161</v>
      </c>
      <c r="D397" s="4" t="s">
        <v>886</v>
      </c>
      <c r="E397" t="s">
        <v>52</v>
      </c>
      <c r="F397" s="5">
        <v>3500</v>
      </c>
      <c r="H397">
        <v>0</v>
      </c>
      <c r="I397" t="s">
        <v>53</v>
      </c>
      <c r="L397" s="6"/>
      <c r="M397" s="6"/>
      <c r="N397" s="6"/>
      <c r="O397" s="5"/>
      <c r="P397" s="7" t="str">
        <f t="shared" si="42"/>
        <v/>
      </c>
      <c r="Q397" s="7" t="str">
        <f t="shared" si="43"/>
        <v/>
      </c>
      <c r="R397" s="7" t="str">
        <f t="shared" si="44"/>
        <v/>
      </c>
      <c r="S397" s="7">
        <f>IF($A397="","",IF(AND(LEFT($G397,3)="ДОК",$N397&lt;&gt;""),IFERROR(INDEX(Документация!$E$2:$E$57,MATCH($N397,Документация!$F$2:$F$57,0)),0),N($F397))*(1-MEDIAN(0,N(ДисконтТендер),1)))</f>
        <v>3500</v>
      </c>
      <c r="T397" s="7">
        <f>IF($A397="","",IF(AND(LEFT($G397,3)="ДОК",$N397&lt;&gt;""),0,IF(AND(LEFT($G397,3)&lt;&gt;"ДОК",$N397&lt;&gt;""),IFERROR(INDEX(МАТЕРИАЛЫ!$H$2:$H$9000,MATCH($N397,МАТЕРИАЛЫ!$L$2:$L$9000,0))*IF(INDEX(МАТЕРИАЛЫ!$I$2:$I$9000,MATCH($N397,МАТЕРИАЛЫ!$L$2:$L$9000,0))="USD",КурсUSD,IF(INDEX(МАТЕРИАЛЫ!$I$2:$I$9000,MATCH($N397,МАТЕРИАЛЫ!$L$2:$L$9000,0))="EUR",КурсEUR,IF(INDEX(МАТЕРИАЛЫ!$I$2:$I$9000,MATCH($N397,МАТЕРИАЛЫ!$L$2:$L$9000,0))="CNY",КурсCNY,1)))*(1+N($H397)/100),0),N($O397))*(1-MEDIAN(0,N(ДисконтТендер),1))))</f>
        <v>0</v>
      </c>
      <c r="U397" t="str">
        <f>IF($L397="да",MAX($U$1:$U396)+1,"")</f>
        <v/>
      </c>
      <c r="V397" t="str">
        <f t="shared" si="45"/>
        <v>Р4</v>
      </c>
      <c r="W397" t="str">
        <f t="shared" si="46"/>
        <v/>
      </c>
      <c r="X397" t="str">
        <f t="shared" si="47"/>
        <v/>
      </c>
      <c r="Y397" s="4" t="str">
        <f>IF($A397="","",IF(AND(LEFT($G397,3)="ДОК",$N397&lt;&gt;""),IFERROR(INDEX(Документация!$G$2:$G$57,MATCH($N397,Документация!$F$2:$F$57,0)),$D397),$D397&amp;IF(AND(LEFT($G397,3)&lt;&gt;"ДОК",$N397&lt;&gt;"")," — "&amp;IFERROR(INDEX(МАТЕРИАЛЫ!$C$2:$C$9000,MATCH($N397,МАТЕРИАЛЫ!$L$2:$L$9000,0)),""),"")))</f>
        <v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v>
      </c>
      <c r="Z397" t="str">
        <f t="shared" si="48"/>
        <v>Р4 · Наружные строительные работы</v>
      </c>
    </row>
    <row r="398" spans="1:26" ht="43.2" x14ac:dyDescent="0.3">
      <c r="A398" t="s">
        <v>887</v>
      </c>
      <c r="B398" t="s">
        <v>836</v>
      </c>
      <c r="C398" t="s">
        <v>161</v>
      </c>
      <c r="D398" s="4" t="s">
        <v>888</v>
      </c>
      <c r="E398" t="s">
        <v>52</v>
      </c>
      <c r="F398" s="5">
        <v>771.65</v>
      </c>
      <c r="H398">
        <v>0</v>
      </c>
      <c r="I398" t="s">
        <v>53</v>
      </c>
      <c r="L398" s="6"/>
      <c r="M398" s="6"/>
      <c r="N398" s="6"/>
      <c r="O398" s="5"/>
      <c r="P398" s="7" t="str">
        <f t="shared" si="42"/>
        <v/>
      </c>
      <c r="Q398" s="7" t="str">
        <f t="shared" si="43"/>
        <v/>
      </c>
      <c r="R398" s="7" t="str">
        <f t="shared" si="44"/>
        <v/>
      </c>
      <c r="S398" s="7">
        <f>IF($A398="","",IF(AND(LEFT($G398,3)="ДОК",$N398&lt;&gt;""),IFERROR(INDEX(Документация!$E$2:$E$57,MATCH($N398,Документация!$F$2:$F$57,0)),0),N($F398))*(1-MEDIAN(0,N(ДисконтТендер),1)))</f>
        <v>771.65</v>
      </c>
      <c r="T398" s="7">
        <f>IF($A398="","",IF(AND(LEFT($G398,3)="ДОК",$N398&lt;&gt;""),0,IF(AND(LEFT($G398,3)&lt;&gt;"ДОК",$N398&lt;&gt;""),IFERROR(INDEX(МАТЕРИАЛЫ!$H$2:$H$9000,MATCH($N398,МАТЕРИАЛЫ!$L$2:$L$9000,0))*IF(INDEX(МАТЕРИАЛЫ!$I$2:$I$9000,MATCH($N398,МАТЕРИАЛЫ!$L$2:$L$9000,0))="USD",КурсUSD,IF(INDEX(МАТЕРИАЛЫ!$I$2:$I$9000,MATCH($N398,МАТЕРИАЛЫ!$L$2:$L$9000,0))="EUR",КурсEUR,IF(INDEX(МАТЕРИАЛЫ!$I$2:$I$9000,MATCH($N398,МАТЕРИАЛЫ!$L$2:$L$9000,0))="CNY",КурсCNY,1)))*(1+N($H398)/100),0),N($O398))*(1-MEDIAN(0,N(ДисконтТендер),1))))</f>
        <v>0</v>
      </c>
      <c r="U398" t="str">
        <f>IF($L398="да",MAX($U$1:$U397)+1,"")</f>
        <v/>
      </c>
      <c r="V398" t="str">
        <f t="shared" si="45"/>
        <v>Р4</v>
      </c>
      <c r="W398" t="str">
        <f t="shared" si="46"/>
        <v/>
      </c>
      <c r="X398" t="str">
        <f t="shared" si="47"/>
        <v/>
      </c>
      <c r="Y398" s="4" t="str">
        <f>IF($A398="","",IF(AND(LEFT($G398,3)="ДОК",$N398&lt;&gt;""),IFERROR(INDEX(Документация!$G$2:$G$57,MATCH($N398,Документация!$F$2:$F$57,0)),$D398),$D398&amp;IF(AND(LEFT($G398,3)&lt;&gt;"ДОК",$N398&lt;&gt;"")," — "&amp;IFERROR(INDEX(МАТЕРИАЛЫ!$C$2:$C$9000,MATCH($N398,МАТЕРИАЛЫ!$L$2:$L$9000,0)),""),"")))</f>
        <v>Облицовка оконных и дверных откосов планкой из оцинкованной стали с полимерным покрытием с устройством водоотлива и наличником.</v>
      </c>
      <c r="Z398" t="str">
        <f t="shared" si="48"/>
        <v>Р4 · Наружные строительные работы</v>
      </c>
    </row>
    <row r="399" spans="1:26" x14ac:dyDescent="0.3">
      <c r="A399" t="s">
        <v>889</v>
      </c>
      <c r="B399" t="s">
        <v>836</v>
      </c>
      <c r="C399" t="s">
        <v>161</v>
      </c>
      <c r="D399" s="4" t="s">
        <v>890</v>
      </c>
      <c r="E399" t="s">
        <v>52</v>
      </c>
      <c r="F399" s="5">
        <v>350</v>
      </c>
      <c r="H399">
        <v>0</v>
      </c>
      <c r="I399" t="s">
        <v>53</v>
      </c>
      <c r="L399" s="6"/>
      <c r="M399" s="6"/>
      <c r="N399" s="6"/>
      <c r="O399" s="5"/>
      <c r="P399" s="7" t="str">
        <f t="shared" si="42"/>
        <v/>
      </c>
      <c r="Q399" s="7" t="str">
        <f t="shared" si="43"/>
        <v/>
      </c>
      <c r="R399" s="7" t="str">
        <f t="shared" si="44"/>
        <v/>
      </c>
      <c r="S399" s="7">
        <f>IF($A399="","",IF(AND(LEFT($G399,3)="ДОК",$N399&lt;&gt;""),IFERROR(INDEX(Документация!$E$2:$E$57,MATCH($N399,Документация!$F$2:$F$57,0)),0),N($F399))*(1-MEDIAN(0,N(ДисконтТендер),1)))</f>
        <v>350</v>
      </c>
      <c r="T399" s="7">
        <f>IF($A399="","",IF(AND(LEFT($G399,3)="ДОК",$N399&lt;&gt;""),0,IF(AND(LEFT($G399,3)&lt;&gt;"ДОК",$N399&lt;&gt;""),IFERROR(INDEX(МАТЕРИАЛЫ!$H$2:$H$9000,MATCH($N399,МАТЕРИАЛЫ!$L$2:$L$9000,0))*IF(INDEX(МАТЕРИАЛЫ!$I$2:$I$9000,MATCH($N399,МАТЕРИАЛЫ!$L$2:$L$9000,0))="USD",КурсUSD,IF(INDEX(МАТЕРИАЛЫ!$I$2:$I$9000,MATCH($N399,МАТЕРИАЛЫ!$L$2:$L$9000,0))="EUR",КурсEUR,IF(INDEX(МАТЕРИАЛЫ!$I$2:$I$9000,MATCH($N399,МАТЕРИАЛЫ!$L$2:$L$9000,0))="CNY",КурсCNY,1)))*(1+N($H399)/100),0),N($O399))*(1-MEDIAN(0,N(ДисконтТендер),1))))</f>
        <v>0</v>
      </c>
      <c r="U399" t="str">
        <f>IF($L399="да",MAX($U$1:$U398)+1,"")</f>
        <v/>
      </c>
      <c r="V399" t="str">
        <f t="shared" si="45"/>
        <v>Р4</v>
      </c>
      <c r="W399" t="str">
        <f t="shared" si="46"/>
        <v/>
      </c>
      <c r="X399" t="str">
        <f t="shared" si="47"/>
        <v/>
      </c>
      <c r="Y399" s="4" t="str">
        <f>IF($A399="","",IF(AND(LEFT($G399,3)="ДОК",$N399&lt;&gt;""),IFERROR(INDEX(Документация!$G$2:$G$57,MATCH($N399,Документация!$F$2:$F$57,0)),$D399),$D399&amp;IF(AND(LEFT($G399,3)&lt;&gt;"ДОК",$N399&lt;&gt;"")," — "&amp;IFERROR(INDEX(МАТЕРИАЛЫ!$C$2:$C$9000,MATCH($N399,МАТЕРИАЛЫ!$L$2:$L$9000,0)),""),"")))</f>
        <v>Устройство пароизоляции</v>
      </c>
      <c r="Z399" t="str">
        <f t="shared" si="48"/>
        <v>Р4 · Наружные строительные работы</v>
      </c>
    </row>
    <row r="400" spans="1:26" ht="28.8" x14ac:dyDescent="0.3">
      <c r="A400" t="s">
        <v>891</v>
      </c>
      <c r="B400" t="s">
        <v>836</v>
      </c>
      <c r="C400" t="s">
        <v>161</v>
      </c>
      <c r="D400" s="4" t="s">
        <v>892</v>
      </c>
      <c r="E400" t="s">
        <v>83</v>
      </c>
      <c r="F400" s="5">
        <v>36442.949999999997</v>
      </c>
      <c r="H400">
        <v>0</v>
      </c>
      <c r="I400" t="s">
        <v>53</v>
      </c>
      <c r="L400" s="6"/>
      <c r="M400" s="6"/>
      <c r="N400" s="6"/>
      <c r="O400" s="5"/>
      <c r="P400" s="7" t="str">
        <f t="shared" si="42"/>
        <v/>
      </c>
      <c r="Q400" s="7" t="str">
        <f t="shared" si="43"/>
        <v/>
      </c>
      <c r="R400" s="7" t="str">
        <f t="shared" si="44"/>
        <v/>
      </c>
      <c r="S400" s="7">
        <f>IF($A400="","",IF(AND(LEFT($G400,3)="ДОК",$N400&lt;&gt;""),IFERROR(INDEX(Документация!$E$2:$E$57,MATCH($N400,Документация!$F$2:$F$57,0)),0),N($F400))*(1-MEDIAN(0,N(ДисконтТендер),1)))</f>
        <v>36442.949999999997</v>
      </c>
      <c r="T400" s="7">
        <f>IF($A400="","",IF(AND(LEFT($G400,3)="ДОК",$N400&lt;&gt;""),0,IF(AND(LEFT($G400,3)&lt;&gt;"ДОК",$N400&lt;&gt;""),IFERROR(INDEX(МАТЕРИАЛЫ!$H$2:$H$9000,MATCH($N400,МАТЕРИАЛЫ!$L$2:$L$9000,0))*IF(INDEX(МАТЕРИАЛЫ!$I$2:$I$9000,MATCH($N400,МАТЕРИАЛЫ!$L$2:$L$9000,0))="USD",КурсUSD,IF(INDEX(МАТЕРИАЛЫ!$I$2:$I$9000,MATCH($N400,МАТЕРИАЛЫ!$L$2:$L$9000,0))="EUR",КурсEUR,IF(INDEX(МАТЕРИАЛЫ!$I$2:$I$9000,MATCH($N400,МАТЕРИАЛЫ!$L$2:$L$9000,0))="CNY",КурсCNY,1)))*(1+N($H400)/100),0),N($O400))*(1-MEDIAN(0,N(ДисконтТендер),1))))</f>
        <v>0</v>
      </c>
      <c r="U400" t="str">
        <f>IF($L400="да",MAX($U$1:$U399)+1,"")</f>
        <v/>
      </c>
      <c r="V400" t="str">
        <f t="shared" si="45"/>
        <v>Р4</v>
      </c>
      <c r="W400" t="str">
        <f t="shared" si="46"/>
        <v/>
      </c>
      <c r="X400" t="str">
        <f t="shared" si="47"/>
        <v/>
      </c>
      <c r="Y400" s="4" t="str">
        <f>IF($A400="","",IF(AND(LEFT($G400,3)="ДОК",$N400&lt;&gt;""),IFERROR(INDEX(Документация!$G$2:$G$57,MATCH($N400,Документация!$F$2:$F$57,0)),$D400),$D400&amp;IF(AND(LEFT($G400,3)&lt;&gt;"ДОК",$N400&lt;&gt;"")," — "&amp;IFERROR(INDEX(МАТЕРИАЛЫ!$C$2:$C$9000,MATCH($N400,МАТЕРИАЛЫ!$L$2:$L$9000,0)),""),"")))</f>
        <v>Очистка фасада от пыли грязи, навесных и монтажных элементов</v>
      </c>
      <c r="Z400" t="str">
        <f t="shared" si="48"/>
        <v>Р4 · Наружные строительные работы</v>
      </c>
    </row>
    <row r="401" spans="1:26" ht="28.8" x14ac:dyDescent="0.3">
      <c r="A401" t="s">
        <v>893</v>
      </c>
      <c r="B401" t="s">
        <v>836</v>
      </c>
      <c r="C401" t="s">
        <v>161</v>
      </c>
      <c r="D401" s="4" t="s">
        <v>894</v>
      </c>
      <c r="E401" t="s">
        <v>52</v>
      </c>
      <c r="F401" s="5">
        <v>3048.05</v>
      </c>
      <c r="H401">
        <v>0</v>
      </c>
      <c r="I401" t="s">
        <v>53</v>
      </c>
      <c r="L401" s="6"/>
      <c r="M401" s="6"/>
      <c r="N401" s="6"/>
      <c r="O401" s="5"/>
      <c r="P401" s="7" t="str">
        <f t="shared" si="42"/>
        <v/>
      </c>
      <c r="Q401" s="7" t="str">
        <f t="shared" si="43"/>
        <v/>
      </c>
      <c r="R401" s="7" t="str">
        <f t="shared" si="44"/>
        <v/>
      </c>
      <c r="S401" s="7">
        <f>IF($A401="","",IF(AND(LEFT($G401,3)="ДОК",$N401&lt;&gt;""),IFERROR(INDEX(Документация!$E$2:$E$57,MATCH($N401,Документация!$F$2:$F$57,0)),0),N($F401))*(1-MEDIAN(0,N(ДисконтТендер),1)))</f>
        <v>3048.05</v>
      </c>
      <c r="T401" s="7">
        <f>IF($A401="","",IF(AND(LEFT($G401,3)="ДОК",$N401&lt;&gt;""),0,IF(AND(LEFT($G401,3)&lt;&gt;"ДОК",$N401&lt;&gt;""),IFERROR(INDEX(МАТЕРИАЛЫ!$H$2:$H$9000,MATCH($N401,МАТЕРИАЛЫ!$L$2:$L$9000,0))*IF(INDEX(МАТЕРИАЛЫ!$I$2:$I$9000,MATCH($N401,МАТЕРИАЛЫ!$L$2:$L$9000,0))="USD",КурсUSD,IF(INDEX(МАТЕРИАЛЫ!$I$2:$I$9000,MATCH($N401,МАТЕРИАЛЫ!$L$2:$L$9000,0))="EUR",КурсEUR,IF(INDEX(МАТЕРИАЛЫ!$I$2:$I$9000,MATCH($N401,МАТЕРИАЛЫ!$L$2:$L$9000,0))="CNY",КурсCNY,1)))*(1+N($H401)/100),0),N($O401))*(1-MEDIAN(0,N(ДисконтТендер),1))))</f>
        <v>0</v>
      </c>
      <c r="U401" t="str">
        <f>IF($L401="да",MAX($U$1:$U400)+1,"")</f>
        <v/>
      </c>
      <c r="V401" t="str">
        <f t="shared" si="45"/>
        <v>Р4</v>
      </c>
      <c r="W401" t="str">
        <f t="shared" si="46"/>
        <v/>
      </c>
      <c r="X401" t="str">
        <f t="shared" si="47"/>
        <v/>
      </c>
      <c r="Y401" s="4" t="str">
        <f>IF($A401="","",IF(AND(LEFT($G401,3)="ДОК",$N401&lt;&gt;""),IFERROR(INDEX(Документация!$G$2:$G$57,MATCH($N401,Документация!$F$2:$F$57,0)),$D401),$D401&amp;IF(AND(LEFT($G401,3)&lt;&gt;"ДОК",$N401&lt;&gt;"")," — "&amp;IFERROR(INDEX(МАТЕРИАЛЫ!$C$2:$C$9000,MATCH($N401,МАТЕРИАЛЫ!$L$2:$L$9000,0)),""),"")))</f>
        <v>Облицовка ступеней крыльца керамогранитом 300х300 мм.</v>
      </c>
      <c r="Z401" t="str">
        <f t="shared" si="48"/>
        <v>Р4 · Наружные строительные работы</v>
      </c>
    </row>
    <row r="402" spans="1:26" x14ac:dyDescent="0.3">
      <c r="A402" t="s">
        <v>895</v>
      </c>
      <c r="B402" t="s">
        <v>836</v>
      </c>
      <c r="C402" t="s">
        <v>161</v>
      </c>
      <c r="D402" s="4" t="s">
        <v>896</v>
      </c>
      <c r="E402" t="s">
        <v>52</v>
      </c>
      <c r="F402" s="5">
        <v>3048</v>
      </c>
      <c r="H402">
        <v>0</v>
      </c>
      <c r="I402" t="s">
        <v>53</v>
      </c>
      <c r="L402" s="6"/>
      <c r="M402" s="6"/>
      <c r="N402" s="6"/>
      <c r="O402" s="5"/>
      <c r="P402" s="7" t="str">
        <f t="shared" si="42"/>
        <v/>
      </c>
      <c r="Q402" s="7" t="str">
        <f t="shared" si="43"/>
        <v/>
      </c>
      <c r="R402" s="7" t="str">
        <f t="shared" si="44"/>
        <v/>
      </c>
      <c r="S402" s="7">
        <f>IF($A402="","",IF(AND(LEFT($G402,3)="ДОК",$N402&lt;&gt;""),IFERROR(INDEX(Документация!$E$2:$E$57,MATCH($N402,Документация!$F$2:$F$57,0)),0),N($F402))*(1-MEDIAN(0,N(ДисконтТендер),1)))</f>
        <v>3048</v>
      </c>
      <c r="T402" s="7">
        <f>IF($A402="","",IF(AND(LEFT($G402,3)="ДОК",$N402&lt;&gt;""),0,IF(AND(LEFT($G402,3)&lt;&gt;"ДОК",$N402&lt;&gt;""),IFERROR(INDEX(МАТЕРИАЛЫ!$H$2:$H$9000,MATCH($N402,МАТЕРИАЛЫ!$L$2:$L$9000,0))*IF(INDEX(МАТЕРИАЛЫ!$I$2:$I$9000,MATCH($N402,МАТЕРИАЛЫ!$L$2:$L$9000,0))="USD",КурсUSD,IF(INDEX(МАТЕРИАЛЫ!$I$2:$I$9000,MATCH($N402,МАТЕРИАЛЫ!$L$2:$L$9000,0))="EUR",КурсEUR,IF(INDEX(МАТЕРИАЛЫ!$I$2:$I$9000,MATCH($N402,МАТЕРИАЛЫ!$L$2:$L$9000,0))="CNY",КурсCNY,1)))*(1+N($H402)/100),0),N($O402))*(1-MEDIAN(0,N(ДисконтТендер),1))))</f>
        <v>0</v>
      </c>
      <c r="U402" t="str">
        <f>IF($L402="да",MAX($U$1:$U401)+1,"")</f>
        <v/>
      </c>
      <c r="V402" t="str">
        <f t="shared" si="45"/>
        <v>Р4</v>
      </c>
      <c r="W402" t="str">
        <f t="shared" si="46"/>
        <v/>
      </c>
      <c r="X402" t="str">
        <f t="shared" si="47"/>
        <v/>
      </c>
      <c r="Y402" s="4" t="str">
        <f>IF($A402="","",IF(AND(LEFT($G402,3)="ДОК",$N402&lt;&gt;""),IFERROR(INDEX(Документация!$G$2:$G$57,MATCH($N402,Документация!$F$2:$F$57,0)),$D402),$D402&amp;IF(AND(LEFT($G402,3)&lt;&gt;"ДОК",$N402&lt;&gt;"")," — "&amp;IFERROR(INDEX(МАТЕРИАЛЫ!$C$2:$C$9000,MATCH($N402,МАТЕРИАЛЫ!$L$2:$L$9000,0)),""),"")))</f>
        <v>Облицовка крыльца клинкерной плиткой</v>
      </c>
      <c r="Z402" t="str">
        <f t="shared" si="48"/>
        <v>Р4 · Наружные строительные работы</v>
      </c>
    </row>
    <row r="403" spans="1:26" ht="43.2" x14ac:dyDescent="0.3">
      <c r="A403" t="s">
        <v>897</v>
      </c>
      <c r="B403" t="s">
        <v>836</v>
      </c>
      <c r="C403" t="s">
        <v>161</v>
      </c>
      <c r="D403" s="4" t="s">
        <v>898</v>
      </c>
      <c r="E403" t="s">
        <v>153</v>
      </c>
      <c r="F403" s="5">
        <v>451.35</v>
      </c>
      <c r="H403">
        <v>0</v>
      </c>
      <c r="I403" t="s">
        <v>53</v>
      </c>
      <c r="L403" s="6"/>
      <c r="M403" s="6"/>
      <c r="N403" s="6"/>
      <c r="O403" s="5"/>
      <c r="P403" s="7" t="str">
        <f t="shared" si="42"/>
        <v/>
      </c>
      <c r="Q403" s="7" t="str">
        <f t="shared" si="43"/>
        <v/>
      </c>
      <c r="R403" s="7" t="str">
        <f t="shared" si="44"/>
        <v/>
      </c>
      <c r="S403" s="7">
        <f>IF($A403="","",IF(AND(LEFT($G403,3)="ДОК",$N403&lt;&gt;""),IFERROR(INDEX(Документация!$E$2:$E$57,MATCH($N403,Документация!$F$2:$F$57,0)),0),N($F403))*(1-MEDIAN(0,N(ДисконтТендер),1)))</f>
        <v>451.35</v>
      </c>
      <c r="T403" s="7">
        <f>IF($A403="","",IF(AND(LEFT($G403,3)="ДОК",$N403&lt;&gt;""),0,IF(AND(LEFT($G403,3)&lt;&gt;"ДОК",$N403&lt;&gt;""),IFERROR(INDEX(МАТЕРИАЛЫ!$H$2:$H$9000,MATCH($N403,МАТЕРИАЛЫ!$L$2:$L$9000,0))*IF(INDEX(МАТЕРИАЛЫ!$I$2:$I$9000,MATCH($N403,МАТЕРИАЛЫ!$L$2:$L$9000,0))="USD",КурсUSD,IF(INDEX(МАТЕРИАЛЫ!$I$2:$I$9000,MATCH($N403,МАТЕРИАЛЫ!$L$2:$L$9000,0))="EUR",КурсEUR,IF(INDEX(МАТЕРИАЛЫ!$I$2:$I$9000,MATCH($N403,МАТЕРИАЛЫ!$L$2:$L$9000,0))="CNY",КурсCNY,1)))*(1+N($H403)/100),0),N($O403))*(1-MEDIAN(0,N(ДисконтТендер),1))))</f>
        <v>0</v>
      </c>
      <c r="U403" t="str">
        <f>IF($L403="да",MAX($U$1:$U402)+1,"")</f>
        <v/>
      </c>
      <c r="V403" t="str">
        <f t="shared" si="45"/>
        <v>Р4</v>
      </c>
      <c r="W403" t="str">
        <f t="shared" si="46"/>
        <v/>
      </c>
      <c r="X403" t="str">
        <f t="shared" si="47"/>
        <v/>
      </c>
      <c r="Y403" s="4" t="str">
        <f>IF($A403="","",IF(AND(LEFT($G403,3)="ДОК",$N403&lt;&gt;""),IFERROR(INDEX(Документация!$G$2:$G$57,MATCH($N403,Документация!$F$2:$F$57,0)),$D403),$D403&amp;IF(AND(LEFT($G403,3)&lt;&gt;"ДОК",$N403&lt;&gt;"")," — "&amp;IFERROR(INDEX(МАТЕРИАЛЫ!$C$2:$C$9000,MATCH($N403,МАТЕРИАЛЫ!$L$2:$L$9000,0)),""),"")))</f>
        <v>Крепление Г-образных алюминиевых с резиновой вставкой противоскользящик порогов на ступени-25*45</v>
      </c>
      <c r="Z403" t="str">
        <f t="shared" si="48"/>
        <v>Р4 · Наружные строительные работы</v>
      </c>
    </row>
    <row r="404" spans="1:26" ht="28.8" x14ac:dyDescent="0.3">
      <c r="A404" t="s">
        <v>899</v>
      </c>
      <c r="B404" t="s">
        <v>836</v>
      </c>
      <c r="C404" t="s">
        <v>161</v>
      </c>
      <c r="D404" s="4" t="s">
        <v>900</v>
      </c>
      <c r="E404" t="s">
        <v>52</v>
      </c>
      <c r="F404" s="5">
        <v>2035.8</v>
      </c>
      <c r="H404">
        <v>0</v>
      </c>
      <c r="I404" t="s">
        <v>53</v>
      </c>
      <c r="L404" s="6"/>
      <c r="M404" s="6"/>
      <c r="N404" s="6"/>
      <c r="O404" s="5"/>
      <c r="P404" s="7" t="str">
        <f t="shared" si="42"/>
        <v/>
      </c>
      <c r="Q404" s="7" t="str">
        <f t="shared" si="43"/>
        <v/>
      </c>
      <c r="R404" s="7" t="str">
        <f t="shared" si="44"/>
        <v/>
      </c>
      <c r="S404" s="7">
        <f>IF($A404="","",IF(AND(LEFT($G404,3)="ДОК",$N404&lt;&gt;""),IFERROR(INDEX(Документация!$E$2:$E$57,MATCH($N404,Документация!$F$2:$F$57,0)),0),N($F404))*(1-MEDIAN(0,N(ДисконтТендер),1)))</f>
        <v>2035.8</v>
      </c>
      <c r="T404" s="7">
        <f>IF($A404="","",IF(AND(LEFT($G404,3)="ДОК",$N404&lt;&gt;""),0,IF(AND(LEFT($G404,3)&lt;&gt;"ДОК",$N404&lt;&gt;""),IFERROR(INDEX(МАТЕРИАЛЫ!$H$2:$H$9000,MATCH($N404,МАТЕРИАЛЫ!$L$2:$L$9000,0))*IF(INDEX(МАТЕРИАЛЫ!$I$2:$I$9000,MATCH($N404,МАТЕРИАЛЫ!$L$2:$L$9000,0))="USD",КурсUSD,IF(INDEX(МАТЕРИАЛЫ!$I$2:$I$9000,MATCH($N404,МАТЕРИАЛЫ!$L$2:$L$9000,0))="EUR",КурсEUR,IF(INDEX(МАТЕРИАЛЫ!$I$2:$I$9000,MATCH($N404,МАТЕРИАЛЫ!$L$2:$L$9000,0))="CNY",КурсCNY,1)))*(1+N($H404)/100),0),N($O404))*(1-MEDIAN(0,N(ДисконтТендер),1))))</f>
        <v>0</v>
      </c>
      <c r="U404" t="str">
        <f>IF($L404="да",MAX($U$1:$U403)+1,"")</f>
        <v/>
      </c>
      <c r="V404" t="str">
        <f t="shared" si="45"/>
        <v>Р4</v>
      </c>
      <c r="W404" t="str">
        <f t="shared" si="46"/>
        <v/>
      </c>
      <c r="X404" t="str">
        <f t="shared" si="47"/>
        <v/>
      </c>
      <c r="Y404" s="4" t="str">
        <f>IF($A404="","",IF(AND(LEFT($G404,3)="ДОК",$N404&lt;&gt;""),IFERROR(INDEX(Документация!$G$2:$G$57,MATCH($N404,Документация!$F$2:$F$57,0)),$D404),$D404&amp;IF(AND(LEFT($G404,3)&lt;&gt;"ДОК",$N404&lt;&gt;"")," — "&amp;IFERROR(INDEX(МАТЕРИАЛЫ!$C$2:$C$9000,MATCH($N404,МАТЕРИАЛЫ!$L$2:$L$9000,0)),""),"")))</f>
        <v>Устройство козырьков на основе профтрубы (с грунтовкой и покраской) из поликарбоната</v>
      </c>
      <c r="Z404" t="str">
        <f t="shared" si="48"/>
        <v>Р4 · Наружные строительные работы</v>
      </c>
    </row>
    <row r="405" spans="1:26" x14ac:dyDescent="0.3">
      <c r="A405" t="s">
        <v>901</v>
      </c>
      <c r="B405" t="s">
        <v>836</v>
      </c>
      <c r="C405" t="s">
        <v>161</v>
      </c>
      <c r="D405" s="4" t="s">
        <v>902</v>
      </c>
      <c r="E405" t="s">
        <v>153</v>
      </c>
      <c r="F405" s="5">
        <v>217.5</v>
      </c>
      <c r="H405">
        <v>0</v>
      </c>
      <c r="I405" t="s">
        <v>53</v>
      </c>
      <c r="L405" s="6"/>
      <c r="M405" s="6"/>
      <c r="N405" s="6"/>
      <c r="O405" s="5"/>
      <c r="P405" s="7" t="str">
        <f t="shared" si="42"/>
        <v/>
      </c>
      <c r="Q405" s="7" t="str">
        <f t="shared" si="43"/>
        <v/>
      </c>
      <c r="R405" s="7" t="str">
        <f t="shared" si="44"/>
        <v/>
      </c>
      <c r="S405" s="7">
        <f>IF($A405="","",IF(AND(LEFT($G405,3)="ДОК",$N405&lt;&gt;""),IFERROR(INDEX(Документация!$E$2:$E$57,MATCH($N405,Документация!$F$2:$F$57,0)),0),N($F405))*(1-MEDIAN(0,N(ДисконтТендер),1)))</f>
        <v>217.5</v>
      </c>
      <c r="T405" s="7">
        <f>IF($A405="","",IF(AND(LEFT($G405,3)="ДОК",$N405&lt;&gt;""),0,IF(AND(LEFT($G405,3)&lt;&gt;"ДОК",$N405&lt;&gt;""),IFERROR(INDEX(МАТЕРИАЛЫ!$H$2:$H$9000,MATCH($N405,МАТЕРИАЛЫ!$L$2:$L$9000,0))*IF(INDEX(МАТЕРИАЛЫ!$I$2:$I$9000,MATCH($N405,МАТЕРИАЛЫ!$L$2:$L$9000,0))="USD",КурсUSD,IF(INDEX(МАТЕРИАЛЫ!$I$2:$I$9000,MATCH($N405,МАТЕРИАЛЫ!$L$2:$L$9000,0))="EUR",КурсEUR,IF(INDEX(МАТЕРИАЛЫ!$I$2:$I$9000,MATCH($N405,МАТЕРИАЛЫ!$L$2:$L$9000,0))="CNY",КурсCNY,1)))*(1+N($H405)/100),0),N($O405))*(1-MEDIAN(0,N(ДисконтТендер),1))))</f>
        <v>0</v>
      </c>
      <c r="U405" t="str">
        <f>IF($L405="да",MAX($U$1:$U404)+1,"")</f>
        <v/>
      </c>
      <c r="V405" t="str">
        <f t="shared" si="45"/>
        <v>Р4</v>
      </c>
      <c r="W405" t="str">
        <f t="shared" si="46"/>
        <v/>
      </c>
      <c r="X405" t="str">
        <f t="shared" si="47"/>
        <v/>
      </c>
      <c r="Y405" s="4" t="str">
        <f>IF($A405="","",IF(AND(LEFT($G405,3)="ДОК",$N405&lt;&gt;""),IFERROR(INDEX(Документация!$G$2:$G$57,MATCH($N405,Документация!$F$2:$F$57,0)),$D405),$D405&amp;IF(AND(LEFT($G405,3)&lt;&gt;"ДОК",$N405&lt;&gt;"")," — "&amp;IFERROR(INDEX(МАТЕРИАЛЫ!$C$2:$C$9000,MATCH($N405,МАТЕРИАЛЫ!$L$2:$L$9000,0)),""),"")))</f>
        <v>Монтаж ветрозащиты (пароизоляции) негорючей</v>
      </c>
      <c r="Z405" t="str">
        <f t="shared" si="48"/>
        <v>Р4 · Наружные строительные работы</v>
      </c>
    </row>
    <row r="406" spans="1:26" ht="28.8" x14ac:dyDescent="0.3">
      <c r="A406" t="s">
        <v>903</v>
      </c>
      <c r="B406" t="s">
        <v>836</v>
      </c>
      <c r="C406" t="s">
        <v>161</v>
      </c>
      <c r="D406" s="4" t="s">
        <v>904</v>
      </c>
      <c r="E406" t="s">
        <v>114</v>
      </c>
      <c r="F406" s="5">
        <v>45000</v>
      </c>
      <c r="H406">
        <v>0</v>
      </c>
      <c r="I406" t="s">
        <v>53</v>
      </c>
      <c r="L406" s="6"/>
      <c r="M406" s="6"/>
      <c r="N406" s="6"/>
      <c r="O406" s="5"/>
      <c r="P406" s="7" t="str">
        <f t="shared" si="42"/>
        <v/>
      </c>
      <c r="Q406" s="7" t="str">
        <f t="shared" si="43"/>
        <v/>
      </c>
      <c r="R406" s="7" t="str">
        <f t="shared" si="44"/>
        <v/>
      </c>
      <c r="S406" s="7">
        <f>IF($A406="","",IF(AND(LEFT($G406,3)="ДОК",$N406&lt;&gt;""),IFERROR(INDEX(Документация!$E$2:$E$57,MATCH($N406,Документация!$F$2:$F$57,0)),0),N($F406))*(1-MEDIAN(0,N(ДисконтТендер),1)))</f>
        <v>45000</v>
      </c>
      <c r="T406" s="7">
        <f>IF($A406="","",IF(AND(LEFT($G406,3)="ДОК",$N406&lt;&gt;""),0,IF(AND(LEFT($G406,3)&lt;&gt;"ДОК",$N406&lt;&gt;""),IFERROR(INDEX(МАТЕРИАЛЫ!$H$2:$H$9000,MATCH($N406,МАТЕРИАЛЫ!$L$2:$L$9000,0))*IF(INDEX(МАТЕРИАЛЫ!$I$2:$I$9000,MATCH($N406,МАТЕРИАЛЫ!$L$2:$L$9000,0))="USD",КурсUSD,IF(INDEX(МАТЕРИАЛЫ!$I$2:$I$9000,MATCH($N406,МАТЕРИАЛЫ!$L$2:$L$9000,0))="EUR",КурсEUR,IF(INDEX(МАТЕРИАЛЫ!$I$2:$I$9000,MATCH($N406,МАТЕРИАЛЫ!$L$2:$L$9000,0))="CNY",КурсCNY,1)))*(1+N($H406)/100),0),N($O406))*(1-MEDIAN(0,N(ДисконтТендер),1))))</f>
        <v>0</v>
      </c>
      <c r="U406" t="str">
        <f>IF($L406="да",MAX($U$1:$U405)+1,"")</f>
        <v/>
      </c>
      <c r="V406" t="str">
        <f t="shared" si="45"/>
        <v>Р4</v>
      </c>
      <c r="W406" t="str">
        <f t="shared" si="46"/>
        <v/>
      </c>
      <c r="X406" t="str">
        <f t="shared" si="47"/>
        <v/>
      </c>
      <c r="Y406" s="4" t="str">
        <f>IF($A406="","",IF(AND(LEFT($G406,3)="ДОК",$N406&lt;&gt;""),IFERROR(INDEX(Документация!$G$2:$G$57,MATCH($N406,Документация!$F$2:$F$57,0)),$D406),$D406&amp;IF(AND(LEFT($G406,3)&lt;&gt;"ДОК",$N406&lt;&gt;"")," — "&amp;IFERROR(INDEX(МАТЕРИАЛЫ!$C$2:$C$9000,MATCH($N406,МАТЕРИАЛЫ!$L$2:$L$9000,0)),""),"")))</f>
        <v>Козырёк из триплекса на подвесах, габариты 1000*1500</v>
      </c>
      <c r="Z406" t="str">
        <f t="shared" si="48"/>
        <v>Р4 · Наружные строительные работы</v>
      </c>
    </row>
    <row r="407" spans="1:26" ht="28.8" x14ac:dyDescent="0.3">
      <c r="A407" t="s">
        <v>905</v>
      </c>
      <c r="B407" t="s">
        <v>836</v>
      </c>
      <c r="C407" t="s">
        <v>161</v>
      </c>
      <c r="D407" s="4" t="s">
        <v>906</v>
      </c>
      <c r="E407" t="s">
        <v>114</v>
      </c>
      <c r="F407" s="5">
        <v>53000</v>
      </c>
      <c r="H407">
        <v>0</v>
      </c>
      <c r="I407" t="s">
        <v>53</v>
      </c>
      <c r="L407" s="6"/>
      <c r="M407" s="6"/>
      <c r="N407" s="6"/>
      <c r="O407" s="5"/>
      <c r="P407" s="7" t="str">
        <f t="shared" si="42"/>
        <v/>
      </c>
      <c r="Q407" s="7" t="str">
        <f t="shared" si="43"/>
        <v/>
      </c>
      <c r="R407" s="7" t="str">
        <f t="shared" si="44"/>
        <v/>
      </c>
      <c r="S407" s="7">
        <f>IF($A407="","",IF(AND(LEFT($G407,3)="ДОК",$N407&lt;&gt;""),IFERROR(INDEX(Документация!$E$2:$E$57,MATCH($N407,Документация!$F$2:$F$57,0)),0),N($F407))*(1-MEDIAN(0,N(ДисконтТендер),1)))</f>
        <v>53000</v>
      </c>
      <c r="T407" s="7">
        <f>IF($A407="","",IF(AND(LEFT($G407,3)="ДОК",$N407&lt;&gt;""),0,IF(AND(LEFT($G407,3)&lt;&gt;"ДОК",$N407&lt;&gt;""),IFERROR(INDEX(МАТЕРИАЛЫ!$H$2:$H$9000,MATCH($N407,МАТЕРИАЛЫ!$L$2:$L$9000,0))*IF(INDEX(МАТЕРИАЛЫ!$I$2:$I$9000,MATCH($N407,МАТЕРИАЛЫ!$L$2:$L$9000,0))="USD",КурсUSD,IF(INDEX(МАТЕРИАЛЫ!$I$2:$I$9000,MATCH($N407,МАТЕРИАЛЫ!$L$2:$L$9000,0))="EUR",КурсEUR,IF(INDEX(МАТЕРИАЛЫ!$I$2:$I$9000,MATCH($N407,МАТЕРИАЛЫ!$L$2:$L$9000,0))="CNY",КурсCNY,1)))*(1+N($H407)/100),0),N($O407))*(1-MEDIAN(0,N(ДисконтТендер),1))))</f>
        <v>0</v>
      </c>
      <c r="U407" t="str">
        <f>IF($L407="да",MAX($U$1:$U406)+1,"")</f>
        <v/>
      </c>
      <c r="V407" t="str">
        <f t="shared" si="45"/>
        <v>Р4</v>
      </c>
      <c r="W407" t="str">
        <f t="shared" si="46"/>
        <v/>
      </c>
      <c r="X407" t="str">
        <f t="shared" si="47"/>
        <v/>
      </c>
      <c r="Y407" s="4" t="str">
        <f>IF($A407="","",IF(AND(LEFT($G407,3)="ДОК",$N407&lt;&gt;""),IFERROR(INDEX(Документация!$G$2:$G$57,MATCH($N407,Документация!$F$2:$F$57,0)),$D407),$D407&amp;IF(AND(LEFT($G407,3)&lt;&gt;"ДОК",$N407&lt;&gt;"")," — "&amp;IFERROR(INDEX(МАТЕРИАЛЫ!$C$2:$C$9000,MATCH($N407,МАТЕРИАЛЫ!$L$2:$L$9000,0)),""),"")))</f>
        <v>Козырёк из триплекса на подвесах, габариты 1000*2000</v>
      </c>
      <c r="Z407" t="str">
        <f t="shared" si="48"/>
        <v>Р4 · Наружные строительные работы</v>
      </c>
    </row>
    <row r="408" spans="1:26" ht="28.8" x14ac:dyDescent="0.3">
      <c r="A408" t="s">
        <v>907</v>
      </c>
      <c r="B408" t="s">
        <v>836</v>
      </c>
      <c r="C408" t="s">
        <v>161</v>
      </c>
      <c r="D408" s="4" t="s">
        <v>908</v>
      </c>
      <c r="E408" t="s">
        <v>114</v>
      </c>
      <c r="F408" s="5">
        <v>30000</v>
      </c>
      <c r="H408">
        <v>0</v>
      </c>
      <c r="I408" t="s">
        <v>53</v>
      </c>
      <c r="L408" s="6"/>
      <c r="M408" s="6"/>
      <c r="N408" s="6"/>
      <c r="O408" s="5"/>
      <c r="P408" s="7" t="str">
        <f t="shared" si="42"/>
        <v/>
      </c>
      <c r="Q408" s="7" t="str">
        <f t="shared" si="43"/>
        <v/>
      </c>
      <c r="R408" s="7" t="str">
        <f t="shared" si="44"/>
        <v/>
      </c>
      <c r="S408" s="7">
        <f>IF($A408="","",IF(AND(LEFT($G408,3)="ДОК",$N408&lt;&gt;""),IFERROR(INDEX(Документация!$E$2:$E$57,MATCH($N408,Документация!$F$2:$F$57,0)),0),N($F408))*(1-MEDIAN(0,N(ДисконтТендер),1)))</f>
        <v>30000</v>
      </c>
      <c r="T408" s="7">
        <f>IF($A408="","",IF(AND(LEFT($G408,3)="ДОК",$N408&lt;&gt;""),0,IF(AND(LEFT($G408,3)&lt;&gt;"ДОК",$N408&lt;&gt;""),IFERROR(INDEX(МАТЕРИАЛЫ!$H$2:$H$9000,MATCH($N408,МАТЕРИАЛЫ!$L$2:$L$9000,0))*IF(INDEX(МАТЕРИАЛЫ!$I$2:$I$9000,MATCH($N408,МАТЕРИАЛЫ!$L$2:$L$9000,0))="USD",КурсUSD,IF(INDEX(МАТЕРИАЛЫ!$I$2:$I$9000,MATCH($N408,МАТЕРИАЛЫ!$L$2:$L$9000,0))="EUR",КурсEUR,IF(INDEX(МАТЕРИАЛЫ!$I$2:$I$9000,MATCH($N408,МАТЕРИАЛЫ!$L$2:$L$9000,0))="CNY",КурсCNY,1)))*(1+N($H408)/100),0),N($O408))*(1-MEDIAN(0,N(ДисконтТендер),1))))</f>
        <v>0</v>
      </c>
      <c r="U408" t="str">
        <f>IF($L408="да",MAX($U$1:$U407)+1,"")</f>
        <v/>
      </c>
      <c r="V408" t="str">
        <f t="shared" si="45"/>
        <v>Р4</v>
      </c>
      <c r="W408" t="str">
        <f t="shared" si="46"/>
        <v/>
      </c>
      <c r="X408" t="str">
        <f t="shared" si="47"/>
        <v/>
      </c>
      <c r="Y408" s="4" t="str">
        <f>IF($A408="","",IF(AND(LEFT($G408,3)="ДОК",$N408&lt;&gt;""),IFERROR(INDEX(Документация!$G$2:$G$57,MATCH($N408,Документация!$F$2:$F$57,0)),$D408),$D408&amp;IF(AND(LEFT($G408,3)&lt;&gt;"ДОК",$N408&lt;&gt;"")," — "&amp;IFERROR(INDEX(МАТЕРИАЛЫ!$C$2:$C$9000,MATCH($N408,МАТЕРИАЛЫ!$L$2:$L$9000,0)),""),"")))</f>
        <v>Козырёк из триплекса на подвесах, габариты 1000*1000</v>
      </c>
      <c r="Z408" t="str">
        <f t="shared" si="48"/>
        <v>Р4 · Наружные строительные работы</v>
      </c>
    </row>
    <row r="409" spans="1:26" ht="43.2" x14ac:dyDescent="0.3">
      <c r="A409" t="s">
        <v>909</v>
      </c>
      <c r="B409" t="s">
        <v>836</v>
      </c>
      <c r="C409" t="s">
        <v>194</v>
      </c>
      <c r="D409" s="4" t="s">
        <v>910</v>
      </c>
      <c r="E409" t="s">
        <v>150</v>
      </c>
      <c r="F409" s="5">
        <v>4853.8500000000004</v>
      </c>
      <c r="H409">
        <v>0</v>
      </c>
      <c r="I409" t="s">
        <v>53</v>
      </c>
      <c r="L409" s="6"/>
      <c r="M409" s="6"/>
      <c r="N409" s="6"/>
      <c r="O409" s="5"/>
      <c r="P409" s="7" t="str">
        <f t="shared" si="42"/>
        <v/>
      </c>
      <c r="Q409" s="7" t="str">
        <f t="shared" si="43"/>
        <v/>
      </c>
      <c r="R409" s="7" t="str">
        <f t="shared" si="44"/>
        <v/>
      </c>
      <c r="S409" s="7">
        <f>IF($A409="","",IF(AND(LEFT($G409,3)="ДОК",$N409&lt;&gt;""),IFERROR(INDEX(Документация!$E$2:$E$57,MATCH($N409,Документация!$F$2:$F$57,0)),0),N($F409))*(1-MEDIAN(0,N(ДисконтТендер),1)))</f>
        <v>4853.8500000000004</v>
      </c>
      <c r="T409" s="7">
        <f>IF($A409="","",IF(AND(LEFT($G409,3)="ДОК",$N409&lt;&gt;""),0,IF(AND(LEFT($G409,3)&lt;&gt;"ДОК",$N409&lt;&gt;""),IFERROR(INDEX(МАТЕРИАЛЫ!$H$2:$H$9000,MATCH($N409,МАТЕРИАЛЫ!$L$2:$L$9000,0))*IF(INDEX(МАТЕРИАЛЫ!$I$2:$I$9000,MATCH($N409,МАТЕРИАЛЫ!$L$2:$L$9000,0))="USD",КурсUSD,IF(INDEX(МАТЕРИАЛЫ!$I$2:$I$9000,MATCH($N409,МАТЕРИАЛЫ!$L$2:$L$9000,0))="EUR",КурсEUR,IF(INDEX(МАТЕРИАЛЫ!$I$2:$I$9000,MATCH($N409,МАТЕРИАЛЫ!$L$2:$L$9000,0))="CNY",КурсCNY,1)))*(1+N($H409)/100),0),N($O409))*(1-MEDIAN(0,N(ДисконтТендер),1))))</f>
        <v>0</v>
      </c>
      <c r="U409" t="str">
        <f>IF($L409="да",MAX($U$1:$U408)+1,"")</f>
        <v/>
      </c>
      <c r="V409" t="str">
        <f t="shared" si="45"/>
        <v>Р4</v>
      </c>
      <c r="W409" t="str">
        <f t="shared" si="46"/>
        <v/>
      </c>
      <c r="X409" t="str">
        <f t="shared" si="47"/>
        <v/>
      </c>
      <c r="Y409" s="4" t="str">
        <f>IF($A409="","",IF(AND(LEFT($G409,3)="ДОК",$N409&lt;&gt;""),IFERROR(INDEX(Документация!$G$2:$G$57,MATCH($N409,Документация!$F$2:$F$57,0)),$D409),$D409&amp;IF(AND(LEFT($G409,3)&lt;&gt;"ДОК",$N409&lt;&gt;"")," — "&amp;IFERROR(INDEX(МАТЕРИАЛЫ!$C$2:$C$9000,MATCH($N409,МАТЕРИАЛЫ!$L$2:$L$9000,0)),""),"")))</f>
        <v>Устройство каркаса из бруса (брус 100х50, 50х50, доска 150х15, саморезы, скобы, гвозди) с последующим демантажом</v>
      </c>
      <c r="Z409" t="str">
        <f t="shared" si="48"/>
        <v>Р4 · Наружные строительные работы</v>
      </c>
    </row>
    <row r="410" spans="1:26" ht="28.8" x14ac:dyDescent="0.3">
      <c r="A410" t="s">
        <v>911</v>
      </c>
      <c r="B410" t="s">
        <v>836</v>
      </c>
      <c r="C410" t="s">
        <v>194</v>
      </c>
      <c r="D410" s="4" t="s">
        <v>912</v>
      </c>
      <c r="E410" t="s">
        <v>52</v>
      </c>
      <c r="F410" s="5">
        <v>788.18</v>
      </c>
      <c r="H410">
        <v>0</v>
      </c>
      <c r="I410" t="s">
        <v>53</v>
      </c>
      <c r="L410" s="6"/>
      <c r="M410" s="6"/>
      <c r="N410" s="6"/>
      <c r="O410" s="5"/>
      <c r="P410" s="7" t="str">
        <f t="shared" si="42"/>
        <v/>
      </c>
      <c r="Q410" s="7" t="str">
        <f t="shared" si="43"/>
        <v/>
      </c>
      <c r="R410" s="7" t="str">
        <f t="shared" si="44"/>
        <v/>
      </c>
      <c r="S410" s="7">
        <f>IF($A410="","",IF(AND(LEFT($G410,3)="ДОК",$N410&lt;&gt;""),IFERROR(INDEX(Документация!$E$2:$E$57,MATCH($N410,Документация!$F$2:$F$57,0)),0),N($F410))*(1-MEDIAN(0,N(ДисконтТендер),1)))</f>
        <v>788.18</v>
      </c>
      <c r="T410" s="7">
        <f>IF($A410="","",IF(AND(LEFT($G410,3)="ДОК",$N410&lt;&gt;""),0,IF(AND(LEFT($G410,3)&lt;&gt;"ДОК",$N410&lt;&gt;""),IFERROR(INDEX(МАТЕРИАЛЫ!$H$2:$H$9000,MATCH($N410,МАТЕРИАЛЫ!$L$2:$L$9000,0))*IF(INDEX(МАТЕРИАЛЫ!$I$2:$I$9000,MATCH($N410,МАТЕРИАЛЫ!$L$2:$L$9000,0))="USD",КурсUSD,IF(INDEX(МАТЕРИАЛЫ!$I$2:$I$9000,MATCH($N410,МАТЕРИАЛЫ!$L$2:$L$9000,0))="EUR",КурсEUR,IF(INDEX(МАТЕРИАЛЫ!$I$2:$I$9000,MATCH($N410,МАТЕРИАЛЫ!$L$2:$L$9000,0))="CNY",КурсCNY,1)))*(1+N($H410)/100),0),N($O410))*(1-MEDIAN(0,N(ДисконтТендер),1))))</f>
        <v>0</v>
      </c>
      <c r="U410" t="str">
        <f>IF($L410="да",MAX($U$1:$U409)+1,"")</f>
        <v/>
      </c>
      <c r="V410" t="str">
        <f t="shared" si="45"/>
        <v>Р4</v>
      </c>
      <c r="W410" t="str">
        <f t="shared" si="46"/>
        <v/>
      </c>
      <c r="X410" t="str">
        <f t="shared" si="47"/>
        <v/>
      </c>
      <c r="Y410" s="4" t="str">
        <f>IF($A410="","",IF(AND(LEFT($G410,3)="ДОК",$N410&lt;&gt;""),IFERROR(INDEX(Документация!$G$2:$G$57,MATCH($N410,Документация!$F$2:$F$57,0)),$D410),$D410&amp;IF(AND(LEFT($G410,3)&lt;&gt;"ДОК",$N410&lt;&gt;"")," — "&amp;IFERROR(INDEX(МАТЕРИАЛЫ!$C$2:$C$9000,MATCH($N410,МАТЕРИАЛЫ!$L$2:$L$9000,0)),""),"")))</f>
        <v>Устройство защитного шатра из полиэтиленовой пленкой до 100 мкр., с последующим демонтажом</v>
      </c>
      <c r="Z410" t="str">
        <f t="shared" si="48"/>
        <v>Р4 · Наружные строительные работы</v>
      </c>
    </row>
    <row r="411" spans="1:26" ht="43.2" x14ac:dyDescent="0.3">
      <c r="A411" t="s">
        <v>913</v>
      </c>
      <c r="B411" t="s">
        <v>836</v>
      </c>
      <c r="C411" t="s">
        <v>194</v>
      </c>
      <c r="D411" s="4" t="s">
        <v>914</v>
      </c>
      <c r="E411" t="s">
        <v>52</v>
      </c>
      <c r="F411" s="5">
        <v>522.34</v>
      </c>
      <c r="H411">
        <v>0</v>
      </c>
      <c r="I411" t="s">
        <v>53</v>
      </c>
      <c r="L411" s="6"/>
      <c r="M411" s="6"/>
      <c r="N411" s="6"/>
      <c r="O411" s="5"/>
      <c r="P411" s="7" t="str">
        <f t="shared" si="42"/>
        <v/>
      </c>
      <c r="Q411" s="7" t="str">
        <f t="shared" si="43"/>
        <v/>
      </c>
      <c r="R411" s="7" t="str">
        <f t="shared" si="44"/>
        <v/>
      </c>
      <c r="S411" s="7">
        <f>IF($A411="","",IF(AND(LEFT($G411,3)="ДОК",$N411&lt;&gt;""),IFERROR(INDEX(Документация!$E$2:$E$57,MATCH($N411,Документация!$F$2:$F$57,0)),0),N($F411))*(1-MEDIAN(0,N(ДисконтТендер),1)))</f>
        <v>522.34</v>
      </c>
      <c r="T411" s="7">
        <f>IF($A411="","",IF(AND(LEFT($G411,3)="ДОК",$N411&lt;&gt;""),0,IF(AND(LEFT($G411,3)&lt;&gt;"ДОК",$N411&lt;&gt;""),IFERROR(INDEX(МАТЕРИАЛЫ!$H$2:$H$9000,MATCH($N411,МАТЕРИАЛЫ!$L$2:$L$9000,0))*IF(INDEX(МАТЕРИАЛЫ!$I$2:$I$9000,MATCH($N411,МАТЕРИАЛЫ!$L$2:$L$9000,0))="USD",КурсUSD,IF(INDEX(МАТЕРИАЛЫ!$I$2:$I$9000,MATCH($N411,МАТЕРИАЛЫ!$L$2:$L$9000,0))="EUR",КурсEUR,IF(INDEX(МАТЕРИАЛЫ!$I$2:$I$9000,MATCH($N411,МАТЕРИАЛЫ!$L$2:$L$9000,0))="CNY",КурсCNY,1)))*(1+N($H411)/100),0),N($O411))*(1-MEDIAN(0,N(ДисконтТендер),1))))</f>
        <v>0</v>
      </c>
      <c r="U411" t="str">
        <f>IF($L411="да",MAX($U$1:$U410)+1,"")</f>
        <v/>
      </c>
      <c r="V411" t="str">
        <f t="shared" si="45"/>
        <v>Р4</v>
      </c>
      <c r="W411" t="str">
        <f t="shared" si="46"/>
        <v/>
      </c>
      <c r="X411" t="str">
        <f t="shared" si="47"/>
        <v/>
      </c>
      <c r="Y411" s="4" t="str">
        <f>IF($A411="","",IF(AND(LEFT($G411,3)="ДОК",$N411&lt;&gt;""),IFERROR(INDEX(Документация!$G$2:$G$57,MATCH($N411,Документация!$F$2:$F$57,0)),$D411),$D411&amp;IF(AND(LEFT($G411,3)&lt;&gt;"ДОК",$N411&lt;&gt;"")," — "&amp;IFERROR(INDEX(МАТЕРИАЛЫ!$C$2:$C$9000,MATCH($N411,МАТЕРИАЛЫ!$L$2:$L$9000,0)),""),"")))</f>
        <v>Устройство защитного полотна из сетки строительной фасадной (зеленая мелкоячеистая) с последующим демантажом</v>
      </c>
      <c r="Z411" t="str">
        <f t="shared" si="48"/>
        <v>Р4 · Наружные строительные работы</v>
      </c>
    </row>
    <row r="412" spans="1:26" ht="28.8" x14ac:dyDescent="0.3">
      <c r="A412" t="s">
        <v>915</v>
      </c>
      <c r="B412" t="s">
        <v>836</v>
      </c>
      <c r="C412" t="s">
        <v>194</v>
      </c>
      <c r="D412" s="4" t="s">
        <v>916</v>
      </c>
      <c r="E412" t="s">
        <v>917</v>
      </c>
      <c r="F412" s="5">
        <v>95.7</v>
      </c>
      <c r="H412">
        <v>0</v>
      </c>
      <c r="I412" t="s">
        <v>53</v>
      </c>
      <c r="L412" s="6"/>
      <c r="M412" s="6"/>
      <c r="N412" s="6"/>
      <c r="O412" s="5"/>
      <c r="P412" s="7" t="str">
        <f t="shared" si="42"/>
        <v/>
      </c>
      <c r="Q412" s="7" t="str">
        <f t="shared" si="43"/>
        <v/>
      </c>
      <c r="R412" s="7" t="str">
        <f t="shared" si="44"/>
        <v/>
      </c>
      <c r="S412" s="7">
        <f>IF($A412="","",IF(AND(LEFT($G412,3)="ДОК",$N412&lt;&gt;""),IFERROR(INDEX(Документация!$E$2:$E$57,MATCH($N412,Документация!$F$2:$F$57,0)),0),N($F412))*(1-MEDIAN(0,N(ДисконтТендер),1)))</f>
        <v>95.7</v>
      </c>
      <c r="T412" s="7">
        <f>IF($A412="","",IF(AND(LEFT($G412,3)="ДОК",$N412&lt;&gt;""),0,IF(AND(LEFT($G412,3)&lt;&gt;"ДОК",$N412&lt;&gt;""),IFERROR(INDEX(МАТЕРИАЛЫ!$H$2:$H$9000,MATCH($N412,МАТЕРИАЛЫ!$L$2:$L$9000,0))*IF(INDEX(МАТЕРИАЛЫ!$I$2:$I$9000,MATCH($N412,МАТЕРИАЛЫ!$L$2:$L$9000,0))="USD",КурсUSD,IF(INDEX(МАТЕРИАЛЫ!$I$2:$I$9000,MATCH($N412,МАТЕРИАЛЫ!$L$2:$L$9000,0))="EUR",КурсEUR,IF(INDEX(МАТЕРИАЛЫ!$I$2:$I$9000,MATCH($N412,МАТЕРИАЛЫ!$L$2:$L$9000,0))="CNY",КурсCNY,1)))*(1+N($H412)/100),0),N($O412))*(1-MEDIAN(0,N(ДисконтТендер),1))))</f>
        <v>0</v>
      </c>
      <c r="U412" t="str">
        <f>IF($L412="да",MAX($U$1:$U411)+1,"")</f>
        <v/>
      </c>
      <c r="V412" t="str">
        <f t="shared" si="45"/>
        <v>Р4</v>
      </c>
      <c r="W412" t="str">
        <f t="shared" si="46"/>
        <v/>
      </c>
      <c r="X412" t="str">
        <f t="shared" si="47"/>
        <v/>
      </c>
      <c r="Y412" s="4" t="str">
        <f>IF($A412="","",IF(AND(LEFT($G412,3)="ДОК",$N412&lt;&gt;""),IFERROR(INDEX(Документация!$G$2:$G$57,MATCH($N412,Документация!$F$2:$F$57,0)),$D412),$D412&amp;IF(AND(LEFT($G412,3)&lt;&gt;"ДОК",$N412&lt;&gt;"")," — "&amp;IFERROR(INDEX(МАТЕРИАЛЫ!$C$2:$C$9000,MATCH($N412,МАТЕРИАЛЫ!$L$2:$L$9000,0)),""),"")))</f>
        <v>Отопление временных конструкций в зимний период (электрическая пушка)</v>
      </c>
      <c r="Z412" t="str">
        <f t="shared" si="48"/>
        <v>Р4 · Наружные строительные работы</v>
      </c>
    </row>
    <row r="413" spans="1:26" ht="28.8" x14ac:dyDescent="0.3">
      <c r="A413" t="s">
        <v>918</v>
      </c>
      <c r="B413" t="s">
        <v>836</v>
      </c>
      <c r="C413" t="s">
        <v>194</v>
      </c>
      <c r="D413" s="4" t="s">
        <v>919</v>
      </c>
      <c r="E413" t="s">
        <v>917</v>
      </c>
      <c r="F413" s="5">
        <v>169.65</v>
      </c>
      <c r="H413">
        <v>0</v>
      </c>
      <c r="I413" t="s">
        <v>53</v>
      </c>
      <c r="L413" s="6"/>
      <c r="M413" s="6"/>
      <c r="N413" s="6"/>
      <c r="O413" s="5"/>
      <c r="P413" s="7" t="str">
        <f t="shared" si="42"/>
        <v/>
      </c>
      <c r="Q413" s="7" t="str">
        <f t="shared" si="43"/>
        <v/>
      </c>
      <c r="R413" s="7" t="str">
        <f t="shared" si="44"/>
        <v/>
      </c>
      <c r="S413" s="7">
        <f>IF($A413="","",IF(AND(LEFT($G413,3)="ДОК",$N413&lt;&gt;""),IFERROR(INDEX(Документация!$E$2:$E$57,MATCH($N413,Документация!$F$2:$F$57,0)),0),N($F413))*(1-MEDIAN(0,N(ДисконтТендер),1)))</f>
        <v>169.65</v>
      </c>
      <c r="T413" s="7">
        <f>IF($A413="","",IF(AND(LEFT($G413,3)="ДОК",$N413&lt;&gt;""),0,IF(AND(LEFT($G413,3)&lt;&gt;"ДОК",$N413&lt;&gt;""),IFERROR(INDEX(МАТЕРИАЛЫ!$H$2:$H$9000,MATCH($N413,МАТЕРИАЛЫ!$L$2:$L$9000,0))*IF(INDEX(МАТЕРИАЛЫ!$I$2:$I$9000,MATCH($N413,МАТЕРИАЛЫ!$L$2:$L$9000,0))="USD",КурсUSD,IF(INDEX(МАТЕРИАЛЫ!$I$2:$I$9000,MATCH($N413,МАТЕРИАЛЫ!$L$2:$L$9000,0))="EUR",КурсEUR,IF(INDEX(МАТЕРИАЛЫ!$I$2:$I$9000,MATCH($N413,МАТЕРИАЛЫ!$L$2:$L$9000,0))="CNY",КурсCNY,1)))*(1+N($H413)/100),0),N($O413))*(1-MEDIAN(0,N(ДисконтТендер),1))))</f>
        <v>0</v>
      </c>
      <c r="U413" t="str">
        <f>IF($L413="да",MAX($U$1:$U412)+1,"")</f>
        <v/>
      </c>
      <c r="V413" t="str">
        <f t="shared" si="45"/>
        <v>Р4</v>
      </c>
      <c r="W413" t="str">
        <f t="shared" si="46"/>
        <v/>
      </c>
      <c r="X413" t="str">
        <f t="shared" si="47"/>
        <v/>
      </c>
      <c r="Y413" s="4" t="str">
        <f>IF($A413="","",IF(AND(LEFT($G413,3)="ДОК",$N413&lt;&gt;""),IFERROR(INDEX(Документация!$G$2:$G$57,MATCH($N413,Документация!$F$2:$F$57,0)),$D413),$D413&amp;IF(AND(LEFT($G413,3)&lt;&gt;"ДОК",$N413&lt;&gt;"")," — "&amp;IFERROR(INDEX(МАТЕРИАЛЫ!$C$2:$C$9000,MATCH($N413,МАТЕРИАЛЫ!$L$2:$L$9000,0)),""),"")))</f>
        <v>Отопление временных конструкций в зимний период (дизельная пушка)</v>
      </c>
      <c r="Z413" t="str">
        <f t="shared" si="48"/>
        <v>Р4 · Наружные строительные работы</v>
      </c>
    </row>
    <row r="414" spans="1:26" ht="28.8" x14ac:dyDescent="0.3">
      <c r="A414" t="s">
        <v>920</v>
      </c>
      <c r="B414" t="s">
        <v>836</v>
      </c>
      <c r="C414" t="s">
        <v>194</v>
      </c>
      <c r="D414" s="4" t="s">
        <v>921</v>
      </c>
      <c r="E414" t="s">
        <v>917</v>
      </c>
      <c r="F414" s="5">
        <v>140.35</v>
      </c>
      <c r="H414">
        <v>0</v>
      </c>
      <c r="I414" t="s">
        <v>53</v>
      </c>
      <c r="L414" s="6"/>
      <c r="M414" s="6"/>
      <c r="N414" s="6"/>
      <c r="O414" s="5"/>
      <c r="P414" s="7" t="str">
        <f t="shared" si="42"/>
        <v/>
      </c>
      <c r="Q414" s="7" t="str">
        <f t="shared" si="43"/>
        <v/>
      </c>
      <c r="R414" s="7" t="str">
        <f t="shared" si="44"/>
        <v/>
      </c>
      <c r="S414" s="7">
        <f>IF($A414="","",IF(AND(LEFT($G414,3)="ДОК",$N414&lt;&gt;""),IFERROR(INDEX(Документация!$E$2:$E$57,MATCH($N414,Документация!$F$2:$F$57,0)),0),N($F414))*(1-MEDIAN(0,N(ДисконтТендер),1)))</f>
        <v>140.35</v>
      </c>
      <c r="T414" s="7">
        <f>IF($A414="","",IF(AND(LEFT($G414,3)="ДОК",$N414&lt;&gt;""),0,IF(AND(LEFT($G414,3)&lt;&gt;"ДОК",$N414&lt;&gt;""),IFERROR(INDEX(МАТЕРИАЛЫ!$H$2:$H$9000,MATCH($N414,МАТЕРИАЛЫ!$L$2:$L$9000,0))*IF(INDEX(МАТЕРИАЛЫ!$I$2:$I$9000,MATCH($N414,МАТЕРИАЛЫ!$L$2:$L$9000,0))="USD",КурсUSD,IF(INDEX(МАТЕРИАЛЫ!$I$2:$I$9000,MATCH($N414,МАТЕРИАЛЫ!$L$2:$L$9000,0))="EUR",КурсEUR,IF(INDEX(МАТЕРИАЛЫ!$I$2:$I$9000,MATCH($N414,МАТЕРИАЛЫ!$L$2:$L$9000,0))="CNY",КурсCNY,1)))*(1+N($H414)/100),0),N($O414))*(1-MEDIAN(0,N(ДисконтТендер),1))))</f>
        <v>0</v>
      </c>
      <c r="U414" t="str">
        <f>IF($L414="да",MAX($U$1:$U413)+1,"")</f>
        <v/>
      </c>
      <c r="V414" t="str">
        <f t="shared" si="45"/>
        <v>Р4</v>
      </c>
      <c r="W414" t="str">
        <f t="shared" si="46"/>
        <v/>
      </c>
      <c r="X414" t="str">
        <f t="shared" si="47"/>
        <v/>
      </c>
      <c r="Y414" s="4" t="str">
        <f>IF($A414="","",IF(AND(LEFT($G414,3)="ДОК",$N414&lt;&gt;""),IFERROR(INDEX(Документация!$G$2:$G$57,MATCH($N414,Документация!$F$2:$F$57,0)),$D414),$D414&amp;IF(AND(LEFT($G414,3)&lt;&gt;"ДОК",$N414&lt;&gt;"")," — "&amp;IFERROR(INDEX(МАТЕРИАЛЫ!$C$2:$C$9000,MATCH($N414,МАТЕРИАЛЫ!$L$2:$L$9000,0)),""),"")))</f>
        <v>Отопление временных конструкций в зимний период (газовая пушка)</v>
      </c>
      <c r="Z414" t="str">
        <f t="shared" si="48"/>
        <v>Р4 · Наружные строительные работы</v>
      </c>
    </row>
    <row r="415" spans="1:26" x14ac:dyDescent="0.3">
      <c r="A415" t="s">
        <v>922</v>
      </c>
      <c r="B415" t="s">
        <v>836</v>
      </c>
      <c r="C415" t="s">
        <v>246</v>
      </c>
      <c r="D415" s="4" t="s">
        <v>923</v>
      </c>
      <c r="E415" t="s">
        <v>52</v>
      </c>
      <c r="F415" s="5">
        <v>2035.8</v>
      </c>
      <c r="H415">
        <v>0</v>
      </c>
      <c r="I415" t="s">
        <v>53</v>
      </c>
      <c r="L415" s="6"/>
      <c r="M415" s="6"/>
      <c r="N415" s="6"/>
      <c r="O415" s="5"/>
      <c r="P415" s="7" t="str">
        <f t="shared" si="42"/>
        <v/>
      </c>
      <c r="Q415" s="7" t="str">
        <f t="shared" si="43"/>
        <v/>
      </c>
      <c r="R415" s="7" t="str">
        <f t="shared" si="44"/>
        <v/>
      </c>
      <c r="S415" s="7">
        <f>IF($A415="","",IF(AND(LEFT($G415,3)="ДОК",$N415&lt;&gt;""),IFERROR(INDEX(Документация!$E$2:$E$57,MATCH($N415,Документация!$F$2:$F$57,0)),0),N($F415))*(1-MEDIAN(0,N(ДисконтТендер),1)))</f>
        <v>2035.8</v>
      </c>
      <c r="T415" s="7">
        <f>IF($A415="","",IF(AND(LEFT($G415,3)="ДОК",$N415&lt;&gt;""),0,IF(AND(LEFT($G415,3)&lt;&gt;"ДОК",$N415&lt;&gt;""),IFERROR(INDEX(МАТЕРИАЛЫ!$H$2:$H$9000,MATCH($N415,МАТЕРИАЛЫ!$L$2:$L$9000,0))*IF(INDEX(МАТЕРИАЛЫ!$I$2:$I$9000,MATCH($N415,МАТЕРИАЛЫ!$L$2:$L$9000,0))="USD",КурсUSD,IF(INDEX(МАТЕРИАЛЫ!$I$2:$I$9000,MATCH($N415,МАТЕРИАЛЫ!$L$2:$L$9000,0))="EUR",КурсEUR,IF(INDEX(МАТЕРИАЛЫ!$I$2:$I$9000,MATCH($N415,МАТЕРИАЛЫ!$L$2:$L$9000,0))="CNY",КурсCNY,1)))*(1+N($H415)/100),0),N($O415))*(1-MEDIAN(0,N(ДисконтТендер),1))))</f>
        <v>0</v>
      </c>
      <c r="U415" t="str">
        <f>IF($L415="да",MAX($U$1:$U414)+1,"")</f>
        <v/>
      </c>
      <c r="V415" t="str">
        <f t="shared" si="45"/>
        <v>Р4</v>
      </c>
      <c r="W415" t="str">
        <f t="shared" si="46"/>
        <v/>
      </c>
      <c r="X415" t="str">
        <f t="shared" si="47"/>
        <v/>
      </c>
      <c r="Y415" s="4" t="str">
        <f>IF($A415="","",IF(AND(LEFT($G415,3)="ДОК",$N415&lt;&gt;""),IFERROR(INDEX(Документация!$G$2:$G$57,MATCH($N415,Документация!$F$2:$F$57,0)),$D415),$D415&amp;IF(AND(LEFT($G415,3)&lt;&gt;"ДОК",$N415&lt;&gt;"")," — "&amp;IFERROR(INDEX(МАТЕРИАЛЫ!$C$2:$C$9000,MATCH($N415,МАТЕРИАЛЫ!$L$2:$L$9000,0)),""),"")))</f>
        <v>Разработка грунта вручную</v>
      </c>
      <c r="Z415" t="str">
        <f t="shared" si="48"/>
        <v>Р4 · Наружные строительные работы</v>
      </c>
    </row>
    <row r="416" spans="1:26" x14ac:dyDescent="0.3">
      <c r="A416" t="s">
        <v>924</v>
      </c>
      <c r="B416" t="s">
        <v>836</v>
      </c>
      <c r="C416" t="s">
        <v>246</v>
      </c>
      <c r="D416" s="4" t="s">
        <v>925</v>
      </c>
      <c r="E416" t="s">
        <v>150</v>
      </c>
      <c r="F416" s="5">
        <v>1173.8699999999999</v>
      </c>
      <c r="H416">
        <v>0</v>
      </c>
      <c r="I416" t="s">
        <v>53</v>
      </c>
      <c r="L416" s="6"/>
      <c r="M416" s="6"/>
      <c r="N416" s="6"/>
      <c r="O416" s="5"/>
      <c r="P416" s="7" t="str">
        <f t="shared" si="42"/>
        <v/>
      </c>
      <c r="Q416" s="7" t="str">
        <f t="shared" si="43"/>
        <v/>
      </c>
      <c r="R416" s="7" t="str">
        <f t="shared" si="44"/>
        <v/>
      </c>
      <c r="S416" s="7">
        <f>IF($A416="","",IF(AND(LEFT($G416,3)="ДОК",$N416&lt;&gt;""),IFERROR(INDEX(Документация!$E$2:$E$57,MATCH($N416,Документация!$F$2:$F$57,0)),0),N($F416))*(1-MEDIAN(0,N(ДисконтТендер),1)))</f>
        <v>1173.8699999999999</v>
      </c>
      <c r="T416" s="7">
        <f>IF($A416="","",IF(AND(LEFT($G416,3)="ДОК",$N416&lt;&gt;""),0,IF(AND(LEFT($G416,3)&lt;&gt;"ДОК",$N416&lt;&gt;""),IFERROR(INDEX(МАТЕРИАЛЫ!$H$2:$H$9000,MATCH($N416,МАТЕРИАЛЫ!$L$2:$L$9000,0))*IF(INDEX(МАТЕРИАЛЫ!$I$2:$I$9000,MATCH($N416,МАТЕРИАЛЫ!$L$2:$L$9000,0))="USD",КурсUSD,IF(INDEX(МАТЕРИАЛЫ!$I$2:$I$9000,MATCH($N416,МАТЕРИАЛЫ!$L$2:$L$9000,0))="EUR",КурсEUR,IF(INDEX(МАТЕРИАЛЫ!$I$2:$I$9000,MATCH($N416,МАТЕРИАЛЫ!$L$2:$L$9000,0))="CNY",КурсCNY,1)))*(1+N($H416)/100),0),N($O416))*(1-MEDIAN(0,N(ДисконтТендер),1))))</f>
        <v>0</v>
      </c>
      <c r="U416" t="str">
        <f>IF($L416="да",MAX($U$1:$U415)+1,"")</f>
        <v/>
      </c>
      <c r="V416" t="str">
        <f t="shared" si="45"/>
        <v>Р4</v>
      </c>
      <c r="W416" t="str">
        <f t="shared" si="46"/>
        <v/>
      </c>
      <c r="X416" t="str">
        <f t="shared" si="47"/>
        <v/>
      </c>
      <c r="Y416" s="4" t="str">
        <f>IF($A416="","",IF(AND(LEFT($G416,3)="ДОК",$N416&lt;&gt;""),IFERROR(INDEX(Документация!$G$2:$G$57,MATCH($N416,Документация!$F$2:$F$57,0)),$D416),$D416&amp;IF(AND(LEFT($G416,3)&lt;&gt;"ДОК",$N416&lt;&gt;"")," — "&amp;IFERROR(INDEX(МАТЕРИАЛЫ!$C$2:$C$9000,MATCH($N416,МАТЕРИАЛЫ!$L$2:$L$9000,0)),""),"")))</f>
        <v>Обратная засыпка грунта вручную</v>
      </c>
      <c r="Z416" t="str">
        <f t="shared" si="48"/>
        <v>Р4 · Наружные строительные работы</v>
      </c>
    </row>
    <row r="417" spans="1:26" ht="28.8" x14ac:dyDescent="0.3">
      <c r="A417" t="s">
        <v>926</v>
      </c>
      <c r="B417" t="s">
        <v>836</v>
      </c>
      <c r="C417" t="s">
        <v>246</v>
      </c>
      <c r="D417" s="4" t="s">
        <v>927</v>
      </c>
      <c r="E417" t="s">
        <v>150</v>
      </c>
      <c r="F417" s="5">
        <v>1839.5</v>
      </c>
      <c r="H417">
        <v>0</v>
      </c>
      <c r="I417" t="s">
        <v>53</v>
      </c>
      <c r="L417" s="6"/>
      <c r="M417" s="6"/>
      <c r="N417" s="6"/>
      <c r="O417" s="5"/>
      <c r="P417" s="7" t="str">
        <f t="shared" si="42"/>
        <v/>
      </c>
      <c r="Q417" s="7" t="str">
        <f t="shared" si="43"/>
        <v/>
      </c>
      <c r="R417" s="7" t="str">
        <f t="shared" si="44"/>
        <v/>
      </c>
      <c r="S417" s="7">
        <f>IF($A417="","",IF(AND(LEFT($G417,3)="ДОК",$N417&lt;&gt;""),IFERROR(INDEX(Документация!$E$2:$E$57,MATCH($N417,Документация!$F$2:$F$57,0)),0),N($F417))*(1-MEDIAN(0,N(ДисконтТендер),1)))</f>
        <v>1839.5</v>
      </c>
      <c r="T417" s="7">
        <f>IF($A417="","",IF(AND(LEFT($G417,3)="ДОК",$N417&lt;&gt;""),0,IF(AND(LEFT($G417,3)&lt;&gt;"ДОК",$N417&lt;&gt;""),IFERROR(INDEX(МАТЕРИАЛЫ!$H$2:$H$9000,MATCH($N417,МАТЕРИАЛЫ!$L$2:$L$9000,0))*IF(INDEX(МАТЕРИАЛЫ!$I$2:$I$9000,MATCH($N417,МАТЕРИАЛЫ!$L$2:$L$9000,0))="USD",КурсUSD,IF(INDEX(МАТЕРИАЛЫ!$I$2:$I$9000,MATCH($N417,МАТЕРИАЛЫ!$L$2:$L$9000,0))="EUR",КурсEUR,IF(INDEX(МАТЕРИАЛЫ!$I$2:$I$9000,MATCH($N417,МАТЕРИАЛЫ!$L$2:$L$9000,0))="CNY",КурсCNY,1)))*(1+N($H417)/100),0),N($O417))*(1-MEDIAN(0,N(ДисконтТендер),1))))</f>
        <v>0</v>
      </c>
      <c r="U417" t="str">
        <f>IF($L417="да",MAX($U$1:$U416)+1,"")</f>
        <v/>
      </c>
      <c r="V417" t="str">
        <f t="shared" si="45"/>
        <v>Р4</v>
      </c>
      <c r="W417" t="str">
        <f t="shared" si="46"/>
        <v/>
      </c>
      <c r="X417" t="str">
        <f t="shared" si="47"/>
        <v/>
      </c>
      <c r="Y417" s="4" t="str">
        <f>IF($A417="","",IF(AND(LEFT($G417,3)="ДОК",$N417&lt;&gt;""),IFERROR(INDEX(Документация!$G$2:$G$57,MATCH($N417,Документация!$F$2:$F$57,0)),$D417),$D417&amp;IF(AND(LEFT($G417,3)&lt;&gt;"ДОК",$N417&lt;&gt;"")," — "&amp;IFERROR(INDEX(МАТЕРИАЛЫ!$C$2:$C$9000,MATCH($N417,МАТЕРИАЛЫ!$L$2:$L$9000,0)),""),"")))</f>
        <v>Подготовка подстилающих слоев вручную с уплотнением</v>
      </c>
      <c r="Z417" t="str">
        <f t="shared" si="48"/>
        <v>Р4 · Наружные строительные работы</v>
      </c>
    </row>
    <row r="418" spans="1:26" ht="28.8" x14ac:dyDescent="0.3">
      <c r="A418" t="s">
        <v>928</v>
      </c>
      <c r="B418" t="s">
        <v>836</v>
      </c>
      <c r="C418" t="s">
        <v>246</v>
      </c>
      <c r="D418" s="4" t="s">
        <v>929</v>
      </c>
      <c r="E418" t="s">
        <v>114</v>
      </c>
      <c r="F418" s="5">
        <v>24429.599999999999</v>
      </c>
      <c r="H418">
        <v>0</v>
      </c>
      <c r="I418" t="s">
        <v>53</v>
      </c>
      <c r="L418" s="6"/>
      <c r="M418" s="6"/>
      <c r="N418" s="6"/>
      <c r="O418" s="5"/>
      <c r="P418" s="7" t="str">
        <f t="shared" si="42"/>
        <v/>
      </c>
      <c r="Q418" s="7" t="str">
        <f t="shared" si="43"/>
        <v/>
      </c>
      <c r="R418" s="7" t="str">
        <f t="shared" si="44"/>
        <v/>
      </c>
      <c r="S418" s="7">
        <f>IF($A418="","",IF(AND(LEFT($G418,3)="ДОК",$N418&lt;&gt;""),IFERROR(INDEX(Документация!$E$2:$E$57,MATCH($N418,Документация!$F$2:$F$57,0)),0),N($F418))*(1-MEDIAN(0,N(ДисконтТендер),1)))</f>
        <v>24429.599999999999</v>
      </c>
      <c r="T418" s="7">
        <f>IF($A418="","",IF(AND(LEFT($G418,3)="ДОК",$N418&lt;&gt;""),0,IF(AND(LEFT($G418,3)&lt;&gt;"ДОК",$N418&lt;&gt;""),IFERROR(INDEX(МАТЕРИАЛЫ!$H$2:$H$9000,MATCH($N418,МАТЕРИАЛЫ!$L$2:$L$9000,0))*IF(INDEX(МАТЕРИАЛЫ!$I$2:$I$9000,MATCH($N418,МАТЕРИАЛЫ!$L$2:$L$9000,0))="USD",КурсUSD,IF(INDEX(МАТЕРИАЛЫ!$I$2:$I$9000,MATCH($N418,МАТЕРИАЛЫ!$L$2:$L$9000,0))="EUR",КурсEUR,IF(INDEX(МАТЕРИАЛЫ!$I$2:$I$9000,MATCH($N418,МАТЕРИАЛЫ!$L$2:$L$9000,0))="CNY",КурсCNY,1)))*(1+N($H418)/100),0),N($O418))*(1-MEDIAN(0,N(ДисконтТендер),1))))</f>
        <v>0</v>
      </c>
      <c r="U418" t="str">
        <f>IF($L418="да",MAX($U$1:$U417)+1,"")</f>
        <v/>
      </c>
      <c r="V418" t="str">
        <f t="shared" si="45"/>
        <v>Р4</v>
      </c>
      <c r="W418" t="str">
        <f t="shared" si="46"/>
        <v/>
      </c>
      <c r="X418" t="str">
        <f t="shared" si="47"/>
        <v/>
      </c>
      <c r="Y418" s="4" t="str">
        <f>IF($A418="","",IF(AND(LEFT($G418,3)="ДОК",$N418&lt;&gt;""),IFERROR(INDEX(Документация!$G$2:$G$57,MATCH($N418,Документация!$F$2:$F$57,0)),$D418),$D418&amp;IF(AND(LEFT($G418,3)&lt;&gt;"ДОК",$N418&lt;&gt;"")," — "&amp;IFERROR(INDEX(МАТЕРИАЛЫ!$C$2:$C$9000,MATCH($N418,МАТЕРИАЛЫ!$L$2:$L$9000,0)),""),"")))</f>
        <v>Установка подъемно секционных ворот автоматических 3000Х3000 мм</v>
      </c>
      <c r="Z418" t="str">
        <f t="shared" si="48"/>
        <v>Р4 · Наружные строительные работы</v>
      </c>
    </row>
    <row r="419" spans="1:26" ht="28.8" x14ac:dyDescent="0.3">
      <c r="A419" t="s">
        <v>930</v>
      </c>
      <c r="B419" t="s">
        <v>836</v>
      </c>
      <c r="C419" t="s">
        <v>246</v>
      </c>
      <c r="D419" s="4" t="s">
        <v>931</v>
      </c>
      <c r="E419" t="s">
        <v>114</v>
      </c>
      <c r="F419" s="5">
        <v>28112.05</v>
      </c>
      <c r="H419">
        <v>0</v>
      </c>
      <c r="I419" t="s">
        <v>53</v>
      </c>
      <c r="L419" s="6"/>
      <c r="M419" s="6"/>
      <c r="N419" s="6"/>
      <c r="O419" s="5"/>
      <c r="P419" s="7" t="str">
        <f t="shared" si="42"/>
        <v/>
      </c>
      <c r="Q419" s="7" t="str">
        <f t="shared" si="43"/>
        <v/>
      </c>
      <c r="R419" s="7" t="str">
        <f t="shared" si="44"/>
        <v/>
      </c>
      <c r="S419" s="7">
        <f>IF($A419="","",IF(AND(LEFT($G419,3)="ДОК",$N419&lt;&gt;""),IFERROR(INDEX(Документация!$E$2:$E$57,MATCH($N419,Документация!$F$2:$F$57,0)),0),N($F419))*(1-MEDIAN(0,N(ДисконтТендер),1)))</f>
        <v>28112.05</v>
      </c>
      <c r="T419" s="7">
        <f>IF($A419="","",IF(AND(LEFT($G419,3)="ДОК",$N419&lt;&gt;""),0,IF(AND(LEFT($G419,3)&lt;&gt;"ДОК",$N419&lt;&gt;""),IFERROR(INDEX(МАТЕРИАЛЫ!$H$2:$H$9000,MATCH($N419,МАТЕРИАЛЫ!$L$2:$L$9000,0))*IF(INDEX(МАТЕРИАЛЫ!$I$2:$I$9000,MATCH($N419,МАТЕРИАЛЫ!$L$2:$L$9000,0))="USD",КурсUSD,IF(INDEX(МАТЕРИАЛЫ!$I$2:$I$9000,MATCH($N419,МАТЕРИАЛЫ!$L$2:$L$9000,0))="EUR",КурсEUR,IF(INDEX(МАТЕРИАЛЫ!$I$2:$I$9000,MATCH($N419,МАТЕРИАЛЫ!$L$2:$L$9000,0))="CNY",КурсCNY,1)))*(1+N($H419)/100),0),N($O419))*(1-MEDIAN(0,N(ДисконтТендер),1))))</f>
        <v>0</v>
      </c>
      <c r="U419" t="str">
        <f>IF($L419="да",MAX($U$1:$U418)+1,"")</f>
        <v/>
      </c>
      <c r="V419" t="str">
        <f t="shared" si="45"/>
        <v>Р4</v>
      </c>
      <c r="W419" t="str">
        <f t="shared" si="46"/>
        <v/>
      </c>
      <c r="X419" t="str">
        <f t="shared" si="47"/>
        <v/>
      </c>
      <c r="Y419" s="4" t="str">
        <f>IF($A419="","",IF(AND(LEFT($G419,3)="ДОК",$N419&lt;&gt;""),IFERROR(INDEX(Документация!$G$2:$G$57,MATCH($N419,Документация!$F$2:$F$57,0)),$D419),$D419&amp;IF(AND(LEFT($G419,3)&lt;&gt;"ДОК",$N419&lt;&gt;"")," — "&amp;IFERROR(INDEX(МАТЕРИАЛЫ!$C$2:$C$9000,MATCH($N419,МАТЕРИАЛЫ!$L$2:$L$9000,0)),""),"")))</f>
        <v>Установка подъемно секционных ворот автоматических 4500Х3000 мм</v>
      </c>
      <c r="Z419" t="str">
        <f t="shared" si="48"/>
        <v>Р4 · Наружные строительные работы</v>
      </c>
    </row>
    <row r="420" spans="1:26" ht="28.8" x14ac:dyDescent="0.3">
      <c r="A420" t="s">
        <v>932</v>
      </c>
      <c r="B420" t="s">
        <v>836</v>
      </c>
      <c r="C420" t="s">
        <v>246</v>
      </c>
      <c r="D420" s="4" t="s">
        <v>933</v>
      </c>
      <c r="E420" t="s">
        <v>114</v>
      </c>
      <c r="F420" s="5">
        <v>28501.200000000001</v>
      </c>
      <c r="H420">
        <v>0</v>
      </c>
      <c r="I420" t="s">
        <v>53</v>
      </c>
      <c r="L420" s="6"/>
      <c r="M420" s="6"/>
      <c r="N420" s="6"/>
      <c r="O420" s="5"/>
      <c r="P420" s="7" t="str">
        <f t="shared" si="42"/>
        <v/>
      </c>
      <c r="Q420" s="7" t="str">
        <f t="shared" si="43"/>
        <v/>
      </c>
      <c r="R420" s="7" t="str">
        <f t="shared" si="44"/>
        <v/>
      </c>
      <c r="S420" s="7">
        <f>IF($A420="","",IF(AND(LEFT($G420,3)="ДОК",$N420&lt;&gt;""),IFERROR(INDEX(Документация!$E$2:$E$57,MATCH($N420,Документация!$F$2:$F$57,0)),0),N($F420))*(1-MEDIAN(0,N(ДисконтТендер),1)))</f>
        <v>28501.200000000001</v>
      </c>
      <c r="T420" s="7">
        <f>IF($A420="","",IF(AND(LEFT($G420,3)="ДОК",$N420&lt;&gt;""),0,IF(AND(LEFT($G420,3)&lt;&gt;"ДОК",$N420&lt;&gt;""),IFERROR(INDEX(МАТЕРИАЛЫ!$H$2:$H$9000,MATCH($N420,МАТЕРИАЛЫ!$L$2:$L$9000,0))*IF(INDEX(МАТЕРИАЛЫ!$I$2:$I$9000,MATCH($N420,МАТЕРИАЛЫ!$L$2:$L$9000,0))="USD",КурсUSD,IF(INDEX(МАТЕРИАЛЫ!$I$2:$I$9000,MATCH($N420,МАТЕРИАЛЫ!$L$2:$L$9000,0))="EUR",КурсEUR,IF(INDEX(МАТЕРИАЛЫ!$I$2:$I$9000,MATCH($N420,МАТЕРИАЛЫ!$L$2:$L$9000,0))="CNY",КурсCNY,1)))*(1+N($H420)/100),0),N($O420))*(1-MEDIAN(0,N(ДисконтТендер),1))))</f>
        <v>0</v>
      </c>
      <c r="U420" t="str">
        <f>IF($L420="да",MAX($U$1:$U419)+1,"")</f>
        <v/>
      </c>
      <c r="V420" t="str">
        <f t="shared" si="45"/>
        <v>Р4</v>
      </c>
      <c r="W420" t="str">
        <f t="shared" si="46"/>
        <v/>
      </c>
      <c r="X420" t="str">
        <f t="shared" si="47"/>
        <v/>
      </c>
      <c r="Y420" s="4" t="str">
        <f>IF($A420="","",IF(AND(LEFT($G420,3)="ДОК",$N420&lt;&gt;""),IFERROR(INDEX(Документация!$G$2:$G$57,MATCH($N420,Документация!$F$2:$F$57,0)),$D420),$D420&amp;IF(AND(LEFT($G420,3)&lt;&gt;"ДОК",$N420&lt;&gt;"")," — "&amp;IFERROR(INDEX(МАТЕРИАЛЫ!$C$2:$C$9000,MATCH($N420,МАТЕРИАЛЫ!$L$2:$L$9000,0)),""),"")))</f>
        <v>Установка автоматического шлагбаума GARD 4000-кр</v>
      </c>
      <c r="Z420" t="str">
        <f t="shared" si="48"/>
        <v>Р4 · Наружные строительные работы</v>
      </c>
    </row>
    <row r="421" spans="1:26" ht="43.2" x14ac:dyDescent="0.3">
      <c r="A421" t="s">
        <v>934</v>
      </c>
      <c r="B421" t="s">
        <v>836</v>
      </c>
      <c r="C421" t="s">
        <v>246</v>
      </c>
      <c r="D421" s="4" t="s">
        <v>935</v>
      </c>
      <c r="E421" t="s">
        <v>153</v>
      </c>
      <c r="F421" s="5">
        <v>6571.11</v>
      </c>
      <c r="G421" t="s">
        <v>498</v>
      </c>
      <c r="H421">
        <v>5</v>
      </c>
      <c r="I421" t="s">
        <v>53</v>
      </c>
      <c r="L421" s="6"/>
      <c r="M421" s="6"/>
      <c r="N421" s="6"/>
      <c r="O421" s="5"/>
      <c r="P421" s="7" t="str">
        <f t="shared" si="42"/>
        <v/>
      </c>
      <c r="Q421" s="7" t="str">
        <f t="shared" si="43"/>
        <v/>
      </c>
      <c r="R421" s="7" t="str">
        <f t="shared" si="44"/>
        <v/>
      </c>
      <c r="S421" s="7">
        <f>IF($A421="","",IF(AND(LEFT($G421,3)="ДОК",$N421&lt;&gt;""),IFERROR(INDEX(Документация!$E$2:$E$57,MATCH($N421,Документация!$F$2:$F$57,0)),0),N($F421))*(1-MEDIAN(0,N(ДисконтТендер),1)))</f>
        <v>6571.11</v>
      </c>
      <c r="T421" s="7">
        <f>IF($A421="","",IF(AND(LEFT($G421,3)="ДОК",$N421&lt;&gt;""),0,IF(AND(LEFT($G421,3)&lt;&gt;"ДОК",$N421&lt;&gt;""),IFERROR(INDEX(МАТЕРИАЛЫ!$H$2:$H$9000,MATCH($N421,МАТЕРИАЛЫ!$L$2:$L$9000,0))*IF(INDEX(МАТЕРИАЛЫ!$I$2:$I$9000,MATCH($N421,МАТЕРИАЛЫ!$L$2:$L$9000,0))="USD",КурсUSD,IF(INDEX(МАТЕРИАЛЫ!$I$2:$I$9000,MATCH($N421,МАТЕРИАЛЫ!$L$2:$L$9000,0))="EUR",КурсEUR,IF(INDEX(МАТЕРИАЛЫ!$I$2:$I$9000,MATCH($N421,МАТЕРИАЛЫ!$L$2:$L$9000,0))="CNY",КурсCNY,1)))*(1+N($H421)/100),0),N($O421))*(1-MEDIAN(0,N(ДисконтТендер),1))))</f>
        <v>0</v>
      </c>
      <c r="U421" t="str">
        <f>IF($L421="да",MAX($U$1:$U420)+1,"")</f>
        <v/>
      </c>
      <c r="V421" t="str">
        <f t="shared" si="45"/>
        <v>Р4</v>
      </c>
      <c r="W421" t="str">
        <f t="shared" si="46"/>
        <v/>
      </c>
      <c r="X421" t="str">
        <f t="shared" si="47"/>
        <v/>
      </c>
      <c r="Y421" s="4" t="str">
        <f>IF($A421="","",IF(AND(LEFT($G421,3)="ДОК",$N421&lt;&gt;""),IFERROR(INDEX(Документация!$G$2:$G$57,MATCH($N421,Документация!$F$2:$F$57,0)),$D421),$D421&amp;IF(AND(LEFT($G421,3)&lt;&gt;"ДОК",$N421&lt;&gt;"")," — "&amp;IFERROR(INDEX(МАТЕРИАЛЫ!$C$2:$C$9000,MATCH($N421,МАТЕРИАЛЫ!$L$2:$L$9000,0)),""),"")))</f>
        <v>Устройство ограждения прилегающей территории ( Н - 2м. Проф-труба 60Х40 мм. с шагом 100 мм. Порошковая окраска - цвет черный).</v>
      </c>
      <c r="Z421" t="str">
        <f t="shared" si="48"/>
        <v>Р4 · Наружные строительные работы</v>
      </c>
    </row>
    <row r="422" spans="1:26" x14ac:dyDescent="0.3">
      <c r="A422" t="s">
        <v>936</v>
      </c>
      <c r="B422" t="s">
        <v>836</v>
      </c>
      <c r="C422" t="s">
        <v>246</v>
      </c>
      <c r="D422" s="4" t="s">
        <v>937</v>
      </c>
      <c r="E422" t="s">
        <v>52</v>
      </c>
      <c r="F422" s="5">
        <v>746.46</v>
      </c>
      <c r="H422">
        <v>0</v>
      </c>
      <c r="I422" t="s">
        <v>53</v>
      </c>
      <c r="L422" s="6"/>
      <c r="M422" s="6"/>
      <c r="N422" s="6"/>
      <c r="O422" s="5"/>
      <c r="P422" s="7" t="str">
        <f t="shared" si="42"/>
        <v/>
      </c>
      <c r="Q422" s="7" t="str">
        <f t="shared" si="43"/>
        <v/>
      </c>
      <c r="R422" s="7" t="str">
        <f t="shared" si="44"/>
        <v/>
      </c>
      <c r="S422" s="7">
        <f>IF($A422="","",IF(AND(LEFT($G422,3)="ДОК",$N422&lt;&gt;""),IFERROR(INDEX(Документация!$E$2:$E$57,MATCH($N422,Документация!$F$2:$F$57,0)),0),N($F422))*(1-MEDIAN(0,N(ДисконтТендер),1)))</f>
        <v>746.46</v>
      </c>
      <c r="T422" s="7">
        <f>IF($A422="","",IF(AND(LEFT($G422,3)="ДОК",$N422&lt;&gt;""),0,IF(AND(LEFT($G422,3)&lt;&gt;"ДОК",$N422&lt;&gt;""),IFERROR(INDEX(МАТЕРИАЛЫ!$H$2:$H$9000,MATCH($N422,МАТЕРИАЛЫ!$L$2:$L$9000,0))*IF(INDEX(МАТЕРИАЛЫ!$I$2:$I$9000,MATCH($N422,МАТЕРИАЛЫ!$L$2:$L$9000,0))="USD",КурсUSD,IF(INDEX(МАТЕРИАЛЫ!$I$2:$I$9000,MATCH($N422,МАТЕРИАЛЫ!$L$2:$L$9000,0))="EUR",КурсEUR,IF(INDEX(МАТЕРИАЛЫ!$I$2:$I$9000,MATCH($N422,МАТЕРИАЛЫ!$L$2:$L$9000,0))="CNY",КурсCNY,1)))*(1+N($H422)/100),0),N($O422))*(1-MEDIAN(0,N(ДисконтТендер),1))))</f>
        <v>0</v>
      </c>
      <c r="U422" t="str">
        <f>IF($L422="да",MAX($U$1:$U421)+1,"")</f>
        <v/>
      </c>
      <c r="V422" t="str">
        <f t="shared" si="45"/>
        <v>Р4</v>
      </c>
      <c r="W422" t="str">
        <f t="shared" si="46"/>
        <v/>
      </c>
      <c r="X422" t="str">
        <f t="shared" si="47"/>
        <v/>
      </c>
      <c r="Y422" s="4" t="str">
        <f>IF($A422="","",IF(AND(LEFT($G422,3)="ДОК",$N422&lt;&gt;""),IFERROR(INDEX(Документация!$G$2:$G$57,MATCH($N422,Документация!$F$2:$F$57,0)),$D422),$D422&amp;IF(AND(LEFT($G422,3)&lt;&gt;"ДОК",$N422&lt;&gt;"")," — "&amp;IFERROR(INDEX(МАТЕРИАЛЫ!$C$2:$C$9000,MATCH($N422,МАТЕРИАЛЫ!$L$2:$L$9000,0)),""),"")))</f>
        <v>Разметка стоянок под автомобили</v>
      </c>
      <c r="Z422" t="str">
        <f t="shared" si="48"/>
        <v>Р4 · Наружные строительные работы</v>
      </c>
    </row>
    <row r="423" spans="1:26" ht="28.8" x14ac:dyDescent="0.3">
      <c r="A423" t="s">
        <v>938</v>
      </c>
      <c r="B423" t="s">
        <v>836</v>
      </c>
      <c r="C423" t="s">
        <v>246</v>
      </c>
      <c r="D423" s="4" t="s">
        <v>939</v>
      </c>
      <c r="E423" t="s">
        <v>52</v>
      </c>
      <c r="F423" s="5">
        <v>800.36</v>
      </c>
      <c r="H423">
        <v>0</v>
      </c>
      <c r="I423" t="s">
        <v>53</v>
      </c>
      <c r="L423" s="6"/>
      <c r="M423" s="6"/>
      <c r="N423" s="6"/>
      <c r="O423" s="5"/>
      <c r="P423" s="7" t="str">
        <f t="shared" si="42"/>
        <v/>
      </c>
      <c r="Q423" s="7" t="str">
        <f t="shared" si="43"/>
        <v/>
      </c>
      <c r="R423" s="7" t="str">
        <f t="shared" si="44"/>
        <v/>
      </c>
      <c r="S423" s="7">
        <f>IF($A423="","",IF(AND(LEFT($G423,3)="ДОК",$N423&lt;&gt;""),IFERROR(INDEX(Документация!$E$2:$E$57,MATCH($N423,Документация!$F$2:$F$57,0)),0),N($F423))*(1-MEDIAN(0,N(ДисконтТендер),1)))</f>
        <v>800.36</v>
      </c>
      <c r="T423" s="7">
        <f>IF($A423="","",IF(AND(LEFT($G423,3)="ДОК",$N423&lt;&gt;""),0,IF(AND(LEFT($G423,3)&lt;&gt;"ДОК",$N423&lt;&gt;""),IFERROR(INDEX(МАТЕРИАЛЫ!$H$2:$H$9000,MATCH($N423,МАТЕРИАЛЫ!$L$2:$L$9000,0))*IF(INDEX(МАТЕРИАЛЫ!$I$2:$I$9000,MATCH($N423,МАТЕРИАЛЫ!$L$2:$L$9000,0))="USD",КурсUSD,IF(INDEX(МАТЕРИАЛЫ!$I$2:$I$9000,MATCH($N423,МАТЕРИАЛЫ!$L$2:$L$9000,0))="EUR",КурсEUR,IF(INDEX(МАТЕРИАЛЫ!$I$2:$I$9000,MATCH($N423,МАТЕРИАЛЫ!$L$2:$L$9000,0))="CNY",КурсCNY,1)))*(1+N($H423)/100),0),N($O423))*(1-MEDIAN(0,N(ДисконтТендер),1))))</f>
        <v>0</v>
      </c>
      <c r="U423" t="str">
        <f>IF($L423="да",MAX($U$1:$U422)+1,"")</f>
        <v/>
      </c>
      <c r="V423" t="str">
        <f t="shared" si="45"/>
        <v>Р4</v>
      </c>
      <c r="W423" t="str">
        <f t="shared" si="46"/>
        <v/>
      </c>
      <c r="X423" t="str">
        <f t="shared" si="47"/>
        <v/>
      </c>
      <c r="Y423" s="4" t="str">
        <f>IF($A423="","",IF(AND(LEFT($G423,3)="ДОК",$N423&lt;&gt;""),IFERROR(INDEX(Документация!$G$2:$G$57,MATCH($N423,Документация!$F$2:$F$57,0)),$D423),$D423&amp;IF(AND(LEFT($G423,3)&lt;&gt;"ДОК",$N423&lt;&gt;"")," — "&amp;IFERROR(INDEX(МАТЕРИАЛЫ!$C$2:$C$9000,MATCH($N423,МАТЕРИАЛЫ!$L$2:$L$9000,0)),""),"")))</f>
        <v>Облицовка фасада профлистом крашенным по RAL</v>
      </c>
      <c r="Z423" t="str">
        <f t="shared" si="48"/>
        <v>Р4 · Наружные строительные работы</v>
      </c>
    </row>
    <row r="424" spans="1:26" x14ac:dyDescent="0.3">
      <c r="A424" t="s">
        <v>940</v>
      </c>
      <c r="B424" t="s">
        <v>836</v>
      </c>
      <c r="C424" t="s">
        <v>246</v>
      </c>
      <c r="D424" s="4" t="s">
        <v>941</v>
      </c>
      <c r="E424" t="s">
        <v>114</v>
      </c>
      <c r="F424" s="5">
        <v>1850.12</v>
      </c>
      <c r="H424">
        <v>0</v>
      </c>
      <c r="I424" t="s">
        <v>53</v>
      </c>
      <c r="L424" s="6"/>
      <c r="M424" s="6"/>
      <c r="N424" s="6"/>
      <c r="O424" s="5"/>
      <c r="P424" s="7" t="str">
        <f t="shared" si="42"/>
        <v/>
      </c>
      <c r="Q424" s="7" t="str">
        <f t="shared" si="43"/>
        <v/>
      </c>
      <c r="R424" s="7" t="str">
        <f t="shared" si="44"/>
        <v/>
      </c>
      <c r="S424" s="7">
        <f>IF($A424="","",IF(AND(LEFT($G424,3)="ДОК",$N424&lt;&gt;""),IFERROR(INDEX(Документация!$E$2:$E$57,MATCH($N424,Документация!$F$2:$F$57,0)),0),N($F424))*(1-MEDIAN(0,N(ДисконтТендер),1)))</f>
        <v>1850.12</v>
      </c>
      <c r="T424" s="7">
        <f>IF($A424="","",IF(AND(LEFT($G424,3)="ДОК",$N424&lt;&gt;""),0,IF(AND(LEFT($G424,3)&lt;&gt;"ДОК",$N424&lt;&gt;""),IFERROR(INDEX(МАТЕРИАЛЫ!$H$2:$H$9000,MATCH($N424,МАТЕРИАЛЫ!$L$2:$L$9000,0))*IF(INDEX(МАТЕРИАЛЫ!$I$2:$I$9000,MATCH($N424,МАТЕРИАЛЫ!$L$2:$L$9000,0))="USD",КурсUSD,IF(INDEX(МАТЕРИАЛЫ!$I$2:$I$9000,MATCH($N424,МАТЕРИАЛЫ!$L$2:$L$9000,0))="EUR",КурсEUR,IF(INDEX(МАТЕРИАЛЫ!$I$2:$I$9000,MATCH($N424,МАТЕРИАЛЫ!$L$2:$L$9000,0))="CNY",КурсCNY,1)))*(1+N($H424)/100),0),N($O424))*(1-MEDIAN(0,N(ДисконтТендер),1))))</f>
        <v>0</v>
      </c>
      <c r="U424" t="str">
        <f>IF($L424="да",MAX($U$1:$U423)+1,"")</f>
        <v/>
      </c>
      <c r="V424" t="str">
        <f t="shared" si="45"/>
        <v>Р4</v>
      </c>
      <c r="W424" t="str">
        <f t="shared" si="46"/>
        <v/>
      </c>
      <c r="X424" t="str">
        <f t="shared" si="47"/>
        <v/>
      </c>
      <c r="Y424" s="4" t="str">
        <f>IF($A424="","",IF(AND(LEFT($G424,3)="ДОК",$N424&lt;&gt;""),IFERROR(INDEX(Документация!$G$2:$G$57,MATCH($N424,Документация!$F$2:$F$57,0)),$D424),$D424&amp;IF(AND(LEFT($G424,3)&lt;&gt;"ДОК",$N424&lt;&gt;"")," — "&amp;IFERROR(INDEX(МАТЕРИАЛЫ!$C$2:$C$9000,MATCH($N424,МАТЕРИАЛЫ!$L$2:$L$9000,0)),""),"")))</f>
        <v>Устройство приямков</v>
      </c>
      <c r="Z424" t="str">
        <f t="shared" si="48"/>
        <v>Р4 · Наружные строительные работы</v>
      </c>
    </row>
    <row r="425" spans="1:26" x14ac:dyDescent="0.3">
      <c r="A425" t="s">
        <v>942</v>
      </c>
      <c r="B425" t="s">
        <v>836</v>
      </c>
      <c r="C425" t="s">
        <v>246</v>
      </c>
      <c r="D425" s="4" t="s">
        <v>943</v>
      </c>
      <c r="E425" t="s">
        <v>52</v>
      </c>
      <c r="F425" s="5">
        <v>452.96</v>
      </c>
      <c r="H425">
        <v>0</v>
      </c>
      <c r="I425" t="s">
        <v>53</v>
      </c>
      <c r="L425" s="6"/>
      <c r="M425" s="6"/>
      <c r="N425" s="6"/>
      <c r="O425" s="5"/>
      <c r="P425" s="7" t="str">
        <f t="shared" si="42"/>
        <v/>
      </c>
      <c r="Q425" s="7" t="str">
        <f t="shared" si="43"/>
        <v/>
      </c>
      <c r="R425" s="7" t="str">
        <f t="shared" si="44"/>
        <v/>
      </c>
      <c r="S425" s="7">
        <f>IF($A425="","",IF(AND(LEFT($G425,3)="ДОК",$N425&lt;&gt;""),IFERROR(INDEX(Документация!$E$2:$E$57,MATCH($N425,Документация!$F$2:$F$57,0)),0),N($F425))*(1-MEDIAN(0,N(ДисконтТендер),1)))</f>
        <v>452.96</v>
      </c>
      <c r="T425" s="7">
        <f>IF($A425="","",IF(AND(LEFT($G425,3)="ДОК",$N425&lt;&gt;""),0,IF(AND(LEFT($G425,3)&lt;&gt;"ДОК",$N425&lt;&gt;""),IFERROR(INDEX(МАТЕРИАЛЫ!$H$2:$H$9000,MATCH($N425,МАТЕРИАЛЫ!$L$2:$L$9000,0))*IF(INDEX(МАТЕРИАЛЫ!$I$2:$I$9000,MATCH($N425,МАТЕРИАЛЫ!$L$2:$L$9000,0))="USD",КурсUSD,IF(INDEX(МАТЕРИАЛЫ!$I$2:$I$9000,MATCH($N425,МАТЕРИАЛЫ!$L$2:$L$9000,0))="EUR",КурсEUR,IF(INDEX(МАТЕРИАЛЫ!$I$2:$I$9000,MATCH($N425,МАТЕРИАЛЫ!$L$2:$L$9000,0))="CNY",КурсCNY,1)))*(1+N($H425)/100),0),N($O425))*(1-MEDIAN(0,N(ДисконтТендер),1))))</f>
        <v>0</v>
      </c>
      <c r="U425" t="str">
        <f>IF($L425="да",MAX($U$1:$U424)+1,"")</f>
        <v/>
      </c>
      <c r="V425" t="str">
        <f t="shared" si="45"/>
        <v>Р4</v>
      </c>
      <c r="W425" t="str">
        <f t="shared" si="46"/>
        <v/>
      </c>
      <c r="X425" t="str">
        <f t="shared" si="47"/>
        <v/>
      </c>
      <c r="Y425" s="4" t="str">
        <f>IF($A425="","",IF(AND(LEFT($G425,3)="ДОК",$N425&lt;&gt;""),IFERROR(INDEX(Документация!$G$2:$G$57,MATCH($N425,Документация!$F$2:$F$57,0)),$D425),$D425&amp;IF(AND(LEFT($G425,3)&lt;&gt;"ДОК",$N425&lt;&gt;"")," — "&amp;IFERROR(INDEX(МАТЕРИАЛЫ!$C$2:$C$9000,MATCH($N425,МАТЕРИАЛЫ!$L$2:$L$9000,0)),""),"")))</f>
        <v>Укладка геотекстиля</v>
      </c>
      <c r="Z425" t="str">
        <f t="shared" si="48"/>
        <v>Р4 · Наружные строительные работы</v>
      </c>
    </row>
    <row r="426" spans="1:26" ht="28.8" x14ac:dyDescent="0.3">
      <c r="A426" t="s">
        <v>944</v>
      </c>
      <c r="B426" t="s">
        <v>836</v>
      </c>
      <c r="C426" t="s">
        <v>246</v>
      </c>
      <c r="D426" s="4" t="s">
        <v>945</v>
      </c>
      <c r="E426" t="s">
        <v>52</v>
      </c>
      <c r="F426" s="5">
        <v>3048</v>
      </c>
      <c r="H426">
        <v>0</v>
      </c>
      <c r="I426" t="s">
        <v>53</v>
      </c>
      <c r="L426" s="6"/>
      <c r="M426" s="6"/>
      <c r="N426" s="6"/>
      <c r="O426" s="5"/>
      <c r="P426" s="7" t="str">
        <f t="shared" si="42"/>
        <v/>
      </c>
      <c r="Q426" s="7" t="str">
        <f t="shared" si="43"/>
        <v/>
      </c>
      <c r="R426" s="7" t="str">
        <f t="shared" si="44"/>
        <v/>
      </c>
      <c r="S426" s="7">
        <f>IF($A426="","",IF(AND(LEFT($G426,3)="ДОК",$N426&lt;&gt;""),IFERROR(INDEX(Документация!$E$2:$E$57,MATCH($N426,Документация!$F$2:$F$57,0)),0),N($F426))*(1-MEDIAN(0,N(ДисконтТендер),1)))</f>
        <v>3048</v>
      </c>
      <c r="T426" s="7">
        <f>IF($A426="","",IF(AND(LEFT($G426,3)="ДОК",$N426&lt;&gt;""),0,IF(AND(LEFT($G426,3)&lt;&gt;"ДОК",$N426&lt;&gt;""),IFERROR(INDEX(МАТЕРИАЛЫ!$H$2:$H$9000,MATCH($N426,МАТЕРИАЛЫ!$L$2:$L$9000,0))*IF(INDEX(МАТЕРИАЛЫ!$I$2:$I$9000,MATCH($N426,МАТЕРИАЛЫ!$L$2:$L$9000,0))="USD",КурсUSD,IF(INDEX(МАТЕРИАЛЫ!$I$2:$I$9000,MATCH($N426,МАТЕРИАЛЫ!$L$2:$L$9000,0))="EUR",КурсEUR,IF(INDEX(МАТЕРИАЛЫ!$I$2:$I$9000,MATCH($N426,МАТЕРИАЛЫ!$L$2:$L$9000,0))="CNY",КурсCNY,1)))*(1+N($H426)/100),0),N($O426))*(1-MEDIAN(0,N(ДисконтТендер),1))))</f>
        <v>0</v>
      </c>
      <c r="U426" t="str">
        <f>IF($L426="да",MAX($U$1:$U425)+1,"")</f>
        <v/>
      </c>
      <c r="V426" t="str">
        <f t="shared" si="45"/>
        <v>Р4</v>
      </c>
      <c r="W426" t="str">
        <f t="shared" si="46"/>
        <v/>
      </c>
      <c r="X426" t="str">
        <f t="shared" si="47"/>
        <v/>
      </c>
      <c r="Y426" s="4" t="str">
        <f>IF($A426="","",IF(AND(LEFT($G426,3)="ДОК",$N426&lt;&gt;""),IFERROR(INDEX(Документация!$G$2:$G$57,MATCH($N426,Документация!$F$2:$F$57,0)),$D426),$D426&amp;IF(AND(LEFT($G426,3)&lt;&gt;"ДОК",$N426&lt;&gt;"")," — "&amp;IFERROR(INDEX(МАТЕРИАЛЫ!$C$2:$C$9000,MATCH($N426,МАТЕРИАЛЫ!$L$2:$L$9000,0)),""),"")))</f>
        <v>Укладка тротуарной плитки (толщину и цвет согласовать с заказчиком)</v>
      </c>
      <c r="Z426" t="str">
        <f t="shared" si="48"/>
        <v>Р4 · Наружные строительные работы</v>
      </c>
    </row>
    <row r="427" spans="1:26" x14ac:dyDescent="0.3">
      <c r="A427" t="s">
        <v>946</v>
      </c>
      <c r="B427" t="s">
        <v>836</v>
      </c>
      <c r="C427" t="s">
        <v>246</v>
      </c>
      <c r="D427" s="4" t="s">
        <v>947</v>
      </c>
      <c r="E427" t="s">
        <v>153</v>
      </c>
      <c r="F427" s="5">
        <v>1500</v>
      </c>
      <c r="H427">
        <v>0</v>
      </c>
      <c r="I427" t="s">
        <v>53</v>
      </c>
      <c r="L427" s="6"/>
      <c r="M427" s="6"/>
      <c r="N427" s="6"/>
      <c r="O427" s="5"/>
      <c r="P427" s="7" t="str">
        <f t="shared" si="42"/>
        <v/>
      </c>
      <c r="Q427" s="7" t="str">
        <f t="shared" si="43"/>
        <v/>
      </c>
      <c r="R427" s="7" t="str">
        <f t="shared" si="44"/>
        <v/>
      </c>
      <c r="S427" s="7">
        <f>IF($A427="","",IF(AND(LEFT($G427,3)="ДОК",$N427&lt;&gt;""),IFERROR(INDEX(Документация!$E$2:$E$57,MATCH($N427,Документация!$F$2:$F$57,0)),0),N($F427))*(1-MEDIAN(0,N(ДисконтТендер),1)))</f>
        <v>1500</v>
      </c>
      <c r="T427" s="7">
        <f>IF($A427="","",IF(AND(LEFT($G427,3)="ДОК",$N427&lt;&gt;""),0,IF(AND(LEFT($G427,3)&lt;&gt;"ДОК",$N427&lt;&gt;""),IFERROR(INDEX(МАТЕРИАЛЫ!$H$2:$H$9000,MATCH($N427,МАТЕРИАЛЫ!$L$2:$L$9000,0))*IF(INDEX(МАТЕРИАЛЫ!$I$2:$I$9000,MATCH($N427,МАТЕРИАЛЫ!$L$2:$L$9000,0))="USD",КурсUSD,IF(INDEX(МАТЕРИАЛЫ!$I$2:$I$9000,MATCH($N427,МАТЕРИАЛЫ!$L$2:$L$9000,0))="EUR",КурсEUR,IF(INDEX(МАТЕРИАЛЫ!$I$2:$I$9000,MATCH($N427,МАТЕРИАЛЫ!$L$2:$L$9000,0))="CNY",КурсCNY,1)))*(1+N($H427)/100),0),N($O427))*(1-MEDIAN(0,N(ДисконтТендер),1))))</f>
        <v>0</v>
      </c>
      <c r="U427" t="str">
        <f>IF($L427="да",MAX($U$1:$U426)+1,"")</f>
        <v/>
      </c>
      <c r="V427" t="str">
        <f t="shared" si="45"/>
        <v>Р4</v>
      </c>
      <c r="W427" t="str">
        <f t="shared" si="46"/>
        <v/>
      </c>
      <c r="X427" t="str">
        <f t="shared" si="47"/>
        <v/>
      </c>
      <c r="Y427" s="4" t="str">
        <f>IF($A427="","",IF(AND(LEFT($G427,3)="ДОК",$N427&lt;&gt;""),IFERROR(INDEX(Документация!$G$2:$G$57,MATCH($N427,Документация!$F$2:$F$57,0)),$D427),$D427&amp;IF(AND(LEFT($G427,3)&lt;&gt;"ДОК",$N427&lt;&gt;"")," — "&amp;IFERROR(INDEX(МАТЕРИАЛЫ!$C$2:$C$9000,MATCH($N427,МАТЕРИАЛЫ!$L$2:$L$9000,0)),""),"")))</f>
        <v>Устройство бордюра тротуарного</v>
      </c>
      <c r="Z427" t="str">
        <f t="shared" si="48"/>
        <v>Р4 · Наружные строительные работы</v>
      </c>
    </row>
    <row r="428" spans="1:26" x14ac:dyDescent="0.3">
      <c r="A428" t="s">
        <v>948</v>
      </c>
      <c r="B428" t="s">
        <v>836</v>
      </c>
      <c r="C428" t="s">
        <v>246</v>
      </c>
      <c r="D428" s="4" t="s">
        <v>949</v>
      </c>
      <c r="E428" t="s">
        <v>52</v>
      </c>
      <c r="F428" s="5">
        <v>2000</v>
      </c>
      <c r="H428">
        <v>0</v>
      </c>
      <c r="I428" t="s">
        <v>53</v>
      </c>
      <c r="L428" s="6"/>
      <c r="M428" s="6"/>
      <c r="N428" s="6"/>
      <c r="O428" s="5"/>
      <c r="P428" s="7" t="str">
        <f t="shared" si="42"/>
        <v/>
      </c>
      <c r="Q428" s="7" t="str">
        <f t="shared" si="43"/>
        <v/>
      </c>
      <c r="R428" s="7" t="str">
        <f t="shared" si="44"/>
        <v/>
      </c>
      <c r="S428" s="7">
        <f>IF($A428="","",IF(AND(LEFT($G428,3)="ДОК",$N428&lt;&gt;""),IFERROR(INDEX(Документация!$E$2:$E$57,MATCH($N428,Документация!$F$2:$F$57,0)),0),N($F428))*(1-MEDIAN(0,N(ДисконтТендер),1)))</f>
        <v>2000</v>
      </c>
      <c r="T428" s="7">
        <f>IF($A428="","",IF(AND(LEFT($G428,3)="ДОК",$N428&lt;&gt;""),0,IF(AND(LEFT($G428,3)&lt;&gt;"ДОК",$N428&lt;&gt;""),IFERROR(INDEX(МАТЕРИАЛЫ!$H$2:$H$9000,MATCH($N428,МАТЕРИАЛЫ!$L$2:$L$9000,0))*IF(INDEX(МАТЕРИАЛЫ!$I$2:$I$9000,MATCH($N428,МАТЕРИАЛЫ!$L$2:$L$9000,0))="USD",КурсUSD,IF(INDEX(МАТЕРИАЛЫ!$I$2:$I$9000,MATCH($N428,МАТЕРИАЛЫ!$L$2:$L$9000,0))="EUR",КурсEUR,IF(INDEX(МАТЕРИАЛЫ!$I$2:$I$9000,MATCH($N428,МАТЕРИАЛЫ!$L$2:$L$9000,0))="CNY",КурсCNY,1)))*(1+N($H428)/100),0),N($O428))*(1-MEDIAN(0,N(ДисконтТендер),1))))</f>
        <v>0</v>
      </c>
      <c r="U428" t="str">
        <f>IF($L428="да",MAX($U$1:$U427)+1,"")</f>
        <v/>
      </c>
      <c r="V428" t="str">
        <f t="shared" si="45"/>
        <v>Р4</v>
      </c>
      <c r="W428" t="str">
        <f t="shared" si="46"/>
        <v/>
      </c>
      <c r="X428" t="str">
        <f t="shared" si="47"/>
        <v/>
      </c>
      <c r="Y428" s="4" t="str">
        <f>IF($A428="","",IF(AND(LEFT($G428,3)="ДОК",$N428&lt;&gt;""),IFERROR(INDEX(Документация!$G$2:$G$57,MATCH($N428,Документация!$F$2:$F$57,0)),$D428),$D428&amp;IF(AND(LEFT($G428,3)&lt;&gt;"ДОК",$N428&lt;&gt;"")," — "&amp;IFERROR(INDEX(МАТЕРИАЛЫ!$C$2:$C$9000,MATCH($N428,МАТЕРИАЛЫ!$L$2:$L$9000,0)),""),"")))</f>
        <v>Устройство асфальтового покрытия</v>
      </c>
      <c r="Z428" t="str">
        <f t="shared" si="48"/>
        <v>Р4 · Наружные строительные работы</v>
      </c>
    </row>
    <row r="429" spans="1:26" ht="72" x14ac:dyDescent="0.3">
      <c r="A429" t="s">
        <v>950</v>
      </c>
      <c r="B429" t="s">
        <v>836</v>
      </c>
      <c r="C429" t="s">
        <v>246</v>
      </c>
      <c r="D429" s="4" t="s">
        <v>951</v>
      </c>
      <c r="E429" t="s">
        <v>153</v>
      </c>
      <c r="F429" s="5">
        <v>16286.4</v>
      </c>
      <c r="H429">
        <v>0</v>
      </c>
      <c r="I429" t="s">
        <v>53</v>
      </c>
      <c r="L429" s="6"/>
      <c r="M429" s="6"/>
      <c r="N429" s="6"/>
      <c r="O429" s="5"/>
      <c r="P429" s="7" t="str">
        <f t="shared" si="42"/>
        <v/>
      </c>
      <c r="Q429" s="7" t="str">
        <f t="shared" si="43"/>
        <v/>
      </c>
      <c r="R429" s="7" t="str">
        <f t="shared" si="44"/>
        <v/>
      </c>
      <c r="S429" s="7">
        <f>IF($A429="","",IF(AND(LEFT($G429,3)="ДОК",$N429&lt;&gt;""),IFERROR(INDEX(Документация!$E$2:$E$57,MATCH($N429,Документация!$F$2:$F$57,0)),0),N($F429))*(1-MEDIAN(0,N(ДисконтТендер),1)))</f>
        <v>16286.4</v>
      </c>
      <c r="T429" s="7">
        <f>IF($A429="","",IF(AND(LEFT($G429,3)="ДОК",$N429&lt;&gt;""),0,IF(AND(LEFT($G429,3)&lt;&gt;"ДОК",$N429&lt;&gt;""),IFERROR(INDEX(МАТЕРИАЛЫ!$H$2:$H$9000,MATCH($N429,МАТЕРИАЛЫ!$L$2:$L$9000,0))*IF(INDEX(МАТЕРИАЛЫ!$I$2:$I$9000,MATCH($N429,МАТЕРИАЛЫ!$L$2:$L$9000,0))="USD",КурсUSD,IF(INDEX(МАТЕРИАЛЫ!$I$2:$I$9000,MATCH($N429,МАТЕРИАЛЫ!$L$2:$L$9000,0))="EUR",КурсEUR,IF(INDEX(МАТЕРИАЛЫ!$I$2:$I$9000,MATCH($N429,МАТЕРИАЛЫ!$L$2:$L$9000,0))="CNY",КурсCNY,1)))*(1+N($H429)/100),0),N($O429))*(1-MEDIAN(0,N(ДисконтТендер),1))))</f>
        <v>0</v>
      </c>
      <c r="U429" t="str">
        <f>IF($L429="да",MAX($U$1:$U428)+1,"")</f>
        <v/>
      </c>
      <c r="V429" t="str">
        <f t="shared" si="45"/>
        <v>Р4</v>
      </c>
      <c r="W429" t="str">
        <f t="shared" si="46"/>
        <v/>
      </c>
      <c r="X429" t="str">
        <f t="shared" si="47"/>
        <v/>
      </c>
      <c r="Y429" s="4" t="str">
        <f>IF($A429="","",IF(AND(LEFT($G429,3)="ДОК",$N429&lt;&gt;""),IFERROR(INDEX(Документация!$G$2:$G$57,MATCH($N429,Документация!$F$2:$F$57,0)),$D429),$D429&amp;IF(AND(LEFT($G429,3)&lt;&gt;"ДОК",$N429&lt;&gt;"")," — "&amp;IFERROR(INDEX(МАТЕРИАЛЫ!$C$2:$C$9000,MATCH($N429,МАТЕРИАЛЫ!$L$2:$L$9000,0)),""),"")))</f>
        <v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v>
      </c>
      <c r="Z429" t="str">
        <f t="shared" si="48"/>
        <v>Р4 · Наружные строительные работы</v>
      </c>
    </row>
    <row r="430" spans="1:26" ht="28.8" x14ac:dyDescent="0.3">
      <c r="A430" t="s">
        <v>952</v>
      </c>
      <c r="B430" t="s">
        <v>953</v>
      </c>
      <c r="C430" t="s">
        <v>50</v>
      </c>
      <c r="D430" s="4" t="s">
        <v>954</v>
      </c>
      <c r="E430" t="s">
        <v>83</v>
      </c>
      <c r="F430" s="5">
        <v>6297.41</v>
      </c>
      <c r="H430">
        <v>0</v>
      </c>
      <c r="I430" t="s">
        <v>53</v>
      </c>
      <c r="L430" s="6"/>
      <c r="M430" s="6"/>
      <c r="N430" s="6"/>
      <c r="O430" s="5"/>
      <c r="P430" s="7" t="str">
        <f t="shared" si="42"/>
        <v/>
      </c>
      <c r="Q430" s="7" t="str">
        <f t="shared" si="43"/>
        <v/>
      </c>
      <c r="R430" s="7" t="str">
        <f t="shared" si="44"/>
        <v/>
      </c>
      <c r="S430" s="7">
        <f>IF($A430="","",IF(AND(LEFT($G430,3)="ДОК",$N430&lt;&gt;""),IFERROR(INDEX(Документация!$E$2:$E$57,MATCH($N430,Документация!$F$2:$F$57,0)),0),N($F430))*(1-MEDIAN(0,N(ДисконтТендер),1)))</f>
        <v>6297.41</v>
      </c>
      <c r="T430" s="7">
        <f>IF($A430="","",IF(AND(LEFT($G430,3)="ДОК",$N430&lt;&gt;""),0,IF(AND(LEFT($G430,3)&lt;&gt;"ДОК",$N430&lt;&gt;""),IFERROR(INDEX(МАТЕРИАЛЫ!$H$2:$H$9000,MATCH($N430,МАТЕРИАЛЫ!$L$2:$L$9000,0))*IF(INDEX(МАТЕРИАЛЫ!$I$2:$I$9000,MATCH($N430,МАТЕРИАЛЫ!$L$2:$L$9000,0))="USD",КурсUSD,IF(INDEX(МАТЕРИАЛЫ!$I$2:$I$9000,MATCH($N430,МАТЕРИАЛЫ!$L$2:$L$9000,0))="EUR",КурсEUR,IF(INDEX(МАТЕРИАЛЫ!$I$2:$I$9000,MATCH($N430,МАТЕРИАЛЫ!$L$2:$L$9000,0))="CNY",КурсCNY,1)))*(1+N($H430)/100),0),N($O430))*(1-MEDIAN(0,N(ДисконтТендер),1))))</f>
        <v>0</v>
      </c>
      <c r="U430" t="str">
        <f>IF($L430="да",MAX($U$1:$U429)+1,"")</f>
        <v/>
      </c>
      <c r="V430" t="str">
        <f t="shared" si="45"/>
        <v>Р5</v>
      </c>
      <c r="W430" t="str">
        <f t="shared" si="46"/>
        <v/>
      </c>
      <c r="X430" t="str">
        <f t="shared" si="47"/>
        <v/>
      </c>
      <c r="Y430" s="4" t="str">
        <f>IF($A430="","",IF(AND(LEFT($G430,3)="ДОК",$N430&lt;&gt;""),IFERROR(INDEX(Документация!$G$2:$G$57,MATCH($N430,Документация!$F$2:$F$57,0)),$D430),$D430&amp;IF(AND(LEFT($G430,3)&lt;&gt;"ДОК",$N430&lt;&gt;"")," — "&amp;IFERROR(INDEX(МАТЕРИАЛЫ!$C$2:$C$9000,MATCH($N430,МАТЕРИАЛЫ!$L$2:$L$9000,0)),""),"")))</f>
        <v>Установка пожарного шкафа в комлекте с пожарным рукавом 20 м и огнетушителем</v>
      </c>
      <c r="Z430" t="str">
        <f t="shared" si="48"/>
        <v>Р5 · Водоснабжение и канализация</v>
      </c>
    </row>
    <row r="431" spans="1:26" ht="43.2" x14ac:dyDescent="0.3">
      <c r="A431" t="s">
        <v>955</v>
      </c>
      <c r="B431" t="s">
        <v>953</v>
      </c>
      <c r="C431" t="s">
        <v>50</v>
      </c>
      <c r="D431" s="4" t="s">
        <v>956</v>
      </c>
      <c r="E431" t="s">
        <v>83</v>
      </c>
      <c r="F431" s="5">
        <v>6965.22</v>
      </c>
      <c r="H431">
        <v>0</v>
      </c>
      <c r="I431" t="s">
        <v>53</v>
      </c>
      <c r="L431" s="6"/>
      <c r="M431" s="6"/>
      <c r="N431" s="6"/>
      <c r="O431" s="5"/>
      <c r="P431" s="7" t="str">
        <f t="shared" si="42"/>
        <v/>
      </c>
      <c r="Q431" s="7" t="str">
        <f t="shared" si="43"/>
        <v/>
      </c>
      <c r="R431" s="7" t="str">
        <f t="shared" si="44"/>
        <v/>
      </c>
      <c r="S431" s="7">
        <f>IF($A431="","",IF(AND(LEFT($G431,3)="ДОК",$N431&lt;&gt;""),IFERROR(INDEX(Документация!$E$2:$E$57,MATCH($N431,Документация!$F$2:$F$57,0)),0),N($F431))*(1-MEDIAN(0,N(ДисконтТендер),1)))</f>
        <v>6965.22</v>
      </c>
      <c r="T431" s="7">
        <f>IF($A431="","",IF(AND(LEFT($G431,3)="ДОК",$N431&lt;&gt;""),0,IF(AND(LEFT($G431,3)&lt;&gt;"ДОК",$N431&lt;&gt;""),IFERROR(INDEX(МАТЕРИАЛЫ!$H$2:$H$9000,MATCH($N431,МАТЕРИАЛЫ!$L$2:$L$9000,0))*IF(INDEX(МАТЕРИАЛЫ!$I$2:$I$9000,MATCH($N431,МАТЕРИАЛЫ!$L$2:$L$9000,0))="USD",КурсUSD,IF(INDEX(МАТЕРИАЛЫ!$I$2:$I$9000,MATCH($N431,МАТЕРИАЛЫ!$L$2:$L$9000,0))="EUR",КурсEUR,IF(INDEX(МАТЕРИАЛЫ!$I$2:$I$9000,MATCH($N431,МАТЕРИАЛЫ!$L$2:$L$9000,0))="CNY",КурсCNY,1)))*(1+N($H431)/100),0),N($O431))*(1-MEDIAN(0,N(ДисконтТендер),1))))</f>
        <v>0</v>
      </c>
      <c r="U431" t="str">
        <f>IF($L431="да",MAX($U$1:$U430)+1,"")</f>
        <v/>
      </c>
      <c r="V431" t="str">
        <f t="shared" si="45"/>
        <v>Р5</v>
      </c>
      <c r="W431" t="str">
        <f t="shared" si="46"/>
        <v/>
      </c>
      <c r="X431" t="str">
        <f t="shared" si="47"/>
        <v/>
      </c>
      <c r="Y431" s="4" t="str">
        <f>IF($A431="","",IF(AND(LEFT($G431,3)="ДОК",$N431&lt;&gt;""),IFERROR(INDEX(Документация!$G$2:$G$57,MATCH($N431,Документация!$F$2:$F$57,0)),$D431),$D431&amp;IF(AND(LEFT($G431,3)&lt;&gt;"ДОК",$N431&lt;&gt;"")," — "&amp;IFERROR(INDEX(МАТЕРИАЛЫ!$C$2:$C$9000,MATCH($N431,МАТЕРИАЛЫ!$L$2:$L$9000,0)),""),"")))</f>
        <v>Установка пожарного шкафа двойного в комлекте с пожарными рукавами 20м- 2шт. и огнетушителями-2шт. ШПК-03-12</v>
      </c>
      <c r="Z431" t="str">
        <f t="shared" si="48"/>
        <v>Р5 · Водоснабжение и канализация</v>
      </c>
    </row>
    <row r="432" spans="1:26" x14ac:dyDescent="0.3">
      <c r="A432" t="s">
        <v>957</v>
      </c>
      <c r="B432" t="s">
        <v>953</v>
      </c>
      <c r="C432" t="s">
        <v>50</v>
      </c>
      <c r="D432" s="4" t="s">
        <v>958</v>
      </c>
      <c r="E432" t="s">
        <v>114</v>
      </c>
      <c r="F432" s="5">
        <v>11629.56</v>
      </c>
      <c r="H432">
        <v>0</v>
      </c>
      <c r="I432" t="s">
        <v>53</v>
      </c>
      <c r="L432" s="6"/>
      <c r="M432" s="6"/>
      <c r="N432" s="6"/>
      <c r="O432" s="5"/>
      <c r="P432" s="7" t="str">
        <f t="shared" si="42"/>
        <v/>
      </c>
      <c r="Q432" s="7" t="str">
        <f t="shared" si="43"/>
        <v/>
      </c>
      <c r="R432" s="7" t="str">
        <f t="shared" si="44"/>
        <v/>
      </c>
      <c r="S432" s="7">
        <f>IF($A432="","",IF(AND(LEFT($G432,3)="ДОК",$N432&lt;&gt;""),IFERROR(INDEX(Документация!$E$2:$E$57,MATCH($N432,Документация!$F$2:$F$57,0)),0),N($F432))*(1-MEDIAN(0,N(ДисконтТендер),1)))</f>
        <v>11629.56</v>
      </c>
      <c r="T432" s="7">
        <f>IF($A432="","",IF(AND(LEFT($G432,3)="ДОК",$N432&lt;&gt;""),0,IF(AND(LEFT($G432,3)&lt;&gt;"ДОК",$N432&lt;&gt;""),IFERROR(INDEX(МАТЕРИАЛЫ!$H$2:$H$9000,MATCH($N432,МАТЕРИАЛЫ!$L$2:$L$9000,0))*IF(INDEX(МАТЕРИАЛЫ!$I$2:$I$9000,MATCH($N432,МАТЕРИАЛЫ!$L$2:$L$9000,0))="USD",КурсUSD,IF(INDEX(МАТЕРИАЛЫ!$I$2:$I$9000,MATCH($N432,МАТЕРИАЛЫ!$L$2:$L$9000,0))="EUR",КурсEUR,IF(INDEX(МАТЕРИАЛЫ!$I$2:$I$9000,MATCH($N432,МАТЕРИАЛЫ!$L$2:$L$9000,0))="CNY",КурсCNY,1)))*(1+N($H432)/100),0),N($O432))*(1-MEDIAN(0,N(ДисконтТендер),1))))</f>
        <v>0</v>
      </c>
      <c r="U432" t="str">
        <f>IF($L432="да",MAX($U$1:$U431)+1,"")</f>
        <v/>
      </c>
      <c r="V432" t="str">
        <f t="shared" si="45"/>
        <v>Р5</v>
      </c>
      <c r="W432" t="str">
        <f t="shared" si="46"/>
        <v/>
      </c>
      <c r="X432" t="str">
        <f t="shared" si="47"/>
        <v/>
      </c>
      <c r="Y432" s="4" t="str">
        <f>IF($A432="","",IF(AND(LEFT($G432,3)="ДОК",$N432&lt;&gt;""),IFERROR(INDEX(Документация!$G$2:$G$57,MATCH($N432,Документация!$F$2:$F$57,0)),$D432),$D432&amp;IF(AND(LEFT($G432,3)&lt;&gt;"ДОК",$N432&lt;&gt;"")," — "&amp;IFERROR(INDEX(МАТЕРИАЛЫ!$C$2:$C$9000,MATCH($N432,МАТЕРИАЛЫ!$L$2:$L$9000,0)),""),"")))</f>
        <v>Врезка в существующий пожарный водопрвод</v>
      </c>
      <c r="Z432" t="str">
        <f t="shared" si="48"/>
        <v>Р5 · Водоснабжение и канализация</v>
      </c>
    </row>
    <row r="433" spans="1:26" x14ac:dyDescent="0.3">
      <c r="A433" t="s">
        <v>959</v>
      </c>
      <c r="B433" t="s">
        <v>953</v>
      </c>
      <c r="C433" t="s">
        <v>50</v>
      </c>
      <c r="D433" s="4" t="s">
        <v>960</v>
      </c>
      <c r="E433" t="s">
        <v>114</v>
      </c>
      <c r="F433" s="5">
        <v>2612.5</v>
      </c>
      <c r="G433" t="s">
        <v>961</v>
      </c>
      <c r="H433">
        <v>5</v>
      </c>
      <c r="I433" t="s">
        <v>53</v>
      </c>
      <c r="L433" s="6"/>
      <c r="M433" s="6"/>
      <c r="N433" s="6"/>
      <c r="O433" s="5"/>
      <c r="P433" s="7" t="str">
        <f t="shared" si="42"/>
        <v/>
      </c>
      <c r="Q433" s="7" t="str">
        <f t="shared" si="43"/>
        <v/>
      </c>
      <c r="R433" s="7" t="str">
        <f t="shared" si="44"/>
        <v/>
      </c>
      <c r="S433" s="7">
        <f>IF($A433="","",IF(AND(LEFT($G433,3)="ДОК",$N433&lt;&gt;""),IFERROR(INDEX(Документация!$E$2:$E$57,MATCH($N433,Документация!$F$2:$F$57,0)),0),N($F433))*(1-MEDIAN(0,N(ДисконтТендер),1)))</f>
        <v>2612.5</v>
      </c>
      <c r="T433" s="7">
        <f>IF($A433="","",IF(AND(LEFT($G433,3)="ДОК",$N433&lt;&gt;""),0,IF(AND(LEFT($G433,3)&lt;&gt;"ДОК",$N433&lt;&gt;""),IFERROR(INDEX(МАТЕРИАЛЫ!$H$2:$H$9000,MATCH($N433,МАТЕРИАЛЫ!$L$2:$L$9000,0))*IF(INDEX(МАТЕРИАЛЫ!$I$2:$I$9000,MATCH($N433,МАТЕРИАЛЫ!$L$2:$L$9000,0))="USD",КурсUSD,IF(INDEX(МАТЕРИАЛЫ!$I$2:$I$9000,MATCH($N433,МАТЕРИАЛЫ!$L$2:$L$9000,0))="EUR",КурсEUR,IF(INDEX(МАТЕРИАЛЫ!$I$2:$I$9000,MATCH($N433,МАТЕРИАЛЫ!$L$2:$L$9000,0))="CNY",КурсCNY,1)))*(1+N($H433)/100),0),N($O433))*(1-MEDIAN(0,N(ДисконтТендер),1))))</f>
        <v>0</v>
      </c>
      <c r="U433" t="str">
        <f>IF($L433="да",MAX($U$1:$U432)+1,"")</f>
        <v/>
      </c>
      <c r="V433" t="str">
        <f t="shared" si="45"/>
        <v>Р5</v>
      </c>
      <c r="W433" t="str">
        <f t="shared" si="46"/>
        <v/>
      </c>
      <c r="X433" t="str">
        <f t="shared" si="47"/>
        <v/>
      </c>
      <c r="Y433" s="4" t="str">
        <f>IF($A433="","",IF(AND(LEFT($G433,3)="ДОК",$N433&lt;&gt;""),IFERROR(INDEX(Документация!$G$2:$G$57,MATCH($N433,Документация!$F$2:$F$57,0)),$D433),$D433&amp;IF(AND(LEFT($G433,3)&lt;&gt;"ДОК",$N433&lt;&gt;"")," — "&amp;IFERROR(INDEX(МАТЕРИАЛЫ!$C$2:$C$9000,MATCH($N433,МАТЕРИАЛЫ!$L$2:$L$9000,0)),""),"")))</f>
        <v>Установка пожарных кранов</v>
      </c>
      <c r="Z433" t="str">
        <f t="shared" si="48"/>
        <v>Р5 · Водоснабжение и канализация</v>
      </c>
    </row>
    <row r="434" spans="1:26" x14ac:dyDescent="0.3">
      <c r="A434" t="s">
        <v>962</v>
      </c>
      <c r="B434" t="s">
        <v>953</v>
      </c>
      <c r="C434" t="s">
        <v>50</v>
      </c>
      <c r="D434" s="4" t="s">
        <v>963</v>
      </c>
      <c r="E434" t="s">
        <v>153</v>
      </c>
      <c r="F434" s="5">
        <v>1017.01</v>
      </c>
      <c r="G434" t="s">
        <v>964</v>
      </c>
      <c r="H434">
        <v>5</v>
      </c>
      <c r="I434" t="s">
        <v>53</v>
      </c>
      <c r="L434" s="6"/>
      <c r="M434" s="6"/>
      <c r="N434" s="6"/>
      <c r="O434" s="5"/>
      <c r="P434" s="7" t="str">
        <f t="shared" si="42"/>
        <v/>
      </c>
      <c r="Q434" s="7" t="str">
        <f t="shared" si="43"/>
        <v/>
      </c>
      <c r="R434" s="7" t="str">
        <f t="shared" si="44"/>
        <v/>
      </c>
      <c r="S434" s="7">
        <f>IF($A434="","",IF(AND(LEFT($G434,3)="ДОК",$N434&lt;&gt;""),IFERROR(INDEX(Документация!$E$2:$E$57,MATCH($N434,Документация!$F$2:$F$57,0)),0),N($F434))*(1-MEDIAN(0,N(ДисконтТендер),1)))</f>
        <v>1017.01</v>
      </c>
      <c r="T434" s="7">
        <f>IF($A434="","",IF(AND(LEFT($G434,3)="ДОК",$N434&lt;&gt;""),0,IF(AND(LEFT($G434,3)&lt;&gt;"ДОК",$N434&lt;&gt;""),IFERROR(INDEX(МАТЕРИАЛЫ!$H$2:$H$9000,MATCH($N434,МАТЕРИАЛЫ!$L$2:$L$9000,0))*IF(INDEX(МАТЕРИАЛЫ!$I$2:$I$9000,MATCH($N434,МАТЕРИАЛЫ!$L$2:$L$9000,0))="USD",КурсUSD,IF(INDEX(МАТЕРИАЛЫ!$I$2:$I$9000,MATCH($N434,МАТЕРИАЛЫ!$L$2:$L$9000,0))="EUR",КурсEUR,IF(INDEX(МАТЕРИАЛЫ!$I$2:$I$9000,MATCH($N434,МАТЕРИАЛЫ!$L$2:$L$9000,0))="CNY",КурсCNY,1)))*(1+N($H434)/100),0),N($O434))*(1-MEDIAN(0,N(ДисконтТендер),1))))</f>
        <v>0</v>
      </c>
      <c r="U434" t="str">
        <f>IF($L434="да",MAX($U$1:$U433)+1,"")</f>
        <v/>
      </c>
      <c r="V434" t="str">
        <f t="shared" si="45"/>
        <v>Р5</v>
      </c>
      <c r="W434" t="str">
        <f t="shared" si="46"/>
        <v/>
      </c>
      <c r="X434" t="str">
        <f t="shared" si="47"/>
        <v/>
      </c>
      <c r="Y434" s="4" t="str">
        <f>IF($A434="","",IF(AND(LEFT($G434,3)="ДОК",$N434&lt;&gt;""),IFERROR(INDEX(Документация!$G$2:$G$57,MATCH($N434,Документация!$F$2:$F$57,0)),$D434),$D434&amp;IF(AND(LEFT($G434,3)&lt;&gt;"ДОК",$N434&lt;&gt;"")," — "&amp;IFERROR(INDEX(МАТЕРИАЛЫ!$C$2:$C$9000,MATCH($N434,МАТЕРИАЛЫ!$L$2:$L$9000,0)),""),"")))</f>
        <v>Монтаж трубы электросварной д 50 мм</v>
      </c>
      <c r="Z434" t="str">
        <f t="shared" si="48"/>
        <v>Р5 · Водоснабжение и канализация</v>
      </c>
    </row>
    <row r="435" spans="1:26" ht="28.8" x14ac:dyDescent="0.3">
      <c r="A435" t="s">
        <v>965</v>
      </c>
      <c r="B435" t="s">
        <v>953</v>
      </c>
      <c r="C435" t="s">
        <v>161</v>
      </c>
      <c r="D435" s="4" t="s">
        <v>966</v>
      </c>
      <c r="E435" t="s">
        <v>114</v>
      </c>
      <c r="F435" s="5">
        <v>574.20000000000005</v>
      </c>
      <c r="H435">
        <v>0</v>
      </c>
      <c r="I435" t="s">
        <v>53</v>
      </c>
      <c r="L435" s="6"/>
      <c r="M435" s="6"/>
      <c r="N435" s="6"/>
      <c r="O435" s="5"/>
      <c r="P435" s="7" t="str">
        <f t="shared" si="42"/>
        <v/>
      </c>
      <c r="Q435" s="7" t="str">
        <f t="shared" si="43"/>
        <v/>
      </c>
      <c r="R435" s="7" t="str">
        <f t="shared" si="44"/>
        <v/>
      </c>
      <c r="S435" s="7">
        <f>IF($A435="","",IF(AND(LEFT($G435,3)="ДОК",$N435&lt;&gt;""),IFERROR(INDEX(Документация!$E$2:$E$57,MATCH($N435,Документация!$F$2:$F$57,0)),0),N($F435))*(1-MEDIAN(0,N(ДисконтТендер),1)))</f>
        <v>574.20000000000005</v>
      </c>
      <c r="T435" s="7">
        <f>IF($A435="","",IF(AND(LEFT($G435,3)="ДОК",$N435&lt;&gt;""),0,IF(AND(LEFT($G435,3)&lt;&gt;"ДОК",$N435&lt;&gt;""),IFERROR(INDEX(МАТЕРИАЛЫ!$H$2:$H$9000,MATCH($N435,МАТЕРИАЛЫ!$L$2:$L$9000,0))*IF(INDEX(МАТЕРИАЛЫ!$I$2:$I$9000,MATCH($N435,МАТЕРИАЛЫ!$L$2:$L$9000,0))="USD",КурсUSD,IF(INDEX(МАТЕРИАЛЫ!$I$2:$I$9000,MATCH($N435,МАТЕРИАЛЫ!$L$2:$L$9000,0))="EUR",КурсEUR,IF(INDEX(МАТЕРИАЛЫ!$I$2:$I$9000,MATCH($N435,МАТЕРИАЛЫ!$L$2:$L$9000,0))="CNY",КурсCNY,1)))*(1+N($H435)/100),0),N($O435))*(1-MEDIAN(0,N(ДисконтТендер),1))))</f>
        <v>0</v>
      </c>
      <c r="U435" t="str">
        <f>IF($L435="да",MAX($U$1:$U434)+1,"")</f>
        <v/>
      </c>
      <c r="V435" t="str">
        <f t="shared" si="45"/>
        <v>Р5</v>
      </c>
      <c r="W435" t="str">
        <f t="shared" si="46"/>
        <v/>
      </c>
      <c r="X435" t="str">
        <f t="shared" si="47"/>
        <v/>
      </c>
      <c r="Y435" s="4" t="str">
        <f>IF($A435="","",IF(AND(LEFT($G435,3)="ДОК",$N435&lt;&gt;""),IFERROR(INDEX(Документация!$G$2:$G$57,MATCH($N435,Документация!$F$2:$F$57,0)),$D435),$D435&amp;IF(AND(LEFT($G435,3)&lt;&gt;"ДОК",$N435&lt;&gt;"")," — "&amp;IFERROR(INDEX(МАТЕРИАЛЫ!$C$2:$C$9000,MATCH($N435,МАТЕРИАЛЫ!$L$2:$L$9000,0)),""),"")))</f>
        <v>Установка Крючка для вещей и одежды. Merida MHW31 матовый</v>
      </c>
      <c r="Z435" t="str">
        <f t="shared" si="48"/>
        <v>Р5 · Водоснабжение и канализация</v>
      </c>
    </row>
    <row r="436" spans="1:26" ht="43.2" x14ac:dyDescent="0.3">
      <c r="A436" t="s">
        <v>967</v>
      </c>
      <c r="B436" t="s">
        <v>953</v>
      </c>
      <c r="C436" t="s">
        <v>161</v>
      </c>
      <c r="D436" s="4" t="s">
        <v>968</v>
      </c>
      <c r="E436" t="s">
        <v>114</v>
      </c>
      <c r="F436" s="5">
        <v>543.16</v>
      </c>
      <c r="H436">
        <v>0</v>
      </c>
      <c r="I436" t="s">
        <v>53</v>
      </c>
      <c r="L436" s="6"/>
      <c r="M436" s="6"/>
      <c r="N436" s="6"/>
      <c r="O436" s="5"/>
      <c r="P436" s="7" t="str">
        <f t="shared" si="42"/>
        <v/>
      </c>
      <c r="Q436" s="7" t="str">
        <f t="shared" si="43"/>
        <v/>
      </c>
      <c r="R436" s="7" t="str">
        <f t="shared" si="44"/>
        <v/>
      </c>
      <c r="S436" s="7">
        <f>IF($A436="","",IF(AND(LEFT($G436,3)="ДОК",$N436&lt;&gt;""),IFERROR(INDEX(Документация!$E$2:$E$57,MATCH($N436,Документация!$F$2:$F$57,0)),0),N($F436))*(1-MEDIAN(0,N(ДисконтТендер),1)))</f>
        <v>543.16</v>
      </c>
      <c r="T436" s="7">
        <f>IF($A436="","",IF(AND(LEFT($G436,3)="ДОК",$N436&lt;&gt;""),0,IF(AND(LEFT($G436,3)&lt;&gt;"ДОК",$N436&lt;&gt;""),IFERROR(INDEX(МАТЕРИАЛЫ!$H$2:$H$9000,MATCH($N436,МАТЕРИАЛЫ!$L$2:$L$9000,0))*IF(INDEX(МАТЕРИАЛЫ!$I$2:$I$9000,MATCH($N436,МАТЕРИАЛЫ!$L$2:$L$9000,0))="USD",КурсUSD,IF(INDEX(МАТЕРИАЛЫ!$I$2:$I$9000,MATCH($N436,МАТЕРИАЛЫ!$L$2:$L$9000,0))="EUR",КурсEUR,IF(INDEX(МАТЕРИАЛЫ!$I$2:$I$9000,MATCH($N436,МАТЕРИАЛЫ!$L$2:$L$9000,0))="CNY",КурсCNY,1)))*(1+N($H436)/100),0),N($O436))*(1-MEDIAN(0,N(ДисконтТендер),1))))</f>
        <v>0</v>
      </c>
      <c r="U436" t="str">
        <f>IF($L436="да",MAX($U$1:$U435)+1,"")</f>
        <v/>
      </c>
      <c r="V436" t="str">
        <f t="shared" si="45"/>
        <v>Р5</v>
      </c>
      <c r="W436" t="str">
        <f t="shared" si="46"/>
        <v/>
      </c>
      <c r="X436" t="str">
        <f t="shared" si="47"/>
        <v/>
      </c>
      <c r="Y436" s="4" t="str">
        <f>IF($A436="","",IF(AND(LEFT($G436,3)="ДОК",$N436&lt;&gt;""),IFERROR(INDEX(Документация!$G$2:$G$57,MATCH($N436,Документация!$F$2:$F$57,0)),$D436),$D436&amp;IF(AND(LEFT($G436,3)&lt;&gt;"ДОК",$N436&lt;&gt;"")," — "&amp;IFERROR(INDEX(МАТЕРИАЛЫ!$C$2:$C$9000,MATCH($N436,МАТЕРИАЛЫ!$L$2:$L$9000,0)),""),"")))</f>
        <v>Установка корзины для использованных бумажных полотенец на 27 литров. Merida KSM 101. Матовый.</v>
      </c>
      <c r="Z436" t="str">
        <f t="shared" si="48"/>
        <v>Р5 · Водоснабжение и канализация</v>
      </c>
    </row>
    <row r="437" spans="1:26" ht="28.8" x14ac:dyDescent="0.3">
      <c r="A437" t="s">
        <v>969</v>
      </c>
      <c r="B437" t="s">
        <v>953</v>
      </c>
      <c r="C437" t="s">
        <v>161</v>
      </c>
      <c r="D437" s="4" t="s">
        <v>970</v>
      </c>
      <c r="E437" t="s">
        <v>114</v>
      </c>
      <c r="F437" s="5">
        <v>626.4</v>
      </c>
      <c r="H437">
        <v>0</v>
      </c>
      <c r="I437" t="s">
        <v>53</v>
      </c>
      <c r="L437" s="6"/>
      <c r="M437" s="6"/>
      <c r="N437" s="6"/>
      <c r="O437" s="5"/>
      <c r="P437" s="7" t="str">
        <f t="shared" si="42"/>
        <v/>
      </c>
      <c r="Q437" s="7" t="str">
        <f t="shared" si="43"/>
        <v/>
      </c>
      <c r="R437" s="7" t="str">
        <f t="shared" si="44"/>
        <v/>
      </c>
      <c r="S437" s="7">
        <f>IF($A437="","",IF(AND(LEFT($G437,3)="ДОК",$N437&lt;&gt;""),IFERROR(INDEX(Документация!$E$2:$E$57,MATCH($N437,Документация!$F$2:$F$57,0)),0),N($F437))*(1-MEDIAN(0,N(ДисконтТендер),1)))</f>
        <v>626.4</v>
      </c>
      <c r="T437" s="7">
        <f>IF($A437="","",IF(AND(LEFT($G437,3)="ДОК",$N437&lt;&gt;""),0,IF(AND(LEFT($G437,3)&lt;&gt;"ДОК",$N437&lt;&gt;""),IFERROR(INDEX(МАТЕРИАЛЫ!$H$2:$H$9000,MATCH($N437,МАТЕРИАЛЫ!$L$2:$L$9000,0))*IF(INDEX(МАТЕРИАЛЫ!$I$2:$I$9000,MATCH($N437,МАТЕРИАЛЫ!$L$2:$L$9000,0))="USD",КурсUSD,IF(INDEX(МАТЕРИАЛЫ!$I$2:$I$9000,MATCH($N437,МАТЕРИАЛЫ!$L$2:$L$9000,0))="EUR",КурсEUR,IF(INDEX(МАТЕРИАЛЫ!$I$2:$I$9000,MATCH($N437,МАТЕРИАЛЫ!$L$2:$L$9000,0))="CNY",КурсCNY,1)))*(1+N($H437)/100),0),N($O437))*(1-MEDIAN(0,N(ДисконтТендер),1))))</f>
        <v>0</v>
      </c>
      <c r="U437" t="str">
        <f>IF($L437="да",MAX($U$1:$U436)+1,"")</f>
        <v/>
      </c>
      <c r="V437" t="str">
        <f t="shared" si="45"/>
        <v>Р5</v>
      </c>
      <c r="W437" t="str">
        <f t="shared" si="46"/>
        <v/>
      </c>
      <c r="X437" t="str">
        <f t="shared" si="47"/>
        <v/>
      </c>
      <c r="Y437" s="4" t="str">
        <f>IF($A437="","",IF(AND(LEFT($G437,3)="ДОК",$N437&lt;&gt;""),IFERROR(INDEX(Документация!$G$2:$G$57,MATCH($N437,Документация!$F$2:$F$57,0)),$D437),$D437&amp;IF(AND(LEFT($G437,3)&lt;&gt;"ДОК",$N437&lt;&gt;"")," — "&amp;IFERROR(INDEX(МАТЕРИАЛЫ!$C$2:$C$9000,MATCH($N437,МАТЕРИАЛЫ!$L$2:$L$9000,0)),""),"")))</f>
        <v>Установка щетки санитарной. Merida TAS02 (364747). Матовый.</v>
      </c>
      <c r="Z437" t="str">
        <f t="shared" si="48"/>
        <v>Р5 · Водоснабжение и канализация</v>
      </c>
    </row>
    <row r="438" spans="1:26" ht="28.8" x14ac:dyDescent="0.3">
      <c r="A438" t="s">
        <v>971</v>
      </c>
      <c r="B438" t="s">
        <v>953</v>
      </c>
      <c r="C438" t="s">
        <v>161</v>
      </c>
      <c r="D438" s="4" t="s">
        <v>972</v>
      </c>
      <c r="E438" t="s">
        <v>114</v>
      </c>
      <c r="F438" s="5">
        <v>10450</v>
      </c>
      <c r="H438">
        <v>0</v>
      </c>
      <c r="I438" t="s">
        <v>53</v>
      </c>
      <c r="L438" s="6"/>
      <c r="M438" s="6"/>
      <c r="N438" s="6"/>
      <c r="O438" s="5"/>
      <c r="P438" s="7" t="str">
        <f t="shared" si="42"/>
        <v/>
      </c>
      <c r="Q438" s="7" t="str">
        <f t="shared" si="43"/>
        <v/>
      </c>
      <c r="R438" s="7" t="str">
        <f t="shared" si="44"/>
        <v/>
      </c>
      <c r="S438" s="7">
        <f>IF($A438="","",IF(AND(LEFT($G438,3)="ДОК",$N438&lt;&gt;""),IFERROR(INDEX(Документация!$E$2:$E$57,MATCH($N438,Документация!$F$2:$F$57,0)),0),N($F438))*(1-MEDIAN(0,N(ДисконтТендер),1)))</f>
        <v>10450</v>
      </c>
      <c r="T438" s="7">
        <f>IF($A438="","",IF(AND(LEFT($G438,3)="ДОК",$N438&lt;&gt;""),0,IF(AND(LEFT($G438,3)&lt;&gt;"ДОК",$N438&lt;&gt;""),IFERROR(INDEX(МАТЕРИАЛЫ!$H$2:$H$9000,MATCH($N438,МАТЕРИАЛЫ!$L$2:$L$9000,0))*IF(INDEX(МАТЕРИАЛЫ!$I$2:$I$9000,MATCH($N438,МАТЕРИАЛЫ!$L$2:$L$9000,0))="USD",КурсUSD,IF(INDEX(МАТЕРИАЛЫ!$I$2:$I$9000,MATCH($N438,МАТЕРИАЛЫ!$L$2:$L$9000,0))="EUR",КурсEUR,IF(INDEX(МАТЕРИАЛЫ!$I$2:$I$9000,MATCH($N438,МАТЕРИАЛЫ!$L$2:$L$9000,0))="CNY",КурсCNY,1)))*(1+N($H438)/100),0),N($O438))*(1-MEDIAN(0,N(ДисконтТендер),1))))</f>
        <v>0</v>
      </c>
      <c r="U438" t="str">
        <f>IF($L438="да",MAX($U$1:$U437)+1,"")</f>
        <v/>
      </c>
      <c r="V438" t="str">
        <f t="shared" si="45"/>
        <v>Р5</v>
      </c>
      <c r="W438" t="str">
        <f t="shared" si="46"/>
        <v/>
      </c>
      <c r="X438" t="str">
        <f t="shared" si="47"/>
        <v/>
      </c>
      <c r="Y438" s="4" t="str">
        <f>IF($A438="","",IF(AND(LEFT($G438,3)="ДОК",$N438&lt;&gt;""),IFERROR(INDEX(Документация!$G$2:$G$57,MATCH($N438,Документация!$F$2:$F$57,0)),$D438),$D438&amp;IF(AND(LEFT($G438,3)&lt;&gt;"ДОК",$N438&lt;&gt;"")," — "&amp;IFERROR(INDEX(МАТЕРИАЛЫ!$C$2:$C$9000,MATCH($N438,МАТЕРИАЛЫ!$L$2:$L$9000,0)),""),"")))</f>
        <v>Ревизия и установка Люстр заказчика (без стоимости люстры) с заменой ламп</v>
      </c>
      <c r="Z438" t="str">
        <f t="shared" si="48"/>
        <v>Р5 · Водоснабжение и канализация</v>
      </c>
    </row>
    <row r="439" spans="1:26" x14ac:dyDescent="0.3">
      <c r="A439" t="s">
        <v>973</v>
      </c>
      <c r="B439" t="s">
        <v>953</v>
      </c>
      <c r="C439" t="s">
        <v>194</v>
      </c>
      <c r="D439" s="4" t="s">
        <v>974</v>
      </c>
      <c r="E439" t="s">
        <v>114</v>
      </c>
      <c r="F439" s="5">
        <v>4284.5</v>
      </c>
      <c r="G439" t="s">
        <v>975</v>
      </c>
      <c r="H439">
        <v>5</v>
      </c>
      <c r="I439" t="s">
        <v>53</v>
      </c>
      <c r="L439" s="6"/>
      <c r="M439" s="6"/>
      <c r="N439" s="6"/>
      <c r="O439" s="5"/>
      <c r="P439" s="7" t="str">
        <f t="shared" si="42"/>
        <v/>
      </c>
      <c r="Q439" s="7" t="str">
        <f t="shared" si="43"/>
        <v/>
      </c>
      <c r="R439" s="7" t="str">
        <f t="shared" si="44"/>
        <v/>
      </c>
      <c r="S439" s="7">
        <f>IF($A439="","",IF(AND(LEFT($G439,3)="ДОК",$N439&lt;&gt;""),IFERROR(INDEX(Документация!$E$2:$E$57,MATCH($N439,Документация!$F$2:$F$57,0)),0),N($F439))*(1-MEDIAN(0,N(ДисконтТендер),1)))</f>
        <v>4284.5</v>
      </c>
      <c r="T439" s="7">
        <f>IF($A439="","",IF(AND(LEFT($G439,3)="ДОК",$N439&lt;&gt;""),0,IF(AND(LEFT($G439,3)&lt;&gt;"ДОК",$N439&lt;&gt;""),IFERROR(INDEX(МАТЕРИАЛЫ!$H$2:$H$9000,MATCH($N439,МАТЕРИАЛЫ!$L$2:$L$9000,0))*IF(INDEX(МАТЕРИАЛЫ!$I$2:$I$9000,MATCH($N439,МАТЕРИАЛЫ!$L$2:$L$9000,0))="USD",КурсUSD,IF(INDEX(МАТЕРИАЛЫ!$I$2:$I$9000,MATCH($N439,МАТЕРИАЛЫ!$L$2:$L$9000,0))="EUR",КурсEUR,IF(INDEX(МАТЕРИАЛЫ!$I$2:$I$9000,MATCH($N439,МАТЕРИАЛЫ!$L$2:$L$9000,0))="CNY",КурсCNY,1)))*(1+N($H439)/100),0),N($O439))*(1-MEDIAN(0,N(ДисконтТендер),1))))</f>
        <v>0</v>
      </c>
      <c r="U439" t="str">
        <f>IF($L439="да",MAX($U$1:$U438)+1,"")</f>
        <v/>
      </c>
      <c r="V439" t="str">
        <f t="shared" si="45"/>
        <v>Р5</v>
      </c>
      <c r="W439" t="str">
        <f t="shared" si="46"/>
        <v/>
      </c>
      <c r="X439" t="str">
        <f t="shared" si="47"/>
        <v/>
      </c>
      <c r="Y439" s="4" t="str">
        <f>IF($A439="","",IF(AND(LEFT($G439,3)="ДОК",$N439&lt;&gt;""),IFERROR(INDEX(Документация!$G$2:$G$57,MATCH($N439,Документация!$F$2:$F$57,0)),$D439),$D439&amp;IF(AND(LEFT($G439,3)&lt;&gt;"ДОК",$N439&lt;&gt;"")," — "&amp;IFERROR(INDEX(МАТЕРИАЛЫ!$C$2:$C$9000,MATCH($N439,МАТЕРИАЛЫ!$L$2:$L$9000,0)),""),"")))</f>
        <v>Установка унитаза / писсуара / инсталляции</v>
      </c>
      <c r="Z439" t="str">
        <f t="shared" si="48"/>
        <v>Р5 · Водоснабжение и канализация</v>
      </c>
    </row>
    <row r="440" spans="1:26" x14ac:dyDescent="0.3">
      <c r="A440" t="s">
        <v>976</v>
      </c>
      <c r="B440" t="s">
        <v>953</v>
      </c>
      <c r="C440" t="s">
        <v>194</v>
      </c>
      <c r="D440" s="4" t="s">
        <v>977</v>
      </c>
      <c r="E440" t="s">
        <v>114</v>
      </c>
      <c r="F440" s="5">
        <v>7837.5</v>
      </c>
      <c r="G440" t="s">
        <v>978</v>
      </c>
      <c r="H440">
        <v>5</v>
      </c>
      <c r="I440" t="s">
        <v>53</v>
      </c>
      <c r="L440" s="6"/>
      <c r="M440" s="6"/>
      <c r="N440" s="6"/>
      <c r="O440" s="5"/>
      <c r="P440" s="7" t="str">
        <f t="shared" si="42"/>
        <v/>
      </c>
      <c r="Q440" s="7" t="str">
        <f t="shared" si="43"/>
        <v/>
      </c>
      <c r="R440" s="7" t="str">
        <f t="shared" si="44"/>
        <v/>
      </c>
      <c r="S440" s="7">
        <f>IF($A440="","",IF(AND(LEFT($G440,3)="ДОК",$N440&lt;&gt;""),IFERROR(INDEX(Документация!$E$2:$E$57,MATCH($N440,Документация!$F$2:$F$57,0)),0),N($F440))*(1-MEDIAN(0,N(ДисконтТендер),1)))</f>
        <v>7837.5</v>
      </c>
      <c r="T440" s="7">
        <f>IF($A440="","",IF(AND(LEFT($G440,3)="ДОК",$N440&lt;&gt;""),0,IF(AND(LEFT($G440,3)&lt;&gt;"ДОК",$N440&lt;&gt;""),IFERROR(INDEX(МАТЕРИАЛЫ!$H$2:$H$9000,MATCH($N440,МАТЕРИАЛЫ!$L$2:$L$9000,0))*IF(INDEX(МАТЕРИАЛЫ!$I$2:$I$9000,MATCH($N440,МАТЕРИАЛЫ!$L$2:$L$9000,0))="USD",КурсUSD,IF(INDEX(МАТЕРИАЛЫ!$I$2:$I$9000,MATCH($N440,МАТЕРИАЛЫ!$L$2:$L$9000,0))="EUR",КурсEUR,IF(INDEX(МАТЕРИАЛЫ!$I$2:$I$9000,MATCH($N440,МАТЕРИАЛЫ!$L$2:$L$9000,0))="CNY",КурсCNY,1)))*(1+N($H440)/100),0),N($O440))*(1-MEDIAN(0,N(ДисконтТендер),1))))</f>
        <v>0</v>
      </c>
      <c r="U440" t="str">
        <f>IF($L440="да",MAX($U$1:$U439)+1,"")</f>
        <v/>
      </c>
      <c r="V440" t="str">
        <f t="shared" si="45"/>
        <v>Р5</v>
      </c>
      <c r="W440" t="str">
        <f t="shared" si="46"/>
        <v/>
      </c>
      <c r="X440" t="str">
        <f t="shared" si="47"/>
        <v/>
      </c>
      <c r="Y440" s="4" t="str">
        <f>IF($A440="","",IF(AND(LEFT($G440,3)="ДОК",$N440&lt;&gt;""),IFERROR(INDEX(Документация!$G$2:$G$57,MATCH($N440,Документация!$F$2:$F$57,0)),$D440),$D440&amp;IF(AND(LEFT($G440,3)&lt;&gt;"ДОК",$N440&lt;&gt;"")," — "&amp;IFERROR(INDEX(МАТЕРИАЛЫ!$C$2:$C$9000,MATCH($N440,МАТЕРИАЛЫ!$L$2:$L$9000,0)),""),"")))</f>
        <v>Установка умывальника / раковины / мойки</v>
      </c>
      <c r="Z440" t="str">
        <f t="shared" si="48"/>
        <v>Р5 · Водоснабжение и канализация</v>
      </c>
    </row>
    <row r="441" spans="1:26" x14ac:dyDescent="0.3">
      <c r="A441" t="s">
        <v>979</v>
      </c>
      <c r="B441" t="s">
        <v>953</v>
      </c>
      <c r="C441" t="s">
        <v>194</v>
      </c>
      <c r="D441" s="4" t="s">
        <v>977</v>
      </c>
      <c r="E441" t="s">
        <v>114</v>
      </c>
      <c r="F441" s="5">
        <v>6688</v>
      </c>
      <c r="G441" t="s">
        <v>978</v>
      </c>
      <c r="H441">
        <v>5</v>
      </c>
      <c r="I441" t="s">
        <v>53</v>
      </c>
      <c r="L441" s="6"/>
      <c r="M441" s="6"/>
      <c r="N441" s="6"/>
      <c r="O441" s="5"/>
      <c r="P441" s="7" t="str">
        <f t="shared" si="42"/>
        <v/>
      </c>
      <c r="Q441" s="7" t="str">
        <f t="shared" si="43"/>
        <v/>
      </c>
      <c r="R441" s="7" t="str">
        <f t="shared" si="44"/>
        <v/>
      </c>
      <c r="S441" s="7">
        <f>IF($A441="","",IF(AND(LEFT($G441,3)="ДОК",$N441&lt;&gt;""),IFERROR(INDEX(Документация!$E$2:$E$57,MATCH($N441,Документация!$F$2:$F$57,0)),0),N($F441))*(1-MEDIAN(0,N(ДисконтТендер),1)))</f>
        <v>6688</v>
      </c>
      <c r="T441" s="7">
        <f>IF($A441="","",IF(AND(LEFT($G441,3)="ДОК",$N441&lt;&gt;""),0,IF(AND(LEFT($G441,3)&lt;&gt;"ДОК",$N441&lt;&gt;""),IFERROR(INDEX(МАТЕРИАЛЫ!$H$2:$H$9000,MATCH($N441,МАТЕРИАЛЫ!$L$2:$L$9000,0))*IF(INDEX(МАТЕРИАЛЫ!$I$2:$I$9000,MATCH($N441,МАТЕРИАЛЫ!$L$2:$L$9000,0))="USD",КурсUSD,IF(INDEX(МАТЕРИАЛЫ!$I$2:$I$9000,MATCH($N441,МАТЕРИАЛЫ!$L$2:$L$9000,0))="EUR",КурсEUR,IF(INDEX(МАТЕРИАЛЫ!$I$2:$I$9000,MATCH($N441,МАТЕРИАЛЫ!$L$2:$L$9000,0))="CNY",КурсCNY,1)))*(1+N($H441)/100),0),N($O441))*(1-MEDIAN(0,N(ДисконтТендер),1))))</f>
        <v>0</v>
      </c>
      <c r="U441" t="str">
        <f>IF($L441="да",MAX($U$1:$U440)+1,"")</f>
        <v/>
      </c>
      <c r="V441" t="str">
        <f t="shared" si="45"/>
        <v>Р5</v>
      </c>
      <c r="W441" t="str">
        <f t="shared" si="46"/>
        <v/>
      </c>
      <c r="X441" t="str">
        <f t="shared" si="47"/>
        <v/>
      </c>
      <c r="Y441" s="4" t="str">
        <f>IF($A441="","",IF(AND(LEFT($G441,3)="ДОК",$N441&lt;&gt;""),IFERROR(INDEX(Документация!$G$2:$G$57,MATCH($N441,Документация!$F$2:$F$57,0)),$D441),$D441&amp;IF(AND(LEFT($G441,3)&lt;&gt;"ДОК",$N441&lt;&gt;"")," — "&amp;IFERROR(INDEX(МАТЕРИАЛЫ!$C$2:$C$9000,MATCH($N441,МАТЕРИАЛЫ!$L$2:$L$9000,0)),""),"")))</f>
        <v>Установка умывальника / раковины / мойки</v>
      </c>
      <c r="Z441" t="str">
        <f t="shared" si="48"/>
        <v>Р5 · Водоснабжение и канализация</v>
      </c>
    </row>
    <row r="442" spans="1:26" ht="28.8" x14ac:dyDescent="0.3">
      <c r="A442" t="s">
        <v>980</v>
      </c>
      <c r="B442" t="s">
        <v>953</v>
      </c>
      <c r="C442" t="s">
        <v>194</v>
      </c>
      <c r="D442" s="4" t="s">
        <v>981</v>
      </c>
      <c r="E442" t="s">
        <v>114</v>
      </c>
      <c r="F442" s="5">
        <v>4186.88</v>
      </c>
      <c r="H442">
        <v>0</v>
      </c>
      <c r="I442" t="s">
        <v>53</v>
      </c>
      <c r="L442" s="6"/>
      <c r="M442" s="6"/>
      <c r="N442" s="6"/>
      <c r="O442" s="5"/>
      <c r="P442" s="7" t="str">
        <f t="shared" si="42"/>
        <v/>
      </c>
      <c r="Q442" s="7" t="str">
        <f t="shared" si="43"/>
        <v/>
      </c>
      <c r="R442" s="7" t="str">
        <f t="shared" si="44"/>
        <v/>
      </c>
      <c r="S442" s="7">
        <f>IF($A442="","",IF(AND(LEFT($G442,3)="ДОК",$N442&lt;&gt;""),IFERROR(INDEX(Документация!$E$2:$E$57,MATCH($N442,Документация!$F$2:$F$57,0)),0),N($F442))*(1-MEDIAN(0,N(ДисконтТендер),1)))</f>
        <v>4186.88</v>
      </c>
      <c r="T442" s="7">
        <f>IF($A442="","",IF(AND(LEFT($G442,3)="ДОК",$N442&lt;&gt;""),0,IF(AND(LEFT($G442,3)&lt;&gt;"ДОК",$N442&lt;&gt;""),IFERROR(INDEX(МАТЕРИАЛЫ!$H$2:$H$9000,MATCH($N442,МАТЕРИАЛЫ!$L$2:$L$9000,0))*IF(INDEX(МАТЕРИАЛЫ!$I$2:$I$9000,MATCH($N442,МАТЕРИАЛЫ!$L$2:$L$9000,0))="USD",КурсUSD,IF(INDEX(МАТЕРИАЛЫ!$I$2:$I$9000,MATCH($N442,МАТЕРИАЛЫ!$L$2:$L$9000,0))="EUR",КурсEUR,IF(INDEX(МАТЕРИАЛЫ!$I$2:$I$9000,MATCH($N442,МАТЕРИАЛЫ!$L$2:$L$9000,0))="CNY",КурсCNY,1)))*(1+N($H442)/100),0),N($O442))*(1-MEDIAN(0,N(ДисконтТендер),1))))</f>
        <v>0</v>
      </c>
      <c r="U442" t="str">
        <f>IF($L442="да",MAX($U$1:$U441)+1,"")</f>
        <v/>
      </c>
      <c r="V442" t="str">
        <f t="shared" si="45"/>
        <v>Р5</v>
      </c>
      <c r="W442" t="str">
        <f t="shared" si="46"/>
        <v/>
      </c>
      <c r="X442" t="str">
        <f t="shared" si="47"/>
        <v/>
      </c>
      <c r="Y442" s="4" t="str">
        <f>IF($A442="","",IF(AND(LEFT($G442,3)="ДОК",$N442&lt;&gt;""),IFERROR(INDEX(Документация!$G$2:$G$57,MATCH($N442,Документация!$F$2:$F$57,0)),$D442),$D442&amp;IF(AND(LEFT($G442,3)&lt;&gt;"ДОК",$N442&lt;&gt;"")," — "&amp;IFERROR(INDEX(МАТЕРИАЛЫ!$C$2:$C$9000,MATCH($N442,МАТЕРИАЛЫ!$L$2:$L$9000,0)),""),"")))</f>
        <v>Установка системы инсталяции Geberit Duofix UP320 111.300.00.5</v>
      </c>
      <c r="Z442" t="str">
        <f t="shared" si="48"/>
        <v>Р5 · Водоснабжение и канализация</v>
      </c>
    </row>
    <row r="443" spans="1:26" x14ac:dyDescent="0.3">
      <c r="A443" t="s">
        <v>982</v>
      </c>
      <c r="B443" t="s">
        <v>953</v>
      </c>
      <c r="C443" t="s">
        <v>194</v>
      </c>
      <c r="D443" s="4" t="s">
        <v>974</v>
      </c>
      <c r="E443" t="s">
        <v>114</v>
      </c>
      <c r="F443" s="5">
        <v>5575.08</v>
      </c>
      <c r="G443" t="s">
        <v>975</v>
      </c>
      <c r="H443">
        <v>5</v>
      </c>
      <c r="I443" t="s">
        <v>53</v>
      </c>
      <c r="L443" s="6"/>
      <c r="M443" s="6"/>
      <c r="N443" s="6"/>
      <c r="O443" s="5"/>
      <c r="P443" s="7" t="str">
        <f t="shared" si="42"/>
        <v/>
      </c>
      <c r="Q443" s="7" t="str">
        <f t="shared" si="43"/>
        <v/>
      </c>
      <c r="R443" s="7" t="str">
        <f t="shared" si="44"/>
        <v/>
      </c>
      <c r="S443" s="7">
        <f>IF($A443="","",IF(AND(LEFT($G443,3)="ДОК",$N443&lt;&gt;""),IFERROR(INDEX(Документация!$E$2:$E$57,MATCH($N443,Документация!$F$2:$F$57,0)),0),N($F443))*(1-MEDIAN(0,N(ДисконтТендер),1)))</f>
        <v>5575.08</v>
      </c>
      <c r="T443" s="7">
        <f>IF($A443="","",IF(AND(LEFT($G443,3)="ДОК",$N443&lt;&gt;""),0,IF(AND(LEFT($G443,3)&lt;&gt;"ДОК",$N443&lt;&gt;""),IFERROR(INDEX(МАТЕРИАЛЫ!$H$2:$H$9000,MATCH($N443,МАТЕРИАЛЫ!$L$2:$L$9000,0))*IF(INDEX(МАТЕРИАЛЫ!$I$2:$I$9000,MATCH($N443,МАТЕРИАЛЫ!$L$2:$L$9000,0))="USD",КурсUSD,IF(INDEX(МАТЕРИАЛЫ!$I$2:$I$9000,MATCH($N443,МАТЕРИАЛЫ!$L$2:$L$9000,0))="EUR",КурсEUR,IF(INDEX(МАТЕРИАЛЫ!$I$2:$I$9000,MATCH($N443,МАТЕРИАЛЫ!$L$2:$L$9000,0))="CNY",КурсCNY,1)))*(1+N($H443)/100),0),N($O443))*(1-MEDIAN(0,N(ДисконтТендер),1))))</f>
        <v>0</v>
      </c>
      <c r="U443" t="str">
        <f>IF($L443="да",MAX($U$1:$U442)+1,"")</f>
        <v/>
      </c>
      <c r="V443" t="str">
        <f t="shared" si="45"/>
        <v>Р5</v>
      </c>
      <c r="W443" t="str">
        <f t="shared" si="46"/>
        <v/>
      </c>
      <c r="X443" t="str">
        <f t="shared" si="47"/>
        <v/>
      </c>
      <c r="Y443" s="4" t="str">
        <f>IF($A443="","",IF(AND(LEFT($G443,3)="ДОК",$N443&lt;&gt;""),IFERROR(INDEX(Документация!$G$2:$G$57,MATCH($N443,Документация!$F$2:$F$57,0)),$D443),$D443&amp;IF(AND(LEFT($G443,3)&lt;&gt;"ДОК",$N443&lt;&gt;"")," — "&amp;IFERROR(INDEX(МАТЕРИАЛЫ!$C$2:$C$9000,MATCH($N443,МАТЕРИАЛЫ!$L$2:$L$9000,0)),""),"")))</f>
        <v>Установка унитаза / писсуара / инсталляции</v>
      </c>
      <c r="Z443" t="str">
        <f t="shared" si="48"/>
        <v>Р5 · Водоснабжение и канализация</v>
      </c>
    </row>
    <row r="444" spans="1:26" x14ac:dyDescent="0.3">
      <c r="A444" t="s">
        <v>983</v>
      </c>
      <c r="B444" t="s">
        <v>953</v>
      </c>
      <c r="C444" t="s">
        <v>194</v>
      </c>
      <c r="D444" s="4" t="s">
        <v>984</v>
      </c>
      <c r="E444" t="s">
        <v>114</v>
      </c>
      <c r="F444" s="5">
        <v>1809.6</v>
      </c>
      <c r="G444" t="s">
        <v>985</v>
      </c>
      <c r="H444">
        <v>5</v>
      </c>
      <c r="I444" t="s">
        <v>53</v>
      </c>
      <c r="L444" s="6"/>
      <c r="M444" s="6"/>
      <c r="N444" s="6"/>
      <c r="O444" s="5"/>
      <c r="P444" s="7" t="str">
        <f t="shared" si="42"/>
        <v/>
      </c>
      <c r="Q444" s="7" t="str">
        <f t="shared" si="43"/>
        <v/>
      </c>
      <c r="R444" s="7" t="str">
        <f t="shared" si="44"/>
        <v/>
      </c>
      <c r="S444" s="7">
        <f>IF($A444="","",IF(AND(LEFT($G444,3)="ДОК",$N444&lt;&gt;""),IFERROR(INDEX(Документация!$E$2:$E$57,MATCH($N444,Документация!$F$2:$F$57,0)),0),N($F444))*(1-MEDIAN(0,N(ДисконтТендер),1)))</f>
        <v>1809.6</v>
      </c>
      <c r="T444" s="7">
        <f>IF($A444="","",IF(AND(LEFT($G444,3)="ДОК",$N444&lt;&gt;""),0,IF(AND(LEFT($G444,3)&lt;&gt;"ДОК",$N444&lt;&gt;""),IFERROR(INDEX(МАТЕРИАЛЫ!$H$2:$H$9000,MATCH($N444,МАТЕРИАЛЫ!$L$2:$L$9000,0))*IF(INDEX(МАТЕРИАЛЫ!$I$2:$I$9000,MATCH($N444,МАТЕРИАЛЫ!$L$2:$L$9000,0))="USD",КурсUSD,IF(INDEX(МАТЕРИАЛЫ!$I$2:$I$9000,MATCH($N444,МАТЕРИАЛЫ!$L$2:$L$9000,0))="EUR",КурсEUR,IF(INDEX(МАТЕРИАЛЫ!$I$2:$I$9000,MATCH($N444,МАТЕРИАЛЫ!$L$2:$L$9000,0))="CNY",КурсCNY,1)))*(1+N($H444)/100),0),N($O444))*(1-MEDIAN(0,N(ДисконтТендер),1))))</f>
        <v>0</v>
      </c>
      <c r="U444" t="str">
        <f>IF($L444="да",MAX($U$1:$U443)+1,"")</f>
        <v/>
      </c>
      <c r="V444" t="str">
        <f t="shared" si="45"/>
        <v>Р5</v>
      </c>
      <c r="W444" t="str">
        <f t="shared" si="46"/>
        <v/>
      </c>
      <c r="X444" t="str">
        <f t="shared" si="47"/>
        <v/>
      </c>
      <c r="Y444" s="4" t="str">
        <f>IF($A444="","",IF(AND(LEFT($G444,3)="ДОК",$N444&lt;&gt;""),IFERROR(INDEX(Документация!$G$2:$G$57,MATCH($N444,Документация!$F$2:$F$57,0)),$D444),$D444&amp;IF(AND(LEFT($G444,3)&lt;&gt;"ДОК",$N444&lt;&gt;"")," — "&amp;IFERROR(INDEX(МАТЕРИАЛЫ!$C$2:$C$9000,MATCH($N444,МАТЕРИАЛЫ!$L$2:$L$9000,0)),""),"")))</f>
        <v>Установка смесителя / водоразборной арматуры</v>
      </c>
      <c r="Z444" t="str">
        <f t="shared" si="48"/>
        <v>Р5 · Водоснабжение и канализация</v>
      </c>
    </row>
    <row r="445" spans="1:26" x14ac:dyDescent="0.3">
      <c r="A445" t="s">
        <v>986</v>
      </c>
      <c r="B445" t="s">
        <v>953</v>
      </c>
      <c r="C445" t="s">
        <v>194</v>
      </c>
      <c r="D445" s="4" t="s">
        <v>977</v>
      </c>
      <c r="E445" t="s">
        <v>114</v>
      </c>
      <c r="F445" s="5">
        <v>500</v>
      </c>
      <c r="G445" t="s">
        <v>978</v>
      </c>
      <c r="H445">
        <v>5</v>
      </c>
      <c r="I445" t="s">
        <v>53</v>
      </c>
      <c r="L445" s="6"/>
      <c r="M445" s="6"/>
      <c r="N445" s="6"/>
      <c r="O445" s="5"/>
      <c r="P445" s="7" t="str">
        <f t="shared" si="42"/>
        <v/>
      </c>
      <c r="Q445" s="7" t="str">
        <f t="shared" si="43"/>
        <v/>
      </c>
      <c r="R445" s="7" t="str">
        <f t="shared" si="44"/>
        <v/>
      </c>
      <c r="S445" s="7">
        <f>IF($A445="","",IF(AND(LEFT($G445,3)="ДОК",$N445&lt;&gt;""),IFERROR(INDEX(Документация!$E$2:$E$57,MATCH($N445,Документация!$F$2:$F$57,0)),0),N($F445))*(1-MEDIAN(0,N(ДисконтТендер),1)))</f>
        <v>500</v>
      </c>
      <c r="T445" s="7">
        <f>IF($A445="","",IF(AND(LEFT($G445,3)="ДОК",$N445&lt;&gt;""),0,IF(AND(LEFT($G445,3)&lt;&gt;"ДОК",$N445&lt;&gt;""),IFERROR(INDEX(МАТЕРИАЛЫ!$H$2:$H$9000,MATCH($N445,МАТЕРИАЛЫ!$L$2:$L$9000,0))*IF(INDEX(МАТЕРИАЛЫ!$I$2:$I$9000,MATCH($N445,МАТЕРИАЛЫ!$L$2:$L$9000,0))="USD",КурсUSD,IF(INDEX(МАТЕРИАЛЫ!$I$2:$I$9000,MATCH($N445,МАТЕРИАЛЫ!$L$2:$L$9000,0))="EUR",КурсEUR,IF(INDEX(МАТЕРИАЛЫ!$I$2:$I$9000,MATCH($N445,МАТЕРИАЛЫ!$L$2:$L$9000,0))="CNY",КурсCNY,1)))*(1+N($H445)/100),0),N($O445))*(1-MEDIAN(0,N(ДисконтТендер),1))))</f>
        <v>0</v>
      </c>
      <c r="U445" t="str">
        <f>IF($L445="да",MAX($U$1:$U444)+1,"")</f>
        <v/>
      </c>
      <c r="V445" t="str">
        <f t="shared" si="45"/>
        <v>Р5</v>
      </c>
      <c r="W445" t="str">
        <f t="shared" si="46"/>
        <v/>
      </c>
      <c r="X445" t="str">
        <f t="shared" si="47"/>
        <v/>
      </c>
      <c r="Y445" s="4" t="str">
        <f>IF($A445="","",IF(AND(LEFT($G445,3)="ДОК",$N445&lt;&gt;""),IFERROR(INDEX(Документация!$G$2:$G$57,MATCH($N445,Документация!$F$2:$F$57,0)),$D445),$D445&amp;IF(AND(LEFT($G445,3)&lt;&gt;"ДОК",$N445&lt;&gt;"")," — "&amp;IFERROR(INDEX(МАТЕРИАЛЫ!$C$2:$C$9000,MATCH($N445,МАТЕРИАЛЫ!$L$2:$L$9000,0)),""),"")))</f>
        <v>Установка умывальника / раковины / мойки</v>
      </c>
      <c r="Z445" t="str">
        <f t="shared" si="48"/>
        <v>Р5 · Водоснабжение и канализация</v>
      </c>
    </row>
    <row r="446" spans="1:26" ht="28.8" x14ac:dyDescent="0.3">
      <c r="A446" t="s">
        <v>987</v>
      </c>
      <c r="B446" t="s">
        <v>953</v>
      </c>
      <c r="C446" t="s">
        <v>194</v>
      </c>
      <c r="D446" s="4" t="s">
        <v>988</v>
      </c>
      <c r="E446" t="s">
        <v>114</v>
      </c>
      <c r="F446" s="5">
        <v>2035.8</v>
      </c>
      <c r="G446" t="s">
        <v>978</v>
      </c>
      <c r="H446">
        <v>5</v>
      </c>
      <c r="I446" t="s">
        <v>53</v>
      </c>
      <c r="L446" s="6"/>
      <c r="M446" s="6"/>
      <c r="N446" s="6"/>
      <c r="O446" s="5"/>
      <c r="P446" s="7" t="str">
        <f t="shared" si="42"/>
        <v/>
      </c>
      <c r="Q446" s="7" t="str">
        <f t="shared" si="43"/>
        <v/>
      </c>
      <c r="R446" s="7" t="str">
        <f t="shared" si="44"/>
        <v/>
      </c>
      <c r="S446" s="7">
        <f>IF($A446="","",IF(AND(LEFT($G446,3)="ДОК",$N446&lt;&gt;""),IFERROR(INDEX(Документация!$E$2:$E$57,MATCH($N446,Документация!$F$2:$F$57,0)),0),N($F446))*(1-MEDIAN(0,N(ДисконтТендер),1)))</f>
        <v>2035.8</v>
      </c>
      <c r="T446" s="7">
        <f>IF($A446="","",IF(AND(LEFT($G446,3)="ДОК",$N446&lt;&gt;""),0,IF(AND(LEFT($G446,3)&lt;&gt;"ДОК",$N446&lt;&gt;""),IFERROR(INDEX(МАТЕРИАЛЫ!$H$2:$H$9000,MATCH($N446,МАТЕРИАЛЫ!$L$2:$L$9000,0))*IF(INDEX(МАТЕРИАЛЫ!$I$2:$I$9000,MATCH($N446,МАТЕРИАЛЫ!$L$2:$L$9000,0))="USD",КурсUSD,IF(INDEX(МАТЕРИАЛЫ!$I$2:$I$9000,MATCH($N446,МАТЕРИАЛЫ!$L$2:$L$9000,0))="EUR",КурсEUR,IF(INDEX(МАТЕРИАЛЫ!$I$2:$I$9000,MATCH($N446,МАТЕРИАЛЫ!$L$2:$L$9000,0))="CNY",КурсCNY,1)))*(1+N($H446)/100),0),N($O446))*(1-MEDIAN(0,N(ДисконтТендер),1))))</f>
        <v>0</v>
      </c>
      <c r="U446" t="str">
        <f>IF($L446="да",MAX($U$1:$U445)+1,"")</f>
        <v/>
      </c>
      <c r="V446" t="str">
        <f t="shared" si="45"/>
        <v>Р5</v>
      </c>
      <c r="W446" t="str">
        <f t="shared" si="46"/>
        <v/>
      </c>
      <c r="X446" t="str">
        <f t="shared" si="47"/>
        <v/>
      </c>
      <c r="Y446" s="4" t="str">
        <f>IF($A446="","",IF(AND(LEFT($G446,3)="ДОК",$N446&lt;&gt;""),IFERROR(INDEX(Документация!$G$2:$G$57,MATCH($N446,Документация!$F$2:$F$57,0)),$D446),$D446&amp;IF(AND(LEFT($G446,3)&lt;&gt;"ДОК",$N446&lt;&gt;"")," — "&amp;IFERROR(INDEX(МАТЕРИАЛЫ!$C$2:$C$9000,MATCH($N446,МАТЕРИАЛЫ!$L$2:$L$9000,0)),""),"")))</f>
        <v>Установка смесителя для раковины Damixa Jupiter 770230001 с гигиеническим душем, хром</v>
      </c>
      <c r="Z446" t="str">
        <f t="shared" si="48"/>
        <v>Р5 · Водоснабжение и канализация</v>
      </c>
    </row>
    <row r="447" spans="1:26" x14ac:dyDescent="0.3">
      <c r="A447" t="s">
        <v>989</v>
      </c>
      <c r="B447" t="s">
        <v>953</v>
      </c>
      <c r="C447" t="s">
        <v>194</v>
      </c>
      <c r="D447" s="4" t="s">
        <v>984</v>
      </c>
      <c r="E447" t="s">
        <v>114</v>
      </c>
      <c r="F447" s="5">
        <v>2239.38</v>
      </c>
      <c r="G447" t="s">
        <v>985</v>
      </c>
      <c r="H447">
        <v>5</v>
      </c>
      <c r="I447" t="s">
        <v>53</v>
      </c>
      <c r="L447" s="6"/>
      <c r="M447" s="6"/>
      <c r="N447" s="6"/>
      <c r="O447" s="5"/>
      <c r="P447" s="7" t="str">
        <f t="shared" si="42"/>
        <v/>
      </c>
      <c r="Q447" s="7" t="str">
        <f t="shared" si="43"/>
        <v/>
      </c>
      <c r="R447" s="7" t="str">
        <f t="shared" si="44"/>
        <v/>
      </c>
      <c r="S447" s="7">
        <f>IF($A447="","",IF(AND(LEFT($G447,3)="ДОК",$N447&lt;&gt;""),IFERROR(INDEX(Документация!$E$2:$E$57,MATCH($N447,Документация!$F$2:$F$57,0)),0),N($F447))*(1-MEDIAN(0,N(ДисконтТендер),1)))</f>
        <v>2239.38</v>
      </c>
      <c r="T447" s="7">
        <f>IF($A447="","",IF(AND(LEFT($G447,3)="ДОК",$N447&lt;&gt;""),0,IF(AND(LEFT($G447,3)&lt;&gt;"ДОК",$N447&lt;&gt;""),IFERROR(INDEX(МАТЕРИАЛЫ!$H$2:$H$9000,MATCH($N447,МАТЕРИАЛЫ!$L$2:$L$9000,0))*IF(INDEX(МАТЕРИАЛЫ!$I$2:$I$9000,MATCH($N447,МАТЕРИАЛЫ!$L$2:$L$9000,0))="USD",КурсUSD,IF(INDEX(МАТЕРИАЛЫ!$I$2:$I$9000,MATCH($N447,МАТЕРИАЛЫ!$L$2:$L$9000,0))="EUR",КурсEUR,IF(INDEX(МАТЕРИАЛЫ!$I$2:$I$9000,MATCH($N447,МАТЕРИАЛЫ!$L$2:$L$9000,0))="CNY",КурсCNY,1)))*(1+N($H447)/100),0),N($O447))*(1-MEDIAN(0,N(ДисконтТендер),1))))</f>
        <v>0</v>
      </c>
      <c r="U447" t="str">
        <f>IF($L447="да",MAX($U$1:$U446)+1,"")</f>
        <v/>
      </c>
      <c r="V447" t="str">
        <f t="shared" si="45"/>
        <v>Р5</v>
      </c>
      <c r="W447" t="str">
        <f t="shared" si="46"/>
        <v/>
      </c>
      <c r="X447" t="str">
        <f t="shared" si="47"/>
        <v/>
      </c>
      <c r="Y447" s="4" t="str">
        <f>IF($A447="","",IF(AND(LEFT($G447,3)="ДОК",$N447&lt;&gt;""),IFERROR(INDEX(Документация!$G$2:$G$57,MATCH($N447,Документация!$F$2:$F$57,0)),$D447),$D447&amp;IF(AND(LEFT($G447,3)&lt;&gt;"ДОК",$N447&lt;&gt;"")," — "&amp;IFERROR(INDEX(МАТЕРИАЛЫ!$C$2:$C$9000,MATCH($N447,МАТЕРИАЛЫ!$L$2:$L$9000,0)),""),"")))</f>
        <v>Установка смесителя / водоразборной арматуры</v>
      </c>
      <c r="Z447" t="str">
        <f t="shared" si="48"/>
        <v>Р5 · Водоснабжение и канализация</v>
      </c>
    </row>
    <row r="448" spans="1:26" ht="57.6" x14ac:dyDescent="0.3">
      <c r="A448" t="s">
        <v>990</v>
      </c>
      <c r="B448" t="s">
        <v>953</v>
      </c>
      <c r="C448" t="s">
        <v>194</v>
      </c>
      <c r="D448" s="4" t="s">
        <v>991</v>
      </c>
      <c r="E448" t="s">
        <v>83</v>
      </c>
      <c r="F448" s="5">
        <v>7419.36</v>
      </c>
      <c r="G448" t="s">
        <v>961</v>
      </c>
      <c r="H448">
        <v>5</v>
      </c>
      <c r="I448" t="s">
        <v>53</v>
      </c>
      <c r="L448" s="6"/>
      <c r="M448" s="6"/>
      <c r="N448" s="6"/>
      <c r="O448" s="5"/>
      <c r="P448" s="7" t="str">
        <f t="shared" si="42"/>
        <v/>
      </c>
      <c r="Q448" s="7" t="str">
        <f t="shared" si="43"/>
        <v/>
      </c>
      <c r="R448" s="7" t="str">
        <f t="shared" si="44"/>
        <v/>
      </c>
      <c r="S448" s="7">
        <f>IF($A448="","",IF(AND(LEFT($G448,3)="ДОК",$N448&lt;&gt;""),IFERROR(INDEX(Документация!$E$2:$E$57,MATCH($N448,Документация!$F$2:$F$57,0)),0),N($F448))*(1-MEDIAN(0,N(ДисконтТендер),1)))</f>
        <v>7419.36</v>
      </c>
      <c r="T448" s="7">
        <f>IF($A448="","",IF(AND(LEFT($G448,3)="ДОК",$N448&lt;&gt;""),0,IF(AND(LEFT($G448,3)&lt;&gt;"ДОК",$N448&lt;&gt;""),IFERROR(INDEX(МАТЕРИАЛЫ!$H$2:$H$9000,MATCH($N448,МАТЕРИАЛЫ!$L$2:$L$9000,0))*IF(INDEX(МАТЕРИАЛЫ!$I$2:$I$9000,MATCH($N448,МАТЕРИАЛЫ!$L$2:$L$9000,0))="USD",КурсUSD,IF(INDEX(МАТЕРИАЛЫ!$I$2:$I$9000,MATCH($N448,МАТЕРИАЛЫ!$L$2:$L$9000,0))="EUR",КурсEUR,IF(INDEX(МАТЕРИАЛЫ!$I$2:$I$9000,MATCH($N448,МАТЕРИАЛЫ!$L$2:$L$9000,0))="CNY",КурсCNY,1)))*(1+N($H448)/100),0),N($O448))*(1-MEDIAN(0,N(ДисконтТендер),1))))</f>
        <v>0</v>
      </c>
      <c r="U448" t="str">
        <f>IF($L448="да",MAX($U$1:$U447)+1,"")</f>
        <v/>
      </c>
      <c r="V448" t="str">
        <f t="shared" si="45"/>
        <v>Р5</v>
      </c>
      <c r="W448" t="str">
        <f t="shared" si="46"/>
        <v/>
      </c>
      <c r="X448" t="str">
        <f t="shared" si="47"/>
        <v/>
      </c>
      <c r="Y448" s="4" t="str">
        <f>IF($A448="","",IF(AND(LEFT($G448,3)="ДОК",$N448&lt;&gt;""),IFERROR(INDEX(Документация!$G$2:$G$57,MATCH($N448,Документация!$F$2:$F$57,0)),$D448),$D448&amp;IF(AND(LEFT($G448,3)&lt;&gt;"ДОК",$N448&lt;&gt;"")," — "&amp;IFERROR(INDEX(МАТЕРИАЛЫ!$C$2:$C$9000,MATCH($N448,МАТЕРИАЛЫ!$L$2:$L$9000,0)),""),"")))</f>
        <v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v>
      </c>
      <c r="Z448" t="str">
        <f t="shared" si="48"/>
        <v>Р5 · Водоснабжение и канализация</v>
      </c>
    </row>
    <row r="449" spans="1:26" ht="28.8" x14ac:dyDescent="0.3">
      <c r="A449" t="s">
        <v>992</v>
      </c>
      <c r="B449" t="s">
        <v>953</v>
      </c>
      <c r="C449" t="s">
        <v>194</v>
      </c>
      <c r="D449" s="4" t="s">
        <v>993</v>
      </c>
      <c r="E449" t="s">
        <v>153</v>
      </c>
      <c r="F449" s="5">
        <v>551.22</v>
      </c>
      <c r="G449" t="s">
        <v>964</v>
      </c>
      <c r="H449">
        <v>5</v>
      </c>
      <c r="I449" t="s">
        <v>53</v>
      </c>
      <c r="L449" s="6"/>
      <c r="M449" s="6"/>
      <c r="N449" s="6"/>
      <c r="O449" s="5"/>
      <c r="P449" s="7" t="str">
        <f t="shared" si="42"/>
        <v/>
      </c>
      <c r="Q449" s="7" t="str">
        <f t="shared" si="43"/>
        <v/>
      </c>
      <c r="R449" s="7" t="str">
        <f t="shared" si="44"/>
        <v/>
      </c>
      <c r="S449" s="7">
        <f>IF($A449="","",IF(AND(LEFT($G449,3)="ДОК",$N449&lt;&gt;""),IFERROR(INDEX(Документация!$E$2:$E$57,MATCH($N449,Документация!$F$2:$F$57,0)),0),N($F449))*(1-MEDIAN(0,N(ДисконтТендер),1)))</f>
        <v>551.22</v>
      </c>
      <c r="T449" s="7">
        <f>IF($A449="","",IF(AND(LEFT($G449,3)="ДОК",$N449&lt;&gt;""),0,IF(AND(LEFT($G449,3)&lt;&gt;"ДОК",$N449&lt;&gt;""),IFERROR(INDEX(МАТЕРИАЛЫ!$H$2:$H$9000,MATCH($N449,МАТЕРИАЛЫ!$L$2:$L$9000,0))*IF(INDEX(МАТЕРИАЛЫ!$I$2:$I$9000,MATCH($N449,МАТЕРИАЛЫ!$L$2:$L$9000,0))="USD",КурсUSD,IF(INDEX(МАТЕРИАЛЫ!$I$2:$I$9000,MATCH($N449,МАТЕРИАЛЫ!$L$2:$L$9000,0))="EUR",КурсEUR,IF(INDEX(МАТЕРИАЛЫ!$I$2:$I$9000,MATCH($N449,МАТЕРИАЛЫ!$L$2:$L$9000,0))="CNY",КурсCNY,1)))*(1+N($H449)/100),0),N($O449))*(1-MEDIAN(0,N(ДисконтТендер),1))))</f>
        <v>0</v>
      </c>
      <c r="U449" t="str">
        <f>IF($L449="да",MAX($U$1:$U448)+1,"")</f>
        <v/>
      </c>
      <c r="V449" t="str">
        <f t="shared" si="45"/>
        <v>Р5</v>
      </c>
      <c r="W449" t="str">
        <f t="shared" si="46"/>
        <v/>
      </c>
      <c r="X449" t="str">
        <f t="shared" si="47"/>
        <v/>
      </c>
      <c r="Y449" s="4" t="str">
        <f>IF($A449="","",IF(AND(LEFT($G449,3)="ДОК",$N449&lt;&gt;""),IFERROR(INDEX(Документация!$G$2:$G$57,MATCH($N449,Документация!$F$2:$F$57,0)),$D449),$D449&amp;IF(AND(LEFT($G449,3)&lt;&gt;"ДОК",$N449&lt;&gt;"")," — "&amp;IFERROR(INDEX(МАТЕРИАЛЫ!$C$2:$C$9000,MATCH($N449,МАТЕРИАЛЫ!$L$2:$L$9000,0)),""),"")))</f>
        <v>Монтаж трубопровода (отопление / водоснабжение)</v>
      </c>
      <c r="Z449" t="str">
        <f t="shared" si="48"/>
        <v>Р5 · Водоснабжение и канализация</v>
      </c>
    </row>
    <row r="450" spans="1:26" ht="28.8" x14ac:dyDescent="0.3">
      <c r="A450" t="s">
        <v>994</v>
      </c>
      <c r="B450" t="s">
        <v>953</v>
      </c>
      <c r="C450" t="s">
        <v>194</v>
      </c>
      <c r="D450" s="4" t="s">
        <v>995</v>
      </c>
      <c r="E450" t="s">
        <v>114</v>
      </c>
      <c r="F450" s="5">
        <v>886.23</v>
      </c>
      <c r="G450" t="s">
        <v>961</v>
      </c>
      <c r="H450">
        <v>5</v>
      </c>
      <c r="I450" t="s">
        <v>53</v>
      </c>
      <c r="L450" s="6"/>
      <c r="M450" s="6"/>
      <c r="N450" s="6"/>
      <c r="O450" s="5"/>
      <c r="P450" s="7" t="str">
        <f t="shared" ref="P450:P513" si="49">IF($L450="да",ROUND(N($M450)*$S450,2),"")</f>
        <v/>
      </c>
      <c r="Q450" s="7" t="str">
        <f t="shared" ref="Q450:Q513" si="50">IF($L450="да",ROUND(N($M450)*$T450,2),"")</f>
        <v/>
      </c>
      <c r="R450" s="7" t="str">
        <f t="shared" ref="R450:R513" si="51">IF($L450="да",N($P450)+N($Q450),"")</f>
        <v/>
      </c>
      <c r="S450" s="7">
        <f>IF($A450="","",IF(AND(LEFT($G450,3)="ДОК",$N450&lt;&gt;""),IFERROR(INDEX(Документация!$E$2:$E$57,MATCH($N450,Документация!$F$2:$F$57,0)),0),N($F450))*(1-MEDIAN(0,N(ДисконтТендер),1)))</f>
        <v>886.23</v>
      </c>
      <c r="T450" s="7">
        <f>IF($A450="","",IF(AND(LEFT($G450,3)="ДОК",$N450&lt;&gt;""),0,IF(AND(LEFT($G450,3)&lt;&gt;"ДОК",$N450&lt;&gt;""),IFERROR(INDEX(МАТЕРИАЛЫ!$H$2:$H$9000,MATCH($N450,МАТЕРИАЛЫ!$L$2:$L$9000,0))*IF(INDEX(МАТЕРИАЛЫ!$I$2:$I$9000,MATCH($N450,МАТЕРИАЛЫ!$L$2:$L$9000,0))="USD",КурсUSD,IF(INDEX(МАТЕРИАЛЫ!$I$2:$I$9000,MATCH($N450,МАТЕРИАЛЫ!$L$2:$L$9000,0))="EUR",КурсEUR,IF(INDEX(МАТЕРИАЛЫ!$I$2:$I$9000,MATCH($N450,МАТЕРИАЛЫ!$L$2:$L$9000,0))="CNY",КурсCNY,1)))*(1+N($H450)/100),0),N($O450))*(1-MEDIAN(0,N(ДисконтТендер),1))))</f>
        <v>0</v>
      </c>
      <c r="U450" t="str">
        <f>IF($L450="да",MAX($U$1:$U449)+1,"")</f>
        <v/>
      </c>
      <c r="V450" t="str">
        <f t="shared" ref="V450:V513" si="52">IF($A450="","",$B450)</f>
        <v>Р5</v>
      </c>
      <c r="W450" t="str">
        <f t="shared" ref="W450:W513" si="53">IF($U450="","",IF($U450=1,1,IF($V450&lt;&gt;IFERROR(INDEX($V$2:$V$1058,MATCH($U450-1,$U$2:$U$1058,0)),"~"),1,0)))</f>
        <v/>
      </c>
      <c r="X450" t="str">
        <f t="shared" ref="X450:X513" si="54">IF($U450="","",$U450+SUMIFS($W$2:$W$1058,$U$2:$U$1058,"&lt;="&amp;$U450))</f>
        <v/>
      </c>
      <c r="Y450" s="4" t="str">
        <f>IF($A450="","",IF(AND(LEFT($G450,3)="ДОК",$N450&lt;&gt;""),IFERROR(INDEX(Документация!$G$2:$G$57,MATCH($N450,Документация!$F$2:$F$57,0)),$D450),$D450&amp;IF(AND(LEFT($G450,3)&lt;&gt;"ДОК",$N450&lt;&gt;"")," — "&amp;IFERROR(INDEX(МАТЕРИАЛЫ!$C$2:$C$9000,MATCH($N450,МАТЕРИАЛЫ!$L$2:$L$9000,0)),""),"")))</f>
        <v>Монтаж арматуры и фасонных частей (ВК / отопление)</v>
      </c>
      <c r="Z450" t="str">
        <f t="shared" ref="Z450:Z513" si="55">IF($B450="","",$B450&amp;" · "&amp;IFERROR(VLOOKUP($B450,спрРазделы,2,0),""))</f>
        <v>Р5 · Водоснабжение и канализация</v>
      </c>
    </row>
    <row r="451" spans="1:26" ht="28.8" x14ac:dyDescent="0.3">
      <c r="A451" t="s">
        <v>996</v>
      </c>
      <c r="B451" t="s">
        <v>953</v>
      </c>
      <c r="C451" t="s">
        <v>194</v>
      </c>
      <c r="D451" s="4" t="s">
        <v>997</v>
      </c>
      <c r="E451" t="s">
        <v>153</v>
      </c>
      <c r="F451" s="5">
        <v>610.74</v>
      </c>
      <c r="G451" t="s">
        <v>964</v>
      </c>
      <c r="H451">
        <v>5</v>
      </c>
      <c r="I451" t="s">
        <v>53</v>
      </c>
      <c r="L451" s="6"/>
      <c r="M451" s="6"/>
      <c r="N451" s="6"/>
      <c r="O451" s="5"/>
      <c r="P451" s="7" t="str">
        <f t="shared" si="49"/>
        <v/>
      </c>
      <c r="Q451" s="7" t="str">
        <f t="shared" si="50"/>
        <v/>
      </c>
      <c r="R451" s="7" t="str">
        <f t="shared" si="51"/>
        <v/>
      </c>
      <c r="S451" s="7">
        <f>IF($A451="","",IF(AND(LEFT($G451,3)="ДОК",$N451&lt;&gt;""),IFERROR(INDEX(Документация!$E$2:$E$57,MATCH($N451,Документация!$F$2:$F$57,0)),0),N($F451))*(1-MEDIAN(0,N(ДисконтТендер),1)))</f>
        <v>610.74</v>
      </c>
      <c r="T451" s="7">
        <f>IF($A451="","",IF(AND(LEFT($G451,3)="ДОК",$N451&lt;&gt;""),0,IF(AND(LEFT($G451,3)&lt;&gt;"ДОК",$N451&lt;&gt;""),IFERROR(INDEX(МАТЕРИАЛЫ!$H$2:$H$9000,MATCH($N451,МАТЕРИАЛЫ!$L$2:$L$9000,0))*IF(INDEX(МАТЕРИАЛЫ!$I$2:$I$9000,MATCH($N451,МАТЕРИАЛЫ!$L$2:$L$9000,0))="USD",КурсUSD,IF(INDEX(МАТЕРИАЛЫ!$I$2:$I$9000,MATCH($N451,МАТЕРИАЛЫ!$L$2:$L$9000,0))="EUR",КурсEUR,IF(INDEX(МАТЕРИАЛЫ!$I$2:$I$9000,MATCH($N451,МАТЕРИАЛЫ!$L$2:$L$9000,0))="CNY",КурсCNY,1)))*(1+N($H451)/100),0),N($O451))*(1-MEDIAN(0,N(ДисконтТендер),1))))</f>
        <v>0</v>
      </c>
      <c r="U451" t="str">
        <f>IF($L451="да",MAX($U$1:$U450)+1,"")</f>
        <v/>
      </c>
      <c r="V451" t="str">
        <f t="shared" si="52"/>
        <v>Р5</v>
      </c>
      <c r="W451" t="str">
        <f t="shared" si="53"/>
        <v/>
      </c>
      <c r="X451" t="str">
        <f t="shared" si="54"/>
        <v/>
      </c>
      <c r="Y451" s="4" t="str">
        <f>IF($A451="","",IF(AND(LEFT($G451,3)="ДОК",$N451&lt;&gt;""),IFERROR(INDEX(Документация!$G$2:$G$57,MATCH($N451,Документация!$F$2:$F$57,0)),$D451),$D451&amp;IF(AND(LEFT($G451,3)&lt;&gt;"ДОК",$N451&lt;&gt;"")," — "&amp;IFERROR(INDEX(МАТЕРИАЛЫ!$C$2:$C$9000,MATCH($N451,МАТЕРИАЛЫ!$L$2:$L$9000,0)),""),"")))</f>
        <v>Монтаж трубопроводов канализации из полипропиленовых труб диаметром 50 мм</v>
      </c>
      <c r="Z451" t="str">
        <f t="shared" si="55"/>
        <v>Р5 · Водоснабжение и канализация</v>
      </c>
    </row>
    <row r="452" spans="1:26" ht="43.2" x14ac:dyDescent="0.3">
      <c r="A452" t="s">
        <v>998</v>
      </c>
      <c r="B452" t="s">
        <v>953</v>
      </c>
      <c r="C452" t="s">
        <v>194</v>
      </c>
      <c r="D452" s="4" t="s">
        <v>999</v>
      </c>
      <c r="E452" t="s">
        <v>153</v>
      </c>
      <c r="F452" s="5">
        <v>2149.84</v>
      </c>
      <c r="G452" t="s">
        <v>964</v>
      </c>
      <c r="H452">
        <v>5</v>
      </c>
      <c r="I452" t="s">
        <v>53</v>
      </c>
      <c r="L452" s="6"/>
      <c r="M452" s="6"/>
      <c r="N452" s="6"/>
      <c r="O452" s="5"/>
      <c r="P452" s="7" t="str">
        <f t="shared" si="49"/>
        <v/>
      </c>
      <c r="Q452" s="7" t="str">
        <f t="shared" si="50"/>
        <v/>
      </c>
      <c r="R452" s="7" t="str">
        <f t="shared" si="51"/>
        <v/>
      </c>
      <c r="S452" s="7">
        <f>IF($A452="","",IF(AND(LEFT($G452,3)="ДОК",$N452&lt;&gt;""),IFERROR(INDEX(Документация!$E$2:$E$57,MATCH($N452,Документация!$F$2:$F$57,0)),0),N($F452))*(1-MEDIAN(0,N(ДисконтТендер),1)))</f>
        <v>2149.84</v>
      </c>
      <c r="T452" s="7">
        <f>IF($A452="","",IF(AND(LEFT($G452,3)="ДОК",$N452&lt;&gt;""),0,IF(AND(LEFT($G452,3)&lt;&gt;"ДОК",$N452&lt;&gt;""),IFERROR(INDEX(МАТЕРИАЛЫ!$H$2:$H$9000,MATCH($N452,МАТЕРИАЛЫ!$L$2:$L$9000,0))*IF(INDEX(МАТЕРИАЛЫ!$I$2:$I$9000,MATCH($N452,МАТЕРИАЛЫ!$L$2:$L$9000,0))="USD",КурсUSD,IF(INDEX(МАТЕРИАЛЫ!$I$2:$I$9000,MATCH($N452,МАТЕРИАЛЫ!$L$2:$L$9000,0))="EUR",КурсEUR,IF(INDEX(МАТЕРИАЛЫ!$I$2:$I$9000,MATCH($N452,МАТЕРИАЛЫ!$L$2:$L$9000,0))="CNY",КурсCNY,1)))*(1+N($H452)/100),0),N($O452))*(1-MEDIAN(0,N(ДисконтТендер),1))))</f>
        <v>0</v>
      </c>
      <c r="U452" t="str">
        <f>IF($L452="да",MAX($U$1:$U451)+1,"")</f>
        <v/>
      </c>
      <c r="V452" t="str">
        <f t="shared" si="52"/>
        <v>Р5</v>
      </c>
      <c r="W452" t="str">
        <f t="shared" si="53"/>
        <v/>
      </c>
      <c r="X452" t="str">
        <f t="shared" si="54"/>
        <v/>
      </c>
      <c r="Y452" s="4" t="str">
        <f>IF($A452="","",IF(AND(LEFT($G452,3)="ДОК",$N452&lt;&gt;""),IFERROR(INDEX(Документация!$G$2:$G$57,MATCH($N452,Документация!$F$2:$F$57,0)),$D452),$D452&amp;IF(AND(LEFT($G452,3)&lt;&gt;"ДОК",$N452&lt;&gt;"")," — "&amp;IFERROR(INDEX(МАТЕРИАЛЫ!$C$2:$C$9000,MATCH($N452,МАТЕРИАЛЫ!$L$2:$L$9000,0)),""),"")))</f>
        <v>Прокладка канализации Ду50 (Труба канализационная чугунная безраструбная Duker SML Ду50)</v>
      </c>
      <c r="Z452" t="str">
        <f t="shared" si="55"/>
        <v>Р5 · Водоснабжение и канализация</v>
      </c>
    </row>
    <row r="453" spans="1:26" ht="43.2" x14ac:dyDescent="0.3">
      <c r="A453" t="s">
        <v>1000</v>
      </c>
      <c r="B453" t="s">
        <v>953</v>
      </c>
      <c r="C453" t="s">
        <v>194</v>
      </c>
      <c r="D453" s="4" t="s">
        <v>1001</v>
      </c>
      <c r="E453" t="s">
        <v>153</v>
      </c>
      <c r="F453" s="5">
        <v>561.9</v>
      </c>
      <c r="G453" t="s">
        <v>964</v>
      </c>
      <c r="H453">
        <v>5</v>
      </c>
      <c r="I453" t="s">
        <v>53</v>
      </c>
      <c r="L453" s="6"/>
      <c r="M453" s="6"/>
      <c r="N453" s="6"/>
      <c r="O453" s="5"/>
      <c r="P453" s="7" t="str">
        <f t="shared" si="49"/>
        <v/>
      </c>
      <c r="Q453" s="7" t="str">
        <f t="shared" si="50"/>
        <v/>
      </c>
      <c r="R453" s="7" t="str">
        <f t="shared" si="51"/>
        <v/>
      </c>
      <c r="S453" s="7">
        <f>IF($A453="","",IF(AND(LEFT($G453,3)="ДОК",$N453&lt;&gt;""),IFERROR(INDEX(Документация!$E$2:$E$57,MATCH($N453,Документация!$F$2:$F$57,0)),0),N($F453))*(1-MEDIAN(0,N(ДисконтТендер),1)))</f>
        <v>561.9</v>
      </c>
      <c r="T453" s="7">
        <f>IF($A453="","",IF(AND(LEFT($G453,3)="ДОК",$N453&lt;&gt;""),0,IF(AND(LEFT($G453,3)&lt;&gt;"ДОК",$N453&lt;&gt;""),IFERROR(INDEX(МАТЕРИАЛЫ!$H$2:$H$9000,MATCH($N453,МАТЕРИАЛЫ!$L$2:$L$9000,0))*IF(INDEX(МАТЕРИАЛЫ!$I$2:$I$9000,MATCH($N453,МАТЕРИАЛЫ!$L$2:$L$9000,0))="USD",КурсUSD,IF(INDEX(МАТЕРИАЛЫ!$I$2:$I$9000,MATCH($N453,МАТЕРИАЛЫ!$L$2:$L$9000,0))="EUR",КурсEUR,IF(INDEX(МАТЕРИАЛЫ!$I$2:$I$9000,MATCH($N453,МАТЕРИАЛЫ!$L$2:$L$9000,0))="CNY",КурсCNY,1)))*(1+N($H453)/100),0),N($O453))*(1-MEDIAN(0,N(ДисконтТендер),1))))</f>
        <v>0</v>
      </c>
      <c r="U453" t="str">
        <f>IF($L453="да",MAX($U$1:$U452)+1,"")</f>
        <v/>
      </c>
      <c r="V453" t="str">
        <f t="shared" si="52"/>
        <v>Р5</v>
      </c>
      <c r="W453" t="str">
        <f t="shared" si="53"/>
        <v/>
      </c>
      <c r="X453" t="str">
        <f t="shared" si="54"/>
        <v/>
      </c>
      <c r="Y453" s="4" t="str">
        <f>IF($A453="","",IF(AND(LEFT($G453,3)="ДОК",$N453&lt;&gt;""),IFERROR(INDEX(Документация!$G$2:$G$57,MATCH($N453,Документация!$F$2:$F$57,0)),$D453),$D453&amp;IF(AND(LEFT($G453,3)&lt;&gt;"ДОК",$N453&lt;&gt;"")," — "&amp;IFERROR(INDEX(МАТЕРИАЛЫ!$C$2:$C$9000,MATCH($N453,МАТЕРИАЛЫ!$L$2:$L$9000,0)),""),"")))</f>
        <v>Прокладка канализации Ду50 скрыто в штробах и коробах (Труба канализационная раструбная ПНД Ду50)</v>
      </c>
      <c r="Z453" t="str">
        <f t="shared" si="55"/>
        <v>Р5 · Водоснабжение и канализация</v>
      </c>
    </row>
    <row r="454" spans="1:26" ht="28.8" x14ac:dyDescent="0.3">
      <c r="A454" t="s">
        <v>1002</v>
      </c>
      <c r="B454" t="s">
        <v>953</v>
      </c>
      <c r="C454" t="s">
        <v>194</v>
      </c>
      <c r="D454" s="4" t="s">
        <v>1003</v>
      </c>
      <c r="E454" t="s">
        <v>153</v>
      </c>
      <c r="F454" s="5">
        <v>746.46</v>
      </c>
      <c r="G454" t="s">
        <v>964</v>
      </c>
      <c r="H454">
        <v>5</v>
      </c>
      <c r="I454" t="s">
        <v>53</v>
      </c>
      <c r="L454" s="6"/>
      <c r="M454" s="6"/>
      <c r="N454" s="6"/>
      <c r="O454" s="5"/>
      <c r="P454" s="7" t="str">
        <f t="shared" si="49"/>
        <v/>
      </c>
      <c r="Q454" s="7" t="str">
        <f t="shared" si="50"/>
        <v/>
      </c>
      <c r="R454" s="7" t="str">
        <f t="shared" si="51"/>
        <v/>
      </c>
      <c r="S454" s="7">
        <f>IF($A454="","",IF(AND(LEFT($G454,3)="ДОК",$N454&lt;&gt;""),IFERROR(INDEX(Документация!$E$2:$E$57,MATCH($N454,Документация!$F$2:$F$57,0)),0),N($F454))*(1-MEDIAN(0,N(ДисконтТендер),1)))</f>
        <v>746.46</v>
      </c>
      <c r="T454" s="7">
        <f>IF($A454="","",IF(AND(LEFT($G454,3)="ДОК",$N454&lt;&gt;""),0,IF(AND(LEFT($G454,3)&lt;&gt;"ДОК",$N454&lt;&gt;""),IFERROR(INDEX(МАТЕРИАЛЫ!$H$2:$H$9000,MATCH($N454,МАТЕРИАЛЫ!$L$2:$L$9000,0))*IF(INDEX(МАТЕРИАЛЫ!$I$2:$I$9000,MATCH($N454,МАТЕРИАЛЫ!$L$2:$L$9000,0))="USD",КурсUSD,IF(INDEX(МАТЕРИАЛЫ!$I$2:$I$9000,MATCH($N454,МАТЕРИАЛЫ!$L$2:$L$9000,0))="EUR",КурсEUR,IF(INDEX(МАТЕРИАЛЫ!$I$2:$I$9000,MATCH($N454,МАТЕРИАЛЫ!$L$2:$L$9000,0))="CNY",КурсCNY,1)))*(1+N($H454)/100),0),N($O454))*(1-MEDIAN(0,N(ДисконтТендер),1))))</f>
        <v>0</v>
      </c>
      <c r="U454" t="str">
        <f>IF($L454="да",MAX($U$1:$U453)+1,"")</f>
        <v/>
      </c>
      <c r="V454" t="str">
        <f t="shared" si="52"/>
        <v>Р5</v>
      </c>
      <c r="W454" t="str">
        <f t="shared" si="53"/>
        <v/>
      </c>
      <c r="X454" t="str">
        <f t="shared" si="54"/>
        <v/>
      </c>
      <c r="Y454" s="4" t="str">
        <f>IF($A454="","",IF(AND(LEFT($G454,3)="ДОК",$N454&lt;&gt;""),IFERROR(INDEX(Документация!$G$2:$G$57,MATCH($N454,Документация!$F$2:$F$57,0)),$D454),$D454&amp;IF(AND(LEFT($G454,3)&lt;&gt;"ДОК",$N454&lt;&gt;"")," — "&amp;IFERROR(INDEX(МАТЕРИАЛЫ!$C$2:$C$9000,MATCH($N454,МАТЕРИАЛЫ!$L$2:$L$9000,0)),""),"")))</f>
        <v>Монтаж трубопроводов канализации из полипропиленовых труб диаметром 110 мм</v>
      </c>
      <c r="Z454" t="str">
        <f t="shared" si="55"/>
        <v>Р5 · Водоснабжение и канализация</v>
      </c>
    </row>
    <row r="455" spans="1:26" x14ac:dyDescent="0.3">
      <c r="A455" t="s">
        <v>1004</v>
      </c>
      <c r="B455" t="s">
        <v>953</v>
      </c>
      <c r="C455" t="s">
        <v>194</v>
      </c>
      <c r="D455" s="4" t="s">
        <v>1005</v>
      </c>
      <c r="E455" t="s">
        <v>114</v>
      </c>
      <c r="F455" s="5">
        <v>539.75</v>
      </c>
      <c r="H455">
        <v>0</v>
      </c>
      <c r="I455" t="s">
        <v>53</v>
      </c>
      <c r="L455" s="6"/>
      <c r="M455" s="6"/>
      <c r="N455" s="6"/>
      <c r="O455" s="5"/>
      <c r="P455" s="7" t="str">
        <f t="shared" si="49"/>
        <v/>
      </c>
      <c r="Q455" s="7" t="str">
        <f t="shared" si="50"/>
        <v/>
      </c>
      <c r="R455" s="7" t="str">
        <f t="shared" si="51"/>
        <v/>
      </c>
      <c r="S455" s="7">
        <f>IF($A455="","",IF(AND(LEFT($G455,3)="ДОК",$N455&lt;&gt;""),IFERROR(INDEX(Документация!$E$2:$E$57,MATCH($N455,Документация!$F$2:$F$57,0)),0),N($F455))*(1-MEDIAN(0,N(ДисконтТендер),1)))</f>
        <v>539.75</v>
      </c>
      <c r="T455" s="7">
        <f>IF($A455="","",IF(AND(LEFT($G455,3)="ДОК",$N455&lt;&gt;""),0,IF(AND(LEFT($G455,3)&lt;&gt;"ДОК",$N455&lt;&gt;""),IFERROR(INDEX(МАТЕРИАЛЫ!$H$2:$H$9000,MATCH($N455,МАТЕРИАЛЫ!$L$2:$L$9000,0))*IF(INDEX(МАТЕРИАЛЫ!$I$2:$I$9000,MATCH($N455,МАТЕРИАЛЫ!$L$2:$L$9000,0))="USD",КурсUSD,IF(INDEX(МАТЕРИАЛЫ!$I$2:$I$9000,MATCH($N455,МАТЕРИАЛЫ!$L$2:$L$9000,0))="EUR",КурсEUR,IF(INDEX(МАТЕРИАЛЫ!$I$2:$I$9000,MATCH($N455,МАТЕРИАЛЫ!$L$2:$L$9000,0))="CNY",КурсCNY,1)))*(1+N($H455)/100),0),N($O455))*(1-MEDIAN(0,N(ДисконтТендер),1))))</f>
        <v>0</v>
      </c>
      <c r="U455" t="str">
        <f>IF($L455="да",MAX($U$1:$U454)+1,"")</f>
        <v/>
      </c>
      <c r="V455" t="str">
        <f t="shared" si="52"/>
        <v>Р5</v>
      </c>
      <c r="W455" t="str">
        <f t="shared" si="53"/>
        <v/>
      </c>
      <c r="X455" t="str">
        <f t="shared" si="54"/>
        <v/>
      </c>
      <c r="Y455" s="4" t="str">
        <f>IF($A455="","",IF(AND(LEFT($G455,3)="ДОК",$N455&lt;&gt;""),IFERROR(INDEX(Документация!$G$2:$G$57,MATCH($N455,Документация!$F$2:$F$57,0)),$D455),$D455&amp;IF(AND(LEFT($G455,3)&lt;&gt;"ДОК",$N455&lt;&gt;"")," — "&amp;IFERROR(INDEX(МАТЕРИАЛЫ!$C$2:$C$9000,MATCH($N455,МАТЕРИАЛЫ!$L$2:$L$9000,0)),""),"")))</f>
        <v>Подводка гибкая сантехническая</v>
      </c>
      <c r="Z455" t="str">
        <f t="shared" si="55"/>
        <v>Р5 · Водоснабжение и канализация</v>
      </c>
    </row>
    <row r="456" spans="1:26" ht="57.6" x14ac:dyDescent="0.3">
      <c r="A456" t="s">
        <v>1006</v>
      </c>
      <c r="B456" t="s">
        <v>953</v>
      </c>
      <c r="C456" t="s">
        <v>194</v>
      </c>
      <c r="D456" s="4" t="s">
        <v>1007</v>
      </c>
      <c r="E456" t="s">
        <v>153</v>
      </c>
      <c r="F456" s="5">
        <v>829.44</v>
      </c>
      <c r="H456">
        <v>0</v>
      </c>
      <c r="I456" t="s">
        <v>53</v>
      </c>
      <c r="L456" s="6"/>
      <c r="M456" s="6"/>
      <c r="N456" s="6"/>
      <c r="O456" s="5"/>
      <c r="P456" s="7" t="str">
        <f t="shared" si="49"/>
        <v/>
      </c>
      <c r="Q456" s="7" t="str">
        <f t="shared" si="50"/>
        <v/>
      </c>
      <c r="R456" s="7" t="str">
        <f t="shared" si="51"/>
        <v/>
      </c>
      <c r="S456" s="7">
        <f>IF($A456="","",IF(AND(LEFT($G456,3)="ДОК",$N456&lt;&gt;""),IFERROR(INDEX(Документация!$E$2:$E$57,MATCH($N456,Документация!$F$2:$F$57,0)),0),N($F456))*(1-MEDIAN(0,N(ДисконтТендер),1)))</f>
        <v>829.44</v>
      </c>
      <c r="T456" s="7">
        <f>IF($A456="","",IF(AND(LEFT($G456,3)="ДОК",$N456&lt;&gt;""),0,IF(AND(LEFT($G456,3)&lt;&gt;"ДОК",$N456&lt;&gt;""),IFERROR(INDEX(МАТЕРИАЛЫ!$H$2:$H$9000,MATCH($N456,МАТЕРИАЛЫ!$L$2:$L$9000,0))*IF(INDEX(МАТЕРИАЛЫ!$I$2:$I$9000,MATCH($N456,МАТЕРИАЛЫ!$L$2:$L$9000,0))="USD",КурсUSD,IF(INDEX(МАТЕРИАЛЫ!$I$2:$I$9000,MATCH($N456,МАТЕРИАЛЫ!$L$2:$L$9000,0))="EUR",КурсEUR,IF(INDEX(МАТЕРИАЛЫ!$I$2:$I$9000,MATCH($N456,МАТЕРИАЛЫ!$L$2:$L$9000,0))="CNY",КурсCNY,1)))*(1+N($H456)/100),0),N($O456))*(1-MEDIAN(0,N(ДисконтТендер),1))))</f>
        <v>0</v>
      </c>
      <c r="U456" t="str">
        <f>IF($L456="да",MAX($U$1:$U455)+1,"")</f>
        <v/>
      </c>
      <c r="V456" t="str">
        <f t="shared" si="52"/>
        <v>Р5</v>
      </c>
      <c r="W456" t="str">
        <f t="shared" si="53"/>
        <v/>
      </c>
      <c r="X456" t="str">
        <f t="shared" si="54"/>
        <v/>
      </c>
      <c r="Y456" s="4" t="str">
        <f>IF($A456="","",IF(AND(LEFT($G456,3)="ДОК",$N456&lt;&gt;""),IFERROR(INDEX(Документация!$G$2:$G$57,MATCH($N456,Документация!$F$2:$F$57,0)),$D456),$D456&amp;IF(AND(LEFT($G456,3)&lt;&gt;"ДОК",$N456&lt;&gt;"")," — "&amp;IFERROR(INDEX(МАТЕРИАЛЫ!$C$2:$C$9000,MATCH($N456,МАТЕРИАЛЫ!$L$2:$L$9000,0)),""),"")))</f>
        <v>Прокладка сетей холодного и горячего водопровода ДУ15 в подвале открыто (Труба водопроводная сшитый полипропилен + Изоляция Thermoflex Ду 15)</v>
      </c>
      <c r="Z456" t="str">
        <f t="shared" si="55"/>
        <v>Р5 · Водоснабжение и канализация</v>
      </c>
    </row>
    <row r="457" spans="1:26" x14ac:dyDescent="0.3">
      <c r="A457" t="s">
        <v>1008</v>
      </c>
      <c r="B457" t="s">
        <v>953</v>
      </c>
      <c r="C457" t="s">
        <v>194</v>
      </c>
      <c r="D457" s="4" t="s">
        <v>1009</v>
      </c>
      <c r="E457" t="s">
        <v>153</v>
      </c>
      <c r="F457" s="5">
        <v>278.23</v>
      </c>
      <c r="H457">
        <v>0</v>
      </c>
      <c r="I457" t="s">
        <v>53</v>
      </c>
      <c r="L457" s="6"/>
      <c r="M457" s="6"/>
      <c r="N457" s="6"/>
      <c r="O457" s="5"/>
      <c r="P457" s="7" t="str">
        <f t="shared" si="49"/>
        <v/>
      </c>
      <c r="Q457" s="7" t="str">
        <f t="shared" si="50"/>
        <v/>
      </c>
      <c r="R457" s="7" t="str">
        <f t="shared" si="51"/>
        <v/>
      </c>
      <c r="S457" s="7">
        <f>IF($A457="","",IF(AND(LEFT($G457,3)="ДОК",$N457&lt;&gt;""),IFERROR(INDEX(Документация!$E$2:$E$57,MATCH($N457,Документация!$F$2:$F$57,0)),0),N($F457))*(1-MEDIAN(0,N(ДисконтТендер),1)))</f>
        <v>278.23</v>
      </c>
      <c r="T457" s="7">
        <f>IF($A457="","",IF(AND(LEFT($G457,3)="ДОК",$N457&lt;&gt;""),0,IF(AND(LEFT($G457,3)&lt;&gt;"ДОК",$N457&lt;&gt;""),IFERROR(INDEX(МАТЕРИАЛЫ!$H$2:$H$9000,MATCH($N457,МАТЕРИАЛЫ!$L$2:$L$9000,0))*IF(INDEX(МАТЕРИАЛЫ!$I$2:$I$9000,MATCH($N457,МАТЕРИАЛЫ!$L$2:$L$9000,0))="USD",КурсUSD,IF(INDEX(МАТЕРИАЛЫ!$I$2:$I$9000,MATCH($N457,МАТЕРИАЛЫ!$L$2:$L$9000,0))="EUR",КурсEUR,IF(INDEX(МАТЕРИАЛЫ!$I$2:$I$9000,MATCH($N457,МАТЕРИАЛЫ!$L$2:$L$9000,0))="CNY",КурсCNY,1)))*(1+N($H457)/100),0),N($O457))*(1-MEDIAN(0,N(ДисконтТендер),1))))</f>
        <v>0</v>
      </c>
      <c r="U457" t="str">
        <f>IF($L457="да",MAX($U$1:$U456)+1,"")</f>
        <v/>
      </c>
      <c r="V457" t="str">
        <f t="shared" si="52"/>
        <v>Р5</v>
      </c>
      <c r="W457" t="str">
        <f t="shared" si="53"/>
        <v/>
      </c>
      <c r="X457" t="str">
        <f t="shared" si="54"/>
        <v/>
      </c>
      <c r="Y457" s="4" t="str">
        <f>IF($A457="","",IF(AND(LEFT($G457,3)="ДОК",$N457&lt;&gt;""),IFERROR(INDEX(Документация!$G$2:$G$57,MATCH($N457,Документация!$F$2:$F$57,0)),$D457),$D457&amp;IF(AND(LEFT($G457,3)&lt;&gt;"ДОК",$N457&lt;&gt;"")," — "&amp;IFERROR(INDEX(МАТЕРИАЛЫ!$C$2:$C$9000,MATCH($N457,МАТЕРИАЛЫ!$L$2:$L$9000,0)),""),"")))</f>
        <v>Изоляция Thermoflex Ду 32</v>
      </c>
      <c r="Z457" t="str">
        <f t="shared" si="55"/>
        <v>Р5 · Водоснабжение и канализация</v>
      </c>
    </row>
    <row r="458" spans="1:26" ht="28.8" x14ac:dyDescent="0.3">
      <c r="A458" t="s">
        <v>1010</v>
      </c>
      <c r="B458" t="s">
        <v>953</v>
      </c>
      <c r="C458" t="s">
        <v>194</v>
      </c>
      <c r="D458" s="4" t="s">
        <v>1011</v>
      </c>
      <c r="E458" t="s">
        <v>114</v>
      </c>
      <c r="F458" s="5">
        <v>531.71</v>
      </c>
      <c r="G458" t="s">
        <v>964</v>
      </c>
      <c r="H458">
        <v>5</v>
      </c>
      <c r="I458" t="s">
        <v>53</v>
      </c>
      <c r="L458" s="6"/>
      <c r="M458" s="6"/>
      <c r="N458" s="6"/>
      <c r="O458" s="5"/>
      <c r="P458" s="7" t="str">
        <f t="shared" si="49"/>
        <v/>
      </c>
      <c r="Q458" s="7" t="str">
        <f t="shared" si="50"/>
        <v/>
      </c>
      <c r="R458" s="7" t="str">
        <f t="shared" si="51"/>
        <v/>
      </c>
      <c r="S458" s="7">
        <f>IF($A458="","",IF(AND(LEFT($G458,3)="ДОК",$N458&lt;&gt;""),IFERROR(INDEX(Документация!$E$2:$E$57,MATCH($N458,Документация!$F$2:$F$57,0)),0),N($F458))*(1-MEDIAN(0,N(ДисконтТендер),1)))</f>
        <v>531.71</v>
      </c>
      <c r="T458" s="7">
        <f>IF($A458="","",IF(AND(LEFT($G458,3)="ДОК",$N458&lt;&gt;""),0,IF(AND(LEFT($G458,3)&lt;&gt;"ДОК",$N458&lt;&gt;""),IFERROR(INDEX(МАТЕРИАЛЫ!$H$2:$H$9000,MATCH($N458,МАТЕРИАЛЫ!$L$2:$L$9000,0))*IF(INDEX(МАТЕРИАЛЫ!$I$2:$I$9000,MATCH($N458,МАТЕРИАЛЫ!$L$2:$L$9000,0))="USD",КурсUSD,IF(INDEX(МАТЕРИАЛЫ!$I$2:$I$9000,MATCH($N458,МАТЕРИАЛЫ!$L$2:$L$9000,0))="EUR",КурсEUR,IF(INDEX(МАТЕРИАЛЫ!$I$2:$I$9000,MATCH($N458,МАТЕРИАЛЫ!$L$2:$L$9000,0))="CNY",КурсCNY,1)))*(1+N($H458)/100),0),N($O458))*(1-MEDIAN(0,N(ДисконтТендер),1))))</f>
        <v>0</v>
      </c>
      <c r="U458" t="str">
        <f>IF($L458="да",MAX($U$1:$U457)+1,"")</f>
        <v/>
      </c>
      <c r="V458" t="str">
        <f t="shared" si="52"/>
        <v>Р5</v>
      </c>
      <c r="W458" t="str">
        <f t="shared" si="53"/>
        <v/>
      </c>
      <c r="X458" t="str">
        <f t="shared" si="54"/>
        <v/>
      </c>
      <c r="Y458" s="4" t="str">
        <f>IF($A458="","",IF(AND(LEFT($G458,3)="ДОК",$N458&lt;&gt;""),IFERROR(INDEX(Документация!$G$2:$G$57,MATCH($N458,Документация!$F$2:$F$57,0)),$D458),$D458&amp;IF(AND(LEFT($G458,3)&lt;&gt;"ДОК",$N458&lt;&gt;"")," — "&amp;IFERROR(INDEX(МАТЕРИАЛЫ!$C$2:$C$9000,MATCH($N458,МАТЕРИАЛЫ!$L$2:$L$9000,0)),""),"")))</f>
        <v>Проход стояков 2хДу15 через перекрытие в гильзах</v>
      </c>
      <c r="Z458" t="str">
        <f t="shared" si="55"/>
        <v>Р5 · Водоснабжение и канализация</v>
      </c>
    </row>
    <row r="459" spans="1:26" ht="28.8" x14ac:dyDescent="0.3">
      <c r="A459" t="s">
        <v>1012</v>
      </c>
      <c r="B459" t="s">
        <v>953</v>
      </c>
      <c r="C459" t="s">
        <v>194</v>
      </c>
      <c r="D459" s="4" t="s">
        <v>1013</v>
      </c>
      <c r="E459" t="s">
        <v>114</v>
      </c>
      <c r="F459" s="5">
        <v>844.73</v>
      </c>
      <c r="H459">
        <v>0</v>
      </c>
      <c r="I459" t="s">
        <v>53</v>
      </c>
      <c r="L459" s="6"/>
      <c r="M459" s="6"/>
      <c r="N459" s="6"/>
      <c r="O459" s="5"/>
      <c r="P459" s="7" t="str">
        <f t="shared" si="49"/>
        <v/>
      </c>
      <c r="Q459" s="7" t="str">
        <f t="shared" si="50"/>
        <v/>
      </c>
      <c r="R459" s="7" t="str">
        <f t="shared" si="51"/>
        <v/>
      </c>
      <c r="S459" s="7">
        <f>IF($A459="","",IF(AND(LEFT($G459,3)="ДОК",$N459&lt;&gt;""),IFERROR(INDEX(Документация!$E$2:$E$57,MATCH($N459,Документация!$F$2:$F$57,0)),0),N($F459))*(1-MEDIAN(0,N(ДисконтТендер),1)))</f>
        <v>844.73</v>
      </c>
      <c r="T459" s="7">
        <f>IF($A459="","",IF(AND(LEFT($G459,3)="ДОК",$N459&lt;&gt;""),0,IF(AND(LEFT($G459,3)&lt;&gt;"ДОК",$N459&lt;&gt;""),IFERROR(INDEX(МАТЕРИАЛЫ!$H$2:$H$9000,MATCH($N459,МАТЕРИАЛЫ!$L$2:$L$9000,0))*IF(INDEX(МАТЕРИАЛЫ!$I$2:$I$9000,MATCH($N459,МАТЕРИАЛЫ!$L$2:$L$9000,0))="USD",КурсUSD,IF(INDEX(МАТЕРИАЛЫ!$I$2:$I$9000,MATCH($N459,МАТЕРИАЛЫ!$L$2:$L$9000,0))="EUR",КурсEUR,IF(INDEX(МАТЕРИАЛЫ!$I$2:$I$9000,MATCH($N459,МАТЕРИАЛЫ!$L$2:$L$9000,0))="CNY",КурсCNY,1)))*(1+N($H459)/100),0),N($O459))*(1-MEDIAN(0,N(ДисконтТендер),1))))</f>
        <v>0</v>
      </c>
      <c r="U459" t="str">
        <f>IF($L459="да",MAX($U$1:$U458)+1,"")</f>
        <v/>
      </c>
      <c r="V459" t="str">
        <f t="shared" si="52"/>
        <v>Р5</v>
      </c>
      <c r="W459" t="str">
        <f t="shared" si="53"/>
        <v/>
      </c>
      <c r="X459" t="str">
        <f t="shared" si="54"/>
        <v/>
      </c>
      <c r="Y459" s="4" t="str">
        <f>IF($A459="","",IF(AND(LEFT($G459,3)="ДОК",$N459&lt;&gt;""),IFERROR(INDEX(Документация!$G$2:$G$57,MATCH($N459,Документация!$F$2:$F$57,0)),$D459),$D459&amp;IF(AND(LEFT($G459,3)&lt;&gt;"ДОК",$N459&lt;&gt;"")," — "&amp;IFERROR(INDEX(МАТЕРИАЛЫ!$C$2:$C$9000,MATCH($N459,МАТЕРИАЛЫ!$L$2:$L$9000,0)),""),"")))</f>
        <v>Установка счетчиков на горячее и холодное водоснабжение</v>
      </c>
      <c r="Z459" t="str">
        <f t="shared" si="55"/>
        <v>Р5 · Водоснабжение и канализация</v>
      </c>
    </row>
    <row r="460" spans="1:26" x14ac:dyDescent="0.3">
      <c r="A460" t="s">
        <v>1014</v>
      </c>
      <c r="B460" t="s">
        <v>953</v>
      </c>
      <c r="C460" t="s">
        <v>194</v>
      </c>
      <c r="D460" s="4" t="s">
        <v>1015</v>
      </c>
      <c r="E460" t="s">
        <v>83</v>
      </c>
      <c r="F460" s="5">
        <v>3681.58</v>
      </c>
      <c r="H460">
        <v>0</v>
      </c>
      <c r="I460" t="s">
        <v>53</v>
      </c>
      <c r="L460" s="6"/>
      <c r="M460" s="6"/>
      <c r="N460" s="6"/>
      <c r="O460" s="5"/>
      <c r="P460" s="7" t="str">
        <f t="shared" si="49"/>
        <v/>
      </c>
      <c r="Q460" s="7" t="str">
        <f t="shared" si="50"/>
        <v/>
      </c>
      <c r="R460" s="7" t="str">
        <f t="shared" si="51"/>
        <v/>
      </c>
      <c r="S460" s="7">
        <f>IF($A460="","",IF(AND(LEFT($G460,3)="ДОК",$N460&lt;&gt;""),IFERROR(INDEX(Документация!$E$2:$E$57,MATCH($N460,Документация!$F$2:$F$57,0)),0),N($F460))*(1-MEDIAN(0,N(ДисконтТендер),1)))</f>
        <v>3681.58</v>
      </c>
      <c r="T460" s="7">
        <f>IF($A460="","",IF(AND(LEFT($G460,3)="ДОК",$N460&lt;&gt;""),0,IF(AND(LEFT($G460,3)&lt;&gt;"ДОК",$N460&lt;&gt;""),IFERROR(INDEX(МАТЕРИАЛЫ!$H$2:$H$9000,MATCH($N460,МАТЕРИАЛЫ!$L$2:$L$9000,0))*IF(INDEX(МАТЕРИАЛЫ!$I$2:$I$9000,MATCH($N460,МАТЕРИАЛЫ!$L$2:$L$9000,0))="USD",КурсUSD,IF(INDEX(МАТЕРИАЛЫ!$I$2:$I$9000,MATCH($N460,МАТЕРИАЛЫ!$L$2:$L$9000,0))="EUR",КурсEUR,IF(INDEX(МАТЕРИАЛЫ!$I$2:$I$9000,MATCH($N460,МАТЕРИАЛЫ!$L$2:$L$9000,0))="CNY",КурсCNY,1)))*(1+N($H460)/100),0),N($O460))*(1-MEDIAN(0,N(ДисконтТендер),1))))</f>
        <v>0</v>
      </c>
      <c r="U460" t="str">
        <f>IF($L460="да",MAX($U$1:$U459)+1,"")</f>
        <v/>
      </c>
      <c r="V460" t="str">
        <f t="shared" si="52"/>
        <v>Р5</v>
      </c>
      <c r="W460" t="str">
        <f t="shared" si="53"/>
        <v/>
      </c>
      <c r="X460" t="str">
        <f t="shared" si="54"/>
        <v/>
      </c>
      <c r="Y460" s="4" t="str">
        <f>IF($A460="","",IF(AND(LEFT($G460,3)="ДОК",$N460&lt;&gt;""),IFERROR(INDEX(Документация!$G$2:$G$57,MATCH($N460,Документация!$F$2:$F$57,0)),$D460),$D460&amp;IF(AND(LEFT($G460,3)&lt;&gt;"ДОК",$N460&lt;&gt;"")," — "&amp;IFERROR(INDEX(МАТЕРИАЛЫ!$C$2:$C$9000,MATCH($N460,МАТЕРИАЛЫ!$L$2:$L$9000,0)),""),"")))</f>
        <v>Врезка в существующие сети ГВС/ХВС</v>
      </c>
      <c r="Z460" t="str">
        <f t="shared" si="55"/>
        <v>Р5 · Водоснабжение и канализация</v>
      </c>
    </row>
    <row r="461" spans="1:26" x14ac:dyDescent="0.3">
      <c r="A461" t="s">
        <v>1016</v>
      </c>
      <c r="B461" t="s">
        <v>953</v>
      </c>
      <c r="C461" t="s">
        <v>194</v>
      </c>
      <c r="D461" s="4" t="s">
        <v>1017</v>
      </c>
      <c r="E461" t="s">
        <v>83</v>
      </c>
      <c r="F461" s="5">
        <v>5225</v>
      </c>
      <c r="H461">
        <v>0</v>
      </c>
      <c r="I461" t="s">
        <v>53</v>
      </c>
      <c r="L461" s="6"/>
      <c r="M461" s="6"/>
      <c r="N461" s="6"/>
      <c r="O461" s="5"/>
      <c r="P461" s="7" t="str">
        <f t="shared" si="49"/>
        <v/>
      </c>
      <c r="Q461" s="7" t="str">
        <f t="shared" si="50"/>
        <v/>
      </c>
      <c r="R461" s="7" t="str">
        <f t="shared" si="51"/>
        <v/>
      </c>
      <c r="S461" s="7">
        <f>IF($A461="","",IF(AND(LEFT($G461,3)="ДОК",$N461&lt;&gt;""),IFERROR(INDEX(Документация!$E$2:$E$57,MATCH($N461,Документация!$F$2:$F$57,0)),0),N($F461))*(1-MEDIAN(0,N(ДисконтТендер),1)))</f>
        <v>5225</v>
      </c>
      <c r="T461" s="7">
        <f>IF($A461="","",IF(AND(LEFT($G461,3)="ДОК",$N461&lt;&gt;""),0,IF(AND(LEFT($G461,3)&lt;&gt;"ДОК",$N461&lt;&gt;""),IFERROR(INDEX(МАТЕРИАЛЫ!$H$2:$H$9000,MATCH($N461,МАТЕРИАЛЫ!$L$2:$L$9000,0))*IF(INDEX(МАТЕРИАЛЫ!$I$2:$I$9000,MATCH($N461,МАТЕРИАЛЫ!$L$2:$L$9000,0))="USD",КурсUSD,IF(INDEX(МАТЕРИАЛЫ!$I$2:$I$9000,MATCH($N461,МАТЕРИАЛЫ!$L$2:$L$9000,0))="EUR",КурсEUR,IF(INDEX(МАТЕРИАЛЫ!$I$2:$I$9000,MATCH($N461,МАТЕРИАЛЫ!$L$2:$L$9000,0))="CNY",КурсCNY,1)))*(1+N($H461)/100),0),N($O461))*(1-MEDIAN(0,N(ДисконтТендер),1))))</f>
        <v>0</v>
      </c>
      <c r="U461" t="str">
        <f>IF($L461="да",MAX($U$1:$U460)+1,"")</f>
        <v/>
      </c>
      <c r="V461" t="str">
        <f t="shared" si="52"/>
        <v>Р5</v>
      </c>
      <c r="W461" t="str">
        <f t="shared" si="53"/>
        <v/>
      </c>
      <c r="X461" t="str">
        <f t="shared" si="54"/>
        <v/>
      </c>
      <c r="Y461" s="4" t="str">
        <f>IF($A461="","",IF(AND(LEFT($G461,3)="ДОК",$N461&lt;&gt;""),IFERROR(INDEX(Документация!$G$2:$G$57,MATCH($N461,Документация!$F$2:$F$57,0)),$D461),$D461&amp;IF(AND(LEFT($G461,3)&lt;&gt;"ДОК",$N461&lt;&gt;"")," — "&amp;IFERROR(INDEX(МАТЕРИАЛЫ!$C$2:$C$9000,MATCH($N461,МАТЕРИАЛЫ!$L$2:$L$9000,0)),""),"")))</f>
        <v>Врезка в существующие сети канализации</v>
      </c>
      <c r="Z461" t="str">
        <f t="shared" si="55"/>
        <v>Р5 · Водоснабжение и канализация</v>
      </c>
    </row>
    <row r="462" spans="1:26" x14ac:dyDescent="0.3">
      <c r="A462" t="s">
        <v>1018</v>
      </c>
      <c r="B462" t="s">
        <v>953</v>
      </c>
      <c r="C462" t="s">
        <v>194</v>
      </c>
      <c r="D462" s="4" t="s">
        <v>1019</v>
      </c>
      <c r="E462" t="s">
        <v>114</v>
      </c>
      <c r="F462" s="5">
        <v>3544.73</v>
      </c>
      <c r="G462" t="s">
        <v>1020</v>
      </c>
      <c r="H462">
        <v>5</v>
      </c>
      <c r="I462" t="s">
        <v>53</v>
      </c>
      <c r="L462" s="6"/>
      <c r="M462" s="6"/>
      <c r="N462" s="6"/>
      <c r="O462" s="5"/>
      <c r="P462" s="7" t="str">
        <f t="shared" si="49"/>
        <v/>
      </c>
      <c r="Q462" s="7" t="str">
        <f t="shared" si="50"/>
        <v/>
      </c>
      <c r="R462" s="7" t="str">
        <f t="shared" si="51"/>
        <v/>
      </c>
      <c r="S462" s="7">
        <f>IF($A462="","",IF(AND(LEFT($G462,3)="ДОК",$N462&lt;&gt;""),IFERROR(INDEX(Документация!$E$2:$E$57,MATCH($N462,Документация!$F$2:$F$57,0)),0),N($F462))*(1-MEDIAN(0,N(ДисконтТендер),1)))</f>
        <v>3544.73</v>
      </c>
      <c r="T462" s="7">
        <f>IF($A462="","",IF(AND(LEFT($G462,3)="ДОК",$N462&lt;&gt;""),0,IF(AND(LEFT($G462,3)&lt;&gt;"ДОК",$N462&lt;&gt;""),IFERROR(INDEX(МАТЕРИАЛЫ!$H$2:$H$9000,MATCH($N462,МАТЕРИАЛЫ!$L$2:$L$9000,0))*IF(INDEX(МАТЕРИАЛЫ!$I$2:$I$9000,MATCH($N462,МАТЕРИАЛЫ!$L$2:$L$9000,0))="USD",КурсUSD,IF(INDEX(МАТЕРИАЛЫ!$I$2:$I$9000,MATCH($N462,МАТЕРИАЛЫ!$L$2:$L$9000,0))="EUR",КурсEUR,IF(INDEX(МАТЕРИАЛЫ!$I$2:$I$9000,MATCH($N462,МАТЕРИАЛЫ!$L$2:$L$9000,0))="CNY",КурсCNY,1)))*(1+N($H462)/100),0),N($O462))*(1-MEDIAN(0,N(ДисконтТендер),1))))</f>
        <v>0</v>
      </c>
      <c r="U462" t="str">
        <f>IF($L462="да",MAX($U$1:$U461)+1,"")</f>
        <v/>
      </c>
      <c r="V462" t="str">
        <f t="shared" si="52"/>
        <v>Р5</v>
      </c>
      <c r="W462" t="str">
        <f t="shared" si="53"/>
        <v/>
      </c>
      <c r="X462" t="str">
        <f t="shared" si="54"/>
        <v/>
      </c>
      <c r="Y462" s="4" t="str">
        <f>IF($A462="","",IF(AND(LEFT($G462,3)="ДОК",$N462&lt;&gt;""),IFERROR(INDEX(Документация!$G$2:$G$57,MATCH($N462,Документация!$F$2:$F$57,0)),$D462),$D462&amp;IF(AND(LEFT($G462,3)&lt;&gt;"ДОК",$N462&lt;&gt;"")," — "&amp;IFERROR(INDEX(МАТЕРИАЛЫ!$C$2:$C$9000,MATCH($N462,МАТЕРИАЛЫ!$L$2:$L$9000,0)),""),"")))</f>
        <v>Установка водонагревателя</v>
      </c>
      <c r="Z462" t="str">
        <f t="shared" si="55"/>
        <v>Р5 · Водоснабжение и канализация</v>
      </c>
    </row>
    <row r="463" spans="1:26" x14ac:dyDescent="0.3">
      <c r="A463" t="s">
        <v>1021</v>
      </c>
      <c r="B463" t="s">
        <v>953</v>
      </c>
      <c r="C463" t="s">
        <v>194</v>
      </c>
      <c r="D463" s="4" t="s">
        <v>1022</v>
      </c>
      <c r="E463" t="s">
        <v>114</v>
      </c>
      <c r="F463" s="5">
        <v>678.6</v>
      </c>
      <c r="H463">
        <v>0</v>
      </c>
      <c r="I463" t="s">
        <v>53</v>
      </c>
      <c r="L463" s="6"/>
      <c r="M463" s="6"/>
      <c r="N463" s="6"/>
      <c r="O463" s="5"/>
      <c r="P463" s="7" t="str">
        <f t="shared" si="49"/>
        <v/>
      </c>
      <c r="Q463" s="7" t="str">
        <f t="shared" si="50"/>
        <v/>
      </c>
      <c r="R463" s="7" t="str">
        <f t="shared" si="51"/>
        <v/>
      </c>
      <c r="S463" s="7">
        <f>IF($A463="","",IF(AND(LEFT($G463,3)="ДОК",$N463&lt;&gt;""),IFERROR(INDEX(Документация!$E$2:$E$57,MATCH($N463,Документация!$F$2:$F$57,0)),0),N($F463))*(1-MEDIAN(0,N(ДисконтТендер),1)))</f>
        <v>678.6</v>
      </c>
      <c r="T463" s="7">
        <f>IF($A463="","",IF(AND(LEFT($G463,3)="ДОК",$N463&lt;&gt;""),0,IF(AND(LEFT($G463,3)&lt;&gt;"ДОК",$N463&lt;&gt;""),IFERROR(INDEX(МАТЕРИАЛЫ!$H$2:$H$9000,MATCH($N463,МАТЕРИАЛЫ!$L$2:$L$9000,0))*IF(INDEX(МАТЕРИАЛЫ!$I$2:$I$9000,MATCH($N463,МАТЕРИАЛЫ!$L$2:$L$9000,0))="USD",КурсUSD,IF(INDEX(МАТЕРИАЛЫ!$I$2:$I$9000,MATCH($N463,МАТЕРИАЛЫ!$L$2:$L$9000,0))="EUR",КурсEUR,IF(INDEX(МАТЕРИАЛЫ!$I$2:$I$9000,MATCH($N463,МАТЕРИАЛЫ!$L$2:$L$9000,0))="CNY",КурсCNY,1)))*(1+N($H463)/100),0),N($O463))*(1-MEDIAN(0,N(ДисконтТендер),1))))</f>
        <v>0</v>
      </c>
      <c r="U463" t="str">
        <f>IF($L463="да",MAX($U$1:$U462)+1,"")</f>
        <v/>
      </c>
      <c r="V463" t="str">
        <f t="shared" si="52"/>
        <v>Р5</v>
      </c>
      <c r="W463" t="str">
        <f t="shared" si="53"/>
        <v/>
      </c>
      <c r="X463" t="str">
        <f t="shared" si="54"/>
        <v/>
      </c>
      <c r="Y463" s="4" t="str">
        <f>IF($A463="","",IF(AND(LEFT($G463,3)="ДОК",$N463&lt;&gt;""),IFERROR(INDEX(Документация!$G$2:$G$57,MATCH($N463,Документация!$F$2:$F$57,0)),$D463),$D463&amp;IF(AND(LEFT($G463,3)&lt;&gt;"ДОК",$N463&lt;&gt;"")," — "&amp;IFERROR(INDEX(МАТЕРИАЛЫ!$C$2:$C$9000,MATCH($N463,МАТЕРИАЛЫ!$L$2:$L$9000,0)),""),"")))</f>
        <v>Капельная воронка HL 21</v>
      </c>
      <c r="Z463" t="str">
        <f t="shared" si="55"/>
        <v>Р5 · Водоснабжение и канализация</v>
      </c>
    </row>
    <row r="464" spans="1:26" x14ac:dyDescent="0.3">
      <c r="A464" t="s">
        <v>1023</v>
      </c>
      <c r="B464" t="s">
        <v>953</v>
      </c>
      <c r="C464" t="s">
        <v>194</v>
      </c>
      <c r="D464" s="4" t="s">
        <v>1024</v>
      </c>
      <c r="E464" t="s">
        <v>83</v>
      </c>
      <c r="F464" s="5">
        <v>6457.67</v>
      </c>
      <c r="H464">
        <v>0</v>
      </c>
      <c r="I464" t="s">
        <v>53</v>
      </c>
      <c r="L464" s="6"/>
      <c r="M464" s="6"/>
      <c r="N464" s="6"/>
      <c r="O464" s="5"/>
      <c r="P464" s="7" t="str">
        <f t="shared" si="49"/>
        <v/>
      </c>
      <c r="Q464" s="7" t="str">
        <f t="shared" si="50"/>
        <v/>
      </c>
      <c r="R464" s="7" t="str">
        <f t="shared" si="51"/>
        <v/>
      </c>
      <c r="S464" s="7">
        <f>IF($A464="","",IF(AND(LEFT($G464,3)="ДОК",$N464&lt;&gt;""),IFERROR(INDEX(Документация!$E$2:$E$57,MATCH($N464,Документация!$F$2:$F$57,0)),0),N($F464))*(1-MEDIAN(0,N(ДисконтТендер),1)))</f>
        <v>6457.67</v>
      </c>
      <c r="T464" s="7">
        <f>IF($A464="","",IF(AND(LEFT($G464,3)="ДОК",$N464&lt;&gt;""),0,IF(AND(LEFT($G464,3)&lt;&gt;"ДОК",$N464&lt;&gt;""),IFERROR(INDEX(МАТЕРИАЛЫ!$H$2:$H$9000,MATCH($N464,МАТЕРИАЛЫ!$L$2:$L$9000,0))*IF(INDEX(МАТЕРИАЛЫ!$I$2:$I$9000,MATCH($N464,МАТЕРИАЛЫ!$L$2:$L$9000,0))="USD",КурсUSD,IF(INDEX(МАТЕРИАЛЫ!$I$2:$I$9000,MATCH($N464,МАТЕРИАЛЫ!$L$2:$L$9000,0))="EUR",КурсEUR,IF(INDEX(МАТЕРИАЛЫ!$I$2:$I$9000,MATCH($N464,МАТЕРИАЛЫ!$L$2:$L$9000,0))="CNY",КурсCNY,1)))*(1+N($H464)/100),0),N($O464))*(1-MEDIAN(0,N(ДисконтТендер),1))))</f>
        <v>0</v>
      </c>
      <c r="U464" t="str">
        <f>IF($L464="да",MAX($U$1:$U463)+1,"")</f>
        <v/>
      </c>
      <c r="V464" t="str">
        <f t="shared" si="52"/>
        <v>Р5</v>
      </c>
      <c r="W464" t="str">
        <f t="shared" si="53"/>
        <v/>
      </c>
      <c r="X464" t="str">
        <f t="shared" si="54"/>
        <v/>
      </c>
      <c r="Y464" s="4" t="str">
        <f>IF($A464="","",IF(AND(LEFT($G464,3)="ДОК",$N464&lt;&gt;""),IFERROR(INDEX(Документация!$G$2:$G$57,MATCH($N464,Документация!$F$2:$F$57,0)),$D464),$D464&amp;IF(AND(LEFT($G464,3)&lt;&gt;"ДОК",$N464&lt;&gt;"")," — "&amp;IFERROR(INDEX(МАТЕРИАЛЫ!$C$2:$C$9000,MATCH($N464,МАТЕРИАЛЫ!$L$2:$L$9000,0)),""),"")))</f>
        <v>Ревизия системы водоснабжения и канализации</v>
      </c>
      <c r="Z464" t="str">
        <f t="shared" si="55"/>
        <v>Р5 · Водоснабжение и канализация</v>
      </c>
    </row>
    <row r="465" spans="1:26" ht="43.2" x14ac:dyDescent="0.3">
      <c r="A465" t="s">
        <v>1025</v>
      </c>
      <c r="B465" t="s">
        <v>953</v>
      </c>
      <c r="C465" t="s">
        <v>194</v>
      </c>
      <c r="D465" s="4" t="s">
        <v>1026</v>
      </c>
      <c r="E465" t="s">
        <v>114</v>
      </c>
      <c r="F465" s="5">
        <v>16720</v>
      </c>
      <c r="G465" t="s">
        <v>985</v>
      </c>
      <c r="H465">
        <v>5</v>
      </c>
      <c r="I465" t="s">
        <v>53</v>
      </c>
      <c r="L465" s="6"/>
      <c r="M465" s="6"/>
      <c r="N465" s="6"/>
      <c r="O465" s="5"/>
      <c r="P465" s="7" t="str">
        <f t="shared" si="49"/>
        <v/>
      </c>
      <c r="Q465" s="7" t="str">
        <f t="shared" si="50"/>
        <v/>
      </c>
      <c r="R465" s="7" t="str">
        <f t="shared" si="51"/>
        <v/>
      </c>
      <c r="S465" s="7">
        <f>IF($A465="","",IF(AND(LEFT($G465,3)="ДОК",$N465&lt;&gt;""),IFERROR(INDEX(Документация!$E$2:$E$57,MATCH($N465,Документация!$F$2:$F$57,0)),0),N($F465))*(1-MEDIAN(0,N(ДисконтТендер),1)))</f>
        <v>16720</v>
      </c>
      <c r="T465" s="7">
        <f>IF($A465="","",IF(AND(LEFT($G465,3)="ДОК",$N465&lt;&gt;""),0,IF(AND(LEFT($G465,3)&lt;&gt;"ДОК",$N465&lt;&gt;""),IFERROR(INDEX(МАТЕРИАЛЫ!$H$2:$H$9000,MATCH($N465,МАТЕРИАЛЫ!$L$2:$L$9000,0))*IF(INDEX(МАТЕРИАЛЫ!$I$2:$I$9000,MATCH($N465,МАТЕРИАЛЫ!$L$2:$L$9000,0))="USD",КурсUSD,IF(INDEX(МАТЕРИАЛЫ!$I$2:$I$9000,MATCH($N465,МАТЕРИАЛЫ!$L$2:$L$9000,0))="EUR",КурсEUR,IF(INDEX(МАТЕРИАЛЫ!$I$2:$I$9000,MATCH($N465,МАТЕРИАЛЫ!$L$2:$L$9000,0))="CNY",КурсCNY,1)))*(1+N($H465)/100),0),N($O465))*(1-MEDIAN(0,N(ДисконтТендер),1))))</f>
        <v>0</v>
      </c>
      <c r="U465" t="str">
        <f>IF($L465="да",MAX($U$1:$U464)+1,"")</f>
        <v/>
      </c>
      <c r="V465" t="str">
        <f t="shared" si="52"/>
        <v>Р5</v>
      </c>
      <c r="W465" t="str">
        <f t="shared" si="53"/>
        <v/>
      </c>
      <c r="X465" t="str">
        <f t="shared" si="54"/>
        <v/>
      </c>
      <c r="Y465" s="4" t="str">
        <f>IF($A465="","",IF(AND(LEFT($G465,3)="ДОК",$N465&lt;&gt;""),IFERROR(INDEX(Документация!$G$2:$G$57,MATCH($N465,Документация!$F$2:$F$57,0)),$D465),$D465&amp;IF(AND(LEFT($G465,3)&lt;&gt;"ДОК",$N465&lt;&gt;"")," — "&amp;IFERROR(INDEX(МАТЕРИАЛЫ!$C$2:$C$9000,MATCH($N465,МАТЕРИАЛЫ!$L$2:$L$9000,0)),""),"")))</f>
        <v>Установка душевой кабины River Neva 90/18 (сидение, зеркало, полки, душевая лейка, смеситель)</v>
      </c>
      <c r="Z465" t="str">
        <f t="shared" si="55"/>
        <v>Р5 · Водоснабжение и канализация</v>
      </c>
    </row>
    <row r="466" spans="1:26" x14ac:dyDescent="0.3">
      <c r="A466" t="s">
        <v>1027</v>
      </c>
      <c r="B466" t="s">
        <v>953</v>
      </c>
      <c r="C466" t="s">
        <v>194</v>
      </c>
      <c r="D466" s="4" t="s">
        <v>1028</v>
      </c>
      <c r="E466" t="s">
        <v>114</v>
      </c>
      <c r="F466" s="5">
        <v>4950</v>
      </c>
      <c r="H466">
        <v>0</v>
      </c>
      <c r="I466" t="s">
        <v>53</v>
      </c>
      <c r="L466" s="6"/>
      <c r="M466" s="6"/>
      <c r="N466" s="6"/>
      <c r="O466" s="5"/>
      <c r="P466" s="7" t="str">
        <f t="shared" si="49"/>
        <v/>
      </c>
      <c r="Q466" s="7" t="str">
        <f t="shared" si="50"/>
        <v/>
      </c>
      <c r="R466" s="7" t="str">
        <f t="shared" si="51"/>
        <v/>
      </c>
      <c r="S466" s="7">
        <f>IF($A466="","",IF(AND(LEFT($G466,3)="ДОК",$N466&lt;&gt;""),IFERROR(INDEX(Документация!$E$2:$E$57,MATCH($N466,Документация!$F$2:$F$57,0)),0),N($F466))*(1-MEDIAN(0,N(ДисконтТендер),1)))</f>
        <v>4950</v>
      </c>
      <c r="T466" s="7">
        <f>IF($A466="","",IF(AND(LEFT($G466,3)="ДОК",$N466&lt;&gt;""),0,IF(AND(LEFT($G466,3)&lt;&gt;"ДОК",$N466&lt;&gt;""),IFERROR(INDEX(МАТЕРИАЛЫ!$H$2:$H$9000,MATCH($N466,МАТЕРИАЛЫ!$L$2:$L$9000,0))*IF(INDEX(МАТЕРИАЛЫ!$I$2:$I$9000,MATCH($N466,МАТЕРИАЛЫ!$L$2:$L$9000,0))="USD",КурсUSD,IF(INDEX(МАТЕРИАЛЫ!$I$2:$I$9000,MATCH($N466,МАТЕРИАЛЫ!$L$2:$L$9000,0))="EUR",КурсEUR,IF(INDEX(МАТЕРИАЛЫ!$I$2:$I$9000,MATCH($N466,МАТЕРИАЛЫ!$L$2:$L$9000,0))="CNY",КурсCNY,1)))*(1+N($H466)/100),0),N($O466))*(1-MEDIAN(0,N(ДисконтТендер),1))))</f>
        <v>0</v>
      </c>
      <c r="U466" t="str">
        <f>IF($L466="да",MAX($U$1:$U465)+1,"")</f>
        <v/>
      </c>
      <c r="V466" t="str">
        <f t="shared" si="52"/>
        <v>Р5</v>
      </c>
      <c r="W466" t="str">
        <f t="shared" si="53"/>
        <v/>
      </c>
      <c r="X466" t="str">
        <f t="shared" si="54"/>
        <v/>
      </c>
      <c r="Y466" s="4" t="str">
        <f>IF($A466="","",IF(AND(LEFT($G466,3)="ДОК",$N466&lt;&gt;""),IFERROR(INDEX(Документация!$G$2:$G$57,MATCH($N466,Документация!$F$2:$F$57,0)),$D466),$D466&amp;IF(AND(LEFT($G466,3)&lt;&gt;"ДОК",$N466&lt;&gt;"")," — "&amp;IFERROR(INDEX(МАТЕРИАЛЫ!$C$2:$C$9000,MATCH($N466,МАТЕРИАЛЫ!$L$2:$L$9000,0)),""),"")))</f>
        <v>Сололифт Grundfos Sololift</v>
      </c>
      <c r="Z466" t="str">
        <f t="shared" si="55"/>
        <v>Р5 · Водоснабжение и канализация</v>
      </c>
    </row>
    <row r="467" spans="1:26" ht="28.8" x14ac:dyDescent="0.3">
      <c r="A467" t="s">
        <v>1029</v>
      </c>
      <c r="B467" t="s">
        <v>953</v>
      </c>
      <c r="C467" t="s">
        <v>194</v>
      </c>
      <c r="D467" s="4" t="s">
        <v>1030</v>
      </c>
      <c r="E467" t="s">
        <v>114</v>
      </c>
      <c r="F467" s="5">
        <v>2714.4</v>
      </c>
      <c r="G467" t="s">
        <v>985</v>
      </c>
      <c r="H467">
        <v>5</v>
      </c>
      <c r="I467" t="s">
        <v>53</v>
      </c>
      <c r="L467" s="6"/>
      <c r="M467" s="6"/>
      <c r="N467" s="6"/>
      <c r="O467" s="5"/>
      <c r="P467" s="7" t="str">
        <f t="shared" si="49"/>
        <v/>
      </c>
      <c r="Q467" s="7" t="str">
        <f t="shared" si="50"/>
        <v/>
      </c>
      <c r="R467" s="7" t="str">
        <f t="shared" si="51"/>
        <v/>
      </c>
      <c r="S467" s="7">
        <f>IF($A467="","",IF(AND(LEFT($G467,3)="ДОК",$N467&lt;&gt;""),IFERROR(INDEX(Документация!$E$2:$E$57,MATCH($N467,Документация!$F$2:$F$57,0)),0),N($F467))*(1-MEDIAN(0,N(ДисконтТендер),1)))</f>
        <v>2714.4</v>
      </c>
      <c r="T467" s="7">
        <f>IF($A467="","",IF(AND(LEFT($G467,3)="ДОК",$N467&lt;&gt;""),0,IF(AND(LEFT($G467,3)&lt;&gt;"ДОК",$N467&lt;&gt;""),IFERROR(INDEX(МАТЕРИАЛЫ!$H$2:$H$9000,MATCH($N467,МАТЕРИАЛЫ!$L$2:$L$9000,0))*IF(INDEX(МАТЕРИАЛЫ!$I$2:$I$9000,MATCH($N467,МАТЕРИАЛЫ!$L$2:$L$9000,0))="USD",КурсUSD,IF(INDEX(МАТЕРИАЛЫ!$I$2:$I$9000,MATCH($N467,МАТЕРИАЛЫ!$L$2:$L$9000,0))="EUR",КурсEUR,IF(INDEX(МАТЕРИАЛЫ!$I$2:$I$9000,MATCH($N467,МАТЕРИАЛЫ!$L$2:$L$9000,0))="CNY",КурсCNY,1)))*(1+N($H467)/100),0),N($O467))*(1-MEDIAN(0,N(ДисконтТендер),1))))</f>
        <v>0</v>
      </c>
      <c r="U467" t="str">
        <f>IF($L467="да",MAX($U$1:$U466)+1,"")</f>
        <v/>
      </c>
      <c r="V467" t="str">
        <f t="shared" si="52"/>
        <v>Р5</v>
      </c>
      <c r="W467" t="str">
        <f t="shared" si="53"/>
        <v/>
      </c>
      <c r="X467" t="str">
        <f t="shared" si="54"/>
        <v/>
      </c>
      <c r="Y467" s="4" t="str">
        <f>IF($A467="","",IF(AND(LEFT($G467,3)="ДОК",$N467&lt;&gt;""),IFERROR(INDEX(Документация!$G$2:$G$57,MATCH($N467,Документация!$F$2:$F$57,0)),$D467),$D467&amp;IF(AND(LEFT($G467,3)&lt;&gt;"ДОК",$N467&lt;&gt;"")," — "&amp;IFERROR(INDEX(МАТЕРИАЛЫ!$C$2:$C$9000,MATCH($N467,МАТЕРИАЛЫ!$L$2:$L$9000,0)),""),"")))</f>
        <v>Монтаж гигиенического ручного душа Hansgrohe, шланг 1,6м, настенный держатель ( арт.3212800)</v>
      </c>
      <c r="Z467" t="str">
        <f t="shared" si="55"/>
        <v>Р5 · Водоснабжение и канализация</v>
      </c>
    </row>
    <row r="468" spans="1:26" ht="28.8" x14ac:dyDescent="0.3">
      <c r="A468" t="s">
        <v>1031</v>
      </c>
      <c r="B468" t="s">
        <v>953</v>
      </c>
      <c r="C468" t="s">
        <v>194</v>
      </c>
      <c r="D468" s="4" t="s">
        <v>1032</v>
      </c>
      <c r="E468" t="s">
        <v>114</v>
      </c>
      <c r="F468" s="5">
        <v>1492.92</v>
      </c>
      <c r="G468" t="s">
        <v>964</v>
      </c>
      <c r="H468">
        <v>5</v>
      </c>
      <c r="I468" t="s">
        <v>53</v>
      </c>
      <c r="L468" s="6"/>
      <c r="M468" s="6"/>
      <c r="N468" s="6"/>
      <c r="O468" s="5"/>
      <c r="P468" s="7" t="str">
        <f t="shared" si="49"/>
        <v/>
      </c>
      <c r="Q468" s="7" t="str">
        <f t="shared" si="50"/>
        <v/>
      </c>
      <c r="R468" s="7" t="str">
        <f t="shared" si="51"/>
        <v/>
      </c>
      <c r="S468" s="7">
        <f>IF($A468="","",IF(AND(LEFT($G468,3)="ДОК",$N468&lt;&gt;""),IFERROR(INDEX(Документация!$E$2:$E$57,MATCH($N468,Документация!$F$2:$F$57,0)),0),N($F468))*(1-MEDIAN(0,N(ДисконтТендер),1)))</f>
        <v>1492.92</v>
      </c>
      <c r="T468" s="7">
        <f>IF($A468="","",IF(AND(LEFT($G468,3)="ДОК",$N468&lt;&gt;""),0,IF(AND(LEFT($G468,3)&lt;&gt;"ДОК",$N468&lt;&gt;""),IFERROR(INDEX(МАТЕРИАЛЫ!$H$2:$H$9000,MATCH($N468,МАТЕРИАЛЫ!$L$2:$L$9000,0))*IF(INDEX(МАТЕРИАЛЫ!$I$2:$I$9000,MATCH($N468,МАТЕРИАЛЫ!$L$2:$L$9000,0))="USD",КурсUSD,IF(INDEX(МАТЕРИАЛЫ!$I$2:$I$9000,MATCH($N468,МАТЕРИАЛЫ!$L$2:$L$9000,0))="EUR",КурсEUR,IF(INDEX(МАТЕРИАЛЫ!$I$2:$I$9000,MATCH($N468,МАТЕРИАЛЫ!$L$2:$L$9000,0))="CNY",КурсCNY,1)))*(1+N($H468)/100),0),N($O468))*(1-MEDIAN(0,N(ДисконтТендер),1))))</f>
        <v>0</v>
      </c>
      <c r="U468" t="str">
        <f>IF($L468="да",MAX($U$1:$U467)+1,"")</f>
        <v/>
      </c>
      <c r="V468" t="str">
        <f t="shared" si="52"/>
        <v>Р5</v>
      </c>
      <c r="W468" t="str">
        <f t="shared" si="53"/>
        <v/>
      </c>
      <c r="X468" t="str">
        <f t="shared" si="54"/>
        <v/>
      </c>
      <c r="Y468" s="4" t="str">
        <f>IF($A468="","",IF(AND(LEFT($G468,3)="ДОК",$N468&lt;&gt;""),IFERROR(INDEX(Документация!$G$2:$G$57,MATCH($N468,Документация!$F$2:$F$57,0)),$D468),$D468&amp;IF(AND(LEFT($G468,3)&lt;&gt;"ДОК",$N468&lt;&gt;"")," — "&amp;IFERROR(INDEX(МАТЕРИАЛЫ!$C$2:$C$9000,MATCH($N468,МАТЕРИАЛЫ!$L$2:$L$9000,0)),""),"")))</f>
        <v>Монтаж металлического трубопровода D 110 мм (водоснабжение и канализация)</v>
      </c>
      <c r="Z468" t="str">
        <f t="shared" si="55"/>
        <v>Р5 · Водоснабжение и канализация</v>
      </c>
    </row>
    <row r="469" spans="1:26" ht="28.8" x14ac:dyDescent="0.3">
      <c r="A469" t="s">
        <v>1033</v>
      </c>
      <c r="B469" t="s">
        <v>953</v>
      </c>
      <c r="C469" t="s">
        <v>194</v>
      </c>
      <c r="D469" s="4" t="s">
        <v>993</v>
      </c>
      <c r="E469" t="s">
        <v>114</v>
      </c>
      <c r="F469" s="5">
        <v>1073.8499999999999</v>
      </c>
      <c r="G469" t="s">
        <v>964</v>
      </c>
      <c r="H469">
        <v>5</v>
      </c>
      <c r="I469" t="s">
        <v>53</v>
      </c>
      <c r="L469" s="6"/>
      <c r="M469" s="6"/>
      <c r="N469" s="6"/>
      <c r="O469" s="5"/>
      <c r="P469" s="7" t="str">
        <f t="shared" si="49"/>
        <v/>
      </c>
      <c r="Q469" s="7" t="str">
        <f t="shared" si="50"/>
        <v/>
      </c>
      <c r="R469" s="7" t="str">
        <f t="shared" si="51"/>
        <v/>
      </c>
      <c r="S469" s="7">
        <f>IF($A469="","",IF(AND(LEFT($G469,3)="ДОК",$N469&lt;&gt;""),IFERROR(INDEX(Документация!$E$2:$E$57,MATCH($N469,Документация!$F$2:$F$57,0)),0),N($F469))*(1-MEDIAN(0,N(ДисконтТендер),1)))</f>
        <v>1073.8499999999999</v>
      </c>
      <c r="T469" s="7">
        <f>IF($A469="","",IF(AND(LEFT($G469,3)="ДОК",$N469&lt;&gt;""),0,IF(AND(LEFT($G469,3)&lt;&gt;"ДОК",$N469&lt;&gt;""),IFERROR(INDEX(МАТЕРИАЛЫ!$H$2:$H$9000,MATCH($N469,МАТЕРИАЛЫ!$L$2:$L$9000,0))*IF(INDEX(МАТЕРИАЛЫ!$I$2:$I$9000,MATCH($N469,МАТЕРИАЛЫ!$L$2:$L$9000,0))="USD",КурсUSD,IF(INDEX(МАТЕРИАЛЫ!$I$2:$I$9000,MATCH($N469,МАТЕРИАЛЫ!$L$2:$L$9000,0))="EUR",КурсEUR,IF(INDEX(МАТЕРИАЛЫ!$I$2:$I$9000,MATCH($N469,МАТЕРИАЛЫ!$L$2:$L$9000,0))="CNY",КурсCNY,1)))*(1+N($H469)/100),0),N($O469))*(1-MEDIAN(0,N(ДисконтТендер),1))))</f>
        <v>0</v>
      </c>
      <c r="U469" t="str">
        <f>IF($L469="да",MAX($U$1:$U468)+1,"")</f>
        <v/>
      </c>
      <c r="V469" t="str">
        <f t="shared" si="52"/>
        <v>Р5</v>
      </c>
      <c r="W469" t="str">
        <f t="shared" si="53"/>
        <v/>
      </c>
      <c r="X469" t="str">
        <f t="shared" si="54"/>
        <v/>
      </c>
      <c r="Y469" s="4" t="str">
        <f>IF($A469="","",IF(AND(LEFT($G469,3)="ДОК",$N469&lt;&gt;""),IFERROR(INDEX(Документация!$G$2:$G$57,MATCH($N469,Документация!$F$2:$F$57,0)),$D469),$D469&amp;IF(AND(LEFT($G469,3)&lt;&gt;"ДОК",$N469&lt;&gt;"")," — "&amp;IFERROR(INDEX(МАТЕРИАЛЫ!$C$2:$C$9000,MATCH($N469,МАТЕРИАЛЫ!$L$2:$L$9000,0)),""),"")))</f>
        <v>Монтаж трубопровода (отопление / водоснабжение)</v>
      </c>
      <c r="Z469" t="str">
        <f t="shared" si="55"/>
        <v>Р5 · Водоснабжение и канализация</v>
      </c>
    </row>
    <row r="470" spans="1:26" ht="28.8" x14ac:dyDescent="0.3">
      <c r="A470" t="s">
        <v>1034</v>
      </c>
      <c r="B470" t="s">
        <v>953</v>
      </c>
      <c r="C470" t="s">
        <v>194</v>
      </c>
      <c r="D470" s="4" t="s">
        <v>1035</v>
      </c>
      <c r="E470" t="s">
        <v>114</v>
      </c>
      <c r="F470" s="5">
        <v>2612.5</v>
      </c>
      <c r="H470">
        <v>0</v>
      </c>
      <c r="I470" t="s">
        <v>53</v>
      </c>
      <c r="L470" s="6"/>
      <c r="M470" s="6"/>
      <c r="N470" s="6"/>
      <c r="O470" s="5"/>
      <c r="P470" s="7" t="str">
        <f t="shared" si="49"/>
        <v/>
      </c>
      <c r="Q470" s="7" t="str">
        <f t="shared" si="50"/>
        <v/>
      </c>
      <c r="R470" s="7" t="str">
        <f t="shared" si="51"/>
        <v/>
      </c>
      <c r="S470" s="7">
        <f>IF($A470="","",IF(AND(LEFT($G470,3)="ДОК",$N470&lt;&gt;""),IFERROR(INDEX(Документация!$E$2:$E$57,MATCH($N470,Документация!$F$2:$F$57,0)),0),N($F470))*(1-MEDIAN(0,N(ДисконтТендер),1)))</f>
        <v>2612.5</v>
      </c>
      <c r="T470" s="7">
        <f>IF($A470="","",IF(AND(LEFT($G470,3)="ДОК",$N470&lt;&gt;""),0,IF(AND(LEFT($G470,3)&lt;&gt;"ДОК",$N470&lt;&gt;""),IFERROR(INDEX(МАТЕРИАЛЫ!$H$2:$H$9000,MATCH($N470,МАТЕРИАЛЫ!$L$2:$L$9000,0))*IF(INDEX(МАТЕРИАЛЫ!$I$2:$I$9000,MATCH($N470,МАТЕРИАЛЫ!$L$2:$L$9000,0))="USD",КурсUSD,IF(INDEX(МАТЕРИАЛЫ!$I$2:$I$9000,MATCH($N470,МАТЕРИАЛЫ!$L$2:$L$9000,0))="EUR",КурсEUR,IF(INDEX(МАТЕРИАЛЫ!$I$2:$I$9000,MATCH($N470,МАТЕРИАЛЫ!$L$2:$L$9000,0))="CNY",КурсCNY,1)))*(1+N($H470)/100),0),N($O470))*(1-MEDIAN(0,N(ДисконтТендер),1))))</f>
        <v>0</v>
      </c>
      <c r="U470" t="str">
        <f>IF($L470="да",MAX($U$1:$U469)+1,"")</f>
        <v/>
      </c>
      <c r="V470" t="str">
        <f t="shared" si="52"/>
        <v>Р5</v>
      </c>
      <c r="W470" t="str">
        <f t="shared" si="53"/>
        <v/>
      </c>
      <c r="X470" t="str">
        <f t="shared" si="54"/>
        <v/>
      </c>
      <c r="Y470" s="4" t="str">
        <f>IF($A470="","",IF(AND(LEFT($G470,3)="ДОК",$N470&lt;&gt;""),IFERROR(INDEX(Документация!$G$2:$G$57,MATCH($N470,Документация!$F$2:$F$57,0)),$D470),$D470&amp;IF(AND(LEFT($G470,3)&lt;&gt;"ДОК",$N470&lt;&gt;"")," — "&amp;IFERROR(INDEX(МАТЕРИАЛЫ!$C$2:$C$9000,MATCH($N470,МАТЕРИАЛЫ!$L$2:$L$9000,0)),""),"")))</f>
        <v>Монтаж задвижек 30с64нж Ду100 (водоснабжение и канализация)</v>
      </c>
      <c r="Z470" t="str">
        <f t="shared" si="55"/>
        <v>Р5 · Водоснабжение и канализация</v>
      </c>
    </row>
    <row r="471" spans="1:26" x14ac:dyDescent="0.3">
      <c r="A471" t="s">
        <v>1036</v>
      </c>
      <c r="B471" t="s">
        <v>953</v>
      </c>
      <c r="C471" t="s">
        <v>194</v>
      </c>
      <c r="D471" s="4" t="s">
        <v>1037</v>
      </c>
      <c r="E471" t="s">
        <v>114</v>
      </c>
      <c r="F471" s="5">
        <v>1945.32</v>
      </c>
      <c r="H471">
        <v>0</v>
      </c>
      <c r="I471" t="s">
        <v>53</v>
      </c>
      <c r="L471" s="6"/>
      <c r="M471" s="6"/>
      <c r="N471" s="6"/>
      <c r="O471" s="5"/>
      <c r="P471" s="7" t="str">
        <f t="shared" si="49"/>
        <v/>
      </c>
      <c r="Q471" s="7" t="str">
        <f t="shared" si="50"/>
        <v/>
      </c>
      <c r="R471" s="7" t="str">
        <f t="shared" si="51"/>
        <v/>
      </c>
      <c r="S471" s="7">
        <f>IF($A471="","",IF(AND(LEFT($G471,3)="ДОК",$N471&lt;&gt;""),IFERROR(INDEX(Документация!$E$2:$E$57,MATCH($N471,Документация!$F$2:$F$57,0)),0),N($F471))*(1-MEDIAN(0,N(ДисконтТендер),1)))</f>
        <v>1945.32</v>
      </c>
      <c r="T471" s="7">
        <f>IF($A471="","",IF(AND(LEFT($G471,3)="ДОК",$N471&lt;&gt;""),0,IF(AND(LEFT($G471,3)&lt;&gt;"ДОК",$N471&lt;&gt;""),IFERROR(INDEX(МАТЕРИАЛЫ!$H$2:$H$9000,MATCH($N471,МАТЕРИАЛЫ!$L$2:$L$9000,0))*IF(INDEX(МАТЕРИАЛЫ!$I$2:$I$9000,MATCH($N471,МАТЕРИАЛЫ!$L$2:$L$9000,0))="USD",КурсUSD,IF(INDEX(МАТЕРИАЛЫ!$I$2:$I$9000,MATCH($N471,МАТЕРИАЛЫ!$L$2:$L$9000,0))="EUR",КурсEUR,IF(INDEX(МАТЕРИАЛЫ!$I$2:$I$9000,MATCH($N471,МАТЕРИАЛЫ!$L$2:$L$9000,0))="CNY",КурсCNY,1)))*(1+N($H471)/100),0),N($O471))*(1-MEDIAN(0,N(ДисконтТендер),1))))</f>
        <v>0</v>
      </c>
      <c r="U471" t="str">
        <f>IF($L471="да",MAX($U$1:$U470)+1,"")</f>
        <v/>
      </c>
      <c r="V471" t="str">
        <f t="shared" si="52"/>
        <v>Р5</v>
      </c>
      <c r="W471" t="str">
        <f t="shared" si="53"/>
        <v/>
      </c>
      <c r="X471" t="str">
        <f t="shared" si="54"/>
        <v/>
      </c>
      <c r="Y471" s="4" t="str">
        <f>IF($A471="","",IF(AND(LEFT($G471,3)="ДОК",$N471&lt;&gt;""),IFERROR(INDEX(Документация!$G$2:$G$57,MATCH($N471,Документация!$F$2:$F$57,0)),$D471),$D471&amp;IF(AND(LEFT($G471,3)&lt;&gt;"ДОК",$N471&lt;&gt;"")," — "&amp;IFERROR(INDEX(МАТЕРИАЛЫ!$C$2:$C$9000,MATCH($N471,МАТЕРИАЛЫ!$L$2:$L$9000,0)),""),"")))</f>
        <v>Монтаж задвижек 30с64нж Ду50</v>
      </c>
      <c r="Z471" t="str">
        <f t="shared" si="55"/>
        <v>Р5 · Водоснабжение и канализация</v>
      </c>
    </row>
    <row r="472" spans="1:26" x14ac:dyDescent="0.3">
      <c r="A472" t="s">
        <v>1038</v>
      </c>
      <c r="B472" t="s">
        <v>953</v>
      </c>
      <c r="C472" t="s">
        <v>194</v>
      </c>
      <c r="D472" s="4" t="s">
        <v>1039</v>
      </c>
      <c r="E472" t="s">
        <v>114</v>
      </c>
      <c r="F472" s="5">
        <v>1933.25</v>
      </c>
      <c r="G472" t="s">
        <v>961</v>
      </c>
      <c r="H472">
        <v>5</v>
      </c>
      <c r="I472" t="s">
        <v>53</v>
      </c>
      <c r="L472" s="6"/>
      <c r="M472" s="6"/>
      <c r="N472" s="6"/>
      <c r="O472" s="5"/>
      <c r="P472" s="7" t="str">
        <f t="shared" si="49"/>
        <v/>
      </c>
      <c r="Q472" s="7" t="str">
        <f t="shared" si="50"/>
        <v/>
      </c>
      <c r="R472" s="7" t="str">
        <f t="shared" si="51"/>
        <v/>
      </c>
      <c r="S472" s="7">
        <f>IF($A472="","",IF(AND(LEFT($G472,3)="ДОК",$N472&lt;&gt;""),IFERROR(INDEX(Документация!$E$2:$E$57,MATCH($N472,Документация!$F$2:$F$57,0)),0),N($F472))*(1-MEDIAN(0,N(ДисконтТендер),1)))</f>
        <v>1933.25</v>
      </c>
      <c r="T472" s="7">
        <f>IF($A472="","",IF(AND(LEFT($G472,3)="ДОК",$N472&lt;&gt;""),0,IF(AND(LEFT($G472,3)&lt;&gt;"ДОК",$N472&lt;&gt;""),IFERROR(INDEX(МАТЕРИАЛЫ!$H$2:$H$9000,MATCH($N472,МАТЕРИАЛЫ!$L$2:$L$9000,0))*IF(INDEX(МАТЕРИАЛЫ!$I$2:$I$9000,MATCH($N472,МАТЕРИАЛЫ!$L$2:$L$9000,0))="USD",КурсUSD,IF(INDEX(МАТЕРИАЛЫ!$I$2:$I$9000,MATCH($N472,МАТЕРИАЛЫ!$L$2:$L$9000,0))="EUR",КурсEUR,IF(INDEX(МАТЕРИАЛЫ!$I$2:$I$9000,MATCH($N472,МАТЕРИАЛЫ!$L$2:$L$9000,0))="CNY",КурсCNY,1)))*(1+N($H472)/100),0),N($O472))*(1-MEDIAN(0,N(ДисконтТендер),1))))</f>
        <v>0</v>
      </c>
      <c r="U472" t="str">
        <f>IF($L472="да",MAX($U$1:$U471)+1,"")</f>
        <v/>
      </c>
      <c r="V472" t="str">
        <f t="shared" si="52"/>
        <v>Р5</v>
      </c>
      <c r="W472" t="str">
        <f t="shared" si="53"/>
        <v/>
      </c>
      <c r="X472" t="str">
        <f t="shared" si="54"/>
        <v/>
      </c>
      <c r="Y472" s="4" t="str">
        <f>IF($A472="","",IF(AND(LEFT($G472,3)="ДОК",$N472&lt;&gt;""),IFERROR(INDEX(Документация!$G$2:$G$57,MATCH($N472,Документация!$F$2:$F$57,0)),$D472),$D472&amp;IF(AND(LEFT($G472,3)&lt;&gt;"ДОК",$N472&lt;&gt;"")," — "&amp;IFERROR(INDEX(МАТЕРИАЛЫ!$C$2:$C$9000,MATCH($N472,МАТЕРИАЛЫ!$L$2:$L$9000,0)),""),"")))</f>
        <v>Клапан обратный 50 мм</v>
      </c>
      <c r="Z472" t="str">
        <f t="shared" si="55"/>
        <v>Р5 · Водоснабжение и канализация</v>
      </c>
    </row>
    <row r="473" spans="1:26" ht="57.6" x14ac:dyDescent="0.3">
      <c r="A473" t="s">
        <v>1040</v>
      </c>
      <c r="B473" t="s">
        <v>953</v>
      </c>
      <c r="C473" t="s">
        <v>194</v>
      </c>
      <c r="D473" s="4" t="s">
        <v>1041</v>
      </c>
      <c r="E473" t="s">
        <v>153</v>
      </c>
      <c r="F473" s="5">
        <v>791.7</v>
      </c>
      <c r="G473" t="s">
        <v>964</v>
      </c>
      <c r="H473">
        <v>5</v>
      </c>
      <c r="I473" t="s">
        <v>53</v>
      </c>
      <c r="L473" s="6"/>
      <c r="M473" s="6"/>
      <c r="N473" s="6"/>
      <c r="O473" s="5"/>
      <c r="P473" s="7" t="str">
        <f t="shared" si="49"/>
        <v/>
      </c>
      <c r="Q473" s="7" t="str">
        <f t="shared" si="50"/>
        <v/>
      </c>
      <c r="R473" s="7" t="str">
        <f t="shared" si="51"/>
        <v/>
      </c>
      <c r="S473" s="7">
        <f>IF($A473="","",IF(AND(LEFT($G473,3)="ДОК",$N473&lt;&gt;""),IFERROR(INDEX(Документация!$E$2:$E$57,MATCH($N473,Документация!$F$2:$F$57,0)),0),N($F473))*(1-MEDIAN(0,N(ДисконтТендер),1)))</f>
        <v>791.7</v>
      </c>
      <c r="T473" s="7">
        <f>IF($A473="","",IF(AND(LEFT($G473,3)="ДОК",$N473&lt;&gt;""),0,IF(AND(LEFT($G473,3)&lt;&gt;"ДОК",$N473&lt;&gt;""),IFERROR(INDEX(МАТЕРИАЛЫ!$H$2:$H$9000,MATCH($N473,МАТЕРИАЛЫ!$L$2:$L$9000,0))*IF(INDEX(МАТЕРИАЛЫ!$I$2:$I$9000,MATCH($N473,МАТЕРИАЛЫ!$L$2:$L$9000,0))="USD",КурсUSD,IF(INDEX(МАТЕРИАЛЫ!$I$2:$I$9000,MATCH($N473,МАТЕРИАЛЫ!$L$2:$L$9000,0))="EUR",КурсEUR,IF(INDEX(МАТЕРИАЛЫ!$I$2:$I$9000,MATCH($N473,МАТЕРИАЛЫ!$L$2:$L$9000,0))="CNY",КурсCNY,1)))*(1+N($H473)/100),0),N($O473))*(1-MEDIAN(0,N(ДисконтТендер),1))))</f>
        <v>0</v>
      </c>
      <c r="U473" t="str">
        <f>IF($L473="да",MAX($U$1:$U472)+1,"")</f>
        <v/>
      </c>
      <c r="V473" t="str">
        <f t="shared" si="52"/>
        <v>Р5</v>
      </c>
      <c r="W473" t="str">
        <f t="shared" si="53"/>
        <v/>
      </c>
      <c r="X473" t="str">
        <f t="shared" si="54"/>
        <v/>
      </c>
      <c r="Y473" s="4" t="str">
        <f>IF($A473="","",IF(AND(LEFT($G473,3)="ДОК",$N473&lt;&gt;""),IFERROR(INDEX(Документация!$G$2:$G$57,MATCH($N473,Документация!$F$2:$F$57,0)),$D473),$D473&amp;IF(AND(LEFT($G473,3)&lt;&gt;"ДОК",$N473&lt;&gt;"")," — "&amp;IFERROR(INDEX(МАТЕРИАЛЫ!$C$2:$C$9000,MATCH($N473,МАТЕРИАЛЫ!$L$2:$L$9000,0)),""),"")))</f>
        <v>Монтаж Трубы ПВХ для систем наружной канализации ТУ 2248-057-72311668-2007 из ПВХ оранжевого цвета диаметром от 150 мм классом жесткости SN 4</v>
      </c>
      <c r="Z473" t="str">
        <f t="shared" si="55"/>
        <v>Р5 · Водоснабжение и канализация</v>
      </c>
    </row>
    <row r="474" spans="1:26" x14ac:dyDescent="0.3">
      <c r="A474" t="s">
        <v>1042</v>
      </c>
      <c r="B474" t="s">
        <v>953</v>
      </c>
      <c r="C474" t="s">
        <v>229</v>
      </c>
      <c r="D474" s="4" t="s">
        <v>1043</v>
      </c>
      <c r="E474" t="s">
        <v>114</v>
      </c>
      <c r="F474" s="5">
        <v>4180</v>
      </c>
      <c r="H474">
        <v>0</v>
      </c>
      <c r="I474" t="s">
        <v>53</v>
      </c>
      <c r="L474" s="6"/>
      <c r="M474" s="6"/>
      <c r="N474" s="6"/>
      <c r="O474" s="5"/>
      <c r="P474" s="7" t="str">
        <f t="shared" si="49"/>
        <v/>
      </c>
      <c r="Q474" s="7" t="str">
        <f t="shared" si="50"/>
        <v/>
      </c>
      <c r="R474" s="7" t="str">
        <f t="shared" si="51"/>
        <v/>
      </c>
      <c r="S474" s="7">
        <f>IF($A474="","",IF(AND(LEFT($G474,3)="ДОК",$N474&lt;&gt;""),IFERROR(INDEX(Документация!$E$2:$E$57,MATCH($N474,Документация!$F$2:$F$57,0)),0),N($F474))*(1-MEDIAN(0,N(ДисконтТендер),1)))</f>
        <v>4180</v>
      </c>
      <c r="T474" s="7">
        <f>IF($A474="","",IF(AND(LEFT($G474,3)="ДОК",$N474&lt;&gt;""),0,IF(AND(LEFT($G474,3)&lt;&gt;"ДОК",$N474&lt;&gt;""),IFERROR(INDEX(МАТЕРИАЛЫ!$H$2:$H$9000,MATCH($N474,МАТЕРИАЛЫ!$L$2:$L$9000,0))*IF(INDEX(МАТЕРИАЛЫ!$I$2:$I$9000,MATCH($N474,МАТЕРИАЛЫ!$L$2:$L$9000,0))="USD",КурсUSD,IF(INDEX(МАТЕРИАЛЫ!$I$2:$I$9000,MATCH($N474,МАТЕРИАЛЫ!$L$2:$L$9000,0))="EUR",КурсEUR,IF(INDEX(МАТЕРИАЛЫ!$I$2:$I$9000,MATCH($N474,МАТЕРИАЛЫ!$L$2:$L$9000,0))="CNY",КурсCNY,1)))*(1+N($H474)/100),0),N($O474))*(1-MEDIAN(0,N(ДисконтТендер),1))))</f>
        <v>0</v>
      </c>
      <c r="U474" t="str">
        <f>IF($L474="да",MAX($U$1:$U473)+1,"")</f>
        <v/>
      </c>
      <c r="V474" t="str">
        <f t="shared" si="52"/>
        <v>Р5</v>
      </c>
      <c r="W474" t="str">
        <f t="shared" si="53"/>
        <v/>
      </c>
      <c r="X474" t="str">
        <f t="shared" si="54"/>
        <v/>
      </c>
      <c r="Y474" s="4" t="str">
        <f>IF($A474="","",IF(AND(LEFT($G474,3)="ДОК",$N474&lt;&gt;""),IFERROR(INDEX(Документация!$G$2:$G$57,MATCH($N474,Документация!$F$2:$F$57,0)),$D474),$D474&amp;IF(AND(LEFT($G474,3)&lt;&gt;"ДОК",$N474&lt;&gt;"")," — "&amp;IFERROR(INDEX(МАТЕРИАЛЫ!$C$2:$C$9000,MATCH($N474,МАТЕРИАЛЫ!$L$2:$L$9000,0)),""),"")))</f>
        <v>Перенос оросителя спринклера</v>
      </c>
      <c r="Z474" t="str">
        <f t="shared" si="55"/>
        <v>Р5 · Водоснабжение и канализация</v>
      </c>
    </row>
    <row r="475" spans="1:26" ht="28.8" x14ac:dyDescent="0.3">
      <c r="A475" t="s">
        <v>1044</v>
      </c>
      <c r="B475" t="s">
        <v>953</v>
      </c>
      <c r="C475" t="s">
        <v>229</v>
      </c>
      <c r="D475" s="4" t="s">
        <v>1045</v>
      </c>
      <c r="E475" t="s">
        <v>52</v>
      </c>
      <c r="F475" s="5">
        <v>2714.4</v>
      </c>
      <c r="H475">
        <v>0</v>
      </c>
      <c r="I475" t="s">
        <v>53</v>
      </c>
      <c r="L475" s="6"/>
      <c r="M475" s="6"/>
      <c r="N475" s="6"/>
      <c r="O475" s="5"/>
      <c r="P475" s="7" t="str">
        <f t="shared" si="49"/>
        <v/>
      </c>
      <c r="Q475" s="7" t="str">
        <f t="shared" si="50"/>
        <v/>
      </c>
      <c r="R475" s="7" t="str">
        <f t="shared" si="51"/>
        <v/>
      </c>
      <c r="S475" s="7">
        <f>IF($A475="","",IF(AND(LEFT($G475,3)="ДОК",$N475&lt;&gt;""),IFERROR(INDEX(Документация!$E$2:$E$57,MATCH($N475,Документация!$F$2:$F$57,0)),0),N($F475))*(1-MEDIAN(0,N(ДисконтТендер),1)))</f>
        <v>2714.4</v>
      </c>
      <c r="T475" s="7">
        <f>IF($A475="","",IF(AND(LEFT($G475,3)="ДОК",$N475&lt;&gt;""),0,IF(AND(LEFT($G475,3)&lt;&gt;"ДОК",$N475&lt;&gt;""),IFERROR(INDEX(МАТЕРИАЛЫ!$H$2:$H$9000,MATCH($N475,МАТЕРИАЛЫ!$L$2:$L$9000,0))*IF(INDEX(МАТЕРИАЛЫ!$I$2:$I$9000,MATCH($N475,МАТЕРИАЛЫ!$L$2:$L$9000,0))="USD",КурсUSD,IF(INDEX(МАТЕРИАЛЫ!$I$2:$I$9000,MATCH($N475,МАТЕРИАЛЫ!$L$2:$L$9000,0))="EUR",КурсEUR,IF(INDEX(МАТЕРИАЛЫ!$I$2:$I$9000,MATCH($N475,МАТЕРИАЛЫ!$L$2:$L$9000,0))="CNY",КурсCNY,1)))*(1+N($H475)/100),0),N($O475))*(1-MEDIAN(0,N(ДисконтТендер),1))))</f>
        <v>0</v>
      </c>
      <c r="U475" t="str">
        <f>IF($L475="да",MAX($U$1:$U474)+1,"")</f>
        <v/>
      </c>
      <c r="V475" t="str">
        <f t="shared" si="52"/>
        <v>Р5</v>
      </c>
      <c r="W475" t="str">
        <f t="shared" si="53"/>
        <v/>
      </c>
      <c r="X475" t="str">
        <f t="shared" si="54"/>
        <v/>
      </c>
      <c r="Y475" s="4" t="str">
        <f>IF($A475="","",IF(AND(LEFT($G475,3)="ДОК",$N475&lt;&gt;""),IFERROR(INDEX(Документация!$G$2:$G$57,MATCH($N475,Документация!$F$2:$F$57,0)),$D475),$D475&amp;IF(AND(LEFT($G475,3)&lt;&gt;"ДОК",$N475&lt;&gt;"")," — "&amp;IFERROR(INDEX(МАТЕРИАЛЫ!$C$2:$C$9000,MATCH($N475,МАТЕРИАЛЫ!$L$2:$L$9000,0)),""),"")))</f>
        <v>Устройство спринкерной системы пожаротушения ( в том числе гибкие подводки, оросители и т.д)</v>
      </c>
      <c r="Z475" t="str">
        <f t="shared" si="55"/>
        <v>Р5 · Водоснабжение и канализация</v>
      </c>
    </row>
    <row r="476" spans="1:26" x14ac:dyDescent="0.3">
      <c r="A476" t="s">
        <v>1046</v>
      </c>
      <c r="B476" t="s">
        <v>1047</v>
      </c>
      <c r="C476" t="s">
        <v>50</v>
      </c>
      <c r="D476" s="4" t="s">
        <v>1048</v>
      </c>
      <c r="E476" t="s">
        <v>114</v>
      </c>
      <c r="F476" s="5">
        <v>2090</v>
      </c>
      <c r="G476" t="s">
        <v>964</v>
      </c>
      <c r="H476">
        <v>5</v>
      </c>
      <c r="I476" t="s">
        <v>53</v>
      </c>
      <c r="L476" s="6"/>
      <c r="M476" s="6"/>
      <c r="N476" s="6"/>
      <c r="O476" s="5"/>
      <c r="P476" s="7" t="str">
        <f t="shared" si="49"/>
        <v/>
      </c>
      <c r="Q476" s="7" t="str">
        <f t="shared" si="50"/>
        <v/>
      </c>
      <c r="R476" s="7" t="str">
        <f t="shared" si="51"/>
        <v/>
      </c>
      <c r="S476" s="7">
        <f>IF($A476="","",IF(AND(LEFT($G476,3)="ДОК",$N476&lt;&gt;""),IFERROR(INDEX(Документация!$E$2:$E$57,MATCH($N476,Документация!$F$2:$F$57,0)),0),N($F476))*(1-MEDIAN(0,N(ДисконтТендер),1)))</f>
        <v>2090</v>
      </c>
      <c r="T476" s="7">
        <f>IF($A476="","",IF(AND(LEFT($G476,3)="ДОК",$N476&lt;&gt;""),0,IF(AND(LEFT($G476,3)&lt;&gt;"ДОК",$N476&lt;&gt;""),IFERROR(INDEX(МАТЕРИАЛЫ!$H$2:$H$9000,MATCH($N476,МАТЕРИАЛЫ!$L$2:$L$9000,0))*IF(INDEX(МАТЕРИАЛЫ!$I$2:$I$9000,MATCH($N476,МАТЕРИАЛЫ!$L$2:$L$9000,0))="USD",КурсUSD,IF(INDEX(МАТЕРИАЛЫ!$I$2:$I$9000,MATCH($N476,МАТЕРИАЛЫ!$L$2:$L$9000,0))="EUR",КурсEUR,IF(INDEX(МАТЕРИАЛЫ!$I$2:$I$9000,MATCH($N476,МАТЕРИАЛЫ!$L$2:$L$9000,0))="CNY",КурсCNY,1)))*(1+N($H476)/100),0),N($O476))*(1-MEDIAN(0,N(ДисконтТендер),1))))</f>
        <v>0</v>
      </c>
      <c r="U476" t="str">
        <f>IF($L476="да",MAX($U$1:$U475)+1,"")</f>
        <v/>
      </c>
      <c r="V476" t="str">
        <f t="shared" si="52"/>
        <v>Р6</v>
      </c>
      <c r="W476" t="str">
        <f t="shared" si="53"/>
        <v/>
      </c>
      <c r="X476" t="str">
        <f t="shared" si="54"/>
        <v/>
      </c>
      <c r="Y476" s="4" t="str">
        <f>IF($A476="","",IF(AND(LEFT($G476,3)="ДОК",$N476&lt;&gt;""),IFERROR(INDEX(Документация!$G$2:$G$57,MATCH($N476,Документация!$F$2:$F$57,0)),$D476),$D476&amp;IF(AND(LEFT($G476,3)&lt;&gt;"ДОК",$N476&lt;&gt;"")," — "&amp;IFERROR(INDEX(МАТЕРИАЛЫ!$C$2:$C$9000,MATCH($N476,МАТЕРИАЛЫ!$L$2:$L$9000,0)),""),"")))</f>
        <v>Отключение стояков отопления</v>
      </c>
      <c r="Z476" t="str">
        <f t="shared" si="55"/>
        <v>Р6 · Отопление</v>
      </c>
    </row>
    <row r="477" spans="1:26" ht="28.8" x14ac:dyDescent="0.3">
      <c r="A477" t="s">
        <v>1049</v>
      </c>
      <c r="B477" t="s">
        <v>1047</v>
      </c>
      <c r="C477" t="s">
        <v>50</v>
      </c>
      <c r="D477" s="4" t="s">
        <v>1050</v>
      </c>
      <c r="E477" t="s">
        <v>114</v>
      </c>
      <c r="F477" s="5">
        <v>4702.5</v>
      </c>
      <c r="H477">
        <v>0</v>
      </c>
      <c r="I477" t="s">
        <v>53</v>
      </c>
      <c r="L477" s="6"/>
      <c r="M477" s="6"/>
      <c r="N477" s="6"/>
      <c r="O477" s="5"/>
      <c r="P477" s="7" t="str">
        <f t="shared" si="49"/>
        <v/>
      </c>
      <c r="Q477" s="7" t="str">
        <f t="shared" si="50"/>
        <v/>
      </c>
      <c r="R477" s="7" t="str">
        <f t="shared" si="51"/>
        <v/>
      </c>
      <c r="S477" s="7">
        <f>IF($A477="","",IF(AND(LEFT($G477,3)="ДОК",$N477&lt;&gt;""),IFERROR(INDEX(Документация!$E$2:$E$57,MATCH($N477,Документация!$F$2:$F$57,0)),0),N($F477))*(1-MEDIAN(0,N(ДисконтТендер),1)))</f>
        <v>4702.5</v>
      </c>
      <c r="T477" s="7">
        <f>IF($A477="","",IF(AND(LEFT($G477,3)="ДОК",$N477&lt;&gt;""),0,IF(AND(LEFT($G477,3)&lt;&gt;"ДОК",$N477&lt;&gt;""),IFERROR(INDEX(МАТЕРИАЛЫ!$H$2:$H$9000,MATCH($N477,МАТЕРИАЛЫ!$L$2:$L$9000,0))*IF(INDEX(МАТЕРИАЛЫ!$I$2:$I$9000,MATCH($N477,МАТЕРИАЛЫ!$L$2:$L$9000,0))="USD",КурсUSD,IF(INDEX(МАТЕРИАЛЫ!$I$2:$I$9000,MATCH($N477,МАТЕРИАЛЫ!$L$2:$L$9000,0))="EUR",КурсEUR,IF(INDEX(МАТЕРИАЛЫ!$I$2:$I$9000,MATCH($N477,МАТЕРИАЛЫ!$L$2:$L$9000,0))="CNY",КурсCNY,1)))*(1+N($H477)/100),0),N($O477))*(1-MEDIAN(0,N(ДисконтТендер),1))))</f>
        <v>0</v>
      </c>
      <c r="U477" t="str">
        <f>IF($L477="да",MAX($U$1:$U476)+1,"")</f>
        <v/>
      </c>
      <c r="V477" t="str">
        <f t="shared" si="52"/>
        <v>Р6</v>
      </c>
      <c r="W477" t="str">
        <f t="shared" si="53"/>
        <v/>
      </c>
      <c r="X477" t="str">
        <f t="shared" si="54"/>
        <v/>
      </c>
      <c r="Y477" s="4" t="str">
        <f>IF($A477="","",IF(AND(LEFT($G477,3)="ДОК",$N477&lt;&gt;""),IFERROR(INDEX(Документация!$G$2:$G$57,MATCH($N477,Документация!$F$2:$F$57,0)),$D477),$D477&amp;IF(AND(LEFT($G477,3)&lt;&gt;"ДОК",$N477&lt;&gt;"")," — "&amp;IFERROR(INDEX(МАТЕРИАЛЫ!$C$2:$C$9000,MATCH($N477,МАТЕРИАЛЫ!$L$2:$L$9000,0)),""),"")))</f>
        <v>Работы на существующих инженерных сетях (отключение / промывка / врезка)</v>
      </c>
      <c r="Z477" t="str">
        <f t="shared" si="55"/>
        <v>Р6 · Отопление</v>
      </c>
    </row>
    <row r="478" spans="1:26" x14ac:dyDescent="0.3">
      <c r="A478" t="s">
        <v>1051</v>
      </c>
      <c r="B478" t="s">
        <v>1047</v>
      </c>
      <c r="C478" t="s">
        <v>50</v>
      </c>
      <c r="D478" s="4" t="s">
        <v>1052</v>
      </c>
      <c r="E478" t="s">
        <v>1053</v>
      </c>
      <c r="F478" s="5">
        <v>470.25</v>
      </c>
      <c r="G478" t="s">
        <v>1054</v>
      </c>
      <c r="H478">
        <v>5</v>
      </c>
      <c r="I478" t="s">
        <v>53</v>
      </c>
      <c r="L478" s="6"/>
      <c r="M478" s="6"/>
      <c r="N478" s="6"/>
      <c r="O478" s="5"/>
      <c r="P478" s="7" t="str">
        <f t="shared" si="49"/>
        <v/>
      </c>
      <c r="Q478" s="7" t="str">
        <f t="shared" si="50"/>
        <v/>
      </c>
      <c r="R478" s="7" t="str">
        <f t="shared" si="51"/>
        <v/>
      </c>
      <c r="S478" s="7">
        <f>IF($A478="","",IF(AND(LEFT($G478,3)="ДОК",$N478&lt;&gt;""),IFERROR(INDEX(Документация!$E$2:$E$57,MATCH($N478,Документация!$F$2:$F$57,0)),0),N($F478))*(1-MEDIAN(0,N(ДисконтТендер),1)))</f>
        <v>470.25</v>
      </c>
      <c r="T478" s="7">
        <f>IF($A478="","",IF(AND(LEFT($G478,3)="ДОК",$N478&lt;&gt;""),0,IF(AND(LEFT($G478,3)&lt;&gt;"ДОК",$N478&lt;&gt;""),IFERROR(INDEX(МАТЕРИАЛЫ!$H$2:$H$9000,MATCH($N478,МАТЕРИАЛЫ!$L$2:$L$9000,0))*IF(INDEX(МАТЕРИАЛЫ!$I$2:$I$9000,MATCH($N478,МАТЕРИАЛЫ!$L$2:$L$9000,0))="USD",КурсUSD,IF(INDEX(МАТЕРИАЛЫ!$I$2:$I$9000,MATCH($N478,МАТЕРИАЛЫ!$L$2:$L$9000,0))="EUR",КурсEUR,IF(INDEX(МАТЕРИАЛЫ!$I$2:$I$9000,MATCH($N478,МАТЕРИАЛЫ!$L$2:$L$9000,0))="CNY",КурсCNY,1)))*(1+N($H478)/100),0),N($O478))*(1-MEDIAN(0,N(ДисконтТендер),1))))</f>
        <v>0</v>
      </c>
      <c r="U478" t="str">
        <f>IF($L478="да",MAX($U$1:$U477)+1,"")</f>
        <v/>
      </c>
      <c r="V478" t="str">
        <f t="shared" si="52"/>
        <v>Р6</v>
      </c>
      <c r="W478" t="str">
        <f t="shared" si="53"/>
        <v/>
      </c>
      <c r="X478" t="str">
        <f t="shared" si="54"/>
        <v/>
      </c>
      <c r="Y478" s="4" t="str">
        <f>IF($A478="","",IF(AND(LEFT($G478,3)="ДОК",$N478&lt;&gt;""),IFERROR(INDEX(Документация!$G$2:$G$57,MATCH($N478,Документация!$F$2:$F$57,0)),$D478),$D478&amp;IF(AND(LEFT($G478,3)&lt;&gt;"ДОК",$N478&lt;&gt;"")," — "&amp;IFERROR(INDEX(МАТЕРИАЛЫ!$C$2:$C$9000,MATCH($N478,МАТЕРИАЛЫ!$L$2:$L$9000,0)),""),"")))</f>
        <v>Монтаж радиатора отопления</v>
      </c>
      <c r="Z478" t="str">
        <f t="shared" si="55"/>
        <v>Р6 · Отопление</v>
      </c>
    </row>
    <row r="479" spans="1:26" ht="28.8" x14ac:dyDescent="0.3">
      <c r="A479" t="s">
        <v>1055</v>
      </c>
      <c r="B479" t="s">
        <v>1047</v>
      </c>
      <c r="C479" t="s">
        <v>50</v>
      </c>
      <c r="D479" s="4" t="s">
        <v>995</v>
      </c>
      <c r="E479" t="s">
        <v>114</v>
      </c>
      <c r="F479" s="5">
        <v>588.12</v>
      </c>
      <c r="G479" t="s">
        <v>961</v>
      </c>
      <c r="H479">
        <v>5</v>
      </c>
      <c r="I479" t="s">
        <v>53</v>
      </c>
      <c r="L479" s="6"/>
      <c r="M479" s="6"/>
      <c r="N479" s="6"/>
      <c r="O479" s="5"/>
      <c r="P479" s="7" t="str">
        <f t="shared" si="49"/>
        <v/>
      </c>
      <c r="Q479" s="7" t="str">
        <f t="shared" si="50"/>
        <v/>
      </c>
      <c r="R479" s="7" t="str">
        <f t="shared" si="51"/>
        <v/>
      </c>
      <c r="S479" s="7">
        <f>IF($A479="","",IF(AND(LEFT($G479,3)="ДОК",$N479&lt;&gt;""),IFERROR(INDEX(Документация!$E$2:$E$57,MATCH($N479,Документация!$F$2:$F$57,0)),0),N($F479))*(1-MEDIAN(0,N(ДисконтТендер),1)))</f>
        <v>588.12</v>
      </c>
      <c r="T479" s="7">
        <f>IF($A479="","",IF(AND(LEFT($G479,3)="ДОК",$N479&lt;&gt;""),0,IF(AND(LEFT($G479,3)&lt;&gt;"ДОК",$N479&lt;&gt;""),IFERROR(INDEX(МАТЕРИАЛЫ!$H$2:$H$9000,MATCH($N479,МАТЕРИАЛЫ!$L$2:$L$9000,0))*IF(INDEX(МАТЕРИАЛЫ!$I$2:$I$9000,MATCH($N479,МАТЕРИАЛЫ!$L$2:$L$9000,0))="USD",КурсUSD,IF(INDEX(МАТЕРИАЛЫ!$I$2:$I$9000,MATCH($N479,МАТЕРИАЛЫ!$L$2:$L$9000,0))="EUR",КурсEUR,IF(INDEX(МАТЕРИАЛЫ!$I$2:$I$9000,MATCH($N479,МАТЕРИАЛЫ!$L$2:$L$9000,0))="CNY",КурсCNY,1)))*(1+N($H479)/100),0),N($O479))*(1-MEDIAN(0,N(ДисконтТендер),1))))</f>
        <v>0</v>
      </c>
      <c r="U479" t="str">
        <f>IF($L479="да",MAX($U$1:$U478)+1,"")</f>
        <v/>
      </c>
      <c r="V479" t="str">
        <f t="shared" si="52"/>
        <v>Р6</v>
      </c>
      <c r="W479" t="str">
        <f t="shared" si="53"/>
        <v/>
      </c>
      <c r="X479" t="str">
        <f t="shared" si="54"/>
        <v/>
      </c>
      <c r="Y479" s="4" t="str">
        <f>IF($A479="","",IF(AND(LEFT($G479,3)="ДОК",$N479&lt;&gt;""),IFERROR(INDEX(Документация!$G$2:$G$57,MATCH($N479,Документация!$F$2:$F$57,0)),$D479),$D479&amp;IF(AND(LEFT($G479,3)&lt;&gt;"ДОК",$N479&lt;&gt;"")," — "&amp;IFERROR(INDEX(МАТЕРИАЛЫ!$C$2:$C$9000,MATCH($N479,МАТЕРИАЛЫ!$L$2:$L$9000,0)),""),"")))</f>
        <v>Монтаж арматуры и фасонных частей (ВК / отопление)</v>
      </c>
      <c r="Z479" t="str">
        <f t="shared" si="55"/>
        <v>Р6 · Отопление</v>
      </c>
    </row>
    <row r="480" spans="1:26" ht="28.8" x14ac:dyDescent="0.3">
      <c r="A480" t="s">
        <v>1056</v>
      </c>
      <c r="B480" t="s">
        <v>1047</v>
      </c>
      <c r="C480" t="s">
        <v>50</v>
      </c>
      <c r="D480" s="4" t="s">
        <v>1057</v>
      </c>
      <c r="E480" t="s">
        <v>83</v>
      </c>
      <c r="F480" s="5">
        <v>271.44</v>
      </c>
      <c r="G480" t="s">
        <v>1058</v>
      </c>
      <c r="H480">
        <v>5</v>
      </c>
      <c r="I480" t="s">
        <v>53</v>
      </c>
      <c r="L480" s="6"/>
      <c r="M480" s="6"/>
      <c r="N480" s="6"/>
      <c r="O480" s="5"/>
      <c r="P480" s="7" t="str">
        <f t="shared" si="49"/>
        <v/>
      </c>
      <c r="Q480" s="7" t="str">
        <f t="shared" si="50"/>
        <v/>
      </c>
      <c r="R480" s="7" t="str">
        <f t="shared" si="51"/>
        <v/>
      </c>
      <c r="S480" s="7">
        <f>IF($A480="","",IF(AND(LEFT($G480,3)="ДОК",$N480&lt;&gt;""),IFERROR(INDEX(Документация!$E$2:$E$57,MATCH($N480,Документация!$F$2:$F$57,0)),0),N($F480))*(1-MEDIAN(0,N(ДисконтТендер),1)))</f>
        <v>271.44</v>
      </c>
      <c r="T480" s="7">
        <f>IF($A480="","",IF(AND(LEFT($G480,3)="ДОК",$N480&lt;&gt;""),0,IF(AND(LEFT($G480,3)&lt;&gt;"ДОК",$N480&lt;&gt;""),IFERROR(INDEX(МАТЕРИАЛЫ!$H$2:$H$9000,MATCH($N480,МАТЕРИАЛЫ!$L$2:$L$9000,0))*IF(INDEX(МАТЕРИАЛЫ!$I$2:$I$9000,MATCH($N480,МАТЕРИАЛЫ!$L$2:$L$9000,0))="USD",КурсUSD,IF(INDEX(МАТЕРИАЛЫ!$I$2:$I$9000,MATCH($N480,МАТЕРИАЛЫ!$L$2:$L$9000,0))="EUR",КурсEUR,IF(INDEX(МАТЕРИАЛЫ!$I$2:$I$9000,MATCH($N480,МАТЕРИАЛЫ!$L$2:$L$9000,0))="CNY",КурсCNY,1)))*(1+N($H480)/100),0),N($O480))*(1-MEDIAN(0,N(ДисконтТендер),1))))</f>
        <v>0</v>
      </c>
      <c r="U480" t="str">
        <f>IF($L480="да",MAX($U$1:$U479)+1,"")</f>
        <v/>
      </c>
      <c r="V480" t="str">
        <f t="shared" si="52"/>
        <v>Р6</v>
      </c>
      <c r="W480" t="str">
        <f t="shared" si="53"/>
        <v/>
      </c>
      <c r="X480" t="str">
        <f t="shared" si="54"/>
        <v/>
      </c>
      <c r="Y480" s="4" t="str">
        <f>IF($A480="","",IF(AND(LEFT($G480,3)="ДОК",$N480&lt;&gt;""),IFERROR(INDEX(Документация!$G$2:$G$57,MATCH($N480,Документация!$F$2:$F$57,0)),$D480),$D480&amp;IF(AND(LEFT($G480,3)&lt;&gt;"ДОК",$N480&lt;&gt;"")," — "&amp;IFERROR(INDEX(МАТЕРИАЛЫ!$C$2:$C$9000,MATCH($N480,МАТЕРИАЛЫ!$L$2:$L$9000,0)),""),"")))</f>
        <v>Монтаж комплектующих радиатора (кронштейны, узлы подключения)</v>
      </c>
      <c r="Z480" t="str">
        <f t="shared" si="55"/>
        <v>Р6 · Отопление</v>
      </c>
    </row>
    <row r="481" spans="1:26" ht="28.8" x14ac:dyDescent="0.3">
      <c r="A481" t="s">
        <v>1059</v>
      </c>
      <c r="B481" t="s">
        <v>1047</v>
      </c>
      <c r="C481" t="s">
        <v>50</v>
      </c>
      <c r="D481" s="4" t="s">
        <v>1057</v>
      </c>
      <c r="E481" t="s">
        <v>83</v>
      </c>
      <c r="F481" s="5">
        <v>305.37</v>
      </c>
      <c r="G481" t="s">
        <v>1058</v>
      </c>
      <c r="H481">
        <v>5</v>
      </c>
      <c r="I481" t="s">
        <v>53</v>
      </c>
      <c r="L481" s="6"/>
      <c r="M481" s="6"/>
      <c r="N481" s="6"/>
      <c r="O481" s="5"/>
      <c r="P481" s="7" t="str">
        <f t="shared" si="49"/>
        <v/>
      </c>
      <c r="Q481" s="7" t="str">
        <f t="shared" si="50"/>
        <v/>
      </c>
      <c r="R481" s="7" t="str">
        <f t="shared" si="51"/>
        <v/>
      </c>
      <c r="S481" s="7">
        <f>IF($A481="","",IF(AND(LEFT($G481,3)="ДОК",$N481&lt;&gt;""),IFERROR(INDEX(Документация!$E$2:$E$57,MATCH($N481,Документация!$F$2:$F$57,0)),0),N($F481))*(1-MEDIAN(0,N(ДисконтТендер),1)))</f>
        <v>305.37</v>
      </c>
      <c r="T481" s="7">
        <f>IF($A481="","",IF(AND(LEFT($G481,3)="ДОК",$N481&lt;&gt;""),0,IF(AND(LEFT($G481,3)&lt;&gt;"ДОК",$N481&lt;&gt;""),IFERROR(INDEX(МАТЕРИАЛЫ!$H$2:$H$9000,MATCH($N481,МАТЕРИАЛЫ!$L$2:$L$9000,0))*IF(INDEX(МАТЕРИАЛЫ!$I$2:$I$9000,MATCH($N481,МАТЕРИАЛЫ!$L$2:$L$9000,0))="USD",КурсUSD,IF(INDEX(МАТЕРИАЛЫ!$I$2:$I$9000,MATCH($N481,МАТЕРИАЛЫ!$L$2:$L$9000,0))="EUR",КурсEUR,IF(INDEX(МАТЕРИАЛЫ!$I$2:$I$9000,MATCH($N481,МАТЕРИАЛЫ!$L$2:$L$9000,0))="CNY",КурсCNY,1)))*(1+N($H481)/100),0),N($O481))*(1-MEDIAN(0,N(ДисконтТендер),1))))</f>
        <v>0</v>
      </c>
      <c r="U481" t="str">
        <f>IF($L481="да",MAX($U$1:$U480)+1,"")</f>
        <v/>
      </c>
      <c r="V481" t="str">
        <f t="shared" si="52"/>
        <v>Р6</v>
      </c>
      <c r="W481" t="str">
        <f t="shared" si="53"/>
        <v/>
      </c>
      <c r="X481" t="str">
        <f t="shared" si="54"/>
        <v/>
      </c>
      <c r="Y481" s="4" t="str">
        <f>IF($A481="","",IF(AND(LEFT($G481,3)="ДОК",$N481&lt;&gt;""),IFERROR(INDEX(Документация!$G$2:$G$57,MATCH($N481,Документация!$F$2:$F$57,0)),$D481),$D481&amp;IF(AND(LEFT($G481,3)&lt;&gt;"ДОК",$N481&lt;&gt;"")," — "&amp;IFERROR(INDEX(МАТЕРИАЛЫ!$C$2:$C$9000,MATCH($N481,МАТЕРИАЛЫ!$L$2:$L$9000,0)),""),"")))</f>
        <v>Монтаж комплектующих радиатора (кронштейны, узлы подключения)</v>
      </c>
      <c r="Z481" t="str">
        <f t="shared" si="55"/>
        <v>Р6 · Отопление</v>
      </c>
    </row>
    <row r="482" spans="1:26" ht="43.2" x14ac:dyDescent="0.3">
      <c r="A482" t="s">
        <v>1060</v>
      </c>
      <c r="B482" t="s">
        <v>1047</v>
      </c>
      <c r="C482" t="s">
        <v>50</v>
      </c>
      <c r="D482" s="4" t="s">
        <v>1061</v>
      </c>
      <c r="E482" t="s">
        <v>83</v>
      </c>
      <c r="F482" s="5">
        <v>0</v>
      </c>
      <c r="G482" t="s">
        <v>1054</v>
      </c>
      <c r="H482">
        <v>0</v>
      </c>
      <c r="I482" t="s">
        <v>53</v>
      </c>
      <c r="L482" s="6"/>
      <c r="M482" s="6"/>
      <c r="N482" s="6"/>
      <c r="O482" s="5"/>
      <c r="P482" s="7" t="str">
        <f t="shared" si="49"/>
        <v/>
      </c>
      <c r="Q482" s="7" t="str">
        <f t="shared" si="50"/>
        <v/>
      </c>
      <c r="R482" s="7" t="str">
        <f t="shared" si="51"/>
        <v/>
      </c>
      <c r="S482" s="7">
        <f>IF($A482="","",IF(AND(LEFT($G482,3)="ДОК",$N482&lt;&gt;""),IFERROR(INDEX(Документация!$E$2:$E$57,MATCH($N482,Документация!$F$2:$F$57,0)),0),N($F482))*(1-MEDIAN(0,N(ДисконтТендер),1)))</f>
        <v>0</v>
      </c>
      <c r="T482" s="7">
        <f>IF($A482="","",IF(AND(LEFT($G482,3)="ДОК",$N482&lt;&gt;""),0,IF(AND(LEFT($G482,3)&lt;&gt;"ДОК",$N482&lt;&gt;""),IFERROR(INDEX(МАТЕРИАЛЫ!$H$2:$H$9000,MATCH($N482,МАТЕРИАЛЫ!$L$2:$L$9000,0))*IF(INDEX(МАТЕРИАЛЫ!$I$2:$I$9000,MATCH($N482,МАТЕРИАЛЫ!$L$2:$L$9000,0))="USD",КурсUSD,IF(INDEX(МАТЕРИАЛЫ!$I$2:$I$9000,MATCH($N482,МАТЕРИАЛЫ!$L$2:$L$9000,0))="EUR",КурсEUR,IF(INDEX(МАТЕРИАЛЫ!$I$2:$I$9000,MATCH($N482,МАТЕРИАЛЫ!$L$2:$L$9000,0))="CNY",КурсCNY,1)))*(1+N($H482)/100),0),N($O482))*(1-MEDIAN(0,N(ДисконтТендер),1))))</f>
        <v>0</v>
      </c>
      <c r="U482" t="str">
        <f>IF($L482="да",MAX($U$1:$U481)+1,"")</f>
        <v/>
      </c>
      <c r="V482" t="str">
        <f t="shared" si="52"/>
        <v>Р6</v>
      </c>
      <c r="W482" t="str">
        <f t="shared" si="53"/>
        <v/>
      </c>
      <c r="X482" t="str">
        <f t="shared" si="54"/>
        <v/>
      </c>
      <c r="Y482" s="4" t="str">
        <f>IF($A482="","",IF(AND(LEFT($G482,3)="ДОК",$N482&lt;&gt;""),IFERROR(INDEX(Документация!$G$2:$G$57,MATCH($N482,Документация!$F$2:$F$57,0)),$D482),$D482&amp;IF(AND(LEFT($G482,3)&lt;&gt;"ДОК",$N482&lt;&gt;"")," — "&amp;IFERROR(INDEX(МАТЕРИАЛЫ!$C$2:$C$9000,MATCH($N482,МАТЕРИАЛЫ!$L$2:$L$9000,0)),""),"")))</f>
        <v>Наценка на радиатор с нп Комплектация для радиатора с НП ( клапан термостатический с комплектующими , монтажный комплект</v>
      </c>
      <c r="Z482" t="str">
        <f t="shared" si="55"/>
        <v>Р6 · Отопление</v>
      </c>
    </row>
    <row r="483" spans="1:26" x14ac:dyDescent="0.3">
      <c r="A483" t="s">
        <v>1062</v>
      </c>
      <c r="B483" t="s">
        <v>1047</v>
      </c>
      <c r="C483" t="s">
        <v>50</v>
      </c>
      <c r="D483" s="4" t="s">
        <v>1052</v>
      </c>
      <c r="E483" t="s">
        <v>114</v>
      </c>
      <c r="F483" s="5">
        <v>1881</v>
      </c>
      <c r="G483" t="s">
        <v>1054</v>
      </c>
      <c r="H483">
        <v>5</v>
      </c>
      <c r="I483" t="s">
        <v>53</v>
      </c>
      <c r="L483" s="6"/>
      <c r="M483" s="6"/>
      <c r="N483" s="6"/>
      <c r="O483" s="5"/>
      <c r="P483" s="7" t="str">
        <f t="shared" si="49"/>
        <v/>
      </c>
      <c r="Q483" s="7" t="str">
        <f t="shared" si="50"/>
        <v/>
      </c>
      <c r="R483" s="7" t="str">
        <f t="shared" si="51"/>
        <v/>
      </c>
      <c r="S483" s="7">
        <f>IF($A483="","",IF(AND(LEFT($G483,3)="ДОК",$N483&lt;&gt;""),IFERROR(INDEX(Документация!$E$2:$E$57,MATCH($N483,Документация!$F$2:$F$57,0)),0),N($F483))*(1-MEDIAN(0,N(ДисконтТендер),1)))</f>
        <v>1881</v>
      </c>
      <c r="T483" s="7">
        <f>IF($A483="","",IF(AND(LEFT($G483,3)="ДОК",$N483&lt;&gt;""),0,IF(AND(LEFT($G483,3)&lt;&gt;"ДОК",$N483&lt;&gt;""),IFERROR(INDEX(МАТЕРИАЛЫ!$H$2:$H$9000,MATCH($N483,МАТЕРИАЛЫ!$L$2:$L$9000,0))*IF(INDEX(МАТЕРИАЛЫ!$I$2:$I$9000,MATCH($N483,МАТЕРИАЛЫ!$L$2:$L$9000,0))="USD",КурсUSD,IF(INDEX(МАТЕРИАЛЫ!$I$2:$I$9000,MATCH($N483,МАТЕРИАЛЫ!$L$2:$L$9000,0))="EUR",КурсEUR,IF(INDEX(МАТЕРИАЛЫ!$I$2:$I$9000,MATCH($N483,МАТЕРИАЛЫ!$L$2:$L$9000,0))="CNY",КурсCNY,1)))*(1+N($H483)/100),0),N($O483))*(1-MEDIAN(0,N(ДисконтТендер),1))))</f>
        <v>0</v>
      </c>
      <c r="U483" t="str">
        <f>IF($L483="да",MAX($U$1:$U482)+1,"")</f>
        <v/>
      </c>
      <c r="V483" t="str">
        <f t="shared" si="52"/>
        <v>Р6</v>
      </c>
      <c r="W483" t="str">
        <f t="shared" si="53"/>
        <v/>
      </c>
      <c r="X483" t="str">
        <f t="shared" si="54"/>
        <v/>
      </c>
      <c r="Y483" s="4" t="str">
        <f>IF($A483="","",IF(AND(LEFT($G483,3)="ДОК",$N483&lt;&gt;""),IFERROR(INDEX(Документация!$G$2:$G$57,MATCH($N483,Документация!$F$2:$F$57,0)),$D483),$D483&amp;IF(AND(LEFT($G483,3)&lt;&gt;"ДОК",$N483&lt;&gt;"")," — "&amp;IFERROR(INDEX(МАТЕРИАЛЫ!$C$2:$C$9000,MATCH($N483,МАТЕРИАЛЫ!$L$2:$L$9000,0)),""),"")))</f>
        <v>Монтаж радиатора отопления</v>
      </c>
      <c r="Z483" t="str">
        <f t="shared" si="55"/>
        <v>Р6 · Отопление</v>
      </c>
    </row>
    <row r="484" spans="1:26" x14ac:dyDescent="0.3">
      <c r="A484" t="s">
        <v>1063</v>
      </c>
      <c r="B484" t="s">
        <v>1047</v>
      </c>
      <c r="C484" t="s">
        <v>50</v>
      </c>
      <c r="D484" s="4" t="s">
        <v>1052</v>
      </c>
      <c r="E484" t="s">
        <v>114</v>
      </c>
      <c r="F484" s="5">
        <v>2351.25</v>
      </c>
      <c r="G484" t="s">
        <v>1054</v>
      </c>
      <c r="H484">
        <v>5</v>
      </c>
      <c r="I484" t="s">
        <v>53</v>
      </c>
      <c r="L484" s="6"/>
      <c r="M484" s="6"/>
      <c r="N484" s="6"/>
      <c r="O484" s="5"/>
      <c r="P484" s="7" t="str">
        <f t="shared" si="49"/>
        <v/>
      </c>
      <c r="Q484" s="7" t="str">
        <f t="shared" si="50"/>
        <v/>
      </c>
      <c r="R484" s="7" t="str">
        <f t="shared" si="51"/>
        <v/>
      </c>
      <c r="S484" s="7">
        <f>IF($A484="","",IF(AND(LEFT($G484,3)="ДОК",$N484&lt;&gt;""),IFERROR(INDEX(Документация!$E$2:$E$57,MATCH($N484,Документация!$F$2:$F$57,0)),0),N($F484))*(1-MEDIAN(0,N(ДисконтТендер),1)))</f>
        <v>2351.25</v>
      </c>
      <c r="T484" s="7">
        <f>IF($A484="","",IF(AND(LEFT($G484,3)="ДОК",$N484&lt;&gt;""),0,IF(AND(LEFT($G484,3)&lt;&gt;"ДОК",$N484&lt;&gt;""),IFERROR(INDEX(МАТЕРИАЛЫ!$H$2:$H$9000,MATCH($N484,МАТЕРИАЛЫ!$L$2:$L$9000,0))*IF(INDEX(МАТЕРИАЛЫ!$I$2:$I$9000,MATCH($N484,МАТЕРИАЛЫ!$L$2:$L$9000,0))="USD",КурсUSD,IF(INDEX(МАТЕРИАЛЫ!$I$2:$I$9000,MATCH($N484,МАТЕРИАЛЫ!$L$2:$L$9000,0))="EUR",КурсEUR,IF(INDEX(МАТЕРИАЛЫ!$I$2:$I$9000,MATCH($N484,МАТЕРИАЛЫ!$L$2:$L$9000,0))="CNY",КурсCNY,1)))*(1+N($H484)/100),0),N($O484))*(1-MEDIAN(0,N(ДисконтТендер),1))))</f>
        <v>0</v>
      </c>
      <c r="U484" t="str">
        <f>IF($L484="да",MAX($U$1:$U483)+1,"")</f>
        <v/>
      </c>
      <c r="V484" t="str">
        <f t="shared" si="52"/>
        <v>Р6</v>
      </c>
      <c r="W484" t="str">
        <f t="shared" si="53"/>
        <v/>
      </c>
      <c r="X484" t="str">
        <f t="shared" si="54"/>
        <v/>
      </c>
      <c r="Y484" s="4" t="str">
        <f>IF($A484="","",IF(AND(LEFT($G484,3)="ДОК",$N484&lt;&gt;""),IFERROR(INDEX(Документация!$G$2:$G$57,MATCH($N484,Документация!$F$2:$F$57,0)),$D484),$D484&amp;IF(AND(LEFT($G484,3)&lt;&gt;"ДОК",$N484&lt;&gt;"")," — "&amp;IFERROR(INDEX(МАТЕРИАЛЫ!$C$2:$C$9000,MATCH($N484,МАТЕРИАЛЫ!$L$2:$L$9000,0)),""),"")))</f>
        <v>Монтаж радиатора отопления</v>
      </c>
      <c r="Z484" t="str">
        <f t="shared" si="55"/>
        <v>Р6 · Отопление</v>
      </c>
    </row>
    <row r="485" spans="1:26" x14ac:dyDescent="0.3">
      <c r="A485" t="s">
        <v>1064</v>
      </c>
      <c r="B485" t="s">
        <v>1047</v>
      </c>
      <c r="C485" t="s">
        <v>50</v>
      </c>
      <c r="D485" s="4" t="s">
        <v>1052</v>
      </c>
      <c r="E485" t="s">
        <v>114</v>
      </c>
      <c r="F485" s="5">
        <v>2821.5</v>
      </c>
      <c r="G485" t="s">
        <v>1054</v>
      </c>
      <c r="H485">
        <v>5</v>
      </c>
      <c r="I485" t="s">
        <v>53</v>
      </c>
      <c r="L485" s="6"/>
      <c r="M485" s="6"/>
      <c r="N485" s="6"/>
      <c r="O485" s="5"/>
      <c r="P485" s="7" t="str">
        <f t="shared" si="49"/>
        <v/>
      </c>
      <c r="Q485" s="7" t="str">
        <f t="shared" si="50"/>
        <v/>
      </c>
      <c r="R485" s="7" t="str">
        <f t="shared" si="51"/>
        <v/>
      </c>
      <c r="S485" s="7">
        <f>IF($A485="","",IF(AND(LEFT($G485,3)="ДОК",$N485&lt;&gt;""),IFERROR(INDEX(Документация!$E$2:$E$57,MATCH($N485,Документация!$F$2:$F$57,0)),0),N($F485))*(1-MEDIAN(0,N(ДисконтТендер),1)))</f>
        <v>2821.5</v>
      </c>
      <c r="T485" s="7">
        <f>IF($A485="","",IF(AND(LEFT($G485,3)="ДОК",$N485&lt;&gt;""),0,IF(AND(LEFT($G485,3)&lt;&gt;"ДОК",$N485&lt;&gt;""),IFERROR(INDEX(МАТЕРИАЛЫ!$H$2:$H$9000,MATCH($N485,МАТЕРИАЛЫ!$L$2:$L$9000,0))*IF(INDEX(МАТЕРИАЛЫ!$I$2:$I$9000,MATCH($N485,МАТЕРИАЛЫ!$L$2:$L$9000,0))="USD",КурсUSD,IF(INDEX(МАТЕРИАЛЫ!$I$2:$I$9000,MATCH($N485,МАТЕРИАЛЫ!$L$2:$L$9000,0))="EUR",КурсEUR,IF(INDEX(МАТЕРИАЛЫ!$I$2:$I$9000,MATCH($N485,МАТЕРИАЛЫ!$L$2:$L$9000,0))="CNY",КурсCNY,1)))*(1+N($H485)/100),0),N($O485))*(1-MEDIAN(0,N(ДисконтТендер),1))))</f>
        <v>0</v>
      </c>
      <c r="U485" t="str">
        <f>IF($L485="да",MAX($U$1:$U484)+1,"")</f>
        <v/>
      </c>
      <c r="V485" t="str">
        <f t="shared" si="52"/>
        <v>Р6</v>
      </c>
      <c r="W485" t="str">
        <f t="shared" si="53"/>
        <v/>
      </c>
      <c r="X485" t="str">
        <f t="shared" si="54"/>
        <v/>
      </c>
      <c r="Y485" s="4" t="str">
        <f>IF($A485="","",IF(AND(LEFT($G485,3)="ДОК",$N485&lt;&gt;""),IFERROR(INDEX(Документация!$G$2:$G$57,MATCH($N485,Документация!$F$2:$F$57,0)),$D485),$D485&amp;IF(AND(LEFT($G485,3)&lt;&gt;"ДОК",$N485&lt;&gt;"")," — "&amp;IFERROR(INDEX(МАТЕРИАЛЫ!$C$2:$C$9000,MATCH($N485,МАТЕРИАЛЫ!$L$2:$L$9000,0)),""),"")))</f>
        <v>Монтаж радиатора отопления</v>
      </c>
      <c r="Z485" t="str">
        <f t="shared" si="55"/>
        <v>Р6 · Отопление</v>
      </c>
    </row>
    <row r="486" spans="1:26" x14ac:dyDescent="0.3">
      <c r="A486" t="s">
        <v>1065</v>
      </c>
      <c r="B486" t="s">
        <v>1047</v>
      </c>
      <c r="C486" t="s">
        <v>50</v>
      </c>
      <c r="D486" s="4" t="s">
        <v>1052</v>
      </c>
      <c r="E486" t="s">
        <v>114</v>
      </c>
      <c r="F486" s="5">
        <v>3291.75</v>
      </c>
      <c r="G486" t="s">
        <v>1054</v>
      </c>
      <c r="H486">
        <v>5</v>
      </c>
      <c r="I486" t="s">
        <v>53</v>
      </c>
      <c r="L486" s="6"/>
      <c r="M486" s="6"/>
      <c r="N486" s="6"/>
      <c r="O486" s="5"/>
      <c r="P486" s="7" t="str">
        <f t="shared" si="49"/>
        <v/>
      </c>
      <c r="Q486" s="7" t="str">
        <f t="shared" si="50"/>
        <v/>
      </c>
      <c r="R486" s="7" t="str">
        <f t="shared" si="51"/>
        <v/>
      </c>
      <c r="S486" s="7">
        <f>IF($A486="","",IF(AND(LEFT($G486,3)="ДОК",$N486&lt;&gt;""),IFERROR(INDEX(Документация!$E$2:$E$57,MATCH($N486,Документация!$F$2:$F$57,0)),0),N($F486))*(1-MEDIAN(0,N(ДисконтТендер),1)))</f>
        <v>3291.75</v>
      </c>
      <c r="T486" s="7">
        <f>IF($A486="","",IF(AND(LEFT($G486,3)="ДОК",$N486&lt;&gt;""),0,IF(AND(LEFT($G486,3)&lt;&gt;"ДОК",$N486&lt;&gt;""),IFERROR(INDEX(МАТЕРИАЛЫ!$H$2:$H$9000,MATCH($N486,МАТЕРИАЛЫ!$L$2:$L$9000,0))*IF(INDEX(МАТЕРИАЛЫ!$I$2:$I$9000,MATCH($N486,МАТЕРИАЛЫ!$L$2:$L$9000,0))="USD",КурсUSD,IF(INDEX(МАТЕРИАЛЫ!$I$2:$I$9000,MATCH($N486,МАТЕРИАЛЫ!$L$2:$L$9000,0))="EUR",КурсEUR,IF(INDEX(МАТЕРИАЛЫ!$I$2:$I$9000,MATCH($N486,МАТЕРИАЛЫ!$L$2:$L$9000,0))="CNY",КурсCNY,1)))*(1+N($H486)/100),0),N($O486))*(1-MEDIAN(0,N(ДисконтТендер),1))))</f>
        <v>0</v>
      </c>
      <c r="U486" t="str">
        <f>IF($L486="да",MAX($U$1:$U485)+1,"")</f>
        <v/>
      </c>
      <c r="V486" t="str">
        <f t="shared" si="52"/>
        <v>Р6</v>
      </c>
      <c r="W486" t="str">
        <f t="shared" si="53"/>
        <v/>
      </c>
      <c r="X486" t="str">
        <f t="shared" si="54"/>
        <v/>
      </c>
      <c r="Y486" s="4" t="str">
        <f>IF($A486="","",IF(AND(LEFT($G486,3)="ДОК",$N486&lt;&gt;""),IFERROR(INDEX(Документация!$G$2:$G$57,MATCH($N486,Документация!$F$2:$F$57,0)),$D486),$D486&amp;IF(AND(LEFT($G486,3)&lt;&gt;"ДОК",$N486&lt;&gt;"")," — "&amp;IFERROR(INDEX(МАТЕРИАЛЫ!$C$2:$C$9000,MATCH($N486,МАТЕРИАЛЫ!$L$2:$L$9000,0)),""),"")))</f>
        <v>Монтаж радиатора отопления</v>
      </c>
      <c r="Z486" t="str">
        <f t="shared" si="55"/>
        <v>Р6 · Отопление</v>
      </c>
    </row>
    <row r="487" spans="1:26" x14ac:dyDescent="0.3">
      <c r="A487" t="s">
        <v>1066</v>
      </c>
      <c r="B487" t="s">
        <v>1047</v>
      </c>
      <c r="C487" t="s">
        <v>50</v>
      </c>
      <c r="D487" s="4" t="s">
        <v>1052</v>
      </c>
      <c r="E487" t="s">
        <v>114</v>
      </c>
      <c r="F487" s="5">
        <v>3762</v>
      </c>
      <c r="G487" t="s">
        <v>1054</v>
      </c>
      <c r="H487">
        <v>5</v>
      </c>
      <c r="I487" t="s">
        <v>53</v>
      </c>
      <c r="L487" s="6"/>
      <c r="M487" s="6"/>
      <c r="N487" s="6"/>
      <c r="O487" s="5"/>
      <c r="P487" s="7" t="str">
        <f t="shared" si="49"/>
        <v/>
      </c>
      <c r="Q487" s="7" t="str">
        <f t="shared" si="50"/>
        <v/>
      </c>
      <c r="R487" s="7" t="str">
        <f t="shared" si="51"/>
        <v/>
      </c>
      <c r="S487" s="7">
        <f>IF($A487="","",IF(AND(LEFT($G487,3)="ДОК",$N487&lt;&gt;""),IFERROR(INDEX(Документация!$E$2:$E$57,MATCH($N487,Документация!$F$2:$F$57,0)),0),N($F487))*(1-MEDIAN(0,N(ДисконтТендер),1)))</f>
        <v>3762</v>
      </c>
      <c r="T487" s="7">
        <f>IF($A487="","",IF(AND(LEFT($G487,3)="ДОК",$N487&lt;&gt;""),0,IF(AND(LEFT($G487,3)&lt;&gt;"ДОК",$N487&lt;&gt;""),IFERROR(INDEX(МАТЕРИАЛЫ!$H$2:$H$9000,MATCH($N487,МАТЕРИАЛЫ!$L$2:$L$9000,0))*IF(INDEX(МАТЕРИАЛЫ!$I$2:$I$9000,MATCH($N487,МАТЕРИАЛЫ!$L$2:$L$9000,0))="USD",КурсUSD,IF(INDEX(МАТЕРИАЛЫ!$I$2:$I$9000,MATCH($N487,МАТЕРИАЛЫ!$L$2:$L$9000,0))="EUR",КурсEUR,IF(INDEX(МАТЕРИАЛЫ!$I$2:$I$9000,MATCH($N487,МАТЕРИАЛЫ!$L$2:$L$9000,0))="CNY",КурсCNY,1)))*(1+N($H487)/100),0),N($O487))*(1-MEDIAN(0,N(ДисконтТендер),1))))</f>
        <v>0</v>
      </c>
      <c r="U487" t="str">
        <f>IF($L487="да",MAX($U$1:$U486)+1,"")</f>
        <v/>
      </c>
      <c r="V487" t="str">
        <f t="shared" si="52"/>
        <v>Р6</v>
      </c>
      <c r="W487" t="str">
        <f t="shared" si="53"/>
        <v/>
      </c>
      <c r="X487" t="str">
        <f t="shared" si="54"/>
        <v/>
      </c>
      <c r="Y487" s="4" t="str">
        <f>IF($A487="","",IF(AND(LEFT($G487,3)="ДОК",$N487&lt;&gt;""),IFERROR(INDEX(Документация!$G$2:$G$57,MATCH($N487,Документация!$F$2:$F$57,0)),$D487),$D487&amp;IF(AND(LEFT($G487,3)&lt;&gt;"ДОК",$N487&lt;&gt;"")," — "&amp;IFERROR(INDEX(МАТЕРИАЛЫ!$C$2:$C$9000,MATCH($N487,МАТЕРИАЛЫ!$L$2:$L$9000,0)),""),"")))</f>
        <v>Монтаж радиатора отопления</v>
      </c>
      <c r="Z487" t="str">
        <f t="shared" si="55"/>
        <v>Р6 · Отопление</v>
      </c>
    </row>
    <row r="488" spans="1:26" x14ac:dyDescent="0.3">
      <c r="A488" t="s">
        <v>1067</v>
      </c>
      <c r="B488" t="s">
        <v>1047</v>
      </c>
      <c r="C488" t="s">
        <v>50</v>
      </c>
      <c r="D488" s="4" t="s">
        <v>1052</v>
      </c>
      <c r="E488" t="s">
        <v>114</v>
      </c>
      <c r="F488" s="5">
        <v>4232.25</v>
      </c>
      <c r="G488" t="s">
        <v>1054</v>
      </c>
      <c r="H488">
        <v>5</v>
      </c>
      <c r="I488" t="s">
        <v>53</v>
      </c>
      <c r="L488" s="6"/>
      <c r="M488" s="6"/>
      <c r="N488" s="6"/>
      <c r="O488" s="5"/>
      <c r="P488" s="7" t="str">
        <f t="shared" si="49"/>
        <v/>
      </c>
      <c r="Q488" s="7" t="str">
        <f t="shared" si="50"/>
        <v/>
      </c>
      <c r="R488" s="7" t="str">
        <f t="shared" si="51"/>
        <v/>
      </c>
      <c r="S488" s="7">
        <f>IF($A488="","",IF(AND(LEFT($G488,3)="ДОК",$N488&lt;&gt;""),IFERROR(INDEX(Документация!$E$2:$E$57,MATCH($N488,Документация!$F$2:$F$57,0)),0),N($F488))*(1-MEDIAN(0,N(ДисконтТендер),1)))</f>
        <v>4232.25</v>
      </c>
      <c r="T488" s="7">
        <f>IF($A488="","",IF(AND(LEFT($G488,3)="ДОК",$N488&lt;&gt;""),0,IF(AND(LEFT($G488,3)&lt;&gt;"ДОК",$N488&lt;&gt;""),IFERROR(INDEX(МАТЕРИАЛЫ!$H$2:$H$9000,MATCH($N488,МАТЕРИАЛЫ!$L$2:$L$9000,0))*IF(INDEX(МАТЕРИАЛЫ!$I$2:$I$9000,MATCH($N488,МАТЕРИАЛЫ!$L$2:$L$9000,0))="USD",КурсUSD,IF(INDEX(МАТЕРИАЛЫ!$I$2:$I$9000,MATCH($N488,МАТЕРИАЛЫ!$L$2:$L$9000,0))="EUR",КурсEUR,IF(INDEX(МАТЕРИАЛЫ!$I$2:$I$9000,MATCH($N488,МАТЕРИАЛЫ!$L$2:$L$9000,0))="CNY",КурсCNY,1)))*(1+N($H488)/100),0),N($O488))*(1-MEDIAN(0,N(ДисконтТендер),1))))</f>
        <v>0</v>
      </c>
      <c r="U488" t="str">
        <f>IF($L488="да",MAX($U$1:$U487)+1,"")</f>
        <v/>
      </c>
      <c r="V488" t="str">
        <f t="shared" si="52"/>
        <v>Р6</v>
      </c>
      <c r="W488" t="str">
        <f t="shared" si="53"/>
        <v/>
      </c>
      <c r="X488" t="str">
        <f t="shared" si="54"/>
        <v/>
      </c>
      <c r="Y488" s="4" t="str">
        <f>IF($A488="","",IF(AND(LEFT($G488,3)="ДОК",$N488&lt;&gt;""),IFERROR(INDEX(Документация!$G$2:$G$57,MATCH($N488,Документация!$F$2:$F$57,0)),$D488),$D488&amp;IF(AND(LEFT($G488,3)&lt;&gt;"ДОК",$N488&lt;&gt;"")," — "&amp;IFERROR(INDEX(МАТЕРИАЛЫ!$C$2:$C$9000,MATCH($N488,МАТЕРИАЛЫ!$L$2:$L$9000,0)),""),"")))</f>
        <v>Монтаж радиатора отопления</v>
      </c>
      <c r="Z488" t="str">
        <f t="shared" si="55"/>
        <v>Р6 · Отопление</v>
      </c>
    </row>
    <row r="489" spans="1:26" x14ac:dyDescent="0.3">
      <c r="A489" t="s">
        <v>1068</v>
      </c>
      <c r="B489" t="s">
        <v>1047</v>
      </c>
      <c r="C489" t="s">
        <v>50</v>
      </c>
      <c r="D489" s="4" t="s">
        <v>1052</v>
      </c>
      <c r="E489" t="s">
        <v>114</v>
      </c>
      <c r="F489" s="5">
        <v>5172.75</v>
      </c>
      <c r="G489" t="s">
        <v>1054</v>
      </c>
      <c r="H489">
        <v>5</v>
      </c>
      <c r="I489" t="s">
        <v>53</v>
      </c>
      <c r="L489" s="6"/>
      <c r="M489" s="6"/>
      <c r="N489" s="6"/>
      <c r="O489" s="5"/>
      <c r="P489" s="7" t="str">
        <f t="shared" si="49"/>
        <v/>
      </c>
      <c r="Q489" s="7" t="str">
        <f t="shared" si="50"/>
        <v/>
      </c>
      <c r="R489" s="7" t="str">
        <f t="shared" si="51"/>
        <v/>
      </c>
      <c r="S489" s="7">
        <f>IF($A489="","",IF(AND(LEFT($G489,3)="ДОК",$N489&lt;&gt;""),IFERROR(INDEX(Документация!$E$2:$E$57,MATCH($N489,Документация!$F$2:$F$57,0)),0),N($F489))*(1-MEDIAN(0,N(ДисконтТендер),1)))</f>
        <v>5172.75</v>
      </c>
      <c r="T489" s="7">
        <f>IF($A489="","",IF(AND(LEFT($G489,3)="ДОК",$N489&lt;&gt;""),0,IF(AND(LEFT($G489,3)&lt;&gt;"ДОК",$N489&lt;&gt;""),IFERROR(INDEX(МАТЕРИАЛЫ!$H$2:$H$9000,MATCH($N489,МАТЕРИАЛЫ!$L$2:$L$9000,0))*IF(INDEX(МАТЕРИАЛЫ!$I$2:$I$9000,MATCH($N489,МАТЕРИАЛЫ!$L$2:$L$9000,0))="USD",КурсUSD,IF(INDEX(МАТЕРИАЛЫ!$I$2:$I$9000,MATCH($N489,МАТЕРИАЛЫ!$L$2:$L$9000,0))="EUR",КурсEUR,IF(INDEX(МАТЕРИАЛЫ!$I$2:$I$9000,MATCH($N489,МАТЕРИАЛЫ!$L$2:$L$9000,0))="CNY",КурсCNY,1)))*(1+N($H489)/100),0),N($O489))*(1-MEDIAN(0,N(ДисконтТендер),1))))</f>
        <v>0</v>
      </c>
      <c r="U489" t="str">
        <f>IF($L489="да",MAX($U$1:$U488)+1,"")</f>
        <v/>
      </c>
      <c r="V489" t="str">
        <f t="shared" si="52"/>
        <v>Р6</v>
      </c>
      <c r="W489" t="str">
        <f t="shared" si="53"/>
        <v/>
      </c>
      <c r="X489" t="str">
        <f t="shared" si="54"/>
        <v/>
      </c>
      <c r="Y489" s="4" t="str">
        <f>IF($A489="","",IF(AND(LEFT($G489,3)="ДОК",$N489&lt;&gt;""),IFERROR(INDEX(Документация!$G$2:$G$57,MATCH($N489,Документация!$F$2:$F$57,0)),$D489),$D489&amp;IF(AND(LEFT($G489,3)&lt;&gt;"ДОК",$N489&lt;&gt;"")," — "&amp;IFERROR(INDEX(МАТЕРИАЛЫ!$C$2:$C$9000,MATCH($N489,МАТЕРИАЛЫ!$L$2:$L$9000,0)),""),"")))</f>
        <v>Монтаж радиатора отопления</v>
      </c>
      <c r="Z489" t="str">
        <f t="shared" si="55"/>
        <v>Р6 · Отопление</v>
      </c>
    </row>
    <row r="490" spans="1:26" x14ac:dyDescent="0.3">
      <c r="A490" t="s">
        <v>1069</v>
      </c>
      <c r="B490" t="s">
        <v>1047</v>
      </c>
      <c r="C490" t="s">
        <v>50</v>
      </c>
      <c r="D490" s="4" t="s">
        <v>1052</v>
      </c>
      <c r="E490" t="s">
        <v>114</v>
      </c>
      <c r="F490" s="5">
        <v>5643</v>
      </c>
      <c r="G490" t="s">
        <v>1054</v>
      </c>
      <c r="H490">
        <v>5</v>
      </c>
      <c r="I490" t="s">
        <v>53</v>
      </c>
      <c r="L490" s="6"/>
      <c r="M490" s="6"/>
      <c r="N490" s="6"/>
      <c r="O490" s="5"/>
      <c r="P490" s="7" t="str">
        <f t="shared" si="49"/>
        <v/>
      </c>
      <c r="Q490" s="7" t="str">
        <f t="shared" si="50"/>
        <v/>
      </c>
      <c r="R490" s="7" t="str">
        <f t="shared" si="51"/>
        <v/>
      </c>
      <c r="S490" s="7">
        <f>IF($A490="","",IF(AND(LEFT($G490,3)="ДОК",$N490&lt;&gt;""),IFERROR(INDEX(Документация!$E$2:$E$57,MATCH($N490,Документация!$F$2:$F$57,0)),0),N($F490))*(1-MEDIAN(0,N(ДисконтТендер),1)))</f>
        <v>5643</v>
      </c>
      <c r="T490" s="7">
        <f>IF($A490="","",IF(AND(LEFT($G490,3)="ДОК",$N490&lt;&gt;""),0,IF(AND(LEFT($G490,3)&lt;&gt;"ДОК",$N490&lt;&gt;""),IFERROR(INDEX(МАТЕРИАЛЫ!$H$2:$H$9000,MATCH($N490,МАТЕРИАЛЫ!$L$2:$L$9000,0))*IF(INDEX(МАТЕРИАЛЫ!$I$2:$I$9000,MATCH($N490,МАТЕРИАЛЫ!$L$2:$L$9000,0))="USD",КурсUSD,IF(INDEX(МАТЕРИАЛЫ!$I$2:$I$9000,MATCH($N490,МАТЕРИАЛЫ!$L$2:$L$9000,0))="EUR",КурсEUR,IF(INDEX(МАТЕРИАЛЫ!$I$2:$I$9000,MATCH($N490,МАТЕРИАЛЫ!$L$2:$L$9000,0))="CNY",КурсCNY,1)))*(1+N($H490)/100),0),N($O490))*(1-MEDIAN(0,N(ДисконтТендер),1))))</f>
        <v>0</v>
      </c>
      <c r="U490" t="str">
        <f>IF($L490="да",MAX($U$1:$U489)+1,"")</f>
        <v/>
      </c>
      <c r="V490" t="str">
        <f t="shared" si="52"/>
        <v>Р6</v>
      </c>
      <c r="W490" t="str">
        <f t="shared" si="53"/>
        <v/>
      </c>
      <c r="X490" t="str">
        <f t="shared" si="54"/>
        <v/>
      </c>
      <c r="Y490" s="4" t="str">
        <f>IF($A490="","",IF(AND(LEFT($G490,3)="ДОК",$N490&lt;&gt;""),IFERROR(INDEX(Документация!$G$2:$G$57,MATCH($N490,Документация!$F$2:$F$57,0)),$D490),$D490&amp;IF(AND(LEFT($G490,3)&lt;&gt;"ДОК",$N490&lt;&gt;"")," — "&amp;IFERROR(INDEX(МАТЕРИАЛЫ!$C$2:$C$9000,MATCH($N490,МАТЕРИАЛЫ!$L$2:$L$9000,0)),""),"")))</f>
        <v>Монтаж радиатора отопления</v>
      </c>
      <c r="Z490" t="str">
        <f t="shared" si="55"/>
        <v>Р6 · Отопление</v>
      </c>
    </row>
    <row r="491" spans="1:26" x14ac:dyDescent="0.3">
      <c r="A491" t="s">
        <v>1070</v>
      </c>
      <c r="B491" t="s">
        <v>1047</v>
      </c>
      <c r="C491" t="s">
        <v>50</v>
      </c>
      <c r="D491" s="4" t="s">
        <v>1052</v>
      </c>
      <c r="E491" t="s">
        <v>114</v>
      </c>
      <c r="F491" s="5">
        <v>6113.25</v>
      </c>
      <c r="G491" t="s">
        <v>1054</v>
      </c>
      <c r="H491">
        <v>5</v>
      </c>
      <c r="I491" t="s">
        <v>53</v>
      </c>
      <c r="L491" s="6"/>
      <c r="M491" s="6"/>
      <c r="N491" s="6"/>
      <c r="O491" s="5"/>
      <c r="P491" s="7" t="str">
        <f t="shared" si="49"/>
        <v/>
      </c>
      <c r="Q491" s="7" t="str">
        <f t="shared" si="50"/>
        <v/>
      </c>
      <c r="R491" s="7" t="str">
        <f t="shared" si="51"/>
        <v/>
      </c>
      <c r="S491" s="7">
        <f>IF($A491="","",IF(AND(LEFT($G491,3)="ДОК",$N491&lt;&gt;""),IFERROR(INDEX(Документация!$E$2:$E$57,MATCH($N491,Документация!$F$2:$F$57,0)),0),N($F491))*(1-MEDIAN(0,N(ДисконтТендер),1)))</f>
        <v>6113.25</v>
      </c>
      <c r="T491" s="7">
        <f>IF($A491="","",IF(AND(LEFT($G491,3)="ДОК",$N491&lt;&gt;""),0,IF(AND(LEFT($G491,3)&lt;&gt;"ДОК",$N491&lt;&gt;""),IFERROR(INDEX(МАТЕРИАЛЫ!$H$2:$H$9000,MATCH($N491,МАТЕРИАЛЫ!$L$2:$L$9000,0))*IF(INDEX(МАТЕРИАЛЫ!$I$2:$I$9000,MATCH($N491,МАТЕРИАЛЫ!$L$2:$L$9000,0))="USD",КурсUSD,IF(INDEX(МАТЕРИАЛЫ!$I$2:$I$9000,MATCH($N491,МАТЕРИАЛЫ!$L$2:$L$9000,0))="EUR",КурсEUR,IF(INDEX(МАТЕРИАЛЫ!$I$2:$I$9000,MATCH($N491,МАТЕРИАЛЫ!$L$2:$L$9000,0))="CNY",КурсCNY,1)))*(1+N($H491)/100),0),N($O491))*(1-MEDIAN(0,N(ДисконтТендер),1))))</f>
        <v>0</v>
      </c>
      <c r="U491" t="str">
        <f>IF($L491="да",MAX($U$1:$U490)+1,"")</f>
        <v/>
      </c>
      <c r="V491" t="str">
        <f t="shared" si="52"/>
        <v>Р6</v>
      </c>
      <c r="W491" t="str">
        <f t="shared" si="53"/>
        <v/>
      </c>
      <c r="X491" t="str">
        <f t="shared" si="54"/>
        <v/>
      </c>
      <c r="Y491" s="4" t="str">
        <f>IF($A491="","",IF(AND(LEFT($G491,3)="ДОК",$N491&lt;&gt;""),IFERROR(INDEX(Документация!$G$2:$G$57,MATCH($N491,Документация!$F$2:$F$57,0)),$D491),$D491&amp;IF(AND(LEFT($G491,3)&lt;&gt;"ДОК",$N491&lt;&gt;"")," — "&amp;IFERROR(INDEX(МАТЕРИАЛЫ!$C$2:$C$9000,MATCH($N491,МАТЕРИАЛЫ!$L$2:$L$9000,0)),""),"")))</f>
        <v>Монтаж радиатора отопления</v>
      </c>
      <c r="Z491" t="str">
        <f t="shared" si="55"/>
        <v>Р6 · Отопление</v>
      </c>
    </row>
    <row r="492" spans="1:26" x14ac:dyDescent="0.3">
      <c r="A492" t="s">
        <v>1071</v>
      </c>
      <c r="B492" t="s">
        <v>1047</v>
      </c>
      <c r="C492" t="s">
        <v>50</v>
      </c>
      <c r="D492" s="4" t="s">
        <v>1052</v>
      </c>
      <c r="E492" t="s">
        <v>114</v>
      </c>
      <c r="F492" s="5">
        <v>6583.5</v>
      </c>
      <c r="G492" t="s">
        <v>1054</v>
      </c>
      <c r="H492">
        <v>5</v>
      </c>
      <c r="I492" t="s">
        <v>53</v>
      </c>
      <c r="L492" s="6"/>
      <c r="M492" s="6"/>
      <c r="N492" s="6"/>
      <c r="O492" s="5"/>
      <c r="P492" s="7" t="str">
        <f t="shared" si="49"/>
        <v/>
      </c>
      <c r="Q492" s="7" t="str">
        <f t="shared" si="50"/>
        <v/>
      </c>
      <c r="R492" s="7" t="str">
        <f t="shared" si="51"/>
        <v/>
      </c>
      <c r="S492" s="7">
        <f>IF($A492="","",IF(AND(LEFT($G492,3)="ДОК",$N492&lt;&gt;""),IFERROR(INDEX(Документация!$E$2:$E$57,MATCH($N492,Документация!$F$2:$F$57,0)),0),N($F492))*(1-MEDIAN(0,N(ДисконтТендер),1)))</f>
        <v>6583.5</v>
      </c>
      <c r="T492" s="7">
        <f>IF($A492="","",IF(AND(LEFT($G492,3)="ДОК",$N492&lt;&gt;""),0,IF(AND(LEFT($G492,3)&lt;&gt;"ДОК",$N492&lt;&gt;""),IFERROR(INDEX(МАТЕРИАЛЫ!$H$2:$H$9000,MATCH($N492,МАТЕРИАЛЫ!$L$2:$L$9000,0))*IF(INDEX(МАТЕРИАЛЫ!$I$2:$I$9000,MATCH($N492,МАТЕРИАЛЫ!$L$2:$L$9000,0))="USD",КурсUSD,IF(INDEX(МАТЕРИАЛЫ!$I$2:$I$9000,MATCH($N492,МАТЕРИАЛЫ!$L$2:$L$9000,0))="EUR",КурсEUR,IF(INDEX(МАТЕРИАЛЫ!$I$2:$I$9000,MATCH($N492,МАТЕРИАЛЫ!$L$2:$L$9000,0))="CNY",КурсCNY,1)))*(1+N($H492)/100),0),N($O492))*(1-MEDIAN(0,N(ДисконтТендер),1))))</f>
        <v>0</v>
      </c>
      <c r="U492" t="str">
        <f>IF($L492="да",MAX($U$1:$U491)+1,"")</f>
        <v/>
      </c>
      <c r="V492" t="str">
        <f t="shared" si="52"/>
        <v>Р6</v>
      </c>
      <c r="W492" t="str">
        <f t="shared" si="53"/>
        <v/>
      </c>
      <c r="X492" t="str">
        <f t="shared" si="54"/>
        <v/>
      </c>
      <c r="Y492" s="4" t="str">
        <f>IF($A492="","",IF(AND(LEFT($G492,3)="ДОК",$N492&lt;&gt;""),IFERROR(INDEX(Документация!$G$2:$G$57,MATCH($N492,Документация!$F$2:$F$57,0)),$D492),$D492&amp;IF(AND(LEFT($G492,3)&lt;&gt;"ДОК",$N492&lt;&gt;"")," — "&amp;IFERROR(INDEX(МАТЕРИАЛЫ!$C$2:$C$9000,MATCH($N492,МАТЕРИАЛЫ!$L$2:$L$9000,0)),""),"")))</f>
        <v>Монтаж радиатора отопления</v>
      </c>
      <c r="Z492" t="str">
        <f t="shared" si="55"/>
        <v>Р6 · Отопление</v>
      </c>
    </row>
    <row r="493" spans="1:26" ht="28.8" x14ac:dyDescent="0.3">
      <c r="A493" t="s">
        <v>1072</v>
      </c>
      <c r="B493" t="s">
        <v>1047</v>
      </c>
      <c r="C493" t="s">
        <v>50</v>
      </c>
      <c r="D493" s="4" t="s">
        <v>1073</v>
      </c>
      <c r="E493" t="s">
        <v>114</v>
      </c>
      <c r="F493" s="5">
        <v>3175.5</v>
      </c>
      <c r="H493">
        <v>0</v>
      </c>
      <c r="I493" t="s">
        <v>53</v>
      </c>
      <c r="L493" s="6"/>
      <c r="M493" s="6"/>
      <c r="N493" s="6"/>
      <c r="O493" s="5"/>
      <c r="P493" s="7" t="str">
        <f t="shared" si="49"/>
        <v/>
      </c>
      <c r="Q493" s="7" t="str">
        <f t="shared" si="50"/>
        <v/>
      </c>
      <c r="R493" s="7" t="str">
        <f t="shared" si="51"/>
        <v/>
      </c>
      <c r="S493" s="7">
        <f>IF($A493="","",IF(AND(LEFT($G493,3)="ДОК",$N493&lt;&gt;""),IFERROR(INDEX(Документация!$E$2:$E$57,MATCH($N493,Документация!$F$2:$F$57,0)),0),N($F493))*(1-MEDIAN(0,N(ДисконтТендер),1)))</f>
        <v>3175.5</v>
      </c>
      <c r="T493" s="7">
        <f>IF($A493="","",IF(AND(LEFT($G493,3)="ДОК",$N493&lt;&gt;""),0,IF(AND(LEFT($G493,3)&lt;&gt;"ДОК",$N493&lt;&gt;""),IFERROR(INDEX(МАТЕРИАЛЫ!$H$2:$H$9000,MATCH($N493,МАТЕРИАЛЫ!$L$2:$L$9000,0))*IF(INDEX(МАТЕРИАЛЫ!$I$2:$I$9000,MATCH($N493,МАТЕРИАЛЫ!$L$2:$L$9000,0))="USD",КурсUSD,IF(INDEX(МАТЕРИАЛЫ!$I$2:$I$9000,MATCH($N493,МАТЕРИАЛЫ!$L$2:$L$9000,0))="EUR",КурсEUR,IF(INDEX(МАТЕРИАЛЫ!$I$2:$I$9000,MATCH($N493,МАТЕРИАЛЫ!$L$2:$L$9000,0))="CNY",КурсCNY,1)))*(1+N($H493)/100),0),N($O493))*(1-MEDIAN(0,N(ДисконтТендер),1))))</f>
        <v>0</v>
      </c>
      <c r="U493" t="str">
        <f>IF($L493="да",MAX($U$1:$U492)+1,"")</f>
        <v/>
      </c>
      <c r="V493" t="str">
        <f t="shared" si="52"/>
        <v>Р6</v>
      </c>
      <c r="W493" t="str">
        <f t="shared" si="53"/>
        <v/>
      </c>
      <c r="X493" t="str">
        <f t="shared" si="54"/>
        <v/>
      </c>
      <c r="Y493" s="4" t="str">
        <f>IF($A493="","",IF(AND(LEFT($G493,3)="ДОК",$N493&lt;&gt;""),IFERROR(INDEX(Документация!$G$2:$G$57,MATCH($N493,Документация!$F$2:$F$57,0)),$D493),$D493&amp;IF(AND(LEFT($G493,3)&lt;&gt;"ДОК",$N493&lt;&gt;"")," — "&amp;IFERROR(INDEX(МАТЕРИАЛЫ!$C$2:$C$9000,MATCH($N493,МАТЕРИАЛЫ!$L$2:$L$9000,0)),""),"")))</f>
        <v>Циркуляционный насос VALTEC 25-60 (VRS.256.13.0) DN25</v>
      </c>
      <c r="Z493" t="str">
        <f t="shared" si="55"/>
        <v>Р6 · Отопление</v>
      </c>
    </row>
    <row r="494" spans="1:26" x14ac:dyDescent="0.3">
      <c r="A494" t="s">
        <v>1074</v>
      </c>
      <c r="B494" t="s">
        <v>1047</v>
      </c>
      <c r="C494" t="s">
        <v>50</v>
      </c>
      <c r="D494" s="4" t="s">
        <v>1052</v>
      </c>
      <c r="E494" t="s">
        <v>114</v>
      </c>
      <c r="F494" s="5">
        <v>3328.29</v>
      </c>
      <c r="G494" t="s">
        <v>1054</v>
      </c>
      <c r="H494">
        <v>5</v>
      </c>
      <c r="I494" t="s">
        <v>53</v>
      </c>
      <c r="L494" s="6"/>
      <c r="M494" s="6"/>
      <c r="N494" s="6"/>
      <c r="O494" s="5"/>
      <c r="P494" s="7" t="str">
        <f t="shared" si="49"/>
        <v/>
      </c>
      <c r="Q494" s="7" t="str">
        <f t="shared" si="50"/>
        <v/>
      </c>
      <c r="R494" s="7" t="str">
        <f t="shared" si="51"/>
        <v/>
      </c>
      <c r="S494" s="7">
        <f>IF($A494="","",IF(AND(LEFT($G494,3)="ДОК",$N494&lt;&gt;""),IFERROR(INDEX(Документация!$E$2:$E$57,MATCH($N494,Документация!$F$2:$F$57,0)),0),N($F494))*(1-MEDIAN(0,N(ДисконтТендер),1)))</f>
        <v>3328.29</v>
      </c>
      <c r="T494" s="7">
        <f>IF($A494="","",IF(AND(LEFT($G494,3)="ДОК",$N494&lt;&gt;""),0,IF(AND(LEFT($G494,3)&lt;&gt;"ДОК",$N494&lt;&gt;""),IFERROR(INDEX(МАТЕРИАЛЫ!$H$2:$H$9000,MATCH($N494,МАТЕРИАЛЫ!$L$2:$L$9000,0))*IF(INDEX(МАТЕРИАЛЫ!$I$2:$I$9000,MATCH($N494,МАТЕРИАЛЫ!$L$2:$L$9000,0))="USD",КурсUSD,IF(INDEX(МАТЕРИАЛЫ!$I$2:$I$9000,MATCH($N494,МАТЕРИАЛЫ!$L$2:$L$9000,0))="EUR",КурсEUR,IF(INDEX(МАТЕРИАЛЫ!$I$2:$I$9000,MATCH($N494,МАТЕРИАЛЫ!$L$2:$L$9000,0))="CNY",КурсCNY,1)))*(1+N($H494)/100),0),N($O494))*(1-MEDIAN(0,N(ДисконтТендер),1))))</f>
        <v>0</v>
      </c>
      <c r="U494" t="str">
        <f>IF($L494="да",MAX($U$1:$U493)+1,"")</f>
        <v/>
      </c>
      <c r="V494" t="str">
        <f t="shared" si="52"/>
        <v>Р6</v>
      </c>
      <c r="W494" t="str">
        <f t="shared" si="53"/>
        <v/>
      </c>
      <c r="X494" t="str">
        <f t="shared" si="54"/>
        <v/>
      </c>
      <c r="Y494" s="4" t="str">
        <f>IF($A494="","",IF(AND(LEFT($G494,3)="ДОК",$N494&lt;&gt;""),IFERROR(INDEX(Документация!$G$2:$G$57,MATCH($N494,Документация!$F$2:$F$57,0)),$D494),$D494&amp;IF(AND(LEFT($G494,3)&lt;&gt;"ДОК",$N494&lt;&gt;"")," — "&amp;IFERROR(INDEX(МАТЕРИАЛЫ!$C$2:$C$9000,MATCH($N494,МАТЕРИАЛЫ!$L$2:$L$9000,0)),""),"")))</f>
        <v>Монтаж радиатора отопления</v>
      </c>
      <c r="Z494" t="str">
        <f t="shared" si="55"/>
        <v>Р6 · Отопление</v>
      </c>
    </row>
    <row r="495" spans="1:26" x14ac:dyDescent="0.3">
      <c r="A495" t="s">
        <v>1075</v>
      </c>
      <c r="B495" t="s">
        <v>1047</v>
      </c>
      <c r="C495" t="s">
        <v>50</v>
      </c>
      <c r="D495" s="4" t="s">
        <v>1052</v>
      </c>
      <c r="E495" t="s">
        <v>114</v>
      </c>
      <c r="F495" s="5">
        <v>3439.08</v>
      </c>
      <c r="G495" t="s">
        <v>1054</v>
      </c>
      <c r="H495">
        <v>5</v>
      </c>
      <c r="I495" t="s">
        <v>53</v>
      </c>
      <c r="L495" s="6"/>
      <c r="M495" s="6"/>
      <c r="N495" s="6"/>
      <c r="O495" s="5"/>
      <c r="P495" s="7" t="str">
        <f t="shared" si="49"/>
        <v/>
      </c>
      <c r="Q495" s="7" t="str">
        <f t="shared" si="50"/>
        <v/>
      </c>
      <c r="R495" s="7" t="str">
        <f t="shared" si="51"/>
        <v/>
      </c>
      <c r="S495" s="7">
        <f>IF($A495="","",IF(AND(LEFT($G495,3)="ДОК",$N495&lt;&gt;""),IFERROR(INDEX(Документация!$E$2:$E$57,MATCH($N495,Документация!$F$2:$F$57,0)),0),N($F495))*(1-MEDIAN(0,N(ДисконтТендер),1)))</f>
        <v>3439.08</v>
      </c>
      <c r="T495" s="7">
        <f>IF($A495="","",IF(AND(LEFT($G495,3)="ДОК",$N495&lt;&gt;""),0,IF(AND(LEFT($G495,3)&lt;&gt;"ДОК",$N495&lt;&gt;""),IFERROR(INDEX(МАТЕРИАЛЫ!$H$2:$H$9000,MATCH($N495,МАТЕРИАЛЫ!$L$2:$L$9000,0))*IF(INDEX(МАТЕРИАЛЫ!$I$2:$I$9000,MATCH($N495,МАТЕРИАЛЫ!$L$2:$L$9000,0))="USD",КурсUSD,IF(INDEX(МАТЕРИАЛЫ!$I$2:$I$9000,MATCH($N495,МАТЕРИАЛЫ!$L$2:$L$9000,0))="EUR",КурсEUR,IF(INDEX(МАТЕРИАЛЫ!$I$2:$I$9000,MATCH($N495,МАТЕРИАЛЫ!$L$2:$L$9000,0))="CNY",КурсCNY,1)))*(1+N($H495)/100),0),N($O495))*(1-MEDIAN(0,N(ДисконтТендер),1))))</f>
        <v>0</v>
      </c>
      <c r="U495" t="str">
        <f>IF($L495="да",MAX($U$1:$U494)+1,"")</f>
        <v/>
      </c>
      <c r="V495" t="str">
        <f t="shared" si="52"/>
        <v>Р6</v>
      </c>
      <c r="W495" t="str">
        <f t="shared" si="53"/>
        <v/>
      </c>
      <c r="X495" t="str">
        <f t="shared" si="54"/>
        <v/>
      </c>
      <c r="Y495" s="4" t="str">
        <f>IF($A495="","",IF(AND(LEFT($G495,3)="ДОК",$N495&lt;&gt;""),IFERROR(INDEX(Документация!$G$2:$G$57,MATCH($N495,Документация!$F$2:$F$57,0)),$D495),$D495&amp;IF(AND(LEFT($G495,3)&lt;&gt;"ДОК",$N495&lt;&gt;"")," — "&amp;IFERROR(INDEX(МАТЕРИАЛЫ!$C$2:$C$9000,MATCH($N495,МАТЕРИАЛЫ!$L$2:$L$9000,0)),""),"")))</f>
        <v>Монтаж радиатора отопления</v>
      </c>
      <c r="Z495" t="str">
        <f t="shared" si="55"/>
        <v>Р6 · Отопление</v>
      </c>
    </row>
    <row r="496" spans="1:26" x14ac:dyDescent="0.3">
      <c r="A496" t="s">
        <v>1076</v>
      </c>
      <c r="B496" t="s">
        <v>1047</v>
      </c>
      <c r="C496" t="s">
        <v>50</v>
      </c>
      <c r="D496" s="4" t="s">
        <v>1052</v>
      </c>
      <c r="E496" t="s">
        <v>114</v>
      </c>
      <c r="F496" s="5">
        <v>3463.69</v>
      </c>
      <c r="G496" t="s">
        <v>1054</v>
      </c>
      <c r="H496">
        <v>5</v>
      </c>
      <c r="I496" t="s">
        <v>53</v>
      </c>
      <c r="L496" s="6"/>
      <c r="M496" s="6"/>
      <c r="N496" s="6"/>
      <c r="O496" s="5"/>
      <c r="P496" s="7" t="str">
        <f t="shared" si="49"/>
        <v/>
      </c>
      <c r="Q496" s="7" t="str">
        <f t="shared" si="50"/>
        <v/>
      </c>
      <c r="R496" s="7" t="str">
        <f t="shared" si="51"/>
        <v/>
      </c>
      <c r="S496" s="7">
        <f>IF($A496="","",IF(AND(LEFT($G496,3)="ДОК",$N496&lt;&gt;""),IFERROR(INDEX(Документация!$E$2:$E$57,MATCH($N496,Документация!$F$2:$F$57,0)),0),N($F496))*(1-MEDIAN(0,N(ДисконтТендер),1)))</f>
        <v>3463.69</v>
      </c>
      <c r="T496" s="7">
        <f>IF($A496="","",IF(AND(LEFT($G496,3)="ДОК",$N496&lt;&gt;""),0,IF(AND(LEFT($G496,3)&lt;&gt;"ДОК",$N496&lt;&gt;""),IFERROR(INDEX(МАТЕРИАЛЫ!$H$2:$H$9000,MATCH($N496,МАТЕРИАЛЫ!$L$2:$L$9000,0))*IF(INDEX(МАТЕРИАЛЫ!$I$2:$I$9000,MATCH($N496,МАТЕРИАЛЫ!$L$2:$L$9000,0))="USD",КурсUSD,IF(INDEX(МАТЕРИАЛЫ!$I$2:$I$9000,MATCH($N496,МАТЕРИАЛЫ!$L$2:$L$9000,0))="EUR",КурсEUR,IF(INDEX(МАТЕРИАЛЫ!$I$2:$I$9000,MATCH($N496,МАТЕРИАЛЫ!$L$2:$L$9000,0))="CNY",КурсCNY,1)))*(1+N($H496)/100),0),N($O496))*(1-MEDIAN(0,N(ДисконтТендер),1))))</f>
        <v>0</v>
      </c>
      <c r="U496" t="str">
        <f>IF($L496="да",MAX($U$1:$U495)+1,"")</f>
        <v/>
      </c>
      <c r="V496" t="str">
        <f t="shared" si="52"/>
        <v>Р6</v>
      </c>
      <c r="W496" t="str">
        <f t="shared" si="53"/>
        <v/>
      </c>
      <c r="X496" t="str">
        <f t="shared" si="54"/>
        <v/>
      </c>
      <c r="Y496" s="4" t="str">
        <f>IF($A496="","",IF(AND(LEFT($G496,3)="ДОК",$N496&lt;&gt;""),IFERROR(INDEX(Документация!$G$2:$G$57,MATCH($N496,Документация!$F$2:$F$57,0)),$D496),$D496&amp;IF(AND(LEFT($G496,3)&lt;&gt;"ДОК",$N496&lt;&gt;"")," — "&amp;IFERROR(INDEX(МАТЕРИАЛЫ!$C$2:$C$9000,MATCH($N496,МАТЕРИАЛЫ!$L$2:$L$9000,0)),""),"")))</f>
        <v>Монтаж радиатора отопления</v>
      </c>
      <c r="Z496" t="str">
        <f t="shared" si="55"/>
        <v>Р6 · Отопление</v>
      </c>
    </row>
    <row r="497" spans="1:26" ht="28.8" x14ac:dyDescent="0.3">
      <c r="A497" t="s">
        <v>1077</v>
      </c>
      <c r="B497" t="s">
        <v>1047</v>
      </c>
      <c r="C497" t="s">
        <v>50</v>
      </c>
      <c r="D497" s="4" t="s">
        <v>1078</v>
      </c>
      <c r="E497" t="s">
        <v>114</v>
      </c>
      <c r="F497" s="5">
        <v>1874.2</v>
      </c>
      <c r="G497" t="s">
        <v>1054</v>
      </c>
      <c r="H497">
        <v>5</v>
      </c>
      <c r="I497" t="s">
        <v>53</v>
      </c>
      <c r="L497" s="6"/>
      <c r="M497" s="6"/>
      <c r="N497" s="6"/>
      <c r="O497" s="5"/>
      <c r="P497" s="7" t="str">
        <f t="shared" si="49"/>
        <v/>
      </c>
      <c r="Q497" s="7" t="str">
        <f t="shared" si="50"/>
        <v/>
      </c>
      <c r="R497" s="7" t="str">
        <f t="shared" si="51"/>
        <v/>
      </c>
      <c r="S497" s="7">
        <f>IF($A497="","",IF(AND(LEFT($G497,3)="ДОК",$N497&lt;&gt;""),IFERROR(INDEX(Документация!$E$2:$E$57,MATCH($N497,Документация!$F$2:$F$57,0)),0),N($F497))*(1-MEDIAN(0,N(ДисконтТендер),1)))</f>
        <v>1874.2</v>
      </c>
      <c r="T497" s="7">
        <f>IF($A497="","",IF(AND(LEFT($G497,3)="ДОК",$N497&lt;&gt;""),0,IF(AND(LEFT($G497,3)&lt;&gt;"ДОК",$N497&lt;&gt;""),IFERROR(INDEX(МАТЕРИАЛЫ!$H$2:$H$9000,MATCH($N497,МАТЕРИАЛЫ!$L$2:$L$9000,0))*IF(INDEX(МАТЕРИАЛЫ!$I$2:$I$9000,MATCH($N497,МАТЕРИАЛЫ!$L$2:$L$9000,0))="USD",КурсUSD,IF(INDEX(МАТЕРИАЛЫ!$I$2:$I$9000,MATCH($N497,МАТЕРИАЛЫ!$L$2:$L$9000,0))="EUR",КурсEUR,IF(INDEX(МАТЕРИАЛЫ!$I$2:$I$9000,MATCH($N497,МАТЕРИАЛЫ!$L$2:$L$9000,0))="CNY",КурсCNY,1)))*(1+N($H497)/100),0),N($O497))*(1-MEDIAN(0,N(ДисконтТендер),1))))</f>
        <v>0</v>
      </c>
      <c r="U497" t="str">
        <f>IF($L497="да",MAX($U$1:$U496)+1,"")</f>
        <v/>
      </c>
      <c r="V497" t="str">
        <f t="shared" si="52"/>
        <v>Р6</v>
      </c>
      <c r="W497" t="str">
        <f t="shared" si="53"/>
        <v/>
      </c>
      <c r="X497" t="str">
        <f t="shared" si="54"/>
        <v/>
      </c>
      <c r="Y497" s="4" t="str">
        <f>IF($A497="","",IF(AND(LEFT($G497,3)="ДОК",$N497&lt;&gt;""),IFERROR(INDEX(Документация!$G$2:$G$57,MATCH($N497,Документация!$F$2:$F$57,0)),$D497),$D497&amp;IF(AND(LEFT($G497,3)&lt;&gt;"ДОК",$N497&lt;&gt;"")," — "&amp;IFERROR(INDEX(МАТЕРИАЛЫ!$C$2:$C$9000,MATCH($N497,МАТЕРИАЛЫ!$L$2:$L$9000,0)),""),"")))</f>
        <v>Конвектор электрический Ballu с электронным термостатом 500 Вт</v>
      </c>
      <c r="Z497" t="str">
        <f t="shared" si="55"/>
        <v>Р6 · Отопление</v>
      </c>
    </row>
    <row r="498" spans="1:26" ht="28.8" x14ac:dyDescent="0.3">
      <c r="A498" t="s">
        <v>1079</v>
      </c>
      <c r="B498" t="s">
        <v>1047</v>
      </c>
      <c r="C498" t="s">
        <v>50</v>
      </c>
      <c r="D498" s="4" t="s">
        <v>1080</v>
      </c>
      <c r="E498" t="s">
        <v>114</v>
      </c>
      <c r="F498" s="5">
        <v>130.5</v>
      </c>
      <c r="H498">
        <v>0</v>
      </c>
      <c r="I498" t="s">
        <v>53</v>
      </c>
      <c r="L498" s="6"/>
      <c r="M498" s="6"/>
      <c r="N498" s="6"/>
      <c r="O498" s="5"/>
      <c r="P498" s="7" t="str">
        <f t="shared" si="49"/>
        <v/>
      </c>
      <c r="Q498" s="7" t="str">
        <f t="shared" si="50"/>
        <v/>
      </c>
      <c r="R498" s="7" t="str">
        <f t="shared" si="51"/>
        <v/>
      </c>
      <c r="S498" s="7">
        <f>IF($A498="","",IF(AND(LEFT($G498,3)="ДОК",$N498&lt;&gt;""),IFERROR(INDEX(Документация!$E$2:$E$57,MATCH($N498,Документация!$F$2:$F$57,0)),0),N($F498))*(1-MEDIAN(0,N(ДисконтТендер),1)))</f>
        <v>130.5</v>
      </c>
      <c r="T498" s="7">
        <f>IF($A498="","",IF(AND(LEFT($G498,3)="ДОК",$N498&lt;&gt;""),0,IF(AND(LEFT($G498,3)&lt;&gt;"ДОК",$N498&lt;&gt;""),IFERROR(INDEX(МАТЕРИАЛЫ!$H$2:$H$9000,MATCH($N498,МАТЕРИАЛЫ!$L$2:$L$9000,0))*IF(INDEX(МАТЕРИАЛЫ!$I$2:$I$9000,MATCH($N498,МАТЕРИАЛЫ!$L$2:$L$9000,0))="USD",КурсUSD,IF(INDEX(МАТЕРИАЛЫ!$I$2:$I$9000,MATCH($N498,МАТЕРИАЛЫ!$L$2:$L$9000,0))="EUR",КурсEUR,IF(INDEX(МАТЕРИАЛЫ!$I$2:$I$9000,MATCH($N498,МАТЕРИАЛЫ!$L$2:$L$9000,0))="CNY",КурсCNY,1)))*(1+N($H498)/100),0),N($O498))*(1-MEDIAN(0,N(ДисконтТендер),1))))</f>
        <v>0</v>
      </c>
      <c r="U498" t="str">
        <f>IF($L498="да",MAX($U$1:$U497)+1,"")</f>
        <v/>
      </c>
      <c r="V498" t="str">
        <f t="shared" si="52"/>
        <v>Р6</v>
      </c>
      <c r="W498" t="str">
        <f t="shared" si="53"/>
        <v/>
      </c>
      <c r="X498" t="str">
        <f t="shared" si="54"/>
        <v/>
      </c>
      <c r="Y498" s="4" t="str">
        <f>IF($A498="","",IF(AND(LEFT($G498,3)="ДОК",$N498&lt;&gt;""),IFERROR(INDEX(Документация!$G$2:$G$57,MATCH($N498,Документация!$F$2:$F$57,0)),$D498),$D498&amp;IF(AND(LEFT($G498,3)&lt;&gt;"ДОК",$N498&lt;&gt;"")," — "&amp;IFERROR(INDEX(МАТЕРИАЛЫ!$C$2:$C$9000,MATCH($N498,МАТЕРИАЛЫ!$L$2:$L$9000,0)),""),"")))</f>
        <v>Электрический Обогреватель ТеплЭко. (указать типоразмер)</v>
      </c>
      <c r="Z498" t="str">
        <f t="shared" si="55"/>
        <v>Р6 · Отопление</v>
      </c>
    </row>
    <row r="499" spans="1:26" x14ac:dyDescent="0.3">
      <c r="A499" t="s">
        <v>1081</v>
      </c>
      <c r="B499" t="s">
        <v>1047</v>
      </c>
      <c r="C499" t="s">
        <v>50</v>
      </c>
      <c r="D499" s="4" t="s">
        <v>1082</v>
      </c>
      <c r="E499" t="s">
        <v>1053</v>
      </c>
      <c r="F499" s="5">
        <v>887.73</v>
      </c>
      <c r="G499" t="s">
        <v>1054</v>
      </c>
      <c r="H499">
        <v>5</v>
      </c>
      <c r="I499" t="s">
        <v>53</v>
      </c>
      <c r="L499" s="6"/>
      <c r="M499" s="6"/>
      <c r="N499" s="6"/>
      <c r="O499" s="5"/>
      <c r="P499" s="7" t="str">
        <f t="shared" si="49"/>
        <v/>
      </c>
      <c r="Q499" s="7" t="str">
        <f t="shared" si="50"/>
        <v/>
      </c>
      <c r="R499" s="7" t="str">
        <f t="shared" si="51"/>
        <v/>
      </c>
      <c r="S499" s="7">
        <f>IF($A499="","",IF(AND(LEFT($G499,3)="ДОК",$N499&lt;&gt;""),IFERROR(INDEX(Документация!$E$2:$E$57,MATCH($N499,Документация!$F$2:$F$57,0)),0),N($F499))*(1-MEDIAN(0,N(ДисконтТендер),1)))</f>
        <v>887.73</v>
      </c>
      <c r="T499" s="7">
        <f>IF($A499="","",IF(AND(LEFT($G499,3)="ДОК",$N499&lt;&gt;""),0,IF(AND(LEFT($G499,3)&lt;&gt;"ДОК",$N499&lt;&gt;""),IFERROR(INDEX(МАТЕРИАЛЫ!$H$2:$H$9000,MATCH($N499,МАТЕРИАЛЫ!$L$2:$L$9000,0))*IF(INDEX(МАТЕРИАЛЫ!$I$2:$I$9000,MATCH($N499,МАТЕРИАЛЫ!$L$2:$L$9000,0))="USD",КурсUSD,IF(INDEX(МАТЕРИАЛЫ!$I$2:$I$9000,MATCH($N499,МАТЕРИАЛЫ!$L$2:$L$9000,0))="EUR",КурсEUR,IF(INDEX(МАТЕРИАЛЫ!$I$2:$I$9000,MATCH($N499,МАТЕРИАЛЫ!$L$2:$L$9000,0))="CNY",КурсCNY,1)))*(1+N($H499)/100),0),N($O499))*(1-MEDIAN(0,N(ДисконтТендер),1))))</f>
        <v>0</v>
      </c>
      <c r="U499" t="str">
        <f>IF($L499="да",MAX($U$1:$U498)+1,"")</f>
        <v/>
      </c>
      <c r="V499" t="str">
        <f t="shared" si="52"/>
        <v>Р6</v>
      </c>
      <c r="W499" t="str">
        <f t="shared" si="53"/>
        <v/>
      </c>
      <c r="X499" t="str">
        <f t="shared" si="54"/>
        <v/>
      </c>
      <c r="Y499" s="4" t="str">
        <f>IF($A499="","",IF(AND(LEFT($G499,3)="ДОК",$N499&lt;&gt;""),IFERROR(INDEX(Документация!$G$2:$G$57,MATCH($N499,Документация!$F$2:$F$57,0)),$D499),$D499&amp;IF(AND(LEFT($G499,3)&lt;&gt;"ДОК",$N499&lt;&gt;"")," — "&amp;IFERROR(INDEX(МАТЕРИАЛЫ!$C$2:$C$9000,MATCH($N499,МАТЕРИАЛЫ!$L$2:$L$9000,0)),""),"")))</f>
        <v>Монтаж радиатора чугунного Радиаторы МС-140</v>
      </c>
      <c r="Z499" t="str">
        <f t="shared" si="55"/>
        <v>Р6 · Отопление</v>
      </c>
    </row>
    <row r="500" spans="1:26" ht="28.8" x14ac:dyDescent="0.3">
      <c r="A500" t="s">
        <v>1083</v>
      </c>
      <c r="B500" t="s">
        <v>1047</v>
      </c>
      <c r="C500" t="s">
        <v>50</v>
      </c>
      <c r="D500" s="4" t="s">
        <v>993</v>
      </c>
      <c r="E500" t="s">
        <v>153</v>
      </c>
      <c r="F500" s="5">
        <v>551.22</v>
      </c>
      <c r="G500" t="s">
        <v>964</v>
      </c>
      <c r="H500">
        <v>5</v>
      </c>
      <c r="I500" t="s">
        <v>53</v>
      </c>
      <c r="L500" s="6"/>
      <c r="M500" s="6"/>
      <c r="N500" s="6"/>
      <c r="O500" s="5"/>
      <c r="P500" s="7" t="str">
        <f t="shared" si="49"/>
        <v/>
      </c>
      <c r="Q500" s="7" t="str">
        <f t="shared" si="50"/>
        <v/>
      </c>
      <c r="R500" s="7" t="str">
        <f t="shared" si="51"/>
        <v/>
      </c>
      <c r="S500" s="7">
        <f>IF($A500="","",IF(AND(LEFT($G500,3)="ДОК",$N500&lt;&gt;""),IFERROR(INDEX(Документация!$E$2:$E$57,MATCH($N500,Документация!$F$2:$F$57,0)),0),N($F500))*(1-MEDIAN(0,N(ДисконтТендер),1)))</f>
        <v>551.22</v>
      </c>
      <c r="T500" s="7">
        <f>IF($A500="","",IF(AND(LEFT($G500,3)="ДОК",$N500&lt;&gt;""),0,IF(AND(LEFT($G500,3)&lt;&gt;"ДОК",$N500&lt;&gt;""),IFERROR(INDEX(МАТЕРИАЛЫ!$H$2:$H$9000,MATCH($N500,МАТЕРИАЛЫ!$L$2:$L$9000,0))*IF(INDEX(МАТЕРИАЛЫ!$I$2:$I$9000,MATCH($N500,МАТЕРИАЛЫ!$L$2:$L$9000,0))="USD",КурсUSD,IF(INDEX(МАТЕРИАЛЫ!$I$2:$I$9000,MATCH($N500,МАТЕРИАЛЫ!$L$2:$L$9000,0))="EUR",КурсEUR,IF(INDEX(МАТЕРИАЛЫ!$I$2:$I$9000,MATCH($N500,МАТЕРИАЛЫ!$L$2:$L$9000,0))="CNY",КурсCNY,1)))*(1+N($H500)/100),0),N($O500))*(1-MEDIAN(0,N(ДисконтТендер),1))))</f>
        <v>0</v>
      </c>
      <c r="U500" t="str">
        <f>IF($L500="да",MAX($U$1:$U499)+1,"")</f>
        <v/>
      </c>
      <c r="V500" t="str">
        <f t="shared" si="52"/>
        <v>Р6</v>
      </c>
      <c r="W500" t="str">
        <f t="shared" si="53"/>
        <v/>
      </c>
      <c r="X500" t="str">
        <f t="shared" si="54"/>
        <v/>
      </c>
      <c r="Y500" s="4" t="str">
        <f>IF($A500="","",IF(AND(LEFT($G500,3)="ДОК",$N500&lt;&gt;""),IFERROR(INDEX(Документация!$G$2:$G$57,MATCH($N500,Документация!$F$2:$F$57,0)),$D500),$D500&amp;IF(AND(LEFT($G500,3)&lt;&gt;"ДОК",$N500&lt;&gt;"")," — "&amp;IFERROR(INDEX(МАТЕРИАЛЫ!$C$2:$C$9000,MATCH($N500,МАТЕРИАЛЫ!$L$2:$L$9000,0)),""),"")))</f>
        <v>Монтаж трубопровода (отопление / водоснабжение)</v>
      </c>
      <c r="Z500" t="str">
        <f t="shared" si="55"/>
        <v>Р6 · Отопление</v>
      </c>
    </row>
    <row r="501" spans="1:26" x14ac:dyDescent="0.3">
      <c r="A501" t="s">
        <v>1084</v>
      </c>
      <c r="B501" t="s">
        <v>1047</v>
      </c>
      <c r="C501" t="s">
        <v>50</v>
      </c>
      <c r="D501" s="4" t="s">
        <v>1085</v>
      </c>
      <c r="E501" t="s">
        <v>114</v>
      </c>
      <c r="F501" s="5">
        <v>886.23</v>
      </c>
      <c r="G501" t="s">
        <v>961</v>
      </c>
      <c r="H501">
        <v>5</v>
      </c>
      <c r="I501" t="s">
        <v>53</v>
      </c>
      <c r="L501" s="6"/>
      <c r="M501" s="6"/>
      <c r="N501" s="6"/>
      <c r="O501" s="5"/>
      <c r="P501" s="7" t="str">
        <f t="shared" si="49"/>
        <v/>
      </c>
      <c r="Q501" s="7" t="str">
        <f t="shared" si="50"/>
        <v/>
      </c>
      <c r="R501" s="7" t="str">
        <f t="shared" si="51"/>
        <v/>
      </c>
      <c r="S501" s="7">
        <f>IF($A501="","",IF(AND(LEFT($G501,3)="ДОК",$N501&lt;&gt;""),IFERROR(INDEX(Документация!$E$2:$E$57,MATCH($N501,Документация!$F$2:$F$57,0)),0),N($F501))*(1-MEDIAN(0,N(ДисконтТендер),1)))</f>
        <v>886.23</v>
      </c>
      <c r="T501" s="7">
        <f>IF($A501="","",IF(AND(LEFT($G501,3)="ДОК",$N501&lt;&gt;""),0,IF(AND(LEFT($G501,3)&lt;&gt;"ДОК",$N501&lt;&gt;""),IFERROR(INDEX(МАТЕРИАЛЫ!$H$2:$H$9000,MATCH($N501,МАТЕРИАЛЫ!$L$2:$L$9000,0))*IF(INDEX(МАТЕРИАЛЫ!$I$2:$I$9000,MATCH($N501,МАТЕРИАЛЫ!$L$2:$L$9000,0))="USD",КурсUSD,IF(INDEX(МАТЕРИАЛЫ!$I$2:$I$9000,MATCH($N501,МАТЕРИАЛЫ!$L$2:$L$9000,0))="EUR",КурсEUR,IF(INDEX(МАТЕРИАЛЫ!$I$2:$I$9000,MATCH($N501,МАТЕРИАЛЫ!$L$2:$L$9000,0))="CNY",КурсCNY,1)))*(1+N($H501)/100),0),N($O501))*(1-MEDIAN(0,N(ДисконтТендер),1))))</f>
        <v>0</v>
      </c>
      <c r="U501" t="str">
        <f>IF($L501="да",MAX($U$1:$U500)+1,"")</f>
        <v/>
      </c>
      <c r="V501" t="str">
        <f t="shared" si="52"/>
        <v>Р6</v>
      </c>
      <c r="W501" t="str">
        <f t="shared" si="53"/>
        <v/>
      </c>
      <c r="X501" t="str">
        <f t="shared" si="54"/>
        <v/>
      </c>
      <c r="Y501" s="4" t="str">
        <f>IF($A501="","",IF(AND(LEFT($G501,3)="ДОК",$N501&lt;&gt;""),IFERROR(INDEX(Документация!$G$2:$G$57,MATCH($N501,Документация!$F$2:$F$57,0)),$D501),$D501&amp;IF(AND(LEFT($G501,3)&lt;&gt;"ДОК",$N501&lt;&gt;"")," — "&amp;IFERROR(INDEX(МАТЕРИАЛЫ!$C$2:$C$9000,MATCH($N501,МАТЕРИАЛЫ!$L$2:$L$9000,0)),""),"")))</f>
        <v>Клапан VALTEC ручной, прямой 3/4 VT.008.LN.05</v>
      </c>
      <c r="Z501" t="str">
        <f t="shared" si="55"/>
        <v>Р6 · Отопление</v>
      </c>
    </row>
    <row r="502" spans="1:26" x14ac:dyDescent="0.3">
      <c r="A502" t="s">
        <v>1086</v>
      </c>
      <c r="B502" t="s">
        <v>1047</v>
      </c>
      <c r="C502" t="s">
        <v>50</v>
      </c>
      <c r="D502" s="4" t="s">
        <v>1087</v>
      </c>
      <c r="E502" t="s">
        <v>83</v>
      </c>
      <c r="F502" s="5">
        <v>33963</v>
      </c>
      <c r="H502">
        <v>0</v>
      </c>
      <c r="I502" t="s">
        <v>53</v>
      </c>
      <c r="L502" s="6"/>
      <c r="M502" s="6"/>
      <c r="N502" s="6"/>
      <c r="O502" s="5"/>
      <c r="P502" s="7" t="str">
        <f t="shared" si="49"/>
        <v/>
      </c>
      <c r="Q502" s="7" t="str">
        <f t="shared" si="50"/>
        <v/>
      </c>
      <c r="R502" s="7" t="str">
        <f t="shared" si="51"/>
        <v/>
      </c>
      <c r="S502" s="7">
        <f>IF($A502="","",IF(AND(LEFT($G502,3)="ДОК",$N502&lt;&gt;""),IFERROR(INDEX(Документация!$E$2:$E$57,MATCH($N502,Документация!$F$2:$F$57,0)),0),N($F502))*(1-MEDIAN(0,N(ДисконтТендер),1)))</f>
        <v>33963</v>
      </c>
      <c r="T502" s="7">
        <f>IF($A502="","",IF(AND(LEFT($G502,3)="ДОК",$N502&lt;&gt;""),0,IF(AND(LEFT($G502,3)&lt;&gt;"ДОК",$N502&lt;&gt;""),IFERROR(INDEX(МАТЕРИАЛЫ!$H$2:$H$9000,MATCH($N502,МАТЕРИАЛЫ!$L$2:$L$9000,0))*IF(INDEX(МАТЕРИАЛЫ!$I$2:$I$9000,MATCH($N502,МАТЕРИАЛЫ!$L$2:$L$9000,0))="USD",КурсUSD,IF(INDEX(МАТЕРИАЛЫ!$I$2:$I$9000,MATCH($N502,МАТЕРИАЛЫ!$L$2:$L$9000,0))="EUR",КурсEUR,IF(INDEX(МАТЕРИАЛЫ!$I$2:$I$9000,MATCH($N502,МАТЕРИАЛЫ!$L$2:$L$9000,0))="CNY",КурсCNY,1)))*(1+N($H502)/100),0),N($O502))*(1-MEDIAN(0,N(ДисконтТендер),1))))</f>
        <v>0</v>
      </c>
      <c r="U502" t="str">
        <f>IF($L502="да",MAX($U$1:$U501)+1,"")</f>
        <v/>
      </c>
      <c r="V502" t="str">
        <f t="shared" si="52"/>
        <v>Р6</v>
      </c>
      <c r="W502" t="str">
        <f t="shared" si="53"/>
        <v/>
      </c>
      <c r="X502" t="str">
        <f t="shared" si="54"/>
        <v/>
      </c>
      <c r="Y502" s="4" t="str">
        <f>IF($A502="","",IF(AND(LEFT($G502,3)="ДОК",$N502&lt;&gt;""),IFERROR(INDEX(Документация!$G$2:$G$57,MATCH($N502,Документация!$F$2:$F$57,0)),$D502),$D502&amp;IF(AND(LEFT($G502,3)&lt;&gt;"ДОК",$N502&lt;&gt;"")," — "&amp;IFERROR(INDEX(МАТЕРИАЛЫ!$C$2:$C$9000,MATCH($N502,МАТЕРИАЛЫ!$L$2:$L$9000,0)),""),"")))</f>
        <v>Опрессовка системы отопления до 450 м.кв</v>
      </c>
      <c r="Z502" t="str">
        <f t="shared" si="55"/>
        <v>Р6 · Отопление</v>
      </c>
    </row>
    <row r="503" spans="1:26" x14ac:dyDescent="0.3">
      <c r="A503" t="s">
        <v>1088</v>
      </c>
      <c r="B503" t="s">
        <v>1047</v>
      </c>
      <c r="C503" t="s">
        <v>50</v>
      </c>
      <c r="D503" s="4" t="s">
        <v>1089</v>
      </c>
      <c r="E503" t="s">
        <v>125</v>
      </c>
      <c r="F503" s="5">
        <v>113.21</v>
      </c>
      <c r="H503">
        <v>0</v>
      </c>
      <c r="I503" t="s">
        <v>53</v>
      </c>
      <c r="L503" s="6"/>
      <c r="M503" s="6"/>
      <c r="N503" s="6"/>
      <c r="O503" s="5"/>
      <c r="P503" s="7" t="str">
        <f t="shared" si="49"/>
        <v/>
      </c>
      <c r="Q503" s="7" t="str">
        <f t="shared" si="50"/>
        <v/>
      </c>
      <c r="R503" s="7" t="str">
        <f t="shared" si="51"/>
        <v/>
      </c>
      <c r="S503" s="7">
        <f>IF($A503="","",IF(AND(LEFT($G503,3)="ДОК",$N503&lt;&gt;""),IFERROR(INDEX(Документация!$E$2:$E$57,MATCH($N503,Документация!$F$2:$F$57,0)),0),N($F503))*(1-MEDIAN(0,N(ДисконтТендер),1)))</f>
        <v>113.21</v>
      </c>
      <c r="T503" s="7">
        <f>IF($A503="","",IF(AND(LEFT($G503,3)="ДОК",$N503&lt;&gt;""),0,IF(AND(LEFT($G503,3)&lt;&gt;"ДОК",$N503&lt;&gt;""),IFERROR(INDEX(МАТЕРИАЛЫ!$H$2:$H$9000,MATCH($N503,МАТЕРИАЛЫ!$L$2:$L$9000,0))*IF(INDEX(МАТЕРИАЛЫ!$I$2:$I$9000,MATCH($N503,МАТЕРИАЛЫ!$L$2:$L$9000,0))="USD",КурсUSD,IF(INDEX(МАТЕРИАЛЫ!$I$2:$I$9000,MATCH($N503,МАТЕРИАЛЫ!$L$2:$L$9000,0))="EUR",КурсEUR,IF(INDEX(МАТЕРИАЛЫ!$I$2:$I$9000,MATCH($N503,МАТЕРИАЛЫ!$L$2:$L$9000,0))="CNY",КурсCNY,1)))*(1+N($H503)/100),0),N($O503))*(1-MEDIAN(0,N(ДисконтТендер),1))))</f>
        <v>0</v>
      </c>
      <c r="U503" t="str">
        <f>IF($L503="да",MAX($U$1:$U502)+1,"")</f>
        <v/>
      </c>
      <c r="V503" t="str">
        <f t="shared" si="52"/>
        <v>Р6</v>
      </c>
      <c r="W503" t="str">
        <f t="shared" si="53"/>
        <v/>
      </c>
      <c r="X503" t="str">
        <f t="shared" si="54"/>
        <v/>
      </c>
      <c r="Y503" s="4" t="str">
        <f>IF($A503="","",IF(AND(LEFT($G503,3)="ДОК",$N503&lt;&gt;""),IFERROR(INDEX(Документация!$G$2:$G$57,MATCH($N503,Документация!$F$2:$F$57,0)),$D503),$D503&amp;IF(AND(LEFT($G503,3)&lt;&gt;"ДОК",$N503&lt;&gt;"")," — "&amp;IFERROR(INDEX(МАТЕРИАЛЫ!$C$2:$C$9000,MATCH($N503,МАТЕРИАЛЫ!$L$2:$L$9000,0)),""),"")))</f>
        <v>Опрессовка системы отопления от 450 м.кв</v>
      </c>
      <c r="Z503" t="str">
        <f t="shared" si="55"/>
        <v>Р6 · Отопление</v>
      </c>
    </row>
    <row r="504" spans="1:26" x14ac:dyDescent="0.3">
      <c r="A504" t="s">
        <v>1090</v>
      </c>
      <c r="B504" t="s">
        <v>1047</v>
      </c>
      <c r="C504" t="s">
        <v>50</v>
      </c>
      <c r="D504" s="4" t="s">
        <v>1091</v>
      </c>
      <c r="E504" t="s">
        <v>114</v>
      </c>
      <c r="F504" s="5">
        <v>3053.7</v>
      </c>
      <c r="G504" t="s">
        <v>964</v>
      </c>
      <c r="H504">
        <v>5</v>
      </c>
      <c r="I504" t="s">
        <v>53</v>
      </c>
      <c r="L504" s="6"/>
      <c r="M504" s="6"/>
      <c r="N504" s="6"/>
      <c r="O504" s="5"/>
      <c r="P504" s="7" t="str">
        <f t="shared" si="49"/>
        <v/>
      </c>
      <c r="Q504" s="7" t="str">
        <f t="shared" si="50"/>
        <v/>
      </c>
      <c r="R504" s="7" t="str">
        <f t="shared" si="51"/>
        <v/>
      </c>
      <c r="S504" s="7">
        <f>IF($A504="","",IF(AND(LEFT($G504,3)="ДОК",$N504&lt;&gt;""),IFERROR(INDEX(Документация!$E$2:$E$57,MATCH($N504,Документация!$F$2:$F$57,0)),0),N($F504))*(1-MEDIAN(0,N(ДисконтТендер),1)))</f>
        <v>3053.7</v>
      </c>
      <c r="T504" s="7">
        <f>IF($A504="","",IF(AND(LEFT($G504,3)="ДОК",$N504&lt;&gt;""),0,IF(AND(LEFT($G504,3)&lt;&gt;"ДОК",$N504&lt;&gt;""),IFERROR(INDEX(МАТЕРИАЛЫ!$H$2:$H$9000,MATCH($N504,МАТЕРИАЛЫ!$L$2:$L$9000,0))*IF(INDEX(МАТЕРИАЛЫ!$I$2:$I$9000,MATCH($N504,МАТЕРИАЛЫ!$L$2:$L$9000,0))="USD",КурсUSD,IF(INDEX(МАТЕРИАЛЫ!$I$2:$I$9000,MATCH($N504,МАТЕРИАЛЫ!$L$2:$L$9000,0))="EUR",КурсEUR,IF(INDEX(МАТЕРИАЛЫ!$I$2:$I$9000,MATCH($N504,МАТЕРИАЛЫ!$L$2:$L$9000,0))="CNY",КурсCNY,1)))*(1+N($H504)/100),0),N($O504))*(1-MEDIAN(0,N(ДисконтТендер),1))))</f>
        <v>0</v>
      </c>
      <c r="U504" t="str">
        <f>IF($L504="да",MAX($U$1:$U503)+1,"")</f>
        <v/>
      </c>
      <c r="V504" t="str">
        <f t="shared" si="52"/>
        <v>Р6</v>
      </c>
      <c r="W504" t="str">
        <f t="shared" si="53"/>
        <v/>
      </c>
      <c r="X504" t="str">
        <f t="shared" si="54"/>
        <v/>
      </c>
      <c r="Y504" s="4" t="str">
        <f>IF($A504="","",IF(AND(LEFT($G504,3)="ДОК",$N504&lt;&gt;""),IFERROR(INDEX(Документация!$G$2:$G$57,MATCH($N504,Документация!$F$2:$F$57,0)),$D504),$D504&amp;IF(AND(LEFT($G504,3)&lt;&gt;"ДОК",$N504&lt;&gt;"")," — "&amp;IFERROR(INDEX(МАТЕРИАЛЫ!$C$2:$C$9000,MATCH($N504,МАТЕРИАЛЫ!$L$2:$L$9000,0)),""),"")))</f>
        <v>Вырезка участка стояковых труб</v>
      </c>
      <c r="Z504" t="str">
        <f t="shared" si="55"/>
        <v>Р6 · Отопление</v>
      </c>
    </row>
    <row r="505" spans="1:26" x14ac:dyDescent="0.3">
      <c r="A505" t="s">
        <v>1092</v>
      </c>
      <c r="B505" t="s">
        <v>1047</v>
      </c>
      <c r="C505" t="s">
        <v>50</v>
      </c>
      <c r="D505" s="4" t="s">
        <v>1093</v>
      </c>
      <c r="E505" t="s">
        <v>114</v>
      </c>
      <c r="F505" s="5">
        <v>6135.33</v>
      </c>
      <c r="H505">
        <v>0</v>
      </c>
      <c r="I505" t="s">
        <v>53</v>
      </c>
      <c r="L505" s="6"/>
      <c r="M505" s="6"/>
      <c r="N505" s="6"/>
      <c r="O505" s="5"/>
      <c r="P505" s="7" t="str">
        <f t="shared" si="49"/>
        <v/>
      </c>
      <c r="Q505" s="7" t="str">
        <f t="shared" si="50"/>
        <v/>
      </c>
      <c r="R505" s="7" t="str">
        <f t="shared" si="51"/>
        <v/>
      </c>
      <c r="S505" s="7">
        <f>IF($A505="","",IF(AND(LEFT($G505,3)="ДОК",$N505&lt;&gt;""),IFERROR(INDEX(Документация!$E$2:$E$57,MATCH($N505,Документация!$F$2:$F$57,0)),0),N($F505))*(1-MEDIAN(0,N(ДисконтТендер),1)))</f>
        <v>6135.33</v>
      </c>
      <c r="T505" s="7">
        <f>IF($A505="","",IF(AND(LEFT($G505,3)="ДОК",$N505&lt;&gt;""),0,IF(AND(LEFT($G505,3)&lt;&gt;"ДОК",$N505&lt;&gt;""),IFERROR(INDEX(МАТЕРИАЛЫ!$H$2:$H$9000,MATCH($N505,МАТЕРИАЛЫ!$L$2:$L$9000,0))*IF(INDEX(МАТЕРИАЛЫ!$I$2:$I$9000,MATCH($N505,МАТЕРИАЛЫ!$L$2:$L$9000,0))="USD",КурсUSD,IF(INDEX(МАТЕРИАЛЫ!$I$2:$I$9000,MATCH($N505,МАТЕРИАЛЫ!$L$2:$L$9000,0))="EUR",КурсEUR,IF(INDEX(МАТЕРИАЛЫ!$I$2:$I$9000,MATCH($N505,МАТЕРИАЛЫ!$L$2:$L$9000,0))="CNY",КурсCNY,1)))*(1+N($H505)/100),0),N($O505))*(1-MEDIAN(0,N(ДисконтТендер),1))))</f>
        <v>0</v>
      </c>
      <c r="U505" t="str">
        <f>IF($L505="да",MAX($U$1:$U504)+1,"")</f>
        <v/>
      </c>
      <c r="V505" t="str">
        <f t="shared" si="52"/>
        <v>Р6</v>
      </c>
      <c r="W505" t="str">
        <f t="shared" si="53"/>
        <v/>
      </c>
      <c r="X505" t="str">
        <f t="shared" si="54"/>
        <v/>
      </c>
      <c r="Y505" s="4" t="str">
        <f>IF($A505="","",IF(AND(LEFT($G505,3)="ДОК",$N505&lt;&gt;""),IFERROR(INDEX(Документация!$G$2:$G$57,MATCH($N505,Документация!$F$2:$F$57,0)),$D505),$D505&amp;IF(AND(LEFT($G505,3)&lt;&gt;"ДОК",$N505&lt;&gt;"")," — "&amp;IFERROR(INDEX(МАТЕРИАЛЫ!$C$2:$C$9000,MATCH($N505,МАТЕРИАЛЫ!$L$2:$L$9000,0)),""),"")))</f>
        <v>Врезка в существующую систему отопления</v>
      </c>
      <c r="Z505" t="str">
        <f t="shared" si="55"/>
        <v>Р6 · Отопление</v>
      </c>
    </row>
    <row r="506" spans="1:26" ht="28.8" x14ac:dyDescent="0.3">
      <c r="A506" t="s">
        <v>1094</v>
      </c>
      <c r="B506" t="s">
        <v>1047</v>
      </c>
      <c r="C506" t="s">
        <v>50</v>
      </c>
      <c r="D506" s="4" t="s">
        <v>1095</v>
      </c>
      <c r="E506" t="s">
        <v>114</v>
      </c>
      <c r="F506" s="5">
        <v>806.66</v>
      </c>
      <c r="G506" t="s">
        <v>964</v>
      </c>
      <c r="H506">
        <v>5</v>
      </c>
      <c r="I506" t="s">
        <v>53</v>
      </c>
      <c r="L506" s="6"/>
      <c r="M506" s="6"/>
      <c r="N506" s="6"/>
      <c r="O506" s="5"/>
      <c r="P506" s="7" t="str">
        <f t="shared" si="49"/>
        <v/>
      </c>
      <c r="Q506" s="7" t="str">
        <f t="shared" si="50"/>
        <v/>
      </c>
      <c r="R506" s="7" t="str">
        <f t="shared" si="51"/>
        <v/>
      </c>
      <c r="S506" s="7">
        <f>IF($A506="","",IF(AND(LEFT($G506,3)="ДОК",$N506&lt;&gt;""),IFERROR(INDEX(Документация!$E$2:$E$57,MATCH($N506,Документация!$F$2:$F$57,0)),0),N($F506))*(1-MEDIAN(0,N(ДисконтТендер),1)))</f>
        <v>806.66</v>
      </c>
      <c r="T506" s="7">
        <f>IF($A506="","",IF(AND(LEFT($G506,3)="ДОК",$N506&lt;&gt;""),0,IF(AND(LEFT($G506,3)&lt;&gt;"ДОК",$N506&lt;&gt;""),IFERROR(INDEX(МАТЕРИАЛЫ!$H$2:$H$9000,MATCH($N506,МАТЕРИАЛЫ!$L$2:$L$9000,0))*IF(INDEX(МАТЕРИАЛЫ!$I$2:$I$9000,MATCH($N506,МАТЕРИАЛЫ!$L$2:$L$9000,0))="USD",КурсUSD,IF(INDEX(МАТЕРИАЛЫ!$I$2:$I$9000,MATCH($N506,МАТЕРИАЛЫ!$L$2:$L$9000,0))="EUR",КурсEUR,IF(INDEX(МАТЕРИАЛЫ!$I$2:$I$9000,MATCH($N506,МАТЕРИАЛЫ!$L$2:$L$9000,0))="CNY",КурсCNY,1)))*(1+N($H506)/100),0),N($O506))*(1-MEDIAN(0,N(ДисконтТендер),1))))</f>
        <v>0</v>
      </c>
      <c r="U506" t="str">
        <f>IF($L506="да",MAX($U$1:$U505)+1,"")</f>
        <v/>
      </c>
      <c r="V506" t="str">
        <f t="shared" si="52"/>
        <v>Р6</v>
      </c>
      <c r="W506" t="str">
        <f t="shared" si="53"/>
        <v/>
      </c>
      <c r="X506" t="str">
        <f t="shared" si="54"/>
        <v/>
      </c>
      <c r="Y506" s="4" t="str">
        <f>IF($A506="","",IF(AND(LEFT($G506,3)="ДОК",$N506&lt;&gt;""),IFERROR(INDEX(Документация!$G$2:$G$57,MATCH($N506,Документация!$F$2:$F$57,0)),$D506),$D506&amp;IF(AND(LEFT($G506,3)&lt;&gt;"ДОК",$N506&lt;&gt;"")," — "&amp;IFERROR(INDEX(МАТЕРИАЛЫ!$C$2:$C$9000,MATCH($N506,МАТЕРИАЛЫ!$L$2:$L$9000,0)),""),"")))</f>
        <v>Установка крестовин стояковых труб (труба 32, отвод 16)</v>
      </c>
      <c r="Z506" t="str">
        <f t="shared" si="55"/>
        <v>Р6 · Отопление</v>
      </c>
    </row>
    <row r="507" spans="1:26" ht="28.8" x14ac:dyDescent="0.3">
      <c r="A507" t="s">
        <v>1096</v>
      </c>
      <c r="B507" t="s">
        <v>1047</v>
      </c>
      <c r="C507" t="s">
        <v>50</v>
      </c>
      <c r="D507" s="4" t="s">
        <v>1097</v>
      </c>
      <c r="E507" t="s">
        <v>114</v>
      </c>
      <c r="F507" s="5">
        <v>2578.6799999999998</v>
      </c>
      <c r="G507" t="s">
        <v>1054</v>
      </c>
      <c r="H507">
        <v>5</v>
      </c>
      <c r="I507" t="s">
        <v>53</v>
      </c>
      <c r="L507" s="6"/>
      <c r="M507" s="6"/>
      <c r="N507" s="6"/>
      <c r="O507" s="5"/>
      <c r="P507" s="7" t="str">
        <f t="shared" si="49"/>
        <v/>
      </c>
      <c r="Q507" s="7" t="str">
        <f t="shared" si="50"/>
        <v/>
      </c>
      <c r="R507" s="7" t="str">
        <f t="shared" si="51"/>
        <v/>
      </c>
      <c r="S507" s="7">
        <f>IF($A507="","",IF(AND(LEFT($G507,3)="ДОК",$N507&lt;&gt;""),IFERROR(INDEX(Документация!$E$2:$E$57,MATCH($N507,Документация!$F$2:$F$57,0)),0),N($F507))*(1-MEDIAN(0,N(ДисконтТендер),1)))</f>
        <v>2578.6799999999998</v>
      </c>
      <c r="T507" s="7">
        <f>IF($A507="","",IF(AND(LEFT($G507,3)="ДОК",$N507&lt;&gt;""),0,IF(AND(LEFT($G507,3)&lt;&gt;"ДОК",$N507&lt;&gt;""),IFERROR(INDEX(МАТЕРИАЛЫ!$H$2:$H$9000,MATCH($N507,МАТЕРИАЛЫ!$L$2:$L$9000,0))*IF(INDEX(МАТЕРИАЛЫ!$I$2:$I$9000,MATCH($N507,МАТЕРИАЛЫ!$L$2:$L$9000,0))="USD",КурсUSD,IF(INDEX(МАТЕРИАЛЫ!$I$2:$I$9000,MATCH($N507,МАТЕРИАЛЫ!$L$2:$L$9000,0))="EUR",КурсEUR,IF(INDEX(МАТЕРИАЛЫ!$I$2:$I$9000,MATCH($N507,МАТЕРИАЛЫ!$L$2:$L$9000,0))="CNY",КурсCNY,1)))*(1+N($H507)/100),0),N($O507))*(1-MEDIAN(0,N(ДисконтТендер),1))))</f>
        <v>0</v>
      </c>
      <c r="U507" t="str">
        <f>IF($L507="да",MAX($U$1:$U506)+1,"")</f>
        <v/>
      </c>
      <c r="V507" t="str">
        <f t="shared" si="52"/>
        <v>Р6</v>
      </c>
      <c r="W507" t="str">
        <f t="shared" si="53"/>
        <v/>
      </c>
      <c r="X507" t="str">
        <f t="shared" si="54"/>
        <v/>
      </c>
      <c r="Y507" s="4" t="str">
        <f>IF($A507="","",IF(AND(LEFT($G507,3)="ДОК",$N507&lt;&gt;""),IFERROR(INDEX(Документация!$G$2:$G$57,MATCH($N507,Документация!$F$2:$F$57,0)),$D507),$D507&amp;IF(AND(LEFT($G507,3)&lt;&gt;"ДОК",$N507&lt;&gt;"")," — "&amp;IFERROR(INDEX(МАТЕРИАЛЫ!$C$2:$C$9000,MATCH($N507,МАТЕРИАЛЫ!$L$2:$L$9000,0)),""),"")))</f>
        <v>Монтаж конвекторов электрических NOBO C2F 10 XSC 0,75 кВт с встроенным термостатом R80 XSC</v>
      </c>
      <c r="Z507" t="str">
        <f t="shared" si="55"/>
        <v>Р6 · Отопление</v>
      </c>
    </row>
    <row r="508" spans="1:26" ht="28.8" x14ac:dyDescent="0.3">
      <c r="A508" t="s">
        <v>1098</v>
      </c>
      <c r="B508" t="s">
        <v>1047</v>
      </c>
      <c r="C508" t="s">
        <v>50</v>
      </c>
      <c r="D508" s="4" t="s">
        <v>1099</v>
      </c>
      <c r="E508" t="s">
        <v>153</v>
      </c>
      <c r="F508" s="5">
        <v>449.16</v>
      </c>
      <c r="H508">
        <v>0</v>
      </c>
      <c r="I508" t="s">
        <v>53</v>
      </c>
      <c r="L508" s="6"/>
      <c r="M508" s="6"/>
      <c r="N508" s="6"/>
      <c r="O508" s="5"/>
      <c r="P508" s="7" t="str">
        <f t="shared" si="49"/>
        <v/>
      </c>
      <c r="Q508" s="7" t="str">
        <f t="shared" si="50"/>
        <v/>
      </c>
      <c r="R508" s="7" t="str">
        <f t="shared" si="51"/>
        <v/>
      </c>
      <c r="S508" s="7">
        <f>IF($A508="","",IF(AND(LEFT($G508,3)="ДОК",$N508&lt;&gt;""),IFERROR(INDEX(Документация!$E$2:$E$57,MATCH($N508,Документация!$F$2:$F$57,0)),0),N($F508))*(1-MEDIAN(0,N(ДисконтТендер),1)))</f>
        <v>449.16</v>
      </c>
      <c r="T508" s="7">
        <f>IF($A508="","",IF(AND(LEFT($G508,3)="ДОК",$N508&lt;&gt;""),0,IF(AND(LEFT($G508,3)&lt;&gt;"ДОК",$N508&lt;&gt;""),IFERROR(INDEX(МАТЕРИАЛЫ!$H$2:$H$9000,MATCH($N508,МАТЕРИАЛЫ!$L$2:$L$9000,0))*IF(INDEX(МАТЕРИАЛЫ!$I$2:$I$9000,MATCH($N508,МАТЕРИАЛЫ!$L$2:$L$9000,0))="USD",КурсUSD,IF(INDEX(МАТЕРИАЛЫ!$I$2:$I$9000,MATCH($N508,МАТЕРИАЛЫ!$L$2:$L$9000,0))="EUR",КурсEUR,IF(INDEX(МАТЕРИАЛЫ!$I$2:$I$9000,MATCH($N508,МАТЕРИАЛЫ!$L$2:$L$9000,0))="CNY",КурсCNY,1)))*(1+N($H508)/100),0),N($O508))*(1-MEDIAN(0,N(ДисконтТендер),1))))</f>
        <v>0</v>
      </c>
      <c r="U508" t="str">
        <f>IF($L508="да",MAX($U$1:$U507)+1,"")</f>
        <v/>
      </c>
      <c r="V508" t="str">
        <f t="shared" si="52"/>
        <v>Р6</v>
      </c>
      <c r="W508" t="str">
        <f t="shared" si="53"/>
        <v/>
      </c>
      <c r="X508" t="str">
        <f t="shared" si="54"/>
        <v/>
      </c>
      <c r="Y508" s="4" t="str">
        <f>IF($A508="","",IF(AND(LEFT($G508,3)="ДОК",$N508&lt;&gt;""),IFERROR(INDEX(Документация!$G$2:$G$57,MATCH($N508,Документация!$F$2:$F$57,0)),$D508),$D508&amp;IF(AND(LEFT($G508,3)&lt;&gt;"ДОК",$N508&lt;&gt;"")," — "&amp;IFERROR(INDEX(МАТЕРИАЛЫ!$C$2:$C$9000,MATCH($N508,МАТЕРИАЛЫ!$L$2:$L$9000,0)),""),"")))</f>
        <v>Монтаж труб отопления из стальных водогазопроводных труб, диаметр до 16мм</v>
      </c>
      <c r="Z508" t="str">
        <f t="shared" si="55"/>
        <v>Р6 · Отопление</v>
      </c>
    </row>
    <row r="509" spans="1:26" ht="28.8" x14ac:dyDescent="0.3">
      <c r="A509" t="s">
        <v>1100</v>
      </c>
      <c r="B509" t="s">
        <v>1047</v>
      </c>
      <c r="C509" t="s">
        <v>50</v>
      </c>
      <c r="D509" s="4" t="s">
        <v>1101</v>
      </c>
      <c r="E509" t="s">
        <v>153</v>
      </c>
      <c r="F509" s="5">
        <v>467.5</v>
      </c>
      <c r="H509">
        <v>0</v>
      </c>
      <c r="I509" t="s">
        <v>53</v>
      </c>
      <c r="L509" s="6"/>
      <c r="M509" s="6"/>
      <c r="N509" s="6"/>
      <c r="O509" s="5"/>
      <c r="P509" s="7" t="str">
        <f t="shared" si="49"/>
        <v/>
      </c>
      <c r="Q509" s="7" t="str">
        <f t="shared" si="50"/>
        <v/>
      </c>
      <c r="R509" s="7" t="str">
        <f t="shared" si="51"/>
        <v/>
      </c>
      <c r="S509" s="7">
        <f>IF($A509="","",IF(AND(LEFT($G509,3)="ДОК",$N509&lt;&gt;""),IFERROR(INDEX(Документация!$E$2:$E$57,MATCH($N509,Документация!$F$2:$F$57,0)),0),N($F509))*(1-MEDIAN(0,N(ДисконтТендер),1)))</f>
        <v>467.5</v>
      </c>
      <c r="T509" s="7">
        <f>IF($A509="","",IF(AND(LEFT($G509,3)="ДОК",$N509&lt;&gt;""),0,IF(AND(LEFT($G509,3)&lt;&gt;"ДОК",$N509&lt;&gt;""),IFERROR(INDEX(МАТЕРИАЛЫ!$H$2:$H$9000,MATCH($N509,МАТЕРИАЛЫ!$L$2:$L$9000,0))*IF(INDEX(МАТЕРИАЛЫ!$I$2:$I$9000,MATCH($N509,МАТЕРИАЛЫ!$L$2:$L$9000,0))="USD",КурсUSD,IF(INDEX(МАТЕРИАЛЫ!$I$2:$I$9000,MATCH($N509,МАТЕРИАЛЫ!$L$2:$L$9000,0))="EUR",КурсEUR,IF(INDEX(МАТЕРИАЛЫ!$I$2:$I$9000,MATCH($N509,МАТЕРИАЛЫ!$L$2:$L$9000,0))="CNY",КурсCNY,1)))*(1+N($H509)/100),0),N($O509))*(1-MEDIAN(0,N(ДисконтТендер),1))))</f>
        <v>0</v>
      </c>
      <c r="U509" t="str">
        <f>IF($L509="да",MAX($U$1:$U508)+1,"")</f>
        <v/>
      </c>
      <c r="V509" t="str">
        <f t="shared" si="52"/>
        <v>Р6</v>
      </c>
      <c r="W509" t="str">
        <f t="shared" si="53"/>
        <v/>
      </c>
      <c r="X509" t="str">
        <f t="shared" si="54"/>
        <v/>
      </c>
      <c r="Y509" s="4" t="str">
        <f>IF($A509="","",IF(AND(LEFT($G509,3)="ДОК",$N509&lt;&gt;""),IFERROR(INDEX(Документация!$G$2:$G$57,MATCH($N509,Документация!$F$2:$F$57,0)),$D509),$D509&amp;IF(AND(LEFT($G509,3)&lt;&gt;"ДОК",$N509&lt;&gt;"")," — "&amp;IFERROR(INDEX(МАТЕРИАЛЫ!$C$2:$C$9000,MATCH($N509,МАТЕРИАЛЫ!$L$2:$L$9000,0)),""),"")))</f>
        <v>Монтаж труб отопления из стальных водогазопроводных труб, диаметр до 25мм</v>
      </c>
      <c r="Z509" t="str">
        <f t="shared" si="55"/>
        <v>Р6 · Отопление</v>
      </c>
    </row>
    <row r="510" spans="1:26" ht="28.8" x14ac:dyDescent="0.3">
      <c r="A510" t="s">
        <v>1102</v>
      </c>
      <c r="B510" t="s">
        <v>1047</v>
      </c>
      <c r="C510" t="s">
        <v>50</v>
      </c>
      <c r="D510" s="4" t="s">
        <v>1103</v>
      </c>
      <c r="E510" t="s">
        <v>153</v>
      </c>
      <c r="F510" s="5">
        <v>583.6</v>
      </c>
      <c r="H510">
        <v>0</v>
      </c>
      <c r="I510" t="s">
        <v>53</v>
      </c>
      <c r="L510" s="6"/>
      <c r="M510" s="6"/>
      <c r="N510" s="6"/>
      <c r="O510" s="5"/>
      <c r="P510" s="7" t="str">
        <f t="shared" si="49"/>
        <v/>
      </c>
      <c r="Q510" s="7" t="str">
        <f t="shared" si="50"/>
        <v/>
      </c>
      <c r="R510" s="7" t="str">
        <f t="shared" si="51"/>
        <v/>
      </c>
      <c r="S510" s="7">
        <f>IF($A510="","",IF(AND(LEFT($G510,3)="ДОК",$N510&lt;&gt;""),IFERROR(INDEX(Документация!$E$2:$E$57,MATCH($N510,Документация!$F$2:$F$57,0)),0),N($F510))*(1-MEDIAN(0,N(ДисконтТендер),1)))</f>
        <v>583.6</v>
      </c>
      <c r="T510" s="7">
        <f>IF($A510="","",IF(AND(LEFT($G510,3)="ДОК",$N510&lt;&gt;""),0,IF(AND(LEFT($G510,3)&lt;&gt;"ДОК",$N510&lt;&gt;""),IFERROR(INDEX(МАТЕРИАЛЫ!$H$2:$H$9000,MATCH($N510,МАТЕРИАЛЫ!$L$2:$L$9000,0))*IF(INDEX(МАТЕРИАЛЫ!$I$2:$I$9000,MATCH($N510,МАТЕРИАЛЫ!$L$2:$L$9000,0))="USD",КурсUSD,IF(INDEX(МАТЕРИАЛЫ!$I$2:$I$9000,MATCH($N510,МАТЕРИАЛЫ!$L$2:$L$9000,0))="EUR",КурсEUR,IF(INDEX(МАТЕРИАЛЫ!$I$2:$I$9000,MATCH($N510,МАТЕРИАЛЫ!$L$2:$L$9000,0))="CNY",КурсCNY,1)))*(1+N($H510)/100),0),N($O510))*(1-MEDIAN(0,N(ДисконтТендер),1))))</f>
        <v>0</v>
      </c>
      <c r="U510" t="str">
        <f>IF($L510="да",MAX($U$1:$U509)+1,"")</f>
        <v/>
      </c>
      <c r="V510" t="str">
        <f t="shared" si="52"/>
        <v>Р6</v>
      </c>
      <c r="W510" t="str">
        <f t="shared" si="53"/>
        <v/>
      </c>
      <c r="X510" t="str">
        <f t="shared" si="54"/>
        <v/>
      </c>
      <c r="Y510" s="4" t="str">
        <f>IF($A510="","",IF(AND(LEFT($G510,3)="ДОК",$N510&lt;&gt;""),IFERROR(INDEX(Документация!$G$2:$G$57,MATCH($N510,Документация!$F$2:$F$57,0)),$D510),$D510&amp;IF(AND(LEFT($G510,3)&lt;&gt;"ДОК",$N510&lt;&gt;"")," — "&amp;IFERROR(INDEX(МАТЕРИАЛЫ!$C$2:$C$9000,MATCH($N510,МАТЕРИАЛЫ!$L$2:$L$9000,0)),""),"")))</f>
        <v>Монтаж труб отопления из стальных водогазопроводных труб, диаметр до 32мм</v>
      </c>
      <c r="Z510" t="str">
        <f t="shared" si="55"/>
        <v>Р6 · Отопление</v>
      </c>
    </row>
    <row r="511" spans="1:26" x14ac:dyDescent="0.3">
      <c r="A511" t="s">
        <v>1104</v>
      </c>
      <c r="B511" t="s">
        <v>1047</v>
      </c>
      <c r="C511" t="s">
        <v>50</v>
      </c>
      <c r="D511" s="4" t="s">
        <v>1105</v>
      </c>
      <c r="E511" t="s">
        <v>114</v>
      </c>
      <c r="F511" s="5">
        <v>3135</v>
      </c>
      <c r="G511" t="s">
        <v>1054</v>
      </c>
      <c r="H511">
        <v>5</v>
      </c>
      <c r="I511" t="s">
        <v>53</v>
      </c>
      <c r="L511" s="6"/>
      <c r="M511" s="6"/>
      <c r="N511" s="6"/>
      <c r="O511" s="5"/>
      <c r="P511" s="7" t="str">
        <f t="shared" si="49"/>
        <v/>
      </c>
      <c r="Q511" s="7" t="str">
        <f t="shared" si="50"/>
        <v/>
      </c>
      <c r="R511" s="7" t="str">
        <f t="shared" si="51"/>
        <v/>
      </c>
      <c r="S511" s="7">
        <f>IF($A511="","",IF(AND(LEFT($G511,3)="ДОК",$N511&lt;&gt;""),IFERROR(INDEX(Документация!$E$2:$E$57,MATCH($N511,Документация!$F$2:$F$57,0)),0),N($F511))*(1-MEDIAN(0,N(ДисконтТендер),1)))</f>
        <v>3135</v>
      </c>
      <c r="T511" s="7">
        <f>IF($A511="","",IF(AND(LEFT($G511,3)="ДОК",$N511&lt;&gt;""),0,IF(AND(LEFT($G511,3)&lt;&gt;"ДОК",$N511&lt;&gt;""),IFERROR(INDEX(МАТЕРИАЛЫ!$H$2:$H$9000,MATCH($N511,МАТЕРИАЛЫ!$L$2:$L$9000,0))*IF(INDEX(МАТЕРИАЛЫ!$I$2:$I$9000,MATCH($N511,МАТЕРИАЛЫ!$L$2:$L$9000,0))="USD",КурсUSD,IF(INDEX(МАТЕРИАЛЫ!$I$2:$I$9000,MATCH($N511,МАТЕРИАЛЫ!$L$2:$L$9000,0))="EUR",КурсEUR,IF(INDEX(МАТЕРИАЛЫ!$I$2:$I$9000,MATCH($N511,МАТЕРИАЛЫ!$L$2:$L$9000,0))="CNY",КурсCNY,1)))*(1+N($H511)/100),0),N($O511))*(1-MEDIAN(0,N(ДисконтТендер),1))))</f>
        <v>0</v>
      </c>
      <c r="U511" t="str">
        <f>IF($L511="да",MAX($U$1:$U510)+1,"")</f>
        <v/>
      </c>
      <c r="V511" t="str">
        <f t="shared" si="52"/>
        <v>Р6</v>
      </c>
      <c r="W511" t="str">
        <f t="shared" si="53"/>
        <v/>
      </c>
      <c r="X511" t="str">
        <f t="shared" si="54"/>
        <v/>
      </c>
      <c r="Y511" s="4" t="str">
        <f>IF($A511="","",IF(AND(LEFT($G511,3)="ДОК",$N511&lt;&gt;""),IFERROR(INDEX(Документация!$G$2:$G$57,MATCH($N511,Документация!$F$2:$F$57,0)),$D511),$D511&amp;IF(AND(LEFT($G511,3)&lt;&gt;"ДОК",$N511&lt;&gt;"")," — "&amp;IFERROR(INDEX(МАТЕРИАЛЫ!$C$2:$C$9000,MATCH($N511,МАТЕРИАЛЫ!$L$2:$L$9000,0)),""),"")))</f>
        <v>Ревизия отопительных приборов</v>
      </c>
      <c r="Z511" t="str">
        <f t="shared" si="55"/>
        <v>Р6 · Отопление</v>
      </c>
    </row>
    <row r="512" spans="1:26" ht="28.8" x14ac:dyDescent="0.3">
      <c r="A512" t="s">
        <v>1106</v>
      </c>
      <c r="B512" t="s">
        <v>1047</v>
      </c>
      <c r="C512" t="s">
        <v>50</v>
      </c>
      <c r="D512" s="4" t="s">
        <v>1107</v>
      </c>
      <c r="E512" t="s">
        <v>153</v>
      </c>
      <c r="F512" s="5">
        <v>156.75</v>
      </c>
      <c r="G512" t="s">
        <v>964</v>
      </c>
      <c r="H512">
        <v>5</v>
      </c>
      <c r="I512" t="s">
        <v>53</v>
      </c>
      <c r="L512" s="6"/>
      <c r="M512" s="6"/>
      <c r="N512" s="6"/>
      <c r="O512" s="5"/>
      <c r="P512" s="7" t="str">
        <f t="shared" si="49"/>
        <v/>
      </c>
      <c r="Q512" s="7" t="str">
        <f t="shared" si="50"/>
        <v/>
      </c>
      <c r="R512" s="7" t="str">
        <f t="shared" si="51"/>
        <v/>
      </c>
      <c r="S512" s="7">
        <f>IF($A512="","",IF(AND(LEFT($G512,3)="ДОК",$N512&lt;&gt;""),IFERROR(INDEX(Документация!$E$2:$E$57,MATCH($N512,Документация!$F$2:$F$57,0)),0),N($F512))*(1-MEDIAN(0,N(ДисконтТендер),1)))</f>
        <v>156.75</v>
      </c>
      <c r="T512" s="7">
        <f>IF($A512="","",IF(AND(LEFT($G512,3)="ДОК",$N512&lt;&gt;""),0,IF(AND(LEFT($G512,3)&lt;&gt;"ДОК",$N512&lt;&gt;""),IFERROR(INDEX(МАТЕРИАЛЫ!$H$2:$H$9000,MATCH($N512,МАТЕРИАЛЫ!$L$2:$L$9000,0))*IF(INDEX(МАТЕРИАЛЫ!$I$2:$I$9000,MATCH($N512,МАТЕРИАЛЫ!$L$2:$L$9000,0))="USD",КурсUSD,IF(INDEX(МАТЕРИАЛЫ!$I$2:$I$9000,MATCH($N512,МАТЕРИАЛЫ!$L$2:$L$9000,0))="EUR",КурсEUR,IF(INDEX(МАТЕРИАЛЫ!$I$2:$I$9000,MATCH($N512,МАТЕРИАЛЫ!$L$2:$L$9000,0))="CNY",КурсCNY,1)))*(1+N($H512)/100),0),N($O512))*(1-MEDIAN(0,N(ДисконтТендер),1))))</f>
        <v>0</v>
      </c>
      <c r="U512" t="str">
        <f>IF($L512="да",MAX($U$1:$U511)+1,"")</f>
        <v/>
      </c>
      <c r="V512" t="str">
        <f t="shared" si="52"/>
        <v>Р6</v>
      </c>
      <c r="W512" t="str">
        <f t="shared" si="53"/>
        <v/>
      </c>
      <c r="X512" t="str">
        <f t="shared" si="54"/>
        <v/>
      </c>
      <c r="Y512" s="4" t="str">
        <f>IF($A512="","",IF(AND(LEFT($G512,3)="ДОК",$N512&lt;&gt;""),IFERROR(INDEX(Документация!$G$2:$G$57,MATCH($N512,Документация!$F$2:$F$57,0)),$D512),$D512&amp;IF(AND(LEFT($G512,3)&lt;&gt;"ДОК",$N512&lt;&gt;"")," — "&amp;IFERROR(INDEX(МАТЕРИАЛЫ!$C$2:$C$9000,MATCH($N512,МАТЕРИАЛЫ!$L$2:$L$9000,0)),""),"")))</f>
        <v>Ревизия системы трубопроводов и запорно-регулирующей арматуры</v>
      </c>
      <c r="Z512" t="str">
        <f t="shared" si="55"/>
        <v>Р6 · Отопление</v>
      </c>
    </row>
    <row r="513" spans="1:26" ht="28.8" x14ac:dyDescent="0.3">
      <c r="A513" t="s">
        <v>1108</v>
      </c>
      <c r="B513" t="s">
        <v>1047</v>
      </c>
      <c r="C513" t="s">
        <v>50</v>
      </c>
      <c r="D513" s="4" t="s">
        <v>1109</v>
      </c>
      <c r="E513" t="s">
        <v>114</v>
      </c>
      <c r="F513" s="5">
        <v>4177.25</v>
      </c>
      <c r="H513">
        <v>0</v>
      </c>
      <c r="I513" t="s">
        <v>53</v>
      </c>
      <c r="L513" s="6"/>
      <c r="M513" s="6"/>
      <c r="N513" s="6"/>
      <c r="O513" s="5"/>
      <c r="P513" s="7" t="str">
        <f t="shared" si="49"/>
        <v/>
      </c>
      <c r="Q513" s="7" t="str">
        <f t="shared" si="50"/>
        <v/>
      </c>
      <c r="R513" s="7" t="str">
        <f t="shared" si="51"/>
        <v/>
      </c>
      <c r="S513" s="7">
        <f>IF($A513="","",IF(AND(LEFT($G513,3)="ДОК",$N513&lt;&gt;""),IFERROR(INDEX(Документация!$E$2:$E$57,MATCH($N513,Документация!$F$2:$F$57,0)),0),N($F513))*(1-MEDIAN(0,N(ДисконтТендер),1)))</f>
        <v>4177.25</v>
      </c>
      <c r="T513" s="7">
        <f>IF($A513="","",IF(AND(LEFT($G513,3)="ДОК",$N513&lt;&gt;""),0,IF(AND(LEFT($G513,3)&lt;&gt;"ДОК",$N513&lt;&gt;""),IFERROR(INDEX(МАТЕРИАЛЫ!$H$2:$H$9000,MATCH($N513,МАТЕРИАЛЫ!$L$2:$L$9000,0))*IF(INDEX(МАТЕРИАЛЫ!$I$2:$I$9000,MATCH($N513,МАТЕРИАЛЫ!$L$2:$L$9000,0))="USD",КурсUSD,IF(INDEX(МАТЕРИАЛЫ!$I$2:$I$9000,MATCH($N513,МАТЕРИАЛЫ!$L$2:$L$9000,0))="EUR",КурсEUR,IF(INDEX(МАТЕРИАЛЫ!$I$2:$I$9000,MATCH($N513,МАТЕРИАЛЫ!$L$2:$L$9000,0))="CNY",КурсCNY,1)))*(1+N($H513)/100),0),N($O513))*(1-MEDIAN(0,N(ДисконтТендер),1))))</f>
        <v>0</v>
      </c>
      <c r="U513" t="str">
        <f>IF($L513="да",MAX($U$1:$U512)+1,"")</f>
        <v/>
      </c>
      <c r="V513" t="str">
        <f t="shared" si="52"/>
        <v>Р6</v>
      </c>
      <c r="W513" t="str">
        <f t="shared" si="53"/>
        <v/>
      </c>
      <c r="X513" t="str">
        <f t="shared" si="54"/>
        <v/>
      </c>
      <c r="Y513" s="4" t="str">
        <f>IF($A513="","",IF(AND(LEFT($G513,3)="ДОК",$N513&lt;&gt;""),IFERROR(INDEX(Документация!$G$2:$G$57,MATCH($N513,Документация!$F$2:$F$57,0)),$D513),$D513&amp;IF(AND(LEFT($G513,3)&lt;&gt;"ДОК",$N513&lt;&gt;"")," — "&amp;IFERROR(INDEX(МАТЕРИАЛЫ!$C$2:$C$9000,MATCH($N513,МАТЕРИАЛЫ!$L$2:$L$9000,0)),""),"")))</f>
        <v>Коллектор в сборе универсальный 1" ВР-3/4" НР, 12 выходов</v>
      </c>
      <c r="Z513" t="str">
        <f t="shared" si="55"/>
        <v>Р6 · Отопление</v>
      </c>
    </row>
    <row r="514" spans="1:26" ht="28.8" x14ac:dyDescent="0.3">
      <c r="A514" t="s">
        <v>1110</v>
      </c>
      <c r="B514" t="s">
        <v>1047</v>
      </c>
      <c r="C514" t="s">
        <v>50</v>
      </c>
      <c r="D514" s="4" t="s">
        <v>1111</v>
      </c>
      <c r="E514" t="s">
        <v>114</v>
      </c>
      <c r="F514" s="5">
        <v>4172.6899999999996</v>
      </c>
      <c r="H514">
        <v>0</v>
      </c>
      <c r="I514" t="s">
        <v>53</v>
      </c>
      <c r="L514" s="6"/>
      <c r="M514" s="6"/>
      <c r="N514" s="6"/>
      <c r="O514" s="5"/>
      <c r="P514" s="7" t="str">
        <f t="shared" ref="P514:P577" si="56">IF($L514="да",ROUND(N($M514)*$S514,2),"")</f>
        <v/>
      </c>
      <c r="Q514" s="7" t="str">
        <f t="shared" ref="Q514:Q577" si="57">IF($L514="да",ROUND(N($M514)*$T514,2),"")</f>
        <v/>
      </c>
      <c r="R514" s="7" t="str">
        <f t="shared" ref="R514:R577" si="58">IF($L514="да",N($P514)+N($Q514),"")</f>
        <v/>
      </c>
      <c r="S514" s="7">
        <f>IF($A514="","",IF(AND(LEFT($G514,3)="ДОК",$N514&lt;&gt;""),IFERROR(INDEX(Документация!$E$2:$E$57,MATCH($N514,Документация!$F$2:$F$57,0)),0),N($F514))*(1-MEDIAN(0,N(ДисконтТендер),1)))</f>
        <v>4172.6899999999996</v>
      </c>
      <c r="T514" s="7">
        <f>IF($A514="","",IF(AND(LEFT($G514,3)="ДОК",$N514&lt;&gt;""),0,IF(AND(LEFT($G514,3)&lt;&gt;"ДОК",$N514&lt;&gt;""),IFERROR(INDEX(МАТЕРИАЛЫ!$H$2:$H$9000,MATCH($N514,МАТЕРИАЛЫ!$L$2:$L$9000,0))*IF(INDEX(МАТЕРИАЛЫ!$I$2:$I$9000,MATCH($N514,МАТЕРИАЛЫ!$L$2:$L$9000,0))="USD",КурсUSD,IF(INDEX(МАТЕРИАЛЫ!$I$2:$I$9000,MATCH($N514,МАТЕРИАЛЫ!$L$2:$L$9000,0))="EUR",КурсEUR,IF(INDEX(МАТЕРИАЛЫ!$I$2:$I$9000,MATCH($N514,МАТЕРИАЛЫ!$L$2:$L$9000,0))="CNY",КурсCNY,1)))*(1+N($H514)/100),0),N($O514))*(1-MEDIAN(0,N(ДисконтТендер),1))))</f>
        <v>0</v>
      </c>
      <c r="U514" t="str">
        <f>IF($L514="да",MAX($U$1:$U513)+1,"")</f>
        <v/>
      </c>
      <c r="V514" t="str">
        <f t="shared" ref="V514:V577" si="59">IF($A514="","",$B514)</f>
        <v>Р6</v>
      </c>
      <c r="W514" t="str">
        <f t="shared" ref="W514:W577" si="60">IF($U514="","",IF($U514=1,1,IF($V514&lt;&gt;IFERROR(INDEX($V$2:$V$1058,MATCH($U514-1,$U$2:$U$1058,0)),"~"),1,0)))</f>
        <v/>
      </c>
      <c r="X514" t="str">
        <f t="shared" ref="X514:X577" si="61">IF($U514="","",$U514+SUMIFS($W$2:$W$1058,$U$2:$U$1058,"&lt;="&amp;$U514))</f>
        <v/>
      </c>
      <c r="Y514" s="4" t="str">
        <f>IF($A514="","",IF(AND(LEFT($G514,3)="ДОК",$N514&lt;&gt;""),IFERROR(INDEX(Документация!$G$2:$G$57,MATCH($N514,Документация!$F$2:$F$57,0)),$D514),$D514&amp;IF(AND(LEFT($G514,3)&lt;&gt;"ДОК",$N514&lt;&gt;"")," — "&amp;IFERROR(INDEX(МАТЕРИАЛЫ!$C$2:$C$9000,MATCH($N514,МАТЕРИАЛЫ!$L$2:$L$9000,0)),""),"")))</f>
        <v>Коллектор в сборе универсальный 1" ВР-3/4" НР, 10 выходов</v>
      </c>
      <c r="Z514" t="str">
        <f t="shared" ref="Z514:Z577" si="62">IF($B514="","",$B514&amp;" · "&amp;IFERROR(VLOOKUP($B514,спрРазделы,2,0),""))</f>
        <v>Р6 · Отопление</v>
      </c>
    </row>
    <row r="515" spans="1:26" ht="28.8" x14ac:dyDescent="0.3">
      <c r="A515" t="s">
        <v>1112</v>
      </c>
      <c r="B515" t="s">
        <v>1047</v>
      </c>
      <c r="C515" t="s">
        <v>50</v>
      </c>
      <c r="D515" s="4" t="s">
        <v>1113</v>
      </c>
      <c r="E515" t="s">
        <v>114</v>
      </c>
      <c r="F515" s="5">
        <v>4153.88</v>
      </c>
      <c r="H515">
        <v>0</v>
      </c>
      <c r="I515" t="s">
        <v>53</v>
      </c>
      <c r="L515" s="6"/>
      <c r="M515" s="6"/>
      <c r="N515" s="6"/>
      <c r="O515" s="5"/>
      <c r="P515" s="7" t="str">
        <f t="shared" si="56"/>
        <v/>
      </c>
      <c r="Q515" s="7" t="str">
        <f t="shared" si="57"/>
        <v/>
      </c>
      <c r="R515" s="7" t="str">
        <f t="shared" si="58"/>
        <v/>
      </c>
      <c r="S515" s="7">
        <f>IF($A515="","",IF(AND(LEFT($G515,3)="ДОК",$N515&lt;&gt;""),IFERROR(INDEX(Документация!$E$2:$E$57,MATCH($N515,Документация!$F$2:$F$57,0)),0),N($F515))*(1-MEDIAN(0,N(ДисконтТендер),1)))</f>
        <v>4153.88</v>
      </c>
      <c r="T515" s="7">
        <f>IF($A515="","",IF(AND(LEFT($G515,3)="ДОК",$N515&lt;&gt;""),0,IF(AND(LEFT($G515,3)&lt;&gt;"ДОК",$N515&lt;&gt;""),IFERROR(INDEX(МАТЕРИАЛЫ!$H$2:$H$9000,MATCH($N515,МАТЕРИАЛЫ!$L$2:$L$9000,0))*IF(INDEX(МАТЕРИАЛЫ!$I$2:$I$9000,MATCH($N515,МАТЕРИАЛЫ!$L$2:$L$9000,0))="USD",КурсUSD,IF(INDEX(МАТЕРИАЛЫ!$I$2:$I$9000,MATCH($N515,МАТЕРИАЛЫ!$L$2:$L$9000,0))="EUR",КурсEUR,IF(INDEX(МАТЕРИАЛЫ!$I$2:$I$9000,MATCH($N515,МАТЕРИАЛЫ!$L$2:$L$9000,0))="CNY",КурсCNY,1)))*(1+N($H515)/100),0),N($O515))*(1-MEDIAN(0,N(ДисконтТендер),1))))</f>
        <v>0</v>
      </c>
      <c r="U515" t="str">
        <f>IF($L515="да",MAX($U$1:$U514)+1,"")</f>
        <v/>
      </c>
      <c r="V515" t="str">
        <f t="shared" si="59"/>
        <v>Р6</v>
      </c>
      <c r="W515" t="str">
        <f t="shared" si="60"/>
        <v/>
      </c>
      <c r="X515" t="str">
        <f t="shared" si="61"/>
        <v/>
      </c>
      <c r="Y515" s="4" t="str">
        <f>IF($A515="","",IF(AND(LEFT($G515,3)="ДОК",$N515&lt;&gt;""),IFERROR(INDEX(Документация!$G$2:$G$57,MATCH($N515,Документация!$F$2:$F$57,0)),$D515),$D515&amp;IF(AND(LEFT($G515,3)&lt;&gt;"ДОК",$N515&lt;&gt;"")," — "&amp;IFERROR(INDEX(МАТЕРИАЛЫ!$C$2:$C$9000,MATCH($N515,МАТЕРИАЛЫ!$L$2:$L$9000,0)),""),"")))</f>
        <v>Коллектор в сборе универсальный 1" ВР-3/4" НР, 8 выходов</v>
      </c>
      <c r="Z515" t="str">
        <f t="shared" si="62"/>
        <v>Р6 · Отопление</v>
      </c>
    </row>
    <row r="516" spans="1:26" ht="28.8" x14ac:dyDescent="0.3">
      <c r="A516" t="s">
        <v>1114</v>
      </c>
      <c r="B516" t="s">
        <v>1047</v>
      </c>
      <c r="C516" t="s">
        <v>50</v>
      </c>
      <c r="D516" s="4" t="s">
        <v>1115</v>
      </c>
      <c r="E516" t="s">
        <v>114</v>
      </c>
      <c r="F516" s="5">
        <v>365.75</v>
      </c>
      <c r="H516">
        <v>0</v>
      </c>
      <c r="I516" t="s">
        <v>53</v>
      </c>
      <c r="L516" s="6"/>
      <c r="M516" s="6"/>
      <c r="N516" s="6"/>
      <c r="O516" s="5"/>
      <c r="P516" s="7" t="str">
        <f t="shared" si="56"/>
        <v/>
      </c>
      <c r="Q516" s="7" t="str">
        <f t="shared" si="57"/>
        <v/>
      </c>
      <c r="R516" s="7" t="str">
        <f t="shared" si="58"/>
        <v/>
      </c>
      <c r="S516" s="7">
        <f>IF($A516="","",IF(AND(LEFT($G516,3)="ДОК",$N516&lt;&gt;""),IFERROR(INDEX(Документация!$E$2:$E$57,MATCH($N516,Документация!$F$2:$F$57,0)),0),N($F516))*(1-MEDIAN(0,N(ДисконтТендер),1)))</f>
        <v>365.75</v>
      </c>
      <c r="T516" s="7">
        <f>IF($A516="","",IF(AND(LEFT($G516,3)="ДОК",$N516&lt;&gt;""),0,IF(AND(LEFT($G516,3)&lt;&gt;"ДОК",$N516&lt;&gt;""),IFERROR(INDEX(МАТЕРИАЛЫ!$H$2:$H$9000,MATCH($N516,МАТЕРИАЛЫ!$L$2:$L$9000,0))*IF(INDEX(МАТЕРИАЛЫ!$I$2:$I$9000,MATCH($N516,МАТЕРИАЛЫ!$L$2:$L$9000,0))="USD",КурсUSD,IF(INDEX(МАТЕРИАЛЫ!$I$2:$I$9000,MATCH($N516,МАТЕРИАЛЫ!$L$2:$L$9000,0))="EUR",КурсEUR,IF(INDEX(МАТЕРИАЛЫ!$I$2:$I$9000,MATCH($N516,МАТЕРИАЛЫ!$L$2:$L$9000,0))="CNY",КурсCNY,1)))*(1+N($H516)/100),0),N($O516))*(1-MEDIAN(0,N(ДисконтТендер),1))))</f>
        <v>0</v>
      </c>
      <c r="U516" t="str">
        <f>IF($L516="да",MAX($U$1:$U515)+1,"")</f>
        <v/>
      </c>
      <c r="V516" t="str">
        <f t="shared" si="59"/>
        <v>Р6</v>
      </c>
      <c r="W516" t="str">
        <f t="shared" si="60"/>
        <v/>
      </c>
      <c r="X516" t="str">
        <f t="shared" si="61"/>
        <v/>
      </c>
      <c r="Y516" s="4" t="str">
        <f>IF($A516="","",IF(AND(LEFT($G516,3)="ДОК",$N516&lt;&gt;""),IFERROR(INDEX(Документация!$G$2:$G$57,MATCH($N516,Документация!$F$2:$F$57,0)),$D516),$D516&amp;IF(AND(LEFT($G516,3)&lt;&gt;"ДОК",$N516&lt;&gt;"")," — "&amp;IFERROR(INDEX(МАТЕРИАЛЫ!$C$2:$C$9000,MATCH($N516,МАТЕРИАЛЫ!$L$2:$L$9000,0)),""),"")))</f>
        <v>Соединение прямое с внутренней резьбой 16 (накидная гайка, евроконус)</v>
      </c>
      <c r="Z516" t="str">
        <f t="shared" si="62"/>
        <v>Р6 · Отопление</v>
      </c>
    </row>
    <row r="517" spans="1:26" x14ac:dyDescent="0.3">
      <c r="A517" t="s">
        <v>1116</v>
      </c>
      <c r="B517" t="s">
        <v>1047</v>
      </c>
      <c r="C517" t="s">
        <v>50</v>
      </c>
      <c r="D517" s="4" t="s">
        <v>1117</v>
      </c>
      <c r="E517" t="s">
        <v>114</v>
      </c>
      <c r="F517" s="5">
        <v>2646.54</v>
      </c>
      <c r="H517">
        <v>0</v>
      </c>
      <c r="I517" t="s">
        <v>53</v>
      </c>
      <c r="L517" s="6"/>
      <c r="M517" s="6"/>
      <c r="N517" s="6"/>
      <c r="O517" s="5"/>
      <c r="P517" s="7" t="str">
        <f t="shared" si="56"/>
        <v/>
      </c>
      <c r="Q517" s="7" t="str">
        <f t="shared" si="57"/>
        <v/>
      </c>
      <c r="R517" s="7" t="str">
        <f t="shared" si="58"/>
        <v/>
      </c>
      <c r="S517" s="7">
        <f>IF($A517="","",IF(AND(LEFT($G517,3)="ДОК",$N517&lt;&gt;""),IFERROR(INDEX(Документация!$E$2:$E$57,MATCH($N517,Документация!$F$2:$F$57,0)),0),N($F517))*(1-MEDIAN(0,N(ДисконтТендер),1)))</f>
        <v>2646.54</v>
      </c>
      <c r="T517" s="7">
        <f>IF($A517="","",IF(AND(LEFT($G517,3)="ДОК",$N517&lt;&gt;""),0,IF(AND(LEFT($G517,3)&lt;&gt;"ДОК",$N517&lt;&gt;""),IFERROR(INDEX(МАТЕРИАЛЫ!$H$2:$H$9000,MATCH($N517,МАТЕРИАЛЫ!$L$2:$L$9000,0))*IF(INDEX(МАТЕРИАЛЫ!$I$2:$I$9000,MATCH($N517,МАТЕРИАЛЫ!$L$2:$L$9000,0))="USD",КурсUSD,IF(INDEX(МАТЕРИАЛЫ!$I$2:$I$9000,MATCH($N517,МАТЕРИАЛЫ!$L$2:$L$9000,0))="EUR",КурсEUR,IF(INDEX(МАТЕРИАЛЫ!$I$2:$I$9000,MATCH($N517,МАТЕРИАЛЫ!$L$2:$L$9000,0))="CNY",КурсCNY,1)))*(1+N($H517)/100),0),N($O517))*(1-MEDIAN(0,N(ДисконтТендер),1))))</f>
        <v>0</v>
      </c>
      <c r="U517" t="str">
        <f>IF($L517="да",MAX($U$1:$U516)+1,"")</f>
        <v/>
      </c>
      <c r="V517" t="str">
        <f t="shared" si="59"/>
        <v>Р6</v>
      </c>
      <c r="W517" t="str">
        <f t="shared" si="60"/>
        <v/>
      </c>
      <c r="X517" t="str">
        <f t="shared" si="61"/>
        <v/>
      </c>
      <c r="Y517" s="4" t="str">
        <f>IF($A517="","",IF(AND(LEFT($G517,3)="ДОК",$N517&lt;&gt;""),IFERROR(INDEX(Документация!$G$2:$G$57,MATCH($N517,Документация!$F$2:$F$57,0)),$D517),$D517&amp;IF(AND(LEFT($G517,3)&lt;&gt;"ДОК",$N517&lt;&gt;"")," — "&amp;IFERROR(INDEX(МАТЕРИАЛЫ!$C$2:$C$9000,MATCH($N517,МАТЕРИАЛЫ!$L$2:$L$9000,0)),""),"")))</f>
        <v>Монтаж задвижек 30с64нж Ду100 (отопление)</v>
      </c>
      <c r="Z517" t="str">
        <f t="shared" si="62"/>
        <v>Р6 · Отопление</v>
      </c>
    </row>
    <row r="518" spans="1:26" x14ac:dyDescent="0.3">
      <c r="A518" t="s">
        <v>1118</v>
      </c>
      <c r="B518" t="s">
        <v>1047</v>
      </c>
      <c r="C518" t="s">
        <v>50</v>
      </c>
      <c r="D518" s="4" t="s">
        <v>1119</v>
      </c>
      <c r="E518" t="s">
        <v>114</v>
      </c>
      <c r="F518" s="5">
        <v>542.88</v>
      </c>
      <c r="G518" t="s">
        <v>961</v>
      </c>
      <c r="H518">
        <v>5</v>
      </c>
      <c r="I518" t="s">
        <v>53</v>
      </c>
      <c r="L518" s="6"/>
      <c r="M518" s="6"/>
      <c r="N518" s="6"/>
      <c r="O518" s="5"/>
      <c r="P518" s="7" t="str">
        <f t="shared" si="56"/>
        <v/>
      </c>
      <c r="Q518" s="7" t="str">
        <f t="shared" si="57"/>
        <v/>
      </c>
      <c r="R518" s="7" t="str">
        <f t="shared" si="58"/>
        <v/>
      </c>
      <c r="S518" s="7">
        <f>IF($A518="","",IF(AND(LEFT($G518,3)="ДОК",$N518&lt;&gt;""),IFERROR(INDEX(Документация!$E$2:$E$57,MATCH($N518,Документация!$F$2:$F$57,0)),0),N($F518))*(1-MEDIAN(0,N(ДисконтТендер),1)))</f>
        <v>542.88</v>
      </c>
      <c r="T518" s="7">
        <f>IF($A518="","",IF(AND(LEFT($G518,3)="ДОК",$N518&lt;&gt;""),0,IF(AND(LEFT($G518,3)&lt;&gt;"ДОК",$N518&lt;&gt;""),IFERROR(INDEX(МАТЕРИАЛЫ!$H$2:$H$9000,MATCH($N518,МАТЕРИАЛЫ!$L$2:$L$9000,0))*IF(INDEX(МАТЕРИАЛЫ!$I$2:$I$9000,MATCH($N518,МАТЕРИАЛЫ!$L$2:$L$9000,0))="USD",КурсUSD,IF(INDEX(МАТЕРИАЛЫ!$I$2:$I$9000,MATCH($N518,МАТЕРИАЛЫ!$L$2:$L$9000,0))="EUR",КурсEUR,IF(INDEX(МАТЕРИАЛЫ!$I$2:$I$9000,MATCH($N518,МАТЕРИАЛЫ!$L$2:$L$9000,0))="CNY",КурсCNY,1)))*(1+N($H518)/100),0),N($O518))*(1-MEDIAN(0,N(ДисконтТендер),1))))</f>
        <v>0</v>
      </c>
      <c r="U518" t="str">
        <f>IF($L518="да",MAX($U$1:$U517)+1,"")</f>
        <v/>
      </c>
      <c r="V518" t="str">
        <f t="shared" si="59"/>
        <v>Р6</v>
      </c>
      <c r="W518" t="str">
        <f t="shared" si="60"/>
        <v/>
      </c>
      <c r="X518" t="str">
        <f t="shared" si="61"/>
        <v/>
      </c>
      <c r="Y518" s="4" t="str">
        <f>IF($A518="","",IF(AND(LEFT($G518,3)="ДОК",$N518&lt;&gt;""),IFERROR(INDEX(Документация!$G$2:$G$57,MATCH($N518,Документация!$F$2:$F$57,0)),$D518),$D518&amp;IF(AND(LEFT($G518,3)&lt;&gt;"ДОК",$N518&lt;&gt;"")," — "&amp;IFERROR(INDEX(МАТЕРИАЛЫ!$C$2:$C$9000,MATCH($N518,МАТЕРИАЛЫ!$L$2:$L$9000,0)),""),"")))</f>
        <v>Монтаж отводов D 110 мм (отопление)</v>
      </c>
      <c r="Z518" t="str">
        <f t="shared" si="62"/>
        <v>Р6 · Отопление</v>
      </c>
    </row>
    <row r="519" spans="1:26" ht="28.8" x14ac:dyDescent="0.3">
      <c r="A519" t="s">
        <v>1120</v>
      </c>
      <c r="B519" t="s">
        <v>1047</v>
      </c>
      <c r="C519" t="s">
        <v>50</v>
      </c>
      <c r="D519" s="4" t="s">
        <v>1121</v>
      </c>
      <c r="E519" t="s">
        <v>153</v>
      </c>
      <c r="F519" s="5">
        <v>1299.72</v>
      </c>
      <c r="G519" t="s">
        <v>964</v>
      </c>
      <c r="H519">
        <v>5</v>
      </c>
      <c r="I519" t="s">
        <v>53</v>
      </c>
      <c r="L519" s="6"/>
      <c r="M519" s="6"/>
      <c r="N519" s="6"/>
      <c r="O519" s="5"/>
      <c r="P519" s="7" t="str">
        <f t="shared" si="56"/>
        <v/>
      </c>
      <c r="Q519" s="7" t="str">
        <f t="shared" si="57"/>
        <v/>
      </c>
      <c r="R519" s="7" t="str">
        <f t="shared" si="58"/>
        <v/>
      </c>
      <c r="S519" s="7">
        <f>IF($A519="","",IF(AND(LEFT($G519,3)="ДОК",$N519&lt;&gt;""),IFERROR(INDEX(Документация!$E$2:$E$57,MATCH($N519,Документация!$F$2:$F$57,0)),0),N($F519))*(1-MEDIAN(0,N(ДисконтТендер),1)))</f>
        <v>1299.72</v>
      </c>
      <c r="T519" s="7">
        <f>IF($A519="","",IF(AND(LEFT($G519,3)="ДОК",$N519&lt;&gt;""),0,IF(AND(LEFT($G519,3)&lt;&gt;"ДОК",$N519&lt;&gt;""),IFERROR(INDEX(МАТЕРИАЛЫ!$H$2:$H$9000,MATCH($N519,МАТЕРИАЛЫ!$L$2:$L$9000,0))*IF(INDEX(МАТЕРИАЛЫ!$I$2:$I$9000,MATCH($N519,МАТЕРИАЛЫ!$L$2:$L$9000,0))="USD",КурсUSD,IF(INDEX(МАТЕРИАЛЫ!$I$2:$I$9000,MATCH($N519,МАТЕРИАЛЫ!$L$2:$L$9000,0))="EUR",КурсEUR,IF(INDEX(МАТЕРИАЛЫ!$I$2:$I$9000,MATCH($N519,МАТЕРИАЛЫ!$L$2:$L$9000,0))="CNY",КурсCNY,1)))*(1+N($H519)/100),0),N($O519))*(1-MEDIAN(0,N(ДисконтТендер),1))))</f>
        <v>0</v>
      </c>
      <c r="U519" t="str">
        <f>IF($L519="да",MAX($U$1:$U518)+1,"")</f>
        <v/>
      </c>
      <c r="V519" t="str">
        <f t="shared" si="59"/>
        <v>Р6</v>
      </c>
      <c r="W519" t="str">
        <f t="shared" si="60"/>
        <v/>
      </c>
      <c r="X519" t="str">
        <f t="shared" si="61"/>
        <v/>
      </c>
      <c r="Y519" s="4" t="str">
        <f>IF($A519="","",IF(AND(LEFT($G519,3)="ДОК",$N519&lt;&gt;""),IFERROR(INDEX(Документация!$G$2:$G$57,MATCH($N519,Документация!$F$2:$F$57,0)),$D519),$D519&amp;IF(AND(LEFT($G519,3)&lt;&gt;"ДОК",$N519&lt;&gt;"")," — "&amp;IFERROR(INDEX(МАТЕРИАЛЫ!$C$2:$C$9000,MATCH($N519,МАТЕРИАЛЫ!$L$2:$L$9000,0)),""),"")))</f>
        <v>Монтаж металлического трубопровода D 110 мм (отопление)</v>
      </c>
      <c r="Z519" t="str">
        <f t="shared" si="62"/>
        <v>Р6 · Отопление</v>
      </c>
    </row>
    <row r="520" spans="1:26" x14ac:dyDescent="0.3">
      <c r="A520" t="s">
        <v>1122</v>
      </c>
      <c r="B520" t="s">
        <v>1047</v>
      </c>
      <c r="C520" t="s">
        <v>50</v>
      </c>
      <c r="D520" s="4" t="s">
        <v>1123</v>
      </c>
      <c r="E520" t="s">
        <v>52</v>
      </c>
      <c r="F520" s="5">
        <v>0</v>
      </c>
      <c r="H520">
        <v>0</v>
      </c>
      <c r="I520" t="s">
        <v>53</v>
      </c>
      <c r="L520" s="6"/>
      <c r="M520" s="6"/>
      <c r="N520" s="6"/>
      <c r="O520" s="5"/>
      <c r="P520" s="7" t="str">
        <f t="shared" si="56"/>
        <v/>
      </c>
      <c r="Q520" s="7" t="str">
        <f t="shared" si="57"/>
        <v/>
      </c>
      <c r="R520" s="7" t="str">
        <f t="shared" si="58"/>
        <v/>
      </c>
      <c r="S520" s="7">
        <f>IF($A520="","",IF(AND(LEFT($G520,3)="ДОК",$N520&lt;&gt;""),IFERROR(INDEX(Документация!$E$2:$E$57,MATCH($N520,Документация!$F$2:$F$57,0)),0),N($F520))*(1-MEDIAN(0,N(ДисконтТендер),1)))</f>
        <v>0</v>
      </c>
      <c r="T520" s="7">
        <f>IF($A520="","",IF(AND(LEFT($G520,3)="ДОК",$N520&lt;&gt;""),0,IF(AND(LEFT($G520,3)&lt;&gt;"ДОК",$N520&lt;&gt;""),IFERROR(INDEX(МАТЕРИАЛЫ!$H$2:$H$9000,MATCH($N520,МАТЕРИАЛЫ!$L$2:$L$9000,0))*IF(INDEX(МАТЕРИАЛЫ!$I$2:$I$9000,MATCH($N520,МАТЕРИАЛЫ!$L$2:$L$9000,0))="USD",КурсUSD,IF(INDEX(МАТЕРИАЛЫ!$I$2:$I$9000,MATCH($N520,МАТЕРИАЛЫ!$L$2:$L$9000,0))="EUR",КурсEUR,IF(INDEX(МАТЕРИАЛЫ!$I$2:$I$9000,MATCH($N520,МАТЕРИАЛЫ!$L$2:$L$9000,0))="CNY",КурсCNY,1)))*(1+N($H520)/100),0),N($O520))*(1-MEDIAN(0,N(ДисконтТендер),1))))</f>
        <v>0</v>
      </c>
      <c r="U520" t="str">
        <f>IF($L520="да",MAX($U$1:$U519)+1,"")</f>
        <v/>
      </c>
      <c r="V520" t="str">
        <f t="shared" si="59"/>
        <v>Р6</v>
      </c>
      <c r="W520" t="str">
        <f t="shared" si="60"/>
        <v/>
      </c>
      <c r="X520" t="str">
        <f t="shared" si="61"/>
        <v/>
      </c>
      <c r="Y520" s="4" t="str">
        <f>IF($A520="","",IF(AND(LEFT($G520,3)="ДОК",$N520&lt;&gt;""),IFERROR(INDEX(Документация!$G$2:$G$57,MATCH($N520,Документация!$F$2:$F$57,0)),$D520),$D520&amp;IF(AND(LEFT($G520,3)&lt;&gt;"ДОК",$N520&lt;&gt;"")," — "&amp;IFERROR(INDEX(МАТЕРИАЛЫ!$C$2:$C$9000,MATCH($N520,МАТЕРИАЛЫ!$L$2:$L$9000,0)),""),"")))</f>
        <v>Расходные и крепежные материалы</v>
      </c>
      <c r="Z520" t="str">
        <f t="shared" si="62"/>
        <v>Р6 · Отопление</v>
      </c>
    </row>
    <row r="521" spans="1:26" x14ac:dyDescent="0.3">
      <c r="A521" t="s">
        <v>1124</v>
      </c>
      <c r="B521" t="s">
        <v>1047</v>
      </c>
      <c r="C521" t="s">
        <v>50</v>
      </c>
      <c r="D521" s="4" t="s">
        <v>1125</v>
      </c>
      <c r="E521" t="s">
        <v>83</v>
      </c>
      <c r="F521" s="5">
        <v>28501.200000000001</v>
      </c>
      <c r="H521">
        <v>0</v>
      </c>
      <c r="I521" t="s">
        <v>53</v>
      </c>
      <c r="L521" s="6"/>
      <c r="M521" s="6"/>
      <c r="N521" s="6"/>
      <c r="O521" s="5"/>
      <c r="P521" s="7" t="str">
        <f t="shared" si="56"/>
        <v/>
      </c>
      <c r="Q521" s="7" t="str">
        <f t="shared" si="57"/>
        <v/>
      </c>
      <c r="R521" s="7" t="str">
        <f t="shared" si="58"/>
        <v/>
      </c>
      <c r="S521" s="7">
        <f>IF($A521="","",IF(AND(LEFT($G521,3)="ДОК",$N521&lt;&gt;""),IFERROR(INDEX(Документация!$E$2:$E$57,MATCH($N521,Документация!$F$2:$F$57,0)),0),N($F521))*(1-MEDIAN(0,N(ДисконтТендер),1)))</f>
        <v>28501.200000000001</v>
      </c>
      <c r="T521" s="7">
        <f>IF($A521="","",IF(AND(LEFT($G521,3)="ДОК",$N521&lt;&gt;""),0,IF(AND(LEFT($G521,3)&lt;&gt;"ДОК",$N521&lt;&gt;""),IFERROR(INDEX(МАТЕРИАЛЫ!$H$2:$H$9000,MATCH($N521,МАТЕРИАЛЫ!$L$2:$L$9000,0))*IF(INDEX(МАТЕРИАЛЫ!$I$2:$I$9000,MATCH($N521,МАТЕРИАЛЫ!$L$2:$L$9000,0))="USD",КурсUSD,IF(INDEX(МАТЕРИАЛЫ!$I$2:$I$9000,MATCH($N521,МАТЕРИАЛЫ!$L$2:$L$9000,0))="EUR",КурсEUR,IF(INDEX(МАТЕРИАЛЫ!$I$2:$I$9000,MATCH($N521,МАТЕРИАЛЫ!$L$2:$L$9000,0))="CNY",КурсCNY,1)))*(1+N($H521)/100),0),N($O521))*(1-MEDIAN(0,N(ДисконтТендер),1))))</f>
        <v>0</v>
      </c>
      <c r="U521" t="str">
        <f>IF($L521="да",MAX($U$1:$U520)+1,"")</f>
        <v/>
      </c>
      <c r="V521" t="str">
        <f t="shared" si="59"/>
        <v>Р6</v>
      </c>
      <c r="W521" t="str">
        <f t="shared" si="60"/>
        <v/>
      </c>
      <c r="X521" t="str">
        <f t="shared" si="61"/>
        <v/>
      </c>
      <c r="Y521" s="4" t="str">
        <f>IF($A521="","",IF(AND(LEFT($G521,3)="ДОК",$N521&lt;&gt;""),IFERROR(INDEX(Документация!$G$2:$G$57,MATCH($N521,Документация!$F$2:$F$57,0)),$D521),$D521&amp;IF(AND(LEFT($G521,3)&lt;&gt;"ДОК",$N521&lt;&gt;"")," — "&amp;IFERROR(INDEX(МАТЕРИАЛЫ!$C$2:$C$9000,MATCH($N521,МАТЕРИАЛЫ!$L$2:$L$9000,0)),""),"")))</f>
        <v>Ревизия газовых котлов отопления</v>
      </c>
      <c r="Z521" t="str">
        <f t="shared" si="62"/>
        <v>Р6 · Отопление</v>
      </c>
    </row>
    <row r="522" spans="1:26" x14ac:dyDescent="0.3">
      <c r="A522" t="s">
        <v>1126</v>
      </c>
      <c r="B522" t="s">
        <v>1047</v>
      </c>
      <c r="C522" t="s">
        <v>50</v>
      </c>
      <c r="D522" s="4" t="s">
        <v>1127</v>
      </c>
      <c r="E522" t="s">
        <v>114</v>
      </c>
      <c r="F522" s="5">
        <v>2171.52</v>
      </c>
      <c r="H522">
        <v>0</v>
      </c>
      <c r="I522" t="s">
        <v>53</v>
      </c>
      <c r="L522" s="6"/>
      <c r="M522" s="6"/>
      <c r="N522" s="6"/>
      <c r="O522" s="5"/>
      <c r="P522" s="7" t="str">
        <f t="shared" si="56"/>
        <v/>
      </c>
      <c r="Q522" s="7" t="str">
        <f t="shared" si="57"/>
        <v/>
      </c>
      <c r="R522" s="7" t="str">
        <f t="shared" si="58"/>
        <v/>
      </c>
      <c r="S522" s="7">
        <f>IF($A522="","",IF(AND(LEFT($G522,3)="ДОК",$N522&lt;&gt;""),IFERROR(INDEX(Документация!$E$2:$E$57,MATCH($N522,Документация!$F$2:$F$57,0)),0),N($F522))*(1-MEDIAN(0,N(ДисконтТендер),1)))</f>
        <v>2171.52</v>
      </c>
      <c r="T522" s="7">
        <f>IF($A522="","",IF(AND(LEFT($G522,3)="ДОК",$N522&lt;&gt;""),0,IF(AND(LEFT($G522,3)&lt;&gt;"ДОК",$N522&lt;&gt;""),IFERROR(INDEX(МАТЕРИАЛЫ!$H$2:$H$9000,MATCH($N522,МАТЕРИАЛЫ!$L$2:$L$9000,0))*IF(INDEX(МАТЕРИАЛЫ!$I$2:$I$9000,MATCH($N522,МАТЕРИАЛЫ!$L$2:$L$9000,0))="USD",КурсUSD,IF(INDEX(МАТЕРИАЛЫ!$I$2:$I$9000,MATCH($N522,МАТЕРИАЛЫ!$L$2:$L$9000,0))="EUR",КурсEUR,IF(INDEX(МАТЕРИАЛЫ!$I$2:$I$9000,MATCH($N522,МАТЕРИАЛЫ!$L$2:$L$9000,0))="CNY",КурсCNY,1)))*(1+N($H522)/100),0),N($O522))*(1-MEDIAN(0,N(ДисконтТендер),1))))</f>
        <v>0</v>
      </c>
      <c r="U522" t="str">
        <f>IF($L522="да",MAX($U$1:$U521)+1,"")</f>
        <v/>
      </c>
      <c r="V522" t="str">
        <f t="shared" si="59"/>
        <v>Р6</v>
      </c>
      <c r="W522" t="str">
        <f t="shared" si="60"/>
        <v/>
      </c>
      <c r="X522" t="str">
        <f t="shared" si="61"/>
        <v/>
      </c>
      <c r="Y522" s="4" t="str">
        <f>IF($A522="","",IF(AND(LEFT($G522,3)="ДОК",$N522&lt;&gt;""),IFERROR(INDEX(Документация!$G$2:$G$57,MATCH($N522,Документация!$F$2:$F$57,0)),$D522),$D522&amp;IF(AND(LEFT($G522,3)&lt;&gt;"ДОК",$N522&lt;&gt;"")," — "&amp;IFERROR(INDEX(МАТЕРИАЛЫ!$C$2:$C$9000,MATCH($N522,МАТЕРИАЛЫ!$L$2:$L$9000,0)),""),"")))</f>
        <v>Установка сантехнического люка доступа</v>
      </c>
      <c r="Z522" t="str">
        <f t="shared" si="62"/>
        <v>Р6 · Отопление</v>
      </c>
    </row>
    <row r="523" spans="1:26" ht="72" x14ac:dyDescent="0.3">
      <c r="A523" t="s">
        <v>1128</v>
      </c>
      <c r="B523" t="s">
        <v>1129</v>
      </c>
      <c r="C523" t="s">
        <v>50</v>
      </c>
      <c r="D523" s="4" t="s">
        <v>1130</v>
      </c>
      <c r="E523" t="s">
        <v>114</v>
      </c>
      <c r="F523" s="5">
        <v>75324.600000000006</v>
      </c>
      <c r="G523" t="s">
        <v>1131</v>
      </c>
      <c r="H523">
        <v>5</v>
      </c>
      <c r="I523" t="s">
        <v>53</v>
      </c>
      <c r="L523" s="6"/>
      <c r="M523" s="6"/>
      <c r="N523" s="6"/>
      <c r="O523" s="5"/>
      <c r="P523" s="7" t="str">
        <f t="shared" si="56"/>
        <v/>
      </c>
      <c r="Q523" s="7" t="str">
        <f t="shared" si="57"/>
        <v/>
      </c>
      <c r="R523" s="7" t="str">
        <f t="shared" si="58"/>
        <v/>
      </c>
      <c r="S523" s="7">
        <f>IF($A523="","",IF(AND(LEFT($G523,3)="ДОК",$N523&lt;&gt;""),IFERROR(INDEX(Документация!$E$2:$E$57,MATCH($N523,Документация!$F$2:$F$57,0)),0),N($F523))*(1-MEDIAN(0,N(ДисконтТендер),1)))</f>
        <v>75324.600000000006</v>
      </c>
      <c r="T523" s="7">
        <f>IF($A523="","",IF(AND(LEFT($G523,3)="ДОК",$N523&lt;&gt;""),0,IF(AND(LEFT($G523,3)&lt;&gt;"ДОК",$N523&lt;&gt;""),IFERROR(INDEX(МАТЕРИАЛЫ!$H$2:$H$9000,MATCH($N523,МАТЕРИАЛЫ!$L$2:$L$9000,0))*IF(INDEX(МАТЕРИАЛЫ!$I$2:$I$9000,MATCH($N523,МАТЕРИАЛЫ!$L$2:$L$9000,0))="USD",КурсUSD,IF(INDEX(МАТЕРИАЛЫ!$I$2:$I$9000,MATCH($N523,МАТЕРИАЛЫ!$L$2:$L$9000,0))="EUR",КурсEUR,IF(INDEX(МАТЕРИАЛЫ!$I$2:$I$9000,MATCH($N523,МАТЕРИАЛЫ!$L$2:$L$9000,0))="CNY",КурсCNY,1)))*(1+N($H523)/100),0),N($O523))*(1-MEDIAN(0,N(ДисконтТендер),1))))</f>
        <v>0</v>
      </c>
      <c r="U523" t="str">
        <f>IF($L523="да",MAX($U$1:$U522)+1,"")</f>
        <v/>
      </c>
      <c r="V523" t="str">
        <f t="shared" si="59"/>
        <v>Р7</v>
      </c>
      <c r="W523" t="str">
        <f t="shared" si="60"/>
        <v/>
      </c>
      <c r="X523" t="str">
        <f t="shared" si="61"/>
        <v/>
      </c>
      <c r="Y523" s="4" t="str">
        <f>IF($A523="","",IF(AND(LEFT($G523,3)="ДОК",$N523&lt;&gt;""),IFERROR(INDEX(Документация!$G$2:$G$57,MATCH($N523,Документация!$F$2:$F$57,0)),$D523),$D523&amp;IF(AND(LEFT($G523,3)&lt;&gt;"ДОК",$N523&lt;&gt;"")," — "&amp;IFERROR(INDEX(МАТЕРИАЛЫ!$C$2:$C$9000,MATCH($N523,МАТЕРИАЛЫ!$L$2:$L$9000,0)),""),"")))</f>
        <v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v>
      </c>
      <c r="Z523" t="str">
        <f t="shared" si="62"/>
        <v>Р7 · Вентиляция</v>
      </c>
    </row>
    <row r="524" spans="1:26" ht="72" x14ac:dyDescent="0.3">
      <c r="A524" t="s">
        <v>1132</v>
      </c>
      <c r="B524" t="s">
        <v>1129</v>
      </c>
      <c r="C524" t="s">
        <v>50</v>
      </c>
      <c r="D524" s="4" t="s">
        <v>1133</v>
      </c>
      <c r="E524" t="s">
        <v>114</v>
      </c>
      <c r="F524" s="5">
        <v>94777.8</v>
      </c>
      <c r="G524" t="s">
        <v>1131</v>
      </c>
      <c r="H524">
        <v>5</v>
      </c>
      <c r="I524" t="s">
        <v>53</v>
      </c>
      <c r="L524" s="6"/>
      <c r="M524" s="6"/>
      <c r="N524" s="6"/>
      <c r="O524" s="5"/>
      <c r="P524" s="7" t="str">
        <f t="shared" si="56"/>
        <v/>
      </c>
      <c r="Q524" s="7" t="str">
        <f t="shared" si="57"/>
        <v/>
      </c>
      <c r="R524" s="7" t="str">
        <f t="shared" si="58"/>
        <v/>
      </c>
      <c r="S524" s="7">
        <f>IF($A524="","",IF(AND(LEFT($G524,3)="ДОК",$N524&lt;&gt;""),IFERROR(INDEX(Документация!$E$2:$E$57,MATCH($N524,Документация!$F$2:$F$57,0)),0),N($F524))*(1-MEDIAN(0,N(ДисконтТендер),1)))</f>
        <v>94777.8</v>
      </c>
      <c r="T524" s="7">
        <f>IF($A524="","",IF(AND(LEFT($G524,3)="ДОК",$N524&lt;&gt;""),0,IF(AND(LEFT($G524,3)&lt;&gt;"ДОК",$N524&lt;&gt;""),IFERROR(INDEX(МАТЕРИАЛЫ!$H$2:$H$9000,MATCH($N524,МАТЕРИАЛЫ!$L$2:$L$9000,0))*IF(INDEX(МАТЕРИАЛЫ!$I$2:$I$9000,MATCH($N524,МАТЕРИАЛЫ!$L$2:$L$9000,0))="USD",КурсUSD,IF(INDEX(МАТЕРИАЛЫ!$I$2:$I$9000,MATCH($N524,МАТЕРИАЛЫ!$L$2:$L$9000,0))="EUR",КурсEUR,IF(INDEX(МАТЕРИАЛЫ!$I$2:$I$9000,MATCH($N524,МАТЕРИАЛЫ!$L$2:$L$9000,0))="CNY",КурсCNY,1)))*(1+N($H524)/100),0),N($O524))*(1-MEDIAN(0,N(ДисконтТендер),1))))</f>
        <v>0</v>
      </c>
      <c r="U524" t="str">
        <f>IF($L524="да",MAX($U$1:$U523)+1,"")</f>
        <v/>
      </c>
      <c r="V524" t="str">
        <f t="shared" si="59"/>
        <v>Р7</v>
      </c>
      <c r="W524" t="str">
        <f t="shared" si="60"/>
        <v/>
      </c>
      <c r="X524" t="str">
        <f t="shared" si="61"/>
        <v/>
      </c>
      <c r="Y524" s="4" t="str">
        <f>IF($A524="","",IF(AND(LEFT($G524,3)="ДОК",$N524&lt;&gt;""),IFERROR(INDEX(Документация!$G$2:$G$57,MATCH($N524,Документация!$F$2:$F$57,0)),$D524),$D524&amp;IF(AND(LEFT($G524,3)&lt;&gt;"ДОК",$N524&lt;&gt;"")," — "&amp;IFERROR(INDEX(МАТЕРИАЛЫ!$C$2:$C$9000,MATCH($N524,МАТЕРИАЛЫ!$L$2:$L$9000,0)),""),"")))</f>
        <v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v>
      </c>
      <c r="Z524" t="str">
        <f t="shared" si="62"/>
        <v>Р7 · Вентиляция</v>
      </c>
    </row>
    <row r="525" spans="1:26" ht="72" x14ac:dyDescent="0.3">
      <c r="A525" t="s">
        <v>1134</v>
      </c>
      <c r="B525" t="s">
        <v>1129</v>
      </c>
      <c r="C525" t="s">
        <v>50</v>
      </c>
      <c r="D525" s="4" t="s">
        <v>1135</v>
      </c>
      <c r="E525" t="s">
        <v>114</v>
      </c>
      <c r="F525" s="5">
        <v>104278.2</v>
      </c>
      <c r="G525" t="s">
        <v>1131</v>
      </c>
      <c r="H525">
        <v>5</v>
      </c>
      <c r="I525" t="s">
        <v>53</v>
      </c>
      <c r="L525" s="6"/>
      <c r="M525" s="6"/>
      <c r="N525" s="6"/>
      <c r="O525" s="5"/>
      <c r="P525" s="7" t="str">
        <f t="shared" si="56"/>
        <v/>
      </c>
      <c r="Q525" s="7" t="str">
        <f t="shared" si="57"/>
        <v/>
      </c>
      <c r="R525" s="7" t="str">
        <f t="shared" si="58"/>
        <v/>
      </c>
      <c r="S525" s="7">
        <f>IF($A525="","",IF(AND(LEFT($G525,3)="ДОК",$N525&lt;&gt;""),IFERROR(INDEX(Документация!$E$2:$E$57,MATCH($N525,Документация!$F$2:$F$57,0)),0),N($F525))*(1-MEDIAN(0,N(ДисконтТендер),1)))</f>
        <v>104278.2</v>
      </c>
      <c r="T525" s="7">
        <f>IF($A525="","",IF(AND(LEFT($G525,3)="ДОК",$N525&lt;&gt;""),0,IF(AND(LEFT($G525,3)&lt;&gt;"ДОК",$N525&lt;&gt;""),IFERROR(INDEX(МАТЕРИАЛЫ!$H$2:$H$9000,MATCH($N525,МАТЕРИАЛЫ!$L$2:$L$9000,0))*IF(INDEX(МАТЕРИАЛЫ!$I$2:$I$9000,MATCH($N525,МАТЕРИАЛЫ!$L$2:$L$9000,0))="USD",КурсUSD,IF(INDEX(МАТЕРИАЛЫ!$I$2:$I$9000,MATCH($N525,МАТЕРИАЛЫ!$L$2:$L$9000,0))="EUR",КурсEUR,IF(INDEX(МАТЕРИАЛЫ!$I$2:$I$9000,MATCH($N525,МАТЕРИАЛЫ!$L$2:$L$9000,0))="CNY",КурсCNY,1)))*(1+N($H525)/100),0),N($O525))*(1-MEDIAN(0,N(ДисконтТендер),1))))</f>
        <v>0</v>
      </c>
      <c r="U525" t="str">
        <f>IF($L525="да",MAX($U$1:$U524)+1,"")</f>
        <v/>
      </c>
      <c r="V525" t="str">
        <f t="shared" si="59"/>
        <v>Р7</v>
      </c>
      <c r="W525" t="str">
        <f t="shared" si="60"/>
        <v/>
      </c>
      <c r="X525" t="str">
        <f t="shared" si="61"/>
        <v/>
      </c>
      <c r="Y525" s="4" t="str">
        <f>IF($A525="","",IF(AND(LEFT($G525,3)="ДОК",$N525&lt;&gt;""),IFERROR(INDEX(Документация!$G$2:$G$57,MATCH($N525,Документация!$F$2:$F$57,0)),$D525),$D525&amp;IF(AND(LEFT($G525,3)&lt;&gt;"ДОК",$N525&lt;&gt;"")," — "&amp;IFERROR(INDEX(МАТЕРИАЛЫ!$C$2:$C$9000,MATCH($N525,МАТЕРИАЛЫ!$L$2:$L$9000,0)),""),"")))</f>
        <v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v>
      </c>
      <c r="Z525" t="str">
        <f t="shared" si="62"/>
        <v>Р7 · Вентиляция</v>
      </c>
    </row>
    <row r="526" spans="1:26" ht="72" x14ac:dyDescent="0.3">
      <c r="A526" t="s">
        <v>1136</v>
      </c>
      <c r="B526" t="s">
        <v>1129</v>
      </c>
      <c r="C526" t="s">
        <v>50</v>
      </c>
      <c r="D526" s="4" t="s">
        <v>1137</v>
      </c>
      <c r="E526" t="s">
        <v>114</v>
      </c>
      <c r="F526" s="5">
        <v>141375</v>
      </c>
      <c r="G526" t="s">
        <v>1131</v>
      </c>
      <c r="H526">
        <v>5</v>
      </c>
      <c r="I526" t="s">
        <v>53</v>
      </c>
      <c r="L526" s="6"/>
      <c r="M526" s="6"/>
      <c r="N526" s="6"/>
      <c r="O526" s="5"/>
      <c r="P526" s="7" t="str">
        <f t="shared" si="56"/>
        <v/>
      </c>
      <c r="Q526" s="7" t="str">
        <f t="shared" si="57"/>
        <v/>
      </c>
      <c r="R526" s="7" t="str">
        <f t="shared" si="58"/>
        <v/>
      </c>
      <c r="S526" s="7">
        <f>IF($A526="","",IF(AND(LEFT($G526,3)="ДОК",$N526&lt;&gt;""),IFERROR(INDEX(Документация!$E$2:$E$57,MATCH($N526,Документация!$F$2:$F$57,0)),0),N($F526))*(1-MEDIAN(0,N(ДисконтТендер),1)))</f>
        <v>141375</v>
      </c>
      <c r="T526" s="7">
        <f>IF($A526="","",IF(AND(LEFT($G526,3)="ДОК",$N526&lt;&gt;""),0,IF(AND(LEFT($G526,3)&lt;&gt;"ДОК",$N526&lt;&gt;""),IFERROR(INDEX(МАТЕРИАЛЫ!$H$2:$H$9000,MATCH($N526,МАТЕРИАЛЫ!$L$2:$L$9000,0))*IF(INDEX(МАТЕРИАЛЫ!$I$2:$I$9000,MATCH($N526,МАТЕРИАЛЫ!$L$2:$L$9000,0))="USD",КурсUSD,IF(INDEX(МАТЕРИАЛЫ!$I$2:$I$9000,MATCH($N526,МАТЕРИАЛЫ!$L$2:$L$9000,0))="EUR",КурсEUR,IF(INDEX(МАТЕРИАЛЫ!$I$2:$I$9000,MATCH($N526,МАТЕРИАЛЫ!$L$2:$L$9000,0))="CNY",КурсCNY,1)))*(1+N($H526)/100),0),N($O526))*(1-MEDIAN(0,N(ДисконтТендер),1))))</f>
        <v>0</v>
      </c>
      <c r="U526" t="str">
        <f>IF($L526="да",MAX($U$1:$U525)+1,"")</f>
        <v/>
      </c>
      <c r="V526" t="str">
        <f t="shared" si="59"/>
        <v>Р7</v>
      </c>
      <c r="W526" t="str">
        <f t="shared" si="60"/>
        <v/>
      </c>
      <c r="X526" t="str">
        <f t="shared" si="61"/>
        <v/>
      </c>
      <c r="Y526" s="4" t="str">
        <f>IF($A526="","",IF(AND(LEFT($G526,3)="ДОК",$N526&lt;&gt;""),IFERROR(INDEX(Документация!$G$2:$G$57,MATCH($N526,Документация!$F$2:$F$57,0)),$D526),$D526&amp;IF(AND(LEFT($G526,3)&lt;&gt;"ДОК",$N526&lt;&gt;"")," — "&amp;IFERROR(INDEX(МАТЕРИАЛЫ!$C$2:$C$9000,MATCH($N526,МАТЕРИАЛЫ!$L$2:$L$9000,0)),""),"")))</f>
        <v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v>
      </c>
      <c r="Z526" t="str">
        <f t="shared" si="62"/>
        <v>Р7 · Вентиляция</v>
      </c>
    </row>
    <row r="527" spans="1:26" ht="72" x14ac:dyDescent="0.3">
      <c r="A527" t="s">
        <v>1138</v>
      </c>
      <c r="B527" t="s">
        <v>1129</v>
      </c>
      <c r="C527" t="s">
        <v>50</v>
      </c>
      <c r="D527" s="4" t="s">
        <v>1139</v>
      </c>
      <c r="E527" t="s">
        <v>114</v>
      </c>
      <c r="F527" s="5">
        <v>162411.6</v>
      </c>
      <c r="G527" t="s">
        <v>1131</v>
      </c>
      <c r="H527">
        <v>5</v>
      </c>
      <c r="I527" t="s">
        <v>53</v>
      </c>
      <c r="L527" s="6"/>
      <c r="M527" s="6"/>
      <c r="N527" s="6"/>
      <c r="O527" s="5"/>
      <c r="P527" s="7" t="str">
        <f t="shared" si="56"/>
        <v/>
      </c>
      <c r="Q527" s="7" t="str">
        <f t="shared" si="57"/>
        <v/>
      </c>
      <c r="R527" s="7" t="str">
        <f t="shared" si="58"/>
        <v/>
      </c>
      <c r="S527" s="7">
        <f>IF($A527="","",IF(AND(LEFT($G527,3)="ДОК",$N527&lt;&gt;""),IFERROR(INDEX(Документация!$E$2:$E$57,MATCH($N527,Документация!$F$2:$F$57,0)),0),N($F527))*(1-MEDIAN(0,N(ДисконтТендер),1)))</f>
        <v>162411.6</v>
      </c>
      <c r="T527" s="7">
        <f>IF($A527="","",IF(AND(LEFT($G527,3)="ДОК",$N527&lt;&gt;""),0,IF(AND(LEFT($G527,3)&lt;&gt;"ДОК",$N527&lt;&gt;""),IFERROR(INDEX(МАТЕРИАЛЫ!$H$2:$H$9000,MATCH($N527,МАТЕРИАЛЫ!$L$2:$L$9000,0))*IF(INDEX(МАТЕРИАЛЫ!$I$2:$I$9000,MATCH($N527,МАТЕРИАЛЫ!$L$2:$L$9000,0))="USD",КурсUSD,IF(INDEX(МАТЕРИАЛЫ!$I$2:$I$9000,MATCH($N527,МАТЕРИАЛЫ!$L$2:$L$9000,0))="EUR",КурсEUR,IF(INDEX(МАТЕРИАЛЫ!$I$2:$I$9000,MATCH($N527,МАТЕРИАЛЫ!$L$2:$L$9000,0))="CNY",КурсCNY,1)))*(1+N($H527)/100),0),N($O527))*(1-MEDIAN(0,N(ДисконтТендер),1))))</f>
        <v>0</v>
      </c>
      <c r="U527" t="str">
        <f>IF($L527="да",MAX($U$1:$U526)+1,"")</f>
        <v/>
      </c>
      <c r="V527" t="str">
        <f t="shared" si="59"/>
        <v>Р7</v>
      </c>
      <c r="W527" t="str">
        <f t="shared" si="60"/>
        <v/>
      </c>
      <c r="X527" t="str">
        <f t="shared" si="61"/>
        <v/>
      </c>
      <c r="Y527" s="4" t="str">
        <f>IF($A527="","",IF(AND(LEFT($G527,3)="ДОК",$N527&lt;&gt;""),IFERROR(INDEX(Документация!$G$2:$G$57,MATCH($N527,Документация!$F$2:$F$57,0)),$D527),$D527&amp;IF(AND(LEFT($G527,3)&lt;&gt;"ДОК",$N527&lt;&gt;"")," — "&amp;IFERROR(INDEX(МАТЕРИАЛЫ!$C$2:$C$9000,MATCH($N527,МАТЕРИАЛЫ!$L$2:$L$9000,0)),""),"")))</f>
        <v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v>
      </c>
      <c r="Z527" t="str">
        <f t="shared" si="62"/>
        <v>Р7 · Вентиляция</v>
      </c>
    </row>
    <row r="528" spans="1:26" ht="28.8" x14ac:dyDescent="0.3">
      <c r="A528" t="s">
        <v>1140</v>
      </c>
      <c r="B528" t="s">
        <v>1129</v>
      </c>
      <c r="C528" t="s">
        <v>50</v>
      </c>
      <c r="D528" s="4" t="s">
        <v>1141</v>
      </c>
      <c r="E528" t="s">
        <v>114</v>
      </c>
      <c r="F528" s="5">
        <v>9960.67</v>
      </c>
      <c r="G528" t="s">
        <v>1142</v>
      </c>
      <c r="H528">
        <v>5</v>
      </c>
      <c r="I528" t="s">
        <v>53</v>
      </c>
      <c r="L528" s="6"/>
      <c r="M528" s="6"/>
      <c r="N528" s="6"/>
      <c r="O528" s="5"/>
      <c r="P528" s="7" t="str">
        <f t="shared" si="56"/>
        <v/>
      </c>
      <c r="Q528" s="7" t="str">
        <f t="shared" si="57"/>
        <v/>
      </c>
      <c r="R528" s="7" t="str">
        <f t="shared" si="58"/>
        <v/>
      </c>
      <c r="S528" s="7">
        <f>IF($A528="","",IF(AND(LEFT($G528,3)="ДОК",$N528&lt;&gt;""),IFERROR(INDEX(Документация!$E$2:$E$57,MATCH($N528,Документация!$F$2:$F$57,0)),0),N($F528))*(1-MEDIAN(0,N(ДисконтТендер),1)))</f>
        <v>9960.67</v>
      </c>
      <c r="T528" s="7">
        <f>IF($A528="","",IF(AND(LEFT($G528,3)="ДОК",$N528&lt;&gt;""),0,IF(AND(LEFT($G528,3)&lt;&gt;"ДОК",$N528&lt;&gt;""),IFERROR(INDEX(МАТЕРИАЛЫ!$H$2:$H$9000,MATCH($N528,МАТЕРИАЛЫ!$L$2:$L$9000,0))*IF(INDEX(МАТЕРИАЛЫ!$I$2:$I$9000,MATCH($N528,МАТЕРИАЛЫ!$L$2:$L$9000,0))="USD",КурсUSD,IF(INDEX(МАТЕРИАЛЫ!$I$2:$I$9000,MATCH($N528,МАТЕРИАЛЫ!$L$2:$L$9000,0))="EUR",КурсEUR,IF(INDEX(МАТЕРИАЛЫ!$I$2:$I$9000,MATCH($N528,МАТЕРИАЛЫ!$L$2:$L$9000,0))="CNY",КурсCNY,1)))*(1+N($H528)/100),0),N($O528))*(1-MEDIAN(0,N(ДисконтТендер),1))))</f>
        <v>0</v>
      </c>
      <c r="U528" t="str">
        <f>IF($L528="да",MAX($U$1:$U527)+1,"")</f>
        <v/>
      </c>
      <c r="V528" t="str">
        <f t="shared" si="59"/>
        <v>Р7</v>
      </c>
      <c r="W528" t="str">
        <f t="shared" si="60"/>
        <v/>
      </c>
      <c r="X528" t="str">
        <f t="shared" si="61"/>
        <v/>
      </c>
      <c r="Y528" s="4" t="str">
        <f>IF($A528="","",IF(AND(LEFT($G528,3)="ДОК",$N528&lt;&gt;""),IFERROR(INDEX(Документация!$G$2:$G$57,MATCH($N528,Документация!$F$2:$F$57,0)),$D528),$D528&amp;IF(AND(LEFT($G528,3)&lt;&gt;"ДОК",$N528&lt;&gt;"")," — "&amp;IFERROR(INDEX(МАТЕРИАЛЫ!$C$2:$C$9000,MATCH($N528,МАТЕРИАЛЫ!$L$2:$L$9000,0)),""),"")))</f>
        <v>Компактная воздушно-тепловая завеса КЭВ-3П1154Е с пультом</v>
      </c>
      <c r="Z528" t="str">
        <f t="shared" si="62"/>
        <v>Р7 · Вентиляция</v>
      </c>
    </row>
    <row r="529" spans="1:26" x14ac:dyDescent="0.3">
      <c r="A529" t="s">
        <v>1143</v>
      </c>
      <c r="B529" t="s">
        <v>1129</v>
      </c>
      <c r="C529" t="s">
        <v>50</v>
      </c>
      <c r="D529" s="4" t="s">
        <v>1144</v>
      </c>
      <c r="E529" t="s">
        <v>114</v>
      </c>
      <c r="F529" s="5">
        <v>11246.67</v>
      </c>
      <c r="G529" t="s">
        <v>1142</v>
      </c>
      <c r="H529">
        <v>5</v>
      </c>
      <c r="I529" t="s">
        <v>53</v>
      </c>
      <c r="L529" s="6"/>
      <c r="M529" s="6"/>
      <c r="N529" s="6"/>
      <c r="O529" s="5"/>
      <c r="P529" s="7" t="str">
        <f t="shared" si="56"/>
        <v/>
      </c>
      <c r="Q529" s="7" t="str">
        <f t="shared" si="57"/>
        <v/>
      </c>
      <c r="R529" s="7" t="str">
        <f t="shared" si="58"/>
        <v/>
      </c>
      <c r="S529" s="7">
        <f>IF($A529="","",IF(AND(LEFT($G529,3)="ДОК",$N529&lt;&gt;""),IFERROR(INDEX(Документация!$E$2:$E$57,MATCH($N529,Документация!$F$2:$F$57,0)),0),N($F529))*(1-MEDIAN(0,N(ДисконтТендер),1)))</f>
        <v>11246.67</v>
      </c>
      <c r="T529" s="7">
        <f>IF($A529="","",IF(AND(LEFT($G529,3)="ДОК",$N529&lt;&gt;""),0,IF(AND(LEFT($G529,3)&lt;&gt;"ДОК",$N529&lt;&gt;""),IFERROR(INDEX(МАТЕРИАЛЫ!$H$2:$H$9000,MATCH($N529,МАТЕРИАЛЫ!$L$2:$L$9000,0))*IF(INDEX(МАТЕРИАЛЫ!$I$2:$I$9000,MATCH($N529,МАТЕРИАЛЫ!$L$2:$L$9000,0))="USD",КурсUSD,IF(INDEX(МАТЕРИАЛЫ!$I$2:$I$9000,MATCH($N529,МАТЕРИАЛЫ!$L$2:$L$9000,0))="EUR",КурсEUR,IF(INDEX(МАТЕРИАЛЫ!$I$2:$I$9000,MATCH($N529,МАТЕРИАЛЫ!$L$2:$L$9000,0))="CNY",КурсCNY,1)))*(1+N($H529)/100),0),N($O529))*(1-MEDIAN(0,N(ДисконтТендер),1))))</f>
        <v>0</v>
      </c>
      <c r="U529" t="str">
        <f>IF($L529="да",MAX($U$1:$U528)+1,"")</f>
        <v/>
      </c>
      <c r="V529" t="str">
        <f t="shared" si="59"/>
        <v>Р7</v>
      </c>
      <c r="W529" t="str">
        <f t="shared" si="60"/>
        <v/>
      </c>
      <c r="X529" t="str">
        <f t="shared" si="61"/>
        <v/>
      </c>
      <c r="Y529" s="4" t="str">
        <f>IF($A529="","",IF(AND(LEFT($G529,3)="ДОК",$N529&lt;&gt;""),IFERROR(INDEX(Документация!$G$2:$G$57,MATCH($N529,Документация!$F$2:$F$57,0)),$D529),$D529&amp;IF(AND(LEFT($G529,3)&lt;&gt;"ДОК",$N529&lt;&gt;"")," — "&amp;IFERROR(INDEX(МАТЕРИАЛЫ!$C$2:$C$9000,MATCH($N529,МАТЕРИАЛЫ!$L$2:$L$9000,0)),""),"")))</f>
        <v>Монтаж тепловой завесы</v>
      </c>
      <c r="Z529" t="str">
        <f t="shared" si="62"/>
        <v>Р7 · Вентиляция</v>
      </c>
    </row>
    <row r="530" spans="1:26" ht="28.8" x14ac:dyDescent="0.3">
      <c r="A530" t="s">
        <v>1145</v>
      </c>
      <c r="B530" t="s">
        <v>1129</v>
      </c>
      <c r="C530" t="s">
        <v>50</v>
      </c>
      <c r="D530" s="4" t="s">
        <v>1146</v>
      </c>
      <c r="E530" t="s">
        <v>114</v>
      </c>
      <c r="F530" s="5">
        <v>10540.92</v>
      </c>
      <c r="H530">
        <v>0</v>
      </c>
      <c r="I530" t="s">
        <v>53</v>
      </c>
      <c r="L530" s="6"/>
      <c r="M530" s="6"/>
      <c r="N530" s="6"/>
      <c r="O530" s="5"/>
      <c r="P530" s="7" t="str">
        <f t="shared" si="56"/>
        <v/>
      </c>
      <c r="Q530" s="7" t="str">
        <f t="shared" si="57"/>
        <v/>
      </c>
      <c r="R530" s="7" t="str">
        <f t="shared" si="58"/>
        <v/>
      </c>
      <c r="S530" s="7">
        <f>IF($A530="","",IF(AND(LEFT($G530,3)="ДОК",$N530&lt;&gt;""),IFERROR(INDEX(Документация!$E$2:$E$57,MATCH($N530,Документация!$F$2:$F$57,0)),0),N($F530))*(1-MEDIAN(0,N(ДисконтТендер),1)))</f>
        <v>10540.92</v>
      </c>
      <c r="T530" s="7">
        <f>IF($A530="","",IF(AND(LEFT($G530,3)="ДОК",$N530&lt;&gt;""),0,IF(AND(LEFT($G530,3)&lt;&gt;"ДОК",$N530&lt;&gt;""),IFERROR(INDEX(МАТЕРИАЛЫ!$H$2:$H$9000,MATCH($N530,МАТЕРИАЛЫ!$L$2:$L$9000,0))*IF(INDEX(МАТЕРИАЛЫ!$I$2:$I$9000,MATCH($N530,МАТЕРИАЛЫ!$L$2:$L$9000,0))="USD",КурсUSD,IF(INDEX(МАТЕРИАЛЫ!$I$2:$I$9000,MATCH($N530,МАТЕРИАЛЫ!$L$2:$L$9000,0))="EUR",КурсEUR,IF(INDEX(МАТЕРИАЛЫ!$I$2:$I$9000,MATCH($N530,МАТЕРИАЛЫ!$L$2:$L$9000,0))="CNY",КурсCNY,1)))*(1+N($H530)/100),0),N($O530))*(1-MEDIAN(0,N(ДисконтТендер),1))))</f>
        <v>0</v>
      </c>
      <c r="U530" t="str">
        <f>IF($L530="да",MAX($U$1:$U529)+1,"")</f>
        <v/>
      </c>
      <c r="V530" t="str">
        <f t="shared" si="59"/>
        <v>Р7</v>
      </c>
      <c r="W530" t="str">
        <f t="shared" si="60"/>
        <v/>
      </c>
      <c r="X530" t="str">
        <f t="shared" si="61"/>
        <v/>
      </c>
      <c r="Y530" s="4" t="str">
        <f>IF($A530="","",IF(AND(LEFT($G530,3)="ДОК",$N530&lt;&gt;""),IFERROR(INDEX(Документация!$G$2:$G$57,MATCH($N530,Документация!$F$2:$F$57,0)),$D530),$D530&amp;IF(AND(LEFT($G530,3)&lt;&gt;"ДОК",$N530&lt;&gt;"")," — "&amp;IFERROR(INDEX(МАТЕРИАЛЫ!$C$2:$C$9000,MATCH($N530,МАТЕРИАЛЫ!$L$2:$L$9000,0)),""),"")))</f>
        <v>Приточный очиститель воздуха Тион Бризер 4S Magic</v>
      </c>
      <c r="Z530" t="str">
        <f t="shared" si="62"/>
        <v>Р7 · Вентиляция</v>
      </c>
    </row>
    <row r="531" spans="1:26" ht="28.8" x14ac:dyDescent="0.3">
      <c r="A531" t="s">
        <v>1147</v>
      </c>
      <c r="B531" t="s">
        <v>1129</v>
      </c>
      <c r="C531" t="s">
        <v>50</v>
      </c>
      <c r="D531" s="4" t="s">
        <v>1148</v>
      </c>
      <c r="E531" t="s">
        <v>114</v>
      </c>
      <c r="F531" s="5">
        <v>27500</v>
      </c>
      <c r="G531" t="s">
        <v>1131</v>
      </c>
      <c r="H531">
        <v>5</v>
      </c>
      <c r="I531" t="s">
        <v>53</v>
      </c>
      <c r="L531" s="6"/>
      <c r="M531" s="6"/>
      <c r="N531" s="6"/>
      <c r="O531" s="5"/>
      <c r="P531" s="7" t="str">
        <f t="shared" si="56"/>
        <v/>
      </c>
      <c r="Q531" s="7" t="str">
        <f t="shared" si="57"/>
        <v/>
      </c>
      <c r="R531" s="7" t="str">
        <f t="shared" si="58"/>
        <v/>
      </c>
      <c r="S531" s="7">
        <f>IF($A531="","",IF(AND(LEFT($G531,3)="ДОК",$N531&lt;&gt;""),IFERROR(INDEX(Документация!$E$2:$E$57,MATCH($N531,Документация!$F$2:$F$57,0)),0),N($F531))*(1-MEDIAN(0,N(ДисконтТендер),1)))</f>
        <v>27500</v>
      </c>
      <c r="T531" s="7">
        <f>IF($A531="","",IF(AND(LEFT($G531,3)="ДОК",$N531&lt;&gt;""),0,IF(AND(LEFT($G531,3)&lt;&gt;"ДОК",$N531&lt;&gt;""),IFERROR(INDEX(МАТЕРИАЛЫ!$H$2:$H$9000,MATCH($N531,МАТЕРИАЛЫ!$L$2:$L$9000,0))*IF(INDEX(МАТЕРИАЛЫ!$I$2:$I$9000,MATCH($N531,МАТЕРИАЛЫ!$L$2:$L$9000,0))="USD",КурсUSD,IF(INDEX(МАТЕРИАЛЫ!$I$2:$I$9000,MATCH($N531,МАТЕРИАЛЫ!$L$2:$L$9000,0))="EUR",КурсEUR,IF(INDEX(МАТЕРИАЛЫ!$I$2:$I$9000,MATCH($N531,МАТЕРИАЛЫ!$L$2:$L$9000,0))="CNY",КурсCNY,1)))*(1+N($H531)/100),0),N($O531))*(1-MEDIAN(0,N(ДисконтТендер),1))))</f>
        <v>0</v>
      </c>
      <c r="U531" t="str">
        <f>IF($L531="да",MAX($U$1:$U530)+1,"")</f>
        <v/>
      </c>
      <c r="V531" t="str">
        <f t="shared" si="59"/>
        <v>Р7</v>
      </c>
      <c r="W531" t="str">
        <f t="shared" si="60"/>
        <v/>
      </c>
      <c r="X531" t="str">
        <f t="shared" si="61"/>
        <v/>
      </c>
      <c r="Y531" s="4" t="str">
        <f>IF($A531="","",IF(AND(LEFT($G531,3)="ДОК",$N531&lt;&gt;""),IFERROR(INDEX(Документация!$G$2:$G$57,MATCH($N531,Документация!$F$2:$F$57,0)),$D531),$D531&amp;IF(AND(LEFT($G531,3)&lt;&gt;"ДОК",$N531&lt;&gt;"")," — "&amp;IFERROR(INDEX(МАТЕРИАЛЫ!$C$2:$C$9000,MATCH($N531,МАТЕРИАЛЫ!$L$2:$L$9000,0)),""),"")))</f>
        <v>Подставка под ПВУ сборная , усиленная - (уголок металлический, окрашеный)</v>
      </c>
      <c r="Z531" t="str">
        <f t="shared" si="62"/>
        <v>Р7 · Вентиляция</v>
      </c>
    </row>
    <row r="532" spans="1:26" x14ac:dyDescent="0.3">
      <c r="A532" t="s">
        <v>1149</v>
      </c>
      <c r="B532" t="s">
        <v>1129</v>
      </c>
      <c r="C532" t="s">
        <v>50</v>
      </c>
      <c r="D532" s="4" t="s">
        <v>1150</v>
      </c>
      <c r="E532" t="s">
        <v>114</v>
      </c>
      <c r="F532" s="5">
        <v>1890</v>
      </c>
      <c r="G532" t="s">
        <v>1131</v>
      </c>
      <c r="H532">
        <v>5</v>
      </c>
      <c r="I532" t="s">
        <v>53</v>
      </c>
      <c r="L532" s="6"/>
      <c r="M532" s="6"/>
      <c r="N532" s="6"/>
      <c r="O532" s="5"/>
      <c r="P532" s="7" t="str">
        <f t="shared" si="56"/>
        <v/>
      </c>
      <c r="Q532" s="7" t="str">
        <f t="shared" si="57"/>
        <v/>
      </c>
      <c r="R532" s="7" t="str">
        <f t="shared" si="58"/>
        <v/>
      </c>
      <c r="S532" s="7">
        <f>IF($A532="","",IF(AND(LEFT($G532,3)="ДОК",$N532&lt;&gt;""),IFERROR(INDEX(Документация!$E$2:$E$57,MATCH($N532,Документация!$F$2:$F$57,0)),0),N($F532))*(1-MEDIAN(0,N(ДисконтТендер),1)))</f>
        <v>1890</v>
      </c>
      <c r="T532" s="7">
        <f>IF($A532="","",IF(AND(LEFT($G532,3)="ДОК",$N532&lt;&gt;""),0,IF(AND(LEFT($G532,3)&lt;&gt;"ДОК",$N532&lt;&gt;""),IFERROR(INDEX(МАТЕРИАЛЫ!$H$2:$H$9000,MATCH($N532,МАТЕРИАЛЫ!$L$2:$L$9000,0))*IF(INDEX(МАТЕРИАЛЫ!$I$2:$I$9000,MATCH($N532,МАТЕРИАЛЫ!$L$2:$L$9000,0))="USD",КурсUSD,IF(INDEX(МАТЕРИАЛЫ!$I$2:$I$9000,MATCH($N532,МАТЕРИАЛЫ!$L$2:$L$9000,0))="EUR",КурсEUR,IF(INDEX(МАТЕРИАЛЫ!$I$2:$I$9000,MATCH($N532,МАТЕРИАЛЫ!$L$2:$L$9000,0))="CNY",КурсCNY,1)))*(1+N($H532)/100),0),N($O532))*(1-MEDIAN(0,N(ДисконтТендер),1))))</f>
        <v>0</v>
      </c>
      <c r="U532" t="str">
        <f>IF($L532="да",MAX($U$1:$U531)+1,"")</f>
        <v/>
      </c>
      <c r="V532" t="str">
        <f t="shared" si="59"/>
        <v>Р7</v>
      </c>
      <c r="W532" t="str">
        <f t="shared" si="60"/>
        <v/>
      </c>
      <c r="X532" t="str">
        <f t="shared" si="61"/>
        <v/>
      </c>
      <c r="Y532" s="4" t="str">
        <f>IF($A532="","",IF(AND(LEFT($G532,3)="ДОК",$N532&lt;&gt;""),IFERROR(INDEX(Документация!$G$2:$G$57,MATCH($N532,Документация!$F$2:$F$57,0)),$D532),$D532&amp;IF(AND(LEFT($G532,3)&lt;&gt;"ДОК",$N532&lt;&gt;"")," — "&amp;IFERROR(INDEX(МАТЕРИАЛЫ!$C$2:$C$9000,MATCH($N532,МАТЕРИАЛЫ!$L$2:$L$9000,0)),""),"")))</f>
        <v>Привод для клапана вентмашины</v>
      </c>
      <c r="Z532" t="str">
        <f t="shared" si="62"/>
        <v>Р7 · Вентиляция</v>
      </c>
    </row>
    <row r="533" spans="1:26" x14ac:dyDescent="0.3">
      <c r="A533" t="s">
        <v>1151</v>
      </c>
      <c r="B533" t="s">
        <v>1129</v>
      </c>
      <c r="C533" t="s">
        <v>50</v>
      </c>
      <c r="D533" s="4" t="s">
        <v>1152</v>
      </c>
      <c r="E533" t="s">
        <v>114</v>
      </c>
      <c r="F533" s="5">
        <v>954</v>
      </c>
      <c r="G533" t="s">
        <v>1131</v>
      </c>
      <c r="H533">
        <v>5</v>
      </c>
      <c r="I533" t="s">
        <v>53</v>
      </c>
      <c r="L533" s="6"/>
      <c r="M533" s="6"/>
      <c r="N533" s="6"/>
      <c r="O533" s="5"/>
      <c r="P533" s="7" t="str">
        <f t="shared" si="56"/>
        <v/>
      </c>
      <c r="Q533" s="7" t="str">
        <f t="shared" si="57"/>
        <v/>
      </c>
      <c r="R533" s="7" t="str">
        <f t="shared" si="58"/>
        <v/>
      </c>
      <c r="S533" s="7">
        <f>IF($A533="","",IF(AND(LEFT($G533,3)="ДОК",$N533&lt;&gt;""),IFERROR(INDEX(Документация!$E$2:$E$57,MATCH($N533,Документация!$F$2:$F$57,0)),0),N($F533))*(1-MEDIAN(0,N(ДисконтТендер),1)))</f>
        <v>954</v>
      </c>
      <c r="T533" s="7">
        <f>IF($A533="","",IF(AND(LEFT($G533,3)="ДОК",$N533&lt;&gt;""),0,IF(AND(LEFT($G533,3)&lt;&gt;"ДОК",$N533&lt;&gt;""),IFERROR(INDEX(МАТЕРИАЛЫ!$H$2:$H$9000,MATCH($N533,МАТЕРИАЛЫ!$L$2:$L$9000,0))*IF(INDEX(МАТЕРИАЛЫ!$I$2:$I$9000,MATCH($N533,МАТЕРИАЛЫ!$L$2:$L$9000,0))="USD",КурсUSD,IF(INDEX(МАТЕРИАЛЫ!$I$2:$I$9000,MATCH($N533,МАТЕРИАЛЫ!$L$2:$L$9000,0))="EUR",КурсEUR,IF(INDEX(МАТЕРИАЛЫ!$I$2:$I$9000,MATCH($N533,МАТЕРИАЛЫ!$L$2:$L$9000,0))="CNY",КурсCNY,1)))*(1+N($H533)/100),0),N($O533))*(1-MEDIAN(0,N(ДисконтТендер),1))))</f>
        <v>0</v>
      </c>
      <c r="U533" t="str">
        <f>IF($L533="да",MAX($U$1:$U532)+1,"")</f>
        <v/>
      </c>
      <c r="V533" t="str">
        <f t="shared" si="59"/>
        <v>Р7</v>
      </c>
      <c r="W533" t="str">
        <f t="shared" si="60"/>
        <v/>
      </c>
      <c r="X533" t="str">
        <f t="shared" si="61"/>
        <v/>
      </c>
      <c r="Y533" s="4" t="str">
        <f>IF($A533="","",IF(AND(LEFT($G533,3)="ДОК",$N533&lt;&gt;""),IFERROR(INDEX(Документация!$G$2:$G$57,MATCH($N533,Документация!$F$2:$F$57,0)),$D533),$D533&amp;IF(AND(LEFT($G533,3)&lt;&gt;"ДОК",$N533&lt;&gt;"")," — "&amp;IFERROR(INDEX(МАТЕРИАЛЫ!$C$2:$C$9000,MATCH($N533,МАТЕРИАЛЫ!$L$2:$L$9000,0)),""),"")))</f>
        <v>Клапан 600х300 вентмашины</v>
      </c>
      <c r="Z533" t="str">
        <f t="shared" si="62"/>
        <v>Р7 · Вентиляция</v>
      </c>
    </row>
    <row r="534" spans="1:26" x14ac:dyDescent="0.3">
      <c r="A534" t="s">
        <v>1153</v>
      </c>
      <c r="B534" t="s">
        <v>1129</v>
      </c>
      <c r="C534" t="s">
        <v>50</v>
      </c>
      <c r="D534" s="4" t="s">
        <v>1154</v>
      </c>
      <c r="E534" t="s">
        <v>114</v>
      </c>
      <c r="F534" s="5">
        <v>963</v>
      </c>
      <c r="G534" t="s">
        <v>1131</v>
      </c>
      <c r="H534">
        <v>5</v>
      </c>
      <c r="I534" t="s">
        <v>53</v>
      </c>
      <c r="L534" s="6"/>
      <c r="M534" s="6"/>
      <c r="N534" s="6"/>
      <c r="O534" s="5"/>
      <c r="P534" s="7" t="str">
        <f t="shared" si="56"/>
        <v/>
      </c>
      <c r="Q534" s="7" t="str">
        <f t="shared" si="57"/>
        <v/>
      </c>
      <c r="R534" s="7" t="str">
        <f t="shared" si="58"/>
        <v/>
      </c>
      <c r="S534" s="7">
        <f>IF($A534="","",IF(AND(LEFT($G534,3)="ДОК",$N534&lt;&gt;""),IFERROR(INDEX(Документация!$E$2:$E$57,MATCH($N534,Документация!$F$2:$F$57,0)),0),N($F534))*(1-MEDIAN(0,N(ДисконтТендер),1)))</f>
        <v>963</v>
      </c>
      <c r="T534" s="7">
        <f>IF($A534="","",IF(AND(LEFT($G534,3)="ДОК",$N534&lt;&gt;""),0,IF(AND(LEFT($G534,3)&lt;&gt;"ДОК",$N534&lt;&gt;""),IFERROR(INDEX(МАТЕРИАЛЫ!$H$2:$H$9000,MATCH($N534,МАТЕРИАЛЫ!$L$2:$L$9000,0))*IF(INDEX(МАТЕРИАЛЫ!$I$2:$I$9000,MATCH($N534,МАТЕРИАЛЫ!$L$2:$L$9000,0))="USD",КурсUSD,IF(INDEX(МАТЕРИАЛЫ!$I$2:$I$9000,MATCH($N534,МАТЕРИАЛЫ!$L$2:$L$9000,0))="EUR",КурсEUR,IF(INDEX(МАТЕРИАЛЫ!$I$2:$I$9000,MATCH($N534,МАТЕРИАЛЫ!$L$2:$L$9000,0))="CNY",КурсCNY,1)))*(1+N($H534)/100),0),N($O534))*(1-MEDIAN(0,N(ДисконтТендер),1))))</f>
        <v>0</v>
      </c>
      <c r="U534" t="str">
        <f>IF($L534="да",MAX($U$1:$U533)+1,"")</f>
        <v/>
      </c>
      <c r="V534" t="str">
        <f t="shared" si="59"/>
        <v>Р7</v>
      </c>
      <c r="W534" t="str">
        <f t="shared" si="60"/>
        <v/>
      </c>
      <c r="X534" t="str">
        <f t="shared" si="61"/>
        <v/>
      </c>
      <c r="Y534" s="4" t="str">
        <f>IF($A534="","",IF(AND(LEFT($G534,3)="ДОК",$N534&lt;&gt;""),IFERROR(INDEX(Документация!$G$2:$G$57,MATCH($N534,Документация!$F$2:$F$57,0)),$D534),$D534&amp;IF(AND(LEFT($G534,3)&lt;&gt;"ДОК",$N534&lt;&gt;"")," — "&amp;IFERROR(INDEX(МАТЕРИАЛЫ!$C$2:$C$9000,MATCH($N534,МАТЕРИАЛЫ!$L$2:$L$9000,0)),""),"")))</f>
        <v>Клапан 700х400 вентмашины</v>
      </c>
      <c r="Z534" t="str">
        <f t="shared" si="62"/>
        <v>Р7 · Вентиляция</v>
      </c>
    </row>
    <row r="535" spans="1:26" x14ac:dyDescent="0.3">
      <c r="A535" t="s">
        <v>1155</v>
      </c>
      <c r="B535" t="s">
        <v>1129</v>
      </c>
      <c r="C535" t="s">
        <v>50</v>
      </c>
      <c r="D535" s="4" t="s">
        <v>1156</v>
      </c>
      <c r="E535" t="s">
        <v>114</v>
      </c>
      <c r="F535" s="5">
        <v>267</v>
      </c>
      <c r="G535" t="s">
        <v>1131</v>
      </c>
      <c r="H535">
        <v>5</v>
      </c>
      <c r="I535" t="s">
        <v>53</v>
      </c>
      <c r="L535" s="6"/>
      <c r="M535" s="6"/>
      <c r="N535" s="6"/>
      <c r="O535" s="5"/>
      <c r="P535" s="7" t="str">
        <f t="shared" si="56"/>
        <v/>
      </c>
      <c r="Q535" s="7" t="str">
        <f t="shared" si="57"/>
        <v/>
      </c>
      <c r="R535" s="7" t="str">
        <f t="shared" si="58"/>
        <v/>
      </c>
      <c r="S535" s="7">
        <f>IF($A535="","",IF(AND(LEFT($G535,3)="ДОК",$N535&lt;&gt;""),IFERROR(INDEX(Документация!$E$2:$E$57,MATCH($N535,Документация!$F$2:$F$57,0)),0),N($F535))*(1-MEDIAN(0,N(ДисконтТендер),1)))</f>
        <v>267</v>
      </c>
      <c r="T535" s="7">
        <f>IF($A535="","",IF(AND(LEFT($G535,3)="ДОК",$N535&lt;&gt;""),0,IF(AND(LEFT($G535,3)&lt;&gt;"ДОК",$N535&lt;&gt;""),IFERROR(INDEX(МАТЕРИАЛЫ!$H$2:$H$9000,MATCH($N535,МАТЕРИАЛЫ!$L$2:$L$9000,0))*IF(INDEX(МАТЕРИАЛЫ!$I$2:$I$9000,MATCH($N535,МАТЕРИАЛЫ!$L$2:$L$9000,0))="USD",КурсUSD,IF(INDEX(МАТЕРИАЛЫ!$I$2:$I$9000,MATCH($N535,МАТЕРИАЛЫ!$L$2:$L$9000,0))="EUR",КурсEUR,IF(INDEX(МАТЕРИАЛЫ!$I$2:$I$9000,MATCH($N535,МАТЕРИАЛЫ!$L$2:$L$9000,0))="CNY",КурсCNY,1)))*(1+N($H535)/100),0),N($O535))*(1-MEDIAN(0,N(ДисконтТендер),1))))</f>
        <v>0</v>
      </c>
      <c r="U535" t="str">
        <f>IF($L535="да",MAX($U$1:$U534)+1,"")</f>
        <v/>
      </c>
      <c r="V535" t="str">
        <f t="shared" si="59"/>
        <v>Р7</v>
      </c>
      <c r="W535" t="str">
        <f t="shared" si="60"/>
        <v/>
      </c>
      <c r="X535" t="str">
        <f t="shared" si="61"/>
        <v/>
      </c>
      <c r="Y535" s="4" t="str">
        <f>IF($A535="","",IF(AND(LEFT($G535,3)="ДОК",$N535&lt;&gt;""),IFERROR(INDEX(Документация!$G$2:$G$57,MATCH($N535,Документация!$F$2:$F$57,0)),$D535),$D535&amp;IF(AND(LEFT($G535,3)&lt;&gt;"ДОК",$N535&lt;&gt;"")," — "&amp;IFERROR(INDEX(МАТЕРИАЛЫ!$C$2:$C$9000,MATCH($N535,МАТЕРИАЛЫ!$L$2:$L$9000,0)),""),"")))</f>
        <v>Гибкая вставка 600х300 вентмашины</v>
      </c>
      <c r="Z535" t="str">
        <f t="shared" si="62"/>
        <v>Р7 · Вентиляция</v>
      </c>
    </row>
    <row r="536" spans="1:26" x14ac:dyDescent="0.3">
      <c r="A536" t="s">
        <v>1157</v>
      </c>
      <c r="B536" t="s">
        <v>1129</v>
      </c>
      <c r="C536" t="s">
        <v>50</v>
      </c>
      <c r="D536" s="4" t="s">
        <v>1158</v>
      </c>
      <c r="E536" t="s">
        <v>114</v>
      </c>
      <c r="F536" s="5">
        <v>289</v>
      </c>
      <c r="G536" t="s">
        <v>1131</v>
      </c>
      <c r="H536">
        <v>5</v>
      </c>
      <c r="I536" t="s">
        <v>53</v>
      </c>
      <c r="L536" s="6"/>
      <c r="M536" s="6"/>
      <c r="N536" s="6"/>
      <c r="O536" s="5"/>
      <c r="P536" s="7" t="str">
        <f t="shared" si="56"/>
        <v/>
      </c>
      <c r="Q536" s="7" t="str">
        <f t="shared" si="57"/>
        <v/>
      </c>
      <c r="R536" s="7" t="str">
        <f t="shared" si="58"/>
        <v/>
      </c>
      <c r="S536" s="7">
        <f>IF($A536="","",IF(AND(LEFT($G536,3)="ДОК",$N536&lt;&gt;""),IFERROR(INDEX(Документация!$E$2:$E$57,MATCH($N536,Документация!$F$2:$F$57,0)),0),N($F536))*(1-MEDIAN(0,N(ДисконтТендер),1)))</f>
        <v>289</v>
      </c>
      <c r="T536" s="7">
        <f>IF($A536="","",IF(AND(LEFT($G536,3)="ДОК",$N536&lt;&gt;""),0,IF(AND(LEFT($G536,3)&lt;&gt;"ДОК",$N536&lt;&gt;""),IFERROR(INDEX(МАТЕРИАЛЫ!$H$2:$H$9000,MATCH($N536,МАТЕРИАЛЫ!$L$2:$L$9000,0))*IF(INDEX(МАТЕРИАЛЫ!$I$2:$I$9000,MATCH($N536,МАТЕРИАЛЫ!$L$2:$L$9000,0))="USD",КурсUSD,IF(INDEX(МАТЕРИАЛЫ!$I$2:$I$9000,MATCH($N536,МАТЕРИАЛЫ!$L$2:$L$9000,0))="EUR",КурсEUR,IF(INDEX(МАТЕРИАЛЫ!$I$2:$I$9000,MATCH($N536,МАТЕРИАЛЫ!$L$2:$L$9000,0))="CNY",КурсCNY,1)))*(1+N($H536)/100),0),N($O536))*(1-MEDIAN(0,N(ДисконтТендер),1))))</f>
        <v>0</v>
      </c>
      <c r="U536" t="str">
        <f>IF($L536="да",MAX($U$1:$U535)+1,"")</f>
        <v/>
      </c>
      <c r="V536" t="str">
        <f t="shared" si="59"/>
        <v>Р7</v>
      </c>
      <c r="W536" t="str">
        <f t="shared" si="60"/>
        <v/>
      </c>
      <c r="X536" t="str">
        <f t="shared" si="61"/>
        <v/>
      </c>
      <c r="Y536" s="4" t="str">
        <f>IF($A536="","",IF(AND(LEFT($G536,3)="ДОК",$N536&lt;&gt;""),IFERROR(INDEX(Документация!$G$2:$G$57,MATCH($N536,Документация!$F$2:$F$57,0)),$D536),$D536&amp;IF(AND(LEFT($G536,3)&lt;&gt;"ДОК",$N536&lt;&gt;"")," — "&amp;IFERROR(INDEX(МАТЕРИАЛЫ!$C$2:$C$9000,MATCH($N536,МАТЕРИАЛЫ!$L$2:$L$9000,0)),""),"")))</f>
        <v>Гибкая вставка 700х400 вентмашины</v>
      </c>
      <c r="Z536" t="str">
        <f t="shared" si="62"/>
        <v>Р7 · Вентиляция</v>
      </c>
    </row>
    <row r="537" spans="1:26" x14ac:dyDescent="0.3">
      <c r="A537" t="s">
        <v>1159</v>
      </c>
      <c r="B537" t="s">
        <v>1129</v>
      </c>
      <c r="C537" t="s">
        <v>50</v>
      </c>
      <c r="D537" s="4" t="s">
        <v>1160</v>
      </c>
      <c r="E537" t="s">
        <v>114</v>
      </c>
      <c r="F537" s="5">
        <v>2205.4499999999998</v>
      </c>
      <c r="G537" t="s">
        <v>1161</v>
      </c>
      <c r="H537">
        <v>5</v>
      </c>
      <c r="I537" t="s">
        <v>53</v>
      </c>
      <c r="L537" s="6"/>
      <c r="M537" s="6"/>
      <c r="N537" s="6"/>
      <c r="O537" s="5"/>
      <c r="P537" s="7" t="str">
        <f t="shared" si="56"/>
        <v/>
      </c>
      <c r="Q537" s="7" t="str">
        <f t="shared" si="57"/>
        <v/>
      </c>
      <c r="R537" s="7" t="str">
        <f t="shared" si="58"/>
        <v/>
      </c>
      <c r="S537" s="7">
        <f>IF($A537="","",IF(AND(LEFT($G537,3)="ДОК",$N537&lt;&gt;""),IFERROR(INDEX(Документация!$E$2:$E$57,MATCH($N537,Документация!$F$2:$F$57,0)),0),N($F537))*(1-MEDIAN(0,N(ДисконтТендер),1)))</f>
        <v>2205.4499999999998</v>
      </c>
      <c r="T537" s="7">
        <f>IF($A537="","",IF(AND(LEFT($G537,3)="ДОК",$N537&lt;&gt;""),0,IF(AND(LEFT($G537,3)&lt;&gt;"ДОК",$N537&lt;&gt;""),IFERROR(INDEX(МАТЕРИАЛЫ!$H$2:$H$9000,MATCH($N537,МАТЕРИАЛЫ!$L$2:$L$9000,0))*IF(INDEX(МАТЕРИАЛЫ!$I$2:$I$9000,MATCH($N537,МАТЕРИАЛЫ!$L$2:$L$9000,0))="USD",КурсUSD,IF(INDEX(МАТЕРИАЛЫ!$I$2:$I$9000,MATCH($N537,МАТЕРИАЛЫ!$L$2:$L$9000,0))="EUR",КурсEUR,IF(INDEX(МАТЕРИАЛЫ!$I$2:$I$9000,MATCH($N537,МАТЕРИАЛЫ!$L$2:$L$9000,0))="CNY",КурсCNY,1)))*(1+N($H537)/100),0),N($O537))*(1-MEDIAN(0,N(ДисконтТендер),1))))</f>
        <v>0</v>
      </c>
      <c r="U537" t="str">
        <f>IF($L537="да",MAX($U$1:$U536)+1,"")</f>
        <v/>
      </c>
      <c r="V537" t="str">
        <f t="shared" si="59"/>
        <v>Р7</v>
      </c>
      <c r="W537" t="str">
        <f t="shared" si="60"/>
        <v/>
      </c>
      <c r="X537" t="str">
        <f t="shared" si="61"/>
        <v/>
      </c>
      <c r="Y537" s="4" t="str">
        <f>IF($A537="","",IF(AND(LEFT($G537,3)="ДОК",$N537&lt;&gt;""),IFERROR(INDEX(Документация!$G$2:$G$57,MATCH($N537,Документация!$F$2:$F$57,0)),$D537),$D537&amp;IF(AND(LEFT($G537,3)&lt;&gt;"ДОК",$N537&lt;&gt;"")," — "&amp;IFERROR(INDEX(МАТЕРИАЛЫ!$C$2:$C$9000,MATCH($N537,МАТЕРИАЛЫ!$L$2:$L$9000,0)),""),"")))</f>
        <v>Монтаж вентилятора</v>
      </c>
      <c r="Z537" t="str">
        <f t="shared" si="62"/>
        <v>Р7 · Вентиляция</v>
      </c>
    </row>
    <row r="538" spans="1:26" x14ac:dyDescent="0.3">
      <c r="A538" t="s">
        <v>1162</v>
      </c>
      <c r="B538" t="s">
        <v>1129</v>
      </c>
      <c r="C538" t="s">
        <v>50</v>
      </c>
      <c r="D538" s="4" t="s">
        <v>1163</v>
      </c>
      <c r="E538" t="s">
        <v>114</v>
      </c>
      <c r="F538" s="5">
        <v>9499.25</v>
      </c>
      <c r="G538" t="s">
        <v>1142</v>
      </c>
      <c r="H538">
        <v>5</v>
      </c>
      <c r="I538" t="s">
        <v>53</v>
      </c>
      <c r="L538" s="6"/>
      <c r="M538" s="6"/>
      <c r="N538" s="6"/>
      <c r="O538" s="5"/>
      <c r="P538" s="7" t="str">
        <f t="shared" si="56"/>
        <v/>
      </c>
      <c r="Q538" s="7" t="str">
        <f t="shared" si="57"/>
        <v/>
      </c>
      <c r="R538" s="7" t="str">
        <f t="shared" si="58"/>
        <v/>
      </c>
      <c r="S538" s="7">
        <f>IF($A538="","",IF(AND(LEFT($G538,3)="ДОК",$N538&lt;&gt;""),IFERROR(INDEX(Документация!$E$2:$E$57,MATCH($N538,Документация!$F$2:$F$57,0)),0),N($F538))*(1-MEDIAN(0,N(ДисконтТендер),1)))</f>
        <v>9499.25</v>
      </c>
      <c r="T538" s="7">
        <f>IF($A538="","",IF(AND(LEFT($G538,3)="ДОК",$N538&lt;&gt;""),0,IF(AND(LEFT($G538,3)&lt;&gt;"ДОК",$N538&lt;&gt;""),IFERROR(INDEX(МАТЕРИАЛЫ!$H$2:$H$9000,MATCH($N538,МАТЕРИАЛЫ!$L$2:$L$9000,0))*IF(INDEX(МАТЕРИАЛЫ!$I$2:$I$9000,MATCH($N538,МАТЕРИАЛЫ!$L$2:$L$9000,0))="USD",КурсUSD,IF(INDEX(МАТЕРИАЛЫ!$I$2:$I$9000,MATCH($N538,МАТЕРИАЛЫ!$L$2:$L$9000,0))="EUR",КурсEUR,IF(INDEX(МАТЕРИАЛЫ!$I$2:$I$9000,MATCH($N538,МАТЕРИАЛЫ!$L$2:$L$9000,0))="CNY",КурсCNY,1)))*(1+N($H538)/100),0),N($O538))*(1-MEDIAN(0,N(ДисконтТендер),1))))</f>
        <v>0</v>
      </c>
      <c r="U538" t="str">
        <f>IF($L538="да",MAX($U$1:$U537)+1,"")</f>
        <v/>
      </c>
      <c r="V538" t="str">
        <f t="shared" si="59"/>
        <v>Р7</v>
      </c>
      <c r="W538" t="str">
        <f t="shared" si="60"/>
        <v/>
      </c>
      <c r="X538" t="str">
        <f t="shared" si="61"/>
        <v/>
      </c>
      <c r="Y538" s="4" t="str">
        <f>IF($A538="","",IF(AND(LEFT($G538,3)="ДОК",$N538&lt;&gt;""),IFERROR(INDEX(Документация!$G$2:$G$57,MATCH($N538,Документация!$F$2:$F$57,0)),$D538),$D538&amp;IF(AND(LEFT($G538,3)&lt;&gt;"ДОК",$N538&lt;&gt;"")," — "&amp;IFERROR(INDEX(МАТЕРИАЛЫ!$C$2:$C$9000,MATCH($N538,МАТЕРИАЛЫ!$L$2:$L$9000,0)),""),"")))</f>
        <v>Тепловая завеса Frico с термостатом и пультом</v>
      </c>
      <c r="Z538" t="str">
        <f t="shared" si="62"/>
        <v>Р7 · Вентиляция</v>
      </c>
    </row>
    <row r="539" spans="1:26" x14ac:dyDescent="0.3">
      <c r="A539" t="s">
        <v>1164</v>
      </c>
      <c r="B539" t="s">
        <v>1129</v>
      </c>
      <c r="C539" t="s">
        <v>50</v>
      </c>
      <c r="D539" s="4" t="s">
        <v>1165</v>
      </c>
      <c r="E539" t="s">
        <v>125</v>
      </c>
      <c r="F539" s="5">
        <v>107</v>
      </c>
      <c r="H539">
        <v>0</v>
      </c>
      <c r="I539" t="s">
        <v>53</v>
      </c>
      <c r="L539" s="6"/>
      <c r="M539" s="6"/>
      <c r="N539" s="6"/>
      <c r="O539" s="5"/>
      <c r="P539" s="7" t="str">
        <f t="shared" si="56"/>
        <v/>
      </c>
      <c r="Q539" s="7" t="str">
        <f t="shared" si="57"/>
        <v/>
      </c>
      <c r="R539" s="7" t="str">
        <f t="shared" si="58"/>
        <v/>
      </c>
      <c r="S539" s="7">
        <f>IF($A539="","",IF(AND(LEFT($G539,3)="ДОК",$N539&lt;&gt;""),IFERROR(INDEX(Документация!$E$2:$E$57,MATCH($N539,Документация!$F$2:$F$57,0)),0),N($F539))*(1-MEDIAN(0,N(ДисконтТендер),1)))</f>
        <v>107</v>
      </c>
      <c r="T539" s="7">
        <f>IF($A539="","",IF(AND(LEFT($G539,3)="ДОК",$N539&lt;&gt;""),0,IF(AND(LEFT($G539,3)&lt;&gt;"ДОК",$N539&lt;&gt;""),IFERROR(INDEX(МАТЕРИАЛЫ!$H$2:$H$9000,MATCH($N539,МАТЕРИАЛЫ!$L$2:$L$9000,0))*IF(INDEX(МАТЕРИАЛЫ!$I$2:$I$9000,MATCH($N539,МАТЕРИАЛЫ!$L$2:$L$9000,0))="USD",КурсUSD,IF(INDEX(МАТЕРИАЛЫ!$I$2:$I$9000,MATCH($N539,МАТЕРИАЛЫ!$L$2:$L$9000,0))="EUR",КурсEUR,IF(INDEX(МАТЕРИАЛЫ!$I$2:$I$9000,MATCH($N539,МАТЕРИАЛЫ!$L$2:$L$9000,0))="CNY",КурсCNY,1)))*(1+N($H539)/100),0),N($O539))*(1-MEDIAN(0,N(ДисконтТендер),1))))</f>
        <v>0</v>
      </c>
      <c r="U539" t="str">
        <f>IF($L539="да",MAX($U$1:$U538)+1,"")</f>
        <v/>
      </c>
      <c r="V539" t="str">
        <f t="shared" si="59"/>
        <v>Р7</v>
      </c>
      <c r="W539" t="str">
        <f t="shared" si="60"/>
        <v/>
      </c>
      <c r="X539" t="str">
        <f t="shared" si="61"/>
        <v/>
      </c>
      <c r="Y539" s="4" t="str">
        <f>IF($A539="","",IF(AND(LEFT($G539,3)="ДОК",$N539&lt;&gt;""),IFERROR(INDEX(Документация!$G$2:$G$57,MATCH($N539,Документация!$F$2:$F$57,0)),$D539),$D539&amp;IF(AND(LEFT($G539,3)&lt;&gt;"ДОК",$N539&lt;&gt;"")," — "&amp;IFERROR(INDEX(МАТЕРИАЛЫ!$C$2:$C$9000,MATCH($N539,МАТЕРИАЛЫ!$L$2:$L$9000,0)),""),"")))</f>
        <v>Пусконаладочные работы системы вентиляции</v>
      </c>
      <c r="Z539" t="str">
        <f t="shared" si="62"/>
        <v>Р7 · Вентиляция</v>
      </c>
    </row>
    <row r="540" spans="1:26" ht="43.2" x14ac:dyDescent="0.3">
      <c r="A540" t="s">
        <v>1166</v>
      </c>
      <c r="B540" t="s">
        <v>1129</v>
      </c>
      <c r="C540" t="s">
        <v>50</v>
      </c>
      <c r="D540" s="4" t="s">
        <v>1167</v>
      </c>
      <c r="E540" t="s">
        <v>114</v>
      </c>
      <c r="F540" s="5">
        <v>2548.85</v>
      </c>
      <c r="H540">
        <v>0</v>
      </c>
      <c r="I540" t="s">
        <v>53</v>
      </c>
      <c r="L540" s="6"/>
      <c r="M540" s="6"/>
      <c r="N540" s="6"/>
      <c r="O540" s="5"/>
      <c r="P540" s="7" t="str">
        <f t="shared" si="56"/>
        <v/>
      </c>
      <c r="Q540" s="7" t="str">
        <f t="shared" si="57"/>
        <v/>
      </c>
      <c r="R540" s="7" t="str">
        <f t="shared" si="58"/>
        <v/>
      </c>
      <c r="S540" s="7">
        <f>IF($A540="","",IF(AND(LEFT($G540,3)="ДОК",$N540&lt;&gt;""),IFERROR(INDEX(Документация!$E$2:$E$57,MATCH($N540,Документация!$F$2:$F$57,0)),0),N($F540))*(1-MEDIAN(0,N(ДисконтТендер),1)))</f>
        <v>2548.85</v>
      </c>
      <c r="T540" s="7">
        <f>IF($A540="","",IF(AND(LEFT($G540,3)="ДОК",$N540&lt;&gt;""),0,IF(AND(LEFT($G540,3)&lt;&gt;"ДОК",$N540&lt;&gt;""),IFERROR(INDEX(МАТЕРИАЛЫ!$H$2:$H$9000,MATCH($N540,МАТЕРИАЛЫ!$L$2:$L$9000,0))*IF(INDEX(МАТЕРИАЛЫ!$I$2:$I$9000,MATCH($N540,МАТЕРИАЛЫ!$L$2:$L$9000,0))="USD",КурсUSD,IF(INDEX(МАТЕРИАЛЫ!$I$2:$I$9000,MATCH($N540,МАТЕРИАЛЫ!$L$2:$L$9000,0))="EUR",КурсEUR,IF(INDEX(МАТЕРИАЛЫ!$I$2:$I$9000,MATCH($N540,МАТЕРИАЛЫ!$L$2:$L$9000,0))="CNY",КурсCNY,1)))*(1+N($H540)/100),0),N($O540))*(1-MEDIAN(0,N(ДисконтТендер),1))))</f>
        <v>0</v>
      </c>
      <c r="U540" t="str">
        <f>IF($L540="да",MAX($U$1:$U539)+1,"")</f>
        <v/>
      </c>
      <c r="V540" t="str">
        <f t="shared" si="59"/>
        <v>Р7</v>
      </c>
      <c r="W540" t="str">
        <f t="shared" si="60"/>
        <v/>
      </c>
      <c r="X540" t="str">
        <f t="shared" si="61"/>
        <v/>
      </c>
      <c r="Y540" s="4" t="str">
        <f>IF($A540="","",IF(AND(LEFT($G540,3)="ДОК",$N540&lt;&gt;""),IFERROR(INDEX(Документация!$G$2:$G$57,MATCH($N540,Документация!$F$2:$F$57,0)),$D540),$D540&amp;IF(AND(LEFT($G540,3)&lt;&gt;"ДОК",$N540&lt;&gt;"")," — "&amp;IFERROR(INDEX(МАТЕРИАЛЫ!$C$2:$C$9000,MATCH($N540,МАТЕРИАЛЫ!$L$2:$L$9000,0)),""),"")))</f>
        <v>Противопожарный клапан (с электромеханическим приводом Belimo с возвратной пружиной) НО 500*300</v>
      </c>
      <c r="Z540" t="str">
        <f t="shared" si="62"/>
        <v>Р7 · Вентиляция</v>
      </c>
    </row>
    <row r="541" spans="1:26" ht="43.2" x14ac:dyDescent="0.3">
      <c r="A541" t="s">
        <v>1168</v>
      </c>
      <c r="B541" t="s">
        <v>1129</v>
      </c>
      <c r="C541" t="s">
        <v>50</v>
      </c>
      <c r="D541" s="4" t="s">
        <v>1169</v>
      </c>
      <c r="E541" t="s">
        <v>52</v>
      </c>
      <c r="F541" s="5">
        <v>822.99</v>
      </c>
      <c r="G541" t="s">
        <v>1170</v>
      </c>
      <c r="H541">
        <v>5</v>
      </c>
      <c r="I541" t="s">
        <v>53</v>
      </c>
      <c r="L541" s="6"/>
      <c r="M541" s="6"/>
      <c r="N541" s="6"/>
      <c r="O541" s="5"/>
      <c r="P541" s="7" t="str">
        <f t="shared" si="56"/>
        <v/>
      </c>
      <c r="Q541" s="7" t="str">
        <f t="shared" si="57"/>
        <v/>
      </c>
      <c r="R541" s="7" t="str">
        <f t="shared" si="58"/>
        <v/>
      </c>
      <c r="S541" s="7">
        <f>IF($A541="","",IF(AND(LEFT($G541,3)="ДОК",$N541&lt;&gt;""),IFERROR(INDEX(Документация!$E$2:$E$57,MATCH($N541,Документация!$F$2:$F$57,0)),0),N($F541))*(1-MEDIAN(0,N(ДисконтТендер),1)))</f>
        <v>822.99</v>
      </c>
      <c r="T541" s="7">
        <f>IF($A541="","",IF(AND(LEFT($G541,3)="ДОК",$N541&lt;&gt;""),0,IF(AND(LEFT($G541,3)&lt;&gt;"ДОК",$N541&lt;&gt;""),IFERROR(INDEX(МАТЕРИАЛЫ!$H$2:$H$9000,MATCH($N541,МАТЕРИАЛЫ!$L$2:$L$9000,0))*IF(INDEX(МАТЕРИАЛЫ!$I$2:$I$9000,MATCH($N541,МАТЕРИАЛЫ!$L$2:$L$9000,0))="USD",КурсUSD,IF(INDEX(МАТЕРИАЛЫ!$I$2:$I$9000,MATCH($N541,МАТЕРИАЛЫ!$L$2:$L$9000,0))="EUR",КурсEUR,IF(INDEX(МАТЕРИАЛЫ!$I$2:$I$9000,MATCH($N541,МАТЕРИАЛЫ!$L$2:$L$9000,0))="CNY",КурсCNY,1)))*(1+N($H541)/100),0),N($O541))*(1-MEDIAN(0,N(ДисконтТендер),1))))</f>
        <v>0</v>
      </c>
      <c r="U541" t="str">
        <f>IF($L541="да",MAX($U$1:$U540)+1,"")</f>
        <v/>
      </c>
      <c r="V541" t="str">
        <f t="shared" si="59"/>
        <v>Р7</v>
      </c>
      <c r="W541" t="str">
        <f t="shared" si="60"/>
        <v/>
      </c>
      <c r="X541" t="str">
        <f t="shared" si="61"/>
        <v/>
      </c>
      <c r="Y541" s="4" t="str">
        <f>IF($A541="","",IF(AND(LEFT($G541,3)="ДОК",$N541&lt;&gt;""),IFERROR(INDEX(Документация!$G$2:$G$57,MATCH($N541,Документация!$F$2:$F$57,0)),$D541),$D541&amp;IF(AND(LEFT($G541,3)&lt;&gt;"ДОК",$N541&lt;&gt;"")," — "&amp;IFERROR(INDEX(МАТЕРИАЛЫ!$C$2:$C$9000,MATCH($N541,МАТЕРИАЛЫ!$L$2:$L$9000,0)),""),"")))</f>
        <v>Монтаж тепло-шумоизоляции K-FLEX K-Flex Air 25мм самоклеющаяся (или Энергофлекс) воздуховодов согласно ТЗ</v>
      </c>
      <c r="Z541" t="str">
        <f t="shared" si="62"/>
        <v>Р7 · Вентиляция</v>
      </c>
    </row>
    <row r="542" spans="1:26" ht="43.2" x14ac:dyDescent="0.3">
      <c r="A542" t="s">
        <v>1171</v>
      </c>
      <c r="B542" t="s">
        <v>1129</v>
      </c>
      <c r="C542" t="s">
        <v>50</v>
      </c>
      <c r="D542" s="4" t="s">
        <v>1172</v>
      </c>
      <c r="E542" t="s">
        <v>52</v>
      </c>
      <c r="F542" s="5">
        <v>250</v>
      </c>
      <c r="G542" t="s">
        <v>1170</v>
      </c>
      <c r="H542">
        <v>5</v>
      </c>
      <c r="I542" t="s">
        <v>53</v>
      </c>
      <c r="L542" s="6"/>
      <c r="M542" s="6"/>
      <c r="N542" s="6"/>
      <c r="O542" s="5"/>
      <c r="P542" s="7" t="str">
        <f t="shared" si="56"/>
        <v/>
      </c>
      <c r="Q542" s="7" t="str">
        <f t="shared" si="57"/>
        <v/>
      </c>
      <c r="R542" s="7" t="str">
        <f t="shared" si="58"/>
        <v/>
      </c>
      <c r="S542" s="7">
        <f>IF($A542="","",IF(AND(LEFT($G542,3)="ДОК",$N542&lt;&gt;""),IFERROR(INDEX(Документация!$E$2:$E$57,MATCH($N542,Документация!$F$2:$F$57,0)),0),N($F542))*(1-MEDIAN(0,N(ДисконтТендер),1)))</f>
        <v>250</v>
      </c>
      <c r="T542" s="7">
        <f>IF($A542="","",IF(AND(LEFT($G542,3)="ДОК",$N542&lt;&gt;""),0,IF(AND(LEFT($G542,3)&lt;&gt;"ДОК",$N542&lt;&gt;""),IFERROR(INDEX(МАТЕРИАЛЫ!$H$2:$H$9000,MATCH($N542,МАТЕРИАЛЫ!$L$2:$L$9000,0))*IF(INDEX(МАТЕРИАЛЫ!$I$2:$I$9000,MATCH($N542,МАТЕРИАЛЫ!$L$2:$L$9000,0))="USD",КурсUSD,IF(INDEX(МАТЕРИАЛЫ!$I$2:$I$9000,MATCH($N542,МАТЕРИАЛЫ!$L$2:$L$9000,0))="EUR",КурсEUR,IF(INDEX(МАТЕРИАЛЫ!$I$2:$I$9000,MATCH($N542,МАТЕРИАЛЫ!$L$2:$L$9000,0))="CNY",КурсCNY,1)))*(1+N($H542)/100),0),N($O542))*(1-MEDIAN(0,N(ДисконтТендер),1))))</f>
        <v>0</v>
      </c>
      <c r="U542" t="str">
        <f>IF($L542="да",MAX($U$1:$U541)+1,"")</f>
        <v/>
      </c>
      <c r="V542" t="str">
        <f t="shared" si="59"/>
        <v>Р7</v>
      </c>
      <c r="W542" t="str">
        <f t="shared" si="60"/>
        <v/>
      </c>
      <c r="X542" t="str">
        <f t="shared" si="61"/>
        <v/>
      </c>
      <c r="Y542" s="4" t="str">
        <f>IF($A542="","",IF(AND(LEFT($G542,3)="ДОК",$N542&lt;&gt;""),IFERROR(INDEX(Документация!$G$2:$G$57,MATCH($N542,Документация!$F$2:$F$57,0)),$D542),$D542&amp;IF(AND(LEFT($G542,3)&lt;&gt;"ДОК",$N542&lt;&gt;"")," — "&amp;IFERROR(INDEX(МАТЕРИАЛЫ!$C$2:$C$9000,MATCH($N542,МАТЕРИАЛЫ!$L$2:$L$9000,0)),""),"")))</f>
        <v>Монтаж тепло-шумоизоляции K-FLEX K-Flex Air 6мм самоклеющаяся (или Энергофлекс) воздуховодов согласно ТЗ</v>
      </c>
      <c r="Z542" t="str">
        <f t="shared" si="62"/>
        <v>Р7 · Вентиляция</v>
      </c>
    </row>
    <row r="543" spans="1:26" ht="28.8" x14ac:dyDescent="0.3">
      <c r="A543" t="s">
        <v>1173</v>
      </c>
      <c r="B543" t="s">
        <v>1129</v>
      </c>
      <c r="C543" t="s">
        <v>50</v>
      </c>
      <c r="D543" s="4" t="s">
        <v>1174</v>
      </c>
      <c r="E543" t="s">
        <v>114</v>
      </c>
      <c r="F543" s="5">
        <v>339.3</v>
      </c>
      <c r="H543">
        <v>0</v>
      </c>
      <c r="I543" t="s">
        <v>53</v>
      </c>
      <c r="L543" s="6"/>
      <c r="M543" s="6"/>
      <c r="N543" s="6"/>
      <c r="O543" s="5"/>
      <c r="P543" s="7" t="str">
        <f t="shared" si="56"/>
        <v/>
      </c>
      <c r="Q543" s="7" t="str">
        <f t="shared" si="57"/>
        <v/>
      </c>
      <c r="R543" s="7" t="str">
        <f t="shared" si="58"/>
        <v/>
      </c>
      <c r="S543" s="7">
        <f>IF($A543="","",IF(AND(LEFT($G543,3)="ДОК",$N543&lt;&gt;""),IFERROR(INDEX(Документация!$E$2:$E$57,MATCH($N543,Документация!$F$2:$F$57,0)),0),N($F543))*(1-MEDIAN(0,N(ДисконтТендер),1)))</f>
        <v>339.3</v>
      </c>
      <c r="T543" s="7">
        <f>IF($A543="","",IF(AND(LEFT($G543,3)="ДОК",$N543&lt;&gt;""),0,IF(AND(LEFT($G543,3)&lt;&gt;"ДОК",$N543&lt;&gt;""),IFERROR(INDEX(МАТЕРИАЛЫ!$H$2:$H$9000,MATCH($N543,МАТЕРИАЛЫ!$L$2:$L$9000,0))*IF(INDEX(МАТЕРИАЛЫ!$I$2:$I$9000,MATCH($N543,МАТЕРИАЛЫ!$L$2:$L$9000,0))="USD",КурсUSD,IF(INDEX(МАТЕРИАЛЫ!$I$2:$I$9000,MATCH($N543,МАТЕРИАЛЫ!$L$2:$L$9000,0))="EUR",КурсEUR,IF(INDEX(МАТЕРИАЛЫ!$I$2:$I$9000,MATCH($N543,МАТЕРИАЛЫ!$L$2:$L$9000,0))="CNY",КурсCNY,1)))*(1+N($H543)/100),0),N($O543))*(1-MEDIAN(0,N(ДисконтТендер),1))))</f>
        <v>0</v>
      </c>
      <c r="U543" t="str">
        <f>IF($L543="да",MAX($U$1:$U542)+1,"")</f>
        <v/>
      </c>
      <c r="V543" t="str">
        <f t="shared" si="59"/>
        <v>Р7</v>
      </c>
      <c r="W543" t="str">
        <f t="shared" si="60"/>
        <v/>
      </c>
      <c r="X543" t="str">
        <f t="shared" si="61"/>
        <v/>
      </c>
      <c r="Y543" s="4" t="str">
        <f>IF($A543="","",IF(AND(LEFT($G543,3)="ДОК",$N543&lt;&gt;""),IFERROR(INDEX(Документация!$G$2:$G$57,MATCH($N543,Документация!$F$2:$F$57,0)),$D543),$D543&amp;IF(AND(LEFT($G543,3)&lt;&gt;"ДОК",$N543&lt;&gt;"")," — "&amp;IFERROR(INDEX(МАТЕРИАЛЫ!$C$2:$C$9000,MATCH($N543,МАТЕРИАЛЫ!$L$2:$L$9000,0)),""),"")))</f>
        <v>Монтаж ленты K-FLEX ST Н50х3х15 самоклеющаяся для изоляции стыков.</v>
      </c>
      <c r="Z543" t="str">
        <f t="shared" si="62"/>
        <v>Р7 · Вентиляция</v>
      </c>
    </row>
    <row r="544" spans="1:26" ht="28.8" x14ac:dyDescent="0.3">
      <c r="A544" t="s">
        <v>1175</v>
      </c>
      <c r="B544" t="s">
        <v>1129</v>
      </c>
      <c r="C544" t="s">
        <v>50</v>
      </c>
      <c r="D544" s="4" t="s">
        <v>1176</v>
      </c>
      <c r="E544" t="s">
        <v>1177</v>
      </c>
      <c r="F544" s="5">
        <v>499.9</v>
      </c>
      <c r="G544" t="s">
        <v>1170</v>
      </c>
      <c r="H544">
        <v>5</v>
      </c>
      <c r="I544" t="s">
        <v>53</v>
      </c>
      <c r="L544" s="6"/>
      <c r="M544" s="6"/>
      <c r="N544" s="6"/>
      <c r="O544" s="5"/>
      <c r="P544" s="7" t="str">
        <f t="shared" si="56"/>
        <v/>
      </c>
      <c r="Q544" s="7" t="str">
        <f t="shared" si="57"/>
        <v/>
      </c>
      <c r="R544" s="7" t="str">
        <f t="shared" si="58"/>
        <v/>
      </c>
      <c r="S544" s="7">
        <f>IF($A544="","",IF(AND(LEFT($G544,3)="ДОК",$N544&lt;&gt;""),IFERROR(INDEX(Документация!$E$2:$E$57,MATCH($N544,Документация!$F$2:$F$57,0)),0),N($F544))*(1-MEDIAN(0,N(ДисконтТендер),1)))</f>
        <v>499.9</v>
      </c>
      <c r="T544" s="7">
        <f>IF($A544="","",IF(AND(LEFT($G544,3)="ДОК",$N544&lt;&gt;""),0,IF(AND(LEFT($G544,3)&lt;&gt;"ДОК",$N544&lt;&gt;""),IFERROR(INDEX(МАТЕРИАЛЫ!$H$2:$H$9000,MATCH($N544,МАТЕРИАЛЫ!$L$2:$L$9000,0))*IF(INDEX(МАТЕРИАЛЫ!$I$2:$I$9000,MATCH($N544,МАТЕРИАЛЫ!$L$2:$L$9000,0))="USD",КурсUSD,IF(INDEX(МАТЕРИАЛЫ!$I$2:$I$9000,MATCH($N544,МАТЕРИАЛЫ!$L$2:$L$9000,0))="EUR",КурсEUR,IF(INDEX(МАТЕРИАЛЫ!$I$2:$I$9000,MATCH($N544,МАТЕРИАЛЫ!$L$2:$L$9000,0))="CNY",КурсCNY,1)))*(1+N($H544)/100),0),N($O544))*(1-MEDIAN(0,N(ДисконтТендер),1))))</f>
        <v>0</v>
      </c>
      <c r="U544" t="str">
        <f>IF($L544="да",MAX($U$1:$U543)+1,"")</f>
        <v/>
      </c>
      <c r="V544" t="str">
        <f t="shared" si="59"/>
        <v>Р7</v>
      </c>
      <c r="W544" t="str">
        <f t="shared" si="60"/>
        <v/>
      </c>
      <c r="X544" t="str">
        <f t="shared" si="61"/>
        <v/>
      </c>
      <c r="Y544" s="4" t="str">
        <f>IF($A544="","",IF(AND(LEFT($G544,3)="ДОК",$N544&lt;&gt;""),IFERROR(INDEX(Документация!$G$2:$G$57,MATCH($N544,Документация!$F$2:$F$57,0)),$D544),$D544&amp;IF(AND(LEFT($G544,3)&lt;&gt;"ДОК",$N544&lt;&gt;"")," — "&amp;IFERROR(INDEX(МАТЕРИАЛЫ!$C$2:$C$9000,MATCH($N544,МАТЕРИАЛЫ!$L$2:$L$9000,0)),""),"")))</f>
        <v>Монтаж теплоизоляции K-FLEX (или Энергофлекс) воздуховодов согласно ТЗ</v>
      </c>
      <c r="Z544" t="str">
        <f t="shared" si="62"/>
        <v>Р7 · Вентиляция</v>
      </c>
    </row>
    <row r="545" spans="1:26" ht="28.8" x14ac:dyDescent="0.3">
      <c r="A545" t="s">
        <v>1178</v>
      </c>
      <c r="B545" t="s">
        <v>1129</v>
      </c>
      <c r="C545" t="s">
        <v>50</v>
      </c>
      <c r="D545" s="4" t="s">
        <v>1179</v>
      </c>
      <c r="E545" t="s">
        <v>114</v>
      </c>
      <c r="F545" s="5">
        <v>2973.52</v>
      </c>
      <c r="G545" t="s">
        <v>1180</v>
      </c>
      <c r="H545">
        <v>5</v>
      </c>
      <c r="I545" t="s">
        <v>53</v>
      </c>
      <c r="L545" s="6"/>
      <c r="M545" s="6"/>
      <c r="N545" s="6"/>
      <c r="O545" s="5"/>
      <c r="P545" s="7" t="str">
        <f t="shared" si="56"/>
        <v/>
      </c>
      <c r="Q545" s="7" t="str">
        <f t="shared" si="57"/>
        <v/>
      </c>
      <c r="R545" s="7" t="str">
        <f t="shared" si="58"/>
        <v/>
      </c>
      <c r="S545" s="7">
        <f>IF($A545="","",IF(AND(LEFT($G545,3)="ДОК",$N545&lt;&gt;""),IFERROR(INDEX(Документация!$E$2:$E$57,MATCH($N545,Документация!$F$2:$F$57,0)),0),N($F545))*(1-MEDIAN(0,N(ДисконтТендер),1)))</f>
        <v>2973.52</v>
      </c>
      <c r="T545" s="7">
        <f>IF($A545="","",IF(AND(LEFT($G545,3)="ДОК",$N545&lt;&gt;""),0,IF(AND(LEFT($G545,3)&lt;&gt;"ДОК",$N545&lt;&gt;""),IFERROR(INDEX(МАТЕРИАЛЫ!$H$2:$H$9000,MATCH($N545,МАТЕРИАЛЫ!$L$2:$L$9000,0))*IF(INDEX(МАТЕРИАЛЫ!$I$2:$I$9000,MATCH($N545,МАТЕРИАЛЫ!$L$2:$L$9000,0))="USD",КурсUSD,IF(INDEX(МАТЕРИАЛЫ!$I$2:$I$9000,MATCH($N545,МАТЕРИАЛЫ!$L$2:$L$9000,0))="EUR",КурсEUR,IF(INDEX(МАТЕРИАЛЫ!$I$2:$I$9000,MATCH($N545,МАТЕРИАЛЫ!$L$2:$L$9000,0))="CNY",КурсCNY,1)))*(1+N($H545)/100),0),N($O545))*(1-MEDIAN(0,N(ДисконтТендер),1))))</f>
        <v>0</v>
      </c>
      <c r="U545" t="str">
        <f>IF($L545="да",MAX($U$1:$U544)+1,"")</f>
        <v/>
      </c>
      <c r="V545" t="str">
        <f t="shared" si="59"/>
        <v>Р7</v>
      </c>
      <c r="W545" t="str">
        <f t="shared" si="60"/>
        <v/>
      </c>
      <c r="X545" t="str">
        <f t="shared" si="61"/>
        <v/>
      </c>
      <c r="Y545" s="4" t="str">
        <f>IF($A545="","",IF(AND(LEFT($G545,3)="ДОК",$N545&lt;&gt;""),IFERROR(INDEX(Документация!$G$2:$G$57,MATCH($N545,Документация!$F$2:$F$57,0)),$D545),$D545&amp;IF(AND(LEFT($G545,3)&lt;&gt;"ДОК",$N545&lt;&gt;"")," — "&amp;IFERROR(INDEX(МАТЕРИАЛЫ!$C$2:$C$9000,MATCH($N545,МАТЕРИАЛЫ!$L$2:$L$9000,0)),""),"")))</f>
        <v>Монтаж воздухораспределителя (решётка / диффузор)</v>
      </c>
      <c r="Z545" t="str">
        <f t="shared" si="62"/>
        <v>Р7 · Вентиляция</v>
      </c>
    </row>
    <row r="546" spans="1:26" x14ac:dyDescent="0.3">
      <c r="A546" t="s">
        <v>1181</v>
      </c>
      <c r="B546" t="s">
        <v>1129</v>
      </c>
      <c r="C546" t="s">
        <v>50</v>
      </c>
      <c r="D546" s="4" t="s">
        <v>1160</v>
      </c>
      <c r="E546" t="s">
        <v>114</v>
      </c>
      <c r="F546" s="5">
        <v>1819.43</v>
      </c>
      <c r="G546" t="s">
        <v>1161</v>
      </c>
      <c r="H546">
        <v>5</v>
      </c>
      <c r="I546" t="s">
        <v>53</v>
      </c>
      <c r="L546" s="6"/>
      <c r="M546" s="6"/>
      <c r="N546" s="6"/>
      <c r="O546" s="5"/>
      <c r="P546" s="7" t="str">
        <f t="shared" si="56"/>
        <v/>
      </c>
      <c r="Q546" s="7" t="str">
        <f t="shared" si="57"/>
        <v/>
      </c>
      <c r="R546" s="7" t="str">
        <f t="shared" si="58"/>
        <v/>
      </c>
      <c r="S546" s="7">
        <f>IF($A546="","",IF(AND(LEFT($G546,3)="ДОК",$N546&lt;&gt;""),IFERROR(INDEX(Документация!$E$2:$E$57,MATCH($N546,Документация!$F$2:$F$57,0)),0),N($F546))*(1-MEDIAN(0,N(ДисконтТендер),1)))</f>
        <v>1819.43</v>
      </c>
      <c r="T546" s="7">
        <f>IF($A546="","",IF(AND(LEFT($G546,3)="ДОК",$N546&lt;&gt;""),0,IF(AND(LEFT($G546,3)&lt;&gt;"ДОК",$N546&lt;&gt;""),IFERROR(INDEX(МАТЕРИАЛЫ!$H$2:$H$9000,MATCH($N546,МАТЕРИАЛЫ!$L$2:$L$9000,0))*IF(INDEX(МАТЕРИАЛЫ!$I$2:$I$9000,MATCH($N546,МАТЕРИАЛЫ!$L$2:$L$9000,0))="USD",КурсUSD,IF(INDEX(МАТЕРИАЛЫ!$I$2:$I$9000,MATCH($N546,МАТЕРИАЛЫ!$L$2:$L$9000,0))="EUR",КурсEUR,IF(INDEX(МАТЕРИАЛЫ!$I$2:$I$9000,MATCH($N546,МАТЕРИАЛЫ!$L$2:$L$9000,0))="CNY",КурсCNY,1)))*(1+N($H546)/100),0),N($O546))*(1-MEDIAN(0,N(ДисконтТендер),1))))</f>
        <v>0</v>
      </c>
      <c r="U546" t="str">
        <f>IF($L546="да",MAX($U$1:$U545)+1,"")</f>
        <v/>
      </c>
      <c r="V546" t="str">
        <f t="shared" si="59"/>
        <v>Р7</v>
      </c>
      <c r="W546" t="str">
        <f t="shared" si="60"/>
        <v/>
      </c>
      <c r="X546" t="str">
        <f t="shared" si="61"/>
        <v/>
      </c>
      <c r="Y546" s="4" t="str">
        <f>IF($A546="","",IF(AND(LEFT($G546,3)="ДОК",$N546&lt;&gt;""),IFERROR(INDEX(Документация!$G$2:$G$57,MATCH($N546,Документация!$F$2:$F$57,0)),$D546),$D546&amp;IF(AND(LEFT($G546,3)&lt;&gt;"ДОК",$N546&lt;&gt;"")," — "&amp;IFERROR(INDEX(МАТЕРИАЛЫ!$C$2:$C$9000,MATCH($N546,МАТЕРИАЛЫ!$L$2:$L$9000,0)),""),"")))</f>
        <v>Монтаж вентилятора</v>
      </c>
      <c r="Z546" t="str">
        <f t="shared" si="62"/>
        <v>Р7 · Вентиляция</v>
      </c>
    </row>
    <row r="547" spans="1:26" x14ac:dyDescent="0.3">
      <c r="A547" t="s">
        <v>1182</v>
      </c>
      <c r="B547" t="s">
        <v>1129</v>
      </c>
      <c r="C547" t="s">
        <v>50</v>
      </c>
      <c r="D547" s="4" t="s">
        <v>1183</v>
      </c>
      <c r="E547" t="s">
        <v>114</v>
      </c>
      <c r="F547" s="5">
        <v>1000</v>
      </c>
      <c r="G547" t="s">
        <v>1184</v>
      </c>
      <c r="H547">
        <v>5</v>
      </c>
      <c r="I547" t="s">
        <v>53</v>
      </c>
      <c r="L547" s="6"/>
      <c r="M547" s="6"/>
      <c r="N547" s="6"/>
      <c r="O547" s="5"/>
      <c r="P547" s="7" t="str">
        <f t="shared" si="56"/>
        <v/>
      </c>
      <c r="Q547" s="7" t="str">
        <f t="shared" si="57"/>
        <v/>
      </c>
      <c r="R547" s="7" t="str">
        <f t="shared" si="58"/>
        <v/>
      </c>
      <c r="S547" s="7">
        <f>IF($A547="","",IF(AND(LEFT($G547,3)="ДОК",$N547&lt;&gt;""),IFERROR(INDEX(Документация!$E$2:$E$57,MATCH($N547,Документация!$F$2:$F$57,0)),0),N($F547))*(1-MEDIAN(0,N(ДисконтТендер),1)))</f>
        <v>1000</v>
      </c>
      <c r="T547" s="7">
        <f>IF($A547="","",IF(AND(LEFT($G547,3)="ДОК",$N547&lt;&gt;""),0,IF(AND(LEFT($G547,3)&lt;&gt;"ДОК",$N547&lt;&gt;""),IFERROR(INDEX(МАТЕРИАЛЫ!$H$2:$H$9000,MATCH($N547,МАТЕРИАЛЫ!$L$2:$L$9000,0))*IF(INDEX(МАТЕРИАЛЫ!$I$2:$I$9000,MATCH($N547,МАТЕРИАЛЫ!$L$2:$L$9000,0))="USD",КурсUSD,IF(INDEX(МАТЕРИАЛЫ!$I$2:$I$9000,MATCH($N547,МАТЕРИАЛЫ!$L$2:$L$9000,0))="EUR",КурсEUR,IF(INDEX(МАТЕРИАЛЫ!$I$2:$I$9000,MATCH($N547,МАТЕРИАЛЫ!$L$2:$L$9000,0))="CNY",КурсCNY,1)))*(1+N($H547)/100),0),N($O547))*(1-MEDIAN(0,N(ДисконтТендер),1))))</f>
        <v>0</v>
      </c>
      <c r="U547" t="str">
        <f>IF($L547="да",MAX($U$1:$U546)+1,"")</f>
        <v/>
      </c>
      <c r="V547" t="str">
        <f t="shared" si="59"/>
        <v>Р7</v>
      </c>
      <c r="W547" t="str">
        <f t="shared" si="60"/>
        <v/>
      </c>
      <c r="X547" t="str">
        <f t="shared" si="61"/>
        <v/>
      </c>
      <c r="Y547" s="4" t="str">
        <f>IF($A547="","",IF(AND(LEFT($G547,3)="ДОК",$N547&lt;&gt;""),IFERROR(INDEX(Документация!$G$2:$G$57,MATCH($N547,Документация!$F$2:$F$57,0)),$D547),$D547&amp;IF(AND(LEFT($G547,3)&lt;&gt;"ДОК",$N547&lt;&gt;"")," — "&amp;IFERROR(INDEX(МАТЕРИАЛЫ!$C$2:$C$9000,MATCH($N547,МАТЕРИАЛЫ!$L$2:$L$9000,0)),""),"")))</f>
        <v>Монтаж шумоглушителя</v>
      </c>
      <c r="Z547" t="str">
        <f t="shared" si="62"/>
        <v>Р7 · Вентиляция</v>
      </c>
    </row>
    <row r="548" spans="1:26" x14ac:dyDescent="0.3">
      <c r="A548" t="s">
        <v>1185</v>
      </c>
      <c r="B548" t="s">
        <v>1129</v>
      </c>
      <c r="C548" t="s">
        <v>50</v>
      </c>
      <c r="D548" s="4" t="s">
        <v>1186</v>
      </c>
      <c r="E548" t="s">
        <v>114</v>
      </c>
      <c r="F548" s="5">
        <v>500</v>
      </c>
      <c r="H548">
        <v>0</v>
      </c>
      <c r="I548" t="s">
        <v>53</v>
      </c>
      <c r="L548" s="6"/>
      <c r="M548" s="6"/>
      <c r="N548" s="6"/>
      <c r="O548" s="5"/>
      <c r="P548" s="7" t="str">
        <f t="shared" si="56"/>
        <v/>
      </c>
      <c r="Q548" s="7" t="str">
        <f t="shared" si="57"/>
        <v/>
      </c>
      <c r="R548" s="7" t="str">
        <f t="shared" si="58"/>
        <v/>
      </c>
      <c r="S548" s="7">
        <f>IF($A548="","",IF(AND(LEFT($G548,3)="ДОК",$N548&lt;&gt;""),IFERROR(INDEX(Документация!$E$2:$E$57,MATCH($N548,Документация!$F$2:$F$57,0)),0),N($F548))*(1-MEDIAN(0,N(ДисконтТендер),1)))</f>
        <v>500</v>
      </c>
      <c r="T548" s="7">
        <f>IF($A548="","",IF(AND(LEFT($G548,3)="ДОК",$N548&lt;&gt;""),0,IF(AND(LEFT($G548,3)&lt;&gt;"ДОК",$N548&lt;&gt;""),IFERROR(INDEX(МАТЕРИАЛЫ!$H$2:$H$9000,MATCH($N548,МАТЕРИАЛЫ!$L$2:$L$9000,0))*IF(INDEX(МАТЕРИАЛЫ!$I$2:$I$9000,MATCH($N548,МАТЕРИАЛЫ!$L$2:$L$9000,0))="USD",КурсUSD,IF(INDEX(МАТЕРИАЛЫ!$I$2:$I$9000,MATCH($N548,МАТЕРИАЛЫ!$L$2:$L$9000,0))="EUR",КурсEUR,IF(INDEX(МАТЕРИАЛЫ!$I$2:$I$9000,MATCH($N548,МАТЕРИАЛЫ!$L$2:$L$9000,0))="CNY",КурсCNY,1)))*(1+N($H548)/100),0),N($O548))*(1-MEDIAN(0,N(ДисконтТендер),1))))</f>
        <v>0</v>
      </c>
      <c r="U548" t="str">
        <f>IF($L548="да",MAX($U$1:$U547)+1,"")</f>
        <v/>
      </c>
      <c r="V548" t="str">
        <f t="shared" si="59"/>
        <v>Р7</v>
      </c>
      <c r="W548" t="str">
        <f t="shared" si="60"/>
        <v/>
      </c>
      <c r="X548" t="str">
        <f t="shared" si="61"/>
        <v/>
      </c>
      <c r="Y548" s="4" t="str">
        <f>IF($A548="","",IF(AND(LEFT($G548,3)="ДОК",$N548&lt;&gt;""),IFERROR(INDEX(Документация!$G$2:$G$57,MATCH($N548,Документация!$F$2:$F$57,0)),$D548),$D548&amp;IF(AND(LEFT($G548,3)&lt;&gt;"ДОК",$N548&lt;&gt;"")," — "&amp;IFERROR(INDEX(МАТЕРИАЛЫ!$C$2:$C$9000,MATCH($N548,МАТЕРИАЛЫ!$L$2:$L$9000,0)),""),"")))</f>
        <v>RSK 100, обратный клапан для круглых каналов</v>
      </c>
      <c r="Z548" t="str">
        <f t="shared" si="62"/>
        <v>Р7 · Вентиляция</v>
      </c>
    </row>
    <row r="549" spans="1:26" ht="28.8" x14ac:dyDescent="0.3">
      <c r="A549" t="s">
        <v>1187</v>
      </c>
      <c r="B549" t="s">
        <v>1129</v>
      </c>
      <c r="C549" t="s">
        <v>50</v>
      </c>
      <c r="D549" s="4" t="s">
        <v>1179</v>
      </c>
      <c r="E549" t="s">
        <v>114</v>
      </c>
      <c r="F549" s="5">
        <v>200</v>
      </c>
      <c r="G549" t="s">
        <v>1180</v>
      </c>
      <c r="H549">
        <v>5</v>
      </c>
      <c r="I549" t="s">
        <v>53</v>
      </c>
      <c r="L549" s="6"/>
      <c r="M549" s="6"/>
      <c r="N549" s="6"/>
      <c r="O549" s="5"/>
      <c r="P549" s="7" t="str">
        <f t="shared" si="56"/>
        <v/>
      </c>
      <c r="Q549" s="7" t="str">
        <f t="shared" si="57"/>
        <v/>
      </c>
      <c r="R549" s="7" t="str">
        <f t="shared" si="58"/>
        <v/>
      </c>
      <c r="S549" s="7">
        <f>IF($A549="","",IF(AND(LEFT($G549,3)="ДОК",$N549&lt;&gt;""),IFERROR(INDEX(Документация!$E$2:$E$57,MATCH($N549,Документация!$F$2:$F$57,0)),0),N($F549))*(1-MEDIAN(0,N(ДисконтТендер),1)))</f>
        <v>200</v>
      </c>
      <c r="T549" s="7">
        <f>IF($A549="","",IF(AND(LEFT($G549,3)="ДОК",$N549&lt;&gt;""),0,IF(AND(LEFT($G549,3)&lt;&gt;"ДОК",$N549&lt;&gt;""),IFERROR(INDEX(МАТЕРИАЛЫ!$H$2:$H$9000,MATCH($N549,МАТЕРИАЛЫ!$L$2:$L$9000,0))*IF(INDEX(МАТЕРИАЛЫ!$I$2:$I$9000,MATCH($N549,МАТЕРИАЛЫ!$L$2:$L$9000,0))="USD",КурсUSD,IF(INDEX(МАТЕРИАЛЫ!$I$2:$I$9000,MATCH($N549,МАТЕРИАЛЫ!$L$2:$L$9000,0))="EUR",КурсEUR,IF(INDEX(МАТЕРИАЛЫ!$I$2:$I$9000,MATCH($N549,МАТЕРИАЛЫ!$L$2:$L$9000,0))="CNY",КурсCNY,1)))*(1+N($H549)/100),0),N($O549))*(1-MEDIAN(0,N(ДисконтТендер),1))))</f>
        <v>0</v>
      </c>
      <c r="U549" t="str">
        <f>IF($L549="да",MAX($U$1:$U548)+1,"")</f>
        <v/>
      </c>
      <c r="V549" t="str">
        <f t="shared" si="59"/>
        <v>Р7</v>
      </c>
      <c r="W549" t="str">
        <f t="shared" si="60"/>
        <v/>
      </c>
      <c r="X549" t="str">
        <f t="shared" si="61"/>
        <v/>
      </c>
      <c r="Y549" s="4" t="str">
        <f>IF($A549="","",IF(AND(LEFT($G549,3)="ДОК",$N549&lt;&gt;""),IFERROR(INDEX(Документация!$G$2:$G$57,MATCH($N549,Документация!$F$2:$F$57,0)),$D549),$D549&amp;IF(AND(LEFT($G549,3)&lt;&gt;"ДОК",$N549&lt;&gt;"")," — "&amp;IFERROR(INDEX(МАТЕРИАЛЫ!$C$2:$C$9000,MATCH($N549,МАТЕРИАЛЫ!$L$2:$L$9000,0)),""),"")))</f>
        <v>Монтаж воздухораспределителя (решётка / диффузор)</v>
      </c>
      <c r="Z549" t="str">
        <f t="shared" si="62"/>
        <v>Р7 · Вентиляция</v>
      </c>
    </row>
    <row r="550" spans="1:26" ht="72" x14ac:dyDescent="0.3">
      <c r="A550" t="s">
        <v>1188</v>
      </c>
      <c r="B550" t="s">
        <v>1129</v>
      </c>
      <c r="C550" t="s">
        <v>50</v>
      </c>
      <c r="D550" s="4" t="s">
        <v>1189</v>
      </c>
      <c r="E550" t="s">
        <v>153</v>
      </c>
      <c r="F550" s="5">
        <v>1492.92</v>
      </c>
      <c r="G550" t="s">
        <v>1180</v>
      </c>
      <c r="H550">
        <v>5</v>
      </c>
      <c r="I550" t="s">
        <v>53</v>
      </c>
      <c r="L550" s="6"/>
      <c r="M550" s="6"/>
      <c r="N550" s="6"/>
      <c r="O550" s="5"/>
      <c r="P550" s="7" t="str">
        <f t="shared" si="56"/>
        <v/>
      </c>
      <c r="Q550" s="7" t="str">
        <f t="shared" si="57"/>
        <v/>
      </c>
      <c r="R550" s="7" t="str">
        <f t="shared" si="58"/>
        <v/>
      </c>
      <c r="S550" s="7">
        <f>IF($A550="","",IF(AND(LEFT($G550,3)="ДОК",$N550&lt;&gt;""),IFERROR(INDEX(Документация!$E$2:$E$57,MATCH($N550,Документация!$F$2:$F$57,0)),0),N($F550))*(1-MEDIAN(0,N(ДисконтТендер),1)))</f>
        <v>1492.92</v>
      </c>
      <c r="T550" s="7">
        <f>IF($A550="","",IF(AND(LEFT($G550,3)="ДОК",$N550&lt;&gt;""),0,IF(AND(LEFT($G550,3)&lt;&gt;"ДОК",$N550&lt;&gt;""),IFERROR(INDEX(МАТЕРИАЛЫ!$H$2:$H$9000,MATCH($N550,МАТЕРИАЛЫ!$L$2:$L$9000,0))*IF(INDEX(МАТЕРИАЛЫ!$I$2:$I$9000,MATCH($N550,МАТЕРИАЛЫ!$L$2:$L$9000,0))="USD",КурсUSD,IF(INDEX(МАТЕРИАЛЫ!$I$2:$I$9000,MATCH($N550,МАТЕРИАЛЫ!$L$2:$L$9000,0))="EUR",КурсEUR,IF(INDEX(МАТЕРИАЛЫ!$I$2:$I$9000,MATCH($N550,МАТЕРИАЛЫ!$L$2:$L$9000,0))="CNY",КурсCNY,1)))*(1+N($H550)/100),0),N($O550))*(1-MEDIAN(0,N(ДисконтТендер),1))))</f>
        <v>0</v>
      </c>
      <c r="U550" t="str">
        <f>IF($L550="да",MAX($U$1:$U549)+1,"")</f>
        <v/>
      </c>
      <c r="V550" t="str">
        <f t="shared" si="59"/>
        <v>Р7</v>
      </c>
      <c r="W550" t="str">
        <f t="shared" si="60"/>
        <v/>
      </c>
      <c r="X550" t="str">
        <f t="shared" si="61"/>
        <v/>
      </c>
      <c r="Y550" s="4" t="str">
        <f>IF($A550="","",IF(AND(LEFT($G550,3)="ДОК",$N550&lt;&gt;""),IFERROR(INDEX(Документация!$G$2:$G$57,MATCH($N550,Документация!$F$2:$F$57,0)),$D550),$D550&amp;IF(AND(LEFT($G550,3)&lt;&gt;"ДОК",$N550&lt;&gt;"")," — "&amp;IFERROR(INDEX(МАТЕРИАЛЫ!$C$2:$C$9000,MATCH($N550,МАТЕРИАЛЫ!$L$2:$L$9000,0)),""),"")))</f>
        <v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v>
      </c>
      <c r="Z550" t="str">
        <f t="shared" si="62"/>
        <v>Р7 · Вентиляция</v>
      </c>
    </row>
    <row r="551" spans="1:26" ht="72" x14ac:dyDescent="0.3">
      <c r="A551" t="s">
        <v>1190</v>
      </c>
      <c r="B551" t="s">
        <v>1129</v>
      </c>
      <c r="C551" t="s">
        <v>50</v>
      </c>
      <c r="D551" s="4" t="s">
        <v>1191</v>
      </c>
      <c r="E551" t="s">
        <v>125</v>
      </c>
      <c r="F551" s="5">
        <v>1764.36</v>
      </c>
      <c r="G551" t="s">
        <v>1180</v>
      </c>
      <c r="H551">
        <v>5</v>
      </c>
      <c r="I551" t="s">
        <v>53</v>
      </c>
      <c r="L551" s="6"/>
      <c r="M551" s="6"/>
      <c r="N551" s="6"/>
      <c r="O551" s="5"/>
      <c r="P551" s="7" t="str">
        <f t="shared" si="56"/>
        <v/>
      </c>
      <c r="Q551" s="7" t="str">
        <f t="shared" si="57"/>
        <v/>
      </c>
      <c r="R551" s="7" t="str">
        <f t="shared" si="58"/>
        <v/>
      </c>
      <c r="S551" s="7">
        <f>IF($A551="","",IF(AND(LEFT($G551,3)="ДОК",$N551&lt;&gt;""),IFERROR(INDEX(Документация!$E$2:$E$57,MATCH($N551,Документация!$F$2:$F$57,0)),0),N($F551))*(1-MEDIAN(0,N(ДисконтТендер),1)))</f>
        <v>1764.36</v>
      </c>
      <c r="T551" s="7">
        <f>IF($A551="","",IF(AND(LEFT($G551,3)="ДОК",$N551&lt;&gt;""),0,IF(AND(LEFT($G551,3)&lt;&gt;"ДОК",$N551&lt;&gt;""),IFERROR(INDEX(МАТЕРИАЛЫ!$H$2:$H$9000,MATCH($N551,МАТЕРИАЛЫ!$L$2:$L$9000,0))*IF(INDEX(МАТЕРИАЛЫ!$I$2:$I$9000,MATCH($N551,МАТЕРИАЛЫ!$L$2:$L$9000,0))="USD",КурсUSD,IF(INDEX(МАТЕРИАЛЫ!$I$2:$I$9000,MATCH($N551,МАТЕРИАЛЫ!$L$2:$L$9000,0))="EUR",КурсEUR,IF(INDEX(МАТЕРИАЛЫ!$I$2:$I$9000,MATCH($N551,МАТЕРИАЛЫ!$L$2:$L$9000,0))="CNY",КурсCNY,1)))*(1+N($H551)/100),0),N($O551))*(1-MEDIAN(0,N(ДисконтТендер),1))))</f>
        <v>0</v>
      </c>
      <c r="U551" t="str">
        <f>IF($L551="да",MAX($U$1:$U550)+1,"")</f>
        <v/>
      </c>
      <c r="V551" t="str">
        <f t="shared" si="59"/>
        <v>Р7</v>
      </c>
      <c r="W551" t="str">
        <f t="shared" si="60"/>
        <v/>
      </c>
      <c r="X551" t="str">
        <f t="shared" si="61"/>
        <v/>
      </c>
      <c r="Y551" s="4" t="str">
        <f>IF($A551="","",IF(AND(LEFT($G551,3)="ДОК",$N551&lt;&gt;""),IFERROR(INDEX(Документация!$G$2:$G$57,MATCH($N551,Документация!$F$2:$F$57,0)),$D551),$D551&amp;IF(AND(LEFT($G551,3)&lt;&gt;"ДОК",$N551&lt;&gt;"")," — "&amp;IFERROR(INDEX(МАТЕРИАЛЫ!$C$2:$C$9000,MATCH($N551,МАТЕРИАЛЫ!$L$2:$L$9000,0)),""),"")))</f>
        <v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v>
      </c>
      <c r="Z551" t="str">
        <f t="shared" si="62"/>
        <v>Р7 · Вентиляция</v>
      </c>
    </row>
    <row r="552" spans="1:26" ht="28.8" x14ac:dyDescent="0.3">
      <c r="A552" t="s">
        <v>1192</v>
      </c>
      <c r="B552" t="s">
        <v>1129</v>
      </c>
      <c r="C552" t="s">
        <v>161</v>
      </c>
      <c r="D552" s="4" t="s">
        <v>1193</v>
      </c>
      <c r="E552" t="s">
        <v>114</v>
      </c>
      <c r="F552" s="5">
        <v>42299.4</v>
      </c>
      <c r="G552" t="s">
        <v>1161</v>
      </c>
      <c r="H552">
        <v>5</v>
      </c>
      <c r="I552" t="s">
        <v>53</v>
      </c>
      <c r="L552" s="6"/>
      <c r="M552" s="6"/>
      <c r="N552" s="6"/>
      <c r="O552" s="5"/>
      <c r="P552" s="7" t="str">
        <f t="shared" si="56"/>
        <v/>
      </c>
      <c r="Q552" s="7" t="str">
        <f t="shared" si="57"/>
        <v/>
      </c>
      <c r="R552" s="7" t="str">
        <f t="shared" si="58"/>
        <v/>
      </c>
      <c r="S552" s="7">
        <f>IF($A552="","",IF(AND(LEFT($G552,3)="ДОК",$N552&lt;&gt;""),IFERROR(INDEX(Документация!$E$2:$E$57,MATCH($N552,Документация!$F$2:$F$57,0)),0),N($F552))*(1-MEDIAN(0,N(ДисконтТендер),1)))</f>
        <v>42299.4</v>
      </c>
      <c r="T552" s="7">
        <f>IF($A552="","",IF(AND(LEFT($G552,3)="ДОК",$N552&lt;&gt;""),0,IF(AND(LEFT($G552,3)&lt;&gt;"ДОК",$N552&lt;&gt;""),IFERROR(INDEX(МАТЕРИАЛЫ!$H$2:$H$9000,MATCH($N552,МАТЕРИАЛЫ!$L$2:$L$9000,0))*IF(INDEX(МАТЕРИАЛЫ!$I$2:$I$9000,MATCH($N552,МАТЕРИАЛЫ!$L$2:$L$9000,0))="USD",КурсUSD,IF(INDEX(МАТЕРИАЛЫ!$I$2:$I$9000,MATCH($N552,МАТЕРИАЛЫ!$L$2:$L$9000,0))="EUR",КурсEUR,IF(INDEX(МАТЕРИАЛЫ!$I$2:$I$9000,MATCH($N552,МАТЕРИАЛЫ!$L$2:$L$9000,0))="CNY",КурсCNY,1)))*(1+N($H552)/100),0),N($O552))*(1-MEDIAN(0,N(ДисконтТендер),1))))</f>
        <v>0</v>
      </c>
      <c r="U552" t="str">
        <f>IF($L552="да",MAX($U$1:$U551)+1,"")</f>
        <v/>
      </c>
      <c r="V552" t="str">
        <f t="shared" si="59"/>
        <v>Р7</v>
      </c>
      <c r="W552" t="str">
        <f t="shared" si="60"/>
        <v/>
      </c>
      <c r="X552" t="str">
        <f t="shared" si="61"/>
        <v/>
      </c>
      <c r="Y552" s="4" t="str">
        <f>IF($A552="","",IF(AND(LEFT($G552,3)="ДОК",$N552&lt;&gt;""),IFERROR(INDEX(Документация!$G$2:$G$57,MATCH($N552,Документация!$F$2:$F$57,0)),$D552),$D552&amp;IF(AND(LEFT($G552,3)&lt;&gt;"ДОК",$N552&lt;&gt;"")," — "&amp;IFERROR(INDEX(МАТЕРИАЛЫ!$C$2:$C$9000,MATCH($N552,МАТЕРИАЛЫ!$L$2:$L$9000,0)),""),"")))</f>
        <v>Вентилятор дымоудаления Systemair DVV 400D4-6/F400 в комплекте со щитом автоматики.</v>
      </c>
      <c r="Z552" t="str">
        <f t="shared" si="62"/>
        <v>Р7 · Вентиляция</v>
      </c>
    </row>
    <row r="553" spans="1:26" ht="43.2" x14ac:dyDescent="0.3">
      <c r="A553" t="s">
        <v>1194</v>
      </c>
      <c r="B553" t="s">
        <v>1129</v>
      </c>
      <c r="C553" t="s">
        <v>161</v>
      </c>
      <c r="D553" s="4" t="s">
        <v>1195</v>
      </c>
      <c r="E553" t="s">
        <v>52</v>
      </c>
      <c r="F553" s="5">
        <v>250</v>
      </c>
      <c r="H553">
        <v>0</v>
      </c>
      <c r="I553" t="s">
        <v>53</v>
      </c>
      <c r="L553" s="6"/>
      <c r="M553" s="6"/>
      <c r="N553" s="6"/>
      <c r="O553" s="5"/>
      <c r="P553" s="7" t="str">
        <f t="shared" si="56"/>
        <v/>
      </c>
      <c r="Q553" s="7" t="str">
        <f t="shared" si="57"/>
        <v/>
      </c>
      <c r="R553" s="7" t="str">
        <f t="shared" si="58"/>
        <v/>
      </c>
      <c r="S553" s="7">
        <f>IF($A553="","",IF(AND(LEFT($G553,3)="ДОК",$N553&lt;&gt;""),IFERROR(INDEX(Документация!$E$2:$E$57,MATCH($N553,Документация!$F$2:$F$57,0)),0),N($F553))*(1-MEDIAN(0,N(ДисконтТендер),1)))</f>
        <v>250</v>
      </c>
      <c r="T553" s="7">
        <f>IF($A553="","",IF(AND(LEFT($G553,3)="ДОК",$N553&lt;&gt;""),0,IF(AND(LEFT($G553,3)&lt;&gt;"ДОК",$N553&lt;&gt;""),IFERROR(INDEX(МАТЕРИАЛЫ!$H$2:$H$9000,MATCH($N553,МАТЕРИАЛЫ!$L$2:$L$9000,0))*IF(INDEX(МАТЕРИАЛЫ!$I$2:$I$9000,MATCH($N553,МАТЕРИАЛЫ!$L$2:$L$9000,0))="USD",КурсUSD,IF(INDEX(МАТЕРИАЛЫ!$I$2:$I$9000,MATCH($N553,МАТЕРИАЛЫ!$L$2:$L$9000,0))="EUR",КурсEUR,IF(INDEX(МАТЕРИАЛЫ!$I$2:$I$9000,MATCH($N553,МАТЕРИАЛЫ!$L$2:$L$9000,0))="CNY",КурсCNY,1)))*(1+N($H553)/100),0),N($O553))*(1-MEDIAN(0,N(ДисконтТендер),1))))</f>
        <v>0</v>
      </c>
      <c r="U553" t="str">
        <f>IF($L553="да",MAX($U$1:$U552)+1,"")</f>
        <v/>
      </c>
      <c r="V553" t="str">
        <f t="shared" si="59"/>
        <v>Р7</v>
      </c>
      <c r="W553" t="str">
        <f t="shared" si="60"/>
        <v/>
      </c>
      <c r="X553" t="str">
        <f t="shared" si="61"/>
        <v/>
      </c>
      <c r="Y553" s="4" t="str">
        <f>IF($A553="","",IF(AND(LEFT($G553,3)="ДОК",$N553&lt;&gt;""),IFERROR(INDEX(Документация!$G$2:$G$57,MATCH($N553,Документация!$F$2:$F$57,0)),$D553),$D553&amp;IF(AND(LEFT($G553,3)&lt;&gt;"ДОК",$N553&lt;&gt;"")," — "&amp;IFERROR(INDEX(МАТЕРИАЛЫ!$C$2:$C$9000,MATCH($N553,МАТЕРИАЛЫ!$L$2:$L$9000,0)),""),"")))</f>
        <v>Монтаж матов теплоизоляционных из минеральной ваты, фольгированные S=50мм ISOVER KIM-Light-Al 50 мм</v>
      </c>
      <c r="Z553" t="str">
        <f t="shared" si="62"/>
        <v>Р7 · Вентиляция</v>
      </c>
    </row>
    <row r="554" spans="1:26" x14ac:dyDescent="0.3">
      <c r="A554" t="s">
        <v>1196</v>
      </c>
      <c r="B554" t="s">
        <v>1129</v>
      </c>
      <c r="C554" t="s">
        <v>161</v>
      </c>
      <c r="D554" s="4" t="s">
        <v>1197</v>
      </c>
      <c r="E554" t="s">
        <v>52</v>
      </c>
      <c r="F554" s="5">
        <v>350</v>
      </c>
      <c r="H554">
        <v>0</v>
      </c>
      <c r="I554" t="s">
        <v>53</v>
      </c>
      <c r="L554" s="6"/>
      <c r="M554" s="6"/>
      <c r="N554" s="6"/>
      <c r="O554" s="5"/>
      <c r="P554" s="7" t="str">
        <f t="shared" si="56"/>
        <v/>
      </c>
      <c r="Q554" s="7" t="str">
        <f t="shared" si="57"/>
        <v/>
      </c>
      <c r="R554" s="7" t="str">
        <f t="shared" si="58"/>
        <v/>
      </c>
      <c r="S554" s="7">
        <f>IF($A554="","",IF(AND(LEFT($G554,3)="ДОК",$N554&lt;&gt;""),IFERROR(INDEX(Документация!$E$2:$E$57,MATCH($N554,Документация!$F$2:$F$57,0)),0),N($F554))*(1-MEDIAN(0,N(ДисконтТендер),1)))</f>
        <v>350</v>
      </c>
      <c r="T554" s="7">
        <f>IF($A554="","",IF(AND(LEFT($G554,3)="ДОК",$N554&lt;&gt;""),0,IF(AND(LEFT($G554,3)&lt;&gt;"ДОК",$N554&lt;&gt;""),IFERROR(INDEX(МАТЕРИАЛЫ!$H$2:$H$9000,MATCH($N554,МАТЕРИАЛЫ!$L$2:$L$9000,0))*IF(INDEX(МАТЕРИАЛЫ!$I$2:$I$9000,MATCH($N554,МАТЕРИАЛЫ!$L$2:$L$9000,0))="USD",КурсUSD,IF(INDEX(МАТЕРИАЛЫ!$I$2:$I$9000,MATCH($N554,МАТЕРИАЛЫ!$L$2:$L$9000,0))="EUR",КурсEUR,IF(INDEX(МАТЕРИАЛЫ!$I$2:$I$9000,MATCH($N554,МАТЕРИАЛЫ!$L$2:$L$9000,0))="CNY",КурсCNY,1)))*(1+N($H554)/100),0),N($O554))*(1-MEDIAN(0,N(ДисконтТендер),1))))</f>
        <v>0</v>
      </c>
      <c r="U554" t="str">
        <f>IF($L554="да",MAX($U$1:$U553)+1,"")</f>
        <v/>
      </c>
      <c r="V554" t="str">
        <f t="shared" si="59"/>
        <v>Р7</v>
      </c>
      <c r="W554" t="str">
        <f t="shared" si="60"/>
        <v/>
      </c>
      <c r="X554" t="str">
        <f t="shared" si="61"/>
        <v/>
      </c>
      <c r="Y554" s="4" t="str">
        <f>IF($A554="","",IF(AND(LEFT($G554,3)="ДОК",$N554&lt;&gt;""),IFERROR(INDEX(Документация!$G$2:$G$57,MATCH($N554,Документация!$F$2:$F$57,0)),$D554),$D554&amp;IF(AND(LEFT($G554,3)&lt;&gt;"ДОК",$N554&lt;&gt;"")," — "&amp;IFERROR(INDEX(МАТЕРИАЛЫ!$C$2:$C$9000,MATCH($N554,МАТЕРИАЛЫ!$L$2:$L$9000,0)),""),"")))</f>
        <v>Нанесение конструктивной огнезащиты</v>
      </c>
      <c r="Z554" t="str">
        <f t="shared" si="62"/>
        <v>Р7 · Вентиляция</v>
      </c>
    </row>
    <row r="555" spans="1:26" ht="57.6" x14ac:dyDescent="0.3">
      <c r="A555" t="s">
        <v>1198</v>
      </c>
      <c r="B555" t="s">
        <v>1129</v>
      </c>
      <c r="C555" t="s">
        <v>161</v>
      </c>
      <c r="D555" s="4" t="s">
        <v>1199</v>
      </c>
      <c r="E555" t="s">
        <v>114</v>
      </c>
      <c r="F555" s="5">
        <v>2548.85</v>
      </c>
      <c r="G555" t="s">
        <v>1200</v>
      </c>
      <c r="H555">
        <v>5</v>
      </c>
      <c r="I555" t="s">
        <v>53</v>
      </c>
      <c r="L555" s="6"/>
      <c r="M555" s="6"/>
      <c r="N555" s="6"/>
      <c r="O555" s="5"/>
      <c r="P555" s="7" t="str">
        <f t="shared" si="56"/>
        <v/>
      </c>
      <c r="Q555" s="7" t="str">
        <f t="shared" si="57"/>
        <v/>
      </c>
      <c r="R555" s="7" t="str">
        <f t="shared" si="58"/>
        <v/>
      </c>
      <c r="S555" s="7">
        <f>IF($A555="","",IF(AND(LEFT($G555,3)="ДОК",$N555&lt;&gt;""),IFERROR(INDEX(Документация!$E$2:$E$57,MATCH($N555,Документация!$F$2:$F$57,0)),0),N($F555))*(1-MEDIAN(0,N(ДисконтТендер),1)))</f>
        <v>2548.85</v>
      </c>
      <c r="T555" s="7">
        <f>IF($A555="","",IF(AND(LEFT($G555,3)="ДОК",$N555&lt;&gt;""),0,IF(AND(LEFT($G555,3)&lt;&gt;"ДОК",$N555&lt;&gt;""),IFERROR(INDEX(МАТЕРИАЛЫ!$H$2:$H$9000,MATCH($N555,МАТЕРИАЛЫ!$L$2:$L$9000,0))*IF(INDEX(МАТЕРИАЛЫ!$I$2:$I$9000,MATCH($N555,МАТЕРИАЛЫ!$L$2:$L$9000,0))="USD",КурсUSD,IF(INDEX(МАТЕРИАЛЫ!$I$2:$I$9000,MATCH($N555,МАТЕРИАЛЫ!$L$2:$L$9000,0))="EUR",КурсEUR,IF(INDEX(МАТЕРИАЛЫ!$I$2:$I$9000,MATCH($N555,МАТЕРИАЛЫ!$L$2:$L$9000,0))="CNY",КурсCNY,1)))*(1+N($H555)/100),0),N($O555))*(1-MEDIAN(0,N(ДисконтТендер),1))))</f>
        <v>0</v>
      </c>
      <c r="U555" t="str">
        <f>IF($L555="да",MAX($U$1:$U554)+1,"")</f>
        <v/>
      </c>
      <c r="V555" t="str">
        <f t="shared" si="59"/>
        <v>Р7</v>
      </c>
      <c r="W555" t="str">
        <f t="shared" si="60"/>
        <v/>
      </c>
      <c r="X555" t="str">
        <f t="shared" si="61"/>
        <v/>
      </c>
      <c r="Y555" s="4" t="str">
        <f>IF($A555="","",IF(AND(LEFT($G555,3)="ДОК",$N555&lt;&gt;""),IFERROR(INDEX(Документация!$G$2:$G$57,MATCH($N555,Документация!$F$2:$F$57,0)),$D555),$D555&amp;IF(AND(LEFT($G555,3)&lt;&gt;"ДОК",$N555&lt;&gt;"")," — "&amp;IFERROR(INDEX(МАТЕРИАЛЫ!$C$2:$C$9000,MATCH($N555,МАТЕРИАЛЫ!$L$2:$L$9000,0)),""),"")))</f>
        <v>Клапан противопожарный нормально закрытый, с пределом огнестойкости EI60, реверсивный эл. привод на 220 В в комплекте с декоративной решеткой</v>
      </c>
      <c r="Z555" t="str">
        <f t="shared" si="62"/>
        <v>Р7 · Вентиляция</v>
      </c>
    </row>
    <row r="556" spans="1:26" ht="72" x14ac:dyDescent="0.3">
      <c r="A556" t="s">
        <v>1201</v>
      </c>
      <c r="B556" t="s">
        <v>1129</v>
      </c>
      <c r="C556" t="s">
        <v>161</v>
      </c>
      <c r="D556" s="4" t="s">
        <v>1202</v>
      </c>
      <c r="E556" t="s">
        <v>125</v>
      </c>
      <c r="F556" s="5">
        <v>1221.48</v>
      </c>
      <c r="H556">
        <v>0</v>
      </c>
      <c r="I556" t="s">
        <v>53</v>
      </c>
      <c r="L556" s="6"/>
      <c r="M556" s="6"/>
      <c r="N556" s="6"/>
      <c r="O556" s="5"/>
      <c r="P556" s="7" t="str">
        <f t="shared" si="56"/>
        <v/>
      </c>
      <c r="Q556" s="7" t="str">
        <f t="shared" si="57"/>
        <v/>
      </c>
      <c r="R556" s="7" t="str">
        <f t="shared" si="58"/>
        <v/>
      </c>
      <c r="S556" s="7">
        <f>IF($A556="","",IF(AND(LEFT($G556,3)="ДОК",$N556&lt;&gt;""),IFERROR(INDEX(Документация!$E$2:$E$57,MATCH($N556,Документация!$F$2:$F$57,0)),0),N($F556))*(1-MEDIAN(0,N(ДисконтТендер),1)))</f>
        <v>1221.48</v>
      </c>
      <c r="T556" s="7">
        <f>IF($A556="","",IF(AND(LEFT($G556,3)="ДОК",$N556&lt;&gt;""),0,IF(AND(LEFT($G556,3)&lt;&gt;"ДОК",$N556&lt;&gt;""),IFERROR(INDEX(МАТЕРИАЛЫ!$H$2:$H$9000,MATCH($N556,МАТЕРИАЛЫ!$L$2:$L$9000,0))*IF(INDEX(МАТЕРИАЛЫ!$I$2:$I$9000,MATCH($N556,МАТЕРИАЛЫ!$L$2:$L$9000,0))="USD",КурсUSD,IF(INDEX(МАТЕРИАЛЫ!$I$2:$I$9000,MATCH($N556,МАТЕРИАЛЫ!$L$2:$L$9000,0))="EUR",КурсEUR,IF(INDEX(МАТЕРИАЛЫ!$I$2:$I$9000,MATCH($N556,МАТЕРИАЛЫ!$L$2:$L$9000,0))="CNY",КурсCNY,1)))*(1+N($H556)/100),0),N($O556))*(1-MEDIAN(0,N(ДисконтТендер),1))))</f>
        <v>0</v>
      </c>
      <c r="U556" t="str">
        <f>IF($L556="да",MAX($U$1:$U555)+1,"")</f>
        <v/>
      </c>
      <c r="V556" t="str">
        <f t="shared" si="59"/>
        <v>Р7</v>
      </c>
      <c r="W556" t="str">
        <f t="shared" si="60"/>
        <v/>
      </c>
      <c r="X556" t="str">
        <f t="shared" si="61"/>
        <v/>
      </c>
      <c r="Y556" s="4" t="str">
        <f>IF($A556="","",IF(AND(LEFT($G556,3)="ДОК",$N556&lt;&gt;""),IFERROR(INDEX(Документация!$G$2:$G$57,MATCH($N556,Документация!$F$2:$F$57,0)),$D556),$D556&amp;IF(AND(LEFT($G556,3)&lt;&gt;"ДОК",$N556&lt;&gt;"")," — "&amp;IFERROR(INDEX(МАТЕРИАЛЫ!$C$2:$C$9000,MATCH($N556,МАТЕРИАЛЫ!$L$2:$L$9000,0)),""),"")))</f>
        <v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v>
      </c>
      <c r="Z556" t="str">
        <f t="shared" si="62"/>
        <v>Р7 · Вентиляция</v>
      </c>
    </row>
    <row r="557" spans="1:26" x14ac:dyDescent="0.3">
      <c r="A557" t="s">
        <v>1203</v>
      </c>
      <c r="B557" t="s">
        <v>1204</v>
      </c>
      <c r="C557" t="s">
        <v>50</v>
      </c>
      <c r="D557" s="4" t="s">
        <v>1205</v>
      </c>
      <c r="E557" t="s">
        <v>114</v>
      </c>
      <c r="F557" s="5">
        <v>26465.4</v>
      </c>
      <c r="G557" t="s">
        <v>1206</v>
      </c>
      <c r="H557">
        <v>5</v>
      </c>
      <c r="I557" t="s">
        <v>53</v>
      </c>
      <c r="L557" s="6"/>
      <c r="M557" s="6"/>
      <c r="N557" s="6"/>
      <c r="O557" s="5"/>
      <c r="P557" s="7" t="str">
        <f t="shared" si="56"/>
        <v/>
      </c>
      <c r="Q557" s="7" t="str">
        <f t="shared" si="57"/>
        <v/>
      </c>
      <c r="R557" s="7" t="str">
        <f t="shared" si="58"/>
        <v/>
      </c>
      <c r="S557" s="7">
        <f>IF($A557="","",IF(AND(LEFT($G557,3)="ДОК",$N557&lt;&gt;""),IFERROR(INDEX(Документация!$E$2:$E$57,MATCH($N557,Документация!$F$2:$F$57,0)),0),N($F557))*(1-MEDIAN(0,N(ДисконтТендер),1)))</f>
        <v>26465.4</v>
      </c>
      <c r="T557" s="7">
        <f>IF($A557="","",IF(AND(LEFT($G557,3)="ДОК",$N557&lt;&gt;""),0,IF(AND(LEFT($G557,3)&lt;&gt;"ДОК",$N557&lt;&gt;""),IFERROR(INDEX(МАТЕРИАЛЫ!$H$2:$H$9000,MATCH($N557,МАТЕРИАЛЫ!$L$2:$L$9000,0))*IF(INDEX(МАТЕРИАЛЫ!$I$2:$I$9000,MATCH($N557,МАТЕРИАЛЫ!$L$2:$L$9000,0))="USD",КурсUSD,IF(INDEX(МАТЕРИАЛЫ!$I$2:$I$9000,MATCH($N557,МАТЕРИАЛЫ!$L$2:$L$9000,0))="EUR",КурсEUR,IF(INDEX(МАТЕРИАЛЫ!$I$2:$I$9000,MATCH($N557,МАТЕРИАЛЫ!$L$2:$L$9000,0))="CNY",КурсCNY,1)))*(1+N($H557)/100),0),N($O557))*(1-MEDIAN(0,N(ДисконтТендер),1))))</f>
        <v>0</v>
      </c>
      <c r="U557" t="str">
        <f>IF($L557="да",MAX($U$1:$U556)+1,"")</f>
        <v/>
      </c>
      <c r="V557" t="str">
        <f t="shared" si="59"/>
        <v>Р8</v>
      </c>
      <c r="W557" t="str">
        <f t="shared" si="60"/>
        <v/>
      </c>
      <c r="X557" t="str">
        <f t="shared" si="61"/>
        <v/>
      </c>
      <c r="Y557" s="4" t="str">
        <f>IF($A557="","",IF(AND(LEFT($G557,3)="ДОК",$N557&lt;&gt;""),IFERROR(INDEX(Документация!$G$2:$G$57,MATCH($N557,Документация!$F$2:$F$57,0)),$D557),$D557&amp;IF(AND(LEFT($G557,3)&lt;&gt;"ДОК",$N557&lt;&gt;"")," — "&amp;IFERROR(INDEX(МАТЕРИАЛЫ!$C$2:$C$9000,MATCH($N557,МАТЕРИАЛЫ!$L$2:$L$9000,0)),""),"")))</f>
        <v>Монтаж сплит-системы</v>
      </c>
      <c r="Z557" t="str">
        <f t="shared" si="62"/>
        <v>Р8 · Кондиционирование</v>
      </c>
    </row>
    <row r="558" spans="1:26" ht="43.2" x14ac:dyDescent="0.3">
      <c r="A558" t="s">
        <v>1207</v>
      </c>
      <c r="B558" t="s">
        <v>1204</v>
      </c>
      <c r="C558" t="s">
        <v>50</v>
      </c>
      <c r="D558" s="4" t="s">
        <v>1208</v>
      </c>
      <c r="E558" t="s">
        <v>114</v>
      </c>
      <c r="F558" s="5">
        <v>3754.92</v>
      </c>
      <c r="H558">
        <v>0</v>
      </c>
      <c r="I558" t="s">
        <v>53</v>
      </c>
      <c r="L558" s="6"/>
      <c r="M558" s="6"/>
      <c r="N558" s="6"/>
      <c r="O558" s="5"/>
      <c r="P558" s="7" t="str">
        <f t="shared" si="56"/>
        <v/>
      </c>
      <c r="Q558" s="7" t="str">
        <f t="shared" si="57"/>
        <v/>
      </c>
      <c r="R558" s="7" t="str">
        <f t="shared" si="58"/>
        <v/>
      </c>
      <c r="S558" s="7">
        <f>IF($A558="","",IF(AND(LEFT($G558,3)="ДОК",$N558&lt;&gt;""),IFERROR(INDEX(Документация!$E$2:$E$57,MATCH($N558,Документация!$F$2:$F$57,0)),0),N($F558))*(1-MEDIAN(0,N(ДисконтТендер),1)))</f>
        <v>3754.92</v>
      </c>
      <c r="T558" s="7">
        <f>IF($A558="","",IF(AND(LEFT($G558,3)="ДОК",$N558&lt;&gt;""),0,IF(AND(LEFT($G558,3)&lt;&gt;"ДОК",$N558&lt;&gt;""),IFERROR(INDEX(МАТЕРИАЛЫ!$H$2:$H$9000,MATCH($N558,МАТЕРИАЛЫ!$L$2:$L$9000,0))*IF(INDEX(МАТЕРИАЛЫ!$I$2:$I$9000,MATCH($N558,МАТЕРИАЛЫ!$L$2:$L$9000,0))="USD",КурсUSD,IF(INDEX(МАТЕРИАЛЫ!$I$2:$I$9000,MATCH($N558,МАТЕРИАЛЫ!$L$2:$L$9000,0))="EUR",КурсEUR,IF(INDEX(МАТЕРИАЛЫ!$I$2:$I$9000,MATCH($N558,МАТЕРИАЛЫ!$L$2:$L$9000,0))="CNY",КурсCNY,1)))*(1+N($H558)/100),0),N($O558))*(1-MEDIAN(0,N(ДисконтТендер),1))))</f>
        <v>0</v>
      </c>
      <c r="U558" t="str">
        <f>IF($L558="да",MAX($U$1:$U557)+1,"")</f>
        <v/>
      </c>
      <c r="V558" t="str">
        <f t="shared" si="59"/>
        <v>Р8</v>
      </c>
      <c r="W558" t="str">
        <f t="shared" si="60"/>
        <v/>
      </c>
      <c r="X558" t="str">
        <f t="shared" si="61"/>
        <v/>
      </c>
      <c r="Y558" s="4" t="str">
        <f>IF($A558="","",IF(AND(LEFT($G558,3)="ДОК",$N558&lt;&gt;""),IFERROR(INDEX(Документация!$G$2:$G$57,MATCH($N558,Документация!$F$2:$F$57,0)),$D558),$D558&amp;IF(AND(LEFT($G558,3)&lt;&gt;"ДОК",$N558&lt;&gt;"")," — "&amp;IFERROR(INDEX(МАТЕРИАЛЫ!$C$2:$C$9000,MATCH($N558,МАТЕРИАЛЫ!$L$2:$L$9000,0)),""),"")))</f>
        <v>СБР02 Проводной контроллер для серверных помещений (Включая Модуль управления кондиционером СБР02-М - 2 шт)</v>
      </c>
      <c r="Z558" t="str">
        <f t="shared" si="62"/>
        <v>Р8 · Кондиционирование</v>
      </c>
    </row>
    <row r="559" spans="1:26" x14ac:dyDescent="0.3">
      <c r="A559" t="s">
        <v>1209</v>
      </c>
      <c r="B559" t="s">
        <v>1204</v>
      </c>
      <c r="C559" t="s">
        <v>161</v>
      </c>
      <c r="D559" s="4" t="s">
        <v>1205</v>
      </c>
      <c r="E559" t="s">
        <v>114</v>
      </c>
      <c r="F559" s="5">
        <v>23696.85</v>
      </c>
      <c r="G559" t="s">
        <v>1206</v>
      </c>
      <c r="H559">
        <v>5</v>
      </c>
      <c r="I559" t="s">
        <v>53</v>
      </c>
      <c r="L559" s="6"/>
      <c r="M559" s="6"/>
      <c r="N559" s="6"/>
      <c r="O559" s="5"/>
      <c r="P559" s="7" t="str">
        <f t="shared" si="56"/>
        <v/>
      </c>
      <c r="Q559" s="7" t="str">
        <f t="shared" si="57"/>
        <v/>
      </c>
      <c r="R559" s="7" t="str">
        <f t="shared" si="58"/>
        <v/>
      </c>
      <c r="S559" s="7">
        <f>IF($A559="","",IF(AND(LEFT($G559,3)="ДОК",$N559&lt;&gt;""),IFERROR(INDEX(Документация!$E$2:$E$57,MATCH($N559,Документация!$F$2:$F$57,0)),0),N($F559))*(1-MEDIAN(0,N(ДисконтТендер),1)))</f>
        <v>23696.85</v>
      </c>
      <c r="T559" s="7">
        <f>IF($A559="","",IF(AND(LEFT($G559,3)="ДОК",$N559&lt;&gt;""),0,IF(AND(LEFT($G559,3)&lt;&gt;"ДОК",$N559&lt;&gt;""),IFERROR(INDEX(МАТЕРИАЛЫ!$H$2:$H$9000,MATCH($N559,МАТЕРИАЛЫ!$L$2:$L$9000,0))*IF(INDEX(МАТЕРИАЛЫ!$I$2:$I$9000,MATCH($N559,МАТЕРИАЛЫ!$L$2:$L$9000,0))="USD",КурсUSD,IF(INDEX(МАТЕРИАЛЫ!$I$2:$I$9000,MATCH($N559,МАТЕРИАЛЫ!$L$2:$L$9000,0))="EUR",КурсEUR,IF(INDEX(МАТЕРИАЛЫ!$I$2:$I$9000,MATCH($N559,МАТЕРИАЛЫ!$L$2:$L$9000,0))="CNY",КурсCNY,1)))*(1+N($H559)/100),0),N($O559))*(1-MEDIAN(0,N(ДисконтТендер),1))))</f>
        <v>0</v>
      </c>
      <c r="U559" t="str">
        <f>IF($L559="да",MAX($U$1:$U558)+1,"")</f>
        <v/>
      </c>
      <c r="V559" t="str">
        <f t="shared" si="59"/>
        <v>Р8</v>
      </c>
      <c r="W559" t="str">
        <f t="shared" si="60"/>
        <v/>
      </c>
      <c r="X559" t="str">
        <f t="shared" si="61"/>
        <v/>
      </c>
      <c r="Y559" s="4" t="str">
        <f>IF($A559="","",IF(AND(LEFT($G559,3)="ДОК",$N559&lt;&gt;""),IFERROR(INDEX(Документация!$G$2:$G$57,MATCH($N559,Документация!$F$2:$F$57,0)),$D559),$D559&amp;IF(AND(LEFT($G559,3)&lt;&gt;"ДОК",$N559&lt;&gt;"")," — "&amp;IFERROR(INDEX(МАТЕРИАЛЫ!$C$2:$C$9000,MATCH($N559,МАТЕРИАЛЫ!$L$2:$L$9000,0)),""),"")))</f>
        <v>Монтаж сплит-системы</v>
      </c>
      <c r="Z559" t="str">
        <f t="shared" si="62"/>
        <v>Р8 · Кондиционирование</v>
      </c>
    </row>
    <row r="560" spans="1:26" ht="28.8" x14ac:dyDescent="0.3">
      <c r="A560" t="s">
        <v>1210</v>
      </c>
      <c r="B560" t="s">
        <v>1204</v>
      </c>
      <c r="C560" t="s">
        <v>161</v>
      </c>
      <c r="D560" s="4" t="s">
        <v>1211</v>
      </c>
      <c r="E560" t="s">
        <v>114</v>
      </c>
      <c r="F560" s="5">
        <v>19500.18</v>
      </c>
      <c r="G560" t="s">
        <v>1131</v>
      </c>
      <c r="H560">
        <v>5</v>
      </c>
      <c r="I560" t="s">
        <v>53</v>
      </c>
      <c r="L560" s="6"/>
      <c r="M560" s="6"/>
      <c r="N560" s="6"/>
      <c r="O560" s="5"/>
      <c r="P560" s="7" t="str">
        <f t="shared" si="56"/>
        <v/>
      </c>
      <c r="Q560" s="7" t="str">
        <f t="shared" si="57"/>
        <v/>
      </c>
      <c r="R560" s="7" t="str">
        <f t="shared" si="58"/>
        <v/>
      </c>
      <c r="S560" s="7">
        <f>IF($A560="","",IF(AND(LEFT($G560,3)="ДОК",$N560&lt;&gt;""),IFERROR(INDEX(Документация!$E$2:$E$57,MATCH($N560,Документация!$F$2:$F$57,0)),0),N($F560))*(1-MEDIAN(0,N(ДисконтТендер),1)))</f>
        <v>19500.18</v>
      </c>
      <c r="T560" s="7">
        <f>IF($A560="","",IF(AND(LEFT($G560,3)="ДОК",$N560&lt;&gt;""),0,IF(AND(LEFT($G560,3)&lt;&gt;"ДОК",$N560&lt;&gt;""),IFERROR(INDEX(МАТЕРИАЛЫ!$H$2:$H$9000,MATCH($N560,МАТЕРИАЛЫ!$L$2:$L$9000,0))*IF(INDEX(МАТЕРИАЛЫ!$I$2:$I$9000,MATCH($N560,МАТЕРИАЛЫ!$L$2:$L$9000,0))="USD",КурсUSD,IF(INDEX(МАТЕРИАЛЫ!$I$2:$I$9000,MATCH($N560,МАТЕРИАЛЫ!$L$2:$L$9000,0))="EUR",КурсEUR,IF(INDEX(МАТЕРИАЛЫ!$I$2:$I$9000,MATCH($N560,МАТЕРИАЛЫ!$L$2:$L$9000,0))="CNY",КурсCNY,1)))*(1+N($H560)/100),0),N($O560))*(1-MEDIAN(0,N(ДисконтТендер),1))))</f>
        <v>0</v>
      </c>
      <c r="U560" t="str">
        <f>IF($L560="да",MAX($U$1:$U559)+1,"")</f>
        <v/>
      </c>
      <c r="V560" t="str">
        <f t="shared" si="59"/>
        <v>Р8</v>
      </c>
      <c r="W560" t="str">
        <f t="shared" si="60"/>
        <v/>
      </c>
      <c r="X560" t="str">
        <f t="shared" si="61"/>
        <v/>
      </c>
      <c r="Y560" s="4" t="str">
        <f>IF($A560="","",IF(AND(LEFT($G560,3)="ДОК",$N560&lt;&gt;""),IFERROR(INDEX(Документация!$G$2:$G$57,MATCH($N560,Документация!$F$2:$F$57,0)),$D560),$D560&amp;IF(AND(LEFT($G560,3)&lt;&gt;"ДОК",$N560&lt;&gt;"")," — "&amp;IFERROR(INDEX(МАТЕРИАЛЫ!$C$2:$C$9000,MATCH($N560,МАТЕРИАЛЫ!$L$2:$L$9000,0)),""),"")))</f>
        <v>Монтаж приточной / приточно-вытяжной установки</v>
      </c>
      <c r="Z560" t="str">
        <f t="shared" si="62"/>
        <v>Р8 · Кондиционирование</v>
      </c>
    </row>
    <row r="561" spans="1:26" ht="28.8" x14ac:dyDescent="0.3">
      <c r="A561" t="s">
        <v>1212</v>
      </c>
      <c r="B561" t="s">
        <v>1204</v>
      </c>
      <c r="C561" t="s">
        <v>161</v>
      </c>
      <c r="D561" s="4" t="s">
        <v>1211</v>
      </c>
      <c r="E561" t="s">
        <v>114</v>
      </c>
      <c r="F561" s="5">
        <v>20038.87</v>
      </c>
      <c r="G561" t="s">
        <v>1131</v>
      </c>
      <c r="H561">
        <v>5</v>
      </c>
      <c r="I561" t="s">
        <v>53</v>
      </c>
      <c r="L561" s="6"/>
      <c r="M561" s="6"/>
      <c r="N561" s="6"/>
      <c r="O561" s="5"/>
      <c r="P561" s="7" t="str">
        <f t="shared" si="56"/>
        <v/>
      </c>
      <c r="Q561" s="7" t="str">
        <f t="shared" si="57"/>
        <v/>
      </c>
      <c r="R561" s="7" t="str">
        <f t="shared" si="58"/>
        <v/>
      </c>
      <c r="S561" s="7">
        <f>IF($A561="","",IF(AND(LEFT($G561,3)="ДОК",$N561&lt;&gt;""),IFERROR(INDEX(Документация!$E$2:$E$57,MATCH($N561,Документация!$F$2:$F$57,0)),0),N($F561))*(1-MEDIAN(0,N(ДисконтТендер),1)))</f>
        <v>20038.87</v>
      </c>
      <c r="T561" s="7">
        <f>IF($A561="","",IF(AND(LEFT($G561,3)="ДОК",$N561&lt;&gt;""),0,IF(AND(LEFT($G561,3)&lt;&gt;"ДОК",$N561&lt;&gt;""),IFERROR(INDEX(МАТЕРИАЛЫ!$H$2:$H$9000,MATCH($N561,МАТЕРИАЛЫ!$L$2:$L$9000,0))*IF(INDEX(МАТЕРИАЛЫ!$I$2:$I$9000,MATCH($N561,МАТЕРИАЛЫ!$L$2:$L$9000,0))="USD",КурсUSD,IF(INDEX(МАТЕРИАЛЫ!$I$2:$I$9000,MATCH($N561,МАТЕРИАЛЫ!$L$2:$L$9000,0))="EUR",КурсEUR,IF(INDEX(МАТЕРИАЛЫ!$I$2:$I$9000,MATCH($N561,МАТЕРИАЛЫ!$L$2:$L$9000,0))="CNY",КурсCNY,1)))*(1+N($H561)/100),0),N($O561))*(1-MEDIAN(0,N(ДисконтТендер),1))))</f>
        <v>0</v>
      </c>
      <c r="U561" t="str">
        <f>IF($L561="да",MAX($U$1:$U560)+1,"")</f>
        <v/>
      </c>
      <c r="V561" t="str">
        <f t="shared" si="59"/>
        <v>Р8</v>
      </c>
      <c r="W561" t="str">
        <f t="shared" si="60"/>
        <v/>
      </c>
      <c r="X561" t="str">
        <f t="shared" si="61"/>
        <v/>
      </c>
      <c r="Y561" s="4" t="str">
        <f>IF($A561="","",IF(AND(LEFT($G561,3)="ДОК",$N561&lt;&gt;""),IFERROR(INDEX(Документация!$G$2:$G$57,MATCH($N561,Документация!$F$2:$F$57,0)),$D561),$D561&amp;IF(AND(LEFT($G561,3)&lt;&gt;"ДОК",$N561&lt;&gt;"")," — "&amp;IFERROR(INDEX(МАТЕРИАЛЫ!$C$2:$C$9000,MATCH($N561,МАТЕРИАЛЫ!$L$2:$L$9000,0)),""),"")))</f>
        <v>Монтаж приточной / приточно-вытяжной установки</v>
      </c>
      <c r="Z561" t="str">
        <f t="shared" si="62"/>
        <v>Р8 · Кондиционирование</v>
      </c>
    </row>
    <row r="562" spans="1:26" ht="43.2" x14ac:dyDescent="0.3">
      <c r="A562" t="s">
        <v>1213</v>
      </c>
      <c r="B562" t="s">
        <v>1204</v>
      </c>
      <c r="C562" t="s">
        <v>161</v>
      </c>
      <c r="D562" s="4" t="s">
        <v>1214</v>
      </c>
      <c r="E562" t="s">
        <v>114</v>
      </c>
      <c r="F562" s="5">
        <v>20362.07</v>
      </c>
      <c r="G562" t="s">
        <v>1131</v>
      </c>
      <c r="H562">
        <v>5</v>
      </c>
      <c r="I562" t="s">
        <v>53</v>
      </c>
      <c r="L562" s="6"/>
      <c r="M562" s="6"/>
      <c r="N562" s="6"/>
      <c r="O562" s="5"/>
      <c r="P562" s="7" t="str">
        <f t="shared" si="56"/>
        <v/>
      </c>
      <c r="Q562" s="7" t="str">
        <f t="shared" si="57"/>
        <v/>
      </c>
      <c r="R562" s="7" t="str">
        <f t="shared" si="58"/>
        <v/>
      </c>
      <c r="S562" s="7">
        <f>IF($A562="","",IF(AND(LEFT($G562,3)="ДОК",$N562&lt;&gt;""),IFERROR(INDEX(Документация!$E$2:$E$57,MATCH($N562,Документация!$F$2:$F$57,0)),0),N($F562))*(1-MEDIAN(0,N(ДисконтТендер),1)))</f>
        <v>20362.07</v>
      </c>
      <c r="T562" s="7">
        <f>IF($A562="","",IF(AND(LEFT($G562,3)="ДОК",$N562&lt;&gt;""),0,IF(AND(LEFT($G562,3)&lt;&gt;"ДОК",$N562&lt;&gt;""),IFERROR(INDEX(МАТЕРИАЛЫ!$H$2:$H$9000,MATCH($N562,МАТЕРИАЛЫ!$L$2:$L$9000,0))*IF(INDEX(МАТЕРИАЛЫ!$I$2:$I$9000,MATCH($N562,МАТЕРИАЛЫ!$L$2:$L$9000,0))="USD",КурсUSD,IF(INDEX(МАТЕРИАЛЫ!$I$2:$I$9000,MATCH($N562,МАТЕРИАЛЫ!$L$2:$L$9000,0))="EUR",КурсEUR,IF(INDEX(МАТЕРИАЛЫ!$I$2:$I$9000,MATCH($N562,МАТЕРИАЛЫ!$L$2:$L$9000,0))="CNY",КурсCNY,1)))*(1+N($H562)/100),0),N($O562))*(1-MEDIAN(0,N(ДисконтТендер),1))))</f>
        <v>0</v>
      </c>
      <c r="U562" t="str">
        <f>IF($L562="да",MAX($U$1:$U561)+1,"")</f>
        <v/>
      </c>
      <c r="V562" t="str">
        <f t="shared" si="59"/>
        <v>Р8</v>
      </c>
      <c r="W562" t="str">
        <f t="shared" si="60"/>
        <v/>
      </c>
      <c r="X562" t="str">
        <f t="shared" si="61"/>
        <v/>
      </c>
      <c r="Y562" s="4" t="str">
        <f>IF($A562="","",IF(AND(LEFT($G562,3)="ДОК",$N562&lt;&gt;""),IFERROR(INDEX(Документация!$G$2:$G$57,MATCH($N562,Документация!$F$2:$F$57,0)),$D562),$D562&amp;IF(AND(LEFT($G562,3)&lt;&gt;"ДОК",$N562&lt;&gt;"")," — "&amp;IFERROR(INDEX(МАТЕРИАЛЫ!$C$2:$C$9000,MATCH($N562,МАТЕРИАЛЫ!$L$2:$L$9000,0)),""),"")))</f>
        <v>Канальный кондиционер MDV 48 MDTJ2-48HWN1 / MDOU3-48HN1-L+пульт (либо аналог согласно ТЗ. Замену согласовать с заказчиком)</v>
      </c>
      <c r="Z562" t="str">
        <f t="shared" si="62"/>
        <v>Р8 · Кондиционирование</v>
      </c>
    </row>
    <row r="563" spans="1:26" ht="43.2" x14ac:dyDescent="0.3">
      <c r="A563" t="s">
        <v>1215</v>
      </c>
      <c r="B563" t="s">
        <v>1204</v>
      </c>
      <c r="C563" t="s">
        <v>161</v>
      </c>
      <c r="D563" s="4" t="s">
        <v>1216</v>
      </c>
      <c r="E563" t="s">
        <v>114</v>
      </c>
      <c r="F563" s="5">
        <v>21547.17</v>
      </c>
      <c r="G563" t="s">
        <v>1131</v>
      </c>
      <c r="H563">
        <v>5</v>
      </c>
      <c r="I563" t="s">
        <v>53</v>
      </c>
      <c r="L563" s="6"/>
      <c r="M563" s="6"/>
      <c r="N563" s="6"/>
      <c r="O563" s="5"/>
      <c r="P563" s="7" t="str">
        <f t="shared" si="56"/>
        <v/>
      </c>
      <c r="Q563" s="7" t="str">
        <f t="shared" si="57"/>
        <v/>
      </c>
      <c r="R563" s="7" t="str">
        <f t="shared" si="58"/>
        <v/>
      </c>
      <c r="S563" s="7">
        <f>IF($A563="","",IF(AND(LEFT($G563,3)="ДОК",$N563&lt;&gt;""),IFERROR(INDEX(Документация!$E$2:$E$57,MATCH($N563,Документация!$F$2:$F$57,0)),0),N($F563))*(1-MEDIAN(0,N(ДисконтТендер),1)))</f>
        <v>21547.17</v>
      </c>
      <c r="T563" s="7">
        <f>IF($A563="","",IF(AND(LEFT($G563,3)="ДОК",$N563&lt;&gt;""),0,IF(AND(LEFT($G563,3)&lt;&gt;"ДОК",$N563&lt;&gt;""),IFERROR(INDEX(МАТЕРИАЛЫ!$H$2:$H$9000,MATCH($N563,МАТЕРИАЛЫ!$L$2:$L$9000,0))*IF(INDEX(МАТЕРИАЛЫ!$I$2:$I$9000,MATCH($N563,МАТЕРИАЛЫ!$L$2:$L$9000,0))="USD",КурсUSD,IF(INDEX(МАТЕРИАЛЫ!$I$2:$I$9000,MATCH($N563,МАТЕРИАЛЫ!$L$2:$L$9000,0))="EUR",КурсEUR,IF(INDEX(МАТЕРИАЛЫ!$I$2:$I$9000,MATCH($N563,МАТЕРИАЛЫ!$L$2:$L$9000,0))="CNY",КурсCNY,1)))*(1+N($H563)/100),0),N($O563))*(1-MEDIAN(0,N(ДисконтТендер),1))))</f>
        <v>0</v>
      </c>
      <c r="U563" t="str">
        <f>IF($L563="да",MAX($U$1:$U562)+1,"")</f>
        <v/>
      </c>
      <c r="V563" t="str">
        <f t="shared" si="59"/>
        <v>Р8</v>
      </c>
      <c r="W563" t="str">
        <f t="shared" si="60"/>
        <v/>
      </c>
      <c r="X563" t="str">
        <f t="shared" si="61"/>
        <v/>
      </c>
      <c r="Y563" s="4" t="str">
        <f>IF($A563="","",IF(AND(LEFT($G563,3)="ДОК",$N563&lt;&gt;""),IFERROR(INDEX(Документация!$G$2:$G$57,MATCH($N563,Документация!$F$2:$F$57,0)),$D563),$D563&amp;IF(AND(LEFT($G563,3)&lt;&gt;"ДОК",$N563&lt;&gt;"")," — "&amp;IFERROR(INDEX(МАТЕРИАЛЫ!$C$2:$C$9000,MATCH($N563,МАТЕРИАЛЫ!$L$2:$L$9000,0)),""),"")))</f>
        <v>Канальный кондиционер MDV 60 MDTJ2-60HWN1 / MDOU3-60HN1-L+пульт (либо аналог согласно ТЗ. Замену согласовать с заказчиком)</v>
      </c>
      <c r="Z563" t="str">
        <f t="shared" si="62"/>
        <v>Р8 · Кондиционирование</v>
      </c>
    </row>
    <row r="564" spans="1:26" ht="43.2" x14ac:dyDescent="0.3">
      <c r="A564" t="s">
        <v>1217</v>
      </c>
      <c r="B564" t="s">
        <v>1204</v>
      </c>
      <c r="C564" t="s">
        <v>161</v>
      </c>
      <c r="D564" s="4" t="s">
        <v>1218</v>
      </c>
      <c r="E564" t="s">
        <v>114</v>
      </c>
      <c r="F564" s="5">
        <v>18668.68</v>
      </c>
      <c r="G564" t="s">
        <v>1206</v>
      </c>
      <c r="H564">
        <v>5</v>
      </c>
      <c r="I564" t="s">
        <v>53</v>
      </c>
      <c r="L564" s="6"/>
      <c r="M564" s="6"/>
      <c r="N564" s="6"/>
      <c r="O564" s="5"/>
      <c r="P564" s="7" t="str">
        <f t="shared" si="56"/>
        <v/>
      </c>
      <c r="Q564" s="7" t="str">
        <f t="shared" si="57"/>
        <v/>
      </c>
      <c r="R564" s="7" t="str">
        <f t="shared" si="58"/>
        <v/>
      </c>
      <c r="S564" s="7">
        <f>IF($A564="","",IF(AND(LEFT($G564,3)="ДОК",$N564&lt;&gt;""),IFERROR(INDEX(Документация!$E$2:$E$57,MATCH($N564,Документация!$F$2:$F$57,0)),0),N($F564))*(1-MEDIAN(0,N(ДисконтТендер),1)))</f>
        <v>18668.68</v>
      </c>
      <c r="T564" s="7">
        <f>IF($A564="","",IF(AND(LEFT($G564,3)="ДОК",$N564&lt;&gt;""),0,IF(AND(LEFT($G564,3)&lt;&gt;"ДОК",$N564&lt;&gt;""),IFERROR(INDEX(МАТЕРИАЛЫ!$H$2:$H$9000,MATCH($N564,МАТЕРИАЛЫ!$L$2:$L$9000,0))*IF(INDEX(МАТЕРИАЛЫ!$I$2:$I$9000,MATCH($N564,МАТЕРИАЛЫ!$L$2:$L$9000,0))="USD",КурсUSD,IF(INDEX(МАТЕРИАЛЫ!$I$2:$I$9000,MATCH($N564,МАТЕРИАЛЫ!$L$2:$L$9000,0))="EUR",КурсEUR,IF(INDEX(МАТЕРИАЛЫ!$I$2:$I$9000,MATCH($N564,МАТЕРИАЛЫ!$L$2:$L$9000,0))="CNY",КурсCNY,1)))*(1+N($H564)/100),0),N($O564))*(1-MEDIAN(0,N(ДисконтТендер),1))))</f>
        <v>0</v>
      </c>
      <c r="U564" t="str">
        <f>IF($L564="да",MAX($U$1:$U563)+1,"")</f>
        <v/>
      </c>
      <c r="V564" t="str">
        <f t="shared" si="59"/>
        <v>Р8</v>
      </c>
      <c r="W564" t="str">
        <f t="shared" si="60"/>
        <v/>
      </c>
      <c r="X564" t="str">
        <f t="shared" si="61"/>
        <v/>
      </c>
      <c r="Y564" s="4" t="str">
        <f>IF($A564="","",IF(AND(LEFT($G564,3)="ДОК",$N564&lt;&gt;""),IFERROR(INDEX(Документация!$G$2:$G$57,MATCH($N564,Документация!$F$2:$F$57,0)),$D564),$D564&amp;IF(AND(LEFT($G564,3)&lt;&gt;"ДОК",$N564&lt;&gt;"")," — "&amp;IFERROR(INDEX(МАТЕРИАЛЫ!$C$2:$C$9000,MATCH($N564,МАТЕРИАЛЫ!$L$2:$L$9000,0)),""),"")))</f>
        <v>Кассетный кондиционер MDV 12 MDCA6-12HRN1 / T-MBQ4-03B / MDOU3-12HN1-L+пульт (либо аналог согласно ТЗ. Замену согласовать с заказчиком)</v>
      </c>
      <c r="Z564" t="str">
        <f t="shared" si="62"/>
        <v>Р8 · Кондиционирование</v>
      </c>
    </row>
    <row r="565" spans="1:26" x14ac:dyDescent="0.3">
      <c r="A565" t="s">
        <v>1219</v>
      </c>
      <c r="B565" t="s">
        <v>1204</v>
      </c>
      <c r="C565" t="s">
        <v>161</v>
      </c>
      <c r="D565" s="4" t="s">
        <v>1220</v>
      </c>
      <c r="E565" t="s">
        <v>114</v>
      </c>
      <c r="F565" s="5">
        <v>11164.47</v>
      </c>
      <c r="G565" t="s">
        <v>1221</v>
      </c>
      <c r="H565">
        <v>5</v>
      </c>
      <c r="I565" t="s">
        <v>53</v>
      </c>
      <c r="L565" s="6"/>
      <c r="M565" s="6"/>
      <c r="N565" s="6"/>
      <c r="O565" s="5"/>
      <c r="P565" s="7" t="str">
        <f t="shared" si="56"/>
        <v/>
      </c>
      <c r="Q565" s="7" t="str">
        <f t="shared" si="57"/>
        <v/>
      </c>
      <c r="R565" s="7" t="str">
        <f t="shared" si="58"/>
        <v/>
      </c>
      <c r="S565" s="7">
        <f>IF($A565="","",IF(AND(LEFT($G565,3)="ДОК",$N565&lt;&gt;""),IFERROR(INDEX(Документация!$E$2:$E$57,MATCH($N565,Документация!$F$2:$F$57,0)),0),N($F565))*(1-MEDIAN(0,N(ДисконтТендер),1)))</f>
        <v>11164.47</v>
      </c>
      <c r="T565" s="7">
        <f>IF($A565="","",IF(AND(LEFT($G565,3)="ДОК",$N565&lt;&gt;""),0,IF(AND(LEFT($G565,3)&lt;&gt;"ДОК",$N565&lt;&gt;""),IFERROR(INDEX(МАТЕРИАЛЫ!$H$2:$H$9000,MATCH($N565,МАТЕРИАЛЫ!$L$2:$L$9000,0))*IF(INDEX(МАТЕРИАЛЫ!$I$2:$I$9000,MATCH($N565,МАТЕРИАЛЫ!$L$2:$L$9000,0))="USD",КурсUSD,IF(INDEX(МАТЕРИАЛЫ!$I$2:$I$9000,MATCH($N565,МАТЕРИАЛЫ!$L$2:$L$9000,0))="EUR",КурсEUR,IF(INDEX(МАТЕРИАЛЫ!$I$2:$I$9000,MATCH($N565,МАТЕРИАЛЫ!$L$2:$L$9000,0))="CNY",КурсCNY,1)))*(1+N($H565)/100),0),N($O565))*(1-MEDIAN(0,N(ДисконтТендер),1))))</f>
        <v>0</v>
      </c>
      <c r="U565" t="str">
        <f>IF($L565="да",MAX($U$1:$U564)+1,"")</f>
        <v/>
      </c>
      <c r="V565" t="str">
        <f t="shared" si="59"/>
        <v>Р8</v>
      </c>
      <c r="W565" t="str">
        <f t="shared" si="60"/>
        <v/>
      </c>
      <c r="X565" t="str">
        <f t="shared" si="61"/>
        <v/>
      </c>
      <c r="Y565" s="4" t="str">
        <f>IF($A565="","",IF(AND(LEFT($G565,3)="ДОК",$N565&lt;&gt;""),IFERROR(INDEX(Документация!$G$2:$G$57,MATCH($N565,Документация!$F$2:$F$57,0)),$D565),$D565&amp;IF(AND(LEFT($G565,3)&lt;&gt;"ДОК",$N565&lt;&gt;"")," — "&amp;IFERROR(INDEX(МАТЕРИАЛЫ!$C$2:$C$9000,MATCH($N565,МАТЕРИАЛЫ!$L$2:$L$9000,0)),""),"")))</f>
        <v>Монтаж внутреннего блока VRF / мультисплит</v>
      </c>
      <c r="Z565" t="str">
        <f t="shared" si="62"/>
        <v>Р8 · Кондиционирование</v>
      </c>
    </row>
    <row r="566" spans="1:26" x14ac:dyDescent="0.3">
      <c r="A566" t="s">
        <v>1222</v>
      </c>
      <c r="B566" t="s">
        <v>1204</v>
      </c>
      <c r="C566" t="s">
        <v>161</v>
      </c>
      <c r="D566" s="4" t="s">
        <v>1220</v>
      </c>
      <c r="E566" t="s">
        <v>114</v>
      </c>
      <c r="F566" s="5">
        <v>13211.43</v>
      </c>
      <c r="G566" t="s">
        <v>1221</v>
      </c>
      <c r="H566">
        <v>5</v>
      </c>
      <c r="I566" t="s">
        <v>53</v>
      </c>
      <c r="L566" s="6"/>
      <c r="M566" s="6"/>
      <c r="N566" s="6"/>
      <c r="O566" s="5"/>
      <c r="P566" s="7" t="str">
        <f t="shared" si="56"/>
        <v/>
      </c>
      <c r="Q566" s="7" t="str">
        <f t="shared" si="57"/>
        <v/>
      </c>
      <c r="R566" s="7" t="str">
        <f t="shared" si="58"/>
        <v/>
      </c>
      <c r="S566" s="7">
        <f>IF($A566="","",IF(AND(LEFT($G566,3)="ДОК",$N566&lt;&gt;""),IFERROR(INDEX(Документация!$E$2:$E$57,MATCH($N566,Документация!$F$2:$F$57,0)),0),N($F566))*(1-MEDIAN(0,N(ДисконтТендер),1)))</f>
        <v>13211.43</v>
      </c>
      <c r="T566" s="7">
        <f>IF($A566="","",IF(AND(LEFT($G566,3)="ДОК",$N566&lt;&gt;""),0,IF(AND(LEFT($G566,3)&lt;&gt;"ДОК",$N566&lt;&gt;""),IFERROR(INDEX(МАТЕРИАЛЫ!$H$2:$H$9000,MATCH($N566,МАТЕРИАЛЫ!$L$2:$L$9000,0))*IF(INDEX(МАТЕРИАЛЫ!$I$2:$I$9000,MATCH($N566,МАТЕРИАЛЫ!$L$2:$L$9000,0))="USD",КурсUSD,IF(INDEX(МАТЕРИАЛЫ!$I$2:$I$9000,MATCH($N566,МАТЕРИАЛЫ!$L$2:$L$9000,0))="EUR",КурсEUR,IF(INDEX(МАТЕРИАЛЫ!$I$2:$I$9000,MATCH($N566,МАТЕРИАЛЫ!$L$2:$L$9000,0))="CNY",КурсCNY,1)))*(1+N($H566)/100),0),N($O566))*(1-MEDIAN(0,N(ДисконтТендер),1))))</f>
        <v>0</v>
      </c>
      <c r="U566" t="str">
        <f>IF($L566="да",MAX($U$1:$U565)+1,"")</f>
        <v/>
      </c>
      <c r="V566" t="str">
        <f t="shared" si="59"/>
        <v>Р8</v>
      </c>
      <c r="W566" t="str">
        <f t="shared" si="60"/>
        <v/>
      </c>
      <c r="X566" t="str">
        <f t="shared" si="61"/>
        <v/>
      </c>
      <c r="Y566" s="4" t="str">
        <f>IF($A566="","",IF(AND(LEFT($G566,3)="ДОК",$N566&lt;&gt;""),IFERROR(INDEX(Документация!$G$2:$G$57,MATCH($N566,Документация!$F$2:$F$57,0)),$D566),$D566&amp;IF(AND(LEFT($G566,3)&lt;&gt;"ДОК",$N566&lt;&gt;"")," — "&amp;IFERROR(INDEX(МАТЕРИАЛЫ!$C$2:$C$9000,MATCH($N566,МАТЕРИАЛЫ!$L$2:$L$9000,0)),""),"")))</f>
        <v>Монтаж внутреннего блока VRF / мультисплит</v>
      </c>
      <c r="Z566" t="str">
        <f t="shared" si="62"/>
        <v>Р8 · Кондиционирование</v>
      </c>
    </row>
    <row r="567" spans="1:26" x14ac:dyDescent="0.3">
      <c r="A567" t="s">
        <v>1223</v>
      </c>
      <c r="B567" t="s">
        <v>1204</v>
      </c>
      <c r="C567" t="s">
        <v>161</v>
      </c>
      <c r="D567" s="4" t="s">
        <v>1220</v>
      </c>
      <c r="E567" t="s">
        <v>114</v>
      </c>
      <c r="F567" s="5">
        <v>106530.43</v>
      </c>
      <c r="G567" t="s">
        <v>1221</v>
      </c>
      <c r="H567">
        <v>5</v>
      </c>
      <c r="I567" t="s">
        <v>53</v>
      </c>
      <c r="L567" s="6"/>
      <c r="M567" s="6"/>
      <c r="N567" s="6"/>
      <c r="O567" s="5"/>
      <c r="P567" s="7" t="str">
        <f t="shared" si="56"/>
        <v/>
      </c>
      <c r="Q567" s="7" t="str">
        <f t="shared" si="57"/>
        <v/>
      </c>
      <c r="R567" s="7" t="str">
        <f t="shared" si="58"/>
        <v/>
      </c>
      <c r="S567" s="7">
        <f>IF($A567="","",IF(AND(LEFT($G567,3)="ДОК",$N567&lt;&gt;""),IFERROR(INDEX(Документация!$E$2:$E$57,MATCH($N567,Документация!$F$2:$F$57,0)),0),N($F567))*(1-MEDIAN(0,N(ДисконтТендер),1)))</f>
        <v>106530.43</v>
      </c>
      <c r="T567" s="7">
        <f>IF($A567="","",IF(AND(LEFT($G567,3)="ДОК",$N567&lt;&gt;""),0,IF(AND(LEFT($G567,3)&lt;&gt;"ДОК",$N567&lt;&gt;""),IFERROR(INDEX(МАТЕРИАЛЫ!$H$2:$H$9000,MATCH($N567,МАТЕРИАЛЫ!$L$2:$L$9000,0))*IF(INDEX(МАТЕРИАЛЫ!$I$2:$I$9000,MATCH($N567,МАТЕРИАЛЫ!$L$2:$L$9000,0))="USD",КурсUSD,IF(INDEX(МАТЕРИАЛЫ!$I$2:$I$9000,MATCH($N567,МАТЕРИАЛЫ!$L$2:$L$9000,0))="EUR",КурсEUR,IF(INDEX(МАТЕРИАЛЫ!$I$2:$I$9000,MATCH($N567,МАТЕРИАЛЫ!$L$2:$L$9000,0))="CNY",КурсCNY,1)))*(1+N($H567)/100),0),N($O567))*(1-MEDIAN(0,N(ДисконтТендер),1))))</f>
        <v>0</v>
      </c>
      <c r="U567" t="str">
        <f>IF($L567="да",MAX($U$1:$U566)+1,"")</f>
        <v/>
      </c>
      <c r="V567" t="str">
        <f t="shared" si="59"/>
        <v>Р8</v>
      </c>
      <c r="W567" t="str">
        <f t="shared" si="60"/>
        <v/>
      </c>
      <c r="X567" t="str">
        <f t="shared" si="61"/>
        <v/>
      </c>
      <c r="Y567" s="4" t="str">
        <f>IF($A567="","",IF(AND(LEFT($G567,3)="ДОК",$N567&lt;&gt;""),IFERROR(INDEX(Документация!$G$2:$G$57,MATCH($N567,Документация!$F$2:$F$57,0)),$D567),$D567&amp;IF(AND(LEFT($G567,3)&lt;&gt;"ДОК",$N567&lt;&gt;"")," — "&amp;IFERROR(INDEX(МАТЕРИАЛЫ!$C$2:$C$9000,MATCH($N567,МАТЕРИАЛЫ!$L$2:$L$9000,0)),""),"")))</f>
        <v>Монтаж внутреннего блока VRF / мультисплит</v>
      </c>
      <c r="Z567" t="str">
        <f t="shared" si="62"/>
        <v>Р8 · Кондиционирование</v>
      </c>
    </row>
    <row r="568" spans="1:26" x14ac:dyDescent="0.3">
      <c r="A568" t="s">
        <v>1224</v>
      </c>
      <c r="B568" t="s">
        <v>1204</v>
      </c>
      <c r="C568" t="s">
        <v>161</v>
      </c>
      <c r="D568" s="4" t="s">
        <v>1225</v>
      </c>
      <c r="E568" t="s">
        <v>114</v>
      </c>
      <c r="F568" s="5">
        <v>1039.6099999999999</v>
      </c>
      <c r="H568">
        <v>0</v>
      </c>
      <c r="I568" t="s">
        <v>53</v>
      </c>
      <c r="L568" s="6"/>
      <c r="M568" s="6"/>
      <c r="N568" s="6"/>
      <c r="O568" s="5"/>
      <c r="P568" s="7" t="str">
        <f t="shared" si="56"/>
        <v/>
      </c>
      <c r="Q568" s="7" t="str">
        <f t="shared" si="57"/>
        <v/>
      </c>
      <c r="R568" s="7" t="str">
        <f t="shared" si="58"/>
        <v/>
      </c>
      <c r="S568" s="7">
        <f>IF($A568="","",IF(AND(LEFT($G568,3)="ДОК",$N568&lt;&gt;""),IFERROR(INDEX(Документация!$E$2:$E$57,MATCH($N568,Документация!$F$2:$F$57,0)),0),N($F568))*(1-MEDIAN(0,N(ДисконтТендер),1)))</f>
        <v>1039.6099999999999</v>
      </c>
      <c r="T568" s="7">
        <f>IF($A568="","",IF(AND(LEFT($G568,3)="ДОК",$N568&lt;&gt;""),0,IF(AND(LEFT($G568,3)&lt;&gt;"ДОК",$N568&lt;&gt;""),IFERROR(INDEX(МАТЕРИАЛЫ!$H$2:$H$9000,MATCH($N568,МАТЕРИАЛЫ!$L$2:$L$9000,0))*IF(INDEX(МАТЕРИАЛЫ!$I$2:$I$9000,MATCH($N568,МАТЕРИАЛЫ!$L$2:$L$9000,0))="USD",КурсUSD,IF(INDEX(МАТЕРИАЛЫ!$I$2:$I$9000,MATCH($N568,МАТЕРИАЛЫ!$L$2:$L$9000,0))="EUR",КурсEUR,IF(INDEX(МАТЕРИАЛЫ!$I$2:$I$9000,MATCH($N568,МАТЕРИАЛЫ!$L$2:$L$9000,0))="CNY",КурсCNY,1)))*(1+N($H568)/100),0),N($O568))*(1-MEDIAN(0,N(ДисконтТендер),1))))</f>
        <v>0</v>
      </c>
      <c r="U568" t="str">
        <f>IF($L568="да",MAX($U$1:$U567)+1,"")</f>
        <v/>
      </c>
      <c r="V568" t="str">
        <f t="shared" si="59"/>
        <v>Р8</v>
      </c>
      <c r="W568" t="str">
        <f t="shared" si="60"/>
        <v/>
      </c>
      <c r="X568" t="str">
        <f t="shared" si="61"/>
        <v/>
      </c>
      <c r="Y568" s="4" t="str">
        <f>IF($A568="","",IF(AND(LEFT($G568,3)="ДОК",$N568&lt;&gt;""),IFERROR(INDEX(Документация!$G$2:$G$57,MATCH($N568,Документация!$F$2:$F$57,0)),$D568),$D568&amp;IF(AND(LEFT($G568,3)&lt;&gt;"ДОК",$N568&lt;&gt;"")," — "&amp;IFERROR(INDEX(МАТЕРИАЛЫ!$C$2:$C$9000,MATCH($N568,МАТЕРИАЛЫ!$L$2:$L$9000,0)),""),"")))</f>
        <v>Разветвитель FQG-B335A</v>
      </c>
      <c r="Z568" t="str">
        <f t="shared" si="62"/>
        <v>Р8 · Кондиционирование</v>
      </c>
    </row>
    <row r="569" spans="1:26" x14ac:dyDescent="0.3">
      <c r="A569" t="s">
        <v>1226</v>
      </c>
      <c r="B569" t="s">
        <v>1204</v>
      </c>
      <c r="C569" t="s">
        <v>161</v>
      </c>
      <c r="D569" s="4" t="s">
        <v>1227</v>
      </c>
      <c r="E569" t="s">
        <v>114</v>
      </c>
      <c r="F569" s="5">
        <v>1040.48</v>
      </c>
      <c r="H569">
        <v>0</v>
      </c>
      <c r="I569" t="s">
        <v>53</v>
      </c>
      <c r="L569" s="6"/>
      <c r="M569" s="6"/>
      <c r="N569" s="6"/>
      <c r="O569" s="5"/>
      <c r="P569" s="7" t="str">
        <f t="shared" si="56"/>
        <v/>
      </c>
      <c r="Q569" s="7" t="str">
        <f t="shared" si="57"/>
        <v/>
      </c>
      <c r="R569" s="7" t="str">
        <f t="shared" si="58"/>
        <v/>
      </c>
      <c r="S569" s="7">
        <f>IF($A569="","",IF(AND(LEFT($G569,3)="ДОК",$N569&lt;&gt;""),IFERROR(INDEX(Документация!$E$2:$E$57,MATCH($N569,Документация!$F$2:$F$57,0)),0),N($F569))*(1-MEDIAN(0,N(ДисконтТендер),1)))</f>
        <v>1040.48</v>
      </c>
      <c r="T569" s="7">
        <f>IF($A569="","",IF(AND(LEFT($G569,3)="ДОК",$N569&lt;&gt;""),0,IF(AND(LEFT($G569,3)&lt;&gt;"ДОК",$N569&lt;&gt;""),IFERROR(INDEX(МАТЕРИАЛЫ!$H$2:$H$9000,MATCH($N569,МАТЕРИАЛЫ!$L$2:$L$9000,0))*IF(INDEX(МАТЕРИАЛЫ!$I$2:$I$9000,MATCH($N569,МАТЕРИАЛЫ!$L$2:$L$9000,0))="USD",КурсUSD,IF(INDEX(МАТЕРИАЛЫ!$I$2:$I$9000,MATCH($N569,МАТЕРИАЛЫ!$L$2:$L$9000,0))="EUR",КурсEUR,IF(INDEX(МАТЕРИАЛЫ!$I$2:$I$9000,MATCH($N569,МАТЕРИАЛЫ!$L$2:$L$9000,0))="CNY",КурсCNY,1)))*(1+N($H569)/100),0),N($O569))*(1-MEDIAN(0,N(ДисконтТендер),1))))</f>
        <v>0</v>
      </c>
      <c r="U569" t="str">
        <f>IF($L569="да",MAX($U$1:$U568)+1,"")</f>
        <v/>
      </c>
      <c r="V569" t="str">
        <f t="shared" si="59"/>
        <v>Р8</v>
      </c>
      <c r="W569" t="str">
        <f t="shared" si="60"/>
        <v/>
      </c>
      <c r="X569" t="str">
        <f t="shared" si="61"/>
        <v/>
      </c>
      <c r="Y569" s="4" t="str">
        <f>IF($A569="","",IF(AND(LEFT($G569,3)="ДОК",$N569&lt;&gt;""),IFERROR(INDEX(Документация!$G$2:$G$57,MATCH($N569,Документация!$F$2:$F$57,0)),$D569),$D569&amp;IF(AND(LEFT($G569,3)&lt;&gt;"ДОК",$N569&lt;&gt;"")," — "&amp;IFERROR(INDEX(МАТЕРИАЛЫ!$C$2:$C$9000,MATCH($N569,МАТЕРИАЛЫ!$L$2:$L$9000,0)),""),"")))</f>
        <v>Разветвитель FQG-B506A</v>
      </c>
      <c r="Z569" t="str">
        <f t="shared" si="62"/>
        <v>Р8 · Кондиционирование</v>
      </c>
    </row>
    <row r="570" spans="1:26" ht="28.8" x14ac:dyDescent="0.3">
      <c r="A570" t="s">
        <v>1228</v>
      </c>
      <c r="B570" t="s">
        <v>1204</v>
      </c>
      <c r="C570" t="s">
        <v>161</v>
      </c>
      <c r="D570" s="4" t="s">
        <v>1229</v>
      </c>
      <c r="E570" t="s">
        <v>114</v>
      </c>
      <c r="F570" s="5">
        <v>2000</v>
      </c>
      <c r="H570">
        <v>0</v>
      </c>
      <c r="I570" t="s">
        <v>53</v>
      </c>
      <c r="L570" s="6"/>
      <c r="M570" s="6"/>
      <c r="N570" s="6"/>
      <c r="O570" s="5"/>
      <c r="P570" s="7" t="str">
        <f t="shared" si="56"/>
        <v/>
      </c>
      <c r="Q570" s="7" t="str">
        <f t="shared" si="57"/>
        <v/>
      </c>
      <c r="R570" s="7" t="str">
        <f t="shared" si="58"/>
        <v/>
      </c>
      <c r="S570" s="7">
        <f>IF($A570="","",IF(AND(LEFT($G570,3)="ДОК",$N570&lt;&gt;""),IFERROR(INDEX(Документация!$E$2:$E$57,MATCH($N570,Документация!$F$2:$F$57,0)),0),N($F570))*(1-MEDIAN(0,N(ДисконтТендер),1)))</f>
        <v>2000</v>
      </c>
      <c r="T570" s="7">
        <f>IF($A570="","",IF(AND(LEFT($G570,3)="ДОК",$N570&lt;&gt;""),0,IF(AND(LEFT($G570,3)&lt;&gt;"ДОК",$N570&lt;&gt;""),IFERROR(INDEX(МАТЕРИАЛЫ!$H$2:$H$9000,MATCH($N570,МАТЕРИАЛЫ!$L$2:$L$9000,0))*IF(INDEX(МАТЕРИАЛЫ!$I$2:$I$9000,MATCH($N570,МАТЕРИАЛЫ!$L$2:$L$9000,0))="USD",КурсUSD,IF(INDEX(МАТЕРИАЛЫ!$I$2:$I$9000,MATCH($N570,МАТЕРИАЛЫ!$L$2:$L$9000,0))="EUR",КурсEUR,IF(INDEX(МАТЕРИАЛЫ!$I$2:$I$9000,MATCH($N570,МАТЕРИАЛЫ!$L$2:$L$9000,0))="CNY",КурсCNY,1)))*(1+N($H570)/100),0),N($O570))*(1-MEDIAN(0,N(ДисконтТендер),1))))</f>
        <v>0</v>
      </c>
      <c r="U570" t="str">
        <f>IF($L570="да",MAX($U$1:$U569)+1,"")</f>
        <v/>
      </c>
      <c r="V570" t="str">
        <f t="shared" si="59"/>
        <v>Р8</v>
      </c>
      <c r="W570" t="str">
        <f t="shared" si="60"/>
        <v/>
      </c>
      <c r="X570" t="str">
        <f t="shared" si="61"/>
        <v/>
      </c>
      <c r="Y570" s="4" t="str">
        <f>IF($A570="","",IF(AND(LEFT($G570,3)="ДОК",$N570&lt;&gt;""),IFERROR(INDEX(Документация!$G$2:$G$57,MATCH($N570,Документация!$F$2:$F$57,0)),$D570),$D570&amp;IF(AND(LEFT($G570,3)&lt;&gt;"ДОК",$N570&lt;&gt;"")," — "&amp;IFERROR(INDEX(МАТЕРИАЛЫ!$C$2:$C$9000,MATCH($N570,МАТЕРИАЛЫ!$L$2:$L$9000,0)),""),"")))</f>
        <v>Экран для потолочного (кассетного) кондиционера из ударопрочного стекла</v>
      </c>
      <c r="Z570" t="str">
        <f t="shared" si="62"/>
        <v>Р8 · Кондиционирование</v>
      </c>
    </row>
    <row r="571" spans="1:26" ht="28.8" x14ac:dyDescent="0.3">
      <c r="A571" t="s">
        <v>1230</v>
      </c>
      <c r="B571" t="s">
        <v>1204</v>
      </c>
      <c r="C571" t="s">
        <v>161</v>
      </c>
      <c r="D571" s="4" t="s">
        <v>1231</v>
      </c>
      <c r="E571" t="s">
        <v>114</v>
      </c>
      <c r="F571" s="5">
        <v>1500</v>
      </c>
      <c r="H571">
        <v>0</v>
      </c>
      <c r="I571" t="s">
        <v>53</v>
      </c>
      <c r="L571" s="6"/>
      <c r="M571" s="6"/>
      <c r="N571" s="6"/>
      <c r="O571" s="5"/>
      <c r="P571" s="7" t="str">
        <f t="shared" si="56"/>
        <v/>
      </c>
      <c r="Q571" s="7" t="str">
        <f t="shared" si="57"/>
        <v/>
      </c>
      <c r="R571" s="7" t="str">
        <f t="shared" si="58"/>
        <v/>
      </c>
      <c r="S571" s="7">
        <f>IF($A571="","",IF(AND(LEFT($G571,3)="ДОК",$N571&lt;&gt;""),IFERROR(INDEX(Документация!$E$2:$E$57,MATCH($N571,Документация!$F$2:$F$57,0)),0),N($F571))*(1-MEDIAN(0,N(ДисконтТендер),1)))</f>
        <v>1500</v>
      </c>
      <c r="T571" s="7">
        <f>IF($A571="","",IF(AND(LEFT($G571,3)="ДОК",$N571&lt;&gt;""),0,IF(AND(LEFT($G571,3)&lt;&gt;"ДОК",$N571&lt;&gt;""),IFERROR(INDEX(МАТЕРИАЛЫ!$H$2:$H$9000,MATCH($N571,МАТЕРИАЛЫ!$L$2:$L$9000,0))*IF(INDEX(МАТЕРИАЛЫ!$I$2:$I$9000,MATCH($N571,МАТЕРИАЛЫ!$L$2:$L$9000,0))="USD",КурсUSD,IF(INDEX(МАТЕРИАЛЫ!$I$2:$I$9000,MATCH($N571,МАТЕРИАЛЫ!$L$2:$L$9000,0))="EUR",КурсEUR,IF(INDEX(МАТЕРИАЛЫ!$I$2:$I$9000,MATCH($N571,МАТЕРИАЛЫ!$L$2:$L$9000,0))="CNY",КурсCNY,1)))*(1+N($H571)/100),0),N($O571))*(1-MEDIAN(0,N(ДисконтТендер),1))))</f>
        <v>0</v>
      </c>
      <c r="U571" t="str">
        <f>IF($L571="да",MAX($U$1:$U570)+1,"")</f>
        <v/>
      </c>
      <c r="V571" t="str">
        <f t="shared" si="59"/>
        <v>Р8</v>
      </c>
      <c r="W571" t="str">
        <f t="shared" si="60"/>
        <v/>
      </c>
      <c r="X571" t="str">
        <f t="shared" si="61"/>
        <v/>
      </c>
      <c r="Y571" s="4" t="str">
        <f>IF($A571="","",IF(AND(LEFT($G571,3)="ДОК",$N571&lt;&gt;""),IFERROR(INDEX(Документация!$G$2:$G$57,MATCH($N571,Документация!$F$2:$F$57,0)),$D571),$D571&amp;IF(AND(LEFT($G571,3)&lt;&gt;"ДОК",$N571&lt;&gt;"")," — "&amp;IFERROR(INDEX(МАТЕРИАЛЫ!$C$2:$C$9000,MATCH($N571,МАТЕРИАЛЫ!$L$2:$L$9000,0)),""),"")))</f>
        <v>Экран для настенного кондиционера из ударопрочного стекла</v>
      </c>
      <c r="Z571" t="str">
        <f t="shared" si="62"/>
        <v>Р8 · Кондиционирование</v>
      </c>
    </row>
    <row r="572" spans="1:26" ht="28.8" x14ac:dyDescent="0.3">
      <c r="A572" t="s">
        <v>1232</v>
      </c>
      <c r="B572" t="s">
        <v>1204</v>
      </c>
      <c r="C572" t="s">
        <v>161</v>
      </c>
      <c r="D572" s="4" t="s">
        <v>1233</v>
      </c>
      <c r="E572" t="s">
        <v>114</v>
      </c>
      <c r="F572" s="5">
        <v>750</v>
      </c>
      <c r="G572" t="s">
        <v>1221</v>
      </c>
      <c r="H572">
        <v>5</v>
      </c>
      <c r="I572" t="s">
        <v>53</v>
      </c>
      <c r="L572" s="6"/>
      <c r="M572" s="6"/>
      <c r="N572" s="6"/>
      <c r="O572" s="5"/>
      <c r="P572" s="7" t="str">
        <f t="shared" si="56"/>
        <v/>
      </c>
      <c r="Q572" s="7" t="str">
        <f t="shared" si="57"/>
        <v/>
      </c>
      <c r="R572" s="7" t="str">
        <f t="shared" si="58"/>
        <v/>
      </c>
      <c r="S572" s="7">
        <f>IF($A572="","",IF(AND(LEFT($G572,3)="ДОК",$N572&lt;&gt;""),IFERROR(INDEX(Документация!$E$2:$E$57,MATCH($N572,Документация!$F$2:$F$57,0)),0),N($F572))*(1-MEDIAN(0,N(ДисконтТендер),1)))</f>
        <v>750</v>
      </c>
      <c r="T572" s="7">
        <f>IF($A572="","",IF(AND(LEFT($G572,3)="ДОК",$N572&lt;&gt;""),0,IF(AND(LEFT($G572,3)&lt;&gt;"ДОК",$N572&lt;&gt;""),IFERROR(INDEX(МАТЕРИАЛЫ!$H$2:$H$9000,MATCH($N572,МАТЕРИАЛЫ!$L$2:$L$9000,0))*IF(INDEX(МАТЕРИАЛЫ!$I$2:$I$9000,MATCH($N572,МАТЕРИАЛЫ!$L$2:$L$9000,0))="USD",КурсUSD,IF(INDEX(МАТЕРИАЛЫ!$I$2:$I$9000,MATCH($N572,МАТЕРИАЛЫ!$L$2:$L$9000,0))="EUR",КурсEUR,IF(INDEX(МАТЕРИАЛЫ!$I$2:$I$9000,MATCH($N572,МАТЕРИАЛЫ!$L$2:$L$9000,0))="CNY",КурсCNY,1)))*(1+N($H572)/100),0),N($O572))*(1-MEDIAN(0,N(ДисконтТендер),1))))</f>
        <v>0</v>
      </c>
      <c r="U572" t="str">
        <f>IF($L572="да",MAX($U$1:$U571)+1,"")</f>
        <v/>
      </c>
      <c r="V572" t="str">
        <f t="shared" si="59"/>
        <v>Р8</v>
      </c>
      <c r="W572" t="str">
        <f t="shared" si="60"/>
        <v/>
      </c>
      <c r="X572" t="str">
        <f t="shared" si="61"/>
        <v/>
      </c>
      <c r="Y572" s="4" t="str">
        <f>IF($A572="","",IF(AND(LEFT($G572,3)="ДОК",$N572&lt;&gt;""),IFERROR(INDEX(Документация!$G$2:$G$57,MATCH($N572,Документация!$F$2:$F$57,0)),$D572),$D572&amp;IF(AND(LEFT($G572,3)&lt;&gt;"ДОК",$N572&lt;&gt;"")," — "&amp;IFERROR(INDEX(МАТЕРИАЛЫ!$C$2:$C$9000,MATCH($N572,МАТЕРИАЛЫ!$L$2:$L$9000,0)),""),"")))</f>
        <v>Вентиль шаровый под пайку для внутреннего блока</v>
      </c>
      <c r="Z572" t="str">
        <f t="shared" si="62"/>
        <v>Р8 · Кондиционирование</v>
      </c>
    </row>
    <row r="573" spans="1:26" ht="28.8" x14ac:dyDescent="0.3">
      <c r="A573" t="s">
        <v>1234</v>
      </c>
      <c r="B573" t="s">
        <v>1204</v>
      </c>
      <c r="C573" t="s">
        <v>161</v>
      </c>
      <c r="D573" s="4" t="s">
        <v>1235</v>
      </c>
      <c r="E573" t="s">
        <v>1236</v>
      </c>
      <c r="F573" s="5">
        <v>700</v>
      </c>
      <c r="H573">
        <v>0</v>
      </c>
      <c r="I573" t="s">
        <v>53</v>
      </c>
      <c r="L573" s="6"/>
      <c r="M573" s="6"/>
      <c r="N573" s="6"/>
      <c r="O573" s="5"/>
      <c r="P573" s="7" t="str">
        <f t="shared" si="56"/>
        <v/>
      </c>
      <c r="Q573" s="7" t="str">
        <f t="shared" si="57"/>
        <v/>
      </c>
      <c r="R573" s="7" t="str">
        <f t="shared" si="58"/>
        <v/>
      </c>
      <c r="S573" s="7">
        <f>IF($A573="","",IF(AND(LEFT($G573,3)="ДОК",$N573&lt;&gt;""),IFERROR(INDEX(Документация!$E$2:$E$57,MATCH($N573,Документация!$F$2:$F$57,0)),0),N($F573))*(1-MEDIAN(0,N(ДисконтТендер),1)))</f>
        <v>700</v>
      </c>
      <c r="T573" s="7">
        <f>IF($A573="","",IF(AND(LEFT($G573,3)="ДОК",$N573&lt;&gt;""),0,IF(AND(LEFT($G573,3)&lt;&gt;"ДОК",$N573&lt;&gt;""),IFERROR(INDEX(МАТЕРИАЛЫ!$H$2:$H$9000,MATCH($N573,МАТЕРИАЛЫ!$L$2:$L$9000,0))*IF(INDEX(МАТЕРИАЛЫ!$I$2:$I$9000,MATCH($N573,МАТЕРИАЛЫ!$L$2:$L$9000,0))="USD",КурсUSD,IF(INDEX(МАТЕРИАЛЫ!$I$2:$I$9000,MATCH($N573,МАТЕРИАЛЫ!$L$2:$L$9000,0))="EUR",КурсEUR,IF(INDEX(МАТЕРИАЛЫ!$I$2:$I$9000,MATCH($N573,МАТЕРИАЛЫ!$L$2:$L$9000,0))="CNY",КурсCNY,1)))*(1+N($H573)/100),0),N($O573))*(1-MEDIAN(0,N(ДисконтТендер),1))))</f>
        <v>0</v>
      </c>
      <c r="U573" t="str">
        <f>IF($L573="да",MAX($U$1:$U572)+1,"")</f>
        <v/>
      </c>
      <c r="V573" t="str">
        <f t="shared" si="59"/>
        <v>Р8</v>
      </c>
      <c r="W573" t="str">
        <f t="shared" si="60"/>
        <v/>
      </c>
      <c r="X573" t="str">
        <f t="shared" si="61"/>
        <v/>
      </c>
      <c r="Y573" s="4" t="str">
        <f>IF($A573="","",IF(AND(LEFT($G573,3)="ДОК",$N573&lt;&gt;""),IFERROR(INDEX(Документация!$G$2:$G$57,MATCH($N573,Документация!$F$2:$F$57,0)),$D573),$D573&amp;IF(AND(LEFT($G573,3)&lt;&gt;"ДОК",$N573&lt;&gt;"")," — "&amp;IFERROR(INDEX(МАТЕРИАЛЫ!$C$2:$C$9000,MATCH($N573,МАТЕРИАЛЫ!$L$2:$L$9000,0)),""),"")))</f>
        <v>Регенерация, заправка хладагентом, Фреон R407C, R410A R 32</v>
      </c>
      <c r="Z573" t="str">
        <f t="shared" si="62"/>
        <v>Р8 · Кондиционирование</v>
      </c>
    </row>
    <row r="574" spans="1:26" x14ac:dyDescent="0.3">
      <c r="A574" t="s">
        <v>1237</v>
      </c>
      <c r="B574" t="s">
        <v>1204</v>
      </c>
      <c r="C574" t="s">
        <v>161</v>
      </c>
      <c r="D574" s="4" t="s">
        <v>1238</v>
      </c>
      <c r="E574" t="s">
        <v>114</v>
      </c>
      <c r="F574" s="5">
        <v>4293.7</v>
      </c>
      <c r="H574">
        <v>0</v>
      </c>
      <c r="I574" t="s">
        <v>53</v>
      </c>
      <c r="L574" s="6"/>
      <c r="M574" s="6"/>
      <c r="N574" s="6"/>
      <c r="O574" s="5"/>
      <c r="P574" s="7" t="str">
        <f t="shared" si="56"/>
        <v/>
      </c>
      <c r="Q574" s="7" t="str">
        <f t="shared" si="57"/>
        <v/>
      </c>
      <c r="R574" s="7" t="str">
        <f t="shared" si="58"/>
        <v/>
      </c>
      <c r="S574" s="7">
        <f>IF($A574="","",IF(AND(LEFT($G574,3)="ДОК",$N574&lt;&gt;""),IFERROR(INDEX(Документация!$E$2:$E$57,MATCH($N574,Документация!$F$2:$F$57,0)),0),N($F574))*(1-MEDIAN(0,N(ДисконтТендер),1)))</f>
        <v>4293.7</v>
      </c>
      <c r="T574" s="7">
        <f>IF($A574="","",IF(AND(LEFT($G574,3)="ДОК",$N574&lt;&gt;""),0,IF(AND(LEFT($G574,3)&lt;&gt;"ДОК",$N574&lt;&gt;""),IFERROR(INDEX(МАТЕРИАЛЫ!$H$2:$H$9000,MATCH($N574,МАТЕРИАЛЫ!$L$2:$L$9000,0))*IF(INDEX(МАТЕРИАЛЫ!$I$2:$I$9000,MATCH($N574,МАТЕРИАЛЫ!$L$2:$L$9000,0))="USD",КурсUSD,IF(INDEX(МАТЕРИАЛЫ!$I$2:$I$9000,MATCH($N574,МАТЕРИАЛЫ!$L$2:$L$9000,0))="EUR",КурсEUR,IF(INDEX(МАТЕРИАЛЫ!$I$2:$I$9000,MATCH($N574,МАТЕРИАЛЫ!$L$2:$L$9000,0))="CNY",КурсCNY,1)))*(1+N($H574)/100),0),N($O574))*(1-MEDIAN(0,N(ДисконтТендер),1))))</f>
        <v>0</v>
      </c>
      <c r="U574" t="str">
        <f>IF($L574="да",MAX($U$1:$U573)+1,"")</f>
        <v/>
      </c>
      <c r="V574" t="str">
        <f t="shared" si="59"/>
        <v>Р8</v>
      </c>
      <c r="W574" t="str">
        <f t="shared" si="60"/>
        <v/>
      </c>
      <c r="X574" t="str">
        <f t="shared" si="61"/>
        <v/>
      </c>
      <c r="Y574" s="4" t="str">
        <f>IF($A574="","",IF(AND(LEFT($G574,3)="ДОК",$N574&lt;&gt;""),IFERROR(INDEX(Документация!$G$2:$G$57,MATCH($N574,Документация!$F$2:$F$57,0)),$D574),$D574&amp;IF(AND(LEFT($G574,3)&lt;&gt;"ДОК",$N574&lt;&gt;"")," — "&amp;IFERROR(INDEX(МАТЕРИАЛЫ!$C$2:$C$9000,MATCH($N574,МАТЕРИАЛЫ!$L$2:$L$9000,0)),""),"")))</f>
        <v>Дренажный насос Aqua mini blue, ASPEN</v>
      </c>
      <c r="Z574" t="str">
        <f t="shared" si="62"/>
        <v>Р8 · Кондиционирование</v>
      </c>
    </row>
    <row r="575" spans="1:26" ht="28.8" x14ac:dyDescent="0.3">
      <c r="A575" t="s">
        <v>1239</v>
      </c>
      <c r="B575" t="s">
        <v>1204</v>
      </c>
      <c r="C575" t="s">
        <v>161</v>
      </c>
      <c r="D575" s="4" t="s">
        <v>1240</v>
      </c>
      <c r="E575" t="s">
        <v>83</v>
      </c>
      <c r="F575" s="5">
        <v>1148.3599999999999</v>
      </c>
      <c r="H575">
        <v>0</v>
      </c>
      <c r="I575" t="s">
        <v>53</v>
      </c>
      <c r="L575" s="6"/>
      <c r="M575" s="6"/>
      <c r="N575" s="6"/>
      <c r="O575" s="5"/>
      <c r="P575" s="7" t="str">
        <f t="shared" si="56"/>
        <v/>
      </c>
      <c r="Q575" s="7" t="str">
        <f t="shared" si="57"/>
        <v/>
      </c>
      <c r="R575" s="7" t="str">
        <f t="shared" si="58"/>
        <v/>
      </c>
      <c r="S575" s="7">
        <f>IF($A575="","",IF(AND(LEFT($G575,3)="ДОК",$N575&lt;&gt;""),IFERROR(INDEX(Документация!$E$2:$E$57,MATCH($N575,Документация!$F$2:$F$57,0)),0),N($F575))*(1-MEDIAN(0,N(ДисконтТендер),1)))</f>
        <v>1148.3599999999999</v>
      </c>
      <c r="T575" s="7">
        <f>IF($A575="","",IF(AND(LEFT($G575,3)="ДОК",$N575&lt;&gt;""),0,IF(AND(LEFT($G575,3)&lt;&gt;"ДОК",$N575&lt;&gt;""),IFERROR(INDEX(МАТЕРИАЛЫ!$H$2:$H$9000,MATCH($N575,МАТЕРИАЛЫ!$L$2:$L$9000,0))*IF(INDEX(МАТЕРИАЛЫ!$I$2:$I$9000,MATCH($N575,МАТЕРИАЛЫ!$L$2:$L$9000,0))="USD",КурсUSD,IF(INDEX(МАТЕРИАЛЫ!$I$2:$I$9000,MATCH($N575,МАТЕРИАЛЫ!$L$2:$L$9000,0))="EUR",КурсEUR,IF(INDEX(МАТЕРИАЛЫ!$I$2:$I$9000,MATCH($N575,МАТЕРИАЛЫ!$L$2:$L$9000,0))="CNY",КурсCNY,1)))*(1+N($H575)/100),0),N($O575))*(1-MEDIAN(0,N(ДисконтТендер),1))))</f>
        <v>0</v>
      </c>
      <c r="U575" t="str">
        <f>IF($L575="да",MAX($U$1:$U574)+1,"")</f>
        <v/>
      </c>
      <c r="V575" t="str">
        <f t="shared" si="59"/>
        <v>Р8</v>
      </c>
      <c r="W575" t="str">
        <f t="shared" si="60"/>
        <v/>
      </c>
      <c r="X575" t="str">
        <f t="shared" si="61"/>
        <v/>
      </c>
      <c r="Y575" s="4" t="str">
        <f>IF($A575="","",IF(AND(LEFT($G575,3)="ДОК",$N575&lt;&gt;""),IFERROR(INDEX(Документация!$G$2:$G$57,MATCH($N575,Документация!$F$2:$F$57,0)),$D575),$D575&amp;IF(AND(LEFT($G575,3)&lt;&gt;"ДОК",$N575&lt;&gt;"")," — "&amp;IFERROR(INDEX(МАТЕРИАЛЫ!$C$2:$C$9000,MATCH($N575,МАТЕРИАЛЫ!$L$2:$L$9000,0)),""),"")))</f>
        <v>Антивандальные решетки с козырьком для внешних блоков</v>
      </c>
      <c r="Z575" t="str">
        <f t="shared" si="62"/>
        <v>Р8 · Кондиционирование</v>
      </c>
    </row>
    <row r="576" spans="1:26" ht="28.8" x14ac:dyDescent="0.3">
      <c r="A576" t="s">
        <v>1241</v>
      </c>
      <c r="B576" t="s">
        <v>1204</v>
      </c>
      <c r="C576" t="s">
        <v>161</v>
      </c>
      <c r="D576" s="4" t="s">
        <v>1242</v>
      </c>
      <c r="E576" t="s">
        <v>125</v>
      </c>
      <c r="F576" s="5">
        <v>96.36</v>
      </c>
      <c r="H576">
        <v>0</v>
      </c>
      <c r="I576" t="s">
        <v>53</v>
      </c>
      <c r="L576" s="6"/>
      <c r="M576" s="6"/>
      <c r="N576" s="6"/>
      <c r="O576" s="5"/>
      <c r="P576" s="7" t="str">
        <f t="shared" si="56"/>
        <v/>
      </c>
      <c r="Q576" s="7" t="str">
        <f t="shared" si="57"/>
        <v/>
      </c>
      <c r="R576" s="7" t="str">
        <f t="shared" si="58"/>
        <v/>
      </c>
      <c r="S576" s="7">
        <f>IF($A576="","",IF(AND(LEFT($G576,3)="ДОК",$N576&lt;&gt;""),IFERROR(INDEX(Документация!$E$2:$E$57,MATCH($N576,Документация!$F$2:$F$57,0)),0),N($F576))*(1-MEDIAN(0,N(ДисконтТендер),1)))</f>
        <v>96.36</v>
      </c>
      <c r="T576" s="7">
        <f>IF($A576="","",IF(AND(LEFT($G576,3)="ДОК",$N576&lt;&gt;""),0,IF(AND(LEFT($G576,3)&lt;&gt;"ДОК",$N576&lt;&gt;""),IFERROR(INDEX(МАТЕРИАЛЫ!$H$2:$H$9000,MATCH($N576,МАТЕРИАЛЫ!$L$2:$L$9000,0))*IF(INDEX(МАТЕРИАЛЫ!$I$2:$I$9000,MATCH($N576,МАТЕРИАЛЫ!$L$2:$L$9000,0))="USD",КурсUSD,IF(INDEX(МАТЕРИАЛЫ!$I$2:$I$9000,MATCH($N576,МАТЕРИАЛЫ!$L$2:$L$9000,0))="EUR",КурсEUR,IF(INDEX(МАТЕРИАЛЫ!$I$2:$I$9000,MATCH($N576,МАТЕРИАЛЫ!$L$2:$L$9000,0))="CNY",КурсCNY,1)))*(1+N($H576)/100),0),N($O576))*(1-MEDIAN(0,N(ДисконтТендер),1))))</f>
        <v>0</v>
      </c>
      <c r="U576" t="str">
        <f>IF($L576="да",MAX($U$1:$U575)+1,"")</f>
        <v/>
      </c>
      <c r="V576" t="str">
        <f t="shared" si="59"/>
        <v>Р8</v>
      </c>
      <c r="W576" t="str">
        <f t="shared" si="60"/>
        <v/>
      </c>
      <c r="X576" t="str">
        <f t="shared" si="61"/>
        <v/>
      </c>
      <c r="Y576" s="4" t="str">
        <f>IF($A576="","",IF(AND(LEFT($G576,3)="ДОК",$N576&lt;&gt;""),IFERROR(INDEX(Документация!$G$2:$G$57,MATCH($N576,Документация!$F$2:$F$57,0)),$D576),$D576&amp;IF(AND(LEFT($G576,3)&lt;&gt;"ДОК",$N576&lt;&gt;"")," — "&amp;IFERROR(INDEX(МАТЕРИАЛЫ!$C$2:$C$9000,MATCH($N576,МАТЕРИАЛЫ!$L$2:$L$9000,0)),""),"")))</f>
        <v>Пусконаладочные работы систем кондиционирования</v>
      </c>
      <c r="Z576" t="str">
        <f t="shared" si="62"/>
        <v>Р8 · Кондиционирование</v>
      </c>
    </row>
    <row r="577" spans="1:26" x14ac:dyDescent="0.3">
      <c r="A577" t="s">
        <v>1243</v>
      </c>
      <c r="B577" t="s">
        <v>1204</v>
      </c>
      <c r="C577" t="s">
        <v>161</v>
      </c>
      <c r="D577" s="4" t="s">
        <v>1244</v>
      </c>
      <c r="E577" t="s">
        <v>114</v>
      </c>
      <c r="F577" s="5">
        <v>2200</v>
      </c>
      <c r="G577" t="s">
        <v>1206</v>
      </c>
      <c r="H577">
        <v>5</v>
      </c>
      <c r="I577" t="s">
        <v>53</v>
      </c>
      <c r="L577" s="6"/>
      <c r="M577" s="6"/>
      <c r="N577" s="6"/>
      <c r="O577" s="5"/>
      <c r="P577" s="7" t="str">
        <f t="shared" si="56"/>
        <v/>
      </c>
      <c r="Q577" s="7" t="str">
        <f t="shared" si="57"/>
        <v/>
      </c>
      <c r="R577" s="7" t="str">
        <f t="shared" si="58"/>
        <v/>
      </c>
      <c r="S577" s="7">
        <f>IF($A577="","",IF(AND(LEFT($G577,3)="ДОК",$N577&lt;&gt;""),IFERROR(INDEX(Документация!$E$2:$E$57,MATCH($N577,Документация!$F$2:$F$57,0)),0),N($F577))*(1-MEDIAN(0,N(ДисконтТендер),1)))</f>
        <v>2200</v>
      </c>
      <c r="T577" s="7">
        <f>IF($A577="","",IF(AND(LEFT($G577,3)="ДОК",$N577&lt;&gt;""),0,IF(AND(LEFT($G577,3)&lt;&gt;"ДОК",$N577&lt;&gt;""),IFERROR(INDEX(МАТЕРИАЛЫ!$H$2:$H$9000,MATCH($N577,МАТЕРИАЛЫ!$L$2:$L$9000,0))*IF(INDEX(МАТЕРИАЛЫ!$I$2:$I$9000,MATCH($N577,МАТЕРИАЛЫ!$L$2:$L$9000,0))="USD",КурсUSD,IF(INDEX(МАТЕРИАЛЫ!$I$2:$I$9000,MATCH($N577,МАТЕРИАЛЫ!$L$2:$L$9000,0))="EUR",КурсEUR,IF(INDEX(МАТЕРИАЛЫ!$I$2:$I$9000,MATCH($N577,МАТЕРИАЛЫ!$L$2:$L$9000,0))="CNY",КурсCNY,1)))*(1+N($H577)/100),0),N($O577))*(1-MEDIAN(0,N(ДисконтТендер),1))))</f>
        <v>0</v>
      </c>
      <c r="U577" t="str">
        <f>IF($L577="да",MAX($U$1:$U576)+1,"")</f>
        <v/>
      </c>
      <c r="V577" t="str">
        <f t="shared" si="59"/>
        <v>Р8</v>
      </c>
      <c r="W577" t="str">
        <f t="shared" si="60"/>
        <v/>
      </c>
      <c r="X577" t="str">
        <f t="shared" si="61"/>
        <v/>
      </c>
      <c r="Y577" s="4" t="str">
        <f>IF($A577="","",IF(AND(LEFT($G577,3)="ДОК",$N577&lt;&gt;""),IFERROR(INDEX(Документация!$G$2:$G$57,MATCH($N577,Документация!$F$2:$F$57,0)),$D577),$D577&amp;IF(AND(LEFT($G577,3)&lt;&gt;"ДОК",$N577&lt;&gt;"")," — "&amp;IFERROR(INDEX(МАТЕРИАЛЫ!$C$2:$C$9000,MATCH($N577,МАТЕРИАЛЫ!$L$2:$L$9000,0)),""),"")))</f>
        <v>Зимний комплект к кондиционерам</v>
      </c>
      <c r="Z577" t="str">
        <f t="shared" si="62"/>
        <v>Р8 · Кондиционирование</v>
      </c>
    </row>
    <row r="578" spans="1:26" x14ac:dyDescent="0.3">
      <c r="A578" t="s">
        <v>1245</v>
      </c>
      <c r="B578" t="s">
        <v>1204</v>
      </c>
      <c r="C578" t="s">
        <v>161</v>
      </c>
      <c r="D578" s="4" t="s">
        <v>1246</v>
      </c>
      <c r="E578" t="s">
        <v>114</v>
      </c>
      <c r="F578" s="5">
        <v>3014.67</v>
      </c>
      <c r="H578">
        <v>0</v>
      </c>
      <c r="I578" t="s">
        <v>53</v>
      </c>
      <c r="L578" s="6"/>
      <c r="M578" s="6"/>
      <c r="N578" s="6"/>
      <c r="O578" s="5"/>
      <c r="P578" s="7" t="str">
        <f t="shared" ref="P578:P641" si="63">IF($L578="да",ROUND(N($M578)*$S578,2),"")</f>
        <v/>
      </c>
      <c r="Q578" s="7" t="str">
        <f t="shared" ref="Q578:Q641" si="64">IF($L578="да",ROUND(N($M578)*$T578,2),"")</f>
        <v/>
      </c>
      <c r="R578" s="7" t="str">
        <f t="shared" ref="R578:R641" si="65">IF($L578="да",N($P578)+N($Q578),"")</f>
        <v/>
      </c>
      <c r="S578" s="7">
        <f>IF($A578="","",IF(AND(LEFT($G578,3)="ДОК",$N578&lt;&gt;""),IFERROR(INDEX(Документация!$E$2:$E$57,MATCH($N578,Документация!$F$2:$F$57,0)),0),N($F578))*(1-MEDIAN(0,N(ДисконтТендер),1)))</f>
        <v>3014.67</v>
      </c>
      <c r="T578" s="7">
        <f>IF($A578="","",IF(AND(LEFT($G578,3)="ДОК",$N578&lt;&gt;""),0,IF(AND(LEFT($G578,3)&lt;&gt;"ДОК",$N578&lt;&gt;""),IFERROR(INDEX(МАТЕРИАЛЫ!$H$2:$H$9000,MATCH($N578,МАТЕРИАЛЫ!$L$2:$L$9000,0))*IF(INDEX(МАТЕРИАЛЫ!$I$2:$I$9000,MATCH($N578,МАТЕРИАЛЫ!$L$2:$L$9000,0))="USD",КурсUSD,IF(INDEX(МАТЕРИАЛЫ!$I$2:$I$9000,MATCH($N578,МАТЕРИАЛЫ!$L$2:$L$9000,0))="EUR",КурсEUR,IF(INDEX(МАТЕРИАЛЫ!$I$2:$I$9000,MATCH($N578,МАТЕРИАЛЫ!$L$2:$L$9000,0))="CNY",КурсCNY,1)))*(1+N($H578)/100),0),N($O578))*(1-MEDIAN(0,N(ДисконтТендер),1))))</f>
        <v>0</v>
      </c>
      <c r="U578" t="str">
        <f>IF($L578="да",MAX($U$1:$U577)+1,"")</f>
        <v/>
      </c>
      <c r="V578" t="str">
        <f t="shared" ref="V578:V641" si="66">IF($A578="","",$B578)</f>
        <v>Р8</v>
      </c>
      <c r="W578" t="str">
        <f t="shared" ref="W578:W641" si="67">IF($U578="","",IF($U578=1,1,IF($V578&lt;&gt;IFERROR(INDEX($V$2:$V$1058,MATCH($U578-1,$U$2:$U$1058,0)),"~"),1,0)))</f>
        <v/>
      </c>
      <c r="X578" t="str">
        <f t="shared" ref="X578:X641" si="68">IF($U578="","",$U578+SUMIFS($W$2:$W$1058,$U$2:$U$1058,"&lt;="&amp;$U578))</f>
        <v/>
      </c>
      <c r="Y578" s="4" t="str">
        <f>IF($A578="","",IF(AND(LEFT($G578,3)="ДОК",$N578&lt;&gt;""),IFERROR(INDEX(Документация!$G$2:$G$57,MATCH($N578,Документация!$F$2:$F$57,0)),$D578),$D578&amp;IF(AND(LEFT($G578,3)&lt;&gt;"ДОК",$N578&lt;&gt;"")," — "&amp;IFERROR(INDEX(МАТЕРИАЛЫ!$C$2:$C$9000,MATCH($N578,МАТЕРИАЛЫ!$L$2:$L$9000,0)),""),"")))</f>
        <v>Помпа дренажная Si 1805</v>
      </c>
      <c r="Z578" t="str">
        <f t="shared" ref="Z578:Z641" si="69">IF($B578="","",$B578&amp;" · "&amp;IFERROR(VLOOKUP($B578,спрРазделы,2,0),""))</f>
        <v>Р8 · Кондиционирование</v>
      </c>
    </row>
    <row r="579" spans="1:26" ht="72" x14ac:dyDescent="0.3">
      <c r="A579" t="s">
        <v>1247</v>
      </c>
      <c r="B579" t="s">
        <v>1204</v>
      </c>
      <c r="C579" t="s">
        <v>161</v>
      </c>
      <c r="D579" s="4" t="s">
        <v>1248</v>
      </c>
      <c r="E579" t="s">
        <v>153</v>
      </c>
      <c r="F579" s="5">
        <v>1562.35</v>
      </c>
      <c r="H579">
        <v>0</v>
      </c>
      <c r="I579" t="s">
        <v>53</v>
      </c>
      <c r="L579" s="6"/>
      <c r="M579" s="6"/>
      <c r="N579" s="6"/>
      <c r="O579" s="5"/>
      <c r="P579" s="7" t="str">
        <f t="shared" si="63"/>
        <v/>
      </c>
      <c r="Q579" s="7" t="str">
        <f t="shared" si="64"/>
        <v/>
      </c>
      <c r="R579" s="7" t="str">
        <f t="shared" si="65"/>
        <v/>
      </c>
      <c r="S579" s="7">
        <f>IF($A579="","",IF(AND(LEFT($G579,3)="ДОК",$N579&lt;&gt;""),IFERROR(INDEX(Документация!$E$2:$E$57,MATCH($N579,Документация!$F$2:$F$57,0)),0),N($F579))*(1-MEDIAN(0,N(ДисконтТендер),1)))</f>
        <v>1562.35</v>
      </c>
      <c r="T579" s="7">
        <f>IF($A579="","",IF(AND(LEFT($G579,3)="ДОК",$N579&lt;&gt;""),0,IF(AND(LEFT($G579,3)&lt;&gt;"ДОК",$N579&lt;&gt;""),IFERROR(INDEX(МАТЕРИАЛЫ!$H$2:$H$9000,MATCH($N579,МАТЕРИАЛЫ!$L$2:$L$9000,0))*IF(INDEX(МАТЕРИАЛЫ!$I$2:$I$9000,MATCH($N579,МАТЕРИАЛЫ!$L$2:$L$9000,0))="USD",КурсUSD,IF(INDEX(МАТЕРИАЛЫ!$I$2:$I$9000,MATCH($N579,МАТЕРИАЛЫ!$L$2:$L$9000,0))="EUR",КурсEUR,IF(INDEX(МАТЕРИАЛЫ!$I$2:$I$9000,MATCH($N579,МАТЕРИАЛЫ!$L$2:$L$9000,0))="CNY",КурсCNY,1)))*(1+N($H579)/100),0),N($O579))*(1-MEDIAN(0,N(ДисконтТендер),1))))</f>
        <v>0</v>
      </c>
      <c r="U579" t="str">
        <f>IF($L579="да",MAX($U$1:$U578)+1,"")</f>
        <v/>
      </c>
      <c r="V579" t="str">
        <f t="shared" si="66"/>
        <v>Р8</v>
      </c>
      <c r="W579" t="str">
        <f t="shared" si="67"/>
        <v/>
      </c>
      <c r="X579" t="str">
        <f t="shared" si="68"/>
        <v/>
      </c>
      <c r="Y579" s="4" t="str">
        <f>IF($A579="","",IF(AND(LEFT($G579,3)="ДОК",$N579&lt;&gt;""),IFERROR(INDEX(Документация!$G$2:$G$57,MATCH($N579,Документация!$F$2:$F$57,0)),$D579),$D579&amp;IF(AND(LEFT($G579,3)&lt;&gt;"ДОК",$N579&lt;&gt;"")," — "&amp;IFERROR(INDEX(МАТЕРИАЛЫ!$C$2:$C$9000,MATCH($N579,МАТЕРИАЛЫ!$L$2:$L$9000,0)),""),"")))</f>
        <v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v>
      </c>
      <c r="Z579" t="str">
        <f t="shared" si="69"/>
        <v>Р8 · Кондиционирование</v>
      </c>
    </row>
    <row r="580" spans="1:26" ht="72" x14ac:dyDescent="0.3">
      <c r="A580" t="s">
        <v>1249</v>
      </c>
      <c r="B580" t="s">
        <v>1204</v>
      </c>
      <c r="C580" t="s">
        <v>161</v>
      </c>
      <c r="D580" s="4" t="s">
        <v>1250</v>
      </c>
      <c r="E580" t="s">
        <v>153</v>
      </c>
      <c r="F580" s="5">
        <v>2500</v>
      </c>
      <c r="G580" t="s">
        <v>1251</v>
      </c>
      <c r="H580">
        <v>5</v>
      </c>
      <c r="I580" t="s">
        <v>53</v>
      </c>
      <c r="L580" s="6"/>
      <c r="M580" s="6"/>
      <c r="N580" s="6"/>
      <c r="O580" s="5"/>
      <c r="P580" s="7" t="str">
        <f t="shared" si="63"/>
        <v/>
      </c>
      <c r="Q580" s="7" t="str">
        <f t="shared" si="64"/>
        <v/>
      </c>
      <c r="R580" s="7" t="str">
        <f t="shared" si="65"/>
        <v/>
      </c>
      <c r="S580" s="7">
        <f>IF($A580="","",IF(AND(LEFT($G580,3)="ДОК",$N580&lt;&gt;""),IFERROR(INDEX(Документация!$E$2:$E$57,MATCH($N580,Документация!$F$2:$F$57,0)),0),N($F580))*(1-MEDIAN(0,N(ДисконтТендер),1)))</f>
        <v>2500</v>
      </c>
      <c r="T580" s="7">
        <f>IF($A580="","",IF(AND(LEFT($G580,3)="ДОК",$N580&lt;&gt;""),0,IF(AND(LEFT($G580,3)&lt;&gt;"ДОК",$N580&lt;&gt;""),IFERROR(INDEX(МАТЕРИАЛЫ!$H$2:$H$9000,MATCH($N580,МАТЕРИАЛЫ!$L$2:$L$9000,0))*IF(INDEX(МАТЕРИАЛЫ!$I$2:$I$9000,MATCH($N580,МАТЕРИАЛЫ!$L$2:$L$9000,0))="USD",КурсUSD,IF(INDEX(МАТЕРИАЛЫ!$I$2:$I$9000,MATCH($N580,МАТЕРИАЛЫ!$L$2:$L$9000,0))="EUR",КурсEUR,IF(INDEX(МАТЕРИАЛЫ!$I$2:$I$9000,MATCH($N580,МАТЕРИАЛЫ!$L$2:$L$9000,0))="CNY",КурсCNY,1)))*(1+N($H580)/100),0),N($O580))*(1-MEDIAN(0,N(ДисконтТендер),1))))</f>
        <v>0</v>
      </c>
      <c r="U580" t="str">
        <f>IF($L580="да",MAX($U$1:$U579)+1,"")</f>
        <v/>
      </c>
      <c r="V580" t="str">
        <f t="shared" si="66"/>
        <v>Р8</v>
      </c>
      <c r="W580" t="str">
        <f t="shared" si="67"/>
        <v/>
      </c>
      <c r="X580" t="str">
        <f t="shared" si="68"/>
        <v/>
      </c>
      <c r="Y580" s="4" t="str">
        <f>IF($A580="","",IF(AND(LEFT($G580,3)="ДОК",$N580&lt;&gt;""),IFERROR(INDEX(Документация!$G$2:$G$57,MATCH($N580,Документация!$F$2:$F$57,0)),$D580),$D580&amp;IF(AND(LEFT($G580,3)&lt;&gt;"ДОК",$N580&lt;&gt;"")," — "&amp;IFERROR(INDEX(МАТЕРИАЛЫ!$C$2:$C$9000,MATCH($N580,МАТЕРИАЛЫ!$L$2:$L$9000,0)),""),"")))</f>
        <v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v>
      </c>
      <c r="Z580" t="str">
        <f t="shared" si="69"/>
        <v>Р8 · Кондиционирование</v>
      </c>
    </row>
    <row r="581" spans="1:26" ht="72" x14ac:dyDescent="0.3">
      <c r="A581" t="s">
        <v>1252</v>
      </c>
      <c r="B581" t="s">
        <v>1204</v>
      </c>
      <c r="C581" t="s">
        <v>161</v>
      </c>
      <c r="D581" s="4" t="s">
        <v>1253</v>
      </c>
      <c r="E581" t="s">
        <v>125</v>
      </c>
      <c r="F581" s="5">
        <v>2081.64</v>
      </c>
      <c r="H581">
        <v>0</v>
      </c>
      <c r="I581" t="s">
        <v>53</v>
      </c>
      <c r="L581" s="6"/>
      <c r="M581" s="6"/>
      <c r="N581" s="6"/>
      <c r="O581" s="5"/>
      <c r="P581" s="7" t="str">
        <f t="shared" si="63"/>
        <v/>
      </c>
      <c r="Q581" s="7" t="str">
        <f t="shared" si="64"/>
        <v/>
      </c>
      <c r="R581" s="7" t="str">
        <f t="shared" si="65"/>
        <v/>
      </c>
      <c r="S581" s="7">
        <f>IF($A581="","",IF(AND(LEFT($G581,3)="ДОК",$N581&lt;&gt;""),IFERROR(INDEX(Документация!$E$2:$E$57,MATCH($N581,Документация!$F$2:$F$57,0)),0),N($F581))*(1-MEDIAN(0,N(ДисконтТендер),1)))</f>
        <v>2081.64</v>
      </c>
      <c r="T581" s="7">
        <f>IF($A581="","",IF(AND(LEFT($G581,3)="ДОК",$N581&lt;&gt;""),0,IF(AND(LEFT($G581,3)&lt;&gt;"ДОК",$N581&lt;&gt;""),IFERROR(INDEX(МАТЕРИАЛЫ!$H$2:$H$9000,MATCH($N581,МАТЕРИАЛЫ!$L$2:$L$9000,0))*IF(INDEX(МАТЕРИАЛЫ!$I$2:$I$9000,MATCH($N581,МАТЕРИАЛЫ!$L$2:$L$9000,0))="USD",КурсUSD,IF(INDEX(МАТЕРИАЛЫ!$I$2:$I$9000,MATCH($N581,МАТЕРИАЛЫ!$L$2:$L$9000,0))="EUR",КурсEUR,IF(INDEX(МАТЕРИАЛЫ!$I$2:$I$9000,MATCH($N581,МАТЕРИАЛЫ!$L$2:$L$9000,0))="CNY",КурсCNY,1)))*(1+N($H581)/100),0),N($O581))*(1-MEDIAN(0,N(ДисконтТендер),1))))</f>
        <v>0</v>
      </c>
      <c r="U581" t="str">
        <f>IF($L581="да",MAX($U$1:$U580)+1,"")</f>
        <v/>
      </c>
      <c r="V581" t="str">
        <f t="shared" si="66"/>
        <v>Р8</v>
      </c>
      <c r="W581" t="str">
        <f t="shared" si="67"/>
        <v/>
      </c>
      <c r="X581" t="str">
        <f t="shared" si="68"/>
        <v/>
      </c>
      <c r="Y581" s="4" t="str">
        <f>IF($A581="","",IF(AND(LEFT($G581,3)="ДОК",$N581&lt;&gt;""),IFERROR(INDEX(Документация!$G$2:$G$57,MATCH($N581,Документация!$F$2:$F$57,0)),$D581),$D581&amp;IF(AND(LEFT($G581,3)&lt;&gt;"ДОК",$N581&lt;&gt;"")," — "&amp;IFERROR(INDEX(МАТЕРИАЛЫ!$C$2:$C$9000,MATCH($N581,МАТЕРИАЛЫ!$L$2:$L$9000,0)),""),"")))</f>
        <v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v>
      </c>
      <c r="Z581" t="str">
        <f t="shared" si="69"/>
        <v>Р8 · Кондиционирование</v>
      </c>
    </row>
    <row r="582" spans="1:26" x14ac:dyDescent="0.3">
      <c r="A582" t="s">
        <v>1254</v>
      </c>
      <c r="B582" t="s">
        <v>1255</v>
      </c>
      <c r="C582" t="s">
        <v>50</v>
      </c>
      <c r="D582" s="4" t="s">
        <v>1256</v>
      </c>
      <c r="E582" t="s">
        <v>114</v>
      </c>
      <c r="F582" s="5">
        <v>7441</v>
      </c>
      <c r="G582" t="s">
        <v>1257</v>
      </c>
      <c r="H582">
        <v>5</v>
      </c>
      <c r="I582" t="s">
        <v>53</v>
      </c>
      <c r="L582" s="6"/>
      <c r="M582" s="6"/>
      <c r="N582" s="6"/>
      <c r="O582" s="5"/>
      <c r="P582" s="7" t="str">
        <f t="shared" si="63"/>
        <v/>
      </c>
      <c r="Q582" s="7" t="str">
        <f t="shared" si="64"/>
        <v/>
      </c>
      <c r="R582" s="7" t="str">
        <f t="shared" si="65"/>
        <v/>
      </c>
      <c r="S582" s="7">
        <f>IF($A582="","",IF(AND(LEFT($G582,3)="ДОК",$N582&lt;&gt;""),IFERROR(INDEX(Документация!$E$2:$E$57,MATCH($N582,Документация!$F$2:$F$57,0)),0),N($F582))*(1-MEDIAN(0,N(ДисконтТендер),1)))</f>
        <v>7441</v>
      </c>
      <c r="T582" s="7">
        <f>IF($A582="","",IF(AND(LEFT($G582,3)="ДОК",$N582&lt;&gt;""),0,IF(AND(LEFT($G582,3)&lt;&gt;"ДОК",$N582&lt;&gt;""),IFERROR(INDEX(МАТЕРИАЛЫ!$H$2:$H$9000,MATCH($N582,МАТЕРИАЛЫ!$L$2:$L$9000,0))*IF(INDEX(МАТЕРИАЛЫ!$I$2:$I$9000,MATCH($N582,МАТЕРИАЛЫ!$L$2:$L$9000,0))="USD",КурсUSD,IF(INDEX(МАТЕРИАЛЫ!$I$2:$I$9000,MATCH($N582,МАТЕРИАЛЫ!$L$2:$L$9000,0))="EUR",КурсEUR,IF(INDEX(МАТЕРИАЛЫ!$I$2:$I$9000,MATCH($N582,МАТЕРИАЛЫ!$L$2:$L$9000,0))="CNY",КурсCNY,1)))*(1+N($H582)/100),0),N($O582))*(1-MEDIAN(0,N(ДисконтТендер),1))))</f>
        <v>0</v>
      </c>
      <c r="U582" t="str">
        <f>IF($L582="да",MAX($U$1:$U581)+1,"")</f>
        <v/>
      </c>
      <c r="V582" t="str">
        <f t="shared" si="66"/>
        <v>Р9</v>
      </c>
      <c r="W582" t="str">
        <f t="shared" si="67"/>
        <v/>
      </c>
      <c r="X582" t="str">
        <f t="shared" si="68"/>
        <v/>
      </c>
      <c r="Y582" s="4" t="str">
        <f>IF($A582="","",IF(AND(LEFT($G582,3)="ДОК",$N582&lt;&gt;""),IFERROR(INDEX(Документация!$G$2:$G$57,MATCH($N582,Документация!$F$2:$F$57,0)),$D582),$D582&amp;IF(AND(LEFT($G582,3)&lt;&gt;"ДОК",$N582&lt;&gt;"")," — "&amp;IFERROR(INDEX(МАТЕРИАЛЫ!$C$2:$C$9000,MATCH($N582,МАТЕРИАЛЫ!$L$2:$L$9000,0)),""),"")))</f>
        <v>ГРЩ(1)</v>
      </c>
      <c r="Z582" t="str">
        <f t="shared" si="69"/>
        <v>Р9 · Электротехнические работы</v>
      </c>
    </row>
    <row r="583" spans="1:26" x14ac:dyDescent="0.3">
      <c r="A583" t="s">
        <v>1258</v>
      </c>
      <c r="B583" t="s">
        <v>1255</v>
      </c>
      <c r="C583" t="s">
        <v>50</v>
      </c>
      <c r="D583" s="4" t="s">
        <v>1259</v>
      </c>
      <c r="E583" t="s">
        <v>114</v>
      </c>
      <c r="F583" s="5">
        <v>12756</v>
      </c>
      <c r="G583" t="s">
        <v>1257</v>
      </c>
      <c r="H583">
        <v>5</v>
      </c>
      <c r="I583" t="s">
        <v>53</v>
      </c>
      <c r="L583" s="6"/>
      <c r="M583" s="6"/>
      <c r="N583" s="6"/>
      <c r="O583" s="5"/>
      <c r="P583" s="7" t="str">
        <f t="shared" si="63"/>
        <v/>
      </c>
      <c r="Q583" s="7" t="str">
        <f t="shared" si="64"/>
        <v/>
      </c>
      <c r="R583" s="7" t="str">
        <f t="shared" si="65"/>
        <v/>
      </c>
      <c r="S583" s="7">
        <f>IF($A583="","",IF(AND(LEFT($G583,3)="ДОК",$N583&lt;&gt;""),IFERROR(INDEX(Документация!$E$2:$E$57,MATCH($N583,Документация!$F$2:$F$57,0)),0),N($F583))*(1-MEDIAN(0,N(ДисконтТендер),1)))</f>
        <v>12756</v>
      </c>
      <c r="T583" s="7">
        <f>IF($A583="","",IF(AND(LEFT($G583,3)="ДОК",$N583&lt;&gt;""),0,IF(AND(LEFT($G583,3)&lt;&gt;"ДОК",$N583&lt;&gt;""),IFERROR(INDEX(МАТЕРИАЛЫ!$H$2:$H$9000,MATCH($N583,МАТЕРИАЛЫ!$L$2:$L$9000,0))*IF(INDEX(МАТЕРИАЛЫ!$I$2:$I$9000,MATCH($N583,МАТЕРИАЛЫ!$L$2:$L$9000,0))="USD",КурсUSD,IF(INDEX(МАТЕРИАЛЫ!$I$2:$I$9000,MATCH($N583,МАТЕРИАЛЫ!$L$2:$L$9000,0))="EUR",КурсEUR,IF(INDEX(МАТЕРИАЛЫ!$I$2:$I$9000,MATCH($N583,МАТЕРИАЛЫ!$L$2:$L$9000,0))="CNY",КурсCNY,1)))*(1+N($H583)/100),0),N($O583))*(1-MEDIAN(0,N(ДисконтТендер),1))))</f>
        <v>0</v>
      </c>
      <c r="U583" t="str">
        <f>IF($L583="да",MAX($U$1:$U582)+1,"")</f>
        <v/>
      </c>
      <c r="V583" t="str">
        <f t="shared" si="66"/>
        <v>Р9</v>
      </c>
      <c r="W583" t="str">
        <f t="shared" si="67"/>
        <v/>
      </c>
      <c r="X583" t="str">
        <f t="shared" si="68"/>
        <v/>
      </c>
      <c r="Y583" s="4" t="str">
        <f>IF($A583="","",IF(AND(LEFT($G583,3)="ДОК",$N583&lt;&gt;""),IFERROR(INDEX(Документация!$G$2:$G$57,MATCH($N583,Документация!$F$2:$F$57,0)),$D583),$D583&amp;IF(AND(LEFT($G583,3)&lt;&gt;"ДОК",$N583&lt;&gt;"")," — "&amp;IFERROR(INDEX(МАТЕРИАЛЫ!$C$2:$C$9000,MATCH($N583,МАТЕРИАЛЫ!$L$2:$L$9000,0)),""),"")))</f>
        <v>ГРЩ(2)</v>
      </c>
      <c r="Z583" t="str">
        <f t="shared" si="69"/>
        <v>Р9 · Электротехнические работы</v>
      </c>
    </row>
    <row r="584" spans="1:26" x14ac:dyDescent="0.3">
      <c r="A584" t="s">
        <v>1260</v>
      </c>
      <c r="B584" t="s">
        <v>1255</v>
      </c>
      <c r="C584" t="s">
        <v>50</v>
      </c>
      <c r="D584" s="4" t="s">
        <v>1261</v>
      </c>
      <c r="E584" t="s">
        <v>114</v>
      </c>
      <c r="F584" s="5">
        <v>7312.35</v>
      </c>
      <c r="G584" t="s">
        <v>1257</v>
      </c>
      <c r="H584">
        <v>5</v>
      </c>
      <c r="I584" t="s">
        <v>53</v>
      </c>
      <c r="L584" s="6"/>
      <c r="M584" s="6"/>
      <c r="N584" s="6"/>
      <c r="O584" s="5"/>
      <c r="P584" s="7" t="str">
        <f t="shared" si="63"/>
        <v/>
      </c>
      <c r="Q584" s="7" t="str">
        <f t="shared" si="64"/>
        <v/>
      </c>
      <c r="R584" s="7" t="str">
        <f t="shared" si="65"/>
        <v/>
      </c>
      <c r="S584" s="7">
        <f>IF($A584="","",IF(AND(LEFT($G584,3)="ДОК",$N584&lt;&gt;""),IFERROR(INDEX(Документация!$E$2:$E$57,MATCH($N584,Документация!$F$2:$F$57,0)),0),N($F584))*(1-MEDIAN(0,N(ДисконтТендер),1)))</f>
        <v>7312.35</v>
      </c>
      <c r="T584" s="7">
        <f>IF($A584="","",IF(AND(LEFT($G584,3)="ДОК",$N584&lt;&gt;""),0,IF(AND(LEFT($G584,3)&lt;&gt;"ДОК",$N584&lt;&gt;""),IFERROR(INDEX(МАТЕРИАЛЫ!$H$2:$H$9000,MATCH($N584,МАТЕРИАЛЫ!$L$2:$L$9000,0))*IF(INDEX(МАТЕРИАЛЫ!$I$2:$I$9000,MATCH($N584,МАТЕРИАЛЫ!$L$2:$L$9000,0))="USD",КурсUSD,IF(INDEX(МАТЕРИАЛЫ!$I$2:$I$9000,MATCH($N584,МАТЕРИАЛЫ!$L$2:$L$9000,0))="EUR",КурсEUR,IF(INDEX(МАТЕРИАЛЫ!$I$2:$I$9000,MATCH($N584,МАТЕРИАЛЫ!$L$2:$L$9000,0))="CNY",КурсCNY,1)))*(1+N($H584)/100),0),N($O584))*(1-MEDIAN(0,N(ДисконтТендер),1))))</f>
        <v>0</v>
      </c>
      <c r="U584" t="str">
        <f>IF($L584="да",MAX($U$1:$U583)+1,"")</f>
        <v/>
      </c>
      <c r="V584" t="str">
        <f t="shared" si="66"/>
        <v>Р9</v>
      </c>
      <c r="W584" t="str">
        <f t="shared" si="67"/>
        <v/>
      </c>
      <c r="X584" t="str">
        <f t="shared" si="68"/>
        <v/>
      </c>
      <c r="Y584" s="4" t="str">
        <f>IF($A584="","",IF(AND(LEFT($G584,3)="ДОК",$N584&lt;&gt;""),IFERROR(INDEX(Документация!$G$2:$G$57,MATCH($N584,Документация!$F$2:$F$57,0)),$D584),$D584&amp;IF(AND(LEFT($G584,3)&lt;&gt;"ДОК",$N584&lt;&gt;"")," — "&amp;IFERROR(INDEX(МАТЕРИАЛЫ!$C$2:$C$9000,MATCH($N584,МАТЕРИАЛЫ!$L$2:$L$9000,0)),""),"")))</f>
        <v>ППУ</v>
      </c>
      <c r="Z584" t="str">
        <f t="shared" si="69"/>
        <v>Р9 · Электротехнические работы</v>
      </c>
    </row>
    <row r="585" spans="1:26" x14ac:dyDescent="0.3">
      <c r="A585" t="s">
        <v>1262</v>
      </c>
      <c r="B585" t="s">
        <v>1255</v>
      </c>
      <c r="C585" t="s">
        <v>161</v>
      </c>
      <c r="D585" s="4" t="s">
        <v>1263</v>
      </c>
      <c r="E585" t="s">
        <v>114</v>
      </c>
      <c r="F585" s="5">
        <v>5261.85</v>
      </c>
      <c r="G585" t="s">
        <v>1257</v>
      </c>
      <c r="H585">
        <v>5</v>
      </c>
      <c r="I585" t="s">
        <v>53</v>
      </c>
      <c r="L585" s="6"/>
      <c r="M585" s="6"/>
      <c r="N585" s="6"/>
      <c r="O585" s="5"/>
      <c r="P585" s="7" t="str">
        <f t="shared" si="63"/>
        <v/>
      </c>
      <c r="Q585" s="7" t="str">
        <f t="shared" si="64"/>
        <v/>
      </c>
      <c r="R585" s="7" t="str">
        <f t="shared" si="65"/>
        <v/>
      </c>
      <c r="S585" s="7">
        <f>IF($A585="","",IF(AND(LEFT($G585,3)="ДОК",$N585&lt;&gt;""),IFERROR(INDEX(Документация!$E$2:$E$57,MATCH($N585,Документация!$F$2:$F$57,0)),0),N($F585))*(1-MEDIAN(0,N(ДисконтТендер),1)))</f>
        <v>5261.85</v>
      </c>
      <c r="T585" s="7">
        <f>IF($A585="","",IF(AND(LEFT($G585,3)="ДОК",$N585&lt;&gt;""),0,IF(AND(LEFT($G585,3)&lt;&gt;"ДОК",$N585&lt;&gt;""),IFERROR(INDEX(МАТЕРИАЛЫ!$H$2:$H$9000,MATCH($N585,МАТЕРИАЛЫ!$L$2:$L$9000,0))*IF(INDEX(МАТЕРИАЛЫ!$I$2:$I$9000,MATCH($N585,МАТЕРИАЛЫ!$L$2:$L$9000,0))="USD",КурсUSD,IF(INDEX(МАТЕРИАЛЫ!$I$2:$I$9000,MATCH($N585,МАТЕРИАЛЫ!$L$2:$L$9000,0))="EUR",КурсEUR,IF(INDEX(МАТЕРИАЛЫ!$I$2:$I$9000,MATCH($N585,МАТЕРИАЛЫ!$L$2:$L$9000,0))="CNY",КурсCNY,1)))*(1+N($H585)/100),0),N($O585))*(1-MEDIAN(0,N(ДисконтТендер),1))))</f>
        <v>0</v>
      </c>
      <c r="U585" t="str">
        <f>IF($L585="да",MAX($U$1:$U584)+1,"")</f>
        <v/>
      </c>
      <c r="V585" t="str">
        <f t="shared" si="66"/>
        <v>Р9</v>
      </c>
      <c r="W585" t="str">
        <f t="shared" si="67"/>
        <v/>
      </c>
      <c r="X585" t="str">
        <f t="shared" si="68"/>
        <v/>
      </c>
      <c r="Y585" s="4" t="str">
        <f>IF($A585="","",IF(AND(LEFT($G585,3)="ДОК",$N585&lt;&gt;""),IFERROR(INDEX(Документация!$G$2:$G$57,MATCH($N585,Документация!$F$2:$F$57,0)),$D585),$D585&amp;IF(AND(LEFT($G585,3)&lt;&gt;"ДОК",$N585&lt;&gt;"")," — "&amp;IFERROR(INDEX(МАТЕРИАЛЫ!$C$2:$C$9000,MATCH($N585,МАТЕРИАЛЫ!$L$2:$L$9000,0)),""),"")))</f>
        <v>Монтаж щита / бокса</v>
      </c>
      <c r="Z585" t="str">
        <f t="shared" si="69"/>
        <v>Р9 · Электротехнические работы</v>
      </c>
    </row>
    <row r="586" spans="1:26" ht="43.2" x14ac:dyDescent="0.3">
      <c r="A586" t="s">
        <v>1264</v>
      </c>
      <c r="B586" t="s">
        <v>1255</v>
      </c>
      <c r="C586" t="s">
        <v>161</v>
      </c>
      <c r="D586" s="4" t="s">
        <v>1265</v>
      </c>
      <c r="E586" t="s">
        <v>114</v>
      </c>
      <c r="F586" s="5">
        <v>6084.32</v>
      </c>
      <c r="G586" t="s">
        <v>1257</v>
      </c>
      <c r="H586">
        <v>5</v>
      </c>
      <c r="I586" t="s">
        <v>53</v>
      </c>
      <c r="L586" s="6"/>
      <c r="M586" s="6"/>
      <c r="N586" s="6"/>
      <c r="O586" s="5"/>
      <c r="P586" s="7" t="str">
        <f t="shared" si="63"/>
        <v/>
      </c>
      <c r="Q586" s="7" t="str">
        <f t="shared" si="64"/>
        <v/>
      </c>
      <c r="R586" s="7" t="str">
        <f t="shared" si="65"/>
        <v/>
      </c>
      <c r="S586" s="7">
        <f>IF($A586="","",IF(AND(LEFT($G586,3)="ДОК",$N586&lt;&gt;""),IFERROR(INDEX(Документация!$E$2:$E$57,MATCH($N586,Документация!$F$2:$F$57,0)),0),N($F586))*(1-MEDIAN(0,N(ДисконтТендер),1)))</f>
        <v>6084.32</v>
      </c>
      <c r="T586" s="7">
        <f>IF($A586="","",IF(AND(LEFT($G586,3)="ДОК",$N586&lt;&gt;""),0,IF(AND(LEFT($G586,3)&lt;&gt;"ДОК",$N586&lt;&gt;""),IFERROR(INDEX(МАТЕРИАЛЫ!$H$2:$H$9000,MATCH($N586,МАТЕРИАЛЫ!$L$2:$L$9000,0))*IF(INDEX(МАТЕРИАЛЫ!$I$2:$I$9000,MATCH($N586,МАТЕРИАЛЫ!$L$2:$L$9000,0))="USD",КурсUSD,IF(INDEX(МАТЕРИАЛЫ!$I$2:$I$9000,MATCH($N586,МАТЕРИАЛЫ!$L$2:$L$9000,0))="EUR",КурсEUR,IF(INDEX(МАТЕРИАЛЫ!$I$2:$I$9000,MATCH($N586,МАТЕРИАЛЫ!$L$2:$L$9000,0))="CNY",КурсCNY,1)))*(1+N($H586)/100),0),N($O586))*(1-MEDIAN(0,N(ДисконтТендер),1))))</f>
        <v>0</v>
      </c>
      <c r="U586" t="str">
        <f>IF($L586="да",MAX($U$1:$U585)+1,"")</f>
        <v/>
      </c>
      <c r="V586" t="str">
        <f t="shared" si="66"/>
        <v>Р9</v>
      </c>
      <c r="W586" t="str">
        <f t="shared" si="67"/>
        <v/>
      </c>
      <c r="X586" t="str">
        <f t="shared" si="68"/>
        <v/>
      </c>
      <c r="Y586" s="4" t="str">
        <f>IF($A586="","",IF(AND(LEFT($G586,3)="ДОК",$N586&lt;&gt;""),IFERROR(INDEX(Документация!$G$2:$G$57,MATCH($N586,Документация!$F$2:$F$57,0)),$D586),$D586&amp;IF(AND(LEFT($G586,3)&lt;&gt;"ДОК",$N586&lt;&gt;"")," — "&amp;IFERROR(INDEX(МАТЕРИАЛЫ!$C$2:$C$9000,MATCH($N586,МАТЕРИАЛЫ!$L$2:$L$9000,0)),""),"")))</f>
        <v>Щит 48 модулей, IP43, ABB или Legrand, с замком в комплекте с DIN-рейками, перемычками, шинами РЕ и N</v>
      </c>
      <c r="Z586" t="str">
        <f t="shared" si="69"/>
        <v>Р9 · Электротехнические работы</v>
      </c>
    </row>
    <row r="587" spans="1:26" ht="43.2" x14ac:dyDescent="0.3">
      <c r="A587" t="s">
        <v>1266</v>
      </c>
      <c r="B587" t="s">
        <v>1255</v>
      </c>
      <c r="C587" t="s">
        <v>161</v>
      </c>
      <c r="D587" s="4" t="s">
        <v>1267</v>
      </c>
      <c r="E587" t="s">
        <v>114</v>
      </c>
      <c r="F587" s="5">
        <v>7089.07</v>
      </c>
      <c r="G587" t="s">
        <v>1257</v>
      </c>
      <c r="H587">
        <v>5</v>
      </c>
      <c r="I587" t="s">
        <v>53</v>
      </c>
      <c r="L587" s="6"/>
      <c r="M587" s="6"/>
      <c r="N587" s="6"/>
      <c r="O587" s="5"/>
      <c r="P587" s="7" t="str">
        <f t="shared" si="63"/>
        <v/>
      </c>
      <c r="Q587" s="7" t="str">
        <f t="shared" si="64"/>
        <v/>
      </c>
      <c r="R587" s="7" t="str">
        <f t="shared" si="65"/>
        <v/>
      </c>
      <c r="S587" s="7">
        <f>IF($A587="","",IF(AND(LEFT($G587,3)="ДОК",$N587&lt;&gt;""),IFERROR(INDEX(Документация!$E$2:$E$57,MATCH($N587,Документация!$F$2:$F$57,0)),0),N($F587))*(1-MEDIAN(0,N(ДисконтТендер),1)))</f>
        <v>7089.07</v>
      </c>
      <c r="T587" s="7">
        <f>IF($A587="","",IF(AND(LEFT($G587,3)="ДОК",$N587&lt;&gt;""),0,IF(AND(LEFT($G587,3)&lt;&gt;"ДОК",$N587&lt;&gt;""),IFERROR(INDEX(МАТЕРИАЛЫ!$H$2:$H$9000,MATCH($N587,МАТЕРИАЛЫ!$L$2:$L$9000,0))*IF(INDEX(МАТЕРИАЛЫ!$I$2:$I$9000,MATCH($N587,МАТЕРИАЛЫ!$L$2:$L$9000,0))="USD",КурсUSD,IF(INDEX(МАТЕРИАЛЫ!$I$2:$I$9000,MATCH($N587,МАТЕРИАЛЫ!$L$2:$L$9000,0))="EUR",КурсEUR,IF(INDEX(МАТЕРИАЛЫ!$I$2:$I$9000,MATCH($N587,МАТЕРИАЛЫ!$L$2:$L$9000,0))="CNY",КурсCNY,1)))*(1+N($H587)/100),0),N($O587))*(1-MEDIAN(0,N(ДисконтТендер),1))))</f>
        <v>0</v>
      </c>
      <c r="U587" t="str">
        <f>IF($L587="да",MAX($U$1:$U586)+1,"")</f>
        <v/>
      </c>
      <c r="V587" t="str">
        <f t="shared" si="66"/>
        <v>Р9</v>
      </c>
      <c r="W587" t="str">
        <f t="shared" si="67"/>
        <v/>
      </c>
      <c r="X587" t="str">
        <f t="shared" si="68"/>
        <v/>
      </c>
      <c r="Y587" s="4" t="str">
        <f>IF($A587="","",IF(AND(LEFT($G587,3)="ДОК",$N587&lt;&gt;""),IFERROR(INDEX(Документация!$G$2:$G$57,MATCH($N587,Документация!$F$2:$F$57,0)),$D587),$D587&amp;IF(AND(LEFT($G587,3)&lt;&gt;"ДОК",$N587&lt;&gt;"")," — "&amp;IFERROR(INDEX(МАТЕРИАЛЫ!$C$2:$C$9000,MATCH($N587,МАТЕРИАЛЫ!$L$2:$L$9000,0)),""),"")))</f>
        <v>Щит 72 модулей, IP43, ABB или Legrand, с замком в комплекте с DIN-рейками, перемычками, шинами РЕ и N</v>
      </c>
      <c r="Z587" t="str">
        <f t="shared" si="69"/>
        <v>Р9 · Электротехнические работы</v>
      </c>
    </row>
    <row r="588" spans="1:26" ht="43.2" x14ac:dyDescent="0.3">
      <c r="A588" t="s">
        <v>1268</v>
      </c>
      <c r="B588" t="s">
        <v>1255</v>
      </c>
      <c r="C588" t="s">
        <v>161</v>
      </c>
      <c r="D588" s="4" t="s">
        <v>1269</v>
      </c>
      <c r="E588" t="s">
        <v>114</v>
      </c>
      <c r="F588" s="5">
        <v>8484.56</v>
      </c>
      <c r="G588" t="s">
        <v>1257</v>
      </c>
      <c r="H588">
        <v>5</v>
      </c>
      <c r="I588" t="s">
        <v>53</v>
      </c>
      <c r="L588" s="6"/>
      <c r="M588" s="6"/>
      <c r="N588" s="6"/>
      <c r="O588" s="5"/>
      <c r="P588" s="7" t="str">
        <f t="shared" si="63"/>
        <v/>
      </c>
      <c r="Q588" s="7" t="str">
        <f t="shared" si="64"/>
        <v/>
      </c>
      <c r="R588" s="7" t="str">
        <f t="shared" si="65"/>
        <v/>
      </c>
      <c r="S588" s="7">
        <f>IF($A588="","",IF(AND(LEFT($G588,3)="ДОК",$N588&lt;&gt;""),IFERROR(INDEX(Документация!$E$2:$E$57,MATCH($N588,Документация!$F$2:$F$57,0)),0),N($F588))*(1-MEDIAN(0,N(ДисконтТендер),1)))</f>
        <v>8484.56</v>
      </c>
      <c r="T588" s="7">
        <f>IF($A588="","",IF(AND(LEFT($G588,3)="ДОК",$N588&lt;&gt;""),0,IF(AND(LEFT($G588,3)&lt;&gt;"ДОК",$N588&lt;&gt;""),IFERROR(INDEX(МАТЕРИАЛЫ!$H$2:$H$9000,MATCH($N588,МАТЕРИАЛЫ!$L$2:$L$9000,0))*IF(INDEX(МАТЕРИАЛЫ!$I$2:$I$9000,MATCH($N588,МАТЕРИАЛЫ!$L$2:$L$9000,0))="USD",КурсUSD,IF(INDEX(МАТЕРИАЛЫ!$I$2:$I$9000,MATCH($N588,МАТЕРИАЛЫ!$L$2:$L$9000,0))="EUR",КурсEUR,IF(INDEX(МАТЕРИАЛЫ!$I$2:$I$9000,MATCH($N588,МАТЕРИАЛЫ!$L$2:$L$9000,0))="CNY",КурсCNY,1)))*(1+N($H588)/100),0),N($O588))*(1-MEDIAN(0,N(ДисконтТендер),1))))</f>
        <v>0</v>
      </c>
      <c r="U588" t="str">
        <f>IF($L588="да",MAX($U$1:$U587)+1,"")</f>
        <v/>
      </c>
      <c r="V588" t="str">
        <f t="shared" si="66"/>
        <v>Р9</v>
      </c>
      <c r="W588" t="str">
        <f t="shared" si="67"/>
        <v/>
      </c>
      <c r="X588" t="str">
        <f t="shared" si="68"/>
        <v/>
      </c>
      <c r="Y588" s="4" t="str">
        <f>IF($A588="","",IF(AND(LEFT($G588,3)="ДОК",$N588&lt;&gt;""),IFERROR(INDEX(Документация!$G$2:$G$57,MATCH($N588,Документация!$F$2:$F$57,0)),$D588),$D588&amp;IF(AND(LEFT($G588,3)&lt;&gt;"ДОК",$N588&lt;&gt;"")," — "&amp;IFERROR(INDEX(МАТЕРИАЛЫ!$C$2:$C$9000,MATCH($N588,МАТЕРИАЛЫ!$L$2:$L$9000,0)),""),"")))</f>
        <v>Щит 96 модулей, IP43, ABB или Legrand, с замком в комплекте с DIN-рейками, перемычками, шинами РЕ и N</v>
      </c>
      <c r="Z588" t="str">
        <f t="shared" si="69"/>
        <v>Р9 · Электротехнические работы</v>
      </c>
    </row>
    <row r="589" spans="1:26" ht="43.2" x14ac:dyDescent="0.3">
      <c r="A589" t="s">
        <v>1270</v>
      </c>
      <c r="B589" t="s">
        <v>1255</v>
      </c>
      <c r="C589" t="s">
        <v>161</v>
      </c>
      <c r="D589" s="4" t="s">
        <v>1271</v>
      </c>
      <c r="E589" t="s">
        <v>114</v>
      </c>
      <c r="F589" s="5">
        <v>13843.23</v>
      </c>
      <c r="G589" t="s">
        <v>1257</v>
      </c>
      <c r="H589">
        <v>5</v>
      </c>
      <c r="I589" t="s">
        <v>53</v>
      </c>
      <c r="L589" s="6"/>
      <c r="M589" s="6"/>
      <c r="N589" s="6"/>
      <c r="O589" s="5"/>
      <c r="P589" s="7" t="str">
        <f t="shared" si="63"/>
        <v/>
      </c>
      <c r="Q589" s="7" t="str">
        <f t="shared" si="64"/>
        <v/>
      </c>
      <c r="R589" s="7" t="str">
        <f t="shared" si="65"/>
        <v/>
      </c>
      <c r="S589" s="7">
        <f>IF($A589="","",IF(AND(LEFT($G589,3)="ДОК",$N589&lt;&gt;""),IFERROR(INDEX(Документация!$E$2:$E$57,MATCH($N589,Документация!$F$2:$F$57,0)),0),N($F589))*(1-MEDIAN(0,N(ДисконтТендер),1)))</f>
        <v>13843.23</v>
      </c>
      <c r="T589" s="7">
        <f>IF($A589="","",IF(AND(LEFT($G589,3)="ДОК",$N589&lt;&gt;""),0,IF(AND(LEFT($G589,3)&lt;&gt;"ДОК",$N589&lt;&gt;""),IFERROR(INDEX(МАТЕРИАЛЫ!$H$2:$H$9000,MATCH($N589,МАТЕРИАЛЫ!$L$2:$L$9000,0))*IF(INDEX(МАТЕРИАЛЫ!$I$2:$I$9000,MATCH($N589,МАТЕРИАЛЫ!$L$2:$L$9000,0))="USD",КурсUSD,IF(INDEX(МАТЕРИАЛЫ!$I$2:$I$9000,MATCH($N589,МАТЕРИАЛЫ!$L$2:$L$9000,0))="EUR",КурсEUR,IF(INDEX(МАТЕРИАЛЫ!$I$2:$I$9000,MATCH($N589,МАТЕРИАЛЫ!$L$2:$L$9000,0))="CNY",КурсCNY,1)))*(1+N($H589)/100),0),N($O589))*(1-MEDIAN(0,N(ДисконтТендер),1))))</f>
        <v>0</v>
      </c>
      <c r="U589" t="str">
        <f>IF($L589="да",MAX($U$1:$U588)+1,"")</f>
        <v/>
      </c>
      <c r="V589" t="str">
        <f t="shared" si="66"/>
        <v>Р9</v>
      </c>
      <c r="W589" t="str">
        <f t="shared" si="67"/>
        <v/>
      </c>
      <c r="X589" t="str">
        <f t="shared" si="68"/>
        <v/>
      </c>
      <c r="Y589" s="4" t="str">
        <f>IF($A589="","",IF(AND(LEFT($G589,3)="ДОК",$N589&lt;&gt;""),IFERROR(INDEX(Документация!$G$2:$G$57,MATCH($N589,Документация!$F$2:$F$57,0)),$D589),$D589&amp;IF(AND(LEFT($G589,3)&lt;&gt;"ДОК",$N589&lt;&gt;"")," — "&amp;IFERROR(INDEX(МАТЕРИАЛЫ!$C$2:$C$9000,MATCH($N589,МАТЕРИАЛЫ!$L$2:$L$9000,0)),""),"")))</f>
        <v>Щит 144 модулей, IP43, ABB или Legrand, с замком в комплекте с DIN-рейками, перемычками, шинами РЕ и N</v>
      </c>
      <c r="Z589" t="str">
        <f t="shared" si="69"/>
        <v>Р9 · Электротехнические работы</v>
      </c>
    </row>
    <row r="590" spans="1:26" ht="43.2" x14ac:dyDescent="0.3">
      <c r="A590" t="s">
        <v>1272</v>
      </c>
      <c r="B590" t="s">
        <v>1255</v>
      </c>
      <c r="C590" t="s">
        <v>161</v>
      </c>
      <c r="D590" s="4" t="s">
        <v>1273</v>
      </c>
      <c r="E590" t="s">
        <v>114</v>
      </c>
      <c r="F590" s="5">
        <v>20988.12</v>
      </c>
      <c r="G590" t="s">
        <v>1257</v>
      </c>
      <c r="H590">
        <v>5</v>
      </c>
      <c r="I590" t="s">
        <v>53</v>
      </c>
      <c r="L590" s="6"/>
      <c r="M590" s="6"/>
      <c r="N590" s="6"/>
      <c r="O590" s="5"/>
      <c r="P590" s="7" t="str">
        <f t="shared" si="63"/>
        <v/>
      </c>
      <c r="Q590" s="7" t="str">
        <f t="shared" si="64"/>
        <v/>
      </c>
      <c r="R590" s="7" t="str">
        <f t="shared" si="65"/>
        <v/>
      </c>
      <c r="S590" s="7">
        <f>IF($A590="","",IF(AND(LEFT($G590,3)="ДОК",$N590&lt;&gt;""),IFERROR(INDEX(Документация!$E$2:$E$57,MATCH($N590,Документация!$F$2:$F$57,0)),0),N($F590))*(1-MEDIAN(0,N(ДисконтТендер),1)))</f>
        <v>20988.12</v>
      </c>
      <c r="T590" s="7">
        <f>IF($A590="","",IF(AND(LEFT($G590,3)="ДОК",$N590&lt;&gt;""),0,IF(AND(LEFT($G590,3)&lt;&gt;"ДОК",$N590&lt;&gt;""),IFERROR(INDEX(МАТЕРИАЛЫ!$H$2:$H$9000,MATCH($N590,МАТЕРИАЛЫ!$L$2:$L$9000,0))*IF(INDEX(МАТЕРИАЛЫ!$I$2:$I$9000,MATCH($N590,МАТЕРИАЛЫ!$L$2:$L$9000,0))="USD",КурсUSD,IF(INDEX(МАТЕРИАЛЫ!$I$2:$I$9000,MATCH($N590,МАТЕРИАЛЫ!$L$2:$L$9000,0))="EUR",КурсEUR,IF(INDEX(МАТЕРИАЛЫ!$I$2:$I$9000,MATCH($N590,МАТЕРИАЛЫ!$L$2:$L$9000,0))="CNY",КурсCNY,1)))*(1+N($H590)/100),0),N($O590))*(1-MEDIAN(0,N(ДисконтТендер),1))))</f>
        <v>0</v>
      </c>
      <c r="U590" t="str">
        <f>IF($L590="да",MAX($U$1:$U589)+1,"")</f>
        <v/>
      </c>
      <c r="V590" t="str">
        <f t="shared" si="66"/>
        <v>Р9</v>
      </c>
      <c r="W590" t="str">
        <f t="shared" si="67"/>
        <v/>
      </c>
      <c r="X590" t="str">
        <f t="shared" si="68"/>
        <v/>
      </c>
      <c r="Y590" s="4" t="str">
        <f>IF($A590="","",IF(AND(LEFT($G590,3)="ДОК",$N590&lt;&gt;""),IFERROR(INDEX(Документация!$G$2:$G$57,MATCH($N590,Документация!$F$2:$F$57,0)),$D590),$D590&amp;IF(AND(LEFT($G590,3)&lt;&gt;"ДОК",$N590&lt;&gt;"")," — "&amp;IFERROR(INDEX(МАТЕРИАЛЫ!$C$2:$C$9000,MATCH($N590,МАТЕРИАЛЫ!$L$2:$L$9000,0)),""),"")))</f>
        <v>Щит 168 модулей, IP43, ABB или Legrand, с замком в комплекте с DIN-рейками, перемычками, шинами РЕ и N</v>
      </c>
      <c r="Z590" t="str">
        <f t="shared" si="69"/>
        <v>Р9 · Электротехнические работы</v>
      </c>
    </row>
    <row r="591" spans="1:26" x14ac:dyDescent="0.3">
      <c r="A591" t="s">
        <v>1274</v>
      </c>
      <c r="B591" t="s">
        <v>1255</v>
      </c>
      <c r="C591" t="s">
        <v>161</v>
      </c>
      <c r="D591" s="4" t="s">
        <v>1275</v>
      </c>
      <c r="E591" t="s">
        <v>114</v>
      </c>
      <c r="F591" s="5">
        <v>7312.35</v>
      </c>
      <c r="G591" t="s">
        <v>1257</v>
      </c>
      <c r="H591">
        <v>5</v>
      </c>
      <c r="I591" t="s">
        <v>53</v>
      </c>
      <c r="L591" s="6"/>
      <c r="M591" s="6"/>
      <c r="N591" s="6"/>
      <c r="O591" s="5"/>
      <c r="P591" s="7" t="str">
        <f t="shared" si="63"/>
        <v/>
      </c>
      <c r="Q591" s="7" t="str">
        <f t="shared" si="64"/>
        <v/>
      </c>
      <c r="R591" s="7" t="str">
        <f t="shared" si="65"/>
        <v/>
      </c>
      <c r="S591" s="7">
        <f>IF($A591="","",IF(AND(LEFT($G591,3)="ДОК",$N591&lt;&gt;""),IFERROR(INDEX(Документация!$E$2:$E$57,MATCH($N591,Документация!$F$2:$F$57,0)),0),N($F591))*(1-MEDIAN(0,N(ДисконтТендер),1)))</f>
        <v>7312.35</v>
      </c>
      <c r="T591" s="7">
        <f>IF($A591="","",IF(AND(LEFT($G591,3)="ДОК",$N591&lt;&gt;""),0,IF(AND(LEFT($G591,3)&lt;&gt;"ДОК",$N591&lt;&gt;""),IFERROR(INDEX(МАТЕРИАЛЫ!$H$2:$H$9000,MATCH($N591,МАТЕРИАЛЫ!$L$2:$L$9000,0))*IF(INDEX(МАТЕРИАЛЫ!$I$2:$I$9000,MATCH($N591,МАТЕРИАЛЫ!$L$2:$L$9000,0))="USD",КурсUSD,IF(INDEX(МАТЕРИАЛЫ!$I$2:$I$9000,MATCH($N591,МАТЕРИАЛЫ!$L$2:$L$9000,0))="EUR",КурсEUR,IF(INDEX(МАТЕРИАЛЫ!$I$2:$I$9000,MATCH($N591,МАТЕРИАЛЫ!$L$2:$L$9000,0))="CNY",КурсCNY,1)))*(1+N($H591)/100),0),N($O591))*(1-MEDIAN(0,N(ДисконтТендер),1))))</f>
        <v>0</v>
      </c>
      <c r="U591" t="str">
        <f>IF($L591="да",MAX($U$1:$U590)+1,"")</f>
        <v/>
      </c>
      <c r="V591" t="str">
        <f t="shared" si="66"/>
        <v>Р9</v>
      </c>
      <c r="W591" t="str">
        <f t="shared" si="67"/>
        <v/>
      </c>
      <c r="X591" t="str">
        <f t="shared" si="68"/>
        <v/>
      </c>
      <c r="Y591" s="4" t="str">
        <f>IF($A591="","",IF(AND(LEFT($G591,3)="ДОК",$N591&lt;&gt;""),IFERROR(INDEX(Документация!$G$2:$G$57,MATCH($N591,Документация!$F$2:$F$57,0)),$D591),$D591&amp;IF(AND(LEFT($G591,3)&lt;&gt;"ДОК",$N591&lt;&gt;"")," — "&amp;IFERROR(INDEX(МАТЕРИАЛЫ!$C$2:$C$9000,MATCH($N591,МАТЕРИАЛЫ!$L$2:$L$9000,0)),""),"")))</f>
        <v>Щит ППУ 8-12 мод IP 65 красный металлический</v>
      </c>
      <c r="Z591" t="str">
        <f t="shared" si="69"/>
        <v>Р9 · Электротехнические работы</v>
      </c>
    </row>
    <row r="592" spans="1:26" x14ac:dyDescent="0.3">
      <c r="A592" t="s">
        <v>1276</v>
      </c>
      <c r="B592" t="s">
        <v>1255</v>
      </c>
      <c r="C592" t="s">
        <v>161</v>
      </c>
      <c r="D592" s="4" t="s">
        <v>1277</v>
      </c>
      <c r="E592" t="s">
        <v>114</v>
      </c>
      <c r="F592" s="5">
        <v>18264.259999999998</v>
      </c>
      <c r="H592">
        <v>0</v>
      </c>
      <c r="I592" t="s">
        <v>53</v>
      </c>
      <c r="L592" s="6"/>
      <c r="M592" s="6"/>
      <c r="N592" s="6"/>
      <c r="O592" s="5"/>
      <c r="P592" s="7" t="str">
        <f t="shared" si="63"/>
        <v/>
      </c>
      <c r="Q592" s="7" t="str">
        <f t="shared" si="64"/>
        <v/>
      </c>
      <c r="R592" s="7" t="str">
        <f t="shared" si="65"/>
        <v/>
      </c>
      <c r="S592" s="7">
        <f>IF($A592="","",IF(AND(LEFT($G592,3)="ДОК",$N592&lt;&gt;""),IFERROR(INDEX(Документация!$E$2:$E$57,MATCH($N592,Документация!$F$2:$F$57,0)),0),N($F592))*(1-MEDIAN(0,N(ДисконтТендер),1)))</f>
        <v>18264.259999999998</v>
      </c>
      <c r="T592" s="7">
        <f>IF($A592="","",IF(AND(LEFT($G592,3)="ДОК",$N592&lt;&gt;""),0,IF(AND(LEFT($G592,3)&lt;&gt;"ДОК",$N592&lt;&gt;""),IFERROR(INDEX(МАТЕРИАЛЫ!$H$2:$H$9000,MATCH($N592,МАТЕРИАЛЫ!$L$2:$L$9000,0))*IF(INDEX(МАТЕРИАЛЫ!$I$2:$I$9000,MATCH($N592,МАТЕРИАЛЫ!$L$2:$L$9000,0))="USD",КурсUSD,IF(INDEX(МАТЕРИАЛЫ!$I$2:$I$9000,MATCH($N592,МАТЕРИАЛЫ!$L$2:$L$9000,0))="EUR",КурсEUR,IF(INDEX(МАТЕРИАЛЫ!$I$2:$I$9000,MATCH($N592,МАТЕРИАЛЫ!$L$2:$L$9000,0))="CNY",КурсCNY,1)))*(1+N($H592)/100),0),N($O592))*(1-MEDIAN(0,N(ДисконтТендер),1))))</f>
        <v>0</v>
      </c>
      <c r="U592" t="str">
        <f>IF($L592="да",MAX($U$1:$U591)+1,"")</f>
        <v/>
      </c>
      <c r="V592" t="str">
        <f t="shared" si="66"/>
        <v>Р9</v>
      </c>
      <c r="W592" t="str">
        <f t="shared" si="67"/>
        <v/>
      </c>
      <c r="X592" t="str">
        <f t="shared" si="68"/>
        <v/>
      </c>
      <c r="Y592" s="4" t="str">
        <f>IF($A592="","",IF(AND(LEFT($G592,3)="ДОК",$N592&lt;&gt;""),IFERROR(INDEX(Документация!$G$2:$G$57,MATCH($N592,Документация!$F$2:$F$57,0)),$D592),$D592&amp;IF(AND(LEFT($G592,3)&lt;&gt;"ДОК",$N592&lt;&gt;"")," — "&amp;IFERROR(INDEX(МАТЕРИАЛЫ!$C$2:$C$9000,MATCH($N592,МАТЕРИАЛЫ!$L$2:$L$9000,0)),""),"")))</f>
        <v>Автоматический ввод резерва 63А, 380В в сборе</v>
      </c>
      <c r="Z592" t="str">
        <f t="shared" si="69"/>
        <v>Р9 · Электротехнические работы</v>
      </c>
    </row>
    <row r="593" spans="1:26" x14ac:dyDescent="0.3">
      <c r="A593" t="s">
        <v>1278</v>
      </c>
      <c r="B593" t="s">
        <v>1255</v>
      </c>
      <c r="C593" t="s">
        <v>161</v>
      </c>
      <c r="D593" s="4" t="s">
        <v>1279</v>
      </c>
      <c r="E593" t="s">
        <v>114</v>
      </c>
      <c r="F593" s="5">
        <v>31350.799999999999</v>
      </c>
      <c r="H593">
        <v>0</v>
      </c>
      <c r="I593" t="s">
        <v>53</v>
      </c>
      <c r="L593" s="6"/>
      <c r="M593" s="6"/>
      <c r="N593" s="6"/>
      <c r="O593" s="5"/>
      <c r="P593" s="7" t="str">
        <f t="shared" si="63"/>
        <v/>
      </c>
      <c r="Q593" s="7" t="str">
        <f t="shared" si="64"/>
        <v/>
      </c>
      <c r="R593" s="7" t="str">
        <f t="shared" si="65"/>
        <v/>
      </c>
      <c r="S593" s="7">
        <f>IF($A593="","",IF(AND(LEFT($G593,3)="ДОК",$N593&lt;&gt;""),IFERROR(INDEX(Документация!$E$2:$E$57,MATCH($N593,Документация!$F$2:$F$57,0)),0),N($F593))*(1-MEDIAN(0,N(ДисконтТендер),1)))</f>
        <v>31350.799999999999</v>
      </c>
      <c r="T593" s="7">
        <f>IF($A593="","",IF(AND(LEFT($G593,3)="ДОК",$N593&lt;&gt;""),0,IF(AND(LEFT($G593,3)&lt;&gt;"ДОК",$N593&lt;&gt;""),IFERROR(INDEX(МАТЕРИАЛЫ!$H$2:$H$9000,MATCH($N593,МАТЕРИАЛЫ!$L$2:$L$9000,0))*IF(INDEX(МАТЕРИАЛЫ!$I$2:$I$9000,MATCH($N593,МАТЕРИАЛЫ!$L$2:$L$9000,0))="USD",КурсUSD,IF(INDEX(МАТЕРИАЛЫ!$I$2:$I$9000,MATCH($N593,МАТЕРИАЛЫ!$L$2:$L$9000,0))="EUR",КурсEUR,IF(INDEX(МАТЕРИАЛЫ!$I$2:$I$9000,MATCH($N593,МАТЕРИАЛЫ!$L$2:$L$9000,0))="CNY",КурсCNY,1)))*(1+N($H593)/100),0),N($O593))*(1-MEDIAN(0,N(ДисконтТендер),1))))</f>
        <v>0</v>
      </c>
      <c r="U593" t="str">
        <f>IF($L593="да",MAX($U$1:$U592)+1,"")</f>
        <v/>
      </c>
      <c r="V593" t="str">
        <f t="shared" si="66"/>
        <v>Р9</v>
      </c>
      <c r="W593" t="str">
        <f t="shared" si="67"/>
        <v/>
      </c>
      <c r="X593" t="str">
        <f t="shared" si="68"/>
        <v/>
      </c>
      <c r="Y593" s="4" t="str">
        <f>IF($A593="","",IF(AND(LEFT($G593,3)="ДОК",$N593&lt;&gt;""),IFERROR(INDEX(Документация!$G$2:$G$57,MATCH($N593,Документация!$F$2:$F$57,0)),$D593),$D593&amp;IF(AND(LEFT($G593,3)&lt;&gt;"ДОК",$N593&lt;&gt;"")," — "&amp;IFERROR(INDEX(МАТЕРИАЛЫ!$C$2:$C$9000,MATCH($N593,МАТЕРИАЛЫ!$L$2:$L$9000,0)),""),"")))</f>
        <v>Автоматический ввод резерва 80А, 380В в сборе</v>
      </c>
      <c r="Z593" t="str">
        <f t="shared" si="69"/>
        <v>Р9 · Электротехнические работы</v>
      </c>
    </row>
    <row r="594" spans="1:26" x14ac:dyDescent="0.3">
      <c r="A594" t="s">
        <v>1280</v>
      </c>
      <c r="B594" t="s">
        <v>1255</v>
      </c>
      <c r="C594" t="s">
        <v>161</v>
      </c>
      <c r="D594" s="4" t="s">
        <v>1281</v>
      </c>
      <c r="E594" t="s">
        <v>114</v>
      </c>
      <c r="F594" s="5">
        <v>47566.73</v>
      </c>
      <c r="H594">
        <v>0</v>
      </c>
      <c r="I594" t="s">
        <v>53</v>
      </c>
      <c r="L594" s="6"/>
      <c r="M594" s="6"/>
      <c r="N594" s="6"/>
      <c r="O594" s="5"/>
      <c r="P594" s="7" t="str">
        <f t="shared" si="63"/>
        <v/>
      </c>
      <c r="Q594" s="7" t="str">
        <f t="shared" si="64"/>
        <v/>
      </c>
      <c r="R594" s="7" t="str">
        <f t="shared" si="65"/>
        <v/>
      </c>
      <c r="S594" s="7">
        <f>IF($A594="","",IF(AND(LEFT($G594,3)="ДОК",$N594&lt;&gt;""),IFERROR(INDEX(Документация!$E$2:$E$57,MATCH($N594,Документация!$F$2:$F$57,0)),0),N($F594))*(1-MEDIAN(0,N(ДисконтТендер),1)))</f>
        <v>47566.73</v>
      </c>
      <c r="T594" s="7">
        <f>IF($A594="","",IF(AND(LEFT($G594,3)="ДОК",$N594&lt;&gt;""),0,IF(AND(LEFT($G594,3)&lt;&gt;"ДОК",$N594&lt;&gt;""),IFERROR(INDEX(МАТЕРИАЛЫ!$H$2:$H$9000,MATCH($N594,МАТЕРИАЛЫ!$L$2:$L$9000,0))*IF(INDEX(МАТЕРИАЛЫ!$I$2:$I$9000,MATCH($N594,МАТЕРИАЛЫ!$L$2:$L$9000,0))="USD",КурсUSD,IF(INDEX(МАТЕРИАЛЫ!$I$2:$I$9000,MATCH($N594,МАТЕРИАЛЫ!$L$2:$L$9000,0))="EUR",КурсEUR,IF(INDEX(МАТЕРИАЛЫ!$I$2:$I$9000,MATCH($N594,МАТЕРИАЛЫ!$L$2:$L$9000,0))="CNY",КурсCNY,1)))*(1+N($H594)/100),0),N($O594))*(1-MEDIAN(0,N(ДисконтТендер),1))))</f>
        <v>0</v>
      </c>
      <c r="U594" t="str">
        <f>IF($L594="да",MAX($U$1:$U593)+1,"")</f>
        <v/>
      </c>
      <c r="V594" t="str">
        <f t="shared" si="66"/>
        <v>Р9</v>
      </c>
      <c r="W594" t="str">
        <f t="shared" si="67"/>
        <v/>
      </c>
      <c r="X594" t="str">
        <f t="shared" si="68"/>
        <v/>
      </c>
      <c r="Y594" s="4" t="str">
        <f>IF($A594="","",IF(AND(LEFT($G594,3)="ДОК",$N594&lt;&gt;""),IFERROR(INDEX(Документация!$G$2:$G$57,MATCH($N594,Документация!$F$2:$F$57,0)),$D594),$D594&amp;IF(AND(LEFT($G594,3)&lt;&gt;"ДОК",$N594&lt;&gt;"")," — "&amp;IFERROR(INDEX(МАТЕРИАЛЫ!$C$2:$C$9000,MATCH($N594,МАТЕРИАЛЫ!$L$2:$L$9000,0)),""),"")))</f>
        <v>Автоматический ввод резерва 125А, 380В в сборе</v>
      </c>
      <c r="Z594" t="str">
        <f t="shared" si="69"/>
        <v>Р9 · Электротехнические работы</v>
      </c>
    </row>
    <row r="595" spans="1:26" ht="28.8" x14ac:dyDescent="0.3">
      <c r="A595" t="s">
        <v>1282</v>
      </c>
      <c r="B595" t="s">
        <v>1255</v>
      </c>
      <c r="C595" t="s">
        <v>161</v>
      </c>
      <c r="D595" s="4" t="s">
        <v>1283</v>
      </c>
      <c r="E595" t="s">
        <v>114</v>
      </c>
      <c r="F595" s="5">
        <v>870</v>
      </c>
      <c r="G595" t="s">
        <v>1284</v>
      </c>
      <c r="H595">
        <v>5</v>
      </c>
      <c r="I595" t="s">
        <v>53</v>
      </c>
      <c r="L595" s="6"/>
      <c r="M595" s="6"/>
      <c r="N595" s="6"/>
      <c r="O595" s="5"/>
      <c r="P595" s="7" t="str">
        <f t="shared" si="63"/>
        <v/>
      </c>
      <c r="Q595" s="7" t="str">
        <f t="shared" si="64"/>
        <v/>
      </c>
      <c r="R595" s="7" t="str">
        <f t="shared" si="65"/>
        <v/>
      </c>
      <c r="S595" s="7">
        <f>IF($A595="","",IF(AND(LEFT($G595,3)="ДОК",$N595&lt;&gt;""),IFERROR(INDEX(Документация!$E$2:$E$57,MATCH($N595,Документация!$F$2:$F$57,0)),0),N($F595))*(1-MEDIAN(0,N(ДисконтТендер),1)))</f>
        <v>870</v>
      </c>
      <c r="T595" s="7">
        <f>IF($A595="","",IF(AND(LEFT($G595,3)="ДОК",$N595&lt;&gt;""),0,IF(AND(LEFT($G595,3)&lt;&gt;"ДОК",$N595&lt;&gt;""),IFERROR(INDEX(МАТЕРИАЛЫ!$H$2:$H$9000,MATCH($N595,МАТЕРИАЛЫ!$L$2:$L$9000,0))*IF(INDEX(МАТЕРИАЛЫ!$I$2:$I$9000,MATCH($N595,МАТЕРИАЛЫ!$L$2:$L$9000,0))="USD",КурсUSD,IF(INDEX(МАТЕРИАЛЫ!$I$2:$I$9000,MATCH($N595,МАТЕРИАЛЫ!$L$2:$L$9000,0))="EUR",КурсEUR,IF(INDEX(МАТЕРИАЛЫ!$I$2:$I$9000,MATCH($N595,МАТЕРИАЛЫ!$L$2:$L$9000,0))="CNY",КурсCNY,1)))*(1+N($H595)/100),0),N($O595))*(1-MEDIAN(0,N(ДисконтТендер),1))))</f>
        <v>0</v>
      </c>
      <c r="U595" t="str">
        <f>IF($L595="да",MAX($U$1:$U594)+1,"")</f>
        <v/>
      </c>
      <c r="V595" t="str">
        <f t="shared" si="66"/>
        <v>Р9</v>
      </c>
      <c r="W595" t="str">
        <f t="shared" si="67"/>
        <v/>
      </c>
      <c r="X595" t="str">
        <f t="shared" si="68"/>
        <v/>
      </c>
      <c r="Y595" s="4" t="str">
        <f>IF($A595="","",IF(AND(LEFT($G595,3)="ДОК",$N595&lt;&gt;""),IFERROR(INDEX(Документация!$G$2:$G$57,MATCH($N595,Документация!$F$2:$F$57,0)),$D595),$D595&amp;IF(AND(LEFT($G595,3)&lt;&gt;"ДОК",$N595&lt;&gt;"")," — "&amp;IFERROR(INDEX(МАТЕРИАЛЫ!$C$2:$C$9000,MATCH($N595,МАТЕРИАЛЫ!$L$2:$L$9000,0)),""),"")))</f>
        <v>Монтаж модульного аппарата (автомат / УЗО / дифавтомат / рубильник)</v>
      </c>
      <c r="Z595" t="str">
        <f t="shared" si="69"/>
        <v>Р9 · Электротехнические работы</v>
      </c>
    </row>
    <row r="596" spans="1:26" x14ac:dyDescent="0.3">
      <c r="A596" t="s">
        <v>1285</v>
      </c>
      <c r="B596" t="s">
        <v>1255</v>
      </c>
      <c r="C596" t="s">
        <v>161</v>
      </c>
      <c r="D596" s="4" t="s">
        <v>1286</v>
      </c>
      <c r="E596" t="s">
        <v>114</v>
      </c>
      <c r="F596" s="5">
        <v>916.11</v>
      </c>
      <c r="G596" t="s">
        <v>1284</v>
      </c>
      <c r="H596">
        <v>5</v>
      </c>
      <c r="I596" t="s">
        <v>53</v>
      </c>
      <c r="L596" s="6"/>
      <c r="M596" s="6"/>
      <c r="N596" s="6"/>
      <c r="O596" s="5"/>
      <c r="P596" s="7" t="str">
        <f t="shared" si="63"/>
        <v/>
      </c>
      <c r="Q596" s="7" t="str">
        <f t="shared" si="64"/>
        <v/>
      </c>
      <c r="R596" s="7" t="str">
        <f t="shared" si="65"/>
        <v/>
      </c>
      <c r="S596" s="7">
        <f>IF($A596="","",IF(AND(LEFT($G596,3)="ДОК",$N596&lt;&gt;""),IFERROR(INDEX(Документация!$E$2:$E$57,MATCH($N596,Документация!$F$2:$F$57,0)),0),N($F596))*(1-MEDIAN(0,N(ДисконтТендер),1)))</f>
        <v>916.11</v>
      </c>
      <c r="T596" s="7">
        <f>IF($A596="","",IF(AND(LEFT($G596,3)="ДОК",$N596&lt;&gt;""),0,IF(AND(LEFT($G596,3)&lt;&gt;"ДОК",$N596&lt;&gt;""),IFERROR(INDEX(МАТЕРИАЛЫ!$H$2:$H$9000,MATCH($N596,МАТЕРИАЛЫ!$L$2:$L$9000,0))*IF(INDEX(МАТЕРИАЛЫ!$I$2:$I$9000,MATCH($N596,МАТЕРИАЛЫ!$L$2:$L$9000,0))="USD",КурсUSD,IF(INDEX(МАТЕРИАЛЫ!$I$2:$I$9000,MATCH($N596,МАТЕРИАЛЫ!$L$2:$L$9000,0))="EUR",КурсEUR,IF(INDEX(МАТЕРИАЛЫ!$I$2:$I$9000,MATCH($N596,МАТЕРИАЛЫ!$L$2:$L$9000,0))="CNY",КурсCNY,1)))*(1+N($H596)/100),0),N($O596))*(1-MEDIAN(0,N(ДисконтТендер),1))))</f>
        <v>0</v>
      </c>
      <c r="U596" t="str">
        <f>IF($L596="да",MAX($U$1:$U595)+1,"")</f>
        <v/>
      </c>
      <c r="V596" t="str">
        <f t="shared" si="66"/>
        <v>Р9</v>
      </c>
      <c r="W596" t="str">
        <f t="shared" si="67"/>
        <v/>
      </c>
      <c r="X596" t="str">
        <f t="shared" si="68"/>
        <v/>
      </c>
      <c r="Y596" s="4" t="str">
        <f>IF($A596="","",IF(AND(LEFT($G596,3)="ДОК",$N596&lt;&gt;""),IFERROR(INDEX(Документация!$G$2:$G$57,MATCH($N596,Документация!$F$2:$F$57,0)),$D596),$D596&amp;IF(AND(LEFT($G596,3)&lt;&gt;"ДОК",$N596&lt;&gt;"")," — "&amp;IFERROR(INDEX(МАТЕРИАЛЫ!$C$2:$C$9000,MATCH($N596,МАТЕРИАЛЫ!$L$2:$L$9000,0)),""),"")))</f>
        <v>Выключатель нагрузки OT45E3, 45А, ABB</v>
      </c>
      <c r="Z596" t="str">
        <f t="shared" si="69"/>
        <v>Р9 · Электротехнические работы</v>
      </c>
    </row>
    <row r="597" spans="1:26" x14ac:dyDescent="0.3">
      <c r="A597" t="s">
        <v>1287</v>
      </c>
      <c r="B597" t="s">
        <v>1255</v>
      </c>
      <c r="C597" t="s">
        <v>161</v>
      </c>
      <c r="D597" s="4" t="s">
        <v>1288</v>
      </c>
      <c r="E597" t="s">
        <v>114</v>
      </c>
      <c r="F597" s="5">
        <v>1082.6500000000001</v>
      </c>
      <c r="G597" t="s">
        <v>1284</v>
      </c>
      <c r="H597">
        <v>5</v>
      </c>
      <c r="I597" t="s">
        <v>53</v>
      </c>
      <c r="L597" s="6"/>
      <c r="M597" s="6"/>
      <c r="N597" s="6"/>
      <c r="O597" s="5"/>
      <c r="P597" s="7" t="str">
        <f t="shared" si="63"/>
        <v/>
      </c>
      <c r="Q597" s="7" t="str">
        <f t="shared" si="64"/>
        <v/>
      </c>
      <c r="R597" s="7" t="str">
        <f t="shared" si="65"/>
        <v/>
      </c>
      <c r="S597" s="7">
        <f>IF($A597="","",IF(AND(LEFT($G597,3)="ДОК",$N597&lt;&gt;""),IFERROR(INDEX(Документация!$E$2:$E$57,MATCH($N597,Документация!$F$2:$F$57,0)),0),N($F597))*(1-MEDIAN(0,N(ДисконтТендер),1)))</f>
        <v>1082.6500000000001</v>
      </c>
      <c r="T597" s="7">
        <f>IF($A597="","",IF(AND(LEFT($G597,3)="ДОК",$N597&lt;&gt;""),0,IF(AND(LEFT($G597,3)&lt;&gt;"ДОК",$N597&lt;&gt;""),IFERROR(INDEX(МАТЕРИАЛЫ!$H$2:$H$9000,MATCH($N597,МАТЕРИАЛЫ!$L$2:$L$9000,0))*IF(INDEX(МАТЕРИАЛЫ!$I$2:$I$9000,MATCH($N597,МАТЕРИАЛЫ!$L$2:$L$9000,0))="USD",КурсUSD,IF(INDEX(МАТЕРИАЛЫ!$I$2:$I$9000,MATCH($N597,МАТЕРИАЛЫ!$L$2:$L$9000,0))="EUR",КурсEUR,IF(INDEX(МАТЕРИАЛЫ!$I$2:$I$9000,MATCH($N597,МАТЕРИАЛЫ!$L$2:$L$9000,0))="CNY",КурсCNY,1)))*(1+N($H597)/100),0),N($O597))*(1-MEDIAN(0,N(ДисконтТендер),1))))</f>
        <v>0</v>
      </c>
      <c r="U597" t="str">
        <f>IF($L597="да",MAX($U$1:$U596)+1,"")</f>
        <v/>
      </c>
      <c r="V597" t="str">
        <f t="shared" si="66"/>
        <v>Р9</v>
      </c>
      <c r="W597" t="str">
        <f t="shared" si="67"/>
        <v/>
      </c>
      <c r="X597" t="str">
        <f t="shared" si="68"/>
        <v/>
      </c>
      <c r="Y597" s="4" t="str">
        <f>IF($A597="","",IF(AND(LEFT($G597,3)="ДОК",$N597&lt;&gt;""),IFERROR(INDEX(Документация!$G$2:$G$57,MATCH($N597,Документация!$F$2:$F$57,0)),$D597),$D597&amp;IF(AND(LEFT($G597,3)&lt;&gt;"ДОК",$N597&lt;&gt;"")," — "&amp;IFERROR(INDEX(МАТЕРИАЛЫ!$C$2:$C$9000,MATCH($N597,МАТЕРИАЛЫ!$L$2:$L$9000,0)),""),"")))</f>
        <v>Выключатель нагрузки OT63E3, 63А, ABB</v>
      </c>
      <c r="Z597" t="str">
        <f t="shared" si="69"/>
        <v>Р9 · Электротехнические работы</v>
      </c>
    </row>
    <row r="598" spans="1:26" ht="28.8" x14ac:dyDescent="0.3">
      <c r="A598" t="s">
        <v>1289</v>
      </c>
      <c r="B598" t="s">
        <v>1255</v>
      </c>
      <c r="C598" t="s">
        <v>161</v>
      </c>
      <c r="D598" s="4" t="s">
        <v>1283</v>
      </c>
      <c r="E598" t="s">
        <v>114</v>
      </c>
      <c r="F598" s="5">
        <v>1785.39</v>
      </c>
      <c r="G598" t="s">
        <v>1284</v>
      </c>
      <c r="H598">
        <v>5</v>
      </c>
      <c r="I598" t="s">
        <v>53</v>
      </c>
      <c r="L598" s="6"/>
      <c r="M598" s="6"/>
      <c r="N598" s="6"/>
      <c r="O598" s="5"/>
      <c r="P598" s="7" t="str">
        <f t="shared" si="63"/>
        <v/>
      </c>
      <c r="Q598" s="7" t="str">
        <f t="shared" si="64"/>
        <v/>
      </c>
      <c r="R598" s="7" t="str">
        <f t="shared" si="65"/>
        <v/>
      </c>
      <c r="S598" s="7">
        <f>IF($A598="","",IF(AND(LEFT($G598,3)="ДОК",$N598&lt;&gt;""),IFERROR(INDEX(Документация!$E$2:$E$57,MATCH($N598,Документация!$F$2:$F$57,0)),0),N($F598))*(1-MEDIAN(0,N(ДисконтТендер),1)))</f>
        <v>1785.39</v>
      </c>
      <c r="T598" s="7">
        <f>IF($A598="","",IF(AND(LEFT($G598,3)="ДОК",$N598&lt;&gt;""),0,IF(AND(LEFT($G598,3)&lt;&gt;"ДОК",$N598&lt;&gt;""),IFERROR(INDEX(МАТЕРИАЛЫ!$H$2:$H$9000,MATCH($N598,МАТЕРИАЛЫ!$L$2:$L$9000,0))*IF(INDEX(МАТЕРИАЛЫ!$I$2:$I$9000,MATCH($N598,МАТЕРИАЛЫ!$L$2:$L$9000,0))="USD",КурсUSD,IF(INDEX(МАТЕРИАЛЫ!$I$2:$I$9000,MATCH($N598,МАТЕРИАЛЫ!$L$2:$L$9000,0))="EUR",КурсEUR,IF(INDEX(МАТЕРИАЛЫ!$I$2:$I$9000,MATCH($N598,МАТЕРИАЛЫ!$L$2:$L$9000,0))="CNY",КурсCNY,1)))*(1+N($H598)/100),0),N($O598))*(1-MEDIAN(0,N(ДисконтТендер),1))))</f>
        <v>0</v>
      </c>
      <c r="U598" t="str">
        <f>IF($L598="да",MAX($U$1:$U597)+1,"")</f>
        <v/>
      </c>
      <c r="V598" t="str">
        <f t="shared" si="66"/>
        <v>Р9</v>
      </c>
      <c r="W598" t="str">
        <f t="shared" si="67"/>
        <v/>
      </c>
      <c r="X598" t="str">
        <f t="shared" si="68"/>
        <v/>
      </c>
      <c r="Y598" s="4" t="str">
        <f>IF($A598="","",IF(AND(LEFT($G598,3)="ДОК",$N598&lt;&gt;""),IFERROR(INDEX(Документация!$G$2:$G$57,MATCH($N598,Документация!$F$2:$F$57,0)),$D598),$D598&amp;IF(AND(LEFT($G598,3)&lt;&gt;"ДОК",$N598&lt;&gt;"")," — "&amp;IFERROR(INDEX(МАТЕРИАЛЫ!$C$2:$C$9000,MATCH($N598,МАТЕРИАЛЫ!$L$2:$L$9000,0)),""),"")))</f>
        <v>Монтаж модульного аппарата (автомат / УЗО / дифавтомат / рубильник)</v>
      </c>
      <c r="Z598" t="str">
        <f t="shared" si="69"/>
        <v>Р9 · Электротехнические работы</v>
      </c>
    </row>
    <row r="599" spans="1:26" ht="28.8" x14ac:dyDescent="0.3">
      <c r="A599" t="s">
        <v>1290</v>
      </c>
      <c r="B599" t="s">
        <v>1255</v>
      </c>
      <c r="C599" t="s">
        <v>161</v>
      </c>
      <c r="D599" s="4" t="s">
        <v>1291</v>
      </c>
      <c r="E599" t="s">
        <v>114</v>
      </c>
      <c r="F599" s="5">
        <v>2171.52</v>
      </c>
      <c r="H599">
        <v>0</v>
      </c>
      <c r="I599" t="s">
        <v>53</v>
      </c>
      <c r="L599" s="6"/>
      <c r="M599" s="6"/>
      <c r="N599" s="6"/>
      <c r="O599" s="5"/>
      <c r="P599" s="7" t="str">
        <f t="shared" si="63"/>
        <v/>
      </c>
      <c r="Q599" s="7" t="str">
        <f t="shared" si="64"/>
        <v/>
      </c>
      <c r="R599" s="7" t="str">
        <f t="shared" si="65"/>
        <v/>
      </c>
      <c r="S599" s="7">
        <f>IF($A599="","",IF(AND(LEFT($G599,3)="ДОК",$N599&lt;&gt;""),IFERROR(INDEX(Документация!$E$2:$E$57,MATCH($N599,Документация!$F$2:$F$57,0)),0),N($F599))*(1-MEDIAN(0,N(ДисконтТендер),1)))</f>
        <v>2171.52</v>
      </c>
      <c r="T599" s="7">
        <f>IF($A599="","",IF(AND(LEFT($G599,3)="ДОК",$N599&lt;&gt;""),0,IF(AND(LEFT($G599,3)&lt;&gt;"ДОК",$N599&lt;&gt;""),IFERROR(INDEX(МАТЕРИАЛЫ!$H$2:$H$9000,MATCH($N599,МАТЕРИАЛЫ!$L$2:$L$9000,0))*IF(INDEX(МАТЕРИАЛЫ!$I$2:$I$9000,MATCH($N599,МАТЕРИАЛЫ!$L$2:$L$9000,0))="USD",КурсUSD,IF(INDEX(МАТЕРИАЛЫ!$I$2:$I$9000,MATCH($N599,МАТЕРИАЛЫ!$L$2:$L$9000,0))="EUR",КурсEUR,IF(INDEX(МАТЕРИАЛЫ!$I$2:$I$9000,MATCH($N599,МАТЕРИАЛЫ!$L$2:$L$9000,0))="CNY",КурсCNY,1)))*(1+N($H599)/100),0),N($O599))*(1-MEDIAN(0,N(ДисконтТендер),1))))</f>
        <v>0</v>
      </c>
      <c r="U599" t="str">
        <f>IF($L599="да",MAX($U$1:$U598)+1,"")</f>
        <v/>
      </c>
      <c r="V599" t="str">
        <f t="shared" si="66"/>
        <v>Р9</v>
      </c>
      <c r="W599" t="str">
        <f t="shared" si="67"/>
        <v/>
      </c>
      <c r="X599" t="str">
        <f t="shared" si="68"/>
        <v/>
      </c>
      <c r="Y599" s="4" t="str">
        <f>IF($A599="","",IF(AND(LEFT($G599,3)="ДОК",$N599&lt;&gt;""),IFERROR(INDEX(Документация!$G$2:$G$57,MATCH($N599,Документация!$F$2:$F$57,0)),$D599),$D599&amp;IF(AND(LEFT($G599,3)&lt;&gt;"ДОК",$N599&lt;&gt;"")," — "&amp;IFERROR(INDEX(МАТЕРИАЛЫ!$C$2:$C$9000,MATCH($N599,МАТЕРИАЛЫ!$L$2:$L$9000,0)),""),"")))</f>
        <v>Счетчик электроэнергии, Меркурий 231 АТ 01 (двухтарифный, 3-х фазный, 63А)</v>
      </c>
      <c r="Z599" t="str">
        <f t="shared" si="69"/>
        <v>Р9 · Электротехнические работы</v>
      </c>
    </row>
    <row r="600" spans="1:26" ht="43.2" x14ac:dyDescent="0.3">
      <c r="A600" t="s">
        <v>1292</v>
      </c>
      <c r="B600" t="s">
        <v>1255</v>
      </c>
      <c r="C600" t="s">
        <v>161</v>
      </c>
      <c r="D600" s="4" t="s">
        <v>1293</v>
      </c>
      <c r="E600" t="s">
        <v>114</v>
      </c>
      <c r="F600" s="5">
        <v>3300</v>
      </c>
      <c r="H600">
        <v>0</v>
      </c>
      <c r="I600" t="s">
        <v>53</v>
      </c>
      <c r="L600" s="6"/>
      <c r="M600" s="6"/>
      <c r="N600" s="6"/>
      <c r="O600" s="5"/>
      <c r="P600" s="7" t="str">
        <f t="shared" si="63"/>
        <v/>
      </c>
      <c r="Q600" s="7" t="str">
        <f t="shared" si="64"/>
        <v/>
      </c>
      <c r="R600" s="7" t="str">
        <f t="shared" si="65"/>
        <v/>
      </c>
      <c r="S600" s="7">
        <f>IF($A600="","",IF(AND(LEFT($G600,3)="ДОК",$N600&lt;&gt;""),IFERROR(INDEX(Документация!$E$2:$E$57,MATCH($N600,Документация!$F$2:$F$57,0)),0),N($F600))*(1-MEDIAN(0,N(ДисконтТендер),1)))</f>
        <v>3300</v>
      </c>
      <c r="T600" s="7">
        <f>IF($A600="","",IF(AND(LEFT($G600,3)="ДОК",$N600&lt;&gt;""),0,IF(AND(LEFT($G600,3)&lt;&gt;"ДОК",$N600&lt;&gt;""),IFERROR(INDEX(МАТЕРИАЛЫ!$H$2:$H$9000,MATCH($N600,МАТЕРИАЛЫ!$L$2:$L$9000,0))*IF(INDEX(МАТЕРИАЛЫ!$I$2:$I$9000,MATCH($N600,МАТЕРИАЛЫ!$L$2:$L$9000,0))="USD",КурсUSD,IF(INDEX(МАТЕРИАЛЫ!$I$2:$I$9000,MATCH($N600,МАТЕРИАЛЫ!$L$2:$L$9000,0))="EUR",КурсEUR,IF(INDEX(МАТЕРИАЛЫ!$I$2:$I$9000,MATCH($N600,МАТЕРИАЛЫ!$L$2:$L$9000,0))="CNY",КурсCNY,1)))*(1+N($H600)/100),0),N($O600))*(1-MEDIAN(0,N(ДисконтТендер),1))))</f>
        <v>0</v>
      </c>
      <c r="U600" t="str">
        <f>IF($L600="да",MAX($U$1:$U599)+1,"")</f>
        <v/>
      </c>
      <c r="V600" t="str">
        <f t="shared" si="66"/>
        <v>Р9</v>
      </c>
      <c r="W600" t="str">
        <f t="shared" si="67"/>
        <v/>
      </c>
      <c r="X600" t="str">
        <f t="shared" si="68"/>
        <v/>
      </c>
      <c r="Y600" s="4" t="str">
        <f>IF($A600="","",IF(AND(LEFT($G600,3)="ДОК",$N600&lt;&gt;""),IFERROR(INDEX(Документация!$G$2:$G$57,MATCH($N600,Документация!$F$2:$F$57,0)),$D600),$D600&amp;IF(AND(LEFT($G600,3)&lt;&gt;"ДОК",$N600&lt;&gt;"")," — "&amp;IFERROR(INDEX(МАТЕРИАЛЫ!$C$2:$C$9000,MATCH($N600,МАТЕРИАЛЫ!$L$2:$L$9000,0)),""),"")))</f>
        <v>Счетчик электроэнергии, Меркурий 231 АТ 01 с трансформаторами тока (двухтарифный, 3-х фазный, 63А)</v>
      </c>
      <c r="Z600" t="str">
        <f t="shared" si="69"/>
        <v>Р9 · Электротехнические работы</v>
      </c>
    </row>
    <row r="601" spans="1:26" ht="28.8" x14ac:dyDescent="0.3">
      <c r="A601" t="s">
        <v>1294</v>
      </c>
      <c r="B601" t="s">
        <v>1255</v>
      </c>
      <c r="C601" t="s">
        <v>161</v>
      </c>
      <c r="D601" s="4" t="s">
        <v>1295</v>
      </c>
      <c r="E601" t="s">
        <v>114</v>
      </c>
      <c r="F601" s="5">
        <v>1050.23</v>
      </c>
      <c r="G601" t="s">
        <v>1257</v>
      </c>
      <c r="H601">
        <v>5</v>
      </c>
      <c r="I601" t="s">
        <v>53</v>
      </c>
      <c r="L601" s="6"/>
      <c r="M601" s="6"/>
      <c r="N601" s="6"/>
      <c r="O601" s="5"/>
      <c r="P601" s="7" t="str">
        <f t="shared" si="63"/>
        <v/>
      </c>
      <c r="Q601" s="7" t="str">
        <f t="shared" si="64"/>
        <v/>
      </c>
      <c r="R601" s="7" t="str">
        <f t="shared" si="65"/>
        <v/>
      </c>
      <c r="S601" s="7">
        <f>IF($A601="","",IF(AND(LEFT($G601,3)="ДОК",$N601&lt;&gt;""),IFERROR(INDEX(Документация!$E$2:$E$57,MATCH($N601,Документация!$F$2:$F$57,0)),0),N($F601))*(1-MEDIAN(0,N(ДисконтТендер),1)))</f>
        <v>1050.23</v>
      </c>
      <c r="T601" s="7">
        <f>IF($A601="","",IF(AND(LEFT($G601,3)="ДОК",$N601&lt;&gt;""),0,IF(AND(LEFT($G601,3)&lt;&gt;"ДОК",$N601&lt;&gt;""),IFERROR(INDEX(МАТЕРИАЛЫ!$H$2:$H$9000,MATCH($N601,МАТЕРИАЛЫ!$L$2:$L$9000,0))*IF(INDEX(МАТЕРИАЛЫ!$I$2:$I$9000,MATCH($N601,МАТЕРИАЛЫ!$L$2:$L$9000,0))="USD",КурсUSD,IF(INDEX(МАТЕРИАЛЫ!$I$2:$I$9000,MATCH($N601,МАТЕРИАЛЫ!$L$2:$L$9000,0))="EUR",КурсEUR,IF(INDEX(МАТЕРИАЛЫ!$I$2:$I$9000,MATCH($N601,МАТЕРИАЛЫ!$L$2:$L$9000,0))="CNY",КурсCNY,1)))*(1+N($H601)/100),0),N($O601))*(1-MEDIAN(0,N(ДисконтТендер),1))))</f>
        <v>0</v>
      </c>
      <c r="U601" t="str">
        <f>IF($L601="да",MAX($U$1:$U600)+1,"")</f>
        <v/>
      </c>
      <c r="V601" t="str">
        <f t="shared" si="66"/>
        <v>Р9</v>
      </c>
      <c r="W601" t="str">
        <f t="shared" si="67"/>
        <v/>
      </c>
      <c r="X601" t="str">
        <f t="shared" si="68"/>
        <v/>
      </c>
      <c r="Y601" s="4" t="str">
        <f>IF($A601="","",IF(AND(LEFT($G601,3)="ДОК",$N601&lt;&gt;""),IFERROR(INDEX(Документация!$G$2:$G$57,MATCH($N601,Документация!$F$2:$F$57,0)),$D601),$D601&amp;IF(AND(LEFT($G601,3)&lt;&gt;"ДОК",$N601&lt;&gt;"")," — "&amp;IFERROR(INDEX(МАТЕРИАЛЫ!$C$2:$C$9000,MATCH($N601,МАТЕРИАЛЫ!$L$2:$L$9000,0)),""),"")))</f>
        <v>Устройство защитного отключения 2пол. тип A 16A 10mA F202 A-16/0,01 ABB</v>
      </c>
      <c r="Z601" t="str">
        <f t="shared" si="69"/>
        <v>Р9 · Электротехнические работы</v>
      </c>
    </row>
    <row r="602" spans="1:26" ht="28.8" x14ac:dyDescent="0.3">
      <c r="A602" t="s">
        <v>1296</v>
      </c>
      <c r="B602" t="s">
        <v>1255</v>
      </c>
      <c r="C602" t="s">
        <v>161</v>
      </c>
      <c r="D602" s="4" t="s">
        <v>1297</v>
      </c>
      <c r="E602" t="s">
        <v>114</v>
      </c>
      <c r="F602" s="5">
        <v>1522.83</v>
      </c>
      <c r="G602" t="s">
        <v>1257</v>
      </c>
      <c r="H602">
        <v>5</v>
      </c>
      <c r="I602" t="s">
        <v>53</v>
      </c>
      <c r="L602" s="6"/>
      <c r="M602" s="6"/>
      <c r="N602" s="6"/>
      <c r="O602" s="5"/>
      <c r="P602" s="7" t="str">
        <f t="shared" si="63"/>
        <v/>
      </c>
      <c r="Q602" s="7" t="str">
        <f t="shared" si="64"/>
        <v/>
      </c>
      <c r="R602" s="7" t="str">
        <f t="shared" si="65"/>
        <v/>
      </c>
      <c r="S602" s="7">
        <f>IF($A602="","",IF(AND(LEFT($G602,3)="ДОК",$N602&lt;&gt;""),IFERROR(INDEX(Документация!$E$2:$E$57,MATCH($N602,Документация!$F$2:$F$57,0)),0),N($F602))*(1-MEDIAN(0,N(ДисконтТендер),1)))</f>
        <v>1522.83</v>
      </c>
      <c r="T602" s="7">
        <f>IF($A602="","",IF(AND(LEFT($G602,3)="ДОК",$N602&lt;&gt;""),0,IF(AND(LEFT($G602,3)&lt;&gt;"ДОК",$N602&lt;&gt;""),IFERROR(INDEX(МАТЕРИАЛЫ!$H$2:$H$9000,MATCH($N602,МАТЕРИАЛЫ!$L$2:$L$9000,0))*IF(INDEX(МАТЕРИАЛЫ!$I$2:$I$9000,MATCH($N602,МАТЕРИАЛЫ!$L$2:$L$9000,0))="USD",КурсUSD,IF(INDEX(МАТЕРИАЛЫ!$I$2:$I$9000,MATCH($N602,МАТЕРИАЛЫ!$L$2:$L$9000,0))="EUR",КурсEUR,IF(INDEX(МАТЕРИАЛЫ!$I$2:$I$9000,MATCH($N602,МАТЕРИАЛЫ!$L$2:$L$9000,0))="CNY",КурсCNY,1)))*(1+N($H602)/100),0),N($O602))*(1-MEDIAN(0,N(ДисконтТендер),1))))</f>
        <v>0</v>
      </c>
      <c r="U602" t="str">
        <f>IF($L602="да",MAX($U$1:$U601)+1,"")</f>
        <v/>
      </c>
      <c r="V602" t="str">
        <f t="shared" si="66"/>
        <v>Р9</v>
      </c>
      <c r="W602" t="str">
        <f t="shared" si="67"/>
        <v/>
      </c>
      <c r="X602" t="str">
        <f t="shared" si="68"/>
        <v/>
      </c>
      <c r="Y602" s="4" t="str">
        <f>IF($A602="","",IF(AND(LEFT($G602,3)="ДОК",$N602&lt;&gt;""),IFERROR(INDEX(Документация!$G$2:$G$57,MATCH($N602,Документация!$F$2:$F$57,0)),$D602),$D602&amp;IF(AND(LEFT($G602,3)&lt;&gt;"ДОК",$N602&lt;&gt;"")," — "&amp;IFERROR(INDEX(МАТЕРИАЛЫ!$C$2:$C$9000,MATCH($N602,МАТЕРИАЛЫ!$L$2:$L$9000,0)),""),"")))</f>
        <v>Устройство защитного отключения 2пол. тип A 25A 30mA F202 A-25/0,03 АВВ</v>
      </c>
      <c r="Z602" t="str">
        <f t="shared" si="69"/>
        <v>Р9 · Электротехнические работы</v>
      </c>
    </row>
    <row r="603" spans="1:26" ht="28.8" x14ac:dyDescent="0.3">
      <c r="A603" t="s">
        <v>1298</v>
      </c>
      <c r="B603" t="s">
        <v>1255</v>
      </c>
      <c r="C603" t="s">
        <v>161</v>
      </c>
      <c r="D603" s="4" t="s">
        <v>1299</v>
      </c>
      <c r="E603" t="s">
        <v>114</v>
      </c>
      <c r="F603" s="5">
        <v>1890.41</v>
      </c>
      <c r="G603" t="s">
        <v>1257</v>
      </c>
      <c r="H603">
        <v>5</v>
      </c>
      <c r="I603" t="s">
        <v>53</v>
      </c>
      <c r="L603" s="6"/>
      <c r="M603" s="6"/>
      <c r="N603" s="6"/>
      <c r="O603" s="5"/>
      <c r="P603" s="7" t="str">
        <f t="shared" si="63"/>
        <v/>
      </c>
      <c r="Q603" s="7" t="str">
        <f t="shared" si="64"/>
        <v/>
      </c>
      <c r="R603" s="7" t="str">
        <f t="shared" si="65"/>
        <v/>
      </c>
      <c r="S603" s="7">
        <f>IF($A603="","",IF(AND(LEFT($G603,3)="ДОК",$N603&lt;&gt;""),IFERROR(INDEX(Документация!$E$2:$E$57,MATCH($N603,Документация!$F$2:$F$57,0)),0),N($F603))*(1-MEDIAN(0,N(ДисконтТендер),1)))</f>
        <v>1890.41</v>
      </c>
      <c r="T603" s="7">
        <f>IF($A603="","",IF(AND(LEFT($G603,3)="ДОК",$N603&lt;&gt;""),0,IF(AND(LEFT($G603,3)&lt;&gt;"ДОК",$N603&lt;&gt;""),IFERROR(INDEX(МАТЕРИАЛЫ!$H$2:$H$9000,MATCH($N603,МАТЕРИАЛЫ!$L$2:$L$9000,0))*IF(INDEX(МАТЕРИАЛЫ!$I$2:$I$9000,MATCH($N603,МАТЕРИАЛЫ!$L$2:$L$9000,0))="USD",КурсUSD,IF(INDEX(МАТЕРИАЛЫ!$I$2:$I$9000,MATCH($N603,МАТЕРИАЛЫ!$L$2:$L$9000,0))="EUR",КурсEUR,IF(INDEX(МАТЕРИАЛЫ!$I$2:$I$9000,MATCH($N603,МАТЕРИАЛЫ!$L$2:$L$9000,0))="CNY",КурсCNY,1)))*(1+N($H603)/100),0),N($O603))*(1-MEDIAN(0,N(ДисконтТендер),1))))</f>
        <v>0</v>
      </c>
      <c r="U603" t="str">
        <f>IF($L603="да",MAX($U$1:$U602)+1,"")</f>
        <v/>
      </c>
      <c r="V603" t="str">
        <f t="shared" si="66"/>
        <v>Р9</v>
      </c>
      <c r="W603" t="str">
        <f t="shared" si="67"/>
        <v/>
      </c>
      <c r="X603" t="str">
        <f t="shared" si="68"/>
        <v/>
      </c>
      <c r="Y603" s="4" t="str">
        <f>IF($A603="","",IF(AND(LEFT($G603,3)="ДОК",$N603&lt;&gt;""),IFERROR(INDEX(Документация!$G$2:$G$57,MATCH($N603,Документация!$F$2:$F$57,0)),$D603),$D603&amp;IF(AND(LEFT($G603,3)&lt;&gt;"ДОК",$N603&lt;&gt;"")," — "&amp;IFERROR(INDEX(МАТЕРИАЛЫ!$C$2:$C$9000,MATCH($N603,МАТЕРИАЛЫ!$L$2:$L$9000,0)),""),"")))</f>
        <v>Устройство защитного отключения 2пол. тип A 40A 30mA F202 A-40/0,03 АВВ</v>
      </c>
      <c r="Z603" t="str">
        <f t="shared" si="69"/>
        <v>Р9 · Электротехнические работы</v>
      </c>
    </row>
    <row r="604" spans="1:26" ht="28.8" x14ac:dyDescent="0.3">
      <c r="A604" t="s">
        <v>1300</v>
      </c>
      <c r="B604" t="s">
        <v>1255</v>
      </c>
      <c r="C604" t="s">
        <v>161</v>
      </c>
      <c r="D604" s="4" t="s">
        <v>1301</v>
      </c>
      <c r="E604" t="s">
        <v>114</v>
      </c>
      <c r="F604" s="5">
        <v>2520.54</v>
      </c>
      <c r="G604" t="s">
        <v>1257</v>
      </c>
      <c r="H604">
        <v>5</v>
      </c>
      <c r="I604" t="s">
        <v>53</v>
      </c>
      <c r="L604" s="6"/>
      <c r="M604" s="6"/>
      <c r="N604" s="6"/>
      <c r="O604" s="5"/>
      <c r="P604" s="7" t="str">
        <f t="shared" si="63"/>
        <v/>
      </c>
      <c r="Q604" s="7" t="str">
        <f t="shared" si="64"/>
        <v/>
      </c>
      <c r="R604" s="7" t="str">
        <f t="shared" si="65"/>
        <v/>
      </c>
      <c r="S604" s="7">
        <f>IF($A604="","",IF(AND(LEFT($G604,3)="ДОК",$N604&lt;&gt;""),IFERROR(INDEX(Документация!$E$2:$E$57,MATCH($N604,Документация!$F$2:$F$57,0)),0),N($F604))*(1-MEDIAN(0,N(ДисконтТендер),1)))</f>
        <v>2520.54</v>
      </c>
      <c r="T604" s="7">
        <f>IF($A604="","",IF(AND(LEFT($G604,3)="ДОК",$N604&lt;&gt;""),0,IF(AND(LEFT($G604,3)&lt;&gt;"ДОК",$N604&lt;&gt;""),IFERROR(INDEX(МАТЕРИАЛЫ!$H$2:$H$9000,MATCH($N604,МАТЕРИАЛЫ!$L$2:$L$9000,0))*IF(INDEX(МАТЕРИАЛЫ!$I$2:$I$9000,MATCH($N604,МАТЕРИАЛЫ!$L$2:$L$9000,0))="USD",КурсUSD,IF(INDEX(МАТЕРИАЛЫ!$I$2:$I$9000,MATCH($N604,МАТЕРИАЛЫ!$L$2:$L$9000,0))="EUR",КурсEUR,IF(INDEX(МАТЕРИАЛЫ!$I$2:$I$9000,MATCH($N604,МАТЕРИАЛЫ!$L$2:$L$9000,0))="CNY",КурсCNY,1)))*(1+N($H604)/100),0),N($O604))*(1-MEDIAN(0,N(ДисконтТендер),1))))</f>
        <v>0</v>
      </c>
      <c r="U604" t="str">
        <f>IF($L604="да",MAX($U$1:$U603)+1,"")</f>
        <v/>
      </c>
      <c r="V604" t="str">
        <f t="shared" si="66"/>
        <v>Р9</v>
      </c>
      <c r="W604" t="str">
        <f t="shared" si="67"/>
        <v/>
      </c>
      <c r="X604" t="str">
        <f t="shared" si="68"/>
        <v/>
      </c>
      <c r="Y604" s="4" t="str">
        <f>IF($A604="","",IF(AND(LEFT($G604,3)="ДОК",$N604&lt;&gt;""),IFERROR(INDEX(Документация!$G$2:$G$57,MATCH($N604,Документация!$F$2:$F$57,0)),$D604),$D604&amp;IF(AND(LEFT($G604,3)&lt;&gt;"ДОК",$N604&lt;&gt;"")," — "&amp;IFERROR(INDEX(МАТЕРИАЛЫ!$C$2:$C$9000,MATCH($N604,МАТЕРИАЛЫ!$L$2:$L$9000,0)),""),"")))</f>
        <v>Устройство защитного отключения 2пол. тип AC 63A 100mA F202 AC-63/0,1 АВВ</v>
      </c>
      <c r="Z604" t="str">
        <f t="shared" si="69"/>
        <v>Р9 · Электротехнические работы</v>
      </c>
    </row>
    <row r="605" spans="1:26" ht="28.8" x14ac:dyDescent="0.3">
      <c r="A605" t="s">
        <v>1302</v>
      </c>
      <c r="B605" t="s">
        <v>1255</v>
      </c>
      <c r="C605" t="s">
        <v>161</v>
      </c>
      <c r="D605" s="4" t="s">
        <v>1303</v>
      </c>
      <c r="E605" t="s">
        <v>114</v>
      </c>
      <c r="F605" s="5">
        <v>2152.96</v>
      </c>
      <c r="G605" t="s">
        <v>1257</v>
      </c>
      <c r="H605">
        <v>5</v>
      </c>
      <c r="I605" t="s">
        <v>53</v>
      </c>
      <c r="L605" s="6"/>
      <c r="M605" s="6"/>
      <c r="N605" s="6"/>
      <c r="O605" s="5"/>
      <c r="P605" s="7" t="str">
        <f t="shared" si="63"/>
        <v/>
      </c>
      <c r="Q605" s="7" t="str">
        <f t="shared" si="64"/>
        <v/>
      </c>
      <c r="R605" s="7" t="str">
        <f t="shared" si="65"/>
        <v/>
      </c>
      <c r="S605" s="7">
        <f>IF($A605="","",IF(AND(LEFT($G605,3)="ДОК",$N605&lt;&gt;""),IFERROR(INDEX(Документация!$E$2:$E$57,MATCH($N605,Документация!$F$2:$F$57,0)),0),N($F605))*(1-MEDIAN(0,N(ДисконтТендер),1)))</f>
        <v>2152.96</v>
      </c>
      <c r="T605" s="7">
        <f>IF($A605="","",IF(AND(LEFT($G605,3)="ДОК",$N605&lt;&gt;""),0,IF(AND(LEFT($G605,3)&lt;&gt;"ДОК",$N605&lt;&gt;""),IFERROR(INDEX(МАТЕРИАЛЫ!$H$2:$H$9000,MATCH($N605,МАТЕРИАЛЫ!$L$2:$L$9000,0))*IF(INDEX(МАТЕРИАЛЫ!$I$2:$I$9000,MATCH($N605,МАТЕРИАЛЫ!$L$2:$L$9000,0))="USD",КурсUSD,IF(INDEX(МАТЕРИАЛЫ!$I$2:$I$9000,MATCH($N605,МАТЕРИАЛЫ!$L$2:$L$9000,0))="EUR",КурсEUR,IF(INDEX(МАТЕРИАЛЫ!$I$2:$I$9000,MATCH($N605,МАТЕРИАЛЫ!$L$2:$L$9000,0))="CNY",КурсCNY,1)))*(1+N($H605)/100),0),N($O605))*(1-MEDIAN(0,N(ДисконтТендер),1))))</f>
        <v>0</v>
      </c>
      <c r="U605" t="str">
        <f>IF($L605="да",MAX($U$1:$U604)+1,"")</f>
        <v/>
      </c>
      <c r="V605" t="str">
        <f t="shared" si="66"/>
        <v>Р9</v>
      </c>
      <c r="W605" t="str">
        <f t="shared" si="67"/>
        <v/>
      </c>
      <c r="X605" t="str">
        <f t="shared" si="68"/>
        <v/>
      </c>
      <c r="Y605" s="4" t="str">
        <f>IF($A605="","",IF(AND(LEFT($G605,3)="ДОК",$N605&lt;&gt;""),IFERROR(INDEX(Документация!$G$2:$G$57,MATCH($N605,Документация!$F$2:$F$57,0)),$D605),$D605&amp;IF(AND(LEFT($G605,3)&lt;&gt;"ДОК",$N605&lt;&gt;"")," — "&amp;IFERROR(INDEX(МАТЕРИАЛЫ!$C$2:$C$9000,MATCH($N605,МАТЕРИАЛЫ!$L$2:$L$9000,0)),""),"")))</f>
        <v>Устройство защитного отключения 4пол. F204 AC-40/0,1 ABB</v>
      </c>
      <c r="Z605" t="str">
        <f t="shared" si="69"/>
        <v>Р9 · Электротехнические работы</v>
      </c>
    </row>
    <row r="606" spans="1:26" ht="28.8" x14ac:dyDescent="0.3">
      <c r="A606" t="s">
        <v>1304</v>
      </c>
      <c r="B606" t="s">
        <v>1255</v>
      </c>
      <c r="C606" t="s">
        <v>161</v>
      </c>
      <c r="D606" s="4" t="s">
        <v>1305</v>
      </c>
      <c r="E606" t="s">
        <v>114</v>
      </c>
      <c r="F606" s="5">
        <v>1417.8</v>
      </c>
      <c r="G606" t="s">
        <v>1257</v>
      </c>
      <c r="H606">
        <v>5</v>
      </c>
      <c r="I606" t="s">
        <v>53</v>
      </c>
      <c r="L606" s="6"/>
      <c r="M606" s="6"/>
      <c r="N606" s="6"/>
      <c r="O606" s="5"/>
      <c r="P606" s="7" t="str">
        <f t="shared" si="63"/>
        <v/>
      </c>
      <c r="Q606" s="7" t="str">
        <f t="shared" si="64"/>
        <v/>
      </c>
      <c r="R606" s="7" t="str">
        <f t="shared" si="65"/>
        <v/>
      </c>
      <c r="S606" s="7">
        <f>IF($A606="","",IF(AND(LEFT($G606,3)="ДОК",$N606&lt;&gt;""),IFERROR(INDEX(Документация!$E$2:$E$57,MATCH($N606,Документация!$F$2:$F$57,0)),0),N($F606))*(1-MEDIAN(0,N(ДисконтТендер),1)))</f>
        <v>1417.8</v>
      </c>
      <c r="T606" s="7">
        <f>IF($A606="","",IF(AND(LEFT($G606,3)="ДОК",$N606&lt;&gt;""),0,IF(AND(LEFT($G606,3)&lt;&gt;"ДОК",$N606&lt;&gt;""),IFERROR(INDEX(МАТЕРИАЛЫ!$H$2:$H$9000,MATCH($N606,МАТЕРИАЛЫ!$L$2:$L$9000,0))*IF(INDEX(МАТЕРИАЛЫ!$I$2:$I$9000,MATCH($N606,МАТЕРИАЛЫ!$L$2:$L$9000,0))="USD",КурсUSD,IF(INDEX(МАТЕРИАЛЫ!$I$2:$I$9000,MATCH($N606,МАТЕРИАЛЫ!$L$2:$L$9000,0))="EUR",КурсEUR,IF(INDEX(МАТЕРИАЛЫ!$I$2:$I$9000,MATCH($N606,МАТЕРИАЛЫ!$L$2:$L$9000,0))="CNY",КурсCNY,1)))*(1+N($H606)/100),0),N($O606))*(1-MEDIAN(0,N(ДисконтТендер),1))))</f>
        <v>0</v>
      </c>
      <c r="U606" t="str">
        <f>IF($L606="да",MAX($U$1:$U605)+1,"")</f>
        <v/>
      </c>
      <c r="V606" t="str">
        <f t="shared" si="66"/>
        <v>Р9</v>
      </c>
      <c r="W606" t="str">
        <f t="shared" si="67"/>
        <v/>
      </c>
      <c r="X606" t="str">
        <f t="shared" si="68"/>
        <v/>
      </c>
      <c r="Y606" s="4" t="str">
        <f>IF($A606="","",IF(AND(LEFT($G606,3)="ДОК",$N606&lt;&gt;""),IFERROR(INDEX(Документация!$G$2:$G$57,MATCH($N606,Документация!$F$2:$F$57,0)),$D606),$D606&amp;IF(AND(LEFT($G606,3)&lt;&gt;"ДОК",$N606&lt;&gt;"")," — "&amp;IFERROR(INDEX(МАТЕРИАЛЫ!$C$2:$C$9000,MATCH($N606,МАТЕРИАЛЫ!$L$2:$L$9000,0)),""),"")))</f>
        <v>Устройство защитного отключения 4пол. тип A 25A 30mA F204 A-25/0,03 АВВ</v>
      </c>
      <c r="Z606" t="str">
        <f t="shared" si="69"/>
        <v>Р9 · Электротехнические работы</v>
      </c>
    </row>
    <row r="607" spans="1:26" ht="28.8" x14ac:dyDescent="0.3">
      <c r="A607" t="s">
        <v>1306</v>
      </c>
      <c r="B607" t="s">
        <v>1255</v>
      </c>
      <c r="C607" t="s">
        <v>161</v>
      </c>
      <c r="D607" s="4" t="s">
        <v>1307</v>
      </c>
      <c r="E607" t="s">
        <v>114</v>
      </c>
      <c r="F607" s="5">
        <v>2363.0100000000002</v>
      </c>
      <c r="G607" t="s">
        <v>1257</v>
      </c>
      <c r="H607">
        <v>5</v>
      </c>
      <c r="I607" t="s">
        <v>53</v>
      </c>
      <c r="L607" s="6"/>
      <c r="M607" s="6"/>
      <c r="N607" s="6"/>
      <c r="O607" s="5"/>
      <c r="P607" s="7" t="str">
        <f t="shared" si="63"/>
        <v/>
      </c>
      <c r="Q607" s="7" t="str">
        <f t="shared" si="64"/>
        <v/>
      </c>
      <c r="R607" s="7" t="str">
        <f t="shared" si="65"/>
        <v/>
      </c>
      <c r="S607" s="7">
        <f>IF($A607="","",IF(AND(LEFT($G607,3)="ДОК",$N607&lt;&gt;""),IFERROR(INDEX(Документация!$E$2:$E$57,MATCH($N607,Документация!$F$2:$F$57,0)),0),N($F607))*(1-MEDIAN(0,N(ДисконтТендер),1)))</f>
        <v>2363.0100000000002</v>
      </c>
      <c r="T607" s="7">
        <f>IF($A607="","",IF(AND(LEFT($G607,3)="ДОК",$N607&lt;&gt;""),0,IF(AND(LEFT($G607,3)&lt;&gt;"ДОК",$N607&lt;&gt;""),IFERROR(INDEX(МАТЕРИАЛЫ!$H$2:$H$9000,MATCH($N607,МАТЕРИАЛЫ!$L$2:$L$9000,0))*IF(INDEX(МАТЕРИАЛЫ!$I$2:$I$9000,MATCH($N607,МАТЕРИАЛЫ!$L$2:$L$9000,0))="USD",КурсUSD,IF(INDEX(МАТЕРИАЛЫ!$I$2:$I$9000,MATCH($N607,МАТЕРИАЛЫ!$L$2:$L$9000,0))="EUR",КурсEUR,IF(INDEX(МАТЕРИАЛЫ!$I$2:$I$9000,MATCH($N607,МАТЕРИАЛЫ!$L$2:$L$9000,0))="CNY",КурсCNY,1)))*(1+N($H607)/100),0),N($O607))*(1-MEDIAN(0,N(ДисконтТендер),1))))</f>
        <v>0</v>
      </c>
      <c r="U607" t="str">
        <f>IF($L607="да",MAX($U$1:$U606)+1,"")</f>
        <v/>
      </c>
      <c r="V607" t="str">
        <f t="shared" si="66"/>
        <v>Р9</v>
      </c>
      <c r="W607" t="str">
        <f t="shared" si="67"/>
        <v/>
      </c>
      <c r="X607" t="str">
        <f t="shared" si="68"/>
        <v/>
      </c>
      <c r="Y607" s="4" t="str">
        <f>IF($A607="","",IF(AND(LEFT($G607,3)="ДОК",$N607&lt;&gt;""),IFERROR(INDEX(Документация!$G$2:$G$57,MATCH($N607,Документация!$F$2:$F$57,0)),$D607),$D607&amp;IF(AND(LEFT($G607,3)&lt;&gt;"ДОК",$N607&lt;&gt;"")," — "&amp;IFERROR(INDEX(МАТЕРИАЛЫ!$C$2:$C$9000,MATCH($N607,МАТЕРИАЛЫ!$L$2:$L$9000,0)),""),"")))</f>
        <v>Устройство защитного отключения 4пол. тип AC 63A 100mA F204 AC-63/0,1 ABB</v>
      </c>
      <c r="Z607" t="str">
        <f t="shared" si="69"/>
        <v>Р9 · Электротехнические работы</v>
      </c>
    </row>
    <row r="608" spans="1:26" ht="28.8" x14ac:dyDescent="0.3">
      <c r="A608" t="s">
        <v>1308</v>
      </c>
      <c r="B608" t="s">
        <v>1255</v>
      </c>
      <c r="C608" t="s">
        <v>161</v>
      </c>
      <c r="D608" s="4" t="s">
        <v>1309</v>
      </c>
      <c r="E608" t="s">
        <v>114</v>
      </c>
      <c r="F608" s="5">
        <v>3833.32</v>
      </c>
      <c r="G608" t="s">
        <v>1257</v>
      </c>
      <c r="H608">
        <v>5</v>
      </c>
      <c r="I608" t="s">
        <v>53</v>
      </c>
      <c r="L608" s="6"/>
      <c r="M608" s="6"/>
      <c r="N608" s="6"/>
      <c r="O608" s="5"/>
      <c r="P608" s="7" t="str">
        <f t="shared" si="63"/>
        <v/>
      </c>
      <c r="Q608" s="7" t="str">
        <f t="shared" si="64"/>
        <v/>
      </c>
      <c r="R608" s="7" t="str">
        <f t="shared" si="65"/>
        <v/>
      </c>
      <c r="S608" s="7">
        <f>IF($A608="","",IF(AND(LEFT($G608,3)="ДОК",$N608&lt;&gt;""),IFERROR(INDEX(Документация!$E$2:$E$57,MATCH($N608,Документация!$F$2:$F$57,0)),0),N($F608))*(1-MEDIAN(0,N(ДисконтТендер),1)))</f>
        <v>3833.32</v>
      </c>
      <c r="T608" s="7">
        <f>IF($A608="","",IF(AND(LEFT($G608,3)="ДОК",$N608&lt;&gt;""),0,IF(AND(LEFT($G608,3)&lt;&gt;"ДОК",$N608&lt;&gt;""),IFERROR(INDEX(МАТЕРИАЛЫ!$H$2:$H$9000,MATCH($N608,МАТЕРИАЛЫ!$L$2:$L$9000,0))*IF(INDEX(МАТЕРИАЛЫ!$I$2:$I$9000,MATCH($N608,МАТЕРИАЛЫ!$L$2:$L$9000,0))="USD",КурсUSD,IF(INDEX(МАТЕРИАЛЫ!$I$2:$I$9000,MATCH($N608,МАТЕРИАЛЫ!$L$2:$L$9000,0))="EUR",КурсEUR,IF(INDEX(МАТЕРИАЛЫ!$I$2:$I$9000,MATCH($N608,МАТЕРИАЛЫ!$L$2:$L$9000,0))="CNY",КурсCNY,1)))*(1+N($H608)/100),0),N($O608))*(1-MEDIAN(0,N(ДисконтТендер),1))))</f>
        <v>0</v>
      </c>
      <c r="U608" t="str">
        <f>IF($L608="да",MAX($U$1:$U607)+1,"")</f>
        <v/>
      </c>
      <c r="V608" t="str">
        <f t="shared" si="66"/>
        <v>Р9</v>
      </c>
      <c r="W608" t="str">
        <f t="shared" si="67"/>
        <v/>
      </c>
      <c r="X608" t="str">
        <f t="shared" si="68"/>
        <v/>
      </c>
      <c r="Y608" s="4" t="str">
        <f>IF($A608="","",IF(AND(LEFT($G608,3)="ДОК",$N608&lt;&gt;""),IFERROR(INDEX(Документация!$G$2:$G$57,MATCH($N608,Документация!$F$2:$F$57,0)),$D608),$D608&amp;IF(AND(LEFT($G608,3)&lt;&gt;"ДОК",$N608&lt;&gt;"")," — "&amp;IFERROR(INDEX(МАТЕРИАЛЫ!$C$2:$C$9000,MATCH($N608,МАТЕРИАЛЫ!$L$2:$L$9000,0)),""),"")))</f>
        <v>Устройство защитного отключения 4пол. тип AC 80A 300mA F204 AC-80/0,3 ABB</v>
      </c>
      <c r="Z608" t="str">
        <f t="shared" si="69"/>
        <v>Р9 · Электротехнические работы</v>
      </c>
    </row>
    <row r="609" spans="1:26" ht="28.8" x14ac:dyDescent="0.3">
      <c r="A609" t="s">
        <v>1310</v>
      </c>
      <c r="B609" t="s">
        <v>1255</v>
      </c>
      <c r="C609" t="s">
        <v>161</v>
      </c>
      <c r="D609" s="4" t="s">
        <v>1311</v>
      </c>
      <c r="E609" t="s">
        <v>114</v>
      </c>
      <c r="F609" s="5">
        <v>10659.78</v>
      </c>
      <c r="G609" t="s">
        <v>1257</v>
      </c>
      <c r="H609">
        <v>5</v>
      </c>
      <c r="I609" t="s">
        <v>53</v>
      </c>
      <c r="L609" s="6"/>
      <c r="M609" s="6"/>
      <c r="N609" s="6"/>
      <c r="O609" s="5"/>
      <c r="P609" s="7" t="str">
        <f t="shared" si="63"/>
        <v/>
      </c>
      <c r="Q609" s="7" t="str">
        <f t="shared" si="64"/>
        <v/>
      </c>
      <c r="R609" s="7" t="str">
        <f t="shared" si="65"/>
        <v/>
      </c>
      <c r="S609" s="7">
        <f>IF($A609="","",IF(AND(LEFT($G609,3)="ДОК",$N609&lt;&gt;""),IFERROR(INDEX(Документация!$E$2:$E$57,MATCH($N609,Документация!$F$2:$F$57,0)),0),N($F609))*(1-MEDIAN(0,N(ДисконтТендер),1)))</f>
        <v>10659.78</v>
      </c>
      <c r="T609" s="7">
        <f>IF($A609="","",IF(AND(LEFT($G609,3)="ДОК",$N609&lt;&gt;""),0,IF(AND(LEFT($G609,3)&lt;&gt;"ДОК",$N609&lt;&gt;""),IFERROR(INDEX(МАТЕРИАЛЫ!$H$2:$H$9000,MATCH($N609,МАТЕРИАЛЫ!$L$2:$L$9000,0))*IF(INDEX(МАТЕРИАЛЫ!$I$2:$I$9000,MATCH($N609,МАТЕРИАЛЫ!$L$2:$L$9000,0))="USD",КурсUSD,IF(INDEX(МАТЕРИАЛЫ!$I$2:$I$9000,MATCH($N609,МАТЕРИАЛЫ!$L$2:$L$9000,0))="EUR",КурсEUR,IF(INDEX(МАТЕРИАЛЫ!$I$2:$I$9000,MATCH($N609,МАТЕРИАЛЫ!$L$2:$L$9000,0))="CNY",КурсCNY,1)))*(1+N($H609)/100),0),N($O609))*(1-MEDIAN(0,N(ДисконтТендер),1))))</f>
        <v>0</v>
      </c>
      <c r="U609" t="str">
        <f>IF($L609="да",MAX($U$1:$U608)+1,"")</f>
        <v/>
      </c>
      <c r="V609" t="str">
        <f t="shared" si="66"/>
        <v>Р9</v>
      </c>
      <c r="W609" t="str">
        <f t="shared" si="67"/>
        <v/>
      </c>
      <c r="X609" t="str">
        <f t="shared" si="68"/>
        <v/>
      </c>
      <c r="Y609" s="4" t="str">
        <f>IF($A609="","",IF(AND(LEFT($G609,3)="ДОК",$N609&lt;&gt;""),IFERROR(INDEX(Документация!$G$2:$G$57,MATCH($N609,Документация!$F$2:$F$57,0)),$D609),$D609&amp;IF(AND(LEFT($G609,3)&lt;&gt;"ДОК",$N609&lt;&gt;"")," — "&amp;IFERROR(INDEX(МАТЕРИАЛЫ!$C$2:$C$9000,MATCH($N609,МАТЕРИАЛЫ!$L$2:$L$9000,0)),""),"")))</f>
        <v>Устройство защитного отключения 4пол. тип AC 100A 300mA F204 AC-100/0,3 ABB</v>
      </c>
      <c r="Z609" t="str">
        <f t="shared" si="69"/>
        <v>Р9 · Электротехнические работы</v>
      </c>
    </row>
    <row r="610" spans="1:26" ht="28.8" x14ac:dyDescent="0.3">
      <c r="A610" t="s">
        <v>1312</v>
      </c>
      <c r="B610" t="s">
        <v>1255</v>
      </c>
      <c r="C610" t="s">
        <v>161</v>
      </c>
      <c r="D610" s="4" t="s">
        <v>1313</v>
      </c>
      <c r="E610" t="s">
        <v>114</v>
      </c>
      <c r="F610" s="5">
        <v>16908.63</v>
      </c>
      <c r="G610" t="s">
        <v>1257</v>
      </c>
      <c r="H610">
        <v>5</v>
      </c>
      <c r="I610" t="s">
        <v>53</v>
      </c>
      <c r="L610" s="6"/>
      <c r="M610" s="6"/>
      <c r="N610" s="6"/>
      <c r="O610" s="5"/>
      <c r="P610" s="7" t="str">
        <f t="shared" si="63"/>
        <v/>
      </c>
      <c r="Q610" s="7" t="str">
        <f t="shared" si="64"/>
        <v/>
      </c>
      <c r="R610" s="7" t="str">
        <f t="shared" si="65"/>
        <v/>
      </c>
      <c r="S610" s="7">
        <f>IF($A610="","",IF(AND(LEFT($G610,3)="ДОК",$N610&lt;&gt;""),IFERROR(INDEX(Документация!$E$2:$E$57,MATCH($N610,Документация!$F$2:$F$57,0)),0),N($F610))*(1-MEDIAN(0,N(ДисконтТендер),1)))</f>
        <v>16908.63</v>
      </c>
      <c r="T610" s="7">
        <f>IF($A610="","",IF(AND(LEFT($G610,3)="ДОК",$N610&lt;&gt;""),0,IF(AND(LEFT($G610,3)&lt;&gt;"ДОК",$N610&lt;&gt;""),IFERROR(INDEX(МАТЕРИАЛЫ!$H$2:$H$9000,MATCH($N610,МАТЕРИАЛЫ!$L$2:$L$9000,0))*IF(INDEX(МАТЕРИАЛЫ!$I$2:$I$9000,MATCH($N610,МАТЕРИАЛЫ!$L$2:$L$9000,0))="USD",КурсUSD,IF(INDEX(МАТЕРИАЛЫ!$I$2:$I$9000,MATCH($N610,МАТЕРИАЛЫ!$L$2:$L$9000,0))="EUR",КурсEUR,IF(INDEX(МАТЕРИАЛЫ!$I$2:$I$9000,MATCH($N610,МАТЕРИАЛЫ!$L$2:$L$9000,0))="CNY",КурсCNY,1)))*(1+N($H610)/100),0),N($O610))*(1-MEDIAN(0,N(ДисконтТендер),1))))</f>
        <v>0</v>
      </c>
      <c r="U610" t="str">
        <f>IF($L610="да",MAX($U$1:$U609)+1,"")</f>
        <v/>
      </c>
      <c r="V610" t="str">
        <f t="shared" si="66"/>
        <v>Р9</v>
      </c>
      <c r="W610" t="str">
        <f t="shared" si="67"/>
        <v/>
      </c>
      <c r="X610" t="str">
        <f t="shared" si="68"/>
        <v/>
      </c>
      <c r="Y610" s="4" t="str">
        <f>IF($A610="","",IF(AND(LEFT($G610,3)="ДОК",$N610&lt;&gt;""),IFERROR(INDEX(Документация!$G$2:$G$57,MATCH($N610,Документация!$F$2:$F$57,0)),$D610),$D610&amp;IF(AND(LEFT($G610,3)&lt;&gt;"ДОК",$N610&lt;&gt;"")," — "&amp;IFERROR(INDEX(МАТЕРИАЛЫ!$C$2:$C$9000,MATCH($N610,МАТЕРИАЛЫ!$L$2:$L$9000,0)),""),"")))</f>
        <v>Устройство защитного отключения 4пол. тип AC 125A 300mA F204 AC-125/0,3 ABB</v>
      </c>
      <c r="Z610" t="str">
        <f t="shared" si="69"/>
        <v>Р9 · Электротехнические работы</v>
      </c>
    </row>
    <row r="611" spans="1:26" ht="28.8" x14ac:dyDescent="0.3">
      <c r="A611" t="s">
        <v>1314</v>
      </c>
      <c r="B611" t="s">
        <v>1255</v>
      </c>
      <c r="C611" t="s">
        <v>161</v>
      </c>
      <c r="D611" s="4" t="s">
        <v>1283</v>
      </c>
      <c r="E611" t="s">
        <v>114</v>
      </c>
      <c r="F611" s="5">
        <v>287.10000000000002</v>
      </c>
      <c r="G611" t="s">
        <v>1284</v>
      </c>
      <c r="H611">
        <v>5</v>
      </c>
      <c r="I611" t="s">
        <v>53</v>
      </c>
      <c r="L611" s="6"/>
      <c r="M611" s="6"/>
      <c r="N611" s="6"/>
      <c r="O611" s="5"/>
      <c r="P611" s="7" t="str">
        <f t="shared" si="63"/>
        <v/>
      </c>
      <c r="Q611" s="7" t="str">
        <f t="shared" si="64"/>
        <v/>
      </c>
      <c r="R611" s="7" t="str">
        <f t="shared" si="65"/>
        <v/>
      </c>
      <c r="S611" s="7">
        <f>IF($A611="","",IF(AND(LEFT($G611,3)="ДОК",$N611&lt;&gt;""),IFERROR(INDEX(Документация!$E$2:$E$57,MATCH($N611,Документация!$F$2:$F$57,0)),0),N($F611))*(1-MEDIAN(0,N(ДисконтТендер),1)))</f>
        <v>287.10000000000002</v>
      </c>
      <c r="T611" s="7">
        <f>IF($A611="","",IF(AND(LEFT($G611,3)="ДОК",$N611&lt;&gt;""),0,IF(AND(LEFT($G611,3)&lt;&gt;"ДОК",$N611&lt;&gt;""),IFERROR(INDEX(МАТЕРИАЛЫ!$H$2:$H$9000,MATCH($N611,МАТЕРИАЛЫ!$L$2:$L$9000,0))*IF(INDEX(МАТЕРИАЛЫ!$I$2:$I$9000,MATCH($N611,МАТЕРИАЛЫ!$L$2:$L$9000,0))="USD",КурсUSD,IF(INDEX(МАТЕРИАЛЫ!$I$2:$I$9000,MATCH($N611,МАТЕРИАЛЫ!$L$2:$L$9000,0))="EUR",КурсEUR,IF(INDEX(МАТЕРИАЛЫ!$I$2:$I$9000,MATCH($N611,МАТЕРИАЛЫ!$L$2:$L$9000,0))="CNY",КурсCNY,1)))*(1+N($H611)/100),0),N($O611))*(1-MEDIAN(0,N(ДисконтТендер),1))))</f>
        <v>0</v>
      </c>
      <c r="U611" t="str">
        <f>IF($L611="да",MAX($U$1:$U610)+1,"")</f>
        <v/>
      </c>
      <c r="V611" t="str">
        <f t="shared" si="66"/>
        <v>Р9</v>
      </c>
      <c r="W611" t="str">
        <f t="shared" si="67"/>
        <v/>
      </c>
      <c r="X611" t="str">
        <f t="shared" si="68"/>
        <v/>
      </c>
      <c r="Y611" s="4" t="str">
        <f>IF($A611="","",IF(AND(LEFT($G611,3)="ДОК",$N611&lt;&gt;""),IFERROR(INDEX(Документация!$G$2:$G$57,MATCH($N611,Документация!$F$2:$F$57,0)),$D611),$D611&amp;IF(AND(LEFT($G611,3)&lt;&gt;"ДОК",$N611&lt;&gt;"")," — "&amp;IFERROR(INDEX(МАТЕРИАЛЫ!$C$2:$C$9000,MATCH($N611,МАТЕРИАЛЫ!$L$2:$L$9000,0)),""),"")))</f>
        <v>Монтаж модульного аппарата (автомат / УЗО / дифавтомат / рубильник)</v>
      </c>
      <c r="Z611" t="str">
        <f t="shared" si="69"/>
        <v>Р9 · Электротехнические работы</v>
      </c>
    </row>
    <row r="612" spans="1:26" ht="28.8" x14ac:dyDescent="0.3">
      <c r="A612" t="s">
        <v>1315</v>
      </c>
      <c r="B612" t="s">
        <v>1255</v>
      </c>
      <c r="C612" t="s">
        <v>161</v>
      </c>
      <c r="D612" s="4" t="s">
        <v>1283</v>
      </c>
      <c r="E612" t="s">
        <v>114</v>
      </c>
      <c r="F612" s="5">
        <v>438.48</v>
      </c>
      <c r="G612" t="s">
        <v>1284</v>
      </c>
      <c r="H612">
        <v>5</v>
      </c>
      <c r="I612" t="s">
        <v>53</v>
      </c>
      <c r="L612" s="6"/>
      <c r="M612" s="6"/>
      <c r="N612" s="6"/>
      <c r="O612" s="5"/>
      <c r="P612" s="7" t="str">
        <f t="shared" si="63"/>
        <v/>
      </c>
      <c r="Q612" s="7" t="str">
        <f t="shared" si="64"/>
        <v/>
      </c>
      <c r="R612" s="7" t="str">
        <f t="shared" si="65"/>
        <v/>
      </c>
      <c r="S612" s="7">
        <f>IF($A612="","",IF(AND(LEFT($G612,3)="ДОК",$N612&lt;&gt;""),IFERROR(INDEX(Документация!$E$2:$E$57,MATCH($N612,Документация!$F$2:$F$57,0)),0),N($F612))*(1-MEDIAN(0,N(ДисконтТендер),1)))</f>
        <v>438.48</v>
      </c>
      <c r="T612" s="7">
        <f>IF($A612="","",IF(AND(LEFT($G612,3)="ДОК",$N612&lt;&gt;""),0,IF(AND(LEFT($G612,3)&lt;&gt;"ДОК",$N612&lt;&gt;""),IFERROR(INDEX(МАТЕРИАЛЫ!$H$2:$H$9000,MATCH($N612,МАТЕРИАЛЫ!$L$2:$L$9000,0))*IF(INDEX(МАТЕРИАЛЫ!$I$2:$I$9000,MATCH($N612,МАТЕРИАЛЫ!$L$2:$L$9000,0))="USD",КурсUSD,IF(INDEX(МАТЕРИАЛЫ!$I$2:$I$9000,MATCH($N612,МАТЕРИАЛЫ!$L$2:$L$9000,0))="EUR",КурсEUR,IF(INDEX(МАТЕРИАЛЫ!$I$2:$I$9000,MATCH($N612,МАТЕРИАЛЫ!$L$2:$L$9000,0))="CNY",КурсCNY,1)))*(1+N($H612)/100),0),N($O612))*(1-MEDIAN(0,N(ДисконтТендер),1))))</f>
        <v>0</v>
      </c>
      <c r="U612" t="str">
        <f>IF($L612="да",MAX($U$1:$U611)+1,"")</f>
        <v/>
      </c>
      <c r="V612" t="str">
        <f t="shared" si="66"/>
        <v>Р9</v>
      </c>
      <c r="W612" t="str">
        <f t="shared" si="67"/>
        <v/>
      </c>
      <c r="X612" t="str">
        <f t="shared" si="68"/>
        <v/>
      </c>
      <c r="Y612" s="4" t="str">
        <f>IF($A612="","",IF(AND(LEFT($G612,3)="ДОК",$N612&lt;&gt;""),IFERROR(INDEX(Документация!$G$2:$G$57,MATCH($N612,Документация!$F$2:$F$57,0)),$D612),$D612&amp;IF(AND(LEFT($G612,3)&lt;&gt;"ДОК",$N612&lt;&gt;"")," — "&amp;IFERROR(INDEX(МАТЕРИАЛЫ!$C$2:$C$9000,MATCH($N612,МАТЕРИАЛЫ!$L$2:$L$9000,0)),""),"")))</f>
        <v>Монтаж модульного аппарата (автомат / УЗО / дифавтомат / рубильник)</v>
      </c>
      <c r="Z612" t="str">
        <f t="shared" si="69"/>
        <v>Р9 · Электротехнические работы</v>
      </c>
    </row>
    <row r="613" spans="1:26" ht="28.8" x14ac:dyDescent="0.3">
      <c r="A613" t="s">
        <v>1316</v>
      </c>
      <c r="B613" t="s">
        <v>1255</v>
      </c>
      <c r="C613" t="s">
        <v>161</v>
      </c>
      <c r="D613" s="4" t="s">
        <v>1283</v>
      </c>
      <c r="E613" t="s">
        <v>114</v>
      </c>
      <c r="F613" s="5">
        <v>449.79</v>
      </c>
      <c r="G613" t="s">
        <v>1284</v>
      </c>
      <c r="H613">
        <v>5</v>
      </c>
      <c r="I613" t="s">
        <v>53</v>
      </c>
      <c r="L613" s="6"/>
      <c r="M613" s="6"/>
      <c r="N613" s="6"/>
      <c r="O613" s="5"/>
      <c r="P613" s="7" t="str">
        <f t="shared" si="63"/>
        <v/>
      </c>
      <c r="Q613" s="7" t="str">
        <f t="shared" si="64"/>
        <v/>
      </c>
      <c r="R613" s="7" t="str">
        <f t="shared" si="65"/>
        <v/>
      </c>
      <c r="S613" s="7">
        <f>IF($A613="","",IF(AND(LEFT($G613,3)="ДОК",$N613&lt;&gt;""),IFERROR(INDEX(Документация!$E$2:$E$57,MATCH($N613,Документация!$F$2:$F$57,0)),0),N($F613))*(1-MEDIAN(0,N(ДисконтТендер),1)))</f>
        <v>449.79</v>
      </c>
      <c r="T613" s="7">
        <f>IF($A613="","",IF(AND(LEFT($G613,3)="ДОК",$N613&lt;&gt;""),0,IF(AND(LEFT($G613,3)&lt;&gt;"ДОК",$N613&lt;&gt;""),IFERROR(INDEX(МАТЕРИАЛЫ!$H$2:$H$9000,MATCH($N613,МАТЕРИАЛЫ!$L$2:$L$9000,0))*IF(INDEX(МАТЕРИАЛЫ!$I$2:$I$9000,MATCH($N613,МАТЕРИАЛЫ!$L$2:$L$9000,0))="USD",КурсUSD,IF(INDEX(МАТЕРИАЛЫ!$I$2:$I$9000,MATCH($N613,МАТЕРИАЛЫ!$L$2:$L$9000,0))="EUR",КурсEUR,IF(INDEX(МАТЕРИАЛЫ!$I$2:$I$9000,MATCH($N613,МАТЕРИАЛЫ!$L$2:$L$9000,0))="CNY",КурсCNY,1)))*(1+N($H613)/100),0),N($O613))*(1-MEDIAN(0,N(ДисконтТендер),1))))</f>
        <v>0</v>
      </c>
      <c r="U613" t="str">
        <f>IF($L613="да",MAX($U$1:$U612)+1,"")</f>
        <v/>
      </c>
      <c r="V613" t="str">
        <f t="shared" si="66"/>
        <v>Р9</v>
      </c>
      <c r="W613" t="str">
        <f t="shared" si="67"/>
        <v/>
      </c>
      <c r="X613" t="str">
        <f t="shared" si="68"/>
        <v/>
      </c>
      <c r="Y613" s="4" t="str">
        <f>IF($A613="","",IF(AND(LEFT($G613,3)="ДОК",$N613&lt;&gt;""),IFERROR(INDEX(Документация!$G$2:$G$57,MATCH($N613,Документация!$F$2:$F$57,0)),$D613),$D613&amp;IF(AND(LEFT($G613,3)&lt;&gt;"ДОК",$N613&lt;&gt;"")," — "&amp;IFERROR(INDEX(МАТЕРИАЛЫ!$C$2:$C$9000,MATCH($N613,МАТЕРИАЛЫ!$L$2:$L$9000,0)),""),"")))</f>
        <v>Монтаж модульного аппарата (автомат / УЗО / дифавтомат / рубильник)</v>
      </c>
      <c r="Z613" t="str">
        <f t="shared" si="69"/>
        <v>Р9 · Электротехнические работы</v>
      </c>
    </row>
    <row r="614" spans="1:26" ht="28.8" x14ac:dyDescent="0.3">
      <c r="A614" t="s">
        <v>1317</v>
      </c>
      <c r="B614" t="s">
        <v>1255</v>
      </c>
      <c r="C614" t="s">
        <v>161</v>
      </c>
      <c r="D614" s="4" t="s">
        <v>1283</v>
      </c>
      <c r="E614" t="s">
        <v>114</v>
      </c>
      <c r="F614" s="5">
        <v>577.62</v>
      </c>
      <c r="G614" t="s">
        <v>1284</v>
      </c>
      <c r="H614">
        <v>5</v>
      </c>
      <c r="I614" t="s">
        <v>53</v>
      </c>
      <c r="L614" s="6"/>
      <c r="M614" s="6"/>
      <c r="N614" s="6"/>
      <c r="O614" s="5"/>
      <c r="P614" s="7" t="str">
        <f t="shared" si="63"/>
        <v/>
      </c>
      <c r="Q614" s="7" t="str">
        <f t="shared" si="64"/>
        <v/>
      </c>
      <c r="R614" s="7" t="str">
        <f t="shared" si="65"/>
        <v/>
      </c>
      <c r="S614" s="7">
        <f>IF($A614="","",IF(AND(LEFT($G614,3)="ДОК",$N614&lt;&gt;""),IFERROR(INDEX(Документация!$E$2:$E$57,MATCH($N614,Документация!$F$2:$F$57,0)),0),N($F614))*(1-MEDIAN(0,N(ДисконтТендер),1)))</f>
        <v>577.62</v>
      </c>
      <c r="T614" s="7">
        <f>IF($A614="","",IF(AND(LEFT($G614,3)="ДОК",$N614&lt;&gt;""),0,IF(AND(LEFT($G614,3)&lt;&gt;"ДОК",$N614&lt;&gt;""),IFERROR(INDEX(МАТЕРИАЛЫ!$H$2:$H$9000,MATCH($N614,МАТЕРИАЛЫ!$L$2:$L$9000,0))*IF(INDEX(МАТЕРИАЛЫ!$I$2:$I$9000,MATCH($N614,МАТЕРИАЛЫ!$L$2:$L$9000,0))="USD",КурсUSD,IF(INDEX(МАТЕРИАЛЫ!$I$2:$I$9000,MATCH($N614,МАТЕРИАЛЫ!$L$2:$L$9000,0))="EUR",КурсEUR,IF(INDEX(МАТЕРИАЛЫ!$I$2:$I$9000,MATCH($N614,МАТЕРИАЛЫ!$L$2:$L$9000,0))="CNY",КурсCNY,1)))*(1+N($H614)/100),0),N($O614))*(1-MEDIAN(0,N(ДисконтТендер),1))))</f>
        <v>0</v>
      </c>
      <c r="U614" t="str">
        <f>IF($L614="да",MAX($U$1:$U613)+1,"")</f>
        <v/>
      </c>
      <c r="V614" t="str">
        <f t="shared" si="66"/>
        <v>Р9</v>
      </c>
      <c r="W614" t="str">
        <f t="shared" si="67"/>
        <v/>
      </c>
      <c r="X614" t="str">
        <f t="shared" si="68"/>
        <v/>
      </c>
      <c r="Y614" s="4" t="str">
        <f>IF($A614="","",IF(AND(LEFT($G614,3)="ДОК",$N614&lt;&gt;""),IFERROR(INDEX(Документация!$G$2:$G$57,MATCH($N614,Документация!$F$2:$F$57,0)),$D614),$D614&amp;IF(AND(LEFT($G614,3)&lt;&gt;"ДОК",$N614&lt;&gt;"")," — "&amp;IFERROR(INDEX(МАТЕРИАЛЫ!$C$2:$C$9000,MATCH($N614,МАТЕРИАЛЫ!$L$2:$L$9000,0)),""),"")))</f>
        <v>Монтаж модульного аппарата (автомат / УЗО / дифавтомат / рубильник)</v>
      </c>
      <c r="Z614" t="str">
        <f t="shared" si="69"/>
        <v>Р9 · Электротехнические работы</v>
      </c>
    </row>
    <row r="615" spans="1:26" ht="28.8" x14ac:dyDescent="0.3">
      <c r="A615" t="s">
        <v>1318</v>
      </c>
      <c r="B615" t="s">
        <v>1255</v>
      </c>
      <c r="C615" t="s">
        <v>161</v>
      </c>
      <c r="D615" s="4" t="s">
        <v>1283</v>
      </c>
      <c r="E615" t="s">
        <v>114</v>
      </c>
      <c r="F615" s="5">
        <v>636.41</v>
      </c>
      <c r="G615" t="s">
        <v>1284</v>
      </c>
      <c r="H615">
        <v>5</v>
      </c>
      <c r="I615" t="s">
        <v>53</v>
      </c>
      <c r="L615" s="6"/>
      <c r="M615" s="6"/>
      <c r="N615" s="6"/>
      <c r="O615" s="5"/>
      <c r="P615" s="7" t="str">
        <f t="shared" si="63"/>
        <v/>
      </c>
      <c r="Q615" s="7" t="str">
        <f t="shared" si="64"/>
        <v/>
      </c>
      <c r="R615" s="7" t="str">
        <f t="shared" si="65"/>
        <v/>
      </c>
      <c r="S615" s="7">
        <f>IF($A615="","",IF(AND(LEFT($G615,3)="ДОК",$N615&lt;&gt;""),IFERROR(INDEX(Документация!$E$2:$E$57,MATCH($N615,Документация!$F$2:$F$57,0)),0),N($F615))*(1-MEDIAN(0,N(ДисконтТендер),1)))</f>
        <v>636.41</v>
      </c>
      <c r="T615" s="7">
        <f>IF($A615="","",IF(AND(LEFT($G615,3)="ДОК",$N615&lt;&gt;""),0,IF(AND(LEFT($G615,3)&lt;&gt;"ДОК",$N615&lt;&gt;""),IFERROR(INDEX(МАТЕРИАЛЫ!$H$2:$H$9000,MATCH($N615,МАТЕРИАЛЫ!$L$2:$L$9000,0))*IF(INDEX(МАТЕРИАЛЫ!$I$2:$I$9000,MATCH($N615,МАТЕРИАЛЫ!$L$2:$L$9000,0))="USD",КурсUSD,IF(INDEX(МАТЕРИАЛЫ!$I$2:$I$9000,MATCH($N615,МАТЕРИАЛЫ!$L$2:$L$9000,0))="EUR",КурсEUR,IF(INDEX(МАТЕРИАЛЫ!$I$2:$I$9000,MATCH($N615,МАТЕРИАЛЫ!$L$2:$L$9000,0))="CNY",КурсCNY,1)))*(1+N($H615)/100),0),N($O615))*(1-MEDIAN(0,N(ДисконтТендер),1))))</f>
        <v>0</v>
      </c>
      <c r="U615" t="str">
        <f>IF($L615="да",MAX($U$1:$U614)+1,"")</f>
        <v/>
      </c>
      <c r="V615" t="str">
        <f t="shared" si="66"/>
        <v>Р9</v>
      </c>
      <c r="W615" t="str">
        <f t="shared" si="67"/>
        <v/>
      </c>
      <c r="X615" t="str">
        <f t="shared" si="68"/>
        <v/>
      </c>
      <c r="Y615" s="4" t="str">
        <f>IF($A615="","",IF(AND(LEFT($G615,3)="ДОК",$N615&lt;&gt;""),IFERROR(INDEX(Документация!$G$2:$G$57,MATCH($N615,Документация!$F$2:$F$57,0)),$D615),$D615&amp;IF(AND(LEFT($G615,3)&lt;&gt;"ДОК",$N615&lt;&gt;"")," — "&amp;IFERROR(INDEX(МАТЕРИАЛЫ!$C$2:$C$9000,MATCH($N615,МАТЕРИАЛЫ!$L$2:$L$9000,0)),""),"")))</f>
        <v>Монтаж модульного аппарата (автомат / УЗО / дифавтомат / рубильник)</v>
      </c>
      <c r="Z615" t="str">
        <f t="shared" si="69"/>
        <v>Р9 · Электротехнические работы</v>
      </c>
    </row>
    <row r="616" spans="1:26" ht="28.8" x14ac:dyDescent="0.3">
      <c r="A616" t="s">
        <v>1319</v>
      </c>
      <c r="B616" t="s">
        <v>1255</v>
      </c>
      <c r="C616" t="s">
        <v>161</v>
      </c>
      <c r="D616" s="4" t="s">
        <v>1283</v>
      </c>
      <c r="E616" t="s">
        <v>114</v>
      </c>
      <c r="F616" s="5">
        <v>787.67</v>
      </c>
      <c r="G616" t="s">
        <v>1284</v>
      </c>
      <c r="H616">
        <v>5</v>
      </c>
      <c r="I616" t="s">
        <v>53</v>
      </c>
      <c r="L616" s="6"/>
      <c r="M616" s="6"/>
      <c r="N616" s="6"/>
      <c r="O616" s="5"/>
      <c r="P616" s="7" t="str">
        <f t="shared" si="63"/>
        <v/>
      </c>
      <c r="Q616" s="7" t="str">
        <f t="shared" si="64"/>
        <v/>
      </c>
      <c r="R616" s="7" t="str">
        <f t="shared" si="65"/>
        <v/>
      </c>
      <c r="S616" s="7">
        <f>IF($A616="","",IF(AND(LEFT($G616,3)="ДОК",$N616&lt;&gt;""),IFERROR(INDEX(Документация!$E$2:$E$57,MATCH($N616,Документация!$F$2:$F$57,0)),0),N($F616))*(1-MEDIAN(0,N(ДисконтТендер),1)))</f>
        <v>787.67</v>
      </c>
      <c r="T616" s="7">
        <f>IF($A616="","",IF(AND(LEFT($G616,3)="ДОК",$N616&lt;&gt;""),0,IF(AND(LEFT($G616,3)&lt;&gt;"ДОК",$N616&lt;&gt;""),IFERROR(INDEX(МАТЕРИАЛЫ!$H$2:$H$9000,MATCH($N616,МАТЕРИАЛЫ!$L$2:$L$9000,0))*IF(INDEX(МАТЕРИАЛЫ!$I$2:$I$9000,MATCH($N616,МАТЕРИАЛЫ!$L$2:$L$9000,0))="USD",КурсUSD,IF(INDEX(МАТЕРИАЛЫ!$I$2:$I$9000,MATCH($N616,МАТЕРИАЛЫ!$L$2:$L$9000,0))="EUR",КурсEUR,IF(INDEX(МАТЕРИАЛЫ!$I$2:$I$9000,MATCH($N616,МАТЕРИАЛЫ!$L$2:$L$9000,0))="CNY",КурсCNY,1)))*(1+N($H616)/100),0),N($O616))*(1-MEDIAN(0,N(ДисконтТендер),1))))</f>
        <v>0</v>
      </c>
      <c r="U616" t="str">
        <f>IF($L616="да",MAX($U$1:$U615)+1,"")</f>
        <v/>
      </c>
      <c r="V616" t="str">
        <f t="shared" si="66"/>
        <v>Р9</v>
      </c>
      <c r="W616" t="str">
        <f t="shared" si="67"/>
        <v/>
      </c>
      <c r="X616" t="str">
        <f t="shared" si="68"/>
        <v/>
      </c>
      <c r="Y616" s="4" t="str">
        <f>IF($A616="","",IF(AND(LEFT($G616,3)="ДОК",$N616&lt;&gt;""),IFERROR(INDEX(Документация!$G$2:$G$57,MATCH($N616,Документация!$F$2:$F$57,0)),$D616),$D616&amp;IF(AND(LEFT($G616,3)&lt;&gt;"ДОК",$N616&lt;&gt;"")," — "&amp;IFERROR(INDEX(МАТЕРИАЛЫ!$C$2:$C$9000,MATCH($N616,МАТЕРИАЛЫ!$L$2:$L$9000,0)),""),"")))</f>
        <v>Монтаж модульного аппарата (автомат / УЗО / дифавтомат / рубильник)</v>
      </c>
      <c r="Z616" t="str">
        <f t="shared" si="69"/>
        <v>Р9 · Электротехнические работы</v>
      </c>
    </row>
    <row r="617" spans="1:26" ht="28.8" x14ac:dyDescent="0.3">
      <c r="A617" t="s">
        <v>1320</v>
      </c>
      <c r="B617" t="s">
        <v>1255</v>
      </c>
      <c r="C617" t="s">
        <v>161</v>
      </c>
      <c r="D617" s="4" t="s">
        <v>1283</v>
      </c>
      <c r="E617" t="s">
        <v>114</v>
      </c>
      <c r="F617" s="5">
        <v>746.46</v>
      </c>
      <c r="G617" t="s">
        <v>1284</v>
      </c>
      <c r="H617">
        <v>5</v>
      </c>
      <c r="I617" t="s">
        <v>53</v>
      </c>
      <c r="L617" s="6"/>
      <c r="M617" s="6"/>
      <c r="N617" s="6"/>
      <c r="O617" s="5"/>
      <c r="P617" s="7" t="str">
        <f t="shared" si="63"/>
        <v/>
      </c>
      <c r="Q617" s="7" t="str">
        <f t="shared" si="64"/>
        <v/>
      </c>
      <c r="R617" s="7" t="str">
        <f t="shared" si="65"/>
        <v/>
      </c>
      <c r="S617" s="7">
        <f>IF($A617="","",IF(AND(LEFT($G617,3)="ДОК",$N617&lt;&gt;""),IFERROR(INDEX(Документация!$E$2:$E$57,MATCH($N617,Документация!$F$2:$F$57,0)),0),N($F617))*(1-MEDIAN(0,N(ДисконтТендер),1)))</f>
        <v>746.46</v>
      </c>
      <c r="T617" s="7">
        <f>IF($A617="","",IF(AND(LEFT($G617,3)="ДОК",$N617&lt;&gt;""),0,IF(AND(LEFT($G617,3)&lt;&gt;"ДОК",$N617&lt;&gt;""),IFERROR(INDEX(МАТЕРИАЛЫ!$H$2:$H$9000,MATCH($N617,МАТЕРИАЛЫ!$L$2:$L$9000,0))*IF(INDEX(МАТЕРИАЛЫ!$I$2:$I$9000,MATCH($N617,МАТЕРИАЛЫ!$L$2:$L$9000,0))="USD",КурсUSD,IF(INDEX(МАТЕРИАЛЫ!$I$2:$I$9000,MATCH($N617,МАТЕРИАЛЫ!$L$2:$L$9000,0))="EUR",КурсEUR,IF(INDEX(МАТЕРИАЛЫ!$I$2:$I$9000,MATCH($N617,МАТЕРИАЛЫ!$L$2:$L$9000,0))="CNY",КурсCNY,1)))*(1+N($H617)/100),0),N($O617))*(1-MEDIAN(0,N(ДисконтТендер),1))))</f>
        <v>0</v>
      </c>
      <c r="U617" t="str">
        <f>IF($L617="да",MAX($U$1:$U616)+1,"")</f>
        <v/>
      </c>
      <c r="V617" t="str">
        <f t="shared" si="66"/>
        <v>Р9</v>
      </c>
      <c r="W617" t="str">
        <f t="shared" si="67"/>
        <v/>
      </c>
      <c r="X617" t="str">
        <f t="shared" si="68"/>
        <v/>
      </c>
      <c r="Y617" s="4" t="str">
        <f>IF($A617="","",IF(AND(LEFT($G617,3)="ДОК",$N617&lt;&gt;""),IFERROR(INDEX(Документация!$G$2:$G$57,MATCH($N617,Документация!$F$2:$F$57,0)),$D617),$D617&amp;IF(AND(LEFT($G617,3)&lt;&gt;"ДОК",$N617&lt;&gt;"")," — "&amp;IFERROR(INDEX(МАТЕРИАЛЫ!$C$2:$C$9000,MATCH($N617,МАТЕРИАЛЫ!$L$2:$L$9000,0)),""),"")))</f>
        <v>Монтаж модульного аппарата (автомат / УЗО / дифавтомат / рубильник)</v>
      </c>
      <c r="Z617" t="str">
        <f t="shared" si="69"/>
        <v>Р9 · Электротехнические работы</v>
      </c>
    </row>
    <row r="618" spans="1:26" ht="28.8" x14ac:dyDescent="0.3">
      <c r="A618" t="s">
        <v>1321</v>
      </c>
      <c r="B618" t="s">
        <v>1255</v>
      </c>
      <c r="C618" t="s">
        <v>161</v>
      </c>
      <c r="D618" s="4" t="s">
        <v>1283</v>
      </c>
      <c r="E618" t="s">
        <v>114</v>
      </c>
      <c r="F618" s="5">
        <v>791.7</v>
      </c>
      <c r="G618" t="s">
        <v>1284</v>
      </c>
      <c r="H618">
        <v>5</v>
      </c>
      <c r="I618" t="s">
        <v>53</v>
      </c>
      <c r="L618" s="6"/>
      <c r="M618" s="6"/>
      <c r="N618" s="6"/>
      <c r="O618" s="5"/>
      <c r="P618" s="7" t="str">
        <f t="shared" si="63"/>
        <v/>
      </c>
      <c r="Q618" s="7" t="str">
        <f t="shared" si="64"/>
        <v/>
      </c>
      <c r="R618" s="7" t="str">
        <f t="shared" si="65"/>
        <v/>
      </c>
      <c r="S618" s="7">
        <f>IF($A618="","",IF(AND(LEFT($G618,3)="ДОК",$N618&lt;&gt;""),IFERROR(INDEX(Документация!$E$2:$E$57,MATCH($N618,Документация!$F$2:$F$57,0)),0),N($F618))*(1-MEDIAN(0,N(ДисконтТендер),1)))</f>
        <v>791.7</v>
      </c>
      <c r="T618" s="7">
        <f>IF($A618="","",IF(AND(LEFT($G618,3)="ДОК",$N618&lt;&gt;""),0,IF(AND(LEFT($G618,3)&lt;&gt;"ДОК",$N618&lt;&gt;""),IFERROR(INDEX(МАТЕРИАЛЫ!$H$2:$H$9000,MATCH($N618,МАТЕРИАЛЫ!$L$2:$L$9000,0))*IF(INDEX(МАТЕРИАЛЫ!$I$2:$I$9000,MATCH($N618,МАТЕРИАЛЫ!$L$2:$L$9000,0))="USD",КурсUSD,IF(INDEX(МАТЕРИАЛЫ!$I$2:$I$9000,MATCH($N618,МАТЕРИАЛЫ!$L$2:$L$9000,0))="EUR",КурсEUR,IF(INDEX(МАТЕРИАЛЫ!$I$2:$I$9000,MATCH($N618,МАТЕРИАЛЫ!$L$2:$L$9000,0))="CNY",КурсCNY,1)))*(1+N($H618)/100),0),N($O618))*(1-MEDIAN(0,N(ДисконтТендер),1))))</f>
        <v>0</v>
      </c>
      <c r="U618" t="str">
        <f>IF($L618="да",MAX($U$1:$U617)+1,"")</f>
        <v/>
      </c>
      <c r="V618" t="str">
        <f t="shared" si="66"/>
        <v>Р9</v>
      </c>
      <c r="W618" t="str">
        <f t="shared" si="67"/>
        <v/>
      </c>
      <c r="X618" t="str">
        <f t="shared" si="68"/>
        <v/>
      </c>
      <c r="Y618" s="4" t="str">
        <f>IF($A618="","",IF(AND(LEFT($G618,3)="ДОК",$N618&lt;&gt;""),IFERROR(INDEX(Документация!$G$2:$G$57,MATCH($N618,Документация!$F$2:$F$57,0)),$D618),$D618&amp;IF(AND(LEFT($G618,3)&lt;&gt;"ДОК",$N618&lt;&gt;"")," — "&amp;IFERROR(INDEX(МАТЕРИАЛЫ!$C$2:$C$9000,MATCH($N618,МАТЕРИАЛЫ!$L$2:$L$9000,0)),""),"")))</f>
        <v>Монтаж модульного аппарата (автомат / УЗО / дифавтомат / рубильник)</v>
      </c>
      <c r="Z618" t="str">
        <f t="shared" si="69"/>
        <v>Р9 · Электротехнические работы</v>
      </c>
    </row>
    <row r="619" spans="1:26" ht="28.8" x14ac:dyDescent="0.3">
      <c r="A619" t="s">
        <v>1322</v>
      </c>
      <c r="B619" t="s">
        <v>1255</v>
      </c>
      <c r="C619" t="s">
        <v>161</v>
      </c>
      <c r="D619" s="4" t="s">
        <v>1283</v>
      </c>
      <c r="E619" t="s">
        <v>114</v>
      </c>
      <c r="F619" s="5">
        <v>945.21</v>
      </c>
      <c r="G619" t="s">
        <v>1284</v>
      </c>
      <c r="H619">
        <v>5</v>
      </c>
      <c r="I619" t="s">
        <v>53</v>
      </c>
      <c r="L619" s="6"/>
      <c r="M619" s="6"/>
      <c r="N619" s="6"/>
      <c r="O619" s="5"/>
      <c r="P619" s="7" t="str">
        <f t="shared" si="63"/>
        <v/>
      </c>
      <c r="Q619" s="7" t="str">
        <f t="shared" si="64"/>
        <v/>
      </c>
      <c r="R619" s="7" t="str">
        <f t="shared" si="65"/>
        <v/>
      </c>
      <c r="S619" s="7">
        <f>IF($A619="","",IF(AND(LEFT($G619,3)="ДОК",$N619&lt;&gt;""),IFERROR(INDEX(Документация!$E$2:$E$57,MATCH($N619,Документация!$F$2:$F$57,0)),0),N($F619))*(1-MEDIAN(0,N(ДисконтТендер),1)))</f>
        <v>945.21</v>
      </c>
      <c r="T619" s="7">
        <f>IF($A619="","",IF(AND(LEFT($G619,3)="ДОК",$N619&lt;&gt;""),0,IF(AND(LEFT($G619,3)&lt;&gt;"ДОК",$N619&lt;&gt;""),IFERROR(INDEX(МАТЕРИАЛЫ!$H$2:$H$9000,MATCH($N619,МАТЕРИАЛЫ!$L$2:$L$9000,0))*IF(INDEX(МАТЕРИАЛЫ!$I$2:$I$9000,MATCH($N619,МАТЕРИАЛЫ!$L$2:$L$9000,0))="USD",КурсUSD,IF(INDEX(МАТЕРИАЛЫ!$I$2:$I$9000,MATCH($N619,МАТЕРИАЛЫ!$L$2:$L$9000,0))="EUR",КурсEUR,IF(INDEX(МАТЕРИАЛЫ!$I$2:$I$9000,MATCH($N619,МАТЕРИАЛЫ!$L$2:$L$9000,0))="CNY",КурсCNY,1)))*(1+N($H619)/100),0),N($O619))*(1-MEDIAN(0,N(ДисконтТендер),1))))</f>
        <v>0</v>
      </c>
      <c r="U619" t="str">
        <f>IF($L619="да",MAX($U$1:$U618)+1,"")</f>
        <v/>
      </c>
      <c r="V619" t="str">
        <f t="shared" si="66"/>
        <v>Р9</v>
      </c>
      <c r="W619" t="str">
        <f t="shared" si="67"/>
        <v/>
      </c>
      <c r="X619" t="str">
        <f t="shared" si="68"/>
        <v/>
      </c>
      <c r="Y619" s="4" t="str">
        <f>IF($A619="","",IF(AND(LEFT($G619,3)="ДОК",$N619&lt;&gt;""),IFERROR(INDEX(Документация!$G$2:$G$57,MATCH($N619,Документация!$F$2:$F$57,0)),$D619),$D619&amp;IF(AND(LEFT($G619,3)&lt;&gt;"ДОК",$N619&lt;&gt;"")," — "&amp;IFERROR(INDEX(МАТЕРИАЛЫ!$C$2:$C$9000,MATCH($N619,МАТЕРИАЛЫ!$L$2:$L$9000,0)),""),"")))</f>
        <v>Монтаж модульного аппарата (автомат / УЗО / дифавтомат / рубильник)</v>
      </c>
      <c r="Z619" t="str">
        <f t="shared" si="69"/>
        <v>Р9 · Электротехнические работы</v>
      </c>
    </row>
    <row r="620" spans="1:26" ht="28.8" x14ac:dyDescent="0.3">
      <c r="A620" t="s">
        <v>1323</v>
      </c>
      <c r="B620" t="s">
        <v>1255</v>
      </c>
      <c r="C620" t="s">
        <v>161</v>
      </c>
      <c r="D620" s="4" t="s">
        <v>1283</v>
      </c>
      <c r="E620" t="s">
        <v>114</v>
      </c>
      <c r="F620" s="5">
        <v>997.71</v>
      </c>
      <c r="G620" t="s">
        <v>1284</v>
      </c>
      <c r="H620">
        <v>5</v>
      </c>
      <c r="I620" t="s">
        <v>53</v>
      </c>
      <c r="L620" s="6"/>
      <c r="M620" s="6"/>
      <c r="N620" s="6"/>
      <c r="O620" s="5"/>
      <c r="P620" s="7" t="str">
        <f t="shared" si="63"/>
        <v/>
      </c>
      <c r="Q620" s="7" t="str">
        <f t="shared" si="64"/>
        <v/>
      </c>
      <c r="R620" s="7" t="str">
        <f t="shared" si="65"/>
        <v/>
      </c>
      <c r="S620" s="7">
        <f>IF($A620="","",IF(AND(LEFT($G620,3)="ДОК",$N620&lt;&gt;""),IFERROR(INDEX(Документация!$E$2:$E$57,MATCH($N620,Документация!$F$2:$F$57,0)),0),N($F620))*(1-MEDIAN(0,N(ДисконтТендер),1)))</f>
        <v>997.71</v>
      </c>
      <c r="T620" s="7">
        <f>IF($A620="","",IF(AND(LEFT($G620,3)="ДОК",$N620&lt;&gt;""),0,IF(AND(LEFT($G620,3)&lt;&gt;"ДОК",$N620&lt;&gt;""),IFERROR(INDEX(МАТЕРИАЛЫ!$H$2:$H$9000,MATCH($N620,МАТЕРИАЛЫ!$L$2:$L$9000,0))*IF(INDEX(МАТЕРИАЛЫ!$I$2:$I$9000,MATCH($N620,МАТЕРИАЛЫ!$L$2:$L$9000,0))="USD",КурсUSD,IF(INDEX(МАТЕРИАЛЫ!$I$2:$I$9000,MATCH($N620,МАТЕРИАЛЫ!$L$2:$L$9000,0))="EUR",КурсEUR,IF(INDEX(МАТЕРИАЛЫ!$I$2:$I$9000,MATCH($N620,МАТЕРИАЛЫ!$L$2:$L$9000,0))="CNY",КурсCNY,1)))*(1+N($H620)/100),0),N($O620))*(1-MEDIAN(0,N(ДисконтТендер),1))))</f>
        <v>0</v>
      </c>
      <c r="U620" t="str">
        <f>IF($L620="да",MAX($U$1:$U619)+1,"")</f>
        <v/>
      </c>
      <c r="V620" t="str">
        <f t="shared" si="66"/>
        <v>Р9</v>
      </c>
      <c r="W620" t="str">
        <f t="shared" si="67"/>
        <v/>
      </c>
      <c r="X620" t="str">
        <f t="shared" si="68"/>
        <v/>
      </c>
      <c r="Y620" s="4" t="str">
        <f>IF($A620="","",IF(AND(LEFT($G620,3)="ДОК",$N620&lt;&gt;""),IFERROR(INDEX(Документация!$G$2:$G$57,MATCH($N620,Документация!$F$2:$F$57,0)),$D620),$D620&amp;IF(AND(LEFT($G620,3)&lt;&gt;"ДОК",$N620&lt;&gt;"")," — "&amp;IFERROR(INDEX(МАТЕРИАЛЫ!$C$2:$C$9000,MATCH($N620,МАТЕРИАЛЫ!$L$2:$L$9000,0)),""),"")))</f>
        <v>Монтаж модульного аппарата (автомат / УЗО / дифавтомат / рубильник)</v>
      </c>
      <c r="Z620" t="str">
        <f t="shared" si="69"/>
        <v>Р9 · Электротехнические работы</v>
      </c>
    </row>
    <row r="621" spans="1:26" ht="28.8" x14ac:dyDescent="0.3">
      <c r="A621" t="s">
        <v>1324</v>
      </c>
      <c r="B621" t="s">
        <v>1255</v>
      </c>
      <c r="C621" t="s">
        <v>161</v>
      </c>
      <c r="D621" s="4" t="s">
        <v>1283</v>
      </c>
      <c r="E621" t="s">
        <v>114</v>
      </c>
      <c r="F621" s="5">
        <v>1260.27</v>
      </c>
      <c r="G621" t="s">
        <v>1284</v>
      </c>
      <c r="H621">
        <v>5</v>
      </c>
      <c r="I621" t="s">
        <v>53</v>
      </c>
      <c r="L621" s="6"/>
      <c r="M621" s="6"/>
      <c r="N621" s="6"/>
      <c r="O621" s="5"/>
      <c r="P621" s="7" t="str">
        <f t="shared" si="63"/>
        <v/>
      </c>
      <c r="Q621" s="7" t="str">
        <f t="shared" si="64"/>
        <v/>
      </c>
      <c r="R621" s="7" t="str">
        <f t="shared" si="65"/>
        <v/>
      </c>
      <c r="S621" s="7">
        <f>IF($A621="","",IF(AND(LEFT($G621,3)="ДОК",$N621&lt;&gt;""),IFERROR(INDEX(Документация!$E$2:$E$57,MATCH($N621,Документация!$F$2:$F$57,0)),0),N($F621))*(1-MEDIAN(0,N(ДисконтТендер),1)))</f>
        <v>1260.27</v>
      </c>
      <c r="T621" s="7">
        <f>IF($A621="","",IF(AND(LEFT($G621,3)="ДОК",$N621&lt;&gt;""),0,IF(AND(LEFT($G621,3)&lt;&gt;"ДОК",$N621&lt;&gt;""),IFERROR(INDEX(МАТЕРИАЛЫ!$H$2:$H$9000,MATCH($N621,МАТЕРИАЛЫ!$L$2:$L$9000,0))*IF(INDEX(МАТЕРИАЛЫ!$I$2:$I$9000,MATCH($N621,МАТЕРИАЛЫ!$L$2:$L$9000,0))="USD",КурсUSD,IF(INDEX(МАТЕРИАЛЫ!$I$2:$I$9000,MATCH($N621,МАТЕРИАЛЫ!$L$2:$L$9000,0))="EUR",КурсEUR,IF(INDEX(МАТЕРИАЛЫ!$I$2:$I$9000,MATCH($N621,МАТЕРИАЛЫ!$L$2:$L$9000,0))="CNY",КурсCNY,1)))*(1+N($H621)/100),0),N($O621))*(1-MEDIAN(0,N(ДисконтТендер),1))))</f>
        <v>0</v>
      </c>
      <c r="U621" t="str">
        <f>IF($L621="да",MAX($U$1:$U620)+1,"")</f>
        <v/>
      </c>
      <c r="V621" t="str">
        <f t="shared" si="66"/>
        <v>Р9</v>
      </c>
      <c r="W621" t="str">
        <f t="shared" si="67"/>
        <v/>
      </c>
      <c r="X621" t="str">
        <f t="shared" si="68"/>
        <v/>
      </c>
      <c r="Y621" s="4" t="str">
        <f>IF($A621="","",IF(AND(LEFT($G621,3)="ДОК",$N621&lt;&gt;""),IFERROR(INDEX(Документация!$G$2:$G$57,MATCH($N621,Документация!$F$2:$F$57,0)),$D621),$D621&amp;IF(AND(LEFT($G621,3)&lt;&gt;"ДОК",$N621&lt;&gt;"")," — "&amp;IFERROR(INDEX(МАТЕРИАЛЫ!$C$2:$C$9000,MATCH($N621,МАТЕРИАЛЫ!$L$2:$L$9000,0)),""),"")))</f>
        <v>Монтаж модульного аппарата (автомат / УЗО / дифавтомат / рубильник)</v>
      </c>
      <c r="Z621" t="str">
        <f t="shared" si="69"/>
        <v>Р9 · Электротехнические работы</v>
      </c>
    </row>
    <row r="622" spans="1:26" ht="28.8" x14ac:dyDescent="0.3">
      <c r="A622" t="s">
        <v>1325</v>
      </c>
      <c r="B622" t="s">
        <v>1255</v>
      </c>
      <c r="C622" t="s">
        <v>161</v>
      </c>
      <c r="D622" s="4" t="s">
        <v>1283</v>
      </c>
      <c r="E622" t="s">
        <v>114</v>
      </c>
      <c r="F622" s="5">
        <v>1540.16</v>
      </c>
      <c r="G622" t="s">
        <v>1284</v>
      </c>
      <c r="H622">
        <v>5</v>
      </c>
      <c r="I622" t="s">
        <v>53</v>
      </c>
      <c r="L622" s="6"/>
      <c r="M622" s="6"/>
      <c r="N622" s="6"/>
      <c r="O622" s="5"/>
      <c r="P622" s="7" t="str">
        <f t="shared" si="63"/>
        <v/>
      </c>
      <c r="Q622" s="7" t="str">
        <f t="shared" si="64"/>
        <v/>
      </c>
      <c r="R622" s="7" t="str">
        <f t="shared" si="65"/>
        <v/>
      </c>
      <c r="S622" s="7">
        <f>IF($A622="","",IF(AND(LEFT($G622,3)="ДОК",$N622&lt;&gt;""),IFERROR(INDEX(Документация!$E$2:$E$57,MATCH($N622,Документация!$F$2:$F$57,0)),0),N($F622))*(1-MEDIAN(0,N(ДисконтТендер),1)))</f>
        <v>1540.16</v>
      </c>
      <c r="T622" s="7">
        <f>IF($A622="","",IF(AND(LEFT($G622,3)="ДОК",$N622&lt;&gt;""),0,IF(AND(LEFT($G622,3)&lt;&gt;"ДОК",$N622&lt;&gt;""),IFERROR(INDEX(МАТЕРИАЛЫ!$H$2:$H$9000,MATCH($N622,МАТЕРИАЛЫ!$L$2:$L$9000,0))*IF(INDEX(МАТЕРИАЛЫ!$I$2:$I$9000,MATCH($N622,МАТЕРИАЛЫ!$L$2:$L$9000,0))="USD",КурсUSD,IF(INDEX(МАТЕРИАЛЫ!$I$2:$I$9000,MATCH($N622,МАТЕРИАЛЫ!$L$2:$L$9000,0))="EUR",КурсEUR,IF(INDEX(МАТЕРИАЛЫ!$I$2:$I$9000,MATCH($N622,МАТЕРИАЛЫ!$L$2:$L$9000,0))="CNY",КурсCNY,1)))*(1+N($H622)/100),0),N($O622))*(1-MEDIAN(0,N(ДисконтТендер),1))))</f>
        <v>0</v>
      </c>
      <c r="U622" t="str">
        <f>IF($L622="да",MAX($U$1:$U621)+1,"")</f>
        <v/>
      </c>
      <c r="V622" t="str">
        <f t="shared" si="66"/>
        <v>Р9</v>
      </c>
      <c r="W622" t="str">
        <f t="shared" si="67"/>
        <v/>
      </c>
      <c r="X622" t="str">
        <f t="shared" si="68"/>
        <v/>
      </c>
      <c r="Y622" s="4" t="str">
        <f>IF($A622="","",IF(AND(LEFT($G622,3)="ДОК",$N622&lt;&gt;""),IFERROR(INDEX(Документация!$G$2:$G$57,MATCH($N622,Документация!$F$2:$F$57,0)),$D622),$D622&amp;IF(AND(LEFT($G622,3)&lt;&gt;"ДОК",$N622&lt;&gt;"")," — "&amp;IFERROR(INDEX(МАТЕРИАЛЫ!$C$2:$C$9000,MATCH($N622,МАТЕРИАЛЫ!$L$2:$L$9000,0)),""),"")))</f>
        <v>Монтаж модульного аппарата (автомат / УЗО / дифавтомат / рубильник)</v>
      </c>
      <c r="Z622" t="str">
        <f t="shared" si="69"/>
        <v>Р9 · Электротехнические работы</v>
      </c>
    </row>
    <row r="623" spans="1:26" ht="28.8" x14ac:dyDescent="0.3">
      <c r="A623" t="s">
        <v>1326</v>
      </c>
      <c r="B623" t="s">
        <v>1255</v>
      </c>
      <c r="C623" t="s">
        <v>161</v>
      </c>
      <c r="D623" s="4" t="s">
        <v>1283</v>
      </c>
      <c r="E623" t="s">
        <v>114</v>
      </c>
      <c r="F623" s="5">
        <v>984.84</v>
      </c>
      <c r="G623" t="s">
        <v>1284</v>
      </c>
      <c r="H623">
        <v>5</v>
      </c>
      <c r="I623" t="s">
        <v>53</v>
      </c>
      <c r="L623" s="6"/>
      <c r="M623" s="6"/>
      <c r="N623" s="6"/>
      <c r="O623" s="5"/>
      <c r="P623" s="7" t="str">
        <f t="shared" si="63"/>
        <v/>
      </c>
      <c r="Q623" s="7" t="str">
        <f t="shared" si="64"/>
        <v/>
      </c>
      <c r="R623" s="7" t="str">
        <f t="shared" si="65"/>
        <v/>
      </c>
      <c r="S623" s="7">
        <f>IF($A623="","",IF(AND(LEFT($G623,3)="ДОК",$N623&lt;&gt;""),IFERROR(INDEX(Документация!$E$2:$E$57,MATCH($N623,Документация!$F$2:$F$57,0)),0),N($F623))*(1-MEDIAN(0,N(ДисконтТендер),1)))</f>
        <v>984.84</v>
      </c>
      <c r="T623" s="7">
        <f>IF($A623="","",IF(AND(LEFT($G623,3)="ДОК",$N623&lt;&gt;""),0,IF(AND(LEFT($G623,3)&lt;&gt;"ДОК",$N623&lt;&gt;""),IFERROR(INDEX(МАТЕРИАЛЫ!$H$2:$H$9000,MATCH($N623,МАТЕРИАЛЫ!$L$2:$L$9000,0))*IF(INDEX(МАТЕРИАЛЫ!$I$2:$I$9000,MATCH($N623,МАТЕРИАЛЫ!$L$2:$L$9000,0))="USD",КурсUSD,IF(INDEX(МАТЕРИАЛЫ!$I$2:$I$9000,MATCH($N623,МАТЕРИАЛЫ!$L$2:$L$9000,0))="EUR",КурсEUR,IF(INDEX(МАТЕРИАЛЫ!$I$2:$I$9000,MATCH($N623,МАТЕРИАЛЫ!$L$2:$L$9000,0))="CNY",КурсCNY,1)))*(1+N($H623)/100),0),N($O623))*(1-MEDIAN(0,N(ДисконтТендер),1))))</f>
        <v>0</v>
      </c>
      <c r="U623" t="str">
        <f>IF($L623="да",MAX($U$1:$U622)+1,"")</f>
        <v/>
      </c>
      <c r="V623" t="str">
        <f t="shared" si="66"/>
        <v>Р9</v>
      </c>
      <c r="W623" t="str">
        <f t="shared" si="67"/>
        <v/>
      </c>
      <c r="X623" t="str">
        <f t="shared" si="68"/>
        <v/>
      </c>
      <c r="Y623" s="4" t="str">
        <f>IF($A623="","",IF(AND(LEFT($G623,3)="ДОК",$N623&lt;&gt;""),IFERROR(INDEX(Документация!$G$2:$G$57,MATCH($N623,Документация!$F$2:$F$57,0)),$D623),$D623&amp;IF(AND(LEFT($G623,3)&lt;&gt;"ДОК",$N623&lt;&gt;"")," — "&amp;IFERROR(INDEX(МАТЕРИАЛЫ!$C$2:$C$9000,MATCH($N623,МАТЕРИАЛЫ!$L$2:$L$9000,0)),""),"")))</f>
        <v>Монтаж модульного аппарата (автомат / УЗО / дифавтомат / рубильник)</v>
      </c>
      <c r="Z623" t="str">
        <f t="shared" si="69"/>
        <v>Р9 · Электротехнические работы</v>
      </c>
    </row>
    <row r="624" spans="1:26" ht="28.8" x14ac:dyDescent="0.3">
      <c r="A624" t="s">
        <v>1327</v>
      </c>
      <c r="B624" t="s">
        <v>1255</v>
      </c>
      <c r="C624" t="s">
        <v>161</v>
      </c>
      <c r="D624" s="4" t="s">
        <v>1283</v>
      </c>
      <c r="E624" t="s">
        <v>114</v>
      </c>
      <c r="F624" s="5">
        <v>1245.3800000000001</v>
      </c>
      <c r="G624" t="s">
        <v>1284</v>
      </c>
      <c r="H624">
        <v>5</v>
      </c>
      <c r="I624" t="s">
        <v>53</v>
      </c>
      <c r="L624" s="6"/>
      <c r="M624" s="6"/>
      <c r="N624" s="6"/>
      <c r="O624" s="5"/>
      <c r="P624" s="7" t="str">
        <f t="shared" si="63"/>
        <v/>
      </c>
      <c r="Q624" s="7" t="str">
        <f t="shared" si="64"/>
        <v/>
      </c>
      <c r="R624" s="7" t="str">
        <f t="shared" si="65"/>
        <v/>
      </c>
      <c r="S624" s="7">
        <f>IF($A624="","",IF(AND(LEFT($G624,3)="ДОК",$N624&lt;&gt;""),IFERROR(INDEX(Документация!$E$2:$E$57,MATCH($N624,Документация!$F$2:$F$57,0)),0),N($F624))*(1-MEDIAN(0,N(ДисконтТендер),1)))</f>
        <v>1245.3800000000001</v>
      </c>
      <c r="T624" s="7">
        <f>IF($A624="","",IF(AND(LEFT($G624,3)="ДОК",$N624&lt;&gt;""),0,IF(AND(LEFT($G624,3)&lt;&gt;"ДОК",$N624&lt;&gt;""),IFERROR(INDEX(МАТЕРИАЛЫ!$H$2:$H$9000,MATCH($N624,МАТЕРИАЛЫ!$L$2:$L$9000,0))*IF(INDEX(МАТЕРИАЛЫ!$I$2:$I$9000,MATCH($N624,МАТЕРИАЛЫ!$L$2:$L$9000,0))="USD",КурсUSD,IF(INDEX(МАТЕРИАЛЫ!$I$2:$I$9000,MATCH($N624,МАТЕРИАЛЫ!$L$2:$L$9000,0))="EUR",КурсEUR,IF(INDEX(МАТЕРИАЛЫ!$I$2:$I$9000,MATCH($N624,МАТЕРИАЛЫ!$L$2:$L$9000,0))="CNY",КурсCNY,1)))*(1+N($H624)/100),0),N($O624))*(1-MEDIAN(0,N(ДисконтТендер),1))))</f>
        <v>0</v>
      </c>
      <c r="U624" t="str">
        <f>IF($L624="да",MAX($U$1:$U623)+1,"")</f>
        <v/>
      </c>
      <c r="V624" t="str">
        <f t="shared" si="66"/>
        <v>Р9</v>
      </c>
      <c r="W624" t="str">
        <f t="shared" si="67"/>
        <v/>
      </c>
      <c r="X624" t="str">
        <f t="shared" si="68"/>
        <v/>
      </c>
      <c r="Y624" s="4" t="str">
        <f>IF($A624="","",IF(AND(LEFT($G624,3)="ДОК",$N624&lt;&gt;""),IFERROR(INDEX(Документация!$G$2:$G$57,MATCH($N624,Документация!$F$2:$F$57,0)),$D624),$D624&amp;IF(AND(LEFT($G624,3)&lt;&gt;"ДОК",$N624&lt;&gt;"")," — "&amp;IFERROR(INDEX(МАТЕРИАЛЫ!$C$2:$C$9000,MATCH($N624,МАТЕРИАЛЫ!$L$2:$L$9000,0)),""),"")))</f>
        <v>Монтаж модульного аппарата (автомат / УЗО / дифавтомат / рубильник)</v>
      </c>
      <c r="Z624" t="str">
        <f t="shared" si="69"/>
        <v>Р9 · Электротехнические работы</v>
      </c>
    </row>
    <row r="625" spans="1:26" ht="28.8" x14ac:dyDescent="0.3">
      <c r="A625" t="s">
        <v>1328</v>
      </c>
      <c r="B625" t="s">
        <v>1255</v>
      </c>
      <c r="C625" t="s">
        <v>161</v>
      </c>
      <c r="D625" s="4" t="s">
        <v>1283</v>
      </c>
      <c r="E625" t="s">
        <v>114</v>
      </c>
      <c r="F625" s="5">
        <v>1087.83</v>
      </c>
      <c r="G625" t="s">
        <v>1284</v>
      </c>
      <c r="H625">
        <v>5</v>
      </c>
      <c r="I625" t="s">
        <v>53</v>
      </c>
      <c r="L625" s="6"/>
      <c r="M625" s="6"/>
      <c r="N625" s="6"/>
      <c r="O625" s="5"/>
      <c r="P625" s="7" t="str">
        <f t="shared" si="63"/>
        <v/>
      </c>
      <c r="Q625" s="7" t="str">
        <f t="shared" si="64"/>
        <v/>
      </c>
      <c r="R625" s="7" t="str">
        <f t="shared" si="65"/>
        <v/>
      </c>
      <c r="S625" s="7">
        <f>IF($A625="","",IF(AND(LEFT($G625,3)="ДОК",$N625&lt;&gt;""),IFERROR(INDEX(Документация!$E$2:$E$57,MATCH($N625,Документация!$F$2:$F$57,0)),0),N($F625))*(1-MEDIAN(0,N(ДисконтТендер),1)))</f>
        <v>1087.83</v>
      </c>
      <c r="T625" s="7">
        <f>IF($A625="","",IF(AND(LEFT($G625,3)="ДОК",$N625&lt;&gt;""),0,IF(AND(LEFT($G625,3)&lt;&gt;"ДОК",$N625&lt;&gt;""),IFERROR(INDEX(МАТЕРИАЛЫ!$H$2:$H$9000,MATCH($N625,МАТЕРИАЛЫ!$L$2:$L$9000,0))*IF(INDEX(МАТЕРИАЛЫ!$I$2:$I$9000,MATCH($N625,МАТЕРИАЛЫ!$L$2:$L$9000,0))="USD",КурсUSD,IF(INDEX(МАТЕРИАЛЫ!$I$2:$I$9000,MATCH($N625,МАТЕРИАЛЫ!$L$2:$L$9000,0))="EUR",КурсEUR,IF(INDEX(МАТЕРИАЛЫ!$I$2:$I$9000,MATCH($N625,МАТЕРИАЛЫ!$L$2:$L$9000,0))="CNY",КурсCNY,1)))*(1+N($H625)/100),0),N($O625))*(1-MEDIAN(0,N(ДисконтТендер),1))))</f>
        <v>0</v>
      </c>
      <c r="U625" t="str">
        <f>IF($L625="да",MAX($U$1:$U624)+1,"")</f>
        <v/>
      </c>
      <c r="V625" t="str">
        <f t="shared" si="66"/>
        <v>Р9</v>
      </c>
      <c r="W625" t="str">
        <f t="shared" si="67"/>
        <v/>
      </c>
      <c r="X625" t="str">
        <f t="shared" si="68"/>
        <v/>
      </c>
      <c r="Y625" s="4" t="str">
        <f>IF($A625="","",IF(AND(LEFT($G625,3)="ДОК",$N625&lt;&gt;""),IFERROR(INDEX(Документация!$G$2:$G$57,MATCH($N625,Документация!$F$2:$F$57,0)),$D625),$D625&amp;IF(AND(LEFT($G625,3)&lt;&gt;"ДОК",$N625&lt;&gt;"")," — "&amp;IFERROR(INDEX(МАТЕРИАЛЫ!$C$2:$C$9000,MATCH($N625,МАТЕРИАЛЫ!$L$2:$L$9000,0)),""),"")))</f>
        <v>Монтаж модульного аппарата (автомат / УЗО / дифавтомат / рубильник)</v>
      </c>
      <c r="Z625" t="str">
        <f t="shared" si="69"/>
        <v>Р9 · Электротехнические работы</v>
      </c>
    </row>
    <row r="626" spans="1:26" ht="28.8" x14ac:dyDescent="0.3">
      <c r="A626" t="s">
        <v>1329</v>
      </c>
      <c r="B626" t="s">
        <v>1255</v>
      </c>
      <c r="C626" t="s">
        <v>161</v>
      </c>
      <c r="D626" s="4" t="s">
        <v>1283</v>
      </c>
      <c r="E626" t="s">
        <v>114</v>
      </c>
      <c r="F626" s="5">
        <v>1420.16</v>
      </c>
      <c r="G626" t="s">
        <v>1284</v>
      </c>
      <c r="H626">
        <v>5</v>
      </c>
      <c r="I626" t="s">
        <v>53</v>
      </c>
      <c r="L626" s="6"/>
      <c r="M626" s="6"/>
      <c r="N626" s="6"/>
      <c r="O626" s="5"/>
      <c r="P626" s="7" t="str">
        <f t="shared" si="63"/>
        <v/>
      </c>
      <c r="Q626" s="7" t="str">
        <f t="shared" si="64"/>
        <v/>
      </c>
      <c r="R626" s="7" t="str">
        <f t="shared" si="65"/>
        <v/>
      </c>
      <c r="S626" s="7">
        <f>IF($A626="","",IF(AND(LEFT($G626,3)="ДОК",$N626&lt;&gt;""),IFERROR(INDEX(Документация!$E$2:$E$57,MATCH($N626,Документация!$F$2:$F$57,0)),0),N($F626))*(1-MEDIAN(0,N(ДисконтТендер),1)))</f>
        <v>1420.16</v>
      </c>
      <c r="T626" s="7">
        <f>IF($A626="","",IF(AND(LEFT($G626,3)="ДОК",$N626&lt;&gt;""),0,IF(AND(LEFT($G626,3)&lt;&gt;"ДОК",$N626&lt;&gt;""),IFERROR(INDEX(МАТЕРИАЛЫ!$H$2:$H$9000,MATCH($N626,МАТЕРИАЛЫ!$L$2:$L$9000,0))*IF(INDEX(МАТЕРИАЛЫ!$I$2:$I$9000,MATCH($N626,МАТЕРИАЛЫ!$L$2:$L$9000,0))="USD",КурсUSD,IF(INDEX(МАТЕРИАЛЫ!$I$2:$I$9000,MATCH($N626,МАТЕРИАЛЫ!$L$2:$L$9000,0))="EUR",КурсEUR,IF(INDEX(МАТЕРИАЛЫ!$I$2:$I$9000,MATCH($N626,МАТЕРИАЛЫ!$L$2:$L$9000,0))="CNY",КурсCNY,1)))*(1+N($H626)/100),0),N($O626))*(1-MEDIAN(0,N(ДисконтТендер),1))))</f>
        <v>0</v>
      </c>
      <c r="U626" t="str">
        <f>IF($L626="да",MAX($U$1:$U625)+1,"")</f>
        <v/>
      </c>
      <c r="V626" t="str">
        <f t="shared" si="66"/>
        <v>Р9</v>
      </c>
      <c r="W626" t="str">
        <f t="shared" si="67"/>
        <v/>
      </c>
      <c r="X626" t="str">
        <f t="shared" si="68"/>
        <v/>
      </c>
      <c r="Y626" s="4" t="str">
        <f>IF($A626="","",IF(AND(LEFT($G626,3)="ДОК",$N626&lt;&gt;""),IFERROR(INDEX(Документация!$G$2:$G$57,MATCH($N626,Документация!$F$2:$F$57,0)),$D626),$D626&amp;IF(AND(LEFT($G626,3)&lt;&gt;"ДОК",$N626&lt;&gt;"")," — "&amp;IFERROR(INDEX(МАТЕРИАЛЫ!$C$2:$C$9000,MATCH($N626,МАТЕРИАЛЫ!$L$2:$L$9000,0)),""),"")))</f>
        <v>Монтаж модульного аппарата (автомат / УЗО / дифавтомат / рубильник)</v>
      </c>
      <c r="Z626" t="str">
        <f t="shared" si="69"/>
        <v>Р9 · Электротехнические работы</v>
      </c>
    </row>
    <row r="627" spans="1:26" ht="28.8" x14ac:dyDescent="0.3">
      <c r="A627" t="s">
        <v>1330</v>
      </c>
      <c r="B627" t="s">
        <v>1255</v>
      </c>
      <c r="C627" t="s">
        <v>161</v>
      </c>
      <c r="D627" s="4" t="s">
        <v>1283</v>
      </c>
      <c r="E627" t="s">
        <v>114</v>
      </c>
      <c r="F627" s="5">
        <v>1680.36</v>
      </c>
      <c r="G627" t="s">
        <v>1284</v>
      </c>
      <c r="H627">
        <v>5</v>
      </c>
      <c r="I627" t="s">
        <v>53</v>
      </c>
      <c r="L627" s="6"/>
      <c r="M627" s="6"/>
      <c r="N627" s="6"/>
      <c r="O627" s="5"/>
      <c r="P627" s="7" t="str">
        <f t="shared" si="63"/>
        <v/>
      </c>
      <c r="Q627" s="7" t="str">
        <f t="shared" si="64"/>
        <v/>
      </c>
      <c r="R627" s="7" t="str">
        <f t="shared" si="65"/>
        <v/>
      </c>
      <c r="S627" s="7">
        <f>IF($A627="","",IF(AND(LEFT($G627,3)="ДОК",$N627&lt;&gt;""),IFERROR(INDEX(Документация!$E$2:$E$57,MATCH($N627,Документация!$F$2:$F$57,0)),0),N($F627))*(1-MEDIAN(0,N(ДисконтТендер),1)))</f>
        <v>1680.36</v>
      </c>
      <c r="T627" s="7">
        <f>IF($A627="","",IF(AND(LEFT($G627,3)="ДОК",$N627&lt;&gt;""),0,IF(AND(LEFT($G627,3)&lt;&gt;"ДОК",$N627&lt;&gt;""),IFERROR(INDEX(МАТЕРИАЛЫ!$H$2:$H$9000,MATCH($N627,МАТЕРИАЛЫ!$L$2:$L$9000,0))*IF(INDEX(МАТЕРИАЛЫ!$I$2:$I$9000,MATCH($N627,МАТЕРИАЛЫ!$L$2:$L$9000,0))="USD",КурсUSD,IF(INDEX(МАТЕРИАЛЫ!$I$2:$I$9000,MATCH($N627,МАТЕРИАЛЫ!$L$2:$L$9000,0))="EUR",КурсEUR,IF(INDEX(МАТЕРИАЛЫ!$I$2:$I$9000,MATCH($N627,МАТЕРИАЛЫ!$L$2:$L$9000,0))="CNY",КурсCNY,1)))*(1+N($H627)/100),0),N($O627))*(1-MEDIAN(0,N(ДисконтТендер),1))))</f>
        <v>0</v>
      </c>
      <c r="U627" t="str">
        <f>IF($L627="да",MAX($U$1:$U626)+1,"")</f>
        <v/>
      </c>
      <c r="V627" t="str">
        <f t="shared" si="66"/>
        <v>Р9</v>
      </c>
      <c r="W627" t="str">
        <f t="shared" si="67"/>
        <v/>
      </c>
      <c r="X627" t="str">
        <f t="shared" si="68"/>
        <v/>
      </c>
      <c r="Y627" s="4" t="str">
        <f>IF($A627="","",IF(AND(LEFT($G627,3)="ДОК",$N627&lt;&gt;""),IFERROR(INDEX(Документация!$G$2:$G$57,MATCH($N627,Документация!$F$2:$F$57,0)),$D627),$D627&amp;IF(AND(LEFT($G627,3)&lt;&gt;"ДОК",$N627&lt;&gt;"")," — "&amp;IFERROR(INDEX(МАТЕРИАЛЫ!$C$2:$C$9000,MATCH($N627,МАТЕРИАЛЫ!$L$2:$L$9000,0)),""),"")))</f>
        <v>Монтаж модульного аппарата (автомат / УЗО / дифавтомат / рубильник)</v>
      </c>
      <c r="Z627" t="str">
        <f t="shared" si="69"/>
        <v>Р9 · Электротехнические работы</v>
      </c>
    </row>
    <row r="628" spans="1:26" x14ac:dyDescent="0.3">
      <c r="A628" t="s">
        <v>1331</v>
      </c>
      <c r="B628" t="s">
        <v>1255</v>
      </c>
      <c r="C628" t="s">
        <v>161</v>
      </c>
      <c r="D628" s="4" t="s">
        <v>1332</v>
      </c>
      <c r="E628" t="s">
        <v>114</v>
      </c>
      <c r="F628" s="5">
        <v>2240.63</v>
      </c>
      <c r="G628" t="s">
        <v>1284</v>
      </c>
      <c r="H628">
        <v>5</v>
      </c>
      <c r="I628" t="s">
        <v>53</v>
      </c>
      <c r="L628" s="6"/>
      <c r="M628" s="6"/>
      <c r="N628" s="6"/>
      <c r="O628" s="5"/>
      <c r="P628" s="7" t="str">
        <f t="shared" si="63"/>
        <v/>
      </c>
      <c r="Q628" s="7" t="str">
        <f t="shared" si="64"/>
        <v/>
      </c>
      <c r="R628" s="7" t="str">
        <f t="shared" si="65"/>
        <v/>
      </c>
      <c r="S628" s="7">
        <f>IF($A628="","",IF(AND(LEFT($G628,3)="ДОК",$N628&lt;&gt;""),IFERROR(INDEX(Документация!$E$2:$E$57,MATCH($N628,Документация!$F$2:$F$57,0)),0),N($F628))*(1-MEDIAN(0,N(ДисконтТендер),1)))</f>
        <v>2240.63</v>
      </c>
      <c r="T628" s="7">
        <f>IF($A628="","",IF(AND(LEFT($G628,3)="ДОК",$N628&lt;&gt;""),0,IF(AND(LEFT($G628,3)&lt;&gt;"ДОК",$N628&lt;&gt;""),IFERROR(INDEX(МАТЕРИАЛЫ!$H$2:$H$9000,MATCH($N628,МАТЕРИАЛЫ!$L$2:$L$9000,0))*IF(INDEX(МАТЕРИАЛЫ!$I$2:$I$9000,MATCH($N628,МАТЕРИАЛЫ!$L$2:$L$9000,0))="USD",КурсUSD,IF(INDEX(МАТЕРИАЛЫ!$I$2:$I$9000,MATCH($N628,МАТЕРИАЛЫ!$L$2:$L$9000,0))="EUR",КурсEUR,IF(INDEX(МАТЕРИАЛЫ!$I$2:$I$9000,MATCH($N628,МАТЕРИАЛЫ!$L$2:$L$9000,0))="CNY",КурсCNY,1)))*(1+N($H628)/100),0),N($O628))*(1-MEDIAN(0,N(ДисконтТендер),1))))</f>
        <v>0</v>
      </c>
      <c r="U628" t="str">
        <f>IF($L628="да",MAX($U$1:$U627)+1,"")</f>
        <v/>
      </c>
      <c r="V628" t="str">
        <f t="shared" si="66"/>
        <v>Р9</v>
      </c>
      <c r="W628" t="str">
        <f t="shared" si="67"/>
        <v/>
      </c>
      <c r="X628" t="str">
        <f t="shared" si="68"/>
        <v/>
      </c>
      <c r="Y628" s="4" t="str">
        <f>IF($A628="","",IF(AND(LEFT($G628,3)="ДОК",$N628&lt;&gt;""),IFERROR(INDEX(Документация!$G$2:$G$57,MATCH($N628,Документация!$F$2:$F$57,0)),$D628),$D628&amp;IF(AND(LEFT($G628,3)&lt;&gt;"ДОК",$N628&lt;&gt;"")," — "&amp;IFERROR(INDEX(МАТЕРИАЛЫ!$C$2:$C$9000,MATCH($N628,МАТЕРИАЛЫ!$L$2:$L$9000,0)),""),"")))</f>
        <v>Автомат.выкл-ль АВВ Т1В160 40А</v>
      </c>
      <c r="Z628" t="str">
        <f t="shared" si="69"/>
        <v>Р9 · Электротехнические работы</v>
      </c>
    </row>
    <row r="629" spans="1:26" x14ac:dyDescent="0.3">
      <c r="A629" t="s">
        <v>1333</v>
      </c>
      <c r="B629" t="s">
        <v>1255</v>
      </c>
      <c r="C629" t="s">
        <v>161</v>
      </c>
      <c r="D629" s="4" t="s">
        <v>1334</v>
      </c>
      <c r="E629" t="s">
        <v>114</v>
      </c>
      <c r="F629" s="5">
        <v>2110.63</v>
      </c>
      <c r="G629" t="s">
        <v>1284</v>
      </c>
      <c r="H629">
        <v>5</v>
      </c>
      <c r="I629" t="s">
        <v>53</v>
      </c>
      <c r="L629" s="6"/>
      <c r="M629" s="6"/>
      <c r="N629" s="6"/>
      <c r="O629" s="5"/>
      <c r="P629" s="7" t="str">
        <f t="shared" si="63"/>
        <v/>
      </c>
      <c r="Q629" s="7" t="str">
        <f t="shared" si="64"/>
        <v/>
      </c>
      <c r="R629" s="7" t="str">
        <f t="shared" si="65"/>
        <v/>
      </c>
      <c r="S629" s="7">
        <f>IF($A629="","",IF(AND(LEFT($G629,3)="ДОК",$N629&lt;&gt;""),IFERROR(INDEX(Документация!$E$2:$E$57,MATCH($N629,Документация!$F$2:$F$57,0)),0),N($F629))*(1-MEDIAN(0,N(ДисконтТендер),1)))</f>
        <v>2110.63</v>
      </c>
      <c r="T629" s="7">
        <f>IF($A629="","",IF(AND(LEFT($G629,3)="ДОК",$N629&lt;&gt;""),0,IF(AND(LEFT($G629,3)&lt;&gt;"ДОК",$N629&lt;&gt;""),IFERROR(INDEX(МАТЕРИАЛЫ!$H$2:$H$9000,MATCH($N629,МАТЕРИАЛЫ!$L$2:$L$9000,0))*IF(INDEX(МАТЕРИАЛЫ!$I$2:$I$9000,MATCH($N629,МАТЕРИАЛЫ!$L$2:$L$9000,0))="USD",КурсUSD,IF(INDEX(МАТЕРИАЛЫ!$I$2:$I$9000,MATCH($N629,МАТЕРИАЛЫ!$L$2:$L$9000,0))="EUR",КурсEUR,IF(INDEX(МАТЕРИАЛЫ!$I$2:$I$9000,MATCH($N629,МАТЕРИАЛЫ!$L$2:$L$9000,0))="CNY",КурсCNY,1)))*(1+N($H629)/100),0),N($O629))*(1-MEDIAN(0,N(ДисконтТендер),1))))</f>
        <v>0</v>
      </c>
      <c r="U629" t="str">
        <f>IF($L629="да",MAX($U$1:$U628)+1,"")</f>
        <v/>
      </c>
      <c r="V629" t="str">
        <f t="shared" si="66"/>
        <v>Р9</v>
      </c>
      <c r="W629" t="str">
        <f t="shared" si="67"/>
        <v/>
      </c>
      <c r="X629" t="str">
        <f t="shared" si="68"/>
        <v/>
      </c>
      <c r="Y629" s="4" t="str">
        <f>IF($A629="","",IF(AND(LEFT($G629,3)="ДОК",$N629&lt;&gt;""),IFERROR(INDEX(Документация!$G$2:$G$57,MATCH($N629,Документация!$F$2:$F$57,0)),$D629),$D629&amp;IF(AND(LEFT($G629,3)&lt;&gt;"ДОК",$N629&lt;&gt;"")," — "&amp;IFERROR(INDEX(МАТЕРИАЛЫ!$C$2:$C$9000,MATCH($N629,МАТЕРИАЛЫ!$L$2:$L$9000,0)),""),"")))</f>
        <v>Автомат.выкл-ль АВВ Т1В160 32А</v>
      </c>
      <c r="Z629" t="str">
        <f t="shared" si="69"/>
        <v>Р9 · Электротехнические работы</v>
      </c>
    </row>
    <row r="630" spans="1:26" x14ac:dyDescent="0.3">
      <c r="A630" t="s">
        <v>1335</v>
      </c>
      <c r="B630" t="s">
        <v>1255</v>
      </c>
      <c r="C630" t="s">
        <v>161</v>
      </c>
      <c r="D630" s="4" t="s">
        <v>1336</v>
      </c>
      <c r="E630" t="s">
        <v>114</v>
      </c>
      <c r="F630" s="5">
        <v>1940.63</v>
      </c>
      <c r="G630" t="s">
        <v>1284</v>
      </c>
      <c r="H630">
        <v>5</v>
      </c>
      <c r="I630" t="s">
        <v>53</v>
      </c>
      <c r="L630" s="6"/>
      <c r="M630" s="6"/>
      <c r="N630" s="6"/>
      <c r="O630" s="5"/>
      <c r="P630" s="7" t="str">
        <f t="shared" si="63"/>
        <v/>
      </c>
      <c r="Q630" s="7" t="str">
        <f t="shared" si="64"/>
        <v/>
      </c>
      <c r="R630" s="7" t="str">
        <f t="shared" si="65"/>
        <v/>
      </c>
      <c r="S630" s="7">
        <f>IF($A630="","",IF(AND(LEFT($G630,3)="ДОК",$N630&lt;&gt;""),IFERROR(INDEX(Документация!$E$2:$E$57,MATCH($N630,Документация!$F$2:$F$57,0)),0),N($F630))*(1-MEDIAN(0,N(ДисконтТендер),1)))</f>
        <v>1940.63</v>
      </c>
      <c r="T630" s="7">
        <f>IF($A630="","",IF(AND(LEFT($G630,3)="ДОК",$N630&lt;&gt;""),0,IF(AND(LEFT($G630,3)&lt;&gt;"ДОК",$N630&lt;&gt;""),IFERROR(INDEX(МАТЕРИАЛЫ!$H$2:$H$9000,MATCH($N630,МАТЕРИАЛЫ!$L$2:$L$9000,0))*IF(INDEX(МАТЕРИАЛЫ!$I$2:$I$9000,MATCH($N630,МАТЕРИАЛЫ!$L$2:$L$9000,0))="USD",КурсUSD,IF(INDEX(МАТЕРИАЛЫ!$I$2:$I$9000,MATCH($N630,МАТЕРИАЛЫ!$L$2:$L$9000,0))="EUR",КурсEUR,IF(INDEX(МАТЕРИАЛЫ!$I$2:$I$9000,MATCH($N630,МАТЕРИАЛЫ!$L$2:$L$9000,0))="CNY",КурсCNY,1)))*(1+N($H630)/100),0),N($O630))*(1-MEDIAN(0,N(ДисконтТендер),1))))</f>
        <v>0</v>
      </c>
      <c r="U630" t="str">
        <f>IF($L630="да",MAX($U$1:$U629)+1,"")</f>
        <v/>
      </c>
      <c r="V630" t="str">
        <f t="shared" si="66"/>
        <v>Р9</v>
      </c>
      <c r="W630" t="str">
        <f t="shared" si="67"/>
        <v/>
      </c>
      <c r="X630" t="str">
        <f t="shared" si="68"/>
        <v/>
      </c>
      <c r="Y630" s="4" t="str">
        <f>IF($A630="","",IF(AND(LEFT($G630,3)="ДОК",$N630&lt;&gt;""),IFERROR(INDEX(Документация!$G$2:$G$57,MATCH($N630,Документация!$F$2:$F$57,0)),$D630),$D630&amp;IF(AND(LEFT($G630,3)&lt;&gt;"ДОК",$N630&lt;&gt;"")," — "&amp;IFERROR(INDEX(МАТЕРИАЛЫ!$C$2:$C$9000,MATCH($N630,МАТЕРИАЛЫ!$L$2:$L$9000,0)),""),"")))</f>
        <v>Автомат.выкл-ль АВВ Т1В160 25А</v>
      </c>
      <c r="Z630" t="str">
        <f t="shared" si="69"/>
        <v>Р9 · Электротехнические работы</v>
      </c>
    </row>
    <row r="631" spans="1:26" x14ac:dyDescent="0.3">
      <c r="A631" t="s">
        <v>1337</v>
      </c>
      <c r="B631" t="s">
        <v>1255</v>
      </c>
      <c r="C631" t="s">
        <v>161</v>
      </c>
      <c r="D631" s="4" t="s">
        <v>1338</v>
      </c>
      <c r="E631" t="s">
        <v>114</v>
      </c>
      <c r="F631" s="5">
        <v>2780.81</v>
      </c>
      <c r="G631" t="s">
        <v>1284</v>
      </c>
      <c r="H631">
        <v>5</v>
      </c>
      <c r="I631" t="s">
        <v>53</v>
      </c>
      <c r="L631" s="6"/>
      <c r="M631" s="6"/>
      <c r="N631" s="6"/>
      <c r="O631" s="5"/>
      <c r="P631" s="7" t="str">
        <f t="shared" si="63"/>
        <v/>
      </c>
      <c r="Q631" s="7" t="str">
        <f t="shared" si="64"/>
        <v/>
      </c>
      <c r="R631" s="7" t="str">
        <f t="shared" si="65"/>
        <v/>
      </c>
      <c r="S631" s="7">
        <f>IF($A631="","",IF(AND(LEFT($G631,3)="ДОК",$N631&lt;&gt;""),IFERROR(INDEX(Документация!$E$2:$E$57,MATCH($N631,Документация!$F$2:$F$57,0)),0),N($F631))*(1-MEDIAN(0,N(ДисконтТендер),1)))</f>
        <v>2780.81</v>
      </c>
      <c r="T631" s="7">
        <f>IF($A631="","",IF(AND(LEFT($G631,3)="ДОК",$N631&lt;&gt;""),0,IF(AND(LEFT($G631,3)&lt;&gt;"ДОК",$N631&lt;&gt;""),IFERROR(INDEX(МАТЕРИАЛЫ!$H$2:$H$9000,MATCH($N631,МАТЕРИАЛЫ!$L$2:$L$9000,0))*IF(INDEX(МАТЕРИАЛЫ!$I$2:$I$9000,MATCH($N631,МАТЕРИАЛЫ!$L$2:$L$9000,0))="USD",КурсUSD,IF(INDEX(МАТЕРИАЛЫ!$I$2:$I$9000,MATCH($N631,МАТЕРИАЛЫ!$L$2:$L$9000,0))="EUR",КурсEUR,IF(INDEX(МАТЕРИАЛЫ!$I$2:$I$9000,MATCH($N631,МАТЕРИАЛЫ!$L$2:$L$9000,0))="CNY",КурсCNY,1)))*(1+N($H631)/100),0),N($O631))*(1-MEDIAN(0,N(ДисконтТендер),1))))</f>
        <v>0</v>
      </c>
      <c r="U631" t="str">
        <f>IF($L631="да",MAX($U$1:$U630)+1,"")</f>
        <v/>
      </c>
      <c r="V631" t="str">
        <f t="shared" si="66"/>
        <v>Р9</v>
      </c>
      <c r="W631" t="str">
        <f t="shared" si="67"/>
        <v/>
      </c>
      <c r="X631" t="str">
        <f t="shared" si="68"/>
        <v/>
      </c>
      <c r="Y631" s="4" t="str">
        <f>IF($A631="","",IF(AND(LEFT($G631,3)="ДОК",$N631&lt;&gt;""),IFERROR(INDEX(Документация!$G$2:$G$57,MATCH($N631,Документация!$F$2:$F$57,0)),$D631),$D631&amp;IF(AND(LEFT($G631,3)&lt;&gt;"ДОК",$N631&lt;&gt;"")," — "&amp;IFERROR(INDEX(МАТЕРИАЛЫ!$C$2:$C$9000,MATCH($N631,МАТЕРИАЛЫ!$L$2:$L$9000,0)),""),"")))</f>
        <v>Автомат.выкл-ль АВВ Т1В160 63А</v>
      </c>
      <c r="Z631" t="str">
        <f t="shared" si="69"/>
        <v>Р9 · Электротехнические работы</v>
      </c>
    </row>
    <row r="632" spans="1:26" x14ac:dyDescent="0.3">
      <c r="A632" t="s">
        <v>1339</v>
      </c>
      <c r="B632" t="s">
        <v>1255</v>
      </c>
      <c r="C632" t="s">
        <v>161</v>
      </c>
      <c r="D632" s="4" t="s">
        <v>1340</v>
      </c>
      <c r="E632" t="s">
        <v>114</v>
      </c>
      <c r="F632" s="5">
        <v>2468.0300000000002</v>
      </c>
      <c r="G632" t="s">
        <v>1284</v>
      </c>
      <c r="H632">
        <v>5</v>
      </c>
      <c r="I632" t="s">
        <v>53</v>
      </c>
      <c r="L632" s="6"/>
      <c r="M632" s="6"/>
      <c r="N632" s="6"/>
      <c r="O632" s="5"/>
      <c r="P632" s="7" t="str">
        <f t="shared" si="63"/>
        <v/>
      </c>
      <c r="Q632" s="7" t="str">
        <f t="shared" si="64"/>
        <v/>
      </c>
      <c r="R632" s="7" t="str">
        <f t="shared" si="65"/>
        <v/>
      </c>
      <c r="S632" s="7">
        <f>IF($A632="","",IF(AND(LEFT($G632,3)="ДОК",$N632&lt;&gt;""),IFERROR(INDEX(Документация!$E$2:$E$57,MATCH($N632,Документация!$F$2:$F$57,0)),0),N($F632))*(1-MEDIAN(0,N(ДисконтТендер),1)))</f>
        <v>2468.0300000000002</v>
      </c>
      <c r="T632" s="7">
        <f>IF($A632="","",IF(AND(LEFT($G632,3)="ДОК",$N632&lt;&gt;""),0,IF(AND(LEFT($G632,3)&lt;&gt;"ДОК",$N632&lt;&gt;""),IFERROR(INDEX(МАТЕРИАЛЫ!$H$2:$H$9000,MATCH($N632,МАТЕРИАЛЫ!$L$2:$L$9000,0))*IF(INDEX(МАТЕРИАЛЫ!$I$2:$I$9000,MATCH($N632,МАТЕРИАЛЫ!$L$2:$L$9000,0))="USD",КурсUSD,IF(INDEX(МАТЕРИАЛЫ!$I$2:$I$9000,MATCH($N632,МАТЕРИАЛЫ!$L$2:$L$9000,0))="EUR",КурсEUR,IF(INDEX(МАТЕРИАЛЫ!$I$2:$I$9000,MATCH($N632,МАТЕРИАЛЫ!$L$2:$L$9000,0))="CNY",КурсCNY,1)))*(1+N($H632)/100),0),N($O632))*(1-MEDIAN(0,N(ДисконтТендер),1))))</f>
        <v>0</v>
      </c>
      <c r="U632" t="str">
        <f>IF($L632="да",MAX($U$1:$U631)+1,"")</f>
        <v/>
      </c>
      <c r="V632" t="str">
        <f t="shared" si="66"/>
        <v>Р9</v>
      </c>
      <c r="W632" t="str">
        <f t="shared" si="67"/>
        <v/>
      </c>
      <c r="X632" t="str">
        <f t="shared" si="68"/>
        <v/>
      </c>
      <c r="Y632" s="4" t="str">
        <f>IF($A632="","",IF(AND(LEFT($G632,3)="ДОК",$N632&lt;&gt;""),IFERROR(INDEX(Документация!$G$2:$G$57,MATCH($N632,Документация!$F$2:$F$57,0)),$D632),$D632&amp;IF(AND(LEFT($G632,3)&lt;&gt;"ДОК",$N632&lt;&gt;"")," — "&amp;IFERROR(INDEX(МАТЕРИАЛЫ!$C$2:$C$9000,MATCH($N632,МАТЕРИАЛЫ!$L$2:$L$9000,0)),""),"")))</f>
        <v>Автомат.выкл-ль АВВ Т1В160 50А</v>
      </c>
      <c r="Z632" t="str">
        <f t="shared" si="69"/>
        <v>Р9 · Электротехнические работы</v>
      </c>
    </row>
    <row r="633" spans="1:26" x14ac:dyDescent="0.3">
      <c r="A633" t="s">
        <v>1341</v>
      </c>
      <c r="B633" t="s">
        <v>1255</v>
      </c>
      <c r="C633" t="s">
        <v>161</v>
      </c>
      <c r="D633" s="4" t="s">
        <v>1342</v>
      </c>
      <c r="E633" t="s">
        <v>114</v>
      </c>
      <c r="F633" s="5">
        <v>3043.37</v>
      </c>
      <c r="G633" t="s">
        <v>1284</v>
      </c>
      <c r="H633">
        <v>5</v>
      </c>
      <c r="I633" t="s">
        <v>53</v>
      </c>
      <c r="L633" s="6"/>
      <c r="M633" s="6"/>
      <c r="N633" s="6"/>
      <c r="O633" s="5"/>
      <c r="P633" s="7" t="str">
        <f t="shared" si="63"/>
        <v/>
      </c>
      <c r="Q633" s="7" t="str">
        <f t="shared" si="64"/>
        <v/>
      </c>
      <c r="R633" s="7" t="str">
        <f t="shared" si="65"/>
        <v/>
      </c>
      <c r="S633" s="7">
        <f>IF($A633="","",IF(AND(LEFT($G633,3)="ДОК",$N633&lt;&gt;""),IFERROR(INDEX(Документация!$E$2:$E$57,MATCH($N633,Документация!$F$2:$F$57,0)),0),N($F633))*(1-MEDIAN(0,N(ДисконтТендер),1)))</f>
        <v>3043.37</v>
      </c>
      <c r="T633" s="7">
        <f>IF($A633="","",IF(AND(LEFT($G633,3)="ДОК",$N633&lt;&gt;""),0,IF(AND(LEFT($G633,3)&lt;&gt;"ДОК",$N633&lt;&gt;""),IFERROR(INDEX(МАТЕРИАЛЫ!$H$2:$H$9000,MATCH($N633,МАТЕРИАЛЫ!$L$2:$L$9000,0))*IF(INDEX(МАТЕРИАЛЫ!$I$2:$I$9000,MATCH($N633,МАТЕРИАЛЫ!$L$2:$L$9000,0))="USD",КурсUSD,IF(INDEX(МАТЕРИАЛЫ!$I$2:$I$9000,MATCH($N633,МАТЕРИАЛЫ!$L$2:$L$9000,0))="EUR",КурсEUR,IF(INDEX(МАТЕРИАЛЫ!$I$2:$I$9000,MATCH($N633,МАТЕРИАЛЫ!$L$2:$L$9000,0))="CNY",КурсCNY,1)))*(1+N($H633)/100),0),N($O633))*(1-MEDIAN(0,N(ДисконтТендер),1))))</f>
        <v>0</v>
      </c>
      <c r="U633" t="str">
        <f>IF($L633="да",MAX($U$1:$U632)+1,"")</f>
        <v/>
      </c>
      <c r="V633" t="str">
        <f t="shared" si="66"/>
        <v>Р9</v>
      </c>
      <c r="W633" t="str">
        <f t="shared" si="67"/>
        <v/>
      </c>
      <c r="X633" t="str">
        <f t="shared" si="68"/>
        <v/>
      </c>
      <c r="Y633" s="4" t="str">
        <f>IF($A633="","",IF(AND(LEFT($G633,3)="ДОК",$N633&lt;&gt;""),IFERROR(INDEX(Документация!$G$2:$G$57,MATCH($N633,Документация!$F$2:$F$57,0)),$D633),$D633&amp;IF(AND(LEFT($G633,3)&lt;&gt;"ДОК",$N633&lt;&gt;"")," — "&amp;IFERROR(INDEX(МАТЕРИАЛЫ!$C$2:$C$9000,MATCH($N633,МАТЕРИАЛЫ!$L$2:$L$9000,0)),""),"")))</f>
        <v>Автомат.выкл-ль АВВ Т1В160 80А</v>
      </c>
      <c r="Z633" t="str">
        <f t="shared" si="69"/>
        <v>Р9 · Электротехнические работы</v>
      </c>
    </row>
    <row r="634" spans="1:26" x14ac:dyDescent="0.3">
      <c r="A634" t="s">
        <v>1343</v>
      </c>
      <c r="B634" t="s">
        <v>1255</v>
      </c>
      <c r="C634" t="s">
        <v>161</v>
      </c>
      <c r="D634" s="4" t="s">
        <v>1344</v>
      </c>
      <c r="E634" t="s">
        <v>114</v>
      </c>
      <c r="F634" s="5">
        <v>3568.48</v>
      </c>
      <c r="G634" t="s">
        <v>1284</v>
      </c>
      <c r="H634">
        <v>5</v>
      </c>
      <c r="I634" t="s">
        <v>53</v>
      </c>
      <c r="L634" s="6"/>
      <c r="M634" s="6"/>
      <c r="N634" s="6"/>
      <c r="O634" s="5"/>
      <c r="P634" s="7" t="str">
        <f t="shared" si="63"/>
        <v/>
      </c>
      <c r="Q634" s="7" t="str">
        <f t="shared" si="64"/>
        <v/>
      </c>
      <c r="R634" s="7" t="str">
        <f t="shared" si="65"/>
        <v/>
      </c>
      <c r="S634" s="7">
        <f>IF($A634="","",IF(AND(LEFT($G634,3)="ДОК",$N634&lt;&gt;""),IFERROR(INDEX(Документация!$E$2:$E$57,MATCH($N634,Документация!$F$2:$F$57,0)),0),N($F634))*(1-MEDIAN(0,N(ДисконтТендер),1)))</f>
        <v>3568.48</v>
      </c>
      <c r="T634" s="7">
        <f>IF($A634="","",IF(AND(LEFT($G634,3)="ДОК",$N634&lt;&gt;""),0,IF(AND(LEFT($G634,3)&lt;&gt;"ДОК",$N634&lt;&gt;""),IFERROR(INDEX(МАТЕРИАЛЫ!$H$2:$H$9000,MATCH($N634,МАТЕРИАЛЫ!$L$2:$L$9000,0))*IF(INDEX(МАТЕРИАЛЫ!$I$2:$I$9000,MATCH($N634,МАТЕРИАЛЫ!$L$2:$L$9000,0))="USD",КурсUSD,IF(INDEX(МАТЕРИАЛЫ!$I$2:$I$9000,MATCH($N634,МАТЕРИАЛЫ!$L$2:$L$9000,0))="EUR",КурсEUR,IF(INDEX(МАТЕРИАЛЫ!$I$2:$I$9000,MATCH($N634,МАТЕРИАЛЫ!$L$2:$L$9000,0))="CNY",КурсCNY,1)))*(1+N($H634)/100),0),N($O634))*(1-MEDIAN(0,N(ДисконтТендер),1))))</f>
        <v>0</v>
      </c>
      <c r="U634" t="str">
        <f>IF($L634="да",MAX($U$1:$U633)+1,"")</f>
        <v/>
      </c>
      <c r="V634" t="str">
        <f t="shared" si="66"/>
        <v>Р9</v>
      </c>
      <c r="W634" t="str">
        <f t="shared" si="67"/>
        <v/>
      </c>
      <c r="X634" t="str">
        <f t="shared" si="68"/>
        <v/>
      </c>
      <c r="Y634" s="4" t="str">
        <f>IF($A634="","",IF(AND(LEFT($G634,3)="ДОК",$N634&lt;&gt;""),IFERROR(INDEX(Документация!$G$2:$G$57,MATCH($N634,Документация!$F$2:$F$57,0)),$D634),$D634&amp;IF(AND(LEFT($G634,3)&lt;&gt;"ДОК",$N634&lt;&gt;"")," — "&amp;IFERROR(INDEX(МАТЕРИАЛЫ!$C$2:$C$9000,MATCH($N634,МАТЕРИАЛЫ!$L$2:$L$9000,0)),""),"")))</f>
        <v>Автомат.выкл-ль АВВ Т1В160 100А</v>
      </c>
      <c r="Z634" t="str">
        <f t="shared" si="69"/>
        <v>Р9 · Электротехнические работы</v>
      </c>
    </row>
    <row r="635" spans="1:26" x14ac:dyDescent="0.3">
      <c r="A635" t="s">
        <v>1345</v>
      </c>
      <c r="B635" t="s">
        <v>1255</v>
      </c>
      <c r="C635" t="s">
        <v>161</v>
      </c>
      <c r="D635" s="4" t="s">
        <v>1346</v>
      </c>
      <c r="E635" t="s">
        <v>114</v>
      </c>
      <c r="F635" s="5">
        <v>3988.57</v>
      </c>
      <c r="G635" t="s">
        <v>1284</v>
      </c>
      <c r="H635">
        <v>5</v>
      </c>
      <c r="I635" t="s">
        <v>53</v>
      </c>
      <c r="L635" s="6"/>
      <c r="M635" s="6"/>
      <c r="N635" s="6"/>
      <c r="O635" s="5"/>
      <c r="P635" s="7" t="str">
        <f t="shared" si="63"/>
        <v/>
      </c>
      <c r="Q635" s="7" t="str">
        <f t="shared" si="64"/>
        <v/>
      </c>
      <c r="R635" s="7" t="str">
        <f t="shared" si="65"/>
        <v/>
      </c>
      <c r="S635" s="7">
        <f>IF($A635="","",IF(AND(LEFT($G635,3)="ДОК",$N635&lt;&gt;""),IFERROR(INDEX(Документация!$E$2:$E$57,MATCH($N635,Документация!$F$2:$F$57,0)),0),N($F635))*(1-MEDIAN(0,N(ДисконтТендер),1)))</f>
        <v>3988.57</v>
      </c>
      <c r="T635" s="7">
        <f>IF($A635="","",IF(AND(LEFT($G635,3)="ДОК",$N635&lt;&gt;""),0,IF(AND(LEFT($G635,3)&lt;&gt;"ДОК",$N635&lt;&gt;""),IFERROR(INDEX(МАТЕРИАЛЫ!$H$2:$H$9000,MATCH($N635,МАТЕРИАЛЫ!$L$2:$L$9000,0))*IF(INDEX(МАТЕРИАЛЫ!$I$2:$I$9000,MATCH($N635,МАТЕРИАЛЫ!$L$2:$L$9000,0))="USD",КурсUSD,IF(INDEX(МАТЕРИАЛЫ!$I$2:$I$9000,MATCH($N635,МАТЕРИАЛЫ!$L$2:$L$9000,0))="EUR",КурсEUR,IF(INDEX(МАТЕРИАЛЫ!$I$2:$I$9000,MATCH($N635,МАТЕРИАЛЫ!$L$2:$L$9000,0))="CNY",КурсCNY,1)))*(1+N($H635)/100),0),N($O635))*(1-MEDIAN(0,N(ДисконтТендер),1))))</f>
        <v>0</v>
      </c>
      <c r="U635" t="str">
        <f>IF($L635="да",MAX($U$1:$U634)+1,"")</f>
        <v/>
      </c>
      <c r="V635" t="str">
        <f t="shared" si="66"/>
        <v>Р9</v>
      </c>
      <c r="W635" t="str">
        <f t="shared" si="67"/>
        <v/>
      </c>
      <c r="X635" t="str">
        <f t="shared" si="68"/>
        <v/>
      </c>
      <c r="Y635" s="4" t="str">
        <f>IF($A635="","",IF(AND(LEFT($G635,3)="ДОК",$N635&lt;&gt;""),IFERROR(INDEX(Документация!$G$2:$G$57,MATCH($N635,Документация!$F$2:$F$57,0)),$D635),$D635&amp;IF(AND(LEFT($G635,3)&lt;&gt;"ДОК",$N635&lt;&gt;"")," — "&amp;IFERROR(INDEX(МАТЕРИАЛЫ!$C$2:$C$9000,MATCH($N635,МАТЕРИАЛЫ!$L$2:$L$9000,0)),""),"")))</f>
        <v>Автомат.выкл-ль АВВ Т1В160 125А</v>
      </c>
      <c r="Z635" t="str">
        <f t="shared" si="69"/>
        <v>Р9 · Электротехнические работы</v>
      </c>
    </row>
    <row r="636" spans="1:26" x14ac:dyDescent="0.3">
      <c r="A636" t="s">
        <v>1347</v>
      </c>
      <c r="B636" t="s">
        <v>1255</v>
      </c>
      <c r="C636" t="s">
        <v>161</v>
      </c>
      <c r="D636" s="4" t="s">
        <v>1348</v>
      </c>
      <c r="E636" t="s">
        <v>114</v>
      </c>
      <c r="F636" s="5">
        <v>420.09</v>
      </c>
      <c r="H636">
        <v>0</v>
      </c>
      <c r="I636" t="s">
        <v>53</v>
      </c>
      <c r="L636" s="6"/>
      <c r="M636" s="6"/>
      <c r="N636" s="6"/>
      <c r="O636" s="5"/>
      <c r="P636" s="7" t="str">
        <f t="shared" si="63"/>
        <v/>
      </c>
      <c r="Q636" s="7" t="str">
        <f t="shared" si="64"/>
        <v/>
      </c>
      <c r="R636" s="7" t="str">
        <f t="shared" si="65"/>
        <v/>
      </c>
      <c r="S636" s="7">
        <f>IF($A636="","",IF(AND(LEFT($G636,3)="ДОК",$N636&lt;&gt;""),IFERROR(INDEX(Документация!$E$2:$E$57,MATCH($N636,Документация!$F$2:$F$57,0)),0),N($F636))*(1-MEDIAN(0,N(ДисконтТендер),1)))</f>
        <v>420.09</v>
      </c>
      <c r="T636" s="7">
        <f>IF($A636="","",IF(AND(LEFT($G636,3)="ДОК",$N636&lt;&gt;""),0,IF(AND(LEFT($G636,3)&lt;&gt;"ДОК",$N636&lt;&gt;""),IFERROR(INDEX(МАТЕРИАЛЫ!$H$2:$H$9000,MATCH($N636,МАТЕРИАЛЫ!$L$2:$L$9000,0))*IF(INDEX(МАТЕРИАЛЫ!$I$2:$I$9000,MATCH($N636,МАТЕРИАЛЫ!$L$2:$L$9000,0))="USD",КурсUSD,IF(INDEX(МАТЕРИАЛЫ!$I$2:$I$9000,MATCH($N636,МАТЕРИАЛЫ!$L$2:$L$9000,0))="EUR",КурсEUR,IF(INDEX(МАТЕРИАЛЫ!$I$2:$I$9000,MATCH($N636,МАТЕРИАЛЫ!$L$2:$L$9000,0))="CNY",КурсCNY,1)))*(1+N($H636)/100),0),N($O636))*(1-MEDIAN(0,N(ДисконтТендер),1))))</f>
        <v>0</v>
      </c>
      <c r="U636" t="str">
        <f>IF($L636="да",MAX($U$1:$U635)+1,"")</f>
        <v/>
      </c>
      <c r="V636" t="str">
        <f t="shared" si="66"/>
        <v>Р9</v>
      </c>
      <c r="W636" t="str">
        <f t="shared" si="67"/>
        <v/>
      </c>
      <c r="X636" t="str">
        <f t="shared" si="68"/>
        <v/>
      </c>
      <c r="Y636" s="4" t="str">
        <f>IF($A636="","",IF(AND(LEFT($G636,3)="ДОК",$N636&lt;&gt;""),IFERROR(INDEX(Документация!$G$2:$G$57,MATCH($N636,Документация!$F$2:$F$57,0)),$D636),$D636&amp;IF(AND(LEFT($G636,3)&lt;&gt;"ДОК",$N636&lt;&gt;"")," — "&amp;IFERROR(INDEX(МАТЕРИАЛЫ!$C$2:$C$9000,MATCH($N636,МАТЕРИАЛЫ!$L$2:$L$9000,0)),""),"")))</f>
        <v>Монтажная площадка для Т1В 160</v>
      </c>
      <c r="Z636" t="str">
        <f t="shared" si="69"/>
        <v>Р9 · Электротехнические работы</v>
      </c>
    </row>
    <row r="637" spans="1:26" ht="28.8" x14ac:dyDescent="0.3">
      <c r="A637" t="s">
        <v>1349</v>
      </c>
      <c r="B637" t="s">
        <v>1255</v>
      </c>
      <c r="C637" t="s">
        <v>161</v>
      </c>
      <c r="D637" s="4" t="s">
        <v>1283</v>
      </c>
      <c r="E637" t="s">
        <v>114</v>
      </c>
      <c r="F637" s="5">
        <v>922.83</v>
      </c>
      <c r="G637" t="s">
        <v>1284</v>
      </c>
      <c r="H637">
        <v>5</v>
      </c>
      <c r="I637" t="s">
        <v>53</v>
      </c>
      <c r="L637" s="6"/>
      <c r="M637" s="6"/>
      <c r="N637" s="6"/>
      <c r="O637" s="5"/>
      <c r="P637" s="7" t="str">
        <f t="shared" si="63"/>
        <v/>
      </c>
      <c r="Q637" s="7" t="str">
        <f t="shared" si="64"/>
        <v/>
      </c>
      <c r="R637" s="7" t="str">
        <f t="shared" si="65"/>
        <v/>
      </c>
      <c r="S637" s="7">
        <f>IF($A637="","",IF(AND(LEFT($G637,3)="ДОК",$N637&lt;&gt;""),IFERROR(INDEX(Документация!$E$2:$E$57,MATCH($N637,Документация!$F$2:$F$57,0)),0),N($F637))*(1-MEDIAN(0,N(ДисконтТендер),1)))</f>
        <v>922.83</v>
      </c>
      <c r="T637" s="7">
        <f>IF($A637="","",IF(AND(LEFT($G637,3)="ДОК",$N637&lt;&gt;""),0,IF(AND(LEFT($G637,3)&lt;&gt;"ДОК",$N637&lt;&gt;""),IFERROR(INDEX(МАТЕРИАЛЫ!$H$2:$H$9000,MATCH($N637,МАТЕРИАЛЫ!$L$2:$L$9000,0))*IF(INDEX(МАТЕРИАЛЫ!$I$2:$I$9000,MATCH($N637,МАТЕРИАЛЫ!$L$2:$L$9000,0))="USD",КурсUSD,IF(INDEX(МАТЕРИАЛЫ!$I$2:$I$9000,MATCH($N637,МАТЕРИАЛЫ!$L$2:$L$9000,0))="EUR",КурсEUR,IF(INDEX(МАТЕРИАЛЫ!$I$2:$I$9000,MATCH($N637,МАТЕРИАЛЫ!$L$2:$L$9000,0))="CNY",КурсCNY,1)))*(1+N($H637)/100),0),N($O637))*(1-MEDIAN(0,N(ДисконтТендер),1))))</f>
        <v>0</v>
      </c>
      <c r="U637" t="str">
        <f>IF($L637="да",MAX($U$1:$U636)+1,"")</f>
        <v/>
      </c>
      <c r="V637" t="str">
        <f t="shared" si="66"/>
        <v>Р9</v>
      </c>
      <c r="W637" t="str">
        <f t="shared" si="67"/>
        <v/>
      </c>
      <c r="X637" t="str">
        <f t="shared" si="68"/>
        <v/>
      </c>
      <c r="Y637" s="4" t="str">
        <f>IF($A637="","",IF(AND(LEFT($G637,3)="ДОК",$N637&lt;&gt;""),IFERROR(INDEX(Документация!$G$2:$G$57,MATCH($N637,Документация!$F$2:$F$57,0)),$D637),$D637&amp;IF(AND(LEFT($G637,3)&lt;&gt;"ДОК",$N637&lt;&gt;"")," — "&amp;IFERROR(INDEX(МАТЕРИАЛЫ!$C$2:$C$9000,MATCH($N637,МАТЕРИАЛЫ!$L$2:$L$9000,0)),""),"")))</f>
        <v>Монтаж модульного аппарата (автомат / УЗО / дифавтомат / рубильник)</v>
      </c>
      <c r="Z637" t="str">
        <f t="shared" si="69"/>
        <v>Р9 · Электротехнические работы</v>
      </c>
    </row>
    <row r="638" spans="1:26" ht="28.8" x14ac:dyDescent="0.3">
      <c r="A638" t="s">
        <v>1350</v>
      </c>
      <c r="B638" t="s">
        <v>1255</v>
      </c>
      <c r="C638" t="s">
        <v>161</v>
      </c>
      <c r="D638" s="4" t="s">
        <v>1351</v>
      </c>
      <c r="E638" t="s">
        <v>114</v>
      </c>
      <c r="F638" s="5">
        <v>1673.5</v>
      </c>
      <c r="G638" t="s">
        <v>1284</v>
      </c>
      <c r="H638">
        <v>5</v>
      </c>
      <c r="I638" t="s">
        <v>53</v>
      </c>
      <c r="L638" s="6"/>
      <c r="M638" s="6"/>
      <c r="N638" s="6"/>
      <c r="O638" s="5"/>
      <c r="P638" s="7" t="str">
        <f t="shared" si="63"/>
        <v/>
      </c>
      <c r="Q638" s="7" t="str">
        <f t="shared" si="64"/>
        <v/>
      </c>
      <c r="R638" s="7" t="str">
        <f t="shared" si="65"/>
        <v/>
      </c>
      <c r="S638" s="7">
        <f>IF($A638="","",IF(AND(LEFT($G638,3)="ДОК",$N638&lt;&gt;""),IFERROR(INDEX(Документация!$E$2:$E$57,MATCH($N638,Документация!$F$2:$F$57,0)),0),N($F638))*(1-MEDIAN(0,N(ДисконтТендер),1)))</f>
        <v>1673.5</v>
      </c>
      <c r="T638" s="7">
        <f>IF($A638="","",IF(AND(LEFT($G638,3)="ДОК",$N638&lt;&gt;""),0,IF(AND(LEFT($G638,3)&lt;&gt;"ДОК",$N638&lt;&gt;""),IFERROR(INDEX(МАТЕРИАЛЫ!$H$2:$H$9000,MATCH($N638,МАТЕРИАЛЫ!$L$2:$L$9000,0))*IF(INDEX(МАТЕРИАЛЫ!$I$2:$I$9000,MATCH($N638,МАТЕРИАЛЫ!$L$2:$L$9000,0))="USD",КурсUSD,IF(INDEX(МАТЕРИАЛЫ!$I$2:$I$9000,MATCH($N638,МАТЕРИАЛЫ!$L$2:$L$9000,0))="EUR",КурсEUR,IF(INDEX(МАТЕРИАЛЫ!$I$2:$I$9000,MATCH($N638,МАТЕРИАЛЫ!$L$2:$L$9000,0))="CNY",КурсCNY,1)))*(1+N($H638)/100),0),N($O638))*(1-MEDIAN(0,N(ДисконтТендер),1))))</f>
        <v>0</v>
      </c>
      <c r="U638" t="str">
        <f>IF($L638="да",MAX($U$1:$U637)+1,"")</f>
        <v/>
      </c>
      <c r="V638" t="str">
        <f t="shared" si="66"/>
        <v>Р9</v>
      </c>
      <c r="W638" t="str">
        <f t="shared" si="67"/>
        <v/>
      </c>
      <c r="X638" t="str">
        <f t="shared" si="68"/>
        <v/>
      </c>
      <c r="Y638" s="4" t="str">
        <f>IF($A638="","",IF(AND(LEFT($G638,3)="ДОК",$N638&lt;&gt;""),IFERROR(INDEX(Документация!$G$2:$G$57,MATCH($N638,Документация!$F$2:$F$57,0)),$D638),$D638&amp;IF(AND(LEFT($G638,3)&lt;&gt;"ДОК",$N638&lt;&gt;"")," — "&amp;IFERROR(INDEX(МАТЕРИАЛЫ!$C$2:$C$9000,MATCH($N638,МАТЕРИАЛЫ!$L$2:$L$9000,0)),""),"")))</f>
        <v>Дифференциальный автомат АВВ DS204 C10 4P 10А (C) 6kA тип AC 30mA (6мод.)</v>
      </c>
      <c r="Z638" t="str">
        <f t="shared" si="69"/>
        <v>Р9 · Электротехнические работы</v>
      </c>
    </row>
    <row r="639" spans="1:26" ht="28.8" x14ac:dyDescent="0.3">
      <c r="A639" t="s">
        <v>1352</v>
      </c>
      <c r="B639" t="s">
        <v>1255</v>
      </c>
      <c r="C639" t="s">
        <v>161</v>
      </c>
      <c r="D639" s="4" t="s">
        <v>1283</v>
      </c>
      <c r="E639" t="s">
        <v>114</v>
      </c>
      <c r="F639" s="5">
        <v>2198.61</v>
      </c>
      <c r="G639" t="s">
        <v>1284</v>
      </c>
      <c r="H639">
        <v>5</v>
      </c>
      <c r="I639" t="s">
        <v>53</v>
      </c>
      <c r="L639" s="6"/>
      <c r="M639" s="6"/>
      <c r="N639" s="6"/>
      <c r="O639" s="5"/>
      <c r="P639" s="7" t="str">
        <f t="shared" si="63"/>
        <v/>
      </c>
      <c r="Q639" s="7" t="str">
        <f t="shared" si="64"/>
        <v/>
      </c>
      <c r="R639" s="7" t="str">
        <f t="shared" si="65"/>
        <v/>
      </c>
      <c r="S639" s="7">
        <f>IF($A639="","",IF(AND(LEFT($G639,3)="ДОК",$N639&lt;&gt;""),IFERROR(INDEX(Документация!$E$2:$E$57,MATCH($N639,Документация!$F$2:$F$57,0)),0),N($F639))*(1-MEDIAN(0,N(ДисконтТендер),1)))</f>
        <v>2198.61</v>
      </c>
      <c r="T639" s="7">
        <f>IF($A639="","",IF(AND(LEFT($G639,3)="ДОК",$N639&lt;&gt;""),0,IF(AND(LEFT($G639,3)&lt;&gt;"ДОК",$N639&lt;&gt;""),IFERROR(INDEX(МАТЕРИАЛЫ!$H$2:$H$9000,MATCH($N639,МАТЕРИАЛЫ!$L$2:$L$9000,0))*IF(INDEX(МАТЕРИАЛЫ!$I$2:$I$9000,MATCH($N639,МАТЕРИАЛЫ!$L$2:$L$9000,0))="USD",КурсUSD,IF(INDEX(МАТЕРИАЛЫ!$I$2:$I$9000,MATCH($N639,МАТЕРИАЛЫ!$L$2:$L$9000,0))="EUR",КурсEUR,IF(INDEX(МАТЕРИАЛЫ!$I$2:$I$9000,MATCH($N639,МАТЕРИАЛЫ!$L$2:$L$9000,0))="CNY",КурсCNY,1)))*(1+N($H639)/100),0),N($O639))*(1-MEDIAN(0,N(ДисконтТендер),1))))</f>
        <v>0</v>
      </c>
      <c r="U639" t="str">
        <f>IF($L639="да",MAX($U$1:$U638)+1,"")</f>
        <v/>
      </c>
      <c r="V639" t="str">
        <f t="shared" si="66"/>
        <v>Р9</v>
      </c>
      <c r="W639" t="str">
        <f t="shared" si="67"/>
        <v/>
      </c>
      <c r="X639" t="str">
        <f t="shared" si="68"/>
        <v/>
      </c>
      <c r="Y639" s="4" t="str">
        <f>IF($A639="","",IF(AND(LEFT($G639,3)="ДОК",$N639&lt;&gt;""),IFERROR(INDEX(Документация!$G$2:$G$57,MATCH($N639,Документация!$F$2:$F$57,0)),$D639),$D639&amp;IF(AND(LEFT($G639,3)&lt;&gt;"ДОК",$N639&lt;&gt;"")," — "&amp;IFERROR(INDEX(МАТЕРИАЛЫ!$C$2:$C$9000,MATCH($N639,МАТЕРИАЛЫ!$L$2:$L$9000,0)),""),"")))</f>
        <v>Монтаж модульного аппарата (автомат / УЗО / дифавтомат / рубильник)</v>
      </c>
      <c r="Z639" t="str">
        <f t="shared" si="69"/>
        <v>Р9 · Электротехнические работы</v>
      </c>
    </row>
    <row r="640" spans="1:26" ht="28.8" x14ac:dyDescent="0.3">
      <c r="A640" t="s">
        <v>1353</v>
      </c>
      <c r="B640" t="s">
        <v>1255</v>
      </c>
      <c r="C640" t="s">
        <v>161</v>
      </c>
      <c r="D640" s="4" t="s">
        <v>1283</v>
      </c>
      <c r="E640" t="s">
        <v>114</v>
      </c>
      <c r="F640" s="5">
        <v>2251.13</v>
      </c>
      <c r="G640" t="s">
        <v>1284</v>
      </c>
      <c r="H640">
        <v>5</v>
      </c>
      <c r="I640" t="s">
        <v>53</v>
      </c>
      <c r="L640" s="6"/>
      <c r="M640" s="6"/>
      <c r="N640" s="6"/>
      <c r="O640" s="5"/>
      <c r="P640" s="7" t="str">
        <f t="shared" si="63"/>
        <v/>
      </c>
      <c r="Q640" s="7" t="str">
        <f t="shared" si="64"/>
        <v/>
      </c>
      <c r="R640" s="7" t="str">
        <f t="shared" si="65"/>
        <v/>
      </c>
      <c r="S640" s="7">
        <f>IF($A640="","",IF(AND(LEFT($G640,3)="ДОК",$N640&lt;&gt;""),IFERROR(INDEX(Документация!$E$2:$E$57,MATCH($N640,Документация!$F$2:$F$57,0)),0),N($F640))*(1-MEDIAN(0,N(ДисконтТендер),1)))</f>
        <v>2251.13</v>
      </c>
      <c r="T640" s="7">
        <f>IF($A640="","",IF(AND(LEFT($G640,3)="ДОК",$N640&lt;&gt;""),0,IF(AND(LEFT($G640,3)&lt;&gt;"ДОК",$N640&lt;&gt;""),IFERROR(INDEX(МАТЕРИАЛЫ!$H$2:$H$9000,MATCH($N640,МАТЕРИАЛЫ!$L$2:$L$9000,0))*IF(INDEX(МАТЕРИАЛЫ!$I$2:$I$9000,MATCH($N640,МАТЕРИАЛЫ!$L$2:$L$9000,0))="USD",КурсUSD,IF(INDEX(МАТЕРИАЛЫ!$I$2:$I$9000,MATCH($N640,МАТЕРИАЛЫ!$L$2:$L$9000,0))="EUR",КурсEUR,IF(INDEX(МАТЕРИАЛЫ!$I$2:$I$9000,MATCH($N640,МАТЕРИАЛЫ!$L$2:$L$9000,0))="CNY",КурсCNY,1)))*(1+N($H640)/100),0),N($O640))*(1-MEDIAN(0,N(ДисконтТендер),1))))</f>
        <v>0</v>
      </c>
      <c r="U640" t="str">
        <f>IF($L640="да",MAX($U$1:$U639)+1,"")</f>
        <v/>
      </c>
      <c r="V640" t="str">
        <f t="shared" si="66"/>
        <v>Р9</v>
      </c>
      <c r="W640" t="str">
        <f t="shared" si="67"/>
        <v/>
      </c>
      <c r="X640" t="str">
        <f t="shared" si="68"/>
        <v/>
      </c>
      <c r="Y640" s="4" t="str">
        <f>IF($A640="","",IF(AND(LEFT($G640,3)="ДОК",$N640&lt;&gt;""),IFERROR(INDEX(Документация!$G$2:$G$57,MATCH($N640,Документация!$F$2:$F$57,0)),$D640),$D640&amp;IF(AND(LEFT($G640,3)&lt;&gt;"ДОК",$N640&lt;&gt;"")," — "&amp;IFERROR(INDEX(МАТЕРИАЛЫ!$C$2:$C$9000,MATCH($N640,МАТЕРИАЛЫ!$L$2:$L$9000,0)),""),"")))</f>
        <v>Монтаж модульного аппарата (автомат / УЗО / дифавтомат / рубильник)</v>
      </c>
      <c r="Z640" t="str">
        <f t="shared" si="69"/>
        <v>Р9 · Электротехнические работы</v>
      </c>
    </row>
    <row r="641" spans="1:26" ht="28.8" x14ac:dyDescent="0.3">
      <c r="A641" t="s">
        <v>1354</v>
      </c>
      <c r="B641" t="s">
        <v>1255</v>
      </c>
      <c r="C641" t="s">
        <v>161</v>
      </c>
      <c r="D641" s="4" t="s">
        <v>1355</v>
      </c>
      <c r="E641" t="s">
        <v>114</v>
      </c>
      <c r="F641" s="5">
        <v>2878.97</v>
      </c>
      <c r="G641" t="s">
        <v>1284</v>
      </c>
      <c r="H641">
        <v>5</v>
      </c>
      <c r="I641" t="s">
        <v>53</v>
      </c>
      <c r="L641" s="6"/>
      <c r="M641" s="6"/>
      <c r="N641" s="6"/>
      <c r="O641" s="5"/>
      <c r="P641" s="7" t="str">
        <f t="shared" si="63"/>
        <v/>
      </c>
      <c r="Q641" s="7" t="str">
        <f t="shared" si="64"/>
        <v/>
      </c>
      <c r="R641" s="7" t="str">
        <f t="shared" si="65"/>
        <v/>
      </c>
      <c r="S641" s="7">
        <f>IF($A641="","",IF(AND(LEFT($G641,3)="ДОК",$N641&lt;&gt;""),IFERROR(INDEX(Документация!$E$2:$E$57,MATCH($N641,Документация!$F$2:$F$57,0)),0),N($F641))*(1-MEDIAN(0,N(ДисконтТендер),1)))</f>
        <v>2878.97</v>
      </c>
      <c r="T641" s="7">
        <f>IF($A641="","",IF(AND(LEFT($G641,3)="ДОК",$N641&lt;&gt;""),0,IF(AND(LEFT($G641,3)&lt;&gt;"ДОК",$N641&lt;&gt;""),IFERROR(INDEX(МАТЕРИАЛЫ!$H$2:$H$9000,MATCH($N641,МАТЕРИАЛЫ!$L$2:$L$9000,0))*IF(INDEX(МАТЕРИАЛЫ!$I$2:$I$9000,MATCH($N641,МАТЕРИАЛЫ!$L$2:$L$9000,0))="USD",КурсUSD,IF(INDEX(МАТЕРИАЛЫ!$I$2:$I$9000,MATCH($N641,МАТЕРИАЛЫ!$L$2:$L$9000,0))="EUR",КурсEUR,IF(INDEX(МАТЕРИАЛЫ!$I$2:$I$9000,MATCH($N641,МАТЕРИАЛЫ!$L$2:$L$9000,0))="CNY",КурсCNY,1)))*(1+N($H641)/100),0),N($O641))*(1-MEDIAN(0,N(ДисконтТендер),1))))</f>
        <v>0</v>
      </c>
      <c r="U641" t="str">
        <f>IF($L641="да",MAX($U$1:$U640)+1,"")</f>
        <v/>
      </c>
      <c r="V641" t="str">
        <f t="shared" si="66"/>
        <v>Р9</v>
      </c>
      <c r="W641" t="str">
        <f t="shared" si="67"/>
        <v/>
      </c>
      <c r="X641" t="str">
        <f t="shared" si="68"/>
        <v/>
      </c>
      <c r="Y641" s="4" t="str">
        <f>IF($A641="","",IF(AND(LEFT($G641,3)="ДОК",$N641&lt;&gt;""),IFERROR(INDEX(Документация!$G$2:$G$57,MATCH($N641,Документация!$F$2:$F$57,0)),$D641),$D641&amp;IF(AND(LEFT($G641,3)&lt;&gt;"ДОК",$N641&lt;&gt;"")," — "&amp;IFERROR(INDEX(МАТЕРИАЛЫ!$C$2:$C$9000,MATCH($N641,МАТЕРИАЛЫ!$L$2:$L$9000,0)),""),"")))</f>
        <v>Дифференциальный автомат АВВ DS204 C63 4P 63А (C) 6kA тип AC 30mA (6мод.)</v>
      </c>
      <c r="Z641" t="str">
        <f t="shared" si="69"/>
        <v>Р9 · Электротехнические работы</v>
      </c>
    </row>
    <row r="642" spans="1:26" x14ac:dyDescent="0.3">
      <c r="A642" t="s">
        <v>1356</v>
      </c>
      <c r="B642" t="s">
        <v>1255</v>
      </c>
      <c r="C642" t="s">
        <v>161</v>
      </c>
      <c r="D642" s="4" t="s">
        <v>1357</v>
      </c>
      <c r="E642" t="s">
        <v>114</v>
      </c>
      <c r="F642" s="5">
        <v>1155.25</v>
      </c>
      <c r="H642">
        <v>0</v>
      </c>
      <c r="I642" t="s">
        <v>53</v>
      </c>
      <c r="L642" s="6"/>
      <c r="M642" s="6"/>
      <c r="N642" s="6"/>
      <c r="O642" s="5"/>
      <c r="P642" s="7" t="str">
        <f t="shared" ref="P642:P705" si="70">IF($L642="да",ROUND(N($M642)*$S642,2),"")</f>
        <v/>
      </c>
      <c r="Q642" s="7" t="str">
        <f t="shared" ref="Q642:Q705" si="71">IF($L642="да",ROUND(N($M642)*$T642,2),"")</f>
        <v/>
      </c>
      <c r="R642" s="7" t="str">
        <f t="shared" ref="R642:R705" si="72">IF($L642="да",N($P642)+N($Q642),"")</f>
        <v/>
      </c>
      <c r="S642" s="7">
        <f>IF($A642="","",IF(AND(LEFT($G642,3)="ДОК",$N642&lt;&gt;""),IFERROR(INDEX(Документация!$E$2:$E$57,MATCH($N642,Документация!$F$2:$F$57,0)),0),N($F642))*(1-MEDIAN(0,N(ДисконтТендер),1)))</f>
        <v>1155.25</v>
      </c>
      <c r="T642" s="7">
        <f>IF($A642="","",IF(AND(LEFT($G642,3)="ДОК",$N642&lt;&gt;""),0,IF(AND(LEFT($G642,3)&lt;&gt;"ДОК",$N642&lt;&gt;""),IFERROR(INDEX(МАТЕРИАЛЫ!$H$2:$H$9000,MATCH($N642,МАТЕРИАЛЫ!$L$2:$L$9000,0))*IF(INDEX(МАТЕРИАЛЫ!$I$2:$I$9000,MATCH($N642,МАТЕРИАЛЫ!$L$2:$L$9000,0))="USD",КурсUSD,IF(INDEX(МАТЕРИАЛЫ!$I$2:$I$9000,MATCH($N642,МАТЕРИАЛЫ!$L$2:$L$9000,0))="EUR",КурсEUR,IF(INDEX(МАТЕРИАЛЫ!$I$2:$I$9000,MATCH($N642,МАТЕРИАЛЫ!$L$2:$L$9000,0))="CNY",КурсCNY,1)))*(1+N($H642)/100),0),N($O642))*(1-MEDIAN(0,N(ДисконтТендер),1))))</f>
        <v>0</v>
      </c>
      <c r="U642" t="str">
        <f>IF($L642="да",MAX($U$1:$U641)+1,"")</f>
        <v/>
      </c>
      <c r="V642" t="str">
        <f t="shared" ref="V642:V705" si="73">IF($A642="","",$B642)</f>
        <v>Р9</v>
      </c>
      <c r="W642" t="str">
        <f t="shared" ref="W642:W705" si="74">IF($U642="","",IF($U642=1,1,IF($V642&lt;&gt;IFERROR(INDEX($V$2:$V$1058,MATCH($U642-1,$U$2:$U$1058,0)),"~"),1,0)))</f>
        <v/>
      </c>
      <c r="X642" t="str">
        <f t="shared" ref="X642:X705" si="75">IF($U642="","",$U642+SUMIFS($W$2:$W$1058,$U$2:$U$1058,"&lt;="&amp;$U642))</f>
        <v/>
      </c>
      <c r="Y642" s="4" t="str">
        <f>IF($A642="","",IF(AND(LEFT($G642,3)="ДОК",$N642&lt;&gt;""),IFERROR(INDEX(Документация!$G$2:$G$57,MATCH($N642,Документация!$F$2:$F$57,0)),$D642),$D642&amp;IF(AND(LEFT($G642,3)&lt;&gt;"ДОК",$N642&lt;&gt;"")," — "&amp;IFERROR(INDEX(МАТЕРИАЛЫ!$C$2:$C$9000,MATCH($N642,МАТЕРИАЛЫ!$L$2:$L$9000,0)),""),"")))</f>
        <v>Контактор модульный ABB ESB24-31</v>
      </c>
      <c r="Z642" t="str">
        <f t="shared" ref="Z642:Z705" si="76">IF($B642="","",$B642&amp;" · "&amp;IFERROR(VLOOKUP($B642,спрРазделы,2,0),""))</f>
        <v>Р9 · Электротехнические работы</v>
      </c>
    </row>
    <row r="643" spans="1:26" x14ac:dyDescent="0.3">
      <c r="A643" t="s">
        <v>1358</v>
      </c>
      <c r="B643" t="s">
        <v>1255</v>
      </c>
      <c r="C643" t="s">
        <v>161</v>
      </c>
      <c r="D643" s="4" t="s">
        <v>1359</v>
      </c>
      <c r="E643" t="s">
        <v>114</v>
      </c>
      <c r="F643" s="5">
        <v>1207.76</v>
      </c>
      <c r="H643">
        <v>0</v>
      </c>
      <c r="I643" t="s">
        <v>53</v>
      </c>
      <c r="L643" s="6"/>
      <c r="M643" s="6"/>
      <c r="N643" s="6"/>
      <c r="O643" s="5"/>
      <c r="P643" s="7" t="str">
        <f t="shared" si="70"/>
        <v/>
      </c>
      <c r="Q643" s="7" t="str">
        <f t="shared" si="71"/>
        <v/>
      </c>
      <c r="R643" s="7" t="str">
        <f t="shared" si="72"/>
        <v/>
      </c>
      <c r="S643" s="7">
        <f>IF($A643="","",IF(AND(LEFT($G643,3)="ДОК",$N643&lt;&gt;""),IFERROR(INDEX(Документация!$E$2:$E$57,MATCH($N643,Документация!$F$2:$F$57,0)),0),N($F643))*(1-MEDIAN(0,N(ДисконтТендер),1)))</f>
        <v>1207.76</v>
      </c>
      <c r="T643" s="7">
        <f>IF($A643="","",IF(AND(LEFT($G643,3)="ДОК",$N643&lt;&gt;""),0,IF(AND(LEFT($G643,3)&lt;&gt;"ДОК",$N643&lt;&gt;""),IFERROR(INDEX(МАТЕРИАЛЫ!$H$2:$H$9000,MATCH($N643,МАТЕРИАЛЫ!$L$2:$L$9000,0))*IF(INDEX(МАТЕРИАЛЫ!$I$2:$I$9000,MATCH($N643,МАТЕРИАЛЫ!$L$2:$L$9000,0))="USD",КурсUSD,IF(INDEX(МАТЕРИАЛЫ!$I$2:$I$9000,MATCH($N643,МАТЕРИАЛЫ!$L$2:$L$9000,0))="EUR",КурсEUR,IF(INDEX(МАТЕРИАЛЫ!$I$2:$I$9000,MATCH($N643,МАТЕРИАЛЫ!$L$2:$L$9000,0))="CNY",КурсCNY,1)))*(1+N($H643)/100),0),N($O643))*(1-MEDIAN(0,N(ДисконтТендер),1))))</f>
        <v>0</v>
      </c>
      <c r="U643" t="str">
        <f>IF($L643="да",MAX($U$1:$U642)+1,"")</f>
        <v/>
      </c>
      <c r="V643" t="str">
        <f t="shared" si="73"/>
        <v>Р9</v>
      </c>
      <c r="W643" t="str">
        <f t="shared" si="74"/>
        <v/>
      </c>
      <c r="X643" t="str">
        <f t="shared" si="75"/>
        <v/>
      </c>
      <c r="Y643" s="4" t="str">
        <f>IF($A643="","",IF(AND(LEFT($G643,3)="ДОК",$N643&lt;&gt;""),IFERROR(INDEX(Документация!$G$2:$G$57,MATCH($N643,Документация!$F$2:$F$57,0)),$D643),$D643&amp;IF(AND(LEFT($G643,3)&lt;&gt;"ДОК",$N643&lt;&gt;"")," — "&amp;IFERROR(INDEX(МАТЕРИАЛЫ!$C$2:$C$9000,MATCH($N643,МАТЕРИАЛЫ!$L$2:$L$9000,0)),""),"")))</f>
        <v>Контактор модульный ABB ESB40-40</v>
      </c>
      <c r="Z643" t="str">
        <f t="shared" si="76"/>
        <v>Р9 · Электротехнические работы</v>
      </c>
    </row>
    <row r="644" spans="1:26" x14ac:dyDescent="0.3">
      <c r="A644" t="s">
        <v>1360</v>
      </c>
      <c r="B644" t="s">
        <v>1255</v>
      </c>
      <c r="C644" t="s">
        <v>161</v>
      </c>
      <c r="D644" s="4" t="s">
        <v>1361</v>
      </c>
      <c r="E644" t="s">
        <v>114</v>
      </c>
      <c r="F644" s="5">
        <v>1837.89</v>
      </c>
      <c r="H644">
        <v>0</v>
      </c>
      <c r="I644" t="s">
        <v>53</v>
      </c>
      <c r="L644" s="6"/>
      <c r="M644" s="6"/>
      <c r="N644" s="6"/>
      <c r="O644" s="5"/>
      <c r="P644" s="7" t="str">
        <f t="shared" si="70"/>
        <v/>
      </c>
      <c r="Q644" s="7" t="str">
        <f t="shared" si="71"/>
        <v/>
      </c>
      <c r="R644" s="7" t="str">
        <f t="shared" si="72"/>
        <v/>
      </c>
      <c r="S644" s="7">
        <f>IF($A644="","",IF(AND(LEFT($G644,3)="ДОК",$N644&lt;&gt;""),IFERROR(INDEX(Документация!$E$2:$E$57,MATCH($N644,Документация!$F$2:$F$57,0)),0),N($F644))*(1-MEDIAN(0,N(ДисконтТендер),1)))</f>
        <v>1837.89</v>
      </c>
      <c r="T644" s="7">
        <f>IF($A644="","",IF(AND(LEFT($G644,3)="ДОК",$N644&lt;&gt;""),0,IF(AND(LEFT($G644,3)&lt;&gt;"ДОК",$N644&lt;&gt;""),IFERROR(INDEX(МАТЕРИАЛЫ!$H$2:$H$9000,MATCH($N644,МАТЕРИАЛЫ!$L$2:$L$9000,0))*IF(INDEX(МАТЕРИАЛЫ!$I$2:$I$9000,MATCH($N644,МАТЕРИАЛЫ!$L$2:$L$9000,0))="USD",КурсUSD,IF(INDEX(МАТЕРИАЛЫ!$I$2:$I$9000,MATCH($N644,МАТЕРИАЛЫ!$L$2:$L$9000,0))="EUR",КурсEUR,IF(INDEX(МАТЕРИАЛЫ!$I$2:$I$9000,MATCH($N644,МАТЕРИАЛЫ!$L$2:$L$9000,0))="CNY",КурсCNY,1)))*(1+N($H644)/100),0),N($O644))*(1-MEDIAN(0,N(ДисконтТендер),1))))</f>
        <v>0</v>
      </c>
      <c r="U644" t="str">
        <f>IF($L644="да",MAX($U$1:$U643)+1,"")</f>
        <v/>
      </c>
      <c r="V644" t="str">
        <f t="shared" si="73"/>
        <v>Р9</v>
      </c>
      <c r="W644" t="str">
        <f t="shared" si="74"/>
        <v/>
      </c>
      <c r="X644" t="str">
        <f t="shared" si="75"/>
        <v/>
      </c>
      <c r="Y644" s="4" t="str">
        <f>IF($A644="","",IF(AND(LEFT($G644,3)="ДОК",$N644&lt;&gt;""),IFERROR(INDEX(Документация!$G$2:$G$57,MATCH($N644,Документация!$F$2:$F$57,0)),$D644),$D644&amp;IF(AND(LEFT($G644,3)&lt;&gt;"ДОК",$N644&lt;&gt;"")," — "&amp;IFERROR(INDEX(МАТЕРИАЛЫ!$C$2:$C$9000,MATCH($N644,МАТЕРИАЛЫ!$L$2:$L$9000,0)),""),"")))</f>
        <v>Контактор модульный ABB ESB63-40</v>
      </c>
      <c r="Z644" t="str">
        <f t="shared" si="76"/>
        <v>Р9 · Электротехнические работы</v>
      </c>
    </row>
    <row r="645" spans="1:26" ht="28.8" x14ac:dyDescent="0.3">
      <c r="A645" t="s">
        <v>1362</v>
      </c>
      <c r="B645" t="s">
        <v>1255</v>
      </c>
      <c r="C645" t="s">
        <v>161</v>
      </c>
      <c r="D645" s="4" t="s">
        <v>1363</v>
      </c>
      <c r="E645" t="s">
        <v>114</v>
      </c>
      <c r="F645" s="5">
        <v>1627.85</v>
      </c>
      <c r="H645">
        <v>0</v>
      </c>
      <c r="I645" t="s">
        <v>53</v>
      </c>
      <c r="L645" s="6"/>
      <c r="M645" s="6"/>
      <c r="N645" s="6"/>
      <c r="O645" s="5"/>
      <c r="P645" s="7" t="str">
        <f t="shared" si="70"/>
        <v/>
      </c>
      <c r="Q645" s="7" t="str">
        <f t="shared" si="71"/>
        <v/>
      </c>
      <c r="R645" s="7" t="str">
        <f t="shared" si="72"/>
        <v/>
      </c>
      <c r="S645" s="7">
        <f>IF($A645="","",IF(AND(LEFT($G645,3)="ДОК",$N645&lt;&gt;""),IFERROR(INDEX(Документация!$E$2:$E$57,MATCH($N645,Документация!$F$2:$F$57,0)),0),N($F645))*(1-MEDIAN(0,N(ДисконтТендер),1)))</f>
        <v>1627.85</v>
      </c>
      <c r="T645" s="7">
        <f>IF($A645="","",IF(AND(LEFT($G645,3)="ДОК",$N645&lt;&gt;""),0,IF(AND(LEFT($G645,3)&lt;&gt;"ДОК",$N645&lt;&gt;""),IFERROR(INDEX(МАТЕРИАЛЫ!$H$2:$H$9000,MATCH($N645,МАТЕРИАЛЫ!$L$2:$L$9000,0))*IF(INDEX(МАТЕРИАЛЫ!$I$2:$I$9000,MATCH($N645,МАТЕРИАЛЫ!$L$2:$L$9000,0))="USD",КурсUSD,IF(INDEX(МАТЕРИАЛЫ!$I$2:$I$9000,MATCH($N645,МАТЕРИАЛЫ!$L$2:$L$9000,0))="EUR",КурсEUR,IF(INDEX(МАТЕРИАЛЫ!$I$2:$I$9000,MATCH($N645,МАТЕРИАЛЫ!$L$2:$L$9000,0))="CNY",КурсCNY,1)))*(1+N($H645)/100),0),N($O645))*(1-MEDIAN(0,N(ДисконтТендер),1))))</f>
        <v>0</v>
      </c>
      <c r="U645" t="str">
        <f>IF($L645="да",MAX($U$1:$U644)+1,"")</f>
        <v/>
      </c>
      <c r="V645" t="str">
        <f t="shared" si="73"/>
        <v>Р9</v>
      </c>
      <c r="W645" t="str">
        <f t="shared" si="74"/>
        <v/>
      </c>
      <c r="X645" t="str">
        <f t="shared" si="75"/>
        <v/>
      </c>
      <c r="Y645" s="4" t="str">
        <f>IF($A645="","",IF(AND(LEFT($G645,3)="ДОК",$N645&lt;&gt;""),IFERROR(INDEX(Документация!$G$2:$G$57,MATCH($N645,Документация!$F$2:$F$57,0)),$D645),$D645&amp;IF(AND(LEFT($G645,3)&lt;&gt;"ДОК",$N645&lt;&gt;"")," — "&amp;IFERROR(INDEX(МАТЕРИАЛЫ!$C$2:$C$9000,MATCH($N645,МАТЕРИАЛЫ!$L$2:$L$9000,0)),""),"")))</f>
        <v>Реле освещенности ABB TW, Датчик освещенности ABB LS-SP</v>
      </c>
      <c r="Z645" t="str">
        <f t="shared" si="76"/>
        <v>Р9 · Электротехнические работы</v>
      </c>
    </row>
    <row r="646" spans="1:26" x14ac:dyDescent="0.3">
      <c r="A646" t="s">
        <v>1364</v>
      </c>
      <c r="B646" t="s">
        <v>1255</v>
      </c>
      <c r="C646" t="s">
        <v>161</v>
      </c>
      <c r="D646" s="4" t="s">
        <v>1365</v>
      </c>
      <c r="E646" t="s">
        <v>114</v>
      </c>
      <c r="F646" s="5">
        <v>4883.55</v>
      </c>
      <c r="H646">
        <v>0</v>
      </c>
      <c r="I646" t="s">
        <v>53</v>
      </c>
      <c r="L646" s="6"/>
      <c r="M646" s="6"/>
      <c r="N646" s="6"/>
      <c r="O646" s="5"/>
      <c r="P646" s="7" t="str">
        <f t="shared" si="70"/>
        <v/>
      </c>
      <c r="Q646" s="7" t="str">
        <f t="shared" si="71"/>
        <v/>
      </c>
      <c r="R646" s="7" t="str">
        <f t="shared" si="72"/>
        <v/>
      </c>
      <c r="S646" s="7">
        <f>IF($A646="","",IF(AND(LEFT($G646,3)="ДОК",$N646&lt;&gt;""),IFERROR(INDEX(Документация!$E$2:$E$57,MATCH($N646,Документация!$F$2:$F$57,0)),0),N($F646))*(1-MEDIAN(0,N(ДисконтТендер),1)))</f>
        <v>4883.55</v>
      </c>
      <c r="T646" s="7">
        <f>IF($A646="","",IF(AND(LEFT($G646,3)="ДОК",$N646&lt;&gt;""),0,IF(AND(LEFT($G646,3)&lt;&gt;"ДОК",$N646&lt;&gt;""),IFERROR(INDEX(МАТЕРИАЛЫ!$H$2:$H$9000,MATCH($N646,МАТЕРИАЛЫ!$L$2:$L$9000,0))*IF(INDEX(МАТЕРИАЛЫ!$I$2:$I$9000,MATCH($N646,МАТЕРИАЛЫ!$L$2:$L$9000,0))="USD",КурсUSD,IF(INDEX(МАТЕРИАЛЫ!$I$2:$I$9000,MATCH($N646,МАТЕРИАЛЫ!$L$2:$L$9000,0))="EUR",КурсEUR,IF(INDEX(МАТЕРИАЛЫ!$I$2:$I$9000,MATCH($N646,МАТЕРИАЛЫ!$L$2:$L$9000,0))="CNY",КурсCNY,1)))*(1+N($H646)/100),0),N($O646))*(1-MEDIAN(0,N(ДисконтТендер),1))))</f>
        <v>0</v>
      </c>
      <c r="U646" t="str">
        <f>IF($L646="да",MAX($U$1:$U645)+1,"")</f>
        <v/>
      </c>
      <c r="V646" t="str">
        <f t="shared" si="73"/>
        <v>Р9</v>
      </c>
      <c r="W646" t="str">
        <f t="shared" si="74"/>
        <v/>
      </c>
      <c r="X646" t="str">
        <f t="shared" si="75"/>
        <v/>
      </c>
      <c r="Y646" s="4" t="str">
        <f>IF($A646="","",IF(AND(LEFT($G646,3)="ДОК",$N646&lt;&gt;""),IFERROR(INDEX(Документация!$G$2:$G$57,MATCH($N646,Документация!$F$2:$F$57,0)),$D646),$D646&amp;IF(AND(LEFT($G646,3)&lt;&gt;"ДОК",$N646&lt;&gt;"")," — "&amp;IFERROR(INDEX(МАТЕРИАЛЫ!$C$2:$C$9000,MATCH($N646,МАТЕРИАЛЫ!$L$2:$L$9000,0)),""),"")))</f>
        <v>Реле управления нагрузкой LSS1/2 230В ,90А (АВВ)</v>
      </c>
      <c r="Z646" t="str">
        <f t="shared" si="76"/>
        <v>Р9 · Электротехнические работы</v>
      </c>
    </row>
    <row r="647" spans="1:26" x14ac:dyDescent="0.3">
      <c r="A647" t="s">
        <v>1366</v>
      </c>
      <c r="B647" t="s">
        <v>1255</v>
      </c>
      <c r="C647" t="s">
        <v>161</v>
      </c>
      <c r="D647" s="4" t="s">
        <v>1367</v>
      </c>
      <c r="E647" t="s">
        <v>114</v>
      </c>
      <c r="F647" s="5">
        <v>3150.68</v>
      </c>
      <c r="H647">
        <v>0</v>
      </c>
      <c r="I647" t="s">
        <v>53</v>
      </c>
      <c r="L647" s="6"/>
      <c r="M647" s="6"/>
      <c r="N647" s="6"/>
      <c r="O647" s="5"/>
      <c r="P647" s="7" t="str">
        <f t="shared" si="70"/>
        <v/>
      </c>
      <c r="Q647" s="7" t="str">
        <f t="shared" si="71"/>
        <v/>
      </c>
      <c r="R647" s="7" t="str">
        <f t="shared" si="72"/>
        <v/>
      </c>
      <c r="S647" s="7">
        <f>IF($A647="","",IF(AND(LEFT($G647,3)="ДОК",$N647&lt;&gt;""),IFERROR(INDEX(Документация!$E$2:$E$57,MATCH($N647,Документация!$F$2:$F$57,0)),0),N($F647))*(1-MEDIAN(0,N(ДисконтТендер),1)))</f>
        <v>3150.68</v>
      </c>
      <c r="T647" s="7">
        <f>IF($A647="","",IF(AND(LEFT($G647,3)="ДОК",$N647&lt;&gt;""),0,IF(AND(LEFT($G647,3)&lt;&gt;"ДОК",$N647&lt;&gt;""),IFERROR(INDEX(МАТЕРИАЛЫ!$H$2:$H$9000,MATCH($N647,МАТЕРИАЛЫ!$L$2:$L$9000,0))*IF(INDEX(МАТЕРИАЛЫ!$I$2:$I$9000,MATCH($N647,МАТЕРИАЛЫ!$L$2:$L$9000,0))="USD",КурсUSD,IF(INDEX(МАТЕРИАЛЫ!$I$2:$I$9000,MATCH($N647,МАТЕРИАЛЫ!$L$2:$L$9000,0))="EUR",КурсEUR,IF(INDEX(МАТЕРИАЛЫ!$I$2:$I$9000,MATCH($N647,МАТЕРИАЛЫ!$L$2:$L$9000,0))="CNY",КурсCNY,1)))*(1+N($H647)/100),0),N($O647))*(1-MEDIAN(0,N(ДисконтТендер),1))))</f>
        <v>0</v>
      </c>
      <c r="U647" t="str">
        <f>IF($L647="да",MAX($U$1:$U646)+1,"")</f>
        <v/>
      </c>
      <c r="V647" t="str">
        <f t="shared" si="73"/>
        <v>Р9</v>
      </c>
      <c r="W647" t="str">
        <f t="shared" si="74"/>
        <v/>
      </c>
      <c r="X647" t="str">
        <f t="shared" si="75"/>
        <v/>
      </c>
      <c r="Y647" s="4" t="str">
        <f>IF($A647="","",IF(AND(LEFT($G647,3)="ДОК",$N647&lt;&gt;""),IFERROR(INDEX(Документация!$G$2:$G$57,MATCH($N647,Документация!$F$2:$F$57,0)),$D647),$D647&amp;IF(AND(LEFT($G647,3)&lt;&gt;"ДОК",$N647&lt;&gt;"")," — "&amp;IFERROR(INDEX(МАТЕРИАЛЫ!$C$2:$C$9000,MATCH($N647,МАТЕРИАЛЫ!$L$2:$L$9000,0)),""),"")))</f>
        <v>Реле максимального тока STT6 114 E 451 5,7A</v>
      </c>
      <c r="Z647" t="str">
        <f t="shared" si="76"/>
        <v>Р9 · Электротехнические работы</v>
      </c>
    </row>
    <row r="648" spans="1:26" ht="28.8" x14ac:dyDescent="0.3">
      <c r="A648" t="s">
        <v>1368</v>
      </c>
      <c r="B648" t="s">
        <v>1255</v>
      </c>
      <c r="C648" t="s">
        <v>161</v>
      </c>
      <c r="D648" s="4" t="s">
        <v>1369</v>
      </c>
      <c r="E648" t="s">
        <v>114</v>
      </c>
      <c r="F648" s="5">
        <v>3518.25</v>
      </c>
      <c r="H648">
        <v>0</v>
      </c>
      <c r="I648" t="s">
        <v>53</v>
      </c>
      <c r="L648" s="6"/>
      <c r="M648" s="6"/>
      <c r="N648" s="6"/>
      <c r="O648" s="5"/>
      <c r="P648" s="7" t="str">
        <f t="shared" si="70"/>
        <v/>
      </c>
      <c r="Q648" s="7" t="str">
        <f t="shared" si="71"/>
        <v/>
      </c>
      <c r="R648" s="7" t="str">
        <f t="shared" si="72"/>
        <v/>
      </c>
      <c r="S648" s="7">
        <f>IF($A648="","",IF(AND(LEFT($G648,3)="ДОК",$N648&lt;&gt;""),IFERROR(INDEX(Документация!$E$2:$E$57,MATCH($N648,Документация!$F$2:$F$57,0)),0),N($F648))*(1-MEDIAN(0,N(ДисконтТендер),1)))</f>
        <v>3518.25</v>
      </c>
      <c r="T648" s="7">
        <f>IF($A648="","",IF(AND(LEFT($G648,3)="ДОК",$N648&lt;&gt;""),0,IF(AND(LEFT($G648,3)&lt;&gt;"ДОК",$N648&lt;&gt;""),IFERROR(INDEX(МАТЕРИАЛЫ!$H$2:$H$9000,MATCH($N648,МАТЕРИАЛЫ!$L$2:$L$9000,0))*IF(INDEX(МАТЕРИАЛЫ!$I$2:$I$9000,MATCH($N648,МАТЕРИАЛЫ!$L$2:$L$9000,0))="USD",КурсUSD,IF(INDEX(МАТЕРИАЛЫ!$I$2:$I$9000,MATCH($N648,МАТЕРИАЛЫ!$L$2:$L$9000,0))="EUR",КурсEUR,IF(INDEX(МАТЕРИАЛЫ!$I$2:$I$9000,MATCH($N648,МАТЕРИАЛЫ!$L$2:$L$9000,0))="CNY",КурсCNY,1)))*(1+N($H648)/100),0),N($O648))*(1-MEDIAN(0,N(ДисконтТендер),1))))</f>
        <v>0</v>
      </c>
      <c r="U648" t="str">
        <f>IF($L648="да",MAX($U$1:$U647)+1,"")</f>
        <v/>
      </c>
      <c r="V648" t="str">
        <f t="shared" si="73"/>
        <v>Р9</v>
      </c>
      <c r="W648" t="str">
        <f t="shared" si="74"/>
        <v/>
      </c>
      <c r="X648" t="str">
        <f t="shared" si="75"/>
        <v/>
      </c>
      <c r="Y648" s="4" t="str">
        <f>IF($A648="","",IF(AND(LEFT($G648,3)="ДОК",$N648&lt;&gt;""),IFERROR(INDEX(Документация!$G$2:$G$57,MATCH($N648,Документация!$F$2:$F$57,0)),$D648),$D648&amp;IF(AND(LEFT($G648,3)&lt;&gt;"ДОК",$N648&lt;&gt;"")," — "&amp;IFERROR(INDEX(МАТЕРИАЛЫ!$C$2:$C$9000,MATCH($N648,МАТЕРИАЛЫ!$L$2:$L$9000,0)),""),"")))</f>
        <v>Трансформатор 230В/24В понижающий однофазный 160ВА , на din -рейку,</v>
      </c>
      <c r="Z648" t="str">
        <f t="shared" si="76"/>
        <v>Р9 · Электротехнические работы</v>
      </c>
    </row>
    <row r="649" spans="1:26" ht="28.8" x14ac:dyDescent="0.3">
      <c r="A649" t="s">
        <v>1370</v>
      </c>
      <c r="B649" t="s">
        <v>1255</v>
      </c>
      <c r="C649" t="s">
        <v>161</v>
      </c>
      <c r="D649" s="4" t="s">
        <v>1371</v>
      </c>
      <c r="E649" t="s">
        <v>114</v>
      </c>
      <c r="F649" s="5">
        <v>10134.67</v>
      </c>
      <c r="H649">
        <v>0</v>
      </c>
      <c r="I649" t="s">
        <v>53</v>
      </c>
      <c r="L649" s="6"/>
      <c r="M649" s="6"/>
      <c r="N649" s="6"/>
      <c r="O649" s="5"/>
      <c r="P649" s="7" t="str">
        <f t="shared" si="70"/>
        <v/>
      </c>
      <c r="Q649" s="7" t="str">
        <f t="shared" si="71"/>
        <v/>
      </c>
      <c r="R649" s="7" t="str">
        <f t="shared" si="72"/>
        <v/>
      </c>
      <c r="S649" s="7">
        <f>IF($A649="","",IF(AND(LEFT($G649,3)="ДОК",$N649&lt;&gt;""),IFERROR(INDEX(Документация!$E$2:$E$57,MATCH($N649,Документация!$F$2:$F$57,0)),0),N($F649))*(1-MEDIAN(0,N(ДисконтТендер),1)))</f>
        <v>10134.67</v>
      </c>
      <c r="T649" s="7">
        <f>IF($A649="","",IF(AND(LEFT($G649,3)="ДОК",$N649&lt;&gt;""),0,IF(AND(LEFT($G649,3)&lt;&gt;"ДОК",$N649&lt;&gt;""),IFERROR(INDEX(МАТЕРИАЛЫ!$H$2:$H$9000,MATCH($N649,МАТЕРИАЛЫ!$L$2:$L$9000,0))*IF(INDEX(МАТЕРИАЛЫ!$I$2:$I$9000,MATCH($N649,МАТЕРИАЛЫ!$L$2:$L$9000,0))="USD",КурсUSD,IF(INDEX(МАТЕРИАЛЫ!$I$2:$I$9000,MATCH($N649,МАТЕРИАЛЫ!$L$2:$L$9000,0))="EUR",КурсEUR,IF(INDEX(МАТЕРИАЛЫ!$I$2:$I$9000,MATCH($N649,МАТЕРИАЛЫ!$L$2:$L$9000,0))="CNY",КурсCNY,1)))*(1+N($H649)/100),0),N($O649))*(1-MEDIAN(0,N(ДисконтТендер),1))))</f>
        <v>0</v>
      </c>
      <c r="U649" t="str">
        <f>IF($L649="да",MAX($U$1:$U648)+1,"")</f>
        <v/>
      </c>
      <c r="V649" t="str">
        <f t="shared" si="73"/>
        <v>Р9</v>
      </c>
      <c r="W649" t="str">
        <f t="shared" si="74"/>
        <v/>
      </c>
      <c r="X649" t="str">
        <f t="shared" si="75"/>
        <v/>
      </c>
      <c r="Y649" s="4" t="str">
        <f>IF($A649="","",IF(AND(LEFT($G649,3)="ДОК",$N649&lt;&gt;""),IFERROR(INDEX(Документация!$G$2:$G$57,MATCH($N649,Документация!$F$2:$F$57,0)),$D649),$D649&amp;IF(AND(LEFT($G649,3)&lt;&gt;"ДОК",$N649&lt;&gt;"")," — "&amp;IFERROR(INDEX(МАТЕРИАЛЫ!$C$2:$C$9000,MATCH($N649,МАТЕРИАЛЫ!$L$2:$L$9000,0)),""),"")))</f>
        <v>Устройство отключения неприоритетных цепей Legrand 038 13</v>
      </c>
      <c r="Z649" t="str">
        <f t="shared" si="76"/>
        <v>Р9 · Электротехнические работы</v>
      </c>
    </row>
    <row r="650" spans="1:26" x14ac:dyDescent="0.3">
      <c r="A650" t="s">
        <v>1372</v>
      </c>
      <c r="B650" t="s">
        <v>1255</v>
      </c>
      <c r="C650" t="s">
        <v>161</v>
      </c>
      <c r="D650" s="4" t="s">
        <v>1373</v>
      </c>
      <c r="E650" t="s">
        <v>114</v>
      </c>
      <c r="F650" s="5">
        <v>3045.66</v>
      </c>
      <c r="H650">
        <v>0</v>
      </c>
      <c r="I650" t="s">
        <v>53</v>
      </c>
      <c r="L650" s="6"/>
      <c r="M650" s="6"/>
      <c r="N650" s="6"/>
      <c r="O650" s="5"/>
      <c r="P650" s="7" t="str">
        <f t="shared" si="70"/>
        <v/>
      </c>
      <c r="Q650" s="7" t="str">
        <f t="shared" si="71"/>
        <v/>
      </c>
      <c r="R650" s="7" t="str">
        <f t="shared" si="72"/>
        <v/>
      </c>
      <c r="S650" s="7">
        <f>IF($A650="","",IF(AND(LEFT($G650,3)="ДОК",$N650&lt;&gt;""),IFERROR(INDEX(Документация!$E$2:$E$57,MATCH($N650,Документация!$F$2:$F$57,0)),0),N($F650))*(1-MEDIAN(0,N(ДисконтТендер),1)))</f>
        <v>3045.66</v>
      </c>
      <c r="T650" s="7">
        <f>IF($A650="","",IF(AND(LEFT($G650,3)="ДОК",$N650&lt;&gt;""),0,IF(AND(LEFT($G650,3)&lt;&gt;"ДОК",$N650&lt;&gt;""),IFERROR(INDEX(МАТЕРИАЛЫ!$H$2:$H$9000,MATCH($N650,МАТЕРИАЛЫ!$L$2:$L$9000,0))*IF(INDEX(МАТЕРИАЛЫ!$I$2:$I$9000,MATCH($N650,МАТЕРИАЛЫ!$L$2:$L$9000,0))="USD",КурсUSD,IF(INDEX(МАТЕРИАЛЫ!$I$2:$I$9000,MATCH($N650,МАТЕРИАЛЫ!$L$2:$L$9000,0))="EUR",КурсEUR,IF(INDEX(МАТЕРИАЛЫ!$I$2:$I$9000,MATCH($N650,МАТЕРИАЛЫ!$L$2:$L$9000,0))="CNY",КурсCNY,1)))*(1+N($H650)/100),0),N($O650))*(1-MEDIAN(0,N(ДисконтТендер),1))))</f>
        <v>0</v>
      </c>
      <c r="U650" t="str">
        <f>IF($L650="да",MAX($U$1:$U649)+1,"")</f>
        <v/>
      </c>
      <c r="V650" t="str">
        <f t="shared" si="73"/>
        <v>Р9</v>
      </c>
      <c r="W650" t="str">
        <f t="shared" si="74"/>
        <v/>
      </c>
      <c r="X650" t="str">
        <f t="shared" si="75"/>
        <v/>
      </c>
      <c r="Y650" s="4" t="str">
        <f>IF($A650="","",IF(AND(LEFT($G650,3)="ДОК",$N650&lt;&gt;""),IFERROR(INDEX(Документация!$G$2:$G$57,MATCH($N650,Документация!$F$2:$F$57,0)),$D650),$D650&amp;IF(AND(LEFT($G650,3)&lt;&gt;"ДОК",$N650&lt;&gt;"")," — "&amp;IFERROR(INDEX(МАТЕРИАЛЫ!$C$2:$C$9000,MATCH($N650,МАТЕРИАЛЫ!$L$2:$L$9000,0)),""),"")))</f>
        <v>Электромеханический недельный таймер ABB</v>
      </c>
      <c r="Z650" t="str">
        <f t="shared" si="76"/>
        <v>Р9 · Электротехнические работы</v>
      </c>
    </row>
    <row r="651" spans="1:26" ht="28.8" x14ac:dyDescent="0.3">
      <c r="A651" t="s">
        <v>1374</v>
      </c>
      <c r="B651" t="s">
        <v>1255</v>
      </c>
      <c r="C651" t="s">
        <v>161</v>
      </c>
      <c r="D651" s="4" t="s">
        <v>1375</v>
      </c>
      <c r="E651" t="s">
        <v>114</v>
      </c>
      <c r="F651" s="5">
        <v>1470.32</v>
      </c>
      <c r="G651" t="s">
        <v>1284</v>
      </c>
      <c r="H651">
        <v>5</v>
      </c>
      <c r="I651" t="s">
        <v>53</v>
      </c>
      <c r="L651" s="6"/>
      <c r="M651" s="6"/>
      <c r="N651" s="6"/>
      <c r="O651" s="5"/>
      <c r="P651" s="7" t="str">
        <f t="shared" si="70"/>
        <v/>
      </c>
      <c r="Q651" s="7" t="str">
        <f t="shared" si="71"/>
        <v/>
      </c>
      <c r="R651" s="7" t="str">
        <f t="shared" si="72"/>
        <v/>
      </c>
      <c r="S651" s="7">
        <f>IF($A651="","",IF(AND(LEFT($G651,3)="ДОК",$N651&lt;&gt;""),IFERROR(INDEX(Документация!$E$2:$E$57,MATCH($N651,Документация!$F$2:$F$57,0)),0),N($F651))*(1-MEDIAN(0,N(ДисконтТендер),1)))</f>
        <v>1470.32</v>
      </c>
      <c r="T651" s="7">
        <f>IF($A651="","",IF(AND(LEFT($G651,3)="ДОК",$N651&lt;&gt;""),0,IF(AND(LEFT($G651,3)&lt;&gt;"ДОК",$N651&lt;&gt;""),IFERROR(INDEX(МАТЕРИАЛЫ!$H$2:$H$9000,MATCH($N651,МАТЕРИАЛЫ!$L$2:$L$9000,0))*IF(INDEX(МАТЕРИАЛЫ!$I$2:$I$9000,MATCH($N651,МАТЕРИАЛЫ!$L$2:$L$9000,0))="USD",КурсUSD,IF(INDEX(МАТЕРИАЛЫ!$I$2:$I$9000,MATCH($N651,МАТЕРИАЛЫ!$L$2:$L$9000,0))="EUR",КурсEUR,IF(INDEX(МАТЕРИАЛЫ!$I$2:$I$9000,MATCH($N651,МАТЕРИАЛЫ!$L$2:$L$9000,0))="CNY",КурсCNY,1)))*(1+N($H651)/100),0),N($O651))*(1-MEDIAN(0,N(ДисконтТендер),1))))</f>
        <v>0</v>
      </c>
      <c r="U651" t="str">
        <f>IF($L651="да",MAX($U$1:$U650)+1,"")</f>
        <v/>
      </c>
      <c r="V651" t="str">
        <f t="shared" si="73"/>
        <v>Р9</v>
      </c>
      <c r="W651" t="str">
        <f t="shared" si="74"/>
        <v/>
      </c>
      <c r="X651" t="str">
        <f t="shared" si="75"/>
        <v/>
      </c>
      <c r="Y651" s="4" t="str">
        <f>IF($A651="","",IF(AND(LEFT($G651,3)="ДОК",$N651&lt;&gt;""),IFERROR(INDEX(Документация!$G$2:$G$57,MATCH($N651,Документация!$F$2:$F$57,0)),$D651),$D651&amp;IF(AND(LEFT($G651,3)&lt;&gt;"ДОК",$N651&lt;&gt;"")," — "&amp;IFERROR(INDEX(МАТЕРИАЛЫ!$C$2:$C$9000,MATCH($N651,МАТЕРИАЛЫ!$L$2:$L$9000,0)),""),"")))</f>
        <v>Выключатель нагрузки Legrand 04350, 63А, 3-полюсный</v>
      </c>
      <c r="Z651" t="str">
        <f t="shared" si="76"/>
        <v>Р9 · Электротехнические работы</v>
      </c>
    </row>
    <row r="652" spans="1:26" ht="28.8" x14ac:dyDescent="0.3">
      <c r="A652" t="s">
        <v>1376</v>
      </c>
      <c r="B652" t="s">
        <v>1255</v>
      </c>
      <c r="C652" t="s">
        <v>161</v>
      </c>
      <c r="D652" s="4" t="s">
        <v>1377</v>
      </c>
      <c r="E652" t="s">
        <v>114</v>
      </c>
      <c r="F652" s="5">
        <v>1591.19</v>
      </c>
      <c r="G652" t="s">
        <v>1378</v>
      </c>
      <c r="H652">
        <v>5</v>
      </c>
      <c r="I652" t="s">
        <v>53</v>
      </c>
      <c r="L652" s="6"/>
      <c r="M652" s="6"/>
      <c r="N652" s="6"/>
      <c r="O652" s="5"/>
      <c r="P652" s="7" t="str">
        <f t="shared" si="70"/>
        <v/>
      </c>
      <c r="Q652" s="7" t="str">
        <f t="shared" si="71"/>
        <v/>
      </c>
      <c r="R652" s="7" t="str">
        <f t="shared" si="72"/>
        <v/>
      </c>
      <c r="S652" s="7">
        <f>IF($A652="","",IF(AND(LEFT($G652,3)="ДОК",$N652&lt;&gt;""),IFERROR(INDEX(Документация!$E$2:$E$57,MATCH($N652,Документация!$F$2:$F$57,0)),0),N($F652))*(1-MEDIAN(0,N(ДисконтТендер),1)))</f>
        <v>1591.19</v>
      </c>
      <c r="T652" s="7">
        <f>IF($A652="","",IF(AND(LEFT($G652,3)="ДОК",$N652&lt;&gt;""),0,IF(AND(LEFT($G652,3)&lt;&gt;"ДОК",$N652&lt;&gt;""),IFERROR(INDEX(МАТЕРИАЛЫ!$H$2:$H$9000,MATCH($N652,МАТЕРИАЛЫ!$L$2:$L$9000,0))*IF(INDEX(МАТЕРИАЛЫ!$I$2:$I$9000,MATCH($N652,МАТЕРИАЛЫ!$L$2:$L$9000,0))="USD",КурсUSD,IF(INDEX(МАТЕРИАЛЫ!$I$2:$I$9000,MATCH($N652,МАТЕРИАЛЫ!$L$2:$L$9000,0))="EUR",КурсEUR,IF(INDEX(МАТЕРИАЛЫ!$I$2:$I$9000,MATCH($N652,МАТЕРИАЛЫ!$L$2:$L$9000,0))="CNY",КурсCNY,1)))*(1+N($H652)/100),0),N($O652))*(1-MEDIAN(0,N(ДисконтТендер),1))))</f>
        <v>0</v>
      </c>
      <c r="U652" t="str">
        <f>IF($L652="да",MAX($U$1:$U651)+1,"")</f>
        <v/>
      </c>
      <c r="V652" t="str">
        <f t="shared" si="73"/>
        <v>Р9</v>
      </c>
      <c r="W652" t="str">
        <f t="shared" si="74"/>
        <v/>
      </c>
      <c r="X652" t="str">
        <f t="shared" si="75"/>
        <v/>
      </c>
      <c r="Y652" s="4" t="str">
        <f>IF($A652="","",IF(AND(LEFT($G652,3)="ДОК",$N652&lt;&gt;""),IFERROR(INDEX(Документация!$G$2:$G$57,MATCH($N652,Документация!$F$2:$F$57,0)),$D652),$D652&amp;IF(AND(LEFT($G652,3)&lt;&gt;"ДОК",$N652&lt;&gt;"")," — "&amp;IFERROR(INDEX(МАТЕРИАЛЫ!$C$2:$C$9000,MATCH($N652,МАТЕРИАЛЫ!$L$2:$L$9000,0)),""),"")))</f>
        <v>Монтаж светильника аварийного / эвакуационного</v>
      </c>
      <c r="Z652" t="str">
        <f t="shared" si="76"/>
        <v>Р9 · Электротехнические работы</v>
      </c>
    </row>
    <row r="653" spans="1:26" ht="43.2" x14ac:dyDescent="0.3">
      <c r="A653" t="s">
        <v>1379</v>
      </c>
      <c r="B653" t="s">
        <v>1255</v>
      </c>
      <c r="C653" t="s">
        <v>161</v>
      </c>
      <c r="D653" s="4" t="s">
        <v>1380</v>
      </c>
      <c r="E653" t="s">
        <v>114</v>
      </c>
      <c r="F653" s="5">
        <v>1900.08</v>
      </c>
      <c r="G653" t="s">
        <v>1381</v>
      </c>
      <c r="H653">
        <v>5</v>
      </c>
      <c r="I653" t="s">
        <v>53</v>
      </c>
      <c r="L653" s="6"/>
      <c r="M653" s="6"/>
      <c r="N653" s="6"/>
      <c r="O653" s="5"/>
      <c r="P653" s="7" t="str">
        <f t="shared" si="70"/>
        <v/>
      </c>
      <c r="Q653" s="7" t="str">
        <f t="shared" si="71"/>
        <v/>
      </c>
      <c r="R653" s="7" t="str">
        <f t="shared" si="72"/>
        <v/>
      </c>
      <c r="S653" s="7">
        <f>IF($A653="","",IF(AND(LEFT($G653,3)="ДОК",$N653&lt;&gt;""),IFERROR(INDEX(Документация!$E$2:$E$57,MATCH($N653,Документация!$F$2:$F$57,0)),0),N($F653))*(1-MEDIAN(0,N(ДисконтТендер),1)))</f>
        <v>1900.08</v>
      </c>
      <c r="T653" s="7">
        <f>IF($A653="","",IF(AND(LEFT($G653,3)="ДОК",$N653&lt;&gt;""),0,IF(AND(LEFT($G653,3)&lt;&gt;"ДОК",$N653&lt;&gt;""),IFERROR(INDEX(МАТЕРИАЛЫ!$H$2:$H$9000,MATCH($N653,МАТЕРИАЛЫ!$L$2:$L$9000,0))*IF(INDEX(МАТЕРИАЛЫ!$I$2:$I$9000,MATCH($N653,МАТЕРИАЛЫ!$L$2:$L$9000,0))="USD",КурсUSD,IF(INDEX(МАТЕРИАЛЫ!$I$2:$I$9000,MATCH($N653,МАТЕРИАЛЫ!$L$2:$L$9000,0))="EUR",КурсEUR,IF(INDEX(МАТЕРИАЛЫ!$I$2:$I$9000,MATCH($N653,МАТЕРИАЛЫ!$L$2:$L$9000,0))="CNY",КурсCNY,1)))*(1+N($H653)/100),0),N($O653))*(1-MEDIAN(0,N(ДисконтТендер),1))))</f>
        <v>0</v>
      </c>
      <c r="U653" t="str">
        <f>IF($L653="да",MAX($U$1:$U652)+1,"")</f>
        <v/>
      </c>
      <c r="V653" t="str">
        <f t="shared" si="73"/>
        <v>Р9</v>
      </c>
      <c r="W653" t="str">
        <f t="shared" si="74"/>
        <v/>
      </c>
      <c r="X653" t="str">
        <f t="shared" si="75"/>
        <v/>
      </c>
      <c r="Y653" s="4" t="str">
        <f>IF($A653="","",IF(AND(LEFT($G653,3)="ДОК",$N653&lt;&gt;""),IFERROR(INDEX(Документация!$G$2:$G$57,MATCH($N653,Документация!$F$2:$F$57,0)),$D653),$D653&amp;IF(AND(LEFT($G653,3)&lt;&gt;"ДОК",$N653&lt;&gt;"")," — "&amp;IFERROR(INDEX(МАТЕРИАЛЫ!$C$2:$C$9000,MATCH($N653,МАТЕРИАЛЫ!$L$2:$L$9000,0)),""),"")))</f>
        <v>Светильник с зеркалом и SPC-RNG-600-LED-TCH, 12W, 220-240V, 600x30с подсветкой и сенсорным выключателем belbagno арт. SPC-RNG-600-LED-TCH</v>
      </c>
      <c r="Z653" t="str">
        <f t="shared" si="76"/>
        <v>Р9 · Электротехнические работы</v>
      </c>
    </row>
    <row r="654" spans="1:26" ht="28.8" x14ac:dyDescent="0.3">
      <c r="A654" t="s">
        <v>1382</v>
      </c>
      <c r="B654" t="s">
        <v>1255</v>
      </c>
      <c r="C654" t="s">
        <v>161</v>
      </c>
      <c r="D654" s="4" t="s">
        <v>1383</v>
      </c>
      <c r="E654" t="s">
        <v>153</v>
      </c>
      <c r="F654" s="5">
        <v>75.8</v>
      </c>
      <c r="G654" t="s">
        <v>1384</v>
      </c>
      <c r="H654">
        <v>5</v>
      </c>
      <c r="I654" t="s">
        <v>53</v>
      </c>
      <c r="L654" s="6"/>
      <c r="M654" s="6"/>
      <c r="N654" s="6"/>
      <c r="O654" s="5"/>
      <c r="P654" s="7" t="str">
        <f t="shared" si="70"/>
        <v/>
      </c>
      <c r="Q654" s="7" t="str">
        <f t="shared" si="71"/>
        <v/>
      </c>
      <c r="R654" s="7" t="str">
        <f t="shared" si="72"/>
        <v/>
      </c>
      <c r="S654" s="7">
        <f>IF($A654="","",IF(AND(LEFT($G654,3)="ДОК",$N654&lt;&gt;""),IFERROR(INDEX(Документация!$E$2:$E$57,MATCH($N654,Документация!$F$2:$F$57,0)),0),N($F654))*(1-MEDIAN(0,N(ДисконтТендер),1)))</f>
        <v>75.8</v>
      </c>
      <c r="T654" s="7">
        <f>IF($A654="","",IF(AND(LEFT($G654,3)="ДОК",$N654&lt;&gt;""),0,IF(AND(LEFT($G654,3)&lt;&gt;"ДОК",$N654&lt;&gt;""),IFERROR(INDEX(МАТЕРИАЛЫ!$H$2:$H$9000,MATCH($N654,МАТЕРИАЛЫ!$L$2:$L$9000,0))*IF(INDEX(МАТЕРИАЛЫ!$I$2:$I$9000,MATCH($N654,МАТЕРИАЛЫ!$L$2:$L$9000,0))="USD",КурсUSD,IF(INDEX(МАТЕРИАЛЫ!$I$2:$I$9000,MATCH($N654,МАТЕРИАЛЫ!$L$2:$L$9000,0))="EUR",КурсEUR,IF(INDEX(МАТЕРИАЛЫ!$I$2:$I$9000,MATCH($N654,МАТЕРИАЛЫ!$L$2:$L$9000,0))="CNY",КурсCNY,1)))*(1+N($H654)/100),0),N($O654))*(1-MEDIAN(0,N(ДисконтТендер),1))))</f>
        <v>0</v>
      </c>
      <c r="U654" t="str">
        <f>IF($L654="да",MAX($U$1:$U653)+1,"")</f>
        <v/>
      </c>
      <c r="V654" t="str">
        <f t="shared" si="73"/>
        <v>Р9</v>
      </c>
      <c r="W654" t="str">
        <f t="shared" si="74"/>
        <v/>
      </c>
      <c r="X654" t="str">
        <f t="shared" si="75"/>
        <v/>
      </c>
      <c r="Y654" s="4" t="str">
        <f>IF($A654="","",IF(AND(LEFT($G654,3)="ДОК",$N654&lt;&gt;""),IFERROR(INDEX(Документация!$G$2:$G$57,MATCH($N654,Документация!$F$2:$F$57,0)),$D654),$D654&amp;IF(AND(LEFT($G654,3)&lt;&gt;"ДОК",$N654&lt;&gt;"")," — "&amp;IFERROR(INDEX(МАТЕРИАЛЫ!$C$2:$C$9000,MATCH($N654,МАТЕРИАЛЫ!$L$2:$L$9000,0)),""),"")))</f>
        <v>Монтаж трубы ПВХ / гофротрубы под электропроводку</v>
      </c>
      <c r="Z654" t="str">
        <f t="shared" si="76"/>
        <v>Р9 · Электротехнические работы</v>
      </c>
    </row>
    <row r="655" spans="1:26" ht="43.2" x14ac:dyDescent="0.3">
      <c r="A655" t="s">
        <v>1385</v>
      </c>
      <c r="B655" t="s">
        <v>1255</v>
      </c>
      <c r="C655" t="s">
        <v>161</v>
      </c>
      <c r="D655" s="4" t="s">
        <v>1386</v>
      </c>
      <c r="E655" t="s">
        <v>153</v>
      </c>
      <c r="F655" s="5">
        <v>113.3</v>
      </c>
      <c r="G655" t="s">
        <v>1384</v>
      </c>
      <c r="H655">
        <v>5</v>
      </c>
      <c r="I655" t="s">
        <v>53</v>
      </c>
      <c r="L655" s="6"/>
      <c r="M655" s="6"/>
      <c r="N655" s="6"/>
      <c r="O655" s="5"/>
      <c r="P655" s="7" t="str">
        <f t="shared" si="70"/>
        <v/>
      </c>
      <c r="Q655" s="7" t="str">
        <f t="shared" si="71"/>
        <v/>
      </c>
      <c r="R655" s="7" t="str">
        <f t="shared" si="72"/>
        <v/>
      </c>
      <c r="S655" s="7">
        <f>IF($A655="","",IF(AND(LEFT($G655,3)="ДОК",$N655&lt;&gt;""),IFERROR(INDEX(Документация!$E$2:$E$57,MATCH($N655,Документация!$F$2:$F$57,0)),0),N($F655))*(1-MEDIAN(0,N(ДисконтТендер),1)))</f>
        <v>113.3</v>
      </c>
      <c r="T655" s="7">
        <f>IF($A655="","",IF(AND(LEFT($G655,3)="ДОК",$N655&lt;&gt;""),0,IF(AND(LEFT($G655,3)&lt;&gt;"ДОК",$N655&lt;&gt;""),IFERROR(INDEX(МАТЕРИАЛЫ!$H$2:$H$9000,MATCH($N655,МАТЕРИАЛЫ!$L$2:$L$9000,0))*IF(INDEX(МАТЕРИАЛЫ!$I$2:$I$9000,MATCH($N655,МАТЕРИАЛЫ!$L$2:$L$9000,0))="USD",КурсUSD,IF(INDEX(МАТЕРИАЛЫ!$I$2:$I$9000,MATCH($N655,МАТЕРИАЛЫ!$L$2:$L$9000,0))="EUR",КурсEUR,IF(INDEX(МАТЕРИАЛЫ!$I$2:$I$9000,MATCH($N655,МАТЕРИАЛЫ!$L$2:$L$9000,0))="CNY",КурсCNY,1)))*(1+N($H655)/100),0),N($O655))*(1-MEDIAN(0,N(ДисконтТендер),1))))</f>
        <v>0</v>
      </c>
      <c r="U655" t="str">
        <f>IF($L655="да",MAX($U$1:$U654)+1,"")</f>
        <v/>
      </c>
      <c r="V655" t="str">
        <f t="shared" si="73"/>
        <v>Р9</v>
      </c>
      <c r="W655" t="str">
        <f t="shared" si="74"/>
        <v/>
      </c>
      <c r="X655" t="str">
        <f t="shared" si="75"/>
        <v/>
      </c>
      <c r="Y655" s="4" t="str">
        <f>IF($A655="","",IF(AND(LEFT($G655,3)="ДОК",$N655&lt;&gt;""),IFERROR(INDEX(Документация!$G$2:$G$57,MATCH($N655,Документация!$F$2:$F$57,0)),$D655),$D655&amp;IF(AND(LEFT($G655,3)&lt;&gt;"ДОК",$N655&lt;&gt;"")," — "&amp;IFERROR(INDEX(МАТЕРИАЛЫ!$C$2:$C$9000,MATCH($N655,МАТЕРИАЛЫ!$L$2:$L$9000,0)),""),"")))</f>
        <v>Труба гладкая жесткая ПВХ 20 мм легкая серая (3м) в комплекте с углами, крепежами,переходниками и расходными материалами</v>
      </c>
      <c r="Z655" t="str">
        <f t="shared" si="76"/>
        <v>Р9 · Электротехнические работы</v>
      </c>
    </row>
    <row r="656" spans="1:26" ht="43.2" x14ac:dyDescent="0.3">
      <c r="A656" t="s">
        <v>1387</v>
      </c>
      <c r="B656" t="s">
        <v>1255</v>
      </c>
      <c r="C656" t="s">
        <v>161</v>
      </c>
      <c r="D656" s="4" t="s">
        <v>1388</v>
      </c>
      <c r="E656" t="s">
        <v>153</v>
      </c>
      <c r="F656" s="5">
        <v>135.72</v>
      </c>
      <c r="G656" t="s">
        <v>1384</v>
      </c>
      <c r="H656">
        <v>5</v>
      </c>
      <c r="I656" t="s">
        <v>53</v>
      </c>
      <c r="L656" s="6"/>
      <c r="M656" s="6"/>
      <c r="N656" s="6"/>
      <c r="O656" s="5"/>
      <c r="P656" s="7" t="str">
        <f t="shared" si="70"/>
        <v/>
      </c>
      <c r="Q656" s="7" t="str">
        <f t="shared" si="71"/>
        <v/>
      </c>
      <c r="R656" s="7" t="str">
        <f t="shared" si="72"/>
        <v/>
      </c>
      <c r="S656" s="7">
        <f>IF($A656="","",IF(AND(LEFT($G656,3)="ДОК",$N656&lt;&gt;""),IFERROR(INDEX(Документация!$E$2:$E$57,MATCH($N656,Документация!$F$2:$F$57,0)),0),N($F656))*(1-MEDIAN(0,N(ДисконтТендер),1)))</f>
        <v>135.72</v>
      </c>
      <c r="T656" s="7">
        <f>IF($A656="","",IF(AND(LEFT($G656,3)="ДОК",$N656&lt;&gt;""),0,IF(AND(LEFT($G656,3)&lt;&gt;"ДОК",$N656&lt;&gt;""),IFERROR(INDEX(МАТЕРИАЛЫ!$H$2:$H$9000,MATCH($N656,МАТЕРИАЛЫ!$L$2:$L$9000,0))*IF(INDEX(МАТЕРИАЛЫ!$I$2:$I$9000,MATCH($N656,МАТЕРИАЛЫ!$L$2:$L$9000,0))="USD",КурсUSD,IF(INDEX(МАТЕРИАЛЫ!$I$2:$I$9000,MATCH($N656,МАТЕРИАЛЫ!$L$2:$L$9000,0))="EUR",КурсEUR,IF(INDEX(МАТЕРИАЛЫ!$I$2:$I$9000,MATCH($N656,МАТЕРИАЛЫ!$L$2:$L$9000,0))="CNY",КурсCNY,1)))*(1+N($H656)/100),0),N($O656))*(1-MEDIAN(0,N(ДисконтТендер),1))))</f>
        <v>0</v>
      </c>
      <c r="U656" t="str">
        <f>IF($L656="да",MAX($U$1:$U655)+1,"")</f>
        <v/>
      </c>
      <c r="V656" t="str">
        <f t="shared" si="73"/>
        <v>Р9</v>
      </c>
      <c r="W656" t="str">
        <f t="shared" si="74"/>
        <v/>
      </c>
      <c r="X656" t="str">
        <f t="shared" si="75"/>
        <v/>
      </c>
      <c r="Y656" s="4" t="str">
        <f>IF($A656="","",IF(AND(LEFT($G656,3)="ДОК",$N656&lt;&gt;""),IFERROR(INDEX(Документация!$G$2:$G$57,MATCH($N656,Документация!$F$2:$F$57,0)),$D656),$D656&amp;IF(AND(LEFT($G656,3)&lt;&gt;"ДОК",$N656&lt;&gt;"")," — "&amp;IFERROR(INDEX(МАТЕРИАЛЫ!$C$2:$C$9000,MATCH($N656,МАТЕРИАЛЫ!$L$2:$L$9000,0)),""),"")))</f>
        <v>Труба гладкая жесткая ПВХ 32 мм легкая серая (3м) в комплекте с углами, крепежами,переходниками и расходными материалами</v>
      </c>
      <c r="Z656" t="str">
        <f t="shared" si="76"/>
        <v>Р9 · Электротехнические работы</v>
      </c>
    </row>
    <row r="657" spans="1:26" ht="28.8" x14ac:dyDescent="0.3">
      <c r="A657" t="s">
        <v>1389</v>
      </c>
      <c r="B657" t="s">
        <v>1255</v>
      </c>
      <c r="C657" t="s">
        <v>161</v>
      </c>
      <c r="D657" s="4" t="s">
        <v>1390</v>
      </c>
      <c r="E657" t="s">
        <v>153</v>
      </c>
      <c r="F657" s="5">
        <v>71.680000000000007</v>
      </c>
      <c r="G657" t="s">
        <v>1384</v>
      </c>
      <c r="H657">
        <v>5</v>
      </c>
      <c r="I657" t="s">
        <v>53</v>
      </c>
      <c r="L657" s="6"/>
      <c r="M657" s="6"/>
      <c r="N657" s="6"/>
      <c r="O657" s="5"/>
      <c r="P657" s="7" t="str">
        <f t="shared" si="70"/>
        <v/>
      </c>
      <c r="Q657" s="7" t="str">
        <f t="shared" si="71"/>
        <v/>
      </c>
      <c r="R657" s="7" t="str">
        <f t="shared" si="72"/>
        <v/>
      </c>
      <c r="S657" s="7">
        <f>IF($A657="","",IF(AND(LEFT($G657,3)="ДОК",$N657&lt;&gt;""),IFERROR(INDEX(Документация!$E$2:$E$57,MATCH($N657,Документация!$F$2:$F$57,0)),0),N($F657))*(1-MEDIAN(0,N(ДисконтТендер),1)))</f>
        <v>71.680000000000007</v>
      </c>
      <c r="T657" s="7">
        <f>IF($A657="","",IF(AND(LEFT($G657,3)="ДОК",$N657&lt;&gt;""),0,IF(AND(LEFT($G657,3)&lt;&gt;"ДОК",$N657&lt;&gt;""),IFERROR(INDEX(МАТЕРИАЛЫ!$H$2:$H$9000,MATCH($N657,МАТЕРИАЛЫ!$L$2:$L$9000,0))*IF(INDEX(МАТЕРИАЛЫ!$I$2:$I$9000,MATCH($N657,МАТЕРИАЛЫ!$L$2:$L$9000,0))="USD",КурсUSD,IF(INDEX(МАТЕРИАЛЫ!$I$2:$I$9000,MATCH($N657,МАТЕРИАЛЫ!$L$2:$L$9000,0))="EUR",КурсEUR,IF(INDEX(МАТЕРИАЛЫ!$I$2:$I$9000,MATCH($N657,МАТЕРИАЛЫ!$L$2:$L$9000,0))="CNY",КурсCNY,1)))*(1+N($H657)/100),0),N($O657))*(1-MEDIAN(0,N(ДисконтТендер),1))))</f>
        <v>0</v>
      </c>
      <c r="U657" t="str">
        <f>IF($L657="да",MAX($U$1:$U656)+1,"")</f>
        <v/>
      </c>
      <c r="V657" t="str">
        <f t="shared" si="73"/>
        <v>Р9</v>
      </c>
      <c r="W657" t="str">
        <f t="shared" si="74"/>
        <v/>
      </c>
      <c r="X657" t="str">
        <f t="shared" si="75"/>
        <v/>
      </c>
      <c r="Y657" s="4" t="str">
        <f>IF($A657="","",IF(AND(LEFT($G657,3)="ДОК",$N657&lt;&gt;""),IFERROR(INDEX(Документация!$G$2:$G$57,MATCH($N657,Документация!$F$2:$F$57,0)),$D657),$D657&amp;IF(AND(LEFT($G657,3)&lt;&gt;"ДОК",$N657&lt;&gt;"")," — "&amp;IFERROR(INDEX(МАТЕРИАЛЫ!$C$2:$C$9000,MATCH($N657,МАТЕРИАЛЫ!$L$2:$L$9000,0)),""),"")))</f>
        <v>Труба гофрированная ПНД HF d20мм с протяжкой, безгалогенная оранжевая</v>
      </c>
      <c r="Z657" t="str">
        <f t="shared" si="76"/>
        <v>Р9 · Электротехнические работы</v>
      </c>
    </row>
    <row r="658" spans="1:26" x14ac:dyDescent="0.3">
      <c r="A658" t="s">
        <v>1391</v>
      </c>
      <c r="B658" t="s">
        <v>1255</v>
      </c>
      <c r="C658" t="s">
        <v>161</v>
      </c>
      <c r="D658" s="4" t="s">
        <v>1392</v>
      </c>
      <c r="E658" t="s">
        <v>153</v>
      </c>
      <c r="F658" s="5">
        <v>84.76</v>
      </c>
      <c r="H658">
        <v>0</v>
      </c>
      <c r="I658" t="s">
        <v>53</v>
      </c>
      <c r="L658" s="6"/>
      <c r="M658" s="6"/>
      <c r="N658" s="6"/>
      <c r="O658" s="5"/>
      <c r="P658" s="7" t="str">
        <f t="shared" si="70"/>
        <v/>
      </c>
      <c r="Q658" s="7" t="str">
        <f t="shared" si="71"/>
        <v/>
      </c>
      <c r="R658" s="7" t="str">
        <f t="shared" si="72"/>
        <v/>
      </c>
      <c r="S658" s="7">
        <f>IF($A658="","",IF(AND(LEFT($G658,3)="ДОК",$N658&lt;&gt;""),IFERROR(INDEX(Документация!$E$2:$E$57,MATCH($N658,Документация!$F$2:$F$57,0)),0),N($F658))*(1-MEDIAN(0,N(ДисконтТендер),1)))</f>
        <v>84.76</v>
      </c>
      <c r="T658" s="7">
        <f>IF($A658="","",IF(AND(LEFT($G658,3)="ДОК",$N658&lt;&gt;""),0,IF(AND(LEFT($G658,3)&lt;&gt;"ДОК",$N658&lt;&gt;""),IFERROR(INDEX(МАТЕРИАЛЫ!$H$2:$H$9000,MATCH($N658,МАТЕРИАЛЫ!$L$2:$L$9000,0))*IF(INDEX(МАТЕРИАЛЫ!$I$2:$I$9000,MATCH($N658,МАТЕРИАЛЫ!$L$2:$L$9000,0))="USD",КурсUSD,IF(INDEX(МАТЕРИАЛЫ!$I$2:$I$9000,MATCH($N658,МАТЕРИАЛЫ!$L$2:$L$9000,0))="EUR",КурсEUR,IF(INDEX(МАТЕРИАЛЫ!$I$2:$I$9000,MATCH($N658,МАТЕРИАЛЫ!$L$2:$L$9000,0))="CNY",КурсCNY,1)))*(1+N($H658)/100),0),N($O658))*(1-MEDIAN(0,N(ДисконтТендер),1))))</f>
        <v>0</v>
      </c>
      <c r="U658" t="str">
        <f>IF($L658="да",MAX($U$1:$U657)+1,"")</f>
        <v/>
      </c>
      <c r="V658" t="str">
        <f t="shared" si="73"/>
        <v>Р9</v>
      </c>
      <c r="W658" t="str">
        <f t="shared" si="74"/>
        <v/>
      </c>
      <c r="X658" t="str">
        <f t="shared" si="75"/>
        <v/>
      </c>
      <c r="Y658" s="4" t="str">
        <f>IF($A658="","",IF(AND(LEFT($G658,3)="ДОК",$N658&lt;&gt;""),IFERROR(INDEX(Документация!$G$2:$G$57,MATCH($N658,Документация!$F$2:$F$57,0)),$D658),$D658&amp;IF(AND(LEFT($G658,3)&lt;&gt;"ДОК",$N658&lt;&gt;"")," — "&amp;IFERROR(INDEX(МАТЕРИАЛЫ!$C$2:$C$9000,MATCH($N658,МАТЕРИАЛЫ!$L$2:$L$9000,0)),""),"")))</f>
        <v>Гладкая труба ∅ 40 ПНД</v>
      </c>
      <c r="Z658" t="str">
        <f t="shared" si="76"/>
        <v>Р9 · Электротехнические работы</v>
      </c>
    </row>
    <row r="659" spans="1:26" x14ac:dyDescent="0.3">
      <c r="A659" t="s">
        <v>1393</v>
      </c>
      <c r="B659" t="s">
        <v>1255</v>
      </c>
      <c r="C659" t="s">
        <v>161</v>
      </c>
      <c r="D659" s="4" t="s">
        <v>1394</v>
      </c>
      <c r="E659" t="s">
        <v>114</v>
      </c>
      <c r="F659" s="5">
        <v>105.17</v>
      </c>
      <c r="H659">
        <v>0</v>
      </c>
      <c r="I659" t="s">
        <v>53</v>
      </c>
      <c r="L659" s="6"/>
      <c r="M659" s="6"/>
      <c r="N659" s="6"/>
      <c r="O659" s="5"/>
      <c r="P659" s="7" t="str">
        <f t="shared" si="70"/>
        <v/>
      </c>
      <c r="Q659" s="7" t="str">
        <f t="shared" si="71"/>
        <v/>
      </c>
      <c r="R659" s="7" t="str">
        <f t="shared" si="72"/>
        <v/>
      </c>
      <c r="S659" s="7">
        <f>IF($A659="","",IF(AND(LEFT($G659,3)="ДОК",$N659&lt;&gt;""),IFERROR(INDEX(Документация!$E$2:$E$57,MATCH($N659,Документация!$F$2:$F$57,0)),0),N($F659))*(1-MEDIAN(0,N(ДисконтТендер),1)))</f>
        <v>105.17</v>
      </c>
      <c r="T659" s="7">
        <f>IF($A659="","",IF(AND(LEFT($G659,3)="ДОК",$N659&lt;&gt;""),0,IF(AND(LEFT($G659,3)&lt;&gt;"ДОК",$N659&lt;&gt;""),IFERROR(INDEX(МАТЕРИАЛЫ!$H$2:$H$9000,MATCH($N659,МАТЕРИАЛЫ!$L$2:$L$9000,0))*IF(INDEX(МАТЕРИАЛЫ!$I$2:$I$9000,MATCH($N659,МАТЕРИАЛЫ!$L$2:$L$9000,0))="USD",КурсUSD,IF(INDEX(МАТЕРИАЛЫ!$I$2:$I$9000,MATCH($N659,МАТЕРИАЛЫ!$L$2:$L$9000,0))="EUR",КурсEUR,IF(INDEX(МАТЕРИАЛЫ!$I$2:$I$9000,MATCH($N659,МАТЕРИАЛЫ!$L$2:$L$9000,0))="CNY",КурсCNY,1)))*(1+N($H659)/100),0),N($O659))*(1-MEDIAN(0,N(ДисконтТендер),1))))</f>
        <v>0</v>
      </c>
      <c r="U659" t="str">
        <f>IF($L659="да",MAX($U$1:$U658)+1,"")</f>
        <v/>
      </c>
      <c r="V659" t="str">
        <f t="shared" si="73"/>
        <v>Р9</v>
      </c>
      <c r="W659" t="str">
        <f t="shared" si="74"/>
        <v/>
      </c>
      <c r="X659" t="str">
        <f t="shared" si="75"/>
        <v/>
      </c>
      <c r="Y659" s="4" t="str">
        <f>IF($A659="","",IF(AND(LEFT($G659,3)="ДОК",$N659&lt;&gt;""),IFERROR(INDEX(Документация!$G$2:$G$57,MATCH($N659,Документация!$F$2:$F$57,0)),$D659),$D659&amp;IF(AND(LEFT($G659,3)&lt;&gt;"ДОК",$N659&lt;&gt;"")," — "&amp;IFERROR(INDEX(МАТЕРИАЛЫ!$C$2:$C$9000,MATCH($N659,МАТЕРИАЛЫ!$L$2:$L$9000,0)),""),"")))</f>
        <v>Поворот 90° для ПВХ-трубы ∅ 40</v>
      </c>
      <c r="Z659" t="str">
        <f t="shared" si="76"/>
        <v>Р9 · Электротехнические работы</v>
      </c>
    </row>
    <row r="660" spans="1:26" x14ac:dyDescent="0.3">
      <c r="A660" t="s">
        <v>1395</v>
      </c>
      <c r="B660" t="s">
        <v>1255</v>
      </c>
      <c r="C660" t="s">
        <v>161</v>
      </c>
      <c r="D660" s="4" t="s">
        <v>1396</v>
      </c>
      <c r="E660" t="s">
        <v>153</v>
      </c>
      <c r="F660" s="5">
        <v>570.72</v>
      </c>
      <c r="G660" t="s">
        <v>1397</v>
      </c>
      <c r="H660">
        <v>5</v>
      </c>
      <c r="I660" t="s">
        <v>53</v>
      </c>
      <c r="L660" s="6"/>
      <c r="M660" s="6"/>
      <c r="N660" s="6"/>
      <c r="O660" s="5"/>
      <c r="P660" s="7" t="str">
        <f t="shared" si="70"/>
        <v/>
      </c>
      <c r="Q660" s="7" t="str">
        <f t="shared" si="71"/>
        <v/>
      </c>
      <c r="R660" s="7" t="str">
        <f t="shared" si="72"/>
        <v/>
      </c>
      <c r="S660" s="7">
        <f>IF($A660="","",IF(AND(LEFT($G660,3)="ДОК",$N660&lt;&gt;""),IFERROR(INDEX(Документация!$E$2:$E$57,MATCH($N660,Документация!$F$2:$F$57,0)),0),N($F660))*(1-MEDIAN(0,N(ДисконтТендер),1)))</f>
        <v>570.72</v>
      </c>
      <c r="T660" s="7">
        <f>IF($A660="","",IF(AND(LEFT($G660,3)="ДОК",$N660&lt;&gt;""),0,IF(AND(LEFT($G660,3)&lt;&gt;"ДОК",$N660&lt;&gt;""),IFERROR(INDEX(МАТЕРИАЛЫ!$H$2:$H$9000,MATCH($N660,МАТЕРИАЛЫ!$L$2:$L$9000,0))*IF(INDEX(МАТЕРИАЛЫ!$I$2:$I$9000,MATCH($N660,МАТЕРИАЛЫ!$L$2:$L$9000,0))="USD",КурсUSD,IF(INDEX(МАТЕРИАЛЫ!$I$2:$I$9000,MATCH($N660,МАТЕРИАЛЫ!$L$2:$L$9000,0))="EUR",КурсEUR,IF(INDEX(МАТЕРИАЛЫ!$I$2:$I$9000,MATCH($N660,МАТЕРИАЛЫ!$L$2:$L$9000,0))="CNY",КурсCNY,1)))*(1+N($H660)/100),0),N($O660))*(1-MEDIAN(0,N(ДисконтТендер),1))))</f>
        <v>0</v>
      </c>
      <c r="U660" t="str">
        <f>IF($L660="да",MAX($U$1:$U659)+1,"")</f>
        <v/>
      </c>
      <c r="V660" t="str">
        <f t="shared" si="73"/>
        <v>Р9</v>
      </c>
      <c r="W660" t="str">
        <f t="shared" si="74"/>
        <v/>
      </c>
      <c r="X660" t="str">
        <f t="shared" si="75"/>
        <v/>
      </c>
      <c r="Y660" s="4" t="str">
        <f>IF($A660="","",IF(AND(LEFT($G660,3)="ДОК",$N660&lt;&gt;""),IFERROR(INDEX(Документация!$G$2:$G$57,MATCH($N660,Документация!$F$2:$F$57,0)),$D660),$D660&amp;IF(AND(LEFT($G660,3)&lt;&gt;"ДОК",$N660&lt;&gt;"")," — "&amp;IFERROR(INDEX(МАТЕРИАЛЫ!$C$2:$C$9000,MATCH($N660,МАТЕРИАЛЫ!$L$2:$L$9000,0)),""),"")))</f>
        <v>Монтаж кабель-канала</v>
      </c>
      <c r="Z660" t="str">
        <f t="shared" si="76"/>
        <v>Р9 · Электротехнические работы</v>
      </c>
    </row>
    <row r="661" spans="1:26" x14ac:dyDescent="0.3">
      <c r="A661" t="s">
        <v>1398</v>
      </c>
      <c r="B661" t="s">
        <v>1255</v>
      </c>
      <c r="C661" t="s">
        <v>161</v>
      </c>
      <c r="D661" s="4" t="s">
        <v>1399</v>
      </c>
      <c r="E661" t="s">
        <v>114</v>
      </c>
      <c r="F661" s="5">
        <v>119.19</v>
      </c>
      <c r="H661">
        <v>0</v>
      </c>
      <c r="I661" t="s">
        <v>53</v>
      </c>
      <c r="L661" s="6"/>
      <c r="M661" s="6"/>
      <c r="N661" s="6"/>
      <c r="O661" s="5"/>
      <c r="P661" s="7" t="str">
        <f t="shared" si="70"/>
        <v/>
      </c>
      <c r="Q661" s="7" t="str">
        <f t="shared" si="71"/>
        <v/>
      </c>
      <c r="R661" s="7" t="str">
        <f t="shared" si="72"/>
        <v/>
      </c>
      <c r="S661" s="7">
        <f>IF($A661="","",IF(AND(LEFT($G661,3)="ДОК",$N661&lt;&gt;""),IFERROR(INDEX(Документация!$E$2:$E$57,MATCH($N661,Документация!$F$2:$F$57,0)),0),N($F661))*(1-MEDIAN(0,N(ДисконтТендер),1)))</f>
        <v>119.19</v>
      </c>
      <c r="T661" s="7">
        <f>IF($A661="","",IF(AND(LEFT($G661,3)="ДОК",$N661&lt;&gt;""),0,IF(AND(LEFT($G661,3)&lt;&gt;"ДОК",$N661&lt;&gt;""),IFERROR(INDEX(МАТЕРИАЛЫ!$H$2:$H$9000,MATCH($N661,МАТЕРИАЛЫ!$L$2:$L$9000,0))*IF(INDEX(МАТЕРИАЛЫ!$I$2:$I$9000,MATCH($N661,МАТЕРИАЛЫ!$L$2:$L$9000,0))="USD",КурсUSD,IF(INDEX(МАТЕРИАЛЫ!$I$2:$I$9000,MATCH($N661,МАТЕРИАЛЫ!$L$2:$L$9000,0))="EUR",КурсEUR,IF(INDEX(МАТЕРИАЛЫ!$I$2:$I$9000,MATCH($N661,МАТЕРИАЛЫ!$L$2:$L$9000,0))="CNY",КурсCNY,1)))*(1+N($H661)/100),0),N($O661))*(1-MEDIAN(0,N(ДисконтТендер),1))))</f>
        <v>0</v>
      </c>
      <c r="U661" t="str">
        <f>IF($L661="да",MAX($U$1:$U660)+1,"")</f>
        <v/>
      </c>
      <c r="V661" t="str">
        <f t="shared" si="73"/>
        <v>Р9</v>
      </c>
      <c r="W661" t="str">
        <f t="shared" si="74"/>
        <v/>
      </c>
      <c r="X661" t="str">
        <f t="shared" si="75"/>
        <v/>
      </c>
      <c r="Y661" s="4" t="str">
        <f>IF($A661="","",IF(AND(LEFT($G661,3)="ДОК",$N661&lt;&gt;""),IFERROR(INDEX(Документация!$G$2:$G$57,MATCH($N661,Документация!$F$2:$F$57,0)),$D661),$D661&amp;IF(AND(LEFT($G661,3)&lt;&gt;"ДОК",$N661&lt;&gt;"")," — "&amp;IFERROR(INDEX(МАТЕРИАЛЫ!$C$2:$C$9000,MATCH($N661,МАТЕРИАЛЫ!$L$2:$L$9000,0)),""),"")))</f>
        <v>Консоль с опорой ML 100 мм облегченная</v>
      </c>
      <c r="Z661" t="str">
        <f t="shared" si="76"/>
        <v>Р9 · Электротехнические работы</v>
      </c>
    </row>
    <row r="662" spans="1:26" x14ac:dyDescent="0.3">
      <c r="A662" t="s">
        <v>1400</v>
      </c>
      <c r="B662" t="s">
        <v>1255</v>
      </c>
      <c r="C662" t="s">
        <v>161</v>
      </c>
      <c r="D662" s="4" t="s">
        <v>1401</v>
      </c>
      <c r="E662" t="s">
        <v>153</v>
      </c>
      <c r="F662" s="5">
        <v>946</v>
      </c>
      <c r="G662" t="s">
        <v>1402</v>
      </c>
      <c r="H662">
        <v>5</v>
      </c>
      <c r="I662" t="s">
        <v>53</v>
      </c>
      <c r="L662" s="6"/>
      <c r="M662" s="6"/>
      <c r="N662" s="6"/>
      <c r="O662" s="5"/>
      <c r="P662" s="7" t="str">
        <f t="shared" si="70"/>
        <v/>
      </c>
      <c r="Q662" s="7" t="str">
        <f t="shared" si="71"/>
        <v/>
      </c>
      <c r="R662" s="7" t="str">
        <f t="shared" si="72"/>
        <v/>
      </c>
      <c r="S662" s="7">
        <f>IF($A662="","",IF(AND(LEFT($G662,3)="ДОК",$N662&lt;&gt;""),IFERROR(INDEX(Документация!$E$2:$E$57,MATCH($N662,Документация!$F$2:$F$57,0)),0),N($F662))*(1-MEDIAN(0,N(ДисконтТендер),1)))</f>
        <v>946</v>
      </c>
      <c r="T662" s="7">
        <f>IF($A662="","",IF(AND(LEFT($G662,3)="ДОК",$N662&lt;&gt;""),0,IF(AND(LEFT($G662,3)&lt;&gt;"ДОК",$N662&lt;&gt;""),IFERROR(INDEX(МАТЕРИАЛЫ!$H$2:$H$9000,MATCH($N662,МАТЕРИАЛЫ!$L$2:$L$9000,0))*IF(INDEX(МАТЕРИАЛЫ!$I$2:$I$9000,MATCH($N662,МАТЕРИАЛЫ!$L$2:$L$9000,0))="USD",КурсUSD,IF(INDEX(МАТЕРИАЛЫ!$I$2:$I$9000,MATCH($N662,МАТЕРИАЛЫ!$L$2:$L$9000,0))="EUR",КурсEUR,IF(INDEX(МАТЕРИАЛЫ!$I$2:$I$9000,MATCH($N662,МАТЕРИАЛЫ!$L$2:$L$9000,0))="CNY",КурсCNY,1)))*(1+N($H662)/100),0),N($O662))*(1-MEDIAN(0,N(ДисконтТендер),1))))</f>
        <v>0</v>
      </c>
      <c r="U662" t="str">
        <f>IF($L662="да",MAX($U$1:$U661)+1,"")</f>
        <v/>
      </c>
      <c r="V662" t="str">
        <f t="shared" si="73"/>
        <v>Р9</v>
      </c>
      <c r="W662" t="str">
        <f t="shared" si="74"/>
        <v/>
      </c>
      <c r="X662" t="str">
        <f t="shared" si="75"/>
        <v/>
      </c>
      <c r="Y662" s="4" t="str">
        <f>IF($A662="","",IF(AND(LEFT($G662,3)="ДОК",$N662&lt;&gt;""),IFERROR(INDEX(Документация!$G$2:$G$57,MATCH($N662,Документация!$F$2:$F$57,0)),$D662),$D662&amp;IF(AND(LEFT($G662,3)&lt;&gt;"ДОК",$N662&lt;&gt;"")," — "&amp;IFERROR(INDEX(МАТЕРИАЛЫ!$C$2:$C$9000,MATCH($N662,МАТЕРИАЛЫ!$L$2:$L$9000,0)),""),"")))</f>
        <v>Монтаж кабельного лотка</v>
      </c>
      <c r="Z662" t="str">
        <f t="shared" si="76"/>
        <v>Р9 · Электротехнические работы</v>
      </c>
    </row>
    <row r="663" spans="1:26" x14ac:dyDescent="0.3">
      <c r="A663" t="s">
        <v>1403</v>
      </c>
      <c r="B663" t="s">
        <v>1255</v>
      </c>
      <c r="C663" t="s">
        <v>161</v>
      </c>
      <c r="D663" s="4" t="s">
        <v>1401</v>
      </c>
      <c r="E663" t="s">
        <v>153</v>
      </c>
      <c r="F663" s="5">
        <v>1057.05</v>
      </c>
      <c r="G663" t="s">
        <v>1402</v>
      </c>
      <c r="H663">
        <v>5</v>
      </c>
      <c r="I663" t="s">
        <v>53</v>
      </c>
      <c r="L663" s="6"/>
      <c r="M663" s="6"/>
      <c r="N663" s="6"/>
      <c r="O663" s="5"/>
      <c r="P663" s="7" t="str">
        <f t="shared" si="70"/>
        <v/>
      </c>
      <c r="Q663" s="7" t="str">
        <f t="shared" si="71"/>
        <v/>
      </c>
      <c r="R663" s="7" t="str">
        <f t="shared" si="72"/>
        <v/>
      </c>
      <c r="S663" s="7">
        <f>IF($A663="","",IF(AND(LEFT($G663,3)="ДОК",$N663&lt;&gt;""),IFERROR(INDEX(Документация!$E$2:$E$57,MATCH($N663,Документация!$F$2:$F$57,0)),0),N($F663))*(1-MEDIAN(0,N(ДисконтТендер),1)))</f>
        <v>1057.05</v>
      </c>
      <c r="T663" s="7">
        <f>IF($A663="","",IF(AND(LEFT($G663,3)="ДОК",$N663&lt;&gt;""),0,IF(AND(LEFT($G663,3)&lt;&gt;"ДОК",$N663&lt;&gt;""),IFERROR(INDEX(МАТЕРИАЛЫ!$H$2:$H$9000,MATCH($N663,МАТЕРИАЛЫ!$L$2:$L$9000,0))*IF(INDEX(МАТЕРИАЛЫ!$I$2:$I$9000,MATCH($N663,МАТЕРИАЛЫ!$L$2:$L$9000,0))="USD",КурсUSD,IF(INDEX(МАТЕРИАЛЫ!$I$2:$I$9000,MATCH($N663,МАТЕРИАЛЫ!$L$2:$L$9000,0))="EUR",КурсEUR,IF(INDEX(МАТЕРИАЛЫ!$I$2:$I$9000,MATCH($N663,МАТЕРИАЛЫ!$L$2:$L$9000,0))="CNY",КурсCNY,1)))*(1+N($H663)/100),0),N($O663))*(1-MEDIAN(0,N(ДисконтТендер),1))))</f>
        <v>0</v>
      </c>
      <c r="U663" t="str">
        <f>IF($L663="да",MAX($U$1:$U662)+1,"")</f>
        <v/>
      </c>
      <c r="V663" t="str">
        <f t="shared" si="73"/>
        <v>Р9</v>
      </c>
      <c r="W663" t="str">
        <f t="shared" si="74"/>
        <v/>
      </c>
      <c r="X663" t="str">
        <f t="shared" si="75"/>
        <v/>
      </c>
      <c r="Y663" s="4" t="str">
        <f>IF($A663="","",IF(AND(LEFT($G663,3)="ДОК",$N663&lt;&gt;""),IFERROR(INDEX(Документация!$G$2:$G$57,MATCH($N663,Документация!$F$2:$F$57,0)),$D663),$D663&amp;IF(AND(LEFT($G663,3)&lt;&gt;"ДОК",$N663&lt;&gt;"")," — "&amp;IFERROR(INDEX(МАТЕРИАЛЫ!$C$2:$C$9000,MATCH($N663,МАТЕРИАЛЫ!$L$2:$L$9000,0)),""),"")))</f>
        <v>Монтаж кабельного лотка</v>
      </c>
      <c r="Z663" t="str">
        <f t="shared" si="76"/>
        <v>Р9 · Электротехнические работы</v>
      </c>
    </row>
    <row r="664" spans="1:26" x14ac:dyDescent="0.3">
      <c r="A664" t="s">
        <v>1404</v>
      </c>
      <c r="B664" t="s">
        <v>1255</v>
      </c>
      <c r="C664" t="s">
        <v>161</v>
      </c>
      <c r="D664" s="4" t="s">
        <v>1405</v>
      </c>
      <c r="E664" t="s">
        <v>153</v>
      </c>
      <c r="F664" s="5">
        <v>769.95</v>
      </c>
      <c r="H664">
        <v>0</v>
      </c>
      <c r="I664" t="s">
        <v>53</v>
      </c>
      <c r="L664" s="6"/>
      <c r="M664" s="6"/>
      <c r="N664" s="6"/>
      <c r="O664" s="5"/>
      <c r="P664" s="7" t="str">
        <f t="shared" si="70"/>
        <v/>
      </c>
      <c r="Q664" s="7" t="str">
        <f t="shared" si="71"/>
        <v/>
      </c>
      <c r="R664" s="7" t="str">
        <f t="shared" si="72"/>
        <v/>
      </c>
      <c r="S664" s="7">
        <f>IF($A664="","",IF(AND(LEFT($G664,3)="ДОК",$N664&lt;&gt;""),IFERROR(INDEX(Документация!$E$2:$E$57,MATCH($N664,Документация!$F$2:$F$57,0)),0),N($F664))*(1-MEDIAN(0,N(ДисконтТендер),1)))</f>
        <v>769.95</v>
      </c>
      <c r="T664" s="7">
        <f>IF($A664="","",IF(AND(LEFT($G664,3)="ДОК",$N664&lt;&gt;""),0,IF(AND(LEFT($G664,3)&lt;&gt;"ДОК",$N664&lt;&gt;""),IFERROR(INDEX(МАТЕРИАЛЫ!$H$2:$H$9000,MATCH($N664,МАТЕРИАЛЫ!$L$2:$L$9000,0))*IF(INDEX(МАТЕРИАЛЫ!$I$2:$I$9000,MATCH($N664,МАТЕРИАЛЫ!$L$2:$L$9000,0))="USD",КурсUSD,IF(INDEX(МАТЕРИАЛЫ!$I$2:$I$9000,MATCH($N664,МАТЕРИАЛЫ!$L$2:$L$9000,0))="EUR",КурсEUR,IF(INDEX(МАТЕРИАЛЫ!$I$2:$I$9000,MATCH($N664,МАТЕРИАЛЫ!$L$2:$L$9000,0))="CNY",КурсCNY,1)))*(1+N($H664)/100),0),N($O664))*(1-MEDIAN(0,N(ДисконтТендер),1))))</f>
        <v>0</v>
      </c>
      <c r="U664" t="str">
        <f>IF($L664="да",MAX($U$1:$U663)+1,"")</f>
        <v/>
      </c>
      <c r="V664" t="str">
        <f t="shared" si="73"/>
        <v>Р9</v>
      </c>
      <c r="W664" t="str">
        <f t="shared" si="74"/>
        <v/>
      </c>
      <c r="X664" t="str">
        <f t="shared" si="75"/>
        <v/>
      </c>
      <c r="Y664" s="4" t="str">
        <f>IF($A664="","",IF(AND(LEFT($G664,3)="ДОК",$N664&lt;&gt;""),IFERROR(INDEX(Документация!$G$2:$G$57,MATCH($N664,Документация!$F$2:$F$57,0)),$D664),$D664&amp;IF(AND(LEFT($G664,3)&lt;&gt;"ДОК",$N664&lt;&gt;"")," — "&amp;IFERROR(INDEX(МАТЕРИАЛЫ!$C$2:$C$9000,MATCH($N664,МАТЕРИАЛЫ!$L$2:$L$9000,0)),""),"")))</f>
        <v>Лоток проволочный 100х50х3000</v>
      </c>
      <c r="Z664" t="str">
        <f t="shared" si="76"/>
        <v>Р9 · Электротехнические работы</v>
      </c>
    </row>
    <row r="665" spans="1:26" x14ac:dyDescent="0.3">
      <c r="A665" t="s">
        <v>1406</v>
      </c>
      <c r="B665" t="s">
        <v>1255</v>
      </c>
      <c r="C665" t="s">
        <v>161</v>
      </c>
      <c r="D665" s="4" t="s">
        <v>1407</v>
      </c>
      <c r="E665" t="s">
        <v>153</v>
      </c>
      <c r="F665" s="5">
        <v>784.74</v>
      </c>
      <c r="H665">
        <v>0</v>
      </c>
      <c r="I665" t="s">
        <v>53</v>
      </c>
      <c r="L665" s="6"/>
      <c r="M665" s="6"/>
      <c r="N665" s="6"/>
      <c r="O665" s="5"/>
      <c r="P665" s="7" t="str">
        <f t="shared" si="70"/>
        <v/>
      </c>
      <c r="Q665" s="7" t="str">
        <f t="shared" si="71"/>
        <v/>
      </c>
      <c r="R665" s="7" t="str">
        <f t="shared" si="72"/>
        <v/>
      </c>
      <c r="S665" s="7">
        <f>IF($A665="","",IF(AND(LEFT($G665,3)="ДОК",$N665&lt;&gt;""),IFERROR(INDEX(Документация!$E$2:$E$57,MATCH($N665,Документация!$F$2:$F$57,0)),0),N($F665))*(1-MEDIAN(0,N(ДисконтТендер),1)))</f>
        <v>784.74</v>
      </c>
      <c r="T665" s="7">
        <f>IF($A665="","",IF(AND(LEFT($G665,3)="ДОК",$N665&lt;&gt;""),0,IF(AND(LEFT($G665,3)&lt;&gt;"ДОК",$N665&lt;&gt;""),IFERROR(INDEX(МАТЕРИАЛЫ!$H$2:$H$9000,MATCH($N665,МАТЕРИАЛЫ!$L$2:$L$9000,0))*IF(INDEX(МАТЕРИАЛЫ!$I$2:$I$9000,MATCH($N665,МАТЕРИАЛЫ!$L$2:$L$9000,0))="USD",КурсUSD,IF(INDEX(МАТЕРИАЛЫ!$I$2:$I$9000,MATCH($N665,МАТЕРИАЛЫ!$L$2:$L$9000,0))="EUR",КурсEUR,IF(INDEX(МАТЕРИАЛЫ!$I$2:$I$9000,MATCH($N665,МАТЕРИАЛЫ!$L$2:$L$9000,0))="CNY",КурсCNY,1)))*(1+N($H665)/100),0),N($O665))*(1-MEDIAN(0,N(ДисконтТендер),1))))</f>
        <v>0</v>
      </c>
      <c r="U665" t="str">
        <f>IF($L665="да",MAX($U$1:$U664)+1,"")</f>
        <v/>
      </c>
      <c r="V665" t="str">
        <f t="shared" si="73"/>
        <v>Р9</v>
      </c>
      <c r="W665" t="str">
        <f t="shared" si="74"/>
        <v/>
      </c>
      <c r="X665" t="str">
        <f t="shared" si="75"/>
        <v/>
      </c>
      <c r="Y665" s="4" t="str">
        <f>IF($A665="","",IF(AND(LEFT($G665,3)="ДОК",$N665&lt;&gt;""),IFERROR(INDEX(Документация!$G$2:$G$57,MATCH($N665,Документация!$F$2:$F$57,0)),$D665),$D665&amp;IF(AND(LEFT($G665,3)&lt;&gt;"ДОК",$N665&lt;&gt;"")," — "&amp;IFERROR(INDEX(МАТЕРИАЛЫ!$C$2:$C$9000,MATCH($N665,МАТЕРИАЛЫ!$L$2:$L$9000,0)),""),"")))</f>
        <v>Лоток проволочный 300х50х3000</v>
      </c>
      <c r="Z665" t="str">
        <f t="shared" si="76"/>
        <v>Р9 · Электротехнические работы</v>
      </c>
    </row>
    <row r="666" spans="1:26" x14ac:dyDescent="0.3">
      <c r="A666" t="s">
        <v>1408</v>
      </c>
      <c r="B666" t="s">
        <v>1255</v>
      </c>
      <c r="C666" t="s">
        <v>161</v>
      </c>
      <c r="D666" s="4" t="s">
        <v>1409</v>
      </c>
      <c r="E666" t="s">
        <v>114</v>
      </c>
      <c r="F666" s="5">
        <v>683.82</v>
      </c>
      <c r="G666" t="s">
        <v>1410</v>
      </c>
      <c r="H666">
        <v>5</v>
      </c>
      <c r="I666" t="s">
        <v>53</v>
      </c>
      <c r="L666" s="6"/>
      <c r="M666" s="6"/>
      <c r="N666" s="6"/>
      <c r="O666" s="5"/>
      <c r="P666" s="7" t="str">
        <f t="shared" si="70"/>
        <v/>
      </c>
      <c r="Q666" s="7" t="str">
        <f t="shared" si="71"/>
        <v/>
      </c>
      <c r="R666" s="7" t="str">
        <f t="shared" si="72"/>
        <v/>
      </c>
      <c r="S666" s="7">
        <f>IF($A666="","",IF(AND(LEFT($G666,3)="ДОК",$N666&lt;&gt;""),IFERROR(INDEX(Документация!$E$2:$E$57,MATCH($N666,Документация!$F$2:$F$57,0)),0),N($F666))*(1-MEDIAN(0,N(ДисконтТендер),1)))</f>
        <v>683.82</v>
      </c>
      <c r="T666" s="7">
        <f>IF($A666="","",IF(AND(LEFT($G666,3)="ДОК",$N666&lt;&gt;""),0,IF(AND(LEFT($G666,3)&lt;&gt;"ДОК",$N666&lt;&gt;""),IFERROR(INDEX(МАТЕРИАЛЫ!$H$2:$H$9000,MATCH($N666,МАТЕРИАЛЫ!$L$2:$L$9000,0))*IF(INDEX(МАТЕРИАЛЫ!$I$2:$I$9000,MATCH($N666,МАТЕРИАЛЫ!$L$2:$L$9000,0))="USD",КурсUSD,IF(INDEX(МАТЕРИАЛЫ!$I$2:$I$9000,MATCH($N666,МАТЕРИАЛЫ!$L$2:$L$9000,0))="EUR",КурсEUR,IF(INDEX(МАТЕРИАЛЫ!$I$2:$I$9000,MATCH($N666,МАТЕРИАЛЫ!$L$2:$L$9000,0))="CNY",КурсCNY,1)))*(1+N($H666)/100),0),N($O666))*(1-MEDIAN(0,N(ДисконтТендер),1))))</f>
        <v>0</v>
      </c>
      <c r="U666" t="str">
        <f>IF($L666="да",MAX($U$1:$U665)+1,"")</f>
        <v/>
      </c>
      <c r="V666" t="str">
        <f t="shared" si="73"/>
        <v>Р9</v>
      </c>
      <c r="W666" t="str">
        <f t="shared" si="74"/>
        <v/>
      </c>
      <c r="X666" t="str">
        <f t="shared" si="75"/>
        <v/>
      </c>
      <c r="Y666" s="4" t="str">
        <f>IF($A666="","",IF(AND(LEFT($G666,3)="ДОК",$N666&lt;&gt;""),IFERROR(INDEX(Документация!$G$2:$G$57,MATCH($N666,Документация!$F$2:$F$57,0)),$D666),$D666&amp;IF(AND(LEFT($G666,3)&lt;&gt;"ДОК",$N666&lt;&gt;"")," — "&amp;IFERROR(INDEX(МАТЕРИАЛЫ!$C$2:$C$9000,MATCH($N666,МАТЕРИАЛЫ!$L$2:$L$9000,0)),""),"")))</f>
        <v>Установка розетки</v>
      </c>
      <c r="Z666" t="str">
        <f t="shared" si="76"/>
        <v>Р9 · Электротехнические работы</v>
      </c>
    </row>
    <row r="667" spans="1:26" x14ac:dyDescent="0.3">
      <c r="A667" t="s">
        <v>1411</v>
      </c>
      <c r="B667" t="s">
        <v>1255</v>
      </c>
      <c r="C667" t="s">
        <v>161</v>
      </c>
      <c r="D667" s="4" t="s">
        <v>1409</v>
      </c>
      <c r="E667" t="s">
        <v>114</v>
      </c>
      <c r="F667" s="5">
        <v>685.73</v>
      </c>
      <c r="G667" t="s">
        <v>1410</v>
      </c>
      <c r="H667">
        <v>5</v>
      </c>
      <c r="I667" t="s">
        <v>53</v>
      </c>
      <c r="L667" s="6"/>
      <c r="M667" s="6"/>
      <c r="N667" s="6"/>
      <c r="O667" s="5"/>
      <c r="P667" s="7" t="str">
        <f t="shared" si="70"/>
        <v/>
      </c>
      <c r="Q667" s="7" t="str">
        <f t="shared" si="71"/>
        <v/>
      </c>
      <c r="R667" s="7" t="str">
        <f t="shared" si="72"/>
        <v/>
      </c>
      <c r="S667" s="7">
        <f>IF($A667="","",IF(AND(LEFT($G667,3)="ДОК",$N667&lt;&gt;""),IFERROR(INDEX(Документация!$E$2:$E$57,MATCH($N667,Документация!$F$2:$F$57,0)),0),N($F667))*(1-MEDIAN(0,N(ДисконтТендер),1)))</f>
        <v>685.73</v>
      </c>
      <c r="T667" s="7">
        <f>IF($A667="","",IF(AND(LEFT($G667,3)="ДОК",$N667&lt;&gt;""),0,IF(AND(LEFT($G667,3)&lt;&gt;"ДОК",$N667&lt;&gt;""),IFERROR(INDEX(МАТЕРИАЛЫ!$H$2:$H$9000,MATCH($N667,МАТЕРИАЛЫ!$L$2:$L$9000,0))*IF(INDEX(МАТЕРИАЛЫ!$I$2:$I$9000,MATCH($N667,МАТЕРИАЛЫ!$L$2:$L$9000,0))="USD",КурсUSD,IF(INDEX(МАТЕРИАЛЫ!$I$2:$I$9000,MATCH($N667,МАТЕРИАЛЫ!$L$2:$L$9000,0))="EUR",КурсEUR,IF(INDEX(МАТЕРИАЛЫ!$I$2:$I$9000,MATCH($N667,МАТЕРИАЛЫ!$L$2:$L$9000,0))="CNY",КурсCNY,1)))*(1+N($H667)/100),0),N($O667))*(1-MEDIAN(0,N(ДисконтТендер),1))))</f>
        <v>0</v>
      </c>
      <c r="U667" t="str">
        <f>IF($L667="да",MAX($U$1:$U666)+1,"")</f>
        <v/>
      </c>
      <c r="V667" t="str">
        <f t="shared" si="73"/>
        <v>Р9</v>
      </c>
      <c r="W667" t="str">
        <f t="shared" si="74"/>
        <v/>
      </c>
      <c r="X667" t="str">
        <f t="shared" si="75"/>
        <v/>
      </c>
      <c r="Y667" s="4" t="str">
        <f>IF($A667="","",IF(AND(LEFT($G667,3)="ДОК",$N667&lt;&gt;""),IFERROR(INDEX(Документация!$G$2:$G$57,MATCH($N667,Документация!$F$2:$F$57,0)),$D667),$D667&amp;IF(AND(LEFT($G667,3)&lt;&gt;"ДОК",$N667&lt;&gt;"")," — "&amp;IFERROR(INDEX(МАТЕРИАЛЫ!$C$2:$C$9000,MATCH($N667,МАТЕРИАЛЫ!$L$2:$L$9000,0)),""),"")))</f>
        <v>Установка розетки</v>
      </c>
      <c r="Z667" t="str">
        <f t="shared" si="76"/>
        <v>Р9 · Электротехнические работы</v>
      </c>
    </row>
    <row r="668" spans="1:26" x14ac:dyDescent="0.3">
      <c r="A668" t="s">
        <v>1412</v>
      </c>
      <c r="B668" t="s">
        <v>1255</v>
      </c>
      <c r="C668" t="s">
        <v>161</v>
      </c>
      <c r="D668" s="4" t="s">
        <v>1413</v>
      </c>
      <c r="E668" t="s">
        <v>114</v>
      </c>
      <c r="F668" s="5">
        <v>706.44</v>
      </c>
      <c r="G668" t="s">
        <v>1414</v>
      </c>
      <c r="H668">
        <v>5</v>
      </c>
      <c r="I668" t="s">
        <v>53</v>
      </c>
      <c r="L668" s="6"/>
      <c r="M668" s="6"/>
      <c r="N668" s="6"/>
      <c r="O668" s="5"/>
      <c r="P668" s="7" t="str">
        <f t="shared" si="70"/>
        <v/>
      </c>
      <c r="Q668" s="7" t="str">
        <f t="shared" si="71"/>
        <v/>
      </c>
      <c r="R668" s="7" t="str">
        <f t="shared" si="72"/>
        <v/>
      </c>
      <c r="S668" s="7">
        <f>IF($A668="","",IF(AND(LEFT($G668,3)="ДОК",$N668&lt;&gt;""),IFERROR(INDEX(Документация!$E$2:$E$57,MATCH($N668,Документация!$F$2:$F$57,0)),0),N($F668))*(1-MEDIAN(0,N(ДисконтТендер),1)))</f>
        <v>706.44</v>
      </c>
      <c r="T668" s="7">
        <f>IF($A668="","",IF(AND(LEFT($G668,3)="ДОК",$N668&lt;&gt;""),0,IF(AND(LEFT($G668,3)&lt;&gt;"ДОК",$N668&lt;&gt;""),IFERROR(INDEX(МАТЕРИАЛЫ!$H$2:$H$9000,MATCH($N668,МАТЕРИАЛЫ!$L$2:$L$9000,0))*IF(INDEX(МАТЕРИАЛЫ!$I$2:$I$9000,MATCH($N668,МАТЕРИАЛЫ!$L$2:$L$9000,0))="USD",КурсUSD,IF(INDEX(МАТЕРИАЛЫ!$I$2:$I$9000,MATCH($N668,МАТЕРИАЛЫ!$L$2:$L$9000,0))="EUR",КурсEUR,IF(INDEX(МАТЕРИАЛЫ!$I$2:$I$9000,MATCH($N668,МАТЕРИАЛЫ!$L$2:$L$9000,0))="CNY",КурсCNY,1)))*(1+N($H668)/100),0),N($O668))*(1-MEDIAN(0,N(ДисконтТендер),1))))</f>
        <v>0</v>
      </c>
      <c r="U668" t="str">
        <f>IF($L668="да",MAX($U$1:$U667)+1,"")</f>
        <v/>
      </c>
      <c r="V668" t="str">
        <f t="shared" si="73"/>
        <v>Р9</v>
      </c>
      <c r="W668" t="str">
        <f t="shared" si="74"/>
        <v/>
      </c>
      <c r="X668" t="str">
        <f t="shared" si="75"/>
        <v/>
      </c>
      <c r="Y668" s="4" t="str">
        <f>IF($A668="","",IF(AND(LEFT($G668,3)="ДОК",$N668&lt;&gt;""),IFERROR(INDEX(Документация!$G$2:$G$57,MATCH($N668,Документация!$F$2:$F$57,0)),$D668),$D668&amp;IF(AND(LEFT($G668,3)&lt;&gt;"ДОК",$N668&lt;&gt;"")," — "&amp;IFERROR(INDEX(МАТЕРИАЛЫ!$C$2:$C$9000,MATCH($N668,МАТЕРИАЛЫ!$L$2:$L$9000,0)),""),"")))</f>
        <v>Установка выключателя электроустановочного</v>
      </c>
      <c r="Z668" t="str">
        <f t="shared" si="76"/>
        <v>Р9 · Электротехнические работы</v>
      </c>
    </row>
    <row r="669" spans="1:26" x14ac:dyDescent="0.3">
      <c r="A669" t="s">
        <v>1415</v>
      </c>
      <c r="B669" t="s">
        <v>1255</v>
      </c>
      <c r="C669" t="s">
        <v>161</v>
      </c>
      <c r="D669" s="4" t="s">
        <v>1413</v>
      </c>
      <c r="E669" t="s">
        <v>114</v>
      </c>
      <c r="F669" s="5">
        <v>679.25</v>
      </c>
      <c r="G669" t="s">
        <v>1414</v>
      </c>
      <c r="H669">
        <v>5</v>
      </c>
      <c r="I669" t="s">
        <v>53</v>
      </c>
      <c r="L669" s="6"/>
      <c r="M669" s="6"/>
      <c r="N669" s="6"/>
      <c r="O669" s="5"/>
      <c r="P669" s="7" t="str">
        <f t="shared" si="70"/>
        <v/>
      </c>
      <c r="Q669" s="7" t="str">
        <f t="shared" si="71"/>
        <v/>
      </c>
      <c r="R669" s="7" t="str">
        <f t="shared" si="72"/>
        <v/>
      </c>
      <c r="S669" s="7">
        <f>IF($A669="","",IF(AND(LEFT($G669,3)="ДОК",$N669&lt;&gt;""),IFERROR(INDEX(Документация!$E$2:$E$57,MATCH($N669,Документация!$F$2:$F$57,0)),0),N($F669))*(1-MEDIAN(0,N(ДисконтТендер),1)))</f>
        <v>679.25</v>
      </c>
      <c r="T669" s="7">
        <f>IF($A669="","",IF(AND(LEFT($G669,3)="ДОК",$N669&lt;&gt;""),0,IF(AND(LEFT($G669,3)&lt;&gt;"ДОК",$N669&lt;&gt;""),IFERROR(INDEX(МАТЕРИАЛЫ!$H$2:$H$9000,MATCH($N669,МАТЕРИАЛЫ!$L$2:$L$9000,0))*IF(INDEX(МАТЕРИАЛЫ!$I$2:$I$9000,MATCH($N669,МАТЕРИАЛЫ!$L$2:$L$9000,0))="USD",КурсUSD,IF(INDEX(МАТЕРИАЛЫ!$I$2:$I$9000,MATCH($N669,МАТЕРИАЛЫ!$L$2:$L$9000,0))="EUR",КурсEUR,IF(INDEX(МАТЕРИАЛЫ!$I$2:$I$9000,MATCH($N669,МАТЕРИАЛЫ!$L$2:$L$9000,0))="CNY",КурсCNY,1)))*(1+N($H669)/100),0),N($O669))*(1-MEDIAN(0,N(ДисконтТендер),1))))</f>
        <v>0</v>
      </c>
      <c r="U669" t="str">
        <f>IF($L669="да",MAX($U$1:$U668)+1,"")</f>
        <v/>
      </c>
      <c r="V669" t="str">
        <f t="shared" si="73"/>
        <v>Р9</v>
      </c>
      <c r="W669" t="str">
        <f t="shared" si="74"/>
        <v/>
      </c>
      <c r="X669" t="str">
        <f t="shared" si="75"/>
        <v/>
      </c>
      <c r="Y669" s="4" t="str">
        <f>IF($A669="","",IF(AND(LEFT($G669,3)="ДОК",$N669&lt;&gt;""),IFERROR(INDEX(Документация!$G$2:$G$57,MATCH($N669,Документация!$F$2:$F$57,0)),$D669),$D669&amp;IF(AND(LEFT($G669,3)&lt;&gt;"ДОК",$N669&lt;&gt;"")," — "&amp;IFERROR(INDEX(МАТЕРИАЛЫ!$C$2:$C$9000,MATCH($N669,МАТЕРИАЛЫ!$L$2:$L$9000,0)),""),"")))</f>
        <v>Установка выключателя электроустановочного</v>
      </c>
      <c r="Z669" t="str">
        <f t="shared" si="76"/>
        <v>Р9 · Электротехнические работы</v>
      </c>
    </row>
    <row r="670" spans="1:26" ht="43.2" x14ac:dyDescent="0.3">
      <c r="A670" t="s">
        <v>1416</v>
      </c>
      <c r="B670" t="s">
        <v>1255</v>
      </c>
      <c r="C670" t="s">
        <v>161</v>
      </c>
      <c r="D670" s="4" t="s">
        <v>1417</v>
      </c>
      <c r="E670" t="s">
        <v>114</v>
      </c>
      <c r="F670" s="5">
        <v>847.38</v>
      </c>
      <c r="G670" t="s">
        <v>1381</v>
      </c>
      <c r="H670">
        <v>5</v>
      </c>
      <c r="I670" t="s">
        <v>53</v>
      </c>
      <c r="L670" s="6"/>
      <c r="M670" s="6"/>
      <c r="N670" s="6"/>
      <c r="O670" s="5"/>
      <c r="P670" s="7" t="str">
        <f t="shared" si="70"/>
        <v/>
      </c>
      <c r="Q670" s="7" t="str">
        <f t="shared" si="71"/>
        <v/>
      </c>
      <c r="R670" s="7" t="str">
        <f t="shared" si="72"/>
        <v/>
      </c>
      <c r="S670" s="7">
        <f>IF($A670="","",IF(AND(LEFT($G670,3)="ДОК",$N670&lt;&gt;""),IFERROR(INDEX(Документация!$E$2:$E$57,MATCH($N670,Документация!$F$2:$F$57,0)),0),N($F670))*(1-MEDIAN(0,N(ДисконтТендер),1)))</f>
        <v>847.38</v>
      </c>
      <c r="T670" s="7">
        <f>IF($A670="","",IF(AND(LEFT($G670,3)="ДОК",$N670&lt;&gt;""),0,IF(AND(LEFT($G670,3)&lt;&gt;"ДОК",$N670&lt;&gt;""),IFERROR(INDEX(МАТЕРИАЛЫ!$H$2:$H$9000,MATCH($N670,МАТЕРИАЛЫ!$L$2:$L$9000,0))*IF(INDEX(МАТЕРИАЛЫ!$I$2:$I$9000,MATCH($N670,МАТЕРИАЛЫ!$L$2:$L$9000,0))="USD",КурсUSD,IF(INDEX(МАТЕРИАЛЫ!$I$2:$I$9000,MATCH($N670,МАТЕРИАЛЫ!$L$2:$L$9000,0))="EUR",КурсEUR,IF(INDEX(МАТЕРИАЛЫ!$I$2:$I$9000,MATCH($N670,МАТЕРИАЛЫ!$L$2:$L$9000,0))="CNY",КурсCNY,1)))*(1+N($H670)/100),0),N($O670))*(1-MEDIAN(0,N(ДисконтТендер),1))))</f>
        <v>0</v>
      </c>
      <c r="U670" t="str">
        <f>IF($L670="да",MAX($U$1:$U669)+1,"")</f>
        <v/>
      </c>
      <c r="V670" t="str">
        <f t="shared" si="73"/>
        <v>Р9</v>
      </c>
      <c r="W670" t="str">
        <f t="shared" si="74"/>
        <v/>
      </c>
      <c r="X670" t="str">
        <f t="shared" si="75"/>
        <v/>
      </c>
      <c r="Y670" s="4" t="str">
        <f>IF($A670="","",IF(AND(LEFT($G670,3)="ДОК",$N670&lt;&gt;""),IFERROR(INDEX(Документация!$G$2:$G$57,MATCH($N670,Документация!$F$2:$F$57,0)),$D670),$D670&amp;IF(AND(LEFT($G670,3)&lt;&gt;"ДОК",$N670&lt;&gt;"")," — "&amp;IFERROR(INDEX(МАТЕРИАЛЫ!$C$2:$C$9000,MATCH($N670,МАТЕРИАЛЫ!$L$2:$L$9000,0)),""),"")))</f>
        <v>Установка точечных светодиодных светильников R63 12 Вт в мебельные конструкции (холодное свечение)</v>
      </c>
      <c r="Z670" t="str">
        <f t="shared" si="76"/>
        <v>Р9 · Электротехнические работы</v>
      </c>
    </row>
    <row r="671" spans="1:26" x14ac:dyDescent="0.3">
      <c r="A671" t="s">
        <v>1418</v>
      </c>
      <c r="B671" t="s">
        <v>1255</v>
      </c>
      <c r="C671" t="s">
        <v>161</v>
      </c>
      <c r="D671" s="4" t="s">
        <v>1419</v>
      </c>
      <c r="E671" t="s">
        <v>114</v>
      </c>
      <c r="F671" s="5">
        <v>140.59</v>
      </c>
      <c r="H671">
        <v>0</v>
      </c>
      <c r="I671" t="s">
        <v>53</v>
      </c>
      <c r="L671" s="6"/>
      <c r="M671" s="6"/>
      <c r="N671" s="6"/>
      <c r="O671" s="5"/>
      <c r="P671" s="7" t="str">
        <f t="shared" si="70"/>
        <v/>
      </c>
      <c r="Q671" s="7" t="str">
        <f t="shared" si="71"/>
        <v/>
      </c>
      <c r="R671" s="7" t="str">
        <f t="shared" si="72"/>
        <v/>
      </c>
      <c r="S671" s="7">
        <f>IF($A671="","",IF(AND(LEFT($G671,3)="ДОК",$N671&lt;&gt;""),IFERROR(INDEX(Документация!$E$2:$E$57,MATCH($N671,Документация!$F$2:$F$57,0)),0),N($F671))*(1-MEDIAN(0,N(ДисконтТендер),1)))</f>
        <v>140.59</v>
      </c>
      <c r="T671" s="7">
        <f>IF($A671="","",IF(AND(LEFT($G671,3)="ДОК",$N671&lt;&gt;""),0,IF(AND(LEFT($G671,3)&lt;&gt;"ДОК",$N671&lt;&gt;""),IFERROR(INDEX(МАТЕРИАЛЫ!$H$2:$H$9000,MATCH($N671,МАТЕРИАЛЫ!$L$2:$L$9000,0))*IF(INDEX(МАТЕРИАЛЫ!$I$2:$I$9000,MATCH($N671,МАТЕРИАЛЫ!$L$2:$L$9000,0))="USD",КурсUSD,IF(INDEX(МАТЕРИАЛЫ!$I$2:$I$9000,MATCH($N671,МАТЕРИАЛЫ!$L$2:$L$9000,0))="EUR",КурсEUR,IF(INDEX(МАТЕРИАЛЫ!$I$2:$I$9000,MATCH($N671,МАТЕРИАЛЫ!$L$2:$L$9000,0))="CNY",КурсCNY,1)))*(1+N($H671)/100),0),N($O671))*(1-MEDIAN(0,N(ДисконтТендер),1))))</f>
        <v>0</v>
      </c>
      <c r="U671" t="str">
        <f>IF($L671="да",MAX($U$1:$U670)+1,"")</f>
        <v/>
      </c>
      <c r="V671" t="str">
        <f t="shared" si="73"/>
        <v>Р9</v>
      </c>
      <c r="W671" t="str">
        <f t="shared" si="74"/>
        <v/>
      </c>
      <c r="X671" t="str">
        <f t="shared" si="75"/>
        <v/>
      </c>
      <c r="Y671" s="4" t="str">
        <f>IF($A671="","",IF(AND(LEFT($G671,3)="ДОК",$N671&lt;&gt;""),IFERROR(INDEX(Документация!$G$2:$G$57,MATCH($N671,Документация!$F$2:$F$57,0)),$D671),$D671&amp;IF(AND(LEFT($G671,3)&lt;&gt;"ДОК",$N671&lt;&gt;"")," — "&amp;IFERROR(INDEX(МАТЕРИАЛЫ!$C$2:$C$9000,MATCH($N671,МАТЕРИАЛЫ!$L$2:$L$9000,0)),""),"")))</f>
        <v>Лампа DULUXSTAR MICRO TWIST 23W/840</v>
      </c>
      <c r="Z671" t="str">
        <f t="shared" si="76"/>
        <v>Р9 · Электротехнические работы</v>
      </c>
    </row>
    <row r="672" spans="1:26" x14ac:dyDescent="0.3">
      <c r="A672" t="s">
        <v>1420</v>
      </c>
      <c r="B672" t="s">
        <v>1255</v>
      </c>
      <c r="C672" t="s">
        <v>161</v>
      </c>
      <c r="D672" s="4" t="s">
        <v>1421</v>
      </c>
      <c r="E672" t="s">
        <v>83</v>
      </c>
      <c r="F672" s="5">
        <v>22550.400000000001</v>
      </c>
      <c r="H672">
        <v>0</v>
      </c>
      <c r="I672" t="s">
        <v>53</v>
      </c>
      <c r="L672" s="6"/>
      <c r="M672" s="6"/>
      <c r="N672" s="6"/>
      <c r="O672" s="5"/>
      <c r="P672" s="7" t="str">
        <f t="shared" si="70"/>
        <v/>
      </c>
      <c r="Q672" s="7" t="str">
        <f t="shared" si="71"/>
        <v/>
      </c>
      <c r="R672" s="7" t="str">
        <f t="shared" si="72"/>
        <v/>
      </c>
      <c r="S672" s="7">
        <f>IF($A672="","",IF(AND(LEFT($G672,3)="ДОК",$N672&lt;&gt;""),IFERROR(INDEX(Документация!$E$2:$E$57,MATCH($N672,Документация!$F$2:$F$57,0)),0),N($F672))*(1-MEDIAN(0,N(ДисконтТендер),1)))</f>
        <v>22550.400000000001</v>
      </c>
      <c r="T672" s="7">
        <f>IF($A672="","",IF(AND(LEFT($G672,3)="ДОК",$N672&lt;&gt;""),0,IF(AND(LEFT($G672,3)&lt;&gt;"ДОК",$N672&lt;&gt;""),IFERROR(INDEX(МАТЕРИАЛЫ!$H$2:$H$9000,MATCH($N672,МАТЕРИАЛЫ!$L$2:$L$9000,0))*IF(INDEX(МАТЕРИАЛЫ!$I$2:$I$9000,MATCH($N672,МАТЕРИАЛЫ!$L$2:$L$9000,0))="USD",КурсUSD,IF(INDEX(МАТЕРИАЛЫ!$I$2:$I$9000,MATCH($N672,МАТЕРИАЛЫ!$L$2:$L$9000,0))="EUR",КурсEUR,IF(INDEX(МАТЕРИАЛЫ!$I$2:$I$9000,MATCH($N672,МАТЕРИАЛЫ!$L$2:$L$9000,0))="CNY",КурсCNY,1)))*(1+N($H672)/100),0),N($O672))*(1-MEDIAN(0,N(ДисконтТендер),1))))</f>
        <v>0</v>
      </c>
      <c r="U672" t="str">
        <f>IF($L672="да",MAX($U$1:$U671)+1,"")</f>
        <v/>
      </c>
      <c r="V672" t="str">
        <f t="shared" si="73"/>
        <v>Р9</v>
      </c>
      <c r="W672" t="str">
        <f t="shared" si="74"/>
        <v/>
      </c>
      <c r="X672" t="str">
        <f t="shared" si="75"/>
        <v/>
      </c>
      <c r="Y672" s="4" t="str">
        <f>IF($A672="","",IF(AND(LEFT($G672,3)="ДОК",$N672&lt;&gt;""),IFERROR(INDEX(Документация!$G$2:$G$57,MATCH($N672,Документация!$F$2:$F$57,0)),$D672),$D672&amp;IF(AND(LEFT($G672,3)&lt;&gt;"ДОК",$N672&lt;&gt;"")," — "&amp;IFERROR(INDEX(МАТЕРИАЛЫ!$C$2:$C$9000,MATCH($N672,МАТЕРИАЛЫ!$L$2:$L$9000,0)),""),"")))</f>
        <v>Пуско-наладочные работы</v>
      </c>
      <c r="Z672" t="str">
        <f t="shared" si="76"/>
        <v>Р9 · Электротехнические работы</v>
      </c>
    </row>
    <row r="673" spans="1:26" ht="57.6" x14ac:dyDescent="0.3">
      <c r="A673" t="s">
        <v>1422</v>
      </c>
      <c r="B673" t="s">
        <v>1255</v>
      </c>
      <c r="C673" t="s">
        <v>161</v>
      </c>
      <c r="D673" s="4" t="s">
        <v>1423</v>
      </c>
      <c r="E673" t="s">
        <v>52</v>
      </c>
      <c r="F673" s="5">
        <v>0</v>
      </c>
      <c r="G673" t="s">
        <v>1424</v>
      </c>
      <c r="H673">
        <v>0</v>
      </c>
      <c r="I673" t="s">
        <v>53</v>
      </c>
      <c r="L673" s="6"/>
      <c r="M673" s="6"/>
      <c r="N673" s="6"/>
      <c r="O673" s="5"/>
      <c r="P673" s="7" t="str">
        <f t="shared" si="70"/>
        <v/>
      </c>
      <c r="Q673" s="7" t="str">
        <f t="shared" si="71"/>
        <v/>
      </c>
      <c r="R673" s="7" t="str">
        <f t="shared" si="72"/>
        <v/>
      </c>
      <c r="S673" s="7">
        <f>IF($A673="","",IF(AND(LEFT($G673,3)="ДОК",$N673&lt;&gt;""),IFERROR(INDEX(Документация!$E$2:$E$57,MATCH($N673,Документация!$F$2:$F$57,0)),0),N($F673))*(1-MEDIAN(0,N(ДисконтТендер),1)))</f>
        <v>0</v>
      </c>
      <c r="T673" s="7">
        <f>IF($A673="","",IF(AND(LEFT($G673,3)="ДОК",$N673&lt;&gt;""),0,IF(AND(LEFT($G673,3)&lt;&gt;"ДОК",$N673&lt;&gt;""),IFERROR(INDEX(МАТЕРИАЛЫ!$H$2:$H$9000,MATCH($N673,МАТЕРИАЛЫ!$L$2:$L$9000,0))*IF(INDEX(МАТЕРИАЛЫ!$I$2:$I$9000,MATCH($N673,МАТЕРИАЛЫ!$L$2:$L$9000,0))="USD",КурсUSD,IF(INDEX(МАТЕРИАЛЫ!$I$2:$I$9000,MATCH($N673,МАТЕРИАЛЫ!$L$2:$L$9000,0))="EUR",КурсEUR,IF(INDEX(МАТЕРИАЛЫ!$I$2:$I$9000,MATCH($N673,МАТЕРИАЛЫ!$L$2:$L$9000,0))="CNY",КурсCNY,1)))*(1+N($H673)/100),0),N($O673))*(1-MEDIAN(0,N(ДисконтТендер),1))))</f>
        <v>0</v>
      </c>
      <c r="U673" t="str">
        <f>IF($L673="да",MAX($U$1:$U672)+1,"")</f>
        <v/>
      </c>
      <c r="V673" t="str">
        <f t="shared" si="73"/>
        <v>Р9</v>
      </c>
      <c r="W673" t="str">
        <f t="shared" si="74"/>
        <v/>
      </c>
      <c r="X673" t="str">
        <f t="shared" si="75"/>
        <v/>
      </c>
      <c r="Y673" s="4" t="str">
        <f>IF($A673="","",IF(AND(LEFT($G673,3)="ДОК",$N673&lt;&gt;""),IFERROR(INDEX(Документация!$G$2:$G$57,MATCH($N673,Документация!$F$2:$F$57,0)),$D673),$D673&amp;IF(AND(LEFT($G673,3)&lt;&gt;"ДОК",$N673&lt;&gt;"")," — "&amp;IFERROR(INDEX(МАТЕРИАЛЫ!$C$2:$C$9000,MATCH($N673,МАТЕРИАЛЫ!$L$2:$L$9000,0)),""),"")))</f>
        <v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v>
      </c>
      <c r="Z673" t="str">
        <f t="shared" si="76"/>
        <v>Р9 · Электротехнические работы</v>
      </c>
    </row>
    <row r="674" spans="1:26" ht="28.8" x14ac:dyDescent="0.3">
      <c r="A674" t="s">
        <v>1425</v>
      </c>
      <c r="B674" t="s">
        <v>1255</v>
      </c>
      <c r="C674" t="s">
        <v>161</v>
      </c>
      <c r="D674" s="4" t="s">
        <v>1426</v>
      </c>
      <c r="E674" t="s">
        <v>114</v>
      </c>
      <c r="F674" s="5">
        <v>4950</v>
      </c>
      <c r="H674">
        <v>0</v>
      </c>
      <c r="I674" t="s">
        <v>53</v>
      </c>
      <c r="L674" s="6"/>
      <c r="M674" s="6"/>
      <c r="N674" s="6"/>
      <c r="O674" s="5"/>
      <c r="P674" s="7" t="str">
        <f t="shared" si="70"/>
        <v/>
      </c>
      <c r="Q674" s="7" t="str">
        <f t="shared" si="71"/>
        <v/>
      </c>
      <c r="R674" s="7" t="str">
        <f t="shared" si="72"/>
        <v/>
      </c>
      <c r="S674" s="7">
        <f>IF($A674="","",IF(AND(LEFT($G674,3)="ДОК",$N674&lt;&gt;""),IFERROR(INDEX(Документация!$E$2:$E$57,MATCH($N674,Документация!$F$2:$F$57,0)),0),N($F674))*(1-MEDIAN(0,N(ДисконтТендер),1)))</f>
        <v>4950</v>
      </c>
      <c r="T674" s="7">
        <f>IF($A674="","",IF(AND(LEFT($G674,3)="ДОК",$N674&lt;&gt;""),0,IF(AND(LEFT($G674,3)&lt;&gt;"ДОК",$N674&lt;&gt;""),IFERROR(INDEX(МАТЕРИАЛЫ!$H$2:$H$9000,MATCH($N674,МАТЕРИАЛЫ!$L$2:$L$9000,0))*IF(INDEX(МАТЕРИАЛЫ!$I$2:$I$9000,MATCH($N674,МАТЕРИАЛЫ!$L$2:$L$9000,0))="USD",КурсUSD,IF(INDEX(МАТЕРИАЛЫ!$I$2:$I$9000,MATCH($N674,МАТЕРИАЛЫ!$L$2:$L$9000,0))="EUR",КурсEUR,IF(INDEX(МАТЕРИАЛЫ!$I$2:$I$9000,MATCH($N674,МАТЕРИАЛЫ!$L$2:$L$9000,0))="CNY",КурсCNY,1)))*(1+N($H674)/100),0),N($O674))*(1-MEDIAN(0,N(ДисконтТендер),1))))</f>
        <v>0</v>
      </c>
      <c r="U674" t="str">
        <f>IF($L674="да",MAX($U$1:$U673)+1,"")</f>
        <v/>
      </c>
      <c r="V674" t="str">
        <f t="shared" si="73"/>
        <v>Р9</v>
      </c>
      <c r="W674" t="str">
        <f t="shared" si="74"/>
        <v/>
      </c>
      <c r="X674" t="str">
        <f t="shared" si="75"/>
        <v/>
      </c>
      <c r="Y674" s="4" t="str">
        <f>IF($A674="","",IF(AND(LEFT($G674,3)="ДОК",$N674&lt;&gt;""),IFERROR(INDEX(Документация!$G$2:$G$57,MATCH($N674,Документация!$F$2:$F$57,0)),$D674),$D674&amp;IF(AND(LEFT($G674,3)&lt;&gt;"ДОК",$N674&lt;&gt;"")," — "&amp;IFERROR(INDEX(МАТЕРИАЛЫ!$C$2:$C$9000,MATCH($N674,МАТЕРИАЛЫ!$L$2:$L$9000,0)),""),"")))</f>
        <v>Установка коробки напольной 18 модульн Mosaik с нерж крышкой (суппорта в комплекте )</v>
      </c>
      <c r="Z674" t="str">
        <f t="shared" si="76"/>
        <v>Р9 · Электротехнические работы</v>
      </c>
    </row>
    <row r="675" spans="1:26" x14ac:dyDescent="0.3">
      <c r="A675" t="s">
        <v>1427</v>
      </c>
      <c r="B675" t="s">
        <v>1255</v>
      </c>
      <c r="C675" t="s">
        <v>161</v>
      </c>
      <c r="D675" s="4" t="s">
        <v>1428</v>
      </c>
      <c r="E675" t="s">
        <v>114</v>
      </c>
      <c r="F675" s="5">
        <v>1524.19</v>
      </c>
      <c r="H675">
        <v>0</v>
      </c>
      <c r="I675" t="s">
        <v>53</v>
      </c>
      <c r="L675" s="6"/>
      <c r="M675" s="6"/>
      <c r="N675" s="6"/>
      <c r="O675" s="5"/>
      <c r="P675" s="7" t="str">
        <f t="shared" si="70"/>
        <v/>
      </c>
      <c r="Q675" s="7" t="str">
        <f t="shared" si="71"/>
        <v/>
      </c>
      <c r="R675" s="7" t="str">
        <f t="shared" si="72"/>
        <v/>
      </c>
      <c r="S675" s="7">
        <f>IF($A675="","",IF(AND(LEFT($G675,3)="ДОК",$N675&lt;&gt;""),IFERROR(INDEX(Документация!$E$2:$E$57,MATCH($N675,Документация!$F$2:$F$57,0)),0),N($F675))*(1-MEDIAN(0,N(ДисконтТендер),1)))</f>
        <v>1524.19</v>
      </c>
      <c r="T675" s="7">
        <f>IF($A675="","",IF(AND(LEFT($G675,3)="ДОК",$N675&lt;&gt;""),0,IF(AND(LEFT($G675,3)&lt;&gt;"ДОК",$N675&lt;&gt;""),IFERROR(INDEX(МАТЕРИАЛЫ!$H$2:$H$9000,MATCH($N675,МАТЕРИАЛЫ!$L$2:$L$9000,0))*IF(INDEX(МАТЕРИАЛЫ!$I$2:$I$9000,MATCH($N675,МАТЕРИАЛЫ!$L$2:$L$9000,0))="USD",КурсUSD,IF(INDEX(МАТЕРИАЛЫ!$I$2:$I$9000,MATCH($N675,МАТЕРИАЛЫ!$L$2:$L$9000,0))="EUR",КурсEUR,IF(INDEX(МАТЕРИАЛЫ!$I$2:$I$9000,MATCH($N675,МАТЕРИАЛЫ!$L$2:$L$9000,0))="CNY",КурсCNY,1)))*(1+N($H675)/100),0),N($O675))*(1-MEDIAN(0,N(ДисконтТендер),1))))</f>
        <v>0</v>
      </c>
      <c r="U675" t="str">
        <f>IF($L675="да",MAX($U$1:$U674)+1,"")</f>
        <v/>
      </c>
      <c r="V675" t="str">
        <f t="shared" si="73"/>
        <v>Р9</v>
      </c>
      <c r="W675" t="str">
        <f t="shared" si="74"/>
        <v/>
      </c>
      <c r="X675" t="str">
        <f t="shared" si="75"/>
        <v/>
      </c>
      <c r="Y675" s="4" t="str">
        <f>IF($A675="","",IF(AND(LEFT($G675,3)="ДОК",$N675&lt;&gt;""),IFERROR(INDEX(Документация!$G$2:$G$57,MATCH($N675,Документация!$F$2:$F$57,0)),$D675),$D675&amp;IF(AND(LEFT($G675,3)&lt;&gt;"ДОК",$N675&lt;&gt;"")," — "&amp;IFERROR(INDEX(МАТЕРИАЛЫ!$C$2:$C$9000,MATCH($N675,МАТЕРИАЛЫ!$L$2:$L$9000,0)),""),"")))</f>
        <v>Блок аварийного питания INTERLUX ES-1 ( 6-58Ц)</v>
      </c>
      <c r="Z675" t="str">
        <f t="shared" si="76"/>
        <v>Р9 · Электротехнические работы</v>
      </c>
    </row>
    <row r="676" spans="1:26" ht="28.8" x14ac:dyDescent="0.3">
      <c r="A676" t="s">
        <v>1429</v>
      </c>
      <c r="B676" t="s">
        <v>1255</v>
      </c>
      <c r="C676" t="s">
        <v>161</v>
      </c>
      <c r="D676" s="4" t="s">
        <v>1430</v>
      </c>
      <c r="E676" t="s">
        <v>114</v>
      </c>
      <c r="F676" s="5">
        <v>2641.32</v>
      </c>
      <c r="H676">
        <v>0</v>
      </c>
      <c r="I676" t="s">
        <v>53</v>
      </c>
      <c r="L676" s="6"/>
      <c r="M676" s="6"/>
      <c r="N676" s="6"/>
      <c r="O676" s="5"/>
      <c r="P676" s="7" t="str">
        <f t="shared" si="70"/>
        <v/>
      </c>
      <c r="Q676" s="7" t="str">
        <f t="shared" si="71"/>
        <v/>
      </c>
      <c r="R676" s="7" t="str">
        <f t="shared" si="72"/>
        <v/>
      </c>
      <c r="S676" s="7">
        <f>IF($A676="","",IF(AND(LEFT($G676,3)="ДОК",$N676&lt;&gt;""),IFERROR(INDEX(Документация!$E$2:$E$57,MATCH($N676,Документация!$F$2:$F$57,0)),0),N($F676))*(1-MEDIAN(0,N(ДисконтТендер),1)))</f>
        <v>2641.32</v>
      </c>
      <c r="T676" s="7">
        <f>IF($A676="","",IF(AND(LEFT($G676,3)="ДОК",$N676&lt;&gt;""),0,IF(AND(LEFT($G676,3)&lt;&gt;"ДОК",$N676&lt;&gt;""),IFERROR(INDEX(МАТЕРИАЛЫ!$H$2:$H$9000,MATCH($N676,МАТЕРИАЛЫ!$L$2:$L$9000,0))*IF(INDEX(МАТЕРИАЛЫ!$I$2:$I$9000,MATCH($N676,МАТЕРИАЛЫ!$L$2:$L$9000,0))="USD",КурсUSD,IF(INDEX(МАТЕРИАЛЫ!$I$2:$I$9000,MATCH($N676,МАТЕРИАЛЫ!$L$2:$L$9000,0))="EUR",КурсEUR,IF(INDEX(МАТЕРИАЛЫ!$I$2:$I$9000,MATCH($N676,МАТЕРИАЛЫ!$L$2:$L$9000,0))="CNY",КурсCNY,1)))*(1+N($H676)/100),0),N($O676))*(1-MEDIAN(0,N(ДисконтТендер),1))))</f>
        <v>0</v>
      </c>
      <c r="U676" t="str">
        <f>IF($L676="да",MAX($U$1:$U675)+1,"")</f>
        <v/>
      </c>
      <c r="V676" t="str">
        <f t="shared" si="73"/>
        <v>Р9</v>
      </c>
      <c r="W676" t="str">
        <f t="shared" si="74"/>
        <v/>
      </c>
      <c r="X676" t="str">
        <f t="shared" si="75"/>
        <v/>
      </c>
      <c r="Y676" s="4" t="str">
        <f>IF($A676="","",IF(AND(LEFT($G676,3)="ДОК",$N676&lt;&gt;""),IFERROR(INDEX(Документация!$G$2:$G$57,MATCH($N676,Документация!$F$2:$F$57,0)),$D676),$D676&amp;IF(AND(LEFT($G676,3)&lt;&gt;"ДОК",$N676&lt;&gt;"")," — "&amp;IFERROR(INDEX(МАТЕРИАЛЫ!$C$2:$C$9000,MATCH($N676,МАТЕРИАЛЫ!$L$2:$L$9000,0)),""),"")))</f>
        <v>Встраиваемый блок розеток EVOLINE FlipTop Medium</v>
      </c>
      <c r="Z676" t="str">
        <f t="shared" si="76"/>
        <v>Р9 · Электротехнические работы</v>
      </c>
    </row>
    <row r="677" spans="1:26" ht="28.8" x14ac:dyDescent="0.3">
      <c r="A677" t="s">
        <v>1431</v>
      </c>
      <c r="B677" t="s">
        <v>1255</v>
      </c>
      <c r="C677" t="s">
        <v>161</v>
      </c>
      <c r="D677" s="4" t="s">
        <v>1432</v>
      </c>
      <c r="E677" t="s">
        <v>153</v>
      </c>
      <c r="F677" s="5">
        <v>621.17999999999995</v>
      </c>
      <c r="H677">
        <v>0</v>
      </c>
      <c r="I677" t="s">
        <v>53</v>
      </c>
      <c r="L677" s="6"/>
      <c r="M677" s="6"/>
      <c r="N677" s="6"/>
      <c r="O677" s="5"/>
      <c r="P677" s="7" t="str">
        <f t="shared" si="70"/>
        <v/>
      </c>
      <c r="Q677" s="7" t="str">
        <f t="shared" si="71"/>
        <v/>
      </c>
      <c r="R677" s="7" t="str">
        <f t="shared" si="72"/>
        <v/>
      </c>
      <c r="S677" s="7">
        <f>IF($A677="","",IF(AND(LEFT($G677,3)="ДОК",$N677&lt;&gt;""),IFERROR(INDEX(Документация!$E$2:$E$57,MATCH($N677,Документация!$F$2:$F$57,0)),0),N($F677))*(1-MEDIAN(0,N(ДисконтТендер),1)))</f>
        <v>621.17999999999995</v>
      </c>
      <c r="T677" s="7">
        <f>IF($A677="","",IF(AND(LEFT($G677,3)="ДОК",$N677&lt;&gt;""),0,IF(AND(LEFT($G677,3)&lt;&gt;"ДОК",$N677&lt;&gt;""),IFERROR(INDEX(МАТЕРИАЛЫ!$H$2:$H$9000,MATCH($N677,МАТЕРИАЛЫ!$L$2:$L$9000,0))*IF(INDEX(МАТЕРИАЛЫ!$I$2:$I$9000,MATCH($N677,МАТЕРИАЛЫ!$L$2:$L$9000,0))="USD",КурсUSD,IF(INDEX(МАТЕРИАЛЫ!$I$2:$I$9000,MATCH($N677,МАТЕРИАЛЫ!$L$2:$L$9000,0))="EUR",КурсEUR,IF(INDEX(МАТЕРИАЛЫ!$I$2:$I$9000,MATCH($N677,МАТЕРИАЛЫ!$L$2:$L$9000,0))="CNY",КурсCNY,1)))*(1+N($H677)/100),0),N($O677))*(1-MEDIAN(0,N(ДисконтТендер),1))))</f>
        <v>0</v>
      </c>
      <c r="U677" t="str">
        <f>IF($L677="да",MAX($U$1:$U676)+1,"")</f>
        <v/>
      </c>
      <c r="V677" t="str">
        <f t="shared" si="73"/>
        <v>Р9</v>
      </c>
      <c r="W677" t="str">
        <f t="shared" si="74"/>
        <v/>
      </c>
      <c r="X677" t="str">
        <f t="shared" si="75"/>
        <v/>
      </c>
      <c r="Y677" s="4" t="str">
        <f>IF($A677="","",IF(AND(LEFT($G677,3)="ДОК",$N677&lt;&gt;""),IFERROR(INDEX(Документация!$G$2:$G$57,MATCH($N677,Документация!$F$2:$F$57,0)),$D677),$D677&amp;IF(AND(LEFT($G677,3)&lt;&gt;"ДОК",$N677&lt;&gt;"")," — "&amp;IFERROR(INDEX(МАТЕРИАЛЫ!$C$2:$C$9000,MATCH($N677,МАТЕРИАЛЫ!$L$2:$L$9000,0)),""),"")))</f>
        <v>Светодиодная лента, IP65 Источник света: LED,14Вт/м, 4200К (основной свет в переговорных)</v>
      </c>
      <c r="Z677" t="str">
        <f t="shared" si="76"/>
        <v>Р9 · Электротехнические работы</v>
      </c>
    </row>
    <row r="678" spans="1:26" ht="28.8" x14ac:dyDescent="0.3">
      <c r="A678" t="s">
        <v>1433</v>
      </c>
      <c r="B678" t="s">
        <v>1255</v>
      </c>
      <c r="C678" t="s">
        <v>161</v>
      </c>
      <c r="D678" s="4" t="s">
        <v>1434</v>
      </c>
      <c r="E678" t="s">
        <v>153</v>
      </c>
      <c r="F678" s="5">
        <v>219.24</v>
      </c>
      <c r="H678">
        <v>0</v>
      </c>
      <c r="I678" t="s">
        <v>53</v>
      </c>
      <c r="L678" s="6"/>
      <c r="M678" s="6"/>
      <c r="N678" s="6"/>
      <c r="O678" s="5"/>
      <c r="P678" s="7" t="str">
        <f t="shared" si="70"/>
        <v/>
      </c>
      <c r="Q678" s="7" t="str">
        <f t="shared" si="71"/>
        <v/>
      </c>
      <c r="R678" s="7" t="str">
        <f t="shared" si="72"/>
        <v/>
      </c>
      <c r="S678" s="7">
        <f>IF($A678="","",IF(AND(LEFT($G678,3)="ДОК",$N678&lt;&gt;""),IFERROR(INDEX(Документация!$E$2:$E$57,MATCH($N678,Документация!$F$2:$F$57,0)),0),N($F678))*(1-MEDIAN(0,N(ДисконтТендер),1)))</f>
        <v>219.24</v>
      </c>
      <c r="T678" s="7">
        <f>IF($A678="","",IF(AND(LEFT($G678,3)="ДОК",$N678&lt;&gt;""),0,IF(AND(LEFT($G678,3)&lt;&gt;"ДОК",$N678&lt;&gt;""),IFERROR(INDEX(МАТЕРИАЛЫ!$H$2:$H$9000,MATCH($N678,МАТЕРИАЛЫ!$L$2:$L$9000,0))*IF(INDEX(МАТЕРИАЛЫ!$I$2:$I$9000,MATCH($N678,МАТЕРИАЛЫ!$L$2:$L$9000,0))="USD",КурсUSD,IF(INDEX(МАТЕРИАЛЫ!$I$2:$I$9000,MATCH($N678,МАТЕРИАЛЫ!$L$2:$L$9000,0))="EUR",КурсEUR,IF(INDEX(МАТЕРИАЛЫ!$I$2:$I$9000,MATCH($N678,МАТЕРИАЛЫ!$L$2:$L$9000,0))="CNY",КурсCNY,1)))*(1+N($H678)/100),0),N($O678))*(1-MEDIAN(0,N(ДисконтТендер),1))))</f>
        <v>0</v>
      </c>
      <c r="U678" t="str">
        <f>IF($L678="да",MAX($U$1:$U677)+1,"")</f>
        <v/>
      </c>
      <c r="V678" t="str">
        <f t="shared" si="73"/>
        <v>Р9</v>
      </c>
      <c r="W678" t="str">
        <f t="shared" si="74"/>
        <v/>
      </c>
      <c r="X678" t="str">
        <f t="shared" si="75"/>
        <v/>
      </c>
      <c r="Y678" s="4" t="str">
        <f>IF($A678="","",IF(AND(LEFT($G678,3)="ДОК",$N678&lt;&gt;""),IFERROR(INDEX(Документация!$G$2:$G$57,MATCH($N678,Документация!$F$2:$F$57,0)),$D678),$D678&amp;IF(AND(LEFT($G678,3)&lt;&gt;"ДОК",$N678&lt;&gt;"")," — "&amp;IFERROR(INDEX(МАТЕРИАЛЫ!$C$2:$C$9000,MATCH($N678,МАТЕРИАЛЫ!$L$2:$L$9000,0)),""),"")))</f>
        <v>Алюминиевый профиль встраевыемый в гипсокартон для светодиодной ленты</v>
      </c>
      <c r="Z678" t="str">
        <f t="shared" si="76"/>
        <v>Р9 · Электротехнические работы</v>
      </c>
    </row>
    <row r="679" spans="1:26" x14ac:dyDescent="0.3">
      <c r="A679" t="s">
        <v>1435</v>
      </c>
      <c r="B679" t="s">
        <v>1255</v>
      </c>
      <c r="C679" t="s">
        <v>161</v>
      </c>
      <c r="D679" s="4" t="s">
        <v>1436</v>
      </c>
      <c r="E679" t="s">
        <v>114</v>
      </c>
      <c r="F679" s="5">
        <v>291.27999999999997</v>
      </c>
      <c r="H679">
        <v>0</v>
      </c>
      <c r="I679" t="s">
        <v>53</v>
      </c>
      <c r="L679" s="6"/>
      <c r="M679" s="6"/>
      <c r="N679" s="6"/>
      <c r="O679" s="5"/>
      <c r="P679" s="7" t="str">
        <f t="shared" si="70"/>
        <v/>
      </c>
      <c r="Q679" s="7" t="str">
        <f t="shared" si="71"/>
        <v/>
      </c>
      <c r="R679" s="7" t="str">
        <f t="shared" si="72"/>
        <v/>
      </c>
      <c r="S679" s="7">
        <f>IF($A679="","",IF(AND(LEFT($G679,3)="ДОК",$N679&lt;&gt;""),IFERROR(INDEX(Документация!$E$2:$E$57,MATCH($N679,Документация!$F$2:$F$57,0)),0),N($F679))*(1-MEDIAN(0,N(ДисконтТендер),1)))</f>
        <v>291.27999999999997</v>
      </c>
      <c r="T679" s="7">
        <f>IF($A679="","",IF(AND(LEFT($G679,3)="ДОК",$N679&lt;&gt;""),0,IF(AND(LEFT($G679,3)&lt;&gt;"ДОК",$N679&lt;&gt;""),IFERROR(INDEX(МАТЕРИАЛЫ!$H$2:$H$9000,MATCH($N679,МАТЕРИАЛЫ!$L$2:$L$9000,0))*IF(INDEX(МАТЕРИАЛЫ!$I$2:$I$9000,MATCH($N679,МАТЕРИАЛЫ!$L$2:$L$9000,0))="USD",КурсUSD,IF(INDEX(МАТЕРИАЛЫ!$I$2:$I$9000,MATCH($N679,МАТЕРИАЛЫ!$L$2:$L$9000,0))="EUR",КурсEUR,IF(INDEX(МАТЕРИАЛЫ!$I$2:$I$9000,MATCH($N679,МАТЕРИАЛЫ!$L$2:$L$9000,0))="CNY",КурсCNY,1)))*(1+N($H679)/100),0),N($O679))*(1-MEDIAN(0,N(ДисконтТендер),1))))</f>
        <v>0</v>
      </c>
      <c r="U679" t="str">
        <f>IF($L679="да",MAX($U$1:$U678)+1,"")</f>
        <v/>
      </c>
      <c r="V679" t="str">
        <f t="shared" si="73"/>
        <v>Р9</v>
      </c>
      <c r="W679" t="str">
        <f t="shared" si="74"/>
        <v/>
      </c>
      <c r="X679" t="str">
        <f t="shared" si="75"/>
        <v/>
      </c>
      <c r="Y679" s="4" t="str">
        <f>IF($A679="","",IF(AND(LEFT($G679,3)="ДОК",$N679&lt;&gt;""),IFERROR(INDEX(Документация!$G$2:$G$57,MATCH($N679,Документация!$F$2:$F$57,0)),$D679),$D679&amp;IF(AND(LEFT($G679,3)&lt;&gt;"ДОК",$N679&lt;&gt;"")," — "&amp;IFERROR(INDEX(МАТЕРИАЛЫ!$C$2:$C$9000,MATCH($N679,МАТЕРИАЛЫ!$L$2:$L$9000,0)),""),"")))</f>
        <v>Распред коробка legrand</v>
      </c>
      <c r="Z679" t="str">
        <f t="shared" si="76"/>
        <v>Р9 · Электротехнические работы</v>
      </c>
    </row>
    <row r="680" spans="1:26" ht="28.8" x14ac:dyDescent="0.3">
      <c r="A680" t="s">
        <v>1437</v>
      </c>
      <c r="B680" t="s">
        <v>1255</v>
      </c>
      <c r="C680" t="s">
        <v>161</v>
      </c>
      <c r="D680" s="4" t="s">
        <v>1438</v>
      </c>
      <c r="E680" t="s">
        <v>114</v>
      </c>
      <c r="F680" s="5">
        <v>1983.6</v>
      </c>
      <c r="G680" t="s">
        <v>1381</v>
      </c>
      <c r="H680">
        <v>5</v>
      </c>
      <c r="I680" t="s">
        <v>53</v>
      </c>
      <c r="L680" s="6"/>
      <c r="M680" s="6"/>
      <c r="N680" s="6"/>
      <c r="O680" s="5"/>
      <c r="P680" s="7" t="str">
        <f t="shared" si="70"/>
        <v/>
      </c>
      <c r="Q680" s="7" t="str">
        <f t="shared" si="71"/>
        <v/>
      </c>
      <c r="R680" s="7" t="str">
        <f t="shared" si="72"/>
        <v/>
      </c>
      <c r="S680" s="7">
        <f>IF($A680="","",IF(AND(LEFT($G680,3)="ДОК",$N680&lt;&gt;""),IFERROR(INDEX(Документация!$E$2:$E$57,MATCH($N680,Документация!$F$2:$F$57,0)),0),N($F680))*(1-MEDIAN(0,N(ДисконтТендер),1)))</f>
        <v>1983.6</v>
      </c>
      <c r="T680" s="7">
        <f>IF($A680="","",IF(AND(LEFT($G680,3)="ДОК",$N680&lt;&gt;""),0,IF(AND(LEFT($G680,3)&lt;&gt;"ДОК",$N680&lt;&gt;""),IFERROR(INDEX(МАТЕРИАЛЫ!$H$2:$H$9000,MATCH($N680,МАТЕРИАЛЫ!$L$2:$L$9000,0))*IF(INDEX(МАТЕРИАЛЫ!$I$2:$I$9000,MATCH($N680,МАТЕРИАЛЫ!$L$2:$L$9000,0))="USD",КурсUSD,IF(INDEX(МАТЕРИАЛЫ!$I$2:$I$9000,MATCH($N680,МАТЕРИАЛЫ!$L$2:$L$9000,0))="EUR",КурсEUR,IF(INDEX(МАТЕРИАЛЫ!$I$2:$I$9000,MATCH($N680,МАТЕРИАЛЫ!$L$2:$L$9000,0))="CNY",КурсCNY,1)))*(1+N($H680)/100),0),N($O680))*(1-MEDIAN(0,N(ДисконтТендер),1))))</f>
        <v>0</v>
      </c>
      <c r="U680" t="str">
        <f>IF($L680="да",MAX($U$1:$U679)+1,"")</f>
        <v/>
      </c>
      <c r="V680" t="str">
        <f t="shared" si="73"/>
        <v>Р9</v>
      </c>
      <c r="W680" t="str">
        <f t="shared" si="74"/>
        <v/>
      </c>
      <c r="X680" t="str">
        <f t="shared" si="75"/>
        <v/>
      </c>
      <c r="Y680" s="4" t="str">
        <f>IF($A680="","",IF(AND(LEFT($G680,3)="ДОК",$N680&lt;&gt;""),IFERROR(INDEX(Документация!$G$2:$G$57,MATCH($N680,Документация!$F$2:$F$57,0)),$D680),$D680&amp;IF(AND(LEFT($G680,3)&lt;&gt;"ДОК",$N680&lt;&gt;"")," — "&amp;IFERROR(INDEX(МАТЕРИАЛЫ!$C$2:$C$9000,MATCH($N680,МАТЕРИАЛЫ!$L$2:$L$9000,0)),""),"")))</f>
        <v>Установка люстры ARSTID, 3-х рожковая с лампами э/сберег.</v>
      </c>
      <c r="Z680" t="str">
        <f t="shared" si="76"/>
        <v>Р9 · Электротехнические работы</v>
      </c>
    </row>
    <row r="681" spans="1:26" x14ac:dyDescent="0.3">
      <c r="A681" t="s">
        <v>1439</v>
      </c>
      <c r="B681" t="s">
        <v>1255</v>
      </c>
      <c r="C681" t="s">
        <v>161</v>
      </c>
      <c r="D681" s="4" t="s">
        <v>1440</v>
      </c>
      <c r="E681" t="s">
        <v>114</v>
      </c>
      <c r="F681" s="5">
        <v>0</v>
      </c>
      <c r="H681">
        <v>0</v>
      </c>
      <c r="I681" t="s">
        <v>53</v>
      </c>
      <c r="L681" s="6"/>
      <c r="M681" s="6"/>
      <c r="N681" s="6"/>
      <c r="O681" s="5"/>
      <c r="P681" s="7" t="str">
        <f t="shared" si="70"/>
        <v/>
      </c>
      <c r="Q681" s="7" t="str">
        <f t="shared" si="71"/>
        <v/>
      </c>
      <c r="R681" s="7" t="str">
        <f t="shared" si="72"/>
        <v/>
      </c>
      <c r="S681" s="7">
        <f>IF($A681="","",IF(AND(LEFT($G681,3)="ДОК",$N681&lt;&gt;""),IFERROR(INDEX(Документация!$E$2:$E$57,MATCH($N681,Документация!$F$2:$F$57,0)),0),N($F681))*(1-MEDIAN(0,N(ДисконтТендер),1)))</f>
        <v>0</v>
      </c>
      <c r="T681" s="7">
        <f>IF($A681="","",IF(AND(LEFT($G681,3)="ДОК",$N681&lt;&gt;""),0,IF(AND(LEFT($G681,3)&lt;&gt;"ДОК",$N681&lt;&gt;""),IFERROR(INDEX(МАТЕРИАЛЫ!$H$2:$H$9000,MATCH($N681,МАТЕРИАЛЫ!$L$2:$L$9000,0))*IF(INDEX(МАТЕРИАЛЫ!$I$2:$I$9000,MATCH($N681,МАТЕРИАЛЫ!$L$2:$L$9000,0))="USD",КурсUSD,IF(INDEX(МАТЕРИАЛЫ!$I$2:$I$9000,MATCH($N681,МАТЕРИАЛЫ!$L$2:$L$9000,0))="EUR",КурсEUR,IF(INDEX(МАТЕРИАЛЫ!$I$2:$I$9000,MATCH($N681,МАТЕРИАЛЫ!$L$2:$L$9000,0))="CNY",КурсCNY,1)))*(1+N($H681)/100),0),N($O681))*(1-MEDIAN(0,N(ДисконтТендер),1))))</f>
        <v>0</v>
      </c>
      <c r="U681" t="str">
        <f>IF($L681="да",MAX($U$1:$U680)+1,"")</f>
        <v/>
      </c>
      <c r="V681" t="str">
        <f t="shared" si="73"/>
        <v>Р9</v>
      </c>
      <c r="W681" t="str">
        <f t="shared" si="74"/>
        <v/>
      </c>
      <c r="X681" t="str">
        <f t="shared" si="75"/>
        <v/>
      </c>
      <c r="Y681" s="4" t="str">
        <f>IF($A681="","",IF(AND(LEFT($G681,3)="ДОК",$N681&lt;&gt;""),IFERROR(INDEX(Документация!$G$2:$G$57,MATCH($N681,Документация!$F$2:$F$57,0)),$D681),$D681&amp;IF(AND(LEFT($G681,3)&lt;&gt;"ДОК",$N681&lt;&gt;"")," — "&amp;IFERROR(INDEX(МАТЕРИАЛЫ!$C$2:$C$9000,MATCH($N681,МАТЕРИАЛЫ!$L$2:$L$9000,0)),""),"")))</f>
        <v>Подвес LGD-4TR-HANG-2-WH ©</v>
      </c>
      <c r="Z681" t="str">
        <f t="shared" si="76"/>
        <v>Р9 · Электротехнические работы</v>
      </c>
    </row>
    <row r="682" spans="1:26" x14ac:dyDescent="0.3">
      <c r="A682" t="s">
        <v>1441</v>
      </c>
      <c r="B682" t="s">
        <v>1255</v>
      </c>
      <c r="C682" t="s">
        <v>161</v>
      </c>
      <c r="D682" s="4" t="s">
        <v>1442</v>
      </c>
      <c r="E682" t="s">
        <v>114</v>
      </c>
      <c r="F682" s="5">
        <v>0</v>
      </c>
      <c r="H682">
        <v>0</v>
      </c>
      <c r="I682" t="s">
        <v>53</v>
      </c>
      <c r="L682" s="6"/>
      <c r="M682" s="6"/>
      <c r="N682" s="6"/>
      <c r="O682" s="5"/>
      <c r="P682" s="7" t="str">
        <f t="shared" si="70"/>
        <v/>
      </c>
      <c r="Q682" s="7" t="str">
        <f t="shared" si="71"/>
        <v/>
      </c>
      <c r="R682" s="7" t="str">
        <f t="shared" si="72"/>
        <v/>
      </c>
      <c r="S682" s="7">
        <f>IF($A682="","",IF(AND(LEFT($G682,3)="ДОК",$N682&lt;&gt;""),IFERROR(INDEX(Документация!$E$2:$E$57,MATCH($N682,Документация!$F$2:$F$57,0)),0),N($F682))*(1-MEDIAN(0,N(ДисконтТендер),1)))</f>
        <v>0</v>
      </c>
      <c r="T682" s="7">
        <f>IF($A682="","",IF(AND(LEFT($G682,3)="ДОК",$N682&lt;&gt;""),0,IF(AND(LEFT($G682,3)&lt;&gt;"ДОК",$N682&lt;&gt;""),IFERROR(INDEX(МАТЕРИАЛЫ!$H$2:$H$9000,MATCH($N682,МАТЕРИАЛЫ!$L$2:$L$9000,0))*IF(INDEX(МАТЕРИАЛЫ!$I$2:$I$9000,MATCH($N682,МАТЕРИАЛЫ!$L$2:$L$9000,0))="USD",КурсUSD,IF(INDEX(МАТЕРИАЛЫ!$I$2:$I$9000,MATCH($N682,МАТЕРИАЛЫ!$L$2:$L$9000,0))="EUR",КурсEUR,IF(INDEX(МАТЕРИАЛЫ!$I$2:$I$9000,MATCH($N682,МАТЕРИАЛЫ!$L$2:$L$9000,0))="CNY",КурсCNY,1)))*(1+N($H682)/100),0),N($O682))*(1-MEDIAN(0,N(ДисконтТендер),1))))</f>
        <v>0</v>
      </c>
      <c r="U682" t="str">
        <f>IF($L682="да",MAX($U$1:$U681)+1,"")</f>
        <v/>
      </c>
      <c r="V682" t="str">
        <f t="shared" si="73"/>
        <v>Р9</v>
      </c>
      <c r="W682" t="str">
        <f t="shared" si="74"/>
        <v/>
      </c>
      <c r="X682" t="str">
        <f t="shared" si="75"/>
        <v/>
      </c>
      <c r="Y682" s="4" t="str">
        <f>IF($A682="","",IF(AND(LEFT($G682,3)="ДОК",$N682&lt;&gt;""),IFERROR(INDEX(Документация!$G$2:$G$57,MATCH($N682,Документация!$F$2:$F$57,0)),$D682),$D682&amp;IF(AND(LEFT($G682,3)&lt;&gt;"ДОК",$N682&lt;&gt;"")," — "&amp;IFERROR(INDEX(МАТЕРИАЛЫ!$C$2:$C$9000,MATCH($N682,МАТЕРИАЛЫ!$L$2:$L$9000,0)),""),"")))</f>
        <v>Коннектор прямой LGD-4TR-CON-LONG-WH</v>
      </c>
      <c r="Z682" t="str">
        <f t="shared" si="76"/>
        <v>Р9 · Электротехнические работы</v>
      </c>
    </row>
    <row r="683" spans="1:26" ht="28.8" x14ac:dyDescent="0.3">
      <c r="A683" t="s">
        <v>1443</v>
      </c>
      <c r="B683" t="s">
        <v>1255</v>
      </c>
      <c r="C683" t="s">
        <v>161</v>
      </c>
      <c r="D683" s="4" t="s">
        <v>1444</v>
      </c>
      <c r="E683" t="s">
        <v>114</v>
      </c>
      <c r="F683" s="5">
        <v>3182.38</v>
      </c>
      <c r="H683">
        <v>0</v>
      </c>
      <c r="I683" t="s">
        <v>53</v>
      </c>
      <c r="L683" s="6"/>
      <c r="M683" s="6"/>
      <c r="N683" s="6"/>
      <c r="O683" s="5"/>
      <c r="P683" s="7" t="str">
        <f t="shared" si="70"/>
        <v/>
      </c>
      <c r="Q683" s="7" t="str">
        <f t="shared" si="71"/>
        <v/>
      </c>
      <c r="R683" s="7" t="str">
        <f t="shared" si="72"/>
        <v/>
      </c>
      <c r="S683" s="7">
        <f>IF($A683="","",IF(AND(LEFT($G683,3)="ДОК",$N683&lt;&gt;""),IFERROR(INDEX(Документация!$E$2:$E$57,MATCH($N683,Документация!$F$2:$F$57,0)),0),N($F683))*(1-MEDIAN(0,N(ДисконтТендер),1)))</f>
        <v>3182.38</v>
      </c>
      <c r="T683" s="7">
        <f>IF($A683="","",IF(AND(LEFT($G683,3)="ДОК",$N683&lt;&gt;""),0,IF(AND(LEFT($G683,3)&lt;&gt;"ДОК",$N683&lt;&gt;""),IFERROR(INDEX(МАТЕРИАЛЫ!$H$2:$H$9000,MATCH($N683,МАТЕРИАЛЫ!$L$2:$L$9000,0))*IF(INDEX(МАТЕРИАЛЫ!$I$2:$I$9000,MATCH($N683,МАТЕРИАЛЫ!$L$2:$L$9000,0))="USD",КурсUSD,IF(INDEX(МАТЕРИАЛЫ!$I$2:$I$9000,MATCH($N683,МАТЕРИАЛЫ!$L$2:$L$9000,0))="EUR",КурсEUR,IF(INDEX(МАТЕРИАЛЫ!$I$2:$I$9000,MATCH($N683,МАТЕРИАЛЫ!$L$2:$L$9000,0))="CNY",КурсCNY,1)))*(1+N($H683)/100),0),N($O683))*(1-MEDIAN(0,N(ДисконтТендер),1))))</f>
        <v>0</v>
      </c>
      <c r="U683" t="str">
        <f>IF($L683="да",MAX($U$1:$U682)+1,"")</f>
        <v/>
      </c>
      <c r="V683" t="str">
        <f t="shared" si="73"/>
        <v>Р9</v>
      </c>
      <c r="W683" t="str">
        <f t="shared" si="74"/>
        <v/>
      </c>
      <c r="X683" t="str">
        <f t="shared" si="75"/>
        <v/>
      </c>
      <c r="Y683" s="4" t="str">
        <f>IF($A683="","",IF(AND(LEFT($G683,3)="ДОК",$N683&lt;&gt;""),IFERROR(INDEX(Документация!$G$2:$G$57,MATCH($N683,Документация!$F$2:$F$57,0)),$D683),$D683&amp;IF(AND(LEFT($G683,3)&lt;&gt;"ДОК",$N683&lt;&gt;"")," — "&amp;IFERROR(INDEX(МАТЕРИАЛЫ!$C$2:$C$9000,MATCH($N683,МАТЕРИАЛЫ!$L$2:$L$9000,0)),""),"")))</f>
        <v>Трек LGD-4TR-TRACK-3000-WH-M КРАСНЫЙ RAL3020</v>
      </c>
      <c r="Z683" t="str">
        <f t="shared" si="76"/>
        <v>Р9 · Электротехнические работы</v>
      </c>
    </row>
    <row r="684" spans="1:26" ht="28.8" x14ac:dyDescent="0.3">
      <c r="A684" t="s">
        <v>1445</v>
      </c>
      <c r="B684" t="s">
        <v>1255</v>
      </c>
      <c r="C684" t="s">
        <v>161</v>
      </c>
      <c r="D684" s="4" t="s">
        <v>1446</v>
      </c>
      <c r="E684" t="s">
        <v>114</v>
      </c>
      <c r="F684" s="5">
        <v>2386.79</v>
      </c>
      <c r="H684">
        <v>0</v>
      </c>
      <c r="I684" t="s">
        <v>53</v>
      </c>
      <c r="L684" s="6"/>
      <c r="M684" s="6"/>
      <c r="N684" s="6"/>
      <c r="O684" s="5"/>
      <c r="P684" s="7" t="str">
        <f t="shared" si="70"/>
        <v/>
      </c>
      <c r="Q684" s="7" t="str">
        <f t="shared" si="71"/>
        <v/>
      </c>
      <c r="R684" s="7" t="str">
        <f t="shared" si="72"/>
        <v/>
      </c>
      <c r="S684" s="7">
        <f>IF($A684="","",IF(AND(LEFT($G684,3)="ДОК",$N684&lt;&gt;""),IFERROR(INDEX(Документация!$E$2:$E$57,MATCH($N684,Документация!$F$2:$F$57,0)),0),N($F684))*(1-MEDIAN(0,N(ДисконтТендер),1)))</f>
        <v>2386.79</v>
      </c>
      <c r="T684" s="7">
        <f>IF($A684="","",IF(AND(LEFT($G684,3)="ДОК",$N684&lt;&gt;""),0,IF(AND(LEFT($G684,3)&lt;&gt;"ДОК",$N684&lt;&gt;""),IFERROR(INDEX(МАТЕРИАЛЫ!$H$2:$H$9000,MATCH($N684,МАТЕРИАЛЫ!$L$2:$L$9000,0))*IF(INDEX(МАТЕРИАЛЫ!$I$2:$I$9000,MATCH($N684,МАТЕРИАЛЫ!$L$2:$L$9000,0))="USD",КурсUSD,IF(INDEX(МАТЕРИАЛЫ!$I$2:$I$9000,MATCH($N684,МАТЕРИАЛЫ!$L$2:$L$9000,0))="EUR",КурсEUR,IF(INDEX(МАТЕРИАЛЫ!$I$2:$I$9000,MATCH($N684,МАТЕРИАЛЫ!$L$2:$L$9000,0))="CNY",КурсCNY,1)))*(1+N($H684)/100),0),N($O684))*(1-MEDIAN(0,N(ДисконтТендер),1))))</f>
        <v>0</v>
      </c>
      <c r="U684" t="str">
        <f>IF($L684="да",MAX($U$1:$U683)+1,"")</f>
        <v/>
      </c>
      <c r="V684" t="str">
        <f t="shared" si="73"/>
        <v>Р9</v>
      </c>
      <c r="W684" t="str">
        <f t="shared" si="74"/>
        <v/>
      </c>
      <c r="X684" t="str">
        <f t="shared" si="75"/>
        <v/>
      </c>
      <c r="Y684" s="4" t="str">
        <f>IF($A684="","",IF(AND(LEFT($G684,3)="ДОК",$N684&lt;&gt;""),IFERROR(INDEX(Документация!$G$2:$G$57,MATCH($N684,Документация!$F$2:$F$57,0)),$D684),$D684&amp;IF(AND(LEFT($G684,3)&lt;&gt;"ДОК",$N684&lt;&gt;"")," — "&amp;IFERROR(INDEX(МАТЕРИАЛЫ!$C$2:$C$9000,MATCH($N684,МАТЕРИАЛЫ!$L$2:$L$9000,0)),""),"")))</f>
        <v>Трек LGD-4TR-TRACK-2000-WH-M КРАСНЫЙ RAL3020</v>
      </c>
      <c r="Z684" t="str">
        <f t="shared" si="76"/>
        <v>Р9 · Электротехнические работы</v>
      </c>
    </row>
    <row r="685" spans="1:26" x14ac:dyDescent="0.3">
      <c r="A685" t="s">
        <v>1447</v>
      </c>
      <c r="B685" t="s">
        <v>1255</v>
      </c>
      <c r="C685" t="s">
        <v>161</v>
      </c>
      <c r="D685" s="4" t="s">
        <v>1448</v>
      </c>
      <c r="E685" t="s">
        <v>114</v>
      </c>
      <c r="F685" s="5">
        <v>0</v>
      </c>
      <c r="H685">
        <v>0</v>
      </c>
      <c r="I685" t="s">
        <v>53</v>
      </c>
      <c r="L685" s="6"/>
      <c r="M685" s="6"/>
      <c r="N685" s="6"/>
      <c r="O685" s="5"/>
      <c r="P685" s="7" t="str">
        <f t="shared" si="70"/>
        <v/>
      </c>
      <c r="Q685" s="7" t="str">
        <f t="shared" si="71"/>
        <v/>
      </c>
      <c r="R685" s="7" t="str">
        <f t="shared" si="72"/>
        <v/>
      </c>
      <c r="S685" s="7">
        <f>IF($A685="","",IF(AND(LEFT($G685,3)="ДОК",$N685&lt;&gt;""),IFERROR(INDEX(Документация!$E$2:$E$57,MATCH($N685,Документация!$F$2:$F$57,0)),0),N($F685))*(1-MEDIAN(0,N(ДисконтТендер),1)))</f>
        <v>0</v>
      </c>
      <c r="T685" s="7">
        <f>IF($A685="","",IF(AND(LEFT($G685,3)="ДОК",$N685&lt;&gt;""),0,IF(AND(LEFT($G685,3)&lt;&gt;"ДОК",$N685&lt;&gt;""),IFERROR(INDEX(МАТЕРИАЛЫ!$H$2:$H$9000,MATCH($N685,МАТЕРИАЛЫ!$L$2:$L$9000,0))*IF(INDEX(МАТЕРИАЛЫ!$I$2:$I$9000,MATCH($N685,МАТЕРИАЛЫ!$L$2:$L$9000,0))="USD",КурсUSD,IF(INDEX(МАТЕРИАЛЫ!$I$2:$I$9000,MATCH($N685,МАТЕРИАЛЫ!$L$2:$L$9000,0))="EUR",КурсEUR,IF(INDEX(МАТЕРИАЛЫ!$I$2:$I$9000,MATCH($N685,МАТЕРИАЛЫ!$L$2:$L$9000,0))="CNY",КурсCNY,1)))*(1+N($H685)/100),0),N($O685))*(1-MEDIAN(0,N(ДисконтТендер),1))))</f>
        <v>0</v>
      </c>
      <c r="U685" t="str">
        <f>IF($L685="да",MAX($U$1:$U684)+1,"")</f>
        <v/>
      </c>
      <c r="V685" t="str">
        <f t="shared" si="73"/>
        <v>Р9</v>
      </c>
      <c r="W685" t="str">
        <f t="shared" si="74"/>
        <v/>
      </c>
      <c r="X685" t="str">
        <f t="shared" si="75"/>
        <v/>
      </c>
      <c r="Y685" s="4" t="str">
        <f>IF($A685="","",IF(AND(LEFT($G685,3)="ДОК",$N685&lt;&gt;""),IFERROR(INDEX(Документация!$G$2:$G$57,MATCH($N685,Документация!$F$2:$F$57,0)),$D685),$D685&amp;IF(AND(LEFT($G685,3)&lt;&gt;"ДОК",$N685&lt;&gt;"")," — "&amp;IFERROR(INDEX(МАТЕРИАЛЫ!$C$2:$C$9000,MATCH($N685,МАТЕРИАЛЫ!$L$2:$L$9000,0)),""),"")))</f>
        <v>Коннектор питания LGD-4TR-CON-POWER-L-WH</v>
      </c>
      <c r="Z685" t="str">
        <f t="shared" si="76"/>
        <v>Р9 · Электротехнические работы</v>
      </c>
    </row>
    <row r="686" spans="1:26" x14ac:dyDescent="0.3">
      <c r="A686" t="s">
        <v>1449</v>
      </c>
      <c r="B686" t="s">
        <v>1255</v>
      </c>
      <c r="C686" t="s">
        <v>161</v>
      </c>
      <c r="D686" s="4" t="s">
        <v>1450</v>
      </c>
      <c r="E686" t="s">
        <v>114</v>
      </c>
      <c r="F686" s="5">
        <v>0</v>
      </c>
      <c r="H686">
        <v>0</v>
      </c>
      <c r="I686" t="s">
        <v>53</v>
      </c>
      <c r="L686" s="6"/>
      <c r="M686" s="6"/>
      <c r="N686" s="6"/>
      <c r="O686" s="5"/>
      <c r="P686" s="7" t="str">
        <f t="shared" si="70"/>
        <v/>
      </c>
      <c r="Q686" s="7" t="str">
        <f t="shared" si="71"/>
        <v/>
      </c>
      <c r="R686" s="7" t="str">
        <f t="shared" si="72"/>
        <v/>
      </c>
      <c r="S686" s="7">
        <f>IF($A686="","",IF(AND(LEFT($G686,3)="ДОК",$N686&lt;&gt;""),IFERROR(INDEX(Документация!$E$2:$E$57,MATCH($N686,Документация!$F$2:$F$57,0)),0),N($F686))*(1-MEDIAN(0,N(ДисконтТендер),1)))</f>
        <v>0</v>
      </c>
      <c r="T686" s="7">
        <f>IF($A686="","",IF(AND(LEFT($G686,3)="ДОК",$N686&lt;&gt;""),0,IF(AND(LEFT($G686,3)&lt;&gt;"ДОК",$N686&lt;&gt;""),IFERROR(INDEX(МАТЕРИАЛЫ!$H$2:$H$9000,MATCH($N686,МАТЕРИАЛЫ!$L$2:$L$9000,0))*IF(INDEX(МАТЕРИАЛЫ!$I$2:$I$9000,MATCH($N686,МАТЕРИАЛЫ!$L$2:$L$9000,0))="USD",КурсUSD,IF(INDEX(МАТЕРИАЛЫ!$I$2:$I$9000,MATCH($N686,МАТЕРИАЛЫ!$L$2:$L$9000,0))="EUR",КурсEUR,IF(INDEX(МАТЕРИАЛЫ!$I$2:$I$9000,MATCH($N686,МАТЕРИАЛЫ!$L$2:$L$9000,0))="CNY",КурсCNY,1)))*(1+N($H686)/100),0),N($O686))*(1-MEDIAN(0,N(ДисконтТендер),1))))</f>
        <v>0</v>
      </c>
      <c r="U686" t="str">
        <f>IF($L686="да",MAX($U$1:$U685)+1,"")</f>
        <v/>
      </c>
      <c r="V686" t="str">
        <f t="shared" si="73"/>
        <v>Р9</v>
      </c>
      <c r="W686" t="str">
        <f t="shared" si="74"/>
        <v/>
      </c>
      <c r="X686" t="str">
        <f t="shared" si="75"/>
        <v/>
      </c>
      <c r="Y686" s="4" t="str">
        <f>IF($A686="","",IF(AND(LEFT($G686,3)="ДОК",$N686&lt;&gt;""),IFERROR(INDEX(Документация!$G$2:$G$57,MATCH($N686,Документация!$F$2:$F$57,0)),$D686),$D686&amp;IF(AND(LEFT($G686,3)&lt;&gt;"ДОК",$N686&lt;&gt;"")," — "&amp;IFERROR(INDEX(МАТЕРИАЛЫ!$C$2:$C$9000,MATCH($N686,МАТЕРИАЛЫ!$L$2:$L$9000,0)),""),"")))</f>
        <v>Заглушка LGD-4TR-CAP-WH</v>
      </c>
      <c r="Z686" t="str">
        <f t="shared" si="76"/>
        <v>Р9 · Электротехнические работы</v>
      </c>
    </row>
    <row r="687" spans="1:26" x14ac:dyDescent="0.3">
      <c r="A687" t="s">
        <v>1451</v>
      </c>
      <c r="B687" t="s">
        <v>1255</v>
      </c>
      <c r="C687" t="s">
        <v>161</v>
      </c>
      <c r="D687" s="4" t="s">
        <v>1452</v>
      </c>
      <c r="E687" t="s">
        <v>114</v>
      </c>
      <c r="F687" s="5">
        <v>0</v>
      </c>
      <c r="H687">
        <v>0</v>
      </c>
      <c r="I687" t="s">
        <v>53</v>
      </c>
      <c r="L687" s="6"/>
      <c r="M687" s="6"/>
      <c r="N687" s="6"/>
      <c r="O687" s="5"/>
      <c r="P687" s="7" t="str">
        <f t="shared" si="70"/>
        <v/>
      </c>
      <c r="Q687" s="7" t="str">
        <f t="shared" si="71"/>
        <v/>
      </c>
      <c r="R687" s="7" t="str">
        <f t="shared" si="72"/>
        <v/>
      </c>
      <c r="S687" s="7">
        <f>IF($A687="","",IF(AND(LEFT($G687,3)="ДОК",$N687&lt;&gt;""),IFERROR(INDEX(Документация!$E$2:$E$57,MATCH($N687,Документация!$F$2:$F$57,0)),0),N($F687))*(1-MEDIAN(0,N(ДисконтТендер),1)))</f>
        <v>0</v>
      </c>
      <c r="T687" s="7">
        <f>IF($A687="","",IF(AND(LEFT($G687,3)="ДОК",$N687&lt;&gt;""),0,IF(AND(LEFT($G687,3)&lt;&gt;"ДОК",$N687&lt;&gt;""),IFERROR(INDEX(МАТЕРИАЛЫ!$H$2:$H$9000,MATCH($N687,МАТЕРИАЛЫ!$L$2:$L$9000,0))*IF(INDEX(МАТЕРИАЛЫ!$I$2:$I$9000,MATCH($N687,МАТЕРИАЛЫ!$L$2:$L$9000,0))="USD",КурсUSD,IF(INDEX(МАТЕРИАЛЫ!$I$2:$I$9000,MATCH($N687,МАТЕРИАЛЫ!$L$2:$L$9000,0))="EUR",КурсEUR,IF(INDEX(МАТЕРИАЛЫ!$I$2:$I$9000,MATCH($N687,МАТЕРИАЛЫ!$L$2:$L$9000,0))="CNY",КурсCNY,1)))*(1+N($H687)/100),0),N($O687))*(1-MEDIAN(0,N(ДисконтТендер),1))))</f>
        <v>0</v>
      </c>
      <c r="U687" t="str">
        <f>IF($L687="да",MAX($U$1:$U686)+1,"")</f>
        <v/>
      </c>
      <c r="V687" t="str">
        <f t="shared" si="73"/>
        <v>Р9</v>
      </c>
      <c r="W687" t="str">
        <f t="shared" si="74"/>
        <v/>
      </c>
      <c r="X687" t="str">
        <f t="shared" si="75"/>
        <v/>
      </c>
      <c r="Y687" s="4" t="str">
        <f>IF($A687="","",IF(AND(LEFT($G687,3)="ДОК",$N687&lt;&gt;""),IFERROR(INDEX(Документация!$G$2:$G$57,MATCH($N687,Документация!$F$2:$F$57,0)),$D687),$D687&amp;IF(AND(LEFT($G687,3)&lt;&gt;"ДОК",$N687&lt;&gt;"")," — "&amp;IFERROR(INDEX(МАТЕРИАЛЫ!$C$2:$C$9000,MATCH($N687,МАТЕРИАЛЫ!$L$2:$L$9000,0)),""),"")))</f>
        <v>Коннектор внутренний LGD-4TR-CON-MINI-WH ©</v>
      </c>
      <c r="Z687" t="str">
        <f t="shared" si="76"/>
        <v>Р9 · Электротехнические работы</v>
      </c>
    </row>
    <row r="688" spans="1:26" x14ac:dyDescent="0.3">
      <c r="A688" t="s">
        <v>1453</v>
      </c>
      <c r="B688" t="s">
        <v>1255</v>
      </c>
      <c r="C688" t="s">
        <v>161</v>
      </c>
      <c r="D688" s="4" t="s">
        <v>1454</v>
      </c>
      <c r="E688" t="s">
        <v>114</v>
      </c>
      <c r="F688" s="5">
        <v>0</v>
      </c>
      <c r="H688">
        <v>0</v>
      </c>
      <c r="I688" t="s">
        <v>53</v>
      </c>
      <c r="L688" s="6"/>
      <c r="M688" s="6"/>
      <c r="N688" s="6"/>
      <c r="O688" s="5"/>
      <c r="P688" s="7" t="str">
        <f t="shared" si="70"/>
        <v/>
      </c>
      <c r="Q688" s="7" t="str">
        <f t="shared" si="71"/>
        <v/>
      </c>
      <c r="R688" s="7" t="str">
        <f t="shared" si="72"/>
        <v/>
      </c>
      <c r="S688" s="7">
        <f>IF($A688="","",IF(AND(LEFT($G688,3)="ДОК",$N688&lt;&gt;""),IFERROR(INDEX(Документация!$E$2:$E$57,MATCH($N688,Документация!$F$2:$F$57,0)),0),N($F688))*(1-MEDIAN(0,N(ДисконтТендер),1)))</f>
        <v>0</v>
      </c>
      <c r="T688" s="7">
        <f>IF($A688="","",IF(AND(LEFT($G688,3)="ДОК",$N688&lt;&gt;""),0,IF(AND(LEFT($G688,3)&lt;&gt;"ДОК",$N688&lt;&gt;""),IFERROR(INDEX(МАТЕРИАЛЫ!$H$2:$H$9000,MATCH($N688,МАТЕРИАЛЫ!$L$2:$L$9000,0))*IF(INDEX(МАТЕРИАЛЫ!$I$2:$I$9000,MATCH($N688,МАТЕРИАЛЫ!$L$2:$L$9000,0))="USD",КурсUSD,IF(INDEX(МАТЕРИАЛЫ!$I$2:$I$9000,MATCH($N688,МАТЕРИАЛЫ!$L$2:$L$9000,0))="EUR",КурсEUR,IF(INDEX(МАТЕРИАЛЫ!$I$2:$I$9000,MATCH($N688,МАТЕРИАЛЫ!$L$2:$L$9000,0))="CNY",КурсCNY,1)))*(1+N($H688)/100),0),N($O688))*(1-MEDIAN(0,N(ДисконтТендер),1))))</f>
        <v>0</v>
      </c>
      <c r="U688" t="str">
        <f>IF($L688="да",MAX($U$1:$U687)+1,"")</f>
        <v/>
      </c>
      <c r="V688" t="str">
        <f t="shared" si="73"/>
        <v>Р9</v>
      </c>
      <c r="W688" t="str">
        <f t="shared" si="74"/>
        <v/>
      </c>
      <c r="X688" t="str">
        <f t="shared" si="75"/>
        <v/>
      </c>
      <c r="Y688" s="4" t="str">
        <f>IF($A688="","",IF(AND(LEFT($G688,3)="ДОК",$N688&lt;&gt;""),IFERROR(INDEX(Документация!$G$2:$G$57,MATCH($N688,Документация!$F$2:$F$57,0)),$D688),$D688&amp;IF(AND(LEFT($G688,3)&lt;&gt;"ДОК",$N688&lt;&gt;"")," — "&amp;IFERROR(INDEX(МАТЕРИАЛЫ!$C$2:$C$9000,MATCH($N688,МАТЕРИАЛЫ!$L$2:$L$9000,0)),""),"")))</f>
        <v>Зажим LGD-4TR-CLIP-WH ©</v>
      </c>
      <c r="Z688" t="str">
        <f t="shared" si="76"/>
        <v>Р9 · Электротехнические работы</v>
      </c>
    </row>
    <row r="689" spans="1:26" x14ac:dyDescent="0.3">
      <c r="A689" t="s">
        <v>1455</v>
      </c>
      <c r="B689" t="s">
        <v>1255</v>
      </c>
      <c r="C689" t="s">
        <v>161</v>
      </c>
      <c r="D689" s="4" t="s">
        <v>1456</v>
      </c>
      <c r="E689" t="s">
        <v>114</v>
      </c>
      <c r="F689" s="5">
        <v>2000</v>
      </c>
      <c r="G689" t="s">
        <v>1381</v>
      </c>
      <c r="H689">
        <v>5</v>
      </c>
      <c r="I689" t="s">
        <v>53</v>
      </c>
      <c r="L689" s="6"/>
      <c r="M689" s="6"/>
      <c r="N689" s="6"/>
      <c r="O689" s="5"/>
      <c r="P689" s="7" t="str">
        <f t="shared" si="70"/>
        <v/>
      </c>
      <c r="Q689" s="7" t="str">
        <f t="shared" si="71"/>
        <v/>
      </c>
      <c r="R689" s="7" t="str">
        <f t="shared" si="72"/>
        <v/>
      </c>
      <c r="S689" s="7">
        <f>IF($A689="","",IF(AND(LEFT($G689,3)="ДОК",$N689&lt;&gt;""),IFERROR(INDEX(Документация!$E$2:$E$57,MATCH($N689,Документация!$F$2:$F$57,0)),0),N($F689))*(1-MEDIAN(0,N(ДисконтТендер),1)))</f>
        <v>2000</v>
      </c>
      <c r="T689" s="7">
        <f>IF($A689="","",IF(AND(LEFT($G689,3)="ДОК",$N689&lt;&gt;""),0,IF(AND(LEFT($G689,3)&lt;&gt;"ДОК",$N689&lt;&gt;""),IFERROR(INDEX(МАТЕРИАЛЫ!$H$2:$H$9000,MATCH($N689,МАТЕРИАЛЫ!$L$2:$L$9000,0))*IF(INDEX(МАТЕРИАЛЫ!$I$2:$I$9000,MATCH($N689,МАТЕРИАЛЫ!$L$2:$L$9000,0))="USD",КурсUSD,IF(INDEX(МАТЕРИАЛЫ!$I$2:$I$9000,MATCH($N689,МАТЕРИАЛЫ!$L$2:$L$9000,0))="EUR",КурсEUR,IF(INDEX(МАТЕРИАЛЫ!$I$2:$I$9000,MATCH($N689,МАТЕРИАЛЫ!$L$2:$L$9000,0))="CNY",КурсCNY,1)))*(1+N($H689)/100),0),N($O689))*(1-MEDIAN(0,N(ДисконтТендер),1))))</f>
        <v>0</v>
      </c>
      <c r="U689" t="str">
        <f>IF($L689="да",MAX($U$1:$U688)+1,"")</f>
        <v/>
      </c>
      <c r="V689" t="str">
        <f t="shared" si="73"/>
        <v>Р9</v>
      </c>
      <c r="W689" t="str">
        <f t="shared" si="74"/>
        <v/>
      </c>
      <c r="X689" t="str">
        <f t="shared" si="75"/>
        <v/>
      </c>
      <c r="Y689" s="4" t="str">
        <f>IF($A689="","",IF(AND(LEFT($G689,3)="ДОК",$N689&lt;&gt;""),IFERROR(INDEX(Документация!$G$2:$G$57,MATCH($N689,Документация!$F$2:$F$57,0)),$D689),$D689&amp;IF(AND(LEFT($G689,3)&lt;&gt;"ДОК",$N689&lt;&gt;"")," — "&amp;IFERROR(INDEX(МАТЕРИАЛЫ!$C$2:$C$9000,MATCH($N689,МАТЕРИАЛЫ!$L$2:$L$9000,0)),""),"")))</f>
        <v>Монтаж светильника</v>
      </c>
      <c r="Z689" t="str">
        <f t="shared" si="76"/>
        <v>Р9 · Электротехнические работы</v>
      </c>
    </row>
    <row r="690" spans="1:26" x14ac:dyDescent="0.3">
      <c r="A690" t="s">
        <v>1457</v>
      </c>
      <c r="B690" t="s">
        <v>1255</v>
      </c>
      <c r="C690" t="s">
        <v>161</v>
      </c>
      <c r="D690" s="4" t="s">
        <v>1456</v>
      </c>
      <c r="E690" t="s">
        <v>114</v>
      </c>
      <c r="F690" s="5">
        <v>5225</v>
      </c>
      <c r="G690" t="s">
        <v>1381</v>
      </c>
      <c r="H690">
        <v>5</v>
      </c>
      <c r="I690" t="s">
        <v>53</v>
      </c>
      <c r="L690" s="6"/>
      <c r="M690" s="6"/>
      <c r="N690" s="6"/>
      <c r="O690" s="5"/>
      <c r="P690" s="7" t="str">
        <f t="shared" si="70"/>
        <v/>
      </c>
      <c r="Q690" s="7" t="str">
        <f t="shared" si="71"/>
        <v/>
      </c>
      <c r="R690" s="7" t="str">
        <f t="shared" si="72"/>
        <v/>
      </c>
      <c r="S690" s="7">
        <f>IF($A690="","",IF(AND(LEFT($G690,3)="ДОК",$N690&lt;&gt;""),IFERROR(INDEX(Документация!$E$2:$E$57,MATCH($N690,Документация!$F$2:$F$57,0)),0),N($F690))*(1-MEDIAN(0,N(ДисконтТендер),1)))</f>
        <v>5225</v>
      </c>
      <c r="T690" s="7">
        <f>IF($A690="","",IF(AND(LEFT($G690,3)="ДОК",$N690&lt;&gt;""),0,IF(AND(LEFT($G690,3)&lt;&gt;"ДОК",$N690&lt;&gt;""),IFERROR(INDEX(МАТЕРИАЛЫ!$H$2:$H$9000,MATCH($N690,МАТЕРИАЛЫ!$L$2:$L$9000,0))*IF(INDEX(МАТЕРИАЛЫ!$I$2:$I$9000,MATCH($N690,МАТЕРИАЛЫ!$L$2:$L$9000,0))="USD",КурсUSD,IF(INDEX(МАТЕРИАЛЫ!$I$2:$I$9000,MATCH($N690,МАТЕРИАЛЫ!$L$2:$L$9000,0))="EUR",КурсEUR,IF(INDEX(МАТЕРИАЛЫ!$I$2:$I$9000,MATCH($N690,МАТЕРИАЛЫ!$L$2:$L$9000,0))="CNY",КурсCNY,1)))*(1+N($H690)/100),0),N($O690))*(1-MEDIAN(0,N(ДисконтТендер),1))))</f>
        <v>0</v>
      </c>
      <c r="U690" t="str">
        <f>IF($L690="да",MAX($U$1:$U689)+1,"")</f>
        <v/>
      </c>
      <c r="V690" t="str">
        <f t="shared" si="73"/>
        <v>Р9</v>
      </c>
      <c r="W690" t="str">
        <f t="shared" si="74"/>
        <v/>
      </c>
      <c r="X690" t="str">
        <f t="shared" si="75"/>
        <v/>
      </c>
      <c r="Y690" s="4" t="str">
        <f>IF($A690="","",IF(AND(LEFT($G690,3)="ДОК",$N690&lt;&gt;""),IFERROR(INDEX(Документация!$G$2:$G$57,MATCH($N690,Документация!$F$2:$F$57,0)),$D690),$D690&amp;IF(AND(LEFT($G690,3)&lt;&gt;"ДОК",$N690&lt;&gt;"")," — "&amp;IFERROR(INDEX(МАТЕРИАЛЫ!$C$2:$C$9000,MATCH($N690,МАТЕРИАЛЫ!$L$2:$L$9000,0)),""),"")))</f>
        <v>Монтаж светильника</v>
      </c>
      <c r="Z690" t="str">
        <f t="shared" si="76"/>
        <v>Р9 · Электротехнические работы</v>
      </c>
    </row>
    <row r="691" spans="1:26" ht="43.2" x14ac:dyDescent="0.3">
      <c r="A691" t="s">
        <v>1458</v>
      </c>
      <c r="B691" t="s">
        <v>1255</v>
      </c>
      <c r="C691" t="s">
        <v>161</v>
      </c>
      <c r="D691" s="4" t="s">
        <v>1459</v>
      </c>
      <c r="E691" t="s">
        <v>114</v>
      </c>
      <c r="F691" s="5">
        <v>8119.83</v>
      </c>
      <c r="G691" t="s">
        <v>1257</v>
      </c>
      <c r="H691">
        <v>5</v>
      </c>
      <c r="I691" t="s">
        <v>53</v>
      </c>
      <c r="L691" s="6"/>
      <c r="M691" s="6"/>
      <c r="N691" s="6"/>
      <c r="O691" s="5"/>
      <c r="P691" s="7" t="str">
        <f t="shared" si="70"/>
        <v/>
      </c>
      <c r="Q691" s="7" t="str">
        <f t="shared" si="71"/>
        <v/>
      </c>
      <c r="R691" s="7" t="str">
        <f t="shared" si="72"/>
        <v/>
      </c>
      <c r="S691" s="7">
        <f>IF($A691="","",IF(AND(LEFT($G691,3)="ДОК",$N691&lt;&gt;""),IFERROR(INDEX(Документация!$E$2:$E$57,MATCH($N691,Документация!$F$2:$F$57,0)),0),N($F691))*(1-MEDIAN(0,N(ДисконтТендер),1)))</f>
        <v>8119.83</v>
      </c>
      <c r="T691" s="7">
        <f>IF($A691="","",IF(AND(LEFT($G691,3)="ДОК",$N691&lt;&gt;""),0,IF(AND(LEFT($G691,3)&lt;&gt;"ДОК",$N691&lt;&gt;""),IFERROR(INDEX(МАТЕРИАЛЫ!$H$2:$H$9000,MATCH($N691,МАТЕРИАЛЫ!$L$2:$L$9000,0))*IF(INDEX(МАТЕРИАЛЫ!$I$2:$I$9000,MATCH($N691,МАТЕРИАЛЫ!$L$2:$L$9000,0))="USD",КурсUSD,IF(INDEX(МАТЕРИАЛЫ!$I$2:$I$9000,MATCH($N691,МАТЕРИАЛЫ!$L$2:$L$9000,0))="EUR",КурсEUR,IF(INDEX(МАТЕРИАЛЫ!$I$2:$I$9000,MATCH($N691,МАТЕРИАЛЫ!$L$2:$L$9000,0))="CNY",КурсCNY,1)))*(1+N($H691)/100),0),N($O691))*(1-MEDIAN(0,N(ДисконтТендер),1))))</f>
        <v>0</v>
      </c>
      <c r="U691" t="str">
        <f>IF($L691="да",MAX($U$1:$U690)+1,"")</f>
        <v/>
      </c>
      <c r="V691" t="str">
        <f t="shared" si="73"/>
        <v>Р9</v>
      </c>
      <c r="W691" t="str">
        <f t="shared" si="74"/>
        <v/>
      </c>
      <c r="X691" t="str">
        <f t="shared" si="75"/>
        <v/>
      </c>
      <c r="Y691" s="4" t="str">
        <f>IF($A691="","",IF(AND(LEFT($G691,3)="ДОК",$N691&lt;&gt;""),IFERROR(INDEX(Документация!$G$2:$G$57,MATCH($N691,Документация!$F$2:$F$57,0)),$D691),$D691&amp;IF(AND(LEFT($G691,3)&lt;&gt;"ДОК",$N691&lt;&gt;"")," — "&amp;IFERROR(INDEX(МАТЕРИАЛЫ!$C$2:$C$9000,MATCH($N691,МАТЕРИАЛЫ!$L$2:$L$9000,0)),""),"")))</f>
        <v>Лайтбокс LED Высота114 мм.Диаметр 1000 мм RAL 3020,ORTUS SORES 1000 DIMM 0-10V, c функцией диммрования, производство ООО "Профлед"</v>
      </c>
      <c r="Z691" t="str">
        <f t="shared" si="76"/>
        <v>Р9 · Электротехнические работы</v>
      </c>
    </row>
    <row r="692" spans="1:26" ht="43.2" x14ac:dyDescent="0.3">
      <c r="A692" t="s">
        <v>1460</v>
      </c>
      <c r="B692" t="s">
        <v>1255</v>
      </c>
      <c r="C692" t="s">
        <v>161</v>
      </c>
      <c r="D692" s="4" t="s">
        <v>1461</v>
      </c>
      <c r="E692" t="s">
        <v>114</v>
      </c>
      <c r="F692" s="5">
        <v>12580.24</v>
      </c>
      <c r="G692" t="s">
        <v>1257</v>
      </c>
      <c r="H692">
        <v>5</v>
      </c>
      <c r="I692" t="s">
        <v>53</v>
      </c>
      <c r="L692" s="6"/>
      <c r="M692" s="6"/>
      <c r="N692" s="6"/>
      <c r="O692" s="5"/>
      <c r="P692" s="7" t="str">
        <f t="shared" si="70"/>
        <v/>
      </c>
      <c r="Q692" s="7" t="str">
        <f t="shared" si="71"/>
        <v/>
      </c>
      <c r="R692" s="7" t="str">
        <f t="shared" si="72"/>
        <v/>
      </c>
      <c r="S692" s="7">
        <f>IF($A692="","",IF(AND(LEFT($G692,3)="ДОК",$N692&lt;&gt;""),IFERROR(INDEX(Документация!$E$2:$E$57,MATCH($N692,Документация!$F$2:$F$57,0)),0),N($F692))*(1-MEDIAN(0,N(ДисконтТендер),1)))</f>
        <v>12580.24</v>
      </c>
      <c r="T692" s="7">
        <f>IF($A692="","",IF(AND(LEFT($G692,3)="ДОК",$N692&lt;&gt;""),0,IF(AND(LEFT($G692,3)&lt;&gt;"ДОК",$N692&lt;&gt;""),IFERROR(INDEX(МАТЕРИАЛЫ!$H$2:$H$9000,MATCH($N692,МАТЕРИАЛЫ!$L$2:$L$9000,0))*IF(INDEX(МАТЕРИАЛЫ!$I$2:$I$9000,MATCH($N692,МАТЕРИАЛЫ!$L$2:$L$9000,0))="USD",КурсUSD,IF(INDEX(МАТЕРИАЛЫ!$I$2:$I$9000,MATCH($N692,МАТЕРИАЛЫ!$L$2:$L$9000,0))="EUR",КурсEUR,IF(INDEX(МАТЕРИАЛЫ!$I$2:$I$9000,MATCH($N692,МАТЕРИАЛЫ!$L$2:$L$9000,0))="CNY",КурсCNY,1)))*(1+N($H692)/100),0),N($O692))*(1-MEDIAN(0,N(ДисконтТендер),1))))</f>
        <v>0</v>
      </c>
      <c r="U692" t="str">
        <f>IF($L692="да",MAX($U$1:$U691)+1,"")</f>
        <v/>
      </c>
      <c r="V692" t="str">
        <f t="shared" si="73"/>
        <v>Р9</v>
      </c>
      <c r="W692" t="str">
        <f t="shared" si="74"/>
        <v/>
      </c>
      <c r="X692" t="str">
        <f t="shared" si="75"/>
        <v/>
      </c>
      <c r="Y692" s="4" t="str">
        <f>IF($A692="","",IF(AND(LEFT($G692,3)="ДОК",$N692&lt;&gt;""),IFERROR(INDEX(Документация!$G$2:$G$57,MATCH($N692,Документация!$F$2:$F$57,0)),$D692),$D692&amp;IF(AND(LEFT($G692,3)&lt;&gt;"ДОК",$N692&lt;&gt;"")," — "&amp;IFERROR(INDEX(МАТЕРИАЛЫ!$C$2:$C$9000,MATCH($N692,МАТЕРИАЛЫ!$L$2:$L$9000,0)),""),"")))</f>
        <v>Лайтбокс LED Высота114 мм.Диаметр 1500 мм RAL 3020, ORTUS SORES 1500 DIMM 0-10V c функцией диммрования, производство ООО "Профлед"</v>
      </c>
      <c r="Z692" t="str">
        <f t="shared" si="76"/>
        <v>Р9 · Электротехнические работы</v>
      </c>
    </row>
    <row r="693" spans="1:26" ht="43.2" x14ac:dyDescent="0.3">
      <c r="A693" t="s">
        <v>1462</v>
      </c>
      <c r="B693" t="s">
        <v>1255</v>
      </c>
      <c r="C693" t="s">
        <v>161</v>
      </c>
      <c r="D693" s="4" t="s">
        <v>1463</v>
      </c>
      <c r="E693" t="s">
        <v>114</v>
      </c>
      <c r="F693" s="5">
        <v>18640.72</v>
      </c>
      <c r="G693" t="s">
        <v>1257</v>
      </c>
      <c r="H693">
        <v>5</v>
      </c>
      <c r="I693" t="s">
        <v>53</v>
      </c>
      <c r="L693" s="6"/>
      <c r="M693" s="6"/>
      <c r="N693" s="6"/>
      <c r="O693" s="5"/>
      <c r="P693" s="7" t="str">
        <f t="shared" si="70"/>
        <v/>
      </c>
      <c r="Q693" s="7" t="str">
        <f t="shared" si="71"/>
        <v/>
      </c>
      <c r="R693" s="7" t="str">
        <f t="shared" si="72"/>
        <v/>
      </c>
      <c r="S693" s="7">
        <f>IF($A693="","",IF(AND(LEFT($G693,3)="ДОК",$N693&lt;&gt;""),IFERROR(INDEX(Документация!$E$2:$E$57,MATCH($N693,Документация!$F$2:$F$57,0)),0),N($F693))*(1-MEDIAN(0,N(ДисконтТендер),1)))</f>
        <v>18640.72</v>
      </c>
      <c r="T693" s="7">
        <f>IF($A693="","",IF(AND(LEFT($G693,3)="ДОК",$N693&lt;&gt;""),0,IF(AND(LEFT($G693,3)&lt;&gt;"ДОК",$N693&lt;&gt;""),IFERROR(INDEX(МАТЕРИАЛЫ!$H$2:$H$9000,MATCH($N693,МАТЕРИАЛЫ!$L$2:$L$9000,0))*IF(INDEX(МАТЕРИАЛЫ!$I$2:$I$9000,MATCH($N693,МАТЕРИАЛЫ!$L$2:$L$9000,0))="USD",КурсUSD,IF(INDEX(МАТЕРИАЛЫ!$I$2:$I$9000,MATCH($N693,МАТЕРИАЛЫ!$L$2:$L$9000,0))="EUR",КурсEUR,IF(INDEX(МАТЕРИАЛЫ!$I$2:$I$9000,MATCH($N693,МАТЕРИАЛЫ!$L$2:$L$9000,0))="CNY",КурсCNY,1)))*(1+N($H693)/100),0),N($O693))*(1-MEDIAN(0,N(ДисконтТендер),1))))</f>
        <v>0</v>
      </c>
      <c r="U693" t="str">
        <f>IF($L693="да",MAX($U$1:$U692)+1,"")</f>
        <v/>
      </c>
      <c r="V693" t="str">
        <f t="shared" si="73"/>
        <v>Р9</v>
      </c>
      <c r="W693" t="str">
        <f t="shared" si="74"/>
        <v/>
      </c>
      <c r="X693" t="str">
        <f t="shared" si="75"/>
        <v/>
      </c>
      <c r="Y693" s="4" t="str">
        <f>IF($A693="","",IF(AND(LEFT($G693,3)="ДОК",$N693&lt;&gt;""),IFERROR(INDEX(Документация!$G$2:$G$57,MATCH($N693,Документация!$F$2:$F$57,0)),$D693),$D693&amp;IF(AND(LEFT($G693,3)&lt;&gt;"ДОК",$N693&lt;&gt;"")," — "&amp;IFERROR(INDEX(МАТЕРИАЛЫ!$C$2:$C$9000,MATCH($N693,МАТЕРИАЛЫ!$L$2:$L$9000,0)),""),"")))</f>
        <v>Лайтбокс LED Высота114 мм.Диаметр 2000 мм RAL 3020, ORTUS SORES 2000 DIMM 0-10V c функцией диммрования, производство ООО "Профлед"</v>
      </c>
      <c r="Z693" t="str">
        <f t="shared" si="76"/>
        <v>Р9 · Электротехнические работы</v>
      </c>
    </row>
    <row r="694" spans="1:26" ht="43.2" x14ac:dyDescent="0.3">
      <c r="A694" t="s">
        <v>1464</v>
      </c>
      <c r="B694" t="s">
        <v>1255</v>
      </c>
      <c r="C694" t="s">
        <v>161</v>
      </c>
      <c r="D694" s="4" t="s">
        <v>1465</v>
      </c>
      <c r="E694" t="s">
        <v>114</v>
      </c>
      <c r="F694" s="5">
        <v>33392.39</v>
      </c>
      <c r="G694" t="s">
        <v>1257</v>
      </c>
      <c r="H694">
        <v>5</v>
      </c>
      <c r="I694" t="s">
        <v>53</v>
      </c>
      <c r="L694" s="6"/>
      <c r="M694" s="6"/>
      <c r="N694" s="6"/>
      <c r="O694" s="5"/>
      <c r="P694" s="7" t="str">
        <f t="shared" si="70"/>
        <v/>
      </c>
      <c r="Q694" s="7" t="str">
        <f t="shared" si="71"/>
        <v/>
      </c>
      <c r="R694" s="7" t="str">
        <f t="shared" si="72"/>
        <v/>
      </c>
      <c r="S694" s="7">
        <f>IF($A694="","",IF(AND(LEFT($G694,3)="ДОК",$N694&lt;&gt;""),IFERROR(INDEX(Документация!$E$2:$E$57,MATCH($N694,Документация!$F$2:$F$57,0)),0),N($F694))*(1-MEDIAN(0,N(ДисконтТендер),1)))</f>
        <v>33392.39</v>
      </c>
      <c r="T694" s="7">
        <f>IF($A694="","",IF(AND(LEFT($G694,3)="ДОК",$N694&lt;&gt;""),0,IF(AND(LEFT($G694,3)&lt;&gt;"ДОК",$N694&lt;&gt;""),IFERROR(INDEX(МАТЕРИАЛЫ!$H$2:$H$9000,MATCH($N694,МАТЕРИАЛЫ!$L$2:$L$9000,0))*IF(INDEX(МАТЕРИАЛЫ!$I$2:$I$9000,MATCH($N694,МАТЕРИАЛЫ!$L$2:$L$9000,0))="USD",КурсUSD,IF(INDEX(МАТЕРИАЛЫ!$I$2:$I$9000,MATCH($N694,МАТЕРИАЛЫ!$L$2:$L$9000,0))="EUR",КурсEUR,IF(INDEX(МАТЕРИАЛЫ!$I$2:$I$9000,MATCH($N694,МАТЕРИАЛЫ!$L$2:$L$9000,0))="CNY",КурсCNY,1)))*(1+N($H694)/100),0),N($O694))*(1-MEDIAN(0,N(ДисконтТендер),1))))</f>
        <v>0</v>
      </c>
      <c r="U694" t="str">
        <f>IF($L694="да",MAX($U$1:$U693)+1,"")</f>
        <v/>
      </c>
      <c r="V694" t="str">
        <f t="shared" si="73"/>
        <v>Р9</v>
      </c>
      <c r="W694" t="str">
        <f t="shared" si="74"/>
        <v/>
      </c>
      <c r="X694" t="str">
        <f t="shared" si="75"/>
        <v/>
      </c>
      <c r="Y694" s="4" t="str">
        <f>IF($A694="","",IF(AND(LEFT($G694,3)="ДОК",$N694&lt;&gt;""),IFERROR(INDEX(Документация!$G$2:$G$57,MATCH($N694,Документация!$F$2:$F$57,0)),$D694),$D694&amp;IF(AND(LEFT($G694,3)&lt;&gt;"ДОК",$N694&lt;&gt;"")," — "&amp;IFERROR(INDEX(МАТЕРИАЛЫ!$C$2:$C$9000,MATCH($N694,МАТЕРИАЛЫ!$L$2:$L$9000,0)),""),"")))</f>
        <v>Лайтбокс LED Высота114 мм.Диаметр 2500 мм RAL 3020, ORTUS SORES 2500 DIMM 0-10V c функцией диммрования, производство ООО "Профлед"</v>
      </c>
      <c r="Z694" t="str">
        <f t="shared" si="76"/>
        <v>Р9 · Электротехнические работы</v>
      </c>
    </row>
    <row r="695" spans="1:26" ht="28.8" x14ac:dyDescent="0.3">
      <c r="A695" t="s">
        <v>1466</v>
      </c>
      <c r="B695" t="s">
        <v>1255</v>
      </c>
      <c r="C695" t="s">
        <v>161</v>
      </c>
      <c r="D695" s="4" t="s">
        <v>1467</v>
      </c>
      <c r="E695" t="s">
        <v>114</v>
      </c>
      <c r="F695" s="5">
        <v>0</v>
      </c>
      <c r="G695" t="s">
        <v>1257</v>
      </c>
      <c r="H695">
        <v>0</v>
      </c>
      <c r="I695" t="s">
        <v>53</v>
      </c>
      <c r="L695" s="6"/>
      <c r="M695" s="6"/>
      <c r="N695" s="6"/>
      <c r="O695" s="5"/>
      <c r="P695" s="7" t="str">
        <f t="shared" si="70"/>
        <v/>
      </c>
      <c r="Q695" s="7" t="str">
        <f t="shared" si="71"/>
        <v/>
      </c>
      <c r="R695" s="7" t="str">
        <f t="shared" si="72"/>
        <v/>
      </c>
      <c r="S695" s="7">
        <f>IF($A695="","",IF(AND(LEFT($G695,3)="ДОК",$N695&lt;&gt;""),IFERROR(INDEX(Документация!$E$2:$E$57,MATCH($N695,Документация!$F$2:$F$57,0)),0),N($F695))*(1-MEDIAN(0,N(ДисконтТендер),1)))</f>
        <v>0</v>
      </c>
      <c r="T695" s="7">
        <f>IF($A695="","",IF(AND(LEFT($G695,3)="ДОК",$N695&lt;&gt;""),0,IF(AND(LEFT($G695,3)&lt;&gt;"ДОК",$N695&lt;&gt;""),IFERROR(INDEX(МАТЕРИАЛЫ!$H$2:$H$9000,MATCH($N695,МАТЕРИАЛЫ!$L$2:$L$9000,0))*IF(INDEX(МАТЕРИАЛЫ!$I$2:$I$9000,MATCH($N695,МАТЕРИАЛЫ!$L$2:$L$9000,0))="USD",КурсUSD,IF(INDEX(МАТЕРИАЛЫ!$I$2:$I$9000,MATCH($N695,МАТЕРИАЛЫ!$L$2:$L$9000,0))="EUR",КурсEUR,IF(INDEX(МАТЕРИАЛЫ!$I$2:$I$9000,MATCH($N695,МАТЕРИАЛЫ!$L$2:$L$9000,0))="CNY",КурсCNY,1)))*(1+N($H695)/100),0),N($O695))*(1-MEDIAN(0,N(ДисконтТендер),1))))</f>
        <v>0</v>
      </c>
      <c r="U695" t="str">
        <f>IF($L695="да",MAX($U$1:$U694)+1,"")</f>
        <v/>
      </c>
      <c r="V695" t="str">
        <f t="shared" si="73"/>
        <v>Р9</v>
      </c>
      <c r="W695" t="str">
        <f t="shared" si="74"/>
        <v/>
      </c>
      <c r="X695" t="str">
        <f t="shared" si="75"/>
        <v/>
      </c>
      <c r="Y695" s="4" t="str">
        <f>IF($A695="","",IF(AND(LEFT($G695,3)="ДОК",$N695&lt;&gt;""),IFERROR(INDEX(Документация!$G$2:$G$57,MATCH($N695,Документация!$F$2:$F$57,0)),$D695),$D695&amp;IF(AND(LEFT($G695,3)&lt;&gt;"ДОК",$N695&lt;&gt;"")," — "&amp;IFERROR(INDEX(МАТЕРИАЛЫ!$C$2:$C$9000,MATCH($N695,МАТЕРИАЛЫ!$L$2:$L$9000,0)),""),"")))</f>
        <v>Пульт дистанционного управления SMART-R10-DIM для лайтбоксов Профлед</v>
      </c>
      <c r="Z695" t="str">
        <f t="shared" si="76"/>
        <v>Р9 · Электротехнические работы</v>
      </c>
    </row>
    <row r="696" spans="1:26" x14ac:dyDescent="0.3">
      <c r="A696" t="s">
        <v>1468</v>
      </c>
      <c r="B696" t="s">
        <v>1255</v>
      </c>
      <c r="C696" t="s">
        <v>161</v>
      </c>
      <c r="D696" s="4" t="s">
        <v>1456</v>
      </c>
      <c r="E696" t="s">
        <v>114</v>
      </c>
      <c r="F696" s="5">
        <v>3242.86</v>
      </c>
      <c r="G696" t="s">
        <v>1381</v>
      </c>
      <c r="H696">
        <v>5</v>
      </c>
      <c r="I696" t="s">
        <v>53</v>
      </c>
      <c r="L696" s="6"/>
      <c r="M696" s="6"/>
      <c r="N696" s="6"/>
      <c r="O696" s="5"/>
      <c r="P696" s="7" t="str">
        <f t="shared" si="70"/>
        <v/>
      </c>
      <c r="Q696" s="7" t="str">
        <f t="shared" si="71"/>
        <v/>
      </c>
      <c r="R696" s="7" t="str">
        <f t="shared" si="72"/>
        <v/>
      </c>
      <c r="S696" s="7">
        <f>IF($A696="","",IF(AND(LEFT($G696,3)="ДОК",$N696&lt;&gt;""),IFERROR(INDEX(Документация!$E$2:$E$57,MATCH($N696,Документация!$F$2:$F$57,0)),0),N($F696))*(1-MEDIAN(0,N(ДисконтТендер),1)))</f>
        <v>3242.86</v>
      </c>
      <c r="T696" s="7">
        <f>IF($A696="","",IF(AND(LEFT($G696,3)="ДОК",$N696&lt;&gt;""),0,IF(AND(LEFT($G696,3)&lt;&gt;"ДОК",$N696&lt;&gt;""),IFERROR(INDEX(МАТЕРИАЛЫ!$H$2:$H$9000,MATCH($N696,МАТЕРИАЛЫ!$L$2:$L$9000,0))*IF(INDEX(МАТЕРИАЛЫ!$I$2:$I$9000,MATCH($N696,МАТЕРИАЛЫ!$L$2:$L$9000,0))="USD",КурсUSD,IF(INDEX(МАТЕРИАЛЫ!$I$2:$I$9000,MATCH($N696,МАТЕРИАЛЫ!$L$2:$L$9000,0))="EUR",КурсEUR,IF(INDEX(МАТЕРИАЛЫ!$I$2:$I$9000,MATCH($N696,МАТЕРИАЛЫ!$L$2:$L$9000,0))="CNY",КурсCNY,1)))*(1+N($H696)/100),0),N($O696))*(1-MEDIAN(0,N(ДисконтТендер),1))))</f>
        <v>0</v>
      </c>
      <c r="U696" t="str">
        <f>IF($L696="да",MAX($U$1:$U695)+1,"")</f>
        <v/>
      </c>
      <c r="V696" t="str">
        <f t="shared" si="73"/>
        <v>Р9</v>
      </c>
      <c r="W696" t="str">
        <f t="shared" si="74"/>
        <v/>
      </c>
      <c r="X696" t="str">
        <f t="shared" si="75"/>
        <v/>
      </c>
      <c r="Y696" s="4" t="str">
        <f>IF($A696="","",IF(AND(LEFT($G696,3)="ДОК",$N696&lt;&gt;""),IFERROR(INDEX(Документация!$G$2:$G$57,MATCH($N696,Документация!$F$2:$F$57,0)),$D696),$D696&amp;IF(AND(LEFT($G696,3)&lt;&gt;"ДОК",$N696&lt;&gt;"")," — "&amp;IFERROR(INDEX(МАТЕРИАЛЫ!$C$2:$C$9000,MATCH($N696,МАТЕРИАЛЫ!$L$2:$L$9000,0)),""),"")))</f>
        <v>Монтаж светильника</v>
      </c>
      <c r="Z696" t="str">
        <f t="shared" si="76"/>
        <v>Р9 · Электротехнические работы</v>
      </c>
    </row>
    <row r="697" spans="1:26" x14ac:dyDescent="0.3">
      <c r="A697" t="s">
        <v>1469</v>
      </c>
      <c r="B697" t="s">
        <v>1255</v>
      </c>
      <c r="C697" t="s">
        <v>161</v>
      </c>
      <c r="D697" s="4" t="s">
        <v>1456</v>
      </c>
      <c r="E697" t="s">
        <v>114</v>
      </c>
      <c r="F697" s="5">
        <v>3756.47</v>
      </c>
      <c r="G697" t="s">
        <v>1381</v>
      </c>
      <c r="H697">
        <v>5</v>
      </c>
      <c r="I697" t="s">
        <v>53</v>
      </c>
      <c r="L697" s="6"/>
      <c r="M697" s="6"/>
      <c r="N697" s="6"/>
      <c r="O697" s="5"/>
      <c r="P697" s="7" t="str">
        <f t="shared" si="70"/>
        <v/>
      </c>
      <c r="Q697" s="7" t="str">
        <f t="shared" si="71"/>
        <v/>
      </c>
      <c r="R697" s="7" t="str">
        <f t="shared" si="72"/>
        <v/>
      </c>
      <c r="S697" s="7">
        <f>IF($A697="","",IF(AND(LEFT($G697,3)="ДОК",$N697&lt;&gt;""),IFERROR(INDEX(Документация!$E$2:$E$57,MATCH($N697,Документация!$F$2:$F$57,0)),0),N($F697))*(1-MEDIAN(0,N(ДисконтТендер),1)))</f>
        <v>3756.47</v>
      </c>
      <c r="T697" s="7">
        <f>IF($A697="","",IF(AND(LEFT($G697,3)="ДОК",$N697&lt;&gt;""),0,IF(AND(LEFT($G697,3)&lt;&gt;"ДОК",$N697&lt;&gt;""),IFERROR(INDEX(МАТЕРИАЛЫ!$H$2:$H$9000,MATCH($N697,МАТЕРИАЛЫ!$L$2:$L$9000,0))*IF(INDEX(МАТЕРИАЛЫ!$I$2:$I$9000,MATCH($N697,МАТЕРИАЛЫ!$L$2:$L$9000,0))="USD",КурсUSD,IF(INDEX(МАТЕРИАЛЫ!$I$2:$I$9000,MATCH($N697,МАТЕРИАЛЫ!$L$2:$L$9000,0))="EUR",КурсEUR,IF(INDEX(МАТЕРИАЛЫ!$I$2:$I$9000,MATCH($N697,МАТЕРИАЛЫ!$L$2:$L$9000,0))="CNY",КурсCNY,1)))*(1+N($H697)/100),0),N($O697))*(1-MEDIAN(0,N(ДисконтТендер),1))))</f>
        <v>0</v>
      </c>
      <c r="U697" t="str">
        <f>IF($L697="да",MAX($U$1:$U696)+1,"")</f>
        <v/>
      </c>
      <c r="V697" t="str">
        <f t="shared" si="73"/>
        <v>Р9</v>
      </c>
      <c r="W697" t="str">
        <f t="shared" si="74"/>
        <v/>
      </c>
      <c r="X697" t="str">
        <f t="shared" si="75"/>
        <v/>
      </c>
      <c r="Y697" s="4" t="str">
        <f>IF($A697="","",IF(AND(LEFT($G697,3)="ДОК",$N697&lt;&gt;""),IFERROR(INDEX(Документация!$G$2:$G$57,MATCH($N697,Документация!$F$2:$F$57,0)),$D697),$D697&amp;IF(AND(LEFT($G697,3)&lt;&gt;"ДОК",$N697&lt;&gt;"")," — "&amp;IFERROR(INDEX(МАТЕРИАЛЫ!$C$2:$C$9000,MATCH($N697,МАТЕРИАЛЫ!$L$2:$L$9000,0)),""),"")))</f>
        <v>Монтаж светильника</v>
      </c>
      <c r="Z697" t="str">
        <f t="shared" si="76"/>
        <v>Р9 · Электротехнические работы</v>
      </c>
    </row>
    <row r="698" spans="1:26" x14ac:dyDescent="0.3">
      <c r="A698" t="s">
        <v>1470</v>
      </c>
      <c r="B698" t="s">
        <v>1255</v>
      </c>
      <c r="C698" t="s">
        <v>161</v>
      </c>
      <c r="D698" s="4" t="s">
        <v>1456</v>
      </c>
      <c r="E698" t="s">
        <v>114</v>
      </c>
      <c r="F698" s="5">
        <v>3357.21</v>
      </c>
      <c r="G698" t="s">
        <v>1381</v>
      </c>
      <c r="H698">
        <v>5</v>
      </c>
      <c r="I698" t="s">
        <v>53</v>
      </c>
      <c r="L698" s="6"/>
      <c r="M698" s="6"/>
      <c r="N698" s="6"/>
      <c r="O698" s="5"/>
      <c r="P698" s="7" t="str">
        <f t="shared" si="70"/>
        <v/>
      </c>
      <c r="Q698" s="7" t="str">
        <f t="shared" si="71"/>
        <v/>
      </c>
      <c r="R698" s="7" t="str">
        <f t="shared" si="72"/>
        <v/>
      </c>
      <c r="S698" s="7">
        <f>IF($A698="","",IF(AND(LEFT($G698,3)="ДОК",$N698&lt;&gt;""),IFERROR(INDEX(Документация!$E$2:$E$57,MATCH($N698,Документация!$F$2:$F$57,0)),0),N($F698))*(1-MEDIAN(0,N(ДисконтТендер),1)))</f>
        <v>3357.21</v>
      </c>
      <c r="T698" s="7">
        <f>IF($A698="","",IF(AND(LEFT($G698,3)="ДОК",$N698&lt;&gt;""),0,IF(AND(LEFT($G698,3)&lt;&gt;"ДОК",$N698&lt;&gt;""),IFERROR(INDEX(МАТЕРИАЛЫ!$H$2:$H$9000,MATCH($N698,МАТЕРИАЛЫ!$L$2:$L$9000,0))*IF(INDEX(МАТЕРИАЛЫ!$I$2:$I$9000,MATCH($N698,МАТЕРИАЛЫ!$L$2:$L$9000,0))="USD",КурсUSD,IF(INDEX(МАТЕРИАЛЫ!$I$2:$I$9000,MATCH($N698,МАТЕРИАЛЫ!$L$2:$L$9000,0))="EUR",КурсEUR,IF(INDEX(МАТЕРИАЛЫ!$I$2:$I$9000,MATCH($N698,МАТЕРИАЛЫ!$L$2:$L$9000,0))="CNY",КурсCNY,1)))*(1+N($H698)/100),0),N($O698))*(1-MEDIAN(0,N(ДисконтТендер),1))))</f>
        <v>0</v>
      </c>
      <c r="U698" t="str">
        <f>IF($L698="да",MAX($U$1:$U697)+1,"")</f>
        <v/>
      </c>
      <c r="V698" t="str">
        <f t="shared" si="73"/>
        <v>Р9</v>
      </c>
      <c r="W698" t="str">
        <f t="shared" si="74"/>
        <v/>
      </c>
      <c r="X698" t="str">
        <f t="shared" si="75"/>
        <v/>
      </c>
      <c r="Y698" s="4" t="str">
        <f>IF($A698="","",IF(AND(LEFT($G698,3)="ДОК",$N698&lt;&gt;""),IFERROR(INDEX(Документация!$G$2:$G$57,MATCH($N698,Документация!$F$2:$F$57,0)),$D698),$D698&amp;IF(AND(LEFT($G698,3)&lt;&gt;"ДОК",$N698&lt;&gt;"")," — "&amp;IFERROR(INDEX(МАТЕРИАЛЫ!$C$2:$C$9000,MATCH($N698,МАТЕРИАЛЫ!$L$2:$L$9000,0)),""),"")))</f>
        <v>Монтаж светильника</v>
      </c>
      <c r="Z698" t="str">
        <f t="shared" si="76"/>
        <v>Р9 · Электротехнические работы</v>
      </c>
    </row>
    <row r="699" spans="1:26" ht="28.8" x14ac:dyDescent="0.3">
      <c r="A699" t="s">
        <v>1471</v>
      </c>
      <c r="B699" t="s">
        <v>1255</v>
      </c>
      <c r="C699" t="s">
        <v>161</v>
      </c>
      <c r="D699" s="4" t="s">
        <v>1377</v>
      </c>
      <c r="E699" t="s">
        <v>114</v>
      </c>
      <c r="F699" s="5">
        <v>3870.81</v>
      </c>
      <c r="G699" t="s">
        <v>1378</v>
      </c>
      <c r="H699">
        <v>5</v>
      </c>
      <c r="I699" t="s">
        <v>53</v>
      </c>
      <c r="L699" s="6"/>
      <c r="M699" s="6"/>
      <c r="N699" s="6"/>
      <c r="O699" s="5"/>
      <c r="P699" s="7" t="str">
        <f t="shared" si="70"/>
        <v/>
      </c>
      <c r="Q699" s="7" t="str">
        <f t="shared" si="71"/>
        <v/>
      </c>
      <c r="R699" s="7" t="str">
        <f t="shared" si="72"/>
        <v/>
      </c>
      <c r="S699" s="7">
        <f>IF($A699="","",IF(AND(LEFT($G699,3)="ДОК",$N699&lt;&gt;""),IFERROR(INDEX(Документация!$E$2:$E$57,MATCH($N699,Документация!$F$2:$F$57,0)),0),N($F699))*(1-MEDIAN(0,N(ДисконтТендер),1)))</f>
        <v>3870.81</v>
      </c>
      <c r="T699" s="7">
        <f>IF($A699="","",IF(AND(LEFT($G699,3)="ДОК",$N699&lt;&gt;""),0,IF(AND(LEFT($G699,3)&lt;&gt;"ДОК",$N699&lt;&gt;""),IFERROR(INDEX(МАТЕРИАЛЫ!$H$2:$H$9000,MATCH($N699,МАТЕРИАЛЫ!$L$2:$L$9000,0))*IF(INDEX(МАТЕРИАЛЫ!$I$2:$I$9000,MATCH($N699,МАТЕРИАЛЫ!$L$2:$L$9000,0))="USD",КурсUSD,IF(INDEX(МАТЕРИАЛЫ!$I$2:$I$9000,MATCH($N699,МАТЕРИАЛЫ!$L$2:$L$9000,0))="EUR",КурсEUR,IF(INDEX(МАТЕРИАЛЫ!$I$2:$I$9000,MATCH($N699,МАТЕРИАЛЫ!$L$2:$L$9000,0))="CNY",КурсCNY,1)))*(1+N($H699)/100),0),N($O699))*(1-MEDIAN(0,N(ДисконтТендер),1))))</f>
        <v>0</v>
      </c>
      <c r="U699" t="str">
        <f>IF($L699="да",MAX($U$1:$U698)+1,"")</f>
        <v/>
      </c>
      <c r="V699" t="str">
        <f t="shared" si="73"/>
        <v>Р9</v>
      </c>
      <c r="W699" t="str">
        <f t="shared" si="74"/>
        <v/>
      </c>
      <c r="X699" t="str">
        <f t="shared" si="75"/>
        <v/>
      </c>
      <c r="Y699" s="4" t="str">
        <f>IF($A699="","",IF(AND(LEFT($G699,3)="ДОК",$N699&lt;&gt;""),IFERROR(INDEX(Документация!$G$2:$G$57,MATCH($N699,Документация!$F$2:$F$57,0)),$D699),$D699&amp;IF(AND(LEFT($G699,3)&lt;&gt;"ДОК",$N699&lt;&gt;"")," — "&amp;IFERROR(INDEX(МАТЕРИАЛЫ!$C$2:$C$9000,MATCH($N699,МАТЕРИАЛЫ!$L$2:$L$9000,0)),""),"")))</f>
        <v>Монтаж светильника аварийного / эвакуационного</v>
      </c>
      <c r="Z699" t="str">
        <f t="shared" si="76"/>
        <v>Р9 · Электротехнические работы</v>
      </c>
    </row>
    <row r="700" spans="1:26" x14ac:dyDescent="0.3">
      <c r="A700" t="s">
        <v>1472</v>
      </c>
      <c r="B700" t="s">
        <v>1255</v>
      </c>
      <c r="C700" t="s">
        <v>161</v>
      </c>
      <c r="D700" s="4" t="s">
        <v>1456</v>
      </c>
      <c r="E700" t="s">
        <v>114</v>
      </c>
      <c r="F700" s="5">
        <v>571.25</v>
      </c>
      <c r="G700" t="s">
        <v>1381</v>
      </c>
      <c r="H700">
        <v>5</v>
      </c>
      <c r="I700" t="s">
        <v>53</v>
      </c>
      <c r="L700" s="6"/>
      <c r="M700" s="6"/>
      <c r="N700" s="6"/>
      <c r="O700" s="5"/>
      <c r="P700" s="7" t="str">
        <f t="shared" si="70"/>
        <v/>
      </c>
      <c r="Q700" s="7" t="str">
        <f t="shared" si="71"/>
        <v/>
      </c>
      <c r="R700" s="7" t="str">
        <f t="shared" si="72"/>
        <v/>
      </c>
      <c r="S700" s="7">
        <f>IF($A700="","",IF(AND(LEFT($G700,3)="ДОК",$N700&lt;&gt;""),IFERROR(INDEX(Документация!$E$2:$E$57,MATCH($N700,Документация!$F$2:$F$57,0)),0),N($F700))*(1-MEDIAN(0,N(ДисконтТендер),1)))</f>
        <v>571.25</v>
      </c>
      <c r="T700" s="7">
        <f>IF($A700="","",IF(AND(LEFT($G700,3)="ДОК",$N700&lt;&gt;""),0,IF(AND(LEFT($G700,3)&lt;&gt;"ДОК",$N700&lt;&gt;""),IFERROR(INDEX(МАТЕРИАЛЫ!$H$2:$H$9000,MATCH($N700,МАТЕРИАЛЫ!$L$2:$L$9000,0))*IF(INDEX(МАТЕРИАЛЫ!$I$2:$I$9000,MATCH($N700,МАТЕРИАЛЫ!$L$2:$L$9000,0))="USD",КурсUSD,IF(INDEX(МАТЕРИАЛЫ!$I$2:$I$9000,MATCH($N700,МАТЕРИАЛЫ!$L$2:$L$9000,0))="EUR",КурсEUR,IF(INDEX(МАТЕРИАЛЫ!$I$2:$I$9000,MATCH($N700,МАТЕРИАЛЫ!$L$2:$L$9000,0))="CNY",КурсCNY,1)))*(1+N($H700)/100),0),N($O700))*(1-MEDIAN(0,N(ДисконтТендер),1))))</f>
        <v>0</v>
      </c>
      <c r="U700" t="str">
        <f>IF($L700="да",MAX($U$1:$U699)+1,"")</f>
        <v/>
      </c>
      <c r="V700" t="str">
        <f t="shared" si="73"/>
        <v>Р9</v>
      </c>
      <c r="W700" t="str">
        <f t="shared" si="74"/>
        <v/>
      </c>
      <c r="X700" t="str">
        <f t="shared" si="75"/>
        <v/>
      </c>
      <c r="Y700" s="4" t="str">
        <f>IF($A700="","",IF(AND(LEFT($G700,3)="ДОК",$N700&lt;&gt;""),IFERROR(INDEX(Документация!$G$2:$G$57,MATCH($N700,Документация!$F$2:$F$57,0)),$D700),$D700&amp;IF(AND(LEFT($G700,3)&lt;&gt;"ДОК",$N700&lt;&gt;"")," — "&amp;IFERROR(INDEX(МАТЕРИАЛЫ!$C$2:$C$9000,MATCH($N700,МАТЕРИАЛЫ!$L$2:$L$9000,0)),""),"")))</f>
        <v>Монтаж светильника</v>
      </c>
      <c r="Z700" t="str">
        <f t="shared" si="76"/>
        <v>Р9 · Электротехнические работы</v>
      </c>
    </row>
    <row r="701" spans="1:26" x14ac:dyDescent="0.3">
      <c r="A701" t="s">
        <v>1473</v>
      </c>
      <c r="B701" t="s">
        <v>1255</v>
      </c>
      <c r="C701" t="s">
        <v>161</v>
      </c>
      <c r="D701" s="4" t="s">
        <v>1456</v>
      </c>
      <c r="E701" t="s">
        <v>114</v>
      </c>
      <c r="F701" s="5">
        <v>707.24</v>
      </c>
      <c r="G701" t="s">
        <v>1381</v>
      </c>
      <c r="H701">
        <v>5</v>
      </c>
      <c r="I701" t="s">
        <v>53</v>
      </c>
      <c r="L701" s="6"/>
      <c r="M701" s="6"/>
      <c r="N701" s="6"/>
      <c r="O701" s="5"/>
      <c r="P701" s="7" t="str">
        <f t="shared" si="70"/>
        <v/>
      </c>
      <c r="Q701" s="7" t="str">
        <f t="shared" si="71"/>
        <v/>
      </c>
      <c r="R701" s="7" t="str">
        <f t="shared" si="72"/>
        <v/>
      </c>
      <c r="S701" s="7">
        <f>IF($A701="","",IF(AND(LEFT($G701,3)="ДОК",$N701&lt;&gt;""),IFERROR(INDEX(Документация!$E$2:$E$57,MATCH($N701,Документация!$F$2:$F$57,0)),0),N($F701))*(1-MEDIAN(0,N(ДисконтТендер),1)))</f>
        <v>707.24</v>
      </c>
      <c r="T701" s="7">
        <f>IF($A701="","",IF(AND(LEFT($G701,3)="ДОК",$N701&lt;&gt;""),0,IF(AND(LEFT($G701,3)&lt;&gt;"ДОК",$N701&lt;&gt;""),IFERROR(INDEX(МАТЕРИАЛЫ!$H$2:$H$9000,MATCH($N701,МАТЕРИАЛЫ!$L$2:$L$9000,0))*IF(INDEX(МАТЕРИАЛЫ!$I$2:$I$9000,MATCH($N701,МАТЕРИАЛЫ!$L$2:$L$9000,0))="USD",КурсUSD,IF(INDEX(МАТЕРИАЛЫ!$I$2:$I$9000,MATCH($N701,МАТЕРИАЛЫ!$L$2:$L$9000,0))="EUR",КурсEUR,IF(INDEX(МАТЕРИАЛЫ!$I$2:$I$9000,MATCH($N701,МАТЕРИАЛЫ!$L$2:$L$9000,0))="CNY",КурсCNY,1)))*(1+N($H701)/100),0),N($O701))*(1-MEDIAN(0,N(ДисконтТендер),1))))</f>
        <v>0</v>
      </c>
      <c r="U701" t="str">
        <f>IF($L701="да",MAX($U$1:$U700)+1,"")</f>
        <v/>
      </c>
      <c r="V701" t="str">
        <f t="shared" si="73"/>
        <v>Р9</v>
      </c>
      <c r="W701" t="str">
        <f t="shared" si="74"/>
        <v/>
      </c>
      <c r="X701" t="str">
        <f t="shared" si="75"/>
        <v/>
      </c>
      <c r="Y701" s="4" t="str">
        <f>IF($A701="","",IF(AND(LEFT($G701,3)="ДОК",$N701&lt;&gt;""),IFERROR(INDEX(Документация!$G$2:$G$57,MATCH($N701,Документация!$F$2:$F$57,0)),$D701),$D701&amp;IF(AND(LEFT($G701,3)&lt;&gt;"ДОК",$N701&lt;&gt;"")," — "&amp;IFERROR(INDEX(МАТЕРИАЛЫ!$C$2:$C$9000,MATCH($N701,МАТЕРИАЛЫ!$L$2:$L$9000,0)),""),"")))</f>
        <v>Монтаж светильника</v>
      </c>
      <c r="Z701" t="str">
        <f t="shared" si="76"/>
        <v>Р9 · Электротехнические работы</v>
      </c>
    </row>
    <row r="702" spans="1:26" ht="57.6" x14ac:dyDescent="0.3">
      <c r="A702" t="s">
        <v>1474</v>
      </c>
      <c r="B702" t="s">
        <v>1255</v>
      </c>
      <c r="C702" t="s">
        <v>161</v>
      </c>
      <c r="D702" s="4" t="s">
        <v>1475</v>
      </c>
      <c r="E702" t="s">
        <v>114</v>
      </c>
      <c r="F702" s="5">
        <v>1293.6099999999999</v>
      </c>
      <c r="G702" t="s">
        <v>1378</v>
      </c>
      <c r="H702">
        <v>5</v>
      </c>
      <c r="I702" t="s">
        <v>53</v>
      </c>
      <c r="L702" s="6"/>
      <c r="M702" s="6"/>
      <c r="N702" s="6"/>
      <c r="O702" s="5"/>
      <c r="P702" s="7" t="str">
        <f t="shared" si="70"/>
        <v/>
      </c>
      <c r="Q702" s="7" t="str">
        <f t="shared" si="71"/>
        <v/>
      </c>
      <c r="R702" s="7" t="str">
        <f t="shared" si="72"/>
        <v/>
      </c>
      <c r="S702" s="7">
        <f>IF($A702="","",IF(AND(LEFT($G702,3)="ДОК",$N702&lt;&gt;""),IFERROR(INDEX(Документация!$E$2:$E$57,MATCH($N702,Документация!$F$2:$F$57,0)),0),N($F702))*(1-MEDIAN(0,N(ДисконтТендер),1)))</f>
        <v>1293.6099999999999</v>
      </c>
      <c r="T702" s="7">
        <f>IF($A702="","",IF(AND(LEFT($G702,3)="ДОК",$N702&lt;&gt;""),0,IF(AND(LEFT($G702,3)&lt;&gt;"ДОК",$N702&lt;&gt;""),IFERROR(INDEX(МАТЕРИАЛЫ!$H$2:$H$9000,MATCH($N702,МАТЕРИАЛЫ!$L$2:$L$9000,0))*IF(INDEX(МАТЕРИАЛЫ!$I$2:$I$9000,MATCH($N702,МАТЕРИАЛЫ!$L$2:$L$9000,0))="USD",КурсUSD,IF(INDEX(МАТЕРИАЛЫ!$I$2:$I$9000,MATCH($N702,МАТЕРИАЛЫ!$L$2:$L$9000,0))="EUR",КурсEUR,IF(INDEX(МАТЕРИАЛЫ!$I$2:$I$9000,MATCH($N702,МАТЕРИАЛЫ!$L$2:$L$9000,0))="CNY",КурсCNY,1)))*(1+N($H702)/100),0),N($O702))*(1-MEDIAN(0,N(ДисконтТендер),1))))</f>
        <v>0</v>
      </c>
      <c r="U702" t="str">
        <f>IF($L702="да",MAX($U$1:$U701)+1,"")</f>
        <v/>
      </c>
      <c r="V702" t="str">
        <f t="shared" si="73"/>
        <v>Р9</v>
      </c>
      <c r="W702" t="str">
        <f t="shared" si="74"/>
        <v/>
      </c>
      <c r="X702" t="str">
        <f t="shared" si="75"/>
        <v/>
      </c>
      <c r="Y702" s="4" t="str">
        <f>IF($A702="","",IF(AND(LEFT($G702,3)="ДОК",$N702&lt;&gt;""),IFERROR(INDEX(Документация!$G$2:$G$57,MATCH($N702,Документация!$F$2:$F$57,0)),$D702),$D702&amp;IF(AND(LEFT($G702,3)&lt;&gt;"ДОК",$N702&lt;&gt;"")," — "&amp;IFERROR(INDEX(МАТЕРИАЛЫ!$C$2:$C$9000,MATCH($N702,МАТЕРИАЛЫ!$L$2:$L$9000,0)),""),"")))</f>
        <v>Quark IN IT D70 REF 60` 12W-4000K CRI 90 Recess WHI - Светильник + Acc. Emergency kit 0,72-1,4W 20-45V {COBx1, {1xL12/0,5-1xL24} EM1H (18-35V, max 40V) BOX I - Аварийный блок</v>
      </c>
      <c r="Z702" t="str">
        <f t="shared" si="76"/>
        <v>Р9 · Электротехнические работы</v>
      </c>
    </row>
    <row r="703" spans="1:26" ht="28.8" x14ac:dyDescent="0.3">
      <c r="A703" t="s">
        <v>1476</v>
      </c>
      <c r="B703" t="s">
        <v>1255</v>
      </c>
      <c r="C703" t="s">
        <v>161</v>
      </c>
      <c r="D703" s="4" t="s">
        <v>1477</v>
      </c>
      <c r="E703" t="s">
        <v>114</v>
      </c>
      <c r="F703" s="5">
        <v>514.54999999999995</v>
      </c>
      <c r="G703" t="s">
        <v>1381</v>
      </c>
      <c r="H703">
        <v>5</v>
      </c>
      <c r="I703" t="s">
        <v>53</v>
      </c>
      <c r="L703" s="6"/>
      <c r="M703" s="6"/>
      <c r="N703" s="6"/>
      <c r="O703" s="5"/>
      <c r="P703" s="7" t="str">
        <f t="shared" si="70"/>
        <v/>
      </c>
      <c r="Q703" s="7" t="str">
        <f t="shared" si="71"/>
        <v/>
      </c>
      <c r="R703" s="7" t="str">
        <f t="shared" si="72"/>
        <v/>
      </c>
      <c r="S703" s="7">
        <f>IF($A703="","",IF(AND(LEFT($G703,3)="ДОК",$N703&lt;&gt;""),IFERROR(INDEX(Документация!$E$2:$E$57,MATCH($N703,Документация!$F$2:$F$57,0)),0),N($F703))*(1-MEDIAN(0,N(ДисконтТендер),1)))</f>
        <v>514.54999999999995</v>
      </c>
      <c r="T703" s="7">
        <f>IF($A703="","",IF(AND(LEFT($G703,3)="ДОК",$N703&lt;&gt;""),0,IF(AND(LEFT($G703,3)&lt;&gt;"ДОК",$N703&lt;&gt;""),IFERROR(INDEX(МАТЕРИАЛЫ!$H$2:$H$9000,MATCH($N703,МАТЕРИАЛЫ!$L$2:$L$9000,0))*IF(INDEX(МАТЕРИАЛЫ!$I$2:$I$9000,MATCH($N703,МАТЕРИАЛЫ!$L$2:$L$9000,0))="USD",КурсUSD,IF(INDEX(МАТЕРИАЛЫ!$I$2:$I$9000,MATCH($N703,МАТЕРИАЛЫ!$L$2:$L$9000,0))="EUR",КурсEUR,IF(INDEX(МАТЕРИАЛЫ!$I$2:$I$9000,MATCH($N703,МАТЕРИАЛЫ!$L$2:$L$9000,0))="CNY",КурсCNY,1)))*(1+N($H703)/100),0),N($O703))*(1-MEDIAN(0,N(ДисконтТендер),1))))</f>
        <v>0</v>
      </c>
      <c r="U703" t="str">
        <f>IF($L703="да",MAX($U$1:$U702)+1,"")</f>
        <v/>
      </c>
      <c r="V703" t="str">
        <f t="shared" si="73"/>
        <v>Р9</v>
      </c>
      <c r="W703" t="str">
        <f t="shared" si="74"/>
        <v/>
      </c>
      <c r="X703" t="str">
        <f t="shared" si="75"/>
        <v/>
      </c>
      <c r="Y703" s="4" t="str">
        <f>IF($A703="","",IF(AND(LEFT($G703,3)="ДОК",$N703&lt;&gt;""),IFERROR(INDEX(Документация!$G$2:$G$57,MATCH($N703,Документация!$F$2:$F$57,0)),$D703),$D703&amp;IF(AND(LEFT($G703,3)&lt;&gt;"ДОК",$N703&lt;&gt;"")," — "&amp;IFERROR(INDEX(МАТЕРИАЛЫ!$C$2:$C$9000,MATCH($N703,МАТЕРИАЛЫ!$L$2:$L$9000,0)),""),"")))</f>
        <v>MICA D190 14W-4000K CRI 90 Recess MP ECO WHI - Светильник</v>
      </c>
      <c r="Z703" t="str">
        <f t="shared" si="76"/>
        <v>Р9 · Электротехнические работы</v>
      </c>
    </row>
    <row r="704" spans="1:26" x14ac:dyDescent="0.3">
      <c r="A704" t="s">
        <v>1478</v>
      </c>
      <c r="B704" t="s">
        <v>1255</v>
      </c>
      <c r="C704" t="s">
        <v>161</v>
      </c>
      <c r="D704" s="4" t="s">
        <v>1456</v>
      </c>
      <c r="E704" t="s">
        <v>114</v>
      </c>
      <c r="F704" s="5">
        <v>857.68</v>
      </c>
      <c r="G704" t="s">
        <v>1381</v>
      </c>
      <c r="H704">
        <v>5</v>
      </c>
      <c r="I704" t="s">
        <v>53</v>
      </c>
      <c r="L704" s="6"/>
      <c r="M704" s="6"/>
      <c r="N704" s="6"/>
      <c r="O704" s="5"/>
      <c r="P704" s="7" t="str">
        <f t="shared" si="70"/>
        <v/>
      </c>
      <c r="Q704" s="7" t="str">
        <f t="shared" si="71"/>
        <v/>
      </c>
      <c r="R704" s="7" t="str">
        <f t="shared" si="72"/>
        <v/>
      </c>
      <c r="S704" s="7">
        <f>IF($A704="","",IF(AND(LEFT($G704,3)="ДОК",$N704&lt;&gt;""),IFERROR(INDEX(Документация!$E$2:$E$57,MATCH($N704,Документация!$F$2:$F$57,0)),0),N($F704))*(1-MEDIAN(0,N(ДисконтТендер),1)))</f>
        <v>857.68</v>
      </c>
      <c r="T704" s="7">
        <f>IF($A704="","",IF(AND(LEFT($G704,3)="ДОК",$N704&lt;&gt;""),0,IF(AND(LEFT($G704,3)&lt;&gt;"ДОК",$N704&lt;&gt;""),IFERROR(INDEX(МАТЕРИАЛЫ!$H$2:$H$9000,MATCH($N704,МАТЕРИАЛЫ!$L$2:$L$9000,0))*IF(INDEX(МАТЕРИАЛЫ!$I$2:$I$9000,MATCH($N704,МАТЕРИАЛЫ!$L$2:$L$9000,0))="USD",КурсUSD,IF(INDEX(МАТЕРИАЛЫ!$I$2:$I$9000,MATCH($N704,МАТЕРИАЛЫ!$L$2:$L$9000,0))="EUR",КурсEUR,IF(INDEX(МАТЕРИАЛЫ!$I$2:$I$9000,MATCH($N704,МАТЕРИАЛЫ!$L$2:$L$9000,0))="CNY",КурсCNY,1)))*(1+N($H704)/100),0),N($O704))*(1-MEDIAN(0,N(ДисконтТендер),1))))</f>
        <v>0</v>
      </c>
      <c r="U704" t="str">
        <f>IF($L704="да",MAX($U$1:$U703)+1,"")</f>
        <v/>
      </c>
      <c r="V704" t="str">
        <f t="shared" si="73"/>
        <v>Р9</v>
      </c>
      <c r="W704" t="str">
        <f t="shared" si="74"/>
        <v/>
      </c>
      <c r="X704" t="str">
        <f t="shared" si="75"/>
        <v/>
      </c>
      <c r="Y704" s="4" t="str">
        <f>IF($A704="","",IF(AND(LEFT($G704,3)="ДОК",$N704&lt;&gt;""),IFERROR(INDEX(Документация!$G$2:$G$57,MATCH($N704,Документация!$F$2:$F$57,0)),$D704),$D704&amp;IF(AND(LEFT($G704,3)&lt;&gt;"ДОК",$N704&lt;&gt;"")," — "&amp;IFERROR(INDEX(МАТЕРИАЛЫ!$C$2:$C$9000,MATCH($N704,МАТЕРИАЛЫ!$L$2:$L$9000,0)),""),"")))</f>
        <v>Монтаж светильника</v>
      </c>
      <c r="Z704" t="str">
        <f t="shared" si="76"/>
        <v>Р9 · Электротехнические работы</v>
      </c>
    </row>
    <row r="705" spans="1:26" ht="28.8" x14ac:dyDescent="0.3">
      <c r="A705" t="s">
        <v>1479</v>
      </c>
      <c r="B705" t="s">
        <v>1255</v>
      </c>
      <c r="C705" t="s">
        <v>161</v>
      </c>
      <c r="D705" s="4" t="s">
        <v>1377</v>
      </c>
      <c r="E705" t="s">
        <v>114</v>
      </c>
      <c r="F705" s="5">
        <v>1444.05</v>
      </c>
      <c r="G705" t="s">
        <v>1378</v>
      </c>
      <c r="H705">
        <v>5</v>
      </c>
      <c r="I705" t="s">
        <v>53</v>
      </c>
      <c r="L705" s="6"/>
      <c r="M705" s="6"/>
      <c r="N705" s="6"/>
      <c r="O705" s="5"/>
      <c r="P705" s="7" t="str">
        <f t="shared" si="70"/>
        <v/>
      </c>
      <c r="Q705" s="7" t="str">
        <f t="shared" si="71"/>
        <v/>
      </c>
      <c r="R705" s="7" t="str">
        <f t="shared" si="72"/>
        <v/>
      </c>
      <c r="S705" s="7">
        <f>IF($A705="","",IF(AND(LEFT($G705,3)="ДОК",$N705&lt;&gt;""),IFERROR(INDEX(Документация!$E$2:$E$57,MATCH($N705,Документация!$F$2:$F$57,0)),0),N($F705))*(1-MEDIAN(0,N(ДисконтТендер),1)))</f>
        <v>1444.05</v>
      </c>
      <c r="T705" s="7">
        <f>IF($A705="","",IF(AND(LEFT($G705,3)="ДОК",$N705&lt;&gt;""),0,IF(AND(LEFT($G705,3)&lt;&gt;"ДОК",$N705&lt;&gt;""),IFERROR(INDEX(МАТЕРИАЛЫ!$H$2:$H$9000,MATCH($N705,МАТЕРИАЛЫ!$L$2:$L$9000,0))*IF(INDEX(МАТЕРИАЛЫ!$I$2:$I$9000,MATCH($N705,МАТЕРИАЛЫ!$L$2:$L$9000,0))="USD",КурсUSD,IF(INDEX(МАТЕРИАЛЫ!$I$2:$I$9000,MATCH($N705,МАТЕРИАЛЫ!$L$2:$L$9000,0))="EUR",КурсEUR,IF(INDEX(МАТЕРИАЛЫ!$I$2:$I$9000,MATCH($N705,МАТЕРИАЛЫ!$L$2:$L$9000,0))="CNY",КурсCNY,1)))*(1+N($H705)/100),0),N($O705))*(1-MEDIAN(0,N(ДисконтТендер),1))))</f>
        <v>0</v>
      </c>
      <c r="U705" t="str">
        <f>IF($L705="да",MAX($U$1:$U704)+1,"")</f>
        <v/>
      </c>
      <c r="V705" t="str">
        <f t="shared" si="73"/>
        <v>Р9</v>
      </c>
      <c r="W705" t="str">
        <f t="shared" si="74"/>
        <v/>
      </c>
      <c r="X705" t="str">
        <f t="shared" si="75"/>
        <v/>
      </c>
      <c r="Y705" s="4" t="str">
        <f>IF($A705="","",IF(AND(LEFT($G705,3)="ДОК",$N705&lt;&gt;""),IFERROR(INDEX(Документация!$G$2:$G$57,MATCH($N705,Документация!$F$2:$F$57,0)),$D705),$D705&amp;IF(AND(LEFT($G705,3)&lt;&gt;"ДОК",$N705&lt;&gt;"")," — "&amp;IFERROR(INDEX(МАТЕРИАЛЫ!$C$2:$C$9000,MATCH($N705,МАТЕРИАЛЫ!$L$2:$L$9000,0)),""),"")))</f>
        <v>Монтаж светильника аварийного / эвакуационного</v>
      </c>
      <c r="Z705" t="str">
        <f t="shared" si="76"/>
        <v>Р9 · Электротехнические работы</v>
      </c>
    </row>
    <row r="706" spans="1:26" x14ac:dyDescent="0.3">
      <c r="A706" t="s">
        <v>1480</v>
      </c>
      <c r="B706" t="s">
        <v>1255</v>
      </c>
      <c r="C706" t="s">
        <v>161</v>
      </c>
      <c r="D706" s="4" t="s">
        <v>1456</v>
      </c>
      <c r="E706" t="s">
        <v>114</v>
      </c>
      <c r="F706" s="5">
        <v>810.34</v>
      </c>
      <c r="G706" t="s">
        <v>1381</v>
      </c>
      <c r="H706">
        <v>5</v>
      </c>
      <c r="I706" t="s">
        <v>53</v>
      </c>
      <c r="L706" s="6"/>
      <c r="M706" s="6"/>
      <c r="N706" s="6"/>
      <c r="O706" s="5"/>
      <c r="P706" s="7" t="str">
        <f t="shared" ref="P706:P769" si="77">IF($L706="да",ROUND(N($M706)*$S706,2),"")</f>
        <v/>
      </c>
      <c r="Q706" s="7" t="str">
        <f t="shared" ref="Q706:Q769" si="78">IF($L706="да",ROUND(N($M706)*$T706,2),"")</f>
        <v/>
      </c>
      <c r="R706" s="7" t="str">
        <f t="shared" ref="R706:R769" si="79">IF($L706="да",N($P706)+N($Q706),"")</f>
        <v/>
      </c>
      <c r="S706" s="7">
        <f>IF($A706="","",IF(AND(LEFT($G706,3)="ДОК",$N706&lt;&gt;""),IFERROR(INDEX(Документация!$E$2:$E$57,MATCH($N706,Документация!$F$2:$F$57,0)),0),N($F706))*(1-MEDIAN(0,N(ДисконтТендер),1)))</f>
        <v>810.34</v>
      </c>
      <c r="T706" s="7">
        <f>IF($A706="","",IF(AND(LEFT($G706,3)="ДОК",$N706&lt;&gt;""),0,IF(AND(LEFT($G706,3)&lt;&gt;"ДОК",$N706&lt;&gt;""),IFERROR(INDEX(МАТЕРИАЛЫ!$H$2:$H$9000,MATCH($N706,МАТЕРИАЛЫ!$L$2:$L$9000,0))*IF(INDEX(МАТЕРИАЛЫ!$I$2:$I$9000,MATCH($N706,МАТЕРИАЛЫ!$L$2:$L$9000,0))="USD",КурсUSD,IF(INDEX(МАТЕРИАЛЫ!$I$2:$I$9000,MATCH($N706,МАТЕРИАЛЫ!$L$2:$L$9000,0))="EUR",КурсEUR,IF(INDEX(МАТЕРИАЛЫ!$I$2:$I$9000,MATCH($N706,МАТЕРИАЛЫ!$L$2:$L$9000,0))="CNY",КурсCNY,1)))*(1+N($H706)/100),0),N($O706))*(1-MEDIAN(0,N(ДисконтТендер),1))))</f>
        <v>0</v>
      </c>
      <c r="U706" t="str">
        <f>IF($L706="да",MAX($U$1:$U705)+1,"")</f>
        <v/>
      </c>
      <c r="V706" t="str">
        <f t="shared" ref="V706:V769" si="80">IF($A706="","",$B706)</f>
        <v>Р9</v>
      </c>
      <c r="W706" t="str">
        <f t="shared" ref="W706:W769" si="81">IF($U706="","",IF($U706=1,1,IF($V706&lt;&gt;IFERROR(INDEX($V$2:$V$1058,MATCH($U706-1,$U$2:$U$1058,0)),"~"),1,0)))</f>
        <v/>
      </c>
      <c r="X706" t="str">
        <f t="shared" ref="X706:X769" si="82">IF($U706="","",$U706+SUMIFS($W$2:$W$1058,$U$2:$U$1058,"&lt;="&amp;$U706))</f>
        <v/>
      </c>
      <c r="Y706" s="4" t="str">
        <f>IF($A706="","",IF(AND(LEFT($G706,3)="ДОК",$N706&lt;&gt;""),IFERROR(INDEX(Документация!$G$2:$G$57,MATCH($N706,Документация!$F$2:$F$57,0)),$D706),$D706&amp;IF(AND(LEFT($G706,3)&lt;&gt;"ДОК",$N706&lt;&gt;"")," — "&amp;IFERROR(INDEX(МАТЕРИАЛЫ!$C$2:$C$9000,MATCH($N706,МАТЕРИАЛЫ!$L$2:$L$9000,0)),""),"")))</f>
        <v>Монтаж светильника</v>
      </c>
      <c r="Z706" t="str">
        <f t="shared" ref="Z706:Z769" si="83">IF($B706="","",$B706&amp;" · "&amp;IFERROR(VLOOKUP($B706,спрРазделы,2,0),""))</f>
        <v>Р9 · Электротехнические работы</v>
      </c>
    </row>
    <row r="707" spans="1:26" ht="28.8" x14ac:dyDescent="0.3">
      <c r="A707" t="s">
        <v>1481</v>
      </c>
      <c r="B707" t="s">
        <v>1255</v>
      </c>
      <c r="C707" t="s">
        <v>161</v>
      </c>
      <c r="D707" s="4" t="s">
        <v>1377</v>
      </c>
      <c r="E707" t="s">
        <v>114</v>
      </c>
      <c r="F707" s="5">
        <v>1396.71</v>
      </c>
      <c r="G707" t="s">
        <v>1378</v>
      </c>
      <c r="H707">
        <v>5</v>
      </c>
      <c r="I707" t="s">
        <v>53</v>
      </c>
      <c r="L707" s="6"/>
      <c r="M707" s="6"/>
      <c r="N707" s="6"/>
      <c r="O707" s="5"/>
      <c r="P707" s="7" t="str">
        <f t="shared" si="77"/>
        <v/>
      </c>
      <c r="Q707" s="7" t="str">
        <f t="shared" si="78"/>
        <v/>
      </c>
      <c r="R707" s="7" t="str">
        <f t="shared" si="79"/>
        <v/>
      </c>
      <c r="S707" s="7">
        <f>IF($A707="","",IF(AND(LEFT($G707,3)="ДОК",$N707&lt;&gt;""),IFERROR(INDEX(Документация!$E$2:$E$57,MATCH($N707,Документация!$F$2:$F$57,0)),0),N($F707))*(1-MEDIAN(0,N(ДисконтТендер),1)))</f>
        <v>1396.71</v>
      </c>
      <c r="T707" s="7">
        <f>IF($A707="","",IF(AND(LEFT($G707,3)="ДОК",$N707&lt;&gt;""),0,IF(AND(LEFT($G707,3)&lt;&gt;"ДОК",$N707&lt;&gt;""),IFERROR(INDEX(МАТЕРИАЛЫ!$H$2:$H$9000,MATCH($N707,МАТЕРИАЛЫ!$L$2:$L$9000,0))*IF(INDEX(МАТЕРИАЛЫ!$I$2:$I$9000,MATCH($N707,МАТЕРИАЛЫ!$L$2:$L$9000,0))="USD",КурсUSD,IF(INDEX(МАТЕРИАЛЫ!$I$2:$I$9000,MATCH($N707,МАТЕРИАЛЫ!$L$2:$L$9000,0))="EUR",КурсEUR,IF(INDEX(МАТЕРИАЛЫ!$I$2:$I$9000,MATCH($N707,МАТЕРИАЛЫ!$L$2:$L$9000,0))="CNY",КурсCNY,1)))*(1+N($H707)/100),0),N($O707))*(1-MEDIAN(0,N(ДисконтТендер),1))))</f>
        <v>0</v>
      </c>
      <c r="U707" t="str">
        <f>IF($L707="да",MAX($U$1:$U706)+1,"")</f>
        <v/>
      </c>
      <c r="V707" t="str">
        <f t="shared" si="80"/>
        <v>Р9</v>
      </c>
      <c r="W707" t="str">
        <f t="shared" si="81"/>
        <v/>
      </c>
      <c r="X707" t="str">
        <f t="shared" si="82"/>
        <v/>
      </c>
      <c r="Y707" s="4" t="str">
        <f>IF($A707="","",IF(AND(LEFT($G707,3)="ДОК",$N707&lt;&gt;""),IFERROR(INDEX(Документация!$G$2:$G$57,MATCH($N707,Документация!$F$2:$F$57,0)),$D707),$D707&amp;IF(AND(LEFT($G707,3)&lt;&gt;"ДОК",$N707&lt;&gt;"")," — "&amp;IFERROR(INDEX(МАТЕРИАЛЫ!$C$2:$C$9000,MATCH($N707,МАТЕРИАЛЫ!$L$2:$L$9000,0)),""),"")))</f>
        <v>Монтаж светильника аварийного / эвакуационного</v>
      </c>
      <c r="Z707" t="str">
        <f t="shared" si="83"/>
        <v>Р9 · Электротехнические работы</v>
      </c>
    </row>
    <row r="708" spans="1:26" ht="28.8" x14ac:dyDescent="0.3">
      <c r="A708" t="s">
        <v>1482</v>
      </c>
      <c r="B708" t="s">
        <v>1255</v>
      </c>
      <c r="C708" t="s">
        <v>161</v>
      </c>
      <c r="D708" s="4" t="s">
        <v>1483</v>
      </c>
      <c r="E708" t="s">
        <v>114</v>
      </c>
      <c r="F708" s="5">
        <v>735.87</v>
      </c>
      <c r="G708" t="s">
        <v>1381</v>
      </c>
      <c r="H708">
        <v>5</v>
      </c>
      <c r="I708" t="s">
        <v>53</v>
      </c>
      <c r="L708" s="6"/>
      <c r="M708" s="6"/>
      <c r="N708" s="6"/>
      <c r="O708" s="5"/>
      <c r="P708" s="7" t="str">
        <f t="shared" si="77"/>
        <v/>
      </c>
      <c r="Q708" s="7" t="str">
        <f t="shared" si="78"/>
        <v/>
      </c>
      <c r="R708" s="7" t="str">
        <f t="shared" si="79"/>
        <v/>
      </c>
      <c r="S708" s="7">
        <f>IF($A708="","",IF(AND(LEFT($G708,3)="ДОК",$N708&lt;&gt;""),IFERROR(INDEX(Документация!$E$2:$E$57,MATCH($N708,Документация!$F$2:$F$57,0)),0),N($F708))*(1-MEDIAN(0,N(ДисконтТендер),1)))</f>
        <v>735.87</v>
      </c>
      <c r="T708" s="7">
        <f>IF($A708="","",IF(AND(LEFT($G708,3)="ДОК",$N708&lt;&gt;""),0,IF(AND(LEFT($G708,3)&lt;&gt;"ДОК",$N708&lt;&gt;""),IFERROR(INDEX(МАТЕРИАЛЫ!$H$2:$H$9000,MATCH($N708,МАТЕРИАЛЫ!$L$2:$L$9000,0))*IF(INDEX(МАТЕРИАЛЫ!$I$2:$I$9000,MATCH($N708,МАТЕРИАЛЫ!$L$2:$L$9000,0))="USD",КурсUSD,IF(INDEX(МАТЕРИАЛЫ!$I$2:$I$9000,MATCH($N708,МАТЕРИАЛЫ!$L$2:$L$9000,0))="EUR",КурсEUR,IF(INDEX(МАТЕРИАЛЫ!$I$2:$I$9000,MATCH($N708,МАТЕРИАЛЫ!$L$2:$L$9000,0))="CNY",КурсCNY,1)))*(1+N($H708)/100),0),N($O708))*(1-MEDIAN(0,N(ДисконтТендер),1))))</f>
        <v>0</v>
      </c>
      <c r="U708" t="str">
        <f>IF($L708="да",MAX($U$1:$U707)+1,"")</f>
        <v/>
      </c>
      <c r="V708" t="str">
        <f t="shared" si="80"/>
        <v>Р9</v>
      </c>
      <c r="W708" t="str">
        <f t="shared" si="81"/>
        <v/>
      </c>
      <c r="X708" t="str">
        <f t="shared" si="82"/>
        <v/>
      </c>
      <c r="Y708" s="4" t="str">
        <f>IF($A708="","",IF(AND(LEFT($G708,3)="ДОК",$N708&lt;&gt;""),IFERROR(INDEX(Документация!$G$2:$G$57,MATCH($N708,Документация!$F$2:$F$57,0)),$D708),$D708&amp;IF(AND(LEFT($G708,3)&lt;&gt;"ДОК",$N708&lt;&gt;"")," — "&amp;IFERROR(INDEX(МАТЕРИАЛЫ!$C$2:$C$9000,MATCH($N708,МАТЕРИАЛЫ!$L$2:$L$9000,0)),""),"")))</f>
        <v>Quark AIR IT Lens D70 8W-4000K CRI 90 H210 Susp WHI- Светильник</v>
      </c>
      <c r="Z708" t="str">
        <f t="shared" si="83"/>
        <v>Р9 · Электротехнические работы</v>
      </c>
    </row>
    <row r="709" spans="1:26" ht="28.8" x14ac:dyDescent="0.3">
      <c r="A709" t="s">
        <v>1484</v>
      </c>
      <c r="B709" t="s">
        <v>1255</v>
      </c>
      <c r="C709" t="s">
        <v>161</v>
      </c>
      <c r="D709" s="4" t="s">
        <v>1485</v>
      </c>
      <c r="E709" t="s">
        <v>114</v>
      </c>
      <c r="F709" s="5">
        <v>714.33</v>
      </c>
      <c r="G709" t="s">
        <v>1381</v>
      </c>
      <c r="H709">
        <v>5</v>
      </c>
      <c r="I709" t="s">
        <v>53</v>
      </c>
      <c r="L709" s="6"/>
      <c r="M709" s="6"/>
      <c r="N709" s="6"/>
      <c r="O709" s="5"/>
      <c r="P709" s="7" t="str">
        <f t="shared" si="77"/>
        <v/>
      </c>
      <c r="Q709" s="7" t="str">
        <f t="shared" si="78"/>
        <v/>
      </c>
      <c r="R709" s="7" t="str">
        <f t="shared" si="79"/>
        <v/>
      </c>
      <c r="S709" s="7">
        <f>IF($A709="","",IF(AND(LEFT($G709,3)="ДОК",$N709&lt;&gt;""),IFERROR(INDEX(Документация!$E$2:$E$57,MATCH($N709,Документация!$F$2:$F$57,0)),0),N($F709))*(1-MEDIAN(0,N(ДисконтТендер),1)))</f>
        <v>714.33</v>
      </c>
      <c r="T709" s="7">
        <f>IF($A709="","",IF(AND(LEFT($G709,3)="ДОК",$N709&lt;&gt;""),0,IF(AND(LEFT($G709,3)&lt;&gt;"ДОК",$N709&lt;&gt;""),IFERROR(INDEX(МАТЕРИАЛЫ!$H$2:$H$9000,MATCH($N709,МАТЕРИАЛЫ!$L$2:$L$9000,0))*IF(INDEX(МАТЕРИАЛЫ!$I$2:$I$9000,MATCH($N709,МАТЕРИАЛЫ!$L$2:$L$9000,0))="USD",КурсUSD,IF(INDEX(МАТЕРИАЛЫ!$I$2:$I$9000,MATCH($N709,МАТЕРИАЛЫ!$L$2:$L$9000,0))="EUR",КурсEUR,IF(INDEX(МАТЕРИАЛЫ!$I$2:$I$9000,MATCH($N709,МАТЕРИАЛЫ!$L$2:$L$9000,0))="CNY",КурсCNY,1)))*(1+N($H709)/100),0),N($O709))*(1-MEDIAN(0,N(ДисконтТендер),1))))</f>
        <v>0</v>
      </c>
      <c r="U709" t="str">
        <f>IF($L709="да",MAX($U$1:$U708)+1,"")</f>
        <v/>
      </c>
      <c r="V709" t="str">
        <f t="shared" si="80"/>
        <v>Р9</v>
      </c>
      <c r="W709" t="str">
        <f t="shared" si="81"/>
        <v/>
      </c>
      <c r="X709" t="str">
        <f t="shared" si="82"/>
        <v/>
      </c>
      <c r="Y709" s="4" t="str">
        <f>IF($A709="","",IF(AND(LEFT($G709,3)="ДОК",$N709&lt;&gt;""),IFERROR(INDEX(Документация!$G$2:$G$57,MATCH($N709,Документация!$F$2:$F$57,0)),$D709),$D709&amp;IF(AND(LEFT($G709,3)&lt;&gt;"ДОК",$N709&lt;&gt;"")," — "&amp;IFERROR(INDEX(МАТЕРИАЛЫ!$C$2:$C$9000,MATCH($N709,МАТЕРИАЛЫ!$L$2:$L$9000,0)),""),"")))</f>
        <v>Quark AIR IT MP D70 8W-4000K CRI 90 H210 Susp BLK - Светильник</v>
      </c>
      <c r="Z709" t="str">
        <f t="shared" si="83"/>
        <v>Р9 · Электротехнические работы</v>
      </c>
    </row>
    <row r="710" spans="1:26" ht="28.8" x14ac:dyDescent="0.3">
      <c r="A710" t="s">
        <v>1486</v>
      </c>
      <c r="B710" t="s">
        <v>1255</v>
      </c>
      <c r="C710" t="s">
        <v>161</v>
      </c>
      <c r="D710" s="4" t="s">
        <v>1487</v>
      </c>
      <c r="E710" t="s">
        <v>114</v>
      </c>
      <c r="F710" s="5">
        <v>838.31</v>
      </c>
      <c r="G710" t="s">
        <v>1381</v>
      </c>
      <c r="H710">
        <v>5</v>
      </c>
      <c r="I710" t="s">
        <v>53</v>
      </c>
      <c r="L710" s="6"/>
      <c r="M710" s="6"/>
      <c r="N710" s="6"/>
      <c r="O710" s="5"/>
      <c r="P710" s="7" t="str">
        <f t="shared" si="77"/>
        <v/>
      </c>
      <c r="Q710" s="7" t="str">
        <f t="shared" si="78"/>
        <v/>
      </c>
      <c r="R710" s="7" t="str">
        <f t="shared" si="79"/>
        <v/>
      </c>
      <c r="S710" s="7">
        <f>IF($A710="","",IF(AND(LEFT($G710,3)="ДОК",$N710&lt;&gt;""),IFERROR(INDEX(Документация!$E$2:$E$57,MATCH($N710,Документация!$F$2:$F$57,0)),0),N($F710))*(1-MEDIAN(0,N(ДисконтТендер),1)))</f>
        <v>838.31</v>
      </c>
      <c r="T710" s="7">
        <f>IF($A710="","",IF(AND(LEFT($G710,3)="ДОК",$N710&lt;&gt;""),0,IF(AND(LEFT($G710,3)&lt;&gt;"ДОК",$N710&lt;&gt;""),IFERROR(INDEX(МАТЕРИАЛЫ!$H$2:$H$9000,MATCH($N710,МАТЕРИАЛЫ!$L$2:$L$9000,0))*IF(INDEX(МАТЕРИАЛЫ!$I$2:$I$9000,MATCH($N710,МАТЕРИАЛЫ!$L$2:$L$9000,0))="USD",КурсUSD,IF(INDEX(МАТЕРИАЛЫ!$I$2:$I$9000,MATCH($N710,МАТЕРИАЛЫ!$L$2:$L$9000,0))="EUR",КурсEUR,IF(INDEX(МАТЕРИАЛЫ!$I$2:$I$9000,MATCH($N710,МАТЕРИАЛЫ!$L$2:$L$9000,0))="CNY",КурсCNY,1)))*(1+N($H710)/100),0),N($O710))*(1-MEDIAN(0,N(ДисконтТендер),1))))</f>
        <v>0</v>
      </c>
      <c r="U710" t="str">
        <f>IF($L710="да",MAX($U$1:$U709)+1,"")</f>
        <v/>
      </c>
      <c r="V710" t="str">
        <f t="shared" si="80"/>
        <v>Р9</v>
      </c>
      <c r="W710" t="str">
        <f t="shared" si="81"/>
        <v/>
      </c>
      <c r="X710" t="str">
        <f t="shared" si="82"/>
        <v/>
      </c>
      <c r="Y710" s="4" t="str">
        <f>IF($A710="","",IF(AND(LEFT($G710,3)="ДОК",$N710&lt;&gt;""),IFERROR(INDEX(Документация!$G$2:$G$57,MATCH($N710,Документация!$F$2:$F$57,0)),$D710),$D710&amp;IF(AND(LEFT($G710,3)&lt;&gt;"ДОК",$N710&lt;&gt;"")," — "&amp;IFERROR(INDEX(МАТЕРИАЛЫ!$C$2:$C$9000,MATCH($N710,МАТЕРИАЛЫ!$L$2:$L$9000,0)),""),"")))</f>
        <v>Quark AIR IT MP D45 12W-4000K CRI 90 H210 Susp - Светильник + NECK Q45 IT - Декоративная насадка</v>
      </c>
      <c r="Z710" t="str">
        <f t="shared" si="83"/>
        <v>Р9 · Электротехнические работы</v>
      </c>
    </row>
    <row r="711" spans="1:26" ht="28.8" x14ac:dyDescent="0.3">
      <c r="A711" t="s">
        <v>1488</v>
      </c>
      <c r="B711" t="s">
        <v>1255</v>
      </c>
      <c r="C711" t="s">
        <v>161</v>
      </c>
      <c r="D711" s="4" t="s">
        <v>1489</v>
      </c>
      <c r="E711" t="s">
        <v>114</v>
      </c>
      <c r="F711" s="5">
        <v>3198.26</v>
      </c>
      <c r="G711" t="s">
        <v>1381</v>
      </c>
      <c r="H711">
        <v>5</v>
      </c>
      <c r="I711" t="s">
        <v>53</v>
      </c>
      <c r="L711" s="6"/>
      <c r="M711" s="6"/>
      <c r="N711" s="6"/>
      <c r="O711" s="5"/>
      <c r="P711" s="7" t="str">
        <f t="shared" si="77"/>
        <v/>
      </c>
      <c r="Q711" s="7" t="str">
        <f t="shared" si="78"/>
        <v/>
      </c>
      <c r="R711" s="7" t="str">
        <f t="shared" si="79"/>
        <v/>
      </c>
      <c r="S711" s="7">
        <f>IF($A711="","",IF(AND(LEFT($G711,3)="ДОК",$N711&lt;&gt;""),IFERROR(INDEX(Документация!$E$2:$E$57,MATCH($N711,Документация!$F$2:$F$57,0)),0),N($F711))*(1-MEDIAN(0,N(ДисконтТендер),1)))</f>
        <v>3198.26</v>
      </c>
      <c r="T711" s="7">
        <f>IF($A711="","",IF(AND(LEFT($G711,3)="ДОК",$N711&lt;&gt;""),0,IF(AND(LEFT($G711,3)&lt;&gt;"ДОК",$N711&lt;&gt;""),IFERROR(INDEX(МАТЕРИАЛЫ!$H$2:$H$9000,MATCH($N711,МАТЕРИАЛЫ!$L$2:$L$9000,0))*IF(INDEX(МАТЕРИАЛЫ!$I$2:$I$9000,MATCH($N711,МАТЕРИАЛЫ!$L$2:$L$9000,0))="USD",КурсUSD,IF(INDEX(МАТЕРИАЛЫ!$I$2:$I$9000,MATCH($N711,МАТЕРИАЛЫ!$L$2:$L$9000,0))="EUR",КурсEUR,IF(INDEX(МАТЕРИАЛЫ!$I$2:$I$9000,MATCH($N711,МАТЕРИАЛЫ!$L$2:$L$9000,0))="CNY",КурсCNY,1)))*(1+N($H711)/100),0),N($O711))*(1-MEDIAN(0,N(ДисконтТендер),1))))</f>
        <v>0</v>
      </c>
      <c r="U711" t="str">
        <f>IF($L711="да",MAX($U$1:$U710)+1,"")</f>
        <v/>
      </c>
      <c r="V711" t="str">
        <f t="shared" si="80"/>
        <v>Р9</v>
      </c>
      <c r="W711" t="str">
        <f t="shared" si="81"/>
        <v/>
      </c>
      <c r="X711" t="str">
        <f t="shared" si="82"/>
        <v/>
      </c>
      <c r="Y711" s="4" t="str">
        <f>IF($A711="","",IF(AND(LEFT($G711,3)="ДОК",$N711&lt;&gt;""),IFERROR(INDEX(Документация!$G$2:$G$57,MATCH($N711,Документация!$F$2:$F$57,0)),$D711),$D711&amp;IF(AND(LEFT($G711,3)&lt;&gt;"ДОК",$N711&lt;&gt;"")," — "&amp;IFERROR(INDEX(МАТЕРИАЛЫ!$C$2:$C$9000,MATCH($N711,МАТЕРИАЛЫ!$L$2:$L$9000,0)),""),"")))</f>
        <v>Agat D80 31W/mt-4000K CRI 90 ROW Susp WHI - Светильник</v>
      </c>
      <c r="Z711" t="str">
        <f t="shared" si="83"/>
        <v>Р9 · Электротехнические работы</v>
      </c>
    </row>
    <row r="712" spans="1:26" ht="28.8" x14ac:dyDescent="0.3">
      <c r="A712" t="s">
        <v>1490</v>
      </c>
      <c r="B712" t="s">
        <v>1255</v>
      </c>
      <c r="C712" t="s">
        <v>161</v>
      </c>
      <c r="D712" s="4" t="s">
        <v>1491</v>
      </c>
      <c r="E712" t="s">
        <v>114</v>
      </c>
      <c r="F712" s="5">
        <v>2546.21</v>
      </c>
      <c r="G712" t="s">
        <v>1381</v>
      </c>
      <c r="H712">
        <v>5</v>
      </c>
      <c r="I712" t="s">
        <v>53</v>
      </c>
      <c r="L712" s="6"/>
      <c r="M712" s="6"/>
      <c r="N712" s="6"/>
      <c r="O712" s="5"/>
      <c r="P712" s="7" t="str">
        <f t="shared" si="77"/>
        <v/>
      </c>
      <c r="Q712" s="7" t="str">
        <f t="shared" si="78"/>
        <v/>
      </c>
      <c r="R712" s="7" t="str">
        <f t="shared" si="79"/>
        <v/>
      </c>
      <c r="S712" s="7">
        <f>IF($A712="","",IF(AND(LEFT($G712,3)="ДОК",$N712&lt;&gt;""),IFERROR(INDEX(Документация!$E$2:$E$57,MATCH($N712,Документация!$F$2:$F$57,0)),0),N($F712))*(1-MEDIAN(0,N(ДисконтТендер),1)))</f>
        <v>2546.21</v>
      </c>
      <c r="T712" s="7">
        <f>IF($A712="","",IF(AND(LEFT($G712,3)="ДОК",$N712&lt;&gt;""),0,IF(AND(LEFT($G712,3)&lt;&gt;"ДОК",$N712&lt;&gt;""),IFERROR(INDEX(МАТЕРИАЛЫ!$H$2:$H$9000,MATCH($N712,МАТЕРИАЛЫ!$L$2:$L$9000,0))*IF(INDEX(МАТЕРИАЛЫ!$I$2:$I$9000,MATCH($N712,МАТЕРИАЛЫ!$L$2:$L$9000,0))="USD",КурсUSD,IF(INDEX(МАТЕРИАЛЫ!$I$2:$I$9000,MATCH($N712,МАТЕРИАЛЫ!$L$2:$L$9000,0))="EUR",КурсEUR,IF(INDEX(МАТЕРИАЛЫ!$I$2:$I$9000,MATCH($N712,МАТЕРИАЛЫ!$L$2:$L$9000,0))="CNY",КурсCNY,1)))*(1+N($H712)/100),0),N($O712))*(1-MEDIAN(0,N(ДисконтТендер),1))))</f>
        <v>0</v>
      </c>
      <c r="U712" t="str">
        <f>IF($L712="да",MAX($U$1:$U711)+1,"")</f>
        <v/>
      </c>
      <c r="V712" t="str">
        <f t="shared" si="80"/>
        <v>Р9</v>
      </c>
      <c r="W712" t="str">
        <f t="shared" si="81"/>
        <v/>
      </c>
      <c r="X712" t="str">
        <f t="shared" si="82"/>
        <v/>
      </c>
      <c r="Y712" s="4" t="str">
        <f>IF($A712="","",IF(AND(LEFT($G712,3)="ДОК",$N712&lt;&gt;""),IFERROR(INDEX(Документация!$G$2:$G$57,MATCH($N712,Документация!$F$2:$F$57,0)),$D712),$D712&amp;IF(AND(LEFT($G712,3)&lt;&gt;"ДОК",$N712&lt;&gt;"")," — "&amp;IFERROR(INDEX(МАТЕРИАЛЫ!$C$2:$C$9000,MATCH($N712,МАТЕРИАЛЫ!$L$2:$L$9000,0)),""),"")))</f>
        <v>Ray IN D750 49W-4000K CRI 90 Reduced Susp BLK - Светильник</v>
      </c>
      <c r="Z712" t="str">
        <f t="shared" si="83"/>
        <v>Р9 · Электротехнические работы</v>
      </c>
    </row>
    <row r="713" spans="1:26" ht="57.6" x14ac:dyDescent="0.3">
      <c r="A713" t="s">
        <v>1492</v>
      </c>
      <c r="B713" t="s">
        <v>1255</v>
      </c>
      <c r="C713" t="s">
        <v>161</v>
      </c>
      <c r="D713" s="4" t="s">
        <v>1493</v>
      </c>
      <c r="E713" t="s">
        <v>114</v>
      </c>
      <c r="F713" s="5">
        <v>3059.82</v>
      </c>
      <c r="G713" t="s">
        <v>1378</v>
      </c>
      <c r="H713">
        <v>5</v>
      </c>
      <c r="I713" t="s">
        <v>53</v>
      </c>
      <c r="L713" s="6"/>
      <c r="M713" s="6"/>
      <c r="N713" s="6"/>
      <c r="O713" s="5"/>
      <c r="P713" s="7" t="str">
        <f t="shared" si="77"/>
        <v/>
      </c>
      <c r="Q713" s="7" t="str">
        <f t="shared" si="78"/>
        <v/>
      </c>
      <c r="R713" s="7" t="str">
        <f t="shared" si="79"/>
        <v/>
      </c>
      <c r="S713" s="7">
        <f>IF($A713="","",IF(AND(LEFT($G713,3)="ДОК",$N713&lt;&gt;""),IFERROR(INDEX(Документация!$E$2:$E$57,MATCH($N713,Документация!$F$2:$F$57,0)),0),N($F713))*(1-MEDIAN(0,N(ДисконтТендер),1)))</f>
        <v>3059.82</v>
      </c>
      <c r="T713" s="7">
        <f>IF($A713="","",IF(AND(LEFT($G713,3)="ДОК",$N713&lt;&gt;""),0,IF(AND(LEFT($G713,3)&lt;&gt;"ДОК",$N713&lt;&gt;""),IFERROR(INDEX(МАТЕРИАЛЫ!$H$2:$H$9000,MATCH($N713,МАТЕРИАЛЫ!$L$2:$L$9000,0))*IF(INDEX(МАТЕРИАЛЫ!$I$2:$I$9000,MATCH($N713,МАТЕРИАЛЫ!$L$2:$L$9000,0))="USD",КурсUSD,IF(INDEX(МАТЕРИАЛЫ!$I$2:$I$9000,MATCH($N713,МАТЕРИАЛЫ!$L$2:$L$9000,0))="EUR",КурсEUR,IF(INDEX(МАТЕРИАЛЫ!$I$2:$I$9000,MATCH($N713,МАТЕРИАЛЫ!$L$2:$L$9000,0))="CNY",КурсCNY,1)))*(1+N($H713)/100),0),N($O713))*(1-MEDIAN(0,N(ДисконтТендер),1))))</f>
        <v>0</v>
      </c>
      <c r="U713" t="str">
        <f>IF($L713="да",MAX($U$1:$U712)+1,"")</f>
        <v/>
      </c>
      <c r="V713" t="str">
        <f t="shared" si="80"/>
        <v>Р9</v>
      </c>
      <c r="W713" t="str">
        <f t="shared" si="81"/>
        <v/>
      </c>
      <c r="X713" t="str">
        <f t="shared" si="82"/>
        <v/>
      </c>
      <c r="Y713" s="4" t="str">
        <f>IF($A713="","",IF(AND(LEFT($G713,3)="ДОК",$N713&lt;&gt;""),IFERROR(INDEX(Документация!$G$2:$G$57,MATCH($N713,Документация!$F$2:$F$57,0)),$D713),$D713&amp;IF(AND(LEFT($G713,3)&lt;&gt;"ДОК",$N713&lt;&gt;"")," — "&amp;IFERROR(INDEX(МАТЕРИАЛЫ!$C$2:$C$9000,MATCH($N713,МАТЕРИАЛЫ!$L$2:$L$9000,0)),""),"")))</f>
        <v>Ray IN D750 69W-4000K CRI 90 Susp WHI - Светильник + Acc. Emergency kit 1,8-3,5W {1-5L12/0,5-2,5L24} EM1H (18-35V, max 100V) BOX I - Аварийный блок</v>
      </c>
      <c r="Z713" t="str">
        <f t="shared" si="83"/>
        <v>Р9 · Электротехнические работы</v>
      </c>
    </row>
    <row r="714" spans="1:26" ht="28.8" x14ac:dyDescent="0.3">
      <c r="A714" t="s">
        <v>1494</v>
      </c>
      <c r="B714" t="s">
        <v>1255</v>
      </c>
      <c r="C714" t="s">
        <v>161</v>
      </c>
      <c r="D714" s="4" t="s">
        <v>1495</v>
      </c>
      <c r="E714" t="s">
        <v>114</v>
      </c>
      <c r="F714" s="5">
        <v>2510.6799999999998</v>
      </c>
      <c r="G714" t="s">
        <v>1381</v>
      </c>
      <c r="H714">
        <v>5</v>
      </c>
      <c r="I714" t="s">
        <v>53</v>
      </c>
      <c r="L714" s="6"/>
      <c r="M714" s="6"/>
      <c r="N714" s="6"/>
      <c r="O714" s="5"/>
      <c r="P714" s="7" t="str">
        <f t="shared" si="77"/>
        <v/>
      </c>
      <c r="Q714" s="7" t="str">
        <f t="shared" si="78"/>
        <v/>
      </c>
      <c r="R714" s="7" t="str">
        <f t="shared" si="79"/>
        <v/>
      </c>
      <c r="S714" s="7">
        <f>IF($A714="","",IF(AND(LEFT($G714,3)="ДОК",$N714&lt;&gt;""),IFERROR(INDEX(Документация!$E$2:$E$57,MATCH($N714,Документация!$F$2:$F$57,0)),0),N($F714))*(1-MEDIAN(0,N(ДисконтТендер),1)))</f>
        <v>2510.6799999999998</v>
      </c>
      <c r="T714" s="7">
        <f>IF($A714="","",IF(AND(LEFT($G714,3)="ДОК",$N714&lt;&gt;""),0,IF(AND(LEFT($G714,3)&lt;&gt;"ДОК",$N714&lt;&gt;""),IFERROR(INDEX(МАТЕРИАЛЫ!$H$2:$H$9000,MATCH($N714,МАТЕРИАЛЫ!$L$2:$L$9000,0))*IF(INDEX(МАТЕРИАЛЫ!$I$2:$I$9000,MATCH($N714,МАТЕРИАЛЫ!$L$2:$L$9000,0))="USD",КурсUSD,IF(INDEX(МАТЕРИАЛЫ!$I$2:$I$9000,MATCH($N714,МАТЕРИАЛЫ!$L$2:$L$9000,0))="EUR",КурсEUR,IF(INDEX(МАТЕРИАЛЫ!$I$2:$I$9000,MATCH($N714,МАТЕРИАЛЫ!$L$2:$L$9000,0))="CNY",КурсCNY,1)))*(1+N($H714)/100),0),N($O714))*(1-MEDIAN(0,N(ДисконтТендер),1))))</f>
        <v>0</v>
      </c>
      <c r="U714" t="str">
        <f>IF($L714="да",MAX($U$1:$U713)+1,"")</f>
        <v/>
      </c>
      <c r="V714" t="str">
        <f t="shared" si="80"/>
        <v>Р9</v>
      </c>
      <c r="W714" t="str">
        <f t="shared" si="81"/>
        <v/>
      </c>
      <c r="X714" t="str">
        <f t="shared" si="82"/>
        <v/>
      </c>
      <c r="Y714" s="4" t="str">
        <f>IF($A714="","",IF(AND(LEFT($G714,3)="ДОК",$N714&lt;&gt;""),IFERROR(INDEX(Документация!$G$2:$G$57,MATCH($N714,Документация!$F$2:$F$57,0)),$D714),$D714&amp;IF(AND(LEFT($G714,3)&lt;&gt;"ДОК",$N714&lt;&gt;"")," — "&amp;IFERROR(INDEX(МАТЕРИАЛЫ!$C$2:$C$9000,MATCH($N714,МАТЕРИАЛЫ!$L$2:$L$9000,0)),""),"")))</f>
        <v>Rota D650 MP ECO 28W-4000K CRI 90 Susp BLK - Светильник</v>
      </c>
      <c r="Z714" t="str">
        <f t="shared" si="83"/>
        <v>Р9 · Электротехнические работы</v>
      </c>
    </row>
    <row r="715" spans="1:26" ht="28.8" x14ac:dyDescent="0.3">
      <c r="A715" t="s">
        <v>1496</v>
      </c>
      <c r="B715" t="s">
        <v>1255</v>
      </c>
      <c r="C715" t="s">
        <v>161</v>
      </c>
      <c r="D715" s="4" t="s">
        <v>1497</v>
      </c>
      <c r="E715" t="s">
        <v>114</v>
      </c>
      <c r="F715" s="5">
        <v>1837.93</v>
      </c>
      <c r="G715" t="s">
        <v>1381</v>
      </c>
      <c r="H715">
        <v>5</v>
      </c>
      <c r="I715" t="s">
        <v>53</v>
      </c>
      <c r="L715" s="6"/>
      <c r="M715" s="6"/>
      <c r="N715" s="6"/>
      <c r="O715" s="5"/>
      <c r="P715" s="7" t="str">
        <f t="shared" si="77"/>
        <v/>
      </c>
      <c r="Q715" s="7" t="str">
        <f t="shared" si="78"/>
        <v/>
      </c>
      <c r="R715" s="7" t="str">
        <f t="shared" si="79"/>
        <v/>
      </c>
      <c r="S715" s="7">
        <f>IF($A715="","",IF(AND(LEFT($G715,3)="ДОК",$N715&lt;&gt;""),IFERROR(INDEX(Документация!$E$2:$E$57,MATCH($N715,Документация!$F$2:$F$57,0)),0),N($F715))*(1-MEDIAN(0,N(ДисконтТендер),1)))</f>
        <v>1837.93</v>
      </c>
      <c r="T715" s="7">
        <f>IF($A715="","",IF(AND(LEFT($G715,3)="ДОК",$N715&lt;&gt;""),0,IF(AND(LEFT($G715,3)&lt;&gt;"ДОК",$N715&lt;&gt;""),IFERROR(INDEX(МАТЕРИАЛЫ!$H$2:$H$9000,MATCH($N715,МАТЕРИАЛЫ!$L$2:$L$9000,0))*IF(INDEX(МАТЕРИАЛЫ!$I$2:$I$9000,MATCH($N715,МАТЕРИАЛЫ!$L$2:$L$9000,0))="USD",КурсUSD,IF(INDEX(МАТЕРИАЛЫ!$I$2:$I$9000,MATCH($N715,МАТЕРИАЛЫ!$L$2:$L$9000,0))="EUR",КурсEUR,IF(INDEX(МАТЕРИАЛЫ!$I$2:$I$9000,MATCH($N715,МАТЕРИАЛЫ!$L$2:$L$9000,0))="CNY",КурсCNY,1)))*(1+N($H715)/100),0),N($O715))*(1-MEDIAN(0,N(ДисконтТендер),1))))</f>
        <v>0</v>
      </c>
      <c r="U715" t="str">
        <f>IF($L715="да",MAX($U$1:$U714)+1,"")</f>
        <v/>
      </c>
      <c r="V715" t="str">
        <f t="shared" si="80"/>
        <v>Р9</v>
      </c>
      <c r="W715" t="str">
        <f t="shared" si="81"/>
        <v/>
      </c>
      <c r="X715" t="str">
        <f t="shared" si="82"/>
        <v/>
      </c>
      <c r="Y715" s="4" t="str">
        <f>IF($A715="","",IF(AND(LEFT($G715,3)="ДОК",$N715&lt;&gt;""),IFERROR(INDEX(Документация!$G$2:$G$57,MATCH($N715,Документация!$F$2:$F$57,0)),$D715),$D715&amp;IF(AND(LEFT($G715,3)&lt;&gt;"ДОК",$N715&lt;&gt;"")," — "&amp;IFERROR(INDEX(МАТЕРИАЛЫ!$C$2:$C$9000,MATCH($N715,МАТЕРИАЛЫ!$L$2:$L$9000,0)),""),"")))</f>
        <v>Longa 61 46W-4000K CRI 90 MP 2xL24 Reduced M1200 Susp BLK - Светильник</v>
      </c>
      <c r="Z715" t="str">
        <f t="shared" si="83"/>
        <v>Р9 · Электротехнические работы</v>
      </c>
    </row>
    <row r="716" spans="1:26" ht="28.8" x14ac:dyDescent="0.3">
      <c r="A716" t="s">
        <v>1498</v>
      </c>
      <c r="B716" t="s">
        <v>1255</v>
      </c>
      <c r="C716" t="s">
        <v>161</v>
      </c>
      <c r="D716" s="4" t="s">
        <v>1499</v>
      </c>
      <c r="E716" t="s">
        <v>114</v>
      </c>
      <c r="F716" s="5">
        <v>1395.39</v>
      </c>
      <c r="G716" t="s">
        <v>1381</v>
      </c>
      <c r="H716">
        <v>5</v>
      </c>
      <c r="I716" t="s">
        <v>53</v>
      </c>
      <c r="L716" s="6"/>
      <c r="M716" s="6"/>
      <c r="N716" s="6"/>
      <c r="O716" s="5"/>
      <c r="P716" s="7" t="str">
        <f t="shared" si="77"/>
        <v/>
      </c>
      <c r="Q716" s="7" t="str">
        <f t="shared" si="78"/>
        <v/>
      </c>
      <c r="R716" s="7" t="str">
        <f t="shared" si="79"/>
        <v/>
      </c>
      <c r="S716" s="7">
        <f>IF($A716="","",IF(AND(LEFT($G716,3)="ДОК",$N716&lt;&gt;""),IFERROR(INDEX(Документация!$E$2:$E$57,MATCH($N716,Документация!$F$2:$F$57,0)),0),N($F716))*(1-MEDIAN(0,N(ДисконтТендер),1)))</f>
        <v>1395.39</v>
      </c>
      <c r="T716" s="7">
        <f>IF($A716="","",IF(AND(LEFT($G716,3)="ДОК",$N716&lt;&gt;""),0,IF(AND(LEFT($G716,3)&lt;&gt;"ДОК",$N716&lt;&gt;""),IFERROR(INDEX(МАТЕРИАЛЫ!$H$2:$H$9000,MATCH($N716,МАТЕРИАЛЫ!$L$2:$L$9000,0))*IF(INDEX(МАТЕРИАЛЫ!$I$2:$I$9000,MATCH($N716,МАТЕРИАЛЫ!$L$2:$L$9000,0))="USD",КурсUSD,IF(INDEX(МАТЕРИАЛЫ!$I$2:$I$9000,MATCH($N716,МАТЕРИАЛЫ!$L$2:$L$9000,0))="EUR",КурсEUR,IF(INDEX(МАТЕРИАЛЫ!$I$2:$I$9000,MATCH($N716,МАТЕРИАЛЫ!$L$2:$L$9000,0))="CNY",КурсCNY,1)))*(1+N($H716)/100),0),N($O716))*(1-MEDIAN(0,N(ДисконтТендер),1))))</f>
        <v>0</v>
      </c>
      <c r="U716" t="str">
        <f>IF($L716="да",MAX($U$1:$U715)+1,"")</f>
        <v/>
      </c>
      <c r="V716" t="str">
        <f t="shared" si="80"/>
        <v>Р9</v>
      </c>
      <c r="W716" t="str">
        <f t="shared" si="81"/>
        <v/>
      </c>
      <c r="X716" t="str">
        <f t="shared" si="82"/>
        <v/>
      </c>
      <c r="Y716" s="4" t="str">
        <f>IF($A716="","",IF(AND(LEFT($G716,3)="ДОК",$N716&lt;&gt;""),IFERROR(INDEX(Документация!$G$2:$G$57,MATCH($N716,Документация!$F$2:$F$57,0)),$D716),$D716&amp;IF(AND(LEFT($G716,3)&lt;&gt;"ДОК",$N716&lt;&gt;"")," — "&amp;IFERROR(INDEX(МАТЕРИАЛЫ!$C$2:$C$9000,MATCH($N716,МАТЕРИАЛЫ!$L$2:$L$9000,0)),""),"")))</f>
        <v>Longa 61 35W-4000K CRI 90 MP M1200 Susp BLK - Светильник</v>
      </c>
      <c r="Z716" t="str">
        <f t="shared" si="83"/>
        <v>Р9 · Электротехнические работы</v>
      </c>
    </row>
    <row r="717" spans="1:26" ht="57.6" x14ac:dyDescent="0.3">
      <c r="A717" t="s">
        <v>1500</v>
      </c>
      <c r="B717" t="s">
        <v>1255</v>
      </c>
      <c r="C717" t="s">
        <v>161</v>
      </c>
      <c r="D717" s="4" t="s">
        <v>1501</v>
      </c>
      <c r="E717" t="s">
        <v>114</v>
      </c>
      <c r="F717" s="5">
        <v>1908.99</v>
      </c>
      <c r="G717" t="s">
        <v>1378</v>
      </c>
      <c r="H717">
        <v>5</v>
      </c>
      <c r="I717" t="s">
        <v>53</v>
      </c>
      <c r="L717" s="6"/>
      <c r="M717" s="6"/>
      <c r="N717" s="6"/>
      <c r="O717" s="5"/>
      <c r="P717" s="7" t="str">
        <f t="shared" si="77"/>
        <v/>
      </c>
      <c r="Q717" s="7" t="str">
        <f t="shared" si="78"/>
        <v/>
      </c>
      <c r="R717" s="7" t="str">
        <f t="shared" si="79"/>
        <v/>
      </c>
      <c r="S717" s="7">
        <f>IF($A717="","",IF(AND(LEFT($G717,3)="ДОК",$N717&lt;&gt;""),IFERROR(INDEX(Документация!$E$2:$E$57,MATCH($N717,Документация!$F$2:$F$57,0)),0),N($F717))*(1-MEDIAN(0,N(ДисконтТендер),1)))</f>
        <v>1908.99</v>
      </c>
      <c r="T717" s="7">
        <f>IF($A717="","",IF(AND(LEFT($G717,3)="ДОК",$N717&lt;&gt;""),0,IF(AND(LEFT($G717,3)&lt;&gt;"ДОК",$N717&lt;&gt;""),IFERROR(INDEX(МАТЕРИАЛЫ!$H$2:$H$9000,MATCH($N717,МАТЕРИАЛЫ!$L$2:$L$9000,0))*IF(INDEX(МАТЕРИАЛЫ!$I$2:$I$9000,MATCH($N717,МАТЕРИАЛЫ!$L$2:$L$9000,0))="USD",КурсUSD,IF(INDEX(МАТЕРИАЛЫ!$I$2:$I$9000,MATCH($N717,МАТЕРИАЛЫ!$L$2:$L$9000,0))="EUR",КурсEUR,IF(INDEX(МАТЕРИАЛЫ!$I$2:$I$9000,MATCH($N717,МАТЕРИАЛЫ!$L$2:$L$9000,0))="CNY",КурсCNY,1)))*(1+N($H717)/100),0),N($O717))*(1-MEDIAN(0,N(ДисконтТендер),1))))</f>
        <v>0</v>
      </c>
      <c r="U717" t="str">
        <f>IF($L717="да",MAX($U$1:$U716)+1,"")</f>
        <v/>
      </c>
      <c r="V717" t="str">
        <f t="shared" si="80"/>
        <v>Р9</v>
      </c>
      <c r="W717" t="str">
        <f t="shared" si="81"/>
        <v/>
      </c>
      <c r="X717" t="str">
        <f t="shared" si="82"/>
        <v/>
      </c>
      <c r="Y717" s="4" t="str">
        <f>IF($A717="","",IF(AND(LEFT($G717,3)="ДОК",$N717&lt;&gt;""),IFERROR(INDEX(Документация!$G$2:$G$57,MATCH($N717,Документация!$F$2:$F$57,0)),$D717),$D717&amp;IF(AND(LEFT($G717,3)&lt;&gt;"ДОК",$N717&lt;&gt;"")," — "&amp;IFERROR(INDEX(МАТЕРИАЛЫ!$C$2:$C$9000,MATCH($N717,МАТЕРИАЛЫ!$L$2:$L$9000,0)),""),"")))</f>
        <v>Longa 61 35W-4000K CRI 90 MP M1200 Susp BLK- Светильник + Acc. Emergency kit 1,8-3,5W {1-5L12/0,5-2,5L24} EM1H (18-35V, max 100V) BOX I - Аварийный блок</v>
      </c>
      <c r="Z717" t="str">
        <f t="shared" si="83"/>
        <v>Р9 · Электротехнические работы</v>
      </c>
    </row>
    <row r="718" spans="1:26" ht="28.8" x14ac:dyDescent="0.3">
      <c r="A718" t="s">
        <v>1502</v>
      </c>
      <c r="B718" t="s">
        <v>1255</v>
      </c>
      <c r="C718" t="s">
        <v>161</v>
      </c>
      <c r="D718" s="4" t="s">
        <v>1503</v>
      </c>
      <c r="E718" t="s">
        <v>114</v>
      </c>
      <c r="F718" s="5">
        <v>5658</v>
      </c>
      <c r="G718" t="s">
        <v>1381</v>
      </c>
      <c r="H718">
        <v>5</v>
      </c>
      <c r="I718" t="s">
        <v>53</v>
      </c>
      <c r="L718" s="6"/>
      <c r="M718" s="6"/>
      <c r="N718" s="6"/>
      <c r="O718" s="5"/>
      <c r="P718" s="7" t="str">
        <f t="shared" si="77"/>
        <v/>
      </c>
      <c r="Q718" s="7" t="str">
        <f t="shared" si="78"/>
        <v/>
      </c>
      <c r="R718" s="7" t="str">
        <f t="shared" si="79"/>
        <v/>
      </c>
      <c r="S718" s="7">
        <f>IF($A718="","",IF(AND(LEFT($G718,3)="ДОК",$N718&lt;&gt;""),IFERROR(INDEX(Документация!$E$2:$E$57,MATCH($N718,Документация!$F$2:$F$57,0)),0),N($F718))*(1-MEDIAN(0,N(ДисконтТендер),1)))</f>
        <v>5658</v>
      </c>
      <c r="T718" s="7">
        <f>IF($A718="","",IF(AND(LEFT($G718,3)="ДОК",$N718&lt;&gt;""),0,IF(AND(LEFT($G718,3)&lt;&gt;"ДОК",$N718&lt;&gt;""),IFERROR(INDEX(МАТЕРИАЛЫ!$H$2:$H$9000,MATCH($N718,МАТЕРИАЛЫ!$L$2:$L$9000,0))*IF(INDEX(МАТЕРИАЛЫ!$I$2:$I$9000,MATCH($N718,МАТЕРИАЛЫ!$L$2:$L$9000,0))="USD",КурсUSD,IF(INDEX(МАТЕРИАЛЫ!$I$2:$I$9000,MATCH($N718,МАТЕРИАЛЫ!$L$2:$L$9000,0))="EUR",КурсEUR,IF(INDEX(МАТЕРИАЛЫ!$I$2:$I$9000,MATCH($N718,МАТЕРИАЛЫ!$L$2:$L$9000,0))="CNY",КурсCNY,1)))*(1+N($H718)/100),0),N($O718))*(1-MEDIAN(0,N(ДисконтТендер),1))))</f>
        <v>0</v>
      </c>
      <c r="U718" t="str">
        <f>IF($L718="да",MAX($U$1:$U717)+1,"")</f>
        <v/>
      </c>
      <c r="V718" t="str">
        <f t="shared" si="80"/>
        <v>Р9</v>
      </c>
      <c r="W718" t="str">
        <f t="shared" si="81"/>
        <v/>
      </c>
      <c r="X718" t="str">
        <f t="shared" si="82"/>
        <v/>
      </c>
      <c r="Y718" s="4" t="str">
        <f>IF($A718="","",IF(AND(LEFT($G718,3)="ДОК",$N718&lt;&gt;""),IFERROR(INDEX(Документация!$G$2:$G$57,MATCH($N718,Документация!$F$2:$F$57,0)),$D718),$D718&amp;IF(AND(LEFT($G718,3)&lt;&gt;"ДОК",$N718&lt;&gt;"")," — "&amp;IFERROR(INDEX(МАТЕРИАЛЫ!$C$2:$C$9000,MATCH($N718,МАТЕРИАЛЫ!$L$2:$L$9000,0)),""),"")))</f>
        <v>Longa 40 DI 22W/mt-4000K CRI 90 ROW Reduced Susp BLK - Светильник</v>
      </c>
      <c r="Z718" t="str">
        <f t="shared" si="83"/>
        <v>Р9 · Электротехнические работы</v>
      </c>
    </row>
    <row r="719" spans="1:26" ht="28.8" x14ac:dyDescent="0.3">
      <c r="A719" t="s">
        <v>1504</v>
      </c>
      <c r="B719" t="s">
        <v>1255</v>
      </c>
      <c r="C719" t="s">
        <v>161</v>
      </c>
      <c r="D719" s="4" t="s">
        <v>1505</v>
      </c>
      <c r="E719" t="s">
        <v>114</v>
      </c>
      <c r="F719" s="5">
        <v>1423.45</v>
      </c>
      <c r="G719" t="s">
        <v>1381</v>
      </c>
      <c r="H719">
        <v>5</v>
      </c>
      <c r="I719" t="s">
        <v>53</v>
      </c>
      <c r="L719" s="6"/>
      <c r="M719" s="6"/>
      <c r="N719" s="6"/>
      <c r="O719" s="5"/>
      <c r="P719" s="7" t="str">
        <f t="shared" si="77"/>
        <v/>
      </c>
      <c r="Q719" s="7" t="str">
        <f t="shared" si="78"/>
        <v/>
      </c>
      <c r="R719" s="7" t="str">
        <f t="shared" si="79"/>
        <v/>
      </c>
      <c r="S719" s="7">
        <f>IF($A719="","",IF(AND(LEFT($G719,3)="ДОК",$N719&lt;&gt;""),IFERROR(INDEX(Документация!$E$2:$E$57,MATCH($N719,Документация!$F$2:$F$57,0)),0),N($F719))*(1-MEDIAN(0,N(ДисконтТендер),1)))</f>
        <v>1423.45</v>
      </c>
      <c r="T719" s="7">
        <f>IF($A719="","",IF(AND(LEFT($G719,3)="ДОК",$N719&lt;&gt;""),0,IF(AND(LEFT($G719,3)&lt;&gt;"ДОК",$N719&lt;&gt;""),IFERROR(INDEX(МАТЕРИАЛЫ!$H$2:$H$9000,MATCH($N719,МАТЕРИАЛЫ!$L$2:$L$9000,0))*IF(INDEX(МАТЕРИАЛЫ!$I$2:$I$9000,MATCH($N719,МАТЕРИАЛЫ!$L$2:$L$9000,0))="USD",КурсUSD,IF(INDEX(МАТЕРИАЛЫ!$I$2:$I$9000,MATCH($N719,МАТЕРИАЛЫ!$L$2:$L$9000,0))="EUR",КурсEUR,IF(INDEX(МАТЕРИАЛЫ!$I$2:$I$9000,MATCH($N719,МАТЕРИАЛЫ!$L$2:$L$9000,0))="CNY",КурсCNY,1)))*(1+N($H719)/100),0),N($O719))*(1-MEDIAN(0,N(ДисконтТендер),1))))</f>
        <v>0</v>
      </c>
      <c r="U719" t="str">
        <f>IF($L719="да",MAX($U$1:$U718)+1,"")</f>
        <v/>
      </c>
      <c r="V719" t="str">
        <f t="shared" si="80"/>
        <v>Р9</v>
      </c>
      <c r="W719" t="str">
        <f t="shared" si="81"/>
        <v/>
      </c>
      <c r="X719" t="str">
        <f t="shared" si="82"/>
        <v/>
      </c>
      <c r="Y719" s="4" t="str">
        <f>IF($A719="","",IF(AND(LEFT($G719,3)="ДОК",$N719&lt;&gt;""),IFERROR(INDEX(Документация!$G$2:$G$57,MATCH($N719,Документация!$F$2:$F$57,0)),$D719),$D719&amp;IF(AND(LEFT($G719,3)&lt;&gt;"ДОК",$N719&lt;&gt;"")," — "&amp;IFERROR(INDEX(МАТЕРИАЛЫ!$C$2:$C$9000,MATCH($N719,МАТЕРИАЛЫ!$L$2:$L$9000,0)),""),"")))</f>
        <v>Longa 40 DI 25W-4000K CRI 90 M1200 Reduced Susp WHI - Светильник</v>
      </c>
      <c r="Z719" t="str">
        <f t="shared" si="83"/>
        <v>Р9 · Электротехнические работы</v>
      </c>
    </row>
    <row r="720" spans="1:26" ht="57.6" x14ac:dyDescent="0.3">
      <c r="A720" t="s">
        <v>1506</v>
      </c>
      <c r="B720" t="s">
        <v>1255</v>
      </c>
      <c r="C720" t="s">
        <v>161</v>
      </c>
      <c r="D720" s="4" t="s">
        <v>1507</v>
      </c>
      <c r="E720" t="s">
        <v>114</v>
      </c>
      <c r="F720" s="5">
        <v>1937.06</v>
      </c>
      <c r="G720" t="s">
        <v>1378</v>
      </c>
      <c r="H720">
        <v>5</v>
      </c>
      <c r="I720" t="s">
        <v>53</v>
      </c>
      <c r="L720" s="6"/>
      <c r="M720" s="6"/>
      <c r="N720" s="6"/>
      <c r="O720" s="5"/>
      <c r="P720" s="7" t="str">
        <f t="shared" si="77"/>
        <v/>
      </c>
      <c r="Q720" s="7" t="str">
        <f t="shared" si="78"/>
        <v/>
      </c>
      <c r="R720" s="7" t="str">
        <f t="shared" si="79"/>
        <v/>
      </c>
      <c r="S720" s="7">
        <f>IF($A720="","",IF(AND(LEFT($G720,3)="ДОК",$N720&lt;&gt;""),IFERROR(INDEX(Документация!$E$2:$E$57,MATCH($N720,Документация!$F$2:$F$57,0)),0),N($F720))*(1-MEDIAN(0,N(ДисконтТендер),1)))</f>
        <v>1937.06</v>
      </c>
      <c r="T720" s="7">
        <f>IF($A720="","",IF(AND(LEFT($G720,3)="ДОК",$N720&lt;&gt;""),0,IF(AND(LEFT($G720,3)&lt;&gt;"ДОК",$N720&lt;&gt;""),IFERROR(INDEX(МАТЕРИАЛЫ!$H$2:$H$9000,MATCH($N720,МАТЕРИАЛЫ!$L$2:$L$9000,0))*IF(INDEX(МАТЕРИАЛЫ!$I$2:$I$9000,MATCH($N720,МАТЕРИАЛЫ!$L$2:$L$9000,0))="USD",КурсUSD,IF(INDEX(МАТЕРИАЛЫ!$I$2:$I$9000,MATCH($N720,МАТЕРИАЛЫ!$L$2:$L$9000,0))="EUR",КурсEUR,IF(INDEX(МАТЕРИАЛЫ!$I$2:$I$9000,MATCH($N720,МАТЕРИАЛЫ!$L$2:$L$9000,0))="CNY",КурсCNY,1)))*(1+N($H720)/100),0),N($O720))*(1-MEDIAN(0,N(ДисконтТендер),1))))</f>
        <v>0</v>
      </c>
      <c r="U720" t="str">
        <f>IF($L720="да",MAX($U$1:$U719)+1,"")</f>
        <v/>
      </c>
      <c r="V720" t="str">
        <f t="shared" si="80"/>
        <v>Р9</v>
      </c>
      <c r="W720" t="str">
        <f t="shared" si="81"/>
        <v/>
      </c>
      <c r="X720" t="str">
        <f t="shared" si="82"/>
        <v/>
      </c>
      <c r="Y720" s="4" t="str">
        <f>IF($A720="","",IF(AND(LEFT($G720,3)="ДОК",$N720&lt;&gt;""),IFERROR(INDEX(Документация!$G$2:$G$57,MATCH($N720,Документация!$F$2:$F$57,0)),$D720),$D720&amp;IF(AND(LEFT($G720,3)&lt;&gt;"ДОК",$N720&lt;&gt;"")," — "&amp;IFERROR(INDEX(МАТЕРИАЛЫ!$C$2:$C$9000,MATCH($N720,МАТЕРИАЛЫ!$L$2:$L$9000,0)),""),"")))</f>
        <v>Longa 40 DI 25W-4000K CRI 90 M1200 Reduced Susp WHI Emerg - Светильник + Acc. Emergency kit 1,8-3,5W {1-5L12/0,5-2,5L24} EM1H (18-35V, max 100V) BOX I - Аварийный блок</v>
      </c>
      <c r="Z720" t="str">
        <f t="shared" si="83"/>
        <v>Р9 · Электротехнические работы</v>
      </c>
    </row>
    <row r="721" spans="1:26" ht="28.8" x14ac:dyDescent="0.3">
      <c r="A721" t="s">
        <v>1508</v>
      </c>
      <c r="B721" t="s">
        <v>1255</v>
      </c>
      <c r="C721" t="s">
        <v>161</v>
      </c>
      <c r="D721" s="4" t="s">
        <v>1509</v>
      </c>
      <c r="E721" t="s">
        <v>114</v>
      </c>
      <c r="F721" s="5">
        <v>1705.25</v>
      </c>
      <c r="G721" t="s">
        <v>1381</v>
      </c>
      <c r="H721">
        <v>5</v>
      </c>
      <c r="I721" t="s">
        <v>53</v>
      </c>
      <c r="L721" s="6"/>
      <c r="M721" s="6"/>
      <c r="N721" s="6"/>
      <c r="O721" s="5"/>
      <c r="P721" s="7" t="str">
        <f t="shared" si="77"/>
        <v/>
      </c>
      <c r="Q721" s="7" t="str">
        <f t="shared" si="78"/>
        <v/>
      </c>
      <c r="R721" s="7" t="str">
        <f t="shared" si="79"/>
        <v/>
      </c>
      <c r="S721" s="7">
        <f>IF($A721="","",IF(AND(LEFT($G721,3)="ДОК",$N721&lt;&gt;""),IFERROR(INDEX(Документация!$E$2:$E$57,MATCH($N721,Документация!$F$2:$F$57,0)),0),N($F721))*(1-MEDIAN(0,N(ДисконтТендер),1)))</f>
        <v>1705.25</v>
      </c>
      <c r="T721" s="7">
        <f>IF($A721="","",IF(AND(LEFT($G721,3)="ДОК",$N721&lt;&gt;""),0,IF(AND(LEFT($G721,3)&lt;&gt;"ДОК",$N721&lt;&gt;""),IFERROR(INDEX(МАТЕРИАЛЫ!$H$2:$H$9000,MATCH($N721,МАТЕРИАЛЫ!$L$2:$L$9000,0))*IF(INDEX(МАТЕРИАЛЫ!$I$2:$I$9000,MATCH($N721,МАТЕРИАЛЫ!$L$2:$L$9000,0))="USD",КурсUSD,IF(INDEX(МАТЕРИАЛЫ!$I$2:$I$9000,MATCH($N721,МАТЕРИАЛЫ!$L$2:$L$9000,0))="EUR",КурсEUR,IF(INDEX(МАТЕРИАЛЫ!$I$2:$I$9000,MATCH($N721,МАТЕРИАЛЫ!$L$2:$L$9000,0))="CNY",КурсCNY,1)))*(1+N($H721)/100),0),N($O721))*(1-MEDIAN(0,N(ДисконтТендер),1))))</f>
        <v>0</v>
      </c>
      <c r="U721" t="str">
        <f>IF($L721="да",MAX($U$1:$U720)+1,"")</f>
        <v/>
      </c>
      <c r="V721" t="str">
        <f t="shared" si="80"/>
        <v>Р9</v>
      </c>
      <c r="W721" t="str">
        <f t="shared" si="81"/>
        <v/>
      </c>
      <c r="X721" t="str">
        <f t="shared" si="82"/>
        <v/>
      </c>
      <c r="Y721" s="4" t="str">
        <f>IF($A721="","",IF(AND(LEFT($G721,3)="ДОК",$N721&lt;&gt;""),IFERROR(INDEX(Документация!$G$2:$G$57,MATCH($N721,Документация!$F$2:$F$57,0)),$D721),$D721&amp;IF(AND(LEFT($G721,3)&lt;&gt;"ДОК",$N721&lt;&gt;"")," — "&amp;IFERROR(INDEX(МАТЕРИАЛЫ!$C$2:$C$9000,MATCH($N721,МАТЕРИАЛЫ!$L$2:$L$9000,0)),""),"")))</f>
        <v>Longa 40 DI 39W-4000K CRI 90 M1400 Susp WHI, L=1392mm - Светильник</v>
      </c>
      <c r="Z721" t="str">
        <f t="shared" si="83"/>
        <v>Р9 · Электротехнические работы</v>
      </c>
    </row>
    <row r="722" spans="1:26" ht="28.8" x14ac:dyDescent="0.3">
      <c r="A722" t="s">
        <v>1510</v>
      </c>
      <c r="B722" t="s">
        <v>1255</v>
      </c>
      <c r="C722" t="s">
        <v>161</v>
      </c>
      <c r="D722" s="4" t="s">
        <v>1511</v>
      </c>
      <c r="E722" t="s">
        <v>114</v>
      </c>
      <c r="F722" s="5">
        <v>5117.6499999999996</v>
      </c>
      <c r="G722" t="s">
        <v>1381</v>
      </c>
      <c r="H722">
        <v>5</v>
      </c>
      <c r="I722" t="s">
        <v>53</v>
      </c>
      <c r="L722" s="6"/>
      <c r="M722" s="6"/>
      <c r="N722" s="6"/>
      <c r="O722" s="5"/>
      <c r="P722" s="7" t="str">
        <f t="shared" si="77"/>
        <v/>
      </c>
      <c r="Q722" s="7" t="str">
        <f t="shared" si="78"/>
        <v/>
      </c>
      <c r="R722" s="7" t="str">
        <f t="shared" si="79"/>
        <v/>
      </c>
      <c r="S722" s="7">
        <f>IF($A722="","",IF(AND(LEFT($G722,3)="ДОК",$N722&lt;&gt;""),IFERROR(INDEX(Документация!$E$2:$E$57,MATCH($N722,Документация!$F$2:$F$57,0)),0),N($F722))*(1-MEDIAN(0,N(ДисконтТендер),1)))</f>
        <v>5117.6499999999996</v>
      </c>
      <c r="T722" s="7">
        <f>IF($A722="","",IF(AND(LEFT($G722,3)="ДОК",$N722&lt;&gt;""),0,IF(AND(LEFT($G722,3)&lt;&gt;"ДОК",$N722&lt;&gt;""),IFERROR(INDEX(МАТЕРИАЛЫ!$H$2:$H$9000,MATCH($N722,МАТЕРИАЛЫ!$L$2:$L$9000,0))*IF(INDEX(МАТЕРИАЛЫ!$I$2:$I$9000,MATCH($N722,МАТЕРИАЛЫ!$L$2:$L$9000,0))="USD",КурсUSD,IF(INDEX(МАТЕРИАЛЫ!$I$2:$I$9000,MATCH($N722,МАТЕРИАЛЫ!$L$2:$L$9000,0))="EUR",КурсEUR,IF(INDEX(МАТЕРИАЛЫ!$I$2:$I$9000,MATCH($N722,МАТЕРИАЛЫ!$L$2:$L$9000,0))="CNY",КурсCNY,1)))*(1+N($H722)/100),0),N($O722))*(1-MEDIAN(0,N(ДисконтТендер),1))))</f>
        <v>0</v>
      </c>
      <c r="U722" t="str">
        <f>IF($L722="да",MAX($U$1:$U721)+1,"")</f>
        <v/>
      </c>
      <c r="V722" t="str">
        <f t="shared" si="80"/>
        <v>Р9</v>
      </c>
      <c r="W722" t="str">
        <f t="shared" si="81"/>
        <v/>
      </c>
      <c r="X722" t="str">
        <f t="shared" si="82"/>
        <v/>
      </c>
      <c r="Y722" s="4" t="str">
        <f>IF($A722="","",IF(AND(LEFT($G722,3)="ДОК",$N722&lt;&gt;""),IFERROR(INDEX(Документация!$G$2:$G$57,MATCH($N722,Документация!$F$2:$F$57,0)),$D722),$D722&amp;IF(AND(LEFT($G722,3)&lt;&gt;"ДОК",$N722&lt;&gt;"")," — "&amp;IFERROR(INDEX(МАТЕРИАЛЫ!$C$2:$C$9000,MATCH($N722,МАТЕРИАЛЫ!$L$2:$L$9000,0)),""),"")))</f>
        <v>Ray line 31W/mt-4000K CRI 90 ROW Recess - Светильник</v>
      </c>
      <c r="Z722" t="str">
        <f t="shared" si="83"/>
        <v>Р9 · Электротехнические работы</v>
      </c>
    </row>
    <row r="723" spans="1:26" x14ac:dyDescent="0.3">
      <c r="A723" t="s">
        <v>1512</v>
      </c>
      <c r="B723" t="s">
        <v>1255</v>
      </c>
      <c r="C723" t="s">
        <v>161</v>
      </c>
      <c r="D723" s="4" t="s">
        <v>1513</v>
      </c>
      <c r="E723" t="s">
        <v>114</v>
      </c>
      <c r="F723" s="5">
        <v>66.06</v>
      </c>
      <c r="H723">
        <v>0</v>
      </c>
      <c r="I723" t="s">
        <v>53</v>
      </c>
      <c r="L723" s="6"/>
      <c r="M723" s="6"/>
      <c r="N723" s="6"/>
      <c r="O723" s="5"/>
      <c r="P723" s="7" t="str">
        <f t="shared" si="77"/>
        <v/>
      </c>
      <c r="Q723" s="7" t="str">
        <f t="shared" si="78"/>
        <v/>
      </c>
      <c r="R723" s="7" t="str">
        <f t="shared" si="79"/>
        <v/>
      </c>
      <c r="S723" s="7">
        <f>IF($A723="","",IF(AND(LEFT($G723,3)="ДОК",$N723&lt;&gt;""),IFERROR(INDEX(Документация!$E$2:$E$57,MATCH($N723,Документация!$F$2:$F$57,0)),0),N($F723))*(1-MEDIAN(0,N(ДисконтТендер),1)))</f>
        <v>66.06</v>
      </c>
      <c r="T723" s="7">
        <f>IF($A723="","",IF(AND(LEFT($G723,3)="ДОК",$N723&lt;&gt;""),0,IF(AND(LEFT($G723,3)&lt;&gt;"ДОК",$N723&lt;&gt;""),IFERROR(INDEX(МАТЕРИАЛЫ!$H$2:$H$9000,MATCH($N723,МАТЕРИАЛЫ!$L$2:$L$9000,0))*IF(INDEX(МАТЕРИАЛЫ!$I$2:$I$9000,MATCH($N723,МАТЕРИАЛЫ!$L$2:$L$9000,0))="USD",КурсUSD,IF(INDEX(МАТЕРИАЛЫ!$I$2:$I$9000,MATCH($N723,МАТЕРИАЛЫ!$L$2:$L$9000,0))="EUR",КурсEUR,IF(INDEX(МАТЕРИАЛЫ!$I$2:$I$9000,MATCH($N723,МАТЕРИАЛЫ!$L$2:$L$9000,0))="CNY",КурсCNY,1)))*(1+N($H723)/100),0),N($O723))*(1-MEDIAN(0,N(ДисконтТендер),1))))</f>
        <v>0</v>
      </c>
      <c r="U723" t="str">
        <f>IF($L723="да",MAX($U$1:$U722)+1,"")</f>
        <v/>
      </c>
      <c r="V723" t="str">
        <f t="shared" si="80"/>
        <v>Р9</v>
      </c>
      <c r="W723" t="str">
        <f t="shared" si="81"/>
        <v/>
      </c>
      <c r="X723" t="str">
        <f t="shared" si="82"/>
        <v/>
      </c>
      <c r="Y723" s="4" t="str">
        <f>IF($A723="","",IF(AND(LEFT($G723,3)="ДОК",$N723&lt;&gt;""),IFERROR(INDEX(Документация!$G$2:$G$57,MATCH($N723,Документация!$F$2:$F$57,0)),$D723),$D723&amp;IF(AND(LEFT($G723,3)&lt;&gt;"ДОК",$N723&lt;&gt;"")," — "&amp;IFERROR(INDEX(МАТЕРИАЛЫ!$C$2:$C$9000,MATCH($N723,МАТЕРИАЛЫ!$L$2:$L$9000,0)),""),"")))</f>
        <v>Ray line.U-kit - Крепёж в потолок 1 шт.</v>
      </c>
      <c r="Z723" t="str">
        <f t="shared" si="83"/>
        <v>Р9 · Электротехнические работы</v>
      </c>
    </row>
    <row r="724" spans="1:26" ht="28.8" x14ac:dyDescent="0.3">
      <c r="A724" t="s">
        <v>1514</v>
      </c>
      <c r="B724" t="s">
        <v>1255</v>
      </c>
      <c r="C724" t="s">
        <v>161</v>
      </c>
      <c r="D724" s="4" t="s">
        <v>1515</v>
      </c>
      <c r="E724" t="s">
        <v>114</v>
      </c>
      <c r="F724" s="5">
        <v>4811.66</v>
      </c>
      <c r="G724" t="s">
        <v>1381</v>
      </c>
      <c r="H724">
        <v>5</v>
      </c>
      <c r="I724" t="s">
        <v>53</v>
      </c>
      <c r="L724" s="6"/>
      <c r="M724" s="6"/>
      <c r="N724" s="6"/>
      <c r="O724" s="5"/>
      <c r="P724" s="7" t="str">
        <f t="shared" si="77"/>
        <v/>
      </c>
      <c r="Q724" s="7" t="str">
        <f t="shared" si="78"/>
        <v/>
      </c>
      <c r="R724" s="7" t="str">
        <f t="shared" si="79"/>
        <v/>
      </c>
      <c r="S724" s="7">
        <f>IF($A724="","",IF(AND(LEFT($G724,3)="ДОК",$N724&lt;&gt;""),IFERROR(INDEX(Документация!$E$2:$E$57,MATCH($N724,Документация!$F$2:$F$57,0)),0),N($F724))*(1-MEDIAN(0,N(ДисконтТендер),1)))</f>
        <v>4811.66</v>
      </c>
      <c r="T724" s="7">
        <f>IF($A724="","",IF(AND(LEFT($G724,3)="ДОК",$N724&lt;&gt;""),0,IF(AND(LEFT($G724,3)&lt;&gt;"ДОК",$N724&lt;&gt;""),IFERROR(INDEX(МАТЕРИАЛЫ!$H$2:$H$9000,MATCH($N724,МАТЕРИАЛЫ!$L$2:$L$9000,0))*IF(INDEX(МАТЕРИАЛЫ!$I$2:$I$9000,MATCH($N724,МАТЕРИАЛЫ!$L$2:$L$9000,0))="USD",КурсUSD,IF(INDEX(МАТЕРИАЛЫ!$I$2:$I$9000,MATCH($N724,МАТЕРИАЛЫ!$L$2:$L$9000,0))="EUR",КурсEUR,IF(INDEX(МАТЕРИАЛЫ!$I$2:$I$9000,MATCH($N724,МАТЕРИАЛЫ!$L$2:$L$9000,0))="CNY",КурсCNY,1)))*(1+N($H724)/100),0),N($O724))*(1-MEDIAN(0,N(ДисконтТендер),1))))</f>
        <v>0</v>
      </c>
      <c r="U724" t="str">
        <f>IF($L724="да",MAX($U$1:$U723)+1,"")</f>
        <v/>
      </c>
      <c r="V724" t="str">
        <f t="shared" si="80"/>
        <v>Р9</v>
      </c>
      <c r="W724" t="str">
        <f t="shared" si="81"/>
        <v/>
      </c>
      <c r="X724" t="str">
        <f t="shared" si="82"/>
        <v/>
      </c>
      <c r="Y724" s="4" t="str">
        <f>IF($A724="","",IF(AND(LEFT($G724,3)="ДОК",$N724&lt;&gt;""),IFERROR(INDEX(Документация!$G$2:$G$57,MATCH($N724,Документация!$F$2:$F$57,0)),$D724),$D724&amp;IF(AND(LEFT($G724,3)&lt;&gt;"ДОК",$N724&lt;&gt;"")," — "&amp;IFERROR(INDEX(МАТЕРИАЛЫ!$C$2:$C$9000,MATCH($N724,МАТЕРИАЛЫ!$L$2:$L$9000,0)),""),"")))</f>
        <v>Longa 40 DI 22W/mt-4000K CRI 90 ROW Reduced Susp BLK, L=3928mm - Светильник</v>
      </c>
      <c r="Z724" t="str">
        <f t="shared" si="83"/>
        <v>Р9 · Электротехнические работы</v>
      </c>
    </row>
    <row r="725" spans="1:26" ht="28.8" x14ac:dyDescent="0.3">
      <c r="A725" t="s">
        <v>1516</v>
      </c>
      <c r="B725" t="s">
        <v>1255</v>
      </c>
      <c r="C725" t="s">
        <v>161</v>
      </c>
      <c r="D725" s="4" t="s">
        <v>1517</v>
      </c>
      <c r="E725" t="s">
        <v>114</v>
      </c>
      <c r="F725" s="5">
        <v>899.92</v>
      </c>
      <c r="G725" t="s">
        <v>1381</v>
      </c>
      <c r="H725">
        <v>5</v>
      </c>
      <c r="I725" t="s">
        <v>53</v>
      </c>
      <c r="L725" s="6"/>
      <c r="M725" s="6"/>
      <c r="N725" s="6"/>
      <c r="O725" s="5"/>
      <c r="P725" s="7" t="str">
        <f t="shared" si="77"/>
        <v/>
      </c>
      <c r="Q725" s="7" t="str">
        <f t="shared" si="78"/>
        <v/>
      </c>
      <c r="R725" s="7" t="str">
        <f t="shared" si="79"/>
        <v/>
      </c>
      <c r="S725" s="7">
        <f>IF($A725="","",IF(AND(LEFT($G725,3)="ДОК",$N725&lt;&gt;""),IFERROR(INDEX(Документация!$E$2:$E$57,MATCH($N725,Документация!$F$2:$F$57,0)),0),N($F725))*(1-MEDIAN(0,N(ДисконтТендер),1)))</f>
        <v>899.92</v>
      </c>
      <c r="T725" s="7">
        <f>IF($A725="","",IF(AND(LEFT($G725,3)="ДОК",$N725&lt;&gt;""),0,IF(AND(LEFT($G725,3)&lt;&gt;"ДОК",$N725&lt;&gt;""),IFERROR(INDEX(МАТЕРИАЛЫ!$H$2:$H$9000,MATCH($N725,МАТЕРИАЛЫ!$L$2:$L$9000,0))*IF(INDEX(МАТЕРИАЛЫ!$I$2:$I$9000,MATCH($N725,МАТЕРИАЛЫ!$L$2:$L$9000,0))="USD",КурсUSD,IF(INDEX(МАТЕРИАЛЫ!$I$2:$I$9000,MATCH($N725,МАТЕРИАЛЫ!$L$2:$L$9000,0))="EUR",КурсEUR,IF(INDEX(МАТЕРИАЛЫ!$I$2:$I$9000,MATCH($N725,МАТЕРИАЛЫ!$L$2:$L$9000,0))="CNY",КурсCNY,1)))*(1+N($H725)/100),0),N($O725))*(1-MEDIAN(0,N(ДисконтТендер),1))))</f>
        <v>0</v>
      </c>
      <c r="U725" t="str">
        <f>IF($L725="да",MAX($U$1:$U724)+1,"")</f>
        <v/>
      </c>
      <c r="V725" t="str">
        <f t="shared" si="80"/>
        <v>Р9</v>
      </c>
      <c r="W725" t="str">
        <f t="shared" si="81"/>
        <v/>
      </c>
      <c r="X725" t="str">
        <f t="shared" si="82"/>
        <v/>
      </c>
      <c r="Y725" s="4" t="str">
        <f>IF($A725="","",IF(AND(LEFT($G725,3)="ДОК",$N725&lt;&gt;""),IFERROR(INDEX(Документация!$G$2:$G$57,MATCH($N725,Документация!$F$2:$F$57,0)),$D725),$D725&amp;IF(AND(LEFT($G725,3)&lt;&gt;"ДОК",$N725&lt;&gt;"")," — "&amp;IFERROR(INDEX(МАТЕРИАЛЫ!$C$2:$C$9000,MATCH($N725,МАТЕРИАЛЫ!$L$2:$L$9000,0)),""),"")))</f>
        <v>Ray line 31W/mt-4000K CRI 90 ROW Susp BLK, L=931mm - Светильник</v>
      </c>
      <c r="Z725" t="str">
        <f t="shared" si="83"/>
        <v>Р9 · Электротехнические работы</v>
      </c>
    </row>
    <row r="726" spans="1:26" ht="28.8" x14ac:dyDescent="0.3">
      <c r="A726" t="s">
        <v>1518</v>
      </c>
      <c r="B726" t="s">
        <v>1255</v>
      </c>
      <c r="C726" t="s">
        <v>161</v>
      </c>
      <c r="D726" s="4" t="s">
        <v>1519</v>
      </c>
      <c r="E726" t="s">
        <v>114</v>
      </c>
      <c r="F726" s="5">
        <v>2236.5300000000002</v>
      </c>
      <c r="G726" t="s">
        <v>1381</v>
      </c>
      <c r="H726">
        <v>5</v>
      </c>
      <c r="I726" t="s">
        <v>53</v>
      </c>
      <c r="L726" s="6"/>
      <c r="M726" s="6"/>
      <c r="N726" s="6"/>
      <c r="O726" s="5"/>
      <c r="P726" s="7" t="str">
        <f t="shared" si="77"/>
        <v/>
      </c>
      <c r="Q726" s="7" t="str">
        <f t="shared" si="78"/>
        <v/>
      </c>
      <c r="R726" s="7" t="str">
        <f t="shared" si="79"/>
        <v/>
      </c>
      <c r="S726" s="7">
        <f>IF($A726="","",IF(AND(LEFT($G726,3)="ДОК",$N726&lt;&gt;""),IFERROR(INDEX(Документация!$E$2:$E$57,MATCH($N726,Документация!$F$2:$F$57,0)),0),N($F726))*(1-MEDIAN(0,N(ДисконтТендер),1)))</f>
        <v>2236.5300000000002</v>
      </c>
      <c r="T726" s="7">
        <f>IF($A726="","",IF(AND(LEFT($G726,3)="ДОК",$N726&lt;&gt;""),0,IF(AND(LEFT($G726,3)&lt;&gt;"ДОК",$N726&lt;&gt;""),IFERROR(INDEX(МАТЕРИАЛЫ!$H$2:$H$9000,MATCH($N726,МАТЕРИАЛЫ!$L$2:$L$9000,0))*IF(INDEX(МАТЕРИАЛЫ!$I$2:$I$9000,MATCH($N726,МАТЕРИАЛЫ!$L$2:$L$9000,0))="USD",КурсUSD,IF(INDEX(МАТЕРИАЛЫ!$I$2:$I$9000,MATCH($N726,МАТЕРИАЛЫ!$L$2:$L$9000,0))="EUR",КурсEUR,IF(INDEX(МАТЕРИАЛЫ!$I$2:$I$9000,MATCH($N726,МАТЕРИАЛЫ!$L$2:$L$9000,0))="CNY",КурсCNY,1)))*(1+N($H726)/100),0),N($O726))*(1-MEDIAN(0,N(ДисконтТендер),1))))</f>
        <v>0</v>
      </c>
      <c r="U726" t="str">
        <f>IF($L726="да",MAX($U$1:$U725)+1,"")</f>
        <v/>
      </c>
      <c r="V726" t="str">
        <f t="shared" si="80"/>
        <v>Р9</v>
      </c>
      <c r="W726" t="str">
        <f t="shared" si="81"/>
        <v/>
      </c>
      <c r="X726" t="str">
        <f t="shared" si="82"/>
        <v/>
      </c>
      <c r="Y726" s="4" t="str">
        <f>IF($A726="","",IF(AND(LEFT($G726,3)="ДОК",$N726&lt;&gt;""),IFERROR(INDEX(Документация!$G$2:$G$57,MATCH($N726,Документация!$F$2:$F$57,0)),$D726),$D726&amp;IF(AND(LEFT($G726,3)&lt;&gt;"ДОК",$N726&lt;&gt;"")," — "&amp;IFERROR(INDEX(МАТЕРИАЛЫ!$C$2:$C$9000,MATCH($N726,МАТЕРИАЛЫ!$L$2:$L$9000,0)),""),"")))</f>
        <v>Ray line 20W/mt-3500K ROW 270mA Susp BLK, L=2314mm - Светильник</v>
      </c>
      <c r="Z726" t="str">
        <f t="shared" si="83"/>
        <v>Р9 · Электротехнические работы</v>
      </c>
    </row>
    <row r="727" spans="1:26" ht="28.8" x14ac:dyDescent="0.3">
      <c r="A727" t="s">
        <v>1520</v>
      </c>
      <c r="B727" t="s">
        <v>1255</v>
      </c>
      <c r="C727" t="s">
        <v>161</v>
      </c>
      <c r="D727" s="4" t="s">
        <v>1521</v>
      </c>
      <c r="E727" t="s">
        <v>114</v>
      </c>
      <c r="F727" s="5">
        <v>3573.05</v>
      </c>
      <c r="G727" t="s">
        <v>1381</v>
      </c>
      <c r="H727">
        <v>5</v>
      </c>
      <c r="I727" t="s">
        <v>53</v>
      </c>
      <c r="L727" s="6"/>
      <c r="M727" s="6"/>
      <c r="N727" s="6"/>
      <c r="O727" s="5"/>
      <c r="P727" s="7" t="str">
        <f t="shared" si="77"/>
        <v/>
      </c>
      <c r="Q727" s="7" t="str">
        <f t="shared" si="78"/>
        <v/>
      </c>
      <c r="R727" s="7" t="str">
        <f t="shared" si="79"/>
        <v/>
      </c>
      <c r="S727" s="7">
        <f>IF($A727="","",IF(AND(LEFT($G727,3)="ДОК",$N727&lt;&gt;""),IFERROR(INDEX(Документация!$E$2:$E$57,MATCH($N727,Документация!$F$2:$F$57,0)),0),N($F727))*(1-MEDIAN(0,N(ДисконтТендер),1)))</f>
        <v>3573.05</v>
      </c>
      <c r="T727" s="7">
        <f>IF($A727="","",IF(AND(LEFT($G727,3)="ДОК",$N727&lt;&gt;""),0,IF(AND(LEFT($G727,3)&lt;&gt;"ДОК",$N727&lt;&gt;""),IFERROR(INDEX(МАТЕРИАЛЫ!$H$2:$H$9000,MATCH($N727,МАТЕРИАЛЫ!$L$2:$L$9000,0))*IF(INDEX(МАТЕРИАЛЫ!$I$2:$I$9000,MATCH($N727,МАТЕРИАЛЫ!$L$2:$L$9000,0))="USD",КурсUSD,IF(INDEX(МАТЕРИАЛЫ!$I$2:$I$9000,MATCH($N727,МАТЕРИАЛЫ!$L$2:$L$9000,0))="EUR",КурсEUR,IF(INDEX(МАТЕРИАЛЫ!$I$2:$I$9000,MATCH($N727,МАТЕРИАЛЫ!$L$2:$L$9000,0))="CNY",КурсCNY,1)))*(1+N($H727)/100),0),N($O727))*(1-MEDIAN(0,N(ДисконтТендер),1))))</f>
        <v>0</v>
      </c>
      <c r="U727" t="str">
        <f>IF($L727="да",MAX($U$1:$U726)+1,"")</f>
        <v/>
      </c>
      <c r="V727" t="str">
        <f t="shared" si="80"/>
        <v>Р9</v>
      </c>
      <c r="W727" t="str">
        <f t="shared" si="81"/>
        <v/>
      </c>
      <c r="X727" t="str">
        <f t="shared" si="82"/>
        <v/>
      </c>
      <c r="Y727" s="4" t="str">
        <f>IF($A727="","",IF(AND(LEFT($G727,3)="ДОК",$N727&lt;&gt;""),IFERROR(INDEX(Документация!$G$2:$G$57,MATCH($N727,Документация!$F$2:$F$57,0)),$D727),$D727&amp;IF(AND(LEFT($G727,3)&lt;&gt;"ДОК",$N727&lt;&gt;"")," — "&amp;IFERROR(INDEX(МАТЕРИАЛЫ!$C$2:$C$9000,MATCH($N727,МАТЕРИАЛЫ!$L$2:$L$9000,0)),""),"")))</f>
        <v>Ray line 20W/mt-3500K ROW 270mA Susp BLK, L=3697mm - Светильник</v>
      </c>
      <c r="Z727" t="str">
        <f t="shared" si="83"/>
        <v>Р9 · Электротехнические работы</v>
      </c>
    </row>
    <row r="728" spans="1:26" ht="28.8" x14ac:dyDescent="0.3">
      <c r="A728" t="s">
        <v>1522</v>
      </c>
      <c r="B728" t="s">
        <v>1255</v>
      </c>
      <c r="C728" t="s">
        <v>161</v>
      </c>
      <c r="D728" s="4" t="s">
        <v>1523</v>
      </c>
      <c r="E728" t="s">
        <v>114</v>
      </c>
      <c r="F728" s="5">
        <v>1078.43</v>
      </c>
      <c r="G728" t="s">
        <v>1381</v>
      </c>
      <c r="H728">
        <v>5</v>
      </c>
      <c r="I728" t="s">
        <v>53</v>
      </c>
      <c r="L728" s="6"/>
      <c r="M728" s="6"/>
      <c r="N728" s="6"/>
      <c r="O728" s="5"/>
      <c r="P728" s="7" t="str">
        <f t="shared" si="77"/>
        <v/>
      </c>
      <c r="Q728" s="7" t="str">
        <f t="shared" si="78"/>
        <v/>
      </c>
      <c r="R728" s="7" t="str">
        <f t="shared" si="79"/>
        <v/>
      </c>
      <c r="S728" s="7">
        <f>IF($A728="","",IF(AND(LEFT($G728,3)="ДОК",$N728&lt;&gt;""),IFERROR(INDEX(Документация!$E$2:$E$57,MATCH($N728,Документация!$F$2:$F$57,0)),0),N($F728))*(1-MEDIAN(0,N(ДисконтТендер),1)))</f>
        <v>1078.43</v>
      </c>
      <c r="T728" s="7">
        <f>IF($A728="","",IF(AND(LEFT($G728,3)="ДОК",$N728&lt;&gt;""),0,IF(AND(LEFT($G728,3)&lt;&gt;"ДОК",$N728&lt;&gt;""),IFERROR(INDEX(МАТЕРИАЛЫ!$H$2:$H$9000,MATCH($N728,МАТЕРИАЛЫ!$L$2:$L$9000,0))*IF(INDEX(МАТЕРИАЛЫ!$I$2:$I$9000,MATCH($N728,МАТЕРИАЛЫ!$L$2:$L$9000,0))="USD",КурсUSD,IF(INDEX(МАТЕРИАЛЫ!$I$2:$I$9000,MATCH($N728,МАТЕРИАЛЫ!$L$2:$L$9000,0))="EUR",КурсEUR,IF(INDEX(МАТЕРИАЛЫ!$I$2:$I$9000,MATCH($N728,МАТЕРИАЛЫ!$L$2:$L$9000,0))="CNY",КурсCNY,1)))*(1+N($H728)/100),0),N($O728))*(1-MEDIAN(0,N(ДисконтТендер),1))))</f>
        <v>0</v>
      </c>
      <c r="U728" t="str">
        <f>IF($L728="да",MAX($U$1:$U727)+1,"")</f>
        <v/>
      </c>
      <c r="V728" t="str">
        <f t="shared" si="80"/>
        <v>Р9</v>
      </c>
      <c r="W728" t="str">
        <f t="shared" si="81"/>
        <v/>
      </c>
      <c r="X728" t="str">
        <f t="shared" si="82"/>
        <v/>
      </c>
      <c r="Y728" s="4" t="str">
        <f>IF($A728="","",IF(AND(LEFT($G728,3)="ДОК",$N728&lt;&gt;""),IFERROR(INDEX(Документация!$G$2:$G$57,MATCH($N728,Документация!$F$2:$F$57,0)),$D728),$D728&amp;IF(AND(LEFT($G728,3)&lt;&gt;"ДОК",$N728&lt;&gt;"")," — "&amp;IFERROR(INDEX(МАТЕРИАЛЫ!$C$2:$C$9000,MATCH($N728,МАТЕРИАЛЫ!$L$2:$L$9000,0)),""),"")))</f>
        <v>Ray line 33W-4000K CRI 90 M1200 Susp BLK - Светильник</v>
      </c>
      <c r="Z728" t="str">
        <f t="shared" si="83"/>
        <v>Р9 · Электротехнические работы</v>
      </c>
    </row>
    <row r="729" spans="1:26" ht="28.8" x14ac:dyDescent="0.3">
      <c r="A729" t="s">
        <v>1524</v>
      </c>
      <c r="B729" t="s">
        <v>1255</v>
      </c>
      <c r="C729" t="s">
        <v>161</v>
      </c>
      <c r="D729" s="4" t="s">
        <v>1525</v>
      </c>
      <c r="E729" t="s">
        <v>114</v>
      </c>
      <c r="F729" s="5">
        <v>2014.27</v>
      </c>
      <c r="G729" t="s">
        <v>1381</v>
      </c>
      <c r="H729">
        <v>5</v>
      </c>
      <c r="I729" t="s">
        <v>53</v>
      </c>
      <c r="L729" s="6"/>
      <c r="M729" s="6"/>
      <c r="N729" s="6"/>
      <c r="O729" s="5"/>
      <c r="P729" s="7" t="str">
        <f t="shared" si="77"/>
        <v/>
      </c>
      <c r="Q729" s="7" t="str">
        <f t="shared" si="78"/>
        <v/>
      </c>
      <c r="R729" s="7" t="str">
        <f t="shared" si="79"/>
        <v/>
      </c>
      <c r="S729" s="7">
        <f>IF($A729="","",IF(AND(LEFT($G729,3)="ДОК",$N729&lt;&gt;""),IFERROR(INDEX(Документация!$E$2:$E$57,MATCH($N729,Документация!$F$2:$F$57,0)),0),N($F729))*(1-MEDIAN(0,N(ДисконтТендер),1)))</f>
        <v>2014.27</v>
      </c>
      <c r="T729" s="7">
        <f>IF($A729="","",IF(AND(LEFT($G729,3)="ДОК",$N729&lt;&gt;""),0,IF(AND(LEFT($G729,3)&lt;&gt;"ДОК",$N729&lt;&gt;""),IFERROR(INDEX(МАТЕРИАЛЫ!$H$2:$H$9000,MATCH($N729,МАТЕРИАЛЫ!$L$2:$L$9000,0))*IF(INDEX(МАТЕРИАЛЫ!$I$2:$I$9000,MATCH($N729,МАТЕРИАЛЫ!$L$2:$L$9000,0))="USD",КурсUSD,IF(INDEX(МАТЕРИАЛЫ!$I$2:$I$9000,MATCH($N729,МАТЕРИАЛЫ!$L$2:$L$9000,0))="EUR",КурсEUR,IF(INDEX(МАТЕРИАЛЫ!$I$2:$I$9000,MATCH($N729,МАТЕРИАЛЫ!$L$2:$L$9000,0))="CNY",КурсCNY,1)))*(1+N($H729)/100),0),N($O729))*(1-MEDIAN(0,N(ДисконтТендер),1))))</f>
        <v>0</v>
      </c>
      <c r="U729" t="str">
        <f>IF($L729="да",MAX($U$1:$U728)+1,"")</f>
        <v/>
      </c>
      <c r="V729" t="str">
        <f t="shared" si="80"/>
        <v>Р9</v>
      </c>
      <c r="W729" t="str">
        <f t="shared" si="81"/>
        <v/>
      </c>
      <c r="X729" t="str">
        <f t="shared" si="82"/>
        <v/>
      </c>
      <c r="Y729" s="4" t="str">
        <f>IF($A729="","",IF(AND(LEFT($G729,3)="ДОК",$N729&lt;&gt;""),IFERROR(INDEX(Документация!$G$2:$G$57,MATCH($N729,Документация!$F$2:$F$57,0)),$D729),$D729&amp;IF(AND(LEFT($G729,3)&lt;&gt;"ДОК",$N729&lt;&gt;"")," — "&amp;IFERROR(INDEX(МАТЕРИАЛЫ!$C$2:$C$9000,MATCH($N729,МАТЕРИАЛЫ!$L$2:$L$9000,0)),""),"")))</f>
        <v>Ray line 31W/mt-4000K CRI 90 ROW Susp BLK, L=2084mm - Светильник</v>
      </c>
      <c r="Z729" t="str">
        <f t="shared" si="83"/>
        <v>Р9 · Электротехнические работы</v>
      </c>
    </row>
    <row r="730" spans="1:26" x14ac:dyDescent="0.3">
      <c r="A730" t="s">
        <v>1526</v>
      </c>
      <c r="B730" t="s">
        <v>1255</v>
      </c>
      <c r="C730" t="s">
        <v>161</v>
      </c>
      <c r="D730" s="4" t="s">
        <v>1456</v>
      </c>
      <c r="E730" t="s">
        <v>114</v>
      </c>
      <c r="F730" s="5">
        <v>2905.21</v>
      </c>
      <c r="G730" t="s">
        <v>1381</v>
      </c>
      <c r="H730">
        <v>5</v>
      </c>
      <c r="I730" t="s">
        <v>53</v>
      </c>
      <c r="L730" s="6"/>
      <c r="M730" s="6"/>
      <c r="N730" s="6"/>
      <c r="O730" s="5"/>
      <c r="P730" s="7" t="str">
        <f t="shared" si="77"/>
        <v/>
      </c>
      <c r="Q730" s="7" t="str">
        <f t="shared" si="78"/>
        <v/>
      </c>
      <c r="R730" s="7" t="str">
        <f t="shared" si="79"/>
        <v/>
      </c>
      <c r="S730" s="7">
        <f>IF($A730="","",IF(AND(LEFT($G730,3)="ДОК",$N730&lt;&gt;""),IFERROR(INDEX(Документация!$E$2:$E$57,MATCH($N730,Документация!$F$2:$F$57,0)),0),N($F730))*(1-MEDIAN(0,N(ДисконтТендер),1)))</f>
        <v>2905.21</v>
      </c>
      <c r="T730" s="7">
        <f>IF($A730="","",IF(AND(LEFT($G730,3)="ДОК",$N730&lt;&gt;""),0,IF(AND(LEFT($G730,3)&lt;&gt;"ДОК",$N730&lt;&gt;""),IFERROR(INDEX(МАТЕРИАЛЫ!$H$2:$H$9000,MATCH($N730,МАТЕРИАЛЫ!$L$2:$L$9000,0))*IF(INDEX(МАТЕРИАЛЫ!$I$2:$I$9000,MATCH($N730,МАТЕРИАЛЫ!$L$2:$L$9000,0))="USD",КурсUSD,IF(INDEX(МАТЕРИАЛЫ!$I$2:$I$9000,MATCH($N730,МАТЕРИАЛЫ!$L$2:$L$9000,0))="EUR",КурсEUR,IF(INDEX(МАТЕРИАЛЫ!$I$2:$I$9000,MATCH($N730,МАТЕРИАЛЫ!$L$2:$L$9000,0))="CNY",КурсCNY,1)))*(1+N($H730)/100),0),N($O730))*(1-MEDIAN(0,N(ДисконтТендер),1))))</f>
        <v>0</v>
      </c>
      <c r="U730" t="str">
        <f>IF($L730="да",MAX($U$1:$U729)+1,"")</f>
        <v/>
      </c>
      <c r="V730" t="str">
        <f t="shared" si="80"/>
        <v>Р9</v>
      </c>
      <c r="W730" t="str">
        <f t="shared" si="81"/>
        <v/>
      </c>
      <c r="X730" t="str">
        <f t="shared" si="82"/>
        <v/>
      </c>
      <c r="Y730" s="4" t="str">
        <f>IF($A730="","",IF(AND(LEFT($G730,3)="ДОК",$N730&lt;&gt;""),IFERROR(INDEX(Документация!$G$2:$G$57,MATCH($N730,Документация!$F$2:$F$57,0)),$D730),$D730&amp;IF(AND(LEFT($G730,3)&lt;&gt;"ДОК",$N730&lt;&gt;"")," — "&amp;IFERROR(INDEX(МАТЕРИАЛЫ!$C$2:$C$9000,MATCH($N730,МАТЕРИАЛЫ!$L$2:$L$9000,0)),""),"")))</f>
        <v>Монтаж светильника</v>
      </c>
      <c r="Z730" t="str">
        <f t="shared" si="83"/>
        <v>Р9 · Электротехнические работы</v>
      </c>
    </row>
    <row r="731" spans="1:26" x14ac:dyDescent="0.3">
      <c r="A731" t="s">
        <v>1527</v>
      </c>
      <c r="B731" t="s">
        <v>1255</v>
      </c>
      <c r="C731" t="s">
        <v>161</v>
      </c>
      <c r="D731" s="4" t="s">
        <v>1456</v>
      </c>
      <c r="E731" t="s">
        <v>114</v>
      </c>
      <c r="F731" s="5">
        <v>3127.48</v>
      </c>
      <c r="G731" t="s">
        <v>1381</v>
      </c>
      <c r="H731">
        <v>5</v>
      </c>
      <c r="I731" t="s">
        <v>53</v>
      </c>
      <c r="L731" s="6"/>
      <c r="M731" s="6"/>
      <c r="N731" s="6"/>
      <c r="O731" s="5"/>
      <c r="P731" s="7" t="str">
        <f t="shared" si="77"/>
        <v/>
      </c>
      <c r="Q731" s="7" t="str">
        <f t="shared" si="78"/>
        <v/>
      </c>
      <c r="R731" s="7" t="str">
        <f t="shared" si="79"/>
        <v/>
      </c>
      <c r="S731" s="7">
        <f>IF($A731="","",IF(AND(LEFT($G731,3)="ДОК",$N731&lt;&gt;""),IFERROR(INDEX(Документация!$E$2:$E$57,MATCH($N731,Документация!$F$2:$F$57,0)),0),N($F731))*(1-MEDIAN(0,N(ДисконтТендер),1)))</f>
        <v>3127.48</v>
      </c>
      <c r="T731" s="7">
        <f>IF($A731="","",IF(AND(LEFT($G731,3)="ДОК",$N731&lt;&gt;""),0,IF(AND(LEFT($G731,3)&lt;&gt;"ДОК",$N731&lt;&gt;""),IFERROR(INDEX(МАТЕРИАЛЫ!$H$2:$H$9000,MATCH($N731,МАТЕРИАЛЫ!$L$2:$L$9000,0))*IF(INDEX(МАТЕРИАЛЫ!$I$2:$I$9000,MATCH($N731,МАТЕРИАЛЫ!$L$2:$L$9000,0))="USD",КурсUSD,IF(INDEX(МАТЕРИАЛЫ!$I$2:$I$9000,MATCH($N731,МАТЕРИАЛЫ!$L$2:$L$9000,0))="EUR",КурсEUR,IF(INDEX(МАТЕРИАЛЫ!$I$2:$I$9000,MATCH($N731,МАТЕРИАЛЫ!$L$2:$L$9000,0))="CNY",КурсCNY,1)))*(1+N($H731)/100),0),N($O731))*(1-MEDIAN(0,N(ДисконтТендер),1))))</f>
        <v>0</v>
      </c>
      <c r="U731" t="str">
        <f>IF($L731="да",MAX($U$1:$U730)+1,"")</f>
        <v/>
      </c>
      <c r="V731" t="str">
        <f t="shared" si="80"/>
        <v>Р9</v>
      </c>
      <c r="W731" t="str">
        <f t="shared" si="81"/>
        <v/>
      </c>
      <c r="X731" t="str">
        <f t="shared" si="82"/>
        <v/>
      </c>
      <c r="Y731" s="4" t="str">
        <f>IF($A731="","",IF(AND(LEFT($G731,3)="ДОК",$N731&lt;&gt;""),IFERROR(INDEX(Документация!$G$2:$G$57,MATCH($N731,Документация!$F$2:$F$57,0)),$D731),$D731&amp;IF(AND(LEFT($G731,3)&lt;&gt;"ДОК",$N731&lt;&gt;"")," — "&amp;IFERROR(INDEX(МАТЕРИАЛЫ!$C$2:$C$9000,MATCH($N731,МАТЕРИАЛЫ!$L$2:$L$9000,0)),""),"")))</f>
        <v>Монтаж светильника</v>
      </c>
      <c r="Z731" t="str">
        <f t="shared" si="83"/>
        <v>Р9 · Электротехнические работы</v>
      </c>
    </row>
    <row r="732" spans="1:26" ht="28.8" x14ac:dyDescent="0.3">
      <c r="A732" t="s">
        <v>1528</v>
      </c>
      <c r="B732" t="s">
        <v>1255</v>
      </c>
      <c r="C732" t="s">
        <v>161</v>
      </c>
      <c r="D732" s="4" t="s">
        <v>1529</v>
      </c>
      <c r="E732" t="s">
        <v>114</v>
      </c>
      <c r="F732" s="5">
        <v>3796.25</v>
      </c>
      <c r="G732" t="s">
        <v>1381</v>
      </c>
      <c r="H732">
        <v>5</v>
      </c>
      <c r="I732" t="s">
        <v>53</v>
      </c>
      <c r="L732" s="6"/>
      <c r="M732" s="6"/>
      <c r="N732" s="6"/>
      <c r="O732" s="5"/>
      <c r="P732" s="7" t="str">
        <f t="shared" si="77"/>
        <v/>
      </c>
      <c r="Q732" s="7" t="str">
        <f t="shared" si="78"/>
        <v/>
      </c>
      <c r="R732" s="7" t="str">
        <f t="shared" si="79"/>
        <v/>
      </c>
      <c r="S732" s="7">
        <f>IF($A732="","",IF(AND(LEFT($G732,3)="ДОК",$N732&lt;&gt;""),IFERROR(INDEX(Документация!$E$2:$E$57,MATCH($N732,Документация!$F$2:$F$57,0)),0),N($F732))*(1-MEDIAN(0,N(ДисконтТендер),1)))</f>
        <v>3796.25</v>
      </c>
      <c r="T732" s="7">
        <f>IF($A732="","",IF(AND(LEFT($G732,3)="ДОК",$N732&lt;&gt;""),0,IF(AND(LEFT($G732,3)&lt;&gt;"ДОК",$N732&lt;&gt;""),IFERROR(INDEX(МАТЕРИАЛЫ!$H$2:$H$9000,MATCH($N732,МАТЕРИАЛЫ!$L$2:$L$9000,0))*IF(INDEX(МАТЕРИАЛЫ!$I$2:$I$9000,MATCH($N732,МАТЕРИАЛЫ!$L$2:$L$9000,0))="USD",КурсUSD,IF(INDEX(МАТЕРИАЛЫ!$I$2:$I$9000,MATCH($N732,МАТЕРИАЛЫ!$L$2:$L$9000,0))="EUR",КурсEUR,IF(INDEX(МАТЕРИАЛЫ!$I$2:$I$9000,MATCH($N732,МАТЕРИАЛЫ!$L$2:$L$9000,0))="CNY",КурсCNY,1)))*(1+N($H732)/100),0),N($O732))*(1-MEDIAN(0,N(ДисконтТендер),1))))</f>
        <v>0</v>
      </c>
      <c r="U732" t="str">
        <f>IF($L732="да",MAX($U$1:$U731)+1,"")</f>
        <v/>
      </c>
      <c r="V732" t="str">
        <f t="shared" si="80"/>
        <v>Р9</v>
      </c>
      <c r="W732" t="str">
        <f t="shared" si="81"/>
        <v/>
      </c>
      <c r="X732" t="str">
        <f t="shared" si="82"/>
        <v/>
      </c>
      <c r="Y732" s="4" t="str">
        <f>IF($A732="","",IF(AND(LEFT($G732,3)="ДОК",$N732&lt;&gt;""),IFERROR(INDEX(Документация!$G$2:$G$57,MATCH($N732,Документация!$F$2:$F$57,0)),$D732),$D732&amp;IF(AND(LEFT($G732,3)&lt;&gt;"ДОК",$N732&lt;&gt;"")," — "&amp;IFERROR(INDEX(МАТЕРИАЛЫ!$C$2:$C$9000,MATCH($N732,МАТЕРИАЛЫ!$L$2:$L$9000,0)),""),"")))</f>
        <v>Ray line 15W/mt-4000K CRI 90 ROW 175mA Susp, L=3928mm - Светильник</v>
      </c>
      <c r="Z732" t="str">
        <f t="shared" si="83"/>
        <v>Р9 · Электротехнические работы</v>
      </c>
    </row>
    <row r="733" spans="1:26" ht="28.8" x14ac:dyDescent="0.3">
      <c r="A733" t="s">
        <v>1530</v>
      </c>
      <c r="B733" t="s">
        <v>1255</v>
      </c>
      <c r="C733" t="s">
        <v>161</v>
      </c>
      <c r="D733" s="4" t="s">
        <v>1531</v>
      </c>
      <c r="E733" t="s">
        <v>114</v>
      </c>
      <c r="F733" s="5">
        <v>4909.6499999999996</v>
      </c>
      <c r="G733" t="s">
        <v>1381</v>
      </c>
      <c r="H733">
        <v>5</v>
      </c>
      <c r="I733" t="s">
        <v>53</v>
      </c>
      <c r="L733" s="6"/>
      <c r="M733" s="6"/>
      <c r="N733" s="6"/>
      <c r="O733" s="5"/>
      <c r="P733" s="7" t="str">
        <f t="shared" si="77"/>
        <v/>
      </c>
      <c r="Q733" s="7" t="str">
        <f t="shared" si="78"/>
        <v/>
      </c>
      <c r="R733" s="7" t="str">
        <f t="shared" si="79"/>
        <v/>
      </c>
      <c r="S733" s="7">
        <f>IF($A733="","",IF(AND(LEFT($G733,3)="ДОК",$N733&lt;&gt;""),IFERROR(INDEX(Документация!$E$2:$E$57,MATCH($N733,Документация!$F$2:$F$57,0)),0),N($F733))*(1-MEDIAN(0,N(ДисконтТендер),1)))</f>
        <v>4909.6499999999996</v>
      </c>
      <c r="T733" s="7">
        <f>IF($A733="","",IF(AND(LEFT($G733,3)="ДОК",$N733&lt;&gt;""),0,IF(AND(LEFT($G733,3)&lt;&gt;"ДОК",$N733&lt;&gt;""),IFERROR(INDEX(МАТЕРИАЛЫ!$H$2:$H$9000,MATCH($N733,МАТЕРИАЛЫ!$L$2:$L$9000,0))*IF(INDEX(МАТЕРИАЛЫ!$I$2:$I$9000,MATCH($N733,МАТЕРИАЛЫ!$L$2:$L$9000,0))="USD",КурсUSD,IF(INDEX(МАТЕРИАЛЫ!$I$2:$I$9000,MATCH($N733,МАТЕРИАЛЫ!$L$2:$L$9000,0))="EUR",КурсEUR,IF(INDEX(МАТЕРИАЛЫ!$I$2:$I$9000,MATCH($N733,МАТЕРИАЛЫ!$L$2:$L$9000,0))="CNY",КурсCNY,1)))*(1+N($H733)/100),0),N($O733))*(1-MEDIAN(0,N(ДисконтТендер),1))))</f>
        <v>0</v>
      </c>
      <c r="U733" t="str">
        <f>IF($L733="да",MAX($U$1:$U732)+1,"")</f>
        <v/>
      </c>
      <c r="V733" t="str">
        <f t="shared" si="80"/>
        <v>Р9</v>
      </c>
      <c r="W733" t="str">
        <f t="shared" si="81"/>
        <v/>
      </c>
      <c r="X733" t="str">
        <f t="shared" si="82"/>
        <v/>
      </c>
      <c r="Y733" s="4" t="str">
        <f>IF($A733="","",IF(AND(LEFT($G733,3)="ДОК",$N733&lt;&gt;""),IFERROR(INDEX(Документация!$G$2:$G$57,MATCH($N733,Документация!$F$2:$F$57,0)),$D733),$D733&amp;IF(AND(LEFT($G733,3)&lt;&gt;"ДОК",$N733&lt;&gt;"")," — "&amp;IFERROR(INDEX(МАТЕРИАЛЫ!$C$2:$C$9000,MATCH($N733,МАТЕРИАЛЫ!$L$2:$L$9000,0)),""),"")))</f>
        <v>Ray line 15W/mt-4000K CRI 90 ROW 175mA Susp, L=5080mm - Светильник</v>
      </c>
      <c r="Z733" t="str">
        <f t="shared" si="83"/>
        <v>Р9 · Электротехнические работы</v>
      </c>
    </row>
    <row r="734" spans="1:26" ht="28.8" x14ac:dyDescent="0.3">
      <c r="A734" t="s">
        <v>1532</v>
      </c>
      <c r="B734" t="s">
        <v>1255</v>
      </c>
      <c r="C734" t="s">
        <v>161</v>
      </c>
      <c r="D734" s="4" t="s">
        <v>1533</v>
      </c>
      <c r="E734" t="s">
        <v>114</v>
      </c>
      <c r="F734" s="5">
        <v>5132.7700000000004</v>
      </c>
      <c r="G734" t="s">
        <v>1381</v>
      </c>
      <c r="H734">
        <v>5</v>
      </c>
      <c r="I734" t="s">
        <v>53</v>
      </c>
      <c r="L734" s="6"/>
      <c r="M734" s="6"/>
      <c r="N734" s="6"/>
      <c r="O734" s="5"/>
      <c r="P734" s="7" t="str">
        <f t="shared" si="77"/>
        <v/>
      </c>
      <c r="Q734" s="7" t="str">
        <f t="shared" si="78"/>
        <v/>
      </c>
      <c r="R734" s="7" t="str">
        <f t="shared" si="79"/>
        <v/>
      </c>
      <c r="S734" s="7">
        <f>IF($A734="","",IF(AND(LEFT($G734,3)="ДОК",$N734&lt;&gt;""),IFERROR(INDEX(Документация!$E$2:$E$57,MATCH($N734,Документация!$F$2:$F$57,0)),0),N($F734))*(1-MEDIAN(0,N(ДисконтТендер),1)))</f>
        <v>5132.7700000000004</v>
      </c>
      <c r="T734" s="7">
        <f>IF($A734="","",IF(AND(LEFT($G734,3)="ДОК",$N734&lt;&gt;""),0,IF(AND(LEFT($G734,3)&lt;&gt;"ДОК",$N734&lt;&gt;""),IFERROR(INDEX(МАТЕРИАЛЫ!$H$2:$H$9000,MATCH($N734,МАТЕРИАЛЫ!$L$2:$L$9000,0))*IF(INDEX(МАТЕРИАЛЫ!$I$2:$I$9000,MATCH($N734,МАТЕРИАЛЫ!$L$2:$L$9000,0))="USD",КурсUSD,IF(INDEX(МАТЕРИАЛЫ!$I$2:$I$9000,MATCH($N734,МАТЕРИАЛЫ!$L$2:$L$9000,0))="EUR",КурсEUR,IF(INDEX(МАТЕРИАЛЫ!$I$2:$I$9000,MATCH($N734,МАТЕРИАЛЫ!$L$2:$L$9000,0))="CNY",КурсCNY,1)))*(1+N($H734)/100),0),N($O734))*(1-MEDIAN(0,N(ДисконтТендер),1))))</f>
        <v>0</v>
      </c>
      <c r="U734" t="str">
        <f>IF($L734="да",MAX($U$1:$U733)+1,"")</f>
        <v/>
      </c>
      <c r="V734" t="str">
        <f t="shared" si="80"/>
        <v>Р9</v>
      </c>
      <c r="W734" t="str">
        <f t="shared" si="81"/>
        <v/>
      </c>
      <c r="X734" t="str">
        <f t="shared" si="82"/>
        <v/>
      </c>
      <c r="Y734" s="4" t="str">
        <f>IF($A734="","",IF(AND(LEFT($G734,3)="ДОК",$N734&lt;&gt;""),IFERROR(INDEX(Документация!$G$2:$G$57,MATCH($N734,Документация!$F$2:$F$57,0)),$D734),$D734&amp;IF(AND(LEFT($G734,3)&lt;&gt;"ДОК",$N734&lt;&gt;"")," — "&amp;IFERROR(INDEX(МАТЕРИАЛЫ!$C$2:$C$9000,MATCH($N734,МАТЕРИАЛЫ!$L$2:$L$9000,0)),""),"")))</f>
        <v>Ray line 31W/mt-4000K CRI 90 ROW Susp BLK, L=5311mm - Светильник</v>
      </c>
      <c r="Z734" t="str">
        <f t="shared" si="83"/>
        <v>Р9 · Электротехнические работы</v>
      </c>
    </row>
    <row r="735" spans="1:26" ht="28.8" x14ac:dyDescent="0.3">
      <c r="A735" t="s">
        <v>1534</v>
      </c>
      <c r="B735" t="s">
        <v>1255</v>
      </c>
      <c r="C735" t="s">
        <v>161</v>
      </c>
      <c r="D735" s="4" t="s">
        <v>1535</v>
      </c>
      <c r="E735" t="s">
        <v>114</v>
      </c>
      <c r="F735" s="5">
        <v>5355.13</v>
      </c>
      <c r="G735" t="s">
        <v>1381</v>
      </c>
      <c r="H735">
        <v>5</v>
      </c>
      <c r="I735" t="s">
        <v>53</v>
      </c>
      <c r="L735" s="6"/>
      <c r="M735" s="6"/>
      <c r="N735" s="6"/>
      <c r="O735" s="5"/>
      <c r="P735" s="7" t="str">
        <f t="shared" si="77"/>
        <v/>
      </c>
      <c r="Q735" s="7" t="str">
        <f t="shared" si="78"/>
        <v/>
      </c>
      <c r="R735" s="7" t="str">
        <f t="shared" si="79"/>
        <v/>
      </c>
      <c r="S735" s="7">
        <f>IF($A735="","",IF(AND(LEFT($G735,3)="ДОК",$N735&lt;&gt;""),IFERROR(INDEX(Документация!$E$2:$E$57,MATCH($N735,Документация!$F$2:$F$57,0)),0),N($F735))*(1-MEDIAN(0,N(ДисконтТендер),1)))</f>
        <v>5355.13</v>
      </c>
      <c r="T735" s="7">
        <f>IF($A735="","",IF(AND(LEFT($G735,3)="ДОК",$N735&lt;&gt;""),0,IF(AND(LEFT($G735,3)&lt;&gt;"ДОК",$N735&lt;&gt;""),IFERROR(INDEX(МАТЕРИАЛЫ!$H$2:$H$9000,MATCH($N735,МАТЕРИАЛЫ!$L$2:$L$9000,0))*IF(INDEX(МАТЕРИАЛЫ!$I$2:$I$9000,MATCH($N735,МАТЕРИАЛЫ!$L$2:$L$9000,0))="USD",КурсUSD,IF(INDEX(МАТЕРИАЛЫ!$I$2:$I$9000,MATCH($N735,МАТЕРИАЛЫ!$L$2:$L$9000,0))="EUR",КурсEUR,IF(INDEX(МАТЕРИАЛЫ!$I$2:$I$9000,MATCH($N735,МАТЕРИАЛЫ!$L$2:$L$9000,0))="CNY",КурсCNY,1)))*(1+N($H735)/100),0),N($O735))*(1-MEDIAN(0,N(ДисконтТендер),1))))</f>
        <v>0</v>
      </c>
      <c r="U735" t="str">
        <f>IF($L735="да",MAX($U$1:$U734)+1,"")</f>
        <v/>
      </c>
      <c r="V735" t="str">
        <f t="shared" si="80"/>
        <v>Р9</v>
      </c>
      <c r="W735" t="str">
        <f t="shared" si="81"/>
        <v/>
      </c>
      <c r="X735" t="str">
        <f t="shared" si="82"/>
        <v/>
      </c>
      <c r="Y735" s="4" t="str">
        <f>IF($A735="","",IF(AND(LEFT($G735,3)="ДОК",$N735&lt;&gt;""),IFERROR(INDEX(Документация!$G$2:$G$57,MATCH($N735,Документация!$F$2:$F$57,0)),$D735),$D735&amp;IF(AND(LEFT($G735,3)&lt;&gt;"ДОК",$N735&lt;&gt;"")," — "&amp;IFERROR(INDEX(МАТЕРИАЛЫ!$C$2:$C$9000,MATCH($N735,МАТЕРИАЛЫ!$L$2:$L$9000,0)),""),"")))</f>
        <v>Ray line 31W/mt-4000K CRI 90 ROW Susp BLK, L=5541mm - Светильник</v>
      </c>
      <c r="Z735" t="str">
        <f t="shared" si="83"/>
        <v>Р9 · Электротехнические работы</v>
      </c>
    </row>
    <row r="736" spans="1:26" ht="28.8" x14ac:dyDescent="0.3">
      <c r="A736" t="s">
        <v>1536</v>
      </c>
      <c r="B736" t="s">
        <v>1255</v>
      </c>
      <c r="C736" t="s">
        <v>161</v>
      </c>
      <c r="D736" s="4" t="s">
        <v>1537</v>
      </c>
      <c r="E736" t="s">
        <v>114</v>
      </c>
      <c r="F736" s="5">
        <v>5578.43</v>
      </c>
      <c r="G736" t="s">
        <v>1381</v>
      </c>
      <c r="H736">
        <v>5</v>
      </c>
      <c r="I736" t="s">
        <v>53</v>
      </c>
      <c r="L736" s="6"/>
      <c r="M736" s="6"/>
      <c r="N736" s="6"/>
      <c r="O736" s="5"/>
      <c r="P736" s="7" t="str">
        <f t="shared" si="77"/>
        <v/>
      </c>
      <c r="Q736" s="7" t="str">
        <f t="shared" si="78"/>
        <v/>
      </c>
      <c r="R736" s="7" t="str">
        <f t="shared" si="79"/>
        <v/>
      </c>
      <c r="S736" s="7">
        <f>IF($A736="","",IF(AND(LEFT($G736,3)="ДОК",$N736&lt;&gt;""),IFERROR(INDEX(Документация!$E$2:$E$57,MATCH($N736,Документация!$F$2:$F$57,0)),0),N($F736))*(1-MEDIAN(0,N(ДисконтТендер),1)))</f>
        <v>5578.43</v>
      </c>
      <c r="T736" s="7">
        <f>IF($A736="","",IF(AND(LEFT($G736,3)="ДОК",$N736&lt;&gt;""),0,IF(AND(LEFT($G736,3)&lt;&gt;"ДОК",$N736&lt;&gt;""),IFERROR(INDEX(МАТЕРИАЛЫ!$H$2:$H$9000,MATCH($N736,МАТЕРИАЛЫ!$L$2:$L$9000,0))*IF(INDEX(МАТЕРИАЛЫ!$I$2:$I$9000,MATCH($N736,МАТЕРИАЛЫ!$L$2:$L$9000,0))="USD",КурсUSD,IF(INDEX(МАТЕРИАЛЫ!$I$2:$I$9000,MATCH($N736,МАТЕРИАЛЫ!$L$2:$L$9000,0))="EUR",КурсEUR,IF(INDEX(МАТЕРИАЛЫ!$I$2:$I$9000,MATCH($N736,МАТЕРИАЛЫ!$L$2:$L$9000,0))="CNY",КурсCNY,1)))*(1+N($H736)/100),0),N($O736))*(1-MEDIAN(0,N(ДисконтТендер),1))))</f>
        <v>0</v>
      </c>
      <c r="U736" t="str">
        <f>IF($L736="да",MAX($U$1:$U735)+1,"")</f>
        <v/>
      </c>
      <c r="V736" t="str">
        <f t="shared" si="80"/>
        <v>Р9</v>
      </c>
      <c r="W736" t="str">
        <f t="shared" si="81"/>
        <v/>
      </c>
      <c r="X736" t="str">
        <f t="shared" si="82"/>
        <v/>
      </c>
      <c r="Y736" s="4" t="str">
        <f>IF($A736="","",IF(AND(LEFT($G736,3)="ДОК",$N736&lt;&gt;""),IFERROR(INDEX(Документация!$G$2:$G$57,MATCH($N736,Документация!$F$2:$F$57,0)),$D736),$D736&amp;IF(AND(LEFT($G736,3)&lt;&gt;"ДОК",$N736&lt;&gt;"")," — "&amp;IFERROR(INDEX(МАТЕРИАЛЫ!$C$2:$C$9000,MATCH($N736,МАТЕРИАЛЫ!$L$2:$L$9000,0)),""),"")))</f>
        <v>Ray line 15W/mt-4000K CRI 90 ROW 175mA Susp, L=5772mm - Светильник</v>
      </c>
      <c r="Z736" t="str">
        <f t="shared" si="83"/>
        <v>Р9 · Электротехнические работы</v>
      </c>
    </row>
    <row r="737" spans="1:26" ht="28.8" x14ac:dyDescent="0.3">
      <c r="A737" t="s">
        <v>1538</v>
      </c>
      <c r="B737" t="s">
        <v>1255</v>
      </c>
      <c r="C737" t="s">
        <v>161</v>
      </c>
      <c r="D737" s="4" t="s">
        <v>1539</v>
      </c>
      <c r="E737" t="s">
        <v>114</v>
      </c>
      <c r="F737" s="5">
        <v>6469.38</v>
      </c>
      <c r="G737" t="s">
        <v>1381</v>
      </c>
      <c r="H737">
        <v>5</v>
      </c>
      <c r="I737" t="s">
        <v>53</v>
      </c>
      <c r="L737" s="6"/>
      <c r="M737" s="6"/>
      <c r="N737" s="6"/>
      <c r="O737" s="5"/>
      <c r="P737" s="7" t="str">
        <f t="shared" si="77"/>
        <v/>
      </c>
      <c r="Q737" s="7" t="str">
        <f t="shared" si="78"/>
        <v/>
      </c>
      <c r="R737" s="7" t="str">
        <f t="shared" si="79"/>
        <v/>
      </c>
      <c r="S737" s="7">
        <f>IF($A737="","",IF(AND(LEFT($G737,3)="ДОК",$N737&lt;&gt;""),IFERROR(INDEX(Документация!$E$2:$E$57,MATCH($N737,Документация!$F$2:$F$57,0)),0),N($F737))*(1-MEDIAN(0,N(ДисконтТендер),1)))</f>
        <v>6469.38</v>
      </c>
      <c r="T737" s="7">
        <f>IF($A737="","",IF(AND(LEFT($G737,3)="ДОК",$N737&lt;&gt;""),0,IF(AND(LEFT($G737,3)&lt;&gt;"ДОК",$N737&lt;&gt;""),IFERROR(INDEX(МАТЕРИАЛЫ!$H$2:$H$9000,MATCH($N737,МАТЕРИАЛЫ!$L$2:$L$9000,0))*IF(INDEX(МАТЕРИАЛЫ!$I$2:$I$9000,MATCH($N737,МАТЕРИАЛЫ!$L$2:$L$9000,0))="USD",КурсUSD,IF(INDEX(МАТЕРИАЛЫ!$I$2:$I$9000,MATCH($N737,МАТЕРИАЛЫ!$L$2:$L$9000,0))="EUR",КурсEUR,IF(INDEX(МАТЕРИАЛЫ!$I$2:$I$9000,MATCH($N737,МАТЕРИАЛЫ!$L$2:$L$9000,0))="CNY",КурсCNY,1)))*(1+N($H737)/100),0),N($O737))*(1-MEDIAN(0,N(ДисконтТендер),1))))</f>
        <v>0</v>
      </c>
      <c r="U737" t="str">
        <f>IF($L737="да",MAX($U$1:$U736)+1,"")</f>
        <v/>
      </c>
      <c r="V737" t="str">
        <f t="shared" si="80"/>
        <v>Р9</v>
      </c>
      <c r="W737" t="str">
        <f t="shared" si="81"/>
        <v/>
      </c>
      <c r="X737" t="str">
        <f t="shared" si="82"/>
        <v/>
      </c>
      <c r="Y737" s="4" t="str">
        <f>IF($A737="","",IF(AND(LEFT($G737,3)="ДОК",$N737&lt;&gt;""),IFERROR(INDEX(Документация!$G$2:$G$57,MATCH($N737,Документация!$F$2:$F$57,0)),$D737),$D737&amp;IF(AND(LEFT($G737,3)&lt;&gt;"ДОК",$N737&lt;&gt;"")," — "&amp;IFERROR(INDEX(МАТЕРИАЛЫ!$C$2:$C$9000,MATCH($N737,МАТЕРИАЛЫ!$L$2:$L$9000,0)),""),"")))</f>
        <v>Ray line 15W/mt-4000K CRI 90 ROW 175mA Susp, L=6694mm - Светильник</v>
      </c>
      <c r="Z737" t="str">
        <f t="shared" si="83"/>
        <v>Р9 · Электротехнические работы</v>
      </c>
    </row>
    <row r="738" spans="1:26" ht="28.8" x14ac:dyDescent="0.3">
      <c r="A738" t="s">
        <v>1540</v>
      </c>
      <c r="B738" t="s">
        <v>1255</v>
      </c>
      <c r="C738" t="s">
        <v>161</v>
      </c>
      <c r="D738" s="4" t="s">
        <v>1541</v>
      </c>
      <c r="E738" t="s">
        <v>114</v>
      </c>
      <c r="F738" s="5">
        <v>6691.64</v>
      </c>
      <c r="G738" t="s">
        <v>1381</v>
      </c>
      <c r="H738">
        <v>5</v>
      </c>
      <c r="I738" t="s">
        <v>53</v>
      </c>
      <c r="L738" s="6"/>
      <c r="M738" s="6"/>
      <c r="N738" s="6"/>
      <c r="O738" s="5"/>
      <c r="P738" s="7" t="str">
        <f t="shared" si="77"/>
        <v/>
      </c>
      <c r="Q738" s="7" t="str">
        <f t="shared" si="78"/>
        <v/>
      </c>
      <c r="R738" s="7" t="str">
        <f t="shared" si="79"/>
        <v/>
      </c>
      <c r="S738" s="7">
        <f>IF($A738="","",IF(AND(LEFT($G738,3)="ДОК",$N738&lt;&gt;""),IFERROR(INDEX(Документация!$E$2:$E$57,MATCH($N738,Документация!$F$2:$F$57,0)),0),N($F738))*(1-MEDIAN(0,N(ДисконтТендер),1)))</f>
        <v>6691.64</v>
      </c>
      <c r="T738" s="7">
        <f>IF($A738="","",IF(AND(LEFT($G738,3)="ДОК",$N738&lt;&gt;""),0,IF(AND(LEFT($G738,3)&lt;&gt;"ДОК",$N738&lt;&gt;""),IFERROR(INDEX(МАТЕРИАЛЫ!$H$2:$H$9000,MATCH($N738,МАТЕРИАЛЫ!$L$2:$L$9000,0))*IF(INDEX(МАТЕРИАЛЫ!$I$2:$I$9000,MATCH($N738,МАТЕРИАЛЫ!$L$2:$L$9000,0))="USD",КурсUSD,IF(INDEX(МАТЕРИАЛЫ!$I$2:$I$9000,MATCH($N738,МАТЕРИАЛЫ!$L$2:$L$9000,0))="EUR",КурсEUR,IF(INDEX(МАТЕРИАЛЫ!$I$2:$I$9000,MATCH($N738,МАТЕРИАЛЫ!$L$2:$L$9000,0))="CNY",КурсCNY,1)))*(1+N($H738)/100),0),N($O738))*(1-MEDIAN(0,N(ДисконтТендер),1))))</f>
        <v>0</v>
      </c>
      <c r="U738" t="str">
        <f>IF($L738="да",MAX($U$1:$U737)+1,"")</f>
        <v/>
      </c>
      <c r="V738" t="str">
        <f t="shared" si="80"/>
        <v>Р9</v>
      </c>
      <c r="W738" t="str">
        <f t="shared" si="81"/>
        <v/>
      </c>
      <c r="X738" t="str">
        <f t="shared" si="82"/>
        <v/>
      </c>
      <c r="Y738" s="4" t="str">
        <f>IF($A738="","",IF(AND(LEFT($G738,3)="ДОК",$N738&lt;&gt;""),IFERROR(INDEX(Документация!$G$2:$G$57,MATCH($N738,Документация!$F$2:$F$57,0)),$D738),$D738&amp;IF(AND(LEFT($G738,3)&lt;&gt;"ДОК",$N738&lt;&gt;"")," — "&amp;IFERROR(INDEX(МАТЕРИАЛЫ!$C$2:$C$9000,MATCH($N738,МАТЕРИАЛЫ!$L$2:$L$9000,0)),""),"")))</f>
        <v>Ray line 31W/mt-4000K CRI 90 ROW Susp BLK, L=6924mm - Светильник</v>
      </c>
      <c r="Z738" t="str">
        <f t="shared" si="83"/>
        <v>Р9 · Электротехнические работы</v>
      </c>
    </row>
    <row r="739" spans="1:26" ht="28.8" x14ac:dyDescent="0.3">
      <c r="A739" t="s">
        <v>1542</v>
      </c>
      <c r="B739" t="s">
        <v>1255</v>
      </c>
      <c r="C739" t="s">
        <v>161</v>
      </c>
      <c r="D739" s="4" t="s">
        <v>1543</v>
      </c>
      <c r="E739" t="s">
        <v>114</v>
      </c>
      <c r="F739" s="5">
        <v>7582.87</v>
      </c>
      <c r="G739" t="s">
        <v>1381</v>
      </c>
      <c r="H739">
        <v>5</v>
      </c>
      <c r="I739" t="s">
        <v>53</v>
      </c>
      <c r="L739" s="6"/>
      <c r="M739" s="6"/>
      <c r="N739" s="6"/>
      <c r="O739" s="5"/>
      <c r="P739" s="7" t="str">
        <f t="shared" si="77"/>
        <v/>
      </c>
      <c r="Q739" s="7" t="str">
        <f t="shared" si="78"/>
        <v/>
      </c>
      <c r="R739" s="7" t="str">
        <f t="shared" si="79"/>
        <v/>
      </c>
      <c r="S739" s="7">
        <f>IF($A739="","",IF(AND(LEFT($G739,3)="ДОК",$N739&lt;&gt;""),IFERROR(INDEX(Документация!$E$2:$E$57,MATCH($N739,Документация!$F$2:$F$57,0)),0),N($F739))*(1-MEDIAN(0,N(ДисконтТендер),1)))</f>
        <v>7582.87</v>
      </c>
      <c r="T739" s="7">
        <f>IF($A739="","",IF(AND(LEFT($G739,3)="ДОК",$N739&lt;&gt;""),0,IF(AND(LEFT($G739,3)&lt;&gt;"ДОК",$N739&lt;&gt;""),IFERROR(INDEX(МАТЕРИАЛЫ!$H$2:$H$9000,MATCH($N739,МАТЕРИАЛЫ!$L$2:$L$9000,0))*IF(INDEX(МАТЕРИАЛЫ!$I$2:$I$9000,MATCH($N739,МАТЕРИАЛЫ!$L$2:$L$9000,0))="USD",КурсUSD,IF(INDEX(МАТЕРИАЛЫ!$I$2:$I$9000,MATCH($N739,МАТЕРИАЛЫ!$L$2:$L$9000,0))="EUR",КурсEUR,IF(INDEX(МАТЕРИАЛЫ!$I$2:$I$9000,MATCH($N739,МАТЕРИАЛЫ!$L$2:$L$9000,0))="CNY",КурсCNY,1)))*(1+N($H739)/100),0),N($O739))*(1-MEDIAN(0,N(ДисконтТендер),1))))</f>
        <v>0</v>
      </c>
      <c r="U739" t="str">
        <f>IF($L739="да",MAX($U$1:$U738)+1,"")</f>
        <v/>
      </c>
      <c r="V739" t="str">
        <f t="shared" si="80"/>
        <v>Р9</v>
      </c>
      <c r="W739" t="str">
        <f t="shared" si="81"/>
        <v/>
      </c>
      <c r="X739" t="str">
        <f t="shared" si="82"/>
        <v/>
      </c>
      <c r="Y739" s="4" t="str">
        <f>IF($A739="","",IF(AND(LEFT($G739,3)="ДОК",$N739&lt;&gt;""),IFERROR(INDEX(Документация!$G$2:$G$57,MATCH($N739,Документация!$F$2:$F$57,0)),$D739),$D739&amp;IF(AND(LEFT($G739,3)&lt;&gt;"ДОК",$N739&lt;&gt;"")," — "&amp;IFERROR(INDEX(МАТЕРИАЛЫ!$C$2:$C$9000,MATCH($N739,МАТЕРИАЛЫ!$L$2:$L$9000,0)),""),"")))</f>
        <v>Ray line 15W/mt-4000K CRI 90 ROW 175mA Susp, L=7846mm - Светильник</v>
      </c>
      <c r="Z739" t="str">
        <f t="shared" si="83"/>
        <v>Р9 · Электротехнические работы</v>
      </c>
    </row>
    <row r="740" spans="1:26" ht="28.8" x14ac:dyDescent="0.3">
      <c r="A740" t="s">
        <v>1544</v>
      </c>
      <c r="B740" t="s">
        <v>1255</v>
      </c>
      <c r="C740" t="s">
        <v>161</v>
      </c>
      <c r="D740" s="4" t="s">
        <v>1545</v>
      </c>
      <c r="E740" t="s">
        <v>114</v>
      </c>
      <c r="F740" s="5">
        <v>7805.98</v>
      </c>
      <c r="G740" t="s">
        <v>1381</v>
      </c>
      <c r="H740">
        <v>5</v>
      </c>
      <c r="I740" t="s">
        <v>53</v>
      </c>
      <c r="L740" s="6"/>
      <c r="M740" s="6"/>
      <c r="N740" s="6"/>
      <c r="O740" s="5"/>
      <c r="P740" s="7" t="str">
        <f t="shared" si="77"/>
        <v/>
      </c>
      <c r="Q740" s="7" t="str">
        <f t="shared" si="78"/>
        <v/>
      </c>
      <c r="R740" s="7" t="str">
        <f t="shared" si="79"/>
        <v/>
      </c>
      <c r="S740" s="7">
        <f>IF($A740="","",IF(AND(LEFT($G740,3)="ДОК",$N740&lt;&gt;""),IFERROR(INDEX(Документация!$E$2:$E$57,MATCH($N740,Документация!$F$2:$F$57,0)),0),N($F740))*(1-MEDIAN(0,N(ДисконтТендер),1)))</f>
        <v>7805.98</v>
      </c>
      <c r="T740" s="7">
        <f>IF($A740="","",IF(AND(LEFT($G740,3)="ДОК",$N740&lt;&gt;""),0,IF(AND(LEFT($G740,3)&lt;&gt;"ДОК",$N740&lt;&gt;""),IFERROR(INDEX(МАТЕРИАЛЫ!$H$2:$H$9000,MATCH($N740,МАТЕРИАЛЫ!$L$2:$L$9000,0))*IF(INDEX(МАТЕРИАЛЫ!$I$2:$I$9000,MATCH($N740,МАТЕРИАЛЫ!$L$2:$L$9000,0))="USD",КурсUSD,IF(INDEX(МАТЕРИАЛЫ!$I$2:$I$9000,MATCH($N740,МАТЕРИАЛЫ!$L$2:$L$9000,0))="EUR",КурсEUR,IF(INDEX(МАТЕРИАЛЫ!$I$2:$I$9000,MATCH($N740,МАТЕРИАЛЫ!$L$2:$L$9000,0))="CNY",КурсCNY,1)))*(1+N($H740)/100),0),N($O740))*(1-MEDIAN(0,N(ДисконтТендер),1))))</f>
        <v>0</v>
      </c>
      <c r="U740" t="str">
        <f>IF($L740="да",MAX($U$1:$U739)+1,"")</f>
        <v/>
      </c>
      <c r="V740" t="str">
        <f t="shared" si="80"/>
        <v>Р9</v>
      </c>
      <c r="W740" t="str">
        <f t="shared" si="81"/>
        <v/>
      </c>
      <c r="X740" t="str">
        <f t="shared" si="82"/>
        <v/>
      </c>
      <c r="Y740" s="4" t="str">
        <f>IF($A740="","",IF(AND(LEFT($G740,3)="ДОК",$N740&lt;&gt;""),IFERROR(INDEX(Документация!$G$2:$G$57,MATCH($N740,Документация!$F$2:$F$57,0)),$D740),$D740&amp;IF(AND(LEFT($G740,3)&lt;&gt;"ДОК",$N740&lt;&gt;"")," — "&amp;IFERROR(INDEX(МАТЕРИАЛЫ!$C$2:$C$9000,MATCH($N740,МАТЕРИАЛЫ!$L$2:$L$9000,0)),""),"")))</f>
        <v>Ray line 15W/mt-4000K CRI 90 ROW 175mA Susp, L=8077mm - Светильник</v>
      </c>
      <c r="Z740" t="str">
        <f t="shared" si="83"/>
        <v>Р9 · Электротехнические работы</v>
      </c>
    </row>
    <row r="741" spans="1:26" ht="28.8" x14ac:dyDescent="0.3">
      <c r="A741" t="s">
        <v>1546</v>
      </c>
      <c r="B741" t="s">
        <v>1255</v>
      </c>
      <c r="C741" t="s">
        <v>161</v>
      </c>
      <c r="D741" s="4" t="s">
        <v>1547</v>
      </c>
      <c r="E741" t="s">
        <v>114</v>
      </c>
      <c r="F741" s="5">
        <v>8028.25</v>
      </c>
      <c r="G741" t="s">
        <v>1381</v>
      </c>
      <c r="H741">
        <v>5</v>
      </c>
      <c r="I741" t="s">
        <v>53</v>
      </c>
      <c r="L741" s="6"/>
      <c r="M741" s="6"/>
      <c r="N741" s="6"/>
      <c r="O741" s="5"/>
      <c r="P741" s="7" t="str">
        <f t="shared" si="77"/>
        <v/>
      </c>
      <c r="Q741" s="7" t="str">
        <f t="shared" si="78"/>
        <v/>
      </c>
      <c r="R741" s="7" t="str">
        <f t="shared" si="79"/>
        <v/>
      </c>
      <c r="S741" s="7">
        <f>IF($A741="","",IF(AND(LEFT($G741,3)="ДОК",$N741&lt;&gt;""),IFERROR(INDEX(Документация!$E$2:$E$57,MATCH($N741,Документация!$F$2:$F$57,0)),0),N($F741))*(1-MEDIAN(0,N(ДисконтТендер),1)))</f>
        <v>8028.25</v>
      </c>
      <c r="T741" s="7">
        <f>IF($A741="","",IF(AND(LEFT($G741,3)="ДОК",$N741&lt;&gt;""),0,IF(AND(LEFT($G741,3)&lt;&gt;"ДОК",$N741&lt;&gt;""),IFERROR(INDEX(МАТЕРИАЛЫ!$H$2:$H$9000,MATCH($N741,МАТЕРИАЛЫ!$L$2:$L$9000,0))*IF(INDEX(МАТЕРИАЛЫ!$I$2:$I$9000,MATCH($N741,МАТЕРИАЛЫ!$L$2:$L$9000,0))="USD",КурсUSD,IF(INDEX(МАТЕРИАЛЫ!$I$2:$I$9000,MATCH($N741,МАТЕРИАЛЫ!$L$2:$L$9000,0))="EUR",КурсEUR,IF(INDEX(МАТЕРИАЛЫ!$I$2:$I$9000,MATCH($N741,МАТЕРИАЛЫ!$L$2:$L$9000,0))="CNY",КурсCNY,1)))*(1+N($H741)/100),0),N($O741))*(1-MEDIAN(0,N(ДисконтТендер),1))))</f>
        <v>0</v>
      </c>
      <c r="U741" t="str">
        <f>IF($L741="да",MAX($U$1:$U740)+1,"")</f>
        <v/>
      </c>
      <c r="V741" t="str">
        <f t="shared" si="80"/>
        <v>Р9</v>
      </c>
      <c r="W741" t="str">
        <f t="shared" si="81"/>
        <v/>
      </c>
      <c r="X741" t="str">
        <f t="shared" si="82"/>
        <v/>
      </c>
      <c r="Y741" s="4" t="str">
        <f>IF($A741="","",IF(AND(LEFT($G741,3)="ДОК",$N741&lt;&gt;""),IFERROR(INDEX(Документация!$G$2:$G$57,MATCH($N741,Документация!$F$2:$F$57,0)),$D741),$D741&amp;IF(AND(LEFT($G741,3)&lt;&gt;"ДОК",$N741&lt;&gt;"")," — "&amp;IFERROR(INDEX(МАТЕРИАЛЫ!$C$2:$C$9000,MATCH($N741,МАТЕРИАЛЫ!$L$2:$L$9000,0)),""),"")))</f>
        <v>Ray line 15W/mt-4000K CRI 90 ROW 175mA Susp, L=8307mm - Светильник</v>
      </c>
      <c r="Z741" t="str">
        <f t="shared" si="83"/>
        <v>Р9 · Электротехнические работы</v>
      </c>
    </row>
    <row r="742" spans="1:26" ht="28.8" x14ac:dyDescent="0.3">
      <c r="A742" t="s">
        <v>1548</v>
      </c>
      <c r="B742" t="s">
        <v>1255</v>
      </c>
      <c r="C742" t="s">
        <v>161</v>
      </c>
      <c r="D742" s="4" t="s">
        <v>1549</v>
      </c>
      <c r="E742" t="s">
        <v>114</v>
      </c>
      <c r="F742" s="5">
        <v>8697.1200000000008</v>
      </c>
      <c r="G742" t="s">
        <v>1381</v>
      </c>
      <c r="H742">
        <v>5</v>
      </c>
      <c r="I742" t="s">
        <v>53</v>
      </c>
      <c r="L742" s="6"/>
      <c r="M742" s="6"/>
      <c r="N742" s="6"/>
      <c r="O742" s="5"/>
      <c r="P742" s="7" t="str">
        <f t="shared" si="77"/>
        <v/>
      </c>
      <c r="Q742" s="7" t="str">
        <f t="shared" si="78"/>
        <v/>
      </c>
      <c r="R742" s="7" t="str">
        <f t="shared" si="79"/>
        <v/>
      </c>
      <c r="S742" s="7">
        <f>IF($A742="","",IF(AND(LEFT($G742,3)="ДОК",$N742&lt;&gt;""),IFERROR(INDEX(Документация!$E$2:$E$57,MATCH($N742,Документация!$F$2:$F$57,0)),0),N($F742))*(1-MEDIAN(0,N(ДисконтТендер),1)))</f>
        <v>8697.1200000000008</v>
      </c>
      <c r="T742" s="7">
        <f>IF($A742="","",IF(AND(LEFT($G742,3)="ДОК",$N742&lt;&gt;""),0,IF(AND(LEFT($G742,3)&lt;&gt;"ДОК",$N742&lt;&gt;""),IFERROR(INDEX(МАТЕРИАЛЫ!$H$2:$H$9000,MATCH($N742,МАТЕРИАЛЫ!$L$2:$L$9000,0))*IF(INDEX(МАТЕРИАЛЫ!$I$2:$I$9000,MATCH($N742,МАТЕРИАЛЫ!$L$2:$L$9000,0))="USD",КурсUSD,IF(INDEX(МАТЕРИАЛЫ!$I$2:$I$9000,MATCH($N742,МАТЕРИАЛЫ!$L$2:$L$9000,0))="EUR",КурсEUR,IF(INDEX(МАТЕРИАЛЫ!$I$2:$I$9000,MATCH($N742,МАТЕРИАЛЫ!$L$2:$L$9000,0))="CNY",КурсCNY,1)))*(1+N($H742)/100),0),N($O742))*(1-MEDIAN(0,N(ДисконтТендер),1))))</f>
        <v>0</v>
      </c>
      <c r="U742" t="str">
        <f>IF($L742="да",MAX($U$1:$U741)+1,"")</f>
        <v/>
      </c>
      <c r="V742" t="str">
        <f t="shared" si="80"/>
        <v>Р9</v>
      </c>
      <c r="W742" t="str">
        <f t="shared" si="81"/>
        <v/>
      </c>
      <c r="X742" t="str">
        <f t="shared" si="82"/>
        <v/>
      </c>
      <c r="Y742" s="4" t="str">
        <f>IF($A742="","",IF(AND(LEFT($G742,3)="ДОК",$N742&lt;&gt;""),IFERROR(INDEX(Документация!$G$2:$G$57,MATCH($N742,Документация!$F$2:$F$57,0)),$D742),$D742&amp;IF(AND(LEFT($G742,3)&lt;&gt;"ДОК",$N742&lt;&gt;"")," — "&amp;IFERROR(INDEX(МАТЕРИАЛЫ!$C$2:$C$9000,MATCH($N742,МАТЕРИАЛЫ!$L$2:$L$9000,0)),""),"")))</f>
        <v>Ray line 15W/mt-4000K CRI 90 ROW 175mA Susp, L=8999mm - Светильник</v>
      </c>
      <c r="Z742" t="str">
        <f t="shared" si="83"/>
        <v>Р9 · Электротехнические работы</v>
      </c>
    </row>
    <row r="743" spans="1:26" x14ac:dyDescent="0.3">
      <c r="A743" t="s">
        <v>1550</v>
      </c>
      <c r="B743" t="s">
        <v>1255</v>
      </c>
      <c r="C743" t="s">
        <v>161</v>
      </c>
      <c r="D743" s="4" t="s">
        <v>1551</v>
      </c>
      <c r="E743" t="s">
        <v>114</v>
      </c>
      <c r="F743" s="5">
        <v>492.35</v>
      </c>
      <c r="G743" t="s">
        <v>1381</v>
      </c>
      <c r="H743">
        <v>5</v>
      </c>
      <c r="I743" t="s">
        <v>53</v>
      </c>
      <c r="L743" s="6"/>
      <c r="M743" s="6"/>
      <c r="N743" s="6"/>
      <c r="O743" s="5"/>
      <c r="P743" s="7" t="str">
        <f t="shared" si="77"/>
        <v/>
      </c>
      <c r="Q743" s="7" t="str">
        <f t="shared" si="78"/>
        <v/>
      </c>
      <c r="R743" s="7" t="str">
        <f t="shared" si="79"/>
        <v/>
      </c>
      <c r="S743" s="7">
        <f>IF($A743="","",IF(AND(LEFT($G743,3)="ДОК",$N743&lt;&gt;""),IFERROR(INDEX(Документация!$E$2:$E$57,MATCH($N743,Документация!$F$2:$F$57,0)),0),N($F743))*(1-MEDIAN(0,N(ДисконтТендер),1)))</f>
        <v>492.35</v>
      </c>
      <c r="T743" s="7">
        <f>IF($A743="","",IF(AND(LEFT($G743,3)="ДОК",$N743&lt;&gt;""),0,IF(AND(LEFT($G743,3)&lt;&gt;"ДОК",$N743&lt;&gt;""),IFERROR(INDEX(МАТЕРИАЛЫ!$H$2:$H$9000,MATCH($N743,МАТЕРИАЛЫ!$L$2:$L$9000,0))*IF(INDEX(МАТЕРИАЛЫ!$I$2:$I$9000,MATCH($N743,МАТЕРИАЛЫ!$L$2:$L$9000,0))="USD",КурсUSD,IF(INDEX(МАТЕРИАЛЫ!$I$2:$I$9000,MATCH($N743,МАТЕРИАЛЫ!$L$2:$L$9000,0))="EUR",КурсEUR,IF(INDEX(МАТЕРИАЛЫ!$I$2:$I$9000,MATCH($N743,МАТЕРИАЛЫ!$L$2:$L$9000,0))="CNY",КурсCNY,1)))*(1+N($H743)/100),0),N($O743))*(1-MEDIAN(0,N(ДисконтТендер),1))))</f>
        <v>0</v>
      </c>
      <c r="U743" t="str">
        <f>IF($L743="да",MAX($U$1:$U742)+1,"")</f>
        <v/>
      </c>
      <c r="V743" t="str">
        <f t="shared" si="80"/>
        <v>Р9</v>
      </c>
      <c r="W743" t="str">
        <f t="shared" si="81"/>
        <v/>
      </c>
      <c r="X743" t="str">
        <f t="shared" si="82"/>
        <v/>
      </c>
      <c r="Y743" s="4" t="str">
        <f>IF($A743="","",IF(AND(LEFT($G743,3)="ДОК",$N743&lt;&gt;""),IFERROR(INDEX(Документация!$G$2:$G$57,MATCH($N743,Документация!$F$2:$F$57,0)),$D743),$D743&amp;IF(AND(LEFT($G743,3)&lt;&gt;"ДОК",$N743&lt;&gt;"")," — "&amp;IFERROR(INDEX(МАТЕРИАЛЫ!$C$2:$C$9000,MATCH($N743,МАТЕРИАЛЫ!$L$2:$L$9000,0)),""),"")))</f>
        <v>IEK Светильник ДСП 1318 48Вт 4500К IP65 1500мм</v>
      </c>
      <c r="Z743" t="str">
        <f t="shared" si="83"/>
        <v>Р9 · Электротехнические работы</v>
      </c>
    </row>
    <row r="744" spans="1:26" ht="28.8" x14ac:dyDescent="0.3">
      <c r="A744" t="s">
        <v>1552</v>
      </c>
      <c r="B744" t="s">
        <v>1255</v>
      </c>
      <c r="C744" t="s">
        <v>161</v>
      </c>
      <c r="D744" s="4" t="s">
        <v>1553</v>
      </c>
      <c r="E744" t="s">
        <v>114</v>
      </c>
      <c r="F744" s="5">
        <v>1005.95</v>
      </c>
      <c r="G744" t="s">
        <v>1381</v>
      </c>
      <c r="H744">
        <v>5</v>
      </c>
      <c r="I744" t="s">
        <v>53</v>
      </c>
      <c r="L744" s="6"/>
      <c r="M744" s="6"/>
      <c r="N744" s="6"/>
      <c r="O744" s="5"/>
      <c r="P744" s="7" t="str">
        <f t="shared" si="77"/>
        <v/>
      </c>
      <c r="Q744" s="7" t="str">
        <f t="shared" si="78"/>
        <v/>
      </c>
      <c r="R744" s="7" t="str">
        <f t="shared" si="79"/>
        <v/>
      </c>
      <c r="S744" s="7">
        <f>IF($A744="","",IF(AND(LEFT($G744,3)="ДОК",$N744&lt;&gt;""),IFERROR(INDEX(Документация!$E$2:$E$57,MATCH($N744,Документация!$F$2:$F$57,0)),0),N($F744))*(1-MEDIAN(0,N(ДисконтТендер),1)))</f>
        <v>1005.95</v>
      </c>
      <c r="T744" s="7">
        <f>IF($A744="","",IF(AND(LEFT($G744,3)="ДОК",$N744&lt;&gt;""),0,IF(AND(LEFT($G744,3)&lt;&gt;"ДОК",$N744&lt;&gt;""),IFERROR(INDEX(МАТЕРИАЛЫ!$H$2:$H$9000,MATCH($N744,МАТЕРИАЛЫ!$L$2:$L$9000,0))*IF(INDEX(МАТЕРИАЛЫ!$I$2:$I$9000,MATCH($N744,МАТЕРИАЛЫ!$L$2:$L$9000,0))="USD",КурсUSD,IF(INDEX(МАТЕРИАЛЫ!$I$2:$I$9000,MATCH($N744,МАТЕРИАЛЫ!$L$2:$L$9000,0))="EUR",КурсEUR,IF(INDEX(МАТЕРИАЛЫ!$I$2:$I$9000,MATCH($N744,МАТЕРИАЛЫ!$L$2:$L$9000,0))="CNY",КурсCNY,1)))*(1+N($H744)/100),0),N($O744))*(1-MEDIAN(0,N(ДисконтТендер),1))))</f>
        <v>0</v>
      </c>
      <c r="U744" t="str">
        <f>IF($L744="да",MAX($U$1:$U743)+1,"")</f>
        <v/>
      </c>
      <c r="V744" t="str">
        <f t="shared" si="80"/>
        <v>Р9</v>
      </c>
      <c r="W744" t="str">
        <f t="shared" si="81"/>
        <v/>
      </c>
      <c r="X744" t="str">
        <f t="shared" si="82"/>
        <v/>
      </c>
      <c r="Y744" s="4" t="str">
        <f>IF($A744="","",IF(AND(LEFT($G744,3)="ДОК",$N744&lt;&gt;""),IFERROR(INDEX(Документация!$G$2:$G$57,MATCH($N744,Документация!$F$2:$F$57,0)),$D744),$D744&amp;IF(AND(LEFT($G744,3)&lt;&gt;"ДОК",$N744&lt;&gt;"")," — "&amp;IFERROR(INDEX(МАТЕРИАЛЫ!$C$2:$C$9000,MATCH($N744,МАТЕРИАЛЫ!$L$2:$L$9000,0)),""),"")))</f>
        <v>IEK Светильник ДСП 1318 48Вт 4500К IP65 1500мм Emerg</v>
      </c>
      <c r="Z744" t="str">
        <f t="shared" si="83"/>
        <v>Р9 · Электротехнические работы</v>
      </c>
    </row>
    <row r="745" spans="1:26" ht="28.8" x14ac:dyDescent="0.3">
      <c r="A745" t="s">
        <v>1554</v>
      </c>
      <c r="B745" t="s">
        <v>1255</v>
      </c>
      <c r="C745" t="s">
        <v>161</v>
      </c>
      <c r="D745" s="4" t="s">
        <v>1555</v>
      </c>
      <c r="E745" t="s">
        <v>114</v>
      </c>
      <c r="F745" s="5">
        <v>91.76</v>
      </c>
      <c r="H745">
        <v>0</v>
      </c>
      <c r="I745" t="s">
        <v>53</v>
      </c>
      <c r="L745" s="6"/>
      <c r="M745" s="6"/>
      <c r="N745" s="6"/>
      <c r="O745" s="5"/>
      <c r="P745" s="7" t="str">
        <f t="shared" si="77"/>
        <v/>
      </c>
      <c r="Q745" s="7" t="str">
        <f t="shared" si="78"/>
        <v/>
      </c>
      <c r="R745" s="7" t="str">
        <f t="shared" si="79"/>
        <v/>
      </c>
      <c r="S745" s="7">
        <f>IF($A745="","",IF(AND(LEFT($G745,3)="ДОК",$N745&lt;&gt;""),IFERROR(INDEX(Документация!$E$2:$E$57,MATCH($N745,Документация!$F$2:$F$57,0)),0),N($F745))*(1-MEDIAN(0,N(ДисконтТендер),1)))</f>
        <v>91.76</v>
      </c>
      <c r="T745" s="7">
        <f>IF($A745="","",IF(AND(LEFT($G745,3)="ДОК",$N745&lt;&gt;""),0,IF(AND(LEFT($G745,3)&lt;&gt;"ДОК",$N745&lt;&gt;""),IFERROR(INDEX(МАТЕРИАЛЫ!$H$2:$H$9000,MATCH($N745,МАТЕРИАЛЫ!$L$2:$L$9000,0))*IF(INDEX(МАТЕРИАЛЫ!$I$2:$I$9000,MATCH($N745,МАТЕРИАЛЫ!$L$2:$L$9000,0))="USD",КурсUSD,IF(INDEX(МАТЕРИАЛЫ!$I$2:$I$9000,MATCH($N745,МАТЕРИАЛЫ!$L$2:$L$9000,0))="EUR",КурсEUR,IF(INDEX(МАТЕРИАЛЫ!$I$2:$I$9000,MATCH($N745,МАТЕРИАЛЫ!$L$2:$L$9000,0))="CNY",КурсCNY,1)))*(1+N($H745)/100),0),N($O745))*(1-MEDIAN(0,N(ДисконтТендер),1))))</f>
        <v>0</v>
      </c>
      <c r="U745" t="str">
        <f>IF($L745="да",MAX($U$1:$U744)+1,"")</f>
        <v/>
      </c>
      <c r="V745" t="str">
        <f t="shared" si="80"/>
        <v>Р9</v>
      </c>
      <c r="W745" t="str">
        <f t="shared" si="81"/>
        <v/>
      </c>
      <c r="X745" t="str">
        <f t="shared" si="82"/>
        <v/>
      </c>
      <c r="Y745" s="4" t="str">
        <f>IF($A745="","",IF(AND(LEFT($G745,3)="ДОК",$N745&lt;&gt;""),IFERROR(INDEX(Документация!$G$2:$G$57,MATCH($N745,Документация!$F$2:$F$57,0)),$D745),$D745&amp;IF(AND(LEFT($G745,3)&lt;&gt;"ДОК",$N745&lt;&gt;"")," — "&amp;IFERROR(INDEX(МАТЕРИАЛЫ!$C$2:$C$9000,MATCH($N745,МАТЕРИАЛЫ!$L$2:$L$9000,0)),""),"")))</f>
        <v>Acc. Wire ↓ suspension 1500mm - Тросовый подвес с регулировкой внизу, 1 шт.</v>
      </c>
      <c r="Z745" t="str">
        <f t="shared" si="83"/>
        <v>Р9 · Электротехнические работы</v>
      </c>
    </row>
    <row r="746" spans="1:26" ht="28.8" x14ac:dyDescent="0.3">
      <c r="A746" t="s">
        <v>1556</v>
      </c>
      <c r="B746" t="s">
        <v>1255</v>
      </c>
      <c r="C746" t="s">
        <v>161</v>
      </c>
      <c r="D746" s="4" t="s">
        <v>1557</v>
      </c>
      <c r="E746" t="s">
        <v>114</v>
      </c>
      <c r="F746" s="5">
        <v>389.81</v>
      </c>
      <c r="H746">
        <v>0</v>
      </c>
      <c r="I746" t="s">
        <v>53</v>
      </c>
      <c r="L746" s="6"/>
      <c r="M746" s="6"/>
      <c r="N746" s="6"/>
      <c r="O746" s="5"/>
      <c r="P746" s="7" t="str">
        <f t="shared" si="77"/>
        <v/>
      </c>
      <c r="Q746" s="7" t="str">
        <f t="shared" si="78"/>
        <v/>
      </c>
      <c r="R746" s="7" t="str">
        <f t="shared" si="79"/>
        <v/>
      </c>
      <c r="S746" s="7">
        <f>IF($A746="","",IF(AND(LEFT($G746,3)="ДОК",$N746&lt;&gt;""),IFERROR(INDEX(Документация!$E$2:$E$57,MATCH($N746,Документация!$F$2:$F$57,0)),0),N($F746))*(1-MEDIAN(0,N(ДисконтТендер),1)))</f>
        <v>389.81</v>
      </c>
      <c r="T746" s="7">
        <f>IF($A746="","",IF(AND(LEFT($G746,3)="ДОК",$N746&lt;&gt;""),0,IF(AND(LEFT($G746,3)&lt;&gt;"ДОК",$N746&lt;&gt;""),IFERROR(INDEX(МАТЕРИАЛЫ!$H$2:$H$9000,MATCH($N746,МАТЕРИАЛЫ!$L$2:$L$9000,0))*IF(INDEX(МАТЕРИАЛЫ!$I$2:$I$9000,MATCH($N746,МАТЕРИАЛЫ!$L$2:$L$9000,0))="USD",КурсUSD,IF(INDEX(МАТЕРИАЛЫ!$I$2:$I$9000,MATCH($N746,МАТЕРИАЛЫ!$L$2:$L$9000,0))="EUR",КурсEUR,IF(INDEX(МАТЕРИАЛЫ!$I$2:$I$9000,MATCH($N746,МАТЕРИАЛЫ!$L$2:$L$9000,0))="CNY",КурсCNY,1)))*(1+N($H746)/100),0),N($O746))*(1-MEDIAN(0,N(ДисконтТендер),1))))</f>
        <v>0</v>
      </c>
      <c r="U746" t="str">
        <f>IF($L746="да",MAX($U$1:$U745)+1,"")</f>
        <v/>
      </c>
      <c r="V746" t="str">
        <f t="shared" si="80"/>
        <v>Р9</v>
      </c>
      <c r="W746" t="str">
        <f t="shared" si="81"/>
        <v/>
      </c>
      <c r="X746" t="str">
        <f t="shared" si="82"/>
        <v/>
      </c>
      <c r="Y746" s="4" t="str">
        <f>IF($A746="","",IF(AND(LEFT($G746,3)="ДОК",$N746&lt;&gt;""),IFERROR(INDEX(Документация!$G$2:$G$57,MATCH($N746,Документация!$F$2:$F$57,0)),$D746),$D746&amp;IF(AND(LEFT($G746,3)&lt;&gt;"ДОК",$N746&lt;&gt;"")," — "&amp;IFERROR(INDEX(МАТЕРИАЛЫ!$C$2:$C$9000,MATCH($N746,МАТЕРИАЛЫ!$L$2:$L$9000,0)),""),"")))</f>
        <v>LED strip N2835 11W/m 24V 120led/m 1220Lm/m 4000K CRI90 IP20 5m</v>
      </c>
      <c r="Z746" t="str">
        <f t="shared" si="83"/>
        <v>Р9 · Электротехнические работы</v>
      </c>
    </row>
    <row r="747" spans="1:26" x14ac:dyDescent="0.3">
      <c r="A747" t="s">
        <v>1558</v>
      </c>
      <c r="B747" t="s">
        <v>1255</v>
      </c>
      <c r="C747" t="s">
        <v>161</v>
      </c>
      <c r="D747" s="4" t="s">
        <v>1559</v>
      </c>
      <c r="E747" t="s">
        <v>114</v>
      </c>
      <c r="F747" s="5">
        <v>239.37</v>
      </c>
      <c r="H747">
        <v>0</v>
      </c>
      <c r="I747" t="s">
        <v>53</v>
      </c>
      <c r="L747" s="6"/>
      <c r="M747" s="6"/>
      <c r="N747" s="6"/>
      <c r="O747" s="5"/>
      <c r="P747" s="7" t="str">
        <f t="shared" si="77"/>
        <v/>
      </c>
      <c r="Q747" s="7" t="str">
        <f t="shared" si="78"/>
        <v/>
      </c>
      <c r="R747" s="7" t="str">
        <f t="shared" si="79"/>
        <v/>
      </c>
      <c r="S747" s="7">
        <f>IF($A747="","",IF(AND(LEFT($G747,3)="ДОК",$N747&lt;&gt;""),IFERROR(INDEX(Документация!$E$2:$E$57,MATCH($N747,Документация!$F$2:$F$57,0)),0),N($F747))*(1-MEDIAN(0,N(ДисконтТендер),1)))</f>
        <v>239.37</v>
      </c>
      <c r="T747" s="7">
        <f>IF($A747="","",IF(AND(LEFT($G747,3)="ДОК",$N747&lt;&gt;""),0,IF(AND(LEFT($G747,3)&lt;&gt;"ДОК",$N747&lt;&gt;""),IFERROR(INDEX(МАТЕРИАЛЫ!$H$2:$H$9000,MATCH($N747,МАТЕРИАЛЫ!$L$2:$L$9000,0))*IF(INDEX(МАТЕРИАЛЫ!$I$2:$I$9000,MATCH($N747,МАТЕРИАЛЫ!$L$2:$L$9000,0))="USD",КурсUSD,IF(INDEX(МАТЕРИАЛЫ!$I$2:$I$9000,MATCH($N747,МАТЕРИАЛЫ!$L$2:$L$9000,0))="EUR",КурсEUR,IF(INDEX(МАТЕРИАЛЫ!$I$2:$I$9000,MATCH($N747,МАТЕРИАЛЫ!$L$2:$L$9000,0))="CNY",КурсCNY,1)))*(1+N($H747)/100),0),N($O747))*(1-MEDIAN(0,N(ДисконтТендер),1))))</f>
        <v>0</v>
      </c>
      <c r="U747" t="str">
        <f>IF($L747="да",MAX($U$1:$U746)+1,"")</f>
        <v/>
      </c>
      <c r="V747" t="str">
        <f t="shared" si="80"/>
        <v>Р9</v>
      </c>
      <c r="W747" t="str">
        <f t="shared" si="81"/>
        <v/>
      </c>
      <c r="X747" t="str">
        <f t="shared" si="82"/>
        <v/>
      </c>
      <c r="Y747" s="4" t="str">
        <f>IF($A747="","",IF(AND(LEFT($G747,3)="ДОК",$N747&lt;&gt;""),IFERROR(INDEX(Документация!$G$2:$G$57,MATCH($N747,Документация!$F$2:$F$57,0)),$D747),$D747&amp;IF(AND(LEFT($G747,3)&lt;&gt;"ДОК",$N747&lt;&gt;"")," — "&amp;IFERROR(INDEX(МАТЕРИАЛЫ!$C$2:$C$9000,MATCH($N747,МАТЕРИАЛЫ!$L$2:$L$9000,0)),""),"")))</f>
        <v>Led driver N24V45W</v>
      </c>
      <c r="Z747" t="str">
        <f t="shared" si="83"/>
        <v>Р9 · Электротехнические работы</v>
      </c>
    </row>
    <row r="748" spans="1:26" x14ac:dyDescent="0.3">
      <c r="A748" t="s">
        <v>1560</v>
      </c>
      <c r="B748" t="s">
        <v>1255</v>
      </c>
      <c r="C748" t="s">
        <v>161</v>
      </c>
      <c r="D748" s="4" t="s">
        <v>1561</v>
      </c>
      <c r="E748" t="s">
        <v>114</v>
      </c>
      <c r="F748" s="5">
        <v>309.3</v>
      </c>
      <c r="H748">
        <v>0</v>
      </c>
      <c r="I748" t="s">
        <v>53</v>
      </c>
      <c r="L748" s="6"/>
      <c r="M748" s="6"/>
      <c r="N748" s="6"/>
      <c r="O748" s="5"/>
      <c r="P748" s="7" t="str">
        <f t="shared" si="77"/>
        <v/>
      </c>
      <c r="Q748" s="7" t="str">
        <f t="shared" si="78"/>
        <v/>
      </c>
      <c r="R748" s="7" t="str">
        <f t="shared" si="79"/>
        <v/>
      </c>
      <c r="S748" s="7">
        <f>IF($A748="","",IF(AND(LEFT($G748,3)="ДОК",$N748&lt;&gt;""),IFERROR(INDEX(Документация!$E$2:$E$57,MATCH($N748,Документация!$F$2:$F$57,0)),0),N($F748))*(1-MEDIAN(0,N(ДисконтТендер),1)))</f>
        <v>309.3</v>
      </c>
      <c r="T748" s="7">
        <f>IF($A748="","",IF(AND(LEFT($G748,3)="ДОК",$N748&lt;&gt;""),0,IF(AND(LEFT($G748,3)&lt;&gt;"ДОК",$N748&lt;&gt;""),IFERROR(INDEX(МАТЕРИАЛЫ!$H$2:$H$9000,MATCH($N748,МАТЕРИАЛЫ!$L$2:$L$9000,0))*IF(INDEX(МАТЕРИАЛЫ!$I$2:$I$9000,MATCH($N748,МАТЕРИАЛЫ!$L$2:$L$9000,0))="USD",КурсUSD,IF(INDEX(МАТЕРИАЛЫ!$I$2:$I$9000,MATCH($N748,МАТЕРИАЛЫ!$L$2:$L$9000,0))="EUR",КурсEUR,IF(INDEX(МАТЕРИАЛЫ!$I$2:$I$9000,MATCH($N748,МАТЕРИАЛЫ!$L$2:$L$9000,0))="CNY",КурсCNY,1)))*(1+N($H748)/100),0),N($O748))*(1-MEDIAN(0,N(ДисконтТендер),1))))</f>
        <v>0</v>
      </c>
      <c r="U748" t="str">
        <f>IF($L748="да",MAX($U$1:$U747)+1,"")</f>
        <v/>
      </c>
      <c r="V748" t="str">
        <f t="shared" si="80"/>
        <v>Р9</v>
      </c>
      <c r="W748" t="str">
        <f t="shared" si="81"/>
        <v/>
      </c>
      <c r="X748" t="str">
        <f t="shared" si="82"/>
        <v/>
      </c>
      <c r="Y748" s="4" t="str">
        <f>IF($A748="","",IF(AND(LEFT($G748,3)="ДОК",$N748&lt;&gt;""),IFERROR(INDEX(Документация!$G$2:$G$57,MATCH($N748,Документация!$F$2:$F$57,0)),$D748),$D748&amp;IF(AND(LEFT($G748,3)&lt;&gt;"ДОК",$N748&lt;&gt;"")," — "&amp;IFERROR(INDEX(МАТЕРИАЛЫ!$C$2:$C$9000,MATCH($N748,МАТЕРИАЛЫ!$L$2:$L$9000,0)),""),"")))</f>
        <v>Led driver N24V60W</v>
      </c>
      <c r="Z748" t="str">
        <f t="shared" si="83"/>
        <v>Р9 · Электротехнические работы</v>
      </c>
    </row>
    <row r="749" spans="1:26" x14ac:dyDescent="0.3">
      <c r="A749" t="s">
        <v>1562</v>
      </c>
      <c r="B749" t="s">
        <v>1255</v>
      </c>
      <c r="C749" t="s">
        <v>161</v>
      </c>
      <c r="D749" s="4" t="s">
        <v>1563</v>
      </c>
      <c r="E749" t="s">
        <v>114</v>
      </c>
      <c r="F749" s="5">
        <v>346.82</v>
      </c>
      <c r="H749">
        <v>0</v>
      </c>
      <c r="I749" t="s">
        <v>53</v>
      </c>
      <c r="L749" s="6"/>
      <c r="M749" s="6"/>
      <c r="N749" s="6"/>
      <c r="O749" s="5"/>
      <c r="P749" s="7" t="str">
        <f t="shared" si="77"/>
        <v/>
      </c>
      <c r="Q749" s="7" t="str">
        <f t="shared" si="78"/>
        <v/>
      </c>
      <c r="R749" s="7" t="str">
        <f t="shared" si="79"/>
        <v/>
      </c>
      <c r="S749" s="7">
        <f>IF($A749="","",IF(AND(LEFT($G749,3)="ДОК",$N749&lt;&gt;""),IFERROR(INDEX(Документация!$E$2:$E$57,MATCH($N749,Документация!$F$2:$F$57,0)),0),N($F749))*(1-MEDIAN(0,N(ДисконтТендер),1)))</f>
        <v>346.82</v>
      </c>
      <c r="T749" s="7">
        <f>IF($A749="","",IF(AND(LEFT($G749,3)="ДОК",$N749&lt;&gt;""),0,IF(AND(LEFT($G749,3)&lt;&gt;"ДОК",$N749&lt;&gt;""),IFERROR(INDEX(МАТЕРИАЛЫ!$H$2:$H$9000,MATCH($N749,МАТЕРИАЛЫ!$L$2:$L$9000,0))*IF(INDEX(МАТЕРИАЛЫ!$I$2:$I$9000,MATCH($N749,МАТЕРИАЛЫ!$L$2:$L$9000,0))="USD",КурсUSD,IF(INDEX(МАТЕРИАЛЫ!$I$2:$I$9000,MATCH($N749,МАТЕРИАЛЫ!$L$2:$L$9000,0))="EUR",КурсEUR,IF(INDEX(МАТЕРИАЛЫ!$I$2:$I$9000,MATCH($N749,МАТЕРИАЛЫ!$L$2:$L$9000,0))="CNY",КурсCNY,1)))*(1+N($H749)/100),0),N($O749))*(1-MEDIAN(0,N(ДисконтТендер),1))))</f>
        <v>0</v>
      </c>
      <c r="U749" t="str">
        <f>IF($L749="да",MAX($U$1:$U748)+1,"")</f>
        <v/>
      </c>
      <c r="V749" t="str">
        <f t="shared" si="80"/>
        <v>Р9</v>
      </c>
      <c r="W749" t="str">
        <f t="shared" si="81"/>
        <v/>
      </c>
      <c r="X749" t="str">
        <f t="shared" si="82"/>
        <v/>
      </c>
      <c r="Y749" s="4" t="str">
        <f>IF($A749="","",IF(AND(LEFT($G749,3)="ДОК",$N749&lt;&gt;""),IFERROR(INDEX(Документация!$G$2:$G$57,MATCH($N749,Документация!$F$2:$F$57,0)),$D749),$D749&amp;IF(AND(LEFT($G749,3)&lt;&gt;"ДОК",$N749&lt;&gt;"")," — "&amp;IFERROR(INDEX(МАТЕРИАЛЫ!$C$2:$C$9000,MATCH($N749,МАТЕРИАЛЫ!$L$2:$L$9000,0)),""),"")))</f>
        <v>Led driver N24V80W</v>
      </c>
      <c r="Z749" t="str">
        <f t="shared" si="83"/>
        <v>Р9 · Электротехнические работы</v>
      </c>
    </row>
    <row r="750" spans="1:26" ht="43.2" x14ac:dyDescent="0.3">
      <c r="A750" t="s">
        <v>1564</v>
      </c>
      <c r="B750" t="s">
        <v>1255</v>
      </c>
      <c r="C750" t="s">
        <v>161</v>
      </c>
      <c r="D750" s="4" t="s">
        <v>1565</v>
      </c>
      <c r="E750" t="s">
        <v>114</v>
      </c>
      <c r="F750" s="5">
        <v>125.31</v>
      </c>
      <c r="H750">
        <v>0</v>
      </c>
      <c r="I750" t="s">
        <v>53</v>
      </c>
      <c r="L750" s="6"/>
      <c r="M750" s="6"/>
      <c r="N750" s="6"/>
      <c r="O750" s="5"/>
      <c r="P750" s="7" t="str">
        <f t="shared" si="77"/>
        <v/>
      </c>
      <c r="Q750" s="7" t="str">
        <f t="shared" si="78"/>
        <v/>
      </c>
      <c r="R750" s="7" t="str">
        <f t="shared" si="79"/>
        <v/>
      </c>
      <c r="S750" s="7">
        <f>IF($A750="","",IF(AND(LEFT($G750,3)="ДОК",$N750&lt;&gt;""),IFERROR(INDEX(Документация!$E$2:$E$57,MATCH($N750,Документация!$F$2:$F$57,0)),0),N($F750))*(1-MEDIAN(0,N(ДисконтТендер),1)))</f>
        <v>125.31</v>
      </c>
      <c r="T750" s="7">
        <f>IF($A750="","",IF(AND(LEFT($G750,3)="ДОК",$N750&lt;&gt;""),0,IF(AND(LEFT($G750,3)&lt;&gt;"ДОК",$N750&lt;&gt;""),IFERROR(INDEX(МАТЕРИАЛЫ!$H$2:$H$9000,MATCH($N750,МАТЕРИАЛЫ!$L$2:$L$9000,0))*IF(INDEX(МАТЕРИАЛЫ!$I$2:$I$9000,MATCH($N750,МАТЕРИАЛЫ!$L$2:$L$9000,0))="USD",КурсUSD,IF(INDEX(МАТЕРИАЛЫ!$I$2:$I$9000,MATCH($N750,МАТЕРИАЛЫ!$L$2:$L$9000,0))="EUR",КурсEUR,IF(INDEX(МАТЕРИАЛЫ!$I$2:$I$9000,MATCH($N750,МАТЕРИАЛЫ!$L$2:$L$9000,0))="CNY",КурсCNY,1)))*(1+N($H750)/100),0),N($O750))*(1-MEDIAN(0,N(ДисконтТендер),1))))</f>
        <v>0</v>
      </c>
      <c r="U750" t="str">
        <f>IF($L750="да",MAX($U$1:$U749)+1,"")</f>
        <v/>
      </c>
      <c r="V750" t="str">
        <f t="shared" si="80"/>
        <v>Р9</v>
      </c>
      <c r="W750" t="str">
        <f t="shared" si="81"/>
        <v/>
      </c>
      <c r="X750" t="str">
        <f t="shared" si="82"/>
        <v/>
      </c>
      <c r="Y750" s="4" t="str">
        <f>IF($A750="","",IF(AND(LEFT($G750,3)="ДОК",$N750&lt;&gt;""),IFERROR(INDEX(Документация!$G$2:$G$57,MATCH($N750,Документация!$F$2:$F$57,0)),$D750),$D750&amp;IF(AND(LEFT($G750,3)&lt;&gt;"ДОК",$N750&lt;&gt;"")," — "&amp;IFERROR(INDEX(МАТЕРИАЛЫ!$C$2:$C$9000,MATCH($N750,МАТЕРИАЛЫ!$L$2:$L$9000,0)),""),"")))</f>
        <v>Longa 16 L=2000 mm h=12 ANO - Профиль накладной алюминиевый анодированный, цена за 2 п.м.</v>
      </c>
      <c r="Z750" t="str">
        <f t="shared" si="83"/>
        <v>Р9 · Электротехнические работы</v>
      </c>
    </row>
    <row r="751" spans="1:26" ht="28.8" x14ac:dyDescent="0.3">
      <c r="A751" t="s">
        <v>1566</v>
      </c>
      <c r="B751" t="s">
        <v>1255</v>
      </c>
      <c r="C751" t="s">
        <v>161</v>
      </c>
      <c r="D751" s="4" t="s">
        <v>1567</v>
      </c>
      <c r="E751" t="s">
        <v>114</v>
      </c>
      <c r="F751" s="5">
        <v>24.38</v>
      </c>
      <c r="H751">
        <v>0</v>
      </c>
      <c r="I751" t="s">
        <v>53</v>
      </c>
      <c r="L751" s="6"/>
      <c r="M751" s="6"/>
      <c r="N751" s="6"/>
      <c r="O751" s="5"/>
      <c r="P751" s="7" t="str">
        <f t="shared" si="77"/>
        <v/>
      </c>
      <c r="Q751" s="7" t="str">
        <f t="shared" si="78"/>
        <v/>
      </c>
      <c r="R751" s="7" t="str">
        <f t="shared" si="79"/>
        <v/>
      </c>
      <c r="S751" s="7">
        <f>IF($A751="","",IF(AND(LEFT($G751,3)="ДОК",$N751&lt;&gt;""),IFERROR(INDEX(Документация!$E$2:$E$57,MATCH($N751,Документация!$F$2:$F$57,0)),0),N($F751))*(1-MEDIAN(0,N(ДисконтТендер),1)))</f>
        <v>24.38</v>
      </c>
      <c r="T751" s="7">
        <f>IF($A751="","",IF(AND(LEFT($G751,3)="ДОК",$N751&lt;&gt;""),0,IF(AND(LEFT($G751,3)&lt;&gt;"ДОК",$N751&lt;&gt;""),IFERROR(INDEX(МАТЕРИАЛЫ!$H$2:$H$9000,MATCH($N751,МАТЕРИАЛЫ!$L$2:$L$9000,0))*IF(INDEX(МАТЕРИАЛЫ!$I$2:$I$9000,MATCH($N751,МАТЕРИАЛЫ!$L$2:$L$9000,0))="USD",КурсUSD,IF(INDEX(МАТЕРИАЛЫ!$I$2:$I$9000,MATCH($N751,МАТЕРИАЛЫ!$L$2:$L$9000,0))="EUR",КурсEUR,IF(INDEX(МАТЕРИАЛЫ!$I$2:$I$9000,MATCH($N751,МАТЕРИАЛЫ!$L$2:$L$9000,0))="CNY",КурсCNY,1)))*(1+N($H751)/100),0),N($O751))*(1-MEDIAN(0,N(ДисконтТендер),1))))</f>
        <v>0</v>
      </c>
      <c r="U751" t="str">
        <f>IF($L751="да",MAX($U$1:$U750)+1,"")</f>
        <v/>
      </c>
      <c r="V751" t="str">
        <f t="shared" si="80"/>
        <v>Р9</v>
      </c>
      <c r="W751" t="str">
        <f t="shared" si="81"/>
        <v/>
      </c>
      <c r="X751" t="str">
        <f t="shared" si="82"/>
        <v/>
      </c>
      <c r="Y751" s="4" t="str">
        <f>IF($A751="","",IF(AND(LEFT($G751,3)="ДОК",$N751&lt;&gt;""),IFERROR(INDEX(Документация!$G$2:$G$57,MATCH($N751,Документация!$F$2:$F$57,0)),$D751),$D751&amp;IF(AND(LEFT($G751,3)&lt;&gt;"ДОК",$N751&lt;&gt;"")," — "&amp;IFERROR(INDEX(МАТЕРИАЛЫ!$C$2:$C$9000,MATCH($N751,МАТЕРИАЛЫ!$L$2:$L$9000,0)),""),"")))</f>
        <v>Longa 15/16/22 L=2000 mm PC Clear - Рассеиватель прозрачный</v>
      </c>
      <c r="Z751" t="str">
        <f t="shared" si="83"/>
        <v>Р9 · Электротехнические работы</v>
      </c>
    </row>
    <row r="752" spans="1:26" x14ac:dyDescent="0.3">
      <c r="A752" t="s">
        <v>1568</v>
      </c>
      <c r="B752" t="s">
        <v>1255</v>
      </c>
      <c r="C752" t="s">
        <v>161</v>
      </c>
      <c r="D752" s="4" t="s">
        <v>1569</v>
      </c>
      <c r="E752" t="s">
        <v>114</v>
      </c>
      <c r="F752" s="5">
        <v>500.57</v>
      </c>
      <c r="G752" t="s">
        <v>1424</v>
      </c>
      <c r="H752">
        <v>5</v>
      </c>
      <c r="I752" t="s">
        <v>53</v>
      </c>
      <c r="L752" s="6"/>
      <c r="M752" s="6"/>
      <c r="N752" s="6"/>
      <c r="O752" s="5"/>
      <c r="P752" s="7" t="str">
        <f t="shared" si="77"/>
        <v/>
      </c>
      <c r="Q752" s="7" t="str">
        <f t="shared" si="78"/>
        <v/>
      </c>
      <c r="R752" s="7" t="str">
        <f t="shared" si="79"/>
        <v/>
      </c>
      <c r="S752" s="7">
        <f>IF($A752="","",IF(AND(LEFT($G752,3)="ДОК",$N752&lt;&gt;""),IFERROR(INDEX(Документация!$E$2:$E$57,MATCH($N752,Документация!$F$2:$F$57,0)),0),N($F752))*(1-MEDIAN(0,N(ДисконтТендер),1)))</f>
        <v>500.57</v>
      </c>
      <c r="T752" s="7">
        <f>IF($A752="","",IF(AND(LEFT($G752,3)="ДОК",$N752&lt;&gt;""),0,IF(AND(LEFT($G752,3)&lt;&gt;"ДОК",$N752&lt;&gt;""),IFERROR(INDEX(МАТЕРИАЛЫ!$H$2:$H$9000,MATCH($N752,МАТЕРИАЛЫ!$L$2:$L$9000,0))*IF(INDEX(МАТЕРИАЛЫ!$I$2:$I$9000,MATCH($N752,МАТЕРИАЛЫ!$L$2:$L$9000,0))="USD",КурсUSD,IF(INDEX(МАТЕРИАЛЫ!$I$2:$I$9000,MATCH($N752,МАТЕРИАЛЫ!$L$2:$L$9000,0))="EUR",КурсEUR,IF(INDEX(МАТЕРИАЛЫ!$I$2:$I$9000,MATCH($N752,МАТЕРИАЛЫ!$L$2:$L$9000,0))="CNY",КурсCNY,1)))*(1+N($H752)/100),0),N($O752))*(1-MEDIAN(0,N(ДисконтТендер),1))))</f>
        <v>0</v>
      </c>
      <c r="U752" t="str">
        <f>IF($L752="да",MAX($U$1:$U751)+1,"")</f>
        <v/>
      </c>
      <c r="V752" t="str">
        <f t="shared" si="80"/>
        <v>Р9</v>
      </c>
      <c r="W752" t="str">
        <f t="shared" si="81"/>
        <v/>
      </c>
      <c r="X752" t="str">
        <f t="shared" si="82"/>
        <v/>
      </c>
      <c r="Y752" s="4" t="str">
        <f>IF($A752="","",IF(AND(LEFT($G752,3)="ДОК",$N752&lt;&gt;""),IFERROR(INDEX(Документация!$G$2:$G$57,MATCH($N752,Документация!$F$2:$F$57,0)),$D752),$D752&amp;IF(AND(LEFT($G752,3)&lt;&gt;"ДОК",$N752&lt;&gt;"")," — "&amp;IFERROR(INDEX(МАТЕРИАЛЫ!$C$2:$C$9000,MATCH($N752,МАТЕРИАЛЫ!$L$2:$L$9000,0)),""),"")))</f>
        <v>Шинопровод 3м (черный) (белый)</v>
      </c>
      <c r="Z752" t="str">
        <f t="shared" si="83"/>
        <v>Р9 · Электротехнические работы</v>
      </c>
    </row>
    <row r="753" spans="1:26" x14ac:dyDescent="0.3">
      <c r="A753" t="s">
        <v>1570</v>
      </c>
      <c r="B753" t="s">
        <v>1255</v>
      </c>
      <c r="C753" t="s">
        <v>161</v>
      </c>
      <c r="D753" s="4" t="s">
        <v>1571</v>
      </c>
      <c r="E753" t="s">
        <v>114</v>
      </c>
      <c r="F753" s="5">
        <v>66.53</v>
      </c>
      <c r="G753" t="s">
        <v>1424</v>
      </c>
      <c r="H753">
        <v>5</v>
      </c>
      <c r="I753" t="s">
        <v>53</v>
      </c>
      <c r="L753" s="6"/>
      <c r="M753" s="6"/>
      <c r="N753" s="6"/>
      <c r="O753" s="5"/>
      <c r="P753" s="7" t="str">
        <f t="shared" si="77"/>
        <v/>
      </c>
      <c r="Q753" s="7" t="str">
        <f t="shared" si="78"/>
        <v/>
      </c>
      <c r="R753" s="7" t="str">
        <f t="shared" si="79"/>
        <v/>
      </c>
      <c r="S753" s="7">
        <f>IF($A753="","",IF(AND(LEFT($G753,3)="ДОК",$N753&lt;&gt;""),IFERROR(INDEX(Документация!$E$2:$E$57,MATCH($N753,Документация!$F$2:$F$57,0)),0),N($F753))*(1-MEDIAN(0,N(ДисконтТендер),1)))</f>
        <v>66.53</v>
      </c>
      <c r="T753" s="7">
        <f>IF($A753="","",IF(AND(LEFT($G753,3)="ДОК",$N753&lt;&gt;""),0,IF(AND(LEFT($G753,3)&lt;&gt;"ДОК",$N753&lt;&gt;""),IFERROR(INDEX(МАТЕРИАЛЫ!$H$2:$H$9000,MATCH($N753,МАТЕРИАЛЫ!$L$2:$L$9000,0))*IF(INDEX(МАТЕРИАЛЫ!$I$2:$I$9000,MATCH($N753,МАТЕРИАЛЫ!$L$2:$L$9000,0))="USD",КурсUSD,IF(INDEX(МАТЕРИАЛЫ!$I$2:$I$9000,MATCH($N753,МАТЕРИАЛЫ!$L$2:$L$9000,0))="EUR",КурсEUR,IF(INDEX(МАТЕРИАЛЫ!$I$2:$I$9000,MATCH($N753,МАТЕРИАЛЫ!$L$2:$L$9000,0))="CNY",КурсCNY,1)))*(1+N($H753)/100),0),N($O753))*(1-MEDIAN(0,N(ДисконтТендер),1))))</f>
        <v>0</v>
      </c>
      <c r="U753" t="str">
        <f>IF($L753="да",MAX($U$1:$U752)+1,"")</f>
        <v/>
      </c>
      <c r="V753" t="str">
        <f t="shared" si="80"/>
        <v>Р9</v>
      </c>
      <c r="W753" t="str">
        <f t="shared" si="81"/>
        <v/>
      </c>
      <c r="X753" t="str">
        <f t="shared" si="82"/>
        <v/>
      </c>
      <c r="Y753" s="4" t="str">
        <f>IF($A753="","",IF(AND(LEFT($G753,3)="ДОК",$N753&lt;&gt;""),IFERROR(INDEX(Документация!$G$2:$G$57,MATCH($N753,Документация!$F$2:$F$57,0)),$D753),$D753&amp;IF(AND(LEFT($G753,3)&lt;&gt;"ДОК",$N753&lt;&gt;"")," — "&amp;IFERROR(INDEX(МАТЕРИАЛЫ!$C$2:$C$9000,MATCH($N753,МАТЕРИАЛЫ!$L$2:$L$9000,0)),""),"")))</f>
        <v>Внутренний стык к шинопроводу (черный) (белый)</v>
      </c>
      <c r="Z753" t="str">
        <f t="shared" si="83"/>
        <v>Р9 · Электротехнические работы</v>
      </c>
    </row>
    <row r="754" spans="1:26" x14ac:dyDescent="0.3">
      <c r="A754" t="s">
        <v>1572</v>
      </c>
      <c r="B754" t="s">
        <v>1255</v>
      </c>
      <c r="C754" t="s">
        <v>161</v>
      </c>
      <c r="D754" s="4" t="s">
        <v>1573</v>
      </c>
      <c r="E754" t="s">
        <v>114</v>
      </c>
      <c r="F754" s="5">
        <v>22.3</v>
      </c>
      <c r="H754">
        <v>0</v>
      </c>
      <c r="I754" t="s">
        <v>53</v>
      </c>
      <c r="L754" s="6"/>
      <c r="M754" s="6"/>
      <c r="N754" s="6"/>
      <c r="O754" s="5"/>
      <c r="P754" s="7" t="str">
        <f t="shared" si="77"/>
        <v/>
      </c>
      <c r="Q754" s="7" t="str">
        <f t="shared" si="78"/>
        <v/>
      </c>
      <c r="R754" s="7" t="str">
        <f t="shared" si="79"/>
        <v/>
      </c>
      <c r="S754" s="7">
        <f>IF($A754="","",IF(AND(LEFT($G754,3)="ДОК",$N754&lt;&gt;""),IFERROR(INDEX(Документация!$E$2:$E$57,MATCH($N754,Документация!$F$2:$F$57,0)),0),N($F754))*(1-MEDIAN(0,N(ДисконтТендер),1)))</f>
        <v>22.3</v>
      </c>
      <c r="T754" s="7">
        <f>IF($A754="","",IF(AND(LEFT($G754,3)="ДОК",$N754&lt;&gt;""),0,IF(AND(LEFT($G754,3)&lt;&gt;"ДОК",$N754&lt;&gt;""),IFERROR(INDEX(МАТЕРИАЛЫ!$H$2:$H$9000,MATCH($N754,МАТЕРИАЛЫ!$L$2:$L$9000,0))*IF(INDEX(МАТЕРИАЛЫ!$I$2:$I$9000,MATCH($N754,МАТЕРИАЛЫ!$L$2:$L$9000,0))="USD",КурсUSD,IF(INDEX(МАТЕРИАЛЫ!$I$2:$I$9000,MATCH($N754,МАТЕРИАЛЫ!$L$2:$L$9000,0))="EUR",КурсEUR,IF(INDEX(МАТЕРИАЛЫ!$I$2:$I$9000,MATCH($N754,МАТЕРИАЛЫ!$L$2:$L$9000,0))="CNY",КурсCNY,1)))*(1+N($H754)/100),0),N($O754))*(1-MEDIAN(0,N(ДисконтТендер),1))))</f>
        <v>0</v>
      </c>
      <c r="U754" t="str">
        <f>IF($L754="да",MAX($U$1:$U753)+1,"")</f>
        <v/>
      </c>
      <c r="V754" t="str">
        <f t="shared" si="80"/>
        <v>Р9</v>
      </c>
      <c r="W754" t="str">
        <f t="shared" si="81"/>
        <v/>
      </c>
      <c r="X754" t="str">
        <f t="shared" si="82"/>
        <v/>
      </c>
      <c r="Y754" s="4" t="str">
        <f>IF($A754="","",IF(AND(LEFT($G754,3)="ДОК",$N754&lt;&gt;""),IFERROR(INDEX(Документация!$G$2:$G$57,MATCH($N754,Документация!$F$2:$F$57,0)),$D754),$D754&amp;IF(AND(LEFT($G754,3)&lt;&gt;"ДОК",$N754&lt;&gt;"")," — "&amp;IFERROR(INDEX(МАТЕРИАЛЫ!$C$2:$C$9000,MATCH($N754,МАТЕРИАЛЫ!$L$2:$L$9000,0)),""),"")))</f>
        <v>Усилитель стыка, (черный) (белый)</v>
      </c>
      <c r="Z754" t="str">
        <f t="shared" si="83"/>
        <v>Р9 · Электротехнические работы</v>
      </c>
    </row>
    <row r="755" spans="1:26" ht="28.8" x14ac:dyDescent="0.3">
      <c r="A755" t="s">
        <v>1574</v>
      </c>
      <c r="B755" t="s">
        <v>1255</v>
      </c>
      <c r="C755" t="s">
        <v>161</v>
      </c>
      <c r="D755" s="4" t="s">
        <v>1575</v>
      </c>
      <c r="E755" t="s">
        <v>114</v>
      </c>
      <c r="F755" s="5">
        <v>91.67</v>
      </c>
      <c r="G755" t="s">
        <v>1424</v>
      </c>
      <c r="H755">
        <v>5</v>
      </c>
      <c r="I755" t="s">
        <v>53</v>
      </c>
      <c r="L755" s="6"/>
      <c r="M755" s="6"/>
      <c r="N755" s="6"/>
      <c r="O755" s="5"/>
      <c r="P755" s="7" t="str">
        <f t="shared" si="77"/>
        <v/>
      </c>
      <c r="Q755" s="7" t="str">
        <f t="shared" si="78"/>
        <v/>
      </c>
      <c r="R755" s="7" t="str">
        <f t="shared" si="79"/>
        <v/>
      </c>
      <c r="S755" s="7">
        <f>IF($A755="","",IF(AND(LEFT($G755,3)="ДОК",$N755&lt;&gt;""),IFERROR(INDEX(Документация!$E$2:$E$57,MATCH($N755,Документация!$F$2:$F$57,0)),0),N($F755))*(1-MEDIAN(0,N(ДисконтТендер),1)))</f>
        <v>91.67</v>
      </c>
      <c r="T755" s="7">
        <f>IF($A755="","",IF(AND(LEFT($G755,3)="ДОК",$N755&lt;&gt;""),0,IF(AND(LEFT($G755,3)&lt;&gt;"ДОК",$N755&lt;&gt;""),IFERROR(INDEX(МАТЕРИАЛЫ!$H$2:$H$9000,MATCH($N755,МАТЕРИАЛЫ!$L$2:$L$9000,0))*IF(INDEX(МАТЕРИАЛЫ!$I$2:$I$9000,MATCH($N755,МАТЕРИАЛЫ!$L$2:$L$9000,0))="USD",КурсUSD,IF(INDEX(МАТЕРИАЛЫ!$I$2:$I$9000,MATCH($N755,МАТЕРИАЛЫ!$L$2:$L$9000,0))="EUR",КурсEUR,IF(INDEX(МАТЕРИАЛЫ!$I$2:$I$9000,MATCH($N755,МАТЕРИАЛЫ!$L$2:$L$9000,0))="CNY",КурсCNY,1)))*(1+N($H755)/100),0),N($O755))*(1-MEDIAN(0,N(ДисконтТендер),1))))</f>
        <v>0</v>
      </c>
      <c r="U755" t="str">
        <f>IF($L755="да",MAX($U$1:$U754)+1,"")</f>
        <v/>
      </c>
      <c r="V755" t="str">
        <f t="shared" si="80"/>
        <v>Р9</v>
      </c>
      <c r="W755" t="str">
        <f t="shared" si="81"/>
        <v/>
      </c>
      <c r="X755" t="str">
        <f t="shared" si="82"/>
        <v/>
      </c>
      <c r="Y755" s="4" t="str">
        <f>IF($A755="","",IF(AND(LEFT($G755,3)="ДОК",$N755&lt;&gt;""),IFERROR(INDEX(Документация!$G$2:$G$57,MATCH($N755,Документация!$F$2:$F$57,0)),$D755),$D755&amp;IF(AND(LEFT($G755,3)&lt;&gt;"ДОК",$N755&lt;&gt;"")," — "&amp;IFERROR(INDEX(МАТЕРИАЛЫ!$C$2:$C$9000,MATCH($N755,МАТЕРИАЛЫ!$L$2:$L$9000,0)),""),"")))</f>
        <v>Левый токоподвод к шинопроводу (черный) (белый)</v>
      </c>
      <c r="Z755" t="str">
        <f t="shared" si="83"/>
        <v>Р9 · Электротехнические работы</v>
      </c>
    </row>
    <row r="756" spans="1:26" x14ac:dyDescent="0.3">
      <c r="A756" t="s">
        <v>1576</v>
      </c>
      <c r="B756" t="s">
        <v>1255</v>
      </c>
      <c r="C756" t="s">
        <v>161</v>
      </c>
      <c r="D756" s="4" t="s">
        <v>1577</v>
      </c>
      <c r="E756" t="s">
        <v>114</v>
      </c>
      <c r="F756" s="5">
        <v>17.48</v>
      </c>
      <c r="G756" t="s">
        <v>1424</v>
      </c>
      <c r="H756">
        <v>5</v>
      </c>
      <c r="I756" t="s">
        <v>53</v>
      </c>
      <c r="L756" s="6"/>
      <c r="M756" s="6"/>
      <c r="N756" s="6"/>
      <c r="O756" s="5"/>
      <c r="P756" s="7" t="str">
        <f t="shared" si="77"/>
        <v/>
      </c>
      <c r="Q756" s="7" t="str">
        <f t="shared" si="78"/>
        <v/>
      </c>
      <c r="R756" s="7" t="str">
        <f t="shared" si="79"/>
        <v/>
      </c>
      <c r="S756" s="7">
        <f>IF($A756="","",IF(AND(LEFT($G756,3)="ДОК",$N756&lt;&gt;""),IFERROR(INDEX(Документация!$E$2:$E$57,MATCH($N756,Документация!$F$2:$F$57,0)),0),N($F756))*(1-MEDIAN(0,N(ДисконтТендер),1)))</f>
        <v>17.48</v>
      </c>
      <c r="T756" s="7">
        <f>IF($A756="","",IF(AND(LEFT($G756,3)="ДОК",$N756&lt;&gt;""),0,IF(AND(LEFT($G756,3)&lt;&gt;"ДОК",$N756&lt;&gt;""),IFERROR(INDEX(МАТЕРИАЛЫ!$H$2:$H$9000,MATCH($N756,МАТЕРИАЛЫ!$L$2:$L$9000,0))*IF(INDEX(МАТЕРИАЛЫ!$I$2:$I$9000,MATCH($N756,МАТЕРИАЛЫ!$L$2:$L$9000,0))="USD",КурсUSD,IF(INDEX(МАТЕРИАЛЫ!$I$2:$I$9000,MATCH($N756,МАТЕРИАЛЫ!$L$2:$L$9000,0))="EUR",КурсEUR,IF(INDEX(МАТЕРИАЛЫ!$I$2:$I$9000,MATCH($N756,МАТЕРИАЛЫ!$L$2:$L$9000,0))="CNY",КурсCNY,1)))*(1+N($H756)/100),0),N($O756))*(1-MEDIAN(0,N(ДисконтТендер),1))))</f>
        <v>0</v>
      </c>
      <c r="U756" t="str">
        <f>IF($L756="да",MAX($U$1:$U755)+1,"")</f>
        <v/>
      </c>
      <c r="V756" t="str">
        <f t="shared" si="80"/>
        <v>Р9</v>
      </c>
      <c r="W756" t="str">
        <f t="shared" si="81"/>
        <v/>
      </c>
      <c r="X756" t="str">
        <f t="shared" si="82"/>
        <v/>
      </c>
      <c r="Y756" s="4" t="str">
        <f>IF($A756="","",IF(AND(LEFT($G756,3)="ДОК",$N756&lt;&gt;""),IFERROR(INDEX(Документация!$G$2:$G$57,MATCH($N756,Документация!$F$2:$F$57,0)),$D756),$D756&amp;IF(AND(LEFT($G756,3)&lt;&gt;"ДОК",$N756&lt;&gt;"")," — "&amp;IFERROR(INDEX(МАТЕРИАЛЫ!$C$2:$C$9000,MATCH($N756,МАТЕРИАЛЫ!$L$2:$L$9000,0)),""),"")))</f>
        <v>Скоба крепления к шинопроводу (черный) (белый)</v>
      </c>
      <c r="Z756" t="str">
        <f t="shared" si="83"/>
        <v>Р9 · Электротехнические работы</v>
      </c>
    </row>
    <row r="757" spans="1:26" x14ac:dyDescent="0.3">
      <c r="A757" t="s">
        <v>1578</v>
      </c>
      <c r="B757" t="s">
        <v>1255</v>
      </c>
      <c r="C757" t="s">
        <v>161</v>
      </c>
      <c r="D757" s="4" t="s">
        <v>1579</v>
      </c>
      <c r="E757" t="s">
        <v>114</v>
      </c>
      <c r="F757" s="5">
        <v>51.79</v>
      </c>
      <c r="H757">
        <v>0</v>
      </c>
      <c r="I757" t="s">
        <v>53</v>
      </c>
      <c r="L757" s="6"/>
      <c r="M757" s="6"/>
      <c r="N757" s="6"/>
      <c r="O757" s="5"/>
      <c r="P757" s="7" t="str">
        <f t="shared" si="77"/>
        <v/>
      </c>
      <c r="Q757" s="7" t="str">
        <f t="shared" si="78"/>
        <v/>
      </c>
      <c r="R757" s="7" t="str">
        <f t="shared" si="79"/>
        <v/>
      </c>
      <c r="S757" s="7">
        <f>IF($A757="","",IF(AND(LEFT($G757,3)="ДОК",$N757&lt;&gt;""),IFERROR(INDEX(Документация!$E$2:$E$57,MATCH($N757,Документация!$F$2:$F$57,0)),0),N($F757))*(1-MEDIAN(0,N(ДисконтТендер),1)))</f>
        <v>51.79</v>
      </c>
      <c r="T757" s="7">
        <f>IF($A757="","",IF(AND(LEFT($G757,3)="ДОК",$N757&lt;&gt;""),0,IF(AND(LEFT($G757,3)&lt;&gt;"ДОК",$N757&lt;&gt;""),IFERROR(INDEX(МАТЕРИАЛЫ!$H$2:$H$9000,MATCH($N757,МАТЕРИАЛЫ!$L$2:$L$9000,0))*IF(INDEX(МАТЕРИАЛЫ!$I$2:$I$9000,MATCH($N757,МАТЕРИАЛЫ!$L$2:$L$9000,0))="USD",КурсUSD,IF(INDEX(МАТЕРИАЛЫ!$I$2:$I$9000,MATCH($N757,МАТЕРИАЛЫ!$L$2:$L$9000,0))="EUR",КурсEUR,IF(INDEX(МАТЕРИАЛЫ!$I$2:$I$9000,MATCH($N757,МАТЕРИАЛЫ!$L$2:$L$9000,0))="CNY",КурсCNY,1)))*(1+N($H757)/100),0),N($O757))*(1-MEDIAN(0,N(ДисконтТендер),1))))</f>
        <v>0</v>
      </c>
      <c r="U757" t="str">
        <f>IF($L757="да",MAX($U$1:$U756)+1,"")</f>
        <v/>
      </c>
      <c r="V757" t="str">
        <f t="shared" si="80"/>
        <v>Р9</v>
      </c>
      <c r="W757" t="str">
        <f t="shared" si="81"/>
        <v/>
      </c>
      <c r="X757" t="str">
        <f t="shared" si="82"/>
        <v/>
      </c>
      <c r="Y757" s="4" t="str">
        <f>IF($A757="","",IF(AND(LEFT($G757,3)="ДОК",$N757&lt;&gt;""),IFERROR(INDEX(Документация!$G$2:$G$57,MATCH($N757,Документация!$F$2:$F$57,0)),$D757),$D757&amp;IF(AND(LEFT($G757,3)&lt;&gt;"ДОК",$N757&lt;&gt;"")," — "&amp;IFERROR(INDEX(МАТЕРИАЛЫ!$C$2:$C$9000,MATCH($N757,МАТЕРИАЛЫ!$L$2:$L$9000,0)),""),"")))</f>
        <v>Tросик 1,5м (серебро)</v>
      </c>
      <c r="Z757" t="str">
        <f t="shared" si="83"/>
        <v>Р9 · Электротехнические работы</v>
      </c>
    </row>
    <row r="758" spans="1:26" x14ac:dyDescent="0.3">
      <c r="A758" t="s">
        <v>1580</v>
      </c>
      <c r="B758" t="s">
        <v>1255</v>
      </c>
      <c r="C758" t="s">
        <v>161</v>
      </c>
      <c r="D758" s="4" t="s">
        <v>1581</v>
      </c>
      <c r="E758" t="s">
        <v>114</v>
      </c>
      <c r="F758" s="5">
        <v>27.97</v>
      </c>
      <c r="G758" t="s">
        <v>1424</v>
      </c>
      <c r="H758">
        <v>5</v>
      </c>
      <c r="I758" t="s">
        <v>53</v>
      </c>
      <c r="L758" s="6"/>
      <c r="M758" s="6"/>
      <c r="N758" s="6"/>
      <c r="O758" s="5"/>
      <c r="P758" s="7" t="str">
        <f t="shared" si="77"/>
        <v/>
      </c>
      <c r="Q758" s="7" t="str">
        <f t="shared" si="78"/>
        <v/>
      </c>
      <c r="R758" s="7" t="str">
        <f t="shared" si="79"/>
        <v/>
      </c>
      <c r="S758" s="7">
        <f>IF($A758="","",IF(AND(LEFT($G758,3)="ДОК",$N758&lt;&gt;""),IFERROR(INDEX(Документация!$E$2:$E$57,MATCH($N758,Документация!$F$2:$F$57,0)),0),N($F758))*(1-MEDIAN(0,N(ДисконтТендер),1)))</f>
        <v>27.97</v>
      </c>
      <c r="T758" s="7">
        <f>IF($A758="","",IF(AND(LEFT($G758,3)="ДОК",$N758&lt;&gt;""),0,IF(AND(LEFT($G758,3)&lt;&gt;"ДОК",$N758&lt;&gt;""),IFERROR(INDEX(МАТЕРИАЛЫ!$H$2:$H$9000,MATCH($N758,МАТЕРИАЛЫ!$L$2:$L$9000,0))*IF(INDEX(МАТЕРИАЛЫ!$I$2:$I$9000,MATCH($N758,МАТЕРИАЛЫ!$L$2:$L$9000,0))="USD",КурсUSD,IF(INDEX(МАТЕРИАЛЫ!$I$2:$I$9000,MATCH($N758,МАТЕРИАЛЫ!$L$2:$L$9000,0))="EUR",КурсEUR,IF(INDEX(МАТЕРИАЛЫ!$I$2:$I$9000,MATCH($N758,МАТЕРИАЛЫ!$L$2:$L$9000,0))="CNY",КурсCNY,1)))*(1+N($H758)/100),0),N($O758))*(1-MEDIAN(0,N(ДисконтТендер),1))))</f>
        <v>0</v>
      </c>
      <c r="U758" t="str">
        <f>IF($L758="да",MAX($U$1:$U757)+1,"")</f>
        <v/>
      </c>
      <c r="V758" t="str">
        <f t="shared" si="80"/>
        <v>Р9</v>
      </c>
      <c r="W758" t="str">
        <f t="shared" si="81"/>
        <v/>
      </c>
      <c r="X758" t="str">
        <f t="shared" si="82"/>
        <v/>
      </c>
      <c r="Y758" s="4" t="str">
        <f>IF($A758="","",IF(AND(LEFT($G758,3)="ДОК",$N758&lt;&gt;""),IFERROR(INDEX(Документация!$G$2:$G$57,MATCH($N758,Документация!$F$2:$F$57,0)),$D758),$D758&amp;IF(AND(LEFT($G758,3)&lt;&gt;"ДОК",$N758&lt;&gt;"")," — "&amp;IFERROR(INDEX(МАТЕРИАЛЫ!$C$2:$C$9000,MATCH($N758,МАТЕРИАЛЫ!$L$2:$L$9000,0)),""),"")))</f>
        <v>Колпачок к шинопроводу (черный)</v>
      </c>
      <c r="Z758" t="str">
        <f t="shared" si="83"/>
        <v>Р9 · Электротехнические работы</v>
      </c>
    </row>
    <row r="759" spans="1:26" x14ac:dyDescent="0.3">
      <c r="A759" t="s">
        <v>1582</v>
      </c>
      <c r="B759" t="s">
        <v>1255</v>
      </c>
      <c r="C759" t="s">
        <v>161</v>
      </c>
      <c r="D759" s="4" t="s">
        <v>1583</v>
      </c>
      <c r="E759" t="s">
        <v>114</v>
      </c>
      <c r="F759" s="5">
        <v>793.71</v>
      </c>
      <c r="H759">
        <v>0</v>
      </c>
      <c r="I759" t="s">
        <v>53</v>
      </c>
      <c r="L759" s="6"/>
      <c r="M759" s="6"/>
      <c r="N759" s="6"/>
      <c r="O759" s="5"/>
      <c r="P759" s="7" t="str">
        <f t="shared" si="77"/>
        <v/>
      </c>
      <c r="Q759" s="7" t="str">
        <f t="shared" si="78"/>
        <v/>
      </c>
      <c r="R759" s="7" t="str">
        <f t="shared" si="79"/>
        <v/>
      </c>
      <c r="S759" s="7">
        <f>IF($A759="","",IF(AND(LEFT($G759,3)="ДОК",$N759&lt;&gt;""),IFERROR(INDEX(Документация!$E$2:$E$57,MATCH($N759,Документация!$F$2:$F$57,0)),0),N($F759))*(1-MEDIAN(0,N(ДисконтТендер),1)))</f>
        <v>793.71</v>
      </c>
      <c r="T759" s="7">
        <f>IF($A759="","",IF(AND(LEFT($G759,3)="ДОК",$N759&lt;&gt;""),0,IF(AND(LEFT($G759,3)&lt;&gt;"ДОК",$N759&lt;&gt;""),IFERROR(INDEX(МАТЕРИАЛЫ!$H$2:$H$9000,MATCH($N759,МАТЕРИАЛЫ!$L$2:$L$9000,0))*IF(INDEX(МАТЕРИАЛЫ!$I$2:$I$9000,MATCH($N759,МАТЕРИАЛЫ!$L$2:$L$9000,0))="USD",КурсUSD,IF(INDEX(МАТЕРИАЛЫ!$I$2:$I$9000,MATCH($N759,МАТЕРИАЛЫ!$L$2:$L$9000,0))="EUR",КурсEUR,IF(INDEX(МАТЕРИАЛЫ!$I$2:$I$9000,MATCH($N759,МАТЕРИАЛЫ!$L$2:$L$9000,0))="CNY",КурсCNY,1)))*(1+N($H759)/100),0),N($O759))*(1-MEDIAN(0,N(ДисконтТендер),1))))</f>
        <v>0</v>
      </c>
      <c r="U759" t="str">
        <f>IF($L759="да",MAX($U$1:$U758)+1,"")</f>
        <v/>
      </c>
      <c r="V759" t="str">
        <f t="shared" si="80"/>
        <v>Р9</v>
      </c>
      <c r="W759" t="str">
        <f t="shared" si="81"/>
        <v/>
      </c>
      <c r="X759" t="str">
        <f t="shared" si="82"/>
        <v/>
      </c>
      <c r="Y759" s="4" t="str">
        <f>IF($A759="","",IF(AND(LEFT($G759,3)="ДОК",$N759&lt;&gt;""),IFERROR(INDEX(Документация!$G$2:$G$57,MATCH($N759,Документация!$F$2:$F$57,0)),$D759),$D759&amp;IF(AND(LEFT($G759,3)&lt;&gt;"ДОК",$N759&lt;&gt;"")," — "&amp;IFERROR(INDEX(МАТЕРИАЛЫ!$C$2:$C$9000,MATCH($N759,МАТЕРИАЛЫ!$L$2:$L$9000,0)),""),"")))</f>
        <v>Q45 Track 8W-4000K CRI 90 BLK / WHI - Прожектор</v>
      </c>
      <c r="Z759" t="str">
        <f t="shared" si="83"/>
        <v>Р9 · Электротехнические работы</v>
      </c>
    </row>
    <row r="760" spans="1:26" x14ac:dyDescent="0.3">
      <c r="A760" t="s">
        <v>1584</v>
      </c>
      <c r="B760" t="s">
        <v>1255</v>
      </c>
      <c r="C760" t="s">
        <v>161</v>
      </c>
      <c r="D760" s="4" t="s">
        <v>1585</v>
      </c>
      <c r="E760" t="s">
        <v>114</v>
      </c>
      <c r="F760" s="5">
        <v>177.75</v>
      </c>
      <c r="G760" t="s">
        <v>1424</v>
      </c>
      <c r="H760">
        <v>5</v>
      </c>
      <c r="I760" t="s">
        <v>53</v>
      </c>
      <c r="L760" s="6"/>
      <c r="M760" s="6"/>
      <c r="N760" s="6"/>
      <c r="O760" s="5"/>
      <c r="P760" s="7" t="str">
        <f t="shared" si="77"/>
        <v/>
      </c>
      <c r="Q760" s="7" t="str">
        <f t="shared" si="78"/>
        <v/>
      </c>
      <c r="R760" s="7" t="str">
        <f t="shared" si="79"/>
        <v/>
      </c>
      <c r="S760" s="7">
        <f>IF($A760="","",IF(AND(LEFT($G760,3)="ДОК",$N760&lt;&gt;""),IFERROR(INDEX(Документация!$E$2:$E$57,MATCH($N760,Документация!$F$2:$F$57,0)),0),N($F760))*(1-MEDIAN(0,N(ДисконтТендер),1)))</f>
        <v>177.75</v>
      </c>
      <c r="T760" s="7">
        <f>IF($A760="","",IF(AND(LEFT($G760,3)="ДОК",$N760&lt;&gt;""),0,IF(AND(LEFT($G760,3)&lt;&gt;"ДОК",$N760&lt;&gt;""),IFERROR(INDEX(МАТЕРИАЛЫ!$H$2:$H$9000,MATCH($N760,МАТЕРИАЛЫ!$L$2:$L$9000,0))*IF(INDEX(МАТЕРИАЛЫ!$I$2:$I$9000,MATCH($N760,МАТЕРИАЛЫ!$L$2:$L$9000,0))="USD",КурсUSD,IF(INDEX(МАТЕРИАЛЫ!$I$2:$I$9000,MATCH($N760,МАТЕРИАЛЫ!$L$2:$L$9000,0))="EUR",КурсEUR,IF(INDEX(МАТЕРИАЛЫ!$I$2:$I$9000,MATCH($N760,МАТЕРИАЛЫ!$L$2:$L$9000,0))="CNY",КурсCNY,1)))*(1+N($H760)/100),0),N($O760))*(1-MEDIAN(0,N(ДисконтТендер),1))))</f>
        <v>0</v>
      </c>
      <c r="U760" t="str">
        <f>IF($L760="да",MAX($U$1:$U759)+1,"")</f>
        <v/>
      </c>
      <c r="V760" t="str">
        <f t="shared" si="80"/>
        <v>Р9</v>
      </c>
      <c r="W760" t="str">
        <f t="shared" si="81"/>
        <v/>
      </c>
      <c r="X760" t="str">
        <f t="shared" si="82"/>
        <v/>
      </c>
      <c r="Y760" s="4" t="str">
        <f>IF($A760="","",IF(AND(LEFT($G760,3)="ДОК",$N760&lt;&gt;""),IFERROR(INDEX(Документация!$G$2:$G$57,MATCH($N760,Документация!$F$2:$F$57,0)),$D760),$D760&amp;IF(AND(LEFT($G760,3)&lt;&gt;"ДОК",$N760&lt;&gt;"")," — "&amp;IFERROR(INDEX(МАТЕРИАЛЫ!$C$2:$C$9000,MATCH($N760,МАТЕРИАЛЫ!$L$2:$L$9000,0)),""),"")))</f>
        <v>Угол к шинопроводу (черный)</v>
      </c>
      <c r="Z760" t="str">
        <f t="shared" si="83"/>
        <v>Р9 · Электротехнические работы</v>
      </c>
    </row>
    <row r="761" spans="1:26" x14ac:dyDescent="0.3">
      <c r="A761" t="s">
        <v>1586</v>
      </c>
      <c r="B761" t="s">
        <v>1255</v>
      </c>
      <c r="C761" t="s">
        <v>161</v>
      </c>
      <c r="D761" s="4" t="s">
        <v>1587</v>
      </c>
      <c r="E761" t="s">
        <v>114</v>
      </c>
      <c r="F761" s="5">
        <v>166.89</v>
      </c>
      <c r="G761" t="s">
        <v>1424</v>
      </c>
      <c r="H761">
        <v>5</v>
      </c>
      <c r="I761" t="s">
        <v>53</v>
      </c>
      <c r="L761" s="6"/>
      <c r="M761" s="6"/>
      <c r="N761" s="6"/>
      <c r="O761" s="5"/>
      <c r="P761" s="7" t="str">
        <f t="shared" si="77"/>
        <v/>
      </c>
      <c r="Q761" s="7" t="str">
        <f t="shared" si="78"/>
        <v/>
      </c>
      <c r="R761" s="7" t="str">
        <f t="shared" si="79"/>
        <v/>
      </c>
      <c r="S761" s="7">
        <f>IF($A761="","",IF(AND(LEFT($G761,3)="ДОК",$N761&lt;&gt;""),IFERROR(INDEX(Документация!$E$2:$E$57,MATCH($N761,Документация!$F$2:$F$57,0)),0),N($F761))*(1-MEDIAN(0,N(ДисконтТендер),1)))</f>
        <v>166.89</v>
      </c>
      <c r="T761" s="7">
        <f>IF($A761="","",IF(AND(LEFT($G761,3)="ДОК",$N761&lt;&gt;""),0,IF(AND(LEFT($G761,3)&lt;&gt;"ДОК",$N761&lt;&gt;""),IFERROR(INDEX(МАТЕРИАЛЫ!$H$2:$H$9000,MATCH($N761,МАТЕРИАЛЫ!$L$2:$L$9000,0))*IF(INDEX(МАТЕРИАЛЫ!$I$2:$I$9000,MATCH($N761,МАТЕРИАЛЫ!$L$2:$L$9000,0))="USD",КурсUSD,IF(INDEX(МАТЕРИАЛЫ!$I$2:$I$9000,MATCH($N761,МАТЕРИАЛЫ!$L$2:$L$9000,0))="EUR",КурсEUR,IF(INDEX(МАТЕРИАЛЫ!$I$2:$I$9000,MATCH($N761,МАТЕРИАЛЫ!$L$2:$L$9000,0))="CNY",КурсCNY,1)))*(1+N($H761)/100),0),N($O761))*(1-MEDIAN(0,N(ДисконтТендер),1))))</f>
        <v>0</v>
      </c>
      <c r="U761" t="str">
        <f>IF($L761="да",MAX($U$1:$U760)+1,"")</f>
        <v/>
      </c>
      <c r="V761" t="str">
        <f t="shared" si="80"/>
        <v>Р9</v>
      </c>
      <c r="W761" t="str">
        <f t="shared" si="81"/>
        <v/>
      </c>
      <c r="X761" t="str">
        <f t="shared" si="82"/>
        <v/>
      </c>
      <c r="Y761" s="4" t="str">
        <f>IF($A761="","",IF(AND(LEFT($G761,3)="ДОК",$N761&lt;&gt;""),IFERROR(INDEX(Документация!$G$2:$G$57,MATCH($N761,Документация!$F$2:$F$57,0)),$D761),$D761&amp;IF(AND(LEFT($G761,3)&lt;&gt;"ДОК",$N761&lt;&gt;"")," — "&amp;IFERROR(INDEX(МАТЕРИАЛЫ!$C$2:$C$9000,MATCH($N761,МАТЕРИАЛЫ!$L$2:$L$9000,0)),""),"")))</f>
        <v>Шинопровод 1м (черный) (белый)</v>
      </c>
      <c r="Z761" t="str">
        <f t="shared" si="83"/>
        <v>Р9 · Электротехнические работы</v>
      </c>
    </row>
    <row r="762" spans="1:26" x14ac:dyDescent="0.3">
      <c r="A762" t="s">
        <v>1588</v>
      </c>
      <c r="B762" t="s">
        <v>1255</v>
      </c>
      <c r="C762" t="s">
        <v>161</v>
      </c>
      <c r="D762" s="4" t="s">
        <v>1589</v>
      </c>
      <c r="E762" t="s">
        <v>114</v>
      </c>
      <c r="F762" s="5">
        <v>4.0599999999999996</v>
      </c>
      <c r="H762">
        <v>0</v>
      </c>
      <c r="I762" t="s">
        <v>53</v>
      </c>
      <c r="L762" s="6"/>
      <c r="M762" s="6"/>
      <c r="N762" s="6"/>
      <c r="O762" s="5"/>
      <c r="P762" s="7" t="str">
        <f t="shared" si="77"/>
        <v/>
      </c>
      <c r="Q762" s="7" t="str">
        <f t="shared" si="78"/>
        <v/>
      </c>
      <c r="R762" s="7" t="str">
        <f t="shared" si="79"/>
        <v/>
      </c>
      <c r="S762" s="7">
        <f>IF($A762="","",IF(AND(LEFT($G762,3)="ДОК",$N762&lt;&gt;""),IFERROR(INDEX(Документация!$E$2:$E$57,MATCH($N762,Документация!$F$2:$F$57,0)),0),N($F762))*(1-MEDIAN(0,N(ДисконтТендер),1)))</f>
        <v>4.0599999999999996</v>
      </c>
      <c r="T762" s="7">
        <f>IF($A762="","",IF(AND(LEFT($G762,3)="ДОК",$N762&lt;&gt;""),0,IF(AND(LEFT($G762,3)&lt;&gt;"ДОК",$N762&lt;&gt;""),IFERROR(INDEX(МАТЕРИАЛЫ!$H$2:$H$9000,MATCH($N762,МАТЕРИАЛЫ!$L$2:$L$9000,0))*IF(INDEX(МАТЕРИАЛЫ!$I$2:$I$9000,MATCH($N762,МАТЕРИАЛЫ!$L$2:$L$9000,0))="USD",КурсUSD,IF(INDEX(МАТЕРИАЛЫ!$I$2:$I$9000,MATCH($N762,МАТЕРИАЛЫ!$L$2:$L$9000,0))="EUR",КурсEUR,IF(INDEX(МАТЕРИАЛЫ!$I$2:$I$9000,MATCH($N762,МАТЕРИАЛЫ!$L$2:$L$9000,0))="CNY",КурсCNY,1)))*(1+N($H762)/100),0),N($O762))*(1-MEDIAN(0,N(ДисконтТендер),1))))</f>
        <v>0</v>
      </c>
      <c r="U762" t="str">
        <f>IF($L762="да",MAX($U$1:$U761)+1,"")</f>
        <v/>
      </c>
      <c r="V762" t="str">
        <f t="shared" si="80"/>
        <v>Р9</v>
      </c>
      <c r="W762" t="str">
        <f t="shared" si="81"/>
        <v/>
      </c>
      <c r="X762" t="str">
        <f t="shared" si="82"/>
        <v/>
      </c>
      <c r="Y762" s="4" t="str">
        <f>IF($A762="","",IF(AND(LEFT($G762,3)="ДОК",$N762&lt;&gt;""),IFERROR(INDEX(Документация!$G$2:$G$57,MATCH($N762,Документация!$F$2:$F$57,0)),$D762),$D762&amp;IF(AND(LEFT($G762,3)&lt;&gt;"ДОК",$N762&lt;&gt;"")," — "&amp;IFERROR(INDEX(МАТЕРИАЛЫ!$C$2:$C$9000,MATCH($N762,МАТЕРИАЛЫ!$L$2:$L$9000,0)),""),"")))</f>
        <v>Заглушка, (черная, белая)</v>
      </c>
      <c r="Z762" t="str">
        <f t="shared" si="83"/>
        <v>Р9 · Электротехнические работы</v>
      </c>
    </row>
    <row r="763" spans="1:26" x14ac:dyDescent="0.3">
      <c r="A763" t="s">
        <v>1590</v>
      </c>
      <c r="B763" t="s">
        <v>1255</v>
      </c>
      <c r="C763" t="s">
        <v>161</v>
      </c>
      <c r="D763" s="4" t="s">
        <v>1591</v>
      </c>
      <c r="E763" t="s">
        <v>114</v>
      </c>
      <c r="F763" s="5">
        <v>372.99</v>
      </c>
      <c r="G763" t="s">
        <v>1424</v>
      </c>
      <c r="H763">
        <v>5</v>
      </c>
      <c r="I763" t="s">
        <v>53</v>
      </c>
      <c r="L763" s="6"/>
      <c r="M763" s="6"/>
      <c r="N763" s="6"/>
      <c r="O763" s="5"/>
      <c r="P763" s="7" t="str">
        <f t="shared" si="77"/>
        <v/>
      </c>
      <c r="Q763" s="7" t="str">
        <f t="shared" si="78"/>
        <v/>
      </c>
      <c r="R763" s="7" t="str">
        <f t="shared" si="79"/>
        <v/>
      </c>
      <c r="S763" s="7">
        <f>IF($A763="","",IF(AND(LEFT($G763,3)="ДОК",$N763&lt;&gt;""),IFERROR(INDEX(Документация!$E$2:$E$57,MATCH($N763,Документация!$F$2:$F$57,0)),0),N($F763))*(1-MEDIAN(0,N(ДисконтТендер),1)))</f>
        <v>372.99</v>
      </c>
      <c r="T763" s="7">
        <f>IF($A763="","",IF(AND(LEFT($G763,3)="ДОК",$N763&lt;&gt;""),0,IF(AND(LEFT($G763,3)&lt;&gt;"ДОК",$N763&lt;&gt;""),IFERROR(INDEX(МАТЕРИАЛЫ!$H$2:$H$9000,MATCH($N763,МАТЕРИАЛЫ!$L$2:$L$9000,0))*IF(INDEX(МАТЕРИАЛЫ!$I$2:$I$9000,MATCH($N763,МАТЕРИАЛЫ!$L$2:$L$9000,0))="USD",КурсUSD,IF(INDEX(МАТЕРИАЛЫ!$I$2:$I$9000,MATCH($N763,МАТЕРИАЛЫ!$L$2:$L$9000,0))="EUR",КурсEUR,IF(INDEX(МАТЕРИАЛЫ!$I$2:$I$9000,MATCH($N763,МАТЕРИАЛЫ!$L$2:$L$9000,0))="CNY",КурсCNY,1)))*(1+N($H763)/100),0),N($O763))*(1-MEDIAN(0,N(ДисконтТендер),1))))</f>
        <v>0</v>
      </c>
      <c r="U763" t="str">
        <f>IF($L763="да",MAX($U$1:$U762)+1,"")</f>
        <v/>
      </c>
      <c r="V763" t="str">
        <f t="shared" si="80"/>
        <v>Р9</v>
      </c>
      <c r="W763" t="str">
        <f t="shared" si="81"/>
        <v/>
      </c>
      <c r="X763" t="str">
        <f t="shared" si="82"/>
        <v/>
      </c>
      <c r="Y763" s="4" t="str">
        <f>IF($A763="","",IF(AND(LEFT($G763,3)="ДОК",$N763&lt;&gt;""),IFERROR(INDEX(Документация!$G$2:$G$57,MATCH($N763,Документация!$F$2:$F$57,0)),$D763),$D763&amp;IF(AND(LEFT($G763,3)&lt;&gt;"ДОК",$N763&lt;&gt;"")," — "&amp;IFERROR(INDEX(МАТЕРИАЛЫ!$C$2:$C$9000,MATCH($N763,МАТЕРИАЛЫ!$L$2:$L$9000,0)),""),"")))</f>
        <v>Шинопровод 2м (белый)</v>
      </c>
      <c r="Z763" t="str">
        <f t="shared" si="83"/>
        <v>Р9 · Электротехнические работы</v>
      </c>
    </row>
    <row r="764" spans="1:26" ht="43.2" x14ac:dyDescent="0.3">
      <c r="A764" t="s">
        <v>1592</v>
      </c>
      <c r="B764" t="s">
        <v>1255</v>
      </c>
      <c r="C764" t="s">
        <v>161</v>
      </c>
      <c r="D764" s="4" t="s">
        <v>1593</v>
      </c>
      <c r="E764" t="s">
        <v>114</v>
      </c>
      <c r="F764" s="5">
        <v>2896.14</v>
      </c>
      <c r="G764" t="s">
        <v>1381</v>
      </c>
      <c r="H764">
        <v>5</v>
      </c>
      <c r="I764" t="s">
        <v>53</v>
      </c>
      <c r="L764" s="6"/>
      <c r="M764" s="6"/>
      <c r="N764" s="6"/>
      <c r="O764" s="5"/>
      <c r="P764" s="7" t="str">
        <f t="shared" si="77"/>
        <v/>
      </c>
      <c r="Q764" s="7" t="str">
        <f t="shared" si="78"/>
        <v/>
      </c>
      <c r="R764" s="7" t="str">
        <f t="shared" si="79"/>
        <v/>
      </c>
      <c r="S764" s="7">
        <f>IF($A764="","",IF(AND(LEFT($G764,3)="ДОК",$N764&lt;&gt;""),IFERROR(INDEX(Документация!$E$2:$E$57,MATCH($N764,Документация!$F$2:$F$57,0)),0),N($F764))*(1-MEDIAN(0,N(ДисконтТендер),1)))</f>
        <v>2896.14</v>
      </c>
      <c r="T764" s="7">
        <f>IF($A764="","",IF(AND(LEFT($G764,3)="ДОК",$N764&lt;&gt;""),0,IF(AND(LEFT($G764,3)&lt;&gt;"ДОК",$N764&lt;&gt;""),IFERROR(INDEX(МАТЕРИАЛЫ!$H$2:$H$9000,MATCH($N764,МАТЕРИАЛЫ!$L$2:$L$9000,0))*IF(INDEX(МАТЕРИАЛЫ!$I$2:$I$9000,MATCH($N764,МАТЕРИАЛЫ!$L$2:$L$9000,0))="USD",КурсUSD,IF(INDEX(МАТЕРИАЛЫ!$I$2:$I$9000,MATCH($N764,МАТЕРИАЛЫ!$L$2:$L$9000,0))="EUR",КурсEUR,IF(INDEX(МАТЕРИАЛЫ!$I$2:$I$9000,MATCH($N764,МАТЕРИАЛЫ!$L$2:$L$9000,0))="CNY",КурсCNY,1)))*(1+N($H764)/100),0),N($O764))*(1-MEDIAN(0,N(ДисконтТендер),1))))</f>
        <v>0</v>
      </c>
      <c r="U764" t="str">
        <f>IF($L764="да",MAX($U$1:$U763)+1,"")</f>
        <v/>
      </c>
      <c r="V764" t="str">
        <f t="shared" si="80"/>
        <v>Р9</v>
      </c>
      <c r="W764" t="str">
        <f t="shared" si="81"/>
        <v/>
      </c>
      <c r="X764" t="str">
        <f t="shared" si="82"/>
        <v/>
      </c>
      <c r="Y764" s="4" t="str">
        <f>IF($A764="","",IF(AND(LEFT($G764,3)="ДОК",$N764&lt;&gt;""),IFERROR(INDEX(Документация!$G$2:$G$57,MATCH($N764,Документация!$F$2:$F$57,0)),$D764),$D764&amp;IF(AND(LEFT($G764,3)&lt;&gt;"ДОК",$N764&lt;&gt;"")," — "&amp;IFERROR(INDEX(МАТЕРИАЛЫ!$C$2:$C$9000,MATCH($N764,МАТЕРИАЛЫ!$L$2:$L$9000,0)),""),"")))</f>
        <v>Silent acoustic D380x230x(h)500 mm, 1xE27, one side colour Susp (белый внутри, серый снаружи)- Светильник</v>
      </c>
      <c r="Z764" t="str">
        <f t="shared" si="83"/>
        <v>Р9 · Электротехнические работы</v>
      </c>
    </row>
    <row r="765" spans="1:26" ht="28.8" x14ac:dyDescent="0.3">
      <c r="A765" t="s">
        <v>1594</v>
      </c>
      <c r="B765" t="s">
        <v>1255</v>
      </c>
      <c r="C765" t="s">
        <v>161</v>
      </c>
      <c r="D765" s="4" t="s">
        <v>1595</v>
      </c>
      <c r="E765" t="s">
        <v>114</v>
      </c>
      <c r="F765" s="5">
        <v>1209.32</v>
      </c>
      <c r="G765" t="s">
        <v>1381</v>
      </c>
      <c r="H765">
        <v>5</v>
      </c>
      <c r="I765" t="s">
        <v>53</v>
      </c>
      <c r="L765" s="6"/>
      <c r="M765" s="6"/>
      <c r="N765" s="6"/>
      <c r="O765" s="5"/>
      <c r="P765" s="7" t="str">
        <f t="shared" si="77"/>
        <v/>
      </c>
      <c r="Q765" s="7" t="str">
        <f t="shared" si="78"/>
        <v/>
      </c>
      <c r="R765" s="7" t="str">
        <f t="shared" si="79"/>
        <v/>
      </c>
      <c r="S765" s="7">
        <f>IF($A765="","",IF(AND(LEFT($G765,3)="ДОК",$N765&lt;&gt;""),IFERROR(INDEX(Документация!$E$2:$E$57,MATCH($N765,Документация!$F$2:$F$57,0)),0),N($F765))*(1-MEDIAN(0,N(ДисконтТендер),1)))</f>
        <v>1209.32</v>
      </c>
      <c r="T765" s="7">
        <f>IF($A765="","",IF(AND(LEFT($G765,3)="ДОК",$N765&lt;&gt;""),0,IF(AND(LEFT($G765,3)&lt;&gt;"ДОК",$N765&lt;&gt;""),IFERROR(INDEX(МАТЕРИАЛЫ!$H$2:$H$9000,MATCH($N765,МАТЕРИАЛЫ!$L$2:$L$9000,0))*IF(INDEX(МАТЕРИАЛЫ!$I$2:$I$9000,MATCH($N765,МАТЕРИАЛЫ!$L$2:$L$9000,0))="USD",КурсUSD,IF(INDEX(МАТЕРИАЛЫ!$I$2:$I$9000,MATCH($N765,МАТЕРИАЛЫ!$L$2:$L$9000,0))="EUR",КурсEUR,IF(INDEX(МАТЕРИАЛЫ!$I$2:$I$9000,MATCH($N765,МАТЕРИАЛЫ!$L$2:$L$9000,0))="CNY",КурсCNY,1)))*(1+N($H765)/100),0),N($O765))*(1-MEDIAN(0,N(ДисконтТендер),1))))</f>
        <v>0</v>
      </c>
      <c r="U765" t="str">
        <f>IF($L765="да",MAX($U$1:$U764)+1,"")</f>
        <v/>
      </c>
      <c r="V765" t="str">
        <f t="shared" si="80"/>
        <v>Р9</v>
      </c>
      <c r="W765" t="str">
        <f t="shared" si="81"/>
        <v/>
      </c>
      <c r="X765" t="str">
        <f t="shared" si="82"/>
        <v/>
      </c>
      <c r="Y765" s="4" t="str">
        <f>IF($A765="","",IF(AND(LEFT($G765,3)="ДОК",$N765&lt;&gt;""),IFERROR(INDEX(Документация!$G$2:$G$57,MATCH($N765,Документация!$F$2:$F$57,0)),$D765),$D765&amp;IF(AND(LEFT($G765,3)&lt;&gt;"ДОК",$N765&lt;&gt;"")," — "&amp;IFERROR(INDEX(МАТЕРИАЛЫ!$C$2:$C$9000,MATCH($N765,МАТЕРИАЛЫ!$L$2:$L$9000,0)),""),"")))</f>
        <v>Silent acoustic D200-100x(h)300 mm, 1xE27, one side colour Susp Серый- Светильник</v>
      </c>
      <c r="Z765" t="str">
        <f t="shared" si="83"/>
        <v>Р9 · Электротехнические работы</v>
      </c>
    </row>
    <row r="766" spans="1:26" ht="28.8" x14ac:dyDescent="0.3">
      <c r="A766" t="s">
        <v>1596</v>
      </c>
      <c r="B766" t="s">
        <v>1255</v>
      </c>
      <c r="C766" t="s">
        <v>161</v>
      </c>
      <c r="D766" s="4" t="s">
        <v>1597</v>
      </c>
      <c r="E766" t="s">
        <v>114</v>
      </c>
      <c r="F766" s="5">
        <v>2342.75</v>
      </c>
      <c r="G766" t="s">
        <v>1381</v>
      </c>
      <c r="H766">
        <v>5</v>
      </c>
      <c r="I766" t="s">
        <v>53</v>
      </c>
      <c r="L766" s="6"/>
      <c r="M766" s="6"/>
      <c r="N766" s="6"/>
      <c r="O766" s="5"/>
      <c r="P766" s="7" t="str">
        <f t="shared" si="77"/>
        <v/>
      </c>
      <c r="Q766" s="7" t="str">
        <f t="shared" si="78"/>
        <v/>
      </c>
      <c r="R766" s="7" t="str">
        <f t="shared" si="79"/>
        <v/>
      </c>
      <c r="S766" s="7">
        <f>IF($A766="","",IF(AND(LEFT($G766,3)="ДОК",$N766&lt;&gt;""),IFERROR(INDEX(Документация!$E$2:$E$57,MATCH($N766,Документация!$F$2:$F$57,0)),0),N($F766))*(1-MEDIAN(0,N(ДисконтТендер),1)))</f>
        <v>2342.75</v>
      </c>
      <c r="T766" s="7">
        <f>IF($A766="","",IF(AND(LEFT($G766,3)="ДОК",$N766&lt;&gt;""),0,IF(AND(LEFT($G766,3)&lt;&gt;"ДОК",$N766&lt;&gt;""),IFERROR(INDEX(МАТЕРИАЛЫ!$H$2:$H$9000,MATCH($N766,МАТЕРИАЛЫ!$L$2:$L$9000,0))*IF(INDEX(МАТЕРИАЛЫ!$I$2:$I$9000,MATCH($N766,МАТЕРИАЛЫ!$L$2:$L$9000,0))="USD",КурсUSD,IF(INDEX(МАТЕРИАЛЫ!$I$2:$I$9000,MATCH($N766,МАТЕРИАЛЫ!$L$2:$L$9000,0))="EUR",КурсEUR,IF(INDEX(МАТЕРИАЛЫ!$I$2:$I$9000,MATCH($N766,МАТЕРИАЛЫ!$L$2:$L$9000,0))="CNY",КурсCNY,1)))*(1+N($H766)/100),0),N($O766))*(1-MEDIAN(0,N(ДисконтТендер),1))))</f>
        <v>0</v>
      </c>
      <c r="U766" t="str">
        <f>IF($L766="да",MAX($U$1:$U765)+1,"")</f>
        <v/>
      </c>
      <c r="V766" t="str">
        <f t="shared" si="80"/>
        <v>Р9</v>
      </c>
      <c r="W766" t="str">
        <f t="shared" si="81"/>
        <v/>
      </c>
      <c r="X766" t="str">
        <f t="shared" si="82"/>
        <v/>
      </c>
      <c r="Y766" s="4" t="str">
        <f>IF($A766="","",IF(AND(LEFT($G766,3)="ДОК",$N766&lt;&gt;""),IFERROR(INDEX(Документация!$G$2:$G$57,MATCH($N766,Документация!$F$2:$F$57,0)),$D766),$D766&amp;IF(AND(LEFT($G766,3)&lt;&gt;"ДОК",$N766&lt;&gt;"")," — "&amp;IFERROR(INDEX(МАТЕРИАЛЫ!$C$2:$C$9000,MATCH($N766,МАТЕРИАЛЫ!$L$2:$L$9000,0)),""),"")))</f>
        <v>Silent acoustic D800-400x(h)400 mm, 3xE27, one side colour Susp RED - Светильник</v>
      </c>
      <c r="Z766" t="str">
        <f t="shared" si="83"/>
        <v>Р9 · Электротехнические работы</v>
      </c>
    </row>
    <row r="767" spans="1:26" ht="28.8" x14ac:dyDescent="0.3">
      <c r="A767" t="s">
        <v>1598</v>
      </c>
      <c r="B767" t="s">
        <v>1255</v>
      </c>
      <c r="C767" t="s">
        <v>161</v>
      </c>
      <c r="D767" s="4" t="s">
        <v>1599</v>
      </c>
      <c r="E767" t="s">
        <v>114</v>
      </c>
      <c r="F767" s="5">
        <v>3553.58</v>
      </c>
      <c r="G767" t="s">
        <v>1381</v>
      </c>
      <c r="H767">
        <v>5</v>
      </c>
      <c r="I767" t="s">
        <v>53</v>
      </c>
      <c r="L767" s="6"/>
      <c r="M767" s="6"/>
      <c r="N767" s="6"/>
      <c r="O767" s="5"/>
      <c r="P767" s="7" t="str">
        <f t="shared" si="77"/>
        <v/>
      </c>
      <c r="Q767" s="7" t="str">
        <f t="shared" si="78"/>
        <v/>
      </c>
      <c r="R767" s="7" t="str">
        <f t="shared" si="79"/>
        <v/>
      </c>
      <c r="S767" s="7">
        <f>IF($A767="","",IF(AND(LEFT($G767,3)="ДОК",$N767&lt;&gt;""),IFERROR(INDEX(Документация!$E$2:$E$57,MATCH($N767,Документация!$F$2:$F$57,0)),0),N($F767))*(1-MEDIAN(0,N(ДисконтТендер),1)))</f>
        <v>3553.58</v>
      </c>
      <c r="T767" s="7">
        <f>IF($A767="","",IF(AND(LEFT($G767,3)="ДОК",$N767&lt;&gt;""),0,IF(AND(LEFT($G767,3)&lt;&gt;"ДОК",$N767&lt;&gt;""),IFERROR(INDEX(МАТЕРИАЛЫ!$H$2:$H$9000,MATCH($N767,МАТЕРИАЛЫ!$L$2:$L$9000,0))*IF(INDEX(МАТЕРИАЛЫ!$I$2:$I$9000,MATCH($N767,МАТЕРИАЛЫ!$L$2:$L$9000,0))="USD",КурсUSD,IF(INDEX(МАТЕРИАЛЫ!$I$2:$I$9000,MATCH($N767,МАТЕРИАЛЫ!$L$2:$L$9000,0))="EUR",КурсEUR,IF(INDEX(МАТЕРИАЛЫ!$I$2:$I$9000,MATCH($N767,МАТЕРИАЛЫ!$L$2:$L$9000,0))="CNY",КурсCNY,1)))*(1+N($H767)/100),0),N($O767))*(1-MEDIAN(0,N(ДисконтТендер),1))))</f>
        <v>0</v>
      </c>
      <c r="U767" t="str">
        <f>IF($L767="да",MAX($U$1:$U766)+1,"")</f>
        <v/>
      </c>
      <c r="V767" t="str">
        <f t="shared" si="80"/>
        <v>Р9</v>
      </c>
      <c r="W767" t="str">
        <f t="shared" si="81"/>
        <v/>
      </c>
      <c r="X767" t="str">
        <f t="shared" si="82"/>
        <v/>
      </c>
      <c r="Y767" s="4" t="str">
        <f>IF($A767="","",IF(AND(LEFT($G767,3)="ДОК",$N767&lt;&gt;""),IFERROR(INDEX(Документация!$G$2:$G$57,MATCH($N767,Документация!$F$2:$F$57,0)),$D767),$D767&amp;IF(AND(LEFT($G767,3)&lt;&gt;"ДОК",$N767&lt;&gt;"")," — "&amp;IFERROR(INDEX(МАТЕРИАЛЫ!$C$2:$C$9000,MATCH($N767,МАТЕРИАЛЫ!$L$2:$L$9000,0)),""),"")))</f>
        <v>Grata Slim SL D750 MP ECO 50W-4000K CRI 90 Reduced Susp BLK - Светильник</v>
      </c>
      <c r="Z767" t="str">
        <f t="shared" si="83"/>
        <v>Р9 · Электротехнические работы</v>
      </c>
    </row>
    <row r="768" spans="1:26" x14ac:dyDescent="0.3">
      <c r="A768" t="s">
        <v>1600</v>
      </c>
      <c r="B768" t="s">
        <v>1255</v>
      </c>
      <c r="C768" t="s">
        <v>161</v>
      </c>
      <c r="D768" s="4" t="s">
        <v>1601</v>
      </c>
      <c r="E768" t="s">
        <v>114</v>
      </c>
      <c r="F768" s="5">
        <v>27.69</v>
      </c>
      <c r="H768">
        <v>0</v>
      </c>
      <c r="I768" t="s">
        <v>53</v>
      </c>
      <c r="L768" s="6"/>
      <c r="M768" s="6"/>
      <c r="N768" s="6"/>
      <c r="O768" s="5"/>
      <c r="P768" s="7" t="str">
        <f t="shared" si="77"/>
        <v/>
      </c>
      <c r="Q768" s="7" t="str">
        <f t="shared" si="78"/>
        <v/>
      </c>
      <c r="R768" s="7" t="str">
        <f t="shared" si="79"/>
        <v/>
      </c>
      <c r="S768" s="7">
        <f>IF($A768="","",IF(AND(LEFT($G768,3)="ДОК",$N768&lt;&gt;""),IFERROR(INDEX(Документация!$E$2:$E$57,MATCH($N768,Документация!$F$2:$F$57,0)),0),N($F768))*(1-MEDIAN(0,N(ДисконтТендер),1)))</f>
        <v>27.69</v>
      </c>
      <c r="T768" s="7">
        <f>IF($A768="","",IF(AND(LEFT($G768,3)="ДОК",$N768&lt;&gt;""),0,IF(AND(LEFT($G768,3)&lt;&gt;"ДОК",$N768&lt;&gt;""),IFERROR(INDEX(МАТЕРИАЛЫ!$H$2:$H$9000,MATCH($N768,МАТЕРИАЛЫ!$L$2:$L$9000,0))*IF(INDEX(МАТЕРИАЛЫ!$I$2:$I$9000,MATCH($N768,МАТЕРИАЛЫ!$L$2:$L$9000,0))="USD",КурсUSD,IF(INDEX(МАТЕРИАЛЫ!$I$2:$I$9000,MATCH($N768,МАТЕРИАЛЫ!$L$2:$L$9000,0))="EUR",КурсEUR,IF(INDEX(МАТЕРИАЛЫ!$I$2:$I$9000,MATCH($N768,МАТЕРИАЛЫ!$L$2:$L$9000,0))="CNY",КурсCNY,1)))*(1+N($H768)/100),0),N($O768))*(1-MEDIAN(0,N(ДисконтТендер),1))))</f>
        <v>0</v>
      </c>
      <c r="U768" t="str">
        <f>IF($L768="да",MAX($U$1:$U767)+1,"")</f>
        <v/>
      </c>
      <c r="V768" t="str">
        <f t="shared" si="80"/>
        <v>Р9</v>
      </c>
      <c r="W768" t="str">
        <f t="shared" si="81"/>
        <v/>
      </c>
      <c r="X768" t="str">
        <f t="shared" si="82"/>
        <v/>
      </c>
      <c r="Y768" s="4" t="str">
        <f>IF($A768="","",IF(AND(LEFT($G768,3)="ДОК",$N768&lt;&gt;""),IFERROR(INDEX(Документация!$G$2:$G$57,MATCH($N768,Документация!$F$2:$F$57,0)),$D768),$D768&amp;IF(AND(LEFT($G768,3)&lt;&gt;"ДОК",$N768&lt;&gt;"")," — "&amp;IFERROR(INDEX(МАТЕРИАЛЫ!$C$2:$C$9000,MATCH($N768,МАТЕРИАЛЫ!$L$2:$L$9000,0)),""),"")))</f>
        <v>LED лампа 13W/827 FR DIM E27 1521 lm</v>
      </c>
      <c r="Z768" t="str">
        <f t="shared" si="83"/>
        <v>Р9 · Электротехнические работы</v>
      </c>
    </row>
    <row r="769" spans="1:26" ht="28.8" x14ac:dyDescent="0.3">
      <c r="A769" t="s">
        <v>1602</v>
      </c>
      <c r="B769" t="s">
        <v>1255</v>
      </c>
      <c r="C769" t="s">
        <v>161</v>
      </c>
      <c r="D769" s="4" t="s">
        <v>1603</v>
      </c>
      <c r="E769" t="s">
        <v>114</v>
      </c>
      <c r="F769" s="5">
        <v>1201</v>
      </c>
      <c r="G769" t="s">
        <v>1381</v>
      </c>
      <c r="H769">
        <v>5</v>
      </c>
      <c r="I769" t="s">
        <v>53</v>
      </c>
      <c r="L769" s="6"/>
      <c r="M769" s="6"/>
      <c r="N769" s="6"/>
      <c r="O769" s="5"/>
      <c r="P769" s="7" t="str">
        <f t="shared" si="77"/>
        <v/>
      </c>
      <c r="Q769" s="7" t="str">
        <f t="shared" si="78"/>
        <v/>
      </c>
      <c r="R769" s="7" t="str">
        <f t="shared" si="79"/>
        <v/>
      </c>
      <c r="S769" s="7">
        <f>IF($A769="","",IF(AND(LEFT($G769,3)="ДОК",$N769&lt;&gt;""),IFERROR(INDEX(Документация!$E$2:$E$57,MATCH($N769,Документация!$F$2:$F$57,0)),0),N($F769))*(1-MEDIAN(0,N(ДисконтТендер),1)))</f>
        <v>1201</v>
      </c>
      <c r="T769" s="7">
        <f>IF($A769="","",IF(AND(LEFT($G769,3)="ДОК",$N769&lt;&gt;""),0,IF(AND(LEFT($G769,3)&lt;&gt;"ДОК",$N769&lt;&gt;""),IFERROR(INDEX(МАТЕРИАЛЫ!$H$2:$H$9000,MATCH($N769,МАТЕРИАЛЫ!$L$2:$L$9000,0))*IF(INDEX(МАТЕРИАЛЫ!$I$2:$I$9000,MATCH($N769,МАТЕРИАЛЫ!$L$2:$L$9000,0))="USD",КурсUSD,IF(INDEX(МАТЕРИАЛЫ!$I$2:$I$9000,MATCH($N769,МАТЕРИАЛЫ!$L$2:$L$9000,0))="EUR",КурсEUR,IF(INDEX(МАТЕРИАЛЫ!$I$2:$I$9000,MATCH($N769,МАТЕРИАЛЫ!$L$2:$L$9000,0))="CNY",КурсCNY,1)))*(1+N($H769)/100),0),N($O769))*(1-MEDIAN(0,N(ДисконтТендер),1))))</f>
        <v>0</v>
      </c>
      <c r="U769" t="str">
        <f>IF($L769="да",MAX($U$1:$U768)+1,"")</f>
        <v/>
      </c>
      <c r="V769" t="str">
        <f t="shared" si="80"/>
        <v>Р9</v>
      </c>
      <c r="W769" t="str">
        <f t="shared" si="81"/>
        <v/>
      </c>
      <c r="X769" t="str">
        <f t="shared" si="82"/>
        <v/>
      </c>
      <c r="Y769" s="4" t="str">
        <f>IF($A769="","",IF(AND(LEFT($G769,3)="ДОК",$N769&lt;&gt;""),IFERROR(INDEX(Документация!$G$2:$G$57,MATCH($N769,Документация!$F$2:$F$57,0)),$D769),$D769&amp;IF(AND(LEFT($G769,3)&lt;&gt;"ДОК",$N769&lt;&gt;"")," — "&amp;IFERROR(INDEX(МАТЕРИАЛЫ!$C$2:$C$9000,MATCH($N769,МАТЕРИАЛЫ!$L$2:$L$9000,0)),""),"")))</f>
        <v>Longa 40 DI 26W-4000K CRI 90 M900 WALL WHI - Светильник</v>
      </c>
      <c r="Z769" t="str">
        <f t="shared" si="83"/>
        <v>Р9 · Электротехнические работы</v>
      </c>
    </row>
    <row r="770" spans="1:26" x14ac:dyDescent="0.3">
      <c r="A770" t="s">
        <v>1604</v>
      </c>
      <c r="B770" t="s">
        <v>1255</v>
      </c>
      <c r="C770" t="s">
        <v>161</v>
      </c>
      <c r="D770" s="4" t="s">
        <v>1605</v>
      </c>
      <c r="E770" t="s">
        <v>114</v>
      </c>
      <c r="F770" s="5">
        <v>2406.12</v>
      </c>
      <c r="H770">
        <v>0</v>
      </c>
      <c r="I770" t="s">
        <v>53</v>
      </c>
      <c r="L770" s="6"/>
      <c r="M770" s="6"/>
      <c r="N770" s="6"/>
      <c r="O770" s="5"/>
      <c r="P770" s="7" t="str">
        <f t="shared" ref="P770:P833" si="84">IF($L770="да",ROUND(N($M770)*$S770,2),"")</f>
        <v/>
      </c>
      <c r="Q770" s="7" t="str">
        <f t="shared" ref="Q770:Q833" si="85">IF($L770="да",ROUND(N($M770)*$T770,2),"")</f>
        <v/>
      </c>
      <c r="R770" s="7" t="str">
        <f t="shared" ref="R770:R833" si="86">IF($L770="да",N($P770)+N($Q770),"")</f>
        <v/>
      </c>
      <c r="S770" s="7">
        <f>IF($A770="","",IF(AND(LEFT($G770,3)="ДОК",$N770&lt;&gt;""),IFERROR(INDEX(Документация!$E$2:$E$57,MATCH($N770,Документация!$F$2:$F$57,0)),0),N($F770))*(1-MEDIAN(0,N(ДисконтТендер),1)))</f>
        <v>2406.12</v>
      </c>
      <c r="T770" s="7">
        <f>IF($A770="","",IF(AND(LEFT($G770,3)="ДОК",$N770&lt;&gt;""),0,IF(AND(LEFT($G770,3)&lt;&gt;"ДОК",$N770&lt;&gt;""),IFERROR(INDEX(МАТЕРИАЛЫ!$H$2:$H$9000,MATCH($N770,МАТЕРИАЛЫ!$L$2:$L$9000,0))*IF(INDEX(МАТЕРИАЛЫ!$I$2:$I$9000,MATCH($N770,МАТЕРИАЛЫ!$L$2:$L$9000,0))="USD",КурсUSD,IF(INDEX(МАТЕРИАЛЫ!$I$2:$I$9000,MATCH($N770,МАТЕРИАЛЫ!$L$2:$L$9000,0))="EUR",КурсEUR,IF(INDEX(МАТЕРИАЛЫ!$I$2:$I$9000,MATCH($N770,МАТЕРИАЛЫ!$L$2:$L$9000,0))="CNY",КурсCNY,1)))*(1+N($H770)/100),0),N($O770))*(1-MEDIAN(0,N(ДисконтТендер),1))))</f>
        <v>0</v>
      </c>
      <c r="U770" t="str">
        <f>IF($L770="да",MAX($U$1:$U769)+1,"")</f>
        <v/>
      </c>
      <c r="V770" t="str">
        <f t="shared" ref="V770:V833" si="87">IF($A770="","",$B770)</f>
        <v>Р9</v>
      </c>
      <c r="W770" t="str">
        <f t="shared" ref="W770:W833" si="88">IF($U770="","",IF($U770=1,1,IF($V770&lt;&gt;IFERROR(INDEX($V$2:$V$1058,MATCH($U770-1,$U$2:$U$1058,0)),"~"),1,0)))</f>
        <v/>
      </c>
      <c r="X770" t="str">
        <f t="shared" ref="X770:X833" si="89">IF($U770="","",$U770+SUMIFS($W$2:$W$1058,$U$2:$U$1058,"&lt;="&amp;$U770))</f>
        <v/>
      </c>
      <c r="Y770" s="4" t="str">
        <f>IF($A770="","",IF(AND(LEFT($G770,3)="ДОК",$N770&lt;&gt;""),IFERROR(INDEX(Документация!$G$2:$G$57,MATCH($N770,Документация!$F$2:$F$57,0)),$D770),$D770&amp;IF(AND(LEFT($G770,3)&lt;&gt;"ДОК",$N770&lt;&gt;"")," — "&amp;IFERROR(INDEX(МАТЕРИАЛЫ!$C$2:$C$9000,MATCH($N770,МАТЕРИАЛЫ!$L$2:$L$9000,0)),""),"")))</f>
        <v>Байпасная блокировка АВВ</v>
      </c>
      <c r="Z770" t="str">
        <f t="shared" ref="Z770:Z833" si="90">IF($B770="","",$B770&amp;" · "&amp;IFERROR(VLOOKUP($B770,спрРазделы,2,0),""))</f>
        <v>Р9 · Электротехнические работы</v>
      </c>
    </row>
    <row r="771" spans="1:26" x14ac:dyDescent="0.3">
      <c r="A771" t="s">
        <v>1606</v>
      </c>
      <c r="B771" t="s">
        <v>1255</v>
      </c>
      <c r="C771" t="s">
        <v>161</v>
      </c>
      <c r="D771" s="4" t="s">
        <v>1607</v>
      </c>
      <c r="E771" t="s">
        <v>153</v>
      </c>
      <c r="F771" s="5">
        <v>200.45</v>
      </c>
      <c r="G771" t="s">
        <v>1424</v>
      </c>
      <c r="H771">
        <v>5</v>
      </c>
      <c r="I771" t="s">
        <v>53</v>
      </c>
      <c r="L771" s="6"/>
      <c r="M771" s="6"/>
      <c r="N771" s="6"/>
      <c r="O771" s="5"/>
      <c r="P771" s="7" t="str">
        <f t="shared" si="84"/>
        <v/>
      </c>
      <c r="Q771" s="7" t="str">
        <f t="shared" si="85"/>
        <v/>
      </c>
      <c r="R771" s="7" t="str">
        <f t="shared" si="86"/>
        <v/>
      </c>
      <c r="S771" s="7">
        <f>IF($A771="","",IF(AND(LEFT($G771,3)="ДОК",$N771&lt;&gt;""),IFERROR(INDEX(Документация!$E$2:$E$57,MATCH($N771,Документация!$F$2:$F$57,0)),0),N($F771))*(1-MEDIAN(0,N(ДисконтТендер),1)))</f>
        <v>200.45</v>
      </c>
      <c r="T771" s="7">
        <f>IF($A771="","",IF(AND(LEFT($G771,3)="ДОК",$N771&lt;&gt;""),0,IF(AND(LEFT($G771,3)&lt;&gt;"ДОК",$N771&lt;&gt;""),IFERROR(INDEX(МАТЕРИАЛЫ!$H$2:$H$9000,MATCH($N771,МАТЕРИАЛЫ!$L$2:$L$9000,0))*IF(INDEX(МАТЕРИАЛЫ!$I$2:$I$9000,MATCH($N771,МАТЕРИАЛЫ!$L$2:$L$9000,0))="USD",КурсUSD,IF(INDEX(МАТЕРИАЛЫ!$I$2:$I$9000,MATCH($N771,МАТЕРИАЛЫ!$L$2:$L$9000,0))="EUR",КурсEUR,IF(INDEX(МАТЕРИАЛЫ!$I$2:$I$9000,MATCH($N771,МАТЕРИАЛЫ!$L$2:$L$9000,0))="CNY",КурсCNY,1)))*(1+N($H771)/100),0),N($O771))*(1-MEDIAN(0,N(ДисконтТендер),1))))</f>
        <v>0</v>
      </c>
      <c r="U771" t="str">
        <f>IF($L771="да",MAX($U$1:$U770)+1,"")</f>
        <v/>
      </c>
      <c r="V771" t="str">
        <f t="shared" si="87"/>
        <v>Р9</v>
      </c>
      <c r="W771" t="str">
        <f t="shared" si="88"/>
        <v/>
      </c>
      <c r="X771" t="str">
        <f t="shared" si="89"/>
        <v/>
      </c>
      <c r="Y771" s="4" t="str">
        <f>IF($A771="","",IF(AND(LEFT($G771,3)="ДОК",$N771&lt;&gt;""),IFERROR(INDEX(Документация!$G$2:$G$57,MATCH($N771,Документация!$F$2:$F$57,0)),$D771),$D771&amp;IF(AND(LEFT($G771,3)&lt;&gt;"ДОК",$N771&lt;&gt;"")," — "&amp;IFERROR(INDEX(МАТЕРИАЛЫ!$C$2:$C$9000,MATCH($N771,МАТЕРИАЛЫ!$L$2:$L$9000,0)),""),"")))</f>
        <v>Кабель ВВГнг-LS 5х16</v>
      </c>
      <c r="Z771" t="str">
        <f t="shared" si="90"/>
        <v>Р9 · Электротехнические работы</v>
      </c>
    </row>
    <row r="772" spans="1:26" x14ac:dyDescent="0.3">
      <c r="A772" t="s">
        <v>1608</v>
      </c>
      <c r="B772" t="s">
        <v>1255</v>
      </c>
      <c r="C772" t="s">
        <v>161</v>
      </c>
      <c r="D772" s="4" t="s">
        <v>1609</v>
      </c>
      <c r="E772" t="s">
        <v>153</v>
      </c>
      <c r="F772" s="5">
        <v>150.34</v>
      </c>
      <c r="G772" t="s">
        <v>1424</v>
      </c>
      <c r="H772">
        <v>5</v>
      </c>
      <c r="I772" t="s">
        <v>53</v>
      </c>
      <c r="L772" s="6"/>
      <c r="M772" s="6"/>
      <c r="N772" s="6"/>
      <c r="O772" s="5"/>
      <c r="P772" s="7" t="str">
        <f t="shared" si="84"/>
        <v/>
      </c>
      <c r="Q772" s="7" t="str">
        <f t="shared" si="85"/>
        <v/>
      </c>
      <c r="R772" s="7" t="str">
        <f t="shared" si="86"/>
        <v/>
      </c>
      <c r="S772" s="7">
        <f>IF($A772="","",IF(AND(LEFT($G772,3)="ДОК",$N772&lt;&gt;""),IFERROR(INDEX(Документация!$E$2:$E$57,MATCH($N772,Документация!$F$2:$F$57,0)),0),N($F772))*(1-MEDIAN(0,N(ДисконтТендер),1)))</f>
        <v>150.34</v>
      </c>
      <c r="T772" s="7">
        <f>IF($A772="","",IF(AND(LEFT($G772,3)="ДОК",$N772&lt;&gt;""),0,IF(AND(LEFT($G772,3)&lt;&gt;"ДОК",$N772&lt;&gt;""),IFERROR(INDEX(МАТЕРИАЛЫ!$H$2:$H$9000,MATCH($N772,МАТЕРИАЛЫ!$L$2:$L$9000,0))*IF(INDEX(МАТЕРИАЛЫ!$I$2:$I$9000,MATCH($N772,МАТЕРИАЛЫ!$L$2:$L$9000,0))="USD",КурсUSD,IF(INDEX(МАТЕРИАЛЫ!$I$2:$I$9000,MATCH($N772,МАТЕРИАЛЫ!$L$2:$L$9000,0))="EUR",КурсEUR,IF(INDEX(МАТЕРИАЛЫ!$I$2:$I$9000,MATCH($N772,МАТЕРИАЛЫ!$L$2:$L$9000,0))="CNY",КурсCNY,1)))*(1+N($H772)/100),0),N($O772))*(1-MEDIAN(0,N(ДисконтТендер),1))))</f>
        <v>0</v>
      </c>
      <c r="U772" t="str">
        <f>IF($L772="да",MAX($U$1:$U771)+1,"")</f>
        <v/>
      </c>
      <c r="V772" t="str">
        <f t="shared" si="87"/>
        <v>Р9</v>
      </c>
      <c r="W772" t="str">
        <f t="shared" si="88"/>
        <v/>
      </c>
      <c r="X772" t="str">
        <f t="shared" si="89"/>
        <v/>
      </c>
      <c r="Y772" s="4" t="str">
        <f>IF($A772="","",IF(AND(LEFT($G772,3)="ДОК",$N772&lt;&gt;""),IFERROR(INDEX(Документация!$G$2:$G$57,MATCH($N772,Документация!$F$2:$F$57,0)),$D772),$D772&amp;IF(AND(LEFT($G772,3)&lt;&gt;"ДОК",$N772&lt;&gt;"")," — "&amp;IFERROR(INDEX(МАТЕРИАЛЫ!$C$2:$C$9000,MATCH($N772,МАТЕРИАЛЫ!$L$2:$L$9000,0)),""),"")))</f>
        <v>Кабель ВВГнг-LS 5х10</v>
      </c>
      <c r="Z772" t="str">
        <f t="shared" si="90"/>
        <v>Р9 · Электротехнические работы</v>
      </c>
    </row>
    <row r="773" spans="1:26" x14ac:dyDescent="0.3">
      <c r="A773" t="s">
        <v>1610</v>
      </c>
      <c r="B773" t="s">
        <v>1255</v>
      </c>
      <c r="C773" t="s">
        <v>161</v>
      </c>
      <c r="D773" s="4" t="s">
        <v>1611</v>
      </c>
      <c r="E773" t="s">
        <v>153</v>
      </c>
      <c r="F773" s="5">
        <v>143.55000000000001</v>
      </c>
      <c r="G773" t="s">
        <v>1424</v>
      </c>
      <c r="H773">
        <v>5</v>
      </c>
      <c r="I773" t="s">
        <v>53</v>
      </c>
      <c r="L773" s="6"/>
      <c r="M773" s="6"/>
      <c r="N773" s="6"/>
      <c r="O773" s="5"/>
      <c r="P773" s="7" t="str">
        <f t="shared" si="84"/>
        <v/>
      </c>
      <c r="Q773" s="7" t="str">
        <f t="shared" si="85"/>
        <v/>
      </c>
      <c r="R773" s="7" t="str">
        <f t="shared" si="86"/>
        <v/>
      </c>
      <c r="S773" s="7">
        <f>IF($A773="","",IF(AND(LEFT($G773,3)="ДОК",$N773&lt;&gt;""),IFERROR(INDEX(Документация!$E$2:$E$57,MATCH($N773,Документация!$F$2:$F$57,0)),0),N($F773))*(1-MEDIAN(0,N(ДисконтТендер),1)))</f>
        <v>143.55000000000001</v>
      </c>
      <c r="T773" s="7">
        <f>IF($A773="","",IF(AND(LEFT($G773,3)="ДОК",$N773&lt;&gt;""),0,IF(AND(LEFT($G773,3)&lt;&gt;"ДОК",$N773&lt;&gt;""),IFERROR(INDEX(МАТЕРИАЛЫ!$H$2:$H$9000,MATCH($N773,МАТЕРИАЛЫ!$L$2:$L$9000,0))*IF(INDEX(МАТЕРИАЛЫ!$I$2:$I$9000,MATCH($N773,МАТЕРИАЛЫ!$L$2:$L$9000,0))="USD",КурсUSD,IF(INDEX(МАТЕРИАЛЫ!$I$2:$I$9000,MATCH($N773,МАТЕРИАЛЫ!$L$2:$L$9000,0))="EUR",КурсEUR,IF(INDEX(МАТЕРИАЛЫ!$I$2:$I$9000,MATCH($N773,МАТЕРИАЛЫ!$L$2:$L$9000,0))="CNY",КурсCNY,1)))*(1+N($H773)/100),0),N($O773))*(1-MEDIAN(0,N(ДисконтТендер),1))))</f>
        <v>0</v>
      </c>
      <c r="U773" t="str">
        <f>IF($L773="да",MAX($U$1:$U772)+1,"")</f>
        <v/>
      </c>
      <c r="V773" t="str">
        <f t="shared" si="87"/>
        <v>Р9</v>
      </c>
      <c r="W773" t="str">
        <f t="shared" si="88"/>
        <v/>
      </c>
      <c r="X773" t="str">
        <f t="shared" si="89"/>
        <v/>
      </c>
      <c r="Y773" s="4" t="str">
        <f>IF($A773="","",IF(AND(LEFT($G773,3)="ДОК",$N773&lt;&gt;""),IFERROR(INDEX(Документация!$G$2:$G$57,MATCH($N773,Документация!$F$2:$F$57,0)),$D773),$D773&amp;IF(AND(LEFT($G773,3)&lt;&gt;"ДОК",$N773&lt;&gt;"")," — "&amp;IFERROR(INDEX(МАТЕРИАЛЫ!$C$2:$C$9000,MATCH($N773,МАТЕРИАЛЫ!$L$2:$L$9000,0)),""),"")))</f>
        <v>Кабель ВВГнг-LS 5х6</v>
      </c>
      <c r="Z773" t="str">
        <f t="shared" si="90"/>
        <v>Р9 · Электротехнические работы</v>
      </c>
    </row>
    <row r="774" spans="1:26" x14ac:dyDescent="0.3">
      <c r="A774" t="s">
        <v>1612</v>
      </c>
      <c r="B774" t="s">
        <v>1255</v>
      </c>
      <c r="C774" t="s">
        <v>161</v>
      </c>
      <c r="D774" s="4" t="s">
        <v>1613</v>
      </c>
      <c r="E774" t="s">
        <v>153</v>
      </c>
      <c r="F774" s="5">
        <v>124.41</v>
      </c>
      <c r="G774" t="s">
        <v>1424</v>
      </c>
      <c r="H774">
        <v>5</v>
      </c>
      <c r="I774" t="s">
        <v>53</v>
      </c>
      <c r="L774" s="6"/>
      <c r="M774" s="6"/>
      <c r="N774" s="6"/>
      <c r="O774" s="5"/>
      <c r="P774" s="7" t="str">
        <f t="shared" si="84"/>
        <v/>
      </c>
      <c r="Q774" s="7" t="str">
        <f t="shared" si="85"/>
        <v/>
      </c>
      <c r="R774" s="7" t="str">
        <f t="shared" si="86"/>
        <v/>
      </c>
      <c r="S774" s="7">
        <f>IF($A774="","",IF(AND(LEFT($G774,3)="ДОК",$N774&lt;&gt;""),IFERROR(INDEX(Документация!$E$2:$E$57,MATCH($N774,Документация!$F$2:$F$57,0)),0),N($F774))*(1-MEDIAN(0,N(ДисконтТендер),1)))</f>
        <v>124.41</v>
      </c>
      <c r="T774" s="7">
        <f>IF($A774="","",IF(AND(LEFT($G774,3)="ДОК",$N774&lt;&gt;""),0,IF(AND(LEFT($G774,3)&lt;&gt;"ДОК",$N774&lt;&gt;""),IFERROR(INDEX(МАТЕРИАЛЫ!$H$2:$H$9000,MATCH($N774,МАТЕРИАЛЫ!$L$2:$L$9000,0))*IF(INDEX(МАТЕРИАЛЫ!$I$2:$I$9000,MATCH($N774,МАТЕРИАЛЫ!$L$2:$L$9000,0))="USD",КурсUSD,IF(INDEX(МАТЕРИАЛЫ!$I$2:$I$9000,MATCH($N774,МАТЕРИАЛЫ!$L$2:$L$9000,0))="EUR",КурсEUR,IF(INDEX(МАТЕРИАЛЫ!$I$2:$I$9000,MATCH($N774,МАТЕРИАЛЫ!$L$2:$L$9000,0))="CNY",КурсCNY,1)))*(1+N($H774)/100),0),N($O774))*(1-MEDIAN(0,N(ДисконтТендер),1))))</f>
        <v>0</v>
      </c>
      <c r="U774" t="str">
        <f>IF($L774="да",MAX($U$1:$U773)+1,"")</f>
        <v/>
      </c>
      <c r="V774" t="str">
        <f t="shared" si="87"/>
        <v>Р9</v>
      </c>
      <c r="W774" t="str">
        <f t="shared" si="88"/>
        <v/>
      </c>
      <c r="X774" t="str">
        <f t="shared" si="89"/>
        <v/>
      </c>
      <c r="Y774" s="4" t="str">
        <f>IF($A774="","",IF(AND(LEFT($G774,3)="ДОК",$N774&lt;&gt;""),IFERROR(INDEX(Документация!$G$2:$G$57,MATCH($N774,Документация!$F$2:$F$57,0)),$D774),$D774&amp;IF(AND(LEFT($G774,3)&lt;&gt;"ДОК",$N774&lt;&gt;"")," — "&amp;IFERROR(INDEX(МАТЕРИАЛЫ!$C$2:$C$9000,MATCH($N774,МАТЕРИАЛЫ!$L$2:$L$9000,0)),""),"")))</f>
        <v>Кабель ВВГнг-LS 5х4</v>
      </c>
      <c r="Z774" t="str">
        <f t="shared" si="90"/>
        <v>Р9 · Электротехнические работы</v>
      </c>
    </row>
    <row r="775" spans="1:26" x14ac:dyDescent="0.3">
      <c r="A775" t="s">
        <v>1614</v>
      </c>
      <c r="B775" t="s">
        <v>1255</v>
      </c>
      <c r="C775" t="s">
        <v>161</v>
      </c>
      <c r="D775" s="4" t="s">
        <v>1615</v>
      </c>
      <c r="E775" t="s">
        <v>153</v>
      </c>
      <c r="F775" s="5">
        <v>129.46</v>
      </c>
      <c r="G775" t="s">
        <v>1424</v>
      </c>
      <c r="H775">
        <v>5</v>
      </c>
      <c r="I775" t="s">
        <v>53</v>
      </c>
      <c r="L775" s="6"/>
      <c r="M775" s="6"/>
      <c r="N775" s="6"/>
      <c r="O775" s="5"/>
      <c r="P775" s="7" t="str">
        <f t="shared" si="84"/>
        <v/>
      </c>
      <c r="Q775" s="7" t="str">
        <f t="shared" si="85"/>
        <v/>
      </c>
      <c r="R775" s="7" t="str">
        <f t="shared" si="86"/>
        <v/>
      </c>
      <c r="S775" s="7">
        <f>IF($A775="","",IF(AND(LEFT($G775,3)="ДОК",$N775&lt;&gt;""),IFERROR(INDEX(Документация!$E$2:$E$57,MATCH($N775,Документация!$F$2:$F$57,0)),0),N($F775))*(1-MEDIAN(0,N(ДисконтТендер),1)))</f>
        <v>129.46</v>
      </c>
      <c r="T775" s="7">
        <f>IF($A775="","",IF(AND(LEFT($G775,3)="ДОК",$N775&lt;&gt;""),0,IF(AND(LEFT($G775,3)&lt;&gt;"ДОК",$N775&lt;&gt;""),IFERROR(INDEX(МАТЕРИАЛЫ!$H$2:$H$9000,MATCH($N775,МАТЕРИАЛЫ!$L$2:$L$9000,0))*IF(INDEX(МАТЕРИАЛЫ!$I$2:$I$9000,MATCH($N775,МАТЕРИАЛЫ!$L$2:$L$9000,0))="USD",КурсUSD,IF(INDEX(МАТЕРИАЛЫ!$I$2:$I$9000,MATCH($N775,МАТЕРИАЛЫ!$L$2:$L$9000,0))="EUR",КурсEUR,IF(INDEX(МАТЕРИАЛЫ!$I$2:$I$9000,MATCH($N775,МАТЕРИАЛЫ!$L$2:$L$9000,0))="CNY",КурсCNY,1)))*(1+N($H775)/100),0),N($O775))*(1-MEDIAN(0,N(ДисконтТендер),1))))</f>
        <v>0</v>
      </c>
      <c r="U775" t="str">
        <f>IF($L775="да",MAX($U$1:$U774)+1,"")</f>
        <v/>
      </c>
      <c r="V775" t="str">
        <f t="shared" si="87"/>
        <v>Р9</v>
      </c>
      <c r="W775" t="str">
        <f t="shared" si="88"/>
        <v/>
      </c>
      <c r="X775" t="str">
        <f t="shared" si="89"/>
        <v/>
      </c>
      <c r="Y775" s="4" t="str">
        <f>IF($A775="","",IF(AND(LEFT($G775,3)="ДОК",$N775&lt;&gt;""),IFERROR(INDEX(Документация!$G$2:$G$57,MATCH($N775,Документация!$F$2:$F$57,0)),$D775),$D775&amp;IF(AND(LEFT($G775,3)&lt;&gt;"ДОК",$N775&lt;&gt;"")," — "&amp;IFERROR(INDEX(МАТЕРИАЛЫ!$C$2:$C$9000,MATCH($N775,МАТЕРИАЛЫ!$L$2:$L$9000,0)),""),"")))</f>
        <v>Прокладка кабеля / провода</v>
      </c>
      <c r="Z775" t="str">
        <f t="shared" si="90"/>
        <v>Р9 · Электротехнические работы</v>
      </c>
    </row>
    <row r="776" spans="1:26" x14ac:dyDescent="0.3">
      <c r="A776" t="s">
        <v>1616</v>
      </c>
      <c r="B776" t="s">
        <v>1255</v>
      </c>
      <c r="C776" t="s">
        <v>161</v>
      </c>
      <c r="D776" s="4" t="s">
        <v>1615</v>
      </c>
      <c r="E776" t="s">
        <v>153</v>
      </c>
      <c r="F776" s="5">
        <v>110.06</v>
      </c>
      <c r="G776" t="s">
        <v>1424</v>
      </c>
      <c r="H776">
        <v>5</v>
      </c>
      <c r="I776" t="s">
        <v>53</v>
      </c>
      <c r="L776" s="6"/>
      <c r="M776" s="6"/>
      <c r="N776" s="6"/>
      <c r="O776" s="5"/>
      <c r="P776" s="7" t="str">
        <f t="shared" si="84"/>
        <v/>
      </c>
      <c r="Q776" s="7" t="str">
        <f t="shared" si="85"/>
        <v/>
      </c>
      <c r="R776" s="7" t="str">
        <f t="shared" si="86"/>
        <v/>
      </c>
      <c r="S776" s="7">
        <f>IF($A776="","",IF(AND(LEFT($G776,3)="ДОК",$N776&lt;&gt;""),IFERROR(INDEX(Документация!$E$2:$E$57,MATCH($N776,Документация!$F$2:$F$57,0)),0),N($F776))*(1-MEDIAN(0,N(ДисконтТендер),1)))</f>
        <v>110.06</v>
      </c>
      <c r="T776" s="7">
        <f>IF($A776="","",IF(AND(LEFT($G776,3)="ДОК",$N776&lt;&gt;""),0,IF(AND(LEFT($G776,3)&lt;&gt;"ДОК",$N776&lt;&gt;""),IFERROR(INDEX(МАТЕРИАЛЫ!$H$2:$H$9000,MATCH($N776,МАТЕРИАЛЫ!$L$2:$L$9000,0))*IF(INDEX(МАТЕРИАЛЫ!$I$2:$I$9000,MATCH($N776,МАТЕРИАЛЫ!$L$2:$L$9000,0))="USD",КурсUSD,IF(INDEX(МАТЕРИАЛЫ!$I$2:$I$9000,MATCH($N776,МАТЕРИАЛЫ!$L$2:$L$9000,0))="EUR",КурсEUR,IF(INDEX(МАТЕРИАЛЫ!$I$2:$I$9000,MATCH($N776,МАТЕРИАЛЫ!$L$2:$L$9000,0))="CNY",КурсCNY,1)))*(1+N($H776)/100),0),N($O776))*(1-MEDIAN(0,N(ДисконтТендер),1))))</f>
        <v>0</v>
      </c>
      <c r="U776" t="str">
        <f>IF($L776="да",MAX($U$1:$U775)+1,"")</f>
        <v/>
      </c>
      <c r="V776" t="str">
        <f t="shared" si="87"/>
        <v>Р9</v>
      </c>
      <c r="W776" t="str">
        <f t="shared" si="88"/>
        <v/>
      </c>
      <c r="X776" t="str">
        <f t="shared" si="89"/>
        <v/>
      </c>
      <c r="Y776" s="4" t="str">
        <f>IF($A776="","",IF(AND(LEFT($G776,3)="ДОК",$N776&lt;&gt;""),IFERROR(INDEX(Документация!$G$2:$G$57,MATCH($N776,Документация!$F$2:$F$57,0)),$D776),$D776&amp;IF(AND(LEFT($G776,3)&lt;&gt;"ДОК",$N776&lt;&gt;"")," — "&amp;IFERROR(INDEX(МАТЕРИАЛЫ!$C$2:$C$9000,MATCH($N776,МАТЕРИАЛЫ!$L$2:$L$9000,0)),""),"")))</f>
        <v>Прокладка кабеля / провода</v>
      </c>
      <c r="Z776" t="str">
        <f t="shared" si="90"/>
        <v>Р9 · Электротехнические работы</v>
      </c>
    </row>
    <row r="777" spans="1:26" x14ac:dyDescent="0.3">
      <c r="A777" t="s">
        <v>1617</v>
      </c>
      <c r="B777" t="s">
        <v>1255</v>
      </c>
      <c r="C777" t="s">
        <v>161</v>
      </c>
      <c r="D777" s="4" t="s">
        <v>1615</v>
      </c>
      <c r="E777" t="s">
        <v>153</v>
      </c>
      <c r="F777" s="5">
        <v>100.22</v>
      </c>
      <c r="G777" t="s">
        <v>1424</v>
      </c>
      <c r="H777">
        <v>5</v>
      </c>
      <c r="I777" t="s">
        <v>53</v>
      </c>
      <c r="L777" s="6"/>
      <c r="M777" s="6"/>
      <c r="N777" s="6"/>
      <c r="O777" s="5"/>
      <c r="P777" s="7" t="str">
        <f t="shared" si="84"/>
        <v/>
      </c>
      <c r="Q777" s="7" t="str">
        <f t="shared" si="85"/>
        <v/>
      </c>
      <c r="R777" s="7" t="str">
        <f t="shared" si="86"/>
        <v/>
      </c>
      <c r="S777" s="7">
        <f>IF($A777="","",IF(AND(LEFT($G777,3)="ДОК",$N777&lt;&gt;""),IFERROR(INDEX(Документация!$E$2:$E$57,MATCH($N777,Документация!$F$2:$F$57,0)),0),N($F777))*(1-MEDIAN(0,N(ДисконтТендер),1)))</f>
        <v>100.22</v>
      </c>
      <c r="T777" s="7">
        <f>IF($A777="","",IF(AND(LEFT($G777,3)="ДОК",$N777&lt;&gt;""),0,IF(AND(LEFT($G777,3)&lt;&gt;"ДОК",$N777&lt;&gt;""),IFERROR(INDEX(МАТЕРИАЛЫ!$H$2:$H$9000,MATCH($N777,МАТЕРИАЛЫ!$L$2:$L$9000,0))*IF(INDEX(МАТЕРИАЛЫ!$I$2:$I$9000,MATCH($N777,МАТЕРИАЛЫ!$L$2:$L$9000,0))="USD",КурсUSD,IF(INDEX(МАТЕРИАЛЫ!$I$2:$I$9000,MATCH($N777,МАТЕРИАЛЫ!$L$2:$L$9000,0))="EUR",КурсEUR,IF(INDEX(МАТЕРИАЛЫ!$I$2:$I$9000,MATCH($N777,МАТЕРИАЛЫ!$L$2:$L$9000,0))="CNY",КурсCNY,1)))*(1+N($H777)/100),0),N($O777))*(1-MEDIAN(0,N(ДисконтТендер),1))))</f>
        <v>0</v>
      </c>
      <c r="U777" t="str">
        <f>IF($L777="да",MAX($U$1:$U776)+1,"")</f>
        <v/>
      </c>
      <c r="V777" t="str">
        <f t="shared" si="87"/>
        <v>Р9</v>
      </c>
      <c r="W777" t="str">
        <f t="shared" si="88"/>
        <v/>
      </c>
      <c r="X777" t="str">
        <f t="shared" si="89"/>
        <v/>
      </c>
      <c r="Y777" s="4" t="str">
        <f>IF($A777="","",IF(AND(LEFT($G777,3)="ДОК",$N777&lt;&gt;""),IFERROR(INDEX(Документация!$G$2:$G$57,MATCH($N777,Документация!$F$2:$F$57,0)),$D777),$D777&amp;IF(AND(LEFT($G777,3)&lt;&gt;"ДОК",$N777&lt;&gt;"")," — "&amp;IFERROR(INDEX(МАТЕРИАЛЫ!$C$2:$C$9000,MATCH($N777,МАТЕРИАЛЫ!$L$2:$L$9000,0)),""),"")))</f>
        <v>Прокладка кабеля / провода</v>
      </c>
      <c r="Z777" t="str">
        <f t="shared" si="90"/>
        <v>Р9 · Электротехнические работы</v>
      </c>
    </row>
    <row r="778" spans="1:26" x14ac:dyDescent="0.3">
      <c r="A778" t="s">
        <v>1618</v>
      </c>
      <c r="B778" t="s">
        <v>1255</v>
      </c>
      <c r="C778" t="s">
        <v>161</v>
      </c>
      <c r="D778" s="4" t="s">
        <v>1615</v>
      </c>
      <c r="E778" t="s">
        <v>153</v>
      </c>
      <c r="F778" s="5">
        <v>90.48</v>
      </c>
      <c r="G778" t="s">
        <v>1424</v>
      </c>
      <c r="H778">
        <v>5</v>
      </c>
      <c r="I778" t="s">
        <v>53</v>
      </c>
      <c r="L778" s="6"/>
      <c r="M778" s="6"/>
      <c r="N778" s="6"/>
      <c r="O778" s="5"/>
      <c r="P778" s="7" t="str">
        <f t="shared" si="84"/>
        <v/>
      </c>
      <c r="Q778" s="7" t="str">
        <f t="shared" si="85"/>
        <v/>
      </c>
      <c r="R778" s="7" t="str">
        <f t="shared" si="86"/>
        <v/>
      </c>
      <c r="S778" s="7">
        <f>IF($A778="","",IF(AND(LEFT($G778,3)="ДОК",$N778&lt;&gt;""),IFERROR(INDEX(Документация!$E$2:$E$57,MATCH($N778,Документация!$F$2:$F$57,0)),0),N($F778))*(1-MEDIAN(0,N(ДисконтТендер),1)))</f>
        <v>90.48</v>
      </c>
      <c r="T778" s="7">
        <f>IF($A778="","",IF(AND(LEFT($G778,3)="ДОК",$N778&lt;&gt;""),0,IF(AND(LEFT($G778,3)&lt;&gt;"ДОК",$N778&lt;&gt;""),IFERROR(INDEX(МАТЕРИАЛЫ!$H$2:$H$9000,MATCH($N778,МАТЕРИАЛЫ!$L$2:$L$9000,0))*IF(INDEX(МАТЕРИАЛЫ!$I$2:$I$9000,MATCH($N778,МАТЕРИАЛЫ!$L$2:$L$9000,0))="USD",КурсUSD,IF(INDEX(МАТЕРИАЛЫ!$I$2:$I$9000,MATCH($N778,МАТЕРИАЛЫ!$L$2:$L$9000,0))="EUR",КурсEUR,IF(INDEX(МАТЕРИАЛЫ!$I$2:$I$9000,MATCH($N778,МАТЕРИАЛЫ!$L$2:$L$9000,0))="CNY",КурсCNY,1)))*(1+N($H778)/100),0),N($O778))*(1-MEDIAN(0,N(ДисконтТендер),1))))</f>
        <v>0</v>
      </c>
      <c r="U778" t="str">
        <f>IF($L778="да",MAX($U$1:$U777)+1,"")</f>
        <v/>
      </c>
      <c r="V778" t="str">
        <f t="shared" si="87"/>
        <v>Р9</v>
      </c>
      <c r="W778" t="str">
        <f t="shared" si="88"/>
        <v/>
      </c>
      <c r="X778" t="str">
        <f t="shared" si="89"/>
        <v/>
      </c>
      <c r="Y778" s="4" t="str">
        <f>IF($A778="","",IF(AND(LEFT($G778,3)="ДОК",$N778&lt;&gt;""),IFERROR(INDEX(Документация!$G$2:$G$57,MATCH($N778,Документация!$F$2:$F$57,0)),$D778),$D778&amp;IF(AND(LEFT($G778,3)&lt;&gt;"ДОК",$N778&lt;&gt;"")," — "&amp;IFERROR(INDEX(МАТЕРИАЛЫ!$C$2:$C$9000,MATCH($N778,МАТЕРИАЛЫ!$L$2:$L$9000,0)),""),"")))</f>
        <v>Прокладка кабеля / провода</v>
      </c>
      <c r="Z778" t="str">
        <f t="shared" si="90"/>
        <v>Р9 · Электротехнические работы</v>
      </c>
    </row>
    <row r="779" spans="1:26" x14ac:dyDescent="0.3">
      <c r="A779" t="s">
        <v>1619</v>
      </c>
      <c r="B779" t="s">
        <v>1255</v>
      </c>
      <c r="C779" t="s">
        <v>161</v>
      </c>
      <c r="D779" s="4" t="s">
        <v>1620</v>
      </c>
      <c r="E779" t="s">
        <v>153</v>
      </c>
      <c r="F779" s="5">
        <v>334.95</v>
      </c>
      <c r="G779" t="s">
        <v>1424</v>
      </c>
      <c r="H779">
        <v>5</v>
      </c>
      <c r="I779" t="s">
        <v>53</v>
      </c>
      <c r="L779" s="6"/>
      <c r="M779" s="6"/>
      <c r="N779" s="6"/>
      <c r="O779" s="5"/>
      <c r="P779" s="7" t="str">
        <f t="shared" si="84"/>
        <v/>
      </c>
      <c r="Q779" s="7" t="str">
        <f t="shared" si="85"/>
        <v/>
      </c>
      <c r="R779" s="7" t="str">
        <f t="shared" si="86"/>
        <v/>
      </c>
      <c r="S779" s="7">
        <f>IF($A779="","",IF(AND(LEFT($G779,3)="ДОК",$N779&lt;&gt;""),IFERROR(INDEX(Документация!$E$2:$E$57,MATCH($N779,Документация!$F$2:$F$57,0)),0),N($F779))*(1-MEDIAN(0,N(ДисконтТендер),1)))</f>
        <v>334.95</v>
      </c>
      <c r="T779" s="7">
        <f>IF($A779="","",IF(AND(LEFT($G779,3)="ДОК",$N779&lt;&gt;""),0,IF(AND(LEFT($G779,3)&lt;&gt;"ДОК",$N779&lt;&gt;""),IFERROR(INDEX(МАТЕРИАЛЫ!$H$2:$H$9000,MATCH($N779,МАТЕРИАЛЫ!$L$2:$L$9000,0))*IF(INDEX(МАТЕРИАЛЫ!$I$2:$I$9000,MATCH($N779,МАТЕРИАЛЫ!$L$2:$L$9000,0))="USD",КурсUSD,IF(INDEX(МАТЕРИАЛЫ!$I$2:$I$9000,MATCH($N779,МАТЕРИАЛЫ!$L$2:$L$9000,0))="EUR",КурсEUR,IF(INDEX(МАТЕРИАЛЫ!$I$2:$I$9000,MATCH($N779,МАТЕРИАЛЫ!$L$2:$L$9000,0))="CNY",КурсCNY,1)))*(1+N($H779)/100),0),N($O779))*(1-MEDIAN(0,N(ДисконтТендер),1))))</f>
        <v>0</v>
      </c>
      <c r="U779" t="str">
        <f>IF($L779="да",MAX($U$1:$U778)+1,"")</f>
        <v/>
      </c>
      <c r="V779" t="str">
        <f t="shared" si="87"/>
        <v>Р9</v>
      </c>
      <c r="W779" t="str">
        <f t="shared" si="88"/>
        <v/>
      </c>
      <c r="X779" t="str">
        <f t="shared" si="89"/>
        <v/>
      </c>
      <c r="Y779" s="4" t="str">
        <f>IF($A779="","",IF(AND(LEFT($G779,3)="ДОК",$N779&lt;&gt;""),IFERROR(INDEX(Документация!$G$2:$G$57,MATCH($N779,Документация!$F$2:$F$57,0)),$D779),$D779&amp;IF(AND(LEFT($G779,3)&lt;&gt;"ДОК",$N779&lt;&gt;"")," — "&amp;IFERROR(INDEX(МАТЕРИАЛЫ!$C$2:$C$9000,MATCH($N779,МАТЕРИАЛЫ!$L$2:$L$9000,0)),""),"")))</f>
        <v>Кабель ППГнг(А)-HF 5х35</v>
      </c>
      <c r="Z779" t="str">
        <f t="shared" si="90"/>
        <v>Р9 · Электротехнические работы</v>
      </c>
    </row>
    <row r="780" spans="1:26" x14ac:dyDescent="0.3">
      <c r="A780" t="s">
        <v>1621</v>
      </c>
      <c r="B780" t="s">
        <v>1255</v>
      </c>
      <c r="C780" t="s">
        <v>161</v>
      </c>
      <c r="D780" s="4" t="s">
        <v>1622</v>
      </c>
      <c r="E780" t="s">
        <v>153</v>
      </c>
      <c r="F780" s="5">
        <v>226.2</v>
      </c>
      <c r="G780" t="s">
        <v>1424</v>
      </c>
      <c r="H780">
        <v>5</v>
      </c>
      <c r="I780" t="s">
        <v>53</v>
      </c>
      <c r="L780" s="6"/>
      <c r="M780" s="6"/>
      <c r="N780" s="6"/>
      <c r="O780" s="5"/>
      <c r="P780" s="7" t="str">
        <f t="shared" si="84"/>
        <v/>
      </c>
      <c r="Q780" s="7" t="str">
        <f t="shared" si="85"/>
        <v/>
      </c>
      <c r="R780" s="7" t="str">
        <f t="shared" si="86"/>
        <v/>
      </c>
      <c r="S780" s="7">
        <f>IF($A780="","",IF(AND(LEFT($G780,3)="ДОК",$N780&lt;&gt;""),IFERROR(INDEX(Документация!$E$2:$E$57,MATCH($N780,Документация!$F$2:$F$57,0)),0),N($F780))*(1-MEDIAN(0,N(ДисконтТендер),1)))</f>
        <v>226.2</v>
      </c>
      <c r="T780" s="7">
        <f>IF($A780="","",IF(AND(LEFT($G780,3)="ДОК",$N780&lt;&gt;""),0,IF(AND(LEFT($G780,3)&lt;&gt;"ДОК",$N780&lt;&gt;""),IFERROR(INDEX(МАТЕРИАЛЫ!$H$2:$H$9000,MATCH($N780,МАТЕРИАЛЫ!$L$2:$L$9000,0))*IF(INDEX(МАТЕРИАЛЫ!$I$2:$I$9000,MATCH($N780,МАТЕРИАЛЫ!$L$2:$L$9000,0))="USD",КурсUSD,IF(INDEX(МАТЕРИАЛЫ!$I$2:$I$9000,MATCH($N780,МАТЕРИАЛЫ!$L$2:$L$9000,0))="EUR",КурсEUR,IF(INDEX(МАТЕРИАЛЫ!$I$2:$I$9000,MATCH($N780,МАТЕРИАЛЫ!$L$2:$L$9000,0))="CNY",КурсCNY,1)))*(1+N($H780)/100),0),N($O780))*(1-MEDIAN(0,N(ДисконтТендер),1))))</f>
        <v>0</v>
      </c>
      <c r="U780" t="str">
        <f>IF($L780="да",MAX($U$1:$U779)+1,"")</f>
        <v/>
      </c>
      <c r="V780" t="str">
        <f t="shared" si="87"/>
        <v>Р9</v>
      </c>
      <c r="W780" t="str">
        <f t="shared" si="88"/>
        <v/>
      </c>
      <c r="X780" t="str">
        <f t="shared" si="89"/>
        <v/>
      </c>
      <c r="Y780" s="4" t="str">
        <f>IF($A780="","",IF(AND(LEFT($G780,3)="ДОК",$N780&lt;&gt;""),IFERROR(INDEX(Документация!$G$2:$G$57,MATCH($N780,Документация!$F$2:$F$57,0)),$D780),$D780&amp;IF(AND(LEFT($G780,3)&lt;&gt;"ДОК",$N780&lt;&gt;"")," — "&amp;IFERROR(INDEX(МАТЕРИАЛЫ!$C$2:$C$9000,MATCH($N780,МАТЕРИАЛЫ!$L$2:$L$9000,0)),""),"")))</f>
        <v>Кабель ППГнг(А)-HF 5х25</v>
      </c>
      <c r="Z780" t="str">
        <f t="shared" si="90"/>
        <v>Р9 · Электротехнические работы</v>
      </c>
    </row>
    <row r="781" spans="1:26" x14ac:dyDescent="0.3">
      <c r="A781" t="s">
        <v>1623</v>
      </c>
      <c r="B781" t="s">
        <v>1255</v>
      </c>
      <c r="C781" t="s">
        <v>161</v>
      </c>
      <c r="D781" s="4" t="s">
        <v>1615</v>
      </c>
      <c r="E781" t="s">
        <v>153</v>
      </c>
      <c r="F781" s="5">
        <v>209</v>
      </c>
      <c r="G781" t="s">
        <v>1424</v>
      </c>
      <c r="H781">
        <v>5</v>
      </c>
      <c r="I781" t="s">
        <v>53</v>
      </c>
      <c r="L781" s="6"/>
      <c r="M781" s="6"/>
      <c r="N781" s="6"/>
      <c r="O781" s="5"/>
      <c r="P781" s="7" t="str">
        <f t="shared" si="84"/>
        <v/>
      </c>
      <c r="Q781" s="7" t="str">
        <f t="shared" si="85"/>
        <v/>
      </c>
      <c r="R781" s="7" t="str">
        <f t="shared" si="86"/>
        <v/>
      </c>
      <c r="S781" s="7">
        <f>IF($A781="","",IF(AND(LEFT($G781,3)="ДОК",$N781&lt;&gt;""),IFERROR(INDEX(Документация!$E$2:$E$57,MATCH($N781,Документация!$F$2:$F$57,0)),0),N($F781))*(1-MEDIAN(0,N(ДисконтТендер),1)))</f>
        <v>209</v>
      </c>
      <c r="T781" s="7">
        <f>IF($A781="","",IF(AND(LEFT($G781,3)="ДОК",$N781&lt;&gt;""),0,IF(AND(LEFT($G781,3)&lt;&gt;"ДОК",$N781&lt;&gt;""),IFERROR(INDEX(МАТЕРИАЛЫ!$H$2:$H$9000,MATCH($N781,МАТЕРИАЛЫ!$L$2:$L$9000,0))*IF(INDEX(МАТЕРИАЛЫ!$I$2:$I$9000,MATCH($N781,МАТЕРИАЛЫ!$L$2:$L$9000,0))="USD",КурсUSD,IF(INDEX(МАТЕРИАЛЫ!$I$2:$I$9000,MATCH($N781,МАТЕРИАЛЫ!$L$2:$L$9000,0))="EUR",КурсEUR,IF(INDEX(МАТЕРИАЛЫ!$I$2:$I$9000,MATCH($N781,МАТЕРИАЛЫ!$L$2:$L$9000,0))="CNY",КурсCNY,1)))*(1+N($H781)/100),0),N($O781))*(1-MEDIAN(0,N(ДисконтТендер),1))))</f>
        <v>0</v>
      </c>
      <c r="U781" t="str">
        <f>IF($L781="да",MAX($U$1:$U780)+1,"")</f>
        <v/>
      </c>
      <c r="V781" t="str">
        <f t="shared" si="87"/>
        <v>Р9</v>
      </c>
      <c r="W781" t="str">
        <f t="shared" si="88"/>
        <v/>
      </c>
      <c r="X781" t="str">
        <f t="shared" si="89"/>
        <v/>
      </c>
      <c r="Y781" s="4" t="str">
        <f>IF($A781="","",IF(AND(LEFT($G781,3)="ДОК",$N781&lt;&gt;""),IFERROR(INDEX(Документация!$G$2:$G$57,MATCH($N781,Документация!$F$2:$F$57,0)),$D781),$D781&amp;IF(AND(LEFT($G781,3)&lt;&gt;"ДОК",$N781&lt;&gt;"")," — "&amp;IFERROR(INDEX(МАТЕРИАЛЫ!$C$2:$C$9000,MATCH($N781,МАТЕРИАЛЫ!$L$2:$L$9000,0)),""),"")))</f>
        <v>Прокладка кабеля / провода</v>
      </c>
      <c r="Z781" t="str">
        <f t="shared" si="90"/>
        <v>Р9 · Электротехнические работы</v>
      </c>
    </row>
    <row r="782" spans="1:26" x14ac:dyDescent="0.3">
      <c r="A782" t="s">
        <v>1624</v>
      </c>
      <c r="B782" t="s">
        <v>1255</v>
      </c>
      <c r="C782" t="s">
        <v>161</v>
      </c>
      <c r="D782" s="4" t="s">
        <v>1625</v>
      </c>
      <c r="E782" t="s">
        <v>153</v>
      </c>
      <c r="F782" s="5">
        <v>198</v>
      </c>
      <c r="G782" t="s">
        <v>1424</v>
      </c>
      <c r="H782">
        <v>5</v>
      </c>
      <c r="I782" t="s">
        <v>53</v>
      </c>
      <c r="L782" s="6"/>
      <c r="M782" s="6"/>
      <c r="N782" s="6"/>
      <c r="O782" s="5"/>
      <c r="P782" s="7" t="str">
        <f t="shared" si="84"/>
        <v/>
      </c>
      <c r="Q782" s="7" t="str">
        <f t="shared" si="85"/>
        <v/>
      </c>
      <c r="R782" s="7" t="str">
        <f t="shared" si="86"/>
        <v/>
      </c>
      <c r="S782" s="7">
        <f>IF($A782="","",IF(AND(LEFT($G782,3)="ДОК",$N782&lt;&gt;""),IFERROR(INDEX(Документация!$E$2:$E$57,MATCH($N782,Документация!$F$2:$F$57,0)),0),N($F782))*(1-MEDIAN(0,N(ДисконтТендер),1)))</f>
        <v>198</v>
      </c>
      <c r="T782" s="7">
        <f>IF($A782="","",IF(AND(LEFT($G782,3)="ДОК",$N782&lt;&gt;""),0,IF(AND(LEFT($G782,3)&lt;&gt;"ДОК",$N782&lt;&gt;""),IFERROR(INDEX(МАТЕРИАЛЫ!$H$2:$H$9000,MATCH($N782,МАТЕРИАЛЫ!$L$2:$L$9000,0))*IF(INDEX(МАТЕРИАЛЫ!$I$2:$I$9000,MATCH($N782,МАТЕРИАЛЫ!$L$2:$L$9000,0))="USD",КурсUSD,IF(INDEX(МАТЕРИАЛЫ!$I$2:$I$9000,MATCH($N782,МАТЕРИАЛЫ!$L$2:$L$9000,0))="EUR",КурсEUR,IF(INDEX(МАТЕРИАЛЫ!$I$2:$I$9000,MATCH($N782,МАТЕРИАЛЫ!$L$2:$L$9000,0))="CNY",КурсCNY,1)))*(1+N($H782)/100),0),N($O782))*(1-MEDIAN(0,N(ДисконтТендер),1))))</f>
        <v>0</v>
      </c>
      <c r="U782" t="str">
        <f>IF($L782="да",MAX($U$1:$U781)+1,"")</f>
        <v/>
      </c>
      <c r="V782" t="str">
        <f t="shared" si="87"/>
        <v>Р9</v>
      </c>
      <c r="W782" t="str">
        <f t="shared" si="88"/>
        <v/>
      </c>
      <c r="X782" t="str">
        <f t="shared" si="89"/>
        <v/>
      </c>
      <c r="Y782" s="4" t="str">
        <f>IF($A782="","",IF(AND(LEFT($G782,3)="ДОК",$N782&lt;&gt;""),IFERROR(INDEX(Документация!$G$2:$G$57,MATCH($N782,Документация!$F$2:$F$57,0)),$D782),$D782&amp;IF(AND(LEFT($G782,3)&lt;&gt;"ДОК",$N782&lt;&gt;"")," — "&amp;IFERROR(INDEX(МАТЕРИАЛЫ!$C$2:$C$9000,MATCH($N782,МАТЕРИАЛЫ!$L$2:$L$9000,0)),""),"")))</f>
        <v>Кабель ППГнг(А)-HF 5х6</v>
      </c>
      <c r="Z782" t="str">
        <f t="shared" si="90"/>
        <v>Р9 · Электротехнические работы</v>
      </c>
    </row>
    <row r="783" spans="1:26" x14ac:dyDescent="0.3">
      <c r="A783" t="s">
        <v>1626</v>
      </c>
      <c r="B783" t="s">
        <v>1255</v>
      </c>
      <c r="C783" t="s">
        <v>161</v>
      </c>
      <c r="D783" s="4" t="s">
        <v>1627</v>
      </c>
      <c r="E783" t="s">
        <v>153</v>
      </c>
      <c r="F783" s="5">
        <v>132</v>
      </c>
      <c r="G783" t="s">
        <v>1424</v>
      </c>
      <c r="H783">
        <v>5</v>
      </c>
      <c r="I783" t="s">
        <v>53</v>
      </c>
      <c r="L783" s="6"/>
      <c r="M783" s="6"/>
      <c r="N783" s="6"/>
      <c r="O783" s="5"/>
      <c r="P783" s="7" t="str">
        <f t="shared" si="84"/>
        <v/>
      </c>
      <c r="Q783" s="7" t="str">
        <f t="shared" si="85"/>
        <v/>
      </c>
      <c r="R783" s="7" t="str">
        <f t="shared" si="86"/>
        <v/>
      </c>
      <c r="S783" s="7">
        <f>IF($A783="","",IF(AND(LEFT($G783,3)="ДОК",$N783&lt;&gt;""),IFERROR(INDEX(Документация!$E$2:$E$57,MATCH($N783,Документация!$F$2:$F$57,0)),0),N($F783))*(1-MEDIAN(0,N(ДисконтТендер),1)))</f>
        <v>132</v>
      </c>
      <c r="T783" s="7">
        <f>IF($A783="","",IF(AND(LEFT($G783,3)="ДОК",$N783&lt;&gt;""),0,IF(AND(LEFT($G783,3)&lt;&gt;"ДОК",$N783&lt;&gt;""),IFERROR(INDEX(МАТЕРИАЛЫ!$H$2:$H$9000,MATCH($N783,МАТЕРИАЛЫ!$L$2:$L$9000,0))*IF(INDEX(МАТЕРИАЛЫ!$I$2:$I$9000,MATCH($N783,МАТЕРИАЛЫ!$L$2:$L$9000,0))="USD",КурсUSD,IF(INDEX(МАТЕРИАЛЫ!$I$2:$I$9000,MATCH($N783,МАТЕРИАЛЫ!$L$2:$L$9000,0))="EUR",КурсEUR,IF(INDEX(МАТЕРИАЛЫ!$I$2:$I$9000,MATCH($N783,МАТЕРИАЛЫ!$L$2:$L$9000,0))="CNY",КурсCNY,1)))*(1+N($H783)/100),0),N($O783))*(1-MEDIAN(0,N(ДисконтТендер),1))))</f>
        <v>0</v>
      </c>
      <c r="U783" t="str">
        <f>IF($L783="да",MAX($U$1:$U782)+1,"")</f>
        <v/>
      </c>
      <c r="V783" t="str">
        <f t="shared" si="87"/>
        <v>Р9</v>
      </c>
      <c r="W783" t="str">
        <f t="shared" si="88"/>
        <v/>
      </c>
      <c r="X783" t="str">
        <f t="shared" si="89"/>
        <v/>
      </c>
      <c r="Y783" s="4" t="str">
        <f>IF($A783="","",IF(AND(LEFT($G783,3)="ДОК",$N783&lt;&gt;""),IFERROR(INDEX(Документация!$G$2:$G$57,MATCH($N783,Документация!$F$2:$F$57,0)),$D783),$D783&amp;IF(AND(LEFT($G783,3)&lt;&gt;"ДОК",$N783&lt;&gt;"")," — "&amp;IFERROR(INDEX(МАТЕРИАЛЫ!$C$2:$C$9000,MATCH($N783,МАТЕРИАЛЫ!$L$2:$L$9000,0)),""),"")))</f>
        <v>Кабель ППГнг(А)-HF 5х4</v>
      </c>
      <c r="Z783" t="str">
        <f t="shared" si="90"/>
        <v>Р9 · Электротехнические работы</v>
      </c>
    </row>
    <row r="784" spans="1:26" x14ac:dyDescent="0.3">
      <c r="A784" t="s">
        <v>1628</v>
      </c>
      <c r="B784" t="s">
        <v>1255</v>
      </c>
      <c r="C784" t="s">
        <v>161</v>
      </c>
      <c r="D784" s="4" t="s">
        <v>1629</v>
      </c>
      <c r="E784" t="s">
        <v>153</v>
      </c>
      <c r="F784" s="5">
        <v>118.67</v>
      </c>
      <c r="G784" t="s">
        <v>1424</v>
      </c>
      <c r="H784">
        <v>5</v>
      </c>
      <c r="I784" t="s">
        <v>53</v>
      </c>
      <c r="L784" s="6"/>
      <c r="M784" s="6"/>
      <c r="N784" s="6"/>
      <c r="O784" s="5"/>
      <c r="P784" s="7" t="str">
        <f t="shared" si="84"/>
        <v/>
      </c>
      <c r="Q784" s="7" t="str">
        <f t="shared" si="85"/>
        <v/>
      </c>
      <c r="R784" s="7" t="str">
        <f t="shared" si="86"/>
        <v/>
      </c>
      <c r="S784" s="7">
        <f>IF($A784="","",IF(AND(LEFT($G784,3)="ДОК",$N784&lt;&gt;""),IFERROR(INDEX(Документация!$E$2:$E$57,MATCH($N784,Документация!$F$2:$F$57,0)),0),N($F784))*(1-MEDIAN(0,N(ДисконтТендер),1)))</f>
        <v>118.67</v>
      </c>
      <c r="T784" s="7">
        <f>IF($A784="","",IF(AND(LEFT($G784,3)="ДОК",$N784&lt;&gt;""),0,IF(AND(LEFT($G784,3)&lt;&gt;"ДОК",$N784&lt;&gt;""),IFERROR(INDEX(МАТЕРИАЛЫ!$H$2:$H$9000,MATCH($N784,МАТЕРИАЛЫ!$L$2:$L$9000,0))*IF(INDEX(МАТЕРИАЛЫ!$I$2:$I$9000,MATCH($N784,МАТЕРИАЛЫ!$L$2:$L$9000,0))="USD",КурсUSD,IF(INDEX(МАТЕРИАЛЫ!$I$2:$I$9000,MATCH($N784,МАТЕРИАЛЫ!$L$2:$L$9000,0))="EUR",КурсEUR,IF(INDEX(МАТЕРИАЛЫ!$I$2:$I$9000,MATCH($N784,МАТЕРИАЛЫ!$L$2:$L$9000,0))="CNY",КурсCNY,1)))*(1+N($H784)/100),0),N($O784))*(1-MEDIAN(0,N(ДисконтТендер),1))))</f>
        <v>0</v>
      </c>
      <c r="U784" t="str">
        <f>IF($L784="да",MAX($U$1:$U783)+1,"")</f>
        <v/>
      </c>
      <c r="V784" t="str">
        <f t="shared" si="87"/>
        <v>Р9</v>
      </c>
      <c r="W784" t="str">
        <f t="shared" si="88"/>
        <v/>
      </c>
      <c r="X784" t="str">
        <f t="shared" si="89"/>
        <v/>
      </c>
      <c r="Y784" s="4" t="str">
        <f>IF($A784="","",IF(AND(LEFT($G784,3)="ДОК",$N784&lt;&gt;""),IFERROR(INDEX(Документация!$G$2:$G$57,MATCH($N784,Документация!$F$2:$F$57,0)),$D784),$D784&amp;IF(AND(LEFT($G784,3)&lt;&gt;"ДОК",$N784&lt;&gt;"")," — "&amp;IFERROR(INDEX(МАТЕРИАЛЫ!$C$2:$C$9000,MATCH($N784,МАТЕРИАЛЫ!$L$2:$L$9000,0)),""),"")))</f>
        <v>Кабель ППГнг(А)-HF 3х6,0</v>
      </c>
      <c r="Z784" t="str">
        <f t="shared" si="90"/>
        <v>Р9 · Электротехнические работы</v>
      </c>
    </row>
    <row r="785" spans="1:26" x14ac:dyDescent="0.3">
      <c r="A785" t="s">
        <v>1630</v>
      </c>
      <c r="B785" t="s">
        <v>1255</v>
      </c>
      <c r="C785" t="s">
        <v>161</v>
      </c>
      <c r="D785" s="4" t="s">
        <v>1615</v>
      </c>
      <c r="E785" t="s">
        <v>153</v>
      </c>
      <c r="F785" s="5">
        <v>138.5</v>
      </c>
      <c r="G785" t="s">
        <v>1424</v>
      </c>
      <c r="H785">
        <v>5</v>
      </c>
      <c r="I785" t="s">
        <v>53</v>
      </c>
      <c r="L785" s="6"/>
      <c r="M785" s="6"/>
      <c r="N785" s="6"/>
      <c r="O785" s="5"/>
      <c r="P785" s="7" t="str">
        <f t="shared" si="84"/>
        <v/>
      </c>
      <c r="Q785" s="7" t="str">
        <f t="shared" si="85"/>
        <v/>
      </c>
      <c r="R785" s="7" t="str">
        <f t="shared" si="86"/>
        <v/>
      </c>
      <c r="S785" s="7">
        <f>IF($A785="","",IF(AND(LEFT($G785,3)="ДОК",$N785&lt;&gt;""),IFERROR(INDEX(Документация!$E$2:$E$57,MATCH($N785,Документация!$F$2:$F$57,0)),0),N($F785))*(1-MEDIAN(0,N(ДисконтТендер),1)))</f>
        <v>138.5</v>
      </c>
      <c r="T785" s="7">
        <f>IF($A785="","",IF(AND(LEFT($G785,3)="ДОК",$N785&lt;&gt;""),0,IF(AND(LEFT($G785,3)&lt;&gt;"ДОК",$N785&lt;&gt;""),IFERROR(INDEX(МАТЕРИАЛЫ!$H$2:$H$9000,MATCH($N785,МАТЕРИАЛЫ!$L$2:$L$9000,0))*IF(INDEX(МАТЕРИАЛЫ!$I$2:$I$9000,MATCH($N785,МАТЕРИАЛЫ!$L$2:$L$9000,0))="USD",КурсUSD,IF(INDEX(МАТЕРИАЛЫ!$I$2:$I$9000,MATCH($N785,МАТЕРИАЛЫ!$L$2:$L$9000,0))="EUR",КурсEUR,IF(INDEX(МАТЕРИАЛЫ!$I$2:$I$9000,MATCH($N785,МАТЕРИАЛЫ!$L$2:$L$9000,0))="CNY",КурсCNY,1)))*(1+N($H785)/100),0),N($O785))*(1-MEDIAN(0,N(ДисконтТендер),1))))</f>
        <v>0</v>
      </c>
      <c r="U785" t="str">
        <f>IF($L785="да",MAX($U$1:$U784)+1,"")</f>
        <v/>
      </c>
      <c r="V785" t="str">
        <f t="shared" si="87"/>
        <v>Р9</v>
      </c>
      <c r="W785" t="str">
        <f t="shared" si="88"/>
        <v/>
      </c>
      <c r="X785" t="str">
        <f t="shared" si="89"/>
        <v/>
      </c>
      <c r="Y785" s="4" t="str">
        <f>IF($A785="","",IF(AND(LEFT($G785,3)="ДОК",$N785&lt;&gt;""),IFERROR(INDEX(Документация!$G$2:$G$57,MATCH($N785,Документация!$F$2:$F$57,0)),$D785),$D785&amp;IF(AND(LEFT($G785,3)&lt;&gt;"ДОК",$N785&lt;&gt;"")," — "&amp;IFERROR(INDEX(МАТЕРИАЛЫ!$C$2:$C$9000,MATCH($N785,МАТЕРИАЛЫ!$L$2:$L$9000,0)),""),"")))</f>
        <v>Прокладка кабеля / провода</v>
      </c>
      <c r="Z785" t="str">
        <f t="shared" si="90"/>
        <v>Р9 · Электротехнические работы</v>
      </c>
    </row>
    <row r="786" spans="1:26" x14ac:dyDescent="0.3">
      <c r="A786" t="s">
        <v>1631</v>
      </c>
      <c r="B786" t="s">
        <v>1255</v>
      </c>
      <c r="C786" t="s">
        <v>161</v>
      </c>
      <c r="D786" s="4" t="s">
        <v>1615</v>
      </c>
      <c r="E786" t="s">
        <v>153</v>
      </c>
      <c r="F786" s="5">
        <v>145.51</v>
      </c>
      <c r="G786" t="s">
        <v>1424</v>
      </c>
      <c r="H786">
        <v>5</v>
      </c>
      <c r="I786" t="s">
        <v>53</v>
      </c>
      <c r="L786" s="6"/>
      <c r="M786" s="6"/>
      <c r="N786" s="6"/>
      <c r="O786" s="5"/>
      <c r="P786" s="7" t="str">
        <f t="shared" si="84"/>
        <v/>
      </c>
      <c r="Q786" s="7" t="str">
        <f t="shared" si="85"/>
        <v/>
      </c>
      <c r="R786" s="7" t="str">
        <f t="shared" si="86"/>
        <v/>
      </c>
      <c r="S786" s="7">
        <f>IF($A786="","",IF(AND(LEFT($G786,3)="ДОК",$N786&lt;&gt;""),IFERROR(INDEX(Документация!$E$2:$E$57,MATCH($N786,Документация!$F$2:$F$57,0)),0),N($F786))*(1-MEDIAN(0,N(ДисконтТендер),1)))</f>
        <v>145.51</v>
      </c>
      <c r="T786" s="7">
        <f>IF($A786="","",IF(AND(LEFT($G786,3)="ДОК",$N786&lt;&gt;""),0,IF(AND(LEFT($G786,3)&lt;&gt;"ДОК",$N786&lt;&gt;""),IFERROR(INDEX(МАТЕРИАЛЫ!$H$2:$H$9000,MATCH($N786,МАТЕРИАЛЫ!$L$2:$L$9000,0))*IF(INDEX(МАТЕРИАЛЫ!$I$2:$I$9000,MATCH($N786,МАТЕРИАЛЫ!$L$2:$L$9000,0))="USD",КурсUSD,IF(INDEX(МАТЕРИАЛЫ!$I$2:$I$9000,MATCH($N786,МАТЕРИАЛЫ!$L$2:$L$9000,0))="EUR",КурсEUR,IF(INDEX(МАТЕРИАЛЫ!$I$2:$I$9000,MATCH($N786,МАТЕРИАЛЫ!$L$2:$L$9000,0))="CNY",КурсCNY,1)))*(1+N($H786)/100),0),N($O786))*(1-MEDIAN(0,N(ДисконтТендер),1))))</f>
        <v>0</v>
      </c>
      <c r="U786" t="str">
        <f>IF($L786="да",MAX($U$1:$U785)+1,"")</f>
        <v/>
      </c>
      <c r="V786" t="str">
        <f t="shared" si="87"/>
        <v>Р9</v>
      </c>
      <c r="W786" t="str">
        <f t="shared" si="88"/>
        <v/>
      </c>
      <c r="X786" t="str">
        <f t="shared" si="89"/>
        <v/>
      </c>
      <c r="Y786" s="4" t="str">
        <f>IF($A786="","",IF(AND(LEFT($G786,3)="ДОК",$N786&lt;&gt;""),IFERROR(INDEX(Документация!$G$2:$G$57,MATCH($N786,Документация!$F$2:$F$57,0)),$D786),$D786&amp;IF(AND(LEFT($G786,3)&lt;&gt;"ДОК",$N786&lt;&gt;"")," — "&amp;IFERROR(INDEX(МАТЕРИАЛЫ!$C$2:$C$9000,MATCH($N786,МАТЕРИАЛЫ!$L$2:$L$9000,0)),""),"")))</f>
        <v>Прокладка кабеля / провода</v>
      </c>
      <c r="Z786" t="str">
        <f t="shared" si="90"/>
        <v>Р9 · Электротехнические работы</v>
      </c>
    </row>
    <row r="787" spans="1:26" x14ac:dyDescent="0.3">
      <c r="A787" t="s">
        <v>1632</v>
      </c>
      <c r="B787" t="s">
        <v>1255</v>
      </c>
      <c r="C787" t="s">
        <v>161</v>
      </c>
      <c r="D787" s="4" t="s">
        <v>1633</v>
      </c>
      <c r="E787" t="s">
        <v>114</v>
      </c>
      <c r="F787" s="5">
        <v>1045</v>
      </c>
      <c r="G787" t="s">
        <v>1424</v>
      </c>
      <c r="H787">
        <v>5</v>
      </c>
      <c r="I787" t="s">
        <v>53</v>
      </c>
      <c r="L787" s="6"/>
      <c r="M787" s="6"/>
      <c r="N787" s="6"/>
      <c r="O787" s="5"/>
      <c r="P787" s="7" t="str">
        <f t="shared" si="84"/>
        <v/>
      </c>
      <c r="Q787" s="7" t="str">
        <f t="shared" si="85"/>
        <v/>
      </c>
      <c r="R787" s="7" t="str">
        <f t="shared" si="86"/>
        <v/>
      </c>
      <c r="S787" s="7">
        <f>IF($A787="","",IF(AND(LEFT($G787,3)="ДОК",$N787&lt;&gt;""),IFERROR(INDEX(Документация!$E$2:$E$57,MATCH($N787,Документация!$F$2:$F$57,0)),0),N($F787))*(1-MEDIAN(0,N(ДисконтТендер),1)))</f>
        <v>1045</v>
      </c>
      <c r="T787" s="7">
        <f>IF($A787="","",IF(AND(LEFT($G787,3)="ДОК",$N787&lt;&gt;""),0,IF(AND(LEFT($G787,3)&lt;&gt;"ДОК",$N787&lt;&gt;""),IFERROR(INDEX(МАТЕРИАЛЫ!$H$2:$H$9000,MATCH($N787,МАТЕРИАЛЫ!$L$2:$L$9000,0))*IF(INDEX(МАТЕРИАЛЫ!$I$2:$I$9000,MATCH($N787,МАТЕРИАЛЫ!$L$2:$L$9000,0))="USD",КурсUSD,IF(INDEX(МАТЕРИАЛЫ!$I$2:$I$9000,MATCH($N787,МАТЕРИАЛЫ!$L$2:$L$9000,0))="EUR",КурсEUR,IF(INDEX(МАТЕРИАЛЫ!$I$2:$I$9000,MATCH($N787,МАТЕРИАЛЫ!$L$2:$L$9000,0))="CNY",КурсCNY,1)))*(1+N($H787)/100),0),N($O787))*(1-MEDIAN(0,N(ДисконтТендер),1))))</f>
        <v>0</v>
      </c>
      <c r="U787" t="str">
        <f>IF($L787="да",MAX($U$1:$U786)+1,"")</f>
        <v/>
      </c>
      <c r="V787" t="str">
        <f t="shared" si="87"/>
        <v>Р9</v>
      </c>
      <c r="W787" t="str">
        <f t="shared" si="88"/>
        <v/>
      </c>
      <c r="X787" t="str">
        <f t="shared" si="89"/>
        <v/>
      </c>
      <c r="Y787" s="4" t="str">
        <f>IF($A787="","",IF(AND(LEFT($G787,3)="ДОК",$N787&lt;&gt;""),IFERROR(INDEX(Документация!$G$2:$G$57,MATCH($N787,Документация!$F$2:$F$57,0)),$D787),$D787&amp;IF(AND(LEFT($G787,3)&lt;&gt;"ДОК",$N787&lt;&gt;"")," — "&amp;IFERROR(INDEX(МАТЕРИАЛЫ!$C$2:$C$9000,MATCH($N787,МАТЕРИАЛЫ!$L$2:$L$9000,0)),""),"")))</f>
        <v>Кабельная проходка ОГНЕЗА-ПМ-К/50 (муфта)</v>
      </c>
      <c r="Z787" t="str">
        <f t="shared" si="90"/>
        <v>Р9 · Электротехнические работы</v>
      </c>
    </row>
    <row r="788" spans="1:26" x14ac:dyDescent="0.3">
      <c r="A788" t="s">
        <v>1634</v>
      </c>
      <c r="B788" t="s">
        <v>1255</v>
      </c>
      <c r="C788" t="s">
        <v>161</v>
      </c>
      <c r="D788" s="4" t="s">
        <v>1615</v>
      </c>
      <c r="E788" t="s">
        <v>114</v>
      </c>
      <c r="F788" s="5">
        <v>1210</v>
      </c>
      <c r="G788" t="s">
        <v>1424</v>
      </c>
      <c r="H788">
        <v>5</v>
      </c>
      <c r="I788" t="s">
        <v>53</v>
      </c>
      <c r="L788" s="6"/>
      <c r="M788" s="6"/>
      <c r="N788" s="6"/>
      <c r="O788" s="5"/>
      <c r="P788" s="7" t="str">
        <f t="shared" si="84"/>
        <v/>
      </c>
      <c r="Q788" s="7" t="str">
        <f t="shared" si="85"/>
        <v/>
      </c>
      <c r="R788" s="7" t="str">
        <f t="shared" si="86"/>
        <v/>
      </c>
      <c r="S788" s="7">
        <f>IF($A788="","",IF(AND(LEFT($G788,3)="ДОК",$N788&lt;&gt;""),IFERROR(INDEX(Документация!$E$2:$E$57,MATCH($N788,Документация!$F$2:$F$57,0)),0),N($F788))*(1-MEDIAN(0,N(ДисконтТендер),1)))</f>
        <v>1210</v>
      </c>
      <c r="T788" s="7">
        <f>IF($A788="","",IF(AND(LEFT($G788,3)="ДОК",$N788&lt;&gt;""),0,IF(AND(LEFT($G788,3)&lt;&gt;"ДОК",$N788&lt;&gt;""),IFERROR(INDEX(МАТЕРИАЛЫ!$H$2:$H$9000,MATCH($N788,МАТЕРИАЛЫ!$L$2:$L$9000,0))*IF(INDEX(МАТЕРИАЛЫ!$I$2:$I$9000,MATCH($N788,МАТЕРИАЛЫ!$L$2:$L$9000,0))="USD",КурсUSD,IF(INDEX(МАТЕРИАЛЫ!$I$2:$I$9000,MATCH($N788,МАТЕРИАЛЫ!$L$2:$L$9000,0))="EUR",КурсEUR,IF(INDEX(МАТЕРИАЛЫ!$I$2:$I$9000,MATCH($N788,МАТЕРИАЛЫ!$L$2:$L$9000,0))="CNY",КурсCNY,1)))*(1+N($H788)/100),0),N($O788))*(1-MEDIAN(0,N(ДисконтТендер),1))))</f>
        <v>0</v>
      </c>
      <c r="U788" t="str">
        <f>IF($L788="да",MAX($U$1:$U787)+1,"")</f>
        <v/>
      </c>
      <c r="V788" t="str">
        <f t="shared" si="87"/>
        <v>Р9</v>
      </c>
      <c r="W788" t="str">
        <f t="shared" si="88"/>
        <v/>
      </c>
      <c r="X788" t="str">
        <f t="shared" si="89"/>
        <v/>
      </c>
      <c r="Y788" s="4" t="str">
        <f>IF($A788="","",IF(AND(LEFT($G788,3)="ДОК",$N788&lt;&gt;""),IFERROR(INDEX(Документация!$G$2:$G$57,MATCH($N788,Документация!$F$2:$F$57,0)),$D788),$D788&amp;IF(AND(LEFT($G788,3)&lt;&gt;"ДОК",$N788&lt;&gt;"")," — "&amp;IFERROR(INDEX(МАТЕРИАЛЫ!$C$2:$C$9000,MATCH($N788,МАТЕРИАЛЫ!$L$2:$L$9000,0)),""),"")))</f>
        <v>Прокладка кабеля / провода</v>
      </c>
      <c r="Z788" t="str">
        <f t="shared" si="90"/>
        <v>Р9 · Электротехнические работы</v>
      </c>
    </row>
    <row r="789" spans="1:26" ht="28.8" x14ac:dyDescent="0.3">
      <c r="A789" t="s">
        <v>1635</v>
      </c>
      <c r="B789" t="s">
        <v>1255</v>
      </c>
      <c r="C789" t="s">
        <v>161</v>
      </c>
      <c r="D789" s="4" t="s">
        <v>1636</v>
      </c>
      <c r="E789" t="s">
        <v>114</v>
      </c>
      <c r="F789" s="5">
        <v>2592.6</v>
      </c>
      <c r="G789" t="s">
        <v>1637</v>
      </c>
      <c r="H789">
        <v>5</v>
      </c>
      <c r="I789" t="s">
        <v>53</v>
      </c>
      <c r="L789" s="6"/>
      <c r="M789" s="6"/>
      <c r="N789" s="6"/>
      <c r="O789" s="5"/>
      <c r="P789" s="7" t="str">
        <f t="shared" si="84"/>
        <v/>
      </c>
      <c r="Q789" s="7" t="str">
        <f t="shared" si="85"/>
        <v/>
      </c>
      <c r="R789" s="7" t="str">
        <f t="shared" si="86"/>
        <v/>
      </c>
      <c r="S789" s="7">
        <f>IF($A789="","",IF(AND(LEFT($G789,3)="ДОК",$N789&lt;&gt;""),IFERROR(INDEX(Документация!$E$2:$E$57,MATCH($N789,Документация!$F$2:$F$57,0)),0),N($F789))*(1-MEDIAN(0,N(ДисконтТендер),1)))</f>
        <v>2592.6</v>
      </c>
      <c r="T789" s="7">
        <f>IF($A789="","",IF(AND(LEFT($G789,3)="ДОК",$N789&lt;&gt;""),0,IF(AND(LEFT($G789,3)&lt;&gt;"ДОК",$N789&lt;&gt;""),IFERROR(INDEX(МАТЕРИАЛЫ!$H$2:$H$9000,MATCH($N789,МАТЕРИАЛЫ!$L$2:$L$9000,0))*IF(INDEX(МАТЕРИАЛЫ!$I$2:$I$9000,MATCH($N789,МАТЕРИАЛЫ!$L$2:$L$9000,0))="USD",КурсUSD,IF(INDEX(МАТЕРИАЛЫ!$I$2:$I$9000,MATCH($N789,МАТЕРИАЛЫ!$L$2:$L$9000,0))="EUR",КурсEUR,IF(INDEX(МАТЕРИАЛЫ!$I$2:$I$9000,MATCH($N789,МАТЕРИАЛЫ!$L$2:$L$9000,0))="CNY",КурсCNY,1)))*(1+N($H789)/100),0),N($O789))*(1-MEDIAN(0,N(ДисконтТендер),1))))</f>
        <v>0</v>
      </c>
      <c r="U789" t="str">
        <f>IF($L789="да",MAX($U$1:$U788)+1,"")</f>
        <v/>
      </c>
      <c r="V789" t="str">
        <f t="shared" si="87"/>
        <v>Р9</v>
      </c>
      <c r="W789" t="str">
        <f t="shared" si="88"/>
        <v/>
      </c>
      <c r="X789" t="str">
        <f t="shared" si="89"/>
        <v/>
      </c>
      <c r="Y789" s="4" t="str">
        <f>IF($A789="","",IF(AND(LEFT($G789,3)="ДОК",$N789&lt;&gt;""),IFERROR(INDEX(Документация!$G$2:$G$57,MATCH($N789,Документация!$F$2:$F$57,0)),$D789),$D789&amp;IF(AND(LEFT($G789,3)&lt;&gt;"ДОК",$N789&lt;&gt;"")," — "&amp;IFERROR(INDEX(МАТЕРИАЛЫ!$C$2:$C$9000,MATCH($N789,МАТЕРИАЛЫ!$L$2:$L$9000,0)),""),"")))</f>
        <v>Напольная коробка 18 модулей Legrand арт. 089611</v>
      </c>
      <c r="Z789" t="str">
        <f t="shared" si="90"/>
        <v>Р9 · Электротехнические работы</v>
      </c>
    </row>
    <row r="790" spans="1:26" x14ac:dyDescent="0.3">
      <c r="A790" t="s">
        <v>1638</v>
      </c>
      <c r="B790" t="s">
        <v>1255</v>
      </c>
      <c r="C790" t="s">
        <v>161</v>
      </c>
      <c r="D790" s="4" t="s">
        <v>1409</v>
      </c>
      <c r="E790" t="s">
        <v>114</v>
      </c>
      <c r="F790" s="5">
        <v>3125.04</v>
      </c>
      <c r="G790" t="s">
        <v>1410</v>
      </c>
      <c r="H790">
        <v>5</v>
      </c>
      <c r="I790" t="s">
        <v>53</v>
      </c>
      <c r="L790" s="6"/>
      <c r="M790" s="6"/>
      <c r="N790" s="6"/>
      <c r="O790" s="5"/>
      <c r="P790" s="7" t="str">
        <f t="shared" si="84"/>
        <v/>
      </c>
      <c r="Q790" s="7" t="str">
        <f t="shared" si="85"/>
        <v/>
      </c>
      <c r="R790" s="7" t="str">
        <f t="shared" si="86"/>
        <v/>
      </c>
      <c r="S790" s="7">
        <f>IF($A790="","",IF(AND(LEFT($G790,3)="ДОК",$N790&lt;&gt;""),IFERROR(INDEX(Документация!$E$2:$E$57,MATCH($N790,Документация!$F$2:$F$57,0)),0),N($F790))*(1-MEDIAN(0,N(ДисконтТендер),1)))</f>
        <v>3125.04</v>
      </c>
      <c r="T790" s="7">
        <f>IF($A790="","",IF(AND(LEFT($G790,3)="ДОК",$N790&lt;&gt;""),0,IF(AND(LEFT($G790,3)&lt;&gt;"ДОК",$N790&lt;&gt;""),IFERROR(INDEX(МАТЕРИАЛЫ!$H$2:$H$9000,MATCH($N790,МАТЕРИАЛЫ!$L$2:$L$9000,0))*IF(INDEX(МАТЕРИАЛЫ!$I$2:$I$9000,MATCH($N790,МАТЕРИАЛЫ!$L$2:$L$9000,0))="USD",КурсUSD,IF(INDEX(МАТЕРИАЛЫ!$I$2:$I$9000,MATCH($N790,МАТЕРИАЛЫ!$L$2:$L$9000,0))="EUR",КурсEUR,IF(INDEX(МАТЕРИАЛЫ!$I$2:$I$9000,MATCH($N790,МАТЕРИАЛЫ!$L$2:$L$9000,0))="CNY",КурсCNY,1)))*(1+N($H790)/100),0),N($O790))*(1-MEDIAN(0,N(ДисконтТендер),1))))</f>
        <v>0</v>
      </c>
      <c r="U790" t="str">
        <f>IF($L790="да",MAX($U$1:$U789)+1,"")</f>
        <v/>
      </c>
      <c r="V790" t="str">
        <f t="shared" si="87"/>
        <v>Р9</v>
      </c>
      <c r="W790" t="str">
        <f t="shared" si="88"/>
        <v/>
      </c>
      <c r="X790" t="str">
        <f t="shared" si="89"/>
        <v/>
      </c>
      <c r="Y790" s="4" t="str">
        <f>IF($A790="","",IF(AND(LEFT($G790,3)="ДОК",$N790&lt;&gt;""),IFERROR(INDEX(Документация!$G$2:$G$57,MATCH($N790,Документация!$F$2:$F$57,0)),$D790),$D790&amp;IF(AND(LEFT($G790,3)&lt;&gt;"ДОК",$N790&lt;&gt;"")," — "&amp;IFERROR(INDEX(МАТЕРИАЛЫ!$C$2:$C$9000,MATCH($N790,МАТЕРИАЛЫ!$L$2:$L$9000,0)),""),"")))</f>
        <v>Установка розетки</v>
      </c>
      <c r="Z790" t="str">
        <f t="shared" si="90"/>
        <v>Р9 · Электротехнические работы</v>
      </c>
    </row>
    <row r="791" spans="1:26" ht="72" x14ac:dyDescent="0.3">
      <c r="A791" t="s">
        <v>1639</v>
      </c>
      <c r="B791" t="s">
        <v>1255</v>
      </c>
      <c r="C791" t="s">
        <v>161</v>
      </c>
      <c r="D791" s="4" t="s">
        <v>1640</v>
      </c>
      <c r="E791" t="s">
        <v>153</v>
      </c>
      <c r="F791" s="5">
        <v>256</v>
      </c>
      <c r="G791" t="s">
        <v>1384</v>
      </c>
      <c r="H791">
        <v>5</v>
      </c>
      <c r="I791" t="s">
        <v>53</v>
      </c>
      <c r="L791" s="6"/>
      <c r="M791" s="6"/>
      <c r="N791" s="6"/>
      <c r="O791" s="5"/>
      <c r="P791" s="7" t="str">
        <f t="shared" si="84"/>
        <v/>
      </c>
      <c r="Q791" s="7" t="str">
        <f t="shared" si="85"/>
        <v/>
      </c>
      <c r="R791" s="7" t="str">
        <f t="shared" si="86"/>
        <v/>
      </c>
      <c r="S791" s="7">
        <f>IF($A791="","",IF(AND(LEFT($G791,3)="ДОК",$N791&lt;&gt;""),IFERROR(INDEX(Документация!$E$2:$E$57,MATCH($N791,Документация!$F$2:$F$57,0)),0),N($F791))*(1-MEDIAN(0,N(ДисконтТендер),1)))</f>
        <v>256</v>
      </c>
      <c r="T791" s="7">
        <f>IF($A791="","",IF(AND(LEFT($G791,3)="ДОК",$N791&lt;&gt;""),0,IF(AND(LEFT($G791,3)&lt;&gt;"ДОК",$N791&lt;&gt;""),IFERROR(INDEX(МАТЕРИАЛЫ!$H$2:$H$9000,MATCH($N791,МАТЕРИАЛЫ!$L$2:$L$9000,0))*IF(INDEX(МАТЕРИАЛЫ!$I$2:$I$9000,MATCH($N791,МАТЕРИАЛЫ!$L$2:$L$9000,0))="USD",КурсUSD,IF(INDEX(МАТЕРИАЛЫ!$I$2:$I$9000,MATCH($N791,МАТЕРИАЛЫ!$L$2:$L$9000,0))="EUR",КурсEUR,IF(INDEX(МАТЕРИАЛЫ!$I$2:$I$9000,MATCH($N791,МАТЕРИАЛЫ!$L$2:$L$9000,0))="CNY",КурсCNY,1)))*(1+N($H791)/100),0),N($O791))*(1-MEDIAN(0,N(ДисконтТендер),1))))</f>
        <v>0</v>
      </c>
      <c r="U791" t="str">
        <f>IF($L791="да",MAX($U$1:$U790)+1,"")</f>
        <v/>
      </c>
      <c r="V791" t="str">
        <f t="shared" si="87"/>
        <v>Р9</v>
      </c>
      <c r="W791" t="str">
        <f t="shared" si="88"/>
        <v/>
      </c>
      <c r="X791" t="str">
        <f t="shared" si="89"/>
        <v/>
      </c>
      <c r="Y791" s="4" t="str">
        <f>IF($A791="","",IF(AND(LEFT($G791,3)="ДОК",$N791&lt;&gt;""),IFERROR(INDEX(Документация!$G$2:$G$57,MATCH($N791,Документация!$F$2:$F$57,0)),$D791),$D791&amp;IF(AND(LEFT($G791,3)&lt;&gt;"ДОК",$N791&lt;&gt;"")," — "&amp;IFERROR(INDEX(МАТЕРИАЛЫ!$C$2:$C$9000,MATCH($N791,МАТЕРИАЛЫ!$L$2:$L$9000,0)),""),"")))</f>
        <v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v>
      </c>
      <c r="Z791" t="str">
        <f t="shared" si="90"/>
        <v>Р9 · Электротехнические работы</v>
      </c>
    </row>
    <row r="792" spans="1:26" ht="28.8" x14ac:dyDescent="0.3">
      <c r="A792" t="s">
        <v>1641</v>
      </c>
      <c r="B792" t="s">
        <v>1255</v>
      </c>
      <c r="C792" t="s">
        <v>161</v>
      </c>
      <c r="D792" s="4" t="s">
        <v>1642</v>
      </c>
      <c r="E792" t="s">
        <v>114</v>
      </c>
      <c r="F792" s="5">
        <v>250.56</v>
      </c>
      <c r="G792" t="s">
        <v>1424</v>
      </c>
      <c r="H792">
        <v>5</v>
      </c>
      <c r="I792" t="s">
        <v>53</v>
      </c>
      <c r="L792" s="6"/>
      <c r="M792" s="6"/>
      <c r="N792" s="6"/>
      <c r="O792" s="5"/>
      <c r="P792" s="7" t="str">
        <f t="shared" si="84"/>
        <v/>
      </c>
      <c r="Q792" s="7" t="str">
        <f t="shared" si="85"/>
        <v/>
      </c>
      <c r="R792" s="7" t="str">
        <f t="shared" si="86"/>
        <v/>
      </c>
      <c r="S792" s="7">
        <f>IF($A792="","",IF(AND(LEFT($G792,3)="ДОК",$N792&lt;&gt;""),IFERROR(INDEX(Документация!$E$2:$E$57,MATCH($N792,Документация!$F$2:$F$57,0)),0),N($F792))*(1-MEDIAN(0,N(ДисконтТендер),1)))</f>
        <v>250.56</v>
      </c>
      <c r="T792" s="7">
        <f>IF($A792="","",IF(AND(LEFT($G792,3)="ДОК",$N792&lt;&gt;""),0,IF(AND(LEFT($G792,3)&lt;&gt;"ДОК",$N792&lt;&gt;""),IFERROR(INDEX(МАТЕРИАЛЫ!$H$2:$H$9000,MATCH($N792,МАТЕРИАЛЫ!$L$2:$L$9000,0))*IF(INDEX(МАТЕРИАЛЫ!$I$2:$I$9000,MATCH($N792,МАТЕРИАЛЫ!$L$2:$L$9000,0))="USD",КурсUSD,IF(INDEX(МАТЕРИАЛЫ!$I$2:$I$9000,MATCH($N792,МАТЕРИАЛЫ!$L$2:$L$9000,0))="EUR",КурсEUR,IF(INDEX(МАТЕРИАЛЫ!$I$2:$I$9000,MATCH($N792,МАТЕРИАЛЫ!$L$2:$L$9000,0))="CNY",КурсCNY,1)))*(1+N($H792)/100),0),N($O792))*(1-MEDIAN(0,N(ДисконтТендер),1))))</f>
        <v>0</v>
      </c>
      <c r="U792" t="str">
        <f>IF($L792="да",MAX($U$1:$U791)+1,"")</f>
        <v/>
      </c>
      <c r="V792" t="str">
        <f t="shared" si="87"/>
        <v>Р9</v>
      </c>
      <c r="W792" t="str">
        <f t="shared" si="88"/>
        <v/>
      </c>
      <c r="X792" t="str">
        <f t="shared" si="89"/>
        <v/>
      </c>
      <c r="Y792" s="4" t="str">
        <f>IF($A792="","",IF(AND(LEFT($G792,3)="ДОК",$N792&lt;&gt;""),IFERROR(INDEX(Документация!$G$2:$G$57,MATCH($N792,Документация!$F$2:$F$57,0)),$D792),$D792&amp;IF(AND(LEFT($G792,3)&lt;&gt;"ДОК",$N792&lt;&gt;"")," — "&amp;IFERROR(INDEX(МАТЕРИАЛЫ!$C$2:$C$9000,MATCH($N792,МАТЕРИАЛЫ!$L$2:$L$9000,0)),""),"")))</f>
        <v>Обработка проходов кабелей через перегородки огнезой с 2 сторон</v>
      </c>
      <c r="Z792" t="str">
        <f t="shared" si="90"/>
        <v>Р9 · Электротехнические работы</v>
      </c>
    </row>
    <row r="793" spans="1:26" x14ac:dyDescent="0.3">
      <c r="A793" t="s">
        <v>1643</v>
      </c>
      <c r="B793" t="s">
        <v>1255</v>
      </c>
      <c r="C793" t="s">
        <v>194</v>
      </c>
      <c r="D793" s="4" t="s">
        <v>1644</v>
      </c>
      <c r="E793" t="s">
        <v>114</v>
      </c>
      <c r="F793" s="5">
        <v>12000</v>
      </c>
      <c r="H793">
        <v>0</v>
      </c>
      <c r="I793" t="s">
        <v>53</v>
      </c>
      <c r="L793" s="6"/>
      <c r="M793" s="6"/>
      <c r="N793" s="6"/>
      <c r="O793" s="5"/>
      <c r="P793" s="7" t="str">
        <f t="shared" si="84"/>
        <v/>
      </c>
      <c r="Q793" s="7" t="str">
        <f t="shared" si="85"/>
        <v/>
      </c>
      <c r="R793" s="7" t="str">
        <f t="shared" si="86"/>
        <v/>
      </c>
      <c r="S793" s="7">
        <f>IF($A793="","",IF(AND(LEFT($G793,3)="ДОК",$N793&lt;&gt;""),IFERROR(INDEX(Документация!$E$2:$E$57,MATCH($N793,Документация!$F$2:$F$57,0)),0),N($F793))*(1-MEDIAN(0,N(ДисконтТендер),1)))</f>
        <v>12000</v>
      </c>
      <c r="T793" s="7">
        <f>IF($A793="","",IF(AND(LEFT($G793,3)="ДОК",$N793&lt;&gt;""),0,IF(AND(LEFT($G793,3)&lt;&gt;"ДОК",$N793&lt;&gt;""),IFERROR(INDEX(МАТЕРИАЛЫ!$H$2:$H$9000,MATCH($N793,МАТЕРИАЛЫ!$L$2:$L$9000,0))*IF(INDEX(МАТЕРИАЛЫ!$I$2:$I$9000,MATCH($N793,МАТЕРИАЛЫ!$L$2:$L$9000,0))="USD",КурсUSD,IF(INDEX(МАТЕРИАЛЫ!$I$2:$I$9000,MATCH($N793,МАТЕРИАЛЫ!$L$2:$L$9000,0))="EUR",КурсEUR,IF(INDEX(МАТЕРИАЛЫ!$I$2:$I$9000,MATCH($N793,МАТЕРИАЛЫ!$L$2:$L$9000,0))="CNY",КурсCNY,1)))*(1+N($H793)/100),0),N($O793))*(1-MEDIAN(0,N(ДисконтТендер),1))))</f>
        <v>0</v>
      </c>
      <c r="U793" t="str">
        <f>IF($L793="да",MAX($U$1:$U792)+1,"")</f>
        <v/>
      </c>
      <c r="V793" t="str">
        <f t="shared" si="87"/>
        <v>Р9</v>
      </c>
      <c r="W793" t="str">
        <f t="shared" si="88"/>
        <v/>
      </c>
      <c r="X793" t="str">
        <f t="shared" si="89"/>
        <v/>
      </c>
      <c r="Y793" s="4" t="str">
        <f>IF($A793="","",IF(AND(LEFT($G793,3)="ДОК",$N793&lt;&gt;""),IFERROR(INDEX(Документация!$G$2:$G$57,MATCH($N793,Документация!$F$2:$F$57,0)),$D793),$D793&amp;IF(AND(LEFT($G793,3)&lt;&gt;"ДОК",$N793&lt;&gt;"")," — "&amp;IFERROR(INDEX(МАТЕРИАЛЫ!$C$2:$C$9000,MATCH($N793,МАТЕРИАЛЫ!$L$2:$L$9000,0)),""),"")))</f>
        <v>ВРЩ(микро)</v>
      </c>
      <c r="Z793" t="str">
        <f t="shared" si="90"/>
        <v>Р9 · Электротехнические работы</v>
      </c>
    </row>
    <row r="794" spans="1:26" x14ac:dyDescent="0.3">
      <c r="A794" t="s">
        <v>1645</v>
      </c>
      <c r="B794" t="s">
        <v>1255</v>
      </c>
      <c r="C794" t="s">
        <v>194</v>
      </c>
      <c r="D794" s="4" t="s">
        <v>1646</v>
      </c>
      <c r="E794" t="s">
        <v>114</v>
      </c>
      <c r="F794" s="5">
        <v>6878.97</v>
      </c>
      <c r="G794" t="s">
        <v>1257</v>
      </c>
      <c r="H794">
        <v>5</v>
      </c>
      <c r="I794" t="s">
        <v>53</v>
      </c>
      <c r="L794" s="6"/>
      <c r="M794" s="6"/>
      <c r="N794" s="6"/>
      <c r="O794" s="5"/>
      <c r="P794" s="7" t="str">
        <f t="shared" si="84"/>
        <v/>
      </c>
      <c r="Q794" s="7" t="str">
        <f t="shared" si="85"/>
        <v/>
      </c>
      <c r="R794" s="7" t="str">
        <f t="shared" si="86"/>
        <v/>
      </c>
      <c r="S794" s="7">
        <f>IF($A794="","",IF(AND(LEFT($G794,3)="ДОК",$N794&lt;&gt;""),IFERROR(INDEX(Документация!$E$2:$E$57,MATCH($N794,Документация!$F$2:$F$57,0)),0),N($F794))*(1-MEDIAN(0,N(ДисконтТендер),1)))</f>
        <v>6878.97</v>
      </c>
      <c r="T794" s="7">
        <f>IF($A794="","",IF(AND(LEFT($G794,3)="ДОК",$N794&lt;&gt;""),0,IF(AND(LEFT($G794,3)&lt;&gt;"ДОК",$N794&lt;&gt;""),IFERROR(INDEX(МАТЕРИАЛЫ!$H$2:$H$9000,MATCH($N794,МАТЕРИАЛЫ!$L$2:$L$9000,0))*IF(INDEX(МАТЕРИАЛЫ!$I$2:$I$9000,MATCH($N794,МАТЕРИАЛЫ!$L$2:$L$9000,0))="USD",КурсUSD,IF(INDEX(МАТЕРИАЛЫ!$I$2:$I$9000,MATCH($N794,МАТЕРИАЛЫ!$L$2:$L$9000,0))="EUR",КурсEUR,IF(INDEX(МАТЕРИАЛЫ!$I$2:$I$9000,MATCH($N794,МАТЕРИАЛЫ!$L$2:$L$9000,0))="CNY",КурсCNY,1)))*(1+N($H794)/100),0),N($O794))*(1-MEDIAN(0,N(ДисконтТендер),1))))</f>
        <v>0</v>
      </c>
      <c r="U794" t="str">
        <f>IF($L794="да",MAX($U$1:$U793)+1,"")</f>
        <v/>
      </c>
      <c r="V794" t="str">
        <f t="shared" si="87"/>
        <v>Р9</v>
      </c>
      <c r="W794" t="str">
        <f t="shared" si="88"/>
        <v/>
      </c>
      <c r="X794" t="str">
        <f t="shared" si="89"/>
        <v/>
      </c>
      <c r="Y794" s="4" t="str">
        <f>IF($A794="","",IF(AND(LEFT($G794,3)="ДОК",$N794&lt;&gt;""),IFERROR(INDEX(Документация!$G$2:$G$57,MATCH($N794,Документация!$F$2:$F$57,0)),$D794),$D794&amp;IF(AND(LEFT($G794,3)&lt;&gt;"ДОК",$N794&lt;&gt;"")," — "&amp;IFERROR(INDEX(МАТЕРИАЛЫ!$C$2:$C$9000,MATCH($N794,МАТЕРИАЛЫ!$L$2:$L$9000,0)),""),"")))</f>
        <v>ППУ(микро)</v>
      </c>
      <c r="Z794" t="str">
        <f t="shared" si="90"/>
        <v>Р9 · Электротехнические работы</v>
      </c>
    </row>
    <row r="795" spans="1:26" ht="43.2" x14ac:dyDescent="0.3">
      <c r="A795" t="s">
        <v>1647</v>
      </c>
      <c r="B795" t="s">
        <v>1255</v>
      </c>
      <c r="C795" t="s">
        <v>229</v>
      </c>
      <c r="D795" s="4" t="s">
        <v>1648</v>
      </c>
      <c r="E795" t="s">
        <v>114</v>
      </c>
      <c r="F795" s="5">
        <v>1591.19</v>
      </c>
      <c r="G795" t="s">
        <v>1378</v>
      </c>
      <c r="H795">
        <v>5</v>
      </c>
      <c r="I795" t="s">
        <v>53</v>
      </c>
      <c r="L795" s="6"/>
      <c r="M795" s="6"/>
      <c r="N795" s="6"/>
      <c r="O795" s="5"/>
      <c r="P795" s="7" t="str">
        <f t="shared" si="84"/>
        <v/>
      </c>
      <c r="Q795" s="7" t="str">
        <f t="shared" si="85"/>
        <v/>
      </c>
      <c r="R795" s="7" t="str">
        <f t="shared" si="86"/>
        <v/>
      </c>
      <c r="S795" s="7">
        <f>IF($A795="","",IF(AND(LEFT($G795,3)="ДОК",$N795&lt;&gt;""),IFERROR(INDEX(Документация!$E$2:$E$57,MATCH($N795,Документация!$F$2:$F$57,0)),0),N($F795))*(1-MEDIAN(0,N(ДисконтТендер),1)))</f>
        <v>1591.19</v>
      </c>
      <c r="T795" s="7">
        <f>IF($A795="","",IF(AND(LEFT($G795,3)="ДОК",$N795&lt;&gt;""),0,IF(AND(LEFT($G795,3)&lt;&gt;"ДОК",$N795&lt;&gt;""),IFERROR(INDEX(МАТЕРИАЛЫ!$H$2:$H$9000,MATCH($N795,МАТЕРИАЛЫ!$L$2:$L$9000,0))*IF(INDEX(МАТЕРИАЛЫ!$I$2:$I$9000,MATCH($N795,МАТЕРИАЛЫ!$L$2:$L$9000,0))="USD",КурсUSD,IF(INDEX(МАТЕРИАЛЫ!$I$2:$I$9000,MATCH($N795,МАТЕРИАЛЫ!$L$2:$L$9000,0))="EUR",КурсEUR,IF(INDEX(МАТЕРИАЛЫ!$I$2:$I$9000,MATCH($N795,МАТЕРИАЛЫ!$L$2:$L$9000,0))="CNY",КурсCNY,1)))*(1+N($H795)/100),0),N($O795))*(1-MEDIAN(0,N(ДисконтТендер),1))))</f>
        <v>0</v>
      </c>
      <c r="U795" t="str">
        <f>IF($L795="да",MAX($U$1:$U794)+1,"")</f>
        <v/>
      </c>
      <c r="V795" t="str">
        <f t="shared" si="87"/>
        <v>Р9</v>
      </c>
      <c r="W795" t="str">
        <f t="shared" si="88"/>
        <v/>
      </c>
      <c r="X795" t="str">
        <f t="shared" si="89"/>
        <v/>
      </c>
      <c r="Y795" s="4" t="str">
        <f>IF($A795="","",IF(AND(LEFT($G795,3)="ДОК",$N795&lt;&gt;""),IFERROR(INDEX(Документация!$G$2:$G$57,MATCH($N795,Документация!$F$2:$F$57,0)),$D795),$D795&amp;IF(AND(LEFT($G795,3)&lt;&gt;"ДОК",$N795&lt;&gt;"")," — "&amp;IFERROR(INDEX(МАТЕРИАЛЫ!$C$2:$C$9000,MATCH($N795,МАТЕРИАЛЫ!$L$2:$L$9000,0)),""),"")))</f>
        <v>Монтаж Светильника аварийного светодиодного iTECH M2 302 M ST, 2W/1LED, IP65, 115 Lm, 3 часа, постоянного действия, ручное тестирование</v>
      </c>
      <c r="Z795" t="str">
        <f t="shared" si="90"/>
        <v>Р9 · Электротехнические работы</v>
      </c>
    </row>
    <row r="796" spans="1:26" x14ac:dyDescent="0.3">
      <c r="A796" t="s">
        <v>1649</v>
      </c>
      <c r="B796" t="s">
        <v>1255</v>
      </c>
      <c r="C796" t="s">
        <v>229</v>
      </c>
      <c r="D796" s="4" t="s">
        <v>1650</v>
      </c>
      <c r="E796" t="s">
        <v>153</v>
      </c>
      <c r="F796" s="5">
        <v>75.8</v>
      </c>
      <c r="G796" t="s">
        <v>1384</v>
      </c>
      <c r="H796">
        <v>5</v>
      </c>
      <c r="I796" t="s">
        <v>53</v>
      </c>
      <c r="L796" s="6"/>
      <c r="M796" s="6"/>
      <c r="N796" s="6"/>
      <c r="O796" s="5"/>
      <c r="P796" s="7" t="str">
        <f t="shared" si="84"/>
        <v/>
      </c>
      <c r="Q796" s="7" t="str">
        <f t="shared" si="85"/>
        <v/>
      </c>
      <c r="R796" s="7" t="str">
        <f t="shared" si="86"/>
        <v/>
      </c>
      <c r="S796" s="7">
        <f>IF($A796="","",IF(AND(LEFT($G796,3)="ДОК",$N796&lt;&gt;""),IFERROR(INDEX(Документация!$E$2:$E$57,MATCH($N796,Документация!$F$2:$F$57,0)),0),N($F796))*(1-MEDIAN(0,N(ДисконтТендер),1)))</f>
        <v>75.8</v>
      </c>
      <c r="T796" s="7">
        <f>IF($A796="","",IF(AND(LEFT($G796,3)="ДОК",$N796&lt;&gt;""),0,IF(AND(LEFT($G796,3)&lt;&gt;"ДОК",$N796&lt;&gt;""),IFERROR(INDEX(МАТЕРИАЛЫ!$H$2:$H$9000,MATCH($N796,МАТЕРИАЛЫ!$L$2:$L$9000,0))*IF(INDEX(МАТЕРИАЛЫ!$I$2:$I$9000,MATCH($N796,МАТЕРИАЛЫ!$L$2:$L$9000,0))="USD",КурсUSD,IF(INDEX(МАТЕРИАЛЫ!$I$2:$I$9000,MATCH($N796,МАТЕРИАЛЫ!$L$2:$L$9000,0))="EUR",КурсEUR,IF(INDEX(МАТЕРИАЛЫ!$I$2:$I$9000,MATCH($N796,МАТЕРИАЛЫ!$L$2:$L$9000,0))="CNY",КурсCNY,1)))*(1+N($H796)/100),0),N($O796))*(1-MEDIAN(0,N(ДисконтТендер),1))))</f>
        <v>0</v>
      </c>
      <c r="U796" t="str">
        <f>IF($L796="да",MAX($U$1:$U795)+1,"")</f>
        <v/>
      </c>
      <c r="V796" t="str">
        <f t="shared" si="87"/>
        <v>Р9</v>
      </c>
      <c r="W796" t="str">
        <f t="shared" si="88"/>
        <v/>
      </c>
      <c r="X796" t="str">
        <f t="shared" si="89"/>
        <v/>
      </c>
      <c r="Y796" s="4" t="str">
        <f>IF($A796="","",IF(AND(LEFT($G796,3)="ДОК",$N796&lt;&gt;""),IFERROR(INDEX(Документация!$G$2:$G$57,MATCH($N796,Документация!$F$2:$F$57,0)),$D796),$D796&amp;IF(AND(LEFT($G796,3)&lt;&gt;"ДОК",$N796&lt;&gt;"")," — "&amp;IFERROR(INDEX(МАТЕРИАЛЫ!$C$2:$C$9000,MATCH($N796,МАТЕРИАЛЫ!$L$2:$L$9000,0)),""),"")))</f>
        <v>Гофрированная ПВХ труба ∅ 20</v>
      </c>
      <c r="Z796" t="str">
        <f t="shared" si="90"/>
        <v>Р9 · Электротехнические работы</v>
      </c>
    </row>
    <row r="797" spans="1:26" ht="43.2" x14ac:dyDescent="0.3">
      <c r="A797" t="s">
        <v>1651</v>
      </c>
      <c r="B797" t="s">
        <v>1255</v>
      </c>
      <c r="C797" t="s">
        <v>229</v>
      </c>
      <c r="D797" s="4" t="s">
        <v>1386</v>
      </c>
      <c r="E797" t="s">
        <v>153</v>
      </c>
      <c r="F797" s="5">
        <v>113.3</v>
      </c>
      <c r="G797" t="s">
        <v>1384</v>
      </c>
      <c r="H797">
        <v>5</v>
      </c>
      <c r="I797" t="s">
        <v>53</v>
      </c>
      <c r="L797" s="6"/>
      <c r="M797" s="6"/>
      <c r="N797" s="6"/>
      <c r="O797" s="5"/>
      <c r="P797" s="7" t="str">
        <f t="shared" si="84"/>
        <v/>
      </c>
      <c r="Q797" s="7" t="str">
        <f t="shared" si="85"/>
        <v/>
      </c>
      <c r="R797" s="7" t="str">
        <f t="shared" si="86"/>
        <v/>
      </c>
      <c r="S797" s="7">
        <f>IF($A797="","",IF(AND(LEFT($G797,3)="ДОК",$N797&lt;&gt;""),IFERROR(INDEX(Документация!$E$2:$E$57,MATCH($N797,Документация!$F$2:$F$57,0)),0),N($F797))*(1-MEDIAN(0,N(ДисконтТендер),1)))</f>
        <v>113.3</v>
      </c>
      <c r="T797" s="7">
        <f>IF($A797="","",IF(AND(LEFT($G797,3)="ДОК",$N797&lt;&gt;""),0,IF(AND(LEFT($G797,3)&lt;&gt;"ДОК",$N797&lt;&gt;""),IFERROR(INDEX(МАТЕРИАЛЫ!$H$2:$H$9000,MATCH($N797,МАТЕРИАЛЫ!$L$2:$L$9000,0))*IF(INDEX(МАТЕРИАЛЫ!$I$2:$I$9000,MATCH($N797,МАТЕРИАЛЫ!$L$2:$L$9000,0))="USD",КурсUSD,IF(INDEX(МАТЕРИАЛЫ!$I$2:$I$9000,MATCH($N797,МАТЕРИАЛЫ!$L$2:$L$9000,0))="EUR",КурсEUR,IF(INDEX(МАТЕРИАЛЫ!$I$2:$I$9000,MATCH($N797,МАТЕРИАЛЫ!$L$2:$L$9000,0))="CNY",КурсCNY,1)))*(1+N($H797)/100),0),N($O797))*(1-MEDIAN(0,N(ДисконтТендер),1))))</f>
        <v>0</v>
      </c>
      <c r="U797" t="str">
        <f>IF($L797="да",MAX($U$1:$U796)+1,"")</f>
        <v/>
      </c>
      <c r="V797" t="str">
        <f t="shared" si="87"/>
        <v>Р9</v>
      </c>
      <c r="W797" t="str">
        <f t="shared" si="88"/>
        <v/>
      </c>
      <c r="X797" t="str">
        <f t="shared" si="89"/>
        <v/>
      </c>
      <c r="Y797" s="4" t="str">
        <f>IF($A797="","",IF(AND(LEFT($G797,3)="ДОК",$N797&lt;&gt;""),IFERROR(INDEX(Документация!$G$2:$G$57,MATCH($N797,Документация!$F$2:$F$57,0)),$D797),$D797&amp;IF(AND(LEFT($G797,3)&lt;&gt;"ДОК",$N797&lt;&gt;"")," — "&amp;IFERROR(INDEX(МАТЕРИАЛЫ!$C$2:$C$9000,MATCH($N797,МАТЕРИАЛЫ!$L$2:$L$9000,0)),""),"")))</f>
        <v>Труба гладкая жесткая ПВХ 20 мм легкая серая (3м) в комплекте с углами, крепежами,переходниками и расходными материалами</v>
      </c>
      <c r="Z797" t="str">
        <f t="shared" si="90"/>
        <v>Р9 · Электротехнические работы</v>
      </c>
    </row>
    <row r="798" spans="1:26" ht="28.8" x14ac:dyDescent="0.3">
      <c r="A798" t="s">
        <v>1652</v>
      </c>
      <c r="B798" t="s">
        <v>1255</v>
      </c>
      <c r="C798" t="s">
        <v>229</v>
      </c>
      <c r="D798" s="4" t="s">
        <v>1653</v>
      </c>
      <c r="E798" t="s">
        <v>153</v>
      </c>
      <c r="F798" s="5">
        <v>469.8</v>
      </c>
      <c r="G798" t="s">
        <v>1397</v>
      </c>
      <c r="H798">
        <v>5</v>
      </c>
      <c r="I798" t="s">
        <v>53</v>
      </c>
      <c r="L798" s="6"/>
      <c r="M798" s="6"/>
      <c r="N798" s="6"/>
      <c r="O798" s="5"/>
      <c r="P798" s="7" t="str">
        <f t="shared" si="84"/>
        <v/>
      </c>
      <c r="Q798" s="7" t="str">
        <f t="shared" si="85"/>
        <v/>
      </c>
      <c r="R798" s="7" t="str">
        <f t="shared" si="86"/>
        <v/>
      </c>
      <c r="S798" s="7">
        <f>IF($A798="","",IF(AND(LEFT($G798,3)="ДОК",$N798&lt;&gt;""),IFERROR(INDEX(Документация!$E$2:$E$57,MATCH($N798,Документация!$F$2:$F$57,0)),0),N($F798))*(1-MEDIAN(0,N(ДисконтТендер),1)))</f>
        <v>469.8</v>
      </c>
      <c r="T798" s="7">
        <f>IF($A798="","",IF(AND(LEFT($G798,3)="ДОК",$N798&lt;&gt;""),0,IF(AND(LEFT($G798,3)&lt;&gt;"ДОК",$N798&lt;&gt;""),IFERROR(INDEX(МАТЕРИАЛЫ!$H$2:$H$9000,MATCH($N798,МАТЕРИАЛЫ!$L$2:$L$9000,0))*IF(INDEX(МАТЕРИАЛЫ!$I$2:$I$9000,MATCH($N798,МАТЕРИАЛЫ!$L$2:$L$9000,0))="USD",КурсUSD,IF(INDEX(МАТЕРИАЛЫ!$I$2:$I$9000,MATCH($N798,МАТЕРИАЛЫ!$L$2:$L$9000,0))="EUR",КурсEUR,IF(INDEX(МАТЕРИАЛЫ!$I$2:$I$9000,MATCH($N798,МАТЕРИАЛЫ!$L$2:$L$9000,0))="CNY",КурсCNY,1)))*(1+N($H798)/100),0),N($O798))*(1-MEDIAN(0,N(ДисконтТендер),1))))</f>
        <v>0</v>
      </c>
      <c r="U798" t="str">
        <f>IF($L798="да",MAX($U$1:$U797)+1,"")</f>
        <v/>
      </c>
      <c r="V798" t="str">
        <f t="shared" si="87"/>
        <v>Р9</v>
      </c>
      <c r="W798" t="str">
        <f t="shared" si="88"/>
        <v/>
      </c>
      <c r="X798" t="str">
        <f t="shared" si="89"/>
        <v/>
      </c>
      <c r="Y798" s="4" t="str">
        <f>IF($A798="","",IF(AND(LEFT($G798,3)="ДОК",$N798&lt;&gt;""),IFERROR(INDEX(Документация!$G$2:$G$57,MATCH($N798,Документация!$F$2:$F$57,0)),$D798),$D798&amp;IF(AND(LEFT($G798,3)&lt;&gt;"ДОК",$N798&lt;&gt;"")," — "&amp;IFERROR(INDEX(МАТЕРИАЛЫ!$C$2:$C$9000,MATCH($N798,МАТЕРИАЛЫ!$L$2:$L$9000,0)),""),"")))</f>
        <v>Кабель-канал DLP 105х50 мм Legrand, включая заглушки, уголки и разделители.</v>
      </c>
      <c r="Z798" t="str">
        <f t="shared" si="90"/>
        <v>Р9 · Электротехнические работы</v>
      </c>
    </row>
    <row r="799" spans="1:26" ht="28.8" x14ac:dyDescent="0.3">
      <c r="A799" t="s">
        <v>1654</v>
      </c>
      <c r="B799" t="s">
        <v>1255</v>
      </c>
      <c r="C799" t="s">
        <v>229</v>
      </c>
      <c r="D799" s="4" t="s">
        <v>1655</v>
      </c>
      <c r="E799" t="s">
        <v>114</v>
      </c>
      <c r="F799" s="5">
        <v>10.45</v>
      </c>
      <c r="H799">
        <v>0</v>
      </c>
      <c r="I799" t="s">
        <v>53</v>
      </c>
      <c r="L799" s="6"/>
      <c r="M799" s="6"/>
      <c r="N799" s="6"/>
      <c r="O799" s="5"/>
      <c r="P799" s="7" t="str">
        <f t="shared" si="84"/>
        <v/>
      </c>
      <c r="Q799" s="7" t="str">
        <f t="shared" si="85"/>
        <v/>
      </c>
      <c r="R799" s="7" t="str">
        <f t="shared" si="86"/>
        <v/>
      </c>
      <c r="S799" s="7">
        <f>IF($A799="","",IF(AND(LEFT($G799,3)="ДОК",$N799&lt;&gt;""),IFERROR(INDEX(Документация!$E$2:$E$57,MATCH($N799,Документация!$F$2:$F$57,0)),0),N($F799))*(1-MEDIAN(0,N(ДисконтТендер),1)))</f>
        <v>10.45</v>
      </c>
      <c r="T799" s="7">
        <f>IF($A799="","",IF(AND(LEFT($G799,3)="ДОК",$N799&lt;&gt;""),0,IF(AND(LEFT($G799,3)&lt;&gt;"ДОК",$N799&lt;&gt;""),IFERROR(INDEX(МАТЕРИАЛЫ!$H$2:$H$9000,MATCH($N799,МАТЕРИАЛЫ!$L$2:$L$9000,0))*IF(INDEX(МАТЕРИАЛЫ!$I$2:$I$9000,MATCH($N799,МАТЕРИАЛЫ!$L$2:$L$9000,0))="USD",КурсUSD,IF(INDEX(МАТЕРИАЛЫ!$I$2:$I$9000,MATCH($N799,МАТЕРИАЛЫ!$L$2:$L$9000,0))="EUR",КурсEUR,IF(INDEX(МАТЕРИАЛЫ!$I$2:$I$9000,MATCH($N799,МАТЕРИАЛЫ!$L$2:$L$9000,0))="CNY",КурсCNY,1)))*(1+N($H799)/100),0),N($O799))*(1-MEDIAN(0,N(ДисконтТендер),1))))</f>
        <v>0</v>
      </c>
      <c r="U799" t="str">
        <f>IF($L799="да",MAX($U$1:$U798)+1,"")</f>
        <v/>
      </c>
      <c r="V799" t="str">
        <f t="shared" si="87"/>
        <v>Р9</v>
      </c>
      <c r="W799" t="str">
        <f t="shared" si="88"/>
        <v/>
      </c>
      <c r="X799" t="str">
        <f t="shared" si="89"/>
        <v/>
      </c>
      <c r="Y799" s="4" t="str">
        <f>IF($A799="","",IF(AND(LEFT($G799,3)="ДОК",$N799&lt;&gt;""),IFERROR(INDEX(Документация!$G$2:$G$57,MATCH($N799,Документация!$F$2:$F$57,0)),$D799),$D799&amp;IF(AND(LEFT($G799,3)&lt;&gt;"ДОК",$N799&lt;&gt;"")," — "&amp;IFERROR(INDEX(МАТЕРИАЛЫ!$C$2:$C$9000,MATCH($N799,МАТЕРИАЛЫ!$L$2:$L$9000,0)),""),"")))</f>
        <v>Зажим 773-302 безвинтовой 6х (0,75-2,5) кв. мм для меди и алюминия (Wago)</v>
      </c>
      <c r="Z799" t="str">
        <f t="shared" si="90"/>
        <v>Р9 · Электротехнические работы</v>
      </c>
    </row>
    <row r="800" spans="1:26" ht="43.2" x14ac:dyDescent="0.3">
      <c r="A800" t="s">
        <v>1656</v>
      </c>
      <c r="B800" t="s">
        <v>1255</v>
      </c>
      <c r="C800" t="s">
        <v>229</v>
      </c>
      <c r="D800" s="4" t="s">
        <v>1657</v>
      </c>
      <c r="E800" t="s">
        <v>153</v>
      </c>
      <c r="F800" s="5">
        <v>126.67</v>
      </c>
      <c r="G800" t="s">
        <v>1424</v>
      </c>
      <c r="H800">
        <v>5</v>
      </c>
      <c r="I800" t="s">
        <v>53</v>
      </c>
      <c r="L800" s="6"/>
      <c r="M800" s="6"/>
      <c r="N800" s="6"/>
      <c r="O800" s="5"/>
      <c r="P800" s="7" t="str">
        <f t="shared" si="84"/>
        <v/>
      </c>
      <c r="Q800" s="7" t="str">
        <f t="shared" si="85"/>
        <v/>
      </c>
      <c r="R800" s="7" t="str">
        <f t="shared" si="86"/>
        <v/>
      </c>
      <c r="S800" s="7">
        <f>IF($A800="","",IF(AND(LEFT($G800,3)="ДОК",$N800&lt;&gt;""),IFERROR(INDEX(Документация!$E$2:$E$57,MATCH($N800,Документация!$F$2:$F$57,0)),0),N($F800))*(1-MEDIAN(0,N(ДисконтТендер),1)))</f>
        <v>126.67</v>
      </c>
      <c r="T800" s="7">
        <f>IF($A800="","",IF(AND(LEFT($G800,3)="ДОК",$N800&lt;&gt;""),0,IF(AND(LEFT($G800,3)&lt;&gt;"ДОК",$N800&lt;&gt;""),IFERROR(INDEX(МАТЕРИАЛЫ!$H$2:$H$9000,MATCH($N800,МАТЕРИАЛЫ!$L$2:$L$9000,0))*IF(INDEX(МАТЕРИАЛЫ!$I$2:$I$9000,MATCH($N800,МАТЕРИАЛЫ!$L$2:$L$9000,0))="USD",КурсUSD,IF(INDEX(МАТЕРИАЛЫ!$I$2:$I$9000,MATCH($N800,МАТЕРИАЛЫ!$L$2:$L$9000,0))="EUR",КурсEUR,IF(INDEX(МАТЕРИАЛЫ!$I$2:$I$9000,MATCH($N800,МАТЕРИАЛЫ!$L$2:$L$9000,0))="CNY",КурсCNY,1)))*(1+N($H800)/100),0),N($O800))*(1-MEDIAN(0,N(ДисконтТендер),1))))</f>
        <v>0</v>
      </c>
      <c r="U800" t="str">
        <f>IF($L800="да",MAX($U$1:$U799)+1,"")</f>
        <v/>
      </c>
      <c r="V800" t="str">
        <f t="shared" si="87"/>
        <v>Р9</v>
      </c>
      <c r="W800" t="str">
        <f t="shared" si="88"/>
        <v/>
      </c>
      <c r="X800" t="str">
        <f t="shared" si="89"/>
        <v/>
      </c>
      <c r="Y800" s="4" t="str">
        <f>IF($A800="","",IF(AND(LEFT($G800,3)="ДОК",$N800&lt;&gt;""),IFERROR(INDEX(Документация!$G$2:$G$57,MATCH($N800,Документация!$F$2:$F$57,0)),$D800),$D800&amp;IF(AND(LEFT($G800,3)&lt;&gt;"ДОК",$N800&lt;&gt;"")," — "&amp;IFERROR(INDEX(МАТЕРИАЛЫ!$C$2:$C$9000,MATCH($N800,МАТЕРИАЛЫ!$L$2:$L$9000,0)),""),"")))</f>
        <v>Провод ПВ1 1х6 (красный/голубой/желтый/зеленый/желто-зеленый)</v>
      </c>
      <c r="Z800" t="str">
        <f t="shared" si="90"/>
        <v>Р9 · Электротехнические работы</v>
      </c>
    </row>
    <row r="801" spans="1:26" ht="43.2" x14ac:dyDescent="0.3">
      <c r="A801" t="s">
        <v>1658</v>
      </c>
      <c r="B801" t="s">
        <v>1255</v>
      </c>
      <c r="C801" t="s">
        <v>229</v>
      </c>
      <c r="D801" s="4" t="s">
        <v>1659</v>
      </c>
      <c r="E801" t="s">
        <v>153</v>
      </c>
      <c r="F801" s="5">
        <v>87.7</v>
      </c>
      <c r="G801" t="s">
        <v>1424</v>
      </c>
      <c r="H801">
        <v>5</v>
      </c>
      <c r="I801" t="s">
        <v>53</v>
      </c>
      <c r="L801" s="6"/>
      <c r="M801" s="6"/>
      <c r="N801" s="6"/>
      <c r="O801" s="5"/>
      <c r="P801" s="7" t="str">
        <f t="shared" si="84"/>
        <v/>
      </c>
      <c r="Q801" s="7" t="str">
        <f t="shared" si="85"/>
        <v/>
      </c>
      <c r="R801" s="7" t="str">
        <f t="shared" si="86"/>
        <v/>
      </c>
      <c r="S801" s="7">
        <f>IF($A801="","",IF(AND(LEFT($G801,3)="ДОК",$N801&lt;&gt;""),IFERROR(INDEX(Документация!$E$2:$E$57,MATCH($N801,Документация!$F$2:$F$57,0)),0),N($F801))*(1-MEDIAN(0,N(ДисконтТендер),1)))</f>
        <v>87.7</v>
      </c>
      <c r="T801" s="7">
        <f>IF($A801="","",IF(AND(LEFT($G801,3)="ДОК",$N801&lt;&gt;""),0,IF(AND(LEFT($G801,3)&lt;&gt;"ДОК",$N801&lt;&gt;""),IFERROR(INDEX(МАТЕРИАЛЫ!$H$2:$H$9000,MATCH($N801,МАТЕРИАЛЫ!$L$2:$L$9000,0))*IF(INDEX(МАТЕРИАЛЫ!$I$2:$I$9000,MATCH($N801,МАТЕРИАЛЫ!$L$2:$L$9000,0))="USD",КурсUSD,IF(INDEX(МАТЕРИАЛЫ!$I$2:$I$9000,MATCH($N801,МАТЕРИАЛЫ!$L$2:$L$9000,0))="EUR",КурсEUR,IF(INDEX(МАТЕРИАЛЫ!$I$2:$I$9000,MATCH($N801,МАТЕРИАЛЫ!$L$2:$L$9000,0))="CNY",КурсCNY,1)))*(1+N($H801)/100),0),N($O801))*(1-MEDIAN(0,N(ДисконтТендер),1))))</f>
        <v>0</v>
      </c>
      <c r="U801" t="str">
        <f>IF($L801="да",MAX($U$1:$U800)+1,"")</f>
        <v/>
      </c>
      <c r="V801" t="str">
        <f t="shared" si="87"/>
        <v>Р9</v>
      </c>
      <c r="W801" t="str">
        <f t="shared" si="88"/>
        <v/>
      </c>
      <c r="X801" t="str">
        <f t="shared" si="89"/>
        <v/>
      </c>
      <c r="Y801" s="4" t="str">
        <f>IF($A801="","",IF(AND(LEFT($G801,3)="ДОК",$N801&lt;&gt;""),IFERROR(INDEX(Документация!$G$2:$G$57,MATCH($N801,Документация!$F$2:$F$57,0)),$D801),$D801&amp;IF(AND(LEFT($G801,3)&lt;&gt;"ДОК",$N801&lt;&gt;"")," — "&amp;IFERROR(INDEX(МАТЕРИАЛЫ!$C$2:$C$9000,MATCH($N801,МАТЕРИАЛЫ!$L$2:$L$9000,0)),""),"")))</f>
        <v>Провод ПВ1 1х4 (красный/голубой/желтый/зеленый/желто-зеленый)</v>
      </c>
      <c r="Z801" t="str">
        <f t="shared" si="90"/>
        <v>Р9 · Электротехнические работы</v>
      </c>
    </row>
    <row r="802" spans="1:26" x14ac:dyDescent="0.3">
      <c r="A802" t="s">
        <v>1660</v>
      </c>
      <c r="B802" t="s">
        <v>1255</v>
      </c>
      <c r="C802" t="s">
        <v>229</v>
      </c>
      <c r="D802" s="4" t="s">
        <v>1409</v>
      </c>
      <c r="E802" t="s">
        <v>114</v>
      </c>
      <c r="F802" s="5">
        <v>679.25</v>
      </c>
      <c r="G802" t="s">
        <v>1410</v>
      </c>
      <c r="H802">
        <v>5</v>
      </c>
      <c r="I802" t="s">
        <v>53</v>
      </c>
      <c r="L802" s="6"/>
      <c r="M802" s="6"/>
      <c r="N802" s="6"/>
      <c r="O802" s="5"/>
      <c r="P802" s="7" t="str">
        <f t="shared" si="84"/>
        <v/>
      </c>
      <c r="Q802" s="7" t="str">
        <f t="shared" si="85"/>
        <v/>
      </c>
      <c r="R802" s="7" t="str">
        <f t="shared" si="86"/>
        <v/>
      </c>
      <c r="S802" s="7">
        <f>IF($A802="","",IF(AND(LEFT($G802,3)="ДОК",$N802&lt;&gt;""),IFERROR(INDEX(Документация!$E$2:$E$57,MATCH($N802,Документация!$F$2:$F$57,0)),0),N($F802))*(1-MEDIAN(0,N(ДисконтТендер),1)))</f>
        <v>679.25</v>
      </c>
      <c r="T802" s="7">
        <f>IF($A802="","",IF(AND(LEFT($G802,3)="ДОК",$N802&lt;&gt;""),0,IF(AND(LEFT($G802,3)&lt;&gt;"ДОК",$N802&lt;&gt;""),IFERROR(INDEX(МАТЕРИАЛЫ!$H$2:$H$9000,MATCH($N802,МАТЕРИАЛЫ!$L$2:$L$9000,0))*IF(INDEX(МАТЕРИАЛЫ!$I$2:$I$9000,MATCH($N802,МАТЕРИАЛЫ!$L$2:$L$9000,0))="USD",КурсUSD,IF(INDEX(МАТЕРИАЛЫ!$I$2:$I$9000,MATCH($N802,МАТЕРИАЛЫ!$L$2:$L$9000,0))="EUR",КурсEUR,IF(INDEX(МАТЕРИАЛЫ!$I$2:$I$9000,MATCH($N802,МАТЕРИАЛЫ!$L$2:$L$9000,0))="CNY",КурсCNY,1)))*(1+N($H802)/100),0),N($O802))*(1-MEDIAN(0,N(ДисконтТендер),1))))</f>
        <v>0</v>
      </c>
      <c r="U802" t="str">
        <f>IF($L802="да",MAX($U$1:$U801)+1,"")</f>
        <v/>
      </c>
      <c r="V802" t="str">
        <f t="shared" si="87"/>
        <v>Р9</v>
      </c>
      <c r="W802" t="str">
        <f t="shared" si="88"/>
        <v/>
      </c>
      <c r="X802" t="str">
        <f t="shared" si="89"/>
        <v/>
      </c>
      <c r="Y802" s="4" t="str">
        <f>IF($A802="","",IF(AND(LEFT($G802,3)="ДОК",$N802&lt;&gt;""),IFERROR(INDEX(Документация!$G$2:$G$57,MATCH($N802,Документация!$F$2:$F$57,0)),$D802),$D802&amp;IF(AND(LEFT($G802,3)&lt;&gt;"ДОК",$N802&lt;&gt;"")," — "&amp;IFERROR(INDEX(МАТЕРИАЛЫ!$C$2:$C$9000,MATCH($N802,МАТЕРИАЛЫ!$L$2:$L$9000,0)),""),"")))</f>
        <v>Установка розетки</v>
      </c>
      <c r="Z802" t="str">
        <f t="shared" si="90"/>
        <v>Р9 · Электротехнические работы</v>
      </c>
    </row>
    <row r="803" spans="1:26" ht="28.8" x14ac:dyDescent="0.3">
      <c r="A803" t="s">
        <v>1661</v>
      </c>
      <c r="B803" t="s">
        <v>1255</v>
      </c>
      <c r="C803" t="s">
        <v>229</v>
      </c>
      <c r="D803" s="4" t="s">
        <v>1662</v>
      </c>
      <c r="E803" t="s">
        <v>114</v>
      </c>
      <c r="F803" s="5">
        <v>698.42</v>
      </c>
      <c r="G803" t="s">
        <v>1414</v>
      </c>
      <c r="H803">
        <v>5</v>
      </c>
      <c r="I803" t="s">
        <v>53</v>
      </c>
      <c r="L803" s="6"/>
      <c r="M803" s="6"/>
      <c r="N803" s="6"/>
      <c r="O803" s="5"/>
      <c r="P803" s="7" t="str">
        <f t="shared" si="84"/>
        <v/>
      </c>
      <c r="Q803" s="7" t="str">
        <f t="shared" si="85"/>
        <v/>
      </c>
      <c r="R803" s="7" t="str">
        <f t="shared" si="86"/>
        <v/>
      </c>
      <c r="S803" s="7">
        <f>IF($A803="","",IF(AND(LEFT($G803,3)="ДОК",$N803&lt;&gt;""),IFERROR(INDEX(Документация!$E$2:$E$57,MATCH($N803,Документация!$F$2:$F$57,0)),0),N($F803))*(1-MEDIAN(0,N(ДисконтТендер),1)))</f>
        <v>698.42</v>
      </c>
      <c r="T803" s="7">
        <f>IF($A803="","",IF(AND(LEFT($G803,3)="ДОК",$N803&lt;&gt;""),0,IF(AND(LEFT($G803,3)&lt;&gt;"ДОК",$N803&lt;&gt;""),IFERROR(INDEX(МАТЕРИАЛЫ!$H$2:$H$9000,MATCH($N803,МАТЕРИАЛЫ!$L$2:$L$9000,0))*IF(INDEX(МАТЕРИАЛЫ!$I$2:$I$9000,MATCH($N803,МАТЕРИАЛЫ!$L$2:$L$9000,0))="USD",КурсUSD,IF(INDEX(МАТЕРИАЛЫ!$I$2:$I$9000,MATCH($N803,МАТЕРИАЛЫ!$L$2:$L$9000,0))="EUR",КурсEUR,IF(INDEX(МАТЕРИАЛЫ!$I$2:$I$9000,MATCH($N803,МАТЕРИАЛЫ!$L$2:$L$9000,0))="CNY",КурсCNY,1)))*(1+N($H803)/100),0),N($O803))*(1-MEDIAN(0,N(ДисконтТендер),1))))</f>
        <v>0</v>
      </c>
      <c r="U803" t="str">
        <f>IF($L803="да",MAX($U$1:$U802)+1,"")</f>
        <v/>
      </c>
      <c r="V803" t="str">
        <f t="shared" si="87"/>
        <v>Р9</v>
      </c>
      <c r="W803" t="str">
        <f t="shared" si="88"/>
        <v/>
      </c>
      <c r="X803" t="str">
        <f t="shared" si="89"/>
        <v/>
      </c>
      <c r="Y803" s="4" t="str">
        <f>IF($A803="","",IF(AND(LEFT($G803,3)="ДОК",$N803&lt;&gt;""),IFERROR(INDEX(Документация!$G$2:$G$57,MATCH($N803,Документация!$F$2:$F$57,0)),$D803),$D803&amp;IF(AND(LEFT($G803,3)&lt;&gt;"ДОК",$N803&lt;&gt;"")," — "&amp;IFERROR(INDEX(МАТЕРИАЛЫ!$C$2:$C$9000,MATCH($N803,МАТЕРИАЛЫ!$L$2:$L$9000,0)),""),"")))</f>
        <v>Установка выключателя с ключом двухпозиционного</v>
      </c>
      <c r="Z803" t="str">
        <f t="shared" si="90"/>
        <v>Р9 · Электротехнические работы</v>
      </c>
    </row>
    <row r="804" spans="1:26" x14ac:dyDescent="0.3">
      <c r="A804" t="s">
        <v>1663</v>
      </c>
      <c r="B804" t="s">
        <v>1255</v>
      </c>
      <c r="C804" t="s">
        <v>229</v>
      </c>
      <c r="D804" s="4" t="s">
        <v>1421</v>
      </c>
      <c r="E804" t="s">
        <v>83</v>
      </c>
      <c r="F804" s="5">
        <v>25099.8</v>
      </c>
      <c r="H804">
        <v>0</v>
      </c>
      <c r="I804" t="s">
        <v>53</v>
      </c>
      <c r="L804" s="6"/>
      <c r="M804" s="6"/>
      <c r="N804" s="6"/>
      <c r="O804" s="5"/>
      <c r="P804" s="7" t="str">
        <f t="shared" si="84"/>
        <v/>
      </c>
      <c r="Q804" s="7" t="str">
        <f t="shared" si="85"/>
        <v/>
      </c>
      <c r="R804" s="7" t="str">
        <f t="shared" si="86"/>
        <v/>
      </c>
      <c r="S804" s="7">
        <f>IF($A804="","",IF(AND(LEFT($G804,3)="ДОК",$N804&lt;&gt;""),IFERROR(INDEX(Документация!$E$2:$E$57,MATCH($N804,Документация!$F$2:$F$57,0)),0),N($F804))*(1-MEDIAN(0,N(ДисконтТендер),1)))</f>
        <v>25099.8</v>
      </c>
      <c r="T804" s="7">
        <f>IF($A804="","",IF(AND(LEFT($G804,3)="ДОК",$N804&lt;&gt;""),0,IF(AND(LEFT($G804,3)&lt;&gt;"ДОК",$N804&lt;&gt;""),IFERROR(INDEX(МАТЕРИАЛЫ!$H$2:$H$9000,MATCH($N804,МАТЕРИАЛЫ!$L$2:$L$9000,0))*IF(INDEX(МАТЕРИАЛЫ!$I$2:$I$9000,MATCH($N804,МАТЕРИАЛЫ!$L$2:$L$9000,0))="USD",КурсUSD,IF(INDEX(МАТЕРИАЛЫ!$I$2:$I$9000,MATCH($N804,МАТЕРИАЛЫ!$L$2:$L$9000,0))="EUR",КурсEUR,IF(INDEX(МАТЕРИАЛЫ!$I$2:$I$9000,MATCH($N804,МАТЕРИАЛЫ!$L$2:$L$9000,0))="CNY",КурсCNY,1)))*(1+N($H804)/100),0),N($O804))*(1-MEDIAN(0,N(ДисконтТендер),1))))</f>
        <v>0</v>
      </c>
      <c r="U804" t="str">
        <f>IF($L804="да",MAX($U$1:$U803)+1,"")</f>
        <v/>
      </c>
      <c r="V804" t="str">
        <f t="shared" si="87"/>
        <v>Р9</v>
      </c>
      <c r="W804" t="str">
        <f t="shared" si="88"/>
        <v/>
      </c>
      <c r="X804" t="str">
        <f t="shared" si="89"/>
        <v/>
      </c>
      <c r="Y804" s="4" t="str">
        <f>IF($A804="","",IF(AND(LEFT($G804,3)="ДОК",$N804&lt;&gt;""),IFERROR(INDEX(Документация!$G$2:$G$57,MATCH($N804,Документация!$F$2:$F$57,0)),$D804),$D804&amp;IF(AND(LEFT($G804,3)&lt;&gt;"ДОК",$N804&lt;&gt;"")," — "&amp;IFERROR(INDEX(МАТЕРИАЛЫ!$C$2:$C$9000,MATCH($N804,МАТЕРИАЛЫ!$L$2:$L$9000,0)),""),"")))</f>
        <v>Пуско-наладочные работы</v>
      </c>
      <c r="Z804" t="str">
        <f t="shared" si="90"/>
        <v>Р9 · Электротехнические работы</v>
      </c>
    </row>
    <row r="805" spans="1:26" x14ac:dyDescent="0.3">
      <c r="A805" t="s">
        <v>1664</v>
      </c>
      <c r="B805" t="s">
        <v>1255</v>
      </c>
      <c r="C805" t="s">
        <v>229</v>
      </c>
      <c r="D805" s="4" t="s">
        <v>1123</v>
      </c>
      <c r="E805" t="s">
        <v>83</v>
      </c>
      <c r="F805" s="5">
        <v>0</v>
      </c>
      <c r="H805">
        <v>0</v>
      </c>
      <c r="I805" t="s">
        <v>53</v>
      </c>
      <c r="L805" s="6"/>
      <c r="M805" s="6"/>
      <c r="N805" s="6"/>
      <c r="O805" s="5"/>
      <c r="P805" s="7" t="str">
        <f t="shared" si="84"/>
        <v/>
      </c>
      <c r="Q805" s="7" t="str">
        <f t="shared" si="85"/>
        <v/>
      </c>
      <c r="R805" s="7" t="str">
        <f t="shared" si="86"/>
        <v/>
      </c>
      <c r="S805" s="7">
        <f>IF($A805="","",IF(AND(LEFT($G805,3)="ДОК",$N805&lt;&gt;""),IFERROR(INDEX(Документация!$E$2:$E$57,MATCH($N805,Документация!$F$2:$F$57,0)),0),N($F805))*(1-MEDIAN(0,N(ДисконтТендер),1)))</f>
        <v>0</v>
      </c>
      <c r="T805" s="7">
        <f>IF($A805="","",IF(AND(LEFT($G805,3)="ДОК",$N805&lt;&gt;""),0,IF(AND(LEFT($G805,3)&lt;&gt;"ДОК",$N805&lt;&gt;""),IFERROR(INDEX(МАТЕРИАЛЫ!$H$2:$H$9000,MATCH($N805,МАТЕРИАЛЫ!$L$2:$L$9000,0))*IF(INDEX(МАТЕРИАЛЫ!$I$2:$I$9000,MATCH($N805,МАТЕРИАЛЫ!$L$2:$L$9000,0))="USD",КурсUSD,IF(INDEX(МАТЕРИАЛЫ!$I$2:$I$9000,MATCH($N805,МАТЕРИАЛЫ!$L$2:$L$9000,0))="EUR",КурсEUR,IF(INDEX(МАТЕРИАЛЫ!$I$2:$I$9000,MATCH($N805,МАТЕРИАЛЫ!$L$2:$L$9000,0))="CNY",КурсCNY,1)))*(1+N($H805)/100),0),N($O805))*(1-MEDIAN(0,N(ДисконтТендер),1))))</f>
        <v>0</v>
      </c>
      <c r="U805" t="str">
        <f>IF($L805="да",MAX($U$1:$U804)+1,"")</f>
        <v/>
      </c>
      <c r="V805" t="str">
        <f t="shared" si="87"/>
        <v>Р9</v>
      </c>
      <c r="W805" t="str">
        <f t="shared" si="88"/>
        <v/>
      </c>
      <c r="X805" t="str">
        <f t="shared" si="89"/>
        <v/>
      </c>
      <c r="Y805" s="4" t="str">
        <f>IF($A805="","",IF(AND(LEFT($G805,3)="ДОК",$N805&lt;&gt;""),IFERROR(INDEX(Документация!$G$2:$G$57,MATCH($N805,Документация!$F$2:$F$57,0)),$D805),$D805&amp;IF(AND(LEFT($G805,3)&lt;&gt;"ДОК",$N805&lt;&gt;"")," — "&amp;IFERROR(INDEX(МАТЕРИАЛЫ!$C$2:$C$9000,MATCH($N805,МАТЕРИАЛЫ!$L$2:$L$9000,0)),""),"")))</f>
        <v>Расходные и крепежные материалы</v>
      </c>
      <c r="Z805" t="str">
        <f t="shared" si="90"/>
        <v>Р9 · Электротехнические работы</v>
      </c>
    </row>
    <row r="806" spans="1:26" x14ac:dyDescent="0.3">
      <c r="A806" t="s">
        <v>1665</v>
      </c>
      <c r="B806" t="s">
        <v>1255</v>
      </c>
      <c r="C806" t="s">
        <v>229</v>
      </c>
      <c r="D806" s="4" t="s">
        <v>1436</v>
      </c>
      <c r="E806" t="s">
        <v>114</v>
      </c>
      <c r="F806" s="5">
        <v>295.19</v>
      </c>
      <c r="H806">
        <v>0</v>
      </c>
      <c r="I806" t="s">
        <v>53</v>
      </c>
      <c r="L806" s="6"/>
      <c r="M806" s="6"/>
      <c r="N806" s="6"/>
      <c r="O806" s="5"/>
      <c r="P806" s="7" t="str">
        <f t="shared" si="84"/>
        <v/>
      </c>
      <c r="Q806" s="7" t="str">
        <f t="shared" si="85"/>
        <v/>
      </c>
      <c r="R806" s="7" t="str">
        <f t="shared" si="86"/>
        <v/>
      </c>
      <c r="S806" s="7">
        <f>IF($A806="","",IF(AND(LEFT($G806,3)="ДОК",$N806&lt;&gt;""),IFERROR(INDEX(Документация!$E$2:$E$57,MATCH($N806,Документация!$F$2:$F$57,0)),0),N($F806))*(1-MEDIAN(0,N(ДисконтТендер),1)))</f>
        <v>295.19</v>
      </c>
      <c r="T806" s="7">
        <f>IF($A806="","",IF(AND(LEFT($G806,3)="ДОК",$N806&lt;&gt;""),0,IF(AND(LEFT($G806,3)&lt;&gt;"ДОК",$N806&lt;&gt;""),IFERROR(INDEX(МАТЕРИАЛЫ!$H$2:$H$9000,MATCH($N806,МАТЕРИАЛЫ!$L$2:$L$9000,0))*IF(INDEX(МАТЕРИАЛЫ!$I$2:$I$9000,MATCH($N806,МАТЕРИАЛЫ!$L$2:$L$9000,0))="USD",КурсUSD,IF(INDEX(МАТЕРИАЛЫ!$I$2:$I$9000,MATCH($N806,МАТЕРИАЛЫ!$L$2:$L$9000,0))="EUR",КурсEUR,IF(INDEX(МАТЕРИАЛЫ!$I$2:$I$9000,MATCH($N806,МАТЕРИАЛЫ!$L$2:$L$9000,0))="CNY",КурсCNY,1)))*(1+N($H806)/100),0),N($O806))*(1-MEDIAN(0,N(ДисконтТендер),1))))</f>
        <v>0</v>
      </c>
      <c r="U806" t="str">
        <f>IF($L806="да",MAX($U$1:$U805)+1,"")</f>
        <v/>
      </c>
      <c r="V806" t="str">
        <f t="shared" si="87"/>
        <v>Р9</v>
      </c>
      <c r="W806" t="str">
        <f t="shared" si="88"/>
        <v/>
      </c>
      <c r="X806" t="str">
        <f t="shared" si="89"/>
        <v/>
      </c>
      <c r="Y806" s="4" t="str">
        <f>IF($A806="","",IF(AND(LEFT($G806,3)="ДОК",$N806&lt;&gt;""),IFERROR(INDEX(Документация!$G$2:$G$57,MATCH($N806,Документация!$F$2:$F$57,0)),$D806),$D806&amp;IF(AND(LEFT($G806,3)&lt;&gt;"ДОК",$N806&lt;&gt;"")," — "&amp;IFERROR(INDEX(МАТЕРИАЛЫ!$C$2:$C$9000,MATCH($N806,МАТЕРИАЛЫ!$L$2:$L$9000,0)),""),"")))</f>
        <v>Распред коробка legrand</v>
      </c>
      <c r="Z806" t="str">
        <f t="shared" si="90"/>
        <v>Р9 · Электротехнические работы</v>
      </c>
    </row>
    <row r="807" spans="1:26" x14ac:dyDescent="0.3">
      <c r="A807" t="s">
        <v>1666</v>
      </c>
      <c r="B807" t="s">
        <v>1255</v>
      </c>
      <c r="C807" t="s">
        <v>229</v>
      </c>
      <c r="D807" s="4" t="s">
        <v>1615</v>
      </c>
      <c r="E807" t="s">
        <v>153</v>
      </c>
      <c r="F807" s="5">
        <v>124.41</v>
      </c>
      <c r="G807" t="s">
        <v>1424</v>
      </c>
      <c r="H807">
        <v>5</v>
      </c>
      <c r="I807" t="s">
        <v>53</v>
      </c>
      <c r="L807" s="6"/>
      <c r="M807" s="6"/>
      <c r="N807" s="6"/>
      <c r="O807" s="5"/>
      <c r="P807" s="7" t="str">
        <f t="shared" si="84"/>
        <v/>
      </c>
      <c r="Q807" s="7" t="str">
        <f t="shared" si="85"/>
        <v/>
      </c>
      <c r="R807" s="7" t="str">
        <f t="shared" si="86"/>
        <v/>
      </c>
      <c r="S807" s="7">
        <f>IF($A807="","",IF(AND(LEFT($G807,3)="ДОК",$N807&lt;&gt;""),IFERROR(INDEX(Документация!$E$2:$E$57,MATCH($N807,Документация!$F$2:$F$57,0)),0),N($F807))*(1-MEDIAN(0,N(ДисконтТендер),1)))</f>
        <v>124.41</v>
      </c>
      <c r="T807" s="7">
        <f>IF($A807="","",IF(AND(LEFT($G807,3)="ДОК",$N807&lt;&gt;""),0,IF(AND(LEFT($G807,3)&lt;&gt;"ДОК",$N807&lt;&gt;""),IFERROR(INDEX(МАТЕРИАЛЫ!$H$2:$H$9000,MATCH($N807,МАТЕРИАЛЫ!$L$2:$L$9000,0))*IF(INDEX(МАТЕРИАЛЫ!$I$2:$I$9000,MATCH($N807,МАТЕРИАЛЫ!$L$2:$L$9000,0))="USD",КурсUSD,IF(INDEX(МАТЕРИАЛЫ!$I$2:$I$9000,MATCH($N807,МАТЕРИАЛЫ!$L$2:$L$9000,0))="EUR",КурсEUR,IF(INDEX(МАТЕРИАЛЫ!$I$2:$I$9000,MATCH($N807,МАТЕРИАЛЫ!$L$2:$L$9000,0))="CNY",КурсCNY,1)))*(1+N($H807)/100),0),N($O807))*(1-MEDIAN(0,N(ДисконтТендер),1))))</f>
        <v>0</v>
      </c>
      <c r="U807" t="str">
        <f>IF($L807="да",MAX($U$1:$U806)+1,"")</f>
        <v/>
      </c>
      <c r="V807" t="str">
        <f t="shared" si="87"/>
        <v>Р9</v>
      </c>
      <c r="W807" t="str">
        <f t="shared" si="88"/>
        <v/>
      </c>
      <c r="X807" t="str">
        <f t="shared" si="89"/>
        <v/>
      </c>
      <c r="Y807" s="4" t="str">
        <f>IF($A807="","",IF(AND(LEFT($G807,3)="ДОК",$N807&lt;&gt;""),IFERROR(INDEX(Документация!$G$2:$G$57,MATCH($N807,Документация!$F$2:$F$57,0)),$D807),$D807&amp;IF(AND(LEFT($G807,3)&lt;&gt;"ДОК",$N807&lt;&gt;"")," — "&amp;IFERROR(INDEX(МАТЕРИАЛЫ!$C$2:$C$9000,MATCH($N807,МАТЕРИАЛЫ!$L$2:$L$9000,0)),""),"")))</f>
        <v>Прокладка кабеля / провода</v>
      </c>
      <c r="Z807" t="str">
        <f t="shared" si="90"/>
        <v>Р9 · Электротехнические работы</v>
      </c>
    </row>
    <row r="808" spans="1:26" x14ac:dyDescent="0.3">
      <c r="A808" t="s">
        <v>1667</v>
      </c>
      <c r="B808" t="s">
        <v>1255</v>
      </c>
      <c r="C808" t="s">
        <v>229</v>
      </c>
      <c r="D808" s="4" t="s">
        <v>1615</v>
      </c>
      <c r="E808" t="s">
        <v>153</v>
      </c>
      <c r="F808" s="5">
        <v>108.58</v>
      </c>
      <c r="G808" t="s">
        <v>1424</v>
      </c>
      <c r="H808">
        <v>5</v>
      </c>
      <c r="I808" t="s">
        <v>53</v>
      </c>
      <c r="L808" s="6"/>
      <c r="M808" s="6"/>
      <c r="N808" s="6"/>
      <c r="O808" s="5"/>
      <c r="P808" s="7" t="str">
        <f t="shared" si="84"/>
        <v/>
      </c>
      <c r="Q808" s="7" t="str">
        <f t="shared" si="85"/>
        <v/>
      </c>
      <c r="R808" s="7" t="str">
        <f t="shared" si="86"/>
        <v/>
      </c>
      <c r="S808" s="7">
        <f>IF($A808="","",IF(AND(LEFT($G808,3)="ДОК",$N808&lt;&gt;""),IFERROR(INDEX(Документация!$E$2:$E$57,MATCH($N808,Документация!$F$2:$F$57,0)),0),N($F808))*(1-MEDIAN(0,N(ДисконтТендер),1)))</f>
        <v>108.58</v>
      </c>
      <c r="T808" s="7">
        <f>IF($A808="","",IF(AND(LEFT($G808,3)="ДОК",$N808&lt;&gt;""),0,IF(AND(LEFT($G808,3)&lt;&gt;"ДОК",$N808&lt;&gt;""),IFERROR(INDEX(МАТЕРИАЛЫ!$H$2:$H$9000,MATCH($N808,МАТЕРИАЛЫ!$L$2:$L$9000,0))*IF(INDEX(МАТЕРИАЛЫ!$I$2:$I$9000,MATCH($N808,МАТЕРИАЛЫ!$L$2:$L$9000,0))="USD",КурсUSD,IF(INDEX(МАТЕРИАЛЫ!$I$2:$I$9000,MATCH($N808,МАТЕРИАЛЫ!$L$2:$L$9000,0))="EUR",КурсEUR,IF(INDEX(МАТЕРИАЛЫ!$I$2:$I$9000,MATCH($N808,МАТЕРИАЛЫ!$L$2:$L$9000,0))="CNY",КурсCNY,1)))*(1+N($H808)/100),0),N($O808))*(1-MEDIAN(0,N(ДисконтТендер),1))))</f>
        <v>0</v>
      </c>
      <c r="U808" t="str">
        <f>IF($L808="да",MAX($U$1:$U807)+1,"")</f>
        <v/>
      </c>
      <c r="V808" t="str">
        <f t="shared" si="87"/>
        <v>Р9</v>
      </c>
      <c r="W808" t="str">
        <f t="shared" si="88"/>
        <v/>
      </c>
      <c r="X808" t="str">
        <f t="shared" si="89"/>
        <v/>
      </c>
      <c r="Y808" s="4" t="str">
        <f>IF($A808="","",IF(AND(LEFT($G808,3)="ДОК",$N808&lt;&gt;""),IFERROR(INDEX(Документация!$G$2:$G$57,MATCH($N808,Документация!$F$2:$F$57,0)),$D808),$D808&amp;IF(AND(LEFT($G808,3)&lt;&gt;"ДОК",$N808&lt;&gt;"")," — "&amp;IFERROR(INDEX(МАТЕРИАЛЫ!$C$2:$C$9000,MATCH($N808,МАТЕРИАЛЫ!$L$2:$L$9000,0)),""),"")))</f>
        <v>Прокладка кабеля / провода</v>
      </c>
      <c r="Z808" t="str">
        <f t="shared" si="90"/>
        <v>Р9 · Электротехнические работы</v>
      </c>
    </row>
    <row r="809" spans="1:26" x14ac:dyDescent="0.3">
      <c r="A809" t="s">
        <v>1668</v>
      </c>
      <c r="B809" t="s">
        <v>1255</v>
      </c>
      <c r="C809" t="s">
        <v>246</v>
      </c>
      <c r="D809" s="4" t="s">
        <v>1669</v>
      </c>
      <c r="E809" t="s">
        <v>153</v>
      </c>
      <c r="F809" s="5">
        <v>51.97</v>
      </c>
      <c r="G809" t="s">
        <v>1670</v>
      </c>
      <c r="H809">
        <v>5</v>
      </c>
      <c r="I809" t="s">
        <v>53</v>
      </c>
      <c r="L809" s="6"/>
      <c r="M809" s="6"/>
      <c r="N809" s="6"/>
      <c r="O809" s="5"/>
      <c r="P809" s="7" t="str">
        <f t="shared" si="84"/>
        <v/>
      </c>
      <c r="Q809" s="7" t="str">
        <f t="shared" si="85"/>
        <v/>
      </c>
      <c r="R809" s="7" t="str">
        <f t="shared" si="86"/>
        <v/>
      </c>
      <c r="S809" s="7">
        <f>IF($A809="","",IF(AND(LEFT($G809,3)="ДОК",$N809&lt;&gt;""),IFERROR(INDEX(Документация!$E$2:$E$57,MATCH($N809,Документация!$F$2:$F$57,0)),0),N($F809))*(1-MEDIAN(0,N(ДисконтТендер),1)))</f>
        <v>51.97</v>
      </c>
      <c r="T809" s="7">
        <f>IF($A809="","",IF(AND(LEFT($G809,3)="ДОК",$N809&lt;&gt;""),0,IF(AND(LEFT($G809,3)&lt;&gt;"ДОК",$N809&lt;&gt;""),IFERROR(INDEX(МАТЕРИАЛЫ!$H$2:$H$9000,MATCH($N809,МАТЕРИАЛЫ!$L$2:$L$9000,0))*IF(INDEX(МАТЕРИАЛЫ!$I$2:$I$9000,MATCH($N809,МАТЕРИАЛЫ!$L$2:$L$9000,0))="USD",КурсUSD,IF(INDEX(МАТЕРИАЛЫ!$I$2:$I$9000,MATCH($N809,МАТЕРИАЛЫ!$L$2:$L$9000,0))="EUR",КурсEUR,IF(INDEX(МАТЕРИАЛЫ!$I$2:$I$9000,MATCH($N809,МАТЕРИАЛЫ!$L$2:$L$9000,0))="CNY",КурсCNY,1)))*(1+N($H809)/100),0),N($O809))*(1-MEDIAN(0,N(ДисконтТендер),1))))</f>
        <v>0</v>
      </c>
      <c r="U809" t="str">
        <f>IF($L809="да",MAX($U$1:$U808)+1,"")</f>
        <v/>
      </c>
      <c r="V809" t="str">
        <f t="shared" si="87"/>
        <v>Р9</v>
      </c>
      <c r="W809" t="str">
        <f t="shared" si="88"/>
        <v/>
      </c>
      <c r="X809" t="str">
        <f t="shared" si="89"/>
        <v/>
      </c>
      <c r="Y809" s="4" t="str">
        <f>IF($A809="","",IF(AND(LEFT($G809,3)="ДОК",$N809&lt;&gt;""),IFERROR(INDEX(Документация!$G$2:$G$57,MATCH($N809,Документация!$F$2:$F$57,0)),$D809),$D809&amp;IF(AND(LEFT($G809,3)&lt;&gt;"ДОК",$N809&lt;&gt;"")," — "&amp;IFERROR(INDEX(МАТЕРИАЛЫ!$C$2:$C$9000,MATCH($N809,МАТЕРИАЛЫ!$L$2:$L$9000,0)),""),"")))</f>
        <v>Полоса 40х5 горячеоцинкованная NC2405 DKC</v>
      </c>
      <c r="Z809" t="str">
        <f t="shared" si="90"/>
        <v>Р9 · Электротехнические работы</v>
      </c>
    </row>
    <row r="810" spans="1:26" x14ac:dyDescent="0.3">
      <c r="A810" t="s">
        <v>1671</v>
      </c>
      <c r="B810" t="s">
        <v>1255</v>
      </c>
      <c r="C810" t="s">
        <v>246</v>
      </c>
      <c r="D810" s="4" t="s">
        <v>1672</v>
      </c>
      <c r="E810" t="s">
        <v>153</v>
      </c>
      <c r="F810" s="5">
        <v>12.29</v>
      </c>
      <c r="G810" t="s">
        <v>1670</v>
      </c>
      <c r="H810">
        <v>5</v>
      </c>
      <c r="I810" t="s">
        <v>53</v>
      </c>
      <c r="L810" s="6"/>
      <c r="M810" s="6"/>
      <c r="N810" s="6"/>
      <c r="O810" s="5"/>
      <c r="P810" s="7" t="str">
        <f t="shared" si="84"/>
        <v/>
      </c>
      <c r="Q810" s="7" t="str">
        <f t="shared" si="85"/>
        <v/>
      </c>
      <c r="R810" s="7" t="str">
        <f t="shared" si="86"/>
        <v/>
      </c>
      <c r="S810" s="7">
        <f>IF($A810="","",IF(AND(LEFT($G810,3)="ДОК",$N810&lt;&gt;""),IFERROR(INDEX(Документация!$E$2:$E$57,MATCH($N810,Документация!$F$2:$F$57,0)),0),N($F810))*(1-MEDIAN(0,N(ДисконтТендер),1)))</f>
        <v>12.29</v>
      </c>
      <c r="T810" s="7">
        <f>IF($A810="","",IF(AND(LEFT($G810,3)="ДОК",$N810&lt;&gt;""),0,IF(AND(LEFT($G810,3)&lt;&gt;"ДОК",$N810&lt;&gt;""),IFERROR(INDEX(МАТЕРИАЛЫ!$H$2:$H$9000,MATCH($N810,МАТЕРИАЛЫ!$L$2:$L$9000,0))*IF(INDEX(МАТЕРИАЛЫ!$I$2:$I$9000,MATCH($N810,МАТЕРИАЛЫ!$L$2:$L$9000,0))="USD",КурсUSD,IF(INDEX(МАТЕРИАЛЫ!$I$2:$I$9000,MATCH($N810,МАТЕРИАЛЫ!$L$2:$L$9000,0))="EUR",КурсEUR,IF(INDEX(МАТЕРИАЛЫ!$I$2:$I$9000,MATCH($N810,МАТЕРИАЛЫ!$L$2:$L$9000,0))="CNY",КурсCNY,1)))*(1+N($H810)/100),0),N($O810))*(1-MEDIAN(0,N(ДисконтТендер),1))))</f>
        <v>0</v>
      </c>
      <c r="U810" t="str">
        <f>IF($L810="да",MAX($U$1:$U809)+1,"")</f>
        <v/>
      </c>
      <c r="V810" t="str">
        <f t="shared" si="87"/>
        <v>Р9</v>
      </c>
      <c r="W810" t="str">
        <f t="shared" si="88"/>
        <v/>
      </c>
      <c r="X810" t="str">
        <f t="shared" si="89"/>
        <v/>
      </c>
      <c r="Y810" s="4" t="str">
        <f>IF($A810="","",IF(AND(LEFT($G810,3)="ДОК",$N810&lt;&gt;""),IFERROR(INDEX(Документация!$G$2:$G$57,MATCH($N810,Документация!$F$2:$F$57,0)),$D810),$D810&amp;IF(AND(LEFT($G810,3)&lt;&gt;"ДОК",$N810&lt;&gt;"")," — "&amp;IFERROR(INDEX(МАТЕРИАЛЫ!$C$2:$C$9000,MATCH($N810,МАТЕРИАЛЫ!$L$2:$L$9000,0)),""),"")))</f>
        <v>Пруток 8 мм горячеоцинкованный NC1008 DKC</v>
      </c>
      <c r="Z810" t="str">
        <f t="shared" si="90"/>
        <v>Р9 · Электротехнические работы</v>
      </c>
    </row>
    <row r="811" spans="1:26" x14ac:dyDescent="0.3">
      <c r="A811" t="s">
        <v>1673</v>
      </c>
      <c r="B811" t="s">
        <v>1255</v>
      </c>
      <c r="C811" t="s">
        <v>246</v>
      </c>
      <c r="D811" s="4" t="s">
        <v>1674</v>
      </c>
      <c r="E811" t="s">
        <v>114</v>
      </c>
      <c r="F811" s="5">
        <v>34.659999999999997</v>
      </c>
      <c r="G811" t="s">
        <v>1670</v>
      </c>
      <c r="H811">
        <v>5</v>
      </c>
      <c r="I811" t="s">
        <v>53</v>
      </c>
      <c r="L811" s="6"/>
      <c r="M811" s="6"/>
      <c r="N811" s="6"/>
      <c r="O811" s="5"/>
      <c r="P811" s="7" t="str">
        <f t="shared" si="84"/>
        <v/>
      </c>
      <c r="Q811" s="7" t="str">
        <f t="shared" si="85"/>
        <v/>
      </c>
      <c r="R811" s="7" t="str">
        <f t="shared" si="86"/>
        <v/>
      </c>
      <c r="S811" s="7">
        <f>IF($A811="","",IF(AND(LEFT($G811,3)="ДОК",$N811&lt;&gt;""),IFERROR(INDEX(Документация!$E$2:$E$57,MATCH($N811,Документация!$F$2:$F$57,0)),0),N($F811))*(1-MEDIAN(0,N(ДисконтТендер),1)))</f>
        <v>34.659999999999997</v>
      </c>
      <c r="T811" s="7">
        <f>IF($A811="","",IF(AND(LEFT($G811,3)="ДОК",$N811&lt;&gt;""),0,IF(AND(LEFT($G811,3)&lt;&gt;"ДОК",$N811&lt;&gt;""),IFERROR(INDEX(МАТЕРИАЛЫ!$H$2:$H$9000,MATCH($N811,МАТЕРИАЛЫ!$L$2:$L$9000,0))*IF(INDEX(МАТЕРИАЛЫ!$I$2:$I$9000,MATCH($N811,МАТЕРИАЛЫ!$L$2:$L$9000,0))="USD",КурсUSD,IF(INDEX(МАТЕРИАЛЫ!$I$2:$I$9000,MATCH($N811,МАТЕРИАЛЫ!$L$2:$L$9000,0))="EUR",КурсEUR,IF(INDEX(МАТЕРИАЛЫ!$I$2:$I$9000,MATCH($N811,МАТЕРИАЛЫ!$L$2:$L$9000,0))="CNY",КурсCNY,1)))*(1+N($H811)/100),0),N($O811))*(1-MEDIAN(0,N(ДисконтТендер),1))))</f>
        <v>0</v>
      </c>
      <c r="U811" t="str">
        <f>IF($L811="да",MAX($U$1:$U810)+1,"")</f>
        <v/>
      </c>
      <c r="V811" t="str">
        <f t="shared" si="87"/>
        <v>Р9</v>
      </c>
      <c r="W811" t="str">
        <f t="shared" si="88"/>
        <v/>
      </c>
      <c r="X811" t="str">
        <f t="shared" si="89"/>
        <v/>
      </c>
      <c r="Y811" s="4" t="str">
        <f>IF($A811="","",IF(AND(LEFT($G811,3)="ДОК",$N811&lt;&gt;""),IFERROR(INDEX(Документация!$G$2:$G$57,MATCH($N811,Документация!$F$2:$F$57,0)),$D811),$D811&amp;IF(AND(LEFT($G811,3)&lt;&gt;"ДОК",$N811&lt;&gt;"")," — "&amp;IFERROR(INDEX(МАТЕРИАЛЫ!$C$2:$C$9000,MATCH($N811,МАТЕРИАЛЫ!$L$2:$L$9000,0)),""),"")))</f>
        <v>Зажим угловой коньковый 100мм ND2202 DKC</v>
      </c>
      <c r="Z811" t="str">
        <f t="shared" si="90"/>
        <v>Р9 · Электротехнические работы</v>
      </c>
    </row>
    <row r="812" spans="1:26" ht="28.8" x14ac:dyDescent="0.3">
      <c r="A812" t="s">
        <v>1675</v>
      </c>
      <c r="B812" t="s">
        <v>1255</v>
      </c>
      <c r="C812" t="s">
        <v>246</v>
      </c>
      <c r="D812" s="4" t="s">
        <v>1676</v>
      </c>
      <c r="E812" t="s">
        <v>114</v>
      </c>
      <c r="F812" s="5">
        <v>24.27</v>
      </c>
      <c r="G812" t="s">
        <v>1670</v>
      </c>
      <c r="H812">
        <v>5</v>
      </c>
      <c r="I812" t="s">
        <v>53</v>
      </c>
      <c r="L812" s="6"/>
      <c r="M812" s="6"/>
      <c r="N812" s="6"/>
      <c r="O812" s="5"/>
      <c r="P812" s="7" t="str">
        <f t="shared" si="84"/>
        <v/>
      </c>
      <c r="Q812" s="7" t="str">
        <f t="shared" si="85"/>
        <v/>
      </c>
      <c r="R812" s="7" t="str">
        <f t="shared" si="86"/>
        <v/>
      </c>
      <c r="S812" s="7">
        <f>IF($A812="","",IF(AND(LEFT($G812,3)="ДОК",$N812&lt;&gt;""),IFERROR(INDEX(Документация!$E$2:$E$57,MATCH($N812,Документация!$F$2:$F$57,0)),0),N($F812))*(1-MEDIAN(0,N(ДисконтТендер),1)))</f>
        <v>24.27</v>
      </c>
      <c r="T812" s="7">
        <f>IF($A812="","",IF(AND(LEFT($G812,3)="ДОК",$N812&lt;&gt;""),0,IF(AND(LEFT($G812,3)&lt;&gt;"ДОК",$N812&lt;&gt;""),IFERROR(INDEX(МАТЕРИАЛЫ!$H$2:$H$9000,MATCH($N812,МАТЕРИАЛЫ!$L$2:$L$9000,0))*IF(INDEX(МАТЕРИАЛЫ!$I$2:$I$9000,MATCH($N812,МАТЕРИАЛЫ!$L$2:$L$9000,0))="USD",КурсUSD,IF(INDEX(МАТЕРИАЛЫ!$I$2:$I$9000,MATCH($N812,МАТЕРИАЛЫ!$L$2:$L$9000,0))="EUR",КурсEUR,IF(INDEX(МАТЕРИАЛЫ!$I$2:$I$9000,MATCH($N812,МАТЕРИАЛЫ!$L$2:$L$9000,0))="CNY",КурсCNY,1)))*(1+N($H812)/100),0),N($O812))*(1-MEDIAN(0,N(ДисконтТендер),1))))</f>
        <v>0</v>
      </c>
      <c r="U812" t="str">
        <f>IF($L812="да",MAX($U$1:$U811)+1,"")</f>
        <v/>
      </c>
      <c r="V812" t="str">
        <f t="shared" si="87"/>
        <v>Р9</v>
      </c>
      <c r="W812" t="str">
        <f t="shared" si="88"/>
        <v/>
      </c>
      <c r="X812" t="str">
        <f t="shared" si="89"/>
        <v/>
      </c>
      <c r="Y812" s="4" t="str">
        <f>IF($A812="","",IF(AND(LEFT($G812,3)="ДОК",$N812&lt;&gt;""),IFERROR(INDEX(Документация!$G$2:$G$57,MATCH($N812,Документация!$F$2:$F$57,0)),$D812),$D812&amp;IF(AND(LEFT($G812,3)&lt;&gt;"ДОК",$N812&lt;&gt;"")," — "&amp;IFERROR(INDEX(МАТЕРИАЛЫ!$C$2:$C$9000,MATCH($N812,МАТЕРИАЛЫ!$L$2:$L$9000,0)),""),"")))</f>
        <v>Держатель металлический для плоской кровли 100мм ND2106 DKC</v>
      </c>
      <c r="Z812" t="str">
        <f t="shared" si="90"/>
        <v>Р9 · Электротехнические работы</v>
      </c>
    </row>
    <row r="813" spans="1:26" x14ac:dyDescent="0.3">
      <c r="A813" t="s">
        <v>1677</v>
      </c>
      <c r="B813" t="s">
        <v>1255</v>
      </c>
      <c r="C813" t="s">
        <v>246</v>
      </c>
      <c r="D813" s="4" t="s">
        <v>1678</v>
      </c>
      <c r="E813" t="s">
        <v>114</v>
      </c>
      <c r="F813" s="5">
        <v>22.45</v>
      </c>
      <c r="G813" t="s">
        <v>1670</v>
      </c>
      <c r="H813">
        <v>5</v>
      </c>
      <c r="I813" t="s">
        <v>53</v>
      </c>
      <c r="L813" s="6"/>
      <c r="M813" s="6"/>
      <c r="N813" s="6"/>
      <c r="O813" s="5"/>
      <c r="P813" s="7" t="str">
        <f t="shared" si="84"/>
        <v/>
      </c>
      <c r="Q813" s="7" t="str">
        <f t="shared" si="85"/>
        <v/>
      </c>
      <c r="R813" s="7" t="str">
        <f t="shared" si="86"/>
        <v/>
      </c>
      <c r="S813" s="7">
        <f>IF($A813="","",IF(AND(LEFT($G813,3)="ДОК",$N813&lt;&gt;""),IFERROR(INDEX(Документация!$E$2:$E$57,MATCH($N813,Документация!$F$2:$F$57,0)),0),N($F813))*(1-MEDIAN(0,N(ДисконтТендер),1)))</f>
        <v>22.45</v>
      </c>
      <c r="T813" s="7">
        <f>IF($A813="","",IF(AND(LEFT($G813,3)="ДОК",$N813&lt;&gt;""),0,IF(AND(LEFT($G813,3)&lt;&gt;"ДОК",$N813&lt;&gt;""),IFERROR(INDEX(МАТЕРИАЛЫ!$H$2:$H$9000,MATCH($N813,МАТЕРИАЛЫ!$L$2:$L$9000,0))*IF(INDEX(МАТЕРИАЛЫ!$I$2:$I$9000,MATCH($N813,МАТЕРИАЛЫ!$L$2:$L$9000,0))="USD",КурсUSD,IF(INDEX(МАТЕРИАЛЫ!$I$2:$I$9000,MATCH($N813,МАТЕРИАЛЫ!$L$2:$L$9000,0))="EUR",КурсEUR,IF(INDEX(МАТЕРИАЛЫ!$I$2:$I$9000,MATCH($N813,МАТЕРИАЛЫ!$L$2:$L$9000,0))="CNY",КурсCNY,1)))*(1+N($H813)/100),0),N($O813))*(1-MEDIAN(0,N(ДисконтТендер),1))))</f>
        <v>0</v>
      </c>
      <c r="U813" t="str">
        <f>IF($L813="да",MAX($U$1:$U812)+1,"")</f>
        <v/>
      </c>
      <c r="V813" t="str">
        <f t="shared" si="87"/>
        <v>Р9</v>
      </c>
      <c r="W813" t="str">
        <f t="shared" si="88"/>
        <v/>
      </c>
      <c r="X813" t="str">
        <f t="shared" si="89"/>
        <v/>
      </c>
      <c r="Y813" s="4" t="str">
        <f>IF($A813="","",IF(AND(LEFT($G813,3)="ДОК",$N813&lt;&gt;""),IFERROR(INDEX(Документация!$G$2:$G$57,MATCH($N813,Документация!$F$2:$F$57,0)),$D813),$D813&amp;IF(AND(LEFT($G813,3)&lt;&gt;"ДОК",$N813&lt;&gt;"")," — "&amp;IFERROR(INDEX(МАТЕРИАЛЫ!$C$2:$C$9000,MATCH($N813,МАТЕРИАЛЫ!$L$2:$L$9000,0)),""),"")))</f>
        <v>Держатель фасадный 100мм ND2307 DKC</v>
      </c>
      <c r="Z813" t="str">
        <f t="shared" si="90"/>
        <v>Р9 · Электротехнические работы</v>
      </c>
    </row>
    <row r="814" spans="1:26" ht="28.8" x14ac:dyDescent="0.3">
      <c r="A814" t="s">
        <v>1679</v>
      </c>
      <c r="B814" t="s">
        <v>1255</v>
      </c>
      <c r="C814" t="s">
        <v>246</v>
      </c>
      <c r="D814" s="4" t="s">
        <v>1680</v>
      </c>
      <c r="E814" t="s">
        <v>114</v>
      </c>
      <c r="F814" s="5">
        <v>474.27</v>
      </c>
      <c r="G814" t="s">
        <v>1670</v>
      </c>
      <c r="H814">
        <v>5</v>
      </c>
      <c r="I814" t="s">
        <v>53</v>
      </c>
      <c r="L814" s="6"/>
      <c r="M814" s="6"/>
      <c r="N814" s="6"/>
      <c r="O814" s="5"/>
      <c r="P814" s="7" t="str">
        <f t="shared" si="84"/>
        <v/>
      </c>
      <c r="Q814" s="7" t="str">
        <f t="shared" si="85"/>
        <v/>
      </c>
      <c r="R814" s="7" t="str">
        <f t="shared" si="86"/>
        <v/>
      </c>
      <c r="S814" s="7">
        <f>IF($A814="","",IF(AND(LEFT($G814,3)="ДОК",$N814&lt;&gt;""),IFERROR(INDEX(Документация!$E$2:$E$57,MATCH($N814,Документация!$F$2:$F$57,0)),0),N($F814))*(1-MEDIAN(0,N(ДисконтТендер),1)))</f>
        <v>474.27</v>
      </c>
      <c r="T814" s="7">
        <f>IF($A814="","",IF(AND(LEFT($G814,3)="ДОК",$N814&lt;&gt;""),0,IF(AND(LEFT($G814,3)&lt;&gt;"ДОК",$N814&lt;&gt;""),IFERROR(INDEX(МАТЕРИАЛЫ!$H$2:$H$9000,MATCH($N814,МАТЕРИАЛЫ!$L$2:$L$9000,0))*IF(INDEX(МАТЕРИАЛЫ!$I$2:$I$9000,MATCH($N814,МАТЕРИАЛЫ!$L$2:$L$9000,0))="USD",КурсUSD,IF(INDEX(МАТЕРИАЛЫ!$I$2:$I$9000,MATCH($N814,МАТЕРИАЛЫ!$L$2:$L$9000,0))="EUR",КурсEUR,IF(INDEX(МАТЕРИАЛЫ!$I$2:$I$9000,MATCH($N814,МАТЕРИАЛЫ!$L$2:$L$9000,0))="CNY",КурсCNY,1)))*(1+N($H814)/100),0),N($O814))*(1-MEDIAN(0,N(ДисконтТендер),1))))</f>
        <v>0</v>
      </c>
      <c r="U814" t="str">
        <f>IF($L814="да",MAX($U$1:$U813)+1,"")</f>
        <v/>
      </c>
      <c r="V814" t="str">
        <f t="shared" si="87"/>
        <v>Р9</v>
      </c>
      <c r="W814" t="str">
        <f t="shared" si="88"/>
        <v/>
      </c>
      <c r="X814" t="str">
        <f t="shared" si="89"/>
        <v/>
      </c>
      <c r="Y814" s="4" t="str">
        <f>IF($A814="","",IF(AND(LEFT($G814,3)="ДОК",$N814&lt;&gt;""),IFERROR(INDEX(Документация!$G$2:$G$57,MATCH($N814,Документация!$F$2:$F$57,0)),$D814),$D814&amp;IF(AND(LEFT($G814,3)&lt;&gt;"ДОК",$N814&lt;&gt;"")," — "&amp;IFERROR(INDEX(МАТЕРИАЛЫ!$C$2:$C$9000,MATCH($N814,МАТЕРИАЛЫ!$L$2:$L$9000,0)),""),"")))</f>
        <v>Заземлитель вертикальный из уголка 50х50х5мм 3м NE5503 DKC</v>
      </c>
      <c r="Z814" t="str">
        <f t="shared" si="90"/>
        <v>Р9 · Электротехнические работы</v>
      </c>
    </row>
    <row r="815" spans="1:26" x14ac:dyDescent="0.3">
      <c r="A815" t="s">
        <v>1681</v>
      </c>
      <c r="B815" t="s">
        <v>1255</v>
      </c>
      <c r="C815" t="s">
        <v>246</v>
      </c>
      <c r="D815" s="4" t="s">
        <v>1682</v>
      </c>
      <c r="E815" t="s">
        <v>114</v>
      </c>
      <c r="F815" s="5">
        <v>14.45</v>
      </c>
      <c r="H815">
        <v>0</v>
      </c>
      <c r="I815" t="s">
        <v>53</v>
      </c>
      <c r="L815" s="6"/>
      <c r="M815" s="6"/>
      <c r="N815" s="6"/>
      <c r="O815" s="5"/>
      <c r="P815" s="7" t="str">
        <f t="shared" si="84"/>
        <v/>
      </c>
      <c r="Q815" s="7" t="str">
        <f t="shared" si="85"/>
        <v/>
      </c>
      <c r="R815" s="7" t="str">
        <f t="shared" si="86"/>
        <v/>
      </c>
      <c r="S815" s="7">
        <f>IF($A815="","",IF(AND(LEFT($G815,3)="ДОК",$N815&lt;&gt;""),IFERROR(INDEX(Документация!$E$2:$E$57,MATCH($N815,Документация!$F$2:$F$57,0)),0),N($F815))*(1-MEDIAN(0,N(ДисконтТендер),1)))</f>
        <v>14.45</v>
      </c>
      <c r="T815" s="7">
        <f>IF($A815="","",IF(AND(LEFT($G815,3)="ДОК",$N815&lt;&gt;""),0,IF(AND(LEFT($G815,3)&lt;&gt;"ДОК",$N815&lt;&gt;""),IFERROR(INDEX(МАТЕРИАЛЫ!$H$2:$H$9000,MATCH($N815,МАТЕРИАЛЫ!$L$2:$L$9000,0))*IF(INDEX(МАТЕРИАЛЫ!$I$2:$I$9000,MATCH($N815,МАТЕРИАЛЫ!$L$2:$L$9000,0))="USD",КурсUSD,IF(INDEX(МАТЕРИАЛЫ!$I$2:$I$9000,MATCH($N815,МАТЕРИАЛЫ!$L$2:$L$9000,0))="EUR",КурсEUR,IF(INDEX(МАТЕРИАЛЫ!$I$2:$I$9000,MATCH($N815,МАТЕРИАЛЫ!$L$2:$L$9000,0))="CNY",КурсCNY,1)))*(1+N($H815)/100),0),N($O815))*(1-MEDIAN(0,N(ДисконтТендер),1))))</f>
        <v>0</v>
      </c>
      <c r="U815" t="str">
        <f>IF($L815="да",MAX($U$1:$U814)+1,"")</f>
        <v/>
      </c>
      <c r="V815" t="str">
        <f t="shared" si="87"/>
        <v>Р9</v>
      </c>
      <c r="W815" t="str">
        <f t="shared" si="88"/>
        <v/>
      </c>
      <c r="X815" t="str">
        <f t="shared" si="89"/>
        <v/>
      </c>
      <c r="Y815" s="4" t="str">
        <f>IF($A815="","",IF(AND(LEFT($G815,3)="ДОК",$N815&lt;&gt;""),IFERROR(INDEX(Документация!$G$2:$G$57,MATCH($N815,Документация!$F$2:$F$57,0)),$D815),$D815&amp;IF(AND(LEFT($G815,3)&lt;&gt;"ДОК",$N815&lt;&gt;"")," — "&amp;IFERROR(INDEX(МАТЕРИАЛЫ!$C$2:$C$9000,MATCH($N815,МАТЕРИАЛЫ!$L$2:$L$9000,0)),""),"")))</f>
        <v>Соединитель универсальный NG3103 DKC</v>
      </c>
      <c r="Z815" t="str">
        <f t="shared" si="90"/>
        <v>Р9 · Электротехнические работы</v>
      </c>
    </row>
    <row r="816" spans="1:26" x14ac:dyDescent="0.3">
      <c r="A816" t="s">
        <v>1683</v>
      </c>
      <c r="B816" t="s">
        <v>1255</v>
      </c>
      <c r="C816" t="s">
        <v>246</v>
      </c>
      <c r="D816" s="4" t="s">
        <v>1684</v>
      </c>
      <c r="E816" t="s">
        <v>114</v>
      </c>
      <c r="F816" s="5">
        <v>17.079999999999998</v>
      </c>
      <c r="G816" t="s">
        <v>1670</v>
      </c>
      <c r="H816">
        <v>5</v>
      </c>
      <c r="I816" t="s">
        <v>53</v>
      </c>
      <c r="L816" s="6"/>
      <c r="M816" s="6"/>
      <c r="N816" s="6"/>
      <c r="O816" s="5"/>
      <c r="P816" s="7" t="str">
        <f t="shared" si="84"/>
        <v/>
      </c>
      <c r="Q816" s="7" t="str">
        <f t="shared" si="85"/>
        <v/>
      </c>
      <c r="R816" s="7" t="str">
        <f t="shared" si="86"/>
        <v/>
      </c>
      <c r="S816" s="7">
        <f>IF($A816="","",IF(AND(LEFT($G816,3)="ДОК",$N816&lt;&gt;""),IFERROR(INDEX(Документация!$E$2:$E$57,MATCH($N816,Документация!$F$2:$F$57,0)),0),N($F816))*(1-MEDIAN(0,N(ДисконтТендер),1)))</f>
        <v>17.079999999999998</v>
      </c>
      <c r="T816" s="7">
        <f>IF($A816="","",IF(AND(LEFT($G816,3)="ДОК",$N816&lt;&gt;""),0,IF(AND(LEFT($G816,3)&lt;&gt;"ДОК",$N816&lt;&gt;""),IFERROR(INDEX(МАТЕРИАЛЫ!$H$2:$H$9000,MATCH($N816,МАТЕРИАЛЫ!$L$2:$L$9000,0))*IF(INDEX(МАТЕРИАЛЫ!$I$2:$I$9000,MATCH($N816,МАТЕРИАЛЫ!$L$2:$L$9000,0))="USD",КурсUSD,IF(INDEX(МАТЕРИАЛЫ!$I$2:$I$9000,MATCH($N816,МАТЕРИАЛЫ!$L$2:$L$9000,0))="EUR",КурсEUR,IF(INDEX(МАТЕРИАЛЫ!$I$2:$I$9000,MATCH($N816,МАТЕРИАЛЫ!$L$2:$L$9000,0))="CNY",КурсCNY,1)))*(1+N($H816)/100),0),N($O816))*(1-MEDIAN(0,N(ДисконтТендер),1))))</f>
        <v>0</v>
      </c>
      <c r="U816" t="str">
        <f>IF($L816="да",MAX($U$1:$U815)+1,"")</f>
        <v/>
      </c>
      <c r="V816" t="str">
        <f t="shared" si="87"/>
        <v>Р9</v>
      </c>
      <c r="W816" t="str">
        <f t="shared" si="88"/>
        <v/>
      </c>
      <c r="X816" t="str">
        <f t="shared" si="89"/>
        <v/>
      </c>
      <c r="Y816" s="4" t="str">
        <f>IF($A816="","",IF(AND(LEFT($G816,3)="ДОК",$N816&lt;&gt;""),IFERROR(INDEX(Документация!$G$2:$G$57,MATCH($N816,Документация!$F$2:$F$57,0)),$D816),$D816&amp;IF(AND(LEFT($G816,3)&lt;&gt;"ДОК",$N816&lt;&gt;"")," — "&amp;IFERROR(INDEX(МАТЕРИАЛЫ!$C$2:$C$9000,MATCH($N816,МАТЕРИАЛЫ!$L$2:$L$9000,0)),""),"")))</f>
        <v>Зажим параллельный D8-10мм NG3108 DKC</v>
      </c>
      <c r="Z816" t="str">
        <f t="shared" si="90"/>
        <v>Р9 · Электротехнические работы</v>
      </c>
    </row>
    <row r="817" spans="1:26" ht="28.8" x14ac:dyDescent="0.3">
      <c r="A817" t="s">
        <v>1685</v>
      </c>
      <c r="B817" t="s">
        <v>1255</v>
      </c>
      <c r="C817" t="s">
        <v>246</v>
      </c>
      <c r="D817" s="4" t="s">
        <v>1686</v>
      </c>
      <c r="E817" t="s">
        <v>114</v>
      </c>
      <c r="F817" s="5">
        <v>27.98</v>
      </c>
      <c r="G817" t="s">
        <v>1670</v>
      </c>
      <c r="H817">
        <v>5</v>
      </c>
      <c r="I817" t="s">
        <v>53</v>
      </c>
      <c r="L817" s="6"/>
      <c r="M817" s="6"/>
      <c r="N817" s="6"/>
      <c r="O817" s="5"/>
      <c r="P817" s="7" t="str">
        <f t="shared" si="84"/>
        <v/>
      </c>
      <c r="Q817" s="7" t="str">
        <f t="shared" si="85"/>
        <v/>
      </c>
      <c r="R817" s="7" t="str">
        <f t="shared" si="86"/>
        <v/>
      </c>
      <c r="S817" s="7">
        <f>IF($A817="","",IF(AND(LEFT($G817,3)="ДОК",$N817&lt;&gt;""),IFERROR(INDEX(Документация!$E$2:$E$57,MATCH($N817,Документация!$F$2:$F$57,0)),0),N($F817))*(1-MEDIAN(0,N(ДисконтТендер),1)))</f>
        <v>27.98</v>
      </c>
      <c r="T817" s="7">
        <f>IF($A817="","",IF(AND(LEFT($G817,3)="ДОК",$N817&lt;&gt;""),0,IF(AND(LEFT($G817,3)&lt;&gt;"ДОК",$N817&lt;&gt;""),IFERROR(INDEX(МАТЕРИАЛЫ!$H$2:$H$9000,MATCH($N817,МАТЕРИАЛЫ!$L$2:$L$9000,0))*IF(INDEX(МАТЕРИАЛЫ!$I$2:$I$9000,MATCH($N817,МАТЕРИАЛЫ!$L$2:$L$9000,0))="USD",КурсUSD,IF(INDEX(МАТЕРИАЛЫ!$I$2:$I$9000,MATCH($N817,МАТЕРИАЛЫ!$L$2:$L$9000,0))="EUR",КурсEUR,IF(INDEX(МАТЕРИАЛЫ!$I$2:$I$9000,MATCH($N817,МАТЕРИАЛЫ!$L$2:$L$9000,0))="CNY",КурсCNY,1)))*(1+N($H817)/100),0),N($O817))*(1-MEDIAN(0,N(ДисконтТендер),1))))</f>
        <v>0</v>
      </c>
      <c r="U817" t="str">
        <f>IF($L817="да",MAX($U$1:$U816)+1,"")</f>
        <v/>
      </c>
      <c r="V817" t="str">
        <f t="shared" si="87"/>
        <v>Р9</v>
      </c>
      <c r="W817" t="str">
        <f t="shared" si="88"/>
        <v/>
      </c>
      <c r="X817" t="str">
        <f t="shared" si="89"/>
        <v/>
      </c>
      <c r="Y817" s="4" t="str">
        <f>IF($A817="","",IF(AND(LEFT($G817,3)="ДОК",$N817&lt;&gt;""),IFERROR(INDEX(Документация!$G$2:$G$57,MATCH($N817,Документация!$F$2:$F$57,0)),$D817),$D817&amp;IF(AND(LEFT($G817,3)&lt;&gt;"ДОК",$N817&lt;&gt;"")," — "&amp;IFERROR(INDEX(МАТЕРИАЛЫ!$C$2:$C$9000,MATCH($N817,МАТЕРИАЛЫ!$L$2:$L$9000,0)),""),"")))</f>
        <v>Держатель прутка на водостоке с болтом ND2308 DKC</v>
      </c>
      <c r="Z817" t="str">
        <f t="shared" si="90"/>
        <v>Р9 · Электротехнические работы</v>
      </c>
    </row>
    <row r="818" spans="1:26" ht="28.8" x14ac:dyDescent="0.3">
      <c r="A818" t="s">
        <v>1687</v>
      </c>
      <c r="B818" t="s">
        <v>1255</v>
      </c>
      <c r="C818" t="s">
        <v>246</v>
      </c>
      <c r="D818" s="4" t="s">
        <v>1688</v>
      </c>
      <c r="E818" t="s">
        <v>114</v>
      </c>
      <c r="F818" s="5">
        <v>48.99</v>
      </c>
      <c r="H818">
        <v>0</v>
      </c>
      <c r="I818" t="s">
        <v>53</v>
      </c>
      <c r="L818" s="6"/>
      <c r="M818" s="6"/>
      <c r="N818" s="6"/>
      <c r="O818" s="5"/>
      <c r="P818" s="7" t="str">
        <f t="shared" si="84"/>
        <v/>
      </c>
      <c r="Q818" s="7" t="str">
        <f t="shared" si="85"/>
        <v/>
      </c>
      <c r="R818" s="7" t="str">
        <f t="shared" si="86"/>
        <v/>
      </c>
      <c r="S818" s="7">
        <f>IF($A818="","",IF(AND(LEFT($G818,3)="ДОК",$N818&lt;&gt;""),IFERROR(INDEX(Документация!$E$2:$E$57,MATCH($N818,Документация!$F$2:$F$57,0)),0),N($F818))*(1-MEDIAN(0,N(ДисконтТендер),1)))</f>
        <v>48.99</v>
      </c>
      <c r="T818" s="7">
        <f>IF($A818="","",IF(AND(LEFT($G818,3)="ДОК",$N818&lt;&gt;""),0,IF(AND(LEFT($G818,3)&lt;&gt;"ДОК",$N818&lt;&gt;""),IFERROR(INDEX(МАТЕРИАЛЫ!$H$2:$H$9000,MATCH($N818,МАТЕРИАЛЫ!$L$2:$L$9000,0))*IF(INDEX(МАТЕРИАЛЫ!$I$2:$I$9000,MATCH($N818,МАТЕРИАЛЫ!$L$2:$L$9000,0))="USD",КурсUSD,IF(INDEX(МАТЕРИАЛЫ!$I$2:$I$9000,MATCH($N818,МАТЕРИАЛЫ!$L$2:$L$9000,0))="EUR",КурсEUR,IF(INDEX(МАТЕРИАЛЫ!$I$2:$I$9000,MATCH($N818,МАТЕРИАЛЫ!$L$2:$L$9000,0))="CNY",КурсCNY,1)))*(1+N($H818)/100),0),N($O818))*(1-MEDIAN(0,N(ДисконтТендер),1))))</f>
        <v>0</v>
      </c>
      <c r="U818" t="str">
        <f>IF($L818="да",MAX($U$1:$U817)+1,"")</f>
        <v/>
      </c>
      <c r="V818" t="str">
        <f t="shared" si="87"/>
        <v>Р9</v>
      </c>
      <c r="W818" t="str">
        <f t="shared" si="88"/>
        <v/>
      </c>
      <c r="X818" t="str">
        <f t="shared" si="89"/>
        <v/>
      </c>
      <c r="Y818" s="4" t="str">
        <f>IF($A818="","",IF(AND(LEFT($G818,3)="ДОК",$N818&lt;&gt;""),IFERROR(INDEX(Документация!$G$2:$G$57,MATCH($N818,Документация!$F$2:$F$57,0)),$D818),$D818&amp;IF(AND(LEFT($G818,3)&lt;&gt;"ДОК",$N818&lt;&gt;"")," — "&amp;IFERROR(INDEX(МАТЕРИАЛЫ!$C$2:$C$9000,MATCH($N818,МАТЕРИАЛЫ!$L$2:$L$9000,0)),""),"")))</f>
        <v>Соединитель пруток - полоса, 80х80 мм NG3101 DKC</v>
      </c>
      <c r="Z818" t="str">
        <f t="shared" si="90"/>
        <v>Р9 · Электротехнические работы</v>
      </c>
    </row>
    <row r="819" spans="1:26" x14ac:dyDescent="0.3">
      <c r="A819" t="s">
        <v>1689</v>
      </c>
      <c r="B819" t="s">
        <v>1255</v>
      </c>
      <c r="C819" t="s">
        <v>246</v>
      </c>
      <c r="D819" s="4" t="s">
        <v>1690</v>
      </c>
      <c r="E819" t="s">
        <v>114</v>
      </c>
      <c r="F819" s="5">
        <v>48.51</v>
      </c>
      <c r="H819">
        <v>0</v>
      </c>
      <c r="I819" t="s">
        <v>53</v>
      </c>
      <c r="L819" s="6"/>
      <c r="M819" s="6"/>
      <c r="N819" s="6"/>
      <c r="O819" s="5"/>
      <c r="P819" s="7" t="str">
        <f t="shared" si="84"/>
        <v/>
      </c>
      <c r="Q819" s="7" t="str">
        <f t="shared" si="85"/>
        <v/>
      </c>
      <c r="R819" s="7" t="str">
        <f t="shared" si="86"/>
        <v/>
      </c>
      <c r="S819" s="7">
        <f>IF($A819="","",IF(AND(LEFT($G819,3)="ДОК",$N819&lt;&gt;""),IFERROR(INDEX(Документация!$E$2:$E$57,MATCH($N819,Документация!$F$2:$F$57,0)),0),N($F819))*(1-MEDIAN(0,N(ДисконтТендер),1)))</f>
        <v>48.51</v>
      </c>
      <c r="T819" s="7">
        <f>IF($A819="","",IF(AND(LEFT($G819,3)="ДОК",$N819&lt;&gt;""),0,IF(AND(LEFT($G819,3)&lt;&gt;"ДОК",$N819&lt;&gt;""),IFERROR(INDEX(МАТЕРИАЛЫ!$H$2:$H$9000,MATCH($N819,МАТЕРИАЛЫ!$L$2:$L$9000,0))*IF(INDEX(МАТЕРИАЛЫ!$I$2:$I$9000,MATCH($N819,МАТЕРИАЛЫ!$L$2:$L$9000,0))="USD",КурсUSD,IF(INDEX(МАТЕРИАЛЫ!$I$2:$I$9000,MATCH($N819,МАТЕРИАЛЫ!$L$2:$L$9000,0))="EUR",КурсEUR,IF(INDEX(МАТЕРИАЛЫ!$I$2:$I$9000,MATCH($N819,МАТЕРИАЛЫ!$L$2:$L$9000,0))="CNY",КурсCNY,1)))*(1+N($H819)/100),0),N($O819))*(1-MEDIAN(0,N(ДисконтТендер),1))))</f>
        <v>0</v>
      </c>
      <c r="U819" t="str">
        <f>IF($L819="да",MAX($U$1:$U818)+1,"")</f>
        <v/>
      </c>
      <c r="V819" t="str">
        <f t="shared" si="87"/>
        <v>Р9</v>
      </c>
      <c r="W819" t="str">
        <f t="shared" si="88"/>
        <v/>
      </c>
      <c r="X819" t="str">
        <f t="shared" si="89"/>
        <v/>
      </c>
      <c r="Y819" s="4" t="str">
        <f>IF($A819="","",IF(AND(LEFT($G819,3)="ДОК",$N819&lt;&gt;""),IFERROR(INDEX(Документация!$G$2:$G$57,MATCH($N819,Документация!$F$2:$F$57,0)),$D819),$D819&amp;IF(AND(LEFT($G819,3)&lt;&gt;"ДОК",$N819&lt;&gt;"")," — "&amp;IFERROR(INDEX(МАТЕРИАЛЫ!$C$2:$C$9000,MATCH($N819,МАТЕРИАЛЫ!$L$2:$L$9000,0)),""),"")))</f>
        <v>Скоба-держатель полосы с болтом ND2312 DKC</v>
      </c>
      <c r="Z819" t="str">
        <f t="shared" si="90"/>
        <v>Р9 · Электротехнические работы</v>
      </c>
    </row>
    <row r="820" spans="1:26" ht="28.8" x14ac:dyDescent="0.3">
      <c r="A820" t="s">
        <v>1691</v>
      </c>
      <c r="B820" t="s">
        <v>1255</v>
      </c>
      <c r="C820" t="s">
        <v>246</v>
      </c>
      <c r="D820" s="4" t="s">
        <v>1692</v>
      </c>
      <c r="E820" t="s">
        <v>114</v>
      </c>
      <c r="F820" s="5">
        <v>35.299999999999997</v>
      </c>
      <c r="G820" t="s">
        <v>1670</v>
      </c>
      <c r="H820">
        <v>5</v>
      </c>
      <c r="I820" t="s">
        <v>53</v>
      </c>
      <c r="L820" s="6"/>
      <c r="M820" s="6"/>
      <c r="N820" s="6"/>
      <c r="O820" s="5"/>
      <c r="P820" s="7" t="str">
        <f t="shared" si="84"/>
        <v/>
      </c>
      <c r="Q820" s="7" t="str">
        <f t="shared" si="85"/>
        <v/>
      </c>
      <c r="R820" s="7" t="str">
        <f t="shared" si="86"/>
        <v/>
      </c>
      <c r="S820" s="7">
        <f>IF($A820="","",IF(AND(LEFT($G820,3)="ДОК",$N820&lt;&gt;""),IFERROR(INDEX(Документация!$E$2:$E$57,MATCH($N820,Документация!$F$2:$F$57,0)),0),N($F820))*(1-MEDIAN(0,N(ДисконтТендер),1)))</f>
        <v>35.299999999999997</v>
      </c>
      <c r="T820" s="7">
        <f>IF($A820="","",IF(AND(LEFT($G820,3)="ДОК",$N820&lt;&gt;""),0,IF(AND(LEFT($G820,3)&lt;&gt;"ДОК",$N820&lt;&gt;""),IFERROR(INDEX(МАТЕРИАЛЫ!$H$2:$H$9000,MATCH($N820,МАТЕРИАЛЫ!$L$2:$L$9000,0))*IF(INDEX(МАТЕРИАЛЫ!$I$2:$I$9000,MATCH($N820,МАТЕРИАЛЫ!$L$2:$L$9000,0))="USD",КурсUSD,IF(INDEX(МАТЕРИАЛЫ!$I$2:$I$9000,MATCH($N820,МАТЕРИАЛЫ!$L$2:$L$9000,0))="EUR",КурсEUR,IF(INDEX(МАТЕРИАЛЫ!$I$2:$I$9000,MATCH($N820,МАТЕРИАЛЫ!$L$2:$L$9000,0))="CNY",КурсCNY,1)))*(1+N($H820)/100),0),N($O820))*(1-MEDIAN(0,N(ДисконтТендер),1))))</f>
        <v>0</v>
      </c>
      <c r="U820" t="str">
        <f>IF($L820="да",MAX($U$1:$U819)+1,"")</f>
        <v/>
      </c>
      <c r="V820" t="str">
        <f t="shared" si="87"/>
        <v>Р9</v>
      </c>
      <c r="W820" t="str">
        <f t="shared" si="88"/>
        <v/>
      </c>
      <c r="X820" t="str">
        <f t="shared" si="89"/>
        <v/>
      </c>
      <c r="Y820" s="4" t="str">
        <f>IF($A820="","",IF(AND(LEFT($G820,3)="ДОК",$N820&lt;&gt;""),IFERROR(INDEX(Документация!$G$2:$G$57,MATCH($N820,Документация!$F$2:$F$57,0)),$D820),$D820&amp;IF(AND(LEFT($G820,3)&lt;&gt;"ДОК",$N820&lt;&gt;"")," — "&amp;IFERROR(INDEX(МАТЕРИАЛЫ!$C$2:$C$9000,MATCH($N820,МАТЕРИАЛЫ!$L$2:$L$9000,0)),""),"")))</f>
        <v>Коробка уравнивания потенциалов 85х85х40 КУП2603-И HEGEL</v>
      </c>
      <c r="Z820" t="str">
        <f t="shared" si="90"/>
        <v>Р9 · Электротехнические работы</v>
      </c>
    </row>
    <row r="821" spans="1:26" ht="57.6" x14ac:dyDescent="0.3">
      <c r="A821" t="s">
        <v>1693</v>
      </c>
      <c r="B821" t="s">
        <v>1694</v>
      </c>
      <c r="C821" t="s">
        <v>50</v>
      </c>
      <c r="D821" s="4" t="s">
        <v>1695</v>
      </c>
      <c r="E821" t="s">
        <v>83</v>
      </c>
      <c r="F821" s="5">
        <v>217152</v>
      </c>
      <c r="H821">
        <v>0</v>
      </c>
      <c r="I821" t="s">
        <v>53</v>
      </c>
      <c r="L821" s="6"/>
      <c r="M821" s="6"/>
      <c r="N821" s="6"/>
      <c r="O821" s="5"/>
      <c r="P821" s="7" t="str">
        <f t="shared" si="84"/>
        <v/>
      </c>
      <c r="Q821" s="7" t="str">
        <f t="shared" si="85"/>
        <v/>
      </c>
      <c r="R821" s="7" t="str">
        <f t="shared" si="86"/>
        <v/>
      </c>
      <c r="S821" s="7">
        <f>IF($A821="","",IF(AND(LEFT($G821,3)="ДОК",$N821&lt;&gt;""),IFERROR(INDEX(Документация!$E$2:$E$57,MATCH($N821,Документация!$F$2:$F$57,0)),0),N($F821))*(1-MEDIAN(0,N(ДисконтТендер),1)))</f>
        <v>217152</v>
      </c>
      <c r="T821" s="7">
        <f>IF($A821="","",IF(AND(LEFT($G821,3)="ДОК",$N821&lt;&gt;""),0,IF(AND(LEFT($G821,3)&lt;&gt;"ДОК",$N821&lt;&gt;""),IFERROR(INDEX(МАТЕРИАЛЫ!$H$2:$H$9000,MATCH($N821,МАТЕРИАЛЫ!$L$2:$L$9000,0))*IF(INDEX(МАТЕРИАЛЫ!$I$2:$I$9000,MATCH($N821,МАТЕРИАЛЫ!$L$2:$L$9000,0))="USD",КурсUSD,IF(INDEX(МАТЕРИАЛЫ!$I$2:$I$9000,MATCH($N821,МАТЕРИАЛЫ!$L$2:$L$9000,0))="EUR",КурсEUR,IF(INDEX(МАТЕРИАЛЫ!$I$2:$I$9000,MATCH($N821,МАТЕРИАЛЫ!$L$2:$L$9000,0))="CNY",КурсCNY,1)))*(1+N($H821)/100),0),N($O821))*(1-MEDIAN(0,N(ДисконтТендер),1))))</f>
        <v>0</v>
      </c>
      <c r="U821" t="str">
        <f>IF($L821="да",MAX($U$1:$U820)+1,"")</f>
        <v/>
      </c>
      <c r="V821" t="str">
        <f t="shared" si="87"/>
        <v>Р10</v>
      </c>
      <c r="W821" t="str">
        <f t="shared" si="88"/>
        <v/>
      </c>
      <c r="X821" t="str">
        <f t="shared" si="89"/>
        <v/>
      </c>
      <c r="Y821" s="4" t="str">
        <f>IF($A821="","",IF(AND(LEFT($G821,3)="ДОК",$N821&lt;&gt;""),IFERROR(INDEX(Документация!$G$2:$G$57,MATCH($N821,Документация!$F$2:$F$57,0)),$D821),$D821&amp;IF(AND(LEFT($G821,3)&lt;&gt;"ДОК",$N821&lt;&gt;"")," — "&amp;IFERROR(INDEX(МАТЕРИАЛЫ!$C$2:$C$9000,MATCH($N821,МАТЕРИАЛЫ!$L$2:$L$9000,0)),""),"")))</f>
        <v>Проектирование подъемной платформы для МГН, проведение полного технического освидетельствования, постановка на учет в органе Ростехнадзора</v>
      </c>
      <c r="Z821" t="str">
        <f t="shared" si="90"/>
        <v>Р10 · Адаптация для МГН</v>
      </c>
    </row>
    <row r="822" spans="1:26" ht="43.2" x14ac:dyDescent="0.3">
      <c r="A822" t="s">
        <v>1696</v>
      </c>
      <c r="B822" t="s">
        <v>1694</v>
      </c>
      <c r="C822" t="s">
        <v>50</v>
      </c>
      <c r="D822" s="4" t="s">
        <v>1697</v>
      </c>
      <c r="E822" t="s">
        <v>83</v>
      </c>
      <c r="F822" s="5">
        <v>162864</v>
      </c>
      <c r="H822">
        <v>0</v>
      </c>
      <c r="I822" t="s">
        <v>53</v>
      </c>
      <c r="L822" s="6"/>
      <c r="M822" s="6"/>
      <c r="N822" s="6"/>
      <c r="O822" s="5"/>
      <c r="P822" s="7" t="str">
        <f t="shared" si="84"/>
        <v/>
      </c>
      <c r="Q822" s="7" t="str">
        <f t="shared" si="85"/>
        <v/>
      </c>
      <c r="R822" s="7" t="str">
        <f t="shared" si="86"/>
        <v/>
      </c>
      <c r="S822" s="7">
        <f>IF($A822="","",IF(AND(LEFT($G822,3)="ДОК",$N822&lt;&gt;""),IFERROR(INDEX(Документация!$E$2:$E$57,MATCH($N822,Документация!$F$2:$F$57,0)),0),N($F822))*(1-MEDIAN(0,N(ДисконтТендер),1)))</f>
        <v>162864</v>
      </c>
      <c r="T822" s="7">
        <f>IF($A822="","",IF(AND(LEFT($G822,3)="ДОК",$N822&lt;&gt;""),0,IF(AND(LEFT($G822,3)&lt;&gt;"ДОК",$N822&lt;&gt;""),IFERROR(INDEX(МАТЕРИАЛЫ!$H$2:$H$9000,MATCH($N822,МАТЕРИАЛЫ!$L$2:$L$9000,0))*IF(INDEX(МАТЕРИАЛЫ!$I$2:$I$9000,MATCH($N822,МАТЕРИАЛЫ!$L$2:$L$9000,0))="USD",КурсUSD,IF(INDEX(МАТЕРИАЛЫ!$I$2:$I$9000,MATCH($N822,МАТЕРИАЛЫ!$L$2:$L$9000,0))="EUR",КурсEUR,IF(INDEX(МАТЕРИАЛЫ!$I$2:$I$9000,MATCH($N822,МАТЕРИАЛЫ!$L$2:$L$9000,0))="CNY",КурсCNY,1)))*(1+N($H822)/100),0),N($O822))*(1-MEDIAN(0,N(ДисконтТендер),1))))</f>
        <v>0</v>
      </c>
      <c r="U822" t="str">
        <f>IF($L822="да",MAX($U$1:$U821)+1,"")</f>
        <v/>
      </c>
      <c r="V822" t="str">
        <f t="shared" si="87"/>
        <v>Р10</v>
      </c>
      <c r="W822" t="str">
        <f t="shared" si="88"/>
        <v/>
      </c>
      <c r="X822" t="str">
        <f t="shared" si="89"/>
        <v/>
      </c>
      <c r="Y822" s="4" t="str">
        <f>IF($A822="","",IF(AND(LEFT($G822,3)="ДОК",$N822&lt;&gt;""),IFERROR(INDEX(Документация!$G$2:$G$57,MATCH($N822,Документация!$F$2:$F$57,0)),$D822),$D822&amp;IF(AND(LEFT($G822,3)&lt;&gt;"ДОК",$N822&lt;&gt;"")," — "&amp;IFERROR(INDEX(МАТЕРИАЛЫ!$C$2:$C$9000,MATCH($N822,МАТЕРИАЛЫ!$L$2:$L$9000,0)),""),"")))</f>
        <v>Установка подъемной платформы для МГН с наклонным перемещением БК 350 (Брянск, Россия).</v>
      </c>
      <c r="Z822" t="str">
        <f t="shared" si="90"/>
        <v>Р10 · Адаптация для МГН</v>
      </c>
    </row>
    <row r="823" spans="1:26" x14ac:dyDescent="0.3">
      <c r="A823" t="s">
        <v>1698</v>
      </c>
      <c r="B823" t="s">
        <v>1694</v>
      </c>
      <c r="C823" t="s">
        <v>50</v>
      </c>
      <c r="D823" s="4" t="s">
        <v>1699</v>
      </c>
      <c r="E823" t="s">
        <v>83</v>
      </c>
      <c r="F823" s="5">
        <v>678.6</v>
      </c>
      <c r="G823" t="s">
        <v>1700</v>
      </c>
      <c r="H823">
        <v>5</v>
      </c>
      <c r="I823" t="s">
        <v>53</v>
      </c>
      <c r="L823" s="6"/>
      <c r="M823" s="6"/>
      <c r="N823" s="6"/>
      <c r="O823" s="5"/>
      <c r="P823" s="7" t="str">
        <f t="shared" si="84"/>
        <v/>
      </c>
      <c r="Q823" s="7" t="str">
        <f t="shared" si="85"/>
        <v/>
      </c>
      <c r="R823" s="7" t="str">
        <f t="shared" si="86"/>
        <v/>
      </c>
      <c r="S823" s="7">
        <f>IF($A823="","",IF(AND(LEFT($G823,3)="ДОК",$N823&lt;&gt;""),IFERROR(INDEX(Документация!$E$2:$E$57,MATCH($N823,Документация!$F$2:$F$57,0)),0),N($F823))*(1-MEDIAN(0,N(ДисконтТендер),1)))</f>
        <v>678.6</v>
      </c>
      <c r="T823" s="7">
        <f>IF($A823="","",IF(AND(LEFT($G823,3)="ДОК",$N823&lt;&gt;""),0,IF(AND(LEFT($G823,3)&lt;&gt;"ДОК",$N823&lt;&gt;""),IFERROR(INDEX(МАТЕРИАЛЫ!$H$2:$H$9000,MATCH($N823,МАТЕРИАЛЫ!$L$2:$L$9000,0))*IF(INDEX(МАТЕРИАЛЫ!$I$2:$I$9000,MATCH($N823,МАТЕРИАЛЫ!$L$2:$L$9000,0))="USD",КурсUSD,IF(INDEX(МАТЕРИАЛЫ!$I$2:$I$9000,MATCH($N823,МАТЕРИАЛЫ!$L$2:$L$9000,0))="EUR",КурсEUR,IF(INDEX(МАТЕРИАЛЫ!$I$2:$I$9000,MATCH($N823,МАТЕРИАЛЫ!$L$2:$L$9000,0))="CNY",КурсCNY,1)))*(1+N($H823)/100),0),N($O823))*(1-MEDIAN(0,N(ДисконтТендер),1))))</f>
        <v>0</v>
      </c>
      <c r="U823" t="str">
        <f>IF($L823="да",MAX($U$1:$U822)+1,"")</f>
        <v/>
      </c>
      <c r="V823" t="str">
        <f t="shared" si="87"/>
        <v>Р10</v>
      </c>
      <c r="W823" t="str">
        <f t="shared" si="88"/>
        <v/>
      </c>
      <c r="X823" t="str">
        <f t="shared" si="89"/>
        <v/>
      </c>
      <c r="Y823" s="4" t="str">
        <f>IF($A823="","",IF(AND(LEFT($G823,3)="ДОК",$N823&lt;&gt;""),IFERROR(INDEX(Документация!$G$2:$G$57,MATCH($N823,Документация!$F$2:$F$57,0)),$D823),$D823&amp;IF(AND(LEFT($G823,3)&lt;&gt;"ДОК",$N823&lt;&gt;"")," — "&amp;IFERROR(INDEX(МАТЕРИАЛЫ!$C$2:$C$9000,MATCH($N823,МАТЕРИАЛЫ!$L$2:$L$9000,0)),""),"")))</f>
        <v>Монтаж элемента адаптации для МГН</v>
      </c>
      <c r="Z823" t="str">
        <f t="shared" si="90"/>
        <v>Р10 · Адаптация для МГН</v>
      </c>
    </row>
    <row r="824" spans="1:26" ht="57.6" x14ac:dyDescent="0.3">
      <c r="A824" t="s">
        <v>1701</v>
      </c>
      <c r="B824" t="s">
        <v>1694</v>
      </c>
      <c r="C824" t="s">
        <v>50</v>
      </c>
      <c r="D824" s="4" t="s">
        <v>1702</v>
      </c>
      <c r="E824" t="s">
        <v>153</v>
      </c>
      <c r="F824" s="5">
        <v>393.59</v>
      </c>
      <c r="H824">
        <v>0</v>
      </c>
      <c r="I824" t="s">
        <v>53</v>
      </c>
      <c r="L824" s="6"/>
      <c r="M824" s="6"/>
      <c r="N824" s="6"/>
      <c r="O824" s="5"/>
      <c r="P824" s="7" t="str">
        <f t="shared" si="84"/>
        <v/>
      </c>
      <c r="Q824" s="7" t="str">
        <f t="shared" si="85"/>
        <v/>
      </c>
      <c r="R824" s="7" t="str">
        <f t="shared" si="86"/>
        <v/>
      </c>
      <c r="S824" s="7">
        <f>IF($A824="","",IF(AND(LEFT($G824,3)="ДОК",$N824&lt;&gt;""),IFERROR(INDEX(Документация!$E$2:$E$57,MATCH($N824,Документация!$F$2:$F$57,0)),0),N($F824))*(1-MEDIAN(0,N(ДисконтТендер),1)))</f>
        <v>393.59</v>
      </c>
      <c r="T824" s="7">
        <f>IF($A824="","",IF(AND(LEFT($G824,3)="ДОК",$N824&lt;&gt;""),0,IF(AND(LEFT($G824,3)&lt;&gt;"ДОК",$N824&lt;&gt;""),IFERROR(INDEX(МАТЕРИАЛЫ!$H$2:$H$9000,MATCH($N824,МАТЕРИАЛЫ!$L$2:$L$9000,0))*IF(INDEX(МАТЕРИАЛЫ!$I$2:$I$9000,MATCH($N824,МАТЕРИАЛЫ!$L$2:$L$9000,0))="USD",КурсUSD,IF(INDEX(МАТЕРИАЛЫ!$I$2:$I$9000,MATCH($N824,МАТЕРИАЛЫ!$L$2:$L$9000,0))="EUR",КурсEUR,IF(INDEX(МАТЕРИАЛЫ!$I$2:$I$9000,MATCH($N824,МАТЕРИАЛЫ!$L$2:$L$9000,0))="CNY",КурсCNY,1)))*(1+N($H824)/100),0),N($O824))*(1-MEDIAN(0,N(ДисконтТендер),1))))</f>
        <v>0</v>
      </c>
      <c r="U824" t="str">
        <f>IF($L824="да",MAX($U$1:$U823)+1,"")</f>
        <v/>
      </c>
      <c r="V824" t="str">
        <f t="shared" si="87"/>
        <v>Р10</v>
      </c>
      <c r="W824" t="str">
        <f t="shared" si="88"/>
        <v/>
      </c>
      <c r="X824" t="str">
        <f t="shared" si="89"/>
        <v/>
      </c>
      <c r="Y824" s="4" t="str">
        <f>IF($A824="","",IF(AND(LEFT($G824,3)="ДОК",$N824&lt;&gt;""),IFERROR(INDEX(Документация!$G$2:$G$57,MATCH($N824,Документация!$F$2:$F$57,0)),$D824),$D824&amp;IF(AND(LEFT($G824,3)&lt;&gt;"ДОК",$N824&lt;&gt;"")," — "&amp;IFERROR(INDEX(МАТЕРИАЛЫ!$C$2:$C$9000,MATCH($N824,МАТЕРИАЛЫ!$L$2:$L$9000,0)),""),"")))</f>
        <v>Накладки на ступени материал: AL, резина тип указателя: обозначение крайних ступеней (полоса) цвет вставки: желтый (для первой и последней ступеней).</v>
      </c>
      <c r="Z824" t="str">
        <f t="shared" si="90"/>
        <v>Р10 · Адаптация для МГН</v>
      </c>
    </row>
    <row r="825" spans="1:26" ht="43.2" x14ac:dyDescent="0.3">
      <c r="A825" t="s">
        <v>1703</v>
      </c>
      <c r="B825" t="s">
        <v>1694</v>
      </c>
      <c r="C825" t="s">
        <v>50</v>
      </c>
      <c r="D825" s="4" t="s">
        <v>1704</v>
      </c>
      <c r="E825" t="s">
        <v>114</v>
      </c>
      <c r="F825" s="5">
        <v>1413.71</v>
      </c>
      <c r="G825" t="s">
        <v>1700</v>
      </c>
      <c r="H825">
        <v>5</v>
      </c>
      <c r="I825" t="s">
        <v>53</v>
      </c>
      <c r="L825" s="6"/>
      <c r="M825" s="6"/>
      <c r="N825" s="6"/>
      <c r="O825" s="5"/>
      <c r="P825" s="7" t="str">
        <f t="shared" si="84"/>
        <v/>
      </c>
      <c r="Q825" s="7" t="str">
        <f t="shared" si="85"/>
        <v/>
      </c>
      <c r="R825" s="7" t="str">
        <f t="shared" si="86"/>
        <v/>
      </c>
      <c r="S825" s="7">
        <f>IF($A825="","",IF(AND(LEFT($G825,3)="ДОК",$N825&lt;&gt;""),IFERROR(INDEX(Документация!$E$2:$E$57,MATCH($N825,Документация!$F$2:$F$57,0)),0),N($F825))*(1-MEDIAN(0,N(ДисконтТендер),1)))</f>
        <v>1413.71</v>
      </c>
      <c r="T825" s="7">
        <f>IF($A825="","",IF(AND(LEFT($G825,3)="ДОК",$N825&lt;&gt;""),0,IF(AND(LEFT($G825,3)&lt;&gt;"ДОК",$N825&lt;&gt;""),IFERROR(INDEX(МАТЕРИАЛЫ!$H$2:$H$9000,MATCH($N825,МАТЕРИАЛЫ!$L$2:$L$9000,0))*IF(INDEX(МАТЕРИАЛЫ!$I$2:$I$9000,MATCH($N825,МАТЕРИАЛЫ!$L$2:$L$9000,0))="USD",КурсUSD,IF(INDEX(МАТЕРИАЛЫ!$I$2:$I$9000,MATCH($N825,МАТЕРИАЛЫ!$L$2:$L$9000,0))="EUR",КурсEUR,IF(INDEX(МАТЕРИАЛЫ!$I$2:$I$9000,MATCH($N825,МАТЕРИАЛЫ!$L$2:$L$9000,0))="CNY",КурсCNY,1)))*(1+N($H825)/100),0),N($O825))*(1-MEDIAN(0,N(ДисконтТендер),1))))</f>
        <v>0</v>
      </c>
      <c r="U825" t="str">
        <f>IF($L825="да",MAX($U$1:$U824)+1,"")</f>
        <v/>
      </c>
      <c r="V825" t="str">
        <f t="shared" si="87"/>
        <v>Р10</v>
      </c>
      <c r="W825" t="str">
        <f t="shared" si="88"/>
        <v/>
      </c>
      <c r="X825" t="str">
        <f t="shared" si="89"/>
        <v/>
      </c>
      <c r="Y825" s="4" t="str">
        <f>IF($A825="","",IF(AND(LEFT($G825,3)="ДОК",$N825&lt;&gt;""),IFERROR(INDEX(Документация!$G$2:$G$57,MATCH($N825,Документация!$F$2:$F$57,0)),$D825),$D825&amp;IF(AND(LEFT($G825,3)&lt;&gt;"ДОК",$N825&lt;&gt;"")," — "&amp;IFERROR(INDEX(МАТЕРИАЛЫ!$C$2:$C$9000,MATCH($N825,МАТЕРИАЛЫ!$L$2:$L$9000,0)),""),"")))</f>
        <v>Откидной пандус. Конструкция из двух рельс (аппарелей), которые соединены между собой направляющими (до 2,5 м)</v>
      </c>
      <c r="Z825" t="str">
        <f t="shared" si="90"/>
        <v>Р10 · Адаптация для МГН</v>
      </c>
    </row>
    <row r="826" spans="1:26" ht="43.2" x14ac:dyDescent="0.3">
      <c r="A826" t="s">
        <v>1705</v>
      </c>
      <c r="B826" t="s">
        <v>1694</v>
      </c>
      <c r="C826" t="s">
        <v>50</v>
      </c>
      <c r="D826" s="4" t="s">
        <v>1706</v>
      </c>
      <c r="E826" t="s">
        <v>114</v>
      </c>
      <c r="F826" s="5">
        <v>1414.58</v>
      </c>
      <c r="G826" t="s">
        <v>1700</v>
      </c>
      <c r="H826">
        <v>5</v>
      </c>
      <c r="I826" t="s">
        <v>53</v>
      </c>
      <c r="L826" s="6"/>
      <c r="M826" s="6"/>
      <c r="N826" s="6"/>
      <c r="O826" s="5"/>
      <c r="P826" s="7" t="str">
        <f t="shared" si="84"/>
        <v/>
      </c>
      <c r="Q826" s="7" t="str">
        <f t="shared" si="85"/>
        <v/>
      </c>
      <c r="R826" s="7" t="str">
        <f t="shared" si="86"/>
        <v/>
      </c>
      <c r="S826" s="7">
        <f>IF($A826="","",IF(AND(LEFT($G826,3)="ДОК",$N826&lt;&gt;""),IFERROR(INDEX(Документация!$E$2:$E$57,MATCH($N826,Документация!$F$2:$F$57,0)),0),N($F826))*(1-MEDIAN(0,N(ДисконтТендер),1)))</f>
        <v>1414.58</v>
      </c>
      <c r="T826" s="7">
        <f>IF($A826="","",IF(AND(LEFT($G826,3)="ДОК",$N826&lt;&gt;""),0,IF(AND(LEFT($G826,3)&lt;&gt;"ДОК",$N826&lt;&gt;""),IFERROR(INDEX(МАТЕРИАЛЫ!$H$2:$H$9000,MATCH($N826,МАТЕРИАЛЫ!$L$2:$L$9000,0))*IF(INDEX(МАТЕРИАЛЫ!$I$2:$I$9000,MATCH($N826,МАТЕРИАЛЫ!$L$2:$L$9000,0))="USD",КурсUSD,IF(INDEX(МАТЕРИАЛЫ!$I$2:$I$9000,MATCH($N826,МАТЕРИАЛЫ!$L$2:$L$9000,0))="EUR",КурсEUR,IF(INDEX(МАТЕРИАЛЫ!$I$2:$I$9000,MATCH($N826,МАТЕРИАЛЫ!$L$2:$L$9000,0))="CNY",КурсCNY,1)))*(1+N($H826)/100),0),N($O826))*(1-MEDIAN(0,N(ДисконтТендер),1))))</f>
        <v>0</v>
      </c>
      <c r="U826" t="str">
        <f>IF($L826="да",MAX($U$1:$U825)+1,"")</f>
        <v/>
      </c>
      <c r="V826" t="str">
        <f t="shared" si="87"/>
        <v>Р10</v>
      </c>
      <c r="W826" t="str">
        <f t="shared" si="88"/>
        <v/>
      </c>
      <c r="X826" t="str">
        <f t="shared" si="89"/>
        <v/>
      </c>
      <c r="Y826" s="4" t="str">
        <f>IF($A826="","",IF(AND(LEFT($G826,3)="ДОК",$N826&lt;&gt;""),IFERROR(INDEX(Документация!$G$2:$G$57,MATCH($N826,Документация!$F$2:$F$57,0)),$D826),$D826&amp;IF(AND(LEFT($G826,3)&lt;&gt;"ДОК",$N826&lt;&gt;"")," — "&amp;IFERROR(INDEX(МАТЕРИАЛЫ!$C$2:$C$9000,MATCH($N826,МАТЕРИАЛЫ!$L$2:$L$9000,0)),""),"")))</f>
        <v>Мини пандус из листового метала. Выполнен из алюминиевого рифленого листа на металлическом каркасе (900х350х50 мм).</v>
      </c>
      <c r="Z826" t="str">
        <f t="shared" si="90"/>
        <v>Р10 · Адаптация для МГН</v>
      </c>
    </row>
    <row r="827" spans="1:26" ht="43.2" x14ac:dyDescent="0.3">
      <c r="A827" t="s">
        <v>1707</v>
      </c>
      <c r="B827" t="s">
        <v>1694</v>
      </c>
      <c r="C827" t="s">
        <v>50</v>
      </c>
      <c r="D827" s="4" t="s">
        <v>1708</v>
      </c>
      <c r="E827" t="s">
        <v>114</v>
      </c>
      <c r="F827" s="5">
        <v>1415.45</v>
      </c>
      <c r="G827" t="s">
        <v>1700</v>
      </c>
      <c r="H827">
        <v>5</v>
      </c>
      <c r="I827" t="s">
        <v>53</v>
      </c>
      <c r="L827" s="6"/>
      <c r="M827" s="6"/>
      <c r="N827" s="6"/>
      <c r="O827" s="5"/>
      <c r="P827" s="7" t="str">
        <f t="shared" si="84"/>
        <v/>
      </c>
      <c r="Q827" s="7" t="str">
        <f t="shared" si="85"/>
        <v/>
      </c>
      <c r="R827" s="7" t="str">
        <f t="shared" si="86"/>
        <v/>
      </c>
      <c r="S827" s="7">
        <f>IF($A827="","",IF(AND(LEFT($G827,3)="ДОК",$N827&lt;&gt;""),IFERROR(INDEX(Документация!$E$2:$E$57,MATCH($N827,Документация!$F$2:$F$57,0)),0),N($F827))*(1-MEDIAN(0,N(ДисконтТендер),1)))</f>
        <v>1415.45</v>
      </c>
      <c r="T827" s="7">
        <f>IF($A827="","",IF(AND(LEFT($G827,3)="ДОК",$N827&lt;&gt;""),0,IF(AND(LEFT($G827,3)&lt;&gt;"ДОК",$N827&lt;&gt;""),IFERROR(INDEX(МАТЕРИАЛЫ!$H$2:$H$9000,MATCH($N827,МАТЕРИАЛЫ!$L$2:$L$9000,0))*IF(INDEX(МАТЕРИАЛЫ!$I$2:$I$9000,MATCH($N827,МАТЕРИАЛЫ!$L$2:$L$9000,0))="USD",КурсUSD,IF(INDEX(МАТЕРИАЛЫ!$I$2:$I$9000,MATCH($N827,МАТЕРИАЛЫ!$L$2:$L$9000,0))="EUR",КурсEUR,IF(INDEX(МАТЕРИАЛЫ!$I$2:$I$9000,MATCH($N827,МАТЕРИАЛЫ!$L$2:$L$9000,0))="CNY",КурсCNY,1)))*(1+N($H827)/100),0),N($O827))*(1-MEDIAN(0,N(ДисконтТендер),1))))</f>
        <v>0</v>
      </c>
      <c r="U827" t="str">
        <f>IF($L827="да",MAX($U$1:$U826)+1,"")</f>
        <v/>
      </c>
      <c r="V827" t="str">
        <f t="shared" si="87"/>
        <v>Р10</v>
      </c>
      <c r="W827" t="str">
        <f t="shared" si="88"/>
        <v/>
      </c>
      <c r="X827" t="str">
        <f t="shared" si="89"/>
        <v/>
      </c>
      <c r="Y827" s="4" t="str">
        <f>IF($A827="","",IF(AND(LEFT($G827,3)="ДОК",$N827&lt;&gt;""),IFERROR(INDEX(Документация!$G$2:$G$57,MATCH($N827,Документация!$F$2:$F$57,0)),$D827),$D827&amp;IF(AND(LEFT($G827,3)&lt;&gt;"ДОК",$N827&lt;&gt;"")," — "&amp;IFERROR(INDEX(МАТЕРИАЛЫ!$C$2:$C$9000,MATCH($N827,МАТЕРИАЛЫ!$L$2:$L$9000,0)),""),"")))</f>
        <v>Мини пандус из листового метала. Выполнен из алюминиевого рифленого листа на металлическом каркасе (900х350х100 мм).</v>
      </c>
      <c r="Z827" t="str">
        <f t="shared" si="90"/>
        <v>Р10 · Адаптация для МГН</v>
      </c>
    </row>
    <row r="828" spans="1:26" ht="43.2" x14ac:dyDescent="0.3">
      <c r="A828" t="s">
        <v>1709</v>
      </c>
      <c r="B828" t="s">
        <v>1694</v>
      </c>
      <c r="C828" t="s">
        <v>50</v>
      </c>
      <c r="D828" s="4" t="s">
        <v>1710</v>
      </c>
      <c r="E828" t="s">
        <v>114</v>
      </c>
      <c r="F828" s="5">
        <v>1416.32</v>
      </c>
      <c r="G828" t="s">
        <v>1700</v>
      </c>
      <c r="H828">
        <v>5</v>
      </c>
      <c r="I828" t="s">
        <v>53</v>
      </c>
      <c r="L828" s="6"/>
      <c r="M828" s="6"/>
      <c r="N828" s="6"/>
      <c r="O828" s="5"/>
      <c r="P828" s="7" t="str">
        <f t="shared" si="84"/>
        <v/>
      </c>
      <c r="Q828" s="7" t="str">
        <f t="shared" si="85"/>
        <v/>
      </c>
      <c r="R828" s="7" t="str">
        <f t="shared" si="86"/>
        <v/>
      </c>
      <c r="S828" s="7">
        <f>IF($A828="","",IF(AND(LEFT($G828,3)="ДОК",$N828&lt;&gt;""),IFERROR(INDEX(Документация!$E$2:$E$57,MATCH($N828,Документация!$F$2:$F$57,0)),0),N($F828))*(1-MEDIAN(0,N(ДисконтТендер),1)))</f>
        <v>1416.32</v>
      </c>
      <c r="T828" s="7">
        <f>IF($A828="","",IF(AND(LEFT($G828,3)="ДОК",$N828&lt;&gt;""),0,IF(AND(LEFT($G828,3)&lt;&gt;"ДОК",$N828&lt;&gt;""),IFERROR(INDEX(МАТЕРИАЛЫ!$H$2:$H$9000,MATCH($N828,МАТЕРИАЛЫ!$L$2:$L$9000,0))*IF(INDEX(МАТЕРИАЛЫ!$I$2:$I$9000,MATCH($N828,МАТЕРИАЛЫ!$L$2:$L$9000,0))="USD",КурсUSD,IF(INDEX(МАТЕРИАЛЫ!$I$2:$I$9000,MATCH($N828,МАТЕРИАЛЫ!$L$2:$L$9000,0))="EUR",КурсEUR,IF(INDEX(МАТЕРИАЛЫ!$I$2:$I$9000,MATCH($N828,МАТЕРИАЛЫ!$L$2:$L$9000,0))="CNY",КурсCNY,1)))*(1+N($H828)/100),0),N($O828))*(1-MEDIAN(0,N(ДисконтТендер),1))))</f>
        <v>0</v>
      </c>
      <c r="U828" t="str">
        <f>IF($L828="да",MAX($U$1:$U827)+1,"")</f>
        <v/>
      </c>
      <c r="V828" t="str">
        <f t="shared" si="87"/>
        <v>Р10</v>
      </c>
      <c r="W828" t="str">
        <f t="shared" si="88"/>
        <v/>
      </c>
      <c r="X828" t="str">
        <f t="shared" si="89"/>
        <v/>
      </c>
      <c r="Y828" s="4" t="str">
        <f>IF($A828="","",IF(AND(LEFT($G828,3)="ДОК",$N828&lt;&gt;""),IFERROR(INDEX(Документация!$G$2:$G$57,MATCH($N828,Документация!$F$2:$F$57,0)),$D828),$D828&amp;IF(AND(LEFT($G828,3)&lt;&gt;"ДОК",$N828&lt;&gt;"")," — "&amp;IFERROR(INDEX(МАТЕРИАЛЫ!$C$2:$C$9000,MATCH($N828,МАТЕРИАЛЫ!$L$2:$L$9000,0)),""),"")))</f>
        <v>Мини пандус из листового метала. Выполнен из алюминиевого рифленого листа на металлическом каркасе (900х700х50 мм).</v>
      </c>
      <c r="Z828" t="str">
        <f t="shared" si="90"/>
        <v>Р10 · Адаптация для МГН</v>
      </c>
    </row>
    <row r="829" spans="1:26" ht="43.2" x14ac:dyDescent="0.3">
      <c r="A829" t="s">
        <v>1711</v>
      </c>
      <c r="B829" t="s">
        <v>1694</v>
      </c>
      <c r="C829" t="s">
        <v>50</v>
      </c>
      <c r="D829" s="4" t="s">
        <v>1712</v>
      </c>
      <c r="E829" t="s">
        <v>114</v>
      </c>
      <c r="F829" s="5">
        <v>1417.19</v>
      </c>
      <c r="G829" t="s">
        <v>1700</v>
      </c>
      <c r="H829">
        <v>5</v>
      </c>
      <c r="I829" t="s">
        <v>53</v>
      </c>
      <c r="L829" s="6"/>
      <c r="M829" s="6"/>
      <c r="N829" s="6"/>
      <c r="O829" s="5"/>
      <c r="P829" s="7" t="str">
        <f t="shared" si="84"/>
        <v/>
      </c>
      <c r="Q829" s="7" t="str">
        <f t="shared" si="85"/>
        <v/>
      </c>
      <c r="R829" s="7" t="str">
        <f t="shared" si="86"/>
        <v/>
      </c>
      <c r="S829" s="7">
        <f>IF($A829="","",IF(AND(LEFT($G829,3)="ДОК",$N829&lt;&gt;""),IFERROR(INDEX(Документация!$E$2:$E$57,MATCH($N829,Документация!$F$2:$F$57,0)),0),N($F829))*(1-MEDIAN(0,N(ДисконтТендер),1)))</f>
        <v>1417.19</v>
      </c>
      <c r="T829" s="7">
        <f>IF($A829="","",IF(AND(LEFT($G829,3)="ДОК",$N829&lt;&gt;""),0,IF(AND(LEFT($G829,3)&lt;&gt;"ДОК",$N829&lt;&gt;""),IFERROR(INDEX(МАТЕРИАЛЫ!$H$2:$H$9000,MATCH($N829,МАТЕРИАЛЫ!$L$2:$L$9000,0))*IF(INDEX(МАТЕРИАЛЫ!$I$2:$I$9000,MATCH($N829,МАТЕРИАЛЫ!$L$2:$L$9000,0))="USD",КурсUSD,IF(INDEX(МАТЕРИАЛЫ!$I$2:$I$9000,MATCH($N829,МАТЕРИАЛЫ!$L$2:$L$9000,0))="EUR",КурсEUR,IF(INDEX(МАТЕРИАЛЫ!$I$2:$I$9000,MATCH($N829,МАТЕРИАЛЫ!$L$2:$L$9000,0))="CNY",КурсCNY,1)))*(1+N($H829)/100),0),N($O829))*(1-MEDIAN(0,N(ДисконтТендер),1))))</f>
        <v>0</v>
      </c>
      <c r="U829" t="str">
        <f>IF($L829="да",MAX($U$1:$U828)+1,"")</f>
        <v/>
      </c>
      <c r="V829" t="str">
        <f t="shared" si="87"/>
        <v>Р10</v>
      </c>
      <c r="W829" t="str">
        <f t="shared" si="88"/>
        <v/>
      </c>
      <c r="X829" t="str">
        <f t="shared" si="89"/>
        <v/>
      </c>
      <c r="Y829" s="4" t="str">
        <f>IF($A829="","",IF(AND(LEFT($G829,3)="ДОК",$N829&lt;&gt;""),IFERROR(INDEX(Документация!$G$2:$G$57,MATCH($N829,Документация!$F$2:$F$57,0)),$D829),$D829&amp;IF(AND(LEFT($G829,3)&lt;&gt;"ДОК",$N829&lt;&gt;"")," — "&amp;IFERROR(INDEX(МАТЕРИАЛЫ!$C$2:$C$9000,MATCH($N829,МАТЕРИАЛЫ!$L$2:$L$9000,0)),""),"")))</f>
        <v>Мини пандус из листового метала. Выполнен из алюминиевого рифленого листа на металлическом каркасе (900х1000х100 мм).</v>
      </c>
      <c r="Z829" t="str">
        <f t="shared" si="90"/>
        <v>Р10 · Адаптация для МГН</v>
      </c>
    </row>
    <row r="830" spans="1:26" ht="28.8" x14ac:dyDescent="0.3">
      <c r="A830" t="s">
        <v>1713</v>
      </c>
      <c r="B830" t="s">
        <v>1694</v>
      </c>
      <c r="C830" t="s">
        <v>50</v>
      </c>
      <c r="D830" s="4" t="s">
        <v>1714</v>
      </c>
      <c r="E830" t="s">
        <v>114</v>
      </c>
      <c r="F830" s="5">
        <v>271.44</v>
      </c>
      <c r="H830">
        <v>0</v>
      </c>
      <c r="I830" t="s">
        <v>53</v>
      </c>
      <c r="L830" s="6"/>
      <c r="M830" s="6"/>
      <c r="N830" s="6"/>
      <c r="O830" s="5"/>
      <c r="P830" s="7" t="str">
        <f t="shared" si="84"/>
        <v/>
      </c>
      <c r="Q830" s="7" t="str">
        <f t="shared" si="85"/>
        <v/>
      </c>
      <c r="R830" s="7" t="str">
        <f t="shared" si="86"/>
        <v/>
      </c>
      <c r="S830" s="7">
        <f>IF($A830="","",IF(AND(LEFT($G830,3)="ДОК",$N830&lt;&gt;""),IFERROR(INDEX(Документация!$E$2:$E$57,MATCH($N830,Документация!$F$2:$F$57,0)),0),N($F830))*(1-MEDIAN(0,N(ДисконтТендер),1)))</f>
        <v>271.44</v>
      </c>
      <c r="T830" s="7">
        <f>IF($A830="","",IF(AND(LEFT($G830,3)="ДОК",$N830&lt;&gt;""),0,IF(AND(LEFT($G830,3)&lt;&gt;"ДОК",$N830&lt;&gt;""),IFERROR(INDEX(МАТЕРИАЛЫ!$H$2:$H$9000,MATCH($N830,МАТЕРИАЛЫ!$L$2:$L$9000,0))*IF(INDEX(МАТЕРИАЛЫ!$I$2:$I$9000,MATCH($N830,МАТЕРИАЛЫ!$L$2:$L$9000,0))="USD",КурсUSD,IF(INDEX(МАТЕРИАЛЫ!$I$2:$I$9000,MATCH($N830,МАТЕРИАЛЫ!$L$2:$L$9000,0))="EUR",КурсEUR,IF(INDEX(МАТЕРИАЛЫ!$I$2:$I$9000,MATCH($N830,МАТЕРИАЛЫ!$L$2:$L$9000,0))="CNY",КурсCNY,1)))*(1+N($H830)/100),0),N($O830))*(1-MEDIAN(0,N(ДисконтТендер),1))))</f>
        <v>0</v>
      </c>
      <c r="U830" t="str">
        <f>IF($L830="да",MAX($U$1:$U829)+1,"")</f>
        <v/>
      </c>
      <c r="V830" t="str">
        <f t="shared" si="87"/>
        <v>Р10</v>
      </c>
      <c r="W830" t="str">
        <f t="shared" si="88"/>
        <v/>
      </c>
      <c r="X830" t="str">
        <f t="shared" si="89"/>
        <v/>
      </c>
      <c r="Y830" s="4" t="str">
        <f>IF($A830="","",IF(AND(LEFT($G830,3)="ДОК",$N830&lt;&gt;""),IFERROR(INDEX(Документация!$G$2:$G$57,MATCH($N830,Документация!$F$2:$F$57,0)),$D830),$D830&amp;IF(AND(LEFT($G830,3)&lt;&gt;"ДОК",$N830&lt;&gt;"")," — "&amp;IFERROR(INDEX(МАТЕРИАЛЫ!$C$2:$C$9000,MATCH($N830,МАТЕРИАЛЫ!$L$2:$L$9000,0)),""),"")))</f>
        <v>Наклейка на дверь круг. Самоклеящаяся, виниловая, желтого цвета, размер 200мм.</v>
      </c>
      <c r="Z830" t="str">
        <f t="shared" si="90"/>
        <v>Р10 · Адаптация для МГН</v>
      </c>
    </row>
    <row r="831" spans="1:26" ht="28.8" x14ac:dyDescent="0.3">
      <c r="A831" t="s">
        <v>1715</v>
      </c>
      <c r="B831" t="s">
        <v>1694</v>
      </c>
      <c r="C831" t="s">
        <v>50</v>
      </c>
      <c r="D831" s="4" t="s">
        <v>1716</v>
      </c>
      <c r="E831" t="s">
        <v>1717</v>
      </c>
      <c r="F831" s="5">
        <v>0</v>
      </c>
      <c r="H831">
        <v>0</v>
      </c>
      <c r="I831" t="s">
        <v>53</v>
      </c>
      <c r="L831" s="6"/>
      <c r="M831" s="6"/>
      <c r="N831" s="6"/>
      <c r="O831" s="5"/>
      <c r="P831" s="7" t="str">
        <f t="shared" si="84"/>
        <v/>
      </c>
      <c r="Q831" s="7" t="str">
        <f t="shared" si="85"/>
        <v/>
      </c>
      <c r="R831" s="7" t="str">
        <f t="shared" si="86"/>
        <v/>
      </c>
      <c r="S831" s="7">
        <f>IF($A831="","",IF(AND(LEFT($G831,3)="ДОК",$N831&lt;&gt;""),IFERROR(INDEX(Документация!$E$2:$E$57,MATCH($N831,Документация!$F$2:$F$57,0)),0),N($F831))*(1-MEDIAN(0,N(ДисконтТендер),1)))</f>
        <v>0</v>
      </c>
      <c r="T831" s="7">
        <f>IF($A831="","",IF(AND(LEFT($G831,3)="ДОК",$N831&lt;&gt;""),0,IF(AND(LEFT($G831,3)&lt;&gt;"ДОК",$N831&lt;&gt;""),IFERROR(INDEX(МАТЕРИАЛЫ!$H$2:$H$9000,MATCH($N831,МАТЕРИАЛЫ!$L$2:$L$9000,0))*IF(INDEX(МАТЕРИАЛЫ!$I$2:$I$9000,MATCH($N831,МАТЕРИАЛЫ!$L$2:$L$9000,0))="USD",КурсUSD,IF(INDEX(МАТЕРИАЛЫ!$I$2:$I$9000,MATCH($N831,МАТЕРИАЛЫ!$L$2:$L$9000,0))="EUR",КурсEUR,IF(INDEX(МАТЕРИАЛЫ!$I$2:$I$9000,MATCH($N831,МАТЕРИАЛЫ!$L$2:$L$9000,0))="CNY",КурсCNY,1)))*(1+N($H831)/100),0),N($O831))*(1-MEDIAN(0,N(ДисконтТендер),1))))</f>
        <v>0</v>
      </c>
      <c r="U831" t="str">
        <f>IF($L831="да",MAX($U$1:$U830)+1,"")</f>
        <v/>
      </c>
      <c r="V831" t="str">
        <f t="shared" si="87"/>
        <v>Р10</v>
      </c>
      <c r="W831" t="str">
        <f t="shared" si="88"/>
        <v/>
      </c>
      <c r="X831" t="str">
        <f t="shared" si="89"/>
        <v/>
      </c>
      <c r="Y831" s="4" t="str">
        <f>IF($A831="","",IF(AND(LEFT($G831,3)="ДОК",$N831&lt;&gt;""),IFERROR(INDEX(Документация!$G$2:$G$57,MATCH($N831,Документация!$F$2:$F$57,0)),$D831),$D831&amp;IF(AND(LEFT($G831,3)&lt;&gt;"ДОК",$N831&lt;&gt;"")," — "&amp;IFERROR(INDEX(МАТЕРИАЛЫ!$C$2:$C$9000,MATCH($N831,МАТЕРИАЛЫ!$L$2:$L$9000,0)),""),"")))</f>
        <v>Транспортные расходы (% от стоимости материалов):</v>
      </c>
      <c r="Z831" t="str">
        <f t="shared" si="90"/>
        <v>Р10 · Адаптация для МГН</v>
      </c>
    </row>
    <row r="832" spans="1:26" x14ac:dyDescent="0.3">
      <c r="A832" t="s">
        <v>1718</v>
      </c>
      <c r="B832" t="s">
        <v>1694</v>
      </c>
      <c r="C832" t="s">
        <v>50</v>
      </c>
      <c r="D832" s="4" t="s">
        <v>1719</v>
      </c>
      <c r="E832" t="s">
        <v>1720</v>
      </c>
      <c r="F832" s="5">
        <v>0</v>
      </c>
      <c r="H832">
        <v>0</v>
      </c>
      <c r="I832" t="s">
        <v>53</v>
      </c>
      <c r="L832" s="6"/>
      <c r="M832" s="6"/>
      <c r="N832" s="6"/>
      <c r="O832" s="5"/>
      <c r="P832" s="7" t="str">
        <f t="shared" si="84"/>
        <v/>
      </c>
      <c r="Q832" s="7" t="str">
        <f t="shared" si="85"/>
        <v/>
      </c>
      <c r="R832" s="7" t="str">
        <f t="shared" si="86"/>
        <v/>
      </c>
      <c r="S832" s="7">
        <f>IF($A832="","",IF(AND(LEFT($G832,3)="ДОК",$N832&lt;&gt;""),IFERROR(INDEX(Документация!$E$2:$E$57,MATCH($N832,Документация!$F$2:$F$57,0)),0),N($F832))*(1-MEDIAN(0,N(ДисконтТендер),1)))</f>
        <v>0</v>
      </c>
      <c r="T832" s="7">
        <f>IF($A832="","",IF(AND(LEFT($G832,3)="ДОК",$N832&lt;&gt;""),0,IF(AND(LEFT($G832,3)&lt;&gt;"ДОК",$N832&lt;&gt;""),IFERROR(INDEX(МАТЕРИАЛЫ!$H$2:$H$9000,MATCH($N832,МАТЕРИАЛЫ!$L$2:$L$9000,0))*IF(INDEX(МАТЕРИАЛЫ!$I$2:$I$9000,MATCH($N832,МАТЕРИАЛЫ!$L$2:$L$9000,0))="USD",КурсUSD,IF(INDEX(МАТЕРИАЛЫ!$I$2:$I$9000,MATCH($N832,МАТЕРИАЛЫ!$L$2:$L$9000,0))="EUR",КурсEUR,IF(INDEX(МАТЕРИАЛЫ!$I$2:$I$9000,MATCH($N832,МАТЕРИАЛЫ!$L$2:$L$9000,0))="CNY",КурсCNY,1)))*(1+N($H832)/100),0),N($O832))*(1-MEDIAN(0,N(ДисконтТендер),1))))</f>
        <v>0</v>
      </c>
      <c r="U832" t="str">
        <f>IF($L832="да",MAX($U$1:$U831)+1,"")</f>
        <v/>
      </c>
      <c r="V832" t="str">
        <f t="shared" si="87"/>
        <v>Р10</v>
      </c>
      <c r="W832" t="str">
        <f t="shared" si="88"/>
        <v/>
      </c>
      <c r="X832" t="str">
        <f t="shared" si="89"/>
        <v/>
      </c>
      <c r="Y832" s="4" t="str">
        <f>IF($A832="","",IF(AND(LEFT($G832,3)="ДОК",$N832&lt;&gt;""),IFERROR(INDEX(Документация!$G$2:$G$57,MATCH($N832,Документация!$F$2:$F$57,0)),$D832),$D832&amp;IF(AND(LEFT($G832,3)&lt;&gt;"ДОК",$N832&lt;&gt;"")," — "&amp;IFERROR(INDEX(МАТЕРИАЛЫ!$C$2:$C$9000,MATCH($N832,МАТЕРИАЛЫ!$L$2:$L$9000,0)),""),"")))</f>
        <v>ВСЕГО*:</v>
      </c>
      <c r="Z832" t="str">
        <f t="shared" si="90"/>
        <v>Р10 · Адаптация для МГН</v>
      </c>
    </row>
    <row r="833" spans="1:26" ht="28.8" x14ac:dyDescent="0.3">
      <c r="A833" t="s">
        <v>1721</v>
      </c>
      <c r="B833" t="s">
        <v>1722</v>
      </c>
      <c r="C833" t="s">
        <v>50</v>
      </c>
      <c r="D833" s="4" t="s">
        <v>1723</v>
      </c>
      <c r="E833" t="s">
        <v>1724</v>
      </c>
      <c r="F833" s="5">
        <v>0</v>
      </c>
      <c r="H833">
        <v>0</v>
      </c>
      <c r="I833" t="s">
        <v>53</v>
      </c>
      <c r="L833" s="6"/>
      <c r="M833" s="6"/>
      <c r="N833" s="6"/>
      <c r="O833" s="5"/>
      <c r="P833" s="7" t="str">
        <f t="shared" si="84"/>
        <v/>
      </c>
      <c r="Q833" s="7" t="str">
        <f t="shared" si="85"/>
        <v/>
      </c>
      <c r="R833" s="7" t="str">
        <f t="shared" si="86"/>
        <v/>
      </c>
      <c r="S833" s="7">
        <f>IF($A833="","",IF(AND(LEFT($G833,3)="ДОК",$N833&lt;&gt;""),IFERROR(INDEX(Документация!$E$2:$E$57,MATCH($N833,Документация!$F$2:$F$57,0)),0),N($F833))*(1-MEDIAN(0,N(ДисконтТендер),1)))</f>
        <v>0</v>
      </c>
      <c r="T833" s="7">
        <f>IF($A833="","",IF(AND(LEFT($G833,3)="ДОК",$N833&lt;&gt;""),0,IF(AND(LEFT($G833,3)&lt;&gt;"ДОК",$N833&lt;&gt;""),IFERROR(INDEX(МАТЕРИАЛЫ!$H$2:$H$9000,MATCH($N833,МАТЕРИАЛЫ!$L$2:$L$9000,0))*IF(INDEX(МАТЕРИАЛЫ!$I$2:$I$9000,MATCH($N833,МАТЕРИАЛЫ!$L$2:$L$9000,0))="USD",КурсUSD,IF(INDEX(МАТЕРИАЛЫ!$I$2:$I$9000,MATCH($N833,МАТЕРИАЛЫ!$L$2:$L$9000,0))="EUR",КурсEUR,IF(INDEX(МАТЕРИАЛЫ!$I$2:$I$9000,MATCH($N833,МАТЕРИАЛЫ!$L$2:$L$9000,0))="CNY",КурсCNY,1)))*(1+N($H833)/100),0),N($O833))*(1-MEDIAN(0,N(ДисконтТендер),1))))</f>
        <v>0</v>
      </c>
      <c r="U833" t="str">
        <f>IF($L833="да",MAX($U$1:$U832)+1,"")</f>
        <v/>
      </c>
      <c r="V833" t="str">
        <f t="shared" si="87"/>
        <v>Р11</v>
      </c>
      <c r="W833" t="str">
        <f t="shared" si="88"/>
        <v/>
      </c>
      <c r="X833" t="str">
        <f t="shared" si="89"/>
        <v/>
      </c>
      <c r="Y833" s="4" t="str">
        <f>IF($A833="","",IF(AND(LEFT($G833,3)="ДОК",$N833&lt;&gt;""),IFERROR(INDEX(Документация!$G$2:$G$57,MATCH($N833,Документация!$F$2:$F$57,0)),$D833),$D833&amp;IF(AND(LEFT($G833,3)&lt;&gt;"ДОК",$N833&lt;&gt;"")," — "&amp;IFERROR(INDEX(МАТЕРИАЛЫ!$C$2:$C$9000,MATCH($N833,МАТЕРИАЛЫ!$L$2:$L$9000,0)),""),"")))</f>
        <v>Автоматическая пожарная сигнализация (АПС) — монтаж и ПНР</v>
      </c>
      <c r="Z833" t="str">
        <f t="shared" si="90"/>
        <v>Р11 · Слаботочные системы и безопасность</v>
      </c>
    </row>
    <row r="834" spans="1:26" ht="28.8" x14ac:dyDescent="0.3">
      <c r="A834" t="s">
        <v>1725</v>
      </c>
      <c r="B834" t="s">
        <v>1722</v>
      </c>
      <c r="C834" t="s">
        <v>50</v>
      </c>
      <c r="D834" s="4" t="s">
        <v>1726</v>
      </c>
      <c r="E834" t="s">
        <v>1724</v>
      </c>
      <c r="F834" s="5">
        <v>0</v>
      </c>
      <c r="H834">
        <v>0</v>
      </c>
      <c r="I834" t="s">
        <v>53</v>
      </c>
      <c r="L834" s="6"/>
      <c r="M834" s="6"/>
      <c r="N834" s="6"/>
      <c r="O834" s="5"/>
      <c r="P834" s="7" t="str">
        <f t="shared" ref="P834:P897" si="91">IF($L834="да",ROUND(N($M834)*$S834,2),"")</f>
        <v/>
      </c>
      <c r="Q834" s="7" t="str">
        <f t="shared" ref="Q834:Q897" si="92">IF($L834="да",ROUND(N($M834)*$T834,2),"")</f>
        <v/>
      </c>
      <c r="R834" s="7" t="str">
        <f t="shared" ref="R834:R897" si="93">IF($L834="да",N($P834)+N($Q834),"")</f>
        <v/>
      </c>
      <c r="S834" s="7">
        <f>IF($A834="","",IF(AND(LEFT($G834,3)="ДОК",$N834&lt;&gt;""),IFERROR(INDEX(Документация!$E$2:$E$57,MATCH($N834,Документация!$F$2:$F$57,0)),0),N($F834))*(1-MEDIAN(0,N(ДисконтТендер),1)))</f>
        <v>0</v>
      </c>
      <c r="T834" s="7">
        <f>IF($A834="","",IF(AND(LEFT($G834,3)="ДОК",$N834&lt;&gt;""),0,IF(AND(LEFT($G834,3)&lt;&gt;"ДОК",$N834&lt;&gt;""),IFERROR(INDEX(МАТЕРИАЛЫ!$H$2:$H$9000,MATCH($N834,МАТЕРИАЛЫ!$L$2:$L$9000,0))*IF(INDEX(МАТЕРИАЛЫ!$I$2:$I$9000,MATCH($N834,МАТЕРИАЛЫ!$L$2:$L$9000,0))="USD",КурсUSD,IF(INDEX(МАТЕРИАЛЫ!$I$2:$I$9000,MATCH($N834,МАТЕРИАЛЫ!$L$2:$L$9000,0))="EUR",КурсEUR,IF(INDEX(МАТЕРИАЛЫ!$I$2:$I$9000,MATCH($N834,МАТЕРИАЛЫ!$L$2:$L$9000,0))="CNY",КурсCNY,1)))*(1+N($H834)/100),0),N($O834))*(1-MEDIAN(0,N(ДисконтТендер),1))))</f>
        <v>0</v>
      </c>
      <c r="U834" t="str">
        <f>IF($L834="да",MAX($U$1:$U833)+1,"")</f>
        <v/>
      </c>
      <c r="V834" t="str">
        <f t="shared" ref="V834:V897" si="94">IF($A834="","",$B834)</f>
        <v>Р11</v>
      </c>
      <c r="W834" t="str">
        <f t="shared" ref="W834:W897" si="95">IF($U834="","",IF($U834=1,1,IF($V834&lt;&gt;IFERROR(INDEX($V$2:$V$1058,MATCH($U834-1,$U$2:$U$1058,0)),"~"),1,0)))</f>
        <v/>
      </c>
      <c r="X834" t="str">
        <f t="shared" ref="X834:X897" si="96">IF($U834="","",$U834+SUMIFS($W$2:$W$1058,$U$2:$U$1058,"&lt;="&amp;$U834))</f>
        <v/>
      </c>
      <c r="Y834" s="4" t="str">
        <f>IF($A834="","",IF(AND(LEFT($G834,3)="ДОК",$N834&lt;&gt;""),IFERROR(INDEX(Документация!$G$2:$G$57,MATCH($N834,Документация!$F$2:$F$57,0)),$D834),$D834&amp;IF(AND(LEFT($G834,3)&lt;&gt;"ДОК",$N834&lt;&gt;"")," — "&amp;IFERROR(INDEX(МАТЕРИАЛЫ!$C$2:$C$9000,MATCH($N834,МАТЕРИАЛЫ!$L$2:$L$9000,0)),""),"")))</f>
        <v>Система оповещения и управления эвакуацией (СОУЭ) — монтаж и ПНР</v>
      </c>
      <c r="Z834" t="str">
        <f t="shared" ref="Z834:Z897" si="97">IF($B834="","",$B834&amp;" · "&amp;IFERROR(VLOOKUP($B834,спрРазделы,2,0),""))</f>
        <v>Р11 · Слаботочные системы и безопасность</v>
      </c>
    </row>
    <row r="835" spans="1:26" ht="28.8" x14ac:dyDescent="0.3">
      <c r="A835" t="s">
        <v>1727</v>
      </c>
      <c r="B835" t="s">
        <v>1722</v>
      </c>
      <c r="C835" t="s">
        <v>161</v>
      </c>
      <c r="D835" s="4" t="s">
        <v>1728</v>
      </c>
      <c r="E835" t="s">
        <v>1724</v>
      </c>
      <c r="F835" s="5">
        <v>0</v>
      </c>
      <c r="H835">
        <v>0</v>
      </c>
      <c r="I835" t="s">
        <v>53</v>
      </c>
      <c r="L835" s="6"/>
      <c r="M835" s="6"/>
      <c r="N835" s="6"/>
      <c r="O835" s="5"/>
      <c r="P835" s="7" t="str">
        <f t="shared" si="91"/>
        <v/>
      </c>
      <c r="Q835" s="7" t="str">
        <f t="shared" si="92"/>
        <v/>
      </c>
      <c r="R835" s="7" t="str">
        <f t="shared" si="93"/>
        <v/>
      </c>
      <c r="S835" s="7">
        <f>IF($A835="","",IF(AND(LEFT($G835,3)="ДОК",$N835&lt;&gt;""),IFERROR(INDEX(Документация!$E$2:$E$57,MATCH($N835,Документация!$F$2:$F$57,0)),0),N($F835))*(1-MEDIAN(0,N(ДисконтТендер),1)))</f>
        <v>0</v>
      </c>
      <c r="T835" s="7">
        <f>IF($A835="","",IF(AND(LEFT($G835,3)="ДОК",$N835&lt;&gt;""),0,IF(AND(LEFT($G835,3)&lt;&gt;"ДОК",$N835&lt;&gt;""),IFERROR(INDEX(МАТЕРИАЛЫ!$H$2:$H$9000,MATCH($N835,МАТЕРИАЛЫ!$L$2:$L$9000,0))*IF(INDEX(МАТЕРИАЛЫ!$I$2:$I$9000,MATCH($N835,МАТЕРИАЛЫ!$L$2:$L$9000,0))="USD",КурсUSD,IF(INDEX(МАТЕРИАЛЫ!$I$2:$I$9000,MATCH($N835,МАТЕРИАЛЫ!$L$2:$L$9000,0))="EUR",КурсEUR,IF(INDEX(МАТЕРИАЛЫ!$I$2:$I$9000,MATCH($N835,МАТЕРИАЛЫ!$L$2:$L$9000,0))="CNY",КурсCNY,1)))*(1+N($H835)/100),0),N($O835))*(1-MEDIAN(0,N(ДисконтТендер),1))))</f>
        <v>0</v>
      </c>
      <c r="U835" t="str">
        <f>IF($L835="да",MAX($U$1:$U834)+1,"")</f>
        <v/>
      </c>
      <c r="V835" t="str">
        <f t="shared" si="94"/>
        <v>Р11</v>
      </c>
      <c r="W835" t="str">
        <f t="shared" si="95"/>
        <v/>
      </c>
      <c r="X835" t="str">
        <f t="shared" si="96"/>
        <v/>
      </c>
      <c r="Y835" s="4" t="str">
        <f>IF($A835="","",IF(AND(LEFT($G835,3)="ДОК",$N835&lt;&gt;""),IFERROR(INDEX(Документация!$G$2:$G$57,MATCH($N835,Документация!$F$2:$F$57,0)),$D835),$D835&amp;IF(AND(LEFT($G835,3)&lt;&gt;"ДОК",$N835&lt;&gt;"")," — "&amp;IFERROR(INDEX(МАТЕРИАЛЫ!$C$2:$C$9000,MATCH($N835,МАТЕРИАЛЫ!$L$2:$L$9000,0)),""),"")))</f>
        <v>Система контроля и управления доступом (СКУД) — монтаж и ПНР</v>
      </c>
      <c r="Z835" t="str">
        <f t="shared" si="97"/>
        <v>Р11 · Слаботочные системы и безопасность</v>
      </c>
    </row>
    <row r="836" spans="1:26" ht="28.8" x14ac:dyDescent="0.3">
      <c r="A836" t="s">
        <v>1729</v>
      </c>
      <c r="B836" t="s">
        <v>1722</v>
      </c>
      <c r="C836" t="s">
        <v>161</v>
      </c>
      <c r="D836" s="4" t="s">
        <v>1730</v>
      </c>
      <c r="E836" t="s">
        <v>1724</v>
      </c>
      <c r="F836" s="5">
        <v>0</v>
      </c>
      <c r="H836">
        <v>0</v>
      </c>
      <c r="I836" t="s">
        <v>53</v>
      </c>
      <c r="L836" s="6"/>
      <c r="M836" s="6"/>
      <c r="N836" s="6"/>
      <c r="O836" s="5"/>
      <c r="P836" s="7" t="str">
        <f t="shared" si="91"/>
        <v/>
      </c>
      <c r="Q836" s="7" t="str">
        <f t="shared" si="92"/>
        <v/>
      </c>
      <c r="R836" s="7" t="str">
        <f t="shared" si="93"/>
        <v/>
      </c>
      <c r="S836" s="7">
        <f>IF($A836="","",IF(AND(LEFT($G836,3)="ДОК",$N836&lt;&gt;""),IFERROR(INDEX(Документация!$E$2:$E$57,MATCH($N836,Документация!$F$2:$F$57,0)),0),N($F836))*(1-MEDIAN(0,N(ДисконтТендер),1)))</f>
        <v>0</v>
      </c>
      <c r="T836" s="7">
        <f>IF($A836="","",IF(AND(LEFT($G836,3)="ДОК",$N836&lt;&gt;""),0,IF(AND(LEFT($G836,3)&lt;&gt;"ДОК",$N836&lt;&gt;""),IFERROR(INDEX(МАТЕРИАЛЫ!$H$2:$H$9000,MATCH($N836,МАТЕРИАЛЫ!$L$2:$L$9000,0))*IF(INDEX(МАТЕРИАЛЫ!$I$2:$I$9000,MATCH($N836,МАТЕРИАЛЫ!$L$2:$L$9000,0))="USD",КурсUSD,IF(INDEX(МАТЕРИАЛЫ!$I$2:$I$9000,MATCH($N836,МАТЕРИАЛЫ!$L$2:$L$9000,0))="EUR",КурсEUR,IF(INDEX(МАТЕРИАЛЫ!$I$2:$I$9000,MATCH($N836,МАТЕРИАЛЫ!$L$2:$L$9000,0))="CNY",КурсCNY,1)))*(1+N($H836)/100),0),N($O836))*(1-MEDIAN(0,N(ДисконтТендер),1))))</f>
        <v>0</v>
      </c>
      <c r="U836" t="str">
        <f>IF($L836="да",MAX($U$1:$U835)+1,"")</f>
        <v/>
      </c>
      <c r="V836" t="str">
        <f t="shared" si="94"/>
        <v>Р11</v>
      </c>
      <c r="W836" t="str">
        <f t="shared" si="95"/>
        <v/>
      </c>
      <c r="X836" t="str">
        <f t="shared" si="96"/>
        <v/>
      </c>
      <c r="Y836" s="4" t="str">
        <f>IF($A836="","",IF(AND(LEFT($G836,3)="ДОК",$N836&lt;&gt;""),IFERROR(INDEX(Документация!$G$2:$G$57,MATCH($N836,Документация!$F$2:$F$57,0)),$D836),$D836&amp;IF(AND(LEFT($G836,3)&lt;&gt;"ДОК",$N836&lt;&gt;"")," — "&amp;IFERROR(INDEX(МАТЕРИАЛЫ!$C$2:$C$9000,MATCH($N836,МАТЕРИАЛЫ!$L$2:$L$9000,0)),""),"")))</f>
        <v>Система охранного видеонаблюдения (CCTV) — монтаж и ПНР</v>
      </c>
      <c r="Z836" t="str">
        <f t="shared" si="97"/>
        <v>Р11 · Слаботочные системы и безопасность</v>
      </c>
    </row>
    <row r="837" spans="1:26" ht="28.8" x14ac:dyDescent="0.3">
      <c r="A837" t="s">
        <v>1731</v>
      </c>
      <c r="B837" t="s">
        <v>1722</v>
      </c>
      <c r="C837" t="s">
        <v>161</v>
      </c>
      <c r="D837" s="4" t="s">
        <v>1732</v>
      </c>
      <c r="E837" t="s">
        <v>1724</v>
      </c>
      <c r="F837" s="5">
        <v>0</v>
      </c>
      <c r="H837">
        <v>0</v>
      </c>
      <c r="I837" t="s">
        <v>53</v>
      </c>
      <c r="L837" s="6"/>
      <c r="M837" s="6"/>
      <c r="N837" s="6"/>
      <c r="O837" s="5"/>
      <c r="P837" s="7" t="str">
        <f t="shared" si="91"/>
        <v/>
      </c>
      <c r="Q837" s="7" t="str">
        <f t="shared" si="92"/>
        <v/>
      </c>
      <c r="R837" s="7" t="str">
        <f t="shared" si="93"/>
        <v/>
      </c>
      <c r="S837" s="7">
        <f>IF($A837="","",IF(AND(LEFT($G837,3)="ДОК",$N837&lt;&gt;""),IFERROR(INDEX(Документация!$E$2:$E$57,MATCH($N837,Документация!$F$2:$F$57,0)),0),N($F837))*(1-MEDIAN(0,N(ДисконтТендер),1)))</f>
        <v>0</v>
      </c>
      <c r="T837" s="7">
        <f>IF($A837="","",IF(AND(LEFT($G837,3)="ДОК",$N837&lt;&gt;""),0,IF(AND(LEFT($G837,3)&lt;&gt;"ДОК",$N837&lt;&gt;""),IFERROR(INDEX(МАТЕРИАЛЫ!$H$2:$H$9000,MATCH($N837,МАТЕРИАЛЫ!$L$2:$L$9000,0))*IF(INDEX(МАТЕРИАЛЫ!$I$2:$I$9000,MATCH($N837,МАТЕРИАЛЫ!$L$2:$L$9000,0))="USD",КурсUSD,IF(INDEX(МАТЕРИАЛЫ!$I$2:$I$9000,MATCH($N837,МАТЕРИАЛЫ!$L$2:$L$9000,0))="EUR",КурсEUR,IF(INDEX(МАТЕРИАЛЫ!$I$2:$I$9000,MATCH($N837,МАТЕРИАЛЫ!$L$2:$L$9000,0))="CNY",КурсCNY,1)))*(1+N($H837)/100),0),N($O837))*(1-MEDIAN(0,N(ДисконтТендер),1))))</f>
        <v>0</v>
      </c>
      <c r="U837" t="str">
        <f>IF($L837="да",MAX($U$1:$U836)+1,"")</f>
        <v/>
      </c>
      <c r="V837" t="str">
        <f t="shared" si="94"/>
        <v>Р11</v>
      </c>
      <c r="W837" t="str">
        <f t="shared" si="95"/>
        <v/>
      </c>
      <c r="X837" t="str">
        <f t="shared" si="96"/>
        <v/>
      </c>
      <c r="Y837" s="4" t="str">
        <f>IF($A837="","",IF(AND(LEFT($G837,3)="ДОК",$N837&lt;&gt;""),IFERROR(INDEX(Документация!$G$2:$G$57,MATCH($N837,Документация!$F$2:$F$57,0)),$D837),$D837&amp;IF(AND(LEFT($G837,3)&lt;&gt;"ДОК",$N837&lt;&gt;"")," — "&amp;IFERROR(INDEX(МАТЕРИАЛЫ!$C$2:$C$9000,MATCH($N837,МАТЕРИАЛЫ!$L$2:$L$9000,0)),""),"")))</f>
        <v>Охранная и тревожная сигнализация — монтаж и ПНР</v>
      </c>
      <c r="Z837" t="str">
        <f t="shared" si="97"/>
        <v>Р11 · Слаботочные системы и безопасность</v>
      </c>
    </row>
    <row r="838" spans="1:26" ht="28.8" x14ac:dyDescent="0.3">
      <c r="A838" t="s">
        <v>1733</v>
      </c>
      <c r="B838" t="s">
        <v>1722</v>
      </c>
      <c r="C838" t="s">
        <v>161</v>
      </c>
      <c r="D838" s="4" t="s">
        <v>1734</v>
      </c>
      <c r="E838" t="s">
        <v>1724</v>
      </c>
      <c r="F838" s="5">
        <v>0</v>
      </c>
      <c r="H838">
        <v>0</v>
      </c>
      <c r="I838" t="s">
        <v>53</v>
      </c>
      <c r="L838" s="6"/>
      <c r="M838" s="6"/>
      <c r="N838" s="6"/>
      <c r="O838" s="5"/>
      <c r="P838" s="7" t="str">
        <f t="shared" si="91"/>
        <v/>
      </c>
      <c r="Q838" s="7" t="str">
        <f t="shared" si="92"/>
        <v/>
      </c>
      <c r="R838" s="7" t="str">
        <f t="shared" si="93"/>
        <v/>
      </c>
      <c r="S838" s="7">
        <f>IF($A838="","",IF(AND(LEFT($G838,3)="ДОК",$N838&lt;&gt;""),IFERROR(INDEX(Документация!$E$2:$E$57,MATCH($N838,Документация!$F$2:$F$57,0)),0),N($F838))*(1-MEDIAN(0,N(ДисконтТендер),1)))</f>
        <v>0</v>
      </c>
      <c r="T838" s="7">
        <f>IF($A838="","",IF(AND(LEFT($G838,3)="ДОК",$N838&lt;&gt;""),0,IF(AND(LEFT($G838,3)&lt;&gt;"ДОК",$N838&lt;&gt;""),IFERROR(INDEX(МАТЕРИАЛЫ!$H$2:$H$9000,MATCH($N838,МАТЕРИАЛЫ!$L$2:$L$9000,0))*IF(INDEX(МАТЕРИАЛЫ!$I$2:$I$9000,MATCH($N838,МАТЕРИАЛЫ!$L$2:$L$9000,0))="USD",КурсUSD,IF(INDEX(МАТЕРИАЛЫ!$I$2:$I$9000,MATCH($N838,МАТЕРИАЛЫ!$L$2:$L$9000,0))="EUR",КурсEUR,IF(INDEX(МАТЕРИАЛЫ!$I$2:$I$9000,MATCH($N838,МАТЕРИАЛЫ!$L$2:$L$9000,0))="CNY",КурсCNY,1)))*(1+N($H838)/100),0),N($O838))*(1-MEDIAN(0,N(ДисконтТендер),1))))</f>
        <v>0</v>
      </c>
      <c r="U838" t="str">
        <f>IF($L838="да",MAX($U$1:$U837)+1,"")</f>
        <v/>
      </c>
      <c r="V838" t="str">
        <f t="shared" si="94"/>
        <v>Р11</v>
      </c>
      <c r="W838" t="str">
        <f t="shared" si="95"/>
        <v/>
      </c>
      <c r="X838" t="str">
        <f t="shared" si="96"/>
        <v/>
      </c>
      <c r="Y838" s="4" t="str">
        <f>IF($A838="","",IF(AND(LEFT($G838,3)="ДОК",$N838&lt;&gt;""),IFERROR(INDEX(Документация!$G$2:$G$57,MATCH($N838,Документация!$F$2:$F$57,0)),$D838),$D838&amp;IF(AND(LEFT($G838,3)&lt;&gt;"ДОК",$N838&lt;&gt;"")," — "&amp;IFERROR(INDEX(МАТЕРИАЛЫ!$C$2:$C$9000,MATCH($N838,МАТЕРИАЛЫ!$L$2:$L$9000,0)),""),"")))</f>
        <v>Охрана кассового узла (ДКБ) — оборудование и ПНР</v>
      </c>
      <c r="Z838" t="str">
        <f t="shared" si="97"/>
        <v>Р11 · Слаботочные системы и безопасность</v>
      </c>
    </row>
    <row r="839" spans="1:26" ht="28.8" x14ac:dyDescent="0.3">
      <c r="A839" t="s">
        <v>1735</v>
      </c>
      <c r="B839" t="s">
        <v>1722</v>
      </c>
      <c r="C839" t="s">
        <v>194</v>
      </c>
      <c r="D839" s="4" t="s">
        <v>1736</v>
      </c>
      <c r="E839" t="s">
        <v>1724</v>
      </c>
      <c r="F839" s="5">
        <v>0</v>
      </c>
      <c r="H839">
        <v>0</v>
      </c>
      <c r="I839" t="s">
        <v>53</v>
      </c>
      <c r="L839" s="6"/>
      <c r="M839" s="6"/>
      <c r="N839" s="6"/>
      <c r="O839" s="5"/>
      <c r="P839" s="7" t="str">
        <f t="shared" si="91"/>
        <v/>
      </c>
      <c r="Q839" s="7" t="str">
        <f t="shared" si="92"/>
        <v/>
      </c>
      <c r="R839" s="7" t="str">
        <f t="shared" si="93"/>
        <v/>
      </c>
      <c r="S839" s="7">
        <f>IF($A839="","",IF(AND(LEFT($G839,3)="ДОК",$N839&lt;&gt;""),IFERROR(INDEX(Документация!$E$2:$E$57,MATCH($N839,Документация!$F$2:$F$57,0)),0),N($F839))*(1-MEDIAN(0,N(ДисконтТендер),1)))</f>
        <v>0</v>
      </c>
      <c r="T839" s="7">
        <f>IF($A839="","",IF(AND(LEFT($G839,3)="ДОК",$N839&lt;&gt;""),0,IF(AND(LEFT($G839,3)&lt;&gt;"ДОК",$N839&lt;&gt;""),IFERROR(INDEX(МАТЕРИАЛЫ!$H$2:$H$9000,MATCH($N839,МАТЕРИАЛЫ!$L$2:$L$9000,0))*IF(INDEX(МАТЕРИАЛЫ!$I$2:$I$9000,MATCH($N839,МАТЕРИАЛЫ!$L$2:$L$9000,0))="USD",КурсUSD,IF(INDEX(МАТЕРИАЛЫ!$I$2:$I$9000,MATCH($N839,МАТЕРИАЛЫ!$L$2:$L$9000,0))="EUR",КурсEUR,IF(INDEX(МАТЕРИАЛЫ!$I$2:$I$9000,MATCH($N839,МАТЕРИАЛЫ!$L$2:$L$9000,0))="CNY",КурсCNY,1)))*(1+N($H839)/100),0),N($O839))*(1-MEDIAN(0,N(ДисконтТендер),1))))</f>
        <v>0</v>
      </c>
      <c r="U839" t="str">
        <f>IF($L839="да",MAX($U$1:$U838)+1,"")</f>
        <v/>
      </c>
      <c r="V839" t="str">
        <f t="shared" si="94"/>
        <v>Р11</v>
      </c>
      <c r="W839" t="str">
        <f t="shared" si="95"/>
        <v/>
      </c>
      <c r="X839" t="str">
        <f t="shared" si="96"/>
        <v/>
      </c>
      <c r="Y839" s="4" t="str">
        <f>IF($A839="","",IF(AND(LEFT($G839,3)="ДОК",$N839&lt;&gt;""),IFERROR(INDEX(Документация!$G$2:$G$57,MATCH($N839,Документация!$F$2:$F$57,0)),$D839),$D839&amp;IF(AND(LEFT($G839,3)&lt;&gt;"ДОК",$N839&lt;&gt;"")," — "&amp;IFERROR(INDEX(МАТЕРИАЛЫ!$C$2:$C$9000,MATCH($N839,МАТЕРИАЛЫ!$L$2:$L$9000,0)),""),"")))</f>
        <v>Структурированная кабельная сеть (СКС/ЛВС) — монтаж</v>
      </c>
      <c r="Z839" t="str">
        <f t="shared" si="97"/>
        <v>Р11 · Слаботочные системы и безопасность</v>
      </c>
    </row>
    <row r="840" spans="1:26" x14ac:dyDescent="0.3">
      <c r="A840" t="s">
        <v>1737</v>
      </c>
      <c r="B840" t="s">
        <v>1722</v>
      </c>
      <c r="C840" t="s">
        <v>194</v>
      </c>
      <c r="D840" s="4" t="s">
        <v>1738</v>
      </c>
      <c r="E840" t="s">
        <v>153</v>
      </c>
      <c r="F840" s="5">
        <v>0</v>
      </c>
      <c r="H840">
        <v>0</v>
      </c>
      <c r="I840" t="s">
        <v>53</v>
      </c>
      <c r="L840" s="6"/>
      <c r="M840" s="6"/>
      <c r="N840" s="6"/>
      <c r="O840" s="5"/>
      <c r="P840" s="7" t="str">
        <f t="shared" si="91"/>
        <v/>
      </c>
      <c r="Q840" s="7" t="str">
        <f t="shared" si="92"/>
        <v/>
      </c>
      <c r="R840" s="7" t="str">
        <f t="shared" si="93"/>
        <v/>
      </c>
      <c r="S840" s="7">
        <f>IF($A840="","",IF(AND(LEFT($G840,3)="ДОК",$N840&lt;&gt;""),IFERROR(INDEX(Документация!$E$2:$E$57,MATCH($N840,Документация!$F$2:$F$57,0)),0),N($F840))*(1-MEDIAN(0,N(ДисконтТендер),1)))</f>
        <v>0</v>
      </c>
      <c r="T840" s="7">
        <f>IF($A840="","",IF(AND(LEFT($G840,3)="ДОК",$N840&lt;&gt;""),0,IF(AND(LEFT($G840,3)&lt;&gt;"ДОК",$N840&lt;&gt;""),IFERROR(INDEX(МАТЕРИАЛЫ!$H$2:$H$9000,MATCH($N840,МАТЕРИАЛЫ!$L$2:$L$9000,0))*IF(INDEX(МАТЕРИАЛЫ!$I$2:$I$9000,MATCH($N840,МАТЕРИАЛЫ!$L$2:$L$9000,0))="USD",КурсUSD,IF(INDEX(МАТЕРИАЛЫ!$I$2:$I$9000,MATCH($N840,МАТЕРИАЛЫ!$L$2:$L$9000,0))="EUR",КурсEUR,IF(INDEX(МАТЕРИАЛЫ!$I$2:$I$9000,MATCH($N840,МАТЕРИАЛЫ!$L$2:$L$9000,0))="CNY",КурсCNY,1)))*(1+N($H840)/100),0),N($O840))*(1-MEDIAN(0,N(ДисконтТендер),1))))</f>
        <v>0</v>
      </c>
      <c r="U840" t="str">
        <f>IF($L840="да",MAX($U$1:$U839)+1,"")</f>
        <v/>
      </c>
      <c r="V840" t="str">
        <f t="shared" si="94"/>
        <v>Р11</v>
      </c>
      <c r="W840" t="str">
        <f t="shared" si="95"/>
        <v/>
      </c>
      <c r="X840" t="str">
        <f t="shared" si="96"/>
        <v/>
      </c>
      <c r="Y840" s="4" t="str">
        <f>IF($A840="","",IF(AND(LEFT($G840,3)="ДОК",$N840&lt;&gt;""),IFERROR(INDEX(Документация!$G$2:$G$57,MATCH($N840,Документация!$F$2:$F$57,0)),$D840),$D840&amp;IF(AND(LEFT($G840,3)&lt;&gt;"ДОК",$N840&lt;&gt;"")," — "&amp;IFERROR(INDEX(МАТЕРИАЛЫ!$C$2:$C$9000,MATCH($N840,МАТЕРИАЛЫ!$L$2:$L$9000,0)),""),"")))</f>
        <v>Закладные и лотки под слаботочные системы</v>
      </c>
      <c r="Z840" t="str">
        <f t="shared" si="97"/>
        <v>Р11 · Слаботочные системы и безопасность</v>
      </c>
    </row>
    <row r="841" spans="1:26" ht="28.8" x14ac:dyDescent="0.3">
      <c r="A841" t="s">
        <v>1739</v>
      </c>
      <c r="B841" t="s">
        <v>1722</v>
      </c>
      <c r="C841" t="s">
        <v>319</v>
      </c>
      <c r="D841" s="4" t="s">
        <v>1740</v>
      </c>
      <c r="E841" t="s">
        <v>1724</v>
      </c>
      <c r="F841" s="5">
        <v>0</v>
      </c>
      <c r="H841">
        <v>0</v>
      </c>
      <c r="I841" t="s">
        <v>53</v>
      </c>
      <c r="L841" s="6"/>
      <c r="M841" s="6"/>
      <c r="N841" s="6"/>
      <c r="O841" s="5"/>
      <c r="P841" s="7" t="str">
        <f t="shared" si="91"/>
        <v/>
      </c>
      <c r="Q841" s="7" t="str">
        <f t="shared" si="92"/>
        <v/>
      </c>
      <c r="R841" s="7" t="str">
        <f t="shared" si="93"/>
        <v/>
      </c>
      <c r="S841" s="7">
        <f>IF($A841="","",IF(AND(LEFT($G841,3)="ДОК",$N841&lt;&gt;""),IFERROR(INDEX(Документация!$E$2:$E$57,MATCH($N841,Документация!$F$2:$F$57,0)),0),N($F841))*(1-MEDIAN(0,N(ДисконтТендер),1)))</f>
        <v>0</v>
      </c>
      <c r="T841" s="7">
        <f>IF($A841="","",IF(AND(LEFT($G841,3)="ДОК",$N841&lt;&gt;""),0,IF(AND(LEFT($G841,3)&lt;&gt;"ДОК",$N841&lt;&gt;""),IFERROR(INDEX(МАТЕРИАЛЫ!$H$2:$H$9000,MATCH($N841,МАТЕРИАЛЫ!$L$2:$L$9000,0))*IF(INDEX(МАТЕРИАЛЫ!$I$2:$I$9000,MATCH($N841,МАТЕРИАЛЫ!$L$2:$L$9000,0))="USD",КурсUSD,IF(INDEX(МАТЕРИАЛЫ!$I$2:$I$9000,MATCH($N841,МАТЕРИАЛЫ!$L$2:$L$9000,0))="EUR",КурсEUR,IF(INDEX(МАТЕРИАЛЫ!$I$2:$I$9000,MATCH($N841,МАТЕРИАЛЫ!$L$2:$L$9000,0))="CNY",КурсCNY,1)))*(1+N($H841)/100),0),N($O841))*(1-MEDIAN(0,N(ДисконтТендер),1))))</f>
        <v>0</v>
      </c>
      <c r="U841" t="str">
        <f>IF($L841="да",MAX($U$1:$U840)+1,"")</f>
        <v/>
      </c>
      <c r="V841" t="str">
        <f t="shared" si="94"/>
        <v>Р11</v>
      </c>
      <c r="W841" t="str">
        <f t="shared" si="95"/>
        <v/>
      </c>
      <c r="X841" t="str">
        <f t="shared" si="96"/>
        <v/>
      </c>
      <c r="Y841" s="4" t="str">
        <f>IF($A841="","",IF(AND(LEFT($G841,3)="ДОК",$N841&lt;&gt;""),IFERROR(INDEX(Документация!$G$2:$G$57,MATCH($N841,Документация!$F$2:$F$57,0)),$D841),$D841&amp;IF(AND(LEFT($G841,3)&lt;&gt;"ДОК",$N841&lt;&gt;"")," — "&amp;IFERROR(INDEX(МАТЕРИАЛЫ!$C$2:$C$9000,MATCH($N841,МАТЕРИАЛЫ!$L$2:$L$9000,0)),""),"")))</f>
        <v>Граница ответственности: слаботочка/безопасность — вендор банка</v>
      </c>
      <c r="Z841" t="str">
        <f t="shared" si="97"/>
        <v>Р11 · Слаботочные системы и безопасность</v>
      </c>
    </row>
    <row r="842" spans="1:26" ht="28.8" x14ac:dyDescent="0.3">
      <c r="A842" t="s">
        <v>1741</v>
      </c>
      <c r="B842" t="s">
        <v>1742</v>
      </c>
      <c r="C842" t="s">
        <v>50</v>
      </c>
      <c r="D842" s="4" t="s">
        <v>1743</v>
      </c>
      <c r="E842" t="s">
        <v>1724</v>
      </c>
      <c r="F842" s="5">
        <v>0</v>
      </c>
      <c r="H842">
        <v>0</v>
      </c>
      <c r="I842" t="s">
        <v>53</v>
      </c>
      <c r="L842" s="6"/>
      <c r="M842" s="6"/>
      <c r="N842" s="6"/>
      <c r="O842" s="5"/>
      <c r="P842" s="7" t="str">
        <f t="shared" si="91"/>
        <v/>
      </c>
      <c r="Q842" s="7" t="str">
        <f t="shared" si="92"/>
        <v/>
      </c>
      <c r="R842" s="7" t="str">
        <f t="shared" si="93"/>
        <v/>
      </c>
      <c r="S842" s="7">
        <f>IF($A842="","",IF(AND(LEFT($G842,3)="ДОК",$N842&lt;&gt;""),IFERROR(INDEX(Документация!$E$2:$E$57,MATCH($N842,Документация!$F$2:$F$57,0)),0),N($F842))*(1-MEDIAN(0,N(ДисконтТендер),1)))</f>
        <v>0</v>
      </c>
      <c r="T842" s="7">
        <f>IF($A842="","",IF(AND(LEFT($G842,3)="ДОК",$N842&lt;&gt;""),0,IF(AND(LEFT($G842,3)&lt;&gt;"ДОК",$N842&lt;&gt;""),IFERROR(INDEX(МАТЕРИАЛЫ!$H$2:$H$9000,MATCH($N842,МАТЕРИАЛЫ!$L$2:$L$9000,0))*IF(INDEX(МАТЕРИАЛЫ!$I$2:$I$9000,MATCH($N842,МАТЕРИАЛЫ!$L$2:$L$9000,0))="USD",КурсUSD,IF(INDEX(МАТЕРИАЛЫ!$I$2:$I$9000,MATCH($N842,МАТЕРИАЛЫ!$L$2:$L$9000,0))="EUR",КурсEUR,IF(INDEX(МАТЕРИАЛЫ!$I$2:$I$9000,MATCH($N842,МАТЕРИАЛЫ!$L$2:$L$9000,0))="CNY",КурсCNY,1)))*(1+N($H842)/100),0),N($O842))*(1-MEDIAN(0,N(ДисконтТендер),1))))</f>
        <v>0</v>
      </c>
      <c r="U842" t="str">
        <f>IF($L842="да",MAX($U$1:$U841)+1,"")</f>
        <v/>
      </c>
      <c r="V842" t="str">
        <f t="shared" si="94"/>
        <v>Р12</v>
      </c>
      <c r="W842" t="str">
        <f t="shared" si="95"/>
        <v/>
      </c>
      <c r="X842" t="str">
        <f t="shared" si="96"/>
        <v/>
      </c>
      <c r="Y842" s="4" t="str">
        <f>IF($A842="","",IF(AND(LEFT($G842,3)="ДОК",$N842&lt;&gt;""),IFERROR(INDEX(Документация!$G$2:$G$57,MATCH($N842,Документация!$F$2:$F$57,0)),$D842),$D842&amp;IF(AND(LEFT($G842,3)&lt;&gt;"ДОК",$N842&lt;&gt;"")," — "&amp;IFERROR(INDEX(МАТЕРИАЛЫ!$C$2:$C$9000,MATCH($N842,МАТЕРИАЛЫ!$L$2:$L$9000,0)),""),"")))</f>
        <v>Временное электроснабжение строительной площадки</v>
      </c>
      <c r="Z842" t="str">
        <f t="shared" si="97"/>
        <v>Р12 · Лимитированные и прочие затраты</v>
      </c>
    </row>
    <row r="843" spans="1:26" ht="28.8" x14ac:dyDescent="0.3">
      <c r="A843" t="s">
        <v>1744</v>
      </c>
      <c r="B843" t="s">
        <v>1742</v>
      </c>
      <c r="C843" t="s">
        <v>50</v>
      </c>
      <c r="D843" s="4" t="s">
        <v>1745</v>
      </c>
      <c r="E843" t="s">
        <v>1724</v>
      </c>
      <c r="F843" s="5">
        <v>0</v>
      </c>
      <c r="H843">
        <v>0</v>
      </c>
      <c r="I843" t="s">
        <v>53</v>
      </c>
      <c r="L843" s="6"/>
      <c r="M843" s="6"/>
      <c r="N843" s="6"/>
      <c r="O843" s="5"/>
      <c r="P843" s="7" t="str">
        <f t="shared" si="91"/>
        <v/>
      </c>
      <c r="Q843" s="7" t="str">
        <f t="shared" si="92"/>
        <v/>
      </c>
      <c r="R843" s="7" t="str">
        <f t="shared" si="93"/>
        <v/>
      </c>
      <c r="S843" s="7">
        <f>IF($A843="","",IF(AND(LEFT($G843,3)="ДОК",$N843&lt;&gt;""),IFERROR(INDEX(Документация!$E$2:$E$57,MATCH($N843,Документация!$F$2:$F$57,0)),0),N($F843))*(1-MEDIAN(0,N(ДисконтТендер),1)))</f>
        <v>0</v>
      </c>
      <c r="T843" s="7">
        <f>IF($A843="","",IF(AND(LEFT($G843,3)="ДОК",$N843&lt;&gt;""),0,IF(AND(LEFT($G843,3)&lt;&gt;"ДОК",$N843&lt;&gt;""),IFERROR(INDEX(МАТЕРИАЛЫ!$H$2:$H$9000,MATCH($N843,МАТЕРИАЛЫ!$L$2:$L$9000,0))*IF(INDEX(МАТЕРИАЛЫ!$I$2:$I$9000,MATCH($N843,МАТЕРИАЛЫ!$L$2:$L$9000,0))="USD",КурсUSD,IF(INDEX(МАТЕРИАЛЫ!$I$2:$I$9000,MATCH($N843,МАТЕРИАЛЫ!$L$2:$L$9000,0))="EUR",КурсEUR,IF(INDEX(МАТЕРИАЛЫ!$I$2:$I$9000,MATCH($N843,МАТЕРИАЛЫ!$L$2:$L$9000,0))="CNY",КурсCNY,1)))*(1+N($H843)/100),0),N($O843))*(1-MEDIAN(0,N(ДисконтТендер),1))))</f>
        <v>0</v>
      </c>
      <c r="U843" t="str">
        <f>IF($L843="да",MAX($U$1:$U842)+1,"")</f>
        <v/>
      </c>
      <c r="V843" t="str">
        <f t="shared" si="94"/>
        <v>Р12</v>
      </c>
      <c r="W843" t="str">
        <f t="shared" si="95"/>
        <v/>
      </c>
      <c r="X843" t="str">
        <f t="shared" si="96"/>
        <v/>
      </c>
      <c r="Y843" s="4" t="str">
        <f>IF($A843="","",IF(AND(LEFT($G843,3)="ДОК",$N843&lt;&gt;""),IFERROR(INDEX(Документация!$G$2:$G$57,MATCH($N843,Документация!$F$2:$F$57,0)),$D843),$D843&amp;IF(AND(LEFT($G843,3)&lt;&gt;"ДОК",$N843&lt;&gt;"")," — "&amp;IFERROR(INDEX(МАТЕРИАЛЫ!$C$2:$C$9000,MATCH($N843,МАТЕРИАЛЫ!$L$2:$L$9000,0)),""),"")))</f>
        <v>Временное водоснабжение строительной площадки</v>
      </c>
      <c r="Z843" t="str">
        <f t="shared" si="97"/>
        <v>Р12 · Лимитированные и прочие затраты</v>
      </c>
    </row>
    <row r="844" spans="1:26" x14ac:dyDescent="0.3">
      <c r="A844" t="s">
        <v>1746</v>
      </c>
      <c r="B844" t="s">
        <v>1742</v>
      </c>
      <c r="C844" t="s">
        <v>50</v>
      </c>
      <c r="D844" s="4" t="s">
        <v>1747</v>
      </c>
      <c r="E844" t="s">
        <v>153</v>
      </c>
      <c r="F844" s="5">
        <v>0</v>
      </c>
      <c r="H844">
        <v>0</v>
      </c>
      <c r="I844" t="s">
        <v>53</v>
      </c>
      <c r="L844" s="6"/>
      <c r="M844" s="6"/>
      <c r="N844" s="6"/>
      <c r="O844" s="5"/>
      <c r="P844" s="7" t="str">
        <f t="shared" si="91"/>
        <v/>
      </c>
      <c r="Q844" s="7" t="str">
        <f t="shared" si="92"/>
        <v/>
      </c>
      <c r="R844" s="7" t="str">
        <f t="shared" si="93"/>
        <v/>
      </c>
      <c r="S844" s="7">
        <f>IF($A844="","",IF(AND(LEFT($G844,3)="ДОК",$N844&lt;&gt;""),IFERROR(INDEX(Документация!$E$2:$E$57,MATCH($N844,Документация!$F$2:$F$57,0)),0),N($F844))*(1-MEDIAN(0,N(ДисконтТендер),1)))</f>
        <v>0</v>
      </c>
      <c r="T844" s="7">
        <f>IF($A844="","",IF(AND(LEFT($G844,3)="ДОК",$N844&lt;&gt;""),0,IF(AND(LEFT($G844,3)&lt;&gt;"ДОК",$N844&lt;&gt;""),IFERROR(INDEX(МАТЕРИАЛЫ!$H$2:$H$9000,MATCH($N844,МАТЕРИАЛЫ!$L$2:$L$9000,0))*IF(INDEX(МАТЕРИАЛЫ!$I$2:$I$9000,MATCH($N844,МАТЕРИАЛЫ!$L$2:$L$9000,0))="USD",КурсUSD,IF(INDEX(МАТЕРИАЛЫ!$I$2:$I$9000,MATCH($N844,МАТЕРИАЛЫ!$L$2:$L$9000,0))="EUR",КурсEUR,IF(INDEX(МАТЕРИАЛЫ!$I$2:$I$9000,MATCH($N844,МАТЕРИАЛЫ!$L$2:$L$9000,0))="CNY",КурсCNY,1)))*(1+N($H844)/100),0),N($O844))*(1-MEDIAN(0,N(ДисконтТендер),1))))</f>
        <v>0</v>
      </c>
      <c r="U844" t="str">
        <f>IF($L844="да",MAX($U$1:$U843)+1,"")</f>
        <v/>
      </c>
      <c r="V844" t="str">
        <f t="shared" si="94"/>
        <v>Р12</v>
      </c>
      <c r="W844" t="str">
        <f t="shared" si="95"/>
        <v/>
      </c>
      <c r="X844" t="str">
        <f t="shared" si="96"/>
        <v/>
      </c>
      <c r="Y844" s="4" t="str">
        <f>IF($A844="","",IF(AND(LEFT($G844,3)="ДОК",$N844&lt;&gt;""),IFERROR(INDEX(Документация!$G$2:$G$57,MATCH($N844,Документация!$F$2:$F$57,0)),$D844),$D844&amp;IF(AND(LEFT($G844,3)&lt;&gt;"ДОК",$N844&lt;&gt;"")," — "&amp;IFERROR(INDEX(МАТЕРИАЛЫ!$C$2:$C$9000,MATCH($N844,МАТЕРИАЛЫ!$L$2:$L$9000,0)),""),"")))</f>
        <v>Ограждение строительной зоны</v>
      </c>
      <c r="Z844" t="str">
        <f t="shared" si="97"/>
        <v>Р12 · Лимитированные и прочие затраты</v>
      </c>
    </row>
    <row r="845" spans="1:26" ht="28.8" x14ac:dyDescent="0.3">
      <c r="A845" t="s">
        <v>1748</v>
      </c>
      <c r="B845" t="s">
        <v>1742</v>
      </c>
      <c r="C845" t="s">
        <v>50</v>
      </c>
      <c r="D845" s="4" t="s">
        <v>1749</v>
      </c>
      <c r="E845" t="s">
        <v>1750</v>
      </c>
      <c r="F845" s="5">
        <v>0</v>
      </c>
      <c r="H845">
        <v>0</v>
      </c>
      <c r="I845" t="s">
        <v>53</v>
      </c>
      <c r="L845" s="6"/>
      <c r="M845" s="6"/>
      <c r="N845" s="6"/>
      <c r="O845" s="5"/>
      <c r="P845" s="7" t="str">
        <f t="shared" si="91"/>
        <v/>
      </c>
      <c r="Q845" s="7" t="str">
        <f t="shared" si="92"/>
        <v/>
      </c>
      <c r="R845" s="7" t="str">
        <f t="shared" si="93"/>
        <v/>
      </c>
      <c r="S845" s="7">
        <f>IF($A845="","",IF(AND(LEFT($G845,3)="ДОК",$N845&lt;&gt;""),IFERROR(INDEX(Документация!$E$2:$E$57,MATCH($N845,Документация!$F$2:$F$57,0)),0),N($F845))*(1-MEDIAN(0,N(ДисконтТендер),1)))</f>
        <v>0</v>
      </c>
      <c r="T845" s="7">
        <f>IF($A845="","",IF(AND(LEFT($G845,3)="ДОК",$N845&lt;&gt;""),0,IF(AND(LEFT($G845,3)&lt;&gt;"ДОК",$N845&lt;&gt;""),IFERROR(INDEX(МАТЕРИАЛЫ!$H$2:$H$9000,MATCH($N845,МАТЕРИАЛЫ!$L$2:$L$9000,0))*IF(INDEX(МАТЕРИАЛЫ!$I$2:$I$9000,MATCH($N845,МАТЕРИАЛЫ!$L$2:$L$9000,0))="USD",КурсUSD,IF(INDEX(МАТЕРИАЛЫ!$I$2:$I$9000,MATCH($N845,МАТЕРИАЛЫ!$L$2:$L$9000,0))="EUR",КурсEUR,IF(INDEX(МАТЕРИАЛЫ!$I$2:$I$9000,MATCH($N845,МАТЕРИАЛЫ!$L$2:$L$9000,0))="CNY",КурсCNY,1)))*(1+N($H845)/100),0),N($O845))*(1-MEDIAN(0,N(ДисконтТендер),1))))</f>
        <v>0</v>
      </c>
      <c r="U845" t="str">
        <f>IF($L845="да",MAX($U$1:$U844)+1,"")</f>
        <v/>
      </c>
      <c r="V845" t="str">
        <f t="shared" si="94"/>
        <v>Р12</v>
      </c>
      <c r="W845" t="str">
        <f t="shared" si="95"/>
        <v/>
      </c>
      <c r="X845" t="str">
        <f t="shared" si="96"/>
        <v/>
      </c>
      <c r="Y845" s="4" t="str">
        <f>IF($A845="","",IF(AND(LEFT($G845,3)="ДОК",$N845&lt;&gt;""),IFERROR(INDEX(Документация!$G$2:$G$57,MATCH($N845,Документация!$F$2:$F$57,0)),$D845),$D845&amp;IF(AND(LEFT($G845,3)&lt;&gt;"ДОК",$N845&lt;&gt;"")," — "&amp;IFERROR(INDEX(МАТЕРИАЛЫ!$C$2:$C$9000,MATCH($N845,МАТЕРИАЛЫ!$L$2:$L$9000,0)),""),"")))</f>
        <v>Бытовое помещение на период производства работ</v>
      </c>
      <c r="Z845" t="str">
        <f t="shared" si="97"/>
        <v>Р12 · Лимитированные и прочие затраты</v>
      </c>
    </row>
    <row r="846" spans="1:26" x14ac:dyDescent="0.3">
      <c r="A846" t="s">
        <v>1751</v>
      </c>
      <c r="B846" t="s">
        <v>1742</v>
      </c>
      <c r="C846" t="s">
        <v>50</v>
      </c>
      <c r="D846" s="4" t="s">
        <v>1752</v>
      </c>
      <c r="E846" t="s">
        <v>1750</v>
      </c>
      <c r="F846" s="5">
        <v>0</v>
      </c>
      <c r="H846">
        <v>0</v>
      </c>
      <c r="I846" t="s">
        <v>53</v>
      </c>
      <c r="L846" s="6"/>
      <c r="M846" s="6"/>
      <c r="N846" s="6"/>
      <c r="O846" s="5"/>
      <c r="P846" s="7" t="str">
        <f t="shared" si="91"/>
        <v/>
      </c>
      <c r="Q846" s="7" t="str">
        <f t="shared" si="92"/>
        <v/>
      </c>
      <c r="R846" s="7" t="str">
        <f t="shared" si="93"/>
        <v/>
      </c>
      <c r="S846" s="7">
        <f>IF($A846="","",IF(AND(LEFT($G846,3)="ДОК",$N846&lt;&gt;""),IFERROR(INDEX(Документация!$E$2:$E$57,MATCH($N846,Документация!$F$2:$F$57,0)),0),N($F846))*(1-MEDIAN(0,N(ДисконтТендер),1)))</f>
        <v>0</v>
      </c>
      <c r="T846" s="7">
        <f>IF($A846="","",IF(AND(LEFT($G846,3)="ДОК",$N846&lt;&gt;""),0,IF(AND(LEFT($G846,3)&lt;&gt;"ДОК",$N846&lt;&gt;""),IFERROR(INDEX(МАТЕРИАЛЫ!$H$2:$H$9000,MATCH($N846,МАТЕРИАЛЫ!$L$2:$L$9000,0))*IF(INDEX(МАТЕРИАЛЫ!$I$2:$I$9000,MATCH($N846,МАТЕРИАЛЫ!$L$2:$L$9000,0))="USD",КурсUSD,IF(INDEX(МАТЕРИАЛЫ!$I$2:$I$9000,MATCH($N846,МАТЕРИАЛЫ!$L$2:$L$9000,0))="EUR",КурсEUR,IF(INDEX(МАТЕРИАЛЫ!$I$2:$I$9000,MATCH($N846,МАТЕРИАЛЫ!$L$2:$L$9000,0))="CNY",КурсCNY,1)))*(1+N($H846)/100),0),N($O846))*(1-MEDIAN(0,N(ДисконтТендер),1))))</f>
        <v>0</v>
      </c>
      <c r="U846" t="str">
        <f>IF($L846="да",MAX($U$1:$U845)+1,"")</f>
        <v/>
      </c>
      <c r="V846" t="str">
        <f t="shared" si="94"/>
        <v>Р12</v>
      </c>
      <c r="W846" t="str">
        <f t="shared" si="95"/>
        <v/>
      </c>
      <c r="X846" t="str">
        <f t="shared" si="96"/>
        <v/>
      </c>
      <c r="Y846" s="4" t="str">
        <f>IF($A846="","",IF(AND(LEFT($G846,3)="ДОК",$N846&lt;&gt;""),IFERROR(INDEX(Документация!$G$2:$G$57,MATCH($N846,Документация!$F$2:$F$57,0)),$D846),$D846&amp;IF(AND(LEFT($G846,3)&lt;&gt;"ДОК",$N846&lt;&gt;"")," — "&amp;IFERROR(INDEX(МАТЕРИАЛЫ!$C$2:$C$9000,MATCH($N846,МАТЕРИАЛЫ!$L$2:$L$9000,0)),""),"")))</f>
        <v>Охрана объекта на период производства работ</v>
      </c>
      <c r="Z846" t="str">
        <f t="shared" si="97"/>
        <v>Р12 · Лимитированные и прочие затраты</v>
      </c>
    </row>
    <row r="847" spans="1:26" ht="28.8" x14ac:dyDescent="0.3">
      <c r="A847" t="s">
        <v>1753</v>
      </c>
      <c r="B847" t="s">
        <v>1742</v>
      </c>
      <c r="C847" t="s">
        <v>50</v>
      </c>
      <c r="D847" s="4" t="s">
        <v>1754</v>
      </c>
      <c r="E847" t="s">
        <v>1724</v>
      </c>
      <c r="F847" s="5">
        <v>0</v>
      </c>
      <c r="H847">
        <v>0</v>
      </c>
      <c r="I847" t="s">
        <v>53</v>
      </c>
      <c r="L847" s="6"/>
      <c r="M847" s="6"/>
      <c r="N847" s="6"/>
      <c r="O847" s="5"/>
      <c r="P847" s="7" t="str">
        <f t="shared" si="91"/>
        <v/>
      </c>
      <c r="Q847" s="7" t="str">
        <f t="shared" si="92"/>
        <v/>
      </c>
      <c r="R847" s="7" t="str">
        <f t="shared" si="93"/>
        <v/>
      </c>
      <c r="S847" s="7">
        <f>IF($A847="","",IF(AND(LEFT($G847,3)="ДОК",$N847&lt;&gt;""),IFERROR(INDEX(Документация!$E$2:$E$57,MATCH($N847,Документация!$F$2:$F$57,0)),0),N($F847))*(1-MEDIAN(0,N(ДисконтТендер),1)))</f>
        <v>0</v>
      </c>
      <c r="T847" s="7">
        <f>IF($A847="","",IF(AND(LEFT($G847,3)="ДОК",$N847&lt;&gt;""),0,IF(AND(LEFT($G847,3)&lt;&gt;"ДОК",$N847&lt;&gt;""),IFERROR(INDEX(МАТЕРИАЛЫ!$H$2:$H$9000,MATCH($N847,МАТЕРИАЛЫ!$L$2:$L$9000,0))*IF(INDEX(МАТЕРИАЛЫ!$I$2:$I$9000,MATCH($N847,МАТЕРИАЛЫ!$L$2:$L$9000,0))="USD",КурсUSD,IF(INDEX(МАТЕРИАЛЫ!$I$2:$I$9000,MATCH($N847,МАТЕРИАЛЫ!$L$2:$L$9000,0))="EUR",КурсEUR,IF(INDEX(МАТЕРИАЛЫ!$I$2:$I$9000,MATCH($N847,МАТЕРИАЛЫ!$L$2:$L$9000,0))="CNY",КурсCNY,1)))*(1+N($H847)/100),0),N($O847))*(1-MEDIAN(0,N(ДисконтТендер),1))))</f>
        <v>0</v>
      </c>
      <c r="U847" t="str">
        <f>IF($L847="да",MAX($U$1:$U846)+1,"")</f>
        <v/>
      </c>
      <c r="V847" t="str">
        <f t="shared" si="94"/>
        <v>Р12</v>
      </c>
      <c r="W847" t="str">
        <f t="shared" si="95"/>
        <v/>
      </c>
      <c r="X847" t="str">
        <f t="shared" si="96"/>
        <v/>
      </c>
      <c r="Y847" s="4" t="str">
        <f>IF($A847="","",IF(AND(LEFT($G847,3)="ДОК",$N847&lt;&gt;""),IFERROR(INDEX(Документация!$G$2:$G$57,MATCH($N847,Документация!$F$2:$F$57,0)),$D847),$D847&amp;IF(AND(LEFT($G847,3)&lt;&gt;"ДОК",$N847&lt;&gt;"")," — "&amp;IFERROR(INDEX(МАТЕРИАЛЫ!$C$2:$C$9000,MATCH($N847,МАТЕРИАЛЫ!$L$2:$L$9000,0)),""),"")))</f>
        <v>Мероприятия по охране труда, пожарной безопасности, СИЗ</v>
      </c>
      <c r="Z847" t="str">
        <f t="shared" si="97"/>
        <v>Р12 · Лимитированные и прочие затраты</v>
      </c>
    </row>
    <row r="848" spans="1:26" x14ac:dyDescent="0.3">
      <c r="A848" t="s">
        <v>1755</v>
      </c>
      <c r="B848" t="s">
        <v>1742</v>
      </c>
      <c r="C848" t="s">
        <v>161</v>
      </c>
      <c r="D848" s="4" t="s">
        <v>1756</v>
      </c>
      <c r="E848" t="s">
        <v>1724</v>
      </c>
      <c r="F848" s="5">
        <v>0</v>
      </c>
      <c r="H848">
        <v>0</v>
      </c>
      <c r="I848" t="s">
        <v>53</v>
      </c>
      <c r="L848" s="6"/>
      <c r="M848" s="6"/>
      <c r="N848" s="6"/>
      <c r="O848" s="5"/>
      <c r="P848" s="7" t="str">
        <f t="shared" si="91"/>
        <v/>
      </c>
      <c r="Q848" s="7" t="str">
        <f t="shared" si="92"/>
        <v/>
      </c>
      <c r="R848" s="7" t="str">
        <f t="shared" si="93"/>
        <v/>
      </c>
      <c r="S848" s="7">
        <f>IF($A848="","",IF(AND(LEFT($G848,3)="ДОК",$N848&lt;&gt;""),IFERROR(INDEX(Документация!$E$2:$E$57,MATCH($N848,Документация!$F$2:$F$57,0)),0),N($F848))*(1-MEDIAN(0,N(ДисконтТендер),1)))</f>
        <v>0</v>
      </c>
      <c r="T848" s="7">
        <f>IF($A848="","",IF(AND(LEFT($G848,3)="ДОК",$N848&lt;&gt;""),0,IF(AND(LEFT($G848,3)&lt;&gt;"ДОК",$N848&lt;&gt;""),IFERROR(INDEX(МАТЕРИАЛЫ!$H$2:$H$9000,MATCH($N848,МАТЕРИАЛЫ!$L$2:$L$9000,0))*IF(INDEX(МАТЕРИАЛЫ!$I$2:$I$9000,MATCH($N848,МАТЕРИАЛЫ!$L$2:$L$9000,0))="USD",КурсUSD,IF(INDEX(МАТЕРИАЛЫ!$I$2:$I$9000,MATCH($N848,МАТЕРИАЛЫ!$L$2:$L$9000,0))="EUR",КурсEUR,IF(INDEX(МАТЕРИАЛЫ!$I$2:$I$9000,MATCH($N848,МАТЕРИАЛЫ!$L$2:$L$9000,0))="CNY",КурсCNY,1)))*(1+N($H848)/100),0),N($O848))*(1-MEDIAN(0,N(ДисконтТендер),1))))</f>
        <v>0</v>
      </c>
      <c r="U848" t="str">
        <f>IF($L848="да",MAX($U$1:$U847)+1,"")</f>
        <v/>
      </c>
      <c r="V848" t="str">
        <f t="shared" si="94"/>
        <v>Р12</v>
      </c>
      <c r="W848" t="str">
        <f t="shared" si="95"/>
        <v/>
      </c>
      <c r="X848" t="str">
        <f t="shared" si="96"/>
        <v/>
      </c>
      <c r="Y848" s="4" t="str">
        <f>IF($A848="","",IF(AND(LEFT($G848,3)="ДОК",$N848&lt;&gt;""),IFERROR(INDEX(Документация!$G$2:$G$57,MATCH($N848,Документация!$F$2:$F$57,0)),$D848),$D848&amp;IF(AND(LEFT($G848,3)&lt;&gt;"ДОК",$N848&lt;&gt;"")," — "&amp;IFERROR(INDEX(МАТЕРИАЛЫ!$C$2:$C$9000,MATCH($N848,МАТЕРИАЛЫ!$L$2:$L$9000,0)),""),"")))</f>
        <v>Пусконаладочные работы систем вентиляции</v>
      </c>
      <c r="Z848" t="str">
        <f t="shared" si="97"/>
        <v>Р12 · Лимитированные и прочие затраты</v>
      </c>
    </row>
    <row r="849" spans="1:26" ht="28.8" x14ac:dyDescent="0.3">
      <c r="A849" t="s">
        <v>1757</v>
      </c>
      <c r="B849" t="s">
        <v>1742</v>
      </c>
      <c r="C849" t="s">
        <v>161</v>
      </c>
      <c r="D849" s="4" t="s">
        <v>1242</v>
      </c>
      <c r="E849" t="s">
        <v>1724</v>
      </c>
      <c r="F849" s="5">
        <v>0</v>
      </c>
      <c r="H849">
        <v>0</v>
      </c>
      <c r="I849" t="s">
        <v>53</v>
      </c>
      <c r="L849" s="6"/>
      <c r="M849" s="6"/>
      <c r="N849" s="6"/>
      <c r="O849" s="5"/>
      <c r="P849" s="7" t="str">
        <f t="shared" si="91"/>
        <v/>
      </c>
      <c r="Q849" s="7" t="str">
        <f t="shared" si="92"/>
        <v/>
      </c>
      <c r="R849" s="7" t="str">
        <f t="shared" si="93"/>
        <v/>
      </c>
      <c r="S849" s="7">
        <f>IF($A849="","",IF(AND(LEFT($G849,3)="ДОК",$N849&lt;&gt;""),IFERROR(INDEX(Документация!$E$2:$E$57,MATCH($N849,Документация!$F$2:$F$57,0)),0),N($F849))*(1-MEDIAN(0,N(ДисконтТендер),1)))</f>
        <v>0</v>
      </c>
      <c r="T849" s="7">
        <f>IF($A849="","",IF(AND(LEFT($G849,3)="ДОК",$N849&lt;&gt;""),0,IF(AND(LEFT($G849,3)&lt;&gt;"ДОК",$N849&lt;&gt;""),IFERROR(INDEX(МАТЕРИАЛЫ!$H$2:$H$9000,MATCH($N849,МАТЕРИАЛЫ!$L$2:$L$9000,0))*IF(INDEX(МАТЕРИАЛЫ!$I$2:$I$9000,MATCH($N849,МАТЕРИАЛЫ!$L$2:$L$9000,0))="USD",КурсUSD,IF(INDEX(МАТЕРИАЛЫ!$I$2:$I$9000,MATCH($N849,МАТЕРИАЛЫ!$L$2:$L$9000,0))="EUR",КурсEUR,IF(INDEX(МАТЕРИАЛЫ!$I$2:$I$9000,MATCH($N849,МАТЕРИАЛЫ!$L$2:$L$9000,0))="CNY",КурсCNY,1)))*(1+N($H849)/100),0),N($O849))*(1-MEDIAN(0,N(ДисконтТендер),1))))</f>
        <v>0</v>
      </c>
      <c r="U849" t="str">
        <f>IF($L849="да",MAX($U$1:$U848)+1,"")</f>
        <v/>
      </c>
      <c r="V849" t="str">
        <f t="shared" si="94"/>
        <v>Р12</v>
      </c>
      <c r="W849" t="str">
        <f t="shared" si="95"/>
        <v/>
      </c>
      <c r="X849" t="str">
        <f t="shared" si="96"/>
        <v/>
      </c>
      <c r="Y849" s="4" t="str">
        <f>IF($A849="","",IF(AND(LEFT($G849,3)="ДОК",$N849&lt;&gt;""),IFERROR(INDEX(Документация!$G$2:$G$57,MATCH($N849,Документация!$F$2:$F$57,0)),$D849),$D849&amp;IF(AND(LEFT($G849,3)&lt;&gt;"ДОК",$N849&lt;&gt;"")," — "&amp;IFERROR(INDEX(МАТЕРИАЛЫ!$C$2:$C$9000,MATCH($N849,МАТЕРИАЛЫ!$L$2:$L$9000,0)),""),"")))</f>
        <v>Пусконаладочные работы систем кондиционирования</v>
      </c>
      <c r="Z849" t="str">
        <f t="shared" si="97"/>
        <v>Р12 · Лимитированные и прочие затраты</v>
      </c>
    </row>
    <row r="850" spans="1:26" x14ac:dyDescent="0.3">
      <c r="A850" t="s">
        <v>1758</v>
      </c>
      <c r="B850" t="s">
        <v>1742</v>
      </c>
      <c r="C850" t="s">
        <v>161</v>
      </c>
      <c r="D850" s="4" t="s">
        <v>1759</v>
      </c>
      <c r="E850" t="s">
        <v>1724</v>
      </c>
      <c r="F850" s="5">
        <v>0</v>
      </c>
      <c r="H850">
        <v>0</v>
      </c>
      <c r="I850" t="s">
        <v>53</v>
      </c>
      <c r="L850" s="6"/>
      <c r="M850" s="6"/>
      <c r="N850" s="6"/>
      <c r="O850" s="5"/>
      <c r="P850" s="7" t="str">
        <f t="shared" si="91"/>
        <v/>
      </c>
      <c r="Q850" s="7" t="str">
        <f t="shared" si="92"/>
        <v/>
      </c>
      <c r="R850" s="7" t="str">
        <f t="shared" si="93"/>
        <v/>
      </c>
      <c r="S850" s="7">
        <f>IF($A850="","",IF(AND(LEFT($G850,3)="ДОК",$N850&lt;&gt;""),IFERROR(INDEX(Документация!$E$2:$E$57,MATCH($N850,Документация!$F$2:$F$57,0)),0),N($F850))*(1-MEDIAN(0,N(ДисконтТендер),1)))</f>
        <v>0</v>
      </c>
      <c r="T850" s="7">
        <f>IF($A850="","",IF(AND(LEFT($G850,3)="ДОК",$N850&lt;&gt;""),0,IF(AND(LEFT($G850,3)&lt;&gt;"ДОК",$N850&lt;&gt;""),IFERROR(INDEX(МАТЕРИАЛЫ!$H$2:$H$9000,MATCH($N850,МАТЕРИАЛЫ!$L$2:$L$9000,0))*IF(INDEX(МАТЕРИАЛЫ!$I$2:$I$9000,MATCH($N850,МАТЕРИАЛЫ!$L$2:$L$9000,0))="USD",КурсUSD,IF(INDEX(МАТЕРИАЛЫ!$I$2:$I$9000,MATCH($N850,МАТЕРИАЛЫ!$L$2:$L$9000,0))="EUR",КурсEUR,IF(INDEX(МАТЕРИАЛЫ!$I$2:$I$9000,MATCH($N850,МАТЕРИАЛЫ!$L$2:$L$9000,0))="CNY",КурсCNY,1)))*(1+N($H850)/100),0),N($O850))*(1-MEDIAN(0,N(ДисконтТендер),1))))</f>
        <v>0</v>
      </c>
      <c r="U850" t="str">
        <f>IF($L850="да",MAX($U$1:$U849)+1,"")</f>
        <v/>
      </c>
      <c r="V850" t="str">
        <f t="shared" si="94"/>
        <v>Р12</v>
      </c>
      <c r="W850" t="str">
        <f t="shared" si="95"/>
        <v/>
      </c>
      <c r="X850" t="str">
        <f t="shared" si="96"/>
        <v/>
      </c>
      <c r="Y850" s="4" t="str">
        <f>IF($A850="","",IF(AND(LEFT($G850,3)="ДОК",$N850&lt;&gt;""),IFERROR(INDEX(Документация!$G$2:$G$57,MATCH($N850,Документация!$F$2:$F$57,0)),$D850),$D850&amp;IF(AND(LEFT($G850,3)&lt;&gt;"ДОК",$N850&lt;&gt;"")," — "&amp;IFERROR(INDEX(МАТЕРИАЛЫ!$C$2:$C$9000,MATCH($N850,МАТЕРИАЛЫ!$L$2:$L$9000,0)),""),"")))</f>
        <v>Пусконаладочные работы систем отопления</v>
      </c>
      <c r="Z850" t="str">
        <f t="shared" si="97"/>
        <v>Р12 · Лимитированные и прочие затраты</v>
      </c>
    </row>
    <row r="851" spans="1:26" ht="28.8" x14ac:dyDescent="0.3">
      <c r="A851" t="s">
        <v>1760</v>
      </c>
      <c r="B851" t="s">
        <v>1742</v>
      </c>
      <c r="C851" t="s">
        <v>161</v>
      </c>
      <c r="D851" s="4" t="s">
        <v>1761</v>
      </c>
      <c r="E851" t="s">
        <v>1724</v>
      </c>
      <c r="F851" s="5">
        <v>0</v>
      </c>
      <c r="H851">
        <v>0</v>
      </c>
      <c r="I851" t="s">
        <v>53</v>
      </c>
      <c r="L851" s="6"/>
      <c r="M851" s="6"/>
      <c r="N851" s="6"/>
      <c r="O851" s="5"/>
      <c r="P851" s="7" t="str">
        <f t="shared" si="91"/>
        <v/>
      </c>
      <c r="Q851" s="7" t="str">
        <f t="shared" si="92"/>
        <v/>
      </c>
      <c r="R851" s="7" t="str">
        <f t="shared" si="93"/>
        <v/>
      </c>
      <c r="S851" s="7">
        <f>IF($A851="","",IF(AND(LEFT($G851,3)="ДОК",$N851&lt;&gt;""),IFERROR(INDEX(Документация!$E$2:$E$57,MATCH($N851,Документация!$F$2:$F$57,0)),0),N($F851))*(1-MEDIAN(0,N(ДисконтТендер),1)))</f>
        <v>0</v>
      </c>
      <c r="T851" s="7">
        <f>IF($A851="","",IF(AND(LEFT($G851,3)="ДОК",$N851&lt;&gt;""),0,IF(AND(LEFT($G851,3)&lt;&gt;"ДОК",$N851&lt;&gt;""),IFERROR(INDEX(МАТЕРИАЛЫ!$H$2:$H$9000,MATCH($N851,МАТЕРИАЛЫ!$L$2:$L$9000,0))*IF(INDEX(МАТЕРИАЛЫ!$I$2:$I$9000,MATCH($N851,МАТЕРИАЛЫ!$L$2:$L$9000,0))="USD",КурсUSD,IF(INDEX(МАТЕРИАЛЫ!$I$2:$I$9000,MATCH($N851,МАТЕРИАЛЫ!$L$2:$L$9000,0))="EUR",КурсEUR,IF(INDEX(МАТЕРИАЛЫ!$I$2:$I$9000,MATCH($N851,МАТЕРИАЛЫ!$L$2:$L$9000,0))="CNY",КурсCNY,1)))*(1+N($H851)/100),0),N($O851))*(1-MEDIAN(0,N(ДисконтТендер),1))))</f>
        <v>0</v>
      </c>
      <c r="U851" t="str">
        <f>IF($L851="да",MAX($U$1:$U850)+1,"")</f>
        <v/>
      </c>
      <c r="V851" t="str">
        <f t="shared" si="94"/>
        <v>Р12</v>
      </c>
      <c r="W851" t="str">
        <f t="shared" si="95"/>
        <v/>
      </c>
      <c r="X851" t="str">
        <f t="shared" si="96"/>
        <v/>
      </c>
      <c r="Y851" s="4" t="str">
        <f>IF($A851="","",IF(AND(LEFT($G851,3)="ДОК",$N851&lt;&gt;""),IFERROR(INDEX(Документация!$G$2:$G$57,MATCH($N851,Документация!$F$2:$F$57,0)),$D851),$D851&amp;IF(AND(LEFT($G851,3)&lt;&gt;"ДОК",$N851&lt;&gt;"")," — "&amp;IFERROR(INDEX(МАТЕРИАЛЫ!$C$2:$C$9000,MATCH($N851,МАТЕРИАЛЫ!$L$2:$L$9000,0)),""),"")))</f>
        <v>Пусконаладочные работы систем водоснабжения, канализации и ВПВ</v>
      </c>
      <c r="Z851" t="str">
        <f t="shared" si="97"/>
        <v>Р12 · Лимитированные и прочие затраты</v>
      </c>
    </row>
    <row r="852" spans="1:26" ht="28.8" x14ac:dyDescent="0.3">
      <c r="A852" t="s">
        <v>1762</v>
      </c>
      <c r="B852" t="s">
        <v>1742</v>
      </c>
      <c r="C852" t="s">
        <v>161</v>
      </c>
      <c r="D852" s="4" t="s">
        <v>1763</v>
      </c>
      <c r="E852" t="s">
        <v>1724</v>
      </c>
      <c r="F852" s="5">
        <v>0</v>
      </c>
      <c r="H852">
        <v>0</v>
      </c>
      <c r="I852" t="s">
        <v>53</v>
      </c>
      <c r="L852" s="6"/>
      <c r="M852" s="6"/>
      <c r="N852" s="6"/>
      <c r="O852" s="5"/>
      <c r="P852" s="7" t="str">
        <f t="shared" si="91"/>
        <v/>
      </c>
      <c r="Q852" s="7" t="str">
        <f t="shared" si="92"/>
        <v/>
      </c>
      <c r="R852" s="7" t="str">
        <f t="shared" si="93"/>
        <v/>
      </c>
      <c r="S852" s="7">
        <f>IF($A852="","",IF(AND(LEFT($G852,3)="ДОК",$N852&lt;&gt;""),IFERROR(INDEX(Документация!$E$2:$E$57,MATCH($N852,Документация!$F$2:$F$57,0)),0),N($F852))*(1-MEDIAN(0,N(ДисконтТендер),1)))</f>
        <v>0</v>
      </c>
      <c r="T852" s="7">
        <f>IF($A852="","",IF(AND(LEFT($G852,3)="ДОК",$N852&lt;&gt;""),0,IF(AND(LEFT($G852,3)&lt;&gt;"ДОК",$N852&lt;&gt;""),IFERROR(INDEX(МАТЕРИАЛЫ!$H$2:$H$9000,MATCH($N852,МАТЕРИАЛЫ!$L$2:$L$9000,0))*IF(INDEX(МАТЕРИАЛЫ!$I$2:$I$9000,MATCH($N852,МАТЕРИАЛЫ!$L$2:$L$9000,0))="USD",КурсUSD,IF(INDEX(МАТЕРИАЛЫ!$I$2:$I$9000,MATCH($N852,МАТЕРИАЛЫ!$L$2:$L$9000,0))="EUR",КурсEUR,IF(INDEX(МАТЕРИАЛЫ!$I$2:$I$9000,MATCH($N852,МАТЕРИАЛЫ!$L$2:$L$9000,0))="CNY",КурсCNY,1)))*(1+N($H852)/100),0),N($O852))*(1-MEDIAN(0,N(ДисконтТендер),1))))</f>
        <v>0</v>
      </c>
      <c r="U852" t="str">
        <f>IF($L852="да",MAX($U$1:$U851)+1,"")</f>
        <v/>
      </c>
      <c r="V852" t="str">
        <f t="shared" si="94"/>
        <v>Р12</v>
      </c>
      <c r="W852" t="str">
        <f t="shared" si="95"/>
        <v/>
      </c>
      <c r="X852" t="str">
        <f t="shared" si="96"/>
        <v/>
      </c>
      <c r="Y852" s="4" t="str">
        <f>IF($A852="","",IF(AND(LEFT($G852,3)="ДОК",$N852&lt;&gt;""),IFERROR(INDEX(Документация!$G$2:$G$57,MATCH($N852,Документация!$F$2:$F$57,0)),$D852),$D852&amp;IF(AND(LEFT($G852,3)&lt;&gt;"ДОК",$N852&lt;&gt;"")," — "&amp;IFERROR(INDEX(МАТЕРИАЛЫ!$C$2:$C$9000,MATCH($N852,МАТЕРИАЛЫ!$L$2:$L$9000,0)),""),"")))</f>
        <v>Пусконаладочные работы систем АУПТ (спринклерные)</v>
      </c>
      <c r="Z852" t="str">
        <f t="shared" si="97"/>
        <v>Р12 · Лимитированные и прочие затраты</v>
      </c>
    </row>
    <row r="853" spans="1:26" x14ac:dyDescent="0.3">
      <c r="A853" t="s">
        <v>1764</v>
      </c>
      <c r="B853" t="s">
        <v>1742</v>
      </c>
      <c r="C853" t="s">
        <v>194</v>
      </c>
      <c r="D853" s="4" t="s">
        <v>1765</v>
      </c>
      <c r="E853" t="s">
        <v>1724</v>
      </c>
      <c r="F853" s="5">
        <v>0</v>
      </c>
      <c r="H853">
        <v>0</v>
      </c>
      <c r="I853" t="s">
        <v>53</v>
      </c>
      <c r="L853" s="6"/>
      <c r="M853" s="6"/>
      <c r="N853" s="6"/>
      <c r="O853" s="5"/>
      <c r="P853" s="7" t="str">
        <f t="shared" si="91"/>
        <v/>
      </c>
      <c r="Q853" s="7" t="str">
        <f t="shared" si="92"/>
        <v/>
      </c>
      <c r="R853" s="7" t="str">
        <f t="shared" si="93"/>
        <v/>
      </c>
      <c r="S853" s="7">
        <f>IF($A853="","",IF(AND(LEFT($G853,3)="ДОК",$N853&lt;&gt;""),IFERROR(INDEX(Документация!$E$2:$E$57,MATCH($N853,Документация!$F$2:$F$57,0)),0),N($F853))*(1-MEDIAN(0,N(ДисконтТендер),1)))</f>
        <v>0</v>
      </c>
      <c r="T853" s="7">
        <f>IF($A853="","",IF(AND(LEFT($G853,3)="ДОК",$N853&lt;&gt;""),0,IF(AND(LEFT($G853,3)&lt;&gt;"ДОК",$N853&lt;&gt;""),IFERROR(INDEX(МАТЕРИАЛЫ!$H$2:$H$9000,MATCH($N853,МАТЕРИАЛЫ!$L$2:$L$9000,0))*IF(INDEX(МАТЕРИАЛЫ!$I$2:$I$9000,MATCH($N853,МАТЕРИАЛЫ!$L$2:$L$9000,0))="USD",КурсUSD,IF(INDEX(МАТЕРИАЛЫ!$I$2:$I$9000,MATCH($N853,МАТЕРИАЛЫ!$L$2:$L$9000,0))="EUR",КурсEUR,IF(INDEX(МАТЕРИАЛЫ!$I$2:$I$9000,MATCH($N853,МАТЕРИАЛЫ!$L$2:$L$9000,0))="CNY",КурсCNY,1)))*(1+N($H853)/100),0),N($O853))*(1-MEDIAN(0,N(ДисконтТендер),1))))</f>
        <v>0</v>
      </c>
      <c r="U853" t="str">
        <f>IF($L853="да",MAX($U$1:$U852)+1,"")</f>
        <v/>
      </c>
      <c r="V853" t="str">
        <f t="shared" si="94"/>
        <v>Р12</v>
      </c>
      <c r="W853" t="str">
        <f t="shared" si="95"/>
        <v/>
      </c>
      <c r="X853" t="str">
        <f t="shared" si="96"/>
        <v/>
      </c>
      <c r="Y853" s="4" t="str">
        <f>IF($A853="","",IF(AND(LEFT($G853,3)="ДОК",$N853&lt;&gt;""),IFERROR(INDEX(Документация!$G$2:$G$57,MATCH($N853,Документация!$F$2:$F$57,0)),$D853),$D853&amp;IF(AND(LEFT($G853,3)&lt;&gt;"ДОК",$N853&lt;&gt;"")," — "&amp;IFERROR(INDEX(МАТЕРИАЛЫ!$C$2:$C$9000,MATCH($N853,МАТЕРИАЛЫ!$L$2:$L$9000,0)),""),"")))</f>
        <v>Исполнительная документация (комплект)</v>
      </c>
      <c r="Z853" t="str">
        <f t="shared" si="97"/>
        <v>Р12 · Лимитированные и прочие затраты</v>
      </c>
    </row>
    <row r="854" spans="1:26" x14ac:dyDescent="0.3">
      <c r="A854" t="s">
        <v>1766</v>
      </c>
      <c r="B854" t="s">
        <v>1742</v>
      </c>
      <c r="C854" t="s">
        <v>194</v>
      </c>
      <c r="D854" s="4" t="s">
        <v>1767</v>
      </c>
      <c r="E854" t="s">
        <v>1724</v>
      </c>
      <c r="F854" s="5">
        <v>0</v>
      </c>
      <c r="H854">
        <v>0</v>
      </c>
      <c r="I854" t="s">
        <v>53</v>
      </c>
      <c r="L854" s="6"/>
      <c r="M854" s="6"/>
      <c r="N854" s="6"/>
      <c r="O854" s="5"/>
      <c r="P854" s="7" t="str">
        <f t="shared" si="91"/>
        <v/>
      </c>
      <c r="Q854" s="7" t="str">
        <f t="shared" si="92"/>
        <v/>
      </c>
      <c r="R854" s="7" t="str">
        <f t="shared" si="93"/>
        <v/>
      </c>
      <c r="S854" s="7">
        <f>IF($A854="","",IF(AND(LEFT($G854,3)="ДОК",$N854&lt;&gt;""),IFERROR(INDEX(Документация!$E$2:$E$57,MATCH($N854,Документация!$F$2:$F$57,0)),0),N($F854))*(1-MEDIAN(0,N(ДисконтТендер),1)))</f>
        <v>0</v>
      </c>
      <c r="T854" s="7">
        <f>IF($A854="","",IF(AND(LEFT($G854,3)="ДОК",$N854&lt;&gt;""),0,IF(AND(LEFT($G854,3)&lt;&gt;"ДОК",$N854&lt;&gt;""),IFERROR(INDEX(МАТЕРИАЛЫ!$H$2:$H$9000,MATCH($N854,МАТЕРИАЛЫ!$L$2:$L$9000,0))*IF(INDEX(МАТЕРИАЛЫ!$I$2:$I$9000,MATCH($N854,МАТЕРИАЛЫ!$L$2:$L$9000,0))="USD",КурсUSD,IF(INDEX(МАТЕРИАЛЫ!$I$2:$I$9000,MATCH($N854,МАТЕРИАЛЫ!$L$2:$L$9000,0))="EUR",КурсEUR,IF(INDEX(МАТЕРИАЛЫ!$I$2:$I$9000,MATCH($N854,МАТЕРИАЛЫ!$L$2:$L$9000,0))="CNY",КурсCNY,1)))*(1+N($H854)/100),0),N($O854))*(1-MEDIAN(0,N(ДисконтТендер),1))))</f>
        <v>0</v>
      </c>
      <c r="U854" t="str">
        <f>IF($L854="да",MAX($U$1:$U853)+1,"")</f>
        <v/>
      </c>
      <c r="V854" t="str">
        <f t="shared" si="94"/>
        <v>Р12</v>
      </c>
      <c r="W854" t="str">
        <f t="shared" si="95"/>
        <v/>
      </c>
      <c r="X854" t="str">
        <f t="shared" si="96"/>
        <v/>
      </c>
      <c r="Y854" s="4" t="str">
        <f>IF($A854="","",IF(AND(LEFT($G854,3)="ДОК",$N854&lt;&gt;""),IFERROR(INDEX(Документация!$G$2:$G$57,MATCH($N854,Документация!$F$2:$F$57,0)),$D854),$D854&amp;IF(AND(LEFT($G854,3)&lt;&gt;"ДОК",$N854&lt;&gt;"")," — "&amp;IFERROR(INDEX(МАТЕРИАЛЫ!$C$2:$C$9000,MATCH($N854,МАТЕРИАЛЫ!$L$2:$L$9000,0)),""),"")))</f>
        <v>Геодезическая разбивка, вынос осей и отметок</v>
      </c>
      <c r="Z854" t="str">
        <f t="shared" si="97"/>
        <v>Р12 · Лимитированные и прочие затраты</v>
      </c>
    </row>
    <row r="855" spans="1:26" x14ac:dyDescent="0.3">
      <c r="A855" t="s">
        <v>1768</v>
      </c>
      <c r="B855" t="s">
        <v>1742</v>
      </c>
      <c r="C855" t="s">
        <v>194</v>
      </c>
      <c r="D855" s="4" t="s">
        <v>1769</v>
      </c>
      <c r="E855" t="s">
        <v>52</v>
      </c>
      <c r="F855" s="5">
        <v>0</v>
      </c>
      <c r="H855">
        <v>0</v>
      </c>
      <c r="I855" t="s">
        <v>53</v>
      </c>
      <c r="L855" s="6"/>
      <c r="M855" s="6"/>
      <c r="N855" s="6"/>
      <c r="O855" s="5"/>
      <c r="P855" s="7" t="str">
        <f t="shared" si="91"/>
        <v/>
      </c>
      <c r="Q855" s="7" t="str">
        <f t="shared" si="92"/>
        <v/>
      </c>
      <c r="R855" s="7" t="str">
        <f t="shared" si="93"/>
        <v/>
      </c>
      <c r="S855" s="7">
        <f>IF($A855="","",IF(AND(LEFT($G855,3)="ДОК",$N855&lt;&gt;""),IFERROR(INDEX(Документация!$E$2:$E$57,MATCH($N855,Документация!$F$2:$F$57,0)),0),N($F855))*(1-MEDIAN(0,N(ДисконтТендер),1)))</f>
        <v>0</v>
      </c>
      <c r="T855" s="7">
        <f>IF($A855="","",IF(AND(LEFT($G855,3)="ДОК",$N855&lt;&gt;""),0,IF(AND(LEFT($G855,3)&lt;&gt;"ДОК",$N855&lt;&gt;""),IFERROR(INDEX(МАТЕРИАЛЫ!$H$2:$H$9000,MATCH($N855,МАТЕРИАЛЫ!$L$2:$L$9000,0))*IF(INDEX(МАТЕРИАЛЫ!$I$2:$I$9000,MATCH($N855,МАТЕРИАЛЫ!$L$2:$L$9000,0))="USD",КурсUSD,IF(INDEX(МАТЕРИАЛЫ!$I$2:$I$9000,MATCH($N855,МАТЕРИАЛЫ!$L$2:$L$9000,0))="EUR",КурсEUR,IF(INDEX(МАТЕРИАЛЫ!$I$2:$I$9000,MATCH($N855,МАТЕРИАЛЫ!$L$2:$L$9000,0))="CNY",КурсCNY,1)))*(1+N($H855)/100),0),N($O855))*(1-MEDIAN(0,N(ДисконтТендер),1))))</f>
        <v>0</v>
      </c>
      <c r="U855" t="str">
        <f>IF($L855="да",MAX($U$1:$U854)+1,"")</f>
        <v/>
      </c>
      <c r="V855" t="str">
        <f t="shared" si="94"/>
        <v>Р12</v>
      </c>
      <c r="W855" t="str">
        <f t="shared" si="95"/>
        <v/>
      </c>
      <c r="X855" t="str">
        <f t="shared" si="96"/>
        <v/>
      </c>
      <c r="Y855" s="4" t="str">
        <f>IF($A855="","",IF(AND(LEFT($G855,3)="ДОК",$N855&lt;&gt;""),IFERROR(INDEX(Документация!$G$2:$G$57,MATCH($N855,Документация!$F$2:$F$57,0)),$D855),$D855&amp;IF(AND(LEFT($G855,3)&lt;&gt;"ДОК",$N855&lt;&gt;"")," — "&amp;IFERROR(INDEX(МАТЕРИАЛЫ!$C$2:$C$9000,MATCH($N855,МАТЕРИАЛЫ!$L$2:$L$9000,0)),""),"")))</f>
        <v>Обмерные работы помещений</v>
      </c>
      <c r="Z855" t="str">
        <f t="shared" si="97"/>
        <v>Р12 · Лимитированные и прочие затраты</v>
      </c>
    </row>
    <row r="856" spans="1:26" x14ac:dyDescent="0.3">
      <c r="A856" t="s">
        <v>1770</v>
      </c>
      <c r="B856" t="s">
        <v>1742</v>
      </c>
      <c r="C856" t="s">
        <v>229</v>
      </c>
      <c r="D856" s="4" t="s">
        <v>1771</v>
      </c>
      <c r="E856" t="s">
        <v>52</v>
      </c>
      <c r="F856" s="5">
        <v>0</v>
      </c>
      <c r="H856">
        <v>0</v>
      </c>
      <c r="I856" t="s">
        <v>53</v>
      </c>
      <c r="L856" s="6"/>
      <c r="M856" s="6"/>
      <c r="N856" s="6"/>
      <c r="O856" s="5"/>
      <c r="P856" s="7" t="str">
        <f t="shared" si="91"/>
        <v/>
      </c>
      <c r="Q856" s="7" t="str">
        <f t="shared" si="92"/>
        <v/>
      </c>
      <c r="R856" s="7" t="str">
        <f t="shared" si="93"/>
        <v/>
      </c>
      <c r="S856" s="7">
        <f>IF($A856="","",IF(AND(LEFT($G856,3)="ДОК",$N856&lt;&gt;""),IFERROR(INDEX(Документация!$E$2:$E$57,MATCH($N856,Документация!$F$2:$F$57,0)),0),N($F856))*(1-MEDIAN(0,N(ДисконтТендер),1)))</f>
        <v>0</v>
      </c>
      <c r="T856" s="7">
        <f>IF($A856="","",IF(AND(LEFT($G856,3)="ДОК",$N856&lt;&gt;""),0,IF(AND(LEFT($G856,3)&lt;&gt;"ДОК",$N856&lt;&gt;""),IFERROR(INDEX(МАТЕРИАЛЫ!$H$2:$H$9000,MATCH($N856,МАТЕРИАЛЫ!$L$2:$L$9000,0))*IF(INDEX(МАТЕРИАЛЫ!$I$2:$I$9000,MATCH($N856,МАТЕРИАЛЫ!$L$2:$L$9000,0))="USD",КурсUSD,IF(INDEX(МАТЕРИАЛЫ!$I$2:$I$9000,MATCH($N856,МАТЕРИАЛЫ!$L$2:$L$9000,0))="EUR",КурсEUR,IF(INDEX(МАТЕРИАЛЫ!$I$2:$I$9000,MATCH($N856,МАТЕРИАЛЫ!$L$2:$L$9000,0))="CNY",КурсCNY,1)))*(1+N($H856)/100),0),N($O856))*(1-MEDIAN(0,N(ДисконтТендер),1))))</f>
        <v>0</v>
      </c>
      <c r="U856" t="str">
        <f>IF($L856="да",MAX($U$1:$U855)+1,"")</f>
        <v/>
      </c>
      <c r="V856" t="str">
        <f t="shared" si="94"/>
        <v>Р12</v>
      </c>
      <c r="W856" t="str">
        <f t="shared" si="95"/>
        <v/>
      </c>
      <c r="X856" t="str">
        <f t="shared" si="96"/>
        <v/>
      </c>
      <c r="Y856" s="4" t="str">
        <f>IF($A856="","",IF(AND(LEFT($G856,3)="ДОК",$N856&lt;&gt;""),IFERROR(INDEX(Документация!$G$2:$G$57,MATCH($N856,Документация!$F$2:$F$57,0)),$D856),$D856&amp;IF(AND(LEFT($G856,3)&lt;&gt;"ДОК",$N856&lt;&gt;"")," — "&amp;IFERROR(INDEX(МАТЕРИАЛЫ!$C$2:$C$9000,MATCH($N856,МАТЕРИАЛЫ!$L$2:$L$9000,0)),""),"")))</f>
        <v>Предсдаточная (финишная) уборка помещений</v>
      </c>
      <c r="Z856" t="str">
        <f t="shared" si="97"/>
        <v>Р12 · Лимитированные и прочие затраты</v>
      </c>
    </row>
    <row r="857" spans="1:26" ht="28.8" x14ac:dyDescent="0.3">
      <c r="A857" t="s">
        <v>1772</v>
      </c>
      <c r="B857" t="s">
        <v>1742</v>
      </c>
      <c r="C857" t="s">
        <v>229</v>
      </c>
      <c r="D857" s="4" t="s">
        <v>1773</v>
      </c>
      <c r="E857" t="s">
        <v>150</v>
      </c>
      <c r="F857" s="5">
        <v>0</v>
      </c>
      <c r="H857">
        <v>0</v>
      </c>
      <c r="I857" t="s">
        <v>53</v>
      </c>
      <c r="L857" s="6"/>
      <c r="M857" s="6"/>
      <c r="N857" s="6"/>
      <c r="O857" s="5"/>
      <c r="P857" s="7" t="str">
        <f t="shared" si="91"/>
        <v/>
      </c>
      <c r="Q857" s="7" t="str">
        <f t="shared" si="92"/>
        <v/>
      </c>
      <c r="R857" s="7" t="str">
        <f t="shared" si="93"/>
        <v/>
      </c>
      <c r="S857" s="7">
        <f>IF($A857="","",IF(AND(LEFT($G857,3)="ДОК",$N857&lt;&gt;""),IFERROR(INDEX(Документация!$E$2:$E$57,MATCH($N857,Документация!$F$2:$F$57,0)),0),N($F857))*(1-MEDIAN(0,N(ДисконтТендер),1)))</f>
        <v>0</v>
      </c>
      <c r="T857" s="7">
        <f>IF($A857="","",IF(AND(LEFT($G857,3)="ДОК",$N857&lt;&gt;""),0,IF(AND(LEFT($G857,3)&lt;&gt;"ДОК",$N857&lt;&gt;""),IFERROR(INDEX(МАТЕРИАЛЫ!$H$2:$H$9000,MATCH($N857,МАТЕРИАЛЫ!$L$2:$L$9000,0))*IF(INDEX(МАТЕРИАЛЫ!$I$2:$I$9000,MATCH($N857,МАТЕРИАЛЫ!$L$2:$L$9000,0))="USD",КурсUSD,IF(INDEX(МАТЕРИАЛЫ!$I$2:$I$9000,MATCH($N857,МАТЕРИАЛЫ!$L$2:$L$9000,0))="EUR",КурсEUR,IF(INDEX(МАТЕРИАЛЫ!$I$2:$I$9000,MATCH($N857,МАТЕРИАЛЫ!$L$2:$L$9000,0))="CNY",КурсCNY,1)))*(1+N($H857)/100),0),N($O857))*(1-MEDIAN(0,N(ДисконтТендер),1))))</f>
        <v>0</v>
      </c>
      <c r="U857" t="str">
        <f>IF($L857="да",MAX($U$1:$U856)+1,"")</f>
        <v/>
      </c>
      <c r="V857" t="str">
        <f t="shared" si="94"/>
        <v>Р12</v>
      </c>
      <c r="W857" t="str">
        <f t="shared" si="95"/>
        <v/>
      </c>
      <c r="X857" t="str">
        <f t="shared" si="96"/>
        <v/>
      </c>
      <c r="Y857" s="4" t="str">
        <f>IF($A857="","",IF(AND(LEFT($G857,3)="ДОК",$N857&lt;&gt;""),IFERROR(INDEX(Документация!$G$2:$G$57,MATCH($N857,Документация!$F$2:$F$57,0)),$D857),$D857&amp;IF(AND(LEFT($G857,3)&lt;&gt;"ДОК",$N857&lt;&gt;"")," — "&amp;IFERROR(INDEX(МАТЕРИАЛЫ!$C$2:$C$9000,MATCH($N857,МАТЕРИАЛЫ!$L$2:$L$9000,0)),""),"")))</f>
        <v>Вывоз и утилизация строительного мусора (сверх демонтажа)</v>
      </c>
      <c r="Z857" t="str">
        <f t="shared" si="97"/>
        <v>Р12 · Лимитированные и прочие затраты</v>
      </c>
    </row>
    <row r="858" spans="1:26" x14ac:dyDescent="0.3">
      <c r="A858" t="s">
        <v>1774</v>
      </c>
      <c r="B858" t="s">
        <v>1742</v>
      </c>
      <c r="C858" t="s">
        <v>246</v>
      </c>
      <c r="D858" s="4" t="s">
        <v>1775</v>
      </c>
      <c r="E858" t="s">
        <v>1717</v>
      </c>
      <c r="F858" s="5">
        <v>0</v>
      </c>
      <c r="H858">
        <v>0</v>
      </c>
      <c r="I858" t="s">
        <v>53</v>
      </c>
      <c r="L858" s="6"/>
      <c r="M858" s="6"/>
      <c r="N858" s="6"/>
      <c r="O858" s="5"/>
      <c r="P858" s="7" t="str">
        <f t="shared" si="91"/>
        <v/>
      </c>
      <c r="Q858" s="7" t="str">
        <f t="shared" si="92"/>
        <v/>
      </c>
      <c r="R858" s="7" t="str">
        <f t="shared" si="93"/>
        <v/>
      </c>
      <c r="S858" s="7">
        <f>IF($A858="","",IF(AND(LEFT($G858,3)="ДОК",$N858&lt;&gt;""),IFERROR(INDEX(Документация!$E$2:$E$57,MATCH($N858,Документация!$F$2:$F$57,0)),0),N($F858))*(1-MEDIAN(0,N(ДисконтТендер),1)))</f>
        <v>0</v>
      </c>
      <c r="T858" s="7">
        <f>IF($A858="","",IF(AND(LEFT($G858,3)="ДОК",$N858&lt;&gt;""),0,IF(AND(LEFT($G858,3)&lt;&gt;"ДОК",$N858&lt;&gt;""),IFERROR(INDEX(МАТЕРИАЛЫ!$H$2:$H$9000,MATCH($N858,МАТЕРИАЛЫ!$L$2:$L$9000,0))*IF(INDEX(МАТЕРИАЛЫ!$I$2:$I$9000,MATCH($N858,МАТЕРИАЛЫ!$L$2:$L$9000,0))="USD",КурсUSD,IF(INDEX(МАТЕРИАЛЫ!$I$2:$I$9000,MATCH($N858,МАТЕРИАЛЫ!$L$2:$L$9000,0))="EUR",КурсEUR,IF(INDEX(МАТЕРИАЛЫ!$I$2:$I$9000,MATCH($N858,МАТЕРИАЛЫ!$L$2:$L$9000,0))="CNY",КурсCNY,1)))*(1+N($H858)/100),0),N($O858))*(1-MEDIAN(0,N(ДисконтТендер),1))))</f>
        <v>0</v>
      </c>
      <c r="U858" t="str">
        <f>IF($L858="да",MAX($U$1:$U857)+1,"")</f>
        <v/>
      </c>
      <c r="V858" t="str">
        <f t="shared" si="94"/>
        <v>Р12</v>
      </c>
      <c r="W858" t="str">
        <f t="shared" si="95"/>
        <v/>
      </c>
      <c r="X858" t="str">
        <f t="shared" si="96"/>
        <v/>
      </c>
      <c r="Y858" s="4" t="str">
        <f>IF($A858="","",IF(AND(LEFT($G858,3)="ДОК",$N858&lt;&gt;""),IFERROR(INDEX(Документация!$G$2:$G$57,MATCH($N858,Документация!$F$2:$F$57,0)),$D858),$D858&amp;IF(AND(LEFT($G858,3)&lt;&gt;"ДОК",$N858&lt;&gt;"")," — "&amp;IFERROR(INDEX(МАТЕРИАЛЫ!$C$2:$C$9000,MATCH($N858,МАТЕРИАЛЫ!$L$2:$L$9000,0)),""),"")))</f>
        <v>Резерв на непредвиденные работы и затраты</v>
      </c>
      <c r="Z858" t="str">
        <f t="shared" si="97"/>
        <v>Р12 · Лимитированные и прочие затраты</v>
      </c>
    </row>
    <row r="859" spans="1:26" x14ac:dyDescent="0.3">
      <c r="A859" s="8"/>
      <c r="D859" s="4"/>
      <c r="F859" s="5"/>
      <c r="L859" s="6"/>
      <c r="M859" s="6"/>
      <c r="N859" s="6"/>
      <c r="O859" s="5"/>
      <c r="P859" s="7" t="str">
        <f t="shared" si="91"/>
        <v/>
      </c>
      <c r="Q859" s="7" t="str">
        <f t="shared" si="92"/>
        <v/>
      </c>
      <c r="R859" s="7" t="str">
        <f t="shared" si="93"/>
        <v/>
      </c>
      <c r="S859" s="7" t="str">
        <f>IF($A859="","",IF(AND(LEFT($G859,3)="ДОК",$N859&lt;&gt;""),IFERROR(INDEX(Документация!$E$2:$E$57,MATCH($N859,Документация!$F$2:$F$57,0)),0),N($F859))*(1-MEDIAN(0,N(ДисконтТендер),1)))</f>
        <v/>
      </c>
      <c r="T859" s="7" t="str">
        <f>IF($A859="","",IF(AND(LEFT($G859,3)="ДОК",$N859&lt;&gt;""),0,IF(AND(LEFT($G859,3)&lt;&gt;"ДОК",$N859&lt;&gt;""),IFERROR(INDEX(МАТЕРИАЛЫ!$H$2:$H$9000,MATCH($N859,МАТЕРИАЛЫ!$L$2:$L$9000,0))*IF(INDEX(МАТЕРИАЛЫ!$I$2:$I$9000,MATCH($N859,МАТЕРИАЛЫ!$L$2:$L$9000,0))="USD",КурсUSD,IF(INDEX(МАТЕРИАЛЫ!$I$2:$I$9000,MATCH($N859,МАТЕРИАЛЫ!$L$2:$L$9000,0))="EUR",КурсEUR,IF(INDEX(МАТЕРИАЛЫ!$I$2:$I$9000,MATCH($N859,МАТЕРИАЛЫ!$L$2:$L$9000,0))="CNY",КурсCNY,1)))*(1+N($H859)/100),0),N($O859))*(1-MEDIAN(0,N(ДисконтТендер),1))))</f>
        <v/>
      </c>
      <c r="U859" t="str">
        <f>IF($L859="да",MAX($U$1:$U858)+1,"")</f>
        <v/>
      </c>
      <c r="V859" t="str">
        <f t="shared" si="94"/>
        <v/>
      </c>
      <c r="W859" t="str">
        <f t="shared" si="95"/>
        <v/>
      </c>
      <c r="X859" t="str">
        <f t="shared" si="96"/>
        <v/>
      </c>
      <c r="Y859" s="4" t="str">
        <f>IF($A859="","",IF(AND(LEFT($G859,3)="ДОК",$N859&lt;&gt;""),IFERROR(INDEX(Документация!$G$2:$G$57,MATCH($N859,Документация!$F$2:$F$57,0)),$D859),$D859&amp;IF(AND(LEFT($G859,3)&lt;&gt;"ДОК",$N859&lt;&gt;"")," — "&amp;IFERROR(INDEX(МАТЕРИАЛЫ!$C$2:$C$9000,MATCH($N859,МАТЕРИАЛЫ!$L$2:$L$9000,0)),""),"")))</f>
        <v/>
      </c>
      <c r="Z859" t="str">
        <f t="shared" si="97"/>
        <v/>
      </c>
    </row>
    <row r="860" spans="1:26" x14ac:dyDescent="0.3">
      <c r="A860" s="8"/>
      <c r="D860" s="4"/>
      <c r="F860" s="5"/>
      <c r="L860" s="6"/>
      <c r="M860" s="6"/>
      <c r="N860" s="6"/>
      <c r="O860" s="5"/>
      <c r="P860" s="7" t="str">
        <f t="shared" si="91"/>
        <v/>
      </c>
      <c r="Q860" s="7" t="str">
        <f t="shared" si="92"/>
        <v/>
      </c>
      <c r="R860" s="7" t="str">
        <f t="shared" si="93"/>
        <v/>
      </c>
      <c r="S860" s="7" t="str">
        <f>IF($A860="","",IF(AND(LEFT($G860,3)="ДОК",$N860&lt;&gt;""),IFERROR(INDEX(Документация!$E$2:$E$57,MATCH($N860,Документация!$F$2:$F$57,0)),0),N($F860))*(1-MEDIAN(0,N(ДисконтТендер),1)))</f>
        <v/>
      </c>
      <c r="T860" s="7" t="str">
        <f>IF($A860="","",IF(AND(LEFT($G860,3)="ДОК",$N860&lt;&gt;""),0,IF(AND(LEFT($G860,3)&lt;&gt;"ДОК",$N860&lt;&gt;""),IFERROR(INDEX(МАТЕРИАЛЫ!$H$2:$H$9000,MATCH($N860,МАТЕРИАЛЫ!$L$2:$L$9000,0))*IF(INDEX(МАТЕРИАЛЫ!$I$2:$I$9000,MATCH($N860,МАТЕРИАЛЫ!$L$2:$L$9000,0))="USD",КурсUSD,IF(INDEX(МАТЕРИАЛЫ!$I$2:$I$9000,MATCH($N860,МАТЕРИАЛЫ!$L$2:$L$9000,0))="EUR",КурсEUR,IF(INDEX(МАТЕРИАЛЫ!$I$2:$I$9000,MATCH($N860,МАТЕРИАЛЫ!$L$2:$L$9000,0))="CNY",КурсCNY,1)))*(1+N($H860)/100),0),N($O860))*(1-MEDIAN(0,N(ДисконтТендер),1))))</f>
        <v/>
      </c>
      <c r="U860" t="str">
        <f>IF($L860="да",MAX($U$1:$U859)+1,"")</f>
        <v/>
      </c>
      <c r="V860" t="str">
        <f t="shared" si="94"/>
        <v/>
      </c>
      <c r="W860" t="str">
        <f t="shared" si="95"/>
        <v/>
      </c>
      <c r="X860" t="str">
        <f t="shared" si="96"/>
        <v/>
      </c>
      <c r="Y860" s="4" t="str">
        <f>IF($A860="","",IF(AND(LEFT($G860,3)="ДОК",$N860&lt;&gt;""),IFERROR(INDEX(Документация!$G$2:$G$57,MATCH($N860,Документация!$F$2:$F$57,0)),$D860),$D860&amp;IF(AND(LEFT($G860,3)&lt;&gt;"ДОК",$N860&lt;&gt;"")," — "&amp;IFERROR(INDEX(МАТЕРИАЛЫ!$C$2:$C$9000,MATCH($N860,МАТЕРИАЛЫ!$L$2:$L$9000,0)),""),"")))</f>
        <v/>
      </c>
      <c r="Z860" t="str">
        <f t="shared" si="97"/>
        <v/>
      </c>
    </row>
    <row r="861" spans="1:26" x14ac:dyDescent="0.3">
      <c r="A861" s="8"/>
      <c r="D861" s="4"/>
      <c r="F861" s="5"/>
      <c r="L861" s="6"/>
      <c r="M861" s="6"/>
      <c r="N861" s="6"/>
      <c r="O861" s="5"/>
      <c r="P861" s="7" t="str">
        <f t="shared" si="91"/>
        <v/>
      </c>
      <c r="Q861" s="7" t="str">
        <f t="shared" si="92"/>
        <v/>
      </c>
      <c r="R861" s="7" t="str">
        <f t="shared" si="93"/>
        <v/>
      </c>
      <c r="S861" s="7" t="str">
        <f>IF($A861="","",IF(AND(LEFT($G861,3)="ДОК",$N861&lt;&gt;""),IFERROR(INDEX(Документация!$E$2:$E$57,MATCH($N861,Документация!$F$2:$F$57,0)),0),N($F861))*(1-MEDIAN(0,N(ДисконтТендер),1)))</f>
        <v/>
      </c>
      <c r="T861" s="7" t="str">
        <f>IF($A861="","",IF(AND(LEFT($G861,3)="ДОК",$N861&lt;&gt;""),0,IF(AND(LEFT($G861,3)&lt;&gt;"ДОК",$N861&lt;&gt;""),IFERROR(INDEX(МАТЕРИАЛЫ!$H$2:$H$9000,MATCH($N861,МАТЕРИАЛЫ!$L$2:$L$9000,0))*IF(INDEX(МАТЕРИАЛЫ!$I$2:$I$9000,MATCH($N861,МАТЕРИАЛЫ!$L$2:$L$9000,0))="USD",КурсUSD,IF(INDEX(МАТЕРИАЛЫ!$I$2:$I$9000,MATCH($N861,МАТЕРИАЛЫ!$L$2:$L$9000,0))="EUR",КурсEUR,IF(INDEX(МАТЕРИАЛЫ!$I$2:$I$9000,MATCH($N861,МАТЕРИАЛЫ!$L$2:$L$9000,0))="CNY",КурсCNY,1)))*(1+N($H861)/100),0),N($O861))*(1-MEDIAN(0,N(ДисконтТендер),1))))</f>
        <v/>
      </c>
      <c r="U861" t="str">
        <f>IF($L861="да",MAX($U$1:$U860)+1,"")</f>
        <v/>
      </c>
      <c r="V861" t="str">
        <f t="shared" si="94"/>
        <v/>
      </c>
      <c r="W861" t="str">
        <f t="shared" si="95"/>
        <v/>
      </c>
      <c r="X861" t="str">
        <f t="shared" si="96"/>
        <v/>
      </c>
      <c r="Y861" s="4" t="str">
        <f>IF($A861="","",IF(AND(LEFT($G861,3)="ДОК",$N861&lt;&gt;""),IFERROR(INDEX(Документация!$G$2:$G$57,MATCH($N861,Документация!$F$2:$F$57,0)),$D861),$D861&amp;IF(AND(LEFT($G861,3)&lt;&gt;"ДОК",$N861&lt;&gt;"")," — "&amp;IFERROR(INDEX(МАТЕРИАЛЫ!$C$2:$C$9000,MATCH($N861,МАТЕРИАЛЫ!$L$2:$L$9000,0)),""),"")))</f>
        <v/>
      </c>
      <c r="Z861" t="str">
        <f t="shared" si="97"/>
        <v/>
      </c>
    </row>
    <row r="862" spans="1:26" x14ac:dyDescent="0.3">
      <c r="A862" s="8"/>
      <c r="D862" s="4"/>
      <c r="F862" s="5"/>
      <c r="L862" s="6"/>
      <c r="M862" s="6"/>
      <c r="N862" s="6"/>
      <c r="O862" s="5"/>
      <c r="P862" s="7" t="str">
        <f t="shared" si="91"/>
        <v/>
      </c>
      <c r="Q862" s="7" t="str">
        <f t="shared" si="92"/>
        <v/>
      </c>
      <c r="R862" s="7" t="str">
        <f t="shared" si="93"/>
        <v/>
      </c>
      <c r="S862" s="7" t="str">
        <f>IF($A862="","",IF(AND(LEFT($G862,3)="ДОК",$N862&lt;&gt;""),IFERROR(INDEX(Документация!$E$2:$E$57,MATCH($N862,Документация!$F$2:$F$57,0)),0),N($F862))*(1-MEDIAN(0,N(ДисконтТендер),1)))</f>
        <v/>
      </c>
      <c r="T862" s="7" t="str">
        <f>IF($A862="","",IF(AND(LEFT($G862,3)="ДОК",$N862&lt;&gt;""),0,IF(AND(LEFT($G862,3)&lt;&gt;"ДОК",$N862&lt;&gt;""),IFERROR(INDEX(МАТЕРИАЛЫ!$H$2:$H$9000,MATCH($N862,МАТЕРИАЛЫ!$L$2:$L$9000,0))*IF(INDEX(МАТЕРИАЛЫ!$I$2:$I$9000,MATCH($N862,МАТЕРИАЛЫ!$L$2:$L$9000,0))="USD",КурсUSD,IF(INDEX(МАТЕРИАЛЫ!$I$2:$I$9000,MATCH($N862,МАТЕРИАЛЫ!$L$2:$L$9000,0))="EUR",КурсEUR,IF(INDEX(МАТЕРИАЛЫ!$I$2:$I$9000,MATCH($N862,МАТЕРИАЛЫ!$L$2:$L$9000,0))="CNY",КурсCNY,1)))*(1+N($H862)/100),0),N($O862))*(1-MEDIAN(0,N(ДисконтТендер),1))))</f>
        <v/>
      </c>
      <c r="U862" t="str">
        <f>IF($L862="да",MAX($U$1:$U861)+1,"")</f>
        <v/>
      </c>
      <c r="V862" t="str">
        <f t="shared" si="94"/>
        <v/>
      </c>
      <c r="W862" t="str">
        <f t="shared" si="95"/>
        <v/>
      </c>
      <c r="X862" t="str">
        <f t="shared" si="96"/>
        <v/>
      </c>
      <c r="Y862" s="4" t="str">
        <f>IF($A862="","",IF(AND(LEFT($G862,3)="ДОК",$N862&lt;&gt;""),IFERROR(INDEX(Документация!$G$2:$G$57,MATCH($N862,Документация!$F$2:$F$57,0)),$D862),$D862&amp;IF(AND(LEFT($G862,3)&lt;&gt;"ДОК",$N862&lt;&gt;"")," — "&amp;IFERROR(INDEX(МАТЕРИАЛЫ!$C$2:$C$9000,MATCH($N862,МАТЕРИАЛЫ!$L$2:$L$9000,0)),""),"")))</f>
        <v/>
      </c>
      <c r="Z862" t="str">
        <f t="shared" si="97"/>
        <v/>
      </c>
    </row>
    <row r="863" spans="1:26" x14ac:dyDescent="0.3">
      <c r="A863" s="8"/>
      <c r="D863" s="4"/>
      <c r="F863" s="5"/>
      <c r="L863" s="6"/>
      <c r="M863" s="6"/>
      <c r="N863" s="6"/>
      <c r="O863" s="5"/>
      <c r="P863" s="7" t="str">
        <f t="shared" si="91"/>
        <v/>
      </c>
      <c r="Q863" s="7" t="str">
        <f t="shared" si="92"/>
        <v/>
      </c>
      <c r="R863" s="7" t="str">
        <f t="shared" si="93"/>
        <v/>
      </c>
      <c r="S863" s="7" t="str">
        <f>IF($A863="","",IF(AND(LEFT($G863,3)="ДОК",$N863&lt;&gt;""),IFERROR(INDEX(Документация!$E$2:$E$57,MATCH($N863,Документация!$F$2:$F$57,0)),0),N($F863))*(1-MEDIAN(0,N(ДисконтТендер),1)))</f>
        <v/>
      </c>
      <c r="T863" s="7" t="str">
        <f>IF($A863="","",IF(AND(LEFT($G863,3)="ДОК",$N863&lt;&gt;""),0,IF(AND(LEFT($G863,3)&lt;&gt;"ДОК",$N863&lt;&gt;""),IFERROR(INDEX(МАТЕРИАЛЫ!$H$2:$H$9000,MATCH($N863,МАТЕРИАЛЫ!$L$2:$L$9000,0))*IF(INDEX(МАТЕРИАЛЫ!$I$2:$I$9000,MATCH($N863,МАТЕРИАЛЫ!$L$2:$L$9000,0))="USD",КурсUSD,IF(INDEX(МАТЕРИАЛЫ!$I$2:$I$9000,MATCH($N863,МАТЕРИАЛЫ!$L$2:$L$9000,0))="EUR",КурсEUR,IF(INDEX(МАТЕРИАЛЫ!$I$2:$I$9000,MATCH($N863,МАТЕРИАЛЫ!$L$2:$L$9000,0))="CNY",КурсCNY,1)))*(1+N($H863)/100),0),N($O863))*(1-MEDIAN(0,N(ДисконтТендер),1))))</f>
        <v/>
      </c>
      <c r="U863" t="str">
        <f>IF($L863="да",MAX($U$1:$U862)+1,"")</f>
        <v/>
      </c>
      <c r="V863" t="str">
        <f t="shared" si="94"/>
        <v/>
      </c>
      <c r="W863" t="str">
        <f t="shared" si="95"/>
        <v/>
      </c>
      <c r="X863" t="str">
        <f t="shared" si="96"/>
        <v/>
      </c>
      <c r="Y863" s="4" t="str">
        <f>IF($A863="","",IF(AND(LEFT($G863,3)="ДОК",$N863&lt;&gt;""),IFERROR(INDEX(Документация!$G$2:$G$57,MATCH($N863,Документация!$F$2:$F$57,0)),$D863),$D863&amp;IF(AND(LEFT($G863,3)&lt;&gt;"ДОК",$N863&lt;&gt;"")," — "&amp;IFERROR(INDEX(МАТЕРИАЛЫ!$C$2:$C$9000,MATCH($N863,МАТЕРИАЛЫ!$L$2:$L$9000,0)),""),"")))</f>
        <v/>
      </c>
      <c r="Z863" t="str">
        <f t="shared" si="97"/>
        <v/>
      </c>
    </row>
    <row r="864" spans="1:26" x14ac:dyDescent="0.3">
      <c r="A864" s="8"/>
      <c r="D864" s="4"/>
      <c r="F864" s="5"/>
      <c r="L864" s="6"/>
      <c r="M864" s="6"/>
      <c r="N864" s="6"/>
      <c r="O864" s="5"/>
      <c r="P864" s="7" t="str">
        <f t="shared" si="91"/>
        <v/>
      </c>
      <c r="Q864" s="7" t="str">
        <f t="shared" si="92"/>
        <v/>
      </c>
      <c r="R864" s="7" t="str">
        <f t="shared" si="93"/>
        <v/>
      </c>
      <c r="S864" s="7" t="str">
        <f>IF($A864="","",IF(AND(LEFT($G864,3)="ДОК",$N864&lt;&gt;""),IFERROR(INDEX(Документация!$E$2:$E$57,MATCH($N864,Документация!$F$2:$F$57,0)),0),N($F864))*(1-MEDIAN(0,N(ДисконтТендер),1)))</f>
        <v/>
      </c>
      <c r="T864" s="7" t="str">
        <f>IF($A864="","",IF(AND(LEFT($G864,3)="ДОК",$N864&lt;&gt;""),0,IF(AND(LEFT($G864,3)&lt;&gt;"ДОК",$N864&lt;&gt;""),IFERROR(INDEX(МАТЕРИАЛЫ!$H$2:$H$9000,MATCH($N864,МАТЕРИАЛЫ!$L$2:$L$9000,0))*IF(INDEX(МАТЕРИАЛЫ!$I$2:$I$9000,MATCH($N864,МАТЕРИАЛЫ!$L$2:$L$9000,0))="USD",КурсUSD,IF(INDEX(МАТЕРИАЛЫ!$I$2:$I$9000,MATCH($N864,МАТЕРИАЛЫ!$L$2:$L$9000,0))="EUR",КурсEUR,IF(INDEX(МАТЕРИАЛЫ!$I$2:$I$9000,MATCH($N864,МАТЕРИАЛЫ!$L$2:$L$9000,0))="CNY",КурсCNY,1)))*(1+N($H864)/100),0),N($O864))*(1-MEDIAN(0,N(ДисконтТендер),1))))</f>
        <v/>
      </c>
      <c r="U864" t="str">
        <f>IF($L864="да",MAX($U$1:$U863)+1,"")</f>
        <v/>
      </c>
      <c r="V864" t="str">
        <f t="shared" si="94"/>
        <v/>
      </c>
      <c r="W864" t="str">
        <f t="shared" si="95"/>
        <v/>
      </c>
      <c r="X864" t="str">
        <f t="shared" si="96"/>
        <v/>
      </c>
      <c r="Y864" s="4" t="str">
        <f>IF($A864="","",IF(AND(LEFT($G864,3)="ДОК",$N864&lt;&gt;""),IFERROR(INDEX(Документация!$G$2:$G$57,MATCH($N864,Документация!$F$2:$F$57,0)),$D864),$D864&amp;IF(AND(LEFT($G864,3)&lt;&gt;"ДОК",$N864&lt;&gt;"")," — "&amp;IFERROR(INDEX(МАТЕРИАЛЫ!$C$2:$C$9000,MATCH($N864,МАТЕРИАЛЫ!$L$2:$L$9000,0)),""),"")))</f>
        <v/>
      </c>
      <c r="Z864" t="str">
        <f t="shared" si="97"/>
        <v/>
      </c>
    </row>
    <row r="865" spans="1:26" x14ac:dyDescent="0.3">
      <c r="A865" s="8"/>
      <c r="D865" s="4"/>
      <c r="F865" s="5"/>
      <c r="L865" s="6"/>
      <c r="M865" s="6"/>
      <c r="N865" s="6"/>
      <c r="O865" s="5"/>
      <c r="P865" s="7" t="str">
        <f t="shared" si="91"/>
        <v/>
      </c>
      <c r="Q865" s="7" t="str">
        <f t="shared" si="92"/>
        <v/>
      </c>
      <c r="R865" s="7" t="str">
        <f t="shared" si="93"/>
        <v/>
      </c>
      <c r="S865" s="7" t="str">
        <f>IF($A865="","",IF(AND(LEFT($G865,3)="ДОК",$N865&lt;&gt;""),IFERROR(INDEX(Документация!$E$2:$E$57,MATCH($N865,Документация!$F$2:$F$57,0)),0),N($F865))*(1-MEDIAN(0,N(ДисконтТендер),1)))</f>
        <v/>
      </c>
      <c r="T865" s="7" t="str">
        <f>IF($A865="","",IF(AND(LEFT($G865,3)="ДОК",$N865&lt;&gt;""),0,IF(AND(LEFT($G865,3)&lt;&gt;"ДОК",$N865&lt;&gt;""),IFERROR(INDEX(МАТЕРИАЛЫ!$H$2:$H$9000,MATCH($N865,МАТЕРИАЛЫ!$L$2:$L$9000,0))*IF(INDEX(МАТЕРИАЛЫ!$I$2:$I$9000,MATCH($N865,МАТЕРИАЛЫ!$L$2:$L$9000,0))="USD",КурсUSD,IF(INDEX(МАТЕРИАЛЫ!$I$2:$I$9000,MATCH($N865,МАТЕРИАЛЫ!$L$2:$L$9000,0))="EUR",КурсEUR,IF(INDEX(МАТЕРИАЛЫ!$I$2:$I$9000,MATCH($N865,МАТЕРИАЛЫ!$L$2:$L$9000,0))="CNY",КурсCNY,1)))*(1+N($H865)/100),0),N($O865))*(1-MEDIAN(0,N(ДисконтТендер),1))))</f>
        <v/>
      </c>
      <c r="U865" t="str">
        <f>IF($L865="да",MAX($U$1:$U864)+1,"")</f>
        <v/>
      </c>
      <c r="V865" t="str">
        <f t="shared" si="94"/>
        <v/>
      </c>
      <c r="W865" t="str">
        <f t="shared" si="95"/>
        <v/>
      </c>
      <c r="X865" t="str">
        <f t="shared" si="96"/>
        <v/>
      </c>
      <c r="Y865" s="4" t="str">
        <f>IF($A865="","",IF(AND(LEFT($G865,3)="ДОК",$N865&lt;&gt;""),IFERROR(INDEX(Документация!$G$2:$G$57,MATCH($N865,Документация!$F$2:$F$57,0)),$D865),$D865&amp;IF(AND(LEFT($G865,3)&lt;&gt;"ДОК",$N865&lt;&gt;"")," — "&amp;IFERROR(INDEX(МАТЕРИАЛЫ!$C$2:$C$9000,MATCH($N865,МАТЕРИАЛЫ!$L$2:$L$9000,0)),""),"")))</f>
        <v/>
      </c>
      <c r="Z865" t="str">
        <f t="shared" si="97"/>
        <v/>
      </c>
    </row>
    <row r="866" spans="1:26" x14ac:dyDescent="0.3">
      <c r="A866" s="8"/>
      <c r="D866" s="4"/>
      <c r="F866" s="5"/>
      <c r="L866" s="6"/>
      <c r="M866" s="6"/>
      <c r="N866" s="6"/>
      <c r="O866" s="5"/>
      <c r="P866" s="7" t="str">
        <f t="shared" si="91"/>
        <v/>
      </c>
      <c r="Q866" s="7" t="str">
        <f t="shared" si="92"/>
        <v/>
      </c>
      <c r="R866" s="7" t="str">
        <f t="shared" si="93"/>
        <v/>
      </c>
      <c r="S866" s="7" t="str">
        <f>IF($A866="","",IF(AND(LEFT($G866,3)="ДОК",$N866&lt;&gt;""),IFERROR(INDEX(Документация!$E$2:$E$57,MATCH($N866,Документация!$F$2:$F$57,0)),0),N($F866))*(1-MEDIAN(0,N(ДисконтТендер),1)))</f>
        <v/>
      </c>
      <c r="T866" s="7" t="str">
        <f>IF($A866="","",IF(AND(LEFT($G866,3)="ДОК",$N866&lt;&gt;""),0,IF(AND(LEFT($G866,3)&lt;&gt;"ДОК",$N866&lt;&gt;""),IFERROR(INDEX(МАТЕРИАЛЫ!$H$2:$H$9000,MATCH($N866,МАТЕРИАЛЫ!$L$2:$L$9000,0))*IF(INDEX(МАТЕРИАЛЫ!$I$2:$I$9000,MATCH($N866,МАТЕРИАЛЫ!$L$2:$L$9000,0))="USD",КурсUSD,IF(INDEX(МАТЕРИАЛЫ!$I$2:$I$9000,MATCH($N866,МАТЕРИАЛЫ!$L$2:$L$9000,0))="EUR",КурсEUR,IF(INDEX(МАТЕРИАЛЫ!$I$2:$I$9000,MATCH($N866,МАТЕРИАЛЫ!$L$2:$L$9000,0))="CNY",КурсCNY,1)))*(1+N($H866)/100),0),N($O866))*(1-MEDIAN(0,N(ДисконтТендер),1))))</f>
        <v/>
      </c>
      <c r="U866" t="str">
        <f>IF($L866="да",MAX($U$1:$U865)+1,"")</f>
        <v/>
      </c>
      <c r="V866" t="str">
        <f t="shared" si="94"/>
        <v/>
      </c>
      <c r="W866" t="str">
        <f t="shared" si="95"/>
        <v/>
      </c>
      <c r="X866" t="str">
        <f t="shared" si="96"/>
        <v/>
      </c>
      <c r="Y866" s="4" t="str">
        <f>IF($A866="","",IF(AND(LEFT($G866,3)="ДОК",$N866&lt;&gt;""),IFERROR(INDEX(Документация!$G$2:$G$57,MATCH($N866,Документация!$F$2:$F$57,0)),$D866),$D866&amp;IF(AND(LEFT($G866,3)&lt;&gt;"ДОК",$N866&lt;&gt;"")," — "&amp;IFERROR(INDEX(МАТЕРИАЛЫ!$C$2:$C$9000,MATCH($N866,МАТЕРИАЛЫ!$L$2:$L$9000,0)),""),"")))</f>
        <v/>
      </c>
      <c r="Z866" t="str">
        <f t="shared" si="97"/>
        <v/>
      </c>
    </row>
    <row r="867" spans="1:26" x14ac:dyDescent="0.3">
      <c r="A867" s="8"/>
      <c r="D867" s="4"/>
      <c r="F867" s="5"/>
      <c r="L867" s="6"/>
      <c r="M867" s="6"/>
      <c r="N867" s="6"/>
      <c r="O867" s="5"/>
      <c r="P867" s="7" t="str">
        <f t="shared" si="91"/>
        <v/>
      </c>
      <c r="Q867" s="7" t="str">
        <f t="shared" si="92"/>
        <v/>
      </c>
      <c r="R867" s="7" t="str">
        <f t="shared" si="93"/>
        <v/>
      </c>
      <c r="S867" s="7" t="str">
        <f>IF($A867="","",IF(AND(LEFT($G867,3)="ДОК",$N867&lt;&gt;""),IFERROR(INDEX(Документация!$E$2:$E$57,MATCH($N867,Документация!$F$2:$F$57,0)),0),N($F867))*(1-MEDIAN(0,N(ДисконтТендер),1)))</f>
        <v/>
      </c>
      <c r="T867" s="7" t="str">
        <f>IF($A867="","",IF(AND(LEFT($G867,3)="ДОК",$N867&lt;&gt;""),0,IF(AND(LEFT($G867,3)&lt;&gt;"ДОК",$N867&lt;&gt;""),IFERROR(INDEX(МАТЕРИАЛЫ!$H$2:$H$9000,MATCH($N867,МАТЕРИАЛЫ!$L$2:$L$9000,0))*IF(INDEX(МАТЕРИАЛЫ!$I$2:$I$9000,MATCH($N867,МАТЕРИАЛЫ!$L$2:$L$9000,0))="USD",КурсUSD,IF(INDEX(МАТЕРИАЛЫ!$I$2:$I$9000,MATCH($N867,МАТЕРИАЛЫ!$L$2:$L$9000,0))="EUR",КурсEUR,IF(INDEX(МАТЕРИАЛЫ!$I$2:$I$9000,MATCH($N867,МАТЕРИАЛЫ!$L$2:$L$9000,0))="CNY",КурсCNY,1)))*(1+N($H867)/100),0),N($O867))*(1-MEDIAN(0,N(ДисконтТендер),1))))</f>
        <v/>
      </c>
      <c r="U867" t="str">
        <f>IF($L867="да",MAX($U$1:$U866)+1,"")</f>
        <v/>
      </c>
      <c r="V867" t="str">
        <f t="shared" si="94"/>
        <v/>
      </c>
      <c r="W867" t="str">
        <f t="shared" si="95"/>
        <v/>
      </c>
      <c r="X867" t="str">
        <f t="shared" si="96"/>
        <v/>
      </c>
      <c r="Y867" s="4" t="str">
        <f>IF($A867="","",IF(AND(LEFT($G867,3)="ДОК",$N867&lt;&gt;""),IFERROR(INDEX(Документация!$G$2:$G$57,MATCH($N867,Документация!$F$2:$F$57,0)),$D867),$D867&amp;IF(AND(LEFT($G867,3)&lt;&gt;"ДОК",$N867&lt;&gt;"")," — "&amp;IFERROR(INDEX(МАТЕРИАЛЫ!$C$2:$C$9000,MATCH($N867,МАТЕРИАЛЫ!$L$2:$L$9000,0)),""),"")))</f>
        <v/>
      </c>
      <c r="Z867" t="str">
        <f t="shared" si="97"/>
        <v/>
      </c>
    </row>
    <row r="868" spans="1:26" x14ac:dyDescent="0.3">
      <c r="A868" s="8"/>
      <c r="D868" s="4"/>
      <c r="F868" s="5"/>
      <c r="L868" s="6"/>
      <c r="M868" s="6"/>
      <c r="N868" s="6"/>
      <c r="O868" s="5"/>
      <c r="P868" s="7" t="str">
        <f t="shared" si="91"/>
        <v/>
      </c>
      <c r="Q868" s="7" t="str">
        <f t="shared" si="92"/>
        <v/>
      </c>
      <c r="R868" s="7" t="str">
        <f t="shared" si="93"/>
        <v/>
      </c>
      <c r="S868" s="7" t="str">
        <f>IF($A868="","",IF(AND(LEFT($G868,3)="ДОК",$N868&lt;&gt;""),IFERROR(INDEX(Документация!$E$2:$E$57,MATCH($N868,Документация!$F$2:$F$57,0)),0),N($F868))*(1-MEDIAN(0,N(ДисконтТендер),1)))</f>
        <v/>
      </c>
      <c r="T868" s="7" t="str">
        <f>IF($A868="","",IF(AND(LEFT($G868,3)="ДОК",$N868&lt;&gt;""),0,IF(AND(LEFT($G868,3)&lt;&gt;"ДОК",$N868&lt;&gt;""),IFERROR(INDEX(МАТЕРИАЛЫ!$H$2:$H$9000,MATCH($N868,МАТЕРИАЛЫ!$L$2:$L$9000,0))*IF(INDEX(МАТЕРИАЛЫ!$I$2:$I$9000,MATCH($N868,МАТЕРИАЛЫ!$L$2:$L$9000,0))="USD",КурсUSD,IF(INDEX(МАТЕРИАЛЫ!$I$2:$I$9000,MATCH($N868,МАТЕРИАЛЫ!$L$2:$L$9000,0))="EUR",КурсEUR,IF(INDEX(МАТЕРИАЛЫ!$I$2:$I$9000,MATCH($N868,МАТЕРИАЛЫ!$L$2:$L$9000,0))="CNY",КурсCNY,1)))*(1+N($H868)/100),0),N($O868))*(1-MEDIAN(0,N(ДисконтТендер),1))))</f>
        <v/>
      </c>
      <c r="U868" t="str">
        <f>IF($L868="да",MAX($U$1:$U867)+1,"")</f>
        <v/>
      </c>
      <c r="V868" t="str">
        <f t="shared" si="94"/>
        <v/>
      </c>
      <c r="W868" t="str">
        <f t="shared" si="95"/>
        <v/>
      </c>
      <c r="X868" t="str">
        <f t="shared" si="96"/>
        <v/>
      </c>
      <c r="Y868" s="4" t="str">
        <f>IF($A868="","",IF(AND(LEFT($G868,3)="ДОК",$N868&lt;&gt;""),IFERROR(INDEX(Документация!$G$2:$G$57,MATCH($N868,Документация!$F$2:$F$57,0)),$D868),$D868&amp;IF(AND(LEFT($G868,3)&lt;&gt;"ДОК",$N868&lt;&gt;"")," — "&amp;IFERROR(INDEX(МАТЕРИАЛЫ!$C$2:$C$9000,MATCH($N868,МАТЕРИАЛЫ!$L$2:$L$9000,0)),""),"")))</f>
        <v/>
      </c>
      <c r="Z868" t="str">
        <f t="shared" si="97"/>
        <v/>
      </c>
    </row>
    <row r="869" spans="1:26" x14ac:dyDescent="0.3">
      <c r="A869" s="8"/>
      <c r="D869" s="4"/>
      <c r="F869" s="5"/>
      <c r="L869" s="6"/>
      <c r="M869" s="6"/>
      <c r="N869" s="6"/>
      <c r="O869" s="5"/>
      <c r="P869" s="7" t="str">
        <f t="shared" si="91"/>
        <v/>
      </c>
      <c r="Q869" s="7" t="str">
        <f t="shared" si="92"/>
        <v/>
      </c>
      <c r="R869" s="7" t="str">
        <f t="shared" si="93"/>
        <v/>
      </c>
      <c r="S869" s="7" t="str">
        <f>IF($A869="","",IF(AND(LEFT($G869,3)="ДОК",$N869&lt;&gt;""),IFERROR(INDEX(Документация!$E$2:$E$57,MATCH($N869,Документация!$F$2:$F$57,0)),0),N($F869))*(1-MEDIAN(0,N(ДисконтТендер),1)))</f>
        <v/>
      </c>
      <c r="T869" s="7" t="str">
        <f>IF($A869="","",IF(AND(LEFT($G869,3)="ДОК",$N869&lt;&gt;""),0,IF(AND(LEFT($G869,3)&lt;&gt;"ДОК",$N869&lt;&gt;""),IFERROR(INDEX(МАТЕРИАЛЫ!$H$2:$H$9000,MATCH($N869,МАТЕРИАЛЫ!$L$2:$L$9000,0))*IF(INDEX(МАТЕРИАЛЫ!$I$2:$I$9000,MATCH($N869,МАТЕРИАЛЫ!$L$2:$L$9000,0))="USD",КурсUSD,IF(INDEX(МАТЕРИАЛЫ!$I$2:$I$9000,MATCH($N869,МАТЕРИАЛЫ!$L$2:$L$9000,0))="EUR",КурсEUR,IF(INDEX(МАТЕРИАЛЫ!$I$2:$I$9000,MATCH($N869,МАТЕРИАЛЫ!$L$2:$L$9000,0))="CNY",КурсCNY,1)))*(1+N($H869)/100),0),N($O869))*(1-MEDIAN(0,N(ДисконтТендер),1))))</f>
        <v/>
      </c>
      <c r="U869" t="str">
        <f>IF($L869="да",MAX($U$1:$U868)+1,"")</f>
        <v/>
      </c>
      <c r="V869" t="str">
        <f t="shared" si="94"/>
        <v/>
      </c>
      <c r="W869" t="str">
        <f t="shared" si="95"/>
        <v/>
      </c>
      <c r="X869" t="str">
        <f t="shared" si="96"/>
        <v/>
      </c>
      <c r="Y869" s="4" t="str">
        <f>IF($A869="","",IF(AND(LEFT($G869,3)="ДОК",$N869&lt;&gt;""),IFERROR(INDEX(Документация!$G$2:$G$57,MATCH($N869,Документация!$F$2:$F$57,0)),$D869),$D869&amp;IF(AND(LEFT($G869,3)&lt;&gt;"ДОК",$N869&lt;&gt;"")," — "&amp;IFERROR(INDEX(МАТЕРИАЛЫ!$C$2:$C$9000,MATCH($N869,МАТЕРИАЛЫ!$L$2:$L$9000,0)),""),"")))</f>
        <v/>
      </c>
      <c r="Z869" t="str">
        <f t="shared" si="97"/>
        <v/>
      </c>
    </row>
    <row r="870" spans="1:26" x14ac:dyDescent="0.3">
      <c r="A870" s="8"/>
      <c r="D870" s="4"/>
      <c r="F870" s="5"/>
      <c r="L870" s="6"/>
      <c r="M870" s="6"/>
      <c r="N870" s="6"/>
      <c r="O870" s="5"/>
      <c r="P870" s="7" t="str">
        <f t="shared" si="91"/>
        <v/>
      </c>
      <c r="Q870" s="7" t="str">
        <f t="shared" si="92"/>
        <v/>
      </c>
      <c r="R870" s="7" t="str">
        <f t="shared" si="93"/>
        <v/>
      </c>
      <c r="S870" s="7" t="str">
        <f>IF($A870="","",IF(AND(LEFT($G870,3)="ДОК",$N870&lt;&gt;""),IFERROR(INDEX(Документация!$E$2:$E$57,MATCH($N870,Документация!$F$2:$F$57,0)),0),N($F870))*(1-MEDIAN(0,N(ДисконтТендер),1)))</f>
        <v/>
      </c>
      <c r="T870" s="7" t="str">
        <f>IF($A870="","",IF(AND(LEFT($G870,3)="ДОК",$N870&lt;&gt;""),0,IF(AND(LEFT($G870,3)&lt;&gt;"ДОК",$N870&lt;&gt;""),IFERROR(INDEX(МАТЕРИАЛЫ!$H$2:$H$9000,MATCH($N870,МАТЕРИАЛЫ!$L$2:$L$9000,0))*IF(INDEX(МАТЕРИАЛЫ!$I$2:$I$9000,MATCH($N870,МАТЕРИАЛЫ!$L$2:$L$9000,0))="USD",КурсUSD,IF(INDEX(МАТЕРИАЛЫ!$I$2:$I$9000,MATCH($N870,МАТЕРИАЛЫ!$L$2:$L$9000,0))="EUR",КурсEUR,IF(INDEX(МАТЕРИАЛЫ!$I$2:$I$9000,MATCH($N870,МАТЕРИАЛЫ!$L$2:$L$9000,0))="CNY",КурсCNY,1)))*(1+N($H870)/100),0),N($O870))*(1-MEDIAN(0,N(ДисконтТендер),1))))</f>
        <v/>
      </c>
      <c r="U870" t="str">
        <f>IF($L870="да",MAX($U$1:$U869)+1,"")</f>
        <v/>
      </c>
      <c r="V870" t="str">
        <f t="shared" si="94"/>
        <v/>
      </c>
      <c r="W870" t="str">
        <f t="shared" si="95"/>
        <v/>
      </c>
      <c r="X870" t="str">
        <f t="shared" si="96"/>
        <v/>
      </c>
      <c r="Y870" s="4" t="str">
        <f>IF($A870="","",IF(AND(LEFT($G870,3)="ДОК",$N870&lt;&gt;""),IFERROR(INDEX(Документация!$G$2:$G$57,MATCH($N870,Документация!$F$2:$F$57,0)),$D870),$D870&amp;IF(AND(LEFT($G870,3)&lt;&gt;"ДОК",$N870&lt;&gt;"")," — "&amp;IFERROR(INDEX(МАТЕРИАЛЫ!$C$2:$C$9000,MATCH($N870,МАТЕРИАЛЫ!$L$2:$L$9000,0)),""),"")))</f>
        <v/>
      </c>
      <c r="Z870" t="str">
        <f t="shared" si="97"/>
        <v/>
      </c>
    </row>
    <row r="871" spans="1:26" x14ac:dyDescent="0.3">
      <c r="A871" s="8"/>
      <c r="D871" s="4"/>
      <c r="F871" s="5"/>
      <c r="L871" s="6"/>
      <c r="M871" s="6"/>
      <c r="N871" s="6"/>
      <c r="O871" s="5"/>
      <c r="P871" s="7" t="str">
        <f t="shared" si="91"/>
        <v/>
      </c>
      <c r="Q871" s="7" t="str">
        <f t="shared" si="92"/>
        <v/>
      </c>
      <c r="R871" s="7" t="str">
        <f t="shared" si="93"/>
        <v/>
      </c>
      <c r="S871" s="7" t="str">
        <f>IF($A871="","",IF(AND(LEFT($G871,3)="ДОК",$N871&lt;&gt;""),IFERROR(INDEX(Документация!$E$2:$E$57,MATCH($N871,Документация!$F$2:$F$57,0)),0),N($F871))*(1-MEDIAN(0,N(ДисконтТендер),1)))</f>
        <v/>
      </c>
      <c r="T871" s="7" t="str">
        <f>IF($A871="","",IF(AND(LEFT($G871,3)="ДОК",$N871&lt;&gt;""),0,IF(AND(LEFT($G871,3)&lt;&gt;"ДОК",$N871&lt;&gt;""),IFERROR(INDEX(МАТЕРИАЛЫ!$H$2:$H$9000,MATCH($N871,МАТЕРИАЛЫ!$L$2:$L$9000,0))*IF(INDEX(МАТЕРИАЛЫ!$I$2:$I$9000,MATCH($N871,МАТЕРИАЛЫ!$L$2:$L$9000,0))="USD",КурсUSD,IF(INDEX(МАТЕРИАЛЫ!$I$2:$I$9000,MATCH($N871,МАТЕРИАЛЫ!$L$2:$L$9000,0))="EUR",КурсEUR,IF(INDEX(МАТЕРИАЛЫ!$I$2:$I$9000,MATCH($N871,МАТЕРИАЛЫ!$L$2:$L$9000,0))="CNY",КурсCNY,1)))*(1+N($H871)/100),0),N($O871))*(1-MEDIAN(0,N(ДисконтТендер),1))))</f>
        <v/>
      </c>
      <c r="U871" t="str">
        <f>IF($L871="да",MAX($U$1:$U870)+1,"")</f>
        <v/>
      </c>
      <c r="V871" t="str">
        <f t="shared" si="94"/>
        <v/>
      </c>
      <c r="W871" t="str">
        <f t="shared" si="95"/>
        <v/>
      </c>
      <c r="X871" t="str">
        <f t="shared" si="96"/>
        <v/>
      </c>
      <c r="Y871" s="4" t="str">
        <f>IF($A871="","",IF(AND(LEFT($G871,3)="ДОК",$N871&lt;&gt;""),IFERROR(INDEX(Документация!$G$2:$G$57,MATCH($N871,Документация!$F$2:$F$57,0)),$D871),$D871&amp;IF(AND(LEFT($G871,3)&lt;&gt;"ДОК",$N871&lt;&gt;"")," — "&amp;IFERROR(INDEX(МАТЕРИАЛЫ!$C$2:$C$9000,MATCH($N871,МАТЕРИАЛЫ!$L$2:$L$9000,0)),""),"")))</f>
        <v/>
      </c>
      <c r="Z871" t="str">
        <f t="shared" si="97"/>
        <v/>
      </c>
    </row>
    <row r="872" spans="1:26" x14ac:dyDescent="0.3">
      <c r="A872" s="8"/>
      <c r="D872" s="4"/>
      <c r="F872" s="5"/>
      <c r="L872" s="6"/>
      <c r="M872" s="6"/>
      <c r="N872" s="6"/>
      <c r="O872" s="5"/>
      <c r="P872" s="7" t="str">
        <f t="shared" si="91"/>
        <v/>
      </c>
      <c r="Q872" s="7" t="str">
        <f t="shared" si="92"/>
        <v/>
      </c>
      <c r="R872" s="7" t="str">
        <f t="shared" si="93"/>
        <v/>
      </c>
      <c r="S872" s="7" t="str">
        <f>IF($A872="","",IF(AND(LEFT($G872,3)="ДОК",$N872&lt;&gt;""),IFERROR(INDEX(Документация!$E$2:$E$57,MATCH($N872,Документация!$F$2:$F$57,0)),0),N($F872))*(1-MEDIAN(0,N(ДисконтТендер),1)))</f>
        <v/>
      </c>
      <c r="T872" s="7" t="str">
        <f>IF($A872="","",IF(AND(LEFT($G872,3)="ДОК",$N872&lt;&gt;""),0,IF(AND(LEFT($G872,3)&lt;&gt;"ДОК",$N872&lt;&gt;""),IFERROR(INDEX(МАТЕРИАЛЫ!$H$2:$H$9000,MATCH($N872,МАТЕРИАЛЫ!$L$2:$L$9000,0))*IF(INDEX(МАТЕРИАЛЫ!$I$2:$I$9000,MATCH($N872,МАТЕРИАЛЫ!$L$2:$L$9000,0))="USD",КурсUSD,IF(INDEX(МАТЕРИАЛЫ!$I$2:$I$9000,MATCH($N872,МАТЕРИАЛЫ!$L$2:$L$9000,0))="EUR",КурсEUR,IF(INDEX(МАТЕРИАЛЫ!$I$2:$I$9000,MATCH($N872,МАТЕРИАЛЫ!$L$2:$L$9000,0))="CNY",КурсCNY,1)))*(1+N($H872)/100),0),N($O872))*(1-MEDIAN(0,N(ДисконтТендер),1))))</f>
        <v/>
      </c>
      <c r="U872" t="str">
        <f>IF($L872="да",MAX($U$1:$U871)+1,"")</f>
        <v/>
      </c>
      <c r="V872" t="str">
        <f t="shared" si="94"/>
        <v/>
      </c>
      <c r="W872" t="str">
        <f t="shared" si="95"/>
        <v/>
      </c>
      <c r="X872" t="str">
        <f t="shared" si="96"/>
        <v/>
      </c>
      <c r="Y872" s="4" t="str">
        <f>IF($A872="","",IF(AND(LEFT($G872,3)="ДОК",$N872&lt;&gt;""),IFERROR(INDEX(Документация!$G$2:$G$57,MATCH($N872,Документация!$F$2:$F$57,0)),$D872),$D872&amp;IF(AND(LEFT($G872,3)&lt;&gt;"ДОК",$N872&lt;&gt;"")," — "&amp;IFERROR(INDEX(МАТЕРИАЛЫ!$C$2:$C$9000,MATCH($N872,МАТЕРИАЛЫ!$L$2:$L$9000,0)),""),"")))</f>
        <v/>
      </c>
      <c r="Z872" t="str">
        <f t="shared" si="97"/>
        <v/>
      </c>
    </row>
    <row r="873" spans="1:26" x14ac:dyDescent="0.3">
      <c r="A873" s="8"/>
      <c r="D873" s="4"/>
      <c r="F873" s="5"/>
      <c r="L873" s="6"/>
      <c r="M873" s="6"/>
      <c r="N873" s="6"/>
      <c r="O873" s="5"/>
      <c r="P873" s="7" t="str">
        <f t="shared" si="91"/>
        <v/>
      </c>
      <c r="Q873" s="7" t="str">
        <f t="shared" si="92"/>
        <v/>
      </c>
      <c r="R873" s="7" t="str">
        <f t="shared" si="93"/>
        <v/>
      </c>
      <c r="S873" s="7" t="str">
        <f>IF($A873="","",IF(AND(LEFT($G873,3)="ДОК",$N873&lt;&gt;""),IFERROR(INDEX(Документация!$E$2:$E$57,MATCH($N873,Документация!$F$2:$F$57,0)),0),N($F873))*(1-MEDIAN(0,N(ДисконтТендер),1)))</f>
        <v/>
      </c>
      <c r="T873" s="7" t="str">
        <f>IF($A873="","",IF(AND(LEFT($G873,3)="ДОК",$N873&lt;&gt;""),0,IF(AND(LEFT($G873,3)&lt;&gt;"ДОК",$N873&lt;&gt;""),IFERROR(INDEX(МАТЕРИАЛЫ!$H$2:$H$9000,MATCH($N873,МАТЕРИАЛЫ!$L$2:$L$9000,0))*IF(INDEX(МАТЕРИАЛЫ!$I$2:$I$9000,MATCH($N873,МАТЕРИАЛЫ!$L$2:$L$9000,0))="USD",КурсUSD,IF(INDEX(МАТЕРИАЛЫ!$I$2:$I$9000,MATCH($N873,МАТЕРИАЛЫ!$L$2:$L$9000,0))="EUR",КурсEUR,IF(INDEX(МАТЕРИАЛЫ!$I$2:$I$9000,MATCH($N873,МАТЕРИАЛЫ!$L$2:$L$9000,0))="CNY",КурсCNY,1)))*(1+N($H873)/100),0),N($O873))*(1-MEDIAN(0,N(ДисконтТендер),1))))</f>
        <v/>
      </c>
      <c r="U873" t="str">
        <f>IF($L873="да",MAX($U$1:$U872)+1,"")</f>
        <v/>
      </c>
      <c r="V873" t="str">
        <f t="shared" si="94"/>
        <v/>
      </c>
      <c r="W873" t="str">
        <f t="shared" si="95"/>
        <v/>
      </c>
      <c r="X873" t="str">
        <f t="shared" si="96"/>
        <v/>
      </c>
      <c r="Y873" s="4" t="str">
        <f>IF($A873="","",IF(AND(LEFT($G873,3)="ДОК",$N873&lt;&gt;""),IFERROR(INDEX(Документация!$G$2:$G$57,MATCH($N873,Документация!$F$2:$F$57,0)),$D873),$D873&amp;IF(AND(LEFT($G873,3)&lt;&gt;"ДОК",$N873&lt;&gt;"")," — "&amp;IFERROR(INDEX(МАТЕРИАЛЫ!$C$2:$C$9000,MATCH($N873,МАТЕРИАЛЫ!$L$2:$L$9000,0)),""),"")))</f>
        <v/>
      </c>
      <c r="Z873" t="str">
        <f t="shared" si="97"/>
        <v/>
      </c>
    </row>
    <row r="874" spans="1:26" x14ac:dyDescent="0.3">
      <c r="A874" s="8"/>
      <c r="D874" s="4"/>
      <c r="F874" s="5"/>
      <c r="L874" s="6"/>
      <c r="M874" s="6"/>
      <c r="N874" s="6"/>
      <c r="O874" s="5"/>
      <c r="P874" s="7" t="str">
        <f t="shared" si="91"/>
        <v/>
      </c>
      <c r="Q874" s="7" t="str">
        <f t="shared" si="92"/>
        <v/>
      </c>
      <c r="R874" s="7" t="str">
        <f t="shared" si="93"/>
        <v/>
      </c>
      <c r="S874" s="7" t="str">
        <f>IF($A874="","",IF(AND(LEFT($G874,3)="ДОК",$N874&lt;&gt;""),IFERROR(INDEX(Документация!$E$2:$E$57,MATCH($N874,Документация!$F$2:$F$57,0)),0),N($F874))*(1-MEDIAN(0,N(ДисконтТендер),1)))</f>
        <v/>
      </c>
      <c r="T874" s="7" t="str">
        <f>IF($A874="","",IF(AND(LEFT($G874,3)="ДОК",$N874&lt;&gt;""),0,IF(AND(LEFT($G874,3)&lt;&gt;"ДОК",$N874&lt;&gt;""),IFERROR(INDEX(МАТЕРИАЛЫ!$H$2:$H$9000,MATCH($N874,МАТЕРИАЛЫ!$L$2:$L$9000,0))*IF(INDEX(МАТЕРИАЛЫ!$I$2:$I$9000,MATCH($N874,МАТЕРИАЛЫ!$L$2:$L$9000,0))="USD",КурсUSD,IF(INDEX(МАТЕРИАЛЫ!$I$2:$I$9000,MATCH($N874,МАТЕРИАЛЫ!$L$2:$L$9000,0))="EUR",КурсEUR,IF(INDEX(МАТЕРИАЛЫ!$I$2:$I$9000,MATCH($N874,МАТЕРИАЛЫ!$L$2:$L$9000,0))="CNY",КурсCNY,1)))*(1+N($H874)/100),0),N($O874))*(1-MEDIAN(0,N(ДисконтТендер),1))))</f>
        <v/>
      </c>
      <c r="U874" t="str">
        <f>IF($L874="да",MAX($U$1:$U873)+1,"")</f>
        <v/>
      </c>
      <c r="V874" t="str">
        <f t="shared" si="94"/>
        <v/>
      </c>
      <c r="W874" t="str">
        <f t="shared" si="95"/>
        <v/>
      </c>
      <c r="X874" t="str">
        <f t="shared" si="96"/>
        <v/>
      </c>
      <c r="Y874" s="4" t="str">
        <f>IF($A874="","",IF(AND(LEFT($G874,3)="ДОК",$N874&lt;&gt;""),IFERROR(INDEX(Документация!$G$2:$G$57,MATCH($N874,Документация!$F$2:$F$57,0)),$D874),$D874&amp;IF(AND(LEFT($G874,3)&lt;&gt;"ДОК",$N874&lt;&gt;"")," — "&amp;IFERROR(INDEX(МАТЕРИАЛЫ!$C$2:$C$9000,MATCH($N874,МАТЕРИАЛЫ!$L$2:$L$9000,0)),""),"")))</f>
        <v/>
      </c>
      <c r="Z874" t="str">
        <f t="shared" si="97"/>
        <v/>
      </c>
    </row>
    <row r="875" spans="1:26" x14ac:dyDescent="0.3">
      <c r="A875" s="8"/>
      <c r="D875" s="4"/>
      <c r="F875" s="5"/>
      <c r="L875" s="6"/>
      <c r="M875" s="6"/>
      <c r="N875" s="6"/>
      <c r="O875" s="5"/>
      <c r="P875" s="7" t="str">
        <f t="shared" si="91"/>
        <v/>
      </c>
      <c r="Q875" s="7" t="str">
        <f t="shared" si="92"/>
        <v/>
      </c>
      <c r="R875" s="7" t="str">
        <f t="shared" si="93"/>
        <v/>
      </c>
      <c r="S875" s="7" t="str">
        <f>IF($A875="","",IF(AND(LEFT($G875,3)="ДОК",$N875&lt;&gt;""),IFERROR(INDEX(Документация!$E$2:$E$57,MATCH($N875,Документация!$F$2:$F$57,0)),0),N($F875))*(1-MEDIAN(0,N(ДисконтТендер),1)))</f>
        <v/>
      </c>
      <c r="T875" s="7" t="str">
        <f>IF($A875="","",IF(AND(LEFT($G875,3)="ДОК",$N875&lt;&gt;""),0,IF(AND(LEFT($G875,3)&lt;&gt;"ДОК",$N875&lt;&gt;""),IFERROR(INDEX(МАТЕРИАЛЫ!$H$2:$H$9000,MATCH($N875,МАТЕРИАЛЫ!$L$2:$L$9000,0))*IF(INDEX(МАТЕРИАЛЫ!$I$2:$I$9000,MATCH($N875,МАТЕРИАЛЫ!$L$2:$L$9000,0))="USD",КурсUSD,IF(INDEX(МАТЕРИАЛЫ!$I$2:$I$9000,MATCH($N875,МАТЕРИАЛЫ!$L$2:$L$9000,0))="EUR",КурсEUR,IF(INDEX(МАТЕРИАЛЫ!$I$2:$I$9000,MATCH($N875,МАТЕРИАЛЫ!$L$2:$L$9000,0))="CNY",КурсCNY,1)))*(1+N($H875)/100),0),N($O875))*(1-MEDIAN(0,N(ДисконтТендер),1))))</f>
        <v/>
      </c>
      <c r="U875" t="str">
        <f>IF($L875="да",MAX($U$1:$U874)+1,"")</f>
        <v/>
      </c>
      <c r="V875" t="str">
        <f t="shared" si="94"/>
        <v/>
      </c>
      <c r="W875" t="str">
        <f t="shared" si="95"/>
        <v/>
      </c>
      <c r="X875" t="str">
        <f t="shared" si="96"/>
        <v/>
      </c>
      <c r="Y875" s="4" t="str">
        <f>IF($A875="","",IF(AND(LEFT($G875,3)="ДОК",$N875&lt;&gt;""),IFERROR(INDEX(Документация!$G$2:$G$57,MATCH($N875,Документация!$F$2:$F$57,0)),$D875),$D875&amp;IF(AND(LEFT($G875,3)&lt;&gt;"ДОК",$N875&lt;&gt;"")," — "&amp;IFERROR(INDEX(МАТЕРИАЛЫ!$C$2:$C$9000,MATCH($N875,МАТЕРИАЛЫ!$L$2:$L$9000,0)),""),"")))</f>
        <v/>
      </c>
      <c r="Z875" t="str">
        <f t="shared" si="97"/>
        <v/>
      </c>
    </row>
    <row r="876" spans="1:26" x14ac:dyDescent="0.3">
      <c r="A876" s="8"/>
      <c r="D876" s="4"/>
      <c r="F876" s="5"/>
      <c r="L876" s="6"/>
      <c r="M876" s="6"/>
      <c r="N876" s="6"/>
      <c r="O876" s="5"/>
      <c r="P876" s="7" t="str">
        <f t="shared" si="91"/>
        <v/>
      </c>
      <c r="Q876" s="7" t="str">
        <f t="shared" si="92"/>
        <v/>
      </c>
      <c r="R876" s="7" t="str">
        <f t="shared" si="93"/>
        <v/>
      </c>
      <c r="S876" s="7" t="str">
        <f>IF($A876="","",IF(AND(LEFT($G876,3)="ДОК",$N876&lt;&gt;""),IFERROR(INDEX(Документация!$E$2:$E$57,MATCH($N876,Документация!$F$2:$F$57,0)),0),N($F876))*(1-MEDIAN(0,N(ДисконтТендер),1)))</f>
        <v/>
      </c>
      <c r="T876" s="7" t="str">
        <f>IF($A876="","",IF(AND(LEFT($G876,3)="ДОК",$N876&lt;&gt;""),0,IF(AND(LEFT($G876,3)&lt;&gt;"ДОК",$N876&lt;&gt;""),IFERROR(INDEX(МАТЕРИАЛЫ!$H$2:$H$9000,MATCH($N876,МАТЕРИАЛЫ!$L$2:$L$9000,0))*IF(INDEX(МАТЕРИАЛЫ!$I$2:$I$9000,MATCH($N876,МАТЕРИАЛЫ!$L$2:$L$9000,0))="USD",КурсUSD,IF(INDEX(МАТЕРИАЛЫ!$I$2:$I$9000,MATCH($N876,МАТЕРИАЛЫ!$L$2:$L$9000,0))="EUR",КурсEUR,IF(INDEX(МАТЕРИАЛЫ!$I$2:$I$9000,MATCH($N876,МАТЕРИАЛЫ!$L$2:$L$9000,0))="CNY",КурсCNY,1)))*(1+N($H876)/100),0),N($O876))*(1-MEDIAN(0,N(ДисконтТендер),1))))</f>
        <v/>
      </c>
      <c r="U876" t="str">
        <f>IF($L876="да",MAX($U$1:$U875)+1,"")</f>
        <v/>
      </c>
      <c r="V876" t="str">
        <f t="shared" si="94"/>
        <v/>
      </c>
      <c r="W876" t="str">
        <f t="shared" si="95"/>
        <v/>
      </c>
      <c r="X876" t="str">
        <f t="shared" si="96"/>
        <v/>
      </c>
      <c r="Y876" s="4" t="str">
        <f>IF($A876="","",IF(AND(LEFT($G876,3)="ДОК",$N876&lt;&gt;""),IFERROR(INDEX(Документация!$G$2:$G$57,MATCH($N876,Документация!$F$2:$F$57,0)),$D876),$D876&amp;IF(AND(LEFT($G876,3)&lt;&gt;"ДОК",$N876&lt;&gt;"")," — "&amp;IFERROR(INDEX(МАТЕРИАЛЫ!$C$2:$C$9000,MATCH($N876,МАТЕРИАЛЫ!$L$2:$L$9000,0)),""),"")))</f>
        <v/>
      </c>
      <c r="Z876" t="str">
        <f t="shared" si="97"/>
        <v/>
      </c>
    </row>
    <row r="877" spans="1:26" x14ac:dyDescent="0.3">
      <c r="A877" s="8"/>
      <c r="D877" s="4"/>
      <c r="F877" s="5"/>
      <c r="L877" s="6"/>
      <c r="M877" s="6"/>
      <c r="N877" s="6"/>
      <c r="O877" s="5"/>
      <c r="P877" s="7" t="str">
        <f t="shared" si="91"/>
        <v/>
      </c>
      <c r="Q877" s="7" t="str">
        <f t="shared" si="92"/>
        <v/>
      </c>
      <c r="R877" s="7" t="str">
        <f t="shared" si="93"/>
        <v/>
      </c>
      <c r="S877" s="7" t="str">
        <f>IF($A877="","",IF(AND(LEFT($G877,3)="ДОК",$N877&lt;&gt;""),IFERROR(INDEX(Документация!$E$2:$E$57,MATCH($N877,Документация!$F$2:$F$57,0)),0),N($F877))*(1-MEDIAN(0,N(ДисконтТендер),1)))</f>
        <v/>
      </c>
      <c r="T877" s="7" t="str">
        <f>IF($A877="","",IF(AND(LEFT($G877,3)="ДОК",$N877&lt;&gt;""),0,IF(AND(LEFT($G877,3)&lt;&gt;"ДОК",$N877&lt;&gt;""),IFERROR(INDEX(МАТЕРИАЛЫ!$H$2:$H$9000,MATCH($N877,МАТЕРИАЛЫ!$L$2:$L$9000,0))*IF(INDEX(МАТЕРИАЛЫ!$I$2:$I$9000,MATCH($N877,МАТЕРИАЛЫ!$L$2:$L$9000,0))="USD",КурсUSD,IF(INDEX(МАТЕРИАЛЫ!$I$2:$I$9000,MATCH($N877,МАТЕРИАЛЫ!$L$2:$L$9000,0))="EUR",КурсEUR,IF(INDEX(МАТЕРИАЛЫ!$I$2:$I$9000,MATCH($N877,МАТЕРИАЛЫ!$L$2:$L$9000,0))="CNY",КурсCNY,1)))*(1+N($H877)/100),0),N($O877))*(1-MEDIAN(0,N(ДисконтТендер),1))))</f>
        <v/>
      </c>
      <c r="U877" t="str">
        <f>IF($L877="да",MAX($U$1:$U876)+1,"")</f>
        <v/>
      </c>
      <c r="V877" t="str">
        <f t="shared" si="94"/>
        <v/>
      </c>
      <c r="W877" t="str">
        <f t="shared" si="95"/>
        <v/>
      </c>
      <c r="X877" t="str">
        <f t="shared" si="96"/>
        <v/>
      </c>
      <c r="Y877" s="4" t="str">
        <f>IF($A877="","",IF(AND(LEFT($G877,3)="ДОК",$N877&lt;&gt;""),IFERROR(INDEX(Документация!$G$2:$G$57,MATCH($N877,Документация!$F$2:$F$57,0)),$D877),$D877&amp;IF(AND(LEFT($G877,3)&lt;&gt;"ДОК",$N877&lt;&gt;"")," — "&amp;IFERROR(INDEX(МАТЕРИАЛЫ!$C$2:$C$9000,MATCH($N877,МАТЕРИАЛЫ!$L$2:$L$9000,0)),""),"")))</f>
        <v/>
      </c>
      <c r="Z877" t="str">
        <f t="shared" si="97"/>
        <v/>
      </c>
    </row>
    <row r="878" spans="1:26" x14ac:dyDescent="0.3">
      <c r="A878" s="8"/>
      <c r="D878" s="4"/>
      <c r="F878" s="5"/>
      <c r="L878" s="6"/>
      <c r="M878" s="6"/>
      <c r="N878" s="6"/>
      <c r="O878" s="5"/>
      <c r="P878" s="7" t="str">
        <f t="shared" si="91"/>
        <v/>
      </c>
      <c r="Q878" s="7" t="str">
        <f t="shared" si="92"/>
        <v/>
      </c>
      <c r="R878" s="7" t="str">
        <f t="shared" si="93"/>
        <v/>
      </c>
      <c r="S878" s="7" t="str">
        <f>IF($A878="","",IF(AND(LEFT($G878,3)="ДОК",$N878&lt;&gt;""),IFERROR(INDEX(Документация!$E$2:$E$57,MATCH($N878,Документация!$F$2:$F$57,0)),0),N($F878))*(1-MEDIAN(0,N(ДисконтТендер),1)))</f>
        <v/>
      </c>
      <c r="T878" s="7" t="str">
        <f>IF($A878="","",IF(AND(LEFT($G878,3)="ДОК",$N878&lt;&gt;""),0,IF(AND(LEFT($G878,3)&lt;&gt;"ДОК",$N878&lt;&gt;""),IFERROR(INDEX(МАТЕРИАЛЫ!$H$2:$H$9000,MATCH($N878,МАТЕРИАЛЫ!$L$2:$L$9000,0))*IF(INDEX(МАТЕРИАЛЫ!$I$2:$I$9000,MATCH($N878,МАТЕРИАЛЫ!$L$2:$L$9000,0))="USD",КурсUSD,IF(INDEX(МАТЕРИАЛЫ!$I$2:$I$9000,MATCH($N878,МАТЕРИАЛЫ!$L$2:$L$9000,0))="EUR",КурсEUR,IF(INDEX(МАТЕРИАЛЫ!$I$2:$I$9000,MATCH($N878,МАТЕРИАЛЫ!$L$2:$L$9000,0))="CNY",КурсCNY,1)))*(1+N($H878)/100),0),N($O878))*(1-MEDIAN(0,N(ДисконтТендер),1))))</f>
        <v/>
      </c>
      <c r="U878" t="str">
        <f>IF($L878="да",MAX($U$1:$U877)+1,"")</f>
        <v/>
      </c>
      <c r="V878" t="str">
        <f t="shared" si="94"/>
        <v/>
      </c>
      <c r="W878" t="str">
        <f t="shared" si="95"/>
        <v/>
      </c>
      <c r="X878" t="str">
        <f t="shared" si="96"/>
        <v/>
      </c>
      <c r="Y878" s="4" t="str">
        <f>IF($A878="","",IF(AND(LEFT($G878,3)="ДОК",$N878&lt;&gt;""),IFERROR(INDEX(Документация!$G$2:$G$57,MATCH($N878,Документация!$F$2:$F$57,0)),$D878),$D878&amp;IF(AND(LEFT($G878,3)&lt;&gt;"ДОК",$N878&lt;&gt;"")," — "&amp;IFERROR(INDEX(МАТЕРИАЛЫ!$C$2:$C$9000,MATCH($N878,МАТЕРИАЛЫ!$L$2:$L$9000,0)),""),"")))</f>
        <v/>
      </c>
      <c r="Z878" t="str">
        <f t="shared" si="97"/>
        <v/>
      </c>
    </row>
    <row r="879" spans="1:26" x14ac:dyDescent="0.3">
      <c r="A879" s="8"/>
      <c r="D879" s="4"/>
      <c r="F879" s="5"/>
      <c r="L879" s="6"/>
      <c r="M879" s="6"/>
      <c r="N879" s="6"/>
      <c r="O879" s="5"/>
      <c r="P879" s="7" t="str">
        <f t="shared" si="91"/>
        <v/>
      </c>
      <c r="Q879" s="7" t="str">
        <f t="shared" si="92"/>
        <v/>
      </c>
      <c r="R879" s="7" t="str">
        <f t="shared" si="93"/>
        <v/>
      </c>
      <c r="S879" s="7" t="str">
        <f>IF($A879="","",IF(AND(LEFT($G879,3)="ДОК",$N879&lt;&gt;""),IFERROR(INDEX(Документация!$E$2:$E$57,MATCH($N879,Документация!$F$2:$F$57,0)),0),N($F879))*(1-MEDIAN(0,N(ДисконтТендер),1)))</f>
        <v/>
      </c>
      <c r="T879" s="7" t="str">
        <f>IF($A879="","",IF(AND(LEFT($G879,3)="ДОК",$N879&lt;&gt;""),0,IF(AND(LEFT($G879,3)&lt;&gt;"ДОК",$N879&lt;&gt;""),IFERROR(INDEX(МАТЕРИАЛЫ!$H$2:$H$9000,MATCH($N879,МАТЕРИАЛЫ!$L$2:$L$9000,0))*IF(INDEX(МАТЕРИАЛЫ!$I$2:$I$9000,MATCH($N879,МАТЕРИАЛЫ!$L$2:$L$9000,0))="USD",КурсUSD,IF(INDEX(МАТЕРИАЛЫ!$I$2:$I$9000,MATCH($N879,МАТЕРИАЛЫ!$L$2:$L$9000,0))="EUR",КурсEUR,IF(INDEX(МАТЕРИАЛЫ!$I$2:$I$9000,MATCH($N879,МАТЕРИАЛЫ!$L$2:$L$9000,0))="CNY",КурсCNY,1)))*(1+N($H879)/100),0),N($O879))*(1-MEDIAN(0,N(ДисконтТендер),1))))</f>
        <v/>
      </c>
      <c r="U879" t="str">
        <f>IF($L879="да",MAX($U$1:$U878)+1,"")</f>
        <v/>
      </c>
      <c r="V879" t="str">
        <f t="shared" si="94"/>
        <v/>
      </c>
      <c r="W879" t="str">
        <f t="shared" si="95"/>
        <v/>
      </c>
      <c r="X879" t="str">
        <f t="shared" si="96"/>
        <v/>
      </c>
      <c r="Y879" s="4" t="str">
        <f>IF($A879="","",IF(AND(LEFT($G879,3)="ДОК",$N879&lt;&gt;""),IFERROR(INDEX(Документация!$G$2:$G$57,MATCH($N879,Документация!$F$2:$F$57,0)),$D879),$D879&amp;IF(AND(LEFT($G879,3)&lt;&gt;"ДОК",$N879&lt;&gt;"")," — "&amp;IFERROR(INDEX(МАТЕРИАЛЫ!$C$2:$C$9000,MATCH($N879,МАТЕРИАЛЫ!$L$2:$L$9000,0)),""),"")))</f>
        <v/>
      </c>
      <c r="Z879" t="str">
        <f t="shared" si="97"/>
        <v/>
      </c>
    </row>
    <row r="880" spans="1:26" x14ac:dyDescent="0.3">
      <c r="A880" s="8"/>
      <c r="D880" s="4"/>
      <c r="F880" s="5"/>
      <c r="L880" s="6"/>
      <c r="M880" s="6"/>
      <c r="N880" s="6"/>
      <c r="O880" s="5"/>
      <c r="P880" s="7" t="str">
        <f t="shared" si="91"/>
        <v/>
      </c>
      <c r="Q880" s="7" t="str">
        <f t="shared" si="92"/>
        <v/>
      </c>
      <c r="R880" s="7" t="str">
        <f t="shared" si="93"/>
        <v/>
      </c>
      <c r="S880" s="7" t="str">
        <f>IF($A880="","",IF(AND(LEFT($G880,3)="ДОК",$N880&lt;&gt;""),IFERROR(INDEX(Документация!$E$2:$E$57,MATCH($N880,Документация!$F$2:$F$57,0)),0),N($F880))*(1-MEDIAN(0,N(ДисконтТендер),1)))</f>
        <v/>
      </c>
      <c r="T880" s="7" t="str">
        <f>IF($A880="","",IF(AND(LEFT($G880,3)="ДОК",$N880&lt;&gt;""),0,IF(AND(LEFT($G880,3)&lt;&gt;"ДОК",$N880&lt;&gt;""),IFERROR(INDEX(МАТЕРИАЛЫ!$H$2:$H$9000,MATCH($N880,МАТЕРИАЛЫ!$L$2:$L$9000,0))*IF(INDEX(МАТЕРИАЛЫ!$I$2:$I$9000,MATCH($N880,МАТЕРИАЛЫ!$L$2:$L$9000,0))="USD",КурсUSD,IF(INDEX(МАТЕРИАЛЫ!$I$2:$I$9000,MATCH($N880,МАТЕРИАЛЫ!$L$2:$L$9000,0))="EUR",КурсEUR,IF(INDEX(МАТЕРИАЛЫ!$I$2:$I$9000,MATCH($N880,МАТЕРИАЛЫ!$L$2:$L$9000,0))="CNY",КурсCNY,1)))*(1+N($H880)/100),0),N($O880))*(1-MEDIAN(0,N(ДисконтТендер),1))))</f>
        <v/>
      </c>
      <c r="U880" t="str">
        <f>IF($L880="да",MAX($U$1:$U879)+1,"")</f>
        <v/>
      </c>
      <c r="V880" t="str">
        <f t="shared" si="94"/>
        <v/>
      </c>
      <c r="W880" t="str">
        <f t="shared" si="95"/>
        <v/>
      </c>
      <c r="X880" t="str">
        <f t="shared" si="96"/>
        <v/>
      </c>
      <c r="Y880" s="4" t="str">
        <f>IF($A880="","",IF(AND(LEFT($G880,3)="ДОК",$N880&lt;&gt;""),IFERROR(INDEX(Документация!$G$2:$G$57,MATCH($N880,Документация!$F$2:$F$57,0)),$D880),$D880&amp;IF(AND(LEFT($G880,3)&lt;&gt;"ДОК",$N880&lt;&gt;"")," — "&amp;IFERROR(INDEX(МАТЕРИАЛЫ!$C$2:$C$9000,MATCH($N880,МАТЕРИАЛЫ!$L$2:$L$9000,0)),""),"")))</f>
        <v/>
      </c>
      <c r="Z880" t="str">
        <f t="shared" si="97"/>
        <v/>
      </c>
    </row>
    <row r="881" spans="1:26" x14ac:dyDescent="0.3">
      <c r="A881" s="8"/>
      <c r="D881" s="4"/>
      <c r="F881" s="5"/>
      <c r="L881" s="6"/>
      <c r="M881" s="6"/>
      <c r="N881" s="6"/>
      <c r="O881" s="5"/>
      <c r="P881" s="7" t="str">
        <f t="shared" si="91"/>
        <v/>
      </c>
      <c r="Q881" s="7" t="str">
        <f t="shared" si="92"/>
        <v/>
      </c>
      <c r="R881" s="7" t="str">
        <f t="shared" si="93"/>
        <v/>
      </c>
      <c r="S881" s="7" t="str">
        <f>IF($A881="","",IF(AND(LEFT($G881,3)="ДОК",$N881&lt;&gt;""),IFERROR(INDEX(Документация!$E$2:$E$57,MATCH($N881,Документация!$F$2:$F$57,0)),0),N($F881))*(1-MEDIAN(0,N(ДисконтТендер),1)))</f>
        <v/>
      </c>
      <c r="T881" s="7" t="str">
        <f>IF($A881="","",IF(AND(LEFT($G881,3)="ДОК",$N881&lt;&gt;""),0,IF(AND(LEFT($G881,3)&lt;&gt;"ДОК",$N881&lt;&gt;""),IFERROR(INDEX(МАТЕРИАЛЫ!$H$2:$H$9000,MATCH($N881,МАТЕРИАЛЫ!$L$2:$L$9000,0))*IF(INDEX(МАТЕРИАЛЫ!$I$2:$I$9000,MATCH($N881,МАТЕРИАЛЫ!$L$2:$L$9000,0))="USD",КурсUSD,IF(INDEX(МАТЕРИАЛЫ!$I$2:$I$9000,MATCH($N881,МАТЕРИАЛЫ!$L$2:$L$9000,0))="EUR",КурсEUR,IF(INDEX(МАТЕРИАЛЫ!$I$2:$I$9000,MATCH($N881,МАТЕРИАЛЫ!$L$2:$L$9000,0))="CNY",КурсCNY,1)))*(1+N($H881)/100),0),N($O881))*(1-MEDIAN(0,N(ДисконтТендер),1))))</f>
        <v/>
      </c>
      <c r="U881" t="str">
        <f>IF($L881="да",MAX($U$1:$U880)+1,"")</f>
        <v/>
      </c>
      <c r="V881" t="str">
        <f t="shared" si="94"/>
        <v/>
      </c>
      <c r="W881" t="str">
        <f t="shared" si="95"/>
        <v/>
      </c>
      <c r="X881" t="str">
        <f t="shared" si="96"/>
        <v/>
      </c>
      <c r="Y881" s="4" t="str">
        <f>IF($A881="","",IF(AND(LEFT($G881,3)="ДОК",$N881&lt;&gt;""),IFERROR(INDEX(Документация!$G$2:$G$57,MATCH($N881,Документация!$F$2:$F$57,0)),$D881),$D881&amp;IF(AND(LEFT($G881,3)&lt;&gt;"ДОК",$N881&lt;&gt;"")," — "&amp;IFERROR(INDEX(МАТЕРИАЛЫ!$C$2:$C$9000,MATCH($N881,МАТЕРИАЛЫ!$L$2:$L$9000,0)),""),"")))</f>
        <v/>
      </c>
      <c r="Z881" t="str">
        <f t="shared" si="97"/>
        <v/>
      </c>
    </row>
    <row r="882" spans="1:26" x14ac:dyDescent="0.3">
      <c r="A882" s="8"/>
      <c r="D882" s="4"/>
      <c r="F882" s="5"/>
      <c r="L882" s="6"/>
      <c r="M882" s="6"/>
      <c r="N882" s="6"/>
      <c r="O882" s="5"/>
      <c r="P882" s="7" t="str">
        <f t="shared" si="91"/>
        <v/>
      </c>
      <c r="Q882" s="7" t="str">
        <f t="shared" si="92"/>
        <v/>
      </c>
      <c r="R882" s="7" t="str">
        <f t="shared" si="93"/>
        <v/>
      </c>
      <c r="S882" s="7" t="str">
        <f>IF($A882="","",IF(AND(LEFT($G882,3)="ДОК",$N882&lt;&gt;""),IFERROR(INDEX(Документация!$E$2:$E$57,MATCH($N882,Документация!$F$2:$F$57,0)),0),N($F882))*(1-MEDIAN(0,N(ДисконтТендер),1)))</f>
        <v/>
      </c>
      <c r="T882" s="7" t="str">
        <f>IF($A882="","",IF(AND(LEFT($G882,3)="ДОК",$N882&lt;&gt;""),0,IF(AND(LEFT($G882,3)&lt;&gt;"ДОК",$N882&lt;&gt;""),IFERROR(INDEX(МАТЕРИАЛЫ!$H$2:$H$9000,MATCH($N882,МАТЕРИАЛЫ!$L$2:$L$9000,0))*IF(INDEX(МАТЕРИАЛЫ!$I$2:$I$9000,MATCH($N882,МАТЕРИАЛЫ!$L$2:$L$9000,0))="USD",КурсUSD,IF(INDEX(МАТЕРИАЛЫ!$I$2:$I$9000,MATCH($N882,МАТЕРИАЛЫ!$L$2:$L$9000,0))="EUR",КурсEUR,IF(INDEX(МАТЕРИАЛЫ!$I$2:$I$9000,MATCH($N882,МАТЕРИАЛЫ!$L$2:$L$9000,0))="CNY",КурсCNY,1)))*(1+N($H882)/100),0),N($O882))*(1-MEDIAN(0,N(ДисконтТендер),1))))</f>
        <v/>
      </c>
      <c r="U882" t="str">
        <f>IF($L882="да",MAX($U$1:$U881)+1,"")</f>
        <v/>
      </c>
      <c r="V882" t="str">
        <f t="shared" si="94"/>
        <v/>
      </c>
      <c r="W882" t="str">
        <f t="shared" si="95"/>
        <v/>
      </c>
      <c r="X882" t="str">
        <f t="shared" si="96"/>
        <v/>
      </c>
      <c r="Y882" s="4" t="str">
        <f>IF($A882="","",IF(AND(LEFT($G882,3)="ДОК",$N882&lt;&gt;""),IFERROR(INDEX(Документация!$G$2:$G$57,MATCH($N882,Документация!$F$2:$F$57,0)),$D882),$D882&amp;IF(AND(LEFT($G882,3)&lt;&gt;"ДОК",$N882&lt;&gt;"")," — "&amp;IFERROR(INDEX(МАТЕРИАЛЫ!$C$2:$C$9000,MATCH($N882,МАТЕРИАЛЫ!$L$2:$L$9000,0)),""),"")))</f>
        <v/>
      </c>
      <c r="Z882" t="str">
        <f t="shared" si="97"/>
        <v/>
      </c>
    </row>
    <row r="883" spans="1:26" x14ac:dyDescent="0.3">
      <c r="A883" s="8"/>
      <c r="D883" s="4"/>
      <c r="F883" s="5"/>
      <c r="L883" s="6"/>
      <c r="M883" s="6"/>
      <c r="N883" s="6"/>
      <c r="O883" s="5"/>
      <c r="P883" s="7" t="str">
        <f t="shared" si="91"/>
        <v/>
      </c>
      <c r="Q883" s="7" t="str">
        <f t="shared" si="92"/>
        <v/>
      </c>
      <c r="R883" s="7" t="str">
        <f t="shared" si="93"/>
        <v/>
      </c>
      <c r="S883" s="7" t="str">
        <f>IF($A883="","",IF(AND(LEFT($G883,3)="ДОК",$N883&lt;&gt;""),IFERROR(INDEX(Документация!$E$2:$E$57,MATCH($N883,Документация!$F$2:$F$57,0)),0),N($F883))*(1-MEDIAN(0,N(ДисконтТендер),1)))</f>
        <v/>
      </c>
      <c r="T883" s="7" t="str">
        <f>IF($A883="","",IF(AND(LEFT($G883,3)="ДОК",$N883&lt;&gt;""),0,IF(AND(LEFT($G883,3)&lt;&gt;"ДОК",$N883&lt;&gt;""),IFERROR(INDEX(МАТЕРИАЛЫ!$H$2:$H$9000,MATCH($N883,МАТЕРИАЛЫ!$L$2:$L$9000,0))*IF(INDEX(МАТЕРИАЛЫ!$I$2:$I$9000,MATCH($N883,МАТЕРИАЛЫ!$L$2:$L$9000,0))="USD",КурсUSD,IF(INDEX(МАТЕРИАЛЫ!$I$2:$I$9000,MATCH($N883,МАТЕРИАЛЫ!$L$2:$L$9000,0))="EUR",КурсEUR,IF(INDEX(МАТЕРИАЛЫ!$I$2:$I$9000,MATCH($N883,МАТЕРИАЛЫ!$L$2:$L$9000,0))="CNY",КурсCNY,1)))*(1+N($H883)/100),0),N($O883))*(1-MEDIAN(0,N(ДисконтТендер),1))))</f>
        <v/>
      </c>
      <c r="U883" t="str">
        <f>IF($L883="да",MAX($U$1:$U882)+1,"")</f>
        <v/>
      </c>
      <c r="V883" t="str">
        <f t="shared" si="94"/>
        <v/>
      </c>
      <c r="W883" t="str">
        <f t="shared" si="95"/>
        <v/>
      </c>
      <c r="X883" t="str">
        <f t="shared" si="96"/>
        <v/>
      </c>
      <c r="Y883" s="4" t="str">
        <f>IF($A883="","",IF(AND(LEFT($G883,3)="ДОК",$N883&lt;&gt;""),IFERROR(INDEX(Документация!$G$2:$G$57,MATCH($N883,Документация!$F$2:$F$57,0)),$D883),$D883&amp;IF(AND(LEFT($G883,3)&lt;&gt;"ДОК",$N883&lt;&gt;"")," — "&amp;IFERROR(INDEX(МАТЕРИАЛЫ!$C$2:$C$9000,MATCH($N883,МАТЕРИАЛЫ!$L$2:$L$9000,0)),""),"")))</f>
        <v/>
      </c>
      <c r="Z883" t="str">
        <f t="shared" si="97"/>
        <v/>
      </c>
    </row>
    <row r="884" spans="1:26" x14ac:dyDescent="0.3">
      <c r="A884" s="8"/>
      <c r="D884" s="4"/>
      <c r="F884" s="5"/>
      <c r="L884" s="6"/>
      <c r="M884" s="6"/>
      <c r="N884" s="6"/>
      <c r="O884" s="5"/>
      <c r="P884" s="7" t="str">
        <f t="shared" si="91"/>
        <v/>
      </c>
      <c r="Q884" s="7" t="str">
        <f t="shared" si="92"/>
        <v/>
      </c>
      <c r="R884" s="7" t="str">
        <f t="shared" si="93"/>
        <v/>
      </c>
      <c r="S884" s="7" t="str">
        <f>IF($A884="","",IF(AND(LEFT($G884,3)="ДОК",$N884&lt;&gt;""),IFERROR(INDEX(Документация!$E$2:$E$57,MATCH($N884,Документация!$F$2:$F$57,0)),0),N($F884))*(1-MEDIAN(0,N(ДисконтТендер),1)))</f>
        <v/>
      </c>
      <c r="T884" s="7" t="str">
        <f>IF($A884="","",IF(AND(LEFT($G884,3)="ДОК",$N884&lt;&gt;""),0,IF(AND(LEFT($G884,3)&lt;&gt;"ДОК",$N884&lt;&gt;""),IFERROR(INDEX(МАТЕРИАЛЫ!$H$2:$H$9000,MATCH($N884,МАТЕРИАЛЫ!$L$2:$L$9000,0))*IF(INDEX(МАТЕРИАЛЫ!$I$2:$I$9000,MATCH($N884,МАТЕРИАЛЫ!$L$2:$L$9000,0))="USD",КурсUSD,IF(INDEX(МАТЕРИАЛЫ!$I$2:$I$9000,MATCH($N884,МАТЕРИАЛЫ!$L$2:$L$9000,0))="EUR",КурсEUR,IF(INDEX(МАТЕРИАЛЫ!$I$2:$I$9000,MATCH($N884,МАТЕРИАЛЫ!$L$2:$L$9000,0))="CNY",КурсCNY,1)))*(1+N($H884)/100),0),N($O884))*(1-MEDIAN(0,N(ДисконтТендер),1))))</f>
        <v/>
      </c>
      <c r="U884" t="str">
        <f>IF($L884="да",MAX($U$1:$U883)+1,"")</f>
        <v/>
      </c>
      <c r="V884" t="str">
        <f t="shared" si="94"/>
        <v/>
      </c>
      <c r="W884" t="str">
        <f t="shared" si="95"/>
        <v/>
      </c>
      <c r="X884" t="str">
        <f t="shared" si="96"/>
        <v/>
      </c>
      <c r="Y884" s="4" t="str">
        <f>IF($A884="","",IF(AND(LEFT($G884,3)="ДОК",$N884&lt;&gt;""),IFERROR(INDEX(Документация!$G$2:$G$57,MATCH($N884,Документация!$F$2:$F$57,0)),$D884),$D884&amp;IF(AND(LEFT($G884,3)&lt;&gt;"ДОК",$N884&lt;&gt;"")," — "&amp;IFERROR(INDEX(МАТЕРИАЛЫ!$C$2:$C$9000,MATCH($N884,МАТЕРИАЛЫ!$L$2:$L$9000,0)),""),"")))</f>
        <v/>
      </c>
      <c r="Z884" t="str">
        <f t="shared" si="97"/>
        <v/>
      </c>
    </row>
    <row r="885" spans="1:26" x14ac:dyDescent="0.3">
      <c r="A885" s="8"/>
      <c r="D885" s="4"/>
      <c r="F885" s="5"/>
      <c r="L885" s="6"/>
      <c r="M885" s="6"/>
      <c r="N885" s="6"/>
      <c r="O885" s="5"/>
      <c r="P885" s="7" t="str">
        <f t="shared" si="91"/>
        <v/>
      </c>
      <c r="Q885" s="7" t="str">
        <f t="shared" si="92"/>
        <v/>
      </c>
      <c r="R885" s="7" t="str">
        <f t="shared" si="93"/>
        <v/>
      </c>
      <c r="S885" s="7" t="str">
        <f>IF($A885="","",IF(AND(LEFT($G885,3)="ДОК",$N885&lt;&gt;""),IFERROR(INDEX(Документация!$E$2:$E$57,MATCH($N885,Документация!$F$2:$F$57,0)),0),N($F885))*(1-MEDIAN(0,N(ДисконтТендер),1)))</f>
        <v/>
      </c>
      <c r="T885" s="7" t="str">
        <f>IF($A885="","",IF(AND(LEFT($G885,3)="ДОК",$N885&lt;&gt;""),0,IF(AND(LEFT($G885,3)&lt;&gt;"ДОК",$N885&lt;&gt;""),IFERROR(INDEX(МАТЕРИАЛЫ!$H$2:$H$9000,MATCH($N885,МАТЕРИАЛЫ!$L$2:$L$9000,0))*IF(INDEX(МАТЕРИАЛЫ!$I$2:$I$9000,MATCH($N885,МАТЕРИАЛЫ!$L$2:$L$9000,0))="USD",КурсUSD,IF(INDEX(МАТЕРИАЛЫ!$I$2:$I$9000,MATCH($N885,МАТЕРИАЛЫ!$L$2:$L$9000,0))="EUR",КурсEUR,IF(INDEX(МАТЕРИАЛЫ!$I$2:$I$9000,MATCH($N885,МАТЕРИАЛЫ!$L$2:$L$9000,0))="CNY",КурсCNY,1)))*(1+N($H885)/100),0),N($O885))*(1-MEDIAN(0,N(ДисконтТендер),1))))</f>
        <v/>
      </c>
      <c r="U885" t="str">
        <f>IF($L885="да",MAX($U$1:$U884)+1,"")</f>
        <v/>
      </c>
      <c r="V885" t="str">
        <f t="shared" si="94"/>
        <v/>
      </c>
      <c r="W885" t="str">
        <f t="shared" si="95"/>
        <v/>
      </c>
      <c r="X885" t="str">
        <f t="shared" si="96"/>
        <v/>
      </c>
      <c r="Y885" s="4" t="str">
        <f>IF($A885="","",IF(AND(LEFT($G885,3)="ДОК",$N885&lt;&gt;""),IFERROR(INDEX(Документация!$G$2:$G$57,MATCH($N885,Документация!$F$2:$F$57,0)),$D885),$D885&amp;IF(AND(LEFT($G885,3)&lt;&gt;"ДОК",$N885&lt;&gt;"")," — "&amp;IFERROR(INDEX(МАТЕРИАЛЫ!$C$2:$C$9000,MATCH($N885,МАТЕРИАЛЫ!$L$2:$L$9000,0)),""),"")))</f>
        <v/>
      </c>
      <c r="Z885" t="str">
        <f t="shared" si="97"/>
        <v/>
      </c>
    </row>
    <row r="886" spans="1:26" x14ac:dyDescent="0.3">
      <c r="A886" s="8"/>
      <c r="D886" s="4"/>
      <c r="F886" s="5"/>
      <c r="L886" s="6"/>
      <c r="M886" s="6"/>
      <c r="N886" s="6"/>
      <c r="O886" s="5"/>
      <c r="P886" s="7" t="str">
        <f t="shared" si="91"/>
        <v/>
      </c>
      <c r="Q886" s="7" t="str">
        <f t="shared" si="92"/>
        <v/>
      </c>
      <c r="R886" s="7" t="str">
        <f t="shared" si="93"/>
        <v/>
      </c>
      <c r="S886" s="7" t="str">
        <f>IF($A886="","",IF(AND(LEFT($G886,3)="ДОК",$N886&lt;&gt;""),IFERROR(INDEX(Документация!$E$2:$E$57,MATCH($N886,Документация!$F$2:$F$57,0)),0),N($F886))*(1-MEDIAN(0,N(ДисконтТендер),1)))</f>
        <v/>
      </c>
      <c r="T886" s="7" t="str">
        <f>IF($A886="","",IF(AND(LEFT($G886,3)="ДОК",$N886&lt;&gt;""),0,IF(AND(LEFT($G886,3)&lt;&gt;"ДОК",$N886&lt;&gt;""),IFERROR(INDEX(МАТЕРИАЛЫ!$H$2:$H$9000,MATCH($N886,МАТЕРИАЛЫ!$L$2:$L$9000,0))*IF(INDEX(МАТЕРИАЛЫ!$I$2:$I$9000,MATCH($N886,МАТЕРИАЛЫ!$L$2:$L$9000,0))="USD",КурсUSD,IF(INDEX(МАТЕРИАЛЫ!$I$2:$I$9000,MATCH($N886,МАТЕРИАЛЫ!$L$2:$L$9000,0))="EUR",КурсEUR,IF(INDEX(МАТЕРИАЛЫ!$I$2:$I$9000,MATCH($N886,МАТЕРИАЛЫ!$L$2:$L$9000,0))="CNY",КурсCNY,1)))*(1+N($H886)/100),0),N($O886))*(1-MEDIAN(0,N(ДисконтТендер),1))))</f>
        <v/>
      </c>
      <c r="U886" t="str">
        <f>IF($L886="да",MAX($U$1:$U885)+1,"")</f>
        <v/>
      </c>
      <c r="V886" t="str">
        <f t="shared" si="94"/>
        <v/>
      </c>
      <c r="W886" t="str">
        <f t="shared" si="95"/>
        <v/>
      </c>
      <c r="X886" t="str">
        <f t="shared" si="96"/>
        <v/>
      </c>
      <c r="Y886" s="4" t="str">
        <f>IF($A886="","",IF(AND(LEFT($G886,3)="ДОК",$N886&lt;&gt;""),IFERROR(INDEX(Документация!$G$2:$G$57,MATCH($N886,Документация!$F$2:$F$57,0)),$D886),$D886&amp;IF(AND(LEFT($G886,3)&lt;&gt;"ДОК",$N886&lt;&gt;"")," — "&amp;IFERROR(INDEX(МАТЕРИАЛЫ!$C$2:$C$9000,MATCH($N886,МАТЕРИАЛЫ!$L$2:$L$9000,0)),""),"")))</f>
        <v/>
      </c>
      <c r="Z886" t="str">
        <f t="shared" si="97"/>
        <v/>
      </c>
    </row>
    <row r="887" spans="1:26" x14ac:dyDescent="0.3">
      <c r="A887" s="8"/>
      <c r="D887" s="4"/>
      <c r="F887" s="5"/>
      <c r="L887" s="6"/>
      <c r="M887" s="6"/>
      <c r="N887" s="6"/>
      <c r="O887" s="5"/>
      <c r="P887" s="7" t="str">
        <f t="shared" si="91"/>
        <v/>
      </c>
      <c r="Q887" s="7" t="str">
        <f t="shared" si="92"/>
        <v/>
      </c>
      <c r="R887" s="7" t="str">
        <f t="shared" si="93"/>
        <v/>
      </c>
      <c r="S887" s="7" t="str">
        <f>IF($A887="","",IF(AND(LEFT($G887,3)="ДОК",$N887&lt;&gt;""),IFERROR(INDEX(Документация!$E$2:$E$57,MATCH($N887,Документация!$F$2:$F$57,0)),0),N($F887))*(1-MEDIAN(0,N(ДисконтТендер),1)))</f>
        <v/>
      </c>
      <c r="T887" s="7" t="str">
        <f>IF($A887="","",IF(AND(LEFT($G887,3)="ДОК",$N887&lt;&gt;""),0,IF(AND(LEFT($G887,3)&lt;&gt;"ДОК",$N887&lt;&gt;""),IFERROR(INDEX(МАТЕРИАЛЫ!$H$2:$H$9000,MATCH($N887,МАТЕРИАЛЫ!$L$2:$L$9000,0))*IF(INDEX(МАТЕРИАЛЫ!$I$2:$I$9000,MATCH($N887,МАТЕРИАЛЫ!$L$2:$L$9000,0))="USD",КурсUSD,IF(INDEX(МАТЕРИАЛЫ!$I$2:$I$9000,MATCH($N887,МАТЕРИАЛЫ!$L$2:$L$9000,0))="EUR",КурсEUR,IF(INDEX(МАТЕРИАЛЫ!$I$2:$I$9000,MATCH($N887,МАТЕРИАЛЫ!$L$2:$L$9000,0))="CNY",КурсCNY,1)))*(1+N($H887)/100),0),N($O887))*(1-MEDIAN(0,N(ДисконтТендер),1))))</f>
        <v/>
      </c>
      <c r="U887" t="str">
        <f>IF($L887="да",MAX($U$1:$U886)+1,"")</f>
        <v/>
      </c>
      <c r="V887" t="str">
        <f t="shared" si="94"/>
        <v/>
      </c>
      <c r="W887" t="str">
        <f t="shared" si="95"/>
        <v/>
      </c>
      <c r="X887" t="str">
        <f t="shared" si="96"/>
        <v/>
      </c>
      <c r="Y887" s="4" t="str">
        <f>IF($A887="","",IF(AND(LEFT($G887,3)="ДОК",$N887&lt;&gt;""),IFERROR(INDEX(Документация!$G$2:$G$57,MATCH($N887,Документация!$F$2:$F$57,0)),$D887),$D887&amp;IF(AND(LEFT($G887,3)&lt;&gt;"ДОК",$N887&lt;&gt;"")," — "&amp;IFERROR(INDEX(МАТЕРИАЛЫ!$C$2:$C$9000,MATCH($N887,МАТЕРИАЛЫ!$L$2:$L$9000,0)),""),"")))</f>
        <v/>
      </c>
      <c r="Z887" t="str">
        <f t="shared" si="97"/>
        <v/>
      </c>
    </row>
    <row r="888" spans="1:26" x14ac:dyDescent="0.3">
      <c r="A888" s="8"/>
      <c r="D888" s="4"/>
      <c r="F888" s="5"/>
      <c r="L888" s="6"/>
      <c r="M888" s="6"/>
      <c r="N888" s="6"/>
      <c r="O888" s="5"/>
      <c r="P888" s="7" t="str">
        <f t="shared" si="91"/>
        <v/>
      </c>
      <c r="Q888" s="7" t="str">
        <f t="shared" si="92"/>
        <v/>
      </c>
      <c r="R888" s="7" t="str">
        <f t="shared" si="93"/>
        <v/>
      </c>
      <c r="S888" s="7" t="str">
        <f>IF($A888="","",IF(AND(LEFT($G888,3)="ДОК",$N888&lt;&gt;""),IFERROR(INDEX(Документация!$E$2:$E$57,MATCH($N888,Документация!$F$2:$F$57,0)),0),N($F888))*(1-MEDIAN(0,N(ДисконтТендер),1)))</f>
        <v/>
      </c>
      <c r="T888" s="7" t="str">
        <f>IF($A888="","",IF(AND(LEFT($G888,3)="ДОК",$N888&lt;&gt;""),0,IF(AND(LEFT($G888,3)&lt;&gt;"ДОК",$N888&lt;&gt;""),IFERROR(INDEX(МАТЕРИАЛЫ!$H$2:$H$9000,MATCH($N888,МАТЕРИАЛЫ!$L$2:$L$9000,0))*IF(INDEX(МАТЕРИАЛЫ!$I$2:$I$9000,MATCH($N888,МАТЕРИАЛЫ!$L$2:$L$9000,0))="USD",КурсUSD,IF(INDEX(МАТЕРИАЛЫ!$I$2:$I$9000,MATCH($N888,МАТЕРИАЛЫ!$L$2:$L$9000,0))="EUR",КурсEUR,IF(INDEX(МАТЕРИАЛЫ!$I$2:$I$9000,MATCH($N888,МАТЕРИАЛЫ!$L$2:$L$9000,0))="CNY",КурсCNY,1)))*(1+N($H888)/100),0),N($O888))*(1-MEDIAN(0,N(ДисконтТендер),1))))</f>
        <v/>
      </c>
      <c r="U888" t="str">
        <f>IF($L888="да",MAX($U$1:$U887)+1,"")</f>
        <v/>
      </c>
      <c r="V888" t="str">
        <f t="shared" si="94"/>
        <v/>
      </c>
      <c r="W888" t="str">
        <f t="shared" si="95"/>
        <v/>
      </c>
      <c r="X888" t="str">
        <f t="shared" si="96"/>
        <v/>
      </c>
      <c r="Y888" s="4" t="str">
        <f>IF($A888="","",IF(AND(LEFT($G888,3)="ДОК",$N888&lt;&gt;""),IFERROR(INDEX(Документация!$G$2:$G$57,MATCH($N888,Документация!$F$2:$F$57,0)),$D888),$D888&amp;IF(AND(LEFT($G888,3)&lt;&gt;"ДОК",$N888&lt;&gt;"")," — "&amp;IFERROR(INDEX(МАТЕРИАЛЫ!$C$2:$C$9000,MATCH($N888,МАТЕРИАЛЫ!$L$2:$L$9000,0)),""),"")))</f>
        <v/>
      </c>
      <c r="Z888" t="str">
        <f t="shared" si="97"/>
        <v/>
      </c>
    </row>
    <row r="889" spans="1:26" x14ac:dyDescent="0.3">
      <c r="A889" s="8"/>
      <c r="D889" s="4"/>
      <c r="F889" s="5"/>
      <c r="L889" s="6"/>
      <c r="M889" s="6"/>
      <c r="N889" s="6"/>
      <c r="O889" s="5"/>
      <c r="P889" s="7" t="str">
        <f t="shared" si="91"/>
        <v/>
      </c>
      <c r="Q889" s="7" t="str">
        <f t="shared" si="92"/>
        <v/>
      </c>
      <c r="R889" s="7" t="str">
        <f t="shared" si="93"/>
        <v/>
      </c>
      <c r="S889" s="7" t="str">
        <f>IF($A889="","",IF(AND(LEFT($G889,3)="ДОК",$N889&lt;&gt;""),IFERROR(INDEX(Документация!$E$2:$E$57,MATCH($N889,Документация!$F$2:$F$57,0)),0),N($F889))*(1-MEDIAN(0,N(ДисконтТендер),1)))</f>
        <v/>
      </c>
      <c r="T889" s="7" t="str">
        <f>IF($A889="","",IF(AND(LEFT($G889,3)="ДОК",$N889&lt;&gt;""),0,IF(AND(LEFT($G889,3)&lt;&gt;"ДОК",$N889&lt;&gt;""),IFERROR(INDEX(МАТЕРИАЛЫ!$H$2:$H$9000,MATCH($N889,МАТЕРИАЛЫ!$L$2:$L$9000,0))*IF(INDEX(МАТЕРИАЛЫ!$I$2:$I$9000,MATCH($N889,МАТЕРИАЛЫ!$L$2:$L$9000,0))="USD",КурсUSD,IF(INDEX(МАТЕРИАЛЫ!$I$2:$I$9000,MATCH($N889,МАТЕРИАЛЫ!$L$2:$L$9000,0))="EUR",КурсEUR,IF(INDEX(МАТЕРИАЛЫ!$I$2:$I$9000,MATCH($N889,МАТЕРИАЛЫ!$L$2:$L$9000,0))="CNY",КурсCNY,1)))*(1+N($H889)/100),0),N($O889))*(1-MEDIAN(0,N(ДисконтТендер),1))))</f>
        <v/>
      </c>
      <c r="U889" t="str">
        <f>IF($L889="да",MAX($U$1:$U888)+1,"")</f>
        <v/>
      </c>
      <c r="V889" t="str">
        <f t="shared" si="94"/>
        <v/>
      </c>
      <c r="W889" t="str">
        <f t="shared" si="95"/>
        <v/>
      </c>
      <c r="X889" t="str">
        <f t="shared" si="96"/>
        <v/>
      </c>
      <c r="Y889" s="4" t="str">
        <f>IF($A889="","",IF(AND(LEFT($G889,3)="ДОК",$N889&lt;&gt;""),IFERROR(INDEX(Документация!$G$2:$G$57,MATCH($N889,Документация!$F$2:$F$57,0)),$D889),$D889&amp;IF(AND(LEFT($G889,3)&lt;&gt;"ДОК",$N889&lt;&gt;"")," — "&amp;IFERROR(INDEX(МАТЕРИАЛЫ!$C$2:$C$9000,MATCH($N889,МАТЕРИАЛЫ!$L$2:$L$9000,0)),""),"")))</f>
        <v/>
      </c>
      <c r="Z889" t="str">
        <f t="shared" si="97"/>
        <v/>
      </c>
    </row>
    <row r="890" spans="1:26" x14ac:dyDescent="0.3">
      <c r="A890" s="8"/>
      <c r="D890" s="4"/>
      <c r="F890" s="5"/>
      <c r="L890" s="6"/>
      <c r="M890" s="6"/>
      <c r="N890" s="6"/>
      <c r="O890" s="5"/>
      <c r="P890" s="7" t="str">
        <f t="shared" si="91"/>
        <v/>
      </c>
      <c r="Q890" s="7" t="str">
        <f t="shared" si="92"/>
        <v/>
      </c>
      <c r="R890" s="7" t="str">
        <f t="shared" si="93"/>
        <v/>
      </c>
      <c r="S890" s="7" t="str">
        <f>IF($A890="","",IF(AND(LEFT($G890,3)="ДОК",$N890&lt;&gt;""),IFERROR(INDEX(Документация!$E$2:$E$57,MATCH($N890,Документация!$F$2:$F$57,0)),0),N($F890))*(1-MEDIAN(0,N(ДисконтТендер),1)))</f>
        <v/>
      </c>
      <c r="T890" s="7" t="str">
        <f>IF($A890="","",IF(AND(LEFT($G890,3)="ДОК",$N890&lt;&gt;""),0,IF(AND(LEFT($G890,3)&lt;&gt;"ДОК",$N890&lt;&gt;""),IFERROR(INDEX(МАТЕРИАЛЫ!$H$2:$H$9000,MATCH($N890,МАТЕРИАЛЫ!$L$2:$L$9000,0))*IF(INDEX(МАТЕРИАЛЫ!$I$2:$I$9000,MATCH($N890,МАТЕРИАЛЫ!$L$2:$L$9000,0))="USD",КурсUSD,IF(INDEX(МАТЕРИАЛЫ!$I$2:$I$9000,MATCH($N890,МАТЕРИАЛЫ!$L$2:$L$9000,0))="EUR",КурсEUR,IF(INDEX(МАТЕРИАЛЫ!$I$2:$I$9000,MATCH($N890,МАТЕРИАЛЫ!$L$2:$L$9000,0))="CNY",КурсCNY,1)))*(1+N($H890)/100),0),N($O890))*(1-MEDIAN(0,N(ДисконтТендер),1))))</f>
        <v/>
      </c>
      <c r="U890" t="str">
        <f>IF($L890="да",MAX($U$1:$U889)+1,"")</f>
        <v/>
      </c>
      <c r="V890" t="str">
        <f t="shared" si="94"/>
        <v/>
      </c>
      <c r="W890" t="str">
        <f t="shared" si="95"/>
        <v/>
      </c>
      <c r="X890" t="str">
        <f t="shared" si="96"/>
        <v/>
      </c>
      <c r="Y890" s="4" t="str">
        <f>IF($A890="","",IF(AND(LEFT($G890,3)="ДОК",$N890&lt;&gt;""),IFERROR(INDEX(Документация!$G$2:$G$57,MATCH($N890,Документация!$F$2:$F$57,0)),$D890),$D890&amp;IF(AND(LEFT($G890,3)&lt;&gt;"ДОК",$N890&lt;&gt;"")," — "&amp;IFERROR(INDEX(МАТЕРИАЛЫ!$C$2:$C$9000,MATCH($N890,МАТЕРИАЛЫ!$L$2:$L$9000,0)),""),"")))</f>
        <v/>
      </c>
      <c r="Z890" t="str">
        <f t="shared" si="97"/>
        <v/>
      </c>
    </row>
    <row r="891" spans="1:26" x14ac:dyDescent="0.3">
      <c r="A891" s="8"/>
      <c r="D891" s="4"/>
      <c r="F891" s="5"/>
      <c r="L891" s="6"/>
      <c r="M891" s="6"/>
      <c r="N891" s="6"/>
      <c r="O891" s="5"/>
      <c r="P891" s="7" t="str">
        <f t="shared" si="91"/>
        <v/>
      </c>
      <c r="Q891" s="7" t="str">
        <f t="shared" si="92"/>
        <v/>
      </c>
      <c r="R891" s="7" t="str">
        <f t="shared" si="93"/>
        <v/>
      </c>
      <c r="S891" s="7" t="str">
        <f>IF($A891="","",IF(AND(LEFT($G891,3)="ДОК",$N891&lt;&gt;""),IFERROR(INDEX(Документация!$E$2:$E$57,MATCH($N891,Документация!$F$2:$F$57,0)),0),N($F891))*(1-MEDIAN(0,N(ДисконтТендер),1)))</f>
        <v/>
      </c>
      <c r="T891" s="7" t="str">
        <f>IF($A891="","",IF(AND(LEFT($G891,3)="ДОК",$N891&lt;&gt;""),0,IF(AND(LEFT($G891,3)&lt;&gt;"ДОК",$N891&lt;&gt;""),IFERROR(INDEX(МАТЕРИАЛЫ!$H$2:$H$9000,MATCH($N891,МАТЕРИАЛЫ!$L$2:$L$9000,0))*IF(INDEX(МАТЕРИАЛЫ!$I$2:$I$9000,MATCH($N891,МАТЕРИАЛЫ!$L$2:$L$9000,0))="USD",КурсUSD,IF(INDEX(МАТЕРИАЛЫ!$I$2:$I$9000,MATCH($N891,МАТЕРИАЛЫ!$L$2:$L$9000,0))="EUR",КурсEUR,IF(INDEX(МАТЕРИАЛЫ!$I$2:$I$9000,MATCH($N891,МАТЕРИАЛЫ!$L$2:$L$9000,0))="CNY",КурсCNY,1)))*(1+N($H891)/100),0),N($O891))*(1-MEDIAN(0,N(ДисконтТендер),1))))</f>
        <v/>
      </c>
      <c r="U891" t="str">
        <f>IF($L891="да",MAX($U$1:$U890)+1,"")</f>
        <v/>
      </c>
      <c r="V891" t="str">
        <f t="shared" si="94"/>
        <v/>
      </c>
      <c r="W891" t="str">
        <f t="shared" si="95"/>
        <v/>
      </c>
      <c r="X891" t="str">
        <f t="shared" si="96"/>
        <v/>
      </c>
      <c r="Y891" s="4" t="str">
        <f>IF($A891="","",IF(AND(LEFT($G891,3)="ДОК",$N891&lt;&gt;""),IFERROR(INDEX(Документация!$G$2:$G$57,MATCH($N891,Документация!$F$2:$F$57,0)),$D891),$D891&amp;IF(AND(LEFT($G891,3)&lt;&gt;"ДОК",$N891&lt;&gt;"")," — "&amp;IFERROR(INDEX(МАТЕРИАЛЫ!$C$2:$C$9000,MATCH($N891,МАТЕРИАЛЫ!$L$2:$L$9000,0)),""),"")))</f>
        <v/>
      </c>
      <c r="Z891" t="str">
        <f t="shared" si="97"/>
        <v/>
      </c>
    </row>
    <row r="892" spans="1:26" x14ac:dyDescent="0.3">
      <c r="A892" s="8"/>
      <c r="D892" s="4"/>
      <c r="F892" s="5"/>
      <c r="L892" s="6"/>
      <c r="M892" s="6"/>
      <c r="N892" s="6"/>
      <c r="O892" s="5"/>
      <c r="P892" s="7" t="str">
        <f t="shared" si="91"/>
        <v/>
      </c>
      <c r="Q892" s="7" t="str">
        <f t="shared" si="92"/>
        <v/>
      </c>
      <c r="R892" s="7" t="str">
        <f t="shared" si="93"/>
        <v/>
      </c>
      <c r="S892" s="7" t="str">
        <f>IF($A892="","",IF(AND(LEFT($G892,3)="ДОК",$N892&lt;&gt;""),IFERROR(INDEX(Документация!$E$2:$E$57,MATCH($N892,Документация!$F$2:$F$57,0)),0),N($F892))*(1-MEDIAN(0,N(ДисконтТендер),1)))</f>
        <v/>
      </c>
      <c r="T892" s="7" t="str">
        <f>IF($A892="","",IF(AND(LEFT($G892,3)="ДОК",$N892&lt;&gt;""),0,IF(AND(LEFT($G892,3)&lt;&gt;"ДОК",$N892&lt;&gt;""),IFERROR(INDEX(МАТЕРИАЛЫ!$H$2:$H$9000,MATCH($N892,МАТЕРИАЛЫ!$L$2:$L$9000,0))*IF(INDEX(МАТЕРИАЛЫ!$I$2:$I$9000,MATCH($N892,МАТЕРИАЛЫ!$L$2:$L$9000,0))="USD",КурсUSD,IF(INDEX(МАТЕРИАЛЫ!$I$2:$I$9000,MATCH($N892,МАТЕРИАЛЫ!$L$2:$L$9000,0))="EUR",КурсEUR,IF(INDEX(МАТЕРИАЛЫ!$I$2:$I$9000,MATCH($N892,МАТЕРИАЛЫ!$L$2:$L$9000,0))="CNY",КурсCNY,1)))*(1+N($H892)/100),0),N($O892))*(1-MEDIAN(0,N(ДисконтТендер),1))))</f>
        <v/>
      </c>
      <c r="U892" t="str">
        <f>IF($L892="да",MAX($U$1:$U891)+1,"")</f>
        <v/>
      </c>
      <c r="V892" t="str">
        <f t="shared" si="94"/>
        <v/>
      </c>
      <c r="W892" t="str">
        <f t="shared" si="95"/>
        <v/>
      </c>
      <c r="X892" t="str">
        <f t="shared" si="96"/>
        <v/>
      </c>
      <c r="Y892" s="4" t="str">
        <f>IF($A892="","",IF(AND(LEFT($G892,3)="ДОК",$N892&lt;&gt;""),IFERROR(INDEX(Документация!$G$2:$G$57,MATCH($N892,Документация!$F$2:$F$57,0)),$D892),$D892&amp;IF(AND(LEFT($G892,3)&lt;&gt;"ДОК",$N892&lt;&gt;"")," — "&amp;IFERROR(INDEX(МАТЕРИАЛЫ!$C$2:$C$9000,MATCH($N892,МАТЕРИАЛЫ!$L$2:$L$9000,0)),""),"")))</f>
        <v/>
      </c>
      <c r="Z892" t="str">
        <f t="shared" si="97"/>
        <v/>
      </c>
    </row>
    <row r="893" spans="1:26" x14ac:dyDescent="0.3">
      <c r="A893" s="8"/>
      <c r="D893" s="4"/>
      <c r="F893" s="5"/>
      <c r="L893" s="6"/>
      <c r="M893" s="6"/>
      <c r="N893" s="6"/>
      <c r="O893" s="5"/>
      <c r="P893" s="7" t="str">
        <f t="shared" si="91"/>
        <v/>
      </c>
      <c r="Q893" s="7" t="str">
        <f t="shared" si="92"/>
        <v/>
      </c>
      <c r="R893" s="7" t="str">
        <f t="shared" si="93"/>
        <v/>
      </c>
      <c r="S893" s="7" t="str">
        <f>IF($A893="","",IF(AND(LEFT($G893,3)="ДОК",$N893&lt;&gt;""),IFERROR(INDEX(Документация!$E$2:$E$57,MATCH($N893,Документация!$F$2:$F$57,0)),0),N($F893))*(1-MEDIAN(0,N(ДисконтТендер),1)))</f>
        <v/>
      </c>
      <c r="T893" s="7" t="str">
        <f>IF($A893="","",IF(AND(LEFT($G893,3)="ДОК",$N893&lt;&gt;""),0,IF(AND(LEFT($G893,3)&lt;&gt;"ДОК",$N893&lt;&gt;""),IFERROR(INDEX(МАТЕРИАЛЫ!$H$2:$H$9000,MATCH($N893,МАТЕРИАЛЫ!$L$2:$L$9000,0))*IF(INDEX(МАТЕРИАЛЫ!$I$2:$I$9000,MATCH($N893,МАТЕРИАЛЫ!$L$2:$L$9000,0))="USD",КурсUSD,IF(INDEX(МАТЕРИАЛЫ!$I$2:$I$9000,MATCH($N893,МАТЕРИАЛЫ!$L$2:$L$9000,0))="EUR",КурсEUR,IF(INDEX(МАТЕРИАЛЫ!$I$2:$I$9000,MATCH($N893,МАТЕРИАЛЫ!$L$2:$L$9000,0))="CNY",КурсCNY,1)))*(1+N($H893)/100),0),N($O893))*(1-MEDIAN(0,N(ДисконтТендер),1))))</f>
        <v/>
      </c>
      <c r="U893" t="str">
        <f>IF($L893="да",MAX($U$1:$U892)+1,"")</f>
        <v/>
      </c>
      <c r="V893" t="str">
        <f t="shared" si="94"/>
        <v/>
      </c>
      <c r="W893" t="str">
        <f t="shared" si="95"/>
        <v/>
      </c>
      <c r="X893" t="str">
        <f t="shared" si="96"/>
        <v/>
      </c>
      <c r="Y893" s="4" t="str">
        <f>IF($A893="","",IF(AND(LEFT($G893,3)="ДОК",$N893&lt;&gt;""),IFERROR(INDEX(Документация!$G$2:$G$57,MATCH($N893,Документация!$F$2:$F$57,0)),$D893),$D893&amp;IF(AND(LEFT($G893,3)&lt;&gt;"ДОК",$N893&lt;&gt;"")," — "&amp;IFERROR(INDEX(МАТЕРИАЛЫ!$C$2:$C$9000,MATCH($N893,МАТЕРИАЛЫ!$L$2:$L$9000,0)),""),"")))</f>
        <v/>
      </c>
      <c r="Z893" t="str">
        <f t="shared" si="97"/>
        <v/>
      </c>
    </row>
    <row r="894" spans="1:26" x14ac:dyDescent="0.3">
      <c r="A894" s="8"/>
      <c r="D894" s="4"/>
      <c r="F894" s="5"/>
      <c r="L894" s="6"/>
      <c r="M894" s="6"/>
      <c r="N894" s="6"/>
      <c r="O894" s="5"/>
      <c r="P894" s="7" t="str">
        <f t="shared" si="91"/>
        <v/>
      </c>
      <c r="Q894" s="7" t="str">
        <f t="shared" si="92"/>
        <v/>
      </c>
      <c r="R894" s="7" t="str">
        <f t="shared" si="93"/>
        <v/>
      </c>
      <c r="S894" s="7" t="str">
        <f>IF($A894="","",IF(AND(LEFT($G894,3)="ДОК",$N894&lt;&gt;""),IFERROR(INDEX(Документация!$E$2:$E$57,MATCH($N894,Документация!$F$2:$F$57,0)),0),N($F894))*(1-MEDIAN(0,N(ДисконтТендер),1)))</f>
        <v/>
      </c>
      <c r="T894" s="7" t="str">
        <f>IF($A894="","",IF(AND(LEFT($G894,3)="ДОК",$N894&lt;&gt;""),0,IF(AND(LEFT($G894,3)&lt;&gt;"ДОК",$N894&lt;&gt;""),IFERROR(INDEX(МАТЕРИАЛЫ!$H$2:$H$9000,MATCH($N894,МАТЕРИАЛЫ!$L$2:$L$9000,0))*IF(INDEX(МАТЕРИАЛЫ!$I$2:$I$9000,MATCH($N894,МАТЕРИАЛЫ!$L$2:$L$9000,0))="USD",КурсUSD,IF(INDEX(МАТЕРИАЛЫ!$I$2:$I$9000,MATCH($N894,МАТЕРИАЛЫ!$L$2:$L$9000,0))="EUR",КурсEUR,IF(INDEX(МАТЕРИАЛЫ!$I$2:$I$9000,MATCH($N894,МАТЕРИАЛЫ!$L$2:$L$9000,0))="CNY",КурсCNY,1)))*(1+N($H894)/100),0),N($O894))*(1-MEDIAN(0,N(ДисконтТендер),1))))</f>
        <v/>
      </c>
      <c r="U894" t="str">
        <f>IF($L894="да",MAX($U$1:$U893)+1,"")</f>
        <v/>
      </c>
      <c r="V894" t="str">
        <f t="shared" si="94"/>
        <v/>
      </c>
      <c r="W894" t="str">
        <f t="shared" si="95"/>
        <v/>
      </c>
      <c r="X894" t="str">
        <f t="shared" si="96"/>
        <v/>
      </c>
      <c r="Y894" s="4" t="str">
        <f>IF($A894="","",IF(AND(LEFT($G894,3)="ДОК",$N894&lt;&gt;""),IFERROR(INDEX(Документация!$G$2:$G$57,MATCH($N894,Документация!$F$2:$F$57,0)),$D894),$D894&amp;IF(AND(LEFT($G894,3)&lt;&gt;"ДОК",$N894&lt;&gt;"")," — "&amp;IFERROR(INDEX(МАТЕРИАЛЫ!$C$2:$C$9000,MATCH($N894,МАТЕРИАЛЫ!$L$2:$L$9000,0)),""),"")))</f>
        <v/>
      </c>
      <c r="Z894" t="str">
        <f t="shared" si="97"/>
        <v/>
      </c>
    </row>
    <row r="895" spans="1:26" x14ac:dyDescent="0.3">
      <c r="A895" s="8"/>
      <c r="D895" s="4"/>
      <c r="F895" s="5"/>
      <c r="L895" s="6"/>
      <c r="M895" s="6"/>
      <c r="N895" s="6"/>
      <c r="O895" s="5"/>
      <c r="P895" s="7" t="str">
        <f t="shared" si="91"/>
        <v/>
      </c>
      <c r="Q895" s="7" t="str">
        <f t="shared" si="92"/>
        <v/>
      </c>
      <c r="R895" s="7" t="str">
        <f t="shared" si="93"/>
        <v/>
      </c>
      <c r="S895" s="7" t="str">
        <f>IF($A895="","",IF(AND(LEFT($G895,3)="ДОК",$N895&lt;&gt;""),IFERROR(INDEX(Документация!$E$2:$E$57,MATCH($N895,Документация!$F$2:$F$57,0)),0),N($F895))*(1-MEDIAN(0,N(ДисконтТендер),1)))</f>
        <v/>
      </c>
      <c r="T895" s="7" t="str">
        <f>IF($A895="","",IF(AND(LEFT($G895,3)="ДОК",$N895&lt;&gt;""),0,IF(AND(LEFT($G895,3)&lt;&gt;"ДОК",$N895&lt;&gt;""),IFERROR(INDEX(МАТЕРИАЛЫ!$H$2:$H$9000,MATCH($N895,МАТЕРИАЛЫ!$L$2:$L$9000,0))*IF(INDEX(МАТЕРИАЛЫ!$I$2:$I$9000,MATCH($N895,МАТЕРИАЛЫ!$L$2:$L$9000,0))="USD",КурсUSD,IF(INDEX(МАТЕРИАЛЫ!$I$2:$I$9000,MATCH($N895,МАТЕРИАЛЫ!$L$2:$L$9000,0))="EUR",КурсEUR,IF(INDEX(МАТЕРИАЛЫ!$I$2:$I$9000,MATCH($N895,МАТЕРИАЛЫ!$L$2:$L$9000,0))="CNY",КурсCNY,1)))*(1+N($H895)/100),0),N($O895))*(1-MEDIAN(0,N(ДисконтТендер),1))))</f>
        <v/>
      </c>
      <c r="U895" t="str">
        <f>IF($L895="да",MAX($U$1:$U894)+1,"")</f>
        <v/>
      </c>
      <c r="V895" t="str">
        <f t="shared" si="94"/>
        <v/>
      </c>
      <c r="W895" t="str">
        <f t="shared" si="95"/>
        <v/>
      </c>
      <c r="X895" t="str">
        <f t="shared" si="96"/>
        <v/>
      </c>
      <c r="Y895" s="4" t="str">
        <f>IF($A895="","",IF(AND(LEFT($G895,3)="ДОК",$N895&lt;&gt;""),IFERROR(INDEX(Документация!$G$2:$G$57,MATCH($N895,Документация!$F$2:$F$57,0)),$D895),$D895&amp;IF(AND(LEFT($G895,3)&lt;&gt;"ДОК",$N895&lt;&gt;"")," — "&amp;IFERROR(INDEX(МАТЕРИАЛЫ!$C$2:$C$9000,MATCH($N895,МАТЕРИАЛЫ!$L$2:$L$9000,0)),""),"")))</f>
        <v/>
      </c>
      <c r="Z895" t="str">
        <f t="shared" si="97"/>
        <v/>
      </c>
    </row>
    <row r="896" spans="1:26" x14ac:dyDescent="0.3">
      <c r="A896" s="8"/>
      <c r="D896" s="4"/>
      <c r="F896" s="5"/>
      <c r="L896" s="6"/>
      <c r="M896" s="6"/>
      <c r="N896" s="6"/>
      <c r="O896" s="5"/>
      <c r="P896" s="7" t="str">
        <f t="shared" si="91"/>
        <v/>
      </c>
      <c r="Q896" s="7" t="str">
        <f t="shared" si="92"/>
        <v/>
      </c>
      <c r="R896" s="7" t="str">
        <f t="shared" si="93"/>
        <v/>
      </c>
      <c r="S896" s="7" t="str">
        <f>IF($A896="","",IF(AND(LEFT($G896,3)="ДОК",$N896&lt;&gt;""),IFERROR(INDEX(Документация!$E$2:$E$57,MATCH($N896,Документация!$F$2:$F$57,0)),0),N($F896))*(1-MEDIAN(0,N(ДисконтТендер),1)))</f>
        <v/>
      </c>
      <c r="T896" s="7" t="str">
        <f>IF($A896="","",IF(AND(LEFT($G896,3)="ДОК",$N896&lt;&gt;""),0,IF(AND(LEFT($G896,3)&lt;&gt;"ДОК",$N896&lt;&gt;""),IFERROR(INDEX(МАТЕРИАЛЫ!$H$2:$H$9000,MATCH($N896,МАТЕРИАЛЫ!$L$2:$L$9000,0))*IF(INDEX(МАТЕРИАЛЫ!$I$2:$I$9000,MATCH($N896,МАТЕРИАЛЫ!$L$2:$L$9000,0))="USD",КурсUSD,IF(INDEX(МАТЕРИАЛЫ!$I$2:$I$9000,MATCH($N896,МАТЕРИАЛЫ!$L$2:$L$9000,0))="EUR",КурсEUR,IF(INDEX(МАТЕРИАЛЫ!$I$2:$I$9000,MATCH($N896,МАТЕРИАЛЫ!$L$2:$L$9000,0))="CNY",КурсCNY,1)))*(1+N($H896)/100),0),N($O896))*(1-MEDIAN(0,N(ДисконтТендер),1))))</f>
        <v/>
      </c>
      <c r="U896" t="str">
        <f>IF($L896="да",MAX($U$1:$U895)+1,"")</f>
        <v/>
      </c>
      <c r="V896" t="str">
        <f t="shared" si="94"/>
        <v/>
      </c>
      <c r="W896" t="str">
        <f t="shared" si="95"/>
        <v/>
      </c>
      <c r="X896" t="str">
        <f t="shared" si="96"/>
        <v/>
      </c>
      <c r="Y896" s="4" t="str">
        <f>IF($A896="","",IF(AND(LEFT($G896,3)="ДОК",$N896&lt;&gt;""),IFERROR(INDEX(Документация!$G$2:$G$57,MATCH($N896,Документация!$F$2:$F$57,0)),$D896),$D896&amp;IF(AND(LEFT($G896,3)&lt;&gt;"ДОК",$N896&lt;&gt;"")," — "&amp;IFERROR(INDEX(МАТЕРИАЛЫ!$C$2:$C$9000,MATCH($N896,МАТЕРИАЛЫ!$L$2:$L$9000,0)),""),"")))</f>
        <v/>
      </c>
      <c r="Z896" t="str">
        <f t="shared" si="97"/>
        <v/>
      </c>
    </row>
    <row r="897" spans="1:26" x14ac:dyDescent="0.3">
      <c r="A897" s="8"/>
      <c r="D897" s="4"/>
      <c r="F897" s="5"/>
      <c r="L897" s="6"/>
      <c r="M897" s="6"/>
      <c r="N897" s="6"/>
      <c r="O897" s="5"/>
      <c r="P897" s="7" t="str">
        <f t="shared" si="91"/>
        <v/>
      </c>
      <c r="Q897" s="7" t="str">
        <f t="shared" si="92"/>
        <v/>
      </c>
      <c r="R897" s="7" t="str">
        <f t="shared" si="93"/>
        <v/>
      </c>
      <c r="S897" s="7" t="str">
        <f>IF($A897="","",IF(AND(LEFT($G897,3)="ДОК",$N897&lt;&gt;""),IFERROR(INDEX(Документация!$E$2:$E$57,MATCH($N897,Документация!$F$2:$F$57,0)),0),N($F897))*(1-MEDIAN(0,N(ДисконтТендер),1)))</f>
        <v/>
      </c>
      <c r="T897" s="7" t="str">
        <f>IF($A897="","",IF(AND(LEFT($G897,3)="ДОК",$N897&lt;&gt;""),0,IF(AND(LEFT($G897,3)&lt;&gt;"ДОК",$N897&lt;&gt;""),IFERROR(INDEX(МАТЕРИАЛЫ!$H$2:$H$9000,MATCH($N897,МАТЕРИАЛЫ!$L$2:$L$9000,0))*IF(INDEX(МАТЕРИАЛЫ!$I$2:$I$9000,MATCH($N897,МАТЕРИАЛЫ!$L$2:$L$9000,0))="USD",КурсUSD,IF(INDEX(МАТЕРИАЛЫ!$I$2:$I$9000,MATCH($N897,МАТЕРИАЛЫ!$L$2:$L$9000,0))="EUR",КурсEUR,IF(INDEX(МАТЕРИАЛЫ!$I$2:$I$9000,MATCH($N897,МАТЕРИАЛЫ!$L$2:$L$9000,0))="CNY",КурсCNY,1)))*(1+N($H897)/100),0),N($O897))*(1-MEDIAN(0,N(ДисконтТендер),1))))</f>
        <v/>
      </c>
      <c r="U897" t="str">
        <f>IF($L897="да",MAX($U$1:$U896)+1,"")</f>
        <v/>
      </c>
      <c r="V897" t="str">
        <f t="shared" si="94"/>
        <v/>
      </c>
      <c r="W897" t="str">
        <f t="shared" si="95"/>
        <v/>
      </c>
      <c r="X897" t="str">
        <f t="shared" si="96"/>
        <v/>
      </c>
      <c r="Y897" s="4" t="str">
        <f>IF($A897="","",IF(AND(LEFT($G897,3)="ДОК",$N897&lt;&gt;""),IFERROR(INDEX(Документация!$G$2:$G$57,MATCH($N897,Документация!$F$2:$F$57,0)),$D897),$D897&amp;IF(AND(LEFT($G897,3)&lt;&gt;"ДОК",$N897&lt;&gt;"")," — "&amp;IFERROR(INDEX(МАТЕРИАЛЫ!$C$2:$C$9000,MATCH($N897,МАТЕРИАЛЫ!$L$2:$L$9000,0)),""),"")))</f>
        <v/>
      </c>
      <c r="Z897" t="str">
        <f t="shared" si="97"/>
        <v/>
      </c>
    </row>
    <row r="898" spans="1:26" x14ac:dyDescent="0.3">
      <c r="A898" s="8"/>
      <c r="D898" s="4"/>
      <c r="F898" s="5"/>
      <c r="L898" s="6"/>
      <c r="M898" s="6"/>
      <c r="N898" s="6"/>
      <c r="O898" s="5"/>
      <c r="P898" s="7" t="str">
        <f t="shared" ref="P898:P961" si="98">IF($L898="да",ROUND(N($M898)*$S898,2),"")</f>
        <v/>
      </c>
      <c r="Q898" s="7" t="str">
        <f t="shared" ref="Q898:Q961" si="99">IF($L898="да",ROUND(N($M898)*$T898,2),"")</f>
        <v/>
      </c>
      <c r="R898" s="7" t="str">
        <f t="shared" ref="R898:R961" si="100">IF($L898="да",N($P898)+N($Q898),"")</f>
        <v/>
      </c>
      <c r="S898" s="7" t="str">
        <f>IF($A898="","",IF(AND(LEFT($G898,3)="ДОК",$N898&lt;&gt;""),IFERROR(INDEX(Документация!$E$2:$E$57,MATCH($N898,Документация!$F$2:$F$57,0)),0),N($F898))*(1-MEDIAN(0,N(ДисконтТендер),1)))</f>
        <v/>
      </c>
      <c r="T898" s="7" t="str">
        <f>IF($A898="","",IF(AND(LEFT($G898,3)="ДОК",$N898&lt;&gt;""),0,IF(AND(LEFT($G898,3)&lt;&gt;"ДОК",$N898&lt;&gt;""),IFERROR(INDEX(МАТЕРИАЛЫ!$H$2:$H$9000,MATCH($N898,МАТЕРИАЛЫ!$L$2:$L$9000,0))*IF(INDEX(МАТЕРИАЛЫ!$I$2:$I$9000,MATCH($N898,МАТЕРИАЛЫ!$L$2:$L$9000,0))="USD",КурсUSD,IF(INDEX(МАТЕРИАЛЫ!$I$2:$I$9000,MATCH($N898,МАТЕРИАЛЫ!$L$2:$L$9000,0))="EUR",КурсEUR,IF(INDEX(МАТЕРИАЛЫ!$I$2:$I$9000,MATCH($N898,МАТЕРИАЛЫ!$L$2:$L$9000,0))="CNY",КурсCNY,1)))*(1+N($H898)/100),0),N($O898))*(1-MEDIAN(0,N(ДисконтТендер),1))))</f>
        <v/>
      </c>
      <c r="U898" t="str">
        <f>IF($L898="да",MAX($U$1:$U897)+1,"")</f>
        <v/>
      </c>
      <c r="V898" t="str">
        <f t="shared" ref="V898:V961" si="101">IF($A898="","",$B898)</f>
        <v/>
      </c>
      <c r="W898" t="str">
        <f t="shared" ref="W898:W961" si="102">IF($U898="","",IF($U898=1,1,IF($V898&lt;&gt;IFERROR(INDEX($V$2:$V$1058,MATCH($U898-1,$U$2:$U$1058,0)),"~"),1,0)))</f>
        <v/>
      </c>
      <c r="X898" t="str">
        <f t="shared" ref="X898:X961" si="103">IF($U898="","",$U898+SUMIFS($W$2:$W$1058,$U$2:$U$1058,"&lt;="&amp;$U898))</f>
        <v/>
      </c>
      <c r="Y898" s="4" t="str">
        <f>IF($A898="","",IF(AND(LEFT($G898,3)="ДОК",$N898&lt;&gt;""),IFERROR(INDEX(Документация!$G$2:$G$57,MATCH($N898,Документация!$F$2:$F$57,0)),$D898),$D898&amp;IF(AND(LEFT($G898,3)&lt;&gt;"ДОК",$N898&lt;&gt;"")," — "&amp;IFERROR(INDEX(МАТЕРИАЛЫ!$C$2:$C$9000,MATCH($N898,МАТЕРИАЛЫ!$L$2:$L$9000,0)),""),"")))</f>
        <v/>
      </c>
      <c r="Z898" t="str">
        <f t="shared" ref="Z898:Z961" si="104">IF($B898="","",$B898&amp;" · "&amp;IFERROR(VLOOKUP($B898,спрРазделы,2,0),""))</f>
        <v/>
      </c>
    </row>
    <row r="899" spans="1:26" x14ac:dyDescent="0.3">
      <c r="A899" s="8"/>
      <c r="D899" s="4"/>
      <c r="F899" s="5"/>
      <c r="L899" s="6"/>
      <c r="M899" s="6"/>
      <c r="N899" s="6"/>
      <c r="O899" s="5"/>
      <c r="P899" s="7" t="str">
        <f t="shared" si="98"/>
        <v/>
      </c>
      <c r="Q899" s="7" t="str">
        <f t="shared" si="99"/>
        <v/>
      </c>
      <c r="R899" s="7" t="str">
        <f t="shared" si="100"/>
        <v/>
      </c>
      <c r="S899" s="7" t="str">
        <f>IF($A899="","",IF(AND(LEFT($G899,3)="ДОК",$N899&lt;&gt;""),IFERROR(INDEX(Документация!$E$2:$E$57,MATCH($N899,Документация!$F$2:$F$57,0)),0),N($F899))*(1-MEDIAN(0,N(ДисконтТендер),1)))</f>
        <v/>
      </c>
      <c r="T899" s="7" t="str">
        <f>IF($A899="","",IF(AND(LEFT($G899,3)="ДОК",$N899&lt;&gt;""),0,IF(AND(LEFT($G899,3)&lt;&gt;"ДОК",$N899&lt;&gt;""),IFERROR(INDEX(МАТЕРИАЛЫ!$H$2:$H$9000,MATCH($N899,МАТЕРИАЛЫ!$L$2:$L$9000,0))*IF(INDEX(МАТЕРИАЛЫ!$I$2:$I$9000,MATCH($N899,МАТЕРИАЛЫ!$L$2:$L$9000,0))="USD",КурсUSD,IF(INDEX(МАТЕРИАЛЫ!$I$2:$I$9000,MATCH($N899,МАТЕРИАЛЫ!$L$2:$L$9000,0))="EUR",КурсEUR,IF(INDEX(МАТЕРИАЛЫ!$I$2:$I$9000,MATCH($N899,МАТЕРИАЛЫ!$L$2:$L$9000,0))="CNY",КурсCNY,1)))*(1+N($H899)/100),0),N($O899))*(1-MEDIAN(0,N(ДисконтТендер),1))))</f>
        <v/>
      </c>
      <c r="U899" t="str">
        <f>IF($L899="да",MAX($U$1:$U898)+1,"")</f>
        <v/>
      </c>
      <c r="V899" t="str">
        <f t="shared" si="101"/>
        <v/>
      </c>
      <c r="W899" t="str">
        <f t="shared" si="102"/>
        <v/>
      </c>
      <c r="X899" t="str">
        <f t="shared" si="103"/>
        <v/>
      </c>
      <c r="Y899" s="4" t="str">
        <f>IF($A899="","",IF(AND(LEFT($G899,3)="ДОК",$N899&lt;&gt;""),IFERROR(INDEX(Документация!$G$2:$G$57,MATCH($N899,Документация!$F$2:$F$57,0)),$D899),$D899&amp;IF(AND(LEFT($G899,3)&lt;&gt;"ДОК",$N899&lt;&gt;"")," — "&amp;IFERROR(INDEX(МАТЕРИАЛЫ!$C$2:$C$9000,MATCH($N899,МАТЕРИАЛЫ!$L$2:$L$9000,0)),""),"")))</f>
        <v/>
      </c>
      <c r="Z899" t="str">
        <f t="shared" si="104"/>
        <v/>
      </c>
    </row>
    <row r="900" spans="1:26" x14ac:dyDescent="0.3">
      <c r="A900" s="8"/>
      <c r="D900" s="4"/>
      <c r="F900" s="5"/>
      <c r="L900" s="6"/>
      <c r="M900" s="6"/>
      <c r="N900" s="6"/>
      <c r="O900" s="5"/>
      <c r="P900" s="7" t="str">
        <f t="shared" si="98"/>
        <v/>
      </c>
      <c r="Q900" s="7" t="str">
        <f t="shared" si="99"/>
        <v/>
      </c>
      <c r="R900" s="7" t="str">
        <f t="shared" si="100"/>
        <v/>
      </c>
      <c r="S900" s="7" t="str">
        <f>IF($A900="","",IF(AND(LEFT($G900,3)="ДОК",$N900&lt;&gt;""),IFERROR(INDEX(Документация!$E$2:$E$57,MATCH($N900,Документация!$F$2:$F$57,0)),0),N($F900))*(1-MEDIAN(0,N(ДисконтТендер),1)))</f>
        <v/>
      </c>
      <c r="T900" s="7" t="str">
        <f>IF($A900="","",IF(AND(LEFT($G900,3)="ДОК",$N900&lt;&gt;""),0,IF(AND(LEFT($G900,3)&lt;&gt;"ДОК",$N900&lt;&gt;""),IFERROR(INDEX(МАТЕРИАЛЫ!$H$2:$H$9000,MATCH($N900,МАТЕРИАЛЫ!$L$2:$L$9000,0))*IF(INDEX(МАТЕРИАЛЫ!$I$2:$I$9000,MATCH($N900,МАТЕРИАЛЫ!$L$2:$L$9000,0))="USD",КурсUSD,IF(INDEX(МАТЕРИАЛЫ!$I$2:$I$9000,MATCH($N900,МАТЕРИАЛЫ!$L$2:$L$9000,0))="EUR",КурсEUR,IF(INDEX(МАТЕРИАЛЫ!$I$2:$I$9000,MATCH($N900,МАТЕРИАЛЫ!$L$2:$L$9000,0))="CNY",КурсCNY,1)))*(1+N($H900)/100),0),N($O900))*(1-MEDIAN(0,N(ДисконтТендер),1))))</f>
        <v/>
      </c>
      <c r="U900" t="str">
        <f>IF($L900="да",MAX($U$1:$U899)+1,"")</f>
        <v/>
      </c>
      <c r="V900" t="str">
        <f t="shared" si="101"/>
        <v/>
      </c>
      <c r="W900" t="str">
        <f t="shared" si="102"/>
        <v/>
      </c>
      <c r="X900" t="str">
        <f t="shared" si="103"/>
        <v/>
      </c>
      <c r="Y900" s="4" t="str">
        <f>IF($A900="","",IF(AND(LEFT($G900,3)="ДОК",$N900&lt;&gt;""),IFERROR(INDEX(Документация!$G$2:$G$57,MATCH($N900,Документация!$F$2:$F$57,0)),$D900),$D900&amp;IF(AND(LEFT($G900,3)&lt;&gt;"ДОК",$N900&lt;&gt;"")," — "&amp;IFERROR(INDEX(МАТЕРИАЛЫ!$C$2:$C$9000,MATCH($N900,МАТЕРИАЛЫ!$L$2:$L$9000,0)),""),"")))</f>
        <v/>
      </c>
      <c r="Z900" t="str">
        <f t="shared" si="104"/>
        <v/>
      </c>
    </row>
    <row r="901" spans="1:26" x14ac:dyDescent="0.3">
      <c r="A901" s="8"/>
      <c r="D901" s="4"/>
      <c r="F901" s="5"/>
      <c r="L901" s="6"/>
      <c r="M901" s="6"/>
      <c r="N901" s="6"/>
      <c r="O901" s="5"/>
      <c r="P901" s="7" t="str">
        <f t="shared" si="98"/>
        <v/>
      </c>
      <c r="Q901" s="7" t="str">
        <f t="shared" si="99"/>
        <v/>
      </c>
      <c r="R901" s="7" t="str">
        <f t="shared" si="100"/>
        <v/>
      </c>
      <c r="S901" s="7" t="str">
        <f>IF($A901="","",IF(AND(LEFT($G901,3)="ДОК",$N901&lt;&gt;""),IFERROR(INDEX(Документация!$E$2:$E$57,MATCH($N901,Документация!$F$2:$F$57,0)),0),N($F901))*(1-MEDIAN(0,N(ДисконтТендер),1)))</f>
        <v/>
      </c>
      <c r="T901" s="7" t="str">
        <f>IF($A901="","",IF(AND(LEFT($G901,3)="ДОК",$N901&lt;&gt;""),0,IF(AND(LEFT($G901,3)&lt;&gt;"ДОК",$N901&lt;&gt;""),IFERROR(INDEX(МАТЕРИАЛЫ!$H$2:$H$9000,MATCH($N901,МАТЕРИАЛЫ!$L$2:$L$9000,0))*IF(INDEX(МАТЕРИАЛЫ!$I$2:$I$9000,MATCH($N901,МАТЕРИАЛЫ!$L$2:$L$9000,0))="USD",КурсUSD,IF(INDEX(МАТЕРИАЛЫ!$I$2:$I$9000,MATCH($N901,МАТЕРИАЛЫ!$L$2:$L$9000,0))="EUR",КурсEUR,IF(INDEX(МАТЕРИАЛЫ!$I$2:$I$9000,MATCH($N901,МАТЕРИАЛЫ!$L$2:$L$9000,0))="CNY",КурсCNY,1)))*(1+N($H901)/100),0),N($O901))*(1-MEDIAN(0,N(ДисконтТендер),1))))</f>
        <v/>
      </c>
      <c r="U901" t="str">
        <f>IF($L901="да",MAX($U$1:$U900)+1,"")</f>
        <v/>
      </c>
      <c r="V901" t="str">
        <f t="shared" si="101"/>
        <v/>
      </c>
      <c r="W901" t="str">
        <f t="shared" si="102"/>
        <v/>
      </c>
      <c r="X901" t="str">
        <f t="shared" si="103"/>
        <v/>
      </c>
      <c r="Y901" s="4" t="str">
        <f>IF($A901="","",IF(AND(LEFT($G901,3)="ДОК",$N901&lt;&gt;""),IFERROR(INDEX(Документация!$G$2:$G$57,MATCH($N901,Документация!$F$2:$F$57,0)),$D901),$D901&amp;IF(AND(LEFT($G901,3)&lt;&gt;"ДОК",$N901&lt;&gt;"")," — "&amp;IFERROR(INDEX(МАТЕРИАЛЫ!$C$2:$C$9000,MATCH($N901,МАТЕРИАЛЫ!$L$2:$L$9000,0)),""),"")))</f>
        <v/>
      </c>
      <c r="Z901" t="str">
        <f t="shared" si="104"/>
        <v/>
      </c>
    </row>
    <row r="902" spans="1:26" x14ac:dyDescent="0.3">
      <c r="A902" s="8"/>
      <c r="D902" s="4"/>
      <c r="F902" s="5"/>
      <c r="L902" s="6"/>
      <c r="M902" s="6"/>
      <c r="N902" s="6"/>
      <c r="O902" s="5"/>
      <c r="P902" s="7" t="str">
        <f t="shared" si="98"/>
        <v/>
      </c>
      <c r="Q902" s="7" t="str">
        <f t="shared" si="99"/>
        <v/>
      </c>
      <c r="R902" s="7" t="str">
        <f t="shared" si="100"/>
        <v/>
      </c>
      <c r="S902" s="7" t="str">
        <f>IF($A902="","",IF(AND(LEFT($G902,3)="ДОК",$N902&lt;&gt;""),IFERROR(INDEX(Документация!$E$2:$E$57,MATCH($N902,Документация!$F$2:$F$57,0)),0),N($F902))*(1-MEDIAN(0,N(ДисконтТендер),1)))</f>
        <v/>
      </c>
      <c r="T902" s="7" t="str">
        <f>IF($A902="","",IF(AND(LEFT($G902,3)="ДОК",$N902&lt;&gt;""),0,IF(AND(LEFT($G902,3)&lt;&gt;"ДОК",$N902&lt;&gt;""),IFERROR(INDEX(МАТЕРИАЛЫ!$H$2:$H$9000,MATCH($N902,МАТЕРИАЛЫ!$L$2:$L$9000,0))*IF(INDEX(МАТЕРИАЛЫ!$I$2:$I$9000,MATCH($N902,МАТЕРИАЛЫ!$L$2:$L$9000,0))="USD",КурсUSD,IF(INDEX(МАТЕРИАЛЫ!$I$2:$I$9000,MATCH($N902,МАТЕРИАЛЫ!$L$2:$L$9000,0))="EUR",КурсEUR,IF(INDEX(МАТЕРИАЛЫ!$I$2:$I$9000,MATCH($N902,МАТЕРИАЛЫ!$L$2:$L$9000,0))="CNY",КурсCNY,1)))*(1+N($H902)/100),0),N($O902))*(1-MEDIAN(0,N(ДисконтТендер),1))))</f>
        <v/>
      </c>
      <c r="U902" t="str">
        <f>IF($L902="да",MAX($U$1:$U901)+1,"")</f>
        <v/>
      </c>
      <c r="V902" t="str">
        <f t="shared" si="101"/>
        <v/>
      </c>
      <c r="W902" t="str">
        <f t="shared" si="102"/>
        <v/>
      </c>
      <c r="X902" t="str">
        <f t="shared" si="103"/>
        <v/>
      </c>
      <c r="Y902" s="4" t="str">
        <f>IF($A902="","",IF(AND(LEFT($G902,3)="ДОК",$N902&lt;&gt;""),IFERROR(INDEX(Документация!$G$2:$G$57,MATCH($N902,Документация!$F$2:$F$57,0)),$D902),$D902&amp;IF(AND(LEFT($G902,3)&lt;&gt;"ДОК",$N902&lt;&gt;"")," — "&amp;IFERROR(INDEX(МАТЕРИАЛЫ!$C$2:$C$9000,MATCH($N902,МАТЕРИАЛЫ!$L$2:$L$9000,0)),""),"")))</f>
        <v/>
      </c>
      <c r="Z902" t="str">
        <f t="shared" si="104"/>
        <v/>
      </c>
    </row>
    <row r="903" spans="1:26" x14ac:dyDescent="0.3">
      <c r="A903" s="8"/>
      <c r="D903" s="4"/>
      <c r="F903" s="5"/>
      <c r="L903" s="6"/>
      <c r="M903" s="6"/>
      <c r="N903" s="6"/>
      <c r="O903" s="5"/>
      <c r="P903" s="7" t="str">
        <f t="shared" si="98"/>
        <v/>
      </c>
      <c r="Q903" s="7" t="str">
        <f t="shared" si="99"/>
        <v/>
      </c>
      <c r="R903" s="7" t="str">
        <f t="shared" si="100"/>
        <v/>
      </c>
      <c r="S903" s="7" t="str">
        <f>IF($A903="","",IF(AND(LEFT($G903,3)="ДОК",$N903&lt;&gt;""),IFERROR(INDEX(Документация!$E$2:$E$57,MATCH($N903,Документация!$F$2:$F$57,0)),0),N($F903))*(1-MEDIAN(0,N(ДисконтТендер),1)))</f>
        <v/>
      </c>
      <c r="T903" s="7" t="str">
        <f>IF($A903="","",IF(AND(LEFT($G903,3)="ДОК",$N903&lt;&gt;""),0,IF(AND(LEFT($G903,3)&lt;&gt;"ДОК",$N903&lt;&gt;""),IFERROR(INDEX(МАТЕРИАЛЫ!$H$2:$H$9000,MATCH($N903,МАТЕРИАЛЫ!$L$2:$L$9000,0))*IF(INDEX(МАТЕРИАЛЫ!$I$2:$I$9000,MATCH($N903,МАТЕРИАЛЫ!$L$2:$L$9000,0))="USD",КурсUSD,IF(INDEX(МАТЕРИАЛЫ!$I$2:$I$9000,MATCH($N903,МАТЕРИАЛЫ!$L$2:$L$9000,0))="EUR",КурсEUR,IF(INDEX(МАТЕРИАЛЫ!$I$2:$I$9000,MATCH($N903,МАТЕРИАЛЫ!$L$2:$L$9000,0))="CNY",КурсCNY,1)))*(1+N($H903)/100),0),N($O903))*(1-MEDIAN(0,N(ДисконтТендер),1))))</f>
        <v/>
      </c>
      <c r="U903" t="str">
        <f>IF($L903="да",MAX($U$1:$U902)+1,"")</f>
        <v/>
      </c>
      <c r="V903" t="str">
        <f t="shared" si="101"/>
        <v/>
      </c>
      <c r="W903" t="str">
        <f t="shared" si="102"/>
        <v/>
      </c>
      <c r="X903" t="str">
        <f t="shared" si="103"/>
        <v/>
      </c>
      <c r="Y903" s="4" t="str">
        <f>IF($A903="","",IF(AND(LEFT($G903,3)="ДОК",$N903&lt;&gt;""),IFERROR(INDEX(Документация!$G$2:$G$57,MATCH($N903,Документация!$F$2:$F$57,0)),$D903),$D903&amp;IF(AND(LEFT($G903,3)&lt;&gt;"ДОК",$N903&lt;&gt;"")," — "&amp;IFERROR(INDEX(МАТЕРИАЛЫ!$C$2:$C$9000,MATCH($N903,МАТЕРИАЛЫ!$L$2:$L$9000,0)),""),"")))</f>
        <v/>
      </c>
      <c r="Z903" t="str">
        <f t="shared" si="104"/>
        <v/>
      </c>
    </row>
    <row r="904" spans="1:26" x14ac:dyDescent="0.3">
      <c r="A904" s="8"/>
      <c r="D904" s="4"/>
      <c r="F904" s="5"/>
      <c r="L904" s="6"/>
      <c r="M904" s="6"/>
      <c r="N904" s="6"/>
      <c r="O904" s="5"/>
      <c r="P904" s="7" t="str">
        <f t="shared" si="98"/>
        <v/>
      </c>
      <c r="Q904" s="7" t="str">
        <f t="shared" si="99"/>
        <v/>
      </c>
      <c r="R904" s="7" t="str">
        <f t="shared" si="100"/>
        <v/>
      </c>
      <c r="S904" s="7" t="str">
        <f>IF($A904="","",IF(AND(LEFT($G904,3)="ДОК",$N904&lt;&gt;""),IFERROR(INDEX(Документация!$E$2:$E$57,MATCH($N904,Документация!$F$2:$F$57,0)),0),N($F904))*(1-MEDIAN(0,N(ДисконтТендер),1)))</f>
        <v/>
      </c>
      <c r="T904" s="7" t="str">
        <f>IF($A904="","",IF(AND(LEFT($G904,3)="ДОК",$N904&lt;&gt;""),0,IF(AND(LEFT($G904,3)&lt;&gt;"ДОК",$N904&lt;&gt;""),IFERROR(INDEX(МАТЕРИАЛЫ!$H$2:$H$9000,MATCH($N904,МАТЕРИАЛЫ!$L$2:$L$9000,0))*IF(INDEX(МАТЕРИАЛЫ!$I$2:$I$9000,MATCH($N904,МАТЕРИАЛЫ!$L$2:$L$9000,0))="USD",КурсUSD,IF(INDEX(МАТЕРИАЛЫ!$I$2:$I$9000,MATCH($N904,МАТЕРИАЛЫ!$L$2:$L$9000,0))="EUR",КурсEUR,IF(INDEX(МАТЕРИАЛЫ!$I$2:$I$9000,MATCH($N904,МАТЕРИАЛЫ!$L$2:$L$9000,0))="CNY",КурсCNY,1)))*(1+N($H904)/100),0),N($O904))*(1-MEDIAN(0,N(ДисконтТендер),1))))</f>
        <v/>
      </c>
      <c r="U904" t="str">
        <f>IF($L904="да",MAX($U$1:$U903)+1,"")</f>
        <v/>
      </c>
      <c r="V904" t="str">
        <f t="shared" si="101"/>
        <v/>
      </c>
      <c r="W904" t="str">
        <f t="shared" si="102"/>
        <v/>
      </c>
      <c r="X904" t="str">
        <f t="shared" si="103"/>
        <v/>
      </c>
      <c r="Y904" s="4" t="str">
        <f>IF($A904="","",IF(AND(LEFT($G904,3)="ДОК",$N904&lt;&gt;""),IFERROR(INDEX(Документация!$G$2:$G$57,MATCH($N904,Документация!$F$2:$F$57,0)),$D904),$D904&amp;IF(AND(LEFT($G904,3)&lt;&gt;"ДОК",$N904&lt;&gt;"")," — "&amp;IFERROR(INDEX(МАТЕРИАЛЫ!$C$2:$C$9000,MATCH($N904,МАТЕРИАЛЫ!$L$2:$L$9000,0)),""),"")))</f>
        <v/>
      </c>
      <c r="Z904" t="str">
        <f t="shared" si="104"/>
        <v/>
      </c>
    </row>
    <row r="905" spans="1:26" x14ac:dyDescent="0.3">
      <c r="A905" s="8"/>
      <c r="D905" s="4"/>
      <c r="F905" s="5"/>
      <c r="L905" s="6"/>
      <c r="M905" s="6"/>
      <c r="N905" s="6"/>
      <c r="O905" s="5"/>
      <c r="P905" s="7" t="str">
        <f t="shared" si="98"/>
        <v/>
      </c>
      <c r="Q905" s="7" t="str">
        <f t="shared" si="99"/>
        <v/>
      </c>
      <c r="R905" s="7" t="str">
        <f t="shared" si="100"/>
        <v/>
      </c>
      <c r="S905" s="7" t="str">
        <f>IF($A905="","",IF(AND(LEFT($G905,3)="ДОК",$N905&lt;&gt;""),IFERROR(INDEX(Документация!$E$2:$E$57,MATCH($N905,Документация!$F$2:$F$57,0)),0),N($F905))*(1-MEDIAN(0,N(ДисконтТендер),1)))</f>
        <v/>
      </c>
      <c r="T905" s="7" t="str">
        <f>IF($A905="","",IF(AND(LEFT($G905,3)="ДОК",$N905&lt;&gt;""),0,IF(AND(LEFT($G905,3)&lt;&gt;"ДОК",$N905&lt;&gt;""),IFERROR(INDEX(МАТЕРИАЛЫ!$H$2:$H$9000,MATCH($N905,МАТЕРИАЛЫ!$L$2:$L$9000,0))*IF(INDEX(МАТЕРИАЛЫ!$I$2:$I$9000,MATCH($N905,МАТЕРИАЛЫ!$L$2:$L$9000,0))="USD",КурсUSD,IF(INDEX(МАТЕРИАЛЫ!$I$2:$I$9000,MATCH($N905,МАТЕРИАЛЫ!$L$2:$L$9000,0))="EUR",КурсEUR,IF(INDEX(МАТЕРИАЛЫ!$I$2:$I$9000,MATCH($N905,МАТЕРИАЛЫ!$L$2:$L$9000,0))="CNY",КурсCNY,1)))*(1+N($H905)/100),0),N($O905))*(1-MEDIAN(0,N(ДисконтТендер),1))))</f>
        <v/>
      </c>
      <c r="U905" t="str">
        <f>IF($L905="да",MAX($U$1:$U904)+1,"")</f>
        <v/>
      </c>
      <c r="V905" t="str">
        <f t="shared" si="101"/>
        <v/>
      </c>
      <c r="W905" t="str">
        <f t="shared" si="102"/>
        <v/>
      </c>
      <c r="X905" t="str">
        <f t="shared" si="103"/>
        <v/>
      </c>
      <c r="Y905" s="4" t="str">
        <f>IF($A905="","",IF(AND(LEFT($G905,3)="ДОК",$N905&lt;&gt;""),IFERROR(INDEX(Документация!$G$2:$G$57,MATCH($N905,Документация!$F$2:$F$57,0)),$D905),$D905&amp;IF(AND(LEFT($G905,3)&lt;&gt;"ДОК",$N905&lt;&gt;"")," — "&amp;IFERROR(INDEX(МАТЕРИАЛЫ!$C$2:$C$9000,MATCH($N905,МАТЕРИАЛЫ!$L$2:$L$9000,0)),""),"")))</f>
        <v/>
      </c>
      <c r="Z905" t="str">
        <f t="shared" si="104"/>
        <v/>
      </c>
    </row>
    <row r="906" spans="1:26" x14ac:dyDescent="0.3">
      <c r="A906" s="8"/>
      <c r="D906" s="4"/>
      <c r="F906" s="5"/>
      <c r="L906" s="6"/>
      <c r="M906" s="6"/>
      <c r="N906" s="6"/>
      <c r="O906" s="5"/>
      <c r="P906" s="7" t="str">
        <f t="shared" si="98"/>
        <v/>
      </c>
      <c r="Q906" s="7" t="str">
        <f t="shared" si="99"/>
        <v/>
      </c>
      <c r="R906" s="7" t="str">
        <f t="shared" si="100"/>
        <v/>
      </c>
      <c r="S906" s="7" t="str">
        <f>IF($A906="","",IF(AND(LEFT($G906,3)="ДОК",$N906&lt;&gt;""),IFERROR(INDEX(Документация!$E$2:$E$57,MATCH($N906,Документация!$F$2:$F$57,0)),0),N($F906))*(1-MEDIAN(0,N(ДисконтТендер),1)))</f>
        <v/>
      </c>
      <c r="T906" s="7" t="str">
        <f>IF($A906="","",IF(AND(LEFT($G906,3)="ДОК",$N906&lt;&gt;""),0,IF(AND(LEFT($G906,3)&lt;&gt;"ДОК",$N906&lt;&gt;""),IFERROR(INDEX(МАТЕРИАЛЫ!$H$2:$H$9000,MATCH($N906,МАТЕРИАЛЫ!$L$2:$L$9000,0))*IF(INDEX(МАТЕРИАЛЫ!$I$2:$I$9000,MATCH($N906,МАТЕРИАЛЫ!$L$2:$L$9000,0))="USD",КурсUSD,IF(INDEX(МАТЕРИАЛЫ!$I$2:$I$9000,MATCH($N906,МАТЕРИАЛЫ!$L$2:$L$9000,0))="EUR",КурсEUR,IF(INDEX(МАТЕРИАЛЫ!$I$2:$I$9000,MATCH($N906,МАТЕРИАЛЫ!$L$2:$L$9000,0))="CNY",КурсCNY,1)))*(1+N($H906)/100),0),N($O906))*(1-MEDIAN(0,N(ДисконтТендер),1))))</f>
        <v/>
      </c>
      <c r="U906" t="str">
        <f>IF($L906="да",MAX($U$1:$U905)+1,"")</f>
        <v/>
      </c>
      <c r="V906" t="str">
        <f t="shared" si="101"/>
        <v/>
      </c>
      <c r="W906" t="str">
        <f t="shared" si="102"/>
        <v/>
      </c>
      <c r="X906" t="str">
        <f t="shared" si="103"/>
        <v/>
      </c>
      <c r="Y906" s="4" t="str">
        <f>IF($A906="","",IF(AND(LEFT($G906,3)="ДОК",$N906&lt;&gt;""),IFERROR(INDEX(Документация!$G$2:$G$57,MATCH($N906,Документация!$F$2:$F$57,0)),$D906),$D906&amp;IF(AND(LEFT($G906,3)&lt;&gt;"ДОК",$N906&lt;&gt;"")," — "&amp;IFERROR(INDEX(МАТЕРИАЛЫ!$C$2:$C$9000,MATCH($N906,МАТЕРИАЛЫ!$L$2:$L$9000,0)),""),"")))</f>
        <v/>
      </c>
      <c r="Z906" t="str">
        <f t="shared" si="104"/>
        <v/>
      </c>
    </row>
    <row r="907" spans="1:26" x14ac:dyDescent="0.3">
      <c r="A907" s="8"/>
      <c r="D907" s="4"/>
      <c r="F907" s="5"/>
      <c r="L907" s="6"/>
      <c r="M907" s="6"/>
      <c r="N907" s="6"/>
      <c r="O907" s="5"/>
      <c r="P907" s="7" t="str">
        <f t="shared" si="98"/>
        <v/>
      </c>
      <c r="Q907" s="7" t="str">
        <f t="shared" si="99"/>
        <v/>
      </c>
      <c r="R907" s="7" t="str">
        <f t="shared" si="100"/>
        <v/>
      </c>
      <c r="S907" s="7" t="str">
        <f>IF($A907="","",IF(AND(LEFT($G907,3)="ДОК",$N907&lt;&gt;""),IFERROR(INDEX(Документация!$E$2:$E$57,MATCH($N907,Документация!$F$2:$F$57,0)),0),N($F907))*(1-MEDIAN(0,N(ДисконтТендер),1)))</f>
        <v/>
      </c>
      <c r="T907" s="7" t="str">
        <f>IF($A907="","",IF(AND(LEFT($G907,3)="ДОК",$N907&lt;&gt;""),0,IF(AND(LEFT($G907,3)&lt;&gt;"ДОК",$N907&lt;&gt;""),IFERROR(INDEX(МАТЕРИАЛЫ!$H$2:$H$9000,MATCH($N907,МАТЕРИАЛЫ!$L$2:$L$9000,0))*IF(INDEX(МАТЕРИАЛЫ!$I$2:$I$9000,MATCH($N907,МАТЕРИАЛЫ!$L$2:$L$9000,0))="USD",КурсUSD,IF(INDEX(МАТЕРИАЛЫ!$I$2:$I$9000,MATCH($N907,МАТЕРИАЛЫ!$L$2:$L$9000,0))="EUR",КурсEUR,IF(INDEX(МАТЕРИАЛЫ!$I$2:$I$9000,MATCH($N907,МАТЕРИАЛЫ!$L$2:$L$9000,0))="CNY",КурсCNY,1)))*(1+N($H907)/100),0),N($O907))*(1-MEDIAN(0,N(ДисконтТендер),1))))</f>
        <v/>
      </c>
      <c r="U907" t="str">
        <f>IF($L907="да",MAX($U$1:$U906)+1,"")</f>
        <v/>
      </c>
      <c r="V907" t="str">
        <f t="shared" si="101"/>
        <v/>
      </c>
      <c r="W907" t="str">
        <f t="shared" si="102"/>
        <v/>
      </c>
      <c r="X907" t="str">
        <f t="shared" si="103"/>
        <v/>
      </c>
      <c r="Y907" s="4" t="str">
        <f>IF($A907="","",IF(AND(LEFT($G907,3)="ДОК",$N907&lt;&gt;""),IFERROR(INDEX(Документация!$G$2:$G$57,MATCH($N907,Документация!$F$2:$F$57,0)),$D907),$D907&amp;IF(AND(LEFT($G907,3)&lt;&gt;"ДОК",$N907&lt;&gt;"")," — "&amp;IFERROR(INDEX(МАТЕРИАЛЫ!$C$2:$C$9000,MATCH($N907,МАТЕРИАЛЫ!$L$2:$L$9000,0)),""),"")))</f>
        <v/>
      </c>
      <c r="Z907" t="str">
        <f t="shared" si="104"/>
        <v/>
      </c>
    </row>
    <row r="908" spans="1:26" x14ac:dyDescent="0.3">
      <c r="A908" s="8"/>
      <c r="D908" s="4"/>
      <c r="F908" s="5"/>
      <c r="L908" s="6"/>
      <c r="M908" s="6"/>
      <c r="N908" s="6"/>
      <c r="O908" s="5"/>
      <c r="P908" s="7" t="str">
        <f t="shared" si="98"/>
        <v/>
      </c>
      <c r="Q908" s="7" t="str">
        <f t="shared" si="99"/>
        <v/>
      </c>
      <c r="R908" s="7" t="str">
        <f t="shared" si="100"/>
        <v/>
      </c>
      <c r="S908" s="7" t="str">
        <f>IF($A908="","",IF(AND(LEFT($G908,3)="ДОК",$N908&lt;&gt;""),IFERROR(INDEX(Документация!$E$2:$E$57,MATCH($N908,Документация!$F$2:$F$57,0)),0),N($F908))*(1-MEDIAN(0,N(ДисконтТендер),1)))</f>
        <v/>
      </c>
      <c r="T908" s="7" t="str">
        <f>IF($A908="","",IF(AND(LEFT($G908,3)="ДОК",$N908&lt;&gt;""),0,IF(AND(LEFT($G908,3)&lt;&gt;"ДОК",$N908&lt;&gt;""),IFERROR(INDEX(МАТЕРИАЛЫ!$H$2:$H$9000,MATCH($N908,МАТЕРИАЛЫ!$L$2:$L$9000,0))*IF(INDEX(МАТЕРИАЛЫ!$I$2:$I$9000,MATCH($N908,МАТЕРИАЛЫ!$L$2:$L$9000,0))="USD",КурсUSD,IF(INDEX(МАТЕРИАЛЫ!$I$2:$I$9000,MATCH($N908,МАТЕРИАЛЫ!$L$2:$L$9000,0))="EUR",КурсEUR,IF(INDEX(МАТЕРИАЛЫ!$I$2:$I$9000,MATCH($N908,МАТЕРИАЛЫ!$L$2:$L$9000,0))="CNY",КурсCNY,1)))*(1+N($H908)/100),0),N($O908))*(1-MEDIAN(0,N(ДисконтТендер),1))))</f>
        <v/>
      </c>
      <c r="U908" t="str">
        <f>IF($L908="да",MAX($U$1:$U907)+1,"")</f>
        <v/>
      </c>
      <c r="V908" t="str">
        <f t="shared" si="101"/>
        <v/>
      </c>
      <c r="W908" t="str">
        <f t="shared" si="102"/>
        <v/>
      </c>
      <c r="X908" t="str">
        <f t="shared" si="103"/>
        <v/>
      </c>
      <c r="Y908" s="4" t="str">
        <f>IF($A908="","",IF(AND(LEFT($G908,3)="ДОК",$N908&lt;&gt;""),IFERROR(INDEX(Документация!$G$2:$G$57,MATCH($N908,Документация!$F$2:$F$57,0)),$D908),$D908&amp;IF(AND(LEFT($G908,3)&lt;&gt;"ДОК",$N908&lt;&gt;"")," — "&amp;IFERROR(INDEX(МАТЕРИАЛЫ!$C$2:$C$9000,MATCH($N908,МАТЕРИАЛЫ!$L$2:$L$9000,0)),""),"")))</f>
        <v/>
      </c>
      <c r="Z908" t="str">
        <f t="shared" si="104"/>
        <v/>
      </c>
    </row>
    <row r="909" spans="1:26" x14ac:dyDescent="0.3">
      <c r="A909" s="8"/>
      <c r="D909" s="4"/>
      <c r="F909" s="5"/>
      <c r="L909" s="6"/>
      <c r="M909" s="6"/>
      <c r="N909" s="6"/>
      <c r="O909" s="5"/>
      <c r="P909" s="7" t="str">
        <f t="shared" si="98"/>
        <v/>
      </c>
      <c r="Q909" s="7" t="str">
        <f t="shared" si="99"/>
        <v/>
      </c>
      <c r="R909" s="7" t="str">
        <f t="shared" si="100"/>
        <v/>
      </c>
      <c r="S909" s="7" t="str">
        <f>IF($A909="","",IF(AND(LEFT($G909,3)="ДОК",$N909&lt;&gt;""),IFERROR(INDEX(Документация!$E$2:$E$57,MATCH($N909,Документация!$F$2:$F$57,0)),0),N($F909))*(1-MEDIAN(0,N(ДисконтТендер),1)))</f>
        <v/>
      </c>
      <c r="T909" s="7" t="str">
        <f>IF($A909="","",IF(AND(LEFT($G909,3)="ДОК",$N909&lt;&gt;""),0,IF(AND(LEFT($G909,3)&lt;&gt;"ДОК",$N909&lt;&gt;""),IFERROR(INDEX(МАТЕРИАЛЫ!$H$2:$H$9000,MATCH($N909,МАТЕРИАЛЫ!$L$2:$L$9000,0))*IF(INDEX(МАТЕРИАЛЫ!$I$2:$I$9000,MATCH($N909,МАТЕРИАЛЫ!$L$2:$L$9000,0))="USD",КурсUSD,IF(INDEX(МАТЕРИАЛЫ!$I$2:$I$9000,MATCH($N909,МАТЕРИАЛЫ!$L$2:$L$9000,0))="EUR",КурсEUR,IF(INDEX(МАТЕРИАЛЫ!$I$2:$I$9000,MATCH($N909,МАТЕРИАЛЫ!$L$2:$L$9000,0))="CNY",КурсCNY,1)))*(1+N($H909)/100),0),N($O909))*(1-MEDIAN(0,N(ДисконтТендер),1))))</f>
        <v/>
      </c>
      <c r="U909" t="str">
        <f>IF($L909="да",MAX($U$1:$U908)+1,"")</f>
        <v/>
      </c>
      <c r="V909" t="str">
        <f t="shared" si="101"/>
        <v/>
      </c>
      <c r="W909" t="str">
        <f t="shared" si="102"/>
        <v/>
      </c>
      <c r="X909" t="str">
        <f t="shared" si="103"/>
        <v/>
      </c>
      <c r="Y909" s="4" t="str">
        <f>IF($A909="","",IF(AND(LEFT($G909,3)="ДОК",$N909&lt;&gt;""),IFERROR(INDEX(Документация!$G$2:$G$57,MATCH($N909,Документация!$F$2:$F$57,0)),$D909),$D909&amp;IF(AND(LEFT($G909,3)&lt;&gt;"ДОК",$N909&lt;&gt;"")," — "&amp;IFERROR(INDEX(МАТЕРИАЛЫ!$C$2:$C$9000,MATCH($N909,МАТЕРИАЛЫ!$L$2:$L$9000,0)),""),"")))</f>
        <v/>
      </c>
      <c r="Z909" t="str">
        <f t="shared" si="104"/>
        <v/>
      </c>
    </row>
    <row r="910" spans="1:26" x14ac:dyDescent="0.3">
      <c r="A910" s="8"/>
      <c r="D910" s="4"/>
      <c r="F910" s="5"/>
      <c r="L910" s="6"/>
      <c r="M910" s="6"/>
      <c r="N910" s="6"/>
      <c r="O910" s="5"/>
      <c r="P910" s="7" t="str">
        <f t="shared" si="98"/>
        <v/>
      </c>
      <c r="Q910" s="7" t="str">
        <f t="shared" si="99"/>
        <v/>
      </c>
      <c r="R910" s="7" t="str">
        <f t="shared" si="100"/>
        <v/>
      </c>
      <c r="S910" s="7" t="str">
        <f>IF($A910="","",IF(AND(LEFT($G910,3)="ДОК",$N910&lt;&gt;""),IFERROR(INDEX(Документация!$E$2:$E$57,MATCH($N910,Документация!$F$2:$F$57,0)),0),N($F910))*(1-MEDIAN(0,N(ДисконтТендер),1)))</f>
        <v/>
      </c>
      <c r="T910" s="7" t="str">
        <f>IF($A910="","",IF(AND(LEFT($G910,3)="ДОК",$N910&lt;&gt;""),0,IF(AND(LEFT($G910,3)&lt;&gt;"ДОК",$N910&lt;&gt;""),IFERROR(INDEX(МАТЕРИАЛЫ!$H$2:$H$9000,MATCH($N910,МАТЕРИАЛЫ!$L$2:$L$9000,0))*IF(INDEX(МАТЕРИАЛЫ!$I$2:$I$9000,MATCH($N910,МАТЕРИАЛЫ!$L$2:$L$9000,0))="USD",КурсUSD,IF(INDEX(МАТЕРИАЛЫ!$I$2:$I$9000,MATCH($N910,МАТЕРИАЛЫ!$L$2:$L$9000,0))="EUR",КурсEUR,IF(INDEX(МАТЕРИАЛЫ!$I$2:$I$9000,MATCH($N910,МАТЕРИАЛЫ!$L$2:$L$9000,0))="CNY",КурсCNY,1)))*(1+N($H910)/100),0),N($O910))*(1-MEDIAN(0,N(ДисконтТендер),1))))</f>
        <v/>
      </c>
      <c r="U910" t="str">
        <f>IF($L910="да",MAX($U$1:$U909)+1,"")</f>
        <v/>
      </c>
      <c r="V910" t="str">
        <f t="shared" si="101"/>
        <v/>
      </c>
      <c r="W910" t="str">
        <f t="shared" si="102"/>
        <v/>
      </c>
      <c r="X910" t="str">
        <f t="shared" si="103"/>
        <v/>
      </c>
      <c r="Y910" s="4" t="str">
        <f>IF($A910="","",IF(AND(LEFT($G910,3)="ДОК",$N910&lt;&gt;""),IFERROR(INDEX(Документация!$G$2:$G$57,MATCH($N910,Документация!$F$2:$F$57,0)),$D910),$D910&amp;IF(AND(LEFT($G910,3)&lt;&gt;"ДОК",$N910&lt;&gt;"")," — "&amp;IFERROR(INDEX(МАТЕРИАЛЫ!$C$2:$C$9000,MATCH($N910,МАТЕРИАЛЫ!$L$2:$L$9000,0)),""),"")))</f>
        <v/>
      </c>
      <c r="Z910" t="str">
        <f t="shared" si="104"/>
        <v/>
      </c>
    </row>
    <row r="911" spans="1:26" x14ac:dyDescent="0.3">
      <c r="A911" s="8"/>
      <c r="D911" s="4"/>
      <c r="F911" s="5"/>
      <c r="L911" s="6"/>
      <c r="M911" s="6"/>
      <c r="N911" s="6"/>
      <c r="O911" s="5"/>
      <c r="P911" s="7" t="str">
        <f t="shared" si="98"/>
        <v/>
      </c>
      <c r="Q911" s="7" t="str">
        <f t="shared" si="99"/>
        <v/>
      </c>
      <c r="R911" s="7" t="str">
        <f t="shared" si="100"/>
        <v/>
      </c>
      <c r="S911" s="7" t="str">
        <f>IF($A911="","",IF(AND(LEFT($G911,3)="ДОК",$N911&lt;&gt;""),IFERROR(INDEX(Документация!$E$2:$E$57,MATCH($N911,Документация!$F$2:$F$57,0)),0),N($F911))*(1-MEDIAN(0,N(ДисконтТендер),1)))</f>
        <v/>
      </c>
      <c r="T911" s="7" t="str">
        <f>IF($A911="","",IF(AND(LEFT($G911,3)="ДОК",$N911&lt;&gt;""),0,IF(AND(LEFT($G911,3)&lt;&gt;"ДОК",$N911&lt;&gt;""),IFERROR(INDEX(МАТЕРИАЛЫ!$H$2:$H$9000,MATCH($N911,МАТЕРИАЛЫ!$L$2:$L$9000,0))*IF(INDEX(МАТЕРИАЛЫ!$I$2:$I$9000,MATCH($N911,МАТЕРИАЛЫ!$L$2:$L$9000,0))="USD",КурсUSD,IF(INDEX(МАТЕРИАЛЫ!$I$2:$I$9000,MATCH($N911,МАТЕРИАЛЫ!$L$2:$L$9000,0))="EUR",КурсEUR,IF(INDEX(МАТЕРИАЛЫ!$I$2:$I$9000,MATCH($N911,МАТЕРИАЛЫ!$L$2:$L$9000,0))="CNY",КурсCNY,1)))*(1+N($H911)/100),0),N($O911))*(1-MEDIAN(0,N(ДисконтТендер),1))))</f>
        <v/>
      </c>
      <c r="U911" t="str">
        <f>IF($L911="да",MAX($U$1:$U910)+1,"")</f>
        <v/>
      </c>
      <c r="V911" t="str">
        <f t="shared" si="101"/>
        <v/>
      </c>
      <c r="W911" t="str">
        <f t="shared" si="102"/>
        <v/>
      </c>
      <c r="X911" t="str">
        <f t="shared" si="103"/>
        <v/>
      </c>
      <c r="Y911" s="4" t="str">
        <f>IF($A911="","",IF(AND(LEFT($G911,3)="ДОК",$N911&lt;&gt;""),IFERROR(INDEX(Документация!$G$2:$G$57,MATCH($N911,Документация!$F$2:$F$57,0)),$D911),$D911&amp;IF(AND(LEFT($G911,3)&lt;&gt;"ДОК",$N911&lt;&gt;"")," — "&amp;IFERROR(INDEX(МАТЕРИАЛЫ!$C$2:$C$9000,MATCH($N911,МАТЕРИАЛЫ!$L$2:$L$9000,0)),""),"")))</f>
        <v/>
      </c>
      <c r="Z911" t="str">
        <f t="shared" si="104"/>
        <v/>
      </c>
    </row>
    <row r="912" spans="1:26" x14ac:dyDescent="0.3">
      <c r="A912" s="8"/>
      <c r="D912" s="4"/>
      <c r="F912" s="5"/>
      <c r="L912" s="6"/>
      <c r="M912" s="6"/>
      <c r="N912" s="6"/>
      <c r="O912" s="5"/>
      <c r="P912" s="7" t="str">
        <f t="shared" si="98"/>
        <v/>
      </c>
      <c r="Q912" s="7" t="str">
        <f t="shared" si="99"/>
        <v/>
      </c>
      <c r="R912" s="7" t="str">
        <f t="shared" si="100"/>
        <v/>
      </c>
      <c r="S912" s="7" t="str">
        <f>IF($A912="","",IF(AND(LEFT($G912,3)="ДОК",$N912&lt;&gt;""),IFERROR(INDEX(Документация!$E$2:$E$57,MATCH($N912,Документация!$F$2:$F$57,0)),0),N($F912))*(1-MEDIAN(0,N(ДисконтТендер),1)))</f>
        <v/>
      </c>
      <c r="T912" s="7" t="str">
        <f>IF($A912="","",IF(AND(LEFT($G912,3)="ДОК",$N912&lt;&gt;""),0,IF(AND(LEFT($G912,3)&lt;&gt;"ДОК",$N912&lt;&gt;""),IFERROR(INDEX(МАТЕРИАЛЫ!$H$2:$H$9000,MATCH($N912,МАТЕРИАЛЫ!$L$2:$L$9000,0))*IF(INDEX(МАТЕРИАЛЫ!$I$2:$I$9000,MATCH($N912,МАТЕРИАЛЫ!$L$2:$L$9000,0))="USD",КурсUSD,IF(INDEX(МАТЕРИАЛЫ!$I$2:$I$9000,MATCH($N912,МАТЕРИАЛЫ!$L$2:$L$9000,0))="EUR",КурсEUR,IF(INDEX(МАТЕРИАЛЫ!$I$2:$I$9000,MATCH($N912,МАТЕРИАЛЫ!$L$2:$L$9000,0))="CNY",КурсCNY,1)))*(1+N($H912)/100),0),N($O912))*(1-MEDIAN(0,N(ДисконтТендер),1))))</f>
        <v/>
      </c>
      <c r="U912" t="str">
        <f>IF($L912="да",MAX($U$1:$U911)+1,"")</f>
        <v/>
      </c>
      <c r="V912" t="str">
        <f t="shared" si="101"/>
        <v/>
      </c>
      <c r="W912" t="str">
        <f t="shared" si="102"/>
        <v/>
      </c>
      <c r="X912" t="str">
        <f t="shared" si="103"/>
        <v/>
      </c>
      <c r="Y912" s="4" t="str">
        <f>IF($A912="","",IF(AND(LEFT($G912,3)="ДОК",$N912&lt;&gt;""),IFERROR(INDEX(Документация!$G$2:$G$57,MATCH($N912,Документация!$F$2:$F$57,0)),$D912),$D912&amp;IF(AND(LEFT($G912,3)&lt;&gt;"ДОК",$N912&lt;&gt;"")," — "&amp;IFERROR(INDEX(МАТЕРИАЛЫ!$C$2:$C$9000,MATCH($N912,МАТЕРИАЛЫ!$L$2:$L$9000,0)),""),"")))</f>
        <v/>
      </c>
      <c r="Z912" t="str">
        <f t="shared" si="104"/>
        <v/>
      </c>
    </row>
    <row r="913" spans="1:26" x14ac:dyDescent="0.3">
      <c r="A913" s="8"/>
      <c r="D913" s="4"/>
      <c r="F913" s="5"/>
      <c r="L913" s="6"/>
      <c r="M913" s="6"/>
      <c r="N913" s="6"/>
      <c r="O913" s="5"/>
      <c r="P913" s="7" t="str">
        <f t="shared" si="98"/>
        <v/>
      </c>
      <c r="Q913" s="7" t="str">
        <f t="shared" si="99"/>
        <v/>
      </c>
      <c r="R913" s="7" t="str">
        <f t="shared" si="100"/>
        <v/>
      </c>
      <c r="S913" s="7" t="str">
        <f>IF($A913="","",IF(AND(LEFT($G913,3)="ДОК",$N913&lt;&gt;""),IFERROR(INDEX(Документация!$E$2:$E$57,MATCH($N913,Документация!$F$2:$F$57,0)),0),N($F913))*(1-MEDIAN(0,N(ДисконтТендер),1)))</f>
        <v/>
      </c>
      <c r="T913" s="7" t="str">
        <f>IF($A913="","",IF(AND(LEFT($G913,3)="ДОК",$N913&lt;&gt;""),0,IF(AND(LEFT($G913,3)&lt;&gt;"ДОК",$N913&lt;&gt;""),IFERROR(INDEX(МАТЕРИАЛЫ!$H$2:$H$9000,MATCH($N913,МАТЕРИАЛЫ!$L$2:$L$9000,0))*IF(INDEX(МАТЕРИАЛЫ!$I$2:$I$9000,MATCH($N913,МАТЕРИАЛЫ!$L$2:$L$9000,0))="USD",КурсUSD,IF(INDEX(МАТЕРИАЛЫ!$I$2:$I$9000,MATCH($N913,МАТЕРИАЛЫ!$L$2:$L$9000,0))="EUR",КурсEUR,IF(INDEX(МАТЕРИАЛЫ!$I$2:$I$9000,MATCH($N913,МАТЕРИАЛЫ!$L$2:$L$9000,0))="CNY",КурсCNY,1)))*(1+N($H913)/100),0),N($O913))*(1-MEDIAN(0,N(ДисконтТендер),1))))</f>
        <v/>
      </c>
      <c r="U913" t="str">
        <f>IF($L913="да",MAX($U$1:$U912)+1,"")</f>
        <v/>
      </c>
      <c r="V913" t="str">
        <f t="shared" si="101"/>
        <v/>
      </c>
      <c r="W913" t="str">
        <f t="shared" si="102"/>
        <v/>
      </c>
      <c r="X913" t="str">
        <f t="shared" si="103"/>
        <v/>
      </c>
      <c r="Y913" s="4" t="str">
        <f>IF($A913="","",IF(AND(LEFT($G913,3)="ДОК",$N913&lt;&gt;""),IFERROR(INDEX(Документация!$G$2:$G$57,MATCH($N913,Документация!$F$2:$F$57,0)),$D913),$D913&amp;IF(AND(LEFT($G913,3)&lt;&gt;"ДОК",$N913&lt;&gt;"")," — "&amp;IFERROR(INDEX(МАТЕРИАЛЫ!$C$2:$C$9000,MATCH($N913,МАТЕРИАЛЫ!$L$2:$L$9000,0)),""),"")))</f>
        <v/>
      </c>
      <c r="Z913" t="str">
        <f t="shared" si="104"/>
        <v/>
      </c>
    </row>
    <row r="914" spans="1:26" x14ac:dyDescent="0.3">
      <c r="A914" s="8"/>
      <c r="D914" s="4"/>
      <c r="F914" s="5"/>
      <c r="L914" s="6"/>
      <c r="M914" s="6"/>
      <c r="N914" s="6"/>
      <c r="O914" s="5"/>
      <c r="P914" s="7" t="str">
        <f t="shared" si="98"/>
        <v/>
      </c>
      <c r="Q914" s="7" t="str">
        <f t="shared" si="99"/>
        <v/>
      </c>
      <c r="R914" s="7" t="str">
        <f t="shared" si="100"/>
        <v/>
      </c>
      <c r="S914" s="7" t="str">
        <f>IF($A914="","",IF(AND(LEFT($G914,3)="ДОК",$N914&lt;&gt;""),IFERROR(INDEX(Документация!$E$2:$E$57,MATCH($N914,Документация!$F$2:$F$57,0)),0),N($F914))*(1-MEDIAN(0,N(ДисконтТендер),1)))</f>
        <v/>
      </c>
      <c r="T914" s="7" t="str">
        <f>IF($A914="","",IF(AND(LEFT($G914,3)="ДОК",$N914&lt;&gt;""),0,IF(AND(LEFT($G914,3)&lt;&gt;"ДОК",$N914&lt;&gt;""),IFERROR(INDEX(МАТЕРИАЛЫ!$H$2:$H$9000,MATCH($N914,МАТЕРИАЛЫ!$L$2:$L$9000,0))*IF(INDEX(МАТЕРИАЛЫ!$I$2:$I$9000,MATCH($N914,МАТЕРИАЛЫ!$L$2:$L$9000,0))="USD",КурсUSD,IF(INDEX(МАТЕРИАЛЫ!$I$2:$I$9000,MATCH($N914,МАТЕРИАЛЫ!$L$2:$L$9000,0))="EUR",КурсEUR,IF(INDEX(МАТЕРИАЛЫ!$I$2:$I$9000,MATCH($N914,МАТЕРИАЛЫ!$L$2:$L$9000,0))="CNY",КурсCNY,1)))*(1+N($H914)/100),0),N($O914))*(1-MEDIAN(0,N(ДисконтТендер),1))))</f>
        <v/>
      </c>
      <c r="U914" t="str">
        <f>IF($L914="да",MAX($U$1:$U913)+1,"")</f>
        <v/>
      </c>
      <c r="V914" t="str">
        <f t="shared" si="101"/>
        <v/>
      </c>
      <c r="W914" t="str">
        <f t="shared" si="102"/>
        <v/>
      </c>
      <c r="X914" t="str">
        <f t="shared" si="103"/>
        <v/>
      </c>
      <c r="Y914" s="4" t="str">
        <f>IF($A914="","",IF(AND(LEFT($G914,3)="ДОК",$N914&lt;&gt;""),IFERROR(INDEX(Документация!$G$2:$G$57,MATCH($N914,Документация!$F$2:$F$57,0)),$D914),$D914&amp;IF(AND(LEFT($G914,3)&lt;&gt;"ДОК",$N914&lt;&gt;"")," — "&amp;IFERROR(INDEX(МАТЕРИАЛЫ!$C$2:$C$9000,MATCH($N914,МАТЕРИАЛЫ!$L$2:$L$9000,0)),""),"")))</f>
        <v/>
      </c>
      <c r="Z914" t="str">
        <f t="shared" si="104"/>
        <v/>
      </c>
    </row>
    <row r="915" spans="1:26" x14ac:dyDescent="0.3">
      <c r="A915" s="8"/>
      <c r="D915" s="4"/>
      <c r="F915" s="5"/>
      <c r="L915" s="6"/>
      <c r="M915" s="6"/>
      <c r="N915" s="6"/>
      <c r="O915" s="5"/>
      <c r="P915" s="7" t="str">
        <f t="shared" si="98"/>
        <v/>
      </c>
      <c r="Q915" s="7" t="str">
        <f t="shared" si="99"/>
        <v/>
      </c>
      <c r="R915" s="7" t="str">
        <f t="shared" si="100"/>
        <v/>
      </c>
      <c r="S915" s="7" t="str">
        <f>IF($A915="","",IF(AND(LEFT($G915,3)="ДОК",$N915&lt;&gt;""),IFERROR(INDEX(Документация!$E$2:$E$57,MATCH($N915,Документация!$F$2:$F$57,0)),0),N($F915))*(1-MEDIAN(0,N(ДисконтТендер),1)))</f>
        <v/>
      </c>
      <c r="T915" s="7" t="str">
        <f>IF($A915="","",IF(AND(LEFT($G915,3)="ДОК",$N915&lt;&gt;""),0,IF(AND(LEFT($G915,3)&lt;&gt;"ДОК",$N915&lt;&gt;""),IFERROR(INDEX(МАТЕРИАЛЫ!$H$2:$H$9000,MATCH($N915,МАТЕРИАЛЫ!$L$2:$L$9000,0))*IF(INDEX(МАТЕРИАЛЫ!$I$2:$I$9000,MATCH($N915,МАТЕРИАЛЫ!$L$2:$L$9000,0))="USD",КурсUSD,IF(INDEX(МАТЕРИАЛЫ!$I$2:$I$9000,MATCH($N915,МАТЕРИАЛЫ!$L$2:$L$9000,0))="EUR",КурсEUR,IF(INDEX(МАТЕРИАЛЫ!$I$2:$I$9000,MATCH($N915,МАТЕРИАЛЫ!$L$2:$L$9000,0))="CNY",КурсCNY,1)))*(1+N($H915)/100),0),N($O915))*(1-MEDIAN(0,N(ДисконтТендер),1))))</f>
        <v/>
      </c>
      <c r="U915" t="str">
        <f>IF($L915="да",MAX($U$1:$U914)+1,"")</f>
        <v/>
      </c>
      <c r="V915" t="str">
        <f t="shared" si="101"/>
        <v/>
      </c>
      <c r="W915" t="str">
        <f t="shared" si="102"/>
        <v/>
      </c>
      <c r="X915" t="str">
        <f t="shared" si="103"/>
        <v/>
      </c>
      <c r="Y915" s="4" t="str">
        <f>IF($A915="","",IF(AND(LEFT($G915,3)="ДОК",$N915&lt;&gt;""),IFERROR(INDEX(Документация!$G$2:$G$57,MATCH($N915,Документация!$F$2:$F$57,0)),$D915),$D915&amp;IF(AND(LEFT($G915,3)&lt;&gt;"ДОК",$N915&lt;&gt;"")," — "&amp;IFERROR(INDEX(МАТЕРИАЛЫ!$C$2:$C$9000,MATCH($N915,МАТЕРИАЛЫ!$L$2:$L$9000,0)),""),"")))</f>
        <v/>
      </c>
      <c r="Z915" t="str">
        <f t="shared" si="104"/>
        <v/>
      </c>
    </row>
    <row r="916" spans="1:26" x14ac:dyDescent="0.3">
      <c r="A916" s="8"/>
      <c r="D916" s="4"/>
      <c r="F916" s="5"/>
      <c r="L916" s="6"/>
      <c r="M916" s="6"/>
      <c r="N916" s="6"/>
      <c r="O916" s="5"/>
      <c r="P916" s="7" t="str">
        <f t="shared" si="98"/>
        <v/>
      </c>
      <c r="Q916" s="7" t="str">
        <f t="shared" si="99"/>
        <v/>
      </c>
      <c r="R916" s="7" t="str">
        <f t="shared" si="100"/>
        <v/>
      </c>
      <c r="S916" s="7" t="str">
        <f>IF($A916="","",IF(AND(LEFT($G916,3)="ДОК",$N916&lt;&gt;""),IFERROR(INDEX(Документация!$E$2:$E$57,MATCH($N916,Документация!$F$2:$F$57,0)),0),N($F916))*(1-MEDIAN(0,N(ДисконтТендер),1)))</f>
        <v/>
      </c>
      <c r="T916" s="7" t="str">
        <f>IF($A916="","",IF(AND(LEFT($G916,3)="ДОК",$N916&lt;&gt;""),0,IF(AND(LEFT($G916,3)&lt;&gt;"ДОК",$N916&lt;&gt;""),IFERROR(INDEX(МАТЕРИАЛЫ!$H$2:$H$9000,MATCH($N916,МАТЕРИАЛЫ!$L$2:$L$9000,0))*IF(INDEX(МАТЕРИАЛЫ!$I$2:$I$9000,MATCH($N916,МАТЕРИАЛЫ!$L$2:$L$9000,0))="USD",КурсUSD,IF(INDEX(МАТЕРИАЛЫ!$I$2:$I$9000,MATCH($N916,МАТЕРИАЛЫ!$L$2:$L$9000,0))="EUR",КурсEUR,IF(INDEX(МАТЕРИАЛЫ!$I$2:$I$9000,MATCH($N916,МАТЕРИАЛЫ!$L$2:$L$9000,0))="CNY",КурсCNY,1)))*(1+N($H916)/100),0),N($O916))*(1-MEDIAN(0,N(ДисконтТендер),1))))</f>
        <v/>
      </c>
      <c r="U916" t="str">
        <f>IF($L916="да",MAX($U$1:$U915)+1,"")</f>
        <v/>
      </c>
      <c r="V916" t="str">
        <f t="shared" si="101"/>
        <v/>
      </c>
      <c r="W916" t="str">
        <f t="shared" si="102"/>
        <v/>
      </c>
      <c r="X916" t="str">
        <f t="shared" si="103"/>
        <v/>
      </c>
      <c r="Y916" s="4" t="str">
        <f>IF($A916="","",IF(AND(LEFT($G916,3)="ДОК",$N916&lt;&gt;""),IFERROR(INDEX(Документация!$G$2:$G$57,MATCH($N916,Документация!$F$2:$F$57,0)),$D916),$D916&amp;IF(AND(LEFT($G916,3)&lt;&gt;"ДОК",$N916&lt;&gt;"")," — "&amp;IFERROR(INDEX(МАТЕРИАЛЫ!$C$2:$C$9000,MATCH($N916,МАТЕРИАЛЫ!$L$2:$L$9000,0)),""),"")))</f>
        <v/>
      </c>
      <c r="Z916" t="str">
        <f t="shared" si="104"/>
        <v/>
      </c>
    </row>
    <row r="917" spans="1:26" x14ac:dyDescent="0.3">
      <c r="A917" s="8"/>
      <c r="D917" s="4"/>
      <c r="F917" s="5"/>
      <c r="L917" s="6"/>
      <c r="M917" s="6"/>
      <c r="N917" s="6"/>
      <c r="O917" s="5"/>
      <c r="P917" s="7" t="str">
        <f t="shared" si="98"/>
        <v/>
      </c>
      <c r="Q917" s="7" t="str">
        <f t="shared" si="99"/>
        <v/>
      </c>
      <c r="R917" s="7" t="str">
        <f t="shared" si="100"/>
        <v/>
      </c>
      <c r="S917" s="7" t="str">
        <f>IF($A917="","",IF(AND(LEFT($G917,3)="ДОК",$N917&lt;&gt;""),IFERROR(INDEX(Документация!$E$2:$E$57,MATCH($N917,Документация!$F$2:$F$57,0)),0),N($F917))*(1-MEDIAN(0,N(ДисконтТендер),1)))</f>
        <v/>
      </c>
      <c r="T917" s="7" t="str">
        <f>IF($A917="","",IF(AND(LEFT($G917,3)="ДОК",$N917&lt;&gt;""),0,IF(AND(LEFT($G917,3)&lt;&gt;"ДОК",$N917&lt;&gt;""),IFERROR(INDEX(МАТЕРИАЛЫ!$H$2:$H$9000,MATCH($N917,МАТЕРИАЛЫ!$L$2:$L$9000,0))*IF(INDEX(МАТЕРИАЛЫ!$I$2:$I$9000,MATCH($N917,МАТЕРИАЛЫ!$L$2:$L$9000,0))="USD",КурсUSD,IF(INDEX(МАТЕРИАЛЫ!$I$2:$I$9000,MATCH($N917,МАТЕРИАЛЫ!$L$2:$L$9000,0))="EUR",КурсEUR,IF(INDEX(МАТЕРИАЛЫ!$I$2:$I$9000,MATCH($N917,МАТЕРИАЛЫ!$L$2:$L$9000,0))="CNY",КурсCNY,1)))*(1+N($H917)/100),0),N($O917))*(1-MEDIAN(0,N(ДисконтТендер),1))))</f>
        <v/>
      </c>
      <c r="U917" t="str">
        <f>IF($L917="да",MAX($U$1:$U916)+1,"")</f>
        <v/>
      </c>
      <c r="V917" t="str">
        <f t="shared" si="101"/>
        <v/>
      </c>
      <c r="W917" t="str">
        <f t="shared" si="102"/>
        <v/>
      </c>
      <c r="X917" t="str">
        <f t="shared" si="103"/>
        <v/>
      </c>
      <c r="Y917" s="4" t="str">
        <f>IF($A917="","",IF(AND(LEFT($G917,3)="ДОК",$N917&lt;&gt;""),IFERROR(INDEX(Документация!$G$2:$G$57,MATCH($N917,Документация!$F$2:$F$57,0)),$D917),$D917&amp;IF(AND(LEFT($G917,3)&lt;&gt;"ДОК",$N917&lt;&gt;"")," — "&amp;IFERROR(INDEX(МАТЕРИАЛЫ!$C$2:$C$9000,MATCH($N917,МАТЕРИАЛЫ!$L$2:$L$9000,0)),""),"")))</f>
        <v/>
      </c>
      <c r="Z917" t="str">
        <f t="shared" si="104"/>
        <v/>
      </c>
    </row>
    <row r="918" spans="1:26" x14ac:dyDescent="0.3">
      <c r="A918" s="8"/>
      <c r="D918" s="4"/>
      <c r="F918" s="5"/>
      <c r="L918" s="6"/>
      <c r="M918" s="6"/>
      <c r="N918" s="6"/>
      <c r="O918" s="5"/>
      <c r="P918" s="7" t="str">
        <f t="shared" si="98"/>
        <v/>
      </c>
      <c r="Q918" s="7" t="str">
        <f t="shared" si="99"/>
        <v/>
      </c>
      <c r="R918" s="7" t="str">
        <f t="shared" si="100"/>
        <v/>
      </c>
      <c r="S918" s="7" t="str">
        <f>IF($A918="","",IF(AND(LEFT($G918,3)="ДОК",$N918&lt;&gt;""),IFERROR(INDEX(Документация!$E$2:$E$57,MATCH($N918,Документация!$F$2:$F$57,0)),0),N($F918))*(1-MEDIAN(0,N(ДисконтТендер),1)))</f>
        <v/>
      </c>
      <c r="T918" s="7" t="str">
        <f>IF($A918="","",IF(AND(LEFT($G918,3)="ДОК",$N918&lt;&gt;""),0,IF(AND(LEFT($G918,3)&lt;&gt;"ДОК",$N918&lt;&gt;""),IFERROR(INDEX(МАТЕРИАЛЫ!$H$2:$H$9000,MATCH($N918,МАТЕРИАЛЫ!$L$2:$L$9000,0))*IF(INDEX(МАТЕРИАЛЫ!$I$2:$I$9000,MATCH($N918,МАТЕРИАЛЫ!$L$2:$L$9000,0))="USD",КурсUSD,IF(INDEX(МАТЕРИАЛЫ!$I$2:$I$9000,MATCH($N918,МАТЕРИАЛЫ!$L$2:$L$9000,0))="EUR",КурсEUR,IF(INDEX(МАТЕРИАЛЫ!$I$2:$I$9000,MATCH($N918,МАТЕРИАЛЫ!$L$2:$L$9000,0))="CNY",КурсCNY,1)))*(1+N($H918)/100),0),N($O918))*(1-MEDIAN(0,N(ДисконтТендер),1))))</f>
        <v/>
      </c>
      <c r="U918" t="str">
        <f>IF($L918="да",MAX($U$1:$U917)+1,"")</f>
        <v/>
      </c>
      <c r="V918" t="str">
        <f t="shared" si="101"/>
        <v/>
      </c>
      <c r="W918" t="str">
        <f t="shared" si="102"/>
        <v/>
      </c>
      <c r="X918" t="str">
        <f t="shared" si="103"/>
        <v/>
      </c>
      <c r="Y918" s="4" t="str">
        <f>IF($A918="","",IF(AND(LEFT($G918,3)="ДОК",$N918&lt;&gt;""),IFERROR(INDEX(Документация!$G$2:$G$57,MATCH($N918,Документация!$F$2:$F$57,0)),$D918),$D918&amp;IF(AND(LEFT($G918,3)&lt;&gt;"ДОК",$N918&lt;&gt;"")," — "&amp;IFERROR(INDEX(МАТЕРИАЛЫ!$C$2:$C$9000,MATCH($N918,МАТЕРИАЛЫ!$L$2:$L$9000,0)),""),"")))</f>
        <v/>
      </c>
      <c r="Z918" t="str">
        <f t="shared" si="104"/>
        <v/>
      </c>
    </row>
    <row r="919" spans="1:26" x14ac:dyDescent="0.3">
      <c r="A919" s="8"/>
      <c r="D919" s="4"/>
      <c r="F919" s="5"/>
      <c r="L919" s="6"/>
      <c r="M919" s="6"/>
      <c r="N919" s="6"/>
      <c r="O919" s="5"/>
      <c r="P919" s="7" t="str">
        <f t="shared" si="98"/>
        <v/>
      </c>
      <c r="Q919" s="7" t="str">
        <f t="shared" si="99"/>
        <v/>
      </c>
      <c r="R919" s="7" t="str">
        <f t="shared" si="100"/>
        <v/>
      </c>
      <c r="S919" s="7" t="str">
        <f>IF($A919="","",IF(AND(LEFT($G919,3)="ДОК",$N919&lt;&gt;""),IFERROR(INDEX(Документация!$E$2:$E$57,MATCH($N919,Документация!$F$2:$F$57,0)),0),N($F919))*(1-MEDIAN(0,N(ДисконтТендер),1)))</f>
        <v/>
      </c>
      <c r="T919" s="7" t="str">
        <f>IF($A919="","",IF(AND(LEFT($G919,3)="ДОК",$N919&lt;&gt;""),0,IF(AND(LEFT($G919,3)&lt;&gt;"ДОК",$N919&lt;&gt;""),IFERROR(INDEX(МАТЕРИАЛЫ!$H$2:$H$9000,MATCH($N919,МАТЕРИАЛЫ!$L$2:$L$9000,0))*IF(INDEX(МАТЕРИАЛЫ!$I$2:$I$9000,MATCH($N919,МАТЕРИАЛЫ!$L$2:$L$9000,0))="USD",КурсUSD,IF(INDEX(МАТЕРИАЛЫ!$I$2:$I$9000,MATCH($N919,МАТЕРИАЛЫ!$L$2:$L$9000,0))="EUR",КурсEUR,IF(INDEX(МАТЕРИАЛЫ!$I$2:$I$9000,MATCH($N919,МАТЕРИАЛЫ!$L$2:$L$9000,0))="CNY",КурсCNY,1)))*(1+N($H919)/100),0),N($O919))*(1-MEDIAN(0,N(ДисконтТендер),1))))</f>
        <v/>
      </c>
      <c r="U919" t="str">
        <f>IF($L919="да",MAX($U$1:$U918)+1,"")</f>
        <v/>
      </c>
      <c r="V919" t="str">
        <f t="shared" si="101"/>
        <v/>
      </c>
      <c r="W919" t="str">
        <f t="shared" si="102"/>
        <v/>
      </c>
      <c r="X919" t="str">
        <f t="shared" si="103"/>
        <v/>
      </c>
      <c r="Y919" s="4" t="str">
        <f>IF($A919="","",IF(AND(LEFT($G919,3)="ДОК",$N919&lt;&gt;""),IFERROR(INDEX(Документация!$G$2:$G$57,MATCH($N919,Документация!$F$2:$F$57,0)),$D919),$D919&amp;IF(AND(LEFT($G919,3)&lt;&gt;"ДОК",$N919&lt;&gt;"")," — "&amp;IFERROR(INDEX(МАТЕРИАЛЫ!$C$2:$C$9000,MATCH($N919,МАТЕРИАЛЫ!$L$2:$L$9000,0)),""),"")))</f>
        <v/>
      </c>
      <c r="Z919" t="str">
        <f t="shared" si="104"/>
        <v/>
      </c>
    </row>
    <row r="920" spans="1:26" x14ac:dyDescent="0.3">
      <c r="A920" s="8"/>
      <c r="D920" s="4"/>
      <c r="F920" s="5"/>
      <c r="L920" s="6"/>
      <c r="M920" s="6"/>
      <c r="N920" s="6"/>
      <c r="O920" s="5"/>
      <c r="P920" s="7" t="str">
        <f t="shared" si="98"/>
        <v/>
      </c>
      <c r="Q920" s="7" t="str">
        <f t="shared" si="99"/>
        <v/>
      </c>
      <c r="R920" s="7" t="str">
        <f t="shared" si="100"/>
        <v/>
      </c>
      <c r="S920" s="7" t="str">
        <f>IF($A920="","",IF(AND(LEFT($G920,3)="ДОК",$N920&lt;&gt;""),IFERROR(INDEX(Документация!$E$2:$E$57,MATCH($N920,Документация!$F$2:$F$57,0)),0),N($F920))*(1-MEDIAN(0,N(ДисконтТендер),1)))</f>
        <v/>
      </c>
      <c r="T920" s="7" t="str">
        <f>IF($A920="","",IF(AND(LEFT($G920,3)="ДОК",$N920&lt;&gt;""),0,IF(AND(LEFT($G920,3)&lt;&gt;"ДОК",$N920&lt;&gt;""),IFERROR(INDEX(МАТЕРИАЛЫ!$H$2:$H$9000,MATCH($N920,МАТЕРИАЛЫ!$L$2:$L$9000,0))*IF(INDEX(МАТЕРИАЛЫ!$I$2:$I$9000,MATCH($N920,МАТЕРИАЛЫ!$L$2:$L$9000,0))="USD",КурсUSD,IF(INDEX(МАТЕРИАЛЫ!$I$2:$I$9000,MATCH($N920,МАТЕРИАЛЫ!$L$2:$L$9000,0))="EUR",КурсEUR,IF(INDEX(МАТЕРИАЛЫ!$I$2:$I$9000,MATCH($N920,МАТЕРИАЛЫ!$L$2:$L$9000,0))="CNY",КурсCNY,1)))*(1+N($H920)/100),0),N($O920))*(1-MEDIAN(0,N(ДисконтТендер),1))))</f>
        <v/>
      </c>
      <c r="U920" t="str">
        <f>IF($L920="да",MAX($U$1:$U919)+1,"")</f>
        <v/>
      </c>
      <c r="V920" t="str">
        <f t="shared" si="101"/>
        <v/>
      </c>
      <c r="W920" t="str">
        <f t="shared" si="102"/>
        <v/>
      </c>
      <c r="X920" t="str">
        <f t="shared" si="103"/>
        <v/>
      </c>
      <c r="Y920" s="4" t="str">
        <f>IF($A920="","",IF(AND(LEFT($G920,3)="ДОК",$N920&lt;&gt;""),IFERROR(INDEX(Документация!$G$2:$G$57,MATCH($N920,Документация!$F$2:$F$57,0)),$D920),$D920&amp;IF(AND(LEFT($G920,3)&lt;&gt;"ДОК",$N920&lt;&gt;"")," — "&amp;IFERROR(INDEX(МАТЕРИАЛЫ!$C$2:$C$9000,MATCH($N920,МАТЕРИАЛЫ!$L$2:$L$9000,0)),""),"")))</f>
        <v/>
      </c>
      <c r="Z920" t="str">
        <f t="shared" si="104"/>
        <v/>
      </c>
    </row>
    <row r="921" spans="1:26" x14ac:dyDescent="0.3">
      <c r="A921" s="8"/>
      <c r="D921" s="4"/>
      <c r="F921" s="5"/>
      <c r="L921" s="6"/>
      <c r="M921" s="6"/>
      <c r="N921" s="6"/>
      <c r="O921" s="5"/>
      <c r="P921" s="7" t="str">
        <f t="shared" si="98"/>
        <v/>
      </c>
      <c r="Q921" s="7" t="str">
        <f t="shared" si="99"/>
        <v/>
      </c>
      <c r="R921" s="7" t="str">
        <f t="shared" si="100"/>
        <v/>
      </c>
      <c r="S921" s="7" t="str">
        <f>IF($A921="","",IF(AND(LEFT($G921,3)="ДОК",$N921&lt;&gt;""),IFERROR(INDEX(Документация!$E$2:$E$57,MATCH($N921,Документация!$F$2:$F$57,0)),0),N($F921))*(1-MEDIAN(0,N(ДисконтТендер),1)))</f>
        <v/>
      </c>
      <c r="T921" s="7" t="str">
        <f>IF($A921="","",IF(AND(LEFT($G921,3)="ДОК",$N921&lt;&gt;""),0,IF(AND(LEFT($G921,3)&lt;&gt;"ДОК",$N921&lt;&gt;""),IFERROR(INDEX(МАТЕРИАЛЫ!$H$2:$H$9000,MATCH($N921,МАТЕРИАЛЫ!$L$2:$L$9000,0))*IF(INDEX(МАТЕРИАЛЫ!$I$2:$I$9000,MATCH($N921,МАТЕРИАЛЫ!$L$2:$L$9000,0))="USD",КурсUSD,IF(INDEX(МАТЕРИАЛЫ!$I$2:$I$9000,MATCH($N921,МАТЕРИАЛЫ!$L$2:$L$9000,0))="EUR",КурсEUR,IF(INDEX(МАТЕРИАЛЫ!$I$2:$I$9000,MATCH($N921,МАТЕРИАЛЫ!$L$2:$L$9000,0))="CNY",КурсCNY,1)))*(1+N($H921)/100),0),N($O921))*(1-MEDIAN(0,N(ДисконтТендер),1))))</f>
        <v/>
      </c>
      <c r="U921" t="str">
        <f>IF($L921="да",MAX($U$1:$U920)+1,"")</f>
        <v/>
      </c>
      <c r="V921" t="str">
        <f t="shared" si="101"/>
        <v/>
      </c>
      <c r="W921" t="str">
        <f t="shared" si="102"/>
        <v/>
      </c>
      <c r="X921" t="str">
        <f t="shared" si="103"/>
        <v/>
      </c>
      <c r="Y921" s="4" t="str">
        <f>IF($A921="","",IF(AND(LEFT($G921,3)="ДОК",$N921&lt;&gt;""),IFERROR(INDEX(Документация!$G$2:$G$57,MATCH($N921,Документация!$F$2:$F$57,0)),$D921),$D921&amp;IF(AND(LEFT($G921,3)&lt;&gt;"ДОК",$N921&lt;&gt;"")," — "&amp;IFERROR(INDEX(МАТЕРИАЛЫ!$C$2:$C$9000,MATCH($N921,МАТЕРИАЛЫ!$L$2:$L$9000,0)),""),"")))</f>
        <v/>
      </c>
      <c r="Z921" t="str">
        <f t="shared" si="104"/>
        <v/>
      </c>
    </row>
    <row r="922" spans="1:26" x14ac:dyDescent="0.3">
      <c r="A922" s="8"/>
      <c r="D922" s="4"/>
      <c r="F922" s="5"/>
      <c r="L922" s="6"/>
      <c r="M922" s="6"/>
      <c r="N922" s="6"/>
      <c r="O922" s="5"/>
      <c r="P922" s="7" t="str">
        <f t="shared" si="98"/>
        <v/>
      </c>
      <c r="Q922" s="7" t="str">
        <f t="shared" si="99"/>
        <v/>
      </c>
      <c r="R922" s="7" t="str">
        <f t="shared" si="100"/>
        <v/>
      </c>
      <c r="S922" s="7" t="str">
        <f>IF($A922="","",IF(AND(LEFT($G922,3)="ДОК",$N922&lt;&gt;""),IFERROR(INDEX(Документация!$E$2:$E$57,MATCH($N922,Документация!$F$2:$F$57,0)),0),N($F922))*(1-MEDIAN(0,N(ДисконтТендер),1)))</f>
        <v/>
      </c>
      <c r="T922" s="7" t="str">
        <f>IF($A922="","",IF(AND(LEFT($G922,3)="ДОК",$N922&lt;&gt;""),0,IF(AND(LEFT($G922,3)&lt;&gt;"ДОК",$N922&lt;&gt;""),IFERROR(INDEX(МАТЕРИАЛЫ!$H$2:$H$9000,MATCH($N922,МАТЕРИАЛЫ!$L$2:$L$9000,0))*IF(INDEX(МАТЕРИАЛЫ!$I$2:$I$9000,MATCH($N922,МАТЕРИАЛЫ!$L$2:$L$9000,0))="USD",КурсUSD,IF(INDEX(МАТЕРИАЛЫ!$I$2:$I$9000,MATCH($N922,МАТЕРИАЛЫ!$L$2:$L$9000,0))="EUR",КурсEUR,IF(INDEX(МАТЕРИАЛЫ!$I$2:$I$9000,MATCH($N922,МАТЕРИАЛЫ!$L$2:$L$9000,0))="CNY",КурсCNY,1)))*(1+N($H922)/100),0),N($O922))*(1-MEDIAN(0,N(ДисконтТендер),1))))</f>
        <v/>
      </c>
      <c r="U922" t="str">
        <f>IF($L922="да",MAX($U$1:$U921)+1,"")</f>
        <v/>
      </c>
      <c r="V922" t="str">
        <f t="shared" si="101"/>
        <v/>
      </c>
      <c r="W922" t="str">
        <f t="shared" si="102"/>
        <v/>
      </c>
      <c r="X922" t="str">
        <f t="shared" si="103"/>
        <v/>
      </c>
      <c r="Y922" s="4" t="str">
        <f>IF($A922="","",IF(AND(LEFT($G922,3)="ДОК",$N922&lt;&gt;""),IFERROR(INDEX(Документация!$G$2:$G$57,MATCH($N922,Документация!$F$2:$F$57,0)),$D922),$D922&amp;IF(AND(LEFT($G922,3)&lt;&gt;"ДОК",$N922&lt;&gt;"")," — "&amp;IFERROR(INDEX(МАТЕРИАЛЫ!$C$2:$C$9000,MATCH($N922,МАТЕРИАЛЫ!$L$2:$L$9000,0)),""),"")))</f>
        <v/>
      </c>
      <c r="Z922" t="str">
        <f t="shared" si="104"/>
        <v/>
      </c>
    </row>
    <row r="923" spans="1:26" x14ac:dyDescent="0.3">
      <c r="A923" s="8"/>
      <c r="D923" s="4"/>
      <c r="F923" s="5"/>
      <c r="L923" s="6"/>
      <c r="M923" s="6"/>
      <c r="N923" s="6"/>
      <c r="O923" s="5"/>
      <c r="P923" s="7" t="str">
        <f t="shared" si="98"/>
        <v/>
      </c>
      <c r="Q923" s="7" t="str">
        <f t="shared" si="99"/>
        <v/>
      </c>
      <c r="R923" s="7" t="str">
        <f t="shared" si="100"/>
        <v/>
      </c>
      <c r="S923" s="7" t="str">
        <f>IF($A923="","",IF(AND(LEFT($G923,3)="ДОК",$N923&lt;&gt;""),IFERROR(INDEX(Документация!$E$2:$E$57,MATCH($N923,Документация!$F$2:$F$57,0)),0),N($F923))*(1-MEDIAN(0,N(ДисконтТендер),1)))</f>
        <v/>
      </c>
      <c r="T923" s="7" t="str">
        <f>IF($A923="","",IF(AND(LEFT($G923,3)="ДОК",$N923&lt;&gt;""),0,IF(AND(LEFT($G923,3)&lt;&gt;"ДОК",$N923&lt;&gt;""),IFERROR(INDEX(МАТЕРИАЛЫ!$H$2:$H$9000,MATCH($N923,МАТЕРИАЛЫ!$L$2:$L$9000,0))*IF(INDEX(МАТЕРИАЛЫ!$I$2:$I$9000,MATCH($N923,МАТЕРИАЛЫ!$L$2:$L$9000,0))="USD",КурсUSD,IF(INDEX(МАТЕРИАЛЫ!$I$2:$I$9000,MATCH($N923,МАТЕРИАЛЫ!$L$2:$L$9000,0))="EUR",КурсEUR,IF(INDEX(МАТЕРИАЛЫ!$I$2:$I$9000,MATCH($N923,МАТЕРИАЛЫ!$L$2:$L$9000,0))="CNY",КурсCNY,1)))*(1+N($H923)/100),0),N($O923))*(1-MEDIAN(0,N(ДисконтТендер),1))))</f>
        <v/>
      </c>
      <c r="U923" t="str">
        <f>IF($L923="да",MAX($U$1:$U922)+1,"")</f>
        <v/>
      </c>
      <c r="V923" t="str">
        <f t="shared" si="101"/>
        <v/>
      </c>
      <c r="W923" t="str">
        <f t="shared" si="102"/>
        <v/>
      </c>
      <c r="X923" t="str">
        <f t="shared" si="103"/>
        <v/>
      </c>
      <c r="Y923" s="4" t="str">
        <f>IF($A923="","",IF(AND(LEFT($G923,3)="ДОК",$N923&lt;&gt;""),IFERROR(INDEX(Документация!$G$2:$G$57,MATCH($N923,Документация!$F$2:$F$57,0)),$D923),$D923&amp;IF(AND(LEFT($G923,3)&lt;&gt;"ДОК",$N923&lt;&gt;"")," — "&amp;IFERROR(INDEX(МАТЕРИАЛЫ!$C$2:$C$9000,MATCH($N923,МАТЕРИАЛЫ!$L$2:$L$9000,0)),""),"")))</f>
        <v/>
      </c>
      <c r="Z923" t="str">
        <f t="shared" si="104"/>
        <v/>
      </c>
    </row>
    <row r="924" spans="1:26" x14ac:dyDescent="0.3">
      <c r="A924" s="8"/>
      <c r="D924" s="4"/>
      <c r="F924" s="5"/>
      <c r="L924" s="6"/>
      <c r="M924" s="6"/>
      <c r="N924" s="6"/>
      <c r="O924" s="5"/>
      <c r="P924" s="7" t="str">
        <f t="shared" si="98"/>
        <v/>
      </c>
      <c r="Q924" s="7" t="str">
        <f t="shared" si="99"/>
        <v/>
      </c>
      <c r="R924" s="7" t="str">
        <f t="shared" si="100"/>
        <v/>
      </c>
      <c r="S924" s="7" t="str">
        <f>IF($A924="","",IF(AND(LEFT($G924,3)="ДОК",$N924&lt;&gt;""),IFERROR(INDEX(Документация!$E$2:$E$57,MATCH($N924,Документация!$F$2:$F$57,0)),0),N($F924))*(1-MEDIAN(0,N(ДисконтТендер),1)))</f>
        <v/>
      </c>
      <c r="T924" s="7" t="str">
        <f>IF($A924="","",IF(AND(LEFT($G924,3)="ДОК",$N924&lt;&gt;""),0,IF(AND(LEFT($G924,3)&lt;&gt;"ДОК",$N924&lt;&gt;""),IFERROR(INDEX(МАТЕРИАЛЫ!$H$2:$H$9000,MATCH($N924,МАТЕРИАЛЫ!$L$2:$L$9000,0))*IF(INDEX(МАТЕРИАЛЫ!$I$2:$I$9000,MATCH($N924,МАТЕРИАЛЫ!$L$2:$L$9000,0))="USD",КурсUSD,IF(INDEX(МАТЕРИАЛЫ!$I$2:$I$9000,MATCH($N924,МАТЕРИАЛЫ!$L$2:$L$9000,0))="EUR",КурсEUR,IF(INDEX(МАТЕРИАЛЫ!$I$2:$I$9000,MATCH($N924,МАТЕРИАЛЫ!$L$2:$L$9000,0))="CNY",КурсCNY,1)))*(1+N($H924)/100),0),N($O924))*(1-MEDIAN(0,N(ДисконтТендер),1))))</f>
        <v/>
      </c>
      <c r="U924" t="str">
        <f>IF($L924="да",MAX($U$1:$U923)+1,"")</f>
        <v/>
      </c>
      <c r="V924" t="str">
        <f t="shared" si="101"/>
        <v/>
      </c>
      <c r="W924" t="str">
        <f t="shared" si="102"/>
        <v/>
      </c>
      <c r="X924" t="str">
        <f t="shared" si="103"/>
        <v/>
      </c>
      <c r="Y924" s="4" t="str">
        <f>IF($A924="","",IF(AND(LEFT($G924,3)="ДОК",$N924&lt;&gt;""),IFERROR(INDEX(Документация!$G$2:$G$57,MATCH($N924,Документация!$F$2:$F$57,0)),$D924),$D924&amp;IF(AND(LEFT($G924,3)&lt;&gt;"ДОК",$N924&lt;&gt;"")," — "&amp;IFERROR(INDEX(МАТЕРИАЛЫ!$C$2:$C$9000,MATCH($N924,МАТЕРИАЛЫ!$L$2:$L$9000,0)),""),"")))</f>
        <v/>
      </c>
      <c r="Z924" t="str">
        <f t="shared" si="104"/>
        <v/>
      </c>
    </row>
    <row r="925" spans="1:26" x14ac:dyDescent="0.3">
      <c r="A925" s="8"/>
      <c r="D925" s="4"/>
      <c r="F925" s="5"/>
      <c r="L925" s="6"/>
      <c r="M925" s="6"/>
      <c r="N925" s="6"/>
      <c r="O925" s="5"/>
      <c r="P925" s="7" t="str">
        <f t="shared" si="98"/>
        <v/>
      </c>
      <c r="Q925" s="7" t="str">
        <f t="shared" si="99"/>
        <v/>
      </c>
      <c r="R925" s="7" t="str">
        <f t="shared" si="100"/>
        <v/>
      </c>
      <c r="S925" s="7" t="str">
        <f>IF($A925="","",IF(AND(LEFT($G925,3)="ДОК",$N925&lt;&gt;""),IFERROR(INDEX(Документация!$E$2:$E$57,MATCH($N925,Документация!$F$2:$F$57,0)),0),N($F925))*(1-MEDIAN(0,N(ДисконтТендер),1)))</f>
        <v/>
      </c>
      <c r="T925" s="7" t="str">
        <f>IF($A925="","",IF(AND(LEFT($G925,3)="ДОК",$N925&lt;&gt;""),0,IF(AND(LEFT($G925,3)&lt;&gt;"ДОК",$N925&lt;&gt;""),IFERROR(INDEX(МАТЕРИАЛЫ!$H$2:$H$9000,MATCH($N925,МАТЕРИАЛЫ!$L$2:$L$9000,0))*IF(INDEX(МАТЕРИАЛЫ!$I$2:$I$9000,MATCH($N925,МАТЕРИАЛЫ!$L$2:$L$9000,0))="USD",КурсUSD,IF(INDEX(МАТЕРИАЛЫ!$I$2:$I$9000,MATCH($N925,МАТЕРИАЛЫ!$L$2:$L$9000,0))="EUR",КурсEUR,IF(INDEX(МАТЕРИАЛЫ!$I$2:$I$9000,MATCH($N925,МАТЕРИАЛЫ!$L$2:$L$9000,0))="CNY",КурсCNY,1)))*(1+N($H925)/100),0),N($O925))*(1-MEDIAN(0,N(ДисконтТендер),1))))</f>
        <v/>
      </c>
      <c r="U925" t="str">
        <f>IF($L925="да",MAX($U$1:$U924)+1,"")</f>
        <v/>
      </c>
      <c r="V925" t="str">
        <f t="shared" si="101"/>
        <v/>
      </c>
      <c r="W925" t="str">
        <f t="shared" si="102"/>
        <v/>
      </c>
      <c r="X925" t="str">
        <f t="shared" si="103"/>
        <v/>
      </c>
      <c r="Y925" s="4" t="str">
        <f>IF($A925="","",IF(AND(LEFT($G925,3)="ДОК",$N925&lt;&gt;""),IFERROR(INDEX(Документация!$G$2:$G$57,MATCH($N925,Документация!$F$2:$F$57,0)),$D925),$D925&amp;IF(AND(LEFT($G925,3)&lt;&gt;"ДОК",$N925&lt;&gt;"")," — "&amp;IFERROR(INDEX(МАТЕРИАЛЫ!$C$2:$C$9000,MATCH($N925,МАТЕРИАЛЫ!$L$2:$L$9000,0)),""),"")))</f>
        <v/>
      </c>
      <c r="Z925" t="str">
        <f t="shared" si="104"/>
        <v/>
      </c>
    </row>
    <row r="926" spans="1:26" x14ac:dyDescent="0.3">
      <c r="A926" s="8"/>
      <c r="D926" s="4"/>
      <c r="F926" s="5"/>
      <c r="L926" s="6"/>
      <c r="M926" s="6"/>
      <c r="N926" s="6"/>
      <c r="O926" s="5"/>
      <c r="P926" s="7" t="str">
        <f t="shared" si="98"/>
        <v/>
      </c>
      <c r="Q926" s="7" t="str">
        <f t="shared" si="99"/>
        <v/>
      </c>
      <c r="R926" s="7" t="str">
        <f t="shared" si="100"/>
        <v/>
      </c>
      <c r="S926" s="7" t="str">
        <f>IF($A926="","",IF(AND(LEFT($G926,3)="ДОК",$N926&lt;&gt;""),IFERROR(INDEX(Документация!$E$2:$E$57,MATCH($N926,Документация!$F$2:$F$57,0)),0),N($F926))*(1-MEDIAN(0,N(ДисконтТендер),1)))</f>
        <v/>
      </c>
      <c r="T926" s="7" t="str">
        <f>IF($A926="","",IF(AND(LEFT($G926,3)="ДОК",$N926&lt;&gt;""),0,IF(AND(LEFT($G926,3)&lt;&gt;"ДОК",$N926&lt;&gt;""),IFERROR(INDEX(МАТЕРИАЛЫ!$H$2:$H$9000,MATCH($N926,МАТЕРИАЛЫ!$L$2:$L$9000,0))*IF(INDEX(МАТЕРИАЛЫ!$I$2:$I$9000,MATCH($N926,МАТЕРИАЛЫ!$L$2:$L$9000,0))="USD",КурсUSD,IF(INDEX(МАТЕРИАЛЫ!$I$2:$I$9000,MATCH($N926,МАТЕРИАЛЫ!$L$2:$L$9000,0))="EUR",КурсEUR,IF(INDEX(МАТЕРИАЛЫ!$I$2:$I$9000,MATCH($N926,МАТЕРИАЛЫ!$L$2:$L$9000,0))="CNY",КурсCNY,1)))*(1+N($H926)/100),0),N($O926))*(1-MEDIAN(0,N(ДисконтТендер),1))))</f>
        <v/>
      </c>
      <c r="U926" t="str">
        <f>IF($L926="да",MAX($U$1:$U925)+1,"")</f>
        <v/>
      </c>
      <c r="V926" t="str">
        <f t="shared" si="101"/>
        <v/>
      </c>
      <c r="W926" t="str">
        <f t="shared" si="102"/>
        <v/>
      </c>
      <c r="X926" t="str">
        <f t="shared" si="103"/>
        <v/>
      </c>
      <c r="Y926" s="4" t="str">
        <f>IF($A926="","",IF(AND(LEFT($G926,3)="ДОК",$N926&lt;&gt;""),IFERROR(INDEX(Документация!$G$2:$G$57,MATCH($N926,Документация!$F$2:$F$57,0)),$D926),$D926&amp;IF(AND(LEFT($G926,3)&lt;&gt;"ДОК",$N926&lt;&gt;"")," — "&amp;IFERROR(INDEX(МАТЕРИАЛЫ!$C$2:$C$9000,MATCH($N926,МАТЕРИАЛЫ!$L$2:$L$9000,0)),""),"")))</f>
        <v/>
      </c>
      <c r="Z926" t="str">
        <f t="shared" si="104"/>
        <v/>
      </c>
    </row>
    <row r="927" spans="1:26" x14ac:dyDescent="0.3">
      <c r="A927" s="8"/>
      <c r="D927" s="4"/>
      <c r="F927" s="5"/>
      <c r="L927" s="6"/>
      <c r="M927" s="6"/>
      <c r="N927" s="6"/>
      <c r="O927" s="5"/>
      <c r="P927" s="7" t="str">
        <f t="shared" si="98"/>
        <v/>
      </c>
      <c r="Q927" s="7" t="str">
        <f t="shared" si="99"/>
        <v/>
      </c>
      <c r="R927" s="7" t="str">
        <f t="shared" si="100"/>
        <v/>
      </c>
      <c r="S927" s="7" t="str">
        <f>IF($A927="","",IF(AND(LEFT($G927,3)="ДОК",$N927&lt;&gt;""),IFERROR(INDEX(Документация!$E$2:$E$57,MATCH($N927,Документация!$F$2:$F$57,0)),0),N($F927))*(1-MEDIAN(0,N(ДисконтТендер),1)))</f>
        <v/>
      </c>
      <c r="T927" s="7" t="str">
        <f>IF($A927="","",IF(AND(LEFT($G927,3)="ДОК",$N927&lt;&gt;""),0,IF(AND(LEFT($G927,3)&lt;&gt;"ДОК",$N927&lt;&gt;""),IFERROR(INDEX(МАТЕРИАЛЫ!$H$2:$H$9000,MATCH($N927,МАТЕРИАЛЫ!$L$2:$L$9000,0))*IF(INDEX(МАТЕРИАЛЫ!$I$2:$I$9000,MATCH($N927,МАТЕРИАЛЫ!$L$2:$L$9000,0))="USD",КурсUSD,IF(INDEX(МАТЕРИАЛЫ!$I$2:$I$9000,MATCH($N927,МАТЕРИАЛЫ!$L$2:$L$9000,0))="EUR",КурсEUR,IF(INDEX(МАТЕРИАЛЫ!$I$2:$I$9000,MATCH($N927,МАТЕРИАЛЫ!$L$2:$L$9000,0))="CNY",КурсCNY,1)))*(1+N($H927)/100),0),N($O927))*(1-MEDIAN(0,N(ДисконтТендер),1))))</f>
        <v/>
      </c>
      <c r="U927" t="str">
        <f>IF($L927="да",MAX($U$1:$U926)+1,"")</f>
        <v/>
      </c>
      <c r="V927" t="str">
        <f t="shared" si="101"/>
        <v/>
      </c>
      <c r="W927" t="str">
        <f t="shared" si="102"/>
        <v/>
      </c>
      <c r="X927" t="str">
        <f t="shared" si="103"/>
        <v/>
      </c>
      <c r="Y927" s="4" t="str">
        <f>IF($A927="","",IF(AND(LEFT($G927,3)="ДОК",$N927&lt;&gt;""),IFERROR(INDEX(Документация!$G$2:$G$57,MATCH($N927,Документация!$F$2:$F$57,0)),$D927),$D927&amp;IF(AND(LEFT($G927,3)&lt;&gt;"ДОК",$N927&lt;&gt;"")," — "&amp;IFERROR(INDEX(МАТЕРИАЛЫ!$C$2:$C$9000,MATCH($N927,МАТЕРИАЛЫ!$L$2:$L$9000,0)),""),"")))</f>
        <v/>
      </c>
      <c r="Z927" t="str">
        <f t="shared" si="104"/>
        <v/>
      </c>
    </row>
    <row r="928" spans="1:26" x14ac:dyDescent="0.3">
      <c r="A928" s="8"/>
      <c r="D928" s="4"/>
      <c r="F928" s="5"/>
      <c r="L928" s="6"/>
      <c r="M928" s="6"/>
      <c r="N928" s="6"/>
      <c r="O928" s="5"/>
      <c r="P928" s="7" t="str">
        <f t="shared" si="98"/>
        <v/>
      </c>
      <c r="Q928" s="7" t="str">
        <f t="shared" si="99"/>
        <v/>
      </c>
      <c r="R928" s="7" t="str">
        <f t="shared" si="100"/>
        <v/>
      </c>
      <c r="S928" s="7" t="str">
        <f>IF($A928="","",IF(AND(LEFT($G928,3)="ДОК",$N928&lt;&gt;""),IFERROR(INDEX(Документация!$E$2:$E$57,MATCH($N928,Документация!$F$2:$F$57,0)),0),N($F928))*(1-MEDIAN(0,N(ДисконтТендер),1)))</f>
        <v/>
      </c>
      <c r="T928" s="7" t="str">
        <f>IF($A928="","",IF(AND(LEFT($G928,3)="ДОК",$N928&lt;&gt;""),0,IF(AND(LEFT($G928,3)&lt;&gt;"ДОК",$N928&lt;&gt;""),IFERROR(INDEX(МАТЕРИАЛЫ!$H$2:$H$9000,MATCH($N928,МАТЕРИАЛЫ!$L$2:$L$9000,0))*IF(INDEX(МАТЕРИАЛЫ!$I$2:$I$9000,MATCH($N928,МАТЕРИАЛЫ!$L$2:$L$9000,0))="USD",КурсUSD,IF(INDEX(МАТЕРИАЛЫ!$I$2:$I$9000,MATCH($N928,МАТЕРИАЛЫ!$L$2:$L$9000,0))="EUR",КурсEUR,IF(INDEX(МАТЕРИАЛЫ!$I$2:$I$9000,MATCH($N928,МАТЕРИАЛЫ!$L$2:$L$9000,0))="CNY",КурсCNY,1)))*(1+N($H928)/100),0),N($O928))*(1-MEDIAN(0,N(ДисконтТендер),1))))</f>
        <v/>
      </c>
      <c r="U928" t="str">
        <f>IF($L928="да",MAX($U$1:$U927)+1,"")</f>
        <v/>
      </c>
      <c r="V928" t="str">
        <f t="shared" si="101"/>
        <v/>
      </c>
      <c r="W928" t="str">
        <f t="shared" si="102"/>
        <v/>
      </c>
      <c r="X928" t="str">
        <f t="shared" si="103"/>
        <v/>
      </c>
      <c r="Y928" s="4" t="str">
        <f>IF($A928="","",IF(AND(LEFT($G928,3)="ДОК",$N928&lt;&gt;""),IFERROR(INDEX(Документация!$G$2:$G$57,MATCH($N928,Документация!$F$2:$F$57,0)),$D928),$D928&amp;IF(AND(LEFT($G928,3)&lt;&gt;"ДОК",$N928&lt;&gt;"")," — "&amp;IFERROR(INDEX(МАТЕРИАЛЫ!$C$2:$C$9000,MATCH($N928,МАТЕРИАЛЫ!$L$2:$L$9000,0)),""),"")))</f>
        <v/>
      </c>
      <c r="Z928" t="str">
        <f t="shared" si="104"/>
        <v/>
      </c>
    </row>
    <row r="929" spans="1:26" x14ac:dyDescent="0.3">
      <c r="A929" s="8"/>
      <c r="D929" s="4"/>
      <c r="F929" s="5"/>
      <c r="L929" s="6"/>
      <c r="M929" s="6"/>
      <c r="N929" s="6"/>
      <c r="O929" s="5"/>
      <c r="P929" s="7" t="str">
        <f t="shared" si="98"/>
        <v/>
      </c>
      <c r="Q929" s="7" t="str">
        <f t="shared" si="99"/>
        <v/>
      </c>
      <c r="R929" s="7" t="str">
        <f t="shared" si="100"/>
        <v/>
      </c>
      <c r="S929" s="7" t="str">
        <f>IF($A929="","",IF(AND(LEFT($G929,3)="ДОК",$N929&lt;&gt;""),IFERROR(INDEX(Документация!$E$2:$E$57,MATCH($N929,Документация!$F$2:$F$57,0)),0),N($F929))*(1-MEDIAN(0,N(ДисконтТендер),1)))</f>
        <v/>
      </c>
      <c r="T929" s="7" t="str">
        <f>IF($A929="","",IF(AND(LEFT($G929,3)="ДОК",$N929&lt;&gt;""),0,IF(AND(LEFT($G929,3)&lt;&gt;"ДОК",$N929&lt;&gt;""),IFERROR(INDEX(МАТЕРИАЛЫ!$H$2:$H$9000,MATCH($N929,МАТЕРИАЛЫ!$L$2:$L$9000,0))*IF(INDEX(МАТЕРИАЛЫ!$I$2:$I$9000,MATCH($N929,МАТЕРИАЛЫ!$L$2:$L$9000,0))="USD",КурсUSD,IF(INDEX(МАТЕРИАЛЫ!$I$2:$I$9000,MATCH($N929,МАТЕРИАЛЫ!$L$2:$L$9000,0))="EUR",КурсEUR,IF(INDEX(МАТЕРИАЛЫ!$I$2:$I$9000,MATCH($N929,МАТЕРИАЛЫ!$L$2:$L$9000,0))="CNY",КурсCNY,1)))*(1+N($H929)/100),0),N($O929))*(1-MEDIAN(0,N(ДисконтТендер),1))))</f>
        <v/>
      </c>
      <c r="U929" t="str">
        <f>IF($L929="да",MAX($U$1:$U928)+1,"")</f>
        <v/>
      </c>
      <c r="V929" t="str">
        <f t="shared" si="101"/>
        <v/>
      </c>
      <c r="W929" t="str">
        <f t="shared" si="102"/>
        <v/>
      </c>
      <c r="X929" t="str">
        <f t="shared" si="103"/>
        <v/>
      </c>
      <c r="Y929" s="4" t="str">
        <f>IF($A929="","",IF(AND(LEFT($G929,3)="ДОК",$N929&lt;&gt;""),IFERROR(INDEX(Документация!$G$2:$G$57,MATCH($N929,Документация!$F$2:$F$57,0)),$D929),$D929&amp;IF(AND(LEFT($G929,3)&lt;&gt;"ДОК",$N929&lt;&gt;"")," — "&amp;IFERROR(INDEX(МАТЕРИАЛЫ!$C$2:$C$9000,MATCH($N929,МАТЕРИАЛЫ!$L$2:$L$9000,0)),""),"")))</f>
        <v/>
      </c>
      <c r="Z929" t="str">
        <f t="shared" si="104"/>
        <v/>
      </c>
    </row>
    <row r="930" spans="1:26" x14ac:dyDescent="0.3">
      <c r="A930" s="8"/>
      <c r="D930" s="4"/>
      <c r="F930" s="5"/>
      <c r="L930" s="6"/>
      <c r="M930" s="6"/>
      <c r="N930" s="6"/>
      <c r="O930" s="5"/>
      <c r="P930" s="7" t="str">
        <f t="shared" si="98"/>
        <v/>
      </c>
      <c r="Q930" s="7" t="str">
        <f t="shared" si="99"/>
        <v/>
      </c>
      <c r="R930" s="7" t="str">
        <f t="shared" si="100"/>
        <v/>
      </c>
      <c r="S930" s="7" t="str">
        <f>IF($A930="","",IF(AND(LEFT($G930,3)="ДОК",$N930&lt;&gt;""),IFERROR(INDEX(Документация!$E$2:$E$57,MATCH($N930,Документация!$F$2:$F$57,0)),0),N($F930))*(1-MEDIAN(0,N(ДисконтТендер),1)))</f>
        <v/>
      </c>
      <c r="T930" s="7" t="str">
        <f>IF($A930="","",IF(AND(LEFT($G930,3)="ДОК",$N930&lt;&gt;""),0,IF(AND(LEFT($G930,3)&lt;&gt;"ДОК",$N930&lt;&gt;""),IFERROR(INDEX(МАТЕРИАЛЫ!$H$2:$H$9000,MATCH($N930,МАТЕРИАЛЫ!$L$2:$L$9000,0))*IF(INDEX(МАТЕРИАЛЫ!$I$2:$I$9000,MATCH($N930,МАТЕРИАЛЫ!$L$2:$L$9000,0))="USD",КурсUSD,IF(INDEX(МАТЕРИАЛЫ!$I$2:$I$9000,MATCH($N930,МАТЕРИАЛЫ!$L$2:$L$9000,0))="EUR",КурсEUR,IF(INDEX(МАТЕРИАЛЫ!$I$2:$I$9000,MATCH($N930,МАТЕРИАЛЫ!$L$2:$L$9000,0))="CNY",КурсCNY,1)))*(1+N($H930)/100),0),N($O930))*(1-MEDIAN(0,N(ДисконтТендер),1))))</f>
        <v/>
      </c>
      <c r="U930" t="str">
        <f>IF($L930="да",MAX($U$1:$U929)+1,"")</f>
        <v/>
      </c>
      <c r="V930" t="str">
        <f t="shared" si="101"/>
        <v/>
      </c>
      <c r="W930" t="str">
        <f t="shared" si="102"/>
        <v/>
      </c>
      <c r="X930" t="str">
        <f t="shared" si="103"/>
        <v/>
      </c>
      <c r="Y930" s="4" t="str">
        <f>IF($A930="","",IF(AND(LEFT($G930,3)="ДОК",$N930&lt;&gt;""),IFERROR(INDEX(Документация!$G$2:$G$57,MATCH($N930,Документация!$F$2:$F$57,0)),$D930),$D930&amp;IF(AND(LEFT($G930,3)&lt;&gt;"ДОК",$N930&lt;&gt;"")," — "&amp;IFERROR(INDEX(МАТЕРИАЛЫ!$C$2:$C$9000,MATCH($N930,МАТЕРИАЛЫ!$L$2:$L$9000,0)),""),"")))</f>
        <v/>
      </c>
      <c r="Z930" t="str">
        <f t="shared" si="104"/>
        <v/>
      </c>
    </row>
    <row r="931" spans="1:26" x14ac:dyDescent="0.3">
      <c r="A931" s="8"/>
      <c r="D931" s="4"/>
      <c r="F931" s="5"/>
      <c r="L931" s="6"/>
      <c r="M931" s="6"/>
      <c r="N931" s="6"/>
      <c r="O931" s="5"/>
      <c r="P931" s="7" t="str">
        <f t="shared" si="98"/>
        <v/>
      </c>
      <c r="Q931" s="7" t="str">
        <f t="shared" si="99"/>
        <v/>
      </c>
      <c r="R931" s="7" t="str">
        <f t="shared" si="100"/>
        <v/>
      </c>
      <c r="S931" s="7" t="str">
        <f>IF($A931="","",IF(AND(LEFT($G931,3)="ДОК",$N931&lt;&gt;""),IFERROR(INDEX(Документация!$E$2:$E$57,MATCH($N931,Документация!$F$2:$F$57,0)),0),N($F931))*(1-MEDIAN(0,N(ДисконтТендер),1)))</f>
        <v/>
      </c>
      <c r="T931" s="7" t="str">
        <f>IF($A931="","",IF(AND(LEFT($G931,3)="ДОК",$N931&lt;&gt;""),0,IF(AND(LEFT($G931,3)&lt;&gt;"ДОК",$N931&lt;&gt;""),IFERROR(INDEX(МАТЕРИАЛЫ!$H$2:$H$9000,MATCH($N931,МАТЕРИАЛЫ!$L$2:$L$9000,0))*IF(INDEX(МАТЕРИАЛЫ!$I$2:$I$9000,MATCH($N931,МАТЕРИАЛЫ!$L$2:$L$9000,0))="USD",КурсUSD,IF(INDEX(МАТЕРИАЛЫ!$I$2:$I$9000,MATCH($N931,МАТЕРИАЛЫ!$L$2:$L$9000,0))="EUR",КурсEUR,IF(INDEX(МАТЕРИАЛЫ!$I$2:$I$9000,MATCH($N931,МАТЕРИАЛЫ!$L$2:$L$9000,0))="CNY",КурсCNY,1)))*(1+N($H931)/100),0),N($O931))*(1-MEDIAN(0,N(ДисконтТендер),1))))</f>
        <v/>
      </c>
      <c r="U931" t="str">
        <f>IF($L931="да",MAX($U$1:$U930)+1,"")</f>
        <v/>
      </c>
      <c r="V931" t="str">
        <f t="shared" si="101"/>
        <v/>
      </c>
      <c r="W931" t="str">
        <f t="shared" si="102"/>
        <v/>
      </c>
      <c r="X931" t="str">
        <f t="shared" si="103"/>
        <v/>
      </c>
      <c r="Y931" s="4" t="str">
        <f>IF($A931="","",IF(AND(LEFT($G931,3)="ДОК",$N931&lt;&gt;""),IFERROR(INDEX(Документация!$G$2:$G$57,MATCH($N931,Документация!$F$2:$F$57,0)),$D931),$D931&amp;IF(AND(LEFT($G931,3)&lt;&gt;"ДОК",$N931&lt;&gt;"")," — "&amp;IFERROR(INDEX(МАТЕРИАЛЫ!$C$2:$C$9000,MATCH($N931,МАТЕРИАЛЫ!$L$2:$L$9000,0)),""),"")))</f>
        <v/>
      </c>
      <c r="Z931" t="str">
        <f t="shared" si="104"/>
        <v/>
      </c>
    </row>
    <row r="932" spans="1:26" x14ac:dyDescent="0.3">
      <c r="A932" s="8"/>
      <c r="D932" s="4"/>
      <c r="F932" s="5"/>
      <c r="L932" s="6"/>
      <c r="M932" s="6"/>
      <c r="N932" s="6"/>
      <c r="O932" s="5"/>
      <c r="P932" s="7" t="str">
        <f t="shared" si="98"/>
        <v/>
      </c>
      <c r="Q932" s="7" t="str">
        <f t="shared" si="99"/>
        <v/>
      </c>
      <c r="R932" s="7" t="str">
        <f t="shared" si="100"/>
        <v/>
      </c>
      <c r="S932" s="7" t="str">
        <f>IF($A932="","",IF(AND(LEFT($G932,3)="ДОК",$N932&lt;&gt;""),IFERROR(INDEX(Документация!$E$2:$E$57,MATCH($N932,Документация!$F$2:$F$57,0)),0),N($F932))*(1-MEDIAN(0,N(ДисконтТендер),1)))</f>
        <v/>
      </c>
      <c r="T932" s="7" t="str">
        <f>IF($A932="","",IF(AND(LEFT($G932,3)="ДОК",$N932&lt;&gt;""),0,IF(AND(LEFT($G932,3)&lt;&gt;"ДОК",$N932&lt;&gt;""),IFERROR(INDEX(МАТЕРИАЛЫ!$H$2:$H$9000,MATCH($N932,МАТЕРИАЛЫ!$L$2:$L$9000,0))*IF(INDEX(МАТЕРИАЛЫ!$I$2:$I$9000,MATCH($N932,МАТЕРИАЛЫ!$L$2:$L$9000,0))="USD",КурсUSD,IF(INDEX(МАТЕРИАЛЫ!$I$2:$I$9000,MATCH($N932,МАТЕРИАЛЫ!$L$2:$L$9000,0))="EUR",КурсEUR,IF(INDEX(МАТЕРИАЛЫ!$I$2:$I$9000,MATCH($N932,МАТЕРИАЛЫ!$L$2:$L$9000,0))="CNY",КурсCNY,1)))*(1+N($H932)/100),0),N($O932))*(1-MEDIAN(0,N(ДисконтТендер),1))))</f>
        <v/>
      </c>
      <c r="U932" t="str">
        <f>IF($L932="да",MAX($U$1:$U931)+1,"")</f>
        <v/>
      </c>
      <c r="V932" t="str">
        <f t="shared" si="101"/>
        <v/>
      </c>
      <c r="W932" t="str">
        <f t="shared" si="102"/>
        <v/>
      </c>
      <c r="X932" t="str">
        <f t="shared" si="103"/>
        <v/>
      </c>
      <c r="Y932" s="4" t="str">
        <f>IF($A932="","",IF(AND(LEFT($G932,3)="ДОК",$N932&lt;&gt;""),IFERROR(INDEX(Документация!$G$2:$G$57,MATCH($N932,Документация!$F$2:$F$57,0)),$D932),$D932&amp;IF(AND(LEFT($G932,3)&lt;&gt;"ДОК",$N932&lt;&gt;"")," — "&amp;IFERROR(INDEX(МАТЕРИАЛЫ!$C$2:$C$9000,MATCH($N932,МАТЕРИАЛЫ!$L$2:$L$9000,0)),""),"")))</f>
        <v/>
      </c>
      <c r="Z932" t="str">
        <f t="shared" si="104"/>
        <v/>
      </c>
    </row>
    <row r="933" spans="1:26" x14ac:dyDescent="0.3">
      <c r="A933" s="8"/>
      <c r="D933" s="4"/>
      <c r="F933" s="5"/>
      <c r="L933" s="6"/>
      <c r="M933" s="6"/>
      <c r="N933" s="6"/>
      <c r="O933" s="5"/>
      <c r="P933" s="7" t="str">
        <f t="shared" si="98"/>
        <v/>
      </c>
      <c r="Q933" s="7" t="str">
        <f t="shared" si="99"/>
        <v/>
      </c>
      <c r="R933" s="7" t="str">
        <f t="shared" si="100"/>
        <v/>
      </c>
      <c r="S933" s="7" t="str">
        <f>IF($A933="","",IF(AND(LEFT($G933,3)="ДОК",$N933&lt;&gt;""),IFERROR(INDEX(Документация!$E$2:$E$57,MATCH($N933,Документация!$F$2:$F$57,0)),0),N($F933))*(1-MEDIAN(0,N(ДисконтТендер),1)))</f>
        <v/>
      </c>
      <c r="T933" s="7" t="str">
        <f>IF($A933="","",IF(AND(LEFT($G933,3)="ДОК",$N933&lt;&gt;""),0,IF(AND(LEFT($G933,3)&lt;&gt;"ДОК",$N933&lt;&gt;""),IFERROR(INDEX(МАТЕРИАЛЫ!$H$2:$H$9000,MATCH($N933,МАТЕРИАЛЫ!$L$2:$L$9000,0))*IF(INDEX(МАТЕРИАЛЫ!$I$2:$I$9000,MATCH($N933,МАТЕРИАЛЫ!$L$2:$L$9000,0))="USD",КурсUSD,IF(INDEX(МАТЕРИАЛЫ!$I$2:$I$9000,MATCH($N933,МАТЕРИАЛЫ!$L$2:$L$9000,0))="EUR",КурсEUR,IF(INDEX(МАТЕРИАЛЫ!$I$2:$I$9000,MATCH($N933,МАТЕРИАЛЫ!$L$2:$L$9000,0))="CNY",КурсCNY,1)))*(1+N($H933)/100),0),N($O933))*(1-MEDIAN(0,N(ДисконтТендер),1))))</f>
        <v/>
      </c>
      <c r="U933" t="str">
        <f>IF($L933="да",MAX($U$1:$U932)+1,"")</f>
        <v/>
      </c>
      <c r="V933" t="str">
        <f t="shared" si="101"/>
        <v/>
      </c>
      <c r="W933" t="str">
        <f t="shared" si="102"/>
        <v/>
      </c>
      <c r="X933" t="str">
        <f t="shared" si="103"/>
        <v/>
      </c>
      <c r="Y933" s="4" t="str">
        <f>IF($A933="","",IF(AND(LEFT($G933,3)="ДОК",$N933&lt;&gt;""),IFERROR(INDEX(Документация!$G$2:$G$57,MATCH($N933,Документация!$F$2:$F$57,0)),$D933),$D933&amp;IF(AND(LEFT($G933,3)&lt;&gt;"ДОК",$N933&lt;&gt;"")," — "&amp;IFERROR(INDEX(МАТЕРИАЛЫ!$C$2:$C$9000,MATCH($N933,МАТЕРИАЛЫ!$L$2:$L$9000,0)),""),"")))</f>
        <v/>
      </c>
      <c r="Z933" t="str">
        <f t="shared" si="104"/>
        <v/>
      </c>
    </row>
    <row r="934" spans="1:26" x14ac:dyDescent="0.3">
      <c r="A934" s="8"/>
      <c r="D934" s="4"/>
      <c r="F934" s="5"/>
      <c r="L934" s="6"/>
      <c r="M934" s="6"/>
      <c r="N934" s="6"/>
      <c r="O934" s="5"/>
      <c r="P934" s="7" t="str">
        <f t="shared" si="98"/>
        <v/>
      </c>
      <c r="Q934" s="7" t="str">
        <f t="shared" si="99"/>
        <v/>
      </c>
      <c r="R934" s="7" t="str">
        <f t="shared" si="100"/>
        <v/>
      </c>
      <c r="S934" s="7" t="str">
        <f>IF($A934="","",IF(AND(LEFT($G934,3)="ДОК",$N934&lt;&gt;""),IFERROR(INDEX(Документация!$E$2:$E$57,MATCH($N934,Документация!$F$2:$F$57,0)),0),N($F934))*(1-MEDIAN(0,N(ДисконтТендер),1)))</f>
        <v/>
      </c>
      <c r="T934" s="7" t="str">
        <f>IF($A934="","",IF(AND(LEFT($G934,3)="ДОК",$N934&lt;&gt;""),0,IF(AND(LEFT($G934,3)&lt;&gt;"ДОК",$N934&lt;&gt;""),IFERROR(INDEX(МАТЕРИАЛЫ!$H$2:$H$9000,MATCH($N934,МАТЕРИАЛЫ!$L$2:$L$9000,0))*IF(INDEX(МАТЕРИАЛЫ!$I$2:$I$9000,MATCH($N934,МАТЕРИАЛЫ!$L$2:$L$9000,0))="USD",КурсUSD,IF(INDEX(МАТЕРИАЛЫ!$I$2:$I$9000,MATCH($N934,МАТЕРИАЛЫ!$L$2:$L$9000,0))="EUR",КурсEUR,IF(INDEX(МАТЕРИАЛЫ!$I$2:$I$9000,MATCH($N934,МАТЕРИАЛЫ!$L$2:$L$9000,0))="CNY",КурсCNY,1)))*(1+N($H934)/100),0),N($O934))*(1-MEDIAN(0,N(ДисконтТендер),1))))</f>
        <v/>
      </c>
      <c r="U934" t="str">
        <f>IF($L934="да",MAX($U$1:$U933)+1,"")</f>
        <v/>
      </c>
      <c r="V934" t="str">
        <f t="shared" si="101"/>
        <v/>
      </c>
      <c r="W934" t="str">
        <f t="shared" si="102"/>
        <v/>
      </c>
      <c r="X934" t="str">
        <f t="shared" si="103"/>
        <v/>
      </c>
      <c r="Y934" s="4" t="str">
        <f>IF($A934="","",IF(AND(LEFT($G934,3)="ДОК",$N934&lt;&gt;""),IFERROR(INDEX(Документация!$G$2:$G$57,MATCH($N934,Документация!$F$2:$F$57,0)),$D934),$D934&amp;IF(AND(LEFT($G934,3)&lt;&gt;"ДОК",$N934&lt;&gt;"")," — "&amp;IFERROR(INDEX(МАТЕРИАЛЫ!$C$2:$C$9000,MATCH($N934,МАТЕРИАЛЫ!$L$2:$L$9000,0)),""),"")))</f>
        <v/>
      </c>
      <c r="Z934" t="str">
        <f t="shared" si="104"/>
        <v/>
      </c>
    </row>
    <row r="935" spans="1:26" x14ac:dyDescent="0.3">
      <c r="A935" s="8"/>
      <c r="D935" s="4"/>
      <c r="F935" s="5"/>
      <c r="L935" s="6"/>
      <c r="M935" s="6"/>
      <c r="N935" s="6"/>
      <c r="O935" s="5"/>
      <c r="P935" s="7" t="str">
        <f t="shared" si="98"/>
        <v/>
      </c>
      <c r="Q935" s="7" t="str">
        <f t="shared" si="99"/>
        <v/>
      </c>
      <c r="R935" s="7" t="str">
        <f t="shared" si="100"/>
        <v/>
      </c>
      <c r="S935" s="7" t="str">
        <f>IF($A935="","",IF(AND(LEFT($G935,3)="ДОК",$N935&lt;&gt;""),IFERROR(INDEX(Документация!$E$2:$E$57,MATCH($N935,Документация!$F$2:$F$57,0)),0),N($F935))*(1-MEDIAN(0,N(ДисконтТендер),1)))</f>
        <v/>
      </c>
      <c r="T935" s="7" t="str">
        <f>IF($A935="","",IF(AND(LEFT($G935,3)="ДОК",$N935&lt;&gt;""),0,IF(AND(LEFT($G935,3)&lt;&gt;"ДОК",$N935&lt;&gt;""),IFERROR(INDEX(МАТЕРИАЛЫ!$H$2:$H$9000,MATCH($N935,МАТЕРИАЛЫ!$L$2:$L$9000,0))*IF(INDEX(МАТЕРИАЛЫ!$I$2:$I$9000,MATCH($N935,МАТЕРИАЛЫ!$L$2:$L$9000,0))="USD",КурсUSD,IF(INDEX(МАТЕРИАЛЫ!$I$2:$I$9000,MATCH($N935,МАТЕРИАЛЫ!$L$2:$L$9000,0))="EUR",КурсEUR,IF(INDEX(МАТЕРИАЛЫ!$I$2:$I$9000,MATCH($N935,МАТЕРИАЛЫ!$L$2:$L$9000,0))="CNY",КурсCNY,1)))*(1+N($H935)/100),0),N($O935))*(1-MEDIAN(0,N(ДисконтТендер),1))))</f>
        <v/>
      </c>
      <c r="U935" t="str">
        <f>IF($L935="да",MAX($U$1:$U934)+1,"")</f>
        <v/>
      </c>
      <c r="V935" t="str">
        <f t="shared" si="101"/>
        <v/>
      </c>
      <c r="W935" t="str">
        <f t="shared" si="102"/>
        <v/>
      </c>
      <c r="X935" t="str">
        <f t="shared" si="103"/>
        <v/>
      </c>
      <c r="Y935" s="4" t="str">
        <f>IF($A935="","",IF(AND(LEFT($G935,3)="ДОК",$N935&lt;&gt;""),IFERROR(INDEX(Документация!$G$2:$G$57,MATCH($N935,Документация!$F$2:$F$57,0)),$D935),$D935&amp;IF(AND(LEFT($G935,3)&lt;&gt;"ДОК",$N935&lt;&gt;"")," — "&amp;IFERROR(INDEX(МАТЕРИАЛЫ!$C$2:$C$9000,MATCH($N935,МАТЕРИАЛЫ!$L$2:$L$9000,0)),""),"")))</f>
        <v/>
      </c>
      <c r="Z935" t="str">
        <f t="shared" si="104"/>
        <v/>
      </c>
    </row>
    <row r="936" spans="1:26" x14ac:dyDescent="0.3">
      <c r="A936" s="8"/>
      <c r="D936" s="4"/>
      <c r="F936" s="5"/>
      <c r="L936" s="6"/>
      <c r="M936" s="6"/>
      <c r="N936" s="6"/>
      <c r="O936" s="5"/>
      <c r="P936" s="7" t="str">
        <f t="shared" si="98"/>
        <v/>
      </c>
      <c r="Q936" s="7" t="str">
        <f t="shared" si="99"/>
        <v/>
      </c>
      <c r="R936" s="7" t="str">
        <f t="shared" si="100"/>
        <v/>
      </c>
      <c r="S936" s="7" t="str">
        <f>IF($A936="","",IF(AND(LEFT($G936,3)="ДОК",$N936&lt;&gt;""),IFERROR(INDEX(Документация!$E$2:$E$57,MATCH($N936,Документация!$F$2:$F$57,0)),0),N($F936))*(1-MEDIAN(0,N(ДисконтТендер),1)))</f>
        <v/>
      </c>
      <c r="T936" s="7" t="str">
        <f>IF($A936="","",IF(AND(LEFT($G936,3)="ДОК",$N936&lt;&gt;""),0,IF(AND(LEFT($G936,3)&lt;&gt;"ДОК",$N936&lt;&gt;""),IFERROR(INDEX(МАТЕРИАЛЫ!$H$2:$H$9000,MATCH($N936,МАТЕРИАЛЫ!$L$2:$L$9000,0))*IF(INDEX(МАТЕРИАЛЫ!$I$2:$I$9000,MATCH($N936,МАТЕРИАЛЫ!$L$2:$L$9000,0))="USD",КурсUSD,IF(INDEX(МАТЕРИАЛЫ!$I$2:$I$9000,MATCH($N936,МАТЕРИАЛЫ!$L$2:$L$9000,0))="EUR",КурсEUR,IF(INDEX(МАТЕРИАЛЫ!$I$2:$I$9000,MATCH($N936,МАТЕРИАЛЫ!$L$2:$L$9000,0))="CNY",КурсCNY,1)))*(1+N($H936)/100),0),N($O936))*(1-MEDIAN(0,N(ДисконтТендер),1))))</f>
        <v/>
      </c>
      <c r="U936" t="str">
        <f>IF($L936="да",MAX($U$1:$U935)+1,"")</f>
        <v/>
      </c>
      <c r="V936" t="str">
        <f t="shared" si="101"/>
        <v/>
      </c>
      <c r="W936" t="str">
        <f t="shared" si="102"/>
        <v/>
      </c>
      <c r="X936" t="str">
        <f t="shared" si="103"/>
        <v/>
      </c>
      <c r="Y936" s="4" t="str">
        <f>IF($A936="","",IF(AND(LEFT($G936,3)="ДОК",$N936&lt;&gt;""),IFERROR(INDEX(Документация!$G$2:$G$57,MATCH($N936,Документация!$F$2:$F$57,0)),$D936),$D936&amp;IF(AND(LEFT($G936,3)&lt;&gt;"ДОК",$N936&lt;&gt;"")," — "&amp;IFERROR(INDEX(МАТЕРИАЛЫ!$C$2:$C$9000,MATCH($N936,МАТЕРИАЛЫ!$L$2:$L$9000,0)),""),"")))</f>
        <v/>
      </c>
      <c r="Z936" t="str">
        <f t="shared" si="104"/>
        <v/>
      </c>
    </row>
    <row r="937" spans="1:26" x14ac:dyDescent="0.3">
      <c r="A937" s="8"/>
      <c r="D937" s="4"/>
      <c r="F937" s="5"/>
      <c r="L937" s="6"/>
      <c r="M937" s="6"/>
      <c r="N937" s="6"/>
      <c r="O937" s="5"/>
      <c r="P937" s="7" t="str">
        <f t="shared" si="98"/>
        <v/>
      </c>
      <c r="Q937" s="7" t="str">
        <f t="shared" si="99"/>
        <v/>
      </c>
      <c r="R937" s="7" t="str">
        <f t="shared" si="100"/>
        <v/>
      </c>
      <c r="S937" s="7" t="str">
        <f>IF($A937="","",IF(AND(LEFT($G937,3)="ДОК",$N937&lt;&gt;""),IFERROR(INDEX(Документация!$E$2:$E$57,MATCH($N937,Документация!$F$2:$F$57,0)),0),N($F937))*(1-MEDIAN(0,N(ДисконтТендер),1)))</f>
        <v/>
      </c>
      <c r="T937" s="7" t="str">
        <f>IF($A937="","",IF(AND(LEFT($G937,3)="ДОК",$N937&lt;&gt;""),0,IF(AND(LEFT($G937,3)&lt;&gt;"ДОК",$N937&lt;&gt;""),IFERROR(INDEX(МАТЕРИАЛЫ!$H$2:$H$9000,MATCH($N937,МАТЕРИАЛЫ!$L$2:$L$9000,0))*IF(INDEX(МАТЕРИАЛЫ!$I$2:$I$9000,MATCH($N937,МАТЕРИАЛЫ!$L$2:$L$9000,0))="USD",КурсUSD,IF(INDEX(МАТЕРИАЛЫ!$I$2:$I$9000,MATCH($N937,МАТЕРИАЛЫ!$L$2:$L$9000,0))="EUR",КурсEUR,IF(INDEX(МАТЕРИАЛЫ!$I$2:$I$9000,MATCH($N937,МАТЕРИАЛЫ!$L$2:$L$9000,0))="CNY",КурсCNY,1)))*(1+N($H937)/100),0),N($O937))*(1-MEDIAN(0,N(ДисконтТендер),1))))</f>
        <v/>
      </c>
      <c r="U937" t="str">
        <f>IF($L937="да",MAX($U$1:$U936)+1,"")</f>
        <v/>
      </c>
      <c r="V937" t="str">
        <f t="shared" si="101"/>
        <v/>
      </c>
      <c r="W937" t="str">
        <f t="shared" si="102"/>
        <v/>
      </c>
      <c r="X937" t="str">
        <f t="shared" si="103"/>
        <v/>
      </c>
      <c r="Y937" s="4" t="str">
        <f>IF($A937="","",IF(AND(LEFT($G937,3)="ДОК",$N937&lt;&gt;""),IFERROR(INDEX(Документация!$G$2:$G$57,MATCH($N937,Документация!$F$2:$F$57,0)),$D937),$D937&amp;IF(AND(LEFT($G937,3)&lt;&gt;"ДОК",$N937&lt;&gt;"")," — "&amp;IFERROR(INDEX(МАТЕРИАЛЫ!$C$2:$C$9000,MATCH($N937,МАТЕРИАЛЫ!$L$2:$L$9000,0)),""),"")))</f>
        <v/>
      </c>
      <c r="Z937" t="str">
        <f t="shared" si="104"/>
        <v/>
      </c>
    </row>
    <row r="938" spans="1:26" x14ac:dyDescent="0.3">
      <c r="A938" s="8"/>
      <c r="D938" s="4"/>
      <c r="F938" s="5"/>
      <c r="L938" s="6"/>
      <c r="M938" s="6"/>
      <c r="N938" s="6"/>
      <c r="O938" s="5"/>
      <c r="P938" s="7" t="str">
        <f t="shared" si="98"/>
        <v/>
      </c>
      <c r="Q938" s="7" t="str">
        <f t="shared" si="99"/>
        <v/>
      </c>
      <c r="R938" s="7" t="str">
        <f t="shared" si="100"/>
        <v/>
      </c>
      <c r="S938" s="7" t="str">
        <f>IF($A938="","",IF(AND(LEFT($G938,3)="ДОК",$N938&lt;&gt;""),IFERROR(INDEX(Документация!$E$2:$E$57,MATCH($N938,Документация!$F$2:$F$57,0)),0),N($F938))*(1-MEDIAN(0,N(ДисконтТендер),1)))</f>
        <v/>
      </c>
      <c r="T938" s="7" t="str">
        <f>IF($A938="","",IF(AND(LEFT($G938,3)="ДОК",$N938&lt;&gt;""),0,IF(AND(LEFT($G938,3)&lt;&gt;"ДОК",$N938&lt;&gt;""),IFERROR(INDEX(МАТЕРИАЛЫ!$H$2:$H$9000,MATCH($N938,МАТЕРИАЛЫ!$L$2:$L$9000,0))*IF(INDEX(МАТЕРИАЛЫ!$I$2:$I$9000,MATCH($N938,МАТЕРИАЛЫ!$L$2:$L$9000,0))="USD",КурсUSD,IF(INDEX(МАТЕРИАЛЫ!$I$2:$I$9000,MATCH($N938,МАТЕРИАЛЫ!$L$2:$L$9000,0))="EUR",КурсEUR,IF(INDEX(МАТЕРИАЛЫ!$I$2:$I$9000,MATCH($N938,МАТЕРИАЛЫ!$L$2:$L$9000,0))="CNY",КурсCNY,1)))*(1+N($H938)/100),0),N($O938))*(1-MEDIAN(0,N(ДисконтТендер),1))))</f>
        <v/>
      </c>
      <c r="U938" t="str">
        <f>IF($L938="да",MAX($U$1:$U937)+1,"")</f>
        <v/>
      </c>
      <c r="V938" t="str">
        <f t="shared" si="101"/>
        <v/>
      </c>
      <c r="W938" t="str">
        <f t="shared" si="102"/>
        <v/>
      </c>
      <c r="X938" t="str">
        <f t="shared" si="103"/>
        <v/>
      </c>
      <c r="Y938" s="4" t="str">
        <f>IF($A938="","",IF(AND(LEFT($G938,3)="ДОК",$N938&lt;&gt;""),IFERROR(INDEX(Документация!$G$2:$G$57,MATCH($N938,Документация!$F$2:$F$57,0)),$D938),$D938&amp;IF(AND(LEFT($G938,3)&lt;&gt;"ДОК",$N938&lt;&gt;"")," — "&amp;IFERROR(INDEX(МАТЕРИАЛЫ!$C$2:$C$9000,MATCH($N938,МАТЕРИАЛЫ!$L$2:$L$9000,0)),""),"")))</f>
        <v/>
      </c>
      <c r="Z938" t="str">
        <f t="shared" si="104"/>
        <v/>
      </c>
    </row>
    <row r="939" spans="1:26" x14ac:dyDescent="0.3">
      <c r="A939" s="8"/>
      <c r="D939" s="4"/>
      <c r="F939" s="5"/>
      <c r="L939" s="6"/>
      <c r="M939" s="6"/>
      <c r="N939" s="6"/>
      <c r="O939" s="5"/>
      <c r="P939" s="7" t="str">
        <f t="shared" si="98"/>
        <v/>
      </c>
      <c r="Q939" s="7" t="str">
        <f t="shared" si="99"/>
        <v/>
      </c>
      <c r="R939" s="7" t="str">
        <f t="shared" si="100"/>
        <v/>
      </c>
      <c r="S939" s="7" t="str">
        <f>IF($A939="","",IF(AND(LEFT($G939,3)="ДОК",$N939&lt;&gt;""),IFERROR(INDEX(Документация!$E$2:$E$57,MATCH($N939,Документация!$F$2:$F$57,0)),0),N($F939))*(1-MEDIAN(0,N(ДисконтТендер),1)))</f>
        <v/>
      </c>
      <c r="T939" s="7" t="str">
        <f>IF($A939="","",IF(AND(LEFT($G939,3)="ДОК",$N939&lt;&gt;""),0,IF(AND(LEFT($G939,3)&lt;&gt;"ДОК",$N939&lt;&gt;""),IFERROR(INDEX(МАТЕРИАЛЫ!$H$2:$H$9000,MATCH($N939,МАТЕРИАЛЫ!$L$2:$L$9000,0))*IF(INDEX(МАТЕРИАЛЫ!$I$2:$I$9000,MATCH($N939,МАТЕРИАЛЫ!$L$2:$L$9000,0))="USD",КурсUSD,IF(INDEX(МАТЕРИАЛЫ!$I$2:$I$9000,MATCH($N939,МАТЕРИАЛЫ!$L$2:$L$9000,0))="EUR",КурсEUR,IF(INDEX(МАТЕРИАЛЫ!$I$2:$I$9000,MATCH($N939,МАТЕРИАЛЫ!$L$2:$L$9000,0))="CNY",КурсCNY,1)))*(1+N($H939)/100),0),N($O939))*(1-MEDIAN(0,N(ДисконтТендер),1))))</f>
        <v/>
      </c>
      <c r="U939" t="str">
        <f>IF($L939="да",MAX($U$1:$U938)+1,"")</f>
        <v/>
      </c>
      <c r="V939" t="str">
        <f t="shared" si="101"/>
        <v/>
      </c>
      <c r="W939" t="str">
        <f t="shared" si="102"/>
        <v/>
      </c>
      <c r="X939" t="str">
        <f t="shared" si="103"/>
        <v/>
      </c>
      <c r="Y939" s="4" t="str">
        <f>IF($A939="","",IF(AND(LEFT($G939,3)="ДОК",$N939&lt;&gt;""),IFERROR(INDEX(Документация!$G$2:$G$57,MATCH($N939,Документация!$F$2:$F$57,0)),$D939),$D939&amp;IF(AND(LEFT($G939,3)&lt;&gt;"ДОК",$N939&lt;&gt;"")," — "&amp;IFERROR(INDEX(МАТЕРИАЛЫ!$C$2:$C$9000,MATCH($N939,МАТЕРИАЛЫ!$L$2:$L$9000,0)),""),"")))</f>
        <v/>
      </c>
      <c r="Z939" t="str">
        <f t="shared" si="104"/>
        <v/>
      </c>
    </row>
    <row r="940" spans="1:26" x14ac:dyDescent="0.3">
      <c r="A940" s="8"/>
      <c r="D940" s="4"/>
      <c r="F940" s="5"/>
      <c r="L940" s="6"/>
      <c r="M940" s="6"/>
      <c r="N940" s="6"/>
      <c r="O940" s="5"/>
      <c r="P940" s="7" t="str">
        <f t="shared" si="98"/>
        <v/>
      </c>
      <c r="Q940" s="7" t="str">
        <f t="shared" si="99"/>
        <v/>
      </c>
      <c r="R940" s="7" t="str">
        <f t="shared" si="100"/>
        <v/>
      </c>
      <c r="S940" s="7" t="str">
        <f>IF($A940="","",IF(AND(LEFT($G940,3)="ДОК",$N940&lt;&gt;""),IFERROR(INDEX(Документация!$E$2:$E$57,MATCH($N940,Документация!$F$2:$F$57,0)),0),N($F940))*(1-MEDIAN(0,N(ДисконтТендер),1)))</f>
        <v/>
      </c>
      <c r="T940" s="7" t="str">
        <f>IF($A940="","",IF(AND(LEFT($G940,3)="ДОК",$N940&lt;&gt;""),0,IF(AND(LEFT($G940,3)&lt;&gt;"ДОК",$N940&lt;&gt;""),IFERROR(INDEX(МАТЕРИАЛЫ!$H$2:$H$9000,MATCH($N940,МАТЕРИАЛЫ!$L$2:$L$9000,0))*IF(INDEX(МАТЕРИАЛЫ!$I$2:$I$9000,MATCH($N940,МАТЕРИАЛЫ!$L$2:$L$9000,0))="USD",КурсUSD,IF(INDEX(МАТЕРИАЛЫ!$I$2:$I$9000,MATCH($N940,МАТЕРИАЛЫ!$L$2:$L$9000,0))="EUR",КурсEUR,IF(INDEX(МАТЕРИАЛЫ!$I$2:$I$9000,MATCH($N940,МАТЕРИАЛЫ!$L$2:$L$9000,0))="CNY",КурсCNY,1)))*(1+N($H940)/100),0),N($O940))*(1-MEDIAN(0,N(ДисконтТендер),1))))</f>
        <v/>
      </c>
      <c r="U940" t="str">
        <f>IF($L940="да",MAX($U$1:$U939)+1,"")</f>
        <v/>
      </c>
      <c r="V940" t="str">
        <f t="shared" si="101"/>
        <v/>
      </c>
      <c r="W940" t="str">
        <f t="shared" si="102"/>
        <v/>
      </c>
      <c r="X940" t="str">
        <f t="shared" si="103"/>
        <v/>
      </c>
      <c r="Y940" s="4" t="str">
        <f>IF($A940="","",IF(AND(LEFT($G940,3)="ДОК",$N940&lt;&gt;""),IFERROR(INDEX(Документация!$G$2:$G$57,MATCH($N940,Документация!$F$2:$F$57,0)),$D940),$D940&amp;IF(AND(LEFT($G940,3)&lt;&gt;"ДОК",$N940&lt;&gt;"")," — "&amp;IFERROR(INDEX(МАТЕРИАЛЫ!$C$2:$C$9000,MATCH($N940,МАТЕРИАЛЫ!$L$2:$L$9000,0)),""),"")))</f>
        <v/>
      </c>
      <c r="Z940" t="str">
        <f t="shared" si="104"/>
        <v/>
      </c>
    </row>
    <row r="941" spans="1:26" x14ac:dyDescent="0.3">
      <c r="A941" s="8"/>
      <c r="D941" s="4"/>
      <c r="F941" s="5"/>
      <c r="L941" s="6"/>
      <c r="M941" s="6"/>
      <c r="N941" s="6"/>
      <c r="O941" s="5"/>
      <c r="P941" s="7" t="str">
        <f t="shared" si="98"/>
        <v/>
      </c>
      <c r="Q941" s="7" t="str">
        <f t="shared" si="99"/>
        <v/>
      </c>
      <c r="R941" s="7" t="str">
        <f t="shared" si="100"/>
        <v/>
      </c>
      <c r="S941" s="7" t="str">
        <f>IF($A941="","",IF(AND(LEFT($G941,3)="ДОК",$N941&lt;&gt;""),IFERROR(INDEX(Документация!$E$2:$E$57,MATCH($N941,Документация!$F$2:$F$57,0)),0),N($F941))*(1-MEDIAN(0,N(ДисконтТендер),1)))</f>
        <v/>
      </c>
      <c r="T941" s="7" t="str">
        <f>IF($A941="","",IF(AND(LEFT($G941,3)="ДОК",$N941&lt;&gt;""),0,IF(AND(LEFT($G941,3)&lt;&gt;"ДОК",$N941&lt;&gt;""),IFERROR(INDEX(МАТЕРИАЛЫ!$H$2:$H$9000,MATCH($N941,МАТЕРИАЛЫ!$L$2:$L$9000,0))*IF(INDEX(МАТЕРИАЛЫ!$I$2:$I$9000,MATCH($N941,МАТЕРИАЛЫ!$L$2:$L$9000,0))="USD",КурсUSD,IF(INDEX(МАТЕРИАЛЫ!$I$2:$I$9000,MATCH($N941,МАТЕРИАЛЫ!$L$2:$L$9000,0))="EUR",КурсEUR,IF(INDEX(МАТЕРИАЛЫ!$I$2:$I$9000,MATCH($N941,МАТЕРИАЛЫ!$L$2:$L$9000,0))="CNY",КурсCNY,1)))*(1+N($H941)/100),0),N($O941))*(1-MEDIAN(0,N(ДисконтТендер),1))))</f>
        <v/>
      </c>
      <c r="U941" t="str">
        <f>IF($L941="да",MAX($U$1:$U940)+1,"")</f>
        <v/>
      </c>
      <c r="V941" t="str">
        <f t="shared" si="101"/>
        <v/>
      </c>
      <c r="W941" t="str">
        <f t="shared" si="102"/>
        <v/>
      </c>
      <c r="X941" t="str">
        <f t="shared" si="103"/>
        <v/>
      </c>
      <c r="Y941" s="4" t="str">
        <f>IF($A941="","",IF(AND(LEFT($G941,3)="ДОК",$N941&lt;&gt;""),IFERROR(INDEX(Документация!$G$2:$G$57,MATCH($N941,Документация!$F$2:$F$57,0)),$D941),$D941&amp;IF(AND(LEFT($G941,3)&lt;&gt;"ДОК",$N941&lt;&gt;"")," — "&amp;IFERROR(INDEX(МАТЕРИАЛЫ!$C$2:$C$9000,MATCH($N941,МАТЕРИАЛЫ!$L$2:$L$9000,0)),""),"")))</f>
        <v/>
      </c>
      <c r="Z941" t="str">
        <f t="shared" si="104"/>
        <v/>
      </c>
    </row>
    <row r="942" spans="1:26" x14ac:dyDescent="0.3">
      <c r="A942" s="8"/>
      <c r="D942" s="4"/>
      <c r="F942" s="5"/>
      <c r="L942" s="6"/>
      <c r="M942" s="6"/>
      <c r="N942" s="6"/>
      <c r="O942" s="5"/>
      <c r="P942" s="7" t="str">
        <f t="shared" si="98"/>
        <v/>
      </c>
      <c r="Q942" s="7" t="str">
        <f t="shared" si="99"/>
        <v/>
      </c>
      <c r="R942" s="7" t="str">
        <f t="shared" si="100"/>
        <v/>
      </c>
      <c r="S942" s="7" t="str">
        <f>IF($A942="","",IF(AND(LEFT($G942,3)="ДОК",$N942&lt;&gt;""),IFERROR(INDEX(Документация!$E$2:$E$57,MATCH($N942,Документация!$F$2:$F$57,0)),0),N($F942))*(1-MEDIAN(0,N(ДисконтТендер),1)))</f>
        <v/>
      </c>
      <c r="T942" s="7" t="str">
        <f>IF($A942="","",IF(AND(LEFT($G942,3)="ДОК",$N942&lt;&gt;""),0,IF(AND(LEFT($G942,3)&lt;&gt;"ДОК",$N942&lt;&gt;""),IFERROR(INDEX(МАТЕРИАЛЫ!$H$2:$H$9000,MATCH($N942,МАТЕРИАЛЫ!$L$2:$L$9000,0))*IF(INDEX(МАТЕРИАЛЫ!$I$2:$I$9000,MATCH($N942,МАТЕРИАЛЫ!$L$2:$L$9000,0))="USD",КурсUSD,IF(INDEX(МАТЕРИАЛЫ!$I$2:$I$9000,MATCH($N942,МАТЕРИАЛЫ!$L$2:$L$9000,0))="EUR",КурсEUR,IF(INDEX(МАТЕРИАЛЫ!$I$2:$I$9000,MATCH($N942,МАТЕРИАЛЫ!$L$2:$L$9000,0))="CNY",КурсCNY,1)))*(1+N($H942)/100),0),N($O942))*(1-MEDIAN(0,N(ДисконтТендер),1))))</f>
        <v/>
      </c>
      <c r="U942" t="str">
        <f>IF($L942="да",MAX($U$1:$U941)+1,"")</f>
        <v/>
      </c>
      <c r="V942" t="str">
        <f t="shared" si="101"/>
        <v/>
      </c>
      <c r="W942" t="str">
        <f t="shared" si="102"/>
        <v/>
      </c>
      <c r="X942" t="str">
        <f t="shared" si="103"/>
        <v/>
      </c>
      <c r="Y942" s="4" t="str">
        <f>IF($A942="","",IF(AND(LEFT($G942,3)="ДОК",$N942&lt;&gt;""),IFERROR(INDEX(Документация!$G$2:$G$57,MATCH($N942,Документация!$F$2:$F$57,0)),$D942),$D942&amp;IF(AND(LEFT($G942,3)&lt;&gt;"ДОК",$N942&lt;&gt;"")," — "&amp;IFERROR(INDEX(МАТЕРИАЛЫ!$C$2:$C$9000,MATCH($N942,МАТЕРИАЛЫ!$L$2:$L$9000,0)),""),"")))</f>
        <v/>
      </c>
      <c r="Z942" t="str">
        <f t="shared" si="104"/>
        <v/>
      </c>
    </row>
    <row r="943" spans="1:26" x14ac:dyDescent="0.3">
      <c r="A943" s="8"/>
      <c r="D943" s="4"/>
      <c r="F943" s="5"/>
      <c r="L943" s="6"/>
      <c r="M943" s="6"/>
      <c r="N943" s="6"/>
      <c r="O943" s="5"/>
      <c r="P943" s="7" t="str">
        <f t="shared" si="98"/>
        <v/>
      </c>
      <c r="Q943" s="7" t="str">
        <f t="shared" si="99"/>
        <v/>
      </c>
      <c r="R943" s="7" t="str">
        <f t="shared" si="100"/>
        <v/>
      </c>
      <c r="S943" s="7" t="str">
        <f>IF($A943="","",IF(AND(LEFT($G943,3)="ДОК",$N943&lt;&gt;""),IFERROR(INDEX(Документация!$E$2:$E$57,MATCH($N943,Документация!$F$2:$F$57,0)),0),N($F943))*(1-MEDIAN(0,N(ДисконтТендер),1)))</f>
        <v/>
      </c>
      <c r="T943" s="7" t="str">
        <f>IF($A943="","",IF(AND(LEFT($G943,3)="ДОК",$N943&lt;&gt;""),0,IF(AND(LEFT($G943,3)&lt;&gt;"ДОК",$N943&lt;&gt;""),IFERROR(INDEX(МАТЕРИАЛЫ!$H$2:$H$9000,MATCH($N943,МАТЕРИАЛЫ!$L$2:$L$9000,0))*IF(INDEX(МАТЕРИАЛЫ!$I$2:$I$9000,MATCH($N943,МАТЕРИАЛЫ!$L$2:$L$9000,0))="USD",КурсUSD,IF(INDEX(МАТЕРИАЛЫ!$I$2:$I$9000,MATCH($N943,МАТЕРИАЛЫ!$L$2:$L$9000,0))="EUR",КурсEUR,IF(INDEX(МАТЕРИАЛЫ!$I$2:$I$9000,MATCH($N943,МАТЕРИАЛЫ!$L$2:$L$9000,0))="CNY",КурсCNY,1)))*(1+N($H943)/100),0),N($O943))*(1-MEDIAN(0,N(ДисконтТендер),1))))</f>
        <v/>
      </c>
      <c r="U943" t="str">
        <f>IF($L943="да",MAX($U$1:$U942)+1,"")</f>
        <v/>
      </c>
      <c r="V943" t="str">
        <f t="shared" si="101"/>
        <v/>
      </c>
      <c r="W943" t="str">
        <f t="shared" si="102"/>
        <v/>
      </c>
      <c r="X943" t="str">
        <f t="shared" si="103"/>
        <v/>
      </c>
      <c r="Y943" s="4" t="str">
        <f>IF($A943="","",IF(AND(LEFT($G943,3)="ДОК",$N943&lt;&gt;""),IFERROR(INDEX(Документация!$G$2:$G$57,MATCH($N943,Документация!$F$2:$F$57,0)),$D943),$D943&amp;IF(AND(LEFT($G943,3)&lt;&gt;"ДОК",$N943&lt;&gt;"")," — "&amp;IFERROR(INDEX(МАТЕРИАЛЫ!$C$2:$C$9000,MATCH($N943,МАТЕРИАЛЫ!$L$2:$L$9000,0)),""),"")))</f>
        <v/>
      </c>
      <c r="Z943" t="str">
        <f t="shared" si="104"/>
        <v/>
      </c>
    </row>
    <row r="944" spans="1:26" x14ac:dyDescent="0.3">
      <c r="A944" s="8"/>
      <c r="D944" s="4"/>
      <c r="F944" s="5"/>
      <c r="L944" s="6"/>
      <c r="M944" s="6"/>
      <c r="N944" s="6"/>
      <c r="O944" s="5"/>
      <c r="P944" s="7" t="str">
        <f t="shared" si="98"/>
        <v/>
      </c>
      <c r="Q944" s="7" t="str">
        <f t="shared" si="99"/>
        <v/>
      </c>
      <c r="R944" s="7" t="str">
        <f t="shared" si="100"/>
        <v/>
      </c>
      <c r="S944" s="7" t="str">
        <f>IF($A944="","",IF(AND(LEFT($G944,3)="ДОК",$N944&lt;&gt;""),IFERROR(INDEX(Документация!$E$2:$E$57,MATCH($N944,Документация!$F$2:$F$57,0)),0),N($F944))*(1-MEDIAN(0,N(ДисконтТендер),1)))</f>
        <v/>
      </c>
      <c r="T944" s="7" t="str">
        <f>IF($A944="","",IF(AND(LEFT($G944,3)="ДОК",$N944&lt;&gt;""),0,IF(AND(LEFT($G944,3)&lt;&gt;"ДОК",$N944&lt;&gt;""),IFERROR(INDEX(МАТЕРИАЛЫ!$H$2:$H$9000,MATCH($N944,МАТЕРИАЛЫ!$L$2:$L$9000,0))*IF(INDEX(МАТЕРИАЛЫ!$I$2:$I$9000,MATCH($N944,МАТЕРИАЛЫ!$L$2:$L$9000,0))="USD",КурсUSD,IF(INDEX(МАТЕРИАЛЫ!$I$2:$I$9000,MATCH($N944,МАТЕРИАЛЫ!$L$2:$L$9000,0))="EUR",КурсEUR,IF(INDEX(МАТЕРИАЛЫ!$I$2:$I$9000,MATCH($N944,МАТЕРИАЛЫ!$L$2:$L$9000,0))="CNY",КурсCNY,1)))*(1+N($H944)/100),0),N($O944))*(1-MEDIAN(0,N(ДисконтТендер),1))))</f>
        <v/>
      </c>
      <c r="U944" t="str">
        <f>IF($L944="да",MAX($U$1:$U943)+1,"")</f>
        <v/>
      </c>
      <c r="V944" t="str">
        <f t="shared" si="101"/>
        <v/>
      </c>
      <c r="W944" t="str">
        <f t="shared" si="102"/>
        <v/>
      </c>
      <c r="X944" t="str">
        <f t="shared" si="103"/>
        <v/>
      </c>
      <c r="Y944" s="4" t="str">
        <f>IF($A944="","",IF(AND(LEFT($G944,3)="ДОК",$N944&lt;&gt;""),IFERROR(INDEX(Документация!$G$2:$G$57,MATCH($N944,Документация!$F$2:$F$57,0)),$D944),$D944&amp;IF(AND(LEFT($G944,3)&lt;&gt;"ДОК",$N944&lt;&gt;"")," — "&amp;IFERROR(INDEX(МАТЕРИАЛЫ!$C$2:$C$9000,MATCH($N944,МАТЕРИАЛЫ!$L$2:$L$9000,0)),""),"")))</f>
        <v/>
      </c>
      <c r="Z944" t="str">
        <f t="shared" si="104"/>
        <v/>
      </c>
    </row>
    <row r="945" spans="1:26" x14ac:dyDescent="0.3">
      <c r="A945" s="8"/>
      <c r="D945" s="4"/>
      <c r="F945" s="5"/>
      <c r="L945" s="6"/>
      <c r="M945" s="6"/>
      <c r="N945" s="6"/>
      <c r="O945" s="5"/>
      <c r="P945" s="7" t="str">
        <f t="shared" si="98"/>
        <v/>
      </c>
      <c r="Q945" s="7" t="str">
        <f t="shared" si="99"/>
        <v/>
      </c>
      <c r="R945" s="7" t="str">
        <f t="shared" si="100"/>
        <v/>
      </c>
      <c r="S945" s="7" t="str">
        <f>IF($A945="","",IF(AND(LEFT($G945,3)="ДОК",$N945&lt;&gt;""),IFERROR(INDEX(Документация!$E$2:$E$57,MATCH($N945,Документация!$F$2:$F$57,0)),0),N($F945))*(1-MEDIAN(0,N(ДисконтТендер),1)))</f>
        <v/>
      </c>
      <c r="T945" s="7" t="str">
        <f>IF($A945="","",IF(AND(LEFT($G945,3)="ДОК",$N945&lt;&gt;""),0,IF(AND(LEFT($G945,3)&lt;&gt;"ДОК",$N945&lt;&gt;""),IFERROR(INDEX(МАТЕРИАЛЫ!$H$2:$H$9000,MATCH($N945,МАТЕРИАЛЫ!$L$2:$L$9000,0))*IF(INDEX(МАТЕРИАЛЫ!$I$2:$I$9000,MATCH($N945,МАТЕРИАЛЫ!$L$2:$L$9000,0))="USD",КурсUSD,IF(INDEX(МАТЕРИАЛЫ!$I$2:$I$9000,MATCH($N945,МАТЕРИАЛЫ!$L$2:$L$9000,0))="EUR",КурсEUR,IF(INDEX(МАТЕРИАЛЫ!$I$2:$I$9000,MATCH($N945,МАТЕРИАЛЫ!$L$2:$L$9000,0))="CNY",КурсCNY,1)))*(1+N($H945)/100),0),N($O945))*(1-MEDIAN(0,N(ДисконтТендер),1))))</f>
        <v/>
      </c>
      <c r="U945" t="str">
        <f>IF($L945="да",MAX($U$1:$U944)+1,"")</f>
        <v/>
      </c>
      <c r="V945" t="str">
        <f t="shared" si="101"/>
        <v/>
      </c>
      <c r="W945" t="str">
        <f t="shared" si="102"/>
        <v/>
      </c>
      <c r="X945" t="str">
        <f t="shared" si="103"/>
        <v/>
      </c>
      <c r="Y945" s="4" t="str">
        <f>IF($A945="","",IF(AND(LEFT($G945,3)="ДОК",$N945&lt;&gt;""),IFERROR(INDEX(Документация!$G$2:$G$57,MATCH($N945,Документация!$F$2:$F$57,0)),$D945),$D945&amp;IF(AND(LEFT($G945,3)&lt;&gt;"ДОК",$N945&lt;&gt;"")," — "&amp;IFERROR(INDEX(МАТЕРИАЛЫ!$C$2:$C$9000,MATCH($N945,МАТЕРИАЛЫ!$L$2:$L$9000,0)),""),"")))</f>
        <v/>
      </c>
      <c r="Z945" t="str">
        <f t="shared" si="104"/>
        <v/>
      </c>
    </row>
    <row r="946" spans="1:26" x14ac:dyDescent="0.3">
      <c r="A946" s="8"/>
      <c r="D946" s="4"/>
      <c r="F946" s="5"/>
      <c r="L946" s="6"/>
      <c r="M946" s="6"/>
      <c r="N946" s="6"/>
      <c r="O946" s="5"/>
      <c r="P946" s="7" t="str">
        <f t="shared" si="98"/>
        <v/>
      </c>
      <c r="Q946" s="7" t="str">
        <f t="shared" si="99"/>
        <v/>
      </c>
      <c r="R946" s="7" t="str">
        <f t="shared" si="100"/>
        <v/>
      </c>
      <c r="S946" s="7" t="str">
        <f>IF($A946="","",IF(AND(LEFT($G946,3)="ДОК",$N946&lt;&gt;""),IFERROR(INDEX(Документация!$E$2:$E$57,MATCH($N946,Документация!$F$2:$F$57,0)),0),N($F946))*(1-MEDIAN(0,N(ДисконтТендер),1)))</f>
        <v/>
      </c>
      <c r="T946" s="7" t="str">
        <f>IF($A946="","",IF(AND(LEFT($G946,3)="ДОК",$N946&lt;&gt;""),0,IF(AND(LEFT($G946,3)&lt;&gt;"ДОК",$N946&lt;&gt;""),IFERROR(INDEX(МАТЕРИАЛЫ!$H$2:$H$9000,MATCH($N946,МАТЕРИАЛЫ!$L$2:$L$9000,0))*IF(INDEX(МАТЕРИАЛЫ!$I$2:$I$9000,MATCH($N946,МАТЕРИАЛЫ!$L$2:$L$9000,0))="USD",КурсUSD,IF(INDEX(МАТЕРИАЛЫ!$I$2:$I$9000,MATCH($N946,МАТЕРИАЛЫ!$L$2:$L$9000,0))="EUR",КурсEUR,IF(INDEX(МАТЕРИАЛЫ!$I$2:$I$9000,MATCH($N946,МАТЕРИАЛЫ!$L$2:$L$9000,0))="CNY",КурсCNY,1)))*(1+N($H946)/100),0),N($O946))*(1-MEDIAN(0,N(ДисконтТендер),1))))</f>
        <v/>
      </c>
      <c r="U946" t="str">
        <f>IF($L946="да",MAX($U$1:$U945)+1,"")</f>
        <v/>
      </c>
      <c r="V946" t="str">
        <f t="shared" si="101"/>
        <v/>
      </c>
      <c r="W946" t="str">
        <f t="shared" si="102"/>
        <v/>
      </c>
      <c r="X946" t="str">
        <f t="shared" si="103"/>
        <v/>
      </c>
      <c r="Y946" s="4" t="str">
        <f>IF($A946="","",IF(AND(LEFT($G946,3)="ДОК",$N946&lt;&gt;""),IFERROR(INDEX(Документация!$G$2:$G$57,MATCH($N946,Документация!$F$2:$F$57,0)),$D946),$D946&amp;IF(AND(LEFT($G946,3)&lt;&gt;"ДОК",$N946&lt;&gt;"")," — "&amp;IFERROR(INDEX(МАТЕРИАЛЫ!$C$2:$C$9000,MATCH($N946,МАТЕРИАЛЫ!$L$2:$L$9000,0)),""),"")))</f>
        <v/>
      </c>
      <c r="Z946" t="str">
        <f t="shared" si="104"/>
        <v/>
      </c>
    </row>
    <row r="947" spans="1:26" x14ac:dyDescent="0.3">
      <c r="A947" s="8"/>
      <c r="D947" s="4"/>
      <c r="F947" s="5"/>
      <c r="L947" s="6"/>
      <c r="M947" s="6"/>
      <c r="N947" s="6"/>
      <c r="O947" s="5"/>
      <c r="P947" s="7" t="str">
        <f t="shared" si="98"/>
        <v/>
      </c>
      <c r="Q947" s="7" t="str">
        <f t="shared" si="99"/>
        <v/>
      </c>
      <c r="R947" s="7" t="str">
        <f t="shared" si="100"/>
        <v/>
      </c>
      <c r="S947" s="7" t="str">
        <f>IF($A947="","",IF(AND(LEFT($G947,3)="ДОК",$N947&lt;&gt;""),IFERROR(INDEX(Документация!$E$2:$E$57,MATCH($N947,Документация!$F$2:$F$57,0)),0),N($F947))*(1-MEDIAN(0,N(ДисконтТендер),1)))</f>
        <v/>
      </c>
      <c r="T947" s="7" t="str">
        <f>IF($A947="","",IF(AND(LEFT($G947,3)="ДОК",$N947&lt;&gt;""),0,IF(AND(LEFT($G947,3)&lt;&gt;"ДОК",$N947&lt;&gt;""),IFERROR(INDEX(МАТЕРИАЛЫ!$H$2:$H$9000,MATCH($N947,МАТЕРИАЛЫ!$L$2:$L$9000,0))*IF(INDEX(МАТЕРИАЛЫ!$I$2:$I$9000,MATCH($N947,МАТЕРИАЛЫ!$L$2:$L$9000,0))="USD",КурсUSD,IF(INDEX(МАТЕРИАЛЫ!$I$2:$I$9000,MATCH($N947,МАТЕРИАЛЫ!$L$2:$L$9000,0))="EUR",КурсEUR,IF(INDEX(МАТЕРИАЛЫ!$I$2:$I$9000,MATCH($N947,МАТЕРИАЛЫ!$L$2:$L$9000,0))="CNY",КурсCNY,1)))*(1+N($H947)/100),0),N($O947))*(1-MEDIAN(0,N(ДисконтТендер),1))))</f>
        <v/>
      </c>
      <c r="U947" t="str">
        <f>IF($L947="да",MAX($U$1:$U946)+1,"")</f>
        <v/>
      </c>
      <c r="V947" t="str">
        <f t="shared" si="101"/>
        <v/>
      </c>
      <c r="W947" t="str">
        <f t="shared" si="102"/>
        <v/>
      </c>
      <c r="X947" t="str">
        <f t="shared" si="103"/>
        <v/>
      </c>
      <c r="Y947" s="4" t="str">
        <f>IF($A947="","",IF(AND(LEFT($G947,3)="ДОК",$N947&lt;&gt;""),IFERROR(INDEX(Документация!$G$2:$G$57,MATCH($N947,Документация!$F$2:$F$57,0)),$D947),$D947&amp;IF(AND(LEFT($G947,3)&lt;&gt;"ДОК",$N947&lt;&gt;"")," — "&amp;IFERROR(INDEX(МАТЕРИАЛЫ!$C$2:$C$9000,MATCH($N947,МАТЕРИАЛЫ!$L$2:$L$9000,0)),""),"")))</f>
        <v/>
      </c>
      <c r="Z947" t="str">
        <f t="shared" si="104"/>
        <v/>
      </c>
    </row>
    <row r="948" spans="1:26" x14ac:dyDescent="0.3">
      <c r="A948" s="8"/>
      <c r="D948" s="4"/>
      <c r="F948" s="5"/>
      <c r="L948" s="6"/>
      <c r="M948" s="6"/>
      <c r="N948" s="6"/>
      <c r="O948" s="5"/>
      <c r="P948" s="7" t="str">
        <f t="shared" si="98"/>
        <v/>
      </c>
      <c r="Q948" s="7" t="str">
        <f t="shared" si="99"/>
        <v/>
      </c>
      <c r="R948" s="7" t="str">
        <f t="shared" si="100"/>
        <v/>
      </c>
      <c r="S948" s="7" t="str">
        <f>IF($A948="","",IF(AND(LEFT($G948,3)="ДОК",$N948&lt;&gt;""),IFERROR(INDEX(Документация!$E$2:$E$57,MATCH($N948,Документация!$F$2:$F$57,0)),0),N($F948))*(1-MEDIAN(0,N(ДисконтТендер),1)))</f>
        <v/>
      </c>
      <c r="T948" s="7" t="str">
        <f>IF($A948="","",IF(AND(LEFT($G948,3)="ДОК",$N948&lt;&gt;""),0,IF(AND(LEFT($G948,3)&lt;&gt;"ДОК",$N948&lt;&gt;""),IFERROR(INDEX(МАТЕРИАЛЫ!$H$2:$H$9000,MATCH($N948,МАТЕРИАЛЫ!$L$2:$L$9000,0))*IF(INDEX(МАТЕРИАЛЫ!$I$2:$I$9000,MATCH($N948,МАТЕРИАЛЫ!$L$2:$L$9000,0))="USD",КурсUSD,IF(INDEX(МАТЕРИАЛЫ!$I$2:$I$9000,MATCH($N948,МАТЕРИАЛЫ!$L$2:$L$9000,0))="EUR",КурсEUR,IF(INDEX(МАТЕРИАЛЫ!$I$2:$I$9000,MATCH($N948,МАТЕРИАЛЫ!$L$2:$L$9000,0))="CNY",КурсCNY,1)))*(1+N($H948)/100),0),N($O948))*(1-MEDIAN(0,N(ДисконтТендер),1))))</f>
        <v/>
      </c>
      <c r="U948" t="str">
        <f>IF($L948="да",MAX($U$1:$U947)+1,"")</f>
        <v/>
      </c>
      <c r="V948" t="str">
        <f t="shared" si="101"/>
        <v/>
      </c>
      <c r="W948" t="str">
        <f t="shared" si="102"/>
        <v/>
      </c>
      <c r="X948" t="str">
        <f t="shared" si="103"/>
        <v/>
      </c>
      <c r="Y948" s="4" t="str">
        <f>IF($A948="","",IF(AND(LEFT($G948,3)="ДОК",$N948&lt;&gt;""),IFERROR(INDEX(Документация!$G$2:$G$57,MATCH($N948,Документация!$F$2:$F$57,0)),$D948),$D948&amp;IF(AND(LEFT($G948,3)&lt;&gt;"ДОК",$N948&lt;&gt;"")," — "&amp;IFERROR(INDEX(МАТЕРИАЛЫ!$C$2:$C$9000,MATCH($N948,МАТЕРИАЛЫ!$L$2:$L$9000,0)),""),"")))</f>
        <v/>
      </c>
      <c r="Z948" t="str">
        <f t="shared" si="104"/>
        <v/>
      </c>
    </row>
    <row r="949" spans="1:26" x14ac:dyDescent="0.3">
      <c r="A949" s="8"/>
      <c r="D949" s="4"/>
      <c r="F949" s="5"/>
      <c r="L949" s="6"/>
      <c r="M949" s="6"/>
      <c r="N949" s="6"/>
      <c r="O949" s="5"/>
      <c r="P949" s="7" t="str">
        <f t="shared" si="98"/>
        <v/>
      </c>
      <c r="Q949" s="7" t="str">
        <f t="shared" si="99"/>
        <v/>
      </c>
      <c r="R949" s="7" t="str">
        <f t="shared" si="100"/>
        <v/>
      </c>
      <c r="S949" s="7" t="str">
        <f>IF($A949="","",IF(AND(LEFT($G949,3)="ДОК",$N949&lt;&gt;""),IFERROR(INDEX(Документация!$E$2:$E$57,MATCH($N949,Документация!$F$2:$F$57,0)),0),N($F949))*(1-MEDIAN(0,N(ДисконтТендер),1)))</f>
        <v/>
      </c>
      <c r="T949" s="7" t="str">
        <f>IF($A949="","",IF(AND(LEFT($G949,3)="ДОК",$N949&lt;&gt;""),0,IF(AND(LEFT($G949,3)&lt;&gt;"ДОК",$N949&lt;&gt;""),IFERROR(INDEX(МАТЕРИАЛЫ!$H$2:$H$9000,MATCH($N949,МАТЕРИАЛЫ!$L$2:$L$9000,0))*IF(INDEX(МАТЕРИАЛЫ!$I$2:$I$9000,MATCH($N949,МАТЕРИАЛЫ!$L$2:$L$9000,0))="USD",КурсUSD,IF(INDEX(МАТЕРИАЛЫ!$I$2:$I$9000,MATCH($N949,МАТЕРИАЛЫ!$L$2:$L$9000,0))="EUR",КурсEUR,IF(INDEX(МАТЕРИАЛЫ!$I$2:$I$9000,MATCH($N949,МАТЕРИАЛЫ!$L$2:$L$9000,0))="CNY",КурсCNY,1)))*(1+N($H949)/100),0),N($O949))*(1-MEDIAN(0,N(ДисконтТендер),1))))</f>
        <v/>
      </c>
      <c r="U949" t="str">
        <f>IF($L949="да",MAX($U$1:$U948)+1,"")</f>
        <v/>
      </c>
      <c r="V949" t="str">
        <f t="shared" si="101"/>
        <v/>
      </c>
      <c r="W949" t="str">
        <f t="shared" si="102"/>
        <v/>
      </c>
      <c r="X949" t="str">
        <f t="shared" si="103"/>
        <v/>
      </c>
      <c r="Y949" s="4" t="str">
        <f>IF($A949="","",IF(AND(LEFT($G949,3)="ДОК",$N949&lt;&gt;""),IFERROR(INDEX(Документация!$G$2:$G$57,MATCH($N949,Документация!$F$2:$F$57,0)),$D949),$D949&amp;IF(AND(LEFT($G949,3)&lt;&gt;"ДОК",$N949&lt;&gt;"")," — "&amp;IFERROR(INDEX(МАТЕРИАЛЫ!$C$2:$C$9000,MATCH($N949,МАТЕРИАЛЫ!$L$2:$L$9000,0)),""),"")))</f>
        <v/>
      </c>
      <c r="Z949" t="str">
        <f t="shared" si="104"/>
        <v/>
      </c>
    </row>
    <row r="950" spans="1:26" x14ac:dyDescent="0.3">
      <c r="A950" s="8"/>
      <c r="D950" s="4"/>
      <c r="F950" s="5"/>
      <c r="L950" s="6"/>
      <c r="M950" s="6"/>
      <c r="N950" s="6"/>
      <c r="O950" s="5"/>
      <c r="P950" s="7" t="str">
        <f t="shared" si="98"/>
        <v/>
      </c>
      <c r="Q950" s="7" t="str">
        <f t="shared" si="99"/>
        <v/>
      </c>
      <c r="R950" s="7" t="str">
        <f t="shared" si="100"/>
        <v/>
      </c>
      <c r="S950" s="7" t="str">
        <f>IF($A950="","",IF(AND(LEFT($G950,3)="ДОК",$N950&lt;&gt;""),IFERROR(INDEX(Документация!$E$2:$E$57,MATCH($N950,Документация!$F$2:$F$57,0)),0),N($F950))*(1-MEDIAN(0,N(ДисконтТендер),1)))</f>
        <v/>
      </c>
      <c r="T950" s="7" t="str">
        <f>IF($A950="","",IF(AND(LEFT($G950,3)="ДОК",$N950&lt;&gt;""),0,IF(AND(LEFT($G950,3)&lt;&gt;"ДОК",$N950&lt;&gt;""),IFERROR(INDEX(МАТЕРИАЛЫ!$H$2:$H$9000,MATCH($N950,МАТЕРИАЛЫ!$L$2:$L$9000,0))*IF(INDEX(МАТЕРИАЛЫ!$I$2:$I$9000,MATCH($N950,МАТЕРИАЛЫ!$L$2:$L$9000,0))="USD",КурсUSD,IF(INDEX(МАТЕРИАЛЫ!$I$2:$I$9000,MATCH($N950,МАТЕРИАЛЫ!$L$2:$L$9000,0))="EUR",КурсEUR,IF(INDEX(МАТЕРИАЛЫ!$I$2:$I$9000,MATCH($N950,МАТЕРИАЛЫ!$L$2:$L$9000,0))="CNY",КурсCNY,1)))*(1+N($H950)/100),0),N($O950))*(1-MEDIAN(0,N(ДисконтТендер),1))))</f>
        <v/>
      </c>
      <c r="U950" t="str">
        <f>IF($L950="да",MAX($U$1:$U949)+1,"")</f>
        <v/>
      </c>
      <c r="V950" t="str">
        <f t="shared" si="101"/>
        <v/>
      </c>
      <c r="W950" t="str">
        <f t="shared" si="102"/>
        <v/>
      </c>
      <c r="X950" t="str">
        <f t="shared" si="103"/>
        <v/>
      </c>
      <c r="Y950" s="4" t="str">
        <f>IF($A950="","",IF(AND(LEFT($G950,3)="ДОК",$N950&lt;&gt;""),IFERROR(INDEX(Документация!$G$2:$G$57,MATCH($N950,Документация!$F$2:$F$57,0)),$D950),$D950&amp;IF(AND(LEFT($G950,3)&lt;&gt;"ДОК",$N950&lt;&gt;"")," — "&amp;IFERROR(INDEX(МАТЕРИАЛЫ!$C$2:$C$9000,MATCH($N950,МАТЕРИАЛЫ!$L$2:$L$9000,0)),""),"")))</f>
        <v/>
      </c>
      <c r="Z950" t="str">
        <f t="shared" si="104"/>
        <v/>
      </c>
    </row>
    <row r="951" spans="1:26" x14ac:dyDescent="0.3">
      <c r="A951" s="8"/>
      <c r="D951" s="4"/>
      <c r="F951" s="5"/>
      <c r="L951" s="6"/>
      <c r="M951" s="6"/>
      <c r="N951" s="6"/>
      <c r="O951" s="5"/>
      <c r="P951" s="7" t="str">
        <f t="shared" si="98"/>
        <v/>
      </c>
      <c r="Q951" s="7" t="str">
        <f t="shared" si="99"/>
        <v/>
      </c>
      <c r="R951" s="7" t="str">
        <f t="shared" si="100"/>
        <v/>
      </c>
      <c r="S951" s="7" t="str">
        <f>IF($A951="","",IF(AND(LEFT($G951,3)="ДОК",$N951&lt;&gt;""),IFERROR(INDEX(Документация!$E$2:$E$57,MATCH($N951,Документация!$F$2:$F$57,0)),0),N($F951))*(1-MEDIAN(0,N(ДисконтТендер),1)))</f>
        <v/>
      </c>
      <c r="T951" s="7" t="str">
        <f>IF($A951="","",IF(AND(LEFT($G951,3)="ДОК",$N951&lt;&gt;""),0,IF(AND(LEFT($G951,3)&lt;&gt;"ДОК",$N951&lt;&gt;""),IFERROR(INDEX(МАТЕРИАЛЫ!$H$2:$H$9000,MATCH($N951,МАТЕРИАЛЫ!$L$2:$L$9000,0))*IF(INDEX(МАТЕРИАЛЫ!$I$2:$I$9000,MATCH($N951,МАТЕРИАЛЫ!$L$2:$L$9000,0))="USD",КурсUSD,IF(INDEX(МАТЕРИАЛЫ!$I$2:$I$9000,MATCH($N951,МАТЕРИАЛЫ!$L$2:$L$9000,0))="EUR",КурсEUR,IF(INDEX(МАТЕРИАЛЫ!$I$2:$I$9000,MATCH($N951,МАТЕРИАЛЫ!$L$2:$L$9000,0))="CNY",КурсCNY,1)))*(1+N($H951)/100),0),N($O951))*(1-MEDIAN(0,N(ДисконтТендер),1))))</f>
        <v/>
      </c>
      <c r="U951" t="str">
        <f>IF($L951="да",MAX($U$1:$U950)+1,"")</f>
        <v/>
      </c>
      <c r="V951" t="str">
        <f t="shared" si="101"/>
        <v/>
      </c>
      <c r="W951" t="str">
        <f t="shared" si="102"/>
        <v/>
      </c>
      <c r="X951" t="str">
        <f t="shared" si="103"/>
        <v/>
      </c>
      <c r="Y951" s="4" t="str">
        <f>IF($A951="","",IF(AND(LEFT($G951,3)="ДОК",$N951&lt;&gt;""),IFERROR(INDEX(Документация!$G$2:$G$57,MATCH($N951,Документация!$F$2:$F$57,0)),$D951),$D951&amp;IF(AND(LEFT($G951,3)&lt;&gt;"ДОК",$N951&lt;&gt;"")," — "&amp;IFERROR(INDEX(МАТЕРИАЛЫ!$C$2:$C$9000,MATCH($N951,МАТЕРИАЛЫ!$L$2:$L$9000,0)),""),"")))</f>
        <v/>
      </c>
      <c r="Z951" t="str">
        <f t="shared" si="104"/>
        <v/>
      </c>
    </row>
    <row r="952" spans="1:26" x14ac:dyDescent="0.3">
      <c r="A952" s="8"/>
      <c r="D952" s="4"/>
      <c r="F952" s="5"/>
      <c r="L952" s="6"/>
      <c r="M952" s="6"/>
      <c r="N952" s="6"/>
      <c r="O952" s="5"/>
      <c r="P952" s="7" t="str">
        <f t="shared" si="98"/>
        <v/>
      </c>
      <c r="Q952" s="7" t="str">
        <f t="shared" si="99"/>
        <v/>
      </c>
      <c r="R952" s="7" t="str">
        <f t="shared" si="100"/>
        <v/>
      </c>
      <c r="S952" s="7" t="str">
        <f>IF($A952="","",IF(AND(LEFT($G952,3)="ДОК",$N952&lt;&gt;""),IFERROR(INDEX(Документация!$E$2:$E$57,MATCH($N952,Документация!$F$2:$F$57,0)),0),N($F952))*(1-MEDIAN(0,N(ДисконтТендер),1)))</f>
        <v/>
      </c>
      <c r="T952" s="7" t="str">
        <f>IF($A952="","",IF(AND(LEFT($G952,3)="ДОК",$N952&lt;&gt;""),0,IF(AND(LEFT($G952,3)&lt;&gt;"ДОК",$N952&lt;&gt;""),IFERROR(INDEX(МАТЕРИАЛЫ!$H$2:$H$9000,MATCH($N952,МАТЕРИАЛЫ!$L$2:$L$9000,0))*IF(INDEX(МАТЕРИАЛЫ!$I$2:$I$9000,MATCH($N952,МАТЕРИАЛЫ!$L$2:$L$9000,0))="USD",КурсUSD,IF(INDEX(МАТЕРИАЛЫ!$I$2:$I$9000,MATCH($N952,МАТЕРИАЛЫ!$L$2:$L$9000,0))="EUR",КурсEUR,IF(INDEX(МАТЕРИАЛЫ!$I$2:$I$9000,MATCH($N952,МАТЕРИАЛЫ!$L$2:$L$9000,0))="CNY",КурсCNY,1)))*(1+N($H952)/100),0),N($O952))*(1-MEDIAN(0,N(ДисконтТендер),1))))</f>
        <v/>
      </c>
      <c r="U952" t="str">
        <f>IF($L952="да",MAX($U$1:$U951)+1,"")</f>
        <v/>
      </c>
      <c r="V952" t="str">
        <f t="shared" si="101"/>
        <v/>
      </c>
      <c r="W952" t="str">
        <f t="shared" si="102"/>
        <v/>
      </c>
      <c r="X952" t="str">
        <f t="shared" si="103"/>
        <v/>
      </c>
      <c r="Y952" s="4" t="str">
        <f>IF($A952="","",IF(AND(LEFT($G952,3)="ДОК",$N952&lt;&gt;""),IFERROR(INDEX(Документация!$G$2:$G$57,MATCH($N952,Документация!$F$2:$F$57,0)),$D952),$D952&amp;IF(AND(LEFT($G952,3)&lt;&gt;"ДОК",$N952&lt;&gt;"")," — "&amp;IFERROR(INDEX(МАТЕРИАЛЫ!$C$2:$C$9000,MATCH($N952,МАТЕРИАЛЫ!$L$2:$L$9000,0)),""),"")))</f>
        <v/>
      </c>
      <c r="Z952" t="str">
        <f t="shared" si="104"/>
        <v/>
      </c>
    </row>
    <row r="953" spans="1:26" x14ac:dyDescent="0.3">
      <c r="A953" s="8"/>
      <c r="D953" s="4"/>
      <c r="F953" s="5"/>
      <c r="L953" s="6"/>
      <c r="M953" s="6"/>
      <c r="N953" s="6"/>
      <c r="O953" s="5"/>
      <c r="P953" s="7" t="str">
        <f t="shared" si="98"/>
        <v/>
      </c>
      <c r="Q953" s="7" t="str">
        <f t="shared" si="99"/>
        <v/>
      </c>
      <c r="R953" s="7" t="str">
        <f t="shared" si="100"/>
        <v/>
      </c>
      <c r="S953" s="7" t="str">
        <f>IF($A953="","",IF(AND(LEFT($G953,3)="ДОК",$N953&lt;&gt;""),IFERROR(INDEX(Документация!$E$2:$E$57,MATCH($N953,Документация!$F$2:$F$57,0)),0),N($F953))*(1-MEDIAN(0,N(ДисконтТендер),1)))</f>
        <v/>
      </c>
      <c r="T953" s="7" t="str">
        <f>IF($A953="","",IF(AND(LEFT($G953,3)="ДОК",$N953&lt;&gt;""),0,IF(AND(LEFT($G953,3)&lt;&gt;"ДОК",$N953&lt;&gt;""),IFERROR(INDEX(МАТЕРИАЛЫ!$H$2:$H$9000,MATCH($N953,МАТЕРИАЛЫ!$L$2:$L$9000,0))*IF(INDEX(МАТЕРИАЛЫ!$I$2:$I$9000,MATCH($N953,МАТЕРИАЛЫ!$L$2:$L$9000,0))="USD",КурсUSD,IF(INDEX(МАТЕРИАЛЫ!$I$2:$I$9000,MATCH($N953,МАТЕРИАЛЫ!$L$2:$L$9000,0))="EUR",КурсEUR,IF(INDEX(МАТЕРИАЛЫ!$I$2:$I$9000,MATCH($N953,МАТЕРИАЛЫ!$L$2:$L$9000,0))="CNY",КурсCNY,1)))*(1+N($H953)/100),0),N($O953))*(1-MEDIAN(0,N(ДисконтТендер),1))))</f>
        <v/>
      </c>
      <c r="U953" t="str">
        <f>IF($L953="да",MAX($U$1:$U952)+1,"")</f>
        <v/>
      </c>
      <c r="V953" t="str">
        <f t="shared" si="101"/>
        <v/>
      </c>
      <c r="W953" t="str">
        <f t="shared" si="102"/>
        <v/>
      </c>
      <c r="X953" t="str">
        <f t="shared" si="103"/>
        <v/>
      </c>
      <c r="Y953" s="4" t="str">
        <f>IF($A953="","",IF(AND(LEFT($G953,3)="ДОК",$N953&lt;&gt;""),IFERROR(INDEX(Документация!$G$2:$G$57,MATCH($N953,Документация!$F$2:$F$57,0)),$D953),$D953&amp;IF(AND(LEFT($G953,3)&lt;&gt;"ДОК",$N953&lt;&gt;"")," — "&amp;IFERROR(INDEX(МАТЕРИАЛЫ!$C$2:$C$9000,MATCH($N953,МАТЕРИАЛЫ!$L$2:$L$9000,0)),""),"")))</f>
        <v/>
      </c>
      <c r="Z953" t="str">
        <f t="shared" si="104"/>
        <v/>
      </c>
    </row>
    <row r="954" spans="1:26" x14ac:dyDescent="0.3">
      <c r="A954" s="8"/>
      <c r="D954" s="4"/>
      <c r="F954" s="5"/>
      <c r="L954" s="6"/>
      <c r="M954" s="6"/>
      <c r="N954" s="6"/>
      <c r="O954" s="5"/>
      <c r="P954" s="7" t="str">
        <f t="shared" si="98"/>
        <v/>
      </c>
      <c r="Q954" s="7" t="str">
        <f t="shared" si="99"/>
        <v/>
      </c>
      <c r="R954" s="7" t="str">
        <f t="shared" si="100"/>
        <v/>
      </c>
      <c r="S954" s="7" t="str">
        <f>IF($A954="","",IF(AND(LEFT($G954,3)="ДОК",$N954&lt;&gt;""),IFERROR(INDEX(Документация!$E$2:$E$57,MATCH($N954,Документация!$F$2:$F$57,0)),0),N($F954))*(1-MEDIAN(0,N(ДисконтТендер),1)))</f>
        <v/>
      </c>
      <c r="T954" s="7" t="str">
        <f>IF($A954="","",IF(AND(LEFT($G954,3)="ДОК",$N954&lt;&gt;""),0,IF(AND(LEFT($G954,3)&lt;&gt;"ДОК",$N954&lt;&gt;""),IFERROR(INDEX(МАТЕРИАЛЫ!$H$2:$H$9000,MATCH($N954,МАТЕРИАЛЫ!$L$2:$L$9000,0))*IF(INDEX(МАТЕРИАЛЫ!$I$2:$I$9000,MATCH($N954,МАТЕРИАЛЫ!$L$2:$L$9000,0))="USD",КурсUSD,IF(INDEX(МАТЕРИАЛЫ!$I$2:$I$9000,MATCH($N954,МАТЕРИАЛЫ!$L$2:$L$9000,0))="EUR",КурсEUR,IF(INDEX(МАТЕРИАЛЫ!$I$2:$I$9000,MATCH($N954,МАТЕРИАЛЫ!$L$2:$L$9000,0))="CNY",КурсCNY,1)))*(1+N($H954)/100),0),N($O954))*(1-MEDIAN(0,N(ДисконтТендер),1))))</f>
        <v/>
      </c>
      <c r="U954" t="str">
        <f>IF($L954="да",MAX($U$1:$U953)+1,"")</f>
        <v/>
      </c>
      <c r="V954" t="str">
        <f t="shared" si="101"/>
        <v/>
      </c>
      <c r="W954" t="str">
        <f t="shared" si="102"/>
        <v/>
      </c>
      <c r="X954" t="str">
        <f t="shared" si="103"/>
        <v/>
      </c>
      <c r="Y954" s="4" t="str">
        <f>IF($A954="","",IF(AND(LEFT($G954,3)="ДОК",$N954&lt;&gt;""),IFERROR(INDEX(Документация!$G$2:$G$57,MATCH($N954,Документация!$F$2:$F$57,0)),$D954),$D954&amp;IF(AND(LEFT($G954,3)&lt;&gt;"ДОК",$N954&lt;&gt;"")," — "&amp;IFERROR(INDEX(МАТЕРИАЛЫ!$C$2:$C$9000,MATCH($N954,МАТЕРИАЛЫ!$L$2:$L$9000,0)),""),"")))</f>
        <v/>
      </c>
      <c r="Z954" t="str">
        <f t="shared" si="104"/>
        <v/>
      </c>
    </row>
    <row r="955" spans="1:26" x14ac:dyDescent="0.3">
      <c r="A955" s="8"/>
      <c r="D955" s="4"/>
      <c r="F955" s="5"/>
      <c r="L955" s="6"/>
      <c r="M955" s="6"/>
      <c r="N955" s="6"/>
      <c r="O955" s="5"/>
      <c r="P955" s="7" t="str">
        <f t="shared" si="98"/>
        <v/>
      </c>
      <c r="Q955" s="7" t="str">
        <f t="shared" si="99"/>
        <v/>
      </c>
      <c r="R955" s="7" t="str">
        <f t="shared" si="100"/>
        <v/>
      </c>
      <c r="S955" s="7" t="str">
        <f>IF($A955="","",IF(AND(LEFT($G955,3)="ДОК",$N955&lt;&gt;""),IFERROR(INDEX(Документация!$E$2:$E$57,MATCH($N955,Документация!$F$2:$F$57,0)),0),N($F955))*(1-MEDIAN(0,N(ДисконтТендер),1)))</f>
        <v/>
      </c>
      <c r="T955" s="7" t="str">
        <f>IF($A955="","",IF(AND(LEFT($G955,3)="ДОК",$N955&lt;&gt;""),0,IF(AND(LEFT($G955,3)&lt;&gt;"ДОК",$N955&lt;&gt;""),IFERROR(INDEX(МАТЕРИАЛЫ!$H$2:$H$9000,MATCH($N955,МАТЕРИАЛЫ!$L$2:$L$9000,0))*IF(INDEX(МАТЕРИАЛЫ!$I$2:$I$9000,MATCH($N955,МАТЕРИАЛЫ!$L$2:$L$9000,0))="USD",КурсUSD,IF(INDEX(МАТЕРИАЛЫ!$I$2:$I$9000,MATCH($N955,МАТЕРИАЛЫ!$L$2:$L$9000,0))="EUR",КурсEUR,IF(INDEX(МАТЕРИАЛЫ!$I$2:$I$9000,MATCH($N955,МАТЕРИАЛЫ!$L$2:$L$9000,0))="CNY",КурсCNY,1)))*(1+N($H955)/100),0),N($O955))*(1-MEDIAN(0,N(ДисконтТендер),1))))</f>
        <v/>
      </c>
      <c r="U955" t="str">
        <f>IF($L955="да",MAX($U$1:$U954)+1,"")</f>
        <v/>
      </c>
      <c r="V955" t="str">
        <f t="shared" si="101"/>
        <v/>
      </c>
      <c r="W955" t="str">
        <f t="shared" si="102"/>
        <v/>
      </c>
      <c r="X955" t="str">
        <f t="shared" si="103"/>
        <v/>
      </c>
      <c r="Y955" s="4" t="str">
        <f>IF($A955="","",IF(AND(LEFT($G955,3)="ДОК",$N955&lt;&gt;""),IFERROR(INDEX(Документация!$G$2:$G$57,MATCH($N955,Документация!$F$2:$F$57,0)),$D955),$D955&amp;IF(AND(LEFT($G955,3)&lt;&gt;"ДОК",$N955&lt;&gt;"")," — "&amp;IFERROR(INDEX(МАТЕРИАЛЫ!$C$2:$C$9000,MATCH($N955,МАТЕРИАЛЫ!$L$2:$L$9000,0)),""),"")))</f>
        <v/>
      </c>
      <c r="Z955" t="str">
        <f t="shared" si="104"/>
        <v/>
      </c>
    </row>
    <row r="956" spans="1:26" x14ac:dyDescent="0.3">
      <c r="A956" s="8"/>
      <c r="D956" s="4"/>
      <c r="F956" s="5"/>
      <c r="L956" s="6"/>
      <c r="M956" s="6"/>
      <c r="N956" s="6"/>
      <c r="O956" s="5"/>
      <c r="P956" s="7" t="str">
        <f t="shared" si="98"/>
        <v/>
      </c>
      <c r="Q956" s="7" t="str">
        <f t="shared" si="99"/>
        <v/>
      </c>
      <c r="R956" s="7" t="str">
        <f t="shared" si="100"/>
        <v/>
      </c>
      <c r="S956" s="7" t="str">
        <f>IF($A956="","",IF(AND(LEFT($G956,3)="ДОК",$N956&lt;&gt;""),IFERROR(INDEX(Документация!$E$2:$E$57,MATCH($N956,Документация!$F$2:$F$57,0)),0),N($F956))*(1-MEDIAN(0,N(ДисконтТендер),1)))</f>
        <v/>
      </c>
      <c r="T956" s="7" t="str">
        <f>IF($A956="","",IF(AND(LEFT($G956,3)="ДОК",$N956&lt;&gt;""),0,IF(AND(LEFT($G956,3)&lt;&gt;"ДОК",$N956&lt;&gt;""),IFERROR(INDEX(МАТЕРИАЛЫ!$H$2:$H$9000,MATCH($N956,МАТЕРИАЛЫ!$L$2:$L$9000,0))*IF(INDEX(МАТЕРИАЛЫ!$I$2:$I$9000,MATCH($N956,МАТЕРИАЛЫ!$L$2:$L$9000,0))="USD",КурсUSD,IF(INDEX(МАТЕРИАЛЫ!$I$2:$I$9000,MATCH($N956,МАТЕРИАЛЫ!$L$2:$L$9000,0))="EUR",КурсEUR,IF(INDEX(МАТЕРИАЛЫ!$I$2:$I$9000,MATCH($N956,МАТЕРИАЛЫ!$L$2:$L$9000,0))="CNY",КурсCNY,1)))*(1+N($H956)/100),0),N($O956))*(1-MEDIAN(0,N(ДисконтТендер),1))))</f>
        <v/>
      </c>
      <c r="U956" t="str">
        <f>IF($L956="да",MAX($U$1:$U955)+1,"")</f>
        <v/>
      </c>
      <c r="V956" t="str">
        <f t="shared" si="101"/>
        <v/>
      </c>
      <c r="W956" t="str">
        <f t="shared" si="102"/>
        <v/>
      </c>
      <c r="X956" t="str">
        <f t="shared" si="103"/>
        <v/>
      </c>
      <c r="Y956" s="4" t="str">
        <f>IF($A956="","",IF(AND(LEFT($G956,3)="ДОК",$N956&lt;&gt;""),IFERROR(INDEX(Документация!$G$2:$G$57,MATCH($N956,Документация!$F$2:$F$57,0)),$D956),$D956&amp;IF(AND(LEFT($G956,3)&lt;&gt;"ДОК",$N956&lt;&gt;"")," — "&amp;IFERROR(INDEX(МАТЕРИАЛЫ!$C$2:$C$9000,MATCH($N956,МАТЕРИАЛЫ!$L$2:$L$9000,0)),""),"")))</f>
        <v/>
      </c>
      <c r="Z956" t="str">
        <f t="shared" si="104"/>
        <v/>
      </c>
    </row>
    <row r="957" spans="1:26" x14ac:dyDescent="0.3">
      <c r="A957" s="8"/>
      <c r="D957" s="4"/>
      <c r="F957" s="5"/>
      <c r="L957" s="6"/>
      <c r="M957" s="6"/>
      <c r="N957" s="6"/>
      <c r="O957" s="5"/>
      <c r="P957" s="7" t="str">
        <f t="shared" si="98"/>
        <v/>
      </c>
      <c r="Q957" s="7" t="str">
        <f t="shared" si="99"/>
        <v/>
      </c>
      <c r="R957" s="7" t="str">
        <f t="shared" si="100"/>
        <v/>
      </c>
      <c r="S957" s="7" t="str">
        <f>IF($A957="","",IF(AND(LEFT($G957,3)="ДОК",$N957&lt;&gt;""),IFERROR(INDEX(Документация!$E$2:$E$57,MATCH($N957,Документация!$F$2:$F$57,0)),0),N($F957))*(1-MEDIAN(0,N(ДисконтТендер),1)))</f>
        <v/>
      </c>
      <c r="T957" s="7" t="str">
        <f>IF($A957="","",IF(AND(LEFT($G957,3)="ДОК",$N957&lt;&gt;""),0,IF(AND(LEFT($G957,3)&lt;&gt;"ДОК",$N957&lt;&gt;""),IFERROR(INDEX(МАТЕРИАЛЫ!$H$2:$H$9000,MATCH($N957,МАТЕРИАЛЫ!$L$2:$L$9000,0))*IF(INDEX(МАТЕРИАЛЫ!$I$2:$I$9000,MATCH($N957,МАТЕРИАЛЫ!$L$2:$L$9000,0))="USD",КурсUSD,IF(INDEX(МАТЕРИАЛЫ!$I$2:$I$9000,MATCH($N957,МАТЕРИАЛЫ!$L$2:$L$9000,0))="EUR",КурсEUR,IF(INDEX(МАТЕРИАЛЫ!$I$2:$I$9000,MATCH($N957,МАТЕРИАЛЫ!$L$2:$L$9000,0))="CNY",КурсCNY,1)))*(1+N($H957)/100),0),N($O957))*(1-MEDIAN(0,N(ДисконтТендер),1))))</f>
        <v/>
      </c>
      <c r="U957" t="str">
        <f>IF($L957="да",MAX($U$1:$U956)+1,"")</f>
        <v/>
      </c>
      <c r="V957" t="str">
        <f t="shared" si="101"/>
        <v/>
      </c>
      <c r="W957" t="str">
        <f t="shared" si="102"/>
        <v/>
      </c>
      <c r="X957" t="str">
        <f t="shared" si="103"/>
        <v/>
      </c>
      <c r="Y957" s="4" t="str">
        <f>IF($A957="","",IF(AND(LEFT($G957,3)="ДОК",$N957&lt;&gt;""),IFERROR(INDEX(Документация!$G$2:$G$57,MATCH($N957,Документация!$F$2:$F$57,0)),$D957),$D957&amp;IF(AND(LEFT($G957,3)&lt;&gt;"ДОК",$N957&lt;&gt;"")," — "&amp;IFERROR(INDEX(МАТЕРИАЛЫ!$C$2:$C$9000,MATCH($N957,МАТЕРИАЛЫ!$L$2:$L$9000,0)),""),"")))</f>
        <v/>
      </c>
      <c r="Z957" t="str">
        <f t="shared" si="104"/>
        <v/>
      </c>
    </row>
    <row r="958" spans="1:26" x14ac:dyDescent="0.3">
      <c r="A958" s="8"/>
      <c r="D958" s="4"/>
      <c r="F958" s="5"/>
      <c r="L958" s="6"/>
      <c r="M958" s="6"/>
      <c r="N958" s="6"/>
      <c r="O958" s="5"/>
      <c r="P958" s="7" t="str">
        <f t="shared" si="98"/>
        <v/>
      </c>
      <c r="Q958" s="7" t="str">
        <f t="shared" si="99"/>
        <v/>
      </c>
      <c r="R958" s="7" t="str">
        <f t="shared" si="100"/>
        <v/>
      </c>
      <c r="S958" s="7" t="str">
        <f>IF($A958="","",IF(AND(LEFT($G958,3)="ДОК",$N958&lt;&gt;""),IFERROR(INDEX(Документация!$E$2:$E$57,MATCH($N958,Документация!$F$2:$F$57,0)),0),N($F958))*(1-MEDIAN(0,N(ДисконтТендер),1)))</f>
        <v/>
      </c>
      <c r="T958" s="7" t="str">
        <f>IF($A958="","",IF(AND(LEFT($G958,3)="ДОК",$N958&lt;&gt;""),0,IF(AND(LEFT($G958,3)&lt;&gt;"ДОК",$N958&lt;&gt;""),IFERROR(INDEX(МАТЕРИАЛЫ!$H$2:$H$9000,MATCH($N958,МАТЕРИАЛЫ!$L$2:$L$9000,0))*IF(INDEX(МАТЕРИАЛЫ!$I$2:$I$9000,MATCH($N958,МАТЕРИАЛЫ!$L$2:$L$9000,0))="USD",КурсUSD,IF(INDEX(МАТЕРИАЛЫ!$I$2:$I$9000,MATCH($N958,МАТЕРИАЛЫ!$L$2:$L$9000,0))="EUR",КурсEUR,IF(INDEX(МАТЕРИАЛЫ!$I$2:$I$9000,MATCH($N958,МАТЕРИАЛЫ!$L$2:$L$9000,0))="CNY",КурсCNY,1)))*(1+N($H958)/100),0),N($O958))*(1-MEDIAN(0,N(ДисконтТендер),1))))</f>
        <v/>
      </c>
      <c r="U958" t="str">
        <f>IF($L958="да",MAX($U$1:$U957)+1,"")</f>
        <v/>
      </c>
      <c r="V958" t="str">
        <f t="shared" si="101"/>
        <v/>
      </c>
      <c r="W958" t="str">
        <f t="shared" si="102"/>
        <v/>
      </c>
      <c r="X958" t="str">
        <f t="shared" si="103"/>
        <v/>
      </c>
      <c r="Y958" s="4" t="str">
        <f>IF($A958="","",IF(AND(LEFT($G958,3)="ДОК",$N958&lt;&gt;""),IFERROR(INDEX(Документация!$G$2:$G$57,MATCH($N958,Документация!$F$2:$F$57,0)),$D958),$D958&amp;IF(AND(LEFT($G958,3)&lt;&gt;"ДОК",$N958&lt;&gt;"")," — "&amp;IFERROR(INDEX(МАТЕРИАЛЫ!$C$2:$C$9000,MATCH($N958,МАТЕРИАЛЫ!$L$2:$L$9000,0)),""),"")))</f>
        <v/>
      </c>
      <c r="Z958" t="str">
        <f t="shared" si="104"/>
        <v/>
      </c>
    </row>
    <row r="959" spans="1:26" x14ac:dyDescent="0.3">
      <c r="A959" s="8"/>
      <c r="D959" s="4"/>
      <c r="F959" s="5"/>
      <c r="L959" s="6"/>
      <c r="M959" s="6"/>
      <c r="N959" s="6"/>
      <c r="O959" s="5"/>
      <c r="P959" s="7" t="str">
        <f t="shared" si="98"/>
        <v/>
      </c>
      <c r="Q959" s="7" t="str">
        <f t="shared" si="99"/>
        <v/>
      </c>
      <c r="R959" s="7" t="str">
        <f t="shared" si="100"/>
        <v/>
      </c>
      <c r="S959" s="7" t="str">
        <f>IF($A959="","",IF(AND(LEFT($G959,3)="ДОК",$N959&lt;&gt;""),IFERROR(INDEX(Документация!$E$2:$E$57,MATCH($N959,Документация!$F$2:$F$57,0)),0),N($F959))*(1-MEDIAN(0,N(ДисконтТендер),1)))</f>
        <v/>
      </c>
      <c r="T959" s="7" t="str">
        <f>IF($A959="","",IF(AND(LEFT($G959,3)="ДОК",$N959&lt;&gt;""),0,IF(AND(LEFT($G959,3)&lt;&gt;"ДОК",$N959&lt;&gt;""),IFERROR(INDEX(МАТЕРИАЛЫ!$H$2:$H$9000,MATCH($N959,МАТЕРИАЛЫ!$L$2:$L$9000,0))*IF(INDEX(МАТЕРИАЛЫ!$I$2:$I$9000,MATCH($N959,МАТЕРИАЛЫ!$L$2:$L$9000,0))="USD",КурсUSD,IF(INDEX(МАТЕРИАЛЫ!$I$2:$I$9000,MATCH($N959,МАТЕРИАЛЫ!$L$2:$L$9000,0))="EUR",КурсEUR,IF(INDEX(МАТЕРИАЛЫ!$I$2:$I$9000,MATCH($N959,МАТЕРИАЛЫ!$L$2:$L$9000,0))="CNY",КурсCNY,1)))*(1+N($H959)/100),0),N($O959))*(1-MEDIAN(0,N(ДисконтТендер),1))))</f>
        <v/>
      </c>
      <c r="U959" t="str">
        <f>IF($L959="да",MAX($U$1:$U958)+1,"")</f>
        <v/>
      </c>
      <c r="V959" t="str">
        <f t="shared" si="101"/>
        <v/>
      </c>
      <c r="W959" t="str">
        <f t="shared" si="102"/>
        <v/>
      </c>
      <c r="X959" t="str">
        <f t="shared" si="103"/>
        <v/>
      </c>
      <c r="Y959" s="4" t="str">
        <f>IF($A959="","",IF(AND(LEFT($G959,3)="ДОК",$N959&lt;&gt;""),IFERROR(INDEX(Документация!$G$2:$G$57,MATCH($N959,Документация!$F$2:$F$57,0)),$D959),$D959&amp;IF(AND(LEFT($G959,3)&lt;&gt;"ДОК",$N959&lt;&gt;"")," — "&amp;IFERROR(INDEX(МАТЕРИАЛЫ!$C$2:$C$9000,MATCH($N959,МАТЕРИАЛЫ!$L$2:$L$9000,0)),""),"")))</f>
        <v/>
      </c>
      <c r="Z959" t="str">
        <f t="shared" si="104"/>
        <v/>
      </c>
    </row>
    <row r="960" spans="1:26" x14ac:dyDescent="0.3">
      <c r="A960" s="8"/>
      <c r="D960" s="4"/>
      <c r="F960" s="5"/>
      <c r="L960" s="6"/>
      <c r="M960" s="6"/>
      <c r="N960" s="6"/>
      <c r="O960" s="5"/>
      <c r="P960" s="7" t="str">
        <f t="shared" si="98"/>
        <v/>
      </c>
      <c r="Q960" s="7" t="str">
        <f t="shared" si="99"/>
        <v/>
      </c>
      <c r="R960" s="7" t="str">
        <f t="shared" si="100"/>
        <v/>
      </c>
      <c r="S960" s="7" t="str">
        <f>IF($A960="","",IF(AND(LEFT($G960,3)="ДОК",$N960&lt;&gt;""),IFERROR(INDEX(Документация!$E$2:$E$57,MATCH($N960,Документация!$F$2:$F$57,0)),0),N($F960))*(1-MEDIAN(0,N(ДисконтТендер),1)))</f>
        <v/>
      </c>
      <c r="T960" s="7" t="str">
        <f>IF($A960="","",IF(AND(LEFT($G960,3)="ДОК",$N960&lt;&gt;""),0,IF(AND(LEFT($G960,3)&lt;&gt;"ДОК",$N960&lt;&gt;""),IFERROR(INDEX(МАТЕРИАЛЫ!$H$2:$H$9000,MATCH($N960,МАТЕРИАЛЫ!$L$2:$L$9000,0))*IF(INDEX(МАТЕРИАЛЫ!$I$2:$I$9000,MATCH($N960,МАТЕРИАЛЫ!$L$2:$L$9000,0))="USD",КурсUSD,IF(INDEX(МАТЕРИАЛЫ!$I$2:$I$9000,MATCH($N960,МАТЕРИАЛЫ!$L$2:$L$9000,0))="EUR",КурсEUR,IF(INDEX(МАТЕРИАЛЫ!$I$2:$I$9000,MATCH($N960,МАТЕРИАЛЫ!$L$2:$L$9000,0))="CNY",КурсCNY,1)))*(1+N($H960)/100),0),N($O960))*(1-MEDIAN(0,N(ДисконтТендер),1))))</f>
        <v/>
      </c>
      <c r="U960" t="str">
        <f>IF($L960="да",MAX($U$1:$U959)+1,"")</f>
        <v/>
      </c>
      <c r="V960" t="str">
        <f t="shared" si="101"/>
        <v/>
      </c>
      <c r="W960" t="str">
        <f t="shared" si="102"/>
        <v/>
      </c>
      <c r="X960" t="str">
        <f t="shared" si="103"/>
        <v/>
      </c>
      <c r="Y960" s="4" t="str">
        <f>IF($A960="","",IF(AND(LEFT($G960,3)="ДОК",$N960&lt;&gt;""),IFERROR(INDEX(Документация!$G$2:$G$57,MATCH($N960,Документация!$F$2:$F$57,0)),$D960),$D960&amp;IF(AND(LEFT($G960,3)&lt;&gt;"ДОК",$N960&lt;&gt;"")," — "&amp;IFERROR(INDEX(МАТЕРИАЛЫ!$C$2:$C$9000,MATCH($N960,МАТЕРИАЛЫ!$L$2:$L$9000,0)),""),"")))</f>
        <v/>
      </c>
      <c r="Z960" t="str">
        <f t="shared" si="104"/>
        <v/>
      </c>
    </row>
    <row r="961" spans="1:26" x14ac:dyDescent="0.3">
      <c r="A961" s="8"/>
      <c r="D961" s="4"/>
      <c r="F961" s="5"/>
      <c r="L961" s="6"/>
      <c r="M961" s="6"/>
      <c r="N961" s="6"/>
      <c r="O961" s="5"/>
      <c r="P961" s="7" t="str">
        <f t="shared" si="98"/>
        <v/>
      </c>
      <c r="Q961" s="7" t="str">
        <f t="shared" si="99"/>
        <v/>
      </c>
      <c r="R961" s="7" t="str">
        <f t="shared" si="100"/>
        <v/>
      </c>
      <c r="S961" s="7" t="str">
        <f>IF($A961="","",IF(AND(LEFT($G961,3)="ДОК",$N961&lt;&gt;""),IFERROR(INDEX(Документация!$E$2:$E$57,MATCH($N961,Документация!$F$2:$F$57,0)),0),N($F961))*(1-MEDIAN(0,N(ДисконтТендер),1)))</f>
        <v/>
      </c>
      <c r="T961" s="7" t="str">
        <f>IF($A961="","",IF(AND(LEFT($G961,3)="ДОК",$N961&lt;&gt;""),0,IF(AND(LEFT($G961,3)&lt;&gt;"ДОК",$N961&lt;&gt;""),IFERROR(INDEX(МАТЕРИАЛЫ!$H$2:$H$9000,MATCH($N961,МАТЕРИАЛЫ!$L$2:$L$9000,0))*IF(INDEX(МАТЕРИАЛЫ!$I$2:$I$9000,MATCH($N961,МАТЕРИАЛЫ!$L$2:$L$9000,0))="USD",КурсUSD,IF(INDEX(МАТЕРИАЛЫ!$I$2:$I$9000,MATCH($N961,МАТЕРИАЛЫ!$L$2:$L$9000,0))="EUR",КурсEUR,IF(INDEX(МАТЕРИАЛЫ!$I$2:$I$9000,MATCH($N961,МАТЕРИАЛЫ!$L$2:$L$9000,0))="CNY",КурсCNY,1)))*(1+N($H961)/100),0),N($O961))*(1-MEDIAN(0,N(ДисконтТендер),1))))</f>
        <v/>
      </c>
      <c r="U961" t="str">
        <f>IF($L961="да",MAX($U$1:$U960)+1,"")</f>
        <v/>
      </c>
      <c r="V961" t="str">
        <f t="shared" si="101"/>
        <v/>
      </c>
      <c r="W961" t="str">
        <f t="shared" si="102"/>
        <v/>
      </c>
      <c r="X961" t="str">
        <f t="shared" si="103"/>
        <v/>
      </c>
      <c r="Y961" s="4" t="str">
        <f>IF($A961="","",IF(AND(LEFT($G961,3)="ДОК",$N961&lt;&gt;""),IFERROR(INDEX(Документация!$G$2:$G$57,MATCH($N961,Документация!$F$2:$F$57,0)),$D961),$D961&amp;IF(AND(LEFT($G961,3)&lt;&gt;"ДОК",$N961&lt;&gt;"")," — "&amp;IFERROR(INDEX(МАТЕРИАЛЫ!$C$2:$C$9000,MATCH($N961,МАТЕРИАЛЫ!$L$2:$L$9000,0)),""),"")))</f>
        <v/>
      </c>
      <c r="Z961" t="str">
        <f t="shared" si="104"/>
        <v/>
      </c>
    </row>
    <row r="962" spans="1:26" x14ac:dyDescent="0.3">
      <c r="A962" s="8"/>
      <c r="D962" s="4"/>
      <c r="F962" s="5"/>
      <c r="L962" s="6"/>
      <c r="M962" s="6"/>
      <c r="N962" s="6"/>
      <c r="O962" s="5"/>
      <c r="P962" s="7" t="str">
        <f t="shared" ref="P962:P1025" si="105">IF($L962="да",ROUND(N($M962)*$S962,2),"")</f>
        <v/>
      </c>
      <c r="Q962" s="7" t="str">
        <f t="shared" ref="Q962:Q1025" si="106">IF($L962="да",ROUND(N($M962)*$T962,2),"")</f>
        <v/>
      </c>
      <c r="R962" s="7" t="str">
        <f t="shared" ref="R962:R1025" si="107">IF($L962="да",N($P962)+N($Q962),"")</f>
        <v/>
      </c>
      <c r="S962" s="7" t="str">
        <f>IF($A962="","",IF(AND(LEFT($G962,3)="ДОК",$N962&lt;&gt;""),IFERROR(INDEX(Документация!$E$2:$E$57,MATCH($N962,Документация!$F$2:$F$57,0)),0),N($F962))*(1-MEDIAN(0,N(ДисконтТендер),1)))</f>
        <v/>
      </c>
      <c r="T962" s="7" t="str">
        <f>IF($A962="","",IF(AND(LEFT($G962,3)="ДОК",$N962&lt;&gt;""),0,IF(AND(LEFT($G962,3)&lt;&gt;"ДОК",$N962&lt;&gt;""),IFERROR(INDEX(МАТЕРИАЛЫ!$H$2:$H$9000,MATCH($N962,МАТЕРИАЛЫ!$L$2:$L$9000,0))*IF(INDEX(МАТЕРИАЛЫ!$I$2:$I$9000,MATCH($N962,МАТЕРИАЛЫ!$L$2:$L$9000,0))="USD",КурсUSD,IF(INDEX(МАТЕРИАЛЫ!$I$2:$I$9000,MATCH($N962,МАТЕРИАЛЫ!$L$2:$L$9000,0))="EUR",КурсEUR,IF(INDEX(МАТЕРИАЛЫ!$I$2:$I$9000,MATCH($N962,МАТЕРИАЛЫ!$L$2:$L$9000,0))="CNY",КурсCNY,1)))*(1+N($H962)/100),0),N($O962))*(1-MEDIAN(0,N(ДисконтТендер),1))))</f>
        <v/>
      </c>
      <c r="U962" t="str">
        <f>IF($L962="да",MAX($U$1:$U961)+1,"")</f>
        <v/>
      </c>
      <c r="V962" t="str">
        <f t="shared" ref="V962:V1025" si="108">IF($A962="","",$B962)</f>
        <v/>
      </c>
      <c r="W962" t="str">
        <f t="shared" ref="W962:W1025" si="109">IF($U962="","",IF($U962=1,1,IF($V962&lt;&gt;IFERROR(INDEX($V$2:$V$1058,MATCH($U962-1,$U$2:$U$1058,0)),"~"),1,0)))</f>
        <v/>
      </c>
      <c r="X962" t="str">
        <f t="shared" ref="X962:X1025" si="110">IF($U962="","",$U962+SUMIFS($W$2:$W$1058,$U$2:$U$1058,"&lt;="&amp;$U962))</f>
        <v/>
      </c>
      <c r="Y962" s="4" t="str">
        <f>IF($A962="","",IF(AND(LEFT($G962,3)="ДОК",$N962&lt;&gt;""),IFERROR(INDEX(Документация!$G$2:$G$57,MATCH($N962,Документация!$F$2:$F$57,0)),$D962),$D962&amp;IF(AND(LEFT($G962,3)&lt;&gt;"ДОК",$N962&lt;&gt;"")," — "&amp;IFERROR(INDEX(МАТЕРИАЛЫ!$C$2:$C$9000,MATCH($N962,МАТЕРИАЛЫ!$L$2:$L$9000,0)),""),"")))</f>
        <v/>
      </c>
      <c r="Z962" t="str">
        <f t="shared" ref="Z962:Z1025" si="111">IF($B962="","",$B962&amp;" · "&amp;IFERROR(VLOOKUP($B962,спрРазделы,2,0),""))</f>
        <v/>
      </c>
    </row>
    <row r="963" spans="1:26" x14ac:dyDescent="0.3">
      <c r="A963" s="8"/>
      <c r="D963" s="4"/>
      <c r="F963" s="5"/>
      <c r="L963" s="6"/>
      <c r="M963" s="6"/>
      <c r="N963" s="6"/>
      <c r="O963" s="5"/>
      <c r="P963" s="7" t="str">
        <f t="shared" si="105"/>
        <v/>
      </c>
      <c r="Q963" s="7" t="str">
        <f t="shared" si="106"/>
        <v/>
      </c>
      <c r="R963" s="7" t="str">
        <f t="shared" si="107"/>
        <v/>
      </c>
      <c r="S963" s="7" t="str">
        <f>IF($A963="","",IF(AND(LEFT($G963,3)="ДОК",$N963&lt;&gt;""),IFERROR(INDEX(Документация!$E$2:$E$57,MATCH($N963,Документация!$F$2:$F$57,0)),0),N($F963))*(1-MEDIAN(0,N(ДисконтТендер),1)))</f>
        <v/>
      </c>
      <c r="T963" s="7" t="str">
        <f>IF($A963="","",IF(AND(LEFT($G963,3)="ДОК",$N963&lt;&gt;""),0,IF(AND(LEFT($G963,3)&lt;&gt;"ДОК",$N963&lt;&gt;""),IFERROR(INDEX(МАТЕРИАЛЫ!$H$2:$H$9000,MATCH($N963,МАТЕРИАЛЫ!$L$2:$L$9000,0))*IF(INDEX(МАТЕРИАЛЫ!$I$2:$I$9000,MATCH($N963,МАТЕРИАЛЫ!$L$2:$L$9000,0))="USD",КурсUSD,IF(INDEX(МАТЕРИАЛЫ!$I$2:$I$9000,MATCH($N963,МАТЕРИАЛЫ!$L$2:$L$9000,0))="EUR",КурсEUR,IF(INDEX(МАТЕРИАЛЫ!$I$2:$I$9000,MATCH($N963,МАТЕРИАЛЫ!$L$2:$L$9000,0))="CNY",КурсCNY,1)))*(1+N($H963)/100),0),N($O963))*(1-MEDIAN(0,N(ДисконтТендер),1))))</f>
        <v/>
      </c>
      <c r="U963" t="str">
        <f>IF($L963="да",MAX($U$1:$U962)+1,"")</f>
        <v/>
      </c>
      <c r="V963" t="str">
        <f t="shared" si="108"/>
        <v/>
      </c>
      <c r="W963" t="str">
        <f t="shared" si="109"/>
        <v/>
      </c>
      <c r="X963" t="str">
        <f t="shared" si="110"/>
        <v/>
      </c>
      <c r="Y963" s="4" t="str">
        <f>IF($A963="","",IF(AND(LEFT($G963,3)="ДОК",$N963&lt;&gt;""),IFERROR(INDEX(Документация!$G$2:$G$57,MATCH($N963,Документация!$F$2:$F$57,0)),$D963),$D963&amp;IF(AND(LEFT($G963,3)&lt;&gt;"ДОК",$N963&lt;&gt;"")," — "&amp;IFERROR(INDEX(МАТЕРИАЛЫ!$C$2:$C$9000,MATCH($N963,МАТЕРИАЛЫ!$L$2:$L$9000,0)),""),"")))</f>
        <v/>
      </c>
      <c r="Z963" t="str">
        <f t="shared" si="111"/>
        <v/>
      </c>
    </row>
    <row r="964" spans="1:26" x14ac:dyDescent="0.3">
      <c r="A964" s="8"/>
      <c r="D964" s="4"/>
      <c r="F964" s="5"/>
      <c r="L964" s="6"/>
      <c r="M964" s="6"/>
      <c r="N964" s="6"/>
      <c r="O964" s="5"/>
      <c r="P964" s="7" t="str">
        <f t="shared" si="105"/>
        <v/>
      </c>
      <c r="Q964" s="7" t="str">
        <f t="shared" si="106"/>
        <v/>
      </c>
      <c r="R964" s="7" t="str">
        <f t="shared" si="107"/>
        <v/>
      </c>
      <c r="S964" s="7" t="str">
        <f>IF($A964="","",IF(AND(LEFT($G964,3)="ДОК",$N964&lt;&gt;""),IFERROR(INDEX(Документация!$E$2:$E$57,MATCH($N964,Документация!$F$2:$F$57,0)),0),N($F964))*(1-MEDIAN(0,N(ДисконтТендер),1)))</f>
        <v/>
      </c>
      <c r="T964" s="7" t="str">
        <f>IF($A964="","",IF(AND(LEFT($G964,3)="ДОК",$N964&lt;&gt;""),0,IF(AND(LEFT($G964,3)&lt;&gt;"ДОК",$N964&lt;&gt;""),IFERROR(INDEX(МАТЕРИАЛЫ!$H$2:$H$9000,MATCH($N964,МАТЕРИАЛЫ!$L$2:$L$9000,0))*IF(INDEX(МАТЕРИАЛЫ!$I$2:$I$9000,MATCH($N964,МАТЕРИАЛЫ!$L$2:$L$9000,0))="USD",КурсUSD,IF(INDEX(МАТЕРИАЛЫ!$I$2:$I$9000,MATCH($N964,МАТЕРИАЛЫ!$L$2:$L$9000,0))="EUR",КурсEUR,IF(INDEX(МАТЕРИАЛЫ!$I$2:$I$9000,MATCH($N964,МАТЕРИАЛЫ!$L$2:$L$9000,0))="CNY",КурсCNY,1)))*(1+N($H964)/100),0),N($O964))*(1-MEDIAN(0,N(ДисконтТендер),1))))</f>
        <v/>
      </c>
      <c r="U964" t="str">
        <f>IF($L964="да",MAX($U$1:$U963)+1,"")</f>
        <v/>
      </c>
      <c r="V964" t="str">
        <f t="shared" si="108"/>
        <v/>
      </c>
      <c r="W964" t="str">
        <f t="shared" si="109"/>
        <v/>
      </c>
      <c r="X964" t="str">
        <f t="shared" si="110"/>
        <v/>
      </c>
      <c r="Y964" s="4" t="str">
        <f>IF($A964="","",IF(AND(LEFT($G964,3)="ДОК",$N964&lt;&gt;""),IFERROR(INDEX(Документация!$G$2:$G$57,MATCH($N964,Документация!$F$2:$F$57,0)),$D964),$D964&amp;IF(AND(LEFT($G964,3)&lt;&gt;"ДОК",$N964&lt;&gt;"")," — "&amp;IFERROR(INDEX(МАТЕРИАЛЫ!$C$2:$C$9000,MATCH($N964,МАТЕРИАЛЫ!$L$2:$L$9000,0)),""),"")))</f>
        <v/>
      </c>
      <c r="Z964" t="str">
        <f t="shared" si="111"/>
        <v/>
      </c>
    </row>
    <row r="965" spans="1:26" x14ac:dyDescent="0.3">
      <c r="A965" s="8"/>
      <c r="D965" s="4"/>
      <c r="F965" s="5"/>
      <c r="L965" s="6"/>
      <c r="M965" s="6"/>
      <c r="N965" s="6"/>
      <c r="O965" s="5"/>
      <c r="P965" s="7" t="str">
        <f t="shared" si="105"/>
        <v/>
      </c>
      <c r="Q965" s="7" t="str">
        <f t="shared" si="106"/>
        <v/>
      </c>
      <c r="R965" s="7" t="str">
        <f t="shared" si="107"/>
        <v/>
      </c>
      <c r="S965" s="7" t="str">
        <f>IF($A965="","",IF(AND(LEFT($G965,3)="ДОК",$N965&lt;&gt;""),IFERROR(INDEX(Документация!$E$2:$E$57,MATCH($N965,Документация!$F$2:$F$57,0)),0),N($F965))*(1-MEDIAN(0,N(ДисконтТендер),1)))</f>
        <v/>
      </c>
      <c r="T965" s="7" t="str">
        <f>IF($A965="","",IF(AND(LEFT($G965,3)="ДОК",$N965&lt;&gt;""),0,IF(AND(LEFT($G965,3)&lt;&gt;"ДОК",$N965&lt;&gt;""),IFERROR(INDEX(МАТЕРИАЛЫ!$H$2:$H$9000,MATCH($N965,МАТЕРИАЛЫ!$L$2:$L$9000,0))*IF(INDEX(МАТЕРИАЛЫ!$I$2:$I$9000,MATCH($N965,МАТЕРИАЛЫ!$L$2:$L$9000,0))="USD",КурсUSD,IF(INDEX(МАТЕРИАЛЫ!$I$2:$I$9000,MATCH($N965,МАТЕРИАЛЫ!$L$2:$L$9000,0))="EUR",КурсEUR,IF(INDEX(МАТЕРИАЛЫ!$I$2:$I$9000,MATCH($N965,МАТЕРИАЛЫ!$L$2:$L$9000,0))="CNY",КурсCNY,1)))*(1+N($H965)/100),0),N($O965))*(1-MEDIAN(0,N(ДисконтТендер),1))))</f>
        <v/>
      </c>
      <c r="U965" t="str">
        <f>IF($L965="да",MAX($U$1:$U964)+1,"")</f>
        <v/>
      </c>
      <c r="V965" t="str">
        <f t="shared" si="108"/>
        <v/>
      </c>
      <c r="W965" t="str">
        <f t="shared" si="109"/>
        <v/>
      </c>
      <c r="X965" t="str">
        <f t="shared" si="110"/>
        <v/>
      </c>
      <c r="Y965" s="4" t="str">
        <f>IF($A965="","",IF(AND(LEFT($G965,3)="ДОК",$N965&lt;&gt;""),IFERROR(INDEX(Документация!$G$2:$G$57,MATCH($N965,Документация!$F$2:$F$57,0)),$D965),$D965&amp;IF(AND(LEFT($G965,3)&lt;&gt;"ДОК",$N965&lt;&gt;"")," — "&amp;IFERROR(INDEX(МАТЕРИАЛЫ!$C$2:$C$9000,MATCH($N965,МАТЕРИАЛЫ!$L$2:$L$9000,0)),""),"")))</f>
        <v/>
      </c>
      <c r="Z965" t="str">
        <f t="shared" si="111"/>
        <v/>
      </c>
    </row>
    <row r="966" spans="1:26" x14ac:dyDescent="0.3">
      <c r="A966" s="8"/>
      <c r="D966" s="4"/>
      <c r="F966" s="5"/>
      <c r="L966" s="6"/>
      <c r="M966" s="6"/>
      <c r="N966" s="6"/>
      <c r="O966" s="5"/>
      <c r="P966" s="7" t="str">
        <f t="shared" si="105"/>
        <v/>
      </c>
      <c r="Q966" s="7" t="str">
        <f t="shared" si="106"/>
        <v/>
      </c>
      <c r="R966" s="7" t="str">
        <f t="shared" si="107"/>
        <v/>
      </c>
      <c r="S966" s="7" t="str">
        <f>IF($A966="","",IF(AND(LEFT($G966,3)="ДОК",$N966&lt;&gt;""),IFERROR(INDEX(Документация!$E$2:$E$57,MATCH($N966,Документация!$F$2:$F$57,0)),0),N($F966))*(1-MEDIAN(0,N(ДисконтТендер),1)))</f>
        <v/>
      </c>
      <c r="T966" s="7" t="str">
        <f>IF($A966="","",IF(AND(LEFT($G966,3)="ДОК",$N966&lt;&gt;""),0,IF(AND(LEFT($G966,3)&lt;&gt;"ДОК",$N966&lt;&gt;""),IFERROR(INDEX(МАТЕРИАЛЫ!$H$2:$H$9000,MATCH($N966,МАТЕРИАЛЫ!$L$2:$L$9000,0))*IF(INDEX(МАТЕРИАЛЫ!$I$2:$I$9000,MATCH($N966,МАТЕРИАЛЫ!$L$2:$L$9000,0))="USD",КурсUSD,IF(INDEX(МАТЕРИАЛЫ!$I$2:$I$9000,MATCH($N966,МАТЕРИАЛЫ!$L$2:$L$9000,0))="EUR",КурсEUR,IF(INDEX(МАТЕРИАЛЫ!$I$2:$I$9000,MATCH($N966,МАТЕРИАЛЫ!$L$2:$L$9000,0))="CNY",КурсCNY,1)))*(1+N($H966)/100),0),N($O966))*(1-MEDIAN(0,N(ДисконтТендер),1))))</f>
        <v/>
      </c>
      <c r="U966" t="str">
        <f>IF($L966="да",MAX($U$1:$U965)+1,"")</f>
        <v/>
      </c>
      <c r="V966" t="str">
        <f t="shared" si="108"/>
        <v/>
      </c>
      <c r="W966" t="str">
        <f t="shared" si="109"/>
        <v/>
      </c>
      <c r="X966" t="str">
        <f t="shared" si="110"/>
        <v/>
      </c>
      <c r="Y966" s="4" t="str">
        <f>IF($A966="","",IF(AND(LEFT($G966,3)="ДОК",$N966&lt;&gt;""),IFERROR(INDEX(Документация!$G$2:$G$57,MATCH($N966,Документация!$F$2:$F$57,0)),$D966),$D966&amp;IF(AND(LEFT($G966,3)&lt;&gt;"ДОК",$N966&lt;&gt;"")," — "&amp;IFERROR(INDEX(МАТЕРИАЛЫ!$C$2:$C$9000,MATCH($N966,МАТЕРИАЛЫ!$L$2:$L$9000,0)),""),"")))</f>
        <v/>
      </c>
      <c r="Z966" t="str">
        <f t="shared" si="111"/>
        <v/>
      </c>
    </row>
    <row r="967" spans="1:26" x14ac:dyDescent="0.3">
      <c r="A967" s="8"/>
      <c r="D967" s="4"/>
      <c r="F967" s="5"/>
      <c r="L967" s="6"/>
      <c r="M967" s="6"/>
      <c r="N967" s="6"/>
      <c r="O967" s="5"/>
      <c r="P967" s="7" t="str">
        <f t="shared" si="105"/>
        <v/>
      </c>
      <c r="Q967" s="7" t="str">
        <f t="shared" si="106"/>
        <v/>
      </c>
      <c r="R967" s="7" t="str">
        <f t="shared" si="107"/>
        <v/>
      </c>
      <c r="S967" s="7" t="str">
        <f>IF($A967="","",IF(AND(LEFT($G967,3)="ДОК",$N967&lt;&gt;""),IFERROR(INDEX(Документация!$E$2:$E$57,MATCH($N967,Документация!$F$2:$F$57,0)),0),N($F967))*(1-MEDIAN(0,N(ДисконтТендер),1)))</f>
        <v/>
      </c>
      <c r="T967" s="7" t="str">
        <f>IF($A967="","",IF(AND(LEFT($G967,3)="ДОК",$N967&lt;&gt;""),0,IF(AND(LEFT($G967,3)&lt;&gt;"ДОК",$N967&lt;&gt;""),IFERROR(INDEX(МАТЕРИАЛЫ!$H$2:$H$9000,MATCH($N967,МАТЕРИАЛЫ!$L$2:$L$9000,0))*IF(INDEX(МАТЕРИАЛЫ!$I$2:$I$9000,MATCH($N967,МАТЕРИАЛЫ!$L$2:$L$9000,0))="USD",КурсUSD,IF(INDEX(МАТЕРИАЛЫ!$I$2:$I$9000,MATCH($N967,МАТЕРИАЛЫ!$L$2:$L$9000,0))="EUR",КурсEUR,IF(INDEX(МАТЕРИАЛЫ!$I$2:$I$9000,MATCH($N967,МАТЕРИАЛЫ!$L$2:$L$9000,0))="CNY",КурсCNY,1)))*(1+N($H967)/100),0),N($O967))*(1-MEDIAN(0,N(ДисконтТендер),1))))</f>
        <v/>
      </c>
      <c r="U967" t="str">
        <f>IF($L967="да",MAX($U$1:$U966)+1,"")</f>
        <v/>
      </c>
      <c r="V967" t="str">
        <f t="shared" si="108"/>
        <v/>
      </c>
      <c r="W967" t="str">
        <f t="shared" si="109"/>
        <v/>
      </c>
      <c r="X967" t="str">
        <f t="shared" si="110"/>
        <v/>
      </c>
      <c r="Y967" s="4" t="str">
        <f>IF($A967="","",IF(AND(LEFT($G967,3)="ДОК",$N967&lt;&gt;""),IFERROR(INDEX(Документация!$G$2:$G$57,MATCH($N967,Документация!$F$2:$F$57,0)),$D967),$D967&amp;IF(AND(LEFT($G967,3)&lt;&gt;"ДОК",$N967&lt;&gt;"")," — "&amp;IFERROR(INDEX(МАТЕРИАЛЫ!$C$2:$C$9000,MATCH($N967,МАТЕРИАЛЫ!$L$2:$L$9000,0)),""),"")))</f>
        <v/>
      </c>
      <c r="Z967" t="str">
        <f t="shared" si="111"/>
        <v/>
      </c>
    </row>
    <row r="968" spans="1:26" x14ac:dyDescent="0.3">
      <c r="A968" s="8"/>
      <c r="D968" s="4"/>
      <c r="F968" s="5"/>
      <c r="L968" s="6"/>
      <c r="M968" s="6"/>
      <c r="N968" s="6"/>
      <c r="O968" s="5"/>
      <c r="P968" s="7" t="str">
        <f t="shared" si="105"/>
        <v/>
      </c>
      <c r="Q968" s="7" t="str">
        <f t="shared" si="106"/>
        <v/>
      </c>
      <c r="R968" s="7" t="str">
        <f t="shared" si="107"/>
        <v/>
      </c>
      <c r="S968" s="7" t="str">
        <f>IF($A968="","",IF(AND(LEFT($G968,3)="ДОК",$N968&lt;&gt;""),IFERROR(INDEX(Документация!$E$2:$E$57,MATCH($N968,Документация!$F$2:$F$57,0)),0),N($F968))*(1-MEDIAN(0,N(ДисконтТендер),1)))</f>
        <v/>
      </c>
      <c r="T968" s="7" t="str">
        <f>IF($A968="","",IF(AND(LEFT($G968,3)="ДОК",$N968&lt;&gt;""),0,IF(AND(LEFT($G968,3)&lt;&gt;"ДОК",$N968&lt;&gt;""),IFERROR(INDEX(МАТЕРИАЛЫ!$H$2:$H$9000,MATCH($N968,МАТЕРИАЛЫ!$L$2:$L$9000,0))*IF(INDEX(МАТЕРИАЛЫ!$I$2:$I$9000,MATCH($N968,МАТЕРИАЛЫ!$L$2:$L$9000,0))="USD",КурсUSD,IF(INDEX(МАТЕРИАЛЫ!$I$2:$I$9000,MATCH($N968,МАТЕРИАЛЫ!$L$2:$L$9000,0))="EUR",КурсEUR,IF(INDEX(МАТЕРИАЛЫ!$I$2:$I$9000,MATCH($N968,МАТЕРИАЛЫ!$L$2:$L$9000,0))="CNY",КурсCNY,1)))*(1+N($H968)/100),0),N($O968))*(1-MEDIAN(0,N(ДисконтТендер),1))))</f>
        <v/>
      </c>
      <c r="U968" t="str">
        <f>IF($L968="да",MAX($U$1:$U967)+1,"")</f>
        <v/>
      </c>
      <c r="V968" t="str">
        <f t="shared" si="108"/>
        <v/>
      </c>
      <c r="W968" t="str">
        <f t="shared" si="109"/>
        <v/>
      </c>
      <c r="X968" t="str">
        <f t="shared" si="110"/>
        <v/>
      </c>
      <c r="Y968" s="4" t="str">
        <f>IF($A968="","",IF(AND(LEFT($G968,3)="ДОК",$N968&lt;&gt;""),IFERROR(INDEX(Документация!$G$2:$G$57,MATCH($N968,Документация!$F$2:$F$57,0)),$D968),$D968&amp;IF(AND(LEFT($G968,3)&lt;&gt;"ДОК",$N968&lt;&gt;"")," — "&amp;IFERROR(INDEX(МАТЕРИАЛЫ!$C$2:$C$9000,MATCH($N968,МАТЕРИАЛЫ!$L$2:$L$9000,0)),""),"")))</f>
        <v/>
      </c>
      <c r="Z968" t="str">
        <f t="shared" si="111"/>
        <v/>
      </c>
    </row>
    <row r="969" spans="1:26" x14ac:dyDescent="0.3">
      <c r="A969" s="8"/>
      <c r="D969" s="4"/>
      <c r="F969" s="5"/>
      <c r="L969" s="6"/>
      <c r="M969" s="6"/>
      <c r="N969" s="6"/>
      <c r="O969" s="5"/>
      <c r="P969" s="7" t="str">
        <f t="shared" si="105"/>
        <v/>
      </c>
      <c r="Q969" s="7" t="str">
        <f t="shared" si="106"/>
        <v/>
      </c>
      <c r="R969" s="7" t="str">
        <f t="shared" si="107"/>
        <v/>
      </c>
      <c r="S969" s="7" t="str">
        <f>IF($A969="","",IF(AND(LEFT($G969,3)="ДОК",$N969&lt;&gt;""),IFERROR(INDEX(Документация!$E$2:$E$57,MATCH($N969,Документация!$F$2:$F$57,0)),0),N($F969))*(1-MEDIAN(0,N(ДисконтТендер),1)))</f>
        <v/>
      </c>
      <c r="T969" s="7" t="str">
        <f>IF($A969="","",IF(AND(LEFT($G969,3)="ДОК",$N969&lt;&gt;""),0,IF(AND(LEFT($G969,3)&lt;&gt;"ДОК",$N969&lt;&gt;""),IFERROR(INDEX(МАТЕРИАЛЫ!$H$2:$H$9000,MATCH($N969,МАТЕРИАЛЫ!$L$2:$L$9000,0))*IF(INDEX(МАТЕРИАЛЫ!$I$2:$I$9000,MATCH($N969,МАТЕРИАЛЫ!$L$2:$L$9000,0))="USD",КурсUSD,IF(INDEX(МАТЕРИАЛЫ!$I$2:$I$9000,MATCH($N969,МАТЕРИАЛЫ!$L$2:$L$9000,0))="EUR",КурсEUR,IF(INDEX(МАТЕРИАЛЫ!$I$2:$I$9000,MATCH($N969,МАТЕРИАЛЫ!$L$2:$L$9000,0))="CNY",КурсCNY,1)))*(1+N($H969)/100),0),N($O969))*(1-MEDIAN(0,N(ДисконтТендер),1))))</f>
        <v/>
      </c>
      <c r="U969" t="str">
        <f>IF($L969="да",MAX($U$1:$U968)+1,"")</f>
        <v/>
      </c>
      <c r="V969" t="str">
        <f t="shared" si="108"/>
        <v/>
      </c>
      <c r="W969" t="str">
        <f t="shared" si="109"/>
        <v/>
      </c>
      <c r="X969" t="str">
        <f t="shared" si="110"/>
        <v/>
      </c>
      <c r="Y969" s="4" t="str">
        <f>IF($A969="","",IF(AND(LEFT($G969,3)="ДОК",$N969&lt;&gt;""),IFERROR(INDEX(Документация!$G$2:$G$57,MATCH($N969,Документация!$F$2:$F$57,0)),$D969),$D969&amp;IF(AND(LEFT($G969,3)&lt;&gt;"ДОК",$N969&lt;&gt;"")," — "&amp;IFERROR(INDEX(МАТЕРИАЛЫ!$C$2:$C$9000,MATCH($N969,МАТЕРИАЛЫ!$L$2:$L$9000,0)),""),"")))</f>
        <v/>
      </c>
      <c r="Z969" t="str">
        <f t="shared" si="111"/>
        <v/>
      </c>
    </row>
    <row r="970" spans="1:26" x14ac:dyDescent="0.3">
      <c r="A970" s="8"/>
      <c r="D970" s="4"/>
      <c r="F970" s="5"/>
      <c r="L970" s="6"/>
      <c r="M970" s="6"/>
      <c r="N970" s="6"/>
      <c r="O970" s="5"/>
      <c r="P970" s="7" t="str">
        <f t="shared" si="105"/>
        <v/>
      </c>
      <c r="Q970" s="7" t="str">
        <f t="shared" si="106"/>
        <v/>
      </c>
      <c r="R970" s="7" t="str">
        <f t="shared" si="107"/>
        <v/>
      </c>
      <c r="S970" s="7" t="str">
        <f>IF($A970="","",IF(AND(LEFT($G970,3)="ДОК",$N970&lt;&gt;""),IFERROR(INDEX(Документация!$E$2:$E$57,MATCH($N970,Документация!$F$2:$F$57,0)),0),N($F970))*(1-MEDIAN(0,N(ДисконтТендер),1)))</f>
        <v/>
      </c>
      <c r="T970" s="7" t="str">
        <f>IF($A970="","",IF(AND(LEFT($G970,3)="ДОК",$N970&lt;&gt;""),0,IF(AND(LEFT($G970,3)&lt;&gt;"ДОК",$N970&lt;&gt;""),IFERROR(INDEX(МАТЕРИАЛЫ!$H$2:$H$9000,MATCH($N970,МАТЕРИАЛЫ!$L$2:$L$9000,0))*IF(INDEX(МАТЕРИАЛЫ!$I$2:$I$9000,MATCH($N970,МАТЕРИАЛЫ!$L$2:$L$9000,0))="USD",КурсUSD,IF(INDEX(МАТЕРИАЛЫ!$I$2:$I$9000,MATCH($N970,МАТЕРИАЛЫ!$L$2:$L$9000,0))="EUR",КурсEUR,IF(INDEX(МАТЕРИАЛЫ!$I$2:$I$9000,MATCH($N970,МАТЕРИАЛЫ!$L$2:$L$9000,0))="CNY",КурсCNY,1)))*(1+N($H970)/100),0),N($O970))*(1-MEDIAN(0,N(ДисконтТендер),1))))</f>
        <v/>
      </c>
      <c r="U970" t="str">
        <f>IF($L970="да",MAX($U$1:$U969)+1,"")</f>
        <v/>
      </c>
      <c r="V970" t="str">
        <f t="shared" si="108"/>
        <v/>
      </c>
      <c r="W970" t="str">
        <f t="shared" si="109"/>
        <v/>
      </c>
      <c r="X970" t="str">
        <f t="shared" si="110"/>
        <v/>
      </c>
      <c r="Y970" s="4" t="str">
        <f>IF($A970="","",IF(AND(LEFT($G970,3)="ДОК",$N970&lt;&gt;""),IFERROR(INDEX(Документация!$G$2:$G$57,MATCH($N970,Документация!$F$2:$F$57,0)),$D970),$D970&amp;IF(AND(LEFT($G970,3)&lt;&gt;"ДОК",$N970&lt;&gt;"")," — "&amp;IFERROR(INDEX(МАТЕРИАЛЫ!$C$2:$C$9000,MATCH($N970,МАТЕРИАЛЫ!$L$2:$L$9000,0)),""),"")))</f>
        <v/>
      </c>
      <c r="Z970" t="str">
        <f t="shared" si="111"/>
        <v/>
      </c>
    </row>
    <row r="971" spans="1:26" x14ac:dyDescent="0.3">
      <c r="A971" s="8"/>
      <c r="D971" s="4"/>
      <c r="F971" s="5"/>
      <c r="L971" s="6"/>
      <c r="M971" s="6"/>
      <c r="N971" s="6"/>
      <c r="O971" s="5"/>
      <c r="P971" s="7" t="str">
        <f t="shared" si="105"/>
        <v/>
      </c>
      <c r="Q971" s="7" t="str">
        <f t="shared" si="106"/>
        <v/>
      </c>
      <c r="R971" s="7" t="str">
        <f t="shared" si="107"/>
        <v/>
      </c>
      <c r="S971" s="7" t="str">
        <f>IF($A971="","",IF(AND(LEFT($G971,3)="ДОК",$N971&lt;&gt;""),IFERROR(INDEX(Документация!$E$2:$E$57,MATCH($N971,Документация!$F$2:$F$57,0)),0),N($F971))*(1-MEDIAN(0,N(ДисконтТендер),1)))</f>
        <v/>
      </c>
      <c r="T971" s="7" t="str">
        <f>IF($A971="","",IF(AND(LEFT($G971,3)="ДОК",$N971&lt;&gt;""),0,IF(AND(LEFT($G971,3)&lt;&gt;"ДОК",$N971&lt;&gt;""),IFERROR(INDEX(МАТЕРИАЛЫ!$H$2:$H$9000,MATCH($N971,МАТЕРИАЛЫ!$L$2:$L$9000,0))*IF(INDEX(МАТЕРИАЛЫ!$I$2:$I$9000,MATCH($N971,МАТЕРИАЛЫ!$L$2:$L$9000,0))="USD",КурсUSD,IF(INDEX(МАТЕРИАЛЫ!$I$2:$I$9000,MATCH($N971,МАТЕРИАЛЫ!$L$2:$L$9000,0))="EUR",КурсEUR,IF(INDEX(МАТЕРИАЛЫ!$I$2:$I$9000,MATCH($N971,МАТЕРИАЛЫ!$L$2:$L$9000,0))="CNY",КурсCNY,1)))*(1+N($H971)/100),0),N($O971))*(1-MEDIAN(0,N(ДисконтТендер),1))))</f>
        <v/>
      </c>
      <c r="U971" t="str">
        <f>IF($L971="да",MAX($U$1:$U970)+1,"")</f>
        <v/>
      </c>
      <c r="V971" t="str">
        <f t="shared" si="108"/>
        <v/>
      </c>
      <c r="W971" t="str">
        <f t="shared" si="109"/>
        <v/>
      </c>
      <c r="X971" t="str">
        <f t="shared" si="110"/>
        <v/>
      </c>
      <c r="Y971" s="4" t="str">
        <f>IF($A971="","",IF(AND(LEFT($G971,3)="ДОК",$N971&lt;&gt;""),IFERROR(INDEX(Документация!$G$2:$G$57,MATCH($N971,Документация!$F$2:$F$57,0)),$D971),$D971&amp;IF(AND(LEFT($G971,3)&lt;&gt;"ДОК",$N971&lt;&gt;"")," — "&amp;IFERROR(INDEX(МАТЕРИАЛЫ!$C$2:$C$9000,MATCH($N971,МАТЕРИАЛЫ!$L$2:$L$9000,0)),""),"")))</f>
        <v/>
      </c>
      <c r="Z971" t="str">
        <f t="shared" si="111"/>
        <v/>
      </c>
    </row>
    <row r="972" spans="1:26" x14ac:dyDescent="0.3">
      <c r="A972" s="8"/>
      <c r="D972" s="4"/>
      <c r="F972" s="5"/>
      <c r="L972" s="6"/>
      <c r="M972" s="6"/>
      <c r="N972" s="6"/>
      <c r="O972" s="5"/>
      <c r="P972" s="7" t="str">
        <f t="shared" si="105"/>
        <v/>
      </c>
      <c r="Q972" s="7" t="str">
        <f t="shared" si="106"/>
        <v/>
      </c>
      <c r="R972" s="7" t="str">
        <f t="shared" si="107"/>
        <v/>
      </c>
      <c r="S972" s="7" t="str">
        <f>IF($A972="","",IF(AND(LEFT($G972,3)="ДОК",$N972&lt;&gt;""),IFERROR(INDEX(Документация!$E$2:$E$57,MATCH($N972,Документация!$F$2:$F$57,0)),0),N($F972))*(1-MEDIAN(0,N(ДисконтТендер),1)))</f>
        <v/>
      </c>
      <c r="T972" s="7" t="str">
        <f>IF($A972="","",IF(AND(LEFT($G972,3)="ДОК",$N972&lt;&gt;""),0,IF(AND(LEFT($G972,3)&lt;&gt;"ДОК",$N972&lt;&gt;""),IFERROR(INDEX(МАТЕРИАЛЫ!$H$2:$H$9000,MATCH($N972,МАТЕРИАЛЫ!$L$2:$L$9000,0))*IF(INDEX(МАТЕРИАЛЫ!$I$2:$I$9000,MATCH($N972,МАТЕРИАЛЫ!$L$2:$L$9000,0))="USD",КурсUSD,IF(INDEX(МАТЕРИАЛЫ!$I$2:$I$9000,MATCH($N972,МАТЕРИАЛЫ!$L$2:$L$9000,0))="EUR",КурсEUR,IF(INDEX(МАТЕРИАЛЫ!$I$2:$I$9000,MATCH($N972,МАТЕРИАЛЫ!$L$2:$L$9000,0))="CNY",КурсCNY,1)))*(1+N($H972)/100),0),N($O972))*(1-MEDIAN(0,N(ДисконтТендер),1))))</f>
        <v/>
      </c>
      <c r="U972" t="str">
        <f>IF($L972="да",MAX($U$1:$U971)+1,"")</f>
        <v/>
      </c>
      <c r="V972" t="str">
        <f t="shared" si="108"/>
        <v/>
      </c>
      <c r="W972" t="str">
        <f t="shared" si="109"/>
        <v/>
      </c>
      <c r="X972" t="str">
        <f t="shared" si="110"/>
        <v/>
      </c>
      <c r="Y972" s="4" t="str">
        <f>IF($A972="","",IF(AND(LEFT($G972,3)="ДОК",$N972&lt;&gt;""),IFERROR(INDEX(Документация!$G$2:$G$57,MATCH($N972,Документация!$F$2:$F$57,0)),$D972),$D972&amp;IF(AND(LEFT($G972,3)&lt;&gt;"ДОК",$N972&lt;&gt;"")," — "&amp;IFERROR(INDEX(МАТЕРИАЛЫ!$C$2:$C$9000,MATCH($N972,МАТЕРИАЛЫ!$L$2:$L$9000,0)),""),"")))</f>
        <v/>
      </c>
      <c r="Z972" t="str">
        <f t="shared" si="111"/>
        <v/>
      </c>
    </row>
    <row r="973" spans="1:26" x14ac:dyDescent="0.3">
      <c r="A973" s="8"/>
      <c r="D973" s="4"/>
      <c r="F973" s="5"/>
      <c r="L973" s="6"/>
      <c r="M973" s="6"/>
      <c r="N973" s="6"/>
      <c r="O973" s="5"/>
      <c r="P973" s="7" t="str">
        <f t="shared" si="105"/>
        <v/>
      </c>
      <c r="Q973" s="7" t="str">
        <f t="shared" si="106"/>
        <v/>
      </c>
      <c r="R973" s="7" t="str">
        <f t="shared" si="107"/>
        <v/>
      </c>
      <c r="S973" s="7" t="str">
        <f>IF($A973="","",IF(AND(LEFT($G973,3)="ДОК",$N973&lt;&gt;""),IFERROR(INDEX(Документация!$E$2:$E$57,MATCH($N973,Документация!$F$2:$F$57,0)),0),N($F973))*(1-MEDIAN(0,N(ДисконтТендер),1)))</f>
        <v/>
      </c>
      <c r="T973" s="7" t="str">
        <f>IF($A973="","",IF(AND(LEFT($G973,3)="ДОК",$N973&lt;&gt;""),0,IF(AND(LEFT($G973,3)&lt;&gt;"ДОК",$N973&lt;&gt;""),IFERROR(INDEX(МАТЕРИАЛЫ!$H$2:$H$9000,MATCH($N973,МАТЕРИАЛЫ!$L$2:$L$9000,0))*IF(INDEX(МАТЕРИАЛЫ!$I$2:$I$9000,MATCH($N973,МАТЕРИАЛЫ!$L$2:$L$9000,0))="USD",КурсUSD,IF(INDEX(МАТЕРИАЛЫ!$I$2:$I$9000,MATCH($N973,МАТЕРИАЛЫ!$L$2:$L$9000,0))="EUR",КурсEUR,IF(INDEX(МАТЕРИАЛЫ!$I$2:$I$9000,MATCH($N973,МАТЕРИАЛЫ!$L$2:$L$9000,0))="CNY",КурсCNY,1)))*(1+N($H973)/100),0),N($O973))*(1-MEDIAN(0,N(ДисконтТендер),1))))</f>
        <v/>
      </c>
      <c r="U973" t="str">
        <f>IF($L973="да",MAX($U$1:$U972)+1,"")</f>
        <v/>
      </c>
      <c r="V973" t="str">
        <f t="shared" si="108"/>
        <v/>
      </c>
      <c r="W973" t="str">
        <f t="shared" si="109"/>
        <v/>
      </c>
      <c r="X973" t="str">
        <f t="shared" si="110"/>
        <v/>
      </c>
      <c r="Y973" s="4" t="str">
        <f>IF($A973="","",IF(AND(LEFT($G973,3)="ДОК",$N973&lt;&gt;""),IFERROR(INDEX(Документация!$G$2:$G$57,MATCH($N973,Документация!$F$2:$F$57,0)),$D973),$D973&amp;IF(AND(LEFT($G973,3)&lt;&gt;"ДОК",$N973&lt;&gt;"")," — "&amp;IFERROR(INDEX(МАТЕРИАЛЫ!$C$2:$C$9000,MATCH($N973,МАТЕРИАЛЫ!$L$2:$L$9000,0)),""),"")))</f>
        <v/>
      </c>
      <c r="Z973" t="str">
        <f t="shared" si="111"/>
        <v/>
      </c>
    </row>
    <row r="974" spans="1:26" x14ac:dyDescent="0.3">
      <c r="A974" s="8"/>
      <c r="D974" s="4"/>
      <c r="F974" s="5"/>
      <c r="L974" s="6"/>
      <c r="M974" s="6"/>
      <c r="N974" s="6"/>
      <c r="O974" s="5"/>
      <c r="P974" s="7" t="str">
        <f t="shared" si="105"/>
        <v/>
      </c>
      <c r="Q974" s="7" t="str">
        <f t="shared" si="106"/>
        <v/>
      </c>
      <c r="R974" s="7" t="str">
        <f t="shared" si="107"/>
        <v/>
      </c>
      <c r="S974" s="7" t="str">
        <f>IF($A974="","",IF(AND(LEFT($G974,3)="ДОК",$N974&lt;&gt;""),IFERROR(INDEX(Документация!$E$2:$E$57,MATCH($N974,Документация!$F$2:$F$57,0)),0),N($F974))*(1-MEDIAN(0,N(ДисконтТендер),1)))</f>
        <v/>
      </c>
      <c r="T974" s="7" t="str">
        <f>IF($A974="","",IF(AND(LEFT($G974,3)="ДОК",$N974&lt;&gt;""),0,IF(AND(LEFT($G974,3)&lt;&gt;"ДОК",$N974&lt;&gt;""),IFERROR(INDEX(МАТЕРИАЛЫ!$H$2:$H$9000,MATCH($N974,МАТЕРИАЛЫ!$L$2:$L$9000,0))*IF(INDEX(МАТЕРИАЛЫ!$I$2:$I$9000,MATCH($N974,МАТЕРИАЛЫ!$L$2:$L$9000,0))="USD",КурсUSD,IF(INDEX(МАТЕРИАЛЫ!$I$2:$I$9000,MATCH($N974,МАТЕРИАЛЫ!$L$2:$L$9000,0))="EUR",КурсEUR,IF(INDEX(МАТЕРИАЛЫ!$I$2:$I$9000,MATCH($N974,МАТЕРИАЛЫ!$L$2:$L$9000,0))="CNY",КурсCNY,1)))*(1+N($H974)/100),0),N($O974))*(1-MEDIAN(0,N(ДисконтТендер),1))))</f>
        <v/>
      </c>
      <c r="U974" t="str">
        <f>IF($L974="да",MAX($U$1:$U973)+1,"")</f>
        <v/>
      </c>
      <c r="V974" t="str">
        <f t="shared" si="108"/>
        <v/>
      </c>
      <c r="W974" t="str">
        <f t="shared" si="109"/>
        <v/>
      </c>
      <c r="X974" t="str">
        <f t="shared" si="110"/>
        <v/>
      </c>
      <c r="Y974" s="4" t="str">
        <f>IF($A974="","",IF(AND(LEFT($G974,3)="ДОК",$N974&lt;&gt;""),IFERROR(INDEX(Документация!$G$2:$G$57,MATCH($N974,Документация!$F$2:$F$57,0)),$D974),$D974&amp;IF(AND(LEFT($G974,3)&lt;&gt;"ДОК",$N974&lt;&gt;"")," — "&amp;IFERROR(INDEX(МАТЕРИАЛЫ!$C$2:$C$9000,MATCH($N974,МАТЕРИАЛЫ!$L$2:$L$9000,0)),""),"")))</f>
        <v/>
      </c>
      <c r="Z974" t="str">
        <f t="shared" si="111"/>
        <v/>
      </c>
    </row>
    <row r="975" spans="1:26" x14ac:dyDescent="0.3">
      <c r="A975" s="8"/>
      <c r="D975" s="4"/>
      <c r="F975" s="5"/>
      <c r="L975" s="6"/>
      <c r="M975" s="6"/>
      <c r="N975" s="6"/>
      <c r="O975" s="5"/>
      <c r="P975" s="7" t="str">
        <f t="shared" si="105"/>
        <v/>
      </c>
      <c r="Q975" s="7" t="str">
        <f t="shared" si="106"/>
        <v/>
      </c>
      <c r="R975" s="7" t="str">
        <f t="shared" si="107"/>
        <v/>
      </c>
      <c r="S975" s="7" t="str">
        <f>IF($A975="","",IF(AND(LEFT($G975,3)="ДОК",$N975&lt;&gt;""),IFERROR(INDEX(Документация!$E$2:$E$57,MATCH($N975,Документация!$F$2:$F$57,0)),0),N($F975))*(1-MEDIAN(0,N(ДисконтТендер),1)))</f>
        <v/>
      </c>
      <c r="T975" s="7" t="str">
        <f>IF($A975="","",IF(AND(LEFT($G975,3)="ДОК",$N975&lt;&gt;""),0,IF(AND(LEFT($G975,3)&lt;&gt;"ДОК",$N975&lt;&gt;""),IFERROR(INDEX(МАТЕРИАЛЫ!$H$2:$H$9000,MATCH($N975,МАТЕРИАЛЫ!$L$2:$L$9000,0))*IF(INDEX(МАТЕРИАЛЫ!$I$2:$I$9000,MATCH($N975,МАТЕРИАЛЫ!$L$2:$L$9000,0))="USD",КурсUSD,IF(INDEX(МАТЕРИАЛЫ!$I$2:$I$9000,MATCH($N975,МАТЕРИАЛЫ!$L$2:$L$9000,0))="EUR",КурсEUR,IF(INDEX(МАТЕРИАЛЫ!$I$2:$I$9000,MATCH($N975,МАТЕРИАЛЫ!$L$2:$L$9000,0))="CNY",КурсCNY,1)))*(1+N($H975)/100),0),N($O975))*(1-MEDIAN(0,N(ДисконтТендер),1))))</f>
        <v/>
      </c>
      <c r="U975" t="str">
        <f>IF($L975="да",MAX($U$1:$U974)+1,"")</f>
        <v/>
      </c>
      <c r="V975" t="str">
        <f t="shared" si="108"/>
        <v/>
      </c>
      <c r="W975" t="str">
        <f t="shared" si="109"/>
        <v/>
      </c>
      <c r="X975" t="str">
        <f t="shared" si="110"/>
        <v/>
      </c>
      <c r="Y975" s="4" t="str">
        <f>IF($A975="","",IF(AND(LEFT($G975,3)="ДОК",$N975&lt;&gt;""),IFERROR(INDEX(Документация!$G$2:$G$57,MATCH($N975,Документация!$F$2:$F$57,0)),$D975),$D975&amp;IF(AND(LEFT($G975,3)&lt;&gt;"ДОК",$N975&lt;&gt;"")," — "&amp;IFERROR(INDEX(МАТЕРИАЛЫ!$C$2:$C$9000,MATCH($N975,МАТЕРИАЛЫ!$L$2:$L$9000,0)),""),"")))</f>
        <v/>
      </c>
      <c r="Z975" t="str">
        <f t="shared" si="111"/>
        <v/>
      </c>
    </row>
    <row r="976" spans="1:26" x14ac:dyDescent="0.3">
      <c r="A976" s="8"/>
      <c r="D976" s="4"/>
      <c r="F976" s="5"/>
      <c r="L976" s="6"/>
      <c r="M976" s="6"/>
      <c r="N976" s="6"/>
      <c r="O976" s="5"/>
      <c r="P976" s="7" t="str">
        <f t="shared" si="105"/>
        <v/>
      </c>
      <c r="Q976" s="7" t="str">
        <f t="shared" si="106"/>
        <v/>
      </c>
      <c r="R976" s="7" t="str">
        <f t="shared" si="107"/>
        <v/>
      </c>
      <c r="S976" s="7" t="str">
        <f>IF($A976="","",IF(AND(LEFT($G976,3)="ДОК",$N976&lt;&gt;""),IFERROR(INDEX(Документация!$E$2:$E$57,MATCH($N976,Документация!$F$2:$F$57,0)),0),N($F976))*(1-MEDIAN(0,N(ДисконтТендер),1)))</f>
        <v/>
      </c>
      <c r="T976" s="7" t="str">
        <f>IF($A976="","",IF(AND(LEFT($G976,3)="ДОК",$N976&lt;&gt;""),0,IF(AND(LEFT($G976,3)&lt;&gt;"ДОК",$N976&lt;&gt;""),IFERROR(INDEX(МАТЕРИАЛЫ!$H$2:$H$9000,MATCH($N976,МАТЕРИАЛЫ!$L$2:$L$9000,0))*IF(INDEX(МАТЕРИАЛЫ!$I$2:$I$9000,MATCH($N976,МАТЕРИАЛЫ!$L$2:$L$9000,0))="USD",КурсUSD,IF(INDEX(МАТЕРИАЛЫ!$I$2:$I$9000,MATCH($N976,МАТЕРИАЛЫ!$L$2:$L$9000,0))="EUR",КурсEUR,IF(INDEX(МАТЕРИАЛЫ!$I$2:$I$9000,MATCH($N976,МАТЕРИАЛЫ!$L$2:$L$9000,0))="CNY",КурсCNY,1)))*(1+N($H976)/100),0),N($O976))*(1-MEDIAN(0,N(ДисконтТендер),1))))</f>
        <v/>
      </c>
      <c r="U976" t="str">
        <f>IF($L976="да",MAX($U$1:$U975)+1,"")</f>
        <v/>
      </c>
      <c r="V976" t="str">
        <f t="shared" si="108"/>
        <v/>
      </c>
      <c r="W976" t="str">
        <f t="shared" si="109"/>
        <v/>
      </c>
      <c r="X976" t="str">
        <f t="shared" si="110"/>
        <v/>
      </c>
      <c r="Y976" s="4" t="str">
        <f>IF($A976="","",IF(AND(LEFT($G976,3)="ДОК",$N976&lt;&gt;""),IFERROR(INDEX(Документация!$G$2:$G$57,MATCH($N976,Документация!$F$2:$F$57,0)),$D976),$D976&amp;IF(AND(LEFT($G976,3)&lt;&gt;"ДОК",$N976&lt;&gt;"")," — "&amp;IFERROR(INDEX(МАТЕРИАЛЫ!$C$2:$C$9000,MATCH($N976,МАТЕРИАЛЫ!$L$2:$L$9000,0)),""),"")))</f>
        <v/>
      </c>
      <c r="Z976" t="str">
        <f t="shared" si="111"/>
        <v/>
      </c>
    </row>
    <row r="977" spans="1:26" x14ac:dyDescent="0.3">
      <c r="A977" s="8"/>
      <c r="D977" s="4"/>
      <c r="F977" s="5"/>
      <c r="L977" s="6"/>
      <c r="M977" s="6"/>
      <c r="N977" s="6"/>
      <c r="O977" s="5"/>
      <c r="P977" s="7" t="str">
        <f t="shared" si="105"/>
        <v/>
      </c>
      <c r="Q977" s="7" t="str">
        <f t="shared" si="106"/>
        <v/>
      </c>
      <c r="R977" s="7" t="str">
        <f t="shared" si="107"/>
        <v/>
      </c>
      <c r="S977" s="7" t="str">
        <f>IF($A977="","",IF(AND(LEFT($G977,3)="ДОК",$N977&lt;&gt;""),IFERROR(INDEX(Документация!$E$2:$E$57,MATCH($N977,Документация!$F$2:$F$57,0)),0),N($F977))*(1-MEDIAN(0,N(ДисконтТендер),1)))</f>
        <v/>
      </c>
      <c r="T977" s="7" t="str">
        <f>IF($A977="","",IF(AND(LEFT($G977,3)="ДОК",$N977&lt;&gt;""),0,IF(AND(LEFT($G977,3)&lt;&gt;"ДОК",$N977&lt;&gt;""),IFERROR(INDEX(МАТЕРИАЛЫ!$H$2:$H$9000,MATCH($N977,МАТЕРИАЛЫ!$L$2:$L$9000,0))*IF(INDEX(МАТЕРИАЛЫ!$I$2:$I$9000,MATCH($N977,МАТЕРИАЛЫ!$L$2:$L$9000,0))="USD",КурсUSD,IF(INDEX(МАТЕРИАЛЫ!$I$2:$I$9000,MATCH($N977,МАТЕРИАЛЫ!$L$2:$L$9000,0))="EUR",КурсEUR,IF(INDEX(МАТЕРИАЛЫ!$I$2:$I$9000,MATCH($N977,МАТЕРИАЛЫ!$L$2:$L$9000,0))="CNY",КурсCNY,1)))*(1+N($H977)/100),0),N($O977))*(1-MEDIAN(0,N(ДисконтТендер),1))))</f>
        <v/>
      </c>
      <c r="U977" t="str">
        <f>IF($L977="да",MAX($U$1:$U976)+1,"")</f>
        <v/>
      </c>
      <c r="V977" t="str">
        <f t="shared" si="108"/>
        <v/>
      </c>
      <c r="W977" t="str">
        <f t="shared" si="109"/>
        <v/>
      </c>
      <c r="X977" t="str">
        <f t="shared" si="110"/>
        <v/>
      </c>
      <c r="Y977" s="4" t="str">
        <f>IF($A977="","",IF(AND(LEFT($G977,3)="ДОК",$N977&lt;&gt;""),IFERROR(INDEX(Документация!$G$2:$G$57,MATCH($N977,Документация!$F$2:$F$57,0)),$D977),$D977&amp;IF(AND(LEFT($G977,3)&lt;&gt;"ДОК",$N977&lt;&gt;"")," — "&amp;IFERROR(INDEX(МАТЕРИАЛЫ!$C$2:$C$9000,MATCH($N977,МАТЕРИАЛЫ!$L$2:$L$9000,0)),""),"")))</f>
        <v/>
      </c>
      <c r="Z977" t="str">
        <f t="shared" si="111"/>
        <v/>
      </c>
    </row>
    <row r="978" spans="1:26" x14ac:dyDescent="0.3">
      <c r="A978" s="8"/>
      <c r="D978" s="4"/>
      <c r="F978" s="5"/>
      <c r="L978" s="6"/>
      <c r="M978" s="6"/>
      <c r="N978" s="6"/>
      <c r="O978" s="5"/>
      <c r="P978" s="7" t="str">
        <f t="shared" si="105"/>
        <v/>
      </c>
      <c r="Q978" s="7" t="str">
        <f t="shared" si="106"/>
        <v/>
      </c>
      <c r="R978" s="7" t="str">
        <f t="shared" si="107"/>
        <v/>
      </c>
      <c r="S978" s="7" t="str">
        <f>IF($A978="","",IF(AND(LEFT($G978,3)="ДОК",$N978&lt;&gt;""),IFERROR(INDEX(Документация!$E$2:$E$57,MATCH($N978,Документация!$F$2:$F$57,0)),0),N($F978))*(1-MEDIAN(0,N(ДисконтТендер),1)))</f>
        <v/>
      </c>
      <c r="T978" s="7" t="str">
        <f>IF($A978="","",IF(AND(LEFT($G978,3)="ДОК",$N978&lt;&gt;""),0,IF(AND(LEFT($G978,3)&lt;&gt;"ДОК",$N978&lt;&gt;""),IFERROR(INDEX(МАТЕРИАЛЫ!$H$2:$H$9000,MATCH($N978,МАТЕРИАЛЫ!$L$2:$L$9000,0))*IF(INDEX(МАТЕРИАЛЫ!$I$2:$I$9000,MATCH($N978,МАТЕРИАЛЫ!$L$2:$L$9000,0))="USD",КурсUSD,IF(INDEX(МАТЕРИАЛЫ!$I$2:$I$9000,MATCH($N978,МАТЕРИАЛЫ!$L$2:$L$9000,0))="EUR",КурсEUR,IF(INDEX(МАТЕРИАЛЫ!$I$2:$I$9000,MATCH($N978,МАТЕРИАЛЫ!$L$2:$L$9000,0))="CNY",КурсCNY,1)))*(1+N($H978)/100),0),N($O978))*(1-MEDIAN(0,N(ДисконтТендер),1))))</f>
        <v/>
      </c>
      <c r="U978" t="str">
        <f>IF($L978="да",MAX($U$1:$U977)+1,"")</f>
        <v/>
      </c>
      <c r="V978" t="str">
        <f t="shared" si="108"/>
        <v/>
      </c>
      <c r="W978" t="str">
        <f t="shared" si="109"/>
        <v/>
      </c>
      <c r="X978" t="str">
        <f t="shared" si="110"/>
        <v/>
      </c>
      <c r="Y978" s="4" t="str">
        <f>IF($A978="","",IF(AND(LEFT($G978,3)="ДОК",$N978&lt;&gt;""),IFERROR(INDEX(Документация!$G$2:$G$57,MATCH($N978,Документация!$F$2:$F$57,0)),$D978),$D978&amp;IF(AND(LEFT($G978,3)&lt;&gt;"ДОК",$N978&lt;&gt;"")," — "&amp;IFERROR(INDEX(МАТЕРИАЛЫ!$C$2:$C$9000,MATCH($N978,МАТЕРИАЛЫ!$L$2:$L$9000,0)),""),"")))</f>
        <v/>
      </c>
      <c r="Z978" t="str">
        <f t="shared" si="111"/>
        <v/>
      </c>
    </row>
    <row r="979" spans="1:26" x14ac:dyDescent="0.3">
      <c r="A979" s="8"/>
      <c r="D979" s="4"/>
      <c r="F979" s="5"/>
      <c r="L979" s="6"/>
      <c r="M979" s="6"/>
      <c r="N979" s="6"/>
      <c r="O979" s="5"/>
      <c r="P979" s="7" t="str">
        <f t="shared" si="105"/>
        <v/>
      </c>
      <c r="Q979" s="7" t="str">
        <f t="shared" si="106"/>
        <v/>
      </c>
      <c r="R979" s="7" t="str">
        <f t="shared" si="107"/>
        <v/>
      </c>
      <c r="S979" s="7" t="str">
        <f>IF($A979="","",IF(AND(LEFT($G979,3)="ДОК",$N979&lt;&gt;""),IFERROR(INDEX(Документация!$E$2:$E$57,MATCH($N979,Документация!$F$2:$F$57,0)),0),N($F979))*(1-MEDIAN(0,N(ДисконтТендер),1)))</f>
        <v/>
      </c>
      <c r="T979" s="7" t="str">
        <f>IF($A979="","",IF(AND(LEFT($G979,3)="ДОК",$N979&lt;&gt;""),0,IF(AND(LEFT($G979,3)&lt;&gt;"ДОК",$N979&lt;&gt;""),IFERROR(INDEX(МАТЕРИАЛЫ!$H$2:$H$9000,MATCH($N979,МАТЕРИАЛЫ!$L$2:$L$9000,0))*IF(INDEX(МАТЕРИАЛЫ!$I$2:$I$9000,MATCH($N979,МАТЕРИАЛЫ!$L$2:$L$9000,0))="USD",КурсUSD,IF(INDEX(МАТЕРИАЛЫ!$I$2:$I$9000,MATCH($N979,МАТЕРИАЛЫ!$L$2:$L$9000,0))="EUR",КурсEUR,IF(INDEX(МАТЕРИАЛЫ!$I$2:$I$9000,MATCH($N979,МАТЕРИАЛЫ!$L$2:$L$9000,0))="CNY",КурсCNY,1)))*(1+N($H979)/100),0),N($O979))*(1-MEDIAN(0,N(ДисконтТендер),1))))</f>
        <v/>
      </c>
      <c r="U979" t="str">
        <f>IF($L979="да",MAX($U$1:$U978)+1,"")</f>
        <v/>
      </c>
      <c r="V979" t="str">
        <f t="shared" si="108"/>
        <v/>
      </c>
      <c r="W979" t="str">
        <f t="shared" si="109"/>
        <v/>
      </c>
      <c r="X979" t="str">
        <f t="shared" si="110"/>
        <v/>
      </c>
      <c r="Y979" s="4" t="str">
        <f>IF($A979="","",IF(AND(LEFT($G979,3)="ДОК",$N979&lt;&gt;""),IFERROR(INDEX(Документация!$G$2:$G$57,MATCH($N979,Документация!$F$2:$F$57,0)),$D979),$D979&amp;IF(AND(LEFT($G979,3)&lt;&gt;"ДОК",$N979&lt;&gt;"")," — "&amp;IFERROR(INDEX(МАТЕРИАЛЫ!$C$2:$C$9000,MATCH($N979,МАТЕРИАЛЫ!$L$2:$L$9000,0)),""),"")))</f>
        <v/>
      </c>
      <c r="Z979" t="str">
        <f t="shared" si="111"/>
        <v/>
      </c>
    </row>
    <row r="980" spans="1:26" x14ac:dyDescent="0.3">
      <c r="A980" s="8"/>
      <c r="D980" s="4"/>
      <c r="F980" s="5"/>
      <c r="L980" s="6"/>
      <c r="M980" s="6"/>
      <c r="N980" s="6"/>
      <c r="O980" s="5"/>
      <c r="P980" s="7" t="str">
        <f t="shared" si="105"/>
        <v/>
      </c>
      <c r="Q980" s="7" t="str">
        <f t="shared" si="106"/>
        <v/>
      </c>
      <c r="R980" s="7" t="str">
        <f t="shared" si="107"/>
        <v/>
      </c>
      <c r="S980" s="7" t="str">
        <f>IF($A980="","",IF(AND(LEFT($G980,3)="ДОК",$N980&lt;&gt;""),IFERROR(INDEX(Документация!$E$2:$E$57,MATCH($N980,Документация!$F$2:$F$57,0)),0),N($F980))*(1-MEDIAN(0,N(ДисконтТендер),1)))</f>
        <v/>
      </c>
      <c r="T980" s="7" t="str">
        <f>IF($A980="","",IF(AND(LEFT($G980,3)="ДОК",$N980&lt;&gt;""),0,IF(AND(LEFT($G980,3)&lt;&gt;"ДОК",$N980&lt;&gt;""),IFERROR(INDEX(МАТЕРИАЛЫ!$H$2:$H$9000,MATCH($N980,МАТЕРИАЛЫ!$L$2:$L$9000,0))*IF(INDEX(МАТЕРИАЛЫ!$I$2:$I$9000,MATCH($N980,МАТЕРИАЛЫ!$L$2:$L$9000,0))="USD",КурсUSD,IF(INDEX(МАТЕРИАЛЫ!$I$2:$I$9000,MATCH($N980,МАТЕРИАЛЫ!$L$2:$L$9000,0))="EUR",КурсEUR,IF(INDEX(МАТЕРИАЛЫ!$I$2:$I$9000,MATCH($N980,МАТЕРИАЛЫ!$L$2:$L$9000,0))="CNY",КурсCNY,1)))*(1+N($H980)/100),0),N($O980))*(1-MEDIAN(0,N(ДисконтТендер),1))))</f>
        <v/>
      </c>
      <c r="U980" t="str">
        <f>IF($L980="да",MAX($U$1:$U979)+1,"")</f>
        <v/>
      </c>
      <c r="V980" t="str">
        <f t="shared" si="108"/>
        <v/>
      </c>
      <c r="W980" t="str">
        <f t="shared" si="109"/>
        <v/>
      </c>
      <c r="X980" t="str">
        <f t="shared" si="110"/>
        <v/>
      </c>
      <c r="Y980" s="4" t="str">
        <f>IF($A980="","",IF(AND(LEFT($G980,3)="ДОК",$N980&lt;&gt;""),IFERROR(INDEX(Документация!$G$2:$G$57,MATCH($N980,Документация!$F$2:$F$57,0)),$D980),$D980&amp;IF(AND(LEFT($G980,3)&lt;&gt;"ДОК",$N980&lt;&gt;"")," — "&amp;IFERROR(INDEX(МАТЕРИАЛЫ!$C$2:$C$9000,MATCH($N980,МАТЕРИАЛЫ!$L$2:$L$9000,0)),""),"")))</f>
        <v/>
      </c>
      <c r="Z980" t="str">
        <f t="shared" si="111"/>
        <v/>
      </c>
    </row>
    <row r="981" spans="1:26" x14ac:dyDescent="0.3">
      <c r="A981" s="8"/>
      <c r="D981" s="4"/>
      <c r="F981" s="5"/>
      <c r="L981" s="6"/>
      <c r="M981" s="6"/>
      <c r="N981" s="6"/>
      <c r="O981" s="5"/>
      <c r="P981" s="7" t="str">
        <f t="shared" si="105"/>
        <v/>
      </c>
      <c r="Q981" s="7" t="str">
        <f t="shared" si="106"/>
        <v/>
      </c>
      <c r="R981" s="7" t="str">
        <f t="shared" si="107"/>
        <v/>
      </c>
      <c r="S981" s="7" t="str">
        <f>IF($A981="","",IF(AND(LEFT($G981,3)="ДОК",$N981&lt;&gt;""),IFERROR(INDEX(Документация!$E$2:$E$57,MATCH($N981,Документация!$F$2:$F$57,0)),0),N($F981))*(1-MEDIAN(0,N(ДисконтТендер),1)))</f>
        <v/>
      </c>
      <c r="T981" s="7" t="str">
        <f>IF($A981="","",IF(AND(LEFT($G981,3)="ДОК",$N981&lt;&gt;""),0,IF(AND(LEFT($G981,3)&lt;&gt;"ДОК",$N981&lt;&gt;""),IFERROR(INDEX(МАТЕРИАЛЫ!$H$2:$H$9000,MATCH($N981,МАТЕРИАЛЫ!$L$2:$L$9000,0))*IF(INDEX(МАТЕРИАЛЫ!$I$2:$I$9000,MATCH($N981,МАТЕРИАЛЫ!$L$2:$L$9000,0))="USD",КурсUSD,IF(INDEX(МАТЕРИАЛЫ!$I$2:$I$9000,MATCH($N981,МАТЕРИАЛЫ!$L$2:$L$9000,0))="EUR",КурсEUR,IF(INDEX(МАТЕРИАЛЫ!$I$2:$I$9000,MATCH($N981,МАТЕРИАЛЫ!$L$2:$L$9000,0))="CNY",КурсCNY,1)))*(1+N($H981)/100),0),N($O981))*(1-MEDIAN(0,N(ДисконтТендер),1))))</f>
        <v/>
      </c>
      <c r="U981" t="str">
        <f>IF($L981="да",MAX($U$1:$U980)+1,"")</f>
        <v/>
      </c>
      <c r="V981" t="str">
        <f t="shared" si="108"/>
        <v/>
      </c>
      <c r="W981" t="str">
        <f t="shared" si="109"/>
        <v/>
      </c>
      <c r="X981" t="str">
        <f t="shared" si="110"/>
        <v/>
      </c>
      <c r="Y981" s="4" t="str">
        <f>IF($A981="","",IF(AND(LEFT($G981,3)="ДОК",$N981&lt;&gt;""),IFERROR(INDEX(Документация!$G$2:$G$57,MATCH($N981,Документация!$F$2:$F$57,0)),$D981),$D981&amp;IF(AND(LEFT($G981,3)&lt;&gt;"ДОК",$N981&lt;&gt;"")," — "&amp;IFERROR(INDEX(МАТЕРИАЛЫ!$C$2:$C$9000,MATCH($N981,МАТЕРИАЛЫ!$L$2:$L$9000,0)),""),"")))</f>
        <v/>
      </c>
      <c r="Z981" t="str">
        <f t="shared" si="111"/>
        <v/>
      </c>
    </row>
    <row r="982" spans="1:26" x14ac:dyDescent="0.3">
      <c r="A982" s="8"/>
      <c r="D982" s="4"/>
      <c r="F982" s="5"/>
      <c r="L982" s="6"/>
      <c r="M982" s="6"/>
      <c r="N982" s="6"/>
      <c r="O982" s="5"/>
      <c r="P982" s="7" t="str">
        <f t="shared" si="105"/>
        <v/>
      </c>
      <c r="Q982" s="7" t="str">
        <f t="shared" si="106"/>
        <v/>
      </c>
      <c r="R982" s="7" t="str">
        <f t="shared" si="107"/>
        <v/>
      </c>
      <c r="S982" s="7" t="str">
        <f>IF($A982="","",IF(AND(LEFT($G982,3)="ДОК",$N982&lt;&gt;""),IFERROR(INDEX(Документация!$E$2:$E$57,MATCH($N982,Документация!$F$2:$F$57,0)),0),N($F982))*(1-MEDIAN(0,N(ДисконтТендер),1)))</f>
        <v/>
      </c>
      <c r="T982" s="7" t="str">
        <f>IF($A982="","",IF(AND(LEFT($G982,3)="ДОК",$N982&lt;&gt;""),0,IF(AND(LEFT($G982,3)&lt;&gt;"ДОК",$N982&lt;&gt;""),IFERROR(INDEX(МАТЕРИАЛЫ!$H$2:$H$9000,MATCH($N982,МАТЕРИАЛЫ!$L$2:$L$9000,0))*IF(INDEX(МАТЕРИАЛЫ!$I$2:$I$9000,MATCH($N982,МАТЕРИАЛЫ!$L$2:$L$9000,0))="USD",КурсUSD,IF(INDEX(МАТЕРИАЛЫ!$I$2:$I$9000,MATCH($N982,МАТЕРИАЛЫ!$L$2:$L$9000,0))="EUR",КурсEUR,IF(INDEX(МАТЕРИАЛЫ!$I$2:$I$9000,MATCH($N982,МАТЕРИАЛЫ!$L$2:$L$9000,0))="CNY",КурсCNY,1)))*(1+N($H982)/100),0),N($O982))*(1-MEDIAN(0,N(ДисконтТендер),1))))</f>
        <v/>
      </c>
      <c r="U982" t="str">
        <f>IF($L982="да",MAX($U$1:$U981)+1,"")</f>
        <v/>
      </c>
      <c r="V982" t="str">
        <f t="shared" si="108"/>
        <v/>
      </c>
      <c r="W982" t="str">
        <f t="shared" si="109"/>
        <v/>
      </c>
      <c r="X982" t="str">
        <f t="shared" si="110"/>
        <v/>
      </c>
      <c r="Y982" s="4" t="str">
        <f>IF($A982="","",IF(AND(LEFT($G982,3)="ДОК",$N982&lt;&gt;""),IFERROR(INDEX(Документация!$G$2:$G$57,MATCH($N982,Документация!$F$2:$F$57,0)),$D982),$D982&amp;IF(AND(LEFT($G982,3)&lt;&gt;"ДОК",$N982&lt;&gt;"")," — "&amp;IFERROR(INDEX(МАТЕРИАЛЫ!$C$2:$C$9000,MATCH($N982,МАТЕРИАЛЫ!$L$2:$L$9000,0)),""),"")))</f>
        <v/>
      </c>
      <c r="Z982" t="str">
        <f t="shared" si="111"/>
        <v/>
      </c>
    </row>
    <row r="983" spans="1:26" x14ac:dyDescent="0.3">
      <c r="A983" s="8"/>
      <c r="D983" s="4"/>
      <c r="F983" s="5"/>
      <c r="L983" s="6"/>
      <c r="M983" s="6"/>
      <c r="N983" s="6"/>
      <c r="O983" s="5"/>
      <c r="P983" s="7" t="str">
        <f t="shared" si="105"/>
        <v/>
      </c>
      <c r="Q983" s="7" t="str">
        <f t="shared" si="106"/>
        <v/>
      </c>
      <c r="R983" s="7" t="str">
        <f t="shared" si="107"/>
        <v/>
      </c>
      <c r="S983" s="7" t="str">
        <f>IF($A983="","",IF(AND(LEFT($G983,3)="ДОК",$N983&lt;&gt;""),IFERROR(INDEX(Документация!$E$2:$E$57,MATCH($N983,Документация!$F$2:$F$57,0)),0),N($F983))*(1-MEDIAN(0,N(ДисконтТендер),1)))</f>
        <v/>
      </c>
      <c r="T983" s="7" t="str">
        <f>IF($A983="","",IF(AND(LEFT($G983,3)="ДОК",$N983&lt;&gt;""),0,IF(AND(LEFT($G983,3)&lt;&gt;"ДОК",$N983&lt;&gt;""),IFERROR(INDEX(МАТЕРИАЛЫ!$H$2:$H$9000,MATCH($N983,МАТЕРИАЛЫ!$L$2:$L$9000,0))*IF(INDEX(МАТЕРИАЛЫ!$I$2:$I$9000,MATCH($N983,МАТЕРИАЛЫ!$L$2:$L$9000,0))="USD",КурсUSD,IF(INDEX(МАТЕРИАЛЫ!$I$2:$I$9000,MATCH($N983,МАТЕРИАЛЫ!$L$2:$L$9000,0))="EUR",КурсEUR,IF(INDEX(МАТЕРИАЛЫ!$I$2:$I$9000,MATCH($N983,МАТЕРИАЛЫ!$L$2:$L$9000,0))="CNY",КурсCNY,1)))*(1+N($H983)/100),0),N($O983))*(1-MEDIAN(0,N(ДисконтТендер),1))))</f>
        <v/>
      </c>
      <c r="U983" t="str">
        <f>IF($L983="да",MAX($U$1:$U982)+1,"")</f>
        <v/>
      </c>
      <c r="V983" t="str">
        <f t="shared" si="108"/>
        <v/>
      </c>
      <c r="W983" t="str">
        <f t="shared" si="109"/>
        <v/>
      </c>
      <c r="X983" t="str">
        <f t="shared" si="110"/>
        <v/>
      </c>
      <c r="Y983" s="4" t="str">
        <f>IF($A983="","",IF(AND(LEFT($G983,3)="ДОК",$N983&lt;&gt;""),IFERROR(INDEX(Документация!$G$2:$G$57,MATCH($N983,Документация!$F$2:$F$57,0)),$D983),$D983&amp;IF(AND(LEFT($G983,3)&lt;&gt;"ДОК",$N983&lt;&gt;"")," — "&amp;IFERROR(INDEX(МАТЕРИАЛЫ!$C$2:$C$9000,MATCH($N983,МАТЕРИАЛЫ!$L$2:$L$9000,0)),""),"")))</f>
        <v/>
      </c>
      <c r="Z983" t="str">
        <f t="shared" si="111"/>
        <v/>
      </c>
    </row>
    <row r="984" spans="1:26" x14ac:dyDescent="0.3">
      <c r="A984" s="8"/>
      <c r="D984" s="4"/>
      <c r="F984" s="5"/>
      <c r="L984" s="6"/>
      <c r="M984" s="6"/>
      <c r="N984" s="6"/>
      <c r="O984" s="5"/>
      <c r="P984" s="7" t="str">
        <f t="shared" si="105"/>
        <v/>
      </c>
      <c r="Q984" s="7" t="str">
        <f t="shared" si="106"/>
        <v/>
      </c>
      <c r="R984" s="7" t="str">
        <f t="shared" si="107"/>
        <v/>
      </c>
      <c r="S984" s="7" t="str">
        <f>IF($A984="","",IF(AND(LEFT($G984,3)="ДОК",$N984&lt;&gt;""),IFERROR(INDEX(Документация!$E$2:$E$57,MATCH($N984,Документация!$F$2:$F$57,0)),0),N($F984))*(1-MEDIAN(0,N(ДисконтТендер),1)))</f>
        <v/>
      </c>
      <c r="T984" s="7" t="str">
        <f>IF($A984="","",IF(AND(LEFT($G984,3)="ДОК",$N984&lt;&gt;""),0,IF(AND(LEFT($G984,3)&lt;&gt;"ДОК",$N984&lt;&gt;""),IFERROR(INDEX(МАТЕРИАЛЫ!$H$2:$H$9000,MATCH($N984,МАТЕРИАЛЫ!$L$2:$L$9000,0))*IF(INDEX(МАТЕРИАЛЫ!$I$2:$I$9000,MATCH($N984,МАТЕРИАЛЫ!$L$2:$L$9000,0))="USD",КурсUSD,IF(INDEX(МАТЕРИАЛЫ!$I$2:$I$9000,MATCH($N984,МАТЕРИАЛЫ!$L$2:$L$9000,0))="EUR",КурсEUR,IF(INDEX(МАТЕРИАЛЫ!$I$2:$I$9000,MATCH($N984,МАТЕРИАЛЫ!$L$2:$L$9000,0))="CNY",КурсCNY,1)))*(1+N($H984)/100),0),N($O984))*(1-MEDIAN(0,N(ДисконтТендер),1))))</f>
        <v/>
      </c>
      <c r="U984" t="str">
        <f>IF($L984="да",MAX($U$1:$U983)+1,"")</f>
        <v/>
      </c>
      <c r="V984" t="str">
        <f t="shared" si="108"/>
        <v/>
      </c>
      <c r="W984" t="str">
        <f t="shared" si="109"/>
        <v/>
      </c>
      <c r="X984" t="str">
        <f t="shared" si="110"/>
        <v/>
      </c>
      <c r="Y984" s="4" t="str">
        <f>IF($A984="","",IF(AND(LEFT($G984,3)="ДОК",$N984&lt;&gt;""),IFERROR(INDEX(Документация!$G$2:$G$57,MATCH($N984,Документация!$F$2:$F$57,0)),$D984),$D984&amp;IF(AND(LEFT($G984,3)&lt;&gt;"ДОК",$N984&lt;&gt;"")," — "&amp;IFERROR(INDEX(МАТЕРИАЛЫ!$C$2:$C$9000,MATCH($N984,МАТЕРИАЛЫ!$L$2:$L$9000,0)),""),"")))</f>
        <v/>
      </c>
      <c r="Z984" t="str">
        <f t="shared" si="111"/>
        <v/>
      </c>
    </row>
    <row r="985" spans="1:26" x14ac:dyDescent="0.3">
      <c r="A985" s="8"/>
      <c r="D985" s="4"/>
      <c r="F985" s="5"/>
      <c r="L985" s="6"/>
      <c r="M985" s="6"/>
      <c r="N985" s="6"/>
      <c r="O985" s="5"/>
      <c r="P985" s="7" t="str">
        <f t="shared" si="105"/>
        <v/>
      </c>
      <c r="Q985" s="7" t="str">
        <f t="shared" si="106"/>
        <v/>
      </c>
      <c r="R985" s="7" t="str">
        <f t="shared" si="107"/>
        <v/>
      </c>
      <c r="S985" s="7" t="str">
        <f>IF($A985="","",IF(AND(LEFT($G985,3)="ДОК",$N985&lt;&gt;""),IFERROR(INDEX(Документация!$E$2:$E$57,MATCH($N985,Документация!$F$2:$F$57,0)),0),N($F985))*(1-MEDIAN(0,N(ДисконтТендер),1)))</f>
        <v/>
      </c>
      <c r="T985" s="7" t="str">
        <f>IF($A985="","",IF(AND(LEFT($G985,3)="ДОК",$N985&lt;&gt;""),0,IF(AND(LEFT($G985,3)&lt;&gt;"ДОК",$N985&lt;&gt;""),IFERROR(INDEX(МАТЕРИАЛЫ!$H$2:$H$9000,MATCH($N985,МАТЕРИАЛЫ!$L$2:$L$9000,0))*IF(INDEX(МАТЕРИАЛЫ!$I$2:$I$9000,MATCH($N985,МАТЕРИАЛЫ!$L$2:$L$9000,0))="USD",КурсUSD,IF(INDEX(МАТЕРИАЛЫ!$I$2:$I$9000,MATCH($N985,МАТЕРИАЛЫ!$L$2:$L$9000,0))="EUR",КурсEUR,IF(INDEX(МАТЕРИАЛЫ!$I$2:$I$9000,MATCH($N985,МАТЕРИАЛЫ!$L$2:$L$9000,0))="CNY",КурсCNY,1)))*(1+N($H985)/100),0),N($O985))*(1-MEDIAN(0,N(ДисконтТендер),1))))</f>
        <v/>
      </c>
      <c r="U985" t="str">
        <f>IF($L985="да",MAX($U$1:$U984)+1,"")</f>
        <v/>
      </c>
      <c r="V985" t="str">
        <f t="shared" si="108"/>
        <v/>
      </c>
      <c r="W985" t="str">
        <f t="shared" si="109"/>
        <v/>
      </c>
      <c r="X985" t="str">
        <f t="shared" si="110"/>
        <v/>
      </c>
      <c r="Y985" s="4" t="str">
        <f>IF($A985="","",IF(AND(LEFT($G985,3)="ДОК",$N985&lt;&gt;""),IFERROR(INDEX(Документация!$G$2:$G$57,MATCH($N985,Документация!$F$2:$F$57,0)),$D985),$D985&amp;IF(AND(LEFT($G985,3)&lt;&gt;"ДОК",$N985&lt;&gt;"")," — "&amp;IFERROR(INDEX(МАТЕРИАЛЫ!$C$2:$C$9000,MATCH($N985,МАТЕРИАЛЫ!$L$2:$L$9000,0)),""),"")))</f>
        <v/>
      </c>
      <c r="Z985" t="str">
        <f t="shared" si="111"/>
        <v/>
      </c>
    </row>
    <row r="986" spans="1:26" x14ac:dyDescent="0.3">
      <c r="A986" s="8"/>
      <c r="D986" s="4"/>
      <c r="F986" s="5"/>
      <c r="L986" s="6"/>
      <c r="M986" s="6"/>
      <c r="N986" s="6"/>
      <c r="O986" s="5"/>
      <c r="P986" s="7" t="str">
        <f t="shared" si="105"/>
        <v/>
      </c>
      <c r="Q986" s="7" t="str">
        <f t="shared" si="106"/>
        <v/>
      </c>
      <c r="R986" s="7" t="str">
        <f t="shared" si="107"/>
        <v/>
      </c>
      <c r="S986" s="7" t="str">
        <f>IF($A986="","",IF(AND(LEFT($G986,3)="ДОК",$N986&lt;&gt;""),IFERROR(INDEX(Документация!$E$2:$E$57,MATCH($N986,Документация!$F$2:$F$57,0)),0),N($F986))*(1-MEDIAN(0,N(ДисконтТендер),1)))</f>
        <v/>
      </c>
      <c r="T986" s="7" t="str">
        <f>IF($A986="","",IF(AND(LEFT($G986,3)="ДОК",$N986&lt;&gt;""),0,IF(AND(LEFT($G986,3)&lt;&gt;"ДОК",$N986&lt;&gt;""),IFERROR(INDEX(МАТЕРИАЛЫ!$H$2:$H$9000,MATCH($N986,МАТЕРИАЛЫ!$L$2:$L$9000,0))*IF(INDEX(МАТЕРИАЛЫ!$I$2:$I$9000,MATCH($N986,МАТЕРИАЛЫ!$L$2:$L$9000,0))="USD",КурсUSD,IF(INDEX(МАТЕРИАЛЫ!$I$2:$I$9000,MATCH($N986,МАТЕРИАЛЫ!$L$2:$L$9000,0))="EUR",КурсEUR,IF(INDEX(МАТЕРИАЛЫ!$I$2:$I$9000,MATCH($N986,МАТЕРИАЛЫ!$L$2:$L$9000,0))="CNY",КурсCNY,1)))*(1+N($H986)/100),0),N($O986))*(1-MEDIAN(0,N(ДисконтТендер),1))))</f>
        <v/>
      </c>
      <c r="U986" t="str">
        <f>IF($L986="да",MAX($U$1:$U985)+1,"")</f>
        <v/>
      </c>
      <c r="V986" t="str">
        <f t="shared" si="108"/>
        <v/>
      </c>
      <c r="W986" t="str">
        <f t="shared" si="109"/>
        <v/>
      </c>
      <c r="X986" t="str">
        <f t="shared" si="110"/>
        <v/>
      </c>
      <c r="Y986" s="4" t="str">
        <f>IF($A986="","",IF(AND(LEFT($G986,3)="ДОК",$N986&lt;&gt;""),IFERROR(INDEX(Документация!$G$2:$G$57,MATCH($N986,Документация!$F$2:$F$57,0)),$D986),$D986&amp;IF(AND(LEFT($G986,3)&lt;&gt;"ДОК",$N986&lt;&gt;"")," — "&amp;IFERROR(INDEX(МАТЕРИАЛЫ!$C$2:$C$9000,MATCH($N986,МАТЕРИАЛЫ!$L$2:$L$9000,0)),""),"")))</f>
        <v/>
      </c>
      <c r="Z986" t="str">
        <f t="shared" si="111"/>
        <v/>
      </c>
    </row>
    <row r="987" spans="1:26" x14ac:dyDescent="0.3">
      <c r="A987" s="8"/>
      <c r="D987" s="4"/>
      <c r="F987" s="5"/>
      <c r="L987" s="6"/>
      <c r="M987" s="6"/>
      <c r="N987" s="6"/>
      <c r="O987" s="5"/>
      <c r="P987" s="7" t="str">
        <f t="shared" si="105"/>
        <v/>
      </c>
      <c r="Q987" s="7" t="str">
        <f t="shared" si="106"/>
        <v/>
      </c>
      <c r="R987" s="7" t="str">
        <f t="shared" si="107"/>
        <v/>
      </c>
      <c r="S987" s="7" t="str">
        <f>IF($A987="","",IF(AND(LEFT($G987,3)="ДОК",$N987&lt;&gt;""),IFERROR(INDEX(Документация!$E$2:$E$57,MATCH($N987,Документация!$F$2:$F$57,0)),0),N($F987))*(1-MEDIAN(0,N(ДисконтТендер),1)))</f>
        <v/>
      </c>
      <c r="T987" s="7" t="str">
        <f>IF($A987="","",IF(AND(LEFT($G987,3)="ДОК",$N987&lt;&gt;""),0,IF(AND(LEFT($G987,3)&lt;&gt;"ДОК",$N987&lt;&gt;""),IFERROR(INDEX(МАТЕРИАЛЫ!$H$2:$H$9000,MATCH($N987,МАТЕРИАЛЫ!$L$2:$L$9000,0))*IF(INDEX(МАТЕРИАЛЫ!$I$2:$I$9000,MATCH($N987,МАТЕРИАЛЫ!$L$2:$L$9000,0))="USD",КурсUSD,IF(INDEX(МАТЕРИАЛЫ!$I$2:$I$9000,MATCH($N987,МАТЕРИАЛЫ!$L$2:$L$9000,0))="EUR",КурсEUR,IF(INDEX(МАТЕРИАЛЫ!$I$2:$I$9000,MATCH($N987,МАТЕРИАЛЫ!$L$2:$L$9000,0))="CNY",КурсCNY,1)))*(1+N($H987)/100),0),N($O987))*(1-MEDIAN(0,N(ДисконтТендер),1))))</f>
        <v/>
      </c>
      <c r="U987" t="str">
        <f>IF($L987="да",MAX($U$1:$U986)+1,"")</f>
        <v/>
      </c>
      <c r="V987" t="str">
        <f t="shared" si="108"/>
        <v/>
      </c>
      <c r="W987" t="str">
        <f t="shared" si="109"/>
        <v/>
      </c>
      <c r="X987" t="str">
        <f t="shared" si="110"/>
        <v/>
      </c>
      <c r="Y987" s="4" t="str">
        <f>IF($A987="","",IF(AND(LEFT($G987,3)="ДОК",$N987&lt;&gt;""),IFERROR(INDEX(Документация!$G$2:$G$57,MATCH($N987,Документация!$F$2:$F$57,0)),$D987),$D987&amp;IF(AND(LEFT($G987,3)&lt;&gt;"ДОК",$N987&lt;&gt;"")," — "&amp;IFERROR(INDEX(МАТЕРИАЛЫ!$C$2:$C$9000,MATCH($N987,МАТЕРИАЛЫ!$L$2:$L$9000,0)),""),"")))</f>
        <v/>
      </c>
      <c r="Z987" t="str">
        <f t="shared" si="111"/>
        <v/>
      </c>
    </row>
    <row r="988" spans="1:26" x14ac:dyDescent="0.3">
      <c r="A988" s="8"/>
      <c r="D988" s="4"/>
      <c r="F988" s="5"/>
      <c r="L988" s="6"/>
      <c r="M988" s="6"/>
      <c r="N988" s="6"/>
      <c r="O988" s="5"/>
      <c r="P988" s="7" t="str">
        <f t="shared" si="105"/>
        <v/>
      </c>
      <c r="Q988" s="7" t="str">
        <f t="shared" si="106"/>
        <v/>
      </c>
      <c r="R988" s="7" t="str">
        <f t="shared" si="107"/>
        <v/>
      </c>
      <c r="S988" s="7" t="str">
        <f>IF($A988="","",IF(AND(LEFT($G988,3)="ДОК",$N988&lt;&gt;""),IFERROR(INDEX(Документация!$E$2:$E$57,MATCH($N988,Документация!$F$2:$F$57,0)),0),N($F988))*(1-MEDIAN(0,N(ДисконтТендер),1)))</f>
        <v/>
      </c>
      <c r="T988" s="7" t="str">
        <f>IF($A988="","",IF(AND(LEFT($G988,3)="ДОК",$N988&lt;&gt;""),0,IF(AND(LEFT($G988,3)&lt;&gt;"ДОК",$N988&lt;&gt;""),IFERROR(INDEX(МАТЕРИАЛЫ!$H$2:$H$9000,MATCH($N988,МАТЕРИАЛЫ!$L$2:$L$9000,0))*IF(INDEX(МАТЕРИАЛЫ!$I$2:$I$9000,MATCH($N988,МАТЕРИАЛЫ!$L$2:$L$9000,0))="USD",КурсUSD,IF(INDEX(МАТЕРИАЛЫ!$I$2:$I$9000,MATCH($N988,МАТЕРИАЛЫ!$L$2:$L$9000,0))="EUR",КурсEUR,IF(INDEX(МАТЕРИАЛЫ!$I$2:$I$9000,MATCH($N988,МАТЕРИАЛЫ!$L$2:$L$9000,0))="CNY",КурсCNY,1)))*(1+N($H988)/100),0),N($O988))*(1-MEDIAN(0,N(ДисконтТендер),1))))</f>
        <v/>
      </c>
      <c r="U988" t="str">
        <f>IF($L988="да",MAX($U$1:$U987)+1,"")</f>
        <v/>
      </c>
      <c r="V988" t="str">
        <f t="shared" si="108"/>
        <v/>
      </c>
      <c r="W988" t="str">
        <f t="shared" si="109"/>
        <v/>
      </c>
      <c r="X988" t="str">
        <f t="shared" si="110"/>
        <v/>
      </c>
      <c r="Y988" s="4" t="str">
        <f>IF($A988="","",IF(AND(LEFT($G988,3)="ДОК",$N988&lt;&gt;""),IFERROR(INDEX(Документация!$G$2:$G$57,MATCH($N988,Документация!$F$2:$F$57,0)),$D988),$D988&amp;IF(AND(LEFT($G988,3)&lt;&gt;"ДОК",$N988&lt;&gt;"")," — "&amp;IFERROR(INDEX(МАТЕРИАЛЫ!$C$2:$C$9000,MATCH($N988,МАТЕРИАЛЫ!$L$2:$L$9000,0)),""),"")))</f>
        <v/>
      </c>
      <c r="Z988" t="str">
        <f t="shared" si="111"/>
        <v/>
      </c>
    </row>
    <row r="989" spans="1:26" x14ac:dyDescent="0.3">
      <c r="A989" s="8"/>
      <c r="D989" s="4"/>
      <c r="F989" s="5"/>
      <c r="L989" s="6"/>
      <c r="M989" s="6"/>
      <c r="N989" s="6"/>
      <c r="O989" s="5"/>
      <c r="P989" s="7" t="str">
        <f t="shared" si="105"/>
        <v/>
      </c>
      <c r="Q989" s="7" t="str">
        <f t="shared" si="106"/>
        <v/>
      </c>
      <c r="R989" s="7" t="str">
        <f t="shared" si="107"/>
        <v/>
      </c>
      <c r="S989" s="7" t="str">
        <f>IF($A989="","",IF(AND(LEFT($G989,3)="ДОК",$N989&lt;&gt;""),IFERROR(INDEX(Документация!$E$2:$E$57,MATCH($N989,Документация!$F$2:$F$57,0)),0),N($F989))*(1-MEDIAN(0,N(ДисконтТендер),1)))</f>
        <v/>
      </c>
      <c r="T989" s="7" t="str">
        <f>IF($A989="","",IF(AND(LEFT($G989,3)="ДОК",$N989&lt;&gt;""),0,IF(AND(LEFT($G989,3)&lt;&gt;"ДОК",$N989&lt;&gt;""),IFERROR(INDEX(МАТЕРИАЛЫ!$H$2:$H$9000,MATCH($N989,МАТЕРИАЛЫ!$L$2:$L$9000,0))*IF(INDEX(МАТЕРИАЛЫ!$I$2:$I$9000,MATCH($N989,МАТЕРИАЛЫ!$L$2:$L$9000,0))="USD",КурсUSD,IF(INDEX(МАТЕРИАЛЫ!$I$2:$I$9000,MATCH($N989,МАТЕРИАЛЫ!$L$2:$L$9000,0))="EUR",КурсEUR,IF(INDEX(МАТЕРИАЛЫ!$I$2:$I$9000,MATCH($N989,МАТЕРИАЛЫ!$L$2:$L$9000,0))="CNY",КурсCNY,1)))*(1+N($H989)/100),0),N($O989))*(1-MEDIAN(0,N(ДисконтТендер),1))))</f>
        <v/>
      </c>
      <c r="U989" t="str">
        <f>IF($L989="да",MAX($U$1:$U988)+1,"")</f>
        <v/>
      </c>
      <c r="V989" t="str">
        <f t="shared" si="108"/>
        <v/>
      </c>
      <c r="W989" t="str">
        <f t="shared" si="109"/>
        <v/>
      </c>
      <c r="X989" t="str">
        <f t="shared" si="110"/>
        <v/>
      </c>
      <c r="Y989" s="4" t="str">
        <f>IF($A989="","",IF(AND(LEFT($G989,3)="ДОК",$N989&lt;&gt;""),IFERROR(INDEX(Документация!$G$2:$G$57,MATCH($N989,Документация!$F$2:$F$57,0)),$D989),$D989&amp;IF(AND(LEFT($G989,3)&lt;&gt;"ДОК",$N989&lt;&gt;"")," — "&amp;IFERROR(INDEX(МАТЕРИАЛЫ!$C$2:$C$9000,MATCH($N989,МАТЕРИАЛЫ!$L$2:$L$9000,0)),""),"")))</f>
        <v/>
      </c>
      <c r="Z989" t="str">
        <f t="shared" si="111"/>
        <v/>
      </c>
    </row>
    <row r="990" spans="1:26" x14ac:dyDescent="0.3">
      <c r="A990" s="8"/>
      <c r="D990" s="4"/>
      <c r="F990" s="5"/>
      <c r="L990" s="6"/>
      <c r="M990" s="6"/>
      <c r="N990" s="6"/>
      <c r="O990" s="5"/>
      <c r="P990" s="7" t="str">
        <f t="shared" si="105"/>
        <v/>
      </c>
      <c r="Q990" s="7" t="str">
        <f t="shared" si="106"/>
        <v/>
      </c>
      <c r="R990" s="7" t="str">
        <f t="shared" si="107"/>
        <v/>
      </c>
      <c r="S990" s="7" t="str">
        <f>IF($A990="","",IF(AND(LEFT($G990,3)="ДОК",$N990&lt;&gt;""),IFERROR(INDEX(Документация!$E$2:$E$57,MATCH($N990,Документация!$F$2:$F$57,0)),0),N($F990))*(1-MEDIAN(0,N(ДисконтТендер),1)))</f>
        <v/>
      </c>
      <c r="T990" s="7" t="str">
        <f>IF($A990="","",IF(AND(LEFT($G990,3)="ДОК",$N990&lt;&gt;""),0,IF(AND(LEFT($G990,3)&lt;&gt;"ДОК",$N990&lt;&gt;""),IFERROR(INDEX(МАТЕРИАЛЫ!$H$2:$H$9000,MATCH($N990,МАТЕРИАЛЫ!$L$2:$L$9000,0))*IF(INDEX(МАТЕРИАЛЫ!$I$2:$I$9000,MATCH($N990,МАТЕРИАЛЫ!$L$2:$L$9000,0))="USD",КурсUSD,IF(INDEX(МАТЕРИАЛЫ!$I$2:$I$9000,MATCH($N990,МАТЕРИАЛЫ!$L$2:$L$9000,0))="EUR",КурсEUR,IF(INDEX(МАТЕРИАЛЫ!$I$2:$I$9000,MATCH($N990,МАТЕРИАЛЫ!$L$2:$L$9000,0))="CNY",КурсCNY,1)))*(1+N($H990)/100),0),N($O990))*(1-MEDIAN(0,N(ДисконтТендер),1))))</f>
        <v/>
      </c>
      <c r="U990" t="str">
        <f>IF($L990="да",MAX($U$1:$U989)+1,"")</f>
        <v/>
      </c>
      <c r="V990" t="str">
        <f t="shared" si="108"/>
        <v/>
      </c>
      <c r="W990" t="str">
        <f t="shared" si="109"/>
        <v/>
      </c>
      <c r="X990" t="str">
        <f t="shared" si="110"/>
        <v/>
      </c>
      <c r="Y990" s="4" t="str">
        <f>IF($A990="","",IF(AND(LEFT($G990,3)="ДОК",$N990&lt;&gt;""),IFERROR(INDEX(Документация!$G$2:$G$57,MATCH($N990,Документация!$F$2:$F$57,0)),$D990),$D990&amp;IF(AND(LEFT($G990,3)&lt;&gt;"ДОК",$N990&lt;&gt;"")," — "&amp;IFERROR(INDEX(МАТЕРИАЛЫ!$C$2:$C$9000,MATCH($N990,МАТЕРИАЛЫ!$L$2:$L$9000,0)),""),"")))</f>
        <v/>
      </c>
      <c r="Z990" t="str">
        <f t="shared" si="111"/>
        <v/>
      </c>
    </row>
    <row r="991" spans="1:26" x14ac:dyDescent="0.3">
      <c r="A991" s="8"/>
      <c r="D991" s="4"/>
      <c r="F991" s="5"/>
      <c r="L991" s="6"/>
      <c r="M991" s="6"/>
      <c r="N991" s="6"/>
      <c r="O991" s="5"/>
      <c r="P991" s="7" t="str">
        <f t="shared" si="105"/>
        <v/>
      </c>
      <c r="Q991" s="7" t="str">
        <f t="shared" si="106"/>
        <v/>
      </c>
      <c r="R991" s="7" t="str">
        <f t="shared" si="107"/>
        <v/>
      </c>
      <c r="S991" s="7" t="str">
        <f>IF($A991="","",IF(AND(LEFT($G991,3)="ДОК",$N991&lt;&gt;""),IFERROR(INDEX(Документация!$E$2:$E$57,MATCH($N991,Документация!$F$2:$F$57,0)),0),N($F991))*(1-MEDIAN(0,N(ДисконтТендер),1)))</f>
        <v/>
      </c>
      <c r="T991" s="7" t="str">
        <f>IF($A991="","",IF(AND(LEFT($G991,3)="ДОК",$N991&lt;&gt;""),0,IF(AND(LEFT($G991,3)&lt;&gt;"ДОК",$N991&lt;&gt;""),IFERROR(INDEX(МАТЕРИАЛЫ!$H$2:$H$9000,MATCH($N991,МАТЕРИАЛЫ!$L$2:$L$9000,0))*IF(INDEX(МАТЕРИАЛЫ!$I$2:$I$9000,MATCH($N991,МАТЕРИАЛЫ!$L$2:$L$9000,0))="USD",КурсUSD,IF(INDEX(МАТЕРИАЛЫ!$I$2:$I$9000,MATCH($N991,МАТЕРИАЛЫ!$L$2:$L$9000,0))="EUR",КурсEUR,IF(INDEX(МАТЕРИАЛЫ!$I$2:$I$9000,MATCH($N991,МАТЕРИАЛЫ!$L$2:$L$9000,0))="CNY",КурсCNY,1)))*(1+N($H991)/100),0),N($O991))*(1-MEDIAN(0,N(ДисконтТендер),1))))</f>
        <v/>
      </c>
      <c r="U991" t="str">
        <f>IF($L991="да",MAX($U$1:$U990)+1,"")</f>
        <v/>
      </c>
      <c r="V991" t="str">
        <f t="shared" si="108"/>
        <v/>
      </c>
      <c r="W991" t="str">
        <f t="shared" si="109"/>
        <v/>
      </c>
      <c r="X991" t="str">
        <f t="shared" si="110"/>
        <v/>
      </c>
      <c r="Y991" s="4" t="str">
        <f>IF($A991="","",IF(AND(LEFT($G991,3)="ДОК",$N991&lt;&gt;""),IFERROR(INDEX(Документация!$G$2:$G$57,MATCH($N991,Документация!$F$2:$F$57,0)),$D991),$D991&amp;IF(AND(LEFT($G991,3)&lt;&gt;"ДОК",$N991&lt;&gt;"")," — "&amp;IFERROR(INDEX(МАТЕРИАЛЫ!$C$2:$C$9000,MATCH($N991,МАТЕРИАЛЫ!$L$2:$L$9000,0)),""),"")))</f>
        <v/>
      </c>
      <c r="Z991" t="str">
        <f t="shared" si="111"/>
        <v/>
      </c>
    </row>
    <row r="992" spans="1:26" x14ac:dyDescent="0.3">
      <c r="A992" s="8"/>
      <c r="D992" s="4"/>
      <c r="F992" s="5"/>
      <c r="L992" s="6"/>
      <c r="M992" s="6"/>
      <c r="N992" s="6"/>
      <c r="O992" s="5"/>
      <c r="P992" s="7" t="str">
        <f t="shared" si="105"/>
        <v/>
      </c>
      <c r="Q992" s="7" t="str">
        <f t="shared" si="106"/>
        <v/>
      </c>
      <c r="R992" s="7" t="str">
        <f t="shared" si="107"/>
        <v/>
      </c>
      <c r="S992" s="7" t="str">
        <f>IF($A992="","",IF(AND(LEFT($G992,3)="ДОК",$N992&lt;&gt;""),IFERROR(INDEX(Документация!$E$2:$E$57,MATCH($N992,Документация!$F$2:$F$57,0)),0),N($F992))*(1-MEDIAN(0,N(ДисконтТендер),1)))</f>
        <v/>
      </c>
      <c r="T992" s="7" t="str">
        <f>IF($A992="","",IF(AND(LEFT($G992,3)="ДОК",$N992&lt;&gt;""),0,IF(AND(LEFT($G992,3)&lt;&gt;"ДОК",$N992&lt;&gt;""),IFERROR(INDEX(МАТЕРИАЛЫ!$H$2:$H$9000,MATCH($N992,МАТЕРИАЛЫ!$L$2:$L$9000,0))*IF(INDEX(МАТЕРИАЛЫ!$I$2:$I$9000,MATCH($N992,МАТЕРИАЛЫ!$L$2:$L$9000,0))="USD",КурсUSD,IF(INDEX(МАТЕРИАЛЫ!$I$2:$I$9000,MATCH($N992,МАТЕРИАЛЫ!$L$2:$L$9000,0))="EUR",КурсEUR,IF(INDEX(МАТЕРИАЛЫ!$I$2:$I$9000,MATCH($N992,МАТЕРИАЛЫ!$L$2:$L$9000,0))="CNY",КурсCNY,1)))*(1+N($H992)/100),0),N($O992))*(1-MEDIAN(0,N(ДисконтТендер),1))))</f>
        <v/>
      </c>
      <c r="U992" t="str">
        <f>IF($L992="да",MAX($U$1:$U991)+1,"")</f>
        <v/>
      </c>
      <c r="V992" t="str">
        <f t="shared" si="108"/>
        <v/>
      </c>
      <c r="W992" t="str">
        <f t="shared" si="109"/>
        <v/>
      </c>
      <c r="X992" t="str">
        <f t="shared" si="110"/>
        <v/>
      </c>
      <c r="Y992" s="4" t="str">
        <f>IF($A992="","",IF(AND(LEFT($G992,3)="ДОК",$N992&lt;&gt;""),IFERROR(INDEX(Документация!$G$2:$G$57,MATCH($N992,Документация!$F$2:$F$57,0)),$D992),$D992&amp;IF(AND(LEFT($G992,3)&lt;&gt;"ДОК",$N992&lt;&gt;"")," — "&amp;IFERROR(INDEX(МАТЕРИАЛЫ!$C$2:$C$9000,MATCH($N992,МАТЕРИАЛЫ!$L$2:$L$9000,0)),""),"")))</f>
        <v/>
      </c>
      <c r="Z992" t="str">
        <f t="shared" si="111"/>
        <v/>
      </c>
    </row>
    <row r="993" spans="1:26" x14ac:dyDescent="0.3">
      <c r="A993" s="8"/>
      <c r="D993" s="4"/>
      <c r="F993" s="5"/>
      <c r="L993" s="6"/>
      <c r="M993" s="6"/>
      <c r="N993" s="6"/>
      <c r="O993" s="5"/>
      <c r="P993" s="7" t="str">
        <f t="shared" si="105"/>
        <v/>
      </c>
      <c r="Q993" s="7" t="str">
        <f t="shared" si="106"/>
        <v/>
      </c>
      <c r="R993" s="7" t="str">
        <f t="shared" si="107"/>
        <v/>
      </c>
      <c r="S993" s="7" t="str">
        <f>IF($A993="","",IF(AND(LEFT($G993,3)="ДОК",$N993&lt;&gt;""),IFERROR(INDEX(Документация!$E$2:$E$57,MATCH($N993,Документация!$F$2:$F$57,0)),0),N($F993))*(1-MEDIAN(0,N(ДисконтТендер),1)))</f>
        <v/>
      </c>
      <c r="T993" s="7" t="str">
        <f>IF($A993="","",IF(AND(LEFT($G993,3)="ДОК",$N993&lt;&gt;""),0,IF(AND(LEFT($G993,3)&lt;&gt;"ДОК",$N993&lt;&gt;""),IFERROR(INDEX(МАТЕРИАЛЫ!$H$2:$H$9000,MATCH($N993,МАТЕРИАЛЫ!$L$2:$L$9000,0))*IF(INDEX(МАТЕРИАЛЫ!$I$2:$I$9000,MATCH($N993,МАТЕРИАЛЫ!$L$2:$L$9000,0))="USD",КурсUSD,IF(INDEX(МАТЕРИАЛЫ!$I$2:$I$9000,MATCH($N993,МАТЕРИАЛЫ!$L$2:$L$9000,0))="EUR",КурсEUR,IF(INDEX(МАТЕРИАЛЫ!$I$2:$I$9000,MATCH($N993,МАТЕРИАЛЫ!$L$2:$L$9000,0))="CNY",КурсCNY,1)))*(1+N($H993)/100),0),N($O993))*(1-MEDIAN(0,N(ДисконтТендер),1))))</f>
        <v/>
      </c>
      <c r="U993" t="str">
        <f>IF($L993="да",MAX($U$1:$U992)+1,"")</f>
        <v/>
      </c>
      <c r="V993" t="str">
        <f t="shared" si="108"/>
        <v/>
      </c>
      <c r="W993" t="str">
        <f t="shared" si="109"/>
        <v/>
      </c>
      <c r="X993" t="str">
        <f t="shared" si="110"/>
        <v/>
      </c>
      <c r="Y993" s="4" t="str">
        <f>IF($A993="","",IF(AND(LEFT($G993,3)="ДОК",$N993&lt;&gt;""),IFERROR(INDEX(Документация!$G$2:$G$57,MATCH($N993,Документация!$F$2:$F$57,0)),$D993),$D993&amp;IF(AND(LEFT($G993,3)&lt;&gt;"ДОК",$N993&lt;&gt;"")," — "&amp;IFERROR(INDEX(МАТЕРИАЛЫ!$C$2:$C$9000,MATCH($N993,МАТЕРИАЛЫ!$L$2:$L$9000,0)),""),"")))</f>
        <v/>
      </c>
      <c r="Z993" t="str">
        <f t="shared" si="111"/>
        <v/>
      </c>
    </row>
    <row r="994" spans="1:26" x14ac:dyDescent="0.3">
      <c r="A994" s="8"/>
      <c r="D994" s="4"/>
      <c r="F994" s="5"/>
      <c r="L994" s="6"/>
      <c r="M994" s="6"/>
      <c r="N994" s="6"/>
      <c r="O994" s="5"/>
      <c r="P994" s="7" t="str">
        <f t="shared" si="105"/>
        <v/>
      </c>
      <c r="Q994" s="7" t="str">
        <f t="shared" si="106"/>
        <v/>
      </c>
      <c r="R994" s="7" t="str">
        <f t="shared" si="107"/>
        <v/>
      </c>
      <c r="S994" s="7" t="str">
        <f>IF($A994="","",IF(AND(LEFT($G994,3)="ДОК",$N994&lt;&gt;""),IFERROR(INDEX(Документация!$E$2:$E$57,MATCH($N994,Документация!$F$2:$F$57,0)),0),N($F994))*(1-MEDIAN(0,N(ДисконтТендер),1)))</f>
        <v/>
      </c>
      <c r="T994" s="7" t="str">
        <f>IF($A994="","",IF(AND(LEFT($G994,3)="ДОК",$N994&lt;&gt;""),0,IF(AND(LEFT($G994,3)&lt;&gt;"ДОК",$N994&lt;&gt;""),IFERROR(INDEX(МАТЕРИАЛЫ!$H$2:$H$9000,MATCH($N994,МАТЕРИАЛЫ!$L$2:$L$9000,0))*IF(INDEX(МАТЕРИАЛЫ!$I$2:$I$9000,MATCH($N994,МАТЕРИАЛЫ!$L$2:$L$9000,0))="USD",КурсUSD,IF(INDEX(МАТЕРИАЛЫ!$I$2:$I$9000,MATCH($N994,МАТЕРИАЛЫ!$L$2:$L$9000,0))="EUR",КурсEUR,IF(INDEX(МАТЕРИАЛЫ!$I$2:$I$9000,MATCH($N994,МАТЕРИАЛЫ!$L$2:$L$9000,0))="CNY",КурсCNY,1)))*(1+N($H994)/100),0),N($O994))*(1-MEDIAN(0,N(ДисконтТендер),1))))</f>
        <v/>
      </c>
      <c r="U994" t="str">
        <f>IF($L994="да",MAX($U$1:$U993)+1,"")</f>
        <v/>
      </c>
      <c r="V994" t="str">
        <f t="shared" si="108"/>
        <v/>
      </c>
      <c r="W994" t="str">
        <f t="shared" si="109"/>
        <v/>
      </c>
      <c r="X994" t="str">
        <f t="shared" si="110"/>
        <v/>
      </c>
      <c r="Y994" s="4" t="str">
        <f>IF($A994="","",IF(AND(LEFT($G994,3)="ДОК",$N994&lt;&gt;""),IFERROR(INDEX(Документация!$G$2:$G$57,MATCH($N994,Документация!$F$2:$F$57,0)),$D994),$D994&amp;IF(AND(LEFT($G994,3)&lt;&gt;"ДОК",$N994&lt;&gt;"")," — "&amp;IFERROR(INDEX(МАТЕРИАЛЫ!$C$2:$C$9000,MATCH($N994,МАТЕРИАЛЫ!$L$2:$L$9000,0)),""),"")))</f>
        <v/>
      </c>
      <c r="Z994" t="str">
        <f t="shared" si="111"/>
        <v/>
      </c>
    </row>
    <row r="995" spans="1:26" x14ac:dyDescent="0.3">
      <c r="A995" s="8"/>
      <c r="D995" s="4"/>
      <c r="F995" s="5"/>
      <c r="L995" s="6"/>
      <c r="M995" s="6"/>
      <c r="N995" s="6"/>
      <c r="O995" s="5"/>
      <c r="P995" s="7" t="str">
        <f t="shared" si="105"/>
        <v/>
      </c>
      <c r="Q995" s="7" t="str">
        <f t="shared" si="106"/>
        <v/>
      </c>
      <c r="R995" s="7" t="str">
        <f t="shared" si="107"/>
        <v/>
      </c>
      <c r="S995" s="7" t="str">
        <f>IF($A995="","",IF(AND(LEFT($G995,3)="ДОК",$N995&lt;&gt;""),IFERROR(INDEX(Документация!$E$2:$E$57,MATCH($N995,Документация!$F$2:$F$57,0)),0),N($F995))*(1-MEDIAN(0,N(ДисконтТендер),1)))</f>
        <v/>
      </c>
      <c r="T995" s="7" t="str">
        <f>IF($A995="","",IF(AND(LEFT($G995,3)="ДОК",$N995&lt;&gt;""),0,IF(AND(LEFT($G995,3)&lt;&gt;"ДОК",$N995&lt;&gt;""),IFERROR(INDEX(МАТЕРИАЛЫ!$H$2:$H$9000,MATCH($N995,МАТЕРИАЛЫ!$L$2:$L$9000,0))*IF(INDEX(МАТЕРИАЛЫ!$I$2:$I$9000,MATCH($N995,МАТЕРИАЛЫ!$L$2:$L$9000,0))="USD",КурсUSD,IF(INDEX(МАТЕРИАЛЫ!$I$2:$I$9000,MATCH($N995,МАТЕРИАЛЫ!$L$2:$L$9000,0))="EUR",КурсEUR,IF(INDEX(МАТЕРИАЛЫ!$I$2:$I$9000,MATCH($N995,МАТЕРИАЛЫ!$L$2:$L$9000,0))="CNY",КурсCNY,1)))*(1+N($H995)/100),0),N($O995))*(1-MEDIAN(0,N(ДисконтТендер),1))))</f>
        <v/>
      </c>
      <c r="U995" t="str">
        <f>IF($L995="да",MAX($U$1:$U994)+1,"")</f>
        <v/>
      </c>
      <c r="V995" t="str">
        <f t="shared" si="108"/>
        <v/>
      </c>
      <c r="W995" t="str">
        <f t="shared" si="109"/>
        <v/>
      </c>
      <c r="X995" t="str">
        <f t="shared" si="110"/>
        <v/>
      </c>
      <c r="Y995" s="4" t="str">
        <f>IF($A995="","",IF(AND(LEFT($G995,3)="ДОК",$N995&lt;&gt;""),IFERROR(INDEX(Документация!$G$2:$G$57,MATCH($N995,Документация!$F$2:$F$57,0)),$D995),$D995&amp;IF(AND(LEFT($G995,3)&lt;&gt;"ДОК",$N995&lt;&gt;"")," — "&amp;IFERROR(INDEX(МАТЕРИАЛЫ!$C$2:$C$9000,MATCH($N995,МАТЕРИАЛЫ!$L$2:$L$9000,0)),""),"")))</f>
        <v/>
      </c>
      <c r="Z995" t="str">
        <f t="shared" si="111"/>
        <v/>
      </c>
    </row>
    <row r="996" spans="1:26" x14ac:dyDescent="0.3">
      <c r="A996" s="8"/>
      <c r="D996" s="4"/>
      <c r="F996" s="5"/>
      <c r="L996" s="6"/>
      <c r="M996" s="6"/>
      <c r="N996" s="6"/>
      <c r="O996" s="5"/>
      <c r="P996" s="7" t="str">
        <f t="shared" si="105"/>
        <v/>
      </c>
      <c r="Q996" s="7" t="str">
        <f t="shared" si="106"/>
        <v/>
      </c>
      <c r="R996" s="7" t="str">
        <f t="shared" si="107"/>
        <v/>
      </c>
      <c r="S996" s="7" t="str">
        <f>IF($A996="","",IF(AND(LEFT($G996,3)="ДОК",$N996&lt;&gt;""),IFERROR(INDEX(Документация!$E$2:$E$57,MATCH($N996,Документация!$F$2:$F$57,0)),0),N($F996))*(1-MEDIAN(0,N(ДисконтТендер),1)))</f>
        <v/>
      </c>
      <c r="T996" s="7" t="str">
        <f>IF($A996="","",IF(AND(LEFT($G996,3)="ДОК",$N996&lt;&gt;""),0,IF(AND(LEFT($G996,3)&lt;&gt;"ДОК",$N996&lt;&gt;""),IFERROR(INDEX(МАТЕРИАЛЫ!$H$2:$H$9000,MATCH($N996,МАТЕРИАЛЫ!$L$2:$L$9000,0))*IF(INDEX(МАТЕРИАЛЫ!$I$2:$I$9000,MATCH($N996,МАТЕРИАЛЫ!$L$2:$L$9000,0))="USD",КурсUSD,IF(INDEX(МАТЕРИАЛЫ!$I$2:$I$9000,MATCH($N996,МАТЕРИАЛЫ!$L$2:$L$9000,0))="EUR",КурсEUR,IF(INDEX(МАТЕРИАЛЫ!$I$2:$I$9000,MATCH($N996,МАТЕРИАЛЫ!$L$2:$L$9000,0))="CNY",КурсCNY,1)))*(1+N($H996)/100),0),N($O996))*(1-MEDIAN(0,N(ДисконтТендер),1))))</f>
        <v/>
      </c>
      <c r="U996" t="str">
        <f>IF($L996="да",MAX($U$1:$U995)+1,"")</f>
        <v/>
      </c>
      <c r="V996" t="str">
        <f t="shared" si="108"/>
        <v/>
      </c>
      <c r="W996" t="str">
        <f t="shared" si="109"/>
        <v/>
      </c>
      <c r="X996" t="str">
        <f t="shared" si="110"/>
        <v/>
      </c>
      <c r="Y996" s="4" t="str">
        <f>IF($A996="","",IF(AND(LEFT($G996,3)="ДОК",$N996&lt;&gt;""),IFERROR(INDEX(Документация!$G$2:$G$57,MATCH($N996,Документация!$F$2:$F$57,0)),$D996),$D996&amp;IF(AND(LEFT($G996,3)&lt;&gt;"ДОК",$N996&lt;&gt;"")," — "&amp;IFERROR(INDEX(МАТЕРИАЛЫ!$C$2:$C$9000,MATCH($N996,МАТЕРИАЛЫ!$L$2:$L$9000,0)),""),"")))</f>
        <v/>
      </c>
      <c r="Z996" t="str">
        <f t="shared" si="111"/>
        <v/>
      </c>
    </row>
    <row r="997" spans="1:26" x14ac:dyDescent="0.3">
      <c r="A997" s="8"/>
      <c r="D997" s="4"/>
      <c r="F997" s="5"/>
      <c r="L997" s="6"/>
      <c r="M997" s="6"/>
      <c r="N997" s="6"/>
      <c r="O997" s="5"/>
      <c r="P997" s="7" t="str">
        <f t="shared" si="105"/>
        <v/>
      </c>
      <c r="Q997" s="7" t="str">
        <f t="shared" si="106"/>
        <v/>
      </c>
      <c r="R997" s="7" t="str">
        <f t="shared" si="107"/>
        <v/>
      </c>
      <c r="S997" s="7" t="str">
        <f>IF($A997="","",IF(AND(LEFT($G997,3)="ДОК",$N997&lt;&gt;""),IFERROR(INDEX(Документация!$E$2:$E$57,MATCH($N997,Документация!$F$2:$F$57,0)),0),N($F997))*(1-MEDIAN(0,N(ДисконтТендер),1)))</f>
        <v/>
      </c>
      <c r="T997" s="7" t="str">
        <f>IF($A997="","",IF(AND(LEFT($G997,3)="ДОК",$N997&lt;&gt;""),0,IF(AND(LEFT($G997,3)&lt;&gt;"ДОК",$N997&lt;&gt;""),IFERROR(INDEX(МАТЕРИАЛЫ!$H$2:$H$9000,MATCH($N997,МАТЕРИАЛЫ!$L$2:$L$9000,0))*IF(INDEX(МАТЕРИАЛЫ!$I$2:$I$9000,MATCH($N997,МАТЕРИАЛЫ!$L$2:$L$9000,0))="USD",КурсUSD,IF(INDEX(МАТЕРИАЛЫ!$I$2:$I$9000,MATCH($N997,МАТЕРИАЛЫ!$L$2:$L$9000,0))="EUR",КурсEUR,IF(INDEX(МАТЕРИАЛЫ!$I$2:$I$9000,MATCH($N997,МАТЕРИАЛЫ!$L$2:$L$9000,0))="CNY",КурсCNY,1)))*(1+N($H997)/100),0),N($O997))*(1-MEDIAN(0,N(ДисконтТендер),1))))</f>
        <v/>
      </c>
      <c r="U997" t="str">
        <f>IF($L997="да",MAX($U$1:$U996)+1,"")</f>
        <v/>
      </c>
      <c r="V997" t="str">
        <f t="shared" si="108"/>
        <v/>
      </c>
      <c r="W997" t="str">
        <f t="shared" si="109"/>
        <v/>
      </c>
      <c r="X997" t="str">
        <f t="shared" si="110"/>
        <v/>
      </c>
      <c r="Y997" s="4" t="str">
        <f>IF($A997="","",IF(AND(LEFT($G997,3)="ДОК",$N997&lt;&gt;""),IFERROR(INDEX(Документация!$G$2:$G$57,MATCH($N997,Документация!$F$2:$F$57,0)),$D997),$D997&amp;IF(AND(LEFT($G997,3)&lt;&gt;"ДОК",$N997&lt;&gt;"")," — "&amp;IFERROR(INDEX(МАТЕРИАЛЫ!$C$2:$C$9000,MATCH($N997,МАТЕРИАЛЫ!$L$2:$L$9000,0)),""),"")))</f>
        <v/>
      </c>
      <c r="Z997" t="str">
        <f t="shared" si="111"/>
        <v/>
      </c>
    </row>
    <row r="998" spans="1:26" x14ac:dyDescent="0.3">
      <c r="A998" s="8"/>
      <c r="D998" s="4"/>
      <c r="F998" s="5"/>
      <c r="L998" s="6"/>
      <c r="M998" s="6"/>
      <c r="N998" s="6"/>
      <c r="O998" s="5"/>
      <c r="P998" s="7" t="str">
        <f t="shared" si="105"/>
        <v/>
      </c>
      <c r="Q998" s="7" t="str">
        <f t="shared" si="106"/>
        <v/>
      </c>
      <c r="R998" s="7" t="str">
        <f t="shared" si="107"/>
        <v/>
      </c>
      <c r="S998" s="7" t="str">
        <f>IF($A998="","",IF(AND(LEFT($G998,3)="ДОК",$N998&lt;&gt;""),IFERROR(INDEX(Документация!$E$2:$E$57,MATCH($N998,Документация!$F$2:$F$57,0)),0),N($F998))*(1-MEDIAN(0,N(ДисконтТендер),1)))</f>
        <v/>
      </c>
      <c r="T998" s="7" t="str">
        <f>IF($A998="","",IF(AND(LEFT($G998,3)="ДОК",$N998&lt;&gt;""),0,IF(AND(LEFT($G998,3)&lt;&gt;"ДОК",$N998&lt;&gt;""),IFERROR(INDEX(МАТЕРИАЛЫ!$H$2:$H$9000,MATCH($N998,МАТЕРИАЛЫ!$L$2:$L$9000,0))*IF(INDEX(МАТЕРИАЛЫ!$I$2:$I$9000,MATCH($N998,МАТЕРИАЛЫ!$L$2:$L$9000,0))="USD",КурсUSD,IF(INDEX(МАТЕРИАЛЫ!$I$2:$I$9000,MATCH($N998,МАТЕРИАЛЫ!$L$2:$L$9000,0))="EUR",КурсEUR,IF(INDEX(МАТЕРИАЛЫ!$I$2:$I$9000,MATCH($N998,МАТЕРИАЛЫ!$L$2:$L$9000,0))="CNY",КурсCNY,1)))*(1+N($H998)/100),0),N($O998))*(1-MEDIAN(0,N(ДисконтТендер),1))))</f>
        <v/>
      </c>
      <c r="U998" t="str">
        <f>IF($L998="да",MAX($U$1:$U997)+1,"")</f>
        <v/>
      </c>
      <c r="V998" t="str">
        <f t="shared" si="108"/>
        <v/>
      </c>
      <c r="W998" t="str">
        <f t="shared" si="109"/>
        <v/>
      </c>
      <c r="X998" t="str">
        <f t="shared" si="110"/>
        <v/>
      </c>
      <c r="Y998" s="4" t="str">
        <f>IF($A998="","",IF(AND(LEFT($G998,3)="ДОК",$N998&lt;&gt;""),IFERROR(INDEX(Документация!$G$2:$G$57,MATCH($N998,Документация!$F$2:$F$57,0)),$D998),$D998&amp;IF(AND(LEFT($G998,3)&lt;&gt;"ДОК",$N998&lt;&gt;"")," — "&amp;IFERROR(INDEX(МАТЕРИАЛЫ!$C$2:$C$9000,MATCH($N998,МАТЕРИАЛЫ!$L$2:$L$9000,0)),""),"")))</f>
        <v/>
      </c>
      <c r="Z998" t="str">
        <f t="shared" si="111"/>
        <v/>
      </c>
    </row>
    <row r="999" spans="1:26" x14ac:dyDescent="0.3">
      <c r="A999" s="8"/>
      <c r="D999" s="4"/>
      <c r="F999" s="5"/>
      <c r="L999" s="6"/>
      <c r="M999" s="6"/>
      <c r="N999" s="6"/>
      <c r="O999" s="5"/>
      <c r="P999" s="7" t="str">
        <f t="shared" si="105"/>
        <v/>
      </c>
      <c r="Q999" s="7" t="str">
        <f t="shared" si="106"/>
        <v/>
      </c>
      <c r="R999" s="7" t="str">
        <f t="shared" si="107"/>
        <v/>
      </c>
      <c r="S999" s="7" t="str">
        <f>IF($A999="","",IF(AND(LEFT($G999,3)="ДОК",$N999&lt;&gt;""),IFERROR(INDEX(Документация!$E$2:$E$57,MATCH($N999,Документация!$F$2:$F$57,0)),0),N($F999))*(1-MEDIAN(0,N(ДисконтТендер),1)))</f>
        <v/>
      </c>
      <c r="T999" s="7" t="str">
        <f>IF($A999="","",IF(AND(LEFT($G999,3)="ДОК",$N999&lt;&gt;""),0,IF(AND(LEFT($G999,3)&lt;&gt;"ДОК",$N999&lt;&gt;""),IFERROR(INDEX(МАТЕРИАЛЫ!$H$2:$H$9000,MATCH($N999,МАТЕРИАЛЫ!$L$2:$L$9000,0))*IF(INDEX(МАТЕРИАЛЫ!$I$2:$I$9000,MATCH($N999,МАТЕРИАЛЫ!$L$2:$L$9000,0))="USD",КурсUSD,IF(INDEX(МАТЕРИАЛЫ!$I$2:$I$9000,MATCH($N999,МАТЕРИАЛЫ!$L$2:$L$9000,0))="EUR",КурсEUR,IF(INDEX(МАТЕРИАЛЫ!$I$2:$I$9000,MATCH($N999,МАТЕРИАЛЫ!$L$2:$L$9000,0))="CNY",КурсCNY,1)))*(1+N($H999)/100),0),N($O999))*(1-MEDIAN(0,N(ДисконтТендер),1))))</f>
        <v/>
      </c>
      <c r="U999" t="str">
        <f>IF($L999="да",MAX($U$1:$U998)+1,"")</f>
        <v/>
      </c>
      <c r="V999" t="str">
        <f t="shared" si="108"/>
        <v/>
      </c>
      <c r="W999" t="str">
        <f t="shared" si="109"/>
        <v/>
      </c>
      <c r="X999" t="str">
        <f t="shared" si="110"/>
        <v/>
      </c>
      <c r="Y999" s="4" t="str">
        <f>IF($A999="","",IF(AND(LEFT($G999,3)="ДОК",$N999&lt;&gt;""),IFERROR(INDEX(Документация!$G$2:$G$57,MATCH($N999,Документация!$F$2:$F$57,0)),$D999),$D999&amp;IF(AND(LEFT($G999,3)&lt;&gt;"ДОК",$N999&lt;&gt;"")," — "&amp;IFERROR(INDEX(МАТЕРИАЛЫ!$C$2:$C$9000,MATCH($N999,МАТЕРИАЛЫ!$L$2:$L$9000,0)),""),"")))</f>
        <v/>
      </c>
      <c r="Z999" t="str">
        <f t="shared" si="111"/>
        <v/>
      </c>
    </row>
    <row r="1000" spans="1:26" x14ac:dyDescent="0.3">
      <c r="A1000" s="8"/>
      <c r="D1000" s="4"/>
      <c r="F1000" s="5"/>
      <c r="L1000" s="6"/>
      <c r="M1000" s="6"/>
      <c r="N1000" s="6"/>
      <c r="O1000" s="5"/>
      <c r="P1000" s="7" t="str">
        <f t="shared" si="105"/>
        <v/>
      </c>
      <c r="Q1000" s="7" t="str">
        <f t="shared" si="106"/>
        <v/>
      </c>
      <c r="R1000" s="7" t="str">
        <f t="shared" si="107"/>
        <v/>
      </c>
      <c r="S1000" s="7" t="str">
        <f>IF($A1000="","",IF(AND(LEFT($G1000,3)="ДОК",$N1000&lt;&gt;""),IFERROR(INDEX(Документация!$E$2:$E$57,MATCH($N1000,Документация!$F$2:$F$57,0)),0),N($F1000))*(1-MEDIAN(0,N(ДисконтТендер),1)))</f>
        <v/>
      </c>
      <c r="T1000" s="7" t="str">
        <f>IF($A1000="","",IF(AND(LEFT($G1000,3)="ДОК",$N1000&lt;&gt;""),0,IF(AND(LEFT($G1000,3)&lt;&gt;"ДОК",$N1000&lt;&gt;""),IFERROR(INDEX(МАТЕРИАЛЫ!$H$2:$H$9000,MATCH($N1000,МАТЕРИАЛЫ!$L$2:$L$9000,0))*IF(INDEX(МАТЕРИАЛЫ!$I$2:$I$9000,MATCH($N1000,МАТЕРИАЛЫ!$L$2:$L$9000,0))="USD",КурсUSD,IF(INDEX(МАТЕРИАЛЫ!$I$2:$I$9000,MATCH($N1000,МАТЕРИАЛЫ!$L$2:$L$9000,0))="EUR",КурсEUR,IF(INDEX(МАТЕРИАЛЫ!$I$2:$I$9000,MATCH($N1000,МАТЕРИАЛЫ!$L$2:$L$9000,0))="CNY",КурсCNY,1)))*(1+N($H1000)/100),0),N($O1000))*(1-MEDIAN(0,N(ДисконтТендер),1))))</f>
        <v/>
      </c>
      <c r="U1000" t="str">
        <f>IF($L1000="да",MAX($U$1:$U999)+1,"")</f>
        <v/>
      </c>
      <c r="V1000" t="str">
        <f t="shared" si="108"/>
        <v/>
      </c>
      <c r="W1000" t="str">
        <f t="shared" si="109"/>
        <v/>
      </c>
      <c r="X1000" t="str">
        <f t="shared" si="110"/>
        <v/>
      </c>
      <c r="Y1000" s="4" t="str">
        <f>IF($A1000="","",IF(AND(LEFT($G1000,3)="ДОК",$N1000&lt;&gt;""),IFERROR(INDEX(Документация!$G$2:$G$57,MATCH($N1000,Документация!$F$2:$F$57,0)),$D1000),$D1000&amp;IF(AND(LEFT($G1000,3)&lt;&gt;"ДОК",$N1000&lt;&gt;"")," — "&amp;IFERROR(INDEX(МАТЕРИАЛЫ!$C$2:$C$9000,MATCH($N1000,МАТЕРИАЛЫ!$L$2:$L$9000,0)),""),"")))</f>
        <v/>
      </c>
      <c r="Z1000" t="str">
        <f t="shared" si="111"/>
        <v/>
      </c>
    </row>
    <row r="1001" spans="1:26" x14ac:dyDescent="0.3">
      <c r="A1001" s="8"/>
      <c r="D1001" s="4"/>
      <c r="F1001" s="5"/>
      <c r="L1001" s="6"/>
      <c r="M1001" s="6"/>
      <c r="N1001" s="6"/>
      <c r="O1001" s="5"/>
      <c r="P1001" s="7" t="str">
        <f t="shared" si="105"/>
        <v/>
      </c>
      <c r="Q1001" s="7" t="str">
        <f t="shared" si="106"/>
        <v/>
      </c>
      <c r="R1001" s="7" t="str">
        <f t="shared" si="107"/>
        <v/>
      </c>
      <c r="S1001" s="7" t="str">
        <f>IF($A1001="","",IF(AND(LEFT($G1001,3)="ДОК",$N1001&lt;&gt;""),IFERROR(INDEX(Документация!$E$2:$E$57,MATCH($N1001,Документация!$F$2:$F$57,0)),0),N($F1001))*(1-MEDIAN(0,N(ДисконтТендер),1)))</f>
        <v/>
      </c>
      <c r="T1001" s="7" t="str">
        <f>IF($A1001="","",IF(AND(LEFT($G1001,3)="ДОК",$N1001&lt;&gt;""),0,IF(AND(LEFT($G1001,3)&lt;&gt;"ДОК",$N1001&lt;&gt;""),IFERROR(INDEX(МАТЕРИАЛЫ!$H$2:$H$9000,MATCH($N1001,МАТЕРИАЛЫ!$L$2:$L$9000,0))*IF(INDEX(МАТЕРИАЛЫ!$I$2:$I$9000,MATCH($N1001,МАТЕРИАЛЫ!$L$2:$L$9000,0))="USD",КурсUSD,IF(INDEX(МАТЕРИАЛЫ!$I$2:$I$9000,MATCH($N1001,МАТЕРИАЛЫ!$L$2:$L$9000,0))="EUR",КурсEUR,IF(INDEX(МАТЕРИАЛЫ!$I$2:$I$9000,MATCH($N1001,МАТЕРИАЛЫ!$L$2:$L$9000,0))="CNY",КурсCNY,1)))*(1+N($H1001)/100),0),N($O1001))*(1-MEDIAN(0,N(ДисконтТендер),1))))</f>
        <v/>
      </c>
      <c r="U1001" t="str">
        <f>IF($L1001="да",MAX($U$1:$U1000)+1,"")</f>
        <v/>
      </c>
      <c r="V1001" t="str">
        <f t="shared" si="108"/>
        <v/>
      </c>
      <c r="W1001" t="str">
        <f t="shared" si="109"/>
        <v/>
      </c>
      <c r="X1001" t="str">
        <f t="shared" si="110"/>
        <v/>
      </c>
      <c r="Y1001" s="4" t="str">
        <f>IF($A1001="","",IF(AND(LEFT($G1001,3)="ДОК",$N1001&lt;&gt;""),IFERROR(INDEX(Документация!$G$2:$G$57,MATCH($N1001,Документация!$F$2:$F$57,0)),$D1001),$D1001&amp;IF(AND(LEFT($G1001,3)&lt;&gt;"ДОК",$N1001&lt;&gt;"")," — "&amp;IFERROR(INDEX(МАТЕРИАЛЫ!$C$2:$C$9000,MATCH($N1001,МАТЕРИАЛЫ!$L$2:$L$9000,0)),""),"")))</f>
        <v/>
      </c>
      <c r="Z1001" t="str">
        <f t="shared" si="111"/>
        <v/>
      </c>
    </row>
    <row r="1002" spans="1:26" x14ac:dyDescent="0.3">
      <c r="A1002" s="8"/>
      <c r="D1002" s="4"/>
      <c r="F1002" s="5"/>
      <c r="L1002" s="6"/>
      <c r="M1002" s="6"/>
      <c r="N1002" s="6"/>
      <c r="O1002" s="5"/>
      <c r="P1002" s="7" t="str">
        <f t="shared" si="105"/>
        <v/>
      </c>
      <c r="Q1002" s="7" t="str">
        <f t="shared" si="106"/>
        <v/>
      </c>
      <c r="R1002" s="7" t="str">
        <f t="shared" si="107"/>
        <v/>
      </c>
      <c r="S1002" s="7" t="str">
        <f>IF($A1002="","",IF(AND(LEFT($G1002,3)="ДОК",$N1002&lt;&gt;""),IFERROR(INDEX(Документация!$E$2:$E$57,MATCH($N1002,Документация!$F$2:$F$57,0)),0),N($F1002))*(1-MEDIAN(0,N(ДисконтТендер),1)))</f>
        <v/>
      </c>
      <c r="T1002" s="7" t="str">
        <f>IF($A1002="","",IF(AND(LEFT($G1002,3)="ДОК",$N1002&lt;&gt;""),0,IF(AND(LEFT($G1002,3)&lt;&gt;"ДОК",$N1002&lt;&gt;""),IFERROR(INDEX(МАТЕРИАЛЫ!$H$2:$H$9000,MATCH($N1002,МАТЕРИАЛЫ!$L$2:$L$9000,0))*IF(INDEX(МАТЕРИАЛЫ!$I$2:$I$9000,MATCH($N1002,МАТЕРИАЛЫ!$L$2:$L$9000,0))="USD",КурсUSD,IF(INDEX(МАТЕРИАЛЫ!$I$2:$I$9000,MATCH($N1002,МАТЕРИАЛЫ!$L$2:$L$9000,0))="EUR",КурсEUR,IF(INDEX(МАТЕРИАЛЫ!$I$2:$I$9000,MATCH($N1002,МАТЕРИАЛЫ!$L$2:$L$9000,0))="CNY",КурсCNY,1)))*(1+N($H1002)/100),0),N($O1002))*(1-MEDIAN(0,N(ДисконтТендер),1))))</f>
        <v/>
      </c>
      <c r="U1002" t="str">
        <f>IF($L1002="да",MAX($U$1:$U1001)+1,"")</f>
        <v/>
      </c>
      <c r="V1002" t="str">
        <f t="shared" si="108"/>
        <v/>
      </c>
      <c r="W1002" t="str">
        <f t="shared" si="109"/>
        <v/>
      </c>
      <c r="X1002" t="str">
        <f t="shared" si="110"/>
        <v/>
      </c>
      <c r="Y1002" s="4" t="str">
        <f>IF($A1002="","",IF(AND(LEFT($G1002,3)="ДОК",$N1002&lt;&gt;""),IFERROR(INDEX(Документация!$G$2:$G$57,MATCH($N1002,Документация!$F$2:$F$57,0)),$D1002),$D1002&amp;IF(AND(LEFT($G1002,3)&lt;&gt;"ДОК",$N1002&lt;&gt;"")," — "&amp;IFERROR(INDEX(МАТЕРИАЛЫ!$C$2:$C$9000,MATCH($N1002,МАТЕРИАЛЫ!$L$2:$L$9000,0)),""),"")))</f>
        <v/>
      </c>
      <c r="Z1002" t="str">
        <f t="shared" si="111"/>
        <v/>
      </c>
    </row>
    <row r="1003" spans="1:26" x14ac:dyDescent="0.3">
      <c r="A1003" s="8"/>
      <c r="D1003" s="4"/>
      <c r="F1003" s="5"/>
      <c r="L1003" s="6"/>
      <c r="M1003" s="6"/>
      <c r="N1003" s="6"/>
      <c r="O1003" s="5"/>
      <c r="P1003" s="7" t="str">
        <f t="shared" si="105"/>
        <v/>
      </c>
      <c r="Q1003" s="7" t="str">
        <f t="shared" si="106"/>
        <v/>
      </c>
      <c r="R1003" s="7" t="str">
        <f t="shared" si="107"/>
        <v/>
      </c>
      <c r="S1003" s="7" t="str">
        <f>IF($A1003="","",IF(AND(LEFT($G1003,3)="ДОК",$N1003&lt;&gt;""),IFERROR(INDEX(Документация!$E$2:$E$57,MATCH($N1003,Документация!$F$2:$F$57,0)),0),N($F1003))*(1-MEDIAN(0,N(ДисконтТендер),1)))</f>
        <v/>
      </c>
      <c r="T1003" s="7" t="str">
        <f>IF($A1003="","",IF(AND(LEFT($G1003,3)="ДОК",$N1003&lt;&gt;""),0,IF(AND(LEFT($G1003,3)&lt;&gt;"ДОК",$N1003&lt;&gt;""),IFERROR(INDEX(МАТЕРИАЛЫ!$H$2:$H$9000,MATCH($N1003,МАТЕРИАЛЫ!$L$2:$L$9000,0))*IF(INDEX(МАТЕРИАЛЫ!$I$2:$I$9000,MATCH($N1003,МАТЕРИАЛЫ!$L$2:$L$9000,0))="USD",КурсUSD,IF(INDEX(МАТЕРИАЛЫ!$I$2:$I$9000,MATCH($N1003,МАТЕРИАЛЫ!$L$2:$L$9000,0))="EUR",КурсEUR,IF(INDEX(МАТЕРИАЛЫ!$I$2:$I$9000,MATCH($N1003,МАТЕРИАЛЫ!$L$2:$L$9000,0))="CNY",КурсCNY,1)))*(1+N($H1003)/100),0),N($O1003))*(1-MEDIAN(0,N(ДисконтТендер),1))))</f>
        <v/>
      </c>
      <c r="U1003" t="str">
        <f>IF($L1003="да",MAX($U$1:$U1002)+1,"")</f>
        <v/>
      </c>
      <c r="V1003" t="str">
        <f t="shared" si="108"/>
        <v/>
      </c>
      <c r="W1003" t="str">
        <f t="shared" si="109"/>
        <v/>
      </c>
      <c r="X1003" t="str">
        <f t="shared" si="110"/>
        <v/>
      </c>
      <c r="Y1003" s="4" t="str">
        <f>IF($A1003="","",IF(AND(LEFT($G1003,3)="ДОК",$N1003&lt;&gt;""),IFERROR(INDEX(Документация!$G$2:$G$57,MATCH($N1003,Документация!$F$2:$F$57,0)),$D1003),$D1003&amp;IF(AND(LEFT($G1003,3)&lt;&gt;"ДОК",$N1003&lt;&gt;"")," — "&amp;IFERROR(INDEX(МАТЕРИАЛЫ!$C$2:$C$9000,MATCH($N1003,МАТЕРИАЛЫ!$L$2:$L$9000,0)),""),"")))</f>
        <v/>
      </c>
      <c r="Z1003" t="str">
        <f t="shared" si="111"/>
        <v/>
      </c>
    </row>
    <row r="1004" spans="1:26" x14ac:dyDescent="0.3">
      <c r="A1004" s="8"/>
      <c r="D1004" s="4"/>
      <c r="F1004" s="5"/>
      <c r="L1004" s="6"/>
      <c r="M1004" s="6"/>
      <c r="N1004" s="6"/>
      <c r="O1004" s="5"/>
      <c r="P1004" s="7" t="str">
        <f t="shared" si="105"/>
        <v/>
      </c>
      <c r="Q1004" s="7" t="str">
        <f t="shared" si="106"/>
        <v/>
      </c>
      <c r="R1004" s="7" t="str">
        <f t="shared" si="107"/>
        <v/>
      </c>
      <c r="S1004" s="7" t="str">
        <f>IF($A1004="","",IF(AND(LEFT($G1004,3)="ДОК",$N1004&lt;&gt;""),IFERROR(INDEX(Документация!$E$2:$E$57,MATCH($N1004,Документация!$F$2:$F$57,0)),0),N($F1004))*(1-MEDIAN(0,N(ДисконтТендер),1)))</f>
        <v/>
      </c>
      <c r="T1004" s="7" t="str">
        <f>IF($A1004="","",IF(AND(LEFT($G1004,3)="ДОК",$N1004&lt;&gt;""),0,IF(AND(LEFT($G1004,3)&lt;&gt;"ДОК",$N1004&lt;&gt;""),IFERROR(INDEX(МАТЕРИАЛЫ!$H$2:$H$9000,MATCH($N1004,МАТЕРИАЛЫ!$L$2:$L$9000,0))*IF(INDEX(МАТЕРИАЛЫ!$I$2:$I$9000,MATCH($N1004,МАТЕРИАЛЫ!$L$2:$L$9000,0))="USD",КурсUSD,IF(INDEX(МАТЕРИАЛЫ!$I$2:$I$9000,MATCH($N1004,МАТЕРИАЛЫ!$L$2:$L$9000,0))="EUR",КурсEUR,IF(INDEX(МАТЕРИАЛЫ!$I$2:$I$9000,MATCH($N1004,МАТЕРИАЛЫ!$L$2:$L$9000,0))="CNY",КурсCNY,1)))*(1+N($H1004)/100),0),N($O1004))*(1-MEDIAN(0,N(ДисконтТендер),1))))</f>
        <v/>
      </c>
      <c r="U1004" t="str">
        <f>IF($L1004="да",MAX($U$1:$U1003)+1,"")</f>
        <v/>
      </c>
      <c r="V1004" t="str">
        <f t="shared" si="108"/>
        <v/>
      </c>
      <c r="W1004" t="str">
        <f t="shared" si="109"/>
        <v/>
      </c>
      <c r="X1004" t="str">
        <f t="shared" si="110"/>
        <v/>
      </c>
      <c r="Y1004" s="4" t="str">
        <f>IF($A1004="","",IF(AND(LEFT($G1004,3)="ДОК",$N1004&lt;&gt;""),IFERROR(INDEX(Документация!$G$2:$G$57,MATCH($N1004,Документация!$F$2:$F$57,0)),$D1004),$D1004&amp;IF(AND(LEFT($G1004,3)&lt;&gt;"ДОК",$N1004&lt;&gt;"")," — "&amp;IFERROR(INDEX(МАТЕРИАЛЫ!$C$2:$C$9000,MATCH($N1004,МАТЕРИАЛЫ!$L$2:$L$9000,0)),""),"")))</f>
        <v/>
      </c>
      <c r="Z1004" t="str">
        <f t="shared" si="111"/>
        <v/>
      </c>
    </row>
    <row r="1005" spans="1:26" x14ac:dyDescent="0.3">
      <c r="A1005" s="8"/>
      <c r="D1005" s="4"/>
      <c r="F1005" s="5"/>
      <c r="L1005" s="6"/>
      <c r="M1005" s="6"/>
      <c r="N1005" s="6"/>
      <c r="O1005" s="5"/>
      <c r="P1005" s="7" t="str">
        <f t="shared" si="105"/>
        <v/>
      </c>
      <c r="Q1005" s="7" t="str">
        <f t="shared" si="106"/>
        <v/>
      </c>
      <c r="R1005" s="7" t="str">
        <f t="shared" si="107"/>
        <v/>
      </c>
      <c r="S1005" s="7" t="str">
        <f>IF($A1005="","",IF(AND(LEFT($G1005,3)="ДОК",$N1005&lt;&gt;""),IFERROR(INDEX(Документация!$E$2:$E$57,MATCH($N1005,Документация!$F$2:$F$57,0)),0),N($F1005))*(1-MEDIAN(0,N(ДисконтТендер),1)))</f>
        <v/>
      </c>
      <c r="T1005" s="7" t="str">
        <f>IF($A1005="","",IF(AND(LEFT($G1005,3)="ДОК",$N1005&lt;&gt;""),0,IF(AND(LEFT($G1005,3)&lt;&gt;"ДОК",$N1005&lt;&gt;""),IFERROR(INDEX(МАТЕРИАЛЫ!$H$2:$H$9000,MATCH($N1005,МАТЕРИАЛЫ!$L$2:$L$9000,0))*IF(INDEX(МАТЕРИАЛЫ!$I$2:$I$9000,MATCH($N1005,МАТЕРИАЛЫ!$L$2:$L$9000,0))="USD",КурсUSD,IF(INDEX(МАТЕРИАЛЫ!$I$2:$I$9000,MATCH($N1005,МАТЕРИАЛЫ!$L$2:$L$9000,0))="EUR",КурсEUR,IF(INDEX(МАТЕРИАЛЫ!$I$2:$I$9000,MATCH($N1005,МАТЕРИАЛЫ!$L$2:$L$9000,0))="CNY",КурсCNY,1)))*(1+N($H1005)/100),0),N($O1005))*(1-MEDIAN(0,N(ДисконтТендер),1))))</f>
        <v/>
      </c>
      <c r="U1005" t="str">
        <f>IF($L1005="да",MAX($U$1:$U1004)+1,"")</f>
        <v/>
      </c>
      <c r="V1005" t="str">
        <f t="shared" si="108"/>
        <v/>
      </c>
      <c r="W1005" t="str">
        <f t="shared" si="109"/>
        <v/>
      </c>
      <c r="X1005" t="str">
        <f t="shared" si="110"/>
        <v/>
      </c>
      <c r="Y1005" s="4" t="str">
        <f>IF($A1005="","",IF(AND(LEFT($G1005,3)="ДОК",$N1005&lt;&gt;""),IFERROR(INDEX(Документация!$G$2:$G$57,MATCH($N1005,Документация!$F$2:$F$57,0)),$D1005),$D1005&amp;IF(AND(LEFT($G1005,3)&lt;&gt;"ДОК",$N1005&lt;&gt;"")," — "&amp;IFERROR(INDEX(МАТЕРИАЛЫ!$C$2:$C$9000,MATCH($N1005,МАТЕРИАЛЫ!$L$2:$L$9000,0)),""),"")))</f>
        <v/>
      </c>
      <c r="Z1005" t="str">
        <f t="shared" si="111"/>
        <v/>
      </c>
    </row>
    <row r="1006" spans="1:26" x14ac:dyDescent="0.3">
      <c r="A1006" s="8"/>
      <c r="D1006" s="4"/>
      <c r="F1006" s="5"/>
      <c r="L1006" s="6"/>
      <c r="M1006" s="6"/>
      <c r="N1006" s="6"/>
      <c r="O1006" s="5"/>
      <c r="P1006" s="7" t="str">
        <f t="shared" si="105"/>
        <v/>
      </c>
      <c r="Q1006" s="7" t="str">
        <f t="shared" si="106"/>
        <v/>
      </c>
      <c r="R1006" s="7" t="str">
        <f t="shared" si="107"/>
        <v/>
      </c>
      <c r="S1006" s="7" t="str">
        <f>IF($A1006="","",IF(AND(LEFT($G1006,3)="ДОК",$N1006&lt;&gt;""),IFERROR(INDEX(Документация!$E$2:$E$57,MATCH($N1006,Документация!$F$2:$F$57,0)),0),N($F1006))*(1-MEDIAN(0,N(ДисконтТендер),1)))</f>
        <v/>
      </c>
      <c r="T1006" s="7" t="str">
        <f>IF($A1006="","",IF(AND(LEFT($G1006,3)="ДОК",$N1006&lt;&gt;""),0,IF(AND(LEFT($G1006,3)&lt;&gt;"ДОК",$N1006&lt;&gt;""),IFERROR(INDEX(МАТЕРИАЛЫ!$H$2:$H$9000,MATCH($N1006,МАТЕРИАЛЫ!$L$2:$L$9000,0))*IF(INDEX(МАТЕРИАЛЫ!$I$2:$I$9000,MATCH($N1006,МАТЕРИАЛЫ!$L$2:$L$9000,0))="USD",КурсUSD,IF(INDEX(МАТЕРИАЛЫ!$I$2:$I$9000,MATCH($N1006,МАТЕРИАЛЫ!$L$2:$L$9000,0))="EUR",КурсEUR,IF(INDEX(МАТЕРИАЛЫ!$I$2:$I$9000,MATCH($N1006,МАТЕРИАЛЫ!$L$2:$L$9000,0))="CNY",КурсCNY,1)))*(1+N($H1006)/100),0),N($O1006))*(1-MEDIAN(0,N(ДисконтТендер),1))))</f>
        <v/>
      </c>
      <c r="U1006" t="str">
        <f>IF($L1006="да",MAX($U$1:$U1005)+1,"")</f>
        <v/>
      </c>
      <c r="V1006" t="str">
        <f t="shared" si="108"/>
        <v/>
      </c>
      <c r="W1006" t="str">
        <f t="shared" si="109"/>
        <v/>
      </c>
      <c r="X1006" t="str">
        <f t="shared" si="110"/>
        <v/>
      </c>
      <c r="Y1006" s="4" t="str">
        <f>IF($A1006="","",IF(AND(LEFT($G1006,3)="ДОК",$N1006&lt;&gt;""),IFERROR(INDEX(Документация!$G$2:$G$57,MATCH($N1006,Документация!$F$2:$F$57,0)),$D1006),$D1006&amp;IF(AND(LEFT($G1006,3)&lt;&gt;"ДОК",$N1006&lt;&gt;"")," — "&amp;IFERROR(INDEX(МАТЕРИАЛЫ!$C$2:$C$9000,MATCH($N1006,МАТЕРИАЛЫ!$L$2:$L$9000,0)),""),"")))</f>
        <v/>
      </c>
      <c r="Z1006" t="str">
        <f t="shared" si="111"/>
        <v/>
      </c>
    </row>
    <row r="1007" spans="1:26" x14ac:dyDescent="0.3">
      <c r="A1007" s="8"/>
      <c r="D1007" s="4"/>
      <c r="F1007" s="5"/>
      <c r="L1007" s="6"/>
      <c r="M1007" s="6"/>
      <c r="N1007" s="6"/>
      <c r="O1007" s="5"/>
      <c r="P1007" s="7" t="str">
        <f t="shared" si="105"/>
        <v/>
      </c>
      <c r="Q1007" s="7" t="str">
        <f t="shared" si="106"/>
        <v/>
      </c>
      <c r="R1007" s="7" t="str">
        <f t="shared" si="107"/>
        <v/>
      </c>
      <c r="S1007" s="7" t="str">
        <f>IF($A1007="","",IF(AND(LEFT($G1007,3)="ДОК",$N1007&lt;&gt;""),IFERROR(INDEX(Документация!$E$2:$E$57,MATCH($N1007,Документация!$F$2:$F$57,0)),0),N($F1007))*(1-MEDIAN(0,N(ДисконтТендер),1)))</f>
        <v/>
      </c>
      <c r="T1007" s="7" t="str">
        <f>IF($A1007="","",IF(AND(LEFT($G1007,3)="ДОК",$N1007&lt;&gt;""),0,IF(AND(LEFT($G1007,3)&lt;&gt;"ДОК",$N1007&lt;&gt;""),IFERROR(INDEX(МАТЕРИАЛЫ!$H$2:$H$9000,MATCH($N1007,МАТЕРИАЛЫ!$L$2:$L$9000,0))*IF(INDEX(МАТЕРИАЛЫ!$I$2:$I$9000,MATCH($N1007,МАТЕРИАЛЫ!$L$2:$L$9000,0))="USD",КурсUSD,IF(INDEX(МАТЕРИАЛЫ!$I$2:$I$9000,MATCH($N1007,МАТЕРИАЛЫ!$L$2:$L$9000,0))="EUR",КурсEUR,IF(INDEX(МАТЕРИАЛЫ!$I$2:$I$9000,MATCH($N1007,МАТЕРИАЛЫ!$L$2:$L$9000,0))="CNY",КурсCNY,1)))*(1+N($H1007)/100),0),N($O1007))*(1-MEDIAN(0,N(ДисконтТендер),1))))</f>
        <v/>
      </c>
      <c r="U1007" t="str">
        <f>IF($L1007="да",MAX($U$1:$U1006)+1,"")</f>
        <v/>
      </c>
      <c r="V1007" t="str">
        <f t="shared" si="108"/>
        <v/>
      </c>
      <c r="W1007" t="str">
        <f t="shared" si="109"/>
        <v/>
      </c>
      <c r="X1007" t="str">
        <f t="shared" si="110"/>
        <v/>
      </c>
      <c r="Y1007" s="4" t="str">
        <f>IF($A1007="","",IF(AND(LEFT($G1007,3)="ДОК",$N1007&lt;&gt;""),IFERROR(INDEX(Документация!$G$2:$G$57,MATCH($N1007,Документация!$F$2:$F$57,0)),$D1007),$D1007&amp;IF(AND(LEFT($G1007,3)&lt;&gt;"ДОК",$N1007&lt;&gt;"")," — "&amp;IFERROR(INDEX(МАТЕРИАЛЫ!$C$2:$C$9000,MATCH($N1007,МАТЕРИАЛЫ!$L$2:$L$9000,0)),""),"")))</f>
        <v/>
      </c>
      <c r="Z1007" t="str">
        <f t="shared" si="111"/>
        <v/>
      </c>
    </row>
    <row r="1008" spans="1:26" x14ac:dyDescent="0.3">
      <c r="A1008" s="8"/>
      <c r="D1008" s="4"/>
      <c r="F1008" s="5"/>
      <c r="L1008" s="6"/>
      <c r="M1008" s="6"/>
      <c r="N1008" s="6"/>
      <c r="O1008" s="5"/>
      <c r="P1008" s="7" t="str">
        <f t="shared" si="105"/>
        <v/>
      </c>
      <c r="Q1008" s="7" t="str">
        <f t="shared" si="106"/>
        <v/>
      </c>
      <c r="R1008" s="7" t="str">
        <f t="shared" si="107"/>
        <v/>
      </c>
      <c r="S1008" s="7" t="str">
        <f>IF($A1008="","",IF(AND(LEFT($G1008,3)="ДОК",$N1008&lt;&gt;""),IFERROR(INDEX(Документация!$E$2:$E$57,MATCH($N1008,Документация!$F$2:$F$57,0)),0),N($F1008))*(1-MEDIAN(0,N(ДисконтТендер),1)))</f>
        <v/>
      </c>
      <c r="T1008" s="7" t="str">
        <f>IF($A1008="","",IF(AND(LEFT($G1008,3)="ДОК",$N1008&lt;&gt;""),0,IF(AND(LEFT($G1008,3)&lt;&gt;"ДОК",$N1008&lt;&gt;""),IFERROR(INDEX(МАТЕРИАЛЫ!$H$2:$H$9000,MATCH($N1008,МАТЕРИАЛЫ!$L$2:$L$9000,0))*IF(INDEX(МАТЕРИАЛЫ!$I$2:$I$9000,MATCH($N1008,МАТЕРИАЛЫ!$L$2:$L$9000,0))="USD",КурсUSD,IF(INDEX(МАТЕРИАЛЫ!$I$2:$I$9000,MATCH($N1008,МАТЕРИАЛЫ!$L$2:$L$9000,0))="EUR",КурсEUR,IF(INDEX(МАТЕРИАЛЫ!$I$2:$I$9000,MATCH($N1008,МАТЕРИАЛЫ!$L$2:$L$9000,0))="CNY",КурсCNY,1)))*(1+N($H1008)/100),0),N($O1008))*(1-MEDIAN(0,N(ДисконтТендер),1))))</f>
        <v/>
      </c>
      <c r="U1008" t="str">
        <f>IF($L1008="да",MAX($U$1:$U1007)+1,"")</f>
        <v/>
      </c>
      <c r="V1008" t="str">
        <f t="shared" si="108"/>
        <v/>
      </c>
      <c r="W1008" t="str">
        <f t="shared" si="109"/>
        <v/>
      </c>
      <c r="X1008" t="str">
        <f t="shared" si="110"/>
        <v/>
      </c>
      <c r="Y1008" s="4" t="str">
        <f>IF($A1008="","",IF(AND(LEFT($G1008,3)="ДОК",$N1008&lt;&gt;""),IFERROR(INDEX(Документация!$G$2:$G$57,MATCH($N1008,Документация!$F$2:$F$57,0)),$D1008),$D1008&amp;IF(AND(LEFT($G1008,3)&lt;&gt;"ДОК",$N1008&lt;&gt;"")," — "&amp;IFERROR(INDEX(МАТЕРИАЛЫ!$C$2:$C$9000,MATCH($N1008,МАТЕРИАЛЫ!$L$2:$L$9000,0)),""),"")))</f>
        <v/>
      </c>
      <c r="Z1008" t="str">
        <f t="shared" si="111"/>
        <v/>
      </c>
    </row>
    <row r="1009" spans="1:26" x14ac:dyDescent="0.3">
      <c r="A1009" s="8"/>
      <c r="D1009" s="4"/>
      <c r="F1009" s="5"/>
      <c r="L1009" s="6"/>
      <c r="M1009" s="6"/>
      <c r="N1009" s="6"/>
      <c r="O1009" s="5"/>
      <c r="P1009" s="7" t="str">
        <f t="shared" si="105"/>
        <v/>
      </c>
      <c r="Q1009" s="7" t="str">
        <f t="shared" si="106"/>
        <v/>
      </c>
      <c r="R1009" s="7" t="str">
        <f t="shared" si="107"/>
        <v/>
      </c>
      <c r="S1009" s="7" t="str">
        <f>IF($A1009="","",IF(AND(LEFT($G1009,3)="ДОК",$N1009&lt;&gt;""),IFERROR(INDEX(Документация!$E$2:$E$57,MATCH($N1009,Документация!$F$2:$F$57,0)),0),N($F1009))*(1-MEDIAN(0,N(ДисконтТендер),1)))</f>
        <v/>
      </c>
      <c r="T1009" s="7" t="str">
        <f>IF($A1009="","",IF(AND(LEFT($G1009,3)="ДОК",$N1009&lt;&gt;""),0,IF(AND(LEFT($G1009,3)&lt;&gt;"ДОК",$N1009&lt;&gt;""),IFERROR(INDEX(МАТЕРИАЛЫ!$H$2:$H$9000,MATCH($N1009,МАТЕРИАЛЫ!$L$2:$L$9000,0))*IF(INDEX(МАТЕРИАЛЫ!$I$2:$I$9000,MATCH($N1009,МАТЕРИАЛЫ!$L$2:$L$9000,0))="USD",КурсUSD,IF(INDEX(МАТЕРИАЛЫ!$I$2:$I$9000,MATCH($N1009,МАТЕРИАЛЫ!$L$2:$L$9000,0))="EUR",КурсEUR,IF(INDEX(МАТЕРИАЛЫ!$I$2:$I$9000,MATCH($N1009,МАТЕРИАЛЫ!$L$2:$L$9000,0))="CNY",КурсCNY,1)))*(1+N($H1009)/100),0),N($O1009))*(1-MEDIAN(0,N(ДисконтТендер),1))))</f>
        <v/>
      </c>
      <c r="U1009" t="str">
        <f>IF($L1009="да",MAX($U$1:$U1008)+1,"")</f>
        <v/>
      </c>
      <c r="V1009" t="str">
        <f t="shared" si="108"/>
        <v/>
      </c>
      <c r="W1009" t="str">
        <f t="shared" si="109"/>
        <v/>
      </c>
      <c r="X1009" t="str">
        <f t="shared" si="110"/>
        <v/>
      </c>
      <c r="Y1009" s="4" t="str">
        <f>IF($A1009="","",IF(AND(LEFT($G1009,3)="ДОК",$N1009&lt;&gt;""),IFERROR(INDEX(Документация!$G$2:$G$57,MATCH($N1009,Документация!$F$2:$F$57,0)),$D1009),$D1009&amp;IF(AND(LEFT($G1009,3)&lt;&gt;"ДОК",$N1009&lt;&gt;"")," — "&amp;IFERROR(INDEX(МАТЕРИАЛЫ!$C$2:$C$9000,MATCH($N1009,МАТЕРИАЛЫ!$L$2:$L$9000,0)),""),"")))</f>
        <v/>
      </c>
      <c r="Z1009" t="str">
        <f t="shared" si="111"/>
        <v/>
      </c>
    </row>
    <row r="1010" spans="1:26" x14ac:dyDescent="0.3">
      <c r="A1010" s="8"/>
      <c r="D1010" s="4"/>
      <c r="F1010" s="5"/>
      <c r="L1010" s="6"/>
      <c r="M1010" s="6"/>
      <c r="N1010" s="6"/>
      <c r="O1010" s="5"/>
      <c r="P1010" s="7" t="str">
        <f t="shared" si="105"/>
        <v/>
      </c>
      <c r="Q1010" s="7" t="str">
        <f t="shared" si="106"/>
        <v/>
      </c>
      <c r="R1010" s="7" t="str">
        <f t="shared" si="107"/>
        <v/>
      </c>
      <c r="S1010" s="7" t="str">
        <f>IF($A1010="","",IF(AND(LEFT($G1010,3)="ДОК",$N1010&lt;&gt;""),IFERROR(INDEX(Документация!$E$2:$E$57,MATCH($N1010,Документация!$F$2:$F$57,0)),0),N($F1010))*(1-MEDIAN(0,N(ДисконтТендер),1)))</f>
        <v/>
      </c>
      <c r="T1010" s="7" t="str">
        <f>IF($A1010="","",IF(AND(LEFT($G1010,3)="ДОК",$N1010&lt;&gt;""),0,IF(AND(LEFT($G1010,3)&lt;&gt;"ДОК",$N1010&lt;&gt;""),IFERROR(INDEX(МАТЕРИАЛЫ!$H$2:$H$9000,MATCH($N1010,МАТЕРИАЛЫ!$L$2:$L$9000,0))*IF(INDEX(МАТЕРИАЛЫ!$I$2:$I$9000,MATCH($N1010,МАТЕРИАЛЫ!$L$2:$L$9000,0))="USD",КурсUSD,IF(INDEX(МАТЕРИАЛЫ!$I$2:$I$9000,MATCH($N1010,МАТЕРИАЛЫ!$L$2:$L$9000,0))="EUR",КурсEUR,IF(INDEX(МАТЕРИАЛЫ!$I$2:$I$9000,MATCH($N1010,МАТЕРИАЛЫ!$L$2:$L$9000,0))="CNY",КурсCNY,1)))*(1+N($H1010)/100),0),N($O1010))*(1-MEDIAN(0,N(ДисконтТендер),1))))</f>
        <v/>
      </c>
      <c r="U1010" t="str">
        <f>IF($L1010="да",MAX($U$1:$U1009)+1,"")</f>
        <v/>
      </c>
      <c r="V1010" t="str">
        <f t="shared" si="108"/>
        <v/>
      </c>
      <c r="W1010" t="str">
        <f t="shared" si="109"/>
        <v/>
      </c>
      <c r="X1010" t="str">
        <f t="shared" si="110"/>
        <v/>
      </c>
      <c r="Y1010" s="4" t="str">
        <f>IF($A1010="","",IF(AND(LEFT($G1010,3)="ДОК",$N1010&lt;&gt;""),IFERROR(INDEX(Документация!$G$2:$G$57,MATCH($N1010,Документация!$F$2:$F$57,0)),$D1010),$D1010&amp;IF(AND(LEFT($G1010,3)&lt;&gt;"ДОК",$N1010&lt;&gt;"")," — "&amp;IFERROR(INDEX(МАТЕРИАЛЫ!$C$2:$C$9000,MATCH($N1010,МАТЕРИАЛЫ!$L$2:$L$9000,0)),""),"")))</f>
        <v/>
      </c>
      <c r="Z1010" t="str">
        <f t="shared" si="111"/>
        <v/>
      </c>
    </row>
    <row r="1011" spans="1:26" x14ac:dyDescent="0.3">
      <c r="A1011" s="8"/>
      <c r="D1011" s="4"/>
      <c r="F1011" s="5"/>
      <c r="L1011" s="6"/>
      <c r="M1011" s="6"/>
      <c r="N1011" s="6"/>
      <c r="O1011" s="5"/>
      <c r="P1011" s="7" t="str">
        <f t="shared" si="105"/>
        <v/>
      </c>
      <c r="Q1011" s="7" t="str">
        <f t="shared" si="106"/>
        <v/>
      </c>
      <c r="R1011" s="7" t="str">
        <f t="shared" si="107"/>
        <v/>
      </c>
      <c r="S1011" s="7" t="str">
        <f>IF($A1011="","",IF(AND(LEFT($G1011,3)="ДОК",$N1011&lt;&gt;""),IFERROR(INDEX(Документация!$E$2:$E$57,MATCH($N1011,Документация!$F$2:$F$57,0)),0),N($F1011))*(1-MEDIAN(0,N(ДисконтТендер),1)))</f>
        <v/>
      </c>
      <c r="T1011" s="7" t="str">
        <f>IF($A1011="","",IF(AND(LEFT($G1011,3)="ДОК",$N1011&lt;&gt;""),0,IF(AND(LEFT($G1011,3)&lt;&gt;"ДОК",$N1011&lt;&gt;""),IFERROR(INDEX(МАТЕРИАЛЫ!$H$2:$H$9000,MATCH($N1011,МАТЕРИАЛЫ!$L$2:$L$9000,0))*IF(INDEX(МАТЕРИАЛЫ!$I$2:$I$9000,MATCH($N1011,МАТЕРИАЛЫ!$L$2:$L$9000,0))="USD",КурсUSD,IF(INDEX(МАТЕРИАЛЫ!$I$2:$I$9000,MATCH($N1011,МАТЕРИАЛЫ!$L$2:$L$9000,0))="EUR",КурсEUR,IF(INDEX(МАТЕРИАЛЫ!$I$2:$I$9000,MATCH($N1011,МАТЕРИАЛЫ!$L$2:$L$9000,0))="CNY",КурсCNY,1)))*(1+N($H1011)/100),0),N($O1011))*(1-MEDIAN(0,N(ДисконтТендер),1))))</f>
        <v/>
      </c>
      <c r="U1011" t="str">
        <f>IF($L1011="да",MAX($U$1:$U1010)+1,"")</f>
        <v/>
      </c>
      <c r="V1011" t="str">
        <f t="shared" si="108"/>
        <v/>
      </c>
      <c r="W1011" t="str">
        <f t="shared" si="109"/>
        <v/>
      </c>
      <c r="X1011" t="str">
        <f t="shared" si="110"/>
        <v/>
      </c>
      <c r="Y1011" s="4" t="str">
        <f>IF($A1011="","",IF(AND(LEFT($G1011,3)="ДОК",$N1011&lt;&gt;""),IFERROR(INDEX(Документация!$G$2:$G$57,MATCH($N1011,Документация!$F$2:$F$57,0)),$D1011),$D1011&amp;IF(AND(LEFT($G1011,3)&lt;&gt;"ДОК",$N1011&lt;&gt;"")," — "&amp;IFERROR(INDEX(МАТЕРИАЛЫ!$C$2:$C$9000,MATCH($N1011,МАТЕРИАЛЫ!$L$2:$L$9000,0)),""),"")))</f>
        <v/>
      </c>
      <c r="Z1011" t="str">
        <f t="shared" si="111"/>
        <v/>
      </c>
    </row>
    <row r="1012" spans="1:26" x14ac:dyDescent="0.3">
      <c r="A1012" s="8"/>
      <c r="D1012" s="4"/>
      <c r="F1012" s="5"/>
      <c r="L1012" s="6"/>
      <c r="M1012" s="6"/>
      <c r="N1012" s="6"/>
      <c r="O1012" s="5"/>
      <c r="P1012" s="7" t="str">
        <f t="shared" si="105"/>
        <v/>
      </c>
      <c r="Q1012" s="7" t="str">
        <f t="shared" si="106"/>
        <v/>
      </c>
      <c r="R1012" s="7" t="str">
        <f t="shared" si="107"/>
        <v/>
      </c>
      <c r="S1012" s="7" t="str">
        <f>IF($A1012="","",IF(AND(LEFT($G1012,3)="ДОК",$N1012&lt;&gt;""),IFERROR(INDEX(Документация!$E$2:$E$57,MATCH($N1012,Документация!$F$2:$F$57,0)),0),N($F1012))*(1-MEDIAN(0,N(ДисконтТендер),1)))</f>
        <v/>
      </c>
      <c r="T1012" s="7" t="str">
        <f>IF($A1012="","",IF(AND(LEFT($G1012,3)="ДОК",$N1012&lt;&gt;""),0,IF(AND(LEFT($G1012,3)&lt;&gt;"ДОК",$N1012&lt;&gt;""),IFERROR(INDEX(МАТЕРИАЛЫ!$H$2:$H$9000,MATCH($N1012,МАТЕРИАЛЫ!$L$2:$L$9000,0))*IF(INDEX(МАТЕРИАЛЫ!$I$2:$I$9000,MATCH($N1012,МАТЕРИАЛЫ!$L$2:$L$9000,0))="USD",КурсUSD,IF(INDEX(МАТЕРИАЛЫ!$I$2:$I$9000,MATCH($N1012,МАТЕРИАЛЫ!$L$2:$L$9000,0))="EUR",КурсEUR,IF(INDEX(МАТЕРИАЛЫ!$I$2:$I$9000,MATCH($N1012,МАТЕРИАЛЫ!$L$2:$L$9000,0))="CNY",КурсCNY,1)))*(1+N($H1012)/100),0),N($O1012))*(1-MEDIAN(0,N(ДисконтТендер),1))))</f>
        <v/>
      </c>
      <c r="U1012" t="str">
        <f>IF($L1012="да",MAX($U$1:$U1011)+1,"")</f>
        <v/>
      </c>
      <c r="V1012" t="str">
        <f t="shared" si="108"/>
        <v/>
      </c>
      <c r="W1012" t="str">
        <f t="shared" si="109"/>
        <v/>
      </c>
      <c r="X1012" t="str">
        <f t="shared" si="110"/>
        <v/>
      </c>
      <c r="Y1012" s="4" t="str">
        <f>IF($A1012="","",IF(AND(LEFT($G1012,3)="ДОК",$N1012&lt;&gt;""),IFERROR(INDEX(Документация!$G$2:$G$57,MATCH($N1012,Документация!$F$2:$F$57,0)),$D1012),$D1012&amp;IF(AND(LEFT($G1012,3)&lt;&gt;"ДОК",$N1012&lt;&gt;"")," — "&amp;IFERROR(INDEX(МАТЕРИАЛЫ!$C$2:$C$9000,MATCH($N1012,МАТЕРИАЛЫ!$L$2:$L$9000,0)),""),"")))</f>
        <v/>
      </c>
      <c r="Z1012" t="str">
        <f t="shared" si="111"/>
        <v/>
      </c>
    </row>
    <row r="1013" spans="1:26" x14ac:dyDescent="0.3">
      <c r="A1013" s="8"/>
      <c r="D1013" s="4"/>
      <c r="F1013" s="5"/>
      <c r="L1013" s="6"/>
      <c r="M1013" s="6"/>
      <c r="N1013" s="6"/>
      <c r="O1013" s="5"/>
      <c r="P1013" s="7" t="str">
        <f t="shared" si="105"/>
        <v/>
      </c>
      <c r="Q1013" s="7" t="str">
        <f t="shared" si="106"/>
        <v/>
      </c>
      <c r="R1013" s="7" t="str">
        <f t="shared" si="107"/>
        <v/>
      </c>
      <c r="S1013" s="7" t="str">
        <f>IF($A1013="","",IF(AND(LEFT($G1013,3)="ДОК",$N1013&lt;&gt;""),IFERROR(INDEX(Документация!$E$2:$E$57,MATCH($N1013,Документация!$F$2:$F$57,0)),0),N($F1013))*(1-MEDIAN(0,N(ДисконтТендер),1)))</f>
        <v/>
      </c>
      <c r="T1013" s="7" t="str">
        <f>IF($A1013="","",IF(AND(LEFT($G1013,3)="ДОК",$N1013&lt;&gt;""),0,IF(AND(LEFT($G1013,3)&lt;&gt;"ДОК",$N1013&lt;&gt;""),IFERROR(INDEX(МАТЕРИАЛЫ!$H$2:$H$9000,MATCH($N1013,МАТЕРИАЛЫ!$L$2:$L$9000,0))*IF(INDEX(МАТЕРИАЛЫ!$I$2:$I$9000,MATCH($N1013,МАТЕРИАЛЫ!$L$2:$L$9000,0))="USD",КурсUSD,IF(INDEX(МАТЕРИАЛЫ!$I$2:$I$9000,MATCH($N1013,МАТЕРИАЛЫ!$L$2:$L$9000,0))="EUR",КурсEUR,IF(INDEX(МАТЕРИАЛЫ!$I$2:$I$9000,MATCH($N1013,МАТЕРИАЛЫ!$L$2:$L$9000,0))="CNY",КурсCNY,1)))*(1+N($H1013)/100),0),N($O1013))*(1-MEDIAN(0,N(ДисконтТендер),1))))</f>
        <v/>
      </c>
      <c r="U1013" t="str">
        <f>IF($L1013="да",MAX($U$1:$U1012)+1,"")</f>
        <v/>
      </c>
      <c r="V1013" t="str">
        <f t="shared" si="108"/>
        <v/>
      </c>
      <c r="W1013" t="str">
        <f t="shared" si="109"/>
        <v/>
      </c>
      <c r="X1013" t="str">
        <f t="shared" si="110"/>
        <v/>
      </c>
      <c r="Y1013" s="4" t="str">
        <f>IF($A1013="","",IF(AND(LEFT($G1013,3)="ДОК",$N1013&lt;&gt;""),IFERROR(INDEX(Документация!$G$2:$G$57,MATCH($N1013,Документация!$F$2:$F$57,0)),$D1013),$D1013&amp;IF(AND(LEFT($G1013,3)&lt;&gt;"ДОК",$N1013&lt;&gt;"")," — "&amp;IFERROR(INDEX(МАТЕРИАЛЫ!$C$2:$C$9000,MATCH($N1013,МАТЕРИАЛЫ!$L$2:$L$9000,0)),""),"")))</f>
        <v/>
      </c>
      <c r="Z1013" t="str">
        <f t="shared" si="111"/>
        <v/>
      </c>
    </row>
    <row r="1014" spans="1:26" x14ac:dyDescent="0.3">
      <c r="A1014" s="8"/>
      <c r="D1014" s="4"/>
      <c r="F1014" s="5"/>
      <c r="L1014" s="6"/>
      <c r="M1014" s="6"/>
      <c r="N1014" s="6"/>
      <c r="O1014" s="5"/>
      <c r="P1014" s="7" t="str">
        <f t="shared" si="105"/>
        <v/>
      </c>
      <c r="Q1014" s="7" t="str">
        <f t="shared" si="106"/>
        <v/>
      </c>
      <c r="R1014" s="7" t="str">
        <f t="shared" si="107"/>
        <v/>
      </c>
      <c r="S1014" s="7" t="str">
        <f>IF($A1014="","",IF(AND(LEFT($G1014,3)="ДОК",$N1014&lt;&gt;""),IFERROR(INDEX(Документация!$E$2:$E$57,MATCH($N1014,Документация!$F$2:$F$57,0)),0),N($F1014))*(1-MEDIAN(0,N(ДисконтТендер),1)))</f>
        <v/>
      </c>
      <c r="T1014" s="7" t="str">
        <f>IF($A1014="","",IF(AND(LEFT($G1014,3)="ДОК",$N1014&lt;&gt;""),0,IF(AND(LEFT($G1014,3)&lt;&gt;"ДОК",$N1014&lt;&gt;""),IFERROR(INDEX(МАТЕРИАЛЫ!$H$2:$H$9000,MATCH($N1014,МАТЕРИАЛЫ!$L$2:$L$9000,0))*IF(INDEX(МАТЕРИАЛЫ!$I$2:$I$9000,MATCH($N1014,МАТЕРИАЛЫ!$L$2:$L$9000,0))="USD",КурсUSD,IF(INDEX(МАТЕРИАЛЫ!$I$2:$I$9000,MATCH($N1014,МАТЕРИАЛЫ!$L$2:$L$9000,0))="EUR",КурсEUR,IF(INDEX(МАТЕРИАЛЫ!$I$2:$I$9000,MATCH($N1014,МАТЕРИАЛЫ!$L$2:$L$9000,0))="CNY",КурсCNY,1)))*(1+N($H1014)/100),0),N($O1014))*(1-MEDIAN(0,N(ДисконтТендер),1))))</f>
        <v/>
      </c>
      <c r="U1014" t="str">
        <f>IF($L1014="да",MAX($U$1:$U1013)+1,"")</f>
        <v/>
      </c>
      <c r="V1014" t="str">
        <f t="shared" si="108"/>
        <v/>
      </c>
      <c r="W1014" t="str">
        <f t="shared" si="109"/>
        <v/>
      </c>
      <c r="X1014" t="str">
        <f t="shared" si="110"/>
        <v/>
      </c>
      <c r="Y1014" s="4" t="str">
        <f>IF($A1014="","",IF(AND(LEFT($G1014,3)="ДОК",$N1014&lt;&gt;""),IFERROR(INDEX(Документация!$G$2:$G$57,MATCH($N1014,Документация!$F$2:$F$57,0)),$D1014),$D1014&amp;IF(AND(LEFT($G1014,3)&lt;&gt;"ДОК",$N1014&lt;&gt;"")," — "&amp;IFERROR(INDEX(МАТЕРИАЛЫ!$C$2:$C$9000,MATCH($N1014,МАТЕРИАЛЫ!$L$2:$L$9000,0)),""),"")))</f>
        <v/>
      </c>
      <c r="Z1014" t="str">
        <f t="shared" si="111"/>
        <v/>
      </c>
    </row>
    <row r="1015" spans="1:26" x14ac:dyDescent="0.3">
      <c r="A1015" s="8"/>
      <c r="D1015" s="4"/>
      <c r="F1015" s="5"/>
      <c r="L1015" s="6"/>
      <c r="M1015" s="6"/>
      <c r="N1015" s="6"/>
      <c r="O1015" s="5"/>
      <c r="P1015" s="7" t="str">
        <f t="shared" si="105"/>
        <v/>
      </c>
      <c r="Q1015" s="7" t="str">
        <f t="shared" si="106"/>
        <v/>
      </c>
      <c r="R1015" s="7" t="str">
        <f t="shared" si="107"/>
        <v/>
      </c>
      <c r="S1015" s="7" t="str">
        <f>IF($A1015="","",IF(AND(LEFT($G1015,3)="ДОК",$N1015&lt;&gt;""),IFERROR(INDEX(Документация!$E$2:$E$57,MATCH($N1015,Документация!$F$2:$F$57,0)),0),N($F1015))*(1-MEDIAN(0,N(ДисконтТендер),1)))</f>
        <v/>
      </c>
      <c r="T1015" s="7" t="str">
        <f>IF($A1015="","",IF(AND(LEFT($G1015,3)="ДОК",$N1015&lt;&gt;""),0,IF(AND(LEFT($G1015,3)&lt;&gt;"ДОК",$N1015&lt;&gt;""),IFERROR(INDEX(МАТЕРИАЛЫ!$H$2:$H$9000,MATCH($N1015,МАТЕРИАЛЫ!$L$2:$L$9000,0))*IF(INDEX(МАТЕРИАЛЫ!$I$2:$I$9000,MATCH($N1015,МАТЕРИАЛЫ!$L$2:$L$9000,0))="USD",КурсUSD,IF(INDEX(МАТЕРИАЛЫ!$I$2:$I$9000,MATCH($N1015,МАТЕРИАЛЫ!$L$2:$L$9000,0))="EUR",КурсEUR,IF(INDEX(МАТЕРИАЛЫ!$I$2:$I$9000,MATCH($N1015,МАТЕРИАЛЫ!$L$2:$L$9000,0))="CNY",КурсCNY,1)))*(1+N($H1015)/100),0),N($O1015))*(1-MEDIAN(0,N(ДисконтТендер),1))))</f>
        <v/>
      </c>
      <c r="U1015" t="str">
        <f>IF($L1015="да",MAX($U$1:$U1014)+1,"")</f>
        <v/>
      </c>
      <c r="V1015" t="str">
        <f t="shared" si="108"/>
        <v/>
      </c>
      <c r="W1015" t="str">
        <f t="shared" si="109"/>
        <v/>
      </c>
      <c r="X1015" t="str">
        <f t="shared" si="110"/>
        <v/>
      </c>
      <c r="Y1015" s="4" t="str">
        <f>IF($A1015="","",IF(AND(LEFT($G1015,3)="ДОК",$N1015&lt;&gt;""),IFERROR(INDEX(Документация!$G$2:$G$57,MATCH($N1015,Документация!$F$2:$F$57,0)),$D1015),$D1015&amp;IF(AND(LEFT($G1015,3)&lt;&gt;"ДОК",$N1015&lt;&gt;"")," — "&amp;IFERROR(INDEX(МАТЕРИАЛЫ!$C$2:$C$9000,MATCH($N1015,МАТЕРИАЛЫ!$L$2:$L$9000,0)),""),"")))</f>
        <v/>
      </c>
      <c r="Z1015" t="str">
        <f t="shared" si="111"/>
        <v/>
      </c>
    </row>
    <row r="1016" spans="1:26" x14ac:dyDescent="0.3">
      <c r="A1016" s="8"/>
      <c r="D1016" s="4"/>
      <c r="F1016" s="5"/>
      <c r="L1016" s="6"/>
      <c r="M1016" s="6"/>
      <c r="N1016" s="6"/>
      <c r="O1016" s="5"/>
      <c r="P1016" s="7" t="str">
        <f t="shared" si="105"/>
        <v/>
      </c>
      <c r="Q1016" s="7" t="str">
        <f t="shared" si="106"/>
        <v/>
      </c>
      <c r="R1016" s="7" t="str">
        <f t="shared" si="107"/>
        <v/>
      </c>
      <c r="S1016" s="7" t="str">
        <f>IF($A1016="","",IF(AND(LEFT($G1016,3)="ДОК",$N1016&lt;&gt;""),IFERROR(INDEX(Документация!$E$2:$E$57,MATCH($N1016,Документация!$F$2:$F$57,0)),0),N($F1016))*(1-MEDIAN(0,N(ДисконтТендер),1)))</f>
        <v/>
      </c>
      <c r="T1016" s="7" t="str">
        <f>IF($A1016="","",IF(AND(LEFT($G1016,3)="ДОК",$N1016&lt;&gt;""),0,IF(AND(LEFT($G1016,3)&lt;&gt;"ДОК",$N1016&lt;&gt;""),IFERROR(INDEX(МАТЕРИАЛЫ!$H$2:$H$9000,MATCH($N1016,МАТЕРИАЛЫ!$L$2:$L$9000,0))*IF(INDEX(МАТЕРИАЛЫ!$I$2:$I$9000,MATCH($N1016,МАТЕРИАЛЫ!$L$2:$L$9000,0))="USD",КурсUSD,IF(INDEX(МАТЕРИАЛЫ!$I$2:$I$9000,MATCH($N1016,МАТЕРИАЛЫ!$L$2:$L$9000,0))="EUR",КурсEUR,IF(INDEX(МАТЕРИАЛЫ!$I$2:$I$9000,MATCH($N1016,МАТЕРИАЛЫ!$L$2:$L$9000,0))="CNY",КурсCNY,1)))*(1+N($H1016)/100),0),N($O1016))*(1-MEDIAN(0,N(ДисконтТендер),1))))</f>
        <v/>
      </c>
      <c r="U1016" t="str">
        <f>IF($L1016="да",MAX($U$1:$U1015)+1,"")</f>
        <v/>
      </c>
      <c r="V1016" t="str">
        <f t="shared" si="108"/>
        <v/>
      </c>
      <c r="W1016" t="str">
        <f t="shared" si="109"/>
        <v/>
      </c>
      <c r="X1016" t="str">
        <f t="shared" si="110"/>
        <v/>
      </c>
      <c r="Y1016" s="4" t="str">
        <f>IF($A1016="","",IF(AND(LEFT($G1016,3)="ДОК",$N1016&lt;&gt;""),IFERROR(INDEX(Документация!$G$2:$G$57,MATCH($N1016,Документация!$F$2:$F$57,0)),$D1016),$D1016&amp;IF(AND(LEFT($G1016,3)&lt;&gt;"ДОК",$N1016&lt;&gt;"")," — "&amp;IFERROR(INDEX(МАТЕРИАЛЫ!$C$2:$C$9000,MATCH($N1016,МАТЕРИАЛЫ!$L$2:$L$9000,0)),""),"")))</f>
        <v/>
      </c>
      <c r="Z1016" t="str">
        <f t="shared" si="111"/>
        <v/>
      </c>
    </row>
    <row r="1017" spans="1:26" x14ac:dyDescent="0.3">
      <c r="A1017" s="8"/>
      <c r="D1017" s="4"/>
      <c r="F1017" s="5"/>
      <c r="L1017" s="6"/>
      <c r="M1017" s="6"/>
      <c r="N1017" s="6"/>
      <c r="O1017" s="5"/>
      <c r="P1017" s="7" t="str">
        <f t="shared" si="105"/>
        <v/>
      </c>
      <c r="Q1017" s="7" t="str">
        <f t="shared" si="106"/>
        <v/>
      </c>
      <c r="R1017" s="7" t="str">
        <f t="shared" si="107"/>
        <v/>
      </c>
      <c r="S1017" s="7" t="str">
        <f>IF($A1017="","",IF(AND(LEFT($G1017,3)="ДОК",$N1017&lt;&gt;""),IFERROR(INDEX(Документация!$E$2:$E$57,MATCH($N1017,Документация!$F$2:$F$57,0)),0),N($F1017))*(1-MEDIAN(0,N(ДисконтТендер),1)))</f>
        <v/>
      </c>
      <c r="T1017" s="7" t="str">
        <f>IF($A1017="","",IF(AND(LEFT($G1017,3)="ДОК",$N1017&lt;&gt;""),0,IF(AND(LEFT($G1017,3)&lt;&gt;"ДОК",$N1017&lt;&gt;""),IFERROR(INDEX(МАТЕРИАЛЫ!$H$2:$H$9000,MATCH($N1017,МАТЕРИАЛЫ!$L$2:$L$9000,0))*IF(INDEX(МАТЕРИАЛЫ!$I$2:$I$9000,MATCH($N1017,МАТЕРИАЛЫ!$L$2:$L$9000,0))="USD",КурсUSD,IF(INDEX(МАТЕРИАЛЫ!$I$2:$I$9000,MATCH($N1017,МАТЕРИАЛЫ!$L$2:$L$9000,0))="EUR",КурсEUR,IF(INDEX(МАТЕРИАЛЫ!$I$2:$I$9000,MATCH($N1017,МАТЕРИАЛЫ!$L$2:$L$9000,0))="CNY",КурсCNY,1)))*(1+N($H1017)/100),0),N($O1017))*(1-MEDIAN(0,N(ДисконтТендер),1))))</f>
        <v/>
      </c>
      <c r="U1017" t="str">
        <f>IF($L1017="да",MAX($U$1:$U1016)+1,"")</f>
        <v/>
      </c>
      <c r="V1017" t="str">
        <f t="shared" si="108"/>
        <v/>
      </c>
      <c r="W1017" t="str">
        <f t="shared" si="109"/>
        <v/>
      </c>
      <c r="X1017" t="str">
        <f t="shared" si="110"/>
        <v/>
      </c>
      <c r="Y1017" s="4" t="str">
        <f>IF($A1017="","",IF(AND(LEFT($G1017,3)="ДОК",$N1017&lt;&gt;""),IFERROR(INDEX(Документация!$G$2:$G$57,MATCH($N1017,Документация!$F$2:$F$57,0)),$D1017),$D1017&amp;IF(AND(LEFT($G1017,3)&lt;&gt;"ДОК",$N1017&lt;&gt;"")," — "&amp;IFERROR(INDEX(МАТЕРИАЛЫ!$C$2:$C$9000,MATCH($N1017,МАТЕРИАЛЫ!$L$2:$L$9000,0)),""),"")))</f>
        <v/>
      </c>
      <c r="Z1017" t="str">
        <f t="shared" si="111"/>
        <v/>
      </c>
    </row>
    <row r="1018" spans="1:26" x14ac:dyDescent="0.3">
      <c r="A1018" s="8"/>
      <c r="D1018" s="4"/>
      <c r="F1018" s="5"/>
      <c r="L1018" s="6"/>
      <c r="M1018" s="6"/>
      <c r="N1018" s="6"/>
      <c r="O1018" s="5"/>
      <c r="P1018" s="7" t="str">
        <f t="shared" si="105"/>
        <v/>
      </c>
      <c r="Q1018" s="7" t="str">
        <f t="shared" si="106"/>
        <v/>
      </c>
      <c r="R1018" s="7" t="str">
        <f t="shared" si="107"/>
        <v/>
      </c>
      <c r="S1018" s="7" t="str">
        <f>IF($A1018="","",IF(AND(LEFT($G1018,3)="ДОК",$N1018&lt;&gt;""),IFERROR(INDEX(Документация!$E$2:$E$57,MATCH($N1018,Документация!$F$2:$F$57,0)),0),N($F1018))*(1-MEDIAN(0,N(ДисконтТендер),1)))</f>
        <v/>
      </c>
      <c r="T1018" s="7" t="str">
        <f>IF($A1018="","",IF(AND(LEFT($G1018,3)="ДОК",$N1018&lt;&gt;""),0,IF(AND(LEFT($G1018,3)&lt;&gt;"ДОК",$N1018&lt;&gt;""),IFERROR(INDEX(МАТЕРИАЛЫ!$H$2:$H$9000,MATCH($N1018,МАТЕРИАЛЫ!$L$2:$L$9000,0))*IF(INDEX(МАТЕРИАЛЫ!$I$2:$I$9000,MATCH($N1018,МАТЕРИАЛЫ!$L$2:$L$9000,0))="USD",КурсUSD,IF(INDEX(МАТЕРИАЛЫ!$I$2:$I$9000,MATCH($N1018,МАТЕРИАЛЫ!$L$2:$L$9000,0))="EUR",КурсEUR,IF(INDEX(МАТЕРИАЛЫ!$I$2:$I$9000,MATCH($N1018,МАТЕРИАЛЫ!$L$2:$L$9000,0))="CNY",КурсCNY,1)))*(1+N($H1018)/100),0),N($O1018))*(1-MEDIAN(0,N(ДисконтТендер),1))))</f>
        <v/>
      </c>
      <c r="U1018" t="str">
        <f>IF($L1018="да",MAX($U$1:$U1017)+1,"")</f>
        <v/>
      </c>
      <c r="V1018" t="str">
        <f t="shared" si="108"/>
        <v/>
      </c>
      <c r="W1018" t="str">
        <f t="shared" si="109"/>
        <v/>
      </c>
      <c r="X1018" t="str">
        <f t="shared" si="110"/>
        <v/>
      </c>
      <c r="Y1018" s="4" t="str">
        <f>IF($A1018="","",IF(AND(LEFT($G1018,3)="ДОК",$N1018&lt;&gt;""),IFERROR(INDEX(Документация!$G$2:$G$57,MATCH($N1018,Документация!$F$2:$F$57,0)),$D1018),$D1018&amp;IF(AND(LEFT($G1018,3)&lt;&gt;"ДОК",$N1018&lt;&gt;"")," — "&amp;IFERROR(INDEX(МАТЕРИАЛЫ!$C$2:$C$9000,MATCH($N1018,МАТЕРИАЛЫ!$L$2:$L$9000,0)),""),"")))</f>
        <v/>
      </c>
      <c r="Z1018" t="str">
        <f t="shared" si="111"/>
        <v/>
      </c>
    </row>
    <row r="1019" spans="1:26" x14ac:dyDescent="0.3">
      <c r="A1019" s="8"/>
      <c r="D1019" s="4"/>
      <c r="F1019" s="5"/>
      <c r="L1019" s="6"/>
      <c r="M1019" s="6"/>
      <c r="N1019" s="6"/>
      <c r="O1019" s="5"/>
      <c r="P1019" s="7" t="str">
        <f t="shared" si="105"/>
        <v/>
      </c>
      <c r="Q1019" s="7" t="str">
        <f t="shared" si="106"/>
        <v/>
      </c>
      <c r="R1019" s="7" t="str">
        <f t="shared" si="107"/>
        <v/>
      </c>
      <c r="S1019" s="7" t="str">
        <f>IF($A1019="","",IF(AND(LEFT($G1019,3)="ДОК",$N1019&lt;&gt;""),IFERROR(INDEX(Документация!$E$2:$E$57,MATCH($N1019,Документация!$F$2:$F$57,0)),0),N($F1019))*(1-MEDIAN(0,N(ДисконтТендер),1)))</f>
        <v/>
      </c>
      <c r="T1019" s="7" t="str">
        <f>IF($A1019="","",IF(AND(LEFT($G1019,3)="ДОК",$N1019&lt;&gt;""),0,IF(AND(LEFT($G1019,3)&lt;&gt;"ДОК",$N1019&lt;&gt;""),IFERROR(INDEX(МАТЕРИАЛЫ!$H$2:$H$9000,MATCH($N1019,МАТЕРИАЛЫ!$L$2:$L$9000,0))*IF(INDEX(МАТЕРИАЛЫ!$I$2:$I$9000,MATCH($N1019,МАТЕРИАЛЫ!$L$2:$L$9000,0))="USD",КурсUSD,IF(INDEX(МАТЕРИАЛЫ!$I$2:$I$9000,MATCH($N1019,МАТЕРИАЛЫ!$L$2:$L$9000,0))="EUR",КурсEUR,IF(INDEX(МАТЕРИАЛЫ!$I$2:$I$9000,MATCH($N1019,МАТЕРИАЛЫ!$L$2:$L$9000,0))="CNY",КурсCNY,1)))*(1+N($H1019)/100),0),N($O1019))*(1-MEDIAN(0,N(ДисконтТендер),1))))</f>
        <v/>
      </c>
      <c r="U1019" t="str">
        <f>IF($L1019="да",MAX($U$1:$U1018)+1,"")</f>
        <v/>
      </c>
      <c r="V1019" t="str">
        <f t="shared" si="108"/>
        <v/>
      </c>
      <c r="W1019" t="str">
        <f t="shared" si="109"/>
        <v/>
      </c>
      <c r="X1019" t="str">
        <f t="shared" si="110"/>
        <v/>
      </c>
      <c r="Y1019" s="4" t="str">
        <f>IF($A1019="","",IF(AND(LEFT($G1019,3)="ДОК",$N1019&lt;&gt;""),IFERROR(INDEX(Документация!$G$2:$G$57,MATCH($N1019,Документация!$F$2:$F$57,0)),$D1019),$D1019&amp;IF(AND(LEFT($G1019,3)&lt;&gt;"ДОК",$N1019&lt;&gt;"")," — "&amp;IFERROR(INDEX(МАТЕРИАЛЫ!$C$2:$C$9000,MATCH($N1019,МАТЕРИАЛЫ!$L$2:$L$9000,0)),""),"")))</f>
        <v/>
      </c>
      <c r="Z1019" t="str">
        <f t="shared" si="111"/>
        <v/>
      </c>
    </row>
    <row r="1020" spans="1:26" x14ac:dyDescent="0.3">
      <c r="A1020" s="8"/>
      <c r="D1020" s="4"/>
      <c r="F1020" s="5"/>
      <c r="L1020" s="6"/>
      <c r="M1020" s="6"/>
      <c r="N1020" s="6"/>
      <c r="O1020" s="5"/>
      <c r="P1020" s="7" t="str">
        <f t="shared" si="105"/>
        <v/>
      </c>
      <c r="Q1020" s="7" t="str">
        <f t="shared" si="106"/>
        <v/>
      </c>
      <c r="R1020" s="7" t="str">
        <f t="shared" si="107"/>
        <v/>
      </c>
      <c r="S1020" s="7" t="str">
        <f>IF($A1020="","",IF(AND(LEFT($G1020,3)="ДОК",$N1020&lt;&gt;""),IFERROR(INDEX(Документация!$E$2:$E$57,MATCH($N1020,Документация!$F$2:$F$57,0)),0),N($F1020))*(1-MEDIAN(0,N(ДисконтТендер),1)))</f>
        <v/>
      </c>
      <c r="T1020" s="7" t="str">
        <f>IF($A1020="","",IF(AND(LEFT($G1020,3)="ДОК",$N1020&lt;&gt;""),0,IF(AND(LEFT($G1020,3)&lt;&gt;"ДОК",$N1020&lt;&gt;""),IFERROR(INDEX(МАТЕРИАЛЫ!$H$2:$H$9000,MATCH($N1020,МАТЕРИАЛЫ!$L$2:$L$9000,0))*IF(INDEX(МАТЕРИАЛЫ!$I$2:$I$9000,MATCH($N1020,МАТЕРИАЛЫ!$L$2:$L$9000,0))="USD",КурсUSD,IF(INDEX(МАТЕРИАЛЫ!$I$2:$I$9000,MATCH($N1020,МАТЕРИАЛЫ!$L$2:$L$9000,0))="EUR",КурсEUR,IF(INDEX(МАТЕРИАЛЫ!$I$2:$I$9000,MATCH($N1020,МАТЕРИАЛЫ!$L$2:$L$9000,0))="CNY",КурсCNY,1)))*(1+N($H1020)/100),0),N($O1020))*(1-MEDIAN(0,N(ДисконтТендер),1))))</f>
        <v/>
      </c>
      <c r="U1020" t="str">
        <f>IF($L1020="да",MAX($U$1:$U1019)+1,"")</f>
        <v/>
      </c>
      <c r="V1020" t="str">
        <f t="shared" si="108"/>
        <v/>
      </c>
      <c r="W1020" t="str">
        <f t="shared" si="109"/>
        <v/>
      </c>
      <c r="X1020" t="str">
        <f t="shared" si="110"/>
        <v/>
      </c>
      <c r="Y1020" s="4" t="str">
        <f>IF($A1020="","",IF(AND(LEFT($G1020,3)="ДОК",$N1020&lt;&gt;""),IFERROR(INDEX(Документация!$G$2:$G$57,MATCH($N1020,Документация!$F$2:$F$57,0)),$D1020),$D1020&amp;IF(AND(LEFT($G1020,3)&lt;&gt;"ДОК",$N1020&lt;&gt;"")," — "&amp;IFERROR(INDEX(МАТЕРИАЛЫ!$C$2:$C$9000,MATCH($N1020,МАТЕРИАЛЫ!$L$2:$L$9000,0)),""),"")))</f>
        <v/>
      </c>
      <c r="Z1020" t="str">
        <f t="shared" si="111"/>
        <v/>
      </c>
    </row>
    <row r="1021" spans="1:26" x14ac:dyDescent="0.3">
      <c r="A1021" s="8"/>
      <c r="D1021" s="4"/>
      <c r="F1021" s="5"/>
      <c r="L1021" s="6"/>
      <c r="M1021" s="6"/>
      <c r="N1021" s="6"/>
      <c r="O1021" s="5"/>
      <c r="P1021" s="7" t="str">
        <f t="shared" si="105"/>
        <v/>
      </c>
      <c r="Q1021" s="7" t="str">
        <f t="shared" si="106"/>
        <v/>
      </c>
      <c r="R1021" s="7" t="str">
        <f t="shared" si="107"/>
        <v/>
      </c>
      <c r="S1021" s="7" t="str">
        <f>IF($A1021="","",IF(AND(LEFT($G1021,3)="ДОК",$N1021&lt;&gt;""),IFERROR(INDEX(Документация!$E$2:$E$57,MATCH($N1021,Документация!$F$2:$F$57,0)),0),N($F1021))*(1-MEDIAN(0,N(ДисконтТендер),1)))</f>
        <v/>
      </c>
      <c r="T1021" s="7" t="str">
        <f>IF($A1021="","",IF(AND(LEFT($G1021,3)="ДОК",$N1021&lt;&gt;""),0,IF(AND(LEFT($G1021,3)&lt;&gt;"ДОК",$N1021&lt;&gt;""),IFERROR(INDEX(МАТЕРИАЛЫ!$H$2:$H$9000,MATCH($N1021,МАТЕРИАЛЫ!$L$2:$L$9000,0))*IF(INDEX(МАТЕРИАЛЫ!$I$2:$I$9000,MATCH($N1021,МАТЕРИАЛЫ!$L$2:$L$9000,0))="USD",КурсUSD,IF(INDEX(МАТЕРИАЛЫ!$I$2:$I$9000,MATCH($N1021,МАТЕРИАЛЫ!$L$2:$L$9000,0))="EUR",КурсEUR,IF(INDEX(МАТЕРИАЛЫ!$I$2:$I$9000,MATCH($N1021,МАТЕРИАЛЫ!$L$2:$L$9000,0))="CNY",КурсCNY,1)))*(1+N($H1021)/100),0),N($O1021))*(1-MEDIAN(0,N(ДисконтТендер),1))))</f>
        <v/>
      </c>
      <c r="U1021" t="str">
        <f>IF($L1021="да",MAX($U$1:$U1020)+1,"")</f>
        <v/>
      </c>
      <c r="V1021" t="str">
        <f t="shared" si="108"/>
        <v/>
      </c>
      <c r="W1021" t="str">
        <f t="shared" si="109"/>
        <v/>
      </c>
      <c r="X1021" t="str">
        <f t="shared" si="110"/>
        <v/>
      </c>
      <c r="Y1021" s="4" t="str">
        <f>IF($A1021="","",IF(AND(LEFT($G1021,3)="ДОК",$N1021&lt;&gt;""),IFERROR(INDEX(Документация!$G$2:$G$57,MATCH($N1021,Документация!$F$2:$F$57,0)),$D1021),$D1021&amp;IF(AND(LEFT($G1021,3)&lt;&gt;"ДОК",$N1021&lt;&gt;"")," — "&amp;IFERROR(INDEX(МАТЕРИАЛЫ!$C$2:$C$9000,MATCH($N1021,МАТЕРИАЛЫ!$L$2:$L$9000,0)),""),"")))</f>
        <v/>
      </c>
      <c r="Z1021" t="str">
        <f t="shared" si="111"/>
        <v/>
      </c>
    </row>
    <row r="1022" spans="1:26" x14ac:dyDescent="0.3">
      <c r="A1022" s="8"/>
      <c r="D1022" s="4"/>
      <c r="F1022" s="5"/>
      <c r="L1022" s="6"/>
      <c r="M1022" s="6"/>
      <c r="N1022" s="6"/>
      <c r="O1022" s="5"/>
      <c r="P1022" s="7" t="str">
        <f t="shared" si="105"/>
        <v/>
      </c>
      <c r="Q1022" s="7" t="str">
        <f t="shared" si="106"/>
        <v/>
      </c>
      <c r="R1022" s="7" t="str">
        <f t="shared" si="107"/>
        <v/>
      </c>
      <c r="S1022" s="7" t="str">
        <f>IF($A1022="","",IF(AND(LEFT($G1022,3)="ДОК",$N1022&lt;&gt;""),IFERROR(INDEX(Документация!$E$2:$E$57,MATCH($N1022,Документация!$F$2:$F$57,0)),0),N($F1022))*(1-MEDIAN(0,N(ДисконтТендер),1)))</f>
        <v/>
      </c>
      <c r="T1022" s="7" t="str">
        <f>IF($A1022="","",IF(AND(LEFT($G1022,3)="ДОК",$N1022&lt;&gt;""),0,IF(AND(LEFT($G1022,3)&lt;&gt;"ДОК",$N1022&lt;&gt;""),IFERROR(INDEX(МАТЕРИАЛЫ!$H$2:$H$9000,MATCH($N1022,МАТЕРИАЛЫ!$L$2:$L$9000,0))*IF(INDEX(МАТЕРИАЛЫ!$I$2:$I$9000,MATCH($N1022,МАТЕРИАЛЫ!$L$2:$L$9000,0))="USD",КурсUSD,IF(INDEX(МАТЕРИАЛЫ!$I$2:$I$9000,MATCH($N1022,МАТЕРИАЛЫ!$L$2:$L$9000,0))="EUR",КурсEUR,IF(INDEX(МАТЕРИАЛЫ!$I$2:$I$9000,MATCH($N1022,МАТЕРИАЛЫ!$L$2:$L$9000,0))="CNY",КурсCNY,1)))*(1+N($H1022)/100),0),N($O1022))*(1-MEDIAN(0,N(ДисконтТендер),1))))</f>
        <v/>
      </c>
      <c r="U1022" t="str">
        <f>IF($L1022="да",MAX($U$1:$U1021)+1,"")</f>
        <v/>
      </c>
      <c r="V1022" t="str">
        <f t="shared" si="108"/>
        <v/>
      </c>
      <c r="W1022" t="str">
        <f t="shared" si="109"/>
        <v/>
      </c>
      <c r="X1022" t="str">
        <f t="shared" si="110"/>
        <v/>
      </c>
      <c r="Y1022" s="4" t="str">
        <f>IF($A1022="","",IF(AND(LEFT($G1022,3)="ДОК",$N1022&lt;&gt;""),IFERROR(INDEX(Документация!$G$2:$G$57,MATCH($N1022,Документация!$F$2:$F$57,0)),$D1022),$D1022&amp;IF(AND(LEFT($G1022,3)&lt;&gt;"ДОК",$N1022&lt;&gt;"")," — "&amp;IFERROR(INDEX(МАТЕРИАЛЫ!$C$2:$C$9000,MATCH($N1022,МАТЕРИАЛЫ!$L$2:$L$9000,0)),""),"")))</f>
        <v/>
      </c>
      <c r="Z1022" t="str">
        <f t="shared" si="111"/>
        <v/>
      </c>
    </row>
    <row r="1023" spans="1:26" x14ac:dyDescent="0.3">
      <c r="A1023" s="8"/>
      <c r="D1023" s="4"/>
      <c r="F1023" s="5"/>
      <c r="L1023" s="6"/>
      <c r="M1023" s="6"/>
      <c r="N1023" s="6"/>
      <c r="O1023" s="5"/>
      <c r="P1023" s="7" t="str">
        <f t="shared" si="105"/>
        <v/>
      </c>
      <c r="Q1023" s="7" t="str">
        <f t="shared" si="106"/>
        <v/>
      </c>
      <c r="R1023" s="7" t="str">
        <f t="shared" si="107"/>
        <v/>
      </c>
      <c r="S1023" s="7" t="str">
        <f>IF($A1023="","",IF(AND(LEFT($G1023,3)="ДОК",$N1023&lt;&gt;""),IFERROR(INDEX(Документация!$E$2:$E$57,MATCH($N1023,Документация!$F$2:$F$57,0)),0),N($F1023))*(1-MEDIAN(0,N(ДисконтТендер),1)))</f>
        <v/>
      </c>
      <c r="T1023" s="7" t="str">
        <f>IF($A1023="","",IF(AND(LEFT($G1023,3)="ДОК",$N1023&lt;&gt;""),0,IF(AND(LEFT($G1023,3)&lt;&gt;"ДОК",$N1023&lt;&gt;""),IFERROR(INDEX(МАТЕРИАЛЫ!$H$2:$H$9000,MATCH($N1023,МАТЕРИАЛЫ!$L$2:$L$9000,0))*IF(INDEX(МАТЕРИАЛЫ!$I$2:$I$9000,MATCH($N1023,МАТЕРИАЛЫ!$L$2:$L$9000,0))="USD",КурсUSD,IF(INDEX(МАТЕРИАЛЫ!$I$2:$I$9000,MATCH($N1023,МАТЕРИАЛЫ!$L$2:$L$9000,0))="EUR",КурсEUR,IF(INDEX(МАТЕРИАЛЫ!$I$2:$I$9000,MATCH($N1023,МАТЕРИАЛЫ!$L$2:$L$9000,0))="CNY",КурсCNY,1)))*(1+N($H1023)/100),0),N($O1023))*(1-MEDIAN(0,N(ДисконтТендер),1))))</f>
        <v/>
      </c>
      <c r="U1023" t="str">
        <f>IF($L1023="да",MAX($U$1:$U1022)+1,"")</f>
        <v/>
      </c>
      <c r="V1023" t="str">
        <f t="shared" si="108"/>
        <v/>
      </c>
      <c r="W1023" t="str">
        <f t="shared" si="109"/>
        <v/>
      </c>
      <c r="X1023" t="str">
        <f t="shared" si="110"/>
        <v/>
      </c>
      <c r="Y1023" s="4" t="str">
        <f>IF($A1023="","",IF(AND(LEFT($G1023,3)="ДОК",$N1023&lt;&gt;""),IFERROR(INDEX(Документация!$G$2:$G$57,MATCH($N1023,Документация!$F$2:$F$57,0)),$D1023),$D1023&amp;IF(AND(LEFT($G1023,3)&lt;&gt;"ДОК",$N1023&lt;&gt;"")," — "&amp;IFERROR(INDEX(МАТЕРИАЛЫ!$C$2:$C$9000,MATCH($N1023,МАТЕРИАЛЫ!$L$2:$L$9000,0)),""),"")))</f>
        <v/>
      </c>
      <c r="Z1023" t="str">
        <f t="shared" si="111"/>
        <v/>
      </c>
    </row>
    <row r="1024" spans="1:26" x14ac:dyDescent="0.3">
      <c r="A1024" s="8"/>
      <c r="D1024" s="4"/>
      <c r="F1024" s="5"/>
      <c r="L1024" s="6"/>
      <c r="M1024" s="6"/>
      <c r="N1024" s="6"/>
      <c r="O1024" s="5"/>
      <c r="P1024" s="7" t="str">
        <f t="shared" si="105"/>
        <v/>
      </c>
      <c r="Q1024" s="7" t="str">
        <f t="shared" si="106"/>
        <v/>
      </c>
      <c r="R1024" s="7" t="str">
        <f t="shared" si="107"/>
        <v/>
      </c>
      <c r="S1024" s="7" t="str">
        <f>IF($A1024="","",IF(AND(LEFT($G1024,3)="ДОК",$N1024&lt;&gt;""),IFERROR(INDEX(Документация!$E$2:$E$57,MATCH($N1024,Документация!$F$2:$F$57,0)),0),N($F1024))*(1-MEDIAN(0,N(ДисконтТендер),1)))</f>
        <v/>
      </c>
      <c r="T1024" s="7" t="str">
        <f>IF($A1024="","",IF(AND(LEFT($G1024,3)="ДОК",$N1024&lt;&gt;""),0,IF(AND(LEFT($G1024,3)&lt;&gt;"ДОК",$N1024&lt;&gt;""),IFERROR(INDEX(МАТЕРИАЛЫ!$H$2:$H$9000,MATCH($N1024,МАТЕРИАЛЫ!$L$2:$L$9000,0))*IF(INDEX(МАТЕРИАЛЫ!$I$2:$I$9000,MATCH($N1024,МАТЕРИАЛЫ!$L$2:$L$9000,0))="USD",КурсUSD,IF(INDEX(МАТЕРИАЛЫ!$I$2:$I$9000,MATCH($N1024,МАТЕРИАЛЫ!$L$2:$L$9000,0))="EUR",КурсEUR,IF(INDEX(МАТЕРИАЛЫ!$I$2:$I$9000,MATCH($N1024,МАТЕРИАЛЫ!$L$2:$L$9000,0))="CNY",КурсCNY,1)))*(1+N($H1024)/100),0),N($O1024))*(1-MEDIAN(0,N(ДисконтТендер),1))))</f>
        <v/>
      </c>
      <c r="U1024" t="str">
        <f>IF($L1024="да",MAX($U$1:$U1023)+1,"")</f>
        <v/>
      </c>
      <c r="V1024" t="str">
        <f t="shared" si="108"/>
        <v/>
      </c>
      <c r="W1024" t="str">
        <f t="shared" si="109"/>
        <v/>
      </c>
      <c r="X1024" t="str">
        <f t="shared" si="110"/>
        <v/>
      </c>
      <c r="Y1024" s="4" t="str">
        <f>IF($A1024="","",IF(AND(LEFT($G1024,3)="ДОК",$N1024&lt;&gt;""),IFERROR(INDEX(Документация!$G$2:$G$57,MATCH($N1024,Документация!$F$2:$F$57,0)),$D1024),$D1024&amp;IF(AND(LEFT($G1024,3)&lt;&gt;"ДОК",$N1024&lt;&gt;"")," — "&amp;IFERROR(INDEX(МАТЕРИАЛЫ!$C$2:$C$9000,MATCH($N1024,МАТЕРИАЛЫ!$L$2:$L$9000,0)),""),"")))</f>
        <v/>
      </c>
      <c r="Z1024" t="str">
        <f t="shared" si="111"/>
        <v/>
      </c>
    </row>
    <row r="1025" spans="1:26" x14ac:dyDescent="0.3">
      <c r="A1025" s="8"/>
      <c r="D1025" s="4"/>
      <c r="F1025" s="5"/>
      <c r="L1025" s="6"/>
      <c r="M1025" s="6"/>
      <c r="N1025" s="6"/>
      <c r="O1025" s="5"/>
      <c r="P1025" s="7" t="str">
        <f t="shared" si="105"/>
        <v/>
      </c>
      <c r="Q1025" s="7" t="str">
        <f t="shared" si="106"/>
        <v/>
      </c>
      <c r="R1025" s="7" t="str">
        <f t="shared" si="107"/>
        <v/>
      </c>
      <c r="S1025" s="7" t="str">
        <f>IF($A1025="","",IF(AND(LEFT($G1025,3)="ДОК",$N1025&lt;&gt;""),IFERROR(INDEX(Документация!$E$2:$E$57,MATCH($N1025,Документация!$F$2:$F$57,0)),0),N($F1025))*(1-MEDIAN(0,N(ДисконтТендер),1)))</f>
        <v/>
      </c>
      <c r="T1025" s="7" t="str">
        <f>IF($A1025="","",IF(AND(LEFT($G1025,3)="ДОК",$N1025&lt;&gt;""),0,IF(AND(LEFT($G1025,3)&lt;&gt;"ДОК",$N1025&lt;&gt;""),IFERROR(INDEX(МАТЕРИАЛЫ!$H$2:$H$9000,MATCH($N1025,МАТЕРИАЛЫ!$L$2:$L$9000,0))*IF(INDEX(МАТЕРИАЛЫ!$I$2:$I$9000,MATCH($N1025,МАТЕРИАЛЫ!$L$2:$L$9000,0))="USD",КурсUSD,IF(INDEX(МАТЕРИАЛЫ!$I$2:$I$9000,MATCH($N1025,МАТЕРИАЛЫ!$L$2:$L$9000,0))="EUR",КурсEUR,IF(INDEX(МАТЕРИАЛЫ!$I$2:$I$9000,MATCH($N1025,МАТЕРИАЛЫ!$L$2:$L$9000,0))="CNY",КурсCNY,1)))*(1+N($H1025)/100),0),N($O1025))*(1-MEDIAN(0,N(ДисконтТендер),1))))</f>
        <v/>
      </c>
      <c r="U1025" t="str">
        <f>IF($L1025="да",MAX($U$1:$U1024)+1,"")</f>
        <v/>
      </c>
      <c r="V1025" t="str">
        <f t="shared" si="108"/>
        <v/>
      </c>
      <c r="W1025" t="str">
        <f t="shared" si="109"/>
        <v/>
      </c>
      <c r="X1025" t="str">
        <f t="shared" si="110"/>
        <v/>
      </c>
      <c r="Y1025" s="4" t="str">
        <f>IF($A1025="","",IF(AND(LEFT($G1025,3)="ДОК",$N1025&lt;&gt;""),IFERROR(INDEX(Документация!$G$2:$G$57,MATCH($N1025,Документация!$F$2:$F$57,0)),$D1025),$D1025&amp;IF(AND(LEFT($G1025,3)&lt;&gt;"ДОК",$N1025&lt;&gt;"")," — "&amp;IFERROR(INDEX(МАТЕРИАЛЫ!$C$2:$C$9000,MATCH($N1025,МАТЕРИАЛЫ!$L$2:$L$9000,0)),""),"")))</f>
        <v/>
      </c>
      <c r="Z1025" t="str">
        <f t="shared" si="111"/>
        <v/>
      </c>
    </row>
    <row r="1026" spans="1:26" x14ac:dyDescent="0.3">
      <c r="A1026" s="8"/>
      <c r="D1026" s="4"/>
      <c r="F1026" s="5"/>
      <c r="L1026" s="6"/>
      <c r="M1026" s="6"/>
      <c r="N1026" s="6"/>
      <c r="O1026" s="5"/>
      <c r="P1026" s="7" t="str">
        <f t="shared" ref="P1026:P1058" si="112">IF($L1026="да",ROUND(N($M1026)*$S1026,2),"")</f>
        <v/>
      </c>
      <c r="Q1026" s="7" t="str">
        <f t="shared" ref="Q1026:Q1058" si="113">IF($L1026="да",ROUND(N($M1026)*$T1026,2),"")</f>
        <v/>
      </c>
      <c r="R1026" s="7" t="str">
        <f t="shared" ref="R1026:R1058" si="114">IF($L1026="да",N($P1026)+N($Q1026),"")</f>
        <v/>
      </c>
      <c r="S1026" s="7" t="str">
        <f>IF($A1026="","",IF(AND(LEFT($G1026,3)="ДОК",$N1026&lt;&gt;""),IFERROR(INDEX(Документация!$E$2:$E$57,MATCH($N1026,Документация!$F$2:$F$57,0)),0),N($F1026))*(1-MEDIAN(0,N(ДисконтТендер),1)))</f>
        <v/>
      </c>
      <c r="T1026" s="7" t="str">
        <f>IF($A1026="","",IF(AND(LEFT($G1026,3)="ДОК",$N1026&lt;&gt;""),0,IF(AND(LEFT($G1026,3)&lt;&gt;"ДОК",$N1026&lt;&gt;""),IFERROR(INDEX(МАТЕРИАЛЫ!$H$2:$H$9000,MATCH($N1026,МАТЕРИАЛЫ!$L$2:$L$9000,0))*IF(INDEX(МАТЕРИАЛЫ!$I$2:$I$9000,MATCH($N1026,МАТЕРИАЛЫ!$L$2:$L$9000,0))="USD",КурсUSD,IF(INDEX(МАТЕРИАЛЫ!$I$2:$I$9000,MATCH($N1026,МАТЕРИАЛЫ!$L$2:$L$9000,0))="EUR",КурсEUR,IF(INDEX(МАТЕРИАЛЫ!$I$2:$I$9000,MATCH($N1026,МАТЕРИАЛЫ!$L$2:$L$9000,0))="CNY",КурсCNY,1)))*(1+N($H1026)/100),0),N($O1026))*(1-MEDIAN(0,N(ДисконтТендер),1))))</f>
        <v/>
      </c>
      <c r="U1026" t="str">
        <f>IF($L1026="да",MAX($U$1:$U1025)+1,"")</f>
        <v/>
      </c>
      <c r="V1026" t="str">
        <f t="shared" ref="V1026:V1058" si="115">IF($A1026="","",$B1026)</f>
        <v/>
      </c>
      <c r="W1026" t="str">
        <f t="shared" ref="W1026:W1058" si="116">IF($U1026="","",IF($U1026=1,1,IF($V1026&lt;&gt;IFERROR(INDEX($V$2:$V$1058,MATCH($U1026-1,$U$2:$U$1058,0)),"~"),1,0)))</f>
        <v/>
      </c>
      <c r="X1026" t="str">
        <f t="shared" ref="X1026:X1058" si="117">IF($U1026="","",$U1026+SUMIFS($W$2:$W$1058,$U$2:$U$1058,"&lt;="&amp;$U1026))</f>
        <v/>
      </c>
      <c r="Y1026" s="4" t="str">
        <f>IF($A1026="","",IF(AND(LEFT($G1026,3)="ДОК",$N1026&lt;&gt;""),IFERROR(INDEX(Документация!$G$2:$G$57,MATCH($N1026,Документация!$F$2:$F$57,0)),$D1026),$D1026&amp;IF(AND(LEFT($G1026,3)&lt;&gt;"ДОК",$N1026&lt;&gt;"")," — "&amp;IFERROR(INDEX(МАТЕРИАЛЫ!$C$2:$C$9000,MATCH($N1026,МАТЕРИАЛЫ!$L$2:$L$9000,0)),""),"")))</f>
        <v/>
      </c>
      <c r="Z1026" t="str">
        <f t="shared" ref="Z1026:Z1058" si="118">IF($B1026="","",$B1026&amp;" · "&amp;IFERROR(VLOOKUP($B1026,спрРазделы,2,0),""))</f>
        <v/>
      </c>
    </row>
    <row r="1027" spans="1:26" x14ac:dyDescent="0.3">
      <c r="A1027" s="8"/>
      <c r="D1027" s="4"/>
      <c r="F1027" s="5"/>
      <c r="L1027" s="6"/>
      <c r="M1027" s="6"/>
      <c r="N1027" s="6"/>
      <c r="O1027" s="5"/>
      <c r="P1027" s="7" t="str">
        <f t="shared" si="112"/>
        <v/>
      </c>
      <c r="Q1027" s="7" t="str">
        <f t="shared" si="113"/>
        <v/>
      </c>
      <c r="R1027" s="7" t="str">
        <f t="shared" si="114"/>
        <v/>
      </c>
      <c r="S1027" s="7" t="str">
        <f>IF($A1027="","",IF(AND(LEFT($G1027,3)="ДОК",$N1027&lt;&gt;""),IFERROR(INDEX(Документация!$E$2:$E$57,MATCH($N1027,Документация!$F$2:$F$57,0)),0),N($F1027))*(1-MEDIAN(0,N(ДисконтТендер),1)))</f>
        <v/>
      </c>
      <c r="T1027" s="7" t="str">
        <f>IF($A1027="","",IF(AND(LEFT($G1027,3)="ДОК",$N1027&lt;&gt;""),0,IF(AND(LEFT($G1027,3)&lt;&gt;"ДОК",$N1027&lt;&gt;""),IFERROR(INDEX(МАТЕРИАЛЫ!$H$2:$H$9000,MATCH($N1027,МАТЕРИАЛЫ!$L$2:$L$9000,0))*IF(INDEX(МАТЕРИАЛЫ!$I$2:$I$9000,MATCH($N1027,МАТЕРИАЛЫ!$L$2:$L$9000,0))="USD",КурсUSD,IF(INDEX(МАТЕРИАЛЫ!$I$2:$I$9000,MATCH($N1027,МАТЕРИАЛЫ!$L$2:$L$9000,0))="EUR",КурсEUR,IF(INDEX(МАТЕРИАЛЫ!$I$2:$I$9000,MATCH($N1027,МАТЕРИАЛЫ!$L$2:$L$9000,0))="CNY",КурсCNY,1)))*(1+N($H1027)/100),0),N($O1027))*(1-MEDIAN(0,N(ДисконтТендер),1))))</f>
        <v/>
      </c>
      <c r="U1027" t="str">
        <f>IF($L1027="да",MAX($U$1:$U1026)+1,"")</f>
        <v/>
      </c>
      <c r="V1027" t="str">
        <f t="shared" si="115"/>
        <v/>
      </c>
      <c r="W1027" t="str">
        <f t="shared" si="116"/>
        <v/>
      </c>
      <c r="X1027" t="str">
        <f t="shared" si="117"/>
        <v/>
      </c>
      <c r="Y1027" s="4" t="str">
        <f>IF($A1027="","",IF(AND(LEFT($G1027,3)="ДОК",$N1027&lt;&gt;""),IFERROR(INDEX(Документация!$G$2:$G$57,MATCH($N1027,Документация!$F$2:$F$57,0)),$D1027),$D1027&amp;IF(AND(LEFT($G1027,3)&lt;&gt;"ДОК",$N1027&lt;&gt;"")," — "&amp;IFERROR(INDEX(МАТЕРИАЛЫ!$C$2:$C$9000,MATCH($N1027,МАТЕРИАЛЫ!$L$2:$L$9000,0)),""),"")))</f>
        <v/>
      </c>
      <c r="Z1027" t="str">
        <f t="shared" si="118"/>
        <v/>
      </c>
    </row>
    <row r="1028" spans="1:26" x14ac:dyDescent="0.3">
      <c r="A1028" s="8"/>
      <c r="D1028" s="4"/>
      <c r="F1028" s="5"/>
      <c r="L1028" s="6"/>
      <c r="M1028" s="6"/>
      <c r="N1028" s="6"/>
      <c r="O1028" s="5"/>
      <c r="P1028" s="7" t="str">
        <f t="shared" si="112"/>
        <v/>
      </c>
      <c r="Q1028" s="7" t="str">
        <f t="shared" si="113"/>
        <v/>
      </c>
      <c r="R1028" s="7" t="str">
        <f t="shared" si="114"/>
        <v/>
      </c>
      <c r="S1028" s="7" t="str">
        <f>IF($A1028="","",IF(AND(LEFT($G1028,3)="ДОК",$N1028&lt;&gt;""),IFERROR(INDEX(Документация!$E$2:$E$57,MATCH($N1028,Документация!$F$2:$F$57,0)),0),N($F1028))*(1-MEDIAN(0,N(ДисконтТендер),1)))</f>
        <v/>
      </c>
      <c r="T1028" s="7" t="str">
        <f>IF($A1028="","",IF(AND(LEFT($G1028,3)="ДОК",$N1028&lt;&gt;""),0,IF(AND(LEFT($G1028,3)&lt;&gt;"ДОК",$N1028&lt;&gt;""),IFERROR(INDEX(МАТЕРИАЛЫ!$H$2:$H$9000,MATCH($N1028,МАТЕРИАЛЫ!$L$2:$L$9000,0))*IF(INDEX(МАТЕРИАЛЫ!$I$2:$I$9000,MATCH($N1028,МАТЕРИАЛЫ!$L$2:$L$9000,0))="USD",КурсUSD,IF(INDEX(МАТЕРИАЛЫ!$I$2:$I$9000,MATCH($N1028,МАТЕРИАЛЫ!$L$2:$L$9000,0))="EUR",КурсEUR,IF(INDEX(МАТЕРИАЛЫ!$I$2:$I$9000,MATCH($N1028,МАТЕРИАЛЫ!$L$2:$L$9000,0))="CNY",КурсCNY,1)))*(1+N($H1028)/100),0),N($O1028))*(1-MEDIAN(0,N(ДисконтТендер),1))))</f>
        <v/>
      </c>
      <c r="U1028" t="str">
        <f>IF($L1028="да",MAX($U$1:$U1027)+1,"")</f>
        <v/>
      </c>
      <c r="V1028" t="str">
        <f t="shared" si="115"/>
        <v/>
      </c>
      <c r="W1028" t="str">
        <f t="shared" si="116"/>
        <v/>
      </c>
      <c r="X1028" t="str">
        <f t="shared" si="117"/>
        <v/>
      </c>
      <c r="Y1028" s="4" t="str">
        <f>IF($A1028="","",IF(AND(LEFT($G1028,3)="ДОК",$N1028&lt;&gt;""),IFERROR(INDEX(Документация!$G$2:$G$57,MATCH($N1028,Документация!$F$2:$F$57,0)),$D1028),$D1028&amp;IF(AND(LEFT($G1028,3)&lt;&gt;"ДОК",$N1028&lt;&gt;"")," — "&amp;IFERROR(INDEX(МАТЕРИАЛЫ!$C$2:$C$9000,MATCH($N1028,МАТЕРИАЛЫ!$L$2:$L$9000,0)),""),"")))</f>
        <v/>
      </c>
      <c r="Z1028" t="str">
        <f t="shared" si="118"/>
        <v/>
      </c>
    </row>
    <row r="1029" spans="1:26" x14ac:dyDescent="0.3">
      <c r="A1029" s="8"/>
      <c r="D1029" s="4"/>
      <c r="F1029" s="5"/>
      <c r="L1029" s="6"/>
      <c r="M1029" s="6"/>
      <c r="N1029" s="6"/>
      <c r="O1029" s="5"/>
      <c r="P1029" s="7" t="str">
        <f t="shared" si="112"/>
        <v/>
      </c>
      <c r="Q1029" s="7" t="str">
        <f t="shared" si="113"/>
        <v/>
      </c>
      <c r="R1029" s="7" t="str">
        <f t="shared" si="114"/>
        <v/>
      </c>
      <c r="S1029" s="7" t="str">
        <f>IF($A1029="","",IF(AND(LEFT($G1029,3)="ДОК",$N1029&lt;&gt;""),IFERROR(INDEX(Документация!$E$2:$E$57,MATCH($N1029,Документация!$F$2:$F$57,0)),0),N($F1029))*(1-MEDIAN(0,N(ДисконтТендер),1)))</f>
        <v/>
      </c>
      <c r="T1029" s="7" t="str">
        <f>IF($A1029="","",IF(AND(LEFT($G1029,3)="ДОК",$N1029&lt;&gt;""),0,IF(AND(LEFT($G1029,3)&lt;&gt;"ДОК",$N1029&lt;&gt;""),IFERROR(INDEX(МАТЕРИАЛЫ!$H$2:$H$9000,MATCH($N1029,МАТЕРИАЛЫ!$L$2:$L$9000,0))*IF(INDEX(МАТЕРИАЛЫ!$I$2:$I$9000,MATCH($N1029,МАТЕРИАЛЫ!$L$2:$L$9000,0))="USD",КурсUSD,IF(INDEX(МАТЕРИАЛЫ!$I$2:$I$9000,MATCH($N1029,МАТЕРИАЛЫ!$L$2:$L$9000,0))="EUR",КурсEUR,IF(INDEX(МАТЕРИАЛЫ!$I$2:$I$9000,MATCH($N1029,МАТЕРИАЛЫ!$L$2:$L$9000,0))="CNY",КурсCNY,1)))*(1+N($H1029)/100),0),N($O1029))*(1-MEDIAN(0,N(ДисконтТендер),1))))</f>
        <v/>
      </c>
      <c r="U1029" t="str">
        <f>IF($L1029="да",MAX($U$1:$U1028)+1,"")</f>
        <v/>
      </c>
      <c r="V1029" t="str">
        <f t="shared" si="115"/>
        <v/>
      </c>
      <c r="W1029" t="str">
        <f t="shared" si="116"/>
        <v/>
      </c>
      <c r="X1029" t="str">
        <f t="shared" si="117"/>
        <v/>
      </c>
      <c r="Y1029" s="4" t="str">
        <f>IF($A1029="","",IF(AND(LEFT($G1029,3)="ДОК",$N1029&lt;&gt;""),IFERROR(INDEX(Документация!$G$2:$G$57,MATCH($N1029,Документация!$F$2:$F$57,0)),$D1029),$D1029&amp;IF(AND(LEFT($G1029,3)&lt;&gt;"ДОК",$N1029&lt;&gt;"")," — "&amp;IFERROR(INDEX(МАТЕРИАЛЫ!$C$2:$C$9000,MATCH($N1029,МАТЕРИАЛЫ!$L$2:$L$9000,0)),""),"")))</f>
        <v/>
      </c>
      <c r="Z1029" t="str">
        <f t="shared" si="118"/>
        <v/>
      </c>
    </row>
    <row r="1030" spans="1:26" x14ac:dyDescent="0.3">
      <c r="A1030" s="8"/>
      <c r="D1030" s="4"/>
      <c r="F1030" s="5"/>
      <c r="L1030" s="6"/>
      <c r="M1030" s="6"/>
      <c r="N1030" s="6"/>
      <c r="O1030" s="5"/>
      <c r="P1030" s="7" t="str">
        <f t="shared" si="112"/>
        <v/>
      </c>
      <c r="Q1030" s="7" t="str">
        <f t="shared" si="113"/>
        <v/>
      </c>
      <c r="R1030" s="7" t="str">
        <f t="shared" si="114"/>
        <v/>
      </c>
      <c r="S1030" s="7" t="str">
        <f>IF($A1030="","",IF(AND(LEFT($G1030,3)="ДОК",$N1030&lt;&gt;""),IFERROR(INDEX(Документация!$E$2:$E$57,MATCH($N1030,Документация!$F$2:$F$57,0)),0),N($F1030))*(1-MEDIAN(0,N(ДисконтТендер),1)))</f>
        <v/>
      </c>
      <c r="T1030" s="7" t="str">
        <f>IF($A1030="","",IF(AND(LEFT($G1030,3)="ДОК",$N1030&lt;&gt;""),0,IF(AND(LEFT($G1030,3)&lt;&gt;"ДОК",$N1030&lt;&gt;""),IFERROR(INDEX(МАТЕРИАЛЫ!$H$2:$H$9000,MATCH($N1030,МАТЕРИАЛЫ!$L$2:$L$9000,0))*IF(INDEX(МАТЕРИАЛЫ!$I$2:$I$9000,MATCH($N1030,МАТЕРИАЛЫ!$L$2:$L$9000,0))="USD",КурсUSD,IF(INDEX(МАТЕРИАЛЫ!$I$2:$I$9000,MATCH($N1030,МАТЕРИАЛЫ!$L$2:$L$9000,0))="EUR",КурсEUR,IF(INDEX(МАТЕРИАЛЫ!$I$2:$I$9000,MATCH($N1030,МАТЕРИАЛЫ!$L$2:$L$9000,0))="CNY",КурсCNY,1)))*(1+N($H1030)/100),0),N($O1030))*(1-MEDIAN(0,N(ДисконтТендер),1))))</f>
        <v/>
      </c>
      <c r="U1030" t="str">
        <f>IF($L1030="да",MAX($U$1:$U1029)+1,"")</f>
        <v/>
      </c>
      <c r="V1030" t="str">
        <f t="shared" si="115"/>
        <v/>
      </c>
      <c r="W1030" t="str">
        <f t="shared" si="116"/>
        <v/>
      </c>
      <c r="X1030" t="str">
        <f t="shared" si="117"/>
        <v/>
      </c>
      <c r="Y1030" s="4" t="str">
        <f>IF($A1030="","",IF(AND(LEFT($G1030,3)="ДОК",$N1030&lt;&gt;""),IFERROR(INDEX(Документация!$G$2:$G$57,MATCH($N1030,Документация!$F$2:$F$57,0)),$D1030),$D1030&amp;IF(AND(LEFT($G1030,3)&lt;&gt;"ДОК",$N1030&lt;&gt;"")," — "&amp;IFERROR(INDEX(МАТЕРИАЛЫ!$C$2:$C$9000,MATCH($N1030,МАТЕРИАЛЫ!$L$2:$L$9000,0)),""),"")))</f>
        <v/>
      </c>
      <c r="Z1030" t="str">
        <f t="shared" si="118"/>
        <v/>
      </c>
    </row>
    <row r="1031" spans="1:26" x14ac:dyDescent="0.3">
      <c r="A1031" s="8"/>
      <c r="D1031" s="4"/>
      <c r="F1031" s="5"/>
      <c r="L1031" s="6"/>
      <c r="M1031" s="6"/>
      <c r="N1031" s="6"/>
      <c r="O1031" s="5"/>
      <c r="P1031" s="7" t="str">
        <f t="shared" si="112"/>
        <v/>
      </c>
      <c r="Q1031" s="7" t="str">
        <f t="shared" si="113"/>
        <v/>
      </c>
      <c r="R1031" s="7" t="str">
        <f t="shared" si="114"/>
        <v/>
      </c>
      <c r="S1031" s="7" t="str">
        <f>IF($A1031="","",IF(AND(LEFT($G1031,3)="ДОК",$N1031&lt;&gt;""),IFERROR(INDEX(Документация!$E$2:$E$57,MATCH($N1031,Документация!$F$2:$F$57,0)),0),N($F1031))*(1-MEDIAN(0,N(ДисконтТендер),1)))</f>
        <v/>
      </c>
      <c r="T1031" s="7" t="str">
        <f>IF($A1031="","",IF(AND(LEFT($G1031,3)="ДОК",$N1031&lt;&gt;""),0,IF(AND(LEFT($G1031,3)&lt;&gt;"ДОК",$N1031&lt;&gt;""),IFERROR(INDEX(МАТЕРИАЛЫ!$H$2:$H$9000,MATCH($N1031,МАТЕРИАЛЫ!$L$2:$L$9000,0))*IF(INDEX(МАТЕРИАЛЫ!$I$2:$I$9000,MATCH($N1031,МАТЕРИАЛЫ!$L$2:$L$9000,0))="USD",КурсUSD,IF(INDEX(МАТЕРИАЛЫ!$I$2:$I$9000,MATCH($N1031,МАТЕРИАЛЫ!$L$2:$L$9000,0))="EUR",КурсEUR,IF(INDEX(МАТЕРИАЛЫ!$I$2:$I$9000,MATCH($N1031,МАТЕРИАЛЫ!$L$2:$L$9000,0))="CNY",КурсCNY,1)))*(1+N($H1031)/100),0),N($O1031))*(1-MEDIAN(0,N(ДисконтТендер),1))))</f>
        <v/>
      </c>
      <c r="U1031" t="str">
        <f>IF($L1031="да",MAX($U$1:$U1030)+1,"")</f>
        <v/>
      </c>
      <c r="V1031" t="str">
        <f t="shared" si="115"/>
        <v/>
      </c>
      <c r="W1031" t="str">
        <f t="shared" si="116"/>
        <v/>
      </c>
      <c r="X1031" t="str">
        <f t="shared" si="117"/>
        <v/>
      </c>
      <c r="Y1031" s="4" t="str">
        <f>IF($A1031="","",IF(AND(LEFT($G1031,3)="ДОК",$N1031&lt;&gt;""),IFERROR(INDEX(Документация!$G$2:$G$57,MATCH($N1031,Документация!$F$2:$F$57,0)),$D1031),$D1031&amp;IF(AND(LEFT($G1031,3)&lt;&gt;"ДОК",$N1031&lt;&gt;"")," — "&amp;IFERROR(INDEX(МАТЕРИАЛЫ!$C$2:$C$9000,MATCH($N1031,МАТЕРИАЛЫ!$L$2:$L$9000,0)),""),"")))</f>
        <v/>
      </c>
      <c r="Z1031" t="str">
        <f t="shared" si="118"/>
        <v/>
      </c>
    </row>
    <row r="1032" spans="1:26" x14ac:dyDescent="0.3">
      <c r="A1032" s="8"/>
      <c r="D1032" s="4"/>
      <c r="F1032" s="5"/>
      <c r="L1032" s="6"/>
      <c r="M1032" s="6"/>
      <c r="N1032" s="6"/>
      <c r="O1032" s="5"/>
      <c r="P1032" s="7" t="str">
        <f t="shared" si="112"/>
        <v/>
      </c>
      <c r="Q1032" s="7" t="str">
        <f t="shared" si="113"/>
        <v/>
      </c>
      <c r="R1032" s="7" t="str">
        <f t="shared" si="114"/>
        <v/>
      </c>
      <c r="S1032" s="7" t="str">
        <f>IF($A1032="","",IF(AND(LEFT($G1032,3)="ДОК",$N1032&lt;&gt;""),IFERROR(INDEX(Документация!$E$2:$E$57,MATCH($N1032,Документация!$F$2:$F$57,0)),0),N($F1032))*(1-MEDIAN(0,N(ДисконтТендер),1)))</f>
        <v/>
      </c>
      <c r="T1032" s="7" t="str">
        <f>IF($A1032="","",IF(AND(LEFT($G1032,3)="ДОК",$N1032&lt;&gt;""),0,IF(AND(LEFT($G1032,3)&lt;&gt;"ДОК",$N1032&lt;&gt;""),IFERROR(INDEX(МАТЕРИАЛЫ!$H$2:$H$9000,MATCH($N1032,МАТЕРИАЛЫ!$L$2:$L$9000,0))*IF(INDEX(МАТЕРИАЛЫ!$I$2:$I$9000,MATCH($N1032,МАТЕРИАЛЫ!$L$2:$L$9000,0))="USD",КурсUSD,IF(INDEX(МАТЕРИАЛЫ!$I$2:$I$9000,MATCH($N1032,МАТЕРИАЛЫ!$L$2:$L$9000,0))="EUR",КурсEUR,IF(INDEX(МАТЕРИАЛЫ!$I$2:$I$9000,MATCH($N1032,МАТЕРИАЛЫ!$L$2:$L$9000,0))="CNY",КурсCNY,1)))*(1+N($H1032)/100),0),N($O1032))*(1-MEDIAN(0,N(ДисконтТендер),1))))</f>
        <v/>
      </c>
      <c r="U1032" t="str">
        <f>IF($L1032="да",MAX($U$1:$U1031)+1,"")</f>
        <v/>
      </c>
      <c r="V1032" t="str">
        <f t="shared" si="115"/>
        <v/>
      </c>
      <c r="W1032" t="str">
        <f t="shared" si="116"/>
        <v/>
      </c>
      <c r="X1032" t="str">
        <f t="shared" si="117"/>
        <v/>
      </c>
      <c r="Y1032" s="4" t="str">
        <f>IF($A1032="","",IF(AND(LEFT($G1032,3)="ДОК",$N1032&lt;&gt;""),IFERROR(INDEX(Документация!$G$2:$G$57,MATCH($N1032,Документация!$F$2:$F$57,0)),$D1032),$D1032&amp;IF(AND(LEFT($G1032,3)&lt;&gt;"ДОК",$N1032&lt;&gt;"")," — "&amp;IFERROR(INDEX(МАТЕРИАЛЫ!$C$2:$C$9000,MATCH($N1032,МАТЕРИАЛЫ!$L$2:$L$9000,0)),""),"")))</f>
        <v/>
      </c>
      <c r="Z1032" t="str">
        <f t="shared" si="118"/>
        <v/>
      </c>
    </row>
    <row r="1033" spans="1:26" x14ac:dyDescent="0.3">
      <c r="A1033" s="8"/>
      <c r="D1033" s="4"/>
      <c r="F1033" s="5"/>
      <c r="L1033" s="6"/>
      <c r="M1033" s="6"/>
      <c r="N1033" s="6"/>
      <c r="O1033" s="5"/>
      <c r="P1033" s="7" t="str">
        <f t="shared" si="112"/>
        <v/>
      </c>
      <c r="Q1033" s="7" t="str">
        <f t="shared" si="113"/>
        <v/>
      </c>
      <c r="R1033" s="7" t="str">
        <f t="shared" si="114"/>
        <v/>
      </c>
      <c r="S1033" s="7" t="str">
        <f>IF($A1033="","",IF(AND(LEFT($G1033,3)="ДОК",$N1033&lt;&gt;""),IFERROR(INDEX(Документация!$E$2:$E$57,MATCH($N1033,Документация!$F$2:$F$57,0)),0),N($F1033))*(1-MEDIAN(0,N(ДисконтТендер),1)))</f>
        <v/>
      </c>
      <c r="T1033" s="7" t="str">
        <f>IF($A1033="","",IF(AND(LEFT($G1033,3)="ДОК",$N1033&lt;&gt;""),0,IF(AND(LEFT($G1033,3)&lt;&gt;"ДОК",$N1033&lt;&gt;""),IFERROR(INDEX(МАТЕРИАЛЫ!$H$2:$H$9000,MATCH($N1033,МАТЕРИАЛЫ!$L$2:$L$9000,0))*IF(INDEX(МАТЕРИАЛЫ!$I$2:$I$9000,MATCH($N1033,МАТЕРИАЛЫ!$L$2:$L$9000,0))="USD",КурсUSD,IF(INDEX(МАТЕРИАЛЫ!$I$2:$I$9000,MATCH($N1033,МАТЕРИАЛЫ!$L$2:$L$9000,0))="EUR",КурсEUR,IF(INDEX(МАТЕРИАЛЫ!$I$2:$I$9000,MATCH($N1033,МАТЕРИАЛЫ!$L$2:$L$9000,0))="CNY",КурсCNY,1)))*(1+N($H1033)/100),0),N($O1033))*(1-MEDIAN(0,N(ДисконтТендер),1))))</f>
        <v/>
      </c>
      <c r="U1033" t="str">
        <f>IF($L1033="да",MAX($U$1:$U1032)+1,"")</f>
        <v/>
      </c>
      <c r="V1033" t="str">
        <f t="shared" si="115"/>
        <v/>
      </c>
      <c r="W1033" t="str">
        <f t="shared" si="116"/>
        <v/>
      </c>
      <c r="X1033" t="str">
        <f t="shared" si="117"/>
        <v/>
      </c>
      <c r="Y1033" s="4" t="str">
        <f>IF($A1033="","",IF(AND(LEFT($G1033,3)="ДОК",$N1033&lt;&gt;""),IFERROR(INDEX(Документация!$G$2:$G$57,MATCH($N1033,Документация!$F$2:$F$57,0)),$D1033),$D1033&amp;IF(AND(LEFT($G1033,3)&lt;&gt;"ДОК",$N1033&lt;&gt;"")," — "&amp;IFERROR(INDEX(МАТЕРИАЛЫ!$C$2:$C$9000,MATCH($N1033,МАТЕРИАЛЫ!$L$2:$L$9000,0)),""),"")))</f>
        <v/>
      </c>
      <c r="Z1033" t="str">
        <f t="shared" si="118"/>
        <v/>
      </c>
    </row>
    <row r="1034" spans="1:26" x14ac:dyDescent="0.3">
      <c r="A1034" s="8"/>
      <c r="D1034" s="4"/>
      <c r="F1034" s="5"/>
      <c r="L1034" s="6"/>
      <c r="M1034" s="6"/>
      <c r="N1034" s="6"/>
      <c r="O1034" s="5"/>
      <c r="P1034" s="7" t="str">
        <f t="shared" si="112"/>
        <v/>
      </c>
      <c r="Q1034" s="7" t="str">
        <f t="shared" si="113"/>
        <v/>
      </c>
      <c r="R1034" s="7" t="str">
        <f t="shared" si="114"/>
        <v/>
      </c>
      <c r="S1034" s="7" t="str">
        <f>IF($A1034="","",IF(AND(LEFT($G1034,3)="ДОК",$N1034&lt;&gt;""),IFERROR(INDEX(Документация!$E$2:$E$57,MATCH($N1034,Документация!$F$2:$F$57,0)),0),N($F1034))*(1-MEDIAN(0,N(ДисконтТендер),1)))</f>
        <v/>
      </c>
      <c r="T1034" s="7" t="str">
        <f>IF($A1034="","",IF(AND(LEFT($G1034,3)="ДОК",$N1034&lt;&gt;""),0,IF(AND(LEFT($G1034,3)&lt;&gt;"ДОК",$N1034&lt;&gt;""),IFERROR(INDEX(МАТЕРИАЛЫ!$H$2:$H$9000,MATCH($N1034,МАТЕРИАЛЫ!$L$2:$L$9000,0))*IF(INDEX(МАТЕРИАЛЫ!$I$2:$I$9000,MATCH($N1034,МАТЕРИАЛЫ!$L$2:$L$9000,0))="USD",КурсUSD,IF(INDEX(МАТЕРИАЛЫ!$I$2:$I$9000,MATCH($N1034,МАТЕРИАЛЫ!$L$2:$L$9000,0))="EUR",КурсEUR,IF(INDEX(МАТЕРИАЛЫ!$I$2:$I$9000,MATCH($N1034,МАТЕРИАЛЫ!$L$2:$L$9000,0))="CNY",КурсCNY,1)))*(1+N($H1034)/100),0),N($O1034))*(1-MEDIAN(0,N(ДисконтТендер),1))))</f>
        <v/>
      </c>
      <c r="U1034" t="str">
        <f>IF($L1034="да",MAX($U$1:$U1033)+1,"")</f>
        <v/>
      </c>
      <c r="V1034" t="str">
        <f t="shared" si="115"/>
        <v/>
      </c>
      <c r="W1034" t="str">
        <f t="shared" si="116"/>
        <v/>
      </c>
      <c r="X1034" t="str">
        <f t="shared" si="117"/>
        <v/>
      </c>
      <c r="Y1034" s="4" t="str">
        <f>IF($A1034="","",IF(AND(LEFT($G1034,3)="ДОК",$N1034&lt;&gt;""),IFERROR(INDEX(Документация!$G$2:$G$57,MATCH($N1034,Документация!$F$2:$F$57,0)),$D1034),$D1034&amp;IF(AND(LEFT($G1034,3)&lt;&gt;"ДОК",$N1034&lt;&gt;"")," — "&amp;IFERROR(INDEX(МАТЕРИАЛЫ!$C$2:$C$9000,MATCH($N1034,МАТЕРИАЛЫ!$L$2:$L$9000,0)),""),"")))</f>
        <v/>
      </c>
      <c r="Z1034" t="str">
        <f t="shared" si="118"/>
        <v/>
      </c>
    </row>
    <row r="1035" spans="1:26" x14ac:dyDescent="0.3">
      <c r="A1035" s="8"/>
      <c r="D1035" s="4"/>
      <c r="F1035" s="5"/>
      <c r="L1035" s="6"/>
      <c r="M1035" s="6"/>
      <c r="N1035" s="6"/>
      <c r="O1035" s="5"/>
      <c r="P1035" s="7" t="str">
        <f t="shared" si="112"/>
        <v/>
      </c>
      <c r="Q1035" s="7" t="str">
        <f t="shared" si="113"/>
        <v/>
      </c>
      <c r="R1035" s="7" t="str">
        <f t="shared" si="114"/>
        <v/>
      </c>
      <c r="S1035" s="7" t="str">
        <f>IF($A1035="","",IF(AND(LEFT($G1035,3)="ДОК",$N1035&lt;&gt;""),IFERROR(INDEX(Документация!$E$2:$E$57,MATCH($N1035,Документация!$F$2:$F$57,0)),0),N($F1035))*(1-MEDIAN(0,N(ДисконтТендер),1)))</f>
        <v/>
      </c>
      <c r="T1035" s="7" t="str">
        <f>IF($A1035="","",IF(AND(LEFT($G1035,3)="ДОК",$N1035&lt;&gt;""),0,IF(AND(LEFT($G1035,3)&lt;&gt;"ДОК",$N1035&lt;&gt;""),IFERROR(INDEX(МАТЕРИАЛЫ!$H$2:$H$9000,MATCH($N1035,МАТЕРИАЛЫ!$L$2:$L$9000,0))*IF(INDEX(МАТЕРИАЛЫ!$I$2:$I$9000,MATCH($N1035,МАТЕРИАЛЫ!$L$2:$L$9000,0))="USD",КурсUSD,IF(INDEX(МАТЕРИАЛЫ!$I$2:$I$9000,MATCH($N1035,МАТЕРИАЛЫ!$L$2:$L$9000,0))="EUR",КурсEUR,IF(INDEX(МАТЕРИАЛЫ!$I$2:$I$9000,MATCH($N1035,МАТЕРИАЛЫ!$L$2:$L$9000,0))="CNY",КурсCNY,1)))*(1+N($H1035)/100),0),N($O1035))*(1-MEDIAN(0,N(ДисконтТендер),1))))</f>
        <v/>
      </c>
      <c r="U1035" t="str">
        <f>IF($L1035="да",MAX($U$1:$U1034)+1,"")</f>
        <v/>
      </c>
      <c r="V1035" t="str">
        <f t="shared" si="115"/>
        <v/>
      </c>
      <c r="W1035" t="str">
        <f t="shared" si="116"/>
        <v/>
      </c>
      <c r="X1035" t="str">
        <f t="shared" si="117"/>
        <v/>
      </c>
      <c r="Y1035" s="4" t="str">
        <f>IF($A1035="","",IF(AND(LEFT($G1035,3)="ДОК",$N1035&lt;&gt;""),IFERROR(INDEX(Документация!$G$2:$G$57,MATCH($N1035,Документация!$F$2:$F$57,0)),$D1035),$D1035&amp;IF(AND(LEFT($G1035,3)&lt;&gt;"ДОК",$N1035&lt;&gt;"")," — "&amp;IFERROR(INDEX(МАТЕРИАЛЫ!$C$2:$C$9000,MATCH($N1035,МАТЕРИАЛЫ!$L$2:$L$9000,0)),""),"")))</f>
        <v/>
      </c>
      <c r="Z1035" t="str">
        <f t="shared" si="118"/>
        <v/>
      </c>
    </row>
    <row r="1036" spans="1:26" x14ac:dyDescent="0.3">
      <c r="A1036" s="8"/>
      <c r="D1036" s="4"/>
      <c r="F1036" s="5"/>
      <c r="L1036" s="6"/>
      <c r="M1036" s="6"/>
      <c r="N1036" s="6"/>
      <c r="O1036" s="5"/>
      <c r="P1036" s="7" t="str">
        <f t="shared" si="112"/>
        <v/>
      </c>
      <c r="Q1036" s="7" t="str">
        <f t="shared" si="113"/>
        <v/>
      </c>
      <c r="R1036" s="7" t="str">
        <f t="shared" si="114"/>
        <v/>
      </c>
      <c r="S1036" s="7" t="str">
        <f>IF($A1036="","",IF(AND(LEFT($G1036,3)="ДОК",$N1036&lt;&gt;""),IFERROR(INDEX(Документация!$E$2:$E$57,MATCH($N1036,Документация!$F$2:$F$57,0)),0),N($F1036))*(1-MEDIAN(0,N(ДисконтТендер),1)))</f>
        <v/>
      </c>
      <c r="T1036" s="7" t="str">
        <f>IF($A1036="","",IF(AND(LEFT($G1036,3)="ДОК",$N1036&lt;&gt;""),0,IF(AND(LEFT($G1036,3)&lt;&gt;"ДОК",$N1036&lt;&gt;""),IFERROR(INDEX(МАТЕРИАЛЫ!$H$2:$H$9000,MATCH($N1036,МАТЕРИАЛЫ!$L$2:$L$9000,0))*IF(INDEX(МАТЕРИАЛЫ!$I$2:$I$9000,MATCH($N1036,МАТЕРИАЛЫ!$L$2:$L$9000,0))="USD",КурсUSD,IF(INDEX(МАТЕРИАЛЫ!$I$2:$I$9000,MATCH($N1036,МАТЕРИАЛЫ!$L$2:$L$9000,0))="EUR",КурсEUR,IF(INDEX(МАТЕРИАЛЫ!$I$2:$I$9000,MATCH($N1036,МАТЕРИАЛЫ!$L$2:$L$9000,0))="CNY",КурсCNY,1)))*(1+N($H1036)/100),0),N($O1036))*(1-MEDIAN(0,N(ДисконтТендер),1))))</f>
        <v/>
      </c>
      <c r="U1036" t="str">
        <f>IF($L1036="да",MAX($U$1:$U1035)+1,"")</f>
        <v/>
      </c>
      <c r="V1036" t="str">
        <f t="shared" si="115"/>
        <v/>
      </c>
      <c r="W1036" t="str">
        <f t="shared" si="116"/>
        <v/>
      </c>
      <c r="X1036" t="str">
        <f t="shared" si="117"/>
        <v/>
      </c>
      <c r="Y1036" s="4" t="str">
        <f>IF($A1036="","",IF(AND(LEFT($G1036,3)="ДОК",$N1036&lt;&gt;""),IFERROR(INDEX(Документация!$G$2:$G$57,MATCH($N1036,Документация!$F$2:$F$57,0)),$D1036),$D1036&amp;IF(AND(LEFT($G1036,3)&lt;&gt;"ДОК",$N1036&lt;&gt;"")," — "&amp;IFERROR(INDEX(МАТЕРИАЛЫ!$C$2:$C$9000,MATCH($N1036,МАТЕРИАЛЫ!$L$2:$L$9000,0)),""),"")))</f>
        <v/>
      </c>
      <c r="Z1036" t="str">
        <f t="shared" si="118"/>
        <v/>
      </c>
    </row>
    <row r="1037" spans="1:26" x14ac:dyDescent="0.3">
      <c r="A1037" s="8"/>
      <c r="D1037" s="4"/>
      <c r="F1037" s="5"/>
      <c r="L1037" s="6"/>
      <c r="M1037" s="6"/>
      <c r="N1037" s="6"/>
      <c r="O1037" s="5"/>
      <c r="P1037" s="7" t="str">
        <f t="shared" si="112"/>
        <v/>
      </c>
      <c r="Q1037" s="7" t="str">
        <f t="shared" si="113"/>
        <v/>
      </c>
      <c r="R1037" s="7" t="str">
        <f t="shared" si="114"/>
        <v/>
      </c>
      <c r="S1037" s="7" t="str">
        <f>IF($A1037="","",IF(AND(LEFT($G1037,3)="ДОК",$N1037&lt;&gt;""),IFERROR(INDEX(Документация!$E$2:$E$57,MATCH($N1037,Документация!$F$2:$F$57,0)),0),N($F1037))*(1-MEDIAN(0,N(ДисконтТендер),1)))</f>
        <v/>
      </c>
      <c r="T1037" s="7" t="str">
        <f>IF($A1037="","",IF(AND(LEFT($G1037,3)="ДОК",$N1037&lt;&gt;""),0,IF(AND(LEFT($G1037,3)&lt;&gt;"ДОК",$N1037&lt;&gt;""),IFERROR(INDEX(МАТЕРИАЛЫ!$H$2:$H$9000,MATCH($N1037,МАТЕРИАЛЫ!$L$2:$L$9000,0))*IF(INDEX(МАТЕРИАЛЫ!$I$2:$I$9000,MATCH($N1037,МАТЕРИАЛЫ!$L$2:$L$9000,0))="USD",КурсUSD,IF(INDEX(МАТЕРИАЛЫ!$I$2:$I$9000,MATCH($N1037,МАТЕРИАЛЫ!$L$2:$L$9000,0))="EUR",КурсEUR,IF(INDEX(МАТЕРИАЛЫ!$I$2:$I$9000,MATCH($N1037,МАТЕРИАЛЫ!$L$2:$L$9000,0))="CNY",КурсCNY,1)))*(1+N($H1037)/100),0),N($O1037))*(1-MEDIAN(0,N(ДисконтТендер),1))))</f>
        <v/>
      </c>
      <c r="U1037" t="str">
        <f>IF($L1037="да",MAX($U$1:$U1036)+1,"")</f>
        <v/>
      </c>
      <c r="V1037" t="str">
        <f t="shared" si="115"/>
        <v/>
      </c>
      <c r="W1037" t="str">
        <f t="shared" si="116"/>
        <v/>
      </c>
      <c r="X1037" t="str">
        <f t="shared" si="117"/>
        <v/>
      </c>
      <c r="Y1037" s="4" t="str">
        <f>IF($A1037="","",IF(AND(LEFT($G1037,3)="ДОК",$N1037&lt;&gt;""),IFERROR(INDEX(Документация!$G$2:$G$57,MATCH($N1037,Документация!$F$2:$F$57,0)),$D1037),$D1037&amp;IF(AND(LEFT($G1037,3)&lt;&gt;"ДОК",$N1037&lt;&gt;"")," — "&amp;IFERROR(INDEX(МАТЕРИАЛЫ!$C$2:$C$9000,MATCH($N1037,МАТЕРИАЛЫ!$L$2:$L$9000,0)),""),"")))</f>
        <v/>
      </c>
      <c r="Z1037" t="str">
        <f t="shared" si="118"/>
        <v/>
      </c>
    </row>
    <row r="1038" spans="1:26" x14ac:dyDescent="0.3">
      <c r="A1038" s="8"/>
      <c r="D1038" s="4"/>
      <c r="F1038" s="5"/>
      <c r="L1038" s="6"/>
      <c r="M1038" s="6"/>
      <c r="N1038" s="6"/>
      <c r="O1038" s="5"/>
      <c r="P1038" s="7" t="str">
        <f t="shared" si="112"/>
        <v/>
      </c>
      <c r="Q1038" s="7" t="str">
        <f t="shared" si="113"/>
        <v/>
      </c>
      <c r="R1038" s="7" t="str">
        <f t="shared" si="114"/>
        <v/>
      </c>
      <c r="S1038" s="7" t="str">
        <f>IF($A1038="","",IF(AND(LEFT($G1038,3)="ДОК",$N1038&lt;&gt;""),IFERROR(INDEX(Документация!$E$2:$E$57,MATCH($N1038,Документация!$F$2:$F$57,0)),0),N($F1038))*(1-MEDIAN(0,N(ДисконтТендер),1)))</f>
        <v/>
      </c>
      <c r="T1038" s="7" t="str">
        <f>IF($A1038="","",IF(AND(LEFT($G1038,3)="ДОК",$N1038&lt;&gt;""),0,IF(AND(LEFT($G1038,3)&lt;&gt;"ДОК",$N1038&lt;&gt;""),IFERROR(INDEX(МАТЕРИАЛЫ!$H$2:$H$9000,MATCH($N1038,МАТЕРИАЛЫ!$L$2:$L$9000,0))*IF(INDEX(МАТЕРИАЛЫ!$I$2:$I$9000,MATCH($N1038,МАТЕРИАЛЫ!$L$2:$L$9000,0))="USD",КурсUSD,IF(INDEX(МАТЕРИАЛЫ!$I$2:$I$9000,MATCH($N1038,МАТЕРИАЛЫ!$L$2:$L$9000,0))="EUR",КурсEUR,IF(INDEX(МАТЕРИАЛЫ!$I$2:$I$9000,MATCH($N1038,МАТЕРИАЛЫ!$L$2:$L$9000,0))="CNY",КурсCNY,1)))*(1+N($H1038)/100),0),N($O1038))*(1-MEDIAN(0,N(ДисконтТендер),1))))</f>
        <v/>
      </c>
      <c r="U1038" t="str">
        <f>IF($L1038="да",MAX($U$1:$U1037)+1,"")</f>
        <v/>
      </c>
      <c r="V1038" t="str">
        <f t="shared" si="115"/>
        <v/>
      </c>
      <c r="W1038" t="str">
        <f t="shared" si="116"/>
        <v/>
      </c>
      <c r="X1038" t="str">
        <f t="shared" si="117"/>
        <v/>
      </c>
      <c r="Y1038" s="4" t="str">
        <f>IF($A1038="","",IF(AND(LEFT($G1038,3)="ДОК",$N1038&lt;&gt;""),IFERROR(INDEX(Документация!$G$2:$G$57,MATCH($N1038,Документация!$F$2:$F$57,0)),$D1038),$D1038&amp;IF(AND(LEFT($G1038,3)&lt;&gt;"ДОК",$N1038&lt;&gt;"")," — "&amp;IFERROR(INDEX(МАТЕРИАЛЫ!$C$2:$C$9000,MATCH($N1038,МАТЕРИАЛЫ!$L$2:$L$9000,0)),""),"")))</f>
        <v/>
      </c>
      <c r="Z1038" t="str">
        <f t="shared" si="118"/>
        <v/>
      </c>
    </row>
    <row r="1039" spans="1:26" x14ac:dyDescent="0.3">
      <c r="A1039" s="8"/>
      <c r="D1039" s="4"/>
      <c r="F1039" s="5"/>
      <c r="L1039" s="6"/>
      <c r="M1039" s="6"/>
      <c r="N1039" s="6"/>
      <c r="O1039" s="5"/>
      <c r="P1039" s="7" t="str">
        <f t="shared" si="112"/>
        <v/>
      </c>
      <c r="Q1039" s="7" t="str">
        <f t="shared" si="113"/>
        <v/>
      </c>
      <c r="R1039" s="7" t="str">
        <f t="shared" si="114"/>
        <v/>
      </c>
      <c r="S1039" s="7" t="str">
        <f>IF($A1039="","",IF(AND(LEFT($G1039,3)="ДОК",$N1039&lt;&gt;""),IFERROR(INDEX(Документация!$E$2:$E$57,MATCH($N1039,Документация!$F$2:$F$57,0)),0),N($F1039))*(1-MEDIAN(0,N(ДисконтТендер),1)))</f>
        <v/>
      </c>
      <c r="T1039" s="7" t="str">
        <f>IF($A1039="","",IF(AND(LEFT($G1039,3)="ДОК",$N1039&lt;&gt;""),0,IF(AND(LEFT($G1039,3)&lt;&gt;"ДОК",$N1039&lt;&gt;""),IFERROR(INDEX(МАТЕРИАЛЫ!$H$2:$H$9000,MATCH($N1039,МАТЕРИАЛЫ!$L$2:$L$9000,0))*IF(INDEX(МАТЕРИАЛЫ!$I$2:$I$9000,MATCH($N1039,МАТЕРИАЛЫ!$L$2:$L$9000,0))="USD",КурсUSD,IF(INDEX(МАТЕРИАЛЫ!$I$2:$I$9000,MATCH($N1039,МАТЕРИАЛЫ!$L$2:$L$9000,0))="EUR",КурсEUR,IF(INDEX(МАТЕРИАЛЫ!$I$2:$I$9000,MATCH($N1039,МАТЕРИАЛЫ!$L$2:$L$9000,0))="CNY",КурсCNY,1)))*(1+N($H1039)/100),0),N($O1039))*(1-MEDIAN(0,N(ДисконтТендер),1))))</f>
        <v/>
      </c>
      <c r="U1039" t="str">
        <f>IF($L1039="да",MAX($U$1:$U1038)+1,"")</f>
        <v/>
      </c>
      <c r="V1039" t="str">
        <f t="shared" si="115"/>
        <v/>
      </c>
      <c r="W1039" t="str">
        <f t="shared" si="116"/>
        <v/>
      </c>
      <c r="X1039" t="str">
        <f t="shared" si="117"/>
        <v/>
      </c>
      <c r="Y1039" s="4" t="str">
        <f>IF($A1039="","",IF(AND(LEFT($G1039,3)="ДОК",$N1039&lt;&gt;""),IFERROR(INDEX(Документация!$G$2:$G$57,MATCH($N1039,Документация!$F$2:$F$57,0)),$D1039),$D1039&amp;IF(AND(LEFT($G1039,3)&lt;&gt;"ДОК",$N1039&lt;&gt;"")," — "&amp;IFERROR(INDEX(МАТЕРИАЛЫ!$C$2:$C$9000,MATCH($N1039,МАТЕРИАЛЫ!$L$2:$L$9000,0)),""),"")))</f>
        <v/>
      </c>
      <c r="Z1039" t="str">
        <f t="shared" si="118"/>
        <v/>
      </c>
    </row>
    <row r="1040" spans="1:26" x14ac:dyDescent="0.3">
      <c r="A1040" s="8"/>
      <c r="D1040" s="4"/>
      <c r="F1040" s="5"/>
      <c r="L1040" s="6"/>
      <c r="M1040" s="6"/>
      <c r="N1040" s="6"/>
      <c r="O1040" s="5"/>
      <c r="P1040" s="7" t="str">
        <f t="shared" si="112"/>
        <v/>
      </c>
      <c r="Q1040" s="7" t="str">
        <f t="shared" si="113"/>
        <v/>
      </c>
      <c r="R1040" s="7" t="str">
        <f t="shared" si="114"/>
        <v/>
      </c>
      <c r="S1040" s="7" t="str">
        <f>IF($A1040="","",IF(AND(LEFT($G1040,3)="ДОК",$N1040&lt;&gt;""),IFERROR(INDEX(Документация!$E$2:$E$57,MATCH($N1040,Документация!$F$2:$F$57,0)),0),N($F1040))*(1-MEDIAN(0,N(ДисконтТендер),1)))</f>
        <v/>
      </c>
      <c r="T1040" s="7" t="str">
        <f>IF($A1040="","",IF(AND(LEFT($G1040,3)="ДОК",$N1040&lt;&gt;""),0,IF(AND(LEFT($G1040,3)&lt;&gt;"ДОК",$N1040&lt;&gt;""),IFERROR(INDEX(МАТЕРИАЛЫ!$H$2:$H$9000,MATCH($N1040,МАТЕРИАЛЫ!$L$2:$L$9000,0))*IF(INDEX(МАТЕРИАЛЫ!$I$2:$I$9000,MATCH($N1040,МАТЕРИАЛЫ!$L$2:$L$9000,0))="USD",КурсUSD,IF(INDEX(МАТЕРИАЛЫ!$I$2:$I$9000,MATCH($N1040,МАТЕРИАЛЫ!$L$2:$L$9000,0))="EUR",КурсEUR,IF(INDEX(МАТЕРИАЛЫ!$I$2:$I$9000,MATCH($N1040,МАТЕРИАЛЫ!$L$2:$L$9000,0))="CNY",КурсCNY,1)))*(1+N($H1040)/100),0),N($O1040))*(1-MEDIAN(0,N(ДисконтТендер),1))))</f>
        <v/>
      </c>
      <c r="U1040" t="str">
        <f>IF($L1040="да",MAX($U$1:$U1039)+1,"")</f>
        <v/>
      </c>
      <c r="V1040" t="str">
        <f t="shared" si="115"/>
        <v/>
      </c>
      <c r="W1040" t="str">
        <f t="shared" si="116"/>
        <v/>
      </c>
      <c r="X1040" t="str">
        <f t="shared" si="117"/>
        <v/>
      </c>
      <c r="Y1040" s="4" t="str">
        <f>IF($A1040="","",IF(AND(LEFT($G1040,3)="ДОК",$N1040&lt;&gt;""),IFERROR(INDEX(Документация!$G$2:$G$57,MATCH($N1040,Документация!$F$2:$F$57,0)),$D1040),$D1040&amp;IF(AND(LEFT($G1040,3)&lt;&gt;"ДОК",$N1040&lt;&gt;"")," — "&amp;IFERROR(INDEX(МАТЕРИАЛЫ!$C$2:$C$9000,MATCH($N1040,МАТЕРИАЛЫ!$L$2:$L$9000,0)),""),"")))</f>
        <v/>
      </c>
      <c r="Z1040" t="str">
        <f t="shared" si="118"/>
        <v/>
      </c>
    </row>
    <row r="1041" spans="1:26" x14ac:dyDescent="0.3">
      <c r="A1041" s="8"/>
      <c r="D1041" s="4"/>
      <c r="F1041" s="5"/>
      <c r="L1041" s="6"/>
      <c r="M1041" s="6"/>
      <c r="N1041" s="6"/>
      <c r="O1041" s="5"/>
      <c r="P1041" s="7" t="str">
        <f t="shared" si="112"/>
        <v/>
      </c>
      <c r="Q1041" s="7" t="str">
        <f t="shared" si="113"/>
        <v/>
      </c>
      <c r="R1041" s="7" t="str">
        <f t="shared" si="114"/>
        <v/>
      </c>
      <c r="S1041" s="7" t="str">
        <f>IF($A1041="","",IF(AND(LEFT($G1041,3)="ДОК",$N1041&lt;&gt;""),IFERROR(INDEX(Документация!$E$2:$E$57,MATCH($N1041,Документация!$F$2:$F$57,0)),0),N($F1041))*(1-MEDIAN(0,N(ДисконтТендер),1)))</f>
        <v/>
      </c>
      <c r="T1041" s="7" t="str">
        <f>IF($A1041="","",IF(AND(LEFT($G1041,3)="ДОК",$N1041&lt;&gt;""),0,IF(AND(LEFT($G1041,3)&lt;&gt;"ДОК",$N1041&lt;&gt;""),IFERROR(INDEX(МАТЕРИАЛЫ!$H$2:$H$9000,MATCH($N1041,МАТЕРИАЛЫ!$L$2:$L$9000,0))*IF(INDEX(МАТЕРИАЛЫ!$I$2:$I$9000,MATCH($N1041,МАТЕРИАЛЫ!$L$2:$L$9000,0))="USD",КурсUSD,IF(INDEX(МАТЕРИАЛЫ!$I$2:$I$9000,MATCH($N1041,МАТЕРИАЛЫ!$L$2:$L$9000,0))="EUR",КурсEUR,IF(INDEX(МАТЕРИАЛЫ!$I$2:$I$9000,MATCH($N1041,МАТЕРИАЛЫ!$L$2:$L$9000,0))="CNY",КурсCNY,1)))*(1+N($H1041)/100),0),N($O1041))*(1-MEDIAN(0,N(ДисконтТендер),1))))</f>
        <v/>
      </c>
      <c r="U1041" t="str">
        <f>IF($L1041="да",MAX($U$1:$U1040)+1,"")</f>
        <v/>
      </c>
      <c r="V1041" t="str">
        <f t="shared" si="115"/>
        <v/>
      </c>
      <c r="W1041" t="str">
        <f t="shared" si="116"/>
        <v/>
      </c>
      <c r="X1041" t="str">
        <f t="shared" si="117"/>
        <v/>
      </c>
      <c r="Y1041" s="4" t="str">
        <f>IF($A1041="","",IF(AND(LEFT($G1041,3)="ДОК",$N1041&lt;&gt;""),IFERROR(INDEX(Документация!$G$2:$G$57,MATCH($N1041,Документация!$F$2:$F$57,0)),$D1041),$D1041&amp;IF(AND(LEFT($G1041,3)&lt;&gt;"ДОК",$N1041&lt;&gt;"")," — "&amp;IFERROR(INDEX(МАТЕРИАЛЫ!$C$2:$C$9000,MATCH($N1041,МАТЕРИАЛЫ!$L$2:$L$9000,0)),""),"")))</f>
        <v/>
      </c>
      <c r="Z1041" t="str">
        <f t="shared" si="118"/>
        <v/>
      </c>
    </row>
    <row r="1042" spans="1:26" x14ac:dyDescent="0.3">
      <c r="A1042" s="8"/>
      <c r="D1042" s="4"/>
      <c r="F1042" s="5"/>
      <c r="L1042" s="6"/>
      <c r="M1042" s="6"/>
      <c r="N1042" s="6"/>
      <c r="O1042" s="5"/>
      <c r="P1042" s="7" t="str">
        <f t="shared" si="112"/>
        <v/>
      </c>
      <c r="Q1042" s="7" t="str">
        <f t="shared" si="113"/>
        <v/>
      </c>
      <c r="R1042" s="7" t="str">
        <f t="shared" si="114"/>
        <v/>
      </c>
      <c r="S1042" s="7" t="str">
        <f>IF($A1042="","",IF(AND(LEFT($G1042,3)="ДОК",$N1042&lt;&gt;""),IFERROR(INDEX(Документация!$E$2:$E$57,MATCH($N1042,Документация!$F$2:$F$57,0)),0),N($F1042))*(1-MEDIAN(0,N(ДисконтТендер),1)))</f>
        <v/>
      </c>
      <c r="T1042" s="7" t="str">
        <f>IF($A1042="","",IF(AND(LEFT($G1042,3)="ДОК",$N1042&lt;&gt;""),0,IF(AND(LEFT($G1042,3)&lt;&gt;"ДОК",$N1042&lt;&gt;""),IFERROR(INDEX(МАТЕРИАЛЫ!$H$2:$H$9000,MATCH($N1042,МАТЕРИАЛЫ!$L$2:$L$9000,0))*IF(INDEX(МАТЕРИАЛЫ!$I$2:$I$9000,MATCH($N1042,МАТЕРИАЛЫ!$L$2:$L$9000,0))="USD",КурсUSD,IF(INDEX(МАТЕРИАЛЫ!$I$2:$I$9000,MATCH($N1042,МАТЕРИАЛЫ!$L$2:$L$9000,0))="EUR",КурсEUR,IF(INDEX(МАТЕРИАЛЫ!$I$2:$I$9000,MATCH($N1042,МАТЕРИАЛЫ!$L$2:$L$9000,0))="CNY",КурсCNY,1)))*(1+N($H1042)/100),0),N($O1042))*(1-MEDIAN(0,N(ДисконтТендер),1))))</f>
        <v/>
      </c>
      <c r="U1042" t="str">
        <f>IF($L1042="да",MAX($U$1:$U1041)+1,"")</f>
        <v/>
      </c>
      <c r="V1042" t="str">
        <f t="shared" si="115"/>
        <v/>
      </c>
      <c r="W1042" t="str">
        <f t="shared" si="116"/>
        <v/>
      </c>
      <c r="X1042" t="str">
        <f t="shared" si="117"/>
        <v/>
      </c>
      <c r="Y1042" s="4" t="str">
        <f>IF($A1042="","",IF(AND(LEFT($G1042,3)="ДОК",$N1042&lt;&gt;""),IFERROR(INDEX(Документация!$G$2:$G$57,MATCH($N1042,Документация!$F$2:$F$57,0)),$D1042),$D1042&amp;IF(AND(LEFT($G1042,3)&lt;&gt;"ДОК",$N1042&lt;&gt;"")," — "&amp;IFERROR(INDEX(МАТЕРИАЛЫ!$C$2:$C$9000,MATCH($N1042,МАТЕРИАЛЫ!$L$2:$L$9000,0)),""),"")))</f>
        <v/>
      </c>
      <c r="Z1042" t="str">
        <f t="shared" si="118"/>
        <v/>
      </c>
    </row>
    <row r="1043" spans="1:26" x14ac:dyDescent="0.3">
      <c r="A1043" s="8"/>
      <c r="D1043" s="4"/>
      <c r="F1043" s="5"/>
      <c r="L1043" s="6"/>
      <c r="M1043" s="6"/>
      <c r="N1043" s="6"/>
      <c r="O1043" s="5"/>
      <c r="P1043" s="7" t="str">
        <f t="shared" si="112"/>
        <v/>
      </c>
      <c r="Q1043" s="7" t="str">
        <f t="shared" si="113"/>
        <v/>
      </c>
      <c r="R1043" s="7" t="str">
        <f t="shared" si="114"/>
        <v/>
      </c>
      <c r="S1043" s="7" t="str">
        <f>IF($A1043="","",IF(AND(LEFT($G1043,3)="ДОК",$N1043&lt;&gt;""),IFERROR(INDEX(Документация!$E$2:$E$57,MATCH($N1043,Документация!$F$2:$F$57,0)),0),N($F1043))*(1-MEDIAN(0,N(ДисконтТендер),1)))</f>
        <v/>
      </c>
      <c r="T1043" s="7" t="str">
        <f>IF($A1043="","",IF(AND(LEFT($G1043,3)="ДОК",$N1043&lt;&gt;""),0,IF(AND(LEFT($G1043,3)&lt;&gt;"ДОК",$N1043&lt;&gt;""),IFERROR(INDEX(МАТЕРИАЛЫ!$H$2:$H$9000,MATCH($N1043,МАТЕРИАЛЫ!$L$2:$L$9000,0))*IF(INDEX(МАТЕРИАЛЫ!$I$2:$I$9000,MATCH($N1043,МАТЕРИАЛЫ!$L$2:$L$9000,0))="USD",КурсUSD,IF(INDEX(МАТЕРИАЛЫ!$I$2:$I$9000,MATCH($N1043,МАТЕРИАЛЫ!$L$2:$L$9000,0))="EUR",КурсEUR,IF(INDEX(МАТЕРИАЛЫ!$I$2:$I$9000,MATCH($N1043,МАТЕРИАЛЫ!$L$2:$L$9000,0))="CNY",КурсCNY,1)))*(1+N($H1043)/100),0),N($O1043))*(1-MEDIAN(0,N(ДисконтТендер),1))))</f>
        <v/>
      </c>
      <c r="U1043" t="str">
        <f>IF($L1043="да",MAX($U$1:$U1042)+1,"")</f>
        <v/>
      </c>
      <c r="V1043" t="str">
        <f t="shared" si="115"/>
        <v/>
      </c>
      <c r="W1043" t="str">
        <f t="shared" si="116"/>
        <v/>
      </c>
      <c r="X1043" t="str">
        <f t="shared" si="117"/>
        <v/>
      </c>
      <c r="Y1043" s="4" t="str">
        <f>IF($A1043="","",IF(AND(LEFT($G1043,3)="ДОК",$N1043&lt;&gt;""),IFERROR(INDEX(Документация!$G$2:$G$57,MATCH($N1043,Документация!$F$2:$F$57,0)),$D1043),$D1043&amp;IF(AND(LEFT($G1043,3)&lt;&gt;"ДОК",$N1043&lt;&gt;"")," — "&amp;IFERROR(INDEX(МАТЕРИАЛЫ!$C$2:$C$9000,MATCH($N1043,МАТЕРИАЛЫ!$L$2:$L$9000,0)),""),"")))</f>
        <v/>
      </c>
      <c r="Z1043" t="str">
        <f t="shared" si="118"/>
        <v/>
      </c>
    </row>
    <row r="1044" spans="1:26" x14ac:dyDescent="0.3">
      <c r="A1044" s="8"/>
      <c r="D1044" s="4"/>
      <c r="F1044" s="5"/>
      <c r="L1044" s="6"/>
      <c r="M1044" s="6"/>
      <c r="N1044" s="6"/>
      <c r="O1044" s="5"/>
      <c r="P1044" s="7" t="str">
        <f t="shared" si="112"/>
        <v/>
      </c>
      <c r="Q1044" s="7" t="str">
        <f t="shared" si="113"/>
        <v/>
      </c>
      <c r="R1044" s="7" t="str">
        <f t="shared" si="114"/>
        <v/>
      </c>
      <c r="S1044" s="7" t="str">
        <f>IF($A1044="","",IF(AND(LEFT($G1044,3)="ДОК",$N1044&lt;&gt;""),IFERROR(INDEX(Документация!$E$2:$E$57,MATCH($N1044,Документация!$F$2:$F$57,0)),0),N($F1044))*(1-MEDIAN(0,N(ДисконтТендер),1)))</f>
        <v/>
      </c>
      <c r="T1044" s="7" t="str">
        <f>IF($A1044="","",IF(AND(LEFT($G1044,3)="ДОК",$N1044&lt;&gt;""),0,IF(AND(LEFT($G1044,3)&lt;&gt;"ДОК",$N1044&lt;&gt;""),IFERROR(INDEX(МАТЕРИАЛЫ!$H$2:$H$9000,MATCH($N1044,МАТЕРИАЛЫ!$L$2:$L$9000,0))*IF(INDEX(МАТЕРИАЛЫ!$I$2:$I$9000,MATCH($N1044,МАТЕРИАЛЫ!$L$2:$L$9000,0))="USD",КурсUSD,IF(INDEX(МАТЕРИАЛЫ!$I$2:$I$9000,MATCH($N1044,МАТЕРИАЛЫ!$L$2:$L$9000,0))="EUR",КурсEUR,IF(INDEX(МАТЕРИАЛЫ!$I$2:$I$9000,MATCH($N1044,МАТЕРИАЛЫ!$L$2:$L$9000,0))="CNY",КурсCNY,1)))*(1+N($H1044)/100),0),N($O1044))*(1-MEDIAN(0,N(ДисконтТендер),1))))</f>
        <v/>
      </c>
      <c r="U1044" t="str">
        <f>IF($L1044="да",MAX($U$1:$U1043)+1,"")</f>
        <v/>
      </c>
      <c r="V1044" t="str">
        <f t="shared" si="115"/>
        <v/>
      </c>
      <c r="W1044" t="str">
        <f t="shared" si="116"/>
        <v/>
      </c>
      <c r="X1044" t="str">
        <f t="shared" si="117"/>
        <v/>
      </c>
      <c r="Y1044" s="4" t="str">
        <f>IF($A1044="","",IF(AND(LEFT($G1044,3)="ДОК",$N1044&lt;&gt;""),IFERROR(INDEX(Документация!$G$2:$G$57,MATCH($N1044,Документация!$F$2:$F$57,0)),$D1044),$D1044&amp;IF(AND(LEFT($G1044,3)&lt;&gt;"ДОК",$N1044&lt;&gt;"")," — "&amp;IFERROR(INDEX(МАТЕРИАЛЫ!$C$2:$C$9000,MATCH($N1044,МАТЕРИАЛЫ!$L$2:$L$9000,0)),""),"")))</f>
        <v/>
      </c>
      <c r="Z1044" t="str">
        <f t="shared" si="118"/>
        <v/>
      </c>
    </row>
    <row r="1045" spans="1:26" x14ac:dyDescent="0.3">
      <c r="A1045" s="8"/>
      <c r="D1045" s="4"/>
      <c r="F1045" s="5"/>
      <c r="L1045" s="6"/>
      <c r="M1045" s="6"/>
      <c r="N1045" s="6"/>
      <c r="O1045" s="5"/>
      <c r="P1045" s="7" t="str">
        <f t="shared" si="112"/>
        <v/>
      </c>
      <c r="Q1045" s="7" t="str">
        <f t="shared" si="113"/>
        <v/>
      </c>
      <c r="R1045" s="7" t="str">
        <f t="shared" si="114"/>
        <v/>
      </c>
      <c r="S1045" s="7" t="str">
        <f>IF($A1045="","",IF(AND(LEFT($G1045,3)="ДОК",$N1045&lt;&gt;""),IFERROR(INDEX(Документация!$E$2:$E$57,MATCH($N1045,Документация!$F$2:$F$57,0)),0),N($F1045))*(1-MEDIAN(0,N(ДисконтТендер),1)))</f>
        <v/>
      </c>
      <c r="T1045" s="7" t="str">
        <f>IF($A1045="","",IF(AND(LEFT($G1045,3)="ДОК",$N1045&lt;&gt;""),0,IF(AND(LEFT($G1045,3)&lt;&gt;"ДОК",$N1045&lt;&gt;""),IFERROR(INDEX(МАТЕРИАЛЫ!$H$2:$H$9000,MATCH($N1045,МАТЕРИАЛЫ!$L$2:$L$9000,0))*IF(INDEX(МАТЕРИАЛЫ!$I$2:$I$9000,MATCH($N1045,МАТЕРИАЛЫ!$L$2:$L$9000,0))="USD",КурсUSD,IF(INDEX(МАТЕРИАЛЫ!$I$2:$I$9000,MATCH($N1045,МАТЕРИАЛЫ!$L$2:$L$9000,0))="EUR",КурсEUR,IF(INDEX(МАТЕРИАЛЫ!$I$2:$I$9000,MATCH($N1045,МАТЕРИАЛЫ!$L$2:$L$9000,0))="CNY",КурсCNY,1)))*(1+N($H1045)/100),0),N($O1045))*(1-MEDIAN(0,N(ДисконтТендер),1))))</f>
        <v/>
      </c>
      <c r="U1045" t="str">
        <f>IF($L1045="да",MAX($U$1:$U1044)+1,"")</f>
        <v/>
      </c>
      <c r="V1045" t="str">
        <f t="shared" si="115"/>
        <v/>
      </c>
      <c r="W1045" t="str">
        <f t="shared" si="116"/>
        <v/>
      </c>
      <c r="X1045" t="str">
        <f t="shared" si="117"/>
        <v/>
      </c>
      <c r="Y1045" s="4" t="str">
        <f>IF($A1045="","",IF(AND(LEFT($G1045,3)="ДОК",$N1045&lt;&gt;""),IFERROR(INDEX(Документация!$G$2:$G$57,MATCH($N1045,Документация!$F$2:$F$57,0)),$D1045),$D1045&amp;IF(AND(LEFT($G1045,3)&lt;&gt;"ДОК",$N1045&lt;&gt;"")," — "&amp;IFERROR(INDEX(МАТЕРИАЛЫ!$C$2:$C$9000,MATCH($N1045,МАТЕРИАЛЫ!$L$2:$L$9000,0)),""),"")))</f>
        <v/>
      </c>
      <c r="Z1045" t="str">
        <f t="shared" si="118"/>
        <v/>
      </c>
    </row>
    <row r="1046" spans="1:26" x14ac:dyDescent="0.3">
      <c r="A1046" s="8"/>
      <c r="D1046" s="4"/>
      <c r="F1046" s="5"/>
      <c r="L1046" s="6"/>
      <c r="M1046" s="6"/>
      <c r="N1046" s="6"/>
      <c r="O1046" s="5"/>
      <c r="P1046" s="7" t="str">
        <f t="shared" si="112"/>
        <v/>
      </c>
      <c r="Q1046" s="7" t="str">
        <f t="shared" si="113"/>
        <v/>
      </c>
      <c r="R1046" s="7" t="str">
        <f t="shared" si="114"/>
        <v/>
      </c>
      <c r="S1046" s="7" t="str">
        <f>IF($A1046="","",IF(AND(LEFT($G1046,3)="ДОК",$N1046&lt;&gt;""),IFERROR(INDEX(Документация!$E$2:$E$57,MATCH($N1046,Документация!$F$2:$F$57,0)),0),N($F1046))*(1-MEDIAN(0,N(ДисконтТендер),1)))</f>
        <v/>
      </c>
      <c r="T1046" s="7" t="str">
        <f>IF($A1046="","",IF(AND(LEFT($G1046,3)="ДОК",$N1046&lt;&gt;""),0,IF(AND(LEFT($G1046,3)&lt;&gt;"ДОК",$N1046&lt;&gt;""),IFERROR(INDEX(МАТЕРИАЛЫ!$H$2:$H$9000,MATCH($N1046,МАТЕРИАЛЫ!$L$2:$L$9000,0))*IF(INDEX(МАТЕРИАЛЫ!$I$2:$I$9000,MATCH($N1046,МАТЕРИАЛЫ!$L$2:$L$9000,0))="USD",КурсUSD,IF(INDEX(МАТЕРИАЛЫ!$I$2:$I$9000,MATCH($N1046,МАТЕРИАЛЫ!$L$2:$L$9000,0))="EUR",КурсEUR,IF(INDEX(МАТЕРИАЛЫ!$I$2:$I$9000,MATCH($N1046,МАТЕРИАЛЫ!$L$2:$L$9000,0))="CNY",КурсCNY,1)))*(1+N($H1046)/100),0),N($O1046))*(1-MEDIAN(0,N(ДисконтТендер),1))))</f>
        <v/>
      </c>
      <c r="U1046" t="str">
        <f>IF($L1046="да",MAX($U$1:$U1045)+1,"")</f>
        <v/>
      </c>
      <c r="V1046" t="str">
        <f t="shared" si="115"/>
        <v/>
      </c>
      <c r="W1046" t="str">
        <f t="shared" si="116"/>
        <v/>
      </c>
      <c r="X1046" t="str">
        <f t="shared" si="117"/>
        <v/>
      </c>
      <c r="Y1046" s="4" t="str">
        <f>IF($A1046="","",IF(AND(LEFT($G1046,3)="ДОК",$N1046&lt;&gt;""),IFERROR(INDEX(Документация!$G$2:$G$57,MATCH($N1046,Документация!$F$2:$F$57,0)),$D1046),$D1046&amp;IF(AND(LEFT($G1046,3)&lt;&gt;"ДОК",$N1046&lt;&gt;"")," — "&amp;IFERROR(INDEX(МАТЕРИАЛЫ!$C$2:$C$9000,MATCH($N1046,МАТЕРИАЛЫ!$L$2:$L$9000,0)),""),"")))</f>
        <v/>
      </c>
      <c r="Z1046" t="str">
        <f t="shared" si="118"/>
        <v/>
      </c>
    </row>
    <row r="1047" spans="1:26" x14ac:dyDescent="0.3">
      <c r="A1047" s="8"/>
      <c r="D1047" s="4"/>
      <c r="F1047" s="5"/>
      <c r="L1047" s="6"/>
      <c r="M1047" s="6"/>
      <c r="N1047" s="6"/>
      <c r="O1047" s="5"/>
      <c r="P1047" s="7" t="str">
        <f t="shared" si="112"/>
        <v/>
      </c>
      <c r="Q1047" s="7" t="str">
        <f t="shared" si="113"/>
        <v/>
      </c>
      <c r="R1047" s="7" t="str">
        <f t="shared" si="114"/>
        <v/>
      </c>
      <c r="S1047" s="7" t="str">
        <f>IF($A1047="","",IF(AND(LEFT($G1047,3)="ДОК",$N1047&lt;&gt;""),IFERROR(INDEX(Документация!$E$2:$E$57,MATCH($N1047,Документация!$F$2:$F$57,0)),0),N($F1047))*(1-MEDIAN(0,N(ДисконтТендер),1)))</f>
        <v/>
      </c>
      <c r="T1047" s="7" t="str">
        <f>IF($A1047="","",IF(AND(LEFT($G1047,3)="ДОК",$N1047&lt;&gt;""),0,IF(AND(LEFT($G1047,3)&lt;&gt;"ДОК",$N1047&lt;&gt;""),IFERROR(INDEX(МАТЕРИАЛЫ!$H$2:$H$9000,MATCH($N1047,МАТЕРИАЛЫ!$L$2:$L$9000,0))*IF(INDEX(МАТЕРИАЛЫ!$I$2:$I$9000,MATCH($N1047,МАТЕРИАЛЫ!$L$2:$L$9000,0))="USD",КурсUSD,IF(INDEX(МАТЕРИАЛЫ!$I$2:$I$9000,MATCH($N1047,МАТЕРИАЛЫ!$L$2:$L$9000,0))="EUR",КурсEUR,IF(INDEX(МАТЕРИАЛЫ!$I$2:$I$9000,MATCH($N1047,МАТЕРИАЛЫ!$L$2:$L$9000,0))="CNY",КурсCNY,1)))*(1+N($H1047)/100),0),N($O1047))*(1-MEDIAN(0,N(ДисконтТендер),1))))</f>
        <v/>
      </c>
      <c r="U1047" t="str">
        <f>IF($L1047="да",MAX($U$1:$U1046)+1,"")</f>
        <v/>
      </c>
      <c r="V1047" t="str">
        <f t="shared" si="115"/>
        <v/>
      </c>
      <c r="W1047" t="str">
        <f t="shared" si="116"/>
        <v/>
      </c>
      <c r="X1047" t="str">
        <f t="shared" si="117"/>
        <v/>
      </c>
      <c r="Y1047" s="4" t="str">
        <f>IF($A1047="","",IF(AND(LEFT($G1047,3)="ДОК",$N1047&lt;&gt;""),IFERROR(INDEX(Документация!$G$2:$G$57,MATCH($N1047,Документация!$F$2:$F$57,0)),$D1047),$D1047&amp;IF(AND(LEFT($G1047,3)&lt;&gt;"ДОК",$N1047&lt;&gt;"")," — "&amp;IFERROR(INDEX(МАТЕРИАЛЫ!$C$2:$C$9000,MATCH($N1047,МАТЕРИАЛЫ!$L$2:$L$9000,0)),""),"")))</f>
        <v/>
      </c>
      <c r="Z1047" t="str">
        <f t="shared" si="118"/>
        <v/>
      </c>
    </row>
    <row r="1048" spans="1:26" x14ac:dyDescent="0.3">
      <c r="A1048" s="8"/>
      <c r="D1048" s="4"/>
      <c r="F1048" s="5"/>
      <c r="L1048" s="6"/>
      <c r="M1048" s="6"/>
      <c r="N1048" s="6"/>
      <c r="O1048" s="5"/>
      <c r="P1048" s="7" t="str">
        <f t="shared" si="112"/>
        <v/>
      </c>
      <c r="Q1048" s="7" t="str">
        <f t="shared" si="113"/>
        <v/>
      </c>
      <c r="R1048" s="7" t="str">
        <f t="shared" si="114"/>
        <v/>
      </c>
      <c r="S1048" s="7" t="str">
        <f>IF($A1048="","",IF(AND(LEFT($G1048,3)="ДОК",$N1048&lt;&gt;""),IFERROR(INDEX(Документация!$E$2:$E$57,MATCH($N1048,Документация!$F$2:$F$57,0)),0),N($F1048))*(1-MEDIAN(0,N(ДисконтТендер),1)))</f>
        <v/>
      </c>
      <c r="T1048" s="7" t="str">
        <f>IF($A1048="","",IF(AND(LEFT($G1048,3)="ДОК",$N1048&lt;&gt;""),0,IF(AND(LEFT($G1048,3)&lt;&gt;"ДОК",$N1048&lt;&gt;""),IFERROR(INDEX(МАТЕРИАЛЫ!$H$2:$H$9000,MATCH($N1048,МАТЕРИАЛЫ!$L$2:$L$9000,0))*IF(INDEX(МАТЕРИАЛЫ!$I$2:$I$9000,MATCH($N1048,МАТЕРИАЛЫ!$L$2:$L$9000,0))="USD",КурсUSD,IF(INDEX(МАТЕРИАЛЫ!$I$2:$I$9000,MATCH($N1048,МАТЕРИАЛЫ!$L$2:$L$9000,0))="EUR",КурсEUR,IF(INDEX(МАТЕРИАЛЫ!$I$2:$I$9000,MATCH($N1048,МАТЕРИАЛЫ!$L$2:$L$9000,0))="CNY",КурсCNY,1)))*(1+N($H1048)/100),0),N($O1048))*(1-MEDIAN(0,N(ДисконтТендер),1))))</f>
        <v/>
      </c>
      <c r="U1048" t="str">
        <f>IF($L1048="да",MAX($U$1:$U1047)+1,"")</f>
        <v/>
      </c>
      <c r="V1048" t="str">
        <f t="shared" si="115"/>
        <v/>
      </c>
      <c r="W1048" t="str">
        <f t="shared" si="116"/>
        <v/>
      </c>
      <c r="X1048" t="str">
        <f t="shared" si="117"/>
        <v/>
      </c>
      <c r="Y1048" s="4" t="str">
        <f>IF($A1048="","",IF(AND(LEFT($G1048,3)="ДОК",$N1048&lt;&gt;""),IFERROR(INDEX(Документация!$G$2:$G$57,MATCH($N1048,Документация!$F$2:$F$57,0)),$D1048),$D1048&amp;IF(AND(LEFT($G1048,3)&lt;&gt;"ДОК",$N1048&lt;&gt;"")," — "&amp;IFERROR(INDEX(МАТЕРИАЛЫ!$C$2:$C$9000,MATCH($N1048,МАТЕРИАЛЫ!$L$2:$L$9000,0)),""),"")))</f>
        <v/>
      </c>
      <c r="Z1048" t="str">
        <f t="shared" si="118"/>
        <v/>
      </c>
    </row>
    <row r="1049" spans="1:26" x14ac:dyDescent="0.3">
      <c r="A1049" s="8"/>
      <c r="D1049" s="4"/>
      <c r="F1049" s="5"/>
      <c r="L1049" s="6"/>
      <c r="M1049" s="6"/>
      <c r="N1049" s="6"/>
      <c r="O1049" s="5"/>
      <c r="P1049" s="7" t="str">
        <f t="shared" si="112"/>
        <v/>
      </c>
      <c r="Q1049" s="7" t="str">
        <f t="shared" si="113"/>
        <v/>
      </c>
      <c r="R1049" s="7" t="str">
        <f t="shared" si="114"/>
        <v/>
      </c>
      <c r="S1049" s="7" t="str">
        <f>IF($A1049="","",IF(AND(LEFT($G1049,3)="ДОК",$N1049&lt;&gt;""),IFERROR(INDEX(Документация!$E$2:$E$57,MATCH($N1049,Документация!$F$2:$F$57,0)),0),N($F1049))*(1-MEDIAN(0,N(ДисконтТендер),1)))</f>
        <v/>
      </c>
      <c r="T1049" s="7" t="str">
        <f>IF($A1049="","",IF(AND(LEFT($G1049,3)="ДОК",$N1049&lt;&gt;""),0,IF(AND(LEFT($G1049,3)&lt;&gt;"ДОК",$N1049&lt;&gt;""),IFERROR(INDEX(МАТЕРИАЛЫ!$H$2:$H$9000,MATCH($N1049,МАТЕРИАЛЫ!$L$2:$L$9000,0))*IF(INDEX(МАТЕРИАЛЫ!$I$2:$I$9000,MATCH($N1049,МАТЕРИАЛЫ!$L$2:$L$9000,0))="USD",КурсUSD,IF(INDEX(МАТЕРИАЛЫ!$I$2:$I$9000,MATCH($N1049,МАТЕРИАЛЫ!$L$2:$L$9000,0))="EUR",КурсEUR,IF(INDEX(МАТЕРИАЛЫ!$I$2:$I$9000,MATCH($N1049,МАТЕРИАЛЫ!$L$2:$L$9000,0))="CNY",КурсCNY,1)))*(1+N($H1049)/100),0),N($O1049))*(1-MEDIAN(0,N(ДисконтТендер),1))))</f>
        <v/>
      </c>
      <c r="U1049" t="str">
        <f>IF($L1049="да",MAX($U$1:$U1048)+1,"")</f>
        <v/>
      </c>
      <c r="V1049" t="str">
        <f t="shared" si="115"/>
        <v/>
      </c>
      <c r="W1049" t="str">
        <f t="shared" si="116"/>
        <v/>
      </c>
      <c r="X1049" t="str">
        <f t="shared" si="117"/>
        <v/>
      </c>
      <c r="Y1049" s="4" t="str">
        <f>IF($A1049="","",IF(AND(LEFT($G1049,3)="ДОК",$N1049&lt;&gt;""),IFERROR(INDEX(Документация!$G$2:$G$57,MATCH($N1049,Документация!$F$2:$F$57,0)),$D1049),$D1049&amp;IF(AND(LEFT($G1049,3)&lt;&gt;"ДОК",$N1049&lt;&gt;"")," — "&amp;IFERROR(INDEX(МАТЕРИАЛЫ!$C$2:$C$9000,MATCH($N1049,МАТЕРИАЛЫ!$L$2:$L$9000,0)),""),"")))</f>
        <v/>
      </c>
      <c r="Z1049" t="str">
        <f t="shared" si="118"/>
        <v/>
      </c>
    </row>
    <row r="1050" spans="1:26" x14ac:dyDescent="0.3">
      <c r="A1050" s="8"/>
      <c r="D1050" s="4"/>
      <c r="F1050" s="5"/>
      <c r="L1050" s="6"/>
      <c r="M1050" s="6"/>
      <c r="N1050" s="6"/>
      <c r="O1050" s="5"/>
      <c r="P1050" s="7" t="str">
        <f t="shared" si="112"/>
        <v/>
      </c>
      <c r="Q1050" s="7" t="str">
        <f t="shared" si="113"/>
        <v/>
      </c>
      <c r="R1050" s="7" t="str">
        <f t="shared" si="114"/>
        <v/>
      </c>
      <c r="S1050" s="7" t="str">
        <f>IF($A1050="","",IF(AND(LEFT($G1050,3)="ДОК",$N1050&lt;&gt;""),IFERROR(INDEX(Документация!$E$2:$E$57,MATCH($N1050,Документация!$F$2:$F$57,0)),0),N($F1050))*(1-MEDIAN(0,N(ДисконтТендер),1)))</f>
        <v/>
      </c>
      <c r="T1050" s="7" t="str">
        <f>IF($A1050="","",IF(AND(LEFT($G1050,3)="ДОК",$N1050&lt;&gt;""),0,IF(AND(LEFT($G1050,3)&lt;&gt;"ДОК",$N1050&lt;&gt;""),IFERROR(INDEX(МАТЕРИАЛЫ!$H$2:$H$9000,MATCH($N1050,МАТЕРИАЛЫ!$L$2:$L$9000,0))*IF(INDEX(МАТЕРИАЛЫ!$I$2:$I$9000,MATCH($N1050,МАТЕРИАЛЫ!$L$2:$L$9000,0))="USD",КурсUSD,IF(INDEX(МАТЕРИАЛЫ!$I$2:$I$9000,MATCH($N1050,МАТЕРИАЛЫ!$L$2:$L$9000,0))="EUR",КурсEUR,IF(INDEX(МАТЕРИАЛЫ!$I$2:$I$9000,MATCH($N1050,МАТЕРИАЛЫ!$L$2:$L$9000,0))="CNY",КурсCNY,1)))*(1+N($H1050)/100),0),N($O1050))*(1-MEDIAN(0,N(ДисконтТендер),1))))</f>
        <v/>
      </c>
      <c r="U1050" t="str">
        <f>IF($L1050="да",MAX($U$1:$U1049)+1,"")</f>
        <v/>
      </c>
      <c r="V1050" t="str">
        <f t="shared" si="115"/>
        <v/>
      </c>
      <c r="W1050" t="str">
        <f t="shared" si="116"/>
        <v/>
      </c>
      <c r="X1050" t="str">
        <f t="shared" si="117"/>
        <v/>
      </c>
      <c r="Y1050" s="4" t="str">
        <f>IF($A1050="","",IF(AND(LEFT($G1050,3)="ДОК",$N1050&lt;&gt;""),IFERROR(INDEX(Документация!$G$2:$G$57,MATCH($N1050,Документация!$F$2:$F$57,0)),$D1050),$D1050&amp;IF(AND(LEFT($G1050,3)&lt;&gt;"ДОК",$N1050&lt;&gt;"")," — "&amp;IFERROR(INDEX(МАТЕРИАЛЫ!$C$2:$C$9000,MATCH($N1050,МАТЕРИАЛЫ!$L$2:$L$9000,0)),""),"")))</f>
        <v/>
      </c>
      <c r="Z1050" t="str">
        <f t="shared" si="118"/>
        <v/>
      </c>
    </row>
    <row r="1051" spans="1:26" x14ac:dyDescent="0.3">
      <c r="A1051" s="8"/>
      <c r="D1051" s="4"/>
      <c r="F1051" s="5"/>
      <c r="L1051" s="6"/>
      <c r="M1051" s="6"/>
      <c r="N1051" s="6"/>
      <c r="O1051" s="5"/>
      <c r="P1051" s="7" t="str">
        <f t="shared" si="112"/>
        <v/>
      </c>
      <c r="Q1051" s="7" t="str">
        <f t="shared" si="113"/>
        <v/>
      </c>
      <c r="R1051" s="7" t="str">
        <f t="shared" si="114"/>
        <v/>
      </c>
      <c r="S1051" s="7" t="str">
        <f>IF($A1051="","",IF(AND(LEFT($G1051,3)="ДОК",$N1051&lt;&gt;""),IFERROR(INDEX(Документация!$E$2:$E$57,MATCH($N1051,Документация!$F$2:$F$57,0)),0),N($F1051))*(1-MEDIAN(0,N(ДисконтТендер),1)))</f>
        <v/>
      </c>
      <c r="T1051" s="7" t="str">
        <f>IF($A1051="","",IF(AND(LEFT($G1051,3)="ДОК",$N1051&lt;&gt;""),0,IF(AND(LEFT($G1051,3)&lt;&gt;"ДОК",$N1051&lt;&gt;""),IFERROR(INDEX(МАТЕРИАЛЫ!$H$2:$H$9000,MATCH($N1051,МАТЕРИАЛЫ!$L$2:$L$9000,0))*IF(INDEX(МАТЕРИАЛЫ!$I$2:$I$9000,MATCH($N1051,МАТЕРИАЛЫ!$L$2:$L$9000,0))="USD",КурсUSD,IF(INDEX(МАТЕРИАЛЫ!$I$2:$I$9000,MATCH($N1051,МАТЕРИАЛЫ!$L$2:$L$9000,0))="EUR",КурсEUR,IF(INDEX(МАТЕРИАЛЫ!$I$2:$I$9000,MATCH($N1051,МАТЕРИАЛЫ!$L$2:$L$9000,0))="CNY",КурсCNY,1)))*(1+N($H1051)/100),0),N($O1051))*(1-MEDIAN(0,N(ДисконтТендер),1))))</f>
        <v/>
      </c>
      <c r="U1051" t="str">
        <f>IF($L1051="да",MAX($U$1:$U1050)+1,"")</f>
        <v/>
      </c>
      <c r="V1051" t="str">
        <f t="shared" si="115"/>
        <v/>
      </c>
      <c r="W1051" t="str">
        <f t="shared" si="116"/>
        <v/>
      </c>
      <c r="X1051" t="str">
        <f t="shared" si="117"/>
        <v/>
      </c>
      <c r="Y1051" s="4" t="str">
        <f>IF($A1051="","",IF(AND(LEFT($G1051,3)="ДОК",$N1051&lt;&gt;""),IFERROR(INDEX(Документация!$G$2:$G$57,MATCH($N1051,Документация!$F$2:$F$57,0)),$D1051),$D1051&amp;IF(AND(LEFT($G1051,3)&lt;&gt;"ДОК",$N1051&lt;&gt;"")," — "&amp;IFERROR(INDEX(МАТЕРИАЛЫ!$C$2:$C$9000,MATCH($N1051,МАТЕРИАЛЫ!$L$2:$L$9000,0)),""),"")))</f>
        <v/>
      </c>
      <c r="Z1051" t="str">
        <f t="shared" si="118"/>
        <v/>
      </c>
    </row>
    <row r="1052" spans="1:26" x14ac:dyDescent="0.3">
      <c r="A1052" s="8"/>
      <c r="D1052" s="4"/>
      <c r="F1052" s="5"/>
      <c r="L1052" s="6"/>
      <c r="M1052" s="6"/>
      <c r="N1052" s="6"/>
      <c r="O1052" s="5"/>
      <c r="P1052" s="7" t="str">
        <f t="shared" si="112"/>
        <v/>
      </c>
      <c r="Q1052" s="7" t="str">
        <f t="shared" si="113"/>
        <v/>
      </c>
      <c r="R1052" s="7" t="str">
        <f t="shared" si="114"/>
        <v/>
      </c>
      <c r="S1052" s="7" t="str">
        <f>IF($A1052="","",IF(AND(LEFT($G1052,3)="ДОК",$N1052&lt;&gt;""),IFERROR(INDEX(Документация!$E$2:$E$57,MATCH($N1052,Документация!$F$2:$F$57,0)),0),N($F1052))*(1-MEDIAN(0,N(ДисконтТендер),1)))</f>
        <v/>
      </c>
      <c r="T1052" s="7" t="str">
        <f>IF($A1052="","",IF(AND(LEFT($G1052,3)="ДОК",$N1052&lt;&gt;""),0,IF(AND(LEFT($G1052,3)&lt;&gt;"ДОК",$N1052&lt;&gt;""),IFERROR(INDEX(МАТЕРИАЛЫ!$H$2:$H$9000,MATCH($N1052,МАТЕРИАЛЫ!$L$2:$L$9000,0))*IF(INDEX(МАТЕРИАЛЫ!$I$2:$I$9000,MATCH($N1052,МАТЕРИАЛЫ!$L$2:$L$9000,0))="USD",КурсUSD,IF(INDEX(МАТЕРИАЛЫ!$I$2:$I$9000,MATCH($N1052,МАТЕРИАЛЫ!$L$2:$L$9000,0))="EUR",КурсEUR,IF(INDEX(МАТЕРИАЛЫ!$I$2:$I$9000,MATCH($N1052,МАТЕРИАЛЫ!$L$2:$L$9000,0))="CNY",КурсCNY,1)))*(1+N($H1052)/100),0),N($O1052))*(1-MEDIAN(0,N(ДисконтТендер),1))))</f>
        <v/>
      </c>
      <c r="U1052" t="str">
        <f>IF($L1052="да",MAX($U$1:$U1051)+1,"")</f>
        <v/>
      </c>
      <c r="V1052" t="str">
        <f t="shared" si="115"/>
        <v/>
      </c>
      <c r="W1052" t="str">
        <f t="shared" si="116"/>
        <v/>
      </c>
      <c r="X1052" t="str">
        <f t="shared" si="117"/>
        <v/>
      </c>
      <c r="Y1052" s="4" t="str">
        <f>IF($A1052="","",IF(AND(LEFT($G1052,3)="ДОК",$N1052&lt;&gt;""),IFERROR(INDEX(Документация!$G$2:$G$57,MATCH($N1052,Документация!$F$2:$F$57,0)),$D1052),$D1052&amp;IF(AND(LEFT($G1052,3)&lt;&gt;"ДОК",$N1052&lt;&gt;"")," — "&amp;IFERROR(INDEX(МАТЕРИАЛЫ!$C$2:$C$9000,MATCH($N1052,МАТЕРИАЛЫ!$L$2:$L$9000,0)),""),"")))</f>
        <v/>
      </c>
      <c r="Z1052" t="str">
        <f t="shared" si="118"/>
        <v/>
      </c>
    </row>
    <row r="1053" spans="1:26" x14ac:dyDescent="0.3">
      <c r="A1053" s="8"/>
      <c r="D1053" s="4"/>
      <c r="F1053" s="5"/>
      <c r="L1053" s="6"/>
      <c r="M1053" s="6"/>
      <c r="N1053" s="6"/>
      <c r="O1053" s="5"/>
      <c r="P1053" s="7" t="str">
        <f t="shared" si="112"/>
        <v/>
      </c>
      <c r="Q1053" s="7" t="str">
        <f t="shared" si="113"/>
        <v/>
      </c>
      <c r="R1053" s="7" t="str">
        <f t="shared" si="114"/>
        <v/>
      </c>
      <c r="S1053" s="7" t="str">
        <f>IF($A1053="","",IF(AND(LEFT($G1053,3)="ДОК",$N1053&lt;&gt;""),IFERROR(INDEX(Документация!$E$2:$E$57,MATCH($N1053,Документация!$F$2:$F$57,0)),0),N($F1053))*(1-MEDIAN(0,N(ДисконтТендер),1)))</f>
        <v/>
      </c>
      <c r="T1053" s="7" t="str">
        <f>IF($A1053="","",IF(AND(LEFT($G1053,3)="ДОК",$N1053&lt;&gt;""),0,IF(AND(LEFT($G1053,3)&lt;&gt;"ДОК",$N1053&lt;&gt;""),IFERROR(INDEX(МАТЕРИАЛЫ!$H$2:$H$9000,MATCH($N1053,МАТЕРИАЛЫ!$L$2:$L$9000,0))*IF(INDEX(МАТЕРИАЛЫ!$I$2:$I$9000,MATCH($N1053,МАТЕРИАЛЫ!$L$2:$L$9000,0))="USD",КурсUSD,IF(INDEX(МАТЕРИАЛЫ!$I$2:$I$9000,MATCH($N1053,МАТЕРИАЛЫ!$L$2:$L$9000,0))="EUR",КурсEUR,IF(INDEX(МАТЕРИАЛЫ!$I$2:$I$9000,MATCH($N1053,МАТЕРИАЛЫ!$L$2:$L$9000,0))="CNY",КурсCNY,1)))*(1+N($H1053)/100),0),N($O1053))*(1-MEDIAN(0,N(ДисконтТендер),1))))</f>
        <v/>
      </c>
      <c r="U1053" t="str">
        <f>IF($L1053="да",MAX($U$1:$U1052)+1,"")</f>
        <v/>
      </c>
      <c r="V1053" t="str">
        <f t="shared" si="115"/>
        <v/>
      </c>
      <c r="W1053" t="str">
        <f t="shared" si="116"/>
        <v/>
      </c>
      <c r="X1053" t="str">
        <f t="shared" si="117"/>
        <v/>
      </c>
      <c r="Y1053" s="4" t="str">
        <f>IF($A1053="","",IF(AND(LEFT($G1053,3)="ДОК",$N1053&lt;&gt;""),IFERROR(INDEX(Документация!$G$2:$G$57,MATCH($N1053,Документация!$F$2:$F$57,0)),$D1053),$D1053&amp;IF(AND(LEFT($G1053,3)&lt;&gt;"ДОК",$N1053&lt;&gt;"")," — "&amp;IFERROR(INDEX(МАТЕРИАЛЫ!$C$2:$C$9000,MATCH($N1053,МАТЕРИАЛЫ!$L$2:$L$9000,0)),""),"")))</f>
        <v/>
      </c>
      <c r="Z1053" t="str">
        <f t="shared" si="118"/>
        <v/>
      </c>
    </row>
    <row r="1054" spans="1:26" x14ac:dyDescent="0.3">
      <c r="A1054" s="8"/>
      <c r="D1054" s="4"/>
      <c r="F1054" s="5"/>
      <c r="L1054" s="6"/>
      <c r="M1054" s="6"/>
      <c r="N1054" s="6"/>
      <c r="O1054" s="5"/>
      <c r="P1054" s="7" t="str">
        <f t="shared" si="112"/>
        <v/>
      </c>
      <c r="Q1054" s="7" t="str">
        <f t="shared" si="113"/>
        <v/>
      </c>
      <c r="R1054" s="7" t="str">
        <f t="shared" si="114"/>
        <v/>
      </c>
      <c r="S1054" s="7" t="str">
        <f>IF($A1054="","",IF(AND(LEFT($G1054,3)="ДОК",$N1054&lt;&gt;""),IFERROR(INDEX(Документация!$E$2:$E$57,MATCH($N1054,Документация!$F$2:$F$57,0)),0),N($F1054))*(1-MEDIAN(0,N(ДисконтТендер),1)))</f>
        <v/>
      </c>
      <c r="T1054" s="7" t="str">
        <f>IF($A1054="","",IF(AND(LEFT($G1054,3)="ДОК",$N1054&lt;&gt;""),0,IF(AND(LEFT($G1054,3)&lt;&gt;"ДОК",$N1054&lt;&gt;""),IFERROR(INDEX(МАТЕРИАЛЫ!$H$2:$H$9000,MATCH($N1054,МАТЕРИАЛЫ!$L$2:$L$9000,0))*IF(INDEX(МАТЕРИАЛЫ!$I$2:$I$9000,MATCH($N1054,МАТЕРИАЛЫ!$L$2:$L$9000,0))="USD",КурсUSD,IF(INDEX(МАТЕРИАЛЫ!$I$2:$I$9000,MATCH($N1054,МАТЕРИАЛЫ!$L$2:$L$9000,0))="EUR",КурсEUR,IF(INDEX(МАТЕРИАЛЫ!$I$2:$I$9000,MATCH($N1054,МАТЕРИАЛЫ!$L$2:$L$9000,0))="CNY",КурсCNY,1)))*(1+N($H1054)/100),0),N($O1054))*(1-MEDIAN(0,N(ДисконтТендер),1))))</f>
        <v/>
      </c>
      <c r="U1054" t="str">
        <f>IF($L1054="да",MAX($U$1:$U1053)+1,"")</f>
        <v/>
      </c>
      <c r="V1054" t="str">
        <f t="shared" si="115"/>
        <v/>
      </c>
      <c r="W1054" t="str">
        <f t="shared" si="116"/>
        <v/>
      </c>
      <c r="X1054" t="str">
        <f t="shared" si="117"/>
        <v/>
      </c>
      <c r="Y1054" s="4" t="str">
        <f>IF($A1054="","",IF(AND(LEFT($G1054,3)="ДОК",$N1054&lt;&gt;""),IFERROR(INDEX(Документация!$G$2:$G$57,MATCH($N1054,Документация!$F$2:$F$57,0)),$D1054),$D1054&amp;IF(AND(LEFT($G1054,3)&lt;&gt;"ДОК",$N1054&lt;&gt;"")," — "&amp;IFERROR(INDEX(МАТЕРИАЛЫ!$C$2:$C$9000,MATCH($N1054,МАТЕРИАЛЫ!$L$2:$L$9000,0)),""),"")))</f>
        <v/>
      </c>
      <c r="Z1054" t="str">
        <f t="shared" si="118"/>
        <v/>
      </c>
    </row>
    <row r="1055" spans="1:26" x14ac:dyDescent="0.3">
      <c r="A1055" s="8"/>
      <c r="D1055" s="4"/>
      <c r="F1055" s="5"/>
      <c r="L1055" s="6"/>
      <c r="M1055" s="6"/>
      <c r="N1055" s="6"/>
      <c r="O1055" s="5"/>
      <c r="P1055" s="7" t="str">
        <f t="shared" si="112"/>
        <v/>
      </c>
      <c r="Q1055" s="7" t="str">
        <f t="shared" si="113"/>
        <v/>
      </c>
      <c r="R1055" s="7" t="str">
        <f t="shared" si="114"/>
        <v/>
      </c>
      <c r="S1055" s="7" t="str">
        <f>IF($A1055="","",IF(AND(LEFT($G1055,3)="ДОК",$N1055&lt;&gt;""),IFERROR(INDEX(Документация!$E$2:$E$57,MATCH($N1055,Документация!$F$2:$F$57,0)),0),N($F1055))*(1-MEDIAN(0,N(ДисконтТендер),1)))</f>
        <v/>
      </c>
      <c r="T1055" s="7" t="str">
        <f>IF($A1055="","",IF(AND(LEFT($G1055,3)="ДОК",$N1055&lt;&gt;""),0,IF(AND(LEFT($G1055,3)&lt;&gt;"ДОК",$N1055&lt;&gt;""),IFERROR(INDEX(МАТЕРИАЛЫ!$H$2:$H$9000,MATCH($N1055,МАТЕРИАЛЫ!$L$2:$L$9000,0))*IF(INDEX(МАТЕРИАЛЫ!$I$2:$I$9000,MATCH($N1055,МАТЕРИАЛЫ!$L$2:$L$9000,0))="USD",КурсUSD,IF(INDEX(МАТЕРИАЛЫ!$I$2:$I$9000,MATCH($N1055,МАТЕРИАЛЫ!$L$2:$L$9000,0))="EUR",КурсEUR,IF(INDEX(МАТЕРИАЛЫ!$I$2:$I$9000,MATCH($N1055,МАТЕРИАЛЫ!$L$2:$L$9000,0))="CNY",КурсCNY,1)))*(1+N($H1055)/100),0),N($O1055))*(1-MEDIAN(0,N(ДисконтТендер),1))))</f>
        <v/>
      </c>
      <c r="U1055" t="str">
        <f>IF($L1055="да",MAX($U$1:$U1054)+1,"")</f>
        <v/>
      </c>
      <c r="V1055" t="str">
        <f t="shared" si="115"/>
        <v/>
      </c>
      <c r="W1055" t="str">
        <f t="shared" si="116"/>
        <v/>
      </c>
      <c r="X1055" t="str">
        <f t="shared" si="117"/>
        <v/>
      </c>
      <c r="Y1055" s="4" t="str">
        <f>IF($A1055="","",IF(AND(LEFT($G1055,3)="ДОК",$N1055&lt;&gt;""),IFERROR(INDEX(Документация!$G$2:$G$57,MATCH($N1055,Документация!$F$2:$F$57,0)),$D1055),$D1055&amp;IF(AND(LEFT($G1055,3)&lt;&gt;"ДОК",$N1055&lt;&gt;"")," — "&amp;IFERROR(INDEX(МАТЕРИАЛЫ!$C$2:$C$9000,MATCH($N1055,МАТЕРИАЛЫ!$L$2:$L$9000,0)),""),"")))</f>
        <v/>
      </c>
      <c r="Z1055" t="str">
        <f t="shared" si="118"/>
        <v/>
      </c>
    </row>
    <row r="1056" spans="1:26" x14ac:dyDescent="0.3">
      <c r="A1056" s="8"/>
      <c r="D1056" s="4"/>
      <c r="F1056" s="5"/>
      <c r="L1056" s="6"/>
      <c r="M1056" s="6"/>
      <c r="N1056" s="6"/>
      <c r="O1056" s="5"/>
      <c r="P1056" s="7" t="str">
        <f t="shared" si="112"/>
        <v/>
      </c>
      <c r="Q1056" s="7" t="str">
        <f t="shared" si="113"/>
        <v/>
      </c>
      <c r="R1056" s="7" t="str">
        <f t="shared" si="114"/>
        <v/>
      </c>
      <c r="S1056" s="7" t="str">
        <f>IF($A1056="","",IF(AND(LEFT($G1056,3)="ДОК",$N1056&lt;&gt;""),IFERROR(INDEX(Документация!$E$2:$E$57,MATCH($N1056,Документация!$F$2:$F$57,0)),0),N($F1056))*(1-MEDIAN(0,N(ДисконтТендер),1)))</f>
        <v/>
      </c>
      <c r="T1056" s="7" t="str">
        <f>IF($A1056="","",IF(AND(LEFT($G1056,3)="ДОК",$N1056&lt;&gt;""),0,IF(AND(LEFT($G1056,3)&lt;&gt;"ДОК",$N1056&lt;&gt;""),IFERROR(INDEX(МАТЕРИАЛЫ!$H$2:$H$9000,MATCH($N1056,МАТЕРИАЛЫ!$L$2:$L$9000,0))*IF(INDEX(МАТЕРИАЛЫ!$I$2:$I$9000,MATCH($N1056,МАТЕРИАЛЫ!$L$2:$L$9000,0))="USD",КурсUSD,IF(INDEX(МАТЕРИАЛЫ!$I$2:$I$9000,MATCH($N1056,МАТЕРИАЛЫ!$L$2:$L$9000,0))="EUR",КурсEUR,IF(INDEX(МАТЕРИАЛЫ!$I$2:$I$9000,MATCH($N1056,МАТЕРИАЛЫ!$L$2:$L$9000,0))="CNY",КурсCNY,1)))*(1+N($H1056)/100),0),N($O1056))*(1-MEDIAN(0,N(ДисконтТендер),1))))</f>
        <v/>
      </c>
      <c r="U1056" t="str">
        <f>IF($L1056="да",MAX($U$1:$U1055)+1,"")</f>
        <v/>
      </c>
      <c r="V1056" t="str">
        <f t="shared" si="115"/>
        <v/>
      </c>
      <c r="W1056" t="str">
        <f t="shared" si="116"/>
        <v/>
      </c>
      <c r="X1056" t="str">
        <f t="shared" si="117"/>
        <v/>
      </c>
      <c r="Y1056" s="4" t="str">
        <f>IF($A1056="","",IF(AND(LEFT($G1056,3)="ДОК",$N1056&lt;&gt;""),IFERROR(INDEX(Документация!$G$2:$G$57,MATCH($N1056,Документация!$F$2:$F$57,0)),$D1056),$D1056&amp;IF(AND(LEFT($G1056,3)&lt;&gt;"ДОК",$N1056&lt;&gt;"")," — "&amp;IFERROR(INDEX(МАТЕРИАЛЫ!$C$2:$C$9000,MATCH($N1056,МАТЕРИАЛЫ!$L$2:$L$9000,0)),""),"")))</f>
        <v/>
      </c>
      <c r="Z1056" t="str">
        <f t="shared" si="118"/>
        <v/>
      </c>
    </row>
    <row r="1057" spans="1:26" x14ac:dyDescent="0.3">
      <c r="A1057" s="8"/>
      <c r="D1057" s="4"/>
      <c r="F1057" s="5"/>
      <c r="L1057" s="6"/>
      <c r="M1057" s="6"/>
      <c r="N1057" s="6"/>
      <c r="O1057" s="5"/>
      <c r="P1057" s="7" t="str">
        <f t="shared" si="112"/>
        <v/>
      </c>
      <c r="Q1057" s="7" t="str">
        <f t="shared" si="113"/>
        <v/>
      </c>
      <c r="R1057" s="7" t="str">
        <f t="shared" si="114"/>
        <v/>
      </c>
      <c r="S1057" s="7" t="str">
        <f>IF($A1057="","",IF(AND(LEFT($G1057,3)="ДОК",$N1057&lt;&gt;""),IFERROR(INDEX(Документация!$E$2:$E$57,MATCH($N1057,Документация!$F$2:$F$57,0)),0),N($F1057))*(1-MEDIAN(0,N(ДисконтТендер),1)))</f>
        <v/>
      </c>
      <c r="T1057" s="7" t="str">
        <f>IF($A1057="","",IF(AND(LEFT($G1057,3)="ДОК",$N1057&lt;&gt;""),0,IF(AND(LEFT($G1057,3)&lt;&gt;"ДОК",$N1057&lt;&gt;""),IFERROR(INDEX(МАТЕРИАЛЫ!$H$2:$H$9000,MATCH($N1057,МАТЕРИАЛЫ!$L$2:$L$9000,0))*IF(INDEX(МАТЕРИАЛЫ!$I$2:$I$9000,MATCH($N1057,МАТЕРИАЛЫ!$L$2:$L$9000,0))="USD",КурсUSD,IF(INDEX(МАТЕРИАЛЫ!$I$2:$I$9000,MATCH($N1057,МАТЕРИАЛЫ!$L$2:$L$9000,0))="EUR",КурсEUR,IF(INDEX(МАТЕРИАЛЫ!$I$2:$I$9000,MATCH($N1057,МАТЕРИАЛЫ!$L$2:$L$9000,0))="CNY",КурсCNY,1)))*(1+N($H1057)/100),0),N($O1057))*(1-MEDIAN(0,N(ДисконтТендер),1))))</f>
        <v/>
      </c>
      <c r="U1057" t="str">
        <f>IF($L1057="да",MAX($U$1:$U1056)+1,"")</f>
        <v/>
      </c>
      <c r="V1057" t="str">
        <f t="shared" si="115"/>
        <v/>
      </c>
      <c r="W1057" t="str">
        <f t="shared" si="116"/>
        <v/>
      </c>
      <c r="X1057" t="str">
        <f t="shared" si="117"/>
        <v/>
      </c>
      <c r="Y1057" s="4" t="str">
        <f>IF($A1057="","",IF(AND(LEFT($G1057,3)="ДОК",$N1057&lt;&gt;""),IFERROR(INDEX(Документация!$G$2:$G$57,MATCH($N1057,Документация!$F$2:$F$57,0)),$D1057),$D1057&amp;IF(AND(LEFT($G1057,3)&lt;&gt;"ДОК",$N1057&lt;&gt;"")," — "&amp;IFERROR(INDEX(МАТЕРИАЛЫ!$C$2:$C$9000,MATCH($N1057,МАТЕРИАЛЫ!$L$2:$L$9000,0)),""),"")))</f>
        <v/>
      </c>
      <c r="Z1057" t="str">
        <f t="shared" si="118"/>
        <v/>
      </c>
    </row>
    <row r="1058" spans="1:26" x14ac:dyDescent="0.3">
      <c r="A1058" s="8"/>
      <c r="D1058" s="4"/>
      <c r="F1058" s="5"/>
      <c r="L1058" s="6"/>
      <c r="M1058" s="6"/>
      <c r="N1058" s="6"/>
      <c r="O1058" s="5"/>
      <c r="P1058" s="7" t="str">
        <f t="shared" si="112"/>
        <v/>
      </c>
      <c r="Q1058" s="7" t="str">
        <f t="shared" si="113"/>
        <v/>
      </c>
      <c r="R1058" s="7" t="str">
        <f t="shared" si="114"/>
        <v/>
      </c>
      <c r="S1058" s="7" t="str">
        <f>IF($A1058="","",IF(AND(LEFT($G1058,3)="ДОК",$N1058&lt;&gt;""),IFERROR(INDEX(Документация!$E$2:$E$57,MATCH($N1058,Документация!$F$2:$F$57,0)),0),N($F1058))*(1-MEDIAN(0,N(ДисконтТендер),1)))</f>
        <v/>
      </c>
      <c r="T1058" s="7" t="str">
        <f>IF($A1058="","",IF(AND(LEFT($G1058,3)="ДОК",$N1058&lt;&gt;""),0,IF(AND(LEFT($G1058,3)&lt;&gt;"ДОК",$N1058&lt;&gt;""),IFERROR(INDEX(МАТЕРИАЛЫ!$H$2:$H$9000,MATCH($N1058,МАТЕРИАЛЫ!$L$2:$L$9000,0))*IF(INDEX(МАТЕРИАЛЫ!$I$2:$I$9000,MATCH($N1058,МАТЕРИАЛЫ!$L$2:$L$9000,0))="USD",КурсUSD,IF(INDEX(МАТЕРИАЛЫ!$I$2:$I$9000,MATCH($N1058,МАТЕРИАЛЫ!$L$2:$L$9000,0))="EUR",КурсEUR,IF(INDEX(МАТЕРИАЛЫ!$I$2:$I$9000,MATCH($N1058,МАТЕРИАЛЫ!$L$2:$L$9000,0))="CNY",КурсCNY,1)))*(1+N($H1058)/100),0),N($O1058))*(1-MEDIAN(0,N(ДисконтТендер),1))))</f>
        <v/>
      </c>
      <c r="U1058" t="str">
        <f>IF($L1058="да",MAX($U$1:$U1057)+1,"")</f>
        <v/>
      </c>
      <c r="V1058" t="str">
        <f t="shared" si="115"/>
        <v/>
      </c>
      <c r="W1058" t="str">
        <f t="shared" si="116"/>
        <v/>
      </c>
      <c r="X1058" t="str">
        <f t="shared" si="117"/>
        <v/>
      </c>
      <c r="Y1058" s="4" t="str">
        <f>IF($A1058="","",IF(AND(LEFT($G1058,3)="ДОК",$N1058&lt;&gt;""),IFERROR(INDEX(Документация!$G$2:$G$57,MATCH($N1058,Документация!$F$2:$F$57,0)),$D1058),$D1058&amp;IF(AND(LEFT($G1058,3)&lt;&gt;"ДОК",$N1058&lt;&gt;"")," — "&amp;IFERROR(INDEX(МАТЕРИАЛЫ!$C$2:$C$9000,MATCH($N1058,МАТЕРИАЛЫ!$L$2:$L$9000,0)),""),"")))</f>
        <v/>
      </c>
      <c r="Z1058" t="str">
        <f t="shared" si="118"/>
        <v/>
      </c>
    </row>
  </sheetData>
  <conditionalFormatting sqref="M2:M1058">
    <cfRule type="expression" dxfId="1" priority="1" stopIfTrue="1">
      <formula>AND($L2="да",$M2="")</formula>
    </cfRule>
  </conditionalFormatting>
  <dataValidations count="2">
    <dataValidation type="list" allowBlank="1" promptTitle="в смету" prompt="Поставь «да» у нужных работ. Лист «Смета» покажет только отмеченные." sqref="L2:L1058" xr:uid="{00000000-0002-0000-0100-000000000000}">
      <formula1>"да"</formula1>
    </dataValidation>
    <dataValidation type="list" allowBlank="1" showInputMessage="1" promptTitle="Материал / раздел документации" prompt="Материал группы этой работы. Для строк «Рабочая/Исполнительная документация» — раздел проекта. Нет списка/материала — заполни «Цена мат (ручн.)»." sqref="N2:N1058" xr:uid="{00000000-0002-0000-0100-000001000000}">
      <formula1>INDIRECT("мат_"&amp;SUBSTITUTE(SUBSTITUTE(SUBSTITUTE($G2,".","_")," ","_"),"/","_"))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201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14" customWidth="1"/>
    <col min="3" max="3" width="54" customWidth="1"/>
    <col min="4" max="4" width="15" customWidth="1"/>
    <col min="5" max="5" width="18" customWidth="1"/>
    <col min="6" max="6" width="20" customWidth="1"/>
    <col min="7" max="7" width="7" customWidth="1"/>
    <col min="8" max="8" width="13" customWidth="1"/>
    <col min="9" max="9" width="8" customWidth="1"/>
    <col min="10" max="10" width="13" customWidth="1"/>
    <col min="11" max="11" width="16" customWidth="1"/>
    <col min="12" max="12" width="60" customWidth="1"/>
  </cols>
  <sheetData>
    <row r="1" spans="1:12" ht="28.8" x14ac:dyDescent="0.3">
      <c r="A1" s="3" t="s">
        <v>1776</v>
      </c>
      <c r="B1" s="3" t="s">
        <v>1777</v>
      </c>
      <c r="C1" s="3" t="s">
        <v>1778</v>
      </c>
      <c r="D1" s="3" t="s">
        <v>1779</v>
      </c>
      <c r="E1" s="3" t="s">
        <v>1780</v>
      </c>
      <c r="F1" s="3" t="s">
        <v>1781</v>
      </c>
      <c r="G1" s="3" t="s">
        <v>1782</v>
      </c>
      <c r="H1" s="3" t="s">
        <v>1783</v>
      </c>
      <c r="I1" s="3" t="s">
        <v>1784</v>
      </c>
      <c r="J1" s="3" t="s">
        <v>31</v>
      </c>
      <c r="K1" s="3" t="s">
        <v>32</v>
      </c>
      <c r="L1" s="3" t="s">
        <v>1785</v>
      </c>
    </row>
    <row r="2" spans="1:12" x14ac:dyDescent="0.3">
      <c r="A2" t="s">
        <v>1786</v>
      </c>
      <c r="B2" t="s">
        <v>1221</v>
      </c>
      <c r="C2" t="s">
        <v>1787</v>
      </c>
      <c r="D2" t="s">
        <v>1788</v>
      </c>
      <c r="E2" t="s">
        <v>1789</v>
      </c>
      <c r="F2" t="s">
        <v>1790</v>
      </c>
      <c r="G2" t="s">
        <v>635</v>
      </c>
      <c r="H2" s="6">
        <v>1791.3</v>
      </c>
      <c r="I2" t="s">
        <v>1791</v>
      </c>
      <c r="L2" s="8" t="s">
        <v>1792</v>
      </c>
    </row>
    <row r="3" spans="1:12" x14ac:dyDescent="0.3">
      <c r="A3" t="s">
        <v>1793</v>
      </c>
      <c r="B3" t="s">
        <v>1221</v>
      </c>
      <c r="C3" t="s">
        <v>1794</v>
      </c>
      <c r="D3" t="s">
        <v>1795</v>
      </c>
      <c r="E3" t="s">
        <v>1789</v>
      </c>
      <c r="F3" t="s">
        <v>1790</v>
      </c>
      <c r="G3" t="s">
        <v>635</v>
      </c>
      <c r="H3" s="6">
        <v>294</v>
      </c>
      <c r="I3" t="s">
        <v>1791</v>
      </c>
      <c r="L3" s="8" t="s">
        <v>1796</v>
      </c>
    </row>
    <row r="4" spans="1:12" x14ac:dyDescent="0.3">
      <c r="A4" t="s">
        <v>1797</v>
      </c>
      <c r="B4" t="s">
        <v>1221</v>
      </c>
      <c r="C4" t="s">
        <v>1798</v>
      </c>
      <c r="E4" t="s">
        <v>1799</v>
      </c>
      <c r="F4" t="s">
        <v>1800</v>
      </c>
      <c r="G4" t="s">
        <v>635</v>
      </c>
      <c r="H4" s="6">
        <v>1014.13</v>
      </c>
      <c r="I4" t="s">
        <v>1791</v>
      </c>
      <c r="L4" s="8" t="s">
        <v>1801</v>
      </c>
    </row>
    <row r="5" spans="1:12" x14ac:dyDescent="0.3">
      <c r="A5" t="s">
        <v>1802</v>
      </c>
      <c r="B5" t="s">
        <v>1221</v>
      </c>
      <c r="C5" t="s">
        <v>1803</v>
      </c>
      <c r="E5" t="s">
        <v>1799</v>
      </c>
      <c r="F5" t="s">
        <v>1800</v>
      </c>
      <c r="G5" t="s">
        <v>635</v>
      </c>
      <c r="H5" s="6">
        <v>1135.82</v>
      </c>
      <c r="I5" t="s">
        <v>1791</v>
      </c>
      <c r="L5" s="8" t="s">
        <v>1804</v>
      </c>
    </row>
    <row r="6" spans="1:12" x14ac:dyDescent="0.3">
      <c r="A6" t="s">
        <v>1805</v>
      </c>
      <c r="B6" t="s">
        <v>1221</v>
      </c>
      <c r="C6" t="s">
        <v>1806</v>
      </c>
      <c r="E6" t="s">
        <v>1799</v>
      </c>
      <c r="F6" t="s">
        <v>1800</v>
      </c>
      <c r="G6" t="s">
        <v>635</v>
      </c>
      <c r="H6" s="6">
        <v>1182.3599999999999</v>
      </c>
      <c r="I6" t="s">
        <v>1791</v>
      </c>
      <c r="L6" s="8" t="s">
        <v>1807</v>
      </c>
    </row>
    <row r="7" spans="1:12" x14ac:dyDescent="0.3">
      <c r="A7" t="s">
        <v>1808</v>
      </c>
      <c r="B7" t="s">
        <v>1221</v>
      </c>
      <c r="C7" t="s">
        <v>1809</v>
      </c>
      <c r="E7" t="s">
        <v>1799</v>
      </c>
      <c r="F7" t="s">
        <v>1800</v>
      </c>
      <c r="G7" t="s">
        <v>635</v>
      </c>
      <c r="H7" s="6">
        <v>1166.1400000000001</v>
      </c>
      <c r="I7" t="s">
        <v>1791</v>
      </c>
      <c r="L7" s="8" t="s">
        <v>1810</v>
      </c>
    </row>
    <row r="8" spans="1:12" x14ac:dyDescent="0.3">
      <c r="A8" t="s">
        <v>1811</v>
      </c>
      <c r="B8" t="s">
        <v>1221</v>
      </c>
      <c r="C8" t="s">
        <v>1812</v>
      </c>
      <c r="E8" t="s">
        <v>1799</v>
      </c>
      <c r="F8" t="s">
        <v>1800</v>
      </c>
      <c r="G8" t="s">
        <v>635</v>
      </c>
      <c r="H8" s="6">
        <v>877.49</v>
      </c>
      <c r="I8" t="s">
        <v>1791</v>
      </c>
      <c r="L8" s="8" t="s">
        <v>1813</v>
      </c>
    </row>
    <row r="9" spans="1:12" x14ac:dyDescent="0.3">
      <c r="A9" t="s">
        <v>1814</v>
      </c>
      <c r="B9" t="s">
        <v>1221</v>
      </c>
      <c r="C9" t="s">
        <v>1815</v>
      </c>
      <c r="E9" t="s">
        <v>1799</v>
      </c>
      <c r="F9" t="s">
        <v>1800</v>
      </c>
      <c r="G9" t="s">
        <v>635</v>
      </c>
      <c r="H9" s="6">
        <v>802.76</v>
      </c>
      <c r="I9" t="s">
        <v>1791</v>
      </c>
      <c r="L9" s="8" t="s">
        <v>1816</v>
      </c>
    </row>
    <row r="10" spans="1:12" x14ac:dyDescent="0.3">
      <c r="A10" t="s">
        <v>1817</v>
      </c>
      <c r="B10" t="s">
        <v>1221</v>
      </c>
      <c r="C10" t="s">
        <v>1818</v>
      </c>
      <c r="E10" t="s">
        <v>1799</v>
      </c>
      <c r="F10" t="s">
        <v>1800</v>
      </c>
      <c r="G10" t="s">
        <v>635</v>
      </c>
      <c r="H10" s="6">
        <v>1099.95</v>
      </c>
      <c r="I10" t="s">
        <v>1791</v>
      </c>
      <c r="L10" s="8" t="s">
        <v>1819</v>
      </c>
    </row>
    <row r="11" spans="1:12" x14ac:dyDescent="0.3">
      <c r="A11" t="s">
        <v>1820</v>
      </c>
      <c r="B11" t="s">
        <v>1221</v>
      </c>
      <c r="C11" t="s">
        <v>1821</v>
      </c>
      <c r="E11" t="s">
        <v>1799</v>
      </c>
      <c r="F11" t="s">
        <v>1800</v>
      </c>
      <c r="G11" t="s">
        <v>635</v>
      </c>
      <c r="H11" s="6">
        <v>1221.22</v>
      </c>
      <c r="I11" t="s">
        <v>1791</v>
      </c>
      <c r="L11" s="8" t="s">
        <v>1822</v>
      </c>
    </row>
    <row r="12" spans="1:12" x14ac:dyDescent="0.3">
      <c r="A12" t="s">
        <v>1823</v>
      </c>
      <c r="B12" t="s">
        <v>1221</v>
      </c>
      <c r="C12" t="s">
        <v>1824</v>
      </c>
      <c r="E12" t="s">
        <v>1799</v>
      </c>
      <c r="F12" t="s">
        <v>1800</v>
      </c>
      <c r="G12" t="s">
        <v>635</v>
      </c>
      <c r="H12" s="6">
        <v>821.12</v>
      </c>
      <c r="I12" t="s">
        <v>1791</v>
      </c>
      <c r="L12" s="8" t="s">
        <v>1825</v>
      </c>
    </row>
    <row r="13" spans="1:12" x14ac:dyDescent="0.3">
      <c r="A13" t="s">
        <v>1826</v>
      </c>
      <c r="B13" t="s">
        <v>1221</v>
      </c>
      <c r="C13" t="s">
        <v>1827</v>
      </c>
      <c r="E13" t="s">
        <v>1799</v>
      </c>
      <c r="F13" t="s">
        <v>1800</v>
      </c>
      <c r="G13" t="s">
        <v>635</v>
      </c>
      <c r="H13" s="6">
        <v>1133.26</v>
      </c>
      <c r="I13" t="s">
        <v>1791</v>
      </c>
      <c r="L13" s="8" t="s">
        <v>1828</v>
      </c>
    </row>
    <row r="14" spans="1:12" x14ac:dyDescent="0.3">
      <c r="A14" t="s">
        <v>1829</v>
      </c>
      <c r="B14" t="s">
        <v>1221</v>
      </c>
      <c r="C14" t="s">
        <v>1830</v>
      </c>
      <c r="E14" t="s">
        <v>1799</v>
      </c>
      <c r="F14" t="s">
        <v>1800</v>
      </c>
      <c r="G14" t="s">
        <v>635</v>
      </c>
      <c r="H14" s="6">
        <v>1228.9100000000001</v>
      </c>
      <c r="I14" t="s">
        <v>1791</v>
      </c>
      <c r="L14" s="8" t="s">
        <v>1831</v>
      </c>
    </row>
    <row r="15" spans="1:12" x14ac:dyDescent="0.3">
      <c r="A15" t="s">
        <v>1832</v>
      </c>
      <c r="B15" t="s">
        <v>1221</v>
      </c>
      <c r="C15" t="s">
        <v>1833</v>
      </c>
      <c r="E15" t="s">
        <v>1799</v>
      </c>
      <c r="F15" t="s">
        <v>1800</v>
      </c>
      <c r="G15" t="s">
        <v>635</v>
      </c>
      <c r="H15" s="6">
        <v>1233.5999999999999</v>
      </c>
      <c r="I15" t="s">
        <v>1791</v>
      </c>
      <c r="L15" s="8" t="s">
        <v>1834</v>
      </c>
    </row>
    <row r="16" spans="1:12" x14ac:dyDescent="0.3">
      <c r="A16" t="s">
        <v>1835</v>
      </c>
      <c r="B16" t="s">
        <v>1221</v>
      </c>
      <c r="C16" t="s">
        <v>1836</v>
      </c>
      <c r="E16" t="s">
        <v>1799</v>
      </c>
      <c r="F16" t="s">
        <v>1800</v>
      </c>
      <c r="G16" t="s">
        <v>635</v>
      </c>
      <c r="H16" s="6">
        <v>825.82</v>
      </c>
      <c r="I16" t="s">
        <v>1791</v>
      </c>
      <c r="L16" s="8" t="s">
        <v>1837</v>
      </c>
    </row>
    <row r="17" spans="1:12" x14ac:dyDescent="0.3">
      <c r="A17" t="s">
        <v>1838</v>
      </c>
      <c r="B17" t="s">
        <v>1221</v>
      </c>
      <c r="C17" t="s">
        <v>1839</v>
      </c>
      <c r="E17" t="s">
        <v>1799</v>
      </c>
      <c r="F17" t="s">
        <v>1800</v>
      </c>
      <c r="G17" t="s">
        <v>635</v>
      </c>
      <c r="H17" s="6">
        <v>1181.08</v>
      </c>
      <c r="I17" t="s">
        <v>1791</v>
      </c>
      <c r="L17" s="8" t="s">
        <v>1840</v>
      </c>
    </row>
    <row r="18" spans="1:12" x14ac:dyDescent="0.3">
      <c r="A18" t="s">
        <v>1841</v>
      </c>
      <c r="B18" t="s">
        <v>1221</v>
      </c>
      <c r="C18" t="s">
        <v>1842</v>
      </c>
      <c r="E18" t="s">
        <v>1799</v>
      </c>
      <c r="F18" t="s">
        <v>1800</v>
      </c>
      <c r="G18" t="s">
        <v>635</v>
      </c>
      <c r="H18" s="6">
        <v>1066.22</v>
      </c>
      <c r="I18" t="s">
        <v>1791</v>
      </c>
      <c r="L18" s="8" t="s">
        <v>1843</v>
      </c>
    </row>
    <row r="19" spans="1:12" x14ac:dyDescent="0.3">
      <c r="A19" t="s">
        <v>1844</v>
      </c>
      <c r="B19" t="s">
        <v>1221</v>
      </c>
      <c r="C19" t="s">
        <v>1845</v>
      </c>
      <c r="E19" t="s">
        <v>1799</v>
      </c>
      <c r="F19" t="s">
        <v>1800</v>
      </c>
      <c r="G19" t="s">
        <v>635</v>
      </c>
      <c r="H19" s="6">
        <v>464.58</v>
      </c>
      <c r="I19" t="s">
        <v>1791</v>
      </c>
      <c r="L19" s="8" t="s">
        <v>1846</v>
      </c>
    </row>
    <row r="20" spans="1:12" x14ac:dyDescent="0.3">
      <c r="A20" t="s">
        <v>1847</v>
      </c>
      <c r="B20" t="s">
        <v>1221</v>
      </c>
      <c r="C20" t="s">
        <v>1848</v>
      </c>
      <c r="E20" t="s">
        <v>1799</v>
      </c>
      <c r="F20" t="s">
        <v>1800</v>
      </c>
      <c r="G20" t="s">
        <v>635</v>
      </c>
      <c r="H20" s="6">
        <v>501.73</v>
      </c>
      <c r="I20" t="s">
        <v>1791</v>
      </c>
      <c r="L20" s="8" t="s">
        <v>1849</v>
      </c>
    </row>
    <row r="21" spans="1:12" x14ac:dyDescent="0.3">
      <c r="A21" t="s">
        <v>1850</v>
      </c>
      <c r="B21" t="s">
        <v>1221</v>
      </c>
      <c r="C21" t="s">
        <v>1851</v>
      </c>
      <c r="E21" t="s">
        <v>1799</v>
      </c>
      <c r="F21" t="s">
        <v>1800</v>
      </c>
      <c r="G21" t="s">
        <v>635</v>
      </c>
      <c r="H21" s="6">
        <v>509.84</v>
      </c>
      <c r="I21" t="s">
        <v>1791</v>
      </c>
      <c r="L21" s="8" t="s">
        <v>1852</v>
      </c>
    </row>
    <row r="22" spans="1:12" x14ac:dyDescent="0.3">
      <c r="A22" t="s">
        <v>1853</v>
      </c>
      <c r="B22" t="s">
        <v>1221</v>
      </c>
      <c r="C22" t="s">
        <v>1854</v>
      </c>
      <c r="E22" t="s">
        <v>1799</v>
      </c>
      <c r="F22" t="s">
        <v>1800</v>
      </c>
      <c r="G22" t="s">
        <v>635</v>
      </c>
      <c r="H22" s="6">
        <v>424.87</v>
      </c>
      <c r="I22" t="s">
        <v>1791</v>
      </c>
      <c r="L22" s="8" t="s">
        <v>1855</v>
      </c>
    </row>
    <row r="23" spans="1:12" x14ac:dyDescent="0.3">
      <c r="A23" t="s">
        <v>1856</v>
      </c>
      <c r="B23" t="s">
        <v>1221</v>
      </c>
      <c r="C23" t="s">
        <v>1857</v>
      </c>
      <c r="E23" t="s">
        <v>1799</v>
      </c>
      <c r="F23" t="s">
        <v>1800</v>
      </c>
      <c r="G23" t="s">
        <v>635</v>
      </c>
      <c r="H23" s="6">
        <v>504.71</v>
      </c>
      <c r="I23" t="s">
        <v>1791</v>
      </c>
      <c r="L23" s="8" t="s">
        <v>1858</v>
      </c>
    </row>
    <row r="24" spans="1:12" x14ac:dyDescent="0.3">
      <c r="A24" t="s">
        <v>1859</v>
      </c>
      <c r="B24" t="s">
        <v>1221</v>
      </c>
      <c r="C24" t="s">
        <v>1860</v>
      </c>
      <c r="E24" t="s">
        <v>1799</v>
      </c>
      <c r="F24" t="s">
        <v>1800</v>
      </c>
      <c r="G24" t="s">
        <v>635</v>
      </c>
      <c r="H24" s="6">
        <v>1240.44</v>
      </c>
      <c r="I24" t="s">
        <v>1791</v>
      </c>
      <c r="L24" s="8" t="s">
        <v>1861</v>
      </c>
    </row>
    <row r="25" spans="1:12" x14ac:dyDescent="0.3">
      <c r="A25" t="s">
        <v>1862</v>
      </c>
      <c r="B25" t="s">
        <v>1221</v>
      </c>
      <c r="C25" t="s">
        <v>1863</v>
      </c>
      <c r="E25" t="s">
        <v>1799</v>
      </c>
      <c r="F25" t="s">
        <v>1800</v>
      </c>
      <c r="G25" t="s">
        <v>635</v>
      </c>
      <c r="H25" s="6">
        <v>968.01</v>
      </c>
      <c r="I25" t="s">
        <v>1791</v>
      </c>
      <c r="L25" s="8" t="s">
        <v>1864</v>
      </c>
    </row>
    <row r="26" spans="1:12" x14ac:dyDescent="0.3">
      <c r="A26" t="s">
        <v>1865</v>
      </c>
      <c r="B26" t="s">
        <v>1221</v>
      </c>
      <c r="C26" t="s">
        <v>1866</v>
      </c>
      <c r="E26" t="s">
        <v>1799</v>
      </c>
      <c r="F26" t="s">
        <v>1800</v>
      </c>
      <c r="G26" t="s">
        <v>635</v>
      </c>
      <c r="H26" s="6">
        <v>1240.01</v>
      </c>
      <c r="I26" t="s">
        <v>1791</v>
      </c>
      <c r="L26" s="8" t="s">
        <v>1867</v>
      </c>
    </row>
    <row r="27" spans="1:12" x14ac:dyDescent="0.3">
      <c r="A27" t="s">
        <v>1868</v>
      </c>
      <c r="B27" t="s">
        <v>1221</v>
      </c>
      <c r="C27" t="s">
        <v>1869</v>
      </c>
      <c r="E27" t="s">
        <v>1799</v>
      </c>
      <c r="F27" t="s">
        <v>1800</v>
      </c>
      <c r="G27" t="s">
        <v>635</v>
      </c>
      <c r="H27" s="6">
        <v>1146.49</v>
      </c>
      <c r="I27" t="s">
        <v>1791</v>
      </c>
      <c r="L27" s="8" t="s">
        <v>1870</v>
      </c>
    </row>
    <row r="28" spans="1:12" x14ac:dyDescent="0.3">
      <c r="A28" t="s">
        <v>1871</v>
      </c>
      <c r="B28" t="s">
        <v>1221</v>
      </c>
      <c r="C28" t="s">
        <v>1872</v>
      </c>
      <c r="E28" t="s">
        <v>1799</v>
      </c>
      <c r="F28" t="s">
        <v>1800</v>
      </c>
      <c r="G28" t="s">
        <v>635</v>
      </c>
      <c r="H28" s="6">
        <v>1271.6099999999999</v>
      </c>
      <c r="I28" t="s">
        <v>1791</v>
      </c>
      <c r="L28" s="8" t="s">
        <v>1873</v>
      </c>
    </row>
    <row r="29" spans="1:12" x14ac:dyDescent="0.3">
      <c r="A29" t="s">
        <v>1874</v>
      </c>
      <c r="B29" t="s">
        <v>1221</v>
      </c>
      <c r="C29" t="s">
        <v>1875</v>
      </c>
      <c r="E29" t="s">
        <v>1799</v>
      </c>
      <c r="F29" t="s">
        <v>1800</v>
      </c>
      <c r="G29" t="s">
        <v>635</v>
      </c>
      <c r="H29" s="6">
        <v>569.62</v>
      </c>
      <c r="I29" t="s">
        <v>1791</v>
      </c>
      <c r="L29" s="8" t="s">
        <v>1876</v>
      </c>
    </row>
    <row r="30" spans="1:12" x14ac:dyDescent="0.3">
      <c r="A30" t="s">
        <v>1877</v>
      </c>
      <c r="B30" t="s">
        <v>1221</v>
      </c>
      <c r="C30" t="s">
        <v>1878</v>
      </c>
      <c r="E30" t="s">
        <v>1799</v>
      </c>
      <c r="F30" t="s">
        <v>1800</v>
      </c>
      <c r="G30" t="s">
        <v>635</v>
      </c>
      <c r="H30" s="6">
        <v>1664.45</v>
      </c>
      <c r="I30" t="s">
        <v>1791</v>
      </c>
      <c r="L30" s="8" t="s">
        <v>1879</v>
      </c>
    </row>
    <row r="31" spans="1:12" x14ac:dyDescent="0.3">
      <c r="A31" t="s">
        <v>1880</v>
      </c>
      <c r="B31" t="s">
        <v>1221</v>
      </c>
      <c r="C31" t="s">
        <v>1881</v>
      </c>
      <c r="E31" t="s">
        <v>1799</v>
      </c>
      <c r="F31" t="s">
        <v>1800</v>
      </c>
      <c r="G31" t="s">
        <v>635</v>
      </c>
      <c r="H31" s="6">
        <v>2631.6</v>
      </c>
      <c r="I31" t="s">
        <v>1791</v>
      </c>
      <c r="L31" s="8" t="s">
        <v>1882</v>
      </c>
    </row>
    <row r="32" spans="1:12" x14ac:dyDescent="0.3">
      <c r="A32" t="s">
        <v>1883</v>
      </c>
      <c r="B32" t="s">
        <v>1221</v>
      </c>
      <c r="C32" t="s">
        <v>1884</v>
      </c>
      <c r="E32" t="s">
        <v>1799</v>
      </c>
      <c r="F32" t="s">
        <v>1800</v>
      </c>
      <c r="G32" t="s">
        <v>635</v>
      </c>
      <c r="H32" s="6">
        <v>1720.81</v>
      </c>
      <c r="I32" t="s">
        <v>1791</v>
      </c>
      <c r="L32" s="8" t="s">
        <v>1885</v>
      </c>
    </row>
    <row r="33" spans="1:12" x14ac:dyDescent="0.3">
      <c r="A33" t="s">
        <v>1886</v>
      </c>
      <c r="B33" t="s">
        <v>1221</v>
      </c>
      <c r="C33" t="s">
        <v>1887</v>
      </c>
      <c r="E33" t="s">
        <v>1799</v>
      </c>
      <c r="F33" t="s">
        <v>1800</v>
      </c>
      <c r="G33" t="s">
        <v>635</v>
      </c>
      <c r="H33" s="6">
        <v>2680.71</v>
      </c>
      <c r="I33" t="s">
        <v>1791</v>
      </c>
      <c r="L33" s="8" t="s">
        <v>1888</v>
      </c>
    </row>
    <row r="34" spans="1:12" x14ac:dyDescent="0.3">
      <c r="A34" t="s">
        <v>1889</v>
      </c>
      <c r="B34" t="s">
        <v>1221</v>
      </c>
      <c r="C34" t="s">
        <v>1890</v>
      </c>
      <c r="E34" t="s">
        <v>1799</v>
      </c>
      <c r="F34" t="s">
        <v>1800</v>
      </c>
      <c r="G34" t="s">
        <v>635</v>
      </c>
      <c r="H34" s="6">
        <v>1466.74</v>
      </c>
      <c r="I34" t="s">
        <v>1791</v>
      </c>
      <c r="L34" s="8" t="s">
        <v>1891</v>
      </c>
    </row>
    <row r="35" spans="1:12" x14ac:dyDescent="0.3">
      <c r="A35" t="s">
        <v>1892</v>
      </c>
      <c r="B35" t="s">
        <v>1221</v>
      </c>
      <c r="C35" t="s">
        <v>1893</v>
      </c>
      <c r="E35" t="s">
        <v>1799</v>
      </c>
      <c r="F35" t="s">
        <v>1800</v>
      </c>
      <c r="G35" t="s">
        <v>635</v>
      </c>
      <c r="H35" s="6">
        <v>608.9</v>
      </c>
      <c r="I35" t="s">
        <v>1791</v>
      </c>
      <c r="L35" s="8" t="s">
        <v>1894</v>
      </c>
    </row>
    <row r="36" spans="1:12" x14ac:dyDescent="0.3">
      <c r="A36" t="s">
        <v>1895</v>
      </c>
      <c r="B36" t="s">
        <v>1221</v>
      </c>
      <c r="C36" t="s">
        <v>1896</v>
      </c>
      <c r="E36" t="s">
        <v>1799</v>
      </c>
      <c r="F36" t="s">
        <v>1800</v>
      </c>
      <c r="G36" t="s">
        <v>635</v>
      </c>
      <c r="H36" s="6">
        <v>703.7</v>
      </c>
      <c r="I36" t="s">
        <v>1791</v>
      </c>
      <c r="L36" s="8" t="s">
        <v>1897</v>
      </c>
    </row>
    <row r="37" spans="1:12" x14ac:dyDescent="0.3">
      <c r="A37" t="s">
        <v>1898</v>
      </c>
      <c r="B37" t="s">
        <v>1221</v>
      </c>
      <c r="C37" t="s">
        <v>1899</v>
      </c>
      <c r="E37" t="s">
        <v>1799</v>
      </c>
      <c r="F37" t="s">
        <v>1800</v>
      </c>
      <c r="G37" t="s">
        <v>635</v>
      </c>
      <c r="H37" s="6">
        <v>537.16999999999996</v>
      </c>
      <c r="I37" t="s">
        <v>1791</v>
      </c>
      <c r="L37" s="8" t="s">
        <v>1900</v>
      </c>
    </row>
    <row r="38" spans="1:12" x14ac:dyDescent="0.3">
      <c r="A38" t="s">
        <v>1901</v>
      </c>
      <c r="B38" t="s">
        <v>1221</v>
      </c>
      <c r="C38" t="s">
        <v>1902</v>
      </c>
      <c r="E38" t="s">
        <v>1799</v>
      </c>
      <c r="F38" t="s">
        <v>1800</v>
      </c>
      <c r="G38" t="s">
        <v>635</v>
      </c>
      <c r="H38" s="6">
        <v>545.71</v>
      </c>
      <c r="I38" t="s">
        <v>1791</v>
      </c>
      <c r="L38" s="8" t="s">
        <v>1903</v>
      </c>
    </row>
    <row r="39" spans="1:12" x14ac:dyDescent="0.3">
      <c r="A39" t="s">
        <v>1904</v>
      </c>
      <c r="B39" t="s">
        <v>1221</v>
      </c>
      <c r="C39" t="s">
        <v>1905</v>
      </c>
      <c r="E39" t="s">
        <v>1799</v>
      </c>
      <c r="F39" t="s">
        <v>1800</v>
      </c>
      <c r="G39" t="s">
        <v>635</v>
      </c>
      <c r="H39" s="6">
        <v>524.78</v>
      </c>
      <c r="I39" t="s">
        <v>1791</v>
      </c>
      <c r="L39" s="8" t="s">
        <v>1906</v>
      </c>
    </row>
    <row r="40" spans="1:12" x14ac:dyDescent="0.3">
      <c r="A40" t="s">
        <v>1907</v>
      </c>
      <c r="B40" t="s">
        <v>1221</v>
      </c>
      <c r="C40" t="s">
        <v>1908</v>
      </c>
      <c r="E40" t="s">
        <v>1799</v>
      </c>
      <c r="F40" t="s">
        <v>1800</v>
      </c>
      <c r="G40" t="s">
        <v>635</v>
      </c>
      <c r="H40" s="6">
        <v>687.47</v>
      </c>
      <c r="I40" t="s">
        <v>1791</v>
      </c>
      <c r="L40" s="8" t="s">
        <v>1909</v>
      </c>
    </row>
    <row r="41" spans="1:12" x14ac:dyDescent="0.3">
      <c r="A41" t="s">
        <v>1910</v>
      </c>
      <c r="B41" t="s">
        <v>1221</v>
      </c>
      <c r="C41" t="s">
        <v>1911</v>
      </c>
      <c r="E41" t="s">
        <v>1799</v>
      </c>
      <c r="F41" t="s">
        <v>1800</v>
      </c>
      <c r="G41" t="s">
        <v>635</v>
      </c>
      <c r="H41" s="6">
        <v>757.93</v>
      </c>
      <c r="I41" t="s">
        <v>1791</v>
      </c>
      <c r="L41" s="8" t="s">
        <v>1912</v>
      </c>
    </row>
    <row r="42" spans="1:12" x14ac:dyDescent="0.3">
      <c r="A42" t="s">
        <v>1913</v>
      </c>
      <c r="B42" t="s">
        <v>1221</v>
      </c>
      <c r="C42" t="s">
        <v>1914</v>
      </c>
      <c r="E42" t="s">
        <v>1799</v>
      </c>
      <c r="F42" t="s">
        <v>1800</v>
      </c>
      <c r="G42" t="s">
        <v>635</v>
      </c>
      <c r="H42" s="6">
        <v>752.8</v>
      </c>
      <c r="I42" t="s">
        <v>1791</v>
      </c>
      <c r="L42" s="8" t="s">
        <v>1915</v>
      </c>
    </row>
    <row r="43" spans="1:12" x14ac:dyDescent="0.3">
      <c r="A43" t="s">
        <v>1916</v>
      </c>
      <c r="B43" t="s">
        <v>1221</v>
      </c>
      <c r="C43" t="s">
        <v>1917</v>
      </c>
      <c r="E43" t="s">
        <v>1799</v>
      </c>
      <c r="F43" t="s">
        <v>1800</v>
      </c>
      <c r="G43" t="s">
        <v>635</v>
      </c>
      <c r="H43" s="6">
        <v>432.12</v>
      </c>
      <c r="I43" t="s">
        <v>1791</v>
      </c>
      <c r="L43" s="8" t="s">
        <v>1918</v>
      </c>
    </row>
    <row r="44" spans="1:12" x14ac:dyDescent="0.3">
      <c r="A44" t="s">
        <v>1919</v>
      </c>
      <c r="B44" t="s">
        <v>1221</v>
      </c>
      <c r="C44" t="s">
        <v>1920</v>
      </c>
      <c r="E44" t="s">
        <v>1799</v>
      </c>
      <c r="F44" t="s">
        <v>1800</v>
      </c>
      <c r="G44" t="s">
        <v>635</v>
      </c>
      <c r="H44" s="6">
        <v>583.71</v>
      </c>
      <c r="I44" t="s">
        <v>1791</v>
      </c>
      <c r="L44" s="8" t="s">
        <v>1921</v>
      </c>
    </row>
    <row r="45" spans="1:12" x14ac:dyDescent="0.3">
      <c r="A45" t="s">
        <v>1922</v>
      </c>
      <c r="B45" t="s">
        <v>1221</v>
      </c>
      <c r="C45" t="s">
        <v>1923</v>
      </c>
      <c r="E45" t="s">
        <v>1799</v>
      </c>
      <c r="F45" t="s">
        <v>1800</v>
      </c>
      <c r="G45" t="s">
        <v>635</v>
      </c>
      <c r="H45" s="6">
        <v>1735.75</v>
      </c>
      <c r="I45" t="s">
        <v>1791</v>
      </c>
      <c r="L45" s="8" t="s">
        <v>1924</v>
      </c>
    </row>
    <row r="46" spans="1:12" x14ac:dyDescent="0.3">
      <c r="A46" t="s">
        <v>1925</v>
      </c>
      <c r="B46" t="s">
        <v>1221</v>
      </c>
      <c r="C46" t="s">
        <v>1926</v>
      </c>
      <c r="E46" t="s">
        <v>1799</v>
      </c>
      <c r="F46" t="s">
        <v>1800</v>
      </c>
      <c r="G46" t="s">
        <v>635</v>
      </c>
      <c r="H46" s="6">
        <v>2718.28</v>
      </c>
      <c r="I46" t="s">
        <v>1791</v>
      </c>
      <c r="L46" s="8" t="s">
        <v>1927</v>
      </c>
    </row>
    <row r="47" spans="1:12" x14ac:dyDescent="0.3">
      <c r="A47" t="s">
        <v>1928</v>
      </c>
      <c r="B47" t="s">
        <v>1221</v>
      </c>
      <c r="C47" t="s">
        <v>1929</v>
      </c>
      <c r="E47" t="s">
        <v>1799</v>
      </c>
      <c r="F47" t="s">
        <v>1800</v>
      </c>
      <c r="G47" t="s">
        <v>635</v>
      </c>
      <c r="H47" s="6">
        <v>1759.67</v>
      </c>
      <c r="I47" t="s">
        <v>1791</v>
      </c>
      <c r="L47" s="8" t="s">
        <v>1930</v>
      </c>
    </row>
    <row r="48" spans="1:12" x14ac:dyDescent="0.3">
      <c r="A48" t="s">
        <v>1931</v>
      </c>
      <c r="B48" t="s">
        <v>1221</v>
      </c>
      <c r="C48" t="s">
        <v>1932</v>
      </c>
      <c r="E48" t="s">
        <v>1799</v>
      </c>
      <c r="F48" t="s">
        <v>1800</v>
      </c>
      <c r="G48" t="s">
        <v>635</v>
      </c>
      <c r="H48" s="6">
        <v>2746.89</v>
      </c>
      <c r="I48" t="s">
        <v>1791</v>
      </c>
      <c r="L48" s="8" t="s">
        <v>1933</v>
      </c>
    </row>
    <row r="49" spans="1:12" x14ac:dyDescent="0.3">
      <c r="A49" t="s">
        <v>1934</v>
      </c>
      <c r="B49" t="s">
        <v>1221</v>
      </c>
      <c r="C49" t="s">
        <v>1935</v>
      </c>
      <c r="E49" t="s">
        <v>1799</v>
      </c>
      <c r="F49" t="s">
        <v>1800</v>
      </c>
      <c r="G49" t="s">
        <v>635</v>
      </c>
      <c r="H49" s="6">
        <v>1582.46</v>
      </c>
      <c r="I49" t="s">
        <v>1791</v>
      </c>
      <c r="L49" s="8" t="s">
        <v>1936</v>
      </c>
    </row>
    <row r="50" spans="1:12" x14ac:dyDescent="0.3">
      <c r="A50" t="s">
        <v>1937</v>
      </c>
      <c r="B50" t="s">
        <v>1221</v>
      </c>
      <c r="C50" t="s">
        <v>1938</v>
      </c>
      <c r="E50" t="s">
        <v>1799</v>
      </c>
      <c r="F50" t="s">
        <v>1800</v>
      </c>
      <c r="G50" t="s">
        <v>635</v>
      </c>
      <c r="H50" s="6">
        <v>660.57</v>
      </c>
      <c r="I50" t="s">
        <v>1791</v>
      </c>
      <c r="L50" s="8" t="s">
        <v>1939</v>
      </c>
    </row>
    <row r="51" spans="1:12" x14ac:dyDescent="0.3">
      <c r="A51" t="s">
        <v>1940</v>
      </c>
      <c r="B51" t="s">
        <v>1221</v>
      </c>
      <c r="C51" t="s">
        <v>1941</v>
      </c>
      <c r="E51" t="s">
        <v>1799</v>
      </c>
      <c r="F51" t="s">
        <v>1800</v>
      </c>
      <c r="G51" t="s">
        <v>635</v>
      </c>
      <c r="H51" s="6">
        <v>754.51</v>
      </c>
      <c r="I51" t="s">
        <v>1791</v>
      </c>
      <c r="L51" s="8" t="s">
        <v>1942</v>
      </c>
    </row>
    <row r="52" spans="1:12" x14ac:dyDescent="0.3">
      <c r="A52" t="s">
        <v>1943</v>
      </c>
      <c r="B52" t="s">
        <v>1221</v>
      </c>
      <c r="C52" t="s">
        <v>1944</v>
      </c>
      <c r="E52" t="s">
        <v>1799</v>
      </c>
      <c r="F52" t="s">
        <v>1800</v>
      </c>
      <c r="G52" t="s">
        <v>635</v>
      </c>
      <c r="H52" s="6">
        <v>544.42999999999995</v>
      </c>
      <c r="I52" t="s">
        <v>1791</v>
      </c>
      <c r="L52" s="8" t="s">
        <v>1945</v>
      </c>
    </row>
    <row r="53" spans="1:12" x14ac:dyDescent="0.3">
      <c r="A53" t="s">
        <v>1946</v>
      </c>
      <c r="B53" t="s">
        <v>1221</v>
      </c>
      <c r="C53" t="s">
        <v>1947</v>
      </c>
      <c r="E53" t="s">
        <v>1799</v>
      </c>
      <c r="F53" t="s">
        <v>1800</v>
      </c>
      <c r="G53" t="s">
        <v>635</v>
      </c>
      <c r="H53" s="6">
        <v>619.58000000000004</v>
      </c>
      <c r="I53" t="s">
        <v>1791</v>
      </c>
      <c r="L53" s="8" t="s">
        <v>1948</v>
      </c>
    </row>
    <row r="54" spans="1:12" x14ac:dyDescent="0.3">
      <c r="A54" t="s">
        <v>1949</v>
      </c>
      <c r="B54" t="s">
        <v>1221</v>
      </c>
      <c r="C54" t="s">
        <v>1950</v>
      </c>
      <c r="E54" t="s">
        <v>1799</v>
      </c>
      <c r="F54" t="s">
        <v>1800</v>
      </c>
      <c r="G54" t="s">
        <v>635</v>
      </c>
      <c r="H54" s="6">
        <v>559.79999999999995</v>
      </c>
      <c r="I54" t="s">
        <v>1791</v>
      </c>
      <c r="L54" s="8" t="s">
        <v>1951</v>
      </c>
    </row>
    <row r="55" spans="1:12" x14ac:dyDescent="0.3">
      <c r="A55" t="s">
        <v>1952</v>
      </c>
      <c r="B55" t="s">
        <v>1221</v>
      </c>
      <c r="C55" t="s">
        <v>1953</v>
      </c>
      <c r="E55" t="s">
        <v>1799</v>
      </c>
      <c r="F55" t="s">
        <v>1800</v>
      </c>
      <c r="G55" t="s">
        <v>635</v>
      </c>
      <c r="H55" s="6">
        <v>538.45000000000005</v>
      </c>
      <c r="I55" t="s">
        <v>1791</v>
      </c>
      <c r="L55" s="8" t="s">
        <v>1954</v>
      </c>
    </row>
    <row r="56" spans="1:12" x14ac:dyDescent="0.3">
      <c r="A56" t="s">
        <v>1955</v>
      </c>
      <c r="B56" t="s">
        <v>1221</v>
      </c>
      <c r="C56" t="s">
        <v>1956</v>
      </c>
      <c r="E56" t="s">
        <v>1799</v>
      </c>
      <c r="F56" t="s">
        <v>1800</v>
      </c>
      <c r="G56" t="s">
        <v>635</v>
      </c>
      <c r="H56" s="6">
        <v>694.3</v>
      </c>
      <c r="I56" t="s">
        <v>1791</v>
      </c>
      <c r="L56" s="8" t="s">
        <v>1957</v>
      </c>
    </row>
    <row r="57" spans="1:12" x14ac:dyDescent="0.3">
      <c r="A57" t="s">
        <v>1958</v>
      </c>
      <c r="B57" t="s">
        <v>1221</v>
      </c>
      <c r="C57" t="s">
        <v>1959</v>
      </c>
      <c r="E57" t="s">
        <v>1799</v>
      </c>
      <c r="F57" t="s">
        <v>1800</v>
      </c>
      <c r="G57" t="s">
        <v>635</v>
      </c>
      <c r="H57" s="6">
        <v>762.62</v>
      </c>
      <c r="I57" t="s">
        <v>1791</v>
      </c>
      <c r="L57" s="8" t="s">
        <v>1960</v>
      </c>
    </row>
    <row r="58" spans="1:12" x14ac:dyDescent="0.3">
      <c r="A58" t="s">
        <v>1961</v>
      </c>
      <c r="B58" t="s">
        <v>1221</v>
      </c>
      <c r="C58" t="s">
        <v>1962</v>
      </c>
      <c r="E58" t="s">
        <v>1799</v>
      </c>
      <c r="F58" t="s">
        <v>1800</v>
      </c>
      <c r="G58" t="s">
        <v>635</v>
      </c>
      <c r="H58" s="6">
        <v>762.62</v>
      </c>
      <c r="I58" t="s">
        <v>1791</v>
      </c>
      <c r="L58" s="8" t="s">
        <v>1963</v>
      </c>
    </row>
    <row r="59" spans="1:12" x14ac:dyDescent="0.3">
      <c r="A59" t="s">
        <v>1964</v>
      </c>
      <c r="B59" t="s">
        <v>1221</v>
      </c>
      <c r="C59" t="s">
        <v>1965</v>
      </c>
      <c r="E59" t="s">
        <v>1799</v>
      </c>
      <c r="F59" t="s">
        <v>1800</v>
      </c>
      <c r="G59" t="s">
        <v>635</v>
      </c>
      <c r="H59" s="6">
        <v>455.61</v>
      </c>
      <c r="I59" t="s">
        <v>1791</v>
      </c>
      <c r="L59" s="8" t="s">
        <v>1966</v>
      </c>
    </row>
    <row r="60" spans="1:12" x14ac:dyDescent="0.3">
      <c r="A60" t="s">
        <v>1967</v>
      </c>
      <c r="B60" t="s">
        <v>1221</v>
      </c>
      <c r="C60" t="s">
        <v>1968</v>
      </c>
      <c r="E60" t="s">
        <v>1799</v>
      </c>
      <c r="F60" t="s">
        <v>1800</v>
      </c>
      <c r="G60" t="s">
        <v>635</v>
      </c>
      <c r="H60" s="6">
        <v>605.91</v>
      </c>
      <c r="I60" t="s">
        <v>1791</v>
      </c>
      <c r="L60" s="8" t="s">
        <v>1969</v>
      </c>
    </row>
    <row r="61" spans="1:12" x14ac:dyDescent="0.3">
      <c r="A61" t="s">
        <v>1970</v>
      </c>
      <c r="B61" t="s">
        <v>1221</v>
      </c>
      <c r="C61" t="s">
        <v>1971</v>
      </c>
      <c r="E61" t="s">
        <v>1799</v>
      </c>
      <c r="F61" t="s">
        <v>1800</v>
      </c>
      <c r="G61" t="s">
        <v>635</v>
      </c>
      <c r="H61" s="6">
        <v>2509.0500000000002</v>
      </c>
      <c r="I61" t="s">
        <v>1791</v>
      </c>
      <c r="L61" s="8" t="s">
        <v>1972</v>
      </c>
    </row>
    <row r="62" spans="1:12" x14ac:dyDescent="0.3">
      <c r="A62" t="s">
        <v>1973</v>
      </c>
      <c r="B62" t="s">
        <v>1221</v>
      </c>
      <c r="C62" t="s">
        <v>1974</v>
      </c>
      <c r="E62" t="s">
        <v>1799</v>
      </c>
      <c r="F62" t="s">
        <v>1800</v>
      </c>
      <c r="G62" t="s">
        <v>635</v>
      </c>
      <c r="H62" s="6">
        <v>2787.46</v>
      </c>
      <c r="I62" t="s">
        <v>1791</v>
      </c>
      <c r="L62" s="8" t="s">
        <v>1975</v>
      </c>
    </row>
    <row r="63" spans="1:12" x14ac:dyDescent="0.3">
      <c r="A63" t="s">
        <v>1976</v>
      </c>
      <c r="B63" t="s">
        <v>1221</v>
      </c>
      <c r="C63" t="s">
        <v>1977</v>
      </c>
      <c r="E63" t="s">
        <v>1799</v>
      </c>
      <c r="F63" t="s">
        <v>1800</v>
      </c>
      <c r="G63" t="s">
        <v>635</v>
      </c>
      <c r="H63" s="6">
        <v>686.62</v>
      </c>
      <c r="I63" t="s">
        <v>1791</v>
      </c>
      <c r="L63" s="8" t="s">
        <v>1978</v>
      </c>
    </row>
    <row r="64" spans="1:12" x14ac:dyDescent="0.3">
      <c r="A64" t="s">
        <v>1979</v>
      </c>
      <c r="B64" t="s">
        <v>1221</v>
      </c>
      <c r="C64" t="s">
        <v>1980</v>
      </c>
      <c r="E64" t="s">
        <v>1799</v>
      </c>
      <c r="F64" t="s">
        <v>1800</v>
      </c>
      <c r="G64" t="s">
        <v>635</v>
      </c>
      <c r="H64" s="6">
        <v>802.76</v>
      </c>
      <c r="I64" t="s">
        <v>1791</v>
      </c>
      <c r="L64" s="8" t="s">
        <v>1981</v>
      </c>
    </row>
    <row r="65" spans="1:12" x14ac:dyDescent="0.3">
      <c r="A65" t="s">
        <v>1982</v>
      </c>
      <c r="B65" t="s">
        <v>1221</v>
      </c>
      <c r="C65" t="s">
        <v>1983</v>
      </c>
      <c r="E65" t="s">
        <v>1799</v>
      </c>
      <c r="F65" t="s">
        <v>1800</v>
      </c>
      <c r="G65" t="s">
        <v>635</v>
      </c>
      <c r="H65" s="6">
        <v>579.44000000000005</v>
      </c>
      <c r="I65" t="s">
        <v>1791</v>
      </c>
      <c r="L65" s="8" t="s">
        <v>1984</v>
      </c>
    </row>
    <row r="66" spans="1:12" x14ac:dyDescent="0.3">
      <c r="A66" t="s">
        <v>1985</v>
      </c>
      <c r="B66" t="s">
        <v>1221</v>
      </c>
      <c r="C66" t="s">
        <v>1986</v>
      </c>
      <c r="E66" t="s">
        <v>1799</v>
      </c>
      <c r="F66" t="s">
        <v>1800</v>
      </c>
      <c r="G66" t="s">
        <v>635</v>
      </c>
      <c r="H66" s="6">
        <v>629.83000000000004</v>
      </c>
      <c r="I66" t="s">
        <v>1791</v>
      </c>
      <c r="L66" s="8" t="s">
        <v>1987</v>
      </c>
    </row>
    <row r="67" spans="1:12" x14ac:dyDescent="0.3">
      <c r="A67" t="s">
        <v>1988</v>
      </c>
      <c r="B67" t="s">
        <v>1221</v>
      </c>
      <c r="C67" t="s">
        <v>1989</v>
      </c>
      <c r="E67" t="s">
        <v>1799</v>
      </c>
      <c r="F67" t="s">
        <v>1800</v>
      </c>
      <c r="G67" t="s">
        <v>635</v>
      </c>
      <c r="H67" s="6">
        <v>850.16</v>
      </c>
      <c r="I67" t="s">
        <v>1791</v>
      </c>
      <c r="L67" s="8" t="s">
        <v>1990</v>
      </c>
    </row>
    <row r="68" spans="1:12" x14ac:dyDescent="0.3">
      <c r="A68" t="s">
        <v>1991</v>
      </c>
      <c r="B68" t="s">
        <v>1221</v>
      </c>
      <c r="C68" t="s">
        <v>1992</v>
      </c>
      <c r="E68" t="s">
        <v>1799</v>
      </c>
      <c r="F68" t="s">
        <v>1800</v>
      </c>
      <c r="G68" t="s">
        <v>635</v>
      </c>
      <c r="H68" s="6">
        <v>573.46</v>
      </c>
      <c r="I68" t="s">
        <v>1791</v>
      </c>
      <c r="L68" s="8" t="s">
        <v>1993</v>
      </c>
    </row>
    <row r="69" spans="1:12" x14ac:dyDescent="0.3">
      <c r="A69" t="s">
        <v>1994</v>
      </c>
      <c r="B69" t="s">
        <v>1221</v>
      </c>
      <c r="C69" t="s">
        <v>1995</v>
      </c>
      <c r="E69" t="s">
        <v>1799</v>
      </c>
      <c r="F69" t="s">
        <v>1800</v>
      </c>
      <c r="G69" t="s">
        <v>635</v>
      </c>
      <c r="H69" s="6">
        <v>551.67999999999995</v>
      </c>
      <c r="I69" t="s">
        <v>1791</v>
      </c>
      <c r="L69" s="8" t="s">
        <v>1996</v>
      </c>
    </row>
    <row r="70" spans="1:12" x14ac:dyDescent="0.3">
      <c r="A70" t="s">
        <v>1997</v>
      </c>
      <c r="B70" t="s">
        <v>1221</v>
      </c>
      <c r="C70" t="s">
        <v>1998</v>
      </c>
      <c r="E70" t="s">
        <v>1799</v>
      </c>
      <c r="F70" t="s">
        <v>1800</v>
      </c>
      <c r="G70" t="s">
        <v>635</v>
      </c>
      <c r="H70" s="6">
        <v>778.42</v>
      </c>
      <c r="I70" t="s">
        <v>1791</v>
      </c>
      <c r="L70" s="8" t="s">
        <v>1999</v>
      </c>
    </row>
    <row r="71" spans="1:12" x14ac:dyDescent="0.3">
      <c r="A71" t="s">
        <v>2000</v>
      </c>
      <c r="B71" t="s">
        <v>1221</v>
      </c>
      <c r="C71" t="s">
        <v>2001</v>
      </c>
      <c r="E71" t="s">
        <v>1799</v>
      </c>
      <c r="F71" t="s">
        <v>1800</v>
      </c>
      <c r="G71" t="s">
        <v>635</v>
      </c>
      <c r="H71" s="6">
        <v>839.06</v>
      </c>
      <c r="I71" t="s">
        <v>1791</v>
      </c>
      <c r="L71" s="8" t="s">
        <v>2002</v>
      </c>
    </row>
    <row r="72" spans="1:12" x14ac:dyDescent="0.3">
      <c r="A72" t="s">
        <v>2003</v>
      </c>
      <c r="B72" t="s">
        <v>1221</v>
      </c>
      <c r="C72" t="s">
        <v>2004</v>
      </c>
      <c r="E72" t="s">
        <v>1799</v>
      </c>
      <c r="F72" t="s">
        <v>1800</v>
      </c>
      <c r="G72" t="s">
        <v>635</v>
      </c>
      <c r="H72" s="6">
        <v>839.06</v>
      </c>
      <c r="I72" t="s">
        <v>1791</v>
      </c>
      <c r="L72" s="8" t="s">
        <v>2005</v>
      </c>
    </row>
    <row r="73" spans="1:12" x14ac:dyDescent="0.3">
      <c r="A73" t="s">
        <v>2006</v>
      </c>
      <c r="B73" t="s">
        <v>1221</v>
      </c>
      <c r="C73" t="s">
        <v>2007</v>
      </c>
      <c r="E73" t="s">
        <v>1799</v>
      </c>
      <c r="F73" t="s">
        <v>1800</v>
      </c>
      <c r="G73" t="s">
        <v>635</v>
      </c>
      <c r="H73" s="6">
        <v>505.14</v>
      </c>
      <c r="I73" t="s">
        <v>1791</v>
      </c>
      <c r="L73" s="8" t="s">
        <v>2008</v>
      </c>
    </row>
    <row r="74" spans="1:12" x14ac:dyDescent="0.3">
      <c r="A74" t="s">
        <v>2009</v>
      </c>
      <c r="B74" t="s">
        <v>1221</v>
      </c>
      <c r="C74" t="s">
        <v>2010</v>
      </c>
      <c r="E74" t="s">
        <v>1799</v>
      </c>
      <c r="F74" t="s">
        <v>1800</v>
      </c>
      <c r="G74" t="s">
        <v>635</v>
      </c>
      <c r="H74" s="6">
        <v>650.32000000000005</v>
      </c>
      <c r="I74" t="s">
        <v>1791</v>
      </c>
      <c r="L74" s="8" t="s">
        <v>2011</v>
      </c>
    </row>
    <row r="75" spans="1:12" x14ac:dyDescent="0.3">
      <c r="A75" t="s">
        <v>2012</v>
      </c>
      <c r="B75" t="s">
        <v>1221</v>
      </c>
      <c r="C75" t="s">
        <v>2013</v>
      </c>
      <c r="E75" t="s">
        <v>1799</v>
      </c>
      <c r="F75" t="s">
        <v>1800</v>
      </c>
      <c r="G75" t="s">
        <v>635</v>
      </c>
      <c r="H75" s="6">
        <v>3907.48</v>
      </c>
      <c r="I75" t="s">
        <v>1791</v>
      </c>
      <c r="L75" s="8" t="s">
        <v>2014</v>
      </c>
    </row>
    <row r="76" spans="1:12" x14ac:dyDescent="0.3">
      <c r="A76" t="s">
        <v>2015</v>
      </c>
      <c r="B76" t="s">
        <v>1221</v>
      </c>
      <c r="C76" t="s">
        <v>2016</v>
      </c>
      <c r="E76" t="s">
        <v>1799</v>
      </c>
      <c r="F76" t="s">
        <v>1800</v>
      </c>
      <c r="G76" t="s">
        <v>635</v>
      </c>
      <c r="H76" s="6">
        <v>3396.79</v>
      </c>
      <c r="I76" t="s">
        <v>1791</v>
      </c>
      <c r="L76" s="8" t="s">
        <v>2017</v>
      </c>
    </row>
    <row r="77" spans="1:12" x14ac:dyDescent="0.3">
      <c r="A77" t="s">
        <v>2018</v>
      </c>
      <c r="B77" t="s">
        <v>1221</v>
      </c>
      <c r="C77" t="s">
        <v>2019</v>
      </c>
      <c r="E77" t="s">
        <v>1799</v>
      </c>
      <c r="F77" t="s">
        <v>1800</v>
      </c>
      <c r="G77" t="s">
        <v>635</v>
      </c>
      <c r="H77" s="6">
        <v>4088.53</v>
      </c>
      <c r="I77" t="s">
        <v>1791</v>
      </c>
      <c r="L77" s="8" t="s">
        <v>2020</v>
      </c>
    </row>
    <row r="78" spans="1:12" x14ac:dyDescent="0.3">
      <c r="A78" t="s">
        <v>2021</v>
      </c>
      <c r="B78" t="s">
        <v>1221</v>
      </c>
      <c r="C78" t="s">
        <v>2022</v>
      </c>
      <c r="E78" t="s">
        <v>1799</v>
      </c>
      <c r="F78" t="s">
        <v>1800</v>
      </c>
      <c r="G78" t="s">
        <v>635</v>
      </c>
      <c r="H78" s="6">
        <v>3547.09</v>
      </c>
      <c r="I78" t="s">
        <v>1791</v>
      </c>
      <c r="L78" s="8" t="s">
        <v>2023</v>
      </c>
    </row>
    <row r="79" spans="1:12" x14ac:dyDescent="0.3">
      <c r="A79" t="s">
        <v>2024</v>
      </c>
      <c r="B79" t="s">
        <v>1221</v>
      </c>
      <c r="C79" t="s">
        <v>2025</v>
      </c>
      <c r="E79" t="s">
        <v>1799</v>
      </c>
      <c r="F79" t="s">
        <v>1800</v>
      </c>
      <c r="G79" t="s">
        <v>635</v>
      </c>
      <c r="H79" s="6">
        <v>732.73</v>
      </c>
      <c r="I79" t="s">
        <v>1791</v>
      </c>
      <c r="L79" s="8" t="s">
        <v>2026</v>
      </c>
    </row>
    <row r="80" spans="1:12" x14ac:dyDescent="0.3">
      <c r="A80" t="s">
        <v>2027</v>
      </c>
      <c r="B80" t="s">
        <v>1221</v>
      </c>
      <c r="C80" t="s">
        <v>2028</v>
      </c>
      <c r="E80" t="s">
        <v>1799</v>
      </c>
      <c r="F80" t="s">
        <v>1800</v>
      </c>
      <c r="G80" t="s">
        <v>635</v>
      </c>
      <c r="H80" s="6">
        <v>817.71</v>
      </c>
      <c r="I80" t="s">
        <v>1791</v>
      </c>
      <c r="L80" s="8" t="s">
        <v>2029</v>
      </c>
    </row>
    <row r="81" spans="1:12" x14ac:dyDescent="0.3">
      <c r="A81" t="s">
        <v>2030</v>
      </c>
      <c r="B81" t="s">
        <v>1221</v>
      </c>
      <c r="C81" t="s">
        <v>2031</v>
      </c>
      <c r="E81" t="s">
        <v>1799</v>
      </c>
      <c r="F81" t="s">
        <v>1800</v>
      </c>
      <c r="G81" t="s">
        <v>635</v>
      </c>
      <c r="H81" s="6">
        <v>633.66999999999996</v>
      </c>
      <c r="I81" t="s">
        <v>1791</v>
      </c>
      <c r="L81" s="8" t="s">
        <v>2032</v>
      </c>
    </row>
    <row r="82" spans="1:12" x14ac:dyDescent="0.3">
      <c r="A82" t="s">
        <v>2033</v>
      </c>
      <c r="B82" t="s">
        <v>1221</v>
      </c>
      <c r="C82" t="s">
        <v>2034</v>
      </c>
      <c r="E82" t="s">
        <v>1799</v>
      </c>
      <c r="F82" t="s">
        <v>1800</v>
      </c>
      <c r="G82" t="s">
        <v>635</v>
      </c>
      <c r="H82" s="6">
        <v>664.84</v>
      </c>
      <c r="I82" t="s">
        <v>1791</v>
      </c>
      <c r="L82" s="8" t="s">
        <v>2035</v>
      </c>
    </row>
    <row r="83" spans="1:12" x14ac:dyDescent="0.3">
      <c r="A83" t="s">
        <v>2036</v>
      </c>
      <c r="B83" t="s">
        <v>1221</v>
      </c>
      <c r="C83" t="s">
        <v>2037</v>
      </c>
      <c r="E83" t="s">
        <v>1799</v>
      </c>
      <c r="F83" t="s">
        <v>1800</v>
      </c>
      <c r="G83" t="s">
        <v>635</v>
      </c>
      <c r="H83" s="6">
        <v>832.65</v>
      </c>
      <c r="I83" t="s">
        <v>1791</v>
      </c>
      <c r="L83" s="8" t="s">
        <v>2038</v>
      </c>
    </row>
    <row r="84" spans="1:12" x14ac:dyDescent="0.3">
      <c r="A84" t="s">
        <v>2039</v>
      </c>
      <c r="B84" t="s">
        <v>1221</v>
      </c>
      <c r="C84" t="s">
        <v>2040</v>
      </c>
      <c r="E84" t="s">
        <v>1799</v>
      </c>
      <c r="F84" t="s">
        <v>1800</v>
      </c>
      <c r="G84" t="s">
        <v>635</v>
      </c>
      <c r="H84" s="6">
        <v>671.24</v>
      </c>
      <c r="I84" t="s">
        <v>1791</v>
      </c>
      <c r="L84" s="8" t="s">
        <v>2041</v>
      </c>
    </row>
    <row r="85" spans="1:12" x14ac:dyDescent="0.3">
      <c r="A85" t="s">
        <v>2042</v>
      </c>
      <c r="B85" t="s">
        <v>1221</v>
      </c>
      <c r="C85" t="s">
        <v>2043</v>
      </c>
      <c r="E85" t="s">
        <v>1799</v>
      </c>
      <c r="F85" t="s">
        <v>1800</v>
      </c>
      <c r="G85" t="s">
        <v>635</v>
      </c>
      <c r="H85" s="6">
        <v>645.20000000000005</v>
      </c>
      <c r="I85" t="s">
        <v>1791</v>
      </c>
      <c r="L85" s="8" t="s">
        <v>2044</v>
      </c>
    </row>
    <row r="86" spans="1:12" x14ac:dyDescent="0.3">
      <c r="A86" t="s">
        <v>2045</v>
      </c>
      <c r="B86" t="s">
        <v>1221</v>
      </c>
      <c r="C86" t="s">
        <v>2046</v>
      </c>
      <c r="E86" t="s">
        <v>1799</v>
      </c>
      <c r="F86" t="s">
        <v>1800</v>
      </c>
      <c r="G86" t="s">
        <v>635</v>
      </c>
      <c r="H86" s="6">
        <v>825.39</v>
      </c>
      <c r="I86" t="s">
        <v>1791</v>
      </c>
      <c r="L86" s="8" t="s">
        <v>2047</v>
      </c>
    </row>
    <row r="87" spans="1:12" x14ac:dyDescent="0.3">
      <c r="A87" t="s">
        <v>2048</v>
      </c>
      <c r="B87" t="s">
        <v>1221</v>
      </c>
      <c r="C87" t="s">
        <v>2049</v>
      </c>
      <c r="E87" t="s">
        <v>1799</v>
      </c>
      <c r="F87" t="s">
        <v>1800</v>
      </c>
      <c r="G87" t="s">
        <v>635</v>
      </c>
      <c r="H87" s="6">
        <v>894.14</v>
      </c>
      <c r="I87" t="s">
        <v>1791</v>
      </c>
      <c r="L87" s="8" t="s">
        <v>2050</v>
      </c>
    </row>
    <row r="88" spans="1:12" x14ac:dyDescent="0.3">
      <c r="A88" t="s">
        <v>2051</v>
      </c>
      <c r="B88" t="s">
        <v>1221</v>
      </c>
      <c r="C88" t="s">
        <v>2052</v>
      </c>
      <c r="E88" t="s">
        <v>1799</v>
      </c>
      <c r="F88" t="s">
        <v>1800</v>
      </c>
      <c r="G88" t="s">
        <v>635</v>
      </c>
      <c r="H88" s="6">
        <v>895.85</v>
      </c>
      <c r="I88" t="s">
        <v>1791</v>
      </c>
      <c r="L88" s="8" t="s">
        <v>2053</v>
      </c>
    </row>
    <row r="89" spans="1:12" x14ac:dyDescent="0.3">
      <c r="A89" t="s">
        <v>2054</v>
      </c>
      <c r="B89" t="s">
        <v>1221</v>
      </c>
      <c r="C89" t="s">
        <v>2055</v>
      </c>
      <c r="E89" t="s">
        <v>1799</v>
      </c>
      <c r="F89" t="s">
        <v>1800</v>
      </c>
      <c r="G89" t="s">
        <v>635</v>
      </c>
      <c r="H89" s="6">
        <v>572.17999999999995</v>
      </c>
      <c r="I89" t="s">
        <v>1791</v>
      </c>
      <c r="L89" s="8" t="s">
        <v>2056</v>
      </c>
    </row>
    <row r="90" spans="1:12" x14ac:dyDescent="0.3">
      <c r="A90" t="s">
        <v>2057</v>
      </c>
      <c r="B90" t="s">
        <v>1221</v>
      </c>
      <c r="C90" t="s">
        <v>2058</v>
      </c>
      <c r="E90" t="s">
        <v>1799</v>
      </c>
      <c r="F90" t="s">
        <v>1800</v>
      </c>
      <c r="G90" t="s">
        <v>635</v>
      </c>
      <c r="H90" s="6">
        <v>722.48</v>
      </c>
      <c r="I90" t="s">
        <v>1791</v>
      </c>
      <c r="L90" s="8" t="s">
        <v>2059</v>
      </c>
    </row>
    <row r="91" spans="1:12" x14ac:dyDescent="0.3">
      <c r="A91" t="s">
        <v>2060</v>
      </c>
      <c r="B91" t="s">
        <v>1221</v>
      </c>
      <c r="C91" t="s">
        <v>2061</v>
      </c>
      <c r="E91" t="s">
        <v>1799</v>
      </c>
      <c r="F91" t="s">
        <v>1800</v>
      </c>
      <c r="G91" t="s">
        <v>635</v>
      </c>
      <c r="H91" s="6">
        <v>4287.51</v>
      </c>
      <c r="I91" t="s">
        <v>1791</v>
      </c>
      <c r="L91" s="8" t="s">
        <v>2062</v>
      </c>
    </row>
    <row r="92" spans="1:12" x14ac:dyDescent="0.3">
      <c r="A92" t="s">
        <v>2063</v>
      </c>
      <c r="B92" t="s">
        <v>1221</v>
      </c>
      <c r="C92" t="s">
        <v>2064</v>
      </c>
      <c r="E92" t="s">
        <v>1799</v>
      </c>
      <c r="F92" t="s">
        <v>1800</v>
      </c>
      <c r="G92" t="s">
        <v>635</v>
      </c>
      <c r="H92" s="6">
        <v>3945.91</v>
      </c>
      <c r="I92" t="s">
        <v>1791</v>
      </c>
      <c r="L92" s="8" t="s">
        <v>2065</v>
      </c>
    </row>
    <row r="93" spans="1:12" x14ac:dyDescent="0.3">
      <c r="A93" t="s">
        <v>2066</v>
      </c>
      <c r="B93" t="s">
        <v>1221</v>
      </c>
      <c r="C93" t="s">
        <v>2067</v>
      </c>
      <c r="E93" t="s">
        <v>1799</v>
      </c>
      <c r="F93" t="s">
        <v>1800</v>
      </c>
      <c r="G93" t="s">
        <v>635</v>
      </c>
      <c r="H93" s="6">
        <v>763.05</v>
      </c>
      <c r="I93" t="s">
        <v>1791</v>
      </c>
      <c r="L93" s="8" t="s">
        <v>2068</v>
      </c>
    </row>
    <row r="94" spans="1:12" x14ac:dyDescent="0.3">
      <c r="A94" t="s">
        <v>2069</v>
      </c>
      <c r="B94" t="s">
        <v>1221</v>
      </c>
      <c r="C94" t="s">
        <v>2070</v>
      </c>
      <c r="E94" t="s">
        <v>1799</v>
      </c>
      <c r="F94" t="s">
        <v>1800</v>
      </c>
      <c r="G94" t="s">
        <v>635</v>
      </c>
      <c r="H94" s="6">
        <v>845.46</v>
      </c>
      <c r="I94" t="s">
        <v>1791</v>
      </c>
      <c r="L94" s="8" t="s">
        <v>2071</v>
      </c>
    </row>
    <row r="95" spans="1:12" x14ac:dyDescent="0.3">
      <c r="A95" t="s">
        <v>2072</v>
      </c>
      <c r="B95" t="s">
        <v>1221</v>
      </c>
      <c r="C95" t="s">
        <v>2073</v>
      </c>
      <c r="E95" t="s">
        <v>1799</v>
      </c>
      <c r="F95" t="s">
        <v>1800</v>
      </c>
      <c r="G95" t="s">
        <v>635</v>
      </c>
      <c r="H95" s="6">
        <v>637.08000000000004</v>
      </c>
      <c r="I95" t="s">
        <v>1791</v>
      </c>
      <c r="L95" s="8" t="s">
        <v>2074</v>
      </c>
    </row>
    <row r="96" spans="1:12" x14ac:dyDescent="0.3">
      <c r="A96" t="s">
        <v>2075</v>
      </c>
      <c r="B96" t="s">
        <v>1221</v>
      </c>
      <c r="C96" t="s">
        <v>2076</v>
      </c>
      <c r="E96" t="s">
        <v>1799</v>
      </c>
      <c r="F96" t="s">
        <v>1800</v>
      </c>
      <c r="G96" t="s">
        <v>635</v>
      </c>
      <c r="H96" s="6">
        <v>703.7</v>
      </c>
      <c r="I96" t="s">
        <v>1791</v>
      </c>
      <c r="L96" s="8" t="s">
        <v>2077</v>
      </c>
    </row>
    <row r="97" spans="1:12" x14ac:dyDescent="0.3">
      <c r="A97" t="s">
        <v>2078</v>
      </c>
      <c r="B97" t="s">
        <v>1221</v>
      </c>
      <c r="C97" t="s">
        <v>2079</v>
      </c>
      <c r="E97" t="s">
        <v>1799</v>
      </c>
      <c r="F97" t="s">
        <v>1800</v>
      </c>
      <c r="G97" t="s">
        <v>635</v>
      </c>
      <c r="H97" s="6">
        <v>852.72</v>
      </c>
      <c r="I97" t="s">
        <v>1791</v>
      </c>
      <c r="L97" s="8" t="s">
        <v>2080</v>
      </c>
    </row>
    <row r="98" spans="1:12" x14ac:dyDescent="0.3">
      <c r="A98" t="s">
        <v>2081</v>
      </c>
      <c r="B98" t="s">
        <v>1221</v>
      </c>
      <c r="C98" t="s">
        <v>2082</v>
      </c>
      <c r="E98" t="s">
        <v>1799</v>
      </c>
      <c r="F98" t="s">
        <v>1800</v>
      </c>
      <c r="G98" t="s">
        <v>635</v>
      </c>
      <c r="H98" s="6">
        <v>713.94</v>
      </c>
      <c r="I98" t="s">
        <v>1791</v>
      </c>
      <c r="L98" s="8" t="s">
        <v>2083</v>
      </c>
    </row>
    <row r="99" spans="1:12" x14ac:dyDescent="0.3">
      <c r="A99" t="s">
        <v>2084</v>
      </c>
      <c r="B99" t="s">
        <v>1221</v>
      </c>
      <c r="C99" t="s">
        <v>2085</v>
      </c>
      <c r="E99" t="s">
        <v>1799</v>
      </c>
      <c r="F99" t="s">
        <v>1800</v>
      </c>
      <c r="G99" t="s">
        <v>635</v>
      </c>
      <c r="H99" s="6">
        <v>686.62</v>
      </c>
      <c r="I99" t="s">
        <v>1791</v>
      </c>
      <c r="L99" s="8" t="s">
        <v>2086</v>
      </c>
    </row>
    <row r="100" spans="1:12" x14ac:dyDescent="0.3">
      <c r="A100" t="s">
        <v>2087</v>
      </c>
      <c r="B100" t="s">
        <v>1221</v>
      </c>
      <c r="C100" t="s">
        <v>2088</v>
      </c>
      <c r="E100" t="s">
        <v>1799</v>
      </c>
      <c r="F100" t="s">
        <v>1800</v>
      </c>
      <c r="G100" t="s">
        <v>635</v>
      </c>
      <c r="H100" s="6">
        <v>842.47</v>
      </c>
      <c r="I100" t="s">
        <v>1791</v>
      </c>
      <c r="L100" s="8" t="s">
        <v>2089</v>
      </c>
    </row>
    <row r="101" spans="1:12" x14ac:dyDescent="0.3">
      <c r="A101" t="s">
        <v>2090</v>
      </c>
      <c r="B101" t="s">
        <v>1221</v>
      </c>
      <c r="C101" t="s">
        <v>2091</v>
      </c>
      <c r="E101" t="s">
        <v>1799</v>
      </c>
      <c r="F101" t="s">
        <v>1800</v>
      </c>
      <c r="G101" t="s">
        <v>635</v>
      </c>
      <c r="H101" s="6">
        <v>894.57</v>
      </c>
      <c r="I101" t="s">
        <v>1791</v>
      </c>
      <c r="L101" s="8" t="s">
        <v>2092</v>
      </c>
    </row>
    <row r="102" spans="1:12" x14ac:dyDescent="0.3">
      <c r="A102" t="s">
        <v>2093</v>
      </c>
      <c r="B102" t="s">
        <v>1221</v>
      </c>
      <c r="C102" t="s">
        <v>2094</v>
      </c>
      <c r="E102" t="s">
        <v>1799</v>
      </c>
      <c r="F102" t="s">
        <v>1800</v>
      </c>
      <c r="G102" t="s">
        <v>635</v>
      </c>
      <c r="H102" s="6">
        <v>956.05</v>
      </c>
      <c r="I102" t="s">
        <v>1791</v>
      </c>
      <c r="L102" s="8" t="s">
        <v>2095</v>
      </c>
    </row>
    <row r="103" spans="1:12" x14ac:dyDescent="0.3">
      <c r="A103" t="s">
        <v>2096</v>
      </c>
      <c r="B103" t="s">
        <v>1221</v>
      </c>
      <c r="C103" t="s">
        <v>2097</v>
      </c>
      <c r="E103" t="s">
        <v>1799</v>
      </c>
      <c r="F103" t="s">
        <v>1800</v>
      </c>
      <c r="G103" t="s">
        <v>635</v>
      </c>
      <c r="H103" s="6">
        <v>957.76</v>
      </c>
      <c r="I103" t="s">
        <v>1791</v>
      </c>
      <c r="L103" s="8" t="s">
        <v>2098</v>
      </c>
    </row>
    <row r="104" spans="1:12" x14ac:dyDescent="0.3">
      <c r="A104" t="s">
        <v>2099</v>
      </c>
      <c r="B104" t="s">
        <v>1221</v>
      </c>
      <c r="C104" t="s">
        <v>2100</v>
      </c>
      <c r="E104" t="s">
        <v>1799</v>
      </c>
      <c r="F104" t="s">
        <v>1800</v>
      </c>
      <c r="G104" t="s">
        <v>635</v>
      </c>
      <c r="H104" s="6">
        <v>586.27</v>
      </c>
      <c r="I104" t="s">
        <v>1791</v>
      </c>
      <c r="L104" s="8" t="s">
        <v>2101</v>
      </c>
    </row>
    <row r="105" spans="1:12" x14ac:dyDescent="0.3">
      <c r="A105" t="s">
        <v>2102</v>
      </c>
      <c r="B105" t="s">
        <v>1221</v>
      </c>
      <c r="C105" t="s">
        <v>2103</v>
      </c>
      <c r="E105" t="s">
        <v>1799</v>
      </c>
      <c r="F105" t="s">
        <v>1800</v>
      </c>
      <c r="G105" t="s">
        <v>635</v>
      </c>
      <c r="H105" s="6">
        <v>742.13</v>
      </c>
      <c r="I105" t="s">
        <v>1791</v>
      </c>
      <c r="L105" s="8" t="s">
        <v>2104</v>
      </c>
    </row>
    <row r="106" spans="1:12" x14ac:dyDescent="0.3">
      <c r="A106" t="s">
        <v>2105</v>
      </c>
      <c r="B106" t="s">
        <v>1221</v>
      </c>
      <c r="C106" t="s">
        <v>2106</v>
      </c>
      <c r="E106" t="s">
        <v>1799</v>
      </c>
      <c r="F106" t="s">
        <v>1800</v>
      </c>
      <c r="G106" t="s">
        <v>635</v>
      </c>
      <c r="H106" s="6">
        <v>661.85</v>
      </c>
      <c r="I106" t="s">
        <v>1791</v>
      </c>
      <c r="L106" s="8" t="s">
        <v>2107</v>
      </c>
    </row>
    <row r="107" spans="1:12" x14ac:dyDescent="0.3">
      <c r="A107" t="s">
        <v>2108</v>
      </c>
      <c r="B107" t="s">
        <v>1221</v>
      </c>
      <c r="C107" t="s">
        <v>2109</v>
      </c>
      <c r="E107" t="s">
        <v>1799</v>
      </c>
      <c r="F107" t="s">
        <v>1800</v>
      </c>
      <c r="G107" t="s">
        <v>635</v>
      </c>
      <c r="H107" s="6">
        <v>783.97</v>
      </c>
      <c r="I107" t="s">
        <v>1791</v>
      </c>
      <c r="L107" s="8" t="s">
        <v>2110</v>
      </c>
    </row>
    <row r="108" spans="1:12" x14ac:dyDescent="0.3">
      <c r="A108" t="s">
        <v>2111</v>
      </c>
      <c r="B108" t="s">
        <v>1221</v>
      </c>
      <c r="C108" t="s">
        <v>2112</v>
      </c>
      <c r="E108" t="s">
        <v>1799</v>
      </c>
      <c r="F108" t="s">
        <v>1800</v>
      </c>
      <c r="G108" t="s">
        <v>635</v>
      </c>
      <c r="H108" s="6">
        <v>877.91</v>
      </c>
      <c r="I108" t="s">
        <v>1791</v>
      </c>
      <c r="L108" s="8" t="s">
        <v>2113</v>
      </c>
    </row>
    <row r="109" spans="1:12" x14ac:dyDescent="0.3">
      <c r="A109" t="s">
        <v>2114</v>
      </c>
      <c r="B109" t="s">
        <v>1221</v>
      </c>
      <c r="C109" t="s">
        <v>2115</v>
      </c>
      <c r="E109" t="s">
        <v>1799</v>
      </c>
      <c r="F109" t="s">
        <v>1800</v>
      </c>
      <c r="G109" t="s">
        <v>635</v>
      </c>
      <c r="H109" s="6">
        <v>897.13</v>
      </c>
      <c r="I109" t="s">
        <v>1791</v>
      </c>
      <c r="L109" s="8" t="s">
        <v>2116</v>
      </c>
    </row>
    <row r="110" spans="1:12" x14ac:dyDescent="0.3">
      <c r="A110" t="s">
        <v>2117</v>
      </c>
      <c r="B110" t="s">
        <v>1221</v>
      </c>
      <c r="C110" t="s">
        <v>2118</v>
      </c>
      <c r="E110" t="s">
        <v>1799</v>
      </c>
      <c r="F110" t="s">
        <v>1800</v>
      </c>
      <c r="G110" t="s">
        <v>635</v>
      </c>
      <c r="H110" s="6">
        <v>904.81</v>
      </c>
      <c r="I110" t="s">
        <v>1791</v>
      </c>
      <c r="L110" s="8" t="s">
        <v>2119</v>
      </c>
    </row>
    <row r="111" spans="1:12" x14ac:dyDescent="0.3">
      <c r="A111" t="s">
        <v>2120</v>
      </c>
      <c r="B111" t="s">
        <v>1221</v>
      </c>
      <c r="C111" t="s">
        <v>2121</v>
      </c>
      <c r="E111" t="s">
        <v>1799</v>
      </c>
      <c r="F111" t="s">
        <v>1800</v>
      </c>
      <c r="G111" t="s">
        <v>635</v>
      </c>
      <c r="H111" s="6">
        <v>759.63</v>
      </c>
      <c r="I111" t="s">
        <v>1791</v>
      </c>
      <c r="L111" s="8" t="s">
        <v>2122</v>
      </c>
    </row>
    <row r="112" spans="1:12" x14ac:dyDescent="0.3">
      <c r="A112" t="s">
        <v>2123</v>
      </c>
      <c r="B112" t="s">
        <v>1221</v>
      </c>
      <c r="C112" t="s">
        <v>2124</v>
      </c>
      <c r="E112" t="s">
        <v>1799</v>
      </c>
      <c r="F112" t="s">
        <v>1800</v>
      </c>
      <c r="G112" t="s">
        <v>635</v>
      </c>
      <c r="H112" s="6">
        <v>730.6</v>
      </c>
      <c r="I112" t="s">
        <v>1791</v>
      </c>
      <c r="L112" s="8" t="s">
        <v>2125</v>
      </c>
    </row>
    <row r="113" spans="1:12" x14ac:dyDescent="0.3">
      <c r="A113" t="s">
        <v>2126</v>
      </c>
      <c r="B113" t="s">
        <v>1221</v>
      </c>
      <c r="C113" t="s">
        <v>2127</v>
      </c>
      <c r="E113" t="s">
        <v>1799</v>
      </c>
      <c r="F113" t="s">
        <v>1800</v>
      </c>
      <c r="G113" t="s">
        <v>635</v>
      </c>
      <c r="H113" s="6">
        <v>910.36</v>
      </c>
      <c r="I113" t="s">
        <v>1791</v>
      </c>
      <c r="L113" s="8" t="s">
        <v>2128</v>
      </c>
    </row>
    <row r="114" spans="1:12" x14ac:dyDescent="0.3">
      <c r="A114" t="s">
        <v>2129</v>
      </c>
      <c r="B114" t="s">
        <v>1221</v>
      </c>
      <c r="C114" t="s">
        <v>2130</v>
      </c>
      <c r="E114" t="s">
        <v>1799</v>
      </c>
      <c r="F114" t="s">
        <v>1800</v>
      </c>
      <c r="G114" t="s">
        <v>635</v>
      </c>
      <c r="H114" s="6">
        <v>919.33</v>
      </c>
      <c r="I114" t="s">
        <v>1791</v>
      </c>
      <c r="L114" s="8" t="s">
        <v>2131</v>
      </c>
    </row>
    <row r="115" spans="1:12" x14ac:dyDescent="0.3">
      <c r="A115" t="s">
        <v>2132</v>
      </c>
      <c r="B115" t="s">
        <v>1221</v>
      </c>
      <c r="C115" t="s">
        <v>2133</v>
      </c>
      <c r="E115" t="s">
        <v>1799</v>
      </c>
      <c r="F115" t="s">
        <v>1800</v>
      </c>
      <c r="G115" t="s">
        <v>635</v>
      </c>
      <c r="H115" s="6">
        <v>987.65</v>
      </c>
      <c r="I115" t="s">
        <v>1791</v>
      </c>
      <c r="L115" s="8" t="s">
        <v>2134</v>
      </c>
    </row>
    <row r="116" spans="1:12" x14ac:dyDescent="0.3">
      <c r="A116" t="s">
        <v>2135</v>
      </c>
      <c r="B116" t="s">
        <v>1221</v>
      </c>
      <c r="C116" t="s">
        <v>2136</v>
      </c>
      <c r="E116" t="s">
        <v>1799</v>
      </c>
      <c r="F116" t="s">
        <v>1800</v>
      </c>
      <c r="G116" t="s">
        <v>635</v>
      </c>
      <c r="H116" s="6">
        <v>987.65</v>
      </c>
      <c r="I116" t="s">
        <v>1791</v>
      </c>
      <c r="L116" s="8" t="s">
        <v>2137</v>
      </c>
    </row>
    <row r="117" spans="1:12" x14ac:dyDescent="0.3">
      <c r="A117" t="s">
        <v>2138</v>
      </c>
      <c r="B117" t="s">
        <v>1221</v>
      </c>
      <c r="C117" t="s">
        <v>2139</v>
      </c>
      <c r="E117" t="s">
        <v>1799</v>
      </c>
      <c r="F117" t="s">
        <v>1800</v>
      </c>
      <c r="G117" t="s">
        <v>635</v>
      </c>
      <c r="H117" s="6">
        <v>632.80999999999995</v>
      </c>
      <c r="I117" t="s">
        <v>1791</v>
      </c>
      <c r="L117" s="8" t="s">
        <v>2140</v>
      </c>
    </row>
    <row r="118" spans="1:12" x14ac:dyDescent="0.3">
      <c r="A118" t="s">
        <v>2141</v>
      </c>
      <c r="B118" t="s">
        <v>1221</v>
      </c>
      <c r="C118" t="s">
        <v>2142</v>
      </c>
      <c r="E118" t="s">
        <v>1799</v>
      </c>
      <c r="F118" t="s">
        <v>1800</v>
      </c>
      <c r="G118" t="s">
        <v>635</v>
      </c>
      <c r="H118" s="6">
        <v>828.81</v>
      </c>
      <c r="I118" t="s">
        <v>1791</v>
      </c>
      <c r="L118" s="8" t="s">
        <v>2143</v>
      </c>
    </row>
    <row r="119" spans="1:12" x14ac:dyDescent="0.3">
      <c r="A119" t="s">
        <v>2144</v>
      </c>
      <c r="B119" t="s">
        <v>1221</v>
      </c>
      <c r="C119" t="s">
        <v>2145</v>
      </c>
      <c r="E119" t="s">
        <v>1799</v>
      </c>
      <c r="F119" t="s">
        <v>1800</v>
      </c>
      <c r="G119" t="s">
        <v>635</v>
      </c>
      <c r="H119" s="6">
        <v>925.31</v>
      </c>
      <c r="I119" t="s">
        <v>1791</v>
      </c>
      <c r="L119" s="8" t="s">
        <v>2146</v>
      </c>
    </row>
    <row r="120" spans="1:12" x14ac:dyDescent="0.3">
      <c r="A120" t="s">
        <v>2147</v>
      </c>
      <c r="B120" t="s">
        <v>1221</v>
      </c>
      <c r="C120" t="s">
        <v>2148</v>
      </c>
      <c r="E120" t="s">
        <v>1799</v>
      </c>
      <c r="F120" t="s">
        <v>1800</v>
      </c>
      <c r="G120" t="s">
        <v>635</v>
      </c>
      <c r="H120" s="6">
        <v>1022.24</v>
      </c>
      <c r="I120" t="s">
        <v>1791</v>
      </c>
      <c r="L120" s="8" t="s">
        <v>2149</v>
      </c>
    </row>
    <row r="121" spans="1:12" x14ac:dyDescent="0.3">
      <c r="A121" t="s">
        <v>2150</v>
      </c>
      <c r="B121" t="s">
        <v>1221</v>
      </c>
      <c r="C121" t="s">
        <v>2151</v>
      </c>
      <c r="E121" t="s">
        <v>1799</v>
      </c>
      <c r="F121" t="s">
        <v>1800</v>
      </c>
      <c r="G121" t="s">
        <v>635</v>
      </c>
      <c r="H121" s="6">
        <v>760.91</v>
      </c>
      <c r="I121" t="s">
        <v>1791</v>
      </c>
      <c r="L121" s="8" t="s">
        <v>2152</v>
      </c>
    </row>
    <row r="122" spans="1:12" x14ac:dyDescent="0.3">
      <c r="A122" t="s">
        <v>2153</v>
      </c>
      <c r="B122" t="s">
        <v>1221</v>
      </c>
      <c r="C122" t="s">
        <v>2154</v>
      </c>
      <c r="E122" t="s">
        <v>1799</v>
      </c>
      <c r="F122" t="s">
        <v>1800</v>
      </c>
      <c r="G122" t="s">
        <v>635</v>
      </c>
      <c r="H122" s="6">
        <v>678.08</v>
      </c>
      <c r="I122" t="s">
        <v>1791</v>
      </c>
      <c r="L122" s="8" t="s">
        <v>2155</v>
      </c>
    </row>
    <row r="123" spans="1:12" x14ac:dyDescent="0.3">
      <c r="A123" t="s">
        <v>2156</v>
      </c>
      <c r="B123" t="s">
        <v>1221</v>
      </c>
      <c r="C123" t="s">
        <v>2157</v>
      </c>
      <c r="E123" t="s">
        <v>1799</v>
      </c>
      <c r="F123" t="s">
        <v>1800</v>
      </c>
      <c r="G123" t="s">
        <v>635</v>
      </c>
      <c r="H123" s="6">
        <v>965.02</v>
      </c>
      <c r="I123" t="s">
        <v>1791</v>
      </c>
      <c r="L123" s="8" t="s">
        <v>2158</v>
      </c>
    </row>
    <row r="124" spans="1:12" x14ac:dyDescent="0.3">
      <c r="A124" t="s">
        <v>2159</v>
      </c>
      <c r="B124" t="s">
        <v>1221</v>
      </c>
      <c r="C124" t="s">
        <v>2160</v>
      </c>
      <c r="E124" t="s">
        <v>1799</v>
      </c>
      <c r="F124" t="s">
        <v>1800</v>
      </c>
      <c r="G124" t="s">
        <v>635</v>
      </c>
      <c r="H124" s="6">
        <v>987.65</v>
      </c>
      <c r="I124" t="s">
        <v>1791</v>
      </c>
      <c r="L124" s="8" t="s">
        <v>2161</v>
      </c>
    </row>
    <row r="125" spans="1:12" x14ac:dyDescent="0.3">
      <c r="A125" t="s">
        <v>2162</v>
      </c>
      <c r="B125" t="s">
        <v>1221</v>
      </c>
      <c r="C125" t="s">
        <v>2163</v>
      </c>
      <c r="E125" t="s">
        <v>1799</v>
      </c>
      <c r="F125" t="s">
        <v>1800</v>
      </c>
      <c r="G125" t="s">
        <v>635</v>
      </c>
      <c r="H125" s="6">
        <v>1055.97</v>
      </c>
      <c r="I125" t="s">
        <v>1791</v>
      </c>
      <c r="L125" s="8" t="s">
        <v>2164</v>
      </c>
    </row>
    <row r="126" spans="1:12" x14ac:dyDescent="0.3">
      <c r="A126" t="s">
        <v>2165</v>
      </c>
      <c r="B126" t="s">
        <v>1221</v>
      </c>
      <c r="C126" t="s">
        <v>2166</v>
      </c>
      <c r="E126" t="s">
        <v>1799</v>
      </c>
      <c r="F126" t="s">
        <v>1800</v>
      </c>
      <c r="G126" t="s">
        <v>635</v>
      </c>
      <c r="H126" s="6">
        <v>1058.1099999999999</v>
      </c>
      <c r="I126" t="s">
        <v>1791</v>
      </c>
      <c r="L126" s="8" t="s">
        <v>2167</v>
      </c>
    </row>
    <row r="127" spans="1:12" x14ac:dyDescent="0.3">
      <c r="A127" t="s">
        <v>2168</v>
      </c>
      <c r="B127" t="s">
        <v>1221</v>
      </c>
      <c r="C127" t="s">
        <v>2169</v>
      </c>
      <c r="E127" t="s">
        <v>1799</v>
      </c>
      <c r="F127" t="s">
        <v>1800</v>
      </c>
      <c r="G127" t="s">
        <v>635</v>
      </c>
      <c r="H127" s="6">
        <v>644.34</v>
      </c>
      <c r="I127" t="s">
        <v>1791</v>
      </c>
      <c r="L127" s="8" t="s">
        <v>2170</v>
      </c>
    </row>
    <row r="128" spans="1:12" x14ac:dyDescent="0.3">
      <c r="A128" t="s">
        <v>2171</v>
      </c>
      <c r="B128" t="s">
        <v>1221</v>
      </c>
      <c r="C128" t="s">
        <v>2172</v>
      </c>
      <c r="E128" t="s">
        <v>1799</v>
      </c>
      <c r="F128" t="s">
        <v>1800</v>
      </c>
      <c r="G128" t="s">
        <v>635</v>
      </c>
      <c r="H128" s="6">
        <v>844.18</v>
      </c>
      <c r="I128" t="s">
        <v>1791</v>
      </c>
      <c r="L128" s="8" t="s">
        <v>2173</v>
      </c>
    </row>
    <row r="129" spans="1:12" x14ac:dyDescent="0.3">
      <c r="A129" t="s">
        <v>2174</v>
      </c>
      <c r="B129" t="s">
        <v>1221</v>
      </c>
      <c r="C129" t="s">
        <v>2175</v>
      </c>
      <c r="E129" t="s">
        <v>1799</v>
      </c>
      <c r="F129" t="s">
        <v>1800</v>
      </c>
      <c r="G129" t="s">
        <v>635</v>
      </c>
      <c r="H129" s="6">
        <v>942.82</v>
      </c>
      <c r="I129" t="s">
        <v>1791</v>
      </c>
      <c r="L129" s="8" t="s">
        <v>2176</v>
      </c>
    </row>
    <row r="130" spans="1:12" x14ac:dyDescent="0.3">
      <c r="A130" t="s">
        <v>2177</v>
      </c>
      <c r="B130" t="s">
        <v>1221</v>
      </c>
      <c r="C130" t="s">
        <v>2178</v>
      </c>
      <c r="E130" t="s">
        <v>1799</v>
      </c>
      <c r="F130" t="s">
        <v>1800</v>
      </c>
      <c r="G130" t="s">
        <v>635</v>
      </c>
      <c r="H130" s="6">
        <v>1003.45</v>
      </c>
      <c r="I130" t="s">
        <v>1791</v>
      </c>
      <c r="L130" s="8" t="s">
        <v>2179</v>
      </c>
    </row>
    <row r="131" spans="1:12" x14ac:dyDescent="0.3">
      <c r="A131" t="s">
        <v>2180</v>
      </c>
      <c r="B131" t="s">
        <v>1221</v>
      </c>
      <c r="C131" t="s">
        <v>2181</v>
      </c>
      <c r="E131" t="s">
        <v>1799</v>
      </c>
      <c r="F131" t="s">
        <v>1800</v>
      </c>
      <c r="G131" t="s">
        <v>635</v>
      </c>
      <c r="H131" s="6">
        <v>801.91</v>
      </c>
      <c r="I131" t="s">
        <v>1791</v>
      </c>
      <c r="L131" s="8" t="s">
        <v>2182</v>
      </c>
    </row>
    <row r="132" spans="1:12" x14ac:dyDescent="0.3">
      <c r="A132" t="s">
        <v>2183</v>
      </c>
      <c r="B132" t="s">
        <v>1221</v>
      </c>
      <c r="C132" t="s">
        <v>2184</v>
      </c>
      <c r="E132" t="s">
        <v>1799</v>
      </c>
      <c r="F132" t="s">
        <v>1800</v>
      </c>
      <c r="G132" t="s">
        <v>635</v>
      </c>
      <c r="H132" s="6">
        <v>731.45</v>
      </c>
      <c r="I132" t="s">
        <v>1791</v>
      </c>
      <c r="L132" s="8" t="s">
        <v>2185</v>
      </c>
    </row>
    <row r="133" spans="1:12" x14ac:dyDescent="0.3">
      <c r="A133" t="s">
        <v>2186</v>
      </c>
      <c r="B133" t="s">
        <v>1221</v>
      </c>
      <c r="C133" t="s">
        <v>2187</v>
      </c>
      <c r="E133" t="s">
        <v>1799</v>
      </c>
      <c r="F133" t="s">
        <v>1800</v>
      </c>
      <c r="G133" t="s">
        <v>635</v>
      </c>
      <c r="H133" s="6">
        <v>1053.4100000000001</v>
      </c>
      <c r="I133" t="s">
        <v>1791</v>
      </c>
      <c r="L133" s="8" t="s">
        <v>2188</v>
      </c>
    </row>
    <row r="134" spans="1:12" x14ac:dyDescent="0.3">
      <c r="A134" t="s">
        <v>2189</v>
      </c>
      <c r="B134" t="s">
        <v>1221</v>
      </c>
      <c r="C134" t="s">
        <v>2190</v>
      </c>
      <c r="E134" t="s">
        <v>1799</v>
      </c>
      <c r="F134" t="s">
        <v>1800</v>
      </c>
      <c r="G134" t="s">
        <v>635</v>
      </c>
      <c r="H134" s="6">
        <v>1026.08</v>
      </c>
      <c r="I134" t="s">
        <v>1791</v>
      </c>
      <c r="L134" s="8" t="s">
        <v>2191</v>
      </c>
    </row>
    <row r="135" spans="1:12" x14ac:dyDescent="0.3">
      <c r="A135" t="s">
        <v>2192</v>
      </c>
      <c r="B135" t="s">
        <v>1221</v>
      </c>
      <c r="C135" t="s">
        <v>2193</v>
      </c>
      <c r="D135" t="s">
        <v>2194</v>
      </c>
      <c r="E135" t="s">
        <v>1789</v>
      </c>
      <c r="F135" t="s">
        <v>1790</v>
      </c>
      <c r="G135" t="s">
        <v>635</v>
      </c>
      <c r="H135" s="6">
        <v>39.9</v>
      </c>
      <c r="I135" t="s">
        <v>1791</v>
      </c>
      <c r="L135" s="8" t="s">
        <v>2195</v>
      </c>
    </row>
    <row r="136" spans="1:12" x14ac:dyDescent="0.3">
      <c r="A136" t="s">
        <v>2196</v>
      </c>
      <c r="B136" t="s">
        <v>1221</v>
      </c>
      <c r="C136" t="s">
        <v>2197</v>
      </c>
      <c r="D136" t="s">
        <v>2198</v>
      </c>
      <c r="E136" t="s">
        <v>1789</v>
      </c>
      <c r="F136" t="s">
        <v>1790</v>
      </c>
      <c r="G136" t="s">
        <v>635</v>
      </c>
      <c r="H136" s="6">
        <v>61.95</v>
      </c>
      <c r="I136" t="s">
        <v>1791</v>
      </c>
      <c r="L136" s="8" t="s">
        <v>2199</v>
      </c>
    </row>
    <row r="137" spans="1:12" x14ac:dyDescent="0.3">
      <c r="A137" t="s">
        <v>2200</v>
      </c>
      <c r="B137" t="s">
        <v>1221</v>
      </c>
      <c r="C137" t="s">
        <v>2201</v>
      </c>
      <c r="D137" t="s">
        <v>2202</v>
      </c>
      <c r="E137" t="s">
        <v>1789</v>
      </c>
      <c r="F137" t="s">
        <v>1790</v>
      </c>
      <c r="G137" t="s">
        <v>635</v>
      </c>
      <c r="H137" s="6">
        <v>88.2</v>
      </c>
      <c r="I137" t="s">
        <v>1791</v>
      </c>
      <c r="L137" s="8" t="s">
        <v>2203</v>
      </c>
    </row>
    <row r="138" spans="1:12" x14ac:dyDescent="0.3">
      <c r="A138" t="s">
        <v>2204</v>
      </c>
      <c r="B138" t="s">
        <v>1221</v>
      </c>
      <c r="C138" t="s">
        <v>2205</v>
      </c>
      <c r="D138" t="s">
        <v>2206</v>
      </c>
      <c r="E138" t="s">
        <v>1789</v>
      </c>
      <c r="F138" t="s">
        <v>1790</v>
      </c>
      <c r="G138" t="s">
        <v>635</v>
      </c>
      <c r="H138" s="6">
        <v>51.45</v>
      </c>
      <c r="I138" t="s">
        <v>1791</v>
      </c>
      <c r="L138" s="8" t="s">
        <v>2207</v>
      </c>
    </row>
    <row r="139" spans="1:12" x14ac:dyDescent="0.3">
      <c r="A139" t="s">
        <v>2208</v>
      </c>
      <c r="B139" t="s">
        <v>1221</v>
      </c>
      <c r="C139" t="s">
        <v>2209</v>
      </c>
      <c r="D139" t="s">
        <v>2210</v>
      </c>
      <c r="E139" t="s">
        <v>1789</v>
      </c>
      <c r="F139" t="s">
        <v>1790</v>
      </c>
      <c r="G139" t="s">
        <v>635</v>
      </c>
      <c r="H139" s="6">
        <v>72.45</v>
      </c>
      <c r="I139" t="s">
        <v>1791</v>
      </c>
      <c r="L139" s="8" t="s">
        <v>2211</v>
      </c>
    </row>
    <row r="140" spans="1:12" x14ac:dyDescent="0.3">
      <c r="A140" t="s">
        <v>2212</v>
      </c>
      <c r="B140" t="s">
        <v>1221</v>
      </c>
      <c r="C140" t="s">
        <v>2213</v>
      </c>
      <c r="D140" t="s">
        <v>2214</v>
      </c>
      <c r="E140" t="s">
        <v>1789</v>
      </c>
      <c r="F140" t="s">
        <v>1790</v>
      </c>
      <c r="G140" t="s">
        <v>635</v>
      </c>
      <c r="H140" s="6">
        <v>27.3</v>
      </c>
      <c r="I140" t="s">
        <v>1791</v>
      </c>
      <c r="L140" s="8" t="s">
        <v>2215</v>
      </c>
    </row>
    <row r="141" spans="1:12" x14ac:dyDescent="0.3">
      <c r="A141" t="s">
        <v>2216</v>
      </c>
      <c r="B141" t="s">
        <v>1221</v>
      </c>
      <c r="C141" t="s">
        <v>2217</v>
      </c>
      <c r="D141" t="s">
        <v>2218</v>
      </c>
      <c r="E141" t="s">
        <v>1789</v>
      </c>
      <c r="F141" t="s">
        <v>1790</v>
      </c>
      <c r="G141" t="s">
        <v>635</v>
      </c>
      <c r="H141" s="6">
        <v>13.65</v>
      </c>
      <c r="I141" t="s">
        <v>1791</v>
      </c>
      <c r="L141" s="8" t="s">
        <v>2219</v>
      </c>
    </row>
    <row r="142" spans="1:12" x14ac:dyDescent="0.3">
      <c r="A142" t="s">
        <v>2220</v>
      </c>
      <c r="B142" t="s">
        <v>1221</v>
      </c>
      <c r="C142" t="s">
        <v>2221</v>
      </c>
      <c r="D142" t="s">
        <v>2222</v>
      </c>
      <c r="E142" t="s">
        <v>1789</v>
      </c>
      <c r="F142" t="s">
        <v>1790</v>
      </c>
      <c r="G142" t="s">
        <v>635</v>
      </c>
      <c r="H142" s="6">
        <v>567</v>
      </c>
      <c r="I142" t="s">
        <v>1791</v>
      </c>
      <c r="L142" s="8" t="s">
        <v>2223</v>
      </c>
    </row>
    <row r="143" spans="1:12" x14ac:dyDescent="0.3">
      <c r="A143" t="s">
        <v>2224</v>
      </c>
      <c r="B143" t="s">
        <v>1221</v>
      </c>
      <c r="C143" t="s">
        <v>2225</v>
      </c>
      <c r="D143" t="s">
        <v>2226</v>
      </c>
      <c r="E143" t="s">
        <v>1789</v>
      </c>
      <c r="F143" t="s">
        <v>1790</v>
      </c>
      <c r="G143" t="s">
        <v>635</v>
      </c>
      <c r="H143" s="6">
        <v>748.65</v>
      </c>
      <c r="I143" t="s">
        <v>1791</v>
      </c>
      <c r="L143" s="8" t="s">
        <v>2227</v>
      </c>
    </row>
    <row r="144" spans="1:12" x14ac:dyDescent="0.3">
      <c r="A144" t="s">
        <v>2228</v>
      </c>
      <c r="B144" t="s">
        <v>1221</v>
      </c>
      <c r="C144" t="s">
        <v>2229</v>
      </c>
      <c r="D144" t="s">
        <v>2230</v>
      </c>
      <c r="E144" t="s">
        <v>1789</v>
      </c>
      <c r="F144" t="s">
        <v>1790</v>
      </c>
      <c r="G144" t="s">
        <v>635</v>
      </c>
      <c r="H144" s="6">
        <v>340.2</v>
      </c>
      <c r="I144" t="s">
        <v>1791</v>
      </c>
      <c r="L144" s="8" t="s">
        <v>2231</v>
      </c>
    </row>
    <row r="145" spans="1:12" x14ac:dyDescent="0.3">
      <c r="A145" t="s">
        <v>2232</v>
      </c>
      <c r="B145" t="s">
        <v>1221</v>
      </c>
      <c r="C145" t="s">
        <v>2233</v>
      </c>
      <c r="D145" t="s">
        <v>2234</v>
      </c>
      <c r="E145" t="s">
        <v>1789</v>
      </c>
      <c r="F145" t="s">
        <v>1790</v>
      </c>
      <c r="G145" t="s">
        <v>635</v>
      </c>
      <c r="H145" s="6">
        <v>442.05</v>
      </c>
      <c r="I145" t="s">
        <v>1791</v>
      </c>
      <c r="L145" s="8" t="s">
        <v>2235</v>
      </c>
    </row>
    <row r="146" spans="1:12" x14ac:dyDescent="0.3">
      <c r="A146" t="s">
        <v>2236</v>
      </c>
      <c r="B146" t="s">
        <v>1221</v>
      </c>
      <c r="C146" t="s">
        <v>2237</v>
      </c>
      <c r="D146" t="s">
        <v>2238</v>
      </c>
      <c r="E146" t="s">
        <v>1789</v>
      </c>
      <c r="F146" t="s">
        <v>1790</v>
      </c>
      <c r="G146" t="s">
        <v>635</v>
      </c>
      <c r="H146" s="6">
        <v>590.1</v>
      </c>
      <c r="I146" t="s">
        <v>1791</v>
      </c>
      <c r="L146" s="8" t="s">
        <v>2239</v>
      </c>
    </row>
    <row r="147" spans="1:12" x14ac:dyDescent="0.3">
      <c r="A147" t="s">
        <v>2240</v>
      </c>
      <c r="B147" t="s">
        <v>1221</v>
      </c>
      <c r="C147" t="s">
        <v>2241</v>
      </c>
      <c r="D147" t="s">
        <v>2242</v>
      </c>
      <c r="E147" t="s">
        <v>1789</v>
      </c>
      <c r="F147" t="s">
        <v>1790</v>
      </c>
      <c r="G147" t="s">
        <v>635</v>
      </c>
      <c r="H147" s="6">
        <v>791.7</v>
      </c>
      <c r="I147" t="s">
        <v>1791</v>
      </c>
      <c r="L147" s="8" t="s">
        <v>2243</v>
      </c>
    </row>
    <row r="148" spans="1:12" x14ac:dyDescent="0.3">
      <c r="A148" t="s">
        <v>2244</v>
      </c>
      <c r="B148" t="s">
        <v>1221</v>
      </c>
      <c r="C148" t="s">
        <v>2245</v>
      </c>
      <c r="D148" t="s">
        <v>2246</v>
      </c>
      <c r="E148" t="s">
        <v>1789</v>
      </c>
      <c r="F148" t="s">
        <v>1790</v>
      </c>
      <c r="G148" t="s">
        <v>635</v>
      </c>
      <c r="H148" s="6">
        <v>385.35</v>
      </c>
      <c r="I148" t="s">
        <v>1791</v>
      </c>
      <c r="L148" s="8" t="s">
        <v>2247</v>
      </c>
    </row>
    <row r="149" spans="1:12" x14ac:dyDescent="0.3">
      <c r="A149" t="s">
        <v>2248</v>
      </c>
      <c r="B149" t="s">
        <v>1221</v>
      </c>
      <c r="C149" t="s">
        <v>2249</v>
      </c>
      <c r="D149" t="s">
        <v>2250</v>
      </c>
      <c r="E149" t="s">
        <v>1789</v>
      </c>
      <c r="F149" t="s">
        <v>1790</v>
      </c>
      <c r="G149" t="s">
        <v>635</v>
      </c>
      <c r="H149" s="6">
        <v>453.6</v>
      </c>
      <c r="I149" t="s">
        <v>1791</v>
      </c>
      <c r="L149" s="8" t="s">
        <v>2251</v>
      </c>
    </row>
    <row r="150" spans="1:12" x14ac:dyDescent="0.3">
      <c r="A150" t="s">
        <v>2252</v>
      </c>
      <c r="B150" t="s">
        <v>1221</v>
      </c>
      <c r="C150" t="s">
        <v>2253</v>
      </c>
      <c r="D150" t="s">
        <v>2254</v>
      </c>
      <c r="E150" t="s">
        <v>1789</v>
      </c>
      <c r="F150" t="s">
        <v>1790</v>
      </c>
      <c r="G150" t="s">
        <v>635</v>
      </c>
      <c r="H150" s="6">
        <v>640.5</v>
      </c>
      <c r="I150" t="s">
        <v>1791</v>
      </c>
      <c r="L150" s="8" t="s">
        <v>2255</v>
      </c>
    </row>
    <row r="151" spans="1:12" x14ac:dyDescent="0.3">
      <c r="A151" t="s">
        <v>2256</v>
      </c>
      <c r="B151" t="s">
        <v>1221</v>
      </c>
      <c r="C151" t="s">
        <v>2257</v>
      </c>
      <c r="D151" t="s">
        <v>2258</v>
      </c>
      <c r="E151" t="s">
        <v>1789</v>
      </c>
      <c r="F151" t="s">
        <v>1790</v>
      </c>
      <c r="G151" t="s">
        <v>635</v>
      </c>
      <c r="H151" s="6">
        <v>862.05</v>
      </c>
      <c r="I151" t="s">
        <v>1791</v>
      </c>
      <c r="L151" s="8" t="s">
        <v>2259</v>
      </c>
    </row>
    <row r="152" spans="1:12" x14ac:dyDescent="0.3">
      <c r="A152" t="s">
        <v>2260</v>
      </c>
      <c r="B152" t="s">
        <v>1221</v>
      </c>
      <c r="C152" t="s">
        <v>2261</v>
      </c>
      <c r="D152" t="s">
        <v>2262</v>
      </c>
      <c r="E152" t="s">
        <v>1789</v>
      </c>
      <c r="F152" t="s">
        <v>1790</v>
      </c>
      <c r="G152" t="s">
        <v>635</v>
      </c>
      <c r="H152" s="6">
        <v>442.05</v>
      </c>
      <c r="I152" t="s">
        <v>1791</v>
      </c>
      <c r="L152" s="8" t="s">
        <v>2263</v>
      </c>
    </row>
    <row r="153" spans="1:12" x14ac:dyDescent="0.3">
      <c r="A153" t="s">
        <v>2264</v>
      </c>
      <c r="B153" t="s">
        <v>1221</v>
      </c>
      <c r="C153" t="s">
        <v>2265</v>
      </c>
      <c r="D153" t="s">
        <v>2266</v>
      </c>
      <c r="E153" t="s">
        <v>1789</v>
      </c>
      <c r="F153" t="s">
        <v>1790</v>
      </c>
      <c r="G153" t="s">
        <v>635</v>
      </c>
      <c r="H153" s="6">
        <v>510.3</v>
      </c>
      <c r="I153" t="s">
        <v>1791</v>
      </c>
      <c r="L153" s="8" t="s">
        <v>2267</v>
      </c>
    </row>
    <row r="154" spans="1:12" x14ac:dyDescent="0.3">
      <c r="A154" t="s">
        <v>2268</v>
      </c>
      <c r="B154" t="s">
        <v>1221</v>
      </c>
      <c r="C154" t="s">
        <v>2269</v>
      </c>
      <c r="D154" t="s">
        <v>2270</v>
      </c>
      <c r="E154" t="s">
        <v>1789</v>
      </c>
      <c r="F154" t="s">
        <v>1790</v>
      </c>
      <c r="G154" t="s">
        <v>635</v>
      </c>
      <c r="H154" s="6">
        <v>691.95</v>
      </c>
      <c r="I154" t="s">
        <v>1791</v>
      </c>
      <c r="L154" s="8" t="s">
        <v>2271</v>
      </c>
    </row>
    <row r="155" spans="1:12" x14ac:dyDescent="0.3">
      <c r="A155" t="s">
        <v>2272</v>
      </c>
      <c r="B155" t="s">
        <v>1221</v>
      </c>
      <c r="C155" t="s">
        <v>2273</v>
      </c>
      <c r="D155" t="s">
        <v>2274</v>
      </c>
      <c r="E155" t="s">
        <v>1789</v>
      </c>
      <c r="F155" t="s">
        <v>1790</v>
      </c>
      <c r="G155" t="s">
        <v>635</v>
      </c>
      <c r="H155" s="6">
        <v>895.65</v>
      </c>
      <c r="I155" t="s">
        <v>1791</v>
      </c>
      <c r="L155" s="8" t="s">
        <v>2275</v>
      </c>
    </row>
    <row r="156" spans="1:12" x14ac:dyDescent="0.3">
      <c r="A156" t="s">
        <v>2276</v>
      </c>
      <c r="B156" t="s">
        <v>1221</v>
      </c>
      <c r="C156" t="s">
        <v>2277</v>
      </c>
      <c r="D156" t="s">
        <v>2278</v>
      </c>
      <c r="E156" t="s">
        <v>1789</v>
      </c>
      <c r="F156" t="s">
        <v>1790</v>
      </c>
      <c r="G156" t="s">
        <v>635</v>
      </c>
      <c r="H156" s="6">
        <v>480.9</v>
      </c>
      <c r="I156" t="s">
        <v>1791</v>
      </c>
      <c r="L156" s="8" t="s">
        <v>2279</v>
      </c>
    </row>
    <row r="157" spans="1:12" x14ac:dyDescent="0.3">
      <c r="A157" t="s">
        <v>2280</v>
      </c>
      <c r="B157" t="s">
        <v>1221</v>
      </c>
      <c r="C157" t="s">
        <v>2281</v>
      </c>
      <c r="D157" t="s">
        <v>2282</v>
      </c>
      <c r="E157" t="s">
        <v>1789</v>
      </c>
      <c r="F157" t="s">
        <v>1790</v>
      </c>
      <c r="G157" t="s">
        <v>635</v>
      </c>
      <c r="H157" s="6">
        <v>533.4</v>
      </c>
      <c r="I157" t="s">
        <v>1791</v>
      </c>
      <c r="L157" s="8" t="s">
        <v>2283</v>
      </c>
    </row>
    <row r="158" spans="1:12" x14ac:dyDescent="0.3">
      <c r="A158" t="s">
        <v>2284</v>
      </c>
      <c r="B158" t="s">
        <v>1221</v>
      </c>
      <c r="C158" t="s">
        <v>2285</v>
      </c>
      <c r="D158" t="s">
        <v>2286</v>
      </c>
      <c r="E158" t="s">
        <v>1789</v>
      </c>
      <c r="F158" t="s">
        <v>1790</v>
      </c>
      <c r="G158" t="s">
        <v>635</v>
      </c>
      <c r="H158" s="6">
        <v>714</v>
      </c>
      <c r="I158" t="s">
        <v>1791</v>
      </c>
      <c r="L158" s="8" t="s">
        <v>2287</v>
      </c>
    </row>
    <row r="159" spans="1:12" x14ac:dyDescent="0.3">
      <c r="A159" t="s">
        <v>2288</v>
      </c>
      <c r="B159" t="s">
        <v>1221</v>
      </c>
      <c r="C159" t="s">
        <v>2289</v>
      </c>
      <c r="D159" t="s">
        <v>2290</v>
      </c>
      <c r="E159" t="s">
        <v>1789</v>
      </c>
      <c r="F159" t="s">
        <v>1790</v>
      </c>
      <c r="G159" t="s">
        <v>635</v>
      </c>
      <c r="H159" s="6">
        <v>918.75</v>
      </c>
      <c r="I159" t="s">
        <v>1791</v>
      </c>
      <c r="L159" s="8" t="s">
        <v>2291</v>
      </c>
    </row>
    <row r="160" spans="1:12" x14ac:dyDescent="0.3">
      <c r="A160" t="s">
        <v>2292</v>
      </c>
      <c r="B160" t="s">
        <v>1221</v>
      </c>
      <c r="C160" t="s">
        <v>2293</v>
      </c>
      <c r="D160" t="s">
        <v>2294</v>
      </c>
      <c r="E160" t="s">
        <v>1789</v>
      </c>
      <c r="F160" t="s">
        <v>1790</v>
      </c>
      <c r="G160" t="s">
        <v>635</v>
      </c>
      <c r="H160" s="6">
        <v>760.2</v>
      </c>
      <c r="I160" t="s">
        <v>1791</v>
      </c>
      <c r="L160" s="8" t="s">
        <v>2295</v>
      </c>
    </row>
    <row r="161" spans="1:12" x14ac:dyDescent="0.3">
      <c r="A161" t="s">
        <v>2296</v>
      </c>
      <c r="B161" t="s">
        <v>1221</v>
      </c>
      <c r="C161" t="s">
        <v>2297</v>
      </c>
      <c r="D161" t="s">
        <v>2298</v>
      </c>
      <c r="E161" t="s">
        <v>1789</v>
      </c>
      <c r="F161" t="s">
        <v>1790</v>
      </c>
      <c r="G161" t="s">
        <v>635</v>
      </c>
      <c r="H161" s="6">
        <v>963.9</v>
      </c>
      <c r="I161" t="s">
        <v>1791</v>
      </c>
      <c r="L161" s="8" t="s">
        <v>2299</v>
      </c>
    </row>
    <row r="162" spans="1:12" x14ac:dyDescent="0.3">
      <c r="A162" t="s">
        <v>2300</v>
      </c>
      <c r="B162" t="s">
        <v>1221</v>
      </c>
      <c r="C162" t="s">
        <v>2301</v>
      </c>
      <c r="D162" t="s">
        <v>2302</v>
      </c>
      <c r="E162" t="s">
        <v>1789</v>
      </c>
      <c r="F162" t="s">
        <v>1790</v>
      </c>
      <c r="G162" t="s">
        <v>635</v>
      </c>
      <c r="H162" s="6">
        <v>862.05</v>
      </c>
      <c r="I162" t="s">
        <v>1791</v>
      </c>
      <c r="L162" s="8" t="s">
        <v>2303</v>
      </c>
    </row>
    <row r="163" spans="1:12" x14ac:dyDescent="0.3">
      <c r="A163" t="s">
        <v>2304</v>
      </c>
      <c r="B163" t="s">
        <v>1221</v>
      </c>
      <c r="C163" t="s">
        <v>2305</v>
      </c>
      <c r="D163" t="s">
        <v>2306</v>
      </c>
      <c r="E163" t="s">
        <v>1789</v>
      </c>
      <c r="F163" t="s">
        <v>1790</v>
      </c>
      <c r="G163" t="s">
        <v>635</v>
      </c>
      <c r="H163" s="6">
        <v>1077.3</v>
      </c>
      <c r="I163" t="s">
        <v>1791</v>
      </c>
      <c r="L163" s="8" t="s">
        <v>2307</v>
      </c>
    </row>
    <row r="164" spans="1:12" x14ac:dyDescent="0.3">
      <c r="A164" t="s">
        <v>2308</v>
      </c>
      <c r="B164" t="s">
        <v>1221</v>
      </c>
      <c r="C164" t="s">
        <v>2309</v>
      </c>
      <c r="D164" t="s">
        <v>2310</v>
      </c>
      <c r="E164" t="s">
        <v>1789</v>
      </c>
      <c r="F164" t="s">
        <v>1790</v>
      </c>
      <c r="G164" t="s">
        <v>635</v>
      </c>
      <c r="H164" s="6">
        <v>930.3</v>
      </c>
      <c r="I164" t="s">
        <v>1791</v>
      </c>
      <c r="L164" s="8" t="s">
        <v>2311</v>
      </c>
    </row>
    <row r="165" spans="1:12" x14ac:dyDescent="0.3">
      <c r="A165" t="s">
        <v>2312</v>
      </c>
      <c r="B165" t="s">
        <v>1221</v>
      </c>
      <c r="C165" t="s">
        <v>2313</v>
      </c>
      <c r="D165" t="s">
        <v>2314</v>
      </c>
      <c r="E165" t="s">
        <v>1789</v>
      </c>
      <c r="F165" t="s">
        <v>1790</v>
      </c>
      <c r="G165" t="s">
        <v>635</v>
      </c>
      <c r="H165" s="6">
        <v>1190.7</v>
      </c>
      <c r="I165" t="s">
        <v>1791</v>
      </c>
      <c r="L165" s="8" t="s">
        <v>2315</v>
      </c>
    </row>
    <row r="166" spans="1:12" x14ac:dyDescent="0.3">
      <c r="A166" t="s">
        <v>2316</v>
      </c>
      <c r="B166" t="s">
        <v>1221</v>
      </c>
      <c r="C166" t="s">
        <v>2317</v>
      </c>
      <c r="D166" t="s">
        <v>2318</v>
      </c>
      <c r="E166" t="s">
        <v>1789</v>
      </c>
      <c r="F166" t="s">
        <v>1790</v>
      </c>
      <c r="G166" t="s">
        <v>635</v>
      </c>
      <c r="H166" s="6">
        <v>816.9</v>
      </c>
      <c r="I166" t="s">
        <v>1791</v>
      </c>
      <c r="L166" s="8" t="s">
        <v>2319</v>
      </c>
    </row>
    <row r="167" spans="1:12" x14ac:dyDescent="0.3">
      <c r="A167" t="s">
        <v>2320</v>
      </c>
      <c r="B167" t="s">
        <v>1221</v>
      </c>
      <c r="C167" t="s">
        <v>2321</v>
      </c>
      <c r="D167" t="s">
        <v>2322</v>
      </c>
      <c r="E167" t="s">
        <v>1789</v>
      </c>
      <c r="F167" t="s">
        <v>1790</v>
      </c>
      <c r="G167" t="s">
        <v>635</v>
      </c>
      <c r="H167" s="6">
        <v>975.45</v>
      </c>
      <c r="I167" t="s">
        <v>1791</v>
      </c>
      <c r="L167" s="8" t="s">
        <v>2323</v>
      </c>
    </row>
    <row r="168" spans="1:12" x14ac:dyDescent="0.3">
      <c r="A168" t="s">
        <v>2324</v>
      </c>
      <c r="B168" t="s">
        <v>1221</v>
      </c>
      <c r="C168" t="s">
        <v>2325</v>
      </c>
      <c r="D168" t="s">
        <v>2326</v>
      </c>
      <c r="E168" t="s">
        <v>1789</v>
      </c>
      <c r="F168" t="s">
        <v>1790</v>
      </c>
      <c r="G168" t="s">
        <v>635</v>
      </c>
      <c r="H168" s="6">
        <v>1247.4000000000001</v>
      </c>
      <c r="I168" t="s">
        <v>1791</v>
      </c>
      <c r="L168" s="8" t="s">
        <v>2327</v>
      </c>
    </row>
    <row r="169" spans="1:12" x14ac:dyDescent="0.3">
      <c r="A169" t="s">
        <v>2328</v>
      </c>
      <c r="B169" t="s">
        <v>1221</v>
      </c>
      <c r="C169" t="s">
        <v>2329</v>
      </c>
      <c r="D169" t="s">
        <v>2330</v>
      </c>
      <c r="E169" t="s">
        <v>1789</v>
      </c>
      <c r="F169" t="s">
        <v>1790</v>
      </c>
      <c r="G169" t="s">
        <v>635</v>
      </c>
      <c r="H169" s="6">
        <v>521.85</v>
      </c>
      <c r="I169" t="s">
        <v>1791</v>
      </c>
      <c r="L169" s="8" t="s">
        <v>2331</v>
      </c>
    </row>
    <row r="170" spans="1:12" x14ac:dyDescent="0.3">
      <c r="A170" t="s">
        <v>2332</v>
      </c>
      <c r="B170" t="s">
        <v>1221</v>
      </c>
      <c r="C170" t="s">
        <v>2333</v>
      </c>
      <c r="D170" t="s">
        <v>2334</v>
      </c>
      <c r="E170" t="s">
        <v>1789</v>
      </c>
      <c r="F170" t="s">
        <v>1790</v>
      </c>
      <c r="G170" t="s">
        <v>635</v>
      </c>
      <c r="H170" s="6">
        <v>680.4</v>
      </c>
      <c r="I170" t="s">
        <v>1791</v>
      </c>
      <c r="L170" s="8" t="s">
        <v>2335</v>
      </c>
    </row>
    <row r="171" spans="1:12" x14ac:dyDescent="0.3">
      <c r="A171" t="s">
        <v>2336</v>
      </c>
      <c r="B171" t="s">
        <v>1221</v>
      </c>
      <c r="C171" t="s">
        <v>2337</v>
      </c>
      <c r="D171" t="s">
        <v>2338</v>
      </c>
      <c r="E171" t="s">
        <v>1789</v>
      </c>
      <c r="F171" t="s">
        <v>1790</v>
      </c>
      <c r="G171" t="s">
        <v>635</v>
      </c>
      <c r="H171" s="6">
        <v>303.45</v>
      </c>
      <c r="I171" t="s">
        <v>1791</v>
      </c>
      <c r="L171" s="8" t="s">
        <v>2339</v>
      </c>
    </row>
    <row r="172" spans="1:12" x14ac:dyDescent="0.3">
      <c r="A172" t="s">
        <v>2340</v>
      </c>
      <c r="B172" t="s">
        <v>1221</v>
      </c>
      <c r="C172" t="s">
        <v>2341</v>
      </c>
      <c r="D172" t="s">
        <v>2342</v>
      </c>
      <c r="E172" t="s">
        <v>1789</v>
      </c>
      <c r="F172" t="s">
        <v>1790</v>
      </c>
      <c r="G172" t="s">
        <v>635</v>
      </c>
      <c r="H172" s="6">
        <v>408.45</v>
      </c>
      <c r="I172" t="s">
        <v>1791</v>
      </c>
      <c r="L172" s="8" t="s">
        <v>2343</v>
      </c>
    </row>
    <row r="173" spans="1:12" x14ac:dyDescent="0.3">
      <c r="A173" t="s">
        <v>2344</v>
      </c>
      <c r="B173" t="s">
        <v>1221</v>
      </c>
      <c r="C173" t="s">
        <v>2345</v>
      </c>
      <c r="D173" t="s">
        <v>2346</v>
      </c>
      <c r="E173" t="s">
        <v>1789</v>
      </c>
      <c r="F173" t="s">
        <v>1790</v>
      </c>
      <c r="G173" t="s">
        <v>635</v>
      </c>
      <c r="H173" s="6">
        <v>1327.2</v>
      </c>
      <c r="I173" t="s">
        <v>1791</v>
      </c>
      <c r="L173" s="8" t="s">
        <v>2347</v>
      </c>
    </row>
    <row r="174" spans="1:12" x14ac:dyDescent="0.3">
      <c r="A174" t="s">
        <v>2348</v>
      </c>
      <c r="B174" t="s">
        <v>1221</v>
      </c>
      <c r="C174" t="s">
        <v>2349</v>
      </c>
      <c r="D174" t="s">
        <v>2350</v>
      </c>
      <c r="E174" t="s">
        <v>1789</v>
      </c>
      <c r="F174" t="s">
        <v>1790</v>
      </c>
      <c r="G174" t="s">
        <v>635</v>
      </c>
      <c r="H174" s="6">
        <v>1383.9</v>
      </c>
      <c r="I174" t="s">
        <v>1791</v>
      </c>
      <c r="L174" s="8" t="s">
        <v>2351</v>
      </c>
    </row>
    <row r="175" spans="1:12" x14ac:dyDescent="0.3">
      <c r="A175" t="s">
        <v>2352</v>
      </c>
      <c r="B175" t="s">
        <v>1221</v>
      </c>
      <c r="C175" t="s">
        <v>2353</v>
      </c>
      <c r="D175" t="s">
        <v>2354</v>
      </c>
      <c r="E175" t="s">
        <v>1789</v>
      </c>
      <c r="F175" t="s">
        <v>1790</v>
      </c>
      <c r="G175" t="s">
        <v>635</v>
      </c>
      <c r="H175" s="6">
        <v>533.4</v>
      </c>
      <c r="I175" t="s">
        <v>1791</v>
      </c>
      <c r="L175" s="8" t="s">
        <v>2355</v>
      </c>
    </row>
    <row r="176" spans="1:12" x14ac:dyDescent="0.3">
      <c r="A176" t="s">
        <v>2356</v>
      </c>
      <c r="B176" t="s">
        <v>1221</v>
      </c>
      <c r="C176" t="s">
        <v>2357</v>
      </c>
      <c r="D176" t="s">
        <v>2358</v>
      </c>
      <c r="E176" t="s">
        <v>1789</v>
      </c>
      <c r="F176" t="s">
        <v>1790</v>
      </c>
      <c r="G176" t="s">
        <v>635</v>
      </c>
      <c r="H176" s="6">
        <v>703.5</v>
      </c>
      <c r="I176" t="s">
        <v>1791</v>
      </c>
      <c r="L176" s="8" t="s">
        <v>2359</v>
      </c>
    </row>
    <row r="177" spans="1:12" x14ac:dyDescent="0.3">
      <c r="A177" t="s">
        <v>2360</v>
      </c>
      <c r="B177" t="s">
        <v>1221</v>
      </c>
      <c r="C177" t="s">
        <v>2361</v>
      </c>
      <c r="D177" t="s">
        <v>2362</v>
      </c>
      <c r="E177" t="s">
        <v>1789</v>
      </c>
      <c r="F177" t="s">
        <v>1790</v>
      </c>
      <c r="G177" t="s">
        <v>635</v>
      </c>
      <c r="H177" s="6">
        <v>317.10000000000002</v>
      </c>
      <c r="I177" t="s">
        <v>1791</v>
      </c>
      <c r="L177" s="8" t="s">
        <v>2363</v>
      </c>
    </row>
    <row r="178" spans="1:12" x14ac:dyDescent="0.3">
      <c r="A178" t="s">
        <v>2364</v>
      </c>
      <c r="B178" t="s">
        <v>1221</v>
      </c>
      <c r="C178" t="s">
        <v>2365</v>
      </c>
      <c r="D178" t="s">
        <v>2366</v>
      </c>
      <c r="E178" t="s">
        <v>1789</v>
      </c>
      <c r="F178" t="s">
        <v>1790</v>
      </c>
      <c r="G178" t="s">
        <v>635</v>
      </c>
      <c r="H178" s="6">
        <v>420</v>
      </c>
      <c r="I178" t="s">
        <v>1791</v>
      </c>
      <c r="L178" s="8" t="s">
        <v>2367</v>
      </c>
    </row>
    <row r="179" spans="1:12" x14ac:dyDescent="0.3">
      <c r="A179" t="s">
        <v>2368</v>
      </c>
      <c r="B179" t="s">
        <v>1221</v>
      </c>
      <c r="C179" t="s">
        <v>2369</v>
      </c>
      <c r="D179" t="s">
        <v>2370</v>
      </c>
      <c r="E179" t="s">
        <v>1789</v>
      </c>
      <c r="F179" t="s">
        <v>1790</v>
      </c>
      <c r="G179" t="s">
        <v>635</v>
      </c>
      <c r="H179" s="6">
        <v>1394.4</v>
      </c>
      <c r="I179" t="s">
        <v>1791</v>
      </c>
      <c r="L179" s="8" t="s">
        <v>2371</v>
      </c>
    </row>
    <row r="180" spans="1:12" x14ac:dyDescent="0.3">
      <c r="A180" t="s">
        <v>2372</v>
      </c>
      <c r="B180" t="s">
        <v>1221</v>
      </c>
      <c r="C180" t="s">
        <v>2373</v>
      </c>
      <c r="D180" t="s">
        <v>2374</v>
      </c>
      <c r="E180" t="s">
        <v>1789</v>
      </c>
      <c r="F180" t="s">
        <v>1790</v>
      </c>
      <c r="G180" t="s">
        <v>635</v>
      </c>
      <c r="H180" s="6">
        <v>1429.05</v>
      </c>
      <c r="I180" t="s">
        <v>1791</v>
      </c>
      <c r="L180" s="8" t="s">
        <v>2375</v>
      </c>
    </row>
    <row r="181" spans="1:12" x14ac:dyDescent="0.3">
      <c r="A181" t="s">
        <v>2376</v>
      </c>
      <c r="B181" t="s">
        <v>1221</v>
      </c>
      <c r="C181" t="s">
        <v>2377</v>
      </c>
      <c r="D181" t="s">
        <v>2378</v>
      </c>
      <c r="E181" t="s">
        <v>1789</v>
      </c>
      <c r="F181" t="s">
        <v>1790</v>
      </c>
      <c r="G181" t="s">
        <v>635</v>
      </c>
      <c r="H181" s="6">
        <v>547.04999999999995</v>
      </c>
      <c r="I181" t="s">
        <v>1791</v>
      </c>
      <c r="L181" s="8" t="s">
        <v>2379</v>
      </c>
    </row>
    <row r="182" spans="1:12" x14ac:dyDescent="0.3">
      <c r="A182" t="s">
        <v>2380</v>
      </c>
      <c r="B182" t="s">
        <v>1221</v>
      </c>
      <c r="C182" t="s">
        <v>2381</v>
      </c>
      <c r="D182" t="s">
        <v>2382</v>
      </c>
      <c r="E182" t="s">
        <v>1789</v>
      </c>
      <c r="F182" t="s">
        <v>1790</v>
      </c>
      <c r="G182" t="s">
        <v>635</v>
      </c>
      <c r="H182" s="6">
        <v>725.55</v>
      </c>
      <c r="I182" t="s">
        <v>1791</v>
      </c>
      <c r="L182" s="8" t="s">
        <v>2383</v>
      </c>
    </row>
    <row r="183" spans="1:12" x14ac:dyDescent="0.3">
      <c r="A183" t="s">
        <v>2384</v>
      </c>
      <c r="B183" t="s">
        <v>1221</v>
      </c>
      <c r="C183" t="s">
        <v>2385</v>
      </c>
      <c r="D183" t="s">
        <v>2386</v>
      </c>
      <c r="E183" t="s">
        <v>1789</v>
      </c>
      <c r="F183" t="s">
        <v>1790</v>
      </c>
      <c r="G183" t="s">
        <v>635</v>
      </c>
      <c r="H183" s="6">
        <v>328.65</v>
      </c>
      <c r="I183" t="s">
        <v>1791</v>
      </c>
      <c r="L183" s="8" t="s">
        <v>2387</v>
      </c>
    </row>
    <row r="184" spans="1:12" x14ac:dyDescent="0.3">
      <c r="A184" t="s">
        <v>2388</v>
      </c>
      <c r="B184" t="s">
        <v>1221</v>
      </c>
      <c r="C184" t="s">
        <v>2389</v>
      </c>
      <c r="D184" t="s">
        <v>2390</v>
      </c>
      <c r="E184" t="s">
        <v>1789</v>
      </c>
      <c r="F184" t="s">
        <v>1790</v>
      </c>
      <c r="G184" t="s">
        <v>635</v>
      </c>
      <c r="H184" s="6">
        <v>430.5</v>
      </c>
      <c r="I184" t="s">
        <v>1791</v>
      </c>
      <c r="L184" s="8" t="s">
        <v>2391</v>
      </c>
    </row>
    <row r="185" spans="1:12" x14ac:dyDescent="0.3">
      <c r="A185" t="s">
        <v>2392</v>
      </c>
      <c r="B185" t="s">
        <v>1221</v>
      </c>
      <c r="C185" t="s">
        <v>2393</v>
      </c>
      <c r="D185" t="s">
        <v>2394</v>
      </c>
      <c r="E185" t="s">
        <v>1789</v>
      </c>
      <c r="F185" t="s">
        <v>1790</v>
      </c>
      <c r="G185" t="s">
        <v>635</v>
      </c>
      <c r="H185" s="6">
        <v>317.10000000000002</v>
      </c>
      <c r="I185" t="s">
        <v>1791</v>
      </c>
      <c r="L185" s="8" t="s">
        <v>2395</v>
      </c>
    </row>
    <row r="186" spans="1:12" x14ac:dyDescent="0.3">
      <c r="A186" t="s">
        <v>2396</v>
      </c>
      <c r="B186" t="s">
        <v>1221</v>
      </c>
      <c r="C186" t="s">
        <v>2397</v>
      </c>
      <c r="D186" t="s">
        <v>2398</v>
      </c>
      <c r="E186" t="s">
        <v>1789</v>
      </c>
      <c r="F186" t="s">
        <v>1790</v>
      </c>
      <c r="G186" t="s">
        <v>635</v>
      </c>
      <c r="H186" s="6">
        <v>331.8</v>
      </c>
      <c r="I186" t="s">
        <v>1791</v>
      </c>
      <c r="L186" s="8" t="s">
        <v>2399</v>
      </c>
    </row>
    <row r="187" spans="1:12" x14ac:dyDescent="0.3">
      <c r="A187" t="s">
        <v>2400</v>
      </c>
      <c r="B187" t="s">
        <v>1221</v>
      </c>
      <c r="C187" t="s">
        <v>2401</v>
      </c>
      <c r="D187" t="s">
        <v>2402</v>
      </c>
      <c r="E187" t="s">
        <v>1789</v>
      </c>
      <c r="F187" t="s">
        <v>1790</v>
      </c>
      <c r="G187" t="s">
        <v>635</v>
      </c>
      <c r="H187" s="6">
        <v>368.55</v>
      </c>
      <c r="I187" t="s">
        <v>1791</v>
      </c>
      <c r="L187" s="8" t="s">
        <v>2403</v>
      </c>
    </row>
    <row r="188" spans="1:12" x14ac:dyDescent="0.3">
      <c r="A188" t="s">
        <v>2404</v>
      </c>
      <c r="B188" t="s">
        <v>1221</v>
      </c>
      <c r="C188" t="s">
        <v>2405</v>
      </c>
      <c r="D188" t="s">
        <v>2406</v>
      </c>
      <c r="E188" t="s">
        <v>1789</v>
      </c>
      <c r="F188" t="s">
        <v>1790</v>
      </c>
      <c r="G188" t="s">
        <v>635</v>
      </c>
      <c r="H188" s="6">
        <v>510.3</v>
      </c>
      <c r="I188" t="s">
        <v>1791</v>
      </c>
      <c r="L188" s="8" t="s">
        <v>2407</v>
      </c>
    </row>
    <row r="189" spans="1:12" x14ac:dyDescent="0.3">
      <c r="A189" t="s">
        <v>2408</v>
      </c>
      <c r="B189" t="s">
        <v>1221</v>
      </c>
      <c r="C189" t="s">
        <v>2409</v>
      </c>
      <c r="D189" t="s">
        <v>2410</v>
      </c>
      <c r="E189" t="s">
        <v>1789</v>
      </c>
      <c r="F189" t="s">
        <v>1790</v>
      </c>
      <c r="G189" t="s">
        <v>635</v>
      </c>
      <c r="H189" s="6">
        <v>533.4</v>
      </c>
      <c r="I189" t="s">
        <v>1791</v>
      </c>
      <c r="L189" s="8" t="s">
        <v>2411</v>
      </c>
    </row>
    <row r="190" spans="1:12" x14ac:dyDescent="0.3">
      <c r="A190" t="s">
        <v>2412</v>
      </c>
      <c r="B190" t="s">
        <v>1221</v>
      </c>
      <c r="C190" t="s">
        <v>2413</v>
      </c>
      <c r="D190" t="s">
        <v>2414</v>
      </c>
      <c r="E190" t="s">
        <v>1789</v>
      </c>
      <c r="F190" t="s">
        <v>1790</v>
      </c>
      <c r="G190" t="s">
        <v>635</v>
      </c>
      <c r="H190" s="6">
        <v>555.45000000000005</v>
      </c>
      <c r="I190" t="s">
        <v>1791</v>
      </c>
      <c r="L190" s="8" t="s">
        <v>2415</v>
      </c>
    </row>
    <row r="191" spans="1:12" x14ac:dyDescent="0.3">
      <c r="A191" t="s">
        <v>2416</v>
      </c>
      <c r="B191" t="s">
        <v>1221</v>
      </c>
      <c r="C191" t="s">
        <v>2417</v>
      </c>
      <c r="D191" t="s">
        <v>2418</v>
      </c>
      <c r="E191" t="s">
        <v>1789</v>
      </c>
      <c r="F191" t="s">
        <v>1790</v>
      </c>
      <c r="G191" t="s">
        <v>635</v>
      </c>
      <c r="H191" s="6">
        <v>595.35</v>
      </c>
      <c r="I191" t="s">
        <v>1791</v>
      </c>
      <c r="L191" s="8" t="s">
        <v>2419</v>
      </c>
    </row>
    <row r="192" spans="1:12" x14ac:dyDescent="0.3">
      <c r="A192" t="s">
        <v>2420</v>
      </c>
      <c r="B192" t="s">
        <v>1221</v>
      </c>
      <c r="C192" t="s">
        <v>2421</v>
      </c>
      <c r="D192" t="s">
        <v>2422</v>
      </c>
      <c r="E192" t="s">
        <v>1789</v>
      </c>
      <c r="F192" t="s">
        <v>1790</v>
      </c>
      <c r="G192" t="s">
        <v>635</v>
      </c>
      <c r="H192" s="6">
        <v>623.70000000000005</v>
      </c>
      <c r="I192" t="s">
        <v>1791</v>
      </c>
      <c r="L192" s="8" t="s">
        <v>2423</v>
      </c>
    </row>
    <row r="193" spans="1:12" x14ac:dyDescent="0.3">
      <c r="A193" t="s">
        <v>2424</v>
      </c>
      <c r="B193" t="s">
        <v>1221</v>
      </c>
      <c r="C193" t="s">
        <v>2425</v>
      </c>
      <c r="D193" t="s">
        <v>2426</v>
      </c>
      <c r="E193" t="s">
        <v>1789</v>
      </c>
      <c r="F193" t="s">
        <v>1790</v>
      </c>
      <c r="G193" t="s">
        <v>635</v>
      </c>
      <c r="H193" s="6">
        <v>646.79999999999995</v>
      </c>
      <c r="I193" t="s">
        <v>1791</v>
      </c>
      <c r="L193" s="8" t="s">
        <v>2427</v>
      </c>
    </row>
    <row r="194" spans="1:12" x14ac:dyDescent="0.3">
      <c r="A194" t="s">
        <v>2428</v>
      </c>
      <c r="B194" t="s">
        <v>1221</v>
      </c>
      <c r="C194" t="s">
        <v>2429</v>
      </c>
      <c r="D194" t="s">
        <v>2430</v>
      </c>
      <c r="E194" t="s">
        <v>1789</v>
      </c>
      <c r="F194" t="s">
        <v>1790</v>
      </c>
      <c r="G194" t="s">
        <v>635</v>
      </c>
      <c r="H194" s="6">
        <v>289.8</v>
      </c>
      <c r="I194" t="s">
        <v>1791</v>
      </c>
      <c r="L194" s="8" t="s">
        <v>2431</v>
      </c>
    </row>
    <row r="195" spans="1:12" x14ac:dyDescent="0.3">
      <c r="A195" t="s">
        <v>2432</v>
      </c>
      <c r="B195" t="s">
        <v>1221</v>
      </c>
      <c r="C195" t="s">
        <v>2433</v>
      </c>
      <c r="D195" t="s">
        <v>2434</v>
      </c>
      <c r="E195" t="s">
        <v>1789</v>
      </c>
      <c r="F195" t="s">
        <v>1790</v>
      </c>
      <c r="G195" t="s">
        <v>635</v>
      </c>
      <c r="H195" s="6">
        <v>295.05</v>
      </c>
      <c r="I195" t="s">
        <v>1791</v>
      </c>
      <c r="L195" s="8" t="s">
        <v>2435</v>
      </c>
    </row>
    <row r="196" spans="1:12" x14ac:dyDescent="0.3">
      <c r="A196" t="s">
        <v>2436</v>
      </c>
      <c r="B196" t="s">
        <v>1221</v>
      </c>
      <c r="C196" t="s">
        <v>2437</v>
      </c>
      <c r="D196" t="s">
        <v>2438</v>
      </c>
      <c r="E196" t="s">
        <v>1789</v>
      </c>
      <c r="F196" t="s">
        <v>1790</v>
      </c>
      <c r="G196" t="s">
        <v>635</v>
      </c>
      <c r="H196" s="6">
        <v>303.45</v>
      </c>
      <c r="I196" t="s">
        <v>1791</v>
      </c>
      <c r="L196" s="8" t="s">
        <v>2439</v>
      </c>
    </row>
    <row r="197" spans="1:12" x14ac:dyDescent="0.3">
      <c r="A197" t="s">
        <v>2440</v>
      </c>
      <c r="B197" t="s">
        <v>1221</v>
      </c>
      <c r="C197" t="s">
        <v>2441</v>
      </c>
      <c r="D197" t="s">
        <v>2442</v>
      </c>
      <c r="E197" t="s">
        <v>1789</v>
      </c>
      <c r="F197" t="s">
        <v>1790</v>
      </c>
      <c r="G197" t="s">
        <v>635</v>
      </c>
      <c r="H197" s="6">
        <v>680.4</v>
      </c>
      <c r="I197" t="s">
        <v>1791</v>
      </c>
      <c r="L197" s="8" t="s">
        <v>2443</v>
      </c>
    </row>
    <row r="198" spans="1:12" x14ac:dyDescent="0.3">
      <c r="A198" t="s">
        <v>2444</v>
      </c>
      <c r="B198" t="s">
        <v>1221</v>
      </c>
      <c r="C198" t="s">
        <v>2445</v>
      </c>
      <c r="D198" t="s">
        <v>2446</v>
      </c>
      <c r="E198" t="s">
        <v>1789</v>
      </c>
      <c r="F198" t="s">
        <v>1790</v>
      </c>
      <c r="G198" t="s">
        <v>635</v>
      </c>
      <c r="H198" s="6">
        <v>1961.4</v>
      </c>
      <c r="I198" t="s">
        <v>1791</v>
      </c>
      <c r="L198" s="8" t="s">
        <v>2447</v>
      </c>
    </row>
    <row r="199" spans="1:12" x14ac:dyDescent="0.3">
      <c r="A199" t="s">
        <v>2448</v>
      </c>
      <c r="B199" t="s">
        <v>1221</v>
      </c>
      <c r="C199" t="s">
        <v>2449</v>
      </c>
      <c r="D199" t="s">
        <v>2450</v>
      </c>
      <c r="E199" t="s">
        <v>1789</v>
      </c>
      <c r="F199" t="s">
        <v>1790</v>
      </c>
      <c r="G199" t="s">
        <v>635</v>
      </c>
      <c r="H199" s="6">
        <v>278.25</v>
      </c>
      <c r="I199" t="s">
        <v>1791</v>
      </c>
      <c r="L199" s="8" t="s">
        <v>2451</v>
      </c>
    </row>
    <row r="200" spans="1:12" x14ac:dyDescent="0.3">
      <c r="A200" t="s">
        <v>2452</v>
      </c>
      <c r="B200" t="s">
        <v>1221</v>
      </c>
      <c r="C200" t="s">
        <v>2453</v>
      </c>
      <c r="D200" t="s">
        <v>2454</v>
      </c>
      <c r="E200" t="s">
        <v>1789</v>
      </c>
      <c r="F200" t="s">
        <v>1790</v>
      </c>
      <c r="G200" t="s">
        <v>635</v>
      </c>
      <c r="H200" s="6">
        <v>305.55</v>
      </c>
      <c r="I200" t="s">
        <v>1791</v>
      </c>
      <c r="L200" s="8" t="s">
        <v>2455</v>
      </c>
    </row>
    <row r="201" spans="1:12" x14ac:dyDescent="0.3">
      <c r="A201" t="s">
        <v>2456</v>
      </c>
      <c r="B201" t="s">
        <v>1221</v>
      </c>
      <c r="C201" t="s">
        <v>2457</v>
      </c>
      <c r="D201" t="s">
        <v>2458</v>
      </c>
      <c r="E201" t="s">
        <v>1789</v>
      </c>
      <c r="F201" t="s">
        <v>1790</v>
      </c>
      <c r="G201" t="s">
        <v>635</v>
      </c>
      <c r="H201" s="6">
        <v>326.55</v>
      </c>
      <c r="I201" t="s">
        <v>1791</v>
      </c>
      <c r="L201" s="8" t="s">
        <v>2459</v>
      </c>
    </row>
    <row r="202" spans="1:12" x14ac:dyDescent="0.3">
      <c r="A202" t="s">
        <v>2460</v>
      </c>
      <c r="B202" t="s">
        <v>1221</v>
      </c>
      <c r="C202" t="s">
        <v>2461</v>
      </c>
      <c r="D202" t="s">
        <v>2462</v>
      </c>
      <c r="E202" t="s">
        <v>1789</v>
      </c>
      <c r="F202" t="s">
        <v>1790</v>
      </c>
      <c r="G202" t="s">
        <v>635</v>
      </c>
      <c r="H202" s="6">
        <v>349.65</v>
      </c>
      <c r="I202" t="s">
        <v>1791</v>
      </c>
      <c r="L202" s="8" t="s">
        <v>2463</v>
      </c>
    </row>
    <row r="203" spans="1:12" x14ac:dyDescent="0.3">
      <c r="A203" t="s">
        <v>2464</v>
      </c>
      <c r="B203" t="s">
        <v>1221</v>
      </c>
      <c r="C203" t="s">
        <v>2465</v>
      </c>
      <c r="D203" t="s">
        <v>2466</v>
      </c>
      <c r="E203" t="s">
        <v>1789</v>
      </c>
      <c r="F203" t="s">
        <v>1790</v>
      </c>
      <c r="G203" t="s">
        <v>635</v>
      </c>
      <c r="H203" s="6">
        <v>394.8</v>
      </c>
      <c r="I203" t="s">
        <v>1791</v>
      </c>
      <c r="L203" s="8" t="s">
        <v>2467</v>
      </c>
    </row>
    <row r="204" spans="1:12" x14ac:dyDescent="0.3">
      <c r="A204" t="s">
        <v>2468</v>
      </c>
      <c r="B204" t="s">
        <v>1221</v>
      </c>
      <c r="C204" t="s">
        <v>2469</v>
      </c>
      <c r="D204" t="s">
        <v>2470</v>
      </c>
      <c r="E204" t="s">
        <v>1789</v>
      </c>
      <c r="F204" t="s">
        <v>1790</v>
      </c>
      <c r="G204" t="s">
        <v>635</v>
      </c>
      <c r="H204" s="6">
        <v>420</v>
      </c>
      <c r="I204" t="s">
        <v>1791</v>
      </c>
      <c r="L204" s="8" t="s">
        <v>2471</v>
      </c>
    </row>
    <row r="205" spans="1:12" x14ac:dyDescent="0.3">
      <c r="A205" t="s">
        <v>2472</v>
      </c>
      <c r="B205" t="s">
        <v>1221</v>
      </c>
      <c r="C205" t="s">
        <v>2473</v>
      </c>
      <c r="D205" t="s">
        <v>2474</v>
      </c>
      <c r="E205" t="s">
        <v>1789</v>
      </c>
      <c r="F205" t="s">
        <v>1790</v>
      </c>
      <c r="G205" t="s">
        <v>635</v>
      </c>
      <c r="H205" s="6">
        <v>267.75</v>
      </c>
      <c r="I205" t="s">
        <v>1791</v>
      </c>
      <c r="L205" s="8" t="s">
        <v>2475</v>
      </c>
    </row>
    <row r="206" spans="1:12" x14ac:dyDescent="0.3">
      <c r="A206" t="s">
        <v>2476</v>
      </c>
      <c r="B206" t="s">
        <v>1221</v>
      </c>
      <c r="C206" t="s">
        <v>2477</v>
      </c>
      <c r="D206" t="s">
        <v>2478</v>
      </c>
      <c r="E206" t="s">
        <v>1789</v>
      </c>
      <c r="F206" t="s">
        <v>1790</v>
      </c>
      <c r="G206" t="s">
        <v>635</v>
      </c>
      <c r="H206" s="6">
        <v>269.85000000000002</v>
      </c>
      <c r="I206" t="s">
        <v>1791</v>
      </c>
      <c r="L206" s="8" t="s">
        <v>2479</v>
      </c>
    </row>
    <row r="207" spans="1:12" x14ac:dyDescent="0.3">
      <c r="A207" t="s">
        <v>2480</v>
      </c>
      <c r="B207" t="s">
        <v>1221</v>
      </c>
      <c r="C207" t="s">
        <v>2481</v>
      </c>
      <c r="D207" t="s">
        <v>2482</v>
      </c>
      <c r="E207" t="s">
        <v>1789</v>
      </c>
      <c r="F207" t="s">
        <v>1790</v>
      </c>
      <c r="G207" t="s">
        <v>635</v>
      </c>
      <c r="H207" s="6">
        <v>271.95</v>
      </c>
      <c r="I207" t="s">
        <v>1791</v>
      </c>
      <c r="L207" s="8" t="s">
        <v>2483</v>
      </c>
    </row>
    <row r="208" spans="1:12" x14ac:dyDescent="0.3">
      <c r="A208" t="s">
        <v>2484</v>
      </c>
      <c r="B208" t="s">
        <v>1221</v>
      </c>
      <c r="C208" t="s">
        <v>2485</v>
      </c>
      <c r="D208" t="s">
        <v>2486</v>
      </c>
      <c r="E208" t="s">
        <v>1789</v>
      </c>
      <c r="F208" t="s">
        <v>1790</v>
      </c>
      <c r="G208" t="s">
        <v>635</v>
      </c>
      <c r="H208" s="6">
        <v>317.10000000000002</v>
      </c>
      <c r="I208" t="s">
        <v>1791</v>
      </c>
      <c r="L208" s="8" t="s">
        <v>2487</v>
      </c>
    </row>
    <row r="209" spans="1:12" x14ac:dyDescent="0.3">
      <c r="A209" t="s">
        <v>2488</v>
      </c>
      <c r="B209" t="s">
        <v>1221</v>
      </c>
      <c r="C209" t="s">
        <v>2489</v>
      </c>
      <c r="D209" t="s">
        <v>2490</v>
      </c>
      <c r="E209" t="s">
        <v>1789</v>
      </c>
      <c r="F209" t="s">
        <v>1790</v>
      </c>
      <c r="G209" t="s">
        <v>635</v>
      </c>
      <c r="H209" s="6">
        <v>357</v>
      </c>
      <c r="I209" t="s">
        <v>1791</v>
      </c>
      <c r="L209" s="8" t="s">
        <v>2491</v>
      </c>
    </row>
    <row r="210" spans="1:12" x14ac:dyDescent="0.3">
      <c r="A210" t="s">
        <v>2492</v>
      </c>
      <c r="B210" t="s">
        <v>1221</v>
      </c>
      <c r="C210" t="s">
        <v>2493</v>
      </c>
      <c r="D210" t="s">
        <v>2494</v>
      </c>
      <c r="E210" t="s">
        <v>1789</v>
      </c>
      <c r="F210" t="s">
        <v>1790</v>
      </c>
      <c r="G210" t="s">
        <v>635</v>
      </c>
      <c r="H210" s="6">
        <v>373.8</v>
      </c>
      <c r="I210" t="s">
        <v>1791</v>
      </c>
      <c r="L210" s="8" t="s">
        <v>2495</v>
      </c>
    </row>
    <row r="211" spans="1:12" x14ac:dyDescent="0.3">
      <c r="A211" t="s">
        <v>2496</v>
      </c>
      <c r="B211" t="s">
        <v>1221</v>
      </c>
      <c r="C211" t="s">
        <v>2497</v>
      </c>
      <c r="D211" t="s">
        <v>2498</v>
      </c>
      <c r="E211" t="s">
        <v>1789</v>
      </c>
      <c r="F211" t="s">
        <v>1790</v>
      </c>
      <c r="G211" t="s">
        <v>635</v>
      </c>
      <c r="H211" s="6">
        <v>396.9</v>
      </c>
      <c r="I211" t="s">
        <v>1791</v>
      </c>
      <c r="L211" s="8" t="s">
        <v>2499</v>
      </c>
    </row>
    <row r="212" spans="1:12" x14ac:dyDescent="0.3">
      <c r="A212" t="s">
        <v>2500</v>
      </c>
      <c r="B212" t="s">
        <v>1221</v>
      </c>
      <c r="C212" t="s">
        <v>2501</v>
      </c>
      <c r="D212" t="s">
        <v>2502</v>
      </c>
      <c r="E212" t="s">
        <v>1789</v>
      </c>
      <c r="F212" t="s">
        <v>1790</v>
      </c>
      <c r="G212" t="s">
        <v>635</v>
      </c>
      <c r="H212" s="6">
        <v>308.7</v>
      </c>
      <c r="I212" t="s">
        <v>1791</v>
      </c>
      <c r="L212" s="8" t="s">
        <v>2503</v>
      </c>
    </row>
    <row r="213" spans="1:12" x14ac:dyDescent="0.3">
      <c r="A213" t="s">
        <v>2504</v>
      </c>
      <c r="B213" t="s">
        <v>1221</v>
      </c>
      <c r="C213" t="s">
        <v>2505</v>
      </c>
      <c r="D213" t="s">
        <v>2506</v>
      </c>
      <c r="E213" t="s">
        <v>1789</v>
      </c>
      <c r="F213" t="s">
        <v>1790</v>
      </c>
      <c r="G213" t="s">
        <v>635</v>
      </c>
      <c r="H213" s="6">
        <v>310.8</v>
      </c>
      <c r="I213" t="s">
        <v>1791</v>
      </c>
      <c r="L213" s="8" t="s">
        <v>2507</v>
      </c>
    </row>
    <row r="214" spans="1:12" x14ac:dyDescent="0.3">
      <c r="A214" t="s">
        <v>2508</v>
      </c>
      <c r="B214" t="s">
        <v>1221</v>
      </c>
      <c r="C214" t="s">
        <v>2509</v>
      </c>
      <c r="D214" t="s">
        <v>2510</v>
      </c>
      <c r="E214" t="s">
        <v>1789</v>
      </c>
      <c r="F214" t="s">
        <v>1790</v>
      </c>
      <c r="G214" t="s">
        <v>635</v>
      </c>
      <c r="H214" s="6">
        <v>312.89999999999998</v>
      </c>
      <c r="I214" t="s">
        <v>1791</v>
      </c>
      <c r="L214" s="8" t="s">
        <v>2511</v>
      </c>
    </row>
    <row r="215" spans="1:12" x14ac:dyDescent="0.3">
      <c r="A215" t="s">
        <v>2512</v>
      </c>
      <c r="B215" t="s">
        <v>1221</v>
      </c>
      <c r="C215" t="s">
        <v>2513</v>
      </c>
      <c r="D215" t="s">
        <v>2514</v>
      </c>
      <c r="E215" t="s">
        <v>1789</v>
      </c>
      <c r="F215" t="s">
        <v>1790</v>
      </c>
      <c r="G215" t="s">
        <v>635</v>
      </c>
      <c r="H215" s="6">
        <v>97.65</v>
      </c>
      <c r="I215" t="s">
        <v>1791</v>
      </c>
      <c r="L215" s="8" t="s">
        <v>2515</v>
      </c>
    </row>
    <row r="216" spans="1:12" x14ac:dyDescent="0.3">
      <c r="A216" t="s">
        <v>2516</v>
      </c>
      <c r="B216" t="s">
        <v>1221</v>
      </c>
      <c r="C216" t="s">
        <v>2517</v>
      </c>
      <c r="D216" t="s">
        <v>2518</v>
      </c>
      <c r="E216" t="s">
        <v>1789</v>
      </c>
      <c r="F216" t="s">
        <v>1790</v>
      </c>
      <c r="G216" t="s">
        <v>635</v>
      </c>
      <c r="H216" s="6">
        <v>124.95</v>
      </c>
      <c r="I216" t="s">
        <v>1791</v>
      </c>
      <c r="L216" s="8" t="s">
        <v>2519</v>
      </c>
    </row>
    <row r="217" spans="1:12" x14ac:dyDescent="0.3">
      <c r="A217" t="s">
        <v>2520</v>
      </c>
      <c r="B217" t="s">
        <v>1221</v>
      </c>
      <c r="C217" t="s">
        <v>2521</v>
      </c>
      <c r="D217" t="s">
        <v>2522</v>
      </c>
      <c r="E217" t="s">
        <v>1789</v>
      </c>
      <c r="F217" t="s">
        <v>1790</v>
      </c>
      <c r="G217" t="s">
        <v>635</v>
      </c>
      <c r="H217" s="6">
        <v>66.150000000000006</v>
      </c>
      <c r="I217" t="s">
        <v>1791</v>
      </c>
      <c r="L217" s="8" t="s">
        <v>2523</v>
      </c>
    </row>
    <row r="218" spans="1:12" x14ac:dyDescent="0.3">
      <c r="A218" t="s">
        <v>2524</v>
      </c>
      <c r="B218" t="s">
        <v>1221</v>
      </c>
      <c r="C218" t="s">
        <v>2525</v>
      </c>
      <c r="D218" t="s">
        <v>2526</v>
      </c>
      <c r="E218" t="s">
        <v>1789</v>
      </c>
      <c r="F218" t="s">
        <v>1790</v>
      </c>
      <c r="G218" t="s">
        <v>635</v>
      </c>
      <c r="H218" s="6">
        <v>52.5</v>
      </c>
      <c r="I218" t="s">
        <v>1791</v>
      </c>
      <c r="L218" s="8" t="s">
        <v>2527</v>
      </c>
    </row>
    <row r="219" spans="1:12" x14ac:dyDescent="0.3">
      <c r="A219" t="s">
        <v>2528</v>
      </c>
      <c r="B219" t="s">
        <v>1221</v>
      </c>
      <c r="C219" t="s">
        <v>2529</v>
      </c>
      <c r="D219" t="s">
        <v>2530</v>
      </c>
      <c r="E219" t="s">
        <v>1789</v>
      </c>
      <c r="F219" t="s">
        <v>1790</v>
      </c>
      <c r="G219" t="s">
        <v>635</v>
      </c>
      <c r="H219" s="6">
        <v>56.7</v>
      </c>
      <c r="I219" t="s">
        <v>1791</v>
      </c>
      <c r="L219" s="8" t="s">
        <v>2531</v>
      </c>
    </row>
    <row r="220" spans="1:12" x14ac:dyDescent="0.3">
      <c r="A220" t="s">
        <v>2532</v>
      </c>
      <c r="B220" t="s">
        <v>1221</v>
      </c>
      <c r="C220" t="s">
        <v>2533</v>
      </c>
      <c r="D220" t="s">
        <v>2534</v>
      </c>
      <c r="E220" t="s">
        <v>1789</v>
      </c>
      <c r="F220" t="s">
        <v>1790</v>
      </c>
      <c r="G220" t="s">
        <v>635</v>
      </c>
      <c r="H220" s="6">
        <v>107.1</v>
      </c>
      <c r="I220" t="s">
        <v>1791</v>
      </c>
      <c r="L220" s="8" t="s">
        <v>2535</v>
      </c>
    </row>
    <row r="221" spans="1:12" x14ac:dyDescent="0.3">
      <c r="A221" t="s">
        <v>2536</v>
      </c>
      <c r="B221" t="s">
        <v>1221</v>
      </c>
      <c r="C221" t="s">
        <v>2537</v>
      </c>
      <c r="D221" t="s">
        <v>2538</v>
      </c>
      <c r="E221" t="s">
        <v>1789</v>
      </c>
      <c r="F221" t="s">
        <v>1790</v>
      </c>
      <c r="G221" t="s">
        <v>635</v>
      </c>
      <c r="H221" s="6">
        <v>59.85</v>
      </c>
      <c r="I221" t="s">
        <v>1791</v>
      </c>
      <c r="L221" s="8" t="s">
        <v>2539</v>
      </c>
    </row>
    <row r="222" spans="1:12" x14ac:dyDescent="0.3">
      <c r="A222" t="s">
        <v>2540</v>
      </c>
      <c r="B222" t="s">
        <v>1221</v>
      </c>
      <c r="C222" t="s">
        <v>2541</v>
      </c>
      <c r="D222" t="s">
        <v>2542</v>
      </c>
      <c r="E222" t="s">
        <v>1789</v>
      </c>
      <c r="F222" t="s">
        <v>1790</v>
      </c>
      <c r="G222" t="s">
        <v>635</v>
      </c>
      <c r="H222" s="6">
        <v>28.35</v>
      </c>
      <c r="I222" t="s">
        <v>1791</v>
      </c>
      <c r="L222" s="8" t="s">
        <v>2543</v>
      </c>
    </row>
    <row r="223" spans="1:12" x14ac:dyDescent="0.3">
      <c r="A223" t="s">
        <v>2544</v>
      </c>
      <c r="B223" t="s">
        <v>1221</v>
      </c>
      <c r="C223" t="s">
        <v>2545</v>
      </c>
      <c r="D223" t="s">
        <v>2546</v>
      </c>
      <c r="E223" t="s">
        <v>1789</v>
      </c>
      <c r="F223" t="s">
        <v>1790</v>
      </c>
      <c r="G223" t="s">
        <v>635</v>
      </c>
      <c r="H223" s="6">
        <v>87.15</v>
      </c>
      <c r="I223" t="s">
        <v>1791</v>
      </c>
      <c r="L223" s="8" t="s">
        <v>2547</v>
      </c>
    </row>
    <row r="224" spans="1:12" x14ac:dyDescent="0.3">
      <c r="A224" t="s">
        <v>2548</v>
      </c>
      <c r="B224" t="s">
        <v>1221</v>
      </c>
      <c r="C224" t="s">
        <v>2549</v>
      </c>
      <c r="D224" t="s">
        <v>2550</v>
      </c>
      <c r="E224" t="s">
        <v>1789</v>
      </c>
      <c r="F224" t="s">
        <v>1790</v>
      </c>
      <c r="G224" t="s">
        <v>635</v>
      </c>
      <c r="H224" s="6">
        <v>51.45</v>
      </c>
      <c r="I224" t="s">
        <v>1791</v>
      </c>
      <c r="L224" s="8" t="s">
        <v>2551</v>
      </c>
    </row>
    <row r="225" spans="1:12" x14ac:dyDescent="0.3">
      <c r="A225" t="s">
        <v>2552</v>
      </c>
      <c r="B225" t="s">
        <v>1221</v>
      </c>
      <c r="C225" t="s">
        <v>2553</v>
      </c>
      <c r="D225" t="s">
        <v>2554</v>
      </c>
      <c r="E225" t="s">
        <v>1789</v>
      </c>
      <c r="F225" t="s">
        <v>1790</v>
      </c>
      <c r="G225" t="s">
        <v>635</v>
      </c>
      <c r="H225" s="6">
        <v>119.7</v>
      </c>
      <c r="I225" t="s">
        <v>1791</v>
      </c>
      <c r="L225" s="8" t="s">
        <v>2555</v>
      </c>
    </row>
    <row r="226" spans="1:12" x14ac:dyDescent="0.3">
      <c r="A226" t="s">
        <v>2556</v>
      </c>
      <c r="B226" t="s">
        <v>1221</v>
      </c>
      <c r="C226" t="s">
        <v>2557</v>
      </c>
      <c r="D226" t="s">
        <v>2558</v>
      </c>
      <c r="E226" t="s">
        <v>1789</v>
      </c>
      <c r="F226" t="s">
        <v>1790</v>
      </c>
      <c r="G226" t="s">
        <v>635</v>
      </c>
      <c r="H226" s="6">
        <v>122.85</v>
      </c>
      <c r="I226" t="s">
        <v>1791</v>
      </c>
      <c r="L226" s="8" t="s">
        <v>2559</v>
      </c>
    </row>
    <row r="227" spans="1:12" x14ac:dyDescent="0.3">
      <c r="A227" t="s">
        <v>2560</v>
      </c>
      <c r="B227" t="s">
        <v>1221</v>
      </c>
      <c r="C227" t="s">
        <v>2561</v>
      </c>
      <c r="D227" t="s">
        <v>2562</v>
      </c>
      <c r="E227" t="s">
        <v>1789</v>
      </c>
      <c r="F227" t="s">
        <v>1790</v>
      </c>
      <c r="G227" t="s">
        <v>635</v>
      </c>
      <c r="H227" s="6">
        <v>215.25</v>
      </c>
      <c r="I227" t="s">
        <v>1791</v>
      </c>
      <c r="L227" s="8" t="s">
        <v>2563</v>
      </c>
    </row>
    <row r="228" spans="1:12" x14ac:dyDescent="0.3">
      <c r="A228" t="s">
        <v>2564</v>
      </c>
      <c r="B228" t="s">
        <v>1221</v>
      </c>
      <c r="C228" t="s">
        <v>2565</v>
      </c>
      <c r="D228" t="s">
        <v>2566</v>
      </c>
      <c r="E228" t="s">
        <v>1789</v>
      </c>
      <c r="F228" t="s">
        <v>1790</v>
      </c>
      <c r="G228" t="s">
        <v>635</v>
      </c>
      <c r="H228" s="6">
        <v>51.45</v>
      </c>
      <c r="I228" t="s">
        <v>1791</v>
      </c>
      <c r="L228" s="8" t="s">
        <v>2567</v>
      </c>
    </row>
    <row r="229" spans="1:12" x14ac:dyDescent="0.3">
      <c r="A229" t="s">
        <v>2568</v>
      </c>
      <c r="B229" t="s">
        <v>1221</v>
      </c>
      <c r="C229" t="s">
        <v>2569</v>
      </c>
      <c r="D229" t="s">
        <v>2570</v>
      </c>
      <c r="E229" t="s">
        <v>1789</v>
      </c>
      <c r="F229" t="s">
        <v>1790</v>
      </c>
      <c r="G229" t="s">
        <v>635</v>
      </c>
      <c r="H229" s="6">
        <v>58.8</v>
      </c>
      <c r="I229" t="s">
        <v>1791</v>
      </c>
      <c r="L229" s="8" t="s">
        <v>2571</v>
      </c>
    </row>
    <row r="230" spans="1:12" x14ac:dyDescent="0.3">
      <c r="A230" t="s">
        <v>2572</v>
      </c>
      <c r="B230" t="s">
        <v>1221</v>
      </c>
      <c r="C230" t="s">
        <v>2573</v>
      </c>
      <c r="D230" t="s">
        <v>2574</v>
      </c>
      <c r="E230" t="s">
        <v>1789</v>
      </c>
      <c r="F230" t="s">
        <v>1790</v>
      </c>
      <c r="G230" t="s">
        <v>635</v>
      </c>
      <c r="H230" s="6">
        <v>79.8</v>
      </c>
      <c r="I230" t="s">
        <v>1791</v>
      </c>
      <c r="L230" s="8" t="s">
        <v>2575</v>
      </c>
    </row>
    <row r="231" spans="1:12" x14ac:dyDescent="0.3">
      <c r="A231" t="s">
        <v>2576</v>
      </c>
      <c r="B231" t="s">
        <v>1221</v>
      </c>
      <c r="C231" t="s">
        <v>2577</v>
      </c>
      <c r="D231" t="s">
        <v>2578</v>
      </c>
      <c r="E231" t="s">
        <v>1789</v>
      </c>
      <c r="F231" t="s">
        <v>1790</v>
      </c>
      <c r="G231" t="s">
        <v>635</v>
      </c>
      <c r="H231" s="6">
        <v>334.95</v>
      </c>
      <c r="I231" t="s">
        <v>1791</v>
      </c>
      <c r="L231" s="8" t="s">
        <v>2579</v>
      </c>
    </row>
    <row r="232" spans="1:12" x14ac:dyDescent="0.3">
      <c r="A232" t="s">
        <v>2580</v>
      </c>
      <c r="B232" t="s">
        <v>1221</v>
      </c>
      <c r="C232" t="s">
        <v>2581</v>
      </c>
      <c r="D232" t="s">
        <v>2582</v>
      </c>
      <c r="E232" t="s">
        <v>1789</v>
      </c>
      <c r="F232" t="s">
        <v>1790</v>
      </c>
      <c r="G232" t="s">
        <v>635</v>
      </c>
      <c r="H232" s="6">
        <v>379.05</v>
      </c>
      <c r="I232" t="s">
        <v>1791</v>
      </c>
      <c r="L232" s="8" t="s">
        <v>2583</v>
      </c>
    </row>
    <row r="233" spans="1:12" x14ac:dyDescent="0.3">
      <c r="A233" t="s">
        <v>2584</v>
      </c>
      <c r="B233" t="s">
        <v>1221</v>
      </c>
      <c r="C233" t="s">
        <v>2585</v>
      </c>
      <c r="D233" t="s">
        <v>2586</v>
      </c>
      <c r="E233" t="s">
        <v>1789</v>
      </c>
      <c r="F233" t="s">
        <v>1790</v>
      </c>
      <c r="G233" t="s">
        <v>635</v>
      </c>
      <c r="H233" s="6">
        <v>434.7</v>
      </c>
      <c r="I233" t="s">
        <v>1791</v>
      </c>
      <c r="L233" s="8" t="s">
        <v>2587</v>
      </c>
    </row>
    <row r="234" spans="1:12" x14ac:dyDescent="0.3">
      <c r="A234" t="s">
        <v>2588</v>
      </c>
      <c r="B234" t="s">
        <v>1221</v>
      </c>
      <c r="C234" t="s">
        <v>2589</v>
      </c>
      <c r="D234" t="s">
        <v>2590</v>
      </c>
      <c r="E234" t="s">
        <v>1789</v>
      </c>
      <c r="F234" t="s">
        <v>1790</v>
      </c>
      <c r="G234" t="s">
        <v>635</v>
      </c>
      <c r="H234" s="6">
        <v>469.35</v>
      </c>
      <c r="I234" t="s">
        <v>1791</v>
      </c>
      <c r="L234" s="8" t="s">
        <v>2591</v>
      </c>
    </row>
    <row r="235" spans="1:12" x14ac:dyDescent="0.3">
      <c r="A235" t="s">
        <v>2592</v>
      </c>
      <c r="B235" t="s">
        <v>1221</v>
      </c>
      <c r="C235" t="s">
        <v>2593</v>
      </c>
      <c r="D235" t="s">
        <v>2594</v>
      </c>
      <c r="E235" t="s">
        <v>1789</v>
      </c>
      <c r="F235" t="s">
        <v>1790</v>
      </c>
      <c r="G235" t="s">
        <v>635</v>
      </c>
      <c r="H235" s="6">
        <v>299.25</v>
      </c>
      <c r="I235" t="s">
        <v>1791</v>
      </c>
      <c r="L235" s="8" t="s">
        <v>2595</v>
      </c>
    </row>
    <row r="236" spans="1:12" x14ac:dyDescent="0.3">
      <c r="A236" t="s">
        <v>2596</v>
      </c>
      <c r="B236" t="s">
        <v>1221</v>
      </c>
      <c r="C236" t="s">
        <v>2597</v>
      </c>
      <c r="D236" t="s">
        <v>2598</v>
      </c>
      <c r="E236" t="s">
        <v>1789</v>
      </c>
      <c r="F236" t="s">
        <v>1790</v>
      </c>
      <c r="G236" t="s">
        <v>635</v>
      </c>
      <c r="H236" s="6">
        <v>317.10000000000002</v>
      </c>
      <c r="I236" t="s">
        <v>1791</v>
      </c>
      <c r="L236" s="8" t="s">
        <v>2599</v>
      </c>
    </row>
    <row r="237" spans="1:12" x14ac:dyDescent="0.3">
      <c r="A237" t="s">
        <v>2600</v>
      </c>
      <c r="B237" t="s">
        <v>1221</v>
      </c>
      <c r="C237" t="s">
        <v>2601</v>
      </c>
      <c r="D237" t="s">
        <v>2602</v>
      </c>
      <c r="E237" t="s">
        <v>1789</v>
      </c>
      <c r="F237" t="s">
        <v>1790</v>
      </c>
      <c r="G237" t="s">
        <v>635</v>
      </c>
      <c r="H237" s="6">
        <v>437.85</v>
      </c>
      <c r="I237" t="s">
        <v>1791</v>
      </c>
      <c r="L237" s="8" t="s">
        <v>2603</v>
      </c>
    </row>
    <row r="238" spans="1:12" x14ac:dyDescent="0.3">
      <c r="A238" t="s">
        <v>2604</v>
      </c>
      <c r="B238" t="s">
        <v>1221</v>
      </c>
      <c r="C238" t="s">
        <v>2605</v>
      </c>
      <c r="D238" t="s">
        <v>2606</v>
      </c>
      <c r="E238" t="s">
        <v>1789</v>
      </c>
      <c r="F238" t="s">
        <v>1790</v>
      </c>
      <c r="G238" t="s">
        <v>635</v>
      </c>
      <c r="H238" s="6">
        <v>494.55</v>
      </c>
      <c r="I238" t="s">
        <v>1791</v>
      </c>
      <c r="L238" s="8" t="s">
        <v>2607</v>
      </c>
    </row>
    <row r="239" spans="1:12" x14ac:dyDescent="0.3">
      <c r="A239" t="s">
        <v>2608</v>
      </c>
      <c r="B239" t="s">
        <v>1221</v>
      </c>
      <c r="C239" t="s">
        <v>2609</v>
      </c>
      <c r="D239" t="s">
        <v>2610</v>
      </c>
      <c r="E239" t="s">
        <v>1789</v>
      </c>
      <c r="F239" t="s">
        <v>1790</v>
      </c>
      <c r="G239" t="s">
        <v>635</v>
      </c>
      <c r="H239" s="6">
        <v>527.1</v>
      </c>
      <c r="I239" t="s">
        <v>1791</v>
      </c>
      <c r="L239" s="8" t="s">
        <v>2611</v>
      </c>
    </row>
    <row r="240" spans="1:12" x14ac:dyDescent="0.3">
      <c r="A240" t="s">
        <v>2612</v>
      </c>
      <c r="B240" t="s">
        <v>1221</v>
      </c>
      <c r="C240" t="s">
        <v>2613</v>
      </c>
      <c r="D240" t="s">
        <v>2614</v>
      </c>
      <c r="E240" t="s">
        <v>1789</v>
      </c>
      <c r="F240" t="s">
        <v>1790</v>
      </c>
      <c r="G240" t="s">
        <v>635</v>
      </c>
      <c r="H240" s="6">
        <v>410.55</v>
      </c>
      <c r="I240" t="s">
        <v>1791</v>
      </c>
      <c r="L240" s="8" t="s">
        <v>2615</v>
      </c>
    </row>
    <row r="241" spans="1:12" x14ac:dyDescent="0.3">
      <c r="A241" t="s">
        <v>2616</v>
      </c>
      <c r="B241" t="s">
        <v>1221</v>
      </c>
      <c r="C241" t="s">
        <v>2617</v>
      </c>
      <c r="D241" t="s">
        <v>2618</v>
      </c>
      <c r="E241" t="s">
        <v>1789</v>
      </c>
      <c r="F241" t="s">
        <v>1790</v>
      </c>
      <c r="G241" t="s">
        <v>635</v>
      </c>
      <c r="H241" s="6">
        <v>396.9</v>
      </c>
      <c r="I241" t="s">
        <v>1791</v>
      </c>
      <c r="L241" s="8" t="s">
        <v>2619</v>
      </c>
    </row>
    <row r="242" spans="1:12" x14ac:dyDescent="0.3">
      <c r="A242" t="s">
        <v>2620</v>
      </c>
      <c r="B242" t="s">
        <v>1221</v>
      </c>
      <c r="C242" t="s">
        <v>2621</v>
      </c>
      <c r="D242" t="s">
        <v>2622</v>
      </c>
      <c r="E242" t="s">
        <v>1789</v>
      </c>
      <c r="F242" t="s">
        <v>1790</v>
      </c>
      <c r="G242" t="s">
        <v>635</v>
      </c>
      <c r="H242" s="6">
        <v>590.1</v>
      </c>
      <c r="I242" t="s">
        <v>1791</v>
      </c>
      <c r="L242" s="8" t="s">
        <v>2623</v>
      </c>
    </row>
    <row r="243" spans="1:12" x14ac:dyDescent="0.3">
      <c r="A243" t="s">
        <v>2624</v>
      </c>
      <c r="B243" t="s">
        <v>1221</v>
      </c>
      <c r="C243" t="s">
        <v>2625</v>
      </c>
      <c r="D243" t="s">
        <v>2626</v>
      </c>
      <c r="E243" t="s">
        <v>1789</v>
      </c>
      <c r="F243" t="s">
        <v>1790</v>
      </c>
      <c r="G243" t="s">
        <v>635</v>
      </c>
      <c r="H243" s="6">
        <v>600.6</v>
      </c>
      <c r="I243" t="s">
        <v>1791</v>
      </c>
      <c r="L243" s="8" t="s">
        <v>2627</v>
      </c>
    </row>
    <row r="244" spans="1:12" x14ac:dyDescent="0.3">
      <c r="A244" t="s">
        <v>2628</v>
      </c>
      <c r="B244" t="s">
        <v>1221</v>
      </c>
      <c r="C244" t="s">
        <v>2629</v>
      </c>
      <c r="D244" t="s">
        <v>2630</v>
      </c>
      <c r="E244" t="s">
        <v>1789</v>
      </c>
      <c r="F244" t="s">
        <v>1790</v>
      </c>
      <c r="G244" t="s">
        <v>635</v>
      </c>
      <c r="H244" s="6">
        <v>623.70000000000005</v>
      </c>
      <c r="I244" t="s">
        <v>1791</v>
      </c>
      <c r="L244" s="8" t="s">
        <v>2631</v>
      </c>
    </row>
    <row r="245" spans="1:12" x14ac:dyDescent="0.3">
      <c r="A245" t="s">
        <v>2632</v>
      </c>
      <c r="B245" t="s">
        <v>1221</v>
      </c>
      <c r="C245" t="s">
        <v>2633</v>
      </c>
      <c r="D245" t="s">
        <v>2634</v>
      </c>
      <c r="E245" t="s">
        <v>1789</v>
      </c>
      <c r="F245" t="s">
        <v>1790</v>
      </c>
      <c r="G245" t="s">
        <v>635</v>
      </c>
      <c r="H245" s="6">
        <v>668.85</v>
      </c>
      <c r="I245" t="s">
        <v>1791</v>
      </c>
      <c r="L245" s="8" t="s">
        <v>2635</v>
      </c>
    </row>
    <row r="246" spans="1:12" x14ac:dyDescent="0.3">
      <c r="A246" t="s">
        <v>2636</v>
      </c>
      <c r="B246" t="s">
        <v>1221</v>
      </c>
      <c r="C246" t="s">
        <v>2637</v>
      </c>
      <c r="D246" t="s">
        <v>2638</v>
      </c>
      <c r="E246" t="s">
        <v>1789</v>
      </c>
      <c r="F246" t="s">
        <v>1790</v>
      </c>
      <c r="G246" t="s">
        <v>635</v>
      </c>
      <c r="H246" s="6">
        <v>770.7</v>
      </c>
      <c r="I246" t="s">
        <v>1791</v>
      </c>
      <c r="L246" s="8" t="s">
        <v>2639</v>
      </c>
    </row>
    <row r="247" spans="1:12" x14ac:dyDescent="0.3">
      <c r="A247" t="s">
        <v>2640</v>
      </c>
      <c r="B247" t="s">
        <v>1221</v>
      </c>
      <c r="C247" t="s">
        <v>2641</v>
      </c>
      <c r="D247" t="s">
        <v>2642</v>
      </c>
      <c r="E247" t="s">
        <v>1789</v>
      </c>
      <c r="F247" t="s">
        <v>1790</v>
      </c>
      <c r="G247" t="s">
        <v>635</v>
      </c>
      <c r="H247" s="6">
        <v>793.8</v>
      </c>
      <c r="I247" t="s">
        <v>1791</v>
      </c>
      <c r="L247" s="8" t="s">
        <v>2643</v>
      </c>
    </row>
    <row r="248" spans="1:12" x14ac:dyDescent="0.3">
      <c r="A248" t="s">
        <v>2644</v>
      </c>
      <c r="B248" t="s">
        <v>1221</v>
      </c>
      <c r="C248" t="s">
        <v>2645</v>
      </c>
      <c r="D248" t="s">
        <v>2646</v>
      </c>
      <c r="E248" t="s">
        <v>1789</v>
      </c>
      <c r="F248" t="s">
        <v>1790</v>
      </c>
      <c r="G248" t="s">
        <v>635</v>
      </c>
      <c r="H248" s="6">
        <v>850.5</v>
      </c>
      <c r="I248" t="s">
        <v>1791</v>
      </c>
      <c r="L248" s="8" t="s">
        <v>2647</v>
      </c>
    </row>
    <row r="249" spans="1:12" x14ac:dyDescent="0.3">
      <c r="A249" t="s">
        <v>2648</v>
      </c>
      <c r="B249" t="s">
        <v>1221</v>
      </c>
      <c r="C249" t="s">
        <v>2649</v>
      </c>
      <c r="D249" t="s">
        <v>2650</v>
      </c>
      <c r="E249" t="s">
        <v>1789</v>
      </c>
      <c r="F249" t="s">
        <v>1790</v>
      </c>
      <c r="G249" t="s">
        <v>635</v>
      </c>
      <c r="H249" s="6">
        <v>884.1</v>
      </c>
      <c r="I249" t="s">
        <v>1791</v>
      </c>
      <c r="L249" s="8" t="s">
        <v>2651</v>
      </c>
    </row>
    <row r="250" spans="1:12" x14ac:dyDescent="0.3">
      <c r="A250" t="s">
        <v>2652</v>
      </c>
      <c r="B250" t="s">
        <v>1221</v>
      </c>
      <c r="C250" t="s">
        <v>2653</v>
      </c>
      <c r="D250" t="s">
        <v>2654</v>
      </c>
      <c r="E250" t="s">
        <v>1789</v>
      </c>
      <c r="F250" t="s">
        <v>1790</v>
      </c>
      <c r="G250" t="s">
        <v>635</v>
      </c>
      <c r="H250" s="6">
        <v>555.45000000000005</v>
      </c>
      <c r="I250" t="s">
        <v>1791</v>
      </c>
      <c r="L250" s="8" t="s">
        <v>2655</v>
      </c>
    </row>
    <row r="251" spans="1:12" x14ac:dyDescent="0.3">
      <c r="A251" t="s">
        <v>2656</v>
      </c>
      <c r="B251" t="s">
        <v>1221</v>
      </c>
      <c r="C251" t="s">
        <v>2657</v>
      </c>
      <c r="D251" t="s">
        <v>2658</v>
      </c>
      <c r="E251" t="s">
        <v>1789</v>
      </c>
      <c r="F251" t="s">
        <v>1790</v>
      </c>
      <c r="G251" t="s">
        <v>635</v>
      </c>
      <c r="H251" s="6">
        <v>521.85</v>
      </c>
      <c r="I251" t="s">
        <v>1791</v>
      </c>
      <c r="L251" s="8" t="s">
        <v>2659</v>
      </c>
    </row>
    <row r="252" spans="1:12" x14ac:dyDescent="0.3">
      <c r="A252" t="s">
        <v>2660</v>
      </c>
      <c r="B252" t="s">
        <v>1221</v>
      </c>
      <c r="C252" t="s">
        <v>2661</v>
      </c>
      <c r="D252" t="s">
        <v>2662</v>
      </c>
      <c r="E252" t="s">
        <v>1789</v>
      </c>
      <c r="F252" t="s">
        <v>1790</v>
      </c>
      <c r="G252" t="s">
        <v>635</v>
      </c>
      <c r="H252" s="6">
        <v>321.3</v>
      </c>
      <c r="I252" t="s">
        <v>1791</v>
      </c>
      <c r="L252" s="8" t="s">
        <v>2663</v>
      </c>
    </row>
    <row r="253" spans="1:12" x14ac:dyDescent="0.3">
      <c r="A253" t="s">
        <v>2664</v>
      </c>
      <c r="B253" t="s">
        <v>1221</v>
      </c>
      <c r="C253" t="s">
        <v>2665</v>
      </c>
      <c r="D253" t="s">
        <v>2666</v>
      </c>
      <c r="E253" t="s">
        <v>1789</v>
      </c>
      <c r="F253" t="s">
        <v>1790</v>
      </c>
      <c r="G253" t="s">
        <v>635</v>
      </c>
      <c r="H253" s="6">
        <v>9021.6</v>
      </c>
      <c r="I253" t="s">
        <v>1791</v>
      </c>
      <c r="L253" s="8" t="s">
        <v>2667</v>
      </c>
    </row>
    <row r="254" spans="1:12" x14ac:dyDescent="0.3">
      <c r="A254" t="s">
        <v>2668</v>
      </c>
      <c r="B254" t="s">
        <v>1221</v>
      </c>
      <c r="C254" t="s">
        <v>2669</v>
      </c>
      <c r="D254" t="s">
        <v>2670</v>
      </c>
      <c r="E254" t="s">
        <v>1789</v>
      </c>
      <c r="F254" t="s">
        <v>1790</v>
      </c>
      <c r="G254" t="s">
        <v>635</v>
      </c>
      <c r="H254" s="6">
        <v>9208.5</v>
      </c>
      <c r="I254" t="s">
        <v>1791</v>
      </c>
      <c r="L254" s="8" t="s">
        <v>2671</v>
      </c>
    </row>
    <row r="255" spans="1:12" x14ac:dyDescent="0.3">
      <c r="A255" t="s">
        <v>2672</v>
      </c>
      <c r="B255" t="s">
        <v>1221</v>
      </c>
      <c r="C255" t="s">
        <v>2673</v>
      </c>
      <c r="D255" t="s">
        <v>2674</v>
      </c>
      <c r="E255" t="s">
        <v>1789</v>
      </c>
      <c r="F255" t="s">
        <v>1790</v>
      </c>
      <c r="G255" t="s">
        <v>635</v>
      </c>
      <c r="H255" s="6">
        <v>13744.5</v>
      </c>
      <c r="I255" t="s">
        <v>1791</v>
      </c>
      <c r="L255" s="8" t="s">
        <v>2675</v>
      </c>
    </row>
    <row r="256" spans="1:12" x14ac:dyDescent="0.3">
      <c r="A256" t="s">
        <v>2676</v>
      </c>
      <c r="B256" t="s">
        <v>1221</v>
      </c>
      <c r="C256" t="s">
        <v>2677</v>
      </c>
      <c r="D256" t="s">
        <v>2678</v>
      </c>
      <c r="E256" t="s">
        <v>1789</v>
      </c>
      <c r="F256" t="s">
        <v>1790</v>
      </c>
      <c r="G256" t="s">
        <v>635</v>
      </c>
      <c r="H256" s="6">
        <v>1547.7</v>
      </c>
      <c r="I256" t="s">
        <v>1791</v>
      </c>
      <c r="L256" s="8" t="s">
        <v>2679</v>
      </c>
    </row>
    <row r="257" spans="1:12" x14ac:dyDescent="0.3">
      <c r="A257" t="s">
        <v>2680</v>
      </c>
      <c r="B257" t="s">
        <v>1221</v>
      </c>
      <c r="C257" t="s">
        <v>2681</v>
      </c>
      <c r="D257" t="s">
        <v>2682</v>
      </c>
      <c r="E257" t="s">
        <v>1789</v>
      </c>
      <c r="F257" t="s">
        <v>1790</v>
      </c>
      <c r="G257" t="s">
        <v>635</v>
      </c>
      <c r="H257" s="6">
        <v>98.7</v>
      </c>
      <c r="I257" t="s">
        <v>1791</v>
      </c>
      <c r="L257" s="8" t="s">
        <v>2683</v>
      </c>
    </row>
    <row r="258" spans="1:12" x14ac:dyDescent="0.3">
      <c r="A258" t="s">
        <v>2684</v>
      </c>
      <c r="B258" t="s">
        <v>1221</v>
      </c>
      <c r="C258" t="s">
        <v>2685</v>
      </c>
      <c r="D258" t="s">
        <v>2686</v>
      </c>
      <c r="E258" t="s">
        <v>1789</v>
      </c>
      <c r="F258" t="s">
        <v>1790</v>
      </c>
      <c r="G258" t="s">
        <v>635</v>
      </c>
      <c r="H258" s="6">
        <v>807.45</v>
      </c>
      <c r="I258" t="s">
        <v>1791</v>
      </c>
      <c r="L258" s="8" t="s">
        <v>2687</v>
      </c>
    </row>
    <row r="259" spans="1:12" x14ac:dyDescent="0.3">
      <c r="A259" t="s">
        <v>2688</v>
      </c>
      <c r="B259" t="s">
        <v>1221</v>
      </c>
      <c r="C259" t="s">
        <v>2689</v>
      </c>
      <c r="D259" t="s">
        <v>2690</v>
      </c>
      <c r="E259" t="s">
        <v>1789</v>
      </c>
      <c r="F259" t="s">
        <v>1790</v>
      </c>
      <c r="G259" t="s">
        <v>635</v>
      </c>
      <c r="H259" s="6">
        <v>328.65</v>
      </c>
      <c r="I259" t="s">
        <v>1791</v>
      </c>
      <c r="L259" s="8" t="s">
        <v>2691</v>
      </c>
    </row>
    <row r="260" spans="1:12" x14ac:dyDescent="0.3">
      <c r="A260" t="s">
        <v>2692</v>
      </c>
      <c r="B260" t="s">
        <v>1251</v>
      </c>
      <c r="C260" t="s">
        <v>2693</v>
      </c>
      <c r="E260" t="s">
        <v>1799</v>
      </c>
      <c r="F260" t="s">
        <v>1800</v>
      </c>
      <c r="G260" t="s">
        <v>635</v>
      </c>
      <c r="H260" s="6">
        <v>20867.919999999998</v>
      </c>
      <c r="I260" t="s">
        <v>1791</v>
      </c>
      <c r="L260" s="8" t="s">
        <v>2694</v>
      </c>
    </row>
    <row r="261" spans="1:12" x14ac:dyDescent="0.3">
      <c r="A261" t="s">
        <v>2695</v>
      </c>
      <c r="B261" t="s">
        <v>1251</v>
      </c>
      <c r="C261" t="s">
        <v>2696</v>
      </c>
      <c r="E261" t="s">
        <v>1799</v>
      </c>
      <c r="F261" t="s">
        <v>1800</v>
      </c>
      <c r="G261" t="s">
        <v>635</v>
      </c>
      <c r="H261" s="6">
        <v>22505.46</v>
      </c>
      <c r="I261" t="s">
        <v>1791</v>
      </c>
      <c r="L261" s="8" t="s">
        <v>2697</v>
      </c>
    </row>
    <row r="262" spans="1:12" x14ac:dyDescent="0.3">
      <c r="A262" t="s">
        <v>2698</v>
      </c>
      <c r="B262" t="s">
        <v>1251</v>
      </c>
      <c r="C262" t="s">
        <v>2699</v>
      </c>
      <c r="E262" t="s">
        <v>1799</v>
      </c>
      <c r="F262" t="s">
        <v>1800</v>
      </c>
      <c r="G262" t="s">
        <v>635</v>
      </c>
      <c r="H262" s="6">
        <v>23020</v>
      </c>
      <c r="I262" t="s">
        <v>1791</v>
      </c>
      <c r="L262" s="8" t="s">
        <v>2700</v>
      </c>
    </row>
    <row r="263" spans="1:12" x14ac:dyDescent="0.3">
      <c r="A263" t="s">
        <v>2701</v>
      </c>
      <c r="B263" t="s">
        <v>1251</v>
      </c>
      <c r="C263" t="s">
        <v>2702</v>
      </c>
      <c r="E263" t="s">
        <v>1799</v>
      </c>
      <c r="F263" t="s">
        <v>1800</v>
      </c>
      <c r="G263" t="s">
        <v>635</v>
      </c>
      <c r="H263" s="6">
        <v>7779.94</v>
      </c>
      <c r="I263" t="s">
        <v>1791</v>
      </c>
      <c r="L263" s="8" t="s">
        <v>2703</v>
      </c>
    </row>
    <row r="264" spans="1:12" x14ac:dyDescent="0.3">
      <c r="A264" t="s">
        <v>2704</v>
      </c>
      <c r="B264" t="s">
        <v>1251</v>
      </c>
      <c r="C264" t="s">
        <v>2705</v>
      </c>
      <c r="E264" t="s">
        <v>1799</v>
      </c>
      <c r="F264" t="s">
        <v>1800</v>
      </c>
      <c r="G264" t="s">
        <v>635</v>
      </c>
      <c r="H264" s="6">
        <v>8384.57</v>
      </c>
      <c r="I264" t="s">
        <v>1791</v>
      </c>
      <c r="L264" s="8" t="s">
        <v>2706</v>
      </c>
    </row>
    <row r="265" spans="1:12" x14ac:dyDescent="0.3">
      <c r="A265" t="s">
        <v>2707</v>
      </c>
      <c r="B265" t="s">
        <v>1251</v>
      </c>
      <c r="C265" t="s">
        <v>2708</v>
      </c>
      <c r="E265" t="s">
        <v>1799</v>
      </c>
      <c r="F265" t="s">
        <v>1800</v>
      </c>
      <c r="G265" t="s">
        <v>635</v>
      </c>
      <c r="H265" s="6">
        <v>8922.59</v>
      </c>
      <c r="I265" t="s">
        <v>1791</v>
      </c>
      <c r="L265" s="8" t="s">
        <v>2709</v>
      </c>
    </row>
    <row r="266" spans="1:12" x14ac:dyDescent="0.3">
      <c r="A266" t="s">
        <v>2710</v>
      </c>
      <c r="B266" t="s">
        <v>1251</v>
      </c>
      <c r="C266" t="s">
        <v>2711</v>
      </c>
      <c r="E266" t="s">
        <v>1799</v>
      </c>
      <c r="F266" t="s">
        <v>1800</v>
      </c>
      <c r="G266" t="s">
        <v>635</v>
      </c>
      <c r="H266" s="6">
        <v>10215.120000000001</v>
      </c>
      <c r="I266" t="s">
        <v>1791</v>
      </c>
      <c r="L266" s="8" t="s">
        <v>2712</v>
      </c>
    </row>
    <row r="267" spans="1:12" x14ac:dyDescent="0.3">
      <c r="A267" t="s">
        <v>2713</v>
      </c>
      <c r="B267" t="s">
        <v>1251</v>
      </c>
      <c r="C267" t="s">
        <v>2714</v>
      </c>
      <c r="E267" t="s">
        <v>1799</v>
      </c>
      <c r="F267" t="s">
        <v>1800</v>
      </c>
      <c r="G267" t="s">
        <v>635</v>
      </c>
      <c r="H267" s="6">
        <v>10720.26</v>
      </c>
      <c r="I267" t="s">
        <v>1791</v>
      </c>
      <c r="L267" s="8" t="s">
        <v>2715</v>
      </c>
    </row>
    <row r="268" spans="1:12" x14ac:dyDescent="0.3">
      <c r="A268" t="s">
        <v>2716</v>
      </c>
      <c r="B268" t="s">
        <v>1251</v>
      </c>
      <c r="C268" t="s">
        <v>2717</v>
      </c>
      <c r="E268" t="s">
        <v>1799</v>
      </c>
      <c r="F268" t="s">
        <v>1800</v>
      </c>
      <c r="G268" t="s">
        <v>635</v>
      </c>
      <c r="H268" s="6">
        <v>12516.65</v>
      </c>
      <c r="I268" t="s">
        <v>1791</v>
      </c>
      <c r="L268" s="8" t="s">
        <v>2718</v>
      </c>
    </row>
    <row r="269" spans="1:12" x14ac:dyDescent="0.3">
      <c r="A269" t="s">
        <v>2719</v>
      </c>
      <c r="B269" t="s">
        <v>1251</v>
      </c>
      <c r="C269" t="s">
        <v>2720</v>
      </c>
      <c r="E269" t="s">
        <v>1799</v>
      </c>
      <c r="F269" t="s">
        <v>1800</v>
      </c>
      <c r="G269" t="s">
        <v>635</v>
      </c>
      <c r="H269" s="6">
        <v>13211.81</v>
      </c>
      <c r="I269" t="s">
        <v>1791</v>
      </c>
      <c r="L269" s="8" t="s">
        <v>2721</v>
      </c>
    </row>
    <row r="270" spans="1:12" x14ac:dyDescent="0.3">
      <c r="A270" t="s">
        <v>2722</v>
      </c>
      <c r="B270" t="s">
        <v>1251</v>
      </c>
      <c r="C270" t="s">
        <v>2723</v>
      </c>
      <c r="E270" t="s">
        <v>1799</v>
      </c>
      <c r="F270" t="s">
        <v>1800</v>
      </c>
      <c r="G270" t="s">
        <v>635</v>
      </c>
      <c r="H270" s="6">
        <v>14202.45</v>
      </c>
      <c r="I270" t="s">
        <v>1791</v>
      </c>
      <c r="L270" s="8" t="s">
        <v>2724</v>
      </c>
    </row>
    <row r="271" spans="1:12" x14ac:dyDescent="0.3">
      <c r="A271" t="s">
        <v>2725</v>
      </c>
      <c r="B271" t="s">
        <v>1251</v>
      </c>
      <c r="C271" t="s">
        <v>2726</v>
      </c>
      <c r="E271" t="s">
        <v>1799</v>
      </c>
      <c r="F271" t="s">
        <v>1800</v>
      </c>
      <c r="G271" t="s">
        <v>635</v>
      </c>
      <c r="H271" s="6">
        <v>16027.87</v>
      </c>
      <c r="I271" t="s">
        <v>1791</v>
      </c>
      <c r="L271" s="8" t="s">
        <v>2727</v>
      </c>
    </row>
    <row r="272" spans="1:12" x14ac:dyDescent="0.3">
      <c r="A272" t="s">
        <v>2728</v>
      </c>
      <c r="B272" t="s">
        <v>1251</v>
      </c>
      <c r="C272" t="s">
        <v>2729</v>
      </c>
      <c r="E272" t="s">
        <v>1799</v>
      </c>
      <c r="F272" t="s">
        <v>1800</v>
      </c>
      <c r="G272" t="s">
        <v>635</v>
      </c>
      <c r="H272" s="6">
        <v>17636.38</v>
      </c>
      <c r="I272" t="s">
        <v>1791</v>
      </c>
      <c r="L272" s="8" t="s">
        <v>2730</v>
      </c>
    </row>
    <row r="273" spans="1:12" x14ac:dyDescent="0.3">
      <c r="A273" t="s">
        <v>2731</v>
      </c>
      <c r="B273" t="s">
        <v>1251</v>
      </c>
      <c r="C273" t="s">
        <v>2732</v>
      </c>
      <c r="E273" t="s">
        <v>1799</v>
      </c>
      <c r="F273" t="s">
        <v>1800</v>
      </c>
      <c r="G273" t="s">
        <v>635</v>
      </c>
      <c r="H273" s="6">
        <v>18196.18</v>
      </c>
      <c r="I273" t="s">
        <v>1791</v>
      </c>
      <c r="L273" s="8" t="s">
        <v>2733</v>
      </c>
    </row>
    <row r="274" spans="1:12" x14ac:dyDescent="0.3">
      <c r="A274" t="s">
        <v>2734</v>
      </c>
      <c r="B274" t="s">
        <v>1251</v>
      </c>
      <c r="C274" t="s">
        <v>2735</v>
      </c>
      <c r="E274" t="s">
        <v>1799</v>
      </c>
      <c r="F274" t="s">
        <v>1800</v>
      </c>
      <c r="G274" t="s">
        <v>635</v>
      </c>
      <c r="H274" s="6">
        <v>19709.47</v>
      </c>
      <c r="I274" t="s">
        <v>1791</v>
      </c>
      <c r="L274" s="8" t="s">
        <v>2736</v>
      </c>
    </row>
    <row r="275" spans="1:12" x14ac:dyDescent="0.3">
      <c r="A275" t="s">
        <v>2737</v>
      </c>
      <c r="B275" t="s">
        <v>1251</v>
      </c>
      <c r="C275" t="s">
        <v>2738</v>
      </c>
      <c r="E275" t="s">
        <v>1799</v>
      </c>
      <c r="F275" t="s">
        <v>1800</v>
      </c>
      <c r="G275" t="s">
        <v>635</v>
      </c>
      <c r="H275" s="6">
        <v>19858.490000000002</v>
      </c>
      <c r="I275" t="s">
        <v>1791</v>
      </c>
      <c r="L275" s="8" t="s">
        <v>2739</v>
      </c>
    </row>
    <row r="276" spans="1:12" x14ac:dyDescent="0.3">
      <c r="A276" t="s">
        <v>2740</v>
      </c>
      <c r="B276" t="s">
        <v>1251</v>
      </c>
      <c r="C276" t="s">
        <v>2741</v>
      </c>
      <c r="E276" t="s">
        <v>1799</v>
      </c>
      <c r="F276" t="s">
        <v>1800</v>
      </c>
      <c r="G276" t="s">
        <v>635</v>
      </c>
      <c r="H276" s="6">
        <v>20621.54</v>
      </c>
      <c r="I276" t="s">
        <v>1791</v>
      </c>
      <c r="L276" s="8" t="s">
        <v>2742</v>
      </c>
    </row>
    <row r="277" spans="1:12" x14ac:dyDescent="0.3">
      <c r="A277" t="s">
        <v>2743</v>
      </c>
      <c r="B277" t="s">
        <v>1251</v>
      </c>
      <c r="C277" t="s">
        <v>2744</v>
      </c>
      <c r="E277" t="s">
        <v>1799</v>
      </c>
      <c r="F277" t="s">
        <v>1800</v>
      </c>
      <c r="G277" t="s">
        <v>635</v>
      </c>
      <c r="H277" s="6">
        <v>2294.6999999999998</v>
      </c>
      <c r="I277" t="s">
        <v>1791</v>
      </c>
      <c r="L277" s="8" t="s">
        <v>2745</v>
      </c>
    </row>
    <row r="278" spans="1:12" x14ac:dyDescent="0.3">
      <c r="A278" t="s">
        <v>2746</v>
      </c>
      <c r="B278" t="s">
        <v>1251</v>
      </c>
      <c r="C278" t="s">
        <v>2747</v>
      </c>
      <c r="E278" t="s">
        <v>1799</v>
      </c>
      <c r="F278" t="s">
        <v>1800</v>
      </c>
      <c r="G278" t="s">
        <v>635</v>
      </c>
      <c r="H278" s="6">
        <v>3289.18</v>
      </c>
      <c r="I278" t="s">
        <v>1791</v>
      </c>
      <c r="L278" s="8" t="s">
        <v>2748</v>
      </c>
    </row>
    <row r="279" spans="1:12" x14ac:dyDescent="0.3">
      <c r="A279" t="s">
        <v>2749</v>
      </c>
      <c r="B279" t="s">
        <v>1251</v>
      </c>
      <c r="C279" t="s">
        <v>2750</v>
      </c>
      <c r="E279" t="s">
        <v>1799</v>
      </c>
      <c r="F279" t="s">
        <v>1800</v>
      </c>
      <c r="G279" t="s">
        <v>635</v>
      </c>
      <c r="H279" s="6">
        <v>2755.43</v>
      </c>
      <c r="I279" t="s">
        <v>1791</v>
      </c>
      <c r="L279" s="8" t="s">
        <v>2751</v>
      </c>
    </row>
    <row r="280" spans="1:12" x14ac:dyDescent="0.3">
      <c r="A280" t="s">
        <v>2752</v>
      </c>
      <c r="B280" t="s">
        <v>1251</v>
      </c>
      <c r="C280" t="s">
        <v>2753</v>
      </c>
      <c r="E280" t="s">
        <v>1799</v>
      </c>
      <c r="F280" t="s">
        <v>1800</v>
      </c>
      <c r="G280" t="s">
        <v>635</v>
      </c>
      <c r="H280" s="6">
        <v>3585.52</v>
      </c>
      <c r="I280" t="s">
        <v>1791</v>
      </c>
      <c r="L280" s="8" t="s">
        <v>2754</v>
      </c>
    </row>
    <row r="281" spans="1:12" x14ac:dyDescent="0.3">
      <c r="A281" t="s">
        <v>2755</v>
      </c>
      <c r="B281" t="s">
        <v>1251</v>
      </c>
      <c r="C281" t="s">
        <v>2756</v>
      </c>
      <c r="E281" t="s">
        <v>1799</v>
      </c>
      <c r="F281" t="s">
        <v>1800</v>
      </c>
      <c r="G281" t="s">
        <v>635</v>
      </c>
      <c r="H281" s="6">
        <v>3007.79</v>
      </c>
      <c r="I281" t="s">
        <v>1791</v>
      </c>
      <c r="L281" s="8" t="s">
        <v>2757</v>
      </c>
    </row>
    <row r="282" spans="1:12" x14ac:dyDescent="0.3">
      <c r="A282" t="s">
        <v>2758</v>
      </c>
      <c r="B282" t="s">
        <v>1251</v>
      </c>
      <c r="C282" t="s">
        <v>2759</v>
      </c>
      <c r="E282" t="s">
        <v>1799</v>
      </c>
      <c r="F282" t="s">
        <v>1800</v>
      </c>
      <c r="G282" t="s">
        <v>635</v>
      </c>
      <c r="H282" s="6">
        <v>4033.02</v>
      </c>
      <c r="I282" t="s">
        <v>1791</v>
      </c>
      <c r="L282" s="8" t="s">
        <v>2760</v>
      </c>
    </row>
    <row r="283" spans="1:12" x14ac:dyDescent="0.3">
      <c r="A283" t="s">
        <v>2761</v>
      </c>
      <c r="B283" t="s">
        <v>1251</v>
      </c>
      <c r="C283" t="s">
        <v>2762</v>
      </c>
      <c r="E283" t="s">
        <v>1799</v>
      </c>
      <c r="F283" t="s">
        <v>1800</v>
      </c>
      <c r="G283" t="s">
        <v>635</v>
      </c>
      <c r="H283" s="6">
        <v>3386.54</v>
      </c>
      <c r="I283" t="s">
        <v>1791</v>
      </c>
      <c r="L283" s="8" t="s">
        <v>2763</v>
      </c>
    </row>
    <row r="284" spans="1:12" x14ac:dyDescent="0.3">
      <c r="A284" t="s">
        <v>2764</v>
      </c>
      <c r="B284" t="s">
        <v>1251</v>
      </c>
      <c r="C284" t="s">
        <v>2765</v>
      </c>
      <c r="E284" t="s">
        <v>1799</v>
      </c>
      <c r="F284" t="s">
        <v>1800</v>
      </c>
      <c r="G284" t="s">
        <v>635</v>
      </c>
      <c r="H284" s="6">
        <v>1969.32</v>
      </c>
      <c r="I284" t="s">
        <v>1791</v>
      </c>
      <c r="L284" s="8" t="s">
        <v>2766</v>
      </c>
    </row>
    <row r="285" spans="1:12" x14ac:dyDescent="0.3">
      <c r="A285" t="s">
        <v>2767</v>
      </c>
      <c r="B285" t="s">
        <v>1251</v>
      </c>
      <c r="C285" t="s">
        <v>2768</v>
      </c>
      <c r="E285" t="s">
        <v>1799</v>
      </c>
      <c r="F285" t="s">
        <v>1800</v>
      </c>
      <c r="G285" t="s">
        <v>635</v>
      </c>
      <c r="H285" s="6">
        <v>7181.71</v>
      </c>
      <c r="I285" t="s">
        <v>1791</v>
      </c>
      <c r="L285" s="8" t="s">
        <v>2769</v>
      </c>
    </row>
    <row r="286" spans="1:12" x14ac:dyDescent="0.3">
      <c r="A286" t="s">
        <v>2770</v>
      </c>
      <c r="B286" t="s">
        <v>1251</v>
      </c>
      <c r="C286" t="s">
        <v>2771</v>
      </c>
      <c r="E286" t="s">
        <v>1799</v>
      </c>
      <c r="F286" t="s">
        <v>1800</v>
      </c>
      <c r="G286" t="s">
        <v>635</v>
      </c>
      <c r="H286" s="6">
        <v>7739.8</v>
      </c>
      <c r="I286" t="s">
        <v>1791</v>
      </c>
      <c r="L286" s="8" t="s">
        <v>2772</v>
      </c>
    </row>
    <row r="287" spans="1:12" x14ac:dyDescent="0.3">
      <c r="A287" t="s">
        <v>2773</v>
      </c>
      <c r="B287" t="s">
        <v>1251</v>
      </c>
      <c r="C287" t="s">
        <v>2774</v>
      </c>
      <c r="E287" t="s">
        <v>1799</v>
      </c>
      <c r="F287" t="s">
        <v>1800</v>
      </c>
      <c r="G287" t="s">
        <v>635</v>
      </c>
      <c r="H287" s="6">
        <v>8235.5499999999993</v>
      </c>
      <c r="I287" t="s">
        <v>1791</v>
      </c>
      <c r="L287" s="8" t="s">
        <v>2775</v>
      </c>
    </row>
    <row r="288" spans="1:12" x14ac:dyDescent="0.3">
      <c r="A288" t="s">
        <v>2776</v>
      </c>
      <c r="B288" t="s">
        <v>1251</v>
      </c>
      <c r="C288" t="s">
        <v>2777</v>
      </c>
      <c r="E288" t="s">
        <v>1799</v>
      </c>
      <c r="F288" t="s">
        <v>1800</v>
      </c>
      <c r="G288" t="s">
        <v>635</v>
      </c>
      <c r="H288" s="6">
        <v>9066.49</v>
      </c>
      <c r="I288" t="s">
        <v>1791</v>
      </c>
      <c r="L288" s="8" t="s">
        <v>2778</v>
      </c>
    </row>
    <row r="289" spans="1:12" x14ac:dyDescent="0.3">
      <c r="A289" t="s">
        <v>2779</v>
      </c>
      <c r="B289" t="s">
        <v>1251</v>
      </c>
      <c r="C289" t="s">
        <v>2780</v>
      </c>
      <c r="E289" t="s">
        <v>1799</v>
      </c>
      <c r="F289" t="s">
        <v>1800</v>
      </c>
      <c r="G289" t="s">
        <v>635</v>
      </c>
      <c r="H289" s="6">
        <v>9895.2999999999993</v>
      </c>
      <c r="I289" t="s">
        <v>1791</v>
      </c>
      <c r="L289" s="8" t="s">
        <v>2781</v>
      </c>
    </row>
    <row r="290" spans="1:12" x14ac:dyDescent="0.3">
      <c r="A290" t="s">
        <v>2782</v>
      </c>
      <c r="B290" t="s">
        <v>1251</v>
      </c>
      <c r="C290" t="s">
        <v>2783</v>
      </c>
      <c r="E290" t="s">
        <v>1799</v>
      </c>
      <c r="F290" t="s">
        <v>1800</v>
      </c>
      <c r="G290" t="s">
        <v>635</v>
      </c>
      <c r="H290" s="6">
        <v>11109.26</v>
      </c>
      <c r="I290" t="s">
        <v>1791</v>
      </c>
      <c r="L290" s="8" t="s">
        <v>2784</v>
      </c>
    </row>
    <row r="291" spans="1:12" x14ac:dyDescent="0.3">
      <c r="A291" t="s">
        <v>2785</v>
      </c>
      <c r="B291" t="s">
        <v>1251</v>
      </c>
      <c r="C291" t="s">
        <v>2786</v>
      </c>
      <c r="E291" t="s">
        <v>1799</v>
      </c>
      <c r="F291" t="s">
        <v>1800</v>
      </c>
      <c r="G291" t="s">
        <v>635</v>
      </c>
      <c r="H291" s="6">
        <v>12195.97</v>
      </c>
      <c r="I291" t="s">
        <v>1791</v>
      </c>
      <c r="L291" s="8" t="s">
        <v>2787</v>
      </c>
    </row>
    <row r="292" spans="1:12" x14ac:dyDescent="0.3">
      <c r="A292" t="s">
        <v>2788</v>
      </c>
      <c r="B292" t="s">
        <v>1251</v>
      </c>
      <c r="C292" t="s">
        <v>2789</v>
      </c>
      <c r="E292" t="s">
        <v>1799</v>
      </c>
      <c r="F292" t="s">
        <v>1800</v>
      </c>
      <c r="G292" t="s">
        <v>635</v>
      </c>
      <c r="H292" s="6">
        <v>11719.44</v>
      </c>
      <c r="I292" t="s">
        <v>1791</v>
      </c>
      <c r="L292" s="8" t="s">
        <v>2790</v>
      </c>
    </row>
    <row r="293" spans="1:12" x14ac:dyDescent="0.3">
      <c r="A293" t="s">
        <v>2791</v>
      </c>
      <c r="B293" t="s">
        <v>1251</v>
      </c>
      <c r="C293" t="s">
        <v>2792</v>
      </c>
      <c r="E293" t="s">
        <v>1799</v>
      </c>
      <c r="F293" t="s">
        <v>1800</v>
      </c>
      <c r="G293" t="s">
        <v>635</v>
      </c>
      <c r="H293" s="6">
        <v>12666.53</v>
      </c>
      <c r="I293" t="s">
        <v>1791</v>
      </c>
      <c r="L293" s="8" t="s">
        <v>2793</v>
      </c>
    </row>
    <row r="294" spans="1:12" x14ac:dyDescent="0.3">
      <c r="A294" t="s">
        <v>2794</v>
      </c>
      <c r="B294" t="s">
        <v>1251</v>
      </c>
      <c r="C294" t="s">
        <v>2795</v>
      </c>
      <c r="E294" t="s">
        <v>1799</v>
      </c>
      <c r="F294" t="s">
        <v>1800</v>
      </c>
      <c r="G294" t="s">
        <v>635</v>
      </c>
      <c r="H294" s="6">
        <v>18574.93</v>
      </c>
      <c r="I294" t="s">
        <v>1791</v>
      </c>
      <c r="L294" s="8" t="s">
        <v>2796</v>
      </c>
    </row>
    <row r="295" spans="1:12" x14ac:dyDescent="0.3">
      <c r="A295" t="s">
        <v>2797</v>
      </c>
      <c r="B295" t="s">
        <v>1251</v>
      </c>
      <c r="C295" t="s">
        <v>2798</v>
      </c>
      <c r="E295" t="s">
        <v>1799</v>
      </c>
      <c r="F295" t="s">
        <v>1800</v>
      </c>
      <c r="G295" t="s">
        <v>635</v>
      </c>
      <c r="H295" s="6">
        <v>19340.11</v>
      </c>
      <c r="I295" t="s">
        <v>1791</v>
      </c>
      <c r="L295" s="8" t="s">
        <v>2799</v>
      </c>
    </row>
    <row r="296" spans="1:12" x14ac:dyDescent="0.3">
      <c r="A296" t="s">
        <v>2800</v>
      </c>
      <c r="B296" t="s">
        <v>1251</v>
      </c>
      <c r="C296" t="s">
        <v>2801</v>
      </c>
      <c r="E296" t="s">
        <v>1799</v>
      </c>
      <c r="F296" t="s">
        <v>1800</v>
      </c>
      <c r="G296" t="s">
        <v>635</v>
      </c>
      <c r="H296" s="6">
        <v>19914</v>
      </c>
      <c r="I296" t="s">
        <v>1791</v>
      </c>
      <c r="L296" s="8" t="s">
        <v>2802</v>
      </c>
    </row>
    <row r="297" spans="1:12" x14ac:dyDescent="0.3">
      <c r="A297" t="s">
        <v>2803</v>
      </c>
      <c r="B297" t="s">
        <v>1251</v>
      </c>
      <c r="C297" t="s">
        <v>2804</v>
      </c>
      <c r="E297" t="s">
        <v>1799</v>
      </c>
      <c r="F297" t="s">
        <v>1800</v>
      </c>
      <c r="G297" t="s">
        <v>635</v>
      </c>
      <c r="H297" s="6">
        <v>20159.52</v>
      </c>
      <c r="I297" t="s">
        <v>1791</v>
      </c>
      <c r="L297" s="8" t="s">
        <v>2805</v>
      </c>
    </row>
    <row r="298" spans="1:12" x14ac:dyDescent="0.3">
      <c r="A298" t="s">
        <v>2806</v>
      </c>
      <c r="B298" t="s">
        <v>1251</v>
      </c>
      <c r="C298" t="s">
        <v>2807</v>
      </c>
      <c r="E298" t="s">
        <v>1799</v>
      </c>
      <c r="F298" t="s">
        <v>1800</v>
      </c>
      <c r="G298" t="s">
        <v>635</v>
      </c>
      <c r="H298" s="6">
        <v>6447.27</v>
      </c>
      <c r="I298" t="s">
        <v>1791</v>
      </c>
      <c r="L298" s="8" t="s">
        <v>2808</v>
      </c>
    </row>
    <row r="299" spans="1:12" x14ac:dyDescent="0.3">
      <c r="A299" t="s">
        <v>2809</v>
      </c>
      <c r="B299" t="s">
        <v>1251</v>
      </c>
      <c r="C299" t="s">
        <v>2810</v>
      </c>
      <c r="E299" t="s">
        <v>1799</v>
      </c>
      <c r="F299" t="s">
        <v>1800</v>
      </c>
      <c r="G299" t="s">
        <v>635</v>
      </c>
      <c r="H299" s="6">
        <v>6795.7</v>
      </c>
      <c r="I299" t="s">
        <v>1791</v>
      </c>
      <c r="L299" s="8" t="s">
        <v>2811</v>
      </c>
    </row>
    <row r="300" spans="1:12" x14ac:dyDescent="0.3">
      <c r="A300" t="s">
        <v>2812</v>
      </c>
      <c r="B300" t="s">
        <v>1251</v>
      </c>
      <c r="C300" t="s">
        <v>2813</v>
      </c>
      <c r="E300" t="s">
        <v>1799</v>
      </c>
      <c r="F300" t="s">
        <v>1800</v>
      </c>
      <c r="G300" t="s">
        <v>635</v>
      </c>
      <c r="H300" s="6">
        <v>7463.96</v>
      </c>
      <c r="I300" t="s">
        <v>1791</v>
      </c>
      <c r="L300" s="8" t="s">
        <v>2814</v>
      </c>
    </row>
    <row r="301" spans="1:12" x14ac:dyDescent="0.3">
      <c r="A301" t="s">
        <v>2815</v>
      </c>
      <c r="B301" t="s">
        <v>1251</v>
      </c>
      <c r="C301" t="s">
        <v>2816</v>
      </c>
      <c r="E301" t="s">
        <v>1799</v>
      </c>
      <c r="F301" t="s">
        <v>1800</v>
      </c>
      <c r="G301" t="s">
        <v>635</v>
      </c>
      <c r="H301" s="6">
        <v>8545.5499999999993</v>
      </c>
      <c r="I301" t="s">
        <v>1791</v>
      </c>
      <c r="L301" s="8" t="s">
        <v>2817</v>
      </c>
    </row>
    <row r="302" spans="1:12" x14ac:dyDescent="0.3">
      <c r="A302" t="s">
        <v>2818</v>
      </c>
      <c r="B302" t="s">
        <v>1251</v>
      </c>
      <c r="C302" t="s">
        <v>2819</v>
      </c>
      <c r="E302" t="s">
        <v>1799</v>
      </c>
      <c r="F302" t="s">
        <v>1800</v>
      </c>
      <c r="G302" t="s">
        <v>635</v>
      </c>
      <c r="H302" s="6">
        <v>8768.8700000000008</v>
      </c>
      <c r="I302" t="s">
        <v>1791</v>
      </c>
      <c r="L302" s="8" t="s">
        <v>2820</v>
      </c>
    </row>
    <row r="303" spans="1:12" x14ac:dyDescent="0.3">
      <c r="A303" t="s">
        <v>2821</v>
      </c>
      <c r="B303" t="s">
        <v>1251</v>
      </c>
      <c r="C303" t="s">
        <v>2822</v>
      </c>
      <c r="E303" t="s">
        <v>1799</v>
      </c>
      <c r="F303" t="s">
        <v>1800</v>
      </c>
      <c r="G303" t="s">
        <v>635</v>
      </c>
      <c r="H303" s="6">
        <v>10135.27</v>
      </c>
      <c r="I303" t="s">
        <v>1791</v>
      </c>
      <c r="L303" s="8" t="s">
        <v>2823</v>
      </c>
    </row>
    <row r="304" spans="1:12" x14ac:dyDescent="0.3">
      <c r="A304" t="s">
        <v>2824</v>
      </c>
      <c r="B304" t="s">
        <v>1251</v>
      </c>
      <c r="C304" t="s">
        <v>2825</v>
      </c>
      <c r="E304" t="s">
        <v>1799</v>
      </c>
      <c r="F304" t="s">
        <v>1800</v>
      </c>
      <c r="G304" t="s">
        <v>635</v>
      </c>
      <c r="H304" s="6">
        <v>10698.49</v>
      </c>
      <c r="I304" t="s">
        <v>1791</v>
      </c>
      <c r="L304" s="8" t="s">
        <v>2826</v>
      </c>
    </row>
    <row r="305" spans="1:12" x14ac:dyDescent="0.3">
      <c r="A305" t="s">
        <v>2827</v>
      </c>
      <c r="B305" t="s">
        <v>1251</v>
      </c>
      <c r="C305" t="s">
        <v>2828</v>
      </c>
      <c r="E305" t="s">
        <v>1799</v>
      </c>
      <c r="F305" t="s">
        <v>1800</v>
      </c>
      <c r="G305" t="s">
        <v>635</v>
      </c>
      <c r="H305" s="6">
        <v>11608</v>
      </c>
      <c r="I305" t="s">
        <v>1791</v>
      </c>
      <c r="L305" s="8" t="s">
        <v>2829</v>
      </c>
    </row>
    <row r="306" spans="1:12" x14ac:dyDescent="0.3">
      <c r="A306" t="s">
        <v>2830</v>
      </c>
      <c r="B306" t="s">
        <v>1251</v>
      </c>
      <c r="C306" t="s">
        <v>2831</v>
      </c>
      <c r="E306" t="s">
        <v>1799</v>
      </c>
      <c r="F306" t="s">
        <v>1800</v>
      </c>
      <c r="G306" t="s">
        <v>635</v>
      </c>
      <c r="H306" s="6">
        <v>12545.69</v>
      </c>
      <c r="I306" t="s">
        <v>1791</v>
      </c>
      <c r="L306" s="8" t="s">
        <v>2832</v>
      </c>
    </row>
    <row r="307" spans="1:12" x14ac:dyDescent="0.3">
      <c r="A307" t="s">
        <v>2833</v>
      </c>
      <c r="B307" t="s">
        <v>1251</v>
      </c>
      <c r="C307" t="s">
        <v>2834</v>
      </c>
      <c r="E307" t="s">
        <v>1799</v>
      </c>
      <c r="F307" t="s">
        <v>1800</v>
      </c>
      <c r="G307" t="s">
        <v>635</v>
      </c>
      <c r="H307" s="6">
        <v>14734.92</v>
      </c>
      <c r="I307" t="s">
        <v>1791</v>
      </c>
      <c r="L307" s="8" t="s">
        <v>2835</v>
      </c>
    </row>
    <row r="308" spans="1:12" x14ac:dyDescent="0.3">
      <c r="A308" t="s">
        <v>2836</v>
      </c>
      <c r="B308" t="s">
        <v>1251</v>
      </c>
      <c r="C308" t="s">
        <v>2837</v>
      </c>
      <c r="E308" t="s">
        <v>1799</v>
      </c>
      <c r="F308" t="s">
        <v>1800</v>
      </c>
      <c r="G308" t="s">
        <v>635</v>
      </c>
      <c r="H308" s="6">
        <v>14872.41</v>
      </c>
      <c r="I308" t="s">
        <v>1791</v>
      </c>
      <c r="L308" s="8" t="s">
        <v>2838</v>
      </c>
    </row>
    <row r="309" spans="1:12" x14ac:dyDescent="0.3">
      <c r="A309" t="s">
        <v>2839</v>
      </c>
      <c r="B309" t="s">
        <v>1251</v>
      </c>
      <c r="C309" t="s">
        <v>2840</v>
      </c>
      <c r="E309" t="s">
        <v>1799</v>
      </c>
      <c r="F309" t="s">
        <v>1800</v>
      </c>
      <c r="G309" t="s">
        <v>635</v>
      </c>
      <c r="H309" s="6">
        <v>16120.96</v>
      </c>
      <c r="I309" t="s">
        <v>1791</v>
      </c>
      <c r="L309" s="8" t="s">
        <v>2841</v>
      </c>
    </row>
    <row r="310" spans="1:12" x14ac:dyDescent="0.3">
      <c r="A310" t="s">
        <v>2842</v>
      </c>
      <c r="B310" t="s">
        <v>1251</v>
      </c>
      <c r="C310" t="s">
        <v>2843</v>
      </c>
      <c r="E310" t="s">
        <v>1799</v>
      </c>
      <c r="F310" t="s">
        <v>1800</v>
      </c>
      <c r="G310" t="s">
        <v>635</v>
      </c>
      <c r="H310" s="6">
        <v>16242.65</v>
      </c>
      <c r="I310" t="s">
        <v>1791</v>
      </c>
      <c r="L310" s="8" t="s">
        <v>2844</v>
      </c>
    </row>
    <row r="311" spans="1:12" x14ac:dyDescent="0.3">
      <c r="A311" t="s">
        <v>2845</v>
      </c>
      <c r="B311" t="s">
        <v>1251</v>
      </c>
      <c r="C311" t="s">
        <v>2846</v>
      </c>
      <c r="E311" t="s">
        <v>1799</v>
      </c>
      <c r="F311" t="s">
        <v>1800</v>
      </c>
      <c r="G311" t="s">
        <v>635</v>
      </c>
      <c r="H311" s="6">
        <v>17776.86</v>
      </c>
      <c r="I311" t="s">
        <v>1791</v>
      </c>
      <c r="L311" s="8" t="s">
        <v>2847</v>
      </c>
    </row>
    <row r="312" spans="1:12" x14ac:dyDescent="0.3">
      <c r="A312" t="s">
        <v>2848</v>
      </c>
      <c r="B312" t="s">
        <v>1251</v>
      </c>
      <c r="C312" t="s">
        <v>2849</v>
      </c>
      <c r="E312" t="s">
        <v>1799</v>
      </c>
      <c r="F312" t="s">
        <v>1800</v>
      </c>
      <c r="G312" t="s">
        <v>635</v>
      </c>
      <c r="H312" s="6">
        <v>6199.19</v>
      </c>
      <c r="I312" t="s">
        <v>1791</v>
      </c>
      <c r="L312" s="8" t="s">
        <v>2850</v>
      </c>
    </row>
    <row r="313" spans="1:12" x14ac:dyDescent="0.3">
      <c r="A313" t="s">
        <v>2851</v>
      </c>
      <c r="B313" t="s">
        <v>1251</v>
      </c>
      <c r="C313" t="s">
        <v>2852</v>
      </c>
      <c r="E313" t="s">
        <v>1799</v>
      </c>
      <c r="F313" t="s">
        <v>1800</v>
      </c>
      <c r="G313" t="s">
        <v>635</v>
      </c>
      <c r="H313" s="6">
        <v>6533.95</v>
      </c>
      <c r="I313" t="s">
        <v>1791</v>
      </c>
      <c r="L313" s="8" t="s">
        <v>2853</v>
      </c>
    </row>
    <row r="314" spans="1:12" x14ac:dyDescent="0.3">
      <c r="A314" t="s">
        <v>2854</v>
      </c>
      <c r="B314" t="s">
        <v>1251</v>
      </c>
      <c r="C314" t="s">
        <v>2855</v>
      </c>
      <c r="E314" t="s">
        <v>1799</v>
      </c>
      <c r="F314" t="s">
        <v>1800</v>
      </c>
      <c r="G314" t="s">
        <v>635</v>
      </c>
      <c r="H314" s="6">
        <v>7177.02</v>
      </c>
      <c r="I314" t="s">
        <v>1791</v>
      </c>
      <c r="L314" s="8" t="s">
        <v>2856</v>
      </c>
    </row>
    <row r="315" spans="1:12" x14ac:dyDescent="0.3">
      <c r="A315" t="s">
        <v>2857</v>
      </c>
      <c r="B315" t="s">
        <v>1251</v>
      </c>
      <c r="C315" t="s">
        <v>2858</v>
      </c>
      <c r="E315" t="s">
        <v>1799</v>
      </c>
      <c r="F315" t="s">
        <v>1800</v>
      </c>
      <c r="G315" t="s">
        <v>635</v>
      </c>
      <c r="H315" s="6">
        <v>8216.33</v>
      </c>
      <c r="I315" t="s">
        <v>1791</v>
      </c>
      <c r="L315" s="8" t="s">
        <v>2859</v>
      </c>
    </row>
    <row r="316" spans="1:12" x14ac:dyDescent="0.3">
      <c r="A316" t="s">
        <v>2860</v>
      </c>
      <c r="B316" t="s">
        <v>1251</v>
      </c>
      <c r="C316" t="s">
        <v>2861</v>
      </c>
      <c r="E316" t="s">
        <v>1799</v>
      </c>
      <c r="F316" t="s">
        <v>1800</v>
      </c>
      <c r="G316" t="s">
        <v>635</v>
      </c>
      <c r="H316" s="6">
        <v>8431.5400000000009</v>
      </c>
      <c r="I316" t="s">
        <v>1791</v>
      </c>
      <c r="L316" s="8" t="s">
        <v>2862</v>
      </c>
    </row>
    <row r="317" spans="1:12" x14ac:dyDescent="0.3">
      <c r="A317" t="s">
        <v>2863</v>
      </c>
      <c r="B317" t="s">
        <v>1251</v>
      </c>
      <c r="C317" t="s">
        <v>2864</v>
      </c>
      <c r="E317" t="s">
        <v>1799</v>
      </c>
      <c r="F317" t="s">
        <v>1800</v>
      </c>
      <c r="G317" t="s">
        <v>635</v>
      </c>
      <c r="H317" s="6">
        <v>9745.42</v>
      </c>
      <c r="I317" t="s">
        <v>1791</v>
      </c>
      <c r="L317" s="8" t="s">
        <v>2865</v>
      </c>
    </row>
    <row r="318" spans="1:12" x14ac:dyDescent="0.3">
      <c r="A318" t="s">
        <v>2866</v>
      </c>
      <c r="B318" t="s">
        <v>1251</v>
      </c>
      <c r="C318" t="s">
        <v>2867</v>
      </c>
      <c r="E318" t="s">
        <v>1799</v>
      </c>
      <c r="F318" t="s">
        <v>1800</v>
      </c>
      <c r="G318" t="s">
        <v>635</v>
      </c>
      <c r="H318" s="6">
        <v>10287.280000000001</v>
      </c>
      <c r="I318" t="s">
        <v>1791</v>
      </c>
      <c r="L318" s="8" t="s">
        <v>2868</v>
      </c>
    </row>
    <row r="319" spans="1:12" x14ac:dyDescent="0.3">
      <c r="A319" t="s">
        <v>2869</v>
      </c>
      <c r="B319" t="s">
        <v>1251</v>
      </c>
      <c r="C319" t="s">
        <v>2870</v>
      </c>
      <c r="E319" t="s">
        <v>1799</v>
      </c>
      <c r="F319" t="s">
        <v>1800</v>
      </c>
      <c r="G319" t="s">
        <v>635</v>
      </c>
      <c r="H319" s="6">
        <v>11161.35</v>
      </c>
      <c r="I319" t="s">
        <v>1791</v>
      </c>
      <c r="L319" s="8" t="s">
        <v>2871</v>
      </c>
    </row>
    <row r="320" spans="1:12" x14ac:dyDescent="0.3">
      <c r="A320" t="s">
        <v>2872</v>
      </c>
      <c r="B320" t="s">
        <v>1251</v>
      </c>
      <c r="C320" t="s">
        <v>2873</v>
      </c>
      <c r="E320" t="s">
        <v>1799</v>
      </c>
      <c r="F320" t="s">
        <v>1800</v>
      </c>
      <c r="G320" t="s">
        <v>635</v>
      </c>
      <c r="H320" s="6">
        <v>12063.18</v>
      </c>
      <c r="I320" t="s">
        <v>1791</v>
      </c>
      <c r="L320" s="8" t="s">
        <v>2874</v>
      </c>
    </row>
    <row r="321" spans="1:12" x14ac:dyDescent="0.3">
      <c r="A321" t="s">
        <v>2875</v>
      </c>
      <c r="B321" t="s">
        <v>1251</v>
      </c>
      <c r="C321" t="s">
        <v>2876</v>
      </c>
      <c r="E321" t="s">
        <v>1799</v>
      </c>
      <c r="F321" t="s">
        <v>1800</v>
      </c>
      <c r="G321" t="s">
        <v>635</v>
      </c>
      <c r="H321" s="6">
        <v>3333.16</v>
      </c>
      <c r="I321" t="s">
        <v>1791</v>
      </c>
      <c r="L321" s="8" t="s">
        <v>2877</v>
      </c>
    </row>
    <row r="322" spans="1:12" x14ac:dyDescent="0.3">
      <c r="A322" t="s">
        <v>2878</v>
      </c>
      <c r="B322" t="s">
        <v>1251</v>
      </c>
      <c r="C322" t="s">
        <v>2879</v>
      </c>
      <c r="E322" t="s">
        <v>1799</v>
      </c>
      <c r="F322" t="s">
        <v>1800</v>
      </c>
      <c r="G322" t="s">
        <v>635</v>
      </c>
      <c r="H322" s="6">
        <v>3497.56</v>
      </c>
      <c r="I322" t="s">
        <v>1791</v>
      </c>
      <c r="L322" s="8" t="s">
        <v>2880</v>
      </c>
    </row>
    <row r="323" spans="1:12" x14ac:dyDescent="0.3">
      <c r="A323" t="s">
        <v>2881</v>
      </c>
      <c r="B323" t="s">
        <v>1251</v>
      </c>
      <c r="C323" t="s">
        <v>2882</v>
      </c>
      <c r="E323" t="s">
        <v>1799</v>
      </c>
      <c r="F323" t="s">
        <v>1800</v>
      </c>
      <c r="G323" t="s">
        <v>635</v>
      </c>
      <c r="H323" s="6">
        <v>4305.01</v>
      </c>
      <c r="I323" t="s">
        <v>1791</v>
      </c>
      <c r="L323" s="8" t="s">
        <v>2883</v>
      </c>
    </row>
    <row r="324" spans="1:12" x14ac:dyDescent="0.3">
      <c r="A324" t="s">
        <v>2884</v>
      </c>
      <c r="B324" t="s">
        <v>1251</v>
      </c>
      <c r="C324" t="s">
        <v>2885</v>
      </c>
      <c r="E324" t="s">
        <v>1799</v>
      </c>
      <c r="F324" t="s">
        <v>1800</v>
      </c>
      <c r="G324" t="s">
        <v>635</v>
      </c>
      <c r="H324" s="6">
        <v>5386.6</v>
      </c>
      <c r="I324" t="s">
        <v>1791</v>
      </c>
      <c r="L324" s="8" t="s">
        <v>2886</v>
      </c>
    </row>
    <row r="325" spans="1:12" x14ac:dyDescent="0.3">
      <c r="A325" t="s">
        <v>2887</v>
      </c>
      <c r="B325" t="s">
        <v>1251</v>
      </c>
      <c r="C325" t="s">
        <v>2888</v>
      </c>
      <c r="E325" t="s">
        <v>1799</v>
      </c>
      <c r="F325" t="s">
        <v>1800</v>
      </c>
      <c r="G325" t="s">
        <v>635</v>
      </c>
      <c r="H325" s="6">
        <v>5684.22</v>
      </c>
      <c r="I325" t="s">
        <v>1791</v>
      </c>
      <c r="L325" s="8" t="s">
        <v>2889</v>
      </c>
    </row>
    <row r="326" spans="1:12" x14ac:dyDescent="0.3">
      <c r="A326" t="s">
        <v>2890</v>
      </c>
      <c r="B326" t="s">
        <v>1251</v>
      </c>
      <c r="C326" t="s">
        <v>2891</v>
      </c>
      <c r="E326" t="s">
        <v>1799</v>
      </c>
      <c r="F326" t="s">
        <v>1800</v>
      </c>
      <c r="G326" t="s">
        <v>635</v>
      </c>
      <c r="H326" s="6">
        <v>7256.87</v>
      </c>
      <c r="I326" t="s">
        <v>1791</v>
      </c>
      <c r="L326" s="8" t="s">
        <v>2892</v>
      </c>
    </row>
    <row r="327" spans="1:12" x14ac:dyDescent="0.3">
      <c r="A327" t="s">
        <v>2893</v>
      </c>
      <c r="B327" t="s">
        <v>1251</v>
      </c>
      <c r="C327" t="s">
        <v>2894</v>
      </c>
      <c r="E327" t="s">
        <v>1799</v>
      </c>
      <c r="F327" t="s">
        <v>1800</v>
      </c>
      <c r="G327" t="s">
        <v>635</v>
      </c>
      <c r="H327" s="6">
        <v>7486.59</v>
      </c>
      <c r="I327" t="s">
        <v>1791</v>
      </c>
      <c r="L327" s="8" t="s">
        <v>2895</v>
      </c>
    </row>
    <row r="328" spans="1:12" x14ac:dyDescent="0.3">
      <c r="A328" t="s">
        <v>2896</v>
      </c>
      <c r="B328" t="s">
        <v>1251</v>
      </c>
      <c r="C328" t="s">
        <v>2897</v>
      </c>
      <c r="E328" t="s">
        <v>1799</v>
      </c>
      <c r="F328" t="s">
        <v>1800</v>
      </c>
      <c r="G328" t="s">
        <v>635</v>
      </c>
      <c r="H328" s="6">
        <v>8171.07</v>
      </c>
      <c r="I328" t="s">
        <v>1791</v>
      </c>
      <c r="L328" s="8" t="s">
        <v>2898</v>
      </c>
    </row>
    <row r="329" spans="1:12" x14ac:dyDescent="0.3">
      <c r="A329" t="s">
        <v>2899</v>
      </c>
      <c r="B329" t="s">
        <v>1251</v>
      </c>
      <c r="C329" t="s">
        <v>2900</v>
      </c>
      <c r="E329" t="s">
        <v>1799</v>
      </c>
      <c r="F329" t="s">
        <v>1800</v>
      </c>
      <c r="G329" t="s">
        <v>635</v>
      </c>
      <c r="H329" s="6">
        <v>8644.19</v>
      </c>
      <c r="I329" t="s">
        <v>1791</v>
      </c>
      <c r="L329" s="8" t="s">
        <v>2901</v>
      </c>
    </row>
    <row r="330" spans="1:12" x14ac:dyDescent="0.3">
      <c r="A330" t="s">
        <v>2902</v>
      </c>
      <c r="B330" t="s">
        <v>1251</v>
      </c>
      <c r="C330" t="s">
        <v>2903</v>
      </c>
      <c r="E330" t="s">
        <v>1799</v>
      </c>
      <c r="F330" t="s">
        <v>1800</v>
      </c>
      <c r="G330" t="s">
        <v>635</v>
      </c>
      <c r="H330" s="6">
        <v>9117.2999999999993</v>
      </c>
      <c r="I330" t="s">
        <v>1791</v>
      </c>
      <c r="L330" s="8" t="s">
        <v>2904</v>
      </c>
    </row>
    <row r="331" spans="1:12" x14ac:dyDescent="0.3">
      <c r="A331" t="s">
        <v>2905</v>
      </c>
      <c r="B331" t="s">
        <v>1251</v>
      </c>
      <c r="C331" t="s">
        <v>2906</v>
      </c>
      <c r="E331" t="s">
        <v>1799</v>
      </c>
      <c r="F331" t="s">
        <v>1800</v>
      </c>
      <c r="G331" t="s">
        <v>635</v>
      </c>
      <c r="H331" s="6">
        <v>9473.42</v>
      </c>
      <c r="I331" t="s">
        <v>1791</v>
      </c>
      <c r="L331" s="8" t="s">
        <v>2907</v>
      </c>
    </row>
    <row r="332" spans="1:12" x14ac:dyDescent="0.3">
      <c r="A332" t="s">
        <v>2908</v>
      </c>
      <c r="B332" t="s">
        <v>1251</v>
      </c>
      <c r="C332" t="s">
        <v>2909</v>
      </c>
      <c r="E332" t="s">
        <v>1799</v>
      </c>
      <c r="F332" t="s">
        <v>1800</v>
      </c>
      <c r="G332" t="s">
        <v>635</v>
      </c>
      <c r="H332" s="6">
        <v>10031.08</v>
      </c>
      <c r="I332" t="s">
        <v>1791</v>
      </c>
      <c r="L332" s="8" t="s">
        <v>2910</v>
      </c>
    </row>
    <row r="333" spans="1:12" x14ac:dyDescent="0.3">
      <c r="A333" t="s">
        <v>2911</v>
      </c>
      <c r="B333" t="s">
        <v>1251</v>
      </c>
      <c r="C333" t="s">
        <v>2912</v>
      </c>
      <c r="D333" t="s">
        <v>2913</v>
      </c>
      <c r="E333" t="s">
        <v>1789</v>
      </c>
      <c r="F333" t="s">
        <v>1790</v>
      </c>
      <c r="G333" t="s">
        <v>635</v>
      </c>
      <c r="H333" s="6">
        <v>3265.5</v>
      </c>
      <c r="I333" t="s">
        <v>1791</v>
      </c>
      <c r="L333" s="8" t="s">
        <v>2914</v>
      </c>
    </row>
    <row r="334" spans="1:12" x14ac:dyDescent="0.3">
      <c r="A334" t="s">
        <v>2915</v>
      </c>
      <c r="B334" t="s">
        <v>1251</v>
      </c>
      <c r="C334" t="s">
        <v>2916</v>
      </c>
      <c r="D334" t="s">
        <v>2917</v>
      </c>
      <c r="E334" t="s">
        <v>1789</v>
      </c>
      <c r="F334" t="s">
        <v>1790</v>
      </c>
      <c r="G334" t="s">
        <v>635</v>
      </c>
      <c r="H334" s="6">
        <v>3378.9</v>
      </c>
      <c r="I334" t="s">
        <v>1791</v>
      </c>
      <c r="L334" s="8" t="s">
        <v>2918</v>
      </c>
    </row>
    <row r="335" spans="1:12" x14ac:dyDescent="0.3">
      <c r="A335" t="s">
        <v>2919</v>
      </c>
      <c r="B335" t="s">
        <v>1251</v>
      </c>
      <c r="C335" t="s">
        <v>2920</v>
      </c>
      <c r="D335" t="s">
        <v>2921</v>
      </c>
      <c r="E335" t="s">
        <v>1789</v>
      </c>
      <c r="F335" t="s">
        <v>1790</v>
      </c>
      <c r="G335" t="s">
        <v>635</v>
      </c>
      <c r="H335" s="6">
        <v>1304.0999999999999</v>
      </c>
      <c r="I335" t="s">
        <v>1791</v>
      </c>
      <c r="L335" s="8" t="s">
        <v>2922</v>
      </c>
    </row>
    <row r="336" spans="1:12" x14ac:dyDescent="0.3">
      <c r="A336" t="s">
        <v>2923</v>
      </c>
      <c r="B336" t="s">
        <v>1251</v>
      </c>
      <c r="C336" t="s">
        <v>2924</v>
      </c>
      <c r="D336" t="s">
        <v>2925</v>
      </c>
      <c r="E336" t="s">
        <v>1789</v>
      </c>
      <c r="F336" t="s">
        <v>1790</v>
      </c>
      <c r="G336" t="s">
        <v>635</v>
      </c>
      <c r="H336" s="6">
        <v>2064.3000000000002</v>
      </c>
      <c r="I336" t="s">
        <v>1791</v>
      </c>
      <c r="L336" s="8" t="s">
        <v>2926</v>
      </c>
    </row>
    <row r="337" spans="1:12" x14ac:dyDescent="0.3">
      <c r="A337" t="s">
        <v>2927</v>
      </c>
      <c r="B337" t="s">
        <v>1251</v>
      </c>
      <c r="C337" t="s">
        <v>2928</v>
      </c>
      <c r="D337" t="s">
        <v>2929</v>
      </c>
      <c r="E337" t="s">
        <v>1789</v>
      </c>
      <c r="F337" t="s">
        <v>1790</v>
      </c>
      <c r="G337" t="s">
        <v>635</v>
      </c>
      <c r="H337" s="6">
        <v>2313.15</v>
      </c>
      <c r="I337" t="s">
        <v>1791</v>
      </c>
      <c r="L337" s="8" t="s">
        <v>2930</v>
      </c>
    </row>
    <row r="338" spans="1:12" x14ac:dyDescent="0.3">
      <c r="A338" t="s">
        <v>2931</v>
      </c>
      <c r="B338" t="s">
        <v>1251</v>
      </c>
      <c r="C338" t="s">
        <v>2932</v>
      </c>
      <c r="D338" t="s">
        <v>2933</v>
      </c>
      <c r="E338" t="s">
        <v>1789</v>
      </c>
      <c r="F338" t="s">
        <v>1790</v>
      </c>
      <c r="G338" t="s">
        <v>635</v>
      </c>
      <c r="H338" s="6">
        <v>2313.15</v>
      </c>
      <c r="I338" t="s">
        <v>1791</v>
      </c>
      <c r="L338" s="8" t="s">
        <v>2934</v>
      </c>
    </row>
    <row r="339" spans="1:12" x14ac:dyDescent="0.3">
      <c r="A339" t="s">
        <v>2935</v>
      </c>
      <c r="B339" t="s">
        <v>1251</v>
      </c>
      <c r="C339" t="s">
        <v>2936</v>
      </c>
      <c r="D339" t="s">
        <v>2937</v>
      </c>
      <c r="E339" t="s">
        <v>1789</v>
      </c>
      <c r="F339" t="s">
        <v>1790</v>
      </c>
      <c r="G339" t="s">
        <v>635</v>
      </c>
      <c r="H339" s="6">
        <v>2074.8000000000002</v>
      </c>
      <c r="I339" t="s">
        <v>1791</v>
      </c>
      <c r="L339" s="8" t="s">
        <v>2938</v>
      </c>
    </row>
    <row r="340" spans="1:12" x14ac:dyDescent="0.3">
      <c r="A340" t="s">
        <v>2939</v>
      </c>
      <c r="B340" t="s">
        <v>1251</v>
      </c>
      <c r="C340" t="s">
        <v>2940</v>
      </c>
      <c r="D340" t="s">
        <v>2941</v>
      </c>
      <c r="E340" t="s">
        <v>1789</v>
      </c>
      <c r="F340" t="s">
        <v>1790</v>
      </c>
      <c r="G340" t="s">
        <v>635</v>
      </c>
      <c r="H340" s="6">
        <v>2324.6999999999998</v>
      </c>
      <c r="I340" t="s">
        <v>1791</v>
      </c>
      <c r="L340" s="8" t="s">
        <v>2942</v>
      </c>
    </row>
    <row r="341" spans="1:12" x14ac:dyDescent="0.3">
      <c r="A341" t="s">
        <v>2943</v>
      </c>
      <c r="B341" t="s">
        <v>1251</v>
      </c>
      <c r="C341" t="s">
        <v>2944</v>
      </c>
      <c r="D341" t="s">
        <v>2945</v>
      </c>
      <c r="E341" t="s">
        <v>1789</v>
      </c>
      <c r="F341" t="s">
        <v>1790</v>
      </c>
      <c r="G341" t="s">
        <v>635</v>
      </c>
      <c r="H341" s="6">
        <v>2256.4499999999998</v>
      </c>
      <c r="I341" t="s">
        <v>1791</v>
      </c>
      <c r="L341" s="8" t="s">
        <v>2946</v>
      </c>
    </row>
    <row r="342" spans="1:12" x14ac:dyDescent="0.3">
      <c r="A342" t="s">
        <v>2947</v>
      </c>
      <c r="B342" t="s">
        <v>1251</v>
      </c>
      <c r="C342" t="s">
        <v>2948</v>
      </c>
      <c r="D342" t="s">
        <v>2949</v>
      </c>
      <c r="E342" t="s">
        <v>1789</v>
      </c>
      <c r="F342" t="s">
        <v>1790</v>
      </c>
      <c r="G342" t="s">
        <v>635</v>
      </c>
      <c r="H342" s="6">
        <v>2324.6999999999998</v>
      </c>
      <c r="I342" t="s">
        <v>1791</v>
      </c>
      <c r="L342" s="8" t="s">
        <v>2950</v>
      </c>
    </row>
    <row r="343" spans="1:12" x14ac:dyDescent="0.3">
      <c r="A343" t="s">
        <v>2951</v>
      </c>
      <c r="B343" t="s">
        <v>1251</v>
      </c>
      <c r="C343" t="s">
        <v>2952</v>
      </c>
      <c r="D343" t="s">
        <v>2953</v>
      </c>
      <c r="E343" t="s">
        <v>1789</v>
      </c>
      <c r="F343" t="s">
        <v>1790</v>
      </c>
      <c r="G343" t="s">
        <v>635</v>
      </c>
      <c r="H343" s="6">
        <v>2336.25</v>
      </c>
      <c r="I343" t="s">
        <v>1791</v>
      </c>
      <c r="L343" s="8" t="s">
        <v>2954</v>
      </c>
    </row>
    <row r="344" spans="1:12" x14ac:dyDescent="0.3">
      <c r="A344" t="s">
        <v>2955</v>
      </c>
      <c r="B344" t="s">
        <v>1251</v>
      </c>
      <c r="C344" t="s">
        <v>2956</v>
      </c>
      <c r="D344" t="s">
        <v>2957</v>
      </c>
      <c r="E344" t="s">
        <v>1789</v>
      </c>
      <c r="F344" t="s">
        <v>1790</v>
      </c>
      <c r="G344" t="s">
        <v>635</v>
      </c>
      <c r="H344" s="6">
        <v>2336.25</v>
      </c>
      <c r="I344" t="s">
        <v>1791</v>
      </c>
      <c r="L344" s="8" t="s">
        <v>2958</v>
      </c>
    </row>
    <row r="345" spans="1:12" x14ac:dyDescent="0.3">
      <c r="A345" t="s">
        <v>2959</v>
      </c>
      <c r="B345" t="s">
        <v>1251</v>
      </c>
      <c r="C345" t="s">
        <v>2960</v>
      </c>
      <c r="D345" t="s">
        <v>2961</v>
      </c>
      <c r="E345" t="s">
        <v>1789</v>
      </c>
      <c r="F345" t="s">
        <v>1790</v>
      </c>
      <c r="G345" t="s">
        <v>635</v>
      </c>
      <c r="H345" s="6">
        <v>2291.1</v>
      </c>
      <c r="I345" t="s">
        <v>1791</v>
      </c>
      <c r="L345" s="8" t="s">
        <v>2962</v>
      </c>
    </row>
    <row r="346" spans="1:12" x14ac:dyDescent="0.3">
      <c r="A346" t="s">
        <v>2963</v>
      </c>
      <c r="B346" t="s">
        <v>1251</v>
      </c>
      <c r="C346" t="s">
        <v>2964</v>
      </c>
      <c r="D346" t="s">
        <v>2965</v>
      </c>
      <c r="E346" t="s">
        <v>1789</v>
      </c>
      <c r="F346" t="s">
        <v>1790</v>
      </c>
      <c r="G346" t="s">
        <v>635</v>
      </c>
      <c r="H346" s="6">
        <v>3198.3</v>
      </c>
      <c r="I346" t="s">
        <v>1791</v>
      </c>
      <c r="L346" s="8" t="s">
        <v>2966</v>
      </c>
    </row>
    <row r="347" spans="1:12" x14ac:dyDescent="0.3">
      <c r="A347" t="s">
        <v>2967</v>
      </c>
      <c r="B347" t="s">
        <v>1251</v>
      </c>
      <c r="C347" t="s">
        <v>2968</v>
      </c>
      <c r="D347" t="s">
        <v>2969</v>
      </c>
      <c r="E347" t="s">
        <v>1789</v>
      </c>
      <c r="F347" t="s">
        <v>1790</v>
      </c>
      <c r="G347" t="s">
        <v>635</v>
      </c>
      <c r="H347" s="6">
        <v>5646.9</v>
      </c>
      <c r="I347" t="s">
        <v>1791</v>
      </c>
      <c r="L347" s="8" t="s">
        <v>2970</v>
      </c>
    </row>
    <row r="348" spans="1:12" x14ac:dyDescent="0.3">
      <c r="A348" t="s">
        <v>2971</v>
      </c>
      <c r="B348" t="s">
        <v>1251</v>
      </c>
      <c r="C348" t="s">
        <v>2972</v>
      </c>
      <c r="D348" t="s">
        <v>2973</v>
      </c>
      <c r="E348" t="s">
        <v>1789</v>
      </c>
      <c r="F348" t="s">
        <v>1790</v>
      </c>
      <c r="G348" t="s">
        <v>635</v>
      </c>
      <c r="H348" s="6">
        <v>6690.6</v>
      </c>
      <c r="I348" t="s">
        <v>1791</v>
      </c>
      <c r="L348" s="8" t="s">
        <v>2974</v>
      </c>
    </row>
    <row r="349" spans="1:12" x14ac:dyDescent="0.3">
      <c r="A349" t="s">
        <v>2975</v>
      </c>
      <c r="B349" t="s">
        <v>1251</v>
      </c>
      <c r="C349" t="s">
        <v>2976</v>
      </c>
      <c r="D349" t="s">
        <v>2977</v>
      </c>
      <c r="E349" t="s">
        <v>1789</v>
      </c>
      <c r="F349" t="s">
        <v>1790</v>
      </c>
      <c r="G349" t="s">
        <v>635</v>
      </c>
      <c r="H349" s="6">
        <v>6917.4</v>
      </c>
      <c r="I349" t="s">
        <v>1791</v>
      </c>
      <c r="L349" s="8" t="s">
        <v>2978</v>
      </c>
    </row>
    <row r="350" spans="1:12" x14ac:dyDescent="0.3">
      <c r="A350" t="s">
        <v>2979</v>
      </c>
      <c r="B350" t="s">
        <v>1251</v>
      </c>
      <c r="C350" t="s">
        <v>2980</v>
      </c>
      <c r="D350" t="s">
        <v>2981</v>
      </c>
      <c r="E350" t="s">
        <v>1789</v>
      </c>
      <c r="F350" t="s">
        <v>1790</v>
      </c>
      <c r="G350" t="s">
        <v>635</v>
      </c>
      <c r="H350" s="6">
        <v>7371</v>
      </c>
      <c r="I350" t="s">
        <v>1791</v>
      </c>
      <c r="L350" s="8" t="s">
        <v>2982</v>
      </c>
    </row>
    <row r="351" spans="1:12" x14ac:dyDescent="0.3">
      <c r="A351" t="s">
        <v>2983</v>
      </c>
      <c r="B351" t="s">
        <v>1251</v>
      </c>
      <c r="C351" t="s">
        <v>2984</v>
      </c>
      <c r="D351" t="s">
        <v>2985</v>
      </c>
      <c r="E351" t="s">
        <v>1789</v>
      </c>
      <c r="F351" t="s">
        <v>1790</v>
      </c>
      <c r="G351" t="s">
        <v>635</v>
      </c>
      <c r="H351" s="6">
        <v>8391.6</v>
      </c>
      <c r="I351" t="s">
        <v>1791</v>
      </c>
      <c r="L351" s="8" t="s">
        <v>2986</v>
      </c>
    </row>
    <row r="352" spans="1:12" x14ac:dyDescent="0.3">
      <c r="A352" t="s">
        <v>2987</v>
      </c>
      <c r="B352" t="s">
        <v>1251</v>
      </c>
      <c r="C352" t="s">
        <v>2988</v>
      </c>
      <c r="D352" t="s">
        <v>2989</v>
      </c>
      <c r="E352" t="s">
        <v>1789</v>
      </c>
      <c r="F352" t="s">
        <v>1790</v>
      </c>
      <c r="G352" t="s">
        <v>635</v>
      </c>
      <c r="H352" s="6">
        <v>9752.4</v>
      </c>
      <c r="I352" t="s">
        <v>1791</v>
      </c>
      <c r="L352" s="8" t="s">
        <v>2990</v>
      </c>
    </row>
    <row r="353" spans="1:12" x14ac:dyDescent="0.3">
      <c r="A353" t="s">
        <v>2991</v>
      </c>
      <c r="B353" t="s">
        <v>1251</v>
      </c>
      <c r="C353" t="s">
        <v>2992</v>
      </c>
      <c r="D353" t="s">
        <v>2993</v>
      </c>
      <c r="E353" t="s">
        <v>1789</v>
      </c>
      <c r="F353" t="s">
        <v>1790</v>
      </c>
      <c r="G353" t="s">
        <v>635</v>
      </c>
      <c r="H353" s="6">
        <v>10432.799999999999</v>
      </c>
      <c r="I353" t="s">
        <v>1791</v>
      </c>
      <c r="L353" s="8" t="s">
        <v>2994</v>
      </c>
    </row>
    <row r="354" spans="1:12" x14ac:dyDescent="0.3">
      <c r="A354" t="s">
        <v>2995</v>
      </c>
      <c r="B354" t="s">
        <v>1251</v>
      </c>
      <c r="C354" t="s">
        <v>2996</v>
      </c>
      <c r="D354" t="s">
        <v>2997</v>
      </c>
      <c r="E354" t="s">
        <v>1789</v>
      </c>
      <c r="F354" t="s">
        <v>1790</v>
      </c>
      <c r="G354" t="s">
        <v>635</v>
      </c>
      <c r="H354" s="6">
        <v>10659.6</v>
      </c>
      <c r="I354" t="s">
        <v>1791</v>
      </c>
      <c r="L354" s="8" t="s">
        <v>2998</v>
      </c>
    </row>
    <row r="355" spans="1:12" x14ac:dyDescent="0.3">
      <c r="A355" t="s">
        <v>2999</v>
      </c>
      <c r="B355" t="s">
        <v>1251</v>
      </c>
      <c r="C355" t="s">
        <v>3000</v>
      </c>
      <c r="D355" t="s">
        <v>3001</v>
      </c>
      <c r="E355" t="s">
        <v>1789</v>
      </c>
      <c r="F355" t="s">
        <v>1790</v>
      </c>
      <c r="G355" t="s">
        <v>635</v>
      </c>
      <c r="H355" s="6">
        <v>10886.4</v>
      </c>
      <c r="I355" t="s">
        <v>1791</v>
      </c>
      <c r="L355" s="8" t="s">
        <v>3002</v>
      </c>
    </row>
    <row r="356" spans="1:12" x14ac:dyDescent="0.3">
      <c r="A356" t="s">
        <v>3003</v>
      </c>
      <c r="B356" t="s">
        <v>1251</v>
      </c>
      <c r="C356" t="s">
        <v>3004</v>
      </c>
      <c r="D356" t="s">
        <v>3005</v>
      </c>
      <c r="E356" t="s">
        <v>1789</v>
      </c>
      <c r="F356" t="s">
        <v>1790</v>
      </c>
      <c r="G356" t="s">
        <v>635</v>
      </c>
      <c r="H356" s="6">
        <v>5556.6</v>
      </c>
      <c r="I356" t="s">
        <v>1791</v>
      </c>
      <c r="L356" s="8" t="s">
        <v>3006</v>
      </c>
    </row>
    <row r="357" spans="1:12" x14ac:dyDescent="0.3">
      <c r="A357" t="s">
        <v>3007</v>
      </c>
      <c r="B357" t="s">
        <v>1251</v>
      </c>
      <c r="C357" t="s">
        <v>3008</v>
      </c>
      <c r="D357" t="s">
        <v>3009</v>
      </c>
      <c r="E357" t="s">
        <v>1789</v>
      </c>
      <c r="F357" t="s">
        <v>1790</v>
      </c>
      <c r="G357" t="s">
        <v>635</v>
      </c>
      <c r="H357" s="6">
        <v>158.55000000000001</v>
      </c>
      <c r="I357" t="s">
        <v>1791</v>
      </c>
      <c r="L357" s="8" t="s">
        <v>3010</v>
      </c>
    </row>
    <row r="358" spans="1:12" x14ac:dyDescent="0.3">
      <c r="A358" t="s">
        <v>3011</v>
      </c>
      <c r="B358" t="s">
        <v>1251</v>
      </c>
      <c r="C358" t="s">
        <v>3012</v>
      </c>
      <c r="D358" t="s">
        <v>3013</v>
      </c>
      <c r="E358" t="s">
        <v>1789</v>
      </c>
      <c r="F358" t="s">
        <v>1790</v>
      </c>
      <c r="G358" t="s">
        <v>635</v>
      </c>
      <c r="H358" s="6">
        <v>226.8</v>
      </c>
      <c r="I358" t="s">
        <v>1791</v>
      </c>
      <c r="L358" s="8" t="s">
        <v>3014</v>
      </c>
    </row>
    <row r="359" spans="1:12" x14ac:dyDescent="0.3">
      <c r="A359" t="s">
        <v>3015</v>
      </c>
      <c r="B359" t="s">
        <v>1251</v>
      </c>
      <c r="C359" t="s">
        <v>3016</v>
      </c>
      <c r="D359" t="s">
        <v>3017</v>
      </c>
      <c r="E359" t="s">
        <v>1789</v>
      </c>
      <c r="F359" t="s">
        <v>1790</v>
      </c>
      <c r="G359" t="s">
        <v>635</v>
      </c>
      <c r="H359" s="6">
        <v>170.1</v>
      </c>
      <c r="I359" t="s">
        <v>1791</v>
      </c>
      <c r="L359" s="8" t="s">
        <v>3018</v>
      </c>
    </row>
    <row r="360" spans="1:12" x14ac:dyDescent="0.3">
      <c r="A360" t="s">
        <v>3019</v>
      </c>
      <c r="B360" t="s">
        <v>1251</v>
      </c>
      <c r="C360" t="s">
        <v>3020</v>
      </c>
      <c r="D360" t="s">
        <v>3021</v>
      </c>
      <c r="E360" t="s">
        <v>1789</v>
      </c>
      <c r="F360" t="s">
        <v>1790</v>
      </c>
      <c r="G360" t="s">
        <v>635</v>
      </c>
      <c r="H360" s="6">
        <v>277.2</v>
      </c>
      <c r="I360" t="s">
        <v>1791</v>
      </c>
      <c r="L360" s="8" t="s">
        <v>3022</v>
      </c>
    </row>
    <row r="361" spans="1:12" x14ac:dyDescent="0.3">
      <c r="A361" t="s">
        <v>3023</v>
      </c>
      <c r="B361" t="s">
        <v>758</v>
      </c>
      <c r="C361" t="s">
        <v>3024</v>
      </c>
      <c r="F361" t="s">
        <v>3025</v>
      </c>
      <c r="G361" t="s">
        <v>114</v>
      </c>
      <c r="H361" s="6">
        <v>52500</v>
      </c>
      <c r="I361" t="s">
        <v>3026</v>
      </c>
      <c r="L361" s="8" t="s">
        <v>3027</v>
      </c>
    </row>
    <row r="362" spans="1:12" x14ac:dyDescent="0.3">
      <c r="A362" t="s">
        <v>3028</v>
      </c>
      <c r="B362" t="s">
        <v>758</v>
      </c>
      <c r="C362" t="s">
        <v>3029</v>
      </c>
      <c r="F362" t="s">
        <v>3025</v>
      </c>
      <c r="G362" t="s">
        <v>114</v>
      </c>
      <c r="H362" s="6">
        <v>105000</v>
      </c>
      <c r="I362" t="s">
        <v>3026</v>
      </c>
      <c r="L362" s="8" t="s">
        <v>3030</v>
      </c>
    </row>
    <row r="363" spans="1:12" x14ac:dyDescent="0.3">
      <c r="A363" t="s">
        <v>3031</v>
      </c>
      <c r="B363" t="s">
        <v>758</v>
      </c>
      <c r="C363" t="s">
        <v>3032</v>
      </c>
      <c r="F363" t="s">
        <v>3025</v>
      </c>
      <c r="G363" t="s">
        <v>114</v>
      </c>
      <c r="H363" s="6">
        <v>87150</v>
      </c>
      <c r="I363" t="s">
        <v>3026</v>
      </c>
      <c r="L363" s="8" t="s">
        <v>3033</v>
      </c>
    </row>
    <row r="364" spans="1:12" x14ac:dyDescent="0.3">
      <c r="A364" t="s">
        <v>3034</v>
      </c>
      <c r="B364" t="s">
        <v>758</v>
      </c>
      <c r="C364" t="s">
        <v>3035</v>
      </c>
      <c r="F364" t="s">
        <v>3025</v>
      </c>
      <c r="G364" t="s">
        <v>114</v>
      </c>
      <c r="H364" s="6">
        <v>88725</v>
      </c>
      <c r="I364" t="s">
        <v>3026</v>
      </c>
      <c r="L364" s="8" t="s">
        <v>3036</v>
      </c>
    </row>
    <row r="365" spans="1:12" x14ac:dyDescent="0.3">
      <c r="A365" t="s">
        <v>3037</v>
      </c>
      <c r="B365" t="s">
        <v>758</v>
      </c>
      <c r="C365" t="s">
        <v>3038</v>
      </c>
      <c r="F365" t="s">
        <v>3025</v>
      </c>
      <c r="G365" t="s">
        <v>114</v>
      </c>
      <c r="H365" s="6">
        <v>148575</v>
      </c>
      <c r="I365" t="s">
        <v>3026</v>
      </c>
      <c r="L365" s="8" t="s">
        <v>3039</v>
      </c>
    </row>
    <row r="366" spans="1:12" x14ac:dyDescent="0.3">
      <c r="A366" t="s">
        <v>3040</v>
      </c>
      <c r="B366" t="s">
        <v>758</v>
      </c>
      <c r="C366" t="s">
        <v>3041</v>
      </c>
      <c r="F366" t="s">
        <v>3025</v>
      </c>
      <c r="G366" t="s">
        <v>114</v>
      </c>
      <c r="H366" s="6">
        <v>223650</v>
      </c>
      <c r="I366" t="s">
        <v>3026</v>
      </c>
      <c r="L366" s="8" t="s">
        <v>3042</v>
      </c>
    </row>
    <row r="367" spans="1:12" x14ac:dyDescent="0.3">
      <c r="A367" t="s">
        <v>3043</v>
      </c>
      <c r="B367" t="s">
        <v>758</v>
      </c>
      <c r="C367" t="s">
        <v>3044</v>
      </c>
      <c r="F367" t="s">
        <v>3025</v>
      </c>
      <c r="G367" t="s">
        <v>114</v>
      </c>
      <c r="H367" s="6">
        <v>110250</v>
      </c>
      <c r="I367" t="s">
        <v>3026</v>
      </c>
      <c r="L367" s="8" t="s">
        <v>3045</v>
      </c>
    </row>
    <row r="368" spans="1:12" x14ac:dyDescent="0.3">
      <c r="A368" t="s">
        <v>3046</v>
      </c>
      <c r="B368" t="s">
        <v>758</v>
      </c>
      <c r="C368" t="s">
        <v>541</v>
      </c>
      <c r="F368" t="s">
        <v>3025</v>
      </c>
      <c r="G368" t="s">
        <v>114</v>
      </c>
      <c r="H368" s="6">
        <v>8400</v>
      </c>
      <c r="I368" t="s">
        <v>3026</v>
      </c>
      <c r="L368" s="8" t="s">
        <v>3047</v>
      </c>
    </row>
    <row r="369" spans="1:12" x14ac:dyDescent="0.3">
      <c r="A369" t="s">
        <v>3048</v>
      </c>
      <c r="B369" t="s">
        <v>758</v>
      </c>
      <c r="C369" t="s">
        <v>771</v>
      </c>
      <c r="F369" t="s">
        <v>3025</v>
      </c>
      <c r="G369" t="s">
        <v>52</v>
      </c>
      <c r="H369" s="6">
        <v>15750</v>
      </c>
      <c r="I369" t="s">
        <v>3026</v>
      </c>
      <c r="L369" s="8" t="s">
        <v>3049</v>
      </c>
    </row>
    <row r="370" spans="1:12" x14ac:dyDescent="0.3">
      <c r="A370" t="s">
        <v>3050</v>
      </c>
      <c r="B370" t="s">
        <v>758</v>
      </c>
      <c r="C370" t="s">
        <v>3051</v>
      </c>
      <c r="F370" t="s">
        <v>3025</v>
      </c>
      <c r="G370" t="s">
        <v>52</v>
      </c>
      <c r="H370" s="6">
        <v>15225</v>
      </c>
      <c r="I370" t="s">
        <v>3026</v>
      </c>
      <c r="L370" s="8" t="s">
        <v>3052</v>
      </c>
    </row>
    <row r="371" spans="1:12" x14ac:dyDescent="0.3">
      <c r="A371" t="s">
        <v>3053</v>
      </c>
      <c r="B371" t="s">
        <v>758</v>
      </c>
      <c r="C371" t="s">
        <v>3054</v>
      </c>
      <c r="F371" t="s">
        <v>3025</v>
      </c>
      <c r="G371" t="s">
        <v>52</v>
      </c>
      <c r="H371" s="6">
        <v>14700</v>
      </c>
      <c r="I371" t="s">
        <v>3026</v>
      </c>
      <c r="L371" s="8" t="s">
        <v>3055</v>
      </c>
    </row>
    <row r="372" spans="1:12" x14ac:dyDescent="0.3">
      <c r="A372" t="s">
        <v>3056</v>
      </c>
      <c r="B372" t="s">
        <v>758</v>
      </c>
      <c r="C372" t="s">
        <v>3057</v>
      </c>
      <c r="F372" t="s">
        <v>3025</v>
      </c>
      <c r="G372" t="s">
        <v>52</v>
      </c>
      <c r="H372" s="6">
        <v>18060</v>
      </c>
      <c r="I372" t="s">
        <v>3026</v>
      </c>
      <c r="L372" s="8" t="s">
        <v>3058</v>
      </c>
    </row>
    <row r="373" spans="1:12" x14ac:dyDescent="0.3">
      <c r="A373" t="s">
        <v>3059</v>
      </c>
      <c r="B373" t="s">
        <v>758</v>
      </c>
      <c r="C373" t="s">
        <v>3060</v>
      </c>
      <c r="F373" t="s">
        <v>3025</v>
      </c>
      <c r="G373" t="s">
        <v>52</v>
      </c>
      <c r="H373" s="6">
        <v>17535</v>
      </c>
      <c r="I373" t="s">
        <v>3026</v>
      </c>
      <c r="L373" s="8" t="s">
        <v>3061</v>
      </c>
    </row>
    <row r="374" spans="1:12" x14ac:dyDescent="0.3">
      <c r="A374" t="s">
        <v>3062</v>
      </c>
      <c r="B374" t="s">
        <v>758</v>
      </c>
      <c r="C374" t="s">
        <v>3063</v>
      </c>
      <c r="F374" t="s">
        <v>3025</v>
      </c>
      <c r="G374" t="s">
        <v>114</v>
      </c>
      <c r="H374" s="6">
        <v>39900</v>
      </c>
      <c r="I374" t="s">
        <v>3026</v>
      </c>
      <c r="L374" s="8" t="s">
        <v>3064</v>
      </c>
    </row>
    <row r="375" spans="1:12" x14ac:dyDescent="0.3">
      <c r="A375" t="s">
        <v>3065</v>
      </c>
      <c r="B375" t="s">
        <v>758</v>
      </c>
      <c r="C375" t="s">
        <v>3066</v>
      </c>
      <c r="F375" t="s">
        <v>3025</v>
      </c>
      <c r="G375" t="s">
        <v>114</v>
      </c>
      <c r="H375" s="6">
        <v>110250</v>
      </c>
      <c r="I375" t="s">
        <v>3026</v>
      </c>
      <c r="L375" s="8" t="s">
        <v>3067</v>
      </c>
    </row>
    <row r="376" spans="1:12" x14ac:dyDescent="0.3">
      <c r="A376" t="s">
        <v>3068</v>
      </c>
      <c r="B376" t="s">
        <v>758</v>
      </c>
      <c r="C376" t="s">
        <v>3069</v>
      </c>
      <c r="F376" t="s">
        <v>3025</v>
      </c>
      <c r="G376" t="s">
        <v>635</v>
      </c>
      <c r="H376" s="6">
        <v>8000</v>
      </c>
      <c r="I376" t="s">
        <v>3026</v>
      </c>
      <c r="L376" s="8" t="s">
        <v>3070</v>
      </c>
    </row>
    <row r="377" spans="1:12" x14ac:dyDescent="0.3">
      <c r="A377" t="s">
        <v>3071</v>
      </c>
      <c r="B377" t="s">
        <v>758</v>
      </c>
      <c r="C377" t="s">
        <v>3072</v>
      </c>
      <c r="F377" t="s">
        <v>3025</v>
      </c>
      <c r="G377" t="s">
        <v>114</v>
      </c>
      <c r="H377" s="6">
        <v>78120</v>
      </c>
      <c r="I377" t="s">
        <v>3026</v>
      </c>
      <c r="L377" s="8" t="s">
        <v>3073</v>
      </c>
    </row>
    <row r="378" spans="1:12" x14ac:dyDescent="0.3">
      <c r="A378" t="s">
        <v>3074</v>
      </c>
      <c r="B378" t="s">
        <v>758</v>
      </c>
      <c r="C378" t="s">
        <v>3075</v>
      </c>
      <c r="F378" t="s">
        <v>3025</v>
      </c>
      <c r="G378" t="s">
        <v>114</v>
      </c>
      <c r="H378" s="6">
        <v>102585</v>
      </c>
      <c r="I378" t="s">
        <v>3026</v>
      </c>
      <c r="L378" s="8" t="s">
        <v>3076</v>
      </c>
    </row>
    <row r="379" spans="1:12" x14ac:dyDescent="0.3">
      <c r="A379" t="s">
        <v>3077</v>
      </c>
      <c r="B379" t="s">
        <v>758</v>
      </c>
      <c r="C379" t="s">
        <v>3078</v>
      </c>
      <c r="F379" t="s">
        <v>3025</v>
      </c>
      <c r="G379" t="s">
        <v>114</v>
      </c>
      <c r="H379" s="6">
        <v>78750</v>
      </c>
      <c r="I379" t="s">
        <v>3026</v>
      </c>
      <c r="L379" s="8" t="s">
        <v>3079</v>
      </c>
    </row>
    <row r="380" spans="1:12" x14ac:dyDescent="0.3">
      <c r="A380" t="s">
        <v>3080</v>
      </c>
      <c r="B380" t="s">
        <v>758</v>
      </c>
      <c r="C380" t="s">
        <v>3081</v>
      </c>
      <c r="F380" t="s">
        <v>3025</v>
      </c>
      <c r="G380" t="s">
        <v>114</v>
      </c>
      <c r="H380" s="6">
        <v>99750</v>
      </c>
      <c r="I380" t="s">
        <v>3026</v>
      </c>
      <c r="L380" s="8" t="s">
        <v>3082</v>
      </c>
    </row>
    <row r="381" spans="1:12" x14ac:dyDescent="0.3">
      <c r="A381" t="s">
        <v>3083</v>
      </c>
      <c r="B381" t="s">
        <v>758</v>
      </c>
      <c r="C381" t="s">
        <v>3084</v>
      </c>
      <c r="F381" t="s">
        <v>3025</v>
      </c>
      <c r="G381" t="s">
        <v>114</v>
      </c>
      <c r="H381" s="6">
        <v>112350</v>
      </c>
      <c r="I381" t="s">
        <v>3026</v>
      </c>
      <c r="L381" s="8" t="s">
        <v>3085</v>
      </c>
    </row>
    <row r="382" spans="1:12" x14ac:dyDescent="0.3">
      <c r="A382" t="s">
        <v>3086</v>
      </c>
      <c r="B382" t="s">
        <v>758</v>
      </c>
      <c r="C382" t="s">
        <v>3087</v>
      </c>
      <c r="F382" t="s">
        <v>3025</v>
      </c>
      <c r="G382" t="s">
        <v>114</v>
      </c>
      <c r="H382" s="6">
        <v>93450</v>
      </c>
      <c r="I382" t="s">
        <v>3026</v>
      </c>
      <c r="L382" s="8" t="s">
        <v>3088</v>
      </c>
    </row>
    <row r="383" spans="1:12" x14ac:dyDescent="0.3">
      <c r="A383" t="s">
        <v>3089</v>
      </c>
      <c r="B383" t="s">
        <v>536</v>
      </c>
      <c r="C383" t="s">
        <v>3090</v>
      </c>
      <c r="E383" t="s">
        <v>3091</v>
      </c>
      <c r="F383" t="s">
        <v>3092</v>
      </c>
      <c r="G383" t="s">
        <v>635</v>
      </c>
      <c r="H383" s="6">
        <v>460</v>
      </c>
      <c r="I383" t="s">
        <v>3026</v>
      </c>
      <c r="L383" s="8" t="s">
        <v>3093</v>
      </c>
    </row>
    <row r="384" spans="1:12" x14ac:dyDescent="0.3">
      <c r="A384" t="s">
        <v>3094</v>
      </c>
      <c r="B384" t="s">
        <v>536</v>
      </c>
      <c r="C384" t="s">
        <v>3095</v>
      </c>
      <c r="E384" t="s">
        <v>3091</v>
      </c>
      <c r="F384" t="s">
        <v>3092</v>
      </c>
      <c r="G384" t="s">
        <v>635</v>
      </c>
      <c r="H384" s="6">
        <v>690</v>
      </c>
      <c r="I384" t="s">
        <v>3026</v>
      </c>
      <c r="L384" s="8" t="s">
        <v>3096</v>
      </c>
    </row>
    <row r="385" spans="1:12" x14ac:dyDescent="0.3">
      <c r="A385" t="s">
        <v>3097</v>
      </c>
      <c r="B385" t="s">
        <v>536</v>
      </c>
      <c r="C385" t="s">
        <v>3098</v>
      </c>
      <c r="E385" t="s">
        <v>3091</v>
      </c>
      <c r="F385" t="s">
        <v>3092</v>
      </c>
      <c r="G385" t="s">
        <v>635</v>
      </c>
      <c r="H385" s="6">
        <v>270</v>
      </c>
      <c r="I385" t="s">
        <v>3026</v>
      </c>
      <c r="L385" s="8" t="s">
        <v>3099</v>
      </c>
    </row>
    <row r="386" spans="1:12" x14ac:dyDescent="0.3">
      <c r="A386" t="s">
        <v>3100</v>
      </c>
      <c r="B386" t="s">
        <v>536</v>
      </c>
      <c r="C386" t="s">
        <v>3101</v>
      </c>
      <c r="E386" t="s">
        <v>3091</v>
      </c>
      <c r="F386" t="s">
        <v>3092</v>
      </c>
      <c r="G386" t="s">
        <v>635</v>
      </c>
      <c r="H386" s="6">
        <v>390</v>
      </c>
      <c r="I386" t="s">
        <v>3026</v>
      </c>
      <c r="L386" s="8" t="s">
        <v>3102</v>
      </c>
    </row>
    <row r="387" spans="1:12" x14ac:dyDescent="0.3">
      <c r="A387" t="s">
        <v>3103</v>
      </c>
      <c r="B387" t="s">
        <v>536</v>
      </c>
      <c r="C387" t="s">
        <v>3104</v>
      </c>
      <c r="E387" t="s">
        <v>3091</v>
      </c>
      <c r="F387" t="s">
        <v>3092</v>
      </c>
      <c r="G387" t="s">
        <v>635</v>
      </c>
      <c r="H387" s="6">
        <v>410</v>
      </c>
      <c r="I387" t="s">
        <v>3026</v>
      </c>
      <c r="L387" s="8" t="s">
        <v>3105</v>
      </c>
    </row>
    <row r="388" spans="1:12" x14ac:dyDescent="0.3">
      <c r="A388" t="s">
        <v>3106</v>
      </c>
      <c r="B388" t="s">
        <v>536</v>
      </c>
      <c r="C388" t="s">
        <v>3107</v>
      </c>
      <c r="E388" t="s">
        <v>3091</v>
      </c>
      <c r="F388" t="s">
        <v>3092</v>
      </c>
      <c r="G388" t="s">
        <v>635</v>
      </c>
      <c r="H388" s="6">
        <v>121</v>
      </c>
      <c r="I388" t="s">
        <v>3026</v>
      </c>
      <c r="L388" s="8" t="s">
        <v>3108</v>
      </c>
    </row>
    <row r="389" spans="1:12" x14ac:dyDescent="0.3">
      <c r="A389" t="s">
        <v>3109</v>
      </c>
      <c r="B389" t="s">
        <v>536</v>
      </c>
      <c r="C389" t="s">
        <v>3110</v>
      </c>
      <c r="E389" t="s">
        <v>3091</v>
      </c>
      <c r="F389" t="s">
        <v>3092</v>
      </c>
      <c r="G389" t="s">
        <v>635</v>
      </c>
      <c r="H389" s="6">
        <v>510</v>
      </c>
      <c r="I389" t="s">
        <v>3026</v>
      </c>
      <c r="L389" s="8" t="s">
        <v>3111</v>
      </c>
    </row>
    <row r="390" spans="1:12" x14ac:dyDescent="0.3">
      <c r="A390" t="s">
        <v>3112</v>
      </c>
      <c r="B390" t="s">
        <v>536</v>
      </c>
      <c r="C390" t="s">
        <v>3113</v>
      </c>
      <c r="E390" t="s">
        <v>3091</v>
      </c>
      <c r="F390" t="s">
        <v>3092</v>
      </c>
      <c r="G390" t="s">
        <v>635</v>
      </c>
      <c r="H390" s="6">
        <v>75</v>
      </c>
      <c r="I390" t="s">
        <v>3026</v>
      </c>
      <c r="L390" s="8" t="s">
        <v>3114</v>
      </c>
    </row>
    <row r="391" spans="1:12" x14ac:dyDescent="0.3">
      <c r="A391" t="s">
        <v>3115</v>
      </c>
      <c r="B391" t="s">
        <v>536</v>
      </c>
      <c r="C391" t="s">
        <v>3116</v>
      </c>
      <c r="E391" t="s">
        <v>3117</v>
      </c>
      <c r="F391" t="s">
        <v>3117</v>
      </c>
      <c r="G391" t="s">
        <v>114</v>
      </c>
      <c r="H391" s="6">
        <v>5775</v>
      </c>
      <c r="I391" t="s">
        <v>3026</v>
      </c>
      <c r="L391" s="8" t="s">
        <v>3118</v>
      </c>
    </row>
    <row r="392" spans="1:12" x14ac:dyDescent="0.3">
      <c r="A392" t="s">
        <v>3119</v>
      </c>
      <c r="B392" t="s">
        <v>536</v>
      </c>
      <c r="C392" t="s">
        <v>3120</v>
      </c>
      <c r="E392" t="s">
        <v>3091</v>
      </c>
      <c r="F392" t="s">
        <v>3092</v>
      </c>
      <c r="G392" t="s">
        <v>635</v>
      </c>
      <c r="H392" s="6">
        <v>245</v>
      </c>
      <c r="I392" t="s">
        <v>3026</v>
      </c>
      <c r="L392" s="8" t="s">
        <v>3121</v>
      </c>
    </row>
    <row r="393" spans="1:12" x14ac:dyDescent="0.3">
      <c r="A393" t="s">
        <v>3122</v>
      </c>
      <c r="B393" t="s">
        <v>536</v>
      </c>
      <c r="C393" t="s">
        <v>3123</v>
      </c>
      <c r="E393" t="s">
        <v>3091</v>
      </c>
      <c r="F393" t="s">
        <v>3092</v>
      </c>
      <c r="G393" t="s">
        <v>635</v>
      </c>
      <c r="H393" s="6">
        <v>276</v>
      </c>
      <c r="I393" t="s">
        <v>3026</v>
      </c>
      <c r="L393" s="8" t="s">
        <v>3124</v>
      </c>
    </row>
    <row r="394" spans="1:12" x14ac:dyDescent="0.3">
      <c r="A394" t="s">
        <v>3125</v>
      </c>
      <c r="B394" t="s">
        <v>529</v>
      </c>
      <c r="C394" t="s">
        <v>3126</v>
      </c>
      <c r="E394" t="s">
        <v>3117</v>
      </c>
      <c r="F394" t="s">
        <v>3117</v>
      </c>
      <c r="G394" t="s">
        <v>114</v>
      </c>
      <c r="H394" s="6">
        <v>89201.7</v>
      </c>
      <c r="I394" t="s">
        <v>3026</v>
      </c>
      <c r="L394" s="8" t="s">
        <v>3127</v>
      </c>
    </row>
    <row r="395" spans="1:12" x14ac:dyDescent="0.3">
      <c r="A395" t="s">
        <v>3128</v>
      </c>
      <c r="B395" t="s">
        <v>529</v>
      </c>
      <c r="C395" t="s">
        <v>3129</v>
      </c>
      <c r="E395" t="s">
        <v>3117</v>
      </c>
      <c r="F395" t="s">
        <v>3117</v>
      </c>
      <c r="G395" t="s">
        <v>114</v>
      </c>
      <c r="H395" s="6">
        <v>76440</v>
      </c>
      <c r="I395" t="s">
        <v>3026</v>
      </c>
      <c r="L395" s="8" t="s">
        <v>3130</v>
      </c>
    </row>
    <row r="396" spans="1:12" x14ac:dyDescent="0.3">
      <c r="A396" t="s">
        <v>3131</v>
      </c>
      <c r="B396" t="s">
        <v>529</v>
      </c>
      <c r="C396" t="s">
        <v>3132</v>
      </c>
      <c r="E396" t="s">
        <v>3117</v>
      </c>
      <c r="F396" t="s">
        <v>3117</v>
      </c>
      <c r="G396" t="s">
        <v>114</v>
      </c>
      <c r="H396" s="6">
        <v>51219</v>
      </c>
      <c r="I396" t="s">
        <v>3026</v>
      </c>
      <c r="L396" s="8" t="s">
        <v>3133</v>
      </c>
    </row>
    <row r="397" spans="1:12" x14ac:dyDescent="0.3">
      <c r="A397" t="s">
        <v>3134</v>
      </c>
      <c r="B397" t="s">
        <v>529</v>
      </c>
      <c r="C397" t="s">
        <v>3135</v>
      </c>
      <c r="E397" t="s">
        <v>3117</v>
      </c>
      <c r="F397" t="s">
        <v>3117</v>
      </c>
      <c r="G397" t="s">
        <v>114</v>
      </c>
      <c r="H397" s="6">
        <v>43806</v>
      </c>
      <c r="I397" t="s">
        <v>3026</v>
      </c>
      <c r="L397" s="8" t="s">
        <v>3136</v>
      </c>
    </row>
    <row r="398" spans="1:12" x14ac:dyDescent="0.3">
      <c r="A398" t="s">
        <v>3137</v>
      </c>
      <c r="B398" t="s">
        <v>529</v>
      </c>
      <c r="C398" t="s">
        <v>3138</v>
      </c>
      <c r="E398" t="s">
        <v>3117</v>
      </c>
      <c r="F398" t="s">
        <v>3117</v>
      </c>
      <c r="G398" t="s">
        <v>114</v>
      </c>
      <c r="H398" s="6">
        <v>73572.45</v>
      </c>
      <c r="I398" t="s">
        <v>3026</v>
      </c>
      <c r="L398" s="8" t="s">
        <v>3139</v>
      </c>
    </row>
    <row r="399" spans="1:12" x14ac:dyDescent="0.3">
      <c r="A399" t="s">
        <v>3140</v>
      </c>
      <c r="B399" t="s">
        <v>529</v>
      </c>
      <c r="C399" t="s">
        <v>3141</v>
      </c>
      <c r="E399" t="s">
        <v>3117</v>
      </c>
      <c r="F399" t="s">
        <v>3117</v>
      </c>
      <c r="G399" t="s">
        <v>114</v>
      </c>
      <c r="H399" s="6">
        <v>63349.65</v>
      </c>
      <c r="I399" t="s">
        <v>3026</v>
      </c>
      <c r="L399" s="8" t="s">
        <v>3142</v>
      </c>
    </row>
    <row r="400" spans="1:12" x14ac:dyDescent="0.3">
      <c r="A400" t="s">
        <v>3143</v>
      </c>
      <c r="B400" t="s">
        <v>562</v>
      </c>
      <c r="C400" t="s">
        <v>3144</v>
      </c>
      <c r="E400" t="s">
        <v>3091</v>
      </c>
      <c r="F400" t="s">
        <v>3092</v>
      </c>
      <c r="G400" t="s">
        <v>1724</v>
      </c>
      <c r="H400" s="6">
        <v>11655</v>
      </c>
      <c r="I400" t="s">
        <v>3026</v>
      </c>
      <c r="L400" s="8" t="s">
        <v>3145</v>
      </c>
    </row>
    <row r="401" spans="1:12" x14ac:dyDescent="0.3">
      <c r="A401" t="s">
        <v>3146</v>
      </c>
      <c r="B401" t="s">
        <v>562</v>
      </c>
      <c r="C401" t="s">
        <v>3147</v>
      </c>
      <c r="E401" t="s">
        <v>3091</v>
      </c>
      <c r="F401" t="s">
        <v>3092</v>
      </c>
      <c r="G401" t="s">
        <v>1724</v>
      </c>
      <c r="H401" s="6">
        <v>11655</v>
      </c>
      <c r="I401" t="s">
        <v>3026</v>
      </c>
      <c r="L401" s="8" t="s">
        <v>3148</v>
      </c>
    </row>
    <row r="402" spans="1:12" x14ac:dyDescent="0.3">
      <c r="A402" t="s">
        <v>3149</v>
      </c>
      <c r="B402" t="s">
        <v>562</v>
      </c>
      <c r="C402" t="s">
        <v>3150</v>
      </c>
      <c r="E402" t="s">
        <v>3091</v>
      </c>
      <c r="F402" t="s">
        <v>3092</v>
      </c>
      <c r="G402" t="s">
        <v>1724</v>
      </c>
      <c r="H402" s="6">
        <v>11655</v>
      </c>
      <c r="I402" t="s">
        <v>3026</v>
      </c>
      <c r="L402" s="8" t="s">
        <v>3151</v>
      </c>
    </row>
    <row r="403" spans="1:12" x14ac:dyDescent="0.3">
      <c r="A403" t="s">
        <v>3152</v>
      </c>
      <c r="B403" t="s">
        <v>562</v>
      </c>
      <c r="C403" t="s">
        <v>3153</v>
      </c>
      <c r="E403" t="s">
        <v>3091</v>
      </c>
      <c r="F403" t="s">
        <v>3092</v>
      </c>
      <c r="G403" t="s">
        <v>1724</v>
      </c>
      <c r="H403" s="6">
        <v>11655</v>
      </c>
      <c r="I403" t="s">
        <v>3026</v>
      </c>
      <c r="L403" s="8" t="s">
        <v>3154</v>
      </c>
    </row>
    <row r="404" spans="1:12" x14ac:dyDescent="0.3">
      <c r="A404" t="s">
        <v>3155</v>
      </c>
      <c r="B404" t="s">
        <v>562</v>
      </c>
      <c r="C404" t="s">
        <v>3156</v>
      </c>
      <c r="F404" t="s">
        <v>3157</v>
      </c>
      <c r="G404" t="s">
        <v>635</v>
      </c>
      <c r="H404" s="6">
        <v>93350</v>
      </c>
      <c r="I404" t="s">
        <v>3026</v>
      </c>
      <c r="L404" s="8" t="s">
        <v>3158</v>
      </c>
    </row>
    <row r="405" spans="1:12" x14ac:dyDescent="0.3">
      <c r="A405" t="s">
        <v>3159</v>
      </c>
      <c r="B405" t="s">
        <v>562</v>
      </c>
      <c r="C405" t="s">
        <v>3160</v>
      </c>
      <c r="F405" t="s">
        <v>3157</v>
      </c>
      <c r="G405" t="s">
        <v>635</v>
      </c>
      <c r="H405" s="6">
        <v>88300</v>
      </c>
      <c r="I405" t="s">
        <v>3026</v>
      </c>
      <c r="L405" s="8" t="s">
        <v>3161</v>
      </c>
    </row>
    <row r="406" spans="1:12" x14ac:dyDescent="0.3">
      <c r="A406" t="s">
        <v>3162</v>
      </c>
      <c r="B406" t="s">
        <v>547</v>
      </c>
      <c r="C406" t="s">
        <v>3163</v>
      </c>
      <c r="F406" t="s">
        <v>3157</v>
      </c>
      <c r="G406" t="s">
        <v>635</v>
      </c>
      <c r="H406" s="6">
        <v>95950</v>
      </c>
      <c r="I406" t="s">
        <v>3026</v>
      </c>
      <c r="L406" s="8" t="s">
        <v>3164</v>
      </c>
    </row>
    <row r="407" spans="1:12" x14ac:dyDescent="0.3">
      <c r="A407" t="s">
        <v>3165</v>
      </c>
      <c r="B407" t="s">
        <v>547</v>
      </c>
      <c r="C407" t="s">
        <v>3166</v>
      </c>
      <c r="F407" t="s">
        <v>3157</v>
      </c>
      <c r="G407" t="s">
        <v>635</v>
      </c>
      <c r="H407" s="6">
        <v>161350</v>
      </c>
      <c r="I407" t="s">
        <v>3026</v>
      </c>
      <c r="L407" s="8" t="s">
        <v>3167</v>
      </c>
    </row>
    <row r="408" spans="1:12" x14ac:dyDescent="0.3">
      <c r="A408" t="s">
        <v>3168</v>
      </c>
      <c r="B408" t="s">
        <v>547</v>
      </c>
      <c r="C408" t="s">
        <v>3169</v>
      </c>
      <c r="F408" t="s">
        <v>3157</v>
      </c>
      <c r="G408" t="s">
        <v>114</v>
      </c>
      <c r="H408" s="6">
        <v>106310.39999999999</v>
      </c>
      <c r="I408" t="s">
        <v>3026</v>
      </c>
      <c r="L408" s="8" t="s">
        <v>3170</v>
      </c>
    </row>
    <row r="409" spans="1:12" x14ac:dyDescent="0.3">
      <c r="A409" t="s">
        <v>3171</v>
      </c>
      <c r="B409" t="s">
        <v>547</v>
      </c>
      <c r="C409" t="s">
        <v>3172</v>
      </c>
      <c r="F409" t="s">
        <v>3157</v>
      </c>
      <c r="G409" t="s">
        <v>114</v>
      </c>
      <c r="H409" s="6">
        <v>46510.8</v>
      </c>
      <c r="I409" t="s">
        <v>3026</v>
      </c>
      <c r="L409" s="8" t="s">
        <v>3173</v>
      </c>
    </row>
    <row r="410" spans="1:12" x14ac:dyDescent="0.3">
      <c r="A410" t="s">
        <v>3174</v>
      </c>
      <c r="B410" t="s">
        <v>547</v>
      </c>
      <c r="C410" t="s">
        <v>3175</v>
      </c>
      <c r="F410" t="s">
        <v>3157</v>
      </c>
      <c r="G410" t="s">
        <v>114</v>
      </c>
      <c r="H410" s="6">
        <v>72350.25</v>
      </c>
      <c r="I410" t="s">
        <v>3026</v>
      </c>
      <c r="L410" s="8" t="s">
        <v>3176</v>
      </c>
    </row>
    <row r="411" spans="1:12" x14ac:dyDescent="0.3">
      <c r="A411" t="s">
        <v>3177</v>
      </c>
      <c r="B411" t="s">
        <v>1142</v>
      </c>
      <c r="C411" t="s">
        <v>3178</v>
      </c>
      <c r="D411" t="s">
        <v>3179</v>
      </c>
      <c r="E411" t="s">
        <v>3180</v>
      </c>
      <c r="F411" t="s">
        <v>3180</v>
      </c>
      <c r="G411" t="s">
        <v>635</v>
      </c>
      <c r="H411" s="6">
        <v>49888.13</v>
      </c>
      <c r="I411" t="s">
        <v>3026</v>
      </c>
      <c r="L411" s="8" t="s">
        <v>3181</v>
      </c>
    </row>
    <row r="412" spans="1:12" x14ac:dyDescent="0.3">
      <c r="A412" t="s">
        <v>3182</v>
      </c>
      <c r="B412" t="s">
        <v>1142</v>
      </c>
      <c r="C412" t="s">
        <v>3183</v>
      </c>
      <c r="D412" t="s">
        <v>3184</v>
      </c>
      <c r="E412" t="s">
        <v>3180</v>
      </c>
      <c r="F412" t="s">
        <v>3180</v>
      </c>
      <c r="G412" t="s">
        <v>635</v>
      </c>
      <c r="H412" s="6">
        <v>12056.63</v>
      </c>
      <c r="I412" t="s">
        <v>3026</v>
      </c>
      <c r="L412" s="8" t="s">
        <v>3185</v>
      </c>
    </row>
    <row r="413" spans="1:12" x14ac:dyDescent="0.3">
      <c r="A413" t="s">
        <v>3186</v>
      </c>
      <c r="B413" t="s">
        <v>1142</v>
      </c>
      <c r="C413" t="s">
        <v>3187</v>
      </c>
      <c r="D413" t="s">
        <v>3188</v>
      </c>
      <c r="E413" t="s">
        <v>3180</v>
      </c>
      <c r="F413" t="s">
        <v>3180</v>
      </c>
      <c r="G413" t="s">
        <v>635</v>
      </c>
      <c r="H413" s="6">
        <v>25452</v>
      </c>
      <c r="I413" t="s">
        <v>3026</v>
      </c>
      <c r="L413" s="8" t="s">
        <v>3189</v>
      </c>
    </row>
    <row r="414" spans="1:12" x14ac:dyDescent="0.3">
      <c r="A414" t="s">
        <v>3190</v>
      </c>
      <c r="B414" t="s">
        <v>1142</v>
      </c>
      <c r="C414" t="s">
        <v>3191</v>
      </c>
      <c r="D414" t="s">
        <v>3192</v>
      </c>
      <c r="E414" t="s">
        <v>3180</v>
      </c>
      <c r="F414" t="s">
        <v>3180</v>
      </c>
      <c r="G414" t="s">
        <v>635</v>
      </c>
      <c r="H414" s="6">
        <v>44730</v>
      </c>
      <c r="I414" t="s">
        <v>3026</v>
      </c>
      <c r="L414" s="8" t="s">
        <v>3193</v>
      </c>
    </row>
    <row r="415" spans="1:12" x14ac:dyDescent="0.3">
      <c r="A415" t="s">
        <v>3194</v>
      </c>
      <c r="B415" t="s">
        <v>1637</v>
      </c>
      <c r="C415" t="s">
        <v>3195</v>
      </c>
      <c r="D415" t="s">
        <v>3196</v>
      </c>
      <c r="E415" t="s">
        <v>3197</v>
      </c>
      <c r="F415" t="s">
        <v>3198</v>
      </c>
      <c r="G415" t="s">
        <v>635</v>
      </c>
      <c r="H415" s="6">
        <v>9303.8700000000008</v>
      </c>
      <c r="I415" t="s">
        <v>3026</v>
      </c>
      <c r="L415" s="8" t="s">
        <v>3199</v>
      </c>
    </row>
    <row r="416" spans="1:12" x14ac:dyDescent="0.3">
      <c r="A416" t="s">
        <v>3200</v>
      </c>
      <c r="B416" t="s">
        <v>1131</v>
      </c>
      <c r="C416" t="s">
        <v>3201</v>
      </c>
      <c r="E416" t="s">
        <v>3202</v>
      </c>
      <c r="F416" t="s">
        <v>3202</v>
      </c>
      <c r="G416" t="s">
        <v>635</v>
      </c>
      <c r="H416" s="6">
        <v>957561.21</v>
      </c>
      <c r="I416" t="s">
        <v>3026</v>
      </c>
      <c r="L416" s="8" t="s">
        <v>3203</v>
      </c>
    </row>
    <row r="417" spans="1:12" x14ac:dyDescent="0.3">
      <c r="A417" t="s">
        <v>3204</v>
      </c>
      <c r="B417" t="s">
        <v>1131</v>
      </c>
      <c r="C417" t="s">
        <v>3205</v>
      </c>
      <c r="E417" t="s">
        <v>3206</v>
      </c>
      <c r="F417" t="s">
        <v>3206</v>
      </c>
      <c r="G417" t="s">
        <v>635</v>
      </c>
      <c r="H417" s="6">
        <v>760284</v>
      </c>
      <c r="I417" t="s">
        <v>3026</v>
      </c>
      <c r="L417" s="8" t="s">
        <v>3207</v>
      </c>
    </row>
    <row r="418" spans="1:12" x14ac:dyDescent="0.3">
      <c r="A418" t="s">
        <v>3208</v>
      </c>
      <c r="B418" t="s">
        <v>1131</v>
      </c>
      <c r="C418" t="s">
        <v>3209</v>
      </c>
      <c r="E418" t="s">
        <v>3206</v>
      </c>
      <c r="F418" t="s">
        <v>3206</v>
      </c>
      <c r="G418" t="s">
        <v>635</v>
      </c>
      <c r="H418" s="6">
        <v>704791.5</v>
      </c>
      <c r="I418" t="s">
        <v>3026</v>
      </c>
      <c r="L418" s="8" t="s">
        <v>3210</v>
      </c>
    </row>
    <row r="419" spans="1:12" x14ac:dyDescent="0.3">
      <c r="A419" t="s">
        <v>3211</v>
      </c>
      <c r="B419" t="s">
        <v>1131</v>
      </c>
      <c r="C419" t="s">
        <v>3212</v>
      </c>
      <c r="E419" t="s">
        <v>3206</v>
      </c>
      <c r="F419" t="s">
        <v>3206</v>
      </c>
      <c r="G419" t="s">
        <v>635</v>
      </c>
      <c r="H419" s="6">
        <v>781819.5</v>
      </c>
      <c r="I419" t="s">
        <v>3026</v>
      </c>
      <c r="L419" s="8" t="s">
        <v>3213</v>
      </c>
    </row>
    <row r="420" spans="1:12" x14ac:dyDescent="0.3">
      <c r="A420" t="s">
        <v>3214</v>
      </c>
      <c r="B420" t="s">
        <v>1131</v>
      </c>
      <c r="C420" t="s">
        <v>3215</v>
      </c>
      <c r="E420" t="s">
        <v>3206</v>
      </c>
      <c r="F420" t="s">
        <v>3206</v>
      </c>
      <c r="G420" t="s">
        <v>635</v>
      </c>
      <c r="H420" s="6">
        <v>906916.5</v>
      </c>
      <c r="I420" t="s">
        <v>3026</v>
      </c>
      <c r="L420" s="8" t="s">
        <v>3216</v>
      </c>
    </row>
    <row r="421" spans="1:12" x14ac:dyDescent="0.3">
      <c r="A421" t="s">
        <v>3217</v>
      </c>
      <c r="B421" t="s">
        <v>1131</v>
      </c>
      <c r="C421" t="s">
        <v>3218</v>
      </c>
      <c r="E421" t="s">
        <v>3206</v>
      </c>
      <c r="F421" t="s">
        <v>3206</v>
      </c>
      <c r="G421" t="s">
        <v>635</v>
      </c>
      <c r="H421" s="6">
        <v>1165342.5</v>
      </c>
      <c r="I421" t="s">
        <v>3026</v>
      </c>
      <c r="L421" s="8" t="s">
        <v>3219</v>
      </c>
    </row>
    <row r="422" spans="1:12" x14ac:dyDescent="0.3">
      <c r="A422" t="s">
        <v>3220</v>
      </c>
      <c r="B422" t="s">
        <v>1131</v>
      </c>
      <c r="C422" t="s">
        <v>3221</v>
      </c>
      <c r="E422" t="s">
        <v>3206</v>
      </c>
      <c r="F422" t="s">
        <v>3206</v>
      </c>
      <c r="G422" t="s">
        <v>635</v>
      </c>
      <c r="H422" s="6">
        <v>1206502.5</v>
      </c>
      <c r="I422" t="s">
        <v>3026</v>
      </c>
      <c r="L422" s="8" t="s">
        <v>3222</v>
      </c>
    </row>
    <row r="423" spans="1:12" x14ac:dyDescent="0.3">
      <c r="A423" t="s">
        <v>3223</v>
      </c>
      <c r="B423" t="s">
        <v>1131</v>
      </c>
      <c r="C423" t="s">
        <v>3224</v>
      </c>
      <c r="E423" t="s">
        <v>3206</v>
      </c>
      <c r="F423" t="s">
        <v>3206</v>
      </c>
      <c r="G423" t="s">
        <v>635</v>
      </c>
      <c r="H423" s="6">
        <v>1507705.5</v>
      </c>
      <c r="I423" t="s">
        <v>3026</v>
      </c>
      <c r="L423" s="8" t="s">
        <v>3225</v>
      </c>
    </row>
    <row r="424" spans="1:12" x14ac:dyDescent="0.3">
      <c r="A424" t="s">
        <v>3226</v>
      </c>
      <c r="B424" t="s">
        <v>1131</v>
      </c>
      <c r="C424" t="s">
        <v>3227</v>
      </c>
      <c r="E424" t="s">
        <v>3206</v>
      </c>
      <c r="F424" t="s">
        <v>3206</v>
      </c>
      <c r="G424" t="s">
        <v>635</v>
      </c>
      <c r="H424" s="6">
        <v>1835736</v>
      </c>
      <c r="I424" t="s">
        <v>3026</v>
      </c>
      <c r="L424" s="8" t="s">
        <v>3228</v>
      </c>
    </row>
    <row r="425" spans="1:12" x14ac:dyDescent="0.3">
      <c r="A425" t="s">
        <v>3229</v>
      </c>
      <c r="B425" t="s">
        <v>1131</v>
      </c>
      <c r="C425" t="s">
        <v>3230</v>
      </c>
      <c r="E425" t="s">
        <v>3206</v>
      </c>
      <c r="F425" t="s">
        <v>3206</v>
      </c>
      <c r="G425" t="s">
        <v>635</v>
      </c>
      <c r="H425" s="6">
        <v>2126943</v>
      </c>
      <c r="I425" t="s">
        <v>3026</v>
      </c>
      <c r="L425" s="8" t="s">
        <v>3231</v>
      </c>
    </row>
    <row r="426" spans="1:12" x14ac:dyDescent="0.3">
      <c r="A426" t="s">
        <v>3232</v>
      </c>
      <c r="B426" t="s">
        <v>1131</v>
      </c>
      <c r="C426" t="s">
        <v>3233</v>
      </c>
      <c r="E426" t="s">
        <v>3202</v>
      </c>
      <c r="F426" t="s">
        <v>3202</v>
      </c>
      <c r="G426" t="s">
        <v>635</v>
      </c>
      <c r="H426" s="6">
        <v>646944.42000000004</v>
      </c>
      <c r="I426" t="s">
        <v>3026</v>
      </c>
      <c r="L426" s="8" t="s">
        <v>3234</v>
      </c>
    </row>
    <row r="427" spans="1:12" x14ac:dyDescent="0.3">
      <c r="A427" t="s">
        <v>3235</v>
      </c>
      <c r="B427" t="s">
        <v>1131</v>
      </c>
      <c r="C427" t="s">
        <v>3236</v>
      </c>
      <c r="E427" t="s">
        <v>3202</v>
      </c>
      <c r="F427" t="s">
        <v>3202</v>
      </c>
      <c r="G427" t="s">
        <v>635</v>
      </c>
      <c r="H427" s="6">
        <v>1129865.0900000001</v>
      </c>
      <c r="I427" t="s">
        <v>3026</v>
      </c>
      <c r="L427" s="8" t="s">
        <v>3237</v>
      </c>
    </row>
    <row r="428" spans="1:12" x14ac:dyDescent="0.3">
      <c r="A428" t="s">
        <v>3238</v>
      </c>
      <c r="B428" t="s">
        <v>1131</v>
      </c>
      <c r="C428" t="s">
        <v>3239</v>
      </c>
      <c r="E428" t="s">
        <v>3202</v>
      </c>
      <c r="F428" t="s">
        <v>3202</v>
      </c>
      <c r="G428" t="s">
        <v>635</v>
      </c>
      <c r="H428" s="6">
        <v>1219466.9099999999</v>
      </c>
      <c r="I428" t="s">
        <v>3026</v>
      </c>
      <c r="L428" s="8" t="s">
        <v>3240</v>
      </c>
    </row>
    <row r="429" spans="1:12" x14ac:dyDescent="0.3">
      <c r="A429" t="s">
        <v>3241</v>
      </c>
      <c r="B429" t="s">
        <v>1131</v>
      </c>
      <c r="C429" t="s">
        <v>3239</v>
      </c>
      <c r="E429" t="s">
        <v>3202</v>
      </c>
      <c r="F429" t="s">
        <v>3202</v>
      </c>
      <c r="G429" t="s">
        <v>635</v>
      </c>
      <c r="H429" s="6">
        <v>1219466.9099999999</v>
      </c>
      <c r="I429" t="s">
        <v>3026</v>
      </c>
      <c r="L429" s="8" t="s">
        <v>3242</v>
      </c>
    </row>
    <row r="430" spans="1:12" x14ac:dyDescent="0.3">
      <c r="A430" t="s">
        <v>3243</v>
      </c>
      <c r="B430" t="s">
        <v>1131</v>
      </c>
      <c r="C430" t="s">
        <v>3244</v>
      </c>
      <c r="E430" t="s">
        <v>3202</v>
      </c>
      <c r="F430" t="s">
        <v>3202</v>
      </c>
      <c r="G430" t="s">
        <v>635</v>
      </c>
      <c r="H430" s="6">
        <v>798879.73</v>
      </c>
      <c r="I430" t="s">
        <v>3026</v>
      </c>
      <c r="L430" s="8" t="s">
        <v>3245</v>
      </c>
    </row>
    <row r="431" spans="1:12" x14ac:dyDescent="0.3">
      <c r="A431" t="s">
        <v>3246</v>
      </c>
      <c r="B431" t="s">
        <v>1131</v>
      </c>
      <c r="C431" t="s">
        <v>3244</v>
      </c>
      <c r="E431" t="s">
        <v>3202</v>
      </c>
      <c r="F431" t="s">
        <v>3202</v>
      </c>
      <c r="G431" t="s">
        <v>635</v>
      </c>
      <c r="H431" s="6">
        <v>813565.81</v>
      </c>
      <c r="I431" t="s">
        <v>3026</v>
      </c>
      <c r="L431" s="8" t="s">
        <v>3247</v>
      </c>
    </row>
    <row r="432" spans="1:12" x14ac:dyDescent="0.3">
      <c r="A432" t="s">
        <v>3248</v>
      </c>
      <c r="B432" t="s">
        <v>469</v>
      </c>
      <c r="C432" t="s">
        <v>3249</v>
      </c>
      <c r="F432" t="s">
        <v>3157</v>
      </c>
      <c r="G432" t="s">
        <v>52</v>
      </c>
      <c r="H432" s="6">
        <v>15250</v>
      </c>
      <c r="I432" t="s">
        <v>3026</v>
      </c>
      <c r="L432" s="8" t="s">
        <v>3250</v>
      </c>
    </row>
    <row r="433" spans="1:12" x14ac:dyDescent="0.3">
      <c r="A433" t="s">
        <v>3251</v>
      </c>
      <c r="B433" t="s">
        <v>481</v>
      </c>
      <c r="C433" t="s">
        <v>3252</v>
      </c>
      <c r="D433" t="s">
        <v>3253</v>
      </c>
      <c r="F433" t="s">
        <v>3254</v>
      </c>
      <c r="G433" t="s">
        <v>52</v>
      </c>
      <c r="H433" s="6">
        <v>5197.5</v>
      </c>
      <c r="I433" t="s">
        <v>3026</v>
      </c>
      <c r="L433" s="8" t="s">
        <v>3255</v>
      </c>
    </row>
    <row r="434" spans="1:12" x14ac:dyDescent="0.3">
      <c r="A434" t="s">
        <v>3256</v>
      </c>
      <c r="B434" t="s">
        <v>481</v>
      </c>
      <c r="C434" t="s">
        <v>3257</v>
      </c>
      <c r="F434" t="s">
        <v>3254</v>
      </c>
      <c r="G434" t="s">
        <v>52</v>
      </c>
      <c r="H434" s="6">
        <v>7507.5</v>
      </c>
      <c r="I434" t="s">
        <v>3026</v>
      </c>
      <c r="L434" s="8" t="s">
        <v>3258</v>
      </c>
    </row>
    <row r="435" spans="1:12" x14ac:dyDescent="0.3">
      <c r="A435" t="s">
        <v>3259</v>
      </c>
      <c r="B435" t="s">
        <v>481</v>
      </c>
      <c r="C435" t="s">
        <v>3260</v>
      </c>
      <c r="F435" t="s">
        <v>3254</v>
      </c>
      <c r="G435" t="s">
        <v>635</v>
      </c>
      <c r="H435" s="6">
        <v>17640</v>
      </c>
      <c r="I435" t="s">
        <v>3026</v>
      </c>
      <c r="L435" s="8" t="s">
        <v>3261</v>
      </c>
    </row>
    <row r="436" spans="1:12" x14ac:dyDescent="0.3">
      <c r="A436" t="s">
        <v>3262</v>
      </c>
      <c r="B436" t="s">
        <v>481</v>
      </c>
      <c r="C436" t="s">
        <v>3263</v>
      </c>
      <c r="F436" t="s">
        <v>3254</v>
      </c>
      <c r="G436" t="s">
        <v>635</v>
      </c>
      <c r="H436" s="6">
        <v>18427.5</v>
      </c>
      <c r="I436" t="s">
        <v>3026</v>
      </c>
      <c r="L436" s="8" t="s">
        <v>3264</v>
      </c>
    </row>
    <row r="437" spans="1:12" x14ac:dyDescent="0.3">
      <c r="A437" t="s">
        <v>3265</v>
      </c>
      <c r="B437" t="s">
        <v>481</v>
      </c>
      <c r="C437" t="s">
        <v>3266</v>
      </c>
      <c r="F437" t="s">
        <v>3254</v>
      </c>
      <c r="G437" t="s">
        <v>52</v>
      </c>
      <c r="H437" s="6">
        <v>37170</v>
      </c>
      <c r="I437" t="s">
        <v>3026</v>
      </c>
      <c r="L437" s="8" t="s">
        <v>3267</v>
      </c>
    </row>
    <row r="438" spans="1:12" x14ac:dyDescent="0.3">
      <c r="A438" t="s">
        <v>3268</v>
      </c>
      <c r="B438" t="s">
        <v>481</v>
      </c>
      <c r="C438" t="s">
        <v>3269</v>
      </c>
      <c r="F438" t="s">
        <v>3254</v>
      </c>
      <c r="G438" t="s">
        <v>52</v>
      </c>
      <c r="H438" s="6">
        <v>33295.5</v>
      </c>
      <c r="I438" t="s">
        <v>3026</v>
      </c>
      <c r="L438" s="8" t="s">
        <v>3270</v>
      </c>
    </row>
    <row r="439" spans="1:12" x14ac:dyDescent="0.3">
      <c r="A439" t="s">
        <v>3271</v>
      </c>
      <c r="B439" t="s">
        <v>481</v>
      </c>
      <c r="C439" t="s">
        <v>3272</v>
      </c>
      <c r="F439" t="s">
        <v>3254</v>
      </c>
      <c r="G439" t="s">
        <v>52</v>
      </c>
      <c r="H439" s="6">
        <v>32235</v>
      </c>
      <c r="I439" t="s">
        <v>3026</v>
      </c>
      <c r="L439" s="8" t="s">
        <v>3273</v>
      </c>
    </row>
    <row r="440" spans="1:12" x14ac:dyDescent="0.3">
      <c r="A440" t="s">
        <v>3274</v>
      </c>
      <c r="B440" t="s">
        <v>481</v>
      </c>
      <c r="C440" t="s">
        <v>3275</v>
      </c>
      <c r="D440" t="s">
        <v>3253</v>
      </c>
      <c r="F440" t="s">
        <v>3254</v>
      </c>
      <c r="G440" t="s">
        <v>52</v>
      </c>
      <c r="H440" s="6">
        <v>34230</v>
      </c>
      <c r="I440" t="s">
        <v>3026</v>
      </c>
      <c r="L440" s="8" t="s">
        <v>3276</v>
      </c>
    </row>
    <row r="441" spans="1:12" x14ac:dyDescent="0.3">
      <c r="A441" t="s">
        <v>3277</v>
      </c>
      <c r="B441" t="s">
        <v>481</v>
      </c>
      <c r="C441" t="s">
        <v>483</v>
      </c>
      <c r="F441" t="s">
        <v>3254</v>
      </c>
      <c r="G441" t="s">
        <v>635</v>
      </c>
      <c r="H441" s="6">
        <v>1323</v>
      </c>
      <c r="I441" t="s">
        <v>3026</v>
      </c>
      <c r="L441" s="8" t="s">
        <v>3278</v>
      </c>
    </row>
    <row r="442" spans="1:12" x14ac:dyDescent="0.3">
      <c r="A442" t="s">
        <v>3279</v>
      </c>
      <c r="B442" t="s">
        <v>481</v>
      </c>
      <c r="C442" t="s">
        <v>3280</v>
      </c>
      <c r="F442" t="s">
        <v>3254</v>
      </c>
      <c r="G442" t="s">
        <v>635</v>
      </c>
      <c r="H442" s="6">
        <v>1659</v>
      </c>
      <c r="I442" t="s">
        <v>3026</v>
      </c>
      <c r="L442" s="8" t="s">
        <v>3281</v>
      </c>
    </row>
    <row r="443" spans="1:12" x14ac:dyDescent="0.3">
      <c r="A443" t="s">
        <v>3282</v>
      </c>
      <c r="B443" t="s">
        <v>688</v>
      </c>
      <c r="C443" t="s">
        <v>3283</v>
      </c>
      <c r="F443" t="s">
        <v>3284</v>
      </c>
      <c r="G443" t="s">
        <v>52</v>
      </c>
      <c r="H443" s="6">
        <v>2762.81</v>
      </c>
      <c r="I443" t="s">
        <v>3026</v>
      </c>
      <c r="L443" s="8" t="s">
        <v>3285</v>
      </c>
    </row>
    <row r="444" spans="1:12" x14ac:dyDescent="0.3">
      <c r="A444" t="s">
        <v>3286</v>
      </c>
      <c r="B444" t="s">
        <v>688</v>
      </c>
      <c r="C444" t="s">
        <v>3287</v>
      </c>
      <c r="F444" t="s">
        <v>3284</v>
      </c>
      <c r="G444" t="s">
        <v>52</v>
      </c>
      <c r="H444" s="6">
        <v>3461.69</v>
      </c>
      <c r="I444" t="s">
        <v>3026</v>
      </c>
      <c r="L444" s="8" t="s">
        <v>3288</v>
      </c>
    </row>
    <row r="445" spans="1:12" x14ac:dyDescent="0.3">
      <c r="A445" t="s">
        <v>3289</v>
      </c>
      <c r="B445" t="s">
        <v>688</v>
      </c>
      <c r="C445" t="s">
        <v>3290</v>
      </c>
      <c r="F445" t="s">
        <v>3284</v>
      </c>
      <c r="G445" t="s">
        <v>52</v>
      </c>
      <c r="H445" s="6">
        <v>3298.21</v>
      </c>
      <c r="I445" t="s">
        <v>3026</v>
      </c>
      <c r="L445" s="8" t="s">
        <v>3291</v>
      </c>
    </row>
    <row r="446" spans="1:12" x14ac:dyDescent="0.3">
      <c r="A446" t="s">
        <v>3292</v>
      </c>
      <c r="B446" t="s">
        <v>688</v>
      </c>
      <c r="C446" t="s">
        <v>3293</v>
      </c>
      <c r="F446" t="s">
        <v>3284</v>
      </c>
      <c r="G446" t="s">
        <v>52</v>
      </c>
      <c r="H446" s="6">
        <v>3567.95</v>
      </c>
      <c r="I446" t="s">
        <v>3026</v>
      </c>
      <c r="L446" s="8" t="s">
        <v>3294</v>
      </c>
    </row>
    <row r="447" spans="1:12" x14ac:dyDescent="0.3">
      <c r="A447" t="s">
        <v>3295</v>
      </c>
      <c r="B447" t="s">
        <v>688</v>
      </c>
      <c r="C447" t="s">
        <v>3296</v>
      </c>
      <c r="F447" t="s">
        <v>3284</v>
      </c>
      <c r="G447" t="s">
        <v>52</v>
      </c>
      <c r="H447" s="6">
        <v>3012.12</v>
      </c>
      <c r="I447" t="s">
        <v>3026</v>
      </c>
      <c r="L447" s="8" t="s">
        <v>3297</v>
      </c>
    </row>
    <row r="448" spans="1:12" x14ac:dyDescent="0.3">
      <c r="A448" t="s">
        <v>3298</v>
      </c>
      <c r="B448" t="s">
        <v>688</v>
      </c>
      <c r="C448" t="s">
        <v>3299</v>
      </c>
      <c r="F448" t="s">
        <v>3284</v>
      </c>
      <c r="G448" t="s">
        <v>52</v>
      </c>
      <c r="H448" s="6">
        <v>3298.21</v>
      </c>
      <c r="I448" t="s">
        <v>3026</v>
      </c>
      <c r="L448" s="8" t="s">
        <v>3300</v>
      </c>
    </row>
    <row r="449" spans="1:12" x14ac:dyDescent="0.3">
      <c r="A449" t="s">
        <v>3301</v>
      </c>
      <c r="B449" t="s">
        <v>688</v>
      </c>
      <c r="C449" t="s">
        <v>3302</v>
      </c>
      <c r="F449" t="s">
        <v>3284</v>
      </c>
      <c r="G449" t="s">
        <v>52</v>
      </c>
      <c r="H449" s="6">
        <v>3012.12</v>
      </c>
      <c r="I449" t="s">
        <v>3026</v>
      </c>
      <c r="L449" s="8" t="s">
        <v>3303</v>
      </c>
    </row>
    <row r="450" spans="1:12" x14ac:dyDescent="0.3">
      <c r="A450" t="s">
        <v>3304</v>
      </c>
      <c r="B450" t="s">
        <v>688</v>
      </c>
      <c r="C450" t="s">
        <v>3305</v>
      </c>
      <c r="F450" t="s">
        <v>3306</v>
      </c>
      <c r="G450" t="s">
        <v>52</v>
      </c>
      <c r="H450" s="6">
        <v>1269.5</v>
      </c>
      <c r="I450" t="s">
        <v>3026</v>
      </c>
      <c r="L450" s="8" t="s">
        <v>3307</v>
      </c>
    </row>
    <row r="451" spans="1:12" x14ac:dyDescent="0.3">
      <c r="A451" t="s">
        <v>3308</v>
      </c>
      <c r="B451" t="s">
        <v>696</v>
      </c>
      <c r="C451" t="s">
        <v>3309</v>
      </c>
      <c r="E451" t="s">
        <v>3310</v>
      </c>
      <c r="F451" t="s">
        <v>3311</v>
      </c>
      <c r="G451" t="s">
        <v>52</v>
      </c>
      <c r="H451" s="6">
        <v>37.909999999999997</v>
      </c>
      <c r="I451" t="s">
        <v>3312</v>
      </c>
      <c r="L451" s="8" t="s">
        <v>3313</v>
      </c>
    </row>
    <row r="452" spans="1:12" x14ac:dyDescent="0.3">
      <c r="A452" t="s">
        <v>3314</v>
      </c>
      <c r="B452" t="s">
        <v>696</v>
      </c>
      <c r="C452" t="s">
        <v>3315</v>
      </c>
      <c r="E452" t="s">
        <v>3310</v>
      </c>
      <c r="F452" t="s">
        <v>3311</v>
      </c>
      <c r="G452" t="s">
        <v>52</v>
      </c>
      <c r="H452" s="6">
        <v>37.909999999999997</v>
      </c>
      <c r="I452" t="s">
        <v>3312</v>
      </c>
      <c r="L452" s="8" t="s">
        <v>3316</v>
      </c>
    </row>
    <row r="453" spans="1:12" x14ac:dyDescent="0.3">
      <c r="A453" t="s">
        <v>3317</v>
      </c>
      <c r="B453" t="s">
        <v>696</v>
      </c>
      <c r="C453" t="s">
        <v>3318</v>
      </c>
      <c r="E453" t="s">
        <v>3310</v>
      </c>
      <c r="F453" t="s">
        <v>3311</v>
      </c>
      <c r="G453" t="s">
        <v>52</v>
      </c>
      <c r="H453" s="6">
        <v>37.909999999999997</v>
      </c>
      <c r="I453" t="s">
        <v>3312</v>
      </c>
      <c r="L453" s="8" t="s">
        <v>3319</v>
      </c>
    </row>
    <row r="454" spans="1:12" x14ac:dyDescent="0.3">
      <c r="A454" t="s">
        <v>3320</v>
      </c>
      <c r="B454" t="s">
        <v>696</v>
      </c>
      <c r="C454" t="s">
        <v>3321</v>
      </c>
      <c r="E454" t="s">
        <v>3310</v>
      </c>
      <c r="F454" t="s">
        <v>3311</v>
      </c>
      <c r="G454" t="s">
        <v>52</v>
      </c>
      <c r="H454" s="6">
        <v>37.909999999999997</v>
      </c>
      <c r="I454" t="s">
        <v>3312</v>
      </c>
      <c r="L454" s="8" t="s">
        <v>3322</v>
      </c>
    </row>
    <row r="455" spans="1:12" x14ac:dyDescent="0.3">
      <c r="A455" t="s">
        <v>3323</v>
      </c>
      <c r="B455" t="s">
        <v>696</v>
      </c>
      <c r="C455" t="s">
        <v>3324</v>
      </c>
      <c r="F455" t="s">
        <v>3325</v>
      </c>
      <c r="G455" t="s">
        <v>52</v>
      </c>
      <c r="H455" s="6">
        <v>3876.37</v>
      </c>
      <c r="I455" t="s">
        <v>3026</v>
      </c>
      <c r="L455" s="8" t="s">
        <v>3326</v>
      </c>
    </row>
    <row r="456" spans="1:12" x14ac:dyDescent="0.3">
      <c r="A456" t="s">
        <v>3327</v>
      </c>
      <c r="B456" t="s">
        <v>590</v>
      </c>
      <c r="C456" t="s">
        <v>620</v>
      </c>
      <c r="F456" t="s">
        <v>3328</v>
      </c>
      <c r="G456" t="s">
        <v>635</v>
      </c>
      <c r="H456" s="6">
        <v>15947.9</v>
      </c>
      <c r="I456" t="s">
        <v>3026</v>
      </c>
      <c r="L456" s="8" t="s">
        <v>3329</v>
      </c>
    </row>
    <row r="457" spans="1:12" x14ac:dyDescent="0.3">
      <c r="A457" t="s">
        <v>3330</v>
      </c>
      <c r="B457" t="s">
        <v>590</v>
      </c>
      <c r="C457" t="s">
        <v>3331</v>
      </c>
      <c r="F457" t="s">
        <v>3328</v>
      </c>
      <c r="G457" t="s">
        <v>635</v>
      </c>
      <c r="H457" s="6">
        <v>9988.7000000000007</v>
      </c>
      <c r="I457" t="s">
        <v>3026</v>
      </c>
      <c r="L457" s="8" t="s">
        <v>3332</v>
      </c>
    </row>
    <row r="458" spans="1:12" x14ac:dyDescent="0.3">
      <c r="A458" t="s">
        <v>3333</v>
      </c>
      <c r="B458" t="s">
        <v>590</v>
      </c>
      <c r="C458" t="s">
        <v>3334</v>
      </c>
      <c r="F458" t="s">
        <v>3328</v>
      </c>
      <c r="G458" t="s">
        <v>635</v>
      </c>
      <c r="H458" s="6">
        <v>9988.7000000000007</v>
      </c>
      <c r="I458" t="s">
        <v>3026</v>
      </c>
      <c r="L458" s="8" t="s">
        <v>3335</v>
      </c>
    </row>
    <row r="459" spans="1:12" x14ac:dyDescent="0.3">
      <c r="A459" t="s">
        <v>3336</v>
      </c>
      <c r="B459" t="s">
        <v>590</v>
      </c>
      <c r="C459" t="s">
        <v>622</v>
      </c>
      <c r="F459" t="s">
        <v>3328</v>
      </c>
      <c r="G459" t="s">
        <v>635</v>
      </c>
      <c r="H459" s="6">
        <v>9988.7000000000007</v>
      </c>
      <c r="I459" t="s">
        <v>3026</v>
      </c>
      <c r="L459" s="8" t="s">
        <v>3337</v>
      </c>
    </row>
    <row r="460" spans="1:12" x14ac:dyDescent="0.3">
      <c r="A460" t="s">
        <v>3338</v>
      </c>
      <c r="B460" t="s">
        <v>590</v>
      </c>
      <c r="C460" t="s">
        <v>3339</v>
      </c>
      <c r="F460" t="s">
        <v>3328</v>
      </c>
      <c r="G460" t="s">
        <v>635</v>
      </c>
      <c r="H460" s="6">
        <v>3473.2</v>
      </c>
      <c r="I460" t="s">
        <v>3026</v>
      </c>
      <c r="L460" s="8" t="s">
        <v>3340</v>
      </c>
    </row>
    <row r="461" spans="1:12" x14ac:dyDescent="0.3">
      <c r="A461" t="s">
        <v>3341</v>
      </c>
      <c r="B461" t="s">
        <v>1054</v>
      </c>
      <c r="C461" t="s">
        <v>3342</v>
      </c>
      <c r="D461" t="s">
        <v>3343</v>
      </c>
      <c r="E461" t="s">
        <v>3344</v>
      </c>
      <c r="F461" t="s">
        <v>3345</v>
      </c>
      <c r="G461" t="s">
        <v>1724</v>
      </c>
      <c r="H461" s="6">
        <v>399</v>
      </c>
      <c r="I461" t="s">
        <v>3026</v>
      </c>
      <c r="L461" s="8" t="s">
        <v>3346</v>
      </c>
    </row>
    <row r="462" spans="1:12" x14ac:dyDescent="0.3">
      <c r="A462" t="s">
        <v>3347</v>
      </c>
      <c r="B462" t="s">
        <v>1054</v>
      </c>
      <c r="C462" t="s">
        <v>3348</v>
      </c>
      <c r="D462" t="s">
        <v>3349</v>
      </c>
      <c r="E462" t="s">
        <v>3344</v>
      </c>
      <c r="F462" t="s">
        <v>3345</v>
      </c>
      <c r="G462" t="s">
        <v>1724</v>
      </c>
      <c r="H462" s="6">
        <v>491</v>
      </c>
      <c r="I462" t="s">
        <v>3026</v>
      </c>
      <c r="L462" s="8" t="s">
        <v>3350</v>
      </c>
    </row>
    <row r="463" spans="1:12" x14ac:dyDescent="0.3">
      <c r="A463" t="s">
        <v>3351</v>
      </c>
      <c r="B463" t="s">
        <v>1054</v>
      </c>
      <c r="C463" t="s">
        <v>3352</v>
      </c>
      <c r="D463" t="s">
        <v>3353</v>
      </c>
      <c r="E463" t="s">
        <v>3344</v>
      </c>
      <c r="F463" t="s">
        <v>3345</v>
      </c>
      <c r="G463" t="s">
        <v>635</v>
      </c>
      <c r="H463" s="6">
        <v>9250</v>
      </c>
      <c r="I463" t="s">
        <v>3026</v>
      </c>
      <c r="L463" s="8" t="s">
        <v>3354</v>
      </c>
    </row>
    <row r="464" spans="1:12" x14ac:dyDescent="0.3">
      <c r="A464" t="s">
        <v>3355</v>
      </c>
      <c r="B464" t="s">
        <v>1054</v>
      </c>
      <c r="C464" t="s">
        <v>3356</v>
      </c>
      <c r="D464" t="s">
        <v>3357</v>
      </c>
      <c r="E464" t="s">
        <v>3344</v>
      </c>
      <c r="F464" t="s">
        <v>3345</v>
      </c>
      <c r="G464" t="s">
        <v>635</v>
      </c>
      <c r="H464" s="6">
        <v>9460</v>
      </c>
      <c r="I464" t="s">
        <v>3026</v>
      </c>
      <c r="L464" s="8" t="s">
        <v>3358</v>
      </c>
    </row>
    <row r="465" spans="1:12" x14ac:dyDescent="0.3">
      <c r="A465" t="s">
        <v>3359</v>
      </c>
      <c r="B465" t="s">
        <v>1054</v>
      </c>
      <c r="C465" t="s">
        <v>3360</v>
      </c>
      <c r="D465" t="s">
        <v>3361</v>
      </c>
      <c r="E465" t="s">
        <v>3344</v>
      </c>
      <c r="F465" t="s">
        <v>3345</v>
      </c>
      <c r="G465" t="s">
        <v>635</v>
      </c>
      <c r="H465" s="6">
        <v>9660</v>
      </c>
      <c r="I465" t="s">
        <v>3026</v>
      </c>
      <c r="L465" s="8" t="s">
        <v>3362</v>
      </c>
    </row>
    <row r="466" spans="1:12" x14ac:dyDescent="0.3">
      <c r="A466" t="s">
        <v>3363</v>
      </c>
      <c r="B466" t="s">
        <v>1054</v>
      </c>
      <c r="C466" t="s">
        <v>3364</v>
      </c>
      <c r="D466" t="s">
        <v>3365</v>
      </c>
      <c r="E466" t="s">
        <v>3344</v>
      </c>
      <c r="F466" t="s">
        <v>3345</v>
      </c>
      <c r="G466" t="s">
        <v>635</v>
      </c>
      <c r="H466" s="6">
        <v>5459</v>
      </c>
      <c r="I466" t="s">
        <v>3026</v>
      </c>
      <c r="L466" s="8" t="s">
        <v>3366</v>
      </c>
    </row>
    <row r="467" spans="1:12" x14ac:dyDescent="0.3">
      <c r="A467" t="s">
        <v>3367</v>
      </c>
      <c r="B467" t="s">
        <v>1054</v>
      </c>
      <c r="C467" t="s">
        <v>3368</v>
      </c>
      <c r="D467" t="s">
        <v>3369</v>
      </c>
      <c r="E467" t="s">
        <v>3344</v>
      </c>
      <c r="F467" t="s">
        <v>3345</v>
      </c>
      <c r="G467" t="s">
        <v>635</v>
      </c>
      <c r="H467" s="6">
        <v>6384</v>
      </c>
      <c r="I467" t="s">
        <v>3026</v>
      </c>
      <c r="L467" s="8" t="s">
        <v>3370</v>
      </c>
    </row>
    <row r="468" spans="1:12" x14ac:dyDescent="0.3">
      <c r="A468" t="s">
        <v>3371</v>
      </c>
      <c r="B468" t="s">
        <v>1054</v>
      </c>
      <c r="C468" t="s">
        <v>3372</v>
      </c>
      <c r="D468" t="s">
        <v>3373</v>
      </c>
      <c r="E468" t="s">
        <v>3344</v>
      </c>
      <c r="F468" t="s">
        <v>3345</v>
      </c>
      <c r="G468" t="s">
        <v>635</v>
      </c>
      <c r="H468" s="6">
        <v>8234</v>
      </c>
      <c r="I468" t="s">
        <v>3026</v>
      </c>
      <c r="L468" s="8" t="s">
        <v>3374</v>
      </c>
    </row>
    <row r="469" spans="1:12" x14ac:dyDescent="0.3">
      <c r="A469" t="s">
        <v>3375</v>
      </c>
      <c r="B469" t="s">
        <v>1054</v>
      </c>
      <c r="C469" t="s">
        <v>3376</v>
      </c>
      <c r="D469" t="s">
        <v>3377</v>
      </c>
      <c r="E469" t="s">
        <v>3344</v>
      </c>
      <c r="F469" t="s">
        <v>3345</v>
      </c>
      <c r="G469" t="s">
        <v>635</v>
      </c>
      <c r="H469" s="6">
        <v>9159</v>
      </c>
      <c r="I469" t="s">
        <v>3026</v>
      </c>
      <c r="L469" s="8" t="s">
        <v>3378</v>
      </c>
    </row>
    <row r="470" spans="1:12" x14ac:dyDescent="0.3">
      <c r="A470" t="s">
        <v>3379</v>
      </c>
      <c r="B470" t="s">
        <v>1054</v>
      </c>
      <c r="C470" t="s">
        <v>3380</v>
      </c>
      <c r="D470" t="s">
        <v>3381</v>
      </c>
      <c r="E470" t="s">
        <v>3344</v>
      </c>
      <c r="F470" t="s">
        <v>3345</v>
      </c>
      <c r="G470" t="s">
        <v>635</v>
      </c>
      <c r="H470" s="6">
        <v>11009</v>
      </c>
      <c r="I470" t="s">
        <v>3026</v>
      </c>
      <c r="L470" s="8" t="s">
        <v>3382</v>
      </c>
    </row>
    <row r="471" spans="1:12" x14ac:dyDescent="0.3">
      <c r="A471" t="s">
        <v>3383</v>
      </c>
      <c r="B471" t="s">
        <v>1054</v>
      </c>
      <c r="C471" t="s">
        <v>3384</v>
      </c>
      <c r="D471" t="s">
        <v>3385</v>
      </c>
      <c r="E471" t="s">
        <v>3344</v>
      </c>
      <c r="F471" t="s">
        <v>3345</v>
      </c>
      <c r="G471" t="s">
        <v>635</v>
      </c>
      <c r="H471" s="6">
        <v>11934</v>
      </c>
      <c r="I471" t="s">
        <v>3026</v>
      </c>
      <c r="L471" s="8" t="s">
        <v>3386</v>
      </c>
    </row>
    <row r="472" spans="1:12" x14ac:dyDescent="0.3">
      <c r="A472" t="s">
        <v>3387</v>
      </c>
      <c r="B472" t="s">
        <v>1054</v>
      </c>
      <c r="C472" t="s">
        <v>3388</v>
      </c>
      <c r="D472" t="s">
        <v>3389</v>
      </c>
      <c r="E472" t="s">
        <v>3344</v>
      </c>
      <c r="F472" t="s">
        <v>3345</v>
      </c>
      <c r="G472" t="s">
        <v>635</v>
      </c>
      <c r="H472" s="6">
        <v>12859</v>
      </c>
      <c r="I472" t="s">
        <v>3026</v>
      </c>
      <c r="L472" s="8" t="s">
        <v>3390</v>
      </c>
    </row>
    <row r="473" spans="1:12" x14ac:dyDescent="0.3">
      <c r="A473" t="s">
        <v>3391</v>
      </c>
      <c r="B473" t="s">
        <v>1054</v>
      </c>
      <c r="C473" t="s">
        <v>3392</v>
      </c>
      <c r="D473" t="s">
        <v>3393</v>
      </c>
      <c r="E473" t="s">
        <v>3344</v>
      </c>
      <c r="F473" t="s">
        <v>3345</v>
      </c>
      <c r="G473" t="s">
        <v>635</v>
      </c>
      <c r="H473" s="6">
        <v>13784</v>
      </c>
      <c r="I473" t="s">
        <v>3026</v>
      </c>
      <c r="L473" s="8" t="s">
        <v>3394</v>
      </c>
    </row>
    <row r="474" spans="1:12" x14ac:dyDescent="0.3">
      <c r="A474" t="s">
        <v>3395</v>
      </c>
      <c r="B474" t="s">
        <v>1054</v>
      </c>
      <c r="C474" t="s">
        <v>3396</v>
      </c>
      <c r="D474" t="s">
        <v>3397</v>
      </c>
      <c r="E474" t="s">
        <v>3344</v>
      </c>
      <c r="F474" t="s">
        <v>3345</v>
      </c>
      <c r="G474" t="s">
        <v>635</v>
      </c>
      <c r="H474" s="6">
        <v>14709</v>
      </c>
      <c r="I474" t="s">
        <v>3026</v>
      </c>
      <c r="L474" s="8" t="s">
        <v>3398</v>
      </c>
    </row>
    <row r="475" spans="1:12" x14ac:dyDescent="0.3">
      <c r="A475" t="s">
        <v>3399</v>
      </c>
      <c r="B475" t="s">
        <v>1054</v>
      </c>
      <c r="C475" t="s">
        <v>3400</v>
      </c>
      <c r="D475" t="s">
        <v>3401</v>
      </c>
      <c r="E475" t="s">
        <v>3344</v>
      </c>
      <c r="F475" t="s">
        <v>3345</v>
      </c>
      <c r="G475" t="s">
        <v>635</v>
      </c>
      <c r="H475" s="6">
        <v>5543</v>
      </c>
      <c r="I475" t="s">
        <v>3026</v>
      </c>
      <c r="L475" s="8" t="s">
        <v>3402</v>
      </c>
    </row>
    <row r="476" spans="1:12" x14ac:dyDescent="0.3">
      <c r="A476" t="s">
        <v>3403</v>
      </c>
      <c r="B476" t="s">
        <v>1054</v>
      </c>
      <c r="C476" t="s">
        <v>3404</v>
      </c>
      <c r="D476" t="s">
        <v>3405</v>
      </c>
      <c r="E476" t="s">
        <v>3344</v>
      </c>
      <c r="F476" t="s">
        <v>3345</v>
      </c>
      <c r="G476" t="s">
        <v>635</v>
      </c>
      <c r="H476" s="6">
        <v>6489</v>
      </c>
      <c r="I476" t="s">
        <v>3026</v>
      </c>
      <c r="L476" s="8" t="s">
        <v>3406</v>
      </c>
    </row>
    <row r="477" spans="1:12" x14ac:dyDescent="0.3">
      <c r="A477" t="s">
        <v>3407</v>
      </c>
      <c r="B477" t="s">
        <v>1054</v>
      </c>
      <c r="C477" t="s">
        <v>3408</v>
      </c>
      <c r="D477" t="s">
        <v>3409</v>
      </c>
      <c r="E477" t="s">
        <v>3344</v>
      </c>
      <c r="F477" t="s">
        <v>3345</v>
      </c>
      <c r="G477" t="s">
        <v>635</v>
      </c>
      <c r="H477" s="6">
        <v>7435</v>
      </c>
      <c r="I477" t="s">
        <v>3026</v>
      </c>
      <c r="L477" s="8" t="s">
        <v>3410</v>
      </c>
    </row>
    <row r="478" spans="1:12" x14ac:dyDescent="0.3">
      <c r="A478" t="s">
        <v>3411</v>
      </c>
      <c r="B478" t="s">
        <v>1054</v>
      </c>
      <c r="C478" t="s">
        <v>3412</v>
      </c>
      <c r="D478" t="s">
        <v>3413</v>
      </c>
      <c r="E478" t="s">
        <v>3344</v>
      </c>
      <c r="F478" t="s">
        <v>3345</v>
      </c>
      <c r="G478" t="s">
        <v>635</v>
      </c>
      <c r="H478" s="6">
        <v>8381</v>
      </c>
      <c r="I478" t="s">
        <v>3026</v>
      </c>
      <c r="L478" s="8" t="s">
        <v>3414</v>
      </c>
    </row>
    <row r="479" spans="1:12" x14ac:dyDescent="0.3">
      <c r="A479" t="s">
        <v>3415</v>
      </c>
      <c r="B479" t="s">
        <v>1054</v>
      </c>
      <c r="C479" t="s">
        <v>3416</v>
      </c>
      <c r="D479" t="s">
        <v>3417</v>
      </c>
      <c r="E479" t="s">
        <v>3344</v>
      </c>
      <c r="F479" t="s">
        <v>3345</v>
      </c>
      <c r="G479" t="s">
        <v>635</v>
      </c>
      <c r="H479" s="6">
        <v>9327</v>
      </c>
      <c r="I479" t="s">
        <v>3026</v>
      </c>
      <c r="L479" s="8" t="s">
        <v>3418</v>
      </c>
    </row>
    <row r="480" spans="1:12" x14ac:dyDescent="0.3">
      <c r="A480" t="s">
        <v>3419</v>
      </c>
      <c r="B480" t="s">
        <v>1054</v>
      </c>
      <c r="C480" t="s">
        <v>3420</v>
      </c>
      <c r="D480" t="s">
        <v>3421</v>
      </c>
      <c r="E480" t="s">
        <v>3344</v>
      </c>
      <c r="F480" t="s">
        <v>3345</v>
      </c>
      <c r="G480" t="s">
        <v>635</v>
      </c>
      <c r="H480" s="6">
        <v>10273</v>
      </c>
      <c r="I480" t="s">
        <v>3026</v>
      </c>
      <c r="L480" s="8" t="s">
        <v>3422</v>
      </c>
    </row>
    <row r="481" spans="1:12" x14ac:dyDescent="0.3">
      <c r="A481" t="s">
        <v>3423</v>
      </c>
      <c r="B481" t="s">
        <v>1054</v>
      </c>
      <c r="C481" t="s">
        <v>3424</v>
      </c>
      <c r="D481" t="s">
        <v>3425</v>
      </c>
      <c r="E481" t="s">
        <v>3344</v>
      </c>
      <c r="F481" t="s">
        <v>3345</v>
      </c>
      <c r="G481" t="s">
        <v>635</v>
      </c>
      <c r="H481" s="6">
        <v>11219</v>
      </c>
      <c r="I481" t="s">
        <v>3026</v>
      </c>
      <c r="L481" s="8" t="s">
        <v>3426</v>
      </c>
    </row>
    <row r="482" spans="1:12" x14ac:dyDescent="0.3">
      <c r="A482" t="s">
        <v>3427</v>
      </c>
      <c r="B482" t="s">
        <v>1054</v>
      </c>
      <c r="C482" t="s">
        <v>3428</v>
      </c>
      <c r="D482" t="s">
        <v>3429</v>
      </c>
      <c r="E482" t="s">
        <v>3344</v>
      </c>
      <c r="F482" t="s">
        <v>3345</v>
      </c>
      <c r="G482" t="s">
        <v>635</v>
      </c>
      <c r="H482" s="6">
        <v>12165</v>
      </c>
      <c r="I482" t="s">
        <v>3026</v>
      </c>
      <c r="L482" s="8" t="s">
        <v>3430</v>
      </c>
    </row>
    <row r="483" spans="1:12" x14ac:dyDescent="0.3">
      <c r="A483" t="s">
        <v>3431</v>
      </c>
      <c r="B483" t="s">
        <v>1054</v>
      </c>
      <c r="C483" t="s">
        <v>3432</v>
      </c>
      <c r="D483" t="s">
        <v>3433</v>
      </c>
      <c r="E483" t="s">
        <v>3344</v>
      </c>
      <c r="F483" t="s">
        <v>3345</v>
      </c>
      <c r="G483" t="s">
        <v>635</v>
      </c>
      <c r="H483" s="6">
        <v>13111</v>
      </c>
      <c r="I483" t="s">
        <v>3026</v>
      </c>
      <c r="L483" s="8" t="s">
        <v>3434</v>
      </c>
    </row>
    <row r="484" spans="1:12" x14ac:dyDescent="0.3">
      <c r="A484" t="s">
        <v>3435</v>
      </c>
      <c r="B484" t="s">
        <v>1054</v>
      </c>
      <c r="C484" t="s">
        <v>3436</v>
      </c>
      <c r="D484" t="s">
        <v>3437</v>
      </c>
      <c r="E484" t="s">
        <v>3344</v>
      </c>
      <c r="F484" t="s">
        <v>3345</v>
      </c>
      <c r="G484" t="s">
        <v>635</v>
      </c>
      <c r="H484" s="6">
        <v>14057</v>
      </c>
      <c r="I484" t="s">
        <v>3026</v>
      </c>
      <c r="L484" s="8" t="s">
        <v>3438</v>
      </c>
    </row>
    <row r="485" spans="1:12" x14ac:dyDescent="0.3">
      <c r="A485" t="s">
        <v>3439</v>
      </c>
      <c r="B485" t="s">
        <v>1054</v>
      </c>
      <c r="C485" t="s">
        <v>3440</v>
      </c>
      <c r="D485" t="s">
        <v>3441</v>
      </c>
      <c r="E485" t="s">
        <v>3344</v>
      </c>
      <c r="F485" t="s">
        <v>3345</v>
      </c>
      <c r="G485" t="s">
        <v>635</v>
      </c>
      <c r="H485" s="6">
        <v>15003</v>
      </c>
      <c r="I485" t="s">
        <v>3026</v>
      </c>
      <c r="L485" s="8" t="s">
        <v>3442</v>
      </c>
    </row>
    <row r="486" spans="1:12" x14ac:dyDescent="0.3">
      <c r="A486" t="s">
        <v>3443</v>
      </c>
      <c r="B486" t="s">
        <v>1054</v>
      </c>
      <c r="C486" t="s">
        <v>3444</v>
      </c>
      <c r="D486" t="s">
        <v>3445</v>
      </c>
      <c r="E486" t="s">
        <v>3344</v>
      </c>
      <c r="F486" t="s">
        <v>3345</v>
      </c>
      <c r="G486" t="s">
        <v>635</v>
      </c>
      <c r="H486" s="6">
        <v>5623</v>
      </c>
      <c r="I486" t="s">
        <v>3026</v>
      </c>
      <c r="L486" s="8" t="s">
        <v>3446</v>
      </c>
    </row>
    <row r="487" spans="1:12" x14ac:dyDescent="0.3">
      <c r="A487" t="s">
        <v>3447</v>
      </c>
      <c r="B487" t="s">
        <v>1054</v>
      </c>
      <c r="C487" t="s">
        <v>3448</v>
      </c>
      <c r="D487" t="s">
        <v>3449</v>
      </c>
      <c r="E487" t="s">
        <v>3344</v>
      </c>
      <c r="F487" t="s">
        <v>3345</v>
      </c>
      <c r="G487" t="s">
        <v>635</v>
      </c>
      <c r="H487" s="6">
        <v>6589</v>
      </c>
      <c r="I487" t="s">
        <v>3026</v>
      </c>
      <c r="L487" s="8" t="s">
        <v>3450</v>
      </c>
    </row>
    <row r="488" spans="1:12" x14ac:dyDescent="0.3">
      <c r="A488" t="s">
        <v>3451</v>
      </c>
      <c r="B488" t="s">
        <v>1054</v>
      </c>
      <c r="C488" t="s">
        <v>3452</v>
      </c>
      <c r="D488" t="s">
        <v>3453</v>
      </c>
      <c r="E488" t="s">
        <v>3344</v>
      </c>
      <c r="F488" t="s">
        <v>3345</v>
      </c>
      <c r="G488" t="s">
        <v>635</v>
      </c>
      <c r="H488" s="6">
        <v>7555</v>
      </c>
      <c r="I488" t="s">
        <v>3026</v>
      </c>
      <c r="L488" s="8" t="s">
        <v>3454</v>
      </c>
    </row>
    <row r="489" spans="1:12" x14ac:dyDescent="0.3">
      <c r="A489" t="s">
        <v>3455</v>
      </c>
      <c r="B489" t="s">
        <v>1054</v>
      </c>
      <c r="C489" t="s">
        <v>3456</v>
      </c>
      <c r="D489" t="s">
        <v>3457</v>
      </c>
      <c r="E489" t="s">
        <v>3344</v>
      </c>
      <c r="F489" t="s">
        <v>3345</v>
      </c>
      <c r="G489" t="s">
        <v>635</v>
      </c>
      <c r="H489" s="6">
        <v>8521</v>
      </c>
      <c r="I489" t="s">
        <v>3026</v>
      </c>
      <c r="L489" s="8" t="s">
        <v>3458</v>
      </c>
    </row>
    <row r="490" spans="1:12" x14ac:dyDescent="0.3">
      <c r="A490" t="s">
        <v>3459</v>
      </c>
      <c r="B490" t="s">
        <v>1054</v>
      </c>
      <c r="C490" t="s">
        <v>3460</v>
      </c>
      <c r="D490" t="s">
        <v>3461</v>
      </c>
      <c r="E490" t="s">
        <v>3344</v>
      </c>
      <c r="F490" t="s">
        <v>3345</v>
      </c>
      <c r="G490" t="s">
        <v>635</v>
      </c>
      <c r="H490" s="6">
        <v>9487</v>
      </c>
      <c r="I490" t="s">
        <v>3026</v>
      </c>
      <c r="L490" s="8" t="s">
        <v>3462</v>
      </c>
    </row>
    <row r="491" spans="1:12" x14ac:dyDescent="0.3">
      <c r="A491" t="s">
        <v>3463</v>
      </c>
      <c r="B491" t="s">
        <v>1054</v>
      </c>
      <c r="C491" t="s">
        <v>3464</v>
      </c>
      <c r="D491" t="s">
        <v>3465</v>
      </c>
      <c r="E491" t="s">
        <v>3344</v>
      </c>
      <c r="F491" t="s">
        <v>3345</v>
      </c>
      <c r="G491" t="s">
        <v>635</v>
      </c>
      <c r="H491" s="6">
        <v>10453</v>
      </c>
      <c r="I491" t="s">
        <v>3026</v>
      </c>
      <c r="L491" s="8" t="s">
        <v>3466</v>
      </c>
    </row>
    <row r="492" spans="1:12" x14ac:dyDescent="0.3">
      <c r="A492" t="s">
        <v>3467</v>
      </c>
      <c r="B492" t="s">
        <v>1054</v>
      </c>
      <c r="C492" t="s">
        <v>3468</v>
      </c>
      <c r="D492" t="s">
        <v>3469</v>
      </c>
      <c r="E492" t="s">
        <v>3344</v>
      </c>
      <c r="F492" t="s">
        <v>3345</v>
      </c>
      <c r="G492" t="s">
        <v>635</v>
      </c>
      <c r="H492" s="6">
        <v>11419</v>
      </c>
      <c r="I492" t="s">
        <v>3026</v>
      </c>
      <c r="L492" s="8" t="s">
        <v>3470</v>
      </c>
    </row>
    <row r="493" spans="1:12" x14ac:dyDescent="0.3">
      <c r="A493" t="s">
        <v>3471</v>
      </c>
      <c r="B493" t="s">
        <v>1054</v>
      </c>
      <c r="C493" t="s">
        <v>3472</v>
      </c>
      <c r="D493" t="s">
        <v>3473</v>
      </c>
      <c r="E493" t="s">
        <v>3344</v>
      </c>
      <c r="F493" t="s">
        <v>3345</v>
      </c>
      <c r="G493" t="s">
        <v>635</v>
      </c>
      <c r="H493" s="6">
        <v>12385</v>
      </c>
      <c r="I493" t="s">
        <v>3026</v>
      </c>
      <c r="L493" s="8" t="s">
        <v>3474</v>
      </c>
    </row>
    <row r="494" spans="1:12" x14ac:dyDescent="0.3">
      <c r="A494" t="s">
        <v>3475</v>
      </c>
      <c r="B494" t="s">
        <v>1054</v>
      </c>
      <c r="C494" t="s">
        <v>3476</v>
      </c>
      <c r="D494" t="s">
        <v>3477</v>
      </c>
      <c r="E494" t="s">
        <v>3344</v>
      </c>
      <c r="F494" t="s">
        <v>3345</v>
      </c>
      <c r="G494" t="s">
        <v>635</v>
      </c>
      <c r="H494" s="6">
        <v>13351</v>
      </c>
      <c r="I494" t="s">
        <v>3026</v>
      </c>
      <c r="L494" s="8" t="s">
        <v>3478</v>
      </c>
    </row>
    <row r="495" spans="1:12" x14ac:dyDescent="0.3">
      <c r="A495" t="s">
        <v>3479</v>
      </c>
      <c r="B495" t="s">
        <v>1054</v>
      </c>
      <c r="C495" t="s">
        <v>3480</v>
      </c>
      <c r="D495" t="s">
        <v>3481</v>
      </c>
      <c r="E495" t="s">
        <v>3344</v>
      </c>
      <c r="F495" t="s">
        <v>3345</v>
      </c>
      <c r="G495" t="s">
        <v>635</v>
      </c>
      <c r="H495" s="6">
        <v>14317</v>
      </c>
      <c r="I495" t="s">
        <v>3026</v>
      </c>
      <c r="L495" s="8" t="s">
        <v>3482</v>
      </c>
    </row>
    <row r="496" spans="1:12" x14ac:dyDescent="0.3">
      <c r="A496" t="s">
        <v>3483</v>
      </c>
      <c r="B496" t="s">
        <v>1054</v>
      </c>
      <c r="C496" t="s">
        <v>3484</v>
      </c>
      <c r="D496" t="s">
        <v>3485</v>
      </c>
      <c r="E496" t="s">
        <v>3344</v>
      </c>
      <c r="F496" t="s">
        <v>3345</v>
      </c>
      <c r="G496" t="s">
        <v>635</v>
      </c>
      <c r="H496" s="6">
        <v>15283</v>
      </c>
      <c r="I496" t="s">
        <v>3026</v>
      </c>
      <c r="L496" s="8" t="s">
        <v>3486</v>
      </c>
    </row>
    <row r="497" spans="1:12" x14ac:dyDescent="0.3">
      <c r="A497" t="s">
        <v>3487</v>
      </c>
      <c r="B497" t="s">
        <v>1054</v>
      </c>
      <c r="C497" t="s">
        <v>3488</v>
      </c>
      <c r="D497" t="s">
        <v>3489</v>
      </c>
      <c r="E497" t="s">
        <v>3344</v>
      </c>
      <c r="F497" t="s">
        <v>3345</v>
      </c>
      <c r="G497" t="s">
        <v>635</v>
      </c>
      <c r="H497" s="6">
        <v>9460</v>
      </c>
      <c r="I497" t="s">
        <v>3026</v>
      </c>
      <c r="L497" s="8" t="s">
        <v>3490</v>
      </c>
    </row>
    <row r="498" spans="1:12" x14ac:dyDescent="0.3">
      <c r="A498" t="s">
        <v>3491</v>
      </c>
      <c r="B498" t="s">
        <v>1054</v>
      </c>
      <c r="C498" t="s">
        <v>3492</v>
      </c>
      <c r="D498" t="s">
        <v>3493</v>
      </c>
      <c r="E498" t="s">
        <v>3344</v>
      </c>
      <c r="F498" t="s">
        <v>3345</v>
      </c>
      <c r="G498" t="s">
        <v>635</v>
      </c>
      <c r="H498" s="6">
        <v>9660</v>
      </c>
      <c r="I498" t="s">
        <v>3026</v>
      </c>
      <c r="L498" s="8" t="s">
        <v>3494</v>
      </c>
    </row>
    <row r="499" spans="1:12" x14ac:dyDescent="0.3">
      <c r="A499" t="s">
        <v>3495</v>
      </c>
      <c r="B499" t="s">
        <v>1054</v>
      </c>
      <c r="C499" t="s">
        <v>3496</v>
      </c>
      <c r="D499" t="s">
        <v>3497</v>
      </c>
      <c r="E499" t="s">
        <v>3344</v>
      </c>
      <c r="F499" t="s">
        <v>3345</v>
      </c>
      <c r="G499" t="s">
        <v>635</v>
      </c>
      <c r="H499" s="6">
        <v>5543</v>
      </c>
      <c r="I499" t="s">
        <v>3026</v>
      </c>
      <c r="L499" s="8" t="s">
        <v>3498</v>
      </c>
    </row>
    <row r="500" spans="1:12" x14ac:dyDescent="0.3">
      <c r="A500" t="s">
        <v>3499</v>
      </c>
      <c r="B500" t="s">
        <v>1054</v>
      </c>
      <c r="C500" t="s">
        <v>3500</v>
      </c>
      <c r="D500" t="s">
        <v>3501</v>
      </c>
      <c r="E500" t="s">
        <v>3344</v>
      </c>
      <c r="F500" t="s">
        <v>3345</v>
      </c>
      <c r="G500" t="s">
        <v>635</v>
      </c>
      <c r="H500" s="6">
        <v>6489</v>
      </c>
      <c r="I500" t="s">
        <v>3026</v>
      </c>
      <c r="L500" s="8" t="s">
        <v>3502</v>
      </c>
    </row>
    <row r="501" spans="1:12" x14ac:dyDescent="0.3">
      <c r="A501" t="s">
        <v>3503</v>
      </c>
      <c r="B501" t="s">
        <v>1054</v>
      </c>
      <c r="C501" t="s">
        <v>3504</v>
      </c>
      <c r="D501" t="s">
        <v>3505</v>
      </c>
      <c r="E501" t="s">
        <v>3344</v>
      </c>
      <c r="F501" t="s">
        <v>3345</v>
      </c>
      <c r="G501" t="s">
        <v>635</v>
      </c>
      <c r="H501" s="6">
        <v>7435</v>
      </c>
      <c r="I501" t="s">
        <v>3026</v>
      </c>
      <c r="L501" s="8" t="s">
        <v>3506</v>
      </c>
    </row>
    <row r="502" spans="1:12" x14ac:dyDescent="0.3">
      <c r="A502" t="s">
        <v>3507</v>
      </c>
      <c r="B502" t="s">
        <v>1054</v>
      </c>
      <c r="C502" t="s">
        <v>3508</v>
      </c>
      <c r="D502" t="s">
        <v>3509</v>
      </c>
      <c r="E502" t="s">
        <v>3344</v>
      </c>
      <c r="F502" t="s">
        <v>3345</v>
      </c>
      <c r="G502" t="s">
        <v>635</v>
      </c>
      <c r="H502" s="6">
        <v>8381</v>
      </c>
      <c r="I502" t="s">
        <v>3026</v>
      </c>
      <c r="L502" s="8" t="s">
        <v>3510</v>
      </c>
    </row>
    <row r="503" spans="1:12" x14ac:dyDescent="0.3">
      <c r="A503" t="s">
        <v>3511</v>
      </c>
      <c r="B503" t="s">
        <v>1054</v>
      </c>
      <c r="C503" t="s">
        <v>3512</v>
      </c>
      <c r="D503" t="s">
        <v>3513</v>
      </c>
      <c r="E503" t="s">
        <v>3344</v>
      </c>
      <c r="F503" t="s">
        <v>3345</v>
      </c>
      <c r="G503" t="s">
        <v>635</v>
      </c>
      <c r="H503" s="6">
        <v>9327</v>
      </c>
      <c r="I503" t="s">
        <v>3026</v>
      </c>
      <c r="L503" s="8" t="s">
        <v>3514</v>
      </c>
    </row>
    <row r="504" spans="1:12" x14ac:dyDescent="0.3">
      <c r="A504" t="s">
        <v>3515</v>
      </c>
      <c r="B504" t="s">
        <v>1054</v>
      </c>
      <c r="C504" t="s">
        <v>3516</v>
      </c>
      <c r="D504" t="s">
        <v>3517</v>
      </c>
      <c r="E504" t="s">
        <v>3344</v>
      </c>
      <c r="F504" t="s">
        <v>3345</v>
      </c>
      <c r="G504" t="s">
        <v>635</v>
      </c>
      <c r="H504" s="6">
        <v>10273</v>
      </c>
      <c r="I504" t="s">
        <v>3026</v>
      </c>
      <c r="L504" s="8" t="s">
        <v>3518</v>
      </c>
    </row>
    <row r="505" spans="1:12" x14ac:dyDescent="0.3">
      <c r="A505" t="s">
        <v>3519</v>
      </c>
      <c r="B505" t="s">
        <v>1054</v>
      </c>
      <c r="C505" t="s">
        <v>3520</v>
      </c>
      <c r="D505" t="s">
        <v>3521</v>
      </c>
      <c r="E505" t="s">
        <v>3344</v>
      </c>
      <c r="F505" t="s">
        <v>3345</v>
      </c>
      <c r="G505" t="s">
        <v>635</v>
      </c>
      <c r="H505" s="6">
        <v>11219</v>
      </c>
      <c r="I505" t="s">
        <v>3026</v>
      </c>
      <c r="L505" s="8" t="s">
        <v>3522</v>
      </c>
    </row>
    <row r="506" spans="1:12" x14ac:dyDescent="0.3">
      <c r="A506" t="s">
        <v>3523</v>
      </c>
      <c r="B506" t="s">
        <v>1054</v>
      </c>
      <c r="C506" t="s">
        <v>3524</v>
      </c>
      <c r="D506" t="s">
        <v>3525</v>
      </c>
      <c r="E506" t="s">
        <v>3344</v>
      </c>
      <c r="F506" t="s">
        <v>3345</v>
      </c>
      <c r="G506" t="s">
        <v>635</v>
      </c>
      <c r="H506" s="6">
        <v>12165</v>
      </c>
      <c r="I506" t="s">
        <v>3026</v>
      </c>
      <c r="L506" s="8" t="s">
        <v>3526</v>
      </c>
    </row>
    <row r="507" spans="1:12" x14ac:dyDescent="0.3">
      <c r="A507" t="s">
        <v>3527</v>
      </c>
      <c r="B507" t="s">
        <v>1054</v>
      </c>
      <c r="C507" t="s">
        <v>3528</v>
      </c>
      <c r="D507" t="s">
        <v>3529</v>
      </c>
      <c r="E507" t="s">
        <v>3344</v>
      </c>
      <c r="F507" t="s">
        <v>3345</v>
      </c>
      <c r="G507" t="s">
        <v>635</v>
      </c>
      <c r="H507" s="6">
        <v>13111</v>
      </c>
      <c r="I507" t="s">
        <v>3026</v>
      </c>
      <c r="L507" s="8" t="s">
        <v>3530</v>
      </c>
    </row>
    <row r="508" spans="1:12" x14ac:dyDescent="0.3">
      <c r="A508" t="s">
        <v>3531</v>
      </c>
      <c r="B508" t="s">
        <v>1054</v>
      </c>
      <c r="C508" t="s">
        <v>3532</v>
      </c>
      <c r="D508" t="s">
        <v>3533</v>
      </c>
      <c r="E508" t="s">
        <v>3344</v>
      </c>
      <c r="F508" t="s">
        <v>3345</v>
      </c>
      <c r="G508" t="s">
        <v>635</v>
      </c>
      <c r="H508" s="6">
        <v>14057</v>
      </c>
      <c r="I508" t="s">
        <v>3026</v>
      </c>
      <c r="L508" s="8" t="s">
        <v>3534</v>
      </c>
    </row>
    <row r="509" spans="1:12" x14ac:dyDescent="0.3">
      <c r="A509" t="s">
        <v>3535</v>
      </c>
      <c r="B509" t="s">
        <v>1054</v>
      </c>
      <c r="C509" t="s">
        <v>3536</v>
      </c>
      <c r="D509" t="s">
        <v>3537</v>
      </c>
      <c r="E509" t="s">
        <v>3344</v>
      </c>
      <c r="F509" t="s">
        <v>3345</v>
      </c>
      <c r="G509" t="s">
        <v>635</v>
      </c>
      <c r="H509" s="6">
        <v>15003</v>
      </c>
      <c r="I509" t="s">
        <v>3026</v>
      </c>
      <c r="L509" s="8" t="s">
        <v>3538</v>
      </c>
    </row>
    <row r="510" spans="1:12" x14ac:dyDescent="0.3">
      <c r="A510" t="s">
        <v>3539</v>
      </c>
      <c r="B510" t="s">
        <v>1054</v>
      </c>
      <c r="C510" t="s">
        <v>3540</v>
      </c>
      <c r="D510" t="s">
        <v>3541</v>
      </c>
      <c r="E510" t="s">
        <v>3344</v>
      </c>
      <c r="F510" t="s">
        <v>3345</v>
      </c>
      <c r="G510" t="s">
        <v>635</v>
      </c>
      <c r="H510" s="6">
        <v>5623</v>
      </c>
      <c r="I510" t="s">
        <v>3026</v>
      </c>
      <c r="L510" s="8" t="s">
        <v>3542</v>
      </c>
    </row>
    <row r="511" spans="1:12" x14ac:dyDescent="0.3">
      <c r="A511" t="s">
        <v>3543</v>
      </c>
      <c r="B511" t="s">
        <v>1054</v>
      </c>
      <c r="C511" t="s">
        <v>3544</v>
      </c>
      <c r="D511" t="s">
        <v>3545</v>
      </c>
      <c r="E511" t="s">
        <v>3344</v>
      </c>
      <c r="F511" t="s">
        <v>3345</v>
      </c>
      <c r="G511" t="s">
        <v>635</v>
      </c>
      <c r="H511" s="6">
        <v>6589</v>
      </c>
      <c r="I511" t="s">
        <v>3026</v>
      </c>
      <c r="L511" s="8" t="s">
        <v>3546</v>
      </c>
    </row>
    <row r="512" spans="1:12" x14ac:dyDescent="0.3">
      <c r="A512" t="s">
        <v>3547</v>
      </c>
      <c r="B512" t="s">
        <v>1054</v>
      </c>
      <c r="C512" t="s">
        <v>3548</v>
      </c>
      <c r="D512" t="s">
        <v>3549</v>
      </c>
      <c r="E512" t="s">
        <v>3344</v>
      </c>
      <c r="F512" t="s">
        <v>3345</v>
      </c>
      <c r="G512" t="s">
        <v>635</v>
      </c>
      <c r="H512" s="6">
        <v>7555</v>
      </c>
      <c r="I512" t="s">
        <v>3026</v>
      </c>
      <c r="L512" s="8" t="s">
        <v>3550</v>
      </c>
    </row>
    <row r="513" spans="1:12" x14ac:dyDescent="0.3">
      <c r="A513" t="s">
        <v>3551</v>
      </c>
      <c r="B513" t="s">
        <v>1054</v>
      </c>
      <c r="C513" t="s">
        <v>3552</v>
      </c>
      <c r="D513" t="s">
        <v>3553</v>
      </c>
      <c r="E513" t="s">
        <v>3344</v>
      </c>
      <c r="F513" t="s">
        <v>3345</v>
      </c>
      <c r="G513" t="s">
        <v>635</v>
      </c>
      <c r="H513" s="6">
        <v>8521</v>
      </c>
      <c r="I513" t="s">
        <v>3026</v>
      </c>
      <c r="L513" s="8" t="s">
        <v>3554</v>
      </c>
    </row>
    <row r="514" spans="1:12" x14ac:dyDescent="0.3">
      <c r="A514" t="s">
        <v>3555</v>
      </c>
      <c r="B514" t="s">
        <v>1054</v>
      </c>
      <c r="C514" t="s">
        <v>3556</v>
      </c>
      <c r="D514" t="s">
        <v>3557</v>
      </c>
      <c r="E514" t="s">
        <v>3344</v>
      </c>
      <c r="F514" t="s">
        <v>3345</v>
      </c>
      <c r="G514" t="s">
        <v>635</v>
      </c>
      <c r="H514" s="6">
        <v>9487</v>
      </c>
      <c r="I514" t="s">
        <v>3026</v>
      </c>
      <c r="L514" s="8" t="s">
        <v>3558</v>
      </c>
    </row>
    <row r="515" spans="1:12" x14ac:dyDescent="0.3">
      <c r="A515" t="s">
        <v>3559</v>
      </c>
      <c r="B515" t="s">
        <v>1054</v>
      </c>
      <c r="C515" t="s">
        <v>3560</v>
      </c>
      <c r="D515" t="s">
        <v>3561</v>
      </c>
      <c r="E515" t="s">
        <v>3344</v>
      </c>
      <c r="F515" t="s">
        <v>3345</v>
      </c>
      <c r="G515" t="s">
        <v>635</v>
      </c>
      <c r="H515" s="6">
        <v>10453</v>
      </c>
      <c r="I515" t="s">
        <v>3026</v>
      </c>
      <c r="L515" s="8" t="s">
        <v>3562</v>
      </c>
    </row>
    <row r="516" spans="1:12" x14ac:dyDescent="0.3">
      <c r="A516" t="s">
        <v>3563</v>
      </c>
      <c r="B516" t="s">
        <v>1054</v>
      </c>
      <c r="C516" t="s">
        <v>3564</v>
      </c>
      <c r="D516" t="s">
        <v>3565</v>
      </c>
      <c r="E516" t="s">
        <v>3344</v>
      </c>
      <c r="F516" t="s">
        <v>3345</v>
      </c>
      <c r="G516" t="s">
        <v>635</v>
      </c>
      <c r="H516" s="6">
        <v>11419</v>
      </c>
      <c r="I516" t="s">
        <v>3026</v>
      </c>
      <c r="L516" s="8" t="s">
        <v>3566</v>
      </c>
    </row>
    <row r="517" spans="1:12" x14ac:dyDescent="0.3">
      <c r="A517" t="s">
        <v>3567</v>
      </c>
      <c r="B517" t="s">
        <v>1054</v>
      </c>
      <c r="C517" t="s">
        <v>3568</v>
      </c>
      <c r="D517" t="s">
        <v>3569</v>
      </c>
      <c r="E517" t="s">
        <v>3344</v>
      </c>
      <c r="F517" t="s">
        <v>3345</v>
      </c>
      <c r="G517" t="s">
        <v>635</v>
      </c>
      <c r="H517" s="6">
        <v>12385</v>
      </c>
      <c r="I517" t="s">
        <v>3026</v>
      </c>
      <c r="L517" s="8" t="s">
        <v>3570</v>
      </c>
    </row>
    <row r="518" spans="1:12" x14ac:dyDescent="0.3">
      <c r="A518" t="s">
        <v>3571</v>
      </c>
      <c r="B518" t="s">
        <v>1054</v>
      </c>
      <c r="C518" t="s">
        <v>3572</v>
      </c>
      <c r="D518" t="s">
        <v>3573</v>
      </c>
      <c r="E518" t="s">
        <v>3344</v>
      </c>
      <c r="F518" t="s">
        <v>3345</v>
      </c>
      <c r="G518" t="s">
        <v>635</v>
      </c>
      <c r="H518" s="6">
        <v>13351</v>
      </c>
      <c r="I518" t="s">
        <v>3026</v>
      </c>
      <c r="L518" s="8" t="s">
        <v>3574</v>
      </c>
    </row>
    <row r="519" spans="1:12" x14ac:dyDescent="0.3">
      <c r="A519" t="s">
        <v>3575</v>
      </c>
      <c r="B519" t="s">
        <v>1054</v>
      </c>
      <c r="C519" t="s">
        <v>3576</v>
      </c>
      <c r="D519" t="s">
        <v>3577</v>
      </c>
      <c r="E519" t="s">
        <v>3344</v>
      </c>
      <c r="F519" t="s">
        <v>3345</v>
      </c>
      <c r="G519" t="s">
        <v>635</v>
      </c>
      <c r="H519" s="6">
        <v>14317</v>
      </c>
      <c r="I519" t="s">
        <v>3026</v>
      </c>
      <c r="L519" s="8" t="s">
        <v>3578</v>
      </c>
    </row>
    <row r="520" spans="1:12" x14ac:dyDescent="0.3">
      <c r="A520" t="s">
        <v>3579</v>
      </c>
      <c r="B520" t="s">
        <v>1054</v>
      </c>
      <c r="C520" t="s">
        <v>3580</v>
      </c>
      <c r="D520" t="s">
        <v>3581</v>
      </c>
      <c r="E520" t="s">
        <v>3344</v>
      </c>
      <c r="F520" t="s">
        <v>3345</v>
      </c>
      <c r="G520" t="s">
        <v>635</v>
      </c>
      <c r="H520" s="6">
        <v>15283</v>
      </c>
      <c r="I520" t="s">
        <v>3026</v>
      </c>
      <c r="L520" s="8" t="s">
        <v>3582</v>
      </c>
    </row>
    <row r="521" spans="1:12" x14ac:dyDescent="0.3">
      <c r="A521" t="s">
        <v>3583</v>
      </c>
      <c r="B521" t="s">
        <v>1054</v>
      </c>
      <c r="C521" t="s">
        <v>3584</v>
      </c>
      <c r="D521" t="s">
        <v>3585</v>
      </c>
      <c r="E521" t="s">
        <v>3344</v>
      </c>
      <c r="F521" t="s">
        <v>3345</v>
      </c>
      <c r="G521" t="s">
        <v>635</v>
      </c>
      <c r="H521" s="6">
        <v>10570</v>
      </c>
      <c r="I521" t="s">
        <v>3026</v>
      </c>
      <c r="L521" s="8" t="s">
        <v>3586</v>
      </c>
    </row>
    <row r="522" spans="1:12" x14ac:dyDescent="0.3">
      <c r="A522" t="s">
        <v>3587</v>
      </c>
      <c r="B522" t="s">
        <v>1054</v>
      </c>
      <c r="C522" t="s">
        <v>3588</v>
      </c>
      <c r="D522" t="s">
        <v>3589</v>
      </c>
      <c r="E522" t="s">
        <v>3344</v>
      </c>
      <c r="F522" t="s">
        <v>3345</v>
      </c>
      <c r="G522" t="s">
        <v>635</v>
      </c>
      <c r="H522" s="6">
        <v>10780</v>
      </c>
      <c r="I522" t="s">
        <v>3026</v>
      </c>
      <c r="L522" s="8" t="s">
        <v>3590</v>
      </c>
    </row>
    <row r="523" spans="1:12" x14ac:dyDescent="0.3">
      <c r="A523" t="s">
        <v>3591</v>
      </c>
      <c r="B523" t="s">
        <v>1054</v>
      </c>
      <c r="C523" t="s">
        <v>3592</v>
      </c>
      <c r="D523" t="s">
        <v>3593</v>
      </c>
      <c r="E523" t="s">
        <v>3344</v>
      </c>
      <c r="F523" t="s">
        <v>3345</v>
      </c>
      <c r="G523" t="s">
        <v>635</v>
      </c>
      <c r="H523" s="6">
        <v>10980</v>
      </c>
      <c r="I523" t="s">
        <v>3026</v>
      </c>
      <c r="L523" s="8" t="s">
        <v>3594</v>
      </c>
    </row>
    <row r="524" spans="1:12" x14ac:dyDescent="0.3">
      <c r="A524" t="s">
        <v>3595</v>
      </c>
      <c r="B524" t="s">
        <v>1054</v>
      </c>
      <c r="C524" t="s">
        <v>3596</v>
      </c>
      <c r="D524" t="s">
        <v>3597</v>
      </c>
      <c r="E524" t="s">
        <v>3344</v>
      </c>
      <c r="F524" t="s">
        <v>3345</v>
      </c>
      <c r="G524" t="s">
        <v>635</v>
      </c>
      <c r="H524" s="6">
        <v>6272</v>
      </c>
      <c r="I524" t="s">
        <v>3026</v>
      </c>
      <c r="L524" s="8" t="s">
        <v>3598</v>
      </c>
    </row>
    <row r="525" spans="1:12" x14ac:dyDescent="0.3">
      <c r="A525" t="s">
        <v>3599</v>
      </c>
      <c r="B525" t="s">
        <v>1054</v>
      </c>
      <c r="C525" t="s">
        <v>3600</v>
      </c>
      <c r="D525" t="s">
        <v>3601</v>
      </c>
      <c r="E525" t="s">
        <v>3344</v>
      </c>
      <c r="F525" t="s">
        <v>3345</v>
      </c>
      <c r="G525" t="s">
        <v>635</v>
      </c>
      <c r="H525" s="6">
        <v>7329</v>
      </c>
      <c r="I525" t="s">
        <v>3026</v>
      </c>
      <c r="L525" s="8" t="s">
        <v>3602</v>
      </c>
    </row>
    <row r="526" spans="1:12" x14ac:dyDescent="0.3">
      <c r="A526" t="s">
        <v>3603</v>
      </c>
      <c r="B526" t="s">
        <v>1054</v>
      </c>
      <c r="C526" t="s">
        <v>3604</v>
      </c>
      <c r="D526" t="s">
        <v>3605</v>
      </c>
      <c r="E526" t="s">
        <v>3344</v>
      </c>
      <c r="F526" t="s">
        <v>3345</v>
      </c>
      <c r="G526" t="s">
        <v>635</v>
      </c>
      <c r="H526" s="6">
        <v>8386</v>
      </c>
      <c r="I526" t="s">
        <v>3026</v>
      </c>
      <c r="L526" s="8" t="s">
        <v>3606</v>
      </c>
    </row>
    <row r="527" spans="1:12" x14ac:dyDescent="0.3">
      <c r="A527" t="s">
        <v>3607</v>
      </c>
      <c r="B527" t="s">
        <v>1054</v>
      </c>
      <c r="C527" t="s">
        <v>3608</v>
      </c>
      <c r="D527" t="s">
        <v>3609</v>
      </c>
      <c r="E527" t="s">
        <v>3344</v>
      </c>
      <c r="F527" t="s">
        <v>3345</v>
      </c>
      <c r="G527" t="s">
        <v>635</v>
      </c>
      <c r="H527" s="6">
        <v>9443</v>
      </c>
      <c r="I527" t="s">
        <v>3026</v>
      </c>
      <c r="L527" s="8" t="s">
        <v>3610</v>
      </c>
    </row>
    <row r="528" spans="1:12" x14ac:dyDescent="0.3">
      <c r="A528" t="s">
        <v>3611</v>
      </c>
      <c r="B528" t="s">
        <v>1054</v>
      </c>
      <c r="C528" t="s">
        <v>3612</v>
      </c>
      <c r="D528" t="s">
        <v>3613</v>
      </c>
      <c r="E528" t="s">
        <v>3344</v>
      </c>
      <c r="F528" t="s">
        <v>3345</v>
      </c>
      <c r="G528" t="s">
        <v>635</v>
      </c>
      <c r="H528" s="6">
        <v>10500</v>
      </c>
      <c r="I528" t="s">
        <v>3026</v>
      </c>
      <c r="L528" s="8" t="s">
        <v>3614</v>
      </c>
    </row>
    <row r="529" spans="1:12" x14ac:dyDescent="0.3">
      <c r="A529" t="s">
        <v>3615</v>
      </c>
      <c r="B529" t="s">
        <v>1054</v>
      </c>
      <c r="C529" t="s">
        <v>3616</v>
      </c>
      <c r="D529" t="s">
        <v>3617</v>
      </c>
      <c r="E529" t="s">
        <v>3344</v>
      </c>
      <c r="F529" t="s">
        <v>3345</v>
      </c>
      <c r="G529" t="s">
        <v>635</v>
      </c>
      <c r="H529" s="6">
        <v>11557</v>
      </c>
      <c r="I529" t="s">
        <v>3026</v>
      </c>
      <c r="L529" s="8" t="s">
        <v>3618</v>
      </c>
    </row>
    <row r="530" spans="1:12" x14ac:dyDescent="0.3">
      <c r="A530" t="s">
        <v>3619</v>
      </c>
      <c r="B530" t="s">
        <v>1054</v>
      </c>
      <c r="C530" t="s">
        <v>3620</v>
      </c>
      <c r="D530" t="s">
        <v>3621</v>
      </c>
      <c r="E530" t="s">
        <v>3344</v>
      </c>
      <c r="F530" t="s">
        <v>3345</v>
      </c>
      <c r="G530" t="s">
        <v>635</v>
      </c>
      <c r="H530" s="6">
        <v>12614</v>
      </c>
      <c r="I530" t="s">
        <v>3026</v>
      </c>
      <c r="L530" s="8" t="s">
        <v>3622</v>
      </c>
    </row>
    <row r="531" spans="1:12" x14ac:dyDescent="0.3">
      <c r="A531" t="s">
        <v>3623</v>
      </c>
      <c r="B531" t="s">
        <v>1054</v>
      </c>
      <c r="C531" t="s">
        <v>3624</v>
      </c>
      <c r="D531" t="s">
        <v>3625</v>
      </c>
      <c r="E531" t="s">
        <v>3344</v>
      </c>
      <c r="F531" t="s">
        <v>3345</v>
      </c>
      <c r="G531" t="s">
        <v>635</v>
      </c>
      <c r="H531" s="6">
        <v>13671</v>
      </c>
      <c r="I531" t="s">
        <v>3026</v>
      </c>
      <c r="L531" s="8" t="s">
        <v>3626</v>
      </c>
    </row>
    <row r="532" spans="1:12" x14ac:dyDescent="0.3">
      <c r="A532" t="s">
        <v>3627</v>
      </c>
      <c r="B532" t="s">
        <v>1054</v>
      </c>
      <c r="C532" t="s">
        <v>3628</v>
      </c>
      <c r="D532" t="s">
        <v>3629</v>
      </c>
      <c r="E532" t="s">
        <v>3344</v>
      </c>
      <c r="F532" t="s">
        <v>3345</v>
      </c>
      <c r="G532" t="s">
        <v>635</v>
      </c>
      <c r="H532" s="6">
        <v>14728</v>
      </c>
      <c r="I532" t="s">
        <v>3026</v>
      </c>
      <c r="L532" s="8" t="s">
        <v>3630</v>
      </c>
    </row>
    <row r="533" spans="1:12" x14ac:dyDescent="0.3">
      <c r="A533" t="s">
        <v>3631</v>
      </c>
      <c r="B533" t="s">
        <v>1054</v>
      </c>
      <c r="C533" t="s">
        <v>3632</v>
      </c>
      <c r="D533" t="s">
        <v>3633</v>
      </c>
      <c r="E533" t="s">
        <v>3344</v>
      </c>
      <c r="F533" t="s">
        <v>3345</v>
      </c>
      <c r="G533" t="s">
        <v>635</v>
      </c>
      <c r="H533" s="6">
        <v>15785</v>
      </c>
      <c r="I533" t="s">
        <v>3026</v>
      </c>
      <c r="L533" s="8" t="s">
        <v>3634</v>
      </c>
    </row>
    <row r="534" spans="1:12" x14ac:dyDescent="0.3">
      <c r="A534" t="s">
        <v>3635</v>
      </c>
      <c r="B534" t="s">
        <v>1054</v>
      </c>
      <c r="C534" t="s">
        <v>3636</v>
      </c>
      <c r="D534" t="s">
        <v>3637</v>
      </c>
      <c r="E534" t="s">
        <v>3344</v>
      </c>
      <c r="F534" t="s">
        <v>3345</v>
      </c>
      <c r="G534" t="s">
        <v>635</v>
      </c>
      <c r="H534" s="6">
        <v>16842</v>
      </c>
      <c r="I534" t="s">
        <v>3026</v>
      </c>
      <c r="L534" s="8" t="s">
        <v>3638</v>
      </c>
    </row>
    <row r="535" spans="1:12" x14ac:dyDescent="0.3">
      <c r="A535" t="s">
        <v>3639</v>
      </c>
      <c r="B535" t="s">
        <v>1054</v>
      </c>
      <c r="C535" t="s">
        <v>3640</v>
      </c>
      <c r="D535" t="s">
        <v>3641</v>
      </c>
      <c r="E535" t="s">
        <v>3344</v>
      </c>
      <c r="F535" t="s">
        <v>3345</v>
      </c>
      <c r="G535" t="s">
        <v>635</v>
      </c>
      <c r="H535" s="6">
        <v>6356</v>
      </c>
      <c r="I535" t="s">
        <v>3026</v>
      </c>
      <c r="L535" s="8" t="s">
        <v>3642</v>
      </c>
    </row>
    <row r="536" spans="1:12" x14ac:dyDescent="0.3">
      <c r="A536" t="s">
        <v>3643</v>
      </c>
      <c r="B536" t="s">
        <v>1054</v>
      </c>
      <c r="C536" t="s">
        <v>3644</v>
      </c>
      <c r="D536" t="s">
        <v>3645</v>
      </c>
      <c r="E536" t="s">
        <v>3344</v>
      </c>
      <c r="F536" t="s">
        <v>3345</v>
      </c>
      <c r="G536" t="s">
        <v>635</v>
      </c>
      <c r="H536" s="6">
        <v>7434</v>
      </c>
      <c r="I536" t="s">
        <v>3026</v>
      </c>
      <c r="L536" s="8" t="s">
        <v>3646</v>
      </c>
    </row>
    <row r="537" spans="1:12" x14ac:dyDescent="0.3">
      <c r="A537" t="s">
        <v>3647</v>
      </c>
      <c r="B537" t="s">
        <v>1054</v>
      </c>
      <c r="C537" t="s">
        <v>3648</v>
      </c>
      <c r="D537" t="s">
        <v>3649</v>
      </c>
      <c r="E537" t="s">
        <v>3344</v>
      </c>
      <c r="F537" t="s">
        <v>3345</v>
      </c>
      <c r="G537" t="s">
        <v>635</v>
      </c>
      <c r="H537" s="6">
        <v>8512</v>
      </c>
      <c r="I537" t="s">
        <v>3026</v>
      </c>
      <c r="L537" s="8" t="s">
        <v>3650</v>
      </c>
    </row>
    <row r="538" spans="1:12" x14ac:dyDescent="0.3">
      <c r="A538" t="s">
        <v>3651</v>
      </c>
      <c r="B538" t="s">
        <v>1054</v>
      </c>
      <c r="C538" t="s">
        <v>3652</v>
      </c>
      <c r="D538" t="s">
        <v>3653</v>
      </c>
      <c r="E538" t="s">
        <v>3344</v>
      </c>
      <c r="F538" t="s">
        <v>3345</v>
      </c>
      <c r="G538" t="s">
        <v>635</v>
      </c>
      <c r="H538" s="6">
        <v>9590</v>
      </c>
      <c r="I538" t="s">
        <v>3026</v>
      </c>
      <c r="L538" s="8" t="s">
        <v>3654</v>
      </c>
    </row>
    <row r="539" spans="1:12" x14ac:dyDescent="0.3">
      <c r="A539" t="s">
        <v>3655</v>
      </c>
      <c r="B539" t="s">
        <v>1054</v>
      </c>
      <c r="C539" t="s">
        <v>3656</v>
      </c>
      <c r="D539" t="s">
        <v>3657</v>
      </c>
      <c r="E539" t="s">
        <v>3344</v>
      </c>
      <c r="F539" t="s">
        <v>3345</v>
      </c>
      <c r="G539" t="s">
        <v>635</v>
      </c>
      <c r="H539" s="6">
        <v>10668</v>
      </c>
      <c r="I539" t="s">
        <v>3026</v>
      </c>
      <c r="L539" s="8" t="s">
        <v>3658</v>
      </c>
    </row>
    <row r="540" spans="1:12" x14ac:dyDescent="0.3">
      <c r="A540" t="s">
        <v>3659</v>
      </c>
      <c r="B540" t="s">
        <v>1054</v>
      </c>
      <c r="C540" t="s">
        <v>3660</v>
      </c>
      <c r="D540" t="s">
        <v>3661</v>
      </c>
      <c r="E540" t="s">
        <v>3344</v>
      </c>
      <c r="F540" t="s">
        <v>3345</v>
      </c>
      <c r="G540" t="s">
        <v>635</v>
      </c>
      <c r="H540" s="6">
        <v>11746</v>
      </c>
      <c r="I540" t="s">
        <v>3026</v>
      </c>
      <c r="L540" s="8" t="s">
        <v>3662</v>
      </c>
    </row>
    <row r="541" spans="1:12" x14ac:dyDescent="0.3">
      <c r="A541" t="s">
        <v>3663</v>
      </c>
      <c r="B541" t="s">
        <v>1054</v>
      </c>
      <c r="C541" t="s">
        <v>3664</v>
      </c>
      <c r="D541" t="s">
        <v>3665</v>
      </c>
      <c r="E541" t="s">
        <v>3344</v>
      </c>
      <c r="F541" t="s">
        <v>3345</v>
      </c>
      <c r="G541" t="s">
        <v>635</v>
      </c>
      <c r="H541" s="6">
        <v>12824</v>
      </c>
      <c r="I541" t="s">
        <v>3026</v>
      </c>
      <c r="L541" s="8" t="s">
        <v>3666</v>
      </c>
    </row>
    <row r="542" spans="1:12" x14ac:dyDescent="0.3">
      <c r="A542" t="s">
        <v>3667</v>
      </c>
      <c r="B542" t="s">
        <v>1054</v>
      </c>
      <c r="C542" t="s">
        <v>3668</v>
      </c>
      <c r="D542" t="s">
        <v>3669</v>
      </c>
      <c r="E542" t="s">
        <v>3344</v>
      </c>
      <c r="F542" t="s">
        <v>3345</v>
      </c>
      <c r="G542" t="s">
        <v>635</v>
      </c>
      <c r="H542" s="6">
        <v>13902</v>
      </c>
      <c r="I542" t="s">
        <v>3026</v>
      </c>
      <c r="L542" s="8" t="s">
        <v>3670</v>
      </c>
    </row>
    <row r="543" spans="1:12" x14ac:dyDescent="0.3">
      <c r="A543" t="s">
        <v>3671</v>
      </c>
      <c r="B543" t="s">
        <v>1054</v>
      </c>
      <c r="C543" t="s">
        <v>3672</v>
      </c>
      <c r="D543" t="s">
        <v>3673</v>
      </c>
      <c r="E543" t="s">
        <v>3344</v>
      </c>
      <c r="F543" t="s">
        <v>3345</v>
      </c>
      <c r="G543" t="s">
        <v>635</v>
      </c>
      <c r="H543" s="6">
        <v>14980</v>
      </c>
      <c r="I543" t="s">
        <v>3026</v>
      </c>
      <c r="L543" s="8" t="s">
        <v>3674</v>
      </c>
    </row>
    <row r="544" spans="1:12" x14ac:dyDescent="0.3">
      <c r="A544" t="s">
        <v>3675</v>
      </c>
      <c r="B544" t="s">
        <v>1054</v>
      </c>
      <c r="C544" t="s">
        <v>3676</v>
      </c>
      <c r="D544" t="s">
        <v>3677</v>
      </c>
      <c r="E544" t="s">
        <v>3344</v>
      </c>
      <c r="F544" t="s">
        <v>3345</v>
      </c>
      <c r="G544" t="s">
        <v>635</v>
      </c>
      <c r="H544" s="6">
        <v>16058</v>
      </c>
      <c r="I544" t="s">
        <v>3026</v>
      </c>
      <c r="L544" s="8" t="s">
        <v>3678</v>
      </c>
    </row>
    <row r="545" spans="1:12" x14ac:dyDescent="0.3">
      <c r="A545" t="s">
        <v>3679</v>
      </c>
      <c r="B545" t="s">
        <v>1054</v>
      </c>
      <c r="C545" t="s">
        <v>3680</v>
      </c>
      <c r="D545" t="s">
        <v>3681</v>
      </c>
      <c r="E545" t="s">
        <v>3344</v>
      </c>
      <c r="F545" t="s">
        <v>3345</v>
      </c>
      <c r="G545" t="s">
        <v>635</v>
      </c>
      <c r="H545" s="6">
        <v>17136</v>
      </c>
      <c r="I545" t="s">
        <v>3026</v>
      </c>
      <c r="L545" s="8" t="s">
        <v>3682</v>
      </c>
    </row>
    <row r="546" spans="1:12" x14ac:dyDescent="0.3">
      <c r="A546" t="s">
        <v>3683</v>
      </c>
      <c r="B546" t="s">
        <v>1054</v>
      </c>
      <c r="C546" t="s">
        <v>3684</v>
      </c>
      <c r="D546" t="s">
        <v>3685</v>
      </c>
      <c r="E546" t="s">
        <v>3344</v>
      </c>
      <c r="F546" t="s">
        <v>3345</v>
      </c>
      <c r="G546" t="s">
        <v>635</v>
      </c>
      <c r="H546" s="6">
        <v>6436</v>
      </c>
      <c r="I546" t="s">
        <v>3026</v>
      </c>
      <c r="L546" s="8" t="s">
        <v>3686</v>
      </c>
    </row>
    <row r="547" spans="1:12" x14ac:dyDescent="0.3">
      <c r="A547" t="s">
        <v>3687</v>
      </c>
      <c r="B547" t="s">
        <v>1054</v>
      </c>
      <c r="C547" t="s">
        <v>3688</v>
      </c>
      <c r="D547" t="s">
        <v>3689</v>
      </c>
      <c r="E547" t="s">
        <v>3344</v>
      </c>
      <c r="F547" t="s">
        <v>3345</v>
      </c>
      <c r="G547" t="s">
        <v>635</v>
      </c>
      <c r="H547" s="6">
        <v>7534</v>
      </c>
      <c r="I547" t="s">
        <v>3026</v>
      </c>
      <c r="L547" s="8" t="s">
        <v>3690</v>
      </c>
    </row>
    <row r="548" spans="1:12" x14ac:dyDescent="0.3">
      <c r="A548" t="s">
        <v>3691</v>
      </c>
      <c r="B548" t="s">
        <v>1054</v>
      </c>
      <c r="C548" t="s">
        <v>3692</v>
      </c>
      <c r="D548" t="s">
        <v>3693</v>
      </c>
      <c r="E548" t="s">
        <v>3344</v>
      </c>
      <c r="F548" t="s">
        <v>3345</v>
      </c>
      <c r="G548" t="s">
        <v>635</v>
      </c>
      <c r="H548" s="6">
        <v>8632</v>
      </c>
      <c r="I548" t="s">
        <v>3026</v>
      </c>
      <c r="L548" s="8" t="s">
        <v>3694</v>
      </c>
    </row>
    <row r="549" spans="1:12" x14ac:dyDescent="0.3">
      <c r="A549" t="s">
        <v>3695</v>
      </c>
      <c r="B549" t="s">
        <v>1054</v>
      </c>
      <c r="C549" t="s">
        <v>3696</v>
      </c>
      <c r="D549" t="s">
        <v>3697</v>
      </c>
      <c r="E549" t="s">
        <v>3344</v>
      </c>
      <c r="F549" t="s">
        <v>3345</v>
      </c>
      <c r="G549" t="s">
        <v>635</v>
      </c>
      <c r="H549" s="6">
        <v>9730</v>
      </c>
      <c r="I549" t="s">
        <v>3026</v>
      </c>
      <c r="L549" s="8" t="s">
        <v>3698</v>
      </c>
    </row>
    <row r="550" spans="1:12" x14ac:dyDescent="0.3">
      <c r="A550" t="s">
        <v>3699</v>
      </c>
      <c r="B550" t="s">
        <v>1054</v>
      </c>
      <c r="C550" t="s">
        <v>3700</v>
      </c>
      <c r="D550" t="s">
        <v>3701</v>
      </c>
      <c r="E550" t="s">
        <v>3344</v>
      </c>
      <c r="F550" t="s">
        <v>3345</v>
      </c>
      <c r="G550" t="s">
        <v>635</v>
      </c>
      <c r="H550" s="6">
        <v>10828</v>
      </c>
      <c r="I550" t="s">
        <v>3026</v>
      </c>
      <c r="L550" s="8" t="s">
        <v>3702</v>
      </c>
    </row>
    <row r="551" spans="1:12" x14ac:dyDescent="0.3">
      <c r="A551" t="s">
        <v>3703</v>
      </c>
      <c r="B551" t="s">
        <v>1054</v>
      </c>
      <c r="C551" t="s">
        <v>3704</v>
      </c>
      <c r="D551" t="s">
        <v>3705</v>
      </c>
      <c r="E551" t="s">
        <v>3344</v>
      </c>
      <c r="F551" t="s">
        <v>3345</v>
      </c>
      <c r="G551" t="s">
        <v>635</v>
      </c>
      <c r="H551" s="6">
        <v>11926</v>
      </c>
      <c r="I551" t="s">
        <v>3026</v>
      </c>
      <c r="L551" s="8" t="s">
        <v>3706</v>
      </c>
    </row>
    <row r="552" spans="1:12" x14ac:dyDescent="0.3">
      <c r="A552" t="s">
        <v>3707</v>
      </c>
      <c r="B552" t="s">
        <v>1054</v>
      </c>
      <c r="C552" t="s">
        <v>3708</v>
      </c>
      <c r="D552" t="s">
        <v>3709</v>
      </c>
      <c r="E552" t="s">
        <v>3344</v>
      </c>
      <c r="F552" t="s">
        <v>3345</v>
      </c>
      <c r="G552" t="s">
        <v>635</v>
      </c>
      <c r="H552" s="6">
        <v>13024</v>
      </c>
      <c r="I552" t="s">
        <v>3026</v>
      </c>
      <c r="L552" s="8" t="s">
        <v>3710</v>
      </c>
    </row>
    <row r="553" spans="1:12" x14ac:dyDescent="0.3">
      <c r="A553" t="s">
        <v>3711</v>
      </c>
      <c r="B553" t="s">
        <v>1054</v>
      </c>
      <c r="C553" t="s">
        <v>3712</v>
      </c>
      <c r="D553" t="s">
        <v>3713</v>
      </c>
      <c r="E553" t="s">
        <v>3344</v>
      </c>
      <c r="F553" t="s">
        <v>3345</v>
      </c>
      <c r="G553" t="s">
        <v>635</v>
      </c>
      <c r="H553" s="6">
        <v>14122</v>
      </c>
      <c r="I553" t="s">
        <v>3026</v>
      </c>
      <c r="L553" s="8" t="s">
        <v>3714</v>
      </c>
    </row>
    <row r="554" spans="1:12" x14ac:dyDescent="0.3">
      <c r="A554" t="s">
        <v>3715</v>
      </c>
      <c r="B554" t="s">
        <v>1054</v>
      </c>
      <c r="C554" t="s">
        <v>3716</v>
      </c>
      <c r="D554" t="s">
        <v>3717</v>
      </c>
      <c r="E554" t="s">
        <v>3344</v>
      </c>
      <c r="F554" t="s">
        <v>3345</v>
      </c>
      <c r="G554" t="s">
        <v>635</v>
      </c>
      <c r="H554" s="6">
        <v>15220</v>
      </c>
      <c r="I554" t="s">
        <v>3026</v>
      </c>
      <c r="L554" s="8" t="s">
        <v>3718</v>
      </c>
    </row>
    <row r="555" spans="1:12" x14ac:dyDescent="0.3">
      <c r="A555" t="s">
        <v>3719</v>
      </c>
      <c r="B555" t="s">
        <v>1054</v>
      </c>
      <c r="C555" t="s">
        <v>3720</v>
      </c>
      <c r="D555" t="s">
        <v>3721</v>
      </c>
      <c r="E555" t="s">
        <v>3344</v>
      </c>
      <c r="F555" t="s">
        <v>3345</v>
      </c>
      <c r="G555" t="s">
        <v>635</v>
      </c>
      <c r="H555" s="6">
        <v>16318</v>
      </c>
      <c r="I555" t="s">
        <v>3026</v>
      </c>
      <c r="L555" s="8" t="s">
        <v>3722</v>
      </c>
    </row>
    <row r="556" spans="1:12" x14ac:dyDescent="0.3">
      <c r="A556" t="s">
        <v>3723</v>
      </c>
      <c r="B556" t="s">
        <v>1054</v>
      </c>
      <c r="C556" t="s">
        <v>3724</v>
      </c>
      <c r="D556" t="s">
        <v>3725</v>
      </c>
      <c r="E556" t="s">
        <v>3344</v>
      </c>
      <c r="F556" t="s">
        <v>3345</v>
      </c>
      <c r="G556" t="s">
        <v>635</v>
      </c>
      <c r="H556" s="6">
        <v>17416</v>
      </c>
      <c r="I556" t="s">
        <v>3026</v>
      </c>
      <c r="L556" s="8" t="s">
        <v>3726</v>
      </c>
    </row>
    <row r="557" spans="1:12" x14ac:dyDescent="0.3">
      <c r="A557" t="s">
        <v>3727</v>
      </c>
      <c r="B557" t="s">
        <v>1054</v>
      </c>
      <c r="C557" t="s">
        <v>3728</v>
      </c>
      <c r="D557" t="s">
        <v>3729</v>
      </c>
      <c r="E557" t="s">
        <v>3344</v>
      </c>
      <c r="F557" t="s">
        <v>3345</v>
      </c>
      <c r="G557" t="s">
        <v>635</v>
      </c>
      <c r="H557" s="6">
        <v>13420</v>
      </c>
      <c r="I557" t="s">
        <v>3026</v>
      </c>
      <c r="L557" s="8" t="s">
        <v>3730</v>
      </c>
    </row>
    <row r="558" spans="1:12" x14ac:dyDescent="0.3">
      <c r="A558" t="s">
        <v>3731</v>
      </c>
      <c r="B558" t="s">
        <v>1054</v>
      </c>
      <c r="C558" t="s">
        <v>3732</v>
      </c>
      <c r="D558" t="s">
        <v>3733</v>
      </c>
      <c r="E558" t="s">
        <v>3344</v>
      </c>
      <c r="F558" t="s">
        <v>3345</v>
      </c>
      <c r="G558" t="s">
        <v>635</v>
      </c>
      <c r="H558" s="6">
        <v>13620</v>
      </c>
      <c r="I558" t="s">
        <v>3026</v>
      </c>
      <c r="L558" s="8" t="s">
        <v>3734</v>
      </c>
    </row>
    <row r="559" spans="1:12" x14ac:dyDescent="0.3">
      <c r="A559" t="s">
        <v>3735</v>
      </c>
      <c r="B559" t="s">
        <v>1054</v>
      </c>
      <c r="C559" t="s">
        <v>3736</v>
      </c>
      <c r="D559" t="s">
        <v>3737</v>
      </c>
      <c r="E559" t="s">
        <v>3344</v>
      </c>
      <c r="F559" t="s">
        <v>3345</v>
      </c>
      <c r="G559" t="s">
        <v>635</v>
      </c>
      <c r="H559" s="6">
        <v>22370</v>
      </c>
      <c r="I559" t="s">
        <v>3026</v>
      </c>
      <c r="L559" s="8" t="s">
        <v>3738</v>
      </c>
    </row>
    <row r="560" spans="1:12" x14ac:dyDescent="0.3">
      <c r="A560" t="s">
        <v>3739</v>
      </c>
      <c r="B560" t="s">
        <v>1054</v>
      </c>
      <c r="C560" t="s">
        <v>3740</v>
      </c>
      <c r="D560" t="s">
        <v>3741</v>
      </c>
      <c r="E560" t="s">
        <v>3344</v>
      </c>
      <c r="F560" t="s">
        <v>3345</v>
      </c>
      <c r="G560" t="s">
        <v>635</v>
      </c>
      <c r="H560" s="6">
        <v>7412</v>
      </c>
      <c r="I560" t="s">
        <v>3026</v>
      </c>
      <c r="L560" s="8" t="s">
        <v>3742</v>
      </c>
    </row>
    <row r="561" spans="1:12" x14ac:dyDescent="0.3">
      <c r="A561" t="s">
        <v>3743</v>
      </c>
      <c r="B561" t="s">
        <v>1054</v>
      </c>
      <c r="C561" t="s">
        <v>3744</v>
      </c>
      <c r="D561" t="s">
        <v>3745</v>
      </c>
      <c r="E561" t="s">
        <v>3344</v>
      </c>
      <c r="F561" t="s">
        <v>3345</v>
      </c>
      <c r="G561" t="s">
        <v>635</v>
      </c>
      <c r="H561" s="6">
        <v>8754</v>
      </c>
      <c r="I561" t="s">
        <v>3026</v>
      </c>
      <c r="L561" s="8" t="s">
        <v>3746</v>
      </c>
    </row>
    <row r="562" spans="1:12" x14ac:dyDescent="0.3">
      <c r="A562" t="s">
        <v>3747</v>
      </c>
      <c r="B562" t="s">
        <v>1054</v>
      </c>
      <c r="C562" t="s">
        <v>3748</v>
      </c>
      <c r="D562" t="s">
        <v>3749</v>
      </c>
      <c r="E562" t="s">
        <v>3344</v>
      </c>
      <c r="F562" t="s">
        <v>3345</v>
      </c>
      <c r="G562" t="s">
        <v>635</v>
      </c>
      <c r="H562" s="6">
        <v>10096</v>
      </c>
      <c r="I562" t="s">
        <v>3026</v>
      </c>
      <c r="L562" s="8" t="s">
        <v>3750</v>
      </c>
    </row>
    <row r="563" spans="1:12" x14ac:dyDescent="0.3">
      <c r="A563" t="s">
        <v>3751</v>
      </c>
      <c r="B563" t="s">
        <v>1054</v>
      </c>
      <c r="C563" t="s">
        <v>3752</v>
      </c>
      <c r="D563" t="s">
        <v>3753</v>
      </c>
      <c r="E563" t="s">
        <v>3344</v>
      </c>
      <c r="F563" t="s">
        <v>3345</v>
      </c>
      <c r="G563" t="s">
        <v>635</v>
      </c>
      <c r="H563" s="6">
        <v>11438</v>
      </c>
      <c r="I563" t="s">
        <v>3026</v>
      </c>
      <c r="L563" s="8" t="s">
        <v>3754</v>
      </c>
    </row>
    <row r="564" spans="1:12" x14ac:dyDescent="0.3">
      <c r="A564" t="s">
        <v>3755</v>
      </c>
      <c r="B564" t="s">
        <v>1054</v>
      </c>
      <c r="C564" t="s">
        <v>3756</v>
      </c>
      <c r="D564" t="s">
        <v>3757</v>
      </c>
      <c r="E564" t="s">
        <v>3344</v>
      </c>
      <c r="F564" t="s">
        <v>3345</v>
      </c>
      <c r="G564" t="s">
        <v>635</v>
      </c>
      <c r="H564" s="6">
        <v>12780</v>
      </c>
      <c r="I564" t="s">
        <v>3026</v>
      </c>
      <c r="L564" s="8" t="s">
        <v>3758</v>
      </c>
    </row>
    <row r="565" spans="1:12" x14ac:dyDescent="0.3">
      <c r="A565" t="s">
        <v>3759</v>
      </c>
      <c r="B565" t="s">
        <v>1054</v>
      </c>
      <c r="C565" t="s">
        <v>3760</v>
      </c>
      <c r="D565" t="s">
        <v>3761</v>
      </c>
      <c r="E565" t="s">
        <v>3344</v>
      </c>
      <c r="F565" t="s">
        <v>3345</v>
      </c>
      <c r="G565" t="s">
        <v>635</v>
      </c>
      <c r="H565" s="6">
        <v>14122</v>
      </c>
      <c r="I565" t="s">
        <v>3026</v>
      </c>
      <c r="L565" s="8" t="s">
        <v>3762</v>
      </c>
    </row>
    <row r="566" spans="1:12" x14ac:dyDescent="0.3">
      <c r="A566" t="s">
        <v>3763</v>
      </c>
      <c r="B566" t="s">
        <v>1054</v>
      </c>
      <c r="C566" t="s">
        <v>3764</v>
      </c>
      <c r="D566" t="s">
        <v>3765</v>
      </c>
      <c r="E566" t="s">
        <v>3344</v>
      </c>
      <c r="F566" t="s">
        <v>3345</v>
      </c>
      <c r="G566" t="s">
        <v>635</v>
      </c>
      <c r="H566" s="6">
        <v>15464</v>
      </c>
      <c r="I566" t="s">
        <v>3026</v>
      </c>
      <c r="L566" s="8" t="s">
        <v>3766</v>
      </c>
    </row>
    <row r="567" spans="1:12" x14ac:dyDescent="0.3">
      <c r="A567" t="s">
        <v>3767</v>
      </c>
      <c r="B567" t="s">
        <v>1054</v>
      </c>
      <c r="C567" t="s">
        <v>3768</v>
      </c>
      <c r="D567" t="s">
        <v>3769</v>
      </c>
      <c r="E567" t="s">
        <v>3344</v>
      </c>
      <c r="F567" t="s">
        <v>3345</v>
      </c>
      <c r="G567" t="s">
        <v>635</v>
      </c>
      <c r="H567" s="6">
        <v>16806</v>
      </c>
      <c r="I567" t="s">
        <v>3026</v>
      </c>
      <c r="L567" s="8" t="s">
        <v>3770</v>
      </c>
    </row>
    <row r="568" spans="1:12" x14ac:dyDescent="0.3">
      <c r="A568" t="s">
        <v>3771</v>
      </c>
      <c r="B568" t="s">
        <v>1054</v>
      </c>
      <c r="C568" t="s">
        <v>3772</v>
      </c>
      <c r="D568" t="s">
        <v>3773</v>
      </c>
      <c r="E568" t="s">
        <v>3344</v>
      </c>
      <c r="F568" t="s">
        <v>3345</v>
      </c>
      <c r="G568" t="s">
        <v>635</v>
      </c>
      <c r="H568" s="6">
        <v>18148</v>
      </c>
      <c r="I568" t="s">
        <v>3026</v>
      </c>
      <c r="L568" s="8" t="s">
        <v>3774</v>
      </c>
    </row>
    <row r="569" spans="1:12" x14ac:dyDescent="0.3">
      <c r="A569" t="s">
        <v>3775</v>
      </c>
      <c r="B569" t="s">
        <v>1054</v>
      </c>
      <c r="C569" t="s">
        <v>3776</v>
      </c>
      <c r="D569" t="s">
        <v>3777</v>
      </c>
      <c r="E569" t="s">
        <v>3344</v>
      </c>
      <c r="F569" t="s">
        <v>3345</v>
      </c>
      <c r="G569" t="s">
        <v>635</v>
      </c>
      <c r="H569" s="6">
        <v>19490</v>
      </c>
      <c r="I569" t="s">
        <v>3026</v>
      </c>
      <c r="L569" s="8" t="s">
        <v>3778</v>
      </c>
    </row>
    <row r="570" spans="1:12" x14ac:dyDescent="0.3">
      <c r="A570" t="s">
        <v>3779</v>
      </c>
      <c r="B570" t="s">
        <v>1054</v>
      </c>
      <c r="C570" t="s">
        <v>3780</v>
      </c>
      <c r="D570" t="s">
        <v>3781</v>
      </c>
      <c r="E570" t="s">
        <v>3344</v>
      </c>
      <c r="F570" t="s">
        <v>3345</v>
      </c>
      <c r="G570" t="s">
        <v>635</v>
      </c>
      <c r="H570" s="6">
        <v>20832</v>
      </c>
      <c r="I570" t="s">
        <v>3026</v>
      </c>
      <c r="L570" s="8" t="s">
        <v>3782</v>
      </c>
    </row>
    <row r="571" spans="1:12" x14ac:dyDescent="0.3">
      <c r="A571" t="s">
        <v>3783</v>
      </c>
      <c r="B571" t="s">
        <v>1054</v>
      </c>
      <c r="C571" t="s">
        <v>3784</v>
      </c>
      <c r="D571" t="s">
        <v>3785</v>
      </c>
      <c r="E571" t="s">
        <v>3344</v>
      </c>
      <c r="F571" t="s">
        <v>3345</v>
      </c>
      <c r="G571" t="s">
        <v>635</v>
      </c>
      <c r="H571" s="6">
        <v>7492</v>
      </c>
      <c r="I571" t="s">
        <v>3026</v>
      </c>
      <c r="L571" s="8" t="s">
        <v>3786</v>
      </c>
    </row>
    <row r="572" spans="1:12" x14ac:dyDescent="0.3">
      <c r="A572" t="s">
        <v>3787</v>
      </c>
      <c r="B572" t="s">
        <v>1054</v>
      </c>
      <c r="C572" t="s">
        <v>3788</v>
      </c>
      <c r="D572" t="s">
        <v>3789</v>
      </c>
      <c r="E572" t="s">
        <v>3344</v>
      </c>
      <c r="F572" t="s">
        <v>3345</v>
      </c>
      <c r="G572" t="s">
        <v>635</v>
      </c>
      <c r="H572" s="6">
        <v>8854</v>
      </c>
      <c r="I572" t="s">
        <v>3026</v>
      </c>
      <c r="L572" s="8" t="s">
        <v>3790</v>
      </c>
    </row>
    <row r="573" spans="1:12" x14ac:dyDescent="0.3">
      <c r="A573" t="s">
        <v>3791</v>
      </c>
      <c r="B573" t="s">
        <v>1054</v>
      </c>
      <c r="C573" t="s">
        <v>3792</v>
      </c>
      <c r="D573" t="s">
        <v>3793</v>
      </c>
      <c r="E573" t="s">
        <v>3344</v>
      </c>
      <c r="F573" t="s">
        <v>3345</v>
      </c>
      <c r="G573" t="s">
        <v>635</v>
      </c>
      <c r="H573" s="6">
        <v>10216</v>
      </c>
      <c r="I573" t="s">
        <v>3026</v>
      </c>
      <c r="L573" s="8" t="s">
        <v>3794</v>
      </c>
    </row>
    <row r="574" spans="1:12" x14ac:dyDescent="0.3">
      <c r="A574" t="s">
        <v>3795</v>
      </c>
      <c r="B574" t="s">
        <v>1054</v>
      </c>
      <c r="C574" t="s">
        <v>3796</v>
      </c>
      <c r="D574" t="s">
        <v>3797</v>
      </c>
      <c r="E574" t="s">
        <v>3344</v>
      </c>
      <c r="F574" t="s">
        <v>3345</v>
      </c>
      <c r="G574" t="s">
        <v>635</v>
      </c>
      <c r="H574" s="6">
        <v>11578</v>
      </c>
      <c r="I574" t="s">
        <v>3026</v>
      </c>
      <c r="L574" s="8" t="s">
        <v>3798</v>
      </c>
    </row>
    <row r="575" spans="1:12" x14ac:dyDescent="0.3">
      <c r="A575" t="s">
        <v>3799</v>
      </c>
      <c r="B575" t="s">
        <v>1054</v>
      </c>
      <c r="C575" t="s">
        <v>3800</v>
      </c>
      <c r="D575" t="s">
        <v>3801</v>
      </c>
      <c r="E575" t="s">
        <v>3344</v>
      </c>
      <c r="F575" t="s">
        <v>3345</v>
      </c>
      <c r="G575" t="s">
        <v>635</v>
      </c>
      <c r="H575" s="6">
        <v>12940</v>
      </c>
      <c r="I575" t="s">
        <v>3026</v>
      </c>
      <c r="L575" s="8" t="s">
        <v>3802</v>
      </c>
    </row>
    <row r="576" spans="1:12" x14ac:dyDescent="0.3">
      <c r="A576" t="s">
        <v>3803</v>
      </c>
      <c r="B576" t="s">
        <v>1054</v>
      </c>
      <c r="C576" t="s">
        <v>3804</v>
      </c>
      <c r="D576" t="s">
        <v>3805</v>
      </c>
      <c r="E576" t="s">
        <v>3344</v>
      </c>
      <c r="F576" t="s">
        <v>3345</v>
      </c>
      <c r="G576" t="s">
        <v>635</v>
      </c>
      <c r="H576" s="6">
        <v>14302</v>
      </c>
      <c r="I576" t="s">
        <v>3026</v>
      </c>
      <c r="L576" s="8" t="s">
        <v>3806</v>
      </c>
    </row>
    <row r="577" spans="1:12" x14ac:dyDescent="0.3">
      <c r="A577" t="s">
        <v>3807</v>
      </c>
      <c r="B577" t="s">
        <v>1054</v>
      </c>
      <c r="C577" t="s">
        <v>3808</v>
      </c>
      <c r="D577" t="s">
        <v>3809</v>
      </c>
      <c r="E577" t="s">
        <v>3344</v>
      </c>
      <c r="F577" t="s">
        <v>3345</v>
      </c>
      <c r="G577" t="s">
        <v>635</v>
      </c>
      <c r="H577" s="6">
        <v>15664</v>
      </c>
      <c r="I577" t="s">
        <v>3026</v>
      </c>
      <c r="L577" s="8" t="s">
        <v>3810</v>
      </c>
    </row>
    <row r="578" spans="1:12" x14ac:dyDescent="0.3">
      <c r="A578" t="s">
        <v>3811</v>
      </c>
      <c r="B578" t="s">
        <v>1054</v>
      </c>
      <c r="C578" t="s">
        <v>3812</v>
      </c>
      <c r="D578" t="s">
        <v>3813</v>
      </c>
      <c r="E578" t="s">
        <v>3344</v>
      </c>
      <c r="F578" t="s">
        <v>3345</v>
      </c>
      <c r="G578" t="s">
        <v>635</v>
      </c>
      <c r="H578" s="6">
        <v>17026</v>
      </c>
      <c r="I578" t="s">
        <v>3026</v>
      </c>
      <c r="L578" s="8" t="s">
        <v>3814</v>
      </c>
    </row>
    <row r="579" spans="1:12" x14ac:dyDescent="0.3">
      <c r="A579" t="s">
        <v>3815</v>
      </c>
      <c r="B579" t="s">
        <v>1054</v>
      </c>
      <c r="C579" t="s">
        <v>3816</v>
      </c>
      <c r="D579" t="s">
        <v>3817</v>
      </c>
      <c r="E579" t="s">
        <v>3344</v>
      </c>
      <c r="F579" t="s">
        <v>3345</v>
      </c>
      <c r="G579" t="s">
        <v>635</v>
      </c>
      <c r="H579" s="6">
        <v>18388</v>
      </c>
      <c r="I579" t="s">
        <v>3026</v>
      </c>
      <c r="L579" s="8" t="s">
        <v>3818</v>
      </c>
    </row>
    <row r="580" spans="1:12" x14ac:dyDescent="0.3">
      <c r="A580" t="s">
        <v>3819</v>
      </c>
      <c r="B580" t="s">
        <v>1054</v>
      </c>
      <c r="C580" t="s">
        <v>3820</v>
      </c>
      <c r="D580" t="s">
        <v>3821</v>
      </c>
      <c r="E580" t="s">
        <v>3344</v>
      </c>
      <c r="F580" t="s">
        <v>3345</v>
      </c>
      <c r="G580" t="s">
        <v>635</v>
      </c>
      <c r="H580" s="6">
        <v>19750</v>
      </c>
      <c r="I580" t="s">
        <v>3026</v>
      </c>
      <c r="L580" s="8" t="s">
        <v>3822</v>
      </c>
    </row>
    <row r="581" spans="1:12" x14ac:dyDescent="0.3">
      <c r="A581" t="s">
        <v>3823</v>
      </c>
      <c r="B581" t="s">
        <v>1054</v>
      </c>
      <c r="C581" t="s">
        <v>3824</v>
      </c>
      <c r="D581" t="s">
        <v>3825</v>
      </c>
      <c r="E581" t="s">
        <v>3344</v>
      </c>
      <c r="F581" t="s">
        <v>3345</v>
      </c>
      <c r="G581" t="s">
        <v>635</v>
      </c>
      <c r="H581" s="6">
        <v>21112</v>
      </c>
      <c r="I581" t="s">
        <v>3026</v>
      </c>
      <c r="L581" s="8" t="s">
        <v>3826</v>
      </c>
    </row>
    <row r="582" spans="1:12" x14ac:dyDescent="0.3">
      <c r="A582" t="s">
        <v>3827</v>
      </c>
      <c r="B582" t="s">
        <v>1054</v>
      </c>
      <c r="C582" t="s">
        <v>3828</v>
      </c>
      <c r="D582" t="s">
        <v>3829</v>
      </c>
      <c r="E582" t="s">
        <v>3344</v>
      </c>
      <c r="F582" t="s">
        <v>3345</v>
      </c>
      <c r="G582" t="s">
        <v>635</v>
      </c>
      <c r="H582" s="6">
        <v>10992</v>
      </c>
      <c r="I582" t="s">
        <v>3026</v>
      </c>
      <c r="L582" s="8" t="s">
        <v>3830</v>
      </c>
    </row>
    <row r="583" spans="1:12" x14ac:dyDescent="0.3">
      <c r="A583" t="s">
        <v>3831</v>
      </c>
      <c r="B583" t="s">
        <v>1054</v>
      </c>
      <c r="C583" t="s">
        <v>3832</v>
      </c>
      <c r="D583" t="s">
        <v>3833</v>
      </c>
      <c r="E583" t="s">
        <v>3344</v>
      </c>
      <c r="F583" t="s">
        <v>3345</v>
      </c>
      <c r="G583" t="s">
        <v>635</v>
      </c>
      <c r="H583" s="6">
        <v>13229</v>
      </c>
      <c r="I583" t="s">
        <v>3026</v>
      </c>
      <c r="L583" s="8" t="s">
        <v>3834</v>
      </c>
    </row>
    <row r="584" spans="1:12" x14ac:dyDescent="0.3">
      <c r="A584" t="s">
        <v>3835</v>
      </c>
      <c r="B584" t="s">
        <v>1054</v>
      </c>
      <c r="C584" t="s">
        <v>3836</v>
      </c>
      <c r="D584" t="s">
        <v>3837</v>
      </c>
      <c r="E584" t="s">
        <v>3344</v>
      </c>
      <c r="F584" t="s">
        <v>3345</v>
      </c>
      <c r="G584" t="s">
        <v>635</v>
      </c>
      <c r="H584" s="6">
        <v>15466</v>
      </c>
      <c r="I584" t="s">
        <v>3026</v>
      </c>
      <c r="L584" s="8" t="s">
        <v>3838</v>
      </c>
    </row>
    <row r="585" spans="1:12" x14ac:dyDescent="0.3">
      <c r="A585" t="s">
        <v>3839</v>
      </c>
      <c r="B585" t="s">
        <v>1054</v>
      </c>
      <c r="C585" t="s">
        <v>3840</v>
      </c>
      <c r="D585" t="s">
        <v>3841</v>
      </c>
      <c r="E585" t="s">
        <v>3344</v>
      </c>
      <c r="F585" t="s">
        <v>3345</v>
      </c>
      <c r="G585" t="s">
        <v>635</v>
      </c>
      <c r="H585" s="6">
        <v>17703</v>
      </c>
      <c r="I585" t="s">
        <v>3026</v>
      </c>
      <c r="L585" s="8" t="s">
        <v>3842</v>
      </c>
    </row>
    <row r="586" spans="1:12" x14ac:dyDescent="0.3">
      <c r="A586" t="s">
        <v>3843</v>
      </c>
      <c r="B586" t="s">
        <v>1054</v>
      </c>
      <c r="C586" t="s">
        <v>3844</v>
      </c>
      <c r="D586" t="s">
        <v>3845</v>
      </c>
      <c r="E586" t="s">
        <v>3344</v>
      </c>
      <c r="F586" t="s">
        <v>3345</v>
      </c>
      <c r="G586" t="s">
        <v>635</v>
      </c>
      <c r="H586" s="6">
        <v>19940</v>
      </c>
      <c r="I586" t="s">
        <v>3026</v>
      </c>
      <c r="L586" s="8" t="s">
        <v>3846</v>
      </c>
    </row>
    <row r="587" spans="1:12" x14ac:dyDescent="0.3">
      <c r="A587" t="s">
        <v>3847</v>
      </c>
      <c r="B587" t="s">
        <v>1054</v>
      </c>
      <c r="C587" t="s">
        <v>3848</v>
      </c>
      <c r="D587" t="s">
        <v>3849</v>
      </c>
      <c r="E587" t="s">
        <v>3344</v>
      </c>
      <c r="F587" t="s">
        <v>3345</v>
      </c>
      <c r="G587" t="s">
        <v>635</v>
      </c>
      <c r="H587" s="6">
        <v>22177</v>
      </c>
      <c r="I587" t="s">
        <v>3026</v>
      </c>
      <c r="L587" s="8" t="s">
        <v>3850</v>
      </c>
    </row>
    <row r="588" spans="1:12" x14ac:dyDescent="0.3">
      <c r="A588" t="s">
        <v>3851</v>
      </c>
      <c r="B588" t="s">
        <v>1054</v>
      </c>
      <c r="C588" t="s">
        <v>3852</v>
      </c>
      <c r="D588" t="s">
        <v>3853</v>
      </c>
      <c r="E588" t="s">
        <v>3344</v>
      </c>
      <c r="F588" t="s">
        <v>3345</v>
      </c>
      <c r="G588" t="s">
        <v>635</v>
      </c>
      <c r="H588" s="6">
        <v>24414</v>
      </c>
      <c r="I588" t="s">
        <v>3026</v>
      </c>
      <c r="L588" s="8" t="s">
        <v>3854</v>
      </c>
    </row>
    <row r="589" spans="1:12" x14ac:dyDescent="0.3">
      <c r="A589" t="s">
        <v>3855</v>
      </c>
      <c r="B589" t="s">
        <v>1054</v>
      </c>
      <c r="C589" t="s">
        <v>3856</v>
      </c>
      <c r="D589" t="s">
        <v>3857</v>
      </c>
      <c r="E589" t="s">
        <v>3344</v>
      </c>
      <c r="F589" t="s">
        <v>3345</v>
      </c>
      <c r="G589" t="s">
        <v>635</v>
      </c>
      <c r="H589" s="6">
        <v>26651</v>
      </c>
      <c r="I589" t="s">
        <v>3026</v>
      </c>
      <c r="L589" s="8" t="s">
        <v>3858</v>
      </c>
    </row>
    <row r="590" spans="1:12" x14ac:dyDescent="0.3">
      <c r="A590" t="s">
        <v>3859</v>
      </c>
      <c r="B590" t="s">
        <v>1054</v>
      </c>
      <c r="C590" t="s">
        <v>3860</v>
      </c>
      <c r="D590" t="s">
        <v>3861</v>
      </c>
      <c r="E590" t="s">
        <v>3344</v>
      </c>
      <c r="F590" t="s">
        <v>3345</v>
      </c>
      <c r="G590" t="s">
        <v>635</v>
      </c>
      <c r="H590" s="6">
        <v>28888</v>
      </c>
      <c r="I590" t="s">
        <v>3026</v>
      </c>
      <c r="L590" s="8" t="s">
        <v>3862</v>
      </c>
    </row>
    <row r="591" spans="1:12" x14ac:dyDescent="0.3">
      <c r="A591" t="s">
        <v>3863</v>
      </c>
      <c r="B591" t="s">
        <v>1054</v>
      </c>
      <c r="C591" t="s">
        <v>3864</v>
      </c>
      <c r="D591" t="s">
        <v>3865</v>
      </c>
      <c r="E591" t="s">
        <v>3344</v>
      </c>
      <c r="F591" t="s">
        <v>3345</v>
      </c>
      <c r="G591" t="s">
        <v>635</v>
      </c>
      <c r="H591" s="6">
        <v>31125</v>
      </c>
      <c r="I591" t="s">
        <v>3026</v>
      </c>
      <c r="L591" s="8" t="s">
        <v>3866</v>
      </c>
    </row>
    <row r="592" spans="1:12" x14ac:dyDescent="0.3">
      <c r="A592" t="s">
        <v>3867</v>
      </c>
      <c r="B592" t="s">
        <v>1054</v>
      </c>
      <c r="C592" t="s">
        <v>3868</v>
      </c>
      <c r="D592" t="s">
        <v>3869</v>
      </c>
      <c r="E592" t="s">
        <v>3344</v>
      </c>
      <c r="F592" t="s">
        <v>3345</v>
      </c>
      <c r="G592" t="s">
        <v>635</v>
      </c>
      <c r="H592" s="6">
        <v>33362</v>
      </c>
      <c r="I592" t="s">
        <v>3026</v>
      </c>
      <c r="L592" s="8" t="s">
        <v>3870</v>
      </c>
    </row>
    <row r="593" spans="1:12" x14ac:dyDescent="0.3">
      <c r="A593" t="s">
        <v>3871</v>
      </c>
      <c r="B593" t="s">
        <v>1054</v>
      </c>
      <c r="C593" t="s">
        <v>3872</v>
      </c>
      <c r="D593" t="s">
        <v>3873</v>
      </c>
      <c r="E593" t="s">
        <v>3344</v>
      </c>
      <c r="F593" t="s">
        <v>3345</v>
      </c>
      <c r="G593" t="s">
        <v>635</v>
      </c>
      <c r="H593" s="6">
        <v>12830.5</v>
      </c>
      <c r="I593" t="s">
        <v>3026</v>
      </c>
      <c r="L593" s="8" t="s">
        <v>3874</v>
      </c>
    </row>
    <row r="594" spans="1:12" x14ac:dyDescent="0.3">
      <c r="A594" t="s">
        <v>3875</v>
      </c>
      <c r="B594" t="s">
        <v>1054</v>
      </c>
      <c r="C594" t="s">
        <v>3876</v>
      </c>
      <c r="D594" t="s">
        <v>3877</v>
      </c>
      <c r="E594" t="s">
        <v>3344</v>
      </c>
      <c r="F594" t="s">
        <v>3345</v>
      </c>
      <c r="G594" t="s">
        <v>635</v>
      </c>
      <c r="H594" s="6">
        <v>25332.7</v>
      </c>
      <c r="I594" t="s">
        <v>3026</v>
      </c>
      <c r="L594" s="8" t="s">
        <v>3878</v>
      </c>
    </row>
    <row r="595" spans="1:12" x14ac:dyDescent="0.3">
      <c r="A595" t="s">
        <v>3879</v>
      </c>
      <c r="B595" t="s">
        <v>1054</v>
      </c>
      <c r="C595" t="s">
        <v>3880</v>
      </c>
      <c r="D595" t="s">
        <v>3881</v>
      </c>
      <c r="E595" t="s">
        <v>3344</v>
      </c>
      <c r="F595" t="s">
        <v>3345</v>
      </c>
      <c r="G595" t="s">
        <v>635</v>
      </c>
      <c r="H595" s="6">
        <v>15302.8</v>
      </c>
      <c r="I595" t="s">
        <v>3026</v>
      </c>
      <c r="L595" s="8" t="s">
        <v>3882</v>
      </c>
    </row>
    <row r="596" spans="1:12" x14ac:dyDescent="0.3">
      <c r="A596" t="s">
        <v>3883</v>
      </c>
      <c r="B596" t="s">
        <v>1054</v>
      </c>
      <c r="C596" t="s">
        <v>3884</v>
      </c>
      <c r="D596" t="s">
        <v>3885</v>
      </c>
      <c r="E596" t="s">
        <v>3344</v>
      </c>
      <c r="F596" t="s">
        <v>3345</v>
      </c>
      <c r="G596" t="s">
        <v>635</v>
      </c>
      <c r="H596" s="6">
        <v>1187.5</v>
      </c>
      <c r="I596" t="s">
        <v>3026</v>
      </c>
      <c r="L596" s="8" t="s">
        <v>3886</v>
      </c>
    </row>
    <row r="597" spans="1:12" x14ac:dyDescent="0.3">
      <c r="A597" t="s">
        <v>3887</v>
      </c>
      <c r="B597" t="s">
        <v>1054</v>
      </c>
      <c r="C597" t="s">
        <v>3888</v>
      </c>
      <c r="D597" t="s">
        <v>3889</v>
      </c>
      <c r="E597" t="s">
        <v>3344</v>
      </c>
      <c r="F597" t="s">
        <v>3345</v>
      </c>
      <c r="G597" t="s">
        <v>635</v>
      </c>
      <c r="H597" s="6">
        <v>597</v>
      </c>
      <c r="I597" t="s">
        <v>3026</v>
      </c>
      <c r="L597" s="8" t="s">
        <v>3890</v>
      </c>
    </row>
    <row r="598" spans="1:12" x14ac:dyDescent="0.3">
      <c r="A598" t="s">
        <v>3891</v>
      </c>
      <c r="B598" t="s">
        <v>1058</v>
      </c>
      <c r="C598" t="s">
        <v>3892</v>
      </c>
      <c r="D598" t="s">
        <v>3893</v>
      </c>
      <c r="E598" t="s">
        <v>3344</v>
      </c>
      <c r="F598" t="s">
        <v>3345</v>
      </c>
      <c r="G598" t="s">
        <v>635</v>
      </c>
      <c r="H598" s="6">
        <v>679</v>
      </c>
      <c r="I598" t="s">
        <v>3026</v>
      </c>
      <c r="L598" s="8" t="s">
        <v>3894</v>
      </c>
    </row>
    <row r="599" spans="1:12" x14ac:dyDescent="0.3">
      <c r="A599" t="s">
        <v>3895</v>
      </c>
      <c r="B599" t="s">
        <v>1058</v>
      </c>
      <c r="C599" t="s">
        <v>3896</v>
      </c>
      <c r="D599" t="s">
        <v>3897</v>
      </c>
      <c r="E599" t="s">
        <v>3344</v>
      </c>
      <c r="F599" t="s">
        <v>3345</v>
      </c>
      <c r="G599" t="s">
        <v>635</v>
      </c>
      <c r="H599" s="6">
        <v>649</v>
      </c>
      <c r="I599" t="s">
        <v>3026</v>
      </c>
      <c r="L599" s="8" t="s">
        <v>3898</v>
      </c>
    </row>
    <row r="600" spans="1:12" x14ac:dyDescent="0.3">
      <c r="A600" t="s">
        <v>3899</v>
      </c>
      <c r="B600" t="s">
        <v>1058</v>
      </c>
      <c r="C600" t="s">
        <v>3900</v>
      </c>
      <c r="D600" t="s">
        <v>3901</v>
      </c>
      <c r="E600" t="s">
        <v>3344</v>
      </c>
      <c r="F600" t="s">
        <v>3345</v>
      </c>
      <c r="G600" t="s">
        <v>1724</v>
      </c>
      <c r="H600" s="6">
        <v>1231</v>
      </c>
      <c r="I600" t="s">
        <v>3026</v>
      </c>
      <c r="L600" s="8" t="s">
        <v>3902</v>
      </c>
    </row>
    <row r="601" spans="1:12" x14ac:dyDescent="0.3">
      <c r="A601" t="s">
        <v>3903</v>
      </c>
      <c r="B601" t="s">
        <v>1058</v>
      </c>
      <c r="C601" t="s">
        <v>3904</v>
      </c>
      <c r="D601" t="s">
        <v>3905</v>
      </c>
      <c r="E601" t="s">
        <v>3344</v>
      </c>
      <c r="F601" t="s">
        <v>3345</v>
      </c>
      <c r="G601" t="s">
        <v>1724</v>
      </c>
      <c r="H601" s="6">
        <v>520</v>
      </c>
      <c r="I601" t="s">
        <v>3026</v>
      </c>
      <c r="L601" s="8" t="s">
        <v>3906</v>
      </c>
    </row>
    <row r="602" spans="1:12" x14ac:dyDescent="0.3">
      <c r="A602" t="s">
        <v>3907</v>
      </c>
      <c r="B602" t="s">
        <v>1058</v>
      </c>
      <c r="C602" t="s">
        <v>3908</v>
      </c>
      <c r="D602" t="s">
        <v>3909</v>
      </c>
      <c r="E602" t="s">
        <v>3344</v>
      </c>
      <c r="F602" t="s">
        <v>3345</v>
      </c>
      <c r="G602" t="s">
        <v>635</v>
      </c>
      <c r="H602" s="6">
        <v>939</v>
      </c>
      <c r="I602" t="s">
        <v>3026</v>
      </c>
      <c r="L602" s="8" t="s">
        <v>3910</v>
      </c>
    </row>
    <row r="603" spans="1:12" x14ac:dyDescent="0.3">
      <c r="A603" t="s">
        <v>3911</v>
      </c>
      <c r="B603" t="s">
        <v>1058</v>
      </c>
      <c r="C603" t="s">
        <v>3912</v>
      </c>
      <c r="D603" t="s">
        <v>3913</v>
      </c>
      <c r="E603" t="s">
        <v>3344</v>
      </c>
      <c r="F603" t="s">
        <v>3345</v>
      </c>
      <c r="G603" t="s">
        <v>635</v>
      </c>
      <c r="H603" s="6">
        <v>961</v>
      </c>
      <c r="I603" t="s">
        <v>3026</v>
      </c>
      <c r="L603" s="8" t="s">
        <v>3914</v>
      </c>
    </row>
    <row r="604" spans="1:12" x14ac:dyDescent="0.3">
      <c r="A604" t="s">
        <v>3915</v>
      </c>
      <c r="B604" t="s">
        <v>1058</v>
      </c>
      <c r="C604" t="s">
        <v>3916</v>
      </c>
      <c r="D604" t="s">
        <v>3917</v>
      </c>
      <c r="E604" t="s">
        <v>3344</v>
      </c>
      <c r="F604" t="s">
        <v>3345</v>
      </c>
      <c r="G604" t="s">
        <v>635</v>
      </c>
      <c r="H604" s="6">
        <v>1374</v>
      </c>
      <c r="I604" t="s">
        <v>3026</v>
      </c>
      <c r="L604" s="8" t="s">
        <v>3918</v>
      </c>
    </row>
    <row r="605" spans="1:12" x14ac:dyDescent="0.3">
      <c r="A605" t="s">
        <v>3919</v>
      </c>
      <c r="B605" t="s">
        <v>1058</v>
      </c>
      <c r="C605" t="s">
        <v>3920</v>
      </c>
      <c r="D605" t="s">
        <v>3921</v>
      </c>
      <c r="E605" t="s">
        <v>3344</v>
      </c>
      <c r="F605" t="s">
        <v>3345</v>
      </c>
      <c r="G605" t="s">
        <v>635</v>
      </c>
      <c r="H605" s="6">
        <v>1317</v>
      </c>
      <c r="I605" t="s">
        <v>3026</v>
      </c>
      <c r="L605" s="8" t="s">
        <v>3922</v>
      </c>
    </row>
    <row r="606" spans="1:12" x14ac:dyDescent="0.3">
      <c r="A606" t="s">
        <v>3923</v>
      </c>
      <c r="B606" t="s">
        <v>1058</v>
      </c>
      <c r="C606" t="s">
        <v>3924</v>
      </c>
      <c r="D606" t="s">
        <v>3925</v>
      </c>
      <c r="E606" t="s">
        <v>3344</v>
      </c>
      <c r="F606" t="s">
        <v>3345</v>
      </c>
      <c r="G606" t="s">
        <v>635</v>
      </c>
      <c r="H606" s="6">
        <v>19.25</v>
      </c>
      <c r="I606" t="s">
        <v>3026</v>
      </c>
      <c r="L606" s="8" t="s">
        <v>3926</v>
      </c>
    </row>
    <row r="607" spans="1:12" x14ac:dyDescent="0.3">
      <c r="A607" t="s">
        <v>3927</v>
      </c>
      <c r="B607" t="s">
        <v>1058</v>
      </c>
      <c r="C607" t="s">
        <v>3928</v>
      </c>
      <c r="D607" t="s">
        <v>3929</v>
      </c>
      <c r="E607" t="s">
        <v>3344</v>
      </c>
      <c r="F607" t="s">
        <v>3345</v>
      </c>
      <c r="G607" t="s">
        <v>635</v>
      </c>
      <c r="H607" s="6">
        <v>30.6</v>
      </c>
      <c r="I607" t="s">
        <v>3026</v>
      </c>
      <c r="L607" s="8" t="s">
        <v>3930</v>
      </c>
    </row>
    <row r="608" spans="1:12" x14ac:dyDescent="0.3">
      <c r="A608" t="s">
        <v>3931</v>
      </c>
      <c r="B608" t="s">
        <v>1058</v>
      </c>
      <c r="C608" t="s">
        <v>3932</v>
      </c>
      <c r="D608" t="s">
        <v>3933</v>
      </c>
      <c r="E608" t="s">
        <v>3344</v>
      </c>
      <c r="F608" t="s">
        <v>3345</v>
      </c>
      <c r="G608" t="s">
        <v>635</v>
      </c>
      <c r="H608" s="6">
        <v>35.700000000000003</v>
      </c>
      <c r="I608" t="s">
        <v>3026</v>
      </c>
      <c r="L608" s="8" t="s">
        <v>3934</v>
      </c>
    </row>
    <row r="609" spans="1:12" x14ac:dyDescent="0.3">
      <c r="A609" t="s">
        <v>3935</v>
      </c>
      <c r="B609" t="s">
        <v>1058</v>
      </c>
      <c r="C609" t="s">
        <v>3936</v>
      </c>
      <c r="D609" t="s">
        <v>3937</v>
      </c>
      <c r="E609" t="s">
        <v>3344</v>
      </c>
      <c r="F609" t="s">
        <v>3345</v>
      </c>
      <c r="G609" t="s">
        <v>635</v>
      </c>
      <c r="H609" s="6">
        <v>36</v>
      </c>
      <c r="I609" t="s">
        <v>3026</v>
      </c>
      <c r="L609" s="8" t="s">
        <v>3938</v>
      </c>
    </row>
    <row r="610" spans="1:12" x14ac:dyDescent="0.3">
      <c r="A610" t="s">
        <v>3939</v>
      </c>
      <c r="B610" t="s">
        <v>1058</v>
      </c>
      <c r="C610" t="s">
        <v>3940</v>
      </c>
      <c r="D610" t="s">
        <v>3941</v>
      </c>
      <c r="E610" t="s">
        <v>3344</v>
      </c>
      <c r="F610" t="s">
        <v>3345</v>
      </c>
      <c r="G610" t="s">
        <v>635</v>
      </c>
      <c r="H610" s="6">
        <v>23.76</v>
      </c>
      <c r="I610" t="s">
        <v>3026</v>
      </c>
      <c r="L610" s="8" t="s">
        <v>3942</v>
      </c>
    </row>
    <row r="611" spans="1:12" x14ac:dyDescent="0.3">
      <c r="A611" t="s">
        <v>3943</v>
      </c>
      <c r="B611" t="s">
        <v>1058</v>
      </c>
      <c r="C611" t="s">
        <v>3944</v>
      </c>
      <c r="D611" t="s">
        <v>3945</v>
      </c>
      <c r="E611" t="s">
        <v>3344</v>
      </c>
      <c r="F611" t="s">
        <v>3345</v>
      </c>
      <c r="G611" t="s">
        <v>635</v>
      </c>
      <c r="H611" s="6">
        <v>36.119999999999997</v>
      </c>
      <c r="I611" t="s">
        <v>3026</v>
      </c>
      <c r="L611" s="8" t="s">
        <v>3946</v>
      </c>
    </row>
    <row r="612" spans="1:12" x14ac:dyDescent="0.3">
      <c r="A612" t="s">
        <v>3947</v>
      </c>
      <c r="B612" t="s">
        <v>1058</v>
      </c>
      <c r="C612" t="s">
        <v>3948</v>
      </c>
      <c r="D612" t="s">
        <v>3949</v>
      </c>
      <c r="E612" t="s">
        <v>3344</v>
      </c>
      <c r="F612" t="s">
        <v>3345</v>
      </c>
      <c r="G612" t="s">
        <v>635</v>
      </c>
      <c r="H612" s="6">
        <v>381.6</v>
      </c>
      <c r="I612" t="s">
        <v>3026</v>
      </c>
      <c r="L612" s="8" t="s">
        <v>3950</v>
      </c>
    </row>
    <row r="613" spans="1:12" x14ac:dyDescent="0.3">
      <c r="A613" t="s">
        <v>3951</v>
      </c>
      <c r="B613" t="s">
        <v>1381</v>
      </c>
      <c r="C613" t="s">
        <v>3952</v>
      </c>
      <c r="D613" t="s">
        <v>3953</v>
      </c>
      <c r="E613" t="s">
        <v>3954</v>
      </c>
      <c r="F613" t="s">
        <v>3955</v>
      </c>
      <c r="G613" t="s">
        <v>635</v>
      </c>
      <c r="H613" s="6">
        <v>19816.22</v>
      </c>
      <c r="I613" t="s">
        <v>3026</v>
      </c>
      <c r="L613" s="8" t="s">
        <v>3956</v>
      </c>
    </row>
    <row r="614" spans="1:12" x14ac:dyDescent="0.3">
      <c r="A614" t="s">
        <v>3957</v>
      </c>
      <c r="B614" t="s">
        <v>1381</v>
      </c>
      <c r="C614" t="s">
        <v>3958</v>
      </c>
      <c r="D614" t="s">
        <v>3959</v>
      </c>
      <c r="E614" t="s">
        <v>3954</v>
      </c>
      <c r="F614" t="s">
        <v>3955</v>
      </c>
      <c r="G614" t="s">
        <v>635</v>
      </c>
      <c r="H614" s="6">
        <v>19816.22</v>
      </c>
      <c r="I614" t="s">
        <v>3026</v>
      </c>
      <c r="L614" s="8" t="s">
        <v>3960</v>
      </c>
    </row>
    <row r="615" spans="1:12" x14ac:dyDescent="0.3">
      <c r="A615" t="s">
        <v>3961</v>
      </c>
      <c r="B615" t="s">
        <v>1381</v>
      </c>
      <c r="C615" t="s">
        <v>3962</v>
      </c>
      <c r="D615" t="s">
        <v>3963</v>
      </c>
      <c r="E615" t="s">
        <v>3954</v>
      </c>
      <c r="F615" t="s">
        <v>3955</v>
      </c>
      <c r="G615" t="s">
        <v>635</v>
      </c>
      <c r="H615" s="6">
        <v>20358.990000000002</v>
      </c>
      <c r="I615" t="s">
        <v>3026</v>
      </c>
      <c r="L615" s="8" t="s">
        <v>3964</v>
      </c>
    </row>
    <row r="616" spans="1:12" x14ac:dyDescent="0.3">
      <c r="A616" t="s">
        <v>3965</v>
      </c>
      <c r="B616" t="s">
        <v>1381</v>
      </c>
      <c r="C616" t="s">
        <v>3966</v>
      </c>
      <c r="D616" t="s">
        <v>3967</v>
      </c>
      <c r="E616" t="s">
        <v>3954</v>
      </c>
      <c r="F616" t="s">
        <v>3955</v>
      </c>
      <c r="G616" t="s">
        <v>635</v>
      </c>
      <c r="H616" s="6">
        <v>20358.990000000002</v>
      </c>
      <c r="I616" t="s">
        <v>3026</v>
      </c>
      <c r="L616" s="8" t="s">
        <v>3968</v>
      </c>
    </row>
    <row r="617" spans="1:12" x14ac:dyDescent="0.3">
      <c r="A617" t="s">
        <v>3969</v>
      </c>
      <c r="B617" t="s">
        <v>1381</v>
      </c>
      <c r="C617" t="s">
        <v>3970</v>
      </c>
      <c r="D617" t="s">
        <v>3971</v>
      </c>
      <c r="E617" t="s">
        <v>3954</v>
      </c>
      <c r="F617" t="s">
        <v>3955</v>
      </c>
      <c r="G617" t="s">
        <v>635</v>
      </c>
      <c r="H617" s="6">
        <v>24141.439999999999</v>
      </c>
      <c r="I617" t="s">
        <v>3026</v>
      </c>
      <c r="L617" s="8" t="s">
        <v>3972</v>
      </c>
    </row>
    <row r="618" spans="1:12" x14ac:dyDescent="0.3">
      <c r="A618" t="s">
        <v>3973</v>
      </c>
      <c r="B618" t="s">
        <v>1381</v>
      </c>
      <c r="C618" t="s">
        <v>3974</v>
      </c>
      <c r="D618" t="s">
        <v>3975</v>
      </c>
      <c r="E618" t="s">
        <v>3954</v>
      </c>
      <c r="F618" t="s">
        <v>3955</v>
      </c>
      <c r="G618" t="s">
        <v>635</v>
      </c>
      <c r="H618" s="6">
        <v>24141.439999999999</v>
      </c>
      <c r="I618" t="s">
        <v>3026</v>
      </c>
      <c r="L618" s="8" t="s">
        <v>3976</v>
      </c>
    </row>
    <row r="619" spans="1:12" x14ac:dyDescent="0.3">
      <c r="A619" t="s">
        <v>3977</v>
      </c>
      <c r="B619" t="s">
        <v>1381</v>
      </c>
      <c r="C619" t="s">
        <v>3978</v>
      </c>
      <c r="D619" t="s">
        <v>3979</v>
      </c>
      <c r="E619" t="s">
        <v>3954</v>
      </c>
      <c r="F619" t="s">
        <v>3955</v>
      </c>
      <c r="G619" t="s">
        <v>635</v>
      </c>
      <c r="H619" s="6">
        <v>38375.269999999997</v>
      </c>
      <c r="I619" t="s">
        <v>3026</v>
      </c>
      <c r="L619" s="8" t="s">
        <v>3980</v>
      </c>
    </row>
    <row r="620" spans="1:12" x14ac:dyDescent="0.3">
      <c r="A620" t="s">
        <v>3981</v>
      </c>
      <c r="B620" t="s">
        <v>1381</v>
      </c>
      <c r="C620" t="s">
        <v>1555</v>
      </c>
      <c r="D620" t="s">
        <v>3982</v>
      </c>
      <c r="E620" t="s">
        <v>3954</v>
      </c>
      <c r="F620" t="s">
        <v>3955</v>
      </c>
      <c r="G620" t="s">
        <v>635</v>
      </c>
      <c r="H620" s="6">
        <v>963.47</v>
      </c>
      <c r="I620" t="s">
        <v>3026</v>
      </c>
      <c r="L620" s="8" t="s">
        <v>3983</v>
      </c>
    </row>
    <row r="621" spans="1:12" x14ac:dyDescent="0.3">
      <c r="A621" t="s">
        <v>3984</v>
      </c>
      <c r="B621" t="s">
        <v>1381</v>
      </c>
      <c r="C621" t="s">
        <v>1489</v>
      </c>
      <c r="D621" t="s">
        <v>3985</v>
      </c>
      <c r="E621" t="s">
        <v>3954</v>
      </c>
      <c r="F621" t="s">
        <v>3955</v>
      </c>
      <c r="G621" t="s">
        <v>635</v>
      </c>
      <c r="H621" s="6">
        <v>33581.71</v>
      </c>
      <c r="I621" t="s">
        <v>3026</v>
      </c>
      <c r="L621" s="8" t="s">
        <v>3986</v>
      </c>
    </row>
    <row r="622" spans="1:12" x14ac:dyDescent="0.3">
      <c r="A622" t="s">
        <v>3987</v>
      </c>
      <c r="B622" t="s">
        <v>1381</v>
      </c>
      <c r="C622" t="s">
        <v>3988</v>
      </c>
      <c r="D622" t="s">
        <v>3989</v>
      </c>
      <c r="E622" t="s">
        <v>3954</v>
      </c>
      <c r="F622" t="s">
        <v>3955</v>
      </c>
      <c r="G622" t="s">
        <v>635</v>
      </c>
      <c r="H622" s="6">
        <v>19094.86</v>
      </c>
      <c r="I622" t="s">
        <v>3026</v>
      </c>
      <c r="L622" s="8" t="s">
        <v>3990</v>
      </c>
    </row>
    <row r="623" spans="1:12" x14ac:dyDescent="0.3">
      <c r="A623" t="s">
        <v>3991</v>
      </c>
      <c r="B623" t="s">
        <v>1381</v>
      </c>
      <c r="C623" t="s">
        <v>3992</v>
      </c>
      <c r="D623" t="s">
        <v>3993</v>
      </c>
      <c r="E623" t="s">
        <v>3954</v>
      </c>
      <c r="F623" t="s">
        <v>3955</v>
      </c>
      <c r="G623" t="s">
        <v>635</v>
      </c>
      <c r="H623" s="6">
        <v>36939.480000000003</v>
      </c>
      <c r="I623" t="s">
        <v>3026</v>
      </c>
      <c r="L623" s="8" t="s">
        <v>3994</v>
      </c>
    </row>
    <row r="624" spans="1:12" x14ac:dyDescent="0.3">
      <c r="A624" t="s">
        <v>3995</v>
      </c>
      <c r="B624" t="s">
        <v>1381</v>
      </c>
      <c r="C624" t="s">
        <v>3996</v>
      </c>
      <c r="D624" t="s">
        <v>3997</v>
      </c>
      <c r="E624" t="s">
        <v>3954</v>
      </c>
      <c r="F624" t="s">
        <v>3955</v>
      </c>
      <c r="G624" t="s">
        <v>635</v>
      </c>
      <c r="H624" s="6">
        <v>12073.7</v>
      </c>
      <c r="I624" t="s">
        <v>3026</v>
      </c>
      <c r="L624" s="8" t="s">
        <v>3998</v>
      </c>
    </row>
    <row r="625" spans="1:12" x14ac:dyDescent="0.3">
      <c r="A625" t="s">
        <v>3999</v>
      </c>
      <c r="B625" t="s">
        <v>1381</v>
      </c>
      <c r="C625" t="s">
        <v>4000</v>
      </c>
      <c r="D625" t="s">
        <v>4001</v>
      </c>
      <c r="E625" t="s">
        <v>3954</v>
      </c>
      <c r="F625" t="s">
        <v>3955</v>
      </c>
      <c r="G625" t="s">
        <v>635</v>
      </c>
      <c r="H625" s="6">
        <v>12073.98</v>
      </c>
      <c r="I625" t="s">
        <v>3026</v>
      </c>
      <c r="L625" s="8" t="s">
        <v>4002</v>
      </c>
    </row>
    <row r="626" spans="1:12" x14ac:dyDescent="0.3">
      <c r="A626" t="s">
        <v>4003</v>
      </c>
      <c r="B626" t="s">
        <v>1381</v>
      </c>
      <c r="C626" t="s">
        <v>4004</v>
      </c>
      <c r="D626" t="s">
        <v>4005</v>
      </c>
      <c r="E626" t="s">
        <v>3954</v>
      </c>
      <c r="F626" t="s">
        <v>3955</v>
      </c>
      <c r="G626" t="s">
        <v>635</v>
      </c>
      <c r="H626" s="6">
        <v>7766.21</v>
      </c>
      <c r="I626" t="s">
        <v>3026</v>
      </c>
      <c r="L626" s="8" t="s">
        <v>4006</v>
      </c>
    </row>
    <row r="627" spans="1:12" x14ac:dyDescent="0.3">
      <c r="A627" t="s">
        <v>4007</v>
      </c>
      <c r="B627" t="s">
        <v>1381</v>
      </c>
      <c r="C627" t="s">
        <v>4008</v>
      </c>
      <c r="D627" t="s">
        <v>4009</v>
      </c>
      <c r="E627" t="s">
        <v>3954</v>
      </c>
      <c r="F627" t="s">
        <v>3955</v>
      </c>
      <c r="G627" t="s">
        <v>635</v>
      </c>
      <c r="H627" s="6">
        <v>8530.7900000000009</v>
      </c>
      <c r="I627" t="s">
        <v>3026</v>
      </c>
      <c r="L627" s="8" t="s">
        <v>4010</v>
      </c>
    </row>
    <row r="628" spans="1:12" x14ac:dyDescent="0.3">
      <c r="A628" t="s">
        <v>4011</v>
      </c>
      <c r="B628" t="s">
        <v>1381</v>
      </c>
      <c r="C628" t="s">
        <v>4012</v>
      </c>
      <c r="E628" t="s">
        <v>4013</v>
      </c>
      <c r="F628" t="s">
        <v>4014</v>
      </c>
      <c r="G628" t="s">
        <v>635</v>
      </c>
      <c r="H628" s="6">
        <v>2671.12</v>
      </c>
      <c r="I628" t="s">
        <v>3026</v>
      </c>
      <c r="L628" s="8" t="s">
        <v>4015</v>
      </c>
    </row>
    <row r="629" spans="1:12" x14ac:dyDescent="0.3">
      <c r="A629" t="s">
        <v>4016</v>
      </c>
      <c r="B629" t="s">
        <v>1381</v>
      </c>
      <c r="C629" t="s">
        <v>4017</v>
      </c>
      <c r="E629" t="s">
        <v>4013</v>
      </c>
      <c r="F629" t="s">
        <v>4014</v>
      </c>
      <c r="G629" t="s">
        <v>635</v>
      </c>
      <c r="H629" s="6">
        <v>3421.85</v>
      </c>
      <c r="I629" t="s">
        <v>3026</v>
      </c>
      <c r="L629" s="8" t="s">
        <v>4018</v>
      </c>
    </row>
    <row r="630" spans="1:12" x14ac:dyDescent="0.3">
      <c r="A630" t="s">
        <v>4019</v>
      </c>
      <c r="B630" t="s">
        <v>1381</v>
      </c>
      <c r="C630" t="s">
        <v>4020</v>
      </c>
      <c r="E630" t="s">
        <v>4013</v>
      </c>
      <c r="F630" t="s">
        <v>4014</v>
      </c>
      <c r="G630" t="s">
        <v>635</v>
      </c>
      <c r="H630" s="6">
        <v>5283.02</v>
      </c>
      <c r="I630" t="s">
        <v>3026</v>
      </c>
      <c r="L630" s="8" t="s">
        <v>4021</v>
      </c>
    </row>
    <row r="631" spans="1:12" x14ac:dyDescent="0.3">
      <c r="A631" t="s">
        <v>4022</v>
      </c>
      <c r="B631" t="s">
        <v>1381</v>
      </c>
      <c r="C631" t="s">
        <v>4023</v>
      </c>
      <c r="E631" t="s">
        <v>4013</v>
      </c>
      <c r="F631" t="s">
        <v>4014</v>
      </c>
      <c r="G631" t="s">
        <v>635</v>
      </c>
      <c r="H631" s="6">
        <v>6902.28</v>
      </c>
      <c r="I631" t="s">
        <v>3026</v>
      </c>
      <c r="L631" s="8" t="s">
        <v>4024</v>
      </c>
    </row>
    <row r="632" spans="1:12" x14ac:dyDescent="0.3">
      <c r="A632" t="s">
        <v>4025</v>
      </c>
      <c r="B632" t="s">
        <v>1381</v>
      </c>
      <c r="C632" t="s">
        <v>4026</v>
      </c>
      <c r="D632" t="s">
        <v>4027</v>
      </c>
      <c r="E632" t="s">
        <v>3954</v>
      </c>
      <c r="F632" t="s">
        <v>3955</v>
      </c>
      <c r="G632" t="s">
        <v>635</v>
      </c>
      <c r="H632" s="6">
        <v>63845.33</v>
      </c>
      <c r="I632" t="s">
        <v>3026</v>
      </c>
      <c r="L632" s="8" t="s">
        <v>4028</v>
      </c>
    </row>
    <row r="633" spans="1:12" x14ac:dyDescent="0.3">
      <c r="A633" t="s">
        <v>4029</v>
      </c>
      <c r="B633" t="s">
        <v>1381</v>
      </c>
      <c r="C633" t="s">
        <v>4030</v>
      </c>
      <c r="D633" t="s">
        <v>4031</v>
      </c>
      <c r="E633" t="s">
        <v>3954</v>
      </c>
      <c r="F633" t="s">
        <v>3955</v>
      </c>
      <c r="G633" t="s">
        <v>635</v>
      </c>
      <c r="H633" s="6">
        <v>44647.28</v>
      </c>
      <c r="I633" t="s">
        <v>3026</v>
      </c>
      <c r="L633" s="8" t="s">
        <v>4032</v>
      </c>
    </row>
    <row r="634" spans="1:12" x14ac:dyDescent="0.3">
      <c r="A634" t="s">
        <v>4033</v>
      </c>
      <c r="B634" t="s">
        <v>1381</v>
      </c>
      <c r="C634" t="s">
        <v>4034</v>
      </c>
      <c r="D634" t="s">
        <v>4035</v>
      </c>
      <c r="E634" t="s">
        <v>3954</v>
      </c>
      <c r="F634" t="s">
        <v>3955</v>
      </c>
      <c r="G634" t="s">
        <v>635</v>
      </c>
      <c r="H634" s="6">
        <v>102938.99</v>
      </c>
      <c r="I634" t="s">
        <v>3026</v>
      </c>
      <c r="L634" s="8" t="s">
        <v>4036</v>
      </c>
    </row>
    <row r="635" spans="1:12" x14ac:dyDescent="0.3">
      <c r="A635" t="s">
        <v>4037</v>
      </c>
      <c r="B635" t="s">
        <v>1381</v>
      </c>
      <c r="C635" t="s">
        <v>4038</v>
      </c>
      <c r="D635" t="s">
        <v>4039</v>
      </c>
      <c r="E635" t="s">
        <v>3954</v>
      </c>
      <c r="F635" t="s">
        <v>3955</v>
      </c>
      <c r="G635" t="s">
        <v>635</v>
      </c>
      <c r="H635" s="6">
        <v>17858.849999999999</v>
      </c>
      <c r="I635" t="s">
        <v>3026</v>
      </c>
      <c r="L635" s="8" t="s">
        <v>4040</v>
      </c>
    </row>
    <row r="636" spans="1:12" x14ac:dyDescent="0.3">
      <c r="A636" t="s">
        <v>4041</v>
      </c>
      <c r="B636" t="s">
        <v>1381</v>
      </c>
      <c r="C636" t="s">
        <v>4042</v>
      </c>
      <c r="D636" t="s">
        <v>4043</v>
      </c>
      <c r="E636" t="s">
        <v>3954</v>
      </c>
      <c r="F636" t="s">
        <v>3955</v>
      </c>
      <c r="G636" t="s">
        <v>635</v>
      </c>
      <c r="H636" s="6">
        <v>17858.849999999999</v>
      </c>
      <c r="I636" t="s">
        <v>3026</v>
      </c>
      <c r="L636" s="8" t="s">
        <v>4044</v>
      </c>
    </row>
    <row r="637" spans="1:12" x14ac:dyDescent="0.3">
      <c r="A637" t="s">
        <v>4045</v>
      </c>
      <c r="B637" t="s">
        <v>1381</v>
      </c>
      <c r="C637" t="s">
        <v>4046</v>
      </c>
      <c r="D637" t="s">
        <v>4047</v>
      </c>
      <c r="E637" t="s">
        <v>3954</v>
      </c>
      <c r="F637" t="s">
        <v>3955</v>
      </c>
      <c r="G637" t="s">
        <v>635</v>
      </c>
      <c r="H637" s="6">
        <v>13906.38</v>
      </c>
      <c r="I637" t="s">
        <v>3026</v>
      </c>
      <c r="L637" s="8" t="s">
        <v>4048</v>
      </c>
    </row>
    <row r="638" spans="1:12" x14ac:dyDescent="0.3">
      <c r="A638" t="s">
        <v>4049</v>
      </c>
      <c r="B638" t="s">
        <v>1381</v>
      </c>
      <c r="C638" t="s">
        <v>4050</v>
      </c>
      <c r="D638" t="s">
        <v>4051</v>
      </c>
      <c r="E638" t="s">
        <v>3954</v>
      </c>
      <c r="F638" t="s">
        <v>3955</v>
      </c>
      <c r="G638" t="s">
        <v>635</v>
      </c>
      <c r="H638" s="6">
        <v>9588.6</v>
      </c>
      <c r="I638" t="s">
        <v>3026</v>
      </c>
      <c r="L638" s="8" t="s">
        <v>4052</v>
      </c>
    </row>
    <row r="639" spans="1:12" x14ac:dyDescent="0.3">
      <c r="A639" t="s">
        <v>4053</v>
      </c>
      <c r="B639" t="s">
        <v>1381</v>
      </c>
      <c r="C639" t="s">
        <v>4054</v>
      </c>
      <c r="D639" t="s">
        <v>4055</v>
      </c>
      <c r="E639" t="s">
        <v>3954</v>
      </c>
      <c r="F639" t="s">
        <v>3955</v>
      </c>
      <c r="G639" t="s">
        <v>635</v>
      </c>
      <c r="H639" s="6">
        <v>9588.6</v>
      </c>
      <c r="I639" t="s">
        <v>3026</v>
      </c>
      <c r="L639" s="8" t="s">
        <v>4056</v>
      </c>
    </row>
    <row r="640" spans="1:12" x14ac:dyDescent="0.3">
      <c r="A640" t="s">
        <v>4057</v>
      </c>
      <c r="B640" t="s">
        <v>1381</v>
      </c>
      <c r="C640" t="s">
        <v>4058</v>
      </c>
      <c r="D640" t="s">
        <v>4059</v>
      </c>
      <c r="E640" t="s">
        <v>3954</v>
      </c>
      <c r="F640" t="s">
        <v>3955</v>
      </c>
      <c r="G640" t="s">
        <v>635</v>
      </c>
      <c r="H640" s="6">
        <v>9588.6</v>
      </c>
      <c r="I640" t="s">
        <v>3026</v>
      </c>
      <c r="L640" s="8" t="s">
        <v>4060</v>
      </c>
    </row>
    <row r="641" spans="1:12" x14ac:dyDescent="0.3">
      <c r="A641" t="s">
        <v>4061</v>
      </c>
      <c r="B641" t="s">
        <v>1381</v>
      </c>
      <c r="C641" t="s">
        <v>4062</v>
      </c>
      <c r="D641" t="s">
        <v>4063</v>
      </c>
      <c r="E641" t="s">
        <v>3954</v>
      </c>
      <c r="F641" t="s">
        <v>3955</v>
      </c>
      <c r="G641" t="s">
        <v>635</v>
      </c>
      <c r="H641" s="6">
        <v>8550.2199999999993</v>
      </c>
      <c r="I641" t="s">
        <v>3026</v>
      </c>
      <c r="L641" s="8" t="s">
        <v>4064</v>
      </c>
    </row>
    <row r="642" spans="1:12" x14ac:dyDescent="0.3">
      <c r="A642" t="s">
        <v>4065</v>
      </c>
      <c r="B642" t="s">
        <v>1381</v>
      </c>
      <c r="C642" t="s">
        <v>4066</v>
      </c>
      <c r="D642" t="s">
        <v>4067</v>
      </c>
      <c r="E642" t="s">
        <v>3954</v>
      </c>
      <c r="F642" t="s">
        <v>3955</v>
      </c>
      <c r="G642" t="s">
        <v>635</v>
      </c>
      <c r="H642" s="6">
        <v>8550.2199999999993</v>
      </c>
      <c r="I642" t="s">
        <v>3026</v>
      </c>
      <c r="L642" s="8" t="s">
        <v>4068</v>
      </c>
    </row>
    <row r="643" spans="1:12" x14ac:dyDescent="0.3">
      <c r="A643" t="s">
        <v>4069</v>
      </c>
      <c r="B643" t="s">
        <v>1381</v>
      </c>
      <c r="C643" t="s">
        <v>4070</v>
      </c>
      <c r="D643" t="s">
        <v>4071</v>
      </c>
      <c r="E643" t="s">
        <v>3954</v>
      </c>
      <c r="F643" t="s">
        <v>3955</v>
      </c>
      <c r="G643" t="s">
        <v>635</v>
      </c>
      <c r="H643" s="6">
        <v>9005.66</v>
      </c>
      <c r="I643" t="s">
        <v>3026</v>
      </c>
      <c r="L643" s="8" t="s">
        <v>4072</v>
      </c>
    </row>
    <row r="644" spans="1:12" x14ac:dyDescent="0.3">
      <c r="A644" t="s">
        <v>4073</v>
      </c>
      <c r="B644" t="s">
        <v>1381</v>
      </c>
      <c r="C644" t="s">
        <v>4074</v>
      </c>
      <c r="D644" t="s">
        <v>4075</v>
      </c>
      <c r="E644" t="s">
        <v>3954</v>
      </c>
      <c r="F644" t="s">
        <v>3955</v>
      </c>
      <c r="G644" t="s">
        <v>635</v>
      </c>
      <c r="H644" s="6">
        <v>9005.66</v>
      </c>
      <c r="I644" t="s">
        <v>3026</v>
      </c>
      <c r="L644" s="8" t="s">
        <v>4076</v>
      </c>
    </row>
    <row r="645" spans="1:12" x14ac:dyDescent="0.3">
      <c r="A645" t="s">
        <v>4077</v>
      </c>
      <c r="B645" t="s">
        <v>1381</v>
      </c>
      <c r="C645" t="s">
        <v>4078</v>
      </c>
      <c r="D645" t="s">
        <v>4079</v>
      </c>
      <c r="E645" t="s">
        <v>3954</v>
      </c>
      <c r="F645" t="s">
        <v>3955</v>
      </c>
      <c r="G645" t="s">
        <v>635</v>
      </c>
      <c r="H645" s="6">
        <v>10143.77</v>
      </c>
      <c r="I645" t="s">
        <v>3026</v>
      </c>
      <c r="L645" s="8" t="s">
        <v>4080</v>
      </c>
    </row>
    <row r="646" spans="1:12" x14ac:dyDescent="0.3">
      <c r="A646" t="s">
        <v>4081</v>
      </c>
      <c r="B646" t="s">
        <v>1381</v>
      </c>
      <c r="C646" t="s">
        <v>4082</v>
      </c>
      <c r="D646" t="s">
        <v>4083</v>
      </c>
      <c r="E646" t="s">
        <v>3954</v>
      </c>
      <c r="F646" t="s">
        <v>3955</v>
      </c>
      <c r="G646" t="s">
        <v>635</v>
      </c>
      <c r="H646" s="6">
        <v>10143.77</v>
      </c>
      <c r="I646" t="s">
        <v>3026</v>
      </c>
      <c r="L646" s="8" t="s">
        <v>4084</v>
      </c>
    </row>
    <row r="647" spans="1:12" x14ac:dyDescent="0.3">
      <c r="A647" t="s">
        <v>4085</v>
      </c>
      <c r="B647" t="s">
        <v>1381</v>
      </c>
      <c r="C647" t="s">
        <v>4086</v>
      </c>
      <c r="D647" t="s">
        <v>4087</v>
      </c>
      <c r="E647" t="s">
        <v>3954</v>
      </c>
      <c r="F647" t="s">
        <v>3955</v>
      </c>
      <c r="G647" t="s">
        <v>635</v>
      </c>
      <c r="H647" s="6">
        <v>8766.6200000000008</v>
      </c>
      <c r="I647" t="s">
        <v>3026</v>
      </c>
      <c r="L647" s="8" t="s">
        <v>4088</v>
      </c>
    </row>
    <row r="648" spans="1:12" x14ac:dyDescent="0.3">
      <c r="A648" t="s">
        <v>4089</v>
      </c>
      <c r="B648" t="s">
        <v>1381</v>
      </c>
      <c r="C648" t="s">
        <v>4090</v>
      </c>
      <c r="D648" t="s">
        <v>4091</v>
      </c>
      <c r="E648" t="s">
        <v>3954</v>
      </c>
      <c r="F648" t="s">
        <v>3955</v>
      </c>
      <c r="G648" t="s">
        <v>635</v>
      </c>
      <c r="H648" s="6">
        <v>8766.6200000000008</v>
      </c>
      <c r="I648" t="s">
        <v>3026</v>
      </c>
      <c r="L648" s="8" t="s">
        <v>4092</v>
      </c>
    </row>
    <row r="649" spans="1:12" x14ac:dyDescent="0.3">
      <c r="A649" t="s">
        <v>4093</v>
      </c>
      <c r="B649" t="s">
        <v>1381</v>
      </c>
      <c r="C649" t="s">
        <v>4094</v>
      </c>
      <c r="D649" t="s">
        <v>4095</v>
      </c>
      <c r="E649" t="s">
        <v>3954</v>
      </c>
      <c r="F649" t="s">
        <v>3955</v>
      </c>
      <c r="G649" t="s">
        <v>635</v>
      </c>
      <c r="H649" s="6">
        <v>8980.7000000000007</v>
      </c>
      <c r="I649" t="s">
        <v>3026</v>
      </c>
      <c r="L649" s="8" t="s">
        <v>4096</v>
      </c>
    </row>
    <row r="650" spans="1:12" x14ac:dyDescent="0.3">
      <c r="A650" t="s">
        <v>4097</v>
      </c>
      <c r="B650" t="s">
        <v>1381</v>
      </c>
      <c r="C650" t="s">
        <v>4098</v>
      </c>
      <c r="D650" t="s">
        <v>4099</v>
      </c>
      <c r="E650" t="s">
        <v>3954</v>
      </c>
      <c r="F650" t="s">
        <v>3955</v>
      </c>
      <c r="G650" t="s">
        <v>635</v>
      </c>
      <c r="H650" s="6">
        <v>8980.7000000000007</v>
      </c>
      <c r="I650" t="s">
        <v>3026</v>
      </c>
      <c r="L650" s="8" t="s">
        <v>4100</v>
      </c>
    </row>
    <row r="651" spans="1:12" x14ac:dyDescent="0.3">
      <c r="A651" t="s">
        <v>4101</v>
      </c>
      <c r="B651" t="s">
        <v>1381</v>
      </c>
      <c r="C651" t="s">
        <v>4102</v>
      </c>
      <c r="D651" t="s">
        <v>4103</v>
      </c>
      <c r="E651" t="s">
        <v>3954</v>
      </c>
      <c r="F651" t="s">
        <v>3955</v>
      </c>
      <c r="G651" t="s">
        <v>635</v>
      </c>
      <c r="H651" s="6">
        <v>9996</v>
      </c>
      <c r="I651" t="s">
        <v>3026</v>
      </c>
      <c r="L651" s="8" t="s">
        <v>4104</v>
      </c>
    </row>
    <row r="652" spans="1:12" x14ac:dyDescent="0.3">
      <c r="A652" t="s">
        <v>4105</v>
      </c>
      <c r="B652" t="s">
        <v>1381</v>
      </c>
      <c r="C652" t="s">
        <v>4106</v>
      </c>
      <c r="D652" t="s">
        <v>4107</v>
      </c>
      <c r="E652" t="s">
        <v>3954</v>
      </c>
      <c r="F652" t="s">
        <v>3955</v>
      </c>
      <c r="G652" t="s">
        <v>635</v>
      </c>
      <c r="H652" s="6">
        <v>9996</v>
      </c>
      <c r="I652" t="s">
        <v>3026</v>
      </c>
      <c r="L652" s="8" t="s">
        <v>4108</v>
      </c>
    </row>
    <row r="653" spans="1:12" x14ac:dyDescent="0.3">
      <c r="A653" t="s">
        <v>4109</v>
      </c>
      <c r="B653" t="s">
        <v>1381</v>
      </c>
      <c r="C653" t="s">
        <v>4110</v>
      </c>
      <c r="D653" t="s">
        <v>4111</v>
      </c>
      <c r="E653" t="s">
        <v>3954</v>
      </c>
      <c r="F653" t="s">
        <v>3955</v>
      </c>
      <c r="G653" t="s">
        <v>635</v>
      </c>
      <c r="H653" s="6">
        <v>7718.71</v>
      </c>
      <c r="I653" t="s">
        <v>3026</v>
      </c>
      <c r="L653" s="8" t="s">
        <v>4112</v>
      </c>
    </row>
    <row r="654" spans="1:12" x14ac:dyDescent="0.3">
      <c r="A654" t="s">
        <v>4113</v>
      </c>
      <c r="B654" t="s">
        <v>1381</v>
      </c>
      <c r="C654" t="s">
        <v>4114</v>
      </c>
      <c r="D654" t="s">
        <v>4115</v>
      </c>
      <c r="E654" t="s">
        <v>3954</v>
      </c>
      <c r="F654" t="s">
        <v>3955</v>
      </c>
      <c r="G654" t="s">
        <v>635</v>
      </c>
      <c r="H654" s="6">
        <v>7718.71</v>
      </c>
      <c r="I654" t="s">
        <v>3026</v>
      </c>
      <c r="L654" s="8" t="s">
        <v>4116</v>
      </c>
    </row>
    <row r="655" spans="1:12" x14ac:dyDescent="0.3">
      <c r="A655" t="s">
        <v>4117</v>
      </c>
      <c r="B655" t="s">
        <v>1381</v>
      </c>
      <c r="C655" t="s">
        <v>4118</v>
      </c>
      <c r="D655" t="s">
        <v>4119</v>
      </c>
      <c r="E655" t="s">
        <v>3954</v>
      </c>
      <c r="F655" t="s">
        <v>3955</v>
      </c>
      <c r="G655" t="s">
        <v>635</v>
      </c>
      <c r="H655" s="6">
        <v>9005.66</v>
      </c>
      <c r="I655" t="s">
        <v>3026</v>
      </c>
      <c r="L655" s="8" t="s">
        <v>4120</v>
      </c>
    </row>
    <row r="656" spans="1:12" x14ac:dyDescent="0.3">
      <c r="A656" t="s">
        <v>4121</v>
      </c>
      <c r="B656" t="s">
        <v>1381</v>
      </c>
      <c r="C656" t="s">
        <v>4122</v>
      </c>
      <c r="D656" t="s">
        <v>4123</v>
      </c>
      <c r="E656" t="s">
        <v>3954</v>
      </c>
      <c r="F656" t="s">
        <v>3955</v>
      </c>
      <c r="G656" t="s">
        <v>635</v>
      </c>
      <c r="H656" s="6">
        <v>9005.66</v>
      </c>
      <c r="I656" t="s">
        <v>3026</v>
      </c>
      <c r="L656" s="8" t="s">
        <v>4124</v>
      </c>
    </row>
    <row r="657" spans="1:12" x14ac:dyDescent="0.3">
      <c r="A657" t="s">
        <v>4125</v>
      </c>
      <c r="B657" t="s">
        <v>1381</v>
      </c>
      <c r="C657" t="s">
        <v>4126</v>
      </c>
      <c r="D657" t="s">
        <v>4127</v>
      </c>
      <c r="E657" t="s">
        <v>3954</v>
      </c>
      <c r="F657" t="s">
        <v>3955</v>
      </c>
      <c r="G657" t="s">
        <v>635</v>
      </c>
      <c r="H657" s="6">
        <v>9005.66</v>
      </c>
      <c r="I657" t="s">
        <v>3026</v>
      </c>
      <c r="L657" s="8" t="s">
        <v>4128</v>
      </c>
    </row>
    <row r="658" spans="1:12" x14ac:dyDescent="0.3">
      <c r="A658" t="s">
        <v>4129</v>
      </c>
      <c r="B658" t="s">
        <v>1381</v>
      </c>
      <c r="C658" t="s">
        <v>4130</v>
      </c>
      <c r="D658" t="s">
        <v>4131</v>
      </c>
      <c r="E658" t="s">
        <v>3954</v>
      </c>
      <c r="F658" t="s">
        <v>3955</v>
      </c>
      <c r="G658" t="s">
        <v>635</v>
      </c>
      <c r="H658" s="6">
        <v>9005.66</v>
      </c>
      <c r="I658" t="s">
        <v>3026</v>
      </c>
      <c r="L658" s="8" t="s">
        <v>4132</v>
      </c>
    </row>
    <row r="659" spans="1:12" x14ac:dyDescent="0.3">
      <c r="A659" t="s">
        <v>4133</v>
      </c>
      <c r="B659" t="s">
        <v>1381</v>
      </c>
      <c r="C659" t="s">
        <v>4134</v>
      </c>
      <c r="D659" t="s">
        <v>4135</v>
      </c>
      <c r="E659" t="s">
        <v>3954</v>
      </c>
      <c r="F659" t="s">
        <v>3955</v>
      </c>
      <c r="G659" t="s">
        <v>635</v>
      </c>
      <c r="H659" s="6">
        <v>11656.95</v>
      </c>
      <c r="I659" t="s">
        <v>3026</v>
      </c>
      <c r="L659" s="8" t="s">
        <v>4136</v>
      </c>
    </row>
    <row r="660" spans="1:12" x14ac:dyDescent="0.3">
      <c r="A660" t="s">
        <v>4137</v>
      </c>
      <c r="B660" t="s">
        <v>1381</v>
      </c>
      <c r="C660" t="s">
        <v>4138</v>
      </c>
      <c r="D660" t="s">
        <v>4139</v>
      </c>
      <c r="E660" t="s">
        <v>3954</v>
      </c>
      <c r="F660" t="s">
        <v>3955</v>
      </c>
      <c r="G660" t="s">
        <v>635</v>
      </c>
      <c r="H660" s="6">
        <v>11656.95</v>
      </c>
      <c r="I660" t="s">
        <v>3026</v>
      </c>
      <c r="L660" s="8" t="s">
        <v>4140</v>
      </c>
    </row>
    <row r="661" spans="1:12" x14ac:dyDescent="0.3">
      <c r="A661" t="s">
        <v>4141</v>
      </c>
      <c r="B661" t="s">
        <v>1381</v>
      </c>
      <c r="C661" t="s">
        <v>4142</v>
      </c>
      <c r="D661" t="s">
        <v>4143</v>
      </c>
      <c r="E661" t="s">
        <v>3954</v>
      </c>
      <c r="F661" t="s">
        <v>3955</v>
      </c>
      <c r="G661" t="s">
        <v>635</v>
      </c>
      <c r="H661" s="6">
        <v>9005.66</v>
      </c>
      <c r="I661" t="s">
        <v>3026</v>
      </c>
      <c r="L661" s="8" t="s">
        <v>4144</v>
      </c>
    </row>
    <row r="662" spans="1:12" x14ac:dyDescent="0.3">
      <c r="A662" t="s">
        <v>4145</v>
      </c>
      <c r="B662" t="s">
        <v>1381</v>
      </c>
      <c r="C662" t="s">
        <v>4146</v>
      </c>
      <c r="D662" t="s">
        <v>4147</v>
      </c>
      <c r="E662" t="s">
        <v>3954</v>
      </c>
      <c r="F662" t="s">
        <v>3955</v>
      </c>
      <c r="G662" t="s">
        <v>635</v>
      </c>
      <c r="H662" s="6">
        <v>9005.66</v>
      </c>
      <c r="I662" t="s">
        <v>3026</v>
      </c>
      <c r="L662" s="8" t="s">
        <v>4148</v>
      </c>
    </row>
    <row r="663" spans="1:12" x14ac:dyDescent="0.3">
      <c r="A663" t="s">
        <v>4149</v>
      </c>
      <c r="B663" t="s">
        <v>1381</v>
      </c>
      <c r="C663" t="s">
        <v>4150</v>
      </c>
      <c r="D663" t="s">
        <v>4151</v>
      </c>
      <c r="E663" t="s">
        <v>3954</v>
      </c>
      <c r="F663" t="s">
        <v>3955</v>
      </c>
      <c r="G663" t="s">
        <v>635</v>
      </c>
      <c r="H663" s="6">
        <v>10828.42</v>
      </c>
      <c r="I663" t="s">
        <v>3026</v>
      </c>
      <c r="L663" s="8" t="s">
        <v>4152</v>
      </c>
    </row>
    <row r="664" spans="1:12" x14ac:dyDescent="0.3">
      <c r="A664" t="s">
        <v>4153</v>
      </c>
      <c r="B664" t="s">
        <v>1381</v>
      </c>
      <c r="C664" t="s">
        <v>4154</v>
      </c>
      <c r="D664" t="s">
        <v>4155</v>
      </c>
      <c r="E664" t="s">
        <v>3954</v>
      </c>
      <c r="F664" t="s">
        <v>3955</v>
      </c>
      <c r="G664" t="s">
        <v>635</v>
      </c>
      <c r="H664" s="6">
        <v>7044.98</v>
      </c>
      <c r="I664" t="s">
        <v>3026</v>
      </c>
      <c r="L664" s="8" t="s">
        <v>4156</v>
      </c>
    </row>
    <row r="665" spans="1:12" x14ac:dyDescent="0.3">
      <c r="A665" t="s">
        <v>4157</v>
      </c>
      <c r="B665" t="s">
        <v>1381</v>
      </c>
      <c r="C665" t="s">
        <v>4158</v>
      </c>
      <c r="D665" t="s">
        <v>4159</v>
      </c>
      <c r="E665" t="s">
        <v>3954</v>
      </c>
      <c r="F665" t="s">
        <v>3955</v>
      </c>
      <c r="G665" t="s">
        <v>635</v>
      </c>
      <c r="H665" s="6">
        <v>7044.98</v>
      </c>
      <c r="I665" t="s">
        <v>3026</v>
      </c>
      <c r="L665" s="8" t="s">
        <v>4160</v>
      </c>
    </row>
    <row r="666" spans="1:12" x14ac:dyDescent="0.3">
      <c r="A666" t="s">
        <v>4161</v>
      </c>
      <c r="B666" t="s">
        <v>1381</v>
      </c>
      <c r="C666" t="s">
        <v>4162</v>
      </c>
      <c r="D666" t="s">
        <v>4163</v>
      </c>
      <c r="E666" t="s">
        <v>3954</v>
      </c>
      <c r="F666" t="s">
        <v>3955</v>
      </c>
      <c r="G666" t="s">
        <v>635</v>
      </c>
      <c r="H666" s="6">
        <v>1582.51</v>
      </c>
      <c r="I666" t="s">
        <v>3026</v>
      </c>
      <c r="L666" s="8" t="s">
        <v>4164</v>
      </c>
    </row>
    <row r="667" spans="1:12" x14ac:dyDescent="0.3">
      <c r="A667" t="s">
        <v>4165</v>
      </c>
      <c r="B667" t="s">
        <v>1381</v>
      </c>
      <c r="C667" t="s">
        <v>4166</v>
      </c>
      <c r="D667" t="s">
        <v>4167</v>
      </c>
      <c r="E667" t="s">
        <v>3954</v>
      </c>
      <c r="F667" t="s">
        <v>3955</v>
      </c>
      <c r="G667" t="s">
        <v>635</v>
      </c>
      <c r="H667" s="6">
        <v>931.72</v>
      </c>
      <c r="I667" t="s">
        <v>3026</v>
      </c>
      <c r="L667" s="8" t="s">
        <v>4168</v>
      </c>
    </row>
    <row r="668" spans="1:12" x14ac:dyDescent="0.3">
      <c r="A668" t="s">
        <v>4169</v>
      </c>
      <c r="B668" t="s">
        <v>1381</v>
      </c>
      <c r="C668" t="s">
        <v>4170</v>
      </c>
      <c r="D668" t="s">
        <v>4171</v>
      </c>
      <c r="E668" t="s">
        <v>3954</v>
      </c>
      <c r="F668" t="s">
        <v>3955</v>
      </c>
      <c r="G668" t="s">
        <v>635</v>
      </c>
      <c r="H668" s="6">
        <v>693.58</v>
      </c>
      <c r="I668" t="s">
        <v>3026</v>
      </c>
      <c r="L668" s="8" t="s">
        <v>4172</v>
      </c>
    </row>
    <row r="669" spans="1:12" x14ac:dyDescent="0.3">
      <c r="A669" t="s">
        <v>4173</v>
      </c>
      <c r="B669" t="s">
        <v>1381</v>
      </c>
      <c r="C669" t="s">
        <v>4170</v>
      </c>
      <c r="D669" t="s">
        <v>4171</v>
      </c>
      <c r="E669" t="s">
        <v>3954</v>
      </c>
      <c r="F669" t="s">
        <v>3955</v>
      </c>
      <c r="G669" t="s">
        <v>635</v>
      </c>
      <c r="H669" s="6">
        <v>693.58</v>
      </c>
      <c r="I669" t="s">
        <v>3026</v>
      </c>
      <c r="L669" s="8" t="s">
        <v>4174</v>
      </c>
    </row>
    <row r="670" spans="1:12" x14ac:dyDescent="0.3">
      <c r="A670" t="s">
        <v>4175</v>
      </c>
      <c r="B670" t="s">
        <v>1381</v>
      </c>
      <c r="C670" t="s">
        <v>4176</v>
      </c>
      <c r="D670" t="s">
        <v>4177</v>
      </c>
      <c r="E670" t="s">
        <v>3954</v>
      </c>
      <c r="F670" t="s">
        <v>3955</v>
      </c>
      <c r="G670" t="s">
        <v>635</v>
      </c>
      <c r="H670" s="6">
        <v>2530.83</v>
      </c>
      <c r="I670" t="s">
        <v>3026</v>
      </c>
      <c r="L670" s="8" t="s">
        <v>4178</v>
      </c>
    </row>
    <row r="671" spans="1:12" x14ac:dyDescent="0.3">
      <c r="A671" t="s">
        <v>4179</v>
      </c>
      <c r="B671" t="s">
        <v>1381</v>
      </c>
      <c r="C671" t="s">
        <v>4180</v>
      </c>
      <c r="D671" t="s">
        <v>4181</v>
      </c>
      <c r="E671" t="s">
        <v>3954</v>
      </c>
      <c r="F671" t="s">
        <v>3955</v>
      </c>
      <c r="G671" t="s">
        <v>635</v>
      </c>
      <c r="H671" s="6">
        <v>7316.19</v>
      </c>
      <c r="I671" t="s">
        <v>3026</v>
      </c>
      <c r="L671" s="8" t="s">
        <v>4182</v>
      </c>
    </row>
    <row r="672" spans="1:12" x14ac:dyDescent="0.3">
      <c r="A672" t="s">
        <v>4183</v>
      </c>
      <c r="B672" t="s">
        <v>1381</v>
      </c>
      <c r="C672" t="s">
        <v>4184</v>
      </c>
      <c r="D672" t="s">
        <v>4185</v>
      </c>
      <c r="E672" t="s">
        <v>3954</v>
      </c>
      <c r="F672" t="s">
        <v>3955</v>
      </c>
      <c r="G672" t="s">
        <v>635</v>
      </c>
      <c r="H672" s="6">
        <v>646.95000000000005</v>
      </c>
      <c r="I672" t="s">
        <v>3026</v>
      </c>
      <c r="L672" s="8" t="s">
        <v>4186</v>
      </c>
    </row>
    <row r="673" spans="1:12" x14ac:dyDescent="0.3">
      <c r="A673" t="s">
        <v>4187</v>
      </c>
      <c r="B673" t="s">
        <v>1381</v>
      </c>
      <c r="C673" t="s">
        <v>4188</v>
      </c>
      <c r="D673" t="s">
        <v>4189</v>
      </c>
      <c r="E673" t="s">
        <v>3954</v>
      </c>
      <c r="F673" t="s">
        <v>3955</v>
      </c>
      <c r="G673" t="s">
        <v>635</v>
      </c>
      <c r="H673" s="6">
        <v>8221.7800000000007</v>
      </c>
      <c r="I673" t="s">
        <v>3026</v>
      </c>
      <c r="L673" s="8" t="s">
        <v>4190</v>
      </c>
    </row>
    <row r="674" spans="1:12" x14ac:dyDescent="0.3">
      <c r="A674" t="s">
        <v>4191</v>
      </c>
      <c r="B674" t="s">
        <v>1381</v>
      </c>
      <c r="C674" t="s">
        <v>4192</v>
      </c>
      <c r="D674" t="s">
        <v>4193</v>
      </c>
      <c r="E674" t="s">
        <v>3954</v>
      </c>
      <c r="F674" t="s">
        <v>3955</v>
      </c>
      <c r="G674" t="s">
        <v>635</v>
      </c>
      <c r="H674" s="6">
        <v>8796.2999999999993</v>
      </c>
      <c r="I674" t="s">
        <v>3026</v>
      </c>
      <c r="L674" s="8" t="s">
        <v>4194</v>
      </c>
    </row>
    <row r="675" spans="1:12" x14ac:dyDescent="0.3">
      <c r="A675" t="s">
        <v>4195</v>
      </c>
      <c r="B675" t="s">
        <v>1381</v>
      </c>
      <c r="C675" t="s">
        <v>4196</v>
      </c>
      <c r="D675" t="s">
        <v>4197</v>
      </c>
      <c r="E675" t="s">
        <v>3954</v>
      </c>
      <c r="F675" t="s">
        <v>3955</v>
      </c>
      <c r="G675" t="s">
        <v>635</v>
      </c>
      <c r="H675" s="6">
        <v>8796.2999999999993</v>
      </c>
      <c r="I675" t="s">
        <v>3026</v>
      </c>
      <c r="L675" s="8" t="s">
        <v>4198</v>
      </c>
    </row>
    <row r="676" spans="1:12" x14ac:dyDescent="0.3">
      <c r="A676" t="s">
        <v>4199</v>
      </c>
      <c r="B676" t="s">
        <v>1381</v>
      </c>
      <c r="C676" t="s">
        <v>4200</v>
      </c>
      <c r="D676" t="s">
        <v>4201</v>
      </c>
      <c r="E676" t="s">
        <v>3954</v>
      </c>
      <c r="F676" t="s">
        <v>3955</v>
      </c>
      <c r="G676" t="s">
        <v>635</v>
      </c>
      <c r="H676" s="6">
        <v>3196.04</v>
      </c>
      <c r="I676" t="s">
        <v>3026</v>
      </c>
      <c r="L676" s="8" t="s">
        <v>4202</v>
      </c>
    </row>
    <row r="677" spans="1:12" x14ac:dyDescent="0.3">
      <c r="A677" t="s">
        <v>4203</v>
      </c>
      <c r="B677" t="s">
        <v>1381</v>
      </c>
      <c r="C677" t="s">
        <v>4204</v>
      </c>
      <c r="D677" t="s">
        <v>4205</v>
      </c>
      <c r="E677" t="s">
        <v>3954</v>
      </c>
      <c r="F677" t="s">
        <v>3955</v>
      </c>
      <c r="G677" t="s">
        <v>635</v>
      </c>
      <c r="H677" s="6">
        <v>3196.04</v>
      </c>
      <c r="I677" t="s">
        <v>3026</v>
      </c>
      <c r="L677" s="8" t="s">
        <v>4206</v>
      </c>
    </row>
    <row r="678" spans="1:12" x14ac:dyDescent="0.3">
      <c r="A678" t="s">
        <v>4207</v>
      </c>
      <c r="B678" t="s">
        <v>1381</v>
      </c>
      <c r="C678" t="s">
        <v>4208</v>
      </c>
      <c r="D678" t="s">
        <v>4209</v>
      </c>
      <c r="E678" t="s">
        <v>3954</v>
      </c>
      <c r="F678" t="s">
        <v>3955</v>
      </c>
      <c r="G678" t="s">
        <v>635</v>
      </c>
      <c r="H678" s="6">
        <v>37312.57</v>
      </c>
      <c r="I678" t="s">
        <v>3026</v>
      </c>
      <c r="L678" s="8" t="s">
        <v>4210</v>
      </c>
    </row>
    <row r="679" spans="1:12" x14ac:dyDescent="0.3">
      <c r="A679" t="s">
        <v>4211</v>
      </c>
      <c r="B679" t="s">
        <v>1381</v>
      </c>
      <c r="C679" t="s">
        <v>4212</v>
      </c>
      <c r="D679" t="s">
        <v>4213</v>
      </c>
      <c r="E679" t="s">
        <v>3954</v>
      </c>
      <c r="F679" t="s">
        <v>3955</v>
      </c>
      <c r="G679" t="s">
        <v>635</v>
      </c>
      <c r="H679" s="6">
        <v>37312.57</v>
      </c>
      <c r="I679" t="s">
        <v>3026</v>
      </c>
      <c r="L679" s="8" t="s">
        <v>4214</v>
      </c>
    </row>
    <row r="680" spans="1:12" x14ac:dyDescent="0.3">
      <c r="A680" t="s">
        <v>4215</v>
      </c>
      <c r="B680" t="s">
        <v>1381</v>
      </c>
      <c r="C680" t="s">
        <v>4216</v>
      </c>
      <c r="D680" t="s">
        <v>4217</v>
      </c>
      <c r="E680" t="s">
        <v>3954</v>
      </c>
      <c r="F680" t="s">
        <v>3955</v>
      </c>
      <c r="G680" t="s">
        <v>635</v>
      </c>
      <c r="H680" s="6">
        <v>37312.57</v>
      </c>
      <c r="I680" t="s">
        <v>3026</v>
      </c>
      <c r="L680" s="8" t="s">
        <v>4218</v>
      </c>
    </row>
    <row r="681" spans="1:12" x14ac:dyDescent="0.3">
      <c r="A681" t="s">
        <v>4219</v>
      </c>
      <c r="B681" t="s">
        <v>1381</v>
      </c>
      <c r="C681" t="s">
        <v>4220</v>
      </c>
      <c r="D681" t="s">
        <v>4221</v>
      </c>
      <c r="E681" t="s">
        <v>3954</v>
      </c>
      <c r="F681" t="s">
        <v>3955</v>
      </c>
      <c r="G681" t="s">
        <v>635</v>
      </c>
      <c r="H681" s="6">
        <v>37312.57</v>
      </c>
      <c r="I681" t="s">
        <v>3026</v>
      </c>
      <c r="L681" s="8" t="s">
        <v>4222</v>
      </c>
    </row>
    <row r="682" spans="1:12" x14ac:dyDescent="0.3">
      <c r="A682" t="s">
        <v>4223</v>
      </c>
      <c r="B682" t="s">
        <v>1381</v>
      </c>
      <c r="C682" t="s">
        <v>4224</v>
      </c>
      <c r="D682" t="s">
        <v>4225</v>
      </c>
      <c r="E682" t="s">
        <v>3954</v>
      </c>
      <c r="F682" t="s">
        <v>3955</v>
      </c>
      <c r="G682" t="s">
        <v>635</v>
      </c>
      <c r="H682" s="6">
        <v>41368.89</v>
      </c>
      <c r="I682" t="s">
        <v>3026</v>
      </c>
      <c r="L682" s="8" t="s">
        <v>4226</v>
      </c>
    </row>
    <row r="683" spans="1:12" x14ac:dyDescent="0.3">
      <c r="A683" t="s">
        <v>4227</v>
      </c>
      <c r="B683" t="s">
        <v>1381</v>
      </c>
      <c r="C683" t="s">
        <v>4228</v>
      </c>
      <c r="D683" t="s">
        <v>4229</v>
      </c>
      <c r="E683" t="s">
        <v>3954</v>
      </c>
      <c r="F683" t="s">
        <v>3955</v>
      </c>
      <c r="G683" t="s">
        <v>635</v>
      </c>
      <c r="H683" s="6">
        <v>41368.89</v>
      </c>
      <c r="I683" t="s">
        <v>3026</v>
      </c>
      <c r="L683" s="8" t="s">
        <v>4230</v>
      </c>
    </row>
    <row r="684" spans="1:12" x14ac:dyDescent="0.3">
      <c r="A684" t="s">
        <v>4231</v>
      </c>
      <c r="B684" t="s">
        <v>1381</v>
      </c>
      <c r="C684" t="s">
        <v>4232</v>
      </c>
      <c r="D684" t="s">
        <v>4233</v>
      </c>
      <c r="E684" t="s">
        <v>3954</v>
      </c>
      <c r="F684" t="s">
        <v>3955</v>
      </c>
      <c r="G684" t="s">
        <v>635</v>
      </c>
      <c r="H684" s="6">
        <v>41368.89</v>
      </c>
      <c r="I684" t="s">
        <v>3026</v>
      </c>
      <c r="L684" s="8" t="s">
        <v>4234</v>
      </c>
    </row>
    <row r="685" spans="1:12" x14ac:dyDescent="0.3">
      <c r="A685" t="s">
        <v>4235</v>
      </c>
      <c r="B685" t="s">
        <v>1381</v>
      </c>
      <c r="C685" t="s">
        <v>4236</v>
      </c>
      <c r="D685" t="s">
        <v>4237</v>
      </c>
      <c r="E685" t="s">
        <v>3954</v>
      </c>
      <c r="F685" t="s">
        <v>3955</v>
      </c>
      <c r="G685" t="s">
        <v>635</v>
      </c>
      <c r="H685" s="6">
        <v>41368.89</v>
      </c>
      <c r="I685" t="s">
        <v>3026</v>
      </c>
      <c r="L685" s="8" t="s">
        <v>4238</v>
      </c>
    </row>
    <row r="686" spans="1:12" x14ac:dyDescent="0.3">
      <c r="A686" t="s">
        <v>4239</v>
      </c>
      <c r="B686" t="s">
        <v>1381</v>
      </c>
      <c r="C686" t="s">
        <v>4240</v>
      </c>
      <c r="D686" t="s">
        <v>4241</v>
      </c>
      <c r="E686" t="s">
        <v>4242</v>
      </c>
      <c r="F686" t="s">
        <v>3955</v>
      </c>
      <c r="G686" t="s">
        <v>635</v>
      </c>
      <c r="H686" s="6">
        <v>2765.4</v>
      </c>
      <c r="I686" t="s">
        <v>3026</v>
      </c>
      <c r="L686" s="8" t="s">
        <v>4243</v>
      </c>
    </row>
    <row r="687" spans="1:12" x14ac:dyDescent="0.3">
      <c r="A687" t="s">
        <v>4244</v>
      </c>
      <c r="B687" t="s">
        <v>1381</v>
      </c>
      <c r="C687" t="s">
        <v>1551</v>
      </c>
      <c r="D687" t="s">
        <v>4245</v>
      </c>
      <c r="E687" t="s">
        <v>4242</v>
      </c>
      <c r="F687" t="s">
        <v>3955</v>
      </c>
      <c r="G687" t="s">
        <v>635</v>
      </c>
      <c r="H687" s="6">
        <v>5169.62</v>
      </c>
      <c r="I687" t="s">
        <v>3026</v>
      </c>
      <c r="L687" s="8" t="s">
        <v>4246</v>
      </c>
    </row>
    <row r="688" spans="1:12" x14ac:dyDescent="0.3">
      <c r="A688" t="s">
        <v>4247</v>
      </c>
      <c r="B688" t="s">
        <v>1381</v>
      </c>
      <c r="C688" t="s">
        <v>1557</v>
      </c>
      <c r="D688" t="s">
        <v>4248</v>
      </c>
      <c r="E688" t="s">
        <v>4242</v>
      </c>
      <c r="F688" t="s">
        <v>3955</v>
      </c>
      <c r="G688" t="s">
        <v>635</v>
      </c>
      <c r="H688" s="6">
        <v>4093.03</v>
      </c>
      <c r="I688" t="s">
        <v>3026</v>
      </c>
      <c r="L688" s="8" t="s">
        <v>4249</v>
      </c>
    </row>
    <row r="689" spans="1:12" x14ac:dyDescent="0.3">
      <c r="A689" t="s">
        <v>4250</v>
      </c>
      <c r="B689" t="s">
        <v>1381</v>
      </c>
      <c r="C689" t="s">
        <v>1559</v>
      </c>
      <c r="D689" t="s">
        <v>4251</v>
      </c>
      <c r="E689" t="s">
        <v>4242</v>
      </c>
      <c r="F689" t="s">
        <v>3955</v>
      </c>
      <c r="G689" t="s">
        <v>635</v>
      </c>
      <c r="H689" s="6">
        <v>2513.37</v>
      </c>
      <c r="I689" t="s">
        <v>3026</v>
      </c>
      <c r="L689" s="8" t="s">
        <v>4252</v>
      </c>
    </row>
    <row r="690" spans="1:12" x14ac:dyDescent="0.3">
      <c r="A690" t="s">
        <v>4253</v>
      </c>
      <c r="B690" t="s">
        <v>1381</v>
      </c>
      <c r="C690" t="s">
        <v>1561</v>
      </c>
      <c r="D690" t="s">
        <v>4254</v>
      </c>
      <c r="E690" t="s">
        <v>4242</v>
      </c>
      <c r="F690" t="s">
        <v>3955</v>
      </c>
      <c r="G690" t="s">
        <v>635</v>
      </c>
      <c r="H690" s="6">
        <v>3247.63</v>
      </c>
      <c r="I690" t="s">
        <v>3026</v>
      </c>
      <c r="L690" s="8" t="s">
        <v>4255</v>
      </c>
    </row>
    <row r="691" spans="1:12" x14ac:dyDescent="0.3">
      <c r="A691" t="s">
        <v>4256</v>
      </c>
      <c r="B691" t="s">
        <v>1381</v>
      </c>
      <c r="C691" t="s">
        <v>1567</v>
      </c>
      <c r="D691" t="s">
        <v>4257</v>
      </c>
      <c r="E691" t="s">
        <v>3954</v>
      </c>
      <c r="F691" t="s">
        <v>3955</v>
      </c>
      <c r="G691" t="s">
        <v>635</v>
      </c>
      <c r="H691" s="6">
        <v>256</v>
      </c>
      <c r="I691" t="s">
        <v>3026</v>
      </c>
      <c r="L691" s="8" t="s">
        <v>4258</v>
      </c>
    </row>
    <row r="692" spans="1:12" x14ac:dyDescent="0.3">
      <c r="A692" t="s">
        <v>4259</v>
      </c>
      <c r="B692" t="s">
        <v>1381</v>
      </c>
      <c r="C692" t="s">
        <v>1565</v>
      </c>
      <c r="D692" t="s">
        <v>4260</v>
      </c>
      <c r="E692" t="s">
        <v>3954</v>
      </c>
      <c r="F692" t="s">
        <v>3955</v>
      </c>
      <c r="G692" t="s">
        <v>635</v>
      </c>
      <c r="H692" s="6">
        <v>1315.72</v>
      </c>
      <c r="I692" t="s">
        <v>3026</v>
      </c>
      <c r="L692" s="8" t="s">
        <v>4261</v>
      </c>
    </row>
    <row r="693" spans="1:12" x14ac:dyDescent="0.3">
      <c r="A693" t="s">
        <v>4262</v>
      </c>
      <c r="B693" t="s">
        <v>1381</v>
      </c>
      <c r="C693" t="s">
        <v>4263</v>
      </c>
      <c r="D693" t="s">
        <v>4264</v>
      </c>
      <c r="E693" t="s">
        <v>3954</v>
      </c>
      <c r="F693" t="s">
        <v>3955</v>
      </c>
      <c r="G693" t="s">
        <v>635</v>
      </c>
      <c r="H693" s="6">
        <v>26025.38</v>
      </c>
      <c r="I693" t="s">
        <v>3026</v>
      </c>
      <c r="L693" s="8" t="s">
        <v>4265</v>
      </c>
    </row>
    <row r="694" spans="1:12" x14ac:dyDescent="0.3">
      <c r="A694" t="s">
        <v>4266</v>
      </c>
      <c r="B694" t="s">
        <v>1381</v>
      </c>
      <c r="C694" t="s">
        <v>4267</v>
      </c>
      <c r="D694" t="s">
        <v>4268</v>
      </c>
      <c r="E694" t="s">
        <v>3954</v>
      </c>
      <c r="F694" t="s">
        <v>3955</v>
      </c>
      <c r="G694" t="s">
        <v>635</v>
      </c>
      <c r="H694" s="6">
        <v>12862.31</v>
      </c>
      <c r="I694" t="s">
        <v>3026</v>
      </c>
      <c r="L694" s="8" t="s">
        <v>4269</v>
      </c>
    </row>
    <row r="695" spans="1:12" x14ac:dyDescent="0.3">
      <c r="A695" t="s">
        <v>4270</v>
      </c>
      <c r="B695" t="s">
        <v>1381</v>
      </c>
      <c r="C695" t="s">
        <v>4271</v>
      </c>
      <c r="D695" t="s">
        <v>4272</v>
      </c>
      <c r="E695" t="s">
        <v>3954</v>
      </c>
      <c r="F695" t="s">
        <v>3955</v>
      </c>
      <c r="G695" t="s">
        <v>635</v>
      </c>
      <c r="H695" s="6">
        <v>12862.31</v>
      </c>
      <c r="I695" t="s">
        <v>3026</v>
      </c>
      <c r="L695" s="8" t="s">
        <v>4273</v>
      </c>
    </row>
    <row r="696" spans="1:12" x14ac:dyDescent="0.3">
      <c r="A696" t="s">
        <v>4274</v>
      </c>
      <c r="B696" t="s">
        <v>1381</v>
      </c>
      <c r="C696" t="s">
        <v>4275</v>
      </c>
      <c r="D696" t="s">
        <v>4276</v>
      </c>
      <c r="E696" t="s">
        <v>3954</v>
      </c>
      <c r="F696" t="s">
        <v>3955</v>
      </c>
      <c r="G696" t="s">
        <v>635</v>
      </c>
      <c r="H696" s="6">
        <v>12862.31</v>
      </c>
      <c r="I696" t="s">
        <v>3026</v>
      </c>
      <c r="L696" s="8" t="s">
        <v>4277</v>
      </c>
    </row>
    <row r="697" spans="1:12" x14ac:dyDescent="0.3">
      <c r="A697" t="s">
        <v>4278</v>
      </c>
      <c r="B697" t="s">
        <v>1381</v>
      </c>
      <c r="C697" t="s">
        <v>4279</v>
      </c>
      <c r="D697" t="s">
        <v>4280</v>
      </c>
      <c r="E697" t="s">
        <v>3954</v>
      </c>
      <c r="F697" t="s">
        <v>3955</v>
      </c>
      <c r="G697" t="s">
        <v>635</v>
      </c>
      <c r="H697" s="6">
        <v>12610.51</v>
      </c>
      <c r="I697" t="s">
        <v>3026</v>
      </c>
      <c r="L697" s="8" t="s">
        <v>4281</v>
      </c>
    </row>
    <row r="698" spans="1:12" x14ac:dyDescent="0.3">
      <c r="A698" t="s">
        <v>4282</v>
      </c>
      <c r="B698" t="s">
        <v>1381</v>
      </c>
      <c r="C698" t="s">
        <v>4283</v>
      </c>
      <c r="D698" t="s">
        <v>4284</v>
      </c>
      <c r="E698" t="s">
        <v>3954</v>
      </c>
      <c r="F698" t="s">
        <v>3955</v>
      </c>
      <c r="G698" t="s">
        <v>635</v>
      </c>
      <c r="H698" s="6">
        <v>12610.51</v>
      </c>
      <c r="I698" t="s">
        <v>3026</v>
      </c>
      <c r="L698" s="8" t="s">
        <v>4285</v>
      </c>
    </row>
    <row r="699" spans="1:12" x14ac:dyDescent="0.3">
      <c r="A699" t="s">
        <v>4286</v>
      </c>
      <c r="B699" t="s">
        <v>1381</v>
      </c>
      <c r="C699" t="s">
        <v>4287</v>
      </c>
      <c r="D699" t="s">
        <v>4288</v>
      </c>
      <c r="E699" t="s">
        <v>3954</v>
      </c>
      <c r="F699" t="s">
        <v>3955</v>
      </c>
      <c r="G699" t="s">
        <v>635</v>
      </c>
      <c r="H699" s="6">
        <v>21701.89</v>
      </c>
      <c r="I699" t="s">
        <v>3026</v>
      </c>
      <c r="L699" s="8" t="s">
        <v>4289</v>
      </c>
    </row>
    <row r="700" spans="1:12" x14ac:dyDescent="0.3">
      <c r="A700" t="s">
        <v>4290</v>
      </c>
      <c r="B700" t="s">
        <v>1381</v>
      </c>
      <c r="C700" t="s">
        <v>4291</v>
      </c>
      <c r="D700" t="s">
        <v>4292</v>
      </c>
      <c r="E700" t="s">
        <v>3954</v>
      </c>
      <c r="F700" t="s">
        <v>3955</v>
      </c>
      <c r="G700" t="s">
        <v>635</v>
      </c>
      <c r="H700" s="6">
        <v>21701.89</v>
      </c>
      <c r="I700" t="s">
        <v>3026</v>
      </c>
      <c r="L700" s="8" t="s">
        <v>4293</v>
      </c>
    </row>
    <row r="701" spans="1:12" x14ac:dyDescent="0.3">
      <c r="A701" t="s">
        <v>4294</v>
      </c>
      <c r="B701" t="s">
        <v>1381</v>
      </c>
      <c r="C701" t="s">
        <v>4295</v>
      </c>
      <c r="D701" t="s">
        <v>4296</v>
      </c>
      <c r="E701" t="s">
        <v>3954</v>
      </c>
      <c r="F701" t="s">
        <v>3955</v>
      </c>
      <c r="G701" t="s">
        <v>635</v>
      </c>
      <c r="H701" s="6">
        <v>12862.12</v>
      </c>
      <c r="I701" t="s">
        <v>3026</v>
      </c>
      <c r="L701" s="8" t="s">
        <v>4297</v>
      </c>
    </row>
    <row r="702" spans="1:12" x14ac:dyDescent="0.3">
      <c r="A702" t="s">
        <v>4298</v>
      </c>
      <c r="B702" t="s">
        <v>1381</v>
      </c>
      <c r="C702" t="s">
        <v>4299</v>
      </c>
      <c r="D702" t="s">
        <v>4300</v>
      </c>
      <c r="E702" t="s">
        <v>3954</v>
      </c>
      <c r="F702" t="s">
        <v>3955</v>
      </c>
      <c r="G702" t="s">
        <v>635</v>
      </c>
      <c r="H702" s="6">
        <v>12862.12</v>
      </c>
      <c r="I702" t="s">
        <v>3026</v>
      </c>
      <c r="L702" s="8" t="s">
        <v>4301</v>
      </c>
    </row>
    <row r="703" spans="1:12" x14ac:dyDescent="0.3">
      <c r="A703" t="s">
        <v>4302</v>
      </c>
      <c r="B703" t="s">
        <v>1381</v>
      </c>
      <c r="C703" t="s">
        <v>4303</v>
      </c>
      <c r="D703" t="s">
        <v>4304</v>
      </c>
      <c r="E703" t="s">
        <v>3954</v>
      </c>
      <c r="F703" t="s">
        <v>3955</v>
      </c>
      <c r="G703" t="s">
        <v>635</v>
      </c>
      <c r="H703" s="6">
        <v>14946.26</v>
      </c>
      <c r="I703" t="s">
        <v>3026</v>
      </c>
      <c r="L703" s="8" t="s">
        <v>4305</v>
      </c>
    </row>
    <row r="704" spans="1:12" x14ac:dyDescent="0.3">
      <c r="A704" t="s">
        <v>4306</v>
      </c>
      <c r="B704" t="s">
        <v>1381</v>
      </c>
      <c r="C704" t="s">
        <v>4307</v>
      </c>
      <c r="D704" t="s">
        <v>4308</v>
      </c>
      <c r="E704" t="s">
        <v>3954</v>
      </c>
      <c r="F704" t="s">
        <v>3955</v>
      </c>
      <c r="G704" t="s">
        <v>635</v>
      </c>
      <c r="H704" s="6">
        <v>14946.26</v>
      </c>
      <c r="I704" t="s">
        <v>3026</v>
      </c>
      <c r="L704" s="8" t="s">
        <v>4309</v>
      </c>
    </row>
    <row r="705" spans="1:12" x14ac:dyDescent="0.3">
      <c r="A705" t="s">
        <v>4310</v>
      </c>
      <c r="B705" t="s">
        <v>1381</v>
      </c>
      <c r="C705" t="s">
        <v>1603</v>
      </c>
      <c r="D705" t="s">
        <v>4311</v>
      </c>
      <c r="E705" t="s">
        <v>3954</v>
      </c>
      <c r="F705" t="s">
        <v>3955</v>
      </c>
      <c r="G705" t="s">
        <v>635</v>
      </c>
      <c r="H705" s="6">
        <v>12610.51</v>
      </c>
      <c r="I705" t="s">
        <v>3026</v>
      </c>
      <c r="L705" s="8" t="s">
        <v>4312</v>
      </c>
    </row>
    <row r="706" spans="1:12" x14ac:dyDescent="0.3">
      <c r="A706" t="s">
        <v>4313</v>
      </c>
      <c r="B706" t="s">
        <v>1381</v>
      </c>
      <c r="C706" t="s">
        <v>4314</v>
      </c>
      <c r="D706" t="s">
        <v>4315</v>
      </c>
      <c r="E706" t="s">
        <v>3954</v>
      </c>
      <c r="F706" t="s">
        <v>3955</v>
      </c>
      <c r="G706" t="s">
        <v>635</v>
      </c>
      <c r="H706" s="6">
        <v>9378.52</v>
      </c>
      <c r="I706" t="s">
        <v>3026</v>
      </c>
      <c r="L706" s="8" t="s">
        <v>4316</v>
      </c>
    </row>
    <row r="707" spans="1:12" x14ac:dyDescent="0.3">
      <c r="A707" t="s">
        <v>4317</v>
      </c>
      <c r="B707" t="s">
        <v>1381</v>
      </c>
      <c r="C707" t="s">
        <v>4318</v>
      </c>
      <c r="D707" t="s">
        <v>4319</v>
      </c>
      <c r="E707" t="s">
        <v>3954</v>
      </c>
      <c r="F707" t="s">
        <v>3955</v>
      </c>
      <c r="G707" t="s">
        <v>635</v>
      </c>
      <c r="H707" s="6">
        <v>9378.52</v>
      </c>
      <c r="I707" t="s">
        <v>3026</v>
      </c>
      <c r="L707" s="8" t="s">
        <v>4320</v>
      </c>
    </row>
    <row r="708" spans="1:12" x14ac:dyDescent="0.3">
      <c r="A708" t="s">
        <v>4321</v>
      </c>
      <c r="B708" t="s">
        <v>1381</v>
      </c>
      <c r="C708" t="s">
        <v>4322</v>
      </c>
      <c r="D708" t="s">
        <v>4323</v>
      </c>
      <c r="E708" t="s">
        <v>3954</v>
      </c>
      <c r="F708" t="s">
        <v>3955</v>
      </c>
      <c r="G708" t="s">
        <v>635</v>
      </c>
      <c r="H708" s="6">
        <v>12862.31</v>
      </c>
      <c r="I708" t="s">
        <v>3026</v>
      </c>
      <c r="L708" s="8" t="s">
        <v>4324</v>
      </c>
    </row>
    <row r="709" spans="1:12" x14ac:dyDescent="0.3">
      <c r="A709" t="s">
        <v>4325</v>
      </c>
      <c r="B709" t="s">
        <v>1381</v>
      </c>
      <c r="C709" t="s">
        <v>4326</v>
      </c>
      <c r="D709" t="s">
        <v>4327</v>
      </c>
      <c r="E709" t="s">
        <v>3954</v>
      </c>
      <c r="F709" t="s">
        <v>3955</v>
      </c>
      <c r="G709" t="s">
        <v>635</v>
      </c>
      <c r="H709" s="6">
        <v>12862.31</v>
      </c>
      <c r="I709" t="s">
        <v>3026</v>
      </c>
      <c r="L709" s="8" t="s">
        <v>4328</v>
      </c>
    </row>
    <row r="710" spans="1:12" x14ac:dyDescent="0.3">
      <c r="A710" t="s">
        <v>4329</v>
      </c>
      <c r="B710" t="s">
        <v>1381</v>
      </c>
      <c r="C710" t="s">
        <v>4330</v>
      </c>
      <c r="D710" t="s">
        <v>4331</v>
      </c>
      <c r="E710" t="s">
        <v>3954</v>
      </c>
      <c r="F710" t="s">
        <v>3955</v>
      </c>
      <c r="G710" t="s">
        <v>635</v>
      </c>
      <c r="H710" s="6">
        <v>11592.71</v>
      </c>
      <c r="I710" t="s">
        <v>3026</v>
      </c>
      <c r="L710" s="8" t="s">
        <v>4332</v>
      </c>
    </row>
    <row r="711" spans="1:12" x14ac:dyDescent="0.3">
      <c r="A711" t="s">
        <v>4333</v>
      </c>
      <c r="B711" t="s">
        <v>1381</v>
      </c>
      <c r="C711" t="s">
        <v>4334</v>
      </c>
      <c r="D711" t="s">
        <v>4335</v>
      </c>
      <c r="E711" t="s">
        <v>3954</v>
      </c>
      <c r="F711" t="s">
        <v>3955</v>
      </c>
      <c r="G711" t="s">
        <v>635</v>
      </c>
      <c r="H711" s="6">
        <v>14946.26</v>
      </c>
      <c r="I711" t="s">
        <v>3026</v>
      </c>
      <c r="L711" s="8" t="s">
        <v>4336</v>
      </c>
    </row>
    <row r="712" spans="1:12" x14ac:dyDescent="0.3">
      <c r="A712" t="s">
        <v>4337</v>
      </c>
      <c r="B712" t="s">
        <v>1381</v>
      </c>
      <c r="C712" t="s">
        <v>4338</v>
      </c>
      <c r="D712" t="s">
        <v>4339</v>
      </c>
      <c r="E712" t="s">
        <v>3954</v>
      </c>
      <c r="F712" t="s">
        <v>3955</v>
      </c>
      <c r="G712" t="s">
        <v>635</v>
      </c>
      <c r="H712" s="6">
        <v>14946.26</v>
      </c>
      <c r="I712" t="s">
        <v>3026</v>
      </c>
      <c r="L712" s="8" t="s">
        <v>4340</v>
      </c>
    </row>
    <row r="713" spans="1:12" x14ac:dyDescent="0.3">
      <c r="A713" t="s">
        <v>4341</v>
      </c>
      <c r="B713" t="s">
        <v>1381</v>
      </c>
      <c r="C713" t="s">
        <v>4342</v>
      </c>
      <c r="D713" t="s">
        <v>4343</v>
      </c>
      <c r="E713" t="s">
        <v>3954</v>
      </c>
      <c r="F713" t="s">
        <v>3955</v>
      </c>
      <c r="G713" t="s">
        <v>635</v>
      </c>
      <c r="H713" s="6">
        <v>15005.8</v>
      </c>
      <c r="I713" t="s">
        <v>3026</v>
      </c>
      <c r="L713" s="8" t="s">
        <v>4344</v>
      </c>
    </row>
    <row r="714" spans="1:12" x14ac:dyDescent="0.3">
      <c r="A714" t="s">
        <v>4345</v>
      </c>
      <c r="B714" t="s">
        <v>1381</v>
      </c>
      <c r="C714" t="s">
        <v>4346</v>
      </c>
      <c r="D714" t="s">
        <v>4347</v>
      </c>
      <c r="E714" t="s">
        <v>3954</v>
      </c>
      <c r="F714" t="s">
        <v>3955</v>
      </c>
      <c r="G714" t="s">
        <v>635</v>
      </c>
      <c r="H714" s="6">
        <v>17905.150000000001</v>
      </c>
      <c r="I714" t="s">
        <v>3026</v>
      </c>
      <c r="L714" s="8" t="s">
        <v>4348</v>
      </c>
    </row>
    <row r="715" spans="1:12" x14ac:dyDescent="0.3">
      <c r="A715" t="s">
        <v>4349</v>
      </c>
      <c r="B715" t="s">
        <v>1381</v>
      </c>
      <c r="C715" t="s">
        <v>1509</v>
      </c>
      <c r="D715" t="s">
        <v>4350</v>
      </c>
      <c r="E715" t="s">
        <v>3954</v>
      </c>
      <c r="F715" t="s">
        <v>3955</v>
      </c>
      <c r="G715" t="s">
        <v>635</v>
      </c>
      <c r="H715" s="6">
        <v>17905.150000000001</v>
      </c>
      <c r="I715" t="s">
        <v>3026</v>
      </c>
      <c r="L715" s="8" t="s">
        <v>4351</v>
      </c>
    </row>
    <row r="716" spans="1:12" x14ac:dyDescent="0.3">
      <c r="A716" t="s">
        <v>4352</v>
      </c>
      <c r="B716" t="s">
        <v>1381</v>
      </c>
      <c r="C716" t="s">
        <v>4353</v>
      </c>
      <c r="D716" t="s">
        <v>4354</v>
      </c>
      <c r="E716" t="s">
        <v>3954</v>
      </c>
      <c r="F716" t="s">
        <v>3955</v>
      </c>
      <c r="G716" t="s">
        <v>635</v>
      </c>
      <c r="H716" s="6">
        <v>12913.77</v>
      </c>
      <c r="I716" t="s">
        <v>3026</v>
      </c>
      <c r="L716" s="8" t="s">
        <v>4355</v>
      </c>
    </row>
    <row r="717" spans="1:12" x14ac:dyDescent="0.3">
      <c r="A717" t="s">
        <v>4356</v>
      </c>
      <c r="B717" t="s">
        <v>1381</v>
      </c>
      <c r="C717" t="s">
        <v>4357</v>
      </c>
      <c r="D717" t="s">
        <v>4358</v>
      </c>
      <c r="E717" t="s">
        <v>3954</v>
      </c>
      <c r="F717" t="s">
        <v>3955</v>
      </c>
      <c r="G717" t="s">
        <v>635</v>
      </c>
      <c r="H717" s="6">
        <v>12714.87</v>
      </c>
      <c r="I717" t="s">
        <v>3026</v>
      </c>
      <c r="L717" s="8" t="s">
        <v>4359</v>
      </c>
    </row>
    <row r="718" spans="1:12" x14ac:dyDescent="0.3">
      <c r="A718" t="s">
        <v>4360</v>
      </c>
      <c r="B718" t="s">
        <v>1381</v>
      </c>
      <c r="C718" t="s">
        <v>4361</v>
      </c>
      <c r="D718" t="s">
        <v>4362</v>
      </c>
      <c r="E718" t="s">
        <v>3954</v>
      </c>
      <c r="F718" t="s">
        <v>3955</v>
      </c>
      <c r="G718" t="s">
        <v>635</v>
      </c>
      <c r="H718" s="6">
        <v>12714.87</v>
      </c>
      <c r="I718" t="s">
        <v>3026</v>
      </c>
      <c r="L718" s="8" t="s">
        <v>4363</v>
      </c>
    </row>
    <row r="719" spans="1:12" x14ac:dyDescent="0.3">
      <c r="A719" t="s">
        <v>4364</v>
      </c>
      <c r="B719" t="s">
        <v>1381</v>
      </c>
      <c r="C719" t="s">
        <v>4365</v>
      </c>
      <c r="D719" t="s">
        <v>4366</v>
      </c>
      <c r="E719" t="s">
        <v>3954</v>
      </c>
      <c r="F719" t="s">
        <v>3955</v>
      </c>
      <c r="G719" t="s">
        <v>635</v>
      </c>
      <c r="H719" s="6">
        <v>16239.16</v>
      </c>
      <c r="I719" t="s">
        <v>3026</v>
      </c>
      <c r="L719" s="8" t="s">
        <v>4367</v>
      </c>
    </row>
    <row r="720" spans="1:12" x14ac:dyDescent="0.3">
      <c r="A720" t="s">
        <v>4368</v>
      </c>
      <c r="B720" t="s">
        <v>1381</v>
      </c>
      <c r="C720" t="s">
        <v>4369</v>
      </c>
      <c r="D720" t="s">
        <v>4370</v>
      </c>
      <c r="E720" t="s">
        <v>3954</v>
      </c>
      <c r="F720" t="s">
        <v>3955</v>
      </c>
      <c r="G720" t="s">
        <v>635</v>
      </c>
      <c r="H720" s="6">
        <v>16239.16</v>
      </c>
      <c r="I720" t="s">
        <v>3026</v>
      </c>
      <c r="L720" s="8" t="s">
        <v>4371</v>
      </c>
    </row>
    <row r="721" spans="1:12" x14ac:dyDescent="0.3">
      <c r="A721" t="s">
        <v>4372</v>
      </c>
      <c r="B721" t="s">
        <v>1381</v>
      </c>
      <c r="C721" t="s">
        <v>4373</v>
      </c>
      <c r="D721" t="s">
        <v>4374</v>
      </c>
      <c r="E721" t="s">
        <v>3954</v>
      </c>
      <c r="F721" t="s">
        <v>3955</v>
      </c>
      <c r="G721" t="s">
        <v>635</v>
      </c>
      <c r="H721" s="6">
        <v>9677.41</v>
      </c>
      <c r="I721" t="s">
        <v>3026</v>
      </c>
      <c r="L721" s="8" t="s">
        <v>4375</v>
      </c>
    </row>
    <row r="722" spans="1:12" x14ac:dyDescent="0.3">
      <c r="A722" t="s">
        <v>4376</v>
      </c>
      <c r="B722" t="s">
        <v>1381</v>
      </c>
      <c r="C722" t="s">
        <v>4377</v>
      </c>
      <c r="D722" t="s">
        <v>4378</v>
      </c>
      <c r="E722" t="s">
        <v>3954</v>
      </c>
      <c r="F722" t="s">
        <v>3955</v>
      </c>
      <c r="G722" t="s">
        <v>635</v>
      </c>
      <c r="H722" s="6">
        <v>8455.9500000000007</v>
      </c>
      <c r="I722" t="s">
        <v>3026</v>
      </c>
      <c r="L722" s="8" t="s">
        <v>4379</v>
      </c>
    </row>
    <row r="723" spans="1:12" x14ac:dyDescent="0.3">
      <c r="A723" t="s">
        <v>4380</v>
      </c>
      <c r="B723" t="s">
        <v>1381</v>
      </c>
      <c r="C723" t="s">
        <v>4381</v>
      </c>
      <c r="D723" t="s">
        <v>4382</v>
      </c>
      <c r="E723" t="s">
        <v>3954</v>
      </c>
      <c r="F723" t="s">
        <v>3955</v>
      </c>
      <c r="G723" t="s">
        <v>635</v>
      </c>
      <c r="H723" s="6">
        <v>53968.480000000003</v>
      </c>
      <c r="I723" t="s">
        <v>3026</v>
      </c>
      <c r="L723" s="8" t="s">
        <v>4383</v>
      </c>
    </row>
    <row r="724" spans="1:12" x14ac:dyDescent="0.3">
      <c r="A724" t="s">
        <v>4384</v>
      </c>
      <c r="B724" t="s">
        <v>1381</v>
      </c>
      <c r="C724" t="s">
        <v>4385</v>
      </c>
      <c r="D724" t="s">
        <v>4386</v>
      </c>
      <c r="E724" t="s">
        <v>3954</v>
      </c>
      <c r="F724" t="s">
        <v>3955</v>
      </c>
      <c r="G724" t="s">
        <v>635</v>
      </c>
      <c r="H724" s="6">
        <v>53968.480000000003</v>
      </c>
      <c r="I724" t="s">
        <v>3026</v>
      </c>
      <c r="L724" s="8" t="s">
        <v>4387</v>
      </c>
    </row>
    <row r="725" spans="1:12" x14ac:dyDescent="0.3">
      <c r="A725" t="s">
        <v>4388</v>
      </c>
      <c r="B725" t="s">
        <v>1381</v>
      </c>
      <c r="C725" t="s">
        <v>4389</v>
      </c>
      <c r="D725" t="s">
        <v>4390</v>
      </c>
      <c r="E725" t="s">
        <v>3954</v>
      </c>
      <c r="F725" t="s">
        <v>3955</v>
      </c>
      <c r="G725" t="s">
        <v>635</v>
      </c>
      <c r="H725" s="6">
        <v>15005.8</v>
      </c>
      <c r="I725" t="s">
        <v>3026</v>
      </c>
      <c r="L725" s="8" t="s">
        <v>4391</v>
      </c>
    </row>
    <row r="726" spans="1:12" x14ac:dyDescent="0.3">
      <c r="A726" t="s">
        <v>4392</v>
      </c>
      <c r="B726" t="s">
        <v>1381</v>
      </c>
      <c r="C726" t="s">
        <v>4393</v>
      </c>
      <c r="D726" t="s">
        <v>4394</v>
      </c>
      <c r="E726" t="s">
        <v>3954</v>
      </c>
      <c r="F726" t="s">
        <v>3955</v>
      </c>
      <c r="G726" t="s">
        <v>635</v>
      </c>
      <c r="H726" s="6">
        <v>4741.63</v>
      </c>
      <c r="I726" t="s">
        <v>3026</v>
      </c>
      <c r="L726" s="8" t="s">
        <v>4395</v>
      </c>
    </row>
    <row r="727" spans="1:12" x14ac:dyDescent="0.3">
      <c r="A727" t="s">
        <v>4396</v>
      </c>
      <c r="B727" t="s">
        <v>1381</v>
      </c>
      <c r="C727" t="s">
        <v>4397</v>
      </c>
      <c r="D727" t="s">
        <v>4398</v>
      </c>
      <c r="E727" t="s">
        <v>3954</v>
      </c>
      <c r="F727" t="s">
        <v>3955</v>
      </c>
      <c r="G727" t="s">
        <v>635</v>
      </c>
      <c r="H727" s="6">
        <v>1320.68</v>
      </c>
      <c r="I727" t="s">
        <v>3026</v>
      </c>
      <c r="L727" s="8" t="s">
        <v>4399</v>
      </c>
    </row>
    <row r="728" spans="1:12" x14ac:dyDescent="0.3">
      <c r="A728" t="s">
        <v>4400</v>
      </c>
      <c r="B728" t="s">
        <v>1381</v>
      </c>
      <c r="C728" t="s">
        <v>4401</v>
      </c>
      <c r="D728" t="s">
        <v>4402</v>
      </c>
      <c r="E728" t="s">
        <v>3954</v>
      </c>
      <c r="F728" t="s">
        <v>3955</v>
      </c>
      <c r="G728" t="s">
        <v>635</v>
      </c>
      <c r="H728" s="6">
        <v>2709.5</v>
      </c>
      <c r="I728" t="s">
        <v>3026</v>
      </c>
      <c r="L728" s="8" t="s">
        <v>4403</v>
      </c>
    </row>
    <row r="729" spans="1:12" x14ac:dyDescent="0.3">
      <c r="A729" t="s">
        <v>4404</v>
      </c>
      <c r="B729" t="s">
        <v>1381</v>
      </c>
      <c r="C729" t="s">
        <v>4405</v>
      </c>
      <c r="D729" t="s">
        <v>4406</v>
      </c>
      <c r="E729" t="s">
        <v>3954</v>
      </c>
      <c r="F729" t="s">
        <v>3955</v>
      </c>
      <c r="G729" t="s">
        <v>635</v>
      </c>
      <c r="H729" s="6">
        <v>14651.56</v>
      </c>
      <c r="I729" t="s">
        <v>3026</v>
      </c>
      <c r="L729" s="8" t="s">
        <v>4407</v>
      </c>
    </row>
    <row r="730" spans="1:12" x14ac:dyDescent="0.3">
      <c r="A730" t="s">
        <v>4408</v>
      </c>
      <c r="B730" t="s">
        <v>1381</v>
      </c>
      <c r="C730" t="s">
        <v>4409</v>
      </c>
      <c r="D730" t="s">
        <v>4410</v>
      </c>
      <c r="E730" t="s">
        <v>3954</v>
      </c>
      <c r="F730" t="s">
        <v>3955</v>
      </c>
      <c r="G730" t="s">
        <v>635</v>
      </c>
      <c r="H730" s="6">
        <v>14651.56</v>
      </c>
      <c r="I730" t="s">
        <v>3026</v>
      </c>
      <c r="L730" s="8" t="s">
        <v>4411</v>
      </c>
    </row>
    <row r="731" spans="1:12" x14ac:dyDescent="0.3">
      <c r="A731" t="s">
        <v>4412</v>
      </c>
      <c r="B731" t="s">
        <v>1381</v>
      </c>
      <c r="C731" t="s">
        <v>4413</v>
      </c>
      <c r="D731" t="s">
        <v>4414</v>
      </c>
      <c r="E731" t="s">
        <v>3954</v>
      </c>
      <c r="F731" t="s">
        <v>3955</v>
      </c>
      <c r="G731" t="s">
        <v>635</v>
      </c>
      <c r="H731" s="6">
        <v>12309.74</v>
      </c>
      <c r="I731" t="s">
        <v>3026</v>
      </c>
      <c r="L731" s="8" t="s">
        <v>4415</v>
      </c>
    </row>
    <row r="732" spans="1:12" x14ac:dyDescent="0.3">
      <c r="A732" t="s">
        <v>4416</v>
      </c>
      <c r="B732" t="s">
        <v>1381</v>
      </c>
      <c r="C732" t="s">
        <v>4417</v>
      </c>
      <c r="D732" t="s">
        <v>4418</v>
      </c>
      <c r="E732" t="s">
        <v>3954</v>
      </c>
      <c r="F732" t="s">
        <v>3955</v>
      </c>
      <c r="G732" t="s">
        <v>635</v>
      </c>
      <c r="H732" s="6">
        <v>12309.74</v>
      </c>
      <c r="I732" t="s">
        <v>3026</v>
      </c>
      <c r="L732" s="8" t="s">
        <v>4419</v>
      </c>
    </row>
    <row r="733" spans="1:12" x14ac:dyDescent="0.3">
      <c r="A733" t="s">
        <v>4420</v>
      </c>
      <c r="B733" t="s">
        <v>1381</v>
      </c>
      <c r="C733" t="s">
        <v>4421</v>
      </c>
      <c r="D733" t="s">
        <v>4422</v>
      </c>
      <c r="E733" t="s">
        <v>3954</v>
      </c>
      <c r="F733" t="s">
        <v>3955</v>
      </c>
      <c r="G733" t="s">
        <v>635</v>
      </c>
      <c r="H733" s="6">
        <v>14651.56</v>
      </c>
      <c r="I733" t="s">
        <v>3026</v>
      </c>
      <c r="L733" s="8" t="s">
        <v>4423</v>
      </c>
    </row>
    <row r="734" spans="1:12" x14ac:dyDescent="0.3">
      <c r="A734" t="s">
        <v>4424</v>
      </c>
      <c r="B734" t="s">
        <v>1381</v>
      </c>
      <c r="C734" t="s">
        <v>4425</v>
      </c>
      <c r="D734" t="s">
        <v>4426</v>
      </c>
      <c r="E734" t="s">
        <v>3954</v>
      </c>
      <c r="F734" t="s">
        <v>3955</v>
      </c>
      <c r="G734" t="s">
        <v>635</v>
      </c>
      <c r="H734" s="6">
        <v>14651.56</v>
      </c>
      <c r="I734" t="s">
        <v>3026</v>
      </c>
      <c r="L734" s="8" t="s">
        <v>4427</v>
      </c>
    </row>
    <row r="735" spans="1:12" x14ac:dyDescent="0.3">
      <c r="A735" t="s">
        <v>4428</v>
      </c>
      <c r="B735" t="s">
        <v>1381</v>
      </c>
      <c r="C735" t="s">
        <v>1499</v>
      </c>
      <c r="D735" t="s">
        <v>4429</v>
      </c>
      <c r="E735" t="s">
        <v>3954</v>
      </c>
      <c r="F735" t="s">
        <v>3955</v>
      </c>
      <c r="G735" t="s">
        <v>635</v>
      </c>
      <c r="H735" s="6">
        <v>14651.56</v>
      </c>
      <c r="I735" t="s">
        <v>3026</v>
      </c>
      <c r="L735" s="8" t="s">
        <v>4430</v>
      </c>
    </row>
    <row r="736" spans="1:12" x14ac:dyDescent="0.3">
      <c r="A736" t="s">
        <v>4431</v>
      </c>
      <c r="B736" t="s">
        <v>1381</v>
      </c>
      <c r="C736" t="s">
        <v>4432</v>
      </c>
      <c r="D736" t="s">
        <v>4433</v>
      </c>
      <c r="E736" t="s">
        <v>3954</v>
      </c>
      <c r="F736" t="s">
        <v>3955</v>
      </c>
      <c r="G736" t="s">
        <v>635</v>
      </c>
      <c r="H736" s="6">
        <v>14651.56</v>
      </c>
      <c r="I736" t="s">
        <v>3026</v>
      </c>
      <c r="L736" s="8" t="s">
        <v>4434</v>
      </c>
    </row>
    <row r="737" spans="1:12" x14ac:dyDescent="0.3">
      <c r="A737" t="s">
        <v>4435</v>
      </c>
      <c r="B737" t="s">
        <v>1381</v>
      </c>
      <c r="C737" t="s">
        <v>4436</v>
      </c>
      <c r="D737" t="s">
        <v>4437</v>
      </c>
      <c r="E737" t="s">
        <v>3954</v>
      </c>
      <c r="F737" t="s">
        <v>3955</v>
      </c>
      <c r="G737" t="s">
        <v>635</v>
      </c>
      <c r="H737" s="6">
        <v>14651.56</v>
      </c>
      <c r="I737" t="s">
        <v>3026</v>
      </c>
      <c r="L737" s="8" t="s">
        <v>4438</v>
      </c>
    </row>
    <row r="738" spans="1:12" x14ac:dyDescent="0.3">
      <c r="A738" t="s">
        <v>4439</v>
      </c>
      <c r="B738" t="s">
        <v>1381</v>
      </c>
      <c r="C738" t="s">
        <v>4440</v>
      </c>
      <c r="D738" t="s">
        <v>4441</v>
      </c>
      <c r="E738" t="s">
        <v>3954</v>
      </c>
      <c r="F738" t="s">
        <v>3955</v>
      </c>
      <c r="G738" t="s">
        <v>635</v>
      </c>
      <c r="H738" s="6">
        <v>14651.56</v>
      </c>
      <c r="I738" t="s">
        <v>3026</v>
      </c>
      <c r="L738" s="8" t="s">
        <v>4442</v>
      </c>
    </row>
    <row r="739" spans="1:12" x14ac:dyDescent="0.3">
      <c r="A739" t="s">
        <v>4443</v>
      </c>
      <c r="B739" t="s">
        <v>1381</v>
      </c>
      <c r="C739" t="s">
        <v>4444</v>
      </c>
      <c r="D739" t="s">
        <v>4445</v>
      </c>
      <c r="E739" t="s">
        <v>3954</v>
      </c>
      <c r="F739" t="s">
        <v>3955</v>
      </c>
      <c r="G739" t="s">
        <v>635</v>
      </c>
      <c r="H739" s="6">
        <v>19298.27</v>
      </c>
      <c r="I739" t="s">
        <v>3026</v>
      </c>
      <c r="L739" s="8" t="s">
        <v>4446</v>
      </c>
    </row>
    <row r="740" spans="1:12" x14ac:dyDescent="0.3">
      <c r="A740" t="s">
        <v>4447</v>
      </c>
      <c r="B740" t="s">
        <v>1381</v>
      </c>
      <c r="C740" t="s">
        <v>4448</v>
      </c>
      <c r="D740" t="s">
        <v>4449</v>
      </c>
      <c r="E740" t="s">
        <v>3954</v>
      </c>
      <c r="F740" t="s">
        <v>3955</v>
      </c>
      <c r="G740" t="s">
        <v>635</v>
      </c>
      <c r="H740" s="6">
        <v>19298.27</v>
      </c>
      <c r="I740" t="s">
        <v>3026</v>
      </c>
      <c r="L740" s="8" t="s">
        <v>4450</v>
      </c>
    </row>
    <row r="741" spans="1:12" x14ac:dyDescent="0.3">
      <c r="A741" t="s">
        <v>4451</v>
      </c>
      <c r="B741" t="s">
        <v>1381</v>
      </c>
      <c r="C741" t="s">
        <v>4452</v>
      </c>
      <c r="D741" t="s">
        <v>4453</v>
      </c>
      <c r="E741" t="s">
        <v>3954</v>
      </c>
      <c r="F741" t="s">
        <v>3955</v>
      </c>
      <c r="G741" t="s">
        <v>635</v>
      </c>
      <c r="H741" s="6">
        <v>693.58</v>
      </c>
      <c r="I741" t="s">
        <v>3026</v>
      </c>
      <c r="L741" s="8" t="s">
        <v>4454</v>
      </c>
    </row>
    <row r="742" spans="1:12" x14ac:dyDescent="0.3">
      <c r="A742" t="s">
        <v>4455</v>
      </c>
      <c r="B742" t="s">
        <v>1381</v>
      </c>
      <c r="C742" t="s">
        <v>4452</v>
      </c>
      <c r="D742" t="s">
        <v>4453</v>
      </c>
      <c r="E742" t="s">
        <v>3954</v>
      </c>
      <c r="F742" t="s">
        <v>3955</v>
      </c>
      <c r="G742" t="s">
        <v>635</v>
      </c>
      <c r="H742" s="6">
        <v>693.58</v>
      </c>
      <c r="I742" t="s">
        <v>3026</v>
      </c>
      <c r="L742" s="8" t="s">
        <v>4456</v>
      </c>
    </row>
    <row r="743" spans="1:12" x14ac:dyDescent="0.3">
      <c r="A743" t="s">
        <v>4457</v>
      </c>
      <c r="B743" t="s">
        <v>1381</v>
      </c>
      <c r="C743" t="s">
        <v>4458</v>
      </c>
      <c r="D743" t="s">
        <v>4459</v>
      </c>
      <c r="E743" t="s">
        <v>3954</v>
      </c>
      <c r="F743" t="s">
        <v>3955</v>
      </c>
      <c r="G743" t="s">
        <v>635</v>
      </c>
      <c r="H743" s="6">
        <v>16761.09</v>
      </c>
      <c r="I743" t="s">
        <v>3026</v>
      </c>
      <c r="L743" s="8" t="s">
        <v>4460</v>
      </c>
    </row>
    <row r="744" spans="1:12" x14ac:dyDescent="0.3">
      <c r="A744" t="s">
        <v>4461</v>
      </c>
      <c r="B744" t="s">
        <v>1381</v>
      </c>
      <c r="C744" t="s">
        <v>4462</v>
      </c>
      <c r="D744" t="s">
        <v>4463</v>
      </c>
      <c r="E744" t="s">
        <v>3954</v>
      </c>
      <c r="F744" t="s">
        <v>3955</v>
      </c>
      <c r="G744" t="s">
        <v>635</v>
      </c>
      <c r="H744" s="6">
        <v>12040.89</v>
      </c>
      <c r="I744" t="s">
        <v>3026</v>
      </c>
      <c r="L744" s="8" t="s">
        <v>4464</v>
      </c>
    </row>
    <row r="745" spans="1:12" x14ac:dyDescent="0.3">
      <c r="A745" t="s">
        <v>4465</v>
      </c>
      <c r="B745" t="s">
        <v>1381</v>
      </c>
      <c r="C745" t="s">
        <v>4466</v>
      </c>
      <c r="D745" t="s">
        <v>4467</v>
      </c>
      <c r="E745" t="s">
        <v>3954</v>
      </c>
      <c r="F745" t="s">
        <v>3955</v>
      </c>
      <c r="G745" t="s">
        <v>635</v>
      </c>
      <c r="H745" s="6">
        <v>5402.8</v>
      </c>
      <c r="I745" t="s">
        <v>3026</v>
      </c>
      <c r="L745" s="8" t="s">
        <v>4468</v>
      </c>
    </row>
    <row r="746" spans="1:12" x14ac:dyDescent="0.3">
      <c r="A746" t="s">
        <v>4469</v>
      </c>
      <c r="B746" t="s">
        <v>1381</v>
      </c>
      <c r="C746" t="s">
        <v>1477</v>
      </c>
      <c r="D746" t="s">
        <v>4470</v>
      </c>
      <c r="E746" t="s">
        <v>3954</v>
      </c>
      <c r="F746" t="s">
        <v>3955</v>
      </c>
      <c r="G746" t="s">
        <v>635</v>
      </c>
      <c r="H746" s="6">
        <v>5402.8</v>
      </c>
      <c r="I746" t="s">
        <v>3026</v>
      </c>
      <c r="L746" s="8" t="s">
        <v>4471</v>
      </c>
    </row>
    <row r="747" spans="1:12" x14ac:dyDescent="0.3">
      <c r="A747" t="s">
        <v>4472</v>
      </c>
      <c r="B747" t="s">
        <v>1381</v>
      </c>
      <c r="C747" t="s">
        <v>4473</v>
      </c>
      <c r="D747" t="s">
        <v>4474</v>
      </c>
      <c r="E747" t="s">
        <v>3954</v>
      </c>
      <c r="F747" t="s">
        <v>3955</v>
      </c>
      <c r="G747" t="s">
        <v>635</v>
      </c>
      <c r="H747" s="6">
        <v>6256.14</v>
      </c>
      <c r="I747" t="s">
        <v>3026</v>
      </c>
      <c r="L747" s="8" t="s">
        <v>4475</v>
      </c>
    </row>
    <row r="748" spans="1:12" x14ac:dyDescent="0.3">
      <c r="A748" t="s">
        <v>4476</v>
      </c>
      <c r="B748" t="s">
        <v>1381</v>
      </c>
      <c r="C748" t="s">
        <v>4477</v>
      </c>
      <c r="D748" t="s">
        <v>4478</v>
      </c>
      <c r="E748" t="s">
        <v>3954</v>
      </c>
      <c r="F748" t="s">
        <v>3955</v>
      </c>
      <c r="G748" t="s">
        <v>635</v>
      </c>
      <c r="H748" s="6">
        <v>18266.330000000002</v>
      </c>
      <c r="I748" t="s">
        <v>3026</v>
      </c>
      <c r="L748" s="8" t="s">
        <v>4479</v>
      </c>
    </row>
    <row r="749" spans="1:12" x14ac:dyDescent="0.3">
      <c r="A749" t="s">
        <v>4480</v>
      </c>
      <c r="B749" t="s">
        <v>1381</v>
      </c>
      <c r="C749" t="s">
        <v>4481</v>
      </c>
      <c r="D749" t="s">
        <v>4482</v>
      </c>
      <c r="E749" t="s">
        <v>3954</v>
      </c>
      <c r="F749" t="s">
        <v>3955</v>
      </c>
      <c r="G749" t="s">
        <v>635</v>
      </c>
      <c r="H749" s="6">
        <v>18263.349999999999</v>
      </c>
      <c r="I749" t="s">
        <v>3026</v>
      </c>
      <c r="L749" s="8" t="s">
        <v>4483</v>
      </c>
    </row>
    <row r="750" spans="1:12" x14ac:dyDescent="0.3">
      <c r="A750" t="s">
        <v>4484</v>
      </c>
      <c r="B750" t="s">
        <v>1381</v>
      </c>
      <c r="C750" t="s">
        <v>4485</v>
      </c>
      <c r="D750" t="s">
        <v>4486</v>
      </c>
      <c r="E750" t="s">
        <v>3954</v>
      </c>
      <c r="F750" t="s">
        <v>3955</v>
      </c>
      <c r="G750" t="s">
        <v>635</v>
      </c>
      <c r="H750" s="6">
        <v>18263.349999999999</v>
      </c>
      <c r="I750" t="s">
        <v>3026</v>
      </c>
      <c r="L750" s="8" t="s">
        <v>4487</v>
      </c>
    </row>
    <row r="751" spans="1:12" x14ac:dyDescent="0.3">
      <c r="A751" t="s">
        <v>4488</v>
      </c>
      <c r="B751" t="s">
        <v>1381</v>
      </c>
      <c r="C751" t="s">
        <v>4489</v>
      </c>
      <c r="D751" t="s">
        <v>4490</v>
      </c>
      <c r="E751" t="s">
        <v>3954</v>
      </c>
      <c r="F751" t="s">
        <v>3955</v>
      </c>
      <c r="G751" t="s">
        <v>635</v>
      </c>
      <c r="H751" s="6">
        <v>18263.349999999999</v>
      </c>
      <c r="I751" t="s">
        <v>3026</v>
      </c>
      <c r="L751" s="8" t="s">
        <v>4491</v>
      </c>
    </row>
    <row r="752" spans="1:12" x14ac:dyDescent="0.3">
      <c r="A752" t="s">
        <v>4492</v>
      </c>
      <c r="B752" t="s">
        <v>1381</v>
      </c>
      <c r="C752" t="s">
        <v>4493</v>
      </c>
      <c r="D752" t="s">
        <v>4494</v>
      </c>
      <c r="E752" t="s">
        <v>3954</v>
      </c>
      <c r="F752" t="s">
        <v>3955</v>
      </c>
      <c r="G752" t="s">
        <v>635</v>
      </c>
      <c r="H752" s="6">
        <v>40636.44</v>
      </c>
      <c r="I752" t="s">
        <v>3026</v>
      </c>
      <c r="L752" s="8" t="s">
        <v>4495</v>
      </c>
    </row>
    <row r="753" spans="1:12" x14ac:dyDescent="0.3">
      <c r="A753" t="s">
        <v>4496</v>
      </c>
      <c r="B753" t="s">
        <v>1381</v>
      </c>
      <c r="C753" t="s">
        <v>4497</v>
      </c>
      <c r="E753" t="s">
        <v>4498</v>
      </c>
      <c r="F753" t="s">
        <v>4498</v>
      </c>
      <c r="G753" t="s">
        <v>635</v>
      </c>
      <c r="H753" s="6">
        <v>27954.93</v>
      </c>
      <c r="I753" t="s">
        <v>3026</v>
      </c>
      <c r="L753" s="8" t="s">
        <v>4499</v>
      </c>
    </row>
    <row r="754" spans="1:12" x14ac:dyDescent="0.3">
      <c r="A754" t="s">
        <v>4500</v>
      </c>
      <c r="B754" t="s">
        <v>1381</v>
      </c>
      <c r="C754" t="s">
        <v>4501</v>
      </c>
      <c r="E754" t="s">
        <v>4498</v>
      </c>
      <c r="F754" t="s">
        <v>4498</v>
      </c>
      <c r="G754" t="s">
        <v>635</v>
      </c>
      <c r="H754" s="6">
        <v>31734.38</v>
      </c>
      <c r="I754" t="s">
        <v>3026</v>
      </c>
      <c r="L754" s="8" t="s">
        <v>4502</v>
      </c>
    </row>
    <row r="755" spans="1:12" x14ac:dyDescent="0.3">
      <c r="A755" t="s">
        <v>4503</v>
      </c>
      <c r="B755" t="s">
        <v>1381</v>
      </c>
      <c r="C755" t="s">
        <v>4504</v>
      </c>
      <c r="E755" t="s">
        <v>4498</v>
      </c>
      <c r="F755" t="s">
        <v>4498</v>
      </c>
      <c r="G755" t="s">
        <v>635</v>
      </c>
      <c r="H755" s="6">
        <v>62344.71</v>
      </c>
      <c r="I755" t="s">
        <v>3026</v>
      </c>
      <c r="L755" s="8" t="s">
        <v>4505</v>
      </c>
    </row>
    <row r="756" spans="1:12" x14ac:dyDescent="0.3">
      <c r="A756" t="s">
        <v>4506</v>
      </c>
      <c r="B756" t="s">
        <v>1381</v>
      </c>
      <c r="C756" t="s">
        <v>4507</v>
      </c>
      <c r="E756" t="s">
        <v>4498</v>
      </c>
      <c r="F756" t="s">
        <v>4498</v>
      </c>
      <c r="G756" t="s">
        <v>635</v>
      </c>
      <c r="H756" s="6">
        <v>83288.09</v>
      </c>
      <c r="I756" t="s">
        <v>3026</v>
      </c>
      <c r="L756" s="8" t="s">
        <v>4508</v>
      </c>
    </row>
    <row r="757" spans="1:12" x14ac:dyDescent="0.3">
      <c r="A757" t="s">
        <v>4509</v>
      </c>
      <c r="B757" t="s">
        <v>1381</v>
      </c>
      <c r="C757" t="s">
        <v>4510</v>
      </c>
      <c r="E757" t="s">
        <v>4498</v>
      </c>
      <c r="F757" t="s">
        <v>4498</v>
      </c>
      <c r="G757" t="s">
        <v>635</v>
      </c>
      <c r="H757" s="6">
        <v>100755.48</v>
      </c>
      <c r="I757" t="s">
        <v>3026</v>
      </c>
      <c r="L757" s="8" t="s">
        <v>4511</v>
      </c>
    </row>
    <row r="758" spans="1:12" x14ac:dyDescent="0.3">
      <c r="A758" t="s">
        <v>4512</v>
      </c>
      <c r="B758" t="s">
        <v>1381</v>
      </c>
      <c r="C758" t="s">
        <v>4513</v>
      </c>
      <c r="E758" t="s">
        <v>4498</v>
      </c>
      <c r="F758" t="s">
        <v>4498</v>
      </c>
      <c r="G758" t="s">
        <v>635</v>
      </c>
      <c r="H758" s="6">
        <v>18332.150000000001</v>
      </c>
      <c r="I758" t="s">
        <v>3026</v>
      </c>
      <c r="L758" s="8" t="s">
        <v>4514</v>
      </c>
    </row>
    <row r="759" spans="1:12" x14ac:dyDescent="0.3">
      <c r="A759" t="s">
        <v>4515</v>
      </c>
      <c r="B759" t="s">
        <v>1381</v>
      </c>
      <c r="C759" t="s">
        <v>4516</v>
      </c>
      <c r="E759" t="s">
        <v>4498</v>
      </c>
      <c r="F759" t="s">
        <v>4498</v>
      </c>
      <c r="G759" t="s">
        <v>635</v>
      </c>
      <c r="H759" s="6">
        <v>18332.150000000001</v>
      </c>
      <c r="I759" t="s">
        <v>3026</v>
      </c>
      <c r="L759" s="8" t="s">
        <v>4517</v>
      </c>
    </row>
    <row r="760" spans="1:12" x14ac:dyDescent="0.3">
      <c r="A760" t="s">
        <v>4518</v>
      </c>
      <c r="B760" t="s">
        <v>1381</v>
      </c>
      <c r="C760" t="s">
        <v>4519</v>
      </c>
      <c r="E760" t="s">
        <v>4242</v>
      </c>
      <c r="F760" t="s">
        <v>3955</v>
      </c>
      <c r="G760" t="s">
        <v>635</v>
      </c>
      <c r="H760" s="6">
        <v>1086.51</v>
      </c>
      <c r="I760" t="s">
        <v>3026</v>
      </c>
      <c r="L760" s="8" t="s">
        <v>4520</v>
      </c>
    </row>
    <row r="761" spans="1:12" x14ac:dyDescent="0.3">
      <c r="A761" t="s">
        <v>4521</v>
      </c>
      <c r="B761" t="s">
        <v>1381</v>
      </c>
      <c r="C761" t="s">
        <v>4522</v>
      </c>
      <c r="E761" t="s">
        <v>4242</v>
      </c>
      <c r="F761" t="s">
        <v>3955</v>
      </c>
      <c r="G761" t="s">
        <v>635</v>
      </c>
      <c r="H761" s="6">
        <v>1086.51</v>
      </c>
      <c r="I761" t="s">
        <v>3026</v>
      </c>
      <c r="L761" s="8" t="s">
        <v>4523</v>
      </c>
    </row>
    <row r="762" spans="1:12" x14ac:dyDescent="0.3">
      <c r="A762" t="s">
        <v>4524</v>
      </c>
      <c r="B762" t="s">
        <v>1381</v>
      </c>
      <c r="C762" t="s">
        <v>4525</v>
      </c>
      <c r="E762" t="s">
        <v>4242</v>
      </c>
      <c r="F762" t="s">
        <v>3955</v>
      </c>
      <c r="G762" t="s">
        <v>635</v>
      </c>
      <c r="H762" s="6">
        <v>1629.77</v>
      </c>
      <c r="I762" t="s">
        <v>3026</v>
      </c>
      <c r="L762" s="8" t="s">
        <v>4526</v>
      </c>
    </row>
    <row r="763" spans="1:12" x14ac:dyDescent="0.3">
      <c r="A763" t="s">
        <v>4527</v>
      </c>
      <c r="B763" t="s">
        <v>1381</v>
      </c>
      <c r="C763" t="s">
        <v>4528</v>
      </c>
      <c r="E763" t="s">
        <v>4242</v>
      </c>
      <c r="F763" t="s">
        <v>3955</v>
      </c>
      <c r="G763" t="s">
        <v>635</v>
      </c>
      <c r="H763" s="6">
        <v>1086.51</v>
      </c>
      <c r="I763" t="s">
        <v>3026</v>
      </c>
      <c r="L763" s="8" t="s">
        <v>4529</v>
      </c>
    </row>
    <row r="764" spans="1:12" x14ac:dyDescent="0.3">
      <c r="A764" t="s">
        <v>4530</v>
      </c>
      <c r="B764" t="s">
        <v>1381</v>
      </c>
      <c r="C764" t="s">
        <v>4531</v>
      </c>
      <c r="E764" t="s">
        <v>4242</v>
      </c>
      <c r="F764" t="s">
        <v>3955</v>
      </c>
      <c r="G764" t="s">
        <v>635</v>
      </c>
      <c r="H764" s="6">
        <v>1086.51</v>
      </c>
      <c r="I764" t="s">
        <v>3026</v>
      </c>
      <c r="L764" s="8" t="s">
        <v>4532</v>
      </c>
    </row>
    <row r="765" spans="1:12" x14ac:dyDescent="0.3">
      <c r="A765" t="s">
        <v>4533</v>
      </c>
      <c r="B765" t="s">
        <v>1381</v>
      </c>
      <c r="C765" t="s">
        <v>4534</v>
      </c>
      <c r="D765" t="s">
        <v>4535</v>
      </c>
      <c r="E765" t="s">
        <v>3954</v>
      </c>
      <c r="F765" t="s">
        <v>3955</v>
      </c>
      <c r="G765" t="s">
        <v>635</v>
      </c>
      <c r="H765" s="6">
        <v>3604.84</v>
      </c>
      <c r="I765" t="s">
        <v>3026</v>
      </c>
      <c r="L765" s="8" t="s">
        <v>4536</v>
      </c>
    </row>
    <row r="766" spans="1:12" x14ac:dyDescent="0.3">
      <c r="A766" t="s">
        <v>4537</v>
      </c>
      <c r="B766" t="s">
        <v>1381</v>
      </c>
      <c r="C766" t="s">
        <v>4538</v>
      </c>
      <c r="D766" t="s">
        <v>4539</v>
      </c>
      <c r="E766" t="s">
        <v>3954</v>
      </c>
      <c r="F766" t="s">
        <v>3955</v>
      </c>
      <c r="G766" t="s">
        <v>635</v>
      </c>
      <c r="H766" s="6">
        <v>8333.91</v>
      </c>
      <c r="I766" t="s">
        <v>3026</v>
      </c>
      <c r="L766" s="8" t="s">
        <v>4540</v>
      </c>
    </row>
    <row r="767" spans="1:12" x14ac:dyDescent="0.3">
      <c r="A767" t="s">
        <v>4541</v>
      </c>
      <c r="B767" t="s">
        <v>1381</v>
      </c>
      <c r="C767" t="s">
        <v>4542</v>
      </c>
      <c r="D767" t="s">
        <v>4543</v>
      </c>
      <c r="E767" t="s">
        <v>3954</v>
      </c>
      <c r="F767" t="s">
        <v>3955</v>
      </c>
      <c r="G767" t="s">
        <v>635</v>
      </c>
      <c r="H767" s="6">
        <v>10196.36</v>
      </c>
      <c r="I767" t="s">
        <v>3026</v>
      </c>
      <c r="L767" s="8" t="s">
        <v>4544</v>
      </c>
    </row>
    <row r="768" spans="1:12" x14ac:dyDescent="0.3">
      <c r="A768" t="s">
        <v>4545</v>
      </c>
      <c r="B768" t="s">
        <v>1381</v>
      </c>
      <c r="C768" t="s">
        <v>4546</v>
      </c>
      <c r="D768" t="s">
        <v>4547</v>
      </c>
      <c r="E768" t="s">
        <v>3954</v>
      </c>
      <c r="F768" t="s">
        <v>3955</v>
      </c>
      <c r="G768" t="s">
        <v>635</v>
      </c>
      <c r="H768" s="6">
        <v>10221.17</v>
      </c>
      <c r="I768" t="s">
        <v>3026</v>
      </c>
      <c r="L768" s="8" t="s">
        <v>4548</v>
      </c>
    </row>
    <row r="769" spans="1:12" x14ac:dyDescent="0.3">
      <c r="A769" t="s">
        <v>4549</v>
      </c>
      <c r="B769" t="s">
        <v>1381</v>
      </c>
      <c r="C769" t="s">
        <v>4550</v>
      </c>
      <c r="D769" t="s">
        <v>4551</v>
      </c>
      <c r="E769" t="s">
        <v>3954</v>
      </c>
      <c r="F769" t="s">
        <v>3955</v>
      </c>
      <c r="G769" t="s">
        <v>635</v>
      </c>
      <c r="H769" s="6">
        <v>5264.37</v>
      </c>
      <c r="I769" t="s">
        <v>3026</v>
      </c>
      <c r="L769" s="8" t="s">
        <v>4552</v>
      </c>
    </row>
    <row r="770" spans="1:12" x14ac:dyDescent="0.3">
      <c r="A770" t="s">
        <v>4553</v>
      </c>
      <c r="B770" t="s">
        <v>1381</v>
      </c>
      <c r="C770" t="s">
        <v>4554</v>
      </c>
      <c r="D770" t="s">
        <v>4555</v>
      </c>
      <c r="E770" t="s">
        <v>3954</v>
      </c>
      <c r="F770" t="s">
        <v>3955</v>
      </c>
      <c r="G770" t="s">
        <v>635</v>
      </c>
      <c r="H770" s="6">
        <v>5550.51</v>
      </c>
      <c r="I770" t="s">
        <v>3026</v>
      </c>
      <c r="L770" s="8" t="s">
        <v>4556</v>
      </c>
    </row>
    <row r="771" spans="1:12" x14ac:dyDescent="0.3">
      <c r="A771" t="s">
        <v>4557</v>
      </c>
      <c r="B771" t="s">
        <v>1381</v>
      </c>
      <c r="C771" t="s">
        <v>4558</v>
      </c>
      <c r="D771" t="s">
        <v>4559</v>
      </c>
      <c r="E771" t="s">
        <v>3954</v>
      </c>
      <c r="F771" t="s">
        <v>3955</v>
      </c>
      <c r="G771" t="s">
        <v>635</v>
      </c>
      <c r="H771" s="6">
        <v>6108.67</v>
      </c>
      <c r="I771" t="s">
        <v>3026</v>
      </c>
      <c r="L771" s="8" t="s">
        <v>4560</v>
      </c>
    </row>
    <row r="772" spans="1:12" x14ac:dyDescent="0.3">
      <c r="A772" t="s">
        <v>4561</v>
      </c>
      <c r="B772" t="s">
        <v>1381</v>
      </c>
      <c r="C772" t="s">
        <v>4562</v>
      </c>
      <c r="D772" t="s">
        <v>4563</v>
      </c>
      <c r="E772" t="s">
        <v>3954</v>
      </c>
      <c r="F772" t="s">
        <v>3955</v>
      </c>
      <c r="G772" t="s">
        <v>635</v>
      </c>
      <c r="H772" s="6">
        <v>6108.67</v>
      </c>
      <c r="I772" t="s">
        <v>3026</v>
      </c>
      <c r="L772" s="8" t="s">
        <v>4564</v>
      </c>
    </row>
    <row r="773" spans="1:12" x14ac:dyDescent="0.3">
      <c r="A773" t="s">
        <v>4565</v>
      </c>
      <c r="B773" t="s">
        <v>1381</v>
      </c>
      <c r="C773" t="s">
        <v>4566</v>
      </c>
      <c r="D773" t="s">
        <v>4567</v>
      </c>
      <c r="E773" t="s">
        <v>3954</v>
      </c>
      <c r="F773" t="s">
        <v>3955</v>
      </c>
      <c r="G773" t="s">
        <v>635</v>
      </c>
      <c r="H773" s="6">
        <v>5520.56</v>
      </c>
      <c r="I773" t="s">
        <v>3026</v>
      </c>
      <c r="L773" s="8" t="s">
        <v>4568</v>
      </c>
    </row>
    <row r="774" spans="1:12" x14ac:dyDescent="0.3">
      <c r="A774" t="s">
        <v>4569</v>
      </c>
      <c r="B774" t="s">
        <v>1381</v>
      </c>
      <c r="C774" t="s">
        <v>4570</v>
      </c>
      <c r="D774" t="s">
        <v>4571</v>
      </c>
      <c r="E774" t="s">
        <v>3954</v>
      </c>
      <c r="F774" t="s">
        <v>3955</v>
      </c>
      <c r="G774" t="s">
        <v>635</v>
      </c>
      <c r="H774" s="6">
        <v>6830.65</v>
      </c>
      <c r="I774" t="s">
        <v>3026</v>
      </c>
      <c r="L774" s="8" t="s">
        <v>4572</v>
      </c>
    </row>
    <row r="775" spans="1:12" x14ac:dyDescent="0.3">
      <c r="A775" t="s">
        <v>4573</v>
      </c>
      <c r="B775" t="s">
        <v>1381</v>
      </c>
      <c r="C775" t="s">
        <v>4574</v>
      </c>
      <c r="D775" t="s">
        <v>4571</v>
      </c>
      <c r="E775" t="s">
        <v>3954</v>
      </c>
      <c r="F775" t="s">
        <v>3955</v>
      </c>
      <c r="G775" t="s">
        <v>635</v>
      </c>
      <c r="H775" s="6">
        <v>6830.65</v>
      </c>
      <c r="I775" t="s">
        <v>3026</v>
      </c>
      <c r="L775" s="8" t="s">
        <v>4575</v>
      </c>
    </row>
    <row r="776" spans="1:12" x14ac:dyDescent="0.3">
      <c r="A776" t="s">
        <v>4576</v>
      </c>
      <c r="B776" t="s">
        <v>1381</v>
      </c>
      <c r="C776" t="s">
        <v>4577</v>
      </c>
      <c r="D776" t="s">
        <v>4578</v>
      </c>
      <c r="E776" t="s">
        <v>3954</v>
      </c>
      <c r="F776" t="s">
        <v>3955</v>
      </c>
      <c r="G776" t="s">
        <v>635</v>
      </c>
      <c r="H776" s="6">
        <v>8508.5400000000009</v>
      </c>
      <c r="I776" t="s">
        <v>3026</v>
      </c>
      <c r="L776" s="8" t="s">
        <v>4579</v>
      </c>
    </row>
    <row r="777" spans="1:12" x14ac:dyDescent="0.3">
      <c r="A777" t="s">
        <v>4580</v>
      </c>
      <c r="B777" t="s">
        <v>1381</v>
      </c>
      <c r="C777" t="s">
        <v>4581</v>
      </c>
      <c r="D777" t="s">
        <v>4582</v>
      </c>
      <c r="E777" t="s">
        <v>3954</v>
      </c>
      <c r="F777" t="s">
        <v>3955</v>
      </c>
      <c r="G777" t="s">
        <v>635</v>
      </c>
      <c r="H777" s="6">
        <v>8508.5400000000009</v>
      </c>
      <c r="I777" t="s">
        <v>3026</v>
      </c>
      <c r="L777" s="8" t="s">
        <v>4583</v>
      </c>
    </row>
    <row r="778" spans="1:12" x14ac:dyDescent="0.3">
      <c r="A778" t="s">
        <v>4584</v>
      </c>
      <c r="B778" t="s">
        <v>1381</v>
      </c>
      <c r="C778" t="s">
        <v>4585</v>
      </c>
      <c r="D778" t="s">
        <v>4586</v>
      </c>
      <c r="E778" t="s">
        <v>3954</v>
      </c>
      <c r="F778" t="s">
        <v>3955</v>
      </c>
      <c r="G778" t="s">
        <v>635</v>
      </c>
      <c r="H778" s="6">
        <v>6830.65</v>
      </c>
      <c r="I778" t="s">
        <v>3026</v>
      </c>
      <c r="L778" s="8" t="s">
        <v>4587</v>
      </c>
    </row>
    <row r="779" spans="1:12" x14ac:dyDescent="0.3">
      <c r="A779" t="s">
        <v>4588</v>
      </c>
      <c r="B779" t="s">
        <v>1381</v>
      </c>
      <c r="C779" t="s">
        <v>4589</v>
      </c>
      <c r="D779" t="s">
        <v>4590</v>
      </c>
      <c r="E779" t="s">
        <v>3954</v>
      </c>
      <c r="F779" t="s">
        <v>3955</v>
      </c>
      <c r="G779" t="s">
        <v>635</v>
      </c>
      <c r="H779" s="6">
        <v>6830.65</v>
      </c>
      <c r="I779" t="s">
        <v>3026</v>
      </c>
      <c r="L779" s="8" t="s">
        <v>4591</v>
      </c>
    </row>
    <row r="780" spans="1:12" x14ac:dyDescent="0.3">
      <c r="A780" t="s">
        <v>4592</v>
      </c>
      <c r="B780" t="s">
        <v>1381</v>
      </c>
      <c r="C780" t="s">
        <v>4593</v>
      </c>
      <c r="D780" t="s">
        <v>4594</v>
      </c>
      <c r="E780" t="s">
        <v>3954</v>
      </c>
      <c r="F780" t="s">
        <v>3955</v>
      </c>
      <c r="G780" t="s">
        <v>635</v>
      </c>
      <c r="H780" s="6">
        <v>8802.25</v>
      </c>
      <c r="I780" t="s">
        <v>3026</v>
      </c>
      <c r="L780" s="8" t="s">
        <v>4595</v>
      </c>
    </row>
    <row r="781" spans="1:12" x14ac:dyDescent="0.3">
      <c r="A781" t="s">
        <v>4596</v>
      </c>
      <c r="B781" t="s">
        <v>1381</v>
      </c>
      <c r="C781" t="s">
        <v>4597</v>
      </c>
      <c r="D781" t="s">
        <v>4598</v>
      </c>
      <c r="E781" t="s">
        <v>3954</v>
      </c>
      <c r="F781" t="s">
        <v>3955</v>
      </c>
      <c r="G781" t="s">
        <v>635</v>
      </c>
      <c r="H781" s="6">
        <v>8802.25</v>
      </c>
      <c r="I781" t="s">
        <v>3026</v>
      </c>
      <c r="L781" s="8" t="s">
        <v>4599</v>
      </c>
    </row>
    <row r="782" spans="1:12" x14ac:dyDescent="0.3">
      <c r="A782" t="s">
        <v>4600</v>
      </c>
      <c r="B782" t="s">
        <v>1381</v>
      </c>
      <c r="C782" t="s">
        <v>4601</v>
      </c>
      <c r="D782" t="s">
        <v>4602</v>
      </c>
      <c r="E782" t="s">
        <v>3954</v>
      </c>
      <c r="F782" t="s">
        <v>3955</v>
      </c>
      <c r="G782" t="s">
        <v>635</v>
      </c>
      <c r="H782" s="6">
        <v>8508.5400000000009</v>
      </c>
      <c r="I782" t="s">
        <v>3026</v>
      </c>
      <c r="L782" s="8" t="s">
        <v>4603</v>
      </c>
    </row>
    <row r="783" spans="1:12" x14ac:dyDescent="0.3">
      <c r="A783" t="s">
        <v>4604</v>
      </c>
      <c r="B783" t="s">
        <v>1381</v>
      </c>
      <c r="C783" t="s">
        <v>4605</v>
      </c>
      <c r="D783" t="s">
        <v>4606</v>
      </c>
      <c r="E783" t="s">
        <v>3954</v>
      </c>
      <c r="F783" t="s">
        <v>3955</v>
      </c>
      <c r="G783" t="s">
        <v>635</v>
      </c>
      <c r="H783" s="6">
        <v>8508.5400000000009</v>
      </c>
      <c r="I783" t="s">
        <v>3026</v>
      </c>
      <c r="L783" s="8" t="s">
        <v>4607</v>
      </c>
    </row>
    <row r="784" spans="1:12" x14ac:dyDescent="0.3">
      <c r="A784" t="s">
        <v>4608</v>
      </c>
      <c r="B784" t="s">
        <v>1381</v>
      </c>
      <c r="C784" t="s">
        <v>1485</v>
      </c>
      <c r="D784" t="s">
        <v>4609</v>
      </c>
      <c r="E784" t="s">
        <v>3954</v>
      </c>
      <c r="F784" t="s">
        <v>3955</v>
      </c>
      <c r="G784" t="s">
        <v>635</v>
      </c>
      <c r="H784" s="6">
        <v>7500.42</v>
      </c>
      <c r="I784" t="s">
        <v>3026</v>
      </c>
      <c r="L784" s="8" t="s">
        <v>4610</v>
      </c>
    </row>
    <row r="785" spans="1:12" x14ac:dyDescent="0.3">
      <c r="A785" t="s">
        <v>4611</v>
      </c>
      <c r="B785" t="s">
        <v>1381</v>
      </c>
      <c r="C785" t="s">
        <v>4612</v>
      </c>
      <c r="D785" t="s">
        <v>4613</v>
      </c>
      <c r="E785" t="s">
        <v>3954</v>
      </c>
      <c r="F785" t="s">
        <v>3955</v>
      </c>
      <c r="G785" t="s">
        <v>635</v>
      </c>
      <c r="H785" s="6">
        <v>7500.42</v>
      </c>
      <c r="I785" t="s">
        <v>3026</v>
      </c>
      <c r="L785" s="8" t="s">
        <v>4614</v>
      </c>
    </row>
    <row r="786" spans="1:12" x14ac:dyDescent="0.3">
      <c r="A786" t="s">
        <v>4615</v>
      </c>
      <c r="B786" t="s">
        <v>1381</v>
      </c>
      <c r="C786" t="s">
        <v>4616</v>
      </c>
      <c r="D786" t="s">
        <v>4617</v>
      </c>
      <c r="E786" t="s">
        <v>3954</v>
      </c>
      <c r="F786" t="s">
        <v>3955</v>
      </c>
      <c r="G786" t="s">
        <v>635</v>
      </c>
      <c r="H786" s="6">
        <v>8508.5400000000009</v>
      </c>
      <c r="I786" t="s">
        <v>3026</v>
      </c>
      <c r="L786" s="8" t="s">
        <v>4618</v>
      </c>
    </row>
    <row r="787" spans="1:12" x14ac:dyDescent="0.3">
      <c r="A787" t="s">
        <v>4619</v>
      </c>
      <c r="B787" t="s">
        <v>1381</v>
      </c>
      <c r="C787" t="s">
        <v>4620</v>
      </c>
      <c r="D787" t="s">
        <v>4621</v>
      </c>
      <c r="E787" t="s">
        <v>3954</v>
      </c>
      <c r="F787" t="s">
        <v>3955</v>
      </c>
      <c r="G787" t="s">
        <v>635</v>
      </c>
      <c r="H787" s="6">
        <v>8508.5400000000009</v>
      </c>
      <c r="I787" t="s">
        <v>3026</v>
      </c>
      <c r="L787" s="8" t="s">
        <v>4622</v>
      </c>
    </row>
    <row r="788" spans="1:12" x14ac:dyDescent="0.3">
      <c r="A788" t="s">
        <v>4623</v>
      </c>
      <c r="B788" t="s">
        <v>1381</v>
      </c>
      <c r="C788" t="s">
        <v>4624</v>
      </c>
      <c r="D788" t="s">
        <v>4625</v>
      </c>
      <c r="E788" t="s">
        <v>3954</v>
      </c>
      <c r="F788" t="s">
        <v>3955</v>
      </c>
      <c r="G788" t="s">
        <v>635</v>
      </c>
      <c r="H788" s="6">
        <v>8508.5400000000009</v>
      </c>
      <c r="I788" t="s">
        <v>3026</v>
      </c>
      <c r="L788" s="8" t="s">
        <v>4626</v>
      </c>
    </row>
    <row r="789" spans="1:12" x14ac:dyDescent="0.3">
      <c r="A789" t="s">
        <v>4627</v>
      </c>
      <c r="B789" t="s">
        <v>1381</v>
      </c>
      <c r="C789" t="s">
        <v>4628</v>
      </c>
      <c r="D789" t="s">
        <v>4629</v>
      </c>
      <c r="E789" t="s">
        <v>3954</v>
      </c>
      <c r="F789" t="s">
        <v>3955</v>
      </c>
      <c r="G789" t="s">
        <v>635</v>
      </c>
      <c r="H789" s="6">
        <v>8508.5400000000009</v>
      </c>
      <c r="I789" t="s">
        <v>3026</v>
      </c>
      <c r="L789" s="8" t="s">
        <v>4630</v>
      </c>
    </row>
    <row r="790" spans="1:12" x14ac:dyDescent="0.3">
      <c r="A790" t="s">
        <v>4631</v>
      </c>
      <c r="B790" t="s">
        <v>1381</v>
      </c>
      <c r="C790" t="s">
        <v>4632</v>
      </c>
      <c r="D790" t="s">
        <v>4633</v>
      </c>
      <c r="E790" t="s">
        <v>3954</v>
      </c>
      <c r="F790" t="s">
        <v>3955</v>
      </c>
      <c r="G790" t="s">
        <v>635</v>
      </c>
      <c r="H790" s="6">
        <v>8508.5400000000009</v>
      </c>
      <c r="I790" t="s">
        <v>3026</v>
      </c>
      <c r="L790" s="8" t="s">
        <v>4634</v>
      </c>
    </row>
    <row r="791" spans="1:12" x14ac:dyDescent="0.3">
      <c r="A791" t="s">
        <v>4635</v>
      </c>
      <c r="B791" t="s">
        <v>1381</v>
      </c>
      <c r="C791" t="s">
        <v>4636</v>
      </c>
      <c r="D791" t="s">
        <v>4637</v>
      </c>
      <c r="E791" t="s">
        <v>3954</v>
      </c>
      <c r="F791" t="s">
        <v>3955</v>
      </c>
      <c r="G791" t="s">
        <v>635</v>
      </c>
      <c r="H791" s="6">
        <v>8508.5400000000009</v>
      </c>
      <c r="I791" t="s">
        <v>3026</v>
      </c>
      <c r="L791" s="8" t="s">
        <v>4638</v>
      </c>
    </row>
    <row r="792" spans="1:12" x14ac:dyDescent="0.3">
      <c r="A792" t="s">
        <v>4639</v>
      </c>
      <c r="B792" t="s">
        <v>1381</v>
      </c>
      <c r="C792" t="s">
        <v>4640</v>
      </c>
      <c r="D792" t="s">
        <v>4641</v>
      </c>
      <c r="E792" t="s">
        <v>3954</v>
      </c>
      <c r="F792" t="s">
        <v>3955</v>
      </c>
      <c r="G792" t="s">
        <v>635</v>
      </c>
      <c r="H792" s="6">
        <v>8508.5400000000009</v>
      </c>
      <c r="I792" t="s">
        <v>3026</v>
      </c>
      <c r="L792" s="8" t="s">
        <v>4642</v>
      </c>
    </row>
    <row r="793" spans="1:12" x14ac:dyDescent="0.3">
      <c r="A793" t="s">
        <v>4643</v>
      </c>
      <c r="B793" t="s">
        <v>1381</v>
      </c>
      <c r="C793" t="s">
        <v>4644</v>
      </c>
      <c r="D793" t="s">
        <v>4645</v>
      </c>
      <c r="E793" t="s">
        <v>3954</v>
      </c>
      <c r="F793" t="s">
        <v>3955</v>
      </c>
      <c r="G793" t="s">
        <v>635</v>
      </c>
      <c r="H793" s="6">
        <v>8508.5400000000009</v>
      </c>
      <c r="I793" t="s">
        <v>3026</v>
      </c>
      <c r="L793" s="8" t="s">
        <v>4646</v>
      </c>
    </row>
    <row r="794" spans="1:12" x14ac:dyDescent="0.3">
      <c r="A794" t="s">
        <v>4647</v>
      </c>
      <c r="B794" t="s">
        <v>1381</v>
      </c>
      <c r="C794" t="s">
        <v>4648</v>
      </c>
      <c r="D794" t="s">
        <v>4649</v>
      </c>
      <c r="E794" t="s">
        <v>3954</v>
      </c>
      <c r="F794" t="s">
        <v>3955</v>
      </c>
      <c r="G794" t="s">
        <v>635</v>
      </c>
      <c r="H794" s="6">
        <v>8508.5400000000009</v>
      </c>
      <c r="I794" t="s">
        <v>3026</v>
      </c>
      <c r="L794" s="8" t="s">
        <v>4650</v>
      </c>
    </row>
    <row r="795" spans="1:12" x14ac:dyDescent="0.3">
      <c r="A795" t="s">
        <v>4651</v>
      </c>
      <c r="B795" t="s">
        <v>1381</v>
      </c>
      <c r="C795" t="s">
        <v>4652</v>
      </c>
      <c r="D795" t="s">
        <v>4653</v>
      </c>
      <c r="E795" t="s">
        <v>3954</v>
      </c>
      <c r="F795" t="s">
        <v>3955</v>
      </c>
      <c r="G795" t="s">
        <v>635</v>
      </c>
      <c r="H795" s="6">
        <v>8508.5400000000009</v>
      </c>
      <c r="I795" t="s">
        <v>3026</v>
      </c>
      <c r="L795" s="8" t="s">
        <v>4654</v>
      </c>
    </row>
    <row r="796" spans="1:12" x14ac:dyDescent="0.3">
      <c r="A796" t="s">
        <v>4655</v>
      </c>
      <c r="B796" t="s">
        <v>1381</v>
      </c>
      <c r="C796" t="s">
        <v>4656</v>
      </c>
      <c r="D796" t="s">
        <v>4657</v>
      </c>
      <c r="E796" t="s">
        <v>3954</v>
      </c>
      <c r="F796" t="s">
        <v>3955</v>
      </c>
      <c r="G796" t="s">
        <v>635</v>
      </c>
      <c r="H796" s="6">
        <v>6395.05</v>
      </c>
      <c r="I796" t="s">
        <v>3026</v>
      </c>
      <c r="L796" s="8" t="s">
        <v>4658</v>
      </c>
    </row>
    <row r="797" spans="1:12" x14ac:dyDescent="0.3">
      <c r="A797" t="s">
        <v>4659</v>
      </c>
      <c r="B797" t="s">
        <v>1381</v>
      </c>
      <c r="C797" t="s">
        <v>4660</v>
      </c>
      <c r="D797" t="s">
        <v>4661</v>
      </c>
      <c r="E797" t="s">
        <v>3954</v>
      </c>
      <c r="F797" t="s">
        <v>3955</v>
      </c>
      <c r="G797" t="s">
        <v>635</v>
      </c>
      <c r="H797" s="6">
        <v>7354.56</v>
      </c>
      <c r="I797" t="s">
        <v>3026</v>
      </c>
      <c r="L797" s="8" t="s">
        <v>4662</v>
      </c>
    </row>
    <row r="798" spans="1:12" x14ac:dyDescent="0.3">
      <c r="A798" t="s">
        <v>4663</v>
      </c>
      <c r="B798" t="s">
        <v>1381</v>
      </c>
      <c r="C798" t="s">
        <v>4664</v>
      </c>
      <c r="D798" t="s">
        <v>4665</v>
      </c>
      <c r="E798" t="s">
        <v>3954</v>
      </c>
      <c r="F798" t="s">
        <v>3955</v>
      </c>
      <c r="G798" t="s">
        <v>635</v>
      </c>
      <c r="H798" s="6">
        <v>7354.56</v>
      </c>
      <c r="I798" t="s">
        <v>3026</v>
      </c>
      <c r="L798" s="8" t="s">
        <v>4666</v>
      </c>
    </row>
    <row r="799" spans="1:12" x14ac:dyDescent="0.3">
      <c r="A799" t="s">
        <v>4667</v>
      </c>
      <c r="B799" t="s">
        <v>1381</v>
      </c>
      <c r="C799" t="s">
        <v>4668</v>
      </c>
      <c r="D799" t="s">
        <v>4669</v>
      </c>
      <c r="E799" t="s">
        <v>3954</v>
      </c>
      <c r="F799" t="s">
        <v>3955</v>
      </c>
      <c r="G799" t="s">
        <v>635</v>
      </c>
      <c r="H799" s="6">
        <v>6395.05</v>
      </c>
      <c r="I799" t="s">
        <v>3026</v>
      </c>
      <c r="L799" s="8" t="s">
        <v>4670</v>
      </c>
    </row>
    <row r="800" spans="1:12" x14ac:dyDescent="0.3">
      <c r="A800" t="s">
        <v>4671</v>
      </c>
      <c r="B800" t="s">
        <v>1381</v>
      </c>
      <c r="C800" t="s">
        <v>4672</v>
      </c>
      <c r="D800" t="s">
        <v>4673</v>
      </c>
      <c r="E800" t="s">
        <v>3954</v>
      </c>
      <c r="F800" t="s">
        <v>3955</v>
      </c>
      <c r="G800" t="s">
        <v>635</v>
      </c>
      <c r="H800" s="6">
        <v>7426</v>
      </c>
      <c r="I800" t="s">
        <v>3026</v>
      </c>
      <c r="L800" s="8" t="s">
        <v>4674</v>
      </c>
    </row>
    <row r="801" spans="1:12" x14ac:dyDescent="0.3">
      <c r="A801" t="s">
        <v>4675</v>
      </c>
      <c r="B801" t="s">
        <v>1381</v>
      </c>
      <c r="C801" t="s">
        <v>4676</v>
      </c>
      <c r="D801" t="s">
        <v>4677</v>
      </c>
      <c r="E801" t="s">
        <v>3954</v>
      </c>
      <c r="F801" t="s">
        <v>3955</v>
      </c>
      <c r="G801" t="s">
        <v>635</v>
      </c>
      <c r="H801" s="6">
        <v>8540.2999999999993</v>
      </c>
      <c r="I801" t="s">
        <v>3026</v>
      </c>
      <c r="L801" s="8" t="s">
        <v>4678</v>
      </c>
    </row>
    <row r="802" spans="1:12" x14ac:dyDescent="0.3">
      <c r="A802" t="s">
        <v>4679</v>
      </c>
      <c r="B802" t="s">
        <v>1381</v>
      </c>
      <c r="C802" t="s">
        <v>4680</v>
      </c>
      <c r="D802" t="s">
        <v>4681</v>
      </c>
      <c r="E802" t="s">
        <v>3954</v>
      </c>
      <c r="F802" t="s">
        <v>3955</v>
      </c>
      <c r="G802" t="s">
        <v>635</v>
      </c>
      <c r="H802" s="6">
        <v>8540.2999999999993</v>
      </c>
      <c r="I802" t="s">
        <v>3026</v>
      </c>
      <c r="L802" s="8" t="s">
        <v>4682</v>
      </c>
    </row>
    <row r="803" spans="1:12" x14ac:dyDescent="0.3">
      <c r="A803" t="s">
        <v>4683</v>
      </c>
      <c r="B803" t="s">
        <v>1381</v>
      </c>
      <c r="C803" t="s">
        <v>4684</v>
      </c>
      <c r="D803" t="s">
        <v>4685</v>
      </c>
      <c r="E803" t="s">
        <v>3954</v>
      </c>
      <c r="F803" t="s">
        <v>3955</v>
      </c>
      <c r="G803" t="s">
        <v>635</v>
      </c>
      <c r="H803" s="6">
        <v>7426</v>
      </c>
      <c r="I803" t="s">
        <v>3026</v>
      </c>
      <c r="L803" s="8" t="s">
        <v>4686</v>
      </c>
    </row>
    <row r="804" spans="1:12" x14ac:dyDescent="0.3">
      <c r="A804" t="s">
        <v>4687</v>
      </c>
      <c r="B804" t="s">
        <v>1381</v>
      </c>
      <c r="C804" t="s">
        <v>4688</v>
      </c>
      <c r="D804" t="s">
        <v>4689</v>
      </c>
      <c r="E804" t="s">
        <v>3954</v>
      </c>
      <c r="F804" t="s">
        <v>3955</v>
      </c>
      <c r="G804" t="s">
        <v>635</v>
      </c>
      <c r="H804" s="6">
        <v>7426</v>
      </c>
      <c r="I804" t="s">
        <v>3026</v>
      </c>
      <c r="L804" s="8" t="s">
        <v>4690</v>
      </c>
    </row>
    <row r="805" spans="1:12" x14ac:dyDescent="0.3">
      <c r="A805" t="s">
        <v>4691</v>
      </c>
      <c r="B805" t="s">
        <v>1381</v>
      </c>
      <c r="C805" t="s">
        <v>4692</v>
      </c>
      <c r="D805" t="s">
        <v>4693</v>
      </c>
      <c r="E805" t="s">
        <v>3954</v>
      </c>
      <c r="F805" t="s">
        <v>3955</v>
      </c>
      <c r="G805" t="s">
        <v>635</v>
      </c>
      <c r="H805" s="6">
        <v>7426</v>
      </c>
      <c r="I805" t="s">
        <v>3026</v>
      </c>
      <c r="L805" s="8" t="s">
        <v>4694</v>
      </c>
    </row>
    <row r="806" spans="1:12" x14ac:dyDescent="0.3">
      <c r="A806" t="s">
        <v>4695</v>
      </c>
      <c r="B806" t="s">
        <v>1381</v>
      </c>
      <c r="C806" t="s">
        <v>4696</v>
      </c>
      <c r="D806" t="s">
        <v>4697</v>
      </c>
      <c r="E806" t="s">
        <v>3954</v>
      </c>
      <c r="F806" t="s">
        <v>3955</v>
      </c>
      <c r="G806" t="s">
        <v>635</v>
      </c>
      <c r="H806" s="6">
        <v>7426</v>
      </c>
      <c r="I806" t="s">
        <v>3026</v>
      </c>
      <c r="L806" s="8" t="s">
        <v>4698</v>
      </c>
    </row>
    <row r="807" spans="1:12" x14ac:dyDescent="0.3">
      <c r="A807" t="s">
        <v>4699</v>
      </c>
      <c r="B807" t="s">
        <v>1381</v>
      </c>
      <c r="C807" t="s">
        <v>4700</v>
      </c>
      <c r="D807" t="s">
        <v>4701</v>
      </c>
      <c r="E807" t="s">
        <v>3954</v>
      </c>
      <c r="F807" t="s">
        <v>3955</v>
      </c>
      <c r="G807" t="s">
        <v>635</v>
      </c>
      <c r="H807" s="6">
        <v>7426</v>
      </c>
      <c r="I807" t="s">
        <v>3026</v>
      </c>
      <c r="L807" s="8" t="s">
        <v>4702</v>
      </c>
    </row>
    <row r="808" spans="1:12" x14ac:dyDescent="0.3">
      <c r="A808" t="s">
        <v>4703</v>
      </c>
      <c r="B808" t="s">
        <v>1381</v>
      </c>
      <c r="C808" t="s">
        <v>4704</v>
      </c>
      <c r="D808" t="s">
        <v>4705</v>
      </c>
      <c r="E808" t="s">
        <v>3954</v>
      </c>
      <c r="F808" t="s">
        <v>3955</v>
      </c>
      <c r="G808" t="s">
        <v>635</v>
      </c>
      <c r="H808" s="6">
        <v>7426</v>
      </c>
      <c r="I808" t="s">
        <v>3026</v>
      </c>
      <c r="L808" s="8" t="s">
        <v>4706</v>
      </c>
    </row>
    <row r="809" spans="1:12" x14ac:dyDescent="0.3">
      <c r="A809" t="s">
        <v>4707</v>
      </c>
      <c r="B809" t="s">
        <v>1381</v>
      </c>
      <c r="C809" t="s">
        <v>4708</v>
      </c>
      <c r="D809" t="s">
        <v>4709</v>
      </c>
      <c r="E809" t="s">
        <v>3954</v>
      </c>
      <c r="F809" t="s">
        <v>3955</v>
      </c>
      <c r="G809" t="s">
        <v>635</v>
      </c>
      <c r="H809" s="6">
        <v>7426</v>
      </c>
      <c r="I809" t="s">
        <v>3026</v>
      </c>
      <c r="L809" s="8" t="s">
        <v>4710</v>
      </c>
    </row>
    <row r="810" spans="1:12" x14ac:dyDescent="0.3">
      <c r="A810" t="s">
        <v>4711</v>
      </c>
      <c r="B810" t="s">
        <v>1381</v>
      </c>
      <c r="C810" t="s">
        <v>4712</v>
      </c>
      <c r="D810" t="s">
        <v>4713</v>
      </c>
      <c r="E810" t="s">
        <v>3954</v>
      </c>
      <c r="F810" t="s">
        <v>3955</v>
      </c>
      <c r="G810" t="s">
        <v>635</v>
      </c>
      <c r="H810" s="6">
        <v>7426</v>
      </c>
      <c r="I810" t="s">
        <v>3026</v>
      </c>
      <c r="L810" s="8" t="s">
        <v>4714</v>
      </c>
    </row>
    <row r="811" spans="1:12" x14ac:dyDescent="0.3">
      <c r="A811" t="s">
        <v>4715</v>
      </c>
      <c r="B811" t="s">
        <v>1381</v>
      </c>
      <c r="C811" t="s">
        <v>4716</v>
      </c>
      <c r="D811" t="s">
        <v>4717</v>
      </c>
      <c r="E811" t="s">
        <v>3954</v>
      </c>
      <c r="F811" t="s">
        <v>3955</v>
      </c>
      <c r="G811" t="s">
        <v>635</v>
      </c>
      <c r="H811" s="6">
        <v>7426</v>
      </c>
      <c r="I811" t="s">
        <v>3026</v>
      </c>
      <c r="L811" s="8" t="s">
        <v>4718</v>
      </c>
    </row>
    <row r="812" spans="1:12" x14ac:dyDescent="0.3">
      <c r="A812" t="s">
        <v>4719</v>
      </c>
      <c r="B812" t="s">
        <v>1381</v>
      </c>
      <c r="C812" t="s">
        <v>4720</v>
      </c>
      <c r="D812" t="s">
        <v>4721</v>
      </c>
      <c r="E812" t="s">
        <v>3954</v>
      </c>
      <c r="F812" t="s">
        <v>3955</v>
      </c>
      <c r="G812" t="s">
        <v>635</v>
      </c>
      <c r="H812" s="6">
        <v>5316.28</v>
      </c>
      <c r="I812" t="s">
        <v>3026</v>
      </c>
      <c r="L812" s="8" t="s">
        <v>4722</v>
      </c>
    </row>
    <row r="813" spans="1:12" x14ac:dyDescent="0.3">
      <c r="A813" t="s">
        <v>4723</v>
      </c>
      <c r="B813" t="s">
        <v>1381</v>
      </c>
      <c r="C813" t="s">
        <v>4724</v>
      </c>
      <c r="D813" t="s">
        <v>4725</v>
      </c>
      <c r="E813" t="s">
        <v>3954</v>
      </c>
      <c r="F813" t="s">
        <v>3955</v>
      </c>
      <c r="G813" t="s">
        <v>635</v>
      </c>
      <c r="H813" s="6">
        <v>5738.44</v>
      </c>
      <c r="I813" t="s">
        <v>3026</v>
      </c>
      <c r="L813" s="8" t="s">
        <v>4726</v>
      </c>
    </row>
    <row r="814" spans="1:12" x14ac:dyDescent="0.3">
      <c r="A814" t="s">
        <v>4727</v>
      </c>
      <c r="B814" t="s">
        <v>1381</v>
      </c>
      <c r="C814" t="s">
        <v>4728</v>
      </c>
      <c r="D814" t="s">
        <v>4729</v>
      </c>
      <c r="E814" t="s">
        <v>3954</v>
      </c>
      <c r="F814" t="s">
        <v>3955</v>
      </c>
      <c r="G814" t="s">
        <v>635</v>
      </c>
      <c r="H814" s="6">
        <v>8218.81</v>
      </c>
      <c r="I814" t="s">
        <v>3026</v>
      </c>
      <c r="L814" s="8" t="s">
        <v>4730</v>
      </c>
    </row>
    <row r="815" spans="1:12" x14ac:dyDescent="0.3">
      <c r="A815" t="s">
        <v>4731</v>
      </c>
      <c r="B815" t="s">
        <v>1381</v>
      </c>
      <c r="C815" t="s">
        <v>4732</v>
      </c>
      <c r="D815" t="s">
        <v>4733</v>
      </c>
      <c r="E815" t="s">
        <v>3954</v>
      </c>
      <c r="F815" t="s">
        <v>3955</v>
      </c>
      <c r="G815" t="s">
        <v>635</v>
      </c>
      <c r="H815" s="6">
        <v>37214.339999999997</v>
      </c>
      <c r="I815" t="s">
        <v>3026</v>
      </c>
      <c r="L815" s="8" t="s">
        <v>4734</v>
      </c>
    </row>
    <row r="816" spans="1:12" x14ac:dyDescent="0.3">
      <c r="A816" t="s">
        <v>4735</v>
      </c>
      <c r="B816" t="s">
        <v>1381</v>
      </c>
      <c r="C816" t="s">
        <v>4736</v>
      </c>
      <c r="D816" t="s">
        <v>4737</v>
      </c>
      <c r="E816" t="s">
        <v>3954</v>
      </c>
      <c r="F816" t="s">
        <v>3955</v>
      </c>
      <c r="G816" t="s">
        <v>635</v>
      </c>
      <c r="H816" s="6">
        <v>37214.339999999997</v>
      </c>
      <c r="I816" t="s">
        <v>3026</v>
      </c>
      <c r="L816" s="8" t="s">
        <v>4738</v>
      </c>
    </row>
    <row r="817" spans="1:12" x14ac:dyDescent="0.3">
      <c r="A817" t="s">
        <v>4739</v>
      </c>
      <c r="B817" t="s">
        <v>1381</v>
      </c>
      <c r="C817" t="s">
        <v>4740</v>
      </c>
      <c r="D817" t="s">
        <v>4741</v>
      </c>
      <c r="E817" t="s">
        <v>3954</v>
      </c>
      <c r="F817" t="s">
        <v>3955</v>
      </c>
      <c r="G817" t="s">
        <v>635</v>
      </c>
      <c r="H817" s="6">
        <v>26735.18</v>
      </c>
      <c r="I817" t="s">
        <v>3026</v>
      </c>
      <c r="L817" s="8" t="s">
        <v>4742</v>
      </c>
    </row>
    <row r="818" spans="1:12" x14ac:dyDescent="0.3">
      <c r="A818" t="s">
        <v>4743</v>
      </c>
      <c r="B818" t="s">
        <v>1381</v>
      </c>
      <c r="C818" t="s">
        <v>4744</v>
      </c>
      <c r="D818" t="s">
        <v>4745</v>
      </c>
      <c r="E818" t="s">
        <v>3954</v>
      </c>
      <c r="F818" t="s">
        <v>3955</v>
      </c>
      <c r="G818" t="s">
        <v>635</v>
      </c>
      <c r="H818" s="6">
        <v>26735.18</v>
      </c>
      <c r="I818" t="s">
        <v>3026</v>
      </c>
      <c r="L818" s="8" t="s">
        <v>4746</v>
      </c>
    </row>
    <row r="819" spans="1:12" x14ac:dyDescent="0.3">
      <c r="A819" t="s">
        <v>4747</v>
      </c>
      <c r="B819" t="s">
        <v>1381</v>
      </c>
      <c r="C819" t="s">
        <v>4748</v>
      </c>
      <c r="D819" t="s">
        <v>4749</v>
      </c>
      <c r="E819" t="s">
        <v>3954</v>
      </c>
      <c r="F819" t="s">
        <v>3955</v>
      </c>
      <c r="G819" t="s">
        <v>635</v>
      </c>
      <c r="H819" s="6">
        <v>15667.09</v>
      </c>
      <c r="I819" t="s">
        <v>3026</v>
      </c>
      <c r="L819" s="8" t="s">
        <v>4750</v>
      </c>
    </row>
    <row r="820" spans="1:12" x14ac:dyDescent="0.3">
      <c r="A820" t="s">
        <v>4751</v>
      </c>
      <c r="B820" t="s">
        <v>1381</v>
      </c>
      <c r="C820" t="s">
        <v>4752</v>
      </c>
      <c r="D820" t="s">
        <v>4753</v>
      </c>
      <c r="E820" t="s">
        <v>3954</v>
      </c>
      <c r="F820" t="s">
        <v>3955</v>
      </c>
      <c r="G820" t="s">
        <v>635</v>
      </c>
      <c r="H820" s="6">
        <v>10147.85</v>
      </c>
      <c r="I820" t="s">
        <v>3026</v>
      </c>
      <c r="L820" s="8" t="s">
        <v>4754</v>
      </c>
    </row>
    <row r="821" spans="1:12" x14ac:dyDescent="0.3">
      <c r="A821" t="s">
        <v>4755</v>
      </c>
      <c r="B821" t="s">
        <v>1381</v>
      </c>
      <c r="C821" t="s">
        <v>4756</v>
      </c>
      <c r="D821" t="s">
        <v>4757</v>
      </c>
      <c r="E821" t="s">
        <v>3954</v>
      </c>
      <c r="F821" t="s">
        <v>3955</v>
      </c>
      <c r="G821" t="s">
        <v>635</v>
      </c>
      <c r="H821" s="6">
        <v>10147.85</v>
      </c>
      <c r="I821" t="s">
        <v>3026</v>
      </c>
      <c r="L821" s="8" t="s">
        <v>4758</v>
      </c>
    </row>
    <row r="822" spans="1:12" x14ac:dyDescent="0.3">
      <c r="A822" t="s">
        <v>4759</v>
      </c>
      <c r="B822" t="s">
        <v>1381</v>
      </c>
      <c r="C822" t="s">
        <v>4760</v>
      </c>
      <c r="D822" t="s">
        <v>4761</v>
      </c>
      <c r="E822" t="s">
        <v>3954</v>
      </c>
      <c r="F822" t="s">
        <v>3955</v>
      </c>
      <c r="G822" t="s">
        <v>635</v>
      </c>
      <c r="H822" s="6">
        <v>10147.85</v>
      </c>
      <c r="I822" t="s">
        <v>3026</v>
      </c>
      <c r="L822" s="8" t="s">
        <v>4762</v>
      </c>
    </row>
    <row r="823" spans="1:12" x14ac:dyDescent="0.3">
      <c r="A823" t="s">
        <v>4763</v>
      </c>
      <c r="B823" t="s">
        <v>1381</v>
      </c>
      <c r="C823" t="s">
        <v>4760</v>
      </c>
      <c r="D823" t="s">
        <v>4764</v>
      </c>
      <c r="E823" t="s">
        <v>3954</v>
      </c>
      <c r="F823" t="s">
        <v>3955</v>
      </c>
      <c r="G823" t="s">
        <v>635</v>
      </c>
      <c r="H823" s="6">
        <v>10147.85</v>
      </c>
      <c r="I823" t="s">
        <v>3026</v>
      </c>
      <c r="L823" s="8" t="s">
        <v>4765</v>
      </c>
    </row>
    <row r="824" spans="1:12" x14ac:dyDescent="0.3">
      <c r="A824" t="s">
        <v>4766</v>
      </c>
      <c r="B824" t="s">
        <v>1381</v>
      </c>
      <c r="C824" t="s">
        <v>4767</v>
      </c>
      <c r="D824" t="s">
        <v>4768</v>
      </c>
      <c r="E824" t="s">
        <v>3954</v>
      </c>
      <c r="F824" t="s">
        <v>3955</v>
      </c>
      <c r="G824" t="s">
        <v>635</v>
      </c>
      <c r="H824" s="6">
        <v>10147.85</v>
      </c>
      <c r="I824" t="s">
        <v>3026</v>
      </c>
      <c r="L824" s="8" t="s">
        <v>4769</v>
      </c>
    </row>
    <row r="825" spans="1:12" x14ac:dyDescent="0.3">
      <c r="A825" t="s">
        <v>4770</v>
      </c>
      <c r="B825" t="s">
        <v>1381</v>
      </c>
      <c r="C825" t="s">
        <v>4767</v>
      </c>
      <c r="D825" t="s">
        <v>4771</v>
      </c>
      <c r="E825" t="s">
        <v>3954</v>
      </c>
      <c r="F825" t="s">
        <v>3955</v>
      </c>
      <c r="G825" t="s">
        <v>635</v>
      </c>
      <c r="H825" s="6">
        <v>10147.85</v>
      </c>
      <c r="I825" t="s">
        <v>3026</v>
      </c>
      <c r="L825" s="8" t="s">
        <v>4772</v>
      </c>
    </row>
    <row r="826" spans="1:12" x14ac:dyDescent="0.3">
      <c r="A826" t="s">
        <v>4773</v>
      </c>
      <c r="B826" t="s">
        <v>1381</v>
      </c>
      <c r="C826" t="s">
        <v>4774</v>
      </c>
      <c r="D826" t="s">
        <v>4775</v>
      </c>
      <c r="E826" t="s">
        <v>3954</v>
      </c>
      <c r="F826" t="s">
        <v>3955</v>
      </c>
      <c r="G826" t="s">
        <v>635</v>
      </c>
      <c r="H826" s="6">
        <v>9447.65</v>
      </c>
      <c r="I826" t="s">
        <v>3026</v>
      </c>
      <c r="L826" s="8" t="s">
        <v>4776</v>
      </c>
    </row>
    <row r="827" spans="1:12" x14ac:dyDescent="0.3">
      <c r="A827" t="s">
        <v>4777</v>
      </c>
      <c r="B827" t="s">
        <v>1381</v>
      </c>
      <c r="C827" t="s">
        <v>4778</v>
      </c>
      <c r="D827" t="s">
        <v>4779</v>
      </c>
      <c r="E827" t="s">
        <v>3954</v>
      </c>
      <c r="F827" t="s">
        <v>3955</v>
      </c>
      <c r="G827" t="s">
        <v>635</v>
      </c>
      <c r="H827" s="6">
        <v>9447.65</v>
      </c>
      <c r="I827" t="s">
        <v>3026</v>
      </c>
      <c r="L827" s="8" t="s">
        <v>4780</v>
      </c>
    </row>
    <row r="828" spans="1:12" x14ac:dyDescent="0.3">
      <c r="A828" t="s">
        <v>4781</v>
      </c>
      <c r="B828" t="s">
        <v>1381</v>
      </c>
      <c r="C828" t="s">
        <v>1511</v>
      </c>
      <c r="D828" t="s">
        <v>4782</v>
      </c>
      <c r="E828" t="s">
        <v>3954</v>
      </c>
      <c r="F828" t="s">
        <v>3955</v>
      </c>
      <c r="G828" t="s">
        <v>635</v>
      </c>
      <c r="H828" s="6">
        <v>8314.2900000000009</v>
      </c>
      <c r="I828" t="s">
        <v>3026</v>
      </c>
      <c r="L828" s="8" t="s">
        <v>4783</v>
      </c>
    </row>
    <row r="829" spans="1:12" x14ac:dyDescent="0.3">
      <c r="A829" t="s">
        <v>4784</v>
      </c>
      <c r="B829" t="s">
        <v>1381</v>
      </c>
      <c r="C829" t="s">
        <v>1523</v>
      </c>
      <c r="D829" t="s">
        <v>4785</v>
      </c>
      <c r="E829" t="s">
        <v>3954</v>
      </c>
      <c r="F829" t="s">
        <v>3955</v>
      </c>
      <c r="G829" t="s">
        <v>635</v>
      </c>
      <c r="H829" s="6">
        <v>11323.56</v>
      </c>
      <c r="I829" t="s">
        <v>3026</v>
      </c>
      <c r="L829" s="8" t="s">
        <v>4786</v>
      </c>
    </row>
    <row r="830" spans="1:12" x14ac:dyDescent="0.3">
      <c r="A830" t="s">
        <v>4787</v>
      </c>
      <c r="B830" t="s">
        <v>1381</v>
      </c>
      <c r="C830" t="s">
        <v>4788</v>
      </c>
      <c r="D830" t="s">
        <v>4789</v>
      </c>
      <c r="E830" t="s">
        <v>3954</v>
      </c>
      <c r="F830" t="s">
        <v>3955</v>
      </c>
      <c r="G830" t="s">
        <v>635</v>
      </c>
      <c r="H830" s="6">
        <v>11323.56</v>
      </c>
      <c r="I830" t="s">
        <v>3026</v>
      </c>
      <c r="L830" s="8" t="s">
        <v>4790</v>
      </c>
    </row>
    <row r="831" spans="1:12" x14ac:dyDescent="0.3">
      <c r="A831" t="s">
        <v>4791</v>
      </c>
      <c r="B831" t="s">
        <v>1381</v>
      </c>
      <c r="C831" t="s">
        <v>4792</v>
      </c>
      <c r="D831" t="s">
        <v>4793</v>
      </c>
      <c r="E831" t="s">
        <v>3954</v>
      </c>
      <c r="F831" t="s">
        <v>3955</v>
      </c>
      <c r="G831" t="s">
        <v>635</v>
      </c>
      <c r="H831" s="6">
        <v>7113.64</v>
      </c>
      <c r="I831" t="s">
        <v>3026</v>
      </c>
      <c r="L831" s="8" t="s">
        <v>4794</v>
      </c>
    </row>
    <row r="832" spans="1:12" x14ac:dyDescent="0.3">
      <c r="A832" t="s">
        <v>4795</v>
      </c>
      <c r="B832" t="s">
        <v>1381</v>
      </c>
      <c r="C832" t="s">
        <v>4796</v>
      </c>
      <c r="D832" t="s">
        <v>4797</v>
      </c>
      <c r="E832" t="s">
        <v>3954</v>
      </c>
      <c r="F832" t="s">
        <v>3955</v>
      </c>
      <c r="G832" t="s">
        <v>635</v>
      </c>
      <c r="H832" s="6">
        <v>7113.64</v>
      </c>
      <c r="I832" t="s">
        <v>3026</v>
      </c>
      <c r="L832" s="8" t="s">
        <v>4798</v>
      </c>
    </row>
    <row r="833" spans="1:12" x14ac:dyDescent="0.3">
      <c r="A833" t="s">
        <v>4799</v>
      </c>
      <c r="B833" t="s">
        <v>1381</v>
      </c>
      <c r="C833" t="s">
        <v>4800</v>
      </c>
      <c r="D833" t="s">
        <v>4801</v>
      </c>
      <c r="E833" t="s">
        <v>3954</v>
      </c>
      <c r="F833" t="s">
        <v>3955</v>
      </c>
      <c r="G833" t="s">
        <v>635</v>
      </c>
      <c r="H833" s="6">
        <v>14125.8</v>
      </c>
      <c r="I833" t="s">
        <v>3026</v>
      </c>
      <c r="L833" s="8" t="s">
        <v>4802</v>
      </c>
    </row>
    <row r="834" spans="1:12" x14ac:dyDescent="0.3">
      <c r="A834" t="s">
        <v>4803</v>
      </c>
      <c r="B834" t="s">
        <v>1381</v>
      </c>
      <c r="C834" t="s">
        <v>4804</v>
      </c>
      <c r="D834" t="s">
        <v>4805</v>
      </c>
      <c r="E834" t="s">
        <v>3954</v>
      </c>
      <c r="F834" t="s">
        <v>3955</v>
      </c>
      <c r="G834" t="s">
        <v>635</v>
      </c>
      <c r="H834" s="6">
        <v>14125.8</v>
      </c>
      <c r="I834" t="s">
        <v>3026</v>
      </c>
      <c r="L834" s="8" t="s">
        <v>4806</v>
      </c>
    </row>
    <row r="835" spans="1:12" x14ac:dyDescent="0.3">
      <c r="A835" t="s">
        <v>4807</v>
      </c>
      <c r="B835" t="s">
        <v>1381</v>
      </c>
      <c r="C835" t="s">
        <v>4808</v>
      </c>
      <c r="D835" t="s">
        <v>4809</v>
      </c>
      <c r="E835" t="s">
        <v>3954</v>
      </c>
      <c r="F835" t="s">
        <v>3955</v>
      </c>
      <c r="G835" t="s">
        <v>635</v>
      </c>
      <c r="H835" s="6">
        <v>9661.5400000000009</v>
      </c>
      <c r="I835" t="s">
        <v>3026</v>
      </c>
      <c r="L835" s="8" t="s">
        <v>4810</v>
      </c>
    </row>
    <row r="836" spans="1:12" x14ac:dyDescent="0.3">
      <c r="A836" t="s">
        <v>4811</v>
      </c>
      <c r="B836" t="s">
        <v>1381</v>
      </c>
      <c r="C836" t="s">
        <v>4812</v>
      </c>
      <c r="D836" t="s">
        <v>4813</v>
      </c>
      <c r="E836" t="s">
        <v>3954</v>
      </c>
      <c r="F836" t="s">
        <v>3955</v>
      </c>
      <c r="G836" t="s">
        <v>635</v>
      </c>
      <c r="H836" s="6">
        <v>1509.21</v>
      </c>
      <c r="I836" t="s">
        <v>3026</v>
      </c>
      <c r="L836" s="8" t="s">
        <v>4814</v>
      </c>
    </row>
    <row r="837" spans="1:12" x14ac:dyDescent="0.3">
      <c r="A837" t="s">
        <v>4815</v>
      </c>
      <c r="B837" t="s">
        <v>1381</v>
      </c>
      <c r="C837" t="s">
        <v>1513</v>
      </c>
      <c r="D837" t="s">
        <v>4816</v>
      </c>
      <c r="E837" t="s">
        <v>3954</v>
      </c>
      <c r="F837" t="s">
        <v>3955</v>
      </c>
      <c r="G837" t="s">
        <v>635</v>
      </c>
      <c r="H837" s="6">
        <v>693.58</v>
      </c>
      <c r="I837" t="s">
        <v>3026</v>
      </c>
      <c r="L837" s="8" t="s">
        <v>4817</v>
      </c>
    </row>
    <row r="838" spans="1:12" x14ac:dyDescent="0.3">
      <c r="A838" t="s">
        <v>4818</v>
      </c>
      <c r="B838" t="s">
        <v>1381</v>
      </c>
      <c r="C838" t="s">
        <v>1513</v>
      </c>
      <c r="D838" t="s">
        <v>4816</v>
      </c>
      <c r="E838" t="s">
        <v>3954</v>
      </c>
      <c r="F838" t="s">
        <v>3955</v>
      </c>
      <c r="G838" t="s">
        <v>635</v>
      </c>
      <c r="H838" s="6">
        <v>693.58</v>
      </c>
      <c r="I838" t="s">
        <v>3026</v>
      </c>
      <c r="L838" s="8" t="s">
        <v>4819</v>
      </c>
    </row>
    <row r="839" spans="1:12" x14ac:dyDescent="0.3">
      <c r="A839" t="s">
        <v>4820</v>
      </c>
      <c r="B839" t="s">
        <v>1381</v>
      </c>
      <c r="C839" t="s">
        <v>4821</v>
      </c>
      <c r="D839" t="s">
        <v>4822</v>
      </c>
      <c r="E839" t="s">
        <v>3954</v>
      </c>
      <c r="F839" t="s">
        <v>3955</v>
      </c>
      <c r="G839" t="s">
        <v>635</v>
      </c>
      <c r="H839" s="6">
        <v>34050.050000000003</v>
      </c>
      <c r="I839" t="s">
        <v>3026</v>
      </c>
      <c r="L839" s="8" t="s">
        <v>4823</v>
      </c>
    </row>
    <row r="840" spans="1:12" x14ac:dyDescent="0.3">
      <c r="A840" t="s">
        <v>4824</v>
      </c>
      <c r="B840" t="s">
        <v>1381</v>
      </c>
      <c r="C840" t="s">
        <v>4825</v>
      </c>
      <c r="D840" t="s">
        <v>4826</v>
      </c>
      <c r="E840" t="s">
        <v>3954</v>
      </c>
      <c r="F840" t="s">
        <v>3955</v>
      </c>
      <c r="G840" t="s">
        <v>635</v>
      </c>
      <c r="H840" s="6">
        <v>34050.050000000003</v>
      </c>
      <c r="I840" t="s">
        <v>3026</v>
      </c>
      <c r="L840" s="8" t="s">
        <v>4827</v>
      </c>
    </row>
    <row r="841" spans="1:12" x14ac:dyDescent="0.3">
      <c r="A841" t="s">
        <v>4828</v>
      </c>
      <c r="B841" t="s">
        <v>1381</v>
      </c>
      <c r="C841" t="s">
        <v>4829</v>
      </c>
      <c r="D841" t="s">
        <v>4830</v>
      </c>
      <c r="E841" t="s">
        <v>3954</v>
      </c>
      <c r="F841" t="s">
        <v>3955</v>
      </c>
      <c r="G841" t="s">
        <v>635</v>
      </c>
      <c r="H841" s="6">
        <v>34600.75</v>
      </c>
      <c r="I841" t="s">
        <v>3026</v>
      </c>
      <c r="L841" s="8" t="s">
        <v>4831</v>
      </c>
    </row>
    <row r="842" spans="1:12" x14ac:dyDescent="0.3">
      <c r="A842" t="s">
        <v>4832</v>
      </c>
      <c r="B842" t="s">
        <v>1381</v>
      </c>
      <c r="C842" t="s">
        <v>4833</v>
      </c>
      <c r="D842" t="s">
        <v>4834</v>
      </c>
      <c r="E842" t="s">
        <v>3954</v>
      </c>
      <c r="F842" t="s">
        <v>3955</v>
      </c>
      <c r="G842" t="s">
        <v>635</v>
      </c>
      <c r="H842" s="6">
        <v>34600.75</v>
      </c>
      <c r="I842" t="s">
        <v>3026</v>
      </c>
      <c r="L842" s="8" t="s">
        <v>4835</v>
      </c>
    </row>
    <row r="843" spans="1:12" x14ac:dyDescent="0.3">
      <c r="A843" t="s">
        <v>4836</v>
      </c>
      <c r="B843" t="s">
        <v>1381</v>
      </c>
      <c r="C843" t="s">
        <v>4837</v>
      </c>
      <c r="D843" t="s">
        <v>4838</v>
      </c>
      <c r="E843" t="s">
        <v>3954</v>
      </c>
      <c r="F843" t="s">
        <v>3955</v>
      </c>
      <c r="G843" t="s">
        <v>635</v>
      </c>
      <c r="H843" s="6">
        <v>34050.050000000003</v>
      </c>
      <c r="I843" t="s">
        <v>3026</v>
      </c>
      <c r="L843" s="8" t="s">
        <v>4839</v>
      </c>
    </row>
    <row r="844" spans="1:12" x14ac:dyDescent="0.3">
      <c r="A844" t="s">
        <v>4840</v>
      </c>
      <c r="B844" t="s">
        <v>1381</v>
      </c>
      <c r="C844" t="s">
        <v>4841</v>
      </c>
      <c r="D844" t="s">
        <v>4842</v>
      </c>
      <c r="E844" t="s">
        <v>3954</v>
      </c>
      <c r="F844" t="s">
        <v>3955</v>
      </c>
      <c r="G844" t="s">
        <v>635</v>
      </c>
      <c r="H844" s="6">
        <v>34050.050000000003</v>
      </c>
      <c r="I844" t="s">
        <v>3026</v>
      </c>
      <c r="L844" s="8" t="s">
        <v>4843</v>
      </c>
    </row>
    <row r="845" spans="1:12" x14ac:dyDescent="0.3">
      <c r="A845" t="s">
        <v>4844</v>
      </c>
      <c r="B845" t="s">
        <v>1381</v>
      </c>
      <c r="C845" t="s">
        <v>4845</v>
      </c>
      <c r="D845" t="s">
        <v>4846</v>
      </c>
      <c r="E845" t="s">
        <v>3954</v>
      </c>
      <c r="F845" t="s">
        <v>3955</v>
      </c>
      <c r="G845" t="s">
        <v>635</v>
      </c>
      <c r="H845" s="6">
        <v>35250.67</v>
      </c>
      <c r="I845" t="s">
        <v>3026</v>
      </c>
      <c r="L845" s="8" t="s">
        <v>4847</v>
      </c>
    </row>
    <row r="846" spans="1:12" x14ac:dyDescent="0.3">
      <c r="A846" t="s">
        <v>4848</v>
      </c>
      <c r="B846" t="s">
        <v>1381</v>
      </c>
      <c r="C846" t="s">
        <v>4849</v>
      </c>
      <c r="D846" t="s">
        <v>4850</v>
      </c>
      <c r="E846" t="s">
        <v>3954</v>
      </c>
      <c r="F846" t="s">
        <v>3955</v>
      </c>
      <c r="G846" t="s">
        <v>635</v>
      </c>
      <c r="H846" s="6">
        <v>35250.67</v>
      </c>
      <c r="I846" t="s">
        <v>3026</v>
      </c>
      <c r="L846" s="8" t="s">
        <v>4851</v>
      </c>
    </row>
    <row r="847" spans="1:12" x14ac:dyDescent="0.3">
      <c r="A847" t="s">
        <v>4852</v>
      </c>
      <c r="B847" t="s">
        <v>1381</v>
      </c>
      <c r="C847" t="s">
        <v>4853</v>
      </c>
      <c r="D847" t="s">
        <v>4854</v>
      </c>
      <c r="E847" t="s">
        <v>3954</v>
      </c>
      <c r="F847" t="s">
        <v>3955</v>
      </c>
      <c r="G847" t="s">
        <v>635</v>
      </c>
      <c r="H847" s="6">
        <v>35250.67</v>
      </c>
      <c r="I847" t="s">
        <v>3026</v>
      </c>
      <c r="L847" s="8" t="s">
        <v>4855</v>
      </c>
    </row>
    <row r="848" spans="1:12" x14ac:dyDescent="0.3">
      <c r="A848" t="s">
        <v>4856</v>
      </c>
      <c r="B848" t="s">
        <v>1381</v>
      </c>
      <c r="C848" t="s">
        <v>4857</v>
      </c>
      <c r="D848" t="s">
        <v>4858</v>
      </c>
      <c r="E848" t="s">
        <v>3954</v>
      </c>
      <c r="F848" t="s">
        <v>3955</v>
      </c>
      <c r="G848" t="s">
        <v>635</v>
      </c>
      <c r="H848" s="6">
        <v>35250.67</v>
      </c>
      <c r="I848" t="s">
        <v>3026</v>
      </c>
      <c r="L848" s="8" t="s">
        <v>4859</v>
      </c>
    </row>
    <row r="849" spans="1:12" x14ac:dyDescent="0.3">
      <c r="A849" t="s">
        <v>4860</v>
      </c>
      <c r="B849" t="s">
        <v>1381</v>
      </c>
      <c r="C849" t="s">
        <v>4861</v>
      </c>
      <c r="D849" t="s">
        <v>4862</v>
      </c>
      <c r="E849" t="s">
        <v>3954</v>
      </c>
      <c r="F849" t="s">
        <v>3955</v>
      </c>
      <c r="G849" t="s">
        <v>635</v>
      </c>
      <c r="H849" s="6">
        <v>53002.03</v>
      </c>
      <c r="I849" t="s">
        <v>3026</v>
      </c>
      <c r="L849" s="8" t="s">
        <v>4863</v>
      </c>
    </row>
    <row r="850" spans="1:12" x14ac:dyDescent="0.3">
      <c r="A850" t="s">
        <v>4864</v>
      </c>
      <c r="B850" t="s">
        <v>1381</v>
      </c>
      <c r="C850" t="s">
        <v>4865</v>
      </c>
      <c r="D850" t="s">
        <v>4866</v>
      </c>
      <c r="E850" t="s">
        <v>3954</v>
      </c>
      <c r="F850" t="s">
        <v>3955</v>
      </c>
      <c r="G850" t="s">
        <v>635</v>
      </c>
      <c r="H850" s="6">
        <v>53002.03</v>
      </c>
      <c r="I850" t="s">
        <v>3026</v>
      </c>
      <c r="L850" s="8" t="s">
        <v>4867</v>
      </c>
    </row>
    <row r="851" spans="1:12" x14ac:dyDescent="0.3">
      <c r="A851" t="s">
        <v>4868</v>
      </c>
      <c r="B851" t="s">
        <v>1381</v>
      </c>
      <c r="C851" t="s">
        <v>1495</v>
      </c>
      <c r="D851" t="s">
        <v>4869</v>
      </c>
      <c r="E851" t="s">
        <v>3954</v>
      </c>
      <c r="F851" t="s">
        <v>3955</v>
      </c>
      <c r="G851" t="s">
        <v>635</v>
      </c>
      <c r="H851" s="6">
        <v>26362.1</v>
      </c>
      <c r="I851" t="s">
        <v>3026</v>
      </c>
      <c r="L851" s="8" t="s">
        <v>4870</v>
      </c>
    </row>
    <row r="852" spans="1:12" x14ac:dyDescent="0.3">
      <c r="A852" t="s">
        <v>4871</v>
      </c>
      <c r="B852" t="s">
        <v>1381</v>
      </c>
      <c r="C852" t="s">
        <v>4872</v>
      </c>
      <c r="D852" t="s">
        <v>4873</v>
      </c>
      <c r="E852" t="s">
        <v>3954</v>
      </c>
      <c r="F852" t="s">
        <v>3955</v>
      </c>
      <c r="G852" t="s">
        <v>635</v>
      </c>
      <c r="H852" s="6">
        <v>26362.1</v>
      </c>
      <c r="I852" t="s">
        <v>3026</v>
      </c>
      <c r="L852" s="8" t="s">
        <v>4874</v>
      </c>
    </row>
    <row r="853" spans="1:12" x14ac:dyDescent="0.3">
      <c r="A853" t="s">
        <v>4875</v>
      </c>
      <c r="B853" t="s">
        <v>1381</v>
      </c>
      <c r="C853" t="s">
        <v>4876</v>
      </c>
      <c r="D853" t="s">
        <v>4877</v>
      </c>
      <c r="E853" t="s">
        <v>3954</v>
      </c>
      <c r="F853" t="s">
        <v>3955</v>
      </c>
      <c r="G853" t="s">
        <v>635</v>
      </c>
      <c r="H853" s="6">
        <v>26362.1</v>
      </c>
      <c r="I853" t="s">
        <v>3026</v>
      </c>
      <c r="L853" s="8" t="s">
        <v>4878</v>
      </c>
    </row>
    <row r="854" spans="1:12" x14ac:dyDescent="0.3">
      <c r="A854" t="s">
        <v>4879</v>
      </c>
      <c r="B854" t="s">
        <v>1381</v>
      </c>
      <c r="C854" t="s">
        <v>4880</v>
      </c>
      <c r="D854" t="s">
        <v>4881</v>
      </c>
      <c r="E854" t="s">
        <v>3954</v>
      </c>
      <c r="F854" t="s">
        <v>3955</v>
      </c>
      <c r="G854" t="s">
        <v>635</v>
      </c>
      <c r="H854" s="6">
        <v>29175.13</v>
      </c>
      <c r="I854" t="s">
        <v>3026</v>
      </c>
      <c r="L854" s="8" t="s">
        <v>4882</v>
      </c>
    </row>
    <row r="855" spans="1:12" x14ac:dyDescent="0.3">
      <c r="A855" t="s">
        <v>4883</v>
      </c>
      <c r="B855" t="s">
        <v>1381</v>
      </c>
      <c r="C855" t="s">
        <v>4884</v>
      </c>
      <c r="D855" t="s">
        <v>4885</v>
      </c>
      <c r="E855" t="s">
        <v>3954</v>
      </c>
      <c r="F855" t="s">
        <v>3955</v>
      </c>
      <c r="G855" t="s">
        <v>635</v>
      </c>
      <c r="H855" s="6">
        <v>26668.7</v>
      </c>
      <c r="I855" t="s">
        <v>3026</v>
      </c>
      <c r="L855" s="8" t="s">
        <v>4886</v>
      </c>
    </row>
    <row r="856" spans="1:12" x14ac:dyDescent="0.3">
      <c r="A856" t="s">
        <v>4887</v>
      </c>
      <c r="B856" t="s">
        <v>1381</v>
      </c>
      <c r="C856" t="s">
        <v>4888</v>
      </c>
      <c r="D856" t="s">
        <v>4889</v>
      </c>
      <c r="E856" t="s">
        <v>3954</v>
      </c>
      <c r="F856" t="s">
        <v>3955</v>
      </c>
      <c r="G856" t="s">
        <v>635</v>
      </c>
      <c r="H856" s="6">
        <v>26668.7</v>
      </c>
      <c r="I856" t="s">
        <v>3026</v>
      </c>
      <c r="L856" s="8" t="s">
        <v>4890</v>
      </c>
    </row>
    <row r="857" spans="1:12" x14ac:dyDescent="0.3">
      <c r="A857" t="s">
        <v>4891</v>
      </c>
      <c r="B857" t="s">
        <v>1381</v>
      </c>
      <c r="C857" t="s">
        <v>4892</v>
      </c>
      <c r="D857" t="s">
        <v>4893</v>
      </c>
      <c r="E857" t="s">
        <v>3954</v>
      </c>
      <c r="F857" t="s">
        <v>3955</v>
      </c>
      <c r="G857" t="s">
        <v>635</v>
      </c>
      <c r="H857" s="6">
        <v>30206.07</v>
      </c>
      <c r="I857" t="s">
        <v>3026</v>
      </c>
      <c r="L857" s="8" t="s">
        <v>4894</v>
      </c>
    </row>
    <row r="858" spans="1:12" x14ac:dyDescent="0.3">
      <c r="A858" t="s">
        <v>4895</v>
      </c>
      <c r="B858" t="s">
        <v>1381</v>
      </c>
      <c r="C858" t="s">
        <v>4896</v>
      </c>
      <c r="D858" t="s">
        <v>4897</v>
      </c>
      <c r="E858" t="s">
        <v>3954</v>
      </c>
      <c r="F858" t="s">
        <v>3955</v>
      </c>
      <c r="G858" t="s">
        <v>635</v>
      </c>
      <c r="H858" s="6">
        <v>30206.07</v>
      </c>
      <c r="I858" t="s">
        <v>3026</v>
      </c>
      <c r="L858" s="8" t="s">
        <v>4898</v>
      </c>
    </row>
    <row r="859" spans="1:12" x14ac:dyDescent="0.3">
      <c r="A859" t="s">
        <v>4899</v>
      </c>
      <c r="B859" t="s">
        <v>1381</v>
      </c>
      <c r="C859" t="s">
        <v>4900</v>
      </c>
      <c r="D859" t="s">
        <v>4901</v>
      </c>
      <c r="E859" t="s">
        <v>3954</v>
      </c>
      <c r="F859" t="s">
        <v>3955</v>
      </c>
      <c r="G859" t="s">
        <v>635</v>
      </c>
      <c r="H859" s="6">
        <v>34050.050000000003</v>
      </c>
      <c r="I859" t="s">
        <v>3026</v>
      </c>
      <c r="L859" s="8" t="s">
        <v>4902</v>
      </c>
    </row>
    <row r="860" spans="1:12" x14ac:dyDescent="0.3">
      <c r="A860" t="s">
        <v>4903</v>
      </c>
      <c r="B860" t="s">
        <v>1381</v>
      </c>
      <c r="C860" t="s">
        <v>4904</v>
      </c>
      <c r="D860" t="s">
        <v>4905</v>
      </c>
      <c r="E860" t="s">
        <v>3954</v>
      </c>
      <c r="F860" t="s">
        <v>3955</v>
      </c>
      <c r="G860" t="s">
        <v>635</v>
      </c>
      <c r="H860" s="6">
        <v>34050.050000000003</v>
      </c>
      <c r="I860" t="s">
        <v>3026</v>
      </c>
      <c r="L860" s="8" t="s">
        <v>4906</v>
      </c>
    </row>
    <row r="861" spans="1:12" x14ac:dyDescent="0.3">
      <c r="A861" t="s">
        <v>4907</v>
      </c>
      <c r="B861" t="s">
        <v>1381</v>
      </c>
      <c r="C861" t="s">
        <v>4908</v>
      </c>
      <c r="D861" t="s">
        <v>4909</v>
      </c>
      <c r="E861" t="s">
        <v>3954</v>
      </c>
      <c r="F861" t="s">
        <v>3955</v>
      </c>
      <c r="G861" t="s">
        <v>635</v>
      </c>
      <c r="H861" s="6">
        <v>34050.050000000003</v>
      </c>
      <c r="I861" t="s">
        <v>3026</v>
      </c>
      <c r="L861" s="8" t="s">
        <v>4910</v>
      </c>
    </row>
    <row r="862" spans="1:12" x14ac:dyDescent="0.3">
      <c r="A862" t="s">
        <v>4911</v>
      </c>
      <c r="B862" t="s">
        <v>1381</v>
      </c>
      <c r="C862" t="s">
        <v>4912</v>
      </c>
      <c r="D862" t="s">
        <v>4913</v>
      </c>
      <c r="E862" t="s">
        <v>3954</v>
      </c>
      <c r="F862" t="s">
        <v>3955</v>
      </c>
      <c r="G862" t="s">
        <v>635</v>
      </c>
      <c r="H862" s="6">
        <v>34050.050000000003</v>
      </c>
      <c r="I862" t="s">
        <v>3026</v>
      </c>
      <c r="L862" s="8" t="s">
        <v>4914</v>
      </c>
    </row>
    <row r="863" spans="1:12" x14ac:dyDescent="0.3">
      <c r="A863" t="s">
        <v>4915</v>
      </c>
      <c r="B863" t="s">
        <v>1381</v>
      </c>
      <c r="C863" t="s">
        <v>4916</v>
      </c>
      <c r="D863" t="s">
        <v>4917</v>
      </c>
      <c r="E863" t="s">
        <v>3954</v>
      </c>
      <c r="F863" t="s">
        <v>3955</v>
      </c>
      <c r="G863" t="s">
        <v>635</v>
      </c>
      <c r="H863" s="6">
        <v>35250.67</v>
      </c>
      <c r="I863" t="s">
        <v>3026</v>
      </c>
      <c r="L863" s="8" t="s">
        <v>4918</v>
      </c>
    </row>
    <row r="864" spans="1:12" x14ac:dyDescent="0.3">
      <c r="A864" t="s">
        <v>4919</v>
      </c>
      <c r="B864" t="s">
        <v>1381</v>
      </c>
      <c r="C864" t="s">
        <v>4920</v>
      </c>
      <c r="D864" t="s">
        <v>4921</v>
      </c>
      <c r="E864" t="s">
        <v>3954</v>
      </c>
      <c r="F864" t="s">
        <v>3955</v>
      </c>
      <c r="G864" t="s">
        <v>635</v>
      </c>
      <c r="H864" s="6">
        <v>35250.67</v>
      </c>
      <c r="I864" t="s">
        <v>3026</v>
      </c>
      <c r="L864" s="8" t="s">
        <v>4922</v>
      </c>
    </row>
    <row r="865" spans="1:12" x14ac:dyDescent="0.3">
      <c r="A865" t="s">
        <v>4923</v>
      </c>
      <c r="B865" t="s">
        <v>1381</v>
      </c>
      <c r="C865" t="s">
        <v>4924</v>
      </c>
      <c r="D865" t="s">
        <v>4925</v>
      </c>
      <c r="E865" t="s">
        <v>3954</v>
      </c>
      <c r="F865" t="s">
        <v>3955</v>
      </c>
      <c r="G865" t="s">
        <v>635</v>
      </c>
      <c r="H865" s="6">
        <v>35250.67</v>
      </c>
      <c r="I865" t="s">
        <v>3026</v>
      </c>
      <c r="L865" s="8" t="s">
        <v>4926</v>
      </c>
    </row>
    <row r="866" spans="1:12" x14ac:dyDescent="0.3">
      <c r="A866" t="s">
        <v>4927</v>
      </c>
      <c r="B866" t="s">
        <v>1381</v>
      </c>
      <c r="C866" t="s">
        <v>4928</v>
      </c>
      <c r="D866" t="s">
        <v>4929</v>
      </c>
      <c r="E866" t="s">
        <v>3954</v>
      </c>
      <c r="F866" t="s">
        <v>3955</v>
      </c>
      <c r="G866" t="s">
        <v>635</v>
      </c>
      <c r="H866" s="6">
        <v>35250.67</v>
      </c>
      <c r="I866" t="s">
        <v>3026</v>
      </c>
      <c r="L866" s="8" t="s">
        <v>4930</v>
      </c>
    </row>
    <row r="867" spans="1:12" x14ac:dyDescent="0.3">
      <c r="A867" t="s">
        <v>4931</v>
      </c>
      <c r="B867" t="s">
        <v>1381</v>
      </c>
      <c r="C867" t="s">
        <v>4932</v>
      </c>
      <c r="D867" t="s">
        <v>4933</v>
      </c>
      <c r="E867" t="s">
        <v>3954</v>
      </c>
      <c r="F867" t="s">
        <v>3955</v>
      </c>
      <c r="G867" t="s">
        <v>635</v>
      </c>
      <c r="H867" s="6">
        <v>34050.050000000003</v>
      </c>
      <c r="I867" t="s">
        <v>3026</v>
      </c>
      <c r="L867" s="8" t="s">
        <v>4934</v>
      </c>
    </row>
    <row r="868" spans="1:12" x14ac:dyDescent="0.3">
      <c r="A868" t="s">
        <v>4935</v>
      </c>
      <c r="B868" t="s">
        <v>1381</v>
      </c>
      <c r="C868" t="s">
        <v>4936</v>
      </c>
      <c r="D868" t="s">
        <v>4937</v>
      </c>
      <c r="E868" t="s">
        <v>3954</v>
      </c>
      <c r="F868" t="s">
        <v>3955</v>
      </c>
      <c r="G868" t="s">
        <v>635</v>
      </c>
      <c r="H868" s="6">
        <v>34050.050000000003</v>
      </c>
      <c r="I868" t="s">
        <v>3026</v>
      </c>
      <c r="L868" s="8" t="s">
        <v>4938</v>
      </c>
    </row>
    <row r="869" spans="1:12" x14ac:dyDescent="0.3">
      <c r="A869" t="s">
        <v>4939</v>
      </c>
      <c r="B869" t="s">
        <v>1381</v>
      </c>
      <c r="C869" t="s">
        <v>4940</v>
      </c>
      <c r="D869" t="s">
        <v>4941</v>
      </c>
      <c r="E869" t="s">
        <v>3954</v>
      </c>
      <c r="F869" t="s">
        <v>3955</v>
      </c>
      <c r="G869" t="s">
        <v>635</v>
      </c>
      <c r="H869" s="6">
        <v>32999.26</v>
      </c>
      <c r="I869" t="s">
        <v>3026</v>
      </c>
      <c r="L869" s="8" t="s">
        <v>4942</v>
      </c>
    </row>
    <row r="870" spans="1:12" x14ac:dyDescent="0.3">
      <c r="A870" t="s">
        <v>4943</v>
      </c>
      <c r="B870" t="s">
        <v>1381</v>
      </c>
      <c r="C870" t="s">
        <v>4944</v>
      </c>
      <c r="D870" t="s">
        <v>4945</v>
      </c>
      <c r="E870" t="s">
        <v>3954</v>
      </c>
      <c r="F870" t="s">
        <v>3955</v>
      </c>
      <c r="G870" t="s">
        <v>635</v>
      </c>
      <c r="H870" s="6">
        <v>34050.050000000003</v>
      </c>
      <c r="I870" t="s">
        <v>3026</v>
      </c>
      <c r="L870" s="8" t="s">
        <v>4946</v>
      </c>
    </row>
    <row r="871" spans="1:12" x14ac:dyDescent="0.3">
      <c r="A871" t="s">
        <v>4947</v>
      </c>
      <c r="B871" t="s">
        <v>1381</v>
      </c>
      <c r="C871" t="s">
        <v>4948</v>
      </c>
      <c r="D871" t="s">
        <v>4949</v>
      </c>
      <c r="E871" t="s">
        <v>3954</v>
      </c>
      <c r="F871" t="s">
        <v>3955</v>
      </c>
      <c r="G871" t="s">
        <v>635</v>
      </c>
      <c r="H871" s="6">
        <v>34050.050000000003</v>
      </c>
      <c r="I871" t="s">
        <v>3026</v>
      </c>
      <c r="L871" s="8" t="s">
        <v>4950</v>
      </c>
    </row>
    <row r="872" spans="1:12" x14ac:dyDescent="0.3">
      <c r="A872" t="s">
        <v>4951</v>
      </c>
      <c r="B872" t="s">
        <v>1381</v>
      </c>
      <c r="C872" t="s">
        <v>4952</v>
      </c>
      <c r="D872" t="s">
        <v>4953</v>
      </c>
      <c r="E872" t="s">
        <v>3954</v>
      </c>
      <c r="F872" t="s">
        <v>3955</v>
      </c>
      <c r="G872" t="s">
        <v>635</v>
      </c>
      <c r="H872" s="6">
        <v>34050.050000000003</v>
      </c>
      <c r="I872" t="s">
        <v>3026</v>
      </c>
      <c r="L872" s="8" t="s">
        <v>4954</v>
      </c>
    </row>
    <row r="873" spans="1:12" x14ac:dyDescent="0.3">
      <c r="A873" t="s">
        <v>4955</v>
      </c>
      <c r="B873" t="s">
        <v>1381</v>
      </c>
      <c r="C873" t="s">
        <v>4956</v>
      </c>
      <c r="D873" t="s">
        <v>4957</v>
      </c>
      <c r="E873" t="s">
        <v>3954</v>
      </c>
      <c r="F873" t="s">
        <v>3955</v>
      </c>
      <c r="G873" t="s">
        <v>635</v>
      </c>
      <c r="H873" s="6">
        <v>34050.050000000003</v>
      </c>
      <c r="I873" t="s">
        <v>3026</v>
      </c>
      <c r="L873" s="8" t="s">
        <v>4958</v>
      </c>
    </row>
    <row r="874" spans="1:12" x14ac:dyDescent="0.3">
      <c r="A874" t="s">
        <v>4959</v>
      </c>
      <c r="B874" t="s">
        <v>1381</v>
      </c>
      <c r="C874" t="s">
        <v>4960</v>
      </c>
      <c r="D874" t="s">
        <v>4961</v>
      </c>
      <c r="E874" t="s">
        <v>3954</v>
      </c>
      <c r="F874" t="s">
        <v>3955</v>
      </c>
      <c r="G874" t="s">
        <v>635</v>
      </c>
      <c r="H874" s="6">
        <v>35250.67</v>
      </c>
      <c r="I874" t="s">
        <v>3026</v>
      </c>
      <c r="L874" s="8" t="s">
        <v>4962</v>
      </c>
    </row>
    <row r="875" spans="1:12" x14ac:dyDescent="0.3">
      <c r="A875" t="s">
        <v>4963</v>
      </c>
      <c r="B875" t="s">
        <v>1381</v>
      </c>
      <c r="C875" t="s">
        <v>4964</v>
      </c>
      <c r="D875" t="s">
        <v>4965</v>
      </c>
      <c r="E875" t="s">
        <v>3954</v>
      </c>
      <c r="F875" t="s">
        <v>3955</v>
      </c>
      <c r="G875" t="s">
        <v>635</v>
      </c>
      <c r="H875" s="6">
        <v>35250.67</v>
      </c>
      <c r="I875" t="s">
        <v>3026</v>
      </c>
      <c r="L875" s="8" t="s">
        <v>4966</v>
      </c>
    </row>
    <row r="876" spans="1:12" x14ac:dyDescent="0.3">
      <c r="A876" t="s">
        <v>4967</v>
      </c>
      <c r="B876" t="s">
        <v>1381</v>
      </c>
      <c r="C876" t="s">
        <v>4968</v>
      </c>
      <c r="D876" t="s">
        <v>4969</v>
      </c>
      <c r="E876" t="s">
        <v>3954</v>
      </c>
      <c r="F876" t="s">
        <v>3955</v>
      </c>
      <c r="G876" t="s">
        <v>635</v>
      </c>
      <c r="H876" s="6">
        <v>35250.67</v>
      </c>
      <c r="I876" t="s">
        <v>3026</v>
      </c>
      <c r="L876" s="8" t="s">
        <v>4970</v>
      </c>
    </row>
    <row r="877" spans="1:12" x14ac:dyDescent="0.3">
      <c r="A877" t="s">
        <v>4971</v>
      </c>
      <c r="B877" t="s">
        <v>1381</v>
      </c>
      <c r="C877" t="s">
        <v>4968</v>
      </c>
      <c r="D877" t="s">
        <v>4969</v>
      </c>
      <c r="E877" t="s">
        <v>3954</v>
      </c>
      <c r="F877" t="s">
        <v>3955</v>
      </c>
      <c r="G877" t="s">
        <v>635</v>
      </c>
      <c r="H877" s="6">
        <v>40643.550000000003</v>
      </c>
      <c r="I877" t="s">
        <v>3026</v>
      </c>
      <c r="L877" s="8" t="s">
        <v>4972</v>
      </c>
    </row>
    <row r="878" spans="1:12" x14ac:dyDescent="0.3">
      <c r="A878" t="s">
        <v>4973</v>
      </c>
      <c r="B878" t="s">
        <v>1381</v>
      </c>
      <c r="C878" t="s">
        <v>4974</v>
      </c>
      <c r="D878" t="s">
        <v>4975</v>
      </c>
      <c r="E878" t="s">
        <v>3954</v>
      </c>
      <c r="F878" t="s">
        <v>3955</v>
      </c>
      <c r="G878" t="s">
        <v>635</v>
      </c>
      <c r="H878" s="6">
        <v>35250.67</v>
      </c>
      <c r="I878" t="s">
        <v>3026</v>
      </c>
      <c r="L878" s="8" t="s">
        <v>4976</v>
      </c>
    </row>
    <row r="879" spans="1:12" x14ac:dyDescent="0.3">
      <c r="A879" t="s">
        <v>4977</v>
      </c>
      <c r="B879" t="s">
        <v>1381</v>
      </c>
      <c r="C879" t="s">
        <v>4974</v>
      </c>
      <c r="D879" t="s">
        <v>4975</v>
      </c>
      <c r="E879" t="s">
        <v>3954</v>
      </c>
      <c r="F879" t="s">
        <v>3955</v>
      </c>
      <c r="G879" t="s">
        <v>635</v>
      </c>
      <c r="H879" s="6">
        <v>40643.550000000003</v>
      </c>
      <c r="I879" t="s">
        <v>3026</v>
      </c>
      <c r="L879" s="8" t="s">
        <v>4978</v>
      </c>
    </row>
    <row r="880" spans="1:12" x14ac:dyDescent="0.3">
      <c r="A880" t="s">
        <v>4979</v>
      </c>
      <c r="B880" t="s">
        <v>1381</v>
      </c>
      <c r="C880" t="s">
        <v>4980</v>
      </c>
      <c r="E880" t="s">
        <v>4981</v>
      </c>
      <c r="F880" t="s">
        <v>4982</v>
      </c>
      <c r="G880" t="s">
        <v>635</v>
      </c>
      <c r="H880" s="6">
        <v>379.32</v>
      </c>
      <c r="I880" t="s">
        <v>3026</v>
      </c>
      <c r="L880" s="8" t="s">
        <v>4983</v>
      </c>
    </row>
    <row r="881" spans="1:12" x14ac:dyDescent="0.3">
      <c r="A881" t="s">
        <v>4984</v>
      </c>
      <c r="B881" t="s">
        <v>1381</v>
      </c>
      <c r="C881" t="s">
        <v>4985</v>
      </c>
      <c r="E881" t="s">
        <v>4981</v>
      </c>
      <c r="F881" t="s">
        <v>4982</v>
      </c>
      <c r="G881" t="s">
        <v>635</v>
      </c>
      <c r="H881" s="6">
        <v>506.85</v>
      </c>
      <c r="I881" t="s">
        <v>3026</v>
      </c>
      <c r="L881" s="8" t="s">
        <v>4986</v>
      </c>
    </row>
    <row r="882" spans="1:12" x14ac:dyDescent="0.3">
      <c r="A882" t="s">
        <v>4987</v>
      </c>
      <c r="B882" t="s">
        <v>1381</v>
      </c>
      <c r="C882" t="s">
        <v>4988</v>
      </c>
      <c r="E882" t="s">
        <v>4981</v>
      </c>
      <c r="F882" t="s">
        <v>4982</v>
      </c>
      <c r="G882" t="s">
        <v>635</v>
      </c>
      <c r="H882" s="6">
        <v>506.85</v>
      </c>
      <c r="I882" t="s">
        <v>3026</v>
      </c>
      <c r="L882" s="8" t="s">
        <v>4989</v>
      </c>
    </row>
    <row r="883" spans="1:12" x14ac:dyDescent="0.3">
      <c r="A883" t="s">
        <v>4990</v>
      </c>
      <c r="B883" t="s">
        <v>1381</v>
      </c>
      <c r="C883" t="s">
        <v>4991</v>
      </c>
      <c r="E883" t="s">
        <v>4981</v>
      </c>
      <c r="F883" t="s">
        <v>4982</v>
      </c>
      <c r="G883" t="s">
        <v>635</v>
      </c>
      <c r="H883" s="6">
        <v>97.01</v>
      </c>
      <c r="I883" t="s">
        <v>3026</v>
      </c>
      <c r="L883" s="8" t="s">
        <v>4992</v>
      </c>
    </row>
    <row r="884" spans="1:12" x14ac:dyDescent="0.3">
      <c r="A884" t="s">
        <v>4993</v>
      </c>
      <c r="B884" t="s">
        <v>1381</v>
      </c>
      <c r="C884" t="s">
        <v>4994</v>
      </c>
      <c r="E884" t="s">
        <v>4981</v>
      </c>
      <c r="F884" t="s">
        <v>4982</v>
      </c>
      <c r="G884" t="s">
        <v>635</v>
      </c>
      <c r="H884" s="6">
        <v>1700.4</v>
      </c>
      <c r="I884" t="s">
        <v>3026</v>
      </c>
      <c r="L884" s="8" t="s">
        <v>4995</v>
      </c>
    </row>
    <row r="885" spans="1:12" x14ac:dyDescent="0.3">
      <c r="A885" t="s">
        <v>4996</v>
      </c>
      <c r="B885" t="s">
        <v>1381</v>
      </c>
      <c r="C885" t="s">
        <v>4997</v>
      </c>
      <c r="E885" t="s">
        <v>4981</v>
      </c>
      <c r="F885" t="s">
        <v>4982</v>
      </c>
      <c r="G885" t="s">
        <v>635</v>
      </c>
      <c r="H885" s="6">
        <v>2550.6</v>
      </c>
      <c r="I885" t="s">
        <v>3026</v>
      </c>
      <c r="L885" s="8" t="s">
        <v>4998</v>
      </c>
    </row>
    <row r="886" spans="1:12" x14ac:dyDescent="0.3">
      <c r="A886" t="s">
        <v>4999</v>
      </c>
      <c r="B886" t="s">
        <v>1381</v>
      </c>
      <c r="C886" t="s">
        <v>5000</v>
      </c>
      <c r="E886" t="s">
        <v>4981</v>
      </c>
      <c r="F886" t="s">
        <v>4982</v>
      </c>
      <c r="G886" t="s">
        <v>635</v>
      </c>
      <c r="H886" s="6">
        <v>3400.8</v>
      </c>
      <c r="I886" t="s">
        <v>3026</v>
      </c>
      <c r="L886" s="8" t="s">
        <v>5001</v>
      </c>
    </row>
    <row r="887" spans="1:12" x14ac:dyDescent="0.3">
      <c r="A887" t="s">
        <v>5002</v>
      </c>
      <c r="B887" t="s">
        <v>1381</v>
      </c>
      <c r="C887" t="s">
        <v>5003</v>
      </c>
      <c r="E887" t="s">
        <v>4981</v>
      </c>
      <c r="F887" t="s">
        <v>4982</v>
      </c>
      <c r="G887" t="s">
        <v>635</v>
      </c>
      <c r="H887" s="6">
        <v>4251</v>
      </c>
      <c r="I887" t="s">
        <v>3026</v>
      </c>
      <c r="L887" s="8" t="s">
        <v>5004</v>
      </c>
    </row>
    <row r="888" spans="1:12" x14ac:dyDescent="0.3">
      <c r="A888" t="s">
        <v>5005</v>
      </c>
      <c r="B888" t="s">
        <v>1381</v>
      </c>
      <c r="C888" t="s">
        <v>5006</v>
      </c>
      <c r="E888" t="s">
        <v>4981</v>
      </c>
      <c r="F888" t="s">
        <v>4982</v>
      </c>
      <c r="G888" t="s">
        <v>635</v>
      </c>
      <c r="H888" s="6">
        <v>5101.2</v>
      </c>
      <c r="I888" t="s">
        <v>3026</v>
      </c>
      <c r="L888" s="8" t="s">
        <v>5007</v>
      </c>
    </row>
    <row r="889" spans="1:12" x14ac:dyDescent="0.3">
      <c r="A889" t="s">
        <v>5008</v>
      </c>
      <c r="B889" t="s">
        <v>1381</v>
      </c>
      <c r="C889" t="s">
        <v>5009</v>
      </c>
      <c r="D889" t="s">
        <v>5010</v>
      </c>
      <c r="E889" t="s">
        <v>3954</v>
      </c>
      <c r="F889" t="s">
        <v>3955</v>
      </c>
      <c r="G889" t="s">
        <v>635</v>
      </c>
      <c r="H889" s="6">
        <v>12697.82</v>
      </c>
      <c r="I889" t="s">
        <v>3026</v>
      </c>
      <c r="L889" s="8" t="s">
        <v>5011</v>
      </c>
    </row>
    <row r="890" spans="1:12" x14ac:dyDescent="0.3">
      <c r="A890" t="s">
        <v>5012</v>
      </c>
      <c r="B890" t="s">
        <v>1381</v>
      </c>
      <c r="C890" t="s">
        <v>5013</v>
      </c>
      <c r="D890" t="s">
        <v>5014</v>
      </c>
      <c r="E890" t="s">
        <v>3954</v>
      </c>
      <c r="F890" t="s">
        <v>3955</v>
      </c>
      <c r="G890" t="s">
        <v>635</v>
      </c>
      <c r="H890" s="6">
        <v>30409.49</v>
      </c>
      <c r="I890" t="s">
        <v>3026</v>
      </c>
      <c r="L890" s="8" t="s">
        <v>5015</v>
      </c>
    </row>
    <row r="891" spans="1:12" x14ac:dyDescent="0.3">
      <c r="A891" t="s">
        <v>5016</v>
      </c>
      <c r="B891" t="s">
        <v>1381</v>
      </c>
      <c r="C891" t="s">
        <v>5017</v>
      </c>
      <c r="D891" t="s">
        <v>5018</v>
      </c>
      <c r="E891" t="s">
        <v>3954</v>
      </c>
      <c r="F891" t="s">
        <v>3955</v>
      </c>
      <c r="G891" t="s">
        <v>635</v>
      </c>
      <c r="H891" s="6">
        <v>24598.87</v>
      </c>
      <c r="I891" t="s">
        <v>3026</v>
      </c>
      <c r="L891" s="8" t="s">
        <v>5019</v>
      </c>
    </row>
    <row r="892" spans="1:12" x14ac:dyDescent="0.3">
      <c r="A892" t="s">
        <v>5020</v>
      </c>
      <c r="B892" t="s">
        <v>1381</v>
      </c>
      <c r="C892" t="s">
        <v>5021</v>
      </c>
      <c r="D892" t="s">
        <v>5022</v>
      </c>
      <c r="E892" t="s">
        <v>3954</v>
      </c>
      <c r="F892" t="s">
        <v>3955</v>
      </c>
      <c r="G892" t="s">
        <v>635</v>
      </c>
      <c r="H892" s="6">
        <v>2948.97</v>
      </c>
      <c r="I892" t="s">
        <v>3026</v>
      </c>
      <c r="L892" s="8" t="s">
        <v>5023</v>
      </c>
    </row>
    <row r="893" spans="1:12" x14ac:dyDescent="0.3">
      <c r="A893" t="s">
        <v>5024</v>
      </c>
      <c r="B893" t="s">
        <v>1381</v>
      </c>
      <c r="C893" t="s">
        <v>5025</v>
      </c>
      <c r="D893" t="s">
        <v>5026</v>
      </c>
      <c r="E893" t="s">
        <v>3954</v>
      </c>
      <c r="F893" t="s">
        <v>3955</v>
      </c>
      <c r="G893" t="s">
        <v>635</v>
      </c>
      <c r="H893" s="6">
        <v>2948.97</v>
      </c>
      <c r="I893" t="s">
        <v>3026</v>
      </c>
      <c r="L893" s="8" t="s">
        <v>5027</v>
      </c>
    </row>
    <row r="894" spans="1:12" x14ac:dyDescent="0.3">
      <c r="A894" t="s">
        <v>5028</v>
      </c>
      <c r="B894" t="s">
        <v>1381</v>
      </c>
      <c r="C894" t="s">
        <v>5029</v>
      </c>
      <c r="D894" t="s">
        <v>5030</v>
      </c>
      <c r="E894" t="s">
        <v>4013</v>
      </c>
      <c r="F894" t="s">
        <v>4014</v>
      </c>
      <c r="G894" t="s">
        <v>635</v>
      </c>
      <c r="H894" s="6">
        <v>133.01</v>
      </c>
      <c r="I894" t="s">
        <v>3026</v>
      </c>
      <c r="L894" s="8" t="s">
        <v>5031</v>
      </c>
    </row>
    <row r="895" spans="1:12" x14ac:dyDescent="0.3">
      <c r="A895" t="s">
        <v>5032</v>
      </c>
      <c r="B895" t="s">
        <v>1381</v>
      </c>
      <c r="C895" t="s">
        <v>5033</v>
      </c>
      <c r="E895" t="s">
        <v>4242</v>
      </c>
      <c r="F895" t="s">
        <v>3955</v>
      </c>
      <c r="G895" t="s">
        <v>635</v>
      </c>
      <c r="H895" s="6">
        <v>42.67</v>
      </c>
      <c r="I895" t="s">
        <v>3026</v>
      </c>
      <c r="L895" s="8" t="s">
        <v>5034</v>
      </c>
    </row>
    <row r="896" spans="1:12" x14ac:dyDescent="0.3">
      <c r="A896" t="s">
        <v>5035</v>
      </c>
      <c r="B896" t="s">
        <v>1381</v>
      </c>
      <c r="C896" t="s">
        <v>1454</v>
      </c>
      <c r="D896" t="s">
        <v>5036</v>
      </c>
      <c r="E896" t="s">
        <v>4013</v>
      </c>
      <c r="F896" t="s">
        <v>4014</v>
      </c>
      <c r="G896" t="s">
        <v>635</v>
      </c>
      <c r="H896" s="6">
        <v>361.01</v>
      </c>
      <c r="I896" t="s">
        <v>3026</v>
      </c>
      <c r="L896" s="8" t="s">
        <v>5037</v>
      </c>
    </row>
    <row r="897" spans="1:12" x14ac:dyDescent="0.3">
      <c r="A897" t="s">
        <v>5038</v>
      </c>
      <c r="B897" t="s">
        <v>1381</v>
      </c>
      <c r="C897" t="s">
        <v>5039</v>
      </c>
      <c r="E897" t="s">
        <v>4981</v>
      </c>
      <c r="F897" t="s">
        <v>4982</v>
      </c>
      <c r="G897" t="s">
        <v>635</v>
      </c>
      <c r="H897" s="6">
        <v>304.11</v>
      </c>
      <c r="I897" t="s">
        <v>3026</v>
      </c>
      <c r="L897" s="8" t="s">
        <v>5040</v>
      </c>
    </row>
    <row r="898" spans="1:12" x14ac:dyDescent="0.3">
      <c r="A898" t="s">
        <v>5041</v>
      </c>
      <c r="B898" t="s">
        <v>1381</v>
      </c>
      <c r="C898" t="s">
        <v>5042</v>
      </c>
      <c r="E898" t="s">
        <v>4242</v>
      </c>
      <c r="F898" t="s">
        <v>3955</v>
      </c>
      <c r="G898" t="s">
        <v>635</v>
      </c>
      <c r="H898" s="6">
        <v>493.15</v>
      </c>
      <c r="I898" t="s">
        <v>3026</v>
      </c>
      <c r="L898" s="8" t="s">
        <v>5043</v>
      </c>
    </row>
    <row r="899" spans="1:12" x14ac:dyDescent="0.3">
      <c r="A899" t="s">
        <v>5044</v>
      </c>
      <c r="B899" t="s">
        <v>1381</v>
      </c>
      <c r="C899" t="s">
        <v>5045</v>
      </c>
      <c r="E899" t="s">
        <v>4981</v>
      </c>
      <c r="F899" t="s">
        <v>4982</v>
      </c>
      <c r="G899" t="s">
        <v>635</v>
      </c>
      <c r="H899" s="6">
        <v>534.1</v>
      </c>
      <c r="I899" t="s">
        <v>3026</v>
      </c>
      <c r="L899" s="8" t="s">
        <v>5046</v>
      </c>
    </row>
    <row r="900" spans="1:12" x14ac:dyDescent="0.3">
      <c r="A900" t="s">
        <v>5047</v>
      </c>
      <c r="B900" t="s">
        <v>1381</v>
      </c>
      <c r="C900" t="s">
        <v>1452</v>
      </c>
      <c r="D900" t="s">
        <v>5048</v>
      </c>
      <c r="E900" t="s">
        <v>4013</v>
      </c>
      <c r="F900" t="s">
        <v>4014</v>
      </c>
      <c r="G900" t="s">
        <v>635</v>
      </c>
      <c r="H900" s="6">
        <v>360.63</v>
      </c>
      <c r="I900" t="s">
        <v>3026</v>
      </c>
      <c r="L900" s="8" t="s">
        <v>5049</v>
      </c>
    </row>
    <row r="901" spans="1:12" x14ac:dyDescent="0.3">
      <c r="A901" t="s">
        <v>5050</v>
      </c>
      <c r="B901" t="s">
        <v>1381</v>
      </c>
      <c r="C901" t="s">
        <v>5051</v>
      </c>
      <c r="D901" t="s">
        <v>5052</v>
      </c>
      <c r="E901" t="s">
        <v>4013</v>
      </c>
      <c r="F901" t="s">
        <v>4014</v>
      </c>
      <c r="G901" t="s">
        <v>635</v>
      </c>
      <c r="H901" s="6">
        <v>418.03</v>
      </c>
      <c r="I901" t="s">
        <v>3026</v>
      </c>
      <c r="L901" s="8" t="s">
        <v>5053</v>
      </c>
    </row>
    <row r="902" spans="1:12" x14ac:dyDescent="0.3">
      <c r="A902" t="s">
        <v>5054</v>
      </c>
      <c r="B902" t="s">
        <v>1381</v>
      </c>
      <c r="C902" t="s">
        <v>5055</v>
      </c>
      <c r="D902" t="s">
        <v>5056</v>
      </c>
      <c r="E902" t="s">
        <v>4013</v>
      </c>
      <c r="F902" t="s">
        <v>4014</v>
      </c>
      <c r="G902" t="s">
        <v>635</v>
      </c>
      <c r="H902" s="6">
        <v>614.36</v>
      </c>
      <c r="I902" t="s">
        <v>3026</v>
      </c>
      <c r="L902" s="8" t="s">
        <v>5057</v>
      </c>
    </row>
    <row r="903" spans="1:12" x14ac:dyDescent="0.3">
      <c r="A903" t="s">
        <v>5058</v>
      </c>
      <c r="B903" t="s">
        <v>1381</v>
      </c>
      <c r="C903" t="s">
        <v>1440</v>
      </c>
      <c r="D903" t="s">
        <v>5059</v>
      </c>
      <c r="E903" t="s">
        <v>4013</v>
      </c>
      <c r="F903" t="s">
        <v>4014</v>
      </c>
      <c r="G903" t="s">
        <v>635</v>
      </c>
      <c r="H903" s="6">
        <v>361.01</v>
      </c>
      <c r="I903" t="s">
        <v>3026</v>
      </c>
      <c r="L903" s="8" t="s">
        <v>5060</v>
      </c>
    </row>
    <row r="904" spans="1:12" x14ac:dyDescent="0.3">
      <c r="A904" t="s">
        <v>5061</v>
      </c>
      <c r="B904" t="s">
        <v>1381</v>
      </c>
      <c r="C904" t="s">
        <v>5062</v>
      </c>
      <c r="E904" t="s">
        <v>4498</v>
      </c>
      <c r="F904" t="s">
        <v>4498</v>
      </c>
      <c r="G904" t="s">
        <v>635</v>
      </c>
      <c r="H904" s="6">
        <v>3020.08</v>
      </c>
      <c r="I904" t="s">
        <v>3026</v>
      </c>
      <c r="L904" s="8" t="s">
        <v>5063</v>
      </c>
    </row>
    <row r="905" spans="1:12" x14ac:dyDescent="0.3">
      <c r="A905" t="s">
        <v>5064</v>
      </c>
      <c r="B905" t="s">
        <v>1381</v>
      </c>
      <c r="C905" t="s">
        <v>5065</v>
      </c>
      <c r="D905" t="s">
        <v>5066</v>
      </c>
      <c r="E905" t="s">
        <v>4013</v>
      </c>
      <c r="F905" t="s">
        <v>4014</v>
      </c>
      <c r="G905" t="s">
        <v>635</v>
      </c>
      <c r="H905" s="6">
        <v>3679.83</v>
      </c>
      <c r="I905" t="s">
        <v>3026</v>
      </c>
      <c r="L905" s="8" t="s">
        <v>5067</v>
      </c>
    </row>
    <row r="906" spans="1:12" x14ac:dyDescent="0.3">
      <c r="A906" t="s">
        <v>5068</v>
      </c>
      <c r="B906" t="s">
        <v>1381</v>
      </c>
      <c r="C906" t="s">
        <v>5069</v>
      </c>
      <c r="E906" t="s">
        <v>4981</v>
      </c>
      <c r="F906" t="s">
        <v>4982</v>
      </c>
      <c r="G906" t="s">
        <v>635</v>
      </c>
      <c r="H906" s="6">
        <v>3242.75</v>
      </c>
      <c r="I906" t="s">
        <v>3026</v>
      </c>
      <c r="L906" s="8" t="s">
        <v>5070</v>
      </c>
    </row>
    <row r="907" spans="1:12" x14ac:dyDescent="0.3">
      <c r="A907" t="s">
        <v>5071</v>
      </c>
      <c r="B907" t="s">
        <v>1381</v>
      </c>
      <c r="C907" t="s">
        <v>5072</v>
      </c>
      <c r="E907" t="s">
        <v>4981</v>
      </c>
      <c r="F907" t="s">
        <v>4982</v>
      </c>
      <c r="G907" t="s">
        <v>635</v>
      </c>
      <c r="H907" s="6">
        <v>4621.6000000000004</v>
      </c>
      <c r="I907" t="s">
        <v>3026</v>
      </c>
      <c r="L907" s="8" t="s">
        <v>5073</v>
      </c>
    </row>
    <row r="908" spans="1:12" x14ac:dyDescent="0.3">
      <c r="A908" t="s">
        <v>5074</v>
      </c>
      <c r="B908" t="s">
        <v>1381</v>
      </c>
      <c r="C908" t="s">
        <v>5075</v>
      </c>
      <c r="E908" t="s">
        <v>4981</v>
      </c>
      <c r="F908" t="s">
        <v>4982</v>
      </c>
      <c r="G908" t="s">
        <v>635</v>
      </c>
      <c r="H908" s="6">
        <v>6196.65</v>
      </c>
      <c r="I908" t="s">
        <v>3026</v>
      </c>
      <c r="L908" s="8" t="s">
        <v>5076</v>
      </c>
    </row>
    <row r="909" spans="1:12" x14ac:dyDescent="0.3">
      <c r="A909" t="s">
        <v>5077</v>
      </c>
      <c r="B909" t="s">
        <v>1381</v>
      </c>
      <c r="C909" t="s">
        <v>5078</v>
      </c>
      <c r="E909" t="s">
        <v>4981</v>
      </c>
      <c r="F909" t="s">
        <v>4982</v>
      </c>
      <c r="G909" t="s">
        <v>635</v>
      </c>
      <c r="H909" s="6">
        <v>9150.5499999999993</v>
      </c>
      <c r="I909" t="s">
        <v>3026</v>
      </c>
      <c r="L909" s="8" t="s">
        <v>5079</v>
      </c>
    </row>
    <row r="910" spans="1:12" x14ac:dyDescent="0.3">
      <c r="A910" t="s">
        <v>5080</v>
      </c>
      <c r="B910" t="s">
        <v>1381</v>
      </c>
      <c r="C910" t="s">
        <v>5081</v>
      </c>
      <c r="E910" t="s">
        <v>4981</v>
      </c>
      <c r="F910" t="s">
        <v>4982</v>
      </c>
      <c r="G910" t="s">
        <v>635</v>
      </c>
      <c r="H910" s="6">
        <v>4063.52</v>
      </c>
      <c r="I910" t="s">
        <v>3026</v>
      </c>
      <c r="L910" s="8" t="s">
        <v>5082</v>
      </c>
    </row>
    <row r="911" spans="1:12" x14ac:dyDescent="0.3">
      <c r="A911" t="s">
        <v>5083</v>
      </c>
      <c r="B911" t="s">
        <v>1381</v>
      </c>
      <c r="C911" t="s">
        <v>5084</v>
      </c>
      <c r="E911" t="s">
        <v>4242</v>
      </c>
      <c r="F911" t="s">
        <v>3955</v>
      </c>
      <c r="G911" t="s">
        <v>635</v>
      </c>
      <c r="H911" s="6">
        <v>399.88</v>
      </c>
      <c r="I911" t="s">
        <v>3026</v>
      </c>
      <c r="L911" s="8" t="s">
        <v>5085</v>
      </c>
    </row>
    <row r="912" spans="1:12" x14ac:dyDescent="0.3">
      <c r="A912" t="s">
        <v>5086</v>
      </c>
      <c r="B912" t="s">
        <v>1381</v>
      </c>
      <c r="C912" t="s">
        <v>5087</v>
      </c>
      <c r="E912" t="s">
        <v>4242</v>
      </c>
      <c r="F912" t="s">
        <v>3955</v>
      </c>
      <c r="G912" t="s">
        <v>635</v>
      </c>
      <c r="H912" s="6">
        <v>652.9</v>
      </c>
      <c r="I912" t="s">
        <v>3026</v>
      </c>
      <c r="L912" s="8" t="s">
        <v>5088</v>
      </c>
    </row>
    <row r="913" spans="1:12" x14ac:dyDescent="0.3">
      <c r="A913" t="s">
        <v>5089</v>
      </c>
      <c r="B913" t="s">
        <v>1381</v>
      </c>
      <c r="C913" t="s">
        <v>5090</v>
      </c>
      <c r="E913" t="s">
        <v>4242</v>
      </c>
      <c r="F913" t="s">
        <v>3955</v>
      </c>
      <c r="G913" t="s">
        <v>635</v>
      </c>
      <c r="H913" s="6">
        <v>652.9</v>
      </c>
      <c r="I913" t="s">
        <v>3026</v>
      </c>
      <c r="L913" s="8" t="s">
        <v>5091</v>
      </c>
    </row>
    <row r="914" spans="1:12" x14ac:dyDescent="0.3">
      <c r="A914" t="s">
        <v>5092</v>
      </c>
      <c r="B914" t="s">
        <v>1381</v>
      </c>
      <c r="C914" t="s">
        <v>5093</v>
      </c>
      <c r="E914" t="s">
        <v>4242</v>
      </c>
      <c r="F914" t="s">
        <v>3955</v>
      </c>
      <c r="G914" t="s">
        <v>635</v>
      </c>
      <c r="H914" s="6">
        <v>407.81</v>
      </c>
      <c r="I914" t="s">
        <v>3026</v>
      </c>
      <c r="L914" s="8" t="s">
        <v>5094</v>
      </c>
    </row>
    <row r="915" spans="1:12" x14ac:dyDescent="0.3">
      <c r="A915" t="s">
        <v>5095</v>
      </c>
      <c r="B915" t="s">
        <v>1381</v>
      </c>
      <c r="C915" t="s">
        <v>5096</v>
      </c>
      <c r="E915" t="s">
        <v>4242</v>
      </c>
      <c r="F915" t="s">
        <v>3955</v>
      </c>
      <c r="G915" t="s">
        <v>635</v>
      </c>
      <c r="H915" s="6">
        <v>407.81</v>
      </c>
      <c r="I915" t="s">
        <v>3026</v>
      </c>
      <c r="L915" s="8" t="s">
        <v>5097</v>
      </c>
    </row>
    <row r="916" spans="1:12" x14ac:dyDescent="0.3">
      <c r="A916" t="s">
        <v>5098</v>
      </c>
      <c r="B916" t="s">
        <v>1381</v>
      </c>
      <c r="C916" t="s">
        <v>5099</v>
      </c>
      <c r="D916" t="s">
        <v>5100</v>
      </c>
      <c r="E916" t="s">
        <v>3954</v>
      </c>
      <c r="F916" t="s">
        <v>3955</v>
      </c>
      <c r="G916" t="s">
        <v>635</v>
      </c>
      <c r="H916" s="6">
        <v>43087.46</v>
      </c>
      <c r="I916" t="s">
        <v>3026</v>
      </c>
      <c r="L916" s="8" t="s">
        <v>5101</v>
      </c>
    </row>
    <row r="917" spans="1:12" x14ac:dyDescent="0.3">
      <c r="A917" t="s">
        <v>5102</v>
      </c>
      <c r="B917" t="s">
        <v>1381</v>
      </c>
      <c r="C917" t="s">
        <v>5103</v>
      </c>
      <c r="D917" t="s">
        <v>5104</v>
      </c>
      <c r="E917" t="s">
        <v>4013</v>
      </c>
      <c r="F917" t="s">
        <v>4014</v>
      </c>
      <c r="G917" t="s">
        <v>635</v>
      </c>
      <c r="H917" s="6">
        <v>1897.27</v>
      </c>
      <c r="I917" t="s">
        <v>3026</v>
      </c>
      <c r="L917" s="8" t="s">
        <v>5105</v>
      </c>
    </row>
    <row r="918" spans="1:12" x14ac:dyDescent="0.3">
      <c r="A918" t="s">
        <v>5106</v>
      </c>
      <c r="B918" t="s">
        <v>1381</v>
      </c>
      <c r="C918" t="s">
        <v>5107</v>
      </c>
      <c r="D918" t="s">
        <v>5108</v>
      </c>
      <c r="E918" t="s">
        <v>4013</v>
      </c>
      <c r="F918" t="s">
        <v>4014</v>
      </c>
      <c r="G918" t="s">
        <v>635</v>
      </c>
      <c r="H918" s="6">
        <v>3895.16</v>
      </c>
      <c r="I918" t="s">
        <v>3026</v>
      </c>
      <c r="L918" s="8" t="s">
        <v>5109</v>
      </c>
    </row>
    <row r="919" spans="1:12" x14ac:dyDescent="0.3">
      <c r="A919" t="s">
        <v>5110</v>
      </c>
      <c r="B919" t="s">
        <v>1381</v>
      </c>
      <c r="C919" t="s">
        <v>5107</v>
      </c>
      <c r="D919" t="s">
        <v>5108</v>
      </c>
      <c r="E919" t="s">
        <v>4013</v>
      </c>
      <c r="F919" t="s">
        <v>4014</v>
      </c>
      <c r="G919" t="s">
        <v>635</v>
      </c>
      <c r="H919" s="6">
        <v>3895.16</v>
      </c>
      <c r="I919" t="s">
        <v>3026</v>
      </c>
      <c r="L919" s="8" t="s">
        <v>5111</v>
      </c>
    </row>
    <row r="920" spans="1:12" x14ac:dyDescent="0.3">
      <c r="A920" t="s">
        <v>5112</v>
      </c>
      <c r="B920" t="s">
        <v>1381</v>
      </c>
      <c r="C920" t="s">
        <v>5113</v>
      </c>
      <c r="D920" t="s">
        <v>5114</v>
      </c>
      <c r="E920" t="s">
        <v>4013</v>
      </c>
      <c r="F920" t="s">
        <v>4014</v>
      </c>
      <c r="G920" t="s">
        <v>635</v>
      </c>
      <c r="H920" s="6">
        <v>5655.93</v>
      </c>
      <c r="I920" t="s">
        <v>3026</v>
      </c>
      <c r="L920" s="8" t="s">
        <v>5115</v>
      </c>
    </row>
    <row r="921" spans="1:12" x14ac:dyDescent="0.3">
      <c r="A921" t="s">
        <v>5116</v>
      </c>
      <c r="B921" t="s">
        <v>1381</v>
      </c>
      <c r="C921" t="s">
        <v>5113</v>
      </c>
      <c r="D921" t="s">
        <v>5114</v>
      </c>
      <c r="E921" t="s">
        <v>4013</v>
      </c>
      <c r="F921" t="s">
        <v>4014</v>
      </c>
      <c r="G921" t="s">
        <v>635</v>
      </c>
      <c r="H921" s="6">
        <v>5655.93</v>
      </c>
      <c r="I921" t="s">
        <v>3026</v>
      </c>
      <c r="L921" s="8" t="s">
        <v>5117</v>
      </c>
    </row>
    <row r="922" spans="1:12" x14ac:dyDescent="0.3">
      <c r="A922" t="s">
        <v>5118</v>
      </c>
      <c r="B922" t="s">
        <v>1381</v>
      </c>
      <c r="C922" t="s">
        <v>5119</v>
      </c>
      <c r="E922" t="s">
        <v>4242</v>
      </c>
      <c r="F922" t="s">
        <v>3955</v>
      </c>
      <c r="G922" t="s">
        <v>635</v>
      </c>
      <c r="H922" s="6">
        <v>234.17</v>
      </c>
      <c r="I922" t="s">
        <v>3026</v>
      </c>
      <c r="L922" s="8" t="s">
        <v>5120</v>
      </c>
    </row>
    <row r="923" spans="1:12" x14ac:dyDescent="0.3">
      <c r="A923" t="s">
        <v>5121</v>
      </c>
      <c r="B923" t="s">
        <v>1381</v>
      </c>
      <c r="C923" t="s">
        <v>5122</v>
      </c>
      <c r="E923" t="s">
        <v>4242</v>
      </c>
      <c r="F923" t="s">
        <v>3955</v>
      </c>
      <c r="G923" t="s">
        <v>635</v>
      </c>
      <c r="H923" s="6">
        <v>1582.64</v>
      </c>
      <c r="I923" t="s">
        <v>3026</v>
      </c>
      <c r="L923" s="8" t="s">
        <v>5123</v>
      </c>
    </row>
    <row r="924" spans="1:12" x14ac:dyDescent="0.3">
      <c r="A924" t="s">
        <v>5124</v>
      </c>
      <c r="B924" t="s">
        <v>1381</v>
      </c>
      <c r="C924" t="s">
        <v>5125</v>
      </c>
      <c r="E924" t="s">
        <v>4242</v>
      </c>
      <c r="F924" t="s">
        <v>3955</v>
      </c>
      <c r="G924" t="s">
        <v>635</v>
      </c>
      <c r="H924" s="6">
        <v>3165.28</v>
      </c>
      <c r="I924" t="s">
        <v>3026</v>
      </c>
      <c r="L924" s="8" t="s">
        <v>5126</v>
      </c>
    </row>
    <row r="925" spans="1:12" x14ac:dyDescent="0.3">
      <c r="A925" t="s">
        <v>5127</v>
      </c>
      <c r="B925" t="s">
        <v>1381</v>
      </c>
      <c r="C925" t="s">
        <v>5128</v>
      </c>
      <c r="E925" t="s">
        <v>4242</v>
      </c>
      <c r="F925" t="s">
        <v>3955</v>
      </c>
      <c r="G925" t="s">
        <v>635</v>
      </c>
      <c r="H925" s="6">
        <v>4747.92</v>
      </c>
      <c r="I925" t="s">
        <v>3026</v>
      </c>
      <c r="L925" s="8" t="s">
        <v>5129</v>
      </c>
    </row>
    <row r="926" spans="1:12" x14ac:dyDescent="0.3">
      <c r="A926" t="s">
        <v>5130</v>
      </c>
      <c r="B926" t="s">
        <v>1378</v>
      </c>
      <c r="C926" t="s">
        <v>5131</v>
      </c>
      <c r="D926" t="s">
        <v>5132</v>
      </c>
      <c r="E926" t="s">
        <v>3954</v>
      </c>
      <c r="F926" t="s">
        <v>3955</v>
      </c>
      <c r="G926" t="s">
        <v>635</v>
      </c>
      <c r="H926" s="6">
        <v>25251.77</v>
      </c>
      <c r="I926" t="s">
        <v>3026</v>
      </c>
      <c r="L926" s="8" t="s">
        <v>5133</v>
      </c>
    </row>
    <row r="927" spans="1:12" x14ac:dyDescent="0.3">
      <c r="A927" t="s">
        <v>5134</v>
      </c>
      <c r="B927" t="s">
        <v>1378</v>
      </c>
      <c r="C927" t="s">
        <v>5135</v>
      </c>
      <c r="D927" t="s">
        <v>5136</v>
      </c>
      <c r="E927" t="s">
        <v>3954</v>
      </c>
      <c r="F927" t="s">
        <v>3955</v>
      </c>
      <c r="G927" t="s">
        <v>635</v>
      </c>
      <c r="H927" s="6">
        <v>18230.61</v>
      </c>
      <c r="I927" t="s">
        <v>3026</v>
      </c>
      <c r="L927" s="8" t="s">
        <v>5137</v>
      </c>
    </row>
    <row r="928" spans="1:12" x14ac:dyDescent="0.3">
      <c r="A928" t="s">
        <v>5138</v>
      </c>
      <c r="B928" t="s">
        <v>1378</v>
      </c>
      <c r="C928" t="s">
        <v>5139</v>
      </c>
      <c r="D928" t="s">
        <v>5140</v>
      </c>
      <c r="E928" t="s">
        <v>3954</v>
      </c>
      <c r="F928" t="s">
        <v>3955</v>
      </c>
      <c r="G928" t="s">
        <v>635</v>
      </c>
      <c r="H928" s="6">
        <v>15745.5</v>
      </c>
      <c r="I928" t="s">
        <v>3026</v>
      </c>
      <c r="L928" s="8" t="s">
        <v>5141</v>
      </c>
    </row>
    <row r="929" spans="1:12" x14ac:dyDescent="0.3">
      <c r="A929" t="s">
        <v>5142</v>
      </c>
      <c r="B929" t="s">
        <v>1378</v>
      </c>
      <c r="C929" t="s">
        <v>5143</v>
      </c>
      <c r="D929" t="s">
        <v>5144</v>
      </c>
      <c r="E929" t="s">
        <v>3954</v>
      </c>
      <c r="F929" t="s">
        <v>3955</v>
      </c>
      <c r="G929" t="s">
        <v>635</v>
      </c>
      <c r="H929" s="6">
        <v>15745.5</v>
      </c>
      <c r="I929" t="s">
        <v>3026</v>
      </c>
      <c r="L929" s="8" t="s">
        <v>5145</v>
      </c>
    </row>
    <row r="930" spans="1:12" x14ac:dyDescent="0.3">
      <c r="A930" t="s">
        <v>5146</v>
      </c>
      <c r="B930" t="s">
        <v>1378</v>
      </c>
      <c r="C930" t="s">
        <v>5147</v>
      </c>
      <c r="D930" t="s">
        <v>5148</v>
      </c>
      <c r="E930" t="s">
        <v>3954</v>
      </c>
      <c r="F930" t="s">
        <v>3955</v>
      </c>
      <c r="G930" t="s">
        <v>635</v>
      </c>
      <c r="H930" s="6">
        <v>15745.5</v>
      </c>
      <c r="I930" t="s">
        <v>3026</v>
      </c>
      <c r="L930" s="8" t="s">
        <v>5149</v>
      </c>
    </row>
    <row r="931" spans="1:12" x14ac:dyDescent="0.3">
      <c r="A931" t="s">
        <v>5150</v>
      </c>
      <c r="B931" t="s">
        <v>1378</v>
      </c>
      <c r="C931" t="s">
        <v>5151</v>
      </c>
      <c r="D931" t="s">
        <v>5152</v>
      </c>
      <c r="E931" t="s">
        <v>3954</v>
      </c>
      <c r="F931" t="s">
        <v>3955</v>
      </c>
      <c r="G931" t="s">
        <v>635</v>
      </c>
      <c r="H931" s="6">
        <v>15162.57</v>
      </c>
      <c r="I931" t="s">
        <v>3026</v>
      </c>
      <c r="L931" s="8" t="s">
        <v>5153</v>
      </c>
    </row>
    <row r="932" spans="1:12" x14ac:dyDescent="0.3">
      <c r="A932" t="s">
        <v>5154</v>
      </c>
      <c r="B932" t="s">
        <v>1378</v>
      </c>
      <c r="C932" t="s">
        <v>5155</v>
      </c>
      <c r="D932" t="s">
        <v>5156</v>
      </c>
      <c r="E932" t="s">
        <v>3954</v>
      </c>
      <c r="F932" t="s">
        <v>3955</v>
      </c>
      <c r="G932" t="s">
        <v>635</v>
      </c>
      <c r="H932" s="6">
        <v>16300.68</v>
      </c>
      <c r="I932" t="s">
        <v>3026</v>
      </c>
      <c r="L932" s="8" t="s">
        <v>5157</v>
      </c>
    </row>
    <row r="933" spans="1:12" x14ac:dyDescent="0.3">
      <c r="A933" t="s">
        <v>5158</v>
      </c>
      <c r="B933" t="s">
        <v>1378</v>
      </c>
      <c r="C933" t="s">
        <v>5159</v>
      </c>
      <c r="D933" t="s">
        <v>5160</v>
      </c>
      <c r="E933" t="s">
        <v>3954</v>
      </c>
      <c r="F933" t="s">
        <v>3955</v>
      </c>
      <c r="G933" t="s">
        <v>635</v>
      </c>
      <c r="H933" s="6">
        <v>16300.68</v>
      </c>
      <c r="I933" t="s">
        <v>3026</v>
      </c>
      <c r="L933" s="8" t="s">
        <v>5161</v>
      </c>
    </row>
    <row r="934" spans="1:12" x14ac:dyDescent="0.3">
      <c r="A934" t="s">
        <v>5162</v>
      </c>
      <c r="B934" t="s">
        <v>1378</v>
      </c>
      <c r="C934" t="s">
        <v>5163</v>
      </c>
      <c r="D934" t="s">
        <v>5164</v>
      </c>
      <c r="E934" t="s">
        <v>3954</v>
      </c>
      <c r="F934" t="s">
        <v>3955</v>
      </c>
      <c r="G934" t="s">
        <v>635</v>
      </c>
      <c r="H934" s="6">
        <v>15137.61</v>
      </c>
      <c r="I934" t="s">
        <v>3026</v>
      </c>
      <c r="L934" s="8" t="s">
        <v>5165</v>
      </c>
    </row>
    <row r="935" spans="1:12" x14ac:dyDescent="0.3">
      <c r="A935" t="s">
        <v>5166</v>
      </c>
      <c r="B935" t="s">
        <v>1378</v>
      </c>
      <c r="C935" t="s">
        <v>5167</v>
      </c>
      <c r="D935" t="s">
        <v>5168</v>
      </c>
      <c r="E935" t="s">
        <v>3954</v>
      </c>
      <c r="F935" t="s">
        <v>3955</v>
      </c>
      <c r="G935" t="s">
        <v>635</v>
      </c>
      <c r="H935" s="6">
        <v>15137.61</v>
      </c>
      <c r="I935" t="s">
        <v>3026</v>
      </c>
      <c r="L935" s="8" t="s">
        <v>5169</v>
      </c>
    </row>
    <row r="936" spans="1:12" x14ac:dyDescent="0.3">
      <c r="A936" t="s">
        <v>5170</v>
      </c>
      <c r="B936" t="s">
        <v>1378</v>
      </c>
      <c r="C936" t="s">
        <v>5171</v>
      </c>
      <c r="D936" t="s">
        <v>5172</v>
      </c>
      <c r="E936" t="s">
        <v>3954</v>
      </c>
      <c r="F936" t="s">
        <v>3955</v>
      </c>
      <c r="G936" t="s">
        <v>635</v>
      </c>
      <c r="H936" s="6">
        <v>16152.91</v>
      </c>
      <c r="I936" t="s">
        <v>3026</v>
      </c>
      <c r="L936" s="8" t="s">
        <v>5173</v>
      </c>
    </row>
    <row r="937" spans="1:12" x14ac:dyDescent="0.3">
      <c r="A937" t="s">
        <v>5174</v>
      </c>
      <c r="B937" t="s">
        <v>1378</v>
      </c>
      <c r="C937" t="s">
        <v>5175</v>
      </c>
      <c r="D937" t="s">
        <v>5176</v>
      </c>
      <c r="E937" t="s">
        <v>3954</v>
      </c>
      <c r="F937" t="s">
        <v>3955</v>
      </c>
      <c r="G937" t="s">
        <v>635</v>
      </c>
      <c r="H937" s="6">
        <v>16152.91</v>
      </c>
      <c r="I937" t="s">
        <v>3026</v>
      </c>
      <c r="L937" s="8" t="s">
        <v>5177</v>
      </c>
    </row>
    <row r="938" spans="1:12" x14ac:dyDescent="0.3">
      <c r="A938" t="s">
        <v>5178</v>
      </c>
      <c r="B938" t="s">
        <v>1378</v>
      </c>
      <c r="C938" t="s">
        <v>5179</v>
      </c>
      <c r="D938" t="s">
        <v>5180</v>
      </c>
      <c r="E938" t="s">
        <v>3954</v>
      </c>
      <c r="F938" t="s">
        <v>3955</v>
      </c>
      <c r="G938" t="s">
        <v>635</v>
      </c>
      <c r="H938" s="6">
        <v>13875.62</v>
      </c>
      <c r="I938" t="s">
        <v>3026</v>
      </c>
      <c r="L938" s="8" t="s">
        <v>5181</v>
      </c>
    </row>
    <row r="939" spans="1:12" x14ac:dyDescent="0.3">
      <c r="A939" t="s">
        <v>5182</v>
      </c>
      <c r="B939" t="s">
        <v>1378</v>
      </c>
      <c r="C939" t="s">
        <v>5183</v>
      </c>
      <c r="D939" t="s">
        <v>5184</v>
      </c>
      <c r="E939" t="s">
        <v>3954</v>
      </c>
      <c r="F939" t="s">
        <v>3955</v>
      </c>
      <c r="G939" t="s">
        <v>635</v>
      </c>
      <c r="H939" s="6">
        <v>13875.62</v>
      </c>
      <c r="I939" t="s">
        <v>3026</v>
      </c>
      <c r="L939" s="8" t="s">
        <v>5185</v>
      </c>
    </row>
    <row r="940" spans="1:12" x14ac:dyDescent="0.3">
      <c r="A940" t="s">
        <v>5186</v>
      </c>
      <c r="B940" t="s">
        <v>1378</v>
      </c>
      <c r="C940" t="s">
        <v>5187</v>
      </c>
      <c r="D940" t="s">
        <v>5188</v>
      </c>
      <c r="E940" t="s">
        <v>3954</v>
      </c>
      <c r="F940" t="s">
        <v>3955</v>
      </c>
      <c r="G940" t="s">
        <v>635</v>
      </c>
      <c r="H940" s="6">
        <v>15162.57</v>
      </c>
      <c r="I940" t="s">
        <v>3026</v>
      </c>
      <c r="L940" s="8" t="s">
        <v>5189</v>
      </c>
    </row>
    <row r="941" spans="1:12" x14ac:dyDescent="0.3">
      <c r="A941" t="s">
        <v>5190</v>
      </c>
      <c r="B941" t="s">
        <v>1378</v>
      </c>
      <c r="C941" t="s">
        <v>5191</v>
      </c>
      <c r="D941" t="s">
        <v>5192</v>
      </c>
      <c r="E941" t="s">
        <v>3954</v>
      </c>
      <c r="F941" t="s">
        <v>3955</v>
      </c>
      <c r="G941" t="s">
        <v>635</v>
      </c>
      <c r="H941" s="6">
        <v>15162.57</v>
      </c>
      <c r="I941" t="s">
        <v>3026</v>
      </c>
      <c r="L941" s="8" t="s">
        <v>5193</v>
      </c>
    </row>
    <row r="942" spans="1:12" x14ac:dyDescent="0.3">
      <c r="A942" t="s">
        <v>5194</v>
      </c>
      <c r="B942" t="s">
        <v>1378</v>
      </c>
      <c r="C942" t="s">
        <v>5195</v>
      </c>
      <c r="D942" t="s">
        <v>5196</v>
      </c>
      <c r="E942" t="s">
        <v>3954</v>
      </c>
      <c r="F942" t="s">
        <v>3955</v>
      </c>
      <c r="G942" t="s">
        <v>635</v>
      </c>
      <c r="H942" s="6">
        <v>17813.86</v>
      </c>
      <c r="I942" t="s">
        <v>3026</v>
      </c>
      <c r="L942" s="8" t="s">
        <v>5197</v>
      </c>
    </row>
    <row r="943" spans="1:12" x14ac:dyDescent="0.3">
      <c r="A943" t="s">
        <v>5198</v>
      </c>
      <c r="B943" t="s">
        <v>1378</v>
      </c>
      <c r="C943" t="s">
        <v>5199</v>
      </c>
      <c r="D943" t="s">
        <v>5200</v>
      </c>
      <c r="E943" t="s">
        <v>3954</v>
      </c>
      <c r="F943" t="s">
        <v>3955</v>
      </c>
      <c r="G943" t="s">
        <v>635</v>
      </c>
      <c r="H943" s="6">
        <v>17813.86</v>
      </c>
      <c r="I943" t="s">
        <v>3026</v>
      </c>
      <c r="L943" s="8" t="s">
        <v>5201</v>
      </c>
    </row>
    <row r="944" spans="1:12" x14ac:dyDescent="0.3">
      <c r="A944" t="s">
        <v>5202</v>
      </c>
      <c r="B944" t="s">
        <v>1378</v>
      </c>
      <c r="C944" t="s">
        <v>5203</v>
      </c>
      <c r="D944" t="s">
        <v>5204</v>
      </c>
      <c r="E944" t="s">
        <v>3954</v>
      </c>
      <c r="F944" t="s">
        <v>3955</v>
      </c>
      <c r="G944" t="s">
        <v>635</v>
      </c>
      <c r="H944" s="6">
        <v>15162.57</v>
      </c>
      <c r="I944" t="s">
        <v>3026</v>
      </c>
      <c r="L944" s="8" t="s">
        <v>5205</v>
      </c>
    </row>
    <row r="945" spans="1:12" x14ac:dyDescent="0.3">
      <c r="A945" t="s">
        <v>5206</v>
      </c>
      <c r="B945" t="s">
        <v>1378</v>
      </c>
      <c r="C945" t="s">
        <v>5207</v>
      </c>
      <c r="D945" t="s">
        <v>5208</v>
      </c>
      <c r="E945" t="s">
        <v>3954</v>
      </c>
      <c r="F945" t="s">
        <v>3955</v>
      </c>
      <c r="G945" t="s">
        <v>635</v>
      </c>
      <c r="H945" s="6">
        <v>15162.57</v>
      </c>
      <c r="I945" t="s">
        <v>3026</v>
      </c>
      <c r="L945" s="8" t="s">
        <v>5209</v>
      </c>
    </row>
    <row r="946" spans="1:12" x14ac:dyDescent="0.3">
      <c r="A946" t="s">
        <v>5210</v>
      </c>
      <c r="B946" t="s">
        <v>1378</v>
      </c>
      <c r="C946" t="s">
        <v>5211</v>
      </c>
      <c r="D946" t="s">
        <v>5212</v>
      </c>
      <c r="E946" t="s">
        <v>3954</v>
      </c>
      <c r="F946" t="s">
        <v>3955</v>
      </c>
      <c r="G946" t="s">
        <v>635</v>
      </c>
      <c r="H946" s="6">
        <v>14525.55</v>
      </c>
      <c r="I946" t="s">
        <v>3026</v>
      </c>
      <c r="L946" s="8" t="s">
        <v>5213</v>
      </c>
    </row>
    <row r="947" spans="1:12" x14ac:dyDescent="0.3">
      <c r="A947" t="s">
        <v>5214</v>
      </c>
      <c r="B947" t="s">
        <v>1378</v>
      </c>
      <c r="C947" t="s">
        <v>5215</v>
      </c>
      <c r="D947" t="s">
        <v>5216</v>
      </c>
      <c r="E947" t="s">
        <v>3954</v>
      </c>
      <c r="F947" t="s">
        <v>3955</v>
      </c>
      <c r="G947" t="s">
        <v>635</v>
      </c>
      <c r="H947" s="6">
        <v>11457.51</v>
      </c>
      <c r="I947" t="s">
        <v>3026</v>
      </c>
      <c r="L947" s="8" t="s">
        <v>5217</v>
      </c>
    </row>
    <row r="948" spans="1:12" x14ac:dyDescent="0.3">
      <c r="A948" t="s">
        <v>5218</v>
      </c>
      <c r="B948" t="s">
        <v>1378</v>
      </c>
      <c r="C948" t="s">
        <v>5215</v>
      </c>
      <c r="D948" t="s">
        <v>5216</v>
      </c>
      <c r="E948" t="s">
        <v>3954</v>
      </c>
      <c r="F948" t="s">
        <v>3955</v>
      </c>
      <c r="G948" t="s">
        <v>635</v>
      </c>
      <c r="H948" s="6">
        <v>11457.51</v>
      </c>
      <c r="I948" t="s">
        <v>3026</v>
      </c>
      <c r="L948" s="8" t="s">
        <v>5219</v>
      </c>
    </row>
    <row r="949" spans="1:12" x14ac:dyDescent="0.3">
      <c r="A949" t="s">
        <v>5220</v>
      </c>
      <c r="B949" t="s">
        <v>1378</v>
      </c>
      <c r="C949" t="s">
        <v>5221</v>
      </c>
      <c r="D949" t="s">
        <v>5222</v>
      </c>
      <c r="E949" t="s">
        <v>3954</v>
      </c>
      <c r="F949" t="s">
        <v>3955</v>
      </c>
      <c r="G949" t="s">
        <v>635</v>
      </c>
      <c r="H949" s="6">
        <v>11457.51</v>
      </c>
      <c r="I949" t="s">
        <v>3026</v>
      </c>
      <c r="L949" s="8" t="s">
        <v>5223</v>
      </c>
    </row>
    <row r="950" spans="1:12" x14ac:dyDescent="0.3">
      <c r="A950" t="s">
        <v>5224</v>
      </c>
      <c r="B950" t="s">
        <v>1378</v>
      </c>
      <c r="C950" t="s">
        <v>5225</v>
      </c>
      <c r="D950" t="s">
        <v>5226</v>
      </c>
      <c r="E950" t="s">
        <v>3954</v>
      </c>
      <c r="F950" t="s">
        <v>3955</v>
      </c>
      <c r="G950" t="s">
        <v>635</v>
      </c>
      <c r="H950" s="6">
        <v>11457.51</v>
      </c>
      <c r="I950" t="s">
        <v>3026</v>
      </c>
      <c r="L950" s="8" t="s">
        <v>5227</v>
      </c>
    </row>
    <row r="951" spans="1:12" x14ac:dyDescent="0.3">
      <c r="A951" t="s">
        <v>5228</v>
      </c>
      <c r="B951" t="s">
        <v>1378</v>
      </c>
      <c r="C951" t="s">
        <v>5229</v>
      </c>
      <c r="D951" t="s">
        <v>5230</v>
      </c>
      <c r="E951" t="s">
        <v>3954</v>
      </c>
      <c r="F951" t="s">
        <v>3955</v>
      </c>
      <c r="G951" t="s">
        <v>635</v>
      </c>
      <c r="H951" s="6">
        <v>11457.51</v>
      </c>
      <c r="I951" t="s">
        <v>3026</v>
      </c>
      <c r="L951" s="8" t="s">
        <v>5231</v>
      </c>
    </row>
    <row r="952" spans="1:12" x14ac:dyDescent="0.3">
      <c r="A952" t="s">
        <v>5232</v>
      </c>
      <c r="B952" t="s">
        <v>1378</v>
      </c>
      <c r="C952" t="s">
        <v>5233</v>
      </c>
      <c r="D952" t="s">
        <v>5234</v>
      </c>
      <c r="E952" t="s">
        <v>3954</v>
      </c>
      <c r="F952" t="s">
        <v>3955</v>
      </c>
      <c r="G952" t="s">
        <v>635</v>
      </c>
      <c r="H952" s="6">
        <v>11457.51</v>
      </c>
      <c r="I952" t="s">
        <v>3026</v>
      </c>
      <c r="L952" s="8" t="s">
        <v>5235</v>
      </c>
    </row>
    <row r="953" spans="1:12" x14ac:dyDescent="0.3">
      <c r="A953" t="s">
        <v>5236</v>
      </c>
      <c r="B953" t="s">
        <v>1378</v>
      </c>
      <c r="C953" t="s">
        <v>5237</v>
      </c>
      <c r="D953" t="s">
        <v>5238</v>
      </c>
      <c r="E953" t="s">
        <v>3954</v>
      </c>
      <c r="F953" t="s">
        <v>3955</v>
      </c>
      <c r="G953" t="s">
        <v>635</v>
      </c>
      <c r="H953" s="6">
        <v>11457.51</v>
      </c>
      <c r="I953" t="s">
        <v>3026</v>
      </c>
      <c r="L953" s="8" t="s">
        <v>5239</v>
      </c>
    </row>
    <row r="954" spans="1:12" x14ac:dyDescent="0.3">
      <c r="A954" t="s">
        <v>5240</v>
      </c>
      <c r="B954" t="s">
        <v>1378</v>
      </c>
      <c r="C954" t="s">
        <v>5241</v>
      </c>
      <c r="D954" t="s">
        <v>5242</v>
      </c>
      <c r="E954" t="s">
        <v>3954</v>
      </c>
      <c r="F954" t="s">
        <v>3955</v>
      </c>
      <c r="G954" t="s">
        <v>635</v>
      </c>
      <c r="H954" s="6">
        <v>11457.51</v>
      </c>
      <c r="I954" t="s">
        <v>3026</v>
      </c>
      <c r="L954" s="8" t="s">
        <v>5243</v>
      </c>
    </row>
    <row r="955" spans="1:12" x14ac:dyDescent="0.3">
      <c r="A955" t="s">
        <v>5244</v>
      </c>
      <c r="B955" t="s">
        <v>1378</v>
      </c>
      <c r="C955" t="s">
        <v>5245</v>
      </c>
      <c r="D955" t="s">
        <v>5246</v>
      </c>
      <c r="E955" t="s">
        <v>3954</v>
      </c>
      <c r="F955" t="s">
        <v>3955</v>
      </c>
      <c r="G955" t="s">
        <v>635</v>
      </c>
      <c r="H955" s="6">
        <v>11567.65</v>
      </c>
      <c r="I955" t="s">
        <v>3026</v>
      </c>
      <c r="L955" s="8" t="s">
        <v>5247</v>
      </c>
    </row>
    <row r="956" spans="1:12" x14ac:dyDescent="0.3">
      <c r="A956" t="s">
        <v>5248</v>
      </c>
      <c r="B956" t="s">
        <v>1378</v>
      </c>
      <c r="C956" t="s">
        <v>5249</v>
      </c>
      <c r="D956" t="s">
        <v>5250</v>
      </c>
      <c r="E956" t="s">
        <v>3954</v>
      </c>
      <c r="F956" t="s">
        <v>3955</v>
      </c>
      <c r="G956" t="s">
        <v>635</v>
      </c>
      <c r="H956" s="6">
        <v>11567.65</v>
      </c>
      <c r="I956" t="s">
        <v>3026</v>
      </c>
      <c r="L956" s="8" t="s">
        <v>5251</v>
      </c>
    </row>
    <row r="957" spans="1:12" x14ac:dyDescent="0.3">
      <c r="A957" t="s">
        <v>5252</v>
      </c>
      <c r="B957" t="s">
        <v>1378</v>
      </c>
      <c r="C957" t="s">
        <v>5253</v>
      </c>
      <c r="D957" t="s">
        <v>5254</v>
      </c>
      <c r="E957" t="s">
        <v>3954</v>
      </c>
      <c r="F957" t="s">
        <v>3955</v>
      </c>
      <c r="G957" t="s">
        <v>635</v>
      </c>
      <c r="H957" s="6">
        <v>10699.43</v>
      </c>
      <c r="I957" t="s">
        <v>3026</v>
      </c>
      <c r="L957" s="8" t="s">
        <v>5255</v>
      </c>
    </row>
    <row r="958" spans="1:12" x14ac:dyDescent="0.3">
      <c r="A958" t="s">
        <v>5256</v>
      </c>
      <c r="B958" t="s">
        <v>1378</v>
      </c>
      <c r="C958" t="s">
        <v>5257</v>
      </c>
      <c r="D958" t="s">
        <v>5258</v>
      </c>
      <c r="E958" t="s">
        <v>3954</v>
      </c>
      <c r="F958" t="s">
        <v>3955</v>
      </c>
      <c r="G958" t="s">
        <v>635</v>
      </c>
      <c r="H958" s="6">
        <v>10699.43</v>
      </c>
      <c r="I958" t="s">
        <v>3026</v>
      </c>
      <c r="L958" s="8" t="s">
        <v>5259</v>
      </c>
    </row>
    <row r="959" spans="1:12" x14ac:dyDescent="0.3">
      <c r="A959" t="s">
        <v>5260</v>
      </c>
      <c r="B959" t="s">
        <v>1378</v>
      </c>
      <c r="C959" t="s">
        <v>5261</v>
      </c>
      <c r="D959" t="s">
        <v>5262</v>
      </c>
      <c r="E959" t="s">
        <v>3954</v>
      </c>
      <c r="F959" t="s">
        <v>3955</v>
      </c>
      <c r="G959" t="s">
        <v>635</v>
      </c>
      <c r="H959" s="6">
        <v>10699.43</v>
      </c>
      <c r="I959" t="s">
        <v>3026</v>
      </c>
      <c r="L959" s="8" t="s">
        <v>5263</v>
      </c>
    </row>
    <row r="960" spans="1:12" x14ac:dyDescent="0.3">
      <c r="A960" t="s">
        <v>5264</v>
      </c>
      <c r="B960" t="s">
        <v>1378</v>
      </c>
      <c r="C960" t="s">
        <v>5265</v>
      </c>
      <c r="D960" t="s">
        <v>5266</v>
      </c>
      <c r="E960" t="s">
        <v>3954</v>
      </c>
      <c r="F960" t="s">
        <v>3955</v>
      </c>
      <c r="G960" t="s">
        <v>635</v>
      </c>
      <c r="H960" s="6">
        <v>10699.43</v>
      </c>
      <c r="I960" t="s">
        <v>3026</v>
      </c>
      <c r="L960" s="8" t="s">
        <v>5267</v>
      </c>
    </row>
    <row r="961" spans="1:12" x14ac:dyDescent="0.3">
      <c r="A961" t="s">
        <v>5268</v>
      </c>
      <c r="B961" t="s">
        <v>1378</v>
      </c>
      <c r="C961" t="s">
        <v>5269</v>
      </c>
      <c r="D961" t="s">
        <v>5270</v>
      </c>
      <c r="E961" t="s">
        <v>3954</v>
      </c>
      <c r="F961" t="s">
        <v>3955</v>
      </c>
      <c r="G961" t="s">
        <v>635</v>
      </c>
      <c r="H961" s="6">
        <v>10699.43</v>
      </c>
      <c r="I961" t="s">
        <v>3026</v>
      </c>
      <c r="L961" s="8" t="s">
        <v>5271</v>
      </c>
    </row>
    <row r="962" spans="1:12" x14ac:dyDescent="0.3">
      <c r="A962" t="s">
        <v>5272</v>
      </c>
      <c r="B962" t="s">
        <v>1378</v>
      </c>
      <c r="C962" t="s">
        <v>5273</v>
      </c>
      <c r="D962" t="s">
        <v>5274</v>
      </c>
      <c r="E962" t="s">
        <v>3954</v>
      </c>
      <c r="F962" t="s">
        <v>3955</v>
      </c>
      <c r="G962" t="s">
        <v>635</v>
      </c>
      <c r="H962" s="6">
        <v>10699.43</v>
      </c>
      <c r="I962" t="s">
        <v>3026</v>
      </c>
      <c r="L962" s="8" t="s">
        <v>5275</v>
      </c>
    </row>
    <row r="963" spans="1:12" x14ac:dyDescent="0.3">
      <c r="A963" t="s">
        <v>5276</v>
      </c>
      <c r="B963" t="s">
        <v>1378</v>
      </c>
      <c r="C963" t="s">
        <v>5277</v>
      </c>
      <c r="D963" t="s">
        <v>5278</v>
      </c>
      <c r="E963" t="s">
        <v>3954</v>
      </c>
      <c r="F963" t="s">
        <v>3955</v>
      </c>
      <c r="G963" t="s">
        <v>635</v>
      </c>
      <c r="H963" s="6">
        <v>42705.45</v>
      </c>
      <c r="I963" t="s">
        <v>3026</v>
      </c>
      <c r="L963" s="8" t="s">
        <v>5279</v>
      </c>
    </row>
    <row r="964" spans="1:12" x14ac:dyDescent="0.3">
      <c r="A964" t="s">
        <v>5280</v>
      </c>
      <c r="B964" t="s">
        <v>1378</v>
      </c>
      <c r="C964" t="s">
        <v>5281</v>
      </c>
      <c r="D964" t="s">
        <v>5282</v>
      </c>
      <c r="E964" t="s">
        <v>3954</v>
      </c>
      <c r="F964" t="s">
        <v>3955</v>
      </c>
      <c r="G964" t="s">
        <v>635</v>
      </c>
      <c r="H964" s="6">
        <v>42705.45</v>
      </c>
      <c r="I964" t="s">
        <v>3026</v>
      </c>
      <c r="L964" s="8" t="s">
        <v>5283</v>
      </c>
    </row>
    <row r="965" spans="1:12" x14ac:dyDescent="0.3">
      <c r="A965" t="s">
        <v>5284</v>
      </c>
      <c r="B965" t="s">
        <v>1378</v>
      </c>
      <c r="C965" t="s">
        <v>5285</v>
      </c>
      <c r="D965" t="s">
        <v>5286</v>
      </c>
      <c r="E965" t="s">
        <v>4242</v>
      </c>
      <c r="F965" t="s">
        <v>3955</v>
      </c>
      <c r="G965" t="s">
        <v>635</v>
      </c>
      <c r="H965" s="6">
        <v>8158.28</v>
      </c>
      <c r="I965" t="s">
        <v>3026</v>
      </c>
      <c r="L965" s="8" t="s">
        <v>5287</v>
      </c>
    </row>
    <row r="966" spans="1:12" x14ac:dyDescent="0.3">
      <c r="A966" t="s">
        <v>5288</v>
      </c>
      <c r="B966" t="s">
        <v>1378</v>
      </c>
      <c r="C966" t="s">
        <v>1553</v>
      </c>
      <c r="D966" t="s">
        <v>5289</v>
      </c>
      <c r="E966" t="s">
        <v>4242</v>
      </c>
      <c r="F966" t="s">
        <v>3955</v>
      </c>
      <c r="G966" t="s">
        <v>635</v>
      </c>
      <c r="H966" s="6">
        <v>10562.5</v>
      </c>
      <c r="I966" t="s">
        <v>3026</v>
      </c>
      <c r="L966" s="8" t="s">
        <v>5290</v>
      </c>
    </row>
    <row r="967" spans="1:12" x14ac:dyDescent="0.3">
      <c r="A967" t="s">
        <v>5291</v>
      </c>
      <c r="B967" t="s">
        <v>1378</v>
      </c>
      <c r="C967" t="s">
        <v>5292</v>
      </c>
      <c r="D967" t="s">
        <v>5293</v>
      </c>
      <c r="E967" t="s">
        <v>3954</v>
      </c>
      <c r="F967" t="s">
        <v>3955</v>
      </c>
      <c r="G967" t="s">
        <v>635</v>
      </c>
      <c r="H967" s="6">
        <v>18255.18</v>
      </c>
      <c r="I967" t="s">
        <v>3026</v>
      </c>
      <c r="L967" s="8" t="s">
        <v>5294</v>
      </c>
    </row>
    <row r="968" spans="1:12" x14ac:dyDescent="0.3">
      <c r="A968" t="s">
        <v>5295</v>
      </c>
      <c r="B968" t="s">
        <v>1378</v>
      </c>
      <c r="C968" t="s">
        <v>5296</v>
      </c>
      <c r="D968" t="s">
        <v>5297</v>
      </c>
      <c r="E968" t="s">
        <v>3954</v>
      </c>
      <c r="F968" t="s">
        <v>3955</v>
      </c>
      <c r="G968" t="s">
        <v>635</v>
      </c>
      <c r="H968" s="6">
        <v>18255.18</v>
      </c>
      <c r="I968" t="s">
        <v>3026</v>
      </c>
      <c r="L968" s="8" t="s">
        <v>5298</v>
      </c>
    </row>
    <row r="969" spans="1:12" x14ac:dyDescent="0.3">
      <c r="A969" t="s">
        <v>5299</v>
      </c>
      <c r="B969" t="s">
        <v>1378</v>
      </c>
      <c r="C969" t="s">
        <v>5300</v>
      </c>
      <c r="D969" t="s">
        <v>5301</v>
      </c>
      <c r="E969" t="s">
        <v>3954</v>
      </c>
      <c r="F969" t="s">
        <v>3955</v>
      </c>
      <c r="G969" t="s">
        <v>635</v>
      </c>
      <c r="H969" s="6">
        <v>18255.18</v>
      </c>
      <c r="I969" t="s">
        <v>3026</v>
      </c>
      <c r="L969" s="8" t="s">
        <v>5302</v>
      </c>
    </row>
    <row r="970" spans="1:12" x14ac:dyDescent="0.3">
      <c r="A970" t="s">
        <v>5303</v>
      </c>
      <c r="B970" t="s">
        <v>1378</v>
      </c>
      <c r="C970" t="s">
        <v>5304</v>
      </c>
      <c r="D970" t="s">
        <v>5305</v>
      </c>
      <c r="E970" t="s">
        <v>3954</v>
      </c>
      <c r="F970" t="s">
        <v>3955</v>
      </c>
      <c r="G970" t="s">
        <v>635</v>
      </c>
      <c r="H970" s="6">
        <v>27093.39</v>
      </c>
      <c r="I970" t="s">
        <v>3026</v>
      </c>
      <c r="L970" s="8" t="s">
        <v>5306</v>
      </c>
    </row>
    <row r="971" spans="1:12" x14ac:dyDescent="0.3">
      <c r="A971" t="s">
        <v>5307</v>
      </c>
      <c r="B971" t="s">
        <v>1378</v>
      </c>
      <c r="C971" t="s">
        <v>5308</v>
      </c>
      <c r="D971" t="s">
        <v>5309</v>
      </c>
      <c r="E971" t="s">
        <v>3954</v>
      </c>
      <c r="F971" t="s">
        <v>3955</v>
      </c>
      <c r="G971" t="s">
        <v>635</v>
      </c>
      <c r="H971" s="6">
        <v>27093.39</v>
      </c>
      <c r="I971" t="s">
        <v>3026</v>
      </c>
      <c r="L971" s="8" t="s">
        <v>5310</v>
      </c>
    </row>
    <row r="972" spans="1:12" x14ac:dyDescent="0.3">
      <c r="A972" t="s">
        <v>5311</v>
      </c>
      <c r="B972" t="s">
        <v>1378</v>
      </c>
      <c r="C972" t="s">
        <v>5312</v>
      </c>
      <c r="D972" t="s">
        <v>5313</v>
      </c>
      <c r="E972" t="s">
        <v>3954</v>
      </c>
      <c r="F972" t="s">
        <v>3955</v>
      </c>
      <c r="G972" t="s">
        <v>635</v>
      </c>
      <c r="H972" s="6">
        <v>18255.18</v>
      </c>
      <c r="I972" t="s">
        <v>3026</v>
      </c>
      <c r="L972" s="8" t="s">
        <v>5314</v>
      </c>
    </row>
    <row r="973" spans="1:12" x14ac:dyDescent="0.3">
      <c r="A973" t="s">
        <v>5315</v>
      </c>
      <c r="B973" t="s">
        <v>1378</v>
      </c>
      <c r="C973" t="s">
        <v>5316</v>
      </c>
      <c r="D973" t="s">
        <v>5317</v>
      </c>
      <c r="E973" t="s">
        <v>3954</v>
      </c>
      <c r="F973" t="s">
        <v>3955</v>
      </c>
      <c r="G973" t="s">
        <v>635</v>
      </c>
      <c r="H973" s="6">
        <v>18255.18</v>
      </c>
      <c r="I973" t="s">
        <v>3026</v>
      </c>
      <c r="L973" s="8" t="s">
        <v>5318</v>
      </c>
    </row>
    <row r="974" spans="1:12" x14ac:dyDescent="0.3">
      <c r="A974" t="s">
        <v>5319</v>
      </c>
      <c r="B974" t="s">
        <v>1378</v>
      </c>
      <c r="C974" t="s">
        <v>5320</v>
      </c>
      <c r="D974" t="s">
        <v>5321</v>
      </c>
      <c r="E974" t="s">
        <v>3954</v>
      </c>
      <c r="F974" t="s">
        <v>3955</v>
      </c>
      <c r="G974" t="s">
        <v>635</v>
      </c>
      <c r="H974" s="6">
        <v>20339.14</v>
      </c>
      <c r="I974" t="s">
        <v>3026</v>
      </c>
      <c r="L974" s="8" t="s">
        <v>5322</v>
      </c>
    </row>
    <row r="975" spans="1:12" x14ac:dyDescent="0.3">
      <c r="A975" t="s">
        <v>5323</v>
      </c>
      <c r="B975" t="s">
        <v>1378</v>
      </c>
      <c r="C975" t="s">
        <v>5324</v>
      </c>
      <c r="D975" t="s">
        <v>5325</v>
      </c>
      <c r="E975" t="s">
        <v>3954</v>
      </c>
      <c r="F975" t="s">
        <v>3955</v>
      </c>
      <c r="G975" t="s">
        <v>635</v>
      </c>
      <c r="H975" s="6">
        <v>20339.14</v>
      </c>
      <c r="I975" t="s">
        <v>3026</v>
      </c>
      <c r="L975" s="8" t="s">
        <v>5326</v>
      </c>
    </row>
    <row r="976" spans="1:12" x14ac:dyDescent="0.3">
      <c r="A976" t="s">
        <v>5327</v>
      </c>
      <c r="B976" t="s">
        <v>1378</v>
      </c>
      <c r="C976" t="s">
        <v>5328</v>
      </c>
      <c r="D976" t="s">
        <v>5329</v>
      </c>
      <c r="E976" t="s">
        <v>3954</v>
      </c>
      <c r="F976" t="s">
        <v>3955</v>
      </c>
      <c r="G976" t="s">
        <v>635</v>
      </c>
      <c r="H976" s="6">
        <v>18003.38</v>
      </c>
      <c r="I976" t="s">
        <v>3026</v>
      </c>
      <c r="L976" s="8" t="s">
        <v>5330</v>
      </c>
    </row>
    <row r="977" spans="1:12" x14ac:dyDescent="0.3">
      <c r="A977" t="s">
        <v>5331</v>
      </c>
      <c r="B977" t="s">
        <v>1378</v>
      </c>
      <c r="C977" t="s">
        <v>5332</v>
      </c>
      <c r="D977" t="s">
        <v>5333</v>
      </c>
      <c r="E977" t="s">
        <v>3954</v>
      </c>
      <c r="F977" t="s">
        <v>3955</v>
      </c>
      <c r="G977" t="s">
        <v>635</v>
      </c>
      <c r="H977" s="6">
        <v>18306.650000000001</v>
      </c>
      <c r="I977" t="s">
        <v>3026</v>
      </c>
      <c r="L977" s="8" t="s">
        <v>5334</v>
      </c>
    </row>
    <row r="978" spans="1:12" x14ac:dyDescent="0.3">
      <c r="A978" t="s">
        <v>5335</v>
      </c>
      <c r="B978" t="s">
        <v>1378</v>
      </c>
      <c r="C978" t="s">
        <v>5336</v>
      </c>
      <c r="D978" t="s">
        <v>5337</v>
      </c>
      <c r="E978" t="s">
        <v>3954</v>
      </c>
      <c r="F978" t="s">
        <v>3955</v>
      </c>
      <c r="G978" t="s">
        <v>635</v>
      </c>
      <c r="H978" s="6">
        <v>21632.04</v>
      </c>
      <c r="I978" t="s">
        <v>3026</v>
      </c>
      <c r="L978" s="8" t="s">
        <v>5338</v>
      </c>
    </row>
    <row r="979" spans="1:12" x14ac:dyDescent="0.3">
      <c r="A979" t="s">
        <v>5339</v>
      </c>
      <c r="B979" t="s">
        <v>1378</v>
      </c>
      <c r="C979" t="s">
        <v>5340</v>
      </c>
      <c r="D979" t="s">
        <v>5341</v>
      </c>
      <c r="E979" t="s">
        <v>3954</v>
      </c>
      <c r="F979" t="s">
        <v>3955</v>
      </c>
      <c r="G979" t="s">
        <v>635</v>
      </c>
      <c r="H979" s="6">
        <v>21632.04</v>
      </c>
      <c r="I979" t="s">
        <v>3026</v>
      </c>
      <c r="L979" s="8" t="s">
        <v>5342</v>
      </c>
    </row>
    <row r="980" spans="1:12" x14ac:dyDescent="0.3">
      <c r="A980" t="s">
        <v>5343</v>
      </c>
      <c r="B980" t="s">
        <v>1378</v>
      </c>
      <c r="C980" t="s">
        <v>5344</v>
      </c>
      <c r="D980" t="s">
        <v>5345</v>
      </c>
      <c r="E980" t="s">
        <v>3954</v>
      </c>
      <c r="F980" t="s">
        <v>3955</v>
      </c>
      <c r="G980" t="s">
        <v>635</v>
      </c>
      <c r="H980" s="6">
        <v>20398.68</v>
      </c>
      <c r="I980" t="s">
        <v>3026</v>
      </c>
      <c r="L980" s="8" t="s">
        <v>5346</v>
      </c>
    </row>
    <row r="981" spans="1:12" x14ac:dyDescent="0.3">
      <c r="A981" t="s">
        <v>5347</v>
      </c>
      <c r="B981" t="s">
        <v>1378</v>
      </c>
      <c r="C981" t="s">
        <v>5348</v>
      </c>
      <c r="D981" t="s">
        <v>5349</v>
      </c>
      <c r="E981" t="s">
        <v>3954</v>
      </c>
      <c r="F981" t="s">
        <v>3955</v>
      </c>
      <c r="G981" t="s">
        <v>635</v>
      </c>
      <c r="H981" s="6">
        <v>20044.439999999999</v>
      </c>
      <c r="I981" t="s">
        <v>3026</v>
      </c>
      <c r="L981" s="8" t="s">
        <v>5350</v>
      </c>
    </row>
    <row r="982" spans="1:12" x14ac:dyDescent="0.3">
      <c r="A982" t="s">
        <v>5351</v>
      </c>
      <c r="B982" t="s">
        <v>1378</v>
      </c>
      <c r="C982" t="s">
        <v>5352</v>
      </c>
      <c r="D982" t="s">
        <v>5353</v>
      </c>
      <c r="E982" t="s">
        <v>3954</v>
      </c>
      <c r="F982" t="s">
        <v>3955</v>
      </c>
      <c r="G982" t="s">
        <v>635</v>
      </c>
      <c r="H982" s="6">
        <v>20044.439999999999</v>
      </c>
      <c r="I982" t="s">
        <v>3026</v>
      </c>
      <c r="L982" s="8" t="s">
        <v>5354</v>
      </c>
    </row>
    <row r="983" spans="1:12" x14ac:dyDescent="0.3">
      <c r="A983" t="s">
        <v>5355</v>
      </c>
      <c r="B983" t="s">
        <v>1378</v>
      </c>
      <c r="C983" t="s">
        <v>5356</v>
      </c>
      <c r="D983" t="s">
        <v>5357</v>
      </c>
      <c r="E983" t="s">
        <v>3954</v>
      </c>
      <c r="F983" t="s">
        <v>3955</v>
      </c>
      <c r="G983" t="s">
        <v>635</v>
      </c>
      <c r="H983" s="6">
        <v>20044.439999999999</v>
      </c>
      <c r="I983" t="s">
        <v>3026</v>
      </c>
      <c r="L983" s="8" t="s">
        <v>5358</v>
      </c>
    </row>
    <row r="984" spans="1:12" x14ac:dyDescent="0.3">
      <c r="A984" t="s">
        <v>5359</v>
      </c>
      <c r="B984" t="s">
        <v>1378</v>
      </c>
      <c r="C984" t="s">
        <v>5360</v>
      </c>
      <c r="D984" t="s">
        <v>5361</v>
      </c>
      <c r="E984" t="s">
        <v>3954</v>
      </c>
      <c r="F984" t="s">
        <v>3955</v>
      </c>
      <c r="G984" t="s">
        <v>635</v>
      </c>
      <c r="H984" s="6">
        <v>20044.439999999999</v>
      </c>
      <c r="I984" t="s">
        <v>3026</v>
      </c>
      <c r="L984" s="8" t="s">
        <v>5362</v>
      </c>
    </row>
    <row r="985" spans="1:12" x14ac:dyDescent="0.3">
      <c r="A985" t="s">
        <v>5363</v>
      </c>
      <c r="B985" t="s">
        <v>1378</v>
      </c>
      <c r="C985" t="s">
        <v>5364</v>
      </c>
      <c r="D985" t="s">
        <v>5365</v>
      </c>
      <c r="E985" t="s">
        <v>3954</v>
      </c>
      <c r="F985" t="s">
        <v>3955</v>
      </c>
      <c r="G985" t="s">
        <v>635</v>
      </c>
      <c r="H985" s="6">
        <v>23362.53</v>
      </c>
      <c r="I985" t="s">
        <v>3026</v>
      </c>
      <c r="L985" s="8" t="s">
        <v>5366</v>
      </c>
    </row>
    <row r="986" spans="1:12" x14ac:dyDescent="0.3">
      <c r="A986" t="s">
        <v>5367</v>
      </c>
      <c r="B986" t="s">
        <v>1378</v>
      </c>
      <c r="C986" t="s">
        <v>5368</v>
      </c>
      <c r="D986" t="s">
        <v>5369</v>
      </c>
      <c r="E986" t="s">
        <v>3954</v>
      </c>
      <c r="F986" t="s">
        <v>3955</v>
      </c>
      <c r="G986" t="s">
        <v>635</v>
      </c>
      <c r="H986" s="6">
        <v>23362.53</v>
      </c>
      <c r="I986" t="s">
        <v>3026</v>
      </c>
      <c r="L986" s="8" t="s">
        <v>5370</v>
      </c>
    </row>
    <row r="987" spans="1:12" x14ac:dyDescent="0.3">
      <c r="A987" t="s">
        <v>5371</v>
      </c>
      <c r="B987" t="s">
        <v>1378</v>
      </c>
      <c r="C987" t="s">
        <v>5372</v>
      </c>
      <c r="D987" t="s">
        <v>5373</v>
      </c>
      <c r="E987" t="s">
        <v>3954</v>
      </c>
      <c r="F987" t="s">
        <v>3955</v>
      </c>
      <c r="G987" t="s">
        <v>635</v>
      </c>
      <c r="H987" s="6">
        <v>10795.68</v>
      </c>
      <c r="I987" t="s">
        <v>3026</v>
      </c>
      <c r="L987" s="8" t="s">
        <v>5374</v>
      </c>
    </row>
    <row r="988" spans="1:12" x14ac:dyDescent="0.3">
      <c r="A988" t="s">
        <v>5375</v>
      </c>
      <c r="B988" t="s">
        <v>1378</v>
      </c>
      <c r="C988" t="s">
        <v>5376</v>
      </c>
      <c r="D988" t="s">
        <v>5377</v>
      </c>
      <c r="E988" t="s">
        <v>3954</v>
      </c>
      <c r="F988" t="s">
        <v>3955</v>
      </c>
      <c r="G988" t="s">
        <v>635</v>
      </c>
      <c r="H988" s="6">
        <v>10795.68</v>
      </c>
      <c r="I988" t="s">
        <v>3026</v>
      </c>
      <c r="L988" s="8" t="s">
        <v>5378</v>
      </c>
    </row>
    <row r="989" spans="1:12" x14ac:dyDescent="0.3">
      <c r="A989" t="s">
        <v>5379</v>
      </c>
      <c r="B989" t="s">
        <v>1378</v>
      </c>
      <c r="C989" t="s">
        <v>5380</v>
      </c>
      <c r="D989" t="s">
        <v>5381</v>
      </c>
      <c r="E989" t="s">
        <v>3954</v>
      </c>
      <c r="F989" t="s">
        <v>3955</v>
      </c>
      <c r="G989" t="s">
        <v>635</v>
      </c>
      <c r="H989" s="6">
        <v>20237.93</v>
      </c>
      <c r="I989" t="s">
        <v>3026</v>
      </c>
      <c r="L989" s="8" t="s">
        <v>5382</v>
      </c>
    </row>
    <row r="990" spans="1:12" x14ac:dyDescent="0.3">
      <c r="A990" t="s">
        <v>5383</v>
      </c>
      <c r="B990" t="s">
        <v>1378</v>
      </c>
      <c r="C990" t="s">
        <v>5384</v>
      </c>
      <c r="D990" t="s">
        <v>5385</v>
      </c>
      <c r="E990" t="s">
        <v>3954</v>
      </c>
      <c r="F990" t="s">
        <v>3955</v>
      </c>
      <c r="G990" t="s">
        <v>635</v>
      </c>
      <c r="H990" s="6">
        <v>20237.93</v>
      </c>
      <c r="I990" t="s">
        <v>3026</v>
      </c>
      <c r="L990" s="8" t="s">
        <v>5386</v>
      </c>
    </row>
    <row r="991" spans="1:12" x14ac:dyDescent="0.3">
      <c r="A991" t="s">
        <v>5387</v>
      </c>
      <c r="B991" t="s">
        <v>1378</v>
      </c>
      <c r="C991" t="s">
        <v>5388</v>
      </c>
      <c r="D991" t="s">
        <v>5389</v>
      </c>
      <c r="E991" t="s">
        <v>3954</v>
      </c>
      <c r="F991" t="s">
        <v>3955</v>
      </c>
      <c r="G991" t="s">
        <v>635</v>
      </c>
      <c r="H991" s="6">
        <v>23659.21</v>
      </c>
      <c r="I991" t="s">
        <v>3026</v>
      </c>
      <c r="L991" s="8" t="s">
        <v>5390</v>
      </c>
    </row>
    <row r="992" spans="1:12" x14ac:dyDescent="0.3">
      <c r="A992" t="s">
        <v>5391</v>
      </c>
      <c r="B992" t="s">
        <v>1378</v>
      </c>
      <c r="C992" t="s">
        <v>5392</v>
      </c>
      <c r="D992" t="s">
        <v>5393</v>
      </c>
      <c r="E992" t="s">
        <v>3954</v>
      </c>
      <c r="F992" t="s">
        <v>3955</v>
      </c>
      <c r="G992" t="s">
        <v>635</v>
      </c>
      <c r="H992" s="6">
        <v>23656.23</v>
      </c>
      <c r="I992" t="s">
        <v>3026</v>
      </c>
      <c r="L992" s="8" t="s">
        <v>5394</v>
      </c>
    </row>
    <row r="993" spans="1:12" x14ac:dyDescent="0.3">
      <c r="A993" t="s">
        <v>5395</v>
      </c>
      <c r="B993" t="s">
        <v>1378</v>
      </c>
      <c r="C993" t="s">
        <v>5396</v>
      </c>
      <c r="D993" t="s">
        <v>5397</v>
      </c>
      <c r="E993" t="s">
        <v>3954</v>
      </c>
      <c r="F993" t="s">
        <v>3955</v>
      </c>
      <c r="G993" t="s">
        <v>635</v>
      </c>
      <c r="H993" s="6">
        <v>11677.47</v>
      </c>
      <c r="I993" t="s">
        <v>3026</v>
      </c>
      <c r="L993" s="8" t="s">
        <v>5398</v>
      </c>
    </row>
    <row r="994" spans="1:12" x14ac:dyDescent="0.3">
      <c r="A994" t="s">
        <v>5399</v>
      </c>
      <c r="B994" t="s">
        <v>1378</v>
      </c>
      <c r="C994" t="s">
        <v>5400</v>
      </c>
      <c r="D994" t="s">
        <v>5401</v>
      </c>
      <c r="E994" t="s">
        <v>3954</v>
      </c>
      <c r="F994" t="s">
        <v>3955</v>
      </c>
      <c r="G994" t="s">
        <v>635</v>
      </c>
      <c r="H994" s="6">
        <v>14665.46</v>
      </c>
      <c r="I994" t="s">
        <v>3026</v>
      </c>
      <c r="L994" s="8" t="s">
        <v>5402</v>
      </c>
    </row>
    <row r="995" spans="1:12" x14ac:dyDescent="0.3">
      <c r="A995" t="s">
        <v>5403</v>
      </c>
      <c r="B995" t="s">
        <v>1378</v>
      </c>
      <c r="C995" t="s">
        <v>5404</v>
      </c>
      <c r="D995" t="s">
        <v>5405</v>
      </c>
      <c r="E995" t="s">
        <v>3954</v>
      </c>
      <c r="F995" t="s">
        <v>3955</v>
      </c>
      <c r="G995" t="s">
        <v>635</v>
      </c>
      <c r="H995" s="6">
        <v>14665.46</v>
      </c>
      <c r="I995" t="s">
        <v>3026</v>
      </c>
      <c r="L995" s="8" t="s">
        <v>5406</v>
      </c>
    </row>
    <row r="996" spans="1:12" x14ac:dyDescent="0.3">
      <c r="A996" t="s">
        <v>5407</v>
      </c>
      <c r="B996" t="s">
        <v>1378</v>
      </c>
      <c r="C996" t="s">
        <v>5408</v>
      </c>
      <c r="D996" t="s">
        <v>5409</v>
      </c>
      <c r="E996" t="s">
        <v>3954</v>
      </c>
      <c r="F996" t="s">
        <v>3955</v>
      </c>
      <c r="G996" t="s">
        <v>635</v>
      </c>
      <c r="H996" s="6">
        <v>14665.46</v>
      </c>
      <c r="I996" t="s">
        <v>3026</v>
      </c>
      <c r="L996" s="8" t="s">
        <v>5410</v>
      </c>
    </row>
    <row r="997" spans="1:12" x14ac:dyDescent="0.3">
      <c r="A997" t="s">
        <v>5411</v>
      </c>
      <c r="B997" t="s">
        <v>1378</v>
      </c>
      <c r="C997" t="s">
        <v>5412</v>
      </c>
      <c r="D997" t="s">
        <v>5413</v>
      </c>
      <c r="E997" t="s">
        <v>3954</v>
      </c>
      <c r="F997" t="s">
        <v>3955</v>
      </c>
      <c r="G997" t="s">
        <v>635</v>
      </c>
      <c r="H997" s="6">
        <v>14665.46</v>
      </c>
      <c r="I997" t="s">
        <v>3026</v>
      </c>
      <c r="L997" s="8" t="s">
        <v>5414</v>
      </c>
    </row>
    <row r="998" spans="1:12" x14ac:dyDescent="0.3">
      <c r="A998" t="s">
        <v>5415</v>
      </c>
      <c r="B998" t="s">
        <v>1378</v>
      </c>
      <c r="C998" t="s">
        <v>5416</v>
      </c>
      <c r="D998" t="s">
        <v>5417</v>
      </c>
      <c r="E998" t="s">
        <v>3954</v>
      </c>
      <c r="F998" t="s">
        <v>3955</v>
      </c>
      <c r="G998" t="s">
        <v>635</v>
      </c>
      <c r="H998" s="6">
        <v>14665.46</v>
      </c>
      <c r="I998" t="s">
        <v>3026</v>
      </c>
      <c r="L998" s="8" t="s">
        <v>5418</v>
      </c>
    </row>
    <row r="999" spans="1:12" x14ac:dyDescent="0.3">
      <c r="A999" t="s">
        <v>5419</v>
      </c>
      <c r="B999" t="s">
        <v>1378</v>
      </c>
      <c r="C999" t="s">
        <v>5420</v>
      </c>
      <c r="D999" t="s">
        <v>5421</v>
      </c>
      <c r="E999" t="s">
        <v>3954</v>
      </c>
      <c r="F999" t="s">
        <v>3955</v>
      </c>
      <c r="G999" t="s">
        <v>635</v>
      </c>
      <c r="H999" s="6">
        <v>14665.46</v>
      </c>
      <c r="I999" t="s">
        <v>3026</v>
      </c>
      <c r="L999" s="8" t="s">
        <v>5422</v>
      </c>
    </row>
    <row r="1000" spans="1:12" x14ac:dyDescent="0.3">
      <c r="A1000" t="s">
        <v>5423</v>
      </c>
      <c r="B1000" t="s">
        <v>1378</v>
      </c>
      <c r="C1000" t="s">
        <v>5424</v>
      </c>
      <c r="D1000" t="s">
        <v>5425</v>
      </c>
      <c r="E1000" t="s">
        <v>3954</v>
      </c>
      <c r="F1000" t="s">
        <v>3955</v>
      </c>
      <c r="G1000" t="s">
        <v>635</v>
      </c>
      <c r="H1000" s="6">
        <v>14665.46</v>
      </c>
      <c r="I1000" t="s">
        <v>3026</v>
      </c>
      <c r="L1000" s="8" t="s">
        <v>5426</v>
      </c>
    </row>
    <row r="1001" spans="1:12" x14ac:dyDescent="0.3">
      <c r="A1001" t="s">
        <v>5427</v>
      </c>
      <c r="B1001" t="s">
        <v>1378</v>
      </c>
      <c r="C1001" t="s">
        <v>5428</v>
      </c>
      <c r="D1001" t="s">
        <v>5429</v>
      </c>
      <c r="E1001" t="s">
        <v>3954</v>
      </c>
      <c r="F1001" t="s">
        <v>3955</v>
      </c>
      <c r="G1001" t="s">
        <v>635</v>
      </c>
      <c r="H1001" s="6">
        <v>14665.46</v>
      </c>
      <c r="I1001" t="s">
        <v>3026</v>
      </c>
      <c r="L1001" s="8" t="s">
        <v>5430</v>
      </c>
    </row>
    <row r="1002" spans="1:12" x14ac:dyDescent="0.3">
      <c r="A1002" t="s">
        <v>5431</v>
      </c>
      <c r="B1002" t="s">
        <v>1378</v>
      </c>
      <c r="C1002" t="s">
        <v>5432</v>
      </c>
      <c r="D1002" t="s">
        <v>5433</v>
      </c>
      <c r="E1002" t="s">
        <v>3954</v>
      </c>
      <c r="F1002" t="s">
        <v>3955</v>
      </c>
      <c r="G1002" t="s">
        <v>635</v>
      </c>
      <c r="H1002" s="6">
        <v>14665.46</v>
      </c>
      <c r="I1002" t="s">
        <v>3026</v>
      </c>
      <c r="L1002" s="8" t="s">
        <v>5434</v>
      </c>
    </row>
    <row r="1003" spans="1:12" x14ac:dyDescent="0.3">
      <c r="A1003" t="s">
        <v>5435</v>
      </c>
      <c r="B1003" t="s">
        <v>1378</v>
      </c>
      <c r="C1003" t="s">
        <v>5436</v>
      </c>
      <c r="D1003" t="s">
        <v>5437</v>
      </c>
      <c r="E1003" t="s">
        <v>3954</v>
      </c>
      <c r="F1003" t="s">
        <v>3955</v>
      </c>
      <c r="G1003" t="s">
        <v>635</v>
      </c>
      <c r="H1003" s="6">
        <v>14665.46</v>
      </c>
      <c r="I1003" t="s">
        <v>3026</v>
      </c>
      <c r="L1003" s="8" t="s">
        <v>5438</v>
      </c>
    </row>
    <row r="1004" spans="1:12" x14ac:dyDescent="0.3">
      <c r="A1004" t="s">
        <v>5439</v>
      </c>
      <c r="B1004" t="s">
        <v>1378</v>
      </c>
      <c r="C1004" t="s">
        <v>5440</v>
      </c>
      <c r="D1004" t="s">
        <v>5441</v>
      </c>
      <c r="E1004" t="s">
        <v>3954</v>
      </c>
      <c r="F1004" t="s">
        <v>3955</v>
      </c>
      <c r="G1004" t="s">
        <v>635</v>
      </c>
      <c r="H1004" s="6">
        <v>14665.46</v>
      </c>
      <c r="I1004" t="s">
        <v>3026</v>
      </c>
      <c r="L1004" s="8" t="s">
        <v>5442</v>
      </c>
    </row>
    <row r="1005" spans="1:12" x14ac:dyDescent="0.3">
      <c r="A1005" t="s">
        <v>5443</v>
      </c>
      <c r="B1005" t="s">
        <v>1378</v>
      </c>
      <c r="C1005" t="s">
        <v>5444</v>
      </c>
      <c r="D1005" t="s">
        <v>5445</v>
      </c>
      <c r="E1005" t="s">
        <v>3954</v>
      </c>
      <c r="F1005" t="s">
        <v>3955</v>
      </c>
      <c r="G1005" t="s">
        <v>635</v>
      </c>
      <c r="H1005" s="6">
        <v>14665.46</v>
      </c>
      <c r="I1005" t="s">
        <v>3026</v>
      </c>
      <c r="L1005" s="8" t="s">
        <v>5446</v>
      </c>
    </row>
    <row r="1006" spans="1:12" x14ac:dyDescent="0.3">
      <c r="A1006" t="s">
        <v>5447</v>
      </c>
      <c r="B1006" t="s">
        <v>1378</v>
      </c>
      <c r="C1006" t="s">
        <v>5448</v>
      </c>
      <c r="D1006" t="s">
        <v>5449</v>
      </c>
      <c r="E1006" t="s">
        <v>3954</v>
      </c>
      <c r="F1006" t="s">
        <v>3955</v>
      </c>
      <c r="G1006" t="s">
        <v>635</v>
      </c>
      <c r="H1006" s="6">
        <v>12551.96</v>
      </c>
      <c r="I1006" t="s">
        <v>3026</v>
      </c>
      <c r="L1006" s="8" t="s">
        <v>5450</v>
      </c>
    </row>
    <row r="1007" spans="1:12" x14ac:dyDescent="0.3">
      <c r="A1007" t="s">
        <v>5451</v>
      </c>
      <c r="B1007" t="s">
        <v>1378</v>
      </c>
      <c r="C1007" t="s">
        <v>5452</v>
      </c>
      <c r="D1007" t="s">
        <v>5453</v>
      </c>
      <c r="E1007" t="s">
        <v>3954</v>
      </c>
      <c r="F1007" t="s">
        <v>3955</v>
      </c>
      <c r="G1007" t="s">
        <v>635</v>
      </c>
      <c r="H1007" s="6">
        <v>12551.96</v>
      </c>
      <c r="I1007" t="s">
        <v>3026</v>
      </c>
      <c r="L1007" s="8" t="s">
        <v>5454</v>
      </c>
    </row>
    <row r="1008" spans="1:12" x14ac:dyDescent="0.3">
      <c r="A1008" t="s">
        <v>5455</v>
      </c>
      <c r="B1008" t="s">
        <v>1378</v>
      </c>
      <c r="C1008" t="s">
        <v>5456</v>
      </c>
      <c r="D1008" t="s">
        <v>5457</v>
      </c>
      <c r="E1008" t="s">
        <v>3954</v>
      </c>
      <c r="F1008" t="s">
        <v>3955</v>
      </c>
      <c r="G1008" t="s">
        <v>635</v>
      </c>
      <c r="H1008" s="6">
        <v>13582.91</v>
      </c>
      <c r="I1008" t="s">
        <v>3026</v>
      </c>
      <c r="L1008" s="8" t="s">
        <v>5458</v>
      </c>
    </row>
    <row r="1009" spans="1:12" x14ac:dyDescent="0.3">
      <c r="A1009" t="s">
        <v>5459</v>
      </c>
      <c r="B1009" t="s">
        <v>1378</v>
      </c>
      <c r="C1009" t="s">
        <v>5460</v>
      </c>
      <c r="D1009" t="s">
        <v>5461</v>
      </c>
      <c r="E1009" t="s">
        <v>3954</v>
      </c>
      <c r="F1009" t="s">
        <v>3955</v>
      </c>
      <c r="G1009" t="s">
        <v>635</v>
      </c>
      <c r="H1009" s="6">
        <v>13582.91</v>
      </c>
      <c r="I1009" t="s">
        <v>3026</v>
      </c>
      <c r="L1009" s="8" t="s">
        <v>5462</v>
      </c>
    </row>
    <row r="1010" spans="1:12" x14ac:dyDescent="0.3">
      <c r="A1010" t="s">
        <v>5463</v>
      </c>
      <c r="B1010" t="s">
        <v>1378</v>
      </c>
      <c r="C1010" t="s">
        <v>5464</v>
      </c>
      <c r="D1010" t="s">
        <v>5465</v>
      </c>
      <c r="E1010" t="s">
        <v>3954</v>
      </c>
      <c r="F1010" t="s">
        <v>3955</v>
      </c>
      <c r="G1010" t="s">
        <v>635</v>
      </c>
      <c r="H1010" s="6">
        <v>13582.91</v>
      </c>
      <c r="I1010" t="s">
        <v>3026</v>
      </c>
      <c r="L1010" s="8" t="s">
        <v>5466</v>
      </c>
    </row>
    <row r="1011" spans="1:12" x14ac:dyDescent="0.3">
      <c r="A1011" t="s">
        <v>5467</v>
      </c>
      <c r="B1011" t="s">
        <v>1378</v>
      </c>
      <c r="C1011" t="s">
        <v>5468</v>
      </c>
      <c r="D1011" t="s">
        <v>5469</v>
      </c>
      <c r="E1011" t="s">
        <v>3954</v>
      </c>
      <c r="F1011" t="s">
        <v>3955</v>
      </c>
      <c r="G1011" t="s">
        <v>635</v>
      </c>
      <c r="H1011" s="6">
        <v>13582.91</v>
      </c>
      <c r="I1011" t="s">
        <v>3026</v>
      </c>
      <c r="L1011" s="8" t="s">
        <v>5470</v>
      </c>
    </row>
    <row r="1012" spans="1:12" x14ac:dyDescent="0.3">
      <c r="A1012" t="s">
        <v>5471</v>
      </c>
      <c r="B1012" t="s">
        <v>1378</v>
      </c>
      <c r="C1012" t="s">
        <v>5472</v>
      </c>
      <c r="D1012" t="s">
        <v>5473</v>
      </c>
      <c r="E1012" t="s">
        <v>3954</v>
      </c>
      <c r="F1012" t="s">
        <v>3955</v>
      </c>
      <c r="G1012" t="s">
        <v>635</v>
      </c>
      <c r="H1012" s="6">
        <v>13582.91</v>
      </c>
      <c r="I1012" t="s">
        <v>3026</v>
      </c>
      <c r="L1012" s="8" t="s">
        <v>5474</v>
      </c>
    </row>
    <row r="1013" spans="1:12" x14ac:dyDescent="0.3">
      <c r="A1013" t="s">
        <v>5475</v>
      </c>
      <c r="B1013" t="s">
        <v>1378</v>
      </c>
      <c r="C1013" t="s">
        <v>5476</v>
      </c>
      <c r="D1013" t="s">
        <v>5477</v>
      </c>
      <c r="E1013" t="s">
        <v>3954</v>
      </c>
      <c r="F1013" t="s">
        <v>3955</v>
      </c>
      <c r="G1013" t="s">
        <v>635</v>
      </c>
      <c r="H1013" s="6">
        <v>13582.91</v>
      </c>
      <c r="I1013" t="s">
        <v>3026</v>
      </c>
      <c r="L1013" s="8" t="s">
        <v>5478</v>
      </c>
    </row>
    <row r="1014" spans="1:12" x14ac:dyDescent="0.3">
      <c r="A1014" t="s">
        <v>5479</v>
      </c>
      <c r="B1014" t="s">
        <v>1378</v>
      </c>
      <c r="C1014" t="s">
        <v>5480</v>
      </c>
      <c r="D1014" t="s">
        <v>5481</v>
      </c>
      <c r="E1014" t="s">
        <v>3954</v>
      </c>
      <c r="F1014" t="s">
        <v>3955</v>
      </c>
      <c r="G1014" t="s">
        <v>635</v>
      </c>
      <c r="H1014" s="6">
        <v>14375.72</v>
      </c>
      <c r="I1014" t="s">
        <v>3026</v>
      </c>
      <c r="L1014" s="8" t="s">
        <v>5482</v>
      </c>
    </row>
    <row r="1015" spans="1:12" x14ac:dyDescent="0.3">
      <c r="A1015" t="s">
        <v>5483</v>
      </c>
      <c r="B1015" t="s">
        <v>1378</v>
      </c>
      <c r="C1015" t="s">
        <v>5484</v>
      </c>
      <c r="D1015" t="s">
        <v>5485</v>
      </c>
      <c r="E1015" t="s">
        <v>3954</v>
      </c>
      <c r="F1015" t="s">
        <v>3955</v>
      </c>
      <c r="G1015" t="s">
        <v>635</v>
      </c>
      <c r="H1015" s="6">
        <v>32128.06</v>
      </c>
      <c r="I1015" t="s">
        <v>3026</v>
      </c>
      <c r="L1015" s="8" t="s">
        <v>5486</v>
      </c>
    </row>
    <row r="1016" spans="1:12" x14ac:dyDescent="0.3">
      <c r="A1016" t="s">
        <v>5487</v>
      </c>
      <c r="B1016" t="s">
        <v>1378</v>
      </c>
      <c r="C1016" t="s">
        <v>5488</v>
      </c>
      <c r="D1016" t="s">
        <v>5489</v>
      </c>
      <c r="E1016" t="s">
        <v>3954</v>
      </c>
      <c r="F1016" t="s">
        <v>3955</v>
      </c>
      <c r="G1016" t="s">
        <v>635</v>
      </c>
      <c r="H1016" s="6">
        <v>32128.06</v>
      </c>
      <c r="I1016" t="s">
        <v>3026</v>
      </c>
      <c r="L1016" s="8" t="s">
        <v>5490</v>
      </c>
    </row>
    <row r="1017" spans="1:12" x14ac:dyDescent="0.3">
      <c r="A1017" t="s">
        <v>5491</v>
      </c>
      <c r="B1017" t="s">
        <v>1378</v>
      </c>
      <c r="C1017" t="s">
        <v>5492</v>
      </c>
      <c r="D1017" t="s">
        <v>5493</v>
      </c>
      <c r="E1017" t="s">
        <v>3954</v>
      </c>
      <c r="F1017" t="s">
        <v>3955</v>
      </c>
      <c r="G1017" t="s">
        <v>635</v>
      </c>
      <c r="H1017" s="6">
        <v>39442.93</v>
      </c>
      <c r="I1017" t="s">
        <v>3026</v>
      </c>
      <c r="L1017" s="8" t="s">
        <v>5494</v>
      </c>
    </row>
    <row r="1018" spans="1:12" x14ac:dyDescent="0.3">
      <c r="A1018" t="s">
        <v>5495</v>
      </c>
      <c r="B1018" t="s">
        <v>1378</v>
      </c>
      <c r="C1018" t="s">
        <v>5496</v>
      </c>
      <c r="D1018" t="s">
        <v>5497</v>
      </c>
      <c r="E1018" t="s">
        <v>3954</v>
      </c>
      <c r="F1018" t="s">
        <v>3955</v>
      </c>
      <c r="G1018" t="s">
        <v>635</v>
      </c>
      <c r="H1018" s="6">
        <v>39442.93</v>
      </c>
      <c r="I1018" t="s">
        <v>3026</v>
      </c>
      <c r="L1018" s="8" t="s">
        <v>5498</v>
      </c>
    </row>
    <row r="1019" spans="1:12" x14ac:dyDescent="0.3">
      <c r="A1019" t="s">
        <v>5499</v>
      </c>
      <c r="B1019" t="s">
        <v>1378</v>
      </c>
      <c r="C1019" t="s">
        <v>5500</v>
      </c>
      <c r="D1019" t="s">
        <v>5501</v>
      </c>
      <c r="E1019" t="s">
        <v>3954</v>
      </c>
      <c r="F1019" t="s">
        <v>3955</v>
      </c>
      <c r="G1019" t="s">
        <v>635</v>
      </c>
      <c r="H1019" s="6">
        <v>40643.550000000003</v>
      </c>
      <c r="I1019" t="s">
        <v>3026</v>
      </c>
      <c r="L1019" s="8" t="s">
        <v>5502</v>
      </c>
    </row>
    <row r="1020" spans="1:12" x14ac:dyDescent="0.3">
      <c r="A1020" t="s">
        <v>5503</v>
      </c>
      <c r="B1020" t="s">
        <v>1378</v>
      </c>
      <c r="C1020" t="s">
        <v>5504</v>
      </c>
      <c r="D1020" t="s">
        <v>5505</v>
      </c>
      <c r="E1020" t="s">
        <v>3954</v>
      </c>
      <c r="F1020" t="s">
        <v>3955</v>
      </c>
      <c r="G1020" t="s">
        <v>635</v>
      </c>
      <c r="H1020" s="6">
        <v>40643.550000000003</v>
      </c>
      <c r="I1020" t="s">
        <v>3026</v>
      </c>
      <c r="L1020" s="8" t="s">
        <v>5506</v>
      </c>
    </row>
    <row r="1021" spans="1:12" x14ac:dyDescent="0.3">
      <c r="A1021" t="s">
        <v>5507</v>
      </c>
      <c r="B1021" t="s">
        <v>1378</v>
      </c>
      <c r="C1021" t="s">
        <v>5508</v>
      </c>
      <c r="D1021" t="s">
        <v>5509</v>
      </c>
      <c r="E1021" t="s">
        <v>3954</v>
      </c>
      <c r="F1021" t="s">
        <v>3955</v>
      </c>
      <c r="G1021" t="s">
        <v>635</v>
      </c>
      <c r="H1021" s="6">
        <v>40643.550000000003</v>
      </c>
      <c r="I1021" t="s">
        <v>3026</v>
      </c>
      <c r="L1021" s="8" t="s">
        <v>5510</v>
      </c>
    </row>
    <row r="1022" spans="1:12" x14ac:dyDescent="0.3">
      <c r="A1022" t="s">
        <v>5511</v>
      </c>
      <c r="B1022" t="s">
        <v>1378</v>
      </c>
      <c r="C1022" t="s">
        <v>5512</v>
      </c>
      <c r="D1022" t="s">
        <v>5513</v>
      </c>
      <c r="E1022" t="s">
        <v>3954</v>
      </c>
      <c r="F1022" t="s">
        <v>3955</v>
      </c>
      <c r="G1022" t="s">
        <v>635</v>
      </c>
      <c r="H1022" s="6">
        <v>40643.550000000003</v>
      </c>
      <c r="I1022" t="s">
        <v>3026</v>
      </c>
      <c r="L1022" s="8" t="s">
        <v>5514</v>
      </c>
    </row>
    <row r="1023" spans="1:12" x14ac:dyDescent="0.3">
      <c r="A1023" t="s">
        <v>5515</v>
      </c>
      <c r="B1023" t="s">
        <v>1378</v>
      </c>
      <c r="C1023" t="s">
        <v>5516</v>
      </c>
      <c r="D1023" t="s">
        <v>5517</v>
      </c>
      <c r="E1023" t="s">
        <v>3954</v>
      </c>
      <c r="F1023" t="s">
        <v>3955</v>
      </c>
      <c r="G1023" t="s">
        <v>635</v>
      </c>
      <c r="H1023" s="6">
        <v>39442.93</v>
      </c>
      <c r="I1023" t="s">
        <v>3026</v>
      </c>
      <c r="L1023" s="8" t="s">
        <v>5518</v>
      </c>
    </row>
    <row r="1024" spans="1:12" x14ac:dyDescent="0.3">
      <c r="A1024" t="s">
        <v>5519</v>
      </c>
      <c r="B1024" t="s">
        <v>1378</v>
      </c>
      <c r="C1024" t="s">
        <v>5520</v>
      </c>
      <c r="D1024" t="s">
        <v>5521</v>
      </c>
      <c r="E1024" t="s">
        <v>3954</v>
      </c>
      <c r="F1024" t="s">
        <v>3955</v>
      </c>
      <c r="G1024" t="s">
        <v>635</v>
      </c>
      <c r="H1024" s="6">
        <v>39442.93</v>
      </c>
      <c r="I1024" t="s">
        <v>3026</v>
      </c>
      <c r="L1024" s="8" t="s">
        <v>5522</v>
      </c>
    </row>
    <row r="1025" spans="1:12" x14ac:dyDescent="0.3">
      <c r="A1025" t="s">
        <v>5523</v>
      </c>
      <c r="B1025" t="s">
        <v>1378</v>
      </c>
      <c r="C1025" t="s">
        <v>5524</v>
      </c>
      <c r="D1025" t="s">
        <v>5525</v>
      </c>
      <c r="E1025" t="s">
        <v>3954</v>
      </c>
      <c r="F1025" t="s">
        <v>3955</v>
      </c>
      <c r="G1025" t="s">
        <v>635</v>
      </c>
      <c r="H1025" s="6">
        <v>39442.93</v>
      </c>
      <c r="I1025" t="s">
        <v>3026</v>
      </c>
      <c r="L1025" s="8" t="s">
        <v>5526</v>
      </c>
    </row>
    <row r="1026" spans="1:12" x14ac:dyDescent="0.3">
      <c r="A1026" t="s">
        <v>5527</v>
      </c>
      <c r="B1026" t="s">
        <v>1378</v>
      </c>
      <c r="C1026" t="s">
        <v>5528</v>
      </c>
      <c r="D1026" t="s">
        <v>5529</v>
      </c>
      <c r="E1026" t="s">
        <v>3954</v>
      </c>
      <c r="F1026" t="s">
        <v>3955</v>
      </c>
      <c r="G1026" t="s">
        <v>635</v>
      </c>
      <c r="H1026" s="6">
        <v>39442.93</v>
      </c>
      <c r="I1026" t="s">
        <v>3026</v>
      </c>
      <c r="L1026" s="8" t="s">
        <v>5530</v>
      </c>
    </row>
    <row r="1027" spans="1:12" x14ac:dyDescent="0.3">
      <c r="A1027" t="s">
        <v>5531</v>
      </c>
      <c r="B1027" t="s">
        <v>1378</v>
      </c>
      <c r="C1027" t="s">
        <v>5532</v>
      </c>
      <c r="D1027" t="s">
        <v>5533</v>
      </c>
      <c r="E1027" t="s">
        <v>3954</v>
      </c>
      <c r="F1027" t="s">
        <v>3955</v>
      </c>
      <c r="G1027" t="s">
        <v>635</v>
      </c>
      <c r="H1027" s="6">
        <v>40643.550000000003</v>
      </c>
      <c r="I1027" t="s">
        <v>3026</v>
      </c>
      <c r="L1027" s="8" t="s">
        <v>5534</v>
      </c>
    </row>
    <row r="1028" spans="1:12" x14ac:dyDescent="0.3">
      <c r="A1028" t="s">
        <v>5535</v>
      </c>
      <c r="B1028" t="s">
        <v>1378</v>
      </c>
      <c r="C1028" t="s">
        <v>5536</v>
      </c>
      <c r="D1028" t="s">
        <v>5537</v>
      </c>
      <c r="E1028" t="s">
        <v>3954</v>
      </c>
      <c r="F1028" t="s">
        <v>3955</v>
      </c>
      <c r="G1028" t="s">
        <v>635</v>
      </c>
      <c r="H1028" s="6">
        <v>40643.550000000003</v>
      </c>
      <c r="I1028" t="s">
        <v>3026</v>
      </c>
      <c r="L1028" s="8" t="s">
        <v>5538</v>
      </c>
    </row>
    <row r="1029" spans="1:12" x14ac:dyDescent="0.3">
      <c r="A1029" t="s">
        <v>5539</v>
      </c>
      <c r="B1029" t="s">
        <v>1378</v>
      </c>
      <c r="C1029" t="s">
        <v>5540</v>
      </c>
      <c r="D1029" t="s">
        <v>5541</v>
      </c>
      <c r="E1029" t="s">
        <v>3954</v>
      </c>
      <c r="F1029" t="s">
        <v>3955</v>
      </c>
      <c r="G1029" t="s">
        <v>635</v>
      </c>
      <c r="H1029" s="6">
        <v>40643.550000000003</v>
      </c>
      <c r="I1029" t="s">
        <v>3026</v>
      </c>
      <c r="L1029" s="8" t="s">
        <v>5542</v>
      </c>
    </row>
    <row r="1030" spans="1:12" x14ac:dyDescent="0.3">
      <c r="A1030" t="s">
        <v>5543</v>
      </c>
      <c r="B1030" t="s">
        <v>1378</v>
      </c>
      <c r="C1030" t="s">
        <v>5544</v>
      </c>
      <c r="D1030" t="s">
        <v>5545</v>
      </c>
      <c r="E1030" t="s">
        <v>3954</v>
      </c>
      <c r="F1030" t="s">
        <v>3955</v>
      </c>
      <c r="G1030" t="s">
        <v>635</v>
      </c>
      <c r="H1030" s="6">
        <v>40643.550000000003</v>
      </c>
      <c r="I1030" t="s">
        <v>3026</v>
      </c>
      <c r="L1030" s="8" t="s">
        <v>5546</v>
      </c>
    </row>
    <row r="1031" spans="1:12" x14ac:dyDescent="0.3">
      <c r="A1031" t="s">
        <v>5547</v>
      </c>
      <c r="B1031" t="s">
        <v>1378</v>
      </c>
      <c r="C1031" t="s">
        <v>5548</v>
      </c>
      <c r="D1031" t="s">
        <v>5549</v>
      </c>
      <c r="E1031" t="s">
        <v>3954</v>
      </c>
      <c r="F1031" t="s">
        <v>3955</v>
      </c>
      <c r="G1031" t="s">
        <v>635</v>
      </c>
      <c r="H1031" s="6">
        <v>39442.93</v>
      </c>
      <c r="I1031" t="s">
        <v>3026</v>
      </c>
      <c r="L1031" s="8" t="s">
        <v>5550</v>
      </c>
    </row>
    <row r="1032" spans="1:12" x14ac:dyDescent="0.3">
      <c r="A1032" t="s">
        <v>5551</v>
      </c>
      <c r="B1032" t="s">
        <v>1378</v>
      </c>
      <c r="C1032" t="s">
        <v>5552</v>
      </c>
      <c r="D1032" t="s">
        <v>5553</v>
      </c>
      <c r="E1032" t="s">
        <v>3954</v>
      </c>
      <c r="F1032" t="s">
        <v>3955</v>
      </c>
      <c r="G1032" t="s">
        <v>635</v>
      </c>
      <c r="H1032" s="6">
        <v>39442.93</v>
      </c>
      <c r="I1032" t="s">
        <v>3026</v>
      </c>
      <c r="L1032" s="8" t="s">
        <v>5554</v>
      </c>
    </row>
    <row r="1033" spans="1:12" x14ac:dyDescent="0.3">
      <c r="A1033" t="s">
        <v>5555</v>
      </c>
      <c r="B1033" t="s">
        <v>1378</v>
      </c>
      <c r="C1033" t="s">
        <v>5556</v>
      </c>
      <c r="D1033" t="s">
        <v>5557</v>
      </c>
      <c r="E1033" t="s">
        <v>3954</v>
      </c>
      <c r="F1033" t="s">
        <v>3955</v>
      </c>
      <c r="G1033" t="s">
        <v>635</v>
      </c>
      <c r="H1033" s="6">
        <v>40643.550000000003</v>
      </c>
      <c r="I1033" t="s">
        <v>3026</v>
      </c>
      <c r="L1033" s="8" t="s">
        <v>5558</v>
      </c>
    </row>
    <row r="1034" spans="1:12" x14ac:dyDescent="0.3">
      <c r="A1034" t="s">
        <v>5559</v>
      </c>
      <c r="B1034" t="s">
        <v>1378</v>
      </c>
      <c r="C1034" t="s">
        <v>5560</v>
      </c>
      <c r="D1034" t="s">
        <v>5561</v>
      </c>
      <c r="E1034" t="s">
        <v>3954</v>
      </c>
      <c r="F1034" t="s">
        <v>3955</v>
      </c>
      <c r="G1034" t="s">
        <v>635</v>
      </c>
      <c r="H1034" s="6">
        <v>40643.550000000003</v>
      </c>
      <c r="I1034" t="s">
        <v>3026</v>
      </c>
      <c r="L1034" s="8" t="s">
        <v>5562</v>
      </c>
    </row>
    <row r="1035" spans="1:12" x14ac:dyDescent="0.3">
      <c r="A1035" t="s">
        <v>5563</v>
      </c>
      <c r="B1035" t="s">
        <v>1378</v>
      </c>
      <c r="C1035" t="s">
        <v>5564</v>
      </c>
      <c r="D1035" t="s">
        <v>5565</v>
      </c>
      <c r="E1035" t="s">
        <v>3954</v>
      </c>
      <c r="F1035" t="s">
        <v>3955</v>
      </c>
      <c r="G1035" t="s">
        <v>635</v>
      </c>
      <c r="H1035" s="6">
        <v>9370.81</v>
      </c>
      <c r="I1035" t="s">
        <v>3026</v>
      </c>
      <c r="L1035" s="8" t="s">
        <v>5566</v>
      </c>
    </row>
    <row r="1036" spans="1:12" x14ac:dyDescent="0.3">
      <c r="A1036" t="s">
        <v>5567</v>
      </c>
      <c r="B1036" t="s">
        <v>1206</v>
      </c>
      <c r="C1036" t="s">
        <v>5568</v>
      </c>
      <c r="E1036" t="s">
        <v>1789</v>
      </c>
      <c r="F1036" t="s">
        <v>1790</v>
      </c>
      <c r="G1036" t="s">
        <v>635</v>
      </c>
      <c r="H1036" s="6">
        <v>799.05</v>
      </c>
      <c r="I1036" t="s">
        <v>1791</v>
      </c>
      <c r="L1036" s="8" t="s">
        <v>5569</v>
      </c>
    </row>
    <row r="1037" spans="1:12" x14ac:dyDescent="0.3">
      <c r="A1037" t="s">
        <v>5570</v>
      </c>
      <c r="B1037" t="s">
        <v>1206</v>
      </c>
      <c r="C1037" t="s">
        <v>5571</v>
      </c>
      <c r="E1037" t="s">
        <v>1799</v>
      </c>
      <c r="F1037" t="s">
        <v>1800</v>
      </c>
      <c r="G1037" t="s">
        <v>635</v>
      </c>
      <c r="H1037" s="6">
        <v>978.6</v>
      </c>
      <c r="I1037" t="s">
        <v>1791</v>
      </c>
      <c r="L1037" s="8" t="s">
        <v>5572</v>
      </c>
    </row>
    <row r="1038" spans="1:12" x14ac:dyDescent="0.3">
      <c r="A1038" t="s">
        <v>5573</v>
      </c>
      <c r="B1038" t="s">
        <v>1206</v>
      </c>
      <c r="C1038" t="s">
        <v>5574</v>
      </c>
      <c r="E1038" t="s">
        <v>1789</v>
      </c>
      <c r="F1038" t="s">
        <v>1790</v>
      </c>
      <c r="G1038" t="s">
        <v>635</v>
      </c>
      <c r="H1038" s="6">
        <v>895.65</v>
      </c>
      <c r="I1038" t="s">
        <v>1791</v>
      </c>
      <c r="L1038" s="8" t="s">
        <v>5575</v>
      </c>
    </row>
    <row r="1039" spans="1:12" x14ac:dyDescent="0.3">
      <c r="A1039" t="s">
        <v>5576</v>
      </c>
      <c r="B1039" t="s">
        <v>1206</v>
      </c>
      <c r="C1039" t="s">
        <v>5577</v>
      </c>
      <c r="E1039" t="s">
        <v>1799</v>
      </c>
      <c r="F1039" t="s">
        <v>1800</v>
      </c>
      <c r="G1039" t="s">
        <v>635</v>
      </c>
      <c r="H1039" s="6">
        <v>1252.6500000000001</v>
      </c>
      <c r="I1039" t="s">
        <v>1791</v>
      </c>
      <c r="L1039" s="8" t="s">
        <v>5578</v>
      </c>
    </row>
    <row r="1040" spans="1:12" x14ac:dyDescent="0.3">
      <c r="A1040" t="s">
        <v>5579</v>
      </c>
      <c r="B1040" t="s">
        <v>1206</v>
      </c>
      <c r="C1040" t="s">
        <v>5580</v>
      </c>
      <c r="E1040" t="s">
        <v>1799</v>
      </c>
      <c r="F1040" t="s">
        <v>1800</v>
      </c>
      <c r="G1040" t="s">
        <v>635</v>
      </c>
      <c r="H1040" s="6">
        <v>794.85</v>
      </c>
      <c r="I1040" t="s">
        <v>1791</v>
      </c>
      <c r="L1040" s="8" t="s">
        <v>5581</v>
      </c>
    </row>
    <row r="1041" spans="1:12" x14ac:dyDescent="0.3">
      <c r="A1041" t="s">
        <v>5582</v>
      </c>
      <c r="B1041" t="s">
        <v>1206</v>
      </c>
      <c r="C1041" t="s">
        <v>5583</v>
      </c>
      <c r="E1041" t="s">
        <v>1789</v>
      </c>
      <c r="F1041" t="s">
        <v>1790</v>
      </c>
      <c r="G1041" t="s">
        <v>635</v>
      </c>
      <c r="H1041" s="6">
        <v>1211.7</v>
      </c>
      <c r="I1041" t="s">
        <v>1791</v>
      </c>
      <c r="L1041" s="8" t="s">
        <v>5584</v>
      </c>
    </row>
    <row r="1042" spans="1:12" x14ac:dyDescent="0.3">
      <c r="A1042" t="s">
        <v>5585</v>
      </c>
      <c r="B1042" t="s">
        <v>1206</v>
      </c>
      <c r="C1042" t="s">
        <v>5586</v>
      </c>
      <c r="E1042" t="s">
        <v>1799</v>
      </c>
      <c r="F1042" t="s">
        <v>1800</v>
      </c>
      <c r="G1042" t="s">
        <v>635</v>
      </c>
      <c r="H1042" s="6">
        <v>1866.9</v>
      </c>
      <c r="I1042" t="s">
        <v>1791</v>
      </c>
      <c r="L1042" s="8" t="s">
        <v>5587</v>
      </c>
    </row>
    <row r="1043" spans="1:12" x14ac:dyDescent="0.3">
      <c r="A1043" t="s">
        <v>5588</v>
      </c>
      <c r="B1043" t="s">
        <v>1206</v>
      </c>
      <c r="C1043" t="s">
        <v>5589</v>
      </c>
      <c r="E1043" t="s">
        <v>1799</v>
      </c>
      <c r="F1043" t="s">
        <v>1800</v>
      </c>
      <c r="G1043" t="s">
        <v>635</v>
      </c>
      <c r="H1043" s="6">
        <v>1145.55</v>
      </c>
      <c r="I1043" t="s">
        <v>1791</v>
      </c>
      <c r="L1043" s="8" t="s">
        <v>5590</v>
      </c>
    </row>
    <row r="1044" spans="1:12" x14ac:dyDescent="0.3">
      <c r="A1044" t="s">
        <v>5591</v>
      </c>
      <c r="B1044" t="s">
        <v>1206</v>
      </c>
      <c r="C1044" t="s">
        <v>5592</v>
      </c>
      <c r="E1044" t="s">
        <v>1789</v>
      </c>
      <c r="F1044" t="s">
        <v>1790</v>
      </c>
      <c r="G1044" t="s">
        <v>635</v>
      </c>
      <c r="H1044" s="6">
        <v>1457.4</v>
      </c>
      <c r="I1044" t="s">
        <v>1791</v>
      </c>
      <c r="L1044" s="8" t="s">
        <v>5593</v>
      </c>
    </row>
    <row r="1045" spans="1:12" x14ac:dyDescent="0.3">
      <c r="A1045" t="s">
        <v>5594</v>
      </c>
      <c r="B1045" t="s">
        <v>1206</v>
      </c>
      <c r="C1045" t="s">
        <v>5595</v>
      </c>
      <c r="E1045" t="s">
        <v>1799</v>
      </c>
      <c r="F1045" t="s">
        <v>1800</v>
      </c>
      <c r="G1045" t="s">
        <v>635</v>
      </c>
      <c r="H1045" s="6">
        <v>2062.1999999999998</v>
      </c>
      <c r="I1045" t="s">
        <v>1791</v>
      </c>
      <c r="L1045" s="8" t="s">
        <v>5596</v>
      </c>
    </row>
    <row r="1046" spans="1:12" x14ac:dyDescent="0.3">
      <c r="A1046" t="s">
        <v>5597</v>
      </c>
      <c r="B1046" t="s">
        <v>1206</v>
      </c>
      <c r="C1046" t="s">
        <v>5598</v>
      </c>
      <c r="E1046" t="s">
        <v>1799</v>
      </c>
      <c r="F1046" t="s">
        <v>1800</v>
      </c>
      <c r="G1046" t="s">
        <v>635</v>
      </c>
      <c r="H1046" s="6">
        <v>1398.6</v>
      </c>
      <c r="I1046" t="s">
        <v>1791</v>
      </c>
      <c r="L1046" s="8" t="s">
        <v>5599</v>
      </c>
    </row>
    <row r="1047" spans="1:12" x14ac:dyDescent="0.3">
      <c r="A1047" t="s">
        <v>5600</v>
      </c>
      <c r="B1047" t="s">
        <v>1206</v>
      </c>
      <c r="C1047" t="s">
        <v>5601</v>
      </c>
      <c r="E1047" t="s">
        <v>1789</v>
      </c>
      <c r="F1047" t="s">
        <v>1790</v>
      </c>
      <c r="G1047" t="s">
        <v>635</v>
      </c>
      <c r="H1047" s="6">
        <v>1704.15</v>
      </c>
      <c r="I1047" t="s">
        <v>1791</v>
      </c>
      <c r="L1047" s="8" t="s">
        <v>5602</v>
      </c>
    </row>
    <row r="1048" spans="1:12" x14ac:dyDescent="0.3">
      <c r="A1048" t="s">
        <v>5603</v>
      </c>
      <c r="B1048" t="s">
        <v>1206</v>
      </c>
      <c r="C1048" t="s">
        <v>5604</v>
      </c>
      <c r="E1048" t="s">
        <v>1799</v>
      </c>
      <c r="F1048" t="s">
        <v>1800</v>
      </c>
      <c r="G1048" t="s">
        <v>635</v>
      </c>
      <c r="H1048" s="6">
        <v>2593.5</v>
      </c>
      <c r="I1048" t="s">
        <v>1791</v>
      </c>
      <c r="L1048" s="8" t="s">
        <v>5605</v>
      </c>
    </row>
    <row r="1049" spans="1:12" x14ac:dyDescent="0.3">
      <c r="A1049" t="s">
        <v>5606</v>
      </c>
      <c r="B1049" t="s">
        <v>1206</v>
      </c>
      <c r="C1049" t="s">
        <v>5607</v>
      </c>
      <c r="E1049" t="s">
        <v>1799</v>
      </c>
      <c r="F1049" t="s">
        <v>1800</v>
      </c>
      <c r="G1049" t="s">
        <v>635</v>
      </c>
      <c r="H1049" s="6">
        <v>1620.15</v>
      </c>
      <c r="I1049" t="s">
        <v>1791</v>
      </c>
      <c r="L1049" s="8" t="s">
        <v>5608</v>
      </c>
    </row>
    <row r="1050" spans="1:12" x14ac:dyDescent="0.3">
      <c r="A1050" t="s">
        <v>5609</v>
      </c>
      <c r="B1050" t="s">
        <v>1206</v>
      </c>
      <c r="C1050" t="s">
        <v>5610</v>
      </c>
      <c r="E1050" t="s">
        <v>1789</v>
      </c>
      <c r="F1050" t="s">
        <v>1790</v>
      </c>
      <c r="G1050" t="s">
        <v>635</v>
      </c>
      <c r="H1050" s="6">
        <v>799.05</v>
      </c>
      <c r="I1050" t="s">
        <v>1791</v>
      </c>
      <c r="L1050" s="8" t="s">
        <v>5611</v>
      </c>
    </row>
    <row r="1051" spans="1:12" x14ac:dyDescent="0.3">
      <c r="A1051" t="s">
        <v>5612</v>
      </c>
      <c r="B1051" t="s">
        <v>1206</v>
      </c>
      <c r="C1051" t="s">
        <v>5613</v>
      </c>
      <c r="E1051" t="s">
        <v>1799</v>
      </c>
      <c r="F1051" t="s">
        <v>1800</v>
      </c>
      <c r="G1051" t="s">
        <v>635</v>
      </c>
      <c r="H1051" s="6">
        <v>563.85</v>
      </c>
      <c r="I1051" t="s">
        <v>1791</v>
      </c>
      <c r="L1051" s="8" t="s">
        <v>5614</v>
      </c>
    </row>
    <row r="1052" spans="1:12" x14ac:dyDescent="0.3">
      <c r="A1052" t="s">
        <v>5615</v>
      </c>
      <c r="B1052" t="s">
        <v>1206</v>
      </c>
      <c r="C1052" t="s">
        <v>5616</v>
      </c>
      <c r="E1052" t="s">
        <v>1799</v>
      </c>
      <c r="F1052" t="s">
        <v>1800</v>
      </c>
      <c r="G1052" t="s">
        <v>635</v>
      </c>
      <c r="H1052" s="6">
        <v>641.54999999999995</v>
      </c>
      <c r="I1052" t="s">
        <v>1791</v>
      </c>
      <c r="L1052" s="8" t="s">
        <v>5617</v>
      </c>
    </row>
    <row r="1053" spans="1:12" x14ac:dyDescent="0.3">
      <c r="A1053" t="s">
        <v>5618</v>
      </c>
      <c r="B1053" t="s">
        <v>1206</v>
      </c>
      <c r="C1053" t="s">
        <v>5619</v>
      </c>
      <c r="E1053" t="s">
        <v>1789</v>
      </c>
      <c r="F1053" t="s">
        <v>1790</v>
      </c>
      <c r="G1053" t="s">
        <v>635</v>
      </c>
      <c r="H1053" s="6">
        <v>1018.5</v>
      </c>
      <c r="I1053" t="s">
        <v>1791</v>
      </c>
      <c r="L1053" s="8" t="s">
        <v>5620</v>
      </c>
    </row>
    <row r="1054" spans="1:12" x14ac:dyDescent="0.3">
      <c r="A1054" t="s">
        <v>5621</v>
      </c>
      <c r="B1054" t="s">
        <v>1206</v>
      </c>
      <c r="C1054" t="s">
        <v>5622</v>
      </c>
      <c r="E1054" t="s">
        <v>1799</v>
      </c>
      <c r="F1054" t="s">
        <v>1800</v>
      </c>
      <c r="G1054" t="s">
        <v>635</v>
      </c>
      <c r="H1054" s="6">
        <v>616.35</v>
      </c>
      <c r="I1054" t="s">
        <v>1791</v>
      </c>
      <c r="L1054" s="8" t="s">
        <v>5623</v>
      </c>
    </row>
    <row r="1055" spans="1:12" x14ac:dyDescent="0.3">
      <c r="A1055" t="s">
        <v>5624</v>
      </c>
      <c r="B1055" t="s">
        <v>1206</v>
      </c>
      <c r="C1055" t="s">
        <v>5625</v>
      </c>
      <c r="E1055" t="s">
        <v>1799</v>
      </c>
      <c r="F1055" t="s">
        <v>1800</v>
      </c>
      <c r="G1055" t="s">
        <v>635</v>
      </c>
      <c r="H1055" s="6">
        <v>893.55</v>
      </c>
      <c r="I1055" t="s">
        <v>1791</v>
      </c>
      <c r="L1055" s="8" t="s">
        <v>5626</v>
      </c>
    </row>
    <row r="1056" spans="1:12" x14ac:dyDescent="0.3">
      <c r="A1056" t="s">
        <v>5627</v>
      </c>
      <c r="B1056" t="s">
        <v>1206</v>
      </c>
      <c r="C1056" t="s">
        <v>5628</v>
      </c>
      <c r="E1056" t="s">
        <v>1789</v>
      </c>
      <c r="F1056" t="s">
        <v>1790</v>
      </c>
      <c r="G1056" t="s">
        <v>635</v>
      </c>
      <c r="H1056" s="6">
        <v>796.95</v>
      </c>
      <c r="I1056" t="s">
        <v>1791</v>
      </c>
      <c r="L1056" s="8" t="s">
        <v>5629</v>
      </c>
    </row>
    <row r="1057" spans="1:12" x14ac:dyDescent="0.3">
      <c r="A1057" t="s">
        <v>5630</v>
      </c>
      <c r="B1057" t="s">
        <v>1206</v>
      </c>
      <c r="C1057" t="s">
        <v>5631</v>
      </c>
      <c r="E1057" t="s">
        <v>1799</v>
      </c>
      <c r="F1057" t="s">
        <v>1800</v>
      </c>
      <c r="G1057" t="s">
        <v>635</v>
      </c>
      <c r="H1057" s="6">
        <v>1267.3499999999999</v>
      </c>
      <c r="I1057" t="s">
        <v>1791</v>
      </c>
      <c r="L1057" s="8" t="s">
        <v>5632</v>
      </c>
    </row>
    <row r="1058" spans="1:12" x14ac:dyDescent="0.3">
      <c r="A1058" t="s">
        <v>5633</v>
      </c>
      <c r="B1058" t="s">
        <v>1206</v>
      </c>
      <c r="C1058" t="s">
        <v>5634</v>
      </c>
      <c r="E1058" t="s">
        <v>1799</v>
      </c>
      <c r="F1058" t="s">
        <v>1800</v>
      </c>
      <c r="G1058" t="s">
        <v>635</v>
      </c>
      <c r="H1058" s="6">
        <v>807.45</v>
      </c>
      <c r="I1058" t="s">
        <v>1791</v>
      </c>
      <c r="L1058" s="8" t="s">
        <v>5635</v>
      </c>
    </row>
    <row r="1059" spans="1:12" x14ac:dyDescent="0.3">
      <c r="A1059" t="s">
        <v>5636</v>
      </c>
      <c r="B1059" t="s">
        <v>1206</v>
      </c>
      <c r="C1059" t="s">
        <v>5637</v>
      </c>
      <c r="E1059" t="s">
        <v>1789</v>
      </c>
      <c r="F1059" t="s">
        <v>1790</v>
      </c>
      <c r="G1059" t="s">
        <v>635</v>
      </c>
      <c r="H1059" s="6">
        <v>796.95</v>
      </c>
      <c r="I1059" t="s">
        <v>1791</v>
      </c>
      <c r="L1059" s="8" t="s">
        <v>5638</v>
      </c>
    </row>
    <row r="1060" spans="1:12" x14ac:dyDescent="0.3">
      <c r="A1060" t="s">
        <v>5639</v>
      </c>
      <c r="B1060" t="s">
        <v>1206</v>
      </c>
      <c r="C1060" t="s">
        <v>5640</v>
      </c>
      <c r="E1060" t="s">
        <v>1799</v>
      </c>
      <c r="F1060" t="s">
        <v>1800</v>
      </c>
      <c r="G1060" t="s">
        <v>635</v>
      </c>
      <c r="H1060" s="6">
        <v>1267.3499999999999</v>
      </c>
      <c r="I1060" t="s">
        <v>1791</v>
      </c>
      <c r="L1060" s="8" t="s">
        <v>5641</v>
      </c>
    </row>
    <row r="1061" spans="1:12" x14ac:dyDescent="0.3">
      <c r="A1061" t="s">
        <v>5642</v>
      </c>
      <c r="B1061" t="s">
        <v>1206</v>
      </c>
      <c r="C1061" t="s">
        <v>5643</v>
      </c>
      <c r="E1061" t="s">
        <v>1799</v>
      </c>
      <c r="F1061" t="s">
        <v>1800</v>
      </c>
      <c r="G1061" t="s">
        <v>635</v>
      </c>
      <c r="H1061" s="6">
        <v>807.45</v>
      </c>
      <c r="I1061" t="s">
        <v>1791</v>
      </c>
      <c r="L1061" s="8" t="s">
        <v>5644</v>
      </c>
    </row>
    <row r="1062" spans="1:12" x14ac:dyDescent="0.3">
      <c r="A1062" t="s">
        <v>5645</v>
      </c>
      <c r="B1062" t="s">
        <v>1206</v>
      </c>
      <c r="C1062" t="s">
        <v>5646</v>
      </c>
      <c r="E1062" t="s">
        <v>1789</v>
      </c>
      <c r="F1062" t="s">
        <v>1790</v>
      </c>
      <c r="G1062" t="s">
        <v>635</v>
      </c>
      <c r="H1062" s="6">
        <v>1077.3</v>
      </c>
      <c r="I1062" t="s">
        <v>1791</v>
      </c>
      <c r="L1062" s="8" t="s">
        <v>5647</v>
      </c>
    </row>
    <row r="1063" spans="1:12" x14ac:dyDescent="0.3">
      <c r="A1063" t="s">
        <v>5648</v>
      </c>
      <c r="B1063" t="s">
        <v>1206</v>
      </c>
      <c r="C1063" t="s">
        <v>5649</v>
      </c>
      <c r="E1063" t="s">
        <v>1799</v>
      </c>
      <c r="F1063" t="s">
        <v>1800</v>
      </c>
      <c r="G1063" t="s">
        <v>635</v>
      </c>
      <c r="H1063" s="6">
        <v>1909.95</v>
      </c>
      <c r="I1063" t="s">
        <v>1791</v>
      </c>
      <c r="L1063" s="8" t="s">
        <v>5650</v>
      </c>
    </row>
    <row r="1064" spans="1:12" x14ac:dyDescent="0.3">
      <c r="A1064" t="s">
        <v>5651</v>
      </c>
      <c r="B1064" t="s">
        <v>1206</v>
      </c>
      <c r="C1064" t="s">
        <v>5652</v>
      </c>
      <c r="E1064" t="s">
        <v>1799</v>
      </c>
      <c r="F1064" t="s">
        <v>1800</v>
      </c>
      <c r="G1064" t="s">
        <v>635</v>
      </c>
      <c r="H1064" s="6">
        <v>1117.2</v>
      </c>
      <c r="I1064" t="s">
        <v>1791</v>
      </c>
      <c r="L1064" s="8" t="s">
        <v>5653</v>
      </c>
    </row>
    <row r="1065" spans="1:12" x14ac:dyDescent="0.3">
      <c r="A1065" t="s">
        <v>5654</v>
      </c>
      <c r="B1065" t="s">
        <v>1206</v>
      </c>
      <c r="C1065" t="s">
        <v>5655</v>
      </c>
      <c r="E1065" t="s">
        <v>1789</v>
      </c>
      <c r="F1065" t="s">
        <v>1790</v>
      </c>
      <c r="G1065" t="s">
        <v>635</v>
      </c>
      <c r="H1065" s="6">
        <v>1218</v>
      </c>
      <c r="I1065" t="s">
        <v>1791</v>
      </c>
      <c r="L1065" s="8" t="s">
        <v>5656</v>
      </c>
    </row>
    <row r="1066" spans="1:12" x14ac:dyDescent="0.3">
      <c r="A1066" t="s">
        <v>5657</v>
      </c>
      <c r="B1066" t="s">
        <v>1206</v>
      </c>
      <c r="C1066" t="s">
        <v>5658</v>
      </c>
      <c r="E1066" t="s">
        <v>1799</v>
      </c>
      <c r="F1066" t="s">
        <v>1800</v>
      </c>
      <c r="G1066" t="s">
        <v>635</v>
      </c>
      <c r="H1066" s="6">
        <v>2104.1999999999998</v>
      </c>
      <c r="I1066" t="s">
        <v>1791</v>
      </c>
      <c r="L1066" s="8" t="s">
        <v>5659</v>
      </c>
    </row>
    <row r="1067" spans="1:12" x14ac:dyDescent="0.3">
      <c r="A1067" t="s">
        <v>5660</v>
      </c>
      <c r="B1067" t="s">
        <v>1206</v>
      </c>
      <c r="C1067" t="s">
        <v>5661</v>
      </c>
      <c r="E1067" t="s">
        <v>1799</v>
      </c>
      <c r="F1067" t="s">
        <v>1800</v>
      </c>
      <c r="G1067" t="s">
        <v>635</v>
      </c>
      <c r="H1067" s="6">
        <v>1275.75</v>
      </c>
      <c r="I1067" t="s">
        <v>1791</v>
      </c>
      <c r="L1067" s="8" t="s">
        <v>5662</v>
      </c>
    </row>
    <row r="1068" spans="1:12" x14ac:dyDescent="0.3">
      <c r="A1068" t="s">
        <v>5663</v>
      </c>
      <c r="B1068" t="s">
        <v>1206</v>
      </c>
      <c r="C1068" t="s">
        <v>5664</v>
      </c>
      <c r="E1068" t="s">
        <v>1789</v>
      </c>
      <c r="F1068" t="s">
        <v>1790</v>
      </c>
      <c r="G1068" t="s">
        <v>635</v>
      </c>
      <c r="H1068" s="6">
        <v>1417.5</v>
      </c>
      <c r="I1068" t="s">
        <v>1791</v>
      </c>
      <c r="L1068" s="8" t="s">
        <v>5665</v>
      </c>
    </row>
    <row r="1069" spans="1:12" x14ac:dyDescent="0.3">
      <c r="A1069" t="s">
        <v>5666</v>
      </c>
      <c r="B1069" t="s">
        <v>1206</v>
      </c>
      <c r="C1069" t="s">
        <v>5667</v>
      </c>
      <c r="E1069" t="s">
        <v>1799</v>
      </c>
      <c r="F1069" t="s">
        <v>1800</v>
      </c>
      <c r="G1069" t="s">
        <v>635</v>
      </c>
      <c r="H1069" s="6">
        <v>2641.8</v>
      </c>
      <c r="I1069" t="s">
        <v>1791</v>
      </c>
      <c r="L1069" s="8" t="s">
        <v>5668</v>
      </c>
    </row>
    <row r="1070" spans="1:12" x14ac:dyDescent="0.3">
      <c r="A1070" t="s">
        <v>5669</v>
      </c>
      <c r="B1070" t="s">
        <v>1206</v>
      </c>
      <c r="C1070" t="s">
        <v>5670</v>
      </c>
      <c r="E1070" t="s">
        <v>1799</v>
      </c>
      <c r="F1070" t="s">
        <v>1800</v>
      </c>
      <c r="G1070" t="s">
        <v>635</v>
      </c>
      <c r="H1070" s="6">
        <v>1631.7</v>
      </c>
      <c r="I1070" t="s">
        <v>1791</v>
      </c>
      <c r="L1070" s="8" t="s">
        <v>5671</v>
      </c>
    </row>
    <row r="1071" spans="1:12" x14ac:dyDescent="0.3">
      <c r="A1071" t="s">
        <v>5672</v>
      </c>
      <c r="B1071" t="s">
        <v>1206</v>
      </c>
      <c r="C1071" t="s">
        <v>5673</v>
      </c>
      <c r="E1071" t="s">
        <v>1789</v>
      </c>
      <c r="F1071" t="s">
        <v>1790</v>
      </c>
      <c r="G1071" t="s">
        <v>635</v>
      </c>
      <c r="H1071" s="6">
        <v>661.5</v>
      </c>
      <c r="I1071" t="s">
        <v>1791</v>
      </c>
      <c r="L1071" s="8" t="s">
        <v>5674</v>
      </c>
    </row>
    <row r="1072" spans="1:12" x14ac:dyDescent="0.3">
      <c r="A1072" t="s">
        <v>5675</v>
      </c>
      <c r="B1072" t="s">
        <v>1206</v>
      </c>
      <c r="C1072" t="s">
        <v>5676</v>
      </c>
      <c r="E1072" t="s">
        <v>1789</v>
      </c>
      <c r="F1072" t="s">
        <v>1790</v>
      </c>
      <c r="G1072" t="s">
        <v>635</v>
      </c>
      <c r="H1072" s="6">
        <v>966</v>
      </c>
      <c r="I1072" t="s">
        <v>1791</v>
      </c>
      <c r="L1072" s="8" t="s">
        <v>5677</v>
      </c>
    </row>
    <row r="1073" spans="1:12" x14ac:dyDescent="0.3">
      <c r="A1073" t="s">
        <v>5678</v>
      </c>
      <c r="B1073" t="s">
        <v>1206</v>
      </c>
      <c r="C1073" t="s">
        <v>5679</v>
      </c>
      <c r="E1073" t="s">
        <v>1789</v>
      </c>
      <c r="F1073" t="s">
        <v>1790</v>
      </c>
      <c r="G1073" t="s">
        <v>635</v>
      </c>
      <c r="H1073" s="6">
        <v>1207.5</v>
      </c>
      <c r="I1073" t="s">
        <v>1791</v>
      </c>
      <c r="L1073" s="8" t="s">
        <v>5680</v>
      </c>
    </row>
    <row r="1074" spans="1:12" x14ac:dyDescent="0.3">
      <c r="A1074" t="s">
        <v>5681</v>
      </c>
      <c r="B1074" t="s">
        <v>1206</v>
      </c>
      <c r="C1074" t="s">
        <v>5682</v>
      </c>
      <c r="E1074" t="s">
        <v>1789</v>
      </c>
      <c r="F1074" t="s">
        <v>1790</v>
      </c>
      <c r="G1074" t="s">
        <v>635</v>
      </c>
      <c r="H1074" s="6">
        <v>1530.9</v>
      </c>
      <c r="I1074" t="s">
        <v>1791</v>
      </c>
      <c r="L1074" s="8" t="s">
        <v>5683</v>
      </c>
    </row>
    <row r="1075" spans="1:12" x14ac:dyDescent="0.3">
      <c r="A1075" t="s">
        <v>5684</v>
      </c>
      <c r="B1075" t="s">
        <v>1206</v>
      </c>
      <c r="C1075" t="s">
        <v>5685</v>
      </c>
      <c r="E1075" t="s">
        <v>1789</v>
      </c>
      <c r="F1075" t="s">
        <v>1790</v>
      </c>
      <c r="G1075" t="s">
        <v>635</v>
      </c>
      <c r="H1075" s="6">
        <v>1834.35</v>
      </c>
      <c r="I1075" t="s">
        <v>1791</v>
      </c>
      <c r="L1075" s="8" t="s">
        <v>5686</v>
      </c>
    </row>
    <row r="1076" spans="1:12" x14ac:dyDescent="0.3">
      <c r="A1076" t="s">
        <v>5687</v>
      </c>
      <c r="B1076" t="s">
        <v>1206</v>
      </c>
      <c r="C1076" t="s">
        <v>5688</v>
      </c>
      <c r="E1076" t="s">
        <v>1789</v>
      </c>
      <c r="F1076" t="s">
        <v>1790</v>
      </c>
      <c r="G1076" t="s">
        <v>635</v>
      </c>
      <c r="H1076" s="6">
        <v>1340.85</v>
      </c>
      <c r="I1076" t="s">
        <v>1791</v>
      </c>
      <c r="L1076" s="8" t="s">
        <v>5689</v>
      </c>
    </row>
    <row r="1077" spans="1:12" x14ac:dyDescent="0.3">
      <c r="A1077" t="s">
        <v>5690</v>
      </c>
      <c r="B1077" t="s">
        <v>1206</v>
      </c>
      <c r="C1077" t="s">
        <v>5691</v>
      </c>
      <c r="E1077" t="s">
        <v>1799</v>
      </c>
      <c r="F1077" t="s">
        <v>1800</v>
      </c>
      <c r="G1077" t="s">
        <v>635</v>
      </c>
      <c r="H1077" s="6">
        <v>1101.45</v>
      </c>
      <c r="I1077" t="s">
        <v>1791</v>
      </c>
      <c r="L1077" s="8" t="s">
        <v>5692</v>
      </c>
    </row>
    <row r="1078" spans="1:12" x14ac:dyDescent="0.3">
      <c r="A1078" t="s">
        <v>5693</v>
      </c>
      <c r="B1078" t="s">
        <v>1206</v>
      </c>
      <c r="C1078" t="s">
        <v>5694</v>
      </c>
      <c r="E1078" t="s">
        <v>1799</v>
      </c>
      <c r="F1078" t="s">
        <v>1800</v>
      </c>
      <c r="G1078" t="s">
        <v>635</v>
      </c>
      <c r="H1078" s="6">
        <v>1165.5</v>
      </c>
      <c r="I1078" t="s">
        <v>1791</v>
      </c>
      <c r="L1078" s="8" t="s">
        <v>5695</v>
      </c>
    </row>
    <row r="1079" spans="1:12" x14ac:dyDescent="0.3">
      <c r="A1079" t="s">
        <v>5696</v>
      </c>
      <c r="B1079" t="s">
        <v>1206</v>
      </c>
      <c r="C1079" t="s">
        <v>5697</v>
      </c>
      <c r="E1079" t="s">
        <v>1799</v>
      </c>
      <c r="F1079" t="s">
        <v>1800</v>
      </c>
      <c r="G1079" t="s">
        <v>635</v>
      </c>
      <c r="H1079" s="6">
        <v>1276.8</v>
      </c>
      <c r="I1079" t="s">
        <v>1791</v>
      </c>
      <c r="L1079" s="8" t="s">
        <v>5698</v>
      </c>
    </row>
    <row r="1080" spans="1:12" x14ac:dyDescent="0.3">
      <c r="A1080" t="s">
        <v>5699</v>
      </c>
      <c r="B1080" t="s">
        <v>1206</v>
      </c>
      <c r="C1080" t="s">
        <v>5700</v>
      </c>
      <c r="E1080" t="s">
        <v>1799</v>
      </c>
      <c r="F1080" t="s">
        <v>1800</v>
      </c>
      <c r="G1080" t="s">
        <v>635</v>
      </c>
      <c r="H1080" s="6">
        <v>2243.85</v>
      </c>
      <c r="I1080" t="s">
        <v>1791</v>
      </c>
      <c r="L1080" s="8" t="s">
        <v>5701</v>
      </c>
    </row>
    <row r="1081" spans="1:12" x14ac:dyDescent="0.3">
      <c r="A1081" t="s">
        <v>5702</v>
      </c>
      <c r="B1081" t="s">
        <v>1206</v>
      </c>
      <c r="C1081" t="s">
        <v>5703</v>
      </c>
      <c r="E1081" t="s">
        <v>1799</v>
      </c>
      <c r="F1081" t="s">
        <v>1800</v>
      </c>
      <c r="G1081" t="s">
        <v>635</v>
      </c>
      <c r="H1081" s="6">
        <v>2308.9499999999998</v>
      </c>
      <c r="I1081" t="s">
        <v>1791</v>
      </c>
      <c r="L1081" s="8" t="s">
        <v>5704</v>
      </c>
    </row>
    <row r="1082" spans="1:12" x14ac:dyDescent="0.3">
      <c r="A1082" t="s">
        <v>5705</v>
      </c>
      <c r="B1082" t="s">
        <v>1206</v>
      </c>
      <c r="C1082" t="s">
        <v>5706</v>
      </c>
      <c r="E1082" t="s">
        <v>1789</v>
      </c>
      <c r="F1082" t="s">
        <v>1790</v>
      </c>
      <c r="G1082" t="s">
        <v>635</v>
      </c>
      <c r="H1082" s="6">
        <v>324.45</v>
      </c>
      <c r="I1082" t="s">
        <v>1791</v>
      </c>
      <c r="L1082" s="8" t="s">
        <v>5707</v>
      </c>
    </row>
    <row r="1083" spans="1:12" x14ac:dyDescent="0.3">
      <c r="A1083" t="s">
        <v>5708</v>
      </c>
      <c r="B1083" t="s">
        <v>1206</v>
      </c>
      <c r="C1083" t="s">
        <v>5709</v>
      </c>
      <c r="E1083" t="s">
        <v>1789</v>
      </c>
      <c r="F1083" t="s">
        <v>1790</v>
      </c>
      <c r="G1083" t="s">
        <v>635</v>
      </c>
      <c r="H1083" s="6">
        <v>330.75</v>
      </c>
      <c r="I1083" t="s">
        <v>1791</v>
      </c>
      <c r="L1083" s="8" t="s">
        <v>5710</v>
      </c>
    </row>
    <row r="1084" spans="1:12" x14ac:dyDescent="0.3">
      <c r="A1084" t="s">
        <v>5711</v>
      </c>
      <c r="B1084" t="s">
        <v>1206</v>
      </c>
      <c r="C1084" t="s">
        <v>5712</v>
      </c>
      <c r="E1084" t="s">
        <v>1789</v>
      </c>
      <c r="F1084" t="s">
        <v>1790</v>
      </c>
      <c r="G1084" t="s">
        <v>635</v>
      </c>
      <c r="H1084" s="6">
        <v>385.35</v>
      </c>
      <c r="I1084" t="s">
        <v>1791</v>
      </c>
      <c r="L1084" s="8" t="s">
        <v>5713</v>
      </c>
    </row>
    <row r="1085" spans="1:12" x14ac:dyDescent="0.3">
      <c r="A1085" t="s">
        <v>5714</v>
      </c>
      <c r="B1085" t="s">
        <v>1206</v>
      </c>
      <c r="C1085" t="s">
        <v>5715</v>
      </c>
      <c r="E1085" t="s">
        <v>1789</v>
      </c>
      <c r="F1085" t="s">
        <v>1790</v>
      </c>
      <c r="G1085" t="s">
        <v>635</v>
      </c>
      <c r="H1085" s="6">
        <v>426.3</v>
      </c>
      <c r="I1085" t="s">
        <v>1791</v>
      </c>
      <c r="L1085" s="8" t="s">
        <v>5716</v>
      </c>
    </row>
    <row r="1086" spans="1:12" x14ac:dyDescent="0.3">
      <c r="A1086" t="s">
        <v>5717</v>
      </c>
      <c r="B1086" t="s">
        <v>1206</v>
      </c>
      <c r="C1086" t="s">
        <v>5718</v>
      </c>
      <c r="E1086" t="s">
        <v>1799</v>
      </c>
      <c r="F1086" t="s">
        <v>1800</v>
      </c>
      <c r="G1086" t="s">
        <v>635</v>
      </c>
      <c r="H1086" s="6">
        <v>309.75</v>
      </c>
      <c r="I1086" t="s">
        <v>1791</v>
      </c>
      <c r="L1086" s="8" t="s">
        <v>5719</v>
      </c>
    </row>
    <row r="1087" spans="1:12" x14ac:dyDescent="0.3">
      <c r="A1087" t="s">
        <v>5720</v>
      </c>
      <c r="B1087" t="s">
        <v>1206</v>
      </c>
      <c r="C1087" t="s">
        <v>5721</v>
      </c>
      <c r="E1087" t="s">
        <v>1799</v>
      </c>
      <c r="F1087" t="s">
        <v>1800</v>
      </c>
      <c r="G1087" t="s">
        <v>635</v>
      </c>
      <c r="H1087" s="6">
        <v>339.15</v>
      </c>
      <c r="I1087" t="s">
        <v>1791</v>
      </c>
      <c r="L1087" s="8" t="s">
        <v>5722</v>
      </c>
    </row>
    <row r="1088" spans="1:12" x14ac:dyDescent="0.3">
      <c r="A1088" t="s">
        <v>5723</v>
      </c>
      <c r="B1088" t="s">
        <v>1206</v>
      </c>
      <c r="C1088" t="s">
        <v>5724</v>
      </c>
      <c r="E1088" t="s">
        <v>1799</v>
      </c>
      <c r="F1088" t="s">
        <v>1800</v>
      </c>
      <c r="G1088" t="s">
        <v>635</v>
      </c>
      <c r="H1088" s="6">
        <v>393.75</v>
      </c>
      <c r="I1088" t="s">
        <v>1791</v>
      </c>
      <c r="L1088" s="8" t="s">
        <v>5725</v>
      </c>
    </row>
    <row r="1089" spans="1:12" x14ac:dyDescent="0.3">
      <c r="A1089" t="s">
        <v>5726</v>
      </c>
      <c r="B1089" t="s">
        <v>1206</v>
      </c>
      <c r="C1089" t="s">
        <v>5727</v>
      </c>
      <c r="E1089" t="s">
        <v>1799</v>
      </c>
      <c r="F1089" t="s">
        <v>1800</v>
      </c>
      <c r="G1089" t="s">
        <v>635</v>
      </c>
      <c r="H1089" s="6">
        <v>423.15</v>
      </c>
      <c r="I1089" t="s">
        <v>1791</v>
      </c>
      <c r="L1089" s="8" t="s">
        <v>5728</v>
      </c>
    </row>
    <row r="1090" spans="1:12" x14ac:dyDescent="0.3">
      <c r="A1090" t="s">
        <v>5729</v>
      </c>
      <c r="B1090" t="s">
        <v>1206</v>
      </c>
      <c r="C1090" t="s">
        <v>5730</v>
      </c>
      <c r="E1090" t="s">
        <v>1789</v>
      </c>
      <c r="F1090" t="s">
        <v>1790</v>
      </c>
      <c r="G1090" t="s">
        <v>635</v>
      </c>
      <c r="H1090" s="6">
        <v>333.9</v>
      </c>
      <c r="I1090" t="s">
        <v>1791</v>
      </c>
      <c r="L1090" s="8" t="s">
        <v>5731</v>
      </c>
    </row>
    <row r="1091" spans="1:12" x14ac:dyDescent="0.3">
      <c r="A1091" t="s">
        <v>5732</v>
      </c>
      <c r="B1091" t="s">
        <v>1206</v>
      </c>
      <c r="C1091" t="s">
        <v>5730</v>
      </c>
      <c r="E1091" t="s">
        <v>1789</v>
      </c>
      <c r="F1091" t="s">
        <v>1790</v>
      </c>
      <c r="G1091" t="s">
        <v>635</v>
      </c>
      <c r="H1091" s="6">
        <v>333.9</v>
      </c>
      <c r="I1091" t="s">
        <v>1791</v>
      </c>
      <c r="L1091" s="8" t="s">
        <v>5733</v>
      </c>
    </row>
    <row r="1092" spans="1:12" x14ac:dyDescent="0.3">
      <c r="A1092" t="s">
        <v>5734</v>
      </c>
      <c r="B1092" t="s">
        <v>1206</v>
      </c>
      <c r="C1092" t="s">
        <v>5730</v>
      </c>
      <c r="E1092" t="s">
        <v>1789</v>
      </c>
      <c r="F1092" t="s">
        <v>1790</v>
      </c>
      <c r="G1092" t="s">
        <v>635</v>
      </c>
      <c r="H1092" s="6">
        <v>333.9</v>
      </c>
      <c r="I1092" t="s">
        <v>1791</v>
      </c>
      <c r="L1092" s="8" t="s">
        <v>5735</v>
      </c>
    </row>
    <row r="1093" spans="1:12" x14ac:dyDescent="0.3">
      <c r="A1093" t="s">
        <v>5736</v>
      </c>
      <c r="B1093" t="s">
        <v>1206</v>
      </c>
      <c r="C1093" t="s">
        <v>5737</v>
      </c>
      <c r="E1093" t="s">
        <v>1789</v>
      </c>
      <c r="F1093" t="s">
        <v>1790</v>
      </c>
      <c r="G1093" t="s">
        <v>635</v>
      </c>
      <c r="H1093" s="6">
        <v>345.45</v>
      </c>
      <c r="I1093" t="s">
        <v>1791</v>
      </c>
      <c r="L1093" s="8" t="s">
        <v>5738</v>
      </c>
    </row>
    <row r="1094" spans="1:12" x14ac:dyDescent="0.3">
      <c r="A1094" t="s">
        <v>5739</v>
      </c>
      <c r="B1094" t="s">
        <v>1206</v>
      </c>
      <c r="C1094" t="s">
        <v>5740</v>
      </c>
      <c r="E1094" t="s">
        <v>1789</v>
      </c>
      <c r="F1094" t="s">
        <v>1790</v>
      </c>
      <c r="G1094" t="s">
        <v>635</v>
      </c>
      <c r="H1094" s="6">
        <v>354.9</v>
      </c>
      <c r="I1094" t="s">
        <v>1791</v>
      </c>
      <c r="L1094" s="8" t="s">
        <v>5741</v>
      </c>
    </row>
    <row r="1095" spans="1:12" x14ac:dyDescent="0.3">
      <c r="A1095" t="s">
        <v>5742</v>
      </c>
      <c r="B1095" t="s">
        <v>1206</v>
      </c>
      <c r="C1095" t="s">
        <v>5743</v>
      </c>
      <c r="E1095" t="s">
        <v>1789</v>
      </c>
      <c r="F1095" t="s">
        <v>1790</v>
      </c>
      <c r="G1095" t="s">
        <v>635</v>
      </c>
      <c r="H1095" s="6">
        <v>498.75</v>
      </c>
      <c r="I1095" t="s">
        <v>1791</v>
      </c>
      <c r="L1095" s="8" t="s">
        <v>5744</v>
      </c>
    </row>
    <row r="1096" spans="1:12" x14ac:dyDescent="0.3">
      <c r="A1096" t="s">
        <v>5745</v>
      </c>
      <c r="B1096" t="s">
        <v>1206</v>
      </c>
      <c r="C1096" t="s">
        <v>5746</v>
      </c>
      <c r="E1096" t="s">
        <v>1799</v>
      </c>
      <c r="F1096" t="s">
        <v>1800</v>
      </c>
      <c r="G1096" t="s">
        <v>635</v>
      </c>
      <c r="H1096" s="6">
        <v>337.05</v>
      </c>
      <c r="I1096" t="s">
        <v>1791</v>
      </c>
      <c r="L1096" s="8" t="s">
        <v>5747</v>
      </c>
    </row>
    <row r="1097" spans="1:12" x14ac:dyDescent="0.3">
      <c r="A1097" t="s">
        <v>5748</v>
      </c>
      <c r="B1097" t="s">
        <v>1206</v>
      </c>
      <c r="C1097" t="s">
        <v>5746</v>
      </c>
      <c r="E1097" t="s">
        <v>1799</v>
      </c>
      <c r="F1097" t="s">
        <v>1800</v>
      </c>
      <c r="G1097" t="s">
        <v>635</v>
      </c>
      <c r="H1097" s="6">
        <v>337.05</v>
      </c>
      <c r="I1097" t="s">
        <v>1791</v>
      </c>
      <c r="L1097" s="8" t="s">
        <v>5749</v>
      </c>
    </row>
    <row r="1098" spans="1:12" x14ac:dyDescent="0.3">
      <c r="A1098" t="s">
        <v>5750</v>
      </c>
      <c r="B1098" t="s">
        <v>1206</v>
      </c>
      <c r="C1098" t="s">
        <v>5751</v>
      </c>
      <c r="E1098" t="s">
        <v>1799</v>
      </c>
      <c r="F1098" t="s">
        <v>1800</v>
      </c>
      <c r="G1098" t="s">
        <v>635</v>
      </c>
      <c r="H1098" s="6">
        <v>345.45</v>
      </c>
      <c r="I1098" t="s">
        <v>1791</v>
      </c>
      <c r="L1098" s="8" t="s">
        <v>5752</v>
      </c>
    </row>
    <row r="1099" spans="1:12" x14ac:dyDescent="0.3">
      <c r="A1099" t="s">
        <v>5753</v>
      </c>
      <c r="B1099" t="s">
        <v>1206</v>
      </c>
      <c r="C1099" t="s">
        <v>5754</v>
      </c>
      <c r="E1099" t="s">
        <v>1799</v>
      </c>
      <c r="F1099" t="s">
        <v>1800</v>
      </c>
      <c r="G1099" t="s">
        <v>635</v>
      </c>
      <c r="H1099" s="6">
        <v>355.95</v>
      </c>
      <c r="I1099" t="s">
        <v>1791</v>
      </c>
      <c r="L1099" s="8" t="s">
        <v>5755</v>
      </c>
    </row>
    <row r="1100" spans="1:12" x14ac:dyDescent="0.3">
      <c r="A1100" t="s">
        <v>5756</v>
      </c>
      <c r="B1100" t="s">
        <v>1206</v>
      </c>
      <c r="C1100" t="s">
        <v>5757</v>
      </c>
      <c r="E1100" t="s">
        <v>1799</v>
      </c>
      <c r="F1100" t="s">
        <v>1800</v>
      </c>
      <c r="G1100" t="s">
        <v>635</v>
      </c>
      <c r="H1100" s="6">
        <v>395.85</v>
      </c>
      <c r="I1100" t="s">
        <v>1791</v>
      </c>
      <c r="L1100" s="8" t="s">
        <v>5758</v>
      </c>
    </row>
    <row r="1101" spans="1:12" x14ac:dyDescent="0.3">
      <c r="A1101" t="s">
        <v>5759</v>
      </c>
      <c r="B1101" t="s">
        <v>1206</v>
      </c>
      <c r="C1101" t="s">
        <v>5760</v>
      </c>
      <c r="E1101" t="s">
        <v>1789</v>
      </c>
      <c r="F1101" t="s">
        <v>1790</v>
      </c>
      <c r="G1101" t="s">
        <v>635</v>
      </c>
      <c r="H1101" s="6">
        <v>428.4</v>
      </c>
      <c r="I1101" t="s">
        <v>1791</v>
      </c>
      <c r="L1101" s="8" t="s">
        <v>5761</v>
      </c>
    </row>
    <row r="1102" spans="1:12" x14ac:dyDescent="0.3">
      <c r="A1102" t="s">
        <v>5762</v>
      </c>
      <c r="B1102" t="s">
        <v>1206</v>
      </c>
      <c r="C1102" t="s">
        <v>5760</v>
      </c>
      <c r="E1102" t="s">
        <v>1789</v>
      </c>
      <c r="F1102" t="s">
        <v>1790</v>
      </c>
      <c r="G1102" t="s">
        <v>635</v>
      </c>
      <c r="H1102" s="6">
        <v>428.4</v>
      </c>
      <c r="I1102" t="s">
        <v>1791</v>
      </c>
      <c r="L1102" s="8" t="s">
        <v>5763</v>
      </c>
    </row>
    <row r="1103" spans="1:12" x14ac:dyDescent="0.3">
      <c r="A1103" t="s">
        <v>5764</v>
      </c>
      <c r="B1103" t="s">
        <v>1206</v>
      </c>
      <c r="C1103" t="s">
        <v>5765</v>
      </c>
      <c r="E1103" t="s">
        <v>1789</v>
      </c>
      <c r="F1103" t="s">
        <v>1790</v>
      </c>
      <c r="G1103" t="s">
        <v>635</v>
      </c>
      <c r="H1103" s="6">
        <v>451.5</v>
      </c>
      <c r="I1103" t="s">
        <v>1791</v>
      </c>
      <c r="L1103" s="8" t="s">
        <v>5766</v>
      </c>
    </row>
    <row r="1104" spans="1:12" x14ac:dyDescent="0.3">
      <c r="A1104" t="s">
        <v>5767</v>
      </c>
      <c r="B1104" t="s">
        <v>1206</v>
      </c>
      <c r="C1104" t="s">
        <v>5768</v>
      </c>
      <c r="E1104" t="s">
        <v>1789</v>
      </c>
      <c r="F1104" t="s">
        <v>1790</v>
      </c>
      <c r="G1104" t="s">
        <v>635</v>
      </c>
      <c r="H1104" s="6">
        <v>501.9</v>
      </c>
      <c r="I1104" t="s">
        <v>1791</v>
      </c>
      <c r="L1104" s="8" t="s">
        <v>5769</v>
      </c>
    </row>
    <row r="1105" spans="1:12" x14ac:dyDescent="0.3">
      <c r="A1105" t="s">
        <v>5770</v>
      </c>
      <c r="B1105" t="s">
        <v>1206</v>
      </c>
      <c r="C1105" t="s">
        <v>5771</v>
      </c>
      <c r="E1105" t="s">
        <v>1789</v>
      </c>
      <c r="F1105" t="s">
        <v>1790</v>
      </c>
      <c r="G1105" t="s">
        <v>635</v>
      </c>
      <c r="H1105" s="6">
        <v>163.80000000000001</v>
      </c>
      <c r="I1105" t="s">
        <v>1791</v>
      </c>
      <c r="L1105" s="8" t="s">
        <v>5772</v>
      </c>
    </row>
    <row r="1106" spans="1:12" x14ac:dyDescent="0.3">
      <c r="A1106" t="s">
        <v>5773</v>
      </c>
      <c r="B1106" t="s">
        <v>1206</v>
      </c>
      <c r="C1106" t="s">
        <v>5771</v>
      </c>
      <c r="E1106" t="s">
        <v>1789</v>
      </c>
      <c r="F1106" t="s">
        <v>1790</v>
      </c>
      <c r="G1106" t="s">
        <v>635</v>
      </c>
      <c r="H1106" s="6">
        <v>163.80000000000001</v>
      </c>
      <c r="I1106" t="s">
        <v>1791</v>
      </c>
      <c r="L1106" s="8" t="s">
        <v>5774</v>
      </c>
    </row>
    <row r="1107" spans="1:12" x14ac:dyDescent="0.3">
      <c r="A1107" t="s">
        <v>5775</v>
      </c>
      <c r="B1107" t="s">
        <v>1206</v>
      </c>
      <c r="C1107" t="s">
        <v>5776</v>
      </c>
      <c r="E1107" t="s">
        <v>1789</v>
      </c>
      <c r="F1107" t="s">
        <v>1790</v>
      </c>
      <c r="G1107" t="s">
        <v>635</v>
      </c>
      <c r="H1107" s="6">
        <v>172.2</v>
      </c>
      <c r="I1107" t="s">
        <v>1791</v>
      </c>
      <c r="L1107" s="8" t="s">
        <v>5777</v>
      </c>
    </row>
    <row r="1108" spans="1:12" x14ac:dyDescent="0.3">
      <c r="A1108" t="s">
        <v>5778</v>
      </c>
      <c r="B1108" t="s">
        <v>1206</v>
      </c>
      <c r="C1108" t="s">
        <v>5779</v>
      </c>
      <c r="E1108" t="s">
        <v>1789</v>
      </c>
      <c r="F1108" t="s">
        <v>1790</v>
      </c>
      <c r="G1108" t="s">
        <v>635</v>
      </c>
      <c r="H1108" s="6">
        <v>184.8</v>
      </c>
      <c r="I1108" t="s">
        <v>1791</v>
      </c>
      <c r="L1108" s="8" t="s">
        <v>5780</v>
      </c>
    </row>
    <row r="1109" spans="1:12" x14ac:dyDescent="0.3">
      <c r="A1109" t="s">
        <v>5781</v>
      </c>
      <c r="B1109" t="s">
        <v>1206</v>
      </c>
      <c r="C1109" t="s">
        <v>5782</v>
      </c>
      <c r="E1109" t="s">
        <v>1789</v>
      </c>
      <c r="F1109" t="s">
        <v>1790</v>
      </c>
      <c r="G1109" t="s">
        <v>635</v>
      </c>
      <c r="H1109" s="6">
        <v>221.55</v>
      </c>
      <c r="I1109" t="s">
        <v>1791</v>
      </c>
      <c r="L1109" s="8" t="s">
        <v>5783</v>
      </c>
    </row>
    <row r="1110" spans="1:12" x14ac:dyDescent="0.3">
      <c r="A1110" t="s">
        <v>5784</v>
      </c>
      <c r="B1110" t="s">
        <v>1206</v>
      </c>
      <c r="C1110" t="s">
        <v>5785</v>
      </c>
      <c r="E1110" t="s">
        <v>1789</v>
      </c>
      <c r="F1110" t="s">
        <v>1790</v>
      </c>
      <c r="G1110" t="s">
        <v>635</v>
      </c>
      <c r="H1110" s="6">
        <v>289.8</v>
      </c>
      <c r="I1110" t="s">
        <v>1791</v>
      </c>
      <c r="L1110" s="8" t="s">
        <v>5786</v>
      </c>
    </row>
    <row r="1111" spans="1:12" x14ac:dyDescent="0.3">
      <c r="A1111" t="s">
        <v>5787</v>
      </c>
      <c r="B1111" t="s">
        <v>1206</v>
      </c>
      <c r="C1111" t="s">
        <v>5788</v>
      </c>
      <c r="E1111" t="s">
        <v>1799</v>
      </c>
      <c r="F1111" t="s">
        <v>1800</v>
      </c>
      <c r="G1111" t="s">
        <v>635</v>
      </c>
      <c r="H1111" s="6">
        <v>129.15</v>
      </c>
      <c r="I1111" t="s">
        <v>1791</v>
      </c>
      <c r="L1111" s="8" t="s">
        <v>5789</v>
      </c>
    </row>
    <row r="1112" spans="1:12" x14ac:dyDescent="0.3">
      <c r="A1112" t="s">
        <v>5790</v>
      </c>
      <c r="B1112" t="s">
        <v>1206</v>
      </c>
      <c r="C1112" t="s">
        <v>5791</v>
      </c>
      <c r="E1112" t="s">
        <v>1799</v>
      </c>
      <c r="F1112" t="s">
        <v>1800</v>
      </c>
      <c r="G1112" t="s">
        <v>635</v>
      </c>
      <c r="H1112" s="6">
        <v>142.80000000000001</v>
      </c>
      <c r="I1112" t="s">
        <v>1791</v>
      </c>
      <c r="L1112" s="8" t="s">
        <v>5792</v>
      </c>
    </row>
    <row r="1113" spans="1:12" x14ac:dyDescent="0.3">
      <c r="A1113" t="s">
        <v>5793</v>
      </c>
      <c r="B1113" t="s">
        <v>1206</v>
      </c>
      <c r="C1113" t="s">
        <v>5794</v>
      </c>
      <c r="E1113" t="s">
        <v>1799</v>
      </c>
      <c r="F1113" t="s">
        <v>1800</v>
      </c>
      <c r="G1113" t="s">
        <v>635</v>
      </c>
      <c r="H1113" s="6">
        <v>172.2</v>
      </c>
      <c r="I1113" t="s">
        <v>1791</v>
      </c>
      <c r="L1113" s="8" t="s">
        <v>5795</v>
      </c>
    </row>
    <row r="1114" spans="1:12" x14ac:dyDescent="0.3">
      <c r="A1114" t="s">
        <v>5796</v>
      </c>
      <c r="B1114" t="s">
        <v>1206</v>
      </c>
      <c r="C1114" t="s">
        <v>5797</v>
      </c>
      <c r="E1114" t="s">
        <v>1799</v>
      </c>
      <c r="F1114" t="s">
        <v>1800</v>
      </c>
      <c r="G1114" t="s">
        <v>635</v>
      </c>
      <c r="H1114" s="6">
        <v>237.3</v>
      </c>
      <c r="I1114" t="s">
        <v>1791</v>
      </c>
      <c r="L1114" s="8" t="s">
        <v>5798</v>
      </c>
    </row>
    <row r="1115" spans="1:12" x14ac:dyDescent="0.3">
      <c r="A1115" t="s">
        <v>5799</v>
      </c>
      <c r="B1115" t="s">
        <v>1206</v>
      </c>
      <c r="C1115" t="s">
        <v>5800</v>
      </c>
      <c r="E1115" t="s">
        <v>1799</v>
      </c>
      <c r="F1115" t="s">
        <v>1800</v>
      </c>
      <c r="G1115" t="s">
        <v>635</v>
      </c>
      <c r="H1115" s="6">
        <v>285.60000000000002</v>
      </c>
      <c r="I1115" t="s">
        <v>1791</v>
      </c>
      <c r="L1115" s="8" t="s">
        <v>5801</v>
      </c>
    </row>
    <row r="1116" spans="1:12" x14ac:dyDescent="0.3">
      <c r="A1116" t="s">
        <v>5802</v>
      </c>
      <c r="B1116" t="s">
        <v>1206</v>
      </c>
      <c r="C1116" t="s">
        <v>5800</v>
      </c>
      <c r="E1116" t="s">
        <v>1799</v>
      </c>
      <c r="F1116" t="s">
        <v>1800</v>
      </c>
      <c r="G1116" t="s">
        <v>635</v>
      </c>
      <c r="H1116" s="6">
        <v>285.60000000000002</v>
      </c>
      <c r="I1116" t="s">
        <v>1791</v>
      </c>
      <c r="L1116" s="8" t="s">
        <v>5803</v>
      </c>
    </row>
    <row r="1117" spans="1:12" x14ac:dyDescent="0.3">
      <c r="A1117" t="s">
        <v>5804</v>
      </c>
      <c r="B1117" t="s">
        <v>1206</v>
      </c>
      <c r="C1117" t="s">
        <v>5805</v>
      </c>
      <c r="E1117" t="s">
        <v>1789</v>
      </c>
      <c r="F1117" t="s">
        <v>1790</v>
      </c>
      <c r="G1117" t="s">
        <v>635</v>
      </c>
      <c r="H1117" s="6">
        <v>687.75</v>
      </c>
      <c r="I1117" t="s">
        <v>1791</v>
      </c>
      <c r="L1117" s="8" t="s">
        <v>5806</v>
      </c>
    </row>
    <row r="1118" spans="1:12" x14ac:dyDescent="0.3">
      <c r="A1118" t="s">
        <v>5807</v>
      </c>
      <c r="B1118" t="s">
        <v>1206</v>
      </c>
      <c r="C1118" t="s">
        <v>5808</v>
      </c>
      <c r="E1118" t="s">
        <v>1799</v>
      </c>
      <c r="F1118" t="s">
        <v>1800</v>
      </c>
      <c r="G1118" t="s">
        <v>635</v>
      </c>
      <c r="H1118" s="6">
        <v>954.45</v>
      </c>
      <c r="I1118" t="s">
        <v>1791</v>
      </c>
      <c r="L1118" s="8" t="s">
        <v>5809</v>
      </c>
    </row>
    <row r="1119" spans="1:12" x14ac:dyDescent="0.3">
      <c r="A1119" t="s">
        <v>5810</v>
      </c>
      <c r="B1119" t="s">
        <v>1206</v>
      </c>
      <c r="C1119" t="s">
        <v>5811</v>
      </c>
      <c r="E1119" t="s">
        <v>1789</v>
      </c>
      <c r="F1119" t="s">
        <v>1790</v>
      </c>
      <c r="G1119" t="s">
        <v>635</v>
      </c>
      <c r="H1119" s="6">
        <v>805.35</v>
      </c>
      <c r="I1119" t="s">
        <v>1791</v>
      </c>
      <c r="L1119" s="8" t="s">
        <v>5812</v>
      </c>
    </row>
    <row r="1120" spans="1:12" x14ac:dyDescent="0.3">
      <c r="A1120" t="s">
        <v>5813</v>
      </c>
      <c r="B1120" t="s">
        <v>1206</v>
      </c>
      <c r="C1120" t="s">
        <v>5814</v>
      </c>
      <c r="E1120" t="s">
        <v>1799</v>
      </c>
      <c r="F1120" t="s">
        <v>1800</v>
      </c>
      <c r="G1120" t="s">
        <v>635</v>
      </c>
      <c r="H1120" s="6">
        <v>1223.25</v>
      </c>
      <c r="I1120" t="s">
        <v>1791</v>
      </c>
      <c r="L1120" s="8" t="s">
        <v>5815</v>
      </c>
    </row>
    <row r="1121" spans="1:12" x14ac:dyDescent="0.3">
      <c r="A1121" t="s">
        <v>5816</v>
      </c>
      <c r="B1121" t="s">
        <v>1206</v>
      </c>
      <c r="C1121" t="s">
        <v>5817</v>
      </c>
      <c r="E1121" t="s">
        <v>1799</v>
      </c>
      <c r="F1121" t="s">
        <v>1800</v>
      </c>
      <c r="G1121" t="s">
        <v>635</v>
      </c>
      <c r="H1121" s="6">
        <v>785.4</v>
      </c>
      <c r="I1121" t="s">
        <v>1791</v>
      </c>
      <c r="L1121" s="8" t="s">
        <v>5818</v>
      </c>
    </row>
    <row r="1122" spans="1:12" x14ac:dyDescent="0.3">
      <c r="A1122" t="s">
        <v>5819</v>
      </c>
      <c r="B1122" t="s">
        <v>1206</v>
      </c>
      <c r="C1122" t="s">
        <v>5820</v>
      </c>
      <c r="E1122" t="s">
        <v>1789</v>
      </c>
      <c r="F1122" t="s">
        <v>1790</v>
      </c>
      <c r="G1122" t="s">
        <v>635</v>
      </c>
      <c r="H1122" s="6">
        <v>1088.8499999999999</v>
      </c>
      <c r="I1122" t="s">
        <v>1791</v>
      </c>
      <c r="L1122" s="8" t="s">
        <v>5821</v>
      </c>
    </row>
    <row r="1123" spans="1:12" x14ac:dyDescent="0.3">
      <c r="A1123" t="s">
        <v>5822</v>
      </c>
      <c r="B1123" t="s">
        <v>1206</v>
      </c>
      <c r="C1123" t="s">
        <v>5823</v>
      </c>
      <c r="E1123" t="s">
        <v>1799</v>
      </c>
      <c r="F1123" t="s">
        <v>1800</v>
      </c>
      <c r="G1123" t="s">
        <v>635</v>
      </c>
      <c r="H1123" s="6">
        <v>1872.15</v>
      </c>
      <c r="I1123" t="s">
        <v>1791</v>
      </c>
      <c r="L1123" s="8" t="s">
        <v>5824</v>
      </c>
    </row>
    <row r="1124" spans="1:12" x14ac:dyDescent="0.3">
      <c r="A1124" t="s">
        <v>5825</v>
      </c>
      <c r="B1124" t="s">
        <v>1206</v>
      </c>
      <c r="C1124" t="s">
        <v>5826</v>
      </c>
      <c r="E1124" t="s">
        <v>1799</v>
      </c>
      <c r="F1124" t="s">
        <v>1800</v>
      </c>
      <c r="G1124" t="s">
        <v>635</v>
      </c>
      <c r="H1124" s="6">
        <v>1132.95</v>
      </c>
      <c r="I1124" t="s">
        <v>1791</v>
      </c>
      <c r="L1124" s="8" t="s">
        <v>5827</v>
      </c>
    </row>
    <row r="1125" spans="1:12" x14ac:dyDescent="0.3">
      <c r="A1125" t="s">
        <v>5828</v>
      </c>
      <c r="B1125" t="s">
        <v>1206</v>
      </c>
      <c r="C1125" t="s">
        <v>5829</v>
      </c>
      <c r="E1125" t="s">
        <v>1789</v>
      </c>
      <c r="F1125" t="s">
        <v>1790</v>
      </c>
      <c r="G1125" t="s">
        <v>635</v>
      </c>
      <c r="H1125" s="6">
        <v>1320.9</v>
      </c>
      <c r="I1125" t="s">
        <v>1791</v>
      </c>
      <c r="L1125" s="8" t="s">
        <v>5830</v>
      </c>
    </row>
    <row r="1126" spans="1:12" x14ac:dyDescent="0.3">
      <c r="A1126" t="s">
        <v>5831</v>
      </c>
      <c r="B1126" t="s">
        <v>1206</v>
      </c>
      <c r="C1126" t="s">
        <v>5832</v>
      </c>
      <c r="E1126" t="s">
        <v>1799</v>
      </c>
      <c r="F1126" t="s">
        <v>1800</v>
      </c>
      <c r="G1126" t="s">
        <v>635</v>
      </c>
      <c r="H1126" s="6">
        <v>2035.95</v>
      </c>
      <c r="I1126" t="s">
        <v>1791</v>
      </c>
      <c r="L1126" s="8" t="s">
        <v>5833</v>
      </c>
    </row>
    <row r="1127" spans="1:12" x14ac:dyDescent="0.3">
      <c r="A1127" t="s">
        <v>5834</v>
      </c>
      <c r="B1127" t="s">
        <v>1206</v>
      </c>
      <c r="C1127" t="s">
        <v>5835</v>
      </c>
      <c r="E1127" t="s">
        <v>1799</v>
      </c>
      <c r="F1127" t="s">
        <v>1800</v>
      </c>
      <c r="G1127" t="s">
        <v>635</v>
      </c>
      <c r="H1127" s="6">
        <v>1378.65</v>
      </c>
      <c r="I1127" t="s">
        <v>1791</v>
      </c>
      <c r="L1127" s="8" t="s">
        <v>5836</v>
      </c>
    </row>
    <row r="1128" spans="1:12" x14ac:dyDescent="0.3">
      <c r="A1128" t="s">
        <v>5837</v>
      </c>
      <c r="B1128" t="s">
        <v>1206</v>
      </c>
      <c r="C1128" t="s">
        <v>5838</v>
      </c>
      <c r="E1128" t="s">
        <v>1789</v>
      </c>
      <c r="F1128" t="s">
        <v>1790</v>
      </c>
      <c r="G1128" t="s">
        <v>635</v>
      </c>
      <c r="H1128" s="6">
        <v>1454.25</v>
      </c>
      <c r="I1128" t="s">
        <v>1791</v>
      </c>
      <c r="L1128" s="8" t="s">
        <v>5839</v>
      </c>
    </row>
    <row r="1129" spans="1:12" x14ac:dyDescent="0.3">
      <c r="A1129" t="s">
        <v>5840</v>
      </c>
      <c r="B1129" t="s">
        <v>1206</v>
      </c>
      <c r="C1129" t="s">
        <v>5841</v>
      </c>
      <c r="E1129" t="s">
        <v>1799</v>
      </c>
      <c r="F1129" t="s">
        <v>1800</v>
      </c>
      <c r="G1129" t="s">
        <v>635</v>
      </c>
      <c r="H1129" s="6">
        <v>2596.65</v>
      </c>
      <c r="I1129" t="s">
        <v>1791</v>
      </c>
      <c r="L1129" s="8" t="s">
        <v>5842</v>
      </c>
    </row>
    <row r="1130" spans="1:12" x14ac:dyDescent="0.3">
      <c r="A1130" t="s">
        <v>5843</v>
      </c>
      <c r="B1130" t="s">
        <v>1206</v>
      </c>
      <c r="C1130" t="s">
        <v>5844</v>
      </c>
      <c r="E1130" t="s">
        <v>1799</v>
      </c>
      <c r="F1130" t="s">
        <v>1800</v>
      </c>
      <c r="G1130" t="s">
        <v>635</v>
      </c>
      <c r="H1130" s="6">
        <v>1580.25</v>
      </c>
      <c r="I1130" t="s">
        <v>1791</v>
      </c>
      <c r="L1130" s="8" t="s">
        <v>5845</v>
      </c>
    </row>
    <row r="1131" spans="1:12" x14ac:dyDescent="0.3">
      <c r="A1131" t="s">
        <v>5846</v>
      </c>
      <c r="B1131" t="s">
        <v>1206</v>
      </c>
      <c r="C1131" t="s">
        <v>5847</v>
      </c>
      <c r="E1131" t="s">
        <v>1789</v>
      </c>
      <c r="F1131" t="s">
        <v>1790</v>
      </c>
      <c r="G1131" t="s">
        <v>635</v>
      </c>
      <c r="H1131" s="6">
        <v>381.15</v>
      </c>
      <c r="I1131" t="s">
        <v>1791</v>
      </c>
      <c r="L1131" s="8" t="s">
        <v>5848</v>
      </c>
    </row>
    <row r="1132" spans="1:12" x14ac:dyDescent="0.3">
      <c r="A1132" t="s">
        <v>5849</v>
      </c>
      <c r="B1132" t="s">
        <v>1206</v>
      </c>
      <c r="C1132" t="s">
        <v>5850</v>
      </c>
      <c r="E1132" t="s">
        <v>1789</v>
      </c>
      <c r="F1132" t="s">
        <v>1790</v>
      </c>
      <c r="G1132" t="s">
        <v>635</v>
      </c>
      <c r="H1132" s="6">
        <v>306.60000000000002</v>
      </c>
      <c r="I1132" t="s">
        <v>1791</v>
      </c>
      <c r="L1132" s="8" t="s">
        <v>5851</v>
      </c>
    </row>
    <row r="1133" spans="1:12" x14ac:dyDescent="0.3">
      <c r="A1133" t="s">
        <v>5852</v>
      </c>
      <c r="B1133" t="s">
        <v>1206</v>
      </c>
      <c r="C1133" t="s">
        <v>5853</v>
      </c>
      <c r="E1133" t="s">
        <v>1799</v>
      </c>
      <c r="F1133" t="s">
        <v>1800</v>
      </c>
      <c r="G1133" t="s">
        <v>635</v>
      </c>
      <c r="H1133" s="6">
        <v>328.65</v>
      </c>
      <c r="I1133" t="s">
        <v>1791</v>
      </c>
      <c r="L1133" s="8" t="s">
        <v>5854</v>
      </c>
    </row>
    <row r="1134" spans="1:12" x14ac:dyDescent="0.3">
      <c r="A1134" t="s">
        <v>5855</v>
      </c>
      <c r="B1134" t="s">
        <v>1206</v>
      </c>
      <c r="C1134" t="s">
        <v>5856</v>
      </c>
      <c r="E1134" t="s">
        <v>1799</v>
      </c>
      <c r="F1134" t="s">
        <v>1800</v>
      </c>
      <c r="G1134" t="s">
        <v>635</v>
      </c>
      <c r="H1134" s="6">
        <v>447.3</v>
      </c>
      <c r="I1134" t="s">
        <v>1791</v>
      </c>
      <c r="L1134" s="8" t="s">
        <v>5857</v>
      </c>
    </row>
    <row r="1135" spans="1:12" x14ac:dyDescent="0.3">
      <c r="A1135" t="s">
        <v>5858</v>
      </c>
      <c r="B1135" t="s">
        <v>1206</v>
      </c>
      <c r="C1135" t="s">
        <v>5859</v>
      </c>
      <c r="E1135" t="s">
        <v>1789</v>
      </c>
      <c r="F1135" t="s">
        <v>1790</v>
      </c>
      <c r="G1135" t="s">
        <v>635</v>
      </c>
      <c r="H1135" s="6">
        <v>583.79999999999995</v>
      </c>
      <c r="I1135" t="s">
        <v>1791</v>
      </c>
      <c r="L1135" s="8" t="s">
        <v>5860</v>
      </c>
    </row>
    <row r="1136" spans="1:12" x14ac:dyDescent="0.3">
      <c r="A1136" t="s">
        <v>5861</v>
      </c>
      <c r="B1136" t="s">
        <v>1206</v>
      </c>
      <c r="C1136" t="s">
        <v>5862</v>
      </c>
      <c r="E1136" t="s">
        <v>1789</v>
      </c>
      <c r="F1136" t="s">
        <v>1790</v>
      </c>
      <c r="G1136" t="s">
        <v>635</v>
      </c>
      <c r="H1136" s="6">
        <v>501.9</v>
      </c>
      <c r="I1136" t="s">
        <v>1791</v>
      </c>
      <c r="L1136" s="8" t="s">
        <v>5863</v>
      </c>
    </row>
    <row r="1137" spans="1:12" x14ac:dyDescent="0.3">
      <c r="A1137" t="s">
        <v>5864</v>
      </c>
      <c r="B1137" t="s">
        <v>1206</v>
      </c>
      <c r="C1137" t="s">
        <v>5865</v>
      </c>
      <c r="E1137" t="s">
        <v>1799</v>
      </c>
      <c r="F1137" t="s">
        <v>1800</v>
      </c>
      <c r="G1137" t="s">
        <v>635</v>
      </c>
      <c r="H1137" s="6">
        <v>522.9</v>
      </c>
      <c r="I1137" t="s">
        <v>1791</v>
      </c>
      <c r="L1137" s="8" t="s">
        <v>5866</v>
      </c>
    </row>
    <row r="1138" spans="1:12" x14ac:dyDescent="0.3">
      <c r="A1138" t="s">
        <v>5867</v>
      </c>
      <c r="B1138" t="s">
        <v>1206</v>
      </c>
      <c r="C1138" t="s">
        <v>5868</v>
      </c>
      <c r="E1138" t="s">
        <v>1799</v>
      </c>
      <c r="F1138" t="s">
        <v>1800</v>
      </c>
      <c r="G1138" t="s">
        <v>635</v>
      </c>
      <c r="H1138" s="6">
        <v>743.4</v>
      </c>
      <c r="I1138" t="s">
        <v>1791</v>
      </c>
      <c r="L1138" s="8" t="s">
        <v>5869</v>
      </c>
    </row>
    <row r="1139" spans="1:12" x14ac:dyDescent="0.3">
      <c r="A1139" t="s">
        <v>5870</v>
      </c>
      <c r="B1139" t="s">
        <v>1206</v>
      </c>
      <c r="C1139" t="s">
        <v>5871</v>
      </c>
      <c r="E1139" t="s">
        <v>1789</v>
      </c>
      <c r="F1139" t="s">
        <v>1790</v>
      </c>
      <c r="G1139" t="s">
        <v>635</v>
      </c>
      <c r="H1139" s="6">
        <v>730.8</v>
      </c>
      <c r="I1139" t="s">
        <v>1791</v>
      </c>
      <c r="L1139" s="8" t="s">
        <v>5872</v>
      </c>
    </row>
    <row r="1140" spans="1:12" x14ac:dyDescent="0.3">
      <c r="A1140" t="s">
        <v>5873</v>
      </c>
      <c r="B1140" t="s">
        <v>1206</v>
      </c>
      <c r="C1140" t="s">
        <v>5874</v>
      </c>
      <c r="E1140" t="s">
        <v>1789</v>
      </c>
      <c r="F1140" t="s">
        <v>1790</v>
      </c>
      <c r="G1140" t="s">
        <v>635</v>
      </c>
      <c r="H1140" s="6">
        <v>1428</v>
      </c>
      <c r="I1140" t="s">
        <v>1791</v>
      </c>
      <c r="L1140" s="8" t="s">
        <v>5875</v>
      </c>
    </row>
    <row r="1141" spans="1:12" x14ac:dyDescent="0.3">
      <c r="A1141" t="s">
        <v>5876</v>
      </c>
      <c r="B1141" t="s">
        <v>1206</v>
      </c>
      <c r="C1141" t="s">
        <v>5877</v>
      </c>
      <c r="E1141" t="s">
        <v>1789</v>
      </c>
      <c r="F1141" t="s">
        <v>1790</v>
      </c>
      <c r="G1141" t="s">
        <v>635</v>
      </c>
      <c r="H1141" s="6">
        <v>666.75</v>
      </c>
      <c r="I1141" t="s">
        <v>1791</v>
      </c>
      <c r="L1141" s="8" t="s">
        <v>5878</v>
      </c>
    </row>
    <row r="1142" spans="1:12" x14ac:dyDescent="0.3">
      <c r="A1142" t="s">
        <v>5879</v>
      </c>
      <c r="B1142" t="s">
        <v>1206</v>
      </c>
      <c r="C1142" t="s">
        <v>5880</v>
      </c>
      <c r="E1142" t="s">
        <v>1799</v>
      </c>
      <c r="F1142" t="s">
        <v>1800</v>
      </c>
      <c r="G1142" t="s">
        <v>635</v>
      </c>
      <c r="H1142" s="6">
        <v>701.4</v>
      </c>
      <c r="I1142" t="s">
        <v>1791</v>
      </c>
      <c r="L1142" s="8" t="s">
        <v>5881</v>
      </c>
    </row>
    <row r="1143" spans="1:12" x14ac:dyDescent="0.3">
      <c r="A1143" t="s">
        <v>5882</v>
      </c>
      <c r="B1143" t="s">
        <v>1206</v>
      </c>
      <c r="C1143" t="s">
        <v>5883</v>
      </c>
      <c r="E1143" t="s">
        <v>1799</v>
      </c>
      <c r="F1143" t="s">
        <v>1800</v>
      </c>
      <c r="G1143" t="s">
        <v>635</v>
      </c>
      <c r="H1143" s="6">
        <v>903</v>
      </c>
      <c r="I1143" t="s">
        <v>1791</v>
      </c>
      <c r="L1143" s="8" t="s">
        <v>5884</v>
      </c>
    </row>
    <row r="1144" spans="1:12" x14ac:dyDescent="0.3">
      <c r="A1144" t="s">
        <v>5885</v>
      </c>
      <c r="B1144" t="s">
        <v>1206</v>
      </c>
      <c r="C1144" t="s">
        <v>5886</v>
      </c>
      <c r="E1144" t="s">
        <v>1789</v>
      </c>
      <c r="F1144" t="s">
        <v>1790</v>
      </c>
      <c r="G1144" t="s">
        <v>635</v>
      </c>
      <c r="H1144" s="6">
        <v>306.60000000000002</v>
      </c>
      <c r="I1144" t="s">
        <v>1791</v>
      </c>
      <c r="L1144" s="8" t="s">
        <v>5887</v>
      </c>
    </row>
    <row r="1145" spans="1:12" x14ac:dyDescent="0.3">
      <c r="A1145" t="s">
        <v>5888</v>
      </c>
      <c r="B1145" t="s">
        <v>1206</v>
      </c>
      <c r="C1145" t="s">
        <v>5889</v>
      </c>
      <c r="E1145" t="s">
        <v>1789</v>
      </c>
      <c r="F1145" t="s">
        <v>1790</v>
      </c>
      <c r="G1145" t="s">
        <v>635</v>
      </c>
      <c r="H1145" s="6">
        <v>219.45</v>
      </c>
      <c r="I1145" t="s">
        <v>1791</v>
      </c>
      <c r="L1145" s="8" t="s">
        <v>5890</v>
      </c>
    </row>
    <row r="1146" spans="1:12" x14ac:dyDescent="0.3">
      <c r="A1146" t="s">
        <v>5891</v>
      </c>
      <c r="B1146" t="s">
        <v>1206</v>
      </c>
      <c r="C1146" t="s">
        <v>5892</v>
      </c>
      <c r="E1146" t="s">
        <v>1799</v>
      </c>
      <c r="F1146" t="s">
        <v>1800</v>
      </c>
      <c r="G1146" t="s">
        <v>635</v>
      </c>
      <c r="H1146" s="6">
        <v>239.4</v>
      </c>
      <c r="I1146" t="s">
        <v>1791</v>
      </c>
      <c r="L1146" s="8" t="s">
        <v>5893</v>
      </c>
    </row>
    <row r="1147" spans="1:12" x14ac:dyDescent="0.3">
      <c r="A1147" t="s">
        <v>5894</v>
      </c>
      <c r="B1147" t="s">
        <v>1206</v>
      </c>
      <c r="C1147" t="s">
        <v>5895</v>
      </c>
      <c r="E1147" t="s">
        <v>1799</v>
      </c>
      <c r="F1147" t="s">
        <v>1800</v>
      </c>
      <c r="G1147" t="s">
        <v>635</v>
      </c>
      <c r="H1147" s="6">
        <v>343.35</v>
      </c>
      <c r="I1147" t="s">
        <v>1791</v>
      </c>
      <c r="L1147" s="8" t="s">
        <v>5896</v>
      </c>
    </row>
    <row r="1148" spans="1:12" x14ac:dyDescent="0.3">
      <c r="A1148" t="s">
        <v>5897</v>
      </c>
      <c r="B1148" t="s">
        <v>1206</v>
      </c>
      <c r="C1148" t="s">
        <v>5898</v>
      </c>
      <c r="E1148" t="s">
        <v>1789</v>
      </c>
      <c r="F1148" t="s">
        <v>1790</v>
      </c>
      <c r="G1148" t="s">
        <v>635</v>
      </c>
      <c r="H1148" s="6">
        <v>331.8</v>
      </c>
      <c r="I1148" t="s">
        <v>1791</v>
      </c>
      <c r="L1148" s="8" t="s">
        <v>5899</v>
      </c>
    </row>
    <row r="1149" spans="1:12" x14ac:dyDescent="0.3">
      <c r="A1149" t="s">
        <v>5900</v>
      </c>
      <c r="B1149" t="s">
        <v>1206</v>
      </c>
      <c r="C1149" t="s">
        <v>5901</v>
      </c>
      <c r="E1149" t="s">
        <v>1789</v>
      </c>
      <c r="F1149" t="s">
        <v>1790</v>
      </c>
      <c r="G1149" t="s">
        <v>635</v>
      </c>
      <c r="H1149" s="6">
        <v>242.55</v>
      </c>
      <c r="I1149" t="s">
        <v>1791</v>
      </c>
      <c r="L1149" s="8" t="s">
        <v>5902</v>
      </c>
    </row>
    <row r="1150" spans="1:12" x14ac:dyDescent="0.3">
      <c r="A1150" t="s">
        <v>5903</v>
      </c>
      <c r="B1150" t="s">
        <v>1206</v>
      </c>
      <c r="C1150" t="s">
        <v>5904</v>
      </c>
      <c r="E1150" t="s">
        <v>1799</v>
      </c>
      <c r="F1150" t="s">
        <v>1800</v>
      </c>
      <c r="G1150" t="s">
        <v>635</v>
      </c>
      <c r="H1150" s="6">
        <v>266.7</v>
      </c>
      <c r="I1150" t="s">
        <v>1791</v>
      </c>
      <c r="L1150" s="8" t="s">
        <v>5905</v>
      </c>
    </row>
    <row r="1151" spans="1:12" x14ac:dyDescent="0.3">
      <c r="A1151" t="s">
        <v>5906</v>
      </c>
      <c r="B1151" t="s">
        <v>1206</v>
      </c>
      <c r="C1151" t="s">
        <v>5907</v>
      </c>
      <c r="E1151" t="s">
        <v>1799</v>
      </c>
      <c r="F1151" t="s">
        <v>1800</v>
      </c>
      <c r="G1151" t="s">
        <v>635</v>
      </c>
      <c r="H1151" s="6">
        <v>362.25</v>
      </c>
      <c r="I1151" t="s">
        <v>1791</v>
      </c>
      <c r="L1151" s="8" t="s">
        <v>5908</v>
      </c>
    </row>
    <row r="1152" spans="1:12" x14ac:dyDescent="0.3">
      <c r="A1152" t="s">
        <v>5909</v>
      </c>
      <c r="B1152" t="s">
        <v>506</v>
      </c>
      <c r="C1152" t="s">
        <v>5910</v>
      </c>
      <c r="F1152" t="s">
        <v>3284</v>
      </c>
      <c r="G1152" t="s">
        <v>52</v>
      </c>
      <c r="H1152" s="6">
        <v>1524</v>
      </c>
      <c r="I1152" t="s">
        <v>3026</v>
      </c>
      <c r="L1152" s="8" t="s">
        <v>5911</v>
      </c>
    </row>
    <row r="1153" spans="1:12" x14ac:dyDescent="0.3">
      <c r="A1153" t="s">
        <v>5912</v>
      </c>
      <c r="B1153" t="s">
        <v>506</v>
      </c>
      <c r="C1153" t="s">
        <v>5913</v>
      </c>
      <c r="D1153" t="s">
        <v>5914</v>
      </c>
      <c r="F1153" t="s">
        <v>3284</v>
      </c>
      <c r="G1153" t="s">
        <v>52</v>
      </c>
      <c r="H1153" s="6">
        <v>1054</v>
      </c>
      <c r="I1153" t="s">
        <v>3026</v>
      </c>
      <c r="L1153" s="8" t="s">
        <v>5915</v>
      </c>
    </row>
    <row r="1154" spans="1:12" x14ac:dyDescent="0.3">
      <c r="A1154" t="s">
        <v>5916</v>
      </c>
      <c r="B1154" t="s">
        <v>506</v>
      </c>
      <c r="C1154" t="s">
        <v>5917</v>
      </c>
      <c r="D1154" t="s">
        <v>5918</v>
      </c>
      <c r="F1154" t="s">
        <v>3284</v>
      </c>
      <c r="G1154" t="s">
        <v>52</v>
      </c>
      <c r="H1154" s="6">
        <v>994</v>
      </c>
      <c r="I1154" t="s">
        <v>3026</v>
      </c>
      <c r="L1154" s="8" t="s">
        <v>5919</v>
      </c>
    </row>
    <row r="1155" spans="1:12" x14ac:dyDescent="0.3">
      <c r="A1155" t="s">
        <v>5920</v>
      </c>
      <c r="B1155" t="s">
        <v>978</v>
      </c>
      <c r="C1155" t="s">
        <v>5921</v>
      </c>
      <c r="D1155" t="s">
        <v>5922</v>
      </c>
      <c r="E1155" t="s">
        <v>5923</v>
      </c>
      <c r="F1155" t="s">
        <v>5924</v>
      </c>
      <c r="G1155" t="s">
        <v>635</v>
      </c>
      <c r="H1155" s="6">
        <v>4515</v>
      </c>
      <c r="I1155" t="s">
        <v>3026</v>
      </c>
      <c r="L1155" s="8" t="s">
        <v>5925</v>
      </c>
    </row>
    <row r="1156" spans="1:12" x14ac:dyDescent="0.3">
      <c r="A1156" t="s">
        <v>5926</v>
      </c>
      <c r="B1156" t="s">
        <v>978</v>
      </c>
      <c r="C1156" t="s">
        <v>5927</v>
      </c>
      <c r="D1156" t="s">
        <v>5928</v>
      </c>
      <c r="E1156" t="s">
        <v>5929</v>
      </c>
      <c r="F1156" t="s">
        <v>5924</v>
      </c>
      <c r="G1156" t="s">
        <v>635</v>
      </c>
      <c r="H1156" s="6">
        <v>8284.5</v>
      </c>
      <c r="I1156" t="s">
        <v>3026</v>
      </c>
      <c r="L1156" s="8" t="s">
        <v>5930</v>
      </c>
    </row>
    <row r="1157" spans="1:12" x14ac:dyDescent="0.3">
      <c r="A1157" t="s">
        <v>5931</v>
      </c>
      <c r="B1157" t="s">
        <v>978</v>
      </c>
      <c r="C1157" t="s">
        <v>5932</v>
      </c>
      <c r="D1157" t="s">
        <v>5933</v>
      </c>
      <c r="E1157" t="s">
        <v>5923</v>
      </c>
      <c r="F1157" t="s">
        <v>5924</v>
      </c>
      <c r="G1157" t="s">
        <v>635</v>
      </c>
      <c r="H1157" s="6">
        <v>13860</v>
      </c>
      <c r="I1157" t="s">
        <v>3026</v>
      </c>
      <c r="L1157" s="8" t="s">
        <v>5934</v>
      </c>
    </row>
    <row r="1158" spans="1:12" x14ac:dyDescent="0.3">
      <c r="A1158" t="s">
        <v>5935</v>
      </c>
      <c r="B1158" t="s">
        <v>978</v>
      </c>
      <c r="C1158" t="s">
        <v>5936</v>
      </c>
      <c r="D1158" t="s">
        <v>5937</v>
      </c>
      <c r="E1158" t="s">
        <v>5938</v>
      </c>
      <c r="F1158" t="s">
        <v>5924</v>
      </c>
      <c r="G1158" t="s">
        <v>635</v>
      </c>
      <c r="H1158" s="6">
        <v>1029</v>
      </c>
      <c r="I1158" t="s">
        <v>3026</v>
      </c>
      <c r="L1158" s="8" t="s">
        <v>5939</v>
      </c>
    </row>
    <row r="1159" spans="1:12" x14ac:dyDescent="0.3">
      <c r="A1159" t="s">
        <v>5940</v>
      </c>
      <c r="B1159" t="s">
        <v>978</v>
      </c>
      <c r="C1159" t="s">
        <v>5941</v>
      </c>
      <c r="D1159" t="s">
        <v>5942</v>
      </c>
      <c r="E1159" t="s">
        <v>5943</v>
      </c>
      <c r="F1159" t="s">
        <v>5924</v>
      </c>
      <c r="G1159" t="s">
        <v>635</v>
      </c>
      <c r="H1159" s="6">
        <v>17566.5</v>
      </c>
      <c r="I1159" t="s">
        <v>3026</v>
      </c>
      <c r="L1159" s="8" t="s">
        <v>5944</v>
      </c>
    </row>
    <row r="1160" spans="1:12" x14ac:dyDescent="0.3">
      <c r="A1160" t="s">
        <v>5945</v>
      </c>
      <c r="B1160" t="s">
        <v>978</v>
      </c>
      <c r="C1160" t="s">
        <v>5946</v>
      </c>
      <c r="D1160" t="s">
        <v>5947</v>
      </c>
      <c r="E1160" t="s">
        <v>5923</v>
      </c>
      <c r="F1160" t="s">
        <v>5924</v>
      </c>
      <c r="G1160" t="s">
        <v>635</v>
      </c>
      <c r="H1160" s="6">
        <v>1911</v>
      </c>
      <c r="I1160" t="s">
        <v>3026</v>
      </c>
      <c r="L1160" s="8" t="s">
        <v>5948</v>
      </c>
    </row>
    <row r="1161" spans="1:12" x14ac:dyDescent="0.3">
      <c r="A1161" t="s">
        <v>5949</v>
      </c>
      <c r="B1161" t="s">
        <v>978</v>
      </c>
      <c r="C1161" t="s">
        <v>5950</v>
      </c>
      <c r="D1161" t="s">
        <v>5951</v>
      </c>
      <c r="E1161" t="s">
        <v>5952</v>
      </c>
      <c r="F1161" t="s">
        <v>5924</v>
      </c>
      <c r="G1161" t="s">
        <v>635</v>
      </c>
      <c r="H1161" s="6">
        <v>27615</v>
      </c>
      <c r="I1161" t="s">
        <v>3026</v>
      </c>
      <c r="L1161" s="8" t="s">
        <v>5953</v>
      </c>
    </row>
    <row r="1162" spans="1:12" x14ac:dyDescent="0.3">
      <c r="A1162" t="s">
        <v>5954</v>
      </c>
      <c r="B1162" t="s">
        <v>978</v>
      </c>
      <c r="C1162" t="s">
        <v>5955</v>
      </c>
      <c r="D1162" t="s">
        <v>5956</v>
      </c>
      <c r="E1162" t="s">
        <v>5957</v>
      </c>
      <c r="F1162" t="s">
        <v>5924</v>
      </c>
      <c r="G1162" t="s">
        <v>635</v>
      </c>
      <c r="H1162" s="6">
        <v>12096</v>
      </c>
      <c r="I1162" t="s">
        <v>3026</v>
      </c>
      <c r="L1162" s="8" t="s">
        <v>5958</v>
      </c>
    </row>
    <row r="1163" spans="1:12" x14ac:dyDescent="0.3">
      <c r="A1163" t="s">
        <v>5959</v>
      </c>
      <c r="B1163" t="s">
        <v>978</v>
      </c>
      <c r="C1163" t="s">
        <v>5960</v>
      </c>
      <c r="D1163" t="s">
        <v>5961</v>
      </c>
      <c r="E1163" t="s">
        <v>5962</v>
      </c>
      <c r="F1163" t="s">
        <v>5924</v>
      </c>
      <c r="G1163" t="s">
        <v>635</v>
      </c>
      <c r="H1163" s="6">
        <v>9345</v>
      </c>
      <c r="I1163" t="s">
        <v>3026</v>
      </c>
      <c r="L1163" s="8" t="s">
        <v>5963</v>
      </c>
    </row>
    <row r="1164" spans="1:12" x14ac:dyDescent="0.3">
      <c r="A1164" t="s">
        <v>5964</v>
      </c>
      <c r="B1164" t="s">
        <v>978</v>
      </c>
      <c r="C1164" t="s">
        <v>5965</v>
      </c>
      <c r="D1164" t="s">
        <v>5966</v>
      </c>
      <c r="E1164" t="s">
        <v>5966</v>
      </c>
      <c r="F1164" t="s">
        <v>5924</v>
      </c>
      <c r="G1164" t="s">
        <v>635</v>
      </c>
      <c r="H1164" s="6">
        <v>22963.5</v>
      </c>
      <c r="I1164" t="s">
        <v>3026</v>
      </c>
      <c r="L1164" s="8" t="s">
        <v>5967</v>
      </c>
    </row>
    <row r="1165" spans="1:12" x14ac:dyDescent="0.3">
      <c r="A1165" t="s">
        <v>5968</v>
      </c>
      <c r="B1165" t="s">
        <v>978</v>
      </c>
      <c r="C1165" t="s">
        <v>5969</v>
      </c>
      <c r="D1165" t="s">
        <v>5970</v>
      </c>
      <c r="E1165" t="s">
        <v>5971</v>
      </c>
      <c r="F1165" t="s">
        <v>5924</v>
      </c>
      <c r="G1165" t="s">
        <v>635</v>
      </c>
      <c r="H1165" s="6">
        <v>4357.5</v>
      </c>
      <c r="I1165" t="s">
        <v>3026</v>
      </c>
      <c r="L1165" s="8" t="s">
        <v>5972</v>
      </c>
    </row>
    <row r="1166" spans="1:12" x14ac:dyDescent="0.3">
      <c r="A1166" t="s">
        <v>5973</v>
      </c>
      <c r="B1166" t="s">
        <v>978</v>
      </c>
      <c r="C1166" t="s">
        <v>5974</v>
      </c>
      <c r="D1166" t="s">
        <v>5975</v>
      </c>
      <c r="E1166" t="s">
        <v>5976</v>
      </c>
      <c r="F1166" t="s">
        <v>5924</v>
      </c>
      <c r="G1166" t="s">
        <v>635</v>
      </c>
      <c r="H1166" s="6">
        <v>10909.5</v>
      </c>
      <c r="I1166" t="s">
        <v>3026</v>
      </c>
      <c r="L1166" s="8" t="s">
        <v>5977</v>
      </c>
    </row>
    <row r="1167" spans="1:12" x14ac:dyDescent="0.3">
      <c r="A1167" t="s">
        <v>5978</v>
      </c>
      <c r="B1167" t="s">
        <v>978</v>
      </c>
      <c r="C1167" t="s">
        <v>5979</v>
      </c>
      <c r="D1167" t="s">
        <v>5980</v>
      </c>
      <c r="E1167" t="s">
        <v>5981</v>
      </c>
      <c r="F1167" t="s">
        <v>5924</v>
      </c>
      <c r="G1167" t="s">
        <v>635</v>
      </c>
      <c r="H1167" s="6">
        <v>7245</v>
      </c>
      <c r="I1167" t="s">
        <v>3026</v>
      </c>
      <c r="L1167" s="8" t="s">
        <v>5982</v>
      </c>
    </row>
    <row r="1168" spans="1:12" x14ac:dyDescent="0.3">
      <c r="A1168" t="s">
        <v>5983</v>
      </c>
      <c r="B1168" t="s">
        <v>985</v>
      </c>
      <c r="C1168" t="s">
        <v>5984</v>
      </c>
      <c r="D1168" t="s">
        <v>5985</v>
      </c>
      <c r="E1168" t="s">
        <v>5971</v>
      </c>
      <c r="F1168" t="s">
        <v>5924</v>
      </c>
      <c r="G1168" t="s">
        <v>635</v>
      </c>
      <c r="H1168" s="6">
        <v>20580</v>
      </c>
      <c r="I1168" t="s">
        <v>3026</v>
      </c>
      <c r="L1168" s="8" t="s">
        <v>5986</v>
      </c>
    </row>
    <row r="1169" spans="1:12" x14ac:dyDescent="0.3">
      <c r="A1169" t="s">
        <v>5987</v>
      </c>
      <c r="B1169" t="s">
        <v>985</v>
      </c>
      <c r="C1169" t="s">
        <v>5988</v>
      </c>
      <c r="D1169" t="s">
        <v>5989</v>
      </c>
      <c r="E1169" t="s">
        <v>5938</v>
      </c>
      <c r="F1169" t="s">
        <v>5924</v>
      </c>
      <c r="G1169" t="s">
        <v>635</v>
      </c>
      <c r="H1169" s="6">
        <v>1354.5</v>
      </c>
      <c r="I1169" t="s">
        <v>3026</v>
      </c>
      <c r="L1169" s="8" t="s">
        <v>5990</v>
      </c>
    </row>
    <row r="1170" spans="1:12" x14ac:dyDescent="0.3">
      <c r="A1170" t="s">
        <v>5991</v>
      </c>
      <c r="B1170" t="s">
        <v>985</v>
      </c>
      <c r="C1170" t="s">
        <v>5992</v>
      </c>
      <c r="D1170" t="s">
        <v>5993</v>
      </c>
      <c r="E1170" t="s">
        <v>5994</v>
      </c>
      <c r="F1170" t="s">
        <v>5924</v>
      </c>
      <c r="G1170" t="s">
        <v>635</v>
      </c>
      <c r="H1170" s="6">
        <v>27499.5</v>
      </c>
      <c r="I1170" t="s">
        <v>3026</v>
      </c>
      <c r="L1170" s="8" t="s">
        <v>5995</v>
      </c>
    </row>
    <row r="1171" spans="1:12" x14ac:dyDescent="0.3">
      <c r="A1171" t="s">
        <v>5996</v>
      </c>
      <c r="B1171" t="s">
        <v>985</v>
      </c>
      <c r="C1171" t="s">
        <v>5997</v>
      </c>
      <c r="D1171" t="s">
        <v>5998</v>
      </c>
      <c r="E1171" t="s">
        <v>5999</v>
      </c>
      <c r="F1171" t="s">
        <v>5924</v>
      </c>
      <c r="G1171" t="s">
        <v>635</v>
      </c>
      <c r="H1171" s="6">
        <v>3223.5</v>
      </c>
      <c r="I1171" t="s">
        <v>3026</v>
      </c>
      <c r="L1171" s="8" t="s">
        <v>6000</v>
      </c>
    </row>
    <row r="1172" spans="1:12" x14ac:dyDescent="0.3">
      <c r="A1172" t="s">
        <v>6001</v>
      </c>
      <c r="B1172" t="s">
        <v>985</v>
      </c>
      <c r="C1172" t="s">
        <v>6002</v>
      </c>
      <c r="D1172" t="s">
        <v>6003</v>
      </c>
      <c r="E1172" t="s">
        <v>6004</v>
      </c>
      <c r="F1172" t="s">
        <v>5924</v>
      </c>
      <c r="G1172" t="s">
        <v>635</v>
      </c>
      <c r="H1172" s="6">
        <v>430.5</v>
      </c>
      <c r="I1172" t="s">
        <v>3026</v>
      </c>
      <c r="L1172" s="8" t="s">
        <v>6005</v>
      </c>
    </row>
    <row r="1173" spans="1:12" x14ac:dyDescent="0.3">
      <c r="A1173" t="s">
        <v>6006</v>
      </c>
      <c r="B1173" t="s">
        <v>985</v>
      </c>
      <c r="C1173" t="s">
        <v>6007</v>
      </c>
      <c r="D1173" t="s">
        <v>6008</v>
      </c>
      <c r="E1173" t="s">
        <v>6009</v>
      </c>
      <c r="F1173" t="s">
        <v>5924</v>
      </c>
      <c r="G1173" t="s">
        <v>635</v>
      </c>
      <c r="H1173" s="6">
        <v>12117</v>
      </c>
      <c r="I1173" t="s">
        <v>3026</v>
      </c>
      <c r="L1173" s="8" t="s">
        <v>6010</v>
      </c>
    </row>
    <row r="1174" spans="1:12" x14ac:dyDescent="0.3">
      <c r="A1174" t="s">
        <v>6011</v>
      </c>
      <c r="B1174" t="s">
        <v>985</v>
      </c>
      <c r="C1174" t="s">
        <v>6012</v>
      </c>
      <c r="D1174" t="s">
        <v>6013</v>
      </c>
      <c r="E1174" t="s">
        <v>6014</v>
      </c>
      <c r="F1174" t="s">
        <v>5924</v>
      </c>
      <c r="G1174" t="s">
        <v>635</v>
      </c>
      <c r="H1174" s="6">
        <v>6195</v>
      </c>
      <c r="I1174" t="s">
        <v>3026</v>
      </c>
      <c r="L1174" s="8" t="s">
        <v>6015</v>
      </c>
    </row>
    <row r="1175" spans="1:12" x14ac:dyDescent="0.3">
      <c r="A1175" t="s">
        <v>6016</v>
      </c>
      <c r="B1175" t="s">
        <v>985</v>
      </c>
      <c r="C1175" t="s">
        <v>6017</v>
      </c>
      <c r="D1175" t="s">
        <v>6018</v>
      </c>
      <c r="E1175" t="s">
        <v>6019</v>
      </c>
      <c r="F1175" t="s">
        <v>5924</v>
      </c>
      <c r="G1175" t="s">
        <v>635</v>
      </c>
      <c r="H1175" s="6">
        <v>41958</v>
      </c>
      <c r="I1175" t="s">
        <v>3026</v>
      </c>
      <c r="L1175" s="8" t="s">
        <v>6020</v>
      </c>
    </row>
    <row r="1176" spans="1:12" x14ac:dyDescent="0.3">
      <c r="A1176" t="s">
        <v>6021</v>
      </c>
      <c r="B1176" t="s">
        <v>985</v>
      </c>
      <c r="C1176" t="s">
        <v>6022</v>
      </c>
      <c r="E1176" t="s">
        <v>6009</v>
      </c>
      <c r="F1176" t="s">
        <v>5924</v>
      </c>
      <c r="G1176" t="s">
        <v>635</v>
      </c>
      <c r="H1176" s="6">
        <v>11445</v>
      </c>
      <c r="I1176" t="s">
        <v>3026</v>
      </c>
      <c r="L1176" s="8" t="s">
        <v>6023</v>
      </c>
    </row>
    <row r="1177" spans="1:12" x14ac:dyDescent="0.3">
      <c r="A1177" t="s">
        <v>6024</v>
      </c>
      <c r="B1177" t="s">
        <v>985</v>
      </c>
      <c r="C1177" t="s">
        <v>6025</v>
      </c>
      <c r="D1177" t="s">
        <v>6026</v>
      </c>
      <c r="E1177" t="s">
        <v>6027</v>
      </c>
      <c r="F1177" t="s">
        <v>5924</v>
      </c>
      <c r="G1177" t="s">
        <v>635</v>
      </c>
      <c r="H1177" s="6">
        <v>15498</v>
      </c>
      <c r="I1177" t="s">
        <v>3026</v>
      </c>
      <c r="L1177" s="8" t="s">
        <v>6028</v>
      </c>
    </row>
    <row r="1178" spans="1:12" x14ac:dyDescent="0.3">
      <c r="A1178" t="s">
        <v>6029</v>
      </c>
      <c r="B1178" t="s">
        <v>985</v>
      </c>
      <c r="C1178" t="s">
        <v>6030</v>
      </c>
      <c r="D1178" t="s">
        <v>6031</v>
      </c>
      <c r="E1178" t="s">
        <v>5923</v>
      </c>
      <c r="F1178" t="s">
        <v>5924</v>
      </c>
      <c r="G1178" t="s">
        <v>635</v>
      </c>
      <c r="H1178" s="6">
        <v>32130</v>
      </c>
      <c r="I1178" t="s">
        <v>3026</v>
      </c>
      <c r="L1178" s="8" t="s">
        <v>6032</v>
      </c>
    </row>
    <row r="1179" spans="1:12" x14ac:dyDescent="0.3">
      <c r="A1179" t="s">
        <v>6033</v>
      </c>
      <c r="B1179" t="s">
        <v>985</v>
      </c>
      <c r="C1179" t="s">
        <v>6034</v>
      </c>
      <c r="D1179" t="s">
        <v>6035</v>
      </c>
      <c r="E1179" t="s">
        <v>5952</v>
      </c>
      <c r="F1179" t="s">
        <v>5924</v>
      </c>
      <c r="G1179" t="s">
        <v>635</v>
      </c>
      <c r="H1179" s="6">
        <v>12474</v>
      </c>
      <c r="I1179" t="s">
        <v>3026</v>
      </c>
      <c r="L1179" s="8" t="s">
        <v>6036</v>
      </c>
    </row>
    <row r="1180" spans="1:12" x14ac:dyDescent="0.3">
      <c r="A1180" t="s">
        <v>6037</v>
      </c>
      <c r="B1180" t="s">
        <v>985</v>
      </c>
      <c r="C1180" t="s">
        <v>6038</v>
      </c>
      <c r="D1180" t="s">
        <v>6039</v>
      </c>
      <c r="E1180" t="s">
        <v>5952</v>
      </c>
      <c r="F1180" t="s">
        <v>5924</v>
      </c>
      <c r="G1180" t="s">
        <v>635</v>
      </c>
      <c r="H1180" s="6">
        <v>13734</v>
      </c>
      <c r="I1180" t="s">
        <v>3026</v>
      </c>
      <c r="L1180" s="8" t="s">
        <v>6040</v>
      </c>
    </row>
    <row r="1181" spans="1:12" x14ac:dyDescent="0.3">
      <c r="A1181" t="s">
        <v>6041</v>
      </c>
      <c r="B1181" t="s">
        <v>975</v>
      </c>
      <c r="C1181" t="s">
        <v>6042</v>
      </c>
      <c r="D1181" t="s">
        <v>6043</v>
      </c>
      <c r="E1181" t="s">
        <v>6009</v>
      </c>
      <c r="F1181" t="s">
        <v>5924</v>
      </c>
      <c r="G1181" t="s">
        <v>635</v>
      </c>
      <c r="H1181" s="6">
        <v>23478</v>
      </c>
      <c r="I1181" t="s">
        <v>3026</v>
      </c>
      <c r="L1181" s="8" t="s">
        <v>6044</v>
      </c>
    </row>
    <row r="1182" spans="1:12" x14ac:dyDescent="0.3">
      <c r="A1182" t="s">
        <v>6045</v>
      </c>
      <c r="B1182" t="s">
        <v>975</v>
      </c>
      <c r="C1182" t="s">
        <v>6046</v>
      </c>
      <c r="D1182" t="s">
        <v>6047</v>
      </c>
      <c r="E1182" t="s">
        <v>6048</v>
      </c>
      <c r="F1182" t="s">
        <v>5924</v>
      </c>
      <c r="G1182" t="s">
        <v>635</v>
      </c>
      <c r="H1182" s="6">
        <v>29431.5</v>
      </c>
      <c r="I1182" t="s">
        <v>3026</v>
      </c>
      <c r="L1182" s="8" t="s">
        <v>6049</v>
      </c>
    </row>
    <row r="1183" spans="1:12" x14ac:dyDescent="0.3">
      <c r="A1183" t="s">
        <v>6050</v>
      </c>
      <c r="B1183" t="s">
        <v>975</v>
      </c>
      <c r="C1183" t="s">
        <v>6051</v>
      </c>
      <c r="D1183" t="s">
        <v>6052</v>
      </c>
      <c r="E1183" t="s">
        <v>6053</v>
      </c>
      <c r="F1183" t="s">
        <v>5924</v>
      </c>
      <c r="G1183" t="s">
        <v>635</v>
      </c>
      <c r="H1183" s="6">
        <v>15634.5</v>
      </c>
      <c r="I1183" t="s">
        <v>3026</v>
      </c>
      <c r="L1183" s="8" t="s">
        <v>6054</v>
      </c>
    </row>
    <row r="1184" spans="1:12" x14ac:dyDescent="0.3">
      <c r="A1184" t="s">
        <v>6055</v>
      </c>
      <c r="B1184" t="s">
        <v>975</v>
      </c>
      <c r="C1184" t="s">
        <v>6056</v>
      </c>
      <c r="D1184" t="s">
        <v>6057</v>
      </c>
      <c r="E1184" t="s">
        <v>6058</v>
      </c>
      <c r="F1184" t="s">
        <v>5924</v>
      </c>
      <c r="G1184" t="s">
        <v>635</v>
      </c>
      <c r="H1184" s="6">
        <v>13782.3</v>
      </c>
      <c r="I1184" t="s">
        <v>3026</v>
      </c>
      <c r="L1184" s="8" t="s">
        <v>6059</v>
      </c>
    </row>
    <row r="1185" spans="1:12" x14ac:dyDescent="0.3">
      <c r="A1185" t="s">
        <v>6060</v>
      </c>
      <c r="B1185" t="s">
        <v>975</v>
      </c>
      <c r="C1185" t="s">
        <v>6061</v>
      </c>
      <c r="E1185" t="s">
        <v>5971</v>
      </c>
      <c r="F1185" t="s">
        <v>5924</v>
      </c>
      <c r="G1185" t="s">
        <v>635</v>
      </c>
      <c r="H1185" s="6">
        <v>29568</v>
      </c>
      <c r="I1185" t="s">
        <v>3026</v>
      </c>
      <c r="L1185" s="8" t="s">
        <v>6062</v>
      </c>
    </row>
    <row r="1186" spans="1:12" x14ac:dyDescent="0.3">
      <c r="A1186" t="s">
        <v>6063</v>
      </c>
      <c r="B1186" t="s">
        <v>975</v>
      </c>
      <c r="C1186" t="s">
        <v>6064</v>
      </c>
      <c r="D1186" t="s">
        <v>6065</v>
      </c>
      <c r="E1186" t="s">
        <v>6058</v>
      </c>
      <c r="F1186" t="s">
        <v>5924</v>
      </c>
      <c r="G1186" t="s">
        <v>635</v>
      </c>
      <c r="H1186" s="6">
        <v>8326.5</v>
      </c>
      <c r="I1186" t="s">
        <v>3026</v>
      </c>
      <c r="L1186" s="8" t="s">
        <v>6066</v>
      </c>
    </row>
    <row r="1187" spans="1:12" x14ac:dyDescent="0.3">
      <c r="A1187" t="s">
        <v>6067</v>
      </c>
      <c r="B1187" t="s">
        <v>975</v>
      </c>
      <c r="C1187" t="s">
        <v>6068</v>
      </c>
      <c r="D1187" t="s">
        <v>6069</v>
      </c>
      <c r="F1187" t="s">
        <v>5924</v>
      </c>
      <c r="G1187" t="s">
        <v>635</v>
      </c>
      <c r="H1187" s="6">
        <v>20359.5</v>
      </c>
      <c r="I1187" t="s">
        <v>3026</v>
      </c>
      <c r="L1187" s="8" t="s">
        <v>6070</v>
      </c>
    </row>
    <row r="1188" spans="1:12" x14ac:dyDescent="0.3">
      <c r="A1188" t="s">
        <v>6071</v>
      </c>
      <c r="B1188" t="s">
        <v>975</v>
      </c>
      <c r="C1188" t="s">
        <v>6072</v>
      </c>
      <c r="D1188" t="s">
        <v>6073</v>
      </c>
      <c r="E1188" t="s">
        <v>5981</v>
      </c>
      <c r="F1188" t="s">
        <v>5924</v>
      </c>
      <c r="G1188" t="s">
        <v>635</v>
      </c>
      <c r="H1188" s="6">
        <v>12789</v>
      </c>
      <c r="I1188" t="s">
        <v>3026</v>
      </c>
      <c r="L1188" s="8" t="s">
        <v>6074</v>
      </c>
    </row>
    <row r="1189" spans="1:12" x14ac:dyDescent="0.3">
      <c r="A1189" t="s">
        <v>6075</v>
      </c>
      <c r="B1189" t="s">
        <v>478</v>
      </c>
      <c r="C1189" t="s">
        <v>6076</v>
      </c>
      <c r="F1189" t="s">
        <v>6077</v>
      </c>
      <c r="G1189" t="s">
        <v>635</v>
      </c>
      <c r="H1189" s="6">
        <v>1.1000000000000001</v>
      </c>
      <c r="I1189" t="s">
        <v>3026</v>
      </c>
      <c r="L1189" s="8" t="s">
        <v>6078</v>
      </c>
    </row>
    <row r="1190" spans="1:12" x14ac:dyDescent="0.3">
      <c r="A1190" t="s">
        <v>6079</v>
      </c>
      <c r="B1190" t="s">
        <v>478</v>
      </c>
      <c r="C1190" t="s">
        <v>6080</v>
      </c>
      <c r="F1190" t="s">
        <v>6077</v>
      </c>
      <c r="G1190" t="s">
        <v>635</v>
      </c>
      <c r="H1190" s="6">
        <v>7.9</v>
      </c>
      <c r="I1190" t="s">
        <v>3026</v>
      </c>
      <c r="L1190" s="8" t="s">
        <v>6081</v>
      </c>
    </row>
    <row r="1191" spans="1:12" x14ac:dyDescent="0.3">
      <c r="A1191" t="s">
        <v>6082</v>
      </c>
      <c r="B1191" t="s">
        <v>478</v>
      </c>
      <c r="C1191" t="s">
        <v>6083</v>
      </c>
      <c r="F1191" t="s">
        <v>6077</v>
      </c>
      <c r="G1191" t="s">
        <v>635</v>
      </c>
      <c r="H1191" s="6">
        <v>620</v>
      </c>
      <c r="I1191" t="s">
        <v>3026</v>
      </c>
      <c r="L1191" s="8" t="s">
        <v>6084</v>
      </c>
    </row>
    <row r="1192" spans="1:12" x14ac:dyDescent="0.3">
      <c r="A1192" t="s">
        <v>6085</v>
      </c>
      <c r="B1192" t="s">
        <v>478</v>
      </c>
      <c r="C1192" t="s">
        <v>6086</v>
      </c>
      <c r="F1192" t="s">
        <v>6077</v>
      </c>
      <c r="G1192" t="s">
        <v>635</v>
      </c>
      <c r="H1192" s="6">
        <v>2050</v>
      </c>
      <c r="I1192" t="s">
        <v>3026</v>
      </c>
      <c r="L1192" s="8" t="s">
        <v>6087</v>
      </c>
    </row>
    <row r="1193" spans="1:12" x14ac:dyDescent="0.3">
      <c r="A1193" t="s">
        <v>6088</v>
      </c>
      <c r="B1193" t="s">
        <v>478</v>
      </c>
      <c r="C1193" t="s">
        <v>6089</v>
      </c>
      <c r="F1193" t="s">
        <v>6077</v>
      </c>
      <c r="G1193" t="s">
        <v>635</v>
      </c>
      <c r="H1193" s="6">
        <v>1.75</v>
      </c>
      <c r="I1193" t="s">
        <v>3026</v>
      </c>
      <c r="L1193" s="8" t="s">
        <v>6090</v>
      </c>
    </row>
    <row r="1194" spans="1:12" x14ac:dyDescent="0.3">
      <c r="A1194" t="s">
        <v>6091</v>
      </c>
      <c r="B1194" t="s">
        <v>478</v>
      </c>
      <c r="C1194" t="s">
        <v>6092</v>
      </c>
      <c r="F1194" t="s">
        <v>6077</v>
      </c>
      <c r="G1194" t="s">
        <v>635</v>
      </c>
      <c r="H1194" s="6">
        <v>130</v>
      </c>
      <c r="I1194" t="s">
        <v>3026</v>
      </c>
      <c r="L1194" s="8" t="s">
        <v>6093</v>
      </c>
    </row>
    <row r="1195" spans="1:12" x14ac:dyDescent="0.3">
      <c r="A1195" t="s">
        <v>6094</v>
      </c>
      <c r="B1195" t="s">
        <v>478</v>
      </c>
      <c r="C1195" t="s">
        <v>6095</v>
      </c>
      <c r="F1195" t="s">
        <v>6077</v>
      </c>
      <c r="G1195" t="s">
        <v>635</v>
      </c>
      <c r="H1195" s="6">
        <v>828</v>
      </c>
      <c r="I1195" t="s">
        <v>3026</v>
      </c>
      <c r="L1195" s="8" t="s">
        <v>6096</v>
      </c>
    </row>
    <row r="1196" spans="1:12" x14ac:dyDescent="0.3">
      <c r="A1196" t="s">
        <v>6097</v>
      </c>
      <c r="B1196" t="s">
        <v>478</v>
      </c>
      <c r="C1196" t="s">
        <v>6098</v>
      </c>
      <c r="F1196" t="s">
        <v>6077</v>
      </c>
      <c r="G1196" t="s">
        <v>635</v>
      </c>
      <c r="H1196" s="6">
        <v>3650</v>
      </c>
      <c r="I1196" t="s">
        <v>3026</v>
      </c>
      <c r="L1196" s="8" t="s">
        <v>6099</v>
      </c>
    </row>
    <row r="1197" spans="1:12" x14ac:dyDescent="0.3">
      <c r="A1197" t="s">
        <v>6100</v>
      </c>
      <c r="B1197" t="s">
        <v>478</v>
      </c>
      <c r="C1197" t="s">
        <v>6101</v>
      </c>
      <c r="F1197" t="s">
        <v>6077</v>
      </c>
      <c r="G1197" t="s">
        <v>635</v>
      </c>
      <c r="H1197" s="6">
        <v>127.5</v>
      </c>
      <c r="I1197" t="s">
        <v>3026</v>
      </c>
      <c r="L1197" s="8" t="s">
        <v>6102</v>
      </c>
    </row>
    <row r="1198" spans="1:12" x14ac:dyDescent="0.3">
      <c r="A1198" t="s">
        <v>6103</v>
      </c>
      <c r="B1198" t="s">
        <v>1414</v>
      </c>
      <c r="C1198" t="s">
        <v>6104</v>
      </c>
      <c r="E1198" t="s">
        <v>6105</v>
      </c>
      <c r="F1198" t="s">
        <v>6106</v>
      </c>
      <c r="G1198" t="s">
        <v>114</v>
      </c>
      <c r="H1198" s="6">
        <v>532.30999999999995</v>
      </c>
      <c r="I1198" t="s">
        <v>3026</v>
      </c>
      <c r="L1198" s="8" t="s">
        <v>6107</v>
      </c>
    </row>
    <row r="1199" spans="1:12" x14ac:dyDescent="0.3">
      <c r="A1199" t="s">
        <v>6108</v>
      </c>
      <c r="B1199" t="s">
        <v>1414</v>
      </c>
      <c r="C1199" t="s">
        <v>6109</v>
      </c>
      <c r="E1199" t="s">
        <v>6105</v>
      </c>
      <c r="F1199" t="s">
        <v>6106</v>
      </c>
      <c r="G1199" t="s">
        <v>114</v>
      </c>
      <c r="H1199" s="6">
        <v>385.51</v>
      </c>
      <c r="I1199" t="s">
        <v>3026</v>
      </c>
      <c r="L1199" s="8" t="s">
        <v>6110</v>
      </c>
    </row>
    <row r="1200" spans="1:12" x14ac:dyDescent="0.3">
      <c r="A1200" t="s">
        <v>6111</v>
      </c>
      <c r="B1200" t="s">
        <v>1410</v>
      </c>
      <c r="C1200" t="s">
        <v>6112</v>
      </c>
      <c r="E1200" t="s">
        <v>6105</v>
      </c>
      <c r="F1200" t="s">
        <v>6106</v>
      </c>
      <c r="G1200" t="s">
        <v>114</v>
      </c>
      <c r="H1200" s="6">
        <v>4970.58</v>
      </c>
      <c r="I1200" t="s">
        <v>3026</v>
      </c>
      <c r="L1200" s="8" t="s">
        <v>6113</v>
      </c>
    </row>
    <row r="1201" spans="1:12" x14ac:dyDescent="0.3">
      <c r="A1201" t="s">
        <v>6114</v>
      </c>
      <c r="B1201" t="s">
        <v>1410</v>
      </c>
      <c r="C1201" t="s">
        <v>6115</v>
      </c>
      <c r="E1201" t="s">
        <v>6105</v>
      </c>
      <c r="F1201" t="s">
        <v>6106</v>
      </c>
      <c r="G1201" t="s">
        <v>114</v>
      </c>
      <c r="H1201" s="6">
        <v>44.05</v>
      </c>
      <c r="I1201" t="s">
        <v>3026</v>
      </c>
      <c r="L1201" s="8" t="s">
        <v>6116</v>
      </c>
    </row>
    <row r="1202" spans="1:12" x14ac:dyDescent="0.3">
      <c r="A1202" t="s">
        <v>6117</v>
      </c>
      <c r="B1202" t="s">
        <v>1410</v>
      </c>
      <c r="C1202" t="s">
        <v>6118</v>
      </c>
      <c r="E1202" t="s">
        <v>6105</v>
      </c>
      <c r="F1202" t="s">
        <v>6106</v>
      </c>
      <c r="G1202" t="s">
        <v>114</v>
      </c>
      <c r="H1202" s="6">
        <v>97.87</v>
      </c>
      <c r="I1202" t="s">
        <v>3026</v>
      </c>
      <c r="L1202" s="8" t="s">
        <v>6119</v>
      </c>
    </row>
    <row r="1203" spans="1:12" x14ac:dyDescent="0.3">
      <c r="A1203" t="s">
        <v>6120</v>
      </c>
      <c r="B1203" t="s">
        <v>1410</v>
      </c>
      <c r="C1203" t="s">
        <v>6121</v>
      </c>
      <c r="E1203" t="s">
        <v>6105</v>
      </c>
      <c r="F1203" t="s">
        <v>6106</v>
      </c>
      <c r="G1203" t="s">
        <v>114</v>
      </c>
      <c r="H1203" s="6">
        <v>127.24</v>
      </c>
      <c r="I1203" t="s">
        <v>3026</v>
      </c>
      <c r="L1203" s="8" t="s">
        <v>6122</v>
      </c>
    </row>
    <row r="1204" spans="1:12" x14ac:dyDescent="0.3">
      <c r="A1204" t="s">
        <v>6123</v>
      </c>
      <c r="B1204" t="s">
        <v>1410</v>
      </c>
      <c r="C1204" t="s">
        <v>6124</v>
      </c>
      <c r="E1204" t="s">
        <v>6105</v>
      </c>
      <c r="F1204" t="s">
        <v>6106</v>
      </c>
      <c r="G1204" t="s">
        <v>114</v>
      </c>
      <c r="H1204" s="6">
        <v>215.31</v>
      </c>
      <c r="I1204" t="s">
        <v>3026</v>
      </c>
      <c r="L1204" s="8" t="s">
        <v>6125</v>
      </c>
    </row>
    <row r="1205" spans="1:12" x14ac:dyDescent="0.3">
      <c r="A1205" t="s">
        <v>6126</v>
      </c>
      <c r="B1205" t="s">
        <v>1410</v>
      </c>
      <c r="C1205" t="s">
        <v>6127</v>
      </c>
      <c r="E1205" t="s">
        <v>6105</v>
      </c>
      <c r="F1205" t="s">
        <v>6106</v>
      </c>
      <c r="G1205" t="s">
        <v>114</v>
      </c>
      <c r="H1205" s="6">
        <v>205.52</v>
      </c>
      <c r="I1205" t="s">
        <v>3026</v>
      </c>
      <c r="L1205" s="8" t="s">
        <v>6128</v>
      </c>
    </row>
    <row r="1206" spans="1:12" x14ac:dyDescent="0.3">
      <c r="A1206" t="s">
        <v>6129</v>
      </c>
      <c r="B1206" t="s">
        <v>1410</v>
      </c>
      <c r="C1206" t="s">
        <v>6130</v>
      </c>
      <c r="E1206" t="s">
        <v>6105</v>
      </c>
      <c r="F1206" t="s">
        <v>6106</v>
      </c>
      <c r="G1206" t="s">
        <v>114</v>
      </c>
      <c r="H1206" s="6">
        <v>277.45</v>
      </c>
      <c r="I1206" t="s">
        <v>3026</v>
      </c>
      <c r="L1206" s="8" t="s">
        <v>6131</v>
      </c>
    </row>
    <row r="1207" spans="1:12" x14ac:dyDescent="0.3">
      <c r="A1207" t="s">
        <v>6132</v>
      </c>
      <c r="B1207" t="s">
        <v>1410</v>
      </c>
      <c r="C1207" t="s">
        <v>6133</v>
      </c>
      <c r="E1207" t="s">
        <v>6105</v>
      </c>
      <c r="F1207" t="s">
        <v>6106</v>
      </c>
      <c r="G1207" t="s">
        <v>114</v>
      </c>
      <c r="H1207" s="6">
        <v>375.74</v>
      </c>
      <c r="I1207" t="s">
        <v>3026</v>
      </c>
      <c r="L1207" s="8" t="s">
        <v>6134</v>
      </c>
    </row>
    <row r="1208" spans="1:12" x14ac:dyDescent="0.3">
      <c r="A1208" t="s">
        <v>6135</v>
      </c>
      <c r="B1208" t="s">
        <v>1410</v>
      </c>
      <c r="C1208" t="s">
        <v>6136</v>
      </c>
      <c r="E1208" t="s">
        <v>6105</v>
      </c>
      <c r="F1208" t="s">
        <v>6106</v>
      </c>
      <c r="G1208" t="s">
        <v>114</v>
      </c>
      <c r="H1208" s="6">
        <v>474.99</v>
      </c>
      <c r="I1208" t="s">
        <v>3026</v>
      </c>
      <c r="L1208" s="8" t="s">
        <v>6137</v>
      </c>
    </row>
    <row r="1209" spans="1:12" x14ac:dyDescent="0.3">
      <c r="A1209" t="s">
        <v>6138</v>
      </c>
      <c r="B1209" t="s">
        <v>1257</v>
      </c>
      <c r="C1209" t="s">
        <v>6139</v>
      </c>
      <c r="E1209" t="s">
        <v>6140</v>
      </c>
      <c r="F1209" t="s">
        <v>6141</v>
      </c>
      <c r="G1209" t="s">
        <v>114</v>
      </c>
      <c r="H1209" s="6">
        <v>187951.05</v>
      </c>
      <c r="I1209" t="s">
        <v>3026</v>
      </c>
      <c r="L1209" s="8" t="s">
        <v>6142</v>
      </c>
    </row>
    <row r="1210" spans="1:12" x14ac:dyDescent="0.3">
      <c r="A1210" t="s">
        <v>6143</v>
      </c>
      <c r="B1210" t="s">
        <v>1257</v>
      </c>
      <c r="C1210" t="s">
        <v>6144</v>
      </c>
      <c r="E1210" t="s">
        <v>6140</v>
      </c>
      <c r="F1210" t="s">
        <v>6141</v>
      </c>
      <c r="G1210" t="s">
        <v>114</v>
      </c>
      <c r="H1210" s="6">
        <v>124007.1</v>
      </c>
      <c r="I1210" t="s">
        <v>3026</v>
      </c>
      <c r="L1210" s="8" t="s">
        <v>6145</v>
      </c>
    </row>
    <row r="1211" spans="1:12" x14ac:dyDescent="0.3">
      <c r="A1211" t="s">
        <v>6146</v>
      </c>
      <c r="B1211" t="s">
        <v>1257</v>
      </c>
      <c r="C1211" t="s">
        <v>6147</v>
      </c>
      <c r="E1211" t="s">
        <v>6140</v>
      </c>
      <c r="F1211" t="s">
        <v>6141</v>
      </c>
      <c r="G1211" t="s">
        <v>114</v>
      </c>
      <c r="H1211" s="6">
        <v>311104.5</v>
      </c>
      <c r="I1211" t="s">
        <v>3026</v>
      </c>
      <c r="L1211" s="8" t="s">
        <v>6148</v>
      </c>
    </row>
    <row r="1212" spans="1:12" x14ac:dyDescent="0.3">
      <c r="A1212" t="s">
        <v>6149</v>
      </c>
      <c r="B1212" t="s">
        <v>1257</v>
      </c>
      <c r="C1212" t="s">
        <v>6150</v>
      </c>
      <c r="E1212" t="s">
        <v>6140</v>
      </c>
      <c r="F1212" t="s">
        <v>6141</v>
      </c>
      <c r="G1212" t="s">
        <v>114</v>
      </c>
      <c r="H1212" s="6">
        <v>22705.200000000001</v>
      </c>
      <c r="I1212" t="s">
        <v>3026</v>
      </c>
      <c r="L1212" s="8" t="s">
        <v>6151</v>
      </c>
    </row>
    <row r="1213" spans="1:12" x14ac:dyDescent="0.3">
      <c r="A1213" t="s">
        <v>6152</v>
      </c>
      <c r="B1213" t="s">
        <v>1257</v>
      </c>
      <c r="C1213" t="s">
        <v>6153</v>
      </c>
      <c r="E1213" t="s">
        <v>6140</v>
      </c>
      <c r="F1213" t="s">
        <v>6141</v>
      </c>
      <c r="G1213" t="s">
        <v>114</v>
      </c>
      <c r="H1213" s="6">
        <v>62745.9</v>
      </c>
      <c r="I1213" t="s">
        <v>3026</v>
      </c>
      <c r="L1213" s="8" t="s">
        <v>6154</v>
      </c>
    </row>
    <row r="1214" spans="1:12" x14ac:dyDescent="0.3">
      <c r="A1214" t="s">
        <v>6155</v>
      </c>
      <c r="B1214" t="s">
        <v>1257</v>
      </c>
      <c r="C1214" t="s">
        <v>6156</v>
      </c>
      <c r="E1214" t="s">
        <v>6140</v>
      </c>
      <c r="F1214" t="s">
        <v>6141</v>
      </c>
      <c r="G1214" t="s">
        <v>114</v>
      </c>
      <c r="H1214" s="6">
        <v>136832.85</v>
      </c>
      <c r="I1214" t="s">
        <v>3026</v>
      </c>
      <c r="L1214" s="8" t="s">
        <v>6157</v>
      </c>
    </row>
    <row r="1215" spans="1:12" x14ac:dyDescent="0.3">
      <c r="A1215" t="s">
        <v>6158</v>
      </c>
      <c r="B1215" t="s">
        <v>1257</v>
      </c>
      <c r="C1215" t="s">
        <v>6159</v>
      </c>
      <c r="E1215" t="s">
        <v>6140</v>
      </c>
      <c r="F1215" t="s">
        <v>6141</v>
      </c>
      <c r="G1215" t="s">
        <v>114</v>
      </c>
      <c r="H1215" s="6">
        <v>24994.2</v>
      </c>
      <c r="I1215" t="s">
        <v>3026</v>
      </c>
      <c r="L1215" s="8" t="s">
        <v>6160</v>
      </c>
    </row>
    <row r="1216" spans="1:12" x14ac:dyDescent="0.3">
      <c r="A1216" t="s">
        <v>6161</v>
      </c>
      <c r="B1216" t="s">
        <v>1257</v>
      </c>
      <c r="C1216" t="s">
        <v>6162</v>
      </c>
      <c r="E1216" t="s">
        <v>6140</v>
      </c>
      <c r="F1216" t="s">
        <v>6141</v>
      </c>
      <c r="G1216" t="s">
        <v>114</v>
      </c>
      <c r="H1216" s="6">
        <v>22568.7</v>
      </c>
      <c r="I1216" t="s">
        <v>3026</v>
      </c>
      <c r="L1216" s="8" t="s">
        <v>6163</v>
      </c>
    </row>
    <row r="1217" spans="1:12" x14ac:dyDescent="0.3">
      <c r="A1217" t="s">
        <v>6164</v>
      </c>
      <c r="B1217" t="s">
        <v>1257</v>
      </c>
      <c r="C1217" t="s">
        <v>6165</v>
      </c>
      <c r="E1217" t="s">
        <v>6140</v>
      </c>
      <c r="F1217" t="s">
        <v>6141</v>
      </c>
      <c r="G1217" t="s">
        <v>114</v>
      </c>
      <c r="H1217" s="6">
        <v>12020.4</v>
      </c>
      <c r="I1217" t="s">
        <v>3026</v>
      </c>
      <c r="L1217" s="8" t="s">
        <v>6166</v>
      </c>
    </row>
    <row r="1218" spans="1:12" x14ac:dyDescent="0.3">
      <c r="A1218" t="s">
        <v>6167</v>
      </c>
      <c r="B1218" t="s">
        <v>1257</v>
      </c>
      <c r="C1218" t="s">
        <v>6168</v>
      </c>
      <c r="E1218" t="s">
        <v>6140</v>
      </c>
      <c r="F1218" t="s">
        <v>6141</v>
      </c>
      <c r="G1218" t="s">
        <v>114</v>
      </c>
      <c r="H1218" s="6">
        <v>348886.65</v>
      </c>
      <c r="I1218" t="s">
        <v>3026</v>
      </c>
      <c r="L1218" s="8" t="s">
        <v>6169</v>
      </c>
    </row>
    <row r="1219" spans="1:12" x14ac:dyDescent="0.3">
      <c r="A1219" t="s">
        <v>6170</v>
      </c>
      <c r="B1219" t="s">
        <v>1257</v>
      </c>
      <c r="C1219" t="s">
        <v>6171</v>
      </c>
      <c r="E1219" t="s">
        <v>6140</v>
      </c>
      <c r="F1219" t="s">
        <v>6141</v>
      </c>
      <c r="G1219" t="s">
        <v>114</v>
      </c>
      <c r="H1219" s="6">
        <v>348616.8</v>
      </c>
      <c r="I1219" t="s">
        <v>3026</v>
      </c>
      <c r="L1219" s="8" t="s">
        <v>6172</v>
      </c>
    </row>
    <row r="1220" spans="1:12" x14ac:dyDescent="0.3">
      <c r="L1220" s="8" t="str">
        <f t="shared" ref="L1220:L1283" si="0">IF($A1220="","",$A1220&amp;" — "&amp;$C1220)</f>
        <v/>
      </c>
    </row>
    <row r="1221" spans="1:12" x14ac:dyDescent="0.3">
      <c r="L1221" s="8" t="str">
        <f t="shared" si="0"/>
        <v/>
      </c>
    </row>
    <row r="1222" spans="1:12" x14ac:dyDescent="0.3">
      <c r="L1222" s="8" t="str">
        <f t="shared" si="0"/>
        <v/>
      </c>
    </row>
    <row r="1223" spans="1:12" x14ac:dyDescent="0.3">
      <c r="L1223" s="8" t="str">
        <f t="shared" si="0"/>
        <v/>
      </c>
    </row>
    <row r="1224" spans="1:12" x14ac:dyDescent="0.3">
      <c r="L1224" s="8" t="str">
        <f t="shared" si="0"/>
        <v/>
      </c>
    </row>
    <row r="1225" spans="1:12" x14ac:dyDescent="0.3">
      <c r="L1225" s="8" t="str">
        <f t="shared" si="0"/>
        <v/>
      </c>
    </row>
    <row r="1226" spans="1:12" x14ac:dyDescent="0.3">
      <c r="L1226" s="8" t="str">
        <f t="shared" si="0"/>
        <v/>
      </c>
    </row>
    <row r="1227" spans="1:12" x14ac:dyDescent="0.3">
      <c r="L1227" s="8" t="str">
        <f t="shared" si="0"/>
        <v/>
      </c>
    </row>
    <row r="1228" spans="1:12" x14ac:dyDescent="0.3">
      <c r="L1228" s="8" t="str">
        <f t="shared" si="0"/>
        <v/>
      </c>
    </row>
    <row r="1229" spans="1:12" x14ac:dyDescent="0.3">
      <c r="L1229" s="8" t="str">
        <f t="shared" si="0"/>
        <v/>
      </c>
    </row>
    <row r="1230" spans="1:12" x14ac:dyDescent="0.3">
      <c r="L1230" s="8" t="str">
        <f t="shared" si="0"/>
        <v/>
      </c>
    </row>
    <row r="1231" spans="1:12" x14ac:dyDescent="0.3">
      <c r="L1231" s="8" t="str">
        <f t="shared" si="0"/>
        <v/>
      </c>
    </row>
    <row r="1232" spans="1:12" x14ac:dyDescent="0.3">
      <c r="L1232" s="8" t="str">
        <f t="shared" si="0"/>
        <v/>
      </c>
    </row>
    <row r="1233" spans="12:12" x14ac:dyDescent="0.3">
      <c r="L1233" s="8" t="str">
        <f t="shared" si="0"/>
        <v/>
      </c>
    </row>
    <row r="1234" spans="12:12" x14ac:dyDescent="0.3">
      <c r="L1234" s="8" t="str">
        <f t="shared" si="0"/>
        <v/>
      </c>
    </row>
    <row r="1235" spans="12:12" x14ac:dyDescent="0.3">
      <c r="L1235" s="8" t="str">
        <f t="shared" si="0"/>
        <v/>
      </c>
    </row>
    <row r="1236" spans="12:12" x14ac:dyDescent="0.3">
      <c r="L1236" s="8" t="str">
        <f t="shared" si="0"/>
        <v/>
      </c>
    </row>
    <row r="1237" spans="12:12" x14ac:dyDescent="0.3">
      <c r="L1237" s="8" t="str">
        <f t="shared" si="0"/>
        <v/>
      </c>
    </row>
    <row r="1238" spans="12:12" x14ac:dyDescent="0.3">
      <c r="L1238" s="8" t="str">
        <f t="shared" si="0"/>
        <v/>
      </c>
    </row>
    <row r="1239" spans="12:12" x14ac:dyDescent="0.3">
      <c r="L1239" s="8" t="str">
        <f t="shared" si="0"/>
        <v/>
      </c>
    </row>
    <row r="1240" spans="12:12" x14ac:dyDescent="0.3">
      <c r="L1240" s="8" t="str">
        <f t="shared" si="0"/>
        <v/>
      </c>
    </row>
    <row r="1241" spans="12:12" x14ac:dyDescent="0.3">
      <c r="L1241" s="8" t="str">
        <f t="shared" si="0"/>
        <v/>
      </c>
    </row>
    <row r="1242" spans="12:12" x14ac:dyDescent="0.3">
      <c r="L1242" s="8" t="str">
        <f t="shared" si="0"/>
        <v/>
      </c>
    </row>
    <row r="1243" spans="12:12" x14ac:dyDescent="0.3">
      <c r="L1243" s="8" t="str">
        <f t="shared" si="0"/>
        <v/>
      </c>
    </row>
    <row r="1244" spans="12:12" x14ac:dyDescent="0.3">
      <c r="L1244" s="8" t="str">
        <f t="shared" si="0"/>
        <v/>
      </c>
    </row>
    <row r="1245" spans="12:12" x14ac:dyDescent="0.3">
      <c r="L1245" s="8" t="str">
        <f t="shared" si="0"/>
        <v/>
      </c>
    </row>
    <row r="1246" spans="12:12" x14ac:dyDescent="0.3">
      <c r="L1246" s="8" t="str">
        <f t="shared" si="0"/>
        <v/>
      </c>
    </row>
    <row r="1247" spans="12:12" x14ac:dyDescent="0.3">
      <c r="L1247" s="8" t="str">
        <f t="shared" si="0"/>
        <v/>
      </c>
    </row>
    <row r="1248" spans="12:12" x14ac:dyDescent="0.3">
      <c r="L1248" s="8" t="str">
        <f t="shared" si="0"/>
        <v/>
      </c>
    </row>
    <row r="1249" spans="12:12" x14ac:dyDescent="0.3">
      <c r="L1249" s="8" t="str">
        <f t="shared" si="0"/>
        <v/>
      </c>
    </row>
    <row r="1250" spans="12:12" x14ac:dyDescent="0.3">
      <c r="L1250" s="8" t="str">
        <f t="shared" si="0"/>
        <v/>
      </c>
    </row>
    <row r="1251" spans="12:12" x14ac:dyDescent="0.3">
      <c r="L1251" s="8" t="str">
        <f t="shared" si="0"/>
        <v/>
      </c>
    </row>
    <row r="1252" spans="12:12" x14ac:dyDescent="0.3">
      <c r="L1252" s="8" t="str">
        <f t="shared" si="0"/>
        <v/>
      </c>
    </row>
    <row r="1253" spans="12:12" x14ac:dyDescent="0.3">
      <c r="L1253" s="8" t="str">
        <f t="shared" si="0"/>
        <v/>
      </c>
    </row>
    <row r="1254" spans="12:12" x14ac:dyDescent="0.3">
      <c r="L1254" s="8" t="str">
        <f t="shared" si="0"/>
        <v/>
      </c>
    </row>
    <row r="1255" spans="12:12" x14ac:dyDescent="0.3">
      <c r="L1255" s="8" t="str">
        <f t="shared" si="0"/>
        <v/>
      </c>
    </row>
    <row r="1256" spans="12:12" x14ac:dyDescent="0.3">
      <c r="L1256" s="8" t="str">
        <f t="shared" si="0"/>
        <v/>
      </c>
    </row>
    <row r="1257" spans="12:12" x14ac:dyDescent="0.3">
      <c r="L1257" s="8" t="str">
        <f t="shared" si="0"/>
        <v/>
      </c>
    </row>
    <row r="1258" spans="12:12" x14ac:dyDescent="0.3">
      <c r="L1258" s="8" t="str">
        <f t="shared" si="0"/>
        <v/>
      </c>
    </row>
    <row r="1259" spans="12:12" x14ac:dyDescent="0.3">
      <c r="L1259" s="8" t="str">
        <f t="shared" si="0"/>
        <v/>
      </c>
    </row>
    <row r="1260" spans="12:12" x14ac:dyDescent="0.3">
      <c r="L1260" s="8" t="str">
        <f t="shared" si="0"/>
        <v/>
      </c>
    </row>
    <row r="1261" spans="12:12" x14ac:dyDescent="0.3">
      <c r="L1261" s="8" t="str">
        <f t="shared" si="0"/>
        <v/>
      </c>
    </row>
    <row r="1262" spans="12:12" x14ac:dyDescent="0.3">
      <c r="L1262" s="8" t="str">
        <f t="shared" si="0"/>
        <v/>
      </c>
    </row>
    <row r="1263" spans="12:12" x14ac:dyDescent="0.3">
      <c r="L1263" s="8" t="str">
        <f t="shared" si="0"/>
        <v/>
      </c>
    </row>
    <row r="1264" spans="12:12" x14ac:dyDescent="0.3">
      <c r="L1264" s="8" t="str">
        <f t="shared" si="0"/>
        <v/>
      </c>
    </row>
    <row r="1265" spans="12:12" x14ac:dyDescent="0.3">
      <c r="L1265" s="8" t="str">
        <f t="shared" si="0"/>
        <v/>
      </c>
    </row>
    <row r="1266" spans="12:12" x14ac:dyDescent="0.3">
      <c r="L1266" s="8" t="str">
        <f t="shared" si="0"/>
        <v/>
      </c>
    </row>
    <row r="1267" spans="12:12" x14ac:dyDescent="0.3">
      <c r="L1267" s="8" t="str">
        <f t="shared" si="0"/>
        <v/>
      </c>
    </row>
    <row r="1268" spans="12:12" x14ac:dyDescent="0.3">
      <c r="L1268" s="8" t="str">
        <f t="shared" si="0"/>
        <v/>
      </c>
    </row>
    <row r="1269" spans="12:12" x14ac:dyDescent="0.3">
      <c r="L1269" s="8" t="str">
        <f t="shared" si="0"/>
        <v/>
      </c>
    </row>
    <row r="1270" spans="12:12" x14ac:dyDescent="0.3">
      <c r="L1270" s="8" t="str">
        <f t="shared" si="0"/>
        <v/>
      </c>
    </row>
    <row r="1271" spans="12:12" x14ac:dyDescent="0.3">
      <c r="L1271" s="8" t="str">
        <f t="shared" si="0"/>
        <v/>
      </c>
    </row>
    <row r="1272" spans="12:12" x14ac:dyDescent="0.3">
      <c r="L1272" s="8" t="str">
        <f t="shared" si="0"/>
        <v/>
      </c>
    </row>
    <row r="1273" spans="12:12" x14ac:dyDescent="0.3">
      <c r="L1273" s="8" t="str">
        <f t="shared" si="0"/>
        <v/>
      </c>
    </row>
    <row r="1274" spans="12:12" x14ac:dyDescent="0.3">
      <c r="L1274" s="8" t="str">
        <f t="shared" si="0"/>
        <v/>
      </c>
    </row>
    <row r="1275" spans="12:12" x14ac:dyDescent="0.3">
      <c r="L1275" s="8" t="str">
        <f t="shared" si="0"/>
        <v/>
      </c>
    </row>
    <row r="1276" spans="12:12" x14ac:dyDescent="0.3">
      <c r="L1276" s="8" t="str">
        <f t="shared" si="0"/>
        <v/>
      </c>
    </row>
    <row r="1277" spans="12:12" x14ac:dyDescent="0.3">
      <c r="L1277" s="8" t="str">
        <f t="shared" si="0"/>
        <v/>
      </c>
    </row>
    <row r="1278" spans="12:12" x14ac:dyDescent="0.3">
      <c r="L1278" s="8" t="str">
        <f t="shared" si="0"/>
        <v/>
      </c>
    </row>
    <row r="1279" spans="12:12" x14ac:dyDescent="0.3">
      <c r="L1279" s="8" t="str">
        <f t="shared" si="0"/>
        <v/>
      </c>
    </row>
    <row r="1280" spans="12:12" x14ac:dyDescent="0.3">
      <c r="L1280" s="8" t="str">
        <f t="shared" si="0"/>
        <v/>
      </c>
    </row>
    <row r="1281" spans="12:12" x14ac:dyDescent="0.3">
      <c r="L1281" s="8" t="str">
        <f t="shared" si="0"/>
        <v/>
      </c>
    </row>
    <row r="1282" spans="12:12" x14ac:dyDescent="0.3">
      <c r="L1282" s="8" t="str">
        <f t="shared" si="0"/>
        <v/>
      </c>
    </row>
    <row r="1283" spans="12:12" x14ac:dyDescent="0.3">
      <c r="L1283" s="8" t="str">
        <f t="shared" si="0"/>
        <v/>
      </c>
    </row>
    <row r="1284" spans="12:12" x14ac:dyDescent="0.3">
      <c r="L1284" s="8" t="str">
        <f t="shared" ref="L1284:L1347" si="1">IF($A1284="","",$A1284&amp;" — "&amp;$C1284)</f>
        <v/>
      </c>
    </row>
    <row r="1285" spans="12:12" x14ac:dyDescent="0.3">
      <c r="L1285" s="8" t="str">
        <f t="shared" si="1"/>
        <v/>
      </c>
    </row>
    <row r="1286" spans="12:12" x14ac:dyDescent="0.3">
      <c r="L1286" s="8" t="str">
        <f t="shared" si="1"/>
        <v/>
      </c>
    </row>
    <row r="1287" spans="12:12" x14ac:dyDescent="0.3">
      <c r="L1287" s="8" t="str">
        <f t="shared" si="1"/>
        <v/>
      </c>
    </row>
    <row r="1288" spans="12:12" x14ac:dyDescent="0.3">
      <c r="L1288" s="8" t="str">
        <f t="shared" si="1"/>
        <v/>
      </c>
    </row>
    <row r="1289" spans="12:12" x14ac:dyDescent="0.3">
      <c r="L1289" s="8" t="str">
        <f t="shared" si="1"/>
        <v/>
      </c>
    </row>
    <row r="1290" spans="12:12" x14ac:dyDescent="0.3">
      <c r="L1290" s="8" t="str">
        <f t="shared" si="1"/>
        <v/>
      </c>
    </row>
    <row r="1291" spans="12:12" x14ac:dyDescent="0.3">
      <c r="L1291" s="8" t="str">
        <f t="shared" si="1"/>
        <v/>
      </c>
    </row>
    <row r="1292" spans="12:12" x14ac:dyDescent="0.3">
      <c r="L1292" s="8" t="str">
        <f t="shared" si="1"/>
        <v/>
      </c>
    </row>
    <row r="1293" spans="12:12" x14ac:dyDescent="0.3">
      <c r="L1293" s="8" t="str">
        <f t="shared" si="1"/>
        <v/>
      </c>
    </row>
    <row r="1294" spans="12:12" x14ac:dyDescent="0.3">
      <c r="L1294" s="8" t="str">
        <f t="shared" si="1"/>
        <v/>
      </c>
    </row>
    <row r="1295" spans="12:12" x14ac:dyDescent="0.3">
      <c r="L1295" s="8" t="str">
        <f t="shared" si="1"/>
        <v/>
      </c>
    </row>
    <row r="1296" spans="12:12" x14ac:dyDescent="0.3">
      <c r="L1296" s="8" t="str">
        <f t="shared" si="1"/>
        <v/>
      </c>
    </row>
    <row r="1297" spans="12:12" x14ac:dyDescent="0.3">
      <c r="L1297" s="8" t="str">
        <f t="shared" si="1"/>
        <v/>
      </c>
    </row>
    <row r="1298" spans="12:12" x14ac:dyDescent="0.3">
      <c r="L1298" s="8" t="str">
        <f t="shared" si="1"/>
        <v/>
      </c>
    </row>
    <row r="1299" spans="12:12" x14ac:dyDescent="0.3">
      <c r="L1299" s="8" t="str">
        <f t="shared" si="1"/>
        <v/>
      </c>
    </row>
    <row r="1300" spans="12:12" x14ac:dyDescent="0.3">
      <c r="L1300" s="8" t="str">
        <f t="shared" si="1"/>
        <v/>
      </c>
    </row>
    <row r="1301" spans="12:12" x14ac:dyDescent="0.3">
      <c r="L1301" s="8" t="str">
        <f t="shared" si="1"/>
        <v/>
      </c>
    </row>
    <row r="1302" spans="12:12" x14ac:dyDescent="0.3">
      <c r="L1302" s="8" t="str">
        <f t="shared" si="1"/>
        <v/>
      </c>
    </row>
    <row r="1303" spans="12:12" x14ac:dyDescent="0.3">
      <c r="L1303" s="8" t="str">
        <f t="shared" si="1"/>
        <v/>
      </c>
    </row>
    <row r="1304" spans="12:12" x14ac:dyDescent="0.3">
      <c r="L1304" s="8" t="str">
        <f t="shared" si="1"/>
        <v/>
      </c>
    </row>
    <row r="1305" spans="12:12" x14ac:dyDescent="0.3">
      <c r="L1305" s="8" t="str">
        <f t="shared" si="1"/>
        <v/>
      </c>
    </row>
    <row r="1306" spans="12:12" x14ac:dyDescent="0.3">
      <c r="L1306" s="8" t="str">
        <f t="shared" si="1"/>
        <v/>
      </c>
    </row>
    <row r="1307" spans="12:12" x14ac:dyDescent="0.3">
      <c r="L1307" s="8" t="str">
        <f t="shared" si="1"/>
        <v/>
      </c>
    </row>
    <row r="1308" spans="12:12" x14ac:dyDescent="0.3">
      <c r="L1308" s="8" t="str">
        <f t="shared" si="1"/>
        <v/>
      </c>
    </row>
    <row r="1309" spans="12:12" x14ac:dyDescent="0.3">
      <c r="L1309" s="8" t="str">
        <f t="shared" si="1"/>
        <v/>
      </c>
    </row>
    <row r="1310" spans="12:12" x14ac:dyDescent="0.3">
      <c r="L1310" s="8" t="str">
        <f t="shared" si="1"/>
        <v/>
      </c>
    </row>
    <row r="1311" spans="12:12" x14ac:dyDescent="0.3">
      <c r="L1311" s="8" t="str">
        <f t="shared" si="1"/>
        <v/>
      </c>
    </row>
    <row r="1312" spans="12:12" x14ac:dyDescent="0.3">
      <c r="L1312" s="8" t="str">
        <f t="shared" si="1"/>
        <v/>
      </c>
    </row>
    <row r="1313" spans="12:12" x14ac:dyDescent="0.3">
      <c r="L1313" s="8" t="str">
        <f t="shared" si="1"/>
        <v/>
      </c>
    </row>
    <row r="1314" spans="12:12" x14ac:dyDescent="0.3">
      <c r="L1314" s="8" t="str">
        <f t="shared" si="1"/>
        <v/>
      </c>
    </row>
    <row r="1315" spans="12:12" x14ac:dyDescent="0.3">
      <c r="L1315" s="8" t="str">
        <f t="shared" si="1"/>
        <v/>
      </c>
    </row>
    <row r="1316" spans="12:12" x14ac:dyDescent="0.3">
      <c r="L1316" s="8" t="str">
        <f t="shared" si="1"/>
        <v/>
      </c>
    </row>
    <row r="1317" spans="12:12" x14ac:dyDescent="0.3">
      <c r="L1317" s="8" t="str">
        <f t="shared" si="1"/>
        <v/>
      </c>
    </row>
    <row r="1318" spans="12:12" x14ac:dyDescent="0.3">
      <c r="L1318" s="8" t="str">
        <f t="shared" si="1"/>
        <v/>
      </c>
    </row>
    <row r="1319" spans="12:12" x14ac:dyDescent="0.3">
      <c r="L1319" s="8" t="str">
        <f t="shared" si="1"/>
        <v/>
      </c>
    </row>
    <row r="1320" spans="12:12" x14ac:dyDescent="0.3">
      <c r="L1320" s="8" t="str">
        <f t="shared" si="1"/>
        <v/>
      </c>
    </row>
    <row r="1321" spans="12:12" x14ac:dyDescent="0.3">
      <c r="L1321" s="8" t="str">
        <f t="shared" si="1"/>
        <v/>
      </c>
    </row>
    <row r="1322" spans="12:12" x14ac:dyDescent="0.3">
      <c r="L1322" s="8" t="str">
        <f t="shared" si="1"/>
        <v/>
      </c>
    </row>
    <row r="1323" spans="12:12" x14ac:dyDescent="0.3">
      <c r="L1323" s="8" t="str">
        <f t="shared" si="1"/>
        <v/>
      </c>
    </row>
    <row r="1324" spans="12:12" x14ac:dyDescent="0.3">
      <c r="L1324" s="8" t="str">
        <f t="shared" si="1"/>
        <v/>
      </c>
    </row>
    <row r="1325" spans="12:12" x14ac:dyDescent="0.3">
      <c r="L1325" s="8" t="str">
        <f t="shared" si="1"/>
        <v/>
      </c>
    </row>
    <row r="1326" spans="12:12" x14ac:dyDescent="0.3">
      <c r="L1326" s="8" t="str">
        <f t="shared" si="1"/>
        <v/>
      </c>
    </row>
    <row r="1327" spans="12:12" x14ac:dyDescent="0.3">
      <c r="L1327" s="8" t="str">
        <f t="shared" si="1"/>
        <v/>
      </c>
    </row>
    <row r="1328" spans="12:12" x14ac:dyDescent="0.3">
      <c r="L1328" s="8" t="str">
        <f t="shared" si="1"/>
        <v/>
      </c>
    </row>
    <row r="1329" spans="12:12" x14ac:dyDescent="0.3">
      <c r="L1329" s="8" t="str">
        <f t="shared" si="1"/>
        <v/>
      </c>
    </row>
    <row r="1330" spans="12:12" x14ac:dyDescent="0.3">
      <c r="L1330" s="8" t="str">
        <f t="shared" si="1"/>
        <v/>
      </c>
    </row>
    <row r="1331" spans="12:12" x14ac:dyDescent="0.3">
      <c r="L1331" s="8" t="str">
        <f t="shared" si="1"/>
        <v/>
      </c>
    </row>
    <row r="1332" spans="12:12" x14ac:dyDescent="0.3">
      <c r="L1332" s="8" t="str">
        <f t="shared" si="1"/>
        <v/>
      </c>
    </row>
    <row r="1333" spans="12:12" x14ac:dyDescent="0.3">
      <c r="L1333" s="8" t="str">
        <f t="shared" si="1"/>
        <v/>
      </c>
    </row>
    <row r="1334" spans="12:12" x14ac:dyDescent="0.3">
      <c r="L1334" s="8" t="str">
        <f t="shared" si="1"/>
        <v/>
      </c>
    </row>
    <row r="1335" spans="12:12" x14ac:dyDescent="0.3">
      <c r="L1335" s="8" t="str">
        <f t="shared" si="1"/>
        <v/>
      </c>
    </row>
    <row r="1336" spans="12:12" x14ac:dyDescent="0.3">
      <c r="L1336" s="8" t="str">
        <f t="shared" si="1"/>
        <v/>
      </c>
    </row>
    <row r="1337" spans="12:12" x14ac:dyDescent="0.3">
      <c r="L1337" s="8" t="str">
        <f t="shared" si="1"/>
        <v/>
      </c>
    </row>
    <row r="1338" spans="12:12" x14ac:dyDescent="0.3">
      <c r="L1338" s="8" t="str">
        <f t="shared" si="1"/>
        <v/>
      </c>
    </row>
    <row r="1339" spans="12:12" x14ac:dyDescent="0.3">
      <c r="L1339" s="8" t="str">
        <f t="shared" si="1"/>
        <v/>
      </c>
    </row>
    <row r="1340" spans="12:12" x14ac:dyDescent="0.3">
      <c r="L1340" s="8" t="str">
        <f t="shared" si="1"/>
        <v/>
      </c>
    </row>
    <row r="1341" spans="12:12" x14ac:dyDescent="0.3">
      <c r="L1341" s="8" t="str">
        <f t="shared" si="1"/>
        <v/>
      </c>
    </row>
    <row r="1342" spans="12:12" x14ac:dyDescent="0.3">
      <c r="L1342" s="8" t="str">
        <f t="shared" si="1"/>
        <v/>
      </c>
    </row>
    <row r="1343" spans="12:12" x14ac:dyDescent="0.3">
      <c r="L1343" s="8" t="str">
        <f t="shared" si="1"/>
        <v/>
      </c>
    </row>
    <row r="1344" spans="12:12" x14ac:dyDescent="0.3">
      <c r="L1344" s="8" t="str">
        <f t="shared" si="1"/>
        <v/>
      </c>
    </row>
    <row r="1345" spans="12:12" x14ac:dyDescent="0.3">
      <c r="L1345" s="8" t="str">
        <f t="shared" si="1"/>
        <v/>
      </c>
    </row>
    <row r="1346" spans="12:12" x14ac:dyDescent="0.3">
      <c r="L1346" s="8" t="str">
        <f t="shared" si="1"/>
        <v/>
      </c>
    </row>
    <row r="1347" spans="12:12" x14ac:dyDescent="0.3">
      <c r="L1347" s="8" t="str">
        <f t="shared" si="1"/>
        <v/>
      </c>
    </row>
    <row r="1348" spans="12:12" x14ac:dyDescent="0.3">
      <c r="L1348" s="8" t="str">
        <f t="shared" ref="L1348:L1411" si="2">IF($A1348="","",$A1348&amp;" — "&amp;$C1348)</f>
        <v/>
      </c>
    </row>
    <row r="1349" spans="12:12" x14ac:dyDescent="0.3">
      <c r="L1349" s="8" t="str">
        <f t="shared" si="2"/>
        <v/>
      </c>
    </row>
    <row r="1350" spans="12:12" x14ac:dyDescent="0.3">
      <c r="L1350" s="8" t="str">
        <f t="shared" si="2"/>
        <v/>
      </c>
    </row>
    <row r="1351" spans="12:12" x14ac:dyDescent="0.3">
      <c r="L1351" s="8" t="str">
        <f t="shared" si="2"/>
        <v/>
      </c>
    </row>
    <row r="1352" spans="12:12" x14ac:dyDescent="0.3">
      <c r="L1352" s="8" t="str">
        <f t="shared" si="2"/>
        <v/>
      </c>
    </row>
    <row r="1353" spans="12:12" x14ac:dyDescent="0.3">
      <c r="L1353" s="8" t="str">
        <f t="shared" si="2"/>
        <v/>
      </c>
    </row>
    <row r="1354" spans="12:12" x14ac:dyDescent="0.3">
      <c r="L1354" s="8" t="str">
        <f t="shared" si="2"/>
        <v/>
      </c>
    </row>
    <row r="1355" spans="12:12" x14ac:dyDescent="0.3">
      <c r="L1355" s="8" t="str">
        <f t="shared" si="2"/>
        <v/>
      </c>
    </row>
    <row r="1356" spans="12:12" x14ac:dyDescent="0.3">
      <c r="L1356" s="8" t="str">
        <f t="shared" si="2"/>
        <v/>
      </c>
    </row>
    <row r="1357" spans="12:12" x14ac:dyDescent="0.3">
      <c r="L1357" s="8" t="str">
        <f t="shared" si="2"/>
        <v/>
      </c>
    </row>
    <row r="1358" spans="12:12" x14ac:dyDescent="0.3">
      <c r="L1358" s="8" t="str">
        <f t="shared" si="2"/>
        <v/>
      </c>
    </row>
    <row r="1359" spans="12:12" x14ac:dyDescent="0.3">
      <c r="L1359" s="8" t="str">
        <f t="shared" si="2"/>
        <v/>
      </c>
    </row>
    <row r="1360" spans="12:12" x14ac:dyDescent="0.3">
      <c r="L1360" s="8" t="str">
        <f t="shared" si="2"/>
        <v/>
      </c>
    </row>
    <row r="1361" spans="12:12" x14ac:dyDescent="0.3">
      <c r="L1361" s="8" t="str">
        <f t="shared" si="2"/>
        <v/>
      </c>
    </row>
    <row r="1362" spans="12:12" x14ac:dyDescent="0.3">
      <c r="L1362" s="8" t="str">
        <f t="shared" si="2"/>
        <v/>
      </c>
    </row>
    <row r="1363" spans="12:12" x14ac:dyDescent="0.3">
      <c r="L1363" s="8" t="str">
        <f t="shared" si="2"/>
        <v/>
      </c>
    </row>
    <row r="1364" spans="12:12" x14ac:dyDescent="0.3">
      <c r="L1364" s="8" t="str">
        <f t="shared" si="2"/>
        <v/>
      </c>
    </row>
    <row r="1365" spans="12:12" x14ac:dyDescent="0.3">
      <c r="L1365" s="8" t="str">
        <f t="shared" si="2"/>
        <v/>
      </c>
    </row>
    <row r="1366" spans="12:12" x14ac:dyDescent="0.3">
      <c r="L1366" s="8" t="str">
        <f t="shared" si="2"/>
        <v/>
      </c>
    </row>
    <row r="1367" spans="12:12" x14ac:dyDescent="0.3">
      <c r="L1367" s="8" t="str">
        <f t="shared" si="2"/>
        <v/>
      </c>
    </row>
    <row r="1368" spans="12:12" x14ac:dyDescent="0.3">
      <c r="L1368" s="8" t="str">
        <f t="shared" si="2"/>
        <v/>
      </c>
    </row>
    <row r="1369" spans="12:12" x14ac:dyDescent="0.3">
      <c r="L1369" s="8" t="str">
        <f t="shared" si="2"/>
        <v/>
      </c>
    </row>
    <row r="1370" spans="12:12" x14ac:dyDescent="0.3">
      <c r="L1370" s="8" t="str">
        <f t="shared" si="2"/>
        <v/>
      </c>
    </row>
    <row r="1371" spans="12:12" x14ac:dyDescent="0.3">
      <c r="L1371" s="8" t="str">
        <f t="shared" si="2"/>
        <v/>
      </c>
    </row>
    <row r="1372" spans="12:12" x14ac:dyDescent="0.3">
      <c r="L1372" s="8" t="str">
        <f t="shared" si="2"/>
        <v/>
      </c>
    </row>
    <row r="1373" spans="12:12" x14ac:dyDescent="0.3">
      <c r="L1373" s="8" t="str">
        <f t="shared" si="2"/>
        <v/>
      </c>
    </row>
    <row r="1374" spans="12:12" x14ac:dyDescent="0.3">
      <c r="L1374" s="8" t="str">
        <f t="shared" si="2"/>
        <v/>
      </c>
    </row>
    <row r="1375" spans="12:12" x14ac:dyDescent="0.3">
      <c r="L1375" s="8" t="str">
        <f t="shared" si="2"/>
        <v/>
      </c>
    </row>
    <row r="1376" spans="12:12" x14ac:dyDescent="0.3">
      <c r="L1376" s="8" t="str">
        <f t="shared" si="2"/>
        <v/>
      </c>
    </row>
    <row r="1377" spans="12:12" x14ac:dyDescent="0.3">
      <c r="L1377" s="8" t="str">
        <f t="shared" si="2"/>
        <v/>
      </c>
    </row>
    <row r="1378" spans="12:12" x14ac:dyDescent="0.3">
      <c r="L1378" s="8" t="str">
        <f t="shared" si="2"/>
        <v/>
      </c>
    </row>
    <row r="1379" spans="12:12" x14ac:dyDescent="0.3">
      <c r="L1379" s="8" t="str">
        <f t="shared" si="2"/>
        <v/>
      </c>
    </row>
    <row r="1380" spans="12:12" x14ac:dyDescent="0.3">
      <c r="L1380" s="8" t="str">
        <f t="shared" si="2"/>
        <v/>
      </c>
    </row>
    <row r="1381" spans="12:12" x14ac:dyDescent="0.3">
      <c r="L1381" s="8" t="str">
        <f t="shared" si="2"/>
        <v/>
      </c>
    </row>
    <row r="1382" spans="12:12" x14ac:dyDescent="0.3">
      <c r="L1382" s="8" t="str">
        <f t="shared" si="2"/>
        <v/>
      </c>
    </row>
    <row r="1383" spans="12:12" x14ac:dyDescent="0.3">
      <c r="L1383" s="8" t="str">
        <f t="shared" si="2"/>
        <v/>
      </c>
    </row>
    <row r="1384" spans="12:12" x14ac:dyDescent="0.3">
      <c r="L1384" s="8" t="str">
        <f t="shared" si="2"/>
        <v/>
      </c>
    </row>
    <row r="1385" spans="12:12" x14ac:dyDescent="0.3">
      <c r="L1385" s="8" t="str">
        <f t="shared" si="2"/>
        <v/>
      </c>
    </row>
    <row r="1386" spans="12:12" x14ac:dyDescent="0.3">
      <c r="L1386" s="8" t="str">
        <f t="shared" si="2"/>
        <v/>
      </c>
    </row>
    <row r="1387" spans="12:12" x14ac:dyDescent="0.3">
      <c r="L1387" s="8" t="str">
        <f t="shared" si="2"/>
        <v/>
      </c>
    </row>
    <row r="1388" spans="12:12" x14ac:dyDescent="0.3">
      <c r="L1388" s="8" t="str">
        <f t="shared" si="2"/>
        <v/>
      </c>
    </row>
    <row r="1389" spans="12:12" x14ac:dyDescent="0.3">
      <c r="L1389" s="8" t="str">
        <f t="shared" si="2"/>
        <v/>
      </c>
    </row>
    <row r="1390" spans="12:12" x14ac:dyDescent="0.3">
      <c r="L1390" s="8" t="str">
        <f t="shared" si="2"/>
        <v/>
      </c>
    </row>
    <row r="1391" spans="12:12" x14ac:dyDescent="0.3">
      <c r="L1391" s="8" t="str">
        <f t="shared" si="2"/>
        <v/>
      </c>
    </row>
    <row r="1392" spans="12:12" x14ac:dyDescent="0.3">
      <c r="L1392" s="8" t="str">
        <f t="shared" si="2"/>
        <v/>
      </c>
    </row>
    <row r="1393" spans="12:12" x14ac:dyDescent="0.3">
      <c r="L1393" s="8" t="str">
        <f t="shared" si="2"/>
        <v/>
      </c>
    </row>
    <row r="1394" spans="12:12" x14ac:dyDescent="0.3">
      <c r="L1394" s="8" t="str">
        <f t="shared" si="2"/>
        <v/>
      </c>
    </row>
    <row r="1395" spans="12:12" x14ac:dyDescent="0.3">
      <c r="L1395" s="8" t="str">
        <f t="shared" si="2"/>
        <v/>
      </c>
    </row>
    <row r="1396" spans="12:12" x14ac:dyDescent="0.3">
      <c r="L1396" s="8" t="str">
        <f t="shared" si="2"/>
        <v/>
      </c>
    </row>
    <row r="1397" spans="12:12" x14ac:dyDescent="0.3">
      <c r="L1397" s="8" t="str">
        <f t="shared" si="2"/>
        <v/>
      </c>
    </row>
    <row r="1398" spans="12:12" x14ac:dyDescent="0.3">
      <c r="L1398" s="8" t="str">
        <f t="shared" si="2"/>
        <v/>
      </c>
    </row>
    <row r="1399" spans="12:12" x14ac:dyDescent="0.3">
      <c r="L1399" s="8" t="str">
        <f t="shared" si="2"/>
        <v/>
      </c>
    </row>
    <row r="1400" spans="12:12" x14ac:dyDescent="0.3">
      <c r="L1400" s="8" t="str">
        <f t="shared" si="2"/>
        <v/>
      </c>
    </row>
    <row r="1401" spans="12:12" x14ac:dyDescent="0.3">
      <c r="L1401" s="8" t="str">
        <f t="shared" si="2"/>
        <v/>
      </c>
    </row>
    <row r="1402" spans="12:12" x14ac:dyDescent="0.3">
      <c r="L1402" s="8" t="str">
        <f t="shared" si="2"/>
        <v/>
      </c>
    </row>
    <row r="1403" spans="12:12" x14ac:dyDescent="0.3">
      <c r="L1403" s="8" t="str">
        <f t="shared" si="2"/>
        <v/>
      </c>
    </row>
    <row r="1404" spans="12:12" x14ac:dyDescent="0.3">
      <c r="L1404" s="8" t="str">
        <f t="shared" si="2"/>
        <v/>
      </c>
    </row>
    <row r="1405" spans="12:12" x14ac:dyDescent="0.3">
      <c r="L1405" s="8" t="str">
        <f t="shared" si="2"/>
        <v/>
      </c>
    </row>
    <row r="1406" spans="12:12" x14ac:dyDescent="0.3">
      <c r="L1406" s="8" t="str">
        <f t="shared" si="2"/>
        <v/>
      </c>
    </row>
    <row r="1407" spans="12:12" x14ac:dyDescent="0.3">
      <c r="L1407" s="8" t="str">
        <f t="shared" si="2"/>
        <v/>
      </c>
    </row>
    <row r="1408" spans="12:12" x14ac:dyDescent="0.3">
      <c r="L1408" s="8" t="str">
        <f t="shared" si="2"/>
        <v/>
      </c>
    </row>
    <row r="1409" spans="12:12" x14ac:dyDescent="0.3">
      <c r="L1409" s="8" t="str">
        <f t="shared" si="2"/>
        <v/>
      </c>
    </row>
    <row r="1410" spans="12:12" x14ac:dyDescent="0.3">
      <c r="L1410" s="8" t="str">
        <f t="shared" si="2"/>
        <v/>
      </c>
    </row>
    <row r="1411" spans="12:12" x14ac:dyDescent="0.3">
      <c r="L1411" s="8" t="str">
        <f t="shared" si="2"/>
        <v/>
      </c>
    </row>
    <row r="1412" spans="12:12" x14ac:dyDescent="0.3">
      <c r="L1412" s="8" t="str">
        <f t="shared" ref="L1412:L1475" si="3">IF($A1412="","",$A1412&amp;" — "&amp;$C1412)</f>
        <v/>
      </c>
    </row>
    <row r="1413" spans="12:12" x14ac:dyDescent="0.3">
      <c r="L1413" s="8" t="str">
        <f t="shared" si="3"/>
        <v/>
      </c>
    </row>
    <row r="1414" spans="12:12" x14ac:dyDescent="0.3">
      <c r="L1414" s="8" t="str">
        <f t="shared" si="3"/>
        <v/>
      </c>
    </row>
    <row r="1415" spans="12:12" x14ac:dyDescent="0.3">
      <c r="L1415" s="8" t="str">
        <f t="shared" si="3"/>
        <v/>
      </c>
    </row>
    <row r="1416" spans="12:12" x14ac:dyDescent="0.3">
      <c r="L1416" s="8" t="str">
        <f t="shared" si="3"/>
        <v/>
      </c>
    </row>
    <row r="1417" spans="12:12" x14ac:dyDescent="0.3">
      <c r="L1417" s="8" t="str">
        <f t="shared" si="3"/>
        <v/>
      </c>
    </row>
    <row r="1418" spans="12:12" x14ac:dyDescent="0.3">
      <c r="L1418" s="8" t="str">
        <f t="shared" si="3"/>
        <v/>
      </c>
    </row>
    <row r="1419" spans="12:12" x14ac:dyDescent="0.3">
      <c r="L1419" s="8" t="str">
        <f t="shared" si="3"/>
        <v/>
      </c>
    </row>
    <row r="1420" spans="12:12" x14ac:dyDescent="0.3">
      <c r="L1420" s="8" t="str">
        <f t="shared" si="3"/>
        <v/>
      </c>
    </row>
    <row r="1421" spans="12:12" x14ac:dyDescent="0.3">
      <c r="L1421" s="8" t="str">
        <f t="shared" si="3"/>
        <v/>
      </c>
    </row>
    <row r="1422" spans="12:12" x14ac:dyDescent="0.3">
      <c r="L1422" s="8" t="str">
        <f t="shared" si="3"/>
        <v/>
      </c>
    </row>
    <row r="1423" spans="12:12" x14ac:dyDescent="0.3">
      <c r="L1423" s="8" t="str">
        <f t="shared" si="3"/>
        <v/>
      </c>
    </row>
    <row r="1424" spans="12:12" x14ac:dyDescent="0.3">
      <c r="L1424" s="8" t="str">
        <f t="shared" si="3"/>
        <v/>
      </c>
    </row>
    <row r="1425" spans="12:12" x14ac:dyDescent="0.3">
      <c r="L1425" s="8" t="str">
        <f t="shared" si="3"/>
        <v/>
      </c>
    </row>
    <row r="1426" spans="12:12" x14ac:dyDescent="0.3">
      <c r="L1426" s="8" t="str">
        <f t="shared" si="3"/>
        <v/>
      </c>
    </row>
    <row r="1427" spans="12:12" x14ac:dyDescent="0.3">
      <c r="L1427" s="8" t="str">
        <f t="shared" si="3"/>
        <v/>
      </c>
    </row>
    <row r="1428" spans="12:12" x14ac:dyDescent="0.3">
      <c r="L1428" s="8" t="str">
        <f t="shared" si="3"/>
        <v/>
      </c>
    </row>
    <row r="1429" spans="12:12" x14ac:dyDescent="0.3">
      <c r="L1429" s="8" t="str">
        <f t="shared" si="3"/>
        <v/>
      </c>
    </row>
    <row r="1430" spans="12:12" x14ac:dyDescent="0.3">
      <c r="L1430" s="8" t="str">
        <f t="shared" si="3"/>
        <v/>
      </c>
    </row>
    <row r="1431" spans="12:12" x14ac:dyDescent="0.3">
      <c r="L1431" s="8" t="str">
        <f t="shared" si="3"/>
        <v/>
      </c>
    </row>
    <row r="1432" spans="12:12" x14ac:dyDescent="0.3">
      <c r="L1432" s="8" t="str">
        <f t="shared" si="3"/>
        <v/>
      </c>
    </row>
    <row r="1433" spans="12:12" x14ac:dyDescent="0.3">
      <c r="L1433" s="8" t="str">
        <f t="shared" si="3"/>
        <v/>
      </c>
    </row>
    <row r="1434" spans="12:12" x14ac:dyDescent="0.3">
      <c r="L1434" s="8" t="str">
        <f t="shared" si="3"/>
        <v/>
      </c>
    </row>
    <row r="1435" spans="12:12" x14ac:dyDescent="0.3">
      <c r="L1435" s="8" t="str">
        <f t="shared" si="3"/>
        <v/>
      </c>
    </row>
    <row r="1436" spans="12:12" x14ac:dyDescent="0.3">
      <c r="L1436" s="8" t="str">
        <f t="shared" si="3"/>
        <v/>
      </c>
    </row>
    <row r="1437" spans="12:12" x14ac:dyDescent="0.3">
      <c r="L1437" s="8" t="str">
        <f t="shared" si="3"/>
        <v/>
      </c>
    </row>
    <row r="1438" spans="12:12" x14ac:dyDescent="0.3">
      <c r="L1438" s="8" t="str">
        <f t="shared" si="3"/>
        <v/>
      </c>
    </row>
    <row r="1439" spans="12:12" x14ac:dyDescent="0.3">
      <c r="L1439" s="8" t="str">
        <f t="shared" si="3"/>
        <v/>
      </c>
    </row>
    <row r="1440" spans="12:12" x14ac:dyDescent="0.3">
      <c r="L1440" s="8" t="str">
        <f t="shared" si="3"/>
        <v/>
      </c>
    </row>
    <row r="1441" spans="12:12" x14ac:dyDescent="0.3">
      <c r="L1441" s="8" t="str">
        <f t="shared" si="3"/>
        <v/>
      </c>
    </row>
    <row r="1442" spans="12:12" x14ac:dyDescent="0.3">
      <c r="L1442" s="8" t="str">
        <f t="shared" si="3"/>
        <v/>
      </c>
    </row>
    <row r="1443" spans="12:12" x14ac:dyDescent="0.3">
      <c r="L1443" s="8" t="str">
        <f t="shared" si="3"/>
        <v/>
      </c>
    </row>
    <row r="1444" spans="12:12" x14ac:dyDescent="0.3">
      <c r="L1444" s="8" t="str">
        <f t="shared" si="3"/>
        <v/>
      </c>
    </row>
    <row r="1445" spans="12:12" x14ac:dyDescent="0.3">
      <c r="L1445" s="8" t="str">
        <f t="shared" si="3"/>
        <v/>
      </c>
    </row>
    <row r="1446" spans="12:12" x14ac:dyDescent="0.3">
      <c r="L1446" s="8" t="str">
        <f t="shared" si="3"/>
        <v/>
      </c>
    </row>
    <row r="1447" spans="12:12" x14ac:dyDescent="0.3">
      <c r="L1447" s="8" t="str">
        <f t="shared" si="3"/>
        <v/>
      </c>
    </row>
    <row r="1448" spans="12:12" x14ac:dyDescent="0.3">
      <c r="L1448" s="8" t="str">
        <f t="shared" si="3"/>
        <v/>
      </c>
    </row>
    <row r="1449" spans="12:12" x14ac:dyDescent="0.3">
      <c r="L1449" s="8" t="str">
        <f t="shared" si="3"/>
        <v/>
      </c>
    </row>
    <row r="1450" spans="12:12" x14ac:dyDescent="0.3">
      <c r="L1450" s="8" t="str">
        <f t="shared" si="3"/>
        <v/>
      </c>
    </row>
    <row r="1451" spans="12:12" x14ac:dyDescent="0.3">
      <c r="L1451" s="8" t="str">
        <f t="shared" si="3"/>
        <v/>
      </c>
    </row>
    <row r="1452" spans="12:12" x14ac:dyDescent="0.3">
      <c r="L1452" s="8" t="str">
        <f t="shared" si="3"/>
        <v/>
      </c>
    </row>
    <row r="1453" spans="12:12" x14ac:dyDescent="0.3">
      <c r="L1453" s="8" t="str">
        <f t="shared" si="3"/>
        <v/>
      </c>
    </row>
    <row r="1454" spans="12:12" x14ac:dyDescent="0.3">
      <c r="L1454" s="8" t="str">
        <f t="shared" si="3"/>
        <v/>
      </c>
    </row>
    <row r="1455" spans="12:12" x14ac:dyDescent="0.3">
      <c r="L1455" s="8" t="str">
        <f t="shared" si="3"/>
        <v/>
      </c>
    </row>
    <row r="1456" spans="12:12" x14ac:dyDescent="0.3">
      <c r="L1456" s="8" t="str">
        <f t="shared" si="3"/>
        <v/>
      </c>
    </row>
    <row r="1457" spans="12:12" x14ac:dyDescent="0.3">
      <c r="L1457" s="8" t="str">
        <f t="shared" si="3"/>
        <v/>
      </c>
    </row>
    <row r="1458" spans="12:12" x14ac:dyDescent="0.3">
      <c r="L1458" s="8" t="str">
        <f t="shared" si="3"/>
        <v/>
      </c>
    </row>
    <row r="1459" spans="12:12" x14ac:dyDescent="0.3">
      <c r="L1459" s="8" t="str">
        <f t="shared" si="3"/>
        <v/>
      </c>
    </row>
    <row r="1460" spans="12:12" x14ac:dyDescent="0.3">
      <c r="L1460" s="8" t="str">
        <f t="shared" si="3"/>
        <v/>
      </c>
    </row>
    <row r="1461" spans="12:12" x14ac:dyDescent="0.3">
      <c r="L1461" s="8" t="str">
        <f t="shared" si="3"/>
        <v/>
      </c>
    </row>
    <row r="1462" spans="12:12" x14ac:dyDescent="0.3">
      <c r="L1462" s="8" t="str">
        <f t="shared" si="3"/>
        <v/>
      </c>
    </row>
    <row r="1463" spans="12:12" x14ac:dyDescent="0.3">
      <c r="L1463" s="8" t="str">
        <f t="shared" si="3"/>
        <v/>
      </c>
    </row>
    <row r="1464" spans="12:12" x14ac:dyDescent="0.3">
      <c r="L1464" s="8" t="str">
        <f t="shared" si="3"/>
        <v/>
      </c>
    </row>
    <row r="1465" spans="12:12" x14ac:dyDescent="0.3">
      <c r="L1465" s="8" t="str">
        <f t="shared" si="3"/>
        <v/>
      </c>
    </row>
    <row r="1466" spans="12:12" x14ac:dyDescent="0.3">
      <c r="L1466" s="8" t="str">
        <f t="shared" si="3"/>
        <v/>
      </c>
    </row>
    <row r="1467" spans="12:12" x14ac:dyDescent="0.3">
      <c r="L1467" s="8" t="str">
        <f t="shared" si="3"/>
        <v/>
      </c>
    </row>
    <row r="1468" spans="12:12" x14ac:dyDescent="0.3">
      <c r="L1468" s="8" t="str">
        <f t="shared" si="3"/>
        <v/>
      </c>
    </row>
    <row r="1469" spans="12:12" x14ac:dyDescent="0.3">
      <c r="L1469" s="8" t="str">
        <f t="shared" si="3"/>
        <v/>
      </c>
    </row>
    <row r="1470" spans="12:12" x14ac:dyDescent="0.3">
      <c r="L1470" s="8" t="str">
        <f t="shared" si="3"/>
        <v/>
      </c>
    </row>
    <row r="1471" spans="12:12" x14ac:dyDescent="0.3">
      <c r="L1471" s="8" t="str">
        <f t="shared" si="3"/>
        <v/>
      </c>
    </row>
    <row r="1472" spans="12:12" x14ac:dyDescent="0.3">
      <c r="L1472" s="8" t="str">
        <f t="shared" si="3"/>
        <v/>
      </c>
    </row>
    <row r="1473" spans="12:12" x14ac:dyDescent="0.3">
      <c r="L1473" s="8" t="str">
        <f t="shared" si="3"/>
        <v/>
      </c>
    </row>
    <row r="1474" spans="12:12" x14ac:dyDescent="0.3">
      <c r="L1474" s="8" t="str">
        <f t="shared" si="3"/>
        <v/>
      </c>
    </row>
    <row r="1475" spans="12:12" x14ac:dyDescent="0.3">
      <c r="L1475" s="8" t="str">
        <f t="shared" si="3"/>
        <v/>
      </c>
    </row>
    <row r="1476" spans="12:12" x14ac:dyDescent="0.3">
      <c r="L1476" s="8" t="str">
        <f t="shared" ref="L1476:L1539" si="4">IF($A1476="","",$A1476&amp;" — "&amp;$C1476)</f>
        <v/>
      </c>
    </row>
    <row r="1477" spans="12:12" x14ac:dyDescent="0.3">
      <c r="L1477" s="8" t="str">
        <f t="shared" si="4"/>
        <v/>
      </c>
    </row>
    <row r="1478" spans="12:12" x14ac:dyDescent="0.3">
      <c r="L1478" s="8" t="str">
        <f t="shared" si="4"/>
        <v/>
      </c>
    </row>
    <row r="1479" spans="12:12" x14ac:dyDescent="0.3">
      <c r="L1479" s="8" t="str">
        <f t="shared" si="4"/>
        <v/>
      </c>
    </row>
    <row r="1480" spans="12:12" x14ac:dyDescent="0.3">
      <c r="L1480" s="8" t="str">
        <f t="shared" si="4"/>
        <v/>
      </c>
    </row>
    <row r="1481" spans="12:12" x14ac:dyDescent="0.3">
      <c r="L1481" s="8" t="str">
        <f t="shared" si="4"/>
        <v/>
      </c>
    </row>
    <row r="1482" spans="12:12" x14ac:dyDescent="0.3">
      <c r="L1482" s="8" t="str">
        <f t="shared" si="4"/>
        <v/>
      </c>
    </row>
    <row r="1483" spans="12:12" x14ac:dyDescent="0.3">
      <c r="L1483" s="8" t="str">
        <f t="shared" si="4"/>
        <v/>
      </c>
    </row>
    <row r="1484" spans="12:12" x14ac:dyDescent="0.3">
      <c r="L1484" s="8" t="str">
        <f t="shared" si="4"/>
        <v/>
      </c>
    </row>
    <row r="1485" spans="12:12" x14ac:dyDescent="0.3">
      <c r="L1485" s="8" t="str">
        <f t="shared" si="4"/>
        <v/>
      </c>
    </row>
    <row r="1486" spans="12:12" x14ac:dyDescent="0.3">
      <c r="L1486" s="8" t="str">
        <f t="shared" si="4"/>
        <v/>
      </c>
    </row>
    <row r="1487" spans="12:12" x14ac:dyDescent="0.3">
      <c r="L1487" s="8" t="str">
        <f t="shared" si="4"/>
        <v/>
      </c>
    </row>
    <row r="1488" spans="12:12" x14ac:dyDescent="0.3">
      <c r="L1488" s="8" t="str">
        <f t="shared" si="4"/>
        <v/>
      </c>
    </row>
    <row r="1489" spans="12:12" x14ac:dyDescent="0.3">
      <c r="L1489" s="8" t="str">
        <f t="shared" si="4"/>
        <v/>
      </c>
    </row>
    <row r="1490" spans="12:12" x14ac:dyDescent="0.3">
      <c r="L1490" s="8" t="str">
        <f t="shared" si="4"/>
        <v/>
      </c>
    </row>
    <row r="1491" spans="12:12" x14ac:dyDescent="0.3">
      <c r="L1491" s="8" t="str">
        <f t="shared" si="4"/>
        <v/>
      </c>
    </row>
    <row r="1492" spans="12:12" x14ac:dyDescent="0.3">
      <c r="L1492" s="8" t="str">
        <f t="shared" si="4"/>
        <v/>
      </c>
    </row>
    <row r="1493" spans="12:12" x14ac:dyDescent="0.3">
      <c r="L1493" s="8" t="str">
        <f t="shared" si="4"/>
        <v/>
      </c>
    </row>
    <row r="1494" spans="12:12" x14ac:dyDescent="0.3">
      <c r="L1494" s="8" t="str">
        <f t="shared" si="4"/>
        <v/>
      </c>
    </row>
    <row r="1495" spans="12:12" x14ac:dyDescent="0.3">
      <c r="L1495" s="8" t="str">
        <f t="shared" si="4"/>
        <v/>
      </c>
    </row>
    <row r="1496" spans="12:12" x14ac:dyDescent="0.3">
      <c r="L1496" s="8" t="str">
        <f t="shared" si="4"/>
        <v/>
      </c>
    </row>
    <row r="1497" spans="12:12" x14ac:dyDescent="0.3">
      <c r="L1497" s="8" t="str">
        <f t="shared" si="4"/>
        <v/>
      </c>
    </row>
    <row r="1498" spans="12:12" x14ac:dyDescent="0.3">
      <c r="L1498" s="8" t="str">
        <f t="shared" si="4"/>
        <v/>
      </c>
    </row>
    <row r="1499" spans="12:12" x14ac:dyDescent="0.3">
      <c r="L1499" s="8" t="str">
        <f t="shared" si="4"/>
        <v/>
      </c>
    </row>
    <row r="1500" spans="12:12" x14ac:dyDescent="0.3">
      <c r="L1500" s="8" t="str">
        <f t="shared" si="4"/>
        <v/>
      </c>
    </row>
    <row r="1501" spans="12:12" x14ac:dyDescent="0.3">
      <c r="L1501" s="8" t="str">
        <f t="shared" si="4"/>
        <v/>
      </c>
    </row>
    <row r="1502" spans="12:12" x14ac:dyDescent="0.3">
      <c r="L1502" s="8" t="str">
        <f t="shared" si="4"/>
        <v/>
      </c>
    </row>
    <row r="1503" spans="12:12" x14ac:dyDescent="0.3">
      <c r="L1503" s="8" t="str">
        <f t="shared" si="4"/>
        <v/>
      </c>
    </row>
    <row r="1504" spans="12:12" x14ac:dyDescent="0.3">
      <c r="L1504" s="8" t="str">
        <f t="shared" si="4"/>
        <v/>
      </c>
    </row>
    <row r="1505" spans="12:12" x14ac:dyDescent="0.3">
      <c r="L1505" s="8" t="str">
        <f t="shared" si="4"/>
        <v/>
      </c>
    </row>
    <row r="1506" spans="12:12" x14ac:dyDescent="0.3">
      <c r="L1506" s="8" t="str">
        <f t="shared" si="4"/>
        <v/>
      </c>
    </row>
    <row r="1507" spans="12:12" x14ac:dyDescent="0.3">
      <c r="L1507" s="8" t="str">
        <f t="shared" si="4"/>
        <v/>
      </c>
    </row>
    <row r="1508" spans="12:12" x14ac:dyDescent="0.3">
      <c r="L1508" s="8" t="str">
        <f t="shared" si="4"/>
        <v/>
      </c>
    </row>
    <row r="1509" spans="12:12" x14ac:dyDescent="0.3">
      <c r="L1509" s="8" t="str">
        <f t="shared" si="4"/>
        <v/>
      </c>
    </row>
    <row r="1510" spans="12:12" x14ac:dyDescent="0.3">
      <c r="L1510" s="8" t="str">
        <f t="shared" si="4"/>
        <v/>
      </c>
    </row>
    <row r="1511" spans="12:12" x14ac:dyDescent="0.3">
      <c r="L1511" s="8" t="str">
        <f t="shared" si="4"/>
        <v/>
      </c>
    </row>
    <row r="1512" spans="12:12" x14ac:dyDescent="0.3">
      <c r="L1512" s="8" t="str">
        <f t="shared" si="4"/>
        <v/>
      </c>
    </row>
    <row r="1513" spans="12:12" x14ac:dyDescent="0.3">
      <c r="L1513" s="8" t="str">
        <f t="shared" si="4"/>
        <v/>
      </c>
    </row>
    <row r="1514" spans="12:12" x14ac:dyDescent="0.3">
      <c r="L1514" s="8" t="str">
        <f t="shared" si="4"/>
        <v/>
      </c>
    </row>
    <row r="1515" spans="12:12" x14ac:dyDescent="0.3">
      <c r="L1515" s="8" t="str">
        <f t="shared" si="4"/>
        <v/>
      </c>
    </row>
    <row r="1516" spans="12:12" x14ac:dyDescent="0.3">
      <c r="L1516" s="8" t="str">
        <f t="shared" si="4"/>
        <v/>
      </c>
    </row>
    <row r="1517" spans="12:12" x14ac:dyDescent="0.3">
      <c r="L1517" s="8" t="str">
        <f t="shared" si="4"/>
        <v/>
      </c>
    </row>
    <row r="1518" spans="12:12" x14ac:dyDescent="0.3">
      <c r="L1518" s="8" t="str">
        <f t="shared" si="4"/>
        <v/>
      </c>
    </row>
    <row r="1519" spans="12:12" x14ac:dyDescent="0.3">
      <c r="L1519" s="8" t="str">
        <f t="shared" si="4"/>
        <v/>
      </c>
    </row>
    <row r="1520" spans="12:12" x14ac:dyDescent="0.3">
      <c r="L1520" s="8" t="str">
        <f t="shared" si="4"/>
        <v/>
      </c>
    </row>
    <row r="1521" spans="12:12" x14ac:dyDescent="0.3">
      <c r="L1521" s="8" t="str">
        <f t="shared" si="4"/>
        <v/>
      </c>
    </row>
    <row r="1522" spans="12:12" x14ac:dyDescent="0.3">
      <c r="L1522" s="8" t="str">
        <f t="shared" si="4"/>
        <v/>
      </c>
    </row>
    <row r="1523" spans="12:12" x14ac:dyDescent="0.3">
      <c r="L1523" s="8" t="str">
        <f t="shared" si="4"/>
        <v/>
      </c>
    </row>
    <row r="1524" spans="12:12" x14ac:dyDescent="0.3">
      <c r="L1524" s="8" t="str">
        <f t="shared" si="4"/>
        <v/>
      </c>
    </row>
    <row r="1525" spans="12:12" x14ac:dyDescent="0.3">
      <c r="L1525" s="8" t="str">
        <f t="shared" si="4"/>
        <v/>
      </c>
    </row>
    <row r="1526" spans="12:12" x14ac:dyDescent="0.3">
      <c r="L1526" s="8" t="str">
        <f t="shared" si="4"/>
        <v/>
      </c>
    </row>
    <row r="1527" spans="12:12" x14ac:dyDescent="0.3">
      <c r="L1527" s="8" t="str">
        <f t="shared" si="4"/>
        <v/>
      </c>
    </row>
    <row r="1528" spans="12:12" x14ac:dyDescent="0.3">
      <c r="L1528" s="8" t="str">
        <f t="shared" si="4"/>
        <v/>
      </c>
    </row>
    <row r="1529" spans="12:12" x14ac:dyDescent="0.3">
      <c r="L1529" s="8" t="str">
        <f t="shared" si="4"/>
        <v/>
      </c>
    </row>
    <row r="1530" spans="12:12" x14ac:dyDescent="0.3">
      <c r="L1530" s="8" t="str">
        <f t="shared" si="4"/>
        <v/>
      </c>
    </row>
    <row r="1531" spans="12:12" x14ac:dyDescent="0.3">
      <c r="L1531" s="8" t="str">
        <f t="shared" si="4"/>
        <v/>
      </c>
    </row>
    <row r="1532" spans="12:12" x14ac:dyDescent="0.3">
      <c r="L1532" s="8" t="str">
        <f t="shared" si="4"/>
        <v/>
      </c>
    </row>
    <row r="1533" spans="12:12" x14ac:dyDescent="0.3">
      <c r="L1533" s="8" t="str">
        <f t="shared" si="4"/>
        <v/>
      </c>
    </row>
    <row r="1534" spans="12:12" x14ac:dyDescent="0.3">
      <c r="L1534" s="8" t="str">
        <f t="shared" si="4"/>
        <v/>
      </c>
    </row>
    <row r="1535" spans="12:12" x14ac:dyDescent="0.3">
      <c r="L1535" s="8" t="str">
        <f t="shared" si="4"/>
        <v/>
      </c>
    </row>
    <row r="1536" spans="12:12" x14ac:dyDescent="0.3">
      <c r="L1536" s="8" t="str">
        <f t="shared" si="4"/>
        <v/>
      </c>
    </row>
    <row r="1537" spans="12:12" x14ac:dyDescent="0.3">
      <c r="L1537" s="8" t="str">
        <f t="shared" si="4"/>
        <v/>
      </c>
    </row>
    <row r="1538" spans="12:12" x14ac:dyDescent="0.3">
      <c r="L1538" s="8" t="str">
        <f t="shared" si="4"/>
        <v/>
      </c>
    </row>
    <row r="1539" spans="12:12" x14ac:dyDescent="0.3">
      <c r="L1539" s="8" t="str">
        <f t="shared" si="4"/>
        <v/>
      </c>
    </row>
    <row r="1540" spans="12:12" x14ac:dyDescent="0.3">
      <c r="L1540" s="8" t="str">
        <f t="shared" ref="L1540:L1603" si="5">IF($A1540="","",$A1540&amp;" — "&amp;$C1540)</f>
        <v/>
      </c>
    </row>
    <row r="1541" spans="12:12" x14ac:dyDescent="0.3">
      <c r="L1541" s="8" t="str">
        <f t="shared" si="5"/>
        <v/>
      </c>
    </row>
    <row r="1542" spans="12:12" x14ac:dyDescent="0.3">
      <c r="L1542" s="8" t="str">
        <f t="shared" si="5"/>
        <v/>
      </c>
    </row>
    <row r="1543" spans="12:12" x14ac:dyDescent="0.3">
      <c r="L1543" s="8" t="str">
        <f t="shared" si="5"/>
        <v/>
      </c>
    </row>
    <row r="1544" spans="12:12" x14ac:dyDescent="0.3">
      <c r="L1544" s="8" t="str">
        <f t="shared" si="5"/>
        <v/>
      </c>
    </row>
    <row r="1545" spans="12:12" x14ac:dyDescent="0.3">
      <c r="L1545" s="8" t="str">
        <f t="shared" si="5"/>
        <v/>
      </c>
    </row>
    <row r="1546" spans="12:12" x14ac:dyDescent="0.3">
      <c r="L1546" s="8" t="str">
        <f t="shared" si="5"/>
        <v/>
      </c>
    </row>
    <row r="1547" spans="12:12" x14ac:dyDescent="0.3">
      <c r="L1547" s="8" t="str">
        <f t="shared" si="5"/>
        <v/>
      </c>
    </row>
    <row r="1548" spans="12:12" x14ac:dyDescent="0.3">
      <c r="L1548" s="8" t="str">
        <f t="shared" si="5"/>
        <v/>
      </c>
    </row>
    <row r="1549" spans="12:12" x14ac:dyDescent="0.3">
      <c r="L1549" s="8" t="str">
        <f t="shared" si="5"/>
        <v/>
      </c>
    </row>
    <row r="1550" spans="12:12" x14ac:dyDescent="0.3">
      <c r="L1550" s="8" t="str">
        <f t="shared" si="5"/>
        <v/>
      </c>
    </row>
    <row r="1551" spans="12:12" x14ac:dyDescent="0.3">
      <c r="L1551" s="8" t="str">
        <f t="shared" si="5"/>
        <v/>
      </c>
    </row>
    <row r="1552" spans="12:12" x14ac:dyDescent="0.3">
      <c r="L1552" s="8" t="str">
        <f t="shared" si="5"/>
        <v/>
      </c>
    </row>
    <row r="1553" spans="12:12" x14ac:dyDescent="0.3">
      <c r="L1553" s="8" t="str">
        <f t="shared" si="5"/>
        <v/>
      </c>
    </row>
    <row r="1554" spans="12:12" x14ac:dyDescent="0.3">
      <c r="L1554" s="8" t="str">
        <f t="shared" si="5"/>
        <v/>
      </c>
    </row>
    <row r="1555" spans="12:12" x14ac:dyDescent="0.3">
      <c r="L1555" s="8" t="str">
        <f t="shared" si="5"/>
        <v/>
      </c>
    </row>
    <row r="1556" spans="12:12" x14ac:dyDescent="0.3">
      <c r="L1556" s="8" t="str">
        <f t="shared" si="5"/>
        <v/>
      </c>
    </row>
    <row r="1557" spans="12:12" x14ac:dyDescent="0.3">
      <c r="L1557" s="8" t="str">
        <f t="shared" si="5"/>
        <v/>
      </c>
    </row>
    <row r="1558" spans="12:12" x14ac:dyDescent="0.3">
      <c r="L1558" s="8" t="str">
        <f t="shared" si="5"/>
        <v/>
      </c>
    </row>
    <row r="1559" spans="12:12" x14ac:dyDescent="0.3">
      <c r="L1559" s="8" t="str">
        <f t="shared" si="5"/>
        <v/>
      </c>
    </row>
    <row r="1560" spans="12:12" x14ac:dyDescent="0.3">
      <c r="L1560" s="8" t="str">
        <f t="shared" si="5"/>
        <v/>
      </c>
    </row>
    <row r="1561" spans="12:12" x14ac:dyDescent="0.3">
      <c r="L1561" s="8" t="str">
        <f t="shared" si="5"/>
        <v/>
      </c>
    </row>
    <row r="1562" spans="12:12" x14ac:dyDescent="0.3">
      <c r="L1562" s="8" t="str">
        <f t="shared" si="5"/>
        <v/>
      </c>
    </row>
    <row r="1563" spans="12:12" x14ac:dyDescent="0.3">
      <c r="L1563" s="8" t="str">
        <f t="shared" si="5"/>
        <v/>
      </c>
    </row>
    <row r="1564" spans="12:12" x14ac:dyDescent="0.3">
      <c r="L1564" s="8" t="str">
        <f t="shared" si="5"/>
        <v/>
      </c>
    </row>
    <row r="1565" spans="12:12" x14ac:dyDescent="0.3">
      <c r="L1565" s="8" t="str">
        <f t="shared" si="5"/>
        <v/>
      </c>
    </row>
    <row r="1566" spans="12:12" x14ac:dyDescent="0.3">
      <c r="L1566" s="8" t="str">
        <f t="shared" si="5"/>
        <v/>
      </c>
    </row>
    <row r="1567" spans="12:12" x14ac:dyDescent="0.3">
      <c r="L1567" s="8" t="str">
        <f t="shared" si="5"/>
        <v/>
      </c>
    </row>
    <row r="1568" spans="12:12" x14ac:dyDescent="0.3">
      <c r="L1568" s="8" t="str">
        <f t="shared" si="5"/>
        <v/>
      </c>
    </row>
    <row r="1569" spans="12:12" x14ac:dyDescent="0.3">
      <c r="L1569" s="8" t="str">
        <f t="shared" si="5"/>
        <v/>
      </c>
    </row>
    <row r="1570" spans="12:12" x14ac:dyDescent="0.3">
      <c r="L1570" s="8" t="str">
        <f t="shared" si="5"/>
        <v/>
      </c>
    </row>
    <row r="1571" spans="12:12" x14ac:dyDescent="0.3">
      <c r="L1571" s="8" t="str">
        <f t="shared" si="5"/>
        <v/>
      </c>
    </row>
    <row r="1572" spans="12:12" x14ac:dyDescent="0.3">
      <c r="L1572" s="8" t="str">
        <f t="shared" si="5"/>
        <v/>
      </c>
    </row>
    <row r="1573" spans="12:12" x14ac:dyDescent="0.3">
      <c r="L1573" s="8" t="str">
        <f t="shared" si="5"/>
        <v/>
      </c>
    </row>
    <row r="1574" spans="12:12" x14ac:dyDescent="0.3">
      <c r="L1574" s="8" t="str">
        <f t="shared" si="5"/>
        <v/>
      </c>
    </row>
    <row r="1575" spans="12:12" x14ac:dyDescent="0.3">
      <c r="L1575" s="8" t="str">
        <f t="shared" si="5"/>
        <v/>
      </c>
    </row>
    <row r="1576" spans="12:12" x14ac:dyDescent="0.3">
      <c r="L1576" s="8" t="str">
        <f t="shared" si="5"/>
        <v/>
      </c>
    </row>
    <row r="1577" spans="12:12" x14ac:dyDescent="0.3">
      <c r="L1577" s="8" t="str">
        <f t="shared" si="5"/>
        <v/>
      </c>
    </row>
    <row r="1578" spans="12:12" x14ac:dyDescent="0.3">
      <c r="L1578" s="8" t="str">
        <f t="shared" si="5"/>
        <v/>
      </c>
    </row>
    <row r="1579" spans="12:12" x14ac:dyDescent="0.3">
      <c r="L1579" s="8" t="str">
        <f t="shared" si="5"/>
        <v/>
      </c>
    </row>
    <row r="1580" spans="12:12" x14ac:dyDescent="0.3">
      <c r="L1580" s="8" t="str">
        <f t="shared" si="5"/>
        <v/>
      </c>
    </row>
    <row r="1581" spans="12:12" x14ac:dyDescent="0.3">
      <c r="L1581" s="8" t="str">
        <f t="shared" si="5"/>
        <v/>
      </c>
    </row>
    <row r="1582" spans="12:12" x14ac:dyDescent="0.3">
      <c r="L1582" s="8" t="str">
        <f t="shared" si="5"/>
        <v/>
      </c>
    </row>
    <row r="1583" spans="12:12" x14ac:dyDescent="0.3">
      <c r="L1583" s="8" t="str">
        <f t="shared" si="5"/>
        <v/>
      </c>
    </row>
    <row r="1584" spans="12:12" x14ac:dyDescent="0.3">
      <c r="L1584" s="8" t="str">
        <f t="shared" si="5"/>
        <v/>
      </c>
    </row>
    <row r="1585" spans="12:12" x14ac:dyDescent="0.3">
      <c r="L1585" s="8" t="str">
        <f t="shared" si="5"/>
        <v/>
      </c>
    </row>
    <row r="1586" spans="12:12" x14ac:dyDescent="0.3">
      <c r="L1586" s="8" t="str">
        <f t="shared" si="5"/>
        <v/>
      </c>
    </row>
    <row r="1587" spans="12:12" x14ac:dyDescent="0.3">
      <c r="L1587" s="8" t="str">
        <f t="shared" si="5"/>
        <v/>
      </c>
    </row>
    <row r="1588" spans="12:12" x14ac:dyDescent="0.3">
      <c r="L1588" s="8" t="str">
        <f t="shared" si="5"/>
        <v/>
      </c>
    </row>
    <row r="1589" spans="12:12" x14ac:dyDescent="0.3">
      <c r="L1589" s="8" t="str">
        <f t="shared" si="5"/>
        <v/>
      </c>
    </row>
    <row r="1590" spans="12:12" x14ac:dyDescent="0.3">
      <c r="L1590" s="8" t="str">
        <f t="shared" si="5"/>
        <v/>
      </c>
    </row>
    <row r="1591" spans="12:12" x14ac:dyDescent="0.3">
      <c r="L1591" s="8" t="str">
        <f t="shared" si="5"/>
        <v/>
      </c>
    </row>
    <row r="1592" spans="12:12" x14ac:dyDescent="0.3">
      <c r="L1592" s="8" t="str">
        <f t="shared" si="5"/>
        <v/>
      </c>
    </row>
    <row r="1593" spans="12:12" x14ac:dyDescent="0.3">
      <c r="L1593" s="8" t="str">
        <f t="shared" si="5"/>
        <v/>
      </c>
    </row>
    <row r="1594" spans="12:12" x14ac:dyDescent="0.3">
      <c r="L1594" s="8" t="str">
        <f t="shared" si="5"/>
        <v/>
      </c>
    </row>
    <row r="1595" spans="12:12" x14ac:dyDescent="0.3">
      <c r="L1595" s="8" t="str">
        <f t="shared" si="5"/>
        <v/>
      </c>
    </row>
    <row r="1596" spans="12:12" x14ac:dyDescent="0.3">
      <c r="L1596" s="8" t="str">
        <f t="shared" si="5"/>
        <v/>
      </c>
    </row>
    <row r="1597" spans="12:12" x14ac:dyDescent="0.3">
      <c r="L1597" s="8" t="str">
        <f t="shared" si="5"/>
        <v/>
      </c>
    </row>
    <row r="1598" spans="12:12" x14ac:dyDescent="0.3">
      <c r="L1598" s="8" t="str">
        <f t="shared" si="5"/>
        <v/>
      </c>
    </row>
    <row r="1599" spans="12:12" x14ac:dyDescent="0.3">
      <c r="L1599" s="8" t="str">
        <f t="shared" si="5"/>
        <v/>
      </c>
    </row>
    <row r="1600" spans="12:12" x14ac:dyDescent="0.3">
      <c r="L1600" s="8" t="str">
        <f t="shared" si="5"/>
        <v/>
      </c>
    </row>
    <row r="1601" spans="12:12" x14ac:dyDescent="0.3">
      <c r="L1601" s="8" t="str">
        <f t="shared" si="5"/>
        <v/>
      </c>
    </row>
    <row r="1602" spans="12:12" x14ac:dyDescent="0.3">
      <c r="L1602" s="8" t="str">
        <f t="shared" si="5"/>
        <v/>
      </c>
    </row>
    <row r="1603" spans="12:12" x14ac:dyDescent="0.3">
      <c r="L1603" s="8" t="str">
        <f t="shared" si="5"/>
        <v/>
      </c>
    </row>
    <row r="1604" spans="12:12" x14ac:dyDescent="0.3">
      <c r="L1604" s="8" t="str">
        <f t="shared" ref="L1604:L1667" si="6">IF($A1604="","",$A1604&amp;" — "&amp;$C1604)</f>
        <v/>
      </c>
    </row>
    <row r="1605" spans="12:12" x14ac:dyDescent="0.3">
      <c r="L1605" s="8" t="str">
        <f t="shared" si="6"/>
        <v/>
      </c>
    </row>
    <row r="1606" spans="12:12" x14ac:dyDescent="0.3">
      <c r="L1606" s="8" t="str">
        <f t="shared" si="6"/>
        <v/>
      </c>
    </row>
    <row r="1607" spans="12:12" x14ac:dyDescent="0.3">
      <c r="L1607" s="8" t="str">
        <f t="shared" si="6"/>
        <v/>
      </c>
    </row>
    <row r="1608" spans="12:12" x14ac:dyDescent="0.3">
      <c r="L1608" s="8" t="str">
        <f t="shared" si="6"/>
        <v/>
      </c>
    </row>
    <row r="1609" spans="12:12" x14ac:dyDescent="0.3">
      <c r="L1609" s="8" t="str">
        <f t="shared" si="6"/>
        <v/>
      </c>
    </row>
    <row r="1610" spans="12:12" x14ac:dyDescent="0.3">
      <c r="L1610" s="8" t="str">
        <f t="shared" si="6"/>
        <v/>
      </c>
    </row>
    <row r="1611" spans="12:12" x14ac:dyDescent="0.3">
      <c r="L1611" s="8" t="str">
        <f t="shared" si="6"/>
        <v/>
      </c>
    </row>
    <row r="1612" spans="12:12" x14ac:dyDescent="0.3">
      <c r="L1612" s="8" t="str">
        <f t="shared" si="6"/>
        <v/>
      </c>
    </row>
    <row r="1613" spans="12:12" x14ac:dyDescent="0.3">
      <c r="L1613" s="8" t="str">
        <f t="shared" si="6"/>
        <v/>
      </c>
    </row>
    <row r="1614" spans="12:12" x14ac:dyDescent="0.3">
      <c r="L1614" s="8" t="str">
        <f t="shared" si="6"/>
        <v/>
      </c>
    </row>
    <row r="1615" spans="12:12" x14ac:dyDescent="0.3">
      <c r="L1615" s="8" t="str">
        <f t="shared" si="6"/>
        <v/>
      </c>
    </row>
    <row r="1616" spans="12:12" x14ac:dyDescent="0.3">
      <c r="L1616" s="8" t="str">
        <f t="shared" si="6"/>
        <v/>
      </c>
    </row>
    <row r="1617" spans="12:12" x14ac:dyDescent="0.3">
      <c r="L1617" s="8" t="str">
        <f t="shared" si="6"/>
        <v/>
      </c>
    </row>
    <row r="1618" spans="12:12" x14ac:dyDescent="0.3">
      <c r="L1618" s="8" t="str">
        <f t="shared" si="6"/>
        <v/>
      </c>
    </row>
    <row r="1619" spans="12:12" x14ac:dyDescent="0.3">
      <c r="L1619" s="8" t="str">
        <f t="shared" si="6"/>
        <v/>
      </c>
    </row>
    <row r="1620" spans="12:12" x14ac:dyDescent="0.3">
      <c r="L1620" s="8" t="str">
        <f t="shared" si="6"/>
        <v/>
      </c>
    </row>
    <row r="1621" spans="12:12" x14ac:dyDescent="0.3">
      <c r="L1621" s="8" t="str">
        <f t="shared" si="6"/>
        <v/>
      </c>
    </row>
    <row r="1622" spans="12:12" x14ac:dyDescent="0.3">
      <c r="L1622" s="8" t="str">
        <f t="shared" si="6"/>
        <v/>
      </c>
    </row>
    <row r="1623" spans="12:12" x14ac:dyDescent="0.3">
      <c r="L1623" s="8" t="str">
        <f t="shared" si="6"/>
        <v/>
      </c>
    </row>
    <row r="1624" spans="12:12" x14ac:dyDescent="0.3">
      <c r="L1624" s="8" t="str">
        <f t="shared" si="6"/>
        <v/>
      </c>
    </row>
    <row r="1625" spans="12:12" x14ac:dyDescent="0.3">
      <c r="L1625" s="8" t="str">
        <f t="shared" si="6"/>
        <v/>
      </c>
    </row>
    <row r="1626" spans="12:12" x14ac:dyDescent="0.3">
      <c r="L1626" s="8" t="str">
        <f t="shared" si="6"/>
        <v/>
      </c>
    </row>
    <row r="1627" spans="12:12" x14ac:dyDescent="0.3">
      <c r="L1627" s="8" t="str">
        <f t="shared" si="6"/>
        <v/>
      </c>
    </row>
    <row r="1628" spans="12:12" x14ac:dyDescent="0.3">
      <c r="L1628" s="8" t="str">
        <f t="shared" si="6"/>
        <v/>
      </c>
    </row>
    <row r="1629" spans="12:12" x14ac:dyDescent="0.3">
      <c r="L1629" s="8" t="str">
        <f t="shared" si="6"/>
        <v/>
      </c>
    </row>
    <row r="1630" spans="12:12" x14ac:dyDescent="0.3">
      <c r="L1630" s="8" t="str">
        <f t="shared" si="6"/>
        <v/>
      </c>
    </row>
    <row r="1631" spans="12:12" x14ac:dyDescent="0.3">
      <c r="L1631" s="8" t="str">
        <f t="shared" si="6"/>
        <v/>
      </c>
    </row>
    <row r="1632" spans="12:12" x14ac:dyDescent="0.3">
      <c r="L1632" s="8" t="str">
        <f t="shared" si="6"/>
        <v/>
      </c>
    </row>
    <row r="1633" spans="12:12" x14ac:dyDescent="0.3">
      <c r="L1633" s="8" t="str">
        <f t="shared" si="6"/>
        <v/>
      </c>
    </row>
    <row r="1634" spans="12:12" x14ac:dyDescent="0.3">
      <c r="L1634" s="8" t="str">
        <f t="shared" si="6"/>
        <v/>
      </c>
    </row>
    <row r="1635" spans="12:12" x14ac:dyDescent="0.3">
      <c r="L1635" s="8" t="str">
        <f t="shared" si="6"/>
        <v/>
      </c>
    </row>
    <row r="1636" spans="12:12" x14ac:dyDescent="0.3">
      <c r="L1636" s="8" t="str">
        <f t="shared" si="6"/>
        <v/>
      </c>
    </row>
    <row r="1637" spans="12:12" x14ac:dyDescent="0.3">
      <c r="L1637" s="8" t="str">
        <f t="shared" si="6"/>
        <v/>
      </c>
    </row>
    <row r="1638" spans="12:12" x14ac:dyDescent="0.3">
      <c r="L1638" s="8" t="str">
        <f t="shared" si="6"/>
        <v/>
      </c>
    </row>
    <row r="1639" spans="12:12" x14ac:dyDescent="0.3">
      <c r="L1639" s="8" t="str">
        <f t="shared" si="6"/>
        <v/>
      </c>
    </row>
    <row r="1640" spans="12:12" x14ac:dyDescent="0.3">
      <c r="L1640" s="8" t="str">
        <f t="shared" si="6"/>
        <v/>
      </c>
    </row>
    <row r="1641" spans="12:12" x14ac:dyDescent="0.3">
      <c r="L1641" s="8" t="str">
        <f t="shared" si="6"/>
        <v/>
      </c>
    </row>
    <row r="1642" spans="12:12" x14ac:dyDescent="0.3">
      <c r="L1642" s="8" t="str">
        <f t="shared" si="6"/>
        <v/>
      </c>
    </row>
    <row r="1643" spans="12:12" x14ac:dyDescent="0.3">
      <c r="L1643" s="8" t="str">
        <f t="shared" si="6"/>
        <v/>
      </c>
    </row>
    <row r="1644" spans="12:12" x14ac:dyDescent="0.3">
      <c r="L1644" s="8" t="str">
        <f t="shared" si="6"/>
        <v/>
      </c>
    </row>
    <row r="1645" spans="12:12" x14ac:dyDescent="0.3">
      <c r="L1645" s="8" t="str">
        <f t="shared" si="6"/>
        <v/>
      </c>
    </row>
    <row r="1646" spans="12:12" x14ac:dyDescent="0.3">
      <c r="L1646" s="8" t="str">
        <f t="shared" si="6"/>
        <v/>
      </c>
    </row>
    <row r="1647" spans="12:12" x14ac:dyDescent="0.3">
      <c r="L1647" s="8" t="str">
        <f t="shared" si="6"/>
        <v/>
      </c>
    </row>
    <row r="1648" spans="12:12" x14ac:dyDescent="0.3">
      <c r="L1648" s="8" t="str">
        <f t="shared" si="6"/>
        <v/>
      </c>
    </row>
    <row r="1649" spans="12:12" x14ac:dyDescent="0.3">
      <c r="L1649" s="8" t="str">
        <f t="shared" si="6"/>
        <v/>
      </c>
    </row>
    <row r="1650" spans="12:12" x14ac:dyDescent="0.3">
      <c r="L1650" s="8" t="str">
        <f t="shared" si="6"/>
        <v/>
      </c>
    </row>
    <row r="1651" spans="12:12" x14ac:dyDescent="0.3">
      <c r="L1651" s="8" t="str">
        <f t="shared" si="6"/>
        <v/>
      </c>
    </row>
    <row r="1652" spans="12:12" x14ac:dyDescent="0.3">
      <c r="L1652" s="8" t="str">
        <f t="shared" si="6"/>
        <v/>
      </c>
    </row>
    <row r="1653" spans="12:12" x14ac:dyDescent="0.3">
      <c r="L1653" s="8" t="str">
        <f t="shared" si="6"/>
        <v/>
      </c>
    </row>
    <row r="1654" spans="12:12" x14ac:dyDescent="0.3">
      <c r="L1654" s="8" t="str">
        <f t="shared" si="6"/>
        <v/>
      </c>
    </row>
    <row r="1655" spans="12:12" x14ac:dyDescent="0.3">
      <c r="L1655" s="8" t="str">
        <f t="shared" si="6"/>
        <v/>
      </c>
    </row>
    <row r="1656" spans="12:12" x14ac:dyDescent="0.3">
      <c r="L1656" s="8" t="str">
        <f t="shared" si="6"/>
        <v/>
      </c>
    </row>
    <row r="1657" spans="12:12" x14ac:dyDescent="0.3">
      <c r="L1657" s="8" t="str">
        <f t="shared" si="6"/>
        <v/>
      </c>
    </row>
    <row r="1658" spans="12:12" x14ac:dyDescent="0.3">
      <c r="L1658" s="8" t="str">
        <f t="shared" si="6"/>
        <v/>
      </c>
    </row>
    <row r="1659" spans="12:12" x14ac:dyDescent="0.3">
      <c r="L1659" s="8" t="str">
        <f t="shared" si="6"/>
        <v/>
      </c>
    </row>
    <row r="1660" spans="12:12" x14ac:dyDescent="0.3">
      <c r="L1660" s="8" t="str">
        <f t="shared" si="6"/>
        <v/>
      </c>
    </row>
    <row r="1661" spans="12:12" x14ac:dyDescent="0.3">
      <c r="L1661" s="8" t="str">
        <f t="shared" si="6"/>
        <v/>
      </c>
    </row>
    <row r="1662" spans="12:12" x14ac:dyDescent="0.3">
      <c r="L1662" s="8" t="str">
        <f t="shared" si="6"/>
        <v/>
      </c>
    </row>
    <row r="1663" spans="12:12" x14ac:dyDescent="0.3">
      <c r="L1663" s="8" t="str">
        <f t="shared" si="6"/>
        <v/>
      </c>
    </row>
    <row r="1664" spans="12:12" x14ac:dyDescent="0.3">
      <c r="L1664" s="8" t="str">
        <f t="shared" si="6"/>
        <v/>
      </c>
    </row>
    <row r="1665" spans="12:12" x14ac:dyDescent="0.3">
      <c r="L1665" s="8" t="str">
        <f t="shared" si="6"/>
        <v/>
      </c>
    </row>
    <row r="1666" spans="12:12" x14ac:dyDescent="0.3">
      <c r="L1666" s="8" t="str">
        <f t="shared" si="6"/>
        <v/>
      </c>
    </row>
    <row r="1667" spans="12:12" x14ac:dyDescent="0.3">
      <c r="L1667" s="8" t="str">
        <f t="shared" si="6"/>
        <v/>
      </c>
    </row>
    <row r="1668" spans="12:12" x14ac:dyDescent="0.3">
      <c r="L1668" s="8" t="str">
        <f t="shared" ref="L1668:L1731" si="7">IF($A1668="","",$A1668&amp;" — "&amp;$C1668)</f>
        <v/>
      </c>
    </row>
    <row r="1669" spans="12:12" x14ac:dyDescent="0.3">
      <c r="L1669" s="8" t="str">
        <f t="shared" si="7"/>
        <v/>
      </c>
    </row>
    <row r="1670" spans="12:12" x14ac:dyDescent="0.3">
      <c r="L1670" s="8" t="str">
        <f t="shared" si="7"/>
        <v/>
      </c>
    </row>
    <row r="1671" spans="12:12" x14ac:dyDescent="0.3">
      <c r="L1671" s="8" t="str">
        <f t="shared" si="7"/>
        <v/>
      </c>
    </row>
    <row r="1672" spans="12:12" x14ac:dyDescent="0.3">
      <c r="L1672" s="8" t="str">
        <f t="shared" si="7"/>
        <v/>
      </c>
    </row>
    <row r="1673" spans="12:12" x14ac:dyDescent="0.3">
      <c r="L1673" s="8" t="str">
        <f t="shared" si="7"/>
        <v/>
      </c>
    </row>
    <row r="1674" spans="12:12" x14ac:dyDescent="0.3">
      <c r="L1674" s="8" t="str">
        <f t="shared" si="7"/>
        <v/>
      </c>
    </row>
    <row r="1675" spans="12:12" x14ac:dyDescent="0.3">
      <c r="L1675" s="8" t="str">
        <f t="shared" si="7"/>
        <v/>
      </c>
    </row>
    <row r="1676" spans="12:12" x14ac:dyDescent="0.3">
      <c r="L1676" s="8" t="str">
        <f t="shared" si="7"/>
        <v/>
      </c>
    </row>
    <row r="1677" spans="12:12" x14ac:dyDescent="0.3">
      <c r="L1677" s="8" t="str">
        <f t="shared" si="7"/>
        <v/>
      </c>
    </row>
    <row r="1678" spans="12:12" x14ac:dyDescent="0.3">
      <c r="L1678" s="8" t="str">
        <f t="shared" si="7"/>
        <v/>
      </c>
    </row>
    <row r="1679" spans="12:12" x14ac:dyDescent="0.3">
      <c r="L1679" s="8" t="str">
        <f t="shared" si="7"/>
        <v/>
      </c>
    </row>
    <row r="1680" spans="12:12" x14ac:dyDescent="0.3">
      <c r="L1680" s="8" t="str">
        <f t="shared" si="7"/>
        <v/>
      </c>
    </row>
    <row r="1681" spans="12:12" x14ac:dyDescent="0.3">
      <c r="L1681" s="8" t="str">
        <f t="shared" si="7"/>
        <v/>
      </c>
    </row>
    <row r="1682" spans="12:12" x14ac:dyDescent="0.3">
      <c r="L1682" s="8" t="str">
        <f t="shared" si="7"/>
        <v/>
      </c>
    </row>
    <row r="1683" spans="12:12" x14ac:dyDescent="0.3">
      <c r="L1683" s="8" t="str">
        <f t="shared" si="7"/>
        <v/>
      </c>
    </row>
    <row r="1684" spans="12:12" x14ac:dyDescent="0.3">
      <c r="L1684" s="8" t="str">
        <f t="shared" si="7"/>
        <v/>
      </c>
    </row>
    <row r="1685" spans="12:12" x14ac:dyDescent="0.3">
      <c r="L1685" s="8" t="str">
        <f t="shared" si="7"/>
        <v/>
      </c>
    </row>
    <row r="1686" spans="12:12" x14ac:dyDescent="0.3">
      <c r="L1686" s="8" t="str">
        <f t="shared" si="7"/>
        <v/>
      </c>
    </row>
    <row r="1687" spans="12:12" x14ac:dyDescent="0.3">
      <c r="L1687" s="8" t="str">
        <f t="shared" si="7"/>
        <v/>
      </c>
    </row>
    <row r="1688" spans="12:12" x14ac:dyDescent="0.3">
      <c r="L1688" s="8" t="str">
        <f t="shared" si="7"/>
        <v/>
      </c>
    </row>
    <row r="1689" spans="12:12" x14ac:dyDescent="0.3">
      <c r="L1689" s="8" t="str">
        <f t="shared" si="7"/>
        <v/>
      </c>
    </row>
    <row r="1690" spans="12:12" x14ac:dyDescent="0.3">
      <c r="L1690" s="8" t="str">
        <f t="shared" si="7"/>
        <v/>
      </c>
    </row>
    <row r="1691" spans="12:12" x14ac:dyDescent="0.3">
      <c r="L1691" s="8" t="str">
        <f t="shared" si="7"/>
        <v/>
      </c>
    </row>
    <row r="1692" spans="12:12" x14ac:dyDescent="0.3">
      <c r="L1692" s="8" t="str">
        <f t="shared" si="7"/>
        <v/>
      </c>
    </row>
    <row r="1693" spans="12:12" x14ac:dyDescent="0.3">
      <c r="L1693" s="8" t="str">
        <f t="shared" si="7"/>
        <v/>
      </c>
    </row>
    <row r="1694" spans="12:12" x14ac:dyDescent="0.3">
      <c r="L1694" s="8" t="str">
        <f t="shared" si="7"/>
        <v/>
      </c>
    </row>
    <row r="1695" spans="12:12" x14ac:dyDescent="0.3">
      <c r="L1695" s="8" t="str">
        <f t="shared" si="7"/>
        <v/>
      </c>
    </row>
    <row r="1696" spans="12:12" x14ac:dyDescent="0.3">
      <c r="L1696" s="8" t="str">
        <f t="shared" si="7"/>
        <v/>
      </c>
    </row>
    <row r="1697" spans="12:12" x14ac:dyDescent="0.3">
      <c r="L1697" s="8" t="str">
        <f t="shared" si="7"/>
        <v/>
      </c>
    </row>
    <row r="1698" spans="12:12" x14ac:dyDescent="0.3">
      <c r="L1698" s="8" t="str">
        <f t="shared" si="7"/>
        <v/>
      </c>
    </row>
    <row r="1699" spans="12:12" x14ac:dyDescent="0.3">
      <c r="L1699" s="8" t="str">
        <f t="shared" si="7"/>
        <v/>
      </c>
    </row>
    <row r="1700" spans="12:12" x14ac:dyDescent="0.3">
      <c r="L1700" s="8" t="str">
        <f t="shared" si="7"/>
        <v/>
      </c>
    </row>
    <row r="1701" spans="12:12" x14ac:dyDescent="0.3">
      <c r="L1701" s="8" t="str">
        <f t="shared" si="7"/>
        <v/>
      </c>
    </row>
    <row r="1702" spans="12:12" x14ac:dyDescent="0.3">
      <c r="L1702" s="8" t="str">
        <f t="shared" si="7"/>
        <v/>
      </c>
    </row>
    <row r="1703" spans="12:12" x14ac:dyDescent="0.3">
      <c r="L1703" s="8" t="str">
        <f t="shared" si="7"/>
        <v/>
      </c>
    </row>
    <row r="1704" spans="12:12" x14ac:dyDescent="0.3">
      <c r="L1704" s="8" t="str">
        <f t="shared" si="7"/>
        <v/>
      </c>
    </row>
    <row r="1705" spans="12:12" x14ac:dyDescent="0.3">
      <c r="L1705" s="8" t="str">
        <f t="shared" si="7"/>
        <v/>
      </c>
    </row>
    <row r="1706" spans="12:12" x14ac:dyDescent="0.3">
      <c r="L1706" s="8" t="str">
        <f t="shared" si="7"/>
        <v/>
      </c>
    </row>
    <row r="1707" spans="12:12" x14ac:dyDescent="0.3">
      <c r="L1707" s="8" t="str">
        <f t="shared" si="7"/>
        <v/>
      </c>
    </row>
    <row r="1708" spans="12:12" x14ac:dyDescent="0.3">
      <c r="L1708" s="8" t="str">
        <f t="shared" si="7"/>
        <v/>
      </c>
    </row>
    <row r="1709" spans="12:12" x14ac:dyDescent="0.3">
      <c r="L1709" s="8" t="str">
        <f t="shared" si="7"/>
        <v/>
      </c>
    </row>
    <row r="1710" spans="12:12" x14ac:dyDescent="0.3">
      <c r="L1710" s="8" t="str">
        <f t="shared" si="7"/>
        <v/>
      </c>
    </row>
    <row r="1711" spans="12:12" x14ac:dyDescent="0.3">
      <c r="L1711" s="8" t="str">
        <f t="shared" si="7"/>
        <v/>
      </c>
    </row>
    <row r="1712" spans="12:12" x14ac:dyDescent="0.3">
      <c r="L1712" s="8" t="str">
        <f t="shared" si="7"/>
        <v/>
      </c>
    </row>
    <row r="1713" spans="12:12" x14ac:dyDescent="0.3">
      <c r="L1713" s="8" t="str">
        <f t="shared" si="7"/>
        <v/>
      </c>
    </row>
    <row r="1714" spans="12:12" x14ac:dyDescent="0.3">
      <c r="L1714" s="8" t="str">
        <f t="shared" si="7"/>
        <v/>
      </c>
    </row>
    <row r="1715" spans="12:12" x14ac:dyDescent="0.3">
      <c r="L1715" s="8" t="str">
        <f t="shared" si="7"/>
        <v/>
      </c>
    </row>
    <row r="1716" spans="12:12" x14ac:dyDescent="0.3">
      <c r="L1716" s="8" t="str">
        <f t="shared" si="7"/>
        <v/>
      </c>
    </row>
    <row r="1717" spans="12:12" x14ac:dyDescent="0.3">
      <c r="L1717" s="8" t="str">
        <f t="shared" si="7"/>
        <v/>
      </c>
    </row>
    <row r="1718" spans="12:12" x14ac:dyDescent="0.3">
      <c r="L1718" s="8" t="str">
        <f t="shared" si="7"/>
        <v/>
      </c>
    </row>
    <row r="1719" spans="12:12" x14ac:dyDescent="0.3">
      <c r="L1719" s="8" t="str">
        <f t="shared" si="7"/>
        <v/>
      </c>
    </row>
    <row r="1720" spans="12:12" x14ac:dyDescent="0.3">
      <c r="L1720" s="8" t="str">
        <f t="shared" si="7"/>
        <v/>
      </c>
    </row>
    <row r="1721" spans="12:12" x14ac:dyDescent="0.3">
      <c r="L1721" s="8" t="str">
        <f t="shared" si="7"/>
        <v/>
      </c>
    </row>
    <row r="1722" spans="12:12" x14ac:dyDescent="0.3">
      <c r="L1722" s="8" t="str">
        <f t="shared" si="7"/>
        <v/>
      </c>
    </row>
    <row r="1723" spans="12:12" x14ac:dyDescent="0.3">
      <c r="L1723" s="8" t="str">
        <f t="shared" si="7"/>
        <v/>
      </c>
    </row>
    <row r="1724" spans="12:12" x14ac:dyDescent="0.3">
      <c r="L1724" s="8" t="str">
        <f t="shared" si="7"/>
        <v/>
      </c>
    </row>
    <row r="1725" spans="12:12" x14ac:dyDescent="0.3">
      <c r="L1725" s="8" t="str">
        <f t="shared" si="7"/>
        <v/>
      </c>
    </row>
    <row r="1726" spans="12:12" x14ac:dyDescent="0.3">
      <c r="L1726" s="8" t="str">
        <f t="shared" si="7"/>
        <v/>
      </c>
    </row>
    <row r="1727" spans="12:12" x14ac:dyDescent="0.3">
      <c r="L1727" s="8" t="str">
        <f t="shared" si="7"/>
        <v/>
      </c>
    </row>
    <row r="1728" spans="12:12" x14ac:dyDescent="0.3">
      <c r="L1728" s="8" t="str">
        <f t="shared" si="7"/>
        <v/>
      </c>
    </row>
    <row r="1729" spans="12:12" x14ac:dyDescent="0.3">
      <c r="L1729" s="8" t="str">
        <f t="shared" si="7"/>
        <v/>
      </c>
    </row>
    <row r="1730" spans="12:12" x14ac:dyDescent="0.3">
      <c r="L1730" s="8" t="str">
        <f t="shared" si="7"/>
        <v/>
      </c>
    </row>
    <row r="1731" spans="12:12" x14ac:dyDescent="0.3">
      <c r="L1731" s="8" t="str">
        <f t="shared" si="7"/>
        <v/>
      </c>
    </row>
    <row r="1732" spans="12:12" x14ac:dyDescent="0.3">
      <c r="L1732" s="8" t="str">
        <f t="shared" ref="L1732:L1795" si="8">IF($A1732="","",$A1732&amp;" — "&amp;$C1732)</f>
        <v/>
      </c>
    </row>
    <row r="1733" spans="12:12" x14ac:dyDescent="0.3">
      <c r="L1733" s="8" t="str">
        <f t="shared" si="8"/>
        <v/>
      </c>
    </row>
    <row r="1734" spans="12:12" x14ac:dyDescent="0.3">
      <c r="L1734" s="8" t="str">
        <f t="shared" si="8"/>
        <v/>
      </c>
    </row>
    <row r="1735" spans="12:12" x14ac:dyDescent="0.3">
      <c r="L1735" s="8" t="str">
        <f t="shared" si="8"/>
        <v/>
      </c>
    </row>
    <row r="1736" spans="12:12" x14ac:dyDescent="0.3">
      <c r="L1736" s="8" t="str">
        <f t="shared" si="8"/>
        <v/>
      </c>
    </row>
    <row r="1737" spans="12:12" x14ac:dyDescent="0.3">
      <c r="L1737" s="8" t="str">
        <f t="shared" si="8"/>
        <v/>
      </c>
    </row>
    <row r="1738" spans="12:12" x14ac:dyDescent="0.3">
      <c r="L1738" s="8" t="str">
        <f t="shared" si="8"/>
        <v/>
      </c>
    </row>
    <row r="1739" spans="12:12" x14ac:dyDescent="0.3">
      <c r="L1739" s="8" t="str">
        <f t="shared" si="8"/>
        <v/>
      </c>
    </row>
    <row r="1740" spans="12:12" x14ac:dyDescent="0.3">
      <c r="L1740" s="8" t="str">
        <f t="shared" si="8"/>
        <v/>
      </c>
    </row>
    <row r="1741" spans="12:12" x14ac:dyDescent="0.3">
      <c r="L1741" s="8" t="str">
        <f t="shared" si="8"/>
        <v/>
      </c>
    </row>
    <row r="1742" spans="12:12" x14ac:dyDescent="0.3">
      <c r="L1742" s="8" t="str">
        <f t="shared" si="8"/>
        <v/>
      </c>
    </row>
    <row r="1743" spans="12:12" x14ac:dyDescent="0.3">
      <c r="L1743" s="8" t="str">
        <f t="shared" si="8"/>
        <v/>
      </c>
    </row>
    <row r="1744" spans="12:12" x14ac:dyDescent="0.3">
      <c r="L1744" s="8" t="str">
        <f t="shared" si="8"/>
        <v/>
      </c>
    </row>
    <row r="1745" spans="12:12" x14ac:dyDescent="0.3">
      <c r="L1745" s="8" t="str">
        <f t="shared" si="8"/>
        <v/>
      </c>
    </row>
    <row r="1746" spans="12:12" x14ac:dyDescent="0.3">
      <c r="L1746" s="8" t="str">
        <f t="shared" si="8"/>
        <v/>
      </c>
    </row>
    <row r="1747" spans="12:12" x14ac:dyDescent="0.3">
      <c r="L1747" s="8" t="str">
        <f t="shared" si="8"/>
        <v/>
      </c>
    </row>
    <row r="1748" spans="12:12" x14ac:dyDescent="0.3">
      <c r="L1748" s="8" t="str">
        <f t="shared" si="8"/>
        <v/>
      </c>
    </row>
    <row r="1749" spans="12:12" x14ac:dyDescent="0.3">
      <c r="L1749" s="8" t="str">
        <f t="shared" si="8"/>
        <v/>
      </c>
    </row>
    <row r="1750" spans="12:12" x14ac:dyDescent="0.3">
      <c r="L1750" s="8" t="str">
        <f t="shared" si="8"/>
        <v/>
      </c>
    </row>
    <row r="1751" spans="12:12" x14ac:dyDescent="0.3">
      <c r="L1751" s="8" t="str">
        <f t="shared" si="8"/>
        <v/>
      </c>
    </row>
    <row r="1752" spans="12:12" x14ac:dyDescent="0.3">
      <c r="L1752" s="8" t="str">
        <f t="shared" si="8"/>
        <v/>
      </c>
    </row>
    <row r="1753" spans="12:12" x14ac:dyDescent="0.3">
      <c r="L1753" s="8" t="str">
        <f t="shared" si="8"/>
        <v/>
      </c>
    </row>
    <row r="1754" spans="12:12" x14ac:dyDescent="0.3">
      <c r="L1754" s="8" t="str">
        <f t="shared" si="8"/>
        <v/>
      </c>
    </row>
    <row r="1755" spans="12:12" x14ac:dyDescent="0.3">
      <c r="L1755" s="8" t="str">
        <f t="shared" si="8"/>
        <v/>
      </c>
    </row>
    <row r="1756" spans="12:12" x14ac:dyDescent="0.3">
      <c r="L1756" s="8" t="str">
        <f t="shared" si="8"/>
        <v/>
      </c>
    </row>
    <row r="1757" spans="12:12" x14ac:dyDescent="0.3">
      <c r="L1757" s="8" t="str">
        <f t="shared" si="8"/>
        <v/>
      </c>
    </row>
    <row r="1758" spans="12:12" x14ac:dyDescent="0.3">
      <c r="L1758" s="8" t="str">
        <f t="shared" si="8"/>
        <v/>
      </c>
    </row>
    <row r="1759" spans="12:12" x14ac:dyDescent="0.3">
      <c r="L1759" s="8" t="str">
        <f t="shared" si="8"/>
        <v/>
      </c>
    </row>
    <row r="1760" spans="12:12" x14ac:dyDescent="0.3">
      <c r="L1760" s="8" t="str">
        <f t="shared" si="8"/>
        <v/>
      </c>
    </row>
    <row r="1761" spans="12:12" x14ac:dyDescent="0.3">
      <c r="L1761" s="8" t="str">
        <f t="shared" si="8"/>
        <v/>
      </c>
    </row>
    <row r="1762" spans="12:12" x14ac:dyDescent="0.3">
      <c r="L1762" s="8" t="str">
        <f t="shared" si="8"/>
        <v/>
      </c>
    </row>
    <row r="1763" spans="12:12" x14ac:dyDescent="0.3">
      <c r="L1763" s="8" t="str">
        <f t="shared" si="8"/>
        <v/>
      </c>
    </row>
    <row r="1764" spans="12:12" x14ac:dyDescent="0.3">
      <c r="L1764" s="8" t="str">
        <f t="shared" si="8"/>
        <v/>
      </c>
    </row>
    <row r="1765" spans="12:12" x14ac:dyDescent="0.3">
      <c r="L1765" s="8" t="str">
        <f t="shared" si="8"/>
        <v/>
      </c>
    </row>
    <row r="1766" spans="12:12" x14ac:dyDescent="0.3">
      <c r="L1766" s="8" t="str">
        <f t="shared" si="8"/>
        <v/>
      </c>
    </row>
    <row r="1767" spans="12:12" x14ac:dyDescent="0.3">
      <c r="L1767" s="8" t="str">
        <f t="shared" si="8"/>
        <v/>
      </c>
    </row>
    <row r="1768" spans="12:12" x14ac:dyDescent="0.3">
      <c r="L1768" s="8" t="str">
        <f t="shared" si="8"/>
        <v/>
      </c>
    </row>
    <row r="1769" spans="12:12" x14ac:dyDescent="0.3">
      <c r="L1769" s="8" t="str">
        <f t="shared" si="8"/>
        <v/>
      </c>
    </row>
    <row r="1770" spans="12:12" x14ac:dyDescent="0.3">
      <c r="L1770" s="8" t="str">
        <f t="shared" si="8"/>
        <v/>
      </c>
    </row>
    <row r="1771" spans="12:12" x14ac:dyDescent="0.3">
      <c r="L1771" s="8" t="str">
        <f t="shared" si="8"/>
        <v/>
      </c>
    </row>
    <row r="1772" spans="12:12" x14ac:dyDescent="0.3">
      <c r="L1772" s="8" t="str">
        <f t="shared" si="8"/>
        <v/>
      </c>
    </row>
    <row r="1773" spans="12:12" x14ac:dyDescent="0.3">
      <c r="L1773" s="8" t="str">
        <f t="shared" si="8"/>
        <v/>
      </c>
    </row>
    <row r="1774" spans="12:12" x14ac:dyDescent="0.3">
      <c r="L1774" s="8" t="str">
        <f t="shared" si="8"/>
        <v/>
      </c>
    </row>
    <row r="1775" spans="12:12" x14ac:dyDescent="0.3">
      <c r="L1775" s="8" t="str">
        <f t="shared" si="8"/>
        <v/>
      </c>
    </row>
    <row r="1776" spans="12:12" x14ac:dyDescent="0.3">
      <c r="L1776" s="8" t="str">
        <f t="shared" si="8"/>
        <v/>
      </c>
    </row>
    <row r="1777" spans="12:12" x14ac:dyDescent="0.3">
      <c r="L1777" s="8" t="str">
        <f t="shared" si="8"/>
        <v/>
      </c>
    </row>
    <row r="1778" spans="12:12" x14ac:dyDescent="0.3">
      <c r="L1778" s="8" t="str">
        <f t="shared" si="8"/>
        <v/>
      </c>
    </row>
    <row r="1779" spans="12:12" x14ac:dyDescent="0.3">
      <c r="L1779" s="8" t="str">
        <f t="shared" si="8"/>
        <v/>
      </c>
    </row>
    <row r="1780" spans="12:12" x14ac:dyDescent="0.3">
      <c r="L1780" s="8" t="str">
        <f t="shared" si="8"/>
        <v/>
      </c>
    </row>
    <row r="1781" spans="12:12" x14ac:dyDescent="0.3">
      <c r="L1781" s="8" t="str">
        <f t="shared" si="8"/>
        <v/>
      </c>
    </row>
    <row r="1782" spans="12:12" x14ac:dyDescent="0.3">
      <c r="L1782" s="8" t="str">
        <f t="shared" si="8"/>
        <v/>
      </c>
    </row>
    <row r="1783" spans="12:12" x14ac:dyDescent="0.3">
      <c r="L1783" s="8" t="str">
        <f t="shared" si="8"/>
        <v/>
      </c>
    </row>
    <row r="1784" spans="12:12" x14ac:dyDescent="0.3">
      <c r="L1784" s="8" t="str">
        <f t="shared" si="8"/>
        <v/>
      </c>
    </row>
    <row r="1785" spans="12:12" x14ac:dyDescent="0.3">
      <c r="L1785" s="8" t="str">
        <f t="shared" si="8"/>
        <v/>
      </c>
    </row>
    <row r="1786" spans="12:12" x14ac:dyDescent="0.3">
      <c r="L1786" s="8" t="str">
        <f t="shared" si="8"/>
        <v/>
      </c>
    </row>
    <row r="1787" spans="12:12" x14ac:dyDescent="0.3">
      <c r="L1787" s="8" t="str">
        <f t="shared" si="8"/>
        <v/>
      </c>
    </row>
    <row r="1788" spans="12:12" x14ac:dyDescent="0.3">
      <c r="L1788" s="8" t="str">
        <f t="shared" si="8"/>
        <v/>
      </c>
    </row>
    <row r="1789" spans="12:12" x14ac:dyDescent="0.3">
      <c r="L1789" s="8" t="str">
        <f t="shared" si="8"/>
        <v/>
      </c>
    </row>
    <row r="1790" spans="12:12" x14ac:dyDescent="0.3">
      <c r="L1790" s="8" t="str">
        <f t="shared" si="8"/>
        <v/>
      </c>
    </row>
    <row r="1791" spans="12:12" x14ac:dyDescent="0.3">
      <c r="L1791" s="8" t="str">
        <f t="shared" si="8"/>
        <v/>
      </c>
    </row>
    <row r="1792" spans="12:12" x14ac:dyDescent="0.3">
      <c r="L1792" s="8" t="str">
        <f t="shared" si="8"/>
        <v/>
      </c>
    </row>
    <row r="1793" spans="12:12" x14ac:dyDescent="0.3">
      <c r="L1793" s="8" t="str">
        <f t="shared" si="8"/>
        <v/>
      </c>
    </row>
    <row r="1794" spans="12:12" x14ac:dyDescent="0.3">
      <c r="L1794" s="8" t="str">
        <f t="shared" si="8"/>
        <v/>
      </c>
    </row>
    <row r="1795" spans="12:12" x14ac:dyDescent="0.3">
      <c r="L1795" s="8" t="str">
        <f t="shared" si="8"/>
        <v/>
      </c>
    </row>
    <row r="1796" spans="12:12" x14ac:dyDescent="0.3">
      <c r="L1796" s="8" t="str">
        <f t="shared" ref="L1796:L1859" si="9">IF($A1796="","",$A1796&amp;" — "&amp;$C1796)</f>
        <v/>
      </c>
    </row>
    <row r="1797" spans="12:12" x14ac:dyDescent="0.3">
      <c r="L1797" s="8" t="str">
        <f t="shared" si="9"/>
        <v/>
      </c>
    </row>
    <row r="1798" spans="12:12" x14ac:dyDescent="0.3">
      <c r="L1798" s="8" t="str">
        <f t="shared" si="9"/>
        <v/>
      </c>
    </row>
    <row r="1799" spans="12:12" x14ac:dyDescent="0.3">
      <c r="L1799" s="8" t="str">
        <f t="shared" si="9"/>
        <v/>
      </c>
    </row>
    <row r="1800" spans="12:12" x14ac:dyDescent="0.3">
      <c r="L1800" s="8" t="str">
        <f t="shared" si="9"/>
        <v/>
      </c>
    </row>
    <row r="1801" spans="12:12" x14ac:dyDescent="0.3">
      <c r="L1801" s="8" t="str">
        <f t="shared" si="9"/>
        <v/>
      </c>
    </row>
    <row r="1802" spans="12:12" x14ac:dyDescent="0.3">
      <c r="L1802" s="8" t="str">
        <f t="shared" si="9"/>
        <v/>
      </c>
    </row>
    <row r="1803" spans="12:12" x14ac:dyDescent="0.3">
      <c r="L1803" s="8" t="str">
        <f t="shared" si="9"/>
        <v/>
      </c>
    </row>
    <row r="1804" spans="12:12" x14ac:dyDescent="0.3">
      <c r="L1804" s="8" t="str">
        <f t="shared" si="9"/>
        <v/>
      </c>
    </row>
    <row r="1805" spans="12:12" x14ac:dyDescent="0.3">
      <c r="L1805" s="8" t="str">
        <f t="shared" si="9"/>
        <v/>
      </c>
    </row>
    <row r="1806" spans="12:12" x14ac:dyDescent="0.3">
      <c r="L1806" s="8" t="str">
        <f t="shared" si="9"/>
        <v/>
      </c>
    </row>
    <row r="1807" spans="12:12" x14ac:dyDescent="0.3">
      <c r="L1807" s="8" t="str">
        <f t="shared" si="9"/>
        <v/>
      </c>
    </row>
    <row r="1808" spans="12:12" x14ac:dyDescent="0.3">
      <c r="L1808" s="8" t="str">
        <f t="shared" si="9"/>
        <v/>
      </c>
    </row>
    <row r="1809" spans="12:12" x14ac:dyDescent="0.3">
      <c r="L1809" s="8" t="str">
        <f t="shared" si="9"/>
        <v/>
      </c>
    </row>
    <row r="1810" spans="12:12" x14ac:dyDescent="0.3">
      <c r="L1810" s="8" t="str">
        <f t="shared" si="9"/>
        <v/>
      </c>
    </row>
    <row r="1811" spans="12:12" x14ac:dyDescent="0.3">
      <c r="L1811" s="8" t="str">
        <f t="shared" si="9"/>
        <v/>
      </c>
    </row>
    <row r="1812" spans="12:12" x14ac:dyDescent="0.3">
      <c r="L1812" s="8" t="str">
        <f t="shared" si="9"/>
        <v/>
      </c>
    </row>
    <row r="1813" spans="12:12" x14ac:dyDescent="0.3">
      <c r="L1813" s="8" t="str">
        <f t="shared" si="9"/>
        <v/>
      </c>
    </row>
    <row r="1814" spans="12:12" x14ac:dyDescent="0.3">
      <c r="L1814" s="8" t="str">
        <f t="shared" si="9"/>
        <v/>
      </c>
    </row>
    <row r="1815" spans="12:12" x14ac:dyDescent="0.3">
      <c r="L1815" s="8" t="str">
        <f t="shared" si="9"/>
        <v/>
      </c>
    </row>
    <row r="1816" spans="12:12" x14ac:dyDescent="0.3">
      <c r="L1816" s="8" t="str">
        <f t="shared" si="9"/>
        <v/>
      </c>
    </row>
    <row r="1817" spans="12:12" x14ac:dyDescent="0.3">
      <c r="L1817" s="8" t="str">
        <f t="shared" si="9"/>
        <v/>
      </c>
    </row>
    <row r="1818" spans="12:12" x14ac:dyDescent="0.3">
      <c r="L1818" s="8" t="str">
        <f t="shared" si="9"/>
        <v/>
      </c>
    </row>
    <row r="1819" spans="12:12" x14ac:dyDescent="0.3">
      <c r="L1819" s="8" t="str">
        <f t="shared" si="9"/>
        <v/>
      </c>
    </row>
    <row r="1820" spans="12:12" x14ac:dyDescent="0.3">
      <c r="L1820" s="8" t="str">
        <f t="shared" si="9"/>
        <v/>
      </c>
    </row>
    <row r="1821" spans="12:12" x14ac:dyDescent="0.3">
      <c r="L1821" s="8" t="str">
        <f t="shared" si="9"/>
        <v/>
      </c>
    </row>
    <row r="1822" spans="12:12" x14ac:dyDescent="0.3">
      <c r="L1822" s="8" t="str">
        <f t="shared" si="9"/>
        <v/>
      </c>
    </row>
    <row r="1823" spans="12:12" x14ac:dyDescent="0.3">
      <c r="L1823" s="8" t="str">
        <f t="shared" si="9"/>
        <v/>
      </c>
    </row>
    <row r="1824" spans="12:12" x14ac:dyDescent="0.3">
      <c r="L1824" s="8" t="str">
        <f t="shared" si="9"/>
        <v/>
      </c>
    </row>
    <row r="1825" spans="12:12" x14ac:dyDescent="0.3">
      <c r="L1825" s="8" t="str">
        <f t="shared" si="9"/>
        <v/>
      </c>
    </row>
    <row r="1826" spans="12:12" x14ac:dyDescent="0.3">
      <c r="L1826" s="8" t="str">
        <f t="shared" si="9"/>
        <v/>
      </c>
    </row>
    <row r="1827" spans="12:12" x14ac:dyDescent="0.3">
      <c r="L1827" s="8" t="str">
        <f t="shared" si="9"/>
        <v/>
      </c>
    </row>
    <row r="1828" spans="12:12" x14ac:dyDescent="0.3">
      <c r="L1828" s="8" t="str">
        <f t="shared" si="9"/>
        <v/>
      </c>
    </row>
    <row r="1829" spans="12:12" x14ac:dyDescent="0.3">
      <c r="L1829" s="8" t="str">
        <f t="shared" si="9"/>
        <v/>
      </c>
    </row>
    <row r="1830" spans="12:12" x14ac:dyDescent="0.3">
      <c r="L1830" s="8" t="str">
        <f t="shared" si="9"/>
        <v/>
      </c>
    </row>
    <row r="1831" spans="12:12" x14ac:dyDescent="0.3">
      <c r="L1831" s="8" t="str">
        <f t="shared" si="9"/>
        <v/>
      </c>
    </row>
    <row r="1832" spans="12:12" x14ac:dyDescent="0.3">
      <c r="L1832" s="8" t="str">
        <f t="shared" si="9"/>
        <v/>
      </c>
    </row>
    <row r="1833" spans="12:12" x14ac:dyDescent="0.3">
      <c r="L1833" s="8" t="str">
        <f t="shared" si="9"/>
        <v/>
      </c>
    </row>
    <row r="1834" spans="12:12" x14ac:dyDescent="0.3">
      <c r="L1834" s="8" t="str">
        <f t="shared" si="9"/>
        <v/>
      </c>
    </row>
    <row r="1835" spans="12:12" x14ac:dyDescent="0.3">
      <c r="L1835" s="8" t="str">
        <f t="shared" si="9"/>
        <v/>
      </c>
    </row>
    <row r="1836" spans="12:12" x14ac:dyDescent="0.3">
      <c r="L1836" s="8" t="str">
        <f t="shared" si="9"/>
        <v/>
      </c>
    </row>
    <row r="1837" spans="12:12" x14ac:dyDescent="0.3">
      <c r="L1837" s="8" t="str">
        <f t="shared" si="9"/>
        <v/>
      </c>
    </row>
    <row r="1838" spans="12:12" x14ac:dyDescent="0.3">
      <c r="L1838" s="8" t="str">
        <f t="shared" si="9"/>
        <v/>
      </c>
    </row>
    <row r="1839" spans="12:12" x14ac:dyDescent="0.3">
      <c r="L1839" s="8" t="str">
        <f t="shared" si="9"/>
        <v/>
      </c>
    </row>
    <row r="1840" spans="12:12" x14ac:dyDescent="0.3">
      <c r="L1840" s="8" t="str">
        <f t="shared" si="9"/>
        <v/>
      </c>
    </row>
    <row r="1841" spans="12:12" x14ac:dyDescent="0.3">
      <c r="L1841" s="8" t="str">
        <f t="shared" si="9"/>
        <v/>
      </c>
    </row>
    <row r="1842" spans="12:12" x14ac:dyDescent="0.3">
      <c r="L1842" s="8" t="str">
        <f t="shared" si="9"/>
        <v/>
      </c>
    </row>
    <row r="1843" spans="12:12" x14ac:dyDescent="0.3">
      <c r="L1843" s="8" t="str">
        <f t="shared" si="9"/>
        <v/>
      </c>
    </row>
    <row r="1844" spans="12:12" x14ac:dyDescent="0.3">
      <c r="L1844" s="8" t="str">
        <f t="shared" si="9"/>
        <v/>
      </c>
    </row>
    <row r="1845" spans="12:12" x14ac:dyDescent="0.3">
      <c r="L1845" s="8" t="str">
        <f t="shared" si="9"/>
        <v/>
      </c>
    </row>
    <row r="1846" spans="12:12" x14ac:dyDescent="0.3">
      <c r="L1846" s="8" t="str">
        <f t="shared" si="9"/>
        <v/>
      </c>
    </row>
    <row r="1847" spans="12:12" x14ac:dyDescent="0.3">
      <c r="L1847" s="8" t="str">
        <f t="shared" si="9"/>
        <v/>
      </c>
    </row>
    <row r="1848" spans="12:12" x14ac:dyDescent="0.3">
      <c r="L1848" s="8" t="str">
        <f t="shared" si="9"/>
        <v/>
      </c>
    </row>
    <row r="1849" spans="12:12" x14ac:dyDescent="0.3">
      <c r="L1849" s="8" t="str">
        <f t="shared" si="9"/>
        <v/>
      </c>
    </row>
    <row r="1850" spans="12:12" x14ac:dyDescent="0.3">
      <c r="L1850" s="8" t="str">
        <f t="shared" si="9"/>
        <v/>
      </c>
    </row>
    <row r="1851" spans="12:12" x14ac:dyDescent="0.3">
      <c r="L1851" s="8" t="str">
        <f t="shared" si="9"/>
        <v/>
      </c>
    </row>
    <row r="1852" spans="12:12" x14ac:dyDescent="0.3">
      <c r="L1852" s="8" t="str">
        <f t="shared" si="9"/>
        <v/>
      </c>
    </row>
    <row r="1853" spans="12:12" x14ac:dyDescent="0.3">
      <c r="L1853" s="8" t="str">
        <f t="shared" si="9"/>
        <v/>
      </c>
    </row>
    <row r="1854" spans="12:12" x14ac:dyDescent="0.3">
      <c r="L1854" s="8" t="str">
        <f t="shared" si="9"/>
        <v/>
      </c>
    </row>
    <row r="1855" spans="12:12" x14ac:dyDescent="0.3">
      <c r="L1855" s="8" t="str">
        <f t="shared" si="9"/>
        <v/>
      </c>
    </row>
    <row r="1856" spans="12:12" x14ac:dyDescent="0.3">
      <c r="L1856" s="8" t="str">
        <f t="shared" si="9"/>
        <v/>
      </c>
    </row>
    <row r="1857" spans="12:12" x14ac:dyDescent="0.3">
      <c r="L1857" s="8" t="str">
        <f t="shared" si="9"/>
        <v/>
      </c>
    </row>
    <row r="1858" spans="12:12" x14ac:dyDescent="0.3">
      <c r="L1858" s="8" t="str">
        <f t="shared" si="9"/>
        <v/>
      </c>
    </row>
    <row r="1859" spans="12:12" x14ac:dyDescent="0.3">
      <c r="L1859" s="8" t="str">
        <f t="shared" si="9"/>
        <v/>
      </c>
    </row>
    <row r="1860" spans="12:12" x14ac:dyDescent="0.3">
      <c r="L1860" s="8" t="str">
        <f t="shared" ref="L1860:L1923" si="10">IF($A1860="","",$A1860&amp;" — "&amp;$C1860)</f>
        <v/>
      </c>
    </row>
    <row r="1861" spans="12:12" x14ac:dyDescent="0.3">
      <c r="L1861" s="8" t="str">
        <f t="shared" si="10"/>
        <v/>
      </c>
    </row>
    <row r="1862" spans="12:12" x14ac:dyDescent="0.3">
      <c r="L1862" s="8" t="str">
        <f t="shared" si="10"/>
        <v/>
      </c>
    </row>
    <row r="1863" spans="12:12" x14ac:dyDescent="0.3">
      <c r="L1863" s="8" t="str">
        <f t="shared" si="10"/>
        <v/>
      </c>
    </row>
    <row r="1864" spans="12:12" x14ac:dyDescent="0.3">
      <c r="L1864" s="8" t="str">
        <f t="shared" si="10"/>
        <v/>
      </c>
    </row>
    <row r="1865" spans="12:12" x14ac:dyDescent="0.3">
      <c r="L1865" s="8" t="str">
        <f t="shared" si="10"/>
        <v/>
      </c>
    </row>
    <row r="1866" spans="12:12" x14ac:dyDescent="0.3">
      <c r="L1866" s="8" t="str">
        <f t="shared" si="10"/>
        <v/>
      </c>
    </row>
    <row r="1867" spans="12:12" x14ac:dyDescent="0.3">
      <c r="L1867" s="8" t="str">
        <f t="shared" si="10"/>
        <v/>
      </c>
    </row>
    <row r="1868" spans="12:12" x14ac:dyDescent="0.3">
      <c r="L1868" s="8" t="str">
        <f t="shared" si="10"/>
        <v/>
      </c>
    </row>
    <row r="1869" spans="12:12" x14ac:dyDescent="0.3">
      <c r="L1869" s="8" t="str">
        <f t="shared" si="10"/>
        <v/>
      </c>
    </row>
    <row r="1870" spans="12:12" x14ac:dyDescent="0.3">
      <c r="L1870" s="8" t="str">
        <f t="shared" si="10"/>
        <v/>
      </c>
    </row>
    <row r="1871" spans="12:12" x14ac:dyDescent="0.3">
      <c r="L1871" s="8" t="str">
        <f t="shared" si="10"/>
        <v/>
      </c>
    </row>
    <row r="1872" spans="12:12" x14ac:dyDescent="0.3">
      <c r="L1872" s="8" t="str">
        <f t="shared" si="10"/>
        <v/>
      </c>
    </row>
    <row r="1873" spans="12:12" x14ac:dyDescent="0.3">
      <c r="L1873" s="8" t="str">
        <f t="shared" si="10"/>
        <v/>
      </c>
    </row>
    <row r="1874" spans="12:12" x14ac:dyDescent="0.3">
      <c r="L1874" s="8" t="str">
        <f t="shared" si="10"/>
        <v/>
      </c>
    </row>
    <row r="1875" spans="12:12" x14ac:dyDescent="0.3">
      <c r="L1875" s="8" t="str">
        <f t="shared" si="10"/>
        <v/>
      </c>
    </row>
    <row r="1876" spans="12:12" x14ac:dyDescent="0.3">
      <c r="L1876" s="8" t="str">
        <f t="shared" si="10"/>
        <v/>
      </c>
    </row>
    <row r="1877" spans="12:12" x14ac:dyDescent="0.3">
      <c r="L1877" s="8" t="str">
        <f t="shared" si="10"/>
        <v/>
      </c>
    </row>
    <row r="1878" spans="12:12" x14ac:dyDescent="0.3">
      <c r="L1878" s="8" t="str">
        <f t="shared" si="10"/>
        <v/>
      </c>
    </row>
    <row r="1879" spans="12:12" x14ac:dyDescent="0.3">
      <c r="L1879" s="8" t="str">
        <f t="shared" si="10"/>
        <v/>
      </c>
    </row>
    <row r="1880" spans="12:12" x14ac:dyDescent="0.3">
      <c r="L1880" s="8" t="str">
        <f t="shared" si="10"/>
        <v/>
      </c>
    </row>
    <row r="1881" spans="12:12" x14ac:dyDescent="0.3">
      <c r="L1881" s="8" t="str">
        <f t="shared" si="10"/>
        <v/>
      </c>
    </row>
    <row r="1882" spans="12:12" x14ac:dyDescent="0.3">
      <c r="L1882" s="8" t="str">
        <f t="shared" si="10"/>
        <v/>
      </c>
    </row>
    <row r="1883" spans="12:12" x14ac:dyDescent="0.3">
      <c r="L1883" s="8" t="str">
        <f t="shared" si="10"/>
        <v/>
      </c>
    </row>
    <row r="1884" spans="12:12" x14ac:dyDescent="0.3">
      <c r="L1884" s="8" t="str">
        <f t="shared" si="10"/>
        <v/>
      </c>
    </row>
    <row r="1885" spans="12:12" x14ac:dyDescent="0.3">
      <c r="L1885" s="8" t="str">
        <f t="shared" si="10"/>
        <v/>
      </c>
    </row>
    <row r="1886" spans="12:12" x14ac:dyDescent="0.3">
      <c r="L1886" s="8" t="str">
        <f t="shared" si="10"/>
        <v/>
      </c>
    </row>
    <row r="1887" spans="12:12" x14ac:dyDescent="0.3">
      <c r="L1887" s="8" t="str">
        <f t="shared" si="10"/>
        <v/>
      </c>
    </row>
    <row r="1888" spans="12:12" x14ac:dyDescent="0.3">
      <c r="L1888" s="8" t="str">
        <f t="shared" si="10"/>
        <v/>
      </c>
    </row>
    <row r="1889" spans="12:12" x14ac:dyDescent="0.3">
      <c r="L1889" s="8" t="str">
        <f t="shared" si="10"/>
        <v/>
      </c>
    </row>
    <row r="1890" spans="12:12" x14ac:dyDescent="0.3">
      <c r="L1890" s="8" t="str">
        <f t="shared" si="10"/>
        <v/>
      </c>
    </row>
    <row r="1891" spans="12:12" x14ac:dyDescent="0.3">
      <c r="L1891" s="8" t="str">
        <f t="shared" si="10"/>
        <v/>
      </c>
    </row>
    <row r="1892" spans="12:12" x14ac:dyDescent="0.3">
      <c r="L1892" s="8" t="str">
        <f t="shared" si="10"/>
        <v/>
      </c>
    </row>
    <row r="1893" spans="12:12" x14ac:dyDescent="0.3">
      <c r="L1893" s="8" t="str">
        <f t="shared" si="10"/>
        <v/>
      </c>
    </row>
    <row r="1894" spans="12:12" x14ac:dyDescent="0.3">
      <c r="L1894" s="8" t="str">
        <f t="shared" si="10"/>
        <v/>
      </c>
    </row>
    <row r="1895" spans="12:12" x14ac:dyDescent="0.3">
      <c r="L1895" s="8" t="str">
        <f t="shared" si="10"/>
        <v/>
      </c>
    </row>
    <row r="1896" spans="12:12" x14ac:dyDescent="0.3">
      <c r="L1896" s="8" t="str">
        <f t="shared" si="10"/>
        <v/>
      </c>
    </row>
    <row r="1897" spans="12:12" x14ac:dyDescent="0.3">
      <c r="L1897" s="8" t="str">
        <f t="shared" si="10"/>
        <v/>
      </c>
    </row>
    <row r="1898" spans="12:12" x14ac:dyDescent="0.3">
      <c r="L1898" s="8" t="str">
        <f t="shared" si="10"/>
        <v/>
      </c>
    </row>
    <row r="1899" spans="12:12" x14ac:dyDescent="0.3">
      <c r="L1899" s="8" t="str">
        <f t="shared" si="10"/>
        <v/>
      </c>
    </row>
    <row r="1900" spans="12:12" x14ac:dyDescent="0.3">
      <c r="L1900" s="8" t="str">
        <f t="shared" si="10"/>
        <v/>
      </c>
    </row>
    <row r="1901" spans="12:12" x14ac:dyDescent="0.3">
      <c r="L1901" s="8" t="str">
        <f t="shared" si="10"/>
        <v/>
      </c>
    </row>
    <row r="1902" spans="12:12" x14ac:dyDescent="0.3">
      <c r="L1902" s="8" t="str">
        <f t="shared" si="10"/>
        <v/>
      </c>
    </row>
    <row r="1903" spans="12:12" x14ac:dyDescent="0.3">
      <c r="L1903" s="8" t="str">
        <f t="shared" si="10"/>
        <v/>
      </c>
    </row>
    <row r="1904" spans="12:12" x14ac:dyDescent="0.3">
      <c r="L1904" s="8" t="str">
        <f t="shared" si="10"/>
        <v/>
      </c>
    </row>
    <row r="1905" spans="12:12" x14ac:dyDescent="0.3">
      <c r="L1905" s="8" t="str">
        <f t="shared" si="10"/>
        <v/>
      </c>
    </row>
    <row r="1906" spans="12:12" x14ac:dyDescent="0.3">
      <c r="L1906" s="8" t="str">
        <f t="shared" si="10"/>
        <v/>
      </c>
    </row>
    <row r="1907" spans="12:12" x14ac:dyDescent="0.3">
      <c r="L1907" s="8" t="str">
        <f t="shared" si="10"/>
        <v/>
      </c>
    </row>
    <row r="1908" spans="12:12" x14ac:dyDescent="0.3">
      <c r="L1908" s="8" t="str">
        <f t="shared" si="10"/>
        <v/>
      </c>
    </row>
    <row r="1909" spans="12:12" x14ac:dyDescent="0.3">
      <c r="L1909" s="8" t="str">
        <f t="shared" si="10"/>
        <v/>
      </c>
    </row>
    <row r="1910" spans="12:12" x14ac:dyDescent="0.3">
      <c r="L1910" s="8" t="str">
        <f t="shared" si="10"/>
        <v/>
      </c>
    </row>
    <row r="1911" spans="12:12" x14ac:dyDescent="0.3">
      <c r="L1911" s="8" t="str">
        <f t="shared" si="10"/>
        <v/>
      </c>
    </row>
    <row r="1912" spans="12:12" x14ac:dyDescent="0.3">
      <c r="L1912" s="8" t="str">
        <f t="shared" si="10"/>
        <v/>
      </c>
    </row>
    <row r="1913" spans="12:12" x14ac:dyDescent="0.3">
      <c r="L1913" s="8" t="str">
        <f t="shared" si="10"/>
        <v/>
      </c>
    </row>
    <row r="1914" spans="12:12" x14ac:dyDescent="0.3">
      <c r="L1914" s="8" t="str">
        <f t="shared" si="10"/>
        <v/>
      </c>
    </row>
    <row r="1915" spans="12:12" x14ac:dyDescent="0.3">
      <c r="L1915" s="8" t="str">
        <f t="shared" si="10"/>
        <v/>
      </c>
    </row>
    <row r="1916" spans="12:12" x14ac:dyDescent="0.3">
      <c r="L1916" s="8" t="str">
        <f t="shared" si="10"/>
        <v/>
      </c>
    </row>
    <row r="1917" spans="12:12" x14ac:dyDescent="0.3">
      <c r="L1917" s="8" t="str">
        <f t="shared" si="10"/>
        <v/>
      </c>
    </row>
    <row r="1918" spans="12:12" x14ac:dyDescent="0.3">
      <c r="L1918" s="8" t="str">
        <f t="shared" si="10"/>
        <v/>
      </c>
    </row>
    <row r="1919" spans="12:12" x14ac:dyDescent="0.3">
      <c r="L1919" s="8" t="str">
        <f t="shared" si="10"/>
        <v/>
      </c>
    </row>
    <row r="1920" spans="12:12" x14ac:dyDescent="0.3">
      <c r="L1920" s="8" t="str">
        <f t="shared" si="10"/>
        <v/>
      </c>
    </row>
    <row r="1921" spans="12:12" x14ac:dyDescent="0.3">
      <c r="L1921" s="8" t="str">
        <f t="shared" si="10"/>
        <v/>
      </c>
    </row>
    <row r="1922" spans="12:12" x14ac:dyDescent="0.3">
      <c r="L1922" s="8" t="str">
        <f t="shared" si="10"/>
        <v/>
      </c>
    </row>
    <row r="1923" spans="12:12" x14ac:dyDescent="0.3">
      <c r="L1923" s="8" t="str">
        <f t="shared" si="10"/>
        <v/>
      </c>
    </row>
    <row r="1924" spans="12:12" x14ac:dyDescent="0.3">
      <c r="L1924" s="8" t="str">
        <f t="shared" ref="L1924:L1987" si="11">IF($A1924="","",$A1924&amp;" — "&amp;$C1924)</f>
        <v/>
      </c>
    </row>
    <row r="1925" spans="12:12" x14ac:dyDescent="0.3">
      <c r="L1925" s="8" t="str">
        <f t="shared" si="11"/>
        <v/>
      </c>
    </row>
    <row r="1926" spans="12:12" x14ac:dyDescent="0.3">
      <c r="L1926" s="8" t="str">
        <f t="shared" si="11"/>
        <v/>
      </c>
    </row>
    <row r="1927" spans="12:12" x14ac:dyDescent="0.3">
      <c r="L1927" s="8" t="str">
        <f t="shared" si="11"/>
        <v/>
      </c>
    </row>
    <row r="1928" spans="12:12" x14ac:dyDescent="0.3">
      <c r="L1928" s="8" t="str">
        <f t="shared" si="11"/>
        <v/>
      </c>
    </row>
    <row r="1929" spans="12:12" x14ac:dyDescent="0.3">
      <c r="L1929" s="8" t="str">
        <f t="shared" si="11"/>
        <v/>
      </c>
    </row>
    <row r="1930" spans="12:12" x14ac:dyDescent="0.3">
      <c r="L1930" s="8" t="str">
        <f t="shared" si="11"/>
        <v/>
      </c>
    </row>
    <row r="1931" spans="12:12" x14ac:dyDescent="0.3">
      <c r="L1931" s="8" t="str">
        <f t="shared" si="11"/>
        <v/>
      </c>
    </row>
    <row r="1932" spans="12:12" x14ac:dyDescent="0.3">
      <c r="L1932" s="8" t="str">
        <f t="shared" si="11"/>
        <v/>
      </c>
    </row>
    <row r="1933" spans="12:12" x14ac:dyDescent="0.3">
      <c r="L1933" s="8" t="str">
        <f t="shared" si="11"/>
        <v/>
      </c>
    </row>
    <row r="1934" spans="12:12" x14ac:dyDescent="0.3">
      <c r="L1934" s="8" t="str">
        <f t="shared" si="11"/>
        <v/>
      </c>
    </row>
    <row r="1935" spans="12:12" x14ac:dyDescent="0.3">
      <c r="L1935" s="8" t="str">
        <f t="shared" si="11"/>
        <v/>
      </c>
    </row>
    <row r="1936" spans="12:12" x14ac:dyDescent="0.3">
      <c r="L1936" s="8" t="str">
        <f t="shared" si="11"/>
        <v/>
      </c>
    </row>
    <row r="1937" spans="12:12" x14ac:dyDescent="0.3">
      <c r="L1937" s="8" t="str">
        <f t="shared" si="11"/>
        <v/>
      </c>
    </row>
    <row r="1938" spans="12:12" x14ac:dyDescent="0.3">
      <c r="L1938" s="8" t="str">
        <f t="shared" si="11"/>
        <v/>
      </c>
    </row>
    <row r="1939" spans="12:12" x14ac:dyDescent="0.3">
      <c r="L1939" s="8" t="str">
        <f t="shared" si="11"/>
        <v/>
      </c>
    </row>
    <row r="1940" spans="12:12" x14ac:dyDescent="0.3">
      <c r="L1940" s="8" t="str">
        <f t="shared" si="11"/>
        <v/>
      </c>
    </row>
    <row r="1941" spans="12:12" x14ac:dyDescent="0.3">
      <c r="L1941" s="8" t="str">
        <f t="shared" si="11"/>
        <v/>
      </c>
    </row>
    <row r="1942" spans="12:12" x14ac:dyDescent="0.3">
      <c r="L1942" s="8" t="str">
        <f t="shared" si="11"/>
        <v/>
      </c>
    </row>
    <row r="1943" spans="12:12" x14ac:dyDescent="0.3">
      <c r="L1943" s="8" t="str">
        <f t="shared" si="11"/>
        <v/>
      </c>
    </row>
    <row r="1944" spans="12:12" x14ac:dyDescent="0.3">
      <c r="L1944" s="8" t="str">
        <f t="shared" si="11"/>
        <v/>
      </c>
    </row>
    <row r="1945" spans="12:12" x14ac:dyDescent="0.3">
      <c r="L1945" s="8" t="str">
        <f t="shared" si="11"/>
        <v/>
      </c>
    </row>
    <row r="1946" spans="12:12" x14ac:dyDescent="0.3">
      <c r="L1946" s="8" t="str">
        <f t="shared" si="11"/>
        <v/>
      </c>
    </row>
    <row r="1947" spans="12:12" x14ac:dyDescent="0.3">
      <c r="L1947" s="8" t="str">
        <f t="shared" si="11"/>
        <v/>
      </c>
    </row>
    <row r="1948" spans="12:12" x14ac:dyDescent="0.3">
      <c r="L1948" s="8" t="str">
        <f t="shared" si="11"/>
        <v/>
      </c>
    </row>
    <row r="1949" spans="12:12" x14ac:dyDescent="0.3">
      <c r="L1949" s="8" t="str">
        <f t="shared" si="11"/>
        <v/>
      </c>
    </row>
    <row r="1950" spans="12:12" x14ac:dyDescent="0.3">
      <c r="L1950" s="8" t="str">
        <f t="shared" si="11"/>
        <v/>
      </c>
    </row>
    <row r="1951" spans="12:12" x14ac:dyDescent="0.3">
      <c r="L1951" s="8" t="str">
        <f t="shared" si="11"/>
        <v/>
      </c>
    </row>
    <row r="1952" spans="12:12" x14ac:dyDescent="0.3">
      <c r="L1952" s="8" t="str">
        <f t="shared" si="11"/>
        <v/>
      </c>
    </row>
    <row r="1953" spans="12:12" x14ac:dyDescent="0.3">
      <c r="L1953" s="8" t="str">
        <f t="shared" si="11"/>
        <v/>
      </c>
    </row>
    <row r="1954" spans="12:12" x14ac:dyDescent="0.3">
      <c r="L1954" s="8" t="str">
        <f t="shared" si="11"/>
        <v/>
      </c>
    </row>
    <row r="1955" spans="12:12" x14ac:dyDescent="0.3">
      <c r="L1955" s="8" t="str">
        <f t="shared" si="11"/>
        <v/>
      </c>
    </row>
    <row r="1956" spans="12:12" x14ac:dyDescent="0.3">
      <c r="L1956" s="8" t="str">
        <f t="shared" si="11"/>
        <v/>
      </c>
    </row>
    <row r="1957" spans="12:12" x14ac:dyDescent="0.3">
      <c r="L1957" s="8" t="str">
        <f t="shared" si="11"/>
        <v/>
      </c>
    </row>
    <row r="1958" spans="12:12" x14ac:dyDescent="0.3">
      <c r="L1958" s="8" t="str">
        <f t="shared" si="11"/>
        <v/>
      </c>
    </row>
    <row r="1959" spans="12:12" x14ac:dyDescent="0.3">
      <c r="L1959" s="8" t="str">
        <f t="shared" si="11"/>
        <v/>
      </c>
    </row>
    <row r="1960" spans="12:12" x14ac:dyDescent="0.3">
      <c r="L1960" s="8" t="str">
        <f t="shared" si="11"/>
        <v/>
      </c>
    </row>
    <row r="1961" spans="12:12" x14ac:dyDescent="0.3">
      <c r="L1961" s="8" t="str">
        <f t="shared" si="11"/>
        <v/>
      </c>
    </row>
    <row r="1962" spans="12:12" x14ac:dyDescent="0.3">
      <c r="L1962" s="8" t="str">
        <f t="shared" si="11"/>
        <v/>
      </c>
    </row>
    <row r="1963" spans="12:12" x14ac:dyDescent="0.3">
      <c r="L1963" s="8" t="str">
        <f t="shared" si="11"/>
        <v/>
      </c>
    </row>
    <row r="1964" spans="12:12" x14ac:dyDescent="0.3">
      <c r="L1964" s="8" t="str">
        <f t="shared" si="11"/>
        <v/>
      </c>
    </row>
    <row r="1965" spans="12:12" x14ac:dyDescent="0.3">
      <c r="L1965" s="8" t="str">
        <f t="shared" si="11"/>
        <v/>
      </c>
    </row>
    <row r="1966" spans="12:12" x14ac:dyDescent="0.3">
      <c r="L1966" s="8" t="str">
        <f t="shared" si="11"/>
        <v/>
      </c>
    </row>
    <row r="1967" spans="12:12" x14ac:dyDescent="0.3">
      <c r="L1967" s="8" t="str">
        <f t="shared" si="11"/>
        <v/>
      </c>
    </row>
    <row r="1968" spans="12:12" x14ac:dyDescent="0.3">
      <c r="L1968" s="8" t="str">
        <f t="shared" si="11"/>
        <v/>
      </c>
    </row>
    <row r="1969" spans="12:12" x14ac:dyDescent="0.3">
      <c r="L1969" s="8" t="str">
        <f t="shared" si="11"/>
        <v/>
      </c>
    </row>
    <row r="1970" spans="12:12" x14ac:dyDescent="0.3">
      <c r="L1970" s="8" t="str">
        <f t="shared" si="11"/>
        <v/>
      </c>
    </row>
    <row r="1971" spans="12:12" x14ac:dyDescent="0.3">
      <c r="L1971" s="8" t="str">
        <f t="shared" si="11"/>
        <v/>
      </c>
    </row>
    <row r="1972" spans="12:12" x14ac:dyDescent="0.3">
      <c r="L1972" s="8" t="str">
        <f t="shared" si="11"/>
        <v/>
      </c>
    </row>
    <row r="1973" spans="12:12" x14ac:dyDescent="0.3">
      <c r="L1973" s="8" t="str">
        <f t="shared" si="11"/>
        <v/>
      </c>
    </row>
    <row r="1974" spans="12:12" x14ac:dyDescent="0.3">
      <c r="L1974" s="8" t="str">
        <f t="shared" si="11"/>
        <v/>
      </c>
    </row>
    <row r="1975" spans="12:12" x14ac:dyDescent="0.3">
      <c r="L1975" s="8" t="str">
        <f t="shared" si="11"/>
        <v/>
      </c>
    </row>
    <row r="1976" spans="12:12" x14ac:dyDescent="0.3">
      <c r="L1976" s="8" t="str">
        <f t="shared" si="11"/>
        <v/>
      </c>
    </row>
    <row r="1977" spans="12:12" x14ac:dyDescent="0.3">
      <c r="L1977" s="8" t="str">
        <f t="shared" si="11"/>
        <v/>
      </c>
    </row>
    <row r="1978" spans="12:12" x14ac:dyDescent="0.3">
      <c r="L1978" s="8" t="str">
        <f t="shared" si="11"/>
        <v/>
      </c>
    </row>
    <row r="1979" spans="12:12" x14ac:dyDescent="0.3">
      <c r="L1979" s="8" t="str">
        <f t="shared" si="11"/>
        <v/>
      </c>
    </row>
    <row r="1980" spans="12:12" x14ac:dyDescent="0.3">
      <c r="L1980" s="8" t="str">
        <f t="shared" si="11"/>
        <v/>
      </c>
    </row>
    <row r="1981" spans="12:12" x14ac:dyDescent="0.3">
      <c r="L1981" s="8" t="str">
        <f t="shared" si="11"/>
        <v/>
      </c>
    </row>
    <row r="1982" spans="12:12" x14ac:dyDescent="0.3">
      <c r="L1982" s="8" t="str">
        <f t="shared" si="11"/>
        <v/>
      </c>
    </row>
    <row r="1983" spans="12:12" x14ac:dyDescent="0.3">
      <c r="L1983" s="8" t="str">
        <f t="shared" si="11"/>
        <v/>
      </c>
    </row>
    <row r="1984" spans="12:12" x14ac:dyDescent="0.3">
      <c r="L1984" s="8" t="str">
        <f t="shared" si="11"/>
        <v/>
      </c>
    </row>
    <row r="1985" spans="12:12" x14ac:dyDescent="0.3">
      <c r="L1985" s="8" t="str">
        <f t="shared" si="11"/>
        <v/>
      </c>
    </row>
    <row r="1986" spans="12:12" x14ac:dyDescent="0.3">
      <c r="L1986" s="8" t="str">
        <f t="shared" si="11"/>
        <v/>
      </c>
    </row>
    <row r="1987" spans="12:12" x14ac:dyDescent="0.3">
      <c r="L1987" s="8" t="str">
        <f t="shared" si="11"/>
        <v/>
      </c>
    </row>
    <row r="1988" spans="12:12" x14ac:dyDescent="0.3">
      <c r="L1988" s="8" t="str">
        <f t="shared" ref="L1988:L2019" si="12">IF($A1988="","",$A1988&amp;" — "&amp;$C1988)</f>
        <v/>
      </c>
    </row>
    <row r="1989" spans="12:12" x14ac:dyDescent="0.3">
      <c r="L1989" s="8" t="str">
        <f t="shared" si="12"/>
        <v/>
      </c>
    </row>
    <row r="1990" spans="12:12" x14ac:dyDescent="0.3">
      <c r="L1990" s="8" t="str">
        <f t="shared" si="12"/>
        <v/>
      </c>
    </row>
    <row r="1991" spans="12:12" x14ac:dyDescent="0.3">
      <c r="L1991" s="8" t="str">
        <f t="shared" si="12"/>
        <v/>
      </c>
    </row>
    <row r="1992" spans="12:12" x14ac:dyDescent="0.3">
      <c r="L1992" s="8" t="str">
        <f t="shared" si="12"/>
        <v/>
      </c>
    </row>
    <row r="1993" spans="12:12" x14ac:dyDescent="0.3">
      <c r="L1993" s="8" t="str">
        <f t="shared" si="12"/>
        <v/>
      </c>
    </row>
    <row r="1994" spans="12:12" x14ac:dyDescent="0.3">
      <c r="L1994" s="8" t="str">
        <f t="shared" si="12"/>
        <v/>
      </c>
    </row>
    <row r="1995" spans="12:12" x14ac:dyDescent="0.3">
      <c r="L1995" s="8" t="str">
        <f t="shared" si="12"/>
        <v/>
      </c>
    </row>
    <row r="1996" spans="12:12" x14ac:dyDescent="0.3">
      <c r="L1996" s="8" t="str">
        <f t="shared" si="12"/>
        <v/>
      </c>
    </row>
    <row r="1997" spans="12:12" x14ac:dyDescent="0.3">
      <c r="L1997" s="8" t="str">
        <f t="shared" si="12"/>
        <v/>
      </c>
    </row>
    <row r="1998" spans="12:12" x14ac:dyDescent="0.3">
      <c r="L1998" s="8" t="str">
        <f t="shared" si="12"/>
        <v/>
      </c>
    </row>
    <row r="1999" spans="12:12" x14ac:dyDescent="0.3">
      <c r="L1999" s="8" t="str">
        <f t="shared" si="12"/>
        <v/>
      </c>
    </row>
    <row r="2000" spans="12:12" x14ac:dyDescent="0.3">
      <c r="L2000" s="8" t="str">
        <f t="shared" si="12"/>
        <v/>
      </c>
    </row>
    <row r="2001" spans="12:12" x14ac:dyDescent="0.3">
      <c r="L2001" s="8" t="str">
        <f t="shared" si="12"/>
        <v/>
      </c>
    </row>
    <row r="2002" spans="12:12" x14ac:dyDescent="0.3">
      <c r="L2002" s="8" t="str">
        <f t="shared" si="12"/>
        <v/>
      </c>
    </row>
    <row r="2003" spans="12:12" x14ac:dyDescent="0.3">
      <c r="L2003" s="8" t="str">
        <f t="shared" si="12"/>
        <v/>
      </c>
    </row>
    <row r="2004" spans="12:12" x14ac:dyDescent="0.3">
      <c r="L2004" s="8" t="str">
        <f t="shared" si="12"/>
        <v/>
      </c>
    </row>
    <row r="2005" spans="12:12" x14ac:dyDescent="0.3">
      <c r="L2005" s="8" t="str">
        <f t="shared" si="12"/>
        <v/>
      </c>
    </row>
    <row r="2006" spans="12:12" x14ac:dyDescent="0.3">
      <c r="L2006" s="8" t="str">
        <f t="shared" si="12"/>
        <v/>
      </c>
    </row>
    <row r="2007" spans="12:12" x14ac:dyDescent="0.3">
      <c r="L2007" s="8" t="str">
        <f t="shared" si="12"/>
        <v/>
      </c>
    </row>
    <row r="2008" spans="12:12" x14ac:dyDescent="0.3">
      <c r="L2008" s="8" t="str">
        <f t="shared" si="12"/>
        <v/>
      </c>
    </row>
    <row r="2009" spans="12:12" x14ac:dyDescent="0.3">
      <c r="L2009" s="8" t="str">
        <f t="shared" si="12"/>
        <v/>
      </c>
    </row>
    <row r="2010" spans="12:12" x14ac:dyDescent="0.3">
      <c r="L2010" s="8" t="str">
        <f t="shared" si="12"/>
        <v/>
      </c>
    </row>
    <row r="2011" spans="12:12" x14ac:dyDescent="0.3">
      <c r="L2011" s="8" t="str">
        <f t="shared" si="12"/>
        <v/>
      </c>
    </row>
    <row r="2012" spans="12:12" x14ac:dyDescent="0.3">
      <c r="L2012" s="8" t="str">
        <f t="shared" si="12"/>
        <v/>
      </c>
    </row>
    <row r="2013" spans="12:12" x14ac:dyDescent="0.3">
      <c r="L2013" s="8" t="str">
        <f t="shared" si="12"/>
        <v/>
      </c>
    </row>
    <row r="2014" spans="12:12" x14ac:dyDescent="0.3">
      <c r="L2014" s="8" t="str">
        <f t="shared" si="12"/>
        <v/>
      </c>
    </row>
    <row r="2015" spans="12:12" x14ac:dyDescent="0.3">
      <c r="L2015" s="8" t="str">
        <f t="shared" si="12"/>
        <v/>
      </c>
    </row>
    <row r="2016" spans="12:12" x14ac:dyDescent="0.3">
      <c r="L2016" s="8" t="str">
        <f t="shared" si="12"/>
        <v/>
      </c>
    </row>
    <row r="2017" spans="12:12" x14ac:dyDescent="0.3">
      <c r="L2017" s="8" t="str">
        <f t="shared" si="12"/>
        <v/>
      </c>
    </row>
    <row r="2018" spans="12:12" x14ac:dyDescent="0.3">
      <c r="L2018" s="8" t="str">
        <f t="shared" si="12"/>
        <v/>
      </c>
    </row>
    <row r="2019" spans="12:12" x14ac:dyDescent="0.3">
      <c r="L2019" s="8" t="str">
        <f t="shared" si="12"/>
        <v/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1103"/>
  <sheetViews>
    <sheetView workbookViewId="0">
      <pane ySplit="21" topLeftCell="A2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62" customWidth="1"/>
    <col min="4" max="4" width="9" customWidth="1"/>
    <col min="5" max="5" width="11" customWidth="1"/>
    <col min="6" max="6" width="15" customWidth="1"/>
    <col min="7" max="7" width="20" customWidth="1"/>
    <col min="8" max="8" width="17" customWidth="1"/>
    <col min="9" max="9" width="20" customWidth="1"/>
    <col min="10" max="10" width="16" customWidth="1"/>
    <col min="11" max="13" width="13" hidden="1" customWidth="1"/>
  </cols>
  <sheetData>
    <row r="1" spans="1:3" ht="18" x14ac:dyDescent="0.35">
      <c r="A1" s="1" t="s">
        <v>6173</v>
      </c>
    </row>
    <row r="2" spans="1:3" x14ac:dyDescent="0.3">
      <c r="A2" s="2" t="s">
        <v>6174</v>
      </c>
      <c r="C2" s="9"/>
    </row>
    <row r="3" spans="1:3" x14ac:dyDescent="0.3">
      <c r="A3" s="2" t="s">
        <v>6175</v>
      </c>
      <c r="C3" s="9"/>
    </row>
    <row r="4" spans="1:3" x14ac:dyDescent="0.3">
      <c r="A4" s="2" t="s">
        <v>6176</v>
      </c>
      <c r="C4" s="9"/>
    </row>
    <row r="5" spans="1:3" x14ac:dyDescent="0.3">
      <c r="A5" s="2" t="s">
        <v>6177</v>
      </c>
      <c r="C5" s="9"/>
    </row>
    <row r="6" spans="1:3" x14ac:dyDescent="0.3">
      <c r="A6" s="2" t="s">
        <v>6178</v>
      </c>
      <c r="C6" s="9"/>
    </row>
    <row r="7" spans="1:3" x14ac:dyDescent="0.3">
      <c r="A7" s="2" t="s">
        <v>6179</v>
      </c>
      <c r="C7" s="9"/>
    </row>
    <row r="8" spans="1:3" x14ac:dyDescent="0.3">
      <c r="A8" s="2" t="s">
        <v>6180</v>
      </c>
      <c r="C8" s="9"/>
    </row>
    <row r="9" spans="1:3" x14ac:dyDescent="0.3">
      <c r="A9" s="2" t="s">
        <v>6181</v>
      </c>
      <c r="C9" s="9"/>
    </row>
    <row r="10" spans="1:3" x14ac:dyDescent="0.3">
      <c r="A10" s="2" t="s">
        <v>6182</v>
      </c>
      <c r="C10" s="9"/>
    </row>
    <row r="11" spans="1:3" x14ac:dyDescent="0.3">
      <c r="A11" s="2" t="s">
        <v>6183</v>
      </c>
      <c r="C11" s="9"/>
    </row>
    <row r="12" spans="1:3" x14ac:dyDescent="0.3">
      <c r="A12" s="2" t="s">
        <v>6184</v>
      </c>
      <c r="C12" s="10">
        <f>$J$1099</f>
        <v>0</v>
      </c>
    </row>
    <row r="13" spans="1:3" x14ac:dyDescent="0.3">
      <c r="A13" s="2" t="s">
        <v>6185</v>
      </c>
      <c r="C13" s="11"/>
    </row>
    <row r="15" spans="1:3" x14ac:dyDescent="0.3">
      <c r="A15" s="2" t="s">
        <v>6186</v>
      </c>
      <c r="C15" s="12">
        <v>81</v>
      </c>
    </row>
    <row r="16" spans="1:3" x14ac:dyDescent="0.3">
      <c r="A16" s="2" t="s">
        <v>6187</v>
      </c>
      <c r="C16" s="12">
        <v>95</v>
      </c>
    </row>
    <row r="17" spans="1:13" x14ac:dyDescent="0.3">
      <c r="A17" s="2" t="s">
        <v>6188</v>
      </c>
      <c r="C17" s="12">
        <v>11</v>
      </c>
    </row>
    <row r="18" spans="1:13" x14ac:dyDescent="0.3">
      <c r="A18" s="2" t="s">
        <v>6189</v>
      </c>
      <c r="C18" s="13">
        <v>0</v>
      </c>
    </row>
    <row r="20" spans="1:13" x14ac:dyDescent="0.3">
      <c r="A20" s="14" t="s">
        <v>6190</v>
      </c>
    </row>
    <row r="21" spans="1:13" ht="43.2" x14ac:dyDescent="0.3">
      <c r="A21" s="3" t="s">
        <v>6191</v>
      </c>
      <c r="B21" s="3" t="s">
        <v>22</v>
      </c>
      <c r="C21" s="3" t="s">
        <v>6192</v>
      </c>
      <c r="D21" s="3" t="s">
        <v>6193</v>
      </c>
      <c r="E21" s="3" t="s">
        <v>6194</v>
      </c>
      <c r="F21" s="3" t="s">
        <v>6195</v>
      </c>
      <c r="G21" s="3" t="s">
        <v>6196</v>
      </c>
      <c r="H21" s="3" t="s">
        <v>6197</v>
      </c>
      <c r="I21" s="3" t="s">
        <v>6198</v>
      </c>
      <c r="J21" s="3" t="s">
        <v>39</v>
      </c>
      <c r="K21" s="3" t="s">
        <v>6199</v>
      </c>
      <c r="L21" s="3" t="s">
        <v>6200</v>
      </c>
      <c r="M21" s="3" t="s">
        <v>6201</v>
      </c>
    </row>
    <row r="22" spans="1:13" hidden="1" x14ac:dyDescent="0.3">
      <c r="A22" t="str">
        <f>IF(ISNUMBER($K22),INDEX(РАБОТЫ!$U$2:$U$1058,$K22),"")</f>
        <v/>
      </c>
      <c r="B22" t="str">
        <f>IF(ISNUMBER($K22),INDEX(РАБОТЫ!$A$2:$A$1058,$K22),"")</f>
        <v/>
      </c>
      <c r="C22" s="4" t="str">
        <f>IF($L22&lt;&gt;"",INDEX(РАБОТЫ!$Z$2:$Z$1058,MATCH($L22,РАБОТЫ!$V$2:$V$1058,0)),IF(ISNUMBER($K22),INDEX(РАБОТЫ!$Y$2:$Y$1058,$K22),""))</f>
        <v/>
      </c>
      <c r="D22" t="str">
        <f>IF(ISNUMBER($K22),INDEX(РАБОТЫ!$E$2:$E$1058,$K22),"")</f>
        <v/>
      </c>
      <c r="E22" t="str">
        <f>IF(ISNUMBER($K22),INDEX(РАБОТЫ!$M$2:$M$1058,$K22),"")</f>
        <v/>
      </c>
      <c r="F22" s="7" t="str">
        <f>IF(ISNUMBER($K22),INDEX(РАБОТЫ!$S$2:$S$1058,$K22),"")</f>
        <v/>
      </c>
      <c r="G22" s="7" t="str">
        <f>IF(ISNUMBER($K22),INDEX(РАБОТЫ!$T$2:$T$1058,$K22),"")</f>
        <v/>
      </c>
      <c r="H22" s="7" t="str">
        <f t="shared" ref="H22:H85" si="0">IF(ISNUMBER($K22),ROUND($E22*$F22,2),"")</f>
        <v/>
      </c>
      <c r="I22" s="7" t="str">
        <f t="shared" ref="I22:I85" si="1">IF(ISNUMBER($K22),ROUND($E22*$G22,2),"")</f>
        <v/>
      </c>
      <c r="J22" s="7" t="str">
        <f t="shared" ref="J22:J85" si="2">IF(ISNUMBER($K22),$H22+$I22,"")</f>
        <v/>
      </c>
      <c r="K22" t="str">
        <f>IFERROR(MATCH(1,РАБОТЫ!$X$2:$X$1058,0),"")</f>
        <v/>
      </c>
      <c r="L22" t="str">
        <f>IFERROR(IF(INDEX(РАБОТЫ!$W$2:$W$1058,MATCH(1+1,РАБОТЫ!$X$2:$X$1058,0))=1,INDEX(РАБОТЫ!$V$2:$V$1058,MATCH(1+1,РАБОТЫ!$X$2:$X$1058,0)),""),"")</f>
        <v/>
      </c>
      <c r="M22" t="str">
        <f t="shared" ref="M22:M85" si="3">IF(OR(ISNUMBER($K22),$L22&lt;&gt;""),"показать","")</f>
        <v/>
      </c>
    </row>
    <row r="23" spans="1:13" hidden="1" x14ac:dyDescent="0.3">
      <c r="A23" t="str">
        <f>IF(ISNUMBER($K23),INDEX(РАБОТЫ!$U$2:$U$1058,$K23),"")</f>
        <v/>
      </c>
      <c r="B23" t="str">
        <f>IF(ISNUMBER($K23),INDEX(РАБОТЫ!$A$2:$A$1058,$K23),"")</f>
        <v/>
      </c>
      <c r="C23" s="4" t="str">
        <f>IF($L23&lt;&gt;"",INDEX(РАБОТЫ!$Z$2:$Z$1058,MATCH($L23,РАБОТЫ!$V$2:$V$1058,0)),IF(ISNUMBER($K23),INDEX(РАБОТЫ!$Y$2:$Y$1058,$K23),""))</f>
        <v/>
      </c>
      <c r="D23" t="str">
        <f>IF(ISNUMBER($K23),INDEX(РАБОТЫ!$E$2:$E$1058,$K23),"")</f>
        <v/>
      </c>
      <c r="E23" t="str">
        <f>IF(ISNUMBER($K23),INDEX(РАБОТЫ!$M$2:$M$1058,$K23),"")</f>
        <v/>
      </c>
      <c r="F23" s="7" t="str">
        <f>IF(ISNUMBER($K23),INDEX(РАБОТЫ!$S$2:$S$1058,$K23),"")</f>
        <v/>
      </c>
      <c r="G23" s="7" t="str">
        <f>IF(ISNUMBER($K23),INDEX(РАБОТЫ!$T$2:$T$1058,$K23),"")</f>
        <v/>
      </c>
      <c r="H23" s="7" t="str">
        <f t="shared" si="0"/>
        <v/>
      </c>
      <c r="I23" s="7" t="str">
        <f t="shared" si="1"/>
        <v/>
      </c>
      <c r="J23" s="7" t="str">
        <f t="shared" si="2"/>
        <v/>
      </c>
      <c r="K23" t="str">
        <f>IFERROR(MATCH(2,РАБОТЫ!$X$2:$X$1058,0),"")</f>
        <v/>
      </c>
      <c r="L23" t="str">
        <f>IFERROR(IF(INDEX(РАБОТЫ!$W$2:$W$1058,MATCH(2+1,РАБОТЫ!$X$2:$X$1058,0))=1,INDEX(РАБОТЫ!$V$2:$V$1058,MATCH(2+1,РАБОТЫ!$X$2:$X$1058,0)),""),"")</f>
        <v/>
      </c>
      <c r="M23" t="str">
        <f t="shared" si="3"/>
        <v/>
      </c>
    </row>
    <row r="24" spans="1:13" hidden="1" x14ac:dyDescent="0.3">
      <c r="A24" t="str">
        <f>IF(ISNUMBER($K24),INDEX(РАБОТЫ!$U$2:$U$1058,$K24),"")</f>
        <v/>
      </c>
      <c r="B24" t="str">
        <f>IF(ISNUMBER($K24),INDEX(РАБОТЫ!$A$2:$A$1058,$K24),"")</f>
        <v/>
      </c>
      <c r="C24" s="4" t="str">
        <f>IF($L24&lt;&gt;"",INDEX(РАБОТЫ!$Z$2:$Z$1058,MATCH($L24,РАБОТЫ!$V$2:$V$1058,0)),IF(ISNUMBER($K24),INDEX(РАБОТЫ!$Y$2:$Y$1058,$K24),""))</f>
        <v/>
      </c>
      <c r="D24" t="str">
        <f>IF(ISNUMBER($K24),INDEX(РАБОТЫ!$E$2:$E$1058,$K24),"")</f>
        <v/>
      </c>
      <c r="E24" t="str">
        <f>IF(ISNUMBER($K24),INDEX(РАБОТЫ!$M$2:$M$1058,$K24),"")</f>
        <v/>
      </c>
      <c r="F24" s="7" t="str">
        <f>IF(ISNUMBER($K24),INDEX(РАБОТЫ!$S$2:$S$1058,$K24),"")</f>
        <v/>
      </c>
      <c r="G24" s="7" t="str">
        <f>IF(ISNUMBER($K24),INDEX(РАБОТЫ!$T$2:$T$1058,$K24),"")</f>
        <v/>
      </c>
      <c r="H24" s="7" t="str">
        <f t="shared" si="0"/>
        <v/>
      </c>
      <c r="I24" s="7" t="str">
        <f t="shared" si="1"/>
        <v/>
      </c>
      <c r="J24" s="7" t="str">
        <f t="shared" si="2"/>
        <v/>
      </c>
      <c r="K24" t="str">
        <f>IFERROR(MATCH(3,РАБОТЫ!$X$2:$X$1058,0),"")</f>
        <v/>
      </c>
      <c r="L24" t="str">
        <f>IFERROR(IF(INDEX(РАБОТЫ!$W$2:$W$1058,MATCH(3+1,РАБОТЫ!$X$2:$X$1058,0))=1,INDEX(РАБОТЫ!$V$2:$V$1058,MATCH(3+1,РАБОТЫ!$X$2:$X$1058,0)),""),"")</f>
        <v/>
      </c>
      <c r="M24" t="str">
        <f t="shared" si="3"/>
        <v/>
      </c>
    </row>
    <row r="25" spans="1:13" hidden="1" x14ac:dyDescent="0.3">
      <c r="A25" t="str">
        <f>IF(ISNUMBER($K25),INDEX(РАБОТЫ!$U$2:$U$1058,$K25),"")</f>
        <v/>
      </c>
      <c r="B25" t="str">
        <f>IF(ISNUMBER($K25),INDEX(РАБОТЫ!$A$2:$A$1058,$K25),"")</f>
        <v/>
      </c>
      <c r="C25" s="4" t="str">
        <f>IF($L25&lt;&gt;"",INDEX(РАБОТЫ!$Z$2:$Z$1058,MATCH($L25,РАБОТЫ!$V$2:$V$1058,0)),IF(ISNUMBER($K25),INDEX(РАБОТЫ!$Y$2:$Y$1058,$K25),""))</f>
        <v/>
      </c>
      <c r="D25" t="str">
        <f>IF(ISNUMBER($K25),INDEX(РАБОТЫ!$E$2:$E$1058,$K25),"")</f>
        <v/>
      </c>
      <c r="E25" t="str">
        <f>IF(ISNUMBER($K25),INDEX(РАБОТЫ!$M$2:$M$1058,$K25),"")</f>
        <v/>
      </c>
      <c r="F25" s="7" t="str">
        <f>IF(ISNUMBER($K25),INDEX(РАБОТЫ!$S$2:$S$1058,$K25),"")</f>
        <v/>
      </c>
      <c r="G25" s="7" t="str">
        <f>IF(ISNUMBER($K25),INDEX(РАБОТЫ!$T$2:$T$1058,$K25),"")</f>
        <v/>
      </c>
      <c r="H25" s="7" t="str">
        <f t="shared" si="0"/>
        <v/>
      </c>
      <c r="I25" s="7" t="str">
        <f t="shared" si="1"/>
        <v/>
      </c>
      <c r="J25" s="7" t="str">
        <f t="shared" si="2"/>
        <v/>
      </c>
      <c r="K25" t="str">
        <f>IFERROR(MATCH(4,РАБОТЫ!$X$2:$X$1058,0),"")</f>
        <v/>
      </c>
      <c r="L25" t="str">
        <f>IFERROR(IF(INDEX(РАБОТЫ!$W$2:$W$1058,MATCH(4+1,РАБОТЫ!$X$2:$X$1058,0))=1,INDEX(РАБОТЫ!$V$2:$V$1058,MATCH(4+1,РАБОТЫ!$X$2:$X$1058,0)),""),"")</f>
        <v/>
      </c>
      <c r="M25" t="str">
        <f t="shared" si="3"/>
        <v/>
      </c>
    </row>
    <row r="26" spans="1:13" hidden="1" x14ac:dyDescent="0.3">
      <c r="A26" t="str">
        <f>IF(ISNUMBER($K26),INDEX(РАБОТЫ!$U$2:$U$1058,$K26),"")</f>
        <v/>
      </c>
      <c r="B26" t="str">
        <f>IF(ISNUMBER($K26),INDEX(РАБОТЫ!$A$2:$A$1058,$K26),"")</f>
        <v/>
      </c>
      <c r="C26" s="4" t="str">
        <f>IF($L26&lt;&gt;"",INDEX(РАБОТЫ!$Z$2:$Z$1058,MATCH($L26,РАБОТЫ!$V$2:$V$1058,0)),IF(ISNUMBER($K26),INDEX(РАБОТЫ!$Y$2:$Y$1058,$K26),""))</f>
        <v/>
      </c>
      <c r="D26" t="str">
        <f>IF(ISNUMBER($K26),INDEX(РАБОТЫ!$E$2:$E$1058,$K26),"")</f>
        <v/>
      </c>
      <c r="E26" t="str">
        <f>IF(ISNUMBER($K26),INDEX(РАБОТЫ!$M$2:$M$1058,$K26),"")</f>
        <v/>
      </c>
      <c r="F26" s="7" t="str">
        <f>IF(ISNUMBER($K26),INDEX(РАБОТЫ!$S$2:$S$1058,$K26),"")</f>
        <v/>
      </c>
      <c r="G26" s="7" t="str">
        <f>IF(ISNUMBER($K26),INDEX(РАБОТЫ!$T$2:$T$1058,$K26),"")</f>
        <v/>
      </c>
      <c r="H26" s="7" t="str">
        <f t="shared" si="0"/>
        <v/>
      </c>
      <c r="I26" s="7" t="str">
        <f t="shared" si="1"/>
        <v/>
      </c>
      <c r="J26" s="7" t="str">
        <f t="shared" si="2"/>
        <v/>
      </c>
      <c r="K26" t="str">
        <f>IFERROR(MATCH(5,РАБОТЫ!$X$2:$X$1058,0),"")</f>
        <v/>
      </c>
      <c r="L26" t="str">
        <f>IFERROR(IF(INDEX(РАБОТЫ!$W$2:$W$1058,MATCH(5+1,РАБОТЫ!$X$2:$X$1058,0))=1,INDEX(РАБОТЫ!$V$2:$V$1058,MATCH(5+1,РАБОТЫ!$X$2:$X$1058,0)),""),"")</f>
        <v/>
      </c>
      <c r="M26" t="str">
        <f t="shared" si="3"/>
        <v/>
      </c>
    </row>
    <row r="27" spans="1:13" hidden="1" x14ac:dyDescent="0.3">
      <c r="A27" t="str">
        <f>IF(ISNUMBER($K27),INDEX(РАБОТЫ!$U$2:$U$1058,$K27),"")</f>
        <v/>
      </c>
      <c r="B27" t="str">
        <f>IF(ISNUMBER($K27),INDEX(РАБОТЫ!$A$2:$A$1058,$K27),"")</f>
        <v/>
      </c>
      <c r="C27" s="4" t="str">
        <f>IF($L27&lt;&gt;"",INDEX(РАБОТЫ!$Z$2:$Z$1058,MATCH($L27,РАБОТЫ!$V$2:$V$1058,0)),IF(ISNUMBER($K27),INDEX(РАБОТЫ!$Y$2:$Y$1058,$K27),""))</f>
        <v/>
      </c>
      <c r="D27" t="str">
        <f>IF(ISNUMBER($K27),INDEX(РАБОТЫ!$E$2:$E$1058,$K27),"")</f>
        <v/>
      </c>
      <c r="E27" t="str">
        <f>IF(ISNUMBER($K27),INDEX(РАБОТЫ!$M$2:$M$1058,$K27),"")</f>
        <v/>
      </c>
      <c r="F27" s="7" t="str">
        <f>IF(ISNUMBER($K27),INDEX(РАБОТЫ!$S$2:$S$1058,$K27),"")</f>
        <v/>
      </c>
      <c r="G27" s="7" t="str">
        <f>IF(ISNUMBER($K27),INDEX(РАБОТЫ!$T$2:$T$1058,$K27),"")</f>
        <v/>
      </c>
      <c r="H27" s="7" t="str">
        <f t="shared" si="0"/>
        <v/>
      </c>
      <c r="I27" s="7" t="str">
        <f t="shared" si="1"/>
        <v/>
      </c>
      <c r="J27" s="7" t="str">
        <f t="shared" si="2"/>
        <v/>
      </c>
      <c r="K27" t="str">
        <f>IFERROR(MATCH(6,РАБОТЫ!$X$2:$X$1058,0),"")</f>
        <v/>
      </c>
      <c r="L27" t="str">
        <f>IFERROR(IF(INDEX(РАБОТЫ!$W$2:$W$1058,MATCH(6+1,РАБОТЫ!$X$2:$X$1058,0))=1,INDEX(РАБОТЫ!$V$2:$V$1058,MATCH(6+1,РАБОТЫ!$X$2:$X$1058,0)),""),"")</f>
        <v/>
      </c>
      <c r="M27" t="str">
        <f t="shared" si="3"/>
        <v/>
      </c>
    </row>
    <row r="28" spans="1:13" hidden="1" x14ac:dyDescent="0.3">
      <c r="A28" t="str">
        <f>IF(ISNUMBER($K28),INDEX(РАБОТЫ!$U$2:$U$1058,$K28),"")</f>
        <v/>
      </c>
      <c r="B28" t="str">
        <f>IF(ISNUMBER($K28),INDEX(РАБОТЫ!$A$2:$A$1058,$K28),"")</f>
        <v/>
      </c>
      <c r="C28" s="4" t="str">
        <f>IF($L28&lt;&gt;"",INDEX(РАБОТЫ!$Z$2:$Z$1058,MATCH($L28,РАБОТЫ!$V$2:$V$1058,0)),IF(ISNUMBER($K28),INDEX(РАБОТЫ!$Y$2:$Y$1058,$K28),""))</f>
        <v/>
      </c>
      <c r="D28" t="str">
        <f>IF(ISNUMBER($K28),INDEX(РАБОТЫ!$E$2:$E$1058,$K28),"")</f>
        <v/>
      </c>
      <c r="E28" t="str">
        <f>IF(ISNUMBER($K28),INDEX(РАБОТЫ!$M$2:$M$1058,$K28),"")</f>
        <v/>
      </c>
      <c r="F28" s="7" t="str">
        <f>IF(ISNUMBER($K28),INDEX(РАБОТЫ!$S$2:$S$1058,$K28),"")</f>
        <v/>
      </c>
      <c r="G28" s="7" t="str">
        <f>IF(ISNUMBER($K28),INDEX(РАБОТЫ!$T$2:$T$1058,$K28),"")</f>
        <v/>
      </c>
      <c r="H28" s="7" t="str">
        <f t="shared" si="0"/>
        <v/>
      </c>
      <c r="I28" s="7" t="str">
        <f t="shared" si="1"/>
        <v/>
      </c>
      <c r="J28" s="7" t="str">
        <f t="shared" si="2"/>
        <v/>
      </c>
      <c r="K28" t="str">
        <f>IFERROR(MATCH(7,РАБОТЫ!$X$2:$X$1058,0),"")</f>
        <v/>
      </c>
      <c r="L28" t="str">
        <f>IFERROR(IF(INDEX(РАБОТЫ!$W$2:$W$1058,MATCH(7+1,РАБОТЫ!$X$2:$X$1058,0))=1,INDEX(РАБОТЫ!$V$2:$V$1058,MATCH(7+1,РАБОТЫ!$X$2:$X$1058,0)),""),"")</f>
        <v/>
      </c>
      <c r="M28" t="str">
        <f t="shared" si="3"/>
        <v/>
      </c>
    </row>
    <row r="29" spans="1:13" hidden="1" x14ac:dyDescent="0.3">
      <c r="A29" t="str">
        <f>IF(ISNUMBER($K29),INDEX(РАБОТЫ!$U$2:$U$1058,$K29),"")</f>
        <v/>
      </c>
      <c r="B29" t="str">
        <f>IF(ISNUMBER($K29),INDEX(РАБОТЫ!$A$2:$A$1058,$K29),"")</f>
        <v/>
      </c>
      <c r="C29" s="4" t="str">
        <f>IF($L29&lt;&gt;"",INDEX(РАБОТЫ!$Z$2:$Z$1058,MATCH($L29,РАБОТЫ!$V$2:$V$1058,0)),IF(ISNUMBER($K29),INDEX(РАБОТЫ!$Y$2:$Y$1058,$K29),""))</f>
        <v/>
      </c>
      <c r="D29" t="str">
        <f>IF(ISNUMBER($K29),INDEX(РАБОТЫ!$E$2:$E$1058,$K29),"")</f>
        <v/>
      </c>
      <c r="E29" t="str">
        <f>IF(ISNUMBER($K29),INDEX(РАБОТЫ!$M$2:$M$1058,$K29),"")</f>
        <v/>
      </c>
      <c r="F29" s="7" t="str">
        <f>IF(ISNUMBER($K29),INDEX(РАБОТЫ!$S$2:$S$1058,$K29),"")</f>
        <v/>
      </c>
      <c r="G29" s="7" t="str">
        <f>IF(ISNUMBER($K29),INDEX(РАБОТЫ!$T$2:$T$1058,$K29),"")</f>
        <v/>
      </c>
      <c r="H29" s="7" t="str">
        <f t="shared" si="0"/>
        <v/>
      </c>
      <c r="I29" s="7" t="str">
        <f t="shared" si="1"/>
        <v/>
      </c>
      <c r="J29" s="7" t="str">
        <f t="shared" si="2"/>
        <v/>
      </c>
      <c r="K29" t="str">
        <f>IFERROR(MATCH(8,РАБОТЫ!$X$2:$X$1058,0),"")</f>
        <v/>
      </c>
      <c r="L29" t="str">
        <f>IFERROR(IF(INDEX(РАБОТЫ!$W$2:$W$1058,MATCH(8+1,РАБОТЫ!$X$2:$X$1058,0))=1,INDEX(РАБОТЫ!$V$2:$V$1058,MATCH(8+1,РАБОТЫ!$X$2:$X$1058,0)),""),"")</f>
        <v/>
      </c>
      <c r="M29" t="str">
        <f t="shared" si="3"/>
        <v/>
      </c>
    </row>
    <row r="30" spans="1:13" hidden="1" x14ac:dyDescent="0.3">
      <c r="A30" t="str">
        <f>IF(ISNUMBER($K30),INDEX(РАБОТЫ!$U$2:$U$1058,$K30),"")</f>
        <v/>
      </c>
      <c r="B30" t="str">
        <f>IF(ISNUMBER($K30),INDEX(РАБОТЫ!$A$2:$A$1058,$K30),"")</f>
        <v/>
      </c>
      <c r="C30" s="4" t="str">
        <f>IF($L30&lt;&gt;"",INDEX(РАБОТЫ!$Z$2:$Z$1058,MATCH($L30,РАБОТЫ!$V$2:$V$1058,0)),IF(ISNUMBER($K30),INDEX(РАБОТЫ!$Y$2:$Y$1058,$K30),""))</f>
        <v/>
      </c>
      <c r="D30" t="str">
        <f>IF(ISNUMBER($K30),INDEX(РАБОТЫ!$E$2:$E$1058,$K30),"")</f>
        <v/>
      </c>
      <c r="E30" t="str">
        <f>IF(ISNUMBER($K30),INDEX(РАБОТЫ!$M$2:$M$1058,$K30),"")</f>
        <v/>
      </c>
      <c r="F30" s="7" t="str">
        <f>IF(ISNUMBER($K30),INDEX(РАБОТЫ!$S$2:$S$1058,$K30),"")</f>
        <v/>
      </c>
      <c r="G30" s="7" t="str">
        <f>IF(ISNUMBER($K30),INDEX(РАБОТЫ!$T$2:$T$1058,$K30),"")</f>
        <v/>
      </c>
      <c r="H30" s="7" t="str">
        <f t="shared" si="0"/>
        <v/>
      </c>
      <c r="I30" s="7" t="str">
        <f t="shared" si="1"/>
        <v/>
      </c>
      <c r="J30" s="7" t="str">
        <f t="shared" si="2"/>
        <v/>
      </c>
      <c r="K30" t="str">
        <f>IFERROR(MATCH(9,РАБОТЫ!$X$2:$X$1058,0),"")</f>
        <v/>
      </c>
      <c r="L30" t="str">
        <f>IFERROR(IF(INDEX(РАБОТЫ!$W$2:$W$1058,MATCH(9+1,РАБОТЫ!$X$2:$X$1058,0))=1,INDEX(РАБОТЫ!$V$2:$V$1058,MATCH(9+1,РАБОТЫ!$X$2:$X$1058,0)),""),"")</f>
        <v/>
      </c>
      <c r="M30" t="str">
        <f t="shared" si="3"/>
        <v/>
      </c>
    </row>
    <row r="31" spans="1:13" hidden="1" x14ac:dyDescent="0.3">
      <c r="A31" t="str">
        <f>IF(ISNUMBER($K31),INDEX(РАБОТЫ!$U$2:$U$1058,$K31),"")</f>
        <v/>
      </c>
      <c r="B31" t="str">
        <f>IF(ISNUMBER($K31),INDEX(РАБОТЫ!$A$2:$A$1058,$K31),"")</f>
        <v/>
      </c>
      <c r="C31" s="4" t="str">
        <f>IF($L31&lt;&gt;"",INDEX(РАБОТЫ!$Z$2:$Z$1058,MATCH($L31,РАБОТЫ!$V$2:$V$1058,0)),IF(ISNUMBER($K31),INDEX(РАБОТЫ!$Y$2:$Y$1058,$K31),""))</f>
        <v/>
      </c>
      <c r="D31" t="str">
        <f>IF(ISNUMBER($K31),INDEX(РАБОТЫ!$E$2:$E$1058,$K31),"")</f>
        <v/>
      </c>
      <c r="E31" t="str">
        <f>IF(ISNUMBER($K31),INDEX(РАБОТЫ!$M$2:$M$1058,$K31),"")</f>
        <v/>
      </c>
      <c r="F31" s="7" t="str">
        <f>IF(ISNUMBER($K31),INDEX(РАБОТЫ!$S$2:$S$1058,$K31),"")</f>
        <v/>
      </c>
      <c r="G31" s="7" t="str">
        <f>IF(ISNUMBER($K31),INDEX(РАБОТЫ!$T$2:$T$1058,$K31),"")</f>
        <v/>
      </c>
      <c r="H31" s="7" t="str">
        <f t="shared" si="0"/>
        <v/>
      </c>
      <c r="I31" s="7" t="str">
        <f t="shared" si="1"/>
        <v/>
      </c>
      <c r="J31" s="7" t="str">
        <f t="shared" si="2"/>
        <v/>
      </c>
      <c r="K31" t="str">
        <f>IFERROR(MATCH(10,РАБОТЫ!$X$2:$X$1058,0),"")</f>
        <v/>
      </c>
      <c r="L31" t="str">
        <f>IFERROR(IF(INDEX(РАБОТЫ!$W$2:$W$1058,MATCH(10+1,РАБОТЫ!$X$2:$X$1058,0))=1,INDEX(РАБОТЫ!$V$2:$V$1058,MATCH(10+1,РАБОТЫ!$X$2:$X$1058,0)),""),"")</f>
        <v/>
      </c>
      <c r="M31" t="str">
        <f t="shared" si="3"/>
        <v/>
      </c>
    </row>
    <row r="32" spans="1:13" hidden="1" x14ac:dyDescent="0.3">
      <c r="A32" t="str">
        <f>IF(ISNUMBER($K32),INDEX(РАБОТЫ!$U$2:$U$1058,$K32),"")</f>
        <v/>
      </c>
      <c r="B32" t="str">
        <f>IF(ISNUMBER($K32),INDEX(РАБОТЫ!$A$2:$A$1058,$K32),"")</f>
        <v/>
      </c>
      <c r="C32" s="4" t="str">
        <f>IF($L32&lt;&gt;"",INDEX(РАБОТЫ!$Z$2:$Z$1058,MATCH($L32,РАБОТЫ!$V$2:$V$1058,0)),IF(ISNUMBER($K32),INDEX(РАБОТЫ!$Y$2:$Y$1058,$K32),""))</f>
        <v/>
      </c>
      <c r="D32" t="str">
        <f>IF(ISNUMBER($K32),INDEX(РАБОТЫ!$E$2:$E$1058,$K32),"")</f>
        <v/>
      </c>
      <c r="E32" t="str">
        <f>IF(ISNUMBER($K32),INDEX(РАБОТЫ!$M$2:$M$1058,$K32),"")</f>
        <v/>
      </c>
      <c r="F32" s="7" t="str">
        <f>IF(ISNUMBER($K32),INDEX(РАБОТЫ!$S$2:$S$1058,$K32),"")</f>
        <v/>
      </c>
      <c r="G32" s="7" t="str">
        <f>IF(ISNUMBER($K32),INDEX(РАБОТЫ!$T$2:$T$1058,$K32),"")</f>
        <v/>
      </c>
      <c r="H32" s="7" t="str">
        <f t="shared" si="0"/>
        <v/>
      </c>
      <c r="I32" s="7" t="str">
        <f t="shared" si="1"/>
        <v/>
      </c>
      <c r="J32" s="7" t="str">
        <f t="shared" si="2"/>
        <v/>
      </c>
      <c r="K32" t="str">
        <f>IFERROR(MATCH(11,РАБОТЫ!$X$2:$X$1058,0),"")</f>
        <v/>
      </c>
      <c r="L32" t="str">
        <f>IFERROR(IF(INDEX(РАБОТЫ!$W$2:$W$1058,MATCH(11+1,РАБОТЫ!$X$2:$X$1058,0))=1,INDEX(РАБОТЫ!$V$2:$V$1058,MATCH(11+1,РАБОТЫ!$X$2:$X$1058,0)),""),"")</f>
        <v/>
      </c>
      <c r="M32" t="str">
        <f t="shared" si="3"/>
        <v/>
      </c>
    </row>
    <row r="33" spans="1:13" hidden="1" x14ac:dyDescent="0.3">
      <c r="A33" t="str">
        <f>IF(ISNUMBER($K33),INDEX(РАБОТЫ!$U$2:$U$1058,$K33),"")</f>
        <v/>
      </c>
      <c r="B33" t="str">
        <f>IF(ISNUMBER($K33),INDEX(РАБОТЫ!$A$2:$A$1058,$K33),"")</f>
        <v/>
      </c>
      <c r="C33" s="4" t="str">
        <f>IF($L33&lt;&gt;"",INDEX(РАБОТЫ!$Z$2:$Z$1058,MATCH($L33,РАБОТЫ!$V$2:$V$1058,0)),IF(ISNUMBER($K33),INDEX(РАБОТЫ!$Y$2:$Y$1058,$K33),""))</f>
        <v/>
      </c>
      <c r="D33" t="str">
        <f>IF(ISNUMBER($K33),INDEX(РАБОТЫ!$E$2:$E$1058,$K33),"")</f>
        <v/>
      </c>
      <c r="E33" t="str">
        <f>IF(ISNUMBER($K33),INDEX(РАБОТЫ!$M$2:$M$1058,$K33),"")</f>
        <v/>
      </c>
      <c r="F33" s="7" t="str">
        <f>IF(ISNUMBER($K33),INDEX(РАБОТЫ!$S$2:$S$1058,$K33),"")</f>
        <v/>
      </c>
      <c r="G33" s="7" t="str">
        <f>IF(ISNUMBER($K33),INDEX(РАБОТЫ!$T$2:$T$1058,$K33),"")</f>
        <v/>
      </c>
      <c r="H33" s="7" t="str">
        <f t="shared" si="0"/>
        <v/>
      </c>
      <c r="I33" s="7" t="str">
        <f t="shared" si="1"/>
        <v/>
      </c>
      <c r="J33" s="7" t="str">
        <f t="shared" si="2"/>
        <v/>
      </c>
      <c r="K33" t="str">
        <f>IFERROR(MATCH(12,РАБОТЫ!$X$2:$X$1058,0),"")</f>
        <v/>
      </c>
      <c r="L33" t="str">
        <f>IFERROR(IF(INDEX(РАБОТЫ!$W$2:$W$1058,MATCH(12+1,РАБОТЫ!$X$2:$X$1058,0))=1,INDEX(РАБОТЫ!$V$2:$V$1058,MATCH(12+1,РАБОТЫ!$X$2:$X$1058,0)),""),"")</f>
        <v/>
      </c>
      <c r="M33" t="str">
        <f t="shared" si="3"/>
        <v/>
      </c>
    </row>
    <row r="34" spans="1:13" hidden="1" x14ac:dyDescent="0.3">
      <c r="A34" t="str">
        <f>IF(ISNUMBER($K34),INDEX(РАБОТЫ!$U$2:$U$1058,$K34),"")</f>
        <v/>
      </c>
      <c r="B34" t="str">
        <f>IF(ISNUMBER($K34),INDEX(РАБОТЫ!$A$2:$A$1058,$K34),"")</f>
        <v/>
      </c>
      <c r="C34" s="4" t="str">
        <f>IF($L34&lt;&gt;"",INDEX(РАБОТЫ!$Z$2:$Z$1058,MATCH($L34,РАБОТЫ!$V$2:$V$1058,0)),IF(ISNUMBER($K34),INDEX(РАБОТЫ!$Y$2:$Y$1058,$K34),""))</f>
        <v/>
      </c>
      <c r="D34" t="str">
        <f>IF(ISNUMBER($K34),INDEX(РАБОТЫ!$E$2:$E$1058,$K34),"")</f>
        <v/>
      </c>
      <c r="E34" t="str">
        <f>IF(ISNUMBER($K34),INDEX(РАБОТЫ!$M$2:$M$1058,$K34),"")</f>
        <v/>
      </c>
      <c r="F34" s="7" t="str">
        <f>IF(ISNUMBER($K34),INDEX(РАБОТЫ!$S$2:$S$1058,$K34),"")</f>
        <v/>
      </c>
      <c r="G34" s="7" t="str">
        <f>IF(ISNUMBER($K34),INDEX(РАБОТЫ!$T$2:$T$1058,$K34),"")</f>
        <v/>
      </c>
      <c r="H34" s="7" t="str">
        <f t="shared" si="0"/>
        <v/>
      </c>
      <c r="I34" s="7" t="str">
        <f t="shared" si="1"/>
        <v/>
      </c>
      <c r="J34" s="7" t="str">
        <f t="shared" si="2"/>
        <v/>
      </c>
      <c r="K34" t="str">
        <f>IFERROR(MATCH(13,РАБОТЫ!$X$2:$X$1058,0),"")</f>
        <v/>
      </c>
      <c r="L34" t="str">
        <f>IFERROR(IF(INDEX(РАБОТЫ!$W$2:$W$1058,MATCH(13+1,РАБОТЫ!$X$2:$X$1058,0))=1,INDEX(РАБОТЫ!$V$2:$V$1058,MATCH(13+1,РАБОТЫ!$X$2:$X$1058,0)),""),"")</f>
        <v/>
      </c>
      <c r="M34" t="str">
        <f t="shared" si="3"/>
        <v/>
      </c>
    </row>
    <row r="35" spans="1:13" hidden="1" x14ac:dyDescent="0.3">
      <c r="A35" t="str">
        <f>IF(ISNUMBER($K35),INDEX(РАБОТЫ!$U$2:$U$1058,$K35),"")</f>
        <v/>
      </c>
      <c r="B35" t="str">
        <f>IF(ISNUMBER($K35),INDEX(РАБОТЫ!$A$2:$A$1058,$K35),"")</f>
        <v/>
      </c>
      <c r="C35" s="4" t="str">
        <f>IF($L35&lt;&gt;"",INDEX(РАБОТЫ!$Z$2:$Z$1058,MATCH($L35,РАБОТЫ!$V$2:$V$1058,0)),IF(ISNUMBER($K35),INDEX(РАБОТЫ!$Y$2:$Y$1058,$K35),""))</f>
        <v/>
      </c>
      <c r="D35" t="str">
        <f>IF(ISNUMBER($K35),INDEX(РАБОТЫ!$E$2:$E$1058,$K35),"")</f>
        <v/>
      </c>
      <c r="E35" t="str">
        <f>IF(ISNUMBER($K35),INDEX(РАБОТЫ!$M$2:$M$1058,$K35),"")</f>
        <v/>
      </c>
      <c r="F35" s="7" t="str">
        <f>IF(ISNUMBER($K35),INDEX(РАБОТЫ!$S$2:$S$1058,$K35),"")</f>
        <v/>
      </c>
      <c r="G35" s="7" t="str">
        <f>IF(ISNUMBER($K35),INDEX(РАБОТЫ!$T$2:$T$1058,$K35),"")</f>
        <v/>
      </c>
      <c r="H35" s="7" t="str">
        <f t="shared" si="0"/>
        <v/>
      </c>
      <c r="I35" s="7" t="str">
        <f t="shared" si="1"/>
        <v/>
      </c>
      <c r="J35" s="7" t="str">
        <f t="shared" si="2"/>
        <v/>
      </c>
      <c r="K35" t="str">
        <f>IFERROR(MATCH(14,РАБОТЫ!$X$2:$X$1058,0),"")</f>
        <v/>
      </c>
      <c r="L35" t="str">
        <f>IFERROR(IF(INDEX(РАБОТЫ!$W$2:$W$1058,MATCH(14+1,РАБОТЫ!$X$2:$X$1058,0))=1,INDEX(РАБОТЫ!$V$2:$V$1058,MATCH(14+1,РАБОТЫ!$X$2:$X$1058,0)),""),"")</f>
        <v/>
      </c>
      <c r="M35" t="str">
        <f t="shared" si="3"/>
        <v/>
      </c>
    </row>
    <row r="36" spans="1:13" hidden="1" x14ac:dyDescent="0.3">
      <c r="A36" t="str">
        <f>IF(ISNUMBER($K36),INDEX(РАБОТЫ!$U$2:$U$1058,$K36),"")</f>
        <v/>
      </c>
      <c r="B36" t="str">
        <f>IF(ISNUMBER($K36),INDEX(РАБОТЫ!$A$2:$A$1058,$K36),"")</f>
        <v/>
      </c>
      <c r="C36" s="4" t="str">
        <f>IF($L36&lt;&gt;"",INDEX(РАБОТЫ!$Z$2:$Z$1058,MATCH($L36,РАБОТЫ!$V$2:$V$1058,0)),IF(ISNUMBER($K36),INDEX(РАБОТЫ!$Y$2:$Y$1058,$K36),""))</f>
        <v/>
      </c>
      <c r="D36" t="str">
        <f>IF(ISNUMBER($K36),INDEX(РАБОТЫ!$E$2:$E$1058,$K36),"")</f>
        <v/>
      </c>
      <c r="E36" t="str">
        <f>IF(ISNUMBER($K36),INDEX(РАБОТЫ!$M$2:$M$1058,$K36),"")</f>
        <v/>
      </c>
      <c r="F36" s="7" t="str">
        <f>IF(ISNUMBER($K36),INDEX(РАБОТЫ!$S$2:$S$1058,$K36),"")</f>
        <v/>
      </c>
      <c r="G36" s="7" t="str">
        <f>IF(ISNUMBER($K36),INDEX(РАБОТЫ!$T$2:$T$1058,$K36),"")</f>
        <v/>
      </c>
      <c r="H36" s="7" t="str">
        <f t="shared" si="0"/>
        <v/>
      </c>
      <c r="I36" s="7" t="str">
        <f t="shared" si="1"/>
        <v/>
      </c>
      <c r="J36" s="7" t="str">
        <f t="shared" si="2"/>
        <v/>
      </c>
      <c r="K36" t="str">
        <f>IFERROR(MATCH(15,РАБОТЫ!$X$2:$X$1058,0),"")</f>
        <v/>
      </c>
      <c r="L36" t="str">
        <f>IFERROR(IF(INDEX(РАБОТЫ!$W$2:$W$1058,MATCH(15+1,РАБОТЫ!$X$2:$X$1058,0))=1,INDEX(РАБОТЫ!$V$2:$V$1058,MATCH(15+1,РАБОТЫ!$X$2:$X$1058,0)),""),"")</f>
        <v/>
      </c>
      <c r="M36" t="str">
        <f t="shared" si="3"/>
        <v/>
      </c>
    </row>
    <row r="37" spans="1:13" hidden="1" x14ac:dyDescent="0.3">
      <c r="A37" t="str">
        <f>IF(ISNUMBER($K37),INDEX(РАБОТЫ!$U$2:$U$1058,$K37),"")</f>
        <v/>
      </c>
      <c r="B37" t="str">
        <f>IF(ISNUMBER($K37),INDEX(РАБОТЫ!$A$2:$A$1058,$K37),"")</f>
        <v/>
      </c>
      <c r="C37" s="4" t="str">
        <f>IF($L37&lt;&gt;"",INDEX(РАБОТЫ!$Z$2:$Z$1058,MATCH($L37,РАБОТЫ!$V$2:$V$1058,0)),IF(ISNUMBER($K37),INDEX(РАБОТЫ!$Y$2:$Y$1058,$K37),""))</f>
        <v/>
      </c>
      <c r="D37" t="str">
        <f>IF(ISNUMBER($K37),INDEX(РАБОТЫ!$E$2:$E$1058,$K37),"")</f>
        <v/>
      </c>
      <c r="E37" t="str">
        <f>IF(ISNUMBER($K37),INDEX(РАБОТЫ!$M$2:$M$1058,$K37),"")</f>
        <v/>
      </c>
      <c r="F37" s="7" t="str">
        <f>IF(ISNUMBER($K37),INDEX(РАБОТЫ!$S$2:$S$1058,$K37),"")</f>
        <v/>
      </c>
      <c r="G37" s="7" t="str">
        <f>IF(ISNUMBER($K37),INDEX(РАБОТЫ!$T$2:$T$1058,$K37),"")</f>
        <v/>
      </c>
      <c r="H37" s="7" t="str">
        <f t="shared" si="0"/>
        <v/>
      </c>
      <c r="I37" s="7" t="str">
        <f t="shared" si="1"/>
        <v/>
      </c>
      <c r="J37" s="7" t="str">
        <f t="shared" si="2"/>
        <v/>
      </c>
      <c r="K37" t="str">
        <f>IFERROR(MATCH(16,РАБОТЫ!$X$2:$X$1058,0),"")</f>
        <v/>
      </c>
      <c r="L37" t="str">
        <f>IFERROR(IF(INDEX(РАБОТЫ!$W$2:$W$1058,MATCH(16+1,РАБОТЫ!$X$2:$X$1058,0))=1,INDEX(РАБОТЫ!$V$2:$V$1058,MATCH(16+1,РАБОТЫ!$X$2:$X$1058,0)),""),"")</f>
        <v/>
      </c>
      <c r="M37" t="str">
        <f t="shared" si="3"/>
        <v/>
      </c>
    </row>
    <row r="38" spans="1:13" hidden="1" x14ac:dyDescent="0.3">
      <c r="A38" t="str">
        <f>IF(ISNUMBER($K38),INDEX(РАБОТЫ!$U$2:$U$1058,$K38),"")</f>
        <v/>
      </c>
      <c r="B38" t="str">
        <f>IF(ISNUMBER($K38),INDEX(РАБОТЫ!$A$2:$A$1058,$K38),"")</f>
        <v/>
      </c>
      <c r="C38" s="4" t="str">
        <f>IF($L38&lt;&gt;"",INDEX(РАБОТЫ!$Z$2:$Z$1058,MATCH($L38,РАБОТЫ!$V$2:$V$1058,0)),IF(ISNUMBER($K38),INDEX(РАБОТЫ!$Y$2:$Y$1058,$K38),""))</f>
        <v/>
      </c>
      <c r="D38" t="str">
        <f>IF(ISNUMBER($K38),INDEX(РАБОТЫ!$E$2:$E$1058,$K38),"")</f>
        <v/>
      </c>
      <c r="E38" t="str">
        <f>IF(ISNUMBER($K38),INDEX(РАБОТЫ!$M$2:$M$1058,$K38),"")</f>
        <v/>
      </c>
      <c r="F38" s="7" t="str">
        <f>IF(ISNUMBER($K38),INDEX(РАБОТЫ!$S$2:$S$1058,$K38),"")</f>
        <v/>
      </c>
      <c r="G38" s="7" t="str">
        <f>IF(ISNUMBER($K38),INDEX(РАБОТЫ!$T$2:$T$1058,$K38),"")</f>
        <v/>
      </c>
      <c r="H38" s="7" t="str">
        <f t="shared" si="0"/>
        <v/>
      </c>
      <c r="I38" s="7" t="str">
        <f t="shared" si="1"/>
        <v/>
      </c>
      <c r="J38" s="7" t="str">
        <f t="shared" si="2"/>
        <v/>
      </c>
      <c r="K38" t="str">
        <f>IFERROR(MATCH(17,РАБОТЫ!$X$2:$X$1058,0),"")</f>
        <v/>
      </c>
      <c r="L38" t="str">
        <f>IFERROR(IF(INDEX(РАБОТЫ!$W$2:$W$1058,MATCH(17+1,РАБОТЫ!$X$2:$X$1058,0))=1,INDEX(РАБОТЫ!$V$2:$V$1058,MATCH(17+1,РАБОТЫ!$X$2:$X$1058,0)),""),"")</f>
        <v/>
      </c>
      <c r="M38" t="str">
        <f t="shared" si="3"/>
        <v/>
      </c>
    </row>
    <row r="39" spans="1:13" hidden="1" x14ac:dyDescent="0.3">
      <c r="A39" t="str">
        <f>IF(ISNUMBER($K39),INDEX(РАБОТЫ!$U$2:$U$1058,$K39),"")</f>
        <v/>
      </c>
      <c r="B39" t="str">
        <f>IF(ISNUMBER($K39),INDEX(РАБОТЫ!$A$2:$A$1058,$K39),"")</f>
        <v/>
      </c>
      <c r="C39" s="4" t="str">
        <f>IF($L39&lt;&gt;"",INDEX(РАБОТЫ!$Z$2:$Z$1058,MATCH($L39,РАБОТЫ!$V$2:$V$1058,0)),IF(ISNUMBER($K39),INDEX(РАБОТЫ!$Y$2:$Y$1058,$K39),""))</f>
        <v/>
      </c>
      <c r="D39" t="str">
        <f>IF(ISNUMBER($K39),INDEX(РАБОТЫ!$E$2:$E$1058,$K39),"")</f>
        <v/>
      </c>
      <c r="E39" t="str">
        <f>IF(ISNUMBER($K39),INDEX(РАБОТЫ!$M$2:$M$1058,$K39),"")</f>
        <v/>
      </c>
      <c r="F39" s="7" t="str">
        <f>IF(ISNUMBER($K39),INDEX(РАБОТЫ!$S$2:$S$1058,$K39),"")</f>
        <v/>
      </c>
      <c r="G39" s="7" t="str">
        <f>IF(ISNUMBER($K39),INDEX(РАБОТЫ!$T$2:$T$1058,$K39),"")</f>
        <v/>
      </c>
      <c r="H39" s="7" t="str">
        <f t="shared" si="0"/>
        <v/>
      </c>
      <c r="I39" s="7" t="str">
        <f t="shared" si="1"/>
        <v/>
      </c>
      <c r="J39" s="7" t="str">
        <f t="shared" si="2"/>
        <v/>
      </c>
      <c r="K39" t="str">
        <f>IFERROR(MATCH(18,РАБОТЫ!$X$2:$X$1058,0),"")</f>
        <v/>
      </c>
      <c r="L39" t="str">
        <f>IFERROR(IF(INDEX(РАБОТЫ!$W$2:$W$1058,MATCH(18+1,РАБОТЫ!$X$2:$X$1058,0))=1,INDEX(РАБОТЫ!$V$2:$V$1058,MATCH(18+1,РАБОТЫ!$X$2:$X$1058,0)),""),"")</f>
        <v/>
      </c>
      <c r="M39" t="str">
        <f t="shared" si="3"/>
        <v/>
      </c>
    </row>
    <row r="40" spans="1:13" hidden="1" x14ac:dyDescent="0.3">
      <c r="A40" t="str">
        <f>IF(ISNUMBER($K40),INDEX(РАБОТЫ!$U$2:$U$1058,$K40),"")</f>
        <v/>
      </c>
      <c r="B40" t="str">
        <f>IF(ISNUMBER($K40),INDEX(РАБОТЫ!$A$2:$A$1058,$K40),"")</f>
        <v/>
      </c>
      <c r="C40" s="4" t="str">
        <f>IF($L40&lt;&gt;"",INDEX(РАБОТЫ!$Z$2:$Z$1058,MATCH($L40,РАБОТЫ!$V$2:$V$1058,0)),IF(ISNUMBER($K40),INDEX(РАБОТЫ!$Y$2:$Y$1058,$K40),""))</f>
        <v/>
      </c>
      <c r="D40" t="str">
        <f>IF(ISNUMBER($K40),INDEX(РАБОТЫ!$E$2:$E$1058,$K40),"")</f>
        <v/>
      </c>
      <c r="E40" t="str">
        <f>IF(ISNUMBER($K40),INDEX(РАБОТЫ!$M$2:$M$1058,$K40),"")</f>
        <v/>
      </c>
      <c r="F40" s="7" t="str">
        <f>IF(ISNUMBER($K40),INDEX(РАБОТЫ!$S$2:$S$1058,$K40),"")</f>
        <v/>
      </c>
      <c r="G40" s="7" t="str">
        <f>IF(ISNUMBER($K40),INDEX(РАБОТЫ!$T$2:$T$1058,$K40),"")</f>
        <v/>
      </c>
      <c r="H40" s="7" t="str">
        <f t="shared" si="0"/>
        <v/>
      </c>
      <c r="I40" s="7" t="str">
        <f t="shared" si="1"/>
        <v/>
      </c>
      <c r="J40" s="7" t="str">
        <f t="shared" si="2"/>
        <v/>
      </c>
      <c r="K40" t="str">
        <f>IFERROR(MATCH(19,РАБОТЫ!$X$2:$X$1058,0),"")</f>
        <v/>
      </c>
      <c r="L40" t="str">
        <f>IFERROR(IF(INDEX(РАБОТЫ!$W$2:$W$1058,MATCH(19+1,РАБОТЫ!$X$2:$X$1058,0))=1,INDEX(РАБОТЫ!$V$2:$V$1058,MATCH(19+1,РАБОТЫ!$X$2:$X$1058,0)),""),"")</f>
        <v/>
      </c>
      <c r="M40" t="str">
        <f t="shared" si="3"/>
        <v/>
      </c>
    </row>
    <row r="41" spans="1:13" hidden="1" x14ac:dyDescent="0.3">
      <c r="A41" t="str">
        <f>IF(ISNUMBER($K41),INDEX(РАБОТЫ!$U$2:$U$1058,$K41),"")</f>
        <v/>
      </c>
      <c r="B41" t="str">
        <f>IF(ISNUMBER($K41),INDEX(РАБОТЫ!$A$2:$A$1058,$K41),"")</f>
        <v/>
      </c>
      <c r="C41" s="4" t="str">
        <f>IF($L41&lt;&gt;"",INDEX(РАБОТЫ!$Z$2:$Z$1058,MATCH($L41,РАБОТЫ!$V$2:$V$1058,0)),IF(ISNUMBER($K41),INDEX(РАБОТЫ!$Y$2:$Y$1058,$K41),""))</f>
        <v/>
      </c>
      <c r="D41" t="str">
        <f>IF(ISNUMBER($K41),INDEX(РАБОТЫ!$E$2:$E$1058,$K41),"")</f>
        <v/>
      </c>
      <c r="E41" t="str">
        <f>IF(ISNUMBER($K41),INDEX(РАБОТЫ!$M$2:$M$1058,$K41),"")</f>
        <v/>
      </c>
      <c r="F41" s="7" t="str">
        <f>IF(ISNUMBER($K41),INDEX(РАБОТЫ!$S$2:$S$1058,$K41),"")</f>
        <v/>
      </c>
      <c r="G41" s="7" t="str">
        <f>IF(ISNUMBER($K41),INDEX(РАБОТЫ!$T$2:$T$1058,$K41),"")</f>
        <v/>
      </c>
      <c r="H41" s="7" t="str">
        <f t="shared" si="0"/>
        <v/>
      </c>
      <c r="I41" s="7" t="str">
        <f t="shared" si="1"/>
        <v/>
      </c>
      <c r="J41" s="7" t="str">
        <f t="shared" si="2"/>
        <v/>
      </c>
      <c r="K41" t="str">
        <f>IFERROR(MATCH(20,РАБОТЫ!$X$2:$X$1058,0),"")</f>
        <v/>
      </c>
      <c r="L41" t="str">
        <f>IFERROR(IF(INDEX(РАБОТЫ!$W$2:$W$1058,MATCH(20+1,РАБОТЫ!$X$2:$X$1058,0))=1,INDEX(РАБОТЫ!$V$2:$V$1058,MATCH(20+1,РАБОТЫ!$X$2:$X$1058,0)),""),"")</f>
        <v/>
      </c>
      <c r="M41" t="str">
        <f t="shared" si="3"/>
        <v/>
      </c>
    </row>
    <row r="42" spans="1:13" hidden="1" x14ac:dyDescent="0.3">
      <c r="A42" t="str">
        <f>IF(ISNUMBER($K42),INDEX(РАБОТЫ!$U$2:$U$1058,$K42),"")</f>
        <v/>
      </c>
      <c r="B42" t="str">
        <f>IF(ISNUMBER($K42),INDEX(РАБОТЫ!$A$2:$A$1058,$K42),"")</f>
        <v/>
      </c>
      <c r="C42" s="4" t="str">
        <f>IF($L42&lt;&gt;"",INDEX(РАБОТЫ!$Z$2:$Z$1058,MATCH($L42,РАБОТЫ!$V$2:$V$1058,0)),IF(ISNUMBER($K42),INDEX(РАБОТЫ!$Y$2:$Y$1058,$K42),""))</f>
        <v/>
      </c>
      <c r="D42" t="str">
        <f>IF(ISNUMBER($K42),INDEX(РАБОТЫ!$E$2:$E$1058,$K42),"")</f>
        <v/>
      </c>
      <c r="E42" t="str">
        <f>IF(ISNUMBER($K42),INDEX(РАБОТЫ!$M$2:$M$1058,$K42),"")</f>
        <v/>
      </c>
      <c r="F42" s="7" t="str">
        <f>IF(ISNUMBER($K42),INDEX(РАБОТЫ!$S$2:$S$1058,$K42),"")</f>
        <v/>
      </c>
      <c r="G42" s="7" t="str">
        <f>IF(ISNUMBER($K42),INDEX(РАБОТЫ!$T$2:$T$1058,$K42),"")</f>
        <v/>
      </c>
      <c r="H42" s="7" t="str">
        <f t="shared" si="0"/>
        <v/>
      </c>
      <c r="I42" s="7" t="str">
        <f t="shared" si="1"/>
        <v/>
      </c>
      <c r="J42" s="7" t="str">
        <f t="shared" si="2"/>
        <v/>
      </c>
      <c r="K42" t="str">
        <f>IFERROR(MATCH(21,РАБОТЫ!$X$2:$X$1058,0),"")</f>
        <v/>
      </c>
      <c r="L42" t="str">
        <f>IFERROR(IF(INDEX(РАБОТЫ!$W$2:$W$1058,MATCH(21+1,РАБОТЫ!$X$2:$X$1058,0))=1,INDEX(РАБОТЫ!$V$2:$V$1058,MATCH(21+1,РАБОТЫ!$X$2:$X$1058,0)),""),"")</f>
        <v/>
      </c>
      <c r="M42" t="str">
        <f t="shared" si="3"/>
        <v/>
      </c>
    </row>
    <row r="43" spans="1:13" hidden="1" x14ac:dyDescent="0.3">
      <c r="A43" t="str">
        <f>IF(ISNUMBER($K43),INDEX(РАБОТЫ!$U$2:$U$1058,$K43),"")</f>
        <v/>
      </c>
      <c r="B43" t="str">
        <f>IF(ISNUMBER($K43),INDEX(РАБОТЫ!$A$2:$A$1058,$K43),"")</f>
        <v/>
      </c>
      <c r="C43" s="4" t="str">
        <f>IF($L43&lt;&gt;"",INDEX(РАБОТЫ!$Z$2:$Z$1058,MATCH($L43,РАБОТЫ!$V$2:$V$1058,0)),IF(ISNUMBER($K43),INDEX(РАБОТЫ!$Y$2:$Y$1058,$K43),""))</f>
        <v/>
      </c>
      <c r="D43" t="str">
        <f>IF(ISNUMBER($K43),INDEX(РАБОТЫ!$E$2:$E$1058,$K43),"")</f>
        <v/>
      </c>
      <c r="E43" t="str">
        <f>IF(ISNUMBER($K43),INDEX(РАБОТЫ!$M$2:$M$1058,$K43),"")</f>
        <v/>
      </c>
      <c r="F43" s="7" t="str">
        <f>IF(ISNUMBER($K43),INDEX(РАБОТЫ!$S$2:$S$1058,$K43),"")</f>
        <v/>
      </c>
      <c r="G43" s="7" t="str">
        <f>IF(ISNUMBER($K43),INDEX(РАБОТЫ!$T$2:$T$1058,$K43),"")</f>
        <v/>
      </c>
      <c r="H43" s="7" t="str">
        <f t="shared" si="0"/>
        <v/>
      </c>
      <c r="I43" s="7" t="str">
        <f t="shared" si="1"/>
        <v/>
      </c>
      <c r="J43" s="7" t="str">
        <f t="shared" si="2"/>
        <v/>
      </c>
      <c r="K43" t="str">
        <f>IFERROR(MATCH(22,РАБОТЫ!$X$2:$X$1058,0),"")</f>
        <v/>
      </c>
      <c r="L43" t="str">
        <f>IFERROR(IF(INDEX(РАБОТЫ!$W$2:$W$1058,MATCH(22+1,РАБОТЫ!$X$2:$X$1058,0))=1,INDEX(РАБОТЫ!$V$2:$V$1058,MATCH(22+1,РАБОТЫ!$X$2:$X$1058,0)),""),"")</f>
        <v/>
      </c>
      <c r="M43" t="str">
        <f t="shared" si="3"/>
        <v/>
      </c>
    </row>
    <row r="44" spans="1:13" hidden="1" x14ac:dyDescent="0.3">
      <c r="A44" t="str">
        <f>IF(ISNUMBER($K44),INDEX(РАБОТЫ!$U$2:$U$1058,$K44),"")</f>
        <v/>
      </c>
      <c r="B44" t="str">
        <f>IF(ISNUMBER($K44),INDEX(РАБОТЫ!$A$2:$A$1058,$K44),"")</f>
        <v/>
      </c>
      <c r="C44" s="4" t="str">
        <f>IF($L44&lt;&gt;"",INDEX(РАБОТЫ!$Z$2:$Z$1058,MATCH($L44,РАБОТЫ!$V$2:$V$1058,0)),IF(ISNUMBER($K44),INDEX(РАБОТЫ!$Y$2:$Y$1058,$K44),""))</f>
        <v/>
      </c>
      <c r="D44" t="str">
        <f>IF(ISNUMBER($K44),INDEX(РАБОТЫ!$E$2:$E$1058,$K44),"")</f>
        <v/>
      </c>
      <c r="E44" t="str">
        <f>IF(ISNUMBER($K44),INDEX(РАБОТЫ!$M$2:$M$1058,$K44),"")</f>
        <v/>
      </c>
      <c r="F44" s="7" t="str">
        <f>IF(ISNUMBER($K44),INDEX(РАБОТЫ!$S$2:$S$1058,$K44),"")</f>
        <v/>
      </c>
      <c r="G44" s="7" t="str">
        <f>IF(ISNUMBER($K44),INDEX(РАБОТЫ!$T$2:$T$1058,$K44),"")</f>
        <v/>
      </c>
      <c r="H44" s="7" t="str">
        <f t="shared" si="0"/>
        <v/>
      </c>
      <c r="I44" s="7" t="str">
        <f t="shared" si="1"/>
        <v/>
      </c>
      <c r="J44" s="7" t="str">
        <f t="shared" si="2"/>
        <v/>
      </c>
      <c r="K44" t="str">
        <f>IFERROR(MATCH(23,РАБОТЫ!$X$2:$X$1058,0),"")</f>
        <v/>
      </c>
      <c r="L44" t="str">
        <f>IFERROR(IF(INDEX(РАБОТЫ!$W$2:$W$1058,MATCH(23+1,РАБОТЫ!$X$2:$X$1058,0))=1,INDEX(РАБОТЫ!$V$2:$V$1058,MATCH(23+1,РАБОТЫ!$X$2:$X$1058,0)),""),"")</f>
        <v/>
      </c>
      <c r="M44" t="str">
        <f t="shared" si="3"/>
        <v/>
      </c>
    </row>
    <row r="45" spans="1:13" hidden="1" x14ac:dyDescent="0.3">
      <c r="A45" t="str">
        <f>IF(ISNUMBER($K45),INDEX(РАБОТЫ!$U$2:$U$1058,$K45),"")</f>
        <v/>
      </c>
      <c r="B45" t="str">
        <f>IF(ISNUMBER($K45),INDEX(РАБОТЫ!$A$2:$A$1058,$K45),"")</f>
        <v/>
      </c>
      <c r="C45" s="4" t="str">
        <f>IF($L45&lt;&gt;"",INDEX(РАБОТЫ!$Z$2:$Z$1058,MATCH($L45,РАБОТЫ!$V$2:$V$1058,0)),IF(ISNUMBER($K45),INDEX(РАБОТЫ!$Y$2:$Y$1058,$K45),""))</f>
        <v/>
      </c>
      <c r="D45" t="str">
        <f>IF(ISNUMBER($K45),INDEX(РАБОТЫ!$E$2:$E$1058,$K45),"")</f>
        <v/>
      </c>
      <c r="E45" t="str">
        <f>IF(ISNUMBER($K45),INDEX(РАБОТЫ!$M$2:$M$1058,$K45),"")</f>
        <v/>
      </c>
      <c r="F45" s="7" t="str">
        <f>IF(ISNUMBER($K45),INDEX(РАБОТЫ!$S$2:$S$1058,$K45),"")</f>
        <v/>
      </c>
      <c r="G45" s="7" t="str">
        <f>IF(ISNUMBER($K45),INDEX(РАБОТЫ!$T$2:$T$1058,$K45),"")</f>
        <v/>
      </c>
      <c r="H45" s="7" t="str">
        <f t="shared" si="0"/>
        <v/>
      </c>
      <c r="I45" s="7" t="str">
        <f t="shared" si="1"/>
        <v/>
      </c>
      <c r="J45" s="7" t="str">
        <f t="shared" si="2"/>
        <v/>
      </c>
      <c r="K45" t="str">
        <f>IFERROR(MATCH(24,РАБОТЫ!$X$2:$X$1058,0),"")</f>
        <v/>
      </c>
      <c r="L45" t="str">
        <f>IFERROR(IF(INDEX(РАБОТЫ!$W$2:$W$1058,MATCH(24+1,РАБОТЫ!$X$2:$X$1058,0))=1,INDEX(РАБОТЫ!$V$2:$V$1058,MATCH(24+1,РАБОТЫ!$X$2:$X$1058,0)),""),"")</f>
        <v/>
      </c>
      <c r="M45" t="str">
        <f t="shared" si="3"/>
        <v/>
      </c>
    </row>
    <row r="46" spans="1:13" hidden="1" x14ac:dyDescent="0.3">
      <c r="A46" t="str">
        <f>IF(ISNUMBER($K46),INDEX(РАБОТЫ!$U$2:$U$1058,$K46),"")</f>
        <v/>
      </c>
      <c r="B46" t="str">
        <f>IF(ISNUMBER($K46),INDEX(РАБОТЫ!$A$2:$A$1058,$K46),"")</f>
        <v/>
      </c>
      <c r="C46" s="4" t="str">
        <f>IF($L46&lt;&gt;"",INDEX(РАБОТЫ!$Z$2:$Z$1058,MATCH($L46,РАБОТЫ!$V$2:$V$1058,0)),IF(ISNUMBER($K46),INDEX(РАБОТЫ!$Y$2:$Y$1058,$K46),""))</f>
        <v/>
      </c>
      <c r="D46" t="str">
        <f>IF(ISNUMBER($K46),INDEX(РАБОТЫ!$E$2:$E$1058,$K46),"")</f>
        <v/>
      </c>
      <c r="E46" t="str">
        <f>IF(ISNUMBER($K46),INDEX(РАБОТЫ!$M$2:$M$1058,$K46),"")</f>
        <v/>
      </c>
      <c r="F46" s="7" t="str">
        <f>IF(ISNUMBER($K46),INDEX(РАБОТЫ!$S$2:$S$1058,$K46),"")</f>
        <v/>
      </c>
      <c r="G46" s="7" t="str">
        <f>IF(ISNUMBER($K46),INDEX(РАБОТЫ!$T$2:$T$1058,$K46),"")</f>
        <v/>
      </c>
      <c r="H46" s="7" t="str">
        <f t="shared" si="0"/>
        <v/>
      </c>
      <c r="I46" s="7" t="str">
        <f t="shared" si="1"/>
        <v/>
      </c>
      <c r="J46" s="7" t="str">
        <f t="shared" si="2"/>
        <v/>
      </c>
      <c r="K46" t="str">
        <f>IFERROR(MATCH(25,РАБОТЫ!$X$2:$X$1058,0),"")</f>
        <v/>
      </c>
      <c r="L46" t="str">
        <f>IFERROR(IF(INDEX(РАБОТЫ!$W$2:$W$1058,MATCH(25+1,РАБОТЫ!$X$2:$X$1058,0))=1,INDEX(РАБОТЫ!$V$2:$V$1058,MATCH(25+1,РАБОТЫ!$X$2:$X$1058,0)),""),"")</f>
        <v/>
      </c>
      <c r="M46" t="str">
        <f t="shared" si="3"/>
        <v/>
      </c>
    </row>
    <row r="47" spans="1:13" hidden="1" x14ac:dyDescent="0.3">
      <c r="A47" t="str">
        <f>IF(ISNUMBER($K47),INDEX(РАБОТЫ!$U$2:$U$1058,$K47),"")</f>
        <v/>
      </c>
      <c r="B47" t="str">
        <f>IF(ISNUMBER($K47),INDEX(РАБОТЫ!$A$2:$A$1058,$K47),"")</f>
        <v/>
      </c>
      <c r="C47" s="4" t="str">
        <f>IF($L47&lt;&gt;"",INDEX(РАБОТЫ!$Z$2:$Z$1058,MATCH($L47,РАБОТЫ!$V$2:$V$1058,0)),IF(ISNUMBER($K47),INDEX(РАБОТЫ!$Y$2:$Y$1058,$K47),""))</f>
        <v/>
      </c>
      <c r="D47" t="str">
        <f>IF(ISNUMBER($K47),INDEX(РАБОТЫ!$E$2:$E$1058,$K47),"")</f>
        <v/>
      </c>
      <c r="E47" t="str">
        <f>IF(ISNUMBER($K47),INDEX(РАБОТЫ!$M$2:$M$1058,$K47),"")</f>
        <v/>
      </c>
      <c r="F47" s="7" t="str">
        <f>IF(ISNUMBER($K47),INDEX(РАБОТЫ!$S$2:$S$1058,$K47),"")</f>
        <v/>
      </c>
      <c r="G47" s="7" t="str">
        <f>IF(ISNUMBER($K47),INDEX(РАБОТЫ!$T$2:$T$1058,$K47),"")</f>
        <v/>
      </c>
      <c r="H47" s="7" t="str">
        <f t="shared" si="0"/>
        <v/>
      </c>
      <c r="I47" s="7" t="str">
        <f t="shared" si="1"/>
        <v/>
      </c>
      <c r="J47" s="7" t="str">
        <f t="shared" si="2"/>
        <v/>
      </c>
      <c r="K47" t="str">
        <f>IFERROR(MATCH(26,РАБОТЫ!$X$2:$X$1058,0),"")</f>
        <v/>
      </c>
      <c r="L47" t="str">
        <f>IFERROR(IF(INDEX(РАБОТЫ!$W$2:$W$1058,MATCH(26+1,РАБОТЫ!$X$2:$X$1058,0))=1,INDEX(РАБОТЫ!$V$2:$V$1058,MATCH(26+1,РАБОТЫ!$X$2:$X$1058,0)),""),"")</f>
        <v/>
      </c>
      <c r="M47" t="str">
        <f t="shared" si="3"/>
        <v/>
      </c>
    </row>
    <row r="48" spans="1:13" hidden="1" x14ac:dyDescent="0.3">
      <c r="A48" t="str">
        <f>IF(ISNUMBER($K48),INDEX(РАБОТЫ!$U$2:$U$1058,$K48),"")</f>
        <v/>
      </c>
      <c r="B48" t="str">
        <f>IF(ISNUMBER($K48),INDEX(РАБОТЫ!$A$2:$A$1058,$K48),"")</f>
        <v/>
      </c>
      <c r="C48" s="4" t="str">
        <f>IF($L48&lt;&gt;"",INDEX(РАБОТЫ!$Z$2:$Z$1058,MATCH($L48,РАБОТЫ!$V$2:$V$1058,0)),IF(ISNUMBER($K48),INDEX(РАБОТЫ!$Y$2:$Y$1058,$K48),""))</f>
        <v/>
      </c>
      <c r="D48" t="str">
        <f>IF(ISNUMBER($K48),INDEX(РАБОТЫ!$E$2:$E$1058,$K48),"")</f>
        <v/>
      </c>
      <c r="E48" t="str">
        <f>IF(ISNUMBER($K48),INDEX(РАБОТЫ!$M$2:$M$1058,$K48),"")</f>
        <v/>
      </c>
      <c r="F48" s="7" t="str">
        <f>IF(ISNUMBER($K48),INDEX(РАБОТЫ!$S$2:$S$1058,$K48),"")</f>
        <v/>
      </c>
      <c r="G48" s="7" t="str">
        <f>IF(ISNUMBER($K48),INDEX(РАБОТЫ!$T$2:$T$1058,$K48),"")</f>
        <v/>
      </c>
      <c r="H48" s="7" t="str">
        <f t="shared" si="0"/>
        <v/>
      </c>
      <c r="I48" s="7" t="str">
        <f t="shared" si="1"/>
        <v/>
      </c>
      <c r="J48" s="7" t="str">
        <f t="shared" si="2"/>
        <v/>
      </c>
      <c r="K48" t="str">
        <f>IFERROR(MATCH(27,РАБОТЫ!$X$2:$X$1058,0),"")</f>
        <v/>
      </c>
      <c r="L48" t="str">
        <f>IFERROR(IF(INDEX(РАБОТЫ!$W$2:$W$1058,MATCH(27+1,РАБОТЫ!$X$2:$X$1058,0))=1,INDEX(РАБОТЫ!$V$2:$V$1058,MATCH(27+1,РАБОТЫ!$X$2:$X$1058,0)),""),"")</f>
        <v/>
      </c>
      <c r="M48" t="str">
        <f t="shared" si="3"/>
        <v/>
      </c>
    </row>
    <row r="49" spans="1:13" hidden="1" x14ac:dyDescent="0.3">
      <c r="A49" t="str">
        <f>IF(ISNUMBER($K49),INDEX(РАБОТЫ!$U$2:$U$1058,$K49),"")</f>
        <v/>
      </c>
      <c r="B49" t="str">
        <f>IF(ISNUMBER($K49),INDEX(РАБОТЫ!$A$2:$A$1058,$K49),"")</f>
        <v/>
      </c>
      <c r="C49" s="4" t="str">
        <f>IF($L49&lt;&gt;"",INDEX(РАБОТЫ!$Z$2:$Z$1058,MATCH($L49,РАБОТЫ!$V$2:$V$1058,0)),IF(ISNUMBER($K49),INDEX(РАБОТЫ!$Y$2:$Y$1058,$K49),""))</f>
        <v/>
      </c>
      <c r="D49" t="str">
        <f>IF(ISNUMBER($K49),INDEX(РАБОТЫ!$E$2:$E$1058,$K49),"")</f>
        <v/>
      </c>
      <c r="E49" t="str">
        <f>IF(ISNUMBER($K49),INDEX(РАБОТЫ!$M$2:$M$1058,$K49),"")</f>
        <v/>
      </c>
      <c r="F49" s="7" t="str">
        <f>IF(ISNUMBER($K49),INDEX(РАБОТЫ!$S$2:$S$1058,$K49),"")</f>
        <v/>
      </c>
      <c r="G49" s="7" t="str">
        <f>IF(ISNUMBER($K49),INDEX(РАБОТЫ!$T$2:$T$1058,$K49),"")</f>
        <v/>
      </c>
      <c r="H49" s="7" t="str">
        <f t="shared" si="0"/>
        <v/>
      </c>
      <c r="I49" s="7" t="str">
        <f t="shared" si="1"/>
        <v/>
      </c>
      <c r="J49" s="7" t="str">
        <f t="shared" si="2"/>
        <v/>
      </c>
      <c r="K49" t="str">
        <f>IFERROR(MATCH(28,РАБОТЫ!$X$2:$X$1058,0),"")</f>
        <v/>
      </c>
      <c r="L49" t="str">
        <f>IFERROR(IF(INDEX(РАБОТЫ!$W$2:$W$1058,MATCH(28+1,РАБОТЫ!$X$2:$X$1058,0))=1,INDEX(РАБОТЫ!$V$2:$V$1058,MATCH(28+1,РАБОТЫ!$X$2:$X$1058,0)),""),"")</f>
        <v/>
      </c>
      <c r="M49" t="str">
        <f t="shared" si="3"/>
        <v/>
      </c>
    </row>
    <row r="50" spans="1:13" hidden="1" x14ac:dyDescent="0.3">
      <c r="A50" t="str">
        <f>IF(ISNUMBER($K50),INDEX(РАБОТЫ!$U$2:$U$1058,$K50),"")</f>
        <v/>
      </c>
      <c r="B50" t="str">
        <f>IF(ISNUMBER($K50),INDEX(РАБОТЫ!$A$2:$A$1058,$K50),"")</f>
        <v/>
      </c>
      <c r="C50" s="4" t="str">
        <f>IF($L50&lt;&gt;"",INDEX(РАБОТЫ!$Z$2:$Z$1058,MATCH($L50,РАБОТЫ!$V$2:$V$1058,0)),IF(ISNUMBER($K50),INDEX(РАБОТЫ!$Y$2:$Y$1058,$K50),""))</f>
        <v/>
      </c>
      <c r="D50" t="str">
        <f>IF(ISNUMBER($K50),INDEX(РАБОТЫ!$E$2:$E$1058,$K50),"")</f>
        <v/>
      </c>
      <c r="E50" t="str">
        <f>IF(ISNUMBER($K50),INDEX(РАБОТЫ!$M$2:$M$1058,$K50),"")</f>
        <v/>
      </c>
      <c r="F50" s="7" t="str">
        <f>IF(ISNUMBER($K50),INDEX(РАБОТЫ!$S$2:$S$1058,$K50),"")</f>
        <v/>
      </c>
      <c r="G50" s="7" t="str">
        <f>IF(ISNUMBER($K50),INDEX(РАБОТЫ!$T$2:$T$1058,$K50),"")</f>
        <v/>
      </c>
      <c r="H50" s="7" t="str">
        <f t="shared" si="0"/>
        <v/>
      </c>
      <c r="I50" s="7" t="str">
        <f t="shared" si="1"/>
        <v/>
      </c>
      <c r="J50" s="7" t="str">
        <f t="shared" si="2"/>
        <v/>
      </c>
      <c r="K50" t="str">
        <f>IFERROR(MATCH(29,РАБОТЫ!$X$2:$X$1058,0),"")</f>
        <v/>
      </c>
      <c r="L50" t="str">
        <f>IFERROR(IF(INDEX(РАБОТЫ!$W$2:$W$1058,MATCH(29+1,РАБОТЫ!$X$2:$X$1058,0))=1,INDEX(РАБОТЫ!$V$2:$V$1058,MATCH(29+1,РАБОТЫ!$X$2:$X$1058,0)),""),"")</f>
        <v/>
      </c>
      <c r="M50" t="str">
        <f t="shared" si="3"/>
        <v/>
      </c>
    </row>
    <row r="51" spans="1:13" hidden="1" x14ac:dyDescent="0.3">
      <c r="A51" t="str">
        <f>IF(ISNUMBER($K51),INDEX(РАБОТЫ!$U$2:$U$1058,$K51),"")</f>
        <v/>
      </c>
      <c r="B51" t="str">
        <f>IF(ISNUMBER($K51),INDEX(РАБОТЫ!$A$2:$A$1058,$K51),"")</f>
        <v/>
      </c>
      <c r="C51" s="4" t="str">
        <f>IF($L51&lt;&gt;"",INDEX(РАБОТЫ!$Z$2:$Z$1058,MATCH($L51,РАБОТЫ!$V$2:$V$1058,0)),IF(ISNUMBER($K51),INDEX(РАБОТЫ!$Y$2:$Y$1058,$K51),""))</f>
        <v/>
      </c>
      <c r="D51" t="str">
        <f>IF(ISNUMBER($K51),INDEX(РАБОТЫ!$E$2:$E$1058,$K51),"")</f>
        <v/>
      </c>
      <c r="E51" t="str">
        <f>IF(ISNUMBER($K51),INDEX(РАБОТЫ!$M$2:$M$1058,$K51),"")</f>
        <v/>
      </c>
      <c r="F51" s="7" t="str">
        <f>IF(ISNUMBER($K51),INDEX(РАБОТЫ!$S$2:$S$1058,$K51),"")</f>
        <v/>
      </c>
      <c r="G51" s="7" t="str">
        <f>IF(ISNUMBER($K51),INDEX(РАБОТЫ!$T$2:$T$1058,$K51),"")</f>
        <v/>
      </c>
      <c r="H51" s="7" t="str">
        <f t="shared" si="0"/>
        <v/>
      </c>
      <c r="I51" s="7" t="str">
        <f t="shared" si="1"/>
        <v/>
      </c>
      <c r="J51" s="7" t="str">
        <f t="shared" si="2"/>
        <v/>
      </c>
      <c r="K51" t="str">
        <f>IFERROR(MATCH(30,РАБОТЫ!$X$2:$X$1058,0),"")</f>
        <v/>
      </c>
      <c r="L51" t="str">
        <f>IFERROR(IF(INDEX(РАБОТЫ!$W$2:$W$1058,MATCH(30+1,РАБОТЫ!$X$2:$X$1058,0))=1,INDEX(РАБОТЫ!$V$2:$V$1058,MATCH(30+1,РАБОТЫ!$X$2:$X$1058,0)),""),"")</f>
        <v/>
      </c>
      <c r="M51" t="str">
        <f t="shared" si="3"/>
        <v/>
      </c>
    </row>
    <row r="52" spans="1:13" hidden="1" x14ac:dyDescent="0.3">
      <c r="A52" t="str">
        <f>IF(ISNUMBER($K52),INDEX(РАБОТЫ!$U$2:$U$1058,$K52),"")</f>
        <v/>
      </c>
      <c r="B52" t="str">
        <f>IF(ISNUMBER($K52),INDEX(РАБОТЫ!$A$2:$A$1058,$K52),"")</f>
        <v/>
      </c>
      <c r="C52" s="4" t="str">
        <f>IF($L52&lt;&gt;"",INDEX(РАБОТЫ!$Z$2:$Z$1058,MATCH($L52,РАБОТЫ!$V$2:$V$1058,0)),IF(ISNUMBER($K52),INDEX(РАБОТЫ!$Y$2:$Y$1058,$K52),""))</f>
        <v/>
      </c>
      <c r="D52" t="str">
        <f>IF(ISNUMBER($K52),INDEX(РАБОТЫ!$E$2:$E$1058,$K52),"")</f>
        <v/>
      </c>
      <c r="E52" t="str">
        <f>IF(ISNUMBER($K52),INDEX(РАБОТЫ!$M$2:$M$1058,$K52),"")</f>
        <v/>
      </c>
      <c r="F52" s="7" t="str">
        <f>IF(ISNUMBER($K52),INDEX(РАБОТЫ!$S$2:$S$1058,$K52),"")</f>
        <v/>
      </c>
      <c r="G52" s="7" t="str">
        <f>IF(ISNUMBER($K52),INDEX(РАБОТЫ!$T$2:$T$1058,$K52),"")</f>
        <v/>
      </c>
      <c r="H52" s="7" t="str">
        <f t="shared" si="0"/>
        <v/>
      </c>
      <c r="I52" s="7" t="str">
        <f t="shared" si="1"/>
        <v/>
      </c>
      <c r="J52" s="7" t="str">
        <f t="shared" si="2"/>
        <v/>
      </c>
      <c r="K52" t="str">
        <f>IFERROR(MATCH(31,РАБОТЫ!$X$2:$X$1058,0),"")</f>
        <v/>
      </c>
      <c r="L52" t="str">
        <f>IFERROR(IF(INDEX(РАБОТЫ!$W$2:$W$1058,MATCH(31+1,РАБОТЫ!$X$2:$X$1058,0))=1,INDEX(РАБОТЫ!$V$2:$V$1058,MATCH(31+1,РАБОТЫ!$X$2:$X$1058,0)),""),"")</f>
        <v/>
      </c>
      <c r="M52" t="str">
        <f t="shared" si="3"/>
        <v/>
      </c>
    </row>
    <row r="53" spans="1:13" hidden="1" x14ac:dyDescent="0.3">
      <c r="A53" t="str">
        <f>IF(ISNUMBER($K53),INDEX(РАБОТЫ!$U$2:$U$1058,$K53),"")</f>
        <v/>
      </c>
      <c r="B53" t="str">
        <f>IF(ISNUMBER($K53),INDEX(РАБОТЫ!$A$2:$A$1058,$K53),"")</f>
        <v/>
      </c>
      <c r="C53" s="4" t="str">
        <f>IF($L53&lt;&gt;"",INDEX(РАБОТЫ!$Z$2:$Z$1058,MATCH($L53,РАБОТЫ!$V$2:$V$1058,0)),IF(ISNUMBER($K53),INDEX(РАБОТЫ!$Y$2:$Y$1058,$K53),""))</f>
        <v/>
      </c>
      <c r="D53" t="str">
        <f>IF(ISNUMBER($K53),INDEX(РАБОТЫ!$E$2:$E$1058,$K53),"")</f>
        <v/>
      </c>
      <c r="E53" t="str">
        <f>IF(ISNUMBER($K53),INDEX(РАБОТЫ!$M$2:$M$1058,$K53),"")</f>
        <v/>
      </c>
      <c r="F53" s="7" t="str">
        <f>IF(ISNUMBER($K53),INDEX(РАБОТЫ!$S$2:$S$1058,$K53),"")</f>
        <v/>
      </c>
      <c r="G53" s="7" t="str">
        <f>IF(ISNUMBER($K53),INDEX(РАБОТЫ!$T$2:$T$1058,$K53),"")</f>
        <v/>
      </c>
      <c r="H53" s="7" t="str">
        <f t="shared" si="0"/>
        <v/>
      </c>
      <c r="I53" s="7" t="str">
        <f t="shared" si="1"/>
        <v/>
      </c>
      <c r="J53" s="7" t="str">
        <f t="shared" si="2"/>
        <v/>
      </c>
      <c r="K53" t="str">
        <f>IFERROR(MATCH(32,РАБОТЫ!$X$2:$X$1058,0),"")</f>
        <v/>
      </c>
      <c r="L53" t="str">
        <f>IFERROR(IF(INDEX(РАБОТЫ!$W$2:$W$1058,MATCH(32+1,РАБОТЫ!$X$2:$X$1058,0))=1,INDEX(РАБОТЫ!$V$2:$V$1058,MATCH(32+1,РАБОТЫ!$X$2:$X$1058,0)),""),"")</f>
        <v/>
      </c>
      <c r="M53" t="str">
        <f t="shared" si="3"/>
        <v/>
      </c>
    </row>
    <row r="54" spans="1:13" hidden="1" x14ac:dyDescent="0.3">
      <c r="A54" t="str">
        <f>IF(ISNUMBER($K54),INDEX(РАБОТЫ!$U$2:$U$1058,$K54),"")</f>
        <v/>
      </c>
      <c r="B54" t="str">
        <f>IF(ISNUMBER($K54),INDEX(РАБОТЫ!$A$2:$A$1058,$K54),"")</f>
        <v/>
      </c>
      <c r="C54" s="4" t="str">
        <f>IF($L54&lt;&gt;"",INDEX(РАБОТЫ!$Z$2:$Z$1058,MATCH($L54,РАБОТЫ!$V$2:$V$1058,0)),IF(ISNUMBER($K54),INDEX(РАБОТЫ!$Y$2:$Y$1058,$K54),""))</f>
        <v/>
      </c>
      <c r="D54" t="str">
        <f>IF(ISNUMBER($K54),INDEX(РАБОТЫ!$E$2:$E$1058,$K54),"")</f>
        <v/>
      </c>
      <c r="E54" t="str">
        <f>IF(ISNUMBER($K54),INDEX(РАБОТЫ!$M$2:$M$1058,$K54),"")</f>
        <v/>
      </c>
      <c r="F54" s="7" t="str">
        <f>IF(ISNUMBER($K54),INDEX(РАБОТЫ!$S$2:$S$1058,$K54),"")</f>
        <v/>
      </c>
      <c r="G54" s="7" t="str">
        <f>IF(ISNUMBER($K54),INDEX(РАБОТЫ!$T$2:$T$1058,$K54),"")</f>
        <v/>
      </c>
      <c r="H54" s="7" t="str">
        <f t="shared" si="0"/>
        <v/>
      </c>
      <c r="I54" s="7" t="str">
        <f t="shared" si="1"/>
        <v/>
      </c>
      <c r="J54" s="7" t="str">
        <f t="shared" si="2"/>
        <v/>
      </c>
      <c r="K54" t="str">
        <f>IFERROR(MATCH(33,РАБОТЫ!$X$2:$X$1058,0),"")</f>
        <v/>
      </c>
      <c r="L54" t="str">
        <f>IFERROR(IF(INDEX(РАБОТЫ!$W$2:$W$1058,MATCH(33+1,РАБОТЫ!$X$2:$X$1058,0))=1,INDEX(РАБОТЫ!$V$2:$V$1058,MATCH(33+1,РАБОТЫ!$X$2:$X$1058,0)),""),"")</f>
        <v/>
      </c>
      <c r="M54" t="str">
        <f t="shared" si="3"/>
        <v/>
      </c>
    </row>
    <row r="55" spans="1:13" hidden="1" x14ac:dyDescent="0.3">
      <c r="A55" t="str">
        <f>IF(ISNUMBER($K55),INDEX(РАБОТЫ!$U$2:$U$1058,$K55),"")</f>
        <v/>
      </c>
      <c r="B55" t="str">
        <f>IF(ISNUMBER($K55),INDEX(РАБОТЫ!$A$2:$A$1058,$K55),"")</f>
        <v/>
      </c>
      <c r="C55" s="4" t="str">
        <f>IF($L55&lt;&gt;"",INDEX(РАБОТЫ!$Z$2:$Z$1058,MATCH($L55,РАБОТЫ!$V$2:$V$1058,0)),IF(ISNUMBER($K55),INDEX(РАБОТЫ!$Y$2:$Y$1058,$K55),""))</f>
        <v/>
      </c>
      <c r="D55" t="str">
        <f>IF(ISNUMBER($K55),INDEX(РАБОТЫ!$E$2:$E$1058,$K55),"")</f>
        <v/>
      </c>
      <c r="E55" t="str">
        <f>IF(ISNUMBER($K55),INDEX(РАБОТЫ!$M$2:$M$1058,$K55),"")</f>
        <v/>
      </c>
      <c r="F55" s="7" t="str">
        <f>IF(ISNUMBER($K55),INDEX(РАБОТЫ!$S$2:$S$1058,$K55),"")</f>
        <v/>
      </c>
      <c r="G55" s="7" t="str">
        <f>IF(ISNUMBER($K55),INDEX(РАБОТЫ!$T$2:$T$1058,$K55),"")</f>
        <v/>
      </c>
      <c r="H55" s="7" t="str">
        <f t="shared" si="0"/>
        <v/>
      </c>
      <c r="I55" s="7" t="str">
        <f t="shared" si="1"/>
        <v/>
      </c>
      <c r="J55" s="7" t="str">
        <f t="shared" si="2"/>
        <v/>
      </c>
      <c r="K55" t="str">
        <f>IFERROR(MATCH(34,РАБОТЫ!$X$2:$X$1058,0),"")</f>
        <v/>
      </c>
      <c r="L55" t="str">
        <f>IFERROR(IF(INDEX(РАБОТЫ!$W$2:$W$1058,MATCH(34+1,РАБОТЫ!$X$2:$X$1058,0))=1,INDEX(РАБОТЫ!$V$2:$V$1058,MATCH(34+1,РАБОТЫ!$X$2:$X$1058,0)),""),"")</f>
        <v/>
      </c>
      <c r="M55" t="str">
        <f t="shared" si="3"/>
        <v/>
      </c>
    </row>
    <row r="56" spans="1:13" hidden="1" x14ac:dyDescent="0.3">
      <c r="A56" t="str">
        <f>IF(ISNUMBER($K56),INDEX(РАБОТЫ!$U$2:$U$1058,$K56),"")</f>
        <v/>
      </c>
      <c r="B56" t="str">
        <f>IF(ISNUMBER($K56),INDEX(РАБОТЫ!$A$2:$A$1058,$K56),"")</f>
        <v/>
      </c>
      <c r="C56" s="4" t="str">
        <f>IF($L56&lt;&gt;"",INDEX(РАБОТЫ!$Z$2:$Z$1058,MATCH($L56,РАБОТЫ!$V$2:$V$1058,0)),IF(ISNUMBER($K56),INDEX(РАБОТЫ!$Y$2:$Y$1058,$K56),""))</f>
        <v/>
      </c>
      <c r="D56" t="str">
        <f>IF(ISNUMBER($K56),INDEX(РАБОТЫ!$E$2:$E$1058,$K56),"")</f>
        <v/>
      </c>
      <c r="E56" t="str">
        <f>IF(ISNUMBER($K56),INDEX(РАБОТЫ!$M$2:$M$1058,$K56),"")</f>
        <v/>
      </c>
      <c r="F56" s="7" t="str">
        <f>IF(ISNUMBER($K56),INDEX(РАБОТЫ!$S$2:$S$1058,$K56),"")</f>
        <v/>
      </c>
      <c r="G56" s="7" t="str">
        <f>IF(ISNUMBER($K56),INDEX(РАБОТЫ!$T$2:$T$1058,$K56),"")</f>
        <v/>
      </c>
      <c r="H56" s="7" t="str">
        <f t="shared" si="0"/>
        <v/>
      </c>
      <c r="I56" s="7" t="str">
        <f t="shared" si="1"/>
        <v/>
      </c>
      <c r="J56" s="7" t="str">
        <f t="shared" si="2"/>
        <v/>
      </c>
      <c r="K56" t="str">
        <f>IFERROR(MATCH(35,РАБОТЫ!$X$2:$X$1058,0),"")</f>
        <v/>
      </c>
      <c r="L56" t="str">
        <f>IFERROR(IF(INDEX(РАБОТЫ!$W$2:$W$1058,MATCH(35+1,РАБОТЫ!$X$2:$X$1058,0))=1,INDEX(РАБОТЫ!$V$2:$V$1058,MATCH(35+1,РАБОТЫ!$X$2:$X$1058,0)),""),"")</f>
        <v/>
      </c>
      <c r="M56" t="str">
        <f t="shared" si="3"/>
        <v/>
      </c>
    </row>
    <row r="57" spans="1:13" hidden="1" x14ac:dyDescent="0.3">
      <c r="A57" t="str">
        <f>IF(ISNUMBER($K57),INDEX(РАБОТЫ!$U$2:$U$1058,$K57),"")</f>
        <v/>
      </c>
      <c r="B57" t="str">
        <f>IF(ISNUMBER($K57),INDEX(РАБОТЫ!$A$2:$A$1058,$K57),"")</f>
        <v/>
      </c>
      <c r="C57" s="4" t="str">
        <f>IF($L57&lt;&gt;"",INDEX(РАБОТЫ!$Z$2:$Z$1058,MATCH($L57,РАБОТЫ!$V$2:$V$1058,0)),IF(ISNUMBER($K57),INDEX(РАБОТЫ!$Y$2:$Y$1058,$K57),""))</f>
        <v/>
      </c>
      <c r="D57" t="str">
        <f>IF(ISNUMBER($K57),INDEX(РАБОТЫ!$E$2:$E$1058,$K57),"")</f>
        <v/>
      </c>
      <c r="E57" t="str">
        <f>IF(ISNUMBER($K57),INDEX(РАБОТЫ!$M$2:$M$1058,$K57),"")</f>
        <v/>
      </c>
      <c r="F57" s="7" t="str">
        <f>IF(ISNUMBER($K57),INDEX(РАБОТЫ!$S$2:$S$1058,$K57),"")</f>
        <v/>
      </c>
      <c r="G57" s="7" t="str">
        <f>IF(ISNUMBER($K57),INDEX(РАБОТЫ!$T$2:$T$1058,$K57),"")</f>
        <v/>
      </c>
      <c r="H57" s="7" t="str">
        <f t="shared" si="0"/>
        <v/>
      </c>
      <c r="I57" s="7" t="str">
        <f t="shared" si="1"/>
        <v/>
      </c>
      <c r="J57" s="7" t="str">
        <f t="shared" si="2"/>
        <v/>
      </c>
      <c r="K57" t="str">
        <f>IFERROR(MATCH(36,РАБОТЫ!$X$2:$X$1058,0),"")</f>
        <v/>
      </c>
      <c r="L57" t="str">
        <f>IFERROR(IF(INDEX(РАБОТЫ!$W$2:$W$1058,MATCH(36+1,РАБОТЫ!$X$2:$X$1058,0))=1,INDEX(РАБОТЫ!$V$2:$V$1058,MATCH(36+1,РАБОТЫ!$X$2:$X$1058,0)),""),"")</f>
        <v/>
      </c>
      <c r="M57" t="str">
        <f t="shared" si="3"/>
        <v/>
      </c>
    </row>
    <row r="58" spans="1:13" hidden="1" x14ac:dyDescent="0.3">
      <c r="A58" t="str">
        <f>IF(ISNUMBER($K58),INDEX(РАБОТЫ!$U$2:$U$1058,$K58),"")</f>
        <v/>
      </c>
      <c r="B58" t="str">
        <f>IF(ISNUMBER($K58),INDEX(РАБОТЫ!$A$2:$A$1058,$K58),"")</f>
        <v/>
      </c>
      <c r="C58" s="4" t="str">
        <f>IF($L58&lt;&gt;"",INDEX(РАБОТЫ!$Z$2:$Z$1058,MATCH($L58,РАБОТЫ!$V$2:$V$1058,0)),IF(ISNUMBER($K58),INDEX(РАБОТЫ!$Y$2:$Y$1058,$K58),""))</f>
        <v/>
      </c>
      <c r="D58" t="str">
        <f>IF(ISNUMBER($K58),INDEX(РАБОТЫ!$E$2:$E$1058,$K58),"")</f>
        <v/>
      </c>
      <c r="E58" t="str">
        <f>IF(ISNUMBER($K58),INDEX(РАБОТЫ!$M$2:$M$1058,$K58),"")</f>
        <v/>
      </c>
      <c r="F58" s="7" t="str">
        <f>IF(ISNUMBER($K58),INDEX(РАБОТЫ!$S$2:$S$1058,$K58),"")</f>
        <v/>
      </c>
      <c r="G58" s="7" t="str">
        <f>IF(ISNUMBER($K58),INDEX(РАБОТЫ!$T$2:$T$1058,$K58),"")</f>
        <v/>
      </c>
      <c r="H58" s="7" t="str">
        <f t="shared" si="0"/>
        <v/>
      </c>
      <c r="I58" s="7" t="str">
        <f t="shared" si="1"/>
        <v/>
      </c>
      <c r="J58" s="7" t="str">
        <f t="shared" si="2"/>
        <v/>
      </c>
      <c r="K58" t="str">
        <f>IFERROR(MATCH(37,РАБОТЫ!$X$2:$X$1058,0),"")</f>
        <v/>
      </c>
      <c r="L58" t="str">
        <f>IFERROR(IF(INDEX(РАБОТЫ!$W$2:$W$1058,MATCH(37+1,РАБОТЫ!$X$2:$X$1058,0))=1,INDEX(РАБОТЫ!$V$2:$V$1058,MATCH(37+1,РАБОТЫ!$X$2:$X$1058,0)),""),"")</f>
        <v/>
      </c>
      <c r="M58" t="str">
        <f t="shared" si="3"/>
        <v/>
      </c>
    </row>
    <row r="59" spans="1:13" hidden="1" x14ac:dyDescent="0.3">
      <c r="A59" t="str">
        <f>IF(ISNUMBER($K59),INDEX(РАБОТЫ!$U$2:$U$1058,$K59),"")</f>
        <v/>
      </c>
      <c r="B59" t="str">
        <f>IF(ISNUMBER($K59),INDEX(РАБОТЫ!$A$2:$A$1058,$K59),"")</f>
        <v/>
      </c>
      <c r="C59" s="4" t="str">
        <f>IF($L59&lt;&gt;"",INDEX(РАБОТЫ!$Z$2:$Z$1058,MATCH($L59,РАБОТЫ!$V$2:$V$1058,0)),IF(ISNUMBER($K59),INDEX(РАБОТЫ!$Y$2:$Y$1058,$K59),""))</f>
        <v/>
      </c>
      <c r="D59" t="str">
        <f>IF(ISNUMBER($K59),INDEX(РАБОТЫ!$E$2:$E$1058,$K59),"")</f>
        <v/>
      </c>
      <c r="E59" t="str">
        <f>IF(ISNUMBER($K59),INDEX(РАБОТЫ!$M$2:$M$1058,$K59),"")</f>
        <v/>
      </c>
      <c r="F59" s="7" t="str">
        <f>IF(ISNUMBER($K59),INDEX(РАБОТЫ!$S$2:$S$1058,$K59),"")</f>
        <v/>
      </c>
      <c r="G59" s="7" t="str">
        <f>IF(ISNUMBER($K59),INDEX(РАБОТЫ!$T$2:$T$1058,$K59),"")</f>
        <v/>
      </c>
      <c r="H59" s="7" t="str">
        <f t="shared" si="0"/>
        <v/>
      </c>
      <c r="I59" s="7" t="str">
        <f t="shared" si="1"/>
        <v/>
      </c>
      <c r="J59" s="7" t="str">
        <f t="shared" si="2"/>
        <v/>
      </c>
      <c r="K59" t="str">
        <f>IFERROR(MATCH(38,РАБОТЫ!$X$2:$X$1058,0),"")</f>
        <v/>
      </c>
      <c r="L59" t="str">
        <f>IFERROR(IF(INDEX(РАБОТЫ!$W$2:$W$1058,MATCH(38+1,РАБОТЫ!$X$2:$X$1058,0))=1,INDEX(РАБОТЫ!$V$2:$V$1058,MATCH(38+1,РАБОТЫ!$X$2:$X$1058,0)),""),"")</f>
        <v/>
      </c>
      <c r="M59" t="str">
        <f t="shared" si="3"/>
        <v/>
      </c>
    </row>
    <row r="60" spans="1:13" hidden="1" x14ac:dyDescent="0.3">
      <c r="A60" t="str">
        <f>IF(ISNUMBER($K60),INDEX(РАБОТЫ!$U$2:$U$1058,$K60),"")</f>
        <v/>
      </c>
      <c r="B60" t="str">
        <f>IF(ISNUMBER($K60),INDEX(РАБОТЫ!$A$2:$A$1058,$K60),"")</f>
        <v/>
      </c>
      <c r="C60" s="4" t="str">
        <f>IF($L60&lt;&gt;"",INDEX(РАБОТЫ!$Z$2:$Z$1058,MATCH($L60,РАБОТЫ!$V$2:$V$1058,0)),IF(ISNUMBER($K60),INDEX(РАБОТЫ!$Y$2:$Y$1058,$K60),""))</f>
        <v/>
      </c>
      <c r="D60" t="str">
        <f>IF(ISNUMBER($K60),INDEX(РАБОТЫ!$E$2:$E$1058,$K60),"")</f>
        <v/>
      </c>
      <c r="E60" t="str">
        <f>IF(ISNUMBER($K60),INDEX(РАБОТЫ!$M$2:$M$1058,$K60),"")</f>
        <v/>
      </c>
      <c r="F60" s="7" t="str">
        <f>IF(ISNUMBER($K60),INDEX(РАБОТЫ!$S$2:$S$1058,$K60),"")</f>
        <v/>
      </c>
      <c r="G60" s="7" t="str">
        <f>IF(ISNUMBER($K60),INDEX(РАБОТЫ!$T$2:$T$1058,$K60),"")</f>
        <v/>
      </c>
      <c r="H60" s="7" t="str">
        <f t="shared" si="0"/>
        <v/>
      </c>
      <c r="I60" s="7" t="str">
        <f t="shared" si="1"/>
        <v/>
      </c>
      <c r="J60" s="7" t="str">
        <f t="shared" si="2"/>
        <v/>
      </c>
      <c r="K60" t="str">
        <f>IFERROR(MATCH(39,РАБОТЫ!$X$2:$X$1058,0),"")</f>
        <v/>
      </c>
      <c r="L60" t="str">
        <f>IFERROR(IF(INDEX(РАБОТЫ!$W$2:$W$1058,MATCH(39+1,РАБОТЫ!$X$2:$X$1058,0))=1,INDEX(РАБОТЫ!$V$2:$V$1058,MATCH(39+1,РАБОТЫ!$X$2:$X$1058,0)),""),"")</f>
        <v/>
      </c>
      <c r="M60" t="str">
        <f t="shared" si="3"/>
        <v/>
      </c>
    </row>
    <row r="61" spans="1:13" hidden="1" x14ac:dyDescent="0.3">
      <c r="A61" t="str">
        <f>IF(ISNUMBER($K61),INDEX(РАБОТЫ!$U$2:$U$1058,$K61),"")</f>
        <v/>
      </c>
      <c r="B61" t="str">
        <f>IF(ISNUMBER($K61),INDEX(РАБОТЫ!$A$2:$A$1058,$K61),"")</f>
        <v/>
      </c>
      <c r="C61" s="4" t="str">
        <f>IF($L61&lt;&gt;"",INDEX(РАБОТЫ!$Z$2:$Z$1058,MATCH($L61,РАБОТЫ!$V$2:$V$1058,0)),IF(ISNUMBER($K61),INDEX(РАБОТЫ!$Y$2:$Y$1058,$K61),""))</f>
        <v/>
      </c>
      <c r="D61" t="str">
        <f>IF(ISNUMBER($K61),INDEX(РАБОТЫ!$E$2:$E$1058,$K61),"")</f>
        <v/>
      </c>
      <c r="E61" t="str">
        <f>IF(ISNUMBER($K61),INDEX(РАБОТЫ!$M$2:$M$1058,$K61),"")</f>
        <v/>
      </c>
      <c r="F61" s="7" t="str">
        <f>IF(ISNUMBER($K61),INDEX(РАБОТЫ!$S$2:$S$1058,$K61),"")</f>
        <v/>
      </c>
      <c r="G61" s="7" t="str">
        <f>IF(ISNUMBER($K61),INDEX(РАБОТЫ!$T$2:$T$1058,$K61),"")</f>
        <v/>
      </c>
      <c r="H61" s="7" t="str">
        <f t="shared" si="0"/>
        <v/>
      </c>
      <c r="I61" s="7" t="str">
        <f t="shared" si="1"/>
        <v/>
      </c>
      <c r="J61" s="7" t="str">
        <f t="shared" si="2"/>
        <v/>
      </c>
      <c r="K61" t="str">
        <f>IFERROR(MATCH(40,РАБОТЫ!$X$2:$X$1058,0),"")</f>
        <v/>
      </c>
      <c r="L61" t="str">
        <f>IFERROR(IF(INDEX(РАБОТЫ!$W$2:$W$1058,MATCH(40+1,РАБОТЫ!$X$2:$X$1058,0))=1,INDEX(РАБОТЫ!$V$2:$V$1058,MATCH(40+1,РАБОТЫ!$X$2:$X$1058,0)),""),"")</f>
        <v/>
      </c>
      <c r="M61" t="str">
        <f t="shared" si="3"/>
        <v/>
      </c>
    </row>
    <row r="62" spans="1:13" hidden="1" x14ac:dyDescent="0.3">
      <c r="A62" t="str">
        <f>IF(ISNUMBER($K62),INDEX(РАБОТЫ!$U$2:$U$1058,$K62),"")</f>
        <v/>
      </c>
      <c r="B62" t="str">
        <f>IF(ISNUMBER($K62),INDEX(РАБОТЫ!$A$2:$A$1058,$K62),"")</f>
        <v/>
      </c>
      <c r="C62" s="4" t="str">
        <f>IF($L62&lt;&gt;"",INDEX(РАБОТЫ!$Z$2:$Z$1058,MATCH($L62,РАБОТЫ!$V$2:$V$1058,0)),IF(ISNUMBER($K62),INDEX(РАБОТЫ!$Y$2:$Y$1058,$K62),""))</f>
        <v/>
      </c>
      <c r="D62" t="str">
        <f>IF(ISNUMBER($K62),INDEX(РАБОТЫ!$E$2:$E$1058,$K62),"")</f>
        <v/>
      </c>
      <c r="E62" t="str">
        <f>IF(ISNUMBER($K62),INDEX(РАБОТЫ!$M$2:$M$1058,$K62),"")</f>
        <v/>
      </c>
      <c r="F62" s="7" t="str">
        <f>IF(ISNUMBER($K62),INDEX(РАБОТЫ!$S$2:$S$1058,$K62),"")</f>
        <v/>
      </c>
      <c r="G62" s="7" t="str">
        <f>IF(ISNUMBER($K62),INDEX(РАБОТЫ!$T$2:$T$1058,$K62),"")</f>
        <v/>
      </c>
      <c r="H62" s="7" t="str">
        <f t="shared" si="0"/>
        <v/>
      </c>
      <c r="I62" s="7" t="str">
        <f t="shared" si="1"/>
        <v/>
      </c>
      <c r="J62" s="7" t="str">
        <f t="shared" si="2"/>
        <v/>
      </c>
      <c r="K62" t="str">
        <f>IFERROR(MATCH(41,РАБОТЫ!$X$2:$X$1058,0),"")</f>
        <v/>
      </c>
      <c r="L62" t="str">
        <f>IFERROR(IF(INDEX(РАБОТЫ!$W$2:$W$1058,MATCH(41+1,РАБОТЫ!$X$2:$X$1058,0))=1,INDEX(РАБОТЫ!$V$2:$V$1058,MATCH(41+1,РАБОТЫ!$X$2:$X$1058,0)),""),"")</f>
        <v/>
      </c>
      <c r="M62" t="str">
        <f t="shared" si="3"/>
        <v/>
      </c>
    </row>
    <row r="63" spans="1:13" hidden="1" x14ac:dyDescent="0.3">
      <c r="A63" t="str">
        <f>IF(ISNUMBER($K63),INDEX(РАБОТЫ!$U$2:$U$1058,$K63),"")</f>
        <v/>
      </c>
      <c r="B63" t="str">
        <f>IF(ISNUMBER($K63),INDEX(РАБОТЫ!$A$2:$A$1058,$K63),"")</f>
        <v/>
      </c>
      <c r="C63" s="4" t="str">
        <f>IF($L63&lt;&gt;"",INDEX(РАБОТЫ!$Z$2:$Z$1058,MATCH($L63,РАБОТЫ!$V$2:$V$1058,0)),IF(ISNUMBER($K63),INDEX(РАБОТЫ!$Y$2:$Y$1058,$K63),""))</f>
        <v/>
      </c>
      <c r="D63" t="str">
        <f>IF(ISNUMBER($K63),INDEX(РАБОТЫ!$E$2:$E$1058,$K63),"")</f>
        <v/>
      </c>
      <c r="E63" t="str">
        <f>IF(ISNUMBER($K63),INDEX(РАБОТЫ!$M$2:$M$1058,$K63),"")</f>
        <v/>
      </c>
      <c r="F63" s="7" t="str">
        <f>IF(ISNUMBER($K63),INDEX(РАБОТЫ!$S$2:$S$1058,$K63),"")</f>
        <v/>
      </c>
      <c r="G63" s="7" t="str">
        <f>IF(ISNUMBER($K63),INDEX(РАБОТЫ!$T$2:$T$1058,$K63),"")</f>
        <v/>
      </c>
      <c r="H63" s="7" t="str">
        <f t="shared" si="0"/>
        <v/>
      </c>
      <c r="I63" s="7" t="str">
        <f t="shared" si="1"/>
        <v/>
      </c>
      <c r="J63" s="7" t="str">
        <f t="shared" si="2"/>
        <v/>
      </c>
      <c r="K63" t="str">
        <f>IFERROR(MATCH(42,РАБОТЫ!$X$2:$X$1058,0),"")</f>
        <v/>
      </c>
      <c r="L63" t="str">
        <f>IFERROR(IF(INDEX(РАБОТЫ!$W$2:$W$1058,MATCH(42+1,РАБОТЫ!$X$2:$X$1058,0))=1,INDEX(РАБОТЫ!$V$2:$V$1058,MATCH(42+1,РАБОТЫ!$X$2:$X$1058,0)),""),"")</f>
        <v/>
      </c>
      <c r="M63" t="str">
        <f t="shared" si="3"/>
        <v/>
      </c>
    </row>
    <row r="64" spans="1:13" hidden="1" x14ac:dyDescent="0.3">
      <c r="A64" t="str">
        <f>IF(ISNUMBER($K64),INDEX(РАБОТЫ!$U$2:$U$1058,$K64),"")</f>
        <v/>
      </c>
      <c r="B64" t="str">
        <f>IF(ISNUMBER($K64),INDEX(РАБОТЫ!$A$2:$A$1058,$K64),"")</f>
        <v/>
      </c>
      <c r="C64" s="4" t="str">
        <f>IF($L64&lt;&gt;"",INDEX(РАБОТЫ!$Z$2:$Z$1058,MATCH($L64,РАБОТЫ!$V$2:$V$1058,0)),IF(ISNUMBER($K64),INDEX(РАБОТЫ!$Y$2:$Y$1058,$K64),""))</f>
        <v/>
      </c>
      <c r="D64" t="str">
        <f>IF(ISNUMBER($K64),INDEX(РАБОТЫ!$E$2:$E$1058,$K64),"")</f>
        <v/>
      </c>
      <c r="E64" t="str">
        <f>IF(ISNUMBER($K64),INDEX(РАБОТЫ!$M$2:$M$1058,$K64),"")</f>
        <v/>
      </c>
      <c r="F64" s="7" t="str">
        <f>IF(ISNUMBER($K64),INDEX(РАБОТЫ!$S$2:$S$1058,$K64),"")</f>
        <v/>
      </c>
      <c r="G64" s="7" t="str">
        <f>IF(ISNUMBER($K64),INDEX(РАБОТЫ!$T$2:$T$1058,$K64),"")</f>
        <v/>
      </c>
      <c r="H64" s="7" t="str">
        <f t="shared" si="0"/>
        <v/>
      </c>
      <c r="I64" s="7" t="str">
        <f t="shared" si="1"/>
        <v/>
      </c>
      <c r="J64" s="7" t="str">
        <f t="shared" si="2"/>
        <v/>
      </c>
      <c r="K64" t="str">
        <f>IFERROR(MATCH(43,РАБОТЫ!$X$2:$X$1058,0),"")</f>
        <v/>
      </c>
      <c r="L64" t="str">
        <f>IFERROR(IF(INDEX(РАБОТЫ!$W$2:$W$1058,MATCH(43+1,РАБОТЫ!$X$2:$X$1058,0))=1,INDEX(РАБОТЫ!$V$2:$V$1058,MATCH(43+1,РАБОТЫ!$X$2:$X$1058,0)),""),"")</f>
        <v/>
      </c>
      <c r="M64" t="str">
        <f t="shared" si="3"/>
        <v/>
      </c>
    </row>
    <row r="65" spans="1:13" hidden="1" x14ac:dyDescent="0.3">
      <c r="A65" t="str">
        <f>IF(ISNUMBER($K65),INDEX(РАБОТЫ!$U$2:$U$1058,$K65),"")</f>
        <v/>
      </c>
      <c r="B65" t="str">
        <f>IF(ISNUMBER($K65),INDEX(РАБОТЫ!$A$2:$A$1058,$K65),"")</f>
        <v/>
      </c>
      <c r="C65" s="4" t="str">
        <f>IF($L65&lt;&gt;"",INDEX(РАБОТЫ!$Z$2:$Z$1058,MATCH($L65,РАБОТЫ!$V$2:$V$1058,0)),IF(ISNUMBER($K65),INDEX(РАБОТЫ!$Y$2:$Y$1058,$K65),""))</f>
        <v/>
      </c>
      <c r="D65" t="str">
        <f>IF(ISNUMBER($K65),INDEX(РАБОТЫ!$E$2:$E$1058,$K65),"")</f>
        <v/>
      </c>
      <c r="E65" t="str">
        <f>IF(ISNUMBER($K65),INDEX(РАБОТЫ!$M$2:$M$1058,$K65),"")</f>
        <v/>
      </c>
      <c r="F65" s="7" t="str">
        <f>IF(ISNUMBER($K65),INDEX(РАБОТЫ!$S$2:$S$1058,$K65),"")</f>
        <v/>
      </c>
      <c r="G65" s="7" t="str">
        <f>IF(ISNUMBER($K65),INDEX(РАБОТЫ!$T$2:$T$1058,$K65),"")</f>
        <v/>
      </c>
      <c r="H65" s="7" t="str">
        <f t="shared" si="0"/>
        <v/>
      </c>
      <c r="I65" s="7" t="str">
        <f t="shared" si="1"/>
        <v/>
      </c>
      <c r="J65" s="7" t="str">
        <f t="shared" si="2"/>
        <v/>
      </c>
      <c r="K65" t="str">
        <f>IFERROR(MATCH(44,РАБОТЫ!$X$2:$X$1058,0),"")</f>
        <v/>
      </c>
      <c r="L65" t="str">
        <f>IFERROR(IF(INDEX(РАБОТЫ!$W$2:$W$1058,MATCH(44+1,РАБОТЫ!$X$2:$X$1058,0))=1,INDEX(РАБОТЫ!$V$2:$V$1058,MATCH(44+1,РАБОТЫ!$X$2:$X$1058,0)),""),"")</f>
        <v/>
      </c>
      <c r="M65" t="str">
        <f t="shared" si="3"/>
        <v/>
      </c>
    </row>
    <row r="66" spans="1:13" hidden="1" x14ac:dyDescent="0.3">
      <c r="A66" t="str">
        <f>IF(ISNUMBER($K66),INDEX(РАБОТЫ!$U$2:$U$1058,$K66),"")</f>
        <v/>
      </c>
      <c r="B66" t="str">
        <f>IF(ISNUMBER($K66),INDEX(РАБОТЫ!$A$2:$A$1058,$K66),"")</f>
        <v/>
      </c>
      <c r="C66" s="4" t="str">
        <f>IF($L66&lt;&gt;"",INDEX(РАБОТЫ!$Z$2:$Z$1058,MATCH($L66,РАБОТЫ!$V$2:$V$1058,0)),IF(ISNUMBER($K66),INDEX(РАБОТЫ!$Y$2:$Y$1058,$K66),""))</f>
        <v/>
      </c>
      <c r="D66" t="str">
        <f>IF(ISNUMBER($K66),INDEX(РАБОТЫ!$E$2:$E$1058,$K66),"")</f>
        <v/>
      </c>
      <c r="E66" t="str">
        <f>IF(ISNUMBER($K66),INDEX(РАБОТЫ!$M$2:$M$1058,$K66),"")</f>
        <v/>
      </c>
      <c r="F66" s="7" t="str">
        <f>IF(ISNUMBER($K66),INDEX(РАБОТЫ!$S$2:$S$1058,$K66),"")</f>
        <v/>
      </c>
      <c r="G66" s="7" t="str">
        <f>IF(ISNUMBER($K66),INDEX(РАБОТЫ!$T$2:$T$1058,$K66),"")</f>
        <v/>
      </c>
      <c r="H66" s="7" t="str">
        <f t="shared" si="0"/>
        <v/>
      </c>
      <c r="I66" s="7" t="str">
        <f t="shared" si="1"/>
        <v/>
      </c>
      <c r="J66" s="7" t="str">
        <f t="shared" si="2"/>
        <v/>
      </c>
      <c r="K66" t="str">
        <f>IFERROR(MATCH(45,РАБОТЫ!$X$2:$X$1058,0),"")</f>
        <v/>
      </c>
      <c r="L66" t="str">
        <f>IFERROR(IF(INDEX(РАБОТЫ!$W$2:$W$1058,MATCH(45+1,РАБОТЫ!$X$2:$X$1058,0))=1,INDEX(РАБОТЫ!$V$2:$V$1058,MATCH(45+1,РАБОТЫ!$X$2:$X$1058,0)),""),"")</f>
        <v/>
      </c>
      <c r="M66" t="str">
        <f t="shared" si="3"/>
        <v/>
      </c>
    </row>
    <row r="67" spans="1:13" hidden="1" x14ac:dyDescent="0.3">
      <c r="A67" t="str">
        <f>IF(ISNUMBER($K67),INDEX(РАБОТЫ!$U$2:$U$1058,$K67),"")</f>
        <v/>
      </c>
      <c r="B67" t="str">
        <f>IF(ISNUMBER($K67),INDEX(РАБОТЫ!$A$2:$A$1058,$K67),"")</f>
        <v/>
      </c>
      <c r="C67" s="4" t="str">
        <f>IF($L67&lt;&gt;"",INDEX(РАБОТЫ!$Z$2:$Z$1058,MATCH($L67,РАБОТЫ!$V$2:$V$1058,0)),IF(ISNUMBER($K67),INDEX(РАБОТЫ!$Y$2:$Y$1058,$K67),""))</f>
        <v/>
      </c>
      <c r="D67" t="str">
        <f>IF(ISNUMBER($K67),INDEX(РАБОТЫ!$E$2:$E$1058,$K67),"")</f>
        <v/>
      </c>
      <c r="E67" t="str">
        <f>IF(ISNUMBER($K67),INDEX(РАБОТЫ!$M$2:$M$1058,$K67),"")</f>
        <v/>
      </c>
      <c r="F67" s="7" t="str">
        <f>IF(ISNUMBER($K67),INDEX(РАБОТЫ!$S$2:$S$1058,$K67),"")</f>
        <v/>
      </c>
      <c r="G67" s="7" t="str">
        <f>IF(ISNUMBER($K67),INDEX(РАБОТЫ!$T$2:$T$1058,$K67),"")</f>
        <v/>
      </c>
      <c r="H67" s="7" t="str">
        <f t="shared" si="0"/>
        <v/>
      </c>
      <c r="I67" s="7" t="str">
        <f t="shared" si="1"/>
        <v/>
      </c>
      <c r="J67" s="7" t="str">
        <f t="shared" si="2"/>
        <v/>
      </c>
      <c r="K67" t="str">
        <f>IFERROR(MATCH(46,РАБОТЫ!$X$2:$X$1058,0),"")</f>
        <v/>
      </c>
      <c r="L67" t="str">
        <f>IFERROR(IF(INDEX(РАБОТЫ!$W$2:$W$1058,MATCH(46+1,РАБОТЫ!$X$2:$X$1058,0))=1,INDEX(РАБОТЫ!$V$2:$V$1058,MATCH(46+1,РАБОТЫ!$X$2:$X$1058,0)),""),"")</f>
        <v/>
      </c>
      <c r="M67" t="str">
        <f t="shared" si="3"/>
        <v/>
      </c>
    </row>
    <row r="68" spans="1:13" hidden="1" x14ac:dyDescent="0.3">
      <c r="A68" t="str">
        <f>IF(ISNUMBER($K68),INDEX(РАБОТЫ!$U$2:$U$1058,$K68),"")</f>
        <v/>
      </c>
      <c r="B68" t="str">
        <f>IF(ISNUMBER($K68),INDEX(РАБОТЫ!$A$2:$A$1058,$K68),"")</f>
        <v/>
      </c>
      <c r="C68" s="4" t="str">
        <f>IF($L68&lt;&gt;"",INDEX(РАБОТЫ!$Z$2:$Z$1058,MATCH($L68,РАБОТЫ!$V$2:$V$1058,0)),IF(ISNUMBER($K68),INDEX(РАБОТЫ!$Y$2:$Y$1058,$K68),""))</f>
        <v/>
      </c>
      <c r="D68" t="str">
        <f>IF(ISNUMBER($K68),INDEX(РАБОТЫ!$E$2:$E$1058,$K68),"")</f>
        <v/>
      </c>
      <c r="E68" t="str">
        <f>IF(ISNUMBER($K68),INDEX(РАБОТЫ!$M$2:$M$1058,$K68),"")</f>
        <v/>
      </c>
      <c r="F68" s="7" t="str">
        <f>IF(ISNUMBER($K68),INDEX(РАБОТЫ!$S$2:$S$1058,$K68),"")</f>
        <v/>
      </c>
      <c r="G68" s="7" t="str">
        <f>IF(ISNUMBER($K68),INDEX(РАБОТЫ!$T$2:$T$1058,$K68),"")</f>
        <v/>
      </c>
      <c r="H68" s="7" t="str">
        <f t="shared" si="0"/>
        <v/>
      </c>
      <c r="I68" s="7" t="str">
        <f t="shared" si="1"/>
        <v/>
      </c>
      <c r="J68" s="7" t="str">
        <f t="shared" si="2"/>
        <v/>
      </c>
      <c r="K68" t="str">
        <f>IFERROR(MATCH(47,РАБОТЫ!$X$2:$X$1058,0),"")</f>
        <v/>
      </c>
      <c r="L68" t="str">
        <f>IFERROR(IF(INDEX(РАБОТЫ!$W$2:$W$1058,MATCH(47+1,РАБОТЫ!$X$2:$X$1058,0))=1,INDEX(РАБОТЫ!$V$2:$V$1058,MATCH(47+1,РАБОТЫ!$X$2:$X$1058,0)),""),"")</f>
        <v/>
      </c>
      <c r="M68" t="str">
        <f t="shared" si="3"/>
        <v/>
      </c>
    </row>
    <row r="69" spans="1:13" hidden="1" x14ac:dyDescent="0.3">
      <c r="A69" t="str">
        <f>IF(ISNUMBER($K69),INDEX(РАБОТЫ!$U$2:$U$1058,$K69),"")</f>
        <v/>
      </c>
      <c r="B69" t="str">
        <f>IF(ISNUMBER($K69),INDEX(РАБОТЫ!$A$2:$A$1058,$K69),"")</f>
        <v/>
      </c>
      <c r="C69" s="4" t="str">
        <f>IF($L69&lt;&gt;"",INDEX(РАБОТЫ!$Z$2:$Z$1058,MATCH($L69,РАБОТЫ!$V$2:$V$1058,0)),IF(ISNUMBER($K69),INDEX(РАБОТЫ!$Y$2:$Y$1058,$K69),""))</f>
        <v/>
      </c>
      <c r="D69" t="str">
        <f>IF(ISNUMBER($K69),INDEX(РАБОТЫ!$E$2:$E$1058,$K69),"")</f>
        <v/>
      </c>
      <c r="E69" t="str">
        <f>IF(ISNUMBER($K69),INDEX(РАБОТЫ!$M$2:$M$1058,$K69),"")</f>
        <v/>
      </c>
      <c r="F69" s="7" t="str">
        <f>IF(ISNUMBER($K69),INDEX(РАБОТЫ!$S$2:$S$1058,$K69),"")</f>
        <v/>
      </c>
      <c r="G69" s="7" t="str">
        <f>IF(ISNUMBER($K69),INDEX(РАБОТЫ!$T$2:$T$1058,$K69),"")</f>
        <v/>
      </c>
      <c r="H69" s="7" t="str">
        <f t="shared" si="0"/>
        <v/>
      </c>
      <c r="I69" s="7" t="str">
        <f t="shared" si="1"/>
        <v/>
      </c>
      <c r="J69" s="7" t="str">
        <f t="shared" si="2"/>
        <v/>
      </c>
      <c r="K69" t="str">
        <f>IFERROR(MATCH(48,РАБОТЫ!$X$2:$X$1058,0),"")</f>
        <v/>
      </c>
      <c r="L69" t="str">
        <f>IFERROR(IF(INDEX(РАБОТЫ!$W$2:$W$1058,MATCH(48+1,РАБОТЫ!$X$2:$X$1058,0))=1,INDEX(РАБОТЫ!$V$2:$V$1058,MATCH(48+1,РАБОТЫ!$X$2:$X$1058,0)),""),"")</f>
        <v/>
      </c>
      <c r="M69" t="str">
        <f t="shared" si="3"/>
        <v/>
      </c>
    </row>
    <row r="70" spans="1:13" hidden="1" x14ac:dyDescent="0.3">
      <c r="A70" t="str">
        <f>IF(ISNUMBER($K70),INDEX(РАБОТЫ!$U$2:$U$1058,$K70),"")</f>
        <v/>
      </c>
      <c r="B70" t="str">
        <f>IF(ISNUMBER($K70),INDEX(РАБОТЫ!$A$2:$A$1058,$K70),"")</f>
        <v/>
      </c>
      <c r="C70" s="4" t="str">
        <f>IF($L70&lt;&gt;"",INDEX(РАБОТЫ!$Z$2:$Z$1058,MATCH($L70,РАБОТЫ!$V$2:$V$1058,0)),IF(ISNUMBER($K70),INDEX(РАБОТЫ!$Y$2:$Y$1058,$K70),""))</f>
        <v/>
      </c>
      <c r="D70" t="str">
        <f>IF(ISNUMBER($K70),INDEX(РАБОТЫ!$E$2:$E$1058,$K70),"")</f>
        <v/>
      </c>
      <c r="E70" t="str">
        <f>IF(ISNUMBER($K70),INDEX(РАБОТЫ!$M$2:$M$1058,$K70),"")</f>
        <v/>
      </c>
      <c r="F70" s="7" t="str">
        <f>IF(ISNUMBER($K70),INDEX(РАБОТЫ!$S$2:$S$1058,$K70),"")</f>
        <v/>
      </c>
      <c r="G70" s="7" t="str">
        <f>IF(ISNUMBER($K70),INDEX(РАБОТЫ!$T$2:$T$1058,$K70),"")</f>
        <v/>
      </c>
      <c r="H70" s="7" t="str">
        <f t="shared" si="0"/>
        <v/>
      </c>
      <c r="I70" s="7" t="str">
        <f t="shared" si="1"/>
        <v/>
      </c>
      <c r="J70" s="7" t="str">
        <f t="shared" si="2"/>
        <v/>
      </c>
      <c r="K70" t="str">
        <f>IFERROR(MATCH(49,РАБОТЫ!$X$2:$X$1058,0),"")</f>
        <v/>
      </c>
      <c r="L70" t="str">
        <f>IFERROR(IF(INDEX(РАБОТЫ!$W$2:$W$1058,MATCH(49+1,РАБОТЫ!$X$2:$X$1058,0))=1,INDEX(РАБОТЫ!$V$2:$V$1058,MATCH(49+1,РАБОТЫ!$X$2:$X$1058,0)),""),"")</f>
        <v/>
      </c>
      <c r="M70" t="str">
        <f t="shared" si="3"/>
        <v/>
      </c>
    </row>
    <row r="71" spans="1:13" hidden="1" x14ac:dyDescent="0.3">
      <c r="A71" t="str">
        <f>IF(ISNUMBER($K71),INDEX(РАБОТЫ!$U$2:$U$1058,$K71),"")</f>
        <v/>
      </c>
      <c r="B71" t="str">
        <f>IF(ISNUMBER($K71),INDEX(РАБОТЫ!$A$2:$A$1058,$K71),"")</f>
        <v/>
      </c>
      <c r="C71" s="4" t="str">
        <f>IF($L71&lt;&gt;"",INDEX(РАБОТЫ!$Z$2:$Z$1058,MATCH($L71,РАБОТЫ!$V$2:$V$1058,0)),IF(ISNUMBER($K71),INDEX(РАБОТЫ!$Y$2:$Y$1058,$K71),""))</f>
        <v/>
      </c>
      <c r="D71" t="str">
        <f>IF(ISNUMBER($K71),INDEX(РАБОТЫ!$E$2:$E$1058,$K71),"")</f>
        <v/>
      </c>
      <c r="E71" t="str">
        <f>IF(ISNUMBER($K71),INDEX(РАБОТЫ!$M$2:$M$1058,$K71),"")</f>
        <v/>
      </c>
      <c r="F71" s="7" t="str">
        <f>IF(ISNUMBER($K71),INDEX(РАБОТЫ!$S$2:$S$1058,$K71),"")</f>
        <v/>
      </c>
      <c r="G71" s="7" t="str">
        <f>IF(ISNUMBER($K71),INDEX(РАБОТЫ!$T$2:$T$1058,$K71),"")</f>
        <v/>
      </c>
      <c r="H71" s="7" t="str">
        <f t="shared" si="0"/>
        <v/>
      </c>
      <c r="I71" s="7" t="str">
        <f t="shared" si="1"/>
        <v/>
      </c>
      <c r="J71" s="7" t="str">
        <f t="shared" si="2"/>
        <v/>
      </c>
      <c r="K71" t="str">
        <f>IFERROR(MATCH(50,РАБОТЫ!$X$2:$X$1058,0),"")</f>
        <v/>
      </c>
      <c r="L71" t="str">
        <f>IFERROR(IF(INDEX(РАБОТЫ!$W$2:$W$1058,MATCH(50+1,РАБОТЫ!$X$2:$X$1058,0))=1,INDEX(РАБОТЫ!$V$2:$V$1058,MATCH(50+1,РАБОТЫ!$X$2:$X$1058,0)),""),"")</f>
        <v/>
      </c>
      <c r="M71" t="str">
        <f t="shared" si="3"/>
        <v/>
      </c>
    </row>
    <row r="72" spans="1:13" hidden="1" x14ac:dyDescent="0.3">
      <c r="A72" t="str">
        <f>IF(ISNUMBER($K72),INDEX(РАБОТЫ!$U$2:$U$1058,$K72),"")</f>
        <v/>
      </c>
      <c r="B72" t="str">
        <f>IF(ISNUMBER($K72),INDEX(РАБОТЫ!$A$2:$A$1058,$K72),"")</f>
        <v/>
      </c>
      <c r="C72" s="4" t="str">
        <f>IF($L72&lt;&gt;"",INDEX(РАБОТЫ!$Z$2:$Z$1058,MATCH($L72,РАБОТЫ!$V$2:$V$1058,0)),IF(ISNUMBER($K72),INDEX(РАБОТЫ!$Y$2:$Y$1058,$K72),""))</f>
        <v/>
      </c>
      <c r="D72" t="str">
        <f>IF(ISNUMBER($K72),INDEX(РАБОТЫ!$E$2:$E$1058,$K72),"")</f>
        <v/>
      </c>
      <c r="E72" t="str">
        <f>IF(ISNUMBER($K72),INDEX(РАБОТЫ!$M$2:$M$1058,$K72),"")</f>
        <v/>
      </c>
      <c r="F72" s="7" t="str">
        <f>IF(ISNUMBER($K72),INDEX(РАБОТЫ!$S$2:$S$1058,$K72),"")</f>
        <v/>
      </c>
      <c r="G72" s="7" t="str">
        <f>IF(ISNUMBER($K72),INDEX(РАБОТЫ!$T$2:$T$1058,$K72),"")</f>
        <v/>
      </c>
      <c r="H72" s="7" t="str">
        <f t="shared" si="0"/>
        <v/>
      </c>
      <c r="I72" s="7" t="str">
        <f t="shared" si="1"/>
        <v/>
      </c>
      <c r="J72" s="7" t="str">
        <f t="shared" si="2"/>
        <v/>
      </c>
      <c r="K72" t="str">
        <f>IFERROR(MATCH(51,РАБОТЫ!$X$2:$X$1058,0),"")</f>
        <v/>
      </c>
      <c r="L72" t="str">
        <f>IFERROR(IF(INDEX(РАБОТЫ!$W$2:$W$1058,MATCH(51+1,РАБОТЫ!$X$2:$X$1058,0))=1,INDEX(РАБОТЫ!$V$2:$V$1058,MATCH(51+1,РАБОТЫ!$X$2:$X$1058,0)),""),"")</f>
        <v/>
      </c>
      <c r="M72" t="str">
        <f t="shared" si="3"/>
        <v/>
      </c>
    </row>
    <row r="73" spans="1:13" hidden="1" x14ac:dyDescent="0.3">
      <c r="A73" t="str">
        <f>IF(ISNUMBER($K73),INDEX(РАБОТЫ!$U$2:$U$1058,$K73),"")</f>
        <v/>
      </c>
      <c r="B73" t="str">
        <f>IF(ISNUMBER($K73),INDEX(РАБОТЫ!$A$2:$A$1058,$K73),"")</f>
        <v/>
      </c>
      <c r="C73" s="4" t="str">
        <f>IF($L73&lt;&gt;"",INDEX(РАБОТЫ!$Z$2:$Z$1058,MATCH($L73,РАБОТЫ!$V$2:$V$1058,0)),IF(ISNUMBER($K73),INDEX(РАБОТЫ!$Y$2:$Y$1058,$K73),""))</f>
        <v/>
      </c>
      <c r="D73" t="str">
        <f>IF(ISNUMBER($K73),INDEX(РАБОТЫ!$E$2:$E$1058,$K73),"")</f>
        <v/>
      </c>
      <c r="E73" t="str">
        <f>IF(ISNUMBER($K73),INDEX(РАБОТЫ!$M$2:$M$1058,$K73),"")</f>
        <v/>
      </c>
      <c r="F73" s="7" t="str">
        <f>IF(ISNUMBER($K73),INDEX(РАБОТЫ!$S$2:$S$1058,$K73),"")</f>
        <v/>
      </c>
      <c r="G73" s="7" t="str">
        <f>IF(ISNUMBER($K73),INDEX(РАБОТЫ!$T$2:$T$1058,$K73),"")</f>
        <v/>
      </c>
      <c r="H73" s="7" t="str">
        <f t="shared" si="0"/>
        <v/>
      </c>
      <c r="I73" s="7" t="str">
        <f t="shared" si="1"/>
        <v/>
      </c>
      <c r="J73" s="7" t="str">
        <f t="shared" si="2"/>
        <v/>
      </c>
      <c r="K73" t="str">
        <f>IFERROR(MATCH(52,РАБОТЫ!$X$2:$X$1058,0),"")</f>
        <v/>
      </c>
      <c r="L73" t="str">
        <f>IFERROR(IF(INDEX(РАБОТЫ!$W$2:$W$1058,MATCH(52+1,РАБОТЫ!$X$2:$X$1058,0))=1,INDEX(РАБОТЫ!$V$2:$V$1058,MATCH(52+1,РАБОТЫ!$X$2:$X$1058,0)),""),"")</f>
        <v/>
      </c>
      <c r="M73" t="str">
        <f t="shared" si="3"/>
        <v/>
      </c>
    </row>
    <row r="74" spans="1:13" hidden="1" x14ac:dyDescent="0.3">
      <c r="A74" t="str">
        <f>IF(ISNUMBER($K74),INDEX(РАБОТЫ!$U$2:$U$1058,$K74),"")</f>
        <v/>
      </c>
      <c r="B74" t="str">
        <f>IF(ISNUMBER($K74),INDEX(РАБОТЫ!$A$2:$A$1058,$K74),"")</f>
        <v/>
      </c>
      <c r="C74" s="4" t="str">
        <f>IF($L74&lt;&gt;"",INDEX(РАБОТЫ!$Z$2:$Z$1058,MATCH($L74,РАБОТЫ!$V$2:$V$1058,0)),IF(ISNUMBER($K74),INDEX(РАБОТЫ!$Y$2:$Y$1058,$K74),""))</f>
        <v/>
      </c>
      <c r="D74" t="str">
        <f>IF(ISNUMBER($K74),INDEX(РАБОТЫ!$E$2:$E$1058,$K74),"")</f>
        <v/>
      </c>
      <c r="E74" t="str">
        <f>IF(ISNUMBER($K74),INDEX(РАБОТЫ!$M$2:$M$1058,$K74),"")</f>
        <v/>
      </c>
      <c r="F74" s="7" t="str">
        <f>IF(ISNUMBER($K74),INDEX(РАБОТЫ!$S$2:$S$1058,$K74),"")</f>
        <v/>
      </c>
      <c r="G74" s="7" t="str">
        <f>IF(ISNUMBER($K74),INDEX(РАБОТЫ!$T$2:$T$1058,$K74),"")</f>
        <v/>
      </c>
      <c r="H74" s="7" t="str">
        <f t="shared" si="0"/>
        <v/>
      </c>
      <c r="I74" s="7" t="str">
        <f t="shared" si="1"/>
        <v/>
      </c>
      <c r="J74" s="7" t="str">
        <f t="shared" si="2"/>
        <v/>
      </c>
      <c r="K74" t="str">
        <f>IFERROR(MATCH(53,РАБОТЫ!$X$2:$X$1058,0),"")</f>
        <v/>
      </c>
      <c r="L74" t="str">
        <f>IFERROR(IF(INDEX(РАБОТЫ!$W$2:$W$1058,MATCH(53+1,РАБОТЫ!$X$2:$X$1058,0))=1,INDEX(РАБОТЫ!$V$2:$V$1058,MATCH(53+1,РАБОТЫ!$X$2:$X$1058,0)),""),"")</f>
        <v/>
      </c>
      <c r="M74" t="str">
        <f t="shared" si="3"/>
        <v/>
      </c>
    </row>
    <row r="75" spans="1:13" hidden="1" x14ac:dyDescent="0.3">
      <c r="A75" t="str">
        <f>IF(ISNUMBER($K75),INDEX(РАБОТЫ!$U$2:$U$1058,$K75),"")</f>
        <v/>
      </c>
      <c r="B75" t="str">
        <f>IF(ISNUMBER($K75),INDEX(РАБОТЫ!$A$2:$A$1058,$K75),"")</f>
        <v/>
      </c>
      <c r="C75" s="4" t="str">
        <f>IF($L75&lt;&gt;"",INDEX(РАБОТЫ!$Z$2:$Z$1058,MATCH($L75,РАБОТЫ!$V$2:$V$1058,0)),IF(ISNUMBER($K75),INDEX(РАБОТЫ!$Y$2:$Y$1058,$K75),""))</f>
        <v/>
      </c>
      <c r="D75" t="str">
        <f>IF(ISNUMBER($K75),INDEX(РАБОТЫ!$E$2:$E$1058,$K75),"")</f>
        <v/>
      </c>
      <c r="E75" t="str">
        <f>IF(ISNUMBER($K75),INDEX(РАБОТЫ!$M$2:$M$1058,$K75),"")</f>
        <v/>
      </c>
      <c r="F75" s="7" t="str">
        <f>IF(ISNUMBER($K75),INDEX(РАБОТЫ!$S$2:$S$1058,$K75),"")</f>
        <v/>
      </c>
      <c r="G75" s="7" t="str">
        <f>IF(ISNUMBER($K75),INDEX(РАБОТЫ!$T$2:$T$1058,$K75),"")</f>
        <v/>
      </c>
      <c r="H75" s="7" t="str">
        <f t="shared" si="0"/>
        <v/>
      </c>
      <c r="I75" s="7" t="str">
        <f t="shared" si="1"/>
        <v/>
      </c>
      <c r="J75" s="7" t="str">
        <f t="shared" si="2"/>
        <v/>
      </c>
      <c r="K75" t="str">
        <f>IFERROR(MATCH(54,РАБОТЫ!$X$2:$X$1058,0),"")</f>
        <v/>
      </c>
      <c r="L75" t="str">
        <f>IFERROR(IF(INDEX(РАБОТЫ!$W$2:$W$1058,MATCH(54+1,РАБОТЫ!$X$2:$X$1058,0))=1,INDEX(РАБОТЫ!$V$2:$V$1058,MATCH(54+1,РАБОТЫ!$X$2:$X$1058,0)),""),"")</f>
        <v/>
      </c>
      <c r="M75" t="str">
        <f t="shared" si="3"/>
        <v/>
      </c>
    </row>
    <row r="76" spans="1:13" hidden="1" x14ac:dyDescent="0.3">
      <c r="A76" t="str">
        <f>IF(ISNUMBER($K76),INDEX(РАБОТЫ!$U$2:$U$1058,$K76),"")</f>
        <v/>
      </c>
      <c r="B76" t="str">
        <f>IF(ISNUMBER($K76),INDEX(РАБОТЫ!$A$2:$A$1058,$K76),"")</f>
        <v/>
      </c>
      <c r="C76" s="4" t="str">
        <f>IF($L76&lt;&gt;"",INDEX(РАБОТЫ!$Z$2:$Z$1058,MATCH($L76,РАБОТЫ!$V$2:$V$1058,0)),IF(ISNUMBER($K76),INDEX(РАБОТЫ!$Y$2:$Y$1058,$K76),""))</f>
        <v/>
      </c>
      <c r="D76" t="str">
        <f>IF(ISNUMBER($K76),INDEX(РАБОТЫ!$E$2:$E$1058,$K76),"")</f>
        <v/>
      </c>
      <c r="E76" t="str">
        <f>IF(ISNUMBER($K76),INDEX(РАБОТЫ!$M$2:$M$1058,$K76),"")</f>
        <v/>
      </c>
      <c r="F76" s="7" t="str">
        <f>IF(ISNUMBER($K76),INDEX(РАБОТЫ!$S$2:$S$1058,$K76),"")</f>
        <v/>
      </c>
      <c r="G76" s="7" t="str">
        <f>IF(ISNUMBER($K76),INDEX(РАБОТЫ!$T$2:$T$1058,$K76),"")</f>
        <v/>
      </c>
      <c r="H76" s="7" t="str">
        <f t="shared" si="0"/>
        <v/>
      </c>
      <c r="I76" s="7" t="str">
        <f t="shared" si="1"/>
        <v/>
      </c>
      <c r="J76" s="7" t="str">
        <f t="shared" si="2"/>
        <v/>
      </c>
      <c r="K76" t="str">
        <f>IFERROR(MATCH(55,РАБОТЫ!$X$2:$X$1058,0),"")</f>
        <v/>
      </c>
      <c r="L76" t="str">
        <f>IFERROR(IF(INDEX(РАБОТЫ!$W$2:$W$1058,MATCH(55+1,РАБОТЫ!$X$2:$X$1058,0))=1,INDEX(РАБОТЫ!$V$2:$V$1058,MATCH(55+1,РАБОТЫ!$X$2:$X$1058,0)),""),"")</f>
        <v/>
      </c>
      <c r="M76" t="str">
        <f t="shared" si="3"/>
        <v/>
      </c>
    </row>
    <row r="77" spans="1:13" hidden="1" x14ac:dyDescent="0.3">
      <c r="A77" t="str">
        <f>IF(ISNUMBER($K77),INDEX(РАБОТЫ!$U$2:$U$1058,$K77),"")</f>
        <v/>
      </c>
      <c r="B77" t="str">
        <f>IF(ISNUMBER($K77),INDEX(РАБОТЫ!$A$2:$A$1058,$K77),"")</f>
        <v/>
      </c>
      <c r="C77" s="4" t="str">
        <f>IF($L77&lt;&gt;"",INDEX(РАБОТЫ!$Z$2:$Z$1058,MATCH($L77,РАБОТЫ!$V$2:$V$1058,0)),IF(ISNUMBER($K77),INDEX(РАБОТЫ!$Y$2:$Y$1058,$K77),""))</f>
        <v/>
      </c>
      <c r="D77" t="str">
        <f>IF(ISNUMBER($K77),INDEX(РАБОТЫ!$E$2:$E$1058,$K77),"")</f>
        <v/>
      </c>
      <c r="E77" t="str">
        <f>IF(ISNUMBER($K77),INDEX(РАБОТЫ!$M$2:$M$1058,$K77),"")</f>
        <v/>
      </c>
      <c r="F77" s="7" t="str">
        <f>IF(ISNUMBER($K77),INDEX(РАБОТЫ!$S$2:$S$1058,$K77),"")</f>
        <v/>
      </c>
      <c r="G77" s="7" t="str">
        <f>IF(ISNUMBER($K77),INDEX(РАБОТЫ!$T$2:$T$1058,$K77),"")</f>
        <v/>
      </c>
      <c r="H77" s="7" t="str">
        <f t="shared" si="0"/>
        <v/>
      </c>
      <c r="I77" s="7" t="str">
        <f t="shared" si="1"/>
        <v/>
      </c>
      <c r="J77" s="7" t="str">
        <f t="shared" si="2"/>
        <v/>
      </c>
      <c r="K77" t="str">
        <f>IFERROR(MATCH(56,РАБОТЫ!$X$2:$X$1058,0),"")</f>
        <v/>
      </c>
      <c r="L77" t="str">
        <f>IFERROR(IF(INDEX(РАБОТЫ!$W$2:$W$1058,MATCH(56+1,РАБОТЫ!$X$2:$X$1058,0))=1,INDEX(РАБОТЫ!$V$2:$V$1058,MATCH(56+1,РАБОТЫ!$X$2:$X$1058,0)),""),"")</f>
        <v/>
      </c>
      <c r="M77" t="str">
        <f t="shared" si="3"/>
        <v/>
      </c>
    </row>
    <row r="78" spans="1:13" hidden="1" x14ac:dyDescent="0.3">
      <c r="A78" t="str">
        <f>IF(ISNUMBER($K78),INDEX(РАБОТЫ!$U$2:$U$1058,$K78),"")</f>
        <v/>
      </c>
      <c r="B78" t="str">
        <f>IF(ISNUMBER($K78),INDEX(РАБОТЫ!$A$2:$A$1058,$K78),"")</f>
        <v/>
      </c>
      <c r="C78" s="4" t="str">
        <f>IF($L78&lt;&gt;"",INDEX(РАБОТЫ!$Z$2:$Z$1058,MATCH($L78,РАБОТЫ!$V$2:$V$1058,0)),IF(ISNUMBER($K78),INDEX(РАБОТЫ!$Y$2:$Y$1058,$K78),""))</f>
        <v/>
      </c>
      <c r="D78" t="str">
        <f>IF(ISNUMBER($K78),INDEX(РАБОТЫ!$E$2:$E$1058,$K78),"")</f>
        <v/>
      </c>
      <c r="E78" t="str">
        <f>IF(ISNUMBER($K78),INDEX(РАБОТЫ!$M$2:$M$1058,$K78),"")</f>
        <v/>
      </c>
      <c r="F78" s="7" t="str">
        <f>IF(ISNUMBER($K78),INDEX(РАБОТЫ!$S$2:$S$1058,$K78),"")</f>
        <v/>
      </c>
      <c r="G78" s="7" t="str">
        <f>IF(ISNUMBER($K78),INDEX(РАБОТЫ!$T$2:$T$1058,$K78),"")</f>
        <v/>
      </c>
      <c r="H78" s="7" t="str">
        <f t="shared" si="0"/>
        <v/>
      </c>
      <c r="I78" s="7" t="str">
        <f t="shared" si="1"/>
        <v/>
      </c>
      <c r="J78" s="7" t="str">
        <f t="shared" si="2"/>
        <v/>
      </c>
      <c r="K78" t="str">
        <f>IFERROR(MATCH(57,РАБОТЫ!$X$2:$X$1058,0),"")</f>
        <v/>
      </c>
      <c r="L78" t="str">
        <f>IFERROR(IF(INDEX(РАБОТЫ!$W$2:$W$1058,MATCH(57+1,РАБОТЫ!$X$2:$X$1058,0))=1,INDEX(РАБОТЫ!$V$2:$V$1058,MATCH(57+1,РАБОТЫ!$X$2:$X$1058,0)),""),"")</f>
        <v/>
      </c>
      <c r="M78" t="str">
        <f t="shared" si="3"/>
        <v/>
      </c>
    </row>
    <row r="79" spans="1:13" hidden="1" x14ac:dyDescent="0.3">
      <c r="A79" t="str">
        <f>IF(ISNUMBER($K79),INDEX(РАБОТЫ!$U$2:$U$1058,$K79),"")</f>
        <v/>
      </c>
      <c r="B79" t="str">
        <f>IF(ISNUMBER($K79),INDEX(РАБОТЫ!$A$2:$A$1058,$K79),"")</f>
        <v/>
      </c>
      <c r="C79" s="4" t="str">
        <f>IF($L79&lt;&gt;"",INDEX(РАБОТЫ!$Z$2:$Z$1058,MATCH($L79,РАБОТЫ!$V$2:$V$1058,0)),IF(ISNUMBER($K79),INDEX(РАБОТЫ!$Y$2:$Y$1058,$K79),""))</f>
        <v/>
      </c>
      <c r="D79" t="str">
        <f>IF(ISNUMBER($K79),INDEX(РАБОТЫ!$E$2:$E$1058,$K79),"")</f>
        <v/>
      </c>
      <c r="E79" t="str">
        <f>IF(ISNUMBER($K79),INDEX(РАБОТЫ!$M$2:$M$1058,$K79),"")</f>
        <v/>
      </c>
      <c r="F79" s="7" t="str">
        <f>IF(ISNUMBER($K79),INDEX(РАБОТЫ!$S$2:$S$1058,$K79),"")</f>
        <v/>
      </c>
      <c r="G79" s="7" t="str">
        <f>IF(ISNUMBER($K79),INDEX(РАБОТЫ!$T$2:$T$1058,$K79),"")</f>
        <v/>
      </c>
      <c r="H79" s="7" t="str">
        <f t="shared" si="0"/>
        <v/>
      </c>
      <c r="I79" s="7" t="str">
        <f t="shared" si="1"/>
        <v/>
      </c>
      <c r="J79" s="7" t="str">
        <f t="shared" si="2"/>
        <v/>
      </c>
      <c r="K79" t="str">
        <f>IFERROR(MATCH(58,РАБОТЫ!$X$2:$X$1058,0),"")</f>
        <v/>
      </c>
      <c r="L79" t="str">
        <f>IFERROR(IF(INDEX(РАБОТЫ!$W$2:$W$1058,MATCH(58+1,РАБОТЫ!$X$2:$X$1058,0))=1,INDEX(РАБОТЫ!$V$2:$V$1058,MATCH(58+1,РАБОТЫ!$X$2:$X$1058,0)),""),"")</f>
        <v/>
      </c>
      <c r="M79" t="str">
        <f t="shared" si="3"/>
        <v/>
      </c>
    </row>
    <row r="80" spans="1:13" hidden="1" x14ac:dyDescent="0.3">
      <c r="A80" t="str">
        <f>IF(ISNUMBER($K80),INDEX(РАБОТЫ!$U$2:$U$1058,$K80),"")</f>
        <v/>
      </c>
      <c r="B80" t="str">
        <f>IF(ISNUMBER($K80),INDEX(РАБОТЫ!$A$2:$A$1058,$K80),"")</f>
        <v/>
      </c>
      <c r="C80" s="4" t="str">
        <f>IF($L80&lt;&gt;"",INDEX(РАБОТЫ!$Z$2:$Z$1058,MATCH($L80,РАБОТЫ!$V$2:$V$1058,0)),IF(ISNUMBER($K80),INDEX(РАБОТЫ!$Y$2:$Y$1058,$K80),""))</f>
        <v/>
      </c>
      <c r="D80" t="str">
        <f>IF(ISNUMBER($K80),INDEX(РАБОТЫ!$E$2:$E$1058,$K80),"")</f>
        <v/>
      </c>
      <c r="E80" t="str">
        <f>IF(ISNUMBER($K80),INDEX(РАБОТЫ!$M$2:$M$1058,$K80),"")</f>
        <v/>
      </c>
      <c r="F80" s="7" t="str">
        <f>IF(ISNUMBER($K80),INDEX(РАБОТЫ!$S$2:$S$1058,$K80),"")</f>
        <v/>
      </c>
      <c r="G80" s="7" t="str">
        <f>IF(ISNUMBER($K80),INDEX(РАБОТЫ!$T$2:$T$1058,$K80),"")</f>
        <v/>
      </c>
      <c r="H80" s="7" t="str">
        <f t="shared" si="0"/>
        <v/>
      </c>
      <c r="I80" s="7" t="str">
        <f t="shared" si="1"/>
        <v/>
      </c>
      <c r="J80" s="7" t="str">
        <f t="shared" si="2"/>
        <v/>
      </c>
      <c r="K80" t="str">
        <f>IFERROR(MATCH(59,РАБОТЫ!$X$2:$X$1058,0),"")</f>
        <v/>
      </c>
      <c r="L80" t="str">
        <f>IFERROR(IF(INDEX(РАБОТЫ!$W$2:$W$1058,MATCH(59+1,РАБОТЫ!$X$2:$X$1058,0))=1,INDEX(РАБОТЫ!$V$2:$V$1058,MATCH(59+1,РАБОТЫ!$X$2:$X$1058,0)),""),"")</f>
        <v/>
      </c>
      <c r="M80" t="str">
        <f t="shared" si="3"/>
        <v/>
      </c>
    </row>
    <row r="81" spans="1:13" hidden="1" x14ac:dyDescent="0.3">
      <c r="A81" t="str">
        <f>IF(ISNUMBER($K81),INDEX(РАБОТЫ!$U$2:$U$1058,$K81),"")</f>
        <v/>
      </c>
      <c r="B81" t="str">
        <f>IF(ISNUMBER($K81),INDEX(РАБОТЫ!$A$2:$A$1058,$K81),"")</f>
        <v/>
      </c>
      <c r="C81" s="4" t="str">
        <f>IF($L81&lt;&gt;"",INDEX(РАБОТЫ!$Z$2:$Z$1058,MATCH($L81,РАБОТЫ!$V$2:$V$1058,0)),IF(ISNUMBER($K81),INDEX(РАБОТЫ!$Y$2:$Y$1058,$K81),""))</f>
        <v/>
      </c>
      <c r="D81" t="str">
        <f>IF(ISNUMBER($K81),INDEX(РАБОТЫ!$E$2:$E$1058,$K81),"")</f>
        <v/>
      </c>
      <c r="E81" t="str">
        <f>IF(ISNUMBER($K81),INDEX(РАБОТЫ!$M$2:$M$1058,$K81),"")</f>
        <v/>
      </c>
      <c r="F81" s="7" t="str">
        <f>IF(ISNUMBER($K81),INDEX(РАБОТЫ!$S$2:$S$1058,$K81),"")</f>
        <v/>
      </c>
      <c r="G81" s="7" t="str">
        <f>IF(ISNUMBER($K81),INDEX(РАБОТЫ!$T$2:$T$1058,$K81),"")</f>
        <v/>
      </c>
      <c r="H81" s="7" t="str">
        <f t="shared" si="0"/>
        <v/>
      </c>
      <c r="I81" s="7" t="str">
        <f t="shared" si="1"/>
        <v/>
      </c>
      <c r="J81" s="7" t="str">
        <f t="shared" si="2"/>
        <v/>
      </c>
      <c r="K81" t="str">
        <f>IFERROR(MATCH(60,РАБОТЫ!$X$2:$X$1058,0),"")</f>
        <v/>
      </c>
      <c r="L81" t="str">
        <f>IFERROR(IF(INDEX(РАБОТЫ!$W$2:$W$1058,MATCH(60+1,РАБОТЫ!$X$2:$X$1058,0))=1,INDEX(РАБОТЫ!$V$2:$V$1058,MATCH(60+1,РАБОТЫ!$X$2:$X$1058,0)),""),"")</f>
        <v/>
      </c>
      <c r="M81" t="str">
        <f t="shared" si="3"/>
        <v/>
      </c>
    </row>
    <row r="82" spans="1:13" hidden="1" x14ac:dyDescent="0.3">
      <c r="A82" t="str">
        <f>IF(ISNUMBER($K82),INDEX(РАБОТЫ!$U$2:$U$1058,$K82),"")</f>
        <v/>
      </c>
      <c r="B82" t="str">
        <f>IF(ISNUMBER($K82),INDEX(РАБОТЫ!$A$2:$A$1058,$K82),"")</f>
        <v/>
      </c>
      <c r="C82" s="4" t="str">
        <f>IF($L82&lt;&gt;"",INDEX(РАБОТЫ!$Z$2:$Z$1058,MATCH($L82,РАБОТЫ!$V$2:$V$1058,0)),IF(ISNUMBER($K82),INDEX(РАБОТЫ!$Y$2:$Y$1058,$K82),""))</f>
        <v/>
      </c>
      <c r="D82" t="str">
        <f>IF(ISNUMBER($K82),INDEX(РАБОТЫ!$E$2:$E$1058,$K82),"")</f>
        <v/>
      </c>
      <c r="E82" t="str">
        <f>IF(ISNUMBER($K82),INDEX(РАБОТЫ!$M$2:$M$1058,$K82),"")</f>
        <v/>
      </c>
      <c r="F82" s="7" t="str">
        <f>IF(ISNUMBER($K82),INDEX(РАБОТЫ!$S$2:$S$1058,$K82),"")</f>
        <v/>
      </c>
      <c r="G82" s="7" t="str">
        <f>IF(ISNUMBER($K82),INDEX(РАБОТЫ!$T$2:$T$1058,$K82),"")</f>
        <v/>
      </c>
      <c r="H82" s="7" t="str">
        <f t="shared" si="0"/>
        <v/>
      </c>
      <c r="I82" s="7" t="str">
        <f t="shared" si="1"/>
        <v/>
      </c>
      <c r="J82" s="7" t="str">
        <f t="shared" si="2"/>
        <v/>
      </c>
      <c r="K82" t="str">
        <f>IFERROR(MATCH(61,РАБОТЫ!$X$2:$X$1058,0),"")</f>
        <v/>
      </c>
      <c r="L82" t="str">
        <f>IFERROR(IF(INDEX(РАБОТЫ!$W$2:$W$1058,MATCH(61+1,РАБОТЫ!$X$2:$X$1058,0))=1,INDEX(РАБОТЫ!$V$2:$V$1058,MATCH(61+1,РАБОТЫ!$X$2:$X$1058,0)),""),"")</f>
        <v/>
      </c>
      <c r="M82" t="str">
        <f t="shared" si="3"/>
        <v/>
      </c>
    </row>
    <row r="83" spans="1:13" hidden="1" x14ac:dyDescent="0.3">
      <c r="A83" t="str">
        <f>IF(ISNUMBER($K83),INDEX(РАБОТЫ!$U$2:$U$1058,$K83),"")</f>
        <v/>
      </c>
      <c r="B83" t="str">
        <f>IF(ISNUMBER($K83),INDEX(РАБОТЫ!$A$2:$A$1058,$K83),"")</f>
        <v/>
      </c>
      <c r="C83" s="4" t="str">
        <f>IF($L83&lt;&gt;"",INDEX(РАБОТЫ!$Z$2:$Z$1058,MATCH($L83,РАБОТЫ!$V$2:$V$1058,0)),IF(ISNUMBER($K83),INDEX(РАБОТЫ!$Y$2:$Y$1058,$K83),""))</f>
        <v/>
      </c>
      <c r="D83" t="str">
        <f>IF(ISNUMBER($K83),INDEX(РАБОТЫ!$E$2:$E$1058,$K83),"")</f>
        <v/>
      </c>
      <c r="E83" t="str">
        <f>IF(ISNUMBER($K83),INDEX(РАБОТЫ!$M$2:$M$1058,$K83),"")</f>
        <v/>
      </c>
      <c r="F83" s="7" t="str">
        <f>IF(ISNUMBER($K83),INDEX(РАБОТЫ!$S$2:$S$1058,$K83),"")</f>
        <v/>
      </c>
      <c r="G83" s="7" t="str">
        <f>IF(ISNUMBER($K83),INDEX(РАБОТЫ!$T$2:$T$1058,$K83),"")</f>
        <v/>
      </c>
      <c r="H83" s="7" t="str">
        <f t="shared" si="0"/>
        <v/>
      </c>
      <c r="I83" s="7" t="str">
        <f t="shared" si="1"/>
        <v/>
      </c>
      <c r="J83" s="7" t="str">
        <f t="shared" si="2"/>
        <v/>
      </c>
      <c r="K83" t="str">
        <f>IFERROR(MATCH(62,РАБОТЫ!$X$2:$X$1058,0),"")</f>
        <v/>
      </c>
      <c r="L83" t="str">
        <f>IFERROR(IF(INDEX(РАБОТЫ!$W$2:$W$1058,MATCH(62+1,РАБОТЫ!$X$2:$X$1058,0))=1,INDEX(РАБОТЫ!$V$2:$V$1058,MATCH(62+1,РАБОТЫ!$X$2:$X$1058,0)),""),"")</f>
        <v/>
      </c>
      <c r="M83" t="str">
        <f t="shared" si="3"/>
        <v/>
      </c>
    </row>
    <row r="84" spans="1:13" hidden="1" x14ac:dyDescent="0.3">
      <c r="A84" t="str">
        <f>IF(ISNUMBER($K84),INDEX(РАБОТЫ!$U$2:$U$1058,$K84),"")</f>
        <v/>
      </c>
      <c r="B84" t="str">
        <f>IF(ISNUMBER($K84),INDEX(РАБОТЫ!$A$2:$A$1058,$K84),"")</f>
        <v/>
      </c>
      <c r="C84" s="4" t="str">
        <f>IF($L84&lt;&gt;"",INDEX(РАБОТЫ!$Z$2:$Z$1058,MATCH($L84,РАБОТЫ!$V$2:$V$1058,0)),IF(ISNUMBER($K84),INDEX(РАБОТЫ!$Y$2:$Y$1058,$K84),""))</f>
        <v/>
      </c>
      <c r="D84" t="str">
        <f>IF(ISNUMBER($K84),INDEX(РАБОТЫ!$E$2:$E$1058,$K84),"")</f>
        <v/>
      </c>
      <c r="E84" t="str">
        <f>IF(ISNUMBER($K84),INDEX(РАБОТЫ!$M$2:$M$1058,$K84),"")</f>
        <v/>
      </c>
      <c r="F84" s="7" t="str">
        <f>IF(ISNUMBER($K84),INDEX(РАБОТЫ!$S$2:$S$1058,$K84),"")</f>
        <v/>
      </c>
      <c r="G84" s="7" t="str">
        <f>IF(ISNUMBER($K84),INDEX(РАБОТЫ!$T$2:$T$1058,$K84),"")</f>
        <v/>
      </c>
      <c r="H84" s="7" t="str">
        <f t="shared" si="0"/>
        <v/>
      </c>
      <c r="I84" s="7" t="str">
        <f t="shared" si="1"/>
        <v/>
      </c>
      <c r="J84" s="7" t="str">
        <f t="shared" si="2"/>
        <v/>
      </c>
      <c r="K84" t="str">
        <f>IFERROR(MATCH(63,РАБОТЫ!$X$2:$X$1058,0),"")</f>
        <v/>
      </c>
      <c r="L84" t="str">
        <f>IFERROR(IF(INDEX(РАБОТЫ!$W$2:$W$1058,MATCH(63+1,РАБОТЫ!$X$2:$X$1058,0))=1,INDEX(РАБОТЫ!$V$2:$V$1058,MATCH(63+1,РАБОТЫ!$X$2:$X$1058,0)),""),"")</f>
        <v/>
      </c>
      <c r="M84" t="str">
        <f t="shared" si="3"/>
        <v/>
      </c>
    </row>
    <row r="85" spans="1:13" hidden="1" x14ac:dyDescent="0.3">
      <c r="A85" t="str">
        <f>IF(ISNUMBER($K85),INDEX(РАБОТЫ!$U$2:$U$1058,$K85),"")</f>
        <v/>
      </c>
      <c r="B85" t="str">
        <f>IF(ISNUMBER($K85),INDEX(РАБОТЫ!$A$2:$A$1058,$K85),"")</f>
        <v/>
      </c>
      <c r="C85" s="4" t="str">
        <f>IF($L85&lt;&gt;"",INDEX(РАБОТЫ!$Z$2:$Z$1058,MATCH($L85,РАБОТЫ!$V$2:$V$1058,0)),IF(ISNUMBER($K85),INDEX(РАБОТЫ!$Y$2:$Y$1058,$K85),""))</f>
        <v/>
      </c>
      <c r="D85" t="str">
        <f>IF(ISNUMBER($K85),INDEX(РАБОТЫ!$E$2:$E$1058,$K85),"")</f>
        <v/>
      </c>
      <c r="E85" t="str">
        <f>IF(ISNUMBER($K85),INDEX(РАБОТЫ!$M$2:$M$1058,$K85),"")</f>
        <v/>
      </c>
      <c r="F85" s="7" t="str">
        <f>IF(ISNUMBER($K85),INDEX(РАБОТЫ!$S$2:$S$1058,$K85),"")</f>
        <v/>
      </c>
      <c r="G85" s="7" t="str">
        <f>IF(ISNUMBER($K85),INDEX(РАБОТЫ!$T$2:$T$1058,$K85),"")</f>
        <v/>
      </c>
      <c r="H85" s="7" t="str">
        <f t="shared" si="0"/>
        <v/>
      </c>
      <c r="I85" s="7" t="str">
        <f t="shared" si="1"/>
        <v/>
      </c>
      <c r="J85" s="7" t="str">
        <f t="shared" si="2"/>
        <v/>
      </c>
      <c r="K85" t="str">
        <f>IFERROR(MATCH(64,РАБОТЫ!$X$2:$X$1058,0),"")</f>
        <v/>
      </c>
      <c r="L85" t="str">
        <f>IFERROR(IF(INDEX(РАБОТЫ!$W$2:$W$1058,MATCH(64+1,РАБОТЫ!$X$2:$X$1058,0))=1,INDEX(РАБОТЫ!$V$2:$V$1058,MATCH(64+1,РАБОТЫ!$X$2:$X$1058,0)),""),"")</f>
        <v/>
      </c>
      <c r="M85" t="str">
        <f t="shared" si="3"/>
        <v/>
      </c>
    </row>
    <row r="86" spans="1:13" hidden="1" x14ac:dyDescent="0.3">
      <c r="A86" t="str">
        <f>IF(ISNUMBER($K86),INDEX(РАБОТЫ!$U$2:$U$1058,$K86),"")</f>
        <v/>
      </c>
      <c r="B86" t="str">
        <f>IF(ISNUMBER($K86),INDEX(РАБОТЫ!$A$2:$A$1058,$K86),"")</f>
        <v/>
      </c>
      <c r="C86" s="4" t="str">
        <f>IF($L86&lt;&gt;"",INDEX(РАБОТЫ!$Z$2:$Z$1058,MATCH($L86,РАБОТЫ!$V$2:$V$1058,0)),IF(ISNUMBER($K86),INDEX(РАБОТЫ!$Y$2:$Y$1058,$K86),""))</f>
        <v/>
      </c>
      <c r="D86" t="str">
        <f>IF(ISNUMBER($K86),INDEX(РАБОТЫ!$E$2:$E$1058,$K86),"")</f>
        <v/>
      </c>
      <c r="E86" t="str">
        <f>IF(ISNUMBER($K86),INDEX(РАБОТЫ!$M$2:$M$1058,$K86),"")</f>
        <v/>
      </c>
      <c r="F86" s="7" t="str">
        <f>IF(ISNUMBER($K86),INDEX(РАБОТЫ!$S$2:$S$1058,$K86),"")</f>
        <v/>
      </c>
      <c r="G86" s="7" t="str">
        <f>IF(ISNUMBER($K86),INDEX(РАБОТЫ!$T$2:$T$1058,$K86),"")</f>
        <v/>
      </c>
      <c r="H86" s="7" t="str">
        <f t="shared" ref="H86:H149" si="4">IF(ISNUMBER($K86),ROUND($E86*$F86,2),"")</f>
        <v/>
      </c>
      <c r="I86" s="7" t="str">
        <f t="shared" ref="I86:I149" si="5">IF(ISNUMBER($K86),ROUND($E86*$G86,2),"")</f>
        <v/>
      </c>
      <c r="J86" s="7" t="str">
        <f t="shared" ref="J86:J149" si="6">IF(ISNUMBER($K86),$H86+$I86,"")</f>
        <v/>
      </c>
      <c r="K86" t="str">
        <f>IFERROR(MATCH(65,РАБОТЫ!$X$2:$X$1058,0),"")</f>
        <v/>
      </c>
      <c r="L86" t="str">
        <f>IFERROR(IF(INDEX(РАБОТЫ!$W$2:$W$1058,MATCH(65+1,РАБОТЫ!$X$2:$X$1058,0))=1,INDEX(РАБОТЫ!$V$2:$V$1058,MATCH(65+1,РАБОТЫ!$X$2:$X$1058,0)),""),"")</f>
        <v/>
      </c>
      <c r="M86" t="str">
        <f t="shared" ref="M86:M149" si="7">IF(OR(ISNUMBER($K86),$L86&lt;&gt;""),"показать","")</f>
        <v/>
      </c>
    </row>
    <row r="87" spans="1:13" hidden="1" x14ac:dyDescent="0.3">
      <c r="A87" t="str">
        <f>IF(ISNUMBER($K87),INDEX(РАБОТЫ!$U$2:$U$1058,$K87),"")</f>
        <v/>
      </c>
      <c r="B87" t="str">
        <f>IF(ISNUMBER($K87),INDEX(РАБОТЫ!$A$2:$A$1058,$K87),"")</f>
        <v/>
      </c>
      <c r="C87" s="4" t="str">
        <f>IF($L87&lt;&gt;"",INDEX(РАБОТЫ!$Z$2:$Z$1058,MATCH($L87,РАБОТЫ!$V$2:$V$1058,0)),IF(ISNUMBER($K87),INDEX(РАБОТЫ!$Y$2:$Y$1058,$K87),""))</f>
        <v/>
      </c>
      <c r="D87" t="str">
        <f>IF(ISNUMBER($K87),INDEX(РАБОТЫ!$E$2:$E$1058,$K87),"")</f>
        <v/>
      </c>
      <c r="E87" t="str">
        <f>IF(ISNUMBER($K87),INDEX(РАБОТЫ!$M$2:$M$1058,$K87),"")</f>
        <v/>
      </c>
      <c r="F87" s="7" t="str">
        <f>IF(ISNUMBER($K87),INDEX(РАБОТЫ!$S$2:$S$1058,$K87),"")</f>
        <v/>
      </c>
      <c r="G87" s="7" t="str">
        <f>IF(ISNUMBER($K87),INDEX(РАБОТЫ!$T$2:$T$1058,$K87),"")</f>
        <v/>
      </c>
      <c r="H87" s="7" t="str">
        <f t="shared" si="4"/>
        <v/>
      </c>
      <c r="I87" s="7" t="str">
        <f t="shared" si="5"/>
        <v/>
      </c>
      <c r="J87" s="7" t="str">
        <f t="shared" si="6"/>
        <v/>
      </c>
      <c r="K87" t="str">
        <f>IFERROR(MATCH(66,РАБОТЫ!$X$2:$X$1058,0),"")</f>
        <v/>
      </c>
      <c r="L87" t="str">
        <f>IFERROR(IF(INDEX(РАБОТЫ!$W$2:$W$1058,MATCH(66+1,РАБОТЫ!$X$2:$X$1058,0))=1,INDEX(РАБОТЫ!$V$2:$V$1058,MATCH(66+1,РАБОТЫ!$X$2:$X$1058,0)),""),"")</f>
        <v/>
      </c>
      <c r="M87" t="str">
        <f t="shared" si="7"/>
        <v/>
      </c>
    </row>
    <row r="88" spans="1:13" hidden="1" x14ac:dyDescent="0.3">
      <c r="A88" t="str">
        <f>IF(ISNUMBER($K88),INDEX(РАБОТЫ!$U$2:$U$1058,$K88),"")</f>
        <v/>
      </c>
      <c r="B88" t="str">
        <f>IF(ISNUMBER($K88),INDEX(РАБОТЫ!$A$2:$A$1058,$K88),"")</f>
        <v/>
      </c>
      <c r="C88" s="4" t="str">
        <f>IF($L88&lt;&gt;"",INDEX(РАБОТЫ!$Z$2:$Z$1058,MATCH($L88,РАБОТЫ!$V$2:$V$1058,0)),IF(ISNUMBER($K88),INDEX(РАБОТЫ!$Y$2:$Y$1058,$K88),""))</f>
        <v/>
      </c>
      <c r="D88" t="str">
        <f>IF(ISNUMBER($K88),INDEX(РАБОТЫ!$E$2:$E$1058,$K88),"")</f>
        <v/>
      </c>
      <c r="E88" t="str">
        <f>IF(ISNUMBER($K88),INDEX(РАБОТЫ!$M$2:$M$1058,$K88),"")</f>
        <v/>
      </c>
      <c r="F88" s="7" t="str">
        <f>IF(ISNUMBER($K88),INDEX(РАБОТЫ!$S$2:$S$1058,$K88),"")</f>
        <v/>
      </c>
      <c r="G88" s="7" t="str">
        <f>IF(ISNUMBER($K88),INDEX(РАБОТЫ!$T$2:$T$1058,$K88),"")</f>
        <v/>
      </c>
      <c r="H88" s="7" t="str">
        <f t="shared" si="4"/>
        <v/>
      </c>
      <c r="I88" s="7" t="str">
        <f t="shared" si="5"/>
        <v/>
      </c>
      <c r="J88" s="7" t="str">
        <f t="shared" si="6"/>
        <v/>
      </c>
      <c r="K88" t="str">
        <f>IFERROR(MATCH(67,РАБОТЫ!$X$2:$X$1058,0),"")</f>
        <v/>
      </c>
      <c r="L88" t="str">
        <f>IFERROR(IF(INDEX(РАБОТЫ!$W$2:$W$1058,MATCH(67+1,РАБОТЫ!$X$2:$X$1058,0))=1,INDEX(РАБОТЫ!$V$2:$V$1058,MATCH(67+1,РАБОТЫ!$X$2:$X$1058,0)),""),"")</f>
        <v/>
      </c>
      <c r="M88" t="str">
        <f t="shared" si="7"/>
        <v/>
      </c>
    </row>
    <row r="89" spans="1:13" hidden="1" x14ac:dyDescent="0.3">
      <c r="A89" t="str">
        <f>IF(ISNUMBER($K89),INDEX(РАБОТЫ!$U$2:$U$1058,$K89),"")</f>
        <v/>
      </c>
      <c r="B89" t="str">
        <f>IF(ISNUMBER($K89),INDEX(РАБОТЫ!$A$2:$A$1058,$K89),"")</f>
        <v/>
      </c>
      <c r="C89" s="4" t="str">
        <f>IF($L89&lt;&gt;"",INDEX(РАБОТЫ!$Z$2:$Z$1058,MATCH($L89,РАБОТЫ!$V$2:$V$1058,0)),IF(ISNUMBER($K89),INDEX(РАБОТЫ!$Y$2:$Y$1058,$K89),""))</f>
        <v/>
      </c>
      <c r="D89" t="str">
        <f>IF(ISNUMBER($K89),INDEX(РАБОТЫ!$E$2:$E$1058,$K89),"")</f>
        <v/>
      </c>
      <c r="E89" t="str">
        <f>IF(ISNUMBER($K89),INDEX(РАБОТЫ!$M$2:$M$1058,$K89),"")</f>
        <v/>
      </c>
      <c r="F89" s="7" t="str">
        <f>IF(ISNUMBER($K89),INDEX(РАБОТЫ!$S$2:$S$1058,$K89),"")</f>
        <v/>
      </c>
      <c r="G89" s="7" t="str">
        <f>IF(ISNUMBER($K89),INDEX(РАБОТЫ!$T$2:$T$1058,$K89),"")</f>
        <v/>
      </c>
      <c r="H89" s="7" t="str">
        <f t="shared" si="4"/>
        <v/>
      </c>
      <c r="I89" s="7" t="str">
        <f t="shared" si="5"/>
        <v/>
      </c>
      <c r="J89" s="7" t="str">
        <f t="shared" si="6"/>
        <v/>
      </c>
      <c r="K89" t="str">
        <f>IFERROR(MATCH(68,РАБОТЫ!$X$2:$X$1058,0),"")</f>
        <v/>
      </c>
      <c r="L89" t="str">
        <f>IFERROR(IF(INDEX(РАБОТЫ!$W$2:$W$1058,MATCH(68+1,РАБОТЫ!$X$2:$X$1058,0))=1,INDEX(РАБОТЫ!$V$2:$V$1058,MATCH(68+1,РАБОТЫ!$X$2:$X$1058,0)),""),"")</f>
        <v/>
      </c>
      <c r="M89" t="str">
        <f t="shared" si="7"/>
        <v/>
      </c>
    </row>
    <row r="90" spans="1:13" hidden="1" x14ac:dyDescent="0.3">
      <c r="A90" t="str">
        <f>IF(ISNUMBER($K90),INDEX(РАБОТЫ!$U$2:$U$1058,$K90),"")</f>
        <v/>
      </c>
      <c r="B90" t="str">
        <f>IF(ISNUMBER($K90),INDEX(РАБОТЫ!$A$2:$A$1058,$K90),"")</f>
        <v/>
      </c>
      <c r="C90" s="4" t="str">
        <f>IF($L90&lt;&gt;"",INDEX(РАБОТЫ!$Z$2:$Z$1058,MATCH($L90,РАБОТЫ!$V$2:$V$1058,0)),IF(ISNUMBER($K90),INDEX(РАБОТЫ!$Y$2:$Y$1058,$K90),""))</f>
        <v/>
      </c>
      <c r="D90" t="str">
        <f>IF(ISNUMBER($K90),INDEX(РАБОТЫ!$E$2:$E$1058,$K90),"")</f>
        <v/>
      </c>
      <c r="E90" t="str">
        <f>IF(ISNUMBER($K90),INDEX(РАБОТЫ!$M$2:$M$1058,$K90),"")</f>
        <v/>
      </c>
      <c r="F90" s="7" t="str">
        <f>IF(ISNUMBER($K90),INDEX(РАБОТЫ!$S$2:$S$1058,$K90),"")</f>
        <v/>
      </c>
      <c r="G90" s="7" t="str">
        <f>IF(ISNUMBER($K90),INDEX(РАБОТЫ!$T$2:$T$1058,$K90),"")</f>
        <v/>
      </c>
      <c r="H90" s="7" t="str">
        <f t="shared" si="4"/>
        <v/>
      </c>
      <c r="I90" s="7" t="str">
        <f t="shared" si="5"/>
        <v/>
      </c>
      <c r="J90" s="7" t="str">
        <f t="shared" si="6"/>
        <v/>
      </c>
      <c r="K90" t="str">
        <f>IFERROR(MATCH(69,РАБОТЫ!$X$2:$X$1058,0),"")</f>
        <v/>
      </c>
      <c r="L90" t="str">
        <f>IFERROR(IF(INDEX(РАБОТЫ!$W$2:$W$1058,MATCH(69+1,РАБОТЫ!$X$2:$X$1058,0))=1,INDEX(РАБОТЫ!$V$2:$V$1058,MATCH(69+1,РАБОТЫ!$X$2:$X$1058,0)),""),"")</f>
        <v/>
      </c>
      <c r="M90" t="str">
        <f t="shared" si="7"/>
        <v/>
      </c>
    </row>
    <row r="91" spans="1:13" hidden="1" x14ac:dyDescent="0.3">
      <c r="A91" t="str">
        <f>IF(ISNUMBER($K91),INDEX(РАБОТЫ!$U$2:$U$1058,$K91),"")</f>
        <v/>
      </c>
      <c r="B91" t="str">
        <f>IF(ISNUMBER($K91),INDEX(РАБОТЫ!$A$2:$A$1058,$K91),"")</f>
        <v/>
      </c>
      <c r="C91" s="4" t="str">
        <f>IF($L91&lt;&gt;"",INDEX(РАБОТЫ!$Z$2:$Z$1058,MATCH($L91,РАБОТЫ!$V$2:$V$1058,0)),IF(ISNUMBER($K91),INDEX(РАБОТЫ!$Y$2:$Y$1058,$K91),""))</f>
        <v/>
      </c>
      <c r="D91" t="str">
        <f>IF(ISNUMBER($K91),INDEX(РАБОТЫ!$E$2:$E$1058,$K91),"")</f>
        <v/>
      </c>
      <c r="E91" t="str">
        <f>IF(ISNUMBER($K91),INDEX(РАБОТЫ!$M$2:$M$1058,$K91),"")</f>
        <v/>
      </c>
      <c r="F91" s="7" t="str">
        <f>IF(ISNUMBER($K91),INDEX(РАБОТЫ!$S$2:$S$1058,$K91),"")</f>
        <v/>
      </c>
      <c r="G91" s="7" t="str">
        <f>IF(ISNUMBER($K91),INDEX(РАБОТЫ!$T$2:$T$1058,$K91),"")</f>
        <v/>
      </c>
      <c r="H91" s="7" t="str">
        <f t="shared" si="4"/>
        <v/>
      </c>
      <c r="I91" s="7" t="str">
        <f t="shared" si="5"/>
        <v/>
      </c>
      <c r="J91" s="7" t="str">
        <f t="shared" si="6"/>
        <v/>
      </c>
      <c r="K91" t="str">
        <f>IFERROR(MATCH(70,РАБОТЫ!$X$2:$X$1058,0),"")</f>
        <v/>
      </c>
      <c r="L91" t="str">
        <f>IFERROR(IF(INDEX(РАБОТЫ!$W$2:$W$1058,MATCH(70+1,РАБОТЫ!$X$2:$X$1058,0))=1,INDEX(РАБОТЫ!$V$2:$V$1058,MATCH(70+1,РАБОТЫ!$X$2:$X$1058,0)),""),"")</f>
        <v/>
      </c>
      <c r="M91" t="str">
        <f t="shared" si="7"/>
        <v/>
      </c>
    </row>
    <row r="92" spans="1:13" hidden="1" x14ac:dyDescent="0.3">
      <c r="A92" t="str">
        <f>IF(ISNUMBER($K92),INDEX(РАБОТЫ!$U$2:$U$1058,$K92),"")</f>
        <v/>
      </c>
      <c r="B92" t="str">
        <f>IF(ISNUMBER($K92),INDEX(РАБОТЫ!$A$2:$A$1058,$K92),"")</f>
        <v/>
      </c>
      <c r="C92" s="4" t="str">
        <f>IF($L92&lt;&gt;"",INDEX(РАБОТЫ!$Z$2:$Z$1058,MATCH($L92,РАБОТЫ!$V$2:$V$1058,0)),IF(ISNUMBER($K92),INDEX(РАБОТЫ!$Y$2:$Y$1058,$K92),""))</f>
        <v/>
      </c>
      <c r="D92" t="str">
        <f>IF(ISNUMBER($K92),INDEX(РАБОТЫ!$E$2:$E$1058,$K92),"")</f>
        <v/>
      </c>
      <c r="E92" t="str">
        <f>IF(ISNUMBER($K92),INDEX(РАБОТЫ!$M$2:$M$1058,$K92),"")</f>
        <v/>
      </c>
      <c r="F92" s="7" t="str">
        <f>IF(ISNUMBER($K92),INDEX(РАБОТЫ!$S$2:$S$1058,$K92),"")</f>
        <v/>
      </c>
      <c r="G92" s="7" t="str">
        <f>IF(ISNUMBER($K92),INDEX(РАБОТЫ!$T$2:$T$1058,$K92),"")</f>
        <v/>
      </c>
      <c r="H92" s="7" t="str">
        <f t="shared" si="4"/>
        <v/>
      </c>
      <c r="I92" s="7" t="str">
        <f t="shared" si="5"/>
        <v/>
      </c>
      <c r="J92" s="7" t="str">
        <f t="shared" si="6"/>
        <v/>
      </c>
      <c r="K92" t="str">
        <f>IFERROR(MATCH(71,РАБОТЫ!$X$2:$X$1058,0),"")</f>
        <v/>
      </c>
      <c r="L92" t="str">
        <f>IFERROR(IF(INDEX(РАБОТЫ!$W$2:$W$1058,MATCH(71+1,РАБОТЫ!$X$2:$X$1058,0))=1,INDEX(РАБОТЫ!$V$2:$V$1058,MATCH(71+1,РАБОТЫ!$X$2:$X$1058,0)),""),"")</f>
        <v/>
      </c>
      <c r="M92" t="str">
        <f t="shared" si="7"/>
        <v/>
      </c>
    </row>
    <row r="93" spans="1:13" hidden="1" x14ac:dyDescent="0.3">
      <c r="A93" t="str">
        <f>IF(ISNUMBER($K93),INDEX(РАБОТЫ!$U$2:$U$1058,$K93),"")</f>
        <v/>
      </c>
      <c r="B93" t="str">
        <f>IF(ISNUMBER($K93),INDEX(РАБОТЫ!$A$2:$A$1058,$K93),"")</f>
        <v/>
      </c>
      <c r="C93" s="4" t="str">
        <f>IF($L93&lt;&gt;"",INDEX(РАБОТЫ!$Z$2:$Z$1058,MATCH($L93,РАБОТЫ!$V$2:$V$1058,0)),IF(ISNUMBER($K93),INDEX(РАБОТЫ!$Y$2:$Y$1058,$K93),""))</f>
        <v/>
      </c>
      <c r="D93" t="str">
        <f>IF(ISNUMBER($K93),INDEX(РАБОТЫ!$E$2:$E$1058,$K93),"")</f>
        <v/>
      </c>
      <c r="E93" t="str">
        <f>IF(ISNUMBER($K93),INDEX(РАБОТЫ!$M$2:$M$1058,$K93),"")</f>
        <v/>
      </c>
      <c r="F93" s="7" t="str">
        <f>IF(ISNUMBER($K93),INDEX(РАБОТЫ!$S$2:$S$1058,$K93),"")</f>
        <v/>
      </c>
      <c r="G93" s="7" t="str">
        <f>IF(ISNUMBER($K93),INDEX(РАБОТЫ!$T$2:$T$1058,$K93),"")</f>
        <v/>
      </c>
      <c r="H93" s="7" t="str">
        <f t="shared" si="4"/>
        <v/>
      </c>
      <c r="I93" s="7" t="str">
        <f t="shared" si="5"/>
        <v/>
      </c>
      <c r="J93" s="7" t="str">
        <f t="shared" si="6"/>
        <v/>
      </c>
      <c r="K93" t="str">
        <f>IFERROR(MATCH(72,РАБОТЫ!$X$2:$X$1058,0),"")</f>
        <v/>
      </c>
      <c r="L93" t="str">
        <f>IFERROR(IF(INDEX(РАБОТЫ!$W$2:$W$1058,MATCH(72+1,РАБОТЫ!$X$2:$X$1058,0))=1,INDEX(РАБОТЫ!$V$2:$V$1058,MATCH(72+1,РАБОТЫ!$X$2:$X$1058,0)),""),"")</f>
        <v/>
      </c>
      <c r="M93" t="str">
        <f t="shared" si="7"/>
        <v/>
      </c>
    </row>
    <row r="94" spans="1:13" hidden="1" x14ac:dyDescent="0.3">
      <c r="A94" t="str">
        <f>IF(ISNUMBER($K94),INDEX(РАБОТЫ!$U$2:$U$1058,$K94),"")</f>
        <v/>
      </c>
      <c r="B94" t="str">
        <f>IF(ISNUMBER($K94),INDEX(РАБОТЫ!$A$2:$A$1058,$K94),"")</f>
        <v/>
      </c>
      <c r="C94" s="4" t="str">
        <f>IF($L94&lt;&gt;"",INDEX(РАБОТЫ!$Z$2:$Z$1058,MATCH($L94,РАБОТЫ!$V$2:$V$1058,0)),IF(ISNUMBER($K94),INDEX(РАБОТЫ!$Y$2:$Y$1058,$K94),""))</f>
        <v/>
      </c>
      <c r="D94" t="str">
        <f>IF(ISNUMBER($K94),INDEX(РАБОТЫ!$E$2:$E$1058,$K94),"")</f>
        <v/>
      </c>
      <c r="E94" t="str">
        <f>IF(ISNUMBER($K94),INDEX(РАБОТЫ!$M$2:$M$1058,$K94),"")</f>
        <v/>
      </c>
      <c r="F94" s="7" t="str">
        <f>IF(ISNUMBER($K94),INDEX(РАБОТЫ!$S$2:$S$1058,$K94),"")</f>
        <v/>
      </c>
      <c r="G94" s="7" t="str">
        <f>IF(ISNUMBER($K94),INDEX(РАБОТЫ!$T$2:$T$1058,$K94),"")</f>
        <v/>
      </c>
      <c r="H94" s="7" t="str">
        <f t="shared" si="4"/>
        <v/>
      </c>
      <c r="I94" s="7" t="str">
        <f t="shared" si="5"/>
        <v/>
      </c>
      <c r="J94" s="7" t="str">
        <f t="shared" si="6"/>
        <v/>
      </c>
      <c r="K94" t="str">
        <f>IFERROR(MATCH(73,РАБОТЫ!$X$2:$X$1058,0),"")</f>
        <v/>
      </c>
      <c r="L94" t="str">
        <f>IFERROR(IF(INDEX(РАБОТЫ!$W$2:$W$1058,MATCH(73+1,РАБОТЫ!$X$2:$X$1058,0))=1,INDEX(РАБОТЫ!$V$2:$V$1058,MATCH(73+1,РАБОТЫ!$X$2:$X$1058,0)),""),"")</f>
        <v/>
      </c>
      <c r="M94" t="str">
        <f t="shared" si="7"/>
        <v/>
      </c>
    </row>
    <row r="95" spans="1:13" hidden="1" x14ac:dyDescent="0.3">
      <c r="A95" t="str">
        <f>IF(ISNUMBER($K95),INDEX(РАБОТЫ!$U$2:$U$1058,$K95),"")</f>
        <v/>
      </c>
      <c r="B95" t="str">
        <f>IF(ISNUMBER($K95),INDEX(РАБОТЫ!$A$2:$A$1058,$K95),"")</f>
        <v/>
      </c>
      <c r="C95" s="4" t="str">
        <f>IF($L95&lt;&gt;"",INDEX(РАБОТЫ!$Z$2:$Z$1058,MATCH($L95,РАБОТЫ!$V$2:$V$1058,0)),IF(ISNUMBER($K95),INDEX(РАБОТЫ!$Y$2:$Y$1058,$K95),""))</f>
        <v/>
      </c>
      <c r="D95" t="str">
        <f>IF(ISNUMBER($K95),INDEX(РАБОТЫ!$E$2:$E$1058,$K95),"")</f>
        <v/>
      </c>
      <c r="E95" t="str">
        <f>IF(ISNUMBER($K95),INDEX(РАБОТЫ!$M$2:$M$1058,$K95),"")</f>
        <v/>
      </c>
      <c r="F95" s="7" t="str">
        <f>IF(ISNUMBER($K95),INDEX(РАБОТЫ!$S$2:$S$1058,$K95),"")</f>
        <v/>
      </c>
      <c r="G95" s="7" t="str">
        <f>IF(ISNUMBER($K95),INDEX(РАБОТЫ!$T$2:$T$1058,$K95),"")</f>
        <v/>
      </c>
      <c r="H95" s="7" t="str">
        <f t="shared" si="4"/>
        <v/>
      </c>
      <c r="I95" s="7" t="str">
        <f t="shared" si="5"/>
        <v/>
      </c>
      <c r="J95" s="7" t="str">
        <f t="shared" si="6"/>
        <v/>
      </c>
      <c r="K95" t="str">
        <f>IFERROR(MATCH(74,РАБОТЫ!$X$2:$X$1058,0),"")</f>
        <v/>
      </c>
      <c r="L95" t="str">
        <f>IFERROR(IF(INDEX(РАБОТЫ!$W$2:$W$1058,MATCH(74+1,РАБОТЫ!$X$2:$X$1058,0))=1,INDEX(РАБОТЫ!$V$2:$V$1058,MATCH(74+1,РАБОТЫ!$X$2:$X$1058,0)),""),"")</f>
        <v/>
      </c>
      <c r="M95" t="str">
        <f t="shared" si="7"/>
        <v/>
      </c>
    </row>
    <row r="96" spans="1:13" hidden="1" x14ac:dyDescent="0.3">
      <c r="A96" t="str">
        <f>IF(ISNUMBER($K96),INDEX(РАБОТЫ!$U$2:$U$1058,$K96),"")</f>
        <v/>
      </c>
      <c r="B96" t="str">
        <f>IF(ISNUMBER($K96),INDEX(РАБОТЫ!$A$2:$A$1058,$K96),"")</f>
        <v/>
      </c>
      <c r="C96" s="4" t="str">
        <f>IF($L96&lt;&gt;"",INDEX(РАБОТЫ!$Z$2:$Z$1058,MATCH($L96,РАБОТЫ!$V$2:$V$1058,0)),IF(ISNUMBER($K96),INDEX(РАБОТЫ!$Y$2:$Y$1058,$K96),""))</f>
        <v/>
      </c>
      <c r="D96" t="str">
        <f>IF(ISNUMBER($K96),INDEX(РАБОТЫ!$E$2:$E$1058,$K96),"")</f>
        <v/>
      </c>
      <c r="E96" t="str">
        <f>IF(ISNUMBER($K96),INDEX(РАБОТЫ!$M$2:$M$1058,$K96),"")</f>
        <v/>
      </c>
      <c r="F96" s="7" t="str">
        <f>IF(ISNUMBER($K96),INDEX(РАБОТЫ!$S$2:$S$1058,$K96),"")</f>
        <v/>
      </c>
      <c r="G96" s="7" t="str">
        <f>IF(ISNUMBER($K96),INDEX(РАБОТЫ!$T$2:$T$1058,$K96),"")</f>
        <v/>
      </c>
      <c r="H96" s="7" t="str">
        <f t="shared" si="4"/>
        <v/>
      </c>
      <c r="I96" s="7" t="str">
        <f t="shared" si="5"/>
        <v/>
      </c>
      <c r="J96" s="7" t="str">
        <f t="shared" si="6"/>
        <v/>
      </c>
      <c r="K96" t="str">
        <f>IFERROR(MATCH(75,РАБОТЫ!$X$2:$X$1058,0),"")</f>
        <v/>
      </c>
      <c r="L96" t="str">
        <f>IFERROR(IF(INDEX(РАБОТЫ!$W$2:$W$1058,MATCH(75+1,РАБОТЫ!$X$2:$X$1058,0))=1,INDEX(РАБОТЫ!$V$2:$V$1058,MATCH(75+1,РАБОТЫ!$X$2:$X$1058,0)),""),"")</f>
        <v/>
      </c>
      <c r="M96" t="str">
        <f t="shared" si="7"/>
        <v/>
      </c>
    </row>
    <row r="97" spans="1:13" hidden="1" x14ac:dyDescent="0.3">
      <c r="A97" t="str">
        <f>IF(ISNUMBER($K97),INDEX(РАБОТЫ!$U$2:$U$1058,$K97),"")</f>
        <v/>
      </c>
      <c r="B97" t="str">
        <f>IF(ISNUMBER($K97),INDEX(РАБОТЫ!$A$2:$A$1058,$K97),"")</f>
        <v/>
      </c>
      <c r="C97" s="4" t="str">
        <f>IF($L97&lt;&gt;"",INDEX(РАБОТЫ!$Z$2:$Z$1058,MATCH($L97,РАБОТЫ!$V$2:$V$1058,0)),IF(ISNUMBER($K97),INDEX(РАБОТЫ!$Y$2:$Y$1058,$K97),""))</f>
        <v/>
      </c>
      <c r="D97" t="str">
        <f>IF(ISNUMBER($K97),INDEX(РАБОТЫ!$E$2:$E$1058,$K97),"")</f>
        <v/>
      </c>
      <c r="E97" t="str">
        <f>IF(ISNUMBER($K97),INDEX(РАБОТЫ!$M$2:$M$1058,$K97),"")</f>
        <v/>
      </c>
      <c r="F97" s="7" t="str">
        <f>IF(ISNUMBER($K97),INDEX(РАБОТЫ!$S$2:$S$1058,$K97),"")</f>
        <v/>
      </c>
      <c r="G97" s="7" t="str">
        <f>IF(ISNUMBER($K97),INDEX(РАБОТЫ!$T$2:$T$1058,$K97),"")</f>
        <v/>
      </c>
      <c r="H97" s="7" t="str">
        <f t="shared" si="4"/>
        <v/>
      </c>
      <c r="I97" s="7" t="str">
        <f t="shared" si="5"/>
        <v/>
      </c>
      <c r="J97" s="7" t="str">
        <f t="shared" si="6"/>
        <v/>
      </c>
      <c r="K97" t="str">
        <f>IFERROR(MATCH(76,РАБОТЫ!$X$2:$X$1058,0),"")</f>
        <v/>
      </c>
      <c r="L97" t="str">
        <f>IFERROR(IF(INDEX(РАБОТЫ!$W$2:$W$1058,MATCH(76+1,РАБОТЫ!$X$2:$X$1058,0))=1,INDEX(РАБОТЫ!$V$2:$V$1058,MATCH(76+1,РАБОТЫ!$X$2:$X$1058,0)),""),"")</f>
        <v/>
      </c>
      <c r="M97" t="str">
        <f t="shared" si="7"/>
        <v/>
      </c>
    </row>
    <row r="98" spans="1:13" hidden="1" x14ac:dyDescent="0.3">
      <c r="A98" t="str">
        <f>IF(ISNUMBER($K98),INDEX(РАБОТЫ!$U$2:$U$1058,$K98),"")</f>
        <v/>
      </c>
      <c r="B98" t="str">
        <f>IF(ISNUMBER($K98),INDEX(РАБОТЫ!$A$2:$A$1058,$K98),"")</f>
        <v/>
      </c>
      <c r="C98" s="4" t="str">
        <f>IF($L98&lt;&gt;"",INDEX(РАБОТЫ!$Z$2:$Z$1058,MATCH($L98,РАБОТЫ!$V$2:$V$1058,0)),IF(ISNUMBER($K98),INDEX(РАБОТЫ!$Y$2:$Y$1058,$K98),""))</f>
        <v/>
      </c>
      <c r="D98" t="str">
        <f>IF(ISNUMBER($K98),INDEX(РАБОТЫ!$E$2:$E$1058,$K98),"")</f>
        <v/>
      </c>
      <c r="E98" t="str">
        <f>IF(ISNUMBER($K98),INDEX(РАБОТЫ!$M$2:$M$1058,$K98),"")</f>
        <v/>
      </c>
      <c r="F98" s="7" t="str">
        <f>IF(ISNUMBER($K98),INDEX(РАБОТЫ!$S$2:$S$1058,$K98),"")</f>
        <v/>
      </c>
      <c r="G98" s="7" t="str">
        <f>IF(ISNUMBER($K98),INDEX(РАБОТЫ!$T$2:$T$1058,$K98),"")</f>
        <v/>
      </c>
      <c r="H98" s="7" t="str">
        <f t="shared" si="4"/>
        <v/>
      </c>
      <c r="I98" s="7" t="str">
        <f t="shared" si="5"/>
        <v/>
      </c>
      <c r="J98" s="7" t="str">
        <f t="shared" si="6"/>
        <v/>
      </c>
      <c r="K98" t="str">
        <f>IFERROR(MATCH(77,РАБОТЫ!$X$2:$X$1058,0),"")</f>
        <v/>
      </c>
      <c r="L98" t="str">
        <f>IFERROR(IF(INDEX(РАБОТЫ!$W$2:$W$1058,MATCH(77+1,РАБОТЫ!$X$2:$X$1058,0))=1,INDEX(РАБОТЫ!$V$2:$V$1058,MATCH(77+1,РАБОТЫ!$X$2:$X$1058,0)),""),"")</f>
        <v/>
      </c>
      <c r="M98" t="str">
        <f t="shared" si="7"/>
        <v/>
      </c>
    </row>
    <row r="99" spans="1:13" hidden="1" x14ac:dyDescent="0.3">
      <c r="A99" t="str">
        <f>IF(ISNUMBER($K99),INDEX(РАБОТЫ!$U$2:$U$1058,$K99),"")</f>
        <v/>
      </c>
      <c r="B99" t="str">
        <f>IF(ISNUMBER($K99),INDEX(РАБОТЫ!$A$2:$A$1058,$K99),"")</f>
        <v/>
      </c>
      <c r="C99" s="4" t="str">
        <f>IF($L99&lt;&gt;"",INDEX(РАБОТЫ!$Z$2:$Z$1058,MATCH($L99,РАБОТЫ!$V$2:$V$1058,0)),IF(ISNUMBER($K99),INDEX(РАБОТЫ!$Y$2:$Y$1058,$K99),""))</f>
        <v/>
      </c>
      <c r="D99" t="str">
        <f>IF(ISNUMBER($K99),INDEX(РАБОТЫ!$E$2:$E$1058,$K99),"")</f>
        <v/>
      </c>
      <c r="E99" t="str">
        <f>IF(ISNUMBER($K99),INDEX(РАБОТЫ!$M$2:$M$1058,$K99),"")</f>
        <v/>
      </c>
      <c r="F99" s="7" t="str">
        <f>IF(ISNUMBER($K99),INDEX(РАБОТЫ!$S$2:$S$1058,$K99),"")</f>
        <v/>
      </c>
      <c r="G99" s="7" t="str">
        <f>IF(ISNUMBER($K99),INDEX(РАБОТЫ!$T$2:$T$1058,$K99),"")</f>
        <v/>
      </c>
      <c r="H99" s="7" t="str">
        <f t="shared" si="4"/>
        <v/>
      </c>
      <c r="I99" s="7" t="str">
        <f t="shared" si="5"/>
        <v/>
      </c>
      <c r="J99" s="7" t="str">
        <f t="shared" si="6"/>
        <v/>
      </c>
      <c r="K99" t="str">
        <f>IFERROR(MATCH(78,РАБОТЫ!$X$2:$X$1058,0),"")</f>
        <v/>
      </c>
      <c r="L99" t="str">
        <f>IFERROR(IF(INDEX(РАБОТЫ!$W$2:$W$1058,MATCH(78+1,РАБОТЫ!$X$2:$X$1058,0))=1,INDEX(РАБОТЫ!$V$2:$V$1058,MATCH(78+1,РАБОТЫ!$X$2:$X$1058,0)),""),"")</f>
        <v/>
      </c>
      <c r="M99" t="str">
        <f t="shared" si="7"/>
        <v/>
      </c>
    </row>
    <row r="100" spans="1:13" hidden="1" x14ac:dyDescent="0.3">
      <c r="A100" t="str">
        <f>IF(ISNUMBER($K100),INDEX(РАБОТЫ!$U$2:$U$1058,$K100),"")</f>
        <v/>
      </c>
      <c r="B100" t="str">
        <f>IF(ISNUMBER($K100),INDEX(РАБОТЫ!$A$2:$A$1058,$K100),"")</f>
        <v/>
      </c>
      <c r="C100" s="4" t="str">
        <f>IF($L100&lt;&gt;"",INDEX(РАБОТЫ!$Z$2:$Z$1058,MATCH($L100,РАБОТЫ!$V$2:$V$1058,0)),IF(ISNUMBER($K100),INDEX(РАБОТЫ!$Y$2:$Y$1058,$K100),""))</f>
        <v/>
      </c>
      <c r="D100" t="str">
        <f>IF(ISNUMBER($K100),INDEX(РАБОТЫ!$E$2:$E$1058,$K100),"")</f>
        <v/>
      </c>
      <c r="E100" t="str">
        <f>IF(ISNUMBER($K100),INDEX(РАБОТЫ!$M$2:$M$1058,$K100),"")</f>
        <v/>
      </c>
      <c r="F100" s="7" t="str">
        <f>IF(ISNUMBER($K100),INDEX(РАБОТЫ!$S$2:$S$1058,$K100),"")</f>
        <v/>
      </c>
      <c r="G100" s="7" t="str">
        <f>IF(ISNUMBER($K100),INDEX(РАБОТЫ!$T$2:$T$1058,$K100),"")</f>
        <v/>
      </c>
      <c r="H100" s="7" t="str">
        <f t="shared" si="4"/>
        <v/>
      </c>
      <c r="I100" s="7" t="str">
        <f t="shared" si="5"/>
        <v/>
      </c>
      <c r="J100" s="7" t="str">
        <f t="shared" si="6"/>
        <v/>
      </c>
      <c r="K100" t="str">
        <f>IFERROR(MATCH(79,РАБОТЫ!$X$2:$X$1058,0),"")</f>
        <v/>
      </c>
      <c r="L100" t="str">
        <f>IFERROR(IF(INDEX(РАБОТЫ!$W$2:$W$1058,MATCH(79+1,РАБОТЫ!$X$2:$X$1058,0))=1,INDEX(РАБОТЫ!$V$2:$V$1058,MATCH(79+1,РАБОТЫ!$X$2:$X$1058,0)),""),"")</f>
        <v/>
      </c>
      <c r="M100" t="str">
        <f t="shared" si="7"/>
        <v/>
      </c>
    </row>
    <row r="101" spans="1:13" hidden="1" x14ac:dyDescent="0.3">
      <c r="A101" t="str">
        <f>IF(ISNUMBER($K101),INDEX(РАБОТЫ!$U$2:$U$1058,$K101),"")</f>
        <v/>
      </c>
      <c r="B101" t="str">
        <f>IF(ISNUMBER($K101),INDEX(РАБОТЫ!$A$2:$A$1058,$K101),"")</f>
        <v/>
      </c>
      <c r="C101" s="4" t="str">
        <f>IF($L101&lt;&gt;"",INDEX(РАБОТЫ!$Z$2:$Z$1058,MATCH($L101,РАБОТЫ!$V$2:$V$1058,0)),IF(ISNUMBER($K101),INDEX(РАБОТЫ!$Y$2:$Y$1058,$K101),""))</f>
        <v/>
      </c>
      <c r="D101" t="str">
        <f>IF(ISNUMBER($K101),INDEX(РАБОТЫ!$E$2:$E$1058,$K101),"")</f>
        <v/>
      </c>
      <c r="E101" t="str">
        <f>IF(ISNUMBER($K101),INDEX(РАБОТЫ!$M$2:$M$1058,$K101),"")</f>
        <v/>
      </c>
      <c r="F101" s="7" t="str">
        <f>IF(ISNUMBER($K101),INDEX(РАБОТЫ!$S$2:$S$1058,$K101),"")</f>
        <v/>
      </c>
      <c r="G101" s="7" t="str">
        <f>IF(ISNUMBER($K101),INDEX(РАБОТЫ!$T$2:$T$1058,$K101),"")</f>
        <v/>
      </c>
      <c r="H101" s="7" t="str">
        <f t="shared" si="4"/>
        <v/>
      </c>
      <c r="I101" s="7" t="str">
        <f t="shared" si="5"/>
        <v/>
      </c>
      <c r="J101" s="7" t="str">
        <f t="shared" si="6"/>
        <v/>
      </c>
      <c r="K101" t="str">
        <f>IFERROR(MATCH(80,РАБОТЫ!$X$2:$X$1058,0),"")</f>
        <v/>
      </c>
      <c r="L101" t="str">
        <f>IFERROR(IF(INDEX(РАБОТЫ!$W$2:$W$1058,MATCH(80+1,РАБОТЫ!$X$2:$X$1058,0))=1,INDEX(РАБОТЫ!$V$2:$V$1058,MATCH(80+1,РАБОТЫ!$X$2:$X$1058,0)),""),"")</f>
        <v/>
      </c>
      <c r="M101" t="str">
        <f t="shared" si="7"/>
        <v/>
      </c>
    </row>
    <row r="102" spans="1:13" hidden="1" x14ac:dyDescent="0.3">
      <c r="A102" t="str">
        <f>IF(ISNUMBER($K102),INDEX(РАБОТЫ!$U$2:$U$1058,$K102),"")</f>
        <v/>
      </c>
      <c r="B102" t="str">
        <f>IF(ISNUMBER($K102),INDEX(РАБОТЫ!$A$2:$A$1058,$K102),"")</f>
        <v/>
      </c>
      <c r="C102" s="4" t="str">
        <f>IF($L102&lt;&gt;"",INDEX(РАБОТЫ!$Z$2:$Z$1058,MATCH($L102,РАБОТЫ!$V$2:$V$1058,0)),IF(ISNUMBER($K102),INDEX(РАБОТЫ!$Y$2:$Y$1058,$K102),""))</f>
        <v/>
      </c>
      <c r="D102" t="str">
        <f>IF(ISNUMBER($K102),INDEX(РАБОТЫ!$E$2:$E$1058,$K102),"")</f>
        <v/>
      </c>
      <c r="E102" t="str">
        <f>IF(ISNUMBER($K102),INDEX(РАБОТЫ!$M$2:$M$1058,$K102),"")</f>
        <v/>
      </c>
      <c r="F102" s="7" t="str">
        <f>IF(ISNUMBER($K102),INDEX(РАБОТЫ!$S$2:$S$1058,$K102),"")</f>
        <v/>
      </c>
      <c r="G102" s="7" t="str">
        <f>IF(ISNUMBER($K102),INDEX(РАБОТЫ!$T$2:$T$1058,$K102),"")</f>
        <v/>
      </c>
      <c r="H102" s="7" t="str">
        <f t="shared" si="4"/>
        <v/>
      </c>
      <c r="I102" s="7" t="str">
        <f t="shared" si="5"/>
        <v/>
      </c>
      <c r="J102" s="7" t="str">
        <f t="shared" si="6"/>
        <v/>
      </c>
      <c r="K102" t="str">
        <f>IFERROR(MATCH(81,РАБОТЫ!$X$2:$X$1058,0),"")</f>
        <v/>
      </c>
      <c r="L102" t="str">
        <f>IFERROR(IF(INDEX(РАБОТЫ!$W$2:$W$1058,MATCH(81+1,РАБОТЫ!$X$2:$X$1058,0))=1,INDEX(РАБОТЫ!$V$2:$V$1058,MATCH(81+1,РАБОТЫ!$X$2:$X$1058,0)),""),"")</f>
        <v/>
      </c>
      <c r="M102" t="str">
        <f t="shared" si="7"/>
        <v/>
      </c>
    </row>
    <row r="103" spans="1:13" hidden="1" x14ac:dyDescent="0.3">
      <c r="A103" t="str">
        <f>IF(ISNUMBER($K103),INDEX(РАБОТЫ!$U$2:$U$1058,$K103),"")</f>
        <v/>
      </c>
      <c r="B103" t="str">
        <f>IF(ISNUMBER($K103),INDEX(РАБОТЫ!$A$2:$A$1058,$K103),"")</f>
        <v/>
      </c>
      <c r="C103" s="4" t="str">
        <f>IF($L103&lt;&gt;"",INDEX(РАБОТЫ!$Z$2:$Z$1058,MATCH($L103,РАБОТЫ!$V$2:$V$1058,0)),IF(ISNUMBER($K103),INDEX(РАБОТЫ!$Y$2:$Y$1058,$K103),""))</f>
        <v/>
      </c>
      <c r="D103" t="str">
        <f>IF(ISNUMBER($K103),INDEX(РАБОТЫ!$E$2:$E$1058,$K103),"")</f>
        <v/>
      </c>
      <c r="E103" t="str">
        <f>IF(ISNUMBER($K103),INDEX(РАБОТЫ!$M$2:$M$1058,$K103),"")</f>
        <v/>
      </c>
      <c r="F103" s="7" t="str">
        <f>IF(ISNUMBER($K103),INDEX(РАБОТЫ!$S$2:$S$1058,$K103),"")</f>
        <v/>
      </c>
      <c r="G103" s="7" t="str">
        <f>IF(ISNUMBER($K103),INDEX(РАБОТЫ!$T$2:$T$1058,$K103),"")</f>
        <v/>
      </c>
      <c r="H103" s="7" t="str">
        <f t="shared" si="4"/>
        <v/>
      </c>
      <c r="I103" s="7" t="str">
        <f t="shared" si="5"/>
        <v/>
      </c>
      <c r="J103" s="7" t="str">
        <f t="shared" si="6"/>
        <v/>
      </c>
      <c r="K103" t="str">
        <f>IFERROR(MATCH(82,РАБОТЫ!$X$2:$X$1058,0),"")</f>
        <v/>
      </c>
      <c r="L103" t="str">
        <f>IFERROR(IF(INDEX(РАБОТЫ!$W$2:$W$1058,MATCH(82+1,РАБОТЫ!$X$2:$X$1058,0))=1,INDEX(РАБОТЫ!$V$2:$V$1058,MATCH(82+1,РАБОТЫ!$X$2:$X$1058,0)),""),"")</f>
        <v/>
      </c>
      <c r="M103" t="str">
        <f t="shared" si="7"/>
        <v/>
      </c>
    </row>
    <row r="104" spans="1:13" hidden="1" x14ac:dyDescent="0.3">
      <c r="A104" t="str">
        <f>IF(ISNUMBER($K104),INDEX(РАБОТЫ!$U$2:$U$1058,$K104),"")</f>
        <v/>
      </c>
      <c r="B104" t="str">
        <f>IF(ISNUMBER($K104),INDEX(РАБОТЫ!$A$2:$A$1058,$K104),"")</f>
        <v/>
      </c>
      <c r="C104" s="4" t="str">
        <f>IF($L104&lt;&gt;"",INDEX(РАБОТЫ!$Z$2:$Z$1058,MATCH($L104,РАБОТЫ!$V$2:$V$1058,0)),IF(ISNUMBER($K104),INDEX(РАБОТЫ!$Y$2:$Y$1058,$K104),""))</f>
        <v/>
      </c>
      <c r="D104" t="str">
        <f>IF(ISNUMBER($K104),INDEX(РАБОТЫ!$E$2:$E$1058,$K104),"")</f>
        <v/>
      </c>
      <c r="E104" t="str">
        <f>IF(ISNUMBER($K104),INDEX(РАБОТЫ!$M$2:$M$1058,$K104),"")</f>
        <v/>
      </c>
      <c r="F104" s="7" t="str">
        <f>IF(ISNUMBER($K104),INDEX(РАБОТЫ!$S$2:$S$1058,$K104),"")</f>
        <v/>
      </c>
      <c r="G104" s="7" t="str">
        <f>IF(ISNUMBER($K104),INDEX(РАБОТЫ!$T$2:$T$1058,$K104),"")</f>
        <v/>
      </c>
      <c r="H104" s="7" t="str">
        <f t="shared" si="4"/>
        <v/>
      </c>
      <c r="I104" s="7" t="str">
        <f t="shared" si="5"/>
        <v/>
      </c>
      <c r="J104" s="7" t="str">
        <f t="shared" si="6"/>
        <v/>
      </c>
      <c r="K104" t="str">
        <f>IFERROR(MATCH(83,РАБОТЫ!$X$2:$X$1058,0),"")</f>
        <v/>
      </c>
      <c r="L104" t="str">
        <f>IFERROR(IF(INDEX(РАБОТЫ!$W$2:$W$1058,MATCH(83+1,РАБОТЫ!$X$2:$X$1058,0))=1,INDEX(РАБОТЫ!$V$2:$V$1058,MATCH(83+1,РАБОТЫ!$X$2:$X$1058,0)),""),"")</f>
        <v/>
      </c>
      <c r="M104" t="str">
        <f t="shared" si="7"/>
        <v/>
      </c>
    </row>
    <row r="105" spans="1:13" hidden="1" x14ac:dyDescent="0.3">
      <c r="A105" t="str">
        <f>IF(ISNUMBER($K105),INDEX(РАБОТЫ!$U$2:$U$1058,$K105),"")</f>
        <v/>
      </c>
      <c r="B105" t="str">
        <f>IF(ISNUMBER($K105),INDEX(РАБОТЫ!$A$2:$A$1058,$K105),"")</f>
        <v/>
      </c>
      <c r="C105" s="4" t="str">
        <f>IF($L105&lt;&gt;"",INDEX(РАБОТЫ!$Z$2:$Z$1058,MATCH($L105,РАБОТЫ!$V$2:$V$1058,0)),IF(ISNUMBER($K105),INDEX(РАБОТЫ!$Y$2:$Y$1058,$K105),""))</f>
        <v/>
      </c>
      <c r="D105" t="str">
        <f>IF(ISNUMBER($K105),INDEX(РАБОТЫ!$E$2:$E$1058,$K105),"")</f>
        <v/>
      </c>
      <c r="E105" t="str">
        <f>IF(ISNUMBER($K105),INDEX(РАБОТЫ!$M$2:$M$1058,$K105),"")</f>
        <v/>
      </c>
      <c r="F105" s="7" t="str">
        <f>IF(ISNUMBER($K105),INDEX(РАБОТЫ!$S$2:$S$1058,$K105),"")</f>
        <v/>
      </c>
      <c r="G105" s="7" t="str">
        <f>IF(ISNUMBER($K105),INDEX(РАБОТЫ!$T$2:$T$1058,$K105),"")</f>
        <v/>
      </c>
      <c r="H105" s="7" t="str">
        <f t="shared" si="4"/>
        <v/>
      </c>
      <c r="I105" s="7" t="str">
        <f t="shared" si="5"/>
        <v/>
      </c>
      <c r="J105" s="7" t="str">
        <f t="shared" si="6"/>
        <v/>
      </c>
      <c r="K105" t="str">
        <f>IFERROR(MATCH(84,РАБОТЫ!$X$2:$X$1058,0),"")</f>
        <v/>
      </c>
      <c r="L105" t="str">
        <f>IFERROR(IF(INDEX(РАБОТЫ!$W$2:$W$1058,MATCH(84+1,РАБОТЫ!$X$2:$X$1058,0))=1,INDEX(РАБОТЫ!$V$2:$V$1058,MATCH(84+1,РАБОТЫ!$X$2:$X$1058,0)),""),"")</f>
        <v/>
      </c>
      <c r="M105" t="str">
        <f t="shared" si="7"/>
        <v/>
      </c>
    </row>
    <row r="106" spans="1:13" hidden="1" x14ac:dyDescent="0.3">
      <c r="A106" t="str">
        <f>IF(ISNUMBER($K106),INDEX(РАБОТЫ!$U$2:$U$1058,$K106),"")</f>
        <v/>
      </c>
      <c r="B106" t="str">
        <f>IF(ISNUMBER($K106),INDEX(РАБОТЫ!$A$2:$A$1058,$K106),"")</f>
        <v/>
      </c>
      <c r="C106" s="4" t="str">
        <f>IF($L106&lt;&gt;"",INDEX(РАБОТЫ!$Z$2:$Z$1058,MATCH($L106,РАБОТЫ!$V$2:$V$1058,0)),IF(ISNUMBER($K106),INDEX(РАБОТЫ!$Y$2:$Y$1058,$K106),""))</f>
        <v/>
      </c>
      <c r="D106" t="str">
        <f>IF(ISNUMBER($K106),INDEX(РАБОТЫ!$E$2:$E$1058,$K106),"")</f>
        <v/>
      </c>
      <c r="E106" t="str">
        <f>IF(ISNUMBER($K106),INDEX(РАБОТЫ!$M$2:$M$1058,$K106),"")</f>
        <v/>
      </c>
      <c r="F106" s="7" t="str">
        <f>IF(ISNUMBER($K106),INDEX(РАБОТЫ!$S$2:$S$1058,$K106),"")</f>
        <v/>
      </c>
      <c r="G106" s="7" t="str">
        <f>IF(ISNUMBER($K106),INDEX(РАБОТЫ!$T$2:$T$1058,$K106),"")</f>
        <v/>
      </c>
      <c r="H106" s="7" t="str">
        <f t="shared" si="4"/>
        <v/>
      </c>
      <c r="I106" s="7" t="str">
        <f t="shared" si="5"/>
        <v/>
      </c>
      <c r="J106" s="7" t="str">
        <f t="shared" si="6"/>
        <v/>
      </c>
      <c r="K106" t="str">
        <f>IFERROR(MATCH(85,РАБОТЫ!$X$2:$X$1058,0),"")</f>
        <v/>
      </c>
      <c r="L106" t="str">
        <f>IFERROR(IF(INDEX(РАБОТЫ!$W$2:$W$1058,MATCH(85+1,РАБОТЫ!$X$2:$X$1058,0))=1,INDEX(РАБОТЫ!$V$2:$V$1058,MATCH(85+1,РАБОТЫ!$X$2:$X$1058,0)),""),"")</f>
        <v/>
      </c>
      <c r="M106" t="str">
        <f t="shared" si="7"/>
        <v/>
      </c>
    </row>
    <row r="107" spans="1:13" hidden="1" x14ac:dyDescent="0.3">
      <c r="A107" t="str">
        <f>IF(ISNUMBER($K107),INDEX(РАБОТЫ!$U$2:$U$1058,$K107),"")</f>
        <v/>
      </c>
      <c r="B107" t="str">
        <f>IF(ISNUMBER($K107),INDEX(РАБОТЫ!$A$2:$A$1058,$K107),"")</f>
        <v/>
      </c>
      <c r="C107" s="4" t="str">
        <f>IF($L107&lt;&gt;"",INDEX(РАБОТЫ!$Z$2:$Z$1058,MATCH($L107,РАБОТЫ!$V$2:$V$1058,0)),IF(ISNUMBER($K107),INDEX(РАБОТЫ!$Y$2:$Y$1058,$K107),""))</f>
        <v/>
      </c>
      <c r="D107" t="str">
        <f>IF(ISNUMBER($K107),INDEX(РАБОТЫ!$E$2:$E$1058,$K107),"")</f>
        <v/>
      </c>
      <c r="E107" t="str">
        <f>IF(ISNUMBER($K107),INDEX(РАБОТЫ!$M$2:$M$1058,$K107),"")</f>
        <v/>
      </c>
      <c r="F107" s="7" t="str">
        <f>IF(ISNUMBER($K107),INDEX(РАБОТЫ!$S$2:$S$1058,$K107),"")</f>
        <v/>
      </c>
      <c r="G107" s="7" t="str">
        <f>IF(ISNUMBER($K107),INDEX(РАБОТЫ!$T$2:$T$1058,$K107),"")</f>
        <v/>
      </c>
      <c r="H107" s="7" t="str">
        <f t="shared" si="4"/>
        <v/>
      </c>
      <c r="I107" s="7" t="str">
        <f t="shared" si="5"/>
        <v/>
      </c>
      <c r="J107" s="7" t="str">
        <f t="shared" si="6"/>
        <v/>
      </c>
      <c r="K107" t="str">
        <f>IFERROR(MATCH(86,РАБОТЫ!$X$2:$X$1058,0),"")</f>
        <v/>
      </c>
      <c r="L107" t="str">
        <f>IFERROR(IF(INDEX(РАБОТЫ!$W$2:$W$1058,MATCH(86+1,РАБОТЫ!$X$2:$X$1058,0))=1,INDEX(РАБОТЫ!$V$2:$V$1058,MATCH(86+1,РАБОТЫ!$X$2:$X$1058,0)),""),"")</f>
        <v/>
      </c>
      <c r="M107" t="str">
        <f t="shared" si="7"/>
        <v/>
      </c>
    </row>
    <row r="108" spans="1:13" hidden="1" x14ac:dyDescent="0.3">
      <c r="A108" t="str">
        <f>IF(ISNUMBER($K108),INDEX(РАБОТЫ!$U$2:$U$1058,$K108),"")</f>
        <v/>
      </c>
      <c r="B108" t="str">
        <f>IF(ISNUMBER($K108),INDEX(РАБОТЫ!$A$2:$A$1058,$K108),"")</f>
        <v/>
      </c>
      <c r="C108" s="4" t="str">
        <f>IF($L108&lt;&gt;"",INDEX(РАБОТЫ!$Z$2:$Z$1058,MATCH($L108,РАБОТЫ!$V$2:$V$1058,0)),IF(ISNUMBER($K108),INDEX(РАБОТЫ!$Y$2:$Y$1058,$K108),""))</f>
        <v/>
      </c>
      <c r="D108" t="str">
        <f>IF(ISNUMBER($K108),INDEX(РАБОТЫ!$E$2:$E$1058,$K108),"")</f>
        <v/>
      </c>
      <c r="E108" t="str">
        <f>IF(ISNUMBER($K108),INDEX(РАБОТЫ!$M$2:$M$1058,$K108),"")</f>
        <v/>
      </c>
      <c r="F108" s="7" t="str">
        <f>IF(ISNUMBER($K108),INDEX(РАБОТЫ!$S$2:$S$1058,$K108),"")</f>
        <v/>
      </c>
      <c r="G108" s="7" t="str">
        <f>IF(ISNUMBER($K108),INDEX(РАБОТЫ!$T$2:$T$1058,$K108),"")</f>
        <v/>
      </c>
      <c r="H108" s="7" t="str">
        <f t="shared" si="4"/>
        <v/>
      </c>
      <c r="I108" s="7" t="str">
        <f t="shared" si="5"/>
        <v/>
      </c>
      <c r="J108" s="7" t="str">
        <f t="shared" si="6"/>
        <v/>
      </c>
      <c r="K108" t="str">
        <f>IFERROR(MATCH(87,РАБОТЫ!$X$2:$X$1058,0),"")</f>
        <v/>
      </c>
      <c r="L108" t="str">
        <f>IFERROR(IF(INDEX(РАБОТЫ!$W$2:$W$1058,MATCH(87+1,РАБОТЫ!$X$2:$X$1058,0))=1,INDEX(РАБОТЫ!$V$2:$V$1058,MATCH(87+1,РАБОТЫ!$X$2:$X$1058,0)),""),"")</f>
        <v/>
      </c>
      <c r="M108" t="str">
        <f t="shared" si="7"/>
        <v/>
      </c>
    </row>
    <row r="109" spans="1:13" hidden="1" x14ac:dyDescent="0.3">
      <c r="A109" t="str">
        <f>IF(ISNUMBER($K109),INDEX(РАБОТЫ!$U$2:$U$1058,$K109),"")</f>
        <v/>
      </c>
      <c r="B109" t="str">
        <f>IF(ISNUMBER($K109),INDEX(РАБОТЫ!$A$2:$A$1058,$K109),"")</f>
        <v/>
      </c>
      <c r="C109" s="4" t="str">
        <f>IF($L109&lt;&gt;"",INDEX(РАБОТЫ!$Z$2:$Z$1058,MATCH($L109,РАБОТЫ!$V$2:$V$1058,0)),IF(ISNUMBER($K109),INDEX(РАБОТЫ!$Y$2:$Y$1058,$K109),""))</f>
        <v/>
      </c>
      <c r="D109" t="str">
        <f>IF(ISNUMBER($K109),INDEX(РАБОТЫ!$E$2:$E$1058,$K109),"")</f>
        <v/>
      </c>
      <c r="E109" t="str">
        <f>IF(ISNUMBER($K109),INDEX(РАБОТЫ!$M$2:$M$1058,$K109),"")</f>
        <v/>
      </c>
      <c r="F109" s="7" t="str">
        <f>IF(ISNUMBER($K109),INDEX(РАБОТЫ!$S$2:$S$1058,$K109),"")</f>
        <v/>
      </c>
      <c r="G109" s="7" t="str">
        <f>IF(ISNUMBER($K109),INDEX(РАБОТЫ!$T$2:$T$1058,$K109),"")</f>
        <v/>
      </c>
      <c r="H109" s="7" t="str">
        <f t="shared" si="4"/>
        <v/>
      </c>
      <c r="I109" s="7" t="str">
        <f t="shared" si="5"/>
        <v/>
      </c>
      <c r="J109" s="7" t="str">
        <f t="shared" si="6"/>
        <v/>
      </c>
      <c r="K109" t="str">
        <f>IFERROR(MATCH(88,РАБОТЫ!$X$2:$X$1058,0),"")</f>
        <v/>
      </c>
      <c r="L109" t="str">
        <f>IFERROR(IF(INDEX(РАБОТЫ!$W$2:$W$1058,MATCH(88+1,РАБОТЫ!$X$2:$X$1058,0))=1,INDEX(РАБОТЫ!$V$2:$V$1058,MATCH(88+1,РАБОТЫ!$X$2:$X$1058,0)),""),"")</f>
        <v/>
      </c>
      <c r="M109" t="str">
        <f t="shared" si="7"/>
        <v/>
      </c>
    </row>
    <row r="110" spans="1:13" hidden="1" x14ac:dyDescent="0.3">
      <c r="A110" t="str">
        <f>IF(ISNUMBER($K110),INDEX(РАБОТЫ!$U$2:$U$1058,$K110),"")</f>
        <v/>
      </c>
      <c r="B110" t="str">
        <f>IF(ISNUMBER($K110),INDEX(РАБОТЫ!$A$2:$A$1058,$K110),"")</f>
        <v/>
      </c>
      <c r="C110" s="4" t="str">
        <f>IF($L110&lt;&gt;"",INDEX(РАБОТЫ!$Z$2:$Z$1058,MATCH($L110,РАБОТЫ!$V$2:$V$1058,0)),IF(ISNUMBER($K110),INDEX(РАБОТЫ!$Y$2:$Y$1058,$K110),""))</f>
        <v/>
      </c>
      <c r="D110" t="str">
        <f>IF(ISNUMBER($K110),INDEX(РАБОТЫ!$E$2:$E$1058,$K110),"")</f>
        <v/>
      </c>
      <c r="E110" t="str">
        <f>IF(ISNUMBER($K110),INDEX(РАБОТЫ!$M$2:$M$1058,$K110),"")</f>
        <v/>
      </c>
      <c r="F110" s="7" t="str">
        <f>IF(ISNUMBER($K110),INDEX(РАБОТЫ!$S$2:$S$1058,$K110),"")</f>
        <v/>
      </c>
      <c r="G110" s="7" t="str">
        <f>IF(ISNUMBER($K110),INDEX(РАБОТЫ!$T$2:$T$1058,$K110),"")</f>
        <v/>
      </c>
      <c r="H110" s="7" t="str">
        <f t="shared" si="4"/>
        <v/>
      </c>
      <c r="I110" s="7" t="str">
        <f t="shared" si="5"/>
        <v/>
      </c>
      <c r="J110" s="7" t="str">
        <f t="shared" si="6"/>
        <v/>
      </c>
      <c r="K110" t="str">
        <f>IFERROR(MATCH(89,РАБОТЫ!$X$2:$X$1058,0),"")</f>
        <v/>
      </c>
      <c r="L110" t="str">
        <f>IFERROR(IF(INDEX(РАБОТЫ!$W$2:$W$1058,MATCH(89+1,РАБОТЫ!$X$2:$X$1058,0))=1,INDEX(РАБОТЫ!$V$2:$V$1058,MATCH(89+1,РАБОТЫ!$X$2:$X$1058,0)),""),"")</f>
        <v/>
      </c>
      <c r="M110" t="str">
        <f t="shared" si="7"/>
        <v/>
      </c>
    </row>
    <row r="111" spans="1:13" hidden="1" x14ac:dyDescent="0.3">
      <c r="A111" t="str">
        <f>IF(ISNUMBER($K111),INDEX(РАБОТЫ!$U$2:$U$1058,$K111),"")</f>
        <v/>
      </c>
      <c r="B111" t="str">
        <f>IF(ISNUMBER($K111),INDEX(РАБОТЫ!$A$2:$A$1058,$K111),"")</f>
        <v/>
      </c>
      <c r="C111" s="4" t="str">
        <f>IF($L111&lt;&gt;"",INDEX(РАБОТЫ!$Z$2:$Z$1058,MATCH($L111,РАБОТЫ!$V$2:$V$1058,0)),IF(ISNUMBER($K111),INDEX(РАБОТЫ!$Y$2:$Y$1058,$K111),""))</f>
        <v/>
      </c>
      <c r="D111" t="str">
        <f>IF(ISNUMBER($K111),INDEX(РАБОТЫ!$E$2:$E$1058,$K111),"")</f>
        <v/>
      </c>
      <c r="E111" t="str">
        <f>IF(ISNUMBER($K111),INDEX(РАБОТЫ!$M$2:$M$1058,$K111),"")</f>
        <v/>
      </c>
      <c r="F111" s="7" t="str">
        <f>IF(ISNUMBER($K111),INDEX(РАБОТЫ!$S$2:$S$1058,$K111),"")</f>
        <v/>
      </c>
      <c r="G111" s="7" t="str">
        <f>IF(ISNUMBER($K111),INDEX(РАБОТЫ!$T$2:$T$1058,$K111),"")</f>
        <v/>
      </c>
      <c r="H111" s="7" t="str">
        <f t="shared" si="4"/>
        <v/>
      </c>
      <c r="I111" s="7" t="str">
        <f t="shared" si="5"/>
        <v/>
      </c>
      <c r="J111" s="7" t="str">
        <f t="shared" si="6"/>
        <v/>
      </c>
      <c r="K111" t="str">
        <f>IFERROR(MATCH(90,РАБОТЫ!$X$2:$X$1058,0),"")</f>
        <v/>
      </c>
      <c r="L111" t="str">
        <f>IFERROR(IF(INDEX(РАБОТЫ!$W$2:$W$1058,MATCH(90+1,РАБОТЫ!$X$2:$X$1058,0))=1,INDEX(РАБОТЫ!$V$2:$V$1058,MATCH(90+1,РАБОТЫ!$X$2:$X$1058,0)),""),"")</f>
        <v/>
      </c>
      <c r="M111" t="str">
        <f t="shared" si="7"/>
        <v/>
      </c>
    </row>
    <row r="112" spans="1:13" hidden="1" x14ac:dyDescent="0.3">
      <c r="A112" t="str">
        <f>IF(ISNUMBER($K112),INDEX(РАБОТЫ!$U$2:$U$1058,$K112),"")</f>
        <v/>
      </c>
      <c r="B112" t="str">
        <f>IF(ISNUMBER($K112),INDEX(РАБОТЫ!$A$2:$A$1058,$K112),"")</f>
        <v/>
      </c>
      <c r="C112" s="4" t="str">
        <f>IF($L112&lt;&gt;"",INDEX(РАБОТЫ!$Z$2:$Z$1058,MATCH($L112,РАБОТЫ!$V$2:$V$1058,0)),IF(ISNUMBER($K112),INDEX(РАБОТЫ!$Y$2:$Y$1058,$K112),""))</f>
        <v/>
      </c>
      <c r="D112" t="str">
        <f>IF(ISNUMBER($K112),INDEX(РАБОТЫ!$E$2:$E$1058,$K112),"")</f>
        <v/>
      </c>
      <c r="E112" t="str">
        <f>IF(ISNUMBER($K112),INDEX(РАБОТЫ!$M$2:$M$1058,$K112),"")</f>
        <v/>
      </c>
      <c r="F112" s="7" t="str">
        <f>IF(ISNUMBER($K112),INDEX(РАБОТЫ!$S$2:$S$1058,$K112),"")</f>
        <v/>
      </c>
      <c r="G112" s="7" t="str">
        <f>IF(ISNUMBER($K112),INDEX(РАБОТЫ!$T$2:$T$1058,$K112),"")</f>
        <v/>
      </c>
      <c r="H112" s="7" t="str">
        <f t="shared" si="4"/>
        <v/>
      </c>
      <c r="I112" s="7" t="str">
        <f t="shared" si="5"/>
        <v/>
      </c>
      <c r="J112" s="7" t="str">
        <f t="shared" si="6"/>
        <v/>
      </c>
      <c r="K112" t="str">
        <f>IFERROR(MATCH(91,РАБОТЫ!$X$2:$X$1058,0),"")</f>
        <v/>
      </c>
      <c r="L112" t="str">
        <f>IFERROR(IF(INDEX(РАБОТЫ!$W$2:$W$1058,MATCH(91+1,РАБОТЫ!$X$2:$X$1058,0))=1,INDEX(РАБОТЫ!$V$2:$V$1058,MATCH(91+1,РАБОТЫ!$X$2:$X$1058,0)),""),"")</f>
        <v/>
      </c>
      <c r="M112" t="str">
        <f t="shared" si="7"/>
        <v/>
      </c>
    </row>
    <row r="113" spans="1:13" hidden="1" x14ac:dyDescent="0.3">
      <c r="A113" t="str">
        <f>IF(ISNUMBER($K113),INDEX(РАБОТЫ!$U$2:$U$1058,$K113),"")</f>
        <v/>
      </c>
      <c r="B113" t="str">
        <f>IF(ISNUMBER($K113),INDEX(РАБОТЫ!$A$2:$A$1058,$K113),"")</f>
        <v/>
      </c>
      <c r="C113" s="4" t="str">
        <f>IF($L113&lt;&gt;"",INDEX(РАБОТЫ!$Z$2:$Z$1058,MATCH($L113,РАБОТЫ!$V$2:$V$1058,0)),IF(ISNUMBER($K113),INDEX(РАБОТЫ!$Y$2:$Y$1058,$K113),""))</f>
        <v/>
      </c>
      <c r="D113" t="str">
        <f>IF(ISNUMBER($K113),INDEX(РАБОТЫ!$E$2:$E$1058,$K113),"")</f>
        <v/>
      </c>
      <c r="E113" t="str">
        <f>IF(ISNUMBER($K113),INDEX(РАБОТЫ!$M$2:$M$1058,$K113),"")</f>
        <v/>
      </c>
      <c r="F113" s="7" t="str">
        <f>IF(ISNUMBER($K113),INDEX(РАБОТЫ!$S$2:$S$1058,$K113),"")</f>
        <v/>
      </c>
      <c r="G113" s="7" t="str">
        <f>IF(ISNUMBER($K113),INDEX(РАБОТЫ!$T$2:$T$1058,$K113),"")</f>
        <v/>
      </c>
      <c r="H113" s="7" t="str">
        <f t="shared" si="4"/>
        <v/>
      </c>
      <c r="I113" s="7" t="str">
        <f t="shared" si="5"/>
        <v/>
      </c>
      <c r="J113" s="7" t="str">
        <f t="shared" si="6"/>
        <v/>
      </c>
      <c r="K113" t="str">
        <f>IFERROR(MATCH(92,РАБОТЫ!$X$2:$X$1058,0),"")</f>
        <v/>
      </c>
      <c r="L113" t="str">
        <f>IFERROR(IF(INDEX(РАБОТЫ!$W$2:$W$1058,MATCH(92+1,РАБОТЫ!$X$2:$X$1058,0))=1,INDEX(РАБОТЫ!$V$2:$V$1058,MATCH(92+1,РАБОТЫ!$X$2:$X$1058,0)),""),"")</f>
        <v/>
      </c>
      <c r="M113" t="str">
        <f t="shared" si="7"/>
        <v/>
      </c>
    </row>
    <row r="114" spans="1:13" hidden="1" x14ac:dyDescent="0.3">
      <c r="A114" t="str">
        <f>IF(ISNUMBER($K114),INDEX(РАБОТЫ!$U$2:$U$1058,$K114),"")</f>
        <v/>
      </c>
      <c r="B114" t="str">
        <f>IF(ISNUMBER($K114),INDEX(РАБОТЫ!$A$2:$A$1058,$K114),"")</f>
        <v/>
      </c>
      <c r="C114" s="4" t="str">
        <f>IF($L114&lt;&gt;"",INDEX(РАБОТЫ!$Z$2:$Z$1058,MATCH($L114,РАБОТЫ!$V$2:$V$1058,0)),IF(ISNUMBER($K114),INDEX(РАБОТЫ!$Y$2:$Y$1058,$K114),""))</f>
        <v/>
      </c>
      <c r="D114" t="str">
        <f>IF(ISNUMBER($K114),INDEX(РАБОТЫ!$E$2:$E$1058,$K114),"")</f>
        <v/>
      </c>
      <c r="E114" t="str">
        <f>IF(ISNUMBER($K114),INDEX(РАБОТЫ!$M$2:$M$1058,$K114),"")</f>
        <v/>
      </c>
      <c r="F114" s="7" t="str">
        <f>IF(ISNUMBER($K114),INDEX(РАБОТЫ!$S$2:$S$1058,$K114),"")</f>
        <v/>
      </c>
      <c r="G114" s="7" t="str">
        <f>IF(ISNUMBER($K114),INDEX(РАБОТЫ!$T$2:$T$1058,$K114),"")</f>
        <v/>
      </c>
      <c r="H114" s="7" t="str">
        <f t="shared" si="4"/>
        <v/>
      </c>
      <c r="I114" s="7" t="str">
        <f t="shared" si="5"/>
        <v/>
      </c>
      <c r="J114" s="7" t="str">
        <f t="shared" si="6"/>
        <v/>
      </c>
      <c r="K114" t="str">
        <f>IFERROR(MATCH(93,РАБОТЫ!$X$2:$X$1058,0),"")</f>
        <v/>
      </c>
      <c r="L114" t="str">
        <f>IFERROR(IF(INDEX(РАБОТЫ!$W$2:$W$1058,MATCH(93+1,РАБОТЫ!$X$2:$X$1058,0))=1,INDEX(РАБОТЫ!$V$2:$V$1058,MATCH(93+1,РАБОТЫ!$X$2:$X$1058,0)),""),"")</f>
        <v/>
      </c>
      <c r="M114" t="str">
        <f t="shared" si="7"/>
        <v/>
      </c>
    </row>
    <row r="115" spans="1:13" hidden="1" x14ac:dyDescent="0.3">
      <c r="A115" t="str">
        <f>IF(ISNUMBER($K115),INDEX(РАБОТЫ!$U$2:$U$1058,$K115),"")</f>
        <v/>
      </c>
      <c r="B115" t="str">
        <f>IF(ISNUMBER($K115),INDEX(РАБОТЫ!$A$2:$A$1058,$K115),"")</f>
        <v/>
      </c>
      <c r="C115" s="4" t="str">
        <f>IF($L115&lt;&gt;"",INDEX(РАБОТЫ!$Z$2:$Z$1058,MATCH($L115,РАБОТЫ!$V$2:$V$1058,0)),IF(ISNUMBER($K115),INDEX(РАБОТЫ!$Y$2:$Y$1058,$K115),""))</f>
        <v/>
      </c>
      <c r="D115" t="str">
        <f>IF(ISNUMBER($K115),INDEX(РАБОТЫ!$E$2:$E$1058,$K115),"")</f>
        <v/>
      </c>
      <c r="E115" t="str">
        <f>IF(ISNUMBER($K115),INDEX(РАБОТЫ!$M$2:$M$1058,$K115),"")</f>
        <v/>
      </c>
      <c r="F115" s="7" t="str">
        <f>IF(ISNUMBER($K115),INDEX(РАБОТЫ!$S$2:$S$1058,$K115),"")</f>
        <v/>
      </c>
      <c r="G115" s="7" t="str">
        <f>IF(ISNUMBER($K115),INDEX(РАБОТЫ!$T$2:$T$1058,$K115),"")</f>
        <v/>
      </c>
      <c r="H115" s="7" t="str">
        <f t="shared" si="4"/>
        <v/>
      </c>
      <c r="I115" s="7" t="str">
        <f t="shared" si="5"/>
        <v/>
      </c>
      <c r="J115" s="7" t="str">
        <f t="shared" si="6"/>
        <v/>
      </c>
      <c r="K115" t="str">
        <f>IFERROR(MATCH(94,РАБОТЫ!$X$2:$X$1058,0),"")</f>
        <v/>
      </c>
      <c r="L115" t="str">
        <f>IFERROR(IF(INDEX(РАБОТЫ!$W$2:$W$1058,MATCH(94+1,РАБОТЫ!$X$2:$X$1058,0))=1,INDEX(РАБОТЫ!$V$2:$V$1058,MATCH(94+1,РАБОТЫ!$X$2:$X$1058,0)),""),"")</f>
        <v/>
      </c>
      <c r="M115" t="str">
        <f t="shared" si="7"/>
        <v/>
      </c>
    </row>
    <row r="116" spans="1:13" hidden="1" x14ac:dyDescent="0.3">
      <c r="A116" t="str">
        <f>IF(ISNUMBER($K116),INDEX(РАБОТЫ!$U$2:$U$1058,$K116),"")</f>
        <v/>
      </c>
      <c r="B116" t="str">
        <f>IF(ISNUMBER($K116),INDEX(РАБОТЫ!$A$2:$A$1058,$K116),"")</f>
        <v/>
      </c>
      <c r="C116" s="4" t="str">
        <f>IF($L116&lt;&gt;"",INDEX(РАБОТЫ!$Z$2:$Z$1058,MATCH($L116,РАБОТЫ!$V$2:$V$1058,0)),IF(ISNUMBER($K116),INDEX(РАБОТЫ!$Y$2:$Y$1058,$K116),""))</f>
        <v/>
      </c>
      <c r="D116" t="str">
        <f>IF(ISNUMBER($K116),INDEX(РАБОТЫ!$E$2:$E$1058,$K116),"")</f>
        <v/>
      </c>
      <c r="E116" t="str">
        <f>IF(ISNUMBER($K116),INDEX(РАБОТЫ!$M$2:$M$1058,$K116),"")</f>
        <v/>
      </c>
      <c r="F116" s="7" t="str">
        <f>IF(ISNUMBER($K116),INDEX(РАБОТЫ!$S$2:$S$1058,$K116),"")</f>
        <v/>
      </c>
      <c r="G116" s="7" t="str">
        <f>IF(ISNUMBER($K116),INDEX(РАБОТЫ!$T$2:$T$1058,$K116),"")</f>
        <v/>
      </c>
      <c r="H116" s="7" t="str">
        <f t="shared" si="4"/>
        <v/>
      </c>
      <c r="I116" s="7" t="str">
        <f t="shared" si="5"/>
        <v/>
      </c>
      <c r="J116" s="7" t="str">
        <f t="shared" si="6"/>
        <v/>
      </c>
      <c r="K116" t="str">
        <f>IFERROR(MATCH(95,РАБОТЫ!$X$2:$X$1058,0),"")</f>
        <v/>
      </c>
      <c r="L116" t="str">
        <f>IFERROR(IF(INDEX(РАБОТЫ!$W$2:$W$1058,MATCH(95+1,РАБОТЫ!$X$2:$X$1058,0))=1,INDEX(РАБОТЫ!$V$2:$V$1058,MATCH(95+1,РАБОТЫ!$X$2:$X$1058,0)),""),"")</f>
        <v/>
      </c>
      <c r="M116" t="str">
        <f t="shared" si="7"/>
        <v/>
      </c>
    </row>
    <row r="117" spans="1:13" hidden="1" x14ac:dyDescent="0.3">
      <c r="A117" t="str">
        <f>IF(ISNUMBER($K117),INDEX(РАБОТЫ!$U$2:$U$1058,$K117),"")</f>
        <v/>
      </c>
      <c r="B117" t="str">
        <f>IF(ISNUMBER($K117),INDEX(РАБОТЫ!$A$2:$A$1058,$K117),"")</f>
        <v/>
      </c>
      <c r="C117" s="4" t="str">
        <f>IF($L117&lt;&gt;"",INDEX(РАБОТЫ!$Z$2:$Z$1058,MATCH($L117,РАБОТЫ!$V$2:$V$1058,0)),IF(ISNUMBER($K117),INDEX(РАБОТЫ!$Y$2:$Y$1058,$K117),""))</f>
        <v/>
      </c>
      <c r="D117" t="str">
        <f>IF(ISNUMBER($K117),INDEX(РАБОТЫ!$E$2:$E$1058,$K117),"")</f>
        <v/>
      </c>
      <c r="E117" t="str">
        <f>IF(ISNUMBER($K117),INDEX(РАБОТЫ!$M$2:$M$1058,$K117),"")</f>
        <v/>
      </c>
      <c r="F117" s="7" t="str">
        <f>IF(ISNUMBER($K117),INDEX(РАБОТЫ!$S$2:$S$1058,$K117),"")</f>
        <v/>
      </c>
      <c r="G117" s="7" t="str">
        <f>IF(ISNUMBER($K117),INDEX(РАБОТЫ!$T$2:$T$1058,$K117),"")</f>
        <v/>
      </c>
      <c r="H117" s="7" t="str">
        <f t="shared" si="4"/>
        <v/>
      </c>
      <c r="I117" s="7" t="str">
        <f t="shared" si="5"/>
        <v/>
      </c>
      <c r="J117" s="7" t="str">
        <f t="shared" si="6"/>
        <v/>
      </c>
      <c r="K117" t="str">
        <f>IFERROR(MATCH(96,РАБОТЫ!$X$2:$X$1058,0),"")</f>
        <v/>
      </c>
      <c r="L117" t="str">
        <f>IFERROR(IF(INDEX(РАБОТЫ!$W$2:$W$1058,MATCH(96+1,РАБОТЫ!$X$2:$X$1058,0))=1,INDEX(РАБОТЫ!$V$2:$V$1058,MATCH(96+1,РАБОТЫ!$X$2:$X$1058,0)),""),"")</f>
        <v/>
      </c>
      <c r="M117" t="str">
        <f t="shared" si="7"/>
        <v/>
      </c>
    </row>
    <row r="118" spans="1:13" hidden="1" x14ac:dyDescent="0.3">
      <c r="A118" t="str">
        <f>IF(ISNUMBER($K118),INDEX(РАБОТЫ!$U$2:$U$1058,$K118),"")</f>
        <v/>
      </c>
      <c r="B118" t="str">
        <f>IF(ISNUMBER($K118),INDEX(РАБОТЫ!$A$2:$A$1058,$K118),"")</f>
        <v/>
      </c>
      <c r="C118" s="4" t="str">
        <f>IF($L118&lt;&gt;"",INDEX(РАБОТЫ!$Z$2:$Z$1058,MATCH($L118,РАБОТЫ!$V$2:$V$1058,0)),IF(ISNUMBER($K118),INDEX(РАБОТЫ!$Y$2:$Y$1058,$K118),""))</f>
        <v/>
      </c>
      <c r="D118" t="str">
        <f>IF(ISNUMBER($K118),INDEX(РАБОТЫ!$E$2:$E$1058,$K118),"")</f>
        <v/>
      </c>
      <c r="E118" t="str">
        <f>IF(ISNUMBER($K118),INDEX(РАБОТЫ!$M$2:$M$1058,$K118),"")</f>
        <v/>
      </c>
      <c r="F118" s="7" t="str">
        <f>IF(ISNUMBER($K118),INDEX(РАБОТЫ!$S$2:$S$1058,$K118),"")</f>
        <v/>
      </c>
      <c r="G118" s="7" t="str">
        <f>IF(ISNUMBER($K118),INDEX(РАБОТЫ!$T$2:$T$1058,$K118),"")</f>
        <v/>
      </c>
      <c r="H118" s="7" t="str">
        <f t="shared" si="4"/>
        <v/>
      </c>
      <c r="I118" s="7" t="str">
        <f t="shared" si="5"/>
        <v/>
      </c>
      <c r="J118" s="7" t="str">
        <f t="shared" si="6"/>
        <v/>
      </c>
      <c r="K118" t="str">
        <f>IFERROR(MATCH(97,РАБОТЫ!$X$2:$X$1058,0),"")</f>
        <v/>
      </c>
      <c r="L118" t="str">
        <f>IFERROR(IF(INDEX(РАБОТЫ!$W$2:$W$1058,MATCH(97+1,РАБОТЫ!$X$2:$X$1058,0))=1,INDEX(РАБОТЫ!$V$2:$V$1058,MATCH(97+1,РАБОТЫ!$X$2:$X$1058,0)),""),"")</f>
        <v/>
      </c>
      <c r="M118" t="str">
        <f t="shared" si="7"/>
        <v/>
      </c>
    </row>
    <row r="119" spans="1:13" hidden="1" x14ac:dyDescent="0.3">
      <c r="A119" t="str">
        <f>IF(ISNUMBER($K119),INDEX(РАБОТЫ!$U$2:$U$1058,$K119),"")</f>
        <v/>
      </c>
      <c r="B119" t="str">
        <f>IF(ISNUMBER($K119),INDEX(РАБОТЫ!$A$2:$A$1058,$K119),"")</f>
        <v/>
      </c>
      <c r="C119" s="4" t="str">
        <f>IF($L119&lt;&gt;"",INDEX(РАБОТЫ!$Z$2:$Z$1058,MATCH($L119,РАБОТЫ!$V$2:$V$1058,0)),IF(ISNUMBER($K119),INDEX(РАБОТЫ!$Y$2:$Y$1058,$K119),""))</f>
        <v/>
      </c>
      <c r="D119" t="str">
        <f>IF(ISNUMBER($K119),INDEX(РАБОТЫ!$E$2:$E$1058,$K119),"")</f>
        <v/>
      </c>
      <c r="E119" t="str">
        <f>IF(ISNUMBER($K119),INDEX(РАБОТЫ!$M$2:$M$1058,$K119),"")</f>
        <v/>
      </c>
      <c r="F119" s="7" t="str">
        <f>IF(ISNUMBER($K119),INDEX(РАБОТЫ!$S$2:$S$1058,$K119),"")</f>
        <v/>
      </c>
      <c r="G119" s="7" t="str">
        <f>IF(ISNUMBER($K119),INDEX(РАБОТЫ!$T$2:$T$1058,$K119),"")</f>
        <v/>
      </c>
      <c r="H119" s="7" t="str">
        <f t="shared" si="4"/>
        <v/>
      </c>
      <c r="I119" s="7" t="str">
        <f t="shared" si="5"/>
        <v/>
      </c>
      <c r="J119" s="7" t="str">
        <f t="shared" si="6"/>
        <v/>
      </c>
      <c r="K119" t="str">
        <f>IFERROR(MATCH(98,РАБОТЫ!$X$2:$X$1058,0),"")</f>
        <v/>
      </c>
      <c r="L119" t="str">
        <f>IFERROR(IF(INDEX(РАБОТЫ!$W$2:$W$1058,MATCH(98+1,РАБОТЫ!$X$2:$X$1058,0))=1,INDEX(РАБОТЫ!$V$2:$V$1058,MATCH(98+1,РАБОТЫ!$X$2:$X$1058,0)),""),"")</f>
        <v/>
      </c>
      <c r="M119" t="str">
        <f t="shared" si="7"/>
        <v/>
      </c>
    </row>
    <row r="120" spans="1:13" hidden="1" x14ac:dyDescent="0.3">
      <c r="A120" t="str">
        <f>IF(ISNUMBER($K120),INDEX(РАБОТЫ!$U$2:$U$1058,$K120),"")</f>
        <v/>
      </c>
      <c r="B120" t="str">
        <f>IF(ISNUMBER($K120),INDEX(РАБОТЫ!$A$2:$A$1058,$K120),"")</f>
        <v/>
      </c>
      <c r="C120" s="4" t="str">
        <f>IF($L120&lt;&gt;"",INDEX(РАБОТЫ!$Z$2:$Z$1058,MATCH($L120,РАБОТЫ!$V$2:$V$1058,0)),IF(ISNUMBER($K120),INDEX(РАБОТЫ!$Y$2:$Y$1058,$K120),""))</f>
        <v/>
      </c>
      <c r="D120" t="str">
        <f>IF(ISNUMBER($K120),INDEX(РАБОТЫ!$E$2:$E$1058,$K120),"")</f>
        <v/>
      </c>
      <c r="E120" t="str">
        <f>IF(ISNUMBER($K120),INDEX(РАБОТЫ!$M$2:$M$1058,$K120),"")</f>
        <v/>
      </c>
      <c r="F120" s="7" t="str">
        <f>IF(ISNUMBER($K120),INDEX(РАБОТЫ!$S$2:$S$1058,$K120),"")</f>
        <v/>
      </c>
      <c r="G120" s="7" t="str">
        <f>IF(ISNUMBER($K120),INDEX(РАБОТЫ!$T$2:$T$1058,$K120),"")</f>
        <v/>
      </c>
      <c r="H120" s="7" t="str">
        <f t="shared" si="4"/>
        <v/>
      </c>
      <c r="I120" s="7" t="str">
        <f t="shared" si="5"/>
        <v/>
      </c>
      <c r="J120" s="7" t="str">
        <f t="shared" si="6"/>
        <v/>
      </c>
      <c r="K120" t="str">
        <f>IFERROR(MATCH(99,РАБОТЫ!$X$2:$X$1058,0),"")</f>
        <v/>
      </c>
      <c r="L120" t="str">
        <f>IFERROR(IF(INDEX(РАБОТЫ!$W$2:$W$1058,MATCH(99+1,РАБОТЫ!$X$2:$X$1058,0))=1,INDEX(РАБОТЫ!$V$2:$V$1058,MATCH(99+1,РАБОТЫ!$X$2:$X$1058,0)),""),"")</f>
        <v/>
      </c>
      <c r="M120" t="str">
        <f t="shared" si="7"/>
        <v/>
      </c>
    </row>
    <row r="121" spans="1:13" hidden="1" x14ac:dyDescent="0.3">
      <c r="A121" t="str">
        <f>IF(ISNUMBER($K121),INDEX(РАБОТЫ!$U$2:$U$1058,$K121),"")</f>
        <v/>
      </c>
      <c r="B121" t="str">
        <f>IF(ISNUMBER($K121),INDEX(РАБОТЫ!$A$2:$A$1058,$K121),"")</f>
        <v/>
      </c>
      <c r="C121" s="4" t="str">
        <f>IF($L121&lt;&gt;"",INDEX(РАБОТЫ!$Z$2:$Z$1058,MATCH($L121,РАБОТЫ!$V$2:$V$1058,0)),IF(ISNUMBER($K121),INDEX(РАБОТЫ!$Y$2:$Y$1058,$K121),""))</f>
        <v/>
      </c>
      <c r="D121" t="str">
        <f>IF(ISNUMBER($K121),INDEX(РАБОТЫ!$E$2:$E$1058,$K121),"")</f>
        <v/>
      </c>
      <c r="E121" t="str">
        <f>IF(ISNUMBER($K121),INDEX(РАБОТЫ!$M$2:$M$1058,$K121),"")</f>
        <v/>
      </c>
      <c r="F121" s="7" t="str">
        <f>IF(ISNUMBER($K121),INDEX(РАБОТЫ!$S$2:$S$1058,$K121),"")</f>
        <v/>
      </c>
      <c r="G121" s="7" t="str">
        <f>IF(ISNUMBER($K121),INDEX(РАБОТЫ!$T$2:$T$1058,$K121),"")</f>
        <v/>
      </c>
      <c r="H121" s="7" t="str">
        <f t="shared" si="4"/>
        <v/>
      </c>
      <c r="I121" s="7" t="str">
        <f t="shared" si="5"/>
        <v/>
      </c>
      <c r="J121" s="7" t="str">
        <f t="shared" si="6"/>
        <v/>
      </c>
      <c r="K121" t="str">
        <f>IFERROR(MATCH(100,РАБОТЫ!$X$2:$X$1058,0),"")</f>
        <v/>
      </c>
      <c r="L121" t="str">
        <f>IFERROR(IF(INDEX(РАБОТЫ!$W$2:$W$1058,MATCH(100+1,РАБОТЫ!$X$2:$X$1058,0))=1,INDEX(РАБОТЫ!$V$2:$V$1058,MATCH(100+1,РАБОТЫ!$X$2:$X$1058,0)),""),"")</f>
        <v/>
      </c>
      <c r="M121" t="str">
        <f t="shared" si="7"/>
        <v/>
      </c>
    </row>
    <row r="122" spans="1:13" hidden="1" x14ac:dyDescent="0.3">
      <c r="A122" t="str">
        <f>IF(ISNUMBER($K122),INDEX(РАБОТЫ!$U$2:$U$1058,$K122),"")</f>
        <v/>
      </c>
      <c r="B122" t="str">
        <f>IF(ISNUMBER($K122),INDEX(РАБОТЫ!$A$2:$A$1058,$K122),"")</f>
        <v/>
      </c>
      <c r="C122" s="4" t="str">
        <f>IF($L122&lt;&gt;"",INDEX(РАБОТЫ!$Z$2:$Z$1058,MATCH($L122,РАБОТЫ!$V$2:$V$1058,0)),IF(ISNUMBER($K122),INDEX(РАБОТЫ!$Y$2:$Y$1058,$K122),""))</f>
        <v/>
      </c>
      <c r="D122" t="str">
        <f>IF(ISNUMBER($K122),INDEX(РАБОТЫ!$E$2:$E$1058,$K122),"")</f>
        <v/>
      </c>
      <c r="E122" t="str">
        <f>IF(ISNUMBER($K122),INDEX(РАБОТЫ!$M$2:$M$1058,$K122),"")</f>
        <v/>
      </c>
      <c r="F122" s="7" t="str">
        <f>IF(ISNUMBER($K122),INDEX(РАБОТЫ!$S$2:$S$1058,$K122),"")</f>
        <v/>
      </c>
      <c r="G122" s="7" t="str">
        <f>IF(ISNUMBER($K122),INDEX(РАБОТЫ!$T$2:$T$1058,$K122),"")</f>
        <v/>
      </c>
      <c r="H122" s="7" t="str">
        <f t="shared" si="4"/>
        <v/>
      </c>
      <c r="I122" s="7" t="str">
        <f t="shared" si="5"/>
        <v/>
      </c>
      <c r="J122" s="7" t="str">
        <f t="shared" si="6"/>
        <v/>
      </c>
      <c r="K122" t="str">
        <f>IFERROR(MATCH(101,РАБОТЫ!$X$2:$X$1058,0),"")</f>
        <v/>
      </c>
      <c r="L122" t="str">
        <f>IFERROR(IF(INDEX(РАБОТЫ!$W$2:$W$1058,MATCH(101+1,РАБОТЫ!$X$2:$X$1058,0))=1,INDEX(РАБОТЫ!$V$2:$V$1058,MATCH(101+1,РАБОТЫ!$X$2:$X$1058,0)),""),"")</f>
        <v/>
      </c>
      <c r="M122" t="str">
        <f t="shared" si="7"/>
        <v/>
      </c>
    </row>
    <row r="123" spans="1:13" hidden="1" x14ac:dyDescent="0.3">
      <c r="A123" t="str">
        <f>IF(ISNUMBER($K123),INDEX(РАБОТЫ!$U$2:$U$1058,$K123),"")</f>
        <v/>
      </c>
      <c r="B123" t="str">
        <f>IF(ISNUMBER($K123),INDEX(РАБОТЫ!$A$2:$A$1058,$K123),"")</f>
        <v/>
      </c>
      <c r="C123" s="4" t="str">
        <f>IF($L123&lt;&gt;"",INDEX(РАБОТЫ!$Z$2:$Z$1058,MATCH($L123,РАБОТЫ!$V$2:$V$1058,0)),IF(ISNUMBER($K123),INDEX(РАБОТЫ!$Y$2:$Y$1058,$K123),""))</f>
        <v/>
      </c>
      <c r="D123" t="str">
        <f>IF(ISNUMBER($K123),INDEX(РАБОТЫ!$E$2:$E$1058,$K123),"")</f>
        <v/>
      </c>
      <c r="E123" t="str">
        <f>IF(ISNUMBER($K123),INDEX(РАБОТЫ!$M$2:$M$1058,$K123),"")</f>
        <v/>
      </c>
      <c r="F123" s="7" t="str">
        <f>IF(ISNUMBER($K123),INDEX(РАБОТЫ!$S$2:$S$1058,$K123),"")</f>
        <v/>
      </c>
      <c r="G123" s="7" t="str">
        <f>IF(ISNUMBER($K123),INDEX(РАБОТЫ!$T$2:$T$1058,$K123),"")</f>
        <v/>
      </c>
      <c r="H123" s="7" t="str">
        <f t="shared" si="4"/>
        <v/>
      </c>
      <c r="I123" s="7" t="str">
        <f t="shared" si="5"/>
        <v/>
      </c>
      <c r="J123" s="7" t="str">
        <f t="shared" si="6"/>
        <v/>
      </c>
      <c r="K123" t="str">
        <f>IFERROR(MATCH(102,РАБОТЫ!$X$2:$X$1058,0),"")</f>
        <v/>
      </c>
      <c r="L123" t="str">
        <f>IFERROR(IF(INDEX(РАБОТЫ!$W$2:$W$1058,MATCH(102+1,РАБОТЫ!$X$2:$X$1058,0))=1,INDEX(РАБОТЫ!$V$2:$V$1058,MATCH(102+1,РАБОТЫ!$X$2:$X$1058,0)),""),"")</f>
        <v/>
      </c>
      <c r="M123" t="str">
        <f t="shared" si="7"/>
        <v/>
      </c>
    </row>
    <row r="124" spans="1:13" hidden="1" x14ac:dyDescent="0.3">
      <c r="A124" t="str">
        <f>IF(ISNUMBER($K124),INDEX(РАБОТЫ!$U$2:$U$1058,$K124),"")</f>
        <v/>
      </c>
      <c r="B124" t="str">
        <f>IF(ISNUMBER($K124),INDEX(РАБОТЫ!$A$2:$A$1058,$K124),"")</f>
        <v/>
      </c>
      <c r="C124" s="4" t="str">
        <f>IF($L124&lt;&gt;"",INDEX(РАБОТЫ!$Z$2:$Z$1058,MATCH($L124,РАБОТЫ!$V$2:$V$1058,0)),IF(ISNUMBER($K124),INDEX(РАБОТЫ!$Y$2:$Y$1058,$K124),""))</f>
        <v/>
      </c>
      <c r="D124" t="str">
        <f>IF(ISNUMBER($K124),INDEX(РАБОТЫ!$E$2:$E$1058,$K124),"")</f>
        <v/>
      </c>
      <c r="E124" t="str">
        <f>IF(ISNUMBER($K124),INDEX(РАБОТЫ!$M$2:$M$1058,$K124),"")</f>
        <v/>
      </c>
      <c r="F124" s="7" t="str">
        <f>IF(ISNUMBER($K124),INDEX(РАБОТЫ!$S$2:$S$1058,$K124),"")</f>
        <v/>
      </c>
      <c r="G124" s="7" t="str">
        <f>IF(ISNUMBER($K124),INDEX(РАБОТЫ!$T$2:$T$1058,$K124),"")</f>
        <v/>
      </c>
      <c r="H124" s="7" t="str">
        <f t="shared" si="4"/>
        <v/>
      </c>
      <c r="I124" s="7" t="str">
        <f t="shared" si="5"/>
        <v/>
      </c>
      <c r="J124" s="7" t="str">
        <f t="shared" si="6"/>
        <v/>
      </c>
      <c r="K124" t="str">
        <f>IFERROR(MATCH(103,РАБОТЫ!$X$2:$X$1058,0),"")</f>
        <v/>
      </c>
      <c r="L124" t="str">
        <f>IFERROR(IF(INDEX(РАБОТЫ!$W$2:$W$1058,MATCH(103+1,РАБОТЫ!$X$2:$X$1058,0))=1,INDEX(РАБОТЫ!$V$2:$V$1058,MATCH(103+1,РАБОТЫ!$X$2:$X$1058,0)),""),"")</f>
        <v/>
      </c>
      <c r="M124" t="str">
        <f t="shared" si="7"/>
        <v/>
      </c>
    </row>
    <row r="125" spans="1:13" hidden="1" x14ac:dyDescent="0.3">
      <c r="A125" t="str">
        <f>IF(ISNUMBER($K125),INDEX(РАБОТЫ!$U$2:$U$1058,$K125),"")</f>
        <v/>
      </c>
      <c r="B125" t="str">
        <f>IF(ISNUMBER($K125),INDEX(РАБОТЫ!$A$2:$A$1058,$K125),"")</f>
        <v/>
      </c>
      <c r="C125" s="4" t="str">
        <f>IF($L125&lt;&gt;"",INDEX(РАБОТЫ!$Z$2:$Z$1058,MATCH($L125,РАБОТЫ!$V$2:$V$1058,0)),IF(ISNUMBER($K125),INDEX(РАБОТЫ!$Y$2:$Y$1058,$K125),""))</f>
        <v/>
      </c>
      <c r="D125" t="str">
        <f>IF(ISNUMBER($K125),INDEX(РАБОТЫ!$E$2:$E$1058,$K125),"")</f>
        <v/>
      </c>
      <c r="E125" t="str">
        <f>IF(ISNUMBER($K125),INDEX(РАБОТЫ!$M$2:$M$1058,$K125),"")</f>
        <v/>
      </c>
      <c r="F125" s="7" t="str">
        <f>IF(ISNUMBER($K125),INDEX(РАБОТЫ!$S$2:$S$1058,$K125),"")</f>
        <v/>
      </c>
      <c r="G125" s="7" t="str">
        <f>IF(ISNUMBER($K125),INDEX(РАБОТЫ!$T$2:$T$1058,$K125),"")</f>
        <v/>
      </c>
      <c r="H125" s="7" t="str">
        <f t="shared" si="4"/>
        <v/>
      </c>
      <c r="I125" s="7" t="str">
        <f t="shared" si="5"/>
        <v/>
      </c>
      <c r="J125" s="7" t="str">
        <f t="shared" si="6"/>
        <v/>
      </c>
      <c r="K125" t="str">
        <f>IFERROR(MATCH(104,РАБОТЫ!$X$2:$X$1058,0),"")</f>
        <v/>
      </c>
      <c r="L125" t="str">
        <f>IFERROR(IF(INDEX(РАБОТЫ!$W$2:$W$1058,MATCH(104+1,РАБОТЫ!$X$2:$X$1058,0))=1,INDEX(РАБОТЫ!$V$2:$V$1058,MATCH(104+1,РАБОТЫ!$X$2:$X$1058,0)),""),"")</f>
        <v/>
      </c>
      <c r="M125" t="str">
        <f t="shared" si="7"/>
        <v/>
      </c>
    </row>
    <row r="126" spans="1:13" hidden="1" x14ac:dyDescent="0.3">
      <c r="A126" t="str">
        <f>IF(ISNUMBER($K126),INDEX(РАБОТЫ!$U$2:$U$1058,$K126),"")</f>
        <v/>
      </c>
      <c r="B126" t="str">
        <f>IF(ISNUMBER($K126),INDEX(РАБОТЫ!$A$2:$A$1058,$K126),"")</f>
        <v/>
      </c>
      <c r="C126" s="4" t="str">
        <f>IF($L126&lt;&gt;"",INDEX(РАБОТЫ!$Z$2:$Z$1058,MATCH($L126,РАБОТЫ!$V$2:$V$1058,0)),IF(ISNUMBER($K126),INDEX(РАБОТЫ!$Y$2:$Y$1058,$K126),""))</f>
        <v/>
      </c>
      <c r="D126" t="str">
        <f>IF(ISNUMBER($K126),INDEX(РАБОТЫ!$E$2:$E$1058,$K126),"")</f>
        <v/>
      </c>
      <c r="E126" t="str">
        <f>IF(ISNUMBER($K126),INDEX(РАБОТЫ!$M$2:$M$1058,$K126),"")</f>
        <v/>
      </c>
      <c r="F126" s="7" t="str">
        <f>IF(ISNUMBER($K126),INDEX(РАБОТЫ!$S$2:$S$1058,$K126),"")</f>
        <v/>
      </c>
      <c r="G126" s="7" t="str">
        <f>IF(ISNUMBER($K126),INDEX(РАБОТЫ!$T$2:$T$1058,$K126),"")</f>
        <v/>
      </c>
      <c r="H126" s="7" t="str">
        <f t="shared" si="4"/>
        <v/>
      </c>
      <c r="I126" s="7" t="str">
        <f t="shared" si="5"/>
        <v/>
      </c>
      <c r="J126" s="7" t="str">
        <f t="shared" si="6"/>
        <v/>
      </c>
      <c r="K126" t="str">
        <f>IFERROR(MATCH(105,РАБОТЫ!$X$2:$X$1058,0),"")</f>
        <v/>
      </c>
      <c r="L126" t="str">
        <f>IFERROR(IF(INDEX(РАБОТЫ!$W$2:$W$1058,MATCH(105+1,РАБОТЫ!$X$2:$X$1058,0))=1,INDEX(РАБОТЫ!$V$2:$V$1058,MATCH(105+1,РАБОТЫ!$X$2:$X$1058,0)),""),"")</f>
        <v/>
      </c>
      <c r="M126" t="str">
        <f t="shared" si="7"/>
        <v/>
      </c>
    </row>
    <row r="127" spans="1:13" hidden="1" x14ac:dyDescent="0.3">
      <c r="A127" t="str">
        <f>IF(ISNUMBER($K127),INDEX(РАБОТЫ!$U$2:$U$1058,$K127),"")</f>
        <v/>
      </c>
      <c r="B127" t="str">
        <f>IF(ISNUMBER($K127),INDEX(РАБОТЫ!$A$2:$A$1058,$K127),"")</f>
        <v/>
      </c>
      <c r="C127" s="4" t="str">
        <f>IF($L127&lt;&gt;"",INDEX(РАБОТЫ!$Z$2:$Z$1058,MATCH($L127,РАБОТЫ!$V$2:$V$1058,0)),IF(ISNUMBER($K127),INDEX(РАБОТЫ!$Y$2:$Y$1058,$K127),""))</f>
        <v/>
      </c>
      <c r="D127" t="str">
        <f>IF(ISNUMBER($K127),INDEX(РАБОТЫ!$E$2:$E$1058,$K127),"")</f>
        <v/>
      </c>
      <c r="E127" t="str">
        <f>IF(ISNUMBER($K127),INDEX(РАБОТЫ!$M$2:$M$1058,$K127),"")</f>
        <v/>
      </c>
      <c r="F127" s="7" t="str">
        <f>IF(ISNUMBER($K127),INDEX(РАБОТЫ!$S$2:$S$1058,$K127),"")</f>
        <v/>
      </c>
      <c r="G127" s="7" t="str">
        <f>IF(ISNUMBER($K127),INDEX(РАБОТЫ!$T$2:$T$1058,$K127),"")</f>
        <v/>
      </c>
      <c r="H127" s="7" t="str">
        <f t="shared" si="4"/>
        <v/>
      </c>
      <c r="I127" s="7" t="str">
        <f t="shared" si="5"/>
        <v/>
      </c>
      <c r="J127" s="7" t="str">
        <f t="shared" si="6"/>
        <v/>
      </c>
      <c r="K127" t="str">
        <f>IFERROR(MATCH(106,РАБОТЫ!$X$2:$X$1058,0),"")</f>
        <v/>
      </c>
      <c r="L127" t="str">
        <f>IFERROR(IF(INDEX(РАБОТЫ!$W$2:$W$1058,MATCH(106+1,РАБОТЫ!$X$2:$X$1058,0))=1,INDEX(РАБОТЫ!$V$2:$V$1058,MATCH(106+1,РАБОТЫ!$X$2:$X$1058,0)),""),"")</f>
        <v/>
      </c>
      <c r="M127" t="str">
        <f t="shared" si="7"/>
        <v/>
      </c>
    </row>
    <row r="128" spans="1:13" hidden="1" x14ac:dyDescent="0.3">
      <c r="A128" t="str">
        <f>IF(ISNUMBER($K128),INDEX(РАБОТЫ!$U$2:$U$1058,$K128),"")</f>
        <v/>
      </c>
      <c r="B128" t="str">
        <f>IF(ISNUMBER($K128),INDEX(РАБОТЫ!$A$2:$A$1058,$K128),"")</f>
        <v/>
      </c>
      <c r="C128" s="4" t="str">
        <f>IF($L128&lt;&gt;"",INDEX(РАБОТЫ!$Z$2:$Z$1058,MATCH($L128,РАБОТЫ!$V$2:$V$1058,0)),IF(ISNUMBER($K128),INDEX(РАБОТЫ!$Y$2:$Y$1058,$K128),""))</f>
        <v/>
      </c>
      <c r="D128" t="str">
        <f>IF(ISNUMBER($K128),INDEX(РАБОТЫ!$E$2:$E$1058,$K128),"")</f>
        <v/>
      </c>
      <c r="E128" t="str">
        <f>IF(ISNUMBER($K128),INDEX(РАБОТЫ!$M$2:$M$1058,$K128),"")</f>
        <v/>
      </c>
      <c r="F128" s="7" t="str">
        <f>IF(ISNUMBER($K128),INDEX(РАБОТЫ!$S$2:$S$1058,$K128),"")</f>
        <v/>
      </c>
      <c r="G128" s="7" t="str">
        <f>IF(ISNUMBER($K128),INDEX(РАБОТЫ!$T$2:$T$1058,$K128),"")</f>
        <v/>
      </c>
      <c r="H128" s="7" t="str">
        <f t="shared" si="4"/>
        <v/>
      </c>
      <c r="I128" s="7" t="str">
        <f t="shared" si="5"/>
        <v/>
      </c>
      <c r="J128" s="7" t="str">
        <f t="shared" si="6"/>
        <v/>
      </c>
      <c r="K128" t="str">
        <f>IFERROR(MATCH(107,РАБОТЫ!$X$2:$X$1058,0),"")</f>
        <v/>
      </c>
      <c r="L128" t="str">
        <f>IFERROR(IF(INDEX(РАБОТЫ!$W$2:$W$1058,MATCH(107+1,РАБОТЫ!$X$2:$X$1058,0))=1,INDEX(РАБОТЫ!$V$2:$V$1058,MATCH(107+1,РАБОТЫ!$X$2:$X$1058,0)),""),"")</f>
        <v/>
      </c>
      <c r="M128" t="str">
        <f t="shared" si="7"/>
        <v/>
      </c>
    </row>
    <row r="129" spans="1:13" hidden="1" x14ac:dyDescent="0.3">
      <c r="A129" t="str">
        <f>IF(ISNUMBER($K129),INDEX(РАБОТЫ!$U$2:$U$1058,$K129),"")</f>
        <v/>
      </c>
      <c r="B129" t="str">
        <f>IF(ISNUMBER($K129),INDEX(РАБОТЫ!$A$2:$A$1058,$K129),"")</f>
        <v/>
      </c>
      <c r="C129" s="4" t="str">
        <f>IF($L129&lt;&gt;"",INDEX(РАБОТЫ!$Z$2:$Z$1058,MATCH($L129,РАБОТЫ!$V$2:$V$1058,0)),IF(ISNUMBER($K129),INDEX(РАБОТЫ!$Y$2:$Y$1058,$K129),""))</f>
        <v/>
      </c>
      <c r="D129" t="str">
        <f>IF(ISNUMBER($K129),INDEX(РАБОТЫ!$E$2:$E$1058,$K129),"")</f>
        <v/>
      </c>
      <c r="E129" t="str">
        <f>IF(ISNUMBER($K129),INDEX(РАБОТЫ!$M$2:$M$1058,$K129),"")</f>
        <v/>
      </c>
      <c r="F129" s="7" t="str">
        <f>IF(ISNUMBER($K129),INDEX(РАБОТЫ!$S$2:$S$1058,$K129),"")</f>
        <v/>
      </c>
      <c r="G129" s="7" t="str">
        <f>IF(ISNUMBER($K129),INDEX(РАБОТЫ!$T$2:$T$1058,$K129),"")</f>
        <v/>
      </c>
      <c r="H129" s="7" t="str">
        <f t="shared" si="4"/>
        <v/>
      </c>
      <c r="I129" s="7" t="str">
        <f t="shared" si="5"/>
        <v/>
      </c>
      <c r="J129" s="7" t="str">
        <f t="shared" si="6"/>
        <v/>
      </c>
      <c r="K129" t="str">
        <f>IFERROR(MATCH(108,РАБОТЫ!$X$2:$X$1058,0),"")</f>
        <v/>
      </c>
      <c r="L129" t="str">
        <f>IFERROR(IF(INDEX(РАБОТЫ!$W$2:$W$1058,MATCH(108+1,РАБОТЫ!$X$2:$X$1058,0))=1,INDEX(РАБОТЫ!$V$2:$V$1058,MATCH(108+1,РАБОТЫ!$X$2:$X$1058,0)),""),"")</f>
        <v/>
      </c>
      <c r="M129" t="str">
        <f t="shared" si="7"/>
        <v/>
      </c>
    </row>
    <row r="130" spans="1:13" hidden="1" x14ac:dyDescent="0.3">
      <c r="A130" t="str">
        <f>IF(ISNUMBER($K130),INDEX(РАБОТЫ!$U$2:$U$1058,$K130),"")</f>
        <v/>
      </c>
      <c r="B130" t="str">
        <f>IF(ISNUMBER($K130),INDEX(РАБОТЫ!$A$2:$A$1058,$K130),"")</f>
        <v/>
      </c>
      <c r="C130" s="4" t="str">
        <f>IF($L130&lt;&gt;"",INDEX(РАБОТЫ!$Z$2:$Z$1058,MATCH($L130,РАБОТЫ!$V$2:$V$1058,0)),IF(ISNUMBER($K130),INDEX(РАБОТЫ!$Y$2:$Y$1058,$K130),""))</f>
        <v/>
      </c>
      <c r="D130" t="str">
        <f>IF(ISNUMBER($K130),INDEX(РАБОТЫ!$E$2:$E$1058,$K130),"")</f>
        <v/>
      </c>
      <c r="E130" t="str">
        <f>IF(ISNUMBER($K130),INDEX(РАБОТЫ!$M$2:$M$1058,$K130),"")</f>
        <v/>
      </c>
      <c r="F130" s="7" t="str">
        <f>IF(ISNUMBER($K130),INDEX(РАБОТЫ!$S$2:$S$1058,$K130),"")</f>
        <v/>
      </c>
      <c r="G130" s="7" t="str">
        <f>IF(ISNUMBER($K130),INDEX(РАБОТЫ!$T$2:$T$1058,$K130),"")</f>
        <v/>
      </c>
      <c r="H130" s="7" t="str">
        <f t="shared" si="4"/>
        <v/>
      </c>
      <c r="I130" s="7" t="str">
        <f t="shared" si="5"/>
        <v/>
      </c>
      <c r="J130" s="7" t="str">
        <f t="shared" si="6"/>
        <v/>
      </c>
      <c r="K130" t="str">
        <f>IFERROR(MATCH(109,РАБОТЫ!$X$2:$X$1058,0),"")</f>
        <v/>
      </c>
      <c r="L130" t="str">
        <f>IFERROR(IF(INDEX(РАБОТЫ!$W$2:$W$1058,MATCH(109+1,РАБОТЫ!$X$2:$X$1058,0))=1,INDEX(РАБОТЫ!$V$2:$V$1058,MATCH(109+1,РАБОТЫ!$X$2:$X$1058,0)),""),"")</f>
        <v/>
      </c>
      <c r="M130" t="str">
        <f t="shared" si="7"/>
        <v/>
      </c>
    </row>
    <row r="131" spans="1:13" hidden="1" x14ac:dyDescent="0.3">
      <c r="A131" t="str">
        <f>IF(ISNUMBER($K131),INDEX(РАБОТЫ!$U$2:$U$1058,$K131),"")</f>
        <v/>
      </c>
      <c r="B131" t="str">
        <f>IF(ISNUMBER($K131),INDEX(РАБОТЫ!$A$2:$A$1058,$K131),"")</f>
        <v/>
      </c>
      <c r="C131" s="4" t="str">
        <f>IF($L131&lt;&gt;"",INDEX(РАБОТЫ!$Z$2:$Z$1058,MATCH($L131,РАБОТЫ!$V$2:$V$1058,0)),IF(ISNUMBER($K131),INDEX(РАБОТЫ!$Y$2:$Y$1058,$K131),""))</f>
        <v/>
      </c>
      <c r="D131" t="str">
        <f>IF(ISNUMBER($K131),INDEX(РАБОТЫ!$E$2:$E$1058,$K131),"")</f>
        <v/>
      </c>
      <c r="E131" t="str">
        <f>IF(ISNUMBER($K131),INDEX(РАБОТЫ!$M$2:$M$1058,$K131),"")</f>
        <v/>
      </c>
      <c r="F131" s="7" t="str">
        <f>IF(ISNUMBER($K131),INDEX(РАБОТЫ!$S$2:$S$1058,$K131),"")</f>
        <v/>
      </c>
      <c r="G131" s="7" t="str">
        <f>IF(ISNUMBER($K131),INDEX(РАБОТЫ!$T$2:$T$1058,$K131),"")</f>
        <v/>
      </c>
      <c r="H131" s="7" t="str">
        <f t="shared" si="4"/>
        <v/>
      </c>
      <c r="I131" s="7" t="str">
        <f t="shared" si="5"/>
        <v/>
      </c>
      <c r="J131" s="7" t="str">
        <f t="shared" si="6"/>
        <v/>
      </c>
      <c r="K131" t="str">
        <f>IFERROR(MATCH(110,РАБОТЫ!$X$2:$X$1058,0),"")</f>
        <v/>
      </c>
      <c r="L131" t="str">
        <f>IFERROR(IF(INDEX(РАБОТЫ!$W$2:$W$1058,MATCH(110+1,РАБОТЫ!$X$2:$X$1058,0))=1,INDEX(РАБОТЫ!$V$2:$V$1058,MATCH(110+1,РАБОТЫ!$X$2:$X$1058,0)),""),"")</f>
        <v/>
      </c>
      <c r="M131" t="str">
        <f t="shared" si="7"/>
        <v/>
      </c>
    </row>
    <row r="132" spans="1:13" hidden="1" x14ac:dyDescent="0.3">
      <c r="A132" t="str">
        <f>IF(ISNUMBER($K132),INDEX(РАБОТЫ!$U$2:$U$1058,$K132),"")</f>
        <v/>
      </c>
      <c r="B132" t="str">
        <f>IF(ISNUMBER($K132),INDEX(РАБОТЫ!$A$2:$A$1058,$K132),"")</f>
        <v/>
      </c>
      <c r="C132" s="4" t="str">
        <f>IF($L132&lt;&gt;"",INDEX(РАБОТЫ!$Z$2:$Z$1058,MATCH($L132,РАБОТЫ!$V$2:$V$1058,0)),IF(ISNUMBER($K132),INDEX(РАБОТЫ!$Y$2:$Y$1058,$K132),""))</f>
        <v/>
      </c>
      <c r="D132" t="str">
        <f>IF(ISNUMBER($K132),INDEX(РАБОТЫ!$E$2:$E$1058,$K132),"")</f>
        <v/>
      </c>
      <c r="E132" t="str">
        <f>IF(ISNUMBER($K132),INDEX(РАБОТЫ!$M$2:$M$1058,$K132),"")</f>
        <v/>
      </c>
      <c r="F132" s="7" t="str">
        <f>IF(ISNUMBER($K132),INDEX(РАБОТЫ!$S$2:$S$1058,$K132),"")</f>
        <v/>
      </c>
      <c r="G132" s="7" t="str">
        <f>IF(ISNUMBER($K132),INDEX(РАБОТЫ!$T$2:$T$1058,$K132),"")</f>
        <v/>
      </c>
      <c r="H132" s="7" t="str">
        <f t="shared" si="4"/>
        <v/>
      </c>
      <c r="I132" s="7" t="str">
        <f t="shared" si="5"/>
        <v/>
      </c>
      <c r="J132" s="7" t="str">
        <f t="shared" si="6"/>
        <v/>
      </c>
      <c r="K132" t="str">
        <f>IFERROR(MATCH(111,РАБОТЫ!$X$2:$X$1058,0),"")</f>
        <v/>
      </c>
      <c r="L132" t="str">
        <f>IFERROR(IF(INDEX(РАБОТЫ!$W$2:$W$1058,MATCH(111+1,РАБОТЫ!$X$2:$X$1058,0))=1,INDEX(РАБОТЫ!$V$2:$V$1058,MATCH(111+1,РАБОТЫ!$X$2:$X$1058,0)),""),"")</f>
        <v/>
      </c>
      <c r="M132" t="str">
        <f t="shared" si="7"/>
        <v/>
      </c>
    </row>
    <row r="133" spans="1:13" hidden="1" x14ac:dyDescent="0.3">
      <c r="A133" t="str">
        <f>IF(ISNUMBER($K133),INDEX(РАБОТЫ!$U$2:$U$1058,$K133),"")</f>
        <v/>
      </c>
      <c r="B133" t="str">
        <f>IF(ISNUMBER($K133),INDEX(РАБОТЫ!$A$2:$A$1058,$K133),"")</f>
        <v/>
      </c>
      <c r="C133" s="4" t="str">
        <f>IF($L133&lt;&gt;"",INDEX(РАБОТЫ!$Z$2:$Z$1058,MATCH($L133,РАБОТЫ!$V$2:$V$1058,0)),IF(ISNUMBER($K133),INDEX(РАБОТЫ!$Y$2:$Y$1058,$K133),""))</f>
        <v/>
      </c>
      <c r="D133" t="str">
        <f>IF(ISNUMBER($K133),INDEX(РАБОТЫ!$E$2:$E$1058,$K133),"")</f>
        <v/>
      </c>
      <c r="E133" t="str">
        <f>IF(ISNUMBER($K133),INDEX(РАБОТЫ!$M$2:$M$1058,$K133),"")</f>
        <v/>
      </c>
      <c r="F133" s="7" t="str">
        <f>IF(ISNUMBER($K133),INDEX(РАБОТЫ!$S$2:$S$1058,$K133),"")</f>
        <v/>
      </c>
      <c r="G133" s="7" t="str">
        <f>IF(ISNUMBER($K133),INDEX(РАБОТЫ!$T$2:$T$1058,$K133),"")</f>
        <v/>
      </c>
      <c r="H133" s="7" t="str">
        <f t="shared" si="4"/>
        <v/>
      </c>
      <c r="I133" s="7" t="str">
        <f t="shared" si="5"/>
        <v/>
      </c>
      <c r="J133" s="7" t="str">
        <f t="shared" si="6"/>
        <v/>
      </c>
      <c r="K133" t="str">
        <f>IFERROR(MATCH(112,РАБОТЫ!$X$2:$X$1058,0),"")</f>
        <v/>
      </c>
      <c r="L133" t="str">
        <f>IFERROR(IF(INDEX(РАБОТЫ!$W$2:$W$1058,MATCH(112+1,РАБОТЫ!$X$2:$X$1058,0))=1,INDEX(РАБОТЫ!$V$2:$V$1058,MATCH(112+1,РАБОТЫ!$X$2:$X$1058,0)),""),"")</f>
        <v/>
      </c>
      <c r="M133" t="str">
        <f t="shared" si="7"/>
        <v/>
      </c>
    </row>
    <row r="134" spans="1:13" hidden="1" x14ac:dyDescent="0.3">
      <c r="A134" t="str">
        <f>IF(ISNUMBER($K134),INDEX(РАБОТЫ!$U$2:$U$1058,$K134),"")</f>
        <v/>
      </c>
      <c r="B134" t="str">
        <f>IF(ISNUMBER($K134),INDEX(РАБОТЫ!$A$2:$A$1058,$K134),"")</f>
        <v/>
      </c>
      <c r="C134" s="4" t="str">
        <f>IF($L134&lt;&gt;"",INDEX(РАБОТЫ!$Z$2:$Z$1058,MATCH($L134,РАБОТЫ!$V$2:$V$1058,0)),IF(ISNUMBER($K134),INDEX(РАБОТЫ!$Y$2:$Y$1058,$K134),""))</f>
        <v/>
      </c>
      <c r="D134" t="str">
        <f>IF(ISNUMBER($K134),INDEX(РАБОТЫ!$E$2:$E$1058,$K134),"")</f>
        <v/>
      </c>
      <c r="E134" t="str">
        <f>IF(ISNUMBER($K134),INDEX(РАБОТЫ!$M$2:$M$1058,$K134),"")</f>
        <v/>
      </c>
      <c r="F134" s="7" t="str">
        <f>IF(ISNUMBER($K134),INDEX(РАБОТЫ!$S$2:$S$1058,$K134),"")</f>
        <v/>
      </c>
      <c r="G134" s="7" t="str">
        <f>IF(ISNUMBER($K134),INDEX(РАБОТЫ!$T$2:$T$1058,$K134),"")</f>
        <v/>
      </c>
      <c r="H134" s="7" t="str">
        <f t="shared" si="4"/>
        <v/>
      </c>
      <c r="I134" s="7" t="str">
        <f t="shared" si="5"/>
        <v/>
      </c>
      <c r="J134" s="7" t="str">
        <f t="shared" si="6"/>
        <v/>
      </c>
      <c r="K134" t="str">
        <f>IFERROR(MATCH(113,РАБОТЫ!$X$2:$X$1058,0),"")</f>
        <v/>
      </c>
      <c r="L134" t="str">
        <f>IFERROR(IF(INDEX(РАБОТЫ!$W$2:$W$1058,MATCH(113+1,РАБОТЫ!$X$2:$X$1058,0))=1,INDEX(РАБОТЫ!$V$2:$V$1058,MATCH(113+1,РАБОТЫ!$X$2:$X$1058,0)),""),"")</f>
        <v/>
      </c>
      <c r="M134" t="str">
        <f t="shared" si="7"/>
        <v/>
      </c>
    </row>
    <row r="135" spans="1:13" hidden="1" x14ac:dyDescent="0.3">
      <c r="A135" t="str">
        <f>IF(ISNUMBER($K135),INDEX(РАБОТЫ!$U$2:$U$1058,$K135),"")</f>
        <v/>
      </c>
      <c r="B135" t="str">
        <f>IF(ISNUMBER($K135),INDEX(РАБОТЫ!$A$2:$A$1058,$K135),"")</f>
        <v/>
      </c>
      <c r="C135" s="4" t="str">
        <f>IF($L135&lt;&gt;"",INDEX(РАБОТЫ!$Z$2:$Z$1058,MATCH($L135,РАБОТЫ!$V$2:$V$1058,0)),IF(ISNUMBER($K135),INDEX(РАБОТЫ!$Y$2:$Y$1058,$K135),""))</f>
        <v/>
      </c>
      <c r="D135" t="str">
        <f>IF(ISNUMBER($K135),INDEX(РАБОТЫ!$E$2:$E$1058,$K135),"")</f>
        <v/>
      </c>
      <c r="E135" t="str">
        <f>IF(ISNUMBER($K135),INDEX(РАБОТЫ!$M$2:$M$1058,$K135),"")</f>
        <v/>
      </c>
      <c r="F135" s="7" t="str">
        <f>IF(ISNUMBER($K135),INDEX(РАБОТЫ!$S$2:$S$1058,$K135),"")</f>
        <v/>
      </c>
      <c r="G135" s="7" t="str">
        <f>IF(ISNUMBER($K135),INDEX(РАБОТЫ!$T$2:$T$1058,$K135),"")</f>
        <v/>
      </c>
      <c r="H135" s="7" t="str">
        <f t="shared" si="4"/>
        <v/>
      </c>
      <c r="I135" s="7" t="str">
        <f t="shared" si="5"/>
        <v/>
      </c>
      <c r="J135" s="7" t="str">
        <f t="shared" si="6"/>
        <v/>
      </c>
      <c r="K135" t="str">
        <f>IFERROR(MATCH(114,РАБОТЫ!$X$2:$X$1058,0),"")</f>
        <v/>
      </c>
      <c r="L135" t="str">
        <f>IFERROR(IF(INDEX(РАБОТЫ!$W$2:$W$1058,MATCH(114+1,РАБОТЫ!$X$2:$X$1058,0))=1,INDEX(РАБОТЫ!$V$2:$V$1058,MATCH(114+1,РАБОТЫ!$X$2:$X$1058,0)),""),"")</f>
        <v/>
      </c>
      <c r="M135" t="str">
        <f t="shared" si="7"/>
        <v/>
      </c>
    </row>
    <row r="136" spans="1:13" hidden="1" x14ac:dyDescent="0.3">
      <c r="A136" t="str">
        <f>IF(ISNUMBER($K136),INDEX(РАБОТЫ!$U$2:$U$1058,$K136),"")</f>
        <v/>
      </c>
      <c r="B136" t="str">
        <f>IF(ISNUMBER($K136),INDEX(РАБОТЫ!$A$2:$A$1058,$K136),"")</f>
        <v/>
      </c>
      <c r="C136" s="4" t="str">
        <f>IF($L136&lt;&gt;"",INDEX(РАБОТЫ!$Z$2:$Z$1058,MATCH($L136,РАБОТЫ!$V$2:$V$1058,0)),IF(ISNUMBER($K136),INDEX(РАБОТЫ!$Y$2:$Y$1058,$K136),""))</f>
        <v/>
      </c>
      <c r="D136" t="str">
        <f>IF(ISNUMBER($K136),INDEX(РАБОТЫ!$E$2:$E$1058,$K136),"")</f>
        <v/>
      </c>
      <c r="E136" t="str">
        <f>IF(ISNUMBER($K136),INDEX(РАБОТЫ!$M$2:$M$1058,$K136),"")</f>
        <v/>
      </c>
      <c r="F136" s="7" t="str">
        <f>IF(ISNUMBER($K136),INDEX(РАБОТЫ!$S$2:$S$1058,$K136),"")</f>
        <v/>
      </c>
      <c r="G136" s="7" t="str">
        <f>IF(ISNUMBER($K136),INDEX(РАБОТЫ!$T$2:$T$1058,$K136),"")</f>
        <v/>
      </c>
      <c r="H136" s="7" t="str">
        <f t="shared" si="4"/>
        <v/>
      </c>
      <c r="I136" s="7" t="str">
        <f t="shared" si="5"/>
        <v/>
      </c>
      <c r="J136" s="7" t="str">
        <f t="shared" si="6"/>
        <v/>
      </c>
      <c r="K136" t="str">
        <f>IFERROR(MATCH(115,РАБОТЫ!$X$2:$X$1058,0),"")</f>
        <v/>
      </c>
      <c r="L136" t="str">
        <f>IFERROR(IF(INDEX(РАБОТЫ!$W$2:$W$1058,MATCH(115+1,РАБОТЫ!$X$2:$X$1058,0))=1,INDEX(РАБОТЫ!$V$2:$V$1058,MATCH(115+1,РАБОТЫ!$X$2:$X$1058,0)),""),"")</f>
        <v/>
      </c>
      <c r="M136" t="str">
        <f t="shared" si="7"/>
        <v/>
      </c>
    </row>
    <row r="137" spans="1:13" hidden="1" x14ac:dyDescent="0.3">
      <c r="A137" t="str">
        <f>IF(ISNUMBER($K137),INDEX(РАБОТЫ!$U$2:$U$1058,$K137),"")</f>
        <v/>
      </c>
      <c r="B137" t="str">
        <f>IF(ISNUMBER($K137),INDEX(РАБОТЫ!$A$2:$A$1058,$K137),"")</f>
        <v/>
      </c>
      <c r="C137" s="4" t="str">
        <f>IF($L137&lt;&gt;"",INDEX(РАБОТЫ!$Z$2:$Z$1058,MATCH($L137,РАБОТЫ!$V$2:$V$1058,0)),IF(ISNUMBER($K137),INDEX(РАБОТЫ!$Y$2:$Y$1058,$K137),""))</f>
        <v/>
      </c>
      <c r="D137" t="str">
        <f>IF(ISNUMBER($K137),INDEX(РАБОТЫ!$E$2:$E$1058,$K137),"")</f>
        <v/>
      </c>
      <c r="E137" t="str">
        <f>IF(ISNUMBER($K137),INDEX(РАБОТЫ!$M$2:$M$1058,$K137),"")</f>
        <v/>
      </c>
      <c r="F137" s="7" t="str">
        <f>IF(ISNUMBER($K137),INDEX(РАБОТЫ!$S$2:$S$1058,$K137),"")</f>
        <v/>
      </c>
      <c r="G137" s="7" t="str">
        <f>IF(ISNUMBER($K137),INDEX(РАБОТЫ!$T$2:$T$1058,$K137),"")</f>
        <v/>
      </c>
      <c r="H137" s="7" t="str">
        <f t="shared" si="4"/>
        <v/>
      </c>
      <c r="I137" s="7" t="str">
        <f t="shared" si="5"/>
        <v/>
      </c>
      <c r="J137" s="7" t="str">
        <f t="shared" si="6"/>
        <v/>
      </c>
      <c r="K137" t="str">
        <f>IFERROR(MATCH(116,РАБОТЫ!$X$2:$X$1058,0),"")</f>
        <v/>
      </c>
      <c r="L137" t="str">
        <f>IFERROR(IF(INDEX(РАБОТЫ!$W$2:$W$1058,MATCH(116+1,РАБОТЫ!$X$2:$X$1058,0))=1,INDEX(РАБОТЫ!$V$2:$V$1058,MATCH(116+1,РАБОТЫ!$X$2:$X$1058,0)),""),"")</f>
        <v/>
      </c>
      <c r="M137" t="str">
        <f t="shared" si="7"/>
        <v/>
      </c>
    </row>
    <row r="138" spans="1:13" hidden="1" x14ac:dyDescent="0.3">
      <c r="A138" t="str">
        <f>IF(ISNUMBER($K138),INDEX(РАБОТЫ!$U$2:$U$1058,$K138),"")</f>
        <v/>
      </c>
      <c r="B138" t="str">
        <f>IF(ISNUMBER($K138),INDEX(РАБОТЫ!$A$2:$A$1058,$K138),"")</f>
        <v/>
      </c>
      <c r="C138" s="4" t="str">
        <f>IF($L138&lt;&gt;"",INDEX(РАБОТЫ!$Z$2:$Z$1058,MATCH($L138,РАБОТЫ!$V$2:$V$1058,0)),IF(ISNUMBER($K138),INDEX(РАБОТЫ!$Y$2:$Y$1058,$K138),""))</f>
        <v/>
      </c>
      <c r="D138" t="str">
        <f>IF(ISNUMBER($K138),INDEX(РАБОТЫ!$E$2:$E$1058,$K138),"")</f>
        <v/>
      </c>
      <c r="E138" t="str">
        <f>IF(ISNUMBER($K138),INDEX(РАБОТЫ!$M$2:$M$1058,$K138),"")</f>
        <v/>
      </c>
      <c r="F138" s="7" t="str">
        <f>IF(ISNUMBER($K138),INDEX(РАБОТЫ!$S$2:$S$1058,$K138),"")</f>
        <v/>
      </c>
      <c r="G138" s="7" t="str">
        <f>IF(ISNUMBER($K138),INDEX(РАБОТЫ!$T$2:$T$1058,$K138),"")</f>
        <v/>
      </c>
      <c r="H138" s="7" t="str">
        <f t="shared" si="4"/>
        <v/>
      </c>
      <c r="I138" s="7" t="str">
        <f t="shared" si="5"/>
        <v/>
      </c>
      <c r="J138" s="7" t="str">
        <f t="shared" si="6"/>
        <v/>
      </c>
      <c r="K138" t="str">
        <f>IFERROR(MATCH(117,РАБОТЫ!$X$2:$X$1058,0),"")</f>
        <v/>
      </c>
      <c r="L138" t="str">
        <f>IFERROR(IF(INDEX(РАБОТЫ!$W$2:$W$1058,MATCH(117+1,РАБОТЫ!$X$2:$X$1058,0))=1,INDEX(РАБОТЫ!$V$2:$V$1058,MATCH(117+1,РАБОТЫ!$X$2:$X$1058,0)),""),"")</f>
        <v/>
      </c>
      <c r="M138" t="str">
        <f t="shared" si="7"/>
        <v/>
      </c>
    </row>
    <row r="139" spans="1:13" hidden="1" x14ac:dyDescent="0.3">
      <c r="A139" t="str">
        <f>IF(ISNUMBER($K139),INDEX(РАБОТЫ!$U$2:$U$1058,$K139),"")</f>
        <v/>
      </c>
      <c r="B139" t="str">
        <f>IF(ISNUMBER($K139),INDEX(РАБОТЫ!$A$2:$A$1058,$K139),"")</f>
        <v/>
      </c>
      <c r="C139" s="4" t="str">
        <f>IF($L139&lt;&gt;"",INDEX(РАБОТЫ!$Z$2:$Z$1058,MATCH($L139,РАБОТЫ!$V$2:$V$1058,0)),IF(ISNUMBER($K139),INDEX(РАБОТЫ!$Y$2:$Y$1058,$K139),""))</f>
        <v/>
      </c>
      <c r="D139" t="str">
        <f>IF(ISNUMBER($K139),INDEX(РАБОТЫ!$E$2:$E$1058,$K139),"")</f>
        <v/>
      </c>
      <c r="E139" t="str">
        <f>IF(ISNUMBER($K139),INDEX(РАБОТЫ!$M$2:$M$1058,$K139),"")</f>
        <v/>
      </c>
      <c r="F139" s="7" t="str">
        <f>IF(ISNUMBER($K139),INDEX(РАБОТЫ!$S$2:$S$1058,$K139),"")</f>
        <v/>
      </c>
      <c r="G139" s="7" t="str">
        <f>IF(ISNUMBER($K139),INDEX(РАБОТЫ!$T$2:$T$1058,$K139),"")</f>
        <v/>
      </c>
      <c r="H139" s="7" t="str">
        <f t="shared" si="4"/>
        <v/>
      </c>
      <c r="I139" s="7" t="str">
        <f t="shared" si="5"/>
        <v/>
      </c>
      <c r="J139" s="7" t="str">
        <f t="shared" si="6"/>
        <v/>
      </c>
      <c r="K139" t="str">
        <f>IFERROR(MATCH(118,РАБОТЫ!$X$2:$X$1058,0),"")</f>
        <v/>
      </c>
      <c r="L139" t="str">
        <f>IFERROR(IF(INDEX(РАБОТЫ!$W$2:$W$1058,MATCH(118+1,РАБОТЫ!$X$2:$X$1058,0))=1,INDEX(РАБОТЫ!$V$2:$V$1058,MATCH(118+1,РАБОТЫ!$X$2:$X$1058,0)),""),"")</f>
        <v/>
      </c>
      <c r="M139" t="str">
        <f t="shared" si="7"/>
        <v/>
      </c>
    </row>
    <row r="140" spans="1:13" hidden="1" x14ac:dyDescent="0.3">
      <c r="A140" t="str">
        <f>IF(ISNUMBER($K140),INDEX(РАБОТЫ!$U$2:$U$1058,$K140),"")</f>
        <v/>
      </c>
      <c r="B140" t="str">
        <f>IF(ISNUMBER($K140),INDEX(РАБОТЫ!$A$2:$A$1058,$K140),"")</f>
        <v/>
      </c>
      <c r="C140" s="4" t="str">
        <f>IF($L140&lt;&gt;"",INDEX(РАБОТЫ!$Z$2:$Z$1058,MATCH($L140,РАБОТЫ!$V$2:$V$1058,0)),IF(ISNUMBER($K140),INDEX(РАБОТЫ!$Y$2:$Y$1058,$K140),""))</f>
        <v/>
      </c>
      <c r="D140" t="str">
        <f>IF(ISNUMBER($K140),INDEX(РАБОТЫ!$E$2:$E$1058,$K140),"")</f>
        <v/>
      </c>
      <c r="E140" t="str">
        <f>IF(ISNUMBER($K140),INDEX(РАБОТЫ!$M$2:$M$1058,$K140),"")</f>
        <v/>
      </c>
      <c r="F140" s="7" t="str">
        <f>IF(ISNUMBER($K140),INDEX(РАБОТЫ!$S$2:$S$1058,$K140),"")</f>
        <v/>
      </c>
      <c r="G140" s="7" t="str">
        <f>IF(ISNUMBER($K140),INDEX(РАБОТЫ!$T$2:$T$1058,$K140),"")</f>
        <v/>
      </c>
      <c r="H140" s="7" t="str">
        <f t="shared" si="4"/>
        <v/>
      </c>
      <c r="I140" s="7" t="str">
        <f t="shared" si="5"/>
        <v/>
      </c>
      <c r="J140" s="7" t="str">
        <f t="shared" si="6"/>
        <v/>
      </c>
      <c r="K140" t="str">
        <f>IFERROR(MATCH(119,РАБОТЫ!$X$2:$X$1058,0),"")</f>
        <v/>
      </c>
      <c r="L140" t="str">
        <f>IFERROR(IF(INDEX(РАБОТЫ!$W$2:$W$1058,MATCH(119+1,РАБОТЫ!$X$2:$X$1058,0))=1,INDEX(РАБОТЫ!$V$2:$V$1058,MATCH(119+1,РАБОТЫ!$X$2:$X$1058,0)),""),"")</f>
        <v/>
      </c>
      <c r="M140" t="str">
        <f t="shared" si="7"/>
        <v/>
      </c>
    </row>
    <row r="141" spans="1:13" hidden="1" x14ac:dyDescent="0.3">
      <c r="A141" t="str">
        <f>IF(ISNUMBER($K141),INDEX(РАБОТЫ!$U$2:$U$1058,$K141),"")</f>
        <v/>
      </c>
      <c r="B141" t="str">
        <f>IF(ISNUMBER($K141),INDEX(РАБОТЫ!$A$2:$A$1058,$K141),"")</f>
        <v/>
      </c>
      <c r="C141" s="4" t="str">
        <f>IF($L141&lt;&gt;"",INDEX(РАБОТЫ!$Z$2:$Z$1058,MATCH($L141,РАБОТЫ!$V$2:$V$1058,0)),IF(ISNUMBER($K141),INDEX(РАБОТЫ!$Y$2:$Y$1058,$K141),""))</f>
        <v/>
      </c>
      <c r="D141" t="str">
        <f>IF(ISNUMBER($K141),INDEX(РАБОТЫ!$E$2:$E$1058,$K141),"")</f>
        <v/>
      </c>
      <c r="E141" t="str">
        <f>IF(ISNUMBER($K141),INDEX(РАБОТЫ!$M$2:$M$1058,$K141),"")</f>
        <v/>
      </c>
      <c r="F141" s="7" t="str">
        <f>IF(ISNUMBER($K141),INDEX(РАБОТЫ!$S$2:$S$1058,$K141),"")</f>
        <v/>
      </c>
      <c r="G141" s="7" t="str">
        <f>IF(ISNUMBER($K141),INDEX(РАБОТЫ!$T$2:$T$1058,$K141),"")</f>
        <v/>
      </c>
      <c r="H141" s="7" t="str">
        <f t="shared" si="4"/>
        <v/>
      </c>
      <c r="I141" s="7" t="str">
        <f t="shared" si="5"/>
        <v/>
      </c>
      <c r="J141" s="7" t="str">
        <f t="shared" si="6"/>
        <v/>
      </c>
      <c r="K141" t="str">
        <f>IFERROR(MATCH(120,РАБОТЫ!$X$2:$X$1058,0),"")</f>
        <v/>
      </c>
      <c r="L141" t="str">
        <f>IFERROR(IF(INDEX(РАБОТЫ!$W$2:$W$1058,MATCH(120+1,РАБОТЫ!$X$2:$X$1058,0))=1,INDEX(РАБОТЫ!$V$2:$V$1058,MATCH(120+1,РАБОТЫ!$X$2:$X$1058,0)),""),"")</f>
        <v/>
      </c>
      <c r="M141" t="str">
        <f t="shared" si="7"/>
        <v/>
      </c>
    </row>
    <row r="142" spans="1:13" hidden="1" x14ac:dyDescent="0.3">
      <c r="A142" t="str">
        <f>IF(ISNUMBER($K142),INDEX(РАБОТЫ!$U$2:$U$1058,$K142),"")</f>
        <v/>
      </c>
      <c r="B142" t="str">
        <f>IF(ISNUMBER($K142),INDEX(РАБОТЫ!$A$2:$A$1058,$K142),"")</f>
        <v/>
      </c>
      <c r="C142" s="4" t="str">
        <f>IF($L142&lt;&gt;"",INDEX(РАБОТЫ!$Z$2:$Z$1058,MATCH($L142,РАБОТЫ!$V$2:$V$1058,0)),IF(ISNUMBER($K142),INDEX(РАБОТЫ!$Y$2:$Y$1058,$K142),""))</f>
        <v/>
      </c>
      <c r="D142" t="str">
        <f>IF(ISNUMBER($K142),INDEX(РАБОТЫ!$E$2:$E$1058,$K142),"")</f>
        <v/>
      </c>
      <c r="E142" t="str">
        <f>IF(ISNUMBER($K142),INDEX(РАБОТЫ!$M$2:$M$1058,$K142),"")</f>
        <v/>
      </c>
      <c r="F142" s="7" t="str">
        <f>IF(ISNUMBER($K142),INDEX(РАБОТЫ!$S$2:$S$1058,$K142),"")</f>
        <v/>
      </c>
      <c r="G142" s="7" t="str">
        <f>IF(ISNUMBER($K142),INDEX(РАБОТЫ!$T$2:$T$1058,$K142),"")</f>
        <v/>
      </c>
      <c r="H142" s="7" t="str">
        <f t="shared" si="4"/>
        <v/>
      </c>
      <c r="I142" s="7" t="str">
        <f t="shared" si="5"/>
        <v/>
      </c>
      <c r="J142" s="7" t="str">
        <f t="shared" si="6"/>
        <v/>
      </c>
      <c r="K142" t="str">
        <f>IFERROR(MATCH(121,РАБОТЫ!$X$2:$X$1058,0),"")</f>
        <v/>
      </c>
      <c r="L142" t="str">
        <f>IFERROR(IF(INDEX(РАБОТЫ!$W$2:$W$1058,MATCH(121+1,РАБОТЫ!$X$2:$X$1058,0))=1,INDEX(РАБОТЫ!$V$2:$V$1058,MATCH(121+1,РАБОТЫ!$X$2:$X$1058,0)),""),"")</f>
        <v/>
      </c>
      <c r="M142" t="str">
        <f t="shared" si="7"/>
        <v/>
      </c>
    </row>
    <row r="143" spans="1:13" hidden="1" x14ac:dyDescent="0.3">
      <c r="A143" t="str">
        <f>IF(ISNUMBER($K143),INDEX(РАБОТЫ!$U$2:$U$1058,$K143),"")</f>
        <v/>
      </c>
      <c r="B143" t="str">
        <f>IF(ISNUMBER($K143),INDEX(РАБОТЫ!$A$2:$A$1058,$K143),"")</f>
        <v/>
      </c>
      <c r="C143" s="4" t="str">
        <f>IF($L143&lt;&gt;"",INDEX(РАБОТЫ!$Z$2:$Z$1058,MATCH($L143,РАБОТЫ!$V$2:$V$1058,0)),IF(ISNUMBER($K143),INDEX(РАБОТЫ!$Y$2:$Y$1058,$K143),""))</f>
        <v/>
      </c>
      <c r="D143" t="str">
        <f>IF(ISNUMBER($K143),INDEX(РАБОТЫ!$E$2:$E$1058,$K143),"")</f>
        <v/>
      </c>
      <c r="E143" t="str">
        <f>IF(ISNUMBER($K143),INDEX(РАБОТЫ!$M$2:$M$1058,$K143),"")</f>
        <v/>
      </c>
      <c r="F143" s="7" t="str">
        <f>IF(ISNUMBER($K143),INDEX(РАБОТЫ!$S$2:$S$1058,$K143),"")</f>
        <v/>
      </c>
      <c r="G143" s="7" t="str">
        <f>IF(ISNUMBER($K143),INDEX(РАБОТЫ!$T$2:$T$1058,$K143),"")</f>
        <v/>
      </c>
      <c r="H143" s="7" t="str">
        <f t="shared" si="4"/>
        <v/>
      </c>
      <c r="I143" s="7" t="str">
        <f t="shared" si="5"/>
        <v/>
      </c>
      <c r="J143" s="7" t="str">
        <f t="shared" si="6"/>
        <v/>
      </c>
      <c r="K143" t="str">
        <f>IFERROR(MATCH(122,РАБОТЫ!$X$2:$X$1058,0),"")</f>
        <v/>
      </c>
      <c r="L143" t="str">
        <f>IFERROR(IF(INDEX(РАБОТЫ!$W$2:$W$1058,MATCH(122+1,РАБОТЫ!$X$2:$X$1058,0))=1,INDEX(РАБОТЫ!$V$2:$V$1058,MATCH(122+1,РАБОТЫ!$X$2:$X$1058,0)),""),"")</f>
        <v/>
      </c>
      <c r="M143" t="str">
        <f t="shared" si="7"/>
        <v/>
      </c>
    </row>
    <row r="144" spans="1:13" hidden="1" x14ac:dyDescent="0.3">
      <c r="A144" t="str">
        <f>IF(ISNUMBER($K144),INDEX(РАБОТЫ!$U$2:$U$1058,$K144),"")</f>
        <v/>
      </c>
      <c r="B144" t="str">
        <f>IF(ISNUMBER($K144),INDEX(РАБОТЫ!$A$2:$A$1058,$K144),"")</f>
        <v/>
      </c>
      <c r="C144" s="4" t="str">
        <f>IF($L144&lt;&gt;"",INDEX(РАБОТЫ!$Z$2:$Z$1058,MATCH($L144,РАБОТЫ!$V$2:$V$1058,0)),IF(ISNUMBER($K144),INDEX(РАБОТЫ!$Y$2:$Y$1058,$K144),""))</f>
        <v/>
      </c>
      <c r="D144" t="str">
        <f>IF(ISNUMBER($K144),INDEX(РАБОТЫ!$E$2:$E$1058,$K144),"")</f>
        <v/>
      </c>
      <c r="E144" t="str">
        <f>IF(ISNUMBER($K144),INDEX(РАБОТЫ!$M$2:$M$1058,$K144),"")</f>
        <v/>
      </c>
      <c r="F144" s="7" t="str">
        <f>IF(ISNUMBER($K144),INDEX(РАБОТЫ!$S$2:$S$1058,$K144),"")</f>
        <v/>
      </c>
      <c r="G144" s="7" t="str">
        <f>IF(ISNUMBER($K144),INDEX(РАБОТЫ!$T$2:$T$1058,$K144),"")</f>
        <v/>
      </c>
      <c r="H144" s="7" t="str">
        <f t="shared" si="4"/>
        <v/>
      </c>
      <c r="I144" s="7" t="str">
        <f t="shared" si="5"/>
        <v/>
      </c>
      <c r="J144" s="7" t="str">
        <f t="shared" si="6"/>
        <v/>
      </c>
      <c r="K144" t="str">
        <f>IFERROR(MATCH(123,РАБОТЫ!$X$2:$X$1058,0),"")</f>
        <v/>
      </c>
      <c r="L144" t="str">
        <f>IFERROR(IF(INDEX(РАБОТЫ!$W$2:$W$1058,MATCH(123+1,РАБОТЫ!$X$2:$X$1058,0))=1,INDEX(РАБОТЫ!$V$2:$V$1058,MATCH(123+1,РАБОТЫ!$X$2:$X$1058,0)),""),"")</f>
        <v/>
      </c>
      <c r="M144" t="str">
        <f t="shared" si="7"/>
        <v/>
      </c>
    </row>
    <row r="145" spans="1:13" hidden="1" x14ac:dyDescent="0.3">
      <c r="A145" t="str">
        <f>IF(ISNUMBER($K145),INDEX(РАБОТЫ!$U$2:$U$1058,$K145),"")</f>
        <v/>
      </c>
      <c r="B145" t="str">
        <f>IF(ISNUMBER($K145),INDEX(РАБОТЫ!$A$2:$A$1058,$K145),"")</f>
        <v/>
      </c>
      <c r="C145" s="4" t="str">
        <f>IF($L145&lt;&gt;"",INDEX(РАБОТЫ!$Z$2:$Z$1058,MATCH($L145,РАБОТЫ!$V$2:$V$1058,0)),IF(ISNUMBER($K145),INDEX(РАБОТЫ!$Y$2:$Y$1058,$K145),""))</f>
        <v/>
      </c>
      <c r="D145" t="str">
        <f>IF(ISNUMBER($K145),INDEX(РАБОТЫ!$E$2:$E$1058,$K145),"")</f>
        <v/>
      </c>
      <c r="E145" t="str">
        <f>IF(ISNUMBER($K145),INDEX(РАБОТЫ!$M$2:$M$1058,$K145),"")</f>
        <v/>
      </c>
      <c r="F145" s="7" t="str">
        <f>IF(ISNUMBER($K145),INDEX(РАБОТЫ!$S$2:$S$1058,$K145),"")</f>
        <v/>
      </c>
      <c r="G145" s="7" t="str">
        <f>IF(ISNUMBER($K145),INDEX(РАБОТЫ!$T$2:$T$1058,$K145),"")</f>
        <v/>
      </c>
      <c r="H145" s="7" t="str">
        <f t="shared" si="4"/>
        <v/>
      </c>
      <c r="I145" s="7" t="str">
        <f t="shared" si="5"/>
        <v/>
      </c>
      <c r="J145" s="7" t="str">
        <f t="shared" si="6"/>
        <v/>
      </c>
      <c r="K145" t="str">
        <f>IFERROR(MATCH(124,РАБОТЫ!$X$2:$X$1058,0),"")</f>
        <v/>
      </c>
      <c r="L145" t="str">
        <f>IFERROR(IF(INDEX(РАБОТЫ!$W$2:$W$1058,MATCH(124+1,РАБОТЫ!$X$2:$X$1058,0))=1,INDEX(РАБОТЫ!$V$2:$V$1058,MATCH(124+1,РАБОТЫ!$X$2:$X$1058,0)),""),"")</f>
        <v/>
      </c>
      <c r="M145" t="str">
        <f t="shared" si="7"/>
        <v/>
      </c>
    </row>
    <row r="146" spans="1:13" hidden="1" x14ac:dyDescent="0.3">
      <c r="A146" t="str">
        <f>IF(ISNUMBER($K146),INDEX(РАБОТЫ!$U$2:$U$1058,$K146),"")</f>
        <v/>
      </c>
      <c r="B146" t="str">
        <f>IF(ISNUMBER($K146),INDEX(РАБОТЫ!$A$2:$A$1058,$K146),"")</f>
        <v/>
      </c>
      <c r="C146" s="4" t="str">
        <f>IF($L146&lt;&gt;"",INDEX(РАБОТЫ!$Z$2:$Z$1058,MATCH($L146,РАБОТЫ!$V$2:$V$1058,0)),IF(ISNUMBER($K146),INDEX(РАБОТЫ!$Y$2:$Y$1058,$K146),""))</f>
        <v/>
      </c>
      <c r="D146" t="str">
        <f>IF(ISNUMBER($K146),INDEX(РАБОТЫ!$E$2:$E$1058,$K146),"")</f>
        <v/>
      </c>
      <c r="E146" t="str">
        <f>IF(ISNUMBER($K146),INDEX(РАБОТЫ!$M$2:$M$1058,$K146),"")</f>
        <v/>
      </c>
      <c r="F146" s="7" t="str">
        <f>IF(ISNUMBER($K146),INDEX(РАБОТЫ!$S$2:$S$1058,$K146),"")</f>
        <v/>
      </c>
      <c r="G146" s="7" t="str">
        <f>IF(ISNUMBER($K146),INDEX(РАБОТЫ!$T$2:$T$1058,$K146),"")</f>
        <v/>
      </c>
      <c r="H146" s="7" t="str">
        <f t="shared" si="4"/>
        <v/>
      </c>
      <c r="I146" s="7" t="str">
        <f t="shared" si="5"/>
        <v/>
      </c>
      <c r="J146" s="7" t="str">
        <f t="shared" si="6"/>
        <v/>
      </c>
      <c r="K146" t="str">
        <f>IFERROR(MATCH(125,РАБОТЫ!$X$2:$X$1058,0),"")</f>
        <v/>
      </c>
      <c r="L146" t="str">
        <f>IFERROR(IF(INDEX(РАБОТЫ!$W$2:$W$1058,MATCH(125+1,РАБОТЫ!$X$2:$X$1058,0))=1,INDEX(РАБОТЫ!$V$2:$V$1058,MATCH(125+1,РАБОТЫ!$X$2:$X$1058,0)),""),"")</f>
        <v/>
      </c>
      <c r="M146" t="str">
        <f t="shared" si="7"/>
        <v/>
      </c>
    </row>
    <row r="147" spans="1:13" hidden="1" x14ac:dyDescent="0.3">
      <c r="A147" t="str">
        <f>IF(ISNUMBER($K147),INDEX(РАБОТЫ!$U$2:$U$1058,$K147),"")</f>
        <v/>
      </c>
      <c r="B147" t="str">
        <f>IF(ISNUMBER($K147),INDEX(РАБОТЫ!$A$2:$A$1058,$K147),"")</f>
        <v/>
      </c>
      <c r="C147" s="4" t="str">
        <f>IF($L147&lt;&gt;"",INDEX(РАБОТЫ!$Z$2:$Z$1058,MATCH($L147,РАБОТЫ!$V$2:$V$1058,0)),IF(ISNUMBER($K147),INDEX(РАБОТЫ!$Y$2:$Y$1058,$K147),""))</f>
        <v/>
      </c>
      <c r="D147" t="str">
        <f>IF(ISNUMBER($K147),INDEX(РАБОТЫ!$E$2:$E$1058,$K147),"")</f>
        <v/>
      </c>
      <c r="E147" t="str">
        <f>IF(ISNUMBER($K147),INDEX(РАБОТЫ!$M$2:$M$1058,$K147),"")</f>
        <v/>
      </c>
      <c r="F147" s="7" t="str">
        <f>IF(ISNUMBER($K147),INDEX(РАБОТЫ!$S$2:$S$1058,$K147),"")</f>
        <v/>
      </c>
      <c r="G147" s="7" t="str">
        <f>IF(ISNUMBER($K147),INDEX(РАБОТЫ!$T$2:$T$1058,$K147),"")</f>
        <v/>
      </c>
      <c r="H147" s="7" t="str">
        <f t="shared" si="4"/>
        <v/>
      </c>
      <c r="I147" s="7" t="str">
        <f t="shared" si="5"/>
        <v/>
      </c>
      <c r="J147" s="7" t="str">
        <f t="shared" si="6"/>
        <v/>
      </c>
      <c r="K147" t="str">
        <f>IFERROR(MATCH(126,РАБОТЫ!$X$2:$X$1058,0),"")</f>
        <v/>
      </c>
      <c r="L147" t="str">
        <f>IFERROR(IF(INDEX(РАБОТЫ!$W$2:$W$1058,MATCH(126+1,РАБОТЫ!$X$2:$X$1058,0))=1,INDEX(РАБОТЫ!$V$2:$V$1058,MATCH(126+1,РАБОТЫ!$X$2:$X$1058,0)),""),"")</f>
        <v/>
      </c>
      <c r="M147" t="str">
        <f t="shared" si="7"/>
        <v/>
      </c>
    </row>
    <row r="148" spans="1:13" hidden="1" x14ac:dyDescent="0.3">
      <c r="A148" t="str">
        <f>IF(ISNUMBER($K148),INDEX(РАБОТЫ!$U$2:$U$1058,$K148),"")</f>
        <v/>
      </c>
      <c r="B148" t="str">
        <f>IF(ISNUMBER($K148),INDEX(РАБОТЫ!$A$2:$A$1058,$K148),"")</f>
        <v/>
      </c>
      <c r="C148" s="4" t="str">
        <f>IF($L148&lt;&gt;"",INDEX(РАБОТЫ!$Z$2:$Z$1058,MATCH($L148,РАБОТЫ!$V$2:$V$1058,0)),IF(ISNUMBER($K148),INDEX(РАБОТЫ!$Y$2:$Y$1058,$K148),""))</f>
        <v/>
      </c>
      <c r="D148" t="str">
        <f>IF(ISNUMBER($K148),INDEX(РАБОТЫ!$E$2:$E$1058,$K148),"")</f>
        <v/>
      </c>
      <c r="E148" t="str">
        <f>IF(ISNUMBER($K148),INDEX(РАБОТЫ!$M$2:$M$1058,$K148),"")</f>
        <v/>
      </c>
      <c r="F148" s="7" t="str">
        <f>IF(ISNUMBER($K148),INDEX(РАБОТЫ!$S$2:$S$1058,$K148),"")</f>
        <v/>
      </c>
      <c r="G148" s="7" t="str">
        <f>IF(ISNUMBER($K148),INDEX(РАБОТЫ!$T$2:$T$1058,$K148),"")</f>
        <v/>
      </c>
      <c r="H148" s="7" t="str">
        <f t="shared" si="4"/>
        <v/>
      </c>
      <c r="I148" s="7" t="str">
        <f t="shared" si="5"/>
        <v/>
      </c>
      <c r="J148" s="7" t="str">
        <f t="shared" si="6"/>
        <v/>
      </c>
      <c r="K148" t="str">
        <f>IFERROR(MATCH(127,РАБОТЫ!$X$2:$X$1058,0),"")</f>
        <v/>
      </c>
      <c r="L148" t="str">
        <f>IFERROR(IF(INDEX(РАБОТЫ!$W$2:$W$1058,MATCH(127+1,РАБОТЫ!$X$2:$X$1058,0))=1,INDEX(РАБОТЫ!$V$2:$V$1058,MATCH(127+1,РАБОТЫ!$X$2:$X$1058,0)),""),"")</f>
        <v/>
      </c>
      <c r="M148" t="str">
        <f t="shared" si="7"/>
        <v/>
      </c>
    </row>
    <row r="149" spans="1:13" hidden="1" x14ac:dyDescent="0.3">
      <c r="A149" t="str">
        <f>IF(ISNUMBER($K149),INDEX(РАБОТЫ!$U$2:$U$1058,$K149),"")</f>
        <v/>
      </c>
      <c r="B149" t="str">
        <f>IF(ISNUMBER($K149),INDEX(РАБОТЫ!$A$2:$A$1058,$K149),"")</f>
        <v/>
      </c>
      <c r="C149" s="4" t="str">
        <f>IF($L149&lt;&gt;"",INDEX(РАБОТЫ!$Z$2:$Z$1058,MATCH($L149,РАБОТЫ!$V$2:$V$1058,0)),IF(ISNUMBER($K149),INDEX(РАБОТЫ!$Y$2:$Y$1058,$K149),""))</f>
        <v/>
      </c>
      <c r="D149" t="str">
        <f>IF(ISNUMBER($K149),INDEX(РАБОТЫ!$E$2:$E$1058,$K149),"")</f>
        <v/>
      </c>
      <c r="E149" t="str">
        <f>IF(ISNUMBER($K149),INDEX(РАБОТЫ!$M$2:$M$1058,$K149),"")</f>
        <v/>
      </c>
      <c r="F149" s="7" t="str">
        <f>IF(ISNUMBER($K149),INDEX(РАБОТЫ!$S$2:$S$1058,$K149),"")</f>
        <v/>
      </c>
      <c r="G149" s="7" t="str">
        <f>IF(ISNUMBER($K149),INDEX(РАБОТЫ!$T$2:$T$1058,$K149),"")</f>
        <v/>
      </c>
      <c r="H149" s="7" t="str">
        <f t="shared" si="4"/>
        <v/>
      </c>
      <c r="I149" s="7" t="str">
        <f t="shared" si="5"/>
        <v/>
      </c>
      <c r="J149" s="7" t="str">
        <f t="shared" si="6"/>
        <v/>
      </c>
      <c r="K149" t="str">
        <f>IFERROR(MATCH(128,РАБОТЫ!$X$2:$X$1058,0),"")</f>
        <v/>
      </c>
      <c r="L149" t="str">
        <f>IFERROR(IF(INDEX(РАБОТЫ!$W$2:$W$1058,MATCH(128+1,РАБОТЫ!$X$2:$X$1058,0))=1,INDEX(РАБОТЫ!$V$2:$V$1058,MATCH(128+1,РАБОТЫ!$X$2:$X$1058,0)),""),"")</f>
        <v/>
      </c>
      <c r="M149" t="str">
        <f t="shared" si="7"/>
        <v/>
      </c>
    </row>
    <row r="150" spans="1:13" hidden="1" x14ac:dyDescent="0.3">
      <c r="A150" t="str">
        <f>IF(ISNUMBER($K150),INDEX(РАБОТЫ!$U$2:$U$1058,$K150),"")</f>
        <v/>
      </c>
      <c r="B150" t="str">
        <f>IF(ISNUMBER($K150),INDEX(РАБОТЫ!$A$2:$A$1058,$K150),"")</f>
        <v/>
      </c>
      <c r="C150" s="4" t="str">
        <f>IF($L150&lt;&gt;"",INDEX(РАБОТЫ!$Z$2:$Z$1058,MATCH($L150,РАБОТЫ!$V$2:$V$1058,0)),IF(ISNUMBER($K150),INDEX(РАБОТЫ!$Y$2:$Y$1058,$K150),""))</f>
        <v/>
      </c>
      <c r="D150" t="str">
        <f>IF(ISNUMBER($K150),INDEX(РАБОТЫ!$E$2:$E$1058,$K150),"")</f>
        <v/>
      </c>
      <c r="E150" t="str">
        <f>IF(ISNUMBER($K150),INDEX(РАБОТЫ!$M$2:$M$1058,$K150),"")</f>
        <v/>
      </c>
      <c r="F150" s="7" t="str">
        <f>IF(ISNUMBER($K150),INDEX(РАБОТЫ!$S$2:$S$1058,$K150),"")</f>
        <v/>
      </c>
      <c r="G150" s="7" t="str">
        <f>IF(ISNUMBER($K150),INDEX(РАБОТЫ!$T$2:$T$1058,$K150),"")</f>
        <v/>
      </c>
      <c r="H150" s="7" t="str">
        <f t="shared" ref="H150:H213" si="8">IF(ISNUMBER($K150),ROUND($E150*$F150,2),"")</f>
        <v/>
      </c>
      <c r="I150" s="7" t="str">
        <f t="shared" ref="I150:I213" si="9">IF(ISNUMBER($K150),ROUND($E150*$G150,2),"")</f>
        <v/>
      </c>
      <c r="J150" s="7" t="str">
        <f t="shared" ref="J150:J213" si="10">IF(ISNUMBER($K150),$H150+$I150,"")</f>
        <v/>
      </c>
      <c r="K150" t="str">
        <f>IFERROR(MATCH(129,РАБОТЫ!$X$2:$X$1058,0),"")</f>
        <v/>
      </c>
      <c r="L150" t="str">
        <f>IFERROR(IF(INDEX(РАБОТЫ!$W$2:$W$1058,MATCH(129+1,РАБОТЫ!$X$2:$X$1058,0))=1,INDEX(РАБОТЫ!$V$2:$V$1058,MATCH(129+1,РАБОТЫ!$X$2:$X$1058,0)),""),"")</f>
        <v/>
      </c>
      <c r="M150" t="str">
        <f t="shared" ref="M150:M213" si="11">IF(OR(ISNUMBER($K150),$L150&lt;&gt;""),"показать","")</f>
        <v/>
      </c>
    </row>
    <row r="151" spans="1:13" hidden="1" x14ac:dyDescent="0.3">
      <c r="A151" t="str">
        <f>IF(ISNUMBER($K151),INDEX(РАБОТЫ!$U$2:$U$1058,$K151),"")</f>
        <v/>
      </c>
      <c r="B151" t="str">
        <f>IF(ISNUMBER($K151),INDEX(РАБОТЫ!$A$2:$A$1058,$K151),"")</f>
        <v/>
      </c>
      <c r="C151" s="4" t="str">
        <f>IF($L151&lt;&gt;"",INDEX(РАБОТЫ!$Z$2:$Z$1058,MATCH($L151,РАБОТЫ!$V$2:$V$1058,0)),IF(ISNUMBER($K151),INDEX(РАБОТЫ!$Y$2:$Y$1058,$K151),""))</f>
        <v/>
      </c>
      <c r="D151" t="str">
        <f>IF(ISNUMBER($K151),INDEX(РАБОТЫ!$E$2:$E$1058,$K151),"")</f>
        <v/>
      </c>
      <c r="E151" t="str">
        <f>IF(ISNUMBER($K151),INDEX(РАБОТЫ!$M$2:$M$1058,$K151),"")</f>
        <v/>
      </c>
      <c r="F151" s="7" t="str">
        <f>IF(ISNUMBER($K151),INDEX(РАБОТЫ!$S$2:$S$1058,$K151),"")</f>
        <v/>
      </c>
      <c r="G151" s="7" t="str">
        <f>IF(ISNUMBER($K151),INDEX(РАБОТЫ!$T$2:$T$1058,$K151),"")</f>
        <v/>
      </c>
      <c r="H151" s="7" t="str">
        <f t="shared" si="8"/>
        <v/>
      </c>
      <c r="I151" s="7" t="str">
        <f t="shared" si="9"/>
        <v/>
      </c>
      <c r="J151" s="7" t="str">
        <f t="shared" si="10"/>
        <v/>
      </c>
      <c r="K151" t="str">
        <f>IFERROR(MATCH(130,РАБОТЫ!$X$2:$X$1058,0),"")</f>
        <v/>
      </c>
      <c r="L151" t="str">
        <f>IFERROR(IF(INDEX(РАБОТЫ!$W$2:$W$1058,MATCH(130+1,РАБОТЫ!$X$2:$X$1058,0))=1,INDEX(РАБОТЫ!$V$2:$V$1058,MATCH(130+1,РАБОТЫ!$X$2:$X$1058,0)),""),"")</f>
        <v/>
      </c>
      <c r="M151" t="str">
        <f t="shared" si="11"/>
        <v/>
      </c>
    </row>
    <row r="152" spans="1:13" hidden="1" x14ac:dyDescent="0.3">
      <c r="A152" t="str">
        <f>IF(ISNUMBER($K152),INDEX(РАБОТЫ!$U$2:$U$1058,$K152),"")</f>
        <v/>
      </c>
      <c r="B152" t="str">
        <f>IF(ISNUMBER($K152),INDEX(РАБОТЫ!$A$2:$A$1058,$K152),"")</f>
        <v/>
      </c>
      <c r="C152" s="4" t="str">
        <f>IF($L152&lt;&gt;"",INDEX(РАБОТЫ!$Z$2:$Z$1058,MATCH($L152,РАБОТЫ!$V$2:$V$1058,0)),IF(ISNUMBER($K152),INDEX(РАБОТЫ!$Y$2:$Y$1058,$K152),""))</f>
        <v/>
      </c>
      <c r="D152" t="str">
        <f>IF(ISNUMBER($K152),INDEX(РАБОТЫ!$E$2:$E$1058,$K152),"")</f>
        <v/>
      </c>
      <c r="E152" t="str">
        <f>IF(ISNUMBER($K152),INDEX(РАБОТЫ!$M$2:$M$1058,$K152),"")</f>
        <v/>
      </c>
      <c r="F152" s="7" t="str">
        <f>IF(ISNUMBER($K152),INDEX(РАБОТЫ!$S$2:$S$1058,$K152),"")</f>
        <v/>
      </c>
      <c r="G152" s="7" t="str">
        <f>IF(ISNUMBER($K152),INDEX(РАБОТЫ!$T$2:$T$1058,$K152),"")</f>
        <v/>
      </c>
      <c r="H152" s="7" t="str">
        <f t="shared" si="8"/>
        <v/>
      </c>
      <c r="I152" s="7" t="str">
        <f t="shared" si="9"/>
        <v/>
      </c>
      <c r="J152" s="7" t="str">
        <f t="shared" si="10"/>
        <v/>
      </c>
      <c r="K152" t="str">
        <f>IFERROR(MATCH(131,РАБОТЫ!$X$2:$X$1058,0),"")</f>
        <v/>
      </c>
      <c r="L152" t="str">
        <f>IFERROR(IF(INDEX(РАБОТЫ!$W$2:$W$1058,MATCH(131+1,РАБОТЫ!$X$2:$X$1058,0))=1,INDEX(РАБОТЫ!$V$2:$V$1058,MATCH(131+1,РАБОТЫ!$X$2:$X$1058,0)),""),"")</f>
        <v/>
      </c>
      <c r="M152" t="str">
        <f t="shared" si="11"/>
        <v/>
      </c>
    </row>
    <row r="153" spans="1:13" hidden="1" x14ac:dyDescent="0.3">
      <c r="A153" t="str">
        <f>IF(ISNUMBER($K153),INDEX(РАБОТЫ!$U$2:$U$1058,$K153),"")</f>
        <v/>
      </c>
      <c r="B153" t="str">
        <f>IF(ISNUMBER($K153),INDEX(РАБОТЫ!$A$2:$A$1058,$K153),"")</f>
        <v/>
      </c>
      <c r="C153" s="4" t="str">
        <f>IF($L153&lt;&gt;"",INDEX(РАБОТЫ!$Z$2:$Z$1058,MATCH($L153,РАБОТЫ!$V$2:$V$1058,0)),IF(ISNUMBER($K153),INDEX(РАБОТЫ!$Y$2:$Y$1058,$K153),""))</f>
        <v/>
      </c>
      <c r="D153" t="str">
        <f>IF(ISNUMBER($K153),INDEX(РАБОТЫ!$E$2:$E$1058,$K153),"")</f>
        <v/>
      </c>
      <c r="E153" t="str">
        <f>IF(ISNUMBER($K153),INDEX(РАБОТЫ!$M$2:$M$1058,$K153),"")</f>
        <v/>
      </c>
      <c r="F153" s="7" t="str">
        <f>IF(ISNUMBER($K153),INDEX(РАБОТЫ!$S$2:$S$1058,$K153),"")</f>
        <v/>
      </c>
      <c r="G153" s="7" t="str">
        <f>IF(ISNUMBER($K153),INDEX(РАБОТЫ!$T$2:$T$1058,$K153),"")</f>
        <v/>
      </c>
      <c r="H153" s="7" t="str">
        <f t="shared" si="8"/>
        <v/>
      </c>
      <c r="I153" s="7" t="str">
        <f t="shared" si="9"/>
        <v/>
      </c>
      <c r="J153" s="7" t="str">
        <f t="shared" si="10"/>
        <v/>
      </c>
      <c r="K153" t="str">
        <f>IFERROR(MATCH(132,РАБОТЫ!$X$2:$X$1058,0),"")</f>
        <v/>
      </c>
      <c r="L153" t="str">
        <f>IFERROR(IF(INDEX(РАБОТЫ!$W$2:$W$1058,MATCH(132+1,РАБОТЫ!$X$2:$X$1058,0))=1,INDEX(РАБОТЫ!$V$2:$V$1058,MATCH(132+1,РАБОТЫ!$X$2:$X$1058,0)),""),"")</f>
        <v/>
      </c>
      <c r="M153" t="str">
        <f t="shared" si="11"/>
        <v/>
      </c>
    </row>
    <row r="154" spans="1:13" hidden="1" x14ac:dyDescent="0.3">
      <c r="A154" t="str">
        <f>IF(ISNUMBER($K154),INDEX(РАБОТЫ!$U$2:$U$1058,$K154),"")</f>
        <v/>
      </c>
      <c r="B154" t="str">
        <f>IF(ISNUMBER($K154),INDEX(РАБОТЫ!$A$2:$A$1058,$K154),"")</f>
        <v/>
      </c>
      <c r="C154" s="4" t="str">
        <f>IF($L154&lt;&gt;"",INDEX(РАБОТЫ!$Z$2:$Z$1058,MATCH($L154,РАБОТЫ!$V$2:$V$1058,0)),IF(ISNUMBER($K154),INDEX(РАБОТЫ!$Y$2:$Y$1058,$K154),""))</f>
        <v/>
      </c>
      <c r="D154" t="str">
        <f>IF(ISNUMBER($K154),INDEX(РАБОТЫ!$E$2:$E$1058,$K154),"")</f>
        <v/>
      </c>
      <c r="E154" t="str">
        <f>IF(ISNUMBER($K154),INDEX(РАБОТЫ!$M$2:$M$1058,$K154),"")</f>
        <v/>
      </c>
      <c r="F154" s="7" t="str">
        <f>IF(ISNUMBER($K154),INDEX(РАБОТЫ!$S$2:$S$1058,$K154),"")</f>
        <v/>
      </c>
      <c r="G154" s="7" t="str">
        <f>IF(ISNUMBER($K154),INDEX(РАБОТЫ!$T$2:$T$1058,$K154),"")</f>
        <v/>
      </c>
      <c r="H154" s="7" t="str">
        <f t="shared" si="8"/>
        <v/>
      </c>
      <c r="I154" s="7" t="str">
        <f t="shared" si="9"/>
        <v/>
      </c>
      <c r="J154" s="7" t="str">
        <f t="shared" si="10"/>
        <v/>
      </c>
      <c r="K154" t="str">
        <f>IFERROR(MATCH(133,РАБОТЫ!$X$2:$X$1058,0),"")</f>
        <v/>
      </c>
      <c r="L154" t="str">
        <f>IFERROR(IF(INDEX(РАБОТЫ!$W$2:$W$1058,MATCH(133+1,РАБОТЫ!$X$2:$X$1058,0))=1,INDEX(РАБОТЫ!$V$2:$V$1058,MATCH(133+1,РАБОТЫ!$X$2:$X$1058,0)),""),"")</f>
        <v/>
      </c>
      <c r="M154" t="str">
        <f t="shared" si="11"/>
        <v/>
      </c>
    </row>
    <row r="155" spans="1:13" hidden="1" x14ac:dyDescent="0.3">
      <c r="A155" t="str">
        <f>IF(ISNUMBER($K155),INDEX(РАБОТЫ!$U$2:$U$1058,$K155),"")</f>
        <v/>
      </c>
      <c r="B155" t="str">
        <f>IF(ISNUMBER($K155),INDEX(РАБОТЫ!$A$2:$A$1058,$K155),"")</f>
        <v/>
      </c>
      <c r="C155" s="4" t="str">
        <f>IF($L155&lt;&gt;"",INDEX(РАБОТЫ!$Z$2:$Z$1058,MATCH($L155,РАБОТЫ!$V$2:$V$1058,0)),IF(ISNUMBER($K155),INDEX(РАБОТЫ!$Y$2:$Y$1058,$K155),""))</f>
        <v/>
      </c>
      <c r="D155" t="str">
        <f>IF(ISNUMBER($K155),INDEX(РАБОТЫ!$E$2:$E$1058,$K155),"")</f>
        <v/>
      </c>
      <c r="E155" t="str">
        <f>IF(ISNUMBER($K155),INDEX(РАБОТЫ!$M$2:$M$1058,$K155),"")</f>
        <v/>
      </c>
      <c r="F155" s="7" t="str">
        <f>IF(ISNUMBER($K155),INDEX(РАБОТЫ!$S$2:$S$1058,$K155),"")</f>
        <v/>
      </c>
      <c r="G155" s="7" t="str">
        <f>IF(ISNUMBER($K155),INDEX(РАБОТЫ!$T$2:$T$1058,$K155),"")</f>
        <v/>
      </c>
      <c r="H155" s="7" t="str">
        <f t="shared" si="8"/>
        <v/>
      </c>
      <c r="I155" s="7" t="str">
        <f t="shared" si="9"/>
        <v/>
      </c>
      <c r="J155" s="7" t="str">
        <f t="shared" si="10"/>
        <v/>
      </c>
      <c r="K155" t="str">
        <f>IFERROR(MATCH(134,РАБОТЫ!$X$2:$X$1058,0),"")</f>
        <v/>
      </c>
      <c r="L155" t="str">
        <f>IFERROR(IF(INDEX(РАБОТЫ!$W$2:$W$1058,MATCH(134+1,РАБОТЫ!$X$2:$X$1058,0))=1,INDEX(РАБОТЫ!$V$2:$V$1058,MATCH(134+1,РАБОТЫ!$X$2:$X$1058,0)),""),"")</f>
        <v/>
      </c>
      <c r="M155" t="str">
        <f t="shared" si="11"/>
        <v/>
      </c>
    </row>
    <row r="156" spans="1:13" hidden="1" x14ac:dyDescent="0.3">
      <c r="A156" t="str">
        <f>IF(ISNUMBER($K156),INDEX(РАБОТЫ!$U$2:$U$1058,$K156),"")</f>
        <v/>
      </c>
      <c r="B156" t="str">
        <f>IF(ISNUMBER($K156),INDEX(РАБОТЫ!$A$2:$A$1058,$K156),"")</f>
        <v/>
      </c>
      <c r="C156" s="4" t="str">
        <f>IF($L156&lt;&gt;"",INDEX(РАБОТЫ!$Z$2:$Z$1058,MATCH($L156,РАБОТЫ!$V$2:$V$1058,0)),IF(ISNUMBER($K156),INDEX(РАБОТЫ!$Y$2:$Y$1058,$K156),""))</f>
        <v/>
      </c>
      <c r="D156" t="str">
        <f>IF(ISNUMBER($K156),INDEX(РАБОТЫ!$E$2:$E$1058,$K156),"")</f>
        <v/>
      </c>
      <c r="E156" t="str">
        <f>IF(ISNUMBER($K156),INDEX(РАБОТЫ!$M$2:$M$1058,$K156),"")</f>
        <v/>
      </c>
      <c r="F156" s="7" t="str">
        <f>IF(ISNUMBER($K156),INDEX(РАБОТЫ!$S$2:$S$1058,$K156),"")</f>
        <v/>
      </c>
      <c r="G156" s="7" t="str">
        <f>IF(ISNUMBER($K156),INDEX(РАБОТЫ!$T$2:$T$1058,$K156),"")</f>
        <v/>
      </c>
      <c r="H156" s="7" t="str">
        <f t="shared" si="8"/>
        <v/>
      </c>
      <c r="I156" s="7" t="str">
        <f t="shared" si="9"/>
        <v/>
      </c>
      <c r="J156" s="7" t="str">
        <f t="shared" si="10"/>
        <v/>
      </c>
      <c r="K156" t="str">
        <f>IFERROR(MATCH(135,РАБОТЫ!$X$2:$X$1058,0),"")</f>
        <v/>
      </c>
      <c r="L156" t="str">
        <f>IFERROR(IF(INDEX(РАБОТЫ!$W$2:$W$1058,MATCH(135+1,РАБОТЫ!$X$2:$X$1058,0))=1,INDEX(РАБОТЫ!$V$2:$V$1058,MATCH(135+1,РАБОТЫ!$X$2:$X$1058,0)),""),"")</f>
        <v/>
      </c>
      <c r="M156" t="str">
        <f t="shared" si="11"/>
        <v/>
      </c>
    </row>
    <row r="157" spans="1:13" hidden="1" x14ac:dyDescent="0.3">
      <c r="A157" t="str">
        <f>IF(ISNUMBER($K157),INDEX(РАБОТЫ!$U$2:$U$1058,$K157),"")</f>
        <v/>
      </c>
      <c r="B157" t="str">
        <f>IF(ISNUMBER($K157),INDEX(РАБОТЫ!$A$2:$A$1058,$K157),"")</f>
        <v/>
      </c>
      <c r="C157" s="4" t="str">
        <f>IF($L157&lt;&gt;"",INDEX(РАБОТЫ!$Z$2:$Z$1058,MATCH($L157,РАБОТЫ!$V$2:$V$1058,0)),IF(ISNUMBER($K157),INDEX(РАБОТЫ!$Y$2:$Y$1058,$K157),""))</f>
        <v/>
      </c>
      <c r="D157" t="str">
        <f>IF(ISNUMBER($K157),INDEX(РАБОТЫ!$E$2:$E$1058,$K157),"")</f>
        <v/>
      </c>
      <c r="E157" t="str">
        <f>IF(ISNUMBER($K157),INDEX(РАБОТЫ!$M$2:$M$1058,$K157),"")</f>
        <v/>
      </c>
      <c r="F157" s="7" t="str">
        <f>IF(ISNUMBER($K157),INDEX(РАБОТЫ!$S$2:$S$1058,$K157),"")</f>
        <v/>
      </c>
      <c r="G157" s="7" t="str">
        <f>IF(ISNUMBER($K157),INDEX(РАБОТЫ!$T$2:$T$1058,$K157),"")</f>
        <v/>
      </c>
      <c r="H157" s="7" t="str">
        <f t="shared" si="8"/>
        <v/>
      </c>
      <c r="I157" s="7" t="str">
        <f t="shared" si="9"/>
        <v/>
      </c>
      <c r="J157" s="7" t="str">
        <f t="shared" si="10"/>
        <v/>
      </c>
      <c r="K157" t="str">
        <f>IFERROR(MATCH(136,РАБОТЫ!$X$2:$X$1058,0),"")</f>
        <v/>
      </c>
      <c r="L157" t="str">
        <f>IFERROR(IF(INDEX(РАБОТЫ!$W$2:$W$1058,MATCH(136+1,РАБОТЫ!$X$2:$X$1058,0))=1,INDEX(РАБОТЫ!$V$2:$V$1058,MATCH(136+1,РАБОТЫ!$X$2:$X$1058,0)),""),"")</f>
        <v/>
      </c>
      <c r="M157" t="str">
        <f t="shared" si="11"/>
        <v/>
      </c>
    </row>
    <row r="158" spans="1:13" hidden="1" x14ac:dyDescent="0.3">
      <c r="A158" t="str">
        <f>IF(ISNUMBER($K158),INDEX(РАБОТЫ!$U$2:$U$1058,$K158),"")</f>
        <v/>
      </c>
      <c r="B158" t="str">
        <f>IF(ISNUMBER($K158),INDEX(РАБОТЫ!$A$2:$A$1058,$K158),"")</f>
        <v/>
      </c>
      <c r="C158" s="4" t="str">
        <f>IF($L158&lt;&gt;"",INDEX(РАБОТЫ!$Z$2:$Z$1058,MATCH($L158,РАБОТЫ!$V$2:$V$1058,0)),IF(ISNUMBER($K158),INDEX(РАБОТЫ!$Y$2:$Y$1058,$K158),""))</f>
        <v/>
      </c>
      <c r="D158" t="str">
        <f>IF(ISNUMBER($K158),INDEX(РАБОТЫ!$E$2:$E$1058,$K158),"")</f>
        <v/>
      </c>
      <c r="E158" t="str">
        <f>IF(ISNUMBER($K158),INDEX(РАБОТЫ!$M$2:$M$1058,$K158),"")</f>
        <v/>
      </c>
      <c r="F158" s="7" t="str">
        <f>IF(ISNUMBER($K158),INDEX(РАБОТЫ!$S$2:$S$1058,$K158),"")</f>
        <v/>
      </c>
      <c r="G158" s="7" t="str">
        <f>IF(ISNUMBER($K158),INDEX(РАБОТЫ!$T$2:$T$1058,$K158),"")</f>
        <v/>
      </c>
      <c r="H158" s="7" t="str">
        <f t="shared" si="8"/>
        <v/>
      </c>
      <c r="I158" s="7" t="str">
        <f t="shared" si="9"/>
        <v/>
      </c>
      <c r="J158" s="7" t="str">
        <f t="shared" si="10"/>
        <v/>
      </c>
      <c r="K158" t="str">
        <f>IFERROR(MATCH(137,РАБОТЫ!$X$2:$X$1058,0),"")</f>
        <v/>
      </c>
      <c r="L158" t="str">
        <f>IFERROR(IF(INDEX(РАБОТЫ!$W$2:$W$1058,MATCH(137+1,РАБОТЫ!$X$2:$X$1058,0))=1,INDEX(РАБОТЫ!$V$2:$V$1058,MATCH(137+1,РАБОТЫ!$X$2:$X$1058,0)),""),"")</f>
        <v/>
      </c>
      <c r="M158" t="str">
        <f t="shared" si="11"/>
        <v/>
      </c>
    </row>
    <row r="159" spans="1:13" hidden="1" x14ac:dyDescent="0.3">
      <c r="A159" t="str">
        <f>IF(ISNUMBER($K159),INDEX(РАБОТЫ!$U$2:$U$1058,$K159),"")</f>
        <v/>
      </c>
      <c r="B159" t="str">
        <f>IF(ISNUMBER($K159),INDEX(РАБОТЫ!$A$2:$A$1058,$K159),"")</f>
        <v/>
      </c>
      <c r="C159" s="4" t="str">
        <f>IF($L159&lt;&gt;"",INDEX(РАБОТЫ!$Z$2:$Z$1058,MATCH($L159,РАБОТЫ!$V$2:$V$1058,0)),IF(ISNUMBER($K159),INDEX(РАБОТЫ!$Y$2:$Y$1058,$K159),""))</f>
        <v/>
      </c>
      <c r="D159" t="str">
        <f>IF(ISNUMBER($K159),INDEX(РАБОТЫ!$E$2:$E$1058,$K159),"")</f>
        <v/>
      </c>
      <c r="E159" t="str">
        <f>IF(ISNUMBER($K159),INDEX(РАБОТЫ!$M$2:$M$1058,$K159),"")</f>
        <v/>
      </c>
      <c r="F159" s="7" t="str">
        <f>IF(ISNUMBER($K159),INDEX(РАБОТЫ!$S$2:$S$1058,$K159),"")</f>
        <v/>
      </c>
      <c r="G159" s="7" t="str">
        <f>IF(ISNUMBER($K159),INDEX(РАБОТЫ!$T$2:$T$1058,$K159),"")</f>
        <v/>
      </c>
      <c r="H159" s="7" t="str">
        <f t="shared" si="8"/>
        <v/>
      </c>
      <c r="I159" s="7" t="str">
        <f t="shared" si="9"/>
        <v/>
      </c>
      <c r="J159" s="7" t="str">
        <f t="shared" si="10"/>
        <v/>
      </c>
      <c r="K159" t="str">
        <f>IFERROR(MATCH(138,РАБОТЫ!$X$2:$X$1058,0),"")</f>
        <v/>
      </c>
      <c r="L159" t="str">
        <f>IFERROR(IF(INDEX(РАБОТЫ!$W$2:$W$1058,MATCH(138+1,РАБОТЫ!$X$2:$X$1058,0))=1,INDEX(РАБОТЫ!$V$2:$V$1058,MATCH(138+1,РАБОТЫ!$X$2:$X$1058,0)),""),"")</f>
        <v/>
      </c>
      <c r="M159" t="str">
        <f t="shared" si="11"/>
        <v/>
      </c>
    </row>
    <row r="160" spans="1:13" hidden="1" x14ac:dyDescent="0.3">
      <c r="A160" t="str">
        <f>IF(ISNUMBER($K160),INDEX(РАБОТЫ!$U$2:$U$1058,$K160),"")</f>
        <v/>
      </c>
      <c r="B160" t="str">
        <f>IF(ISNUMBER($K160),INDEX(РАБОТЫ!$A$2:$A$1058,$K160),"")</f>
        <v/>
      </c>
      <c r="C160" s="4" t="str">
        <f>IF($L160&lt;&gt;"",INDEX(РАБОТЫ!$Z$2:$Z$1058,MATCH($L160,РАБОТЫ!$V$2:$V$1058,0)),IF(ISNUMBER($K160),INDEX(РАБОТЫ!$Y$2:$Y$1058,$K160),""))</f>
        <v/>
      </c>
      <c r="D160" t="str">
        <f>IF(ISNUMBER($K160),INDEX(РАБОТЫ!$E$2:$E$1058,$K160),"")</f>
        <v/>
      </c>
      <c r="E160" t="str">
        <f>IF(ISNUMBER($K160),INDEX(РАБОТЫ!$M$2:$M$1058,$K160),"")</f>
        <v/>
      </c>
      <c r="F160" s="7" t="str">
        <f>IF(ISNUMBER($K160),INDEX(РАБОТЫ!$S$2:$S$1058,$K160),"")</f>
        <v/>
      </c>
      <c r="G160" s="7" t="str">
        <f>IF(ISNUMBER($K160),INDEX(РАБОТЫ!$T$2:$T$1058,$K160),"")</f>
        <v/>
      </c>
      <c r="H160" s="7" t="str">
        <f t="shared" si="8"/>
        <v/>
      </c>
      <c r="I160" s="7" t="str">
        <f t="shared" si="9"/>
        <v/>
      </c>
      <c r="J160" s="7" t="str">
        <f t="shared" si="10"/>
        <v/>
      </c>
      <c r="K160" t="str">
        <f>IFERROR(MATCH(139,РАБОТЫ!$X$2:$X$1058,0),"")</f>
        <v/>
      </c>
      <c r="L160" t="str">
        <f>IFERROR(IF(INDEX(РАБОТЫ!$W$2:$W$1058,MATCH(139+1,РАБОТЫ!$X$2:$X$1058,0))=1,INDEX(РАБОТЫ!$V$2:$V$1058,MATCH(139+1,РАБОТЫ!$X$2:$X$1058,0)),""),"")</f>
        <v/>
      </c>
      <c r="M160" t="str">
        <f t="shared" si="11"/>
        <v/>
      </c>
    </row>
    <row r="161" spans="1:13" hidden="1" x14ac:dyDescent="0.3">
      <c r="A161" t="str">
        <f>IF(ISNUMBER($K161),INDEX(РАБОТЫ!$U$2:$U$1058,$K161),"")</f>
        <v/>
      </c>
      <c r="B161" t="str">
        <f>IF(ISNUMBER($K161),INDEX(РАБОТЫ!$A$2:$A$1058,$K161),"")</f>
        <v/>
      </c>
      <c r="C161" s="4" t="str">
        <f>IF($L161&lt;&gt;"",INDEX(РАБОТЫ!$Z$2:$Z$1058,MATCH($L161,РАБОТЫ!$V$2:$V$1058,0)),IF(ISNUMBER($K161),INDEX(РАБОТЫ!$Y$2:$Y$1058,$K161),""))</f>
        <v/>
      </c>
      <c r="D161" t="str">
        <f>IF(ISNUMBER($K161),INDEX(РАБОТЫ!$E$2:$E$1058,$K161),"")</f>
        <v/>
      </c>
      <c r="E161" t="str">
        <f>IF(ISNUMBER($K161),INDEX(РАБОТЫ!$M$2:$M$1058,$K161),"")</f>
        <v/>
      </c>
      <c r="F161" s="7" t="str">
        <f>IF(ISNUMBER($K161),INDEX(РАБОТЫ!$S$2:$S$1058,$K161),"")</f>
        <v/>
      </c>
      <c r="G161" s="7" t="str">
        <f>IF(ISNUMBER($K161),INDEX(РАБОТЫ!$T$2:$T$1058,$K161),"")</f>
        <v/>
      </c>
      <c r="H161" s="7" t="str">
        <f t="shared" si="8"/>
        <v/>
      </c>
      <c r="I161" s="7" t="str">
        <f t="shared" si="9"/>
        <v/>
      </c>
      <c r="J161" s="7" t="str">
        <f t="shared" si="10"/>
        <v/>
      </c>
      <c r="K161" t="str">
        <f>IFERROR(MATCH(140,РАБОТЫ!$X$2:$X$1058,0),"")</f>
        <v/>
      </c>
      <c r="L161" t="str">
        <f>IFERROR(IF(INDEX(РАБОТЫ!$W$2:$W$1058,MATCH(140+1,РАБОТЫ!$X$2:$X$1058,0))=1,INDEX(РАБОТЫ!$V$2:$V$1058,MATCH(140+1,РАБОТЫ!$X$2:$X$1058,0)),""),"")</f>
        <v/>
      </c>
      <c r="M161" t="str">
        <f t="shared" si="11"/>
        <v/>
      </c>
    </row>
    <row r="162" spans="1:13" hidden="1" x14ac:dyDescent="0.3">
      <c r="A162" t="str">
        <f>IF(ISNUMBER($K162),INDEX(РАБОТЫ!$U$2:$U$1058,$K162),"")</f>
        <v/>
      </c>
      <c r="B162" t="str">
        <f>IF(ISNUMBER($K162),INDEX(РАБОТЫ!$A$2:$A$1058,$K162),"")</f>
        <v/>
      </c>
      <c r="C162" s="4" t="str">
        <f>IF($L162&lt;&gt;"",INDEX(РАБОТЫ!$Z$2:$Z$1058,MATCH($L162,РАБОТЫ!$V$2:$V$1058,0)),IF(ISNUMBER($K162),INDEX(РАБОТЫ!$Y$2:$Y$1058,$K162),""))</f>
        <v/>
      </c>
      <c r="D162" t="str">
        <f>IF(ISNUMBER($K162),INDEX(РАБОТЫ!$E$2:$E$1058,$K162),"")</f>
        <v/>
      </c>
      <c r="E162" t="str">
        <f>IF(ISNUMBER($K162),INDEX(РАБОТЫ!$M$2:$M$1058,$K162),"")</f>
        <v/>
      </c>
      <c r="F162" s="7" t="str">
        <f>IF(ISNUMBER($K162),INDEX(РАБОТЫ!$S$2:$S$1058,$K162),"")</f>
        <v/>
      </c>
      <c r="G162" s="7" t="str">
        <f>IF(ISNUMBER($K162),INDEX(РАБОТЫ!$T$2:$T$1058,$K162),"")</f>
        <v/>
      </c>
      <c r="H162" s="7" t="str">
        <f t="shared" si="8"/>
        <v/>
      </c>
      <c r="I162" s="7" t="str">
        <f t="shared" si="9"/>
        <v/>
      </c>
      <c r="J162" s="7" t="str">
        <f t="shared" si="10"/>
        <v/>
      </c>
      <c r="K162" t="str">
        <f>IFERROR(MATCH(141,РАБОТЫ!$X$2:$X$1058,0),"")</f>
        <v/>
      </c>
      <c r="L162" t="str">
        <f>IFERROR(IF(INDEX(РАБОТЫ!$W$2:$W$1058,MATCH(141+1,РАБОТЫ!$X$2:$X$1058,0))=1,INDEX(РАБОТЫ!$V$2:$V$1058,MATCH(141+1,РАБОТЫ!$X$2:$X$1058,0)),""),"")</f>
        <v/>
      </c>
      <c r="M162" t="str">
        <f t="shared" si="11"/>
        <v/>
      </c>
    </row>
    <row r="163" spans="1:13" hidden="1" x14ac:dyDescent="0.3">
      <c r="A163" t="str">
        <f>IF(ISNUMBER($K163),INDEX(РАБОТЫ!$U$2:$U$1058,$K163),"")</f>
        <v/>
      </c>
      <c r="B163" t="str">
        <f>IF(ISNUMBER($K163),INDEX(РАБОТЫ!$A$2:$A$1058,$K163),"")</f>
        <v/>
      </c>
      <c r="C163" s="4" t="str">
        <f>IF($L163&lt;&gt;"",INDEX(РАБОТЫ!$Z$2:$Z$1058,MATCH($L163,РАБОТЫ!$V$2:$V$1058,0)),IF(ISNUMBER($K163),INDEX(РАБОТЫ!$Y$2:$Y$1058,$K163),""))</f>
        <v/>
      </c>
      <c r="D163" t="str">
        <f>IF(ISNUMBER($K163),INDEX(РАБОТЫ!$E$2:$E$1058,$K163),"")</f>
        <v/>
      </c>
      <c r="E163" t="str">
        <f>IF(ISNUMBER($K163),INDEX(РАБОТЫ!$M$2:$M$1058,$K163),"")</f>
        <v/>
      </c>
      <c r="F163" s="7" t="str">
        <f>IF(ISNUMBER($K163),INDEX(РАБОТЫ!$S$2:$S$1058,$K163),"")</f>
        <v/>
      </c>
      <c r="G163" s="7" t="str">
        <f>IF(ISNUMBER($K163),INDEX(РАБОТЫ!$T$2:$T$1058,$K163),"")</f>
        <v/>
      </c>
      <c r="H163" s="7" t="str">
        <f t="shared" si="8"/>
        <v/>
      </c>
      <c r="I163" s="7" t="str">
        <f t="shared" si="9"/>
        <v/>
      </c>
      <c r="J163" s="7" t="str">
        <f t="shared" si="10"/>
        <v/>
      </c>
      <c r="K163" t="str">
        <f>IFERROR(MATCH(142,РАБОТЫ!$X$2:$X$1058,0),"")</f>
        <v/>
      </c>
      <c r="L163" t="str">
        <f>IFERROR(IF(INDEX(РАБОТЫ!$W$2:$W$1058,MATCH(142+1,РАБОТЫ!$X$2:$X$1058,0))=1,INDEX(РАБОТЫ!$V$2:$V$1058,MATCH(142+1,РАБОТЫ!$X$2:$X$1058,0)),""),"")</f>
        <v/>
      </c>
      <c r="M163" t="str">
        <f t="shared" si="11"/>
        <v/>
      </c>
    </row>
    <row r="164" spans="1:13" hidden="1" x14ac:dyDescent="0.3">
      <c r="A164" t="str">
        <f>IF(ISNUMBER($K164),INDEX(РАБОТЫ!$U$2:$U$1058,$K164),"")</f>
        <v/>
      </c>
      <c r="B164" t="str">
        <f>IF(ISNUMBER($K164),INDEX(РАБОТЫ!$A$2:$A$1058,$K164),"")</f>
        <v/>
      </c>
      <c r="C164" s="4" t="str">
        <f>IF($L164&lt;&gt;"",INDEX(РАБОТЫ!$Z$2:$Z$1058,MATCH($L164,РАБОТЫ!$V$2:$V$1058,0)),IF(ISNUMBER($K164),INDEX(РАБОТЫ!$Y$2:$Y$1058,$K164),""))</f>
        <v/>
      </c>
      <c r="D164" t="str">
        <f>IF(ISNUMBER($K164),INDEX(РАБОТЫ!$E$2:$E$1058,$K164),"")</f>
        <v/>
      </c>
      <c r="E164" t="str">
        <f>IF(ISNUMBER($K164),INDEX(РАБОТЫ!$M$2:$M$1058,$K164),"")</f>
        <v/>
      </c>
      <c r="F164" s="7" t="str">
        <f>IF(ISNUMBER($K164),INDEX(РАБОТЫ!$S$2:$S$1058,$K164),"")</f>
        <v/>
      </c>
      <c r="G164" s="7" t="str">
        <f>IF(ISNUMBER($K164),INDEX(РАБОТЫ!$T$2:$T$1058,$K164),"")</f>
        <v/>
      </c>
      <c r="H164" s="7" t="str">
        <f t="shared" si="8"/>
        <v/>
      </c>
      <c r="I164" s="7" t="str">
        <f t="shared" si="9"/>
        <v/>
      </c>
      <c r="J164" s="7" t="str">
        <f t="shared" si="10"/>
        <v/>
      </c>
      <c r="K164" t="str">
        <f>IFERROR(MATCH(143,РАБОТЫ!$X$2:$X$1058,0),"")</f>
        <v/>
      </c>
      <c r="L164" t="str">
        <f>IFERROR(IF(INDEX(РАБОТЫ!$W$2:$W$1058,MATCH(143+1,РАБОТЫ!$X$2:$X$1058,0))=1,INDEX(РАБОТЫ!$V$2:$V$1058,MATCH(143+1,РАБОТЫ!$X$2:$X$1058,0)),""),"")</f>
        <v/>
      </c>
      <c r="M164" t="str">
        <f t="shared" si="11"/>
        <v/>
      </c>
    </row>
    <row r="165" spans="1:13" hidden="1" x14ac:dyDescent="0.3">
      <c r="A165" t="str">
        <f>IF(ISNUMBER($K165),INDEX(РАБОТЫ!$U$2:$U$1058,$K165),"")</f>
        <v/>
      </c>
      <c r="B165" t="str">
        <f>IF(ISNUMBER($K165),INDEX(РАБОТЫ!$A$2:$A$1058,$K165),"")</f>
        <v/>
      </c>
      <c r="C165" s="4" t="str">
        <f>IF($L165&lt;&gt;"",INDEX(РАБОТЫ!$Z$2:$Z$1058,MATCH($L165,РАБОТЫ!$V$2:$V$1058,0)),IF(ISNUMBER($K165),INDEX(РАБОТЫ!$Y$2:$Y$1058,$K165),""))</f>
        <v/>
      </c>
      <c r="D165" t="str">
        <f>IF(ISNUMBER($K165),INDEX(РАБОТЫ!$E$2:$E$1058,$K165),"")</f>
        <v/>
      </c>
      <c r="E165" t="str">
        <f>IF(ISNUMBER($K165),INDEX(РАБОТЫ!$M$2:$M$1058,$K165),"")</f>
        <v/>
      </c>
      <c r="F165" s="7" t="str">
        <f>IF(ISNUMBER($K165),INDEX(РАБОТЫ!$S$2:$S$1058,$K165),"")</f>
        <v/>
      </c>
      <c r="G165" s="7" t="str">
        <f>IF(ISNUMBER($K165),INDEX(РАБОТЫ!$T$2:$T$1058,$K165),"")</f>
        <v/>
      </c>
      <c r="H165" s="7" t="str">
        <f t="shared" si="8"/>
        <v/>
      </c>
      <c r="I165" s="7" t="str">
        <f t="shared" si="9"/>
        <v/>
      </c>
      <c r="J165" s="7" t="str">
        <f t="shared" si="10"/>
        <v/>
      </c>
      <c r="K165" t="str">
        <f>IFERROR(MATCH(144,РАБОТЫ!$X$2:$X$1058,0),"")</f>
        <v/>
      </c>
      <c r="L165" t="str">
        <f>IFERROR(IF(INDEX(РАБОТЫ!$W$2:$W$1058,MATCH(144+1,РАБОТЫ!$X$2:$X$1058,0))=1,INDEX(РАБОТЫ!$V$2:$V$1058,MATCH(144+1,РАБОТЫ!$X$2:$X$1058,0)),""),"")</f>
        <v/>
      </c>
      <c r="M165" t="str">
        <f t="shared" si="11"/>
        <v/>
      </c>
    </row>
    <row r="166" spans="1:13" hidden="1" x14ac:dyDescent="0.3">
      <c r="A166" t="str">
        <f>IF(ISNUMBER($K166),INDEX(РАБОТЫ!$U$2:$U$1058,$K166),"")</f>
        <v/>
      </c>
      <c r="B166" t="str">
        <f>IF(ISNUMBER($K166),INDEX(РАБОТЫ!$A$2:$A$1058,$K166),"")</f>
        <v/>
      </c>
      <c r="C166" s="4" t="str">
        <f>IF($L166&lt;&gt;"",INDEX(РАБОТЫ!$Z$2:$Z$1058,MATCH($L166,РАБОТЫ!$V$2:$V$1058,0)),IF(ISNUMBER($K166),INDEX(РАБОТЫ!$Y$2:$Y$1058,$K166),""))</f>
        <v/>
      </c>
      <c r="D166" t="str">
        <f>IF(ISNUMBER($K166),INDEX(РАБОТЫ!$E$2:$E$1058,$K166),"")</f>
        <v/>
      </c>
      <c r="E166" t="str">
        <f>IF(ISNUMBER($K166),INDEX(РАБОТЫ!$M$2:$M$1058,$K166),"")</f>
        <v/>
      </c>
      <c r="F166" s="7" t="str">
        <f>IF(ISNUMBER($K166),INDEX(РАБОТЫ!$S$2:$S$1058,$K166),"")</f>
        <v/>
      </c>
      <c r="G166" s="7" t="str">
        <f>IF(ISNUMBER($K166),INDEX(РАБОТЫ!$T$2:$T$1058,$K166),"")</f>
        <v/>
      </c>
      <c r="H166" s="7" t="str">
        <f t="shared" si="8"/>
        <v/>
      </c>
      <c r="I166" s="7" t="str">
        <f t="shared" si="9"/>
        <v/>
      </c>
      <c r="J166" s="7" t="str">
        <f t="shared" si="10"/>
        <v/>
      </c>
      <c r="K166" t="str">
        <f>IFERROR(MATCH(145,РАБОТЫ!$X$2:$X$1058,0),"")</f>
        <v/>
      </c>
      <c r="L166" t="str">
        <f>IFERROR(IF(INDEX(РАБОТЫ!$W$2:$W$1058,MATCH(145+1,РАБОТЫ!$X$2:$X$1058,0))=1,INDEX(РАБОТЫ!$V$2:$V$1058,MATCH(145+1,РАБОТЫ!$X$2:$X$1058,0)),""),"")</f>
        <v/>
      </c>
      <c r="M166" t="str">
        <f t="shared" si="11"/>
        <v/>
      </c>
    </row>
    <row r="167" spans="1:13" hidden="1" x14ac:dyDescent="0.3">
      <c r="A167" t="str">
        <f>IF(ISNUMBER($K167),INDEX(РАБОТЫ!$U$2:$U$1058,$K167),"")</f>
        <v/>
      </c>
      <c r="B167" t="str">
        <f>IF(ISNUMBER($K167),INDEX(РАБОТЫ!$A$2:$A$1058,$K167),"")</f>
        <v/>
      </c>
      <c r="C167" s="4" t="str">
        <f>IF($L167&lt;&gt;"",INDEX(РАБОТЫ!$Z$2:$Z$1058,MATCH($L167,РАБОТЫ!$V$2:$V$1058,0)),IF(ISNUMBER($K167),INDEX(РАБОТЫ!$Y$2:$Y$1058,$K167),""))</f>
        <v/>
      </c>
      <c r="D167" t="str">
        <f>IF(ISNUMBER($K167),INDEX(РАБОТЫ!$E$2:$E$1058,$K167),"")</f>
        <v/>
      </c>
      <c r="E167" t="str">
        <f>IF(ISNUMBER($K167),INDEX(РАБОТЫ!$M$2:$M$1058,$K167),"")</f>
        <v/>
      </c>
      <c r="F167" s="7" t="str">
        <f>IF(ISNUMBER($K167),INDEX(РАБОТЫ!$S$2:$S$1058,$K167),"")</f>
        <v/>
      </c>
      <c r="G167" s="7" t="str">
        <f>IF(ISNUMBER($K167),INDEX(РАБОТЫ!$T$2:$T$1058,$K167),"")</f>
        <v/>
      </c>
      <c r="H167" s="7" t="str">
        <f t="shared" si="8"/>
        <v/>
      </c>
      <c r="I167" s="7" t="str">
        <f t="shared" si="9"/>
        <v/>
      </c>
      <c r="J167" s="7" t="str">
        <f t="shared" si="10"/>
        <v/>
      </c>
      <c r="K167" t="str">
        <f>IFERROR(MATCH(146,РАБОТЫ!$X$2:$X$1058,0),"")</f>
        <v/>
      </c>
      <c r="L167" t="str">
        <f>IFERROR(IF(INDEX(РАБОТЫ!$W$2:$W$1058,MATCH(146+1,РАБОТЫ!$X$2:$X$1058,0))=1,INDEX(РАБОТЫ!$V$2:$V$1058,MATCH(146+1,РАБОТЫ!$X$2:$X$1058,0)),""),"")</f>
        <v/>
      </c>
      <c r="M167" t="str">
        <f t="shared" si="11"/>
        <v/>
      </c>
    </row>
    <row r="168" spans="1:13" hidden="1" x14ac:dyDescent="0.3">
      <c r="A168" t="str">
        <f>IF(ISNUMBER($K168),INDEX(РАБОТЫ!$U$2:$U$1058,$K168),"")</f>
        <v/>
      </c>
      <c r="B168" t="str">
        <f>IF(ISNUMBER($K168),INDEX(РАБОТЫ!$A$2:$A$1058,$K168),"")</f>
        <v/>
      </c>
      <c r="C168" s="4" t="str">
        <f>IF($L168&lt;&gt;"",INDEX(РАБОТЫ!$Z$2:$Z$1058,MATCH($L168,РАБОТЫ!$V$2:$V$1058,0)),IF(ISNUMBER($K168),INDEX(РАБОТЫ!$Y$2:$Y$1058,$K168),""))</f>
        <v/>
      </c>
      <c r="D168" t="str">
        <f>IF(ISNUMBER($K168),INDEX(РАБОТЫ!$E$2:$E$1058,$K168),"")</f>
        <v/>
      </c>
      <c r="E168" t="str">
        <f>IF(ISNUMBER($K168),INDEX(РАБОТЫ!$M$2:$M$1058,$K168),"")</f>
        <v/>
      </c>
      <c r="F168" s="7" t="str">
        <f>IF(ISNUMBER($K168),INDEX(РАБОТЫ!$S$2:$S$1058,$K168),"")</f>
        <v/>
      </c>
      <c r="G168" s="7" t="str">
        <f>IF(ISNUMBER($K168),INDEX(РАБОТЫ!$T$2:$T$1058,$K168),"")</f>
        <v/>
      </c>
      <c r="H168" s="7" t="str">
        <f t="shared" si="8"/>
        <v/>
      </c>
      <c r="I168" s="7" t="str">
        <f t="shared" si="9"/>
        <v/>
      </c>
      <c r="J168" s="7" t="str">
        <f t="shared" si="10"/>
        <v/>
      </c>
      <c r="K168" t="str">
        <f>IFERROR(MATCH(147,РАБОТЫ!$X$2:$X$1058,0),"")</f>
        <v/>
      </c>
      <c r="L168" t="str">
        <f>IFERROR(IF(INDEX(РАБОТЫ!$W$2:$W$1058,MATCH(147+1,РАБОТЫ!$X$2:$X$1058,0))=1,INDEX(РАБОТЫ!$V$2:$V$1058,MATCH(147+1,РАБОТЫ!$X$2:$X$1058,0)),""),"")</f>
        <v/>
      </c>
      <c r="M168" t="str">
        <f t="shared" si="11"/>
        <v/>
      </c>
    </row>
    <row r="169" spans="1:13" hidden="1" x14ac:dyDescent="0.3">
      <c r="A169" t="str">
        <f>IF(ISNUMBER($K169),INDEX(РАБОТЫ!$U$2:$U$1058,$K169),"")</f>
        <v/>
      </c>
      <c r="B169" t="str">
        <f>IF(ISNUMBER($K169),INDEX(РАБОТЫ!$A$2:$A$1058,$K169),"")</f>
        <v/>
      </c>
      <c r="C169" s="4" t="str">
        <f>IF($L169&lt;&gt;"",INDEX(РАБОТЫ!$Z$2:$Z$1058,MATCH($L169,РАБОТЫ!$V$2:$V$1058,0)),IF(ISNUMBER($K169),INDEX(РАБОТЫ!$Y$2:$Y$1058,$K169),""))</f>
        <v/>
      </c>
      <c r="D169" t="str">
        <f>IF(ISNUMBER($K169),INDEX(РАБОТЫ!$E$2:$E$1058,$K169),"")</f>
        <v/>
      </c>
      <c r="E169" t="str">
        <f>IF(ISNUMBER($K169),INDEX(РАБОТЫ!$M$2:$M$1058,$K169),"")</f>
        <v/>
      </c>
      <c r="F169" s="7" t="str">
        <f>IF(ISNUMBER($K169),INDEX(РАБОТЫ!$S$2:$S$1058,$K169),"")</f>
        <v/>
      </c>
      <c r="G169" s="7" t="str">
        <f>IF(ISNUMBER($K169),INDEX(РАБОТЫ!$T$2:$T$1058,$K169),"")</f>
        <v/>
      </c>
      <c r="H169" s="7" t="str">
        <f t="shared" si="8"/>
        <v/>
      </c>
      <c r="I169" s="7" t="str">
        <f t="shared" si="9"/>
        <v/>
      </c>
      <c r="J169" s="7" t="str">
        <f t="shared" si="10"/>
        <v/>
      </c>
      <c r="K169" t="str">
        <f>IFERROR(MATCH(148,РАБОТЫ!$X$2:$X$1058,0),"")</f>
        <v/>
      </c>
      <c r="L169" t="str">
        <f>IFERROR(IF(INDEX(РАБОТЫ!$W$2:$W$1058,MATCH(148+1,РАБОТЫ!$X$2:$X$1058,0))=1,INDEX(РАБОТЫ!$V$2:$V$1058,MATCH(148+1,РАБОТЫ!$X$2:$X$1058,0)),""),"")</f>
        <v/>
      </c>
      <c r="M169" t="str">
        <f t="shared" si="11"/>
        <v/>
      </c>
    </row>
    <row r="170" spans="1:13" hidden="1" x14ac:dyDescent="0.3">
      <c r="A170" t="str">
        <f>IF(ISNUMBER($K170),INDEX(РАБОТЫ!$U$2:$U$1058,$K170),"")</f>
        <v/>
      </c>
      <c r="B170" t="str">
        <f>IF(ISNUMBER($K170),INDEX(РАБОТЫ!$A$2:$A$1058,$K170),"")</f>
        <v/>
      </c>
      <c r="C170" s="4" t="str">
        <f>IF($L170&lt;&gt;"",INDEX(РАБОТЫ!$Z$2:$Z$1058,MATCH($L170,РАБОТЫ!$V$2:$V$1058,0)),IF(ISNUMBER($K170),INDEX(РАБОТЫ!$Y$2:$Y$1058,$K170),""))</f>
        <v/>
      </c>
      <c r="D170" t="str">
        <f>IF(ISNUMBER($K170),INDEX(РАБОТЫ!$E$2:$E$1058,$K170),"")</f>
        <v/>
      </c>
      <c r="E170" t="str">
        <f>IF(ISNUMBER($K170),INDEX(РАБОТЫ!$M$2:$M$1058,$K170),"")</f>
        <v/>
      </c>
      <c r="F170" s="7" t="str">
        <f>IF(ISNUMBER($K170),INDEX(РАБОТЫ!$S$2:$S$1058,$K170),"")</f>
        <v/>
      </c>
      <c r="G170" s="7" t="str">
        <f>IF(ISNUMBER($K170),INDEX(РАБОТЫ!$T$2:$T$1058,$K170),"")</f>
        <v/>
      </c>
      <c r="H170" s="7" t="str">
        <f t="shared" si="8"/>
        <v/>
      </c>
      <c r="I170" s="7" t="str">
        <f t="shared" si="9"/>
        <v/>
      </c>
      <c r="J170" s="7" t="str">
        <f t="shared" si="10"/>
        <v/>
      </c>
      <c r="K170" t="str">
        <f>IFERROR(MATCH(149,РАБОТЫ!$X$2:$X$1058,0),"")</f>
        <v/>
      </c>
      <c r="L170" t="str">
        <f>IFERROR(IF(INDEX(РАБОТЫ!$W$2:$W$1058,MATCH(149+1,РАБОТЫ!$X$2:$X$1058,0))=1,INDEX(РАБОТЫ!$V$2:$V$1058,MATCH(149+1,РАБОТЫ!$X$2:$X$1058,0)),""),"")</f>
        <v/>
      </c>
      <c r="M170" t="str">
        <f t="shared" si="11"/>
        <v/>
      </c>
    </row>
    <row r="171" spans="1:13" hidden="1" x14ac:dyDescent="0.3">
      <c r="A171" t="str">
        <f>IF(ISNUMBER($K171),INDEX(РАБОТЫ!$U$2:$U$1058,$K171),"")</f>
        <v/>
      </c>
      <c r="B171" t="str">
        <f>IF(ISNUMBER($K171),INDEX(РАБОТЫ!$A$2:$A$1058,$K171),"")</f>
        <v/>
      </c>
      <c r="C171" s="4" t="str">
        <f>IF($L171&lt;&gt;"",INDEX(РАБОТЫ!$Z$2:$Z$1058,MATCH($L171,РАБОТЫ!$V$2:$V$1058,0)),IF(ISNUMBER($K171),INDEX(РАБОТЫ!$Y$2:$Y$1058,$K171),""))</f>
        <v/>
      </c>
      <c r="D171" t="str">
        <f>IF(ISNUMBER($K171),INDEX(РАБОТЫ!$E$2:$E$1058,$K171),"")</f>
        <v/>
      </c>
      <c r="E171" t="str">
        <f>IF(ISNUMBER($K171),INDEX(РАБОТЫ!$M$2:$M$1058,$K171),"")</f>
        <v/>
      </c>
      <c r="F171" s="7" t="str">
        <f>IF(ISNUMBER($K171),INDEX(РАБОТЫ!$S$2:$S$1058,$K171),"")</f>
        <v/>
      </c>
      <c r="G171" s="7" t="str">
        <f>IF(ISNUMBER($K171),INDEX(РАБОТЫ!$T$2:$T$1058,$K171),"")</f>
        <v/>
      </c>
      <c r="H171" s="7" t="str">
        <f t="shared" si="8"/>
        <v/>
      </c>
      <c r="I171" s="7" t="str">
        <f t="shared" si="9"/>
        <v/>
      </c>
      <c r="J171" s="7" t="str">
        <f t="shared" si="10"/>
        <v/>
      </c>
      <c r="K171" t="str">
        <f>IFERROR(MATCH(150,РАБОТЫ!$X$2:$X$1058,0),"")</f>
        <v/>
      </c>
      <c r="L171" t="str">
        <f>IFERROR(IF(INDEX(РАБОТЫ!$W$2:$W$1058,MATCH(150+1,РАБОТЫ!$X$2:$X$1058,0))=1,INDEX(РАБОТЫ!$V$2:$V$1058,MATCH(150+1,РАБОТЫ!$X$2:$X$1058,0)),""),"")</f>
        <v/>
      </c>
      <c r="M171" t="str">
        <f t="shared" si="11"/>
        <v/>
      </c>
    </row>
    <row r="172" spans="1:13" hidden="1" x14ac:dyDescent="0.3">
      <c r="A172" t="str">
        <f>IF(ISNUMBER($K172),INDEX(РАБОТЫ!$U$2:$U$1058,$K172),"")</f>
        <v/>
      </c>
      <c r="B172" t="str">
        <f>IF(ISNUMBER($K172),INDEX(РАБОТЫ!$A$2:$A$1058,$K172),"")</f>
        <v/>
      </c>
      <c r="C172" s="4" t="str">
        <f>IF($L172&lt;&gt;"",INDEX(РАБОТЫ!$Z$2:$Z$1058,MATCH($L172,РАБОТЫ!$V$2:$V$1058,0)),IF(ISNUMBER($K172),INDEX(РАБОТЫ!$Y$2:$Y$1058,$K172),""))</f>
        <v/>
      </c>
      <c r="D172" t="str">
        <f>IF(ISNUMBER($K172),INDEX(РАБОТЫ!$E$2:$E$1058,$K172),"")</f>
        <v/>
      </c>
      <c r="E172" t="str">
        <f>IF(ISNUMBER($K172),INDEX(РАБОТЫ!$M$2:$M$1058,$K172),"")</f>
        <v/>
      </c>
      <c r="F172" s="7" t="str">
        <f>IF(ISNUMBER($K172),INDEX(РАБОТЫ!$S$2:$S$1058,$K172),"")</f>
        <v/>
      </c>
      <c r="G172" s="7" t="str">
        <f>IF(ISNUMBER($K172),INDEX(РАБОТЫ!$T$2:$T$1058,$K172),"")</f>
        <v/>
      </c>
      <c r="H172" s="7" t="str">
        <f t="shared" si="8"/>
        <v/>
      </c>
      <c r="I172" s="7" t="str">
        <f t="shared" si="9"/>
        <v/>
      </c>
      <c r="J172" s="7" t="str">
        <f t="shared" si="10"/>
        <v/>
      </c>
      <c r="K172" t="str">
        <f>IFERROR(MATCH(151,РАБОТЫ!$X$2:$X$1058,0),"")</f>
        <v/>
      </c>
      <c r="L172" t="str">
        <f>IFERROR(IF(INDEX(РАБОТЫ!$W$2:$W$1058,MATCH(151+1,РАБОТЫ!$X$2:$X$1058,0))=1,INDEX(РАБОТЫ!$V$2:$V$1058,MATCH(151+1,РАБОТЫ!$X$2:$X$1058,0)),""),"")</f>
        <v/>
      </c>
      <c r="M172" t="str">
        <f t="shared" si="11"/>
        <v/>
      </c>
    </row>
    <row r="173" spans="1:13" hidden="1" x14ac:dyDescent="0.3">
      <c r="A173" t="str">
        <f>IF(ISNUMBER($K173),INDEX(РАБОТЫ!$U$2:$U$1058,$K173),"")</f>
        <v/>
      </c>
      <c r="B173" t="str">
        <f>IF(ISNUMBER($K173),INDEX(РАБОТЫ!$A$2:$A$1058,$K173),"")</f>
        <v/>
      </c>
      <c r="C173" s="4" t="str">
        <f>IF($L173&lt;&gt;"",INDEX(РАБОТЫ!$Z$2:$Z$1058,MATCH($L173,РАБОТЫ!$V$2:$V$1058,0)),IF(ISNUMBER($K173),INDEX(РАБОТЫ!$Y$2:$Y$1058,$K173),""))</f>
        <v/>
      </c>
      <c r="D173" t="str">
        <f>IF(ISNUMBER($K173),INDEX(РАБОТЫ!$E$2:$E$1058,$K173),"")</f>
        <v/>
      </c>
      <c r="E173" t="str">
        <f>IF(ISNUMBER($K173),INDEX(РАБОТЫ!$M$2:$M$1058,$K173),"")</f>
        <v/>
      </c>
      <c r="F173" s="7" t="str">
        <f>IF(ISNUMBER($K173),INDEX(РАБОТЫ!$S$2:$S$1058,$K173),"")</f>
        <v/>
      </c>
      <c r="G173" s="7" t="str">
        <f>IF(ISNUMBER($K173),INDEX(РАБОТЫ!$T$2:$T$1058,$K173),"")</f>
        <v/>
      </c>
      <c r="H173" s="7" t="str">
        <f t="shared" si="8"/>
        <v/>
      </c>
      <c r="I173" s="7" t="str">
        <f t="shared" si="9"/>
        <v/>
      </c>
      <c r="J173" s="7" t="str">
        <f t="shared" si="10"/>
        <v/>
      </c>
      <c r="K173" t="str">
        <f>IFERROR(MATCH(152,РАБОТЫ!$X$2:$X$1058,0),"")</f>
        <v/>
      </c>
      <c r="L173" t="str">
        <f>IFERROR(IF(INDEX(РАБОТЫ!$W$2:$W$1058,MATCH(152+1,РАБОТЫ!$X$2:$X$1058,0))=1,INDEX(РАБОТЫ!$V$2:$V$1058,MATCH(152+1,РАБОТЫ!$X$2:$X$1058,0)),""),"")</f>
        <v/>
      </c>
      <c r="M173" t="str">
        <f t="shared" si="11"/>
        <v/>
      </c>
    </row>
    <row r="174" spans="1:13" hidden="1" x14ac:dyDescent="0.3">
      <c r="A174" t="str">
        <f>IF(ISNUMBER($K174),INDEX(РАБОТЫ!$U$2:$U$1058,$K174),"")</f>
        <v/>
      </c>
      <c r="B174" t="str">
        <f>IF(ISNUMBER($K174),INDEX(РАБОТЫ!$A$2:$A$1058,$K174),"")</f>
        <v/>
      </c>
      <c r="C174" s="4" t="str">
        <f>IF($L174&lt;&gt;"",INDEX(РАБОТЫ!$Z$2:$Z$1058,MATCH($L174,РАБОТЫ!$V$2:$V$1058,0)),IF(ISNUMBER($K174),INDEX(РАБОТЫ!$Y$2:$Y$1058,$K174),""))</f>
        <v/>
      </c>
      <c r="D174" t="str">
        <f>IF(ISNUMBER($K174),INDEX(РАБОТЫ!$E$2:$E$1058,$K174),"")</f>
        <v/>
      </c>
      <c r="E174" t="str">
        <f>IF(ISNUMBER($K174),INDEX(РАБОТЫ!$M$2:$M$1058,$K174),"")</f>
        <v/>
      </c>
      <c r="F174" s="7" t="str">
        <f>IF(ISNUMBER($K174),INDEX(РАБОТЫ!$S$2:$S$1058,$K174),"")</f>
        <v/>
      </c>
      <c r="G174" s="7" t="str">
        <f>IF(ISNUMBER($K174),INDEX(РАБОТЫ!$T$2:$T$1058,$K174),"")</f>
        <v/>
      </c>
      <c r="H174" s="7" t="str">
        <f t="shared" si="8"/>
        <v/>
      </c>
      <c r="I174" s="7" t="str">
        <f t="shared" si="9"/>
        <v/>
      </c>
      <c r="J174" s="7" t="str">
        <f t="shared" si="10"/>
        <v/>
      </c>
      <c r="K174" t="str">
        <f>IFERROR(MATCH(153,РАБОТЫ!$X$2:$X$1058,0),"")</f>
        <v/>
      </c>
      <c r="L174" t="str">
        <f>IFERROR(IF(INDEX(РАБОТЫ!$W$2:$W$1058,MATCH(153+1,РАБОТЫ!$X$2:$X$1058,0))=1,INDEX(РАБОТЫ!$V$2:$V$1058,MATCH(153+1,РАБОТЫ!$X$2:$X$1058,0)),""),"")</f>
        <v/>
      </c>
      <c r="M174" t="str">
        <f t="shared" si="11"/>
        <v/>
      </c>
    </row>
    <row r="175" spans="1:13" hidden="1" x14ac:dyDescent="0.3">
      <c r="A175" t="str">
        <f>IF(ISNUMBER($K175),INDEX(РАБОТЫ!$U$2:$U$1058,$K175),"")</f>
        <v/>
      </c>
      <c r="B175" t="str">
        <f>IF(ISNUMBER($K175),INDEX(РАБОТЫ!$A$2:$A$1058,$K175),"")</f>
        <v/>
      </c>
      <c r="C175" s="4" t="str">
        <f>IF($L175&lt;&gt;"",INDEX(РАБОТЫ!$Z$2:$Z$1058,MATCH($L175,РАБОТЫ!$V$2:$V$1058,0)),IF(ISNUMBER($K175),INDEX(РАБОТЫ!$Y$2:$Y$1058,$K175),""))</f>
        <v/>
      </c>
      <c r="D175" t="str">
        <f>IF(ISNUMBER($K175),INDEX(РАБОТЫ!$E$2:$E$1058,$K175),"")</f>
        <v/>
      </c>
      <c r="E175" t="str">
        <f>IF(ISNUMBER($K175),INDEX(РАБОТЫ!$M$2:$M$1058,$K175),"")</f>
        <v/>
      </c>
      <c r="F175" s="7" t="str">
        <f>IF(ISNUMBER($K175),INDEX(РАБОТЫ!$S$2:$S$1058,$K175),"")</f>
        <v/>
      </c>
      <c r="G175" s="7" t="str">
        <f>IF(ISNUMBER($K175),INDEX(РАБОТЫ!$T$2:$T$1058,$K175),"")</f>
        <v/>
      </c>
      <c r="H175" s="7" t="str">
        <f t="shared" si="8"/>
        <v/>
      </c>
      <c r="I175" s="7" t="str">
        <f t="shared" si="9"/>
        <v/>
      </c>
      <c r="J175" s="7" t="str">
        <f t="shared" si="10"/>
        <v/>
      </c>
      <c r="K175" t="str">
        <f>IFERROR(MATCH(154,РАБОТЫ!$X$2:$X$1058,0),"")</f>
        <v/>
      </c>
      <c r="L175" t="str">
        <f>IFERROR(IF(INDEX(РАБОТЫ!$W$2:$W$1058,MATCH(154+1,РАБОТЫ!$X$2:$X$1058,0))=1,INDEX(РАБОТЫ!$V$2:$V$1058,MATCH(154+1,РАБОТЫ!$X$2:$X$1058,0)),""),"")</f>
        <v/>
      </c>
      <c r="M175" t="str">
        <f t="shared" si="11"/>
        <v/>
      </c>
    </row>
    <row r="176" spans="1:13" hidden="1" x14ac:dyDescent="0.3">
      <c r="A176" t="str">
        <f>IF(ISNUMBER($K176),INDEX(РАБОТЫ!$U$2:$U$1058,$K176),"")</f>
        <v/>
      </c>
      <c r="B176" t="str">
        <f>IF(ISNUMBER($K176),INDEX(РАБОТЫ!$A$2:$A$1058,$K176),"")</f>
        <v/>
      </c>
      <c r="C176" s="4" t="str">
        <f>IF($L176&lt;&gt;"",INDEX(РАБОТЫ!$Z$2:$Z$1058,MATCH($L176,РАБОТЫ!$V$2:$V$1058,0)),IF(ISNUMBER($K176),INDEX(РАБОТЫ!$Y$2:$Y$1058,$K176),""))</f>
        <v/>
      </c>
      <c r="D176" t="str">
        <f>IF(ISNUMBER($K176),INDEX(РАБОТЫ!$E$2:$E$1058,$K176),"")</f>
        <v/>
      </c>
      <c r="E176" t="str">
        <f>IF(ISNUMBER($K176),INDEX(РАБОТЫ!$M$2:$M$1058,$K176),"")</f>
        <v/>
      </c>
      <c r="F176" s="7" t="str">
        <f>IF(ISNUMBER($K176),INDEX(РАБОТЫ!$S$2:$S$1058,$K176),"")</f>
        <v/>
      </c>
      <c r="G176" s="7" t="str">
        <f>IF(ISNUMBER($K176),INDEX(РАБОТЫ!$T$2:$T$1058,$K176),"")</f>
        <v/>
      </c>
      <c r="H176" s="7" t="str">
        <f t="shared" si="8"/>
        <v/>
      </c>
      <c r="I176" s="7" t="str">
        <f t="shared" si="9"/>
        <v/>
      </c>
      <c r="J176" s="7" t="str">
        <f t="shared" si="10"/>
        <v/>
      </c>
      <c r="K176" t="str">
        <f>IFERROR(MATCH(155,РАБОТЫ!$X$2:$X$1058,0),"")</f>
        <v/>
      </c>
      <c r="L176" t="str">
        <f>IFERROR(IF(INDEX(РАБОТЫ!$W$2:$W$1058,MATCH(155+1,РАБОТЫ!$X$2:$X$1058,0))=1,INDEX(РАБОТЫ!$V$2:$V$1058,MATCH(155+1,РАБОТЫ!$X$2:$X$1058,0)),""),"")</f>
        <v/>
      </c>
      <c r="M176" t="str">
        <f t="shared" si="11"/>
        <v/>
      </c>
    </row>
    <row r="177" spans="1:13" hidden="1" x14ac:dyDescent="0.3">
      <c r="A177" t="str">
        <f>IF(ISNUMBER($K177),INDEX(РАБОТЫ!$U$2:$U$1058,$K177),"")</f>
        <v/>
      </c>
      <c r="B177" t="str">
        <f>IF(ISNUMBER($K177),INDEX(РАБОТЫ!$A$2:$A$1058,$K177),"")</f>
        <v/>
      </c>
      <c r="C177" s="4" t="str">
        <f>IF($L177&lt;&gt;"",INDEX(РАБОТЫ!$Z$2:$Z$1058,MATCH($L177,РАБОТЫ!$V$2:$V$1058,0)),IF(ISNUMBER($K177),INDEX(РАБОТЫ!$Y$2:$Y$1058,$K177),""))</f>
        <v/>
      </c>
      <c r="D177" t="str">
        <f>IF(ISNUMBER($K177),INDEX(РАБОТЫ!$E$2:$E$1058,$K177),"")</f>
        <v/>
      </c>
      <c r="E177" t="str">
        <f>IF(ISNUMBER($K177),INDEX(РАБОТЫ!$M$2:$M$1058,$K177),"")</f>
        <v/>
      </c>
      <c r="F177" s="7" t="str">
        <f>IF(ISNUMBER($K177),INDEX(РАБОТЫ!$S$2:$S$1058,$K177),"")</f>
        <v/>
      </c>
      <c r="G177" s="7" t="str">
        <f>IF(ISNUMBER($K177),INDEX(РАБОТЫ!$T$2:$T$1058,$K177),"")</f>
        <v/>
      </c>
      <c r="H177" s="7" t="str">
        <f t="shared" si="8"/>
        <v/>
      </c>
      <c r="I177" s="7" t="str">
        <f t="shared" si="9"/>
        <v/>
      </c>
      <c r="J177" s="7" t="str">
        <f t="shared" si="10"/>
        <v/>
      </c>
      <c r="K177" t="str">
        <f>IFERROR(MATCH(156,РАБОТЫ!$X$2:$X$1058,0),"")</f>
        <v/>
      </c>
      <c r="L177" t="str">
        <f>IFERROR(IF(INDEX(РАБОТЫ!$W$2:$W$1058,MATCH(156+1,РАБОТЫ!$X$2:$X$1058,0))=1,INDEX(РАБОТЫ!$V$2:$V$1058,MATCH(156+1,РАБОТЫ!$X$2:$X$1058,0)),""),"")</f>
        <v/>
      </c>
      <c r="M177" t="str">
        <f t="shared" si="11"/>
        <v/>
      </c>
    </row>
    <row r="178" spans="1:13" hidden="1" x14ac:dyDescent="0.3">
      <c r="A178" t="str">
        <f>IF(ISNUMBER($K178),INDEX(РАБОТЫ!$U$2:$U$1058,$K178),"")</f>
        <v/>
      </c>
      <c r="B178" t="str">
        <f>IF(ISNUMBER($K178),INDEX(РАБОТЫ!$A$2:$A$1058,$K178),"")</f>
        <v/>
      </c>
      <c r="C178" s="4" t="str">
        <f>IF($L178&lt;&gt;"",INDEX(РАБОТЫ!$Z$2:$Z$1058,MATCH($L178,РАБОТЫ!$V$2:$V$1058,0)),IF(ISNUMBER($K178),INDEX(РАБОТЫ!$Y$2:$Y$1058,$K178),""))</f>
        <v/>
      </c>
      <c r="D178" t="str">
        <f>IF(ISNUMBER($K178),INDEX(РАБОТЫ!$E$2:$E$1058,$K178),"")</f>
        <v/>
      </c>
      <c r="E178" t="str">
        <f>IF(ISNUMBER($K178),INDEX(РАБОТЫ!$M$2:$M$1058,$K178),"")</f>
        <v/>
      </c>
      <c r="F178" s="7" t="str">
        <f>IF(ISNUMBER($K178),INDEX(РАБОТЫ!$S$2:$S$1058,$K178),"")</f>
        <v/>
      </c>
      <c r="G178" s="7" t="str">
        <f>IF(ISNUMBER($K178),INDEX(РАБОТЫ!$T$2:$T$1058,$K178),"")</f>
        <v/>
      </c>
      <c r="H178" s="7" t="str">
        <f t="shared" si="8"/>
        <v/>
      </c>
      <c r="I178" s="7" t="str">
        <f t="shared" si="9"/>
        <v/>
      </c>
      <c r="J178" s="7" t="str">
        <f t="shared" si="10"/>
        <v/>
      </c>
      <c r="K178" t="str">
        <f>IFERROR(MATCH(157,РАБОТЫ!$X$2:$X$1058,0),"")</f>
        <v/>
      </c>
      <c r="L178" t="str">
        <f>IFERROR(IF(INDEX(РАБОТЫ!$W$2:$W$1058,MATCH(157+1,РАБОТЫ!$X$2:$X$1058,0))=1,INDEX(РАБОТЫ!$V$2:$V$1058,MATCH(157+1,РАБОТЫ!$X$2:$X$1058,0)),""),"")</f>
        <v/>
      </c>
      <c r="M178" t="str">
        <f t="shared" si="11"/>
        <v/>
      </c>
    </row>
    <row r="179" spans="1:13" hidden="1" x14ac:dyDescent="0.3">
      <c r="A179" t="str">
        <f>IF(ISNUMBER($K179),INDEX(РАБОТЫ!$U$2:$U$1058,$K179),"")</f>
        <v/>
      </c>
      <c r="B179" t="str">
        <f>IF(ISNUMBER($K179),INDEX(РАБОТЫ!$A$2:$A$1058,$K179),"")</f>
        <v/>
      </c>
      <c r="C179" s="4" t="str">
        <f>IF($L179&lt;&gt;"",INDEX(РАБОТЫ!$Z$2:$Z$1058,MATCH($L179,РАБОТЫ!$V$2:$V$1058,0)),IF(ISNUMBER($K179),INDEX(РАБОТЫ!$Y$2:$Y$1058,$K179),""))</f>
        <v/>
      </c>
      <c r="D179" t="str">
        <f>IF(ISNUMBER($K179),INDEX(РАБОТЫ!$E$2:$E$1058,$K179),"")</f>
        <v/>
      </c>
      <c r="E179" t="str">
        <f>IF(ISNUMBER($K179),INDEX(РАБОТЫ!$M$2:$M$1058,$K179),"")</f>
        <v/>
      </c>
      <c r="F179" s="7" t="str">
        <f>IF(ISNUMBER($K179),INDEX(РАБОТЫ!$S$2:$S$1058,$K179),"")</f>
        <v/>
      </c>
      <c r="G179" s="7" t="str">
        <f>IF(ISNUMBER($K179),INDEX(РАБОТЫ!$T$2:$T$1058,$K179),"")</f>
        <v/>
      </c>
      <c r="H179" s="7" t="str">
        <f t="shared" si="8"/>
        <v/>
      </c>
      <c r="I179" s="7" t="str">
        <f t="shared" si="9"/>
        <v/>
      </c>
      <c r="J179" s="7" t="str">
        <f t="shared" si="10"/>
        <v/>
      </c>
      <c r="K179" t="str">
        <f>IFERROR(MATCH(158,РАБОТЫ!$X$2:$X$1058,0),"")</f>
        <v/>
      </c>
      <c r="L179" t="str">
        <f>IFERROR(IF(INDEX(РАБОТЫ!$W$2:$W$1058,MATCH(158+1,РАБОТЫ!$X$2:$X$1058,0))=1,INDEX(РАБОТЫ!$V$2:$V$1058,MATCH(158+1,РАБОТЫ!$X$2:$X$1058,0)),""),"")</f>
        <v/>
      </c>
      <c r="M179" t="str">
        <f t="shared" si="11"/>
        <v/>
      </c>
    </row>
    <row r="180" spans="1:13" hidden="1" x14ac:dyDescent="0.3">
      <c r="A180" t="str">
        <f>IF(ISNUMBER($K180),INDEX(РАБОТЫ!$U$2:$U$1058,$K180),"")</f>
        <v/>
      </c>
      <c r="B180" t="str">
        <f>IF(ISNUMBER($K180),INDEX(РАБОТЫ!$A$2:$A$1058,$K180),"")</f>
        <v/>
      </c>
      <c r="C180" s="4" t="str">
        <f>IF($L180&lt;&gt;"",INDEX(РАБОТЫ!$Z$2:$Z$1058,MATCH($L180,РАБОТЫ!$V$2:$V$1058,0)),IF(ISNUMBER($K180),INDEX(РАБОТЫ!$Y$2:$Y$1058,$K180),""))</f>
        <v/>
      </c>
      <c r="D180" t="str">
        <f>IF(ISNUMBER($K180),INDEX(РАБОТЫ!$E$2:$E$1058,$K180),"")</f>
        <v/>
      </c>
      <c r="E180" t="str">
        <f>IF(ISNUMBER($K180),INDEX(РАБОТЫ!$M$2:$M$1058,$K180),"")</f>
        <v/>
      </c>
      <c r="F180" s="7" t="str">
        <f>IF(ISNUMBER($K180),INDEX(РАБОТЫ!$S$2:$S$1058,$K180),"")</f>
        <v/>
      </c>
      <c r="G180" s="7" t="str">
        <f>IF(ISNUMBER($K180),INDEX(РАБОТЫ!$T$2:$T$1058,$K180),"")</f>
        <v/>
      </c>
      <c r="H180" s="7" t="str">
        <f t="shared" si="8"/>
        <v/>
      </c>
      <c r="I180" s="7" t="str">
        <f t="shared" si="9"/>
        <v/>
      </c>
      <c r="J180" s="7" t="str">
        <f t="shared" si="10"/>
        <v/>
      </c>
      <c r="K180" t="str">
        <f>IFERROR(MATCH(159,РАБОТЫ!$X$2:$X$1058,0),"")</f>
        <v/>
      </c>
      <c r="L180" t="str">
        <f>IFERROR(IF(INDEX(РАБОТЫ!$W$2:$W$1058,MATCH(159+1,РАБОТЫ!$X$2:$X$1058,0))=1,INDEX(РАБОТЫ!$V$2:$V$1058,MATCH(159+1,РАБОТЫ!$X$2:$X$1058,0)),""),"")</f>
        <v/>
      </c>
      <c r="M180" t="str">
        <f t="shared" si="11"/>
        <v/>
      </c>
    </row>
    <row r="181" spans="1:13" hidden="1" x14ac:dyDescent="0.3">
      <c r="A181" t="str">
        <f>IF(ISNUMBER($K181),INDEX(РАБОТЫ!$U$2:$U$1058,$K181),"")</f>
        <v/>
      </c>
      <c r="B181" t="str">
        <f>IF(ISNUMBER($K181),INDEX(РАБОТЫ!$A$2:$A$1058,$K181),"")</f>
        <v/>
      </c>
      <c r="C181" s="4" t="str">
        <f>IF($L181&lt;&gt;"",INDEX(РАБОТЫ!$Z$2:$Z$1058,MATCH($L181,РАБОТЫ!$V$2:$V$1058,0)),IF(ISNUMBER($K181),INDEX(РАБОТЫ!$Y$2:$Y$1058,$K181),""))</f>
        <v/>
      </c>
      <c r="D181" t="str">
        <f>IF(ISNUMBER($K181),INDEX(РАБОТЫ!$E$2:$E$1058,$K181),"")</f>
        <v/>
      </c>
      <c r="E181" t="str">
        <f>IF(ISNUMBER($K181),INDEX(РАБОТЫ!$M$2:$M$1058,$K181),"")</f>
        <v/>
      </c>
      <c r="F181" s="7" t="str">
        <f>IF(ISNUMBER($K181),INDEX(РАБОТЫ!$S$2:$S$1058,$K181),"")</f>
        <v/>
      </c>
      <c r="G181" s="7" t="str">
        <f>IF(ISNUMBER($K181),INDEX(РАБОТЫ!$T$2:$T$1058,$K181),"")</f>
        <v/>
      </c>
      <c r="H181" s="7" t="str">
        <f t="shared" si="8"/>
        <v/>
      </c>
      <c r="I181" s="7" t="str">
        <f t="shared" si="9"/>
        <v/>
      </c>
      <c r="J181" s="7" t="str">
        <f t="shared" si="10"/>
        <v/>
      </c>
      <c r="K181" t="str">
        <f>IFERROR(MATCH(160,РАБОТЫ!$X$2:$X$1058,0),"")</f>
        <v/>
      </c>
      <c r="L181" t="str">
        <f>IFERROR(IF(INDEX(РАБОТЫ!$W$2:$W$1058,MATCH(160+1,РАБОТЫ!$X$2:$X$1058,0))=1,INDEX(РАБОТЫ!$V$2:$V$1058,MATCH(160+1,РАБОТЫ!$X$2:$X$1058,0)),""),"")</f>
        <v/>
      </c>
      <c r="M181" t="str">
        <f t="shared" si="11"/>
        <v/>
      </c>
    </row>
    <row r="182" spans="1:13" hidden="1" x14ac:dyDescent="0.3">
      <c r="A182" t="str">
        <f>IF(ISNUMBER($K182),INDEX(РАБОТЫ!$U$2:$U$1058,$K182),"")</f>
        <v/>
      </c>
      <c r="B182" t="str">
        <f>IF(ISNUMBER($K182),INDEX(РАБОТЫ!$A$2:$A$1058,$K182),"")</f>
        <v/>
      </c>
      <c r="C182" s="4" t="str">
        <f>IF($L182&lt;&gt;"",INDEX(РАБОТЫ!$Z$2:$Z$1058,MATCH($L182,РАБОТЫ!$V$2:$V$1058,0)),IF(ISNUMBER($K182),INDEX(РАБОТЫ!$Y$2:$Y$1058,$K182),""))</f>
        <v/>
      </c>
      <c r="D182" t="str">
        <f>IF(ISNUMBER($K182),INDEX(РАБОТЫ!$E$2:$E$1058,$K182),"")</f>
        <v/>
      </c>
      <c r="E182" t="str">
        <f>IF(ISNUMBER($K182),INDEX(РАБОТЫ!$M$2:$M$1058,$K182),"")</f>
        <v/>
      </c>
      <c r="F182" s="7" t="str">
        <f>IF(ISNUMBER($K182),INDEX(РАБОТЫ!$S$2:$S$1058,$K182),"")</f>
        <v/>
      </c>
      <c r="G182" s="7" t="str">
        <f>IF(ISNUMBER($K182),INDEX(РАБОТЫ!$T$2:$T$1058,$K182),"")</f>
        <v/>
      </c>
      <c r="H182" s="7" t="str">
        <f t="shared" si="8"/>
        <v/>
      </c>
      <c r="I182" s="7" t="str">
        <f t="shared" si="9"/>
        <v/>
      </c>
      <c r="J182" s="7" t="str">
        <f t="shared" si="10"/>
        <v/>
      </c>
      <c r="K182" t="str">
        <f>IFERROR(MATCH(161,РАБОТЫ!$X$2:$X$1058,0),"")</f>
        <v/>
      </c>
      <c r="L182" t="str">
        <f>IFERROR(IF(INDEX(РАБОТЫ!$W$2:$W$1058,MATCH(161+1,РАБОТЫ!$X$2:$X$1058,0))=1,INDEX(РАБОТЫ!$V$2:$V$1058,MATCH(161+1,РАБОТЫ!$X$2:$X$1058,0)),""),"")</f>
        <v/>
      </c>
      <c r="M182" t="str">
        <f t="shared" si="11"/>
        <v/>
      </c>
    </row>
    <row r="183" spans="1:13" hidden="1" x14ac:dyDescent="0.3">
      <c r="A183" t="str">
        <f>IF(ISNUMBER($K183),INDEX(РАБОТЫ!$U$2:$U$1058,$K183),"")</f>
        <v/>
      </c>
      <c r="B183" t="str">
        <f>IF(ISNUMBER($K183),INDEX(РАБОТЫ!$A$2:$A$1058,$K183),"")</f>
        <v/>
      </c>
      <c r="C183" s="4" t="str">
        <f>IF($L183&lt;&gt;"",INDEX(РАБОТЫ!$Z$2:$Z$1058,MATCH($L183,РАБОТЫ!$V$2:$V$1058,0)),IF(ISNUMBER($K183),INDEX(РАБОТЫ!$Y$2:$Y$1058,$K183),""))</f>
        <v/>
      </c>
      <c r="D183" t="str">
        <f>IF(ISNUMBER($K183),INDEX(РАБОТЫ!$E$2:$E$1058,$K183),"")</f>
        <v/>
      </c>
      <c r="E183" t="str">
        <f>IF(ISNUMBER($K183),INDEX(РАБОТЫ!$M$2:$M$1058,$K183),"")</f>
        <v/>
      </c>
      <c r="F183" s="7" t="str">
        <f>IF(ISNUMBER($K183),INDEX(РАБОТЫ!$S$2:$S$1058,$K183),"")</f>
        <v/>
      </c>
      <c r="G183" s="7" t="str">
        <f>IF(ISNUMBER($K183),INDEX(РАБОТЫ!$T$2:$T$1058,$K183),"")</f>
        <v/>
      </c>
      <c r="H183" s="7" t="str">
        <f t="shared" si="8"/>
        <v/>
      </c>
      <c r="I183" s="7" t="str">
        <f t="shared" si="9"/>
        <v/>
      </c>
      <c r="J183" s="7" t="str">
        <f t="shared" si="10"/>
        <v/>
      </c>
      <c r="K183" t="str">
        <f>IFERROR(MATCH(162,РАБОТЫ!$X$2:$X$1058,0),"")</f>
        <v/>
      </c>
      <c r="L183" t="str">
        <f>IFERROR(IF(INDEX(РАБОТЫ!$W$2:$W$1058,MATCH(162+1,РАБОТЫ!$X$2:$X$1058,0))=1,INDEX(РАБОТЫ!$V$2:$V$1058,MATCH(162+1,РАБОТЫ!$X$2:$X$1058,0)),""),"")</f>
        <v/>
      </c>
      <c r="M183" t="str">
        <f t="shared" si="11"/>
        <v/>
      </c>
    </row>
    <row r="184" spans="1:13" hidden="1" x14ac:dyDescent="0.3">
      <c r="A184" t="str">
        <f>IF(ISNUMBER($K184),INDEX(РАБОТЫ!$U$2:$U$1058,$K184),"")</f>
        <v/>
      </c>
      <c r="B184" t="str">
        <f>IF(ISNUMBER($K184),INDEX(РАБОТЫ!$A$2:$A$1058,$K184),"")</f>
        <v/>
      </c>
      <c r="C184" s="4" t="str">
        <f>IF($L184&lt;&gt;"",INDEX(РАБОТЫ!$Z$2:$Z$1058,MATCH($L184,РАБОТЫ!$V$2:$V$1058,0)),IF(ISNUMBER($K184),INDEX(РАБОТЫ!$Y$2:$Y$1058,$K184),""))</f>
        <v/>
      </c>
      <c r="D184" t="str">
        <f>IF(ISNUMBER($K184),INDEX(РАБОТЫ!$E$2:$E$1058,$K184),"")</f>
        <v/>
      </c>
      <c r="E184" t="str">
        <f>IF(ISNUMBER($K184),INDEX(РАБОТЫ!$M$2:$M$1058,$K184),"")</f>
        <v/>
      </c>
      <c r="F184" s="7" t="str">
        <f>IF(ISNUMBER($K184),INDEX(РАБОТЫ!$S$2:$S$1058,$K184),"")</f>
        <v/>
      </c>
      <c r="G184" s="7" t="str">
        <f>IF(ISNUMBER($K184),INDEX(РАБОТЫ!$T$2:$T$1058,$K184),"")</f>
        <v/>
      </c>
      <c r="H184" s="7" t="str">
        <f t="shared" si="8"/>
        <v/>
      </c>
      <c r="I184" s="7" t="str">
        <f t="shared" si="9"/>
        <v/>
      </c>
      <c r="J184" s="7" t="str">
        <f t="shared" si="10"/>
        <v/>
      </c>
      <c r="K184" t="str">
        <f>IFERROR(MATCH(163,РАБОТЫ!$X$2:$X$1058,0),"")</f>
        <v/>
      </c>
      <c r="L184" t="str">
        <f>IFERROR(IF(INDEX(РАБОТЫ!$W$2:$W$1058,MATCH(163+1,РАБОТЫ!$X$2:$X$1058,0))=1,INDEX(РАБОТЫ!$V$2:$V$1058,MATCH(163+1,РАБОТЫ!$X$2:$X$1058,0)),""),"")</f>
        <v/>
      </c>
      <c r="M184" t="str">
        <f t="shared" si="11"/>
        <v/>
      </c>
    </row>
    <row r="185" spans="1:13" hidden="1" x14ac:dyDescent="0.3">
      <c r="A185" t="str">
        <f>IF(ISNUMBER($K185),INDEX(РАБОТЫ!$U$2:$U$1058,$K185),"")</f>
        <v/>
      </c>
      <c r="B185" t="str">
        <f>IF(ISNUMBER($K185),INDEX(РАБОТЫ!$A$2:$A$1058,$K185),"")</f>
        <v/>
      </c>
      <c r="C185" s="4" t="str">
        <f>IF($L185&lt;&gt;"",INDEX(РАБОТЫ!$Z$2:$Z$1058,MATCH($L185,РАБОТЫ!$V$2:$V$1058,0)),IF(ISNUMBER($K185),INDEX(РАБОТЫ!$Y$2:$Y$1058,$K185),""))</f>
        <v/>
      </c>
      <c r="D185" t="str">
        <f>IF(ISNUMBER($K185),INDEX(РАБОТЫ!$E$2:$E$1058,$K185),"")</f>
        <v/>
      </c>
      <c r="E185" t="str">
        <f>IF(ISNUMBER($K185),INDEX(РАБОТЫ!$M$2:$M$1058,$K185),"")</f>
        <v/>
      </c>
      <c r="F185" s="7" t="str">
        <f>IF(ISNUMBER($K185),INDEX(РАБОТЫ!$S$2:$S$1058,$K185),"")</f>
        <v/>
      </c>
      <c r="G185" s="7" t="str">
        <f>IF(ISNUMBER($K185),INDEX(РАБОТЫ!$T$2:$T$1058,$K185),"")</f>
        <v/>
      </c>
      <c r="H185" s="7" t="str">
        <f t="shared" si="8"/>
        <v/>
      </c>
      <c r="I185" s="7" t="str">
        <f t="shared" si="9"/>
        <v/>
      </c>
      <c r="J185" s="7" t="str">
        <f t="shared" si="10"/>
        <v/>
      </c>
      <c r="K185" t="str">
        <f>IFERROR(MATCH(164,РАБОТЫ!$X$2:$X$1058,0),"")</f>
        <v/>
      </c>
      <c r="L185" t="str">
        <f>IFERROR(IF(INDEX(РАБОТЫ!$W$2:$W$1058,MATCH(164+1,РАБОТЫ!$X$2:$X$1058,0))=1,INDEX(РАБОТЫ!$V$2:$V$1058,MATCH(164+1,РАБОТЫ!$X$2:$X$1058,0)),""),"")</f>
        <v/>
      </c>
      <c r="M185" t="str">
        <f t="shared" si="11"/>
        <v/>
      </c>
    </row>
    <row r="186" spans="1:13" hidden="1" x14ac:dyDescent="0.3">
      <c r="A186" t="str">
        <f>IF(ISNUMBER($K186),INDEX(РАБОТЫ!$U$2:$U$1058,$K186),"")</f>
        <v/>
      </c>
      <c r="B186" t="str">
        <f>IF(ISNUMBER($K186),INDEX(РАБОТЫ!$A$2:$A$1058,$K186),"")</f>
        <v/>
      </c>
      <c r="C186" s="4" t="str">
        <f>IF($L186&lt;&gt;"",INDEX(РАБОТЫ!$Z$2:$Z$1058,MATCH($L186,РАБОТЫ!$V$2:$V$1058,0)),IF(ISNUMBER($K186),INDEX(РАБОТЫ!$Y$2:$Y$1058,$K186),""))</f>
        <v/>
      </c>
      <c r="D186" t="str">
        <f>IF(ISNUMBER($K186),INDEX(РАБОТЫ!$E$2:$E$1058,$K186),"")</f>
        <v/>
      </c>
      <c r="E186" t="str">
        <f>IF(ISNUMBER($K186),INDEX(РАБОТЫ!$M$2:$M$1058,$K186),"")</f>
        <v/>
      </c>
      <c r="F186" s="7" t="str">
        <f>IF(ISNUMBER($K186),INDEX(РАБОТЫ!$S$2:$S$1058,$K186),"")</f>
        <v/>
      </c>
      <c r="G186" s="7" t="str">
        <f>IF(ISNUMBER($K186),INDEX(РАБОТЫ!$T$2:$T$1058,$K186),"")</f>
        <v/>
      </c>
      <c r="H186" s="7" t="str">
        <f t="shared" si="8"/>
        <v/>
      </c>
      <c r="I186" s="7" t="str">
        <f t="shared" si="9"/>
        <v/>
      </c>
      <c r="J186" s="7" t="str">
        <f t="shared" si="10"/>
        <v/>
      </c>
      <c r="K186" t="str">
        <f>IFERROR(MATCH(165,РАБОТЫ!$X$2:$X$1058,0),"")</f>
        <v/>
      </c>
      <c r="L186" t="str">
        <f>IFERROR(IF(INDEX(РАБОТЫ!$W$2:$W$1058,MATCH(165+1,РАБОТЫ!$X$2:$X$1058,0))=1,INDEX(РАБОТЫ!$V$2:$V$1058,MATCH(165+1,РАБОТЫ!$X$2:$X$1058,0)),""),"")</f>
        <v/>
      </c>
      <c r="M186" t="str">
        <f t="shared" si="11"/>
        <v/>
      </c>
    </row>
    <row r="187" spans="1:13" hidden="1" x14ac:dyDescent="0.3">
      <c r="A187" t="str">
        <f>IF(ISNUMBER($K187),INDEX(РАБОТЫ!$U$2:$U$1058,$K187),"")</f>
        <v/>
      </c>
      <c r="B187" t="str">
        <f>IF(ISNUMBER($K187),INDEX(РАБОТЫ!$A$2:$A$1058,$K187),"")</f>
        <v/>
      </c>
      <c r="C187" s="4" t="str">
        <f>IF($L187&lt;&gt;"",INDEX(РАБОТЫ!$Z$2:$Z$1058,MATCH($L187,РАБОТЫ!$V$2:$V$1058,0)),IF(ISNUMBER($K187),INDEX(РАБОТЫ!$Y$2:$Y$1058,$K187),""))</f>
        <v/>
      </c>
      <c r="D187" t="str">
        <f>IF(ISNUMBER($K187),INDEX(РАБОТЫ!$E$2:$E$1058,$K187),"")</f>
        <v/>
      </c>
      <c r="E187" t="str">
        <f>IF(ISNUMBER($K187),INDEX(РАБОТЫ!$M$2:$M$1058,$K187),"")</f>
        <v/>
      </c>
      <c r="F187" s="7" t="str">
        <f>IF(ISNUMBER($K187),INDEX(РАБОТЫ!$S$2:$S$1058,$K187),"")</f>
        <v/>
      </c>
      <c r="G187" s="7" t="str">
        <f>IF(ISNUMBER($K187),INDEX(РАБОТЫ!$T$2:$T$1058,$K187),"")</f>
        <v/>
      </c>
      <c r="H187" s="7" t="str">
        <f t="shared" si="8"/>
        <v/>
      </c>
      <c r="I187" s="7" t="str">
        <f t="shared" si="9"/>
        <v/>
      </c>
      <c r="J187" s="7" t="str">
        <f t="shared" si="10"/>
        <v/>
      </c>
      <c r="K187" t="str">
        <f>IFERROR(MATCH(166,РАБОТЫ!$X$2:$X$1058,0),"")</f>
        <v/>
      </c>
      <c r="L187" t="str">
        <f>IFERROR(IF(INDEX(РАБОТЫ!$W$2:$W$1058,MATCH(166+1,РАБОТЫ!$X$2:$X$1058,0))=1,INDEX(РАБОТЫ!$V$2:$V$1058,MATCH(166+1,РАБОТЫ!$X$2:$X$1058,0)),""),"")</f>
        <v/>
      </c>
      <c r="M187" t="str">
        <f t="shared" si="11"/>
        <v/>
      </c>
    </row>
    <row r="188" spans="1:13" hidden="1" x14ac:dyDescent="0.3">
      <c r="A188" t="str">
        <f>IF(ISNUMBER($K188),INDEX(РАБОТЫ!$U$2:$U$1058,$K188),"")</f>
        <v/>
      </c>
      <c r="B188" t="str">
        <f>IF(ISNUMBER($K188),INDEX(РАБОТЫ!$A$2:$A$1058,$K188),"")</f>
        <v/>
      </c>
      <c r="C188" s="4" t="str">
        <f>IF($L188&lt;&gt;"",INDEX(РАБОТЫ!$Z$2:$Z$1058,MATCH($L188,РАБОТЫ!$V$2:$V$1058,0)),IF(ISNUMBER($K188),INDEX(РАБОТЫ!$Y$2:$Y$1058,$K188),""))</f>
        <v/>
      </c>
      <c r="D188" t="str">
        <f>IF(ISNUMBER($K188),INDEX(РАБОТЫ!$E$2:$E$1058,$K188),"")</f>
        <v/>
      </c>
      <c r="E188" t="str">
        <f>IF(ISNUMBER($K188),INDEX(РАБОТЫ!$M$2:$M$1058,$K188),"")</f>
        <v/>
      </c>
      <c r="F188" s="7" t="str">
        <f>IF(ISNUMBER($K188),INDEX(РАБОТЫ!$S$2:$S$1058,$K188),"")</f>
        <v/>
      </c>
      <c r="G188" s="7" t="str">
        <f>IF(ISNUMBER($K188),INDEX(РАБОТЫ!$T$2:$T$1058,$K188),"")</f>
        <v/>
      </c>
      <c r="H188" s="7" t="str">
        <f t="shared" si="8"/>
        <v/>
      </c>
      <c r="I188" s="7" t="str">
        <f t="shared" si="9"/>
        <v/>
      </c>
      <c r="J188" s="7" t="str">
        <f t="shared" si="10"/>
        <v/>
      </c>
      <c r="K188" t="str">
        <f>IFERROR(MATCH(167,РАБОТЫ!$X$2:$X$1058,0),"")</f>
        <v/>
      </c>
      <c r="L188" t="str">
        <f>IFERROR(IF(INDEX(РАБОТЫ!$W$2:$W$1058,MATCH(167+1,РАБОТЫ!$X$2:$X$1058,0))=1,INDEX(РАБОТЫ!$V$2:$V$1058,MATCH(167+1,РАБОТЫ!$X$2:$X$1058,0)),""),"")</f>
        <v/>
      </c>
      <c r="M188" t="str">
        <f t="shared" si="11"/>
        <v/>
      </c>
    </row>
    <row r="189" spans="1:13" hidden="1" x14ac:dyDescent="0.3">
      <c r="A189" t="str">
        <f>IF(ISNUMBER($K189),INDEX(РАБОТЫ!$U$2:$U$1058,$K189),"")</f>
        <v/>
      </c>
      <c r="B189" t="str">
        <f>IF(ISNUMBER($K189),INDEX(РАБОТЫ!$A$2:$A$1058,$K189),"")</f>
        <v/>
      </c>
      <c r="C189" s="4" t="str">
        <f>IF($L189&lt;&gt;"",INDEX(РАБОТЫ!$Z$2:$Z$1058,MATCH($L189,РАБОТЫ!$V$2:$V$1058,0)),IF(ISNUMBER($K189),INDEX(РАБОТЫ!$Y$2:$Y$1058,$K189),""))</f>
        <v/>
      </c>
      <c r="D189" t="str">
        <f>IF(ISNUMBER($K189),INDEX(РАБОТЫ!$E$2:$E$1058,$K189),"")</f>
        <v/>
      </c>
      <c r="E189" t="str">
        <f>IF(ISNUMBER($K189),INDEX(РАБОТЫ!$M$2:$M$1058,$K189),"")</f>
        <v/>
      </c>
      <c r="F189" s="7" t="str">
        <f>IF(ISNUMBER($K189),INDEX(РАБОТЫ!$S$2:$S$1058,$K189),"")</f>
        <v/>
      </c>
      <c r="G189" s="7" t="str">
        <f>IF(ISNUMBER($K189),INDEX(РАБОТЫ!$T$2:$T$1058,$K189),"")</f>
        <v/>
      </c>
      <c r="H189" s="7" t="str">
        <f t="shared" si="8"/>
        <v/>
      </c>
      <c r="I189" s="7" t="str">
        <f t="shared" si="9"/>
        <v/>
      </c>
      <c r="J189" s="7" t="str">
        <f t="shared" si="10"/>
        <v/>
      </c>
      <c r="K189" t="str">
        <f>IFERROR(MATCH(168,РАБОТЫ!$X$2:$X$1058,0),"")</f>
        <v/>
      </c>
      <c r="L189" t="str">
        <f>IFERROR(IF(INDEX(РАБОТЫ!$W$2:$W$1058,MATCH(168+1,РАБОТЫ!$X$2:$X$1058,0))=1,INDEX(РАБОТЫ!$V$2:$V$1058,MATCH(168+1,РАБОТЫ!$X$2:$X$1058,0)),""),"")</f>
        <v/>
      </c>
      <c r="M189" t="str">
        <f t="shared" si="11"/>
        <v/>
      </c>
    </row>
    <row r="190" spans="1:13" hidden="1" x14ac:dyDescent="0.3">
      <c r="A190" t="str">
        <f>IF(ISNUMBER($K190),INDEX(РАБОТЫ!$U$2:$U$1058,$K190),"")</f>
        <v/>
      </c>
      <c r="B190" t="str">
        <f>IF(ISNUMBER($K190),INDEX(РАБОТЫ!$A$2:$A$1058,$K190),"")</f>
        <v/>
      </c>
      <c r="C190" s="4" t="str">
        <f>IF($L190&lt;&gt;"",INDEX(РАБОТЫ!$Z$2:$Z$1058,MATCH($L190,РАБОТЫ!$V$2:$V$1058,0)),IF(ISNUMBER($K190),INDEX(РАБОТЫ!$Y$2:$Y$1058,$K190),""))</f>
        <v/>
      </c>
      <c r="D190" t="str">
        <f>IF(ISNUMBER($K190),INDEX(РАБОТЫ!$E$2:$E$1058,$K190),"")</f>
        <v/>
      </c>
      <c r="E190" t="str">
        <f>IF(ISNUMBER($K190),INDEX(РАБОТЫ!$M$2:$M$1058,$K190),"")</f>
        <v/>
      </c>
      <c r="F190" s="7" t="str">
        <f>IF(ISNUMBER($K190),INDEX(РАБОТЫ!$S$2:$S$1058,$K190),"")</f>
        <v/>
      </c>
      <c r="G190" s="7" t="str">
        <f>IF(ISNUMBER($K190),INDEX(РАБОТЫ!$T$2:$T$1058,$K190),"")</f>
        <v/>
      </c>
      <c r="H190" s="7" t="str">
        <f t="shared" si="8"/>
        <v/>
      </c>
      <c r="I190" s="7" t="str">
        <f t="shared" si="9"/>
        <v/>
      </c>
      <c r="J190" s="7" t="str">
        <f t="shared" si="10"/>
        <v/>
      </c>
      <c r="K190" t="str">
        <f>IFERROR(MATCH(169,РАБОТЫ!$X$2:$X$1058,0),"")</f>
        <v/>
      </c>
      <c r="L190" t="str">
        <f>IFERROR(IF(INDEX(РАБОТЫ!$W$2:$W$1058,MATCH(169+1,РАБОТЫ!$X$2:$X$1058,0))=1,INDEX(РАБОТЫ!$V$2:$V$1058,MATCH(169+1,РАБОТЫ!$X$2:$X$1058,0)),""),"")</f>
        <v/>
      </c>
      <c r="M190" t="str">
        <f t="shared" si="11"/>
        <v/>
      </c>
    </row>
    <row r="191" spans="1:13" hidden="1" x14ac:dyDescent="0.3">
      <c r="A191" t="str">
        <f>IF(ISNUMBER($K191),INDEX(РАБОТЫ!$U$2:$U$1058,$K191),"")</f>
        <v/>
      </c>
      <c r="B191" t="str">
        <f>IF(ISNUMBER($K191),INDEX(РАБОТЫ!$A$2:$A$1058,$K191),"")</f>
        <v/>
      </c>
      <c r="C191" s="4" t="str">
        <f>IF($L191&lt;&gt;"",INDEX(РАБОТЫ!$Z$2:$Z$1058,MATCH($L191,РАБОТЫ!$V$2:$V$1058,0)),IF(ISNUMBER($K191),INDEX(РАБОТЫ!$Y$2:$Y$1058,$K191),""))</f>
        <v/>
      </c>
      <c r="D191" t="str">
        <f>IF(ISNUMBER($K191),INDEX(РАБОТЫ!$E$2:$E$1058,$K191),"")</f>
        <v/>
      </c>
      <c r="E191" t="str">
        <f>IF(ISNUMBER($K191),INDEX(РАБОТЫ!$M$2:$M$1058,$K191),"")</f>
        <v/>
      </c>
      <c r="F191" s="7" t="str">
        <f>IF(ISNUMBER($K191),INDEX(РАБОТЫ!$S$2:$S$1058,$K191),"")</f>
        <v/>
      </c>
      <c r="G191" s="7" t="str">
        <f>IF(ISNUMBER($K191),INDEX(РАБОТЫ!$T$2:$T$1058,$K191),"")</f>
        <v/>
      </c>
      <c r="H191" s="7" t="str">
        <f t="shared" si="8"/>
        <v/>
      </c>
      <c r="I191" s="7" t="str">
        <f t="shared" si="9"/>
        <v/>
      </c>
      <c r="J191" s="7" t="str">
        <f t="shared" si="10"/>
        <v/>
      </c>
      <c r="K191" t="str">
        <f>IFERROR(MATCH(170,РАБОТЫ!$X$2:$X$1058,0),"")</f>
        <v/>
      </c>
      <c r="L191" t="str">
        <f>IFERROR(IF(INDEX(РАБОТЫ!$W$2:$W$1058,MATCH(170+1,РАБОТЫ!$X$2:$X$1058,0))=1,INDEX(РАБОТЫ!$V$2:$V$1058,MATCH(170+1,РАБОТЫ!$X$2:$X$1058,0)),""),"")</f>
        <v/>
      </c>
      <c r="M191" t="str">
        <f t="shared" si="11"/>
        <v/>
      </c>
    </row>
    <row r="192" spans="1:13" hidden="1" x14ac:dyDescent="0.3">
      <c r="A192" t="str">
        <f>IF(ISNUMBER($K192),INDEX(РАБОТЫ!$U$2:$U$1058,$K192),"")</f>
        <v/>
      </c>
      <c r="B192" t="str">
        <f>IF(ISNUMBER($K192),INDEX(РАБОТЫ!$A$2:$A$1058,$K192),"")</f>
        <v/>
      </c>
      <c r="C192" s="4" t="str">
        <f>IF($L192&lt;&gt;"",INDEX(РАБОТЫ!$Z$2:$Z$1058,MATCH($L192,РАБОТЫ!$V$2:$V$1058,0)),IF(ISNUMBER($K192),INDEX(РАБОТЫ!$Y$2:$Y$1058,$K192),""))</f>
        <v/>
      </c>
      <c r="D192" t="str">
        <f>IF(ISNUMBER($K192),INDEX(РАБОТЫ!$E$2:$E$1058,$K192),"")</f>
        <v/>
      </c>
      <c r="E192" t="str">
        <f>IF(ISNUMBER($K192),INDEX(РАБОТЫ!$M$2:$M$1058,$K192),"")</f>
        <v/>
      </c>
      <c r="F192" s="7" t="str">
        <f>IF(ISNUMBER($K192),INDEX(РАБОТЫ!$S$2:$S$1058,$K192),"")</f>
        <v/>
      </c>
      <c r="G192" s="7" t="str">
        <f>IF(ISNUMBER($K192),INDEX(РАБОТЫ!$T$2:$T$1058,$K192),"")</f>
        <v/>
      </c>
      <c r="H192" s="7" t="str">
        <f t="shared" si="8"/>
        <v/>
      </c>
      <c r="I192" s="7" t="str">
        <f t="shared" si="9"/>
        <v/>
      </c>
      <c r="J192" s="7" t="str">
        <f t="shared" si="10"/>
        <v/>
      </c>
      <c r="K192" t="str">
        <f>IFERROR(MATCH(171,РАБОТЫ!$X$2:$X$1058,0),"")</f>
        <v/>
      </c>
      <c r="L192" t="str">
        <f>IFERROR(IF(INDEX(РАБОТЫ!$W$2:$W$1058,MATCH(171+1,РАБОТЫ!$X$2:$X$1058,0))=1,INDEX(РАБОТЫ!$V$2:$V$1058,MATCH(171+1,РАБОТЫ!$X$2:$X$1058,0)),""),"")</f>
        <v/>
      </c>
      <c r="M192" t="str">
        <f t="shared" si="11"/>
        <v/>
      </c>
    </row>
    <row r="193" spans="1:13" hidden="1" x14ac:dyDescent="0.3">
      <c r="A193" t="str">
        <f>IF(ISNUMBER($K193),INDEX(РАБОТЫ!$U$2:$U$1058,$K193),"")</f>
        <v/>
      </c>
      <c r="B193" t="str">
        <f>IF(ISNUMBER($K193),INDEX(РАБОТЫ!$A$2:$A$1058,$K193),"")</f>
        <v/>
      </c>
      <c r="C193" s="4" t="str">
        <f>IF($L193&lt;&gt;"",INDEX(РАБОТЫ!$Z$2:$Z$1058,MATCH($L193,РАБОТЫ!$V$2:$V$1058,0)),IF(ISNUMBER($K193),INDEX(РАБОТЫ!$Y$2:$Y$1058,$K193),""))</f>
        <v/>
      </c>
      <c r="D193" t="str">
        <f>IF(ISNUMBER($K193),INDEX(РАБОТЫ!$E$2:$E$1058,$K193),"")</f>
        <v/>
      </c>
      <c r="E193" t="str">
        <f>IF(ISNUMBER($K193),INDEX(РАБОТЫ!$M$2:$M$1058,$K193),"")</f>
        <v/>
      </c>
      <c r="F193" s="7" t="str">
        <f>IF(ISNUMBER($K193),INDEX(РАБОТЫ!$S$2:$S$1058,$K193),"")</f>
        <v/>
      </c>
      <c r="G193" s="7" t="str">
        <f>IF(ISNUMBER($K193),INDEX(РАБОТЫ!$T$2:$T$1058,$K193),"")</f>
        <v/>
      </c>
      <c r="H193" s="7" t="str">
        <f t="shared" si="8"/>
        <v/>
      </c>
      <c r="I193" s="7" t="str">
        <f t="shared" si="9"/>
        <v/>
      </c>
      <c r="J193" s="7" t="str">
        <f t="shared" si="10"/>
        <v/>
      </c>
      <c r="K193" t="str">
        <f>IFERROR(MATCH(172,РАБОТЫ!$X$2:$X$1058,0),"")</f>
        <v/>
      </c>
      <c r="L193" t="str">
        <f>IFERROR(IF(INDEX(РАБОТЫ!$W$2:$W$1058,MATCH(172+1,РАБОТЫ!$X$2:$X$1058,0))=1,INDEX(РАБОТЫ!$V$2:$V$1058,MATCH(172+1,РАБОТЫ!$X$2:$X$1058,0)),""),"")</f>
        <v/>
      </c>
      <c r="M193" t="str">
        <f t="shared" si="11"/>
        <v/>
      </c>
    </row>
    <row r="194" spans="1:13" hidden="1" x14ac:dyDescent="0.3">
      <c r="A194" t="str">
        <f>IF(ISNUMBER($K194),INDEX(РАБОТЫ!$U$2:$U$1058,$K194),"")</f>
        <v/>
      </c>
      <c r="B194" t="str">
        <f>IF(ISNUMBER($K194),INDEX(РАБОТЫ!$A$2:$A$1058,$K194),"")</f>
        <v/>
      </c>
      <c r="C194" s="4" t="str">
        <f>IF($L194&lt;&gt;"",INDEX(РАБОТЫ!$Z$2:$Z$1058,MATCH($L194,РАБОТЫ!$V$2:$V$1058,0)),IF(ISNUMBER($K194),INDEX(РАБОТЫ!$Y$2:$Y$1058,$K194),""))</f>
        <v/>
      </c>
      <c r="D194" t="str">
        <f>IF(ISNUMBER($K194),INDEX(РАБОТЫ!$E$2:$E$1058,$K194),"")</f>
        <v/>
      </c>
      <c r="E194" t="str">
        <f>IF(ISNUMBER($K194),INDEX(РАБОТЫ!$M$2:$M$1058,$K194),"")</f>
        <v/>
      </c>
      <c r="F194" s="7" t="str">
        <f>IF(ISNUMBER($K194),INDEX(РАБОТЫ!$S$2:$S$1058,$K194),"")</f>
        <v/>
      </c>
      <c r="G194" s="7" t="str">
        <f>IF(ISNUMBER($K194),INDEX(РАБОТЫ!$T$2:$T$1058,$K194),"")</f>
        <v/>
      </c>
      <c r="H194" s="7" t="str">
        <f t="shared" si="8"/>
        <v/>
      </c>
      <c r="I194" s="7" t="str">
        <f t="shared" si="9"/>
        <v/>
      </c>
      <c r="J194" s="7" t="str">
        <f t="shared" si="10"/>
        <v/>
      </c>
      <c r="K194" t="str">
        <f>IFERROR(MATCH(173,РАБОТЫ!$X$2:$X$1058,0),"")</f>
        <v/>
      </c>
      <c r="L194" t="str">
        <f>IFERROR(IF(INDEX(РАБОТЫ!$W$2:$W$1058,MATCH(173+1,РАБОТЫ!$X$2:$X$1058,0))=1,INDEX(РАБОТЫ!$V$2:$V$1058,MATCH(173+1,РАБОТЫ!$X$2:$X$1058,0)),""),"")</f>
        <v/>
      </c>
      <c r="M194" t="str">
        <f t="shared" si="11"/>
        <v/>
      </c>
    </row>
    <row r="195" spans="1:13" hidden="1" x14ac:dyDescent="0.3">
      <c r="A195" t="str">
        <f>IF(ISNUMBER($K195),INDEX(РАБОТЫ!$U$2:$U$1058,$K195),"")</f>
        <v/>
      </c>
      <c r="B195" t="str">
        <f>IF(ISNUMBER($K195),INDEX(РАБОТЫ!$A$2:$A$1058,$K195),"")</f>
        <v/>
      </c>
      <c r="C195" s="4" t="str">
        <f>IF($L195&lt;&gt;"",INDEX(РАБОТЫ!$Z$2:$Z$1058,MATCH($L195,РАБОТЫ!$V$2:$V$1058,0)),IF(ISNUMBER($K195),INDEX(РАБОТЫ!$Y$2:$Y$1058,$K195),""))</f>
        <v/>
      </c>
      <c r="D195" t="str">
        <f>IF(ISNUMBER($K195),INDEX(РАБОТЫ!$E$2:$E$1058,$K195),"")</f>
        <v/>
      </c>
      <c r="E195" t="str">
        <f>IF(ISNUMBER($K195),INDEX(РАБОТЫ!$M$2:$M$1058,$K195),"")</f>
        <v/>
      </c>
      <c r="F195" s="7" t="str">
        <f>IF(ISNUMBER($K195),INDEX(РАБОТЫ!$S$2:$S$1058,$K195),"")</f>
        <v/>
      </c>
      <c r="G195" s="7" t="str">
        <f>IF(ISNUMBER($K195),INDEX(РАБОТЫ!$T$2:$T$1058,$K195),"")</f>
        <v/>
      </c>
      <c r="H195" s="7" t="str">
        <f t="shared" si="8"/>
        <v/>
      </c>
      <c r="I195" s="7" t="str">
        <f t="shared" si="9"/>
        <v/>
      </c>
      <c r="J195" s="7" t="str">
        <f t="shared" si="10"/>
        <v/>
      </c>
      <c r="K195" t="str">
        <f>IFERROR(MATCH(174,РАБОТЫ!$X$2:$X$1058,0),"")</f>
        <v/>
      </c>
      <c r="L195" t="str">
        <f>IFERROR(IF(INDEX(РАБОТЫ!$W$2:$W$1058,MATCH(174+1,РАБОТЫ!$X$2:$X$1058,0))=1,INDEX(РАБОТЫ!$V$2:$V$1058,MATCH(174+1,РАБОТЫ!$X$2:$X$1058,0)),""),"")</f>
        <v/>
      </c>
      <c r="M195" t="str">
        <f t="shared" si="11"/>
        <v/>
      </c>
    </row>
    <row r="196" spans="1:13" hidden="1" x14ac:dyDescent="0.3">
      <c r="A196" t="str">
        <f>IF(ISNUMBER($K196),INDEX(РАБОТЫ!$U$2:$U$1058,$K196),"")</f>
        <v/>
      </c>
      <c r="B196" t="str">
        <f>IF(ISNUMBER($K196),INDEX(РАБОТЫ!$A$2:$A$1058,$K196),"")</f>
        <v/>
      </c>
      <c r="C196" s="4" t="str">
        <f>IF($L196&lt;&gt;"",INDEX(РАБОТЫ!$Z$2:$Z$1058,MATCH($L196,РАБОТЫ!$V$2:$V$1058,0)),IF(ISNUMBER($K196),INDEX(РАБОТЫ!$Y$2:$Y$1058,$K196),""))</f>
        <v/>
      </c>
      <c r="D196" t="str">
        <f>IF(ISNUMBER($K196),INDEX(РАБОТЫ!$E$2:$E$1058,$K196),"")</f>
        <v/>
      </c>
      <c r="E196" t="str">
        <f>IF(ISNUMBER($K196),INDEX(РАБОТЫ!$M$2:$M$1058,$K196),"")</f>
        <v/>
      </c>
      <c r="F196" s="7" t="str">
        <f>IF(ISNUMBER($K196),INDEX(РАБОТЫ!$S$2:$S$1058,$K196),"")</f>
        <v/>
      </c>
      <c r="G196" s="7" t="str">
        <f>IF(ISNUMBER($K196),INDEX(РАБОТЫ!$T$2:$T$1058,$K196),"")</f>
        <v/>
      </c>
      <c r="H196" s="7" t="str">
        <f t="shared" si="8"/>
        <v/>
      </c>
      <c r="I196" s="7" t="str">
        <f t="shared" si="9"/>
        <v/>
      </c>
      <c r="J196" s="7" t="str">
        <f t="shared" si="10"/>
        <v/>
      </c>
      <c r="K196" t="str">
        <f>IFERROR(MATCH(175,РАБОТЫ!$X$2:$X$1058,0),"")</f>
        <v/>
      </c>
      <c r="L196" t="str">
        <f>IFERROR(IF(INDEX(РАБОТЫ!$W$2:$W$1058,MATCH(175+1,РАБОТЫ!$X$2:$X$1058,0))=1,INDEX(РАБОТЫ!$V$2:$V$1058,MATCH(175+1,РАБОТЫ!$X$2:$X$1058,0)),""),"")</f>
        <v/>
      </c>
      <c r="M196" t="str">
        <f t="shared" si="11"/>
        <v/>
      </c>
    </row>
    <row r="197" spans="1:13" hidden="1" x14ac:dyDescent="0.3">
      <c r="A197" t="str">
        <f>IF(ISNUMBER($K197),INDEX(РАБОТЫ!$U$2:$U$1058,$K197),"")</f>
        <v/>
      </c>
      <c r="B197" t="str">
        <f>IF(ISNUMBER($K197),INDEX(РАБОТЫ!$A$2:$A$1058,$K197),"")</f>
        <v/>
      </c>
      <c r="C197" s="4" t="str">
        <f>IF($L197&lt;&gt;"",INDEX(РАБОТЫ!$Z$2:$Z$1058,MATCH($L197,РАБОТЫ!$V$2:$V$1058,0)),IF(ISNUMBER($K197),INDEX(РАБОТЫ!$Y$2:$Y$1058,$K197),""))</f>
        <v/>
      </c>
      <c r="D197" t="str">
        <f>IF(ISNUMBER($K197),INDEX(РАБОТЫ!$E$2:$E$1058,$K197),"")</f>
        <v/>
      </c>
      <c r="E197" t="str">
        <f>IF(ISNUMBER($K197),INDEX(РАБОТЫ!$M$2:$M$1058,$K197),"")</f>
        <v/>
      </c>
      <c r="F197" s="7" t="str">
        <f>IF(ISNUMBER($K197),INDEX(РАБОТЫ!$S$2:$S$1058,$K197),"")</f>
        <v/>
      </c>
      <c r="G197" s="7" t="str">
        <f>IF(ISNUMBER($K197),INDEX(РАБОТЫ!$T$2:$T$1058,$K197),"")</f>
        <v/>
      </c>
      <c r="H197" s="7" t="str">
        <f t="shared" si="8"/>
        <v/>
      </c>
      <c r="I197" s="7" t="str">
        <f t="shared" si="9"/>
        <v/>
      </c>
      <c r="J197" s="7" t="str">
        <f t="shared" si="10"/>
        <v/>
      </c>
      <c r="K197" t="str">
        <f>IFERROR(MATCH(176,РАБОТЫ!$X$2:$X$1058,0),"")</f>
        <v/>
      </c>
      <c r="L197" t="str">
        <f>IFERROR(IF(INDEX(РАБОТЫ!$W$2:$W$1058,MATCH(176+1,РАБОТЫ!$X$2:$X$1058,0))=1,INDEX(РАБОТЫ!$V$2:$V$1058,MATCH(176+1,РАБОТЫ!$X$2:$X$1058,0)),""),"")</f>
        <v/>
      </c>
      <c r="M197" t="str">
        <f t="shared" si="11"/>
        <v/>
      </c>
    </row>
    <row r="198" spans="1:13" hidden="1" x14ac:dyDescent="0.3">
      <c r="A198" t="str">
        <f>IF(ISNUMBER($K198),INDEX(РАБОТЫ!$U$2:$U$1058,$K198),"")</f>
        <v/>
      </c>
      <c r="B198" t="str">
        <f>IF(ISNUMBER($K198),INDEX(РАБОТЫ!$A$2:$A$1058,$K198),"")</f>
        <v/>
      </c>
      <c r="C198" s="4" t="str">
        <f>IF($L198&lt;&gt;"",INDEX(РАБОТЫ!$Z$2:$Z$1058,MATCH($L198,РАБОТЫ!$V$2:$V$1058,0)),IF(ISNUMBER($K198),INDEX(РАБОТЫ!$Y$2:$Y$1058,$K198),""))</f>
        <v/>
      </c>
      <c r="D198" t="str">
        <f>IF(ISNUMBER($K198),INDEX(РАБОТЫ!$E$2:$E$1058,$K198),"")</f>
        <v/>
      </c>
      <c r="E198" t="str">
        <f>IF(ISNUMBER($K198),INDEX(РАБОТЫ!$M$2:$M$1058,$K198),"")</f>
        <v/>
      </c>
      <c r="F198" s="7" t="str">
        <f>IF(ISNUMBER($K198),INDEX(РАБОТЫ!$S$2:$S$1058,$K198),"")</f>
        <v/>
      </c>
      <c r="G198" s="7" t="str">
        <f>IF(ISNUMBER($K198),INDEX(РАБОТЫ!$T$2:$T$1058,$K198),"")</f>
        <v/>
      </c>
      <c r="H198" s="7" t="str">
        <f t="shared" si="8"/>
        <v/>
      </c>
      <c r="I198" s="7" t="str">
        <f t="shared" si="9"/>
        <v/>
      </c>
      <c r="J198" s="7" t="str">
        <f t="shared" si="10"/>
        <v/>
      </c>
      <c r="K198" t="str">
        <f>IFERROR(MATCH(177,РАБОТЫ!$X$2:$X$1058,0),"")</f>
        <v/>
      </c>
      <c r="L198" t="str">
        <f>IFERROR(IF(INDEX(РАБОТЫ!$W$2:$W$1058,MATCH(177+1,РАБОТЫ!$X$2:$X$1058,0))=1,INDEX(РАБОТЫ!$V$2:$V$1058,MATCH(177+1,РАБОТЫ!$X$2:$X$1058,0)),""),"")</f>
        <v/>
      </c>
      <c r="M198" t="str">
        <f t="shared" si="11"/>
        <v/>
      </c>
    </row>
    <row r="199" spans="1:13" hidden="1" x14ac:dyDescent="0.3">
      <c r="A199" t="str">
        <f>IF(ISNUMBER($K199),INDEX(РАБОТЫ!$U$2:$U$1058,$K199),"")</f>
        <v/>
      </c>
      <c r="B199" t="str">
        <f>IF(ISNUMBER($K199),INDEX(РАБОТЫ!$A$2:$A$1058,$K199),"")</f>
        <v/>
      </c>
      <c r="C199" s="4" t="str">
        <f>IF($L199&lt;&gt;"",INDEX(РАБОТЫ!$Z$2:$Z$1058,MATCH($L199,РАБОТЫ!$V$2:$V$1058,0)),IF(ISNUMBER($K199),INDEX(РАБОТЫ!$Y$2:$Y$1058,$K199),""))</f>
        <v/>
      </c>
      <c r="D199" t="str">
        <f>IF(ISNUMBER($K199),INDEX(РАБОТЫ!$E$2:$E$1058,$K199),"")</f>
        <v/>
      </c>
      <c r="E199" t="str">
        <f>IF(ISNUMBER($K199),INDEX(РАБОТЫ!$M$2:$M$1058,$K199),"")</f>
        <v/>
      </c>
      <c r="F199" s="7" t="str">
        <f>IF(ISNUMBER($K199),INDEX(РАБОТЫ!$S$2:$S$1058,$K199),"")</f>
        <v/>
      </c>
      <c r="G199" s="7" t="str">
        <f>IF(ISNUMBER($K199),INDEX(РАБОТЫ!$T$2:$T$1058,$K199),"")</f>
        <v/>
      </c>
      <c r="H199" s="7" t="str">
        <f t="shared" si="8"/>
        <v/>
      </c>
      <c r="I199" s="7" t="str">
        <f t="shared" si="9"/>
        <v/>
      </c>
      <c r="J199" s="7" t="str">
        <f t="shared" si="10"/>
        <v/>
      </c>
      <c r="K199" t="str">
        <f>IFERROR(MATCH(178,РАБОТЫ!$X$2:$X$1058,0),"")</f>
        <v/>
      </c>
      <c r="L199" t="str">
        <f>IFERROR(IF(INDEX(РАБОТЫ!$W$2:$W$1058,MATCH(178+1,РАБОТЫ!$X$2:$X$1058,0))=1,INDEX(РАБОТЫ!$V$2:$V$1058,MATCH(178+1,РАБОТЫ!$X$2:$X$1058,0)),""),"")</f>
        <v/>
      </c>
      <c r="M199" t="str">
        <f t="shared" si="11"/>
        <v/>
      </c>
    </row>
    <row r="200" spans="1:13" hidden="1" x14ac:dyDescent="0.3">
      <c r="A200" t="str">
        <f>IF(ISNUMBER($K200),INDEX(РАБОТЫ!$U$2:$U$1058,$K200),"")</f>
        <v/>
      </c>
      <c r="B200" t="str">
        <f>IF(ISNUMBER($K200),INDEX(РАБОТЫ!$A$2:$A$1058,$K200),"")</f>
        <v/>
      </c>
      <c r="C200" s="4" t="str">
        <f>IF($L200&lt;&gt;"",INDEX(РАБОТЫ!$Z$2:$Z$1058,MATCH($L200,РАБОТЫ!$V$2:$V$1058,0)),IF(ISNUMBER($K200),INDEX(РАБОТЫ!$Y$2:$Y$1058,$K200),""))</f>
        <v/>
      </c>
      <c r="D200" t="str">
        <f>IF(ISNUMBER($K200),INDEX(РАБОТЫ!$E$2:$E$1058,$K200),"")</f>
        <v/>
      </c>
      <c r="E200" t="str">
        <f>IF(ISNUMBER($K200),INDEX(РАБОТЫ!$M$2:$M$1058,$K200),"")</f>
        <v/>
      </c>
      <c r="F200" s="7" t="str">
        <f>IF(ISNUMBER($K200),INDEX(РАБОТЫ!$S$2:$S$1058,$K200),"")</f>
        <v/>
      </c>
      <c r="G200" s="7" t="str">
        <f>IF(ISNUMBER($K200),INDEX(РАБОТЫ!$T$2:$T$1058,$K200),"")</f>
        <v/>
      </c>
      <c r="H200" s="7" t="str">
        <f t="shared" si="8"/>
        <v/>
      </c>
      <c r="I200" s="7" t="str">
        <f t="shared" si="9"/>
        <v/>
      </c>
      <c r="J200" s="7" t="str">
        <f t="shared" si="10"/>
        <v/>
      </c>
      <c r="K200" t="str">
        <f>IFERROR(MATCH(179,РАБОТЫ!$X$2:$X$1058,0),"")</f>
        <v/>
      </c>
      <c r="L200" t="str">
        <f>IFERROR(IF(INDEX(РАБОТЫ!$W$2:$W$1058,MATCH(179+1,РАБОТЫ!$X$2:$X$1058,0))=1,INDEX(РАБОТЫ!$V$2:$V$1058,MATCH(179+1,РАБОТЫ!$X$2:$X$1058,0)),""),"")</f>
        <v/>
      </c>
      <c r="M200" t="str">
        <f t="shared" si="11"/>
        <v/>
      </c>
    </row>
    <row r="201" spans="1:13" hidden="1" x14ac:dyDescent="0.3">
      <c r="A201" t="str">
        <f>IF(ISNUMBER($K201),INDEX(РАБОТЫ!$U$2:$U$1058,$K201),"")</f>
        <v/>
      </c>
      <c r="B201" t="str">
        <f>IF(ISNUMBER($K201),INDEX(РАБОТЫ!$A$2:$A$1058,$K201),"")</f>
        <v/>
      </c>
      <c r="C201" s="4" t="str">
        <f>IF($L201&lt;&gt;"",INDEX(РАБОТЫ!$Z$2:$Z$1058,MATCH($L201,РАБОТЫ!$V$2:$V$1058,0)),IF(ISNUMBER($K201),INDEX(РАБОТЫ!$Y$2:$Y$1058,$K201),""))</f>
        <v/>
      </c>
      <c r="D201" t="str">
        <f>IF(ISNUMBER($K201),INDEX(РАБОТЫ!$E$2:$E$1058,$K201),"")</f>
        <v/>
      </c>
      <c r="E201" t="str">
        <f>IF(ISNUMBER($K201),INDEX(РАБОТЫ!$M$2:$M$1058,$K201),"")</f>
        <v/>
      </c>
      <c r="F201" s="7" t="str">
        <f>IF(ISNUMBER($K201),INDEX(РАБОТЫ!$S$2:$S$1058,$K201),"")</f>
        <v/>
      </c>
      <c r="G201" s="7" t="str">
        <f>IF(ISNUMBER($K201),INDEX(РАБОТЫ!$T$2:$T$1058,$K201),"")</f>
        <v/>
      </c>
      <c r="H201" s="7" t="str">
        <f t="shared" si="8"/>
        <v/>
      </c>
      <c r="I201" s="7" t="str">
        <f t="shared" si="9"/>
        <v/>
      </c>
      <c r="J201" s="7" t="str">
        <f t="shared" si="10"/>
        <v/>
      </c>
      <c r="K201" t="str">
        <f>IFERROR(MATCH(180,РАБОТЫ!$X$2:$X$1058,0),"")</f>
        <v/>
      </c>
      <c r="L201" t="str">
        <f>IFERROR(IF(INDEX(РАБОТЫ!$W$2:$W$1058,MATCH(180+1,РАБОТЫ!$X$2:$X$1058,0))=1,INDEX(РАБОТЫ!$V$2:$V$1058,MATCH(180+1,РАБОТЫ!$X$2:$X$1058,0)),""),"")</f>
        <v/>
      </c>
      <c r="M201" t="str">
        <f t="shared" si="11"/>
        <v/>
      </c>
    </row>
    <row r="202" spans="1:13" hidden="1" x14ac:dyDescent="0.3">
      <c r="A202" t="str">
        <f>IF(ISNUMBER($K202),INDEX(РАБОТЫ!$U$2:$U$1058,$K202),"")</f>
        <v/>
      </c>
      <c r="B202" t="str">
        <f>IF(ISNUMBER($K202),INDEX(РАБОТЫ!$A$2:$A$1058,$K202),"")</f>
        <v/>
      </c>
      <c r="C202" s="4" t="str">
        <f>IF($L202&lt;&gt;"",INDEX(РАБОТЫ!$Z$2:$Z$1058,MATCH($L202,РАБОТЫ!$V$2:$V$1058,0)),IF(ISNUMBER($K202),INDEX(РАБОТЫ!$Y$2:$Y$1058,$K202),""))</f>
        <v/>
      </c>
      <c r="D202" t="str">
        <f>IF(ISNUMBER($K202),INDEX(РАБОТЫ!$E$2:$E$1058,$K202),"")</f>
        <v/>
      </c>
      <c r="E202" t="str">
        <f>IF(ISNUMBER($K202),INDEX(РАБОТЫ!$M$2:$M$1058,$K202),"")</f>
        <v/>
      </c>
      <c r="F202" s="7" t="str">
        <f>IF(ISNUMBER($K202),INDEX(РАБОТЫ!$S$2:$S$1058,$K202),"")</f>
        <v/>
      </c>
      <c r="G202" s="7" t="str">
        <f>IF(ISNUMBER($K202),INDEX(РАБОТЫ!$T$2:$T$1058,$K202),"")</f>
        <v/>
      </c>
      <c r="H202" s="7" t="str">
        <f t="shared" si="8"/>
        <v/>
      </c>
      <c r="I202" s="7" t="str">
        <f t="shared" si="9"/>
        <v/>
      </c>
      <c r="J202" s="7" t="str">
        <f t="shared" si="10"/>
        <v/>
      </c>
      <c r="K202" t="str">
        <f>IFERROR(MATCH(181,РАБОТЫ!$X$2:$X$1058,0),"")</f>
        <v/>
      </c>
      <c r="L202" t="str">
        <f>IFERROR(IF(INDEX(РАБОТЫ!$W$2:$W$1058,MATCH(181+1,РАБОТЫ!$X$2:$X$1058,0))=1,INDEX(РАБОТЫ!$V$2:$V$1058,MATCH(181+1,РАБОТЫ!$X$2:$X$1058,0)),""),"")</f>
        <v/>
      </c>
      <c r="M202" t="str">
        <f t="shared" si="11"/>
        <v/>
      </c>
    </row>
    <row r="203" spans="1:13" hidden="1" x14ac:dyDescent="0.3">
      <c r="A203" t="str">
        <f>IF(ISNUMBER($K203),INDEX(РАБОТЫ!$U$2:$U$1058,$K203),"")</f>
        <v/>
      </c>
      <c r="B203" t="str">
        <f>IF(ISNUMBER($K203),INDEX(РАБОТЫ!$A$2:$A$1058,$K203),"")</f>
        <v/>
      </c>
      <c r="C203" s="4" t="str">
        <f>IF($L203&lt;&gt;"",INDEX(РАБОТЫ!$Z$2:$Z$1058,MATCH($L203,РАБОТЫ!$V$2:$V$1058,0)),IF(ISNUMBER($K203),INDEX(РАБОТЫ!$Y$2:$Y$1058,$K203),""))</f>
        <v/>
      </c>
      <c r="D203" t="str">
        <f>IF(ISNUMBER($K203),INDEX(РАБОТЫ!$E$2:$E$1058,$K203),"")</f>
        <v/>
      </c>
      <c r="E203" t="str">
        <f>IF(ISNUMBER($K203),INDEX(РАБОТЫ!$M$2:$M$1058,$K203),"")</f>
        <v/>
      </c>
      <c r="F203" s="7" t="str">
        <f>IF(ISNUMBER($K203),INDEX(РАБОТЫ!$S$2:$S$1058,$K203),"")</f>
        <v/>
      </c>
      <c r="G203" s="7" t="str">
        <f>IF(ISNUMBER($K203),INDEX(РАБОТЫ!$T$2:$T$1058,$K203),"")</f>
        <v/>
      </c>
      <c r="H203" s="7" t="str">
        <f t="shared" si="8"/>
        <v/>
      </c>
      <c r="I203" s="7" t="str">
        <f t="shared" si="9"/>
        <v/>
      </c>
      <c r="J203" s="7" t="str">
        <f t="shared" si="10"/>
        <v/>
      </c>
      <c r="K203" t="str">
        <f>IFERROR(MATCH(182,РАБОТЫ!$X$2:$X$1058,0),"")</f>
        <v/>
      </c>
      <c r="L203" t="str">
        <f>IFERROR(IF(INDEX(РАБОТЫ!$W$2:$W$1058,MATCH(182+1,РАБОТЫ!$X$2:$X$1058,0))=1,INDEX(РАБОТЫ!$V$2:$V$1058,MATCH(182+1,РАБОТЫ!$X$2:$X$1058,0)),""),"")</f>
        <v/>
      </c>
      <c r="M203" t="str">
        <f t="shared" si="11"/>
        <v/>
      </c>
    </row>
    <row r="204" spans="1:13" hidden="1" x14ac:dyDescent="0.3">
      <c r="A204" t="str">
        <f>IF(ISNUMBER($K204),INDEX(РАБОТЫ!$U$2:$U$1058,$K204),"")</f>
        <v/>
      </c>
      <c r="B204" t="str">
        <f>IF(ISNUMBER($K204),INDEX(РАБОТЫ!$A$2:$A$1058,$K204),"")</f>
        <v/>
      </c>
      <c r="C204" s="4" t="str">
        <f>IF($L204&lt;&gt;"",INDEX(РАБОТЫ!$Z$2:$Z$1058,MATCH($L204,РАБОТЫ!$V$2:$V$1058,0)),IF(ISNUMBER($K204),INDEX(РАБОТЫ!$Y$2:$Y$1058,$K204),""))</f>
        <v/>
      </c>
      <c r="D204" t="str">
        <f>IF(ISNUMBER($K204),INDEX(РАБОТЫ!$E$2:$E$1058,$K204),"")</f>
        <v/>
      </c>
      <c r="E204" t="str">
        <f>IF(ISNUMBER($K204),INDEX(РАБОТЫ!$M$2:$M$1058,$K204),"")</f>
        <v/>
      </c>
      <c r="F204" s="7" t="str">
        <f>IF(ISNUMBER($K204),INDEX(РАБОТЫ!$S$2:$S$1058,$K204),"")</f>
        <v/>
      </c>
      <c r="G204" s="7" t="str">
        <f>IF(ISNUMBER($K204),INDEX(РАБОТЫ!$T$2:$T$1058,$K204),"")</f>
        <v/>
      </c>
      <c r="H204" s="7" t="str">
        <f t="shared" si="8"/>
        <v/>
      </c>
      <c r="I204" s="7" t="str">
        <f t="shared" si="9"/>
        <v/>
      </c>
      <c r="J204" s="7" t="str">
        <f t="shared" si="10"/>
        <v/>
      </c>
      <c r="K204" t="str">
        <f>IFERROR(MATCH(183,РАБОТЫ!$X$2:$X$1058,0),"")</f>
        <v/>
      </c>
      <c r="L204" t="str">
        <f>IFERROR(IF(INDEX(РАБОТЫ!$W$2:$W$1058,MATCH(183+1,РАБОТЫ!$X$2:$X$1058,0))=1,INDEX(РАБОТЫ!$V$2:$V$1058,MATCH(183+1,РАБОТЫ!$X$2:$X$1058,0)),""),"")</f>
        <v/>
      </c>
      <c r="M204" t="str">
        <f t="shared" si="11"/>
        <v/>
      </c>
    </row>
    <row r="205" spans="1:13" hidden="1" x14ac:dyDescent="0.3">
      <c r="A205" t="str">
        <f>IF(ISNUMBER($K205),INDEX(РАБОТЫ!$U$2:$U$1058,$K205),"")</f>
        <v/>
      </c>
      <c r="B205" t="str">
        <f>IF(ISNUMBER($K205),INDEX(РАБОТЫ!$A$2:$A$1058,$K205),"")</f>
        <v/>
      </c>
      <c r="C205" s="4" t="str">
        <f>IF($L205&lt;&gt;"",INDEX(РАБОТЫ!$Z$2:$Z$1058,MATCH($L205,РАБОТЫ!$V$2:$V$1058,0)),IF(ISNUMBER($K205),INDEX(РАБОТЫ!$Y$2:$Y$1058,$K205),""))</f>
        <v/>
      </c>
      <c r="D205" t="str">
        <f>IF(ISNUMBER($K205),INDEX(РАБОТЫ!$E$2:$E$1058,$K205),"")</f>
        <v/>
      </c>
      <c r="E205" t="str">
        <f>IF(ISNUMBER($K205),INDEX(РАБОТЫ!$M$2:$M$1058,$K205),"")</f>
        <v/>
      </c>
      <c r="F205" s="7" t="str">
        <f>IF(ISNUMBER($K205),INDEX(РАБОТЫ!$S$2:$S$1058,$K205),"")</f>
        <v/>
      </c>
      <c r="G205" s="7" t="str">
        <f>IF(ISNUMBER($K205),INDEX(РАБОТЫ!$T$2:$T$1058,$K205),"")</f>
        <v/>
      </c>
      <c r="H205" s="7" t="str">
        <f t="shared" si="8"/>
        <v/>
      </c>
      <c r="I205" s="7" t="str">
        <f t="shared" si="9"/>
        <v/>
      </c>
      <c r="J205" s="7" t="str">
        <f t="shared" si="10"/>
        <v/>
      </c>
      <c r="K205" t="str">
        <f>IFERROR(MATCH(184,РАБОТЫ!$X$2:$X$1058,0),"")</f>
        <v/>
      </c>
      <c r="L205" t="str">
        <f>IFERROR(IF(INDEX(РАБОТЫ!$W$2:$W$1058,MATCH(184+1,РАБОТЫ!$X$2:$X$1058,0))=1,INDEX(РАБОТЫ!$V$2:$V$1058,MATCH(184+1,РАБОТЫ!$X$2:$X$1058,0)),""),"")</f>
        <v/>
      </c>
      <c r="M205" t="str">
        <f t="shared" si="11"/>
        <v/>
      </c>
    </row>
    <row r="206" spans="1:13" hidden="1" x14ac:dyDescent="0.3">
      <c r="A206" t="str">
        <f>IF(ISNUMBER($K206),INDEX(РАБОТЫ!$U$2:$U$1058,$K206),"")</f>
        <v/>
      </c>
      <c r="B206" t="str">
        <f>IF(ISNUMBER($K206),INDEX(РАБОТЫ!$A$2:$A$1058,$K206),"")</f>
        <v/>
      </c>
      <c r="C206" s="4" t="str">
        <f>IF($L206&lt;&gt;"",INDEX(РАБОТЫ!$Z$2:$Z$1058,MATCH($L206,РАБОТЫ!$V$2:$V$1058,0)),IF(ISNUMBER($K206),INDEX(РАБОТЫ!$Y$2:$Y$1058,$K206),""))</f>
        <v/>
      </c>
      <c r="D206" t="str">
        <f>IF(ISNUMBER($K206),INDEX(РАБОТЫ!$E$2:$E$1058,$K206),"")</f>
        <v/>
      </c>
      <c r="E206" t="str">
        <f>IF(ISNUMBER($K206),INDEX(РАБОТЫ!$M$2:$M$1058,$K206),"")</f>
        <v/>
      </c>
      <c r="F206" s="7" t="str">
        <f>IF(ISNUMBER($K206),INDEX(РАБОТЫ!$S$2:$S$1058,$K206),"")</f>
        <v/>
      </c>
      <c r="G206" s="7" t="str">
        <f>IF(ISNUMBER($K206),INDEX(РАБОТЫ!$T$2:$T$1058,$K206),"")</f>
        <v/>
      </c>
      <c r="H206" s="7" t="str">
        <f t="shared" si="8"/>
        <v/>
      </c>
      <c r="I206" s="7" t="str">
        <f t="shared" si="9"/>
        <v/>
      </c>
      <c r="J206" s="7" t="str">
        <f t="shared" si="10"/>
        <v/>
      </c>
      <c r="K206" t="str">
        <f>IFERROR(MATCH(185,РАБОТЫ!$X$2:$X$1058,0),"")</f>
        <v/>
      </c>
      <c r="L206" t="str">
        <f>IFERROR(IF(INDEX(РАБОТЫ!$W$2:$W$1058,MATCH(185+1,РАБОТЫ!$X$2:$X$1058,0))=1,INDEX(РАБОТЫ!$V$2:$V$1058,MATCH(185+1,РАБОТЫ!$X$2:$X$1058,0)),""),"")</f>
        <v/>
      </c>
      <c r="M206" t="str">
        <f t="shared" si="11"/>
        <v/>
      </c>
    </row>
    <row r="207" spans="1:13" hidden="1" x14ac:dyDescent="0.3">
      <c r="A207" t="str">
        <f>IF(ISNUMBER($K207),INDEX(РАБОТЫ!$U$2:$U$1058,$K207),"")</f>
        <v/>
      </c>
      <c r="B207" t="str">
        <f>IF(ISNUMBER($K207),INDEX(РАБОТЫ!$A$2:$A$1058,$K207),"")</f>
        <v/>
      </c>
      <c r="C207" s="4" t="str">
        <f>IF($L207&lt;&gt;"",INDEX(РАБОТЫ!$Z$2:$Z$1058,MATCH($L207,РАБОТЫ!$V$2:$V$1058,0)),IF(ISNUMBER($K207),INDEX(РАБОТЫ!$Y$2:$Y$1058,$K207),""))</f>
        <v/>
      </c>
      <c r="D207" t="str">
        <f>IF(ISNUMBER($K207),INDEX(РАБОТЫ!$E$2:$E$1058,$K207),"")</f>
        <v/>
      </c>
      <c r="E207" t="str">
        <f>IF(ISNUMBER($K207),INDEX(РАБОТЫ!$M$2:$M$1058,$K207),"")</f>
        <v/>
      </c>
      <c r="F207" s="7" t="str">
        <f>IF(ISNUMBER($K207),INDEX(РАБОТЫ!$S$2:$S$1058,$K207),"")</f>
        <v/>
      </c>
      <c r="G207" s="7" t="str">
        <f>IF(ISNUMBER($K207),INDEX(РАБОТЫ!$T$2:$T$1058,$K207),"")</f>
        <v/>
      </c>
      <c r="H207" s="7" t="str">
        <f t="shared" si="8"/>
        <v/>
      </c>
      <c r="I207" s="7" t="str">
        <f t="shared" si="9"/>
        <v/>
      </c>
      <c r="J207" s="7" t="str">
        <f t="shared" si="10"/>
        <v/>
      </c>
      <c r="K207" t="str">
        <f>IFERROR(MATCH(186,РАБОТЫ!$X$2:$X$1058,0),"")</f>
        <v/>
      </c>
      <c r="L207" t="str">
        <f>IFERROR(IF(INDEX(РАБОТЫ!$W$2:$W$1058,MATCH(186+1,РАБОТЫ!$X$2:$X$1058,0))=1,INDEX(РАБОТЫ!$V$2:$V$1058,MATCH(186+1,РАБОТЫ!$X$2:$X$1058,0)),""),"")</f>
        <v/>
      </c>
      <c r="M207" t="str">
        <f t="shared" si="11"/>
        <v/>
      </c>
    </row>
    <row r="208" spans="1:13" hidden="1" x14ac:dyDescent="0.3">
      <c r="A208" t="str">
        <f>IF(ISNUMBER($K208),INDEX(РАБОТЫ!$U$2:$U$1058,$K208),"")</f>
        <v/>
      </c>
      <c r="B208" t="str">
        <f>IF(ISNUMBER($K208),INDEX(РАБОТЫ!$A$2:$A$1058,$K208),"")</f>
        <v/>
      </c>
      <c r="C208" s="4" t="str">
        <f>IF($L208&lt;&gt;"",INDEX(РАБОТЫ!$Z$2:$Z$1058,MATCH($L208,РАБОТЫ!$V$2:$V$1058,0)),IF(ISNUMBER($K208),INDEX(РАБОТЫ!$Y$2:$Y$1058,$K208),""))</f>
        <v/>
      </c>
      <c r="D208" t="str">
        <f>IF(ISNUMBER($K208),INDEX(РАБОТЫ!$E$2:$E$1058,$K208),"")</f>
        <v/>
      </c>
      <c r="E208" t="str">
        <f>IF(ISNUMBER($K208),INDEX(РАБОТЫ!$M$2:$M$1058,$K208),"")</f>
        <v/>
      </c>
      <c r="F208" s="7" t="str">
        <f>IF(ISNUMBER($K208),INDEX(РАБОТЫ!$S$2:$S$1058,$K208),"")</f>
        <v/>
      </c>
      <c r="G208" s="7" t="str">
        <f>IF(ISNUMBER($K208),INDEX(РАБОТЫ!$T$2:$T$1058,$K208),"")</f>
        <v/>
      </c>
      <c r="H208" s="7" t="str">
        <f t="shared" si="8"/>
        <v/>
      </c>
      <c r="I208" s="7" t="str">
        <f t="shared" si="9"/>
        <v/>
      </c>
      <c r="J208" s="7" t="str">
        <f t="shared" si="10"/>
        <v/>
      </c>
      <c r="K208" t="str">
        <f>IFERROR(MATCH(187,РАБОТЫ!$X$2:$X$1058,0),"")</f>
        <v/>
      </c>
      <c r="L208" t="str">
        <f>IFERROR(IF(INDEX(РАБОТЫ!$W$2:$W$1058,MATCH(187+1,РАБОТЫ!$X$2:$X$1058,0))=1,INDEX(РАБОТЫ!$V$2:$V$1058,MATCH(187+1,РАБОТЫ!$X$2:$X$1058,0)),""),"")</f>
        <v/>
      </c>
      <c r="M208" t="str">
        <f t="shared" si="11"/>
        <v/>
      </c>
    </row>
    <row r="209" spans="1:13" hidden="1" x14ac:dyDescent="0.3">
      <c r="A209" t="str">
        <f>IF(ISNUMBER($K209),INDEX(РАБОТЫ!$U$2:$U$1058,$K209),"")</f>
        <v/>
      </c>
      <c r="B209" t="str">
        <f>IF(ISNUMBER($K209),INDEX(РАБОТЫ!$A$2:$A$1058,$K209),"")</f>
        <v/>
      </c>
      <c r="C209" s="4" t="str">
        <f>IF($L209&lt;&gt;"",INDEX(РАБОТЫ!$Z$2:$Z$1058,MATCH($L209,РАБОТЫ!$V$2:$V$1058,0)),IF(ISNUMBER($K209),INDEX(РАБОТЫ!$Y$2:$Y$1058,$K209),""))</f>
        <v/>
      </c>
      <c r="D209" t="str">
        <f>IF(ISNUMBER($K209),INDEX(РАБОТЫ!$E$2:$E$1058,$K209),"")</f>
        <v/>
      </c>
      <c r="E209" t="str">
        <f>IF(ISNUMBER($K209),INDEX(РАБОТЫ!$M$2:$M$1058,$K209),"")</f>
        <v/>
      </c>
      <c r="F209" s="7" t="str">
        <f>IF(ISNUMBER($K209),INDEX(РАБОТЫ!$S$2:$S$1058,$K209),"")</f>
        <v/>
      </c>
      <c r="G209" s="7" t="str">
        <f>IF(ISNUMBER($K209),INDEX(РАБОТЫ!$T$2:$T$1058,$K209),"")</f>
        <v/>
      </c>
      <c r="H209" s="7" t="str">
        <f t="shared" si="8"/>
        <v/>
      </c>
      <c r="I209" s="7" t="str">
        <f t="shared" si="9"/>
        <v/>
      </c>
      <c r="J209" s="7" t="str">
        <f t="shared" si="10"/>
        <v/>
      </c>
      <c r="K209" t="str">
        <f>IFERROR(MATCH(188,РАБОТЫ!$X$2:$X$1058,0),"")</f>
        <v/>
      </c>
      <c r="L209" t="str">
        <f>IFERROR(IF(INDEX(РАБОТЫ!$W$2:$W$1058,MATCH(188+1,РАБОТЫ!$X$2:$X$1058,0))=1,INDEX(РАБОТЫ!$V$2:$V$1058,MATCH(188+1,РАБОТЫ!$X$2:$X$1058,0)),""),"")</f>
        <v/>
      </c>
      <c r="M209" t="str">
        <f t="shared" si="11"/>
        <v/>
      </c>
    </row>
    <row r="210" spans="1:13" hidden="1" x14ac:dyDescent="0.3">
      <c r="A210" t="str">
        <f>IF(ISNUMBER($K210),INDEX(РАБОТЫ!$U$2:$U$1058,$K210),"")</f>
        <v/>
      </c>
      <c r="B210" t="str">
        <f>IF(ISNUMBER($K210),INDEX(РАБОТЫ!$A$2:$A$1058,$K210),"")</f>
        <v/>
      </c>
      <c r="C210" s="4" t="str">
        <f>IF($L210&lt;&gt;"",INDEX(РАБОТЫ!$Z$2:$Z$1058,MATCH($L210,РАБОТЫ!$V$2:$V$1058,0)),IF(ISNUMBER($K210),INDEX(РАБОТЫ!$Y$2:$Y$1058,$K210),""))</f>
        <v/>
      </c>
      <c r="D210" t="str">
        <f>IF(ISNUMBER($K210),INDEX(РАБОТЫ!$E$2:$E$1058,$K210),"")</f>
        <v/>
      </c>
      <c r="E210" t="str">
        <f>IF(ISNUMBER($K210),INDEX(РАБОТЫ!$M$2:$M$1058,$K210),"")</f>
        <v/>
      </c>
      <c r="F210" s="7" t="str">
        <f>IF(ISNUMBER($K210),INDEX(РАБОТЫ!$S$2:$S$1058,$K210),"")</f>
        <v/>
      </c>
      <c r="G210" s="7" t="str">
        <f>IF(ISNUMBER($K210),INDEX(РАБОТЫ!$T$2:$T$1058,$K210),"")</f>
        <v/>
      </c>
      <c r="H210" s="7" t="str">
        <f t="shared" si="8"/>
        <v/>
      </c>
      <c r="I210" s="7" t="str">
        <f t="shared" si="9"/>
        <v/>
      </c>
      <c r="J210" s="7" t="str">
        <f t="shared" si="10"/>
        <v/>
      </c>
      <c r="K210" t="str">
        <f>IFERROR(MATCH(189,РАБОТЫ!$X$2:$X$1058,0),"")</f>
        <v/>
      </c>
      <c r="L210" t="str">
        <f>IFERROR(IF(INDEX(РАБОТЫ!$W$2:$W$1058,MATCH(189+1,РАБОТЫ!$X$2:$X$1058,0))=1,INDEX(РАБОТЫ!$V$2:$V$1058,MATCH(189+1,РАБОТЫ!$X$2:$X$1058,0)),""),"")</f>
        <v/>
      </c>
      <c r="M210" t="str">
        <f t="shared" si="11"/>
        <v/>
      </c>
    </row>
    <row r="211" spans="1:13" hidden="1" x14ac:dyDescent="0.3">
      <c r="A211" t="str">
        <f>IF(ISNUMBER($K211),INDEX(РАБОТЫ!$U$2:$U$1058,$K211),"")</f>
        <v/>
      </c>
      <c r="B211" t="str">
        <f>IF(ISNUMBER($K211),INDEX(РАБОТЫ!$A$2:$A$1058,$K211),"")</f>
        <v/>
      </c>
      <c r="C211" s="4" t="str">
        <f>IF($L211&lt;&gt;"",INDEX(РАБОТЫ!$Z$2:$Z$1058,MATCH($L211,РАБОТЫ!$V$2:$V$1058,0)),IF(ISNUMBER($K211),INDEX(РАБОТЫ!$Y$2:$Y$1058,$K211),""))</f>
        <v/>
      </c>
      <c r="D211" t="str">
        <f>IF(ISNUMBER($K211),INDEX(РАБОТЫ!$E$2:$E$1058,$K211),"")</f>
        <v/>
      </c>
      <c r="E211" t="str">
        <f>IF(ISNUMBER($K211),INDEX(РАБОТЫ!$M$2:$M$1058,$K211),"")</f>
        <v/>
      </c>
      <c r="F211" s="7" t="str">
        <f>IF(ISNUMBER($K211),INDEX(РАБОТЫ!$S$2:$S$1058,$K211),"")</f>
        <v/>
      </c>
      <c r="G211" s="7" t="str">
        <f>IF(ISNUMBER($K211),INDEX(РАБОТЫ!$T$2:$T$1058,$K211),"")</f>
        <v/>
      </c>
      <c r="H211" s="7" t="str">
        <f t="shared" si="8"/>
        <v/>
      </c>
      <c r="I211" s="7" t="str">
        <f t="shared" si="9"/>
        <v/>
      </c>
      <c r="J211" s="7" t="str">
        <f t="shared" si="10"/>
        <v/>
      </c>
      <c r="K211" t="str">
        <f>IFERROR(MATCH(190,РАБОТЫ!$X$2:$X$1058,0),"")</f>
        <v/>
      </c>
      <c r="L211" t="str">
        <f>IFERROR(IF(INDEX(РАБОТЫ!$W$2:$W$1058,MATCH(190+1,РАБОТЫ!$X$2:$X$1058,0))=1,INDEX(РАБОТЫ!$V$2:$V$1058,MATCH(190+1,РАБОТЫ!$X$2:$X$1058,0)),""),"")</f>
        <v/>
      </c>
      <c r="M211" t="str">
        <f t="shared" si="11"/>
        <v/>
      </c>
    </row>
    <row r="212" spans="1:13" hidden="1" x14ac:dyDescent="0.3">
      <c r="A212" t="str">
        <f>IF(ISNUMBER($K212),INDEX(РАБОТЫ!$U$2:$U$1058,$K212),"")</f>
        <v/>
      </c>
      <c r="B212" t="str">
        <f>IF(ISNUMBER($K212),INDEX(РАБОТЫ!$A$2:$A$1058,$K212),"")</f>
        <v/>
      </c>
      <c r="C212" s="4" t="str">
        <f>IF($L212&lt;&gt;"",INDEX(РАБОТЫ!$Z$2:$Z$1058,MATCH($L212,РАБОТЫ!$V$2:$V$1058,0)),IF(ISNUMBER($K212),INDEX(РАБОТЫ!$Y$2:$Y$1058,$K212),""))</f>
        <v/>
      </c>
      <c r="D212" t="str">
        <f>IF(ISNUMBER($K212),INDEX(РАБОТЫ!$E$2:$E$1058,$K212),"")</f>
        <v/>
      </c>
      <c r="E212" t="str">
        <f>IF(ISNUMBER($K212),INDEX(РАБОТЫ!$M$2:$M$1058,$K212),"")</f>
        <v/>
      </c>
      <c r="F212" s="7" t="str">
        <f>IF(ISNUMBER($K212),INDEX(РАБОТЫ!$S$2:$S$1058,$K212),"")</f>
        <v/>
      </c>
      <c r="G212" s="7" t="str">
        <f>IF(ISNUMBER($K212),INDEX(РАБОТЫ!$T$2:$T$1058,$K212),"")</f>
        <v/>
      </c>
      <c r="H212" s="7" t="str">
        <f t="shared" si="8"/>
        <v/>
      </c>
      <c r="I212" s="7" t="str">
        <f t="shared" si="9"/>
        <v/>
      </c>
      <c r="J212" s="7" t="str">
        <f t="shared" si="10"/>
        <v/>
      </c>
      <c r="K212" t="str">
        <f>IFERROR(MATCH(191,РАБОТЫ!$X$2:$X$1058,0),"")</f>
        <v/>
      </c>
      <c r="L212" t="str">
        <f>IFERROR(IF(INDEX(РАБОТЫ!$W$2:$W$1058,MATCH(191+1,РАБОТЫ!$X$2:$X$1058,0))=1,INDEX(РАБОТЫ!$V$2:$V$1058,MATCH(191+1,РАБОТЫ!$X$2:$X$1058,0)),""),"")</f>
        <v/>
      </c>
      <c r="M212" t="str">
        <f t="shared" si="11"/>
        <v/>
      </c>
    </row>
    <row r="213" spans="1:13" hidden="1" x14ac:dyDescent="0.3">
      <c r="A213" t="str">
        <f>IF(ISNUMBER($K213),INDEX(РАБОТЫ!$U$2:$U$1058,$K213),"")</f>
        <v/>
      </c>
      <c r="B213" t="str">
        <f>IF(ISNUMBER($K213),INDEX(РАБОТЫ!$A$2:$A$1058,$K213),"")</f>
        <v/>
      </c>
      <c r="C213" s="4" t="str">
        <f>IF($L213&lt;&gt;"",INDEX(РАБОТЫ!$Z$2:$Z$1058,MATCH($L213,РАБОТЫ!$V$2:$V$1058,0)),IF(ISNUMBER($K213),INDEX(РАБОТЫ!$Y$2:$Y$1058,$K213),""))</f>
        <v/>
      </c>
      <c r="D213" t="str">
        <f>IF(ISNUMBER($K213),INDEX(РАБОТЫ!$E$2:$E$1058,$K213),"")</f>
        <v/>
      </c>
      <c r="E213" t="str">
        <f>IF(ISNUMBER($K213),INDEX(РАБОТЫ!$M$2:$M$1058,$K213),"")</f>
        <v/>
      </c>
      <c r="F213" s="7" t="str">
        <f>IF(ISNUMBER($K213),INDEX(РАБОТЫ!$S$2:$S$1058,$K213),"")</f>
        <v/>
      </c>
      <c r="G213" s="7" t="str">
        <f>IF(ISNUMBER($K213),INDEX(РАБОТЫ!$T$2:$T$1058,$K213),"")</f>
        <v/>
      </c>
      <c r="H213" s="7" t="str">
        <f t="shared" si="8"/>
        <v/>
      </c>
      <c r="I213" s="7" t="str">
        <f t="shared" si="9"/>
        <v/>
      </c>
      <c r="J213" s="7" t="str">
        <f t="shared" si="10"/>
        <v/>
      </c>
      <c r="K213" t="str">
        <f>IFERROR(MATCH(192,РАБОТЫ!$X$2:$X$1058,0),"")</f>
        <v/>
      </c>
      <c r="L213" t="str">
        <f>IFERROR(IF(INDEX(РАБОТЫ!$W$2:$W$1058,MATCH(192+1,РАБОТЫ!$X$2:$X$1058,0))=1,INDEX(РАБОТЫ!$V$2:$V$1058,MATCH(192+1,РАБОТЫ!$X$2:$X$1058,0)),""),"")</f>
        <v/>
      </c>
      <c r="M213" t="str">
        <f t="shared" si="11"/>
        <v/>
      </c>
    </row>
    <row r="214" spans="1:13" hidden="1" x14ac:dyDescent="0.3">
      <c r="A214" t="str">
        <f>IF(ISNUMBER($K214),INDEX(РАБОТЫ!$U$2:$U$1058,$K214),"")</f>
        <v/>
      </c>
      <c r="B214" t="str">
        <f>IF(ISNUMBER($K214),INDEX(РАБОТЫ!$A$2:$A$1058,$K214),"")</f>
        <v/>
      </c>
      <c r="C214" s="4" t="str">
        <f>IF($L214&lt;&gt;"",INDEX(РАБОТЫ!$Z$2:$Z$1058,MATCH($L214,РАБОТЫ!$V$2:$V$1058,0)),IF(ISNUMBER($K214),INDEX(РАБОТЫ!$Y$2:$Y$1058,$K214),""))</f>
        <v/>
      </c>
      <c r="D214" t="str">
        <f>IF(ISNUMBER($K214),INDEX(РАБОТЫ!$E$2:$E$1058,$K214),"")</f>
        <v/>
      </c>
      <c r="E214" t="str">
        <f>IF(ISNUMBER($K214),INDEX(РАБОТЫ!$M$2:$M$1058,$K214),"")</f>
        <v/>
      </c>
      <c r="F214" s="7" t="str">
        <f>IF(ISNUMBER($K214),INDEX(РАБОТЫ!$S$2:$S$1058,$K214),"")</f>
        <v/>
      </c>
      <c r="G214" s="7" t="str">
        <f>IF(ISNUMBER($K214),INDEX(РАБОТЫ!$T$2:$T$1058,$K214),"")</f>
        <v/>
      </c>
      <c r="H214" s="7" t="str">
        <f t="shared" ref="H214:H277" si="12">IF(ISNUMBER($K214),ROUND($E214*$F214,2),"")</f>
        <v/>
      </c>
      <c r="I214" s="7" t="str">
        <f t="shared" ref="I214:I277" si="13">IF(ISNUMBER($K214),ROUND($E214*$G214,2),"")</f>
        <v/>
      </c>
      <c r="J214" s="7" t="str">
        <f t="shared" ref="J214:J277" si="14">IF(ISNUMBER($K214),$H214+$I214,"")</f>
        <v/>
      </c>
      <c r="K214" t="str">
        <f>IFERROR(MATCH(193,РАБОТЫ!$X$2:$X$1058,0),"")</f>
        <v/>
      </c>
      <c r="L214" t="str">
        <f>IFERROR(IF(INDEX(РАБОТЫ!$W$2:$W$1058,MATCH(193+1,РАБОТЫ!$X$2:$X$1058,0))=1,INDEX(РАБОТЫ!$V$2:$V$1058,MATCH(193+1,РАБОТЫ!$X$2:$X$1058,0)),""),"")</f>
        <v/>
      </c>
      <c r="M214" t="str">
        <f t="shared" ref="M214:M277" si="15">IF(OR(ISNUMBER($K214),$L214&lt;&gt;""),"показать","")</f>
        <v/>
      </c>
    </row>
    <row r="215" spans="1:13" hidden="1" x14ac:dyDescent="0.3">
      <c r="A215" t="str">
        <f>IF(ISNUMBER($K215),INDEX(РАБОТЫ!$U$2:$U$1058,$K215),"")</f>
        <v/>
      </c>
      <c r="B215" t="str">
        <f>IF(ISNUMBER($K215),INDEX(РАБОТЫ!$A$2:$A$1058,$K215),"")</f>
        <v/>
      </c>
      <c r="C215" s="4" t="str">
        <f>IF($L215&lt;&gt;"",INDEX(РАБОТЫ!$Z$2:$Z$1058,MATCH($L215,РАБОТЫ!$V$2:$V$1058,0)),IF(ISNUMBER($K215),INDEX(РАБОТЫ!$Y$2:$Y$1058,$K215),""))</f>
        <v/>
      </c>
      <c r="D215" t="str">
        <f>IF(ISNUMBER($K215),INDEX(РАБОТЫ!$E$2:$E$1058,$K215),"")</f>
        <v/>
      </c>
      <c r="E215" t="str">
        <f>IF(ISNUMBER($K215),INDEX(РАБОТЫ!$M$2:$M$1058,$K215),"")</f>
        <v/>
      </c>
      <c r="F215" s="7" t="str">
        <f>IF(ISNUMBER($K215),INDEX(РАБОТЫ!$S$2:$S$1058,$K215),"")</f>
        <v/>
      </c>
      <c r="G215" s="7" t="str">
        <f>IF(ISNUMBER($K215),INDEX(РАБОТЫ!$T$2:$T$1058,$K215),"")</f>
        <v/>
      </c>
      <c r="H215" s="7" t="str">
        <f t="shared" si="12"/>
        <v/>
      </c>
      <c r="I215" s="7" t="str">
        <f t="shared" si="13"/>
        <v/>
      </c>
      <c r="J215" s="7" t="str">
        <f t="shared" si="14"/>
        <v/>
      </c>
      <c r="K215" t="str">
        <f>IFERROR(MATCH(194,РАБОТЫ!$X$2:$X$1058,0),"")</f>
        <v/>
      </c>
      <c r="L215" t="str">
        <f>IFERROR(IF(INDEX(РАБОТЫ!$W$2:$W$1058,MATCH(194+1,РАБОТЫ!$X$2:$X$1058,0))=1,INDEX(РАБОТЫ!$V$2:$V$1058,MATCH(194+1,РАБОТЫ!$X$2:$X$1058,0)),""),"")</f>
        <v/>
      </c>
      <c r="M215" t="str">
        <f t="shared" si="15"/>
        <v/>
      </c>
    </row>
    <row r="216" spans="1:13" hidden="1" x14ac:dyDescent="0.3">
      <c r="A216" t="str">
        <f>IF(ISNUMBER($K216),INDEX(РАБОТЫ!$U$2:$U$1058,$K216),"")</f>
        <v/>
      </c>
      <c r="B216" t="str">
        <f>IF(ISNUMBER($K216),INDEX(РАБОТЫ!$A$2:$A$1058,$K216),"")</f>
        <v/>
      </c>
      <c r="C216" s="4" t="str">
        <f>IF($L216&lt;&gt;"",INDEX(РАБОТЫ!$Z$2:$Z$1058,MATCH($L216,РАБОТЫ!$V$2:$V$1058,0)),IF(ISNUMBER($K216),INDEX(РАБОТЫ!$Y$2:$Y$1058,$K216),""))</f>
        <v/>
      </c>
      <c r="D216" t="str">
        <f>IF(ISNUMBER($K216),INDEX(РАБОТЫ!$E$2:$E$1058,$K216),"")</f>
        <v/>
      </c>
      <c r="E216" t="str">
        <f>IF(ISNUMBER($K216),INDEX(РАБОТЫ!$M$2:$M$1058,$K216),"")</f>
        <v/>
      </c>
      <c r="F216" s="7" t="str">
        <f>IF(ISNUMBER($K216),INDEX(РАБОТЫ!$S$2:$S$1058,$K216),"")</f>
        <v/>
      </c>
      <c r="G216" s="7" t="str">
        <f>IF(ISNUMBER($K216),INDEX(РАБОТЫ!$T$2:$T$1058,$K216),"")</f>
        <v/>
      </c>
      <c r="H216" s="7" t="str">
        <f t="shared" si="12"/>
        <v/>
      </c>
      <c r="I216" s="7" t="str">
        <f t="shared" si="13"/>
        <v/>
      </c>
      <c r="J216" s="7" t="str">
        <f t="shared" si="14"/>
        <v/>
      </c>
      <c r="K216" t="str">
        <f>IFERROR(MATCH(195,РАБОТЫ!$X$2:$X$1058,0),"")</f>
        <v/>
      </c>
      <c r="L216" t="str">
        <f>IFERROR(IF(INDEX(РАБОТЫ!$W$2:$W$1058,MATCH(195+1,РАБОТЫ!$X$2:$X$1058,0))=1,INDEX(РАБОТЫ!$V$2:$V$1058,MATCH(195+1,РАБОТЫ!$X$2:$X$1058,0)),""),"")</f>
        <v/>
      </c>
      <c r="M216" t="str">
        <f t="shared" si="15"/>
        <v/>
      </c>
    </row>
    <row r="217" spans="1:13" hidden="1" x14ac:dyDescent="0.3">
      <c r="A217" t="str">
        <f>IF(ISNUMBER($K217),INDEX(РАБОТЫ!$U$2:$U$1058,$K217),"")</f>
        <v/>
      </c>
      <c r="B217" t="str">
        <f>IF(ISNUMBER($K217),INDEX(РАБОТЫ!$A$2:$A$1058,$K217),"")</f>
        <v/>
      </c>
      <c r="C217" s="4" t="str">
        <f>IF($L217&lt;&gt;"",INDEX(РАБОТЫ!$Z$2:$Z$1058,MATCH($L217,РАБОТЫ!$V$2:$V$1058,0)),IF(ISNUMBER($K217),INDEX(РАБОТЫ!$Y$2:$Y$1058,$K217),""))</f>
        <v/>
      </c>
      <c r="D217" t="str">
        <f>IF(ISNUMBER($K217),INDEX(РАБОТЫ!$E$2:$E$1058,$K217),"")</f>
        <v/>
      </c>
      <c r="E217" t="str">
        <f>IF(ISNUMBER($K217),INDEX(РАБОТЫ!$M$2:$M$1058,$K217),"")</f>
        <v/>
      </c>
      <c r="F217" s="7" t="str">
        <f>IF(ISNUMBER($K217),INDEX(РАБОТЫ!$S$2:$S$1058,$K217),"")</f>
        <v/>
      </c>
      <c r="G217" s="7" t="str">
        <f>IF(ISNUMBER($K217),INDEX(РАБОТЫ!$T$2:$T$1058,$K217),"")</f>
        <v/>
      </c>
      <c r="H217" s="7" t="str">
        <f t="shared" si="12"/>
        <v/>
      </c>
      <c r="I217" s="7" t="str">
        <f t="shared" si="13"/>
        <v/>
      </c>
      <c r="J217" s="7" t="str">
        <f t="shared" si="14"/>
        <v/>
      </c>
      <c r="K217" t="str">
        <f>IFERROR(MATCH(196,РАБОТЫ!$X$2:$X$1058,0),"")</f>
        <v/>
      </c>
      <c r="L217" t="str">
        <f>IFERROR(IF(INDEX(РАБОТЫ!$W$2:$W$1058,MATCH(196+1,РАБОТЫ!$X$2:$X$1058,0))=1,INDEX(РАБОТЫ!$V$2:$V$1058,MATCH(196+1,РАБОТЫ!$X$2:$X$1058,0)),""),"")</f>
        <v/>
      </c>
      <c r="M217" t="str">
        <f t="shared" si="15"/>
        <v/>
      </c>
    </row>
    <row r="218" spans="1:13" hidden="1" x14ac:dyDescent="0.3">
      <c r="A218" t="str">
        <f>IF(ISNUMBER($K218),INDEX(РАБОТЫ!$U$2:$U$1058,$K218),"")</f>
        <v/>
      </c>
      <c r="B218" t="str">
        <f>IF(ISNUMBER($K218),INDEX(РАБОТЫ!$A$2:$A$1058,$K218),"")</f>
        <v/>
      </c>
      <c r="C218" s="4" t="str">
        <f>IF($L218&lt;&gt;"",INDEX(РАБОТЫ!$Z$2:$Z$1058,MATCH($L218,РАБОТЫ!$V$2:$V$1058,0)),IF(ISNUMBER($K218),INDEX(РАБОТЫ!$Y$2:$Y$1058,$K218),""))</f>
        <v/>
      </c>
      <c r="D218" t="str">
        <f>IF(ISNUMBER($K218),INDEX(РАБОТЫ!$E$2:$E$1058,$K218),"")</f>
        <v/>
      </c>
      <c r="E218" t="str">
        <f>IF(ISNUMBER($K218),INDEX(РАБОТЫ!$M$2:$M$1058,$K218),"")</f>
        <v/>
      </c>
      <c r="F218" s="7" t="str">
        <f>IF(ISNUMBER($K218),INDEX(РАБОТЫ!$S$2:$S$1058,$K218),"")</f>
        <v/>
      </c>
      <c r="G218" s="7" t="str">
        <f>IF(ISNUMBER($K218),INDEX(РАБОТЫ!$T$2:$T$1058,$K218),"")</f>
        <v/>
      </c>
      <c r="H218" s="7" t="str">
        <f t="shared" si="12"/>
        <v/>
      </c>
      <c r="I218" s="7" t="str">
        <f t="shared" si="13"/>
        <v/>
      </c>
      <c r="J218" s="7" t="str">
        <f t="shared" si="14"/>
        <v/>
      </c>
      <c r="K218" t="str">
        <f>IFERROR(MATCH(197,РАБОТЫ!$X$2:$X$1058,0),"")</f>
        <v/>
      </c>
      <c r="L218" t="str">
        <f>IFERROR(IF(INDEX(РАБОТЫ!$W$2:$W$1058,MATCH(197+1,РАБОТЫ!$X$2:$X$1058,0))=1,INDEX(РАБОТЫ!$V$2:$V$1058,MATCH(197+1,РАБОТЫ!$X$2:$X$1058,0)),""),"")</f>
        <v/>
      </c>
      <c r="M218" t="str">
        <f t="shared" si="15"/>
        <v/>
      </c>
    </row>
    <row r="219" spans="1:13" hidden="1" x14ac:dyDescent="0.3">
      <c r="A219" t="str">
        <f>IF(ISNUMBER($K219),INDEX(РАБОТЫ!$U$2:$U$1058,$K219),"")</f>
        <v/>
      </c>
      <c r="B219" t="str">
        <f>IF(ISNUMBER($K219),INDEX(РАБОТЫ!$A$2:$A$1058,$K219),"")</f>
        <v/>
      </c>
      <c r="C219" s="4" t="str">
        <f>IF($L219&lt;&gt;"",INDEX(РАБОТЫ!$Z$2:$Z$1058,MATCH($L219,РАБОТЫ!$V$2:$V$1058,0)),IF(ISNUMBER($K219),INDEX(РАБОТЫ!$Y$2:$Y$1058,$K219),""))</f>
        <v/>
      </c>
      <c r="D219" t="str">
        <f>IF(ISNUMBER($K219),INDEX(РАБОТЫ!$E$2:$E$1058,$K219),"")</f>
        <v/>
      </c>
      <c r="E219" t="str">
        <f>IF(ISNUMBER($K219),INDEX(РАБОТЫ!$M$2:$M$1058,$K219),"")</f>
        <v/>
      </c>
      <c r="F219" s="7" t="str">
        <f>IF(ISNUMBER($K219),INDEX(РАБОТЫ!$S$2:$S$1058,$K219),"")</f>
        <v/>
      </c>
      <c r="G219" s="7" t="str">
        <f>IF(ISNUMBER($K219),INDEX(РАБОТЫ!$T$2:$T$1058,$K219),"")</f>
        <v/>
      </c>
      <c r="H219" s="7" t="str">
        <f t="shared" si="12"/>
        <v/>
      </c>
      <c r="I219" s="7" t="str">
        <f t="shared" si="13"/>
        <v/>
      </c>
      <c r="J219" s="7" t="str">
        <f t="shared" si="14"/>
        <v/>
      </c>
      <c r="K219" t="str">
        <f>IFERROR(MATCH(198,РАБОТЫ!$X$2:$X$1058,0),"")</f>
        <v/>
      </c>
      <c r="L219" t="str">
        <f>IFERROR(IF(INDEX(РАБОТЫ!$W$2:$W$1058,MATCH(198+1,РАБОТЫ!$X$2:$X$1058,0))=1,INDEX(РАБОТЫ!$V$2:$V$1058,MATCH(198+1,РАБОТЫ!$X$2:$X$1058,0)),""),"")</f>
        <v/>
      </c>
      <c r="M219" t="str">
        <f t="shared" si="15"/>
        <v/>
      </c>
    </row>
    <row r="220" spans="1:13" hidden="1" x14ac:dyDescent="0.3">
      <c r="A220" t="str">
        <f>IF(ISNUMBER($K220),INDEX(РАБОТЫ!$U$2:$U$1058,$K220),"")</f>
        <v/>
      </c>
      <c r="B220" t="str">
        <f>IF(ISNUMBER($K220),INDEX(РАБОТЫ!$A$2:$A$1058,$K220),"")</f>
        <v/>
      </c>
      <c r="C220" s="4" t="str">
        <f>IF($L220&lt;&gt;"",INDEX(РАБОТЫ!$Z$2:$Z$1058,MATCH($L220,РАБОТЫ!$V$2:$V$1058,0)),IF(ISNUMBER($K220),INDEX(РАБОТЫ!$Y$2:$Y$1058,$K220),""))</f>
        <v/>
      </c>
      <c r="D220" t="str">
        <f>IF(ISNUMBER($K220),INDEX(РАБОТЫ!$E$2:$E$1058,$K220),"")</f>
        <v/>
      </c>
      <c r="E220" t="str">
        <f>IF(ISNUMBER($K220),INDEX(РАБОТЫ!$M$2:$M$1058,$K220),"")</f>
        <v/>
      </c>
      <c r="F220" s="7" t="str">
        <f>IF(ISNUMBER($K220),INDEX(РАБОТЫ!$S$2:$S$1058,$K220),"")</f>
        <v/>
      </c>
      <c r="G220" s="7" t="str">
        <f>IF(ISNUMBER($K220),INDEX(РАБОТЫ!$T$2:$T$1058,$K220),"")</f>
        <v/>
      </c>
      <c r="H220" s="7" t="str">
        <f t="shared" si="12"/>
        <v/>
      </c>
      <c r="I220" s="7" t="str">
        <f t="shared" si="13"/>
        <v/>
      </c>
      <c r="J220" s="7" t="str">
        <f t="shared" si="14"/>
        <v/>
      </c>
      <c r="K220" t="str">
        <f>IFERROR(MATCH(199,РАБОТЫ!$X$2:$X$1058,0),"")</f>
        <v/>
      </c>
      <c r="L220" t="str">
        <f>IFERROR(IF(INDEX(РАБОТЫ!$W$2:$W$1058,MATCH(199+1,РАБОТЫ!$X$2:$X$1058,0))=1,INDEX(РАБОТЫ!$V$2:$V$1058,MATCH(199+1,РАБОТЫ!$X$2:$X$1058,0)),""),"")</f>
        <v/>
      </c>
      <c r="M220" t="str">
        <f t="shared" si="15"/>
        <v/>
      </c>
    </row>
    <row r="221" spans="1:13" hidden="1" x14ac:dyDescent="0.3">
      <c r="A221" t="str">
        <f>IF(ISNUMBER($K221),INDEX(РАБОТЫ!$U$2:$U$1058,$K221),"")</f>
        <v/>
      </c>
      <c r="B221" t="str">
        <f>IF(ISNUMBER($K221),INDEX(РАБОТЫ!$A$2:$A$1058,$K221),"")</f>
        <v/>
      </c>
      <c r="C221" s="4" t="str">
        <f>IF($L221&lt;&gt;"",INDEX(РАБОТЫ!$Z$2:$Z$1058,MATCH($L221,РАБОТЫ!$V$2:$V$1058,0)),IF(ISNUMBER($K221),INDEX(РАБОТЫ!$Y$2:$Y$1058,$K221),""))</f>
        <v/>
      </c>
      <c r="D221" t="str">
        <f>IF(ISNUMBER($K221),INDEX(РАБОТЫ!$E$2:$E$1058,$K221),"")</f>
        <v/>
      </c>
      <c r="E221" t="str">
        <f>IF(ISNUMBER($K221),INDEX(РАБОТЫ!$M$2:$M$1058,$K221),"")</f>
        <v/>
      </c>
      <c r="F221" s="7" t="str">
        <f>IF(ISNUMBER($K221),INDEX(РАБОТЫ!$S$2:$S$1058,$K221),"")</f>
        <v/>
      </c>
      <c r="G221" s="7" t="str">
        <f>IF(ISNUMBER($K221),INDEX(РАБОТЫ!$T$2:$T$1058,$K221),"")</f>
        <v/>
      </c>
      <c r="H221" s="7" t="str">
        <f t="shared" si="12"/>
        <v/>
      </c>
      <c r="I221" s="7" t="str">
        <f t="shared" si="13"/>
        <v/>
      </c>
      <c r="J221" s="7" t="str">
        <f t="shared" si="14"/>
        <v/>
      </c>
      <c r="K221" t="str">
        <f>IFERROR(MATCH(200,РАБОТЫ!$X$2:$X$1058,0),"")</f>
        <v/>
      </c>
      <c r="L221" t="str">
        <f>IFERROR(IF(INDEX(РАБОТЫ!$W$2:$W$1058,MATCH(200+1,РАБОТЫ!$X$2:$X$1058,0))=1,INDEX(РАБОТЫ!$V$2:$V$1058,MATCH(200+1,РАБОТЫ!$X$2:$X$1058,0)),""),"")</f>
        <v/>
      </c>
      <c r="M221" t="str">
        <f t="shared" si="15"/>
        <v/>
      </c>
    </row>
    <row r="222" spans="1:13" hidden="1" x14ac:dyDescent="0.3">
      <c r="A222" t="str">
        <f>IF(ISNUMBER($K222),INDEX(РАБОТЫ!$U$2:$U$1058,$K222),"")</f>
        <v/>
      </c>
      <c r="B222" t="str">
        <f>IF(ISNUMBER($K222),INDEX(РАБОТЫ!$A$2:$A$1058,$K222),"")</f>
        <v/>
      </c>
      <c r="C222" s="4" t="str">
        <f>IF($L222&lt;&gt;"",INDEX(РАБОТЫ!$Z$2:$Z$1058,MATCH($L222,РАБОТЫ!$V$2:$V$1058,0)),IF(ISNUMBER($K222),INDEX(РАБОТЫ!$Y$2:$Y$1058,$K222),""))</f>
        <v/>
      </c>
      <c r="D222" t="str">
        <f>IF(ISNUMBER($K222),INDEX(РАБОТЫ!$E$2:$E$1058,$K222),"")</f>
        <v/>
      </c>
      <c r="E222" t="str">
        <f>IF(ISNUMBER($K222),INDEX(РАБОТЫ!$M$2:$M$1058,$K222),"")</f>
        <v/>
      </c>
      <c r="F222" s="7" t="str">
        <f>IF(ISNUMBER($K222),INDEX(РАБОТЫ!$S$2:$S$1058,$K222),"")</f>
        <v/>
      </c>
      <c r="G222" s="7" t="str">
        <f>IF(ISNUMBER($K222),INDEX(РАБОТЫ!$T$2:$T$1058,$K222),"")</f>
        <v/>
      </c>
      <c r="H222" s="7" t="str">
        <f t="shared" si="12"/>
        <v/>
      </c>
      <c r="I222" s="7" t="str">
        <f t="shared" si="13"/>
        <v/>
      </c>
      <c r="J222" s="7" t="str">
        <f t="shared" si="14"/>
        <v/>
      </c>
      <c r="K222" t="str">
        <f>IFERROR(MATCH(201,РАБОТЫ!$X$2:$X$1058,0),"")</f>
        <v/>
      </c>
      <c r="L222" t="str">
        <f>IFERROR(IF(INDEX(РАБОТЫ!$W$2:$W$1058,MATCH(201+1,РАБОТЫ!$X$2:$X$1058,0))=1,INDEX(РАБОТЫ!$V$2:$V$1058,MATCH(201+1,РАБОТЫ!$X$2:$X$1058,0)),""),"")</f>
        <v/>
      </c>
      <c r="M222" t="str">
        <f t="shared" si="15"/>
        <v/>
      </c>
    </row>
    <row r="223" spans="1:13" hidden="1" x14ac:dyDescent="0.3">
      <c r="A223" t="str">
        <f>IF(ISNUMBER($K223),INDEX(РАБОТЫ!$U$2:$U$1058,$K223),"")</f>
        <v/>
      </c>
      <c r="B223" t="str">
        <f>IF(ISNUMBER($K223),INDEX(РАБОТЫ!$A$2:$A$1058,$K223),"")</f>
        <v/>
      </c>
      <c r="C223" s="4" t="str">
        <f>IF($L223&lt;&gt;"",INDEX(РАБОТЫ!$Z$2:$Z$1058,MATCH($L223,РАБОТЫ!$V$2:$V$1058,0)),IF(ISNUMBER($K223),INDEX(РАБОТЫ!$Y$2:$Y$1058,$K223),""))</f>
        <v/>
      </c>
      <c r="D223" t="str">
        <f>IF(ISNUMBER($K223),INDEX(РАБОТЫ!$E$2:$E$1058,$K223),"")</f>
        <v/>
      </c>
      <c r="E223" t="str">
        <f>IF(ISNUMBER($K223),INDEX(РАБОТЫ!$M$2:$M$1058,$K223),"")</f>
        <v/>
      </c>
      <c r="F223" s="7" t="str">
        <f>IF(ISNUMBER($K223),INDEX(РАБОТЫ!$S$2:$S$1058,$K223),"")</f>
        <v/>
      </c>
      <c r="G223" s="7" t="str">
        <f>IF(ISNUMBER($K223),INDEX(РАБОТЫ!$T$2:$T$1058,$K223),"")</f>
        <v/>
      </c>
      <c r="H223" s="7" t="str">
        <f t="shared" si="12"/>
        <v/>
      </c>
      <c r="I223" s="7" t="str">
        <f t="shared" si="13"/>
        <v/>
      </c>
      <c r="J223" s="7" t="str">
        <f t="shared" si="14"/>
        <v/>
      </c>
      <c r="K223" t="str">
        <f>IFERROR(MATCH(202,РАБОТЫ!$X$2:$X$1058,0),"")</f>
        <v/>
      </c>
      <c r="L223" t="str">
        <f>IFERROR(IF(INDEX(РАБОТЫ!$W$2:$W$1058,MATCH(202+1,РАБОТЫ!$X$2:$X$1058,0))=1,INDEX(РАБОТЫ!$V$2:$V$1058,MATCH(202+1,РАБОТЫ!$X$2:$X$1058,0)),""),"")</f>
        <v/>
      </c>
      <c r="M223" t="str">
        <f t="shared" si="15"/>
        <v/>
      </c>
    </row>
    <row r="224" spans="1:13" hidden="1" x14ac:dyDescent="0.3">
      <c r="A224" t="str">
        <f>IF(ISNUMBER($K224),INDEX(РАБОТЫ!$U$2:$U$1058,$K224),"")</f>
        <v/>
      </c>
      <c r="B224" t="str">
        <f>IF(ISNUMBER($K224),INDEX(РАБОТЫ!$A$2:$A$1058,$K224),"")</f>
        <v/>
      </c>
      <c r="C224" s="4" t="str">
        <f>IF($L224&lt;&gt;"",INDEX(РАБОТЫ!$Z$2:$Z$1058,MATCH($L224,РАБОТЫ!$V$2:$V$1058,0)),IF(ISNUMBER($K224),INDEX(РАБОТЫ!$Y$2:$Y$1058,$K224),""))</f>
        <v/>
      </c>
      <c r="D224" t="str">
        <f>IF(ISNUMBER($K224),INDEX(РАБОТЫ!$E$2:$E$1058,$K224),"")</f>
        <v/>
      </c>
      <c r="E224" t="str">
        <f>IF(ISNUMBER($K224),INDEX(РАБОТЫ!$M$2:$M$1058,$K224),"")</f>
        <v/>
      </c>
      <c r="F224" s="7" t="str">
        <f>IF(ISNUMBER($K224),INDEX(РАБОТЫ!$S$2:$S$1058,$K224),"")</f>
        <v/>
      </c>
      <c r="G224" s="7" t="str">
        <f>IF(ISNUMBER($K224),INDEX(РАБОТЫ!$T$2:$T$1058,$K224),"")</f>
        <v/>
      </c>
      <c r="H224" s="7" t="str">
        <f t="shared" si="12"/>
        <v/>
      </c>
      <c r="I224" s="7" t="str">
        <f t="shared" si="13"/>
        <v/>
      </c>
      <c r="J224" s="7" t="str">
        <f t="shared" si="14"/>
        <v/>
      </c>
      <c r="K224" t="str">
        <f>IFERROR(MATCH(203,РАБОТЫ!$X$2:$X$1058,0),"")</f>
        <v/>
      </c>
      <c r="L224" t="str">
        <f>IFERROR(IF(INDEX(РАБОТЫ!$W$2:$W$1058,MATCH(203+1,РАБОТЫ!$X$2:$X$1058,0))=1,INDEX(РАБОТЫ!$V$2:$V$1058,MATCH(203+1,РАБОТЫ!$X$2:$X$1058,0)),""),"")</f>
        <v/>
      </c>
      <c r="M224" t="str">
        <f t="shared" si="15"/>
        <v/>
      </c>
    </row>
    <row r="225" spans="1:13" hidden="1" x14ac:dyDescent="0.3">
      <c r="A225" t="str">
        <f>IF(ISNUMBER($K225),INDEX(РАБОТЫ!$U$2:$U$1058,$K225),"")</f>
        <v/>
      </c>
      <c r="B225" t="str">
        <f>IF(ISNUMBER($K225),INDEX(РАБОТЫ!$A$2:$A$1058,$K225),"")</f>
        <v/>
      </c>
      <c r="C225" s="4" t="str">
        <f>IF($L225&lt;&gt;"",INDEX(РАБОТЫ!$Z$2:$Z$1058,MATCH($L225,РАБОТЫ!$V$2:$V$1058,0)),IF(ISNUMBER($K225),INDEX(РАБОТЫ!$Y$2:$Y$1058,$K225),""))</f>
        <v/>
      </c>
      <c r="D225" t="str">
        <f>IF(ISNUMBER($K225),INDEX(РАБОТЫ!$E$2:$E$1058,$K225),"")</f>
        <v/>
      </c>
      <c r="E225" t="str">
        <f>IF(ISNUMBER($K225),INDEX(РАБОТЫ!$M$2:$M$1058,$K225),"")</f>
        <v/>
      </c>
      <c r="F225" s="7" t="str">
        <f>IF(ISNUMBER($K225),INDEX(РАБОТЫ!$S$2:$S$1058,$K225),"")</f>
        <v/>
      </c>
      <c r="G225" s="7" t="str">
        <f>IF(ISNUMBER($K225),INDEX(РАБОТЫ!$T$2:$T$1058,$K225),"")</f>
        <v/>
      </c>
      <c r="H225" s="7" t="str">
        <f t="shared" si="12"/>
        <v/>
      </c>
      <c r="I225" s="7" t="str">
        <f t="shared" si="13"/>
        <v/>
      </c>
      <c r="J225" s="7" t="str">
        <f t="shared" si="14"/>
        <v/>
      </c>
      <c r="K225" t="str">
        <f>IFERROR(MATCH(204,РАБОТЫ!$X$2:$X$1058,0),"")</f>
        <v/>
      </c>
      <c r="L225" t="str">
        <f>IFERROR(IF(INDEX(РАБОТЫ!$W$2:$W$1058,MATCH(204+1,РАБОТЫ!$X$2:$X$1058,0))=1,INDEX(РАБОТЫ!$V$2:$V$1058,MATCH(204+1,РАБОТЫ!$X$2:$X$1058,0)),""),"")</f>
        <v/>
      </c>
      <c r="M225" t="str">
        <f t="shared" si="15"/>
        <v/>
      </c>
    </row>
    <row r="226" spans="1:13" hidden="1" x14ac:dyDescent="0.3">
      <c r="A226" t="str">
        <f>IF(ISNUMBER($K226),INDEX(РАБОТЫ!$U$2:$U$1058,$K226),"")</f>
        <v/>
      </c>
      <c r="B226" t="str">
        <f>IF(ISNUMBER($K226),INDEX(РАБОТЫ!$A$2:$A$1058,$K226),"")</f>
        <v/>
      </c>
      <c r="C226" s="4" t="str">
        <f>IF($L226&lt;&gt;"",INDEX(РАБОТЫ!$Z$2:$Z$1058,MATCH($L226,РАБОТЫ!$V$2:$V$1058,0)),IF(ISNUMBER($K226),INDEX(РАБОТЫ!$Y$2:$Y$1058,$K226),""))</f>
        <v/>
      </c>
      <c r="D226" t="str">
        <f>IF(ISNUMBER($K226),INDEX(РАБОТЫ!$E$2:$E$1058,$K226),"")</f>
        <v/>
      </c>
      <c r="E226" t="str">
        <f>IF(ISNUMBER($K226),INDEX(РАБОТЫ!$M$2:$M$1058,$K226),"")</f>
        <v/>
      </c>
      <c r="F226" s="7" t="str">
        <f>IF(ISNUMBER($K226),INDEX(РАБОТЫ!$S$2:$S$1058,$K226),"")</f>
        <v/>
      </c>
      <c r="G226" s="7" t="str">
        <f>IF(ISNUMBER($K226),INDEX(РАБОТЫ!$T$2:$T$1058,$K226),"")</f>
        <v/>
      </c>
      <c r="H226" s="7" t="str">
        <f t="shared" si="12"/>
        <v/>
      </c>
      <c r="I226" s="7" t="str">
        <f t="shared" si="13"/>
        <v/>
      </c>
      <c r="J226" s="7" t="str">
        <f t="shared" si="14"/>
        <v/>
      </c>
      <c r="K226" t="str">
        <f>IFERROR(MATCH(205,РАБОТЫ!$X$2:$X$1058,0),"")</f>
        <v/>
      </c>
      <c r="L226" t="str">
        <f>IFERROR(IF(INDEX(РАБОТЫ!$W$2:$W$1058,MATCH(205+1,РАБОТЫ!$X$2:$X$1058,0))=1,INDEX(РАБОТЫ!$V$2:$V$1058,MATCH(205+1,РАБОТЫ!$X$2:$X$1058,0)),""),"")</f>
        <v/>
      </c>
      <c r="M226" t="str">
        <f t="shared" si="15"/>
        <v/>
      </c>
    </row>
    <row r="227" spans="1:13" hidden="1" x14ac:dyDescent="0.3">
      <c r="A227" t="str">
        <f>IF(ISNUMBER($K227),INDEX(РАБОТЫ!$U$2:$U$1058,$K227),"")</f>
        <v/>
      </c>
      <c r="B227" t="str">
        <f>IF(ISNUMBER($K227),INDEX(РАБОТЫ!$A$2:$A$1058,$K227),"")</f>
        <v/>
      </c>
      <c r="C227" s="4" t="str">
        <f>IF($L227&lt;&gt;"",INDEX(РАБОТЫ!$Z$2:$Z$1058,MATCH($L227,РАБОТЫ!$V$2:$V$1058,0)),IF(ISNUMBER($K227),INDEX(РАБОТЫ!$Y$2:$Y$1058,$K227),""))</f>
        <v/>
      </c>
      <c r="D227" t="str">
        <f>IF(ISNUMBER($K227),INDEX(РАБОТЫ!$E$2:$E$1058,$K227),"")</f>
        <v/>
      </c>
      <c r="E227" t="str">
        <f>IF(ISNUMBER($K227),INDEX(РАБОТЫ!$M$2:$M$1058,$K227),"")</f>
        <v/>
      </c>
      <c r="F227" s="7" t="str">
        <f>IF(ISNUMBER($K227),INDEX(РАБОТЫ!$S$2:$S$1058,$K227),"")</f>
        <v/>
      </c>
      <c r="G227" s="7" t="str">
        <f>IF(ISNUMBER($K227),INDEX(РАБОТЫ!$T$2:$T$1058,$K227),"")</f>
        <v/>
      </c>
      <c r="H227" s="7" t="str">
        <f t="shared" si="12"/>
        <v/>
      </c>
      <c r="I227" s="7" t="str">
        <f t="shared" si="13"/>
        <v/>
      </c>
      <c r="J227" s="7" t="str">
        <f t="shared" si="14"/>
        <v/>
      </c>
      <c r="K227" t="str">
        <f>IFERROR(MATCH(206,РАБОТЫ!$X$2:$X$1058,0),"")</f>
        <v/>
      </c>
      <c r="L227" t="str">
        <f>IFERROR(IF(INDEX(РАБОТЫ!$W$2:$W$1058,MATCH(206+1,РАБОТЫ!$X$2:$X$1058,0))=1,INDEX(РАБОТЫ!$V$2:$V$1058,MATCH(206+1,РАБОТЫ!$X$2:$X$1058,0)),""),"")</f>
        <v/>
      </c>
      <c r="M227" t="str">
        <f t="shared" si="15"/>
        <v/>
      </c>
    </row>
    <row r="228" spans="1:13" hidden="1" x14ac:dyDescent="0.3">
      <c r="A228" t="str">
        <f>IF(ISNUMBER($K228),INDEX(РАБОТЫ!$U$2:$U$1058,$K228),"")</f>
        <v/>
      </c>
      <c r="B228" t="str">
        <f>IF(ISNUMBER($K228),INDEX(РАБОТЫ!$A$2:$A$1058,$K228),"")</f>
        <v/>
      </c>
      <c r="C228" s="4" t="str">
        <f>IF($L228&lt;&gt;"",INDEX(РАБОТЫ!$Z$2:$Z$1058,MATCH($L228,РАБОТЫ!$V$2:$V$1058,0)),IF(ISNUMBER($K228),INDEX(РАБОТЫ!$Y$2:$Y$1058,$K228),""))</f>
        <v/>
      </c>
      <c r="D228" t="str">
        <f>IF(ISNUMBER($K228),INDEX(РАБОТЫ!$E$2:$E$1058,$K228),"")</f>
        <v/>
      </c>
      <c r="E228" t="str">
        <f>IF(ISNUMBER($K228),INDEX(РАБОТЫ!$M$2:$M$1058,$K228),"")</f>
        <v/>
      </c>
      <c r="F228" s="7" t="str">
        <f>IF(ISNUMBER($K228),INDEX(РАБОТЫ!$S$2:$S$1058,$K228),"")</f>
        <v/>
      </c>
      <c r="G228" s="7" t="str">
        <f>IF(ISNUMBER($K228),INDEX(РАБОТЫ!$T$2:$T$1058,$K228),"")</f>
        <v/>
      </c>
      <c r="H228" s="7" t="str">
        <f t="shared" si="12"/>
        <v/>
      </c>
      <c r="I228" s="7" t="str">
        <f t="shared" si="13"/>
        <v/>
      </c>
      <c r="J228" s="7" t="str">
        <f t="shared" si="14"/>
        <v/>
      </c>
      <c r="K228" t="str">
        <f>IFERROR(MATCH(207,РАБОТЫ!$X$2:$X$1058,0),"")</f>
        <v/>
      </c>
      <c r="L228" t="str">
        <f>IFERROR(IF(INDEX(РАБОТЫ!$W$2:$W$1058,MATCH(207+1,РАБОТЫ!$X$2:$X$1058,0))=1,INDEX(РАБОТЫ!$V$2:$V$1058,MATCH(207+1,РАБОТЫ!$X$2:$X$1058,0)),""),"")</f>
        <v/>
      </c>
      <c r="M228" t="str">
        <f t="shared" si="15"/>
        <v/>
      </c>
    </row>
    <row r="229" spans="1:13" hidden="1" x14ac:dyDescent="0.3">
      <c r="A229" t="str">
        <f>IF(ISNUMBER($K229),INDEX(РАБОТЫ!$U$2:$U$1058,$K229),"")</f>
        <v/>
      </c>
      <c r="B229" t="str">
        <f>IF(ISNUMBER($K229),INDEX(РАБОТЫ!$A$2:$A$1058,$K229),"")</f>
        <v/>
      </c>
      <c r="C229" s="4" t="str">
        <f>IF($L229&lt;&gt;"",INDEX(РАБОТЫ!$Z$2:$Z$1058,MATCH($L229,РАБОТЫ!$V$2:$V$1058,0)),IF(ISNUMBER($K229),INDEX(РАБОТЫ!$Y$2:$Y$1058,$K229),""))</f>
        <v/>
      </c>
      <c r="D229" t="str">
        <f>IF(ISNUMBER($K229),INDEX(РАБОТЫ!$E$2:$E$1058,$K229),"")</f>
        <v/>
      </c>
      <c r="E229" t="str">
        <f>IF(ISNUMBER($K229),INDEX(РАБОТЫ!$M$2:$M$1058,$K229),"")</f>
        <v/>
      </c>
      <c r="F229" s="7" t="str">
        <f>IF(ISNUMBER($K229),INDEX(РАБОТЫ!$S$2:$S$1058,$K229),"")</f>
        <v/>
      </c>
      <c r="G229" s="7" t="str">
        <f>IF(ISNUMBER($K229),INDEX(РАБОТЫ!$T$2:$T$1058,$K229),"")</f>
        <v/>
      </c>
      <c r="H229" s="7" t="str">
        <f t="shared" si="12"/>
        <v/>
      </c>
      <c r="I229" s="7" t="str">
        <f t="shared" si="13"/>
        <v/>
      </c>
      <c r="J229" s="7" t="str">
        <f t="shared" si="14"/>
        <v/>
      </c>
      <c r="K229" t="str">
        <f>IFERROR(MATCH(208,РАБОТЫ!$X$2:$X$1058,0),"")</f>
        <v/>
      </c>
      <c r="L229" t="str">
        <f>IFERROR(IF(INDEX(РАБОТЫ!$W$2:$W$1058,MATCH(208+1,РАБОТЫ!$X$2:$X$1058,0))=1,INDEX(РАБОТЫ!$V$2:$V$1058,MATCH(208+1,РАБОТЫ!$X$2:$X$1058,0)),""),"")</f>
        <v/>
      </c>
      <c r="M229" t="str">
        <f t="shared" si="15"/>
        <v/>
      </c>
    </row>
    <row r="230" spans="1:13" hidden="1" x14ac:dyDescent="0.3">
      <c r="A230" t="str">
        <f>IF(ISNUMBER($K230),INDEX(РАБОТЫ!$U$2:$U$1058,$K230),"")</f>
        <v/>
      </c>
      <c r="B230" t="str">
        <f>IF(ISNUMBER($K230),INDEX(РАБОТЫ!$A$2:$A$1058,$K230),"")</f>
        <v/>
      </c>
      <c r="C230" s="4" t="str">
        <f>IF($L230&lt;&gt;"",INDEX(РАБОТЫ!$Z$2:$Z$1058,MATCH($L230,РАБОТЫ!$V$2:$V$1058,0)),IF(ISNUMBER($K230),INDEX(РАБОТЫ!$Y$2:$Y$1058,$K230),""))</f>
        <v/>
      </c>
      <c r="D230" t="str">
        <f>IF(ISNUMBER($K230),INDEX(РАБОТЫ!$E$2:$E$1058,$K230),"")</f>
        <v/>
      </c>
      <c r="E230" t="str">
        <f>IF(ISNUMBER($K230),INDEX(РАБОТЫ!$M$2:$M$1058,$K230),"")</f>
        <v/>
      </c>
      <c r="F230" s="7" t="str">
        <f>IF(ISNUMBER($K230),INDEX(РАБОТЫ!$S$2:$S$1058,$K230),"")</f>
        <v/>
      </c>
      <c r="G230" s="7" t="str">
        <f>IF(ISNUMBER($K230),INDEX(РАБОТЫ!$T$2:$T$1058,$K230),"")</f>
        <v/>
      </c>
      <c r="H230" s="7" t="str">
        <f t="shared" si="12"/>
        <v/>
      </c>
      <c r="I230" s="7" t="str">
        <f t="shared" si="13"/>
        <v/>
      </c>
      <c r="J230" s="7" t="str">
        <f t="shared" si="14"/>
        <v/>
      </c>
      <c r="K230" t="str">
        <f>IFERROR(MATCH(209,РАБОТЫ!$X$2:$X$1058,0),"")</f>
        <v/>
      </c>
      <c r="L230" t="str">
        <f>IFERROR(IF(INDEX(РАБОТЫ!$W$2:$W$1058,MATCH(209+1,РАБОТЫ!$X$2:$X$1058,0))=1,INDEX(РАБОТЫ!$V$2:$V$1058,MATCH(209+1,РАБОТЫ!$X$2:$X$1058,0)),""),"")</f>
        <v/>
      </c>
      <c r="M230" t="str">
        <f t="shared" si="15"/>
        <v/>
      </c>
    </row>
    <row r="231" spans="1:13" hidden="1" x14ac:dyDescent="0.3">
      <c r="A231" t="str">
        <f>IF(ISNUMBER($K231),INDEX(РАБОТЫ!$U$2:$U$1058,$K231),"")</f>
        <v/>
      </c>
      <c r="B231" t="str">
        <f>IF(ISNUMBER($K231),INDEX(РАБОТЫ!$A$2:$A$1058,$K231),"")</f>
        <v/>
      </c>
      <c r="C231" s="4" t="str">
        <f>IF($L231&lt;&gt;"",INDEX(РАБОТЫ!$Z$2:$Z$1058,MATCH($L231,РАБОТЫ!$V$2:$V$1058,0)),IF(ISNUMBER($K231),INDEX(РАБОТЫ!$Y$2:$Y$1058,$K231),""))</f>
        <v/>
      </c>
      <c r="D231" t="str">
        <f>IF(ISNUMBER($K231),INDEX(РАБОТЫ!$E$2:$E$1058,$K231),"")</f>
        <v/>
      </c>
      <c r="E231" t="str">
        <f>IF(ISNUMBER($K231),INDEX(РАБОТЫ!$M$2:$M$1058,$K231),"")</f>
        <v/>
      </c>
      <c r="F231" s="7" t="str">
        <f>IF(ISNUMBER($K231),INDEX(РАБОТЫ!$S$2:$S$1058,$K231),"")</f>
        <v/>
      </c>
      <c r="G231" s="7" t="str">
        <f>IF(ISNUMBER($K231),INDEX(РАБОТЫ!$T$2:$T$1058,$K231),"")</f>
        <v/>
      </c>
      <c r="H231" s="7" t="str">
        <f t="shared" si="12"/>
        <v/>
      </c>
      <c r="I231" s="7" t="str">
        <f t="shared" si="13"/>
        <v/>
      </c>
      <c r="J231" s="7" t="str">
        <f t="shared" si="14"/>
        <v/>
      </c>
      <c r="K231" t="str">
        <f>IFERROR(MATCH(210,РАБОТЫ!$X$2:$X$1058,0),"")</f>
        <v/>
      </c>
      <c r="L231" t="str">
        <f>IFERROR(IF(INDEX(РАБОТЫ!$W$2:$W$1058,MATCH(210+1,РАБОТЫ!$X$2:$X$1058,0))=1,INDEX(РАБОТЫ!$V$2:$V$1058,MATCH(210+1,РАБОТЫ!$X$2:$X$1058,0)),""),"")</f>
        <v/>
      </c>
      <c r="M231" t="str">
        <f t="shared" si="15"/>
        <v/>
      </c>
    </row>
    <row r="232" spans="1:13" hidden="1" x14ac:dyDescent="0.3">
      <c r="A232" t="str">
        <f>IF(ISNUMBER($K232),INDEX(РАБОТЫ!$U$2:$U$1058,$K232),"")</f>
        <v/>
      </c>
      <c r="B232" t="str">
        <f>IF(ISNUMBER($K232),INDEX(РАБОТЫ!$A$2:$A$1058,$K232),"")</f>
        <v/>
      </c>
      <c r="C232" s="4" t="str">
        <f>IF($L232&lt;&gt;"",INDEX(РАБОТЫ!$Z$2:$Z$1058,MATCH($L232,РАБОТЫ!$V$2:$V$1058,0)),IF(ISNUMBER($K232),INDEX(РАБОТЫ!$Y$2:$Y$1058,$K232),""))</f>
        <v/>
      </c>
      <c r="D232" t="str">
        <f>IF(ISNUMBER($K232),INDEX(РАБОТЫ!$E$2:$E$1058,$K232),"")</f>
        <v/>
      </c>
      <c r="E232" t="str">
        <f>IF(ISNUMBER($K232),INDEX(РАБОТЫ!$M$2:$M$1058,$K232),"")</f>
        <v/>
      </c>
      <c r="F232" s="7" t="str">
        <f>IF(ISNUMBER($K232),INDEX(РАБОТЫ!$S$2:$S$1058,$K232),"")</f>
        <v/>
      </c>
      <c r="G232" s="7" t="str">
        <f>IF(ISNUMBER($K232),INDEX(РАБОТЫ!$T$2:$T$1058,$K232),"")</f>
        <v/>
      </c>
      <c r="H232" s="7" t="str">
        <f t="shared" si="12"/>
        <v/>
      </c>
      <c r="I232" s="7" t="str">
        <f t="shared" si="13"/>
        <v/>
      </c>
      <c r="J232" s="7" t="str">
        <f t="shared" si="14"/>
        <v/>
      </c>
      <c r="K232" t="str">
        <f>IFERROR(MATCH(211,РАБОТЫ!$X$2:$X$1058,0),"")</f>
        <v/>
      </c>
      <c r="L232" t="str">
        <f>IFERROR(IF(INDEX(РАБОТЫ!$W$2:$W$1058,MATCH(211+1,РАБОТЫ!$X$2:$X$1058,0))=1,INDEX(РАБОТЫ!$V$2:$V$1058,MATCH(211+1,РАБОТЫ!$X$2:$X$1058,0)),""),"")</f>
        <v/>
      </c>
      <c r="M232" t="str">
        <f t="shared" si="15"/>
        <v/>
      </c>
    </row>
    <row r="233" spans="1:13" hidden="1" x14ac:dyDescent="0.3">
      <c r="A233" t="str">
        <f>IF(ISNUMBER($K233),INDEX(РАБОТЫ!$U$2:$U$1058,$K233),"")</f>
        <v/>
      </c>
      <c r="B233" t="str">
        <f>IF(ISNUMBER($K233),INDEX(РАБОТЫ!$A$2:$A$1058,$K233),"")</f>
        <v/>
      </c>
      <c r="C233" s="4" t="str">
        <f>IF($L233&lt;&gt;"",INDEX(РАБОТЫ!$Z$2:$Z$1058,MATCH($L233,РАБОТЫ!$V$2:$V$1058,0)),IF(ISNUMBER($K233),INDEX(РАБОТЫ!$Y$2:$Y$1058,$K233),""))</f>
        <v/>
      </c>
      <c r="D233" t="str">
        <f>IF(ISNUMBER($K233),INDEX(РАБОТЫ!$E$2:$E$1058,$K233),"")</f>
        <v/>
      </c>
      <c r="E233" t="str">
        <f>IF(ISNUMBER($K233),INDEX(РАБОТЫ!$M$2:$M$1058,$K233),"")</f>
        <v/>
      </c>
      <c r="F233" s="7" t="str">
        <f>IF(ISNUMBER($K233),INDEX(РАБОТЫ!$S$2:$S$1058,$K233),"")</f>
        <v/>
      </c>
      <c r="G233" s="7" t="str">
        <f>IF(ISNUMBER($K233),INDEX(РАБОТЫ!$T$2:$T$1058,$K233),"")</f>
        <v/>
      </c>
      <c r="H233" s="7" t="str">
        <f t="shared" si="12"/>
        <v/>
      </c>
      <c r="I233" s="7" t="str">
        <f t="shared" si="13"/>
        <v/>
      </c>
      <c r="J233" s="7" t="str">
        <f t="shared" si="14"/>
        <v/>
      </c>
      <c r="K233" t="str">
        <f>IFERROR(MATCH(212,РАБОТЫ!$X$2:$X$1058,0),"")</f>
        <v/>
      </c>
      <c r="L233" t="str">
        <f>IFERROR(IF(INDEX(РАБОТЫ!$W$2:$W$1058,MATCH(212+1,РАБОТЫ!$X$2:$X$1058,0))=1,INDEX(РАБОТЫ!$V$2:$V$1058,MATCH(212+1,РАБОТЫ!$X$2:$X$1058,0)),""),"")</f>
        <v/>
      </c>
      <c r="M233" t="str">
        <f t="shared" si="15"/>
        <v/>
      </c>
    </row>
    <row r="234" spans="1:13" hidden="1" x14ac:dyDescent="0.3">
      <c r="A234" t="str">
        <f>IF(ISNUMBER($K234),INDEX(РАБОТЫ!$U$2:$U$1058,$K234),"")</f>
        <v/>
      </c>
      <c r="B234" t="str">
        <f>IF(ISNUMBER($K234),INDEX(РАБОТЫ!$A$2:$A$1058,$K234),"")</f>
        <v/>
      </c>
      <c r="C234" s="4" t="str">
        <f>IF($L234&lt;&gt;"",INDEX(РАБОТЫ!$Z$2:$Z$1058,MATCH($L234,РАБОТЫ!$V$2:$V$1058,0)),IF(ISNUMBER($K234),INDEX(РАБОТЫ!$Y$2:$Y$1058,$K234),""))</f>
        <v/>
      </c>
      <c r="D234" t="str">
        <f>IF(ISNUMBER($K234),INDEX(РАБОТЫ!$E$2:$E$1058,$K234),"")</f>
        <v/>
      </c>
      <c r="E234" t="str">
        <f>IF(ISNUMBER($K234),INDEX(РАБОТЫ!$M$2:$M$1058,$K234),"")</f>
        <v/>
      </c>
      <c r="F234" s="7" t="str">
        <f>IF(ISNUMBER($K234),INDEX(РАБОТЫ!$S$2:$S$1058,$K234),"")</f>
        <v/>
      </c>
      <c r="G234" s="7" t="str">
        <f>IF(ISNUMBER($K234),INDEX(РАБОТЫ!$T$2:$T$1058,$K234),"")</f>
        <v/>
      </c>
      <c r="H234" s="7" t="str">
        <f t="shared" si="12"/>
        <v/>
      </c>
      <c r="I234" s="7" t="str">
        <f t="shared" si="13"/>
        <v/>
      </c>
      <c r="J234" s="7" t="str">
        <f t="shared" si="14"/>
        <v/>
      </c>
      <c r="K234" t="str">
        <f>IFERROR(MATCH(213,РАБОТЫ!$X$2:$X$1058,0),"")</f>
        <v/>
      </c>
      <c r="L234" t="str">
        <f>IFERROR(IF(INDEX(РАБОТЫ!$W$2:$W$1058,MATCH(213+1,РАБОТЫ!$X$2:$X$1058,0))=1,INDEX(РАБОТЫ!$V$2:$V$1058,MATCH(213+1,РАБОТЫ!$X$2:$X$1058,0)),""),"")</f>
        <v/>
      </c>
      <c r="M234" t="str">
        <f t="shared" si="15"/>
        <v/>
      </c>
    </row>
    <row r="235" spans="1:13" hidden="1" x14ac:dyDescent="0.3">
      <c r="A235" t="str">
        <f>IF(ISNUMBER($K235),INDEX(РАБОТЫ!$U$2:$U$1058,$K235),"")</f>
        <v/>
      </c>
      <c r="B235" t="str">
        <f>IF(ISNUMBER($K235),INDEX(РАБОТЫ!$A$2:$A$1058,$K235),"")</f>
        <v/>
      </c>
      <c r="C235" s="4" t="str">
        <f>IF($L235&lt;&gt;"",INDEX(РАБОТЫ!$Z$2:$Z$1058,MATCH($L235,РАБОТЫ!$V$2:$V$1058,0)),IF(ISNUMBER($K235),INDEX(РАБОТЫ!$Y$2:$Y$1058,$K235),""))</f>
        <v/>
      </c>
      <c r="D235" t="str">
        <f>IF(ISNUMBER($K235),INDEX(РАБОТЫ!$E$2:$E$1058,$K235),"")</f>
        <v/>
      </c>
      <c r="E235" t="str">
        <f>IF(ISNUMBER($K235),INDEX(РАБОТЫ!$M$2:$M$1058,$K235),"")</f>
        <v/>
      </c>
      <c r="F235" s="7" t="str">
        <f>IF(ISNUMBER($K235),INDEX(РАБОТЫ!$S$2:$S$1058,$K235),"")</f>
        <v/>
      </c>
      <c r="G235" s="7" t="str">
        <f>IF(ISNUMBER($K235),INDEX(РАБОТЫ!$T$2:$T$1058,$K235),"")</f>
        <v/>
      </c>
      <c r="H235" s="7" t="str">
        <f t="shared" si="12"/>
        <v/>
      </c>
      <c r="I235" s="7" t="str">
        <f t="shared" si="13"/>
        <v/>
      </c>
      <c r="J235" s="7" t="str">
        <f t="shared" si="14"/>
        <v/>
      </c>
      <c r="K235" t="str">
        <f>IFERROR(MATCH(214,РАБОТЫ!$X$2:$X$1058,0),"")</f>
        <v/>
      </c>
      <c r="L235" t="str">
        <f>IFERROR(IF(INDEX(РАБОТЫ!$W$2:$W$1058,MATCH(214+1,РАБОТЫ!$X$2:$X$1058,0))=1,INDEX(РАБОТЫ!$V$2:$V$1058,MATCH(214+1,РАБОТЫ!$X$2:$X$1058,0)),""),"")</f>
        <v/>
      </c>
      <c r="M235" t="str">
        <f t="shared" si="15"/>
        <v/>
      </c>
    </row>
    <row r="236" spans="1:13" hidden="1" x14ac:dyDescent="0.3">
      <c r="A236" t="str">
        <f>IF(ISNUMBER($K236),INDEX(РАБОТЫ!$U$2:$U$1058,$K236),"")</f>
        <v/>
      </c>
      <c r="B236" t="str">
        <f>IF(ISNUMBER($K236),INDEX(РАБОТЫ!$A$2:$A$1058,$K236),"")</f>
        <v/>
      </c>
      <c r="C236" s="4" t="str">
        <f>IF($L236&lt;&gt;"",INDEX(РАБОТЫ!$Z$2:$Z$1058,MATCH($L236,РАБОТЫ!$V$2:$V$1058,0)),IF(ISNUMBER($K236),INDEX(РАБОТЫ!$Y$2:$Y$1058,$K236),""))</f>
        <v/>
      </c>
      <c r="D236" t="str">
        <f>IF(ISNUMBER($K236),INDEX(РАБОТЫ!$E$2:$E$1058,$K236),"")</f>
        <v/>
      </c>
      <c r="E236" t="str">
        <f>IF(ISNUMBER($K236),INDEX(РАБОТЫ!$M$2:$M$1058,$K236),"")</f>
        <v/>
      </c>
      <c r="F236" s="7" t="str">
        <f>IF(ISNUMBER($K236),INDEX(РАБОТЫ!$S$2:$S$1058,$K236),"")</f>
        <v/>
      </c>
      <c r="G236" s="7" t="str">
        <f>IF(ISNUMBER($K236),INDEX(РАБОТЫ!$T$2:$T$1058,$K236),"")</f>
        <v/>
      </c>
      <c r="H236" s="7" t="str">
        <f t="shared" si="12"/>
        <v/>
      </c>
      <c r="I236" s="7" t="str">
        <f t="shared" si="13"/>
        <v/>
      </c>
      <c r="J236" s="7" t="str">
        <f t="shared" si="14"/>
        <v/>
      </c>
      <c r="K236" t="str">
        <f>IFERROR(MATCH(215,РАБОТЫ!$X$2:$X$1058,0),"")</f>
        <v/>
      </c>
      <c r="L236" t="str">
        <f>IFERROR(IF(INDEX(РАБОТЫ!$W$2:$W$1058,MATCH(215+1,РАБОТЫ!$X$2:$X$1058,0))=1,INDEX(РАБОТЫ!$V$2:$V$1058,MATCH(215+1,РАБОТЫ!$X$2:$X$1058,0)),""),"")</f>
        <v/>
      </c>
      <c r="M236" t="str">
        <f t="shared" si="15"/>
        <v/>
      </c>
    </row>
    <row r="237" spans="1:13" hidden="1" x14ac:dyDescent="0.3">
      <c r="A237" t="str">
        <f>IF(ISNUMBER($K237),INDEX(РАБОТЫ!$U$2:$U$1058,$K237),"")</f>
        <v/>
      </c>
      <c r="B237" t="str">
        <f>IF(ISNUMBER($K237),INDEX(РАБОТЫ!$A$2:$A$1058,$K237),"")</f>
        <v/>
      </c>
      <c r="C237" s="4" t="str">
        <f>IF($L237&lt;&gt;"",INDEX(РАБОТЫ!$Z$2:$Z$1058,MATCH($L237,РАБОТЫ!$V$2:$V$1058,0)),IF(ISNUMBER($K237),INDEX(РАБОТЫ!$Y$2:$Y$1058,$K237),""))</f>
        <v/>
      </c>
      <c r="D237" t="str">
        <f>IF(ISNUMBER($K237),INDEX(РАБОТЫ!$E$2:$E$1058,$K237),"")</f>
        <v/>
      </c>
      <c r="E237" t="str">
        <f>IF(ISNUMBER($K237),INDEX(РАБОТЫ!$M$2:$M$1058,$K237),"")</f>
        <v/>
      </c>
      <c r="F237" s="7" t="str">
        <f>IF(ISNUMBER($K237),INDEX(РАБОТЫ!$S$2:$S$1058,$K237),"")</f>
        <v/>
      </c>
      <c r="G237" s="7" t="str">
        <f>IF(ISNUMBER($K237),INDEX(РАБОТЫ!$T$2:$T$1058,$K237),"")</f>
        <v/>
      </c>
      <c r="H237" s="7" t="str">
        <f t="shared" si="12"/>
        <v/>
      </c>
      <c r="I237" s="7" t="str">
        <f t="shared" si="13"/>
        <v/>
      </c>
      <c r="J237" s="7" t="str">
        <f t="shared" si="14"/>
        <v/>
      </c>
      <c r="K237" t="str">
        <f>IFERROR(MATCH(216,РАБОТЫ!$X$2:$X$1058,0),"")</f>
        <v/>
      </c>
      <c r="L237" t="str">
        <f>IFERROR(IF(INDEX(РАБОТЫ!$W$2:$W$1058,MATCH(216+1,РАБОТЫ!$X$2:$X$1058,0))=1,INDEX(РАБОТЫ!$V$2:$V$1058,MATCH(216+1,РАБОТЫ!$X$2:$X$1058,0)),""),"")</f>
        <v/>
      </c>
      <c r="M237" t="str">
        <f t="shared" si="15"/>
        <v/>
      </c>
    </row>
    <row r="238" spans="1:13" hidden="1" x14ac:dyDescent="0.3">
      <c r="A238" t="str">
        <f>IF(ISNUMBER($K238),INDEX(РАБОТЫ!$U$2:$U$1058,$K238),"")</f>
        <v/>
      </c>
      <c r="B238" t="str">
        <f>IF(ISNUMBER($K238),INDEX(РАБОТЫ!$A$2:$A$1058,$K238),"")</f>
        <v/>
      </c>
      <c r="C238" s="4" t="str">
        <f>IF($L238&lt;&gt;"",INDEX(РАБОТЫ!$Z$2:$Z$1058,MATCH($L238,РАБОТЫ!$V$2:$V$1058,0)),IF(ISNUMBER($K238),INDEX(РАБОТЫ!$Y$2:$Y$1058,$K238),""))</f>
        <v/>
      </c>
      <c r="D238" t="str">
        <f>IF(ISNUMBER($K238),INDEX(РАБОТЫ!$E$2:$E$1058,$K238),"")</f>
        <v/>
      </c>
      <c r="E238" t="str">
        <f>IF(ISNUMBER($K238),INDEX(РАБОТЫ!$M$2:$M$1058,$K238),"")</f>
        <v/>
      </c>
      <c r="F238" s="7" t="str">
        <f>IF(ISNUMBER($K238),INDEX(РАБОТЫ!$S$2:$S$1058,$K238),"")</f>
        <v/>
      </c>
      <c r="G238" s="7" t="str">
        <f>IF(ISNUMBER($K238),INDEX(РАБОТЫ!$T$2:$T$1058,$K238),"")</f>
        <v/>
      </c>
      <c r="H238" s="7" t="str">
        <f t="shared" si="12"/>
        <v/>
      </c>
      <c r="I238" s="7" t="str">
        <f t="shared" si="13"/>
        <v/>
      </c>
      <c r="J238" s="7" t="str">
        <f t="shared" si="14"/>
        <v/>
      </c>
      <c r="K238" t="str">
        <f>IFERROR(MATCH(217,РАБОТЫ!$X$2:$X$1058,0),"")</f>
        <v/>
      </c>
      <c r="L238" t="str">
        <f>IFERROR(IF(INDEX(РАБОТЫ!$W$2:$W$1058,MATCH(217+1,РАБОТЫ!$X$2:$X$1058,0))=1,INDEX(РАБОТЫ!$V$2:$V$1058,MATCH(217+1,РАБОТЫ!$X$2:$X$1058,0)),""),"")</f>
        <v/>
      </c>
      <c r="M238" t="str">
        <f t="shared" si="15"/>
        <v/>
      </c>
    </row>
    <row r="239" spans="1:13" hidden="1" x14ac:dyDescent="0.3">
      <c r="A239" t="str">
        <f>IF(ISNUMBER($K239),INDEX(РАБОТЫ!$U$2:$U$1058,$K239),"")</f>
        <v/>
      </c>
      <c r="B239" t="str">
        <f>IF(ISNUMBER($K239),INDEX(РАБОТЫ!$A$2:$A$1058,$K239),"")</f>
        <v/>
      </c>
      <c r="C239" s="4" t="str">
        <f>IF($L239&lt;&gt;"",INDEX(РАБОТЫ!$Z$2:$Z$1058,MATCH($L239,РАБОТЫ!$V$2:$V$1058,0)),IF(ISNUMBER($K239),INDEX(РАБОТЫ!$Y$2:$Y$1058,$K239),""))</f>
        <v/>
      </c>
      <c r="D239" t="str">
        <f>IF(ISNUMBER($K239),INDEX(РАБОТЫ!$E$2:$E$1058,$K239),"")</f>
        <v/>
      </c>
      <c r="E239" t="str">
        <f>IF(ISNUMBER($K239),INDEX(РАБОТЫ!$M$2:$M$1058,$K239),"")</f>
        <v/>
      </c>
      <c r="F239" s="7" t="str">
        <f>IF(ISNUMBER($K239),INDEX(РАБОТЫ!$S$2:$S$1058,$K239),"")</f>
        <v/>
      </c>
      <c r="G239" s="7" t="str">
        <f>IF(ISNUMBER($K239),INDEX(РАБОТЫ!$T$2:$T$1058,$K239),"")</f>
        <v/>
      </c>
      <c r="H239" s="7" t="str">
        <f t="shared" si="12"/>
        <v/>
      </c>
      <c r="I239" s="7" t="str">
        <f t="shared" si="13"/>
        <v/>
      </c>
      <c r="J239" s="7" t="str">
        <f t="shared" si="14"/>
        <v/>
      </c>
      <c r="K239" t="str">
        <f>IFERROR(MATCH(218,РАБОТЫ!$X$2:$X$1058,0),"")</f>
        <v/>
      </c>
      <c r="L239" t="str">
        <f>IFERROR(IF(INDEX(РАБОТЫ!$W$2:$W$1058,MATCH(218+1,РАБОТЫ!$X$2:$X$1058,0))=1,INDEX(РАБОТЫ!$V$2:$V$1058,MATCH(218+1,РАБОТЫ!$X$2:$X$1058,0)),""),"")</f>
        <v/>
      </c>
      <c r="M239" t="str">
        <f t="shared" si="15"/>
        <v/>
      </c>
    </row>
    <row r="240" spans="1:13" hidden="1" x14ac:dyDescent="0.3">
      <c r="A240" t="str">
        <f>IF(ISNUMBER($K240),INDEX(РАБОТЫ!$U$2:$U$1058,$K240),"")</f>
        <v/>
      </c>
      <c r="B240" t="str">
        <f>IF(ISNUMBER($K240),INDEX(РАБОТЫ!$A$2:$A$1058,$K240),"")</f>
        <v/>
      </c>
      <c r="C240" s="4" t="str">
        <f>IF($L240&lt;&gt;"",INDEX(РАБОТЫ!$Z$2:$Z$1058,MATCH($L240,РАБОТЫ!$V$2:$V$1058,0)),IF(ISNUMBER($K240),INDEX(РАБОТЫ!$Y$2:$Y$1058,$K240),""))</f>
        <v/>
      </c>
      <c r="D240" t="str">
        <f>IF(ISNUMBER($K240),INDEX(РАБОТЫ!$E$2:$E$1058,$K240),"")</f>
        <v/>
      </c>
      <c r="E240" t="str">
        <f>IF(ISNUMBER($K240),INDEX(РАБОТЫ!$M$2:$M$1058,$K240),"")</f>
        <v/>
      </c>
      <c r="F240" s="7" t="str">
        <f>IF(ISNUMBER($K240),INDEX(РАБОТЫ!$S$2:$S$1058,$K240),"")</f>
        <v/>
      </c>
      <c r="G240" s="7" t="str">
        <f>IF(ISNUMBER($K240),INDEX(РАБОТЫ!$T$2:$T$1058,$K240),"")</f>
        <v/>
      </c>
      <c r="H240" s="7" t="str">
        <f t="shared" si="12"/>
        <v/>
      </c>
      <c r="I240" s="7" t="str">
        <f t="shared" si="13"/>
        <v/>
      </c>
      <c r="J240" s="7" t="str">
        <f t="shared" si="14"/>
        <v/>
      </c>
      <c r="K240" t="str">
        <f>IFERROR(MATCH(219,РАБОТЫ!$X$2:$X$1058,0),"")</f>
        <v/>
      </c>
      <c r="L240" t="str">
        <f>IFERROR(IF(INDEX(РАБОТЫ!$W$2:$W$1058,MATCH(219+1,РАБОТЫ!$X$2:$X$1058,0))=1,INDEX(РАБОТЫ!$V$2:$V$1058,MATCH(219+1,РАБОТЫ!$X$2:$X$1058,0)),""),"")</f>
        <v/>
      </c>
      <c r="M240" t="str">
        <f t="shared" si="15"/>
        <v/>
      </c>
    </row>
    <row r="241" spans="1:13" hidden="1" x14ac:dyDescent="0.3">
      <c r="A241" t="str">
        <f>IF(ISNUMBER($K241),INDEX(РАБОТЫ!$U$2:$U$1058,$K241),"")</f>
        <v/>
      </c>
      <c r="B241" t="str">
        <f>IF(ISNUMBER($K241),INDEX(РАБОТЫ!$A$2:$A$1058,$K241),"")</f>
        <v/>
      </c>
      <c r="C241" s="4" t="str">
        <f>IF($L241&lt;&gt;"",INDEX(РАБОТЫ!$Z$2:$Z$1058,MATCH($L241,РАБОТЫ!$V$2:$V$1058,0)),IF(ISNUMBER($K241),INDEX(РАБОТЫ!$Y$2:$Y$1058,$K241),""))</f>
        <v/>
      </c>
      <c r="D241" t="str">
        <f>IF(ISNUMBER($K241),INDEX(РАБОТЫ!$E$2:$E$1058,$K241),"")</f>
        <v/>
      </c>
      <c r="E241" t="str">
        <f>IF(ISNUMBER($K241),INDEX(РАБОТЫ!$M$2:$M$1058,$K241),"")</f>
        <v/>
      </c>
      <c r="F241" s="7" t="str">
        <f>IF(ISNUMBER($K241),INDEX(РАБОТЫ!$S$2:$S$1058,$K241),"")</f>
        <v/>
      </c>
      <c r="G241" s="7" t="str">
        <f>IF(ISNUMBER($K241),INDEX(РАБОТЫ!$T$2:$T$1058,$K241),"")</f>
        <v/>
      </c>
      <c r="H241" s="7" t="str">
        <f t="shared" si="12"/>
        <v/>
      </c>
      <c r="I241" s="7" t="str">
        <f t="shared" si="13"/>
        <v/>
      </c>
      <c r="J241" s="7" t="str">
        <f t="shared" si="14"/>
        <v/>
      </c>
      <c r="K241" t="str">
        <f>IFERROR(MATCH(220,РАБОТЫ!$X$2:$X$1058,0),"")</f>
        <v/>
      </c>
      <c r="L241" t="str">
        <f>IFERROR(IF(INDEX(РАБОТЫ!$W$2:$W$1058,MATCH(220+1,РАБОТЫ!$X$2:$X$1058,0))=1,INDEX(РАБОТЫ!$V$2:$V$1058,MATCH(220+1,РАБОТЫ!$X$2:$X$1058,0)),""),"")</f>
        <v/>
      </c>
      <c r="M241" t="str">
        <f t="shared" si="15"/>
        <v/>
      </c>
    </row>
    <row r="242" spans="1:13" hidden="1" x14ac:dyDescent="0.3">
      <c r="A242" t="str">
        <f>IF(ISNUMBER($K242),INDEX(РАБОТЫ!$U$2:$U$1058,$K242),"")</f>
        <v/>
      </c>
      <c r="B242" t="str">
        <f>IF(ISNUMBER($K242),INDEX(РАБОТЫ!$A$2:$A$1058,$K242),"")</f>
        <v/>
      </c>
      <c r="C242" s="4" t="str">
        <f>IF($L242&lt;&gt;"",INDEX(РАБОТЫ!$Z$2:$Z$1058,MATCH($L242,РАБОТЫ!$V$2:$V$1058,0)),IF(ISNUMBER($K242),INDEX(РАБОТЫ!$Y$2:$Y$1058,$K242),""))</f>
        <v/>
      </c>
      <c r="D242" t="str">
        <f>IF(ISNUMBER($K242),INDEX(РАБОТЫ!$E$2:$E$1058,$K242),"")</f>
        <v/>
      </c>
      <c r="E242" t="str">
        <f>IF(ISNUMBER($K242),INDEX(РАБОТЫ!$M$2:$M$1058,$K242),"")</f>
        <v/>
      </c>
      <c r="F242" s="7" t="str">
        <f>IF(ISNUMBER($K242),INDEX(РАБОТЫ!$S$2:$S$1058,$K242),"")</f>
        <v/>
      </c>
      <c r="G242" s="7" t="str">
        <f>IF(ISNUMBER($K242),INDEX(РАБОТЫ!$T$2:$T$1058,$K242),"")</f>
        <v/>
      </c>
      <c r="H242" s="7" t="str">
        <f t="shared" si="12"/>
        <v/>
      </c>
      <c r="I242" s="7" t="str">
        <f t="shared" si="13"/>
        <v/>
      </c>
      <c r="J242" s="7" t="str">
        <f t="shared" si="14"/>
        <v/>
      </c>
      <c r="K242" t="str">
        <f>IFERROR(MATCH(221,РАБОТЫ!$X$2:$X$1058,0),"")</f>
        <v/>
      </c>
      <c r="L242" t="str">
        <f>IFERROR(IF(INDEX(РАБОТЫ!$W$2:$W$1058,MATCH(221+1,РАБОТЫ!$X$2:$X$1058,0))=1,INDEX(РАБОТЫ!$V$2:$V$1058,MATCH(221+1,РАБОТЫ!$X$2:$X$1058,0)),""),"")</f>
        <v/>
      </c>
      <c r="M242" t="str">
        <f t="shared" si="15"/>
        <v/>
      </c>
    </row>
    <row r="243" spans="1:13" hidden="1" x14ac:dyDescent="0.3">
      <c r="A243" t="str">
        <f>IF(ISNUMBER($K243),INDEX(РАБОТЫ!$U$2:$U$1058,$K243),"")</f>
        <v/>
      </c>
      <c r="B243" t="str">
        <f>IF(ISNUMBER($K243),INDEX(РАБОТЫ!$A$2:$A$1058,$K243),"")</f>
        <v/>
      </c>
      <c r="C243" s="4" t="str">
        <f>IF($L243&lt;&gt;"",INDEX(РАБОТЫ!$Z$2:$Z$1058,MATCH($L243,РАБОТЫ!$V$2:$V$1058,0)),IF(ISNUMBER($K243),INDEX(РАБОТЫ!$Y$2:$Y$1058,$K243),""))</f>
        <v/>
      </c>
      <c r="D243" t="str">
        <f>IF(ISNUMBER($K243),INDEX(РАБОТЫ!$E$2:$E$1058,$K243),"")</f>
        <v/>
      </c>
      <c r="E243" t="str">
        <f>IF(ISNUMBER($K243),INDEX(РАБОТЫ!$M$2:$M$1058,$K243),"")</f>
        <v/>
      </c>
      <c r="F243" s="7" t="str">
        <f>IF(ISNUMBER($K243),INDEX(РАБОТЫ!$S$2:$S$1058,$K243),"")</f>
        <v/>
      </c>
      <c r="G243" s="7" t="str">
        <f>IF(ISNUMBER($K243),INDEX(РАБОТЫ!$T$2:$T$1058,$K243),"")</f>
        <v/>
      </c>
      <c r="H243" s="7" t="str">
        <f t="shared" si="12"/>
        <v/>
      </c>
      <c r="I243" s="7" t="str">
        <f t="shared" si="13"/>
        <v/>
      </c>
      <c r="J243" s="7" t="str">
        <f t="shared" si="14"/>
        <v/>
      </c>
      <c r="K243" t="str">
        <f>IFERROR(MATCH(222,РАБОТЫ!$X$2:$X$1058,0),"")</f>
        <v/>
      </c>
      <c r="L243" t="str">
        <f>IFERROR(IF(INDEX(РАБОТЫ!$W$2:$W$1058,MATCH(222+1,РАБОТЫ!$X$2:$X$1058,0))=1,INDEX(РАБОТЫ!$V$2:$V$1058,MATCH(222+1,РАБОТЫ!$X$2:$X$1058,0)),""),"")</f>
        <v/>
      </c>
      <c r="M243" t="str">
        <f t="shared" si="15"/>
        <v/>
      </c>
    </row>
    <row r="244" spans="1:13" hidden="1" x14ac:dyDescent="0.3">
      <c r="A244" t="str">
        <f>IF(ISNUMBER($K244),INDEX(РАБОТЫ!$U$2:$U$1058,$K244),"")</f>
        <v/>
      </c>
      <c r="B244" t="str">
        <f>IF(ISNUMBER($K244),INDEX(РАБОТЫ!$A$2:$A$1058,$K244),"")</f>
        <v/>
      </c>
      <c r="C244" s="4" t="str">
        <f>IF($L244&lt;&gt;"",INDEX(РАБОТЫ!$Z$2:$Z$1058,MATCH($L244,РАБОТЫ!$V$2:$V$1058,0)),IF(ISNUMBER($K244),INDEX(РАБОТЫ!$Y$2:$Y$1058,$K244),""))</f>
        <v/>
      </c>
      <c r="D244" t="str">
        <f>IF(ISNUMBER($K244),INDEX(РАБОТЫ!$E$2:$E$1058,$K244),"")</f>
        <v/>
      </c>
      <c r="E244" t="str">
        <f>IF(ISNUMBER($K244),INDEX(РАБОТЫ!$M$2:$M$1058,$K244),"")</f>
        <v/>
      </c>
      <c r="F244" s="7" t="str">
        <f>IF(ISNUMBER($K244),INDEX(РАБОТЫ!$S$2:$S$1058,$K244),"")</f>
        <v/>
      </c>
      <c r="G244" s="7" t="str">
        <f>IF(ISNUMBER($K244),INDEX(РАБОТЫ!$T$2:$T$1058,$K244),"")</f>
        <v/>
      </c>
      <c r="H244" s="7" t="str">
        <f t="shared" si="12"/>
        <v/>
      </c>
      <c r="I244" s="7" t="str">
        <f t="shared" si="13"/>
        <v/>
      </c>
      <c r="J244" s="7" t="str">
        <f t="shared" si="14"/>
        <v/>
      </c>
      <c r="K244" t="str">
        <f>IFERROR(MATCH(223,РАБОТЫ!$X$2:$X$1058,0),"")</f>
        <v/>
      </c>
      <c r="L244" t="str">
        <f>IFERROR(IF(INDEX(РАБОТЫ!$W$2:$W$1058,MATCH(223+1,РАБОТЫ!$X$2:$X$1058,0))=1,INDEX(РАБОТЫ!$V$2:$V$1058,MATCH(223+1,РАБОТЫ!$X$2:$X$1058,0)),""),"")</f>
        <v/>
      </c>
      <c r="M244" t="str">
        <f t="shared" si="15"/>
        <v/>
      </c>
    </row>
    <row r="245" spans="1:13" hidden="1" x14ac:dyDescent="0.3">
      <c r="A245" t="str">
        <f>IF(ISNUMBER($K245),INDEX(РАБОТЫ!$U$2:$U$1058,$K245),"")</f>
        <v/>
      </c>
      <c r="B245" t="str">
        <f>IF(ISNUMBER($K245),INDEX(РАБОТЫ!$A$2:$A$1058,$K245),"")</f>
        <v/>
      </c>
      <c r="C245" s="4" t="str">
        <f>IF($L245&lt;&gt;"",INDEX(РАБОТЫ!$Z$2:$Z$1058,MATCH($L245,РАБОТЫ!$V$2:$V$1058,0)),IF(ISNUMBER($K245),INDEX(РАБОТЫ!$Y$2:$Y$1058,$K245),""))</f>
        <v/>
      </c>
      <c r="D245" t="str">
        <f>IF(ISNUMBER($K245),INDEX(РАБОТЫ!$E$2:$E$1058,$K245),"")</f>
        <v/>
      </c>
      <c r="E245" t="str">
        <f>IF(ISNUMBER($K245),INDEX(РАБОТЫ!$M$2:$M$1058,$K245),"")</f>
        <v/>
      </c>
      <c r="F245" s="7" t="str">
        <f>IF(ISNUMBER($K245),INDEX(РАБОТЫ!$S$2:$S$1058,$K245),"")</f>
        <v/>
      </c>
      <c r="G245" s="7" t="str">
        <f>IF(ISNUMBER($K245),INDEX(РАБОТЫ!$T$2:$T$1058,$K245),"")</f>
        <v/>
      </c>
      <c r="H245" s="7" t="str">
        <f t="shared" si="12"/>
        <v/>
      </c>
      <c r="I245" s="7" t="str">
        <f t="shared" si="13"/>
        <v/>
      </c>
      <c r="J245" s="7" t="str">
        <f t="shared" si="14"/>
        <v/>
      </c>
      <c r="K245" t="str">
        <f>IFERROR(MATCH(224,РАБОТЫ!$X$2:$X$1058,0),"")</f>
        <v/>
      </c>
      <c r="L245" t="str">
        <f>IFERROR(IF(INDEX(РАБОТЫ!$W$2:$W$1058,MATCH(224+1,РАБОТЫ!$X$2:$X$1058,0))=1,INDEX(РАБОТЫ!$V$2:$V$1058,MATCH(224+1,РАБОТЫ!$X$2:$X$1058,0)),""),"")</f>
        <v/>
      </c>
      <c r="M245" t="str">
        <f t="shared" si="15"/>
        <v/>
      </c>
    </row>
    <row r="246" spans="1:13" hidden="1" x14ac:dyDescent="0.3">
      <c r="A246" t="str">
        <f>IF(ISNUMBER($K246),INDEX(РАБОТЫ!$U$2:$U$1058,$K246),"")</f>
        <v/>
      </c>
      <c r="B246" t="str">
        <f>IF(ISNUMBER($K246),INDEX(РАБОТЫ!$A$2:$A$1058,$K246),"")</f>
        <v/>
      </c>
      <c r="C246" s="4" t="str">
        <f>IF($L246&lt;&gt;"",INDEX(РАБОТЫ!$Z$2:$Z$1058,MATCH($L246,РАБОТЫ!$V$2:$V$1058,0)),IF(ISNUMBER($K246),INDEX(РАБОТЫ!$Y$2:$Y$1058,$K246),""))</f>
        <v/>
      </c>
      <c r="D246" t="str">
        <f>IF(ISNUMBER($K246),INDEX(РАБОТЫ!$E$2:$E$1058,$K246),"")</f>
        <v/>
      </c>
      <c r="E246" t="str">
        <f>IF(ISNUMBER($K246),INDEX(РАБОТЫ!$M$2:$M$1058,$K246),"")</f>
        <v/>
      </c>
      <c r="F246" s="7" t="str">
        <f>IF(ISNUMBER($K246),INDEX(РАБОТЫ!$S$2:$S$1058,$K246),"")</f>
        <v/>
      </c>
      <c r="G246" s="7" t="str">
        <f>IF(ISNUMBER($K246),INDEX(РАБОТЫ!$T$2:$T$1058,$K246),"")</f>
        <v/>
      </c>
      <c r="H246" s="7" t="str">
        <f t="shared" si="12"/>
        <v/>
      </c>
      <c r="I246" s="7" t="str">
        <f t="shared" si="13"/>
        <v/>
      </c>
      <c r="J246" s="7" t="str">
        <f t="shared" si="14"/>
        <v/>
      </c>
      <c r="K246" t="str">
        <f>IFERROR(MATCH(225,РАБОТЫ!$X$2:$X$1058,0),"")</f>
        <v/>
      </c>
      <c r="L246" t="str">
        <f>IFERROR(IF(INDEX(РАБОТЫ!$W$2:$W$1058,MATCH(225+1,РАБОТЫ!$X$2:$X$1058,0))=1,INDEX(РАБОТЫ!$V$2:$V$1058,MATCH(225+1,РАБОТЫ!$X$2:$X$1058,0)),""),"")</f>
        <v/>
      </c>
      <c r="M246" t="str">
        <f t="shared" si="15"/>
        <v/>
      </c>
    </row>
    <row r="247" spans="1:13" hidden="1" x14ac:dyDescent="0.3">
      <c r="A247" t="str">
        <f>IF(ISNUMBER($K247),INDEX(РАБОТЫ!$U$2:$U$1058,$K247),"")</f>
        <v/>
      </c>
      <c r="B247" t="str">
        <f>IF(ISNUMBER($K247),INDEX(РАБОТЫ!$A$2:$A$1058,$K247),"")</f>
        <v/>
      </c>
      <c r="C247" s="4" t="str">
        <f>IF($L247&lt;&gt;"",INDEX(РАБОТЫ!$Z$2:$Z$1058,MATCH($L247,РАБОТЫ!$V$2:$V$1058,0)),IF(ISNUMBER($K247),INDEX(РАБОТЫ!$Y$2:$Y$1058,$K247),""))</f>
        <v/>
      </c>
      <c r="D247" t="str">
        <f>IF(ISNUMBER($K247),INDEX(РАБОТЫ!$E$2:$E$1058,$K247),"")</f>
        <v/>
      </c>
      <c r="E247" t="str">
        <f>IF(ISNUMBER($K247),INDEX(РАБОТЫ!$M$2:$M$1058,$K247),"")</f>
        <v/>
      </c>
      <c r="F247" s="7" t="str">
        <f>IF(ISNUMBER($K247),INDEX(РАБОТЫ!$S$2:$S$1058,$K247),"")</f>
        <v/>
      </c>
      <c r="G247" s="7" t="str">
        <f>IF(ISNUMBER($K247),INDEX(РАБОТЫ!$T$2:$T$1058,$K247),"")</f>
        <v/>
      </c>
      <c r="H247" s="7" t="str">
        <f t="shared" si="12"/>
        <v/>
      </c>
      <c r="I247" s="7" t="str">
        <f t="shared" si="13"/>
        <v/>
      </c>
      <c r="J247" s="7" t="str">
        <f t="shared" si="14"/>
        <v/>
      </c>
      <c r="K247" t="str">
        <f>IFERROR(MATCH(226,РАБОТЫ!$X$2:$X$1058,0),"")</f>
        <v/>
      </c>
      <c r="L247" t="str">
        <f>IFERROR(IF(INDEX(РАБОТЫ!$W$2:$W$1058,MATCH(226+1,РАБОТЫ!$X$2:$X$1058,0))=1,INDEX(РАБОТЫ!$V$2:$V$1058,MATCH(226+1,РАБОТЫ!$X$2:$X$1058,0)),""),"")</f>
        <v/>
      </c>
      <c r="M247" t="str">
        <f t="shared" si="15"/>
        <v/>
      </c>
    </row>
    <row r="248" spans="1:13" hidden="1" x14ac:dyDescent="0.3">
      <c r="A248" t="str">
        <f>IF(ISNUMBER($K248),INDEX(РАБОТЫ!$U$2:$U$1058,$K248),"")</f>
        <v/>
      </c>
      <c r="B248" t="str">
        <f>IF(ISNUMBER($K248),INDEX(РАБОТЫ!$A$2:$A$1058,$K248),"")</f>
        <v/>
      </c>
      <c r="C248" s="4" t="str">
        <f>IF($L248&lt;&gt;"",INDEX(РАБОТЫ!$Z$2:$Z$1058,MATCH($L248,РАБОТЫ!$V$2:$V$1058,0)),IF(ISNUMBER($K248),INDEX(РАБОТЫ!$Y$2:$Y$1058,$K248),""))</f>
        <v/>
      </c>
      <c r="D248" t="str">
        <f>IF(ISNUMBER($K248),INDEX(РАБОТЫ!$E$2:$E$1058,$K248),"")</f>
        <v/>
      </c>
      <c r="E248" t="str">
        <f>IF(ISNUMBER($K248),INDEX(РАБОТЫ!$M$2:$M$1058,$K248),"")</f>
        <v/>
      </c>
      <c r="F248" s="7" t="str">
        <f>IF(ISNUMBER($K248),INDEX(РАБОТЫ!$S$2:$S$1058,$K248),"")</f>
        <v/>
      </c>
      <c r="G248" s="7" t="str">
        <f>IF(ISNUMBER($K248),INDEX(РАБОТЫ!$T$2:$T$1058,$K248),"")</f>
        <v/>
      </c>
      <c r="H248" s="7" t="str">
        <f t="shared" si="12"/>
        <v/>
      </c>
      <c r="I248" s="7" t="str">
        <f t="shared" si="13"/>
        <v/>
      </c>
      <c r="J248" s="7" t="str">
        <f t="shared" si="14"/>
        <v/>
      </c>
      <c r="K248" t="str">
        <f>IFERROR(MATCH(227,РАБОТЫ!$X$2:$X$1058,0),"")</f>
        <v/>
      </c>
      <c r="L248" t="str">
        <f>IFERROR(IF(INDEX(РАБОТЫ!$W$2:$W$1058,MATCH(227+1,РАБОТЫ!$X$2:$X$1058,0))=1,INDEX(РАБОТЫ!$V$2:$V$1058,MATCH(227+1,РАБОТЫ!$X$2:$X$1058,0)),""),"")</f>
        <v/>
      </c>
      <c r="M248" t="str">
        <f t="shared" si="15"/>
        <v/>
      </c>
    </row>
    <row r="249" spans="1:13" hidden="1" x14ac:dyDescent="0.3">
      <c r="A249" t="str">
        <f>IF(ISNUMBER($K249),INDEX(РАБОТЫ!$U$2:$U$1058,$K249),"")</f>
        <v/>
      </c>
      <c r="B249" t="str">
        <f>IF(ISNUMBER($K249),INDEX(РАБОТЫ!$A$2:$A$1058,$K249),"")</f>
        <v/>
      </c>
      <c r="C249" s="4" t="str">
        <f>IF($L249&lt;&gt;"",INDEX(РАБОТЫ!$Z$2:$Z$1058,MATCH($L249,РАБОТЫ!$V$2:$V$1058,0)),IF(ISNUMBER($K249),INDEX(РАБОТЫ!$Y$2:$Y$1058,$K249),""))</f>
        <v/>
      </c>
      <c r="D249" t="str">
        <f>IF(ISNUMBER($K249),INDEX(РАБОТЫ!$E$2:$E$1058,$K249),"")</f>
        <v/>
      </c>
      <c r="E249" t="str">
        <f>IF(ISNUMBER($K249),INDEX(РАБОТЫ!$M$2:$M$1058,$K249),"")</f>
        <v/>
      </c>
      <c r="F249" s="7" t="str">
        <f>IF(ISNUMBER($K249),INDEX(РАБОТЫ!$S$2:$S$1058,$K249),"")</f>
        <v/>
      </c>
      <c r="G249" s="7" t="str">
        <f>IF(ISNUMBER($K249),INDEX(РАБОТЫ!$T$2:$T$1058,$K249),"")</f>
        <v/>
      </c>
      <c r="H249" s="7" t="str">
        <f t="shared" si="12"/>
        <v/>
      </c>
      <c r="I249" s="7" t="str">
        <f t="shared" si="13"/>
        <v/>
      </c>
      <c r="J249" s="7" t="str">
        <f t="shared" si="14"/>
        <v/>
      </c>
      <c r="K249" t="str">
        <f>IFERROR(MATCH(228,РАБОТЫ!$X$2:$X$1058,0),"")</f>
        <v/>
      </c>
      <c r="L249" t="str">
        <f>IFERROR(IF(INDEX(РАБОТЫ!$W$2:$W$1058,MATCH(228+1,РАБОТЫ!$X$2:$X$1058,0))=1,INDEX(РАБОТЫ!$V$2:$V$1058,MATCH(228+1,РАБОТЫ!$X$2:$X$1058,0)),""),"")</f>
        <v/>
      </c>
      <c r="M249" t="str">
        <f t="shared" si="15"/>
        <v/>
      </c>
    </row>
    <row r="250" spans="1:13" hidden="1" x14ac:dyDescent="0.3">
      <c r="A250" t="str">
        <f>IF(ISNUMBER($K250),INDEX(РАБОТЫ!$U$2:$U$1058,$K250),"")</f>
        <v/>
      </c>
      <c r="B250" t="str">
        <f>IF(ISNUMBER($K250),INDEX(РАБОТЫ!$A$2:$A$1058,$K250),"")</f>
        <v/>
      </c>
      <c r="C250" s="4" t="str">
        <f>IF($L250&lt;&gt;"",INDEX(РАБОТЫ!$Z$2:$Z$1058,MATCH($L250,РАБОТЫ!$V$2:$V$1058,0)),IF(ISNUMBER($K250),INDEX(РАБОТЫ!$Y$2:$Y$1058,$K250),""))</f>
        <v/>
      </c>
      <c r="D250" t="str">
        <f>IF(ISNUMBER($K250),INDEX(РАБОТЫ!$E$2:$E$1058,$K250),"")</f>
        <v/>
      </c>
      <c r="E250" t="str">
        <f>IF(ISNUMBER($K250),INDEX(РАБОТЫ!$M$2:$M$1058,$K250),"")</f>
        <v/>
      </c>
      <c r="F250" s="7" t="str">
        <f>IF(ISNUMBER($K250),INDEX(РАБОТЫ!$S$2:$S$1058,$K250),"")</f>
        <v/>
      </c>
      <c r="G250" s="7" t="str">
        <f>IF(ISNUMBER($K250),INDEX(РАБОТЫ!$T$2:$T$1058,$K250),"")</f>
        <v/>
      </c>
      <c r="H250" s="7" t="str">
        <f t="shared" si="12"/>
        <v/>
      </c>
      <c r="I250" s="7" t="str">
        <f t="shared" si="13"/>
        <v/>
      </c>
      <c r="J250" s="7" t="str">
        <f t="shared" si="14"/>
        <v/>
      </c>
      <c r="K250" t="str">
        <f>IFERROR(MATCH(229,РАБОТЫ!$X$2:$X$1058,0),"")</f>
        <v/>
      </c>
      <c r="L250" t="str">
        <f>IFERROR(IF(INDEX(РАБОТЫ!$W$2:$W$1058,MATCH(229+1,РАБОТЫ!$X$2:$X$1058,0))=1,INDEX(РАБОТЫ!$V$2:$V$1058,MATCH(229+1,РАБОТЫ!$X$2:$X$1058,0)),""),"")</f>
        <v/>
      </c>
      <c r="M250" t="str">
        <f t="shared" si="15"/>
        <v/>
      </c>
    </row>
    <row r="251" spans="1:13" hidden="1" x14ac:dyDescent="0.3">
      <c r="A251" t="str">
        <f>IF(ISNUMBER($K251),INDEX(РАБОТЫ!$U$2:$U$1058,$K251),"")</f>
        <v/>
      </c>
      <c r="B251" t="str">
        <f>IF(ISNUMBER($K251),INDEX(РАБОТЫ!$A$2:$A$1058,$K251),"")</f>
        <v/>
      </c>
      <c r="C251" s="4" t="str">
        <f>IF($L251&lt;&gt;"",INDEX(РАБОТЫ!$Z$2:$Z$1058,MATCH($L251,РАБОТЫ!$V$2:$V$1058,0)),IF(ISNUMBER($K251),INDEX(РАБОТЫ!$Y$2:$Y$1058,$K251),""))</f>
        <v/>
      </c>
      <c r="D251" t="str">
        <f>IF(ISNUMBER($K251),INDEX(РАБОТЫ!$E$2:$E$1058,$K251),"")</f>
        <v/>
      </c>
      <c r="E251" t="str">
        <f>IF(ISNUMBER($K251),INDEX(РАБОТЫ!$M$2:$M$1058,$K251),"")</f>
        <v/>
      </c>
      <c r="F251" s="7" t="str">
        <f>IF(ISNUMBER($K251),INDEX(РАБОТЫ!$S$2:$S$1058,$K251),"")</f>
        <v/>
      </c>
      <c r="G251" s="7" t="str">
        <f>IF(ISNUMBER($K251),INDEX(РАБОТЫ!$T$2:$T$1058,$K251),"")</f>
        <v/>
      </c>
      <c r="H251" s="7" t="str">
        <f t="shared" si="12"/>
        <v/>
      </c>
      <c r="I251" s="7" t="str">
        <f t="shared" si="13"/>
        <v/>
      </c>
      <c r="J251" s="7" t="str">
        <f t="shared" si="14"/>
        <v/>
      </c>
      <c r="K251" t="str">
        <f>IFERROR(MATCH(230,РАБОТЫ!$X$2:$X$1058,0),"")</f>
        <v/>
      </c>
      <c r="L251" t="str">
        <f>IFERROR(IF(INDEX(РАБОТЫ!$W$2:$W$1058,MATCH(230+1,РАБОТЫ!$X$2:$X$1058,0))=1,INDEX(РАБОТЫ!$V$2:$V$1058,MATCH(230+1,РАБОТЫ!$X$2:$X$1058,0)),""),"")</f>
        <v/>
      </c>
      <c r="M251" t="str">
        <f t="shared" si="15"/>
        <v/>
      </c>
    </row>
    <row r="252" spans="1:13" hidden="1" x14ac:dyDescent="0.3">
      <c r="A252" t="str">
        <f>IF(ISNUMBER($K252),INDEX(РАБОТЫ!$U$2:$U$1058,$K252),"")</f>
        <v/>
      </c>
      <c r="B252" t="str">
        <f>IF(ISNUMBER($K252),INDEX(РАБОТЫ!$A$2:$A$1058,$K252),"")</f>
        <v/>
      </c>
      <c r="C252" s="4" t="str">
        <f>IF($L252&lt;&gt;"",INDEX(РАБОТЫ!$Z$2:$Z$1058,MATCH($L252,РАБОТЫ!$V$2:$V$1058,0)),IF(ISNUMBER($K252),INDEX(РАБОТЫ!$Y$2:$Y$1058,$K252),""))</f>
        <v/>
      </c>
      <c r="D252" t="str">
        <f>IF(ISNUMBER($K252),INDEX(РАБОТЫ!$E$2:$E$1058,$K252),"")</f>
        <v/>
      </c>
      <c r="E252" t="str">
        <f>IF(ISNUMBER($K252),INDEX(РАБОТЫ!$M$2:$M$1058,$K252),"")</f>
        <v/>
      </c>
      <c r="F252" s="7" t="str">
        <f>IF(ISNUMBER($K252),INDEX(РАБОТЫ!$S$2:$S$1058,$K252),"")</f>
        <v/>
      </c>
      <c r="G252" s="7" t="str">
        <f>IF(ISNUMBER($K252),INDEX(РАБОТЫ!$T$2:$T$1058,$K252),"")</f>
        <v/>
      </c>
      <c r="H252" s="7" t="str">
        <f t="shared" si="12"/>
        <v/>
      </c>
      <c r="I252" s="7" t="str">
        <f t="shared" si="13"/>
        <v/>
      </c>
      <c r="J252" s="7" t="str">
        <f t="shared" si="14"/>
        <v/>
      </c>
      <c r="K252" t="str">
        <f>IFERROR(MATCH(231,РАБОТЫ!$X$2:$X$1058,0),"")</f>
        <v/>
      </c>
      <c r="L252" t="str">
        <f>IFERROR(IF(INDEX(РАБОТЫ!$W$2:$W$1058,MATCH(231+1,РАБОТЫ!$X$2:$X$1058,0))=1,INDEX(РАБОТЫ!$V$2:$V$1058,MATCH(231+1,РАБОТЫ!$X$2:$X$1058,0)),""),"")</f>
        <v/>
      </c>
      <c r="M252" t="str">
        <f t="shared" si="15"/>
        <v/>
      </c>
    </row>
    <row r="253" spans="1:13" hidden="1" x14ac:dyDescent="0.3">
      <c r="A253" t="str">
        <f>IF(ISNUMBER($K253),INDEX(РАБОТЫ!$U$2:$U$1058,$K253),"")</f>
        <v/>
      </c>
      <c r="B253" t="str">
        <f>IF(ISNUMBER($K253),INDEX(РАБОТЫ!$A$2:$A$1058,$K253),"")</f>
        <v/>
      </c>
      <c r="C253" s="4" t="str">
        <f>IF($L253&lt;&gt;"",INDEX(РАБОТЫ!$Z$2:$Z$1058,MATCH($L253,РАБОТЫ!$V$2:$V$1058,0)),IF(ISNUMBER($K253),INDEX(РАБОТЫ!$Y$2:$Y$1058,$K253),""))</f>
        <v/>
      </c>
      <c r="D253" t="str">
        <f>IF(ISNUMBER($K253),INDEX(РАБОТЫ!$E$2:$E$1058,$K253),"")</f>
        <v/>
      </c>
      <c r="E253" t="str">
        <f>IF(ISNUMBER($K253),INDEX(РАБОТЫ!$M$2:$M$1058,$K253),"")</f>
        <v/>
      </c>
      <c r="F253" s="7" t="str">
        <f>IF(ISNUMBER($K253),INDEX(РАБОТЫ!$S$2:$S$1058,$K253),"")</f>
        <v/>
      </c>
      <c r="G253" s="7" t="str">
        <f>IF(ISNUMBER($K253),INDEX(РАБОТЫ!$T$2:$T$1058,$K253),"")</f>
        <v/>
      </c>
      <c r="H253" s="7" t="str">
        <f t="shared" si="12"/>
        <v/>
      </c>
      <c r="I253" s="7" t="str">
        <f t="shared" si="13"/>
        <v/>
      </c>
      <c r="J253" s="7" t="str">
        <f t="shared" si="14"/>
        <v/>
      </c>
      <c r="K253" t="str">
        <f>IFERROR(MATCH(232,РАБОТЫ!$X$2:$X$1058,0),"")</f>
        <v/>
      </c>
      <c r="L253" t="str">
        <f>IFERROR(IF(INDEX(РАБОТЫ!$W$2:$W$1058,MATCH(232+1,РАБОТЫ!$X$2:$X$1058,0))=1,INDEX(РАБОТЫ!$V$2:$V$1058,MATCH(232+1,РАБОТЫ!$X$2:$X$1058,0)),""),"")</f>
        <v/>
      </c>
      <c r="M253" t="str">
        <f t="shared" si="15"/>
        <v/>
      </c>
    </row>
    <row r="254" spans="1:13" hidden="1" x14ac:dyDescent="0.3">
      <c r="A254" t="str">
        <f>IF(ISNUMBER($K254),INDEX(РАБОТЫ!$U$2:$U$1058,$K254),"")</f>
        <v/>
      </c>
      <c r="B254" t="str">
        <f>IF(ISNUMBER($K254),INDEX(РАБОТЫ!$A$2:$A$1058,$K254),"")</f>
        <v/>
      </c>
      <c r="C254" s="4" t="str">
        <f>IF($L254&lt;&gt;"",INDEX(РАБОТЫ!$Z$2:$Z$1058,MATCH($L254,РАБОТЫ!$V$2:$V$1058,0)),IF(ISNUMBER($K254),INDEX(РАБОТЫ!$Y$2:$Y$1058,$K254),""))</f>
        <v/>
      </c>
      <c r="D254" t="str">
        <f>IF(ISNUMBER($K254),INDEX(РАБОТЫ!$E$2:$E$1058,$K254),"")</f>
        <v/>
      </c>
      <c r="E254" t="str">
        <f>IF(ISNUMBER($K254),INDEX(РАБОТЫ!$M$2:$M$1058,$K254),"")</f>
        <v/>
      </c>
      <c r="F254" s="7" t="str">
        <f>IF(ISNUMBER($K254),INDEX(РАБОТЫ!$S$2:$S$1058,$K254),"")</f>
        <v/>
      </c>
      <c r="G254" s="7" t="str">
        <f>IF(ISNUMBER($K254),INDEX(РАБОТЫ!$T$2:$T$1058,$K254),"")</f>
        <v/>
      </c>
      <c r="H254" s="7" t="str">
        <f t="shared" si="12"/>
        <v/>
      </c>
      <c r="I254" s="7" t="str">
        <f t="shared" si="13"/>
        <v/>
      </c>
      <c r="J254" s="7" t="str">
        <f t="shared" si="14"/>
        <v/>
      </c>
      <c r="K254" t="str">
        <f>IFERROR(MATCH(233,РАБОТЫ!$X$2:$X$1058,0),"")</f>
        <v/>
      </c>
      <c r="L254" t="str">
        <f>IFERROR(IF(INDEX(РАБОТЫ!$W$2:$W$1058,MATCH(233+1,РАБОТЫ!$X$2:$X$1058,0))=1,INDEX(РАБОТЫ!$V$2:$V$1058,MATCH(233+1,РАБОТЫ!$X$2:$X$1058,0)),""),"")</f>
        <v/>
      </c>
      <c r="M254" t="str">
        <f t="shared" si="15"/>
        <v/>
      </c>
    </row>
    <row r="255" spans="1:13" hidden="1" x14ac:dyDescent="0.3">
      <c r="A255" t="str">
        <f>IF(ISNUMBER($K255),INDEX(РАБОТЫ!$U$2:$U$1058,$K255),"")</f>
        <v/>
      </c>
      <c r="B255" t="str">
        <f>IF(ISNUMBER($K255),INDEX(РАБОТЫ!$A$2:$A$1058,$K255),"")</f>
        <v/>
      </c>
      <c r="C255" s="4" t="str">
        <f>IF($L255&lt;&gt;"",INDEX(РАБОТЫ!$Z$2:$Z$1058,MATCH($L255,РАБОТЫ!$V$2:$V$1058,0)),IF(ISNUMBER($K255),INDEX(РАБОТЫ!$Y$2:$Y$1058,$K255),""))</f>
        <v/>
      </c>
      <c r="D255" t="str">
        <f>IF(ISNUMBER($K255),INDEX(РАБОТЫ!$E$2:$E$1058,$K255),"")</f>
        <v/>
      </c>
      <c r="E255" t="str">
        <f>IF(ISNUMBER($K255),INDEX(РАБОТЫ!$M$2:$M$1058,$K255),"")</f>
        <v/>
      </c>
      <c r="F255" s="7" t="str">
        <f>IF(ISNUMBER($K255),INDEX(РАБОТЫ!$S$2:$S$1058,$K255),"")</f>
        <v/>
      </c>
      <c r="G255" s="7" t="str">
        <f>IF(ISNUMBER($K255),INDEX(РАБОТЫ!$T$2:$T$1058,$K255),"")</f>
        <v/>
      </c>
      <c r="H255" s="7" t="str">
        <f t="shared" si="12"/>
        <v/>
      </c>
      <c r="I255" s="7" t="str">
        <f t="shared" si="13"/>
        <v/>
      </c>
      <c r="J255" s="7" t="str">
        <f t="shared" si="14"/>
        <v/>
      </c>
      <c r="K255" t="str">
        <f>IFERROR(MATCH(234,РАБОТЫ!$X$2:$X$1058,0),"")</f>
        <v/>
      </c>
      <c r="L255" t="str">
        <f>IFERROR(IF(INDEX(РАБОТЫ!$W$2:$W$1058,MATCH(234+1,РАБОТЫ!$X$2:$X$1058,0))=1,INDEX(РАБОТЫ!$V$2:$V$1058,MATCH(234+1,РАБОТЫ!$X$2:$X$1058,0)),""),"")</f>
        <v/>
      </c>
      <c r="M255" t="str">
        <f t="shared" si="15"/>
        <v/>
      </c>
    </row>
    <row r="256" spans="1:13" hidden="1" x14ac:dyDescent="0.3">
      <c r="A256" t="str">
        <f>IF(ISNUMBER($K256),INDEX(РАБОТЫ!$U$2:$U$1058,$K256),"")</f>
        <v/>
      </c>
      <c r="B256" t="str">
        <f>IF(ISNUMBER($K256),INDEX(РАБОТЫ!$A$2:$A$1058,$K256),"")</f>
        <v/>
      </c>
      <c r="C256" s="4" t="str">
        <f>IF($L256&lt;&gt;"",INDEX(РАБОТЫ!$Z$2:$Z$1058,MATCH($L256,РАБОТЫ!$V$2:$V$1058,0)),IF(ISNUMBER($K256),INDEX(РАБОТЫ!$Y$2:$Y$1058,$K256),""))</f>
        <v/>
      </c>
      <c r="D256" t="str">
        <f>IF(ISNUMBER($K256),INDEX(РАБОТЫ!$E$2:$E$1058,$K256),"")</f>
        <v/>
      </c>
      <c r="E256" t="str">
        <f>IF(ISNUMBER($K256),INDEX(РАБОТЫ!$M$2:$M$1058,$K256),"")</f>
        <v/>
      </c>
      <c r="F256" s="7" t="str">
        <f>IF(ISNUMBER($K256),INDEX(РАБОТЫ!$S$2:$S$1058,$K256),"")</f>
        <v/>
      </c>
      <c r="G256" s="7" t="str">
        <f>IF(ISNUMBER($K256),INDEX(РАБОТЫ!$T$2:$T$1058,$K256),"")</f>
        <v/>
      </c>
      <c r="H256" s="7" t="str">
        <f t="shared" si="12"/>
        <v/>
      </c>
      <c r="I256" s="7" t="str">
        <f t="shared" si="13"/>
        <v/>
      </c>
      <c r="J256" s="7" t="str">
        <f t="shared" si="14"/>
        <v/>
      </c>
      <c r="K256" t="str">
        <f>IFERROR(MATCH(235,РАБОТЫ!$X$2:$X$1058,0),"")</f>
        <v/>
      </c>
      <c r="L256" t="str">
        <f>IFERROR(IF(INDEX(РАБОТЫ!$W$2:$W$1058,MATCH(235+1,РАБОТЫ!$X$2:$X$1058,0))=1,INDEX(РАБОТЫ!$V$2:$V$1058,MATCH(235+1,РАБОТЫ!$X$2:$X$1058,0)),""),"")</f>
        <v/>
      </c>
      <c r="M256" t="str">
        <f t="shared" si="15"/>
        <v/>
      </c>
    </row>
    <row r="257" spans="1:13" hidden="1" x14ac:dyDescent="0.3">
      <c r="A257" t="str">
        <f>IF(ISNUMBER($K257),INDEX(РАБОТЫ!$U$2:$U$1058,$K257),"")</f>
        <v/>
      </c>
      <c r="B257" t="str">
        <f>IF(ISNUMBER($K257),INDEX(РАБОТЫ!$A$2:$A$1058,$K257),"")</f>
        <v/>
      </c>
      <c r="C257" s="4" t="str">
        <f>IF($L257&lt;&gt;"",INDEX(РАБОТЫ!$Z$2:$Z$1058,MATCH($L257,РАБОТЫ!$V$2:$V$1058,0)),IF(ISNUMBER($K257),INDEX(РАБОТЫ!$Y$2:$Y$1058,$K257),""))</f>
        <v/>
      </c>
      <c r="D257" t="str">
        <f>IF(ISNUMBER($K257),INDEX(РАБОТЫ!$E$2:$E$1058,$K257),"")</f>
        <v/>
      </c>
      <c r="E257" t="str">
        <f>IF(ISNUMBER($K257),INDEX(РАБОТЫ!$M$2:$M$1058,$K257),"")</f>
        <v/>
      </c>
      <c r="F257" s="7" t="str">
        <f>IF(ISNUMBER($K257),INDEX(РАБОТЫ!$S$2:$S$1058,$K257),"")</f>
        <v/>
      </c>
      <c r="G257" s="7" t="str">
        <f>IF(ISNUMBER($K257),INDEX(РАБОТЫ!$T$2:$T$1058,$K257),"")</f>
        <v/>
      </c>
      <c r="H257" s="7" t="str">
        <f t="shared" si="12"/>
        <v/>
      </c>
      <c r="I257" s="7" t="str">
        <f t="shared" si="13"/>
        <v/>
      </c>
      <c r="J257" s="7" t="str">
        <f t="shared" si="14"/>
        <v/>
      </c>
      <c r="K257" t="str">
        <f>IFERROR(MATCH(236,РАБОТЫ!$X$2:$X$1058,0),"")</f>
        <v/>
      </c>
      <c r="L257" t="str">
        <f>IFERROR(IF(INDEX(РАБОТЫ!$W$2:$W$1058,MATCH(236+1,РАБОТЫ!$X$2:$X$1058,0))=1,INDEX(РАБОТЫ!$V$2:$V$1058,MATCH(236+1,РАБОТЫ!$X$2:$X$1058,0)),""),"")</f>
        <v/>
      </c>
      <c r="M257" t="str">
        <f t="shared" si="15"/>
        <v/>
      </c>
    </row>
    <row r="258" spans="1:13" hidden="1" x14ac:dyDescent="0.3">
      <c r="A258" t="str">
        <f>IF(ISNUMBER($K258),INDEX(РАБОТЫ!$U$2:$U$1058,$K258),"")</f>
        <v/>
      </c>
      <c r="B258" t="str">
        <f>IF(ISNUMBER($K258),INDEX(РАБОТЫ!$A$2:$A$1058,$K258),"")</f>
        <v/>
      </c>
      <c r="C258" s="4" t="str">
        <f>IF($L258&lt;&gt;"",INDEX(РАБОТЫ!$Z$2:$Z$1058,MATCH($L258,РАБОТЫ!$V$2:$V$1058,0)),IF(ISNUMBER($K258),INDEX(РАБОТЫ!$Y$2:$Y$1058,$K258),""))</f>
        <v/>
      </c>
      <c r="D258" t="str">
        <f>IF(ISNUMBER($K258),INDEX(РАБОТЫ!$E$2:$E$1058,$K258),"")</f>
        <v/>
      </c>
      <c r="E258" t="str">
        <f>IF(ISNUMBER($K258),INDEX(РАБОТЫ!$M$2:$M$1058,$K258),"")</f>
        <v/>
      </c>
      <c r="F258" s="7" t="str">
        <f>IF(ISNUMBER($K258),INDEX(РАБОТЫ!$S$2:$S$1058,$K258),"")</f>
        <v/>
      </c>
      <c r="G258" s="7" t="str">
        <f>IF(ISNUMBER($K258),INDEX(РАБОТЫ!$T$2:$T$1058,$K258),"")</f>
        <v/>
      </c>
      <c r="H258" s="7" t="str">
        <f t="shared" si="12"/>
        <v/>
      </c>
      <c r="I258" s="7" t="str">
        <f t="shared" si="13"/>
        <v/>
      </c>
      <c r="J258" s="7" t="str">
        <f t="shared" si="14"/>
        <v/>
      </c>
      <c r="K258" t="str">
        <f>IFERROR(MATCH(237,РАБОТЫ!$X$2:$X$1058,0),"")</f>
        <v/>
      </c>
      <c r="L258" t="str">
        <f>IFERROR(IF(INDEX(РАБОТЫ!$W$2:$W$1058,MATCH(237+1,РАБОТЫ!$X$2:$X$1058,0))=1,INDEX(РАБОТЫ!$V$2:$V$1058,MATCH(237+1,РАБОТЫ!$X$2:$X$1058,0)),""),"")</f>
        <v/>
      </c>
      <c r="M258" t="str">
        <f t="shared" si="15"/>
        <v/>
      </c>
    </row>
    <row r="259" spans="1:13" hidden="1" x14ac:dyDescent="0.3">
      <c r="A259" t="str">
        <f>IF(ISNUMBER($K259),INDEX(РАБОТЫ!$U$2:$U$1058,$K259),"")</f>
        <v/>
      </c>
      <c r="B259" t="str">
        <f>IF(ISNUMBER($K259),INDEX(РАБОТЫ!$A$2:$A$1058,$K259),"")</f>
        <v/>
      </c>
      <c r="C259" s="4" t="str">
        <f>IF($L259&lt;&gt;"",INDEX(РАБОТЫ!$Z$2:$Z$1058,MATCH($L259,РАБОТЫ!$V$2:$V$1058,0)),IF(ISNUMBER($K259),INDEX(РАБОТЫ!$Y$2:$Y$1058,$K259),""))</f>
        <v/>
      </c>
      <c r="D259" t="str">
        <f>IF(ISNUMBER($K259),INDEX(РАБОТЫ!$E$2:$E$1058,$K259),"")</f>
        <v/>
      </c>
      <c r="E259" t="str">
        <f>IF(ISNUMBER($K259),INDEX(РАБОТЫ!$M$2:$M$1058,$K259),"")</f>
        <v/>
      </c>
      <c r="F259" s="7" t="str">
        <f>IF(ISNUMBER($K259),INDEX(РАБОТЫ!$S$2:$S$1058,$K259),"")</f>
        <v/>
      </c>
      <c r="G259" s="7" t="str">
        <f>IF(ISNUMBER($K259),INDEX(РАБОТЫ!$T$2:$T$1058,$K259),"")</f>
        <v/>
      </c>
      <c r="H259" s="7" t="str">
        <f t="shared" si="12"/>
        <v/>
      </c>
      <c r="I259" s="7" t="str">
        <f t="shared" si="13"/>
        <v/>
      </c>
      <c r="J259" s="7" t="str">
        <f t="shared" si="14"/>
        <v/>
      </c>
      <c r="K259" t="str">
        <f>IFERROR(MATCH(238,РАБОТЫ!$X$2:$X$1058,0),"")</f>
        <v/>
      </c>
      <c r="L259" t="str">
        <f>IFERROR(IF(INDEX(РАБОТЫ!$W$2:$W$1058,MATCH(238+1,РАБОТЫ!$X$2:$X$1058,0))=1,INDEX(РАБОТЫ!$V$2:$V$1058,MATCH(238+1,РАБОТЫ!$X$2:$X$1058,0)),""),"")</f>
        <v/>
      </c>
      <c r="M259" t="str">
        <f t="shared" si="15"/>
        <v/>
      </c>
    </row>
    <row r="260" spans="1:13" hidden="1" x14ac:dyDescent="0.3">
      <c r="A260" t="str">
        <f>IF(ISNUMBER($K260),INDEX(РАБОТЫ!$U$2:$U$1058,$K260),"")</f>
        <v/>
      </c>
      <c r="B260" t="str">
        <f>IF(ISNUMBER($K260),INDEX(РАБОТЫ!$A$2:$A$1058,$K260),"")</f>
        <v/>
      </c>
      <c r="C260" s="4" t="str">
        <f>IF($L260&lt;&gt;"",INDEX(РАБОТЫ!$Z$2:$Z$1058,MATCH($L260,РАБОТЫ!$V$2:$V$1058,0)),IF(ISNUMBER($K260),INDEX(РАБОТЫ!$Y$2:$Y$1058,$K260),""))</f>
        <v/>
      </c>
      <c r="D260" t="str">
        <f>IF(ISNUMBER($K260),INDEX(РАБОТЫ!$E$2:$E$1058,$K260),"")</f>
        <v/>
      </c>
      <c r="E260" t="str">
        <f>IF(ISNUMBER($K260),INDEX(РАБОТЫ!$M$2:$M$1058,$K260),"")</f>
        <v/>
      </c>
      <c r="F260" s="7" t="str">
        <f>IF(ISNUMBER($K260),INDEX(РАБОТЫ!$S$2:$S$1058,$K260),"")</f>
        <v/>
      </c>
      <c r="G260" s="7" t="str">
        <f>IF(ISNUMBER($K260),INDEX(РАБОТЫ!$T$2:$T$1058,$K260),"")</f>
        <v/>
      </c>
      <c r="H260" s="7" t="str">
        <f t="shared" si="12"/>
        <v/>
      </c>
      <c r="I260" s="7" t="str">
        <f t="shared" si="13"/>
        <v/>
      </c>
      <c r="J260" s="7" t="str">
        <f t="shared" si="14"/>
        <v/>
      </c>
      <c r="K260" t="str">
        <f>IFERROR(MATCH(239,РАБОТЫ!$X$2:$X$1058,0),"")</f>
        <v/>
      </c>
      <c r="L260" t="str">
        <f>IFERROR(IF(INDEX(РАБОТЫ!$W$2:$W$1058,MATCH(239+1,РАБОТЫ!$X$2:$X$1058,0))=1,INDEX(РАБОТЫ!$V$2:$V$1058,MATCH(239+1,РАБОТЫ!$X$2:$X$1058,0)),""),"")</f>
        <v/>
      </c>
      <c r="M260" t="str">
        <f t="shared" si="15"/>
        <v/>
      </c>
    </row>
    <row r="261" spans="1:13" hidden="1" x14ac:dyDescent="0.3">
      <c r="A261" t="str">
        <f>IF(ISNUMBER($K261),INDEX(РАБОТЫ!$U$2:$U$1058,$K261),"")</f>
        <v/>
      </c>
      <c r="B261" t="str">
        <f>IF(ISNUMBER($K261),INDEX(РАБОТЫ!$A$2:$A$1058,$K261),"")</f>
        <v/>
      </c>
      <c r="C261" s="4" t="str">
        <f>IF($L261&lt;&gt;"",INDEX(РАБОТЫ!$Z$2:$Z$1058,MATCH($L261,РАБОТЫ!$V$2:$V$1058,0)),IF(ISNUMBER($K261),INDEX(РАБОТЫ!$Y$2:$Y$1058,$K261),""))</f>
        <v/>
      </c>
      <c r="D261" t="str">
        <f>IF(ISNUMBER($K261),INDEX(РАБОТЫ!$E$2:$E$1058,$K261),"")</f>
        <v/>
      </c>
      <c r="E261" t="str">
        <f>IF(ISNUMBER($K261),INDEX(РАБОТЫ!$M$2:$M$1058,$K261),"")</f>
        <v/>
      </c>
      <c r="F261" s="7" t="str">
        <f>IF(ISNUMBER($K261),INDEX(РАБОТЫ!$S$2:$S$1058,$K261),"")</f>
        <v/>
      </c>
      <c r="G261" s="7" t="str">
        <f>IF(ISNUMBER($K261),INDEX(РАБОТЫ!$T$2:$T$1058,$K261),"")</f>
        <v/>
      </c>
      <c r="H261" s="7" t="str">
        <f t="shared" si="12"/>
        <v/>
      </c>
      <c r="I261" s="7" t="str">
        <f t="shared" si="13"/>
        <v/>
      </c>
      <c r="J261" s="7" t="str">
        <f t="shared" si="14"/>
        <v/>
      </c>
      <c r="K261" t="str">
        <f>IFERROR(MATCH(240,РАБОТЫ!$X$2:$X$1058,0),"")</f>
        <v/>
      </c>
      <c r="L261" t="str">
        <f>IFERROR(IF(INDEX(РАБОТЫ!$W$2:$W$1058,MATCH(240+1,РАБОТЫ!$X$2:$X$1058,0))=1,INDEX(РАБОТЫ!$V$2:$V$1058,MATCH(240+1,РАБОТЫ!$X$2:$X$1058,0)),""),"")</f>
        <v/>
      </c>
      <c r="M261" t="str">
        <f t="shared" si="15"/>
        <v/>
      </c>
    </row>
    <row r="262" spans="1:13" hidden="1" x14ac:dyDescent="0.3">
      <c r="A262" t="str">
        <f>IF(ISNUMBER($K262),INDEX(РАБОТЫ!$U$2:$U$1058,$K262),"")</f>
        <v/>
      </c>
      <c r="B262" t="str">
        <f>IF(ISNUMBER($K262),INDEX(РАБОТЫ!$A$2:$A$1058,$K262),"")</f>
        <v/>
      </c>
      <c r="C262" s="4" t="str">
        <f>IF($L262&lt;&gt;"",INDEX(РАБОТЫ!$Z$2:$Z$1058,MATCH($L262,РАБОТЫ!$V$2:$V$1058,0)),IF(ISNUMBER($K262),INDEX(РАБОТЫ!$Y$2:$Y$1058,$K262),""))</f>
        <v/>
      </c>
      <c r="D262" t="str">
        <f>IF(ISNUMBER($K262),INDEX(РАБОТЫ!$E$2:$E$1058,$K262),"")</f>
        <v/>
      </c>
      <c r="E262" t="str">
        <f>IF(ISNUMBER($K262),INDEX(РАБОТЫ!$M$2:$M$1058,$K262),"")</f>
        <v/>
      </c>
      <c r="F262" s="7" t="str">
        <f>IF(ISNUMBER($K262),INDEX(РАБОТЫ!$S$2:$S$1058,$K262),"")</f>
        <v/>
      </c>
      <c r="G262" s="7" t="str">
        <f>IF(ISNUMBER($K262),INDEX(РАБОТЫ!$T$2:$T$1058,$K262),"")</f>
        <v/>
      </c>
      <c r="H262" s="7" t="str">
        <f t="shared" si="12"/>
        <v/>
      </c>
      <c r="I262" s="7" t="str">
        <f t="shared" si="13"/>
        <v/>
      </c>
      <c r="J262" s="7" t="str">
        <f t="shared" si="14"/>
        <v/>
      </c>
      <c r="K262" t="str">
        <f>IFERROR(MATCH(241,РАБОТЫ!$X$2:$X$1058,0),"")</f>
        <v/>
      </c>
      <c r="L262" t="str">
        <f>IFERROR(IF(INDEX(РАБОТЫ!$W$2:$W$1058,MATCH(241+1,РАБОТЫ!$X$2:$X$1058,0))=1,INDEX(РАБОТЫ!$V$2:$V$1058,MATCH(241+1,РАБОТЫ!$X$2:$X$1058,0)),""),"")</f>
        <v/>
      </c>
      <c r="M262" t="str">
        <f t="shared" si="15"/>
        <v/>
      </c>
    </row>
    <row r="263" spans="1:13" hidden="1" x14ac:dyDescent="0.3">
      <c r="A263" t="str">
        <f>IF(ISNUMBER($K263),INDEX(РАБОТЫ!$U$2:$U$1058,$K263),"")</f>
        <v/>
      </c>
      <c r="B263" t="str">
        <f>IF(ISNUMBER($K263),INDEX(РАБОТЫ!$A$2:$A$1058,$K263),"")</f>
        <v/>
      </c>
      <c r="C263" s="4" t="str">
        <f>IF($L263&lt;&gt;"",INDEX(РАБОТЫ!$Z$2:$Z$1058,MATCH($L263,РАБОТЫ!$V$2:$V$1058,0)),IF(ISNUMBER($K263),INDEX(РАБОТЫ!$Y$2:$Y$1058,$K263),""))</f>
        <v/>
      </c>
      <c r="D263" t="str">
        <f>IF(ISNUMBER($K263),INDEX(РАБОТЫ!$E$2:$E$1058,$K263),"")</f>
        <v/>
      </c>
      <c r="E263" t="str">
        <f>IF(ISNUMBER($K263),INDEX(РАБОТЫ!$M$2:$M$1058,$K263),"")</f>
        <v/>
      </c>
      <c r="F263" s="7" t="str">
        <f>IF(ISNUMBER($K263),INDEX(РАБОТЫ!$S$2:$S$1058,$K263),"")</f>
        <v/>
      </c>
      <c r="G263" s="7" t="str">
        <f>IF(ISNUMBER($K263),INDEX(РАБОТЫ!$T$2:$T$1058,$K263),"")</f>
        <v/>
      </c>
      <c r="H263" s="7" t="str">
        <f t="shared" si="12"/>
        <v/>
      </c>
      <c r="I263" s="7" t="str">
        <f t="shared" si="13"/>
        <v/>
      </c>
      <c r="J263" s="7" t="str">
        <f t="shared" si="14"/>
        <v/>
      </c>
      <c r="K263" t="str">
        <f>IFERROR(MATCH(242,РАБОТЫ!$X$2:$X$1058,0),"")</f>
        <v/>
      </c>
      <c r="L263" t="str">
        <f>IFERROR(IF(INDEX(РАБОТЫ!$W$2:$W$1058,MATCH(242+1,РАБОТЫ!$X$2:$X$1058,0))=1,INDEX(РАБОТЫ!$V$2:$V$1058,MATCH(242+1,РАБОТЫ!$X$2:$X$1058,0)),""),"")</f>
        <v/>
      </c>
      <c r="M263" t="str">
        <f t="shared" si="15"/>
        <v/>
      </c>
    </row>
    <row r="264" spans="1:13" hidden="1" x14ac:dyDescent="0.3">
      <c r="A264" t="str">
        <f>IF(ISNUMBER($K264),INDEX(РАБОТЫ!$U$2:$U$1058,$K264),"")</f>
        <v/>
      </c>
      <c r="B264" t="str">
        <f>IF(ISNUMBER($K264),INDEX(РАБОТЫ!$A$2:$A$1058,$K264),"")</f>
        <v/>
      </c>
      <c r="C264" s="4" t="str">
        <f>IF($L264&lt;&gt;"",INDEX(РАБОТЫ!$Z$2:$Z$1058,MATCH($L264,РАБОТЫ!$V$2:$V$1058,0)),IF(ISNUMBER($K264),INDEX(РАБОТЫ!$Y$2:$Y$1058,$K264),""))</f>
        <v/>
      </c>
      <c r="D264" t="str">
        <f>IF(ISNUMBER($K264),INDEX(РАБОТЫ!$E$2:$E$1058,$K264),"")</f>
        <v/>
      </c>
      <c r="E264" t="str">
        <f>IF(ISNUMBER($K264),INDEX(РАБОТЫ!$M$2:$M$1058,$K264),"")</f>
        <v/>
      </c>
      <c r="F264" s="7" t="str">
        <f>IF(ISNUMBER($K264),INDEX(РАБОТЫ!$S$2:$S$1058,$K264),"")</f>
        <v/>
      </c>
      <c r="G264" s="7" t="str">
        <f>IF(ISNUMBER($K264),INDEX(РАБОТЫ!$T$2:$T$1058,$K264),"")</f>
        <v/>
      </c>
      <c r="H264" s="7" t="str">
        <f t="shared" si="12"/>
        <v/>
      </c>
      <c r="I264" s="7" t="str">
        <f t="shared" si="13"/>
        <v/>
      </c>
      <c r="J264" s="7" t="str">
        <f t="shared" si="14"/>
        <v/>
      </c>
      <c r="K264" t="str">
        <f>IFERROR(MATCH(243,РАБОТЫ!$X$2:$X$1058,0),"")</f>
        <v/>
      </c>
      <c r="L264" t="str">
        <f>IFERROR(IF(INDEX(РАБОТЫ!$W$2:$W$1058,MATCH(243+1,РАБОТЫ!$X$2:$X$1058,0))=1,INDEX(РАБОТЫ!$V$2:$V$1058,MATCH(243+1,РАБОТЫ!$X$2:$X$1058,0)),""),"")</f>
        <v/>
      </c>
      <c r="M264" t="str">
        <f t="shared" si="15"/>
        <v/>
      </c>
    </row>
    <row r="265" spans="1:13" hidden="1" x14ac:dyDescent="0.3">
      <c r="A265" t="str">
        <f>IF(ISNUMBER($K265),INDEX(РАБОТЫ!$U$2:$U$1058,$K265),"")</f>
        <v/>
      </c>
      <c r="B265" t="str">
        <f>IF(ISNUMBER($K265),INDEX(РАБОТЫ!$A$2:$A$1058,$K265),"")</f>
        <v/>
      </c>
      <c r="C265" s="4" t="str">
        <f>IF($L265&lt;&gt;"",INDEX(РАБОТЫ!$Z$2:$Z$1058,MATCH($L265,РАБОТЫ!$V$2:$V$1058,0)),IF(ISNUMBER($K265),INDEX(РАБОТЫ!$Y$2:$Y$1058,$K265),""))</f>
        <v/>
      </c>
      <c r="D265" t="str">
        <f>IF(ISNUMBER($K265),INDEX(РАБОТЫ!$E$2:$E$1058,$K265),"")</f>
        <v/>
      </c>
      <c r="E265" t="str">
        <f>IF(ISNUMBER($K265),INDEX(РАБОТЫ!$M$2:$M$1058,$K265),"")</f>
        <v/>
      </c>
      <c r="F265" s="7" t="str">
        <f>IF(ISNUMBER($K265),INDEX(РАБОТЫ!$S$2:$S$1058,$K265),"")</f>
        <v/>
      </c>
      <c r="G265" s="7" t="str">
        <f>IF(ISNUMBER($K265),INDEX(РАБОТЫ!$T$2:$T$1058,$K265),"")</f>
        <v/>
      </c>
      <c r="H265" s="7" t="str">
        <f t="shared" si="12"/>
        <v/>
      </c>
      <c r="I265" s="7" t="str">
        <f t="shared" si="13"/>
        <v/>
      </c>
      <c r="J265" s="7" t="str">
        <f t="shared" si="14"/>
        <v/>
      </c>
      <c r="K265" t="str">
        <f>IFERROR(MATCH(244,РАБОТЫ!$X$2:$X$1058,0),"")</f>
        <v/>
      </c>
      <c r="L265" t="str">
        <f>IFERROR(IF(INDEX(РАБОТЫ!$W$2:$W$1058,MATCH(244+1,РАБОТЫ!$X$2:$X$1058,0))=1,INDEX(РАБОТЫ!$V$2:$V$1058,MATCH(244+1,РАБОТЫ!$X$2:$X$1058,0)),""),"")</f>
        <v/>
      </c>
      <c r="M265" t="str">
        <f t="shared" si="15"/>
        <v/>
      </c>
    </row>
    <row r="266" spans="1:13" hidden="1" x14ac:dyDescent="0.3">
      <c r="A266" t="str">
        <f>IF(ISNUMBER($K266),INDEX(РАБОТЫ!$U$2:$U$1058,$K266),"")</f>
        <v/>
      </c>
      <c r="B266" t="str">
        <f>IF(ISNUMBER($K266),INDEX(РАБОТЫ!$A$2:$A$1058,$K266),"")</f>
        <v/>
      </c>
      <c r="C266" s="4" t="str">
        <f>IF($L266&lt;&gt;"",INDEX(РАБОТЫ!$Z$2:$Z$1058,MATCH($L266,РАБОТЫ!$V$2:$V$1058,0)),IF(ISNUMBER($K266),INDEX(РАБОТЫ!$Y$2:$Y$1058,$K266),""))</f>
        <v/>
      </c>
      <c r="D266" t="str">
        <f>IF(ISNUMBER($K266),INDEX(РАБОТЫ!$E$2:$E$1058,$K266),"")</f>
        <v/>
      </c>
      <c r="E266" t="str">
        <f>IF(ISNUMBER($K266),INDEX(РАБОТЫ!$M$2:$M$1058,$K266),"")</f>
        <v/>
      </c>
      <c r="F266" s="7" t="str">
        <f>IF(ISNUMBER($K266),INDEX(РАБОТЫ!$S$2:$S$1058,$K266),"")</f>
        <v/>
      </c>
      <c r="G266" s="7" t="str">
        <f>IF(ISNUMBER($K266),INDEX(РАБОТЫ!$T$2:$T$1058,$K266),"")</f>
        <v/>
      </c>
      <c r="H266" s="7" t="str">
        <f t="shared" si="12"/>
        <v/>
      </c>
      <c r="I266" s="7" t="str">
        <f t="shared" si="13"/>
        <v/>
      </c>
      <c r="J266" s="7" t="str">
        <f t="shared" si="14"/>
        <v/>
      </c>
      <c r="K266" t="str">
        <f>IFERROR(MATCH(245,РАБОТЫ!$X$2:$X$1058,0),"")</f>
        <v/>
      </c>
      <c r="L266" t="str">
        <f>IFERROR(IF(INDEX(РАБОТЫ!$W$2:$W$1058,MATCH(245+1,РАБОТЫ!$X$2:$X$1058,0))=1,INDEX(РАБОТЫ!$V$2:$V$1058,MATCH(245+1,РАБОТЫ!$X$2:$X$1058,0)),""),"")</f>
        <v/>
      </c>
      <c r="M266" t="str">
        <f t="shared" si="15"/>
        <v/>
      </c>
    </row>
    <row r="267" spans="1:13" hidden="1" x14ac:dyDescent="0.3">
      <c r="A267" t="str">
        <f>IF(ISNUMBER($K267),INDEX(РАБОТЫ!$U$2:$U$1058,$K267),"")</f>
        <v/>
      </c>
      <c r="B267" t="str">
        <f>IF(ISNUMBER($K267),INDEX(РАБОТЫ!$A$2:$A$1058,$K267),"")</f>
        <v/>
      </c>
      <c r="C267" s="4" t="str">
        <f>IF($L267&lt;&gt;"",INDEX(РАБОТЫ!$Z$2:$Z$1058,MATCH($L267,РАБОТЫ!$V$2:$V$1058,0)),IF(ISNUMBER($K267),INDEX(РАБОТЫ!$Y$2:$Y$1058,$K267),""))</f>
        <v/>
      </c>
      <c r="D267" t="str">
        <f>IF(ISNUMBER($K267),INDEX(РАБОТЫ!$E$2:$E$1058,$K267),"")</f>
        <v/>
      </c>
      <c r="E267" t="str">
        <f>IF(ISNUMBER($K267),INDEX(РАБОТЫ!$M$2:$M$1058,$K267),"")</f>
        <v/>
      </c>
      <c r="F267" s="7" t="str">
        <f>IF(ISNUMBER($K267),INDEX(РАБОТЫ!$S$2:$S$1058,$K267),"")</f>
        <v/>
      </c>
      <c r="G267" s="7" t="str">
        <f>IF(ISNUMBER($K267),INDEX(РАБОТЫ!$T$2:$T$1058,$K267),"")</f>
        <v/>
      </c>
      <c r="H267" s="7" t="str">
        <f t="shared" si="12"/>
        <v/>
      </c>
      <c r="I267" s="7" t="str">
        <f t="shared" si="13"/>
        <v/>
      </c>
      <c r="J267" s="7" t="str">
        <f t="shared" si="14"/>
        <v/>
      </c>
      <c r="K267" t="str">
        <f>IFERROR(MATCH(246,РАБОТЫ!$X$2:$X$1058,0),"")</f>
        <v/>
      </c>
      <c r="L267" t="str">
        <f>IFERROR(IF(INDEX(РАБОТЫ!$W$2:$W$1058,MATCH(246+1,РАБОТЫ!$X$2:$X$1058,0))=1,INDEX(РАБОТЫ!$V$2:$V$1058,MATCH(246+1,РАБОТЫ!$X$2:$X$1058,0)),""),"")</f>
        <v/>
      </c>
      <c r="M267" t="str">
        <f t="shared" si="15"/>
        <v/>
      </c>
    </row>
    <row r="268" spans="1:13" hidden="1" x14ac:dyDescent="0.3">
      <c r="A268" t="str">
        <f>IF(ISNUMBER($K268),INDEX(РАБОТЫ!$U$2:$U$1058,$K268),"")</f>
        <v/>
      </c>
      <c r="B268" t="str">
        <f>IF(ISNUMBER($K268),INDEX(РАБОТЫ!$A$2:$A$1058,$K268),"")</f>
        <v/>
      </c>
      <c r="C268" s="4" t="str">
        <f>IF($L268&lt;&gt;"",INDEX(РАБОТЫ!$Z$2:$Z$1058,MATCH($L268,РАБОТЫ!$V$2:$V$1058,0)),IF(ISNUMBER($K268),INDEX(РАБОТЫ!$Y$2:$Y$1058,$K268),""))</f>
        <v/>
      </c>
      <c r="D268" t="str">
        <f>IF(ISNUMBER($K268),INDEX(РАБОТЫ!$E$2:$E$1058,$K268),"")</f>
        <v/>
      </c>
      <c r="E268" t="str">
        <f>IF(ISNUMBER($K268),INDEX(РАБОТЫ!$M$2:$M$1058,$K268),"")</f>
        <v/>
      </c>
      <c r="F268" s="7" t="str">
        <f>IF(ISNUMBER($K268),INDEX(РАБОТЫ!$S$2:$S$1058,$K268),"")</f>
        <v/>
      </c>
      <c r="G268" s="7" t="str">
        <f>IF(ISNUMBER($K268),INDEX(РАБОТЫ!$T$2:$T$1058,$K268),"")</f>
        <v/>
      </c>
      <c r="H268" s="7" t="str">
        <f t="shared" si="12"/>
        <v/>
      </c>
      <c r="I268" s="7" t="str">
        <f t="shared" si="13"/>
        <v/>
      </c>
      <c r="J268" s="7" t="str">
        <f t="shared" si="14"/>
        <v/>
      </c>
      <c r="K268" t="str">
        <f>IFERROR(MATCH(247,РАБОТЫ!$X$2:$X$1058,0),"")</f>
        <v/>
      </c>
      <c r="L268" t="str">
        <f>IFERROR(IF(INDEX(РАБОТЫ!$W$2:$W$1058,MATCH(247+1,РАБОТЫ!$X$2:$X$1058,0))=1,INDEX(РАБОТЫ!$V$2:$V$1058,MATCH(247+1,РАБОТЫ!$X$2:$X$1058,0)),""),"")</f>
        <v/>
      </c>
      <c r="M268" t="str">
        <f t="shared" si="15"/>
        <v/>
      </c>
    </row>
    <row r="269" spans="1:13" hidden="1" x14ac:dyDescent="0.3">
      <c r="A269" t="str">
        <f>IF(ISNUMBER($K269),INDEX(РАБОТЫ!$U$2:$U$1058,$K269),"")</f>
        <v/>
      </c>
      <c r="B269" t="str">
        <f>IF(ISNUMBER($K269),INDEX(РАБОТЫ!$A$2:$A$1058,$K269),"")</f>
        <v/>
      </c>
      <c r="C269" s="4" t="str">
        <f>IF($L269&lt;&gt;"",INDEX(РАБОТЫ!$Z$2:$Z$1058,MATCH($L269,РАБОТЫ!$V$2:$V$1058,0)),IF(ISNUMBER($K269),INDEX(РАБОТЫ!$Y$2:$Y$1058,$K269),""))</f>
        <v/>
      </c>
      <c r="D269" t="str">
        <f>IF(ISNUMBER($K269),INDEX(РАБОТЫ!$E$2:$E$1058,$K269),"")</f>
        <v/>
      </c>
      <c r="E269" t="str">
        <f>IF(ISNUMBER($K269),INDEX(РАБОТЫ!$M$2:$M$1058,$K269),"")</f>
        <v/>
      </c>
      <c r="F269" s="7" t="str">
        <f>IF(ISNUMBER($K269),INDEX(РАБОТЫ!$S$2:$S$1058,$K269),"")</f>
        <v/>
      </c>
      <c r="G269" s="7" t="str">
        <f>IF(ISNUMBER($K269),INDEX(РАБОТЫ!$T$2:$T$1058,$K269),"")</f>
        <v/>
      </c>
      <c r="H269" s="7" t="str">
        <f t="shared" si="12"/>
        <v/>
      </c>
      <c r="I269" s="7" t="str">
        <f t="shared" si="13"/>
        <v/>
      </c>
      <c r="J269" s="7" t="str">
        <f t="shared" si="14"/>
        <v/>
      </c>
      <c r="K269" t="str">
        <f>IFERROR(MATCH(248,РАБОТЫ!$X$2:$X$1058,0),"")</f>
        <v/>
      </c>
      <c r="L269" t="str">
        <f>IFERROR(IF(INDEX(РАБОТЫ!$W$2:$W$1058,MATCH(248+1,РАБОТЫ!$X$2:$X$1058,0))=1,INDEX(РАБОТЫ!$V$2:$V$1058,MATCH(248+1,РАБОТЫ!$X$2:$X$1058,0)),""),"")</f>
        <v/>
      </c>
      <c r="M269" t="str">
        <f t="shared" si="15"/>
        <v/>
      </c>
    </row>
    <row r="270" spans="1:13" hidden="1" x14ac:dyDescent="0.3">
      <c r="A270" t="str">
        <f>IF(ISNUMBER($K270),INDEX(РАБОТЫ!$U$2:$U$1058,$K270),"")</f>
        <v/>
      </c>
      <c r="B270" t="str">
        <f>IF(ISNUMBER($K270),INDEX(РАБОТЫ!$A$2:$A$1058,$K270),"")</f>
        <v/>
      </c>
      <c r="C270" s="4" t="str">
        <f>IF($L270&lt;&gt;"",INDEX(РАБОТЫ!$Z$2:$Z$1058,MATCH($L270,РАБОТЫ!$V$2:$V$1058,0)),IF(ISNUMBER($K270),INDEX(РАБОТЫ!$Y$2:$Y$1058,$K270),""))</f>
        <v/>
      </c>
      <c r="D270" t="str">
        <f>IF(ISNUMBER($K270),INDEX(РАБОТЫ!$E$2:$E$1058,$K270),"")</f>
        <v/>
      </c>
      <c r="E270" t="str">
        <f>IF(ISNUMBER($K270),INDEX(РАБОТЫ!$M$2:$M$1058,$K270),"")</f>
        <v/>
      </c>
      <c r="F270" s="7" t="str">
        <f>IF(ISNUMBER($K270),INDEX(РАБОТЫ!$S$2:$S$1058,$K270),"")</f>
        <v/>
      </c>
      <c r="G270" s="7" t="str">
        <f>IF(ISNUMBER($K270),INDEX(РАБОТЫ!$T$2:$T$1058,$K270),"")</f>
        <v/>
      </c>
      <c r="H270" s="7" t="str">
        <f t="shared" si="12"/>
        <v/>
      </c>
      <c r="I270" s="7" t="str">
        <f t="shared" si="13"/>
        <v/>
      </c>
      <c r="J270" s="7" t="str">
        <f t="shared" si="14"/>
        <v/>
      </c>
      <c r="K270" t="str">
        <f>IFERROR(MATCH(249,РАБОТЫ!$X$2:$X$1058,0),"")</f>
        <v/>
      </c>
      <c r="L270" t="str">
        <f>IFERROR(IF(INDEX(РАБОТЫ!$W$2:$W$1058,MATCH(249+1,РАБОТЫ!$X$2:$X$1058,0))=1,INDEX(РАБОТЫ!$V$2:$V$1058,MATCH(249+1,РАБОТЫ!$X$2:$X$1058,0)),""),"")</f>
        <v/>
      </c>
      <c r="M270" t="str">
        <f t="shared" si="15"/>
        <v/>
      </c>
    </row>
    <row r="271" spans="1:13" hidden="1" x14ac:dyDescent="0.3">
      <c r="A271" t="str">
        <f>IF(ISNUMBER($K271),INDEX(РАБОТЫ!$U$2:$U$1058,$K271),"")</f>
        <v/>
      </c>
      <c r="B271" t="str">
        <f>IF(ISNUMBER($K271),INDEX(РАБОТЫ!$A$2:$A$1058,$K271),"")</f>
        <v/>
      </c>
      <c r="C271" s="4" t="str">
        <f>IF($L271&lt;&gt;"",INDEX(РАБОТЫ!$Z$2:$Z$1058,MATCH($L271,РАБОТЫ!$V$2:$V$1058,0)),IF(ISNUMBER($K271),INDEX(РАБОТЫ!$Y$2:$Y$1058,$K271),""))</f>
        <v/>
      </c>
      <c r="D271" t="str">
        <f>IF(ISNUMBER($K271),INDEX(РАБОТЫ!$E$2:$E$1058,$K271),"")</f>
        <v/>
      </c>
      <c r="E271" t="str">
        <f>IF(ISNUMBER($K271),INDEX(РАБОТЫ!$M$2:$M$1058,$K271),"")</f>
        <v/>
      </c>
      <c r="F271" s="7" t="str">
        <f>IF(ISNUMBER($K271),INDEX(РАБОТЫ!$S$2:$S$1058,$K271),"")</f>
        <v/>
      </c>
      <c r="G271" s="7" t="str">
        <f>IF(ISNUMBER($K271),INDEX(РАБОТЫ!$T$2:$T$1058,$K271),"")</f>
        <v/>
      </c>
      <c r="H271" s="7" t="str">
        <f t="shared" si="12"/>
        <v/>
      </c>
      <c r="I271" s="7" t="str">
        <f t="shared" si="13"/>
        <v/>
      </c>
      <c r="J271" s="7" t="str">
        <f t="shared" si="14"/>
        <v/>
      </c>
      <c r="K271" t="str">
        <f>IFERROR(MATCH(250,РАБОТЫ!$X$2:$X$1058,0),"")</f>
        <v/>
      </c>
      <c r="L271" t="str">
        <f>IFERROR(IF(INDEX(РАБОТЫ!$W$2:$W$1058,MATCH(250+1,РАБОТЫ!$X$2:$X$1058,0))=1,INDEX(РАБОТЫ!$V$2:$V$1058,MATCH(250+1,РАБОТЫ!$X$2:$X$1058,0)),""),"")</f>
        <v/>
      </c>
      <c r="M271" t="str">
        <f t="shared" si="15"/>
        <v/>
      </c>
    </row>
    <row r="272" spans="1:13" hidden="1" x14ac:dyDescent="0.3">
      <c r="A272" t="str">
        <f>IF(ISNUMBER($K272),INDEX(РАБОТЫ!$U$2:$U$1058,$K272),"")</f>
        <v/>
      </c>
      <c r="B272" t="str">
        <f>IF(ISNUMBER($K272),INDEX(РАБОТЫ!$A$2:$A$1058,$K272),"")</f>
        <v/>
      </c>
      <c r="C272" s="4" t="str">
        <f>IF($L272&lt;&gt;"",INDEX(РАБОТЫ!$Z$2:$Z$1058,MATCH($L272,РАБОТЫ!$V$2:$V$1058,0)),IF(ISNUMBER($K272),INDEX(РАБОТЫ!$Y$2:$Y$1058,$K272),""))</f>
        <v/>
      </c>
      <c r="D272" t="str">
        <f>IF(ISNUMBER($K272),INDEX(РАБОТЫ!$E$2:$E$1058,$K272),"")</f>
        <v/>
      </c>
      <c r="E272" t="str">
        <f>IF(ISNUMBER($K272),INDEX(РАБОТЫ!$M$2:$M$1058,$K272),"")</f>
        <v/>
      </c>
      <c r="F272" s="7" t="str">
        <f>IF(ISNUMBER($K272),INDEX(РАБОТЫ!$S$2:$S$1058,$K272),"")</f>
        <v/>
      </c>
      <c r="G272" s="7" t="str">
        <f>IF(ISNUMBER($K272),INDEX(РАБОТЫ!$T$2:$T$1058,$K272),"")</f>
        <v/>
      </c>
      <c r="H272" s="7" t="str">
        <f t="shared" si="12"/>
        <v/>
      </c>
      <c r="I272" s="7" t="str">
        <f t="shared" si="13"/>
        <v/>
      </c>
      <c r="J272" s="7" t="str">
        <f t="shared" si="14"/>
        <v/>
      </c>
      <c r="K272" t="str">
        <f>IFERROR(MATCH(251,РАБОТЫ!$X$2:$X$1058,0),"")</f>
        <v/>
      </c>
      <c r="L272" t="str">
        <f>IFERROR(IF(INDEX(РАБОТЫ!$W$2:$W$1058,MATCH(251+1,РАБОТЫ!$X$2:$X$1058,0))=1,INDEX(РАБОТЫ!$V$2:$V$1058,MATCH(251+1,РАБОТЫ!$X$2:$X$1058,0)),""),"")</f>
        <v/>
      </c>
      <c r="M272" t="str">
        <f t="shared" si="15"/>
        <v/>
      </c>
    </row>
    <row r="273" spans="1:13" hidden="1" x14ac:dyDescent="0.3">
      <c r="A273" t="str">
        <f>IF(ISNUMBER($K273),INDEX(РАБОТЫ!$U$2:$U$1058,$K273),"")</f>
        <v/>
      </c>
      <c r="B273" t="str">
        <f>IF(ISNUMBER($K273),INDEX(РАБОТЫ!$A$2:$A$1058,$K273),"")</f>
        <v/>
      </c>
      <c r="C273" s="4" t="str">
        <f>IF($L273&lt;&gt;"",INDEX(РАБОТЫ!$Z$2:$Z$1058,MATCH($L273,РАБОТЫ!$V$2:$V$1058,0)),IF(ISNUMBER($K273),INDEX(РАБОТЫ!$Y$2:$Y$1058,$K273),""))</f>
        <v/>
      </c>
      <c r="D273" t="str">
        <f>IF(ISNUMBER($K273),INDEX(РАБОТЫ!$E$2:$E$1058,$K273),"")</f>
        <v/>
      </c>
      <c r="E273" t="str">
        <f>IF(ISNUMBER($K273),INDEX(РАБОТЫ!$M$2:$M$1058,$K273),"")</f>
        <v/>
      </c>
      <c r="F273" s="7" t="str">
        <f>IF(ISNUMBER($K273),INDEX(РАБОТЫ!$S$2:$S$1058,$K273),"")</f>
        <v/>
      </c>
      <c r="G273" s="7" t="str">
        <f>IF(ISNUMBER($K273),INDEX(РАБОТЫ!$T$2:$T$1058,$K273),"")</f>
        <v/>
      </c>
      <c r="H273" s="7" t="str">
        <f t="shared" si="12"/>
        <v/>
      </c>
      <c r="I273" s="7" t="str">
        <f t="shared" si="13"/>
        <v/>
      </c>
      <c r="J273" s="7" t="str">
        <f t="shared" si="14"/>
        <v/>
      </c>
      <c r="K273" t="str">
        <f>IFERROR(MATCH(252,РАБОТЫ!$X$2:$X$1058,0),"")</f>
        <v/>
      </c>
      <c r="L273" t="str">
        <f>IFERROR(IF(INDEX(РАБОТЫ!$W$2:$W$1058,MATCH(252+1,РАБОТЫ!$X$2:$X$1058,0))=1,INDEX(РАБОТЫ!$V$2:$V$1058,MATCH(252+1,РАБОТЫ!$X$2:$X$1058,0)),""),"")</f>
        <v/>
      </c>
      <c r="M273" t="str">
        <f t="shared" si="15"/>
        <v/>
      </c>
    </row>
    <row r="274" spans="1:13" hidden="1" x14ac:dyDescent="0.3">
      <c r="A274" t="str">
        <f>IF(ISNUMBER($K274),INDEX(РАБОТЫ!$U$2:$U$1058,$K274),"")</f>
        <v/>
      </c>
      <c r="B274" t="str">
        <f>IF(ISNUMBER($K274),INDEX(РАБОТЫ!$A$2:$A$1058,$K274),"")</f>
        <v/>
      </c>
      <c r="C274" s="4" t="str">
        <f>IF($L274&lt;&gt;"",INDEX(РАБОТЫ!$Z$2:$Z$1058,MATCH($L274,РАБОТЫ!$V$2:$V$1058,0)),IF(ISNUMBER($K274),INDEX(РАБОТЫ!$Y$2:$Y$1058,$K274),""))</f>
        <v/>
      </c>
      <c r="D274" t="str">
        <f>IF(ISNUMBER($K274),INDEX(РАБОТЫ!$E$2:$E$1058,$K274),"")</f>
        <v/>
      </c>
      <c r="E274" t="str">
        <f>IF(ISNUMBER($K274),INDEX(РАБОТЫ!$M$2:$M$1058,$K274),"")</f>
        <v/>
      </c>
      <c r="F274" s="7" t="str">
        <f>IF(ISNUMBER($K274),INDEX(РАБОТЫ!$S$2:$S$1058,$K274),"")</f>
        <v/>
      </c>
      <c r="G274" s="7" t="str">
        <f>IF(ISNUMBER($K274),INDEX(РАБОТЫ!$T$2:$T$1058,$K274),"")</f>
        <v/>
      </c>
      <c r="H274" s="7" t="str">
        <f t="shared" si="12"/>
        <v/>
      </c>
      <c r="I274" s="7" t="str">
        <f t="shared" si="13"/>
        <v/>
      </c>
      <c r="J274" s="7" t="str">
        <f t="shared" si="14"/>
        <v/>
      </c>
      <c r="K274" t="str">
        <f>IFERROR(MATCH(253,РАБОТЫ!$X$2:$X$1058,0),"")</f>
        <v/>
      </c>
      <c r="L274" t="str">
        <f>IFERROR(IF(INDEX(РАБОТЫ!$W$2:$W$1058,MATCH(253+1,РАБОТЫ!$X$2:$X$1058,0))=1,INDEX(РАБОТЫ!$V$2:$V$1058,MATCH(253+1,РАБОТЫ!$X$2:$X$1058,0)),""),"")</f>
        <v/>
      </c>
      <c r="M274" t="str">
        <f t="shared" si="15"/>
        <v/>
      </c>
    </row>
    <row r="275" spans="1:13" hidden="1" x14ac:dyDescent="0.3">
      <c r="A275" t="str">
        <f>IF(ISNUMBER($K275),INDEX(РАБОТЫ!$U$2:$U$1058,$K275),"")</f>
        <v/>
      </c>
      <c r="B275" t="str">
        <f>IF(ISNUMBER($K275),INDEX(РАБОТЫ!$A$2:$A$1058,$K275),"")</f>
        <v/>
      </c>
      <c r="C275" s="4" t="str">
        <f>IF($L275&lt;&gt;"",INDEX(РАБОТЫ!$Z$2:$Z$1058,MATCH($L275,РАБОТЫ!$V$2:$V$1058,0)),IF(ISNUMBER($K275),INDEX(РАБОТЫ!$Y$2:$Y$1058,$K275),""))</f>
        <v/>
      </c>
      <c r="D275" t="str">
        <f>IF(ISNUMBER($K275),INDEX(РАБОТЫ!$E$2:$E$1058,$K275),"")</f>
        <v/>
      </c>
      <c r="E275" t="str">
        <f>IF(ISNUMBER($K275),INDEX(РАБОТЫ!$M$2:$M$1058,$K275),"")</f>
        <v/>
      </c>
      <c r="F275" s="7" t="str">
        <f>IF(ISNUMBER($K275),INDEX(РАБОТЫ!$S$2:$S$1058,$K275),"")</f>
        <v/>
      </c>
      <c r="G275" s="7" t="str">
        <f>IF(ISNUMBER($K275),INDEX(РАБОТЫ!$T$2:$T$1058,$K275),"")</f>
        <v/>
      </c>
      <c r="H275" s="7" t="str">
        <f t="shared" si="12"/>
        <v/>
      </c>
      <c r="I275" s="7" t="str">
        <f t="shared" si="13"/>
        <v/>
      </c>
      <c r="J275" s="7" t="str">
        <f t="shared" si="14"/>
        <v/>
      </c>
      <c r="K275" t="str">
        <f>IFERROR(MATCH(254,РАБОТЫ!$X$2:$X$1058,0),"")</f>
        <v/>
      </c>
      <c r="L275" t="str">
        <f>IFERROR(IF(INDEX(РАБОТЫ!$W$2:$W$1058,MATCH(254+1,РАБОТЫ!$X$2:$X$1058,0))=1,INDEX(РАБОТЫ!$V$2:$V$1058,MATCH(254+1,РАБОТЫ!$X$2:$X$1058,0)),""),"")</f>
        <v/>
      </c>
      <c r="M275" t="str">
        <f t="shared" si="15"/>
        <v/>
      </c>
    </row>
    <row r="276" spans="1:13" hidden="1" x14ac:dyDescent="0.3">
      <c r="A276" t="str">
        <f>IF(ISNUMBER($K276),INDEX(РАБОТЫ!$U$2:$U$1058,$K276),"")</f>
        <v/>
      </c>
      <c r="B276" t="str">
        <f>IF(ISNUMBER($K276),INDEX(РАБОТЫ!$A$2:$A$1058,$K276),"")</f>
        <v/>
      </c>
      <c r="C276" s="4" t="str">
        <f>IF($L276&lt;&gt;"",INDEX(РАБОТЫ!$Z$2:$Z$1058,MATCH($L276,РАБОТЫ!$V$2:$V$1058,0)),IF(ISNUMBER($K276),INDEX(РАБОТЫ!$Y$2:$Y$1058,$K276),""))</f>
        <v/>
      </c>
      <c r="D276" t="str">
        <f>IF(ISNUMBER($K276),INDEX(РАБОТЫ!$E$2:$E$1058,$K276),"")</f>
        <v/>
      </c>
      <c r="E276" t="str">
        <f>IF(ISNUMBER($K276),INDEX(РАБОТЫ!$M$2:$M$1058,$K276),"")</f>
        <v/>
      </c>
      <c r="F276" s="7" t="str">
        <f>IF(ISNUMBER($K276),INDEX(РАБОТЫ!$S$2:$S$1058,$K276),"")</f>
        <v/>
      </c>
      <c r="G276" s="7" t="str">
        <f>IF(ISNUMBER($K276),INDEX(РАБОТЫ!$T$2:$T$1058,$K276),"")</f>
        <v/>
      </c>
      <c r="H276" s="7" t="str">
        <f t="shared" si="12"/>
        <v/>
      </c>
      <c r="I276" s="7" t="str">
        <f t="shared" si="13"/>
        <v/>
      </c>
      <c r="J276" s="7" t="str">
        <f t="shared" si="14"/>
        <v/>
      </c>
      <c r="K276" t="str">
        <f>IFERROR(MATCH(255,РАБОТЫ!$X$2:$X$1058,0),"")</f>
        <v/>
      </c>
      <c r="L276" t="str">
        <f>IFERROR(IF(INDEX(РАБОТЫ!$W$2:$W$1058,MATCH(255+1,РАБОТЫ!$X$2:$X$1058,0))=1,INDEX(РАБОТЫ!$V$2:$V$1058,MATCH(255+1,РАБОТЫ!$X$2:$X$1058,0)),""),"")</f>
        <v/>
      </c>
      <c r="M276" t="str">
        <f t="shared" si="15"/>
        <v/>
      </c>
    </row>
    <row r="277" spans="1:13" hidden="1" x14ac:dyDescent="0.3">
      <c r="A277" t="str">
        <f>IF(ISNUMBER($K277),INDEX(РАБОТЫ!$U$2:$U$1058,$K277),"")</f>
        <v/>
      </c>
      <c r="B277" t="str">
        <f>IF(ISNUMBER($K277),INDEX(РАБОТЫ!$A$2:$A$1058,$K277),"")</f>
        <v/>
      </c>
      <c r="C277" s="4" t="str">
        <f>IF($L277&lt;&gt;"",INDEX(РАБОТЫ!$Z$2:$Z$1058,MATCH($L277,РАБОТЫ!$V$2:$V$1058,0)),IF(ISNUMBER($K277),INDEX(РАБОТЫ!$Y$2:$Y$1058,$K277),""))</f>
        <v/>
      </c>
      <c r="D277" t="str">
        <f>IF(ISNUMBER($K277),INDEX(РАБОТЫ!$E$2:$E$1058,$K277),"")</f>
        <v/>
      </c>
      <c r="E277" t="str">
        <f>IF(ISNUMBER($K277),INDEX(РАБОТЫ!$M$2:$M$1058,$K277),"")</f>
        <v/>
      </c>
      <c r="F277" s="7" t="str">
        <f>IF(ISNUMBER($K277),INDEX(РАБОТЫ!$S$2:$S$1058,$K277),"")</f>
        <v/>
      </c>
      <c r="G277" s="7" t="str">
        <f>IF(ISNUMBER($K277),INDEX(РАБОТЫ!$T$2:$T$1058,$K277),"")</f>
        <v/>
      </c>
      <c r="H277" s="7" t="str">
        <f t="shared" si="12"/>
        <v/>
      </c>
      <c r="I277" s="7" t="str">
        <f t="shared" si="13"/>
        <v/>
      </c>
      <c r="J277" s="7" t="str">
        <f t="shared" si="14"/>
        <v/>
      </c>
      <c r="K277" t="str">
        <f>IFERROR(MATCH(256,РАБОТЫ!$X$2:$X$1058,0),"")</f>
        <v/>
      </c>
      <c r="L277" t="str">
        <f>IFERROR(IF(INDEX(РАБОТЫ!$W$2:$W$1058,MATCH(256+1,РАБОТЫ!$X$2:$X$1058,0))=1,INDEX(РАБОТЫ!$V$2:$V$1058,MATCH(256+1,РАБОТЫ!$X$2:$X$1058,0)),""),"")</f>
        <v/>
      </c>
      <c r="M277" t="str">
        <f t="shared" si="15"/>
        <v/>
      </c>
    </row>
    <row r="278" spans="1:13" hidden="1" x14ac:dyDescent="0.3">
      <c r="A278" t="str">
        <f>IF(ISNUMBER($K278),INDEX(РАБОТЫ!$U$2:$U$1058,$K278),"")</f>
        <v/>
      </c>
      <c r="B278" t="str">
        <f>IF(ISNUMBER($K278),INDEX(РАБОТЫ!$A$2:$A$1058,$K278),"")</f>
        <v/>
      </c>
      <c r="C278" s="4" t="str">
        <f>IF($L278&lt;&gt;"",INDEX(РАБОТЫ!$Z$2:$Z$1058,MATCH($L278,РАБОТЫ!$V$2:$V$1058,0)),IF(ISNUMBER($K278),INDEX(РАБОТЫ!$Y$2:$Y$1058,$K278),""))</f>
        <v/>
      </c>
      <c r="D278" t="str">
        <f>IF(ISNUMBER($K278),INDEX(РАБОТЫ!$E$2:$E$1058,$K278),"")</f>
        <v/>
      </c>
      <c r="E278" t="str">
        <f>IF(ISNUMBER($K278),INDEX(РАБОТЫ!$M$2:$M$1058,$K278),"")</f>
        <v/>
      </c>
      <c r="F278" s="7" t="str">
        <f>IF(ISNUMBER($K278),INDEX(РАБОТЫ!$S$2:$S$1058,$K278),"")</f>
        <v/>
      </c>
      <c r="G278" s="7" t="str">
        <f>IF(ISNUMBER($K278),INDEX(РАБОТЫ!$T$2:$T$1058,$K278),"")</f>
        <v/>
      </c>
      <c r="H278" s="7" t="str">
        <f t="shared" ref="H278:H341" si="16">IF(ISNUMBER($K278),ROUND($E278*$F278,2),"")</f>
        <v/>
      </c>
      <c r="I278" s="7" t="str">
        <f t="shared" ref="I278:I341" si="17">IF(ISNUMBER($K278),ROUND($E278*$G278,2),"")</f>
        <v/>
      </c>
      <c r="J278" s="7" t="str">
        <f t="shared" ref="J278:J341" si="18">IF(ISNUMBER($K278),$H278+$I278,"")</f>
        <v/>
      </c>
      <c r="K278" t="str">
        <f>IFERROR(MATCH(257,РАБОТЫ!$X$2:$X$1058,0),"")</f>
        <v/>
      </c>
      <c r="L278" t="str">
        <f>IFERROR(IF(INDEX(РАБОТЫ!$W$2:$W$1058,MATCH(257+1,РАБОТЫ!$X$2:$X$1058,0))=1,INDEX(РАБОТЫ!$V$2:$V$1058,MATCH(257+1,РАБОТЫ!$X$2:$X$1058,0)),""),"")</f>
        <v/>
      </c>
      <c r="M278" t="str">
        <f t="shared" ref="M278:M341" si="19">IF(OR(ISNUMBER($K278),$L278&lt;&gt;""),"показать","")</f>
        <v/>
      </c>
    </row>
    <row r="279" spans="1:13" hidden="1" x14ac:dyDescent="0.3">
      <c r="A279" t="str">
        <f>IF(ISNUMBER($K279),INDEX(РАБОТЫ!$U$2:$U$1058,$K279),"")</f>
        <v/>
      </c>
      <c r="B279" t="str">
        <f>IF(ISNUMBER($K279),INDEX(РАБОТЫ!$A$2:$A$1058,$K279),"")</f>
        <v/>
      </c>
      <c r="C279" s="4" t="str">
        <f>IF($L279&lt;&gt;"",INDEX(РАБОТЫ!$Z$2:$Z$1058,MATCH($L279,РАБОТЫ!$V$2:$V$1058,0)),IF(ISNUMBER($K279),INDEX(РАБОТЫ!$Y$2:$Y$1058,$K279),""))</f>
        <v/>
      </c>
      <c r="D279" t="str">
        <f>IF(ISNUMBER($K279),INDEX(РАБОТЫ!$E$2:$E$1058,$K279),"")</f>
        <v/>
      </c>
      <c r="E279" t="str">
        <f>IF(ISNUMBER($K279),INDEX(РАБОТЫ!$M$2:$M$1058,$K279),"")</f>
        <v/>
      </c>
      <c r="F279" s="7" t="str">
        <f>IF(ISNUMBER($K279),INDEX(РАБОТЫ!$S$2:$S$1058,$K279),"")</f>
        <v/>
      </c>
      <c r="G279" s="7" t="str">
        <f>IF(ISNUMBER($K279),INDEX(РАБОТЫ!$T$2:$T$1058,$K279),"")</f>
        <v/>
      </c>
      <c r="H279" s="7" t="str">
        <f t="shared" si="16"/>
        <v/>
      </c>
      <c r="I279" s="7" t="str">
        <f t="shared" si="17"/>
        <v/>
      </c>
      <c r="J279" s="7" t="str">
        <f t="shared" si="18"/>
        <v/>
      </c>
      <c r="K279" t="str">
        <f>IFERROR(MATCH(258,РАБОТЫ!$X$2:$X$1058,0),"")</f>
        <v/>
      </c>
      <c r="L279" t="str">
        <f>IFERROR(IF(INDEX(РАБОТЫ!$W$2:$W$1058,MATCH(258+1,РАБОТЫ!$X$2:$X$1058,0))=1,INDEX(РАБОТЫ!$V$2:$V$1058,MATCH(258+1,РАБОТЫ!$X$2:$X$1058,0)),""),"")</f>
        <v/>
      </c>
      <c r="M279" t="str">
        <f t="shared" si="19"/>
        <v/>
      </c>
    </row>
    <row r="280" spans="1:13" hidden="1" x14ac:dyDescent="0.3">
      <c r="A280" t="str">
        <f>IF(ISNUMBER($K280),INDEX(РАБОТЫ!$U$2:$U$1058,$K280),"")</f>
        <v/>
      </c>
      <c r="B280" t="str">
        <f>IF(ISNUMBER($K280),INDEX(РАБОТЫ!$A$2:$A$1058,$K280),"")</f>
        <v/>
      </c>
      <c r="C280" s="4" t="str">
        <f>IF($L280&lt;&gt;"",INDEX(РАБОТЫ!$Z$2:$Z$1058,MATCH($L280,РАБОТЫ!$V$2:$V$1058,0)),IF(ISNUMBER($K280),INDEX(РАБОТЫ!$Y$2:$Y$1058,$K280),""))</f>
        <v/>
      </c>
      <c r="D280" t="str">
        <f>IF(ISNUMBER($K280),INDEX(РАБОТЫ!$E$2:$E$1058,$K280),"")</f>
        <v/>
      </c>
      <c r="E280" t="str">
        <f>IF(ISNUMBER($K280),INDEX(РАБОТЫ!$M$2:$M$1058,$K280),"")</f>
        <v/>
      </c>
      <c r="F280" s="7" t="str">
        <f>IF(ISNUMBER($K280),INDEX(РАБОТЫ!$S$2:$S$1058,$K280),"")</f>
        <v/>
      </c>
      <c r="G280" s="7" t="str">
        <f>IF(ISNUMBER($K280),INDEX(РАБОТЫ!$T$2:$T$1058,$K280),"")</f>
        <v/>
      </c>
      <c r="H280" s="7" t="str">
        <f t="shared" si="16"/>
        <v/>
      </c>
      <c r="I280" s="7" t="str">
        <f t="shared" si="17"/>
        <v/>
      </c>
      <c r="J280" s="7" t="str">
        <f t="shared" si="18"/>
        <v/>
      </c>
      <c r="K280" t="str">
        <f>IFERROR(MATCH(259,РАБОТЫ!$X$2:$X$1058,0),"")</f>
        <v/>
      </c>
      <c r="L280" t="str">
        <f>IFERROR(IF(INDEX(РАБОТЫ!$W$2:$W$1058,MATCH(259+1,РАБОТЫ!$X$2:$X$1058,0))=1,INDEX(РАБОТЫ!$V$2:$V$1058,MATCH(259+1,РАБОТЫ!$X$2:$X$1058,0)),""),"")</f>
        <v/>
      </c>
      <c r="M280" t="str">
        <f t="shared" si="19"/>
        <v/>
      </c>
    </row>
    <row r="281" spans="1:13" hidden="1" x14ac:dyDescent="0.3">
      <c r="A281" t="str">
        <f>IF(ISNUMBER($K281),INDEX(РАБОТЫ!$U$2:$U$1058,$K281),"")</f>
        <v/>
      </c>
      <c r="B281" t="str">
        <f>IF(ISNUMBER($K281),INDEX(РАБОТЫ!$A$2:$A$1058,$K281),"")</f>
        <v/>
      </c>
      <c r="C281" s="4" t="str">
        <f>IF($L281&lt;&gt;"",INDEX(РАБОТЫ!$Z$2:$Z$1058,MATCH($L281,РАБОТЫ!$V$2:$V$1058,0)),IF(ISNUMBER($K281),INDEX(РАБОТЫ!$Y$2:$Y$1058,$K281),""))</f>
        <v/>
      </c>
      <c r="D281" t="str">
        <f>IF(ISNUMBER($K281),INDEX(РАБОТЫ!$E$2:$E$1058,$K281),"")</f>
        <v/>
      </c>
      <c r="E281" t="str">
        <f>IF(ISNUMBER($K281),INDEX(РАБОТЫ!$M$2:$M$1058,$K281),"")</f>
        <v/>
      </c>
      <c r="F281" s="7" t="str">
        <f>IF(ISNUMBER($K281),INDEX(РАБОТЫ!$S$2:$S$1058,$K281),"")</f>
        <v/>
      </c>
      <c r="G281" s="7" t="str">
        <f>IF(ISNUMBER($K281),INDEX(РАБОТЫ!$T$2:$T$1058,$K281),"")</f>
        <v/>
      </c>
      <c r="H281" s="7" t="str">
        <f t="shared" si="16"/>
        <v/>
      </c>
      <c r="I281" s="7" t="str">
        <f t="shared" si="17"/>
        <v/>
      </c>
      <c r="J281" s="7" t="str">
        <f t="shared" si="18"/>
        <v/>
      </c>
      <c r="K281" t="str">
        <f>IFERROR(MATCH(260,РАБОТЫ!$X$2:$X$1058,0),"")</f>
        <v/>
      </c>
      <c r="L281" t="str">
        <f>IFERROR(IF(INDEX(РАБОТЫ!$W$2:$W$1058,MATCH(260+1,РАБОТЫ!$X$2:$X$1058,0))=1,INDEX(РАБОТЫ!$V$2:$V$1058,MATCH(260+1,РАБОТЫ!$X$2:$X$1058,0)),""),"")</f>
        <v/>
      </c>
      <c r="M281" t="str">
        <f t="shared" si="19"/>
        <v/>
      </c>
    </row>
    <row r="282" spans="1:13" hidden="1" x14ac:dyDescent="0.3">
      <c r="A282" t="str">
        <f>IF(ISNUMBER($K282),INDEX(РАБОТЫ!$U$2:$U$1058,$K282),"")</f>
        <v/>
      </c>
      <c r="B282" t="str">
        <f>IF(ISNUMBER($K282),INDEX(РАБОТЫ!$A$2:$A$1058,$K282),"")</f>
        <v/>
      </c>
      <c r="C282" s="4" t="str">
        <f>IF($L282&lt;&gt;"",INDEX(РАБОТЫ!$Z$2:$Z$1058,MATCH($L282,РАБОТЫ!$V$2:$V$1058,0)),IF(ISNUMBER($K282),INDEX(РАБОТЫ!$Y$2:$Y$1058,$K282),""))</f>
        <v/>
      </c>
      <c r="D282" t="str">
        <f>IF(ISNUMBER($K282),INDEX(РАБОТЫ!$E$2:$E$1058,$K282),"")</f>
        <v/>
      </c>
      <c r="E282" t="str">
        <f>IF(ISNUMBER($K282),INDEX(РАБОТЫ!$M$2:$M$1058,$K282),"")</f>
        <v/>
      </c>
      <c r="F282" s="7" t="str">
        <f>IF(ISNUMBER($K282),INDEX(РАБОТЫ!$S$2:$S$1058,$K282),"")</f>
        <v/>
      </c>
      <c r="G282" s="7" t="str">
        <f>IF(ISNUMBER($K282),INDEX(РАБОТЫ!$T$2:$T$1058,$K282),"")</f>
        <v/>
      </c>
      <c r="H282" s="7" t="str">
        <f t="shared" si="16"/>
        <v/>
      </c>
      <c r="I282" s="7" t="str">
        <f t="shared" si="17"/>
        <v/>
      </c>
      <c r="J282" s="7" t="str">
        <f t="shared" si="18"/>
        <v/>
      </c>
      <c r="K282" t="str">
        <f>IFERROR(MATCH(261,РАБОТЫ!$X$2:$X$1058,0),"")</f>
        <v/>
      </c>
      <c r="L282" t="str">
        <f>IFERROR(IF(INDEX(РАБОТЫ!$W$2:$W$1058,MATCH(261+1,РАБОТЫ!$X$2:$X$1058,0))=1,INDEX(РАБОТЫ!$V$2:$V$1058,MATCH(261+1,РАБОТЫ!$X$2:$X$1058,0)),""),"")</f>
        <v/>
      </c>
      <c r="M282" t="str">
        <f t="shared" si="19"/>
        <v/>
      </c>
    </row>
    <row r="283" spans="1:13" hidden="1" x14ac:dyDescent="0.3">
      <c r="A283" t="str">
        <f>IF(ISNUMBER($K283),INDEX(РАБОТЫ!$U$2:$U$1058,$K283),"")</f>
        <v/>
      </c>
      <c r="B283" t="str">
        <f>IF(ISNUMBER($K283),INDEX(РАБОТЫ!$A$2:$A$1058,$K283),"")</f>
        <v/>
      </c>
      <c r="C283" s="4" t="str">
        <f>IF($L283&lt;&gt;"",INDEX(РАБОТЫ!$Z$2:$Z$1058,MATCH($L283,РАБОТЫ!$V$2:$V$1058,0)),IF(ISNUMBER($K283),INDEX(РАБОТЫ!$Y$2:$Y$1058,$K283),""))</f>
        <v/>
      </c>
      <c r="D283" t="str">
        <f>IF(ISNUMBER($K283),INDEX(РАБОТЫ!$E$2:$E$1058,$K283),"")</f>
        <v/>
      </c>
      <c r="E283" t="str">
        <f>IF(ISNUMBER($K283),INDEX(РАБОТЫ!$M$2:$M$1058,$K283),"")</f>
        <v/>
      </c>
      <c r="F283" s="7" t="str">
        <f>IF(ISNUMBER($K283),INDEX(РАБОТЫ!$S$2:$S$1058,$K283),"")</f>
        <v/>
      </c>
      <c r="G283" s="7" t="str">
        <f>IF(ISNUMBER($K283),INDEX(РАБОТЫ!$T$2:$T$1058,$K283),"")</f>
        <v/>
      </c>
      <c r="H283" s="7" t="str">
        <f t="shared" si="16"/>
        <v/>
      </c>
      <c r="I283" s="7" t="str">
        <f t="shared" si="17"/>
        <v/>
      </c>
      <c r="J283" s="7" t="str">
        <f t="shared" si="18"/>
        <v/>
      </c>
      <c r="K283" t="str">
        <f>IFERROR(MATCH(262,РАБОТЫ!$X$2:$X$1058,0),"")</f>
        <v/>
      </c>
      <c r="L283" t="str">
        <f>IFERROR(IF(INDEX(РАБОТЫ!$W$2:$W$1058,MATCH(262+1,РАБОТЫ!$X$2:$X$1058,0))=1,INDEX(РАБОТЫ!$V$2:$V$1058,MATCH(262+1,РАБОТЫ!$X$2:$X$1058,0)),""),"")</f>
        <v/>
      </c>
      <c r="M283" t="str">
        <f t="shared" si="19"/>
        <v/>
      </c>
    </row>
    <row r="284" spans="1:13" hidden="1" x14ac:dyDescent="0.3">
      <c r="A284" t="str">
        <f>IF(ISNUMBER($K284),INDEX(РАБОТЫ!$U$2:$U$1058,$K284),"")</f>
        <v/>
      </c>
      <c r="B284" t="str">
        <f>IF(ISNUMBER($K284),INDEX(РАБОТЫ!$A$2:$A$1058,$K284),"")</f>
        <v/>
      </c>
      <c r="C284" s="4" t="str">
        <f>IF($L284&lt;&gt;"",INDEX(РАБОТЫ!$Z$2:$Z$1058,MATCH($L284,РАБОТЫ!$V$2:$V$1058,0)),IF(ISNUMBER($K284),INDEX(РАБОТЫ!$Y$2:$Y$1058,$K284),""))</f>
        <v/>
      </c>
      <c r="D284" t="str">
        <f>IF(ISNUMBER($K284),INDEX(РАБОТЫ!$E$2:$E$1058,$K284),"")</f>
        <v/>
      </c>
      <c r="E284" t="str">
        <f>IF(ISNUMBER($K284),INDEX(РАБОТЫ!$M$2:$M$1058,$K284),"")</f>
        <v/>
      </c>
      <c r="F284" s="7" t="str">
        <f>IF(ISNUMBER($K284),INDEX(РАБОТЫ!$S$2:$S$1058,$K284),"")</f>
        <v/>
      </c>
      <c r="G284" s="7" t="str">
        <f>IF(ISNUMBER($K284),INDEX(РАБОТЫ!$T$2:$T$1058,$K284),"")</f>
        <v/>
      </c>
      <c r="H284" s="7" t="str">
        <f t="shared" si="16"/>
        <v/>
      </c>
      <c r="I284" s="7" t="str">
        <f t="shared" si="17"/>
        <v/>
      </c>
      <c r="J284" s="7" t="str">
        <f t="shared" si="18"/>
        <v/>
      </c>
      <c r="K284" t="str">
        <f>IFERROR(MATCH(263,РАБОТЫ!$X$2:$X$1058,0),"")</f>
        <v/>
      </c>
      <c r="L284" t="str">
        <f>IFERROR(IF(INDEX(РАБОТЫ!$W$2:$W$1058,MATCH(263+1,РАБОТЫ!$X$2:$X$1058,0))=1,INDEX(РАБОТЫ!$V$2:$V$1058,MATCH(263+1,РАБОТЫ!$X$2:$X$1058,0)),""),"")</f>
        <v/>
      </c>
      <c r="M284" t="str">
        <f t="shared" si="19"/>
        <v/>
      </c>
    </row>
    <row r="285" spans="1:13" hidden="1" x14ac:dyDescent="0.3">
      <c r="A285" t="str">
        <f>IF(ISNUMBER($K285),INDEX(РАБОТЫ!$U$2:$U$1058,$K285),"")</f>
        <v/>
      </c>
      <c r="B285" t="str">
        <f>IF(ISNUMBER($K285),INDEX(РАБОТЫ!$A$2:$A$1058,$K285),"")</f>
        <v/>
      </c>
      <c r="C285" s="4" t="str">
        <f>IF($L285&lt;&gt;"",INDEX(РАБОТЫ!$Z$2:$Z$1058,MATCH($L285,РАБОТЫ!$V$2:$V$1058,0)),IF(ISNUMBER($K285),INDEX(РАБОТЫ!$Y$2:$Y$1058,$K285),""))</f>
        <v/>
      </c>
      <c r="D285" t="str">
        <f>IF(ISNUMBER($K285),INDEX(РАБОТЫ!$E$2:$E$1058,$K285),"")</f>
        <v/>
      </c>
      <c r="E285" t="str">
        <f>IF(ISNUMBER($K285),INDEX(РАБОТЫ!$M$2:$M$1058,$K285),"")</f>
        <v/>
      </c>
      <c r="F285" s="7" t="str">
        <f>IF(ISNUMBER($K285),INDEX(РАБОТЫ!$S$2:$S$1058,$K285),"")</f>
        <v/>
      </c>
      <c r="G285" s="7" t="str">
        <f>IF(ISNUMBER($K285),INDEX(РАБОТЫ!$T$2:$T$1058,$K285),"")</f>
        <v/>
      </c>
      <c r="H285" s="7" t="str">
        <f t="shared" si="16"/>
        <v/>
      </c>
      <c r="I285" s="7" t="str">
        <f t="shared" si="17"/>
        <v/>
      </c>
      <c r="J285" s="7" t="str">
        <f t="shared" si="18"/>
        <v/>
      </c>
      <c r="K285" t="str">
        <f>IFERROR(MATCH(264,РАБОТЫ!$X$2:$X$1058,0),"")</f>
        <v/>
      </c>
      <c r="L285" t="str">
        <f>IFERROR(IF(INDEX(РАБОТЫ!$W$2:$W$1058,MATCH(264+1,РАБОТЫ!$X$2:$X$1058,0))=1,INDEX(РАБОТЫ!$V$2:$V$1058,MATCH(264+1,РАБОТЫ!$X$2:$X$1058,0)),""),"")</f>
        <v/>
      </c>
      <c r="M285" t="str">
        <f t="shared" si="19"/>
        <v/>
      </c>
    </row>
    <row r="286" spans="1:13" hidden="1" x14ac:dyDescent="0.3">
      <c r="A286" t="str">
        <f>IF(ISNUMBER($K286),INDEX(РАБОТЫ!$U$2:$U$1058,$K286),"")</f>
        <v/>
      </c>
      <c r="B286" t="str">
        <f>IF(ISNUMBER($K286),INDEX(РАБОТЫ!$A$2:$A$1058,$K286),"")</f>
        <v/>
      </c>
      <c r="C286" s="4" t="str">
        <f>IF($L286&lt;&gt;"",INDEX(РАБОТЫ!$Z$2:$Z$1058,MATCH($L286,РАБОТЫ!$V$2:$V$1058,0)),IF(ISNUMBER($K286),INDEX(РАБОТЫ!$Y$2:$Y$1058,$K286),""))</f>
        <v/>
      </c>
      <c r="D286" t="str">
        <f>IF(ISNUMBER($K286),INDEX(РАБОТЫ!$E$2:$E$1058,$K286),"")</f>
        <v/>
      </c>
      <c r="E286" t="str">
        <f>IF(ISNUMBER($K286),INDEX(РАБОТЫ!$M$2:$M$1058,$K286),"")</f>
        <v/>
      </c>
      <c r="F286" s="7" t="str">
        <f>IF(ISNUMBER($K286),INDEX(РАБОТЫ!$S$2:$S$1058,$K286),"")</f>
        <v/>
      </c>
      <c r="G286" s="7" t="str">
        <f>IF(ISNUMBER($K286),INDEX(РАБОТЫ!$T$2:$T$1058,$K286),"")</f>
        <v/>
      </c>
      <c r="H286" s="7" t="str">
        <f t="shared" si="16"/>
        <v/>
      </c>
      <c r="I286" s="7" t="str">
        <f t="shared" si="17"/>
        <v/>
      </c>
      <c r="J286" s="7" t="str">
        <f t="shared" si="18"/>
        <v/>
      </c>
      <c r="K286" t="str">
        <f>IFERROR(MATCH(265,РАБОТЫ!$X$2:$X$1058,0),"")</f>
        <v/>
      </c>
      <c r="L286" t="str">
        <f>IFERROR(IF(INDEX(РАБОТЫ!$W$2:$W$1058,MATCH(265+1,РАБОТЫ!$X$2:$X$1058,0))=1,INDEX(РАБОТЫ!$V$2:$V$1058,MATCH(265+1,РАБОТЫ!$X$2:$X$1058,0)),""),"")</f>
        <v/>
      </c>
      <c r="M286" t="str">
        <f t="shared" si="19"/>
        <v/>
      </c>
    </row>
    <row r="287" spans="1:13" hidden="1" x14ac:dyDescent="0.3">
      <c r="A287" t="str">
        <f>IF(ISNUMBER($K287),INDEX(РАБОТЫ!$U$2:$U$1058,$K287),"")</f>
        <v/>
      </c>
      <c r="B287" t="str">
        <f>IF(ISNUMBER($K287),INDEX(РАБОТЫ!$A$2:$A$1058,$K287),"")</f>
        <v/>
      </c>
      <c r="C287" s="4" t="str">
        <f>IF($L287&lt;&gt;"",INDEX(РАБОТЫ!$Z$2:$Z$1058,MATCH($L287,РАБОТЫ!$V$2:$V$1058,0)),IF(ISNUMBER($K287),INDEX(РАБОТЫ!$Y$2:$Y$1058,$K287),""))</f>
        <v/>
      </c>
      <c r="D287" t="str">
        <f>IF(ISNUMBER($K287),INDEX(РАБОТЫ!$E$2:$E$1058,$K287),"")</f>
        <v/>
      </c>
      <c r="E287" t="str">
        <f>IF(ISNUMBER($K287),INDEX(РАБОТЫ!$M$2:$M$1058,$K287),"")</f>
        <v/>
      </c>
      <c r="F287" s="7" t="str">
        <f>IF(ISNUMBER($K287),INDEX(РАБОТЫ!$S$2:$S$1058,$K287),"")</f>
        <v/>
      </c>
      <c r="G287" s="7" t="str">
        <f>IF(ISNUMBER($K287),INDEX(РАБОТЫ!$T$2:$T$1058,$K287),"")</f>
        <v/>
      </c>
      <c r="H287" s="7" t="str">
        <f t="shared" si="16"/>
        <v/>
      </c>
      <c r="I287" s="7" t="str">
        <f t="shared" si="17"/>
        <v/>
      </c>
      <c r="J287" s="7" t="str">
        <f t="shared" si="18"/>
        <v/>
      </c>
      <c r="K287" t="str">
        <f>IFERROR(MATCH(266,РАБОТЫ!$X$2:$X$1058,0),"")</f>
        <v/>
      </c>
      <c r="L287" t="str">
        <f>IFERROR(IF(INDEX(РАБОТЫ!$W$2:$W$1058,MATCH(266+1,РАБОТЫ!$X$2:$X$1058,0))=1,INDEX(РАБОТЫ!$V$2:$V$1058,MATCH(266+1,РАБОТЫ!$X$2:$X$1058,0)),""),"")</f>
        <v/>
      </c>
      <c r="M287" t="str">
        <f t="shared" si="19"/>
        <v/>
      </c>
    </row>
    <row r="288" spans="1:13" hidden="1" x14ac:dyDescent="0.3">
      <c r="A288" t="str">
        <f>IF(ISNUMBER($K288),INDEX(РАБОТЫ!$U$2:$U$1058,$K288),"")</f>
        <v/>
      </c>
      <c r="B288" t="str">
        <f>IF(ISNUMBER($K288),INDEX(РАБОТЫ!$A$2:$A$1058,$K288),"")</f>
        <v/>
      </c>
      <c r="C288" s="4" t="str">
        <f>IF($L288&lt;&gt;"",INDEX(РАБОТЫ!$Z$2:$Z$1058,MATCH($L288,РАБОТЫ!$V$2:$V$1058,0)),IF(ISNUMBER($K288),INDEX(РАБОТЫ!$Y$2:$Y$1058,$K288),""))</f>
        <v/>
      </c>
      <c r="D288" t="str">
        <f>IF(ISNUMBER($K288),INDEX(РАБОТЫ!$E$2:$E$1058,$K288),"")</f>
        <v/>
      </c>
      <c r="E288" t="str">
        <f>IF(ISNUMBER($K288),INDEX(РАБОТЫ!$M$2:$M$1058,$K288),"")</f>
        <v/>
      </c>
      <c r="F288" s="7" t="str">
        <f>IF(ISNUMBER($K288),INDEX(РАБОТЫ!$S$2:$S$1058,$K288),"")</f>
        <v/>
      </c>
      <c r="G288" s="7" t="str">
        <f>IF(ISNUMBER($K288),INDEX(РАБОТЫ!$T$2:$T$1058,$K288),"")</f>
        <v/>
      </c>
      <c r="H288" s="7" t="str">
        <f t="shared" si="16"/>
        <v/>
      </c>
      <c r="I288" s="7" t="str">
        <f t="shared" si="17"/>
        <v/>
      </c>
      <c r="J288" s="7" t="str">
        <f t="shared" si="18"/>
        <v/>
      </c>
      <c r="K288" t="str">
        <f>IFERROR(MATCH(267,РАБОТЫ!$X$2:$X$1058,0),"")</f>
        <v/>
      </c>
      <c r="L288" t="str">
        <f>IFERROR(IF(INDEX(РАБОТЫ!$W$2:$W$1058,MATCH(267+1,РАБОТЫ!$X$2:$X$1058,0))=1,INDEX(РАБОТЫ!$V$2:$V$1058,MATCH(267+1,РАБОТЫ!$X$2:$X$1058,0)),""),"")</f>
        <v/>
      </c>
      <c r="M288" t="str">
        <f t="shared" si="19"/>
        <v/>
      </c>
    </row>
    <row r="289" spans="1:13" hidden="1" x14ac:dyDescent="0.3">
      <c r="A289" t="str">
        <f>IF(ISNUMBER($K289),INDEX(РАБОТЫ!$U$2:$U$1058,$K289),"")</f>
        <v/>
      </c>
      <c r="B289" t="str">
        <f>IF(ISNUMBER($K289),INDEX(РАБОТЫ!$A$2:$A$1058,$K289),"")</f>
        <v/>
      </c>
      <c r="C289" s="4" t="str">
        <f>IF($L289&lt;&gt;"",INDEX(РАБОТЫ!$Z$2:$Z$1058,MATCH($L289,РАБОТЫ!$V$2:$V$1058,0)),IF(ISNUMBER($K289),INDEX(РАБОТЫ!$Y$2:$Y$1058,$K289),""))</f>
        <v/>
      </c>
      <c r="D289" t="str">
        <f>IF(ISNUMBER($K289),INDEX(РАБОТЫ!$E$2:$E$1058,$K289),"")</f>
        <v/>
      </c>
      <c r="E289" t="str">
        <f>IF(ISNUMBER($K289),INDEX(РАБОТЫ!$M$2:$M$1058,$K289),"")</f>
        <v/>
      </c>
      <c r="F289" s="7" t="str">
        <f>IF(ISNUMBER($K289),INDEX(РАБОТЫ!$S$2:$S$1058,$K289),"")</f>
        <v/>
      </c>
      <c r="G289" s="7" t="str">
        <f>IF(ISNUMBER($K289),INDEX(РАБОТЫ!$T$2:$T$1058,$K289),"")</f>
        <v/>
      </c>
      <c r="H289" s="7" t="str">
        <f t="shared" si="16"/>
        <v/>
      </c>
      <c r="I289" s="7" t="str">
        <f t="shared" si="17"/>
        <v/>
      </c>
      <c r="J289" s="7" t="str">
        <f t="shared" si="18"/>
        <v/>
      </c>
      <c r="K289" t="str">
        <f>IFERROR(MATCH(268,РАБОТЫ!$X$2:$X$1058,0),"")</f>
        <v/>
      </c>
      <c r="L289" t="str">
        <f>IFERROR(IF(INDEX(РАБОТЫ!$W$2:$W$1058,MATCH(268+1,РАБОТЫ!$X$2:$X$1058,0))=1,INDEX(РАБОТЫ!$V$2:$V$1058,MATCH(268+1,РАБОТЫ!$X$2:$X$1058,0)),""),"")</f>
        <v/>
      </c>
      <c r="M289" t="str">
        <f t="shared" si="19"/>
        <v/>
      </c>
    </row>
    <row r="290" spans="1:13" hidden="1" x14ac:dyDescent="0.3">
      <c r="A290" t="str">
        <f>IF(ISNUMBER($K290),INDEX(РАБОТЫ!$U$2:$U$1058,$K290),"")</f>
        <v/>
      </c>
      <c r="B290" t="str">
        <f>IF(ISNUMBER($K290),INDEX(РАБОТЫ!$A$2:$A$1058,$K290),"")</f>
        <v/>
      </c>
      <c r="C290" s="4" t="str">
        <f>IF($L290&lt;&gt;"",INDEX(РАБОТЫ!$Z$2:$Z$1058,MATCH($L290,РАБОТЫ!$V$2:$V$1058,0)),IF(ISNUMBER($K290),INDEX(РАБОТЫ!$Y$2:$Y$1058,$K290),""))</f>
        <v/>
      </c>
      <c r="D290" t="str">
        <f>IF(ISNUMBER($K290),INDEX(РАБОТЫ!$E$2:$E$1058,$K290),"")</f>
        <v/>
      </c>
      <c r="E290" t="str">
        <f>IF(ISNUMBER($K290),INDEX(РАБОТЫ!$M$2:$M$1058,$K290),"")</f>
        <v/>
      </c>
      <c r="F290" s="7" t="str">
        <f>IF(ISNUMBER($K290),INDEX(РАБОТЫ!$S$2:$S$1058,$K290),"")</f>
        <v/>
      </c>
      <c r="G290" s="7" t="str">
        <f>IF(ISNUMBER($K290),INDEX(РАБОТЫ!$T$2:$T$1058,$K290),"")</f>
        <v/>
      </c>
      <c r="H290" s="7" t="str">
        <f t="shared" si="16"/>
        <v/>
      </c>
      <c r="I290" s="7" t="str">
        <f t="shared" si="17"/>
        <v/>
      </c>
      <c r="J290" s="7" t="str">
        <f t="shared" si="18"/>
        <v/>
      </c>
      <c r="K290" t="str">
        <f>IFERROR(MATCH(269,РАБОТЫ!$X$2:$X$1058,0),"")</f>
        <v/>
      </c>
      <c r="L290" t="str">
        <f>IFERROR(IF(INDEX(РАБОТЫ!$W$2:$W$1058,MATCH(269+1,РАБОТЫ!$X$2:$X$1058,0))=1,INDEX(РАБОТЫ!$V$2:$V$1058,MATCH(269+1,РАБОТЫ!$X$2:$X$1058,0)),""),"")</f>
        <v/>
      </c>
      <c r="M290" t="str">
        <f t="shared" si="19"/>
        <v/>
      </c>
    </row>
    <row r="291" spans="1:13" hidden="1" x14ac:dyDescent="0.3">
      <c r="A291" t="str">
        <f>IF(ISNUMBER($K291),INDEX(РАБОТЫ!$U$2:$U$1058,$K291),"")</f>
        <v/>
      </c>
      <c r="B291" t="str">
        <f>IF(ISNUMBER($K291),INDEX(РАБОТЫ!$A$2:$A$1058,$K291),"")</f>
        <v/>
      </c>
      <c r="C291" s="4" t="str">
        <f>IF($L291&lt;&gt;"",INDEX(РАБОТЫ!$Z$2:$Z$1058,MATCH($L291,РАБОТЫ!$V$2:$V$1058,0)),IF(ISNUMBER($K291),INDEX(РАБОТЫ!$Y$2:$Y$1058,$K291),""))</f>
        <v/>
      </c>
      <c r="D291" t="str">
        <f>IF(ISNUMBER($K291),INDEX(РАБОТЫ!$E$2:$E$1058,$K291),"")</f>
        <v/>
      </c>
      <c r="E291" t="str">
        <f>IF(ISNUMBER($K291),INDEX(РАБОТЫ!$M$2:$M$1058,$K291),"")</f>
        <v/>
      </c>
      <c r="F291" s="7" t="str">
        <f>IF(ISNUMBER($K291),INDEX(РАБОТЫ!$S$2:$S$1058,$K291),"")</f>
        <v/>
      </c>
      <c r="G291" s="7" t="str">
        <f>IF(ISNUMBER($K291),INDEX(РАБОТЫ!$T$2:$T$1058,$K291),"")</f>
        <v/>
      </c>
      <c r="H291" s="7" t="str">
        <f t="shared" si="16"/>
        <v/>
      </c>
      <c r="I291" s="7" t="str">
        <f t="shared" si="17"/>
        <v/>
      </c>
      <c r="J291" s="7" t="str">
        <f t="shared" si="18"/>
        <v/>
      </c>
      <c r="K291" t="str">
        <f>IFERROR(MATCH(270,РАБОТЫ!$X$2:$X$1058,0),"")</f>
        <v/>
      </c>
      <c r="L291" t="str">
        <f>IFERROR(IF(INDEX(РАБОТЫ!$W$2:$W$1058,MATCH(270+1,РАБОТЫ!$X$2:$X$1058,0))=1,INDEX(РАБОТЫ!$V$2:$V$1058,MATCH(270+1,РАБОТЫ!$X$2:$X$1058,0)),""),"")</f>
        <v/>
      </c>
      <c r="M291" t="str">
        <f t="shared" si="19"/>
        <v/>
      </c>
    </row>
    <row r="292" spans="1:13" hidden="1" x14ac:dyDescent="0.3">
      <c r="A292" t="str">
        <f>IF(ISNUMBER($K292),INDEX(РАБОТЫ!$U$2:$U$1058,$K292),"")</f>
        <v/>
      </c>
      <c r="B292" t="str">
        <f>IF(ISNUMBER($K292),INDEX(РАБОТЫ!$A$2:$A$1058,$K292),"")</f>
        <v/>
      </c>
      <c r="C292" s="4" t="str">
        <f>IF($L292&lt;&gt;"",INDEX(РАБОТЫ!$Z$2:$Z$1058,MATCH($L292,РАБОТЫ!$V$2:$V$1058,0)),IF(ISNUMBER($K292),INDEX(РАБОТЫ!$Y$2:$Y$1058,$K292),""))</f>
        <v/>
      </c>
      <c r="D292" t="str">
        <f>IF(ISNUMBER($K292),INDEX(РАБОТЫ!$E$2:$E$1058,$K292),"")</f>
        <v/>
      </c>
      <c r="E292" t="str">
        <f>IF(ISNUMBER($K292),INDEX(РАБОТЫ!$M$2:$M$1058,$K292),"")</f>
        <v/>
      </c>
      <c r="F292" s="7" t="str">
        <f>IF(ISNUMBER($K292),INDEX(РАБОТЫ!$S$2:$S$1058,$K292),"")</f>
        <v/>
      </c>
      <c r="G292" s="7" t="str">
        <f>IF(ISNUMBER($K292),INDEX(РАБОТЫ!$T$2:$T$1058,$K292),"")</f>
        <v/>
      </c>
      <c r="H292" s="7" t="str">
        <f t="shared" si="16"/>
        <v/>
      </c>
      <c r="I292" s="7" t="str">
        <f t="shared" si="17"/>
        <v/>
      </c>
      <c r="J292" s="7" t="str">
        <f t="shared" si="18"/>
        <v/>
      </c>
      <c r="K292" t="str">
        <f>IFERROR(MATCH(271,РАБОТЫ!$X$2:$X$1058,0),"")</f>
        <v/>
      </c>
      <c r="L292" t="str">
        <f>IFERROR(IF(INDEX(РАБОТЫ!$W$2:$W$1058,MATCH(271+1,РАБОТЫ!$X$2:$X$1058,0))=1,INDEX(РАБОТЫ!$V$2:$V$1058,MATCH(271+1,РАБОТЫ!$X$2:$X$1058,0)),""),"")</f>
        <v/>
      </c>
      <c r="M292" t="str">
        <f t="shared" si="19"/>
        <v/>
      </c>
    </row>
    <row r="293" spans="1:13" hidden="1" x14ac:dyDescent="0.3">
      <c r="A293" t="str">
        <f>IF(ISNUMBER($K293),INDEX(РАБОТЫ!$U$2:$U$1058,$K293),"")</f>
        <v/>
      </c>
      <c r="B293" t="str">
        <f>IF(ISNUMBER($K293),INDEX(РАБОТЫ!$A$2:$A$1058,$K293),"")</f>
        <v/>
      </c>
      <c r="C293" s="4" t="str">
        <f>IF($L293&lt;&gt;"",INDEX(РАБОТЫ!$Z$2:$Z$1058,MATCH($L293,РАБОТЫ!$V$2:$V$1058,0)),IF(ISNUMBER($K293),INDEX(РАБОТЫ!$Y$2:$Y$1058,$K293),""))</f>
        <v/>
      </c>
      <c r="D293" t="str">
        <f>IF(ISNUMBER($K293),INDEX(РАБОТЫ!$E$2:$E$1058,$K293),"")</f>
        <v/>
      </c>
      <c r="E293" t="str">
        <f>IF(ISNUMBER($K293),INDEX(РАБОТЫ!$M$2:$M$1058,$K293),"")</f>
        <v/>
      </c>
      <c r="F293" s="7" t="str">
        <f>IF(ISNUMBER($K293),INDEX(РАБОТЫ!$S$2:$S$1058,$K293),"")</f>
        <v/>
      </c>
      <c r="G293" s="7" t="str">
        <f>IF(ISNUMBER($K293),INDEX(РАБОТЫ!$T$2:$T$1058,$K293),"")</f>
        <v/>
      </c>
      <c r="H293" s="7" t="str">
        <f t="shared" si="16"/>
        <v/>
      </c>
      <c r="I293" s="7" t="str">
        <f t="shared" si="17"/>
        <v/>
      </c>
      <c r="J293" s="7" t="str">
        <f t="shared" si="18"/>
        <v/>
      </c>
      <c r="K293" t="str">
        <f>IFERROR(MATCH(272,РАБОТЫ!$X$2:$X$1058,0),"")</f>
        <v/>
      </c>
      <c r="L293" t="str">
        <f>IFERROR(IF(INDEX(РАБОТЫ!$W$2:$W$1058,MATCH(272+1,РАБОТЫ!$X$2:$X$1058,0))=1,INDEX(РАБОТЫ!$V$2:$V$1058,MATCH(272+1,РАБОТЫ!$X$2:$X$1058,0)),""),"")</f>
        <v/>
      </c>
      <c r="M293" t="str">
        <f t="shared" si="19"/>
        <v/>
      </c>
    </row>
    <row r="294" spans="1:13" hidden="1" x14ac:dyDescent="0.3">
      <c r="A294" t="str">
        <f>IF(ISNUMBER($K294),INDEX(РАБОТЫ!$U$2:$U$1058,$K294),"")</f>
        <v/>
      </c>
      <c r="B294" t="str">
        <f>IF(ISNUMBER($K294),INDEX(РАБОТЫ!$A$2:$A$1058,$K294),"")</f>
        <v/>
      </c>
      <c r="C294" s="4" t="str">
        <f>IF($L294&lt;&gt;"",INDEX(РАБОТЫ!$Z$2:$Z$1058,MATCH($L294,РАБОТЫ!$V$2:$V$1058,0)),IF(ISNUMBER($K294),INDEX(РАБОТЫ!$Y$2:$Y$1058,$K294),""))</f>
        <v/>
      </c>
      <c r="D294" t="str">
        <f>IF(ISNUMBER($K294),INDEX(РАБОТЫ!$E$2:$E$1058,$K294),"")</f>
        <v/>
      </c>
      <c r="E294" t="str">
        <f>IF(ISNUMBER($K294),INDEX(РАБОТЫ!$M$2:$M$1058,$K294),"")</f>
        <v/>
      </c>
      <c r="F294" s="7" t="str">
        <f>IF(ISNUMBER($K294),INDEX(РАБОТЫ!$S$2:$S$1058,$K294),"")</f>
        <v/>
      </c>
      <c r="G294" s="7" t="str">
        <f>IF(ISNUMBER($K294),INDEX(РАБОТЫ!$T$2:$T$1058,$K294),"")</f>
        <v/>
      </c>
      <c r="H294" s="7" t="str">
        <f t="shared" si="16"/>
        <v/>
      </c>
      <c r="I294" s="7" t="str">
        <f t="shared" si="17"/>
        <v/>
      </c>
      <c r="J294" s="7" t="str">
        <f t="shared" si="18"/>
        <v/>
      </c>
      <c r="K294" t="str">
        <f>IFERROR(MATCH(273,РАБОТЫ!$X$2:$X$1058,0),"")</f>
        <v/>
      </c>
      <c r="L294" t="str">
        <f>IFERROR(IF(INDEX(РАБОТЫ!$W$2:$W$1058,MATCH(273+1,РАБОТЫ!$X$2:$X$1058,0))=1,INDEX(РАБОТЫ!$V$2:$V$1058,MATCH(273+1,РАБОТЫ!$X$2:$X$1058,0)),""),"")</f>
        <v/>
      </c>
      <c r="M294" t="str">
        <f t="shared" si="19"/>
        <v/>
      </c>
    </row>
    <row r="295" spans="1:13" hidden="1" x14ac:dyDescent="0.3">
      <c r="A295" t="str">
        <f>IF(ISNUMBER($K295),INDEX(РАБОТЫ!$U$2:$U$1058,$K295),"")</f>
        <v/>
      </c>
      <c r="B295" t="str">
        <f>IF(ISNUMBER($K295),INDEX(РАБОТЫ!$A$2:$A$1058,$K295),"")</f>
        <v/>
      </c>
      <c r="C295" s="4" t="str">
        <f>IF($L295&lt;&gt;"",INDEX(РАБОТЫ!$Z$2:$Z$1058,MATCH($L295,РАБОТЫ!$V$2:$V$1058,0)),IF(ISNUMBER($K295),INDEX(РАБОТЫ!$Y$2:$Y$1058,$K295),""))</f>
        <v/>
      </c>
      <c r="D295" t="str">
        <f>IF(ISNUMBER($K295),INDEX(РАБОТЫ!$E$2:$E$1058,$K295),"")</f>
        <v/>
      </c>
      <c r="E295" t="str">
        <f>IF(ISNUMBER($K295),INDEX(РАБОТЫ!$M$2:$M$1058,$K295),"")</f>
        <v/>
      </c>
      <c r="F295" s="7" t="str">
        <f>IF(ISNUMBER($K295),INDEX(РАБОТЫ!$S$2:$S$1058,$K295),"")</f>
        <v/>
      </c>
      <c r="G295" s="7" t="str">
        <f>IF(ISNUMBER($K295),INDEX(РАБОТЫ!$T$2:$T$1058,$K295),"")</f>
        <v/>
      </c>
      <c r="H295" s="7" t="str">
        <f t="shared" si="16"/>
        <v/>
      </c>
      <c r="I295" s="7" t="str">
        <f t="shared" si="17"/>
        <v/>
      </c>
      <c r="J295" s="7" t="str">
        <f t="shared" si="18"/>
        <v/>
      </c>
      <c r="K295" t="str">
        <f>IFERROR(MATCH(274,РАБОТЫ!$X$2:$X$1058,0),"")</f>
        <v/>
      </c>
      <c r="L295" t="str">
        <f>IFERROR(IF(INDEX(РАБОТЫ!$W$2:$W$1058,MATCH(274+1,РАБОТЫ!$X$2:$X$1058,0))=1,INDEX(РАБОТЫ!$V$2:$V$1058,MATCH(274+1,РАБОТЫ!$X$2:$X$1058,0)),""),"")</f>
        <v/>
      </c>
      <c r="M295" t="str">
        <f t="shared" si="19"/>
        <v/>
      </c>
    </row>
    <row r="296" spans="1:13" hidden="1" x14ac:dyDescent="0.3">
      <c r="A296" t="str">
        <f>IF(ISNUMBER($K296),INDEX(РАБОТЫ!$U$2:$U$1058,$K296),"")</f>
        <v/>
      </c>
      <c r="B296" t="str">
        <f>IF(ISNUMBER($K296),INDEX(РАБОТЫ!$A$2:$A$1058,$K296),"")</f>
        <v/>
      </c>
      <c r="C296" s="4" t="str">
        <f>IF($L296&lt;&gt;"",INDEX(РАБОТЫ!$Z$2:$Z$1058,MATCH($L296,РАБОТЫ!$V$2:$V$1058,0)),IF(ISNUMBER($K296),INDEX(РАБОТЫ!$Y$2:$Y$1058,$K296),""))</f>
        <v/>
      </c>
      <c r="D296" t="str">
        <f>IF(ISNUMBER($K296),INDEX(РАБОТЫ!$E$2:$E$1058,$K296),"")</f>
        <v/>
      </c>
      <c r="E296" t="str">
        <f>IF(ISNUMBER($K296),INDEX(РАБОТЫ!$M$2:$M$1058,$K296),"")</f>
        <v/>
      </c>
      <c r="F296" s="7" t="str">
        <f>IF(ISNUMBER($K296),INDEX(РАБОТЫ!$S$2:$S$1058,$K296),"")</f>
        <v/>
      </c>
      <c r="G296" s="7" t="str">
        <f>IF(ISNUMBER($K296),INDEX(РАБОТЫ!$T$2:$T$1058,$K296),"")</f>
        <v/>
      </c>
      <c r="H296" s="7" t="str">
        <f t="shared" si="16"/>
        <v/>
      </c>
      <c r="I296" s="7" t="str">
        <f t="shared" si="17"/>
        <v/>
      </c>
      <c r="J296" s="7" t="str">
        <f t="shared" si="18"/>
        <v/>
      </c>
      <c r="K296" t="str">
        <f>IFERROR(MATCH(275,РАБОТЫ!$X$2:$X$1058,0),"")</f>
        <v/>
      </c>
      <c r="L296" t="str">
        <f>IFERROR(IF(INDEX(РАБОТЫ!$W$2:$W$1058,MATCH(275+1,РАБОТЫ!$X$2:$X$1058,0))=1,INDEX(РАБОТЫ!$V$2:$V$1058,MATCH(275+1,РАБОТЫ!$X$2:$X$1058,0)),""),"")</f>
        <v/>
      </c>
      <c r="M296" t="str">
        <f t="shared" si="19"/>
        <v/>
      </c>
    </row>
    <row r="297" spans="1:13" hidden="1" x14ac:dyDescent="0.3">
      <c r="A297" t="str">
        <f>IF(ISNUMBER($K297),INDEX(РАБОТЫ!$U$2:$U$1058,$K297),"")</f>
        <v/>
      </c>
      <c r="B297" t="str">
        <f>IF(ISNUMBER($K297),INDEX(РАБОТЫ!$A$2:$A$1058,$K297),"")</f>
        <v/>
      </c>
      <c r="C297" s="4" t="str">
        <f>IF($L297&lt;&gt;"",INDEX(РАБОТЫ!$Z$2:$Z$1058,MATCH($L297,РАБОТЫ!$V$2:$V$1058,0)),IF(ISNUMBER($K297),INDEX(РАБОТЫ!$Y$2:$Y$1058,$K297),""))</f>
        <v/>
      </c>
      <c r="D297" t="str">
        <f>IF(ISNUMBER($K297),INDEX(РАБОТЫ!$E$2:$E$1058,$K297),"")</f>
        <v/>
      </c>
      <c r="E297" t="str">
        <f>IF(ISNUMBER($K297),INDEX(РАБОТЫ!$M$2:$M$1058,$K297),"")</f>
        <v/>
      </c>
      <c r="F297" s="7" t="str">
        <f>IF(ISNUMBER($K297),INDEX(РАБОТЫ!$S$2:$S$1058,$K297),"")</f>
        <v/>
      </c>
      <c r="G297" s="7" t="str">
        <f>IF(ISNUMBER($K297),INDEX(РАБОТЫ!$T$2:$T$1058,$K297),"")</f>
        <v/>
      </c>
      <c r="H297" s="7" t="str">
        <f t="shared" si="16"/>
        <v/>
      </c>
      <c r="I297" s="7" t="str">
        <f t="shared" si="17"/>
        <v/>
      </c>
      <c r="J297" s="7" t="str">
        <f t="shared" si="18"/>
        <v/>
      </c>
      <c r="K297" t="str">
        <f>IFERROR(MATCH(276,РАБОТЫ!$X$2:$X$1058,0),"")</f>
        <v/>
      </c>
      <c r="L297" t="str">
        <f>IFERROR(IF(INDEX(РАБОТЫ!$W$2:$W$1058,MATCH(276+1,РАБОТЫ!$X$2:$X$1058,0))=1,INDEX(РАБОТЫ!$V$2:$V$1058,MATCH(276+1,РАБОТЫ!$X$2:$X$1058,0)),""),"")</f>
        <v/>
      </c>
      <c r="M297" t="str">
        <f t="shared" si="19"/>
        <v/>
      </c>
    </row>
    <row r="298" spans="1:13" hidden="1" x14ac:dyDescent="0.3">
      <c r="A298" t="str">
        <f>IF(ISNUMBER($K298),INDEX(РАБОТЫ!$U$2:$U$1058,$K298),"")</f>
        <v/>
      </c>
      <c r="B298" t="str">
        <f>IF(ISNUMBER($K298),INDEX(РАБОТЫ!$A$2:$A$1058,$K298),"")</f>
        <v/>
      </c>
      <c r="C298" s="4" t="str">
        <f>IF($L298&lt;&gt;"",INDEX(РАБОТЫ!$Z$2:$Z$1058,MATCH($L298,РАБОТЫ!$V$2:$V$1058,0)),IF(ISNUMBER($K298),INDEX(РАБОТЫ!$Y$2:$Y$1058,$K298),""))</f>
        <v/>
      </c>
      <c r="D298" t="str">
        <f>IF(ISNUMBER($K298),INDEX(РАБОТЫ!$E$2:$E$1058,$K298),"")</f>
        <v/>
      </c>
      <c r="E298" t="str">
        <f>IF(ISNUMBER($K298),INDEX(РАБОТЫ!$M$2:$M$1058,$K298),"")</f>
        <v/>
      </c>
      <c r="F298" s="7" t="str">
        <f>IF(ISNUMBER($K298),INDEX(РАБОТЫ!$S$2:$S$1058,$K298),"")</f>
        <v/>
      </c>
      <c r="G298" s="7" t="str">
        <f>IF(ISNUMBER($K298),INDEX(РАБОТЫ!$T$2:$T$1058,$K298),"")</f>
        <v/>
      </c>
      <c r="H298" s="7" t="str">
        <f t="shared" si="16"/>
        <v/>
      </c>
      <c r="I298" s="7" t="str">
        <f t="shared" si="17"/>
        <v/>
      </c>
      <c r="J298" s="7" t="str">
        <f t="shared" si="18"/>
        <v/>
      </c>
      <c r="K298" t="str">
        <f>IFERROR(MATCH(277,РАБОТЫ!$X$2:$X$1058,0),"")</f>
        <v/>
      </c>
      <c r="L298" t="str">
        <f>IFERROR(IF(INDEX(РАБОТЫ!$W$2:$W$1058,MATCH(277+1,РАБОТЫ!$X$2:$X$1058,0))=1,INDEX(РАБОТЫ!$V$2:$V$1058,MATCH(277+1,РАБОТЫ!$X$2:$X$1058,0)),""),"")</f>
        <v/>
      </c>
      <c r="M298" t="str">
        <f t="shared" si="19"/>
        <v/>
      </c>
    </row>
    <row r="299" spans="1:13" hidden="1" x14ac:dyDescent="0.3">
      <c r="A299" t="str">
        <f>IF(ISNUMBER($K299),INDEX(РАБОТЫ!$U$2:$U$1058,$K299),"")</f>
        <v/>
      </c>
      <c r="B299" t="str">
        <f>IF(ISNUMBER($K299),INDEX(РАБОТЫ!$A$2:$A$1058,$K299),"")</f>
        <v/>
      </c>
      <c r="C299" s="4" t="str">
        <f>IF($L299&lt;&gt;"",INDEX(РАБОТЫ!$Z$2:$Z$1058,MATCH($L299,РАБОТЫ!$V$2:$V$1058,0)),IF(ISNUMBER($K299),INDEX(РАБОТЫ!$Y$2:$Y$1058,$K299),""))</f>
        <v/>
      </c>
      <c r="D299" t="str">
        <f>IF(ISNUMBER($K299),INDEX(РАБОТЫ!$E$2:$E$1058,$K299),"")</f>
        <v/>
      </c>
      <c r="E299" t="str">
        <f>IF(ISNUMBER($K299),INDEX(РАБОТЫ!$M$2:$M$1058,$K299),"")</f>
        <v/>
      </c>
      <c r="F299" s="7" t="str">
        <f>IF(ISNUMBER($K299),INDEX(РАБОТЫ!$S$2:$S$1058,$K299),"")</f>
        <v/>
      </c>
      <c r="G299" s="7" t="str">
        <f>IF(ISNUMBER($K299),INDEX(РАБОТЫ!$T$2:$T$1058,$K299),"")</f>
        <v/>
      </c>
      <c r="H299" s="7" t="str">
        <f t="shared" si="16"/>
        <v/>
      </c>
      <c r="I299" s="7" t="str">
        <f t="shared" si="17"/>
        <v/>
      </c>
      <c r="J299" s="7" t="str">
        <f t="shared" si="18"/>
        <v/>
      </c>
      <c r="K299" t="str">
        <f>IFERROR(MATCH(278,РАБОТЫ!$X$2:$X$1058,0),"")</f>
        <v/>
      </c>
      <c r="L299" t="str">
        <f>IFERROR(IF(INDEX(РАБОТЫ!$W$2:$W$1058,MATCH(278+1,РАБОТЫ!$X$2:$X$1058,0))=1,INDEX(РАБОТЫ!$V$2:$V$1058,MATCH(278+1,РАБОТЫ!$X$2:$X$1058,0)),""),"")</f>
        <v/>
      </c>
      <c r="M299" t="str">
        <f t="shared" si="19"/>
        <v/>
      </c>
    </row>
    <row r="300" spans="1:13" hidden="1" x14ac:dyDescent="0.3">
      <c r="A300" t="str">
        <f>IF(ISNUMBER($K300),INDEX(РАБОТЫ!$U$2:$U$1058,$K300),"")</f>
        <v/>
      </c>
      <c r="B300" t="str">
        <f>IF(ISNUMBER($K300),INDEX(РАБОТЫ!$A$2:$A$1058,$K300),"")</f>
        <v/>
      </c>
      <c r="C300" s="4" t="str">
        <f>IF($L300&lt;&gt;"",INDEX(РАБОТЫ!$Z$2:$Z$1058,MATCH($L300,РАБОТЫ!$V$2:$V$1058,0)),IF(ISNUMBER($K300),INDEX(РАБОТЫ!$Y$2:$Y$1058,$K300),""))</f>
        <v/>
      </c>
      <c r="D300" t="str">
        <f>IF(ISNUMBER($K300),INDEX(РАБОТЫ!$E$2:$E$1058,$K300),"")</f>
        <v/>
      </c>
      <c r="E300" t="str">
        <f>IF(ISNUMBER($K300),INDEX(РАБОТЫ!$M$2:$M$1058,$K300),"")</f>
        <v/>
      </c>
      <c r="F300" s="7" t="str">
        <f>IF(ISNUMBER($K300),INDEX(РАБОТЫ!$S$2:$S$1058,$K300),"")</f>
        <v/>
      </c>
      <c r="G300" s="7" t="str">
        <f>IF(ISNUMBER($K300),INDEX(РАБОТЫ!$T$2:$T$1058,$K300),"")</f>
        <v/>
      </c>
      <c r="H300" s="7" t="str">
        <f t="shared" si="16"/>
        <v/>
      </c>
      <c r="I300" s="7" t="str">
        <f t="shared" si="17"/>
        <v/>
      </c>
      <c r="J300" s="7" t="str">
        <f t="shared" si="18"/>
        <v/>
      </c>
      <c r="K300" t="str">
        <f>IFERROR(MATCH(279,РАБОТЫ!$X$2:$X$1058,0),"")</f>
        <v/>
      </c>
      <c r="L300" t="str">
        <f>IFERROR(IF(INDEX(РАБОТЫ!$W$2:$W$1058,MATCH(279+1,РАБОТЫ!$X$2:$X$1058,0))=1,INDEX(РАБОТЫ!$V$2:$V$1058,MATCH(279+1,РАБОТЫ!$X$2:$X$1058,0)),""),"")</f>
        <v/>
      </c>
      <c r="M300" t="str">
        <f t="shared" si="19"/>
        <v/>
      </c>
    </row>
    <row r="301" spans="1:13" hidden="1" x14ac:dyDescent="0.3">
      <c r="A301" t="str">
        <f>IF(ISNUMBER($K301),INDEX(РАБОТЫ!$U$2:$U$1058,$K301),"")</f>
        <v/>
      </c>
      <c r="B301" t="str">
        <f>IF(ISNUMBER($K301),INDEX(РАБОТЫ!$A$2:$A$1058,$K301),"")</f>
        <v/>
      </c>
      <c r="C301" s="4" t="str">
        <f>IF($L301&lt;&gt;"",INDEX(РАБОТЫ!$Z$2:$Z$1058,MATCH($L301,РАБОТЫ!$V$2:$V$1058,0)),IF(ISNUMBER($K301),INDEX(РАБОТЫ!$Y$2:$Y$1058,$K301),""))</f>
        <v/>
      </c>
      <c r="D301" t="str">
        <f>IF(ISNUMBER($K301),INDEX(РАБОТЫ!$E$2:$E$1058,$K301),"")</f>
        <v/>
      </c>
      <c r="E301" t="str">
        <f>IF(ISNUMBER($K301),INDEX(РАБОТЫ!$M$2:$M$1058,$K301),"")</f>
        <v/>
      </c>
      <c r="F301" s="7" t="str">
        <f>IF(ISNUMBER($K301),INDEX(РАБОТЫ!$S$2:$S$1058,$K301),"")</f>
        <v/>
      </c>
      <c r="G301" s="7" t="str">
        <f>IF(ISNUMBER($K301),INDEX(РАБОТЫ!$T$2:$T$1058,$K301),"")</f>
        <v/>
      </c>
      <c r="H301" s="7" t="str">
        <f t="shared" si="16"/>
        <v/>
      </c>
      <c r="I301" s="7" t="str">
        <f t="shared" si="17"/>
        <v/>
      </c>
      <c r="J301" s="7" t="str">
        <f t="shared" si="18"/>
        <v/>
      </c>
      <c r="K301" t="str">
        <f>IFERROR(MATCH(280,РАБОТЫ!$X$2:$X$1058,0),"")</f>
        <v/>
      </c>
      <c r="L301" t="str">
        <f>IFERROR(IF(INDEX(РАБОТЫ!$W$2:$W$1058,MATCH(280+1,РАБОТЫ!$X$2:$X$1058,0))=1,INDEX(РАБОТЫ!$V$2:$V$1058,MATCH(280+1,РАБОТЫ!$X$2:$X$1058,0)),""),"")</f>
        <v/>
      </c>
      <c r="M301" t="str">
        <f t="shared" si="19"/>
        <v/>
      </c>
    </row>
    <row r="302" spans="1:13" hidden="1" x14ac:dyDescent="0.3">
      <c r="A302" t="str">
        <f>IF(ISNUMBER($K302),INDEX(РАБОТЫ!$U$2:$U$1058,$K302),"")</f>
        <v/>
      </c>
      <c r="B302" t="str">
        <f>IF(ISNUMBER($K302),INDEX(РАБОТЫ!$A$2:$A$1058,$K302),"")</f>
        <v/>
      </c>
      <c r="C302" s="4" t="str">
        <f>IF($L302&lt;&gt;"",INDEX(РАБОТЫ!$Z$2:$Z$1058,MATCH($L302,РАБОТЫ!$V$2:$V$1058,0)),IF(ISNUMBER($K302),INDEX(РАБОТЫ!$Y$2:$Y$1058,$K302),""))</f>
        <v/>
      </c>
      <c r="D302" t="str">
        <f>IF(ISNUMBER($K302),INDEX(РАБОТЫ!$E$2:$E$1058,$K302),"")</f>
        <v/>
      </c>
      <c r="E302" t="str">
        <f>IF(ISNUMBER($K302),INDEX(РАБОТЫ!$M$2:$M$1058,$K302),"")</f>
        <v/>
      </c>
      <c r="F302" s="7" t="str">
        <f>IF(ISNUMBER($K302),INDEX(РАБОТЫ!$S$2:$S$1058,$K302),"")</f>
        <v/>
      </c>
      <c r="G302" s="7" t="str">
        <f>IF(ISNUMBER($K302),INDEX(РАБОТЫ!$T$2:$T$1058,$K302),"")</f>
        <v/>
      </c>
      <c r="H302" s="7" t="str">
        <f t="shared" si="16"/>
        <v/>
      </c>
      <c r="I302" s="7" t="str">
        <f t="shared" si="17"/>
        <v/>
      </c>
      <c r="J302" s="7" t="str">
        <f t="shared" si="18"/>
        <v/>
      </c>
      <c r="K302" t="str">
        <f>IFERROR(MATCH(281,РАБОТЫ!$X$2:$X$1058,0),"")</f>
        <v/>
      </c>
      <c r="L302" t="str">
        <f>IFERROR(IF(INDEX(РАБОТЫ!$W$2:$W$1058,MATCH(281+1,РАБОТЫ!$X$2:$X$1058,0))=1,INDEX(РАБОТЫ!$V$2:$V$1058,MATCH(281+1,РАБОТЫ!$X$2:$X$1058,0)),""),"")</f>
        <v/>
      </c>
      <c r="M302" t="str">
        <f t="shared" si="19"/>
        <v/>
      </c>
    </row>
    <row r="303" spans="1:13" hidden="1" x14ac:dyDescent="0.3">
      <c r="A303" t="str">
        <f>IF(ISNUMBER($K303),INDEX(РАБОТЫ!$U$2:$U$1058,$K303),"")</f>
        <v/>
      </c>
      <c r="B303" t="str">
        <f>IF(ISNUMBER($K303),INDEX(РАБОТЫ!$A$2:$A$1058,$K303),"")</f>
        <v/>
      </c>
      <c r="C303" s="4" t="str">
        <f>IF($L303&lt;&gt;"",INDEX(РАБОТЫ!$Z$2:$Z$1058,MATCH($L303,РАБОТЫ!$V$2:$V$1058,0)),IF(ISNUMBER($K303),INDEX(РАБОТЫ!$Y$2:$Y$1058,$K303),""))</f>
        <v/>
      </c>
      <c r="D303" t="str">
        <f>IF(ISNUMBER($K303),INDEX(РАБОТЫ!$E$2:$E$1058,$K303),"")</f>
        <v/>
      </c>
      <c r="E303" t="str">
        <f>IF(ISNUMBER($K303),INDEX(РАБОТЫ!$M$2:$M$1058,$K303),"")</f>
        <v/>
      </c>
      <c r="F303" s="7" t="str">
        <f>IF(ISNUMBER($K303),INDEX(РАБОТЫ!$S$2:$S$1058,$K303),"")</f>
        <v/>
      </c>
      <c r="G303" s="7" t="str">
        <f>IF(ISNUMBER($K303),INDEX(РАБОТЫ!$T$2:$T$1058,$K303),"")</f>
        <v/>
      </c>
      <c r="H303" s="7" t="str">
        <f t="shared" si="16"/>
        <v/>
      </c>
      <c r="I303" s="7" t="str">
        <f t="shared" si="17"/>
        <v/>
      </c>
      <c r="J303" s="7" t="str">
        <f t="shared" si="18"/>
        <v/>
      </c>
      <c r="K303" t="str">
        <f>IFERROR(MATCH(282,РАБОТЫ!$X$2:$X$1058,0),"")</f>
        <v/>
      </c>
      <c r="L303" t="str">
        <f>IFERROR(IF(INDEX(РАБОТЫ!$W$2:$W$1058,MATCH(282+1,РАБОТЫ!$X$2:$X$1058,0))=1,INDEX(РАБОТЫ!$V$2:$V$1058,MATCH(282+1,РАБОТЫ!$X$2:$X$1058,0)),""),"")</f>
        <v/>
      </c>
      <c r="M303" t="str">
        <f t="shared" si="19"/>
        <v/>
      </c>
    </row>
    <row r="304" spans="1:13" hidden="1" x14ac:dyDescent="0.3">
      <c r="A304" t="str">
        <f>IF(ISNUMBER($K304),INDEX(РАБОТЫ!$U$2:$U$1058,$K304),"")</f>
        <v/>
      </c>
      <c r="B304" t="str">
        <f>IF(ISNUMBER($K304),INDEX(РАБОТЫ!$A$2:$A$1058,$K304),"")</f>
        <v/>
      </c>
      <c r="C304" s="4" t="str">
        <f>IF($L304&lt;&gt;"",INDEX(РАБОТЫ!$Z$2:$Z$1058,MATCH($L304,РАБОТЫ!$V$2:$V$1058,0)),IF(ISNUMBER($K304),INDEX(РАБОТЫ!$Y$2:$Y$1058,$K304),""))</f>
        <v/>
      </c>
      <c r="D304" t="str">
        <f>IF(ISNUMBER($K304),INDEX(РАБОТЫ!$E$2:$E$1058,$K304),"")</f>
        <v/>
      </c>
      <c r="E304" t="str">
        <f>IF(ISNUMBER($K304),INDEX(РАБОТЫ!$M$2:$M$1058,$K304),"")</f>
        <v/>
      </c>
      <c r="F304" s="7" t="str">
        <f>IF(ISNUMBER($K304),INDEX(РАБОТЫ!$S$2:$S$1058,$K304),"")</f>
        <v/>
      </c>
      <c r="G304" s="7" t="str">
        <f>IF(ISNUMBER($K304),INDEX(РАБОТЫ!$T$2:$T$1058,$K304),"")</f>
        <v/>
      </c>
      <c r="H304" s="7" t="str">
        <f t="shared" si="16"/>
        <v/>
      </c>
      <c r="I304" s="7" t="str">
        <f t="shared" si="17"/>
        <v/>
      </c>
      <c r="J304" s="7" t="str">
        <f t="shared" si="18"/>
        <v/>
      </c>
      <c r="K304" t="str">
        <f>IFERROR(MATCH(283,РАБОТЫ!$X$2:$X$1058,0),"")</f>
        <v/>
      </c>
      <c r="L304" t="str">
        <f>IFERROR(IF(INDEX(РАБОТЫ!$W$2:$W$1058,MATCH(283+1,РАБОТЫ!$X$2:$X$1058,0))=1,INDEX(РАБОТЫ!$V$2:$V$1058,MATCH(283+1,РАБОТЫ!$X$2:$X$1058,0)),""),"")</f>
        <v/>
      </c>
      <c r="M304" t="str">
        <f t="shared" si="19"/>
        <v/>
      </c>
    </row>
    <row r="305" spans="1:13" hidden="1" x14ac:dyDescent="0.3">
      <c r="A305" t="str">
        <f>IF(ISNUMBER($K305),INDEX(РАБОТЫ!$U$2:$U$1058,$K305),"")</f>
        <v/>
      </c>
      <c r="B305" t="str">
        <f>IF(ISNUMBER($K305),INDEX(РАБОТЫ!$A$2:$A$1058,$K305),"")</f>
        <v/>
      </c>
      <c r="C305" s="4" t="str">
        <f>IF($L305&lt;&gt;"",INDEX(РАБОТЫ!$Z$2:$Z$1058,MATCH($L305,РАБОТЫ!$V$2:$V$1058,0)),IF(ISNUMBER($K305),INDEX(РАБОТЫ!$Y$2:$Y$1058,$K305),""))</f>
        <v/>
      </c>
      <c r="D305" t="str">
        <f>IF(ISNUMBER($K305),INDEX(РАБОТЫ!$E$2:$E$1058,$K305),"")</f>
        <v/>
      </c>
      <c r="E305" t="str">
        <f>IF(ISNUMBER($K305),INDEX(РАБОТЫ!$M$2:$M$1058,$K305),"")</f>
        <v/>
      </c>
      <c r="F305" s="7" t="str">
        <f>IF(ISNUMBER($K305),INDEX(РАБОТЫ!$S$2:$S$1058,$K305),"")</f>
        <v/>
      </c>
      <c r="G305" s="7" t="str">
        <f>IF(ISNUMBER($K305),INDEX(РАБОТЫ!$T$2:$T$1058,$K305),"")</f>
        <v/>
      </c>
      <c r="H305" s="7" t="str">
        <f t="shared" si="16"/>
        <v/>
      </c>
      <c r="I305" s="7" t="str">
        <f t="shared" si="17"/>
        <v/>
      </c>
      <c r="J305" s="7" t="str">
        <f t="shared" si="18"/>
        <v/>
      </c>
      <c r="K305" t="str">
        <f>IFERROR(MATCH(284,РАБОТЫ!$X$2:$X$1058,0),"")</f>
        <v/>
      </c>
      <c r="L305" t="str">
        <f>IFERROR(IF(INDEX(РАБОТЫ!$W$2:$W$1058,MATCH(284+1,РАБОТЫ!$X$2:$X$1058,0))=1,INDEX(РАБОТЫ!$V$2:$V$1058,MATCH(284+1,РАБОТЫ!$X$2:$X$1058,0)),""),"")</f>
        <v/>
      </c>
      <c r="M305" t="str">
        <f t="shared" si="19"/>
        <v/>
      </c>
    </row>
    <row r="306" spans="1:13" hidden="1" x14ac:dyDescent="0.3">
      <c r="A306" t="str">
        <f>IF(ISNUMBER($K306),INDEX(РАБОТЫ!$U$2:$U$1058,$K306),"")</f>
        <v/>
      </c>
      <c r="B306" t="str">
        <f>IF(ISNUMBER($K306),INDEX(РАБОТЫ!$A$2:$A$1058,$K306),"")</f>
        <v/>
      </c>
      <c r="C306" s="4" t="str">
        <f>IF($L306&lt;&gt;"",INDEX(РАБОТЫ!$Z$2:$Z$1058,MATCH($L306,РАБОТЫ!$V$2:$V$1058,0)),IF(ISNUMBER($K306),INDEX(РАБОТЫ!$Y$2:$Y$1058,$K306),""))</f>
        <v/>
      </c>
      <c r="D306" t="str">
        <f>IF(ISNUMBER($K306),INDEX(РАБОТЫ!$E$2:$E$1058,$K306),"")</f>
        <v/>
      </c>
      <c r="E306" t="str">
        <f>IF(ISNUMBER($K306),INDEX(РАБОТЫ!$M$2:$M$1058,$K306),"")</f>
        <v/>
      </c>
      <c r="F306" s="7" t="str">
        <f>IF(ISNUMBER($K306),INDEX(РАБОТЫ!$S$2:$S$1058,$K306),"")</f>
        <v/>
      </c>
      <c r="G306" s="7" t="str">
        <f>IF(ISNUMBER($K306),INDEX(РАБОТЫ!$T$2:$T$1058,$K306),"")</f>
        <v/>
      </c>
      <c r="H306" s="7" t="str">
        <f t="shared" si="16"/>
        <v/>
      </c>
      <c r="I306" s="7" t="str">
        <f t="shared" si="17"/>
        <v/>
      </c>
      <c r="J306" s="7" t="str">
        <f t="shared" si="18"/>
        <v/>
      </c>
      <c r="K306" t="str">
        <f>IFERROR(MATCH(285,РАБОТЫ!$X$2:$X$1058,0),"")</f>
        <v/>
      </c>
      <c r="L306" t="str">
        <f>IFERROR(IF(INDEX(РАБОТЫ!$W$2:$W$1058,MATCH(285+1,РАБОТЫ!$X$2:$X$1058,0))=1,INDEX(РАБОТЫ!$V$2:$V$1058,MATCH(285+1,РАБОТЫ!$X$2:$X$1058,0)),""),"")</f>
        <v/>
      </c>
      <c r="M306" t="str">
        <f t="shared" si="19"/>
        <v/>
      </c>
    </row>
    <row r="307" spans="1:13" hidden="1" x14ac:dyDescent="0.3">
      <c r="A307" t="str">
        <f>IF(ISNUMBER($K307),INDEX(РАБОТЫ!$U$2:$U$1058,$K307),"")</f>
        <v/>
      </c>
      <c r="B307" t="str">
        <f>IF(ISNUMBER($K307),INDEX(РАБОТЫ!$A$2:$A$1058,$K307),"")</f>
        <v/>
      </c>
      <c r="C307" s="4" t="str">
        <f>IF($L307&lt;&gt;"",INDEX(РАБОТЫ!$Z$2:$Z$1058,MATCH($L307,РАБОТЫ!$V$2:$V$1058,0)),IF(ISNUMBER($K307),INDEX(РАБОТЫ!$Y$2:$Y$1058,$K307),""))</f>
        <v/>
      </c>
      <c r="D307" t="str">
        <f>IF(ISNUMBER($K307),INDEX(РАБОТЫ!$E$2:$E$1058,$K307),"")</f>
        <v/>
      </c>
      <c r="E307" t="str">
        <f>IF(ISNUMBER($K307),INDEX(РАБОТЫ!$M$2:$M$1058,$K307),"")</f>
        <v/>
      </c>
      <c r="F307" s="7" t="str">
        <f>IF(ISNUMBER($K307),INDEX(РАБОТЫ!$S$2:$S$1058,$K307),"")</f>
        <v/>
      </c>
      <c r="G307" s="7" t="str">
        <f>IF(ISNUMBER($K307),INDEX(РАБОТЫ!$T$2:$T$1058,$K307),"")</f>
        <v/>
      </c>
      <c r="H307" s="7" t="str">
        <f t="shared" si="16"/>
        <v/>
      </c>
      <c r="I307" s="7" t="str">
        <f t="shared" si="17"/>
        <v/>
      </c>
      <c r="J307" s="7" t="str">
        <f t="shared" si="18"/>
        <v/>
      </c>
      <c r="K307" t="str">
        <f>IFERROR(MATCH(286,РАБОТЫ!$X$2:$X$1058,0),"")</f>
        <v/>
      </c>
      <c r="L307" t="str">
        <f>IFERROR(IF(INDEX(РАБОТЫ!$W$2:$W$1058,MATCH(286+1,РАБОТЫ!$X$2:$X$1058,0))=1,INDEX(РАБОТЫ!$V$2:$V$1058,MATCH(286+1,РАБОТЫ!$X$2:$X$1058,0)),""),"")</f>
        <v/>
      </c>
      <c r="M307" t="str">
        <f t="shared" si="19"/>
        <v/>
      </c>
    </row>
    <row r="308" spans="1:13" hidden="1" x14ac:dyDescent="0.3">
      <c r="A308" t="str">
        <f>IF(ISNUMBER($K308),INDEX(РАБОТЫ!$U$2:$U$1058,$K308),"")</f>
        <v/>
      </c>
      <c r="B308" t="str">
        <f>IF(ISNUMBER($K308),INDEX(РАБОТЫ!$A$2:$A$1058,$K308),"")</f>
        <v/>
      </c>
      <c r="C308" s="4" t="str">
        <f>IF($L308&lt;&gt;"",INDEX(РАБОТЫ!$Z$2:$Z$1058,MATCH($L308,РАБОТЫ!$V$2:$V$1058,0)),IF(ISNUMBER($K308),INDEX(РАБОТЫ!$Y$2:$Y$1058,$K308),""))</f>
        <v/>
      </c>
      <c r="D308" t="str">
        <f>IF(ISNUMBER($K308),INDEX(РАБОТЫ!$E$2:$E$1058,$K308),"")</f>
        <v/>
      </c>
      <c r="E308" t="str">
        <f>IF(ISNUMBER($K308),INDEX(РАБОТЫ!$M$2:$M$1058,$K308),"")</f>
        <v/>
      </c>
      <c r="F308" s="7" t="str">
        <f>IF(ISNUMBER($K308),INDEX(РАБОТЫ!$S$2:$S$1058,$K308),"")</f>
        <v/>
      </c>
      <c r="G308" s="7" t="str">
        <f>IF(ISNUMBER($K308),INDEX(РАБОТЫ!$T$2:$T$1058,$K308),"")</f>
        <v/>
      </c>
      <c r="H308" s="7" t="str">
        <f t="shared" si="16"/>
        <v/>
      </c>
      <c r="I308" s="7" t="str">
        <f t="shared" si="17"/>
        <v/>
      </c>
      <c r="J308" s="7" t="str">
        <f t="shared" si="18"/>
        <v/>
      </c>
      <c r="K308" t="str">
        <f>IFERROR(MATCH(287,РАБОТЫ!$X$2:$X$1058,0),"")</f>
        <v/>
      </c>
      <c r="L308" t="str">
        <f>IFERROR(IF(INDEX(РАБОТЫ!$W$2:$W$1058,MATCH(287+1,РАБОТЫ!$X$2:$X$1058,0))=1,INDEX(РАБОТЫ!$V$2:$V$1058,MATCH(287+1,РАБОТЫ!$X$2:$X$1058,0)),""),"")</f>
        <v/>
      </c>
      <c r="M308" t="str">
        <f t="shared" si="19"/>
        <v/>
      </c>
    </row>
    <row r="309" spans="1:13" hidden="1" x14ac:dyDescent="0.3">
      <c r="A309" t="str">
        <f>IF(ISNUMBER($K309),INDEX(РАБОТЫ!$U$2:$U$1058,$K309),"")</f>
        <v/>
      </c>
      <c r="B309" t="str">
        <f>IF(ISNUMBER($K309),INDEX(РАБОТЫ!$A$2:$A$1058,$K309),"")</f>
        <v/>
      </c>
      <c r="C309" s="4" t="str">
        <f>IF($L309&lt;&gt;"",INDEX(РАБОТЫ!$Z$2:$Z$1058,MATCH($L309,РАБОТЫ!$V$2:$V$1058,0)),IF(ISNUMBER($K309),INDEX(РАБОТЫ!$Y$2:$Y$1058,$K309),""))</f>
        <v/>
      </c>
      <c r="D309" t="str">
        <f>IF(ISNUMBER($K309),INDEX(РАБОТЫ!$E$2:$E$1058,$K309),"")</f>
        <v/>
      </c>
      <c r="E309" t="str">
        <f>IF(ISNUMBER($K309),INDEX(РАБОТЫ!$M$2:$M$1058,$K309),"")</f>
        <v/>
      </c>
      <c r="F309" s="7" t="str">
        <f>IF(ISNUMBER($K309),INDEX(РАБОТЫ!$S$2:$S$1058,$K309),"")</f>
        <v/>
      </c>
      <c r="G309" s="7" t="str">
        <f>IF(ISNUMBER($K309),INDEX(РАБОТЫ!$T$2:$T$1058,$K309),"")</f>
        <v/>
      </c>
      <c r="H309" s="7" t="str">
        <f t="shared" si="16"/>
        <v/>
      </c>
      <c r="I309" s="7" t="str">
        <f t="shared" si="17"/>
        <v/>
      </c>
      <c r="J309" s="7" t="str">
        <f t="shared" si="18"/>
        <v/>
      </c>
      <c r="K309" t="str">
        <f>IFERROR(MATCH(288,РАБОТЫ!$X$2:$X$1058,0),"")</f>
        <v/>
      </c>
      <c r="L309" t="str">
        <f>IFERROR(IF(INDEX(РАБОТЫ!$W$2:$W$1058,MATCH(288+1,РАБОТЫ!$X$2:$X$1058,0))=1,INDEX(РАБОТЫ!$V$2:$V$1058,MATCH(288+1,РАБОТЫ!$X$2:$X$1058,0)),""),"")</f>
        <v/>
      </c>
      <c r="M309" t="str">
        <f t="shared" si="19"/>
        <v/>
      </c>
    </row>
    <row r="310" spans="1:13" hidden="1" x14ac:dyDescent="0.3">
      <c r="A310" t="str">
        <f>IF(ISNUMBER($K310),INDEX(РАБОТЫ!$U$2:$U$1058,$K310),"")</f>
        <v/>
      </c>
      <c r="B310" t="str">
        <f>IF(ISNUMBER($K310),INDEX(РАБОТЫ!$A$2:$A$1058,$K310),"")</f>
        <v/>
      </c>
      <c r="C310" s="4" t="str">
        <f>IF($L310&lt;&gt;"",INDEX(РАБОТЫ!$Z$2:$Z$1058,MATCH($L310,РАБОТЫ!$V$2:$V$1058,0)),IF(ISNUMBER($K310),INDEX(РАБОТЫ!$Y$2:$Y$1058,$K310),""))</f>
        <v/>
      </c>
      <c r="D310" t="str">
        <f>IF(ISNUMBER($K310),INDEX(РАБОТЫ!$E$2:$E$1058,$K310),"")</f>
        <v/>
      </c>
      <c r="E310" t="str">
        <f>IF(ISNUMBER($K310),INDEX(РАБОТЫ!$M$2:$M$1058,$K310),"")</f>
        <v/>
      </c>
      <c r="F310" s="7" t="str">
        <f>IF(ISNUMBER($K310),INDEX(РАБОТЫ!$S$2:$S$1058,$K310),"")</f>
        <v/>
      </c>
      <c r="G310" s="7" t="str">
        <f>IF(ISNUMBER($K310),INDEX(РАБОТЫ!$T$2:$T$1058,$K310),"")</f>
        <v/>
      </c>
      <c r="H310" s="7" t="str">
        <f t="shared" si="16"/>
        <v/>
      </c>
      <c r="I310" s="7" t="str">
        <f t="shared" si="17"/>
        <v/>
      </c>
      <c r="J310" s="7" t="str">
        <f t="shared" si="18"/>
        <v/>
      </c>
      <c r="K310" t="str">
        <f>IFERROR(MATCH(289,РАБОТЫ!$X$2:$X$1058,0),"")</f>
        <v/>
      </c>
      <c r="L310" t="str">
        <f>IFERROR(IF(INDEX(РАБОТЫ!$W$2:$W$1058,MATCH(289+1,РАБОТЫ!$X$2:$X$1058,0))=1,INDEX(РАБОТЫ!$V$2:$V$1058,MATCH(289+1,РАБОТЫ!$X$2:$X$1058,0)),""),"")</f>
        <v/>
      </c>
      <c r="M310" t="str">
        <f t="shared" si="19"/>
        <v/>
      </c>
    </row>
    <row r="311" spans="1:13" hidden="1" x14ac:dyDescent="0.3">
      <c r="A311" t="str">
        <f>IF(ISNUMBER($K311),INDEX(РАБОТЫ!$U$2:$U$1058,$K311),"")</f>
        <v/>
      </c>
      <c r="B311" t="str">
        <f>IF(ISNUMBER($K311),INDEX(РАБОТЫ!$A$2:$A$1058,$K311),"")</f>
        <v/>
      </c>
      <c r="C311" s="4" t="str">
        <f>IF($L311&lt;&gt;"",INDEX(РАБОТЫ!$Z$2:$Z$1058,MATCH($L311,РАБОТЫ!$V$2:$V$1058,0)),IF(ISNUMBER($K311),INDEX(РАБОТЫ!$Y$2:$Y$1058,$K311),""))</f>
        <v/>
      </c>
      <c r="D311" t="str">
        <f>IF(ISNUMBER($K311),INDEX(РАБОТЫ!$E$2:$E$1058,$K311),"")</f>
        <v/>
      </c>
      <c r="E311" t="str">
        <f>IF(ISNUMBER($K311),INDEX(РАБОТЫ!$M$2:$M$1058,$K311),"")</f>
        <v/>
      </c>
      <c r="F311" s="7" t="str">
        <f>IF(ISNUMBER($K311),INDEX(РАБОТЫ!$S$2:$S$1058,$K311),"")</f>
        <v/>
      </c>
      <c r="G311" s="7" t="str">
        <f>IF(ISNUMBER($K311),INDEX(РАБОТЫ!$T$2:$T$1058,$K311),"")</f>
        <v/>
      </c>
      <c r="H311" s="7" t="str">
        <f t="shared" si="16"/>
        <v/>
      </c>
      <c r="I311" s="7" t="str">
        <f t="shared" si="17"/>
        <v/>
      </c>
      <c r="J311" s="7" t="str">
        <f t="shared" si="18"/>
        <v/>
      </c>
      <c r="K311" t="str">
        <f>IFERROR(MATCH(290,РАБОТЫ!$X$2:$X$1058,0),"")</f>
        <v/>
      </c>
      <c r="L311" t="str">
        <f>IFERROR(IF(INDEX(РАБОТЫ!$W$2:$W$1058,MATCH(290+1,РАБОТЫ!$X$2:$X$1058,0))=1,INDEX(РАБОТЫ!$V$2:$V$1058,MATCH(290+1,РАБОТЫ!$X$2:$X$1058,0)),""),"")</f>
        <v/>
      </c>
      <c r="M311" t="str">
        <f t="shared" si="19"/>
        <v/>
      </c>
    </row>
    <row r="312" spans="1:13" hidden="1" x14ac:dyDescent="0.3">
      <c r="A312" t="str">
        <f>IF(ISNUMBER($K312),INDEX(РАБОТЫ!$U$2:$U$1058,$K312),"")</f>
        <v/>
      </c>
      <c r="B312" t="str">
        <f>IF(ISNUMBER($K312),INDEX(РАБОТЫ!$A$2:$A$1058,$K312),"")</f>
        <v/>
      </c>
      <c r="C312" s="4" t="str">
        <f>IF($L312&lt;&gt;"",INDEX(РАБОТЫ!$Z$2:$Z$1058,MATCH($L312,РАБОТЫ!$V$2:$V$1058,0)),IF(ISNUMBER($K312),INDEX(РАБОТЫ!$Y$2:$Y$1058,$K312),""))</f>
        <v/>
      </c>
      <c r="D312" t="str">
        <f>IF(ISNUMBER($K312),INDEX(РАБОТЫ!$E$2:$E$1058,$K312),"")</f>
        <v/>
      </c>
      <c r="E312" t="str">
        <f>IF(ISNUMBER($K312),INDEX(РАБОТЫ!$M$2:$M$1058,$K312),"")</f>
        <v/>
      </c>
      <c r="F312" s="7" t="str">
        <f>IF(ISNUMBER($K312),INDEX(РАБОТЫ!$S$2:$S$1058,$K312),"")</f>
        <v/>
      </c>
      <c r="G312" s="7" t="str">
        <f>IF(ISNUMBER($K312),INDEX(РАБОТЫ!$T$2:$T$1058,$K312),"")</f>
        <v/>
      </c>
      <c r="H312" s="7" t="str">
        <f t="shared" si="16"/>
        <v/>
      </c>
      <c r="I312" s="7" t="str">
        <f t="shared" si="17"/>
        <v/>
      </c>
      <c r="J312" s="7" t="str">
        <f t="shared" si="18"/>
        <v/>
      </c>
      <c r="K312" t="str">
        <f>IFERROR(MATCH(291,РАБОТЫ!$X$2:$X$1058,0),"")</f>
        <v/>
      </c>
      <c r="L312" t="str">
        <f>IFERROR(IF(INDEX(РАБОТЫ!$W$2:$W$1058,MATCH(291+1,РАБОТЫ!$X$2:$X$1058,0))=1,INDEX(РАБОТЫ!$V$2:$V$1058,MATCH(291+1,РАБОТЫ!$X$2:$X$1058,0)),""),"")</f>
        <v/>
      </c>
      <c r="M312" t="str">
        <f t="shared" si="19"/>
        <v/>
      </c>
    </row>
    <row r="313" spans="1:13" hidden="1" x14ac:dyDescent="0.3">
      <c r="A313" t="str">
        <f>IF(ISNUMBER($K313),INDEX(РАБОТЫ!$U$2:$U$1058,$K313),"")</f>
        <v/>
      </c>
      <c r="B313" t="str">
        <f>IF(ISNUMBER($K313),INDEX(РАБОТЫ!$A$2:$A$1058,$K313),"")</f>
        <v/>
      </c>
      <c r="C313" s="4" t="str">
        <f>IF($L313&lt;&gt;"",INDEX(РАБОТЫ!$Z$2:$Z$1058,MATCH($L313,РАБОТЫ!$V$2:$V$1058,0)),IF(ISNUMBER($K313),INDEX(РАБОТЫ!$Y$2:$Y$1058,$K313),""))</f>
        <v/>
      </c>
      <c r="D313" t="str">
        <f>IF(ISNUMBER($K313),INDEX(РАБОТЫ!$E$2:$E$1058,$K313),"")</f>
        <v/>
      </c>
      <c r="E313" t="str">
        <f>IF(ISNUMBER($K313),INDEX(РАБОТЫ!$M$2:$M$1058,$K313),"")</f>
        <v/>
      </c>
      <c r="F313" s="7" t="str">
        <f>IF(ISNUMBER($K313),INDEX(РАБОТЫ!$S$2:$S$1058,$K313),"")</f>
        <v/>
      </c>
      <c r="G313" s="7" t="str">
        <f>IF(ISNUMBER($K313),INDEX(РАБОТЫ!$T$2:$T$1058,$K313),"")</f>
        <v/>
      </c>
      <c r="H313" s="7" t="str">
        <f t="shared" si="16"/>
        <v/>
      </c>
      <c r="I313" s="7" t="str">
        <f t="shared" si="17"/>
        <v/>
      </c>
      <c r="J313" s="7" t="str">
        <f t="shared" si="18"/>
        <v/>
      </c>
      <c r="K313" t="str">
        <f>IFERROR(MATCH(292,РАБОТЫ!$X$2:$X$1058,0),"")</f>
        <v/>
      </c>
      <c r="L313" t="str">
        <f>IFERROR(IF(INDEX(РАБОТЫ!$W$2:$W$1058,MATCH(292+1,РАБОТЫ!$X$2:$X$1058,0))=1,INDEX(РАБОТЫ!$V$2:$V$1058,MATCH(292+1,РАБОТЫ!$X$2:$X$1058,0)),""),"")</f>
        <v/>
      </c>
      <c r="M313" t="str">
        <f t="shared" si="19"/>
        <v/>
      </c>
    </row>
    <row r="314" spans="1:13" hidden="1" x14ac:dyDescent="0.3">
      <c r="A314" t="str">
        <f>IF(ISNUMBER($K314),INDEX(РАБОТЫ!$U$2:$U$1058,$K314),"")</f>
        <v/>
      </c>
      <c r="B314" t="str">
        <f>IF(ISNUMBER($K314),INDEX(РАБОТЫ!$A$2:$A$1058,$K314),"")</f>
        <v/>
      </c>
      <c r="C314" s="4" t="str">
        <f>IF($L314&lt;&gt;"",INDEX(РАБОТЫ!$Z$2:$Z$1058,MATCH($L314,РАБОТЫ!$V$2:$V$1058,0)),IF(ISNUMBER($K314),INDEX(РАБОТЫ!$Y$2:$Y$1058,$K314),""))</f>
        <v/>
      </c>
      <c r="D314" t="str">
        <f>IF(ISNUMBER($K314),INDEX(РАБОТЫ!$E$2:$E$1058,$K314),"")</f>
        <v/>
      </c>
      <c r="E314" t="str">
        <f>IF(ISNUMBER($K314),INDEX(РАБОТЫ!$M$2:$M$1058,$K314),"")</f>
        <v/>
      </c>
      <c r="F314" s="7" t="str">
        <f>IF(ISNUMBER($K314),INDEX(РАБОТЫ!$S$2:$S$1058,$K314),"")</f>
        <v/>
      </c>
      <c r="G314" s="7" t="str">
        <f>IF(ISNUMBER($K314),INDEX(РАБОТЫ!$T$2:$T$1058,$K314),"")</f>
        <v/>
      </c>
      <c r="H314" s="7" t="str">
        <f t="shared" si="16"/>
        <v/>
      </c>
      <c r="I314" s="7" t="str">
        <f t="shared" si="17"/>
        <v/>
      </c>
      <c r="J314" s="7" t="str">
        <f t="shared" si="18"/>
        <v/>
      </c>
      <c r="K314" t="str">
        <f>IFERROR(MATCH(293,РАБОТЫ!$X$2:$X$1058,0),"")</f>
        <v/>
      </c>
      <c r="L314" t="str">
        <f>IFERROR(IF(INDEX(РАБОТЫ!$W$2:$W$1058,MATCH(293+1,РАБОТЫ!$X$2:$X$1058,0))=1,INDEX(РАБОТЫ!$V$2:$V$1058,MATCH(293+1,РАБОТЫ!$X$2:$X$1058,0)),""),"")</f>
        <v/>
      </c>
      <c r="M314" t="str">
        <f t="shared" si="19"/>
        <v/>
      </c>
    </row>
    <row r="315" spans="1:13" hidden="1" x14ac:dyDescent="0.3">
      <c r="A315" t="str">
        <f>IF(ISNUMBER($K315),INDEX(РАБОТЫ!$U$2:$U$1058,$K315),"")</f>
        <v/>
      </c>
      <c r="B315" t="str">
        <f>IF(ISNUMBER($K315),INDEX(РАБОТЫ!$A$2:$A$1058,$K315),"")</f>
        <v/>
      </c>
      <c r="C315" s="4" t="str">
        <f>IF($L315&lt;&gt;"",INDEX(РАБОТЫ!$Z$2:$Z$1058,MATCH($L315,РАБОТЫ!$V$2:$V$1058,0)),IF(ISNUMBER($K315),INDEX(РАБОТЫ!$Y$2:$Y$1058,$K315),""))</f>
        <v/>
      </c>
      <c r="D315" t="str">
        <f>IF(ISNUMBER($K315),INDEX(РАБОТЫ!$E$2:$E$1058,$K315),"")</f>
        <v/>
      </c>
      <c r="E315" t="str">
        <f>IF(ISNUMBER($K315),INDEX(РАБОТЫ!$M$2:$M$1058,$K315),"")</f>
        <v/>
      </c>
      <c r="F315" s="7" t="str">
        <f>IF(ISNUMBER($K315),INDEX(РАБОТЫ!$S$2:$S$1058,$K315),"")</f>
        <v/>
      </c>
      <c r="G315" s="7" t="str">
        <f>IF(ISNUMBER($K315),INDEX(РАБОТЫ!$T$2:$T$1058,$K315),"")</f>
        <v/>
      </c>
      <c r="H315" s="7" t="str">
        <f t="shared" si="16"/>
        <v/>
      </c>
      <c r="I315" s="7" t="str">
        <f t="shared" si="17"/>
        <v/>
      </c>
      <c r="J315" s="7" t="str">
        <f t="shared" si="18"/>
        <v/>
      </c>
      <c r="K315" t="str">
        <f>IFERROR(MATCH(294,РАБОТЫ!$X$2:$X$1058,0),"")</f>
        <v/>
      </c>
      <c r="L315" t="str">
        <f>IFERROR(IF(INDEX(РАБОТЫ!$W$2:$W$1058,MATCH(294+1,РАБОТЫ!$X$2:$X$1058,0))=1,INDEX(РАБОТЫ!$V$2:$V$1058,MATCH(294+1,РАБОТЫ!$X$2:$X$1058,0)),""),"")</f>
        <v/>
      </c>
      <c r="M315" t="str">
        <f t="shared" si="19"/>
        <v/>
      </c>
    </row>
    <row r="316" spans="1:13" hidden="1" x14ac:dyDescent="0.3">
      <c r="A316" t="str">
        <f>IF(ISNUMBER($K316),INDEX(РАБОТЫ!$U$2:$U$1058,$K316),"")</f>
        <v/>
      </c>
      <c r="B316" t="str">
        <f>IF(ISNUMBER($K316),INDEX(РАБОТЫ!$A$2:$A$1058,$K316),"")</f>
        <v/>
      </c>
      <c r="C316" s="4" t="str">
        <f>IF($L316&lt;&gt;"",INDEX(РАБОТЫ!$Z$2:$Z$1058,MATCH($L316,РАБОТЫ!$V$2:$V$1058,0)),IF(ISNUMBER($K316),INDEX(РАБОТЫ!$Y$2:$Y$1058,$K316),""))</f>
        <v/>
      </c>
      <c r="D316" t="str">
        <f>IF(ISNUMBER($K316),INDEX(РАБОТЫ!$E$2:$E$1058,$K316),"")</f>
        <v/>
      </c>
      <c r="E316" t="str">
        <f>IF(ISNUMBER($K316),INDEX(РАБОТЫ!$M$2:$M$1058,$K316),"")</f>
        <v/>
      </c>
      <c r="F316" s="7" t="str">
        <f>IF(ISNUMBER($K316),INDEX(РАБОТЫ!$S$2:$S$1058,$K316),"")</f>
        <v/>
      </c>
      <c r="G316" s="7" t="str">
        <f>IF(ISNUMBER($K316),INDEX(РАБОТЫ!$T$2:$T$1058,$K316),"")</f>
        <v/>
      </c>
      <c r="H316" s="7" t="str">
        <f t="shared" si="16"/>
        <v/>
      </c>
      <c r="I316" s="7" t="str">
        <f t="shared" si="17"/>
        <v/>
      </c>
      <c r="J316" s="7" t="str">
        <f t="shared" si="18"/>
        <v/>
      </c>
      <c r="K316" t="str">
        <f>IFERROR(MATCH(295,РАБОТЫ!$X$2:$X$1058,0),"")</f>
        <v/>
      </c>
      <c r="L316" t="str">
        <f>IFERROR(IF(INDEX(РАБОТЫ!$W$2:$W$1058,MATCH(295+1,РАБОТЫ!$X$2:$X$1058,0))=1,INDEX(РАБОТЫ!$V$2:$V$1058,MATCH(295+1,РАБОТЫ!$X$2:$X$1058,0)),""),"")</f>
        <v/>
      </c>
      <c r="M316" t="str">
        <f t="shared" si="19"/>
        <v/>
      </c>
    </row>
    <row r="317" spans="1:13" hidden="1" x14ac:dyDescent="0.3">
      <c r="A317" t="str">
        <f>IF(ISNUMBER($K317),INDEX(РАБОТЫ!$U$2:$U$1058,$K317),"")</f>
        <v/>
      </c>
      <c r="B317" t="str">
        <f>IF(ISNUMBER($K317),INDEX(РАБОТЫ!$A$2:$A$1058,$K317),"")</f>
        <v/>
      </c>
      <c r="C317" s="4" t="str">
        <f>IF($L317&lt;&gt;"",INDEX(РАБОТЫ!$Z$2:$Z$1058,MATCH($L317,РАБОТЫ!$V$2:$V$1058,0)),IF(ISNUMBER($K317),INDEX(РАБОТЫ!$Y$2:$Y$1058,$K317),""))</f>
        <v/>
      </c>
      <c r="D317" t="str">
        <f>IF(ISNUMBER($K317),INDEX(РАБОТЫ!$E$2:$E$1058,$K317),"")</f>
        <v/>
      </c>
      <c r="E317" t="str">
        <f>IF(ISNUMBER($K317),INDEX(РАБОТЫ!$M$2:$M$1058,$K317),"")</f>
        <v/>
      </c>
      <c r="F317" s="7" t="str">
        <f>IF(ISNUMBER($K317),INDEX(РАБОТЫ!$S$2:$S$1058,$K317),"")</f>
        <v/>
      </c>
      <c r="G317" s="7" t="str">
        <f>IF(ISNUMBER($K317),INDEX(РАБОТЫ!$T$2:$T$1058,$K317),"")</f>
        <v/>
      </c>
      <c r="H317" s="7" t="str">
        <f t="shared" si="16"/>
        <v/>
      </c>
      <c r="I317" s="7" t="str">
        <f t="shared" si="17"/>
        <v/>
      </c>
      <c r="J317" s="7" t="str">
        <f t="shared" si="18"/>
        <v/>
      </c>
      <c r="K317" t="str">
        <f>IFERROR(MATCH(296,РАБОТЫ!$X$2:$X$1058,0),"")</f>
        <v/>
      </c>
      <c r="L317" t="str">
        <f>IFERROR(IF(INDEX(РАБОТЫ!$W$2:$W$1058,MATCH(296+1,РАБОТЫ!$X$2:$X$1058,0))=1,INDEX(РАБОТЫ!$V$2:$V$1058,MATCH(296+1,РАБОТЫ!$X$2:$X$1058,0)),""),"")</f>
        <v/>
      </c>
      <c r="M317" t="str">
        <f t="shared" si="19"/>
        <v/>
      </c>
    </row>
    <row r="318" spans="1:13" hidden="1" x14ac:dyDescent="0.3">
      <c r="A318" t="str">
        <f>IF(ISNUMBER($K318),INDEX(РАБОТЫ!$U$2:$U$1058,$K318),"")</f>
        <v/>
      </c>
      <c r="B318" t="str">
        <f>IF(ISNUMBER($K318),INDEX(РАБОТЫ!$A$2:$A$1058,$K318),"")</f>
        <v/>
      </c>
      <c r="C318" s="4" t="str">
        <f>IF($L318&lt;&gt;"",INDEX(РАБОТЫ!$Z$2:$Z$1058,MATCH($L318,РАБОТЫ!$V$2:$V$1058,0)),IF(ISNUMBER($K318),INDEX(РАБОТЫ!$Y$2:$Y$1058,$K318),""))</f>
        <v/>
      </c>
      <c r="D318" t="str">
        <f>IF(ISNUMBER($K318),INDEX(РАБОТЫ!$E$2:$E$1058,$K318),"")</f>
        <v/>
      </c>
      <c r="E318" t="str">
        <f>IF(ISNUMBER($K318),INDEX(РАБОТЫ!$M$2:$M$1058,$K318),"")</f>
        <v/>
      </c>
      <c r="F318" s="7" t="str">
        <f>IF(ISNUMBER($K318),INDEX(РАБОТЫ!$S$2:$S$1058,$K318),"")</f>
        <v/>
      </c>
      <c r="G318" s="7" t="str">
        <f>IF(ISNUMBER($K318),INDEX(РАБОТЫ!$T$2:$T$1058,$K318),"")</f>
        <v/>
      </c>
      <c r="H318" s="7" t="str">
        <f t="shared" si="16"/>
        <v/>
      </c>
      <c r="I318" s="7" t="str">
        <f t="shared" si="17"/>
        <v/>
      </c>
      <c r="J318" s="7" t="str">
        <f t="shared" si="18"/>
        <v/>
      </c>
      <c r="K318" t="str">
        <f>IFERROR(MATCH(297,РАБОТЫ!$X$2:$X$1058,0),"")</f>
        <v/>
      </c>
      <c r="L318" t="str">
        <f>IFERROR(IF(INDEX(РАБОТЫ!$W$2:$W$1058,MATCH(297+1,РАБОТЫ!$X$2:$X$1058,0))=1,INDEX(РАБОТЫ!$V$2:$V$1058,MATCH(297+1,РАБОТЫ!$X$2:$X$1058,0)),""),"")</f>
        <v/>
      </c>
      <c r="M318" t="str">
        <f t="shared" si="19"/>
        <v/>
      </c>
    </row>
    <row r="319" spans="1:13" hidden="1" x14ac:dyDescent="0.3">
      <c r="A319" t="str">
        <f>IF(ISNUMBER($K319),INDEX(РАБОТЫ!$U$2:$U$1058,$K319),"")</f>
        <v/>
      </c>
      <c r="B319" t="str">
        <f>IF(ISNUMBER($K319),INDEX(РАБОТЫ!$A$2:$A$1058,$K319),"")</f>
        <v/>
      </c>
      <c r="C319" s="4" t="str">
        <f>IF($L319&lt;&gt;"",INDEX(РАБОТЫ!$Z$2:$Z$1058,MATCH($L319,РАБОТЫ!$V$2:$V$1058,0)),IF(ISNUMBER($K319),INDEX(РАБОТЫ!$Y$2:$Y$1058,$K319),""))</f>
        <v/>
      </c>
      <c r="D319" t="str">
        <f>IF(ISNUMBER($K319),INDEX(РАБОТЫ!$E$2:$E$1058,$K319),"")</f>
        <v/>
      </c>
      <c r="E319" t="str">
        <f>IF(ISNUMBER($K319),INDEX(РАБОТЫ!$M$2:$M$1058,$K319),"")</f>
        <v/>
      </c>
      <c r="F319" s="7" t="str">
        <f>IF(ISNUMBER($K319),INDEX(РАБОТЫ!$S$2:$S$1058,$K319),"")</f>
        <v/>
      </c>
      <c r="G319" s="7" t="str">
        <f>IF(ISNUMBER($K319),INDEX(РАБОТЫ!$T$2:$T$1058,$K319),"")</f>
        <v/>
      </c>
      <c r="H319" s="7" t="str">
        <f t="shared" si="16"/>
        <v/>
      </c>
      <c r="I319" s="7" t="str">
        <f t="shared" si="17"/>
        <v/>
      </c>
      <c r="J319" s="7" t="str">
        <f t="shared" si="18"/>
        <v/>
      </c>
      <c r="K319" t="str">
        <f>IFERROR(MATCH(298,РАБОТЫ!$X$2:$X$1058,0),"")</f>
        <v/>
      </c>
      <c r="L319" t="str">
        <f>IFERROR(IF(INDEX(РАБОТЫ!$W$2:$W$1058,MATCH(298+1,РАБОТЫ!$X$2:$X$1058,0))=1,INDEX(РАБОТЫ!$V$2:$V$1058,MATCH(298+1,РАБОТЫ!$X$2:$X$1058,0)),""),"")</f>
        <v/>
      </c>
      <c r="M319" t="str">
        <f t="shared" si="19"/>
        <v/>
      </c>
    </row>
    <row r="320" spans="1:13" hidden="1" x14ac:dyDescent="0.3">
      <c r="A320" t="str">
        <f>IF(ISNUMBER($K320),INDEX(РАБОТЫ!$U$2:$U$1058,$K320),"")</f>
        <v/>
      </c>
      <c r="B320" t="str">
        <f>IF(ISNUMBER($K320),INDEX(РАБОТЫ!$A$2:$A$1058,$K320),"")</f>
        <v/>
      </c>
      <c r="C320" s="4" t="str">
        <f>IF($L320&lt;&gt;"",INDEX(РАБОТЫ!$Z$2:$Z$1058,MATCH($L320,РАБОТЫ!$V$2:$V$1058,0)),IF(ISNUMBER($K320),INDEX(РАБОТЫ!$Y$2:$Y$1058,$K320),""))</f>
        <v/>
      </c>
      <c r="D320" t="str">
        <f>IF(ISNUMBER($K320),INDEX(РАБОТЫ!$E$2:$E$1058,$K320),"")</f>
        <v/>
      </c>
      <c r="E320" t="str">
        <f>IF(ISNUMBER($K320),INDEX(РАБОТЫ!$M$2:$M$1058,$K320),"")</f>
        <v/>
      </c>
      <c r="F320" s="7" t="str">
        <f>IF(ISNUMBER($K320),INDEX(РАБОТЫ!$S$2:$S$1058,$K320),"")</f>
        <v/>
      </c>
      <c r="G320" s="7" t="str">
        <f>IF(ISNUMBER($K320),INDEX(РАБОТЫ!$T$2:$T$1058,$K320),"")</f>
        <v/>
      </c>
      <c r="H320" s="7" t="str">
        <f t="shared" si="16"/>
        <v/>
      </c>
      <c r="I320" s="7" t="str">
        <f t="shared" si="17"/>
        <v/>
      </c>
      <c r="J320" s="7" t="str">
        <f t="shared" si="18"/>
        <v/>
      </c>
      <c r="K320" t="str">
        <f>IFERROR(MATCH(299,РАБОТЫ!$X$2:$X$1058,0),"")</f>
        <v/>
      </c>
      <c r="L320" t="str">
        <f>IFERROR(IF(INDEX(РАБОТЫ!$W$2:$W$1058,MATCH(299+1,РАБОТЫ!$X$2:$X$1058,0))=1,INDEX(РАБОТЫ!$V$2:$V$1058,MATCH(299+1,РАБОТЫ!$X$2:$X$1058,0)),""),"")</f>
        <v/>
      </c>
      <c r="M320" t="str">
        <f t="shared" si="19"/>
        <v/>
      </c>
    </row>
    <row r="321" spans="1:13" hidden="1" x14ac:dyDescent="0.3">
      <c r="A321" t="str">
        <f>IF(ISNUMBER($K321),INDEX(РАБОТЫ!$U$2:$U$1058,$K321),"")</f>
        <v/>
      </c>
      <c r="B321" t="str">
        <f>IF(ISNUMBER($K321),INDEX(РАБОТЫ!$A$2:$A$1058,$K321),"")</f>
        <v/>
      </c>
      <c r="C321" s="4" t="str">
        <f>IF($L321&lt;&gt;"",INDEX(РАБОТЫ!$Z$2:$Z$1058,MATCH($L321,РАБОТЫ!$V$2:$V$1058,0)),IF(ISNUMBER($K321),INDEX(РАБОТЫ!$Y$2:$Y$1058,$K321),""))</f>
        <v/>
      </c>
      <c r="D321" t="str">
        <f>IF(ISNUMBER($K321),INDEX(РАБОТЫ!$E$2:$E$1058,$K321),"")</f>
        <v/>
      </c>
      <c r="E321" t="str">
        <f>IF(ISNUMBER($K321),INDEX(РАБОТЫ!$M$2:$M$1058,$K321),"")</f>
        <v/>
      </c>
      <c r="F321" s="7" t="str">
        <f>IF(ISNUMBER($K321),INDEX(РАБОТЫ!$S$2:$S$1058,$K321),"")</f>
        <v/>
      </c>
      <c r="G321" s="7" t="str">
        <f>IF(ISNUMBER($K321),INDEX(РАБОТЫ!$T$2:$T$1058,$K321),"")</f>
        <v/>
      </c>
      <c r="H321" s="7" t="str">
        <f t="shared" si="16"/>
        <v/>
      </c>
      <c r="I321" s="7" t="str">
        <f t="shared" si="17"/>
        <v/>
      </c>
      <c r="J321" s="7" t="str">
        <f t="shared" si="18"/>
        <v/>
      </c>
      <c r="K321" t="str">
        <f>IFERROR(MATCH(300,РАБОТЫ!$X$2:$X$1058,0),"")</f>
        <v/>
      </c>
      <c r="L321" t="str">
        <f>IFERROR(IF(INDEX(РАБОТЫ!$W$2:$W$1058,MATCH(300+1,РАБОТЫ!$X$2:$X$1058,0))=1,INDEX(РАБОТЫ!$V$2:$V$1058,MATCH(300+1,РАБОТЫ!$X$2:$X$1058,0)),""),"")</f>
        <v/>
      </c>
      <c r="M321" t="str">
        <f t="shared" si="19"/>
        <v/>
      </c>
    </row>
    <row r="322" spans="1:13" hidden="1" x14ac:dyDescent="0.3">
      <c r="A322" t="str">
        <f>IF(ISNUMBER($K322),INDEX(РАБОТЫ!$U$2:$U$1058,$K322),"")</f>
        <v/>
      </c>
      <c r="B322" t="str">
        <f>IF(ISNUMBER($K322),INDEX(РАБОТЫ!$A$2:$A$1058,$K322),"")</f>
        <v/>
      </c>
      <c r="C322" s="4" t="str">
        <f>IF($L322&lt;&gt;"",INDEX(РАБОТЫ!$Z$2:$Z$1058,MATCH($L322,РАБОТЫ!$V$2:$V$1058,0)),IF(ISNUMBER($K322),INDEX(РАБОТЫ!$Y$2:$Y$1058,$K322),""))</f>
        <v/>
      </c>
      <c r="D322" t="str">
        <f>IF(ISNUMBER($K322),INDEX(РАБОТЫ!$E$2:$E$1058,$K322),"")</f>
        <v/>
      </c>
      <c r="E322" t="str">
        <f>IF(ISNUMBER($K322),INDEX(РАБОТЫ!$M$2:$M$1058,$K322),"")</f>
        <v/>
      </c>
      <c r="F322" s="7" t="str">
        <f>IF(ISNUMBER($K322),INDEX(РАБОТЫ!$S$2:$S$1058,$K322),"")</f>
        <v/>
      </c>
      <c r="G322" s="7" t="str">
        <f>IF(ISNUMBER($K322),INDEX(РАБОТЫ!$T$2:$T$1058,$K322),"")</f>
        <v/>
      </c>
      <c r="H322" s="7" t="str">
        <f t="shared" si="16"/>
        <v/>
      </c>
      <c r="I322" s="7" t="str">
        <f t="shared" si="17"/>
        <v/>
      </c>
      <c r="J322" s="7" t="str">
        <f t="shared" si="18"/>
        <v/>
      </c>
      <c r="K322" t="str">
        <f>IFERROR(MATCH(301,РАБОТЫ!$X$2:$X$1058,0),"")</f>
        <v/>
      </c>
      <c r="L322" t="str">
        <f>IFERROR(IF(INDEX(РАБОТЫ!$W$2:$W$1058,MATCH(301+1,РАБОТЫ!$X$2:$X$1058,0))=1,INDEX(РАБОТЫ!$V$2:$V$1058,MATCH(301+1,РАБОТЫ!$X$2:$X$1058,0)),""),"")</f>
        <v/>
      </c>
      <c r="M322" t="str">
        <f t="shared" si="19"/>
        <v/>
      </c>
    </row>
    <row r="323" spans="1:13" hidden="1" x14ac:dyDescent="0.3">
      <c r="A323" t="str">
        <f>IF(ISNUMBER($K323),INDEX(РАБОТЫ!$U$2:$U$1058,$K323),"")</f>
        <v/>
      </c>
      <c r="B323" t="str">
        <f>IF(ISNUMBER($K323),INDEX(РАБОТЫ!$A$2:$A$1058,$K323),"")</f>
        <v/>
      </c>
      <c r="C323" s="4" t="str">
        <f>IF($L323&lt;&gt;"",INDEX(РАБОТЫ!$Z$2:$Z$1058,MATCH($L323,РАБОТЫ!$V$2:$V$1058,0)),IF(ISNUMBER($K323),INDEX(РАБОТЫ!$Y$2:$Y$1058,$K323),""))</f>
        <v/>
      </c>
      <c r="D323" t="str">
        <f>IF(ISNUMBER($K323),INDEX(РАБОТЫ!$E$2:$E$1058,$K323),"")</f>
        <v/>
      </c>
      <c r="E323" t="str">
        <f>IF(ISNUMBER($K323),INDEX(РАБОТЫ!$M$2:$M$1058,$K323),"")</f>
        <v/>
      </c>
      <c r="F323" s="7" t="str">
        <f>IF(ISNUMBER($K323),INDEX(РАБОТЫ!$S$2:$S$1058,$K323),"")</f>
        <v/>
      </c>
      <c r="G323" s="7" t="str">
        <f>IF(ISNUMBER($K323),INDEX(РАБОТЫ!$T$2:$T$1058,$K323),"")</f>
        <v/>
      </c>
      <c r="H323" s="7" t="str">
        <f t="shared" si="16"/>
        <v/>
      </c>
      <c r="I323" s="7" t="str">
        <f t="shared" si="17"/>
        <v/>
      </c>
      <c r="J323" s="7" t="str">
        <f t="shared" si="18"/>
        <v/>
      </c>
      <c r="K323" t="str">
        <f>IFERROR(MATCH(302,РАБОТЫ!$X$2:$X$1058,0),"")</f>
        <v/>
      </c>
      <c r="L323" t="str">
        <f>IFERROR(IF(INDEX(РАБОТЫ!$W$2:$W$1058,MATCH(302+1,РАБОТЫ!$X$2:$X$1058,0))=1,INDEX(РАБОТЫ!$V$2:$V$1058,MATCH(302+1,РАБОТЫ!$X$2:$X$1058,0)),""),"")</f>
        <v/>
      </c>
      <c r="M323" t="str">
        <f t="shared" si="19"/>
        <v/>
      </c>
    </row>
    <row r="324" spans="1:13" hidden="1" x14ac:dyDescent="0.3">
      <c r="A324" t="str">
        <f>IF(ISNUMBER($K324),INDEX(РАБОТЫ!$U$2:$U$1058,$K324),"")</f>
        <v/>
      </c>
      <c r="B324" t="str">
        <f>IF(ISNUMBER($K324),INDEX(РАБОТЫ!$A$2:$A$1058,$K324),"")</f>
        <v/>
      </c>
      <c r="C324" s="4" t="str">
        <f>IF($L324&lt;&gt;"",INDEX(РАБОТЫ!$Z$2:$Z$1058,MATCH($L324,РАБОТЫ!$V$2:$V$1058,0)),IF(ISNUMBER($K324),INDEX(РАБОТЫ!$Y$2:$Y$1058,$K324),""))</f>
        <v/>
      </c>
      <c r="D324" t="str">
        <f>IF(ISNUMBER($K324),INDEX(РАБОТЫ!$E$2:$E$1058,$K324),"")</f>
        <v/>
      </c>
      <c r="E324" t="str">
        <f>IF(ISNUMBER($K324),INDEX(РАБОТЫ!$M$2:$M$1058,$K324),"")</f>
        <v/>
      </c>
      <c r="F324" s="7" t="str">
        <f>IF(ISNUMBER($K324),INDEX(РАБОТЫ!$S$2:$S$1058,$K324),"")</f>
        <v/>
      </c>
      <c r="G324" s="7" t="str">
        <f>IF(ISNUMBER($K324),INDEX(РАБОТЫ!$T$2:$T$1058,$K324),"")</f>
        <v/>
      </c>
      <c r="H324" s="7" t="str">
        <f t="shared" si="16"/>
        <v/>
      </c>
      <c r="I324" s="7" t="str">
        <f t="shared" si="17"/>
        <v/>
      </c>
      <c r="J324" s="7" t="str">
        <f t="shared" si="18"/>
        <v/>
      </c>
      <c r="K324" t="str">
        <f>IFERROR(MATCH(303,РАБОТЫ!$X$2:$X$1058,0),"")</f>
        <v/>
      </c>
      <c r="L324" t="str">
        <f>IFERROR(IF(INDEX(РАБОТЫ!$W$2:$W$1058,MATCH(303+1,РАБОТЫ!$X$2:$X$1058,0))=1,INDEX(РАБОТЫ!$V$2:$V$1058,MATCH(303+1,РАБОТЫ!$X$2:$X$1058,0)),""),"")</f>
        <v/>
      </c>
      <c r="M324" t="str">
        <f t="shared" si="19"/>
        <v/>
      </c>
    </row>
    <row r="325" spans="1:13" hidden="1" x14ac:dyDescent="0.3">
      <c r="A325" t="str">
        <f>IF(ISNUMBER($K325),INDEX(РАБОТЫ!$U$2:$U$1058,$K325),"")</f>
        <v/>
      </c>
      <c r="B325" t="str">
        <f>IF(ISNUMBER($K325),INDEX(РАБОТЫ!$A$2:$A$1058,$K325),"")</f>
        <v/>
      </c>
      <c r="C325" s="4" t="str">
        <f>IF($L325&lt;&gt;"",INDEX(РАБОТЫ!$Z$2:$Z$1058,MATCH($L325,РАБОТЫ!$V$2:$V$1058,0)),IF(ISNUMBER($K325),INDEX(РАБОТЫ!$Y$2:$Y$1058,$K325),""))</f>
        <v/>
      </c>
      <c r="D325" t="str">
        <f>IF(ISNUMBER($K325),INDEX(РАБОТЫ!$E$2:$E$1058,$K325),"")</f>
        <v/>
      </c>
      <c r="E325" t="str">
        <f>IF(ISNUMBER($K325),INDEX(РАБОТЫ!$M$2:$M$1058,$K325),"")</f>
        <v/>
      </c>
      <c r="F325" s="7" t="str">
        <f>IF(ISNUMBER($K325),INDEX(РАБОТЫ!$S$2:$S$1058,$K325),"")</f>
        <v/>
      </c>
      <c r="G325" s="7" t="str">
        <f>IF(ISNUMBER($K325),INDEX(РАБОТЫ!$T$2:$T$1058,$K325),"")</f>
        <v/>
      </c>
      <c r="H325" s="7" t="str">
        <f t="shared" si="16"/>
        <v/>
      </c>
      <c r="I325" s="7" t="str">
        <f t="shared" si="17"/>
        <v/>
      </c>
      <c r="J325" s="7" t="str">
        <f t="shared" si="18"/>
        <v/>
      </c>
      <c r="K325" t="str">
        <f>IFERROR(MATCH(304,РАБОТЫ!$X$2:$X$1058,0),"")</f>
        <v/>
      </c>
      <c r="L325" t="str">
        <f>IFERROR(IF(INDEX(РАБОТЫ!$W$2:$W$1058,MATCH(304+1,РАБОТЫ!$X$2:$X$1058,0))=1,INDEX(РАБОТЫ!$V$2:$V$1058,MATCH(304+1,РАБОТЫ!$X$2:$X$1058,0)),""),"")</f>
        <v/>
      </c>
      <c r="M325" t="str">
        <f t="shared" si="19"/>
        <v/>
      </c>
    </row>
    <row r="326" spans="1:13" hidden="1" x14ac:dyDescent="0.3">
      <c r="A326" t="str">
        <f>IF(ISNUMBER($K326),INDEX(РАБОТЫ!$U$2:$U$1058,$K326),"")</f>
        <v/>
      </c>
      <c r="B326" t="str">
        <f>IF(ISNUMBER($K326),INDEX(РАБОТЫ!$A$2:$A$1058,$K326),"")</f>
        <v/>
      </c>
      <c r="C326" s="4" t="str">
        <f>IF($L326&lt;&gt;"",INDEX(РАБОТЫ!$Z$2:$Z$1058,MATCH($L326,РАБОТЫ!$V$2:$V$1058,0)),IF(ISNUMBER($K326),INDEX(РАБОТЫ!$Y$2:$Y$1058,$K326),""))</f>
        <v/>
      </c>
      <c r="D326" t="str">
        <f>IF(ISNUMBER($K326),INDEX(РАБОТЫ!$E$2:$E$1058,$K326),"")</f>
        <v/>
      </c>
      <c r="E326" t="str">
        <f>IF(ISNUMBER($K326),INDEX(РАБОТЫ!$M$2:$M$1058,$K326),"")</f>
        <v/>
      </c>
      <c r="F326" s="7" t="str">
        <f>IF(ISNUMBER($K326),INDEX(РАБОТЫ!$S$2:$S$1058,$K326),"")</f>
        <v/>
      </c>
      <c r="G326" s="7" t="str">
        <f>IF(ISNUMBER($K326),INDEX(РАБОТЫ!$T$2:$T$1058,$K326),"")</f>
        <v/>
      </c>
      <c r="H326" s="7" t="str">
        <f t="shared" si="16"/>
        <v/>
      </c>
      <c r="I326" s="7" t="str">
        <f t="shared" si="17"/>
        <v/>
      </c>
      <c r="J326" s="7" t="str">
        <f t="shared" si="18"/>
        <v/>
      </c>
      <c r="K326" t="str">
        <f>IFERROR(MATCH(305,РАБОТЫ!$X$2:$X$1058,0),"")</f>
        <v/>
      </c>
      <c r="L326" t="str">
        <f>IFERROR(IF(INDEX(РАБОТЫ!$W$2:$W$1058,MATCH(305+1,РАБОТЫ!$X$2:$X$1058,0))=1,INDEX(РАБОТЫ!$V$2:$V$1058,MATCH(305+1,РАБОТЫ!$X$2:$X$1058,0)),""),"")</f>
        <v/>
      </c>
      <c r="M326" t="str">
        <f t="shared" si="19"/>
        <v/>
      </c>
    </row>
    <row r="327" spans="1:13" hidden="1" x14ac:dyDescent="0.3">
      <c r="A327" t="str">
        <f>IF(ISNUMBER($K327),INDEX(РАБОТЫ!$U$2:$U$1058,$K327),"")</f>
        <v/>
      </c>
      <c r="B327" t="str">
        <f>IF(ISNUMBER($K327),INDEX(РАБОТЫ!$A$2:$A$1058,$K327),"")</f>
        <v/>
      </c>
      <c r="C327" s="4" t="str">
        <f>IF($L327&lt;&gt;"",INDEX(РАБОТЫ!$Z$2:$Z$1058,MATCH($L327,РАБОТЫ!$V$2:$V$1058,0)),IF(ISNUMBER($K327),INDEX(РАБОТЫ!$Y$2:$Y$1058,$K327),""))</f>
        <v/>
      </c>
      <c r="D327" t="str">
        <f>IF(ISNUMBER($K327),INDEX(РАБОТЫ!$E$2:$E$1058,$K327),"")</f>
        <v/>
      </c>
      <c r="E327" t="str">
        <f>IF(ISNUMBER($K327),INDEX(РАБОТЫ!$M$2:$M$1058,$K327),"")</f>
        <v/>
      </c>
      <c r="F327" s="7" t="str">
        <f>IF(ISNUMBER($K327),INDEX(РАБОТЫ!$S$2:$S$1058,$K327),"")</f>
        <v/>
      </c>
      <c r="G327" s="7" t="str">
        <f>IF(ISNUMBER($K327),INDEX(РАБОТЫ!$T$2:$T$1058,$K327),"")</f>
        <v/>
      </c>
      <c r="H327" s="7" t="str">
        <f t="shared" si="16"/>
        <v/>
      </c>
      <c r="I327" s="7" t="str">
        <f t="shared" si="17"/>
        <v/>
      </c>
      <c r="J327" s="7" t="str">
        <f t="shared" si="18"/>
        <v/>
      </c>
      <c r="K327" t="str">
        <f>IFERROR(MATCH(306,РАБОТЫ!$X$2:$X$1058,0),"")</f>
        <v/>
      </c>
      <c r="L327" t="str">
        <f>IFERROR(IF(INDEX(РАБОТЫ!$W$2:$W$1058,MATCH(306+1,РАБОТЫ!$X$2:$X$1058,0))=1,INDEX(РАБОТЫ!$V$2:$V$1058,MATCH(306+1,РАБОТЫ!$X$2:$X$1058,0)),""),"")</f>
        <v/>
      </c>
      <c r="M327" t="str">
        <f t="shared" si="19"/>
        <v/>
      </c>
    </row>
    <row r="328" spans="1:13" hidden="1" x14ac:dyDescent="0.3">
      <c r="A328" t="str">
        <f>IF(ISNUMBER($K328),INDEX(РАБОТЫ!$U$2:$U$1058,$K328),"")</f>
        <v/>
      </c>
      <c r="B328" t="str">
        <f>IF(ISNUMBER($K328),INDEX(РАБОТЫ!$A$2:$A$1058,$K328),"")</f>
        <v/>
      </c>
      <c r="C328" s="4" t="str">
        <f>IF($L328&lt;&gt;"",INDEX(РАБОТЫ!$Z$2:$Z$1058,MATCH($L328,РАБОТЫ!$V$2:$V$1058,0)),IF(ISNUMBER($K328),INDEX(РАБОТЫ!$Y$2:$Y$1058,$K328),""))</f>
        <v/>
      </c>
      <c r="D328" t="str">
        <f>IF(ISNUMBER($K328),INDEX(РАБОТЫ!$E$2:$E$1058,$K328),"")</f>
        <v/>
      </c>
      <c r="E328" t="str">
        <f>IF(ISNUMBER($K328),INDEX(РАБОТЫ!$M$2:$M$1058,$K328),"")</f>
        <v/>
      </c>
      <c r="F328" s="7" t="str">
        <f>IF(ISNUMBER($K328),INDEX(РАБОТЫ!$S$2:$S$1058,$K328),"")</f>
        <v/>
      </c>
      <c r="G328" s="7" t="str">
        <f>IF(ISNUMBER($K328),INDEX(РАБОТЫ!$T$2:$T$1058,$K328),"")</f>
        <v/>
      </c>
      <c r="H328" s="7" t="str">
        <f t="shared" si="16"/>
        <v/>
      </c>
      <c r="I328" s="7" t="str">
        <f t="shared" si="17"/>
        <v/>
      </c>
      <c r="J328" s="7" t="str">
        <f t="shared" si="18"/>
        <v/>
      </c>
      <c r="K328" t="str">
        <f>IFERROR(MATCH(307,РАБОТЫ!$X$2:$X$1058,0),"")</f>
        <v/>
      </c>
      <c r="L328" t="str">
        <f>IFERROR(IF(INDEX(РАБОТЫ!$W$2:$W$1058,MATCH(307+1,РАБОТЫ!$X$2:$X$1058,0))=1,INDEX(РАБОТЫ!$V$2:$V$1058,MATCH(307+1,РАБОТЫ!$X$2:$X$1058,0)),""),"")</f>
        <v/>
      </c>
      <c r="M328" t="str">
        <f t="shared" si="19"/>
        <v/>
      </c>
    </row>
    <row r="329" spans="1:13" hidden="1" x14ac:dyDescent="0.3">
      <c r="A329" t="str">
        <f>IF(ISNUMBER($K329),INDEX(РАБОТЫ!$U$2:$U$1058,$K329),"")</f>
        <v/>
      </c>
      <c r="B329" t="str">
        <f>IF(ISNUMBER($K329),INDEX(РАБОТЫ!$A$2:$A$1058,$K329),"")</f>
        <v/>
      </c>
      <c r="C329" s="4" t="str">
        <f>IF($L329&lt;&gt;"",INDEX(РАБОТЫ!$Z$2:$Z$1058,MATCH($L329,РАБОТЫ!$V$2:$V$1058,0)),IF(ISNUMBER($K329),INDEX(РАБОТЫ!$Y$2:$Y$1058,$K329),""))</f>
        <v/>
      </c>
      <c r="D329" t="str">
        <f>IF(ISNUMBER($K329),INDEX(РАБОТЫ!$E$2:$E$1058,$K329),"")</f>
        <v/>
      </c>
      <c r="E329" t="str">
        <f>IF(ISNUMBER($K329),INDEX(РАБОТЫ!$M$2:$M$1058,$K329),"")</f>
        <v/>
      </c>
      <c r="F329" s="7" t="str">
        <f>IF(ISNUMBER($K329),INDEX(РАБОТЫ!$S$2:$S$1058,$K329),"")</f>
        <v/>
      </c>
      <c r="G329" s="7" t="str">
        <f>IF(ISNUMBER($K329),INDEX(РАБОТЫ!$T$2:$T$1058,$K329),"")</f>
        <v/>
      </c>
      <c r="H329" s="7" t="str">
        <f t="shared" si="16"/>
        <v/>
      </c>
      <c r="I329" s="7" t="str">
        <f t="shared" si="17"/>
        <v/>
      </c>
      <c r="J329" s="7" t="str">
        <f t="shared" si="18"/>
        <v/>
      </c>
      <c r="K329" t="str">
        <f>IFERROR(MATCH(308,РАБОТЫ!$X$2:$X$1058,0),"")</f>
        <v/>
      </c>
      <c r="L329" t="str">
        <f>IFERROR(IF(INDEX(РАБОТЫ!$W$2:$W$1058,MATCH(308+1,РАБОТЫ!$X$2:$X$1058,0))=1,INDEX(РАБОТЫ!$V$2:$V$1058,MATCH(308+1,РАБОТЫ!$X$2:$X$1058,0)),""),"")</f>
        <v/>
      </c>
      <c r="M329" t="str">
        <f t="shared" si="19"/>
        <v/>
      </c>
    </row>
    <row r="330" spans="1:13" hidden="1" x14ac:dyDescent="0.3">
      <c r="A330" t="str">
        <f>IF(ISNUMBER($K330),INDEX(РАБОТЫ!$U$2:$U$1058,$K330),"")</f>
        <v/>
      </c>
      <c r="B330" t="str">
        <f>IF(ISNUMBER($K330),INDEX(РАБОТЫ!$A$2:$A$1058,$K330),"")</f>
        <v/>
      </c>
      <c r="C330" s="4" t="str">
        <f>IF($L330&lt;&gt;"",INDEX(РАБОТЫ!$Z$2:$Z$1058,MATCH($L330,РАБОТЫ!$V$2:$V$1058,0)),IF(ISNUMBER($K330),INDEX(РАБОТЫ!$Y$2:$Y$1058,$K330),""))</f>
        <v/>
      </c>
      <c r="D330" t="str">
        <f>IF(ISNUMBER($K330),INDEX(РАБОТЫ!$E$2:$E$1058,$K330),"")</f>
        <v/>
      </c>
      <c r="E330" t="str">
        <f>IF(ISNUMBER($K330),INDEX(РАБОТЫ!$M$2:$M$1058,$K330),"")</f>
        <v/>
      </c>
      <c r="F330" s="7" t="str">
        <f>IF(ISNUMBER($K330),INDEX(РАБОТЫ!$S$2:$S$1058,$K330),"")</f>
        <v/>
      </c>
      <c r="G330" s="7" t="str">
        <f>IF(ISNUMBER($K330),INDEX(РАБОТЫ!$T$2:$T$1058,$K330),"")</f>
        <v/>
      </c>
      <c r="H330" s="7" t="str">
        <f t="shared" si="16"/>
        <v/>
      </c>
      <c r="I330" s="7" t="str">
        <f t="shared" si="17"/>
        <v/>
      </c>
      <c r="J330" s="7" t="str">
        <f t="shared" si="18"/>
        <v/>
      </c>
      <c r="K330" t="str">
        <f>IFERROR(MATCH(309,РАБОТЫ!$X$2:$X$1058,0),"")</f>
        <v/>
      </c>
      <c r="L330" t="str">
        <f>IFERROR(IF(INDEX(РАБОТЫ!$W$2:$W$1058,MATCH(309+1,РАБОТЫ!$X$2:$X$1058,0))=1,INDEX(РАБОТЫ!$V$2:$V$1058,MATCH(309+1,РАБОТЫ!$X$2:$X$1058,0)),""),"")</f>
        <v/>
      </c>
      <c r="M330" t="str">
        <f t="shared" si="19"/>
        <v/>
      </c>
    </row>
    <row r="331" spans="1:13" hidden="1" x14ac:dyDescent="0.3">
      <c r="A331" t="str">
        <f>IF(ISNUMBER($K331),INDEX(РАБОТЫ!$U$2:$U$1058,$K331),"")</f>
        <v/>
      </c>
      <c r="B331" t="str">
        <f>IF(ISNUMBER($K331),INDEX(РАБОТЫ!$A$2:$A$1058,$K331),"")</f>
        <v/>
      </c>
      <c r="C331" s="4" t="str">
        <f>IF($L331&lt;&gt;"",INDEX(РАБОТЫ!$Z$2:$Z$1058,MATCH($L331,РАБОТЫ!$V$2:$V$1058,0)),IF(ISNUMBER($K331),INDEX(РАБОТЫ!$Y$2:$Y$1058,$K331),""))</f>
        <v/>
      </c>
      <c r="D331" t="str">
        <f>IF(ISNUMBER($K331),INDEX(РАБОТЫ!$E$2:$E$1058,$K331),"")</f>
        <v/>
      </c>
      <c r="E331" t="str">
        <f>IF(ISNUMBER($K331),INDEX(РАБОТЫ!$M$2:$M$1058,$K331),"")</f>
        <v/>
      </c>
      <c r="F331" s="7" t="str">
        <f>IF(ISNUMBER($K331),INDEX(РАБОТЫ!$S$2:$S$1058,$K331),"")</f>
        <v/>
      </c>
      <c r="G331" s="7" t="str">
        <f>IF(ISNUMBER($K331),INDEX(РАБОТЫ!$T$2:$T$1058,$K331),"")</f>
        <v/>
      </c>
      <c r="H331" s="7" t="str">
        <f t="shared" si="16"/>
        <v/>
      </c>
      <c r="I331" s="7" t="str">
        <f t="shared" si="17"/>
        <v/>
      </c>
      <c r="J331" s="7" t="str">
        <f t="shared" si="18"/>
        <v/>
      </c>
      <c r="K331" t="str">
        <f>IFERROR(MATCH(310,РАБОТЫ!$X$2:$X$1058,0),"")</f>
        <v/>
      </c>
      <c r="L331" t="str">
        <f>IFERROR(IF(INDEX(РАБОТЫ!$W$2:$W$1058,MATCH(310+1,РАБОТЫ!$X$2:$X$1058,0))=1,INDEX(РАБОТЫ!$V$2:$V$1058,MATCH(310+1,РАБОТЫ!$X$2:$X$1058,0)),""),"")</f>
        <v/>
      </c>
      <c r="M331" t="str">
        <f t="shared" si="19"/>
        <v/>
      </c>
    </row>
    <row r="332" spans="1:13" hidden="1" x14ac:dyDescent="0.3">
      <c r="A332" t="str">
        <f>IF(ISNUMBER($K332),INDEX(РАБОТЫ!$U$2:$U$1058,$K332),"")</f>
        <v/>
      </c>
      <c r="B332" t="str">
        <f>IF(ISNUMBER($K332),INDEX(РАБОТЫ!$A$2:$A$1058,$K332),"")</f>
        <v/>
      </c>
      <c r="C332" s="4" t="str">
        <f>IF($L332&lt;&gt;"",INDEX(РАБОТЫ!$Z$2:$Z$1058,MATCH($L332,РАБОТЫ!$V$2:$V$1058,0)),IF(ISNUMBER($K332),INDEX(РАБОТЫ!$Y$2:$Y$1058,$K332),""))</f>
        <v/>
      </c>
      <c r="D332" t="str">
        <f>IF(ISNUMBER($K332),INDEX(РАБОТЫ!$E$2:$E$1058,$K332),"")</f>
        <v/>
      </c>
      <c r="E332" t="str">
        <f>IF(ISNUMBER($K332),INDEX(РАБОТЫ!$M$2:$M$1058,$K332),"")</f>
        <v/>
      </c>
      <c r="F332" s="7" t="str">
        <f>IF(ISNUMBER($K332),INDEX(РАБОТЫ!$S$2:$S$1058,$K332),"")</f>
        <v/>
      </c>
      <c r="G332" s="7" t="str">
        <f>IF(ISNUMBER($K332),INDEX(РАБОТЫ!$T$2:$T$1058,$K332),"")</f>
        <v/>
      </c>
      <c r="H332" s="7" t="str">
        <f t="shared" si="16"/>
        <v/>
      </c>
      <c r="I332" s="7" t="str">
        <f t="shared" si="17"/>
        <v/>
      </c>
      <c r="J332" s="7" t="str">
        <f t="shared" si="18"/>
        <v/>
      </c>
      <c r="K332" t="str">
        <f>IFERROR(MATCH(311,РАБОТЫ!$X$2:$X$1058,0),"")</f>
        <v/>
      </c>
      <c r="L332" t="str">
        <f>IFERROR(IF(INDEX(РАБОТЫ!$W$2:$W$1058,MATCH(311+1,РАБОТЫ!$X$2:$X$1058,0))=1,INDEX(РАБОТЫ!$V$2:$V$1058,MATCH(311+1,РАБОТЫ!$X$2:$X$1058,0)),""),"")</f>
        <v/>
      </c>
      <c r="M332" t="str">
        <f t="shared" si="19"/>
        <v/>
      </c>
    </row>
    <row r="333" spans="1:13" hidden="1" x14ac:dyDescent="0.3">
      <c r="A333" t="str">
        <f>IF(ISNUMBER($K333),INDEX(РАБОТЫ!$U$2:$U$1058,$K333),"")</f>
        <v/>
      </c>
      <c r="B333" t="str">
        <f>IF(ISNUMBER($K333),INDEX(РАБОТЫ!$A$2:$A$1058,$K333),"")</f>
        <v/>
      </c>
      <c r="C333" s="4" t="str">
        <f>IF($L333&lt;&gt;"",INDEX(РАБОТЫ!$Z$2:$Z$1058,MATCH($L333,РАБОТЫ!$V$2:$V$1058,0)),IF(ISNUMBER($K333),INDEX(РАБОТЫ!$Y$2:$Y$1058,$K333),""))</f>
        <v/>
      </c>
      <c r="D333" t="str">
        <f>IF(ISNUMBER($K333),INDEX(РАБОТЫ!$E$2:$E$1058,$K333),"")</f>
        <v/>
      </c>
      <c r="E333" t="str">
        <f>IF(ISNUMBER($K333),INDEX(РАБОТЫ!$M$2:$M$1058,$K333),"")</f>
        <v/>
      </c>
      <c r="F333" s="7" t="str">
        <f>IF(ISNUMBER($K333),INDEX(РАБОТЫ!$S$2:$S$1058,$K333),"")</f>
        <v/>
      </c>
      <c r="G333" s="7" t="str">
        <f>IF(ISNUMBER($K333),INDEX(РАБОТЫ!$T$2:$T$1058,$K333),"")</f>
        <v/>
      </c>
      <c r="H333" s="7" t="str">
        <f t="shared" si="16"/>
        <v/>
      </c>
      <c r="I333" s="7" t="str">
        <f t="shared" si="17"/>
        <v/>
      </c>
      <c r="J333" s="7" t="str">
        <f t="shared" si="18"/>
        <v/>
      </c>
      <c r="K333" t="str">
        <f>IFERROR(MATCH(312,РАБОТЫ!$X$2:$X$1058,0),"")</f>
        <v/>
      </c>
      <c r="L333" t="str">
        <f>IFERROR(IF(INDEX(РАБОТЫ!$W$2:$W$1058,MATCH(312+1,РАБОТЫ!$X$2:$X$1058,0))=1,INDEX(РАБОТЫ!$V$2:$V$1058,MATCH(312+1,РАБОТЫ!$X$2:$X$1058,0)),""),"")</f>
        <v/>
      </c>
      <c r="M333" t="str">
        <f t="shared" si="19"/>
        <v/>
      </c>
    </row>
    <row r="334" spans="1:13" hidden="1" x14ac:dyDescent="0.3">
      <c r="A334" t="str">
        <f>IF(ISNUMBER($K334),INDEX(РАБОТЫ!$U$2:$U$1058,$K334),"")</f>
        <v/>
      </c>
      <c r="B334" t="str">
        <f>IF(ISNUMBER($K334),INDEX(РАБОТЫ!$A$2:$A$1058,$K334),"")</f>
        <v/>
      </c>
      <c r="C334" s="4" t="str">
        <f>IF($L334&lt;&gt;"",INDEX(РАБОТЫ!$Z$2:$Z$1058,MATCH($L334,РАБОТЫ!$V$2:$V$1058,0)),IF(ISNUMBER($K334),INDEX(РАБОТЫ!$Y$2:$Y$1058,$K334),""))</f>
        <v/>
      </c>
      <c r="D334" t="str">
        <f>IF(ISNUMBER($K334),INDEX(РАБОТЫ!$E$2:$E$1058,$K334),"")</f>
        <v/>
      </c>
      <c r="E334" t="str">
        <f>IF(ISNUMBER($K334),INDEX(РАБОТЫ!$M$2:$M$1058,$K334),"")</f>
        <v/>
      </c>
      <c r="F334" s="7" t="str">
        <f>IF(ISNUMBER($K334),INDEX(РАБОТЫ!$S$2:$S$1058,$K334),"")</f>
        <v/>
      </c>
      <c r="G334" s="7" t="str">
        <f>IF(ISNUMBER($K334),INDEX(РАБОТЫ!$T$2:$T$1058,$K334),"")</f>
        <v/>
      </c>
      <c r="H334" s="7" t="str">
        <f t="shared" si="16"/>
        <v/>
      </c>
      <c r="I334" s="7" t="str">
        <f t="shared" si="17"/>
        <v/>
      </c>
      <c r="J334" s="7" t="str">
        <f t="shared" si="18"/>
        <v/>
      </c>
      <c r="K334" t="str">
        <f>IFERROR(MATCH(313,РАБОТЫ!$X$2:$X$1058,0),"")</f>
        <v/>
      </c>
      <c r="L334" t="str">
        <f>IFERROR(IF(INDEX(РАБОТЫ!$W$2:$W$1058,MATCH(313+1,РАБОТЫ!$X$2:$X$1058,0))=1,INDEX(РАБОТЫ!$V$2:$V$1058,MATCH(313+1,РАБОТЫ!$X$2:$X$1058,0)),""),"")</f>
        <v/>
      </c>
      <c r="M334" t="str">
        <f t="shared" si="19"/>
        <v/>
      </c>
    </row>
    <row r="335" spans="1:13" hidden="1" x14ac:dyDescent="0.3">
      <c r="A335" t="str">
        <f>IF(ISNUMBER($K335),INDEX(РАБОТЫ!$U$2:$U$1058,$K335),"")</f>
        <v/>
      </c>
      <c r="B335" t="str">
        <f>IF(ISNUMBER($K335),INDEX(РАБОТЫ!$A$2:$A$1058,$K335),"")</f>
        <v/>
      </c>
      <c r="C335" s="4" t="str">
        <f>IF($L335&lt;&gt;"",INDEX(РАБОТЫ!$Z$2:$Z$1058,MATCH($L335,РАБОТЫ!$V$2:$V$1058,0)),IF(ISNUMBER($K335),INDEX(РАБОТЫ!$Y$2:$Y$1058,$K335),""))</f>
        <v/>
      </c>
      <c r="D335" t="str">
        <f>IF(ISNUMBER($K335),INDEX(РАБОТЫ!$E$2:$E$1058,$K335),"")</f>
        <v/>
      </c>
      <c r="E335" t="str">
        <f>IF(ISNUMBER($K335),INDEX(РАБОТЫ!$M$2:$M$1058,$K335),"")</f>
        <v/>
      </c>
      <c r="F335" s="7" t="str">
        <f>IF(ISNUMBER($K335),INDEX(РАБОТЫ!$S$2:$S$1058,$K335),"")</f>
        <v/>
      </c>
      <c r="G335" s="7" t="str">
        <f>IF(ISNUMBER($K335),INDEX(РАБОТЫ!$T$2:$T$1058,$K335),"")</f>
        <v/>
      </c>
      <c r="H335" s="7" t="str">
        <f t="shared" si="16"/>
        <v/>
      </c>
      <c r="I335" s="7" t="str">
        <f t="shared" si="17"/>
        <v/>
      </c>
      <c r="J335" s="7" t="str">
        <f t="shared" si="18"/>
        <v/>
      </c>
      <c r="K335" t="str">
        <f>IFERROR(MATCH(314,РАБОТЫ!$X$2:$X$1058,0),"")</f>
        <v/>
      </c>
      <c r="L335" t="str">
        <f>IFERROR(IF(INDEX(РАБОТЫ!$W$2:$W$1058,MATCH(314+1,РАБОТЫ!$X$2:$X$1058,0))=1,INDEX(РАБОТЫ!$V$2:$V$1058,MATCH(314+1,РАБОТЫ!$X$2:$X$1058,0)),""),"")</f>
        <v/>
      </c>
      <c r="M335" t="str">
        <f t="shared" si="19"/>
        <v/>
      </c>
    </row>
    <row r="336" spans="1:13" hidden="1" x14ac:dyDescent="0.3">
      <c r="A336" t="str">
        <f>IF(ISNUMBER($K336),INDEX(РАБОТЫ!$U$2:$U$1058,$K336),"")</f>
        <v/>
      </c>
      <c r="B336" t="str">
        <f>IF(ISNUMBER($K336),INDEX(РАБОТЫ!$A$2:$A$1058,$K336),"")</f>
        <v/>
      </c>
      <c r="C336" s="4" t="str">
        <f>IF($L336&lt;&gt;"",INDEX(РАБОТЫ!$Z$2:$Z$1058,MATCH($L336,РАБОТЫ!$V$2:$V$1058,0)),IF(ISNUMBER($K336),INDEX(РАБОТЫ!$Y$2:$Y$1058,$K336),""))</f>
        <v/>
      </c>
      <c r="D336" t="str">
        <f>IF(ISNUMBER($K336),INDEX(РАБОТЫ!$E$2:$E$1058,$K336),"")</f>
        <v/>
      </c>
      <c r="E336" t="str">
        <f>IF(ISNUMBER($K336),INDEX(РАБОТЫ!$M$2:$M$1058,$K336),"")</f>
        <v/>
      </c>
      <c r="F336" s="7" t="str">
        <f>IF(ISNUMBER($K336),INDEX(РАБОТЫ!$S$2:$S$1058,$K336),"")</f>
        <v/>
      </c>
      <c r="G336" s="7" t="str">
        <f>IF(ISNUMBER($K336),INDEX(РАБОТЫ!$T$2:$T$1058,$K336),"")</f>
        <v/>
      </c>
      <c r="H336" s="7" t="str">
        <f t="shared" si="16"/>
        <v/>
      </c>
      <c r="I336" s="7" t="str">
        <f t="shared" si="17"/>
        <v/>
      </c>
      <c r="J336" s="7" t="str">
        <f t="shared" si="18"/>
        <v/>
      </c>
      <c r="K336" t="str">
        <f>IFERROR(MATCH(315,РАБОТЫ!$X$2:$X$1058,0),"")</f>
        <v/>
      </c>
      <c r="L336" t="str">
        <f>IFERROR(IF(INDEX(РАБОТЫ!$W$2:$W$1058,MATCH(315+1,РАБОТЫ!$X$2:$X$1058,0))=1,INDEX(РАБОТЫ!$V$2:$V$1058,MATCH(315+1,РАБОТЫ!$X$2:$X$1058,0)),""),"")</f>
        <v/>
      </c>
      <c r="M336" t="str">
        <f t="shared" si="19"/>
        <v/>
      </c>
    </row>
    <row r="337" spans="1:13" hidden="1" x14ac:dyDescent="0.3">
      <c r="A337" t="str">
        <f>IF(ISNUMBER($K337),INDEX(РАБОТЫ!$U$2:$U$1058,$K337),"")</f>
        <v/>
      </c>
      <c r="B337" t="str">
        <f>IF(ISNUMBER($K337),INDEX(РАБОТЫ!$A$2:$A$1058,$K337),"")</f>
        <v/>
      </c>
      <c r="C337" s="4" t="str">
        <f>IF($L337&lt;&gt;"",INDEX(РАБОТЫ!$Z$2:$Z$1058,MATCH($L337,РАБОТЫ!$V$2:$V$1058,0)),IF(ISNUMBER($K337),INDEX(РАБОТЫ!$Y$2:$Y$1058,$K337),""))</f>
        <v/>
      </c>
      <c r="D337" t="str">
        <f>IF(ISNUMBER($K337),INDEX(РАБОТЫ!$E$2:$E$1058,$K337),"")</f>
        <v/>
      </c>
      <c r="E337" t="str">
        <f>IF(ISNUMBER($K337),INDEX(РАБОТЫ!$M$2:$M$1058,$K337),"")</f>
        <v/>
      </c>
      <c r="F337" s="7" t="str">
        <f>IF(ISNUMBER($K337),INDEX(РАБОТЫ!$S$2:$S$1058,$K337),"")</f>
        <v/>
      </c>
      <c r="G337" s="7" t="str">
        <f>IF(ISNUMBER($K337),INDEX(РАБОТЫ!$T$2:$T$1058,$K337),"")</f>
        <v/>
      </c>
      <c r="H337" s="7" t="str">
        <f t="shared" si="16"/>
        <v/>
      </c>
      <c r="I337" s="7" t="str">
        <f t="shared" si="17"/>
        <v/>
      </c>
      <c r="J337" s="7" t="str">
        <f t="shared" si="18"/>
        <v/>
      </c>
      <c r="K337" t="str">
        <f>IFERROR(MATCH(316,РАБОТЫ!$X$2:$X$1058,0),"")</f>
        <v/>
      </c>
      <c r="L337" t="str">
        <f>IFERROR(IF(INDEX(РАБОТЫ!$W$2:$W$1058,MATCH(316+1,РАБОТЫ!$X$2:$X$1058,0))=1,INDEX(РАБОТЫ!$V$2:$V$1058,MATCH(316+1,РАБОТЫ!$X$2:$X$1058,0)),""),"")</f>
        <v/>
      </c>
      <c r="M337" t="str">
        <f t="shared" si="19"/>
        <v/>
      </c>
    </row>
    <row r="338" spans="1:13" hidden="1" x14ac:dyDescent="0.3">
      <c r="A338" t="str">
        <f>IF(ISNUMBER($K338),INDEX(РАБОТЫ!$U$2:$U$1058,$K338),"")</f>
        <v/>
      </c>
      <c r="B338" t="str">
        <f>IF(ISNUMBER($K338),INDEX(РАБОТЫ!$A$2:$A$1058,$K338),"")</f>
        <v/>
      </c>
      <c r="C338" s="4" t="str">
        <f>IF($L338&lt;&gt;"",INDEX(РАБОТЫ!$Z$2:$Z$1058,MATCH($L338,РАБОТЫ!$V$2:$V$1058,0)),IF(ISNUMBER($K338),INDEX(РАБОТЫ!$Y$2:$Y$1058,$K338),""))</f>
        <v/>
      </c>
      <c r="D338" t="str">
        <f>IF(ISNUMBER($K338),INDEX(РАБОТЫ!$E$2:$E$1058,$K338),"")</f>
        <v/>
      </c>
      <c r="E338" t="str">
        <f>IF(ISNUMBER($K338),INDEX(РАБОТЫ!$M$2:$M$1058,$K338),"")</f>
        <v/>
      </c>
      <c r="F338" s="7" t="str">
        <f>IF(ISNUMBER($K338),INDEX(РАБОТЫ!$S$2:$S$1058,$K338),"")</f>
        <v/>
      </c>
      <c r="G338" s="7" t="str">
        <f>IF(ISNUMBER($K338),INDEX(РАБОТЫ!$T$2:$T$1058,$K338),"")</f>
        <v/>
      </c>
      <c r="H338" s="7" t="str">
        <f t="shared" si="16"/>
        <v/>
      </c>
      <c r="I338" s="7" t="str">
        <f t="shared" si="17"/>
        <v/>
      </c>
      <c r="J338" s="7" t="str">
        <f t="shared" si="18"/>
        <v/>
      </c>
      <c r="K338" t="str">
        <f>IFERROR(MATCH(317,РАБОТЫ!$X$2:$X$1058,0),"")</f>
        <v/>
      </c>
      <c r="L338" t="str">
        <f>IFERROR(IF(INDEX(РАБОТЫ!$W$2:$W$1058,MATCH(317+1,РАБОТЫ!$X$2:$X$1058,0))=1,INDEX(РАБОТЫ!$V$2:$V$1058,MATCH(317+1,РАБОТЫ!$X$2:$X$1058,0)),""),"")</f>
        <v/>
      </c>
      <c r="M338" t="str">
        <f t="shared" si="19"/>
        <v/>
      </c>
    </row>
    <row r="339" spans="1:13" hidden="1" x14ac:dyDescent="0.3">
      <c r="A339" t="str">
        <f>IF(ISNUMBER($K339),INDEX(РАБОТЫ!$U$2:$U$1058,$K339),"")</f>
        <v/>
      </c>
      <c r="B339" t="str">
        <f>IF(ISNUMBER($K339),INDEX(РАБОТЫ!$A$2:$A$1058,$K339),"")</f>
        <v/>
      </c>
      <c r="C339" s="4" t="str">
        <f>IF($L339&lt;&gt;"",INDEX(РАБОТЫ!$Z$2:$Z$1058,MATCH($L339,РАБОТЫ!$V$2:$V$1058,0)),IF(ISNUMBER($K339),INDEX(РАБОТЫ!$Y$2:$Y$1058,$K339),""))</f>
        <v/>
      </c>
      <c r="D339" t="str">
        <f>IF(ISNUMBER($K339),INDEX(РАБОТЫ!$E$2:$E$1058,$K339),"")</f>
        <v/>
      </c>
      <c r="E339" t="str">
        <f>IF(ISNUMBER($K339),INDEX(РАБОТЫ!$M$2:$M$1058,$K339),"")</f>
        <v/>
      </c>
      <c r="F339" s="7" t="str">
        <f>IF(ISNUMBER($K339),INDEX(РАБОТЫ!$S$2:$S$1058,$K339),"")</f>
        <v/>
      </c>
      <c r="G339" s="7" t="str">
        <f>IF(ISNUMBER($K339),INDEX(РАБОТЫ!$T$2:$T$1058,$K339),"")</f>
        <v/>
      </c>
      <c r="H339" s="7" t="str">
        <f t="shared" si="16"/>
        <v/>
      </c>
      <c r="I339" s="7" t="str">
        <f t="shared" si="17"/>
        <v/>
      </c>
      <c r="J339" s="7" t="str">
        <f t="shared" si="18"/>
        <v/>
      </c>
      <c r="K339" t="str">
        <f>IFERROR(MATCH(318,РАБОТЫ!$X$2:$X$1058,0),"")</f>
        <v/>
      </c>
      <c r="L339" t="str">
        <f>IFERROR(IF(INDEX(РАБОТЫ!$W$2:$W$1058,MATCH(318+1,РАБОТЫ!$X$2:$X$1058,0))=1,INDEX(РАБОТЫ!$V$2:$V$1058,MATCH(318+1,РАБОТЫ!$X$2:$X$1058,0)),""),"")</f>
        <v/>
      </c>
      <c r="M339" t="str">
        <f t="shared" si="19"/>
        <v/>
      </c>
    </row>
    <row r="340" spans="1:13" hidden="1" x14ac:dyDescent="0.3">
      <c r="A340" t="str">
        <f>IF(ISNUMBER($K340),INDEX(РАБОТЫ!$U$2:$U$1058,$K340),"")</f>
        <v/>
      </c>
      <c r="B340" t="str">
        <f>IF(ISNUMBER($K340),INDEX(РАБОТЫ!$A$2:$A$1058,$K340),"")</f>
        <v/>
      </c>
      <c r="C340" s="4" t="str">
        <f>IF($L340&lt;&gt;"",INDEX(РАБОТЫ!$Z$2:$Z$1058,MATCH($L340,РАБОТЫ!$V$2:$V$1058,0)),IF(ISNUMBER($K340),INDEX(РАБОТЫ!$Y$2:$Y$1058,$K340),""))</f>
        <v/>
      </c>
      <c r="D340" t="str">
        <f>IF(ISNUMBER($K340),INDEX(РАБОТЫ!$E$2:$E$1058,$K340),"")</f>
        <v/>
      </c>
      <c r="E340" t="str">
        <f>IF(ISNUMBER($K340),INDEX(РАБОТЫ!$M$2:$M$1058,$K340),"")</f>
        <v/>
      </c>
      <c r="F340" s="7" t="str">
        <f>IF(ISNUMBER($K340),INDEX(РАБОТЫ!$S$2:$S$1058,$K340),"")</f>
        <v/>
      </c>
      <c r="G340" s="7" t="str">
        <f>IF(ISNUMBER($K340),INDEX(РАБОТЫ!$T$2:$T$1058,$K340),"")</f>
        <v/>
      </c>
      <c r="H340" s="7" t="str">
        <f t="shared" si="16"/>
        <v/>
      </c>
      <c r="I340" s="7" t="str">
        <f t="shared" si="17"/>
        <v/>
      </c>
      <c r="J340" s="7" t="str">
        <f t="shared" si="18"/>
        <v/>
      </c>
      <c r="K340" t="str">
        <f>IFERROR(MATCH(319,РАБОТЫ!$X$2:$X$1058,0),"")</f>
        <v/>
      </c>
      <c r="L340" t="str">
        <f>IFERROR(IF(INDEX(РАБОТЫ!$W$2:$W$1058,MATCH(319+1,РАБОТЫ!$X$2:$X$1058,0))=1,INDEX(РАБОТЫ!$V$2:$V$1058,MATCH(319+1,РАБОТЫ!$X$2:$X$1058,0)),""),"")</f>
        <v/>
      </c>
      <c r="M340" t="str">
        <f t="shared" si="19"/>
        <v/>
      </c>
    </row>
    <row r="341" spans="1:13" hidden="1" x14ac:dyDescent="0.3">
      <c r="A341" t="str">
        <f>IF(ISNUMBER($K341),INDEX(РАБОТЫ!$U$2:$U$1058,$K341),"")</f>
        <v/>
      </c>
      <c r="B341" t="str">
        <f>IF(ISNUMBER($K341),INDEX(РАБОТЫ!$A$2:$A$1058,$K341),"")</f>
        <v/>
      </c>
      <c r="C341" s="4" t="str">
        <f>IF($L341&lt;&gt;"",INDEX(РАБОТЫ!$Z$2:$Z$1058,MATCH($L341,РАБОТЫ!$V$2:$V$1058,0)),IF(ISNUMBER($K341),INDEX(РАБОТЫ!$Y$2:$Y$1058,$K341),""))</f>
        <v/>
      </c>
      <c r="D341" t="str">
        <f>IF(ISNUMBER($K341),INDEX(РАБОТЫ!$E$2:$E$1058,$K341),"")</f>
        <v/>
      </c>
      <c r="E341" t="str">
        <f>IF(ISNUMBER($K341),INDEX(РАБОТЫ!$M$2:$M$1058,$K341),"")</f>
        <v/>
      </c>
      <c r="F341" s="7" t="str">
        <f>IF(ISNUMBER($K341),INDEX(РАБОТЫ!$S$2:$S$1058,$K341),"")</f>
        <v/>
      </c>
      <c r="G341" s="7" t="str">
        <f>IF(ISNUMBER($K341),INDEX(РАБОТЫ!$T$2:$T$1058,$K341),"")</f>
        <v/>
      </c>
      <c r="H341" s="7" t="str">
        <f t="shared" si="16"/>
        <v/>
      </c>
      <c r="I341" s="7" t="str">
        <f t="shared" si="17"/>
        <v/>
      </c>
      <c r="J341" s="7" t="str">
        <f t="shared" si="18"/>
        <v/>
      </c>
      <c r="K341" t="str">
        <f>IFERROR(MATCH(320,РАБОТЫ!$X$2:$X$1058,0),"")</f>
        <v/>
      </c>
      <c r="L341" t="str">
        <f>IFERROR(IF(INDEX(РАБОТЫ!$W$2:$W$1058,MATCH(320+1,РАБОТЫ!$X$2:$X$1058,0))=1,INDEX(РАБОТЫ!$V$2:$V$1058,MATCH(320+1,РАБОТЫ!$X$2:$X$1058,0)),""),"")</f>
        <v/>
      </c>
      <c r="M341" t="str">
        <f t="shared" si="19"/>
        <v/>
      </c>
    </row>
    <row r="342" spans="1:13" hidden="1" x14ac:dyDescent="0.3">
      <c r="A342" t="str">
        <f>IF(ISNUMBER($K342),INDEX(РАБОТЫ!$U$2:$U$1058,$K342),"")</f>
        <v/>
      </c>
      <c r="B342" t="str">
        <f>IF(ISNUMBER($K342),INDEX(РАБОТЫ!$A$2:$A$1058,$K342),"")</f>
        <v/>
      </c>
      <c r="C342" s="4" t="str">
        <f>IF($L342&lt;&gt;"",INDEX(РАБОТЫ!$Z$2:$Z$1058,MATCH($L342,РАБОТЫ!$V$2:$V$1058,0)),IF(ISNUMBER($K342),INDEX(РАБОТЫ!$Y$2:$Y$1058,$K342),""))</f>
        <v/>
      </c>
      <c r="D342" t="str">
        <f>IF(ISNUMBER($K342),INDEX(РАБОТЫ!$E$2:$E$1058,$K342),"")</f>
        <v/>
      </c>
      <c r="E342" t="str">
        <f>IF(ISNUMBER($K342),INDEX(РАБОТЫ!$M$2:$M$1058,$K342),"")</f>
        <v/>
      </c>
      <c r="F342" s="7" t="str">
        <f>IF(ISNUMBER($K342),INDEX(РАБОТЫ!$S$2:$S$1058,$K342),"")</f>
        <v/>
      </c>
      <c r="G342" s="7" t="str">
        <f>IF(ISNUMBER($K342),INDEX(РАБОТЫ!$T$2:$T$1058,$K342),"")</f>
        <v/>
      </c>
      <c r="H342" s="7" t="str">
        <f t="shared" ref="H342:H405" si="20">IF(ISNUMBER($K342),ROUND($E342*$F342,2),"")</f>
        <v/>
      </c>
      <c r="I342" s="7" t="str">
        <f t="shared" ref="I342:I405" si="21">IF(ISNUMBER($K342),ROUND($E342*$G342,2),"")</f>
        <v/>
      </c>
      <c r="J342" s="7" t="str">
        <f t="shared" ref="J342:J405" si="22">IF(ISNUMBER($K342),$H342+$I342,"")</f>
        <v/>
      </c>
      <c r="K342" t="str">
        <f>IFERROR(MATCH(321,РАБОТЫ!$X$2:$X$1058,0),"")</f>
        <v/>
      </c>
      <c r="L342" t="str">
        <f>IFERROR(IF(INDEX(РАБОТЫ!$W$2:$W$1058,MATCH(321+1,РАБОТЫ!$X$2:$X$1058,0))=1,INDEX(РАБОТЫ!$V$2:$V$1058,MATCH(321+1,РАБОТЫ!$X$2:$X$1058,0)),""),"")</f>
        <v/>
      </c>
      <c r="M342" t="str">
        <f t="shared" ref="M342:M405" si="23">IF(OR(ISNUMBER($K342),$L342&lt;&gt;""),"показать","")</f>
        <v/>
      </c>
    </row>
    <row r="343" spans="1:13" hidden="1" x14ac:dyDescent="0.3">
      <c r="A343" t="str">
        <f>IF(ISNUMBER($K343),INDEX(РАБОТЫ!$U$2:$U$1058,$K343),"")</f>
        <v/>
      </c>
      <c r="B343" t="str">
        <f>IF(ISNUMBER($K343),INDEX(РАБОТЫ!$A$2:$A$1058,$K343),"")</f>
        <v/>
      </c>
      <c r="C343" s="4" t="str">
        <f>IF($L343&lt;&gt;"",INDEX(РАБОТЫ!$Z$2:$Z$1058,MATCH($L343,РАБОТЫ!$V$2:$V$1058,0)),IF(ISNUMBER($K343),INDEX(РАБОТЫ!$Y$2:$Y$1058,$K343),""))</f>
        <v/>
      </c>
      <c r="D343" t="str">
        <f>IF(ISNUMBER($K343),INDEX(РАБОТЫ!$E$2:$E$1058,$K343),"")</f>
        <v/>
      </c>
      <c r="E343" t="str">
        <f>IF(ISNUMBER($K343),INDEX(РАБОТЫ!$M$2:$M$1058,$K343),"")</f>
        <v/>
      </c>
      <c r="F343" s="7" t="str">
        <f>IF(ISNUMBER($K343),INDEX(РАБОТЫ!$S$2:$S$1058,$K343),"")</f>
        <v/>
      </c>
      <c r="G343" s="7" t="str">
        <f>IF(ISNUMBER($K343),INDEX(РАБОТЫ!$T$2:$T$1058,$K343),"")</f>
        <v/>
      </c>
      <c r="H343" s="7" t="str">
        <f t="shared" si="20"/>
        <v/>
      </c>
      <c r="I343" s="7" t="str">
        <f t="shared" si="21"/>
        <v/>
      </c>
      <c r="J343" s="7" t="str">
        <f t="shared" si="22"/>
        <v/>
      </c>
      <c r="K343" t="str">
        <f>IFERROR(MATCH(322,РАБОТЫ!$X$2:$X$1058,0),"")</f>
        <v/>
      </c>
      <c r="L343" t="str">
        <f>IFERROR(IF(INDEX(РАБОТЫ!$W$2:$W$1058,MATCH(322+1,РАБОТЫ!$X$2:$X$1058,0))=1,INDEX(РАБОТЫ!$V$2:$V$1058,MATCH(322+1,РАБОТЫ!$X$2:$X$1058,0)),""),"")</f>
        <v/>
      </c>
      <c r="M343" t="str">
        <f t="shared" si="23"/>
        <v/>
      </c>
    </row>
    <row r="344" spans="1:13" hidden="1" x14ac:dyDescent="0.3">
      <c r="A344" t="str">
        <f>IF(ISNUMBER($K344),INDEX(РАБОТЫ!$U$2:$U$1058,$K344),"")</f>
        <v/>
      </c>
      <c r="B344" t="str">
        <f>IF(ISNUMBER($K344),INDEX(РАБОТЫ!$A$2:$A$1058,$K344),"")</f>
        <v/>
      </c>
      <c r="C344" s="4" t="str">
        <f>IF($L344&lt;&gt;"",INDEX(РАБОТЫ!$Z$2:$Z$1058,MATCH($L344,РАБОТЫ!$V$2:$V$1058,0)),IF(ISNUMBER($K344),INDEX(РАБОТЫ!$Y$2:$Y$1058,$K344),""))</f>
        <v/>
      </c>
      <c r="D344" t="str">
        <f>IF(ISNUMBER($K344),INDEX(РАБОТЫ!$E$2:$E$1058,$K344),"")</f>
        <v/>
      </c>
      <c r="E344" t="str">
        <f>IF(ISNUMBER($K344),INDEX(РАБОТЫ!$M$2:$M$1058,$K344),"")</f>
        <v/>
      </c>
      <c r="F344" s="7" t="str">
        <f>IF(ISNUMBER($K344),INDEX(РАБОТЫ!$S$2:$S$1058,$K344),"")</f>
        <v/>
      </c>
      <c r="G344" s="7" t="str">
        <f>IF(ISNUMBER($K344),INDEX(РАБОТЫ!$T$2:$T$1058,$K344),"")</f>
        <v/>
      </c>
      <c r="H344" s="7" t="str">
        <f t="shared" si="20"/>
        <v/>
      </c>
      <c r="I344" s="7" t="str">
        <f t="shared" si="21"/>
        <v/>
      </c>
      <c r="J344" s="7" t="str">
        <f t="shared" si="22"/>
        <v/>
      </c>
      <c r="K344" t="str">
        <f>IFERROR(MATCH(323,РАБОТЫ!$X$2:$X$1058,0),"")</f>
        <v/>
      </c>
      <c r="L344" t="str">
        <f>IFERROR(IF(INDEX(РАБОТЫ!$W$2:$W$1058,MATCH(323+1,РАБОТЫ!$X$2:$X$1058,0))=1,INDEX(РАБОТЫ!$V$2:$V$1058,MATCH(323+1,РАБОТЫ!$X$2:$X$1058,0)),""),"")</f>
        <v/>
      </c>
      <c r="M344" t="str">
        <f t="shared" si="23"/>
        <v/>
      </c>
    </row>
    <row r="345" spans="1:13" hidden="1" x14ac:dyDescent="0.3">
      <c r="A345" t="str">
        <f>IF(ISNUMBER($K345),INDEX(РАБОТЫ!$U$2:$U$1058,$K345),"")</f>
        <v/>
      </c>
      <c r="B345" t="str">
        <f>IF(ISNUMBER($K345),INDEX(РАБОТЫ!$A$2:$A$1058,$K345),"")</f>
        <v/>
      </c>
      <c r="C345" s="4" t="str">
        <f>IF($L345&lt;&gt;"",INDEX(РАБОТЫ!$Z$2:$Z$1058,MATCH($L345,РАБОТЫ!$V$2:$V$1058,0)),IF(ISNUMBER($K345),INDEX(РАБОТЫ!$Y$2:$Y$1058,$K345),""))</f>
        <v/>
      </c>
      <c r="D345" t="str">
        <f>IF(ISNUMBER($K345),INDEX(РАБОТЫ!$E$2:$E$1058,$K345),"")</f>
        <v/>
      </c>
      <c r="E345" t="str">
        <f>IF(ISNUMBER($K345),INDEX(РАБОТЫ!$M$2:$M$1058,$K345),"")</f>
        <v/>
      </c>
      <c r="F345" s="7" t="str">
        <f>IF(ISNUMBER($K345),INDEX(РАБОТЫ!$S$2:$S$1058,$K345),"")</f>
        <v/>
      </c>
      <c r="G345" s="7" t="str">
        <f>IF(ISNUMBER($K345),INDEX(РАБОТЫ!$T$2:$T$1058,$K345),"")</f>
        <v/>
      </c>
      <c r="H345" s="7" t="str">
        <f t="shared" si="20"/>
        <v/>
      </c>
      <c r="I345" s="7" t="str">
        <f t="shared" si="21"/>
        <v/>
      </c>
      <c r="J345" s="7" t="str">
        <f t="shared" si="22"/>
        <v/>
      </c>
      <c r="K345" t="str">
        <f>IFERROR(MATCH(324,РАБОТЫ!$X$2:$X$1058,0),"")</f>
        <v/>
      </c>
      <c r="L345" t="str">
        <f>IFERROR(IF(INDEX(РАБОТЫ!$W$2:$W$1058,MATCH(324+1,РАБОТЫ!$X$2:$X$1058,0))=1,INDEX(РАБОТЫ!$V$2:$V$1058,MATCH(324+1,РАБОТЫ!$X$2:$X$1058,0)),""),"")</f>
        <v/>
      </c>
      <c r="M345" t="str">
        <f t="shared" si="23"/>
        <v/>
      </c>
    </row>
    <row r="346" spans="1:13" hidden="1" x14ac:dyDescent="0.3">
      <c r="A346" t="str">
        <f>IF(ISNUMBER($K346),INDEX(РАБОТЫ!$U$2:$U$1058,$K346),"")</f>
        <v/>
      </c>
      <c r="B346" t="str">
        <f>IF(ISNUMBER($K346),INDEX(РАБОТЫ!$A$2:$A$1058,$K346),"")</f>
        <v/>
      </c>
      <c r="C346" s="4" t="str">
        <f>IF($L346&lt;&gt;"",INDEX(РАБОТЫ!$Z$2:$Z$1058,MATCH($L346,РАБОТЫ!$V$2:$V$1058,0)),IF(ISNUMBER($K346),INDEX(РАБОТЫ!$Y$2:$Y$1058,$K346),""))</f>
        <v/>
      </c>
      <c r="D346" t="str">
        <f>IF(ISNUMBER($K346),INDEX(РАБОТЫ!$E$2:$E$1058,$K346),"")</f>
        <v/>
      </c>
      <c r="E346" t="str">
        <f>IF(ISNUMBER($K346),INDEX(РАБОТЫ!$M$2:$M$1058,$K346),"")</f>
        <v/>
      </c>
      <c r="F346" s="7" t="str">
        <f>IF(ISNUMBER($K346),INDEX(РАБОТЫ!$S$2:$S$1058,$K346),"")</f>
        <v/>
      </c>
      <c r="G346" s="7" t="str">
        <f>IF(ISNUMBER($K346),INDEX(РАБОТЫ!$T$2:$T$1058,$K346),"")</f>
        <v/>
      </c>
      <c r="H346" s="7" t="str">
        <f t="shared" si="20"/>
        <v/>
      </c>
      <c r="I346" s="7" t="str">
        <f t="shared" si="21"/>
        <v/>
      </c>
      <c r="J346" s="7" t="str">
        <f t="shared" si="22"/>
        <v/>
      </c>
      <c r="K346" t="str">
        <f>IFERROR(MATCH(325,РАБОТЫ!$X$2:$X$1058,0),"")</f>
        <v/>
      </c>
      <c r="L346" t="str">
        <f>IFERROR(IF(INDEX(РАБОТЫ!$W$2:$W$1058,MATCH(325+1,РАБОТЫ!$X$2:$X$1058,0))=1,INDEX(РАБОТЫ!$V$2:$V$1058,MATCH(325+1,РАБОТЫ!$X$2:$X$1058,0)),""),"")</f>
        <v/>
      </c>
      <c r="M346" t="str">
        <f t="shared" si="23"/>
        <v/>
      </c>
    </row>
    <row r="347" spans="1:13" hidden="1" x14ac:dyDescent="0.3">
      <c r="A347" t="str">
        <f>IF(ISNUMBER($K347),INDEX(РАБОТЫ!$U$2:$U$1058,$K347),"")</f>
        <v/>
      </c>
      <c r="B347" t="str">
        <f>IF(ISNUMBER($K347),INDEX(РАБОТЫ!$A$2:$A$1058,$K347),"")</f>
        <v/>
      </c>
      <c r="C347" s="4" t="str">
        <f>IF($L347&lt;&gt;"",INDEX(РАБОТЫ!$Z$2:$Z$1058,MATCH($L347,РАБОТЫ!$V$2:$V$1058,0)),IF(ISNUMBER($K347),INDEX(РАБОТЫ!$Y$2:$Y$1058,$K347),""))</f>
        <v/>
      </c>
      <c r="D347" t="str">
        <f>IF(ISNUMBER($K347),INDEX(РАБОТЫ!$E$2:$E$1058,$K347),"")</f>
        <v/>
      </c>
      <c r="E347" t="str">
        <f>IF(ISNUMBER($K347),INDEX(РАБОТЫ!$M$2:$M$1058,$K347),"")</f>
        <v/>
      </c>
      <c r="F347" s="7" t="str">
        <f>IF(ISNUMBER($K347),INDEX(РАБОТЫ!$S$2:$S$1058,$K347),"")</f>
        <v/>
      </c>
      <c r="G347" s="7" t="str">
        <f>IF(ISNUMBER($K347),INDEX(РАБОТЫ!$T$2:$T$1058,$K347),"")</f>
        <v/>
      </c>
      <c r="H347" s="7" t="str">
        <f t="shared" si="20"/>
        <v/>
      </c>
      <c r="I347" s="7" t="str">
        <f t="shared" si="21"/>
        <v/>
      </c>
      <c r="J347" s="7" t="str">
        <f t="shared" si="22"/>
        <v/>
      </c>
      <c r="K347" t="str">
        <f>IFERROR(MATCH(326,РАБОТЫ!$X$2:$X$1058,0),"")</f>
        <v/>
      </c>
      <c r="L347" t="str">
        <f>IFERROR(IF(INDEX(РАБОТЫ!$W$2:$W$1058,MATCH(326+1,РАБОТЫ!$X$2:$X$1058,0))=1,INDEX(РАБОТЫ!$V$2:$V$1058,MATCH(326+1,РАБОТЫ!$X$2:$X$1058,0)),""),"")</f>
        <v/>
      </c>
      <c r="M347" t="str">
        <f t="shared" si="23"/>
        <v/>
      </c>
    </row>
    <row r="348" spans="1:13" hidden="1" x14ac:dyDescent="0.3">
      <c r="A348" t="str">
        <f>IF(ISNUMBER($K348),INDEX(РАБОТЫ!$U$2:$U$1058,$K348),"")</f>
        <v/>
      </c>
      <c r="B348" t="str">
        <f>IF(ISNUMBER($K348),INDEX(РАБОТЫ!$A$2:$A$1058,$K348),"")</f>
        <v/>
      </c>
      <c r="C348" s="4" t="str">
        <f>IF($L348&lt;&gt;"",INDEX(РАБОТЫ!$Z$2:$Z$1058,MATCH($L348,РАБОТЫ!$V$2:$V$1058,0)),IF(ISNUMBER($K348),INDEX(РАБОТЫ!$Y$2:$Y$1058,$K348),""))</f>
        <v/>
      </c>
      <c r="D348" t="str">
        <f>IF(ISNUMBER($K348),INDEX(РАБОТЫ!$E$2:$E$1058,$K348),"")</f>
        <v/>
      </c>
      <c r="E348" t="str">
        <f>IF(ISNUMBER($K348),INDEX(РАБОТЫ!$M$2:$M$1058,$K348),"")</f>
        <v/>
      </c>
      <c r="F348" s="7" t="str">
        <f>IF(ISNUMBER($K348),INDEX(РАБОТЫ!$S$2:$S$1058,$K348),"")</f>
        <v/>
      </c>
      <c r="G348" s="7" t="str">
        <f>IF(ISNUMBER($K348),INDEX(РАБОТЫ!$T$2:$T$1058,$K348),"")</f>
        <v/>
      </c>
      <c r="H348" s="7" t="str">
        <f t="shared" si="20"/>
        <v/>
      </c>
      <c r="I348" s="7" t="str">
        <f t="shared" si="21"/>
        <v/>
      </c>
      <c r="J348" s="7" t="str">
        <f t="shared" si="22"/>
        <v/>
      </c>
      <c r="K348" t="str">
        <f>IFERROR(MATCH(327,РАБОТЫ!$X$2:$X$1058,0),"")</f>
        <v/>
      </c>
      <c r="L348" t="str">
        <f>IFERROR(IF(INDEX(РАБОТЫ!$W$2:$W$1058,MATCH(327+1,РАБОТЫ!$X$2:$X$1058,0))=1,INDEX(РАБОТЫ!$V$2:$V$1058,MATCH(327+1,РАБОТЫ!$X$2:$X$1058,0)),""),"")</f>
        <v/>
      </c>
      <c r="M348" t="str">
        <f t="shared" si="23"/>
        <v/>
      </c>
    </row>
    <row r="349" spans="1:13" hidden="1" x14ac:dyDescent="0.3">
      <c r="A349" t="str">
        <f>IF(ISNUMBER($K349),INDEX(РАБОТЫ!$U$2:$U$1058,$K349),"")</f>
        <v/>
      </c>
      <c r="B349" t="str">
        <f>IF(ISNUMBER($K349),INDEX(РАБОТЫ!$A$2:$A$1058,$K349),"")</f>
        <v/>
      </c>
      <c r="C349" s="4" t="str">
        <f>IF($L349&lt;&gt;"",INDEX(РАБОТЫ!$Z$2:$Z$1058,MATCH($L349,РАБОТЫ!$V$2:$V$1058,0)),IF(ISNUMBER($K349),INDEX(РАБОТЫ!$Y$2:$Y$1058,$K349),""))</f>
        <v/>
      </c>
      <c r="D349" t="str">
        <f>IF(ISNUMBER($K349),INDEX(РАБОТЫ!$E$2:$E$1058,$K349),"")</f>
        <v/>
      </c>
      <c r="E349" t="str">
        <f>IF(ISNUMBER($K349),INDEX(РАБОТЫ!$M$2:$M$1058,$K349),"")</f>
        <v/>
      </c>
      <c r="F349" s="7" t="str">
        <f>IF(ISNUMBER($K349),INDEX(РАБОТЫ!$S$2:$S$1058,$K349),"")</f>
        <v/>
      </c>
      <c r="G349" s="7" t="str">
        <f>IF(ISNUMBER($K349),INDEX(РАБОТЫ!$T$2:$T$1058,$K349),"")</f>
        <v/>
      </c>
      <c r="H349" s="7" t="str">
        <f t="shared" si="20"/>
        <v/>
      </c>
      <c r="I349" s="7" t="str">
        <f t="shared" si="21"/>
        <v/>
      </c>
      <c r="J349" s="7" t="str">
        <f t="shared" si="22"/>
        <v/>
      </c>
      <c r="K349" t="str">
        <f>IFERROR(MATCH(328,РАБОТЫ!$X$2:$X$1058,0),"")</f>
        <v/>
      </c>
      <c r="L349" t="str">
        <f>IFERROR(IF(INDEX(РАБОТЫ!$W$2:$W$1058,MATCH(328+1,РАБОТЫ!$X$2:$X$1058,0))=1,INDEX(РАБОТЫ!$V$2:$V$1058,MATCH(328+1,РАБОТЫ!$X$2:$X$1058,0)),""),"")</f>
        <v/>
      </c>
      <c r="M349" t="str">
        <f t="shared" si="23"/>
        <v/>
      </c>
    </row>
    <row r="350" spans="1:13" hidden="1" x14ac:dyDescent="0.3">
      <c r="A350" t="str">
        <f>IF(ISNUMBER($K350),INDEX(РАБОТЫ!$U$2:$U$1058,$K350),"")</f>
        <v/>
      </c>
      <c r="B350" t="str">
        <f>IF(ISNUMBER($K350),INDEX(РАБОТЫ!$A$2:$A$1058,$K350),"")</f>
        <v/>
      </c>
      <c r="C350" s="4" t="str">
        <f>IF($L350&lt;&gt;"",INDEX(РАБОТЫ!$Z$2:$Z$1058,MATCH($L350,РАБОТЫ!$V$2:$V$1058,0)),IF(ISNUMBER($K350),INDEX(РАБОТЫ!$Y$2:$Y$1058,$K350),""))</f>
        <v/>
      </c>
      <c r="D350" t="str">
        <f>IF(ISNUMBER($K350),INDEX(РАБОТЫ!$E$2:$E$1058,$K350),"")</f>
        <v/>
      </c>
      <c r="E350" t="str">
        <f>IF(ISNUMBER($K350),INDEX(РАБОТЫ!$M$2:$M$1058,$K350),"")</f>
        <v/>
      </c>
      <c r="F350" s="7" t="str">
        <f>IF(ISNUMBER($K350),INDEX(РАБОТЫ!$S$2:$S$1058,$K350),"")</f>
        <v/>
      </c>
      <c r="G350" s="7" t="str">
        <f>IF(ISNUMBER($K350),INDEX(РАБОТЫ!$T$2:$T$1058,$K350),"")</f>
        <v/>
      </c>
      <c r="H350" s="7" t="str">
        <f t="shared" si="20"/>
        <v/>
      </c>
      <c r="I350" s="7" t="str">
        <f t="shared" si="21"/>
        <v/>
      </c>
      <c r="J350" s="7" t="str">
        <f t="shared" si="22"/>
        <v/>
      </c>
      <c r="K350" t="str">
        <f>IFERROR(MATCH(329,РАБОТЫ!$X$2:$X$1058,0),"")</f>
        <v/>
      </c>
      <c r="L350" t="str">
        <f>IFERROR(IF(INDEX(РАБОТЫ!$W$2:$W$1058,MATCH(329+1,РАБОТЫ!$X$2:$X$1058,0))=1,INDEX(РАБОТЫ!$V$2:$V$1058,MATCH(329+1,РАБОТЫ!$X$2:$X$1058,0)),""),"")</f>
        <v/>
      </c>
      <c r="M350" t="str">
        <f t="shared" si="23"/>
        <v/>
      </c>
    </row>
    <row r="351" spans="1:13" hidden="1" x14ac:dyDescent="0.3">
      <c r="A351" t="str">
        <f>IF(ISNUMBER($K351),INDEX(РАБОТЫ!$U$2:$U$1058,$K351),"")</f>
        <v/>
      </c>
      <c r="B351" t="str">
        <f>IF(ISNUMBER($K351),INDEX(РАБОТЫ!$A$2:$A$1058,$K351),"")</f>
        <v/>
      </c>
      <c r="C351" s="4" t="str">
        <f>IF($L351&lt;&gt;"",INDEX(РАБОТЫ!$Z$2:$Z$1058,MATCH($L351,РАБОТЫ!$V$2:$V$1058,0)),IF(ISNUMBER($K351),INDEX(РАБОТЫ!$Y$2:$Y$1058,$K351),""))</f>
        <v/>
      </c>
      <c r="D351" t="str">
        <f>IF(ISNUMBER($K351),INDEX(РАБОТЫ!$E$2:$E$1058,$K351),"")</f>
        <v/>
      </c>
      <c r="E351" t="str">
        <f>IF(ISNUMBER($K351),INDEX(РАБОТЫ!$M$2:$M$1058,$K351),"")</f>
        <v/>
      </c>
      <c r="F351" s="7" t="str">
        <f>IF(ISNUMBER($K351),INDEX(РАБОТЫ!$S$2:$S$1058,$K351),"")</f>
        <v/>
      </c>
      <c r="G351" s="7" t="str">
        <f>IF(ISNUMBER($K351),INDEX(РАБОТЫ!$T$2:$T$1058,$K351),"")</f>
        <v/>
      </c>
      <c r="H351" s="7" t="str">
        <f t="shared" si="20"/>
        <v/>
      </c>
      <c r="I351" s="7" t="str">
        <f t="shared" si="21"/>
        <v/>
      </c>
      <c r="J351" s="7" t="str">
        <f t="shared" si="22"/>
        <v/>
      </c>
      <c r="K351" t="str">
        <f>IFERROR(MATCH(330,РАБОТЫ!$X$2:$X$1058,0),"")</f>
        <v/>
      </c>
      <c r="L351" t="str">
        <f>IFERROR(IF(INDEX(РАБОТЫ!$W$2:$W$1058,MATCH(330+1,РАБОТЫ!$X$2:$X$1058,0))=1,INDEX(РАБОТЫ!$V$2:$V$1058,MATCH(330+1,РАБОТЫ!$X$2:$X$1058,0)),""),"")</f>
        <v/>
      </c>
      <c r="M351" t="str">
        <f t="shared" si="23"/>
        <v/>
      </c>
    </row>
    <row r="352" spans="1:13" hidden="1" x14ac:dyDescent="0.3">
      <c r="A352" t="str">
        <f>IF(ISNUMBER($K352),INDEX(РАБОТЫ!$U$2:$U$1058,$K352),"")</f>
        <v/>
      </c>
      <c r="B352" t="str">
        <f>IF(ISNUMBER($K352),INDEX(РАБОТЫ!$A$2:$A$1058,$K352),"")</f>
        <v/>
      </c>
      <c r="C352" s="4" t="str">
        <f>IF($L352&lt;&gt;"",INDEX(РАБОТЫ!$Z$2:$Z$1058,MATCH($L352,РАБОТЫ!$V$2:$V$1058,0)),IF(ISNUMBER($K352),INDEX(РАБОТЫ!$Y$2:$Y$1058,$K352),""))</f>
        <v/>
      </c>
      <c r="D352" t="str">
        <f>IF(ISNUMBER($K352),INDEX(РАБОТЫ!$E$2:$E$1058,$K352),"")</f>
        <v/>
      </c>
      <c r="E352" t="str">
        <f>IF(ISNUMBER($K352),INDEX(РАБОТЫ!$M$2:$M$1058,$K352),"")</f>
        <v/>
      </c>
      <c r="F352" s="7" t="str">
        <f>IF(ISNUMBER($K352),INDEX(РАБОТЫ!$S$2:$S$1058,$K352),"")</f>
        <v/>
      </c>
      <c r="G352" s="7" t="str">
        <f>IF(ISNUMBER($K352),INDEX(РАБОТЫ!$T$2:$T$1058,$K352),"")</f>
        <v/>
      </c>
      <c r="H352" s="7" t="str">
        <f t="shared" si="20"/>
        <v/>
      </c>
      <c r="I352" s="7" t="str">
        <f t="shared" si="21"/>
        <v/>
      </c>
      <c r="J352" s="7" t="str">
        <f t="shared" si="22"/>
        <v/>
      </c>
      <c r="K352" t="str">
        <f>IFERROR(MATCH(331,РАБОТЫ!$X$2:$X$1058,0),"")</f>
        <v/>
      </c>
      <c r="L352" t="str">
        <f>IFERROR(IF(INDEX(РАБОТЫ!$W$2:$W$1058,MATCH(331+1,РАБОТЫ!$X$2:$X$1058,0))=1,INDEX(РАБОТЫ!$V$2:$V$1058,MATCH(331+1,РАБОТЫ!$X$2:$X$1058,0)),""),"")</f>
        <v/>
      </c>
      <c r="M352" t="str">
        <f t="shared" si="23"/>
        <v/>
      </c>
    </row>
    <row r="353" spans="1:13" hidden="1" x14ac:dyDescent="0.3">
      <c r="A353" t="str">
        <f>IF(ISNUMBER($K353),INDEX(РАБОТЫ!$U$2:$U$1058,$K353),"")</f>
        <v/>
      </c>
      <c r="B353" t="str">
        <f>IF(ISNUMBER($K353),INDEX(РАБОТЫ!$A$2:$A$1058,$K353),"")</f>
        <v/>
      </c>
      <c r="C353" s="4" t="str">
        <f>IF($L353&lt;&gt;"",INDEX(РАБОТЫ!$Z$2:$Z$1058,MATCH($L353,РАБОТЫ!$V$2:$V$1058,0)),IF(ISNUMBER($K353),INDEX(РАБОТЫ!$Y$2:$Y$1058,$K353),""))</f>
        <v/>
      </c>
      <c r="D353" t="str">
        <f>IF(ISNUMBER($K353),INDEX(РАБОТЫ!$E$2:$E$1058,$K353),"")</f>
        <v/>
      </c>
      <c r="E353" t="str">
        <f>IF(ISNUMBER($K353),INDEX(РАБОТЫ!$M$2:$M$1058,$K353),"")</f>
        <v/>
      </c>
      <c r="F353" s="7" t="str">
        <f>IF(ISNUMBER($K353),INDEX(РАБОТЫ!$S$2:$S$1058,$K353),"")</f>
        <v/>
      </c>
      <c r="G353" s="7" t="str">
        <f>IF(ISNUMBER($K353),INDEX(РАБОТЫ!$T$2:$T$1058,$K353),"")</f>
        <v/>
      </c>
      <c r="H353" s="7" t="str">
        <f t="shared" si="20"/>
        <v/>
      </c>
      <c r="I353" s="7" t="str">
        <f t="shared" si="21"/>
        <v/>
      </c>
      <c r="J353" s="7" t="str">
        <f t="shared" si="22"/>
        <v/>
      </c>
      <c r="K353" t="str">
        <f>IFERROR(MATCH(332,РАБОТЫ!$X$2:$X$1058,0),"")</f>
        <v/>
      </c>
      <c r="L353" t="str">
        <f>IFERROR(IF(INDEX(РАБОТЫ!$W$2:$W$1058,MATCH(332+1,РАБОТЫ!$X$2:$X$1058,0))=1,INDEX(РАБОТЫ!$V$2:$V$1058,MATCH(332+1,РАБОТЫ!$X$2:$X$1058,0)),""),"")</f>
        <v/>
      </c>
      <c r="M353" t="str">
        <f t="shared" si="23"/>
        <v/>
      </c>
    </row>
    <row r="354" spans="1:13" hidden="1" x14ac:dyDescent="0.3">
      <c r="A354" t="str">
        <f>IF(ISNUMBER($K354),INDEX(РАБОТЫ!$U$2:$U$1058,$K354),"")</f>
        <v/>
      </c>
      <c r="B354" t="str">
        <f>IF(ISNUMBER($K354),INDEX(РАБОТЫ!$A$2:$A$1058,$K354),"")</f>
        <v/>
      </c>
      <c r="C354" s="4" t="str">
        <f>IF($L354&lt;&gt;"",INDEX(РАБОТЫ!$Z$2:$Z$1058,MATCH($L354,РАБОТЫ!$V$2:$V$1058,0)),IF(ISNUMBER($K354),INDEX(РАБОТЫ!$Y$2:$Y$1058,$K354),""))</f>
        <v/>
      </c>
      <c r="D354" t="str">
        <f>IF(ISNUMBER($K354),INDEX(РАБОТЫ!$E$2:$E$1058,$K354),"")</f>
        <v/>
      </c>
      <c r="E354" t="str">
        <f>IF(ISNUMBER($K354),INDEX(РАБОТЫ!$M$2:$M$1058,$K354),"")</f>
        <v/>
      </c>
      <c r="F354" s="7" t="str">
        <f>IF(ISNUMBER($K354),INDEX(РАБОТЫ!$S$2:$S$1058,$K354),"")</f>
        <v/>
      </c>
      <c r="G354" s="7" t="str">
        <f>IF(ISNUMBER($K354),INDEX(РАБОТЫ!$T$2:$T$1058,$K354),"")</f>
        <v/>
      </c>
      <c r="H354" s="7" t="str">
        <f t="shared" si="20"/>
        <v/>
      </c>
      <c r="I354" s="7" t="str">
        <f t="shared" si="21"/>
        <v/>
      </c>
      <c r="J354" s="7" t="str">
        <f t="shared" si="22"/>
        <v/>
      </c>
      <c r="K354" t="str">
        <f>IFERROR(MATCH(333,РАБОТЫ!$X$2:$X$1058,0),"")</f>
        <v/>
      </c>
      <c r="L354" t="str">
        <f>IFERROR(IF(INDEX(РАБОТЫ!$W$2:$W$1058,MATCH(333+1,РАБОТЫ!$X$2:$X$1058,0))=1,INDEX(РАБОТЫ!$V$2:$V$1058,MATCH(333+1,РАБОТЫ!$X$2:$X$1058,0)),""),"")</f>
        <v/>
      </c>
      <c r="M354" t="str">
        <f t="shared" si="23"/>
        <v/>
      </c>
    </row>
    <row r="355" spans="1:13" hidden="1" x14ac:dyDescent="0.3">
      <c r="A355" t="str">
        <f>IF(ISNUMBER($K355),INDEX(РАБОТЫ!$U$2:$U$1058,$K355),"")</f>
        <v/>
      </c>
      <c r="B355" t="str">
        <f>IF(ISNUMBER($K355),INDEX(РАБОТЫ!$A$2:$A$1058,$K355),"")</f>
        <v/>
      </c>
      <c r="C355" s="4" t="str">
        <f>IF($L355&lt;&gt;"",INDEX(РАБОТЫ!$Z$2:$Z$1058,MATCH($L355,РАБОТЫ!$V$2:$V$1058,0)),IF(ISNUMBER($K355),INDEX(РАБОТЫ!$Y$2:$Y$1058,$K355),""))</f>
        <v/>
      </c>
      <c r="D355" t="str">
        <f>IF(ISNUMBER($K355),INDEX(РАБОТЫ!$E$2:$E$1058,$K355),"")</f>
        <v/>
      </c>
      <c r="E355" t="str">
        <f>IF(ISNUMBER($K355),INDEX(РАБОТЫ!$M$2:$M$1058,$K355),"")</f>
        <v/>
      </c>
      <c r="F355" s="7" t="str">
        <f>IF(ISNUMBER($K355),INDEX(РАБОТЫ!$S$2:$S$1058,$K355),"")</f>
        <v/>
      </c>
      <c r="G355" s="7" t="str">
        <f>IF(ISNUMBER($K355),INDEX(РАБОТЫ!$T$2:$T$1058,$K355),"")</f>
        <v/>
      </c>
      <c r="H355" s="7" t="str">
        <f t="shared" si="20"/>
        <v/>
      </c>
      <c r="I355" s="7" t="str">
        <f t="shared" si="21"/>
        <v/>
      </c>
      <c r="J355" s="7" t="str">
        <f t="shared" si="22"/>
        <v/>
      </c>
      <c r="K355" t="str">
        <f>IFERROR(MATCH(334,РАБОТЫ!$X$2:$X$1058,0),"")</f>
        <v/>
      </c>
      <c r="L355" t="str">
        <f>IFERROR(IF(INDEX(РАБОТЫ!$W$2:$W$1058,MATCH(334+1,РАБОТЫ!$X$2:$X$1058,0))=1,INDEX(РАБОТЫ!$V$2:$V$1058,MATCH(334+1,РАБОТЫ!$X$2:$X$1058,0)),""),"")</f>
        <v/>
      </c>
      <c r="M355" t="str">
        <f t="shared" si="23"/>
        <v/>
      </c>
    </row>
    <row r="356" spans="1:13" hidden="1" x14ac:dyDescent="0.3">
      <c r="A356" t="str">
        <f>IF(ISNUMBER($K356),INDEX(РАБОТЫ!$U$2:$U$1058,$K356),"")</f>
        <v/>
      </c>
      <c r="B356" t="str">
        <f>IF(ISNUMBER($K356),INDEX(РАБОТЫ!$A$2:$A$1058,$K356),"")</f>
        <v/>
      </c>
      <c r="C356" s="4" t="str">
        <f>IF($L356&lt;&gt;"",INDEX(РАБОТЫ!$Z$2:$Z$1058,MATCH($L356,РАБОТЫ!$V$2:$V$1058,0)),IF(ISNUMBER($K356),INDEX(РАБОТЫ!$Y$2:$Y$1058,$K356),""))</f>
        <v/>
      </c>
      <c r="D356" t="str">
        <f>IF(ISNUMBER($K356),INDEX(РАБОТЫ!$E$2:$E$1058,$K356),"")</f>
        <v/>
      </c>
      <c r="E356" t="str">
        <f>IF(ISNUMBER($K356),INDEX(РАБОТЫ!$M$2:$M$1058,$K356),"")</f>
        <v/>
      </c>
      <c r="F356" s="7" t="str">
        <f>IF(ISNUMBER($K356),INDEX(РАБОТЫ!$S$2:$S$1058,$K356),"")</f>
        <v/>
      </c>
      <c r="G356" s="7" t="str">
        <f>IF(ISNUMBER($K356),INDEX(РАБОТЫ!$T$2:$T$1058,$K356),"")</f>
        <v/>
      </c>
      <c r="H356" s="7" t="str">
        <f t="shared" si="20"/>
        <v/>
      </c>
      <c r="I356" s="7" t="str">
        <f t="shared" si="21"/>
        <v/>
      </c>
      <c r="J356" s="7" t="str">
        <f t="shared" si="22"/>
        <v/>
      </c>
      <c r="K356" t="str">
        <f>IFERROR(MATCH(335,РАБОТЫ!$X$2:$X$1058,0),"")</f>
        <v/>
      </c>
      <c r="L356" t="str">
        <f>IFERROR(IF(INDEX(РАБОТЫ!$W$2:$W$1058,MATCH(335+1,РАБОТЫ!$X$2:$X$1058,0))=1,INDEX(РАБОТЫ!$V$2:$V$1058,MATCH(335+1,РАБОТЫ!$X$2:$X$1058,0)),""),"")</f>
        <v/>
      </c>
      <c r="M356" t="str">
        <f t="shared" si="23"/>
        <v/>
      </c>
    </row>
    <row r="357" spans="1:13" hidden="1" x14ac:dyDescent="0.3">
      <c r="A357" t="str">
        <f>IF(ISNUMBER($K357),INDEX(РАБОТЫ!$U$2:$U$1058,$K357),"")</f>
        <v/>
      </c>
      <c r="B357" t="str">
        <f>IF(ISNUMBER($K357),INDEX(РАБОТЫ!$A$2:$A$1058,$K357),"")</f>
        <v/>
      </c>
      <c r="C357" s="4" t="str">
        <f>IF($L357&lt;&gt;"",INDEX(РАБОТЫ!$Z$2:$Z$1058,MATCH($L357,РАБОТЫ!$V$2:$V$1058,0)),IF(ISNUMBER($K357),INDEX(РАБОТЫ!$Y$2:$Y$1058,$K357),""))</f>
        <v/>
      </c>
      <c r="D357" t="str">
        <f>IF(ISNUMBER($K357),INDEX(РАБОТЫ!$E$2:$E$1058,$K357),"")</f>
        <v/>
      </c>
      <c r="E357" t="str">
        <f>IF(ISNUMBER($K357),INDEX(РАБОТЫ!$M$2:$M$1058,$K357),"")</f>
        <v/>
      </c>
      <c r="F357" s="7" t="str">
        <f>IF(ISNUMBER($K357),INDEX(РАБОТЫ!$S$2:$S$1058,$K357),"")</f>
        <v/>
      </c>
      <c r="G357" s="7" t="str">
        <f>IF(ISNUMBER($K357),INDEX(РАБОТЫ!$T$2:$T$1058,$K357),"")</f>
        <v/>
      </c>
      <c r="H357" s="7" t="str">
        <f t="shared" si="20"/>
        <v/>
      </c>
      <c r="I357" s="7" t="str">
        <f t="shared" si="21"/>
        <v/>
      </c>
      <c r="J357" s="7" t="str">
        <f t="shared" si="22"/>
        <v/>
      </c>
      <c r="K357" t="str">
        <f>IFERROR(MATCH(336,РАБОТЫ!$X$2:$X$1058,0),"")</f>
        <v/>
      </c>
      <c r="L357" t="str">
        <f>IFERROR(IF(INDEX(РАБОТЫ!$W$2:$W$1058,MATCH(336+1,РАБОТЫ!$X$2:$X$1058,0))=1,INDEX(РАБОТЫ!$V$2:$V$1058,MATCH(336+1,РАБОТЫ!$X$2:$X$1058,0)),""),"")</f>
        <v/>
      </c>
      <c r="M357" t="str">
        <f t="shared" si="23"/>
        <v/>
      </c>
    </row>
    <row r="358" spans="1:13" hidden="1" x14ac:dyDescent="0.3">
      <c r="A358" t="str">
        <f>IF(ISNUMBER($K358),INDEX(РАБОТЫ!$U$2:$U$1058,$K358),"")</f>
        <v/>
      </c>
      <c r="B358" t="str">
        <f>IF(ISNUMBER($K358),INDEX(РАБОТЫ!$A$2:$A$1058,$K358),"")</f>
        <v/>
      </c>
      <c r="C358" s="4" t="str">
        <f>IF($L358&lt;&gt;"",INDEX(РАБОТЫ!$Z$2:$Z$1058,MATCH($L358,РАБОТЫ!$V$2:$V$1058,0)),IF(ISNUMBER($K358),INDEX(РАБОТЫ!$Y$2:$Y$1058,$K358),""))</f>
        <v/>
      </c>
      <c r="D358" t="str">
        <f>IF(ISNUMBER($K358),INDEX(РАБОТЫ!$E$2:$E$1058,$K358),"")</f>
        <v/>
      </c>
      <c r="E358" t="str">
        <f>IF(ISNUMBER($K358),INDEX(РАБОТЫ!$M$2:$M$1058,$K358),"")</f>
        <v/>
      </c>
      <c r="F358" s="7" t="str">
        <f>IF(ISNUMBER($K358),INDEX(РАБОТЫ!$S$2:$S$1058,$K358),"")</f>
        <v/>
      </c>
      <c r="G358" s="7" t="str">
        <f>IF(ISNUMBER($K358),INDEX(РАБОТЫ!$T$2:$T$1058,$K358),"")</f>
        <v/>
      </c>
      <c r="H358" s="7" t="str">
        <f t="shared" si="20"/>
        <v/>
      </c>
      <c r="I358" s="7" t="str">
        <f t="shared" si="21"/>
        <v/>
      </c>
      <c r="J358" s="7" t="str">
        <f t="shared" si="22"/>
        <v/>
      </c>
      <c r="K358" t="str">
        <f>IFERROR(MATCH(337,РАБОТЫ!$X$2:$X$1058,0),"")</f>
        <v/>
      </c>
      <c r="L358" t="str">
        <f>IFERROR(IF(INDEX(РАБОТЫ!$W$2:$W$1058,MATCH(337+1,РАБОТЫ!$X$2:$X$1058,0))=1,INDEX(РАБОТЫ!$V$2:$V$1058,MATCH(337+1,РАБОТЫ!$X$2:$X$1058,0)),""),"")</f>
        <v/>
      </c>
      <c r="M358" t="str">
        <f t="shared" si="23"/>
        <v/>
      </c>
    </row>
    <row r="359" spans="1:13" hidden="1" x14ac:dyDescent="0.3">
      <c r="A359" t="str">
        <f>IF(ISNUMBER($K359),INDEX(РАБОТЫ!$U$2:$U$1058,$K359),"")</f>
        <v/>
      </c>
      <c r="B359" t="str">
        <f>IF(ISNUMBER($K359),INDEX(РАБОТЫ!$A$2:$A$1058,$K359),"")</f>
        <v/>
      </c>
      <c r="C359" s="4" t="str">
        <f>IF($L359&lt;&gt;"",INDEX(РАБОТЫ!$Z$2:$Z$1058,MATCH($L359,РАБОТЫ!$V$2:$V$1058,0)),IF(ISNUMBER($K359),INDEX(РАБОТЫ!$Y$2:$Y$1058,$K359),""))</f>
        <v/>
      </c>
      <c r="D359" t="str">
        <f>IF(ISNUMBER($K359),INDEX(РАБОТЫ!$E$2:$E$1058,$K359),"")</f>
        <v/>
      </c>
      <c r="E359" t="str">
        <f>IF(ISNUMBER($K359),INDEX(РАБОТЫ!$M$2:$M$1058,$K359),"")</f>
        <v/>
      </c>
      <c r="F359" s="7" t="str">
        <f>IF(ISNUMBER($K359),INDEX(РАБОТЫ!$S$2:$S$1058,$K359),"")</f>
        <v/>
      </c>
      <c r="G359" s="7" t="str">
        <f>IF(ISNUMBER($K359),INDEX(РАБОТЫ!$T$2:$T$1058,$K359),"")</f>
        <v/>
      </c>
      <c r="H359" s="7" t="str">
        <f t="shared" si="20"/>
        <v/>
      </c>
      <c r="I359" s="7" t="str">
        <f t="shared" si="21"/>
        <v/>
      </c>
      <c r="J359" s="7" t="str">
        <f t="shared" si="22"/>
        <v/>
      </c>
      <c r="K359" t="str">
        <f>IFERROR(MATCH(338,РАБОТЫ!$X$2:$X$1058,0),"")</f>
        <v/>
      </c>
      <c r="L359" t="str">
        <f>IFERROR(IF(INDEX(РАБОТЫ!$W$2:$W$1058,MATCH(338+1,РАБОТЫ!$X$2:$X$1058,0))=1,INDEX(РАБОТЫ!$V$2:$V$1058,MATCH(338+1,РАБОТЫ!$X$2:$X$1058,0)),""),"")</f>
        <v/>
      </c>
      <c r="M359" t="str">
        <f t="shared" si="23"/>
        <v/>
      </c>
    </row>
    <row r="360" spans="1:13" hidden="1" x14ac:dyDescent="0.3">
      <c r="A360" t="str">
        <f>IF(ISNUMBER($K360),INDEX(РАБОТЫ!$U$2:$U$1058,$K360),"")</f>
        <v/>
      </c>
      <c r="B360" t="str">
        <f>IF(ISNUMBER($K360),INDEX(РАБОТЫ!$A$2:$A$1058,$K360),"")</f>
        <v/>
      </c>
      <c r="C360" s="4" t="str">
        <f>IF($L360&lt;&gt;"",INDEX(РАБОТЫ!$Z$2:$Z$1058,MATCH($L360,РАБОТЫ!$V$2:$V$1058,0)),IF(ISNUMBER($K360),INDEX(РАБОТЫ!$Y$2:$Y$1058,$K360),""))</f>
        <v/>
      </c>
      <c r="D360" t="str">
        <f>IF(ISNUMBER($K360),INDEX(РАБОТЫ!$E$2:$E$1058,$K360),"")</f>
        <v/>
      </c>
      <c r="E360" t="str">
        <f>IF(ISNUMBER($K360),INDEX(РАБОТЫ!$M$2:$M$1058,$K360),"")</f>
        <v/>
      </c>
      <c r="F360" s="7" t="str">
        <f>IF(ISNUMBER($K360),INDEX(РАБОТЫ!$S$2:$S$1058,$K360),"")</f>
        <v/>
      </c>
      <c r="G360" s="7" t="str">
        <f>IF(ISNUMBER($K360),INDEX(РАБОТЫ!$T$2:$T$1058,$K360),"")</f>
        <v/>
      </c>
      <c r="H360" s="7" t="str">
        <f t="shared" si="20"/>
        <v/>
      </c>
      <c r="I360" s="7" t="str">
        <f t="shared" si="21"/>
        <v/>
      </c>
      <c r="J360" s="7" t="str">
        <f t="shared" si="22"/>
        <v/>
      </c>
      <c r="K360" t="str">
        <f>IFERROR(MATCH(339,РАБОТЫ!$X$2:$X$1058,0),"")</f>
        <v/>
      </c>
      <c r="L360" t="str">
        <f>IFERROR(IF(INDEX(РАБОТЫ!$W$2:$W$1058,MATCH(339+1,РАБОТЫ!$X$2:$X$1058,0))=1,INDEX(РАБОТЫ!$V$2:$V$1058,MATCH(339+1,РАБОТЫ!$X$2:$X$1058,0)),""),"")</f>
        <v/>
      </c>
      <c r="M360" t="str">
        <f t="shared" si="23"/>
        <v/>
      </c>
    </row>
    <row r="361" spans="1:13" hidden="1" x14ac:dyDescent="0.3">
      <c r="A361" t="str">
        <f>IF(ISNUMBER($K361),INDEX(РАБОТЫ!$U$2:$U$1058,$K361),"")</f>
        <v/>
      </c>
      <c r="B361" t="str">
        <f>IF(ISNUMBER($K361),INDEX(РАБОТЫ!$A$2:$A$1058,$K361),"")</f>
        <v/>
      </c>
      <c r="C361" s="4" t="str">
        <f>IF($L361&lt;&gt;"",INDEX(РАБОТЫ!$Z$2:$Z$1058,MATCH($L361,РАБОТЫ!$V$2:$V$1058,0)),IF(ISNUMBER($K361),INDEX(РАБОТЫ!$Y$2:$Y$1058,$K361),""))</f>
        <v/>
      </c>
      <c r="D361" t="str">
        <f>IF(ISNUMBER($K361),INDEX(РАБОТЫ!$E$2:$E$1058,$K361),"")</f>
        <v/>
      </c>
      <c r="E361" t="str">
        <f>IF(ISNUMBER($K361),INDEX(РАБОТЫ!$M$2:$M$1058,$K361),"")</f>
        <v/>
      </c>
      <c r="F361" s="7" t="str">
        <f>IF(ISNUMBER($K361),INDEX(РАБОТЫ!$S$2:$S$1058,$K361),"")</f>
        <v/>
      </c>
      <c r="G361" s="7" t="str">
        <f>IF(ISNUMBER($K361),INDEX(РАБОТЫ!$T$2:$T$1058,$K361),"")</f>
        <v/>
      </c>
      <c r="H361" s="7" t="str">
        <f t="shared" si="20"/>
        <v/>
      </c>
      <c r="I361" s="7" t="str">
        <f t="shared" si="21"/>
        <v/>
      </c>
      <c r="J361" s="7" t="str">
        <f t="shared" si="22"/>
        <v/>
      </c>
      <c r="K361" t="str">
        <f>IFERROR(MATCH(340,РАБОТЫ!$X$2:$X$1058,0),"")</f>
        <v/>
      </c>
      <c r="L361" t="str">
        <f>IFERROR(IF(INDEX(РАБОТЫ!$W$2:$W$1058,MATCH(340+1,РАБОТЫ!$X$2:$X$1058,0))=1,INDEX(РАБОТЫ!$V$2:$V$1058,MATCH(340+1,РАБОТЫ!$X$2:$X$1058,0)),""),"")</f>
        <v/>
      </c>
      <c r="M361" t="str">
        <f t="shared" si="23"/>
        <v/>
      </c>
    </row>
    <row r="362" spans="1:13" hidden="1" x14ac:dyDescent="0.3">
      <c r="A362" t="str">
        <f>IF(ISNUMBER($K362),INDEX(РАБОТЫ!$U$2:$U$1058,$K362),"")</f>
        <v/>
      </c>
      <c r="B362" t="str">
        <f>IF(ISNUMBER($K362),INDEX(РАБОТЫ!$A$2:$A$1058,$K362),"")</f>
        <v/>
      </c>
      <c r="C362" s="4" t="str">
        <f>IF($L362&lt;&gt;"",INDEX(РАБОТЫ!$Z$2:$Z$1058,MATCH($L362,РАБОТЫ!$V$2:$V$1058,0)),IF(ISNUMBER($K362),INDEX(РАБОТЫ!$Y$2:$Y$1058,$K362),""))</f>
        <v/>
      </c>
      <c r="D362" t="str">
        <f>IF(ISNUMBER($K362),INDEX(РАБОТЫ!$E$2:$E$1058,$K362),"")</f>
        <v/>
      </c>
      <c r="E362" t="str">
        <f>IF(ISNUMBER($K362),INDEX(РАБОТЫ!$M$2:$M$1058,$K362),"")</f>
        <v/>
      </c>
      <c r="F362" s="7" t="str">
        <f>IF(ISNUMBER($K362),INDEX(РАБОТЫ!$S$2:$S$1058,$K362),"")</f>
        <v/>
      </c>
      <c r="G362" s="7" t="str">
        <f>IF(ISNUMBER($K362),INDEX(РАБОТЫ!$T$2:$T$1058,$K362),"")</f>
        <v/>
      </c>
      <c r="H362" s="7" t="str">
        <f t="shared" si="20"/>
        <v/>
      </c>
      <c r="I362" s="7" t="str">
        <f t="shared" si="21"/>
        <v/>
      </c>
      <c r="J362" s="7" t="str">
        <f t="shared" si="22"/>
        <v/>
      </c>
      <c r="K362" t="str">
        <f>IFERROR(MATCH(341,РАБОТЫ!$X$2:$X$1058,0),"")</f>
        <v/>
      </c>
      <c r="L362" t="str">
        <f>IFERROR(IF(INDEX(РАБОТЫ!$W$2:$W$1058,MATCH(341+1,РАБОТЫ!$X$2:$X$1058,0))=1,INDEX(РАБОТЫ!$V$2:$V$1058,MATCH(341+1,РАБОТЫ!$X$2:$X$1058,0)),""),"")</f>
        <v/>
      </c>
      <c r="M362" t="str">
        <f t="shared" si="23"/>
        <v/>
      </c>
    </row>
    <row r="363" spans="1:13" hidden="1" x14ac:dyDescent="0.3">
      <c r="A363" t="str">
        <f>IF(ISNUMBER($K363),INDEX(РАБОТЫ!$U$2:$U$1058,$K363),"")</f>
        <v/>
      </c>
      <c r="B363" t="str">
        <f>IF(ISNUMBER($K363),INDEX(РАБОТЫ!$A$2:$A$1058,$K363),"")</f>
        <v/>
      </c>
      <c r="C363" s="4" t="str">
        <f>IF($L363&lt;&gt;"",INDEX(РАБОТЫ!$Z$2:$Z$1058,MATCH($L363,РАБОТЫ!$V$2:$V$1058,0)),IF(ISNUMBER($K363),INDEX(РАБОТЫ!$Y$2:$Y$1058,$K363),""))</f>
        <v/>
      </c>
      <c r="D363" t="str">
        <f>IF(ISNUMBER($K363),INDEX(РАБОТЫ!$E$2:$E$1058,$K363),"")</f>
        <v/>
      </c>
      <c r="E363" t="str">
        <f>IF(ISNUMBER($K363),INDEX(РАБОТЫ!$M$2:$M$1058,$K363),"")</f>
        <v/>
      </c>
      <c r="F363" s="7" t="str">
        <f>IF(ISNUMBER($K363),INDEX(РАБОТЫ!$S$2:$S$1058,$K363),"")</f>
        <v/>
      </c>
      <c r="G363" s="7" t="str">
        <f>IF(ISNUMBER($K363),INDEX(РАБОТЫ!$T$2:$T$1058,$K363),"")</f>
        <v/>
      </c>
      <c r="H363" s="7" t="str">
        <f t="shared" si="20"/>
        <v/>
      </c>
      <c r="I363" s="7" t="str">
        <f t="shared" si="21"/>
        <v/>
      </c>
      <c r="J363" s="7" t="str">
        <f t="shared" si="22"/>
        <v/>
      </c>
      <c r="K363" t="str">
        <f>IFERROR(MATCH(342,РАБОТЫ!$X$2:$X$1058,0),"")</f>
        <v/>
      </c>
      <c r="L363" t="str">
        <f>IFERROR(IF(INDEX(РАБОТЫ!$W$2:$W$1058,MATCH(342+1,РАБОТЫ!$X$2:$X$1058,0))=1,INDEX(РАБОТЫ!$V$2:$V$1058,MATCH(342+1,РАБОТЫ!$X$2:$X$1058,0)),""),"")</f>
        <v/>
      </c>
      <c r="M363" t="str">
        <f t="shared" si="23"/>
        <v/>
      </c>
    </row>
    <row r="364" spans="1:13" hidden="1" x14ac:dyDescent="0.3">
      <c r="A364" t="str">
        <f>IF(ISNUMBER($K364),INDEX(РАБОТЫ!$U$2:$U$1058,$K364),"")</f>
        <v/>
      </c>
      <c r="B364" t="str">
        <f>IF(ISNUMBER($K364),INDEX(РАБОТЫ!$A$2:$A$1058,$K364),"")</f>
        <v/>
      </c>
      <c r="C364" s="4" t="str">
        <f>IF($L364&lt;&gt;"",INDEX(РАБОТЫ!$Z$2:$Z$1058,MATCH($L364,РАБОТЫ!$V$2:$V$1058,0)),IF(ISNUMBER($K364),INDEX(РАБОТЫ!$Y$2:$Y$1058,$K364),""))</f>
        <v/>
      </c>
      <c r="D364" t="str">
        <f>IF(ISNUMBER($K364),INDEX(РАБОТЫ!$E$2:$E$1058,$K364),"")</f>
        <v/>
      </c>
      <c r="E364" t="str">
        <f>IF(ISNUMBER($K364),INDEX(РАБОТЫ!$M$2:$M$1058,$K364),"")</f>
        <v/>
      </c>
      <c r="F364" s="7" t="str">
        <f>IF(ISNUMBER($K364),INDEX(РАБОТЫ!$S$2:$S$1058,$K364),"")</f>
        <v/>
      </c>
      <c r="G364" s="7" t="str">
        <f>IF(ISNUMBER($K364),INDEX(РАБОТЫ!$T$2:$T$1058,$K364),"")</f>
        <v/>
      </c>
      <c r="H364" s="7" t="str">
        <f t="shared" si="20"/>
        <v/>
      </c>
      <c r="I364" s="7" t="str">
        <f t="shared" si="21"/>
        <v/>
      </c>
      <c r="J364" s="7" t="str">
        <f t="shared" si="22"/>
        <v/>
      </c>
      <c r="K364" t="str">
        <f>IFERROR(MATCH(343,РАБОТЫ!$X$2:$X$1058,0),"")</f>
        <v/>
      </c>
      <c r="L364" t="str">
        <f>IFERROR(IF(INDEX(РАБОТЫ!$W$2:$W$1058,MATCH(343+1,РАБОТЫ!$X$2:$X$1058,0))=1,INDEX(РАБОТЫ!$V$2:$V$1058,MATCH(343+1,РАБОТЫ!$X$2:$X$1058,0)),""),"")</f>
        <v/>
      </c>
      <c r="M364" t="str">
        <f t="shared" si="23"/>
        <v/>
      </c>
    </row>
    <row r="365" spans="1:13" hidden="1" x14ac:dyDescent="0.3">
      <c r="A365" t="str">
        <f>IF(ISNUMBER($K365),INDEX(РАБОТЫ!$U$2:$U$1058,$K365),"")</f>
        <v/>
      </c>
      <c r="B365" t="str">
        <f>IF(ISNUMBER($K365),INDEX(РАБОТЫ!$A$2:$A$1058,$K365),"")</f>
        <v/>
      </c>
      <c r="C365" s="4" t="str">
        <f>IF($L365&lt;&gt;"",INDEX(РАБОТЫ!$Z$2:$Z$1058,MATCH($L365,РАБОТЫ!$V$2:$V$1058,0)),IF(ISNUMBER($K365),INDEX(РАБОТЫ!$Y$2:$Y$1058,$K365),""))</f>
        <v/>
      </c>
      <c r="D365" t="str">
        <f>IF(ISNUMBER($K365),INDEX(РАБОТЫ!$E$2:$E$1058,$K365),"")</f>
        <v/>
      </c>
      <c r="E365" t="str">
        <f>IF(ISNUMBER($K365),INDEX(РАБОТЫ!$M$2:$M$1058,$K365),"")</f>
        <v/>
      </c>
      <c r="F365" s="7" t="str">
        <f>IF(ISNUMBER($K365),INDEX(РАБОТЫ!$S$2:$S$1058,$K365),"")</f>
        <v/>
      </c>
      <c r="G365" s="7" t="str">
        <f>IF(ISNUMBER($K365),INDEX(РАБОТЫ!$T$2:$T$1058,$K365),"")</f>
        <v/>
      </c>
      <c r="H365" s="7" t="str">
        <f t="shared" si="20"/>
        <v/>
      </c>
      <c r="I365" s="7" t="str">
        <f t="shared" si="21"/>
        <v/>
      </c>
      <c r="J365" s="7" t="str">
        <f t="shared" si="22"/>
        <v/>
      </c>
      <c r="K365" t="str">
        <f>IFERROR(MATCH(344,РАБОТЫ!$X$2:$X$1058,0),"")</f>
        <v/>
      </c>
      <c r="L365" t="str">
        <f>IFERROR(IF(INDEX(РАБОТЫ!$W$2:$W$1058,MATCH(344+1,РАБОТЫ!$X$2:$X$1058,0))=1,INDEX(РАБОТЫ!$V$2:$V$1058,MATCH(344+1,РАБОТЫ!$X$2:$X$1058,0)),""),"")</f>
        <v/>
      </c>
      <c r="M365" t="str">
        <f t="shared" si="23"/>
        <v/>
      </c>
    </row>
    <row r="366" spans="1:13" hidden="1" x14ac:dyDescent="0.3">
      <c r="A366" t="str">
        <f>IF(ISNUMBER($K366),INDEX(РАБОТЫ!$U$2:$U$1058,$K366),"")</f>
        <v/>
      </c>
      <c r="B366" t="str">
        <f>IF(ISNUMBER($K366),INDEX(РАБОТЫ!$A$2:$A$1058,$K366),"")</f>
        <v/>
      </c>
      <c r="C366" s="4" t="str">
        <f>IF($L366&lt;&gt;"",INDEX(РАБОТЫ!$Z$2:$Z$1058,MATCH($L366,РАБОТЫ!$V$2:$V$1058,0)),IF(ISNUMBER($K366),INDEX(РАБОТЫ!$Y$2:$Y$1058,$K366),""))</f>
        <v/>
      </c>
      <c r="D366" t="str">
        <f>IF(ISNUMBER($K366),INDEX(РАБОТЫ!$E$2:$E$1058,$K366),"")</f>
        <v/>
      </c>
      <c r="E366" t="str">
        <f>IF(ISNUMBER($K366),INDEX(РАБОТЫ!$M$2:$M$1058,$K366),"")</f>
        <v/>
      </c>
      <c r="F366" s="7" t="str">
        <f>IF(ISNUMBER($K366),INDEX(РАБОТЫ!$S$2:$S$1058,$K366),"")</f>
        <v/>
      </c>
      <c r="G366" s="7" t="str">
        <f>IF(ISNUMBER($K366),INDEX(РАБОТЫ!$T$2:$T$1058,$K366),"")</f>
        <v/>
      </c>
      <c r="H366" s="7" t="str">
        <f t="shared" si="20"/>
        <v/>
      </c>
      <c r="I366" s="7" t="str">
        <f t="shared" si="21"/>
        <v/>
      </c>
      <c r="J366" s="7" t="str">
        <f t="shared" si="22"/>
        <v/>
      </c>
      <c r="K366" t="str">
        <f>IFERROR(MATCH(345,РАБОТЫ!$X$2:$X$1058,0),"")</f>
        <v/>
      </c>
      <c r="L366" t="str">
        <f>IFERROR(IF(INDEX(РАБОТЫ!$W$2:$W$1058,MATCH(345+1,РАБОТЫ!$X$2:$X$1058,0))=1,INDEX(РАБОТЫ!$V$2:$V$1058,MATCH(345+1,РАБОТЫ!$X$2:$X$1058,0)),""),"")</f>
        <v/>
      </c>
      <c r="M366" t="str">
        <f t="shared" si="23"/>
        <v/>
      </c>
    </row>
    <row r="367" spans="1:13" hidden="1" x14ac:dyDescent="0.3">
      <c r="A367" t="str">
        <f>IF(ISNUMBER($K367),INDEX(РАБОТЫ!$U$2:$U$1058,$K367),"")</f>
        <v/>
      </c>
      <c r="B367" t="str">
        <f>IF(ISNUMBER($K367),INDEX(РАБОТЫ!$A$2:$A$1058,$K367),"")</f>
        <v/>
      </c>
      <c r="C367" s="4" t="str">
        <f>IF($L367&lt;&gt;"",INDEX(РАБОТЫ!$Z$2:$Z$1058,MATCH($L367,РАБОТЫ!$V$2:$V$1058,0)),IF(ISNUMBER($K367),INDEX(РАБОТЫ!$Y$2:$Y$1058,$K367),""))</f>
        <v/>
      </c>
      <c r="D367" t="str">
        <f>IF(ISNUMBER($K367),INDEX(РАБОТЫ!$E$2:$E$1058,$K367),"")</f>
        <v/>
      </c>
      <c r="E367" t="str">
        <f>IF(ISNUMBER($K367),INDEX(РАБОТЫ!$M$2:$M$1058,$K367),"")</f>
        <v/>
      </c>
      <c r="F367" s="7" t="str">
        <f>IF(ISNUMBER($K367),INDEX(РАБОТЫ!$S$2:$S$1058,$K367),"")</f>
        <v/>
      </c>
      <c r="G367" s="7" t="str">
        <f>IF(ISNUMBER($K367),INDEX(РАБОТЫ!$T$2:$T$1058,$K367),"")</f>
        <v/>
      </c>
      <c r="H367" s="7" t="str">
        <f t="shared" si="20"/>
        <v/>
      </c>
      <c r="I367" s="7" t="str">
        <f t="shared" si="21"/>
        <v/>
      </c>
      <c r="J367" s="7" t="str">
        <f t="shared" si="22"/>
        <v/>
      </c>
      <c r="K367" t="str">
        <f>IFERROR(MATCH(346,РАБОТЫ!$X$2:$X$1058,0),"")</f>
        <v/>
      </c>
      <c r="L367" t="str">
        <f>IFERROR(IF(INDEX(РАБОТЫ!$W$2:$W$1058,MATCH(346+1,РАБОТЫ!$X$2:$X$1058,0))=1,INDEX(РАБОТЫ!$V$2:$V$1058,MATCH(346+1,РАБОТЫ!$X$2:$X$1058,0)),""),"")</f>
        <v/>
      </c>
      <c r="M367" t="str">
        <f t="shared" si="23"/>
        <v/>
      </c>
    </row>
    <row r="368" spans="1:13" hidden="1" x14ac:dyDescent="0.3">
      <c r="A368" t="str">
        <f>IF(ISNUMBER($K368),INDEX(РАБОТЫ!$U$2:$U$1058,$K368),"")</f>
        <v/>
      </c>
      <c r="B368" t="str">
        <f>IF(ISNUMBER($K368),INDEX(РАБОТЫ!$A$2:$A$1058,$K368),"")</f>
        <v/>
      </c>
      <c r="C368" s="4" t="str">
        <f>IF($L368&lt;&gt;"",INDEX(РАБОТЫ!$Z$2:$Z$1058,MATCH($L368,РАБОТЫ!$V$2:$V$1058,0)),IF(ISNUMBER($K368),INDEX(РАБОТЫ!$Y$2:$Y$1058,$K368),""))</f>
        <v/>
      </c>
      <c r="D368" t="str">
        <f>IF(ISNUMBER($K368),INDEX(РАБОТЫ!$E$2:$E$1058,$K368),"")</f>
        <v/>
      </c>
      <c r="E368" t="str">
        <f>IF(ISNUMBER($K368),INDEX(РАБОТЫ!$M$2:$M$1058,$K368),"")</f>
        <v/>
      </c>
      <c r="F368" s="7" t="str">
        <f>IF(ISNUMBER($K368),INDEX(РАБОТЫ!$S$2:$S$1058,$K368),"")</f>
        <v/>
      </c>
      <c r="G368" s="7" t="str">
        <f>IF(ISNUMBER($K368),INDEX(РАБОТЫ!$T$2:$T$1058,$K368),"")</f>
        <v/>
      </c>
      <c r="H368" s="7" t="str">
        <f t="shared" si="20"/>
        <v/>
      </c>
      <c r="I368" s="7" t="str">
        <f t="shared" si="21"/>
        <v/>
      </c>
      <c r="J368" s="7" t="str">
        <f t="shared" si="22"/>
        <v/>
      </c>
      <c r="K368" t="str">
        <f>IFERROR(MATCH(347,РАБОТЫ!$X$2:$X$1058,0),"")</f>
        <v/>
      </c>
      <c r="L368" t="str">
        <f>IFERROR(IF(INDEX(РАБОТЫ!$W$2:$W$1058,MATCH(347+1,РАБОТЫ!$X$2:$X$1058,0))=1,INDEX(РАБОТЫ!$V$2:$V$1058,MATCH(347+1,РАБОТЫ!$X$2:$X$1058,0)),""),"")</f>
        <v/>
      </c>
      <c r="M368" t="str">
        <f t="shared" si="23"/>
        <v/>
      </c>
    </row>
    <row r="369" spans="1:13" hidden="1" x14ac:dyDescent="0.3">
      <c r="A369" t="str">
        <f>IF(ISNUMBER($K369),INDEX(РАБОТЫ!$U$2:$U$1058,$K369),"")</f>
        <v/>
      </c>
      <c r="B369" t="str">
        <f>IF(ISNUMBER($K369),INDEX(РАБОТЫ!$A$2:$A$1058,$K369),"")</f>
        <v/>
      </c>
      <c r="C369" s="4" t="str">
        <f>IF($L369&lt;&gt;"",INDEX(РАБОТЫ!$Z$2:$Z$1058,MATCH($L369,РАБОТЫ!$V$2:$V$1058,0)),IF(ISNUMBER($K369),INDEX(РАБОТЫ!$Y$2:$Y$1058,$K369),""))</f>
        <v/>
      </c>
      <c r="D369" t="str">
        <f>IF(ISNUMBER($K369),INDEX(РАБОТЫ!$E$2:$E$1058,$K369),"")</f>
        <v/>
      </c>
      <c r="E369" t="str">
        <f>IF(ISNUMBER($K369),INDEX(РАБОТЫ!$M$2:$M$1058,$K369),"")</f>
        <v/>
      </c>
      <c r="F369" s="7" t="str">
        <f>IF(ISNUMBER($K369),INDEX(РАБОТЫ!$S$2:$S$1058,$K369),"")</f>
        <v/>
      </c>
      <c r="G369" s="7" t="str">
        <f>IF(ISNUMBER($K369),INDEX(РАБОТЫ!$T$2:$T$1058,$K369),"")</f>
        <v/>
      </c>
      <c r="H369" s="7" t="str">
        <f t="shared" si="20"/>
        <v/>
      </c>
      <c r="I369" s="7" t="str">
        <f t="shared" si="21"/>
        <v/>
      </c>
      <c r="J369" s="7" t="str">
        <f t="shared" si="22"/>
        <v/>
      </c>
      <c r="K369" t="str">
        <f>IFERROR(MATCH(348,РАБОТЫ!$X$2:$X$1058,0),"")</f>
        <v/>
      </c>
      <c r="L369" t="str">
        <f>IFERROR(IF(INDEX(РАБОТЫ!$W$2:$W$1058,MATCH(348+1,РАБОТЫ!$X$2:$X$1058,0))=1,INDEX(РАБОТЫ!$V$2:$V$1058,MATCH(348+1,РАБОТЫ!$X$2:$X$1058,0)),""),"")</f>
        <v/>
      </c>
      <c r="M369" t="str">
        <f t="shared" si="23"/>
        <v/>
      </c>
    </row>
    <row r="370" spans="1:13" hidden="1" x14ac:dyDescent="0.3">
      <c r="A370" t="str">
        <f>IF(ISNUMBER($K370),INDEX(РАБОТЫ!$U$2:$U$1058,$K370),"")</f>
        <v/>
      </c>
      <c r="B370" t="str">
        <f>IF(ISNUMBER($K370),INDEX(РАБОТЫ!$A$2:$A$1058,$K370),"")</f>
        <v/>
      </c>
      <c r="C370" s="4" t="str">
        <f>IF($L370&lt;&gt;"",INDEX(РАБОТЫ!$Z$2:$Z$1058,MATCH($L370,РАБОТЫ!$V$2:$V$1058,0)),IF(ISNUMBER($K370),INDEX(РАБОТЫ!$Y$2:$Y$1058,$K370),""))</f>
        <v/>
      </c>
      <c r="D370" t="str">
        <f>IF(ISNUMBER($K370),INDEX(РАБОТЫ!$E$2:$E$1058,$K370),"")</f>
        <v/>
      </c>
      <c r="E370" t="str">
        <f>IF(ISNUMBER($K370),INDEX(РАБОТЫ!$M$2:$M$1058,$K370),"")</f>
        <v/>
      </c>
      <c r="F370" s="7" t="str">
        <f>IF(ISNUMBER($K370),INDEX(РАБОТЫ!$S$2:$S$1058,$K370),"")</f>
        <v/>
      </c>
      <c r="G370" s="7" t="str">
        <f>IF(ISNUMBER($K370),INDEX(РАБОТЫ!$T$2:$T$1058,$K370),"")</f>
        <v/>
      </c>
      <c r="H370" s="7" t="str">
        <f t="shared" si="20"/>
        <v/>
      </c>
      <c r="I370" s="7" t="str">
        <f t="shared" si="21"/>
        <v/>
      </c>
      <c r="J370" s="7" t="str">
        <f t="shared" si="22"/>
        <v/>
      </c>
      <c r="K370" t="str">
        <f>IFERROR(MATCH(349,РАБОТЫ!$X$2:$X$1058,0),"")</f>
        <v/>
      </c>
      <c r="L370" t="str">
        <f>IFERROR(IF(INDEX(РАБОТЫ!$W$2:$W$1058,MATCH(349+1,РАБОТЫ!$X$2:$X$1058,0))=1,INDEX(РАБОТЫ!$V$2:$V$1058,MATCH(349+1,РАБОТЫ!$X$2:$X$1058,0)),""),"")</f>
        <v/>
      </c>
      <c r="M370" t="str">
        <f t="shared" si="23"/>
        <v/>
      </c>
    </row>
    <row r="371" spans="1:13" hidden="1" x14ac:dyDescent="0.3">
      <c r="A371" t="str">
        <f>IF(ISNUMBER($K371),INDEX(РАБОТЫ!$U$2:$U$1058,$K371),"")</f>
        <v/>
      </c>
      <c r="B371" t="str">
        <f>IF(ISNUMBER($K371),INDEX(РАБОТЫ!$A$2:$A$1058,$K371),"")</f>
        <v/>
      </c>
      <c r="C371" s="4" t="str">
        <f>IF($L371&lt;&gt;"",INDEX(РАБОТЫ!$Z$2:$Z$1058,MATCH($L371,РАБОТЫ!$V$2:$V$1058,0)),IF(ISNUMBER($K371),INDEX(РАБОТЫ!$Y$2:$Y$1058,$K371),""))</f>
        <v/>
      </c>
      <c r="D371" t="str">
        <f>IF(ISNUMBER($K371),INDEX(РАБОТЫ!$E$2:$E$1058,$K371),"")</f>
        <v/>
      </c>
      <c r="E371" t="str">
        <f>IF(ISNUMBER($K371),INDEX(РАБОТЫ!$M$2:$M$1058,$K371),"")</f>
        <v/>
      </c>
      <c r="F371" s="7" t="str">
        <f>IF(ISNUMBER($K371),INDEX(РАБОТЫ!$S$2:$S$1058,$K371),"")</f>
        <v/>
      </c>
      <c r="G371" s="7" t="str">
        <f>IF(ISNUMBER($K371),INDEX(РАБОТЫ!$T$2:$T$1058,$K371),"")</f>
        <v/>
      </c>
      <c r="H371" s="7" t="str">
        <f t="shared" si="20"/>
        <v/>
      </c>
      <c r="I371" s="7" t="str">
        <f t="shared" si="21"/>
        <v/>
      </c>
      <c r="J371" s="7" t="str">
        <f t="shared" si="22"/>
        <v/>
      </c>
      <c r="K371" t="str">
        <f>IFERROR(MATCH(350,РАБОТЫ!$X$2:$X$1058,0),"")</f>
        <v/>
      </c>
      <c r="L371" t="str">
        <f>IFERROR(IF(INDEX(РАБОТЫ!$W$2:$W$1058,MATCH(350+1,РАБОТЫ!$X$2:$X$1058,0))=1,INDEX(РАБОТЫ!$V$2:$V$1058,MATCH(350+1,РАБОТЫ!$X$2:$X$1058,0)),""),"")</f>
        <v/>
      </c>
      <c r="M371" t="str">
        <f t="shared" si="23"/>
        <v/>
      </c>
    </row>
    <row r="372" spans="1:13" hidden="1" x14ac:dyDescent="0.3">
      <c r="A372" t="str">
        <f>IF(ISNUMBER($K372),INDEX(РАБОТЫ!$U$2:$U$1058,$K372),"")</f>
        <v/>
      </c>
      <c r="B372" t="str">
        <f>IF(ISNUMBER($K372),INDEX(РАБОТЫ!$A$2:$A$1058,$K372),"")</f>
        <v/>
      </c>
      <c r="C372" s="4" t="str">
        <f>IF($L372&lt;&gt;"",INDEX(РАБОТЫ!$Z$2:$Z$1058,MATCH($L372,РАБОТЫ!$V$2:$V$1058,0)),IF(ISNUMBER($K372),INDEX(РАБОТЫ!$Y$2:$Y$1058,$K372),""))</f>
        <v/>
      </c>
      <c r="D372" t="str">
        <f>IF(ISNUMBER($K372),INDEX(РАБОТЫ!$E$2:$E$1058,$K372),"")</f>
        <v/>
      </c>
      <c r="E372" t="str">
        <f>IF(ISNUMBER($K372),INDEX(РАБОТЫ!$M$2:$M$1058,$K372),"")</f>
        <v/>
      </c>
      <c r="F372" s="7" t="str">
        <f>IF(ISNUMBER($K372),INDEX(РАБОТЫ!$S$2:$S$1058,$K372),"")</f>
        <v/>
      </c>
      <c r="G372" s="7" t="str">
        <f>IF(ISNUMBER($K372),INDEX(РАБОТЫ!$T$2:$T$1058,$K372),"")</f>
        <v/>
      </c>
      <c r="H372" s="7" t="str">
        <f t="shared" si="20"/>
        <v/>
      </c>
      <c r="I372" s="7" t="str">
        <f t="shared" si="21"/>
        <v/>
      </c>
      <c r="J372" s="7" t="str">
        <f t="shared" si="22"/>
        <v/>
      </c>
      <c r="K372" t="str">
        <f>IFERROR(MATCH(351,РАБОТЫ!$X$2:$X$1058,0),"")</f>
        <v/>
      </c>
      <c r="L372" t="str">
        <f>IFERROR(IF(INDEX(РАБОТЫ!$W$2:$W$1058,MATCH(351+1,РАБОТЫ!$X$2:$X$1058,0))=1,INDEX(РАБОТЫ!$V$2:$V$1058,MATCH(351+1,РАБОТЫ!$X$2:$X$1058,0)),""),"")</f>
        <v/>
      </c>
      <c r="M372" t="str">
        <f t="shared" si="23"/>
        <v/>
      </c>
    </row>
    <row r="373" spans="1:13" hidden="1" x14ac:dyDescent="0.3">
      <c r="A373" t="str">
        <f>IF(ISNUMBER($K373),INDEX(РАБОТЫ!$U$2:$U$1058,$K373),"")</f>
        <v/>
      </c>
      <c r="B373" t="str">
        <f>IF(ISNUMBER($K373),INDEX(РАБОТЫ!$A$2:$A$1058,$K373),"")</f>
        <v/>
      </c>
      <c r="C373" s="4" t="str">
        <f>IF($L373&lt;&gt;"",INDEX(РАБОТЫ!$Z$2:$Z$1058,MATCH($L373,РАБОТЫ!$V$2:$V$1058,0)),IF(ISNUMBER($K373),INDEX(РАБОТЫ!$Y$2:$Y$1058,$K373),""))</f>
        <v/>
      </c>
      <c r="D373" t="str">
        <f>IF(ISNUMBER($K373),INDEX(РАБОТЫ!$E$2:$E$1058,$K373),"")</f>
        <v/>
      </c>
      <c r="E373" t="str">
        <f>IF(ISNUMBER($K373),INDEX(РАБОТЫ!$M$2:$M$1058,$K373),"")</f>
        <v/>
      </c>
      <c r="F373" s="7" t="str">
        <f>IF(ISNUMBER($K373),INDEX(РАБОТЫ!$S$2:$S$1058,$K373),"")</f>
        <v/>
      </c>
      <c r="G373" s="7" t="str">
        <f>IF(ISNUMBER($K373),INDEX(РАБОТЫ!$T$2:$T$1058,$K373),"")</f>
        <v/>
      </c>
      <c r="H373" s="7" t="str">
        <f t="shared" si="20"/>
        <v/>
      </c>
      <c r="I373" s="7" t="str">
        <f t="shared" si="21"/>
        <v/>
      </c>
      <c r="J373" s="7" t="str">
        <f t="shared" si="22"/>
        <v/>
      </c>
      <c r="K373" t="str">
        <f>IFERROR(MATCH(352,РАБОТЫ!$X$2:$X$1058,0),"")</f>
        <v/>
      </c>
      <c r="L373" t="str">
        <f>IFERROR(IF(INDEX(РАБОТЫ!$W$2:$W$1058,MATCH(352+1,РАБОТЫ!$X$2:$X$1058,0))=1,INDEX(РАБОТЫ!$V$2:$V$1058,MATCH(352+1,РАБОТЫ!$X$2:$X$1058,0)),""),"")</f>
        <v/>
      </c>
      <c r="M373" t="str">
        <f t="shared" si="23"/>
        <v/>
      </c>
    </row>
    <row r="374" spans="1:13" hidden="1" x14ac:dyDescent="0.3">
      <c r="A374" t="str">
        <f>IF(ISNUMBER($K374),INDEX(РАБОТЫ!$U$2:$U$1058,$K374),"")</f>
        <v/>
      </c>
      <c r="B374" t="str">
        <f>IF(ISNUMBER($K374),INDEX(РАБОТЫ!$A$2:$A$1058,$K374),"")</f>
        <v/>
      </c>
      <c r="C374" s="4" t="str">
        <f>IF($L374&lt;&gt;"",INDEX(РАБОТЫ!$Z$2:$Z$1058,MATCH($L374,РАБОТЫ!$V$2:$V$1058,0)),IF(ISNUMBER($K374),INDEX(РАБОТЫ!$Y$2:$Y$1058,$K374),""))</f>
        <v/>
      </c>
      <c r="D374" t="str">
        <f>IF(ISNUMBER($K374),INDEX(РАБОТЫ!$E$2:$E$1058,$K374),"")</f>
        <v/>
      </c>
      <c r="E374" t="str">
        <f>IF(ISNUMBER($K374),INDEX(РАБОТЫ!$M$2:$M$1058,$K374),"")</f>
        <v/>
      </c>
      <c r="F374" s="7" t="str">
        <f>IF(ISNUMBER($K374),INDEX(РАБОТЫ!$S$2:$S$1058,$K374),"")</f>
        <v/>
      </c>
      <c r="G374" s="7" t="str">
        <f>IF(ISNUMBER($K374),INDEX(РАБОТЫ!$T$2:$T$1058,$K374),"")</f>
        <v/>
      </c>
      <c r="H374" s="7" t="str">
        <f t="shared" si="20"/>
        <v/>
      </c>
      <c r="I374" s="7" t="str">
        <f t="shared" si="21"/>
        <v/>
      </c>
      <c r="J374" s="7" t="str">
        <f t="shared" si="22"/>
        <v/>
      </c>
      <c r="K374" t="str">
        <f>IFERROR(MATCH(353,РАБОТЫ!$X$2:$X$1058,0),"")</f>
        <v/>
      </c>
      <c r="L374" t="str">
        <f>IFERROR(IF(INDEX(РАБОТЫ!$W$2:$W$1058,MATCH(353+1,РАБОТЫ!$X$2:$X$1058,0))=1,INDEX(РАБОТЫ!$V$2:$V$1058,MATCH(353+1,РАБОТЫ!$X$2:$X$1058,0)),""),"")</f>
        <v/>
      </c>
      <c r="M374" t="str">
        <f t="shared" si="23"/>
        <v/>
      </c>
    </row>
    <row r="375" spans="1:13" hidden="1" x14ac:dyDescent="0.3">
      <c r="A375" t="str">
        <f>IF(ISNUMBER($K375),INDEX(РАБОТЫ!$U$2:$U$1058,$K375),"")</f>
        <v/>
      </c>
      <c r="B375" t="str">
        <f>IF(ISNUMBER($K375),INDEX(РАБОТЫ!$A$2:$A$1058,$K375),"")</f>
        <v/>
      </c>
      <c r="C375" s="4" t="str">
        <f>IF($L375&lt;&gt;"",INDEX(РАБОТЫ!$Z$2:$Z$1058,MATCH($L375,РАБОТЫ!$V$2:$V$1058,0)),IF(ISNUMBER($K375),INDEX(РАБОТЫ!$Y$2:$Y$1058,$K375),""))</f>
        <v/>
      </c>
      <c r="D375" t="str">
        <f>IF(ISNUMBER($K375),INDEX(РАБОТЫ!$E$2:$E$1058,$K375),"")</f>
        <v/>
      </c>
      <c r="E375" t="str">
        <f>IF(ISNUMBER($K375),INDEX(РАБОТЫ!$M$2:$M$1058,$K375),"")</f>
        <v/>
      </c>
      <c r="F375" s="7" t="str">
        <f>IF(ISNUMBER($K375),INDEX(РАБОТЫ!$S$2:$S$1058,$K375),"")</f>
        <v/>
      </c>
      <c r="G375" s="7" t="str">
        <f>IF(ISNUMBER($K375),INDEX(РАБОТЫ!$T$2:$T$1058,$K375),"")</f>
        <v/>
      </c>
      <c r="H375" s="7" t="str">
        <f t="shared" si="20"/>
        <v/>
      </c>
      <c r="I375" s="7" t="str">
        <f t="shared" si="21"/>
        <v/>
      </c>
      <c r="J375" s="7" t="str">
        <f t="shared" si="22"/>
        <v/>
      </c>
      <c r="K375" t="str">
        <f>IFERROR(MATCH(354,РАБОТЫ!$X$2:$X$1058,0),"")</f>
        <v/>
      </c>
      <c r="L375" t="str">
        <f>IFERROR(IF(INDEX(РАБОТЫ!$W$2:$W$1058,MATCH(354+1,РАБОТЫ!$X$2:$X$1058,0))=1,INDEX(РАБОТЫ!$V$2:$V$1058,MATCH(354+1,РАБОТЫ!$X$2:$X$1058,0)),""),"")</f>
        <v/>
      </c>
      <c r="M375" t="str">
        <f t="shared" si="23"/>
        <v/>
      </c>
    </row>
    <row r="376" spans="1:13" hidden="1" x14ac:dyDescent="0.3">
      <c r="A376" t="str">
        <f>IF(ISNUMBER($K376),INDEX(РАБОТЫ!$U$2:$U$1058,$K376),"")</f>
        <v/>
      </c>
      <c r="B376" t="str">
        <f>IF(ISNUMBER($K376),INDEX(РАБОТЫ!$A$2:$A$1058,$K376),"")</f>
        <v/>
      </c>
      <c r="C376" s="4" t="str">
        <f>IF($L376&lt;&gt;"",INDEX(РАБОТЫ!$Z$2:$Z$1058,MATCH($L376,РАБОТЫ!$V$2:$V$1058,0)),IF(ISNUMBER($K376),INDEX(РАБОТЫ!$Y$2:$Y$1058,$K376),""))</f>
        <v/>
      </c>
      <c r="D376" t="str">
        <f>IF(ISNUMBER($K376),INDEX(РАБОТЫ!$E$2:$E$1058,$K376),"")</f>
        <v/>
      </c>
      <c r="E376" t="str">
        <f>IF(ISNUMBER($K376),INDEX(РАБОТЫ!$M$2:$M$1058,$K376),"")</f>
        <v/>
      </c>
      <c r="F376" s="7" t="str">
        <f>IF(ISNUMBER($K376),INDEX(РАБОТЫ!$S$2:$S$1058,$K376),"")</f>
        <v/>
      </c>
      <c r="G376" s="7" t="str">
        <f>IF(ISNUMBER($K376),INDEX(РАБОТЫ!$T$2:$T$1058,$K376),"")</f>
        <v/>
      </c>
      <c r="H376" s="7" t="str">
        <f t="shared" si="20"/>
        <v/>
      </c>
      <c r="I376" s="7" t="str">
        <f t="shared" si="21"/>
        <v/>
      </c>
      <c r="J376" s="7" t="str">
        <f t="shared" si="22"/>
        <v/>
      </c>
      <c r="K376" t="str">
        <f>IFERROR(MATCH(355,РАБОТЫ!$X$2:$X$1058,0),"")</f>
        <v/>
      </c>
      <c r="L376" t="str">
        <f>IFERROR(IF(INDEX(РАБОТЫ!$W$2:$W$1058,MATCH(355+1,РАБОТЫ!$X$2:$X$1058,0))=1,INDEX(РАБОТЫ!$V$2:$V$1058,MATCH(355+1,РАБОТЫ!$X$2:$X$1058,0)),""),"")</f>
        <v/>
      </c>
      <c r="M376" t="str">
        <f t="shared" si="23"/>
        <v/>
      </c>
    </row>
    <row r="377" spans="1:13" hidden="1" x14ac:dyDescent="0.3">
      <c r="A377" t="str">
        <f>IF(ISNUMBER($K377),INDEX(РАБОТЫ!$U$2:$U$1058,$K377),"")</f>
        <v/>
      </c>
      <c r="B377" t="str">
        <f>IF(ISNUMBER($K377),INDEX(РАБОТЫ!$A$2:$A$1058,$K377),"")</f>
        <v/>
      </c>
      <c r="C377" s="4" t="str">
        <f>IF($L377&lt;&gt;"",INDEX(РАБОТЫ!$Z$2:$Z$1058,MATCH($L377,РАБОТЫ!$V$2:$V$1058,0)),IF(ISNUMBER($K377),INDEX(РАБОТЫ!$Y$2:$Y$1058,$K377),""))</f>
        <v/>
      </c>
      <c r="D377" t="str">
        <f>IF(ISNUMBER($K377),INDEX(РАБОТЫ!$E$2:$E$1058,$K377),"")</f>
        <v/>
      </c>
      <c r="E377" t="str">
        <f>IF(ISNUMBER($K377),INDEX(РАБОТЫ!$M$2:$M$1058,$K377),"")</f>
        <v/>
      </c>
      <c r="F377" s="7" t="str">
        <f>IF(ISNUMBER($K377),INDEX(РАБОТЫ!$S$2:$S$1058,$K377),"")</f>
        <v/>
      </c>
      <c r="G377" s="7" t="str">
        <f>IF(ISNUMBER($K377),INDEX(РАБОТЫ!$T$2:$T$1058,$K377),"")</f>
        <v/>
      </c>
      <c r="H377" s="7" t="str">
        <f t="shared" si="20"/>
        <v/>
      </c>
      <c r="I377" s="7" t="str">
        <f t="shared" si="21"/>
        <v/>
      </c>
      <c r="J377" s="7" t="str">
        <f t="shared" si="22"/>
        <v/>
      </c>
      <c r="K377" t="str">
        <f>IFERROR(MATCH(356,РАБОТЫ!$X$2:$X$1058,0),"")</f>
        <v/>
      </c>
      <c r="L377" t="str">
        <f>IFERROR(IF(INDEX(РАБОТЫ!$W$2:$W$1058,MATCH(356+1,РАБОТЫ!$X$2:$X$1058,0))=1,INDEX(РАБОТЫ!$V$2:$V$1058,MATCH(356+1,РАБОТЫ!$X$2:$X$1058,0)),""),"")</f>
        <v/>
      </c>
      <c r="M377" t="str">
        <f t="shared" si="23"/>
        <v/>
      </c>
    </row>
    <row r="378" spans="1:13" hidden="1" x14ac:dyDescent="0.3">
      <c r="A378" t="str">
        <f>IF(ISNUMBER($K378),INDEX(РАБОТЫ!$U$2:$U$1058,$K378),"")</f>
        <v/>
      </c>
      <c r="B378" t="str">
        <f>IF(ISNUMBER($K378),INDEX(РАБОТЫ!$A$2:$A$1058,$K378),"")</f>
        <v/>
      </c>
      <c r="C378" s="4" t="str">
        <f>IF($L378&lt;&gt;"",INDEX(РАБОТЫ!$Z$2:$Z$1058,MATCH($L378,РАБОТЫ!$V$2:$V$1058,0)),IF(ISNUMBER($K378),INDEX(РАБОТЫ!$Y$2:$Y$1058,$K378),""))</f>
        <v/>
      </c>
      <c r="D378" t="str">
        <f>IF(ISNUMBER($K378),INDEX(РАБОТЫ!$E$2:$E$1058,$K378),"")</f>
        <v/>
      </c>
      <c r="E378" t="str">
        <f>IF(ISNUMBER($K378),INDEX(РАБОТЫ!$M$2:$M$1058,$K378),"")</f>
        <v/>
      </c>
      <c r="F378" s="7" t="str">
        <f>IF(ISNUMBER($K378),INDEX(РАБОТЫ!$S$2:$S$1058,$K378),"")</f>
        <v/>
      </c>
      <c r="G378" s="7" t="str">
        <f>IF(ISNUMBER($K378),INDEX(РАБОТЫ!$T$2:$T$1058,$K378),"")</f>
        <v/>
      </c>
      <c r="H378" s="7" t="str">
        <f t="shared" si="20"/>
        <v/>
      </c>
      <c r="I378" s="7" t="str">
        <f t="shared" si="21"/>
        <v/>
      </c>
      <c r="J378" s="7" t="str">
        <f t="shared" si="22"/>
        <v/>
      </c>
      <c r="K378" t="str">
        <f>IFERROR(MATCH(357,РАБОТЫ!$X$2:$X$1058,0),"")</f>
        <v/>
      </c>
      <c r="L378" t="str">
        <f>IFERROR(IF(INDEX(РАБОТЫ!$W$2:$W$1058,MATCH(357+1,РАБОТЫ!$X$2:$X$1058,0))=1,INDEX(РАБОТЫ!$V$2:$V$1058,MATCH(357+1,РАБОТЫ!$X$2:$X$1058,0)),""),"")</f>
        <v/>
      </c>
      <c r="M378" t="str">
        <f t="shared" si="23"/>
        <v/>
      </c>
    </row>
    <row r="379" spans="1:13" hidden="1" x14ac:dyDescent="0.3">
      <c r="A379" t="str">
        <f>IF(ISNUMBER($K379),INDEX(РАБОТЫ!$U$2:$U$1058,$K379),"")</f>
        <v/>
      </c>
      <c r="B379" t="str">
        <f>IF(ISNUMBER($K379),INDEX(РАБОТЫ!$A$2:$A$1058,$K379),"")</f>
        <v/>
      </c>
      <c r="C379" s="4" t="str">
        <f>IF($L379&lt;&gt;"",INDEX(РАБОТЫ!$Z$2:$Z$1058,MATCH($L379,РАБОТЫ!$V$2:$V$1058,0)),IF(ISNUMBER($K379),INDEX(РАБОТЫ!$Y$2:$Y$1058,$K379),""))</f>
        <v/>
      </c>
      <c r="D379" t="str">
        <f>IF(ISNUMBER($K379),INDEX(РАБОТЫ!$E$2:$E$1058,$K379),"")</f>
        <v/>
      </c>
      <c r="E379" t="str">
        <f>IF(ISNUMBER($K379),INDEX(РАБОТЫ!$M$2:$M$1058,$K379),"")</f>
        <v/>
      </c>
      <c r="F379" s="7" t="str">
        <f>IF(ISNUMBER($K379),INDEX(РАБОТЫ!$S$2:$S$1058,$K379),"")</f>
        <v/>
      </c>
      <c r="G379" s="7" t="str">
        <f>IF(ISNUMBER($K379),INDEX(РАБОТЫ!$T$2:$T$1058,$K379),"")</f>
        <v/>
      </c>
      <c r="H379" s="7" t="str">
        <f t="shared" si="20"/>
        <v/>
      </c>
      <c r="I379" s="7" t="str">
        <f t="shared" si="21"/>
        <v/>
      </c>
      <c r="J379" s="7" t="str">
        <f t="shared" si="22"/>
        <v/>
      </c>
      <c r="K379" t="str">
        <f>IFERROR(MATCH(358,РАБОТЫ!$X$2:$X$1058,0),"")</f>
        <v/>
      </c>
      <c r="L379" t="str">
        <f>IFERROR(IF(INDEX(РАБОТЫ!$W$2:$W$1058,MATCH(358+1,РАБОТЫ!$X$2:$X$1058,0))=1,INDEX(РАБОТЫ!$V$2:$V$1058,MATCH(358+1,РАБОТЫ!$X$2:$X$1058,0)),""),"")</f>
        <v/>
      </c>
      <c r="M379" t="str">
        <f t="shared" si="23"/>
        <v/>
      </c>
    </row>
    <row r="380" spans="1:13" hidden="1" x14ac:dyDescent="0.3">
      <c r="A380" t="str">
        <f>IF(ISNUMBER($K380),INDEX(РАБОТЫ!$U$2:$U$1058,$K380),"")</f>
        <v/>
      </c>
      <c r="B380" t="str">
        <f>IF(ISNUMBER($K380),INDEX(РАБОТЫ!$A$2:$A$1058,$K380),"")</f>
        <v/>
      </c>
      <c r="C380" s="4" t="str">
        <f>IF($L380&lt;&gt;"",INDEX(РАБОТЫ!$Z$2:$Z$1058,MATCH($L380,РАБОТЫ!$V$2:$V$1058,0)),IF(ISNUMBER($K380),INDEX(РАБОТЫ!$Y$2:$Y$1058,$K380),""))</f>
        <v/>
      </c>
      <c r="D380" t="str">
        <f>IF(ISNUMBER($K380),INDEX(РАБОТЫ!$E$2:$E$1058,$K380),"")</f>
        <v/>
      </c>
      <c r="E380" t="str">
        <f>IF(ISNUMBER($K380),INDEX(РАБОТЫ!$M$2:$M$1058,$K380),"")</f>
        <v/>
      </c>
      <c r="F380" s="7" t="str">
        <f>IF(ISNUMBER($K380),INDEX(РАБОТЫ!$S$2:$S$1058,$K380),"")</f>
        <v/>
      </c>
      <c r="G380" s="7" t="str">
        <f>IF(ISNUMBER($K380),INDEX(РАБОТЫ!$T$2:$T$1058,$K380),"")</f>
        <v/>
      </c>
      <c r="H380" s="7" t="str">
        <f t="shared" si="20"/>
        <v/>
      </c>
      <c r="I380" s="7" t="str">
        <f t="shared" si="21"/>
        <v/>
      </c>
      <c r="J380" s="7" t="str">
        <f t="shared" si="22"/>
        <v/>
      </c>
      <c r="K380" t="str">
        <f>IFERROR(MATCH(359,РАБОТЫ!$X$2:$X$1058,0),"")</f>
        <v/>
      </c>
      <c r="L380" t="str">
        <f>IFERROR(IF(INDEX(РАБОТЫ!$W$2:$W$1058,MATCH(359+1,РАБОТЫ!$X$2:$X$1058,0))=1,INDEX(РАБОТЫ!$V$2:$V$1058,MATCH(359+1,РАБОТЫ!$X$2:$X$1058,0)),""),"")</f>
        <v/>
      </c>
      <c r="M380" t="str">
        <f t="shared" si="23"/>
        <v/>
      </c>
    </row>
    <row r="381" spans="1:13" hidden="1" x14ac:dyDescent="0.3">
      <c r="A381" t="str">
        <f>IF(ISNUMBER($K381),INDEX(РАБОТЫ!$U$2:$U$1058,$K381),"")</f>
        <v/>
      </c>
      <c r="B381" t="str">
        <f>IF(ISNUMBER($K381),INDEX(РАБОТЫ!$A$2:$A$1058,$K381),"")</f>
        <v/>
      </c>
      <c r="C381" s="4" t="str">
        <f>IF($L381&lt;&gt;"",INDEX(РАБОТЫ!$Z$2:$Z$1058,MATCH($L381,РАБОТЫ!$V$2:$V$1058,0)),IF(ISNUMBER($K381),INDEX(РАБОТЫ!$Y$2:$Y$1058,$K381),""))</f>
        <v/>
      </c>
      <c r="D381" t="str">
        <f>IF(ISNUMBER($K381),INDEX(РАБОТЫ!$E$2:$E$1058,$K381),"")</f>
        <v/>
      </c>
      <c r="E381" t="str">
        <f>IF(ISNUMBER($K381),INDEX(РАБОТЫ!$M$2:$M$1058,$K381),"")</f>
        <v/>
      </c>
      <c r="F381" s="7" t="str">
        <f>IF(ISNUMBER($K381),INDEX(РАБОТЫ!$S$2:$S$1058,$K381),"")</f>
        <v/>
      </c>
      <c r="G381" s="7" t="str">
        <f>IF(ISNUMBER($K381),INDEX(РАБОТЫ!$T$2:$T$1058,$K381),"")</f>
        <v/>
      </c>
      <c r="H381" s="7" t="str">
        <f t="shared" si="20"/>
        <v/>
      </c>
      <c r="I381" s="7" t="str">
        <f t="shared" si="21"/>
        <v/>
      </c>
      <c r="J381" s="7" t="str">
        <f t="shared" si="22"/>
        <v/>
      </c>
      <c r="K381" t="str">
        <f>IFERROR(MATCH(360,РАБОТЫ!$X$2:$X$1058,0),"")</f>
        <v/>
      </c>
      <c r="L381" t="str">
        <f>IFERROR(IF(INDEX(РАБОТЫ!$W$2:$W$1058,MATCH(360+1,РАБОТЫ!$X$2:$X$1058,0))=1,INDEX(РАБОТЫ!$V$2:$V$1058,MATCH(360+1,РАБОТЫ!$X$2:$X$1058,0)),""),"")</f>
        <v/>
      </c>
      <c r="M381" t="str">
        <f t="shared" si="23"/>
        <v/>
      </c>
    </row>
    <row r="382" spans="1:13" hidden="1" x14ac:dyDescent="0.3">
      <c r="A382" t="str">
        <f>IF(ISNUMBER($K382),INDEX(РАБОТЫ!$U$2:$U$1058,$K382),"")</f>
        <v/>
      </c>
      <c r="B382" t="str">
        <f>IF(ISNUMBER($K382),INDEX(РАБОТЫ!$A$2:$A$1058,$K382),"")</f>
        <v/>
      </c>
      <c r="C382" s="4" t="str">
        <f>IF($L382&lt;&gt;"",INDEX(РАБОТЫ!$Z$2:$Z$1058,MATCH($L382,РАБОТЫ!$V$2:$V$1058,0)),IF(ISNUMBER($K382),INDEX(РАБОТЫ!$Y$2:$Y$1058,$K382),""))</f>
        <v/>
      </c>
      <c r="D382" t="str">
        <f>IF(ISNUMBER($K382),INDEX(РАБОТЫ!$E$2:$E$1058,$K382),"")</f>
        <v/>
      </c>
      <c r="E382" t="str">
        <f>IF(ISNUMBER($K382),INDEX(РАБОТЫ!$M$2:$M$1058,$K382),"")</f>
        <v/>
      </c>
      <c r="F382" s="7" t="str">
        <f>IF(ISNUMBER($K382),INDEX(РАБОТЫ!$S$2:$S$1058,$K382),"")</f>
        <v/>
      </c>
      <c r="G382" s="7" t="str">
        <f>IF(ISNUMBER($K382),INDEX(РАБОТЫ!$T$2:$T$1058,$K382),"")</f>
        <v/>
      </c>
      <c r="H382" s="7" t="str">
        <f t="shared" si="20"/>
        <v/>
      </c>
      <c r="I382" s="7" t="str">
        <f t="shared" si="21"/>
        <v/>
      </c>
      <c r="J382" s="7" t="str">
        <f t="shared" si="22"/>
        <v/>
      </c>
      <c r="K382" t="str">
        <f>IFERROR(MATCH(361,РАБОТЫ!$X$2:$X$1058,0),"")</f>
        <v/>
      </c>
      <c r="L382" t="str">
        <f>IFERROR(IF(INDEX(РАБОТЫ!$W$2:$W$1058,MATCH(361+1,РАБОТЫ!$X$2:$X$1058,0))=1,INDEX(РАБОТЫ!$V$2:$V$1058,MATCH(361+1,РАБОТЫ!$X$2:$X$1058,0)),""),"")</f>
        <v/>
      </c>
      <c r="M382" t="str">
        <f t="shared" si="23"/>
        <v/>
      </c>
    </row>
    <row r="383" spans="1:13" hidden="1" x14ac:dyDescent="0.3">
      <c r="A383" t="str">
        <f>IF(ISNUMBER($K383),INDEX(РАБОТЫ!$U$2:$U$1058,$K383),"")</f>
        <v/>
      </c>
      <c r="B383" t="str">
        <f>IF(ISNUMBER($K383),INDEX(РАБОТЫ!$A$2:$A$1058,$K383),"")</f>
        <v/>
      </c>
      <c r="C383" s="4" t="str">
        <f>IF($L383&lt;&gt;"",INDEX(РАБОТЫ!$Z$2:$Z$1058,MATCH($L383,РАБОТЫ!$V$2:$V$1058,0)),IF(ISNUMBER($K383),INDEX(РАБОТЫ!$Y$2:$Y$1058,$K383),""))</f>
        <v/>
      </c>
      <c r="D383" t="str">
        <f>IF(ISNUMBER($K383),INDEX(РАБОТЫ!$E$2:$E$1058,$K383),"")</f>
        <v/>
      </c>
      <c r="E383" t="str">
        <f>IF(ISNUMBER($K383),INDEX(РАБОТЫ!$M$2:$M$1058,$K383),"")</f>
        <v/>
      </c>
      <c r="F383" s="7" t="str">
        <f>IF(ISNUMBER($K383),INDEX(РАБОТЫ!$S$2:$S$1058,$K383),"")</f>
        <v/>
      </c>
      <c r="G383" s="7" t="str">
        <f>IF(ISNUMBER($K383),INDEX(РАБОТЫ!$T$2:$T$1058,$K383),"")</f>
        <v/>
      </c>
      <c r="H383" s="7" t="str">
        <f t="shared" si="20"/>
        <v/>
      </c>
      <c r="I383" s="7" t="str">
        <f t="shared" si="21"/>
        <v/>
      </c>
      <c r="J383" s="7" t="str">
        <f t="shared" si="22"/>
        <v/>
      </c>
      <c r="K383" t="str">
        <f>IFERROR(MATCH(362,РАБОТЫ!$X$2:$X$1058,0),"")</f>
        <v/>
      </c>
      <c r="L383" t="str">
        <f>IFERROR(IF(INDEX(РАБОТЫ!$W$2:$W$1058,MATCH(362+1,РАБОТЫ!$X$2:$X$1058,0))=1,INDEX(РАБОТЫ!$V$2:$V$1058,MATCH(362+1,РАБОТЫ!$X$2:$X$1058,0)),""),"")</f>
        <v/>
      </c>
      <c r="M383" t="str">
        <f t="shared" si="23"/>
        <v/>
      </c>
    </row>
    <row r="384" spans="1:13" hidden="1" x14ac:dyDescent="0.3">
      <c r="A384" t="str">
        <f>IF(ISNUMBER($K384),INDEX(РАБОТЫ!$U$2:$U$1058,$K384),"")</f>
        <v/>
      </c>
      <c r="B384" t="str">
        <f>IF(ISNUMBER($K384),INDEX(РАБОТЫ!$A$2:$A$1058,$K384),"")</f>
        <v/>
      </c>
      <c r="C384" s="4" t="str">
        <f>IF($L384&lt;&gt;"",INDEX(РАБОТЫ!$Z$2:$Z$1058,MATCH($L384,РАБОТЫ!$V$2:$V$1058,0)),IF(ISNUMBER($K384),INDEX(РАБОТЫ!$Y$2:$Y$1058,$K384),""))</f>
        <v/>
      </c>
      <c r="D384" t="str">
        <f>IF(ISNUMBER($K384),INDEX(РАБОТЫ!$E$2:$E$1058,$K384),"")</f>
        <v/>
      </c>
      <c r="E384" t="str">
        <f>IF(ISNUMBER($K384),INDEX(РАБОТЫ!$M$2:$M$1058,$K384),"")</f>
        <v/>
      </c>
      <c r="F384" s="7" t="str">
        <f>IF(ISNUMBER($K384),INDEX(РАБОТЫ!$S$2:$S$1058,$K384),"")</f>
        <v/>
      </c>
      <c r="G384" s="7" t="str">
        <f>IF(ISNUMBER($K384),INDEX(РАБОТЫ!$T$2:$T$1058,$K384),"")</f>
        <v/>
      </c>
      <c r="H384" s="7" t="str">
        <f t="shared" si="20"/>
        <v/>
      </c>
      <c r="I384" s="7" t="str">
        <f t="shared" si="21"/>
        <v/>
      </c>
      <c r="J384" s="7" t="str">
        <f t="shared" si="22"/>
        <v/>
      </c>
      <c r="K384" t="str">
        <f>IFERROR(MATCH(363,РАБОТЫ!$X$2:$X$1058,0),"")</f>
        <v/>
      </c>
      <c r="L384" t="str">
        <f>IFERROR(IF(INDEX(РАБОТЫ!$W$2:$W$1058,MATCH(363+1,РАБОТЫ!$X$2:$X$1058,0))=1,INDEX(РАБОТЫ!$V$2:$V$1058,MATCH(363+1,РАБОТЫ!$X$2:$X$1058,0)),""),"")</f>
        <v/>
      </c>
      <c r="M384" t="str">
        <f t="shared" si="23"/>
        <v/>
      </c>
    </row>
    <row r="385" spans="1:13" hidden="1" x14ac:dyDescent="0.3">
      <c r="A385" t="str">
        <f>IF(ISNUMBER($K385),INDEX(РАБОТЫ!$U$2:$U$1058,$K385),"")</f>
        <v/>
      </c>
      <c r="B385" t="str">
        <f>IF(ISNUMBER($K385),INDEX(РАБОТЫ!$A$2:$A$1058,$K385),"")</f>
        <v/>
      </c>
      <c r="C385" s="4" t="str">
        <f>IF($L385&lt;&gt;"",INDEX(РАБОТЫ!$Z$2:$Z$1058,MATCH($L385,РАБОТЫ!$V$2:$V$1058,0)),IF(ISNUMBER($K385),INDEX(РАБОТЫ!$Y$2:$Y$1058,$K385),""))</f>
        <v/>
      </c>
      <c r="D385" t="str">
        <f>IF(ISNUMBER($K385),INDEX(РАБОТЫ!$E$2:$E$1058,$K385),"")</f>
        <v/>
      </c>
      <c r="E385" t="str">
        <f>IF(ISNUMBER($K385),INDEX(РАБОТЫ!$M$2:$M$1058,$K385),"")</f>
        <v/>
      </c>
      <c r="F385" s="7" t="str">
        <f>IF(ISNUMBER($K385),INDEX(РАБОТЫ!$S$2:$S$1058,$K385),"")</f>
        <v/>
      </c>
      <c r="G385" s="7" t="str">
        <f>IF(ISNUMBER($K385),INDEX(РАБОТЫ!$T$2:$T$1058,$K385),"")</f>
        <v/>
      </c>
      <c r="H385" s="7" t="str">
        <f t="shared" si="20"/>
        <v/>
      </c>
      <c r="I385" s="7" t="str">
        <f t="shared" si="21"/>
        <v/>
      </c>
      <c r="J385" s="7" t="str">
        <f t="shared" si="22"/>
        <v/>
      </c>
      <c r="K385" t="str">
        <f>IFERROR(MATCH(364,РАБОТЫ!$X$2:$X$1058,0),"")</f>
        <v/>
      </c>
      <c r="L385" t="str">
        <f>IFERROR(IF(INDEX(РАБОТЫ!$W$2:$W$1058,MATCH(364+1,РАБОТЫ!$X$2:$X$1058,0))=1,INDEX(РАБОТЫ!$V$2:$V$1058,MATCH(364+1,РАБОТЫ!$X$2:$X$1058,0)),""),"")</f>
        <v/>
      </c>
      <c r="M385" t="str">
        <f t="shared" si="23"/>
        <v/>
      </c>
    </row>
    <row r="386" spans="1:13" hidden="1" x14ac:dyDescent="0.3">
      <c r="A386" t="str">
        <f>IF(ISNUMBER($K386),INDEX(РАБОТЫ!$U$2:$U$1058,$K386),"")</f>
        <v/>
      </c>
      <c r="B386" t="str">
        <f>IF(ISNUMBER($K386),INDEX(РАБОТЫ!$A$2:$A$1058,$K386),"")</f>
        <v/>
      </c>
      <c r="C386" s="4" t="str">
        <f>IF($L386&lt;&gt;"",INDEX(РАБОТЫ!$Z$2:$Z$1058,MATCH($L386,РАБОТЫ!$V$2:$V$1058,0)),IF(ISNUMBER($K386),INDEX(РАБОТЫ!$Y$2:$Y$1058,$K386),""))</f>
        <v/>
      </c>
      <c r="D386" t="str">
        <f>IF(ISNUMBER($K386),INDEX(РАБОТЫ!$E$2:$E$1058,$K386),"")</f>
        <v/>
      </c>
      <c r="E386" t="str">
        <f>IF(ISNUMBER($K386),INDEX(РАБОТЫ!$M$2:$M$1058,$K386),"")</f>
        <v/>
      </c>
      <c r="F386" s="7" t="str">
        <f>IF(ISNUMBER($K386),INDEX(РАБОТЫ!$S$2:$S$1058,$K386),"")</f>
        <v/>
      </c>
      <c r="G386" s="7" t="str">
        <f>IF(ISNUMBER($K386),INDEX(РАБОТЫ!$T$2:$T$1058,$K386),"")</f>
        <v/>
      </c>
      <c r="H386" s="7" t="str">
        <f t="shared" si="20"/>
        <v/>
      </c>
      <c r="I386" s="7" t="str">
        <f t="shared" si="21"/>
        <v/>
      </c>
      <c r="J386" s="7" t="str">
        <f t="shared" si="22"/>
        <v/>
      </c>
      <c r="K386" t="str">
        <f>IFERROR(MATCH(365,РАБОТЫ!$X$2:$X$1058,0),"")</f>
        <v/>
      </c>
      <c r="L386" t="str">
        <f>IFERROR(IF(INDEX(РАБОТЫ!$W$2:$W$1058,MATCH(365+1,РАБОТЫ!$X$2:$X$1058,0))=1,INDEX(РАБОТЫ!$V$2:$V$1058,MATCH(365+1,РАБОТЫ!$X$2:$X$1058,0)),""),"")</f>
        <v/>
      </c>
      <c r="M386" t="str">
        <f t="shared" si="23"/>
        <v/>
      </c>
    </row>
    <row r="387" spans="1:13" hidden="1" x14ac:dyDescent="0.3">
      <c r="A387" t="str">
        <f>IF(ISNUMBER($K387),INDEX(РАБОТЫ!$U$2:$U$1058,$K387),"")</f>
        <v/>
      </c>
      <c r="B387" t="str">
        <f>IF(ISNUMBER($K387),INDEX(РАБОТЫ!$A$2:$A$1058,$K387),"")</f>
        <v/>
      </c>
      <c r="C387" s="4" t="str">
        <f>IF($L387&lt;&gt;"",INDEX(РАБОТЫ!$Z$2:$Z$1058,MATCH($L387,РАБОТЫ!$V$2:$V$1058,0)),IF(ISNUMBER($K387),INDEX(РАБОТЫ!$Y$2:$Y$1058,$K387),""))</f>
        <v/>
      </c>
      <c r="D387" t="str">
        <f>IF(ISNUMBER($K387),INDEX(РАБОТЫ!$E$2:$E$1058,$K387),"")</f>
        <v/>
      </c>
      <c r="E387" t="str">
        <f>IF(ISNUMBER($K387),INDEX(РАБОТЫ!$M$2:$M$1058,$K387),"")</f>
        <v/>
      </c>
      <c r="F387" s="7" t="str">
        <f>IF(ISNUMBER($K387),INDEX(РАБОТЫ!$S$2:$S$1058,$K387),"")</f>
        <v/>
      </c>
      <c r="G387" s="7" t="str">
        <f>IF(ISNUMBER($K387),INDEX(РАБОТЫ!$T$2:$T$1058,$K387),"")</f>
        <v/>
      </c>
      <c r="H387" s="7" t="str">
        <f t="shared" si="20"/>
        <v/>
      </c>
      <c r="I387" s="7" t="str">
        <f t="shared" si="21"/>
        <v/>
      </c>
      <c r="J387" s="7" t="str">
        <f t="shared" si="22"/>
        <v/>
      </c>
      <c r="K387" t="str">
        <f>IFERROR(MATCH(366,РАБОТЫ!$X$2:$X$1058,0),"")</f>
        <v/>
      </c>
      <c r="L387" t="str">
        <f>IFERROR(IF(INDEX(РАБОТЫ!$W$2:$W$1058,MATCH(366+1,РАБОТЫ!$X$2:$X$1058,0))=1,INDEX(РАБОТЫ!$V$2:$V$1058,MATCH(366+1,РАБОТЫ!$X$2:$X$1058,0)),""),"")</f>
        <v/>
      </c>
      <c r="M387" t="str">
        <f t="shared" si="23"/>
        <v/>
      </c>
    </row>
    <row r="388" spans="1:13" hidden="1" x14ac:dyDescent="0.3">
      <c r="A388" t="str">
        <f>IF(ISNUMBER($K388),INDEX(РАБОТЫ!$U$2:$U$1058,$K388),"")</f>
        <v/>
      </c>
      <c r="B388" t="str">
        <f>IF(ISNUMBER($K388),INDEX(РАБОТЫ!$A$2:$A$1058,$K388),"")</f>
        <v/>
      </c>
      <c r="C388" s="4" t="str">
        <f>IF($L388&lt;&gt;"",INDEX(РАБОТЫ!$Z$2:$Z$1058,MATCH($L388,РАБОТЫ!$V$2:$V$1058,0)),IF(ISNUMBER($K388),INDEX(РАБОТЫ!$Y$2:$Y$1058,$K388),""))</f>
        <v/>
      </c>
      <c r="D388" t="str">
        <f>IF(ISNUMBER($K388),INDEX(РАБОТЫ!$E$2:$E$1058,$K388),"")</f>
        <v/>
      </c>
      <c r="E388" t="str">
        <f>IF(ISNUMBER($K388),INDEX(РАБОТЫ!$M$2:$M$1058,$K388),"")</f>
        <v/>
      </c>
      <c r="F388" s="7" t="str">
        <f>IF(ISNUMBER($K388),INDEX(РАБОТЫ!$S$2:$S$1058,$K388),"")</f>
        <v/>
      </c>
      <c r="G388" s="7" t="str">
        <f>IF(ISNUMBER($K388),INDEX(РАБОТЫ!$T$2:$T$1058,$K388),"")</f>
        <v/>
      </c>
      <c r="H388" s="7" t="str">
        <f t="shared" si="20"/>
        <v/>
      </c>
      <c r="I388" s="7" t="str">
        <f t="shared" si="21"/>
        <v/>
      </c>
      <c r="J388" s="7" t="str">
        <f t="shared" si="22"/>
        <v/>
      </c>
      <c r="K388" t="str">
        <f>IFERROR(MATCH(367,РАБОТЫ!$X$2:$X$1058,0),"")</f>
        <v/>
      </c>
      <c r="L388" t="str">
        <f>IFERROR(IF(INDEX(РАБОТЫ!$W$2:$W$1058,MATCH(367+1,РАБОТЫ!$X$2:$X$1058,0))=1,INDEX(РАБОТЫ!$V$2:$V$1058,MATCH(367+1,РАБОТЫ!$X$2:$X$1058,0)),""),"")</f>
        <v/>
      </c>
      <c r="M388" t="str">
        <f t="shared" si="23"/>
        <v/>
      </c>
    </row>
    <row r="389" spans="1:13" hidden="1" x14ac:dyDescent="0.3">
      <c r="A389" t="str">
        <f>IF(ISNUMBER($K389),INDEX(РАБОТЫ!$U$2:$U$1058,$K389),"")</f>
        <v/>
      </c>
      <c r="B389" t="str">
        <f>IF(ISNUMBER($K389),INDEX(РАБОТЫ!$A$2:$A$1058,$K389),"")</f>
        <v/>
      </c>
      <c r="C389" s="4" t="str">
        <f>IF($L389&lt;&gt;"",INDEX(РАБОТЫ!$Z$2:$Z$1058,MATCH($L389,РАБОТЫ!$V$2:$V$1058,0)),IF(ISNUMBER($K389),INDEX(РАБОТЫ!$Y$2:$Y$1058,$K389),""))</f>
        <v/>
      </c>
      <c r="D389" t="str">
        <f>IF(ISNUMBER($K389),INDEX(РАБОТЫ!$E$2:$E$1058,$K389),"")</f>
        <v/>
      </c>
      <c r="E389" t="str">
        <f>IF(ISNUMBER($K389),INDEX(РАБОТЫ!$M$2:$M$1058,$K389),"")</f>
        <v/>
      </c>
      <c r="F389" s="7" t="str">
        <f>IF(ISNUMBER($K389),INDEX(РАБОТЫ!$S$2:$S$1058,$K389),"")</f>
        <v/>
      </c>
      <c r="G389" s="7" t="str">
        <f>IF(ISNUMBER($K389),INDEX(РАБОТЫ!$T$2:$T$1058,$K389),"")</f>
        <v/>
      </c>
      <c r="H389" s="7" t="str">
        <f t="shared" si="20"/>
        <v/>
      </c>
      <c r="I389" s="7" t="str">
        <f t="shared" si="21"/>
        <v/>
      </c>
      <c r="J389" s="7" t="str">
        <f t="shared" si="22"/>
        <v/>
      </c>
      <c r="K389" t="str">
        <f>IFERROR(MATCH(368,РАБОТЫ!$X$2:$X$1058,0),"")</f>
        <v/>
      </c>
      <c r="L389" t="str">
        <f>IFERROR(IF(INDEX(РАБОТЫ!$W$2:$W$1058,MATCH(368+1,РАБОТЫ!$X$2:$X$1058,0))=1,INDEX(РАБОТЫ!$V$2:$V$1058,MATCH(368+1,РАБОТЫ!$X$2:$X$1058,0)),""),"")</f>
        <v/>
      </c>
      <c r="M389" t="str">
        <f t="shared" si="23"/>
        <v/>
      </c>
    </row>
    <row r="390" spans="1:13" hidden="1" x14ac:dyDescent="0.3">
      <c r="A390" t="str">
        <f>IF(ISNUMBER($K390),INDEX(РАБОТЫ!$U$2:$U$1058,$K390),"")</f>
        <v/>
      </c>
      <c r="B390" t="str">
        <f>IF(ISNUMBER($K390),INDEX(РАБОТЫ!$A$2:$A$1058,$K390),"")</f>
        <v/>
      </c>
      <c r="C390" s="4" t="str">
        <f>IF($L390&lt;&gt;"",INDEX(РАБОТЫ!$Z$2:$Z$1058,MATCH($L390,РАБОТЫ!$V$2:$V$1058,0)),IF(ISNUMBER($K390),INDEX(РАБОТЫ!$Y$2:$Y$1058,$K390),""))</f>
        <v/>
      </c>
      <c r="D390" t="str">
        <f>IF(ISNUMBER($K390),INDEX(РАБОТЫ!$E$2:$E$1058,$K390),"")</f>
        <v/>
      </c>
      <c r="E390" t="str">
        <f>IF(ISNUMBER($K390),INDEX(РАБОТЫ!$M$2:$M$1058,$K390),"")</f>
        <v/>
      </c>
      <c r="F390" s="7" t="str">
        <f>IF(ISNUMBER($K390),INDEX(РАБОТЫ!$S$2:$S$1058,$K390),"")</f>
        <v/>
      </c>
      <c r="G390" s="7" t="str">
        <f>IF(ISNUMBER($K390),INDEX(РАБОТЫ!$T$2:$T$1058,$K390),"")</f>
        <v/>
      </c>
      <c r="H390" s="7" t="str">
        <f t="shared" si="20"/>
        <v/>
      </c>
      <c r="I390" s="7" t="str">
        <f t="shared" si="21"/>
        <v/>
      </c>
      <c r="J390" s="7" t="str">
        <f t="shared" si="22"/>
        <v/>
      </c>
      <c r="K390" t="str">
        <f>IFERROR(MATCH(369,РАБОТЫ!$X$2:$X$1058,0),"")</f>
        <v/>
      </c>
      <c r="L390" t="str">
        <f>IFERROR(IF(INDEX(РАБОТЫ!$W$2:$W$1058,MATCH(369+1,РАБОТЫ!$X$2:$X$1058,0))=1,INDEX(РАБОТЫ!$V$2:$V$1058,MATCH(369+1,РАБОТЫ!$X$2:$X$1058,0)),""),"")</f>
        <v/>
      </c>
      <c r="M390" t="str">
        <f t="shared" si="23"/>
        <v/>
      </c>
    </row>
    <row r="391" spans="1:13" hidden="1" x14ac:dyDescent="0.3">
      <c r="A391" t="str">
        <f>IF(ISNUMBER($K391),INDEX(РАБОТЫ!$U$2:$U$1058,$K391),"")</f>
        <v/>
      </c>
      <c r="B391" t="str">
        <f>IF(ISNUMBER($K391),INDEX(РАБОТЫ!$A$2:$A$1058,$K391),"")</f>
        <v/>
      </c>
      <c r="C391" s="4" t="str">
        <f>IF($L391&lt;&gt;"",INDEX(РАБОТЫ!$Z$2:$Z$1058,MATCH($L391,РАБОТЫ!$V$2:$V$1058,0)),IF(ISNUMBER($K391),INDEX(РАБОТЫ!$Y$2:$Y$1058,$K391),""))</f>
        <v/>
      </c>
      <c r="D391" t="str">
        <f>IF(ISNUMBER($K391),INDEX(РАБОТЫ!$E$2:$E$1058,$K391),"")</f>
        <v/>
      </c>
      <c r="E391" t="str">
        <f>IF(ISNUMBER($K391),INDEX(РАБОТЫ!$M$2:$M$1058,$K391),"")</f>
        <v/>
      </c>
      <c r="F391" s="7" t="str">
        <f>IF(ISNUMBER($K391),INDEX(РАБОТЫ!$S$2:$S$1058,$K391),"")</f>
        <v/>
      </c>
      <c r="G391" s="7" t="str">
        <f>IF(ISNUMBER($K391),INDEX(РАБОТЫ!$T$2:$T$1058,$K391),"")</f>
        <v/>
      </c>
      <c r="H391" s="7" t="str">
        <f t="shared" si="20"/>
        <v/>
      </c>
      <c r="I391" s="7" t="str">
        <f t="shared" si="21"/>
        <v/>
      </c>
      <c r="J391" s="7" t="str">
        <f t="shared" si="22"/>
        <v/>
      </c>
      <c r="K391" t="str">
        <f>IFERROR(MATCH(370,РАБОТЫ!$X$2:$X$1058,0),"")</f>
        <v/>
      </c>
      <c r="L391" t="str">
        <f>IFERROR(IF(INDEX(РАБОТЫ!$W$2:$W$1058,MATCH(370+1,РАБОТЫ!$X$2:$X$1058,0))=1,INDEX(РАБОТЫ!$V$2:$V$1058,MATCH(370+1,РАБОТЫ!$X$2:$X$1058,0)),""),"")</f>
        <v/>
      </c>
      <c r="M391" t="str">
        <f t="shared" si="23"/>
        <v/>
      </c>
    </row>
    <row r="392" spans="1:13" hidden="1" x14ac:dyDescent="0.3">
      <c r="A392" t="str">
        <f>IF(ISNUMBER($K392),INDEX(РАБОТЫ!$U$2:$U$1058,$K392),"")</f>
        <v/>
      </c>
      <c r="B392" t="str">
        <f>IF(ISNUMBER($K392),INDEX(РАБОТЫ!$A$2:$A$1058,$K392),"")</f>
        <v/>
      </c>
      <c r="C392" s="4" t="str">
        <f>IF($L392&lt;&gt;"",INDEX(РАБОТЫ!$Z$2:$Z$1058,MATCH($L392,РАБОТЫ!$V$2:$V$1058,0)),IF(ISNUMBER($K392),INDEX(РАБОТЫ!$Y$2:$Y$1058,$K392),""))</f>
        <v/>
      </c>
      <c r="D392" t="str">
        <f>IF(ISNUMBER($K392),INDEX(РАБОТЫ!$E$2:$E$1058,$K392),"")</f>
        <v/>
      </c>
      <c r="E392" t="str">
        <f>IF(ISNUMBER($K392),INDEX(РАБОТЫ!$M$2:$M$1058,$K392),"")</f>
        <v/>
      </c>
      <c r="F392" s="7" t="str">
        <f>IF(ISNUMBER($K392),INDEX(РАБОТЫ!$S$2:$S$1058,$K392),"")</f>
        <v/>
      </c>
      <c r="G392" s="7" t="str">
        <f>IF(ISNUMBER($K392),INDEX(РАБОТЫ!$T$2:$T$1058,$K392),"")</f>
        <v/>
      </c>
      <c r="H392" s="7" t="str">
        <f t="shared" si="20"/>
        <v/>
      </c>
      <c r="I392" s="7" t="str">
        <f t="shared" si="21"/>
        <v/>
      </c>
      <c r="J392" s="7" t="str">
        <f t="shared" si="22"/>
        <v/>
      </c>
      <c r="K392" t="str">
        <f>IFERROR(MATCH(371,РАБОТЫ!$X$2:$X$1058,0),"")</f>
        <v/>
      </c>
      <c r="L392" t="str">
        <f>IFERROR(IF(INDEX(РАБОТЫ!$W$2:$W$1058,MATCH(371+1,РАБОТЫ!$X$2:$X$1058,0))=1,INDEX(РАБОТЫ!$V$2:$V$1058,MATCH(371+1,РАБОТЫ!$X$2:$X$1058,0)),""),"")</f>
        <v/>
      </c>
      <c r="M392" t="str">
        <f t="shared" si="23"/>
        <v/>
      </c>
    </row>
    <row r="393" spans="1:13" hidden="1" x14ac:dyDescent="0.3">
      <c r="A393" t="str">
        <f>IF(ISNUMBER($K393),INDEX(РАБОТЫ!$U$2:$U$1058,$K393),"")</f>
        <v/>
      </c>
      <c r="B393" t="str">
        <f>IF(ISNUMBER($K393),INDEX(РАБОТЫ!$A$2:$A$1058,$K393),"")</f>
        <v/>
      </c>
      <c r="C393" s="4" t="str">
        <f>IF($L393&lt;&gt;"",INDEX(РАБОТЫ!$Z$2:$Z$1058,MATCH($L393,РАБОТЫ!$V$2:$V$1058,0)),IF(ISNUMBER($K393),INDEX(РАБОТЫ!$Y$2:$Y$1058,$K393),""))</f>
        <v/>
      </c>
      <c r="D393" t="str">
        <f>IF(ISNUMBER($K393),INDEX(РАБОТЫ!$E$2:$E$1058,$K393),"")</f>
        <v/>
      </c>
      <c r="E393" t="str">
        <f>IF(ISNUMBER($K393),INDEX(РАБОТЫ!$M$2:$M$1058,$K393),"")</f>
        <v/>
      </c>
      <c r="F393" s="7" t="str">
        <f>IF(ISNUMBER($K393),INDEX(РАБОТЫ!$S$2:$S$1058,$K393),"")</f>
        <v/>
      </c>
      <c r="G393" s="7" t="str">
        <f>IF(ISNUMBER($K393),INDEX(РАБОТЫ!$T$2:$T$1058,$K393),"")</f>
        <v/>
      </c>
      <c r="H393" s="7" t="str">
        <f t="shared" si="20"/>
        <v/>
      </c>
      <c r="I393" s="7" t="str">
        <f t="shared" si="21"/>
        <v/>
      </c>
      <c r="J393" s="7" t="str">
        <f t="shared" si="22"/>
        <v/>
      </c>
      <c r="K393" t="str">
        <f>IFERROR(MATCH(372,РАБОТЫ!$X$2:$X$1058,0),"")</f>
        <v/>
      </c>
      <c r="L393" t="str">
        <f>IFERROR(IF(INDEX(РАБОТЫ!$W$2:$W$1058,MATCH(372+1,РАБОТЫ!$X$2:$X$1058,0))=1,INDEX(РАБОТЫ!$V$2:$V$1058,MATCH(372+1,РАБОТЫ!$X$2:$X$1058,0)),""),"")</f>
        <v/>
      </c>
      <c r="M393" t="str">
        <f t="shared" si="23"/>
        <v/>
      </c>
    </row>
    <row r="394" spans="1:13" hidden="1" x14ac:dyDescent="0.3">
      <c r="A394" t="str">
        <f>IF(ISNUMBER($K394),INDEX(РАБОТЫ!$U$2:$U$1058,$K394),"")</f>
        <v/>
      </c>
      <c r="B394" t="str">
        <f>IF(ISNUMBER($K394),INDEX(РАБОТЫ!$A$2:$A$1058,$K394),"")</f>
        <v/>
      </c>
      <c r="C394" s="4" t="str">
        <f>IF($L394&lt;&gt;"",INDEX(РАБОТЫ!$Z$2:$Z$1058,MATCH($L394,РАБОТЫ!$V$2:$V$1058,0)),IF(ISNUMBER($K394),INDEX(РАБОТЫ!$Y$2:$Y$1058,$K394),""))</f>
        <v/>
      </c>
      <c r="D394" t="str">
        <f>IF(ISNUMBER($K394),INDEX(РАБОТЫ!$E$2:$E$1058,$K394),"")</f>
        <v/>
      </c>
      <c r="E394" t="str">
        <f>IF(ISNUMBER($K394),INDEX(РАБОТЫ!$M$2:$M$1058,$K394),"")</f>
        <v/>
      </c>
      <c r="F394" s="7" t="str">
        <f>IF(ISNUMBER($K394),INDEX(РАБОТЫ!$S$2:$S$1058,$K394),"")</f>
        <v/>
      </c>
      <c r="G394" s="7" t="str">
        <f>IF(ISNUMBER($K394),INDEX(РАБОТЫ!$T$2:$T$1058,$K394),"")</f>
        <v/>
      </c>
      <c r="H394" s="7" t="str">
        <f t="shared" si="20"/>
        <v/>
      </c>
      <c r="I394" s="7" t="str">
        <f t="shared" si="21"/>
        <v/>
      </c>
      <c r="J394" s="7" t="str">
        <f t="shared" si="22"/>
        <v/>
      </c>
      <c r="K394" t="str">
        <f>IFERROR(MATCH(373,РАБОТЫ!$X$2:$X$1058,0),"")</f>
        <v/>
      </c>
      <c r="L394" t="str">
        <f>IFERROR(IF(INDEX(РАБОТЫ!$W$2:$W$1058,MATCH(373+1,РАБОТЫ!$X$2:$X$1058,0))=1,INDEX(РАБОТЫ!$V$2:$V$1058,MATCH(373+1,РАБОТЫ!$X$2:$X$1058,0)),""),"")</f>
        <v/>
      </c>
      <c r="M394" t="str">
        <f t="shared" si="23"/>
        <v/>
      </c>
    </row>
    <row r="395" spans="1:13" hidden="1" x14ac:dyDescent="0.3">
      <c r="A395" t="str">
        <f>IF(ISNUMBER($K395),INDEX(РАБОТЫ!$U$2:$U$1058,$K395),"")</f>
        <v/>
      </c>
      <c r="B395" t="str">
        <f>IF(ISNUMBER($K395),INDEX(РАБОТЫ!$A$2:$A$1058,$K395),"")</f>
        <v/>
      </c>
      <c r="C395" s="4" t="str">
        <f>IF($L395&lt;&gt;"",INDEX(РАБОТЫ!$Z$2:$Z$1058,MATCH($L395,РАБОТЫ!$V$2:$V$1058,0)),IF(ISNUMBER($K395),INDEX(РАБОТЫ!$Y$2:$Y$1058,$K395),""))</f>
        <v/>
      </c>
      <c r="D395" t="str">
        <f>IF(ISNUMBER($K395),INDEX(РАБОТЫ!$E$2:$E$1058,$K395),"")</f>
        <v/>
      </c>
      <c r="E395" t="str">
        <f>IF(ISNUMBER($K395),INDEX(РАБОТЫ!$M$2:$M$1058,$K395),"")</f>
        <v/>
      </c>
      <c r="F395" s="7" t="str">
        <f>IF(ISNUMBER($K395),INDEX(РАБОТЫ!$S$2:$S$1058,$K395),"")</f>
        <v/>
      </c>
      <c r="G395" s="7" t="str">
        <f>IF(ISNUMBER($K395),INDEX(РАБОТЫ!$T$2:$T$1058,$K395),"")</f>
        <v/>
      </c>
      <c r="H395" s="7" t="str">
        <f t="shared" si="20"/>
        <v/>
      </c>
      <c r="I395" s="7" t="str">
        <f t="shared" si="21"/>
        <v/>
      </c>
      <c r="J395" s="7" t="str">
        <f t="shared" si="22"/>
        <v/>
      </c>
      <c r="K395" t="str">
        <f>IFERROR(MATCH(374,РАБОТЫ!$X$2:$X$1058,0),"")</f>
        <v/>
      </c>
      <c r="L395" t="str">
        <f>IFERROR(IF(INDEX(РАБОТЫ!$W$2:$W$1058,MATCH(374+1,РАБОТЫ!$X$2:$X$1058,0))=1,INDEX(РАБОТЫ!$V$2:$V$1058,MATCH(374+1,РАБОТЫ!$X$2:$X$1058,0)),""),"")</f>
        <v/>
      </c>
      <c r="M395" t="str">
        <f t="shared" si="23"/>
        <v/>
      </c>
    </row>
    <row r="396" spans="1:13" hidden="1" x14ac:dyDescent="0.3">
      <c r="A396" t="str">
        <f>IF(ISNUMBER($K396),INDEX(РАБОТЫ!$U$2:$U$1058,$K396),"")</f>
        <v/>
      </c>
      <c r="B396" t="str">
        <f>IF(ISNUMBER($K396),INDEX(РАБОТЫ!$A$2:$A$1058,$K396),"")</f>
        <v/>
      </c>
      <c r="C396" s="4" t="str">
        <f>IF($L396&lt;&gt;"",INDEX(РАБОТЫ!$Z$2:$Z$1058,MATCH($L396,РАБОТЫ!$V$2:$V$1058,0)),IF(ISNUMBER($K396),INDEX(РАБОТЫ!$Y$2:$Y$1058,$K396),""))</f>
        <v/>
      </c>
      <c r="D396" t="str">
        <f>IF(ISNUMBER($K396),INDEX(РАБОТЫ!$E$2:$E$1058,$K396),"")</f>
        <v/>
      </c>
      <c r="E396" t="str">
        <f>IF(ISNUMBER($K396),INDEX(РАБОТЫ!$M$2:$M$1058,$K396),"")</f>
        <v/>
      </c>
      <c r="F396" s="7" t="str">
        <f>IF(ISNUMBER($K396),INDEX(РАБОТЫ!$S$2:$S$1058,$K396),"")</f>
        <v/>
      </c>
      <c r="G396" s="7" t="str">
        <f>IF(ISNUMBER($K396),INDEX(РАБОТЫ!$T$2:$T$1058,$K396),"")</f>
        <v/>
      </c>
      <c r="H396" s="7" t="str">
        <f t="shared" si="20"/>
        <v/>
      </c>
      <c r="I396" s="7" t="str">
        <f t="shared" si="21"/>
        <v/>
      </c>
      <c r="J396" s="7" t="str">
        <f t="shared" si="22"/>
        <v/>
      </c>
      <c r="K396" t="str">
        <f>IFERROR(MATCH(375,РАБОТЫ!$X$2:$X$1058,0),"")</f>
        <v/>
      </c>
      <c r="L396" t="str">
        <f>IFERROR(IF(INDEX(РАБОТЫ!$W$2:$W$1058,MATCH(375+1,РАБОТЫ!$X$2:$X$1058,0))=1,INDEX(РАБОТЫ!$V$2:$V$1058,MATCH(375+1,РАБОТЫ!$X$2:$X$1058,0)),""),"")</f>
        <v/>
      </c>
      <c r="M396" t="str">
        <f t="shared" si="23"/>
        <v/>
      </c>
    </row>
    <row r="397" spans="1:13" hidden="1" x14ac:dyDescent="0.3">
      <c r="A397" t="str">
        <f>IF(ISNUMBER($K397),INDEX(РАБОТЫ!$U$2:$U$1058,$K397),"")</f>
        <v/>
      </c>
      <c r="B397" t="str">
        <f>IF(ISNUMBER($K397),INDEX(РАБОТЫ!$A$2:$A$1058,$K397),"")</f>
        <v/>
      </c>
      <c r="C397" s="4" t="str">
        <f>IF($L397&lt;&gt;"",INDEX(РАБОТЫ!$Z$2:$Z$1058,MATCH($L397,РАБОТЫ!$V$2:$V$1058,0)),IF(ISNUMBER($K397),INDEX(РАБОТЫ!$Y$2:$Y$1058,$K397),""))</f>
        <v/>
      </c>
      <c r="D397" t="str">
        <f>IF(ISNUMBER($K397),INDEX(РАБОТЫ!$E$2:$E$1058,$K397),"")</f>
        <v/>
      </c>
      <c r="E397" t="str">
        <f>IF(ISNUMBER($K397),INDEX(РАБОТЫ!$M$2:$M$1058,$K397),"")</f>
        <v/>
      </c>
      <c r="F397" s="7" t="str">
        <f>IF(ISNUMBER($K397),INDEX(РАБОТЫ!$S$2:$S$1058,$K397),"")</f>
        <v/>
      </c>
      <c r="G397" s="7" t="str">
        <f>IF(ISNUMBER($K397),INDEX(РАБОТЫ!$T$2:$T$1058,$K397),"")</f>
        <v/>
      </c>
      <c r="H397" s="7" t="str">
        <f t="shared" si="20"/>
        <v/>
      </c>
      <c r="I397" s="7" t="str">
        <f t="shared" si="21"/>
        <v/>
      </c>
      <c r="J397" s="7" t="str">
        <f t="shared" si="22"/>
        <v/>
      </c>
      <c r="K397" t="str">
        <f>IFERROR(MATCH(376,РАБОТЫ!$X$2:$X$1058,0),"")</f>
        <v/>
      </c>
      <c r="L397" t="str">
        <f>IFERROR(IF(INDEX(РАБОТЫ!$W$2:$W$1058,MATCH(376+1,РАБОТЫ!$X$2:$X$1058,0))=1,INDEX(РАБОТЫ!$V$2:$V$1058,MATCH(376+1,РАБОТЫ!$X$2:$X$1058,0)),""),"")</f>
        <v/>
      </c>
      <c r="M397" t="str">
        <f t="shared" si="23"/>
        <v/>
      </c>
    </row>
    <row r="398" spans="1:13" hidden="1" x14ac:dyDescent="0.3">
      <c r="A398" t="str">
        <f>IF(ISNUMBER($K398),INDEX(РАБОТЫ!$U$2:$U$1058,$K398),"")</f>
        <v/>
      </c>
      <c r="B398" t="str">
        <f>IF(ISNUMBER($K398),INDEX(РАБОТЫ!$A$2:$A$1058,$K398),"")</f>
        <v/>
      </c>
      <c r="C398" s="4" t="str">
        <f>IF($L398&lt;&gt;"",INDEX(РАБОТЫ!$Z$2:$Z$1058,MATCH($L398,РАБОТЫ!$V$2:$V$1058,0)),IF(ISNUMBER($K398),INDEX(РАБОТЫ!$Y$2:$Y$1058,$K398),""))</f>
        <v/>
      </c>
      <c r="D398" t="str">
        <f>IF(ISNUMBER($K398),INDEX(РАБОТЫ!$E$2:$E$1058,$K398),"")</f>
        <v/>
      </c>
      <c r="E398" t="str">
        <f>IF(ISNUMBER($K398),INDEX(РАБОТЫ!$M$2:$M$1058,$K398),"")</f>
        <v/>
      </c>
      <c r="F398" s="7" t="str">
        <f>IF(ISNUMBER($K398),INDEX(РАБОТЫ!$S$2:$S$1058,$K398),"")</f>
        <v/>
      </c>
      <c r="G398" s="7" t="str">
        <f>IF(ISNUMBER($K398),INDEX(РАБОТЫ!$T$2:$T$1058,$K398),"")</f>
        <v/>
      </c>
      <c r="H398" s="7" t="str">
        <f t="shared" si="20"/>
        <v/>
      </c>
      <c r="I398" s="7" t="str">
        <f t="shared" si="21"/>
        <v/>
      </c>
      <c r="J398" s="7" t="str">
        <f t="shared" si="22"/>
        <v/>
      </c>
      <c r="K398" t="str">
        <f>IFERROR(MATCH(377,РАБОТЫ!$X$2:$X$1058,0),"")</f>
        <v/>
      </c>
      <c r="L398" t="str">
        <f>IFERROR(IF(INDEX(РАБОТЫ!$W$2:$W$1058,MATCH(377+1,РАБОТЫ!$X$2:$X$1058,0))=1,INDEX(РАБОТЫ!$V$2:$V$1058,MATCH(377+1,РАБОТЫ!$X$2:$X$1058,0)),""),"")</f>
        <v/>
      </c>
      <c r="M398" t="str">
        <f t="shared" si="23"/>
        <v/>
      </c>
    </row>
    <row r="399" spans="1:13" hidden="1" x14ac:dyDescent="0.3">
      <c r="A399" t="str">
        <f>IF(ISNUMBER($K399),INDEX(РАБОТЫ!$U$2:$U$1058,$K399),"")</f>
        <v/>
      </c>
      <c r="B399" t="str">
        <f>IF(ISNUMBER($K399),INDEX(РАБОТЫ!$A$2:$A$1058,$K399),"")</f>
        <v/>
      </c>
      <c r="C399" s="4" t="str">
        <f>IF($L399&lt;&gt;"",INDEX(РАБОТЫ!$Z$2:$Z$1058,MATCH($L399,РАБОТЫ!$V$2:$V$1058,0)),IF(ISNUMBER($K399),INDEX(РАБОТЫ!$Y$2:$Y$1058,$K399),""))</f>
        <v/>
      </c>
      <c r="D399" t="str">
        <f>IF(ISNUMBER($K399),INDEX(РАБОТЫ!$E$2:$E$1058,$K399),"")</f>
        <v/>
      </c>
      <c r="E399" t="str">
        <f>IF(ISNUMBER($K399),INDEX(РАБОТЫ!$M$2:$M$1058,$K399),"")</f>
        <v/>
      </c>
      <c r="F399" s="7" t="str">
        <f>IF(ISNUMBER($K399),INDEX(РАБОТЫ!$S$2:$S$1058,$K399),"")</f>
        <v/>
      </c>
      <c r="G399" s="7" t="str">
        <f>IF(ISNUMBER($K399),INDEX(РАБОТЫ!$T$2:$T$1058,$K399),"")</f>
        <v/>
      </c>
      <c r="H399" s="7" t="str">
        <f t="shared" si="20"/>
        <v/>
      </c>
      <c r="I399" s="7" t="str">
        <f t="shared" si="21"/>
        <v/>
      </c>
      <c r="J399" s="7" t="str">
        <f t="shared" si="22"/>
        <v/>
      </c>
      <c r="K399" t="str">
        <f>IFERROR(MATCH(378,РАБОТЫ!$X$2:$X$1058,0),"")</f>
        <v/>
      </c>
      <c r="L399" t="str">
        <f>IFERROR(IF(INDEX(РАБОТЫ!$W$2:$W$1058,MATCH(378+1,РАБОТЫ!$X$2:$X$1058,0))=1,INDEX(РАБОТЫ!$V$2:$V$1058,MATCH(378+1,РАБОТЫ!$X$2:$X$1058,0)),""),"")</f>
        <v/>
      </c>
      <c r="M399" t="str">
        <f t="shared" si="23"/>
        <v/>
      </c>
    </row>
    <row r="400" spans="1:13" hidden="1" x14ac:dyDescent="0.3">
      <c r="A400" t="str">
        <f>IF(ISNUMBER($K400),INDEX(РАБОТЫ!$U$2:$U$1058,$K400),"")</f>
        <v/>
      </c>
      <c r="B400" t="str">
        <f>IF(ISNUMBER($K400),INDEX(РАБОТЫ!$A$2:$A$1058,$K400),"")</f>
        <v/>
      </c>
      <c r="C400" s="4" t="str">
        <f>IF($L400&lt;&gt;"",INDEX(РАБОТЫ!$Z$2:$Z$1058,MATCH($L400,РАБОТЫ!$V$2:$V$1058,0)),IF(ISNUMBER($K400),INDEX(РАБОТЫ!$Y$2:$Y$1058,$K400),""))</f>
        <v/>
      </c>
      <c r="D400" t="str">
        <f>IF(ISNUMBER($K400),INDEX(РАБОТЫ!$E$2:$E$1058,$K400),"")</f>
        <v/>
      </c>
      <c r="E400" t="str">
        <f>IF(ISNUMBER($K400),INDEX(РАБОТЫ!$M$2:$M$1058,$K400),"")</f>
        <v/>
      </c>
      <c r="F400" s="7" t="str">
        <f>IF(ISNUMBER($K400),INDEX(РАБОТЫ!$S$2:$S$1058,$K400),"")</f>
        <v/>
      </c>
      <c r="G400" s="7" t="str">
        <f>IF(ISNUMBER($K400),INDEX(РАБОТЫ!$T$2:$T$1058,$K400),"")</f>
        <v/>
      </c>
      <c r="H400" s="7" t="str">
        <f t="shared" si="20"/>
        <v/>
      </c>
      <c r="I400" s="7" t="str">
        <f t="shared" si="21"/>
        <v/>
      </c>
      <c r="J400" s="7" t="str">
        <f t="shared" si="22"/>
        <v/>
      </c>
      <c r="K400" t="str">
        <f>IFERROR(MATCH(379,РАБОТЫ!$X$2:$X$1058,0),"")</f>
        <v/>
      </c>
      <c r="L400" t="str">
        <f>IFERROR(IF(INDEX(РАБОТЫ!$W$2:$W$1058,MATCH(379+1,РАБОТЫ!$X$2:$X$1058,0))=1,INDEX(РАБОТЫ!$V$2:$V$1058,MATCH(379+1,РАБОТЫ!$X$2:$X$1058,0)),""),"")</f>
        <v/>
      </c>
      <c r="M400" t="str">
        <f t="shared" si="23"/>
        <v/>
      </c>
    </row>
    <row r="401" spans="1:13" hidden="1" x14ac:dyDescent="0.3">
      <c r="A401" t="str">
        <f>IF(ISNUMBER($K401),INDEX(РАБОТЫ!$U$2:$U$1058,$K401),"")</f>
        <v/>
      </c>
      <c r="B401" t="str">
        <f>IF(ISNUMBER($K401),INDEX(РАБОТЫ!$A$2:$A$1058,$K401),"")</f>
        <v/>
      </c>
      <c r="C401" s="4" t="str">
        <f>IF($L401&lt;&gt;"",INDEX(РАБОТЫ!$Z$2:$Z$1058,MATCH($L401,РАБОТЫ!$V$2:$V$1058,0)),IF(ISNUMBER($K401),INDEX(РАБОТЫ!$Y$2:$Y$1058,$K401),""))</f>
        <v/>
      </c>
      <c r="D401" t="str">
        <f>IF(ISNUMBER($K401),INDEX(РАБОТЫ!$E$2:$E$1058,$K401),"")</f>
        <v/>
      </c>
      <c r="E401" t="str">
        <f>IF(ISNUMBER($K401),INDEX(РАБОТЫ!$M$2:$M$1058,$K401),"")</f>
        <v/>
      </c>
      <c r="F401" s="7" t="str">
        <f>IF(ISNUMBER($K401),INDEX(РАБОТЫ!$S$2:$S$1058,$K401),"")</f>
        <v/>
      </c>
      <c r="G401" s="7" t="str">
        <f>IF(ISNUMBER($K401),INDEX(РАБОТЫ!$T$2:$T$1058,$K401),"")</f>
        <v/>
      </c>
      <c r="H401" s="7" t="str">
        <f t="shared" si="20"/>
        <v/>
      </c>
      <c r="I401" s="7" t="str">
        <f t="shared" si="21"/>
        <v/>
      </c>
      <c r="J401" s="7" t="str">
        <f t="shared" si="22"/>
        <v/>
      </c>
      <c r="K401" t="str">
        <f>IFERROR(MATCH(380,РАБОТЫ!$X$2:$X$1058,0),"")</f>
        <v/>
      </c>
      <c r="L401" t="str">
        <f>IFERROR(IF(INDEX(РАБОТЫ!$W$2:$W$1058,MATCH(380+1,РАБОТЫ!$X$2:$X$1058,0))=1,INDEX(РАБОТЫ!$V$2:$V$1058,MATCH(380+1,РАБОТЫ!$X$2:$X$1058,0)),""),"")</f>
        <v/>
      </c>
      <c r="M401" t="str">
        <f t="shared" si="23"/>
        <v/>
      </c>
    </row>
    <row r="402" spans="1:13" hidden="1" x14ac:dyDescent="0.3">
      <c r="A402" t="str">
        <f>IF(ISNUMBER($K402),INDEX(РАБОТЫ!$U$2:$U$1058,$K402),"")</f>
        <v/>
      </c>
      <c r="B402" t="str">
        <f>IF(ISNUMBER($K402),INDEX(РАБОТЫ!$A$2:$A$1058,$K402),"")</f>
        <v/>
      </c>
      <c r="C402" s="4" t="str">
        <f>IF($L402&lt;&gt;"",INDEX(РАБОТЫ!$Z$2:$Z$1058,MATCH($L402,РАБОТЫ!$V$2:$V$1058,0)),IF(ISNUMBER($K402),INDEX(РАБОТЫ!$Y$2:$Y$1058,$K402),""))</f>
        <v/>
      </c>
      <c r="D402" t="str">
        <f>IF(ISNUMBER($K402),INDEX(РАБОТЫ!$E$2:$E$1058,$K402),"")</f>
        <v/>
      </c>
      <c r="E402" t="str">
        <f>IF(ISNUMBER($K402),INDEX(РАБОТЫ!$M$2:$M$1058,$K402),"")</f>
        <v/>
      </c>
      <c r="F402" s="7" t="str">
        <f>IF(ISNUMBER($K402),INDEX(РАБОТЫ!$S$2:$S$1058,$K402),"")</f>
        <v/>
      </c>
      <c r="G402" s="7" t="str">
        <f>IF(ISNUMBER($K402),INDEX(РАБОТЫ!$T$2:$T$1058,$K402),"")</f>
        <v/>
      </c>
      <c r="H402" s="7" t="str">
        <f t="shared" si="20"/>
        <v/>
      </c>
      <c r="I402" s="7" t="str">
        <f t="shared" si="21"/>
        <v/>
      </c>
      <c r="J402" s="7" t="str">
        <f t="shared" si="22"/>
        <v/>
      </c>
      <c r="K402" t="str">
        <f>IFERROR(MATCH(381,РАБОТЫ!$X$2:$X$1058,0),"")</f>
        <v/>
      </c>
      <c r="L402" t="str">
        <f>IFERROR(IF(INDEX(РАБОТЫ!$W$2:$W$1058,MATCH(381+1,РАБОТЫ!$X$2:$X$1058,0))=1,INDEX(РАБОТЫ!$V$2:$V$1058,MATCH(381+1,РАБОТЫ!$X$2:$X$1058,0)),""),"")</f>
        <v/>
      </c>
      <c r="M402" t="str">
        <f t="shared" si="23"/>
        <v/>
      </c>
    </row>
    <row r="403" spans="1:13" hidden="1" x14ac:dyDescent="0.3">
      <c r="A403" t="str">
        <f>IF(ISNUMBER($K403),INDEX(РАБОТЫ!$U$2:$U$1058,$K403),"")</f>
        <v/>
      </c>
      <c r="B403" t="str">
        <f>IF(ISNUMBER($K403),INDEX(РАБОТЫ!$A$2:$A$1058,$K403),"")</f>
        <v/>
      </c>
      <c r="C403" s="4" t="str">
        <f>IF($L403&lt;&gt;"",INDEX(РАБОТЫ!$Z$2:$Z$1058,MATCH($L403,РАБОТЫ!$V$2:$V$1058,0)),IF(ISNUMBER($K403),INDEX(РАБОТЫ!$Y$2:$Y$1058,$K403),""))</f>
        <v/>
      </c>
      <c r="D403" t="str">
        <f>IF(ISNUMBER($K403),INDEX(РАБОТЫ!$E$2:$E$1058,$K403),"")</f>
        <v/>
      </c>
      <c r="E403" t="str">
        <f>IF(ISNUMBER($K403),INDEX(РАБОТЫ!$M$2:$M$1058,$K403),"")</f>
        <v/>
      </c>
      <c r="F403" s="7" t="str">
        <f>IF(ISNUMBER($K403),INDEX(РАБОТЫ!$S$2:$S$1058,$K403),"")</f>
        <v/>
      </c>
      <c r="G403" s="7" t="str">
        <f>IF(ISNUMBER($K403),INDEX(РАБОТЫ!$T$2:$T$1058,$K403),"")</f>
        <v/>
      </c>
      <c r="H403" s="7" t="str">
        <f t="shared" si="20"/>
        <v/>
      </c>
      <c r="I403" s="7" t="str">
        <f t="shared" si="21"/>
        <v/>
      </c>
      <c r="J403" s="7" t="str">
        <f t="shared" si="22"/>
        <v/>
      </c>
      <c r="K403" t="str">
        <f>IFERROR(MATCH(382,РАБОТЫ!$X$2:$X$1058,0),"")</f>
        <v/>
      </c>
      <c r="L403" t="str">
        <f>IFERROR(IF(INDEX(РАБОТЫ!$W$2:$W$1058,MATCH(382+1,РАБОТЫ!$X$2:$X$1058,0))=1,INDEX(РАБОТЫ!$V$2:$V$1058,MATCH(382+1,РАБОТЫ!$X$2:$X$1058,0)),""),"")</f>
        <v/>
      </c>
      <c r="M403" t="str">
        <f t="shared" si="23"/>
        <v/>
      </c>
    </row>
    <row r="404" spans="1:13" hidden="1" x14ac:dyDescent="0.3">
      <c r="A404" t="str">
        <f>IF(ISNUMBER($K404),INDEX(РАБОТЫ!$U$2:$U$1058,$K404),"")</f>
        <v/>
      </c>
      <c r="B404" t="str">
        <f>IF(ISNUMBER($K404),INDEX(РАБОТЫ!$A$2:$A$1058,$K404),"")</f>
        <v/>
      </c>
      <c r="C404" s="4" t="str">
        <f>IF($L404&lt;&gt;"",INDEX(РАБОТЫ!$Z$2:$Z$1058,MATCH($L404,РАБОТЫ!$V$2:$V$1058,0)),IF(ISNUMBER($K404),INDEX(РАБОТЫ!$Y$2:$Y$1058,$K404),""))</f>
        <v/>
      </c>
      <c r="D404" t="str">
        <f>IF(ISNUMBER($K404),INDEX(РАБОТЫ!$E$2:$E$1058,$K404),"")</f>
        <v/>
      </c>
      <c r="E404" t="str">
        <f>IF(ISNUMBER($K404),INDEX(РАБОТЫ!$M$2:$M$1058,$K404),"")</f>
        <v/>
      </c>
      <c r="F404" s="7" t="str">
        <f>IF(ISNUMBER($K404),INDEX(РАБОТЫ!$S$2:$S$1058,$K404),"")</f>
        <v/>
      </c>
      <c r="G404" s="7" t="str">
        <f>IF(ISNUMBER($K404),INDEX(РАБОТЫ!$T$2:$T$1058,$K404),"")</f>
        <v/>
      </c>
      <c r="H404" s="7" t="str">
        <f t="shared" si="20"/>
        <v/>
      </c>
      <c r="I404" s="7" t="str">
        <f t="shared" si="21"/>
        <v/>
      </c>
      <c r="J404" s="7" t="str">
        <f t="shared" si="22"/>
        <v/>
      </c>
      <c r="K404" t="str">
        <f>IFERROR(MATCH(383,РАБОТЫ!$X$2:$X$1058,0),"")</f>
        <v/>
      </c>
      <c r="L404" t="str">
        <f>IFERROR(IF(INDEX(РАБОТЫ!$W$2:$W$1058,MATCH(383+1,РАБОТЫ!$X$2:$X$1058,0))=1,INDEX(РАБОТЫ!$V$2:$V$1058,MATCH(383+1,РАБОТЫ!$X$2:$X$1058,0)),""),"")</f>
        <v/>
      </c>
      <c r="M404" t="str">
        <f t="shared" si="23"/>
        <v/>
      </c>
    </row>
    <row r="405" spans="1:13" hidden="1" x14ac:dyDescent="0.3">
      <c r="A405" t="str">
        <f>IF(ISNUMBER($K405),INDEX(РАБОТЫ!$U$2:$U$1058,$K405),"")</f>
        <v/>
      </c>
      <c r="B405" t="str">
        <f>IF(ISNUMBER($K405),INDEX(РАБОТЫ!$A$2:$A$1058,$K405),"")</f>
        <v/>
      </c>
      <c r="C405" s="4" t="str">
        <f>IF($L405&lt;&gt;"",INDEX(РАБОТЫ!$Z$2:$Z$1058,MATCH($L405,РАБОТЫ!$V$2:$V$1058,0)),IF(ISNUMBER($K405),INDEX(РАБОТЫ!$Y$2:$Y$1058,$K405),""))</f>
        <v/>
      </c>
      <c r="D405" t="str">
        <f>IF(ISNUMBER($K405),INDEX(РАБОТЫ!$E$2:$E$1058,$K405),"")</f>
        <v/>
      </c>
      <c r="E405" t="str">
        <f>IF(ISNUMBER($K405),INDEX(РАБОТЫ!$M$2:$M$1058,$K405),"")</f>
        <v/>
      </c>
      <c r="F405" s="7" t="str">
        <f>IF(ISNUMBER($K405),INDEX(РАБОТЫ!$S$2:$S$1058,$K405),"")</f>
        <v/>
      </c>
      <c r="G405" s="7" t="str">
        <f>IF(ISNUMBER($K405),INDEX(РАБОТЫ!$T$2:$T$1058,$K405),"")</f>
        <v/>
      </c>
      <c r="H405" s="7" t="str">
        <f t="shared" si="20"/>
        <v/>
      </c>
      <c r="I405" s="7" t="str">
        <f t="shared" si="21"/>
        <v/>
      </c>
      <c r="J405" s="7" t="str">
        <f t="shared" si="22"/>
        <v/>
      </c>
      <c r="K405" t="str">
        <f>IFERROR(MATCH(384,РАБОТЫ!$X$2:$X$1058,0),"")</f>
        <v/>
      </c>
      <c r="L405" t="str">
        <f>IFERROR(IF(INDEX(РАБОТЫ!$W$2:$W$1058,MATCH(384+1,РАБОТЫ!$X$2:$X$1058,0))=1,INDEX(РАБОТЫ!$V$2:$V$1058,MATCH(384+1,РАБОТЫ!$X$2:$X$1058,0)),""),"")</f>
        <v/>
      </c>
      <c r="M405" t="str">
        <f t="shared" si="23"/>
        <v/>
      </c>
    </row>
    <row r="406" spans="1:13" hidden="1" x14ac:dyDescent="0.3">
      <c r="A406" t="str">
        <f>IF(ISNUMBER($K406),INDEX(РАБОТЫ!$U$2:$U$1058,$K406),"")</f>
        <v/>
      </c>
      <c r="B406" t="str">
        <f>IF(ISNUMBER($K406),INDEX(РАБОТЫ!$A$2:$A$1058,$K406),"")</f>
        <v/>
      </c>
      <c r="C406" s="4" t="str">
        <f>IF($L406&lt;&gt;"",INDEX(РАБОТЫ!$Z$2:$Z$1058,MATCH($L406,РАБОТЫ!$V$2:$V$1058,0)),IF(ISNUMBER($K406),INDEX(РАБОТЫ!$Y$2:$Y$1058,$K406),""))</f>
        <v/>
      </c>
      <c r="D406" t="str">
        <f>IF(ISNUMBER($K406),INDEX(РАБОТЫ!$E$2:$E$1058,$K406),"")</f>
        <v/>
      </c>
      <c r="E406" t="str">
        <f>IF(ISNUMBER($K406),INDEX(РАБОТЫ!$M$2:$M$1058,$K406),"")</f>
        <v/>
      </c>
      <c r="F406" s="7" t="str">
        <f>IF(ISNUMBER($K406),INDEX(РАБОТЫ!$S$2:$S$1058,$K406),"")</f>
        <v/>
      </c>
      <c r="G406" s="7" t="str">
        <f>IF(ISNUMBER($K406),INDEX(РАБОТЫ!$T$2:$T$1058,$K406),"")</f>
        <v/>
      </c>
      <c r="H406" s="7" t="str">
        <f t="shared" ref="H406:H469" si="24">IF(ISNUMBER($K406),ROUND($E406*$F406,2),"")</f>
        <v/>
      </c>
      <c r="I406" s="7" t="str">
        <f t="shared" ref="I406:I469" si="25">IF(ISNUMBER($K406),ROUND($E406*$G406,2),"")</f>
        <v/>
      </c>
      <c r="J406" s="7" t="str">
        <f t="shared" ref="J406:J469" si="26">IF(ISNUMBER($K406),$H406+$I406,"")</f>
        <v/>
      </c>
      <c r="K406" t="str">
        <f>IFERROR(MATCH(385,РАБОТЫ!$X$2:$X$1058,0),"")</f>
        <v/>
      </c>
      <c r="L406" t="str">
        <f>IFERROR(IF(INDEX(РАБОТЫ!$W$2:$W$1058,MATCH(385+1,РАБОТЫ!$X$2:$X$1058,0))=1,INDEX(РАБОТЫ!$V$2:$V$1058,MATCH(385+1,РАБОТЫ!$X$2:$X$1058,0)),""),"")</f>
        <v/>
      </c>
      <c r="M406" t="str">
        <f t="shared" ref="M406:M469" si="27">IF(OR(ISNUMBER($K406),$L406&lt;&gt;""),"показать","")</f>
        <v/>
      </c>
    </row>
    <row r="407" spans="1:13" hidden="1" x14ac:dyDescent="0.3">
      <c r="A407" t="str">
        <f>IF(ISNUMBER($K407),INDEX(РАБОТЫ!$U$2:$U$1058,$K407),"")</f>
        <v/>
      </c>
      <c r="B407" t="str">
        <f>IF(ISNUMBER($K407),INDEX(РАБОТЫ!$A$2:$A$1058,$K407),"")</f>
        <v/>
      </c>
      <c r="C407" s="4" t="str">
        <f>IF($L407&lt;&gt;"",INDEX(РАБОТЫ!$Z$2:$Z$1058,MATCH($L407,РАБОТЫ!$V$2:$V$1058,0)),IF(ISNUMBER($K407),INDEX(РАБОТЫ!$Y$2:$Y$1058,$K407),""))</f>
        <v/>
      </c>
      <c r="D407" t="str">
        <f>IF(ISNUMBER($K407),INDEX(РАБОТЫ!$E$2:$E$1058,$K407),"")</f>
        <v/>
      </c>
      <c r="E407" t="str">
        <f>IF(ISNUMBER($K407),INDEX(РАБОТЫ!$M$2:$M$1058,$K407),"")</f>
        <v/>
      </c>
      <c r="F407" s="7" t="str">
        <f>IF(ISNUMBER($K407),INDEX(РАБОТЫ!$S$2:$S$1058,$K407),"")</f>
        <v/>
      </c>
      <c r="G407" s="7" t="str">
        <f>IF(ISNUMBER($K407),INDEX(РАБОТЫ!$T$2:$T$1058,$K407),"")</f>
        <v/>
      </c>
      <c r="H407" s="7" t="str">
        <f t="shared" si="24"/>
        <v/>
      </c>
      <c r="I407" s="7" t="str">
        <f t="shared" si="25"/>
        <v/>
      </c>
      <c r="J407" s="7" t="str">
        <f t="shared" si="26"/>
        <v/>
      </c>
      <c r="K407" t="str">
        <f>IFERROR(MATCH(386,РАБОТЫ!$X$2:$X$1058,0),"")</f>
        <v/>
      </c>
      <c r="L407" t="str">
        <f>IFERROR(IF(INDEX(РАБОТЫ!$W$2:$W$1058,MATCH(386+1,РАБОТЫ!$X$2:$X$1058,0))=1,INDEX(РАБОТЫ!$V$2:$V$1058,MATCH(386+1,РАБОТЫ!$X$2:$X$1058,0)),""),"")</f>
        <v/>
      </c>
      <c r="M407" t="str">
        <f t="shared" si="27"/>
        <v/>
      </c>
    </row>
    <row r="408" spans="1:13" hidden="1" x14ac:dyDescent="0.3">
      <c r="A408" t="str">
        <f>IF(ISNUMBER($K408),INDEX(РАБОТЫ!$U$2:$U$1058,$K408),"")</f>
        <v/>
      </c>
      <c r="B408" t="str">
        <f>IF(ISNUMBER($K408),INDEX(РАБОТЫ!$A$2:$A$1058,$K408),"")</f>
        <v/>
      </c>
      <c r="C408" s="4" t="str">
        <f>IF($L408&lt;&gt;"",INDEX(РАБОТЫ!$Z$2:$Z$1058,MATCH($L408,РАБОТЫ!$V$2:$V$1058,0)),IF(ISNUMBER($K408),INDEX(РАБОТЫ!$Y$2:$Y$1058,$K408),""))</f>
        <v/>
      </c>
      <c r="D408" t="str">
        <f>IF(ISNUMBER($K408),INDEX(РАБОТЫ!$E$2:$E$1058,$K408),"")</f>
        <v/>
      </c>
      <c r="E408" t="str">
        <f>IF(ISNUMBER($K408),INDEX(РАБОТЫ!$M$2:$M$1058,$K408),"")</f>
        <v/>
      </c>
      <c r="F408" s="7" t="str">
        <f>IF(ISNUMBER($K408),INDEX(РАБОТЫ!$S$2:$S$1058,$K408),"")</f>
        <v/>
      </c>
      <c r="G408" s="7" t="str">
        <f>IF(ISNUMBER($K408),INDEX(РАБОТЫ!$T$2:$T$1058,$K408),"")</f>
        <v/>
      </c>
      <c r="H408" s="7" t="str">
        <f t="shared" si="24"/>
        <v/>
      </c>
      <c r="I408" s="7" t="str">
        <f t="shared" si="25"/>
        <v/>
      </c>
      <c r="J408" s="7" t="str">
        <f t="shared" si="26"/>
        <v/>
      </c>
      <c r="K408" t="str">
        <f>IFERROR(MATCH(387,РАБОТЫ!$X$2:$X$1058,0),"")</f>
        <v/>
      </c>
      <c r="L408" t="str">
        <f>IFERROR(IF(INDEX(РАБОТЫ!$W$2:$W$1058,MATCH(387+1,РАБОТЫ!$X$2:$X$1058,0))=1,INDEX(РАБОТЫ!$V$2:$V$1058,MATCH(387+1,РАБОТЫ!$X$2:$X$1058,0)),""),"")</f>
        <v/>
      </c>
      <c r="M408" t="str">
        <f t="shared" si="27"/>
        <v/>
      </c>
    </row>
    <row r="409" spans="1:13" hidden="1" x14ac:dyDescent="0.3">
      <c r="A409" t="str">
        <f>IF(ISNUMBER($K409),INDEX(РАБОТЫ!$U$2:$U$1058,$K409),"")</f>
        <v/>
      </c>
      <c r="B409" t="str">
        <f>IF(ISNUMBER($K409),INDEX(РАБОТЫ!$A$2:$A$1058,$K409),"")</f>
        <v/>
      </c>
      <c r="C409" s="4" t="str">
        <f>IF($L409&lt;&gt;"",INDEX(РАБОТЫ!$Z$2:$Z$1058,MATCH($L409,РАБОТЫ!$V$2:$V$1058,0)),IF(ISNUMBER($K409),INDEX(РАБОТЫ!$Y$2:$Y$1058,$K409),""))</f>
        <v/>
      </c>
      <c r="D409" t="str">
        <f>IF(ISNUMBER($K409),INDEX(РАБОТЫ!$E$2:$E$1058,$K409),"")</f>
        <v/>
      </c>
      <c r="E409" t="str">
        <f>IF(ISNUMBER($K409),INDEX(РАБОТЫ!$M$2:$M$1058,$K409),"")</f>
        <v/>
      </c>
      <c r="F409" s="7" t="str">
        <f>IF(ISNUMBER($K409),INDEX(РАБОТЫ!$S$2:$S$1058,$K409),"")</f>
        <v/>
      </c>
      <c r="G409" s="7" t="str">
        <f>IF(ISNUMBER($K409),INDEX(РАБОТЫ!$T$2:$T$1058,$K409),"")</f>
        <v/>
      </c>
      <c r="H409" s="7" t="str">
        <f t="shared" si="24"/>
        <v/>
      </c>
      <c r="I409" s="7" t="str">
        <f t="shared" si="25"/>
        <v/>
      </c>
      <c r="J409" s="7" t="str">
        <f t="shared" si="26"/>
        <v/>
      </c>
      <c r="K409" t="str">
        <f>IFERROR(MATCH(388,РАБОТЫ!$X$2:$X$1058,0),"")</f>
        <v/>
      </c>
      <c r="L409" t="str">
        <f>IFERROR(IF(INDEX(РАБОТЫ!$W$2:$W$1058,MATCH(388+1,РАБОТЫ!$X$2:$X$1058,0))=1,INDEX(РАБОТЫ!$V$2:$V$1058,MATCH(388+1,РАБОТЫ!$X$2:$X$1058,0)),""),"")</f>
        <v/>
      </c>
      <c r="M409" t="str">
        <f t="shared" si="27"/>
        <v/>
      </c>
    </row>
    <row r="410" spans="1:13" hidden="1" x14ac:dyDescent="0.3">
      <c r="A410" t="str">
        <f>IF(ISNUMBER($K410),INDEX(РАБОТЫ!$U$2:$U$1058,$K410),"")</f>
        <v/>
      </c>
      <c r="B410" t="str">
        <f>IF(ISNUMBER($K410),INDEX(РАБОТЫ!$A$2:$A$1058,$K410),"")</f>
        <v/>
      </c>
      <c r="C410" s="4" t="str">
        <f>IF($L410&lt;&gt;"",INDEX(РАБОТЫ!$Z$2:$Z$1058,MATCH($L410,РАБОТЫ!$V$2:$V$1058,0)),IF(ISNUMBER($K410),INDEX(РАБОТЫ!$Y$2:$Y$1058,$K410),""))</f>
        <v/>
      </c>
      <c r="D410" t="str">
        <f>IF(ISNUMBER($K410),INDEX(РАБОТЫ!$E$2:$E$1058,$K410),"")</f>
        <v/>
      </c>
      <c r="E410" t="str">
        <f>IF(ISNUMBER($K410),INDEX(РАБОТЫ!$M$2:$M$1058,$K410),"")</f>
        <v/>
      </c>
      <c r="F410" s="7" t="str">
        <f>IF(ISNUMBER($K410),INDEX(РАБОТЫ!$S$2:$S$1058,$K410),"")</f>
        <v/>
      </c>
      <c r="G410" s="7" t="str">
        <f>IF(ISNUMBER($K410),INDEX(РАБОТЫ!$T$2:$T$1058,$K410),"")</f>
        <v/>
      </c>
      <c r="H410" s="7" t="str">
        <f t="shared" si="24"/>
        <v/>
      </c>
      <c r="I410" s="7" t="str">
        <f t="shared" si="25"/>
        <v/>
      </c>
      <c r="J410" s="7" t="str">
        <f t="shared" si="26"/>
        <v/>
      </c>
      <c r="K410" t="str">
        <f>IFERROR(MATCH(389,РАБОТЫ!$X$2:$X$1058,0),"")</f>
        <v/>
      </c>
      <c r="L410" t="str">
        <f>IFERROR(IF(INDEX(РАБОТЫ!$W$2:$W$1058,MATCH(389+1,РАБОТЫ!$X$2:$X$1058,0))=1,INDEX(РАБОТЫ!$V$2:$V$1058,MATCH(389+1,РАБОТЫ!$X$2:$X$1058,0)),""),"")</f>
        <v/>
      </c>
      <c r="M410" t="str">
        <f t="shared" si="27"/>
        <v/>
      </c>
    </row>
    <row r="411" spans="1:13" hidden="1" x14ac:dyDescent="0.3">
      <c r="A411" t="str">
        <f>IF(ISNUMBER($K411),INDEX(РАБОТЫ!$U$2:$U$1058,$K411),"")</f>
        <v/>
      </c>
      <c r="B411" t="str">
        <f>IF(ISNUMBER($K411),INDEX(РАБОТЫ!$A$2:$A$1058,$K411),"")</f>
        <v/>
      </c>
      <c r="C411" s="4" t="str">
        <f>IF($L411&lt;&gt;"",INDEX(РАБОТЫ!$Z$2:$Z$1058,MATCH($L411,РАБОТЫ!$V$2:$V$1058,0)),IF(ISNUMBER($K411),INDEX(РАБОТЫ!$Y$2:$Y$1058,$K411),""))</f>
        <v/>
      </c>
      <c r="D411" t="str">
        <f>IF(ISNUMBER($K411),INDEX(РАБОТЫ!$E$2:$E$1058,$K411),"")</f>
        <v/>
      </c>
      <c r="E411" t="str">
        <f>IF(ISNUMBER($K411),INDEX(РАБОТЫ!$M$2:$M$1058,$K411),"")</f>
        <v/>
      </c>
      <c r="F411" s="7" t="str">
        <f>IF(ISNUMBER($K411),INDEX(РАБОТЫ!$S$2:$S$1058,$K411),"")</f>
        <v/>
      </c>
      <c r="G411" s="7" t="str">
        <f>IF(ISNUMBER($K411),INDEX(РАБОТЫ!$T$2:$T$1058,$K411),"")</f>
        <v/>
      </c>
      <c r="H411" s="7" t="str">
        <f t="shared" si="24"/>
        <v/>
      </c>
      <c r="I411" s="7" t="str">
        <f t="shared" si="25"/>
        <v/>
      </c>
      <c r="J411" s="7" t="str">
        <f t="shared" si="26"/>
        <v/>
      </c>
      <c r="K411" t="str">
        <f>IFERROR(MATCH(390,РАБОТЫ!$X$2:$X$1058,0),"")</f>
        <v/>
      </c>
      <c r="L411" t="str">
        <f>IFERROR(IF(INDEX(РАБОТЫ!$W$2:$W$1058,MATCH(390+1,РАБОТЫ!$X$2:$X$1058,0))=1,INDEX(РАБОТЫ!$V$2:$V$1058,MATCH(390+1,РАБОТЫ!$X$2:$X$1058,0)),""),"")</f>
        <v/>
      </c>
      <c r="M411" t="str">
        <f t="shared" si="27"/>
        <v/>
      </c>
    </row>
    <row r="412" spans="1:13" hidden="1" x14ac:dyDescent="0.3">
      <c r="A412" t="str">
        <f>IF(ISNUMBER($K412),INDEX(РАБОТЫ!$U$2:$U$1058,$K412),"")</f>
        <v/>
      </c>
      <c r="B412" t="str">
        <f>IF(ISNUMBER($K412),INDEX(РАБОТЫ!$A$2:$A$1058,$K412),"")</f>
        <v/>
      </c>
      <c r="C412" s="4" t="str">
        <f>IF($L412&lt;&gt;"",INDEX(РАБОТЫ!$Z$2:$Z$1058,MATCH($L412,РАБОТЫ!$V$2:$V$1058,0)),IF(ISNUMBER($K412),INDEX(РАБОТЫ!$Y$2:$Y$1058,$K412),""))</f>
        <v/>
      </c>
      <c r="D412" t="str">
        <f>IF(ISNUMBER($K412),INDEX(РАБОТЫ!$E$2:$E$1058,$K412),"")</f>
        <v/>
      </c>
      <c r="E412" t="str">
        <f>IF(ISNUMBER($K412),INDEX(РАБОТЫ!$M$2:$M$1058,$K412),"")</f>
        <v/>
      </c>
      <c r="F412" s="7" t="str">
        <f>IF(ISNUMBER($K412),INDEX(РАБОТЫ!$S$2:$S$1058,$K412),"")</f>
        <v/>
      </c>
      <c r="G412" s="7" t="str">
        <f>IF(ISNUMBER($K412),INDEX(РАБОТЫ!$T$2:$T$1058,$K412),"")</f>
        <v/>
      </c>
      <c r="H412" s="7" t="str">
        <f t="shared" si="24"/>
        <v/>
      </c>
      <c r="I412" s="7" t="str">
        <f t="shared" si="25"/>
        <v/>
      </c>
      <c r="J412" s="7" t="str">
        <f t="shared" si="26"/>
        <v/>
      </c>
      <c r="K412" t="str">
        <f>IFERROR(MATCH(391,РАБОТЫ!$X$2:$X$1058,0),"")</f>
        <v/>
      </c>
      <c r="L412" t="str">
        <f>IFERROR(IF(INDEX(РАБОТЫ!$W$2:$W$1058,MATCH(391+1,РАБОТЫ!$X$2:$X$1058,0))=1,INDEX(РАБОТЫ!$V$2:$V$1058,MATCH(391+1,РАБОТЫ!$X$2:$X$1058,0)),""),"")</f>
        <v/>
      </c>
      <c r="M412" t="str">
        <f t="shared" si="27"/>
        <v/>
      </c>
    </row>
    <row r="413" spans="1:13" hidden="1" x14ac:dyDescent="0.3">
      <c r="A413" t="str">
        <f>IF(ISNUMBER($K413),INDEX(РАБОТЫ!$U$2:$U$1058,$K413),"")</f>
        <v/>
      </c>
      <c r="B413" t="str">
        <f>IF(ISNUMBER($K413),INDEX(РАБОТЫ!$A$2:$A$1058,$K413),"")</f>
        <v/>
      </c>
      <c r="C413" s="4" t="str">
        <f>IF($L413&lt;&gt;"",INDEX(РАБОТЫ!$Z$2:$Z$1058,MATCH($L413,РАБОТЫ!$V$2:$V$1058,0)),IF(ISNUMBER($K413),INDEX(РАБОТЫ!$Y$2:$Y$1058,$K413),""))</f>
        <v/>
      </c>
      <c r="D413" t="str">
        <f>IF(ISNUMBER($K413),INDEX(РАБОТЫ!$E$2:$E$1058,$K413),"")</f>
        <v/>
      </c>
      <c r="E413" t="str">
        <f>IF(ISNUMBER($K413),INDEX(РАБОТЫ!$M$2:$M$1058,$K413),"")</f>
        <v/>
      </c>
      <c r="F413" s="7" t="str">
        <f>IF(ISNUMBER($K413),INDEX(РАБОТЫ!$S$2:$S$1058,$K413),"")</f>
        <v/>
      </c>
      <c r="G413" s="7" t="str">
        <f>IF(ISNUMBER($K413),INDEX(РАБОТЫ!$T$2:$T$1058,$K413),"")</f>
        <v/>
      </c>
      <c r="H413" s="7" t="str">
        <f t="shared" si="24"/>
        <v/>
      </c>
      <c r="I413" s="7" t="str">
        <f t="shared" si="25"/>
        <v/>
      </c>
      <c r="J413" s="7" t="str">
        <f t="shared" si="26"/>
        <v/>
      </c>
      <c r="K413" t="str">
        <f>IFERROR(MATCH(392,РАБОТЫ!$X$2:$X$1058,0),"")</f>
        <v/>
      </c>
      <c r="L413" t="str">
        <f>IFERROR(IF(INDEX(РАБОТЫ!$W$2:$W$1058,MATCH(392+1,РАБОТЫ!$X$2:$X$1058,0))=1,INDEX(РАБОТЫ!$V$2:$V$1058,MATCH(392+1,РАБОТЫ!$X$2:$X$1058,0)),""),"")</f>
        <v/>
      </c>
      <c r="M413" t="str">
        <f t="shared" si="27"/>
        <v/>
      </c>
    </row>
    <row r="414" spans="1:13" hidden="1" x14ac:dyDescent="0.3">
      <c r="A414" t="str">
        <f>IF(ISNUMBER($K414),INDEX(РАБОТЫ!$U$2:$U$1058,$K414),"")</f>
        <v/>
      </c>
      <c r="B414" t="str">
        <f>IF(ISNUMBER($K414),INDEX(РАБОТЫ!$A$2:$A$1058,$K414),"")</f>
        <v/>
      </c>
      <c r="C414" s="4" t="str">
        <f>IF($L414&lt;&gt;"",INDEX(РАБОТЫ!$Z$2:$Z$1058,MATCH($L414,РАБОТЫ!$V$2:$V$1058,0)),IF(ISNUMBER($K414),INDEX(РАБОТЫ!$Y$2:$Y$1058,$K414),""))</f>
        <v/>
      </c>
      <c r="D414" t="str">
        <f>IF(ISNUMBER($K414),INDEX(РАБОТЫ!$E$2:$E$1058,$K414),"")</f>
        <v/>
      </c>
      <c r="E414" t="str">
        <f>IF(ISNUMBER($K414),INDEX(РАБОТЫ!$M$2:$M$1058,$K414),"")</f>
        <v/>
      </c>
      <c r="F414" s="7" t="str">
        <f>IF(ISNUMBER($K414),INDEX(РАБОТЫ!$S$2:$S$1058,$K414),"")</f>
        <v/>
      </c>
      <c r="G414" s="7" t="str">
        <f>IF(ISNUMBER($K414),INDEX(РАБОТЫ!$T$2:$T$1058,$K414),"")</f>
        <v/>
      </c>
      <c r="H414" s="7" t="str">
        <f t="shared" si="24"/>
        <v/>
      </c>
      <c r="I414" s="7" t="str">
        <f t="shared" si="25"/>
        <v/>
      </c>
      <c r="J414" s="7" t="str">
        <f t="shared" si="26"/>
        <v/>
      </c>
      <c r="K414" t="str">
        <f>IFERROR(MATCH(393,РАБОТЫ!$X$2:$X$1058,0),"")</f>
        <v/>
      </c>
      <c r="L414" t="str">
        <f>IFERROR(IF(INDEX(РАБОТЫ!$W$2:$W$1058,MATCH(393+1,РАБОТЫ!$X$2:$X$1058,0))=1,INDEX(РАБОТЫ!$V$2:$V$1058,MATCH(393+1,РАБОТЫ!$X$2:$X$1058,0)),""),"")</f>
        <v/>
      </c>
      <c r="M414" t="str">
        <f t="shared" si="27"/>
        <v/>
      </c>
    </row>
    <row r="415" spans="1:13" hidden="1" x14ac:dyDescent="0.3">
      <c r="A415" t="str">
        <f>IF(ISNUMBER($K415),INDEX(РАБОТЫ!$U$2:$U$1058,$K415),"")</f>
        <v/>
      </c>
      <c r="B415" t="str">
        <f>IF(ISNUMBER($K415),INDEX(РАБОТЫ!$A$2:$A$1058,$K415),"")</f>
        <v/>
      </c>
      <c r="C415" s="4" t="str">
        <f>IF($L415&lt;&gt;"",INDEX(РАБОТЫ!$Z$2:$Z$1058,MATCH($L415,РАБОТЫ!$V$2:$V$1058,0)),IF(ISNUMBER($K415),INDEX(РАБОТЫ!$Y$2:$Y$1058,$K415),""))</f>
        <v/>
      </c>
      <c r="D415" t="str">
        <f>IF(ISNUMBER($K415),INDEX(РАБОТЫ!$E$2:$E$1058,$K415),"")</f>
        <v/>
      </c>
      <c r="E415" t="str">
        <f>IF(ISNUMBER($K415),INDEX(РАБОТЫ!$M$2:$M$1058,$K415),"")</f>
        <v/>
      </c>
      <c r="F415" s="7" t="str">
        <f>IF(ISNUMBER($K415),INDEX(РАБОТЫ!$S$2:$S$1058,$K415),"")</f>
        <v/>
      </c>
      <c r="G415" s="7" t="str">
        <f>IF(ISNUMBER($K415),INDEX(РАБОТЫ!$T$2:$T$1058,$K415),"")</f>
        <v/>
      </c>
      <c r="H415" s="7" t="str">
        <f t="shared" si="24"/>
        <v/>
      </c>
      <c r="I415" s="7" t="str">
        <f t="shared" si="25"/>
        <v/>
      </c>
      <c r="J415" s="7" t="str">
        <f t="shared" si="26"/>
        <v/>
      </c>
      <c r="K415" t="str">
        <f>IFERROR(MATCH(394,РАБОТЫ!$X$2:$X$1058,0),"")</f>
        <v/>
      </c>
      <c r="L415" t="str">
        <f>IFERROR(IF(INDEX(РАБОТЫ!$W$2:$W$1058,MATCH(394+1,РАБОТЫ!$X$2:$X$1058,0))=1,INDEX(РАБОТЫ!$V$2:$V$1058,MATCH(394+1,РАБОТЫ!$X$2:$X$1058,0)),""),"")</f>
        <v/>
      </c>
      <c r="M415" t="str">
        <f t="shared" si="27"/>
        <v/>
      </c>
    </row>
    <row r="416" spans="1:13" hidden="1" x14ac:dyDescent="0.3">
      <c r="A416" t="str">
        <f>IF(ISNUMBER($K416),INDEX(РАБОТЫ!$U$2:$U$1058,$K416),"")</f>
        <v/>
      </c>
      <c r="B416" t="str">
        <f>IF(ISNUMBER($K416),INDEX(РАБОТЫ!$A$2:$A$1058,$K416),"")</f>
        <v/>
      </c>
      <c r="C416" s="4" t="str">
        <f>IF($L416&lt;&gt;"",INDEX(РАБОТЫ!$Z$2:$Z$1058,MATCH($L416,РАБОТЫ!$V$2:$V$1058,0)),IF(ISNUMBER($K416),INDEX(РАБОТЫ!$Y$2:$Y$1058,$K416),""))</f>
        <v/>
      </c>
      <c r="D416" t="str">
        <f>IF(ISNUMBER($K416),INDEX(РАБОТЫ!$E$2:$E$1058,$K416),"")</f>
        <v/>
      </c>
      <c r="E416" t="str">
        <f>IF(ISNUMBER($K416),INDEX(РАБОТЫ!$M$2:$M$1058,$K416),"")</f>
        <v/>
      </c>
      <c r="F416" s="7" t="str">
        <f>IF(ISNUMBER($K416),INDEX(РАБОТЫ!$S$2:$S$1058,$K416),"")</f>
        <v/>
      </c>
      <c r="G416" s="7" t="str">
        <f>IF(ISNUMBER($K416),INDEX(РАБОТЫ!$T$2:$T$1058,$K416),"")</f>
        <v/>
      </c>
      <c r="H416" s="7" t="str">
        <f t="shared" si="24"/>
        <v/>
      </c>
      <c r="I416" s="7" t="str">
        <f t="shared" si="25"/>
        <v/>
      </c>
      <c r="J416" s="7" t="str">
        <f t="shared" si="26"/>
        <v/>
      </c>
      <c r="K416" t="str">
        <f>IFERROR(MATCH(395,РАБОТЫ!$X$2:$X$1058,0),"")</f>
        <v/>
      </c>
      <c r="L416" t="str">
        <f>IFERROR(IF(INDEX(РАБОТЫ!$W$2:$W$1058,MATCH(395+1,РАБОТЫ!$X$2:$X$1058,0))=1,INDEX(РАБОТЫ!$V$2:$V$1058,MATCH(395+1,РАБОТЫ!$X$2:$X$1058,0)),""),"")</f>
        <v/>
      </c>
      <c r="M416" t="str">
        <f t="shared" si="27"/>
        <v/>
      </c>
    </row>
    <row r="417" spans="1:13" hidden="1" x14ac:dyDescent="0.3">
      <c r="A417" t="str">
        <f>IF(ISNUMBER($K417),INDEX(РАБОТЫ!$U$2:$U$1058,$K417),"")</f>
        <v/>
      </c>
      <c r="B417" t="str">
        <f>IF(ISNUMBER($K417),INDEX(РАБОТЫ!$A$2:$A$1058,$K417),"")</f>
        <v/>
      </c>
      <c r="C417" s="4" t="str">
        <f>IF($L417&lt;&gt;"",INDEX(РАБОТЫ!$Z$2:$Z$1058,MATCH($L417,РАБОТЫ!$V$2:$V$1058,0)),IF(ISNUMBER($K417),INDEX(РАБОТЫ!$Y$2:$Y$1058,$K417),""))</f>
        <v/>
      </c>
      <c r="D417" t="str">
        <f>IF(ISNUMBER($K417),INDEX(РАБОТЫ!$E$2:$E$1058,$K417),"")</f>
        <v/>
      </c>
      <c r="E417" t="str">
        <f>IF(ISNUMBER($K417),INDEX(РАБОТЫ!$M$2:$M$1058,$K417),"")</f>
        <v/>
      </c>
      <c r="F417" s="7" t="str">
        <f>IF(ISNUMBER($K417),INDEX(РАБОТЫ!$S$2:$S$1058,$K417),"")</f>
        <v/>
      </c>
      <c r="G417" s="7" t="str">
        <f>IF(ISNUMBER($K417),INDEX(РАБОТЫ!$T$2:$T$1058,$K417),"")</f>
        <v/>
      </c>
      <c r="H417" s="7" t="str">
        <f t="shared" si="24"/>
        <v/>
      </c>
      <c r="I417" s="7" t="str">
        <f t="shared" si="25"/>
        <v/>
      </c>
      <c r="J417" s="7" t="str">
        <f t="shared" si="26"/>
        <v/>
      </c>
      <c r="K417" t="str">
        <f>IFERROR(MATCH(396,РАБОТЫ!$X$2:$X$1058,0),"")</f>
        <v/>
      </c>
      <c r="L417" t="str">
        <f>IFERROR(IF(INDEX(РАБОТЫ!$W$2:$W$1058,MATCH(396+1,РАБОТЫ!$X$2:$X$1058,0))=1,INDEX(РАБОТЫ!$V$2:$V$1058,MATCH(396+1,РАБОТЫ!$X$2:$X$1058,0)),""),"")</f>
        <v/>
      </c>
      <c r="M417" t="str">
        <f t="shared" si="27"/>
        <v/>
      </c>
    </row>
    <row r="418" spans="1:13" hidden="1" x14ac:dyDescent="0.3">
      <c r="A418" t="str">
        <f>IF(ISNUMBER($K418),INDEX(РАБОТЫ!$U$2:$U$1058,$K418),"")</f>
        <v/>
      </c>
      <c r="B418" t="str">
        <f>IF(ISNUMBER($K418),INDEX(РАБОТЫ!$A$2:$A$1058,$K418),"")</f>
        <v/>
      </c>
      <c r="C418" s="4" t="str">
        <f>IF($L418&lt;&gt;"",INDEX(РАБОТЫ!$Z$2:$Z$1058,MATCH($L418,РАБОТЫ!$V$2:$V$1058,0)),IF(ISNUMBER($K418),INDEX(РАБОТЫ!$Y$2:$Y$1058,$K418),""))</f>
        <v/>
      </c>
      <c r="D418" t="str">
        <f>IF(ISNUMBER($K418),INDEX(РАБОТЫ!$E$2:$E$1058,$K418),"")</f>
        <v/>
      </c>
      <c r="E418" t="str">
        <f>IF(ISNUMBER($K418),INDEX(РАБОТЫ!$M$2:$M$1058,$K418),"")</f>
        <v/>
      </c>
      <c r="F418" s="7" t="str">
        <f>IF(ISNUMBER($K418),INDEX(РАБОТЫ!$S$2:$S$1058,$K418),"")</f>
        <v/>
      </c>
      <c r="G418" s="7" t="str">
        <f>IF(ISNUMBER($K418),INDEX(РАБОТЫ!$T$2:$T$1058,$K418),"")</f>
        <v/>
      </c>
      <c r="H418" s="7" t="str">
        <f t="shared" si="24"/>
        <v/>
      </c>
      <c r="I418" s="7" t="str">
        <f t="shared" si="25"/>
        <v/>
      </c>
      <c r="J418" s="7" t="str">
        <f t="shared" si="26"/>
        <v/>
      </c>
      <c r="K418" t="str">
        <f>IFERROR(MATCH(397,РАБОТЫ!$X$2:$X$1058,0),"")</f>
        <v/>
      </c>
      <c r="L418" t="str">
        <f>IFERROR(IF(INDEX(РАБОТЫ!$W$2:$W$1058,MATCH(397+1,РАБОТЫ!$X$2:$X$1058,0))=1,INDEX(РАБОТЫ!$V$2:$V$1058,MATCH(397+1,РАБОТЫ!$X$2:$X$1058,0)),""),"")</f>
        <v/>
      </c>
      <c r="M418" t="str">
        <f t="shared" si="27"/>
        <v/>
      </c>
    </row>
    <row r="419" spans="1:13" hidden="1" x14ac:dyDescent="0.3">
      <c r="A419" t="str">
        <f>IF(ISNUMBER($K419),INDEX(РАБОТЫ!$U$2:$U$1058,$K419),"")</f>
        <v/>
      </c>
      <c r="B419" t="str">
        <f>IF(ISNUMBER($K419),INDEX(РАБОТЫ!$A$2:$A$1058,$K419),"")</f>
        <v/>
      </c>
      <c r="C419" s="4" t="str">
        <f>IF($L419&lt;&gt;"",INDEX(РАБОТЫ!$Z$2:$Z$1058,MATCH($L419,РАБОТЫ!$V$2:$V$1058,0)),IF(ISNUMBER($K419),INDEX(РАБОТЫ!$Y$2:$Y$1058,$K419),""))</f>
        <v/>
      </c>
      <c r="D419" t="str">
        <f>IF(ISNUMBER($K419),INDEX(РАБОТЫ!$E$2:$E$1058,$K419),"")</f>
        <v/>
      </c>
      <c r="E419" t="str">
        <f>IF(ISNUMBER($K419),INDEX(РАБОТЫ!$M$2:$M$1058,$K419),"")</f>
        <v/>
      </c>
      <c r="F419" s="7" t="str">
        <f>IF(ISNUMBER($K419),INDEX(РАБОТЫ!$S$2:$S$1058,$K419),"")</f>
        <v/>
      </c>
      <c r="G419" s="7" t="str">
        <f>IF(ISNUMBER($K419),INDEX(РАБОТЫ!$T$2:$T$1058,$K419),"")</f>
        <v/>
      </c>
      <c r="H419" s="7" t="str">
        <f t="shared" si="24"/>
        <v/>
      </c>
      <c r="I419" s="7" t="str">
        <f t="shared" si="25"/>
        <v/>
      </c>
      <c r="J419" s="7" t="str">
        <f t="shared" si="26"/>
        <v/>
      </c>
      <c r="K419" t="str">
        <f>IFERROR(MATCH(398,РАБОТЫ!$X$2:$X$1058,0),"")</f>
        <v/>
      </c>
      <c r="L419" t="str">
        <f>IFERROR(IF(INDEX(РАБОТЫ!$W$2:$W$1058,MATCH(398+1,РАБОТЫ!$X$2:$X$1058,0))=1,INDEX(РАБОТЫ!$V$2:$V$1058,MATCH(398+1,РАБОТЫ!$X$2:$X$1058,0)),""),"")</f>
        <v/>
      </c>
      <c r="M419" t="str">
        <f t="shared" si="27"/>
        <v/>
      </c>
    </row>
    <row r="420" spans="1:13" hidden="1" x14ac:dyDescent="0.3">
      <c r="A420" t="str">
        <f>IF(ISNUMBER($K420),INDEX(РАБОТЫ!$U$2:$U$1058,$K420),"")</f>
        <v/>
      </c>
      <c r="B420" t="str">
        <f>IF(ISNUMBER($K420),INDEX(РАБОТЫ!$A$2:$A$1058,$K420),"")</f>
        <v/>
      </c>
      <c r="C420" s="4" t="str">
        <f>IF($L420&lt;&gt;"",INDEX(РАБОТЫ!$Z$2:$Z$1058,MATCH($L420,РАБОТЫ!$V$2:$V$1058,0)),IF(ISNUMBER($K420),INDEX(РАБОТЫ!$Y$2:$Y$1058,$K420),""))</f>
        <v/>
      </c>
      <c r="D420" t="str">
        <f>IF(ISNUMBER($K420),INDEX(РАБОТЫ!$E$2:$E$1058,$K420),"")</f>
        <v/>
      </c>
      <c r="E420" t="str">
        <f>IF(ISNUMBER($K420),INDEX(РАБОТЫ!$M$2:$M$1058,$K420),"")</f>
        <v/>
      </c>
      <c r="F420" s="7" t="str">
        <f>IF(ISNUMBER($K420),INDEX(РАБОТЫ!$S$2:$S$1058,$K420),"")</f>
        <v/>
      </c>
      <c r="G420" s="7" t="str">
        <f>IF(ISNUMBER($K420),INDEX(РАБОТЫ!$T$2:$T$1058,$K420),"")</f>
        <v/>
      </c>
      <c r="H420" s="7" t="str">
        <f t="shared" si="24"/>
        <v/>
      </c>
      <c r="I420" s="7" t="str">
        <f t="shared" si="25"/>
        <v/>
      </c>
      <c r="J420" s="7" t="str">
        <f t="shared" si="26"/>
        <v/>
      </c>
      <c r="K420" t="str">
        <f>IFERROR(MATCH(399,РАБОТЫ!$X$2:$X$1058,0),"")</f>
        <v/>
      </c>
      <c r="L420" t="str">
        <f>IFERROR(IF(INDEX(РАБОТЫ!$W$2:$W$1058,MATCH(399+1,РАБОТЫ!$X$2:$X$1058,0))=1,INDEX(РАБОТЫ!$V$2:$V$1058,MATCH(399+1,РАБОТЫ!$X$2:$X$1058,0)),""),"")</f>
        <v/>
      </c>
      <c r="M420" t="str">
        <f t="shared" si="27"/>
        <v/>
      </c>
    </row>
    <row r="421" spans="1:13" hidden="1" x14ac:dyDescent="0.3">
      <c r="A421" t="str">
        <f>IF(ISNUMBER($K421),INDEX(РАБОТЫ!$U$2:$U$1058,$K421),"")</f>
        <v/>
      </c>
      <c r="B421" t="str">
        <f>IF(ISNUMBER($K421),INDEX(РАБОТЫ!$A$2:$A$1058,$K421),"")</f>
        <v/>
      </c>
      <c r="C421" s="4" t="str">
        <f>IF($L421&lt;&gt;"",INDEX(РАБОТЫ!$Z$2:$Z$1058,MATCH($L421,РАБОТЫ!$V$2:$V$1058,0)),IF(ISNUMBER($K421),INDEX(РАБОТЫ!$Y$2:$Y$1058,$K421),""))</f>
        <v/>
      </c>
      <c r="D421" t="str">
        <f>IF(ISNUMBER($K421),INDEX(РАБОТЫ!$E$2:$E$1058,$K421),"")</f>
        <v/>
      </c>
      <c r="E421" t="str">
        <f>IF(ISNUMBER($K421),INDEX(РАБОТЫ!$M$2:$M$1058,$K421),"")</f>
        <v/>
      </c>
      <c r="F421" s="7" t="str">
        <f>IF(ISNUMBER($K421),INDEX(РАБОТЫ!$S$2:$S$1058,$K421),"")</f>
        <v/>
      </c>
      <c r="G421" s="7" t="str">
        <f>IF(ISNUMBER($K421),INDEX(РАБОТЫ!$T$2:$T$1058,$K421),"")</f>
        <v/>
      </c>
      <c r="H421" s="7" t="str">
        <f t="shared" si="24"/>
        <v/>
      </c>
      <c r="I421" s="7" t="str">
        <f t="shared" si="25"/>
        <v/>
      </c>
      <c r="J421" s="7" t="str">
        <f t="shared" si="26"/>
        <v/>
      </c>
      <c r="K421" t="str">
        <f>IFERROR(MATCH(400,РАБОТЫ!$X$2:$X$1058,0),"")</f>
        <v/>
      </c>
      <c r="L421" t="str">
        <f>IFERROR(IF(INDEX(РАБОТЫ!$W$2:$W$1058,MATCH(400+1,РАБОТЫ!$X$2:$X$1058,0))=1,INDEX(РАБОТЫ!$V$2:$V$1058,MATCH(400+1,РАБОТЫ!$X$2:$X$1058,0)),""),"")</f>
        <v/>
      </c>
      <c r="M421" t="str">
        <f t="shared" si="27"/>
        <v/>
      </c>
    </row>
    <row r="422" spans="1:13" hidden="1" x14ac:dyDescent="0.3">
      <c r="A422" t="str">
        <f>IF(ISNUMBER($K422),INDEX(РАБОТЫ!$U$2:$U$1058,$K422),"")</f>
        <v/>
      </c>
      <c r="B422" t="str">
        <f>IF(ISNUMBER($K422),INDEX(РАБОТЫ!$A$2:$A$1058,$K422),"")</f>
        <v/>
      </c>
      <c r="C422" s="4" t="str">
        <f>IF($L422&lt;&gt;"",INDEX(РАБОТЫ!$Z$2:$Z$1058,MATCH($L422,РАБОТЫ!$V$2:$V$1058,0)),IF(ISNUMBER($K422),INDEX(РАБОТЫ!$Y$2:$Y$1058,$K422),""))</f>
        <v/>
      </c>
      <c r="D422" t="str">
        <f>IF(ISNUMBER($K422),INDEX(РАБОТЫ!$E$2:$E$1058,$K422),"")</f>
        <v/>
      </c>
      <c r="E422" t="str">
        <f>IF(ISNUMBER($K422),INDEX(РАБОТЫ!$M$2:$M$1058,$K422),"")</f>
        <v/>
      </c>
      <c r="F422" s="7" t="str">
        <f>IF(ISNUMBER($K422),INDEX(РАБОТЫ!$S$2:$S$1058,$K422),"")</f>
        <v/>
      </c>
      <c r="G422" s="7" t="str">
        <f>IF(ISNUMBER($K422),INDEX(РАБОТЫ!$T$2:$T$1058,$K422),"")</f>
        <v/>
      </c>
      <c r="H422" s="7" t="str">
        <f t="shared" si="24"/>
        <v/>
      </c>
      <c r="I422" s="7" t="str">
        <f t="shared" si="25"/>
        <v/>
      </c>
      <c r="J422" s="7" t="str">
        <f t="shared" si="26"/>
        <v/>
      </c>
      <c r="K422" t="str">
        <f>IFERROR(MATCH(401,РАБОТЫ!$X$2:$X$1058,0),"")</f>
        <v/>
      </c>
      <c r="L422" t="str">
        <f>IFERROR(IF(INDEX(РАБОТЫ!$W$2:$W$1058,MATCH(401+1,РАБОТЫ!$X$2:$X$1058,0))=1,INDEX(РАБОТЫ!$V$2:$V$1058,MATCH(401+1,РАБОТЫ!$X$2:$X$1058,0)),""),"")</f>
        <v/>
      </c>
      <c r="M422" t="str">
        <f t="shared" si="27"/>
        <v/>
      </c>
    </row>
    <row r="423" spans="1:13" hidden="1" x14ac:dyDescent="0.3">
      <c r="A423" t="str">
        <f>IF(ISNUMBER($K423),INDEX(РАБОТЫ!$U$2:$U$1058,$K423),"")</f>
        <v/>
      </c>
      <c r="B423" t="str">
        <f>IF(ISNUMBER($K423),INDEX(РАБОТЫ!$A$2:$A$1058,$K423),"")</f>
        <v/>
      </c>
      <c r="C423" s="4" t="str">
        <f>IF($L423&lt;&gt;"",INDEX(РАБОТЫ!$Z$2:$Z$1058,MATCH($L423,РАБОТЫ!$V$2:$V$1058,0)),IF(ISNUMBER($K423),INDEX(РАБОТЫ!$Y$2:$Y$1058,$K423),""))</f>
        <v/>
      </c>
      <c r="D423" t="str">
        <f>IF(ISNUMBER($K423),INDEX(РАБОТЫ!$E$2:$E$1058,$K423),"")</f>
        <v/>
      </c>
      <c r="E423" t="str">
        <f>IF(ISNUMBER($K423),INDEX(РАБОТЫ!$M$2:$M$1058,$K423),"")</f>
        <v/>
      </c>
      <c r="F423" s="7" t="str">
        <f>IF(ISNUMBER($K423),INDEX(РАБОТЫ!$S$2:$S$1058,$K423),"")</f>
        <v/>
      </c>
      <c r="G423" s="7" t="str">
        <f>IF(ISNUMBER($K423),INDEX(РАБОТЫ!$T$2:$T$1058,$K423),"")</f>
        <v/>
      </c>
      <c r="H423" s="7" t="str">
        <f t="shared" si="24"/>
        <v/>
      </c>
      <c r="I423" s="7" t="str">
        <f t="shared" si="25"/>
        <v/>
      </c>
      <c r="J423" s="7" t="str">
        <f t="shared" si="26"/>
        <v/>
      </c>
      <c r="K423" t="str">
        <f>IFERROR(MATCH(402,РАБОТЫ!$X$2:$X$1058,0),"")</f>
        <v/>
      </c>
      <c r="L423" t="str">
        <f>IFERROR(IF(INDEX(РАБОТЫ!$W$2:$W$1058,MATCH(402+1,РАБОТЫ!$X$2:$X$1058,0))=1,INDEX(РАБОТЫ!$V$2:$V$1058,MATCH(402+1,РАБОТЫ!$X$2:$X$1058,0)),""),"")</f>
        <v/>
      </c>
      <c r="M423" t="str">
        <f t="shared" si="27"/>
        <v/>
      </c>
    </row>
    <row r="424" spans="1:13" hidden="1" x14ac:dyDescent="0.3">
      <c r="A424" t="str">
        <f>IF(ISNUMBER($K424),INDEX(РАБОТЫ!$U$2:$U$1058,$K424),"")</f>
        <v/>
      </c>
      <c r="B424" t="str">
        <f>IF(ISNUMBER($K424),INDEX(РАБОТЫ!$A$2:$A$1058,$K424),"")</f>
        <v/>
      </c>
      <c r="C424" s="4" t="str">
        <f>IF($L424&lt;&gt;"",INDEX(РАБОТЫ!$Z$2:$Z$1058,MATCH($L424,РАБОТЫ!$V$2:$V$1058,0)),IF(ISNUMBER($K424),INDEX(РАБОТЫ!$Y$2:$Y$1058,$K424),""))</f>
        <v/>
      </c>
      <c r="D424" t="str">
        <f>IF(ISNUMBER($K424),INDEX(РАБОТЫ!$E$2:$E$1058,$K424),"")</f>
        <v/>
      </c>
      <c r="E424" t="str">
        <f>IF(ISNUMBER($K424),INDEX(РАБОТЫ!$M$2:$M$1058,$K424),"")</f>
        <v/>
      </c>
      <c r="F424" s="7" t="str">
        <f>IF(ISNUMBER($K424),INDEX(РАБОТЫ!$S$2:$S$1058,$K424),"")</f>
        <v/>
      </c>
      <c r="G424" s="7" t="str">
        <f>IF(ISNUMBER($K424),INDEX(РАБОТЫ!$T$2:$T$1058,$K424),"")</f>
        <v/>
      </c>
      <c r="H424" s="7" t="str">
        <f t="shared" si="24"/>
        <v/>
      </c>
      <c r="I424" s="7" t="str">
        <f t="shared" si="25"/>
        <v/>
      </c>
      <c r="J424" s="7" t="str">
        <f t="shared" si="26"/>
        <v/>
      </c>
      <c r="K424" t="str">
        <f>IFERROR(MATCH(403,РАБОТЫ!$X$2:$X$1058,0),"")</f>
        <v/>
      </c>
      <c r="L424" t="str">
        <f>IFERROR(IF(INDEX(РАБОТЫ!$W$2:$W$1058,MATCH(403+1,РАБОТЫ!$X$2:$X$1058,0))=1,INDEX(РАБОТЫ!$V$2:$V$1058,MATCH(403+1,РАБОТЫ!$X$2:$X$1058,0)),""),"")</f>
        <v/>
      </c>
      <c r="M424" t="str">
        <f t="shared" si="27"/>
        <v/>
      </c>
    </row>
    <row r="425" spans="1:13" hidden="1" x14ac:dyDescent="0.3">
      <c r="A425" t="str">
        <f>IF(ISNUMBER($K425),INDEX(РАБОТЫ!$U$2:$U$1058,$K425),"")</f>
        <v/>
      </c>
      <c r="B425" t="str">
        <f>IF(ISNUMBER($K425),INDEX(РАБОТЫ!$A$2:$A$1058,$K425),"")</f>
        <v/>
      </c>
      <c r="C425" s="4" t="str">
        <f>IF($L425&lt;&gt;"",INDEX(РАБОТЫ!$Z$2:$Z$1058,MATCH($L425,РАБОТЫ!$V$2:$V$1058,0)),IF(ISNUMBER($K425),INDEX(РАБОТЫ!$Y$2:$Y$1058,$K425),""))</f>
        <v/>
      </c>
      <c r="D425" t="str">
        <f>IF(ISNUMBER($K425),INDEX(РАБОТЫ!$E$2:$E$1058,$K425),"")</f>
        <v/>
      </c>
      <c r="E425" t="str">
        <f>IF(ISNUMBER($K425),INDEX(РАБОТЫ!$M$2:$M$1058,$K425),"")</f>
        <v/>
      </c>
      <c r="F425" s="7" t="str">
        <f>IF(ISNUMBER($K425),INDEX(РАБОТЫ!$S$2:$S$1058,$K425),"")</f>
        <v/>
      </c>
      <c r="G425" s="7" t="str">
        <f>IF(ISNUMBER($K425),INDEX(РАБОТЫ!$T$2:$T$1058,$K425),"")</f>
        <v/>
      </c>
      <c r="H425" s="7" t="str">
        <f t="shared" si="24"/>
        <v/>
      </c>
      <c r="I425" s="7" t="str">
        <f t="shared" si="25"/>
        <v/>
      </c>
      <c r="J425" s="7" t="str">
        <f t="shared" si="26"/>
        <v/>
      </c>
      <c r="K425" t="str">
        <f>IFERROR(MATCH(404,РАБОТЫ!$X$2:$X$1058,0),"")</f>
        <v/>
      </c>
      <c r="L425" t="str">
        <f>IFERROR(IF(INDEX(РАБОТЫ!$W$2:$W$1058,MATCH(404+1,РАБОТЫ!$X$2:$X$1058,0))=1,INDEX(РАБОТЫ!$V$2:$V$1058,MATCH(404+1,РАБОТЫ!$X$2:$X$1058,0)),""),"")</f>
        <v/>
      </c>
      <c r="M425" t="str">
        <f t="shared" si="27"/>
        <v/>
      </c>
    </row>
    <row r="426" spans="1:13" hidden="1" x14ac:dyDescent="0.3">
      <c r="A426" t="str">
        <f>IF(ISNUMBER($K426),INDEX(РАБОТЫ!$U$2:$U$1058,$K426),"")</f>
        <v/>
      </c>
      <c r="B426" t="str">
        <f>IF(ISNUMBER($K426),INDEX(РАБОТЫ!$A$2:$A$1058,$K426),"")</f>
        <v/>
      </c>
      <c r="C426" s="4" t="str">
        <f>IF($L426&lt;&gt;"",INDEX(РАБОТЫ!$Z$2:$Z$1058,MATCH($L426,РАБОТЫ!$V$2:$V$1058,0)),IF(ISNUMBER($K426),INDEX(РАБОТЫ!$Y$2:$Y$1058,$K426),""))</f>
        <v/>
      </c>
      <c r="D426" t="str">
        <f>IF(ISNUMBER($K426),INDEX(РАБОТЫ!$E$2:$E$1058,$K426),"")</f>
        <v/>
      </c>
      <c r="E426" t="str">
        <f>IF(ISNUMBER($K426),INDEX(РАБОТЫ!$M$2:$M$1058,$K426),"")</f>
        <v/>
      </c>
      <c r="F426" s="7" t="str">
        <f>IF(ISNUMBER($K426),INDEX(РАБОТЫ!$S$2:$S$1058,$K426),"")</f>
        <v/>
      </c>
      <c r="G426" s="7" t="str">
        <f>IF(ISNUMBER($K426),INDEX(РАБОТЫ!$T$2:$T$1058,$K426),"")</f>
        <v/>
      </c>
      <c r="H426" s="7" t="str">
        <f t="shared" si="24"/>
        <v/>
      </c>
      <c r="I426" s="7" t="str">
        <f t="shared" si="25"/>
        <v/>
      </c>
      <c r="J426" s="7" t="str">
        <f t="shared" si="26"/>
        <v/>
      </c>
      <c r="K426" t="str">
        <f>IFERROR(MATCH(405,РАБОТЫ!$X$2:$X$1058,0),"")</f>
        <v/>
      </c>
      <c r="L426" t="str">
        <f>IFERROR(IF(INDEX(РАБОТЫ!$W$2:$W$1058,MATCH(405+1,РАБОТЫ!$X$2:$X$1058,0))=1,INDEX(РАБОТЫ!$V$2:$V$1058,MATCH(405+1,РАБОТЫ!$X$2:$X$1058,0)),""),"")</f>
        <v/>
      </c>
      <c r="M426" t="str">
        <f t="shared" si="27"/>
        <v/>
      </c>
    </row>
    <row r="427" spans="1:13" hidden="1" x14ac:dyDescent="0.3">
      <c r="A427" t="str">
        <f>IF(ISNUMBER($K427),INDEX(РАБОТЫ!$U$2:$U$1058,$K427),"")</f>
        <v/>
      </c>
      <c r="B427" t="str">
        <f>IF(ISNUMBER($K427),INDEX(РАБОТЫ!$A$2:$A$1058,$K427),"")</f>
        <v/>
      </c>
      <c r="C427" s="4" t="str">
        <f>IF($L427&lt;&gt;"",INDEX(РАБОТЫ!$Z$2:$Z$1058,MATCH($L427,РАБОТЫ!$V$2:$V$1058,0)),IF(ISNUMBER($K427),INDEX(РАБОТЫ!$Y$2:$Y$1058,$K427),""))</f>
        <v/>
      </c>
      <c r="D427" t="str">
        <f>IF(ISNUMBER($K427),INDEX(РАБОТЫ!$E$2:$E$1058,$K427),"")</f>
        <v/>
      </c>
      <c r="E427" t="str">
        <f>IF(ISNUMBER($K427),INDEX(РАБОТЫ!$M$2:$M$1058,$K427),"")</f>
        <v/>
      </c>
      <c r="F427" s="7" t="str">
        <f>IF(ISNUMBER($K427),INDEX(РАБОТЫ!$S$2:$S$1058,$K427),"")</f>
        <v/>
      </c>
      <c r="G427" s="7" t="str">
        <f>IF(ISNUMBER($K427),INDEX(РАБОТЫ!$T$2:$T$1058,$K427),"")</f>
        <v/>
      </c>
      <c r="H427" s="7" t="str">
        <f t="shared" si="24"/>
        <v/>
      </c>
      <c r="I427" s="7" t="str">
        <f t="shared" si="25"/>
        <v/>
      </c>
      <c r="J427" s="7" t="str">
        <f t="shared" si="26"/>
        <v/>
      </c>
      <c r="K427" t="str">
        <f>IFERROR(MATCH(406,РАБОТЫ!$X$2:$X$1058,0),"")</f>
        <v/>
      </c>
      <c r="L427" t="str">
        <f>IFERROR(IF(INDEX(РАБОТЫ!$W$2:$W$1058,MATCH(406+1,РАБОТЫ!$X$2:$X$1058,0))=1,INDEX(РАБОТЫ!$V$2:$V$1058,MATCH(406+1,РАБОТЫ!$X$2:$X$1058,0)),""),"")</f>
        <v/>
      </c>
      <c r="M427" t="str">
        <f t="shared" si="27"/>
        <v/>
      </c>
    </row>
    <row r="428" spans="1:13" hidden="1" x14ac:dyDescent="0.3">
      <c r="A428" t="str">
        <f>IF(ISNUMBER($K428),INDEX(РАБОТЫ!$U$2:$U$1058,$K428),"")</f>
        <v/>
      </c>
      <c r="B428" t="str">
        <f>IF(ISNUMBER($K428),INDEX(РАБОТЫ!$A$2:$A$1058,$K428),"")</f>
        <v/>
      </c>
      <c r="C428" s="4" t="str">
        <f>IF($L428&lt;&gt;"",INDEX(РАБОТЫ!$Z$2:$Z$1058,MATCH($L428,РАБОТЫ!$V$2:$V$1058,0)),IF(ISNUMBER($K428),INDEX(РАБОТЫ!$Y$2:$Y$1058,$K428),""))</f>
        <v/>
      </c>
      <c r="D428" t="str">
        <f>IF(ISNUMBER($K428),INDEX(РАБОТЫ!$E$2:$E$1058,$K428),"")</f>
        <v/>
      </c>
      <c r="E428" t="str">
        <f>IF(ISNUMBER($K428),INDEX(РАБОТЫ!$M$2:$M$1058,$K428),"")</f>
        <v/>
      </c>
      <c r="F428" s="7" t="str">
        <f>IF(ISNUMBER($K428),INDEX(РАБОТЫ!$S$2:$S$1058,$K428),"")</f>
        <v/>
      </c>
      <c r="G428" s="7" t="str">
        <f>IF(ISNUMBER($K428),INDEX(РАБОТЫ!$T$2:$T$1058,$K428),"")</f>
        <v/>
      </c>
      <c r="H428" s="7" t="str">
        <f t="shared" si="24"/>
        <v/>
      </c>
      <c r="I428" s="7" t="str">
        <f t="shared" si="25"/>
        <v/>
      </c>
      <c r="J428" s="7" t="str">
        <f t="shared" si="26"/>
        <v/>
      </c>
      <c r="K428" t="str">
        <f>IFERROR(MATCH(407,РАБОТЫ!$X$2:$X$1058,0),"")</f>
        <v/>
      </c>
      <c r="L428" t="str">
        <f>IFERROR(IF(INDEX(РАБОТЫ!$W$2:$W$1058,MATCH(407+1,РАБОТЫ!$X$2:$X$1058,0))=1,INDEX(РАБОТЫ!$V$2:$V$1058,MATCH(407+1,РАБОТЫ!$X$2:$X$1058,0)),""),"")</f>
        <v/>
      </c>
      <c r="M428" t="str">
        <f t="shared" si="27"/>
        <v/>
      </c>
    </row>
    <row r="429" spans="1:13" hidden="1" x14ac:dyDescent="0.3">
      <c r="A429" t="str">
        <f>IF(ISNUMBER($K429),INDEX(РАБОТЫ!$U$2:$U$1058,$K429),"")</f>
        <v/>
      </c>
      <c r="B429" t="str">
        <f>IF(ISNUMBER($K429),INDEX(РАБОТЫ!$A$2:$A$1058,$K429),"")</f>
        <v/>
      </c>
      <c r="C429" s="4" t="str">
        <f>IF($L429&lt;&gt;"",INDEX(РАБОТЫ!$Z$2:$Z$1058,MATCH($L429,РАБОТЫ!$V$2:$V$1058,0)),IF(ISNUMBER($K429),INDEX(РАБОТЫ!$Y$2:$Y$1058,$K429),""))</f>
        <v/>
      </c>
      <c r="D429" t="str">
        <f>IF(ISNUMBER($K429),INDEX(РАБОТЫ!$E$2:$E$1058,$K429),"")</f>
        <v/>
      </c>
      <c r="E429" t="str">
        <f>IF(ISNUMBER($K429),INDEX(РАБОТЫ!$M$2:$M$1058,$K429),"")</f>
        <v/>
      </c>
      <c r="F429" s="7" t="str">
        <f>IF(ISNUMBER($K429),INDEX(РАБОТЫ!$S$2:$S$1058,$K429),"")</f>
        <v/>
      </c>
      <c r="G429" s="7" t="str">
        <f>IF(ISNUMBER($K429),INDEX(РАБОТЫ!$T$2:$T$1058,$K429),"")</f>
        <v/>
      </c>
      <c r="H429" s="7" t="str">
        <f t="shared" si="24"/>
        <v/>
      </c>
      <c r="I429" s="7" t="str">
        <f t="shared" si="25"/>
        <v/>
      </c>
      <c r="J429" s="7" t="str">
        <f t="shared" si="26"/>
        <v/>
      </c>
      <c r="K429" t="str">
        <f>IFERROR(MATCH(408,РАБОТЫ!$X$2:$X$1058,0),"")</f>
        <v/>
      </c>
      <c r="L429" t="str">
        <f>IFERROR(IF(INDEX(РАБОТЫ!$W$2:$W$1058,MATCH(408+1,РАБОТЫ!$X$2:$X$1058,0))=1,INDEX(РАБОТЫ!$V$2:$V$1058,MATCH(408+1,РАБОТЫ!$X$2:$X$1058,0)),""),"")</f>
        <v/>
      </c>
      <c r="M429" t="str">
        <f t="shared" si="27"/>
        <v/>
      </c>
    </row>
    <row r="430" spans="1:13" hidden="1" x14ac:dyDescent="0.3">
      <c r="A430" t="str">
        <f>IF(ISNUMBER($K430),INDEX(РАБОТЫ!$U$2:$U$1058,$K430),"")</f>
        <v/>
      </c>
      <c r="B430" t="str">
        <f>IF(ISNUMBER($K430),INDEX(РАБОТЫ!$A$2:$A$1058,$K430),"")</f>
        <v/>
      </c>
      <c r="C430" s="4" t="str">
        <f>IF($L430&lt;&gt;"",INDEX(РАБОТЫ!$Z$2:$Z$1058,MATCH($L430,РАБОТЫ!$V$2:$V$1058,0)),IF(ISNUMBER($K430),INDEX(РАБОТЫ!$Y$2:$Y$1058,$K430),""))</f>
        <v/>
      </c>
      <c r="D430" t="str">
        <f>IF(ISNUMBER($K430),INDEX(РАБОТЫ!$E$2:$E$1058,$K430),"")</f>
        <v/>
      </c>
      <c r="E430" t="str">
        <f>IF(ISNUMBER($K430),INDEX(РАБОТЫ!$M$2:$M$1058,$K430),"")</f>
        <v/>
      </c>
      <c r="F430" s="7" t="str">
        <f>IF(ISNUMBER($K430),INDEX(РАБОТЫ!$S$2:$S$1058,$K430),"")</f>
        <v/>
      </c>
      <c r="G430" s="7" t="str">
        <f>IF(ISNUMBER($K430),INDEX(РАБОТЫ!$T$2:$T$1058,$K430),"")</f>
        <v/>
      </c>
      <c r="H430" s="7" t="str">
        <f t="shared" si="24"/>
        <v/>
      </c>
      <c r="I430" s="7" t="str">
        <f t="shared" si="25"/>
        <v/>
      </c>
      <c r="J430" s="7" t="str">
        <f t="shared" si="26"/>
        <v/>
      </c>
      <c r="K430" t="str">
        <f>IFERROR(MATCH(409,РАБОТЫ!$X$2:$X$1058,0),"")</f>
        <v/>
      </c>
      <c r="L430" t="str">
        <f>IFERROR(IF(INDEX(РАБОТЫ!$W$2:$W$1058,MATCH(409+1,РАБОТЫ!$X$2:$X$1058,0))=1,INDEX(РАБОТЫ!$V$2:$V$1058,MATCH(409+1,РАБОТЫ!$X$2:$X$1058,0)),""),"")</f>
        <v/>
      </c>
      <c r="M430" t="str">
        <f t="shared" si="27"/>
        <v/>
      </c>
    </row>
    <row r="431" spans="1:13" hidden="1" x14ac:dyDescent="0.3">
      <c r="A431" t="str">
        <f>IF(ISNUMBER($K431),INDEX(РАБОТЫ!$U$2:$U$1058,$K431),"")</f>
        <v/>
      </c>
      <c r="B431" t="str">
        <f>IF(ISNUMBER($K431),INDEX(РАБОТЫ!$A$2:$A$1058,$K431),"")</f>
        <v/>
      </c>
      <c r="C431" s="4" t="str">
        <f>IF($L431&lt;&gt;"",INDEX(РАБОТЫ!$Z$2:$Z$1058,MATCH($L431,РАБОТЫ!$V$2:$V$1058,0)),IF(ISNUMBER($K431),INDEX(РАБОТЫ!$Y$2:$Y$1058,$K431),""))</f>
        <v/>
      </c>
      <c r="D431" t="str">
        <f>IF(ISNUMBER($K431),INDEX(РАБОТЫ!$E$2:$E$1058,$K431),"")</f>
        <v/>
      </c>
      <c r="E431" t="str">
        <f>IF(ISNUMBER($K431),INDEX(РАБОТЫ!$M$2:$M$1058,$K431),"")</f>
        <v/>
      </c>
      <c r="F431" s="7" t="str">
        <f>IF(ISNUMBER($K431),INDEX(РАБОТЫ!$S$2:$S$1058,$K431),"")</f>
        <v/>
      </c>
      <c r="G431" s="7" t="str">
        <f>IF(ISNUMBER($K431),INDEX(РАБОТЫ!$T$2:$T$1058,$K431),"")</f>
        <v/>
      </c>
      <c r="H431" s="7" t="str">
        <f t="shared" si="24"/>
        <v/>
      </c>
      <c r="I431" s="7" t="str">
        <f t="shared" si="25"/>
        <v/>
      </c>
      <c r="J431" s="7" t="str">
        <f t="shared" si="26"/>
        <v/>
      </c>
      <c r="K431" t="str">
        <f>IFERROR(MATCH(410,РАБОТЫ!$X$2:$X$1058,0),"")</f>
        <v/>
      </c>
      <c r="L431" t="str">
        <f>IFERROR(IF(INDEX(РАБОТЫ!$W$2:$W$1058,MATCH(410+1,РАБОТЫ!$X$2:$X$1058,0))=1,INDEX(РАБОТЫ!$V$2:$V$1058,MATCH(410+1,РАБОТЫ!$X$2:$X$1058,0)),""),"")</f>
        <v/>
      </c>
      <c r="M431" t="str">
        <f t="shared" si="27"/>
        <v/>
      </c>
    </row>
    <row r="432" spans="1:13" hidden="1" x14ac:dyDescent="0.3">
      <c r="A432" t="str">
        <f>IF(ISNUMBER($K432),INDEX(РАБОТЫ!$U$2:$U$1058,$K432),"")</f>
        <v/>
      </c>
      <c r="B432" t="str">
        <f>IF(ISNUMBER($K432),INDEX(РАБОТЫ!$A$2:$A$1058,$K432),"")</f>
        <v/>
      </c>
      <c r="C432" s="4" t="str">
        <f>IF($L432&lt;&gt;"",INDEX(РАБОТЫ!$Z$2:$Z$1058,MATCH($L432,РАБОТЫ!$V$2:$V$1058,0)),IF(ISNUMBER($K432),INDEX(РАБОТЫ!$Y$2:$Y$1058,$K432),""))</f>
        <v/>
      </c>
      <c r="D432" t="str">
        <f>IF(ISNUMBER($K432),INDEX(РАБОТЫ!$E$2:$E$1058,$K432),"")</f>
        <v/>
      </c>
      <c r="E432" t="str">
        <f>IF(ISNUMBER($K432),INDEX(РАБОТЫ!$M$2:$M$1058,$K432),"")</f>
        <v/>
      </c>
      <c r="F432" s="7" t="str">
        <f>IF(ISNUMBER($K432),INDEX(РАБОТЫ!$S$2:$S$1058,$K432),"")</f>
        <v/>
      </c>
      <c r="G432" s="7" t="str">
        <f>IF(ISNUMBER($K432),INDEX(РАБОТЫ!$T$2:$T$1058,$K432),"")</f>
        <v/>
      </c>
      <c r="H432" s="7" t="str">
        <f t="shared" si="24"/>
        <v/>
      </c>
      <c r="I432" s="7" t="str">
        <f t="shared" si="25"/>
        <v/>
      </c>
      <c r="J432" s="7" t="str">
        <f t="shared" si="26"/>
        <v/>
      </c>
      <c r="K432" t="str">
        <f>IFERROR(MATCH(411,РАБОТЫ!$X$2:$X$1058,0),"")</f>
        <v/>
      </c>
      <c r="L432" t="str">
        <f>IFERROR(IF(INDEX(РАБОТЫ!$W$2:$W$1058,MATCH(411+1,РАБОТЫ!$X$2:$X$1058,0))=1,INDEX(РАБОТЫ!$V$2:$V$1058,MATCH(411+1,РАБОТЫ!$X$2:$X$1058,0)),""),"")</f>
        <v/>
      </c>
      <c r="M432" t="str">
        <f t="shared" si="27"/>
        <v/>
      </c>
    </row>
    <row r="433" spans="1:13" hidden="1" x14ac:dyDescent="0.3">
      <c r="A433" t="str">
        <f>IF(ISNUMBER($K433),INDEX(РАБОТЫ!$U$2:$U$1058,$K433),"")</f>
        <v/>
      </c>
      <c r="B433" t="str">
        <f>IF(ISNUMBER($K433),INDEX(РАБОТЫ!$A$2:$A$1058,$K433),"")</f>
        <v/>
      </c>
      <c r="C433" s="4" t="str">
        <f>IF($L433&lt;&gt;"",INDEX(РАБОТЫ!$Z$2:$Z$1058,MATCH($L433,РАБОТЫ!$V$2:$V$1058,0)),IF(ISNUMBER($K433),INDEX(РАБОТЫ!$Y$2:$Y$1058,$K433),""))</f>
        <v/>
      </c>
      <c r="D433" t="str">
        <f>IF(ISNUMBER($K433),INDEX(РАБОТЫ!$E$2:$E$1058,$K433),"")</f>
        <v/>
      </c>
      <c r="E433" t="str">
        <f>IF(ISNUMBER($K433),INDEX(РАБОТЫ!$M$2:$M$1058,$K433),"")</f>
        <v/>
      </c>
      <c r="F433" s="7" t="str">
        <f>IF(ISNUMBER($K433),INDEX(РАБОТЫ!$S$2:$S$1058,$K433),"")</f>
        <v/>
      </c>
      <c r="G433" s="7" t="str">
        <f>IF(ISNUMBER($K433),INDEX(РАБОТЫ!$T$2:$T$1058,$K433),"")</f>
        <v/>
      </c>
      <c r="H433" s="7" t="str">
        <f t="shared" si="24"/>
        <v/>
      </c>
      <c r="I433" s="7" t="str">
        <f t="shared" si="25"/>
        <v/>
      </c>
      <c r="J433" s="7" t="str">
        <f t="shared" si="26"/>
        <v/>
      </c>
      <c r="K433" t="str">
        <f>IFERROR(MATCH(412,РАБОТЫ!$X$2:$X$1058,0),"")</f>
        <v/>
      </c>
      <c r="L433" t="str">
        <f>IFERROR(IF(INDEX(РАБОТЫ!$W$2:$W$1058,MATCH(412+1,РАБОТЫ!$X$2:$X$1058,0))=1,INDEX(РАБОТЫ!$V$2:$V$1058,MATCH(412+1,РАБОТЫ!$X$2:$X$1058,0)),""),"")</f>
        <v/>
      </c>
      <c r="M433" t="str">
        <f t="shared" si="27"/>
        <v/>
      </c>
    </row>
    <row r="434" spans="1:13" hidden="1" x14ac:dyDescent="0.3">
      <c r="A434" t="str">
        <f>IF(ISNUMBER($K434),INDEX(РАБОТЫ!$U$2:$U$1058,$K434),"")</f>
        <v/>
      </c>
      <c r="B434" t="str">
        <f>IF(ISNUMBER($K434),INDEX(РАБОТЫ!$A$2:$A$1058,$K434),"")</f>
        <v/>
      </c>
      <c r="C434" s="4" t="str">
        <f>IF($L434&lt;&gt;"",INDEX(РАБОТЫ!$Z$2:$Z$1058,MATCH($L434,РАБОТЫ!$V$2:$V$1058,0)),IF(ISNUMBER($K434),INDEX(РАБОТЫ!$Y$2:$Y$1058,$K434),""))</f>
        <v/>
      </c>
      <c r="D434" t="str">
        <f>IF(ISNUMBER($K434),INDEX(РАБОТЫ!$E$2:$E$1058,$K434),"")</f>
        <v/>
      </c>
      <c r="E434" t="str">
        <f>IF(ISNUMBER($K434),INDEX(РАБОТЫ!$M$2:$M$1058,$K434),"")</f>
        <v/>
      </c>
      <c r="F434" s="7" t="str">
        <f>IF(ISNUMBER($K434),INDEX(РАБОТЫ!$S$2:$S$1058,$K434),"")</f>
        <v/>
      </c>
      <c r="G434" s="7" t="str">
        <f>IF(ISNUMBER($K434),INDEX(РАБОТЫ!$T$2:$T$1058,$K434),"")</f>
        <v/>
      </c>
      <c r="H434" s="7" t="str">
        <f t="shared" si="24"/>
        <v/>
      </c>
      <c r="I434" s="7" t="str">
        <f t="shared" si="25"/>
        <v/>
      </c>
      <c r="J434" s="7" t="str">
        <f t="shared" si="26"/>
        <v/>
      </c>
      <c r="K434" t="str">
        <f>IFERROR(MATCH(413,РАБОТЫ!$X$2:$X$1058,0),"")</f>
        <v/>
      </c>
      <c r="L434" t="str">
        <f>IFERROR(IF(INDEX(РАБОТЫ!$W$2:$W$1058,MATCH(413+1,РАБОТЫ!$X$2:$X$1058,0))=1,INDEX(РАБОТЫ!$V$2:$V$1058,MATCH(413+1,РАБОТЫ!$X$2:$X$1058,0)),""),"")</f>
        <v/>
      </c>
      <c r="M434" t="str">
        <f t="shared" si="27"/>
        <v/>
      </c>
    </row>
    <row r="435" spans="1:13" hidden="1" x14ac:dyDescent="0.3">
      <c r="A435" t="str">
        <f>IF(ISNUMBER($K435),INDEX(РАБОТЫ!$U$2:$U$1058,$K435),"")</f>
        <v/>
      </c>
      <c r="B435" t="str">
        <f>IF(ISNUMBER($K435),INDEX(РАБОТЫ!$A$2:$A$1058,$K435),"")</f>
        <v/>
      </c>
      <c r="C435" s="4" t="str">
        <f>IF($L435&lt;&gt;"",INDEX(РАБОТЫ!$Z$2:$Z$1058,MATCH($L435,РАБОТЫ!$V$2:$V$1058,0)),IF(ISNUMBER($K435),INDEX(РАБОТЫ!$Y$2:$Y$1058,$K435),""))</f>
        <v/>
      </c>
      <c r="D435" t="str">
        <f>IF(ISNUMBER($K435),INDEX(РАБОТЫ!$E$2:$E$1058,$K435),"")</f>
        <v/>
      </c>
      <c r="E435" t="str">
        <f>IF(ISNUMBER($K435),INDEX(РАБОТЫ!$M$2:$M$1058,$K435),"")</f>
        <v/>
      </c>
      <c r="F435" s="7" t="str">
        <f>IF(ISNUMBER($K435),INDEX(РАБОТЫ!$S$2:$S$1058,$K435),"")</f>
        <v/>
      </c>
      <c r="G435" s="7" t="str">
        <f>IF(ISNUMBER($K435),INDEX(РАБОТЫ!$T$2:$T$1058,$K435),"")</f>
        <v/>
      </c>
      <c r="H435" s="7" t="str">
        <f t="shared" si="24"/>
        <v/>
      </c>
      <c r="I435" s="7" t="str">
        <f t="shared" si="25"/>
        <v/>
      </c>
      <c r="J435" s="7" t="str">
        <f t="shared" si="26"/>
        <v/>
      </c>
      <c r="K435" t="str">
        <f>IFERROR(MATCH(414,РАБОТЫ!$X$2:$X$1058,0),"")</f>
        <v/>
      </c>
      <c r="L435" t="str">
        <f>IFERROR(IF(INDEX(РАБОТЫ!$W$2:$W$1058,MATCH(414+1,РАБОТЫ!$X$2:$X$1058,0))=1,INDEX(РАБОТЫ!$V$2:$V$1058,MATCH(414+1,РАБОТЫ!$X$2:$X$1058,0)),""),"")</f>
        <v/>
      </c>
      <c r="M435" t="str">
        <f t="shared" si="27"/>
        <v/>
      </c>
    </row>
    <row r="436" spans="1:13" hidden="1" x14ac:dyDescent="0.3">
      <c r="A436" t="str">
        <f>IF(ISNUMBER($K436),INDEX(РАБОТЫ!$U$2:$U$1058,$K436),"")</f>
        <v/>
      </c>
      <c r="B436" t="str">
        <f>IF(ISNUMBER($K436),INDEX(РАБОТЫ!$A$2:$A$1058,$K436),"")</f>
        <v/>
      </c>
      <c r="C436" s="4" t="str">
        <f>IF($L436&lt;&gt;"",INDEX(РАБОТЫ!$Z$2:$Z$1058,MATCH($L436,РАБОТЫ!$V$2:$V$1058,0)),IF(ISNUMBER($K436),INDEX(РАБОТЫ!$Y$2:$Y$1058,$K436),""))</f>
        <v/>
      </c>
      <c r="D436" t="str">
        <f>IF(ISNUMBER($K436),INDEX(РАБОТЫ!$E$2:$E$1058,$K436),"")</f>
        <v/>
      </c>
      <c r="E436" t="str">
        <f>IF(ISNUMBER($K436),INDEX(РАБОТЫ!$M$2:$M$1058,$K436),"")</f>
        <v/>
      </c>
      <c r="F436" s="7" t="str">
        <f>IF(ISNUMBER($K436),INDEX(РАБОТЫ!$S$2:$S$1058,$K436),"")</f>
        <v/>
      </c>
      <c r="G436" s="7" t="str">
        <f>IF(ISNUMBER($K436),INDEX(РАБОТЫ!$T$2:$T$1058,$K436),"")</f>
        <v/>
      </c>
      <c r="H436" s="7" t="str">
        <f t="shared" si="24"/>
        <v/>
      </c>
      <c r="I436" s="7" t="str">
        <f t="shared" si="25"/>
        <v/>
      </c>
      <c r="J436" s="7" t="str">
        <f t="shared" si="26"/>
        <v/>
      </c>
      <c r="K436" t="str">
        <f>IFERROR(MATCH(415,РАБОТЫ!$X$2:$X$1058,0),"")</f>
        <v/>
      </c>
      <c r="L436" t="str">
        <f>IFERROR(IF(INDEX(РАБОТЫ!$W$2:$W$1058,MATCH(415+1,РАБОТЫ!$X$2:$X$1058,0))=1,INDEX(РАБОТЫ!$V$2:$V$1058,MATCH(415+1,РАБОТЫ!$X$2:$X$1058,0)),""),"")</f>
        <v/>
      </c>
      <c r="M436" t="str">
        <f t="shared" si="27"/>
        <v/>
      </c>
    </row>
    <row r="437" spans="1:13" hidden="1" x14ac:dyDescent="0.3">
      <c r="A437" t="str">
        <f>IF(ISNUMBER($K437),INDEX(РАБОТЫ!$U$2:$U$1058,$K437),"")</f>
        <v/>
      </c>
      <c r="B437" t="str">
        <f>IF(ISNUMBER($K437),INDEX(РАБОТЫ!$A$2:$A$1058,$K437),"")</f>
        <v/>
      </c>
      <c r="C437" s="4" t="str">
        <f>IF($L437&lt;&gt;"",INDEX(РАБОТЫ!$Z$2:$Z$1058,MATCH($L437,РАБОТЫ!$V$2:$V$1058,0)),IF(ISNUMBER($K437),INDEX(РАБОТЫ!$Y$2:$Y$1058,$K437),""))</f>
        <v/>
      </c>
      <c r="D437" t="str">
        <f>IF(ISNUMBER($K437),INDEX(РАБОТЫ!$E$2:$E$1058,$K437),"")</f>
        <v/>
      </c>
      <c r="E437" t="str">
        <f>IF(ISNUMBER($K437),INDEX(РАБОТЫ!$M$2:$M$1058,$K437),"")</f>
        <v/>
      </c>
      <c r="F437" s="7" t="str">
        <f>IF(ISNUMBER($K437),INDEX(РАБОТЫ!$S$2:$S$1058,$K437),"")</f>
        <v/>
      </c>
      <c r="G437" s="7" t="str">
        <f>IF(ISNUMBER($K437),INDEX(РАБОТЫ!$T$2:$T$1058,$K437),"")</f>
        <v/>
      </c>
      <c r="H437" s="7" t="str">
        <f t="shared" si="24"/>
        <v/>
      </c>
      <c r="I437" s="7" t="str">
        <f t="shared" si="25"/>
        <v/>
      </c>
      <c r="J437" s="7" t="str">
        <f t="shared" si="26"/>
        <v/>
      </c>
      <c r="K437" t="str">
        <f>IFERROR(MATCH(416,РАБОТЫ!$X$2:$X$1058,0),"")</f>
        <v/>
      </c>
      <c r="L437" t="str">
        <f>IFERROR(IF(INDEX(РАБОТЫ!$W$2:$W$1058,MATCH(416+1,РАБОТЫ!$X$2:$X$1058,0))=1,INDEX(РАБОТЫ!$V$2:$V$1058,MATCH(416+1,РАБОТЫ!$X$2:$X$1058,0)),""),"")</f>
        <v/>
      </c>
      <c r="M437" t="str">
        <f t="shared" si="27"/>
        <v/>
      </c>
    </row>
    <row r="438" spans="1:13" hidden="1" x14ac:dyDescent="0.3">
      <c r="A438" t="str">
        <f>IF(ISNUMBER($K438),INDEX(РАБОТЫ!$U$2:$U$1058,$K438),"")</f>
        <v/>
      </c>
      <c r="B438" t="str">
        <f>IF(ISNUMBER($K438),INDEX(РАБОТЫ!$A$2:$A$1058,$K438),"")</f>
        <v/>
      </c>
      <c r="C438" s="4" t="str">
        <f>IF($L438&lt;&gt;"",INDEX(РАБОТЫ!$Z$2:$Z$1058,MATCH($L438,РАБОТЫ!$V$2:$V$1058,0)),IF(ISNUMBER($K438),INDEX(РАБОТЫ!$Y$2:$Y$1058,$K438),""))</f>
        <v/>
      </c>
      <c r="D438" t="str">
        <f>IF(ISNUMBER($K438),INDEX(РАБОТЫ!$E$2:$E$1058,$K438),"")</f>
        <v/>
      </c>
      <c r="E438" t="str">
        <f>IF(ISNUMBER($K438),INDEX(РАБОТЫ!$M$2:$M$1058,$K438),"")</f>
        <v/>
      </c>
      <c r="F438" s="7" t="str">
        <f>IF(ISNUMBER($K438),INDEX(РАБОТЫ!$S$2:$S$1058,$K438),"")</f>
        <v/>
      </c>
      <c r="G438" s="7" t="str">
        <f>IF(ISNUMBER($K438),INDEX(РАБОТЫ!$T$2:$T$1058,$K438),"")</f>
        <v/>
      </c>
      <c r="H438" s="7" t="str">
        <f t="shared" si="24"/>
        <v/>
      </c>
      <c r="I438" s="7" t="str">
        <f t="shared" si="25"/>
        <v/>
      </c>
      <c r="J438" s="7" t="str">
        <f t="shared" si="26"/>
        <v/>
      </c>
      <c r="K438" t="str">
        <f>IFERROR(MATCH(417,РАБОТЫ!$X$2:$X$1058,0),"")</f>
        <v/>
      </c>
      <c r="L438" t="str">
        <f>IFERROR(IF(INDEX(РАБОТЫ!$W$2:$W$1058,MATCH(417+1,РАБОТЫ!$X$2:$X$1058,0))=1,INDEX(РАБОТЫ!$V$2:$V$1058,MATCH(417+1,РАБОТЫ!$X$2:$X$1058,0)),""),"")</f>
        <v/>
      </c>
      <c r="M438" t="str">
        <f t="shared" si="27"/>
        <v/>
      </c>
    </row>
    <row r="439" spans="1:13" hidden="1" x14ac:dyDescent="0.3">
      <c r="A439" t="str">
        <f>IF(ISNUMBER($K439),INDEX(РАБОТЫ!$U$2:$U$1058,$K439),"")</f>
        <v/>
      </c>
      <c r="B439" t="str">
        <f>IF(ISNUMBER($K439),INDEX(РАБОТЫ!$A$2:$A$1058,$K439),"")</f>
        <v/>
      </c>
      <c r="C439" s="4" t="str">
        <f>IF($L439&lt;&gt;"",INDEX(РАБОТЫ!$Z$2:$Z$1058,MATCH($L439,РАБОТЫ!$V$2:$V$1058,0)),IF(ISNUMBER($K439),INDEX(РАБОТЫ!$Y$2:$Y$1058,$K439),""))</f>
        <v/>
      </c>
      <c r="D439" t="str">
        <f>IF(ISNUMBER($K439),INDEX(РАБОТЫ!$E$2:$E$1058,$K439),"")</f>
        <v/>
      </c>
      <c r="E439" t="str">
        <f>IF(ISNUMBER($K439),INDEX(РАБОТЫ!$M$2:$M$1058,$K439),"")</f>
        <v/>
      </c>
      <c r="F439" s="7" t="str">
        <f>IF(ISNUMBER($K439),INDEX(РАБОТЫ!$S$2:$S$1058,$K439),"")</f>
        <v/>
      </c>
      <c r="G439" s="7" t="str">
        <f>IF(ISNUMBER($K439),INDEX(РАБОТЫ!$T$2:$T$1058,$K439),"")</f>
        <v/>
      </c>
      <c r="H439" s="7" t="str">
        <f t="shared" si="24"/>
        <v/>
      </c>
      <c r="I439" s="7" t="str">
        <f t="shared" si="25"/>
        <v/>
      </c>
      <c r="J439" s="7" t="str">
        <f t="shared" si="26"/>
        <v/>
      </c>
      <c r="K439" t="str">
        <f>IFERROR(MATCH(418,РАБОТЫ!$X$2:$X$1058,0),"")</f>
        <v/>
      </c>
      <c r="L439" t="str">
        <f>IFERROR(IF(INDEX(РАБОТЫ!$W$2:$W$1058,MATCH(418+1,РАБОТЫ!$X$2:$X$1058,0))=1,INDEX(РАБОТЫ!$V$2:$V$1058,MATCH(418+1,РАБОТЫ!$X$2:$X$1058,0)),""),"")</f>
        <v/>
      </c>
      <c r="M439" t="str">
        <f t="shared" si="27"/>
        <v/>
      </c>
    </row>
    <row r="440" spans="1:13" hidden="1" x14ac:dyDescent="0.3">
      <c r="A440" t="str">
        <f>IF(ISNUMBER($K440),INDEX(РАБОТЫ!$U$2:$U$1058,$K440),"")</f>
        <v/>
      </c>
      <c r="B440" t="str">
        <f>IF(ISNUMBER($K440),INDEX(РАБОТЫ!$A$2:$A$1058,$K440),"")</f>
        <v/>
      </c>
      <c r="C440" s="4" t="str">
        <f>IF($L440&lt;&gt;"",INDEX(РАБОТЫ!$Z$2:$Z$1058,MATCH($L440,РАБОТЫ!$V$2:$V$1058,0)),IF(ISNUMBER($K440),INDEX(РАБОТЫ!$Y$2:$Y$1058,$K440),""))</f>
        <v/>
      </c>
      <c r="D440" t="str">
        <f>IF(ISNUMBER($K440),INDEX(РАБОТЫ!$E$2:$E$1058,$K440),"")</f>
        <v/>
      </c>
      <c r="E440" t="str">
        <f>IF(ISNUMBER($K440),INDEX(РАБОТЫ!$M$2:$M$1058,$K440),"")</f>
        <v/>
      </c>
      <c r="F440" s="7" t="str">
        <f>IF(ISNUMBER($K440),INDEX(РАБОТЫ!$S$2:$S$1058,$K440),"")</f>
        <v/>
      </c>
      <c r="G440" s="7" t="str">
        <f>IF(ISNUMBER($K440),INDEX(РАБОТЫ!$T$2:$T$1058,$K440),"")</f>
        <v/>
      </c>
      <c r="H440" s="7" t="str">
        <f t="shared" si="24"/>
        <v/>
      </c>
      <c r="I440" s="7" t="str">
        <f t="shared" si="25"/>
        <v/>
      </c>
      <c r="J440" s="7" t="str">
        <f t="shared" si="26"/>
        <v/>
      </c>
      <c r="K440" t="str">
        <f>IFERROR(MATCH(419,РАБОТЫ!$X$2:$X$1058,0),"")</f>
        <v/>
      </c>
      <c r="L440" t="str">
        <f>IFERROR(IF(INDEX(РАБОТЫ!$W$2:$W$1058,MATCH(419+1,РАБОТЫ!$X$2:$X$1058,0))=1,INDEX(РАБОТЫ!$V$2:$V$1058,MATCH(419+1,РАБОТЫ!$X$2:$X$1058,0)),""),"")</f>
        <v/>
      </c>
      <c r="M440" t="str">
        <f t="shared" si="27"/>
        <v/>
      </c>
    </row>
    <row r="441" spans="1:13" hidden="1" x14ac:dyDescent="0.3">
      <c r="A441" t="str">
        <f>IF(ISNUMBER($K441),INDEX(РАБОТЫ!$U$2:$U$1058,$K441),"")</f>
        <v/>
      </c>
      <c r="B441" t="str">
        <f>IF(ISNUMBER($K441),INDEX(РАБОТЫ!$A$2:$A$1058,$K441),"")</f>
        <v/>
      </c>
      <c r="C441" s="4" t="str">
        <f>IF($L441&lt;&gt;"",INDEX(РАБОТЫ!$Z$2:$Z$1058,MATCH($L441,РАБОТЫ!$V$2:$V$1058,0)),IF(ISNUMBER($K441),INDEX(РАБОТЫ!$Y$2:$Y$1058,$K441),""))</f>
        <v/>
      </c>
      <c r="D441" t="str">
        <f>IF(ISNUMBER($K441),INDEX(РАБОТЫ!$E$2:$E$1058,$K441),"")</f>
        <v/>
      </c>
      <c r="E441" t="str">
        <f>IF(ISNUMBER($K441),INDEX(РАБОТЫ!$M$2:$M$1058,$K441),"")</f>
        <v/>
      </c>
      <c r="F441" s="7" t="str">
        <f>IF(ISNUMBER($K441),INDEX(РАБОТЫ!$S$2:$S$1058,$K441),"")</f>
        <v/>
      </c>
      <c r="G441" s="7" t="str">
        <f>IF(ISNUMBER($K441),INDEX(РАБОТЫ!$T$2:$T$1058,$K441),"")</f>
        <v/>
      </c>
      <c r="H441" s="7" t="str">
        <f t="shared" si="24"/>
        <v/>
      </c>
      <c r="I441" s="7" t="str">
        <f t="shared" si="25"/>
        <v/>
      </c>
      <c r="J441" s="7" t="str">
        <f t="shared" si="26"/>
        <v/>
      </c>
      <c r="K441" t="str">
        <f>IFERROR(MATCH(420,РАБОТЫ!$X$2:$X$1058,0),"")</f>
        <v/>
      </c>
      <c r="L441" t="str">
        <f>IFERROR(IF(INDEX(РАБОТЫ!$W$2:$W$1058,MATCH(420+1,РАБОТЫ!$X$2:$X$1058,0))=1,INDEX(РАБОТЫ!$V$2:$V$1058,MATCH(420+1,РАБОТЫ!$X$2:$X$1058,0)),""),"")</f>
        <v/>
      </c>
      <c r="M441" t="str">
        <f t="shared" si="27"/>
        <v/>
      </c>
    </row>
    <row r="442" spans="1:13" hidden="1" x14ac:dyDescent="0.3">
      <c r="A442" t="str">
        <f>IF(ISNUMBER($K442),INDEX(РАБОТЫ!$U$2:$U$1058,$K442),"")</f>
        <v/>
      </c>
      <c r="B442" t="str">
        <f>IF(ISNUMBER($K442),INDEX(РАБОТЫ!$A$2:$A$1058,$K442),"")</f>
        <v/>
      </c>
      <c r="C442" s="4" t="str">
        <f>IF($L442&lt;&gt;"",INDEX(РАБОТЫ!$Z$2:$Z$1058,MATCH($L442,РАБОТЫ!$V$2:$V$1058,0)),IF(ISNUMBER($K442),INDEX(РАБОТЫ!$Y$2:$Y$1058,$K442),""))</f>
        <v/>
      </c>
      <c r="D442" t="str">
        <f>IF(ISNUMBER($K442),INDEX(РАБОТЫ!$E$2:$E$1058,$K442),"")</f>
        <v/>
      </c>
      <c r="E442" t="str">
        <f>IF(ISNUMBER($K442),INDEX(РАБОТЫ!$M$2:$M$1058,$K442),"")</f>
        <v/>
      </c>
      <c r="F442" s="7" t="str">
        <f>IF(ISNUMBER($K442),INDEX(РАБОТЫ!$S$2:$S$1058,$K442),"")</f>
        <v/>
      </c>
      <c r="G442" s="7" t="str">
        <f>IF(ISNUMBER($K442),INDEX(РАБОТЫ!$T$2:$T$1058,$K442),"")</f>
        <v/>
      </c>
      <c r="H442" s="7" t="str">
        <f t="shared" si="24"/>
        <v/>
      </c>
      <c r="I442" s="7" t="str">
        <f t="shared" si="25"/>
        <v/>
      </c>
      <c r="J442" s="7" t="str">
        <f t="shared" si="26"/>
        <v/>
      </c>
      <c r="K442" t="str">
        <f>IFERROR(MATCH(421,РАБОТЫ!$X$2:$X$1058,0),"")</f>
        <v/>
      </c>
      <c r="L442" t="str">
        <f>IFERROR(IF(INDEX(РАБОТЫ!$W$2:$W$1058,MATCH(421+1,РАБОТЫ!$X$2:$X$1058,0))=1,INDEX(РАБОТЫ!$V$2:$V$1058,MATCH(421+1,РАБОТЫ!$X$2:$X$1058,0)),""),"")</f>
        <v/>
      </c>
      <c r="M442" t="str">
        <f t="shared" si="27"/>
        <v/>
      </c>
    </row>
    <row r="443" spans="1:13" hidden="1" x14ac:dyDescent="0.3">
      <c r="A443" t="str">
        <f>IF(ISNUMBER($K443),INDEX(РАБОТЫ!$U$2:$U$1058,$K443),"")</f>
        <v/>
      </c>
      <c r="B443" t="str">
        <f>IF(ISNUMBER($K443),INDEX(РАБОТЫ!$A$2:$A$1058,$K443),"")</f>
        <v/>
      </c>
      <c r="C443" s="4" t="str">
        <f>IF($L443&lt;&gt;"",INDEX(РАБОТЫ!$Z$2:$Z$1058,MATCH($L443,РАБОТЫ!$V$2:$V$1058,0)),IF(ISNUMBER($K443),INDEX(РАБОТЫ!$Y$2:$Y$1058,$K443),""))</f>
        <v/>
      </c>
      <c r="D443" t="str">
        <f>IF(ISNUMBER($K443),INDEX(РАБОТЫ!$E$2:$E$1058,$K443),"")</f>
        <v/>
      </c>
      <c r="E443" t="str">
        <f>IF(ISNUMBER($K443),INDEX(РАБОТЫ!$M$2:$M$1058,$K443),"")</f>
        <v/>
      </c>
      <c r="F443" s="7" t="str">
        <f>IF(ISNUMBER($K443),INDEX(РАБОТЫ!$S$2:$S$1058,$K443),"")</f>
        <v/>
      </c>
      <c r="G443" s="7" t="str">
        <f>IF(ISNUMBER($K443),INDEX(РАБОТЫ!$T$2:$T$1058,$K443),"")</f>
        <v/>
      </c>
      <c r="H443" s="7" t="str">
        <f t="shared" si="24"/>
        <v/>
      </c>
      <c r="I443" s="7" t="str">
        <f t="shared" si="25"/>
        <v/>
      </c>
      <c r="J443" s="7" t="str">
        <f t="shared" si="26"/>
        <v/>
      </c>
      <c r="K443" t="str">
        <f>IFERROR(MATCH(422,РАБОТЫ!$X$2:$X$1058,0),"")</f>
        <v/>
      </c>
      <c r="L443" t="str">
        <f>IFERROR(IF(INDEX(РАБОТЫ!$W$2:$W$1058,MATCH(422+1,РАБОТЫ!$X$2:$X$1058,0))=1,INDEX(РАБОТЫ!$V$2:$V$1058,MATCH(422+1,РАБОТЫ!$X$2:$X$1058,0)),""),"")</f>
        <v/>
      </c>
      <c r="M443" t="str">
        <f t="shared" si="27"/>
        <v/>
      </c>
    </row>
    <row r="444" spans="1:13" hidden="1" x14ac:dyDescent="0.3">
      <c r="A444" t="str">
        <f>IF(ISNUMBER($K444),INDEX(РАБОТЫ!$U$2:$U$1058,$K444),"")</f>
        <v/>
      </c>
      <c r="B444" t="str">
        <f>IF(ISNUMBER($K444),INDEX(РАБОТЫ!$A$2:$A$1058,$K444),"")</f>
        <v/>
      </c>
      <c r="C444" s="4" t="str">
        <f>IF($L444&lt;&gt;"",INDEX(РАБОТЫ!$Z$2:$Z$1058,MATCH($L444,РАБОТЫ!$V$2:$V$1058,0)),IF(ISNUMBER($K444),INDEX(РАБОТЫ!$Y$2:$Y$1058,$K444),""))</f>
        <v/>
      </c>
      <c r="D444" t="str">
        <f>IF(ISNUMBER($K444),INDEX(РАБОТЫ!$E$2:$E$1058,$K444),"")</f>
        <v/>
      </c>
      <c r="E444" t="str">
        <f>IF(ISNUMBER($K444),INDEX(РАБОТЫ!$M$2:$M$1058,$K444),"")</f>
        <v/>
      </c>
      <c r="F444" s="7" t="str">
        <f>IF(ISNUMBER($K444),INDEX(РАБОТЫ!$S$2:$S$1058,$K444),"")</f>
        <v/>
      </c>
      <c r="G444" s="7" t="str">
        <f>IF(ISNUMBER($K444),INDEX(РАБОТЫ!$T$2:$T$1058,$K444),"")</f>
        <v/>
      </c>
      <c r="H444" s="7" t="str">
        <f t="shared" si="24"/>
        <v/>
      </c>
      <c r="I444" s="7" t="str">
        <f t="shared" si="25"/>
        <v/>
      </c>
      <c r="J444" s="7" t="str">
        <f t="shared" si="26"/>
        <v/>
      </c>
      <c r="K444" t="str">
        <f>IFERROR(MATCH(423,РАБОТЫ!$X$2:$X$1058,0),"")</f>
        <v/>
      </c>
      <c r="L444" t="str">
        <f>IFERROR(IF(INDEX(РАБОТЫ!$W$2:$W$1058,MATCH(423+1,РАБОТЫ!$X$2:$X$1058,0))=1,INDEX(РАБОТЫ!$V$2:$V$1058,MATCH(423+1,РАБОТЫ!$X$2:$X$1058,0)),""),"")</f>
        <v/>
      </c>
      <c r="M444" t="str">
        <f t="shared" si="27"/>
        <v/>
      </c>
    </row>
    <row r="445" spans="1:13" hidden="1" x14ac:dyDescent="0.3">
      <c r="A445" t="str">
        <f>IF(ISNUMBER($K445),INDEX(РАБОТЫ!$U$2:$U$1058,$K445),"")</f>
        <v/>
      </c>
      <c r="B445" t="str">
        <f>IF(ISNUMBER($K445),INDEX(РАБОТЫ!$A$2:$A$1058,$K445),"")</f>
        <v/>
      </c>
      <c r="C445" s="4" t="str">
        <f>IF($L445&lt;&gt;"",INDEX(РАБОТЫ!$Z$2:$Z$1058,MATCH($L445,РАБОТЫ!$V$2:$V$1058,0)),IF(ISNUMBER($K445),INDEX(РАБОТЫ!$Y$2:$Y$1058,$K445),""))</f>
        <v/>
      </c>
      <c r="D445" t="str">
        <f>IF(ISNUMBER($K445),INDEX(РАБОТЫ!$E$2:$E$1058,$K445),"")</f>
        <v/>
      </c>
      <c r="E445" t="str">
        <f>IF(ISNUMBER($K445),INDEX(РАБОТЫ!$M$2:$M$1058,$K445),"")</f>
        <v/>
      </c>
      <c r="F445" s="7" t="str">
        <f>IF(ISNUMBER($K445),INDEX(РАБОТЫ!$S$2:$S$1058,$K445),"")</f>
        <v/>
      </c>
      <c r="G445" s="7" t="str">
        <f>IF(ISNUMBER($K445),INDEX(РАБОТЫ!$T$2:$T$1058,$K445),"")</f>
        <v/>
      </c>
      <c r="H445" s="7" t="str">
        <f t="shared" si="24"/>
        <v/>
      </c>
      <c r="I445" s="7" t="str">
        <f t="shared" si="25"/>
        <v/>
      </c>
      <c r="J445" s="7" t="str">
        <f t="shared" si="26"/>
        <v/>
      </c>
      <c r="K445" t="str">
        <f>IFERROR(MATCH(424,РАБОТЫ!$X$2:$X$1058,0),"")</f>
        <v/>
      </c>
      <c r="L445" t="str">
        <f>IFERROR(IF(INDEX(РАБОТЫ!$W$2:$W$1058,MATCH(424+1,РАБОТЫ!$X$2:$X$1058,0))=1,INDEX(РАБОТЫ!$V$2:$V$1058,MATCH(424+1,РАБОТЫ!$X$2:$X$1058,0)),""),"")</f>
        <v/>
      </c>
      <c r="M445" t="str">
        <f t="shared" si="27"/>
        <v/>
      </c>
    </row>
    <row r="446" spans="1:13" hidden="1" x14ac:dyDescent="0.3">
      <c r="A446" t="str">
        <f>IF(ISNUMBER($K446),INDEX(РАБОТЫ!$U$2:$U$1058,$K446),"")</f>
        <v/>
      </c>
      <c r="B446" t="str">
        <f>IF(ISNUMBER($K446),INDEX(РАБОТЫ!$A$2:$A$1058,$K446),"")</f>
        <v/>
      </c>
      <c r="C446" s="4" t="str">
        <f>IF($L446&lt;&gt;"",INDEX(РАБОТЫ!$Z$2:$Z$1058,MATCH($L446,РАБОТЫ!$V$2:$V$1058,0)),IF(ISNUMBER($K446),INDEX(РАБОТЫ!$Y$2:$Y$1058,$K446),""))</f>
        <v/>
      </c>
      <c r="D446" t="str">
        <f>IF(ISNUMBER($K446),INDEX(РАБОТЫ!$E$2:$E$1058,$K446),"")</f>
        <v/>
      </c>
      <c r="E446" t="str">
        <f>IF(ISNUMBER($K446),INDEX(РАБОТЫ!$M$2:$M$1058,$K446),"")</f>
        <v/>
      </c>
      <c r="F446" s="7" t="str">
        <f>IF(ISNUMBER($K446),INDEX(РАБОТЫ!$S$2:$S$1058,$K446),"")</f>
        <v/>
      </c>
      <c r="G446" s="7" t="str">
        <f>IF(ISNUMBER($K446),INDEX(РАБОТЫ!$T$2:$T$1058,$K446),"")</f>
        <v/>
      </c>
      <c r="H446" s="7" t="str">
        <f t="shared" si="24"/>
        <v/>
      </c>
      <c r="I446" s="7" t="str">
        <f t="shared" si="25"/>
        <v/>
      </c>
      <c r="J446" s="7" t="str">
        <f t="shared" si="26"/>
        <v/>
      </c>
      <c r="K446" t="str">
        <f>IFERROR(MATCH(425,РАБОТЫ!$X$2:$X$1058,0),"")</f>
        <v/>
      </c>
      <c r="L446" t="str">
        <f>IFERROR(IF(INDEX(РАБОТЫ!$W$2:$W$1058,MATCH(425+1,РАБОТЫ!$X$2:$X$1058,0))=1,INDEX(РАБОТЫ!$V$2:$V$1058,MATCH(425+1,РАБОТЫ!$X$2:$X$1058,0)),""),"")</f>
        <v/>
      </c>
      <c r="M446" t="str">
        <f t="shared" si="27"/>
        <v/>
      </c>
    </row>
    <row r="447" spans="1:13" hidden="1" x14ac:dyDescent="0.3">
      <c r="A447" t="str">
        <f>IF(ISNUMBER($K447),INDEX(РАБОТЫ!$U$2:$U$1058,$K447),"")</f>
        <v/>
      </c>
      <c r="B447" t="str">
        <f>IF(ISNUMBER($K447),INDEX(РАБОТЫ!$A$2:$A$1058,$K447),"")</f>
        <v/>
      </c>
      <c r="C447" s="4" t="str">
        <f>IF($L447&lt;&gt;"",INDEX(РАБОТЫ!$Z$2:$Z$1058,MATCH($L447,РАБОТЫ!$V$2:$V$1058,0)),IF(ISNUMBER($K447),INDEX(РАБОТЫ!$Y$2:$Y$1058,$K447),""))</f>
        <v/>
      </c>
      <c r="D447" t="str">
        <f>IF(ISNUMBER($K447),INDEX(РАБОТЫ!$E$2:$E$1058,$K447),"")</f>
        <v/>
      </c>
      <c r="E447" t="str">
        <f>IF(ISNUMBER($K447),INDEX(РАБОТЫ!$M$2:$M$1058,$K447),"")</f>
        <v/>
      </c>
      <c r="F447" s="7" t="str">
        <f>IF(ISNUMBER($K447),INDEX(РАБОТЫ!$S$2:$S$1058,$K447),"")</f>
        <v/>
      </c>
      <c r="G447" s="7" t="str">
        <f>IF(ISNUMBER($K447),INDEX(РАБОТЫ!$T$2:$T$1058,$K447),"")</f>
        <v/>
      </c>
      <c r="H447" s="7" t="str">
        <f t="shared" si="24"/>
        <v/>
      </c>
      <c r="I447" s="7" t="str">
        <f t="shared" si="25"/>
        <v/>
      </c>
      <c r="J447" s="7" t="str">
        <f t="shared" si="26"/>
        <v/>
      </c>
      <c r="K447" t="str">
        <f>IFERROR(MATCH(426,РАБОТЫ!$X$2:$X$1058,0),"")</f>
        <v/>
      </c>
      <c r="L447" t="str">
        <f>IFERROR(IF(INDEX(РАБОТЫ!$W$2:$W$1058,MATCH(426+1,РАБОТЫ!$X$2:$X$1058,0))=1,INDEX(РАБОТЫ!$V$2:$V$1058,MATCH(426+1,РАБОТЫ!$X$2:$X$1058,0)),""),"")</f>
        <v/>
      </c>
      <c r="M447" t="str">
        <f t="shared" si="27"/>
        <v/>
      </c>
    </row>
    <row r="448" spans="1:13" hidden="1" x14ac:dyDescent="0.3">
      <c r="A448" t="str">
        <f>IF(ISNUMBER($K448),INDEX(РАБОТЫ!$U$2:$U$1058,$K448),"")</f>
        <v/>
      </c>
      <c r="B448" t="str">
        <f>IF(ISNUMBER($K448),INDEX(РАБОТЫ!$A$2:$A$1058,$K448),"")</f>
        <v/>
      </c>
      <c r="C448" s="4" t="str">
        <f>IF($L448&lt;&gt;"",INDEX(РАБОТЫ!$Z$2:$Z$1058,MATCH($L448,РАБОТЫ!$V$2:$V$1058,0)),IF(ISNUMBER($K448),INDEX(РАБОТЫ!$Y$2:$Y$1058,$K448),""))</f>
        <v/>
      </c>
      <c r="D448" t="str">
        <f>IF(ISNUMBER($K448),INDEX(РАБОТЫ!$E$2:$E$1058,$K448),"")</f>
        <v/>
      </c>
      <c r="E448" t="str">
        <f>IF(ISNUMBER($K448),INDEX(РАБОТЫ!$M$2:$M$1058,$K448),"")</f>
        <v/>
      </c>
      <c r="F448" s="7" t="str">
        <f>IF(ISNUMBER($K448),INDEX(РАБОТЫ!$S$2:$S$1058,$K448),"")</f>
        <v/>
      </c>
      <c r="G448" s="7" t="str">
        <f>IF(ISNUMBER($K448),INDEX(РАБОТЫ!$T$2:$T$1058,$K448),"")</f>
        <v/>
      </c>
      <c r="H448" s="7" t="str">
        <f t="shared" si="24"/>
        <v/>
      </c>
      <c r="I448" s="7" t="str">
        <f t="shared" si="25"/>
        <v/>
      </c>
      <c r="J448" s="7" t="str">
        <f t="shared" si="26"/>
        <v/>
      </c>
      <c r="K448" t="str">
        <f>IFERROR(MATCH(427,РАБОТЫ!$X$2:$X$1058,0),"")</f>
        <v/>
      </c>
      <c r="L448" t="str">
        <f>IFERROR(IF(INDEX(РАБОТЫ!$W$2:$W$1058,MATCH(427+1,РАБОТЫ!$X$2:$X$1058,0))=1,INDEX(РАБОТЫ!$V$2:$V$1058,MATCH(427+1,РАБОТЫ!$X$2:$X$1058,0)),""),"")</f>
        <v/>
      </c>
      <c r="M448" t="str">
        <f t="shared" si="27"/>
        <v/>
      </c>
    </row>
    <row r="449" spans="1:13" hidden="1" x14ac:dyDescent="0.3">
      <c r="A449" t="str">
        <f>IF(ISNUMBER($K449),INDEX(РАБОТЫ!$U$2:$U$1058,$K449),"")</f>
        <v/>
      </c>
      <c r="B449" t="str">
        <f>IF(ISNUMBER($K449),INDEX(РАБОТЫ!$A$2:$A$1058,$K449),"")</f>
        <v/>
      </c>
      <c r="C449" s="4" t="str">
        <f>IF($L449&lt;&gt;"",INDEX(РАБОТЫ!$Z$2:$Z$1058,MATCH($L449,РАБОТЫ!$V$2:$V$1058,0)),IF(ISNUMBER($K449),INDEX(РАБОТЫ!$Y$2:$Y$1058,$K449),""))</f>
        <v/>
      </c>
      <c r="D449" t="str">
        <f>IF(ISNUMBER($K449),INDEX(РАБОТЫ!$E$2:$E$1058,$K449),"")</f>
        <v/>
      </c>
      <c r="E449" t="str">
        <f>IF(ISNUMBER($K449),INDEX(РАБОТЫ!$M$2:$M$1058,$K449),"")</f>
        <v/>
      </c>
      <c r="F449" s="7" t="str">
        <f>IF(ISNUMBER($K449),INDEX(РАБОТЫ!$S$2:$S$1058,$K449),"")</f>
        <v/>
      </c>
      <c r="G449" s="7" t="str">
        <f>IF(ISNUMBER($K449),INDEX(РАБОТЫ!$T$2:$T$1058,$K449),"")</f>
        <v/>
      </c>
      <c r="H449" s="7" t="str">
        <f t="shared" si="24"/>
        <v/>
      </c>
      <c r="I449" s="7" t="str">
        <f t="shared" si="25"/>
        <v/>
      </c>
      <c r="J449" s="7" t="str">
        <f t="shared" si="26"/>
        <v/>
      </c>
      <c r="K449" t="str">
        <f>IFERROR(MATCH(428,РАБОТЫ!$X$2:$X$1058,0),"")</f>
        <v/>
      </c>
      <c r="L449" t="str">
        <f>IFERROR(IF(INDEX(РАБОТЫ!$W$2:$W$1058,MATCH(428+1,РАБОТЫ!$X$2:$X$1058,0))=1,INDEX(РАБОТЫ!$V$2:$V$1058,MATCH(428+1,РАБОТЫ!$X$2:$X$1058,0)),""),"")</f>
        <v/>
      </c>
      <c r="M449" t="str">
        <f t="shared" si="27"/>
        <v/>
      </c>
    </row>
    <row r="450" spans="1:13" hidden="1" x14ac:dyDescent="0.3">
      <c r="A450" t="str">
        <f>IF(ISNUMBER($K450),INDEX(РАБОТЫ!$U$2:$U$1058,$K450),"")</f>
        <v/>
      </c>
      <c r="B450" t="str">
        <f>IF(ISNUMBER($K450),INDEX(РАБОТЫ!$A$2:$A$1058,$K450),"")</f>
        <v/>
      </c>
      <c r="C450" s="4" t="str">
        <f>IF($L450&lt;&gt;"",INDEX(РАБОТЫ!$Z$2:$Z$1058,MATCH($L450,РАБОТЫ!$V$2:$V$1058,0)),IF(ISNUMBER($K450),INDEX(РАБОТЫ!$Y$2:$Y$1058,$K450),""))</f>
        <v/>
      </c>
      <c r="D450" t="str">
        <f>IF(ISNUMBER($K450),INDEX(РАБОТЫ!$E$2:$E$1058,$K450),"")</f>
        <v/>
      </c>
      <c r="E450" t="str">
        <f>IF(ISNUMBER($K450),INDEX(РАБОТЫ!$M$2:$M$1058,$K450),"")</f>
        <v/>
      </c>
      <c r="F450" s="7" t="str">
        <f>IF(ISNUMBER($K450),INDEX(РАБОТЫ!$S$2:$S$1058,$K450),"")</f>
        <v/>
      </c>
      <c r="G450" s="7" t="str">
        <f>IF(ISNUMBER($K450),INDEX(РАБОТЫ!$T$2:$T$1058,$K450),"")</f>
        <v/>
      </c>
      <c r="H450" s="7" t="str">
        <f t="shared" si="24"/>
        <v/>
      </c>
      <c r="I450" s="7" t="str">
        <f t="shared" si="25"/>
        <v/>
      </c>
      <c r="J450" s="7" t="str">
        <f t="shared" si="26"/>
        <v/>
      </c>
      <c r="K450" t="str">
        <f>IFERROR(MATCH(429,РАБОТЫ!$X$2:$X$1058,0),"")</f>
        <v/>
      </c>
      <c r="L450" t="str">
        <f>IFERROR(IF(INDEX(РАБОТЫ!$W$2:$W$1058,MATCH(429+1,РАБОТЫ!$X$2:$X$1058,0))=1,INDEX(РАБОТЫ!$V$2:$V$1058,MATCH(429+1,РАБОТЫ!$X$2:$X$1058,0)),""),"")</f>
        <v/>
      </c>
      <c r="M450" t="str">
        <f t="shared" si="27"/>
        <v/>
      </c>
    </row>
    <row r="451" spans="1:13" hidden="1" x14ac:dyDescent="0.3">
      <c r="A451" t="str">
        <f>IF(ISNUMBER($K451),INDEX(РАБОТЫ!$U$2:$U$1058,$K451),"")</f>
        <v/>
      </c>
      <c r="B451" t="str">
        <f>IF(ISNUMBER($K451),INDEX(РАБОТЫ!$A$2:$A$1058,$K451),"")</f>
        <v/>
      </c>
      <c r="C451" s="4" t="str">
        <f>IF($L451&lt;&gt;"",INDEX(РАБОТЫ!$Z$2:$Z$1058,MATCH($L451,РАБОТЫ!$V$2:$V$1058,0)),IF(ISNUMBER($K451),INDEX(РАБОТЫ!$Y$2:$Y$1058,$K451),""))</f>
        <v/>
      </c>
      <c r="D451" t="str">
        <f>IF(ISNUMBER($K451),INDEX(РАБОТЫ!$E$2:$E$1058,$K451),"")</f>
        <v/>
      </c>
      <c r="E451" t="str">
        <f>IF(ISNUMBER($K451),INDEX(РАБОТЫ!$M$2:$M$1058,$K451),"")</f>
        <v/>
      </c>
      <c r="F451" s="7" t="str">
        <f>IF(ISNUMBER($K451),INDEX(РАБОТЫ!$S$2:$S$1058,$K451),"")</f>
        <v/>
      </c>
      <c r="G451" s="7" t="str">
        <f>IF(ISNUMBER($K451),INDEX(РАБОТЫ!$T$2:$T$1058,$K451),"")</f>
        <v/>
      </c>
      <c r="H451" s="7" t="str">
        <f t="shared" si="24"/>
        <v/>
      </c>
      <c r="I451" s="7" t="str">
        <f t="shared" si="25"/>
        <v/>
      </c>
      <c r="J451" s="7" t="str">
        <f t="shared" si="26"/>
        <v/>
      </c>
      <c r="K451" t="str">
        <f>IFERROR(MATCH(430,РАБОТЫ!$X$2:$X$1058,0),"")</f>
        <v/>
      </c>
      <c r="L451" t="str">
        <f>IFERROR(IF(INDEX(РАБОТЫ!$W$2:$W$1058,MATCH(430+1,РАБОТЫ!$X$2:$X$1058,0))=1,INDEX(РАБОТЫ!$V$2:$V$1058,MATCH(430+1,РАБОТЫ!$X$2:$X$1058,0)),""),"")</f>
        <v/>
      </c>
      <c r="M451" t="str">
        <f t="shared" si="27"/>
        <v/>
      </c>
    </row>
    <row r="452" spans="1:13" hidden="1" x14ac:dyDescent="0.3">
      <c r="A452" t="str">
        <f>IF(ISNUMBER($K452),INDEX(РАБОТЫ!$U$2:$U$1058,$K452),"")</f>
        <v/>
      </c>
      <c r="B452" t="str">
        <f>IF(ISNUMBER($K452),INDEX(РАБОТЫ!$A$2:$A$1058,$K452),"")</f>
        <v/>
      </c>
      <c r="C452" s="4" t="str">
        <f>IF($L452&lt;&gt;"",INDEX(РАБОТЫ!$Z$2:$Z$1058,MATCH($L452,РАБОТЫ!$V$2:$V$1058,0)),IF(ISNUMBER($K452),INDEX(РАБОТЫ!$Y$2:$Y$1058,$K452),""))</f>
        <v/>
      </c>
      <c r="D452" t="str">
        <f>IF(ISNUMBER($K452),INDEX(РАБОТЫ!$E$2:$E$1058,$K452),"")</f>
        <v/>
      </c>
      <c r="E452" t="str">
        <f>IF(ISNUMBER($K452),INDEX(РАБОТЫ!$M$2:$M$1058,$K452),"")</f>
        <v/>
      </c>
      <c r="F452" s="7" t="str">
        <f>IF(ISNUMBER($K452),INDEX(РАБОТЫ!$S$2:$S$1058,$K452),"")</f>
        <v/>
      </c>
      <c r="G452" s="7" t="str">
        <f>IF(ISNUMBER($K452),INDEX(РАБОТЫ!$T$2:$T$1058,$K452),"")</f>
        <v/>
      </c>
      <c r="H452" s="7" t="str">
        <f t="shared" si="24"/>
        <v/>
      </c>
      <c r="I452" s="7" t="str">
        <f t="shared" si="25"/>
        <v/>
      </c>
      <c r="J452" s="7" t="str">
        <f t="shared" si="26"/>
        <v/>
      </c>
      <c r="K452" t="str">
        <f>IFERROR(MATCH(431,РАБОТЫ!$X$2:$X$1058,0),"")</f>
        <v/>
      </c>
      <c r="L452" t="str">
        <f>IFERROR(IF(INDEX(РАБОТЫ!$W$2:$W$1058,MATCH(431+1,РАБОТЫ!$X$2:$X$1058,0))=1,INDEX(РАБОТЫ!$V$2:$V$1058,MATCH(431+1,РАБОТЫ!$X$2:$X$1058,0)),""),"")</f>
        <v/>
      </c>
      <c r="M452" t="str">
        <f t="shared" si="27"/>
        <v/>
      </c>
    </row>
    <row r="453" spans="1:13" hidden="1" x14ac:dyDescent="0.3">
      <c r="A453" t="str">
        <f>IF(ISNUMBER($K453),INDEX(РАБОТЫ!$U$2:$U$1058,$K453),"")</f>
        <v/>
      </c>
      <c r="B453" t="str">
        <f>IF(ISNUMBER($K453),INDEX(РАБОТЫ!$A$2:$A$1058,$K453),"")</f>
        <v/>
      </c>
      <c r="C453" s="4" t="str">
        <f>IF($L453&lt;&gt;"",INDEX(РАБОТЫ!$Z$2:$Z$1058,MATCH($L453,РАБОТЫ!$V$2:$V$1058,0)),IF(ISNUMBER($K453),INDEX(РАБОТЫ!$Y$2:$Y$1058,$K453),""))</f>
        <v/>
      </c>
      <c r="D453" t="str">
        <f>IF(ISNUMBER($K453),INDEX(РАБОТЫ!$E$2:$E$1058,$K453),"")</f>
        <v/>
      </c>
      <c r="E453" t="str">
        <f>IF(ISNUMBER($K453),INDEX(РАБОТЫ!$M$2:$M$1058,$K453),"")</f>
        <v/>
      </c>
      <c r="F453" s="7" t="str">
        <f>IF(ISNUMBER($K453),INDEX(РАБОТЫ!$S$2:$S$1058,$K453),"")</f>
        <v/>
      </c>
      <c r="G453" s="7" t="str">
        <f>IF(ISNUMBER($K453),INDEX(РАБОТЫ!$T$2:$T$1058,$K453),"")</f>
        <v/>
      </c>
      <c r="H453" s="7" t="str">
        <f t="shared" si="24"/>
        <v/>
      </c>
      <c r="I453" s="7" t="str">
        <f t="shared" si="25"/>
        <v/>
      </c>
      <c r="J453" s="7" t="str">
        <f t="shared" si="26"/>
        <v/>
      </c>
      <c r="K453" t="str">
        <f>IFERROR(MATCH(432,РАБОТЫ!$X$2:$X$1058,0),"")</f>
        <v/>
      </c>
      <c r="L453" t="str">
        <f>IFERROR(IF(INDEX(РАБОТЫ!$W$2:$W$1058,MATCH(432+1,РАБОТЫ!$X$2:$X$1058,0))=1,INDEX(РАБОТЫ!$V$2:$V$1058,MATCH(432+1,РАБОТЫ!$X$2:$X$1058,0)),""),"")</f>
        <v/>
      </c>
      <c r="M453" t="str">
        <f t="shared" si="27"/>
        <v/>
      </c>
    </row>
    <row r="454" spans="1:13" hidden="1" x14ac:dyDescent="0.3">
      <c r="A454" t="str">
        <f>IF(ISNUMBER($K454),INDEX(РАБОТЫ!$U$2:$U$1058,$K454),"")</f>
        <v/>
      </c>
      <c r="B454" t="str">
        <f>IF(ISNUMBER($K454),INDEX(РАБОТЫ!$A$2:$A$1058,$K454),"")</f>
        <v/>
      </c>
      <c r="C454" s="4" t="str">
        <f>IF($L454&lt;&gt;"",INDEX(РАБОТЫ!$Z$2:$Z$1058,MATCH($L454,РАБОТЫ!$V$2:$V$1058,0)),IF(ISNUMBER($K454),INDEX(РАБОТЫ!$Y$2:$Y$1058,$K454),""))</f>
        <v/>
      </c>
      <c r="D454" t="str">
        <f>IF(ISNUMBER($K454),INDEX(РАБОТЫ!$E$2:$E$1058,$K454),"")</f>
        <v/>
      </c>
      <c r="E454" t="str">
        <f>IF(ISNUMBER($K454),INDEX(РАБОТЫ!$M$2:$M$1058,$K454),"")</f>
        <v/>
      </c>
      <c r="F454" s="7" t="str">
        <f>IF(ISNUMBER($K454),INDEX(РАБОТЫ!$S$2:$S$1058,$K454),"")</f>
        <v/>
      </c>
      <c r="G454" s="7" t="str">
        <f>IF(ISNUMBER($K454),INDEX(РАБОТЫ!$T$2:$T$1058,$K454),"")</f>
        <v/>
      </c>
      <c r="H454" s="7" t="str">
        <f t="shared" si="24"/>
        <v/>
      </c>
      <c r="I454" s="7" t="str">
        <f t="shared" si="25"/>
        <v/>
      </c>
      <c r="J454" s="7" t="str">
        <f t="shared" si="26"/>
        <v/>
      </c>
      <c r="K454" t="str">
        <f>IFERROR(MATCH(433,РАБОТЫ!$X$2:$X$1058,0),"")</f>
        <v/>
      </c>
      <c r="L454" t="str">
        <f>IFERROR(IF(INDEX(РАБОТЫ!$W$2:$W$1058,MATCH(433+1,РАБОТЫ!$X$2:$X$1058,0))=1,INDEX(РАБОТЫ!$V$2:$V$1058,MATCH(433+1,РАБОТЫ!$X$2:$X$1058,0)),""),"")</f>
        <v/>
      </c>
      <c r="M454" t="str">
        <f t="shared" si="27"/>
        <v/>
      </c>
    </row>
    <row r="455" spans="1:13" hidden="1" x14ac:dyDescent="0.3">
      <c r="A455" t="str">
        <f>IF(ISNUMBER($K455),INDEX(РАБОТЫ!$U$2:$U$1058,$K455),"")</f>
        <v/>
      </c>
      <c r="B455" t="str">
        <f>IF(ISNUMBER($K455),INDEX(РАБОТЫ!$A$2:$A$1058,$K455),"")</f>
        <v/>
      </c>
      <c r="C455" s="4" t="str">
        <f>IF($L455&lt;&gt;"",INDEX(РАБОТЫ!$Z$2:$Z$1058,MATCH($L455,РАБОТЫ!$V$2:$V$1058,0)),IF(ISNUMBER($K455),INDEX(РАБОТЫ!$Y$2:$Y$1058,$K455),""))</f>
        <v/>
      </c>
      <c r="D455" t="str">
        <f>IF(ISNUMBER($K455),INDEX(РАБОТЫ!$E$2:$E$1058,$K455),"")</f>
        <v/>
      </c>
      <c r="E455" t="str">
        <f>IF(ISNUMBER($K455),INDEX(РАБОТЫ!$M$2:$M$1058,$K455),"")</f>
        <v/>
      </c>
      <c r="F455" s="7" t="str">
        <f>IF(ISNUMBER($K455),INDEX(РАБОТЫ!$S$2:$S$1058,$K455),"")</f>
        <v/>
      </c>
      <c r="G455" s="7" t="str">
        <f>IF(ISNUMBER($K455),INDEX(РАБОТЫ!$T$2:$T$1058,$K455),"")</f>
        <v/>
      </c>
      <c r="H455" s="7" t="str">
        <f t="shared" si="24"/>
        <v/>
      </c>
      <c r="I455" s="7" t="str">
        <f t="shared" si="25"/>
        <v/>
      </c>
      <c r="J455" s="7" t="str">
        <f t="shared" si="26"/>
        <v/>
      </c>
      <c r="K455" t="str">
        <f>IFERROR(MATCH(434,РАБОТЫ!$X$2:$X$1058,0),"")</f>
        <v/>
      </c>
      <c r="L455" t="str">
        <f>IFERROR(IF(INDEX(РАБОТЫ!$W$2:$W$1058,MATCH(434+1,РАБОТЫ!$X$2:$X$1058,0))=1,INDEX(РАБОТЫ!$V$2:$V$1058,MATCH(434+1,РАБОТЫ!$X$2:$X$1058,0)),""),"")</f>
        <v/>
      </c>
      <c r="M455" t="str">
        <f t="shared" si="27"/>
        <v/>
      </c>
    </row>
    <row r="456" spans="1:13" hidden="1" x14ac:dyDescent="0.3">
      <c r="A456" t="str">
        <f>IF(ISNUMBER($K456),INDEX(РАБОТЫ!$U$2:$U$1058,$K456),"")</f>
        <v/>
      </c>
      <c r="B456" t="str">
        <f>IF(ISNUMBER($K456),INDEX(РАБОТЫ!$A$2:$A$1058,$K456),"")</f>
        <v/>
      </c>
      <c r="C456" s="4" t="str">
        <f>IF($L456&lt;&gt;"",INDEX(РАБОТЫ!$Z$2:$Z$1058,MATCH($L456,РАБОТЫ!$V$2:$V$1058,0)),IF(ISNUMBER($K456),INDEX(РАБОТЫ!$Y$2:$Y$1058,$K456),""))</f>
        <v/>
      </c>
      <c r="D456" t="str">
        <f>IF(ISNUMBER($K456),INDEX(РАБОТЫ!$E$2:$E$1058,$K456),"")</f>
        <v/>
      </c>
      <c r="E456" t="str">
        <f>IF(ISNUMBER($K456),INDEX(РАБОТЫ!$M$2:$M$1058,$K456),"")</f>
        <v/>
      </c>
      <c r="F456" s="7" t="str">
        <f>IF(ISNUMBER($K456),INDEX(РАБОТЫ!$S$2:$S$1058,$K456),"")</f>
        <v/>
      </c>
      <c r="G456" s="7" t="str">
        <f>IF(ISNUMBER($K456),INDEX(РАБОТЫ!$T$2:$T$1058,$K456),"")</f>
        <v/>
      </c>
      <c r="H456" s="7" t="str">
        <f t="shared" si="24"/>
        <v/>
      </c>
      <c r="I456" s="7" t="str">
        <f t="shared" si="25"/>
        <v/>
      </c>
      <c r="J456" s="7" t="str">
        <f t="shared" si="26"/>
        <v/>
      </c>
      <c r="K456" t="str">
        <f>IFERROR(MATCH(435,РАБОТЫ!$X$2:$X$1058,0),"")</f>
        <v/>
      </c>
      <c r="L456" t="str">
        <f>IFERROR(IF(INDEX(РАБОТЫ!$W$2:$W$1058,MATCH(435+1,РАБОТЫ!$X$2:$X$1058,0))=1,INDEX(РАБОТЫ!$V$2:$V$1058,MATCH(435+1,РАБОТЫ!$X$2:$X$1058,0)),""),"")</f>
        <v/>
      </c>
      <c r="M456" t="str">
        <f t="shared" si="27"/>
        <v/>
      </c>
    </row>
    <row r="457" spans="1:13" hidden="1" x14ac:dyDescent="0.3">
      <c r="A457" t="str">
        <f>IF(ISNUMBER($K457),INDEX(РАБОТЫ!$U$2:$U$1058,$K457),"")</f>
        <v/>
      </c>
      <c r="B457" t="str">
        <f>IF(ISNUMBER($K457),INDEX(РАБОТЫ!$A$2:$A$1058,$K457),"")</f>
        <v/>
      </c>
      <c r="C457" s="4" t="str">
        <f>IF($L457&lt;&gt;"",INDEX(РАБОТЫ!$Z$2:$Z$1058,MATCH($L457,РАБОТЫ!$V$2:$V$1058,0)),IF(ISNUMBER($K457),INDEX(РАБОТЫ!$Y$2:$Y$1058,$K457),""))</f>
        <v/>
      </c>
      <c r="D457" t="str">
        <f>IF(ISNUMBER($K457),INDEX(РАБОТЫ!$E$2:$E$1058,$K457),"")</f>
        <v/>
      </c>
      <c r="E457" t="str">
        <f>IF(ISNUMBER($K457),INDEX(РАБОТЫ!$M$2:$M$1058,$K457),"")</f>
        <v/>
      </c>
      <c r="F457" s="7" t="str">
        <f>IF(ISNUMBER($K457),INDEX(РАБОТЫ!$S$2:$S$1058,$K457),"")</f>
        <v/>
      </c>
      <c r="G457" s="7" t="str">
        <f>IF(ISNUMBER($K457),INDEX(РАБОТЫ!$T$2:$T$1058,$K457),"")</f>
        <v/>
      </c>
      <c r="H457" s="7" t="str">
        <f t="shared" si="24"/>
        <v/>
      </c>
      <c r="I457" s="7" t="str">
        <f t="shared" si="25"/>
        <v/>
      </c>
      <c r="J457" s="7" t="str">
        <f t="shared" si="26"/>
        <v/>
      </c>
      <c r="K457" t="str">
        <f>IFERROR(MATCH(436,РАБОТЫ!$X$2:$X$1058,0),"")</f>
        <v/>
      </c>
      <c r="L457" t="str">
        <f>IFERROR(IF(INDEX(РАБОТЫ!$W$2:$W$1058,MATCH(436+1,РАБОТЫ!$X$2:$X$1058,0))=1,INDEX(РАБОТЫ!$V$2:$V$1058,MATCH(436+1,РАБОТЫ!$X$2:$X$1058,0)),""),"")</f>
        <v/>
      </c>
      <c r="M457" t="str">
        <f t="shared" si="27"/>
        <v/>
      </c>
    </row>
    <row r="458" spans="1:13" hidden="1" x14ac:dyDescent="0.3">
      <c r="A458" t="str">
        <f>IF(ISNUMBER($K458),INDEX(РАБОТЫ!$U$2:$U$1058,$K458),"")</f>
        <v/>
      </c>
      <c r="B458" t="str">
        <f>IF(ISNUMBER($K458),INDEX(РАБОТЫ!$A$2:$A$1058,$K458),"")</f>
        <v/>
      </c>
      <c r="C458" s="4" t="str">
        <f>IF($L458&lt;&gt;"",INDEX(РАБОТЫ!$Z$2:$Z$1058,MATCH($L458,РАБОТЫ!$V$2:$V$1058,0)),IF(ISNUMBER($K458),INDEX(РАБОТЫ!$Y$2:$Y$1058,$K458),""))</f>
        <v/>
      </c>
      <c r="D458" t="str">
        <f>IF(ISNUMBER($K458),INDEX(РАБОТЫ!$E$2:$E$1058,$K458),"")</f>
        <v/>
      </c>
      <c r="E458" t="str">
        <f>IF(ISNUMBER($K458),INDEX(РАБОТЫ!$M$2:$M$1058,$K458),"")</f>
        <v/>
      </c>
      <c r="F458" s="7" t="str">
        <f>IF(ISNUMBER($K458),INDEX(РАБОТЫ!$S$2:$S$1058,$K458),"")</f>
        <v/>
      </c>
      <c r="G458" s="7" t="str">
        <f>IF(ISNUMBER($K458),INDEX(РАБОТЫ!$T$2:$T$1058,$K458),"")</f>
        <v/>
      </c>
      <c r="H458" s="7" t="str">
        <f t="shared" si="24"/>
        <v/>
      </c>
      <c r="I458" s="7" t="str">
        <f t="shared" si="25"/>
        <v/>
      </c>
      <c r="J458" s="7" t="str">
        <f t="shared" si="26"/>
        <v/>
      </c>
      <c r="K458" t="str">
        <f>IFERROR(MATCH(437,РАБОТЫ!$X$2:$X$1058,0),"")</f>
        <v/>
      </c>
      <c r="L458" t="str">
        <f>IFERROR(IF(INDEX(РАБОТЫ!$W$2:$W$1058,MATCH(437+1,РАБОТЫ!$X$2:$X$1058,0))=1,INDEX(РАБОТЫ!$V$2:$V$1058,MATCH(437+1,РАБОТЫ!$X$2:$X$1058,0)),""),"")</f>
        <v/>
      </c>
      <c r="M458" t="str">
        <f t="shared" si="27"/>
        <v/>
      </c>
    </row>
    <row r="459" spans="1:13" hidden="1" x14ac:dyDescent="0.3">
      <c r="A459" t="str">
        <f>IF(ISNUMBER($K459),INDEX(РАБОТЫ!$U$2:$U$1058,$K459),"")</f>
        <v/>
      </c>
      <c r="B459" t="str">
        <f>IF(ISNUMBER($K459),INDEX(РАБОТЫ!$A$2:$A$1058,$K459),"")</f>
        <v/>
      </c>
      <c r="C459" s="4" t="str">
        <f>IF($L459&lt;&gt;"",INDEX(РАБОТЫ!$Z$2:$Z$1058,MATCH($L459,РАБОТЫ!$V$2:$V$1058,0)),IF(ISNUMBER($K459),INDEX(РАБОТЫ!$Y$2:$Y$1058,$K459),""))</f>
        <v/>
      </c>
      <c r="D459" t="str">
        <f>IF(ISNUMBER($K459),INDEX(РАБОТЫ!$E$2:$E$1058,$K459),"")</f>
        <v/>
      </c>
      <c r="E459" t="str">
        <f>IF(ISNUMBER($K459),INDEX(РАБОТЫ!$M$2:$M$1058,$K459),"")</f>
        <v/>
      </c>
      <c r="F459" s="7" t="str">
        <f>IF(ISNUMBER($K459),INDEX(РАБОТЫ!$S$2:$S$1058,$K459),"")</f>
        <v/>
      </c>
      <c r="G459" s="7" t="str">
        <f>IF(ISNUMBER($K459),INDEX(РАБОТЫ!$T$2:$T$1058,$K459),"")</f>
        <v/>
      </c>
      <c r="H459" s="7" t="str">
        <f t="shared" si="24"/>
        <v/>
      </c>
      <c r="I459" s="7" t="str">
        <f t="shared" si="25"/>
        <v/>
      </c>
      <c r="J459" s="7" t="str">
        <f t="shared" si="26"/>
        <v/>
      </c>
      <c r="K459" t="str">
        <f>IFERROR(MATCH(438,РАБОТЫ!$X$2:$X$1058,0),"")</f>
        <v/>
      </c>
      <c r="L459" t="str">
        <f>IFERROR(IF(INDEX(РАБОТЫ!$W$2:$W$1058,MATCH(438+1,РАБОТЫ!$X$2:$X$1058,0))=1,INDEX(РАБОТЫ!$V$2:$V$1058,MATCH(438+1,РАБОТЫ!$X$2:$X$1058,0)),""),"")</f>
        <v/>
      </c>
      <c r="M459" t="str">
        <f t="shared" si="27"/>
        <v/>
      </c>
    </row>
    <row r="460" spans="1:13" hidden="1" x14ac:dyDescent="0.3">
      <c r="A460" t="str">
        <f>IF(ISNUMBER($K460),INDEX(РАБОТЫ!$U$2:$U$1058,$K460),"")</f>
        <v/>
      </c>
      <c r="B460" t="str">
        <f>IF(ISNUMBER($K460),INDEX(РАБОТЫ!$A$2:$A$1058,$K460),"")</f>
        <v/>
      </c>
      <c r="C460" s="4" t="str">
        <f>IF($L460&lt;&gt;"",INDEX(РАБОТЫ!$Z$2:$Z$1058,MATCH($L460,РАБОТЫ!$V$2:$V$1058,0)),IF(ISNUMBER($K460),INDEX(РАБОТЫ!$Y$2:$Y$1058,$K460),""))</f>
        <v/>
      </c>
      <c r="D460" t="str">
        <f>IF(ISNUMBER($K460),INDEX(РАБОТЫ!$E$2:$E$1058,$K460),"")</f>
        <v/>
      </c>
      <c r="E460" t="str">
        <f>IF(ISNUMBER($K460),INDEX(РАБОТЫ!$M$2:$M$1058,$K460),"")</f>
        <v/>
      </c>
      <c r="F460" s="7" t="str">
        <f>IF(ISNUMBER($K460),INDEX(РАБОТЫ!$S$2:$S$1058,$K460),"")</f>
        <v/>
      </c>
      <c r="G460" s="7" t="str">
        <f>IF(ISNUMBER($K460),INDEX(РАБОТЫ!$T$2:$T$1058,$K460),"")</f>
        <v/>
      </c>
      <c r="H460" s="7" t="str">
        <f t="shared" si="24"/>
        <v/>
      </c>
      <c r="I460" s="7" t="str">
        <f t="shared" si="25"/>
        <v/>
      </c>
      <c r="J460" s="7" t="str">
        <f t="shared" si="26"/>
        <v/>
      </c>
      <c r="K460" t="str">
        <f>IFERROR(MATCH(439,РАБОТЫ!$X$2:$X$1058,0),"")</f>
        <v/>
      </c>
      <c r="L460" t="str">
        <f>IFERROR(IF(INDEX(РАБОТЫ!$W$2:$W$1058,MATCH(439+1,РАБОТЫ!$X$2:$X$1058,0))=1,INDEX(РАБОТЫ!$V$2:$V$1058,MATCH(439+1,РАБОТЫ!$X$2:$X$1058,0)),""),"")</f>
        <v/>
      </c>
      <c r="M460" t="str">
        <f t="shared" si="27"/>
        <v/>
      </c>
    </row>
    <row r="461" spans="1:13" hidden="1" x14ac:dyDescent="0.3">
      <c r="A461" t="str">
        <f>IF(ISNUMBER($K461),INDEX(РАБОТЫ!$U$2:$U$1058,$K461),"")</f>
        <v/>
      </c>
      <c r="B461" t="str">
        <f>IF(ISNUMBER($K461),INDEX(РАБОТЫ!$A$2:$A$1058,$K461),"")</f>
        <v/>
      </c>
      <c r="C461" s="4" t="str">
        <f>IF($L461&lt;&gt;"",INDEX(РАБОТЫ!$Z$2:$Z$1058,MATCH($L461,РАБОТЫ!$V$2:$V$1058,0)),IF(ISNUMBER($K461),INDEX(РАБОТЫ!$Y$2:$Y$1058,$K461),""))</f>
        <v/>
      </c>
      <c r="D461" t="str">
        <f>IF(ISNUMBER($K461),INDEX(РАБОТЫ!$E$2:$E$1058,$K461),"")</f>
        <v/>
      </c>
      <c r="E461" t="str">
        <f>IF(ISNUMBER($K461),INDEX(РАБОТЫ!$M$2:$M$1058,$K461),"")</f>
        <v/>
      </c>
      <c r="F461" s="7" t="str">
        <f>IF(ISNUMBER($K461),INDEX(РАБОТЫ!$S$2:$S$1058,$K461),"")</f>
        <v/>
      </c>
      <c r="G461" s="7" t="str">
        <f>IF(ISNUMBER($K461),INDEX(РАБОТЫ!$T$2:$T$1058,$K461),"")</f>
        <v/>
      </c>
      <c r="H461" s="7" t="str">
        <f t="shared" si="24"/>
        <v/>
      </c>
      <c r="I461" s="7" t="str">
        <f t="shared" si="25"/>
        <v/>
      </c>
      <c r="J461" s="7" t="str">
        <f t="shared" si="26"/>
        <v/>
      </c>
      <c r="K461" t="str">
        <f>IFERROR(MATCH(440,РАБОТЫ!$X$2:$X$1058,0),"")</f>
        <v/>
      </c>
      <c r="L461" t="str">
        <f>IFERROR(IF(INDEX(РАБОТЫ!$W$2:$W$1058,MATCH(440+1,РАБОТЫ!$X$2:$X$1058,0))=1,INDEX(РАБОТЫ!$V$2:$V$1058,MATCH(440+1,РАБОТЫ!$X$2:$X$1058,0)),""),"")</f>
        <v/>
      </c>
      <c r="M461" t="str">
        <f t="shared" si="27"/>
        <v/>
      </c>
    </row>
    <row r="462" spans="1:13" hidden="1" x14ac:dyDescent="0.3">
      <c r="A462" t="str">
        <f>IF(ISNUMBER($K462),INDEX(РАБОТЫ!$U$2:$U$1058,$K462),"")</f>
        <v/>
      </c>
      <c r="B462" t="str">
        <f>IF(ISNUMBER($K462),INDEX(РАБОТЫ!$A$2:$A$1058,$K462),"")</f>
        <v/>
      </c>
      <c r="C462" s="4" t="str">
        <f>IF($L462&lt;&gt;"",INDEX(РАБОТЫ!$Z$2:$Z$1058,MATCH($L462,РАБОТЫ!$V$2:$V$1058,0)),IF(ISNUMBER($K462),INDEX(РАБОТЫ!$Y$2:$Y$1058,$K462),""))</f>
        <v/>
      </c>
      <c r="D462" t="str">
        <f>IF(ISNUMBER($K462),INDEX(РАБОТЫ!$E$2:$E$1058,$K462),"")</f>
        <v/>
      </c>
      <c r="E462" t="str">
        <f>IF(ISNUMBER($K462),INDEX(РАБОТЫ!$M$2:$M$1058,$K462),"")</f>
        <v/>
      </c>
      <c r="F462" s="7" t="str">
        <f>IF(ISNUMBER($K462),INDEX(РАБОТЫ!$S$2:$S$1058,$K462),"")</f>
        <v/>
      </c>
      <c r="G462" s="7" t="str">
        <f>IF(ISNUMBER($K462),INDEX(РАБОТЫ!$T$2:$T$1058,$K462),"")</f>
        <v/>
      </c>
      <c r="H462" s="7" t="str">
        <f t="shared" si="24"/>
        <v/>
      </c>
      <c r="I462" s="7" t="str">
        <f t="shared" si="25"/>
        <v/>
      </c>
      <c r="J462" s="7" t="str">
        <f t="shared" si="26"/>
        <v/>
      </c>
      <c r="K462" t="str">
        <f>IFERROR(MATCH(441,РАБОТЫ!$X$2:$X$1058,0),"")</f>
        <v/>
      </c>
      <c r="L462" t="str">
        <f>IFERROR(IF(INDEX(РАБОТЫ!$W$2:$W$1058,MATCH(441+1,РАБОТЫ!$X$2:$X$1058,0))=1,INDEX(РАБОТЫ!$V$2:$V$1058,MATCH(441+1,РАБОТЫ!$X$2:$X$1058,0)),""),"")</f>
        <v/>
      </c>
      <c r="M462" t="str">
        <f t="shared" si="27"/>
        <v/>
      </c>
    </row>
    <row r="463" spans="1:13" hidden="1" x14ac:dyDescent="0.3">
      <c r="A463" t="str">
        <f>IF(ISNUMBER($K463),INDEX(РАБОТЫ!$U$2:$U$1058,$K463),"")</f>
        <v/>
      </c>
      <c r="B463" t="str">
        <f>IF(ISNUMBER($K463),INDEX(РАБОТЫ!$A$2:$A$1058,$K463),"")</f>
        <v/>
      </c>
      <c r="C463" s="4" t="str">
        <f>IF($L463&lt;&gt;"",INDEX(РАБОТЫ!$Z$2:$Z$1058,MATCH($L463,РАБОТЫ!$V$2:$V$1058,0)),IF(ISNUMBER($K463),INDEX(РАБОТЫ!$Y$2:$Y$1058,$K463),""))</f>
        <v/>
      </c>
      <c r="D463" t="str">
        <f>IF(ISNUMBER($K463),INDEX(РАБОТЫ!$E$2:$E$1058,$K463),"")</f>
        <v/>
      </c>
      <c r="E463" t="str">
        <f>IF(ISNUMBER($K463),INDEX(РАБОТЫ!$M$2:$M$1058,$K463),"")</f>
        <v/>
      </c>
      <c r="F463" s="7" t="str">
        <f>IF(ISNUMBER($K463),INDEX(РАБОТЫ!$S$2:$S$1058,$K463),"")</f>
        <v/>
      </c>
      <c r="G463" s="7" t="str">
        <f>IF(ISNUMBER($K463),INDEX(РАБОТЫ!$T$2:$T$1058,$K463),"")</f>
        <v/>
      </c>
      <c r="H463" s="7" t="str">
        <f t="shared" si="24"/>
        <v/>
      </c>
      <c r="I463" s="7" t="str">
        <f t="shared" si="25"/>
        <v/>
      </c>
      <c r="J463" s="7" t="str">
        <f t="shared" si="26"/>
        <v/>
      </c>
      <c r="K463" t="str">
        <f>IFERROR(MATCH(442,РАБОТЫ!$X$2:$X$1058,0),"")</f>
        <v/>
      </c>
      <c r="L463" t="str">
        <f>IFERROR(IF(INDEX(РАБОТЫ!$W$2:$W$1058,MATCH(442+1,РАБОТЫ!$X$2:$X$1058,0))=1,INDEX(РАБОТЫ!$V$2:$V$1058,MATCH(442+1,РАБОТЫ!$X$2:$X$1058,0)),""),"")</f>
        <v/>
      </c>
      <c r="M463" t="str">
        <f t="shared" si="27"/>
        <v/>
      </c>
    </row>
    <row r="464" spans="1:13" hidden="1" x14ac:dyDescent="0.3">
      <c r="A464" t="str">
        <f>IF(ISNUMBER($K464),INDEX(РАБОТЫ!$U$2:$U$1058,$K464),"")</f>
        <v/>
      </c>
      <c r="B464" t="str">
        <f>IF(ISNUMBER($K464),INDEX(РАБОТЫ!$A$2:$A$1058,$K464),"")</f>
        <v/>
      </c>
      <c r="C464" s="4" t="str">
        <f>IF($L464&lt;&gt;"",INDEX(РАБОТЫ!$Z$2:$Z$1058,MATCH($L464,РАБОТЫ!$V$2:$V$1058,0)),IF(ISNUMBER($K464),INDEX(РАБОТЫ!$Y$2:$Y$1058,$K464),""))</f>
        <v/>
      </c>
      <c r="D464" t="str">
        <f>IF(ISNUMBER($K464),INDEX(РАБОТЫ!$E$2:$E$1058,$K464),"")</f>
        <v/>
      </c>
      <c r="E464" t="str">
        <f>IF(ISNUMBER($K464),INDEX(РАБОТЫ!$M$2:$M$1058,$K464),"")</f>
        <v/>
      </c>
      <c r="F464" s="7" t="str">
        <f>IF(ISNUMBER($K464),INDEX(РАБОТЫ!$S$2:$S$1058,$K464),"")</f>
        <v/>
      </c>
      <c r="G464" s="7" t="str">
        <f>IF(ISNUMBER($K464),INDEX(РАБОТЫ!$T$2:$T$1058,$K464),"")</f>
        <v/>
      </c>
      <c r="H464" s="7" t="str">
        <f t="shared" si="24"/>
        <v/>
      </c>
      <c r="I464" s="7" t="str">
        <f t="shared" si="25"/>
        <v/>
      </c>
      <c r="J464" s="7" t="str">
        <f t="shared" si="26"/>
        <v/>
      </c>
      <c r="K464" t="str">
        <f>IFERROR(MATCH(443,РАБОТЫ!$X$2:$X$1058,0),"")</f>
        <v/>
      </c>
      <c r="L464" t="str">
        <f>IFERROR(IF(INDEX(РАБОТЫ!$W$2:$W$1058,MATCH(443+1,РАБОТЫ!$X$2:$X$1058,0))=1,INDEX(РАБОТЫ!$V$2:$V$1058,MATCH(443+1,РАБОТЫ!$X$2:$X$1058,0)),""),"")</f>
        <v/>
      </c>
      <c r="M464" t="str">
        <f t="shared" si="27"/>
        <v/>
      </c>
    </row>
    <row r="465" spans="1:13" hidden="1" x14ac:dyDescent="0.3">
      <c r="A465" t="str">
        <f>IF(ISNUMBER($K465),INDEX(РАБОТЫ!$U$2:$U$1058,$K465),"")</f>
        <v/>
      </c>
      <c r="B465" t="str">
        <f>IF(ISNUMBER($K465),INDEX(РАБОТЫ!$A$2:$A$1058,$K465),"")</f>
        <v/>
      </c>
      <c r="C465" s="4" t="str">
        <f>IF($L465&lt;&gt;"",INDEX(РАБОТЫ!$Z$2:$Z$1058,MATCH($L465,РАБОТЫ!$V$2:$V$1058,0)),IF(ISNUMBER($K465),INDEX(РАБОТЫ!$Y$2:$Y$1058,$K465),""))</f>
        <v/>
      </c>
      <c r="D465" t="str">
        <f>IF(ISNUMBER($K465),INDEX(РАБОТЫ!$E$2:$E$1058,$K465),"")</f>
        <v/>
      </c>
      <c r="E465" t="str">
        <f>IF(ISNUMBER($K465),INDEX(РАБОТЫ!$M$2:$M$1058,$K465),"")</f>
        <v/>
      </c>
      <c r="F465" s="7" t="str">
        <f>IF(ISNUMBER($K465),INDEX(РАБОТЫ!$S$2:$S$1058,$K465),"")</f>
        <v/>
      </c>
      <c r="G465" s="7" t="str">
        <f>IF(ISNUMBER($K465),INDEX(РАБОТЫ!$T$2:$T$1058,$K465),"")</f>
        <v/>
      </c>
      <c r="H465" s="7" t="str">
        <f t="shared" si="24"/>
        <v/>
      </c>
      <c r="I465" s="7" t="str">
        <f t="shared" si="25"/>
        <v/>
      </c>
      <c r="J465" s="7" t="str">
        <f t="shared" si="26"/>
        <v/>
      </c>
      <c r="K465" t="str">
        <f>IFERROR(MATCH(444,РАБОТЫ!$X$2:$X$1058,0),"")</f>
        <v/>
      </c>
      <c r="L465" t="str">
        <f>IFERROR(IF(INDEX(РАБОТЫ!$W$2:$W$1058,MATCH(444+1,РАБОТЫ!$X$2:$X$1058,0))=1,INDEX(РАБОТЫ!$V$2:$V$1058,MATCH(444+1,РАБОТЫ!$X$2:$X$1058,0)),""),"")</f>
        <v/>
      </c>
      <c r="M465" t="str">
        <f t="shared" si="27"/>
        <v/>
      </c>
    </row>
    <row r="466" spans="1:13" hidden="1" x14ac:dyDescent="0.3">
      <c r="A466" t="str">
        <f>IF(ISNUMBER($K466),INDEX(РАБОТЫ!$U$2:$U$1058,$K466),"")</f>
        <v/>
      </c>
      <c r="B466" t="str">
        <f>IF(ISNUMBER($K466),INDEX(РАБОТЫ!$A$2:$A$1058,$K466),"")</f>
        <v/>
      </c>
      <c r="C466" s="4" t="str">
        <f>IF($L466&lt;&gt;"",INDEX(РАБОТЫ!$Z$2:$Z$1058,MATCH($L466,РАБОТЫ!$V$2:$V$1058,0)),IF(ISNUMBER($K466),INDEX(РАБОТЫ!$Y$2:$Y$1058,$K466),""))</f>
        <v/>
      </c>
      <c r="D466" t="str">
        <f>IF(ISNUMBER($K466),INDEX(РАБОТЫ!$E$2:$E$1058,$K466),"")</f>
        <v/>
      </c>
      <c r="E466" t="str">
        <f>IF(ISNUMBER($K466),INDEX(РАБОТЫ!$M$2:$M$1058,$K466),"")</f>
        <v/>
      </c>
      <c r="F466" s="7" t="str">
        <f>IF(ISNUMBER($K466),INDEX(РАБОТЫ!$S$2:$S$1058,$K466),"")</f>
        <v/>
      </c>
      <c r="G466" s="7" t="str">
        <f>IF(ISNUMBER($K466),INDEX(РАБОТЫ!$T$2:$T$1058,$K466),"")</f>
        <v/>
      </c>
      <c r="H466" s="7" t="str">
        <f t="shared" si="24"/>
        <v/>
      </c>
      <c r="I466" s="7" t="str">
        <f t="shared" si="25"/>
        <v/>
      </c>
      <c r="J466" s="7" t="str">
        <f t="shared" si="26"/>
        <v/>
      </c>
      <c r="K466" t="str">
        <f>IFERROR(MATCH(445,РАБОТЫ!$X$2:$X$1058,0),"")</f>
        <v/>
      </c>
      <c r="L466" t="str">
        <f>IFERROR(IF(INDEX(РАБОТЫ!$W$2:$W$1058,MATCH(445+1,РАБОТЫ!$X$2:$X$1058,0))=1,INDEX(РАБОТЫ!$V$2:$V$1058,MATCH(445+1,РАБОТЫ!$X$2:$X$1058,0)),""),"")</f>
        <v/>
      </c>
      <c r="M466" t="str">
        <f t="shared" si="27"/>
        <v/>
      </c>
    </row>
    <row r="467" spans="1:13" hidden="1" x14ac:dyDescent="0.3">
      <c r="A467" t="str">
        <f>IF(ISNUMBER($K467),INDEX(РАБОТЫ!$U$2:$U$1058,$K467),"")</f>
        <v/>
      </c>
      <c r="B467" t="str">
        <f>IF(ISNUMBER($K467),INDEX(РАБОТЫ!$A$2:$A$1058,$K467),"")</f>
        <v/>
      </c>
      <c r="C467" s="4" t="str">
        <f>IF($L467&lt;&gt;"",INDEX(РАБОТЫ!$Z$2:$Z$1058,MATCH($L467,РАБОТЫ!$V$2:$V$1058,0)),IF(ISNUMBER($K467),INDEX(РАБОТЫ!$Y$2:$Y$1058,$K467),""))</f>
        <v/>
      </c>
      <c r="D467" t="str">
        <f>IF(ISNUMBER($K467),INDEX(РАБОТЫ!$E$2:$E$1058,$K467),"")</f>
        <v/>
      </c>
      <c r="E467" t="str">
        <f>IF(ISNUMBER($K467),INDEX(РАБОТЫ!$M$2:$M$1058,$K467),"")</f>
        <v/>
      </c>
      <c r="F467" s="7" t="str">
        <f>IF(ISNUMBER($K467),INDEX(РАБОТЫ!$S$2:$S$1058,$K467),"")</f>
        <v/>
      </c>
      <c r="G467" s="7" t="str">
        <f>IF(ISNUMBER($K467),INDEX(РАБОТЫ!$T$2:$T$1058,$K467),"")</f>
        <v/>
      </c>
      <c r="H467" s="7" t="str">
        <f t="shared" si="24"/>
        <v/>
      </c>
      <c r="I467" s="7" t="str">
        <f t="shared" si="25"/>
        <v/>
      </c>
      <c r="J467" s="7" t="str">
        <f t="shared" si="26"/>
        <v/>
      </c>
      <c r="K467" t="str">
        <f>IFERROR(MATCH(446,РАБОТЫ!$X$2:$X$1058,0),"")</f>
        <v/>
      </c>
      <c r="L467" t="str">
        <f>IFERROR(IF(INDEX(РАБОТЫ!$W$2:$W$1058,MATCH(446+1,РАБОТЫ!$X$2:$X$1058,0))=1,INDEX(РАБОТЫ!$V$2:$V$1058,MATCH(446+1,РАБОТЫ!$X$2:$X$1058,0)),""),"")</f>
        <v/>
      </c>
      <c r="M467" t="str">
        <f t="shared" si="27"/>
        <v/>
      </c>
    </row>
    <row r="468" spans="1:13" hidden="1" x14ac:dyDescent="0.3">
      <c r="A468" t="str">
        <f>IF(ISNUMBER($K468),INDEX(РАБОТЫ!$U$2:$U$1058,$K468),"")</f>
        <v/>
      </c>
      <c r="B468" t="str">
        <f>IF(ISNUMBER($K468),INDEX(РАБОТЫ!$A$2:$A$1058,$K468),"")</f>
        <v/>
      </c>
      <c r="C468" s="4" t="str">
        <f>IF($L468&lt;&gt;"",INDEX(РАБОТЫ!$Z$2:$Z$1058,MATCH($L468,РАБОТЫ!$V$2:$V$1058,0)),IF(ISNUMBER($K468),INDEX(РАБОТЫ!$Y$2:$Y$1058,$K468),""))</f>
        <v/>
      </c>
      <c r="D468" t="str">
        <f>IF(ISNUMBER($K468),INDEX(РАБОТЫ!$E$2:$E$1058,$K468),"")</f>
        <v/>
      </c>
      <c r="E468" t="str">
        <f>IF(ISNUMBER($K468),INDEX(РАБОТЫ!$M$2:$M$1058,$K468),"")</f>
        <v/>
      </c>
      <c r="F468" s="7" t="str">
        <f>IF(ISNUMBER($K468),INDEX(РАБОТЫ!$S$2:$S$1058,$K468),"")</f>
        <v/>
      </c>
      <c r="G468" s="7" t="str">
        <f>IF(ISNUMBER($K468),INDEX(РАБОТЫ!$T$2:$T$1058,$K468),"")</f>
        <v/>
      </c>
      <c r="H468" s="7" t="str">
        <f t="shared" si="24"/>
        <v/>
      </c>
      <c r="I468" s="7" t="str">
        <f t="shared" si="25"/>
        <v/>
      </c>
      <c r="J468" s="7" t="str">
        <f t="shared" si="26"/>
        <v/>
      </c>
      <c r="K468" t="str">
        <f>IFERROR(MATCH(447,РАБОТЫ!$X$2:$X$1058,0),"")</f>
        <v/>
      </c>
      <c r="L468" t="str">
        <f>IFERROR(IF(INDEX(РАБОТЫ!$W$2:$W$1058,MATCH(447+1,РАБОТЫ!$X$2:$X$1058,0))=1,INDEX(РАБОТЫ!$V$2:$V$1058,MATCH(447+1,РАБОТЫ!$X$2:$X$1058,0)),""),"")</f>
        <v/>
      </c>
      <c r="M468" t="str">
        <f t="shared" si="27"/>
        <v/>
      </c>
    </row>
    <row r="469" spans="1:13" hidden="1" x14ac:dyDescent="0.3">
      <c r="A469" t="str">
        <f>IF(ISNUMBER($K469),INDEX(РАБОТЫ!$U$2:$U$1058,$K469),"")</f>
        <v/>
      </c>
      <c r="B469" t="str">
        <f>IF(ISNUMBER($K469),INDEX(РАБОТЫ!$A$2:$A$1058,$K469),"")</f>
        <v/>
      </c>
      <c r="C469" s="4" t="str">
        <f>IF($L469&lt;&gt;"",INDEX(РАБОТЫ!$Z$2:$Z$1058,MATCH($L469,РАБОТЫ!$V$2:$V$1058,0)),IF(ISNUMBER($K469),INDEX(РАБОТЫ!$Y$2:$Y$1058,$K469),""))</f>
        <v/>
      </c>
      <c r="D469" t="str">
        <f>IF(ISNUMBER($K469),INDEX(РАБОТЫ!$E$2:$E$1058,$K469),"")</f>
        <v/>
      </c>
      <c r="E469" t="str">
        <f>IF(ISNUMBER($K469),INDEX(РАБОТЫ!$M$2:$M$1058,$K469),"")</f>
        <v/>
      </c>
      <c r="F469" s="7" t="str">
        <f>IF(ISNUMBER($K469),INDEX(РАБОТЫ!$S$2:$S$1058,$K469),"")</f>
        <v/>
      </c>
      <c r="G469" s="7" t="str">
        <f>IF(ISNUMBER($K469),INDEX(РАБОТЫ!$T$2:$T$1058,$K469),"")</f>
        <v/>
      </c>
      <c r="H469" s="7" t="str">
        <f t="shared" si="24"/>
        <v/>
      </c>
      <c r="I469" s="7" t="str">
        <f t="shared" si="25"/>
        <v/>
      </c>
      <c r="J469" s="7" t="str">
        <f t="shared" si="26"/>
        <v/>
      </c>
      <c r="K469" t="str">
        <f>IFERROR(MATCH(448,РАБОТЫ!$X$2:$X$1058,0),"")</f>
        <v/>
      </c>
      <c r="L469" t="str">
        <f>IFERROR(IF(INDEX(РАБОТЫ!$W$2:$W$1058,MATCH(448+1,РАБОТЫ!$X$2:$X$1058,0))=1,INDEX(РАБОТЫ!$V$2:$V$1058,MATCH(448+1,РАБОТЫ!$X$2:$X$1058,0)),""),"")</f>
        <v/>
      </c>
      <c r="M469" t="str">
        <f t="shared" si="27"/>
        <v/>
      </c>
    </row>
    <row r="470" spans="1:13" hidden="1" x14ac:dyDescent="0.3">
      <c r="A470" t="str">
        <f>IF(ISNUMBER($K470),INDEX(РАБОТЫ!$U$2:$U$1058,$K470),"")</f>
        <v/>
      </c>
      <c r="B470" t="str">
        <f>IF(ISNUMBER($K470),INDEX(РАБОТЫ!$A$2:$A$1058,$K470),"")</f>
        <v/>
      </c>
      <c r="C470" s="4" t="str">
        <f>IF($L470&lt;&gt;"",INDEX(РАБОТЫ!$Z$2:$Z$1058,MATCH($L470,РАБОТЫ!$V$2:$V$1058,0)),IF(ISNUMBER($K470),INDEX(РАБОТЫ!$Y$2:$Y$1058,$K470),""))</f>
        <v/>
      </c>
      <c r="D470" t="str">
        <f>IF(ISNUMBER($K470),INDEX(РАБОТЫ!$E$2:$E$1058,$K470),"")</f>
        <v/>
      </c>
      <c r="E470" t="str">
        <f>IF(ISNUMBER($K470),INDEX(РАБОТЫ!$M$2:$M$1058,$K470),"")</f>
        <v/>
      </c>
      <c r="F470" s="7" t="str">
        <f>IF(ISNUMBER($K470),INDEX(РАБОТЫ!$S$2:$S$1058,$K470),"")</f>
        <v/>
      </c>
      <c r="G470" s="7" t="str">
        <f>IF(ISNUMBER($K470),INDEX(РАБОТЫ!$T$2:$T$1058,$K470),"")</f>
        <v/>
      </c>
      <c r="H470" s="7" t="str">
        <f t="shared" ref="H470:H533" si="28">IF(ISNUMBER($K470),ROUND($E470*$F470,2),"")</f>
        <v/>
      </c>
      <c r="I470" s="7" t="str">
        <f t="shared" ref="I470:I533" si="29">IF(ISNUMBER($K470),ROUND($E470*$G470,2),"")</f>
        <v/>
      </c>
      <c r="J470" s="7" t="str">
        <f t="shared" ref="J470:J533" si="30">IF(ISNUMBER($K470),$H470+$I470,"")</f>
        <v/>
      </c>
      <c r="K470" t="str">
        <f>IFERROR(MATCH(449,РАБОТЫ!$X$2:$X$1058,0),"")</f>
        <v/>
      </c>
      <c r="L470" t="str">
        <f>IFERROR(IF(INDEX(РАБОТЫ!$W$2:$W$1058,MATCH(449+1,РАБОТЫ!$X$2:$X$1058,0))=1,INDEX(РАБОТЫ!$V$2:$V$1058,MATCH(449+1,РАБОТЫ!$X$2:$X$1058,0)),""),"")</f>
        <v/>
      </c>
      <c r="M470" t="str">
        <f t="shared" ref="M470:M533" si="31">IF(OR(ISNUMBER($K470),$L470&lt;&gt;""),"показать","")</f>
        <v/>
      </c>
    </row>
    <row r="471" spans="1:13" hidden="1" x14ac:dyDescent="0.3">
      <c r="A471" t="str">
        <f>IF(ISNUMBER($K471),INDEX(РАБОТЫ!$U$2:$U$1058,$K471),"")</f>
        <v/>
      </c>
      <c r="B471" t="str">
        <f>IF(ISNUMBER($K471),INDEX(РАБОТЫ!$A$2:$A$1058,$K471),"")</f>
        <v/>
      </c>
      <c r="C471" s="4" t="str">
        <f>IF($L471&lt;&gt;"",INDEX(РАБОТЫ!$Z$2:$Z$1058,MATCH($L471,РАБОТЫ!$V$2:$V$1058,0)),IF(ISNUMBER($K471),INDEX(РАБОТЫ!$Y$2:$Y$1058,$K471),""))</f>
        <v/>
      </c>
      <c r="D471" t="str">
        <f>IF(ISNUMBER($K471),INDEX(РАБОТЫ!$E$2:$E$1058,$K471),"")</f>
        <v/>
      </c>
      <c r="E471" t="str">
        <f>IF(ISNUMBER($K471),INDEX(РАБОТЫ!$M$2:$M$1058,$K471),"")</f>
        <v/>
      </c>
      <c r="F471" s="7" t="str">
        <f>IF(ISNUMBER($K471),INDEX(РАБОТЫ!$S$2:$S$1058,$K471),"")</f>
        <v/>
      </c>
      <c r="G471" s="7" t="str">
        <f>IF(ISNUMBER($K471),INDEX(РАБОТЫ!$T$2:$T$1058,$K471),"")</f>
        <v/>
      </c>
      <c r="H471" s="7" t="str">
        <f t="shared" si="28"/>
        <v/>
      </c>
      <c r="I471" s="7" t="str">
        <f t="shared" si="29"/>
        <v/>
      </c>
      <c r="J471" s="7" t="str">
        <f t="shared" si="30"/>
        <v/>
      </c>
      <c r="K471" t="str">
        <f>IFERROR(MATCH(450,РАБОТЫ!$X$2:$X$1058,0),"")</f>
        <v/>
      </c>
      <c r="L471" t="str">
        <f>IFERROR(IF(INDEX(РАБОТЫ!$W$2:$W$1058,MATCH(450+1,РАБОТЫ!$X$2:$X$1058,0))=1,INDEX(РАБОТЫ!$V$2:$V$1058,MATCH(450+1,РАБОТЫ!$X$2:$X$1058,0)),""),"")</f>
        <v/>
      </c>
      <c r="M471" t="str">
        <f t="shared" si="31"/>
        <v/>
      </c>
    </row>
    <row r="472" spans="1:13" hidden="1" x14ac:dyDescent="0.3">
      <c r="A472" t="str">
        <f>IF(ISNUMBER($K472),INDEX(РАБОТЫ!$U$2:$U$1058,$K472),"")</f>
        <v/>
      </c>
      <c r="B472" t="str">
        <f>IF(ISNUMBER($K472),INDEX(РАБОТЫ!$A$2:$A$1058,$K472),"")</f>
        <v/>
      </c>
      <c r="C472" s="4" t="str">
        <f>IF($L472&lt;&gt;"",INDEX(РАБОТЫ!$Z$2:$Z$1058,MATCH($L472,РАБОТЫ!$V$2:$V$1058,0)),IF(ISNUMBER($K472),INDEX(РАБОТЫ!$Y$2:$Y$1058,$K472),""))</f>
        <v/>
      </c>
      <c r="D472" t="str">
        <f>IF(ISNUMBER($K472),INDEX(РАБОТЫ!$E$2:$E$1058,$K472),"")</f>
        <v/>
      </c>
      <c r="E472" t="str">
        <f>IF(ISNUMBER($K472),INDEX(РАБОТЫ!$M$2:$M$1058,$K472),"")</f>
        <v/>
      </c>
      <c r="F472" s="7" t="str">
        <f>IF(ISNUMBER($K472),INDEX(РАБОТЫ!$S$2:$S$1058,$K472),"")</f>
        <v/>
      </c>
      <c r="G472" s="7" t="str">
        <f>IF(ISNUMBER($K472),INDEX(РАБОТЫ!$T$2:$T$1058,$K472),"")</f>
        <v/>
      </c>
      <c r="H472" s="7" t="str">
        <f t="shared" si="28"/>
        <v/>
      </c>
      <c r="I472" s="7" t="str">
        <f t="shared" si="29"/>
        <v/>
      </c>
      <c r="J472" s="7" t="str">
        <f t="shared" si="30"/>
        <v/>
      </c>
      <c r="K472" t="str">
        <f>IFERROR(MATCH(451,РАБОТЫ!$X$2:$X$1058,0),"")</f>
        <v/>
      </c>
      <c r="L472" t="str">
        <f>IFERROR(IF(INDEX(РАБОТЫ!$W$2:$W$1058,MATCH(451+1,РАБОТЫ!$X$2:$X$1058,0))=1,INDEX(РАБОТЫ!$V$2:$V$1058,MATCH(451+1,РАБОТЫ!$X$2:$X$1058,0)),""),"")</f>
        <v/>
      </c>
      <c r="M472" t="str">
        <f t="shared" si="31"/>
        <v/>
      </c>
    </row>
    <row r="473" spans="1:13" hidden="1" x14ac:dyDescent="0.3">
      <c r="A473" t="str">
        <f>IF(ISNUMBER($K473),INDEX(РАБОТЫ!$U$2:$U$1058,$K473),"")</f>
        <v/>
      </c>
      <c r="B473" t="str">
        <f>IF(ISNUMBER($K473),INDEX(РАБОТЫ!$A$2:$A$1058,$K473),"")</f>
        <v/>
      </c>
      <c r="C473" s="4" t="str">
        <f>IF($L473&lt;&gt;"",INDEX(РАБОТЫ!$Z$2:$Z$1058,MATCH($L473,РАБОТЫ!$V$2:$V$1058,0)),IF(ISNUMBER($K473),INDEX(РАБОТЫ!$Y$2:$Y$1058,$K473),""))</f>
        <v/>
      </c>
      <c r="D473" t="str">
        <f>IF(ISNUMBER($K473),INDEX(РАБОТЫ!$E$2:$E$1058,$K473),"")</f>
        <v/>
      </c>
      <c r="E473" t="str">
        <f>IF(ISNUMBER($K473),INDEX(РАБОТЫ!$M$2:$M$1058,$K473),"")</f>
        <v/>
      </c>
      <c r="F473" s="7" t="str">
        <f>IF(ISNUMBER($K473),INDEX(РАБОТЫ!$S$2:$S$1058,$K473),"")</f>
        <v/>
      </c>
      <c r="G473" s="7" t="str">
        <f>IF(ISNUMBER($K473),INDEX(РАБОТЫ!$T$2:$T$1058,$K473),"")</f>
        <v/>
      </c>
      <c r="H473" s="7" t="str">
        <f t="shared" si="28"/>
        <v/>
      </c>
      <c r="I473" s="7" t="str">
        <f t="shared" si="29"/>
        <v/>
      </c>
      <c r="J473" s="7" t="str">
        <f t="shared" si="30"/>
        <v/>
      </c>
      <c r="K473" t="str">
        <f>IFERROR(MATCH(452,РАБОТЫ!$X$2:$X$1058,0),"")</f>
        <v/>
      </c>
      <c r="L473" t="str">
        <f>IFERROR(IF(INDEX(РАБОТЫ!$W$2:$W$1058,MATCH(452+1,РАБОТЫ!$X$2:$X$1058,0))=1,INDEX(РАБОТЫ!$V$2:$V$1058,MATCH(452+1,РАБОТЫ!$X$2:$X$1058,0)),""),"")</f>
        <v/>
      </c>
      <c r="M473" t="str">
        <f t="shared" si="31"/>
        <v/>
      </c>
    </row>
    <row r="474" spans="1:13" hidden="1" x14ac:dyDescent="0.3">
      <c r="A474" t="str">
        <f>IF(ISNUMBER($K474),INDEX(РАБОТЫ!$U$2:$U$1058,$K474),"")</f>
        <v/>
      </c>
      <c r="B474" t="str">
        <f>IF(ISNUMBER($K474),INDEX(РАБОТЫ!$A$2:$A$1058,$K474),"")</f>
        <v/>
      </c>
      <c r="C474" s="4" t="str">
        <f>IF($L474&lt;&gt;"",INDEX(РАБОТЫ!$Z$2:$Z$1058,MATCH($L474,РАБОТЫ!$V$2:$V$1058,0)),IF(ISNUMBER($K474),INDEX(РАБОТЫ!$Y$2:$Y$1058,$K474),""))</f>
        <v/>
      </c>
      <c r="D474" t="str">
        <f>IF(ISNUMBER($K474),INDEX(РАБОТЫ!$E$2:$E$1058,$K474),"")</f>
        <v/>
      </c>
      <c r="E474" t="str">
        <f>IF(ISNUMBER($K474),INDEX(РАБОТЫ!$M$2:$M$1058,$K474),"")</f>
        <v/>
      </c>
      <c r="F474" s="7" t="str">
        <f>IF(ISNUMBER($K474),INDEX(РАБОТЫ!$S$2:$S$1058,$K474),"")</f>
        <v/>
      </c>
      <c r="G474" s="7" t="str">
        <f>IF(ISNUMBER($K474),INDEX(РАБОТЫ!$T$2:$T$1058,$K474),"")</f>
        <v/>
      </c>
      <c r="H474" s="7" t="str">
        <f t="shared" si="28"/>
        <v/>
      </c>
      <c r="I474" s="7" t="str">
        <f t="shared" si="29"/>
        <v/>
      </c>
      <c r="J474" s="7" t="str">
        <f t="shared" si="30"/>
        <v/>
      </c>
      <c r="K474" t="str">
        <f>IFERROR(MATCH(453,РАБОТЫ!$X$2:$X$1058,0),"")</f>
        <v/>
      </c>
      <c r="L474" t="str">
        <f>IFERROR(IF(INDEX(РАБОТЫ!$W$2:$W$1058,MATCH(453+1,РАБОТЫ!$X$2:$X$1058,0))=1,INDEX(РАБОТЫ!$V$2:$V$1058,MATCH(453+1,РАБОТЫ!$X$2:$X$1058,0)),""),"")</f>
        <v/>
      </c>
      <c r="M474" t="str">
        <f t="shared" si="31"/>
        <v/>
      </c>
    </row>
    <row r="475" spans="1:13" hidden="1" x14ac:dyDescent="0.3">
      <c r="A475" t="str">
        <f>IF(ISNUMBER($K475),INDEX(РАБОТЫ!$U$2:$U$1058,$K475),"")</f>
        <v/>
      </c>
      <c r="B475" t="str">
        <f>IF(ISNUMBER($K475),INDEX(РАБОТЫ!$A$2:$A$1058,$K475),"")</f>
        <v/>
      </c>
      <c r="C475" s="4" t="str">
        <f>IF($L475&lt;&gt;"",INDEX(РАБОТЫ!$Z$2:$Z$1058,MATCH($L475,РАБОТЫ!$V$2:$V$1058,0)),IF(ISNUMBER($K475),INDEX(РАБОТЫ!$Y$2:$Y$1058,$K475),""))</f>
        <v/>
      </c>
      <c r="D475" t="str">
        <f>IF(ISNUMBER($K475),INDEX(РАБОТЫ!$E$2:$E$1058,$K475),"")</f>
        <v/>
      </c>
      <c r="E475" t="str">
        <f>IF(ISNUMBER($K475),INDEX(РАБОТЫ!$M$2:$M$1058,$K475),"")</f>
        <v/>
      </c>
      <c r="F475" s="7" t="str">
        <f>IF(ISNUMBER($K475),INDEX(РАБОТЫ!$S$2:$S$1058,$K475),"")</f>
        <v/>
      </c>
      <c r="G475" s="7" t="str">
        <f>IF(ISNUMBER($K475),INDEX(РАБОТЫ!$T$2:$T$1058,$K475),"")</f>
        <v/>
      </c>
      <c r="H475" s="7" t="str">
        <f t="shared" si="28"/>
        <v/>
      </c>
      <c r="I475" s="7" t="str">
        <f t="shared" si="29"/>
        <v/>
      </c>
      <c r="J475" s="7" t="str">
        <f t="shared" si="30"/>
        <v/>
      </c>
      <c r="K475" t="str">
        <f>IFERROR(MATCH(454,РАБОТЫ!$X$2:$X$1058,0),"")</f>
        <v/>
      </c>
      <c r="L475" t="str">
        <f>IFERROR(IF(INDEX(РАБОТЫ!$W$2:$W$1058,MATCH(454+1,РАБОТЫ!$X$2:$X$1058,0))=1,INDEX(РАБОТЫ!$V$2:$V$1058,MATCH(454+1,РАБОТЫ!$X$2:$X$1058,0)),""),"")</f>
        <v/>
      </c>
      <c r="M475" t="str">
        <f t="shared" si="31"/>
        <v/>
      </c>
    </row>
    <row r="476" spans="1:13" hidden="1" x14ac:dyDescent="0.3">
      <c r="A476" t="str">
        <f>IF(ISNUMBER($K476),INDEX(РАБОТЫ!$U$2:$U$1058,$K476),"")</f>
        <v/>
      </c>
      <c r="B476" t="str">
        <f>IF(ISNUMBER($K476),INDEX(РАБОТЫ!$A$2:$A$1058,$K476),"")</f>
        <v/>
      </c>
      <c r="C476" s="4" t="str">
        <f>IF($L476&lt;&gt;"",INDEX(РАБОТЫ!$Z$2:$Z$1058,MATCH($L476,РАБОТЫ!$V$2:$V$1058,0)),IF(ISNUMBER($K476),INDEX(РАБОТЫ!$Y$2:$Y$1058,$K476),""))</f>
        <v/>
      </c>
      <c r="D476" t="str">
        <f>IF(ISNUMBER($K476),INDEX(РАБОТЫ!$E$2:$E$1058,$K476),"")</f>
        <v/>
      </c>
      <c r="E476" t="str">
        <f>IF(ISNUMBER($K476),INDEX(РАБОТЫ!$M$2:$M$1058,$K476),"")</f>
        <v/>
      </c>
      <c r="F476" s="7" t="str">
        <f>IF(ISNUMBER($K476),INDEX(РАБОТЫ!$S$2:$S$1058,$K476),"")</f>
        <v/>
      </c>
      <c r="G476" s="7" t="str">
        <f>IF(ISNUMBER($K476),INDEX(РАБОТЫ!$T$2:$T$1058,$K476),"")</f>
        <v/>
      </c>
      <c r="H476" s="7" t="str">
        <f t="shared" si="28"/>
        <v/>
      </c>
      <c r="I476" s="7" t="str">
        <f t="shared" si="29"/>
        <v/>
      </c>
      <c r="J476" s="7" t="str">
        <f t="shared" si="30"/>
        <v/>
      </c>
      <c r="K476" t="str">
        <f>IFERROR(MATCH(455,РАБОТЫ!$X$2:$X$1058,0),"")</f>
        <v/>
      </c>
      <c r="L476" t="str">
        <f>IFERROR(IF(INDEX(РАБОТЫ!$W$2:$W$1058,MATCH(455+1,РАБОТЫ!$X$2:$X$1058,0))=1,INDEX(РАБОТЫ!$V$2:$V$1058,MATCH(455+1,РАБОТЫ!$X$2:$X$1058,0)),""),"")</f>
        <v/>
      </c>
      <c r="M476" t="str">
        <f t="shared" si="31"/>
        <v/>
      </c>
    </row>
    <row r="477" spans="1:13" hidden="1" x14ac:dyDescent="0.3">
      <c r="A477" t="str">
        <f>IF(ISNUMBER($K477),INDEX(РАБОТЫ!$U$2:$U$1058,$K477),"")</f>
        <v/>
      </c>
      <c r="B477" t="str">
        <f>IF(ISNUMBER($K477),INDEX(РАБОТЫ!$A$2:$A$1058,$K477),"")</f>
        <v/>
      </c>
      <c r="C477" s="4" t="str">
        <f>IF($L477&lt;&gt;"",INDEX(РАБОТЫ!$Z$2:$Z$1058,MATCH($L477,РАБОТЫ!$V$2:$V$1058,0)),IF(ISNUMBER($K477),INDEX(РАБОТЫ!$Y$2:$Y$1058,$K477),""))</f>
        <v/>
      </c>
      <c r="D477" t="str">
        <f>IF(ISNUMBER($K477),INDEX(РАБОТЫ!$E$2:$E$1058,$K477),"")</f>
        <v/>
      </c>
      <c r="E477" t="str">
        <f>IF(ISNUMBER($K477),INDEX(РАБОТЫ!$M$2:$M$1058,$K477),"")</f>
        <v/>
      </c>
      <c r="F477" s="7" t="str">
        <f>IF(ISNUMBER($K477),INDEX(РАБОТЫ!$S$2:$S$1058,$K477),"")</f>
        <v/>
      </c>
      <c r="G477" s="7" t="str">
        <f>IF(ISNUMBER($K477),INDEX(РАБОТЫ!$T$2:$T$1058,$K477),"")</f>
        <v/>
      </c>
      <c r="H477" s="7" t="str">
        <f t="shared" si="28"/>
        <v/>
      </c>
      <c r="I477" s="7" t="str">
        <f t="shared" si="29"/>
        <v/>
      </c>
      <c r="J477" s="7" t="str">
        <f t="shared" si="30"/>
        <v/>
      </c>
      <c r="K477" t="str">
        <f>IFERROR(MATCH(456,РАБОТЫ!$X$2:$X$1058,0),"")</f>
        <v/>
      </c>
      <c r="L477" t="str">
        <f>IFERROR(IF(INDEX(РАБОТЫ!$W$2:$W$1058,MATCH(456+1,РАБОТЫ!$X$2:$X$1058,0))=1,INDEX(РАБОТЫ!$V$2:$V$1058,MATCH(456+1,РАБОТЫ!$X$2:$X$1058,0)),""),"")</f>
        <v/>
      </c>
      <c r="M477" t="str">
        <f t="shared" si="31"/>
        <v/>
      </c>
    </row>
    <row r="478" spans="1:13" hidden="1" x14ac:dyDescent="0.3">
      <c r="A478" t="str">
        <f>IF(ISNUMBER($K478),INDEX(РАБОТЫ!$U$2:$U$1058,$K478),"")</f>
        <v/>
      </c>
      <c r="B478" t="str">
        <f>IF(ISNUMBER($K478),INDEX(РАБОТЫ!$A$2:$A$1058,$K478),"")</f>
        <v/>
      </c>
      <c r="C478" s="4" t="str">
        <f>IF($L478&lt;&gt;"",INDEX(РАБОТЫ!$Z$2:$Z$1058,MATCH($L478,РАБОТЫ!$V$2:$V$1058,0)),IF(ISNUMBER($K478),INDEX(РАБОТЫ!$Y$2:$Y$1058,$K478),""))</f>
        <v/>
      </c>
      <c r="D478" t="str">
        <f>IF(ISNUMBER($K478),INDEX(РАБОТЫ!$E$2:$E$1058,$K478),"")</f>
        <v/>
      </c>
      <c r="E478" t="str">
        <f>IF(ISNUMBER($K478),INDEX(РАБОТЫ!$M$2:$M$1058,$K478),"")</f>
        <v/>
      </c>
      <c r="F478" s="7" t="str">
        <f>IF(ISNUMBER($K478),INDEX(РАБОТЫ!$S$2:$S$1058,$K478),"")</f>
        <v/>
      </c>
      <c r="G478" s="7" t="str">
        <f>IF(ISNUMBER($K478),INDEX(РАБОТЫ!$T$2:$T$1058,$K478),"")</f>
        <v/>
      </c>
      <c r="H478" s="7" t="str">
        <f t="shared" si="28"/>
        <v/>
      </c>
      <c r="I478" s="7" t="str">
        <f t="shared" si="29"/>
        <v/>
      </c>
      <c r="J478" s="7" t="str">
        <f t="shared" si="30"/>
        <v/>
      </c>
      <c r="K478" t="str">
        <f>IFERROR(MATCH(457,РАБОТЫ!$X$2:$X$1058,0),"")</f>
        <v/>
      </c>
      <c r="L478" t="str">
        <f>IFERROR(IF(INDEX(РАБОТЫ!$W$2:$W$1058,MATCH(457+1,РАБОТЫ!$X$2:$X$1058,0))=1,INDEX(РАБОТЫ!$V$2:$V$1058,MATCH(457+1,РАБОТЫ!$X$2:$X$1058,0)),""),"")</f>
        <v/>
      </c>
      <c r="M478" t="str">
        <f t="shared" si="31"/>
        <v/>
      </c>
    </row>
    <row r="479" spans="1:13" hidden="1" x14ac:dyDescent="0.3">
      <c r="A479" t="str">
        <f>IF(ISNUMBER($K479),INDEX(РАБОТЫ!$U$2:$U$1058,$K479),"")</f>
        <v/>
      </c>
      <c r="B479" t="str">
        <f>IF(ISNUMBER($K479),INDEX(РАБОТЫ!$A$2:$A$1058,$K479),"")</f>
        <v/>
      </c>
      <c r="C479" s="4" t="str">
        <f>IF($L479&lt;&gt;"",INDEX(РАБОТЫ!$Z$2:$Z$1058,MATCH($L479,РАБОТЫ!$V$2:$V$1058,0)),IF(ISNUMBER($K479),INDEX(РАБОТЫ!$Y$2:$Y$1058,$K479),""))</f>
        <v/>
      </c>
      <c r="D479" t="str">
        <f>IF(ISNUMBER($K479),INDEX(РАБОТЫ!$E$2:$E$1058,$K479),"")</f>
        <v/>
      </c>
      <c r="E479" t="str">
        <f>IF(ISNUMBER($K479),INDEX(РАБОТЫ!$M$2:$M$1058,$K479),"")</f>
        <v/>
      </c>
      <c r="F479" s="7" t="str">
        <f>IF(ISNUMBER($K479),INDEX(РАБОТЫ!$S$2:$S$1058,$K479),"")</f>
        <v/>
      </c>
      <c r="G479" s="7" t="str">
        <f>IF(ISNUMBER($K479),INDEX(РАБОТЫ!$T$2:$T$1058,$K479),"")</f>
        <v/>
      </c>
      <c r="H479" s="7" t="str">
        <f t="shared" si="28"/>
        <v/>
      </c>
      <c r="I479" s="7" t="str">
        <f t="shared" si="29"/>
        <v/>
      </c>
      <c r="J479" s="7" t="str">
        <f t="shared" si="30"/>
        <v/>
      </c>
      <c r="K479" t="str">
        <f>IFERROR(MATCH(458,РАБОТЫ!$X$2:$X$1058,0),"")</f>
        <v/>
      </c>
      <c r="L479" t="str">
        <f>IFERROR(IF(INDEX(РАБОТЫ!$W$2:$W$1058,MATCH(458+1,РАБОТЫ!$X$2:$X$1058,0))=1,INDEX(РАБОТЫ!$V$2:$V$1058,MATCH(458+1,РАБОТЫ!$X$2:$X$1058,0)),""),"")</f>
        <v/>
      </c>
      <c r="M479" t="str">
        <f t="shared" si="31"/>
        <v/>
      </c>
    </row>
    <row r="480" spans="1:13" hidden="1" x14ac:dyDescent="0.3">
      <c r="A480" t="str">
        <f>IF(ISNUMBER($K480),INDEX(РАБОТЫ!$U$2:$U$1058,$K480),"")</f>
        <v/>
      </c>
      <c r="B480" t="str">
        <f>IF(ISNUMBER($K480),INDEX(РАБОТЫ!$A$2:$A$1058,$K480),"")</f>
        <v/>
      </c>
      <c r="C480" s="4" t="str">
        <f>IF($L480&lt;&gt;"",INDEX(РАБОТЫ!$Z$2:$Z$1058,MATCH($L480,РАБОТЫ!$V$2:$V$1058,0)),IF(ISNUMBER($K480),INDEX(РАБОТЫ!$Y$2:$Y$1058,$K480),""))</f>
        <v/>
      </c>
      <c r="D480" t="str">
        <f>IF(ISNUMBER($K480),INDEX(РАБОТЫ!$E$2:$E$1058,$K480),"")</f>
        <v/>
      </c>
      <c r="E480" t="str">
        <f>IF(ISNUMBER($K480),INDEX(РАБОТЫ!$M$2:$M$1058,$K480),"")</f>
        <v/>
      </c>
      <c r="F480" s="7" t="str">
        <f>IF(ISNUMBER($K480),INDEX(РАБОТЫ!$S$2:$S$1058,$K480),"")</f>
        <v/>
      </c>
      <c r="G480" s="7" t="str">
        <f>IF(ISNUMBER($K480),INDEX(РАБОТЫ!$T$2:$T$1058,$K480),"")</f>
        <v/>
      </c>
      <c r="H480" s="7" t="str">
        <f t="shared" si="28"/>
        <v/>
      </c>
      <c r="I480" s="7" t="str">
        <f t="shared" si="29"/>
        <v/>
      </c>
      <c r="J480" s="7" t="str">
        <f t="shared" si="30"/>
        <v/>
      </c>
      <c r="K480" t="str">
        <f>IFERROR(MATCH(459,РАБОТЫ!$X$2:$X$1058,0),"")</f>
        <v/>
      </c>
      <c r="L480" t="str">
        <f>IFERROR(IF(INDEX(РАБОТЫ!$W$2:$W$1058,MATCH(459+1,РАБОТЫ!$X$2:$X$1058,0))=1,INDEX(РАБОТЫ!$V$2:$V$1058,MATCH(459+1,РАБОТЫ!$X$2:$X$1058,0)),""),"")</f>
        <v/>
      </c>
      <c r="M480" t="str">
        <f t="shared" si="31"/>
        <v/>
      </c>
    </row>
    <row r="481" spans="1:13" hidden="1" x14ac:dyDescent="0.3">
      <c r="A481" t="str">
        <f>IF(ISNUMBER($K481),INDEX(РАБОТЫ!$U$2:$U$1058,$K481),"")</f>
        <v/>
      </c>
      <c r="B481" t="str">
        <f>IF(ISNUMBER($K481),INDEX(РАБОТЫ!$A$2:$A$1058,$K481),"")</f>
        <v/>
      </c>
      <c r="C481" s="4" t="str">
        <f>IF($L481&lt;&gt;"",INDEX(РАБОТЫ!$Z$2:$Z$1058,MATCH($L481,РАБОТЫ!$V$2:$V$1058,0)),IF(ISNUMBER($K481),INDEX(РАБОТЫ!$Y$2:$Y$1058,$K481),""))</f>
        <v/>
      </c>
      <c r="D481" t="str">
        <f>IF(ISNUMBER($K481),INDEX(РАБОТЫ!$E$2:$E$1058,$K481),"")</f>
        <v/>
      </c>
      <c r="E481" t="str">
        <f>IF(ISNUMBER($K481),INDEX(РАБОТЫ!$M$2:$M$1058,$K481),"")</f>
        <v/>
      </c>
      <c r="F481" s="7" t="str">
        <f>IF(ISNUMBER($K481),INDEX(РАБОТЫ!$S$2:$S$1058,$K481),"")</f>
        <v/>
      </c>
      <c r="G481" s="7" t="str">
        <f>IF(ISNUMBER($K481),INDEX(РАБОТЫ!$T$2:$T$1058,$K481),"")</f>
        <v/>
      </c>
      <c r="H481" s="7" t="str">
        <f t="shared" si="28"/>
        <v/>
      </c>
      <c r="I481" s="7" t="str">
        <f t="shared" si="29"/>
        <v/>
      </c>
      <c r="J481" s="7" t="str">
        <f t="shared" si="30"/>
        <v/>
      </c>
      <c r="K481" t="str">
        <f>IFERROR(MATCH(460,РАБОТЫ!$X$2:$X$1058,0),"")</f>
        <v/>
      </c>
      <c r="L481" t="str">
        <f>IFERROR(IF(INDEX(РАБОТЫ!$W$2:$W$1058,MATCH(460+1,РАБОТЫ!$X$2:$X$1058,0))=1,INDEX(РАБОТЫ!$V$2:$V$1058,MATCH(460+1,РАБОТЫ!$X$2:$X$1058,0)),""),"")</f>
        <v/>
      </c>
      <c r="M481" t="str">
        <f t="shared" si="31"/>
        <v/>
      </c>
    </row>
    <row r="482" spans="1:13" hidden="1" x14ac:dyDescent="0.3">
      <c r="A482" t="str">
        <f>IF(ISNUMBER($K482),INDEX(РАБОТЫ!$U$2:$U$1058,$K482),"")</f>
        <v/>
      </c>
      <c r="B482" t="str">
        <f>IF(ISNUMBER($K482),INDEX(РАБОТЫ!$A$2:$A$1058,$K482),"")</f>
        <v/>
      </c>
      <c r="C482" s="4" t="str">
        <f>IF($L482&lt;&gt;"",INDEX(РАБОТЫ!$Z$2:$Z$1058,MATCH($L482,РАБОТЫ!$V$2:$V$1058,0)),IF(ISNUMBER($K482),INDEX(РАБОТЫ!$Y$2:$Y$1058,$K482),""))</f>
        <v/>
      </c>
      <c r="D482" t="str">
        <f>IF(ISNUMBER($K482),INDEX(РАБОТЫ!$E$2:$E$1058,$K482),"")</f>
        <v/>
      </c>
      <c r="E482" t="str">
        <f>IF(ISNUMBER($K482),INDEX(РАБОТЫ!$M$2:$M$1058,$K482),"")</f>
        <v/>
      </c>
      <c r="F482" s="7" t="str">
        <f>IF(ISNUMBER($K482),INDEX(РАБОТЫ!$S$2:$S$1058,$K482),"")</f>
        <v/>
      </c>
      <c r="G482" s="7" t="str">
        <f>IF(ISNUMBER($K482),INDEX(РАБОТЫ!$T$2:$T$1058,$K482),"")</f>
        <v/>
      </c>
      <c r="H482" s="7" t="str">
        <f t="shared" si="28"/>
        <v/>
      </c>
      <c r="I482" s="7" t="str">
        <f t="shared" si="29"/>
        <v/>
      </c>
      <c r="J482" s="7" t="str">
        <f t="shared" si="30"/>
        <v/>
      </c>
      <c r="K482" t="str">
        <f>IFERROR(MATCH(461,РАБОТЫ!$X$2:$X$1058,0),"")</f>
        <v/>
      </c>
      <c r="L482" t="str">
        <f>IFERROR(IF(INDEX(РАБОТЫ!$W$2:$W$1058,MATCH(461+1,РАБОТЫ!$X$2:$X$1058,0))=1,INDEX(РАБОТЫ!$V$2:$V$1058,MATCH(461+1,РАБОТЫ!$X$2:$X$1058,0)),""),"")</f>
        <v/>
      </c>
      <c r="M482" t="str">
        <f t="shared" si="31"/>
        <v/>
      </c>
    </row>
    <row r="483" spans="1:13" hidden="1" x14ac:dyDescent="0.3">
      <c r="A483" t="str">
        <f>IF(ISNUMBER($K483),INDEX(РАБОТЫ!$U$2:$U$1058,$K483),"")</f>
        <v/>
      </c>
      <c r="B483" t="str">
        <f>IF(ISNUMBER($K483),INDEX(РАБОТЫ!$A$2:$A$1058,$K483),"")</f>
        <v/>
      </c>
      <c r="C483" s="4" t="str">
        <f>IF($L483&lt;&gt;"",INDEX(РАБОТЫ!$Z$2:$Z$1058,MATCH($L483,РАБОТЫ!$V$2:$V$1058,0)),IF(ISNUMBER($K483),INDEX(РАБОТЫ!$Y$2:$Y$1058,$K483),""))</f>
        <v/>
      </c>
      <c r="D483" t="str">
        <f>IF(ISNUMBER($K483),INDEX(РАБОТЫ!$E$2:$E$1058,$K483),"")</f>
        <v/>
      </c>
      <c r="E483" t="str">
        <f>IF(ISNUMBER($K483),INDEX(РАБОТЫ!$M$2:$M$1058,$K483),"")</f>
        <v/>
      </c>
      <c r="F483" s="7" t="str">
        <f>IF(ISNUMBER($K483),INDEX(РАБОТЫ!$S$2:$S$1058,$K483),"")</f>
        <v/>
      </c>
      <c r="G483" s="7" t="str">
        <f>IF(ISNUMBER($K483),INDEX(РАБОТЫ!$T$2:$T$1058,$K483),"")</f>
        <v/>
      </c>
      <c r="H483" s="7" t="str">
        <f t="shared" si="28"/>
        <v/>
      </c>
      <c r="I483" s="7" t="str">
        <f t="shared" si="29"/>
        <v/>
      </c>
      <c r="J483" s="7" t="str">
        <f t="shared" si="30"/>
        <v/>
      </c>
      <c r="K483" t="str">
        <f>IFERROR(MATCH(462,РАБОТЫ!$X$2:$X$1058,0),"")</f>
        <v/>
      </c>
      <c r="L483" t="str">
        <f>IFERROR(IF(INDEX(РАБОТЫ!$W$2:$W$1058,MATCH(462+1,РАБОТЫ!$X$2:$X$1058,0))=1,INDEX(РАБОТЫ!$V$2:$V$1058,MATCH(462+1,РАБОТЫ!$X$2:$X$1058,0)),""),"")</f>
        <v/>
      </c>
      <c r="M483" t="str">
        <f t="shared" si="31"/>
        <v/>
      </c>
    </row>
    <row r="484" spans="1:13" hidden="1" x14ac:dyDescent="0.3">
      <c r="A484" t="str">
        <f>IF(ISNUMBER($K484),INDEX(РАБОТЫ!$U$2:$U$1058,$K484),"")</f>
        <v/>
      </c>
      <c r="B484" t="str">
        <f>IF(ISNUMBER($K484),INDEX(РАБОТЫ!$A$2:$A$1058,$K484),"")</f>
        <v/>
      </c>
      <c r="C484" s="4" t="str">
        <f>IF($L484&lt;&gt;"",INDEX(РАБОТЫ!$Z$2:$Z$1058,MATCH($L484,РАБОТЫ!$V$2:$V$1058,0)),IF(ISNUMBER($K484),INDEX(РАБОТЫ!$Y$2:$Y$1058,$K484),""))</f>
        <v/>
      </c>
      <c r="D484" t="str">
        <f>IF(ISNUMBER($K484),INDEX(РАБОТЫ!$E$2:$E$1058,$K484),"")</f>
        <v/>
      </c>
      <c r="E484" t="str">
        <f>IF(ISNUMBER($K484),INDEX(РАБОТЫ!$M$2:$M$1058,$K484),"")</f>
        <v/>
      </c>
      <c r="F484" s="7" t="str">
        <f>IF(ISNUMBER($K484),INDEX(РАБОТЫ!$S$2:$S$1058,$K484),"")</f>
        <v/>
      </c>
      <c r="G484" s="7" t="str">
        <f>IF(ISNUMBER($K484),INDEX(РАБОТЫ!$T$2:$T$1058,$K484),"")</f>
        <v/>
      </c>
      <c r="H484" s="7" t="str">
        <f t="shared" si="28"/>
        <v/>
      </c>
      <c r="I484" s="7" t="str">
        <f t="shared" si="29"/>
        <v/>
      </c>
      <c r="J484" s="7" t="str">
        <f t="shared" si="30"/>
        <v/>
      </c>
      <c r="K484" t="str">
        <f>IFERROR(MATCH(463,РАБОТЫ!$X$2:$X$1058,0),"")</f>
        <v/>
      </c>
      <c r="L484" t="str">
        <f>IFERROR(IF(INDEX(РАБОТЫ!$W$2:$W$1058,MATCH(463+1,РАБОТЫ!$X$2:$X$1058,0))=1,INDEX(РАБОТЫ!$V$2:$V$1058,MATCH(463+1,РАБОТЫ!$X$2:$X$1058,0)),""),"")</f>
        <v/>
      </c>
      <c r="M484" t="str">
        <f t="shared" si="31"/>
        <v/>
      </c>
    </row>
    <row r="485" spans="1:13" hidden="1" x14ac:dyDescent="0.3">
      <c r="A485" t="str">
        <f>IF(ISNUMBER($K485),INDEX(РАБОТЫ!$U$2:$U$1058,$K485),"")</f>
        <v/>
      </c>
      <c r="B485" t="str">
        <f>IF(ISNUMBER($K485),INDEX(РАБОТЫ!$A$2:$A$1058,$K485),"")</f>
        <v/>
      </c>
      <c r="C485" s="4" t="str">
        <f>IF($L485&lt;&gt;"",INDEX(РАБОТЫ!$Z$2:$Z$1058,MATCH($L485,РАБОТЫ!$V$2:$V$1058,0)),IF(ISNUMBER($K485),INDEX(РАБОТЫ!$Y$2:$Y$1058,$K485),""))</f>
        <v/>
      </c>
      <c r="D485" t="str">
        <f>IF(ISNUMBER($K485),INDEX(РАБОТЫ!$E$2:$E$1058,$K485),"")</f>
        <v/>
      </c>
      <c r="E485" t="str">
        <f>IF(ISNUMBER($K485),INDEX(РАБОТЫ!$M$2:$M$1058,$K485),"")</f>
        <v/>
      </c>
      <c r="F485" s="7" t="str">
        <f>IF(ISNUMBER($K485),INDEX(РАБОТЫ!$S$2:$S$1058,$K485),"")</f>
        <v/>
      </c>
      <c r="G485" s="7" t="str">
        <f>IF(ISNUMBER($K485),INDEX(РАБОТЫ!$T$2:$T$1058,$K485),"")</f>
        <v/>
      </c>
      <c r="H485" s="7" t="str">
        <f t="shared" si="28"/>
        <v/>
      </c>
      <c r="I485" s="7" t="str">
        <f t="shared" si="29"/>
        <v/>
      </c>
      <c r="J485" s="7" t="str">
        <f t="shared" si="30"/>
        <v/>
      </c>
      <c r="K485" t="str">
        <f>IFERROR(MATCH(464,РАБОТЫ!$X$2:$X$1058,0),"")</f>
        <v/>
      </c>
      <c r="L485" t="str">
        <f>IFERROR(IF(INDEX(РАБОТЫ!$W$2:$W$1058,MATCH(464+1,РАБОТЫ!$X$2:$X$1058,0))=1,INDEX(РАБОТЫ!$V$2:$V$1058,MATCH(464+1,РАБОТЫ!$X$2:$X$1058,0)),""),"")</f>
        <v/>
      </c>
      <c r="M485" t="str">
        <f t="shared" si="31"/>
        <v/>
      </c>
    </row>
    <row r="486" spans="1:13" hidden="1" x14ac:dyDescent="0.3">
      <c r="A486" t="str">
        <f>IF(ISNUMBER($K486),INDEX(РАБОТЫ!$U$2:$U$1058,$K486),"")</f>
        <v/>
      </c>
      <c r="B486" t="str">
        <f>IF(ISNUMBER($K486),INDEX(РАБОТЫ!$A$2:$A$1058,$K486),"")</f>
        <v/>
      </c>
      <c r="C486" s="4" t="str">
        <f>IF($L486&lt;&gt;"",INDEX(РАБОТЫ!$Z$2:$Z$1058,MATCH($L486,РАБОТЫ!$V$2:$V$1058,0)),IF(ISNUMBER($K486),INDEX(РАБОТЫ!$Y$2:$Y$1058,$K486),""))</f>
        <v/>
      </c>
      <c r="D486" t="str">
        <f>IF(ISNUMBER($K486),INDEX(РАБОТЫ!$E$2:$E$1058,$K486),"")</f>
        <v/>
      </c>
      <c r="E486" t="str">
        <f>IF(ISNUMBER($K486),INDEX(РАБОТЫ!$M$2:$M$1058,$K486),"")</f>
        <v/>
      </c>
      <c r="F486" s="7" t="str">
        <f>IF(ISNUMBER($K486),INDEX(РАБОТЫ!$S$2:$S$1058,$K486),"")</f>
        <v/>
      </c>
      <c r="G486" s="7" t="str">
        <f>IF(ISNUMBER($K486),INDEX(РАБОТЫ!$T$2:$T$1058,$K486),"")</f>
        <v/>
      </c>
      <c r="H486" s="7" t="str">
        <f t="shared" si="28"/>
        <v/>
      </c>
      <c r="I486" s="7" t="str">
        <f t="shared" si="29"/>
        <v/>
      </c>
      <c r="J486" s="7" t="str">
        <f t="shared" si="30"/>
        <v/>
      </c>
      <c r="K486" t="str">
        <f>IFERROR(MATCH(465,РАБОТЫ!$X$2:$X$1058,0),"")</f>
        <v/>
      </c>
      <c r="L486" t="str">
        <f>IFERROR(IF(INDEX(РАБОТЫ!$W$2:$W$1058,MATCH(465+1,РАБОТЫ!$X$2:$X$1058,0))=1,INDEX(РАБОТЫ!$V$2:$V$1058,MATCH(465+1,РАБОТЫ!$X$2:$X$1058,0)),""),"")</f>
        <v/>
      </c>
      <c r="M486" t="str">
        <f t="shared" si="31"/>
        <v/>
      </c>
    </row>
    <row r="487" spans="1:13" hidden="1" x14ac:dyDescent="0.3">
      <c r="A487" t="str">
        <f>IF(ISNUMBER($K487),INDEX(РАБОТЫ!$U$2:$U$1058,$K487),"")</f>
        <v/>
      </c>
      <c r="B487" t="str">
        <f>IF(ISNUMBER($K487),INDEX(РАБОТЫ!$A$2:$A$1058,$K487),"")</f>
        <v/>
      </c>
      <c r="C487" s="4" t="str">
        <f>IF($L487&lt;&gt;"",INDEX(РАБОТЫ!$Z$2:$Z$1058,MATCH($L487,РАБОТЫ!$V$2:$V$1058,0)),IF(ISNUMBER($K487),INDEX(РАБОТЫ!$Y$2:$Y$1058,$K487),""))</f>
        <v/>
      </c>
      <c r="D487" t="str">
        <f>IF(ISNUMBER($K487),INDEX(РАБОТЫ!$E$2:$E$1058,$K487),"")</f>
        <v/>
      </c>
      <c r="E487" t="str">
        <f>IF(ISNUMBER($K487),INDEX(РАБОТЫ!$M$2:$M$1058,$K487),"")</f>
        <v/>
      </c>
      <c r="F487" s="7" t="str">
        <f>IF(ISNUMBER($K487),INDEX(РАБОТЫ!$S$2:$S$1058,$K487),"")</f>
        <v/>
      </c>
      <c r="G487" s="7" t="str">
        <f>IF(ISNUMBER($K487),INDEX(РАБОТЫ!$T$2:$T$1058,$K487),"")</f>
        <v/>
      </c>
      <c r="H487" s="7" t="str">
        <f t="shared" si="28"/>
        <v/>
      </c>
      <c r="I487" s="7" t="str">
        <f t="shared" si="29"/>
        <v/>
      </c>
      <c r="J487" s="7" t="str">
        <f t="shared" si="30"/>
        <v/>
      </c>
      <c r="K487" t="str">
        <f>IFERROR(MATCH(466,РАБОТЫ!$X$2:$X$1058,0),"")</f>
        <v/>
      </c>
      <c r="L487" t="str">
        <f>IFERROR(IF(INDEX(РАБОТЫ!$W$2:$W$1058,MATCH(466+1,РАБОТЫ!$X$2:$X$1058,0))=1,INDEX(РАБОТЫ!$V$2:$V$1058,MATCH(466+1,РАБОТЫ!$X$2:$X$1058,0)),""),"")</f>
        <v/>
      </c>
      <c r="M487" t="str">
        <f t="shared" si="31"/>
        <v/>
      </c>
    </row>
    <row r="488" spans="1:13" hidden="1" x14ac:dyDescent="0.3">
      <c r="A488" t="str">
        <f>IF(ISNUMBER($K488),INDEX(РАБОТЫ!$U$2:$U$1058,$K488),"")</f>
        <v/>
      </c>
      <c r="B488" t="str">
        <f>IF(ISNUMBER($K488),INDEX(РАБОТЫ!$A$2:$A$1058,$K488),"")</f>
        <v/>
      </c>
      <c r="C488" s="4" t="str">
        <f>IF($L488&lt;&gt;"",INDEX(РАБОТЫ!$Z$2:$Z$1058,MATCH($L488,РАБОТЫ!$V$2:$V$1058,0)),IF(ISNUMBER($K488),INDEX(РАБОТЫ!$Y$2:$Y$1058,$K488),""))</f>
        <v/>
      </c>
      <c r="D488" t="str">
        <f>IF(ISNUMBER($K488),INDEX(РАБОТЫ!$E$2:$E$1058,$K488),"")</f>
        <v/>
      </c>
      <c r="E488" t="str">
        <f>IF(ISNUMBER($K488),INDEX(РАБОТЫ!$M$2:$M$1058,$K488),"")</f>
        <v/>
      </c>
      <c r="F488" s="7" t="str">
        <f>IF(ISNUMBER($K488),INDEX(РАБОТЫ!$S$2:$S$1058,$K488),"")</f>
        <v/>
      </c>
      <c r="G488" s="7" t="str">
        <f>IF(ISNUMBER($K488),INDEX(РАБОТЫ!$T$2:$T$1058,$K488),"")</f>
        <v/>
      </c>
      <c r="H488" s="7" t="str">
        <f t="shared" si="28"/>
        <v/>
      </c>
      <c r="I488" s="7" t="str">
        <f t="shared" si="29"/>
        <v/>
      </c>
      <c r="J488" s="7" t="str">
        <f t="shared" si="30"/>
        <v/>
      </c>
      <c r="K488" t="str">
        <f>IFERROR(MATCH(467,РАБОТЫ!$X$2:$X$1058,0),"")</f>
        <v/>
      </c>
      <c r="L488" t="str">
        <f>IFERROR(IF(INDEX(РАБОТЫ!$W$2:$W$1058,MATCH(467+1,РАБОТЫ!$X$2:$X$1058,0))=1,INDEX(РАБОТЫ!$V$2:$V$1058,MATCH(467+1,РАБОТЫ!$X$2:$X$1058,0)),""),"")</f>
        <v/>
      </c>
      <c r="M488" t="str">
        <f t="shared" si="31"/>
        <v/>
      </c>
    </row>
    <row r="489" spans="1:13" hidden="1" x14ac:dyDescent="0.3">
      <c r="A489" t="str">
        <f>IF(ISNUMBER($K489),INDEX(РАБОТЫ!$U$2:$U$1058,$K489),"")</f>
        <v/>
      </c>
      <c r="B489" t="str">
        <f>IF(ISNUMBER($K489),INDEX(РАБОТЫ!$A$2:$A$1058,$K489),"")</f>
        <v/>
      </c>
      <c r="C489" s="4" t="str">
        <f>IF($L489&lt;&gt;"",INDEX(РАБОТЫ!$Z$2:$Z$1058,MATCH($L489,РАБОТЫ!$V$2:$V$1058,0)),IF(ISNUMBER($K489),INDEX(РАБОТЫ!$Y$2:$Y$1058,$K489),""))</f>
        <v/>
      </c>
      <c r="D489" t="str">
        <f>IF(ISNUMBER($K489),INDEX(РАБОТЫ!$E$2:$E$1058,$K489),"")</f>
        <v/>
      </c>
      <c r="E489" t="str">
        <f>IF(ISNUMBER($K489),INDEX(РАБОТЫ!$M$2:$M$1058,$K489),"")</f>
        <v/>
      </c>
      <c r="F489" s="7" t="str">
        <f>IF(ISNUMBER($K489),INDEX(РАБОТЫ!$S$2:$S$1058,$K489),"")</f>
        <v/>
      </c>
      <c r="G489" s="7" t="str">
        <f>IF(ISNUMBER($K489),INDEX(РАБОТЫ!$T$2:$T$1058,$K489),"")</f>
        <v/>
      </c>
      <c r="H489" s="7" t="str">
        <f t="shared" si="28"/>
        <v/>
      </c>
      <c r="I489" s="7" t="str">
        <f t="shared" si="29"/>
        <v/>
      </c>
      <c r="J489" s="7" t="str">
        <f t="shared" si="30"/>
        <v/>
      </c>
      <c r="K489" t="str">
        <f>IFERROR(MATCH(468,РАБОТЫ!$X$2:$X$1058,0),"")</f>
        <v/>
      </c>
      <c r="L489" t="str">
        <f>IFERROR(IF(INDEX(РАБОТЫ!$W$2:$W$1058,MATCH(468+1,РАБОТЫ!$X$2:$X$1058,0))=1,INDEX(РАБОТЫ!$V$2:$V$1058,MATCH(468+1,РАБОТЫ!$X$2:$X$1058,0)),""),"")</f>
        <v/>
      </c>
      <c r="M489" t="str">
        <f t="shared" si="31"/>
        <v/>
      </c>
    </row>
    <row r="490" spans="1:13" hidden="1" x14ac:dyDescent="0.3">
      <c r="A490" t="str">
        <f>IF(ISNUMBER($K490),INDEX(РАБОТЫ!$U$2:$U$1058,$K490),"")</f>
        <v/>
      </c>
      <c r="B490" t="str">
        <f>IF(ISNUMBER($K490),INDEX(РАБОТЫ!$A$2:$A$1058,$K490),"")</f>
        <v/>
      </c>
      <c r="C490" s="4" t="str">
        <f>IF($L490&lt;&gt;"",INDEX(РАБОТЫ!$Z$2:$Z$1058,MATCH($L490,РАБОТЫ!$V$2:$V$1058,0)),IF(ISNUMBER($K490),INDEX(РАБОТЫ!$Y$2:$Y$1058,$K490),""))</f>
        <v/>
      </c>
      <c r="D490" t="str">
        <f>IF(ISNUMBER($K490),INDEX(РАБОТЫ!$E$2:$E$1058,$K490),"")</f>
        <v/>
      </c>
      <c r="E490" t="str">
        <f>IF(ISNUMBER($K490),INDEX(РАБОТЫ!$M$2:$M$1058,$K490),"")</f>
        <v/>
      </c>
      <c r="F490" s="7" t="str">
        <f>IF(ISNUMBER($K490),INDEX(РАБОТЫ!$S$2:$S$1058,$K490),"")</f>
        <v/>
      </c>
      <c r="G490" s="7" t="str">
        <f>IF(ISNUMBER($K490),INDEX(РАБОТЫ!$T$2:$T$1058,$K490),"")</f>
        <v/>
      </c>
      <c r="H490" s="7" t="str">
        <f t="shared" si="28"/>
        <v/>
      </c>
      <c r="I490" s="7" t="str">
        <f t="shared" si="29"/>
        <v/>
      </c>
      <c r="J490" s="7" t="str">
        <f t="shared" si="30"/>
        <v/>
      </c>
      <c r="K490" t="str">
        <f>IFERROR(MATCH(469,РАБОТЫ!$X$2:$X$1058,0),"")</f>
        <v/>
      </c>
      <c r="L490" t="str">
        <f>IFERROR(IF(INDEX(РАБОТЫ!$W$2:$W$1058,MATCH(469+1,РАБОТЫ!$X$2:$X$1058,0))=1,INDEX(РАБОТЫ!$V$2:$V$1058,MATCH(469+1,РАБОТЫ!$X$2:$X$1058,0)),""),"")</f>
        <v/>
      </c>
      <c r="M490" t="str">
        <f t="shared" si="31"/>
        <v/>
      </c>
    </row>
    <row r="491" spans="1:13" hidden="1" x14ac:dyDescent="0.3">
      <c r="A491" t="str">
        <f>IF(ISNUMBER($K491),INDEX(РАБОТЫ!$U$2:$U$1058,$K491),"")</f>
        <v/>
      </c>
      <c r="B491" t="str">
        <f>IF(ISNUMBER($K491),INDEX(РАБОТЫ!$A$2:$A$1058,$K491),"")</f>
        <v/>
      </c>
      <c r="C491" s="4" t="str">
        <f>IF($L491&lt;&gt;"",INDEX(РАБОТЫ!$Z$2:$Z$1058,MATCH($L491,РАБОТЫ!$V$2:$V$1058,0)),IF(ISNUMBER($K491),INDEX(РАБОТЫ!$Y$2:$Y$1058,$K491),""))</f>
        <v/>
      </c>
      <c r="D491" t="str">
        <f>IF(ISNUMBER($K491),INDEX(РАБОТЫ!$E$2:$E$1058,$K491),"")</f>
        <v/>
      </c>
      <c r="E491" t="str">
        <f>IF(ISNUMBER($K491),INDEX(РАБОТЫ!$M$2:$M$1058,$K491),"")</f>
        <v/>
      </c>
      <c r="F491" s="7" t="str">
        <f>IF(ISNUMBER($K491),INDEX(РАБОТЫ!$S$2:$S$1058,$K491),"")</f>
        <v/>
      </c>
      <c r="G491" s="7" t="str">
        <f>IF(ISNUMBER($K491),INDEX(РАБОТЫ!$T$2:$T$1058,$K491),"")</f>
        <v/>
      </c>
      <c r="H491" s="7" t="str">
        <f t="shared" si="28"/>
        <v/>
      </c>
      <c r="I491" s="7" t="str">
        <f t="shared" si="29"/>
        <v/>
      </c>
      <c r="J491" s="7" t="str">
        <f t="shared" si="30"/>
        <v/>
      </c>
      <c r="K491" t="str">
        <f>IFERROR(MATCH(470,РАБОТЫ!$X$2:$X$1058,0),"")</f>
        <v/>
      </c>
      <c r="L491" t="str">
        <f>IFERROR(IF(INDEX(РАБОТЫ!$W$2:$W$1058,MATCH(470+1,РАБОТЫ!$X$2:$X$1058,0))=1,INDEX(РАБОТЫ!$V$2:$V$1058,MATCH(470+1,РАБОТЫ!$X$2:$X$1058,0)),""),"")</f>
        <v/>
      </c>
      <c r="M491" t="str">
        <f t="shared" si="31"/>
        <v/>
      </c>
    </row>
    <row r="492" spans="1:13" hidden="1" x14ac:dyDescent="0.3">
      <c r="A492" t="str">
        <f>IF(ISNUMBER($K492),INDEX(РАБОТЫ!$U$2:$U$1058,$K492),"")</f>
        <v/>
      </c>
      <c r="B492" t="str">
        <f>IF(ISNUMBER($K492),INDEX(РАБОТЫ!$A$2:$A$1058,$K492),"")</f>
        <v/>
      </c>
      <c r="C492" s="4" t="str">
        <f>IF($L492&lt;&gt;"",INDEX(РАБОТЫ!$Z$2:$Z$1058,MATCH($L492,РАБОТЫ!$V$2:$V$1058,0)),IF(ISNUMBER($K492),INDEX(РАБОТЫ!$Y$2:$Y$1058,$K492),""))</f>
        <v/>
      </c>
      <c r="D492" t="str">
        <f>IF(ISNUMBER($K492),INDEX(РАБОТЫ!$E$2:$E$1058,$K492),"")</f>
        <v/>
      </c>
      <c r="E492" t="str">
        <f>IF(ISNUMBER($K492),INDEX(РАБОТЫ!$M$2:$M$1058,$K492),"")</f>
        <v/>
      </c>
      <c r="F492" s="7" t="str">
        <f>IF(ISNUMBER($K492),INDEX(РАБОТЫ!$S$2:$S$1058,$K492),"")</f>
        <v/>
      </c>
      <c r="G492" s="7" t="str">
        <f>IF(ISNUMBER($K492),INDEX(РАБОТЫ!$T$2:$T$1058,$K492),"")</f>
        <v/>
      </c>
      <c r="H492" s="7" t="str">
        <f t="shared" si="28"/>
        <v/>
      </c>
      <c r="I492" s="7" t="str">
        <f t="shared" si="29"/>
        <v/>
      </c>
      <c r="J492" s="7" t="str">
        <f t="shared" si="30"/>
        <v/>
      </c>
      <c r="K492" t="str">
        <f>IFERROR(MATCH(471,РАБОТЫ!$X$2:$X$1058,0),"")</f>
        <v/>
      </c>
      <c r="L492" t="str">
        <f>IFERROR(IF(INDEX(РАБОТЫ!$W$2:$W$1058,MATCH(471+1,РАБОТЫ!$X$2:$X$1058,0))=1,INDEX(РАБОТЫ!$V$2:$V$1058,MATCH(471+1,РАБОТЫ!$X$2:$X$1058,0)),""),"")</f>
        <v/>
      </c>
      <c r="M492" t="str">
        <f t="shared" si="31"/>
        <v/>
      </c>
    </row>
    <row r="493" spans="1:13" hidden="1" x14ac:dyDescent="0.3">
      <c r="A493" t="str">
        <f>IF(ISNUMBER($K493),INDEX(РАБОТЫ!$U$2:$U$1058,$K493),"")</f>
        <v/>
      </c>
      <c r="B493" t="str">
        <f>IF(ISNUMBER($K493),INDEX(РАБОТЫ!$A$2:$A$1058,$K493),"")</f>
        <v/>
      </c>
      <c r="C493" s="4" t="str">
        <f>IF($L493&lt;&gt;"",INDEX(РАБОТЫ!$Z$2:$Z$1058,MATCH($L493,РАБОТЫ!$V$2:$V$1058,0)),IF(ISNUMBER($K493),INDEX(РАБОТЫ!$Y$2:$Y$1058,$K493),""))</f>
        <v/>
      </c>
      <c r="D493" t="str">
        <f>IF(ISNUMBER($K493),INDEX(РАБОТЫ!$E$2:$E$1058,$K493),"")</f>
        <v/>
      </c>
      <c r="E493" t="str">
        <f>IF(ISNUMBER($K493),INDEX(РАБОТЫ!$M$2:$M$1058,$K493),"")</f>
        <v/>
      </c>
      <c r="F493" s="7" t="str">
        <f>IF(ISNUMBER($K493),INDEX(РАБОТЫ!$S$2:$S$1058,$K493),"")</f>
        <v/>
      </c>
      <c r="G493" s="7" t="str">
        <f>IF(ISNUMBER($K493),INDEX(РАБОТЫ!$T$2:$T$1058,$K493),"")</f>
        <v/>
      </c>
      <c r="H493" s="7" t="str">
        <f t="shared" si="28"/>
        <v/>
      </c>
      <c r="I493" s="7" t="str">
        <f t="shared" si="29"/>
        <v/>
      </c>
      <c r="J493" s="7" t="str">
        <f t="shared" si="30"/>
        <v/>
      </c>
      <c r="K493" t="str">
        <f>IFERROR(MATCH(472,РАБОТЫ!$X$2:$X$1058,0),"")</f>
        <v/>
      </c>
      <c r="L493" t="str">
        <f>IFERROR(IF(INDEX(РАБОТЫ!$W$2:$W$1058,MATCH(472+1,РАБОТЫ!$X$2:$X$1058,0))=1,INDEX(РАБОТЫ!$V$2:$V$1058,MATCH(472+1,РАБОТЫ!$X$2:$X$1058,0)),""),"")</f>
        <v/>
      </c>
      <c r="M493" t="str">
        <f t="shared" si="31"/>
        <v/>
      </c>
    </row>
    <row r="494" spans="1:13" hidden="1" x14ac:dyDescent="0.3">
      <c r="A494" t="str">
        <f>IF(ISNUMBER($K494),INDEX(РАБОТЫ!$U$2:$U$1058,$K494),"")</f>
        <v/>
      </c>
      <c r="B494" t="str">
        <f>IF(ISNUMBER($K494),INDEX(РАБОТЫ!$A$2:$A$1058,$K494),"")</f>
        <v/>
      </c>
      <c r="C494" s="4" t="str">
        <f>IF($L494&lt;&gt;"",INDEX(РАБОТЫ!$Z$2:$Z$1058,MATCH($L494,РАБОТЫ!$V$2:$V$1058,0)),IF(ISNUMBER($K494),INDEX(РАБОТЫ!$Y$2:$Y$1058,$K494),""))</f>
        <v/>
      </c>
      <c r="D494" t="str">
        <f>IF(ISNUMBER($K494),INDEX(РАБОТЫ!$E$2:$E$1058,$K494),"")</f>
        <v/>
      </c>
      <c r="E494" t="str">
        <f>IF(ISNUMBER($K494),INDEX(РАБОТЫ!$M$2:$M$1058,$K494),"")</f>
        <v/>
      </c>
      <c r="F494" s="7" t="str">
        <f>IF(ISNUMBER($K494),INDEX(РАБОТЫ!$S$2:$S$1058,$K494),"")</f>
        <v/>
      </c>
      <c r="G494" s="7" t="str">
        <f>IF(ISNUMBER($K494),INDEX(РАБОТЫ!$T$2:$T$1058,$K494),"")</f>
        <v/>
      </c>
      <c r="H494" s="7" t="str">
        <f t="shared" si="28"/>
        <v/>
      </c>
      <c r="I494" s="7" t="str">
        <f t="shared" si="29"/>
        <v/>
      </c>
      <c r="J494" s="7" t="str">
        <f t="shared" si="30"/>
        <v/>
      </c>
      <c r="K494" t="str">
        <f>IFERROR(MATCH(473,РАБОТЫ!$X$2:$X$1058,0),"")</f>
        <v/>
      </c>
      <c r="L494" t="str">
        <f>IFERROR(IF(INDEX(РАБОТЫ!$W$2:$W$1058,MATCH(473+1,РАБОТЫ!$X$2:$X$1058,0))=1,INDEX(РАБОТЫ!$V$2:$V$1058,MATCH(473+1,РАБОТЫ!$X$2:$X$1058,0)),""),"")</f>
        <v/>
      </c>
      <c r="M494" t="str">
        <f t="shared" si="31"/>
        <v/>
      </c>
    </row>
    <row r="495" spans="1:13" hidden="1" x14ac:dyDescent="0.3">
      <c r="A495" t="str">
        <f>IF(ISNUMBER($K495),INDEX(РАБОТЫ!$U$2:$U$1058,$K495),"")</f>
        <v/>
      </c>
      <c r="B495" t="str">
        <f>IF(ISNUMBER($K495),INDEX(РАБОТЫ!$A$2:$A$1058,$K495),"")</f>
        <v/>
      </c>
      <c r="C495" s="4" t="str">
        <f>IF($L495&lt;&gt;"",INDEX(РАБОТЫ!$Z$2:$Z$1058,MATCH($L495,РАБОТЫ!$V$2:$V$1058,0)),IF(ISNUMBER($K495),INDEX(РАБОТЫ!$Y$2:$Y$1058,$K495),""))</f>
        <v/>
      </c>
      <c r="D495" t="str">
        <f>IF(ISNUMBER($K495),INDEX(РАБОТЫ!$E$2:$E$1058,$K495),"")</f>
        <v/>
      </c>
      <c r="E495" t="str">
        <f>IF(ISNUMBER($K495),INDEX(РАБОТЫ!$M$2:$M$1058,$K495),"")</f>
        <v/>
      </c>
      <c r="F495" s="7" t="str">
        <f>IF(ISNUMBER($K495),INDEX(РАБОТЫ!$S$2:$S$1058,$K495),"")</f>
        <v/>
      </c>
      <c r="G495" s="7" t="str">
        <f>IF(ISNUMBER($K495),INDEX(РАБОТЫ!$T$2:$T$1058,$K495),"")</f>
        <v/>
      </c>
      <c r="H495" s="7" t="str">
        <f t="shared" si="28"/>
        <v/>
      </c>
      <c r="I495" s="7" t="str">
        <f t="shared" si="29"/>
        <v/>
      </c>
      <c r="J495" s="7" t="str">
        <f t="shared" si="30"/>
        <v/>
      </c>
      <c r="K495" t="str">
        <f>IFERROR(MATCH(474,РАБОТЫ!$X$2:$X$1058,0),"")</f>
        <v/>
      </c>
      <c r="L495" t="str">
        <f>IFERROR(IF(INDEX(РАБОТЫ!$W$2:$W$1058,MATCH(474+1,РАБОТЫ!$X$2:$X$1058,0))=1,INDEX(РАБОТЫ!$V$2:$V$1058,MATCH(474+1,РАБОТЫ!$X$2:$X$1058,0)),""),"")</f>
        <v/>
      </c>
      <c r="M495" t="str">
        <f t="shared" si="31"/>
        <v/>
      </c>
    </row>
    <row r="496" spans="1:13" hidden="1" x14ac:dyDescent="0.3">
      <c r="A496" t="str">
        <f>IF(ISNUMBER($K496),INDEX(РАБОТЫ!$U$2:$U$1058,$K496),"")</f>
        <v/>
      </c>
      <c r="B496" t="str">
        <f>IF(ISNUMBER($K496),INDEX(РАБОТЫ!$A$2:$A$1058,$K496),"")</f>
        <v/>
      </c>
      <c r="C496" s="4" t="str">
        <f>IF($L496&lt;&gt;"",INDEX(РАБОТЫ!$Z$2:$Z$1058,MATCH($L496,РАБОТЫ!$V$2:$V$1058,0)),IF(ISNUMBER($K496),INDEX(РАБОТЫ!$Y$2:$Y$1058,$K496),""))</f>
        <v/>
      </c>
      <c r="D496" t="str">
        <f>IF(ISNUMBER($K496),INDEX(РАБОТЫ!$E$2:$E$1058,$K496),"")</f>
        <v/>
      </c>
      <c r="E496" t="str">
        <f>IF(ISNUMBER($K496),INDEX(РАБОТЫ!$M$2:$M$1058,$K496),"")</f>
        <v/>
      </c>
      <c r="F496" s="7" t="str">
        <f>IF(ISNUMBER($K496),INDEX(РАБОТЫ!$S$2:$S$1058,$K496),"")</f>
        <v/>
      </c>
      <c r="G496" s="7" t="str">
        <f>IF(ISNUMBER($K496),INDEX(РАБОТЫ!$T$2:$T$1058,$K496),"")</f>
        <v/>
      </c>
      <c r="H496" s="7" t="str">
        <f t="shared" si="28"/>
        <v/>
      </c>
      <c r="I496" s="7" t="str">
        <f t="shared" si="29"/>
        <v/>
      </c>
      <c r="J496" s="7" t="str">
        <f t="shared" si="30"/>
        <v/>
      </c>
      <c r="K496" t="str">
        <f>IFERROR(MATCH(475,РАБОТЫ!$X$2:$X$1058,0),"")</f>
        <v/>
      </c>
      <c r="L496" t="str">
        <f>IFERROR(IF(INDEX(РАБОТЫ!$W$2:$W$1058,MATCH(475+1,РАБОТЫ!$X$2:$X$1058,0))=1,INDEX(РАБОТЫ!$V$2:$V$1058,MATCH(475+1,РАБОТЫ!$X$2:$X$1058,0)),""),"")</f>
        <v/>
      </c>
      <c r="M496" t="str">
        <f t="shared" si="31"/>
        <v/>
      </c>
    </row>
    <row r="497" spans="1:13" hidden="1" x14ac:dyDescent="0.3">
      <c r="A497" t="str">
        <f>IF(ISNUMBER($K497),INDEX(РАБОТЫ!$U$2:$U$1058,$K497),"")</f>
        <v/>
      </c>
      <c r="B497" t="str">
        <f>IF(ISNUMBER($K497),INDEX(РАБОТЫ!$A$2:$A$1058,$K497),"")</f>
        <v/>
      </c>
      <c r="C497" s="4" t="str">
        <f>IF($L497&lt;&gt;"",INDEX(РАБОТЫ!$Z$2:$Z$1058,MATCH($L497,РАБОТЫ!$V$2:$V$1058,0)),IF(ISNUMBER($K497),INDEX(РАБОТЫ!$Y$2:$Y$1058,$K497),""))</f>
        <v/>
      </c>
      <c r="D497" t="str">
        <f>IF(ISNUMBER($K497),INDEX(РАБОТЫ!$E$2:$E$1058,$K497),"")</f>
        <v/>
      </c>
      <c r="E497" t="str">
        <f>IF(ISNUMBER($K497),INDEX(РАБОТЫ!$M$2:$M$1058,$K497),"")</f>
        <v/>
      </c>
      <c r="F497" s="7" t="str">
        <f>IF(ISNUMBER($K497),INDEX(РАБОТЫ!$S$2:$S$1058,$K497),"")</f>
        <v/>
      </c>
      <c r="G497" s="7" t="str">
        <f>IF(ISNUMBER($K497),INDEX(РАБОТЫ!$T$2:$T$1058,$K497),"")</f>
        <v/>
      </c>
      <c r="H497" s="7" t="str">
        <f t="shared" si="28"/>
        <v/>
      </c>
      <c r="I497" s="7" t="str">
        <f t="shared" si="29"/>
        <v/>
      </c>
      <c r="J497" s="7" t="str">
        <f t="shared" si="30"/>
        <v/>
      </c>
      <c r="K497" t="str">
        <f>IFERROR(MATCH(476,РАБОТЫ!$X$2:$X$1058,0),"")</f>
        <v/>
      </c>
      <c r="L497" t="str">
        <f>IFERROR(IF(INDEX(РАБОТЫ!$W$2:$W$1058,MATCH(476+1,РАБОТЫ!$X$2:$X$1058,0))=1,INDEX(РАБОТЫ!$V$2:$V$1058,MATCH(476+1,РАБОТЫ!$X$2:$X$1058,0)),""),"")</f>
        <v/>
      </c>
      <c r="M497" t="str">
        <f t="shared" si="31"/>
        <v/>
      </c>
    </row>
    <row r="498" spans="1:13" hidden="1" x14ac:dyDescent="0.3">
      <c r="A498" t="str">
        <f>IF(ISNUMBER($K498),INDEX(РАБОТЫ!$U$2:$U$1058,$K498),"")</f>
        <v/>
      </c>
      <c r="B498" t="str">
        <f>IF(ISNUMBER($K498),INDEX(РАБОТЫ!$A$2:$A$1058,$K498),"")</f>
        <v/>
      </c>
      <c r="C498" s="4" t="str">
        <f>IF($L498&lt;&gt;"",INDEX(РАБОТЫ!$Z$2:$Z$1058,MATCH($L498,РАБОТЫ!$V$2:$V$1058,0)),IF(ISNUMBER($K498),INDEX(РАБОТЫ!$Y$2:$Y$1058,$K498),""))</f>
        <v/>
      </c>
      <c r="D498" t="str">
        <f>IF(ISNUMBER($K498),INDEX(РАБОТЫ!$E$2:$E$1058,$K498),"")</f>
        <v/>
      </c>
      <c r="E498" t="str">
        <f>IF(ISNUMBER($K498),INDEX(РАБОТЫ!$M$2:$M$1058,$K498),"")</f>
        <v/>
      </c>
      <c r="F498" s="7" t="str">
        <f>IF(ISNUMBER($K498),INDEX(РАБОТЫ!$S$2:$S$1058,$K498),"")</f>
        <v/>
      </c>
      <c r="G498" s="7" t="str">
        <f>IF(ISNUMBER($K498),INDEX(РАБОТЫ!$T$2:$T$1058,$K498),"")</f>
        <v/>
      </c>
      <c r="H498" s="7" t="str">
        <f t="shared" si="28"/>
        <v/>
      </c>
      <c r="I498" s="7" t="str">
        <f t="shared" si="29"/>
        <v/>
      </c>
      <c r="J498" s="7" t="str">
        <f t="shared" si="30"/>
        <v/>
      </c>
      <c r="K498" t="str">
        <f>IFERROR(MATCH(477,РАБОТЫ!$X$2:$X$1058,0),"")</f>
        <v/>
      </c>
      <c r="L498" t="str">
        <f>IFERROR(IF(INDEX(РАБОТЫ!$W$2:$W$1058,MATCH(477+1,РАБОТЫ!$X$2:$X$1058,0))=1,INDEX(РАБОТЫ!$V$2:$V$1058,MATCH(477+1,РАБОТЫ!$X$2:$X$1058,0)),""),"")</f>
        <v/>
      </c>
      <c r="M498" t="str">
        <f t="shared" si="31"/>
        <v/>
      </c>
    </row>
    <row r="499" spans="1:13" hidden="1" x14ac:dyDescent="0.3">
      <c r="A499" t="str">
        <f>IF(ISNUMBER($K499),INDEX(РАБОТЫ!$U$2:$U$1058,$K499),"")</f>
        <v/>
      </c>
      <c r="B499" t="str">
        <f>IF(ISNUMBER($K499),INDEX(РАБОТЫ!$A$2:$A$1058,$K499),"")</f>
        <v/>
      </c>
      <c r="C499" s="4" t="str">
        <f>IF($L499&lt;&gt;"",INDEX(РАБОТЫ!$Z$2:$Z$1058,MATCH($L499,РАБОТЫ!$V$2:$V$1058,0)),IF(ISNUMBER($K499),INDEX(РАБОТЫ!$Y$2:$Y$1058,$K499),""))</f>
        <v/>
      </c>
      <c r="D499" t="str">
        <f>IF(ISNUMBER($K499),INDEX(РАБОТЫ!$E$2:$E$1058,$K499),"")</f>
        <v/>
      </c>
      <c r="E499" t="str">
        <f>IF(ISNUMBER($K499),INDEX(РАБОТЫ!$M$2:$M$1058,$K499),"")</f>
        <v/>
      </c>
      <c r="F499" s="7" t="str">
        <f>IF(ISNUMBER($K499),INDEX(РАБОТЫ!$S$2:$S$1058,$K499),"")</f>
        <v/>
      </c>
      <c r="G499" s="7" t="str">
        <f>IF(ISNUMBER($K499),INDEX(РАБОТЫ!$T$2:$T$1058,$K499),"")</f>
        <v/>
      </c>
      <c r="H499" s="7" t="str">
        <f t="shared" si="28"/>
        <v/>
      </c>
      <c r="I499" s="7" t="str">
        <f t="shared" si="29"/>
        <v/>
      </c>
      <c r="J499" s="7" t="str">
        <f t="shared" si="30"/>
        <v/>
      </c>
      <c r="K499" t="str">
        <f>IFERROR(MATCH(478,РАБОТЫ!$X$2:$X$1058,0),"")</f>
        <v/>
      </c>
      <c r="L499" t="str">
        <f>IFERROR(IF(INDEX(РАБОТЫ!$W$2:$W$1058,MATCH(478+1,РАБОТЫ!$X$2:$X$1058,0))=1,INDEX(РАБОТЫ!$V$2:$V$1058,MATCH(478+1,РАБОТЫ!$X$2:$X$1058,0)),""),"")</f>
        <v/>
      </c>
      <c r="M499" t="str">
        <f t="shared" si="31"/>
        <v/>
      </c>
    </row>
    <row r="500" spans="1:13" hidden="1" x14ac:dyDescent="0.3">
      <c r="A500" t="str">
        <f>IF(ISNUMBER($K500),INDEX(РАБОТЫ!$U$2:$U$1058,$K500),"")</f>
        <v/>
      </c>
      <c r="B500" t="str">
        <f>IF(ISNUMBER($K500),INDEX(РАБОТЫ!$A$2:$A$1058,$K500),"")</f>
        <v/>
      </c>
      <c r="C500" s="4" t="str">
        <f>IF($L500&lt;&gt;"",INDEX(РАБОТЫ!$Z$2:$Z$1058,MATCH($L500,РАБОТЫ!$V$2:$V$1058,0)),IF(ISNUMBER($K500),INDEX(РАБОТЫ!$Y$2:$Y$1058,$K500),""))</f>
        <v/>
      </c>
      <c r="D500" t="str">
        <f>IF(ISNUMBER($K500),INDEX(РАБОТЫ!$E$2:$E$1058,$K500),"")</f>
        <v/>
      </c>
      <c r="E500" t="str">
        <f>IF(ISNUMBER($K500),INDEX(РАБОТЫ!$M$2:$M$1058,$K500),"")</f>
        <v/>
      </c>
      <c r="F500" s="7" t="str">
        <f>IF(ISNUMBER($K500),INDEX(РАБОТЫ!$S$2:$S$1058,$K500),"")</f>
        <v/>
      </c>
      <c r="G500" s="7" t="str">
        <f>IF(ISNUMBER($K500),INDEX(РАБОТЫ!$T$2:$T$1058,$K500),"")</f>
        <v/>
      </c>
      <c r="H500" s="7" t="str">
        <f t="shared" si="28"/>
        <v/>
      </c>
      <c r="I500" s="7" t="str">
        <f t="shared" si="29"/>
        <v/>
      </c>
      <c r="J500" s="7" t="str">
        <f t="shared" si="30"/>
        <v/>
      </c>
      <c r="K500" t="str">
        <f>IFERROR(MATCH(479,РАБОТЫ!$X$2:$X$1058,0),"")</f>
        <v/>
      </c>
      <c r="L500" t="str">
        <f>IFERROR(IF(INDEX(РАБОТЫ!$W$2:$W$1058,MATCH(479+1,РАБОТЫ!$X$2:$X$1058,0))=1,INDEX(РАБОТЫ!$V$2:$V$1058,MATCH(479+1,РАБОТЫ!$X$2:$X$1058,0)),""),"")</f>
        <v/>
      </c>
      <c r="M500" t="str">
        <f t="shared" si="31"/>
        <v/>
      </c>
    </row>
    <row r="501" spans="1:13" hidden="1" x14ac:dyDescent="0.3">
      <c r="A501" t="str">
        <f>IF(ISNUMBER($K501),INDEX(РАБОТЫ!$U$2:$U$1058,$K501),"")</f>
        <v/>
      </c>
      <c r="B501" t="str">
        <f>IF(ISNUMBER($K501),INDEX(РАБОТЫ!$A$2:$A$1058,$K501),"")</f>
        <v/>
      </c>
      <c r="C501" s="4" t="str">
        <f>IF($L501&lt;&gt;"",INDEX(РАБОТЫ!$Z$2:$Z$1058,MATCH($L501,РАБОТЫ!$V$2:$V$1058,0)),IF(ISNUMBER($K501),INDEX(РАБОТЫ!$Y$2:$Y$1058,$K501),""))</f>
        <v/>
      </c>
      <c r="D501" t="str">
        <f>IF(ISNUMBER($K501),INDEX(РАБОТЫ!$E$2:$E$1058,$K501),"")</f>
        <v/>
      </c>
      <c r="E501" t="str">
        <f>IF(ISNUMBER($K501),INDEX(РАБОТЫ!$M$2:$M$1058,$K501),"")</f>
        <v/>
      </c>
      <c r="F501" s="7" t="str">
        <f>IF(ISNUMBER($K501),INDEX(РАБОТЫ!$S$2:$S$1058,$K501),"")</f>
        <v/>
      </c>
      <c r="G501" s="7" t="str">
        <f>IF(ISNUMBER($K501),INDEX(РАБОТЫ!$T$2:$T$1058,$K501),"")</f>
        <v/>
      </c>
      <c r="H501" s="7" t="str">
        <f t="shared" si="28"/>
        <v/>
      </c>
      <c r="I501" s="7" t="str">
        <f t="shared" si="29"/>
        <v/>
      </c>
      <c r="J501" s="7" t="str">
        <f t="shared" si="30"/>
        <v/>
      </c>
      <c r="K501" t="str">
        <f>IFERROR(MATCH(480,РАБОТЫ!$X$2:$X$1058,0),"")</f>
        <v/>
      </c>
      <c r="L501" t="str">
        <f>IFERROR(IF(INDEX(РАБОТЫ!$W$2:$W$1058,MATCH(480+1,РАБОТЫ!$X$2:$X$1058,0))=1,INDEX(РАБОТЫ!$V$2:$V$1058,MATCH(480+1,РАБОТЫ!$X$2:$X$1058,0)),""),"")</f>
        <v/>
      </c>
      <c r="M501" t="str">
        <f t="shared" si="31"/>
        <v/>
      </c>
    </row>
    <row r="502" spans="1:13" hidden="1" x14ac:dyDescent="0.3">
      <c r="A502" t="str">
        <f>IF(ISNUMBER($K502),INDEX(РАБОТЫ!$U$2:$U$1058,$K502),"")</f>
        <v/>
      </c>
      <c r="B502" t="str">
        <f>IF(ISNUMBER($K502),INDEX(РАБОТЫ!$A$2:$A$1058,$K502),"")</f>
        <v/>
      </c>
      <c r="C502" s="4" t="str">
        <f>IF($L502&lt;&gt;"",INDEX(РАБОТЫ!$Z$2:$Z$1058,MATCH($L502,РАБОТЫ!$V$2:$V$1058,0)),IF(ISNUMBER($K502),INDEX(РАБОТЫ!$Y$2:$Y$1058,$K502),""))</f>
        <v/>
      </c>
      <c r="D502" t="str">
        <f>IF(ISNUMBER($K502),INDEX(РАБОТЫ!$E$2:$E$1058,$K502),"")</f>
        <v/>
      </c>
      <c r="E502" t="str">
        <f>IF(ISNUMBER($K502),INDEX(РАБОТЫ!$M$2:$M$1058,$K502),"")</f>
        <v/>
      </c>
      <c r="F502" s="7" t="str">
        <f>IF(ISNUMBER($K502),INDEX(РАБОТЫ!$S$2:$S$1058,$K502),"")</f>
        <v/>
      </c>
      <c r="G502" s="7" t="str">
        <f>IF(ISNUMBER($K502),INDEX(РАБОТЫ!$T$2:$T$1058,$K502),"")</f>
        <v/>
      </c>
      <c r="H502" s="7" t="str">
        <f t="shared" si="28"/>
        <v/>
      </c>
      <c r="I502" s="7" t="str">
        <f t="shared" si="29"/>
        <v/>
      </c>
      <c r="J502" s="7" t="str">
        <f t="shared" si="30"/>
        <v/>
      </c>
      <c r="K502" t="str">
        <f>IFERROR(MATCH(481,РАБОТЫ!$X$2:$X$1058,0),"")</f>
        <v/>
      </c>
      <c r="L502" t="str">
        <f>IFERROR(IF(INDEX(РАБОТЫ!$W$2:$W$1058,MATCH(481+1,РАБОТЫ!$X$2:$X$1058,0))=1,INDEX(РАБОТЫ!$V$2:$V$1058,MATCH(481+1,РАБОТЫ!$X$2:$X$1058,0)),""),"")</f>
        <v/>
      </c>
      <c r="M502" t="str">
        <f t="shared" si="31"/>
        <v/>
      </c>
    </row>
    <row r="503" spans="1:13" hidden="1" x14ac:dyDescent="0.3">
      <c r="A503" t="str">
        <f>IF(ISNUMBER($K503),INDEX(РАБОТЫ!$U$2:$U$1058,$K503),"")</f>
        <v/>
      </c>
      <c r="B503" t="str">
        <f>IF(ISNUMBER($K503),INDEX(РАБОТЫ!$A$2:$A$1058,$K503),"")</f>
        <v/>
      </c>
      <c r="C503" s="4" t="str">
        <f>IF($L503&lt;&gt;"",INDEX(РАБОТЫ!$Z$2:$Z$1058,MATCH($L503,РАБОТЫ!$V$2:$V$1058,0)),IF(ISNUMBER($K503),INDEX(РАБОТЫ!$Y$2:$Y$1058,$K503),""))</f>
        <v/>
      </c>
      <c r="D503" t="str">
        <f>IF(ISNUMBER($K503),INDEX(РАБОТЫ!$E$2:$E$1058,$K503),"")</f>
        <v/>
      </c>
      <c r="E503" t="str">
        <f>IF(ISNUMBER($K503),INDEX(РАБОТЫ!$M$2:$M$1058,$K503),"")</f>
        <v/>
      </c>
      <c r="F503" s="7" t="str">
        <f>IF(ISNUMBER($K503),INDEX(РАБОТЫ!$S$2:$S$1058,$K503),"")</f>
        <v/>
      </c>
      <c r="G503" s="7" t="str">
        <f>IF(ISNUMBER($K503),INDEX(РАБОТЫ!$T$2:$T$1058,$K503),"")</f>
        <v/>
      </c>
      <c r="H503" s="7" t="str">
        <f t="shared" si="28"/>
        <v/>
      </c>
      <c r="I503" s="7" t="str">
        <f t="shared" si="29"/>
        <v/>
      </c>
      <c r="J503" s="7" t="str">
        <f t="shared" si="30"/>
        <v/>
      </c>
      <c r="K503" t="str">
        <f>IFERROR(MATCH(482,РАБОТЫ!$X$2:$X$1058,0),"")</f>
        <v/>
      </c>
      <c r="L503" t="str">
        <f>IFERROR(IF(INDEX(РАБОТЫ!$W$2:$W$1058,MATCH(482+1,РАБОТЫ!$X$2:$X$1058,0))=1,INDEX(РАБОТЫ!$V$2:$V$1058,MATCH(482+1,РАБОТЫ!$X$2:$X$1058,0)),""),"")</f>
        <v/>
      </c>
      <c r="M503" t="str">
        <f t="shared" si="31"/>
        <v/>
      </c>
    </row>
    <row r="504" spans="1:13" hidden="1" x14ac:dyDescent="0.3">
      <c r="A504" t="str">
        <f>IF(ISNUMBER($K504),INDEX(РАБОТЫ!$U$2:$U$1058,$K504),"")</f>
        <v/>
      </c>
      <c r="B504" t="str">
        <f>IF(ISNUMBER($K504),INDEX(РАБОТЫ!$A$2:$A$1058,$K504),"")</f>
        <v/>
      </c>
      <c r="C504" s="4" t="str">
        <f>IF($L504&lt;&gt;"",INDEX(РАБОТЫ!$Z$2:$Z$1058,MATCH($L504,РАБОТЫ!$V$2:$V$1058,0)),IF(ISNUMBER($K504),INDEX(РАБОТЫ!$Y$2:$Y$1058,$K504),""))</f>
        <v/>
      </c>
      <c r="D504" t="str">
        <f>IF(ISNUMBER($K504),INDEX(РАБОТЫ!$E$2:$E$1058,$K504),"")</f>
        <v/>
      </c>
      <c r="E504" t="str">
        <f>IF(ISNUMBER($K504),INDEX(РАБОТЫ!$M$2:$M$1058,$K504),"")</f>
        <v/>
      </c>
      <c r="F504" s="7" t="str">
        <f>IF(ISNUMBER($K504),INDEX(РАБОТЫ!$S$2:$S$1058,$K504),"")</f>
        <v/>
      </c>
      <c r="G504" s="7" t="str">
        <f>IF(ISNUMBER($K504),INDEX(РАБОТЫ!$T$2:$T$1058,$K504),"")</f>
        <v/>
      </c>
      <c r="H504" s="7" t="str">
        <f t="shared" si="28"/>
        <v/>
      </c>
      <c r="I504" s="7" t="str">
        <f t="shared" si="29"/>
        <v/>
      </c>
      <c r="J504" s="7" t="str">
        <f t="shared" si="30"/>
        <v/>
      </c>
      <c r="K504" t="str">
        <f>IFERROR(MATCH(483,РАБОТЫ!$X$2:$X$1058,0),"")</f>
        <v/>
      </c>
      <c r="L504" t="str">
        <f>IFERROR(IF(INDEX(РАБОТЫ!$W$2:$W$1058,MATCH(483+1,РАБОТЫ!$X$2:$X$1058,0))=1,INDEX(РАБОТЫ!$V$2:$V$1058,MATCH(483+1,РАБОТЫ!$X$2:$X$1058,0)),""),"")</f>
        <v/>
      </c>
      <c r="M504" t="str">
        <f t="shared" si="31"/>
        <v/>
      </c>
    </row>
    <row r="505" spans="1:13" hidden="1" x14ac:dyDescent="0.3">
      <c r="A505" t="str">
        <f>IF(ISNUMBER($K505),INDEX(РАБОТЫ!$U$2:$U$1058,$K505),"")</f>
        <v/>
      </c>
      <c r="B505" t="str">
        <f>IF(ISNUMBER($K505),INDEX(РАБОТЫ!$A$2:$A$1058,$K505),"")</f>
        <v/>
      </c>
      <c r="C505" s="4" t="str">
        <f>IF($L505&lt;&gt;"",INDEX(РАБОТЫ!$Z$2:$Z$1058,MATCH($L505,РАБОТЫ!$V$2:$V$1058,0)),IF(ISNUMBER($K505),INDEX(РАБОТЫ!$Y$2:$Y$1058,$K505),""))</f>
        <v/>
      </c>
      <c r="D505" t="str">
        <f>IF(ISNUMBER($K505),INDEX(РАБОТЫ!$E$2:$E$1058,$K505),"")</f>
        <v/>
      </c>
      <c r="E505" t="str">
        <f>IF(ISNUMBER($K505),INDEX(РАБОТЫ!$M$2:$M$1058,$K505),"")</f>
        <v/>
      </c>
      <c r="F505" s="7" t="str">
        <f>IF(ISNUMBER($K505),INDEX(РАБОТЫ!$S$2:$S$1058,$K505),"")</f>
        <v/>
      </c>
      <c r="G505" s="7" t="str">
        <f>IF(ISNUMBER($K505),INDEX(РАБОТЫ!$T$2:$T$1058,$K505),"")</f>
        <v/>
      </c>
      <c r="H505" s="7" t="str">
        <f t="shared" si="28"/>
        <v/>
      </c>
      <c r="I505" s="7" t="str">
        <f t="shared" si="29"/>
        <v/>
      </c>
      <c r="J505" s="7" t="str">
        <f t="shared" si="30"/>
        <v/>
      </c>
      <c r="K505" t="str">
        <f>IFERROR(MATCH(484,РАБОТЫ!$X$2:$X$1058,0),"")</f>
        <v/>
      </c>
      <c r="L505" t="str">
        <f>IFERROR(IF(INDEX(РАБОТЫ!$W$2:$W$1058,MATCH(484+1,РАБОТЫ!$X$2:$X$1058,0))=1,INDEX(РАБОТЫ!$V$2:$V$1058,MATCH(484+1,РАБОТЫ!$X$2:$X$1058,0)),""),"")</f>
        <v/>
      </c>
      <c r="M505" t="str">
        <f t="shared" si="31"/>
        <v/>
      </c>
    </row>
    <row r="506" spans="1:13" hidden="1" x14ac:dyDescent="0.3">
      <c r="A506" t="str">
        <f>IF(ISNUMBER($K506),INDEX(РАБОТЫ!$U$2:$U$1058,$K506),"")</f>
        <v/>
      </c>
      <c r="B506" t="str">
        <f>IF(ISNUMBER($K506),INDEX(РАБОТЫ!$A$2:$A$1058,$K506),"")</f>
        <v/>
      </c>
      <c r="C506" s="4" t="str">
        <f>IF($L506&lt;&gt;"",INDEX(РАБОТЫ!$Z$2:$Z$1058,MATCH($L506,РАБОТЫ!$V$2:$V$1058,0)),IF(ISNUMBER($K506),INDEX(РАБОТЫ!$Y$2:$Y$1058,$K506),""))</f>
        <v/>
      </c>
      <c r="D506" t="str">
        <f>IF(ISNUMBER($K506),INDEX(РАБОТЫ!$E$2:$E$1058,$K506),"")</f>
        <v/>
      </c>
      <c r="E506" t="str">
        <f>IF(ISNUMBER($K506),INDEX(РАБОТЫ!$M$2:$M$1058,$K506),"")</f>
        <v/>
      </c>
      <c r="F506" s="7" t="str">
        <f>IF(ISNUMBER($K506),INDEX(РАБОТЫ!$S$2:$S$1058,$K506),"")</f>
        <v/>
      </c>
      <c r="G506" s="7" t="str">
        <f>IF(ISNUMBER($K506),INDEX(РАБОТЫ!$T$2:$T$1058,$K506),"")</f>
        <v/>
      </c>
      <c r="H506" s="7" t="str">
        <f t="shared" si="28"/>
        <v/>
      </c>
      <c r="I506" s="7" t="str">
        <f t="shared" si="29"/>
        <v/>
      </c>
      <c r="J506" s="7" t="str">
        <f t="shared" si="30"/>
        <v/>
      </c>
      <c r="K506" t="str">
        <f>IFERROR(MATCH(485,РАБОТЫ!$X$2:$X$1058,0),"")</f>
        <v/>
      </c>
      <c r="L506" t="str">
        <f>IFERROR(IF(INDEX(РАБОТЫ!$W$2:$W$1058,MATCH(485+1,РАБОТЫ!$X$2:$X$1058,0))=1,INDEX(РАБОТЫ!$V$2:$V$1058,MATCH(485+1,РАБОТЫ!$X$2:$X$1058,0)),""),"")</f>
        <v/>
      </c>
      <c r="M506" t="str">
        <f t="shared" si="31"/>
        <v/>
      </c>
    </row>
    <row r="507" spans="1:13" hidden="1" x14ac:dyDescent="0.3">
      <c r="A507" t="str">
        <f>IF(ISNUMBER($K507),INDEX(РАБОТЫ!$U$2:$U$1058,$K507),"")</f>
        <v/>
      </c>
      <c r="B507" t="str">
        <f>IF(ISNUMBER($K507),INDEX(РАБОТЫ!$A$2:$A$1058,$K507),"")</f>
        <v/>
      </c>
      <c r="C507" s="4" t="str">
        <f>IF($L507&lt;&gt;"",INDEX(РАБОТЫ!$Z$2:$Z$1058,MATCH($L507,РАБОТЫ!$V$2:$V$1058,0)),IF(ISNUMBER($K507),INDEX(РАБОТЫ!$Y$2:$Y$1058,$K507),""))</f>
        <v/>
      </c>
      <c r="D507" t="str">
        <f>IF(ISNUMBER($K507),INDEX(РАБОТЫ!$E$2:$E$1058,$K507),"")</f>
        <v/>
      </c>
      <c r="E507" t="str">
        <f>IF(ISNUMBER($K507),INDEX(РАБОТЫ!$M$2:$M$1058,$K507),"")</f>
        <v/>
      </c>
      <c r="F507" s="7" t="str">
        <f>IF(ISNUMBER($K507),INDEX(РАБОТЫ!$S$2:$S$1058,$K507),"")</f>
        <v/>
      </c>
      <c r="G507" s="7" t="str">
        <f>IF(ISNUMBER($K507),INDEX(РАБОТЫ!$T$2:$T$1058,$K507),"")</f>
        <v/>
      </c>
      <c r="H507" s="7" t="str">
        <f t="shared" si="28"/>
        <v/>
      </c>
      <c r="I507" s="7" t="str">
        <f t="shared" si="29"/>
        <v/>
      </c>
      <c r="J507" s="7" t="str">
        <f t="shared" si="30"/>
        <v/>
      </c>
      <c r="K507" t="str">
        <f>IFERROR(MATCH(486,РАБОТЫ!$X$2:$X$1058,0),"")</f>
        <v/>
      </c>
      <c r="L507" t="str">
        <f>IFERROR(IF(INDEX(РАБОТЫ!$W$2:$W$1058,MATCH(486+1,РАБОТЫ!$X$2:$X$1058,0))=1,INDEX(РАБОТЫ!$V$2:$V$1058,MATCH(486+1,РАБОТЫ!$X$2:$X$1058,0)),""),"")</f>
        <v/>
      </c>
      <c r="M507" t="str">
        <f t="shared" si="31"/>
        <v/>
      </c>
    </row>
    <row r="508" spans="1:13" hidden="1" x14ac:dyDescent="0.3">
      <c r="A508" t="str">
        <f>IF(ISNUMBER($K508),INDEX(РАБОТЫ!$U$2:$U$1058,$K508),"")</f>
        <v/>
      </c>
      <c r="B508" t="str">
        <f>IF(ISNUMBER($K508),INDEX(РАБОТЫ!$A$2:$A$1058,$K508),"")</f>
        <v/>
      </c>
      <c r="C508" s="4" t="str">
        <f>IF($L508&lt;&gt;"",INDEX(РАБОТЫ!$Z$2:$Z$1058,MATCH($L508,РАБОТЫ!$V$2:$V$1058,0)),IF(ISNUMBER($K508),INDEX(РАБОТЫ!$Y$2:$Y$1058,$K508),""))</f>
        <v/>
      </c>
      <c r="D508" t="str">
        <f>IF(ISNUMBER($K508),INDEX(РАБОТЫ!$E$2:$E$1058,$K508),"")</f>
        <v/>
      </c>
      <c r="E508" t="str">
        <f>IF(ISNUMBER($K508),INDEX(РАБОТЫ!$M$2:$M$1058,$K508),"")</f>
        <v/>
      </c>
      <c r="F508" s="7" t="str">
        <f>IF(ISNUMBER($K508),INDEX(РАБОТЫ!$S$2:$S$1058,$K508),"")</f>
        <v/>
      </c>
      <c r="G508" s="7" t="str">
        <f>IF(ISNUMBER($K508),INDEX(РАБОТЫ!$T$2:$T$1058,$K508),"")</f>
        <v/>
      </c>
      <c r="H508" s="7" t="str">
        <f t="shared" si="28"/>
        <v/>
      </c>
      <c r="I508" s="7" t="str">
        <f t="shared" si="29"/>
        <v/>
      </c>
      <c r="J508" s="7" t="str">
        <f t="shared" si="30"/>
        <v/>
      </c>
      <c r="K508" t="str">
        <f>IFERROR(MATCH(487,РАБОТЫ!$X$2:$X$1058,0),"")</f>
        <v/>
      </c>
      <c r="L508" t="str">
        <f>IFERROR(IF(INDEX(РАБОТЫ!$W$2:$W$1058,MATCH(487+1,РАБОТЫ!$X$2:$X$1058,0))=1,INDEX(РАБОТЫ!$V$2:$V$1058,MATCH(487+1,РАБОТЫ!$X$2:$X$1058,0)),""),"")</f>
        <v/>
      </c>
      <c r="M508" t="str">
        <f t="shared" si="31"/>
        <v/>
      </c>
    </row>
    <row r="509" spans="1:13" hidden="1" x14ac:dyDescent="0.3">
      <c r="A509" t="str">
        <f>IF(ISNUMBER($K509),INDEX(РАБОТЫ!$U$2:$U$1058,$K509),"")</f>
        <v/>
      </c>
      <c r="B509" t="str">
        <f>IF(ISNUMBER($K509),INDEX(РАБОТЫ!$A$2:$A$1058,$K509),"")</f>
        <v/>
      </c>
      <c r="C509" s="4" t="str">
        <f>IF($L509&lt;&gt;"",INDEX(РАБОТЫ!$Z$2:$Z$1058,MATCH($L509,РАБОТЫ!$V$2:$V$1058,0)),IF(ISNUMBER($K509),INDEX(РАБОТЫ!$Y$2:$Y$1058,$K509),""))</f>
        <v/>
      </c>
      <c r="D509" t="str">
        <f>IF(ISNUMBER($K509),INDEX(РАБОТЫ!$E$2:$E$1058,$K509),"")</f>
        <v/>
      </c>
      <c r="E509" t="str">
        <f>IF(ISNUMBER($K509),INDEX(РАБОТЫ!$M$2:$M$1058,$K509),"")</f>
        <v/>
      </c>
      <c r="F509" s="7" t="str">
        <f>IF(ISNUMBER($K509),INDEX(РАБОТЫ!$S$2:$S$1058,$K509),"")</f>
        <v/>
      </c>
      <c r="G509" s="7" t="str">
        <f>IF(ISNUMBER($K509),INDEX(РАБОТЫ!$T$2:$T$1058,$K509),"")</f>
        <v/>
      </c>
      <c r="H509" s="7" t="str">
        <f t="shared" si="28"/>
        <v/>
      </c>
      <c r="I509" s="7" t="str">
        <f t="shared" si="29"/>
        <v/>
      </c>
      <c r="J509" s="7" t="str">
        <f t="shared" si="30"/>
        <v/>
      </c>
      <c r="K509" t="str">
        <f>IFERROR(MATCH(488,РАБОТЫ!$X$2:$X$1058,0),"")</f>
        <v/>
      </c>
      <c r="L509" t="str">
        <f>IFERROR(IF(INDEX(РАБОТЫ!$W$2:$W$1058,MATCH(488+1,РАБОТЫ!$X$2:$X$1058,0))=1,INDEX(РАБОТЫ!$V$2:$V$1058,MATCH(488+1,РАБОТЫ!$X$2:$X$1058,0)),""),"")</f>
        <v/>
      </c>
      <c r="M509" t="str">
        <f t="shared" si="31"/>
        <v/>
      </c>
    </row>
    <row r="510" spans="1:13" hidden="1" x14ac:dyDescent="0.3">
      <c r="A510" t="str">
        <f>IF(ISNUMBER($K510),INDEX(РАБОТЫ!$U$2:$U$1058,$K510),"")</f>
        <v/>
      </c>
      <c r="B510" t="str">
        <f>IF(ISNUMBER($K510),INDEX(РАБОТЫ!$A$2:$A$1058,$K510),"")</f>
        <v/>
      </c>
      <c r="C510" s="4" t="str">
        <f>IF($L510&lt;&gt;"",INDEX(РАБОТЫ!$Z$2:$Z$1058,MATCH($L510,РАБОТЫ!$V$2:$V$1058,0)),IF(ISNUMBER($K510),INDEX(РАБОТЫ!$Y$2:$Y$1058,$K510),""))</f>
        <v/>
      </c>
      <c r="D510" t="str">
        <f>IF(ISNUMBER($K510),INDEX(РАБОТЫ!$E$2:$E$1058,$K510),"")</f>
        <v/>
      </c>
      <c r="E510" t="str">
        <f>IF(ISNUMBER($K510),INDEX(РАБОТЫ!$M$2:$M$1058,$K510),"")</f>
        <v/>
      </c>
      <c r="F510" s="7" t="str">
        <f>IF(ISNUMBER($K510),INDEX(РАБОТЫ!$S$2:$S$1058,$K510),"")</f>
        <v/>
      </c>
      <c r="G510" s="7" t="str">
        <f>IF(ISNUMBER($K510),INDEX(РАБОТЫ!$T$2:$T$1058,$K510),"")</f>
        <v/>
      </c>
      <c r="H510" s="7" t="str">
        <f t="shared" si="28"/>
        <v/>
      </c>
      <c r="I510" s="7" t="str">
        <f t="shared" si="29"/>
        <v/>
      </c>
      <c r="J510" s="7" t="str">
        <f t="shared" si="30"/>
        <v/>
      </c>
      <c r="K510" t="str">
        <f>IFERROR(MATCH(489,РАБОТЫ!$X$2:$X$1058,0),"")</f>
        <v/>
      </c>
      <c r="L510" t="str">
        <f>IFERROR(IF(INDEX(РАБОТЫ!$W$2:$W$1058,MATCH(489+1,РАБОТЫ!$X$2:$X$1058,0))=1,INDEX(РАБОТЫ!$V$2:$V$1058,MATCH(489+1,РАБОТЫ!$X$2:$X$1058,0)),""),"")</f>
        <v/>
      </c>
      <c r="M510" t="str">
        <f t="shared" si="31"/>
        <v/>
      </c>
    </row>
    <row r="511" spans="1:13" hidden="1" x14ac:dyDescent="0.3">
      <c r="A511" t="str">
        <f>IF(ISNUMBER($K511),INDEX(РАБОТЫ!$U$2:$U$1058,$K511),"")</f>
        <v/>
      </c>
      <c r="B511" t="str">
        <f>IF(ISNUMBER($K511),INDEX(РАБОТЫ!$A$2:$A$1058,$K511),"")</f>
        <v/>
      </c>
      <c r="C511" s="4" t="str">
        <f>IF($L511&lt;&gt;"",INDEX(РАБОТЫ!$Z$2:$Z$1058,MATCH($L511,РАБОТЫ!$V$2:$V$1058,0)),IF(ISNUMBER($K511),INDEX(РАБОТЫ!$Y$2:$Y$1058,$K511),""))</f>
        <v/>
      </c>
      <c r="D511" t="str">
        <f>IF(ISNUMBER($K511),INDEX(РАБОТЫ!$E$2:$E$1058,$K511),"")</f>
        <v/>
      </c>
      <c r="E511" t="str">
        <f>IF(ISNUMBER($K511),INDEX(РАБОТЫ!$M$2:$M$1058,$K511),"")</f>
        <v/>
      </c>
      <c r="F511" s="7" t="str">
        <f>IF(ISNUMBER($K511),INDEX(РАБОТЫ!$S$2:$S$1058,$K511),"")</f>
        <v/>
      </c>
      <c r="G511" s="7" t="str">
        <f>IF(ISNUMBER($K511),INDEX(РАБОТЫ!$T$2:$T$1058,$K511),"")</f>
        <v/>
      </c>
      <c r="H511" s="7" t="str">
        <f t="shared" si="28"/>
        <v/>
      </c>
      <c r="I511" s="7" t="str">
        <f t="shared" si="29"/>
        <v/>
      </c>
      <c r="J511" s="7" t="str">
        <f t="shared" si="30"/>
        <v/>
      </c>
      <c r="K511" t="str">
        <f>IFERROR(MATCH(490,РАБОТЫ!$X$2:$X$1058,0),"")</f>
        <v/>
      </c>
      <c r="L511" t="str">
        <f>IFERROR(IF(INDEX(РАБОТЫ!$W$2:$W$1058,MATCH(490+1,РАБОТЫ!$X$2:$X$1058,0))=1,INDEX(РАБОТЫ!$V$2:$V$1058,MATCH(490+1,РАБОТЫ!$X$2:$X$1058,0)),""),"")</f>
        <v/>
      </c>
      <c r="M511" t="str">
        <f t="shared" si="31"/>
        <v/>
      </c>
    </row>
    <row r="512" spans="1:13" hidden="1" x14ac:dyDescent="0.3">
      <c r="A512" t="str">
        <f>IF(ISNUMBER($K512),INDEX(РАБОТЫ!$U$2:$U$1058,$K512),"")</f>
        <v/>
      </c>
      <c r="B512" t="str">
        <f>IF(ISNUMBER($K512),INDEX(РАБОТЫ!$A$2:$A$1058,$K512),"")</f>
        <v/>
      </c>
      <c r="C512" s="4" t="str">
        <f>IF($L512&lt;&gt;"",INDEX(РАБОТЫ!$Z$2:$Z$1058,MATCH($L512,РАБОТЫ!$V$2:$V$1058,0)),IF(ISNUMBER($K512),INDEX(РАБОТЫ!$Y$2:$Y$1058,$K512),""))</f>
        <v/>
      </c>
      <c r="D512" t="str">
        <f>IF(ISNUMBER($K512),INDEX(РАБОТЫ!$E$2:$E$1058,$K512),"")</f>
        <v/>
      </c>
      <c r="E512" t="str">
        <f>IF(ISNUMBER($K512),INDEX(РАБОТЫ!$M$2:$M$1058,$K512),"")</f>
        <v/>
      </c>
      <c r="F512" s="7" t="str">
        <f>IF(ISNUMBER($K512),INDEX(РАБОТЫ!$S$2:$S$1058,$K512),"")</f>
        <v/>
      </c>
      <c r="G512" s="7" t="str">
        <f>IF(ISNUMBER($K512),INDEX(РАБОТЫ!$T$2:$T$1058,$K512),"")</f>
        <v/>
      </c>
      <c r="H512" s="7" t="str">
        <f t="shared" si="28"/>
        <v/>
      </c>
      <c r="I512" s="7" t="str">
        <f t="shared" si="29"/>
        <v/>
      </c>
      <c r="J512" s="7" t="str">
        <f t="shared" si="30"/>
        <v/>
      </c>
      <c r="K512" t="str">
        <f>IFERROR(MATCH(491,РАБОТЫ!$X$2:$X$1058,0),"")</f>
        <v/>
      </c>
      <c r="L512" t="str">
        <f>IFERROR(IF(INDEX(РАБОТЫ!$W$2:$W$1058,MATCH(491+1,РАБОТЫ!$X$2:$X$1058,0))=1,INDEX(РАБОТЫ!$V$2:$V$1058,MATCH(491+1,РАБОТЫ!$X$2:$X$1058,0)),""),"")</f>
        <v/>
      </c>
      <c r="M512" t="str">
        <f t="shared" si="31"/>
        <v/>
      </c>
    </row>
    <row r="513" spans="1:13" hidden="1" x14ac:dyDescent="0.3">
      <c r="A513" t="str">
        <f>IF(ISNUMBER($K513),INDEX(РАБОТЫ!$U$2:$U$1058,$K513),"")</f>
        <v/>
      </c>
      <c r="B513" t="str">
        <f>IF(ISNUMBER($K513),INDEX(РАБОТЫ!$A$2:$A$1058,$K513),"")</f>
        <v/>
      </c>
      <c r="C513" s="4" t="str">
        <f>IF($L513&lt;&gt;"",INDEX(РАБОТЫ!$Z$2:$Z$1058,MATCH($L513,РАБОТЫ!$V$2:$V$1058,0)),IF(ISNUMBER($K513),INDEX(РАБОТЫ!$Y$2:$Y$1058,$K513),""))</f>
        <v/>
      </c>
      <c r="D513" t="str">
        <f>IF(ISNUMBER($K513),INDEX(РАБОТЫ!$E$2:$E$1058,$K513),"")</f>
        <v/>
      </c>
      <c r="E513" t="str">
        <f>IF(ISNUMBER($K513),INDEX(РАБОТЫ!$M$2:$M$1058,$K513),"")</f>
        <v/>
      </c>
      <c r="F513" s="7" t="str">
        <f>IF(ISNUMBER($K513),INDEX(РАБОТЫ!$S$2:$S$1058,$K513),"")</f>
        <v/>
      </c>
      <c r="G513" s="7" t="str">
        <f>IF(ISNUMBER($K513),INDEX(РАБОТЫ!$T$2:$T$1058,$K513),"")</f>
        <v/>
      </c>
      <c r="H513" s="7" t="str">
        <f t="shared" si="28"/>
        <v/>
      </c>
      <c r="I513" s="7" t="str">
        <f t="shared" si="29"/>
        <v/>
      </c>
      <c r="J513" s="7" t="str">
        <f t="shared" si="30"/>
        <v/>
      </c>
      <c r="K513" t="str">
        <f>IFERROR(MATCH(492,РАБОТЫ!$X$2:$X$1058,0),"")</f>
        <v/>
      </c>
      <c r="L513" t="str">
        <f>IFERROR(IF(INDEX(РАБОТЫ!$W$2:$W$1058,MATCH(492+1,РАБОТЫ!$X$2:$X$1058,0))=1,INDEX(РАБОТЫ!$V$2:$V$1058,MATCH(492+1,РАБОТЫ!$X$2:$X$1058,0)),""),"")</f>
        <v/>
      </c>
      <c r="M513" t="str">
        <f t="shared" si="31"/>
        <v/>
      </c>
    </row>
    <row r="514" spans="1:13" hidden="1" x14ac:dyDescent="0.3">
      <c r="A514" t="str">
        <f>IF(ISNUMBER($K514),INDEX(РАБОТЫ!$U$2:$U$1058,$K514),"")</f>
        <v/>
      </c>
      <c r="B514" t="str">
        <f>IF(ISNUMBER($K514),INDEX(РАБОТЫ!$A$2:$A$1058,$K514),"")</f>
        <v/>
      </c>
      <c r="C514" s="4" t="str">
        <f>IF($L514&lt;&gt;"",INDEX(РАБОТЫ!$Z$2:$Z$1058,MATCH($L514,РАБОТЫ!$V$2:$V$1058,0)),IF(ISNUMBER($K514),INDEX(РАБОТЫ!$Y$2:$Y$1058,$K514),""))</f>
        <v/>
      </c>
      <c r="D514" t="str">
        <f>IF(ISNUMBER($K514),INDEX(РАБОТЫ!$E$2:$E$1058,$K514),"")</f>
        <v/>
      </c>
      <c r="E514" t="str">
        <f>IF(ISNUMBER($K514),INDEX(РАБОТЫ!$M$2:$M$1058,$K514),"")</f>
        <v/>
      </c>
      <c r="F514" s="7" t="str">
        <f>IF(ISNUMBER($K514),INDEX(РАБОТЫ!$S$2:$S$1058,$K514),"")</f>
        <v/>
      </c>
      <c r="G514" s="7" t="str">
        <f>IF(ISNUMBER($K514),INDEX(РАБОТЫ!$T$2:$T$1058,$K514),"")</f>
        <v/>
      </c>
      <c r="H514" s="7" t="str">
        <f t="shared" si="28"/>
        <v/>
      </c>
      <c r="I514" s="7" t="str">
        <f t="shared" si="29"/>
        <v/>
      </c>
      <c r="J514" s="7" t="str">
        <f t="shared" si="30"/>
        <v/>
      </c>
      <c r="K514" t="str">
        <f>IFERROR(MATCH(493,РАБОТЫ!$X$2:$X$1058,0),"")</f>
        <v/>
      </c>
      <c r="L514" t="str">
        <f>IFERROR(IF(INDEX(РАБОТЫ!$W$2:$W$1058,MATCH(493+1,РАБОТЫ!$X$2:$X$1058,0))=1,INDEX(РАБОТЫ!$V$2:$V$1058,MATCH(493+1,РАБОТЫ!$X$2:$X$1058,0)),""),"")</f>
        <v/>
      </c>
      <c r="M514" t="str">
        <f t="shared" si="31"/>
        <v/>
      </c>
    </row>
    <row r="515" spans="1:13" hidden="1" x14ac:dyDescent="0.3">
      <c r="A515" t="str">
        <f>IF(ISNUMBER($K515),INDEX(РАБОТЫ!$U$2:$U$1058,$K515),"")</f>
        <v/>
      </c>
      <c r="B515" t="str">
        <f>IF(ISNUMBER($K515),INDEX(РАБОТЫ!$A$2:$A$1058,$K515),"")</f>
        <v/>
      </c>
      <c r="C515" s="4" t="str">
        <f>IF($L515&lt;&gt;"",INDEX(РАБОТЫ!$Z$2:$Z$1058,MATCH($L515,РАБОТЫ!$V$2:$V$1058,0)),IF(ISNUMBER($K515),INDEX(РАБОТЫ!$Y$2:$Y$1058,$K515),""))</f>
        <v/>
      </c>
      <c r="D515" t="str">
        <f>IF(ISNUMBER($K515),INDEX(РАБОТЫ!$E$2:$E$1058,$K515),"")</f>
        <v/>
      </c>
      <c r="E515" t="str">
        <f>IF(ISNUMBER($K515),INDEX(РАБОТЫ!$M$2:$M$1058,$K515),"")</f>
        <v/>
      </c>
      <c r="F515" s="7" t="str">
        <f>IF(ISNUMBER($K515),INDEX(РАБОТЫ!$S$2:$S$1058,$K515),"")</f>
        <v/>
      </c>
      <c r="G515" s="7" t="str">
        <f>IF(ISNUMBER($K515),INDEX(РАБОТЫ!$T$2:$T$1058,$K515),"")</f>
        <v/>
      </c>
      <c r="H515" s="7" t="str">
        <f t="shared" si="28"/>
        <v/>
      </c>
      <c r="I515" s="7" t="str">
        <f t="shared" si="29"/>
        <v/>
      </c>
      <c r="J515" s="7" t="str">
        <f t="shared" si="30"/>
        <v/>
      </c>
      <c r="K515" t="str">
        <f>IFERROR(MATCH(494,РАБОТЫ!$X$2:$X$1058,0),"")</f>
        <v/>
      </c>
      <c r="L515" t="str">
        <f>IFERROR(IF(INDEX(РАБОТЫ!$W$2:$W$1058,MATCH(494+1,РАБОТЫ!$X$2:$X$1058,0))=1,INDEX(РАБОТЫ!$V$2:$V$1058,MATCH(494+1,РАБОТЫ!$X$2:$X$1058,0)),""),"")</f>
        <v/>
      </c>
      <c r="M515" t="str">
        <f t="shared" si="31"/>
        <v/>
      </c>
    </row>
    <row r="516" spans="1:13" hidden="1" x14ac:dyDescent="0.3">
      <c r="A516" t="str">
        <f>IF(ISNUMBER($K516),INDEX(РАБОТЫ!$U$2:$U$1058,$K516),"")</f>
        <v/>
      </c>
      <c r="B516" t="str">
        <f>IF(ISNUMBER($K516),INDEX(РАБОТЫ!$A$2:$A$1058,$K516),"")</f>
        <v/>
      </c>
      <c r="C516" s="4" t="str">
        <f>IF($L516&lt;&gt;"",INDEX(РАБОТЫ!$Z$2:$Z$1058,MATCH($L516,РАБОТЫ!$V$2:$V$1058,0)),IF(ISNUMBER($K516),INDEX(РАБОТЫ!$Y$2:$Y$1058,$K516),""))</f>
        <v/>
      </c>
      <c r="D516" t="str">
        <f>IF(ISNUMBER($K516),INDEX(РАБОТЫ!$E$2:$E$1058,$K516),"")</f>
        <v/>
      </c>
      <c r="E516" t="str">
        <f>IF(ISNUMBER($K516),INDEX(РАБОТЫ!$M$2:$M$1058,$K516),"")</f>
        <v/>
      </c>
      <c r="F516" s="7" t="str">
        <f>IF(ISNUMBER($K516),INDEX(РАБОТЫ!$S$2:$S$1058,$K516),"")</f>
        <v/>
      </c>
      <c r="G516" s="7" t="str">
        <f>IF(ISNUMBER($K516),INDEX(РАБОТЫ!$T$2:$T$1058,$K516),"")</f>
        <v/>
      </c>
      <c r="H516" s="7" t="str">
        <f t="shared" si="28"/>
        <v/>
      </c>
      <c r="I516" s="7" t="str">
        <f t="shared" si="29"/>
        <v/>
      </c>
      <c r="J516" s="7" t="str">
        <f t="shared" si="30"/>
        <v/>
      </c>
      <c r="K516" t="str">
        <f>IFERROR(MATCH(495,РАБОТЫ!$X$2:$X$1058,0),"")</f>
        <v/>
      </c>
      <c r="L516" t="str">
        <f>IFERROR(IF(INDEX(РАБОТЫ!$W$2:$W$1058,MATCH(495+1,РАБОТЫ!$X$2:$X$1058,0))=1,INDEX(РАБОТЫ!$V$2:$V$1058,MATCH(495+1,РАБОТЫ!$X$2:$X$1058,0)),""),"")</f>
        <v/>
      </c>
      <c r="M516" t="str">
        <f t="shared" si="31"/>
        <v/>
      </c>
    </row>
    <row r="517" spans="1:13" hidden="1" x14ac:dyDescent="0.3">
      <c r="A517" t="str">
        <f>IF(ISNUMBER($K517),INDEX(РАБОТЫ!$U$2:$U$1058,$K517),"")</f>
        <v/>
      </c>
      <c r="B517" t="str">
        <f>IF(ISNUMBER($K517),INDEX(РАБОТЫ!$A$2:$A$1058,$K517),"")</f>
        <v/>
      </c>
      <c r="C517" s="4" t="str">
        <f>IF($L517&lt;&gt;"",INDEX(РАБОТЫ!$Z$2:$Z$1058,MATCH($L517,РАБОТЫ!$V$2:$V$1058,0)),IF(ISNUMBER($K517),INDEX(РАБОТЫ!$Y$2:$Y$1058,$K517),""))</f>
        <v/>
      </c>
      <c r="D517" t="str">
        <f>IF(ISNUMBER($K517),INDEX(РАБОТЫ!$E$2:$E$1058,$K517),"")</f>
        <v/>
      </c>
      <c r="E517" t="str">
        <f>IF(ISNUMBER($K517),INDEX(РАБОТЫ!$M$2:$M$1058,$K517),"")</f>
        <v/>
      </c>
      <c r="F517" s="7" t="str">
        <f>IF(ISNUMBER($K517),INDEX(РАБОТЫ!$S$2:$S$1058,$K517),"")</f>
        <v/>
      </c>
      <c r="G517" s="7" t="str">
        <f>IF(ISNUMBER($K517),INDEX(РАБОТЫ!$T$2:$T$1058,$K517),"")</f>
        <v/>
      </c>
      <c r="H517" s="7" t="str">
        <f t="shared" si="28"/>
        <v/>
      </c>
      <c r="I517" s="7" t="str">
        <f t="shared" si="29"/>
        <v/>
      </c>
      <c r="J517" s="7" t="str">
        <f t="shared" si="30"/>
        <v/>
      </c>
      <c r="K517" t="str">
        <f>IFERROR(MATCH(496,РАБОТЫ!$X$2:$X$1058,0),"")</f>
        <v/>
      </c>
      <c r="L517" t="str">
        <f>IFERROR(IF(INDEX(РАБОТЫ!$W$2:$W$1058,MATCH(496+1,РАБОТЫ!$X$2:$X$1058,0))=1,INDEX(РАБОТЫ!$V$2:$V$1058,MATCH(496+1,РАБОТЫ!$X$2:$X$1058,0)),""),"")</f>
        <v/>
      </c>
      <c r="M517" t="str">
        <f t="shared" si="31"/>
        <v/>
      </c>
    </row>
    <row r="518" spans="1:13" hidden="1" x14ac:dyDescent="0.3">
      <c r="A518" t="str">
        <f>IF(ISNUMBER($K518),INDEX(РАБОТЫ!$U$2:$U$1058,$K518),"")</f>
        <v/>
      </c>
      <c r="B518" t="str">
        <f>IF(ISNUMBER($K518),INDEX(РАБОТЫ!$A$2:$A$1058,$K518),"")</f>
        <v/>
      </c>
      <c r="C518" s="4" t="str">
        <f>IF($L518&lt;&gt;"",INDEX(РАБОТЫ!$Z$2:$Z$1058,MATCH($L518,РАБОТЫ!$V$2:$V$1058,0)),IF(ISNUMBER($K518),INDEX(РАБОТЫ!$Y$2:$Y$1058,$K518),""))</f>
        <v/>
      </c>
      <c r="D518" t="str">
        <f>IF(ISNUMBER($K518),INDEX(РАБОТЫ!$E$2:$E$1058,$K518),"")</f>
        <v/>
      </c>
      <c r="E518" t="str">
        <f>IF(ISNUMBER($K518),INDEX(РАБОТЫ!$M$2:$M$1058,$K518),"")</f>
        <v/>
      </c>
      <c r="F518" s="7" t="str">
        <f>IF(ISNUMBER($K518),INDEX(РАБОТЫ!$S$2:$S$1058,$K518),"")</f>
        <v/>
      </c>
      <c r="G518" s="7" t="str">
        <f>IF(ISNUMBER($K518),INDEX(РАБОТЫ!$T$2:$T$1058,$K518),"")</f>
        <v/>
      </c>
      <c r="H518" s="7" t="str">
        <f t="shared" si="28"/>
        <v/>
      </c>
      <c r="I518" s="7" t="str">
        <f t="shared" si="29"/>
        <v/>
      </c>
      <c r="J518" s="7" t="str">
        <f t="shared" si="30"/>
        <v/>
      </c>
      <c r="K518" t="str">
        <f>IFERROR(MATCH(497,РАБОТЫ!$X$2:$X$1058,0),"")</f>
        <v/>
      </c>
      <c r="L518" t="str">
        <f>IFERROR(IF(INDEX(РАБОТЫ!$W$2:$W$1058,MATCH(497+1,РАБОТЫ!$X$2:$X$1058,0))=1,INDEX(РАБОТЫ!$V$2:$V$1058,MATCH(497+1,РАБОТЫ!$X$2:$X$1058,0)),""),"")</f>
        <v/>
      </c>
      <c r="M518" t="str">
        <f t="shared" si="31"/>
        <v/>
      </c>
    </row>
    <row r="519" spans="1:13" hidden="1" x14ac:dyDescent="0.3">
      <c r="A519" t="str">
        <f>IF(ISNUMBER($K519),INDEX(РАБОТЫ!$U$2:$U$1058,$K519),"")</f>
        <v/>
      </c>
      <c r="B519" t="str">
        <f>IF(ISNUMBER($K519),INDEX(РАБОТЫ!$A$2:$A$1058,$K519),"")</f>
        <v/>
      </c>
      <c r="C519" s="4" t="str">
        <f>IF($L519&lt;&gt;"",INDEX(РАБОТЫ!$Z$2:$Z$1058,MATCH($L519,РАБОТЫ!$V$2:$V$1058,0)),IF(ISNUMBER($K519),INDEX(РАБОТЫ!$Y$2:$Y$1058,$K519),""))</f>
        <v/>
      </c>
      <c r="D519" t="str">
        <f>IF(ISNUMBER($K519),INDEX(РАБОТЫ!$E$2:$E$1058,$K519),"")</f>
        <v/>
      </c>
      <c r="E519" t="str">
        <f>IF(ISNUMBER($K519),INDEX(РАБОТЫ!$M$2:$M$1058,$K519),"")</f>
        <v/>
      </c>
      <c r="F519" s="7" t="str">
        <f>IF(ISNUMBER($K519),INDEX(РАБОТЫ!$S$2:$S$1058,$K519),"")</f>
        <v/>
      </c>
      <c r="G519" s="7" t="str">
        <f>IF(ISNUMBER($K519),INDEX(РАБОТЫ!$T$2:$T$1058,$K519),"")</f>
        <v/>
      </c>
      <c r="H519" s="7" t="str">
        <f t="shared" si="28"/>
        <v/>
      </c>
      <c r="I519" s="7" t="str">
        <f t="shared" si="29"/>
        <v/>
      </c>
      <c r="J519" s="7" t="str">
        <f t="shared" si="30"/>
        <v/>
      </c>
      <c r="K519" t="str">
        <f>IFERROR(MATCH(498,РАБОТЫ!$X$2:$X$1058,0),"")</f>
        <v/>
      </c>
      <c r="L519" t="str">
        <f>IFERROR(IF(INDEX(РАБОТЫ!$W$2:$W$1058,MATCH(498+1,РАБОТЫ!$X$2:$X$1058,0))=1,INDEX(РАБОТЫ!$V$2:$V$1058,MATCH(498+1,РАБОТЫ!$X$2:$X$1058,0)),""),"")</f>
        <v/>
      </c>
      <c r="M519" t="str">
        <f t="shared" si="31"/>
        <v/>
      </c>
    </row>
    <row r="520" spans="1:13" hidden="1" x14ac:dyDescent="0.3">
      <c r="A520" t="str">
        <f>IF(ISNUMBER($K520),INDEX(РАБОТЫ!$U$2:$U$1058,$K520),"")</f>
        <v/>
      </c>
      <c r="B520" t="str">
        <f>IF(ISNUMBER($K520),INDEX(РАБОТЫ!$A$2:$A$1058,$K520),"")</f>
        <v/>
      </c>
      <c r="C520" s="4" t="str">
        <f>IF($L520&lt;&gt;"",INDEX(РАБОТЫ!$Z$2:$Z$1058,MATCH($L520,РАБОТЫ!$V$2:$V$1058,0)),IF(ISNUMBER($K520),INDEX(РАБОТЫ!$Y$2:$Y$1058,$K520),""))</f>
        <v/>
      </c>
      <c r="D520" t="str">
        <f>IF(ISNUMBER($K520),INDEX(РАБОТЫ!$E$2:$E$1058,$K520),"")</f>
        <v/>
      </c>
      <c r="E520" t="str">
        <f>IF(ISNUMBER($K520),INDEX(РАБОТЫ!$M$2:$M$1058,$K520),"")</f>
        <v/>
      </c>
      <c r="F520" s="7" t="str">
        <f>IF(ISNUMBER($K520),INDEX(РАБОТЫ!$S$2:$S$1058,$K520),"")</f>
        <v/>
      </c>
      <c r="G520" s="7" t="str">
        <f>IF(ISNUMBER($K520),INDEX(РАБОТЫ!$T$2:$T$1058,$K520),"")</f>
        <v/>
      </c>
      <c r="H520" s="7" t="str">
        <f t="shared" si="28"/>
        <v/>
      </c>
      <c r="I520" s="7" t="str">
        <f t="shared" si="29"/>
        <v/>
      </c>
      <c r="J520" s="7" t="str">
        <f t="shared" si="30"/>
        <v/>
      </c>
      <c r="K520" t="str">
        <f>IFERROR(MATCH(499,РАБОТЫ!$X$2:$X$1058,0),"")</f>
        <v/>
      </c>
      <c r="L520" t="str">
        <f>IFERROR(IF(INDEX(РАБОТЫ!$W$2:$W$1058,MATCH(499+1,РАБОТЫ!$X$2:$X$1058,0))=1,INDEX(РАБОТЫ!$V$2:$V$1058,MATCH(499+1,РАБОТЫ!$X$2:$X$1058,0)),""),"")</f>
        <v/>
      </c>
      <c r="M520" t="str">
        <f t="shared" si="31"/>
        <v/>
      </c>
    </row>
    <row r="521" spans="1:13" hidden="1" x14ac:dyDescent="0.3">
      <c r="A521" t="str">
        <f>IF(ISNUMBER($K521),INDEX(РАБОТЫ!$U$2:$U$1058,$K521),"")</f>
        <v/>
      </c>
      <c r="B521" t="str">
        <f>IF(ISNUMBER($K521),INDEX(РАБОТЫ!$A$2:$A$1058,$K521),"")</f>
        <v/>
      </c>
      <c r="C521" s="4" t="str">
        <f>IF($L521&lt;&gt;"",INDEX(РАБОТЫ!$Z$2:$Z$1058,MATCH($L521,РАБОТЫ!$V$2:$V$1058,0)),IF(ISNUMBER($K521),INDEX(РАБОТЫ!$Y$2:$Y$1058,$K521),""))</f>
        <v/>
      </c>
      <c r="D521" t="str">
        <f>IF(ISNUMBER($K521),INDEX(РАБОТЫ!$E$2:$E$1058,$K521),"")</f>
        <v/>
      </c>
      <c r="E521" t="str">
        <f>IF(ISNUMBER($K521),INDEX(РАБОТЫ!$M$2:$M$1058,$K521),"")</f>
        <v/>
      </c>
      <c r="F521" s="7" t="str">
        <f>IF(ISNUMBER($K521),INDEX(РАБОТЫ!$S$2:$S$1058,$K521),"")</f>
        <v/>
      </c>
      <c r="G521" s="7" t="str">
        <f>IF(ISNUMBER($K521),INDEX(РАБОТЫ!$T$2:$T$1058,$K521),"")</f>
        <v/>
      </c>
      <c r="H521" s="7" t="str">
        <f t="shared" si="28"/>
        <v/>
      </c>
      <c r="I521" s="7" t="str">
        <f t="shared" si="29"/>
        <v/>
      </c>
      <c r="J521" s="7" t="str">
        <f t="shared" si="30"/>
        <v/>
      </c>
      <c r="K521" t="str">
        <f>IFERROR(MATCH(500,РАБОТЫ!$X$2:$X$1058,0),"")</f>
        <v/>
      </c>
      <c r="L521" t="str">
        <f>IFERROR(IF(INDEX(РАБОТЫ!$W$2:$W$1058,MATCH(500+1,РАБОТЫ!$X$2:$X$1058,0))=1,INDEX(РАБОТЫ!$V$2:$V$1058,MATCH(500+1,РАБОТЫ!$X$2:$X$1058,0)),""),"")</f>
        <v/>
      </c>
      <c r="M521" t="str">
        <f t="shared" si="31"/>
        <v/>
      </c>
    </row>
    <row r="522" spans="1:13" hidden="1" x14ac:dyDescent="0.3">
      <c r="A522" t="str">
        <f>IF(ISNUMBER($K522),INDEX(РАБОТЫ!$U$2:$U$1058,$K522),"")</f>
        <v/>
      </c>
      <c r="B522" t="str">
        <f>IF(ISNUMBER($K522),INDEX(РАБОТЫ!$A$2:$A$1058,$K522),"")</f>
        <v/>
      </c>
      <c r="C522" s="4" t="str">
        <f>IF($L522&lt;&gt;"",INDEX(РАБОТЫ!$Z$2:$Z$1058,MATCH($L522,РАБОТЫ!$V$2:$V$1058,0)),IF(ISNUMBER($K522),INDEX(РАБОТЫ!$Y$2:$Y$1058,$K522),""))</f>
        <v/>
      </c>
      <c r="D522" t="str">
        <f>IF(ISNUMBER($K522),INDEX(РАБОТЫ!$E$2:$E$1058,$K522),"")</f>
        <v/>
      </c>
      <c r="E522" t="str">
        <f>IF(ISNUMBER($K522),INDEX(РАБОТЫ!$M$2:$M$1058,$K522),"")</f>
        <v/>
      </c>
      <c r="F522" s="7" t="str">
        <f>IF(ISNUMBER($K522),INDEX(РАБОТЫ!$S$2:$S$1058,$K522),"")</f>
        <v/>
      </c>
      <c r="G522" s="7" t="str">
        <f>IF(ISNUMBER($K522),INDEX(РАБОТЫ!$T$2:$T$1058,$K522),"")</f>
        <v/>
      </c>
      <c r="H522" s="7" t="str">
        <f t="shared" si="28"/>
        <v/>
      </c>
      <c r="I522" s="7" t="str">
        <f t="shared" si="29"/>
        <v/>
      </c>
      <c r="J522" s="7" t="str">
        <f t="shared" si="30"/>
        <v/>
      </c>
      <c r="K522" t="str">
        <f>IFERROR(MATCH(501,РАБОТЫ!$X$2:$X$1058,0),"")</f>
        <v/>
      </c>
      <c r="L522" t="str">
        <f>IFERROR(IF(INDEX(РАБОТЫ!$W$2:$W$1058,MATCH(501+1,РАБОТЫ!$X$2:$X$1058,0))=1,INDEX(РАБОТЫ!$V$2:$V$1058,MATCH(501+1,РАБОТЫ!$X$2:$X$1058,0)),""),"")</f>
        <v/>
      </c>
      <c r="M522" t="str">
        <f t="shared" si="31"/>
        <v/>
      </c>
    </row>
    <row r="523" spans="1:13" hidden="1" x14ac:dyDescent="0.3">
      <c r="A523" t="str">
        <f>IF(ISNUMBER($K523),INDEX(РАБОТЫ!$U$2:$U$1058,$K523),"")</f>
        <v/>
      </c>
      <c r="B523" t="str">
        <f>IF(ISNUMBER($K523),INDEX(РАБОТЫ!$A$2:$A$1058,$K523),"")</f>
        <v/>
      </c>
      <c r="C523" s="4" t="str">
        <f>IF($L523&lt;&gt;"",INDEX(РАБОТЫ!$Z$2:$Z$1058,MATCH($L523,РАБОТЫ!$V$2:$V$1058,0)),IF(ISNUMBER($K523),INDEX(РАБОТЫ!$Y$2:$Y$1058,$K523),""))</f>
        <v/>
      </c>
      <c r="D523" t="str">
        <f>IF(ISNUMBER($K523),INDEX(РАБОТЫ!$E$2:$E$1058,$K523),"")</f>
        <v/>
      </c>
      <c r="E523" t="str">
        <f>IF(ISNUMBER($K523),INDEX(РАБОТЫ!$M$2:$M$1058,$K523),"")</f>
        <v/>
      </c>
      <c r="F523" s="7" t="str">
        <f>IF(ISNUMBER($K523),INDEX(РАБОТЫ!$S$2:$S$1058,$K523),"")</f>
        <v/>
      </c>
      <c r="G523" s="7" t="str">
        <f>IF(ISNUMBER($K523),INDEX(РАБОТЫ!$T$2:$T$1058,$K523),"")</f>
        <v/>
      </c>
      <c r="H523" s="7" t="str">
        <f t="shared" si="28"/>
        <v/>
      </c>
      <c r="I523" s="7" t="str">
        <f t="shared" si="29"/>
        <v/>
      </c>
      <c r="J523" s="7" t="str">
        <f t="shared" si="30"/>
        <v/>
      </c>
      <c r="K523" t="str">
        <f>IFERROR(MATCH(502,РАБОТЫ!$X$2:$X$1058,0),"")</f>
        <v/>
      </c>
      <c r="L523" t="str">
        <f>IFERROR(IF(INDEX(РАБОТЫ!$W$2:$W$1058,MATCH(502+1,РАБОТЫ!$X$2:$X$1058,0))=1,INDEX(РАБОТЫ!$V$2:$V$1058,MATCH(502+1,РАБОТЫ!$X$2:$X$1058,0)),""),"")</f>
        <v/>
      </c>
      <c r="M523" t="str">
        <f t="shared" si="31"/>
        <v/>
      </c>
    </row>
    <row r="524" spans="1:13" hidden="1" x14ac:dyDescent="0.3">
      <c r="A524" t="str">
        <f>IF(ISNUMBER($K524),INDEX(РАБОТЫ!$U$2:$U$1058,$K524),"")</f>
        <v/>
      </c>
      <c r="B524" t="str">
        <f>IF(ISNUMBER($K524),INDEX(РАБОТЫ!$A$2:$A$1058,$K524),"")</f>
        <v/>
      </c>
      <c r="C524" s="4" t="str">
        <f>IF($L524&lt;&gt;"",INDEX(РАБОТЫ!$Z$2:$Z$1058,MATCH($L524,РАБОТЫ!$V$2:$V$1058,0)),IF(ISNUMBER($K524),INDEX(РАБОТЫ!$Y$2:$Y$1058,$K524),""))</f>
        <v/>
      </c>
      <c r="D524" t="str">
        <f>IF(ISNUMBER($K524),INDEX(РАБОТЫ!$E$2:$E$1058,$K524),"")</f>
        <v/>
      </c>
      <c r="E524" t="str">
        <f>IF(ISNUMBER($K524),INDEX(РАБОТЫ!$M$2:$M$1058,$K524),"")</f>
        <v/>
      </c>
      <c r="F524" s="7" t="str">
        <f>IF(ISNUMBER($K524),INDEX(РАБОТЫ!$S$2:$S$1058,$K524),"")</f>
        <v/>
      </c>
      <c r="G524" s="7" t="str">
        <f>IF(ISNUMBER($K524),INDEX(РАБОТЫ!$T$2:$T$1058,$K524),"")</f>
        <v/>
      </c>
      <c r="H524" s="7" t="str">
        <f t="shared" si="28"/>
        <v/>
      </c>
      <c r="I524" s="7" t="str">
        <f t="shared" si="29"/>
        <v/>
      </c>
      <c r="J524" s="7" t="str">
        <f t="shared" si="30"/>
        <v/>
      </c>
      <c r="K524" t="str">
        <f>IFERROR(MATCH(503,РАБОТЫ!$X$2:$X$1058,0),"")</f>
        <v/>
      </c>
      <c r="L524" t="str">
        <f>IFERROR(IF(INDEX(РАБОТЫ!$W$2:$W$1058,MATCH(503+1,РАБОТЫ!$X$2:$X$1058,0))=1,INDEX(РАБОТЫ!$V$2:$V$1058,MATCH(503+1,РАБОТЫ!$X$2:$X$1058,0)),""),"")</f>
        <v/>
      </c>
      <c r="M524" t="str">
        <f t="shared" si="31"/>
        <v/>
      </c>
    </row>
    <row r="525" spans="1:13" hidden="1" x14ac:dyDescent="0.3">
      <c r="A525" t="str">
        <f>IF(ISNUMBER($K525),INDEX(РАБОТЫ!$U$2:$U$1058,$K525),"")</f>
        <v/>
      </c>
      <c r="B525" t="str">
        <f>IF(ISNUMBER($K525),INDEX(РАБОТЫ!$A$2:$A$1058,$K525),"")</f>
        <v/>
      </c>
      <c r="C525" s="4" t="str">
        <f>IF($L525&lt;&gt;"",INDEX(РАБОТЫ!$Z$2:$Z$1058,MATCH($L525,РАБОТЫ!$V$2:$V$1058,0)),IF(ISNUMBER($K525),INDEX(РАБОТЫ!$Y$2:$Y$1058,$K525),""))</f>
        <v/>
      </c>
      <c r="D525" t="str">
        <f>IF(ISNUMBER($K525),INDEX(РАБОТЫ!$E$2:$E$1058,$K525),"")</f>
        <v/>
      </c>
      <c r="E525" t="str">
        <f>IF(ISNUMBER($K525),INDEX(РАБОТЫ!$M$2:$M$1058,$K525),"")</f>
        <v/>
      </c>
      <c r="F525" s="7" t="str">
        <f>IF(ISNUMBER($K525),INDEX(РАБОТЫ!$S$2:$S$1058,$K525),"")</f>
        <v/>
      </c>
      <c r="G525" s="7" t="str">
        <f>IF(ISNUMBER($K525),INDEX(РАБОТЫ!$T$2:$T$1058,$K525),"")</f>
        <v/>
      </c>
      <c r="H525" s="7" t="str">
        <f t="shared" si="28"/>
        <v/>
      </c>
      <c r="I525" s="7" t="str">
        <f t="shared" si="29"/>
        <v/>
      </c>
      <c r="J525" s="7" t="str">
        <f t="shared" si="30"/>
        <v/>
      </c>
      <c r="K525" t="str">
        <f>IFERROR(MATCH(504,РАБОТЫ!$X$2:$X$1058,0),"")</f>
        <v/>
      </c>
      <c r="L525" t="str">
        <f>IFERROR(IF(INDEX(РАБОТЫ!$W$2:$W$1058,MATCH(504+1,РАБОТЫ!$X$2:$X$1058,0))=1,INDEX(РАБОТЫ!$V$2:$V$1058,MATCH(504+1,РАБОТЫ!$X$2:$X$1058,0)),""),"")</f>
        <v/>
      </c>
      <c r="M525" t="str">
        <f t="shared" si="31"/>
        <v/>
      </c>
    </row>
    <row r="526" spans="1:13" hidden="1" x14ac:dyDescent="0.3">
      <c r="A526" t="str">
        <f>IF(ISNUMBER($K526),INDEX(РАБОТЫ!$U$2:$U$1058,$K526),"")</f>
        <v/>
      </c>
      <c r="B526" t="str">
        <f>IF(ISNUMBER($K526),INDEX(РАБОТЫ!$A$2:$A$1058,$K526),"")</f>
        <v/>
      </c>
      <c r="C526" s="4" t="str">
        <f>IF($L526&lt;&gt;"",INDEX(РАБОТЫ!$Z$2:$Z$1058,MATCH($L526,РАБОТЫ!$V$2:$V$1058,0)),IF(ISNUMBER($K526),INDEX(РАБОТЫ!$Y$2:$Y$1058,$K526),""))</f>
        <v/>
      </c>
      <c r="D526" t="str">
        <f>IF(ISNUMBER($K526),INDEX(РАБОТЫ!$E$2:$E$1058,$K526),"")</f>
        <v/>
      </c>
      <c r="E526" t="str">
        <f>IF(ISNUMBER($K526),INDEX(РАБОТЫ!$M$2:$M$1058,$K526),"")</f>
        <v/>
      </c>
      <c r="F526" s="7" t="str">
        <f>IF(ISNUMBER($K526),INDEX(РАБОТЫ!$S$2:$S$1058,$K526),"")</f>
        <v/>
      </c>
      <c r="G526" s="7" t="str">
        <f>IF(ISNUMBER($K526),INDEX(РАБОТЫ!$T$2:$T$1058,$K526),"")</f>
        <v/>
      </c>
      <c r="H526" s="7" t="str">
        <f t="shared" si="28"/>
        <v/>
      </c>
      <c r="I526" s="7" t="str">
        <f t="shared" si="29"/>
        <v/>
      </c>
      <c r="J526" s="7" t="str">
        <f t="shared" si="30"/>
        <v/>
      </c>
      <c r="K526" t="str">
        <f>IFERROR(MATCH(505,РАБОТЫ!$X$2:$X$1058,0),"")</f>
        <v/>
      </c>
      <c r="L526" t="str">
        <f>IFERROR(IF(INDEX(РАБОТЫ!$W$2:$W$1058,MATCH(505+1,РАБОТЫ!$X$2:$X$1058,0))=1,INDEX(РАБОТЫ!$V$2:$V$1058,MATCH(505+1,РАБОТЫ!$X$2:$X$1058,0)),""),"")</f>
        <v/>
      </c>
      <c r="M526" t="str">
        <f t="shared" si="31"/>
        <v/>
      </c>
    </row>
    <row r="527" spans="1:13" hidden="1" x14ac:dyDescent="0.3">
      <c r="A527" t="str">
        <f>IF(ISNUMBER($K527),INDEX(РАБОТЫ!$U$2:$U$1058,$K527),"")</f>
        <v/>
      </c>
      <c r="B527" t="str">
        <f>IF(ISNUMBER($K527),INDEX(РАБОТЫ!$A$2:$A$1058,$K527),"")</f>
        <v/>
      </c>
      <c r="C527" s="4" t="str">
        <f>IF($L527&lt;&gt;"",INDEX(РАБОТЫ!$Z$2:$Z$1058,MATCH($L527,РАБОТЫ!$V$2:$V$1058,0)),IF(ISNUMBER($K527),INDEX(РАБОТЫ!$Y$2:$Y$1058,$K527),""))</f>
        <v/>
      </c>
      <c r="D527" t="str">
        <f>IF(ISNUMBER($K527),INDEX(РАБОТЫ!$E$2:$E$1058,$K527),"")</f>
        <v/>
      </c>
      <c r="E527" t="str">
        <f>IF(ISNUMBER($K527),INDEX(РАБОТЫ!$M$2:$M$1058,$K527),"")</f>
        <v/>
      </c>
      <c r="F527" s="7" t="str">
        <f>IF(ISNUMBER($K527),INDEX(РАБОТЫ!$S$2:$S$1058,$K527),"")</f>
        <v/>
      </c>
      <c r="G527" s="7" t="str">
        <f>IF(ISNUMBER($K527),INDEX(РАБОТЫ!$T$2:$T$1058,$K527),"")</f>
        <v/>
      </c>
      <c r="H527" s="7" t="str">
        <f t="shared" si="28"/>
        <v/>
      </c>
      <c r="I527" s="7" t="str">
        <f t="shared" si="29"/>
        <v/>
      </c>
      <c r="J527" s="7" t="str">
        <f t="shared" si="30"/>
        <v/>
      </c>
      <c r="K527" t="str">
        <f>IFERROR(MATCH(506,РАБОТЫ!$X$2:$X$1058,0),"")</f>
        <v/>
      </c>
      <c r="L527" t="str">
        <f>IFERROR(IF(INDEX(РАБОТЫ!$W$2:$W$1058,MATCH(506+1,РАБОТЫ!$X$2:$X$1058,0))=1,INDEX(РАБОТЫ!$V$2:$V$1058,MATCH(506+1,РАБОТЫ!$X$2:$X$1058,0)),""),"")</f>
        <v/>
      </c>
      <c r="M527" t="str">
        <f t="shared" si="31"/>
        <v/>
      </c>
    </row>
    <row r="528" spans="1:13" hidden="1" x14ac:dyDescent="0.3">
      <c r="A528" t="str">
        <f>IF(ISNUMBER($K528),INDEX(РАБОТЫ!$U$2:$U$1058,$K528),"")</f>
        <v/>
      </c>
      <c r="B528" t="str">
        <f>IF(ISNUMBER($K528),INDEX(РАБОТЫ!$A$2:$A$1058,$K528),"")</f>
        <v/>
      </c>
      <c r="C528" s="4" t="str">
        <f>IF($L528&lt;&gt;"",INDEX(РАБОТЫ!$Z$2:$Z$1058,MATCH($L528,РАБОТЫ!$V$2:$V$1058,0)),IF(ISNUMBER($K528),INDEX(РАБОТЫ!$Y$2:$Y$1058,$K528),""))</f>
        <v/>
      </c>
      <c r="D528" t="str">
        <f>IF(ISNUMBER($K528),INDEX(РАБОТЫ!$E$2:$E$1058,$K528),"")</f>
        <v/>
      </c>
      <c r="E528" t="str">
        <f>IF(ISNUMBER($K528),INDEX(РАБОТЫ!$M$2:$M$1058,$K528),"")</f>
        <v/>
      </c>
      <c r="F528" s="7" t="str">
        <f>IF(ISNUMBER($K528),INDEX(РАБОТЫ!$S$2:$S$1058,$K528),"")</f>
        <v/>
      </c>
      <c r="G528" s="7" t="str">
        <f>IF(ISNUMBER($K528),INDEX(РАБОТЫ!$T$2:$T$1058,$K528),"")</f>
        <v/>
      </c>
      <c r="H528" s="7" t="str">
        <f t="shared" si="28"/>
        <v/>
      </c>
      <c r="I528" s="7" t="str">
        <f t="shared" si="29"/>
        <v/>
      </c>
      <c r="J528" s="7" t="str">
        <f t="shared" si="30"/>
        <v/>
      </c>
      <c r="K528" t="str">
        <f>IFERROR(MATCH(507,РАБОТЫ!$X$2:$X$1058,0),"")</f>
        <v/>
      </c>
      <c r="L528" t="str">
        <f>IFERROR(IF(INDEX(РАБОТЫ!$W$2:$W$1058,MATCH(507+1,РАБОТЫ!$X$2:$X$1058,0))=1,INDEX(РАБОТЫ!$V$2:$V$1058,MATCH(507+1,РАБОТЫ!$X$2:$X$1058,0)),""),"")</f>
        <v/>
      </c>
      <c r="M528" t="str">
        <f t="shared" si="31"/>
        <v/>
      </c>
    </row>
    <row r="529" spans="1:13" hidden="1" x14ac:dyDescent="0.3">
      <c r="A529" t="str">
        <f>IF(ISNUMBER($K529),INDEX(РАБОТЫ!$U$2:$U$1058,$K529),"")</f>
        <v/>
      </c>
      <c r="B529" t="str">
        <f>IF(ISNUMBER($K529),INDEX(РАБОТЫ!$A$2:$A$1058,$K529),"")</f>
        <v/>
      </c>
      <c r="C529" s="4" t="str">
        <f>IF($L529&lt;&gt;"",INDEX(РАБОТЫ!$Z$2:$Z$1058,MATCH($L529,РАБОТЫ!$V$2:$V$1058,0)),IF(ISNUMBER($K529),INDEX(РАБОТЫ!$Y$2:$Y$1058,$K529),""))</f>
        <v/>
      </c>
      <c r="D529" t="str">
        <f>IF(ISNUMBER($K529),INDEX(РАБОТЫ!$E$2:$E$1058,$K529),"")</f>
        <v/>
      </c>
      <c r="E529" t="str">
        <f>IF(ISNUMBER($K529),INDEX(РАБОТЫ!$M$2:$M$1058,$K529),"")</f>
        <v/>
      </c>
      <c r="F529" s="7" t="str">
        <f>IF(ISNUMBER($K529),INDEX(РАБОТЫ!$S$2:$S$1058,$K529),"")</f>
        <v/>
      </c>
      <c r="G529" s="7" t="str">
        <f>IF(ISNUMBER($K529),INDEX(РАБОТЫ!$T$2:$T$1058,$K529),"")</f>
        <v/>
      </c>
      <c r="H529" s="7" t="str">
        <f t="shared" si="28"/>
        <v/>
      </c>
      <c r="I529" s="7" t="str">
        <f t="shared" si="29"/>
        <v/>
      </c>
      <c r="J529" s="7" t="str">
        <f t="shared" si="30"/>
        <v/>
      </c>
      <c r="K529" t="str">
        <f>IFERROR(MATCH(508,РАБОТЫ!$X$2:$X$1058,0),"")</f>
        <v/>
      </c>
      <c r="L529" t="str">
        <f>IFERROR(IF(INDEX(РАБОТЫ!$W$2:$W$1058,MATCH(508+1,РАБОТЫ!$X$2:$X$1058,0))=1,INDEX(РАБОТЫ!$V$2:$V$1058,MATCH(508+1,РАБОТЫ!$X$2:$X$1058,0)),""),"")</f>
        <v/>
      </c>
      <c r="M529" t="str">
        <f t="shared" si="31"/>
        <v/>
      </c>
    </row>
    <row r="530" spans="1:13" hidden="1" x14ac:dyDescent="0.3">
      <c r="A530" t="str">
        <f>IF(ISNUMBER($K530),INDEX(РАБОТЫ!$U$2:$U$1058,$K530),"")</f>
        <v/>
      </c>
      <c r="B530" t="str">
        <f>IF(ISNUMBER($K530),INDEX(РАБОТЫ!$A$2:$A$1058,$K530),"")</f>
        <v/>
      </c>
      <c r="C530" s="4" t="str">
        <f>IF($L530&lt;&gt;"",INDEX(РАБОТЫ!$Z$2:$Z$1058,MATCH($L530,РАБОТЫ!$V$2:$V$1058,0)),IF(ISNUMBER($K530),INDEX(РАБОТЫ!$Y$2:$Y$1058,$K530),""))</f>
        <v/>
      </c>
      <c r="D530" t="str">
        <f>IF(ISNUMBER($K530),INDEX(РАБОТЫ!$E$2:$E$1058,$K530),"")</f>
        <v/>
      </c>
      <c r="E530" t="str">
        <f>IF(ISNUMBER($K530),INDEX(РАБОТЫ!$M$2:$M$1058,$K530),"")</f>
        <v/>
      </c>
      <c r="F530" s="7" t="str">
        <f>IF(ISNUMBER($K530),INDEX(РАБОТЫ!$S$2:$S$1058,$K530),"")</f>
        <v/>
      </c>
      <c r="G530" s="7" t="str">
        <f>IF(ISNUMBER($K530),INDEX(РАБОТЫ!$T$2:$T$1058,$K530),"")</f>
        <v/>
      </c>
      <c r="H530" s="7" t="str">
        <f t="shared" si="28"/>
        <v/>
      </c>
      <c r="I530" s="7" t="str">
        <f t="shared" si="29"/>
        <v/>
      </c>
      <c r="J530" s="7" t="str">
        <f t="shared" si="30"/>
        <v/>
      </c>
      <c r="K530" t="str">
        <f>IFERROR(MATCH(509,РАБОТЫ!$X$2:$X$1058,0),"")</f>
        <v/>
      </c>
      <c r="L530" t="str">
        <f>IFERROR(IF(INDEX(РАБОТЫ!$W$2:$W$1058,MATCH(509+1,РАБОТЫ!$X$2:$X$1058,0))=1,INDEX(РАБОТЫ!$V$2:$V$1058,MATCH(509+1,РАБОТЫ!$X$2:$X$1058,0)),""),"")</f>
        <v/>
      </c>
      <c r="M530" t="str">
        <f t="shared" si="31"/>
        <v/>
      </c>
    </row>
    <row r="531" spans="1:13" hidden="1" x14ac:dyDescent="0.3">
      <c r="A531" t="str">
        <f>IF(ISNUMBER($K531),INDEX(РАБОТЫ!$U$2:$U$1058,$K531),"")</f>
        <v/>
      </c>
      <c r="B531" t="str">
        <f>IF(ISNUMBER($K531),INDEX(РАБОТЫ!$A$2:$A$1058,$K531),"")</f>
        <v/>
      </c>
      <c r="C531" s="4" t="str">
        <f>IF($L531&lt;&gt;"",INDEX(РАБОТЫ!$Z$2:$Z$1058,MATCH($L531,РАБОТЫ!$V$2:$V$1058,0)),IF(ISNUMBER($K531),INDEX(РАБОТЫ!$Y$2:$Y$1058,$K531),""))</f>
        <v/>
      </c>
      <c r="D531" t="str">
        <f>IF(ISNUMBER($K531),INDEX(РАБОТЫ!$E$2:$E$1058,$K531),"")</f>
        <v/>
      </c>
      <c r="E531" t="str">
        <f>IF(ISNUMBER($K531),INDEX(РАБОТЫ!$M$2:$M$1058,$K531),"")</f>
        <v/>
      </c>
      <c r="F531" s="7" t="str">
        <f>IF(ISNUMBER($K531),INDEX(РАБОТЫ!$S$2:$S$1058,$K531),"")</f>
        <v/>
      </c>
      <c r="G531" s="7" t="str">
        <f>IF(ISNUMBER($K531),INDEX(РАБОТЫ!$T$2:$T$1058,$K531),"")</f>
        <v/>
      </c>
      <c r="H531" s="7" t="str">
        <f t="shared" si="28"/>
        <v/>
      </c>
      <c r="I531" s="7" t="str">
        <f t="shared" si="29"/>
        <v/>
      </c>
      <c r="J531" s="7" t="str">
        <f t="shared" si="30"/>
        <v/>
      </c>
      <c r="K531" t="str">
        <f>IFERROR(MATCH(510,РАБОТЫ!$X$2:$X$1058,0),"")</f>
        <v/>
      </c>
      <c r="L531" t="str">
        <f>IFERROR(IF(INDEX(РАБОТЫ!$W$2:$W$1058,MATCH(510+1,РАБОТЫ!$X$2:$X$1058,0))=1,INDEX(РАБОТЫ!$V$2:$V$1058,MATCH(510+1,РАБОТЫ!$X$2:$X$1058,0)),""),"")</f>
        <v/>
      </c>
      <c r="M531" t="str">
        <f t="shared" si="31"/>
        <v/>
      </c>
    </row>
    <row r="532" spans="1:13" hidden="1" x14ac:dyDescent="0.3">
      <c r="A532" t="str">
        <f>IF(ISNUMBER($K532),INDEX(РАБОТЫ!$U$2:$U$1058,$K532),"")</f>
        <v/>
      </c>
      <c r="B532" t="str">
        <f>IF(ISNUMBER($K532),INDEX(РАБОТЫ!$A$2:$A$1058,$K532),"")</f>
        <v/>
      </c>
      <c r="C532" s="4" t="str">
        <f>IF($L532&lt;&gt;"",INDEX(РАБОТЫ!$Z$2:$Z$1058,MATCH($L532,РАБОТЫ!$V$2:$V$1058,0)),IF(ISNUMBER($K532),INDEX(РАБОТЫ!$Y$2:$Y$1058,$K532),""))</f>
        <v/>
      </c>
      <c r="D532" t="str">
        <f>IF(ISNUMBER($K532),INDEX(РАБОТЫ!$E$2:$E$1058,$K532),"")</f>
        <v/>
      </c>
      <c r="E532" t="str">
        <f>IF(ISNUMBER($K532),INDEX(РАБОТЫ!$M$2:$M$1058,$K532),"")</f>
        <v/>
      </c>
      <c r="F532" s="7" t="str">
        <f>IF(ISNUMBER($K532),INDEX(РАБОТЫ!$S$2:$S$1058,$K532),"")</f>
        <v/>
      </c>
      <c r="G532" s="7" t="str">
        <f>IF(ISNUMBER($K532),INDEX(РАБОТЫ!$T$2:$T$1058,$K532),"")</f>
        <v/>
      </c>
      <c r="H532" s="7" t="str">
        <f t="shared" si="28"/>
        <v/>
      </c>
      <c r="I532" s="7" t="str">
        <f t="shared" si="29"/>
        <v/>
      </c>
      <c r="J532" s="7" t="str">
        <f t="shared" si="30"/>
        <v/>
      </c>
      <c r="K532" t="str">
        <f>IFERROR(MATCH(511,РАБОТЫ!$X$2:$X$1058,0),"")</f>
        <v/>
      </c>
      <c r="L532" t="str">
        <f>IFERROR(IF(INDEX(РАБОТЫ!$W$2:$W$1058,MATCH(511+1,РАБОТЫ!$X$2:$X$1058,0))=1,INDEX(РАБОТЫ!$V$2:$V$1058,MATCH(511+1,РАБОТЫ!$X$2:$X$1058,0)),""),"")</f>
        <v/>
      </c>
      <c r="M532" t="str">
        <f t="shared" si="31"/>
        <v/>
      </c>
    </row>
    <row r="533" spans="1:13" hidden="1" x14ac:dyDescent="0.3">
      <c r="A533" t="str">
        <f>IF(ISNUMBER($K533),INDEX(РАБОТЫ!$U$2:$U$1058,$K533),"")</f>
        <v/>
      </c>
      <c r="B533" t="str">
        <f>IF(ISNUMBER($K533),INDEX(РАБОТЫ!$A$2:$A$1058,$K533),"")</f>
        <v/>
      </c>
      <c r="C533" s="4" t="str">
        <f>IF($L533&lt;&gt;"",INDEX(РАБОТЫ!$Z$2:$Z$1058,MATCH($L533,РАБОТЫ!$V$2:$V$1058,0)),IF(ISNUMBER($K533),INDEX(РАБОТЫ!$Y$2:$Y$1058,$K533),""))</f>
        <v/>
      </c>
      <c r="D533" t="str">
        <f>IF(ISNUMBER($K533),INDEX(РАБОТЫ!$E$2:$E$1058,$K533),"")</f>
        <v/>
      </c>
      <c r="E533" t="str">
        <f>IF(ISNUMBER($K533),INDEX(РАБОТЫ!$M$2:$M$1058,$K533),"")</f>
        <v/>
      </c>
      <c r="F533" s="7" t="str">
        <f>IF(ISNUMBER($K533),INDEX(РАБОТЫ!$S$2:$S$1058,$K533),"")</f>
        <v/>
      </c>
      <c r="G533" s="7" t="str">
        <f>IF(ISNUMBER($K533),INDEX(РАБОТЫ!$T$2:$T$1058,$K533),"")</f>
        <v/>
      </c>
      <c r="H533" s="7" t="str">
        <f t="shared" si="28"/>
        <v/>
      </c>
      <c r="I533" s="7" t="str">
        <f t="shared" si="29"/>
        <v/>
      </c>
      <c r="J533" s="7" t="str">
        <f t="shared" si="30"/>
        <v/>
      </c>
      <c r="K533" t="str">
        <f>IFERROR(MATCH(512,РАБОТЫ!$X$2:$X$1058,0),"")</f>
        <v/>
      </c>
      <c r="L533" t="str">
        <f>IFERROR(IF(INDEX(РАБОТЫ!$W$2:$W$1058,MATCH(512+1,РАБОТЫ!$X$2:$X$1058,0))=1,INDEX(РАБОТЫ!$V$2:$V$1058,MATCH(512+1,РАБОТЫ!$X$2:$X$1058,0)),""),"")</f>
        <v/>
      </c>
      <c r="M533" t="str">
        <f t="shared" si="31"/>
        <v/>
      </c>
    </row>
    <row r="534" spans="1:13" hidden="1" x14ac:dyDescent="0.3">
      <c r="A534" t="str">
        <f>IF(ISNUMBER($K534),INDEX(РАБОТЫ!$U$2:$U$1058,$K534),"")</f>
        <v/>
      </c>
      <c r="B534" t="str">
        <f>IF(ISNUMBER($K534),INDEX(РАБОТЫ!$A$2:$A$1058,$K534),"")</f>
        <v/>
      </c>
      <c r="C534" s="4" t="str">
        <f>IF($L534&lt;&gt;"",INDEX(РАБОТЫ!$Z$2:$Z$1058,MATCH($L534,РАБОТЫ!$V$2:$V$1058,0)),IF(ISNUMBER($K534),INDEX(РАБОТЫ!$Y$2:$Y$1058,$K534),""))</f>
        <v/>
      </c>
      <c r="D534" t="str">
        <f>IF(ISNUMBER($K534),INDEX(РАБОТЫ!$E$2:$E$1058,$K534),"")</f>
        <v/>
      </c>
      <c r="E534" t="str">
        <f>IF(ISNUMBER($K534),INDEX(РАБОТЫ!$M$2:$M$1058,$K534),"")</f>
        <v/>
      </c>
      <c r="F534" s="7" t="str">
        <f>IF(ISNUMBER($K534),INDEX(РАБОТЫ!$S$2:$S$1058,$K534),"")</f>
        <v/>
      </c>
      <c r="G534" s="7" t="str">
        <f>IF(ISNUMBER($K534),INDEX(РАБОТЫ!$T$2:$T$1058,$K534),"")</f>
        <v/>
      </c>
      <c r="H534" s="7" t="str">
        <f t="shared" ref="H534:H597" si="32">IF(ISNUMBER($K534),ROUND($E534*$F534,2),"")</f>
        <v/>
      </c>
      <c r="I534" s="7" t="str">
        <f t="shared" ref="I534:I597" si="33">IF(ISNUMBER($K534),ROUND($E534*$G534,2),"")</f>
        <v/>
      </c>
      <c r="J534" s="7" t="str">
        <f t="shared" ref="J534:J597" si="34">IF(ISNUMBER($K534),$H534+$I534,"")</f>
        <v/>
      </c>
      <c r="K534" t="str">
        <f>IFERROR(MATCH(513,РАБОТЫ!$X$2:$X$1058,0),"")</f>
        <v/>
      </c>
      <c r="L534" t="str">
        <f>IFERROR(IF(INDEX(РАБОТЫ!$W$2:$W$1058,MATCH(513+1,РАБОТЫ!$X$2:$X$1058,0))=1,INDEX(РАБОТЫ!$V$2:$V$1058,MATCH(513+1,РАБОТЫ!$X$2:$X$1058,0)),""),"")</f>
        <v/>
      </c>
      <c r="M534" t="str">
        <f t="shared" ref="M534:M597" si="35">IF(OR(ISNUMBER($K534),$L534&lt;&gt;""),"показать","")</f>
        <v/>
      </c>
    </row>
    <row r="535" spans="1:13" hidden="1" x14ac:dyDescent="0.3">
      <c r="A535" t="str">
        <f>IF(ISNUMBER($K535),INDEX(РАБОТЫ!$U$2:$U$1058,$K535),"")</f>
        <v/>
      </c>
      <c r="B535" t="str">
        <f>IF(ISNUMBER($K535),INDEX(РАБОТЫ!$A$2:$A$1058,$K535),"")</f>
        <v/>
      </c>
      <c r="C535" s="4" t="str">
        <f>IF($L535&lt;&gt;"",INDEX(РАБОТЫ!$Z$2:$Z$1058,MATCH($L535,РАБОТЫ!$V$2:$V$1058,0)),IF(ISNUMBER($K535),INDEX(РАБОТЫ!$Y$2:$Y$1058,$K535),""))</f>
        <v/>
      </c>
      <c r="D535" t="str">
        <f>IF(ISNUMBER($K535),INDEX(РАБОТЫ!$E$2:$E$1058,$K535),"")</f>
        <v/>
      </c>
      <c r="E535" t="str">
        <f>IF(ISNUMBER($K535),INDEX(РАБОТЫ!$M$2:$M$1058,$K535),"")</f>
        <v/>
      </c>
      <c r="F535" s="7" t="str">
        <f>IF(ISNUMBER($K535),INDEX(РАБОТЫ!$S$2:$S$1058,$K535),"")</f>
        <v/>
      </c>
      <c r="G535" s="7" t="str">
        <f>IF(ISNUMBER($K535),INDEX(РАБОТЫ!$T$2:$T$1058,$K535),"")</f>
        <v/>
      </c>
      <c r="H535" s="7" t="str">
        <f t="shared" si="32"/>
        <v/>
      </c>
      <c r="I535" s="7" t="str">
        <f t="shared" si="33"/>
        <v/>
      </c>
      <c r="J535" s="7" t="str">
        <f t="shared" si="34"/>
        <v/>
      </c>
      <c r="K535" t="str">
        <f>IFERROR(MATCH(514,РАБОТЫ!$X$2:$X$1058,0),"")</f>
        <v/>
      </c>
      <c r="L535" t="str">
        <f>IFERROR(IF(INDEX(РАБОТЫ!$W$2:$W$1058,MATCH(514+1,РАБОТЫ!$X$2:$X$1058,0))=1,INDEX(РАБОТЫ!$V$2:$V$1058,MATCH(514+1,РАБОТЫ!$X$2:$X$1058,0)),""),"")</f>
        <v/>
      </c>
      <c r="M535" t="str">
        <f t="shared" si="35"/>
        <v/>
      </c>
    </row>
    <row r="536" spans="1:13" hidden="1" x14ac:dyDescent="0.3">
      <c r="A536" t="str">
        <f>IF(ISNUMBER($K536),INDEX(РАБОТЫ!$U$2:$U$1058,$K536),"")</f>
        <v/>
      </c>
      <c r="B536" t="str">
        <f>IF(ISNUMBER($K536),INDEX(РАБОТЫ!$A$2:$A$1058,$K536),"")</f>
        <v/>
      </c>
      <c r="C536" s="4" t="str">
        <f>IF($L536&lt;&gt;"",INDEX(РАБОТЫ!$Z$2:$Z$1058,MATCH($L536,РАБОТЫ!$V$2:$V$1058,0)),IF(ISNUMBER($K536),INDEX(РАБОТЫ!$Y$2:$Y$1058,$K536),""))</f>
        <v/>
      </c>
      <c r="D536" t="str">
        <f>IF(ISNUMBER($K536),INDEX(РАБОТЫ!$E$2:$E$1058,$K536),"")</f>
        <v/>
      </c>
      <c r="E536" t="str">
        <f>IF(ISNUMBER($K536),INDEX(РАБОТЫ!$M$2:$M$1058,$K536),"")</f>
        <v/>
      </c>
      <c r="F536" s="7" t="str">
        <f>IF(ISNUMBER($K536),INDEX(РАБОТЫ!$S$2:$S$1058,$K536),"")</f>
        <v/>
      </c>
      <c r="G536" s="7" t="str">
        <f>IF(ISNUMBER($K536),INDEX(РАБОТЫ!$T$2:$T$1058,$K536),"")</f>
        <v/>
      </c>
      <c r="H536" s="7" t="str">
        <f t="shared" si="32"/>
        <v/>
      </c>
      <c r="I536" s="7" t="str">
        <f t="shared" si="33"/>
        <v/>
      </c>
      <c r="J536" s="7" t="str">
        <f t="shared" si="34"/>
        <v/>
      </c>
      <c r="K536" t="str">
        <f>IFERROR(MATCH(515,РАБОТЫ!$X$2:$X$1058,0),"")</f>
        <v/>
      </c>
      <c r="L536" t="str">
        <f>IFERROR(IF(INDEX(РАБОТЫ!$W$2:$W$1058,MATCH(515+1,РАБОТЫ!$X$2:$X$1058,0))=1,INDEX(РАБОТЫ!$V$2:$V$1058,MATCH(515+1,РАБОТЫ!$X$2:$X$1058,0)),""),"")</f>
        <v/>
      </c>
      <c r="M536" t="str">
        <f t="shared" si="35"/>
        <v/>
      </c>
    </row>
    <row r="537" spans="1:13" hidden="1" x14ac:dyDescent="0.3">
      <c r="A537" t="str">
        <f>IF(ISNUMBER($K537),INDEX(РАБОТЫ!$U$2:$U$1058,$K537),"")</f>
        <v/>
      </c>
      <c r="B537" t="str">
        <f>IF(ISNUMBER($K537),INDEX(РАБОТЫ!$A$2:$A$1058,$K537),"")</f>
        <v/>
      </c>
      <c r="C537" s="4" t="str">
        <f>IF($L537&lt;&gt;"",INDEX(РАБОТЫ!$Z$2:$Z$1058,MATCH($L537,РАБОТЫ!$V$2:$V$1058,0)),IF(ISNUMBER($K537),INDEX(РАБОТЫ!$Y$2:$Y$1058,$K537),""))</f>
        <v/>
      </c>
      <c r="D537" t="str">
        <f>IF(ISNUMBER($K537),INDEX(РАБОТЫ!$E$2:$E$1058,$K537),"")</f>
        <v/>
      </c>
      <c r="E537" t="str">
        <f>IF(ISNUMBER($K537),INDEX(РАБОТЫ!$M$2:$M$1058,$K537),"")</f>
        <v/>
      </c>
      <c r="F537" s="7" t="str">
        <f>IF(ISNUMBER($K537),INDEX(РАБОТЫ!$S$2:$S$1058,$K537),"")</f>
        <v/>
      </c>
      <c r="G537" s="7" t="str">
        <f>IF(ISNUMBER($K537),INDEX(РАБОТЫ!$T$2:$T$1058,$K537),"")</f>
        <v/>
      </c>
      <c r="H537" s="7" t="str">
        <f t="shared" si="32"/>
        <v/>
      </c>
      <c r="I537" s="7" t="str">
        <f t="shared" si="33"/>
        <v/>
      </c>
      <c r="J537" s="7" t="str">
        <f t="shared" si="34"/>
        <v/>
      </c>
      <c r="K537" t="str">
        <f>IFERROR(MATCH(516,РАБОТЫ!$X$2:$X$1058,0),"")</f>
        <v/>
      </c>
      <c r="L537" t="str">
        <f>IFERROR(IF(INDEX(РАБОТЫ!$W$2:$W$1058,MATCH(516+1,РАБОТЫ!$X$2:$X$1058,0))=1,INDEX(РАБОТЫ!$V$2:$V$1058,MATCH(516+1,РАБОТЫ!$X$2:$X$1058,0)),""),"")</f>
        <v/>
      </c>
      <c r="M537" t="str">
        <f t="shared" si="35"/>
        <v/>
      </c>
    </row>
    <row r="538" spans="1:13" hidden="1" x14ac:dyDescent="0.3">
      <c r="A538" t="str">
        <f>IF(ISNUMBER($K538),INDEX(РАБОТЫ!$U$2:$U$1058,$K538),"")</f>
        <v/>
      </c>
      <c r="B538" t="str">
        <f>IF(ISNUMBER($K538),INDEX(РАБОТЫ!$A$2:$A$1058,$K538),"")</f>
        <v/>
      </c>
      <c r="C538" s="4" t="str">
        <f>IF($L538&lt;&gt;"",INDEX(РАБОТЫ!$Z$2:$Z$1058,MATCH($L538,РАБОТЫ!$V$2:$V$1058,0)),IF(ISNUMBER($K538),INDEX(РАБОТЫ!$Y$2:$Y$1058,$K538),""))</f>
        <v/>
      </c>
      <c r="D538" t="str">
        <f>IF(ISNUMBER($K538),INDEX(РАБОТЫ!$E$2:$E$1058,$K538),"")</f>
        <v/>
      </c>
      <c r="E538" t="str">
        <f>IF(ISNUMBER($K538),INDEX(РАБОТЫ!$M$2:$M$1058,$K538),"")</f>
        <v/>
      </c>
      <c r="F538" s="7" t="str">
        <f>IF(ISNUMBER($K538),INDEX(РАБОТЫ!$S$2:$S$1058,$K538),"")</f>
        <v/>
      </c>
      <c r="G538" s="7" t="str">
        <f>IF(ISNUMBER($K538),INDEX(РАБОТЫ!$T$2:$T$1058,$K538),"")</f>
        <v/>
      </c>
      <c r="H538" s="7" t="str">
        <f t="shared" si="32"/>
        <v/>
      </c>
      <c r="I538" s="7" t="str">
        <f t="shared" si="33"/>
        <v/>
      </c>
      <c r="J538" s="7" t="str">
        <f t="shared" si="34"/>
        <v/>
      </c>
      <c r="K538" t="str">
        <f>IFERROR(MATCH(517,РАБОТЫ!$X$2:$X$1058,0),"")</f>
        <v/>
      </c>
      <c r="L538" t="str">
        <f>IFERROR(IF(INDEX(РАБОТЫ!$W$2:$W$1058,MATCH(517+1,РАБОТЫ!$X$2:$X$1058,0))=1,INDEX(РАБОТЫ!$V$2:$V$1058,MATCH(517+1,РАБОТЫ!$X$2:$X$1058,0)),""),"")</f>
        <v/>
      </c>
      <c r="M538" t="str">
        <f t="shared" si="35"/>
        <v/>
      </c>
    </row>
    <row r="539" spans="1:13" hidden="1" x14ac:dyDescent="0.3">
      <c r="A539" t="str">
        <f>IF(ISNUMBER($K539),INDEX(РАБОТЫ!$U$2:$U$1058,$K539),"")</f>
        <v/>
      </c>
      <c r="B539" t="str">
        <f>IF(ISNUMBER($K539),INDEX(РАБОТЫ!$A$2:$A$1058,$K539),"")</f>
        <v/>
      </c>
      <c r="C539" s="4" t="str">
        <f>IF($L539&lt;&gt;"",INDEX(РАБОТЫ!$Z$2:$Z$1058,MATCH($L539,РАБОТЫ!$V$2:$V$1058,0)),IF(ISNUMBER($K539),INDEX(РАБОТЫ!$Y$2:$Y$1058,$K539),""))</f>
        <v/>
      </c>
      <c r="D539" t="str">
        <f>IF(ISNUMBER($K539),INDEX(РАБОТЫ!$E$2:$E$1058,$K539),"")</f>
        <v/>
      </c>
      <c r="E539" t="str">
        <f>IF(ISNUMBER($K539),INDEX(РАБОТЫ!$M$2:$M$1058,$K539),"")</f>
        <v/>
      </c>
      <c r="F539" s="7" t="str">
        <f>IF(ISNUMBER($K539),INDEX(РАБОТЫ!$S$2:$S$1058,$K539),"")</f>
        <v/>
      </c>
      <c r="G539" s="7" t="str">
        <f>IF(ISNUMBER($K539),INDEX(РАБОТЫ!$T$2:$T$1058,$K539),"")</f>
        <v/>
      </c>
      <c r="H539" s="7" t="str">
        <f t="shared" si="32"/>
        <v/>
      </c>
      <c r="I539" s="7" t="str">
        <f t="shared" si="33"/>
        <v/>
      </c>
      <c r="J539" s="7" t="str">
        <f t="shared" si="34"/>
        <v/>
      </c>
      <c r="K539" t="str">
        <f>IFERROR(MATCH(518,РАБОТЫ!$X$2:$X$1058,0),"")</f>
        <v/>
      </c>
      <c r="L539" t="str">
        <f>IFERROR(IF(INDEX(РАБОТЫ!$W$2:$W$1058,MATCH(518+1,РАБОТЫ!$X$2:$X$1058,0))=1,INDEX(РАБОТЫ!$V$2:$V$1058,MATCH(518+1,РАБОТЫ!$X$2:$X$1058,0)),""),"")</f>
        <v/>
      </c>
      <c r="M539" t="str">
        <f t="shared" si="35"/>
        <v/>
      </c>
    </row>
    <row r="540" spans="1:13" hidden="1" x14ac:dyDescent="0.3">
      <c r="A540" t="str">
        <f>IF(ISNUMBER($K540),INDEX(РАБОТЫ!$U$2:$U$1058,$K540),"")</f>
        <v/>
      </c>
      <c r="B540" t="str">
        <f>IF(ISNUMBER($K540),INDEX(РАБОТЫ!$A$2:$A$1058,$K540),"")</f>
        <v/>
      </c>
      <c r="C540" s="4" t="str">
        <f>IF($L540&lt;&gt;"",INDEX(РАБОТЫ!$Z$2:$Z$1058,MATCH($L540,РАБОТЫ!$V$2:$V$1058,0)),IF(ISNUMBER($K540),INDEX(РАБОТЫ!$Y$2:$Y$1058,$K540),""))</f>
        <v/>
      </c>
      <c r="D540" t="str">
        <f>IF(ISNUMBER($K540),INDEX(РАБОТЫ!$E$2:$E$1058,$K540),"")</f>
        <v/>
      </c>
      <c r="E540" t="str">
        <f>IF(ISNUMBER($K540),INDEX(РАБОТЫ!$M$2:$M$1058,$K540),"")</f>
        <v/>
      </c>
      <c r="F540" s="7" t="str">
        <f>IF(ISNUMBER($K540),INDEX(РАБОТЫ!$S$2:$S$1058,$K540),"")</f>
        <v/>
      </c>
      <c r="G540" s="7" t="str">
        <f>IF(ISNUMBER($K540),INDEX(РАБОТЫ!$T$2:$T$1058,$K540),"")</f>
        <v/>
      </c>
      <c r="H540" s="7" t="str">
        <f t="shared" si="32"/>
        <v/>
      </c>
      <c r="I540" s="7" t="str">
        <f t="shared" si="33"/>
        <v/>
      </c>
      <c r="J540" s="7" t="str">
        <f t="shared" si="34"/>
        <v/>
      </c>
      <c r="K540" t="str">
        <f>IFERROR(MATCH(519,РАБОТЫ!$X$2:$X$1058,0),"")</f>
        <v/>
      </c>
      <c r="L540" t="str">
        <f>IFERROR(IF(INDEX(РАБОТЫ!$W$2:$W$1058,MATCH(519+1,РАБОТЫ!$X$2:$X$1058,0))=1,INDEX(РАБОТЫ!$V$2:$V$1058,MATCH(519+1,РАБОТЫ!$X$2:$X$1058,0)),""),"")</f>
        <v/>
      </c>
      <c r="M540" t="str">
        <f t="shared" si="35"/>
        <v/>
      </c>
    </row>
    <row r="541" spans="1:13" hidden="1" x14ac:dyDescent="0.3">
      <c r="A541" t="str">
        <f>IF(ISNUMBER($K541),INDEX(РАБОТЫ!$U$2:$U$1058,$K541),"")</f>
        <v/>
      </c>
      <c r="B541" t="str">
        <f>IF(ISNUMBER($K541),INDEX(РАБОТЫ!$A$2:$A$1058,$K541),"")</f>
        <v/>
      </c>
      <c r="C541" s="4" t="str">
        <f>IF($L541&lt;&gt;"",INDEX(РАБОТЫ!$Z$2:$Z$1058,MATCH($L541,РАБОТЫ!$V$2:$V$1058,0)),IF(ISNUMBER($K541),INDEX(РАБОТЫ!$Y$2:$Y$1058,$K541),""))</f>
        <v/>
      </c>
      <c r="D541" t="str">
        <f>IF(ISNUMBER($K541),INDEX(РАБОТЫ!$E$2:$E$1058,$K541),"")</f>
        <v/>
      </c>
      <c r="E541" t="str">
        <f>IF(ISNUMBER($K541),INDEX(РАБОТЫ!$M$2:$M$1058,$K541),"")</f>
        <v/>
      </c>
      <c r="F541" s="7" t="str">
        <f>IF(ISNUMBER($K541),INDEX(РАБОТЫ!$S$2:$S$1058,$K541),"")</f>
        <v/>
      </c>
      <c r="G541" s="7" t="str">
        <f>IF(ISNUMBER($K541),INDEX(РАБОТЫ!$T$2:$T$1058,$K541),"")</f>
        <v/>
      </c>
      <c r="H541" s="7" t="str">
        <f t="shared" si="32"/>
        <v/>
      </c>
      <c r="I541" s="7" t="str">
        <f t="shared" si="33"/>
        <v/>
      </c>
      <c r="J541" s="7" t="str">
        <f t="shared" si="34"/>
        <v/>
      </c>
      <c r="K541" t="str">
        <f>IFERROR(MATCH(520,РАБОТЫ!$X$2:$X$1058,0),"")</f>
        <v/>
      </c>
      <c r="L541" t="str">
        <f>IFERROR(IF(INDEX(РАБОТЫ!$W$2:$W$1058,MATCH(520+1,РАБОТЫ!$X$2:$X$1058,0))=1,INDEX(РАБОТЫ!$V$2:$V$1058,MATCH(520+1,РАБОТЫ!$X$2:$X$1058,0)),""),"")</f>
        <v/>
      </c>
      <c r="M541" t="str">
        <f t="shared" si="35"/>
        <v/>
      </c>
    </row>
    <row r="542" spans="1:13" hidden="1" x14ac:dyDescent="0.3">
      <c r="A542" t="str">
        <f>IF(ISNUMBER($K542),INDEX(РАБОТЫ!$U$2:$U$1058,$K542),"")</f>
        <v/>
      </c>
      <c r="B542" t="str">
        <f>IF(ISNUMBER($K542),INDEX(РАБОТЫ!$A$2:$A$1058,$K542),"")</f>
        <v/>
      </c>
      <c r="C542" s="4" t="str">
        <f>IF($L542&lt;&gt;"",INDEX(РАБОТЫ!$Z$2:$Z$1058,MATCH($L542,РАБОТЫ!$V$2:$V$1058,0)),IF(ISNUMBER($K542),INDEX(РАБОТЫ!$Y$2:$Y$1058,$K542),""))</f>
        <v/>
      </c>
      <c r="D542" t="str">
        <f>IF(ISNUMBER($K542),INDEX(РАБОТЫ!$E$2:$E$1058,$K542),"")</f>
        <v/>
      </c>
      <c r="E542" t="str">
        <f>IF(ISNUMBER($K542),INDEX(РАБОТЫ!$M$2:$M$1058,$K542),"")</f>
        <v/>
      </c>
      <c r="F542" s="7" t="str">
        <f>IF(ISNUMBER($K542),INDEX(РАБОТЫ!$S$2:$S$1058,$K542),"")</f>
        <v/>
      </c>
      <c r="G542" s="7" t="str">
        <f>IF(ISNUMBER($K542),INDEX(РАБОТЫ!$T$2:$T$1058,$K542),"")</f>
        <v/>
      </c>
      <c r="H542" s="7" t="str">
        <f t="shared" si="32"/>
        <v/>
      </c>
      <c r="I542" s="7" t="str">
        <f t="shared" si="33"/>
        <v/>
      </c>
      <c r="J542" s="7" t="str">
        <f t="shared" si="34"/>
        <v/>
      </c>
      <c r="K542" t="str">
        <f>IFERROR(MATCH(521,РАБОТЫ!$X$2:$X$1058,0),"")</f>
        <v/>
      </c>
      <c r="L542" t="str">
        <f>IFERROR(IF(INDEX(РАБОТЫ!$W$2:$W$1058,MATCH(521+1,РАБОТЫ!$X$2:$X$1058,0))=1,INDEX(РАБОТЫ!$V$2:$V$1058,MATCH(521+1,РАБОТЫ!$X$2:$X$1058,0)),""),"")</f>
        <v/>
      </c>
      <c r="M542" t="str">
        <f t="shared" si="35"/>
        <v/>
      </c>
    </row>
    <row r="543" spans="1:13" hidden="1" x14ac:dyDescent="0.3">
      <c r="A543" t="str">
        <f>IF(ISNUMBER($K543),INDEX(РАБОТЫ!$U$2:$U$1058,$K543),"")</f>
        <v/>
      </c>
      <c r="B543" t="str">
        <f>IF(ISNUMBER($K543),INDEX(РАБОТЫ!$A$2:$A$1058,$K543),"")</f>
        <v/>
      </c>
      <c r="C543" s="4" t="str">
        <f>IF($L543&lt;&gt;"",INDEX(РАБОТЫ!$Z$2:$Z$1058,MATCH($L543,РАБОТЫ!$V$2:$V$1058,0)),IF(ISNUMBER($K543),INDEX(РАБОТЫ!$Y$2:$Y$1058,$K543),""))</f>
        <v/>
      </c>
      <c r="D543" t="str">
        <f>IF(ISNUMBER($K543),INDEX(РАБОТЫ!$E$2:$E$1058,$K543),"")</f>
        <v/>
      </c>
      <c r="E543" t="str">
        <f>IF(ISNUMBER($K543),INDEX(РАБОТЫ!$M$2:$M$1058,$K543),"")</f>
        <v/>
      </c>
      <c r="F543" s="7" t="str">
        <f>IF(ISNUMBER($K543),INDEX(РАБОТЫ!$S$2:$S$1058,$K543),"")</f>
        <v/>
      </c>
      <c r="G543" s="7" t="str">
        <f>IF(ISNUMBER($K543),INDEX(РАБОТЫ!$T$2:$T$1058,$K543),"")</f>
        <v/>
      </c>
      <c r="H543" s="7" t="str">
        <f t="shared" si="32"/>
        <v/>
      </c>
      <c r="I543" s="7" t="str">
        <f t="shared" si="33"/>
        <v/>
      </c>
      <c r="J543" s="7" t="str">
        <f t="shared" si="34"/>
        <v/>
      </c>
      <c r="K543" t="str">
        <f>IFERROR(MATCH(522,РАБОТЫ!$X$2:$X$1058,0),"")</f>
        <v/>
      </c>
      <c r="L543" t="str">
        <f>IFERROR(IF(INDEX(РАБОТЫ!$W$2:$W$1058,MATCH(522+1,РАБОТЫ!$X$2:$X$1058,0))=1,INDEX(РАБОТЫ!$V$2:$V$1058,MATCH(522+1,РАБОТЫ!$X$2:$X$1058,0)),""),"")</f>
        <v/>
      </c>
      <c r="M543" t="str">
        <f t="shared" si="35"/>
        <v/>
      </c>
    </row>
    <row r="544" spans="1:13" hidden="1" x14ac:dyDescent="0.3">
      <c r="A544" t="str">
        <f>IF(ISNUMBER($K544),INDEX(РАБОТЫ!$U$2:$U$1058,$K544),"")</f>
        <v/>
      </c>
      <c r="B544" t="str">
        <f>IF(ISNUMBER($K544),INDEX(РАБОТЫ!$A$2:$A$1058,$K544),"")</f>
        <v/>
      </c>
      <c r="C544" s="4" t="str">
        <f>IF($L544&lt;&gt;"",INDEX(РАБОТЫ!$Z$2:$Z$1058,MATCH($L544,РАБОТЫ!$V$2:$V$1058,0)),IF(ISNUMBER($K544),INDEX(РАБОТЫ!$Y$2:$Y$1058,$K544),""))</f>
        <v/>
      </c>
      <c r="D544" t="str">
        <f>IF(ISNUMBER($K544),INDEX(РАБОТЫ!$E$2:$E$1058,$K544),"")</f>
        <v/>
      </c>
      <c r="E544" t="str">
        <f>IF(ISNUMBER($K544),INDEX(РАБОТЫ!$M$2:$M$1058,$K544),"")</f>
        <v/>
      </c>
      <c r="F544" s="7" t="str">
        <f>IF(ISNUMBER($K544),INDEX(РАБОТЫ!$S$2:$S$1058,$K544),"")</f>
        <v/>
      </c>
      <c r="G544" s="7" t="str">
        <f>IF(ISNUMBER($K544),INDEX(РАБОТЫ!$T$2:$T$1058,$K544),"")</f>
        <v/>
      </c>
      <c r="H544" s="7" t="str">
        <f t="shared" si="32"/>
        <v/>
      </c>
      <c r="I544" s="7" t="str">
        <f t="shared" si="33"/>
        <v/>
      </c>
      <c r="J544" s="7" t="str">
        <f t="shared" si="34"/>
        <v/>
      </c>
      <c r="K544" t="str">
        <f>IFERROR(MATCH(523,РАБОТЫ!$X$2:$X$1058,0),"")</f>
        <v/>
      </c>
      <c r="L544" t="str">
        <f>IFERROR(IF(INDEX(РАБОТЫ!$W$2:$W$1058,MATCH(523+1,РАБОТЫ!$X$2:$X$1058,0))=1,INDEX(РАБОТЫ!$V$2:$V$1058,MATCH(523+1,РАБОТЫ!$X$2:$X$1058,0)),""),"")</f>
        <v/>
      </c>
      <c r="M544" t="str">
        <f t="shared" si="35"/>
        <v/>
      </c>
    </row>
    <row r="545" spans="1:13" hidden="1" x14ac:dyDescent="0.3">
      <c r="A545" t="str">
        <f>IF(ISNUMBER($K545),INDEX(РАБОТЫ!$U$2:$U$1058,$K545),"")</f>
        <v/>
      </c>
      <c r="B545" t="str">
        <f>IF(ISNUMBER($K545),INDEX(РАБОТЫ!$A$2:$A$1058,$K545),"")</f>
        <v/>
      </c>
      <c r="C545" s="4" t="str">
        <f>IF($L545&lt;&gt;"",INDEX(РАБОТЫ!$Z$2:$Z$1058,MATCH($L545,РАБОТЫ!$V$2:$V$1058,0)),IF(ISNUMBER($K545),INDEX(РАБОТЫ!$Y$2:$Y$1058,$K545),""))</f>
        <v/>
      </c>
      <c r="D545" t="str">
        <f>IF(ISNUMBER($K545),INDEX(РАБОТЫ!$E$2:$E$1058,$K545),"")</f>
        <v/>
      </c>
      <c r="E545" t="str">
        <f>IF(ISNUMBER($K545),INDEX(РАБОТЫ!$M$2:$M$1058,$K545),"")</f>
        <v/>
      </c>
      <c r="F545" s="7" t="str">
        <f>IF(ISNUMBER($K545),INDEX(РАБОТЫ!$S$2:$S$1058,$K545),"")</f>
        <v/>
      </c>
      <c r="G545" s="7" t="str">
        <f>IF(ISNUMBER($K545),INDEX(РАБОТЫ!$T$2:$T$1058,$K545),"")</f>
        <v/>
      </c>
      <c r="H545" s="7" t="str">
        <f t="shared" si="32"/>
        <v/>
      </c>
      <c r="I545" s="7" t="str">
        <f t="shared" si="33"/>
        <v/>
      </c>
      <c r="J545" s="7" t="str">
        <f t="shared" si="34"/>
        <v/>
      </c>
      <c r="K545" t="str">
        <f>IFERROR(MATCH(524,РАБОТЫ!$X$2:$X$1058,0),"")</f>
        <v/>
      </c>
      <c r="L545" t="str">
        <f>IFERROR(IF(INDEX(РАБОТЫ!$W$2:$W$1058,MATCH(524+1,РАБОТЫ!$X$2:$X$1058,0))=1,INDEX(РАБОТЫ!$V$2:$V$1058,MATCH(524+1,РАБОТЫ!$X$2:$X$1058,0)),""),"")</f>
        <v/>
      </c>
      <c r="M545" t="str">
        <f t="shared" si="35"/>
        <v/>
      </c>
    </row>
    <row r="546" spans="1:13" hidden="1" x14ac:dyDescent="0.3">
      <c r="A546" t="str">
        <f>IF(ISNUMBER($K546),INDEX(РАБОТЫ!$U$2:$U$1058,$K546),"")</f>
        <v/>
      </c>
      <c r="B546" t="str">
        <f>IF(ISNUMBER($K546),INDEX(РАБОТЫ!$A$2:$A$1058,$K546),"")</f>
        <v/>
      </c>
      <c r="C546" s="4" t="str">
        <f>IF($L546&lt;&gt;"",INDEX(РАБОТЫ!$Z$2:$Z$1058,MATCH($L546,РАБОТЫ!$V$2:$V$1058,0)),IF(ISNUMBER($K546),INDEX(РАБОТЫ!$Y$2:$Y$1058,$K546),""))</f>
        <v/>
      </c>
      <c r="D546" t="str">
        <f>IF(ISNUMBER($K546),INDEX(РАБОТЫ!$E$2:$E$1058,$K546),"")</f>
        <v/>
      </c>
      <c r="E546" t="str">
        <f>IF(ISNUMBER($K546),INDEX(РАБОТЫ!$M$2:$M$1058,$K546),"")</f>
        <v/>
      </c>
      <c r="F546" s="7" t="str">
        <f>IF(ISNUMBER($K546),INDEX(РАБОТЫ!$S$2:$S$1058,$K546),"")</f>
        <v/>
      </c>
      <c r="G546" s="7" t="str">
        <f>IF(ISNUMBER($K546),INDEX(РАБОТЫ!$T$2:$T$1058,$K546),"")</f>
        <v/>
      </c>
      <c r="H546" s="7" t="str">
        <f t="shared" si="32"/>
        <v/>
      </c>
      <c r="I546" s="7" t="str">
        <f t="shared" si="33"/>
        <v/>
      </c>
      <c r="J546" s="7" t="str">
        <f t="shared" si="34"/>
        <v/>
      </c>
      <c r="K546" t="str">
        <f>IFERROR(MATCH(525,РАБОТЫ!$X$2:$X$1058,0),"")</f>
        <v/>
      </c>
      <c r="L546" t="str">
        <f>IFERROR(IF(INDEX(РАБОТЫ!$W$2:$W$1058,MATCH(525+1,РАБОТЫ!$X$2:$X$1058,0))=1,INDEX(РАБОТЫ!$V$2:$V$1058,MATCH(525+1,РАБОТЫ!$X$2:$X$1058,0)),""),"")</f>
        <v/>
      </c>
      <c r="M546" t="str">
        <f t="shared" si="35"/>
        <v/>
      </c>
    </row>
    <row r="547" spans="1:13" hidden="1" x14ac:dyDescent="0.3">
      <c r="A547" t="str">
        <f>IF(ISNUMBER($K547),INDEX(РАБОТЫ!$U$2:$U$1058,$K547),"")</f>
        <v/>
      </c>
      <c r="B547" t="str">
        <f>IF(ISNUMBER($K547),INDEX(РАБОТЫ!$A$2:$A$1058,$K547),"")</f>
        <v/>
      </c>
      <c r="C547" s="4" t="str">
        <f>IF($L547&lt;&gt;"",INDEX(РАБОТЫ!$Z$2:$Z$1058,MATCH($L547,РАБОТЫ!$V$2:$V$1058,0)),IF(ISNUMBER($K547),INDEX(РАБОТЫ!$Y$2:$Y$1058,$K547),""))</f>
        <v/>
      </c>
      <c r="D547" t="str">
        <f>IF(ISNUMBER($K547),INDEX(РАБОТЫ!$E$2:$E$1058,$K547),"")</f>
        <v/>
      </c>
      <c r="E547" t="str">
        <f>IF(ISNUMBER($K547),INDEX(РАБОТЫ!$M$2:$M$1058,$K547),"")</f>
        <v/>
      </c>
      <c r="F547" s="7" t="str">
        <f>IF(ISNUMBER($K547),INDEX(РАБОТЫ!$S$2:$S$1058,$K547),"")</f>
        <v/>
      </c>
      <c r="G547" s="7" t="str">
        <f>IF(ISNUMBER($K547),INDEX(РАБОТЫ!$T$2:$T$1058,$K547),"")</f>
        <v/>
      </c>
      <c r="H547" s="7" t="str">
        <f t="shared" si="32"/>
        <v/>
      </c>
      <c r="I547" s="7" t="str">
        <f t="shared" si="33"/>
        <v/>
      </c>
      <c r="J547" s="7" t="str">
        <f t="shared" si="34"/>
        <v/>
      </c>
      <c r="K547" t="str">
        <f>IFERROR(MATCH(526,РАБОТЫ!$X$2:$X$1058,0),"")</f>
        <v/>
      </c>
      <c r="L547" t="str">
        <f>IFERROR(IF(INDEX(РАБОТЫ!$W$2:$W$1058,MATCH(526+1,РАБОТЫ!$X$2:$X$1058,0))=1,INDEX(РАБОТЫ!$V$2:$V$1058,MATCH(526+1,РАБОТЫ!$X$2:$X$1058,0)),""),"")</f>
        <v/>
      </c>
      <c r="M547" t="str">
        <f t="shared" si="35"/>
        <v/>
      </c>
    </row>
    <row r="548" spans="1:13" hidden="1" x14ac:dyDescent="0.3">
      <c r="A548" t="str">
        <f>IF(ISNUMBER($K548),INDEX(РАБОТЫ!$U$2:$U$1058,$K548),"")</f>
        <v/>
      </c>
      <c r="B548" t="str">
        <f>IF(ISNUMBER($K548),INDEX(РАБОТЫ!$A$2:$A$1058,$K548),"")</f>
        <v/>
      </c>
      <c r="C548" s="4" t="str">
        <f>IF($L548&lt;&gt;"",INDEX(РАБОТЫ!$Z$2:$Z$1058,MATCH($L548,РАБОТЫ!$V$2:$V$1058,0)),IF(ISNUMBER($K548),INDEX(РАБОТЫ!$Y$2:$Y$1058,$K548),""))</f>
        <v/>
      </c>
      <c r="D548" t="str">
        <f>IF(ISNUMBER($K548),INDEX(РАБОТЫ!$E$2:$E$1058,$K548),"")</f>
        <v/>
      </c>
      <c r="E548" t="str">
        <f>IF(ISNUMBER($K548),INDEX(РАБОТЫ!$M$2:$M$1058,$K548),"")</f>
        <v/>
      </c>
      <c r="F548" s="7" t="str">
        <f>IF(ISNUMBER($K548),INDEX(РАБОТЫ!$S$2:$S$1058,$K548),"")</f>
        <v/>
      </c>
      <c r="G548" s="7" t="str">
        <f>IF(ISNUMBER($K548),INDEX(РАБОТЫ!$T$2:$T$1058,$K548),"")</f>
        <v/>
      </c>
      <c r="H548" s="7" t="str">
        <f t="shared" si="32"/>
        <v/>
      </c>
      <c r="I548" s="7" t="str">
        <f t="shared" si="33"/>
        <v/>
      </c>
      <c r="J548" s="7" t="str">
        <f t="shared" si="34"/>
        <v/>
      </c>
      <c r="K548" t="str">
        <f>IFERROR(MATCH(527,РАБОТЫ!$X$2:$X$1058,0),"")</f>
        <v/>
      </c>
      <c r="L548" t="str">
        <f>IFERROR(IF(INDEX(РАБОТЫ!$W$2:$W$1058,MATCH(527+1,РАБОТЫ!$X$2:$X$1058,0))=1,INDEX(РАБОТЫ!$V$2:$V$1058,MATCH(527+1,РАБОТЫ!$X$2:$X$1058,0)),""),"")</f>
        <v/>
      </c>
      <c r="M548" t="str">
        <f t="shared" si="35"/>
        <v/>
      </c>
    </row>
    <row r="549" spans="1:13" hidden="1" x14ac:dyDescent="0.3">
      <c r="A549" t="str">
        <f>IF(ISNUMBER($K549),INDEX(РАБОТЫ!$U$2:$U$1058,$K549),"")</f>
        <v/>
      </c>
      <c r="B549" t="str">
        <f>IF(ISNUMBER($K549),INDEX(РАБОТЫ!$A$2:$A$1058,$K549),"")</f>
        <v/>
      </c>
      <c r="C549" s="4" t="str">
        <f>IF($L549&lt;&gt;"",INDEX(РАБОТЫ!$Z$2:$Z$1058,MATCH($L549,РАБОТЫ!$V$2:$V$1058,0)),IF(ISNUMBER($K549),INDEX(РАБОТЫ!$Y$2:$Y$1058,$K549),""))</f>
        <v/>
      </c>
      <c r="D549" t="str">
        <f>IF(ISNUMBER($K549),INDEX(РАБОТЫ!$E$2:$E$1058,$K549),"")</f>
        <v/>
      </c>
      <c r="E549" t="str">
        <f>IF(ISNUMBER($K549),INDEX(РАБОТЫ!$M$2:$M$1058,$K549),"")</f>
        <v/>
      </c>
      <c r="F549" s="7" t="str">
        <f>IF(ISNUMBER($K549),INDEX(РАБОТЫ!$S$2:$S$1058,$K549),"")</f>
        <v/>
      </c>
      <c r="G549" s="7" t="str">
        <f>IF(ISNUMBER($K549),INDEX(РАБОТЫ!$T$2:$T$1058,$K549),"")</f>
        <v/>
      </c>
      <c r="H549" s="7" t="str">
        <f t="shared" si="32"/>
        <v/>
      </c>
      <c r="I549" s="7" t="str">
        <f t="shared" si="33"/>
        <v/>
      </c>
      <c r="J549" s="7" t="str">
        <f t="shared" si="34"/>
        <v/>
      </c>
      <c r="K549" t="str">
        <f>IFERROR(MATCH(528,РАБОТЫ!$X$2:$X$1058,0),"")</f>
        <v/>
      </c>
      <c r="L549" t="str">
        <f>IFERROR(IF(INDEX(РАБОТЫ!$W$2:$W$1058,MATCH(528+1,РАБОТЫ!$X$2:$X$1058,0))=1,INDEX(РАБОТЫ!$V$2:$V$1058,MATCH(528+1,РАБОТЫ!$X$2:$X$1058,0)),""),"")</f>
        <v/>
      </c>
      <c r="M549" t="str">
        <f t="shared" si="35"/>
        <v/>
      </c>
    </row>
    <row r="550" spans="1:13" hidden="1" x14ac:dyDescent="0.3">
      <c r="A550" t="str">
        <f>IF(ISNUMBER($K550),INDEX(РАБОТЫ!$U$2:$U$1058,$K550),"")</f>
        <v/>
      </c>
      <c r="B550" t="str">
        <f>IF(ISNUMBER($K550),INDEX(РАБОТЫ!$A$2:$A$1058,$K550),"")</f>
        <v/>
      </c>
      <c r="C550" s="4" t="str">
        <f>IF($L550&lt;&gt;"",INDEX(РАБОТЫ!$Z$2:$Z$1058,MATCH($L550,РАБОТЫ!$V$2:$V$1058,0)),IF(ISNUMBER($K550),INDEX(РАБОТЫ!$Y$2:$Y$1058,$K550),""))</f>
        <v/>
      </c>
      <c r="D550" t="str">
        <f>IF(ISNUMBER($K550),INDEX(РАБОТЫ!$E$2:$E$1058,$K550),"")</f>
        <v/>
      </c>
      <c r="E550" t="str">
        <f>IF(ISNUMBER($K550),INDEX(РАБОТЫ!$M$2:$M$1058,$K550),"")</f>
        <v/>
      </c>
      <c r="F550" s="7" t="str">
        <f>IF(ISNUMBER($K550),INDEX(РАБОТЫ!$S$2:$S$1058,$K550),"")</f>
        <v/>
      </c>
      <c r="G550" s="7" t="str">
        <f>IF(ISNUMBER($K550),INDEX(РАБОТЫ!$T$2:$T$1058,$K550),"")</f>
        <v/>
      </c>
      <c r="H550" s="7" t="str">
        <f t="shared" si="32"/>
        <v/>
      </c>
      <c r="I550" s="7" t="str">
        <f t="shared" si="33"/>
        <v/>
      </c>
      <c r="J550" s="7" t="str">
        <f t="shared" si="34"/>
        <v/>
      </c>
      <c r="K550" t="str">
        <f>IFERROR(MATCH(529,РАБОТЫ!$X$2:$X$1058,0),"")</f>
        <v/>
      </c>
      <c r="L550" t="str">
        <f>IFERROR(IF(INDEX(РАБОТЫ!$W$2:$W$1058,MATCH(529+1,РАБОТЫ!$X$2:$X$1058,0))=1,INDEX(РАБОТЫ!$V$2:$V$1058,MATCH(529+1,РАБОТЫ!$X$2:$X$1058,0)),""),"")</f>
        <v/>
      </c>
      <c r="M550" t="str">
        <f t="shared" si="35"/>
        <v/>
      </c>
    </row>
    <row r="551" spans="1:13" hidden="1" x14ac:dyDescent="0.3">
      <c r="A551" t="str">
        <f>IF(ISNUMBER($K551),INDEX(РАБОТЫ!$U$2:$U$1058,$K551),"")</f>
        <v/>
      </c>
      <c r="B551" t="str">
        <f>IF(ISNUMBER($K551),INDEX(РАБОТЫ!$A$2:$A$1058,$K551),"")</f>
        <v/>
      </c>
      <c r="C551" s="4" t="str">
        <f>IF($L551&lt;&gt;"",INDEX(РАБОТЫ!$Z$2:$Z$1058,MATCH($L551,РАБОТЫ!$V$2:$V$1058,0)),IF(ISNUMBER($K551),INDEX(РАБОТЫ!$Y$2:$Y$1058,$K551),""))</f>
        <v/>
      </c>
      <c r="D551" t="str">
        <f>IF(ISNUMBER($K551),INDEX(РАБОТЫ!$E$2:$E$1058,$K551),"")</f>
        <v/>
      </c>
      <c r="E551" t="str">
        <f>IF(ISNUMBER($K551),INDEX(РАБОТЫ!$M$2:$M$1058,$K551),"")</f>
        <v/>
      </c>
      <c r="F551" s="7" t="str">
        <f>IF(ISNUMBER($K551),INDEX(РАБОТЫ!$S$2:$S$1058,$K551),"")</f>
        <v/>
      </c>
      <c r="G551" s="7" t="str">
        <f>IF(ISNUMBER($K551),INDEX(РАБОТЫ!$T$2:$T$1058,$K551),"")</f>
        <v/>
      </c>
      <c r="H551" s="7" t="str">
        <f t="shared" si="32"/>
        <v/>
      </c>
      <c r="I551" s="7" t="str">
        <f t="shared" si="33"/>
        <v/>
      </c>
      <c r="J551" s="7" t="str">
        <f t="shared" si="34"/>
        <v/>
      </c>
      <c r="K551" t="str">
        <f>IFERROR(MATCH(530,РАБОТЫ!$X$2:$X$1058,0),"")</f>
        <v/>
      </c>
      <c r="L551" t="str">
        <f>IFERROR(IF(INDEX(РАБОТЫ!$W$2:$W$1058,MATCH(530+1,РАБОТЫ!$X$2:$X$1058,0))=1,INDEX(РАБОТЫ!$V$2:$V$1058,MATCH(530+1,РАБОТЫ!$X$2:$X$1058,0)),""),"")</f>
        <v/>
      </c>
      <c r="M551" t="str">
        <f t="shared" si="35"/>
        <v/>
      </c>
    </row>
    <row r="552" spans="1:13" hidden="1" x14ac:dyDescent="0.3">
      <c r="A552" t="str">
        <f>IF(ISNUMBER($K552),INDEX(РАБОТЫ!$U$2:$U$1058,$K552),"")</f>
        <v/>
      </c>
      <c r="B552" t="str">
        <f>IF(ISNUMBER($K552),INDEX(РАБОТЫ!$A$2:$A$1058,$K552),"")</f>
        <v/>
      </c>
      <c r="C552" s="4" t="str">
        <f>IF($L552&lt;&gt;"",INDEX(РАБОТЫ!$Z$2:$Z$1058,MATCH($L552,РАБОТЫ!$V$2:$V$1058,0)),IF(ISNUMBER($K552),INDEX(РАБОТЫ!$Y$2:$Y$1058,$K552),""))</f>
        <v/>
      </c>
      <c r="D552" t="str">
        <f>IF(ISNUMBER($K552),INDEX(РАБОТЫ!$E$2:$E$1058,$K552),"")</f>
        <v/>
      </c>
      <c r="E552" t="str">
        <f>IF(ISNUMBER($K552),INDEX(РАБОТЫ!$M$2:$M$1058,$K552),"")</f>
        <v/>
      </c>
      <c r="F552" s="7" t="str">
        <f>IF(ISNUMBER($K552),INDEX(РАБОТЫ!$S$2:$S$1058,$K552),"")</f>
        <v/>
      </c>
      <c r="G552" s="7" t="str">
        <f>IF(ISNUMBER($K552),INDEX(РАБОТЫ!$T$2:$T$1058,$K552),"")</f>
        <v/>
      </c>
      <c r="H552" s="7" t="str">
        <f t="shared" si="32"/>
        <v/>
      </c>
      <c r="I552" s="7" t="str">
        <f t="shared" si="33"/>
        <v/>
      </c>
      <c r="J552" s="7" t="str">
        <f t="shared" si="34"/>
        <v/>
      </c>
      <c r="K552" t="str">
        <f>IFERROR(MATCH(531,РАБОТЫ!$X$2:$X$1058,0),"")</f>
        <v/>
      </c>
      <c r="L552" t="str">
        <f>IFERROR(IF(INDEX(РАБОТЫ!$W$2:$W$1058,MATCH(531+1,РАБОТЫ!$X$2:$X$1058,0))=1,INDEX(РАБОТЫ!$V$2:$V$1058,MATCH(531+1,РАБОТЫ!$X$2:$X$1058,0)),""),"")</f>
        <v/>
      </c>
      <c r="M552" t="str">
        <f t="shared" si="35"/>
        <v/>
      </c>
    </row>
    <row r="553" spans="1:13" hidden="1" x14ac:dyDescent="0.3">
      <c r="A553" t="str">
        <f>IF(ISNUMBER($K553),INDEX(РАБОТЫ!$U$2:$U$1058,$K553),"")</f>
        <v/>
      </c>
      <c r="B553" t="str">
        <f>IF(ISNUMBER($K553),INDEX(РАБОТЫ!$A$2:$A$1058,$K553),"")</f>
        <v/>
      </c>
      <c r="C553" s="4" t="str">
        <f>IF($L553&lt;&gt;"",INDEX(РАБОТЫ!$Z$2:$Z$1058,MATCH($L553,РАБОТЫ!$V$2:$V$1058,0)),IF(ISNUMBER($K553),INDEX(РАБОТЫ!$Y$2:$Y$1058,$K553),""))</f>
        <v/>
      </c>
      <c r="D553" t="str">
        <f>IF(ISNUMBER($K553),INDEX(РАБОТЫ!$E$2:$E$1058,$K553),"")</f>
        <v/>
      </c>
      <c r="E553" t="str">
        <f>IF(ISNUMBER($K553),INDEX(РАБОТЫ!$M$2:$M$1058,$K553),"")</f>
        <v/>
      </c>
      <c r="F553" s="7" t="str">
        <f>IF(ISNUMBER($K553),INDEX(РАБОТЫ!$S$2:$S$1058,$K553),"")</f>
        <v/>
      </c>
      <c r="G553" s="7" t="str">
        <f>IF(ISNUMBER($K553),INDEX(РАБОТЫ!$T$2:$T$1058,$K553),"")</f>
        <v/>
      </c>
      <c r="H553" s="7" t="str">
        <f t="shared" si="32"/>
        <v/>
      </c>
      <c r="I553" s="7" t="str">
        <f t="shared" si="33"/>
        <v/>
      </c>
      <c r="J553" s="7" t="str">
        <f t="shared" si="34"/>
        <v/>
      </c>
      <c r="K553" t="str">
        <f>IFERROR(MATCH(532,РАБОТЫ!$X$2:$X$1058,0),"")</f>
        <v/>
      </c>
      <c r="L553" t="str">
        <f>IFERROR(IF(INDEX(РАБОТЫ!$W$2:$W$1058,MATCH(532+1,РАБОТЫ!$X$2:$X$1058,0))=1,INDEX(РАБОТЫ!$V$2:$V$1058,MATCH(532+1,РАБОТЫ!$X$2:$X$1058,0)),""),"")</f>
        <v/>
      </c>
      <c r="M553" t="str">
        <f t="shared" si="35"/>
        <v/>
      </c>
    </row>
    <row r="554" spans="1:13" hidden="1" x14ac:dyDescent="0.3">
      <c r="A554" t="str">
        <f>IF(ISNUMBER($K554),INDEX(РАБОТЫ!$U$2:$U$1058,$K554),"")</f>
        <v/>
      </c>
      <c r="B554" t="str">
        <f>IF(ISNUMBER($K554),INDEX(РАБОТЫ!$A$2:$A$1058,$K554),"")</f>
        <v/>
      </c>
      <c r="C554" s="4" t="str">
        <f>IF($L554&lt;&gt;"",INDEX(РАБОТЫ!$Z$2:$Z$1058,MATCH($L554,РАБОТЫ!$V$2:$V$1058,0)),IF(ISNUMBER($K554),INDEX(РАБОТЫ!$Y$2:$Y$1058,$K554),""))</f>
        <v/>
      </c>
      <c r="D554" t="str">
        <f>IF(ISNUMBER($K554),INDEX(РАБОТЫ!$E$2:$E$1058,$K554),"")</f>
        <v/>
      </c>
      <c r="E554" t="str">
        <f>IF(ISNUMBER($K554),INDEX(РАБОТЫ!$M$2:$M$1058,$K554),"")</f>
        <v/>
      </c>
      <c r="F554" s="7" t="str">
        <f>IF(ISNUMBER($K554),INDEX(РАБОТЫ!$S$2:$S$1058,$K554),"")</f>
        <v/>
      </c>
      <c r="G554" s="7" t="str">
        <f>IF(ISNUMBER($K554),INDEX(РАБОТЫ!$T$2:$T$1058,$K554),"")</f>
        <v/>
      </c>
      <c r="H554" s="7" t="str">
        <f t="shared" si="32"/>
        <v/>
      </c>
      <c r="I554" s="7" t="str">
        <f t="shared" si="33"/>
        <v/>
      </c>
      <c r="J554" s="7" t="str">
        <f t="shared" si="34"/>
        <v/>
      </c>
      <c r="K554" t="str">
        <f>IFERROR(MATCH(533,РАБОТЫ!$X$2:$X$1058,0),"")</f>
        <v/>
      </c>
      <c r="L554" t="str">
        <f>IFERROR(IF(INDEX(РАБОТЫ!$W$2:$W$1058,MATCH(533+1,РАБОТЫ!$X$2:$X$1058,0))=1,INDEX(РАБОТЫ!$V$2:$V$1058,MATCH(533+1,РАБОТЫ!$X$2:$X$1058,0)),""),"")</f>
        <v/>
      </c>
      <c r="M554" t="str">
        <f t="shared" si="35"/>
        <v/>
      </c>
    </row>
    <row r="555" spans="1:13" hidden="1" x14ac:dyDescent="0.3">
      <c r="A555" t="str">
        <f>IF(ISNUMBER($K555),INDEX(РАБОТЫ!$U$2:$U$1058,$K555),"")</f>
        <v/>
      </c>
      <c r="B555" t="str">
        <f>IF(ISNUMBER($K555),INDEX(РАБОТЫ!$A$2:$A$1058,$K555),"")</f>
        <v/>
      </c>
      <c r="C555" s="4" t="str">
        <f>IF($L555&lt;&gt;"",INDEX(РАБОТЫ!$Z$2:$Z$1058,MATCH($L555,РАБОТЫ!$V$2:$V$1058,0)),IF(ISNUMBER($K555),INDEX(РАБОТЫ!$Y$2:$Y$1058,$K555),""))</f>
        <v/>
      </c>
      <c r="D555" t="str">
        <f>IF(ISNUMBER($K555),INDEX(РАБОТЫ!$E$2:$E$1058,$K555),"")</f>
        <v/>
      </c>
      <c r="E555" t="str">
        <f>IF(ISNUMBER($K555),INDEX(РАБОТЫ!$M$2:$M$1058,$K555),"")</f>
        <v/>
      </c>
      <c r="F555" s="7" t="str">
        <f>IF(ISNUMBER($K555),INDEX(РАБОТЫ!$S$2:$S$1058,$K555),"")</f>
        <v/>
      </c>
      <c r="G555" s="7" t="str">
        <f>IF(ISNUMBER($K555),INDEX(РАБОТЫ!$T$2:$T$1058,$K555),"")</f>
        <v/>
      </c>
      <c r="H555" s="7" t="str">
        <f t="shared" si="32"/>
        <v/>
      </c>
      <c r="I555" s="7" t="str">
        <f t="shared" si="33"/>
        <v/>
      </c>
      <c r="J555" s="7" t="str">
        <f t="shared" si="34"/>
        <v/>
      </c>
      <c r="K555" t="str">
        <f>IFERROR(MATCH(534,РАБОТЫ!$X$2:$X$1058,0),"")</f>
        <v/>
      </c>
      <c r="L555" t="str">
        <f>IFERROR(IF(INDEX(РАБОТЫ!$W$2:$W$1058,MATCH(534+1,РАБОТЫ!$X$2:$X$1058,0))=1,INDEX(РАБОТЫ!$V$2:$V$1058,MATCH(534+1,РАБОТЫ!$X$2:$X$1058,0)),""),"")</f>
        <v/>
      </c>
      <c r="M555" t="str">
        <f t="shared" si="35"/>
        <v/>
      </c>
    </row>
    <row r="556" spans="1:13" hidden="1" x14ac:dyDescent="0.3">
      <c r="A556" t="str">
        <f>IF(ISNUMBER($K556),INDEX(РАБОТЫ!$U$2:$U$1058,$K556),"")</f>
        <v/>
      </c>
      <c r="B556" t="str">
        <f>IF(ISNUMBER($K556),INDEX(РАБОТЫ!$A$2:$A$1058,$K556),"")</f>
        <v/>
      </c>
      <c r="C556" s="4" t="str">
        <f>IF($L556&lt;&gt;"",INDEX(РАБОТЫ!$Z$2:$Z$1058,MATCH($L556,РАБОТЫ!$V$2:$V$1058,0)),IF(ISNUMBER($K556),INDEX(РАБОТЫ!$Y$2:$Y$1058,$K556),""))</f>
        <v/>
      </c>
      <c r="D556" t="str">
        <f>IF(ISNUMBER($K556),INDEX(РАБОТЫ!$E$2:$E$1058,$K556),"")</f>
        <v/>
      </c>
      <c r="E556" t="str">
        <f>IF(ISNUMBER($K556),INDEX(РАБОТЫ!$M$2:$M$1058,$K556),"")</f>
        <v/>
      </c>
      <c r="F556" s="7" t="str">
        <f>IF(ISNUMBER($K556),INDEX(РАБОТЫ!$S$2:$S$1058,$K556),"")</f>
        <v/>
      </c>
      <c r="G556" s="7" t="str">
        <f>IF(ISNUMBER($K556),INDEX(РАБОТЫ!$T$2:$T$1058,$K556),"")</f>
        <v/>
      </c>
      <c r="H556" s="7" t="str">
        <f t="shared" si="32"/>
        <v/>
      </c>
      <c r="I556" s="7" t="str">
        <f t="shared" si="33"/>
        <v/>
      </c>
      <c r="J556" s="7" t="str">
        <f t="shared" si="34"/>
        <v/>
      </c>
      <c r="K556" t="str">
        <f>IFERROR(MATCH(535,РАБОТЫ!$X$2:$X$1058,0),"")</f>
        <v/>
      </c>
      <c r="L556" t="str">
        <f>IFERROR(IF(INDEX(РАБОТЫ!$W$2:$W$1058,MATCH(535+1,РАБОТЫ!$X$2:$X$1058,0))=1,INDEX(РАБОТЫ!$V$2:$V$1058,MATCH(535+1,РАБОТЫ!$X$2:$X$1058,0)),""),"")</f>
        <v/>
      </c>
      <c r="M556" t="str">
        <f t="shared" si="35"/>
        <v/>
      </c>
    </row>
    <row r="557" spans="1:13" hidden="1" x14ac:dyDescent="0.3">
      <c r="A557" t="str">
        <f>IF(ISNUMBER($K557),INDEX(РАБОТЫ!$U$2:$U$1058,$K557),"")</f>
        <v/>
      </c>
      <c r="B557" t="str">
        <f>IF(ISNUMBER($K557),INDEX(РАБОТЫ!$A$2:$A$1058,$K557),"")</f>
        <v/>
      </c>
      <c r="C557" s="4" t="str">
        <f>IF($L557&lt;&gt;"",INDEX(РАБОТЫ!$Z$2:$Z$1058,MATCH($L557,РАБОТЫ!$V$2:$V$1058,0)),IF(ISNUMBER($K557),INDEX(РАБОТЫ!$Y$2:$Y$1058,$K557),""))</f>
        <v/>
      </c>
      <c r="D557" t="str">
        <f>IF(ISNUMBER($K557),INDEX(РАБОТЫ!$E$2:$E$1058,$K557),"")</f>
        <v/>
      </c>
      <c r="E557" t="str">
        <f>IF(ISNUMBER($K557),INDEX(РАБОТЫ!$M$2:$M$1058,$K557),"")</f>
        <v/>
      </c>
      <c r="F557" s="7" t="str">
        <f>IF(ISNUMBER($K557),INDEX(РАБОТЫ!$S$2:$S$1058,$K557),"")</f>
        <v/>
      </c>
      <c r="G557" s="7" t="str">
        <f>IF(ISNUMBER($K557),INDEX(РАБОТЫ!$T$2:$T$1058,$K557),"")</f>
        <v/>
      </c>
      <c r="H557" s="7" t="str">
        <f t="shared" si="32"/>
        <v/>
      </c>
      <c r="I557" s="7" t="str">
        <f t="shared" si="33"/>
        <v/>
      </c>
      <c r="J557" s="7" t="str">
        <f t="shared" si="34"/>
        <v/>
      </c>
      <c r="K557" t="str">
        <f>IFERROR(MATCH(536,РАБОТЫ!$X$2:$X$1058,0),"")</f>
        <v/>
      </c>
      <c r="L557" t="str">
        <f>IFERROR(IF(INDEX(РАБОТЫ!$W$2:$W$1058,MATCH(536+1,РАБОТЫ!$X$2:$X$1058,0))=1,INDEX(РАБОТЫ!$V$2:$V$1058,MATCH(536+1,РАБОТЫ!$X$2:$X$1058,0)),""),"")</f>
        <v/>
      </c>
      <c r="M557" t="str">
        <f t="shared" si="35"/>
        <v/>
      </c>
    </row>
    <row r="558" spans="1:13" hidden="1" x14ac:dyDescent="0.3">
      <c r="A558" t="str">
        <f>IF(ISNUMBER($K558),INDEX(РАБОТЫ!$U$2:$U$1058,$K558),"")</f>
        <v/>
      </c>
      <c r="B558" t="str">
        <f>IF(ISNUMBER($K558),INDEX(РАБОТЫ!$A$2:$A$1058,$K558),"")</f>
        <v/>
      </c>
      <c r="C558" s="4" t="str">
        <f>IF($L558&lt;&gt;"",INDEX(РАБОТЫ!$Z$2:$Z$1058,MATCH($L558,РАБОТЫ!$V$2:$V$1058,0)),IF(ISNUMBER($K558),INDEX(РАБОТЫ!$Y$2:$Y$1058,$K558),""))</f>
        <v/>
      </c>
      <c r="D558" t="str">
        <f>IF(ISNUMBER($K558),INDEX(РАБОТЫ!$E$2:$E$1058,$K558),"")</f>
        <v/>
      </c>
      <c r="E558" t="str">
        <f>IF(ISNUMBER($K558),INDEX(РАБОТЫ!$M$2:$M$1058,$K558),"")</f>
        <v/>
      </c>
      <c r="F558" s="7" t="str">
        <f>IF(ISNUMBER($K558),INDEX(РАБОТЫ!$S$2:$S$1058,$K558),"")</f>
        <v/>
      </c>
      <c r="G558" s="7" t="str">
        <f>IF(ISNUMBER($K558),INDEX(РАБОТЫ!$T$2:$T$1058,$K558),"")</f>
        <v/>
      </c>
      <c r="H558" s="7" t="str">
        <f t="shared" si="32"/>
        <v/>
      </c>
      <c r="I558" s="7" t="str">
        <f t="shared" si="33"/>
        <v/>
      </c>
      <c r="J558" s="7" t="str">
        <f t="shared" si="34"/>
        <v/>
      </c>
      <c r="K558" t="str">
        <f>IFERROR(MATCH(537,РАБОТЫ!$X$2:$X$1058,0),"")</f>
        <v/>
      </c>
      <c r="L558" t="str">
        <f>IFERROR(IF(INDEX(РАБОТЫ!$W$2:$W$1058,MATCH(537+1,РАБОТЫ!$X$2:$X$1058,0))=1,INDEX(РАБОТЫ!$V$2:$V$1058,MATCH(537+1,РАБОТЫ!$X$2:$X$1058,0)),""),"")</f>
        <v/>
      </c>
      <c r="M558" t="str">
        <f t="shared" si="35"/>
        <v/>
      </c>
    </row>
    <row r="559" spans="1:13" hidden="1" x14ac:dyDescent="0.3">
      <c r="A559" t="str">
        <f>IF(ISNUMBER($K559),INDEX(РАБОТЫ!$U$2:$U$1058,$K559),"")</f>
        <v/>
      </c>
      <c r="B559" t="str">
        <f>IF(ISNUMBER($K559),INDEX(РАБОТЫ!$A$2:$A$1058,$K559),"")</f>
        <v/>
      </c>
      <c r="C559" s="4" t="str">
        <f>IF($L559&lt;&gt;"",INDEX(РАБОТЫ!$Z$2:$Z$1058,MATCH($L559,РАБОТЫ!$V$2:$V$1058,0)),IF(ISNUMBER($K559),INDEX(РАБОТЫ!$Y$2:$Y$1058,$K559),""))</f>
        <v/>
      </c>
      <c r="D559" t="str">
        <f>IF(ISNUMBER($K559),INDEX(РАБОТЫ!$E$2:$E$1058,$K559),"")</f>
        <v/>
      </c>
      <c r="E559" t="str">
        <f>IF(ISNUMBER($K559),INDEX(РАБОТЫ!$M$2:$M$1058,$K559),"")</f>
        <v/>
      </c>
      <c r="F559" s="7" t="str">
        <f>IF(ISNUMBER($K559),INDEX(РАБОТЫ!$S$2:$S$1058,$K559),"")</f>
        <v/>
      </c>
      <c r="G559" s="7" t="str">
        <f>IF(ISNUMBER($K559),INDEX(РАБОТЫ!$T$2:$T$1058,$K559),"")</f>
        <v/>
      </c>
      <c r="H559" s="7" t="str">
        <f t="shared" si="32"/>
        <v/>
      </c>
      <c r="I559" s="7" t="str">
        <f t="shared" si="33"/>
        <v/>
      </c>
      <c r="J559" s="7" t="str">
        <f t="shared" si="34"/>
        <v/>
      </c>
      <c r="K559" t="str">
        <f>IFERROR(MATCH(538,РАБОТЫ!$X$2:$X$1058,0),"")</f>
        <v/>
      </c>
      <c r="L559" t="str">
        <f>IFERROR(IF(INDEX(РАБОТЫ!$W$2:$W$1058,MATCH(538+1,РАБОТЫ!$X$2:$X$1058,0))=1,INDEX(РАБОТЫ!$V$2:$V$1058,MATCH(538+1,РАБОТЫ!$X$2:$X$1058,0)),""),"")</f>
        <v/>
      </c>
      <c r="M559" t="str">
        <f t="shared" si="35"/>
        <v/>
      </c>
    </row>
    <row r="560" spans="1:13" hidden="1" x14ac:dyDescent="0.3">
      <c r="A560" t="str">
        <f>IF(ISNUMBER($K560),INDEX(РАБОТЫ!$U$2:$U$1058,$K560),"")</f>
        <v/>
      </c>
      <c r="B560" t="str">
        <f>IF(ISNUMBER($K560),INDEX(РАБОТЫ!$A$2:$A$1058,$K560),"")</f>
        <v/>
      </c>
      <c r="C560" s="4" t="str">
        <f>IF($L560&lt;&gt;"",INDEX(РАБОТЫ!$Z$2:$Z$1058,MATCH($L560,РАБОТЫ!$V$2:$V$1058,0)),IF(ISNUMBER($K560),INDEX(РАБОТЫ!$Y$2:$Y$1058,$K560),""))</f>
        <v/>
      </c>
      <c r="D560" t="str">
        <f>IF(ISNUMBER($K560),INDEX(РАБОТЫ!$E$2:$E$1058,$K560),"")</f>
        <v/>
      </c>
      <c r="E560" t="str">
        <f>IF(ISNUMBER($K560),INDEX(РАБОТЫ!$M$2:$M$1058,$K560),"")</f>
        <v/>
      </c>
      <c r="F560" s="7" t="str">
        <f>IF(ISNUMBER($K560),INDEX(РАБОТЫ!$S$2:$S$1058,$K560),"")</f>
        <v/>
      </c>
      <c r="G560" s="7" t="str">
        <f>IF(ISNUMBER($K560),INDEX(РАБОТЫ!$T$2:$T$1058,$K560),"")</f>
        <v/>
      </c>
      <c r="H560" s="7" t="str">
        <f t="shared" si="32"/>
        <v/>
      </c>
      <c r="I560" s="7" t="str">
        <f t="shared" si="33"/>
        <v/>
      </c>
      <c r="J560" s="7" t="str">
        <f t="shared" si="34"/>
        <v/>
      </c>
      <c r="K560" t="str">
        <f>IFERROR(MATCH(539,РАБОТЫ!$X$2:$X$1058,0),"")</f>
        <v/>
      </c>
      <c r="L560" t="str">
        <f>IFERROR(IF(INDEX(РАБОТЫ!$W$2:$W$1058,MATCH(539+1,РАБОТЫ!$X$2:$X$1058,0))=1,INDEX(РАБОТЫ!$V$2:$V$1058,MATCH(539+1,РАБОТЫ!$X$2:$X$1058,0)),""),"")</f>
        <v/>
      </c>
      <c r="M560" t="str">
        <f t="shared" si="35"/>
        <v/>
      </c>
    </row>
    <row r="561" spans="1:13" hidden="1" x14ac:dyDescent="0.3">
      <c r="A561" t="str">
        <f>IF(ISNUMBER($K561),INDEX(РАБОТЫ!$U$2:$U$1058,$K561),"")</f>
        <v/>
      </c>
      <c r="B561" t="str">
        <f>IF(ISNUMBER($K561),INDEX(РАБОТЫ!$A$2:$A$1058,$K561),"")</f>
        <v/>
      </c>
      <c r="C561" s="4" t="str">
        <f>IF($L561&lt;&gt;"",INDEX(РАБОТЫ!$Z$2:$Z$1058,MATCH($L561,РАБОТЫ!$V$2:$V$1058,0)),IF(ISNUMBER($K561),INDEX(РАБОТЫ!$Y$2:$Y$1058,$K561),""))</f>
        <v/>
      </c>
      <c r="D561" t="str">
        <f>IF(ISNUMBER($K561),INDEX(РАБОТЫ!$E$2:$E$1058,$K561),"")</f>
        <v/>
      </c>
      <c r="E561" t="str">
        <f>IF(ISNUMBER($K561),INDEX(РАБОТЫ!$M$2:$M$1058,$K561),"")</f>
        <v/>
      </c>
      <c r="F561" s="7" t="str">
        <f>IF(ISNUMBER($K561),INDEX(РАБОТЫ!$S$2:$S$1058,$K561),"")</f>
        <v/>
      </c>
      <c r="G561" s="7" t="str">
        <f>IF(ISNUMBER($K561),INDEX(РАБОТЫ!$T$2:$T$1058,$K561),"")</f>
        <v/>
      </c>
      <c r="H561" s="7" t="str">
        <f t="shared" si="32"/>
        <v/>
      </c>
      <c r="I561" s="7" t="str">
        <f t="shared" si="33"/>
        <v/>
      </c>
      <c r="J561" s="7" t="str">
        <f t="shared" si="34"/>
        <v/>
      </c>
      <c r="K561" t="str">
        <f>IFERROR(MATCH(540,РАБОТЫ!$X$2:$X$1058,0),"")</f>
        <v/>
      </c>
      <c r="L561" t="str">
        <f>IFERROR(IF(INDEX(РАБОТЫ!$W$2:$W$1058,MATCH(540+1,РАБОТЫ!$X$2:$X$1058,0))=1,INDEX(РАБОТЫ!$V$2:$V$1058,MATCH(540+1,РАБОТЫ!$X$2:$X$1058,0)),""),"")</f>
        <v/>
      </c>
      <c r="M561" t="str">
        <f t="shared" si="35"/>
        <v/>
      </c>
    </row>
    <row r="562" spans="1:13" hidden="1" x14ac:dyDescent="0.3">
      <c r="A562" t="str">
        <f>IF(ISNUMBER($K562),INDEX(РАБОТЫ!$U$2:$U$1058,$K562),"")</f>
        <v/>
      </c>
      <c r="B562" t="str">
        <f>IF(ISNUMBER($K562),INDEX(РАБОТЫ!$A$2:$A$1058,$K562),"")</f>
        <v/>
      </c>
      <c r="C562" s="4" t="str">
        <f>IF($L562&lt;&gt;"",INDEX(РАБОТЫ!$Z$2:$Z$1058,MATCH($L562,РАБОТЫ!$V$2:$V$1058,0)),IF(ISNUMBER($K562),INDEX(РАБОТЫ!$Y$2:$Y$1058,$K562),""))</f>
        <v/>
      </c>
      <c r="D562" t="str">
        <f>IF(ISNUMBER($K562),INDEX(РАБОТЫ!$E$2:$E$1058,$K562),"")</f>
        <v/>
      </c>
      <c r="E562" t="str">
        <f>IF(ISNUMBER($K562),INDEX(РАБОТЫ!$M$2:$M$1058,$K562),"")</f>
        <v/>
      </c>
      <c r="F562" s="7" t="str">
        <f>IF(ISNUMBER($K562),INDEX(РАБОТЫ!$S$2:$S$1058,$K562),"")</f>
        <v/>
      </c>
      <c r="G562" s="7" t="str">
        <f>IF(ISNUMBER($K562),INDEX(РАБОТЫ!$T$2:$T$1058,$K562),"")</f>
        <v/>
      </c>
      <c r="H562" s="7" t="str">
        <f t="shared" si="32"/>
        <v/>
      </c>
      <c r="I562" s="7" t="str">
        <f t="shared" si="33"/>
        <v/>
      </c>
      <c r="J562" s="7" t="str">
        <f t="shared" si="34"/>
        <v/>
      </c>
      <c r="K562" t="str">
        <f>IFERROR(MATCH(541,РАБОТЫ!$X$2:$X$1058,0),"")</f>
        <v/>
      </c>
      <c r="L562" t="str">
        <f>IFERROR(IF(INDEX(РАБОТЫ!$W$2:$W$1058,MATCH(541+1,РАБОТЫ!$X$2:$X$1058,0))=1,INDEX(РАБОТЫ!$V$2:$V$1058,MATCH(541+1,РАБОТЫ!$X$2:$X$1058,0)),""),"")</f>
        <v/>
      </c>
      <c r="M562" t="str">
        <f t="shared" si="35"/>
        <v/>
      </c>
    </row>
    <row r="563" spans="1:13" hidden="1" x14ac:dyDescent="0.3">
      <c r="A563" t="str">
        <f>IF(ISNUMBER($K563),INDEX(РАБОТЫ!$U$2:$U$1058,$K563),"")</f>
        <v/>
      </c>
      <c r="B563" t="str">
        <f>IF(ISNUMBER($K563),INDEX(РАБОТЫ!$A$2:$A$1058,$K563),"")</f>
        <v/>
      </c>
      <c r="C563" s="4" t="str">
        <f>IF($L563&lt;&gt;"",INDEX(РАБОТЫ!$Z$2:$Z$1058,MATCH($L563,РАБОТЫ!$V$2:$V$1058,0)),IF(ISNUMBER($K563),INDEX(РАБОТЫ!$Y$2:$Y$1058,$K563),""))</f>
        <v/>
      </c>
      <c r="D563" t="str">
        <f>IF(ISNUMBER($K563),INDEX(РАБОТЫ!$E$2:$E$1058,$K563),"")</f>
        <v/>
      </c>
      <c r="E563" t="str">
        <f>IF(ISNUMBER($K563),INDEX(РАБОТЫ!$M$2:$M$1058,$K563),"")</f>
        <v/>
      </c>
      <c r="F563" s="7" t="str">
        <f>IF(ISNUMBER($K563),INDEX(РАБОТЫ!$S$2:$S$1058,$K563),"")</f>
        <v/>
      </c>
      <c r="G563" s="7" t="str">
        <f>IF(ISNUMBER($K563),INDEX(РАБОТЫ!$T$2:$T$1058,$K563),"")</f>
        <v/>
      </c>
      <c r="H563" s="7" t="str">
        <f t="shared" si="32"/>
        <v/>
      </c>
      <c r="I563" s="7" t="str">
        <f t="shared" si="33"/>
        <v/>
      </c>
      <c r="J563" s="7" t="str">
        <f t="shared" si="34"/>
        <v/>
      </c>
      <c r="K563" t="str">
        <f>IFERROR(MATCH(542,РАБОТЫ!$X$2:$X$1058,0),"")</f>
        <v/>
      </c>
      <c r="L563" t="str">
        <f>IFERROR(IF(INDEX(РАБОТЫ!$W$2:$W$1058,MATCH(542+1,РАБОТЫ!$X$2:$X$1058,0))=1,INDEX(РАБОТЫ!$V$2:$V$1058,MATCH(542+1,РАБОТЫ!$X$2:$X$1058,0)),""),"")</f>
        <v/>
      </c>
      <c r="M563" t="str">
        <f t="shared" si="35"/>
        <v/>
      </c>
    </row>
    <row r="564" spans="1:13" hidden="1" x14ac:dyDescent="0.3">
      <c r="A564" t="str">
        <f>IF(ISNUMBER($K564),INDEX(РАБОТЫ!$U$2:$U$1058,$K564),"")</f>
        <v/>
      </c>
      <c r="B564" t="str">
        <f>IF(ISNUMBER($K564),INDEX(РАБОТЫ!$A$2:$A$1058,$K564),"")</f>
        <v/>
      </c>
      <c r="C564" s="4" t="str">
        <f>IF($L564&lt;&gt;"",INDEX(РАБОТЫ!$Z$2:$Z$1058,MATCH($L564,РАБОТЫ!$V$2:$V$1058,0)),IF(ISNUMBER($K564),INDEX(РАБОТЫ!$Y$2:$Y$1058,$K564),""))</f>
        <v/>
      </c>
      <c r="D564" t="str">
        <f>IF(ISNUMBER($K564),INDEX(РАБОТЫ!$E$2:$E$1058,$K564),"")</f>
        <v/>
      </c>
      <c r="E564" t="str">
        <f>IF(ISNUMBER($K564),INDEX(РАБОТЫ!$M$2:$M$1058,$K564),"")</f>
        <v/>
      </c>
      <c r="F564" s="7" t="str">
        <f>IF(ISNUMBER($K564),INDEX(РАБОТЫ!$S$2:$S$1058,$K564),"")</f>
        <v/>
      </c>
      <c r="G564" s="7" t="str">
        <f>IF(ISNUMBER($K564),INDEX(РАБОТЫ!$T$2:$T$1058,$K564),"")</f>
        <v/>
      </c>
      <c r="H564" s="7" t="str">
        <f t="shared" si="32"/>
        <v/>
      </c>
      <c r="I564" s="7" t="str">
        <f t="shared" si="33"/>
        <v/>
      </c>
      <c r="J564" s="7" t="str">
        <f t="shared" si="34"/>
        <v/>
      </c>
      <c r="K564" t="str">
        <f>IFERROR(MATCH(543,РАБОТЫ!$X$2:$X$1058,0),"")</f>
        <v/>
      </c>
      <c r="L564" t="str">
        <f>IFERROR(IF(INDEX(РАБОТЫ!$W$2:$W$1058,MATCH(543+1,РАБОТЫ!$X$2:$X$1058,0))=1,INDEX(РАБОТЫ!$V$2:$V$1058,MATCH(543+1,РАБОТЫ!$X$2:$X$1058,0)),""),"")</f>
        <v/>
      </c>
      <c r="M564" t="str">
        <f t="shared" si="35"/>
        <v/>
      </c>
    </row>
    <row r="565" spans="1:13" hidden="1" x14ac:dyDescent="0.3">
      <c r="A565" t="str">
        <f>IF(ISNUMBER($K565),INDEX(РАБОТЫ!$U$2:$U$1058,$K565),"")</f>
        <v/>
      </c>
      <c r="B565" t="str">
        <f>IF(ISNUMBER($K565),INDEX(РАБОТЫ!$A$2:$A$1058,$K565),"")</f>
        <v/>
      </c>
      <c r="C565" s="4" t="str">
        <f>IF($L565&lt;&gt;"",INDEX(РАБОТЫ!$Z$2:$Z$1058,MATCH($L565,РАБОТЫ!$V$2:$V$1058,0)),IF(ISNUMBER($K565),INDEX(РАБОТЫ!$Y$2:$Y$1058,$K565),""))</f>
        <v/>
      </c>
      <c r="D565" t="str">
        <f>IF(ISNUMBER($K565),INDEX(РАБОТЫ!$E$2:$E$1058,$K565),"")</f>
        <v/>
      </c>
      <c r="E565" t="str">
        <f>IF(ISNUMBER($K565),INDEX(РАБОТЫ!$M$2:$M$1058,$K565),"")</f>
        <v/>
      </c>
      <c r="F565" s="7" t="str">
        <f>IF(ISNUMBER($K565),INDEX(РАБОТЫ!$S$2:$S$1058,$K565),"")</f>
        <v/>
      </c>
      <c r="G565" s="7" t="str">
        <f>IF(ISNUMBER($K565),INDEX(РАБОТЫ!$T$2:$T$1058,$K565),"")</f>
        <v/>
      </c>
      <c r="H565" s="7" t="str">
        <f t="shared" si="32"/>
        <v/>
      </c>
      <c r="I565" s="7" t="str">
        <f t="shared" si="33"/>
        <v/>
      </c>
      <c r="J565" s="7" t="str">
        <f t="shared" si="34"/>
        <v/>
      </c>
      <c r="K565" t="str">
        <f>IFERROR(MATCH(544,РАБОТЫ!$X$2:$X$1058,0),"")</f>
        <v/>
      </c>
      <c r="L565" t="str">
        <f>IFERROR(IF(INDEX(РАБОТЫ!$W$2:$W$1058,MATCH(544+1,РАБОТЫ!$X$2:$X$1058,0))=1,INDEX(РАБОТЫ!$V$2:$V$1058,MATCH(544+1,РАБОТЫ!$X$2:$X$1058,0)),""),"")</f>
        <v/>
      </c>
      <c r="M565" t="str">
        <f t="shared" si="35"/>
        <v/>
      </c>
    </row>
    <row r="566" spans="1:13" hidden="1" x14ac:dyDescent="0.3">
      <c r="A566" t="str">
        <f>IF(ISNUMBER($K566),INDEX(РАБОТЫ!$U$2:$U$1058,$K566),"")</f>
        <v/>
      </c>
      <c r="B566" t="str">
        <f>IF(ISNUMBER($K566),INDEX(РАБОТЫ!$A$2:$A$1058,$K566),"")</f>
        <v/>
      </c>
      <c r="C566" s="4" t="str">
        <f>IF($L566&lt;&gt;"",INDEX(РАБОТЫ!$Z$2:$Z$1058,MATCH($L566,РАБОТЫ!$V$2:$V$1058,0)),IF(ISNUMBER($K566),INDEX(РАБОТЫ!$Y$2:$Y$1058,$K566),""))</f>
        <v/>
      </c>
      <c r="D566" t="str">
        <f>IF(ISNUMBER($K566),INDEX(РАБОТЫ!$E$2:$E$1058,$K566),"")</f>
        <v/>
      </c>
      <c r="E566" t="str">
        <f>IF(ISNUMBER($K566),INDEX(РАБОТЫ!$M$2:$M$1058,$K566),"")</f>
        <v/>
      </c>
      <c r="F566" s="7" t="str">
        <f>IF(ISNUMBER($K566),INDEX(РАБОТЫ!$S$2:$S$1058,$K566),"")</f>
        <v/>
      </c>
      <c r="G566" s="7" t="str">
        <f>IF(ISNUMBER($K566),INDEX(РАБОТЫ!$T$2:$T$1058,$K566),"")</f>
        <v/>
      </c>
      <c r="H566" s="7" t="str">
        <f t="shared" si="32"/>
        <v/>
      </c>
      <c r="I566" s="7" t="str">
        <f t="shared" si="33"/>
        <v/>
      </c>
      <c r="J566" s="7" t="str">
        <f t="shared" si="34"/>
        <v/>
      </c>
      <c r="K566" t="str">
        <f>IFERROR(MATCH(545,РАБОТЫ!$X$2:$X$1058,0),"")</f>
        <v/>
      </c>
      <c r="L566" t="str">
        <f>IFERROR(IF(INDEX(РАБОТЫ!$W$2:$W$1058,MATCH(545+1,РАБОТЫ!$X$2:$X$1058,0))=1,INDEX(РАБОТЫ!$V$2:$V$1058,MATCH(545+1,РАБОТЫ!$X$2:$X$1058,0)),""),"")</f>
        <v/>
      </c>
      <c r="M566" t="str">
        <f t="shared" si="35"/>
        <v/>
      </c>
    </row>
    <row r="567" spans="1:13" hidden="1" x14ac:dyDescent="0.3">
      <c r="A567" t="str">
        <f>IF(ISNUMBER($K567),INDEX(РАБОТЫ!$U$2:$U$1058,$K567),"")</f>
        <v/>
      </c>
      <c r="B567" t="str">
        <f>IF(ISNUMBER($K567),INDEX(РАБОТЫ!$A$2:$A$1058,$K567),"")</f>
        <v/>
      </c>
      <c r="C567" s="4" t="str">
        <f>IF($L567&lt;&gt;"",INDEX(РАБОТЫ!$Z$2:$Z$1058,MATCH($L567,РАБОТЫ!$V$2:$V$1058,0)),IF(ISNUMBER($K567),INDEX(РАБОТЫ!$Y$2:$Y$1058,$K567),""))</f>
        <v/>
      </c>
      <c r="D567" t="str">
        <f>IF(ISNUMBER($K567),INDEX(РАБОТЫ!$E$2:$E$1058,$K567),"")</f>
        <v/>
      </c>
      <c r="E567" t="str">
        <f>IF(ISNUMBER($K567),INDEX(РАБОТЫ!$M$2:$M$1058,$K567),"")</f>
        <v/>
      </c>
      <c r="F567" s="7" t="str">
        <f>IF(ISNUMBER($K567),INDEX(РАБОТЫ!$S$2:$S$1058,$K567),"")</f>
        <v/>
      </c>
      <c r="G567" s="7" t="str">
        <f>IF(ISNUMBER($K567),INDEX(РАБОТЫ!$T$2:$T$1058,$K567),"")</f>
        <v/>
      </c>
      <c r="H567" s="7" t="str">
        <f t="shared" si="32"/>
        <v/>
      </c>
      <c r="I567" s="7" t="str">
        <f t="shared" si="33"/>
        <v/>
      </c>
      <c r="J567" s="7" t="str">
        <f t="shared" si="34"/>
        <v/>
      </c>
      <c r="K567" t="str">
        <f>IFERROR(MATCH(546,РАБОТЫ!$X$2:$X$1058,0),"")</f>
        <v/>
      </c>
      <c r="L567" t="str">
        <f>IFERROR(IF(INDEX(РАБОТЫ!$W$2:$W$1058,MATCH(546+1,РАБОТЫ!$X$2:$X$1058,0))=1,INDEX(РАБОТЫ!$V$2:$V$1058,MATCH(546+1,РАБОТЫ!$X$2:$X$1058,0)),""),"")</f>
        <v/>
      </c>
      <c r="M567" t="str">
        <f t="shared" si="35"/>
        <v/>
      </c>
    </row>
    <row r="568" spans="1:13" hidden="1" x14ac:dyDescent="0.3">
      <c r="A568" t="str">
        <f>IF(ISNUMBER($K568),INDEX(РАБОТЫ!$U$2:$U$1058,$K568),"")</f>
        <v/>
      </c>
      <c r="B568" t="str">
        <f>IF(ISNUMBER($K568),INDEX(РАБОТЫ!$A$2:$A$1058,$K568),"")</f>
        <v/>
      </c>
      <c r="C568" s="4" t="str">
        <f>IF($L568&lt;&gt;"",INDEX(РАБОТЫ!$Z$2:$Z$1058,MATCH($L568,РАБОТЫ!$V$2:$V$1058,0)),IF(ISNUMBER($K568),INDEX(РАБОТЫ!$Y$2:$Y$1058,$K568),""))</f>
        <v/>
      </c>
      <c r="D568" t="str">
        <f>IF(ISNUMBER($K568),INDEX(РАБОТЫ!$E$2:$E$1058,$K568),"")</f>
        <v/>
      </c>
      <c r="E568" t="str">
        <f>IF(ISNUMBER($K568),INDEX(РАБОТЫ!$M$2:$M$1058,$K568),"")</f>
        <v/>
      </c>
      <c r="F568" s="7" t="str">
        <f>IF(ISNUMBER($K568),INDEX(РАБОТЫ!$S$2:$S$1058,$K568),"")</f>
        <v/>
      </c>
      <c r="G568" s="7" t="str">
        <f>IF(ISNUMBER($K568),INDEX(РАБОТЫ!$T$2:$T$1058,$K568),"")</f>
        <v/>
      </c>
      <c r="H568" s="7" t="str">
        <f t="shared" si="32"/>
        <v/>
      </c>
      <c r="I568" s="7" t="str">
        <f t="shared" si="33"/>
        <v/>
      </c>
      <c r="J568" s="7" t="str">
        <f t="shared" si="34"/>
        <v/>
      </c>
      <c r="K568" t="str">
        <f>IFERROR(MATCH(547,РАБОТЫ!$X$2:$X$1058,0),"")</f>
        <v/>
      </c>
      <c r="L568" t="str">
        <f>IFERROR(IF(INDEX(РАБОТЫ!$W$2:$W$1058,MATCH(547+1,РАБОТЫ!$X$2:$X$1058,0))=1,INDEX(РАБОТЫ!$V$2:$V$1058,MATCH(547+1,РАБОТЫ!$X$2:$X$1058,0)),""),"")</f>
        <v/>
      </c>
      <c r="M568" t="str">
        <f t="shared" si="35"/>
        <v/>
      </c>
    </row>
    <row r="569" spans="1:13" hidden="1" x14ac:dyDescent="0.3">
      <c r="A569" t="str">
        <f>IF(ISNUMBER($K569),INDEX(РАБОТЫ!$U$2:$U$1058,$K569),"")</f>
        <v/>
      </c>
      <c r="B569" t="str">
        <f>IF(ISNUMBER($K569),INDEX(РАБОТЫ!$A$2:$A$1058,$K569),"")</f>
        <v/>
      </c>
      <c r="C569" s="4" t="str">
        <f>IF($L569&lt;&gt;"",INDEX(РАБОТЫ!$Z$2:$Z$1058,MATCH($L569,РАБОТЫ!$V$2:$V$1058,0)),IF(ISNUMBER($K569),INDEX(РАБОТЫ!$Y$2:$Y$1058,$K569),""))</f>
        <v/>
      </c>
      <c r="D569" t="str">
        <f>IF(ISNUMBER($K569),INDEX(РАБОТЫ!$E$2:$E$1058,$K569),"")</f>
        <v/>
      </c>
      <c r="E569" t="str">
        <f>IF(ISNUMBER($K569),INDEX(РАБОТЫ!$M$2:$M$1058,$K569),"")</f>
        <v/>
      </c>
      <c r="F569" s="7" t="str">
        <f>IF(ISNUMBER($K569),INDEX(РАБОТЫ!$S$2:$S$1058,$K569),"")</f>
        <v/>
      </c>
      <c r="G569" s="7" t="str">
        <f>IF(ISNUMBER($K569),INDEX(РАБОТЫ!$T$2:$T$1058,$K569),"")</f>
        <v/>
      </c>
      <c r="H569" s="7" t="str">
        <f t="shared" si="32"/>
        <v/>
      </c>
      <c r="I569" s="7" t="str">
        <f t="shared" si="33"/>
        <v/>
      </c>
      <c r="J569" s="7" t="str">
        <f t="shared" si="34"/>
        <v/>
      </c>
      <c r="K569" t="str">
        <f>IFERROR(MATCH(548,РАБОТЫ!$X$2:$X$1058,0),"")</f>
        <v/>
      </c>
      <c r="L569" t="str">
        <f>IFERROR(IF(INDEX(РАБОТЫ!$W$2:$W$1058,MATCH(548+1,РАБОТЫ!$X$2:$X$1058,0))=1,INDEX(РАБОТЫ!$V$2:$V$1058,MATCH(548+1,РАБОТЫ!$X$2:$X$1058,0)),""),"")</f>
        <v/>
      </c>
      <c r="M569" t="str">
        <f t="shared" si="35"/>
        <v/>
      </c>
    </row>
    <row r="570" spans="1:13" hidden="1" x14ac:dyDescent="0.3">
      <c r="A570" t="str">
        <f>IF(ISNUMBER($K570),INDEX(РАБОТЫ!$U$2:$U$1058,$K570),"")</f>
        <v/>
      </c>
      <c r="B570" t="str">
        <f>IF(ISNUMBER($K570),INDEX(РАБОТЫ!$A$2:$A$1058,$K570),"")</f>
        <v/>
      </c>
      <c r="C570" s="4" t="str">
        <f>IF($L570&lt;&gt;"",INDEX(РАБОТЫ!$Z$2:$Z$1058,MATCH($L570,РАБОТЫ!$V$2:$V$1058,0)),IF(ISNUMBER($K570),INDEX(РАБОТЫ!$Y$2:$Y$1058,$K570),""))</f>
        <v/>
      </c>
      <c r="D570" t="str">
        <f>IF(ISNUMBER($K570),INDEX(РАБОТЫ!$E$2:$E$1058,$K570),"")</f>
        <v/>
      </c>
      <c r="E570" t="str">
        <f>IF(ISNUMBER($K570),INDEX(РАБОТЫ!$M$2:$M$1058,$K570),"")</f>
        <v/>
      </c>
      <c r="F570" s="7" t="str">
        <f>IF(ISNUMBER($K570),INDEX(РАБОТЫ!$S$2:$S$1058,$K570),"")</f>
        <v/>
      </c>
      <c r="G570" s="7" t="str">
        <f>IF(ISNUMBER($K570),INDEX(РАБОТЫ!$T$2:$T$1058,$K570),"")</f>
        <v/>
      </c>
      <c r="H570" s="7" t="str">
        <f t="shared" si="32"/>
        <v/>
      </c>
      <c r="I570" s="7" t="str">
        <f t="shared" si="33"/>
        <v/>
      </c>
      <c r="J570" s="7" t="str">
        <f t="shared" si="34"/>
        <v/>
      </c>
      <c r="K570" t="str">
        <f>IFERROR(MATCH(549,РАБОТЫ!$X$2:$X$1058,0),"")</f>
        <v/>
      </c>
      <c r="L570" t="str">
        <f>IFERROR(IF(INDEX(РАБОТЫ!$W$2:$W$1058,MATCH(549+1,РАБОТЫ!$X$2:$X$1058,0))=1,INDEX(РАБОТЫ!$V$2:$V$1058,MATCH(549+1,РАБОТЫ!$X$2:$X$1058,0)),""),"")</f>
        <v/>
      </c>
      <c r="M570" t="str">
        <f t="shared" si="35"/>
        <v/>
      </c>
    </row>
    <row r="571" spans="1:13" hidden="1" x14ac:dyDescent="0.3">
      <c r="A571" t="str">
        <f>IF(ISNUMBER($K571),INDEX(РАБОТЫ!$U$2:$U$1058,$K571),"")</f>
        <v/>
      </c>
      <c r="B571" t="str">
        <f>IF(ISNUMBER($K571),INDEX(РАБОТЫ!$A$2:$A$1058,$K571),"")</f>
        <v/>
      </c>
      <c r="C571" s="4" t="str">
        <f>IF($L571&lt;&gt;"",INDEX(РАБОТЫ!$Z$2:$Z$1058,MATCH($L571,РАБОТЫ!$V$2:$V$1058,0)),IF(ISNUMBER($K571),INDEX(РАБОТЫ!$Y$2:$Y$1058,$K571),""))</f>
        <v/>
      </c>
      <c r="D571" t="str">
        <f>IF(ISNUMBER($K571),INDEX(РАБОТЫ!$E$2:$E$1058,$K571),"")</f>
        <v/>
      </c>
      <c r="E571" t="str">
        <f>IF(ISNUMBER($K571),INDEX(РАБОТЫ!$M$2:$M$1058,$K571),"")</f>
        <v/>
      </c>
      <c r="F571" s="7" t="str">
        <f>IF(ISNUMBER($K571),INDEX(РАБОТЫ!$S$2:$S$1058,$K571),"")</f>
        <v/>
      </c>
      <c r="G571" s="7" t="str">
        <f>IF(ISNUMBER($K571),INDEX(РАБОТЫ!$T$2:$T$1058,$K571),"")</f>
        <v/>
      </c>
      <c r="H571" s="7" t="str">
        <f t="shared" si="32"/>
        <v/>
      </c>
      <c r="I571" s="7" t="str">
        <f t="shared" si="33"/>
        <v/>
      </c>
      <c r="J571" s="7" t="str">
        <f t="shared" si="34"/>
        <v/>
      </c>
      <c r="K571" t="str">
        <f>IFERROR(MATCH(550,РАБОТЫ!$X$2:$X$1058,0),"")</f>
        <v/>
      </c>
      <c r="L571" t="str">
        <f>IFERROR(IF(INDEX(РАБОТЫ!$W$2:$W$1058,MATCH(550+1,РАБОТЫ!$X$2:$X$1058,0))=1,INDEX(РАБОТЫ!$V$2:$V$1058,MATCH(550+1,РАБОТЫ!$X$2:$X$1058,0)),""),"")</f>
        <v/>
      </c>
      <c r="M571" t="str">
        <f t="shared" si="35"/>
        <v/>
      </c>
    </row>
    <row r="572" spans="1:13" hidden="1" x14ac:dyDescent="0.3">
      <c r="A572" t="str">
        <f>IF(ISNUMBER($K572),INDEX(РАБОТЫ!$U$2:$U$1058,$K572),"")</f>
        <v/>
      </c>
      <c r="B572" t="str">
        <f>IF(ISNUMBER($K572),INDEX(РАБОТЫ!$A$2:$A$1058,$K572),"")</f>
        <v/>
      </c>
      <c r="C572" s="4" t="str">
        <f>IF($L572&lt;&gt;"",INDEX(РАБОТЫ!$Z$2:$Z$1058,MATCH($L572,РАБОТЫ!$V$2:$V$1058,0)),IF(ISNUMBER($K572),INDEX(РАБОТЫ!$Y$2:$Y$1058,$K572),""))</f>
        <v/>
      </c>
      <c r="D572" t="str">
        <f>IF(ISNUMBER($K572),INDEX(РАБОТЫ!$E$2:$E$1058,$K572),"")</f>
        <v/>
      </c>
      <c r="E572" t="str">
        <f>IF(ISNUMBER($K572),INDEX(РАБОТЫ!$M$2:$M$1058,$K572),"")</f>
        <v/>
      </c>
      <c r="F572" s="7" t="str">
        <f>IF(ISNUMBER($K572),INDEX(РАБОТЫ!$S$2:$S$1058,$K572),"")</f>
        <v/>
      </c>
      <c r="G572" s="7" t="str">
        <f>IF(ISNUMBER($K572),INDEX(РАБОТЫ!$T$2:$T$1058,$K572),"")</f>
        <v/>
      </c>
      <c r="H572" s="7" t="str">
        <f t="shared" si="32"/>
        <v/>
      </c>
      <c r="I572" s="7" t="str">
        <f t="shared" si="33"/>
        <v/>
      </c>
      <c r="J572" s="7" t="str">
        <f t="shared" si="34"/>
        <v/>
      </c>
      <c r="K572" t="str">
        <f>IFERROR(MATCH(551,РАБОТЫ!$X$2:$X$1058,0),"")</f>
        <v/>
      </c>
      <c r="L572" t="str">
        <f>IFERROR(IF(INDEX(РАБОТЫ!$W$2:$W$1058,MATCH(551+1,РАБОТЫ!$X$2:$X$1058,0))=1,INDEX(РАБОТЫ!$V$2:$V$1058,MATCH(551+1,РАБОТЫ!$X$2:$X$1058,0)),""),"")</f>
        <v/>
      </c>
      <c r="M572" t="str">
        <f t="shared" si="35"/>
        <v/>
      </c>
    </row>
    <row r="573" spans="1:13" hidden="1" x14ac:dyDescent="0.3">
      <c r="A573" t="str">
        <f>IF(ISNUMBER($K573),INDEX(РАБОТЫ!$U$2:$U$1058,$K573),"")</f>
        <v/>
      </c>
      <c r="B573" t="str">
        <f>IF(ISNUMBER($K573),INDEX(РАБОТЫ!$A$2:$A$1058,$K573),"")</f>
        <v/>
      </c>
      <c r="C573" s="4" t="str">
        <f>IF($L573&lt;&gt;"",INDEX(РАБОТЫ!$Z$2:$Z$1058,MATCH($L573,РАБОТЫ!$V$2:$V$1058,0)),IF(ISNUMBER($K573),INDEX(РАБОТЫ!$Y$2:$Y$1058,$K573),""))</f>
        <v/>
      </c>
      <c r="D573" t="str">
        <f>IF(ISNUMBER($K573),INDEX(РАБОТЫ!$E$2:$E$1058,$K573),"")</f>
        <v/>
      </c>
      <c r="E573" t="str">
        <f>IF(ISNUMBER($K573),INDEX(РАБОТЫ!$M$2:$M$1058,$K573),"")</f>
        <v/>
      </c>
      <c r="F573" s="7" t="str">
        <f>IF(ISNUMBER($K573),INDEX(РАБОТЫ!$S$2:$S$1058,$K573),"")</f>
        <v/>
      </c>
      <c r="G573" s="7" t="str">
        <f>IF(ISNUMBER($K573),INDEX(РАБОТЫ!$T$2:$T$1058,$K573),"")</f>
        <v/>
      </c>
      <c r="H573" s="7" t="str">
        <f t="shared" si="32"/>
        <v/>
      </c>
      <c r="I573" s="7" t="str">
        <f t="shared" si="33"/>
        <v/>
      </c>
      <c r="J573" s="7" t="str">
        <f t="shared" si="34"/>
        <v/>
      </c>
      <c r="K573" t="str">
        <f>IFERROR(MATCH(552,РАБОТЫ!$X$2:$X$1058,0),"")</f>
        <v/>
      </c>
      <c r="L573" t="str">
        <f>IFERROR(IF(INDEX(РАБОТЫ!$W$2:$W$1058,MATCH(552+1,РАБОТЫ!$X$2:$X$1058,0))=1,INDEX(РАБОТЫ!$V$2:$V$1058,MATCH(552+1,РАБОТЫ!$X$2:$X$1058,0)),""),"")</f>
        <v/>
      </c>
      <c r="M573" t="str">
        <f t="shared" si="35"/>
        <v/>
      </c>
    </row>
    <row r="574" spans="1:13" hidden="1" x14ac:dyDescent="0.3">
      <c r="A574" t="str">
        <f>IF(ISNUMBER($K574),INDEX(РАБОТЫ!$U$2:$U$1058,$K574),"")</f>
        <v/>
      </c>
      <c r="B574" t="str">
        <f>IF(ISNUMBER($K574),INDEX(РАБОТЫ!$A$2:$A$1058,$K574),"")</f>
        <v/>
      </c>
      <c r="C574" s="4" t="str">
        <f>IF($L574&lt;&gt;"",INDEX(РАБОТЫ!$Z$2:$Z$1058,MATCH($L574,РАБОТЫ!$V$2:$V$1058,0)),IF(ISNUMBER($K574),INDEX(РАБОТЫ!$Y$2:$Y$1058,$K574),""))</f>
        <v/>
      </c>
      <c r="D574" t="str">
        <f>IF(ISNUMBER($K574),INDEX(РАБОТЫ!$E$2:$E$1058,$K574),"")</f>
        <v/>
      </c>
      <c r="E574" t="str">
        <f>IF(ISNUMBER($K574),INDEX(РАБОТЫ!$M$2:$M$1058,$K574),"")</f>
        <v/>
      </c>
      <c r="F574" s="7" t="str">
        <f>IF(ISNUMBER($K574),INDEX(РАБОТЫ!$S$2:$S$1058,$K574),"")</f>
        <v/>
      </c>
      <c r="G574" s="7" t="str">
        <f>IF(ISNUMBER($K574),INDEX(РАБОТЫ!$T$2:$T$1058,$K574),"")</f>
        <v/>
      </c>
      <c r="H574" s="7" t="str">
        <f t="shared" si="32"/>
        <v/>
      </c>
      <c r="I574" s="7" t="str">
        <f t="shared" si="33"/>
        <v/>
      </c>
      <c r="J574" s="7" t="str">
        <f t="shared" si="34"/>
        <v/>
      </c>
      <c r="K574" t="str">
        <f>IFERROR(MATCH(553,РАБОТЫ!$X$2:$X$1058,0),"")</f>
        <v/>
      </c>
      <c r="L574" t="str">
        <f>IFERROR(IF(INDEX(РАБОТЫ!$W$2:$W$1058,MATCH(553+1,РАБОТЫ!$X$2:$X$1058,0))=1,INDEX(РАБОТЫ!$V$2:$V$1058,MATCH(553+1,РАБОТЫ!$X$2:$X$1058,0)),""),"")</f>
        <v/>
      </c>
      <c r="M574" t="str">
        <f t="shared" si="35"/>
        <v/>
      </c>
    </row>
    <row r="575" spans="1:13" hidden="1" x14ac:dyDescent="0.3">
      <c r="A575" t="str">
        <f>IF(ISNUMBER($K575),INDEX(РАБОТЫ!$U$2:$U$1058,$K575),"")</f>
        <v/>
      </c>
      <c r="B575" t="str">
        <f>IF(ISNUMBER($K575),INDEX(РАБОТЫ!$A$2:$A$1058,$K575),"")</f>
        <v/>
      </c>
      <c r="C575" s="4" t="str">
        <f>IF($L575&lt;&gt;"",INDEX(РАБОТЫ!$Z$2:$Z$1058,MATCH($L575,РАБОТЫ!$V$2:$V$1058,0)),IF(ISNUMBER($K575),INDEX(РАБОТЫ!$Y$2:$Y$1058,$K575),""))</f>
        <v/>
      </c>
      <c r="D575" t="str">
        <f>IF(ISNUMBER($K575),INDEX(РАБОТЫ!$E$2:$E$1058,$K575),"")</f>
        <v/>
      </c>
      <c r="E575" t="str">
        <f>IF(ISNUMBER($K575),INDEX(РАБОТЫ!$M$2:$M$1058,$K575),"")</f>
        <v/>
      </c>
      <c r="F575" s="7" t="str">
        <f>IF(ISNUMBER($K575),INDEX(РАБОТЫ!$S$2:$S$1058,$K575),"")</f>
        <v/>
      </c>
      <c r="G575" s="7" t="str">
        <f>IF(ISNUMBER($K575),INDEX(РАБОТЫ!$T$2:$T$1058,$K575),"")</f>
        <v/>
      </c>
      <c r="H575" s="7" t="str">
        <f t="shared" si="32"/>
        <v/>
      </c>
      <c r="I575" s="7" t="str">
        <f t="shared" si="33"/>
        <v/>
      </c>
      <c r="J575" s="7" t="str">
        <f t="shared" si="34"/>
        <v/>
      </c>
      <c r="K575" t="str">
        <f>IFERROR(MATCH(554,РАБОТЫ!$X$2:$X$1058,0),"")</f>
        <v/>
      </c>
      <c r="L575" t="str">
        <f>IFERROR(IF(INDEX(РАБОТЫ!$W$2:$W$1058,MATCH(554+1,РАБОТЫ!$X$2:$X$1058,0))=1,INDEX(РАБОТЫ!$V$2:$V$1058,MATCH(554+1,РАБОТЫ!$X$2:$X$1058,0)),""),"")</f>
        <v/>
      </c>
      <c r="M575" t="str">
        <f t="shared" si="35"/>
        <v/>
      </c>
    </row>
    <row r="576" spans="1:13" hidden="1" x14ac:dyDescent="0.3">
      <c r="A576" t="str">
        <f>IF(ISNUMBER($K576),INDEX(РАБОТЫ!$U$2:$U$1058,$K576),"")</f>
        <v/>
      </c>
      <c r="B576" t="str">
        <f>IF(ISNUMBER($K576),INDEX(РАБОТЫ!$A$2:$A$1058,$K576),"")</f>
        <v/>
      </c>
      <c r="C576" s="4" t="str">
        <f>IF($L576&lt;&gt;"",INDEX(РАБОТЫ!$Z$2:$Z$1058,MATCH($L576,РАБОТЫ!$V$2:$V$1058,0)),IF(ISNUMBER($K576),INDEX(РАБОТЫ!$Y$2:$Y$1058,$K576),""))</f>
        <v/>
      </c>
      <c r="D576" t="str">
        <f>IF(ISNUMBER($K576),INDEX(РАБОТЫ!$E$2:$E$1058,$K576),"")</f>
        <v/>
      </c>
      <c r="E576" t="str">
        <f>IF(ISNUMBER($K576),INDEX(РАБОТЫ!$M$2:$M$1058,$K576),"")</f>
        <v/>
      </c>
      <c r="F576" s="7" t="str">
        <f>IF(ISNUMBER($K576),INDEX(РАБОТЫ!$S$2:$S$1058,$K576),"")</f>
        <v/>
      </c>
      <c r="G576" s="7" t="str">
        <f>IF(ISNUMBER($K576),INDEX(РАБОТЫ!$T$2:$T$1058,$K576),"")</f>
        <v/>
      </c>
      <c r="H576" s="7" t="str">
        <f t="shared" si="32"/>
        <v/>
      </c>
      <c r="I576" s="7" t="str">
        <f t="shared" si="33"/>
        <v/>
      </c>
      <c r="J576" s="7" t="str">
        <f t="shared" si="34"/>
        <v/>
      </c>
      <c r="K576" t="str">
        <f>IFERROR(MATCH(555,РАБОТЫ!$X$2:$X$1058,0),"")</f>
        <v/>
      </c>
      <c r="L576" t="str">
        <f>IFERROR(IF(INDEX(РАБОТЫ!$W$2:$W$1058,MATCH(555+1,РАБОТЫ!$X$2:$X$1058,0))=1,INDEX(РАБОТЫ!$V$2:$V$1058,MATCH(555+1,РАБОТЫ!$X$2:$X$1058,0)),""),"")</f>
        <v/>
      </c>
      <c r="M576" t="str">
        <f t="shared" si="35"/>
        <v/>
      </c>
    </row>
    <row r="577" spans="1:13" hidden="1" x14ac:dyDescent="0.3">
      <c r="A577" t="str">
        <f>IF(ISNUMBER($K577),INDEX(РАБОТЫ!$U$2:$U$1058,$K577),"")</f>
        <v/>
      </c>
      <c r="B577" t="str">
        <f>IF(ISNUMBER($K577),INDEX(РАБОТЫ!$A$2:$A$1058,$K577),"")</f>
        <v/>
      </c>
      <c r="C577" s="4" t="str">
        <f>IF($L577&lt;&gt;"",INDEX(РАБОТЫ!$Z$2:$Z$1058,MATCH($L577,РАБОТЫ!$V$2:$V$1058,0)),IF(ISNUMBER($K577),INDEX(РАБОТЫ!$Y$2:$Y$1058,$K577),""))</f>
        <v/>
      </c>
      <c r="D577" t="str">
        <f>IF(ISNUMBER($K577),INDEX(РАБОТЫ!$E$2:$E$1058,$K577),"")</f>
        <v/>
      </c>
      <c r="E577" t="str">
        <f>IF(ISNUMBER($K577),INDEX(РАБОТЫ!$M$2:$M$1058,$K577),"")</f>
        <v/>
      </c>
      <c r="F577" s="7" t="str">
        <f>IF(ISNUMBER($K577),INDEX(РАБОТЫ!$S$2:$S$1058,$K577),"")</f>
        <v/>
      </c>
      <c r="G577" s="7" t="str">
        <f>IF(ISNUMBER($K577),INDEX(РАБОТЫ!$T$2:$T$1058,$K577),"")</f>
        <v/>
      </c>
      <c r="H577" s="7" t="str">
        <f t="shared" si="32"/>
        <v/>
      </c>
      <c r="I577" s="7" t="str">
        <f t="shared" si="33"/>
        <v/>
      </c>
      <c r="J577" s="7" t="str">
        <f t="shared" si="34"/>
        <v/>
      </c>
      <c r="K577" t="str">
        <f>IFERROR(MATCH(556,РАБОТЫ!$X$2:$X$1058,0),"")</f>
        <v/>
      </c>
      <c r="L577" t="str">
        <f>IFERROR(IF(INDEX(РАБОТЫ!$W$2:$W$1058,MATCH(556+1,РАБОТЫ!$X$2:$X$1058,0))=1,INDEX(РАБОТЫ!$V$2:$V$1058,MATCH(556+1,РАБОТЫ!$X$2:$X$1058,0)),""),"")</f>
        <v/>
      </c>
      <c r="M577" t="str">
        <f t="shared" si="35"/>
        <v/>
      </c>
    </row>
    <row r="578" spans="1:13" hidden="1" x14ac:dyDescent="0.3">
      <c r="A578" t="str">
        <f>IF(ISNUMBER($K578),INDEX(РАБОТЫ!$U$2:$U$1058,$K578),"")</f>
        <v/>
      </c>
      <c r="B578" t="str">
        <f>IF(ISNUMBER($K578),INDEX(РАБОТЫ!$A$2:$A$1058,$K578),"")</f>
        <v/>
      </c>
      <c r="C578" s="4" t="str">
        <f>IF($L578&lt;&gt;"",INDEX(РАБОТЫ!$Z$2:$Z$1058,MATCH($L578,РАБОТЫ!$V$2:$V$1058,0)),IF(ISNUMBER($K578),INDEX(РАБОТЫ!$Y$2:$Y$1058,$K578),""))</f>
        <v/>
      </c>
      <c r="D578" t="str">
        <f>IF(ISNUMBER($K578),INDEX(РАБОТЫ!$E$2:$E$1058,$K578),"")</f>
        <v/>
      </c>
      <c r="E578" t="str">
        <f>IF(ISNUMBER($K578),INDEX(РАБОТЫ!$M$2:$M$1058,$K578),"")</f>
        <v/>
      </c>
      <c r="F578" s="7" t="str">
        <f>IF(ISNUMBER($K578),INDEX(РАБОТЫ!$S$2:$S$1058,$K578),"")</f>
        <v/>
      </c>
      <c r="G578" s="7" t="str">
        <f>IF(ISNUMBER($K578),INDEX(РАБОТЫ!$T$2:$T$1058,$K578),"")</f>
        <v/>
      </c>
      <c r="H578" s="7" t="str">
        <f t="shared" si="32"/>
        <v/>
      </c>
      <c r="I578" s="7" t="str">
        <f t="shared" si="33"/>
        <v/>
      </c>
      <c r="J578" s="7" t="str">
        <f t="shared" si="34"/>
        <v/>
      </c>
      <c r="K578" t="str">
        <f>IFERROR(MATCH(557,РАБОТЫ!$X$2:$X$1058,0),"")</f>
        <v/>
      </c>
      <c r="L578" t="str">
        <f>IFERROR(IF(INDEX(РАБОТЫ!$W$2:$W$1058,MATCH(557+1,РАБОТЫ!$X$2:$X$1058,0))=1,INDEX(РАБОТЫ!$V$2:$V$1058,MATCH(557+1,РАБОТЫ!$X$2:$X$1058,0)),""),"")</f>
        <v/>
      </c>
      <c r="M578" t="str">
        <f t="shared" si="35"/>
        <v/>
      </c>
    </row>
    <row r="579" spans="1:13" hidden="1" x14ac:dyDescent="0.3">
      <c r="A579" t="str">
        <f>IF(ISNUMBER($K579),INDEX(РАБОТЫ!$U$2:$U$1058,$K579),"")</f>
        <v/>
      </c>
      <c r="B579" t="str">
        <f>IF(ISNUMBER($K579),INDEX(РАБОТЫ!$A$2:$A$1058,$K579),"")</f>
        <v/>
      </c>
      <c r="C579" s="4" t="str">
        <f>IF($L579&lt;&gt;"",INDEX(РАБОТЫ!$Z$2:$Z$1058,MATCH($L579,РАБОТЫ!$V$2:$V$1058,0)),IF(ISNUMBER($K579),INDEX(РАБОТЫ!$Y$2:$Y$1058,$K579),""))</f>
        <v/>
      </c>
      <c r="D579" t="str">
        <f>IF(ISNUMBER($K579),INDEX(РАБОТЫ!$E$2:$E$1058,$K579),"")</f>
        <v/>
      </c>
      <c r="E579" t="str">
        <f>IF(ISNUMBER($K579),INDEX(РАБОТЫ!$M$2:$M$1058,$K579),"")</f>
        <v/>
      </c>
      <c r="F579" s="7" t="str">
        <f>IF(ISNUMBER($K579),INDEX(РАБОТЫ!$S$2:$S$1058,$K579),"")</f>
        <v/>
      </c>
      <c r="G579" s="7" t="str">
        <f>IF(ISNUMBER($K579),INDEX(РАБОТЫ!$T$2:$T$1058,$K579),"")</f>
        <v/>
      </c>
      <c r="H579" s="7" t="str">
        <f t="shared" si="32"/>
        <v/>
      </c>
      <c r="I579" s="7" t="str">
        <f t="shared" si="33"/>
        <v/>
      </c>
      <c r="J579" s="7" t="str">
        <f t="shared" si="34"/>
        <v/>
      </c>
      <c r="K579" t="str">
        <f>IFERROR(MATCH(558,РАБОТЫ!$X$2:$X$1058,0),"")</f>
        <v/>
      </c>
      <c r="L579" t="str">
        <f>IFERROR(IF(INDEX(РАБОТЫ!$W$2:$W$1058,MATCH(558+1,РАБОТЫ!$X$2:$X$1058,0))=1,INDEX(РАБОТЫ!$V$2:$V$1058,MATCH(558+1,РАБОТЫ!$X$2:$X$1058,0)),""),"")</f>
        <v/>
      </c>
      <c r="M579" t="str">
        <f t="shared" si="35"/>
        <v/>
      </c>
    </row>
    <row r="580" spans="1:13" hidden="1" x14ac:dyDescent="0.3">
      <c r="A580" t="str">
        <f>IF(ISNUMBER($K580),INDEX(РАБОТЫ!$U$2:$U$1058,$K580),"")</f>
        <v/>
      </c>
      <c r="B580" t="str">
        <f>IF(ISNUMBER($K580),INDEX(РАБОТЫ!$A$2:$A$1058,$K580),"")</f>
        <v/>
      </c>
      <c r="C580" s="4" t="str">
        <f>IF($L580&lt;&gt;"",INDEX(РАБОТЫ!$Z$2:$Z$1058,MATCH($L580,РАБОТЫ!$V$2:$V$1058,0)),IF(ISNUMBER($K580),INDEX(РАБОТЫ!$Y$2:$Y$1058,$K580),""))</f>
        <v/>
      </c>
      <c r="D580" t="str">
        <f>IF(ISNUMBER($K580),INDEX(РАБОТЫ!$E$2:$E$1058,$K580),"")</f>
        <v/>
      </c>
      <c r="E580" t="str">
        <f>IF(ISNUMBER($K580),INDEX(РАБОТЫ!$M$2:$M$1058,$K580),"")</f>
        <v/>
      </c>
      <c r="F580" s="7" t="str">
        <f>IF(ISNUMBER($K580),INDEX(РАБОТЫ!$S$2:$S$1058,$K580),"")</f>
        <v/>
      </c>
      <c r="G580" s="7" t="str">
        <f>IF(ISNUMBER($K580),INDEX(РАБОТЫ!$T$2:$T$1058,$K580),"")</f>
        <v/>
      </c>
      <c r="H580" s="7" t="str">
        <f t="shared" si="32"/>
        <v/>
      </c>
      <c r="I580" s="7" t="str">
        <f t="shared" si="33"/>
        <v/>
      </c>
      <c r="J580" s="7" t="str">
        <f t="shared" si="34"/>
        <v/>
      </c>
      <c r="K580" t="str">
        <f>IFERROR(MATCH(559,РАБОТЫ!$X$2:$X$1058,0),"")</f>
        <v/>
      </c>
      <c r="L580" t="str">
        <f>IFERROR(IF(INDEX(РАБОТЫ!$W$2:$W$1058,MATCH(559+1,РАБОТЫ!$X$2:$X$1058,0))=1,INDEX(РАБОТЫ!$V$2:$V$1058,MATCH(559+1,РАБОТЫ!$X$2:$X$1058,0)),""),"")</f>
        <v/>
      </c>
      <c r="M580" t="str">
        <f t="shared" si="35"/>
        <v/>
      </c>
    </row>
    <row r="581" spans="1:13" hidden="1" x14ac:dyDescent="0.3">
      <c r="A581" t="str">
        <f>IF(ISNUMBER($K581),INDEX(РАБОТЫ!$U$2:$U$1058,$K581),"")</f>
        <v/>
      </c>
      <c r="B581" t="str">
        <f>IF(ISNUMBER($K581),INDEX(РАБОТЫ!$A$2:$A$1058,$K581),"")</f>
        <v/>
      </c>
      <c r="C581" s="4" t="str">
        <f>IF($L581&lt;&gt;"",INDEX(РАБОТЫ!$Z$2:$Z$1058,MATCH($L581,РАБОТЫ!$V$2:$V$1058,0)),IF(ISNUMBER($K581),INDEX(РАБОТЫ!$Y$2:$Y$1058,$K581),""))</f>
        <v/>
      </c>
      <c r="D581" t="str">
        <f>IF(ISNUMBER($K581),INDEX(РАБОТЫ!$E$2:$E$1058,$K581),"")</f>
        <v/>
      </c>
      <c r="E581" t="str">
        <f>IF(ISNUMBER($K581),INDEX(РАБОТЫ!$M$2:$M$1058,$K581),"")</f>
        <v/>
      </c>
      <c r="F581" s="7" t="str">
        <f>IF(ISNUMBER($K581),INDEX(РАБОТЫ!$S$2:$S$1058,$K581),"")</f>
        <v/>
      </c>
      <c r="G581" s="7" t="str">
        <f>IF(ISNUMBER($K581),INDEX(РАБОТЫ!$T$2:$T$1058,$K581),"")</f>
        <v/>
      </c>
      <c r="H581" s="7" t="str">
        <f t="shared" si="32"/>
        <v/>
      </c>
      <c r="I581" s="7" t="str">
        <f t="shared" si="33"/>
        <v/>
      </c>
      <c r="J581" s="7" t="str">
        <f t="shared" si="34"/>
        <v/>
      </c>
      <c r="K581" t="str">
        <f>IFERROR(MATCH(560,РАБОТЫ!$X$2:$X$1058,0),"")</f>
        <v/>
      </c>
      <c r="L581" t="str">
        <f>IFERROR(IF(INDEX(РАБОТЫ!$W$2:$W$1058,MATCH(560+1,РАБОТЫ!$X$2:$X$1058,0))=1,INDEX(РАБОТЫ!$V$2:$V$1058,MATCH(560+1,РАБОТЫ!$X$2:$X$1058,0)),""),"")</f>
        <v/>
      </c>
      <c r="M581" t="str">
        <f t="shared" si="35"/>
        <v/>
      </c>
    </row>
    <row r="582" spans="1:13" hidden="1" x14ac:dyDescent="0.3">
      <c r="A582" t="str">
        <f>IF(ISNUMBER($K582),INDEX(РАБОТЫ!$U$2:$U$1058,$K582),"")</f>
        <v/>
      </c>
      <c r="B582" t="str">
        <f>IF(ISNUMBER($K582),INDEX(РАБОТЫ!$A$2:$A$1058,$K582),"")</f>
        <v/>
      </c>
      <c r="C582" s="4" t="str">
        <f>IF($L582&lt;&gt;"",INDEX(РАБОТЫ!$Z$2:$Z$1058,MATCH($L582,РАБОТЫ!$V$2:$V$1058,0)),IF(ISNUMBER($K582),INDEX(РАБОТЫ!$Y$2:$Y$1058,$K582),""))</f>
        <v/>
      </c>
      <c r="D582" t="str">
        <f>IF(ISNUMBER($K582),INDEX(РАБОТЫ!$E$2:$E$1058,$K582),"")</f>
        <v/>
      </c>
      <c r="E582" t="str">
        <f>IF(ISNUMBER($K582),INDEX(РАБОТЫ!$M$2:$M$1058,$K582),"")</f>
        <v/>
      </c>
      <c r="F582" s="7" t="str">
        <f>IF(ISNUMBER($K582),INDEX(РАБОТЫ!$S$2:$S$1058,$K582),"")</f>
        <v/>
      </c>
      <c r="G582" s="7" t="str">
        <f>IF(ISNUMBER($K582),INDEX(РАБОТЫ!$T$2:$T$1058,$K582),"")</f>
        <v/>
      </c>
      <c r="H582" s="7" t="str">
        <f t="shared" si="32"/>
        <v/>
      </c>
      <c r="I582" s="7" t="str">
        <f t="shared" si="33"/>
        <v/>
      </c>
      <c r="J582" s="7" t="str">
        <f t="shared" si="34"/>
        <v/>
      </c>
      <c r="K582" t="str">
        <f>IFERROR(MATCH(561,РАБОТЫ!$X$2:$X$1058,0),"")</f>
        <v/>
      </c>
      <c r="L582" t="str">
        <f>IFERROR(IF(INDEX(РАБОТЫ!$W$2:$W$1058,MATCH(561+1,РАБОТЫ!$X$2:$X$1058,0))=1,INDEX(РАБОТЫ!$V$2:$V$1058,MATCH(561+1,РАБОТЫ!$X$2:$X$1058,0)),""),"")</f>
        <v/>
      </c>
      <c r="M582" t="str">
        <f t="shared" si="35"/>
        <v/>
      </c>
    </row>
    <row r="583" spans="1:13" hidden="1" x14ac:dyDescent="0.3">
      <c r="A583" t="str">
        <f>IF(ISNUMBER($K583),INDEX(РАБОТЫ!$U$2:$U$1058,$K583),"")</f>
        <v/>
      </c>
      <c r="B583" t="str">
        <f>IF(ISNUMBER($K583),INDEX(РАБОТЫ!$A$2:$A$1058,$K583),"")</f>
        <v/>
      </c>
      <c r="C583" s="4" t="str">
        <f>IF($L583&lt;&gt;"",INDEX(РАБОТЫ!$Z$2:$Z$1058,MATCH($L583,РАБОТЫ!$V$2:$V$1058,0)),IF(ISNUMBER($K583),INDEX(РАБОТЫ!$Y$2:$Y$1058,$K583),""))</f>
        <v/>
      </c>
      <c r="D583" t="str">
        <f>IF(ISNUMBER($K583),INDEX(РАБОТЫ!$E$2:$E$1058,$K583),"")</f>
        <v/>
      </c>
      <c r="E583" t="str">
        <f>IF(ISNUMBER($K583),INDEX(РАБОТЫ!$M$2:$M$1058,$K583),"")</f>
        <v/>
      </c>
      <c r="F583" s="7" t="str">
        <f>IF(ISNUMBER($K583),INDEX(РАБОТЫ!$S$2:$S$1058,$K583),"")</f>
        <v/>
      </c>
      <c r="G583" s="7" t="str">
        <f>IF(ISNUMBER($K583),INDEX(РАБОТЫ!$T$2:$T$1058,$K583),"")</f>
        <v/>
      </c>
      <c r="H583" s="7" t="str">
        <f t="shared" si="32"/>
        <v/>
      </c>
      <c r="I583" s="7" t="str">
        <f t="shared" si="33"/>
        <v/>
      </c>
      <c r="J583" s="7" t="str">
        <f t="shared" si="34"/>
        <v/>
      </c>
      <c r="K583" t="str">
        <f>IFERROR(MATCH(562,РАБОТЫ!$X$2:$X$1058,0),"")</f>
        <v/>
      </c>
      <c r="L583" t="str">
        <f>IFERROR(IF(INDEX(РАБОТЫ!$W$2:$W$1058,MATCH(562+1,РАБОТЫ!$X$2:$X$1058,0))=1,INDEX(РАБОТЫ!$V$2:$V$1058,MATCH(562+1,РАБОТЫ!$X$2:$X$1058,0)),""),"")</f>
        <v/>
      </c>
      <c r="M583" t="str">
        <f t="shared" si="35"/>
        <v/>
      </c>
    </row>
    <row r="584" spans="1:13" hidden="1" x14ac:dyDescent="0.3">
      <c r="A584" t="str">
        <f>IF(ISNUMBER($K584),INDEX(РАБОТЫ!$U$2:$U$1058,$K584),"")</f>
        <v/>
      </c>
      <c r="B584" t="str">
        <f>IF(ISNUMBER($K584),INDEX(РАБОТЫ!$A$2:$A$1058,$K584),"")</f>
        <v/>
      </c>
      <c r="C584" s="4" t="str">
        <f>IF($L584&lt;&gt;"",INDEX(РАБОТЫ!$Z$2:$Z$1058,MATCH($L584,РАБОТЫ!$V$2:$V$1058,0)),IF(ISNUMBER($K584),INDEX(РАБОТЫ!$Y$2:$Y$1058,$K584),""))</f>
        <v/>
      </c>
      <c r="D584" t="str">
        <f>IF(ISNUMBER($K584),INDEX(РАБОТЫ!$E$2:$E$1058,$K584),"")</f>
        <v/>
      </c>
      <c r="E584" t="str">
        <f>IF(ISNUMBER($K584),INDEX(РАБОТЫ!$M$2:$M$1058,$K584),"")</f>
        <v/>
      </c>
      <c r="F584" s="7" t="str">
        <f>IF(ISNUMBER($K584),INDEX(РАБОТЫ!$S$2:$S$1058,$K584),"")</f>
        <v/>
      </c>
      <c r="G584" s="7" t="str">
        <f>IF(ISNUMBER($K584),INDEX(РАБОТЫ!$T$2:$T$1058,$K584),"")</f>
        <v/>
      </c>
      <c r="H584" s="7" t="str">
        <f t="shared" si="32"/>
        <v/>
      </c>
      <c r="I584" s="7" t="str">
        <f t="shared" si="33"/>
        <v/>
      </c>
      <c r="J584" s="7" t="str">
        <f t="shared" si="34"/>
        <v/>
      </c>
      <c r="K584" t="str">
        <f>IFERROR(MATCH(563,РАБОТЫ!$X$2:$X$1058,0),"")</f>
        <v/>
      </c>
      <c r="L584" t="str">
        <f>IFERROR(IF(INDEX(РАБОТЫ!$W$2:$W$1058,MATCH(563+1,РАБОТЫ!$X$2:$X$1058,0))=1,INDEX(РАБОТЫ!$V$2:$V$1058,MATCH(563+1,РАБОТЫ!$X$2:$X$1058,0)),""),"")</f>
        <v/>
      </c>
      <c r="M584" t="str">
        <f t="shared" si="35"/>
        <v/>
      </c>
    </row>
    <row r="585" spans="1:13" hidden="1" x14ac:dyDescent="0.3">
      <c r="A585" t="str">
        <f>IF(ISNUMBER($K585),INDEX(РАБОТЫ!$U$2:$U$1058,$K585),"")</f>
        <v/>
      </c>
      <c r="B585" t="str">
        <f>IF(ISNUMBER($K585),INDEX(РАБОТЫ!$A$2:$A$1058,$K585),"")</f>
        <v/>
      </c>
      <c r="C585" s="4" t="str">
        <f>IF($L585&lt;&gt;"",INDEX(РАБОТЫ!$Z$2:$Z$1058,MATCH($L585,РАБОТЫ!$V$2:$V$1058,0)),IF(ISNUMBER($K585),INDEX(РАБОТЫ!$Y$2:$Y$1058,$K585),""))</f>
        <v/>
      </c>
      <c r="D585" t="str">
        <f>IF(ISNUMBER($K585),INDEX(РАБОТЫ!$E$2:$E$1058,$K585),"")</f>
        <v/>
      </c>
      <c r="E585" t="str">
        <f>IF(ISNUMBER($K585),INDEX(РАБОТЫ!$M$2:$M$1058,$K585),"")</f>
        <v/>
      </c>
      <c r="F585" s="7" t="str">
        <f>IF(ISNUMBER($K585),INDEX(РАБОТЫ!$S$2:$S$1058,$K585),"")</f>
        <v/>
      </c>
      <c r="G585" s="7" t="str">
        <f>IF(ISNUMBER($K585),INDEX(РАБОТЫ!$T$2:$T$1058,$K585),"")</f>
        <v/>
      </c>
      <c r="H585" s="7" t="str">
        <f t="shared" si="32"/>
        <v/>
      </c>
      <c r="I585" s="7" t="str">
        <f t="shared" si="33"/>
        <v/>
      </c>
      <c r="J585" s="7" t="str">
        <f t="shared" si="34"/>
        <v/>
      </c>
      <c r="K585" t="str">
        <f>IFERROR(MATCH(564,РАБОТЫ!$X$2:$X$1058,0),"")</f>
        <v/>
      </c>
      <c r="L585" t="str">
        <f>IFERROR(IF(INDEX(РАБОТЫ!$W$2:$W$1058,MATCH(564+1,РАБОТЫ!$X$2:$X$1058,0))=1,INDEX(РАБОТЫ!$V$2:$V$1058,MATCH(564+1,РАБОТЫ!$X$2:$X$1058,0)),""),"")</f>
        <v/>
      </c>
      <c r="M585" t="str">
        <f t="shared" si="35"/>
        <v/>
      </c>
    </row>
    <row r="586" spans="1:13" hidden="1" x14ac:dyDescent="0.3">
      <c r="A586" t="str">
        <f>IF(ISNUMBER($K586),INDEX(РАБОТЫ!$U$2:$U$1058,$K586),"")</f>
        <v/>
      </c>
      <c r="B586" t="str">
        <f>IF(ISNUMBER($K586),INDEX(РАБОТЫ!$A$2:$A$1058,$K586),"")</f>
        <v/>
      </c>
      <c r="C586" s="4" t="str">
        <f>IF($L586&lt;&gt;"",INDEX(РАБОТЫ!$Z$2:$Z$1058,MATCH($L586,РАБОТЫ!$V$2:$V$1058,0)),IF(ISNUMBER($K586),INDEX(РАБОТЫ!$Y$2:$Y$1058,$K586),""))</f>
        <v/>
      </c>
      <c r="D586" t="str">
        <f>IF(ISNUMBER($K586),INDEX(РАБОТЫ!$E$2:$E$1058,$K586),"")</f>
        <v/>
      </c>
      <c r="E586" t="str">
        <f>IF(ISNUMBER($K586),INDEX(РАБОТЫ!$M$2:$M$1058,$K586),"")</f>
        <v/>
      </c>
      <c r="F586" s="7" t="str">
        <f>IF(ISNUMBER($K586),INDEX(РАБОТЫ!$S$2:$S$1058,$K586),"")</f>
        <v/>
      </c>
      <c r="G586" s="7" t="str">
        <f>IF(ISNUMBER($K586),INDEX(РАБОТЫ!$T$2:$T$1058,$K586),"")</f>
        <v/>
      </c>
      <c r="H586" s="7" t="str">
        <f t="shared" si="32"/>
        <v/>
      </c>
      <c r="I586" s="7" t="str">
        <f t="shared" si="33"/>
        <v/>
      </c>
      <c r="J586" s="7" t="str">
        <f t="shared" si="34"/>
        <v/>
      </c>
      <c r="K586" t="str">
        <f>IFERROR(MATCH(565,РАБОТЫ!$X$2:$X$1058,0),"")</f>
        <v/>
      </c>
      <c r="L586" t="str">
        <f>IFERROR(IF(INDEX(РАБОТЫ!$W$2:$W$1058,MATCH(565+1,РАБОТЫ!$X$2:$X$1058,0))=1,INDEX(РАБОТЫ!$V$2:$V$1058,MATCH(565+1,РАБОТЫ!$X$2:$X$1058,0)),""),"")</f>
        <v/>
      </c>
      <c r="M586" t="str">
        <f t="shared" si="35"/>
        <v/>
      </c>
    </row>
    <row r="587" spans="1:13" hidden="1" x14ac:dyDescent="0.3">
      <c r="A587" t="str">
        <f>IF(ISNUMBER($K587),INDEX(РАБОТЫ!$U$2:$U$1058,$K587),"")</f>
        <v/>
      </c>
      <c r="B587" t="str">
        <f>IF(ISNUMBER($K587),INDEX(РАБОТЫ!$A$2:$A$1058,$K587),"")</f>
        <v/>
      </c>
      <c r="C587" s="4" t="str">
        <f>IF($L587&lt;&gt;"",INDEX(РАБОТЫ!$Z$2:$Z$1058,MATCH($L587,РАБОТЫ!$V$2:$V$1058,0)),IF(ISNUMBER($K587),INDEX(РАБОТЫ!$Y$2:$Y$1058,$K587),""))</f>
        <v/>
      </c>
      <c r="D587" t="str">
        <f>IF(ISNUMBER($K587),INDEX(РАБОТЫ!$E$2:$E$1058,$K587),"")</f>
        <v/>
      </c>
      <c r="E587" t="str">
        <f>IF(ISNUMBER($K587),INDEX(РАБОТЫ!$M$2:$M$1058,$K587),"")</f>
        <v/>
      </c>
      <c r="F587" s="7" t="str">
        <f>IF(ISNUMBER($K587),INDEX(РАБОТЫ!$S$2:$S$1058,$K587),"")</f>
        <v/>
      </c>
      <c r="G587" s="7" t="str">
        <f>IF(ISNUMBER($K587),INDEX(РАБОТЫ!$T$2:$T$1058,$K587),"")</f>
        <v/>
      </c>
      <c r="H587" s="7" t="str">
        <f t="shared" si="32"/>
        <v/>
      </c>
      <c r="I587" s="7" t="str">
        <f t="shared" si="33"/>
        <v/>
      </c>
      <c r="J587" s="7" t="str">
        <f t="shared" si="34"/>
        <v/>
      </c>
      <c r="K587" t="str">
        <f>IFERROR(MATCH(566,РАБОТЫ!$X$2:$X$1058,0),"")</f>
        <v/>
      </c>
      <c r="L587" t="str">
        <f>IFERROR(IF(INDEX(РАБОТЫ!$W$2:$W$1058,MATCH(566+1,РАБОТЫ!$X$2:$X$1058,0))=1,INDEX(РАБОТЫ!$V$2:$V$1058,MATCH(566+1,РАБОТЫ!$X$2:$X$1058,0)),""),"")</f>
        <v/>
      </c>
      <c r="M587" t="str">
        <f t="shared" si="35"/>
        <v/>
      </c>
    </row>
    <row r="588" spans="1:13" hidden="1" x14ac:dyDescent="0.3">
      <c r="A588" t="str">
        <f>IF(ISNUMBER($K588),INDEX(РАБОТЫ!$U$2:$U$1058,$K588),"")</f>
        <v/>
      </c>
      <c r="B588" t="str">
        <f>IF(ISNUMBER($K588),INDEX(РАБОТЫ!$A$2:$A$1058,$K588),"")</f>
        <v/>
      </c>
      <c r="C588" s="4" t="str">
        <f>IF($L588&lt;&gt;"",INDEX(РАБОТЫ!$Z$2:$Z$1058,MATCH($L588,РАБОТЫ!$V$2:$V$1058,0)),IF(ISNUMBER($K588),INDEX(РАБОТЫ!$Y$2:$Y$1058,$K588),""))</f>
        <v/>
      </c>
      <c r="D588" t="str">
        <f>IF(ISNUMBER($K588),INDEX(РАБОТЫ!$E$2:$E$1058,$K588),"")</f>
        <v/>
      </c>
      <c r="E588" t="str">
        <f>IF(ISNUMBER($K588),INDEX(РАБОТЫ!$M$2:$M$1058,$K588),"")</f>
        <v/>
      </c>
      <c r="F588" s="7" t="str">
        <f>IF(ISNUMBER($K588),INDEX(РАБОТЫ!$S$2:$S$1058,$K588),"")</f>
        <v/>
      </c>
      <c r="G588" s="7" t="str">
        <f>IF(ISNUMBER($K588),INDEX(РАБОТЫ!$T$2:$T$1058,$K588),"")</f>
        <v/>
      </c>
      <c r="H588" s="7" t="str">
        <f t="shared" si="32"/>
        <v/>
      </c>
      <c r="I588" s="7" t="str">
        <f t="shared" si="33"/>
        <v/>
      </c>
      <c r="J588" s="7" t="str">
        <f t="shared" si="34"/>
        <v/>
      </c>
      <c r="K588" t="str">
        <f>IFERROR(MATCH(567,РАБОТЫ!$X$2:$X$1058,0),"")</f>
        <v/>
      </c>
      <c r="L588" t="str">
        <f>IFERROR(IF(INDEX(РАБОТЫ!$W$2:$W$1058,MATCH(567+1,РАБОТЫ!$X$2:$X$1058,0))=1,INDEX(РАБОТЫ!$V$2:$V$1058,MATCH(567+1,РАБОТЫ!$X$2:$X$1058,0)),""),"")</f>
        <v/>
      </c>
      <c r="M588" t="str">
        <f t="shared" si="35"/>
        <v/>
      </c>
    </row>
    <row r="589" spans="1:13" hidden="1" x14ac:dyDescent="0.3">
      <c r="A589" t="str">
        <f>IF(ISNUMBER($K589),INDEX(РАБОТЫ!$U$2:$U$1058,$K589),"")</f>
        <v/>
      </c>
      <c r="B589" t="str">
        <f>IF(ISNUMBER($K589),INDEX(РАБОТЫ!$A$2:$A$1058,$K589),"")</f>
        <v/>
      </c>
      <c r="C589" s="4" t="str">
        <f>IF($L589&lt;&gt;"",INDEX(РАБОТЫ!$Z$2:$Z$1058,MATCH($L589,РАБОТЫ!$V$2:$V$1058,0)),IF(ISNUMBER($K589),INDEX(РАБОТЫ!$Y$2:$Y$1058,$K589),""))</f>
        <v/>
      </c>
      <c r="D589" t="str">
        <f>IF(ISNUMBER($K589),INDEX(РАБОТЫ!$E$2:$E$1058,$K589),"")</f>
        <v/>
      </c>
      <c r="E589" t="str">
        <f>IF(ISNUMBER($K589),INDEX(РАБОТЫ!$M$2:$M$1058,$K589),"")</f>
        <v/>
      </c>
      <c r="F589" s="7" t="str">
        <f>IF(ISNUMBER($K589),INDEX(РАБОТЫ!$S$2:$S$1058,$K589),"")</f>
        <v/>
      </c>
      <c r="G589" s="7" t="str">
        <f>IF(ISNUMBER($K589),INDEX(РАБОТЫ!$T$2:$T$1058,$K589),"")</f>
        <v/>
      </c>
      <c r="H589" s="7" t="str">
        <f t="shared" si="32"/>
        <v/>
      </c>
      <c r="I589" s="7" t="str">
        <f t="shared" si="33"/>
        <v/>
      </c>
      <c r="J589" s="7" t="str">
        <f t="shared" si="34"/>
        <v/>
      </c>
      <c r="K589" t="str">
        <f>IFERROR(MATCH(568,РАБОТЫ!$X$2:$X$1058,0),"")</f>
        <v/>
      </c>
      <c r="L589" t="str">
        <f>IFERROR(IF(INDEX(РАБОТЫ!$W$2:$W$1058,MATCH(568+1,РАБОТЫ!$X$2:$X$1058,0))=1,INDEX(РАБОТЫ!$V$2:$V$1058,MATCH(568+1,РАБОТЫ!$X$2:$X$1058,0)),""),"")</f>
        <v/>
      </c>
      <c r="M589" t="str">
        <f t="shared" si="35"/>
        <v/>
      </c>
    </row>
    <row r="590" spans="1:13" hidden="1" x14ac:dyDescent="0.3">
      <c r="A590" t="str">
        <f>IF(ISNUMBER($K590),INDEX(РАБОТЫ!$U$2:$U$1058,$K590),"")</f>
        <v/>
      </c>
      <c r="B590" t="str">
        <f>IF(ISNUMBER($K590),INDEX(РАБОТЫ!$A$2:$A$1058,$K590),"")</f>
        <v/>
      </c>
      <c r="C590" s="4" t="str">
        <f>IF($L590&lt;&gt;"",INDEX(РАБОТЫ!$Z$2:$Z$1058,MATCH($L590,РАБОТЫ!$V$2:$V$1058,0)),IF(ISNUMBER($K590),INDEX(РАБОТЫ!$Y$2:$Y$1058,$K590),""))</f>
        <v/>
      </c>
      <c r="D590" t="str">
        <f>IF(ISNUMBER($K590),INDEX(РАБОТЫ!$E$2:$E$1058,$K590),"")</f>
        <v/>
      </c>
      <c r="E590" t="str">
        <f>IF(ISNUMBER($K590),INDEX(РАБОТЫ!$M$2:$M$1058,$K590),"")</f>
        <v/>
      </c>
      <c r="F590" s="7" t="str">
        <f>IF(ISNUMBER($K590),INDEX(РАБОТЫ!$S$2:$S$1058,$K590),"")</f>
        <v/>
      </c>
      <c r="G590" s="7" t="str">
        <f>IF(ISNUMBER($K590),INDEX(РАБОТЫ!$T$2:$T$1058,$K590),"")</f>
        <v/>
      </c>
      <c r="H590" s="7" t="str">
        <f t="shared" si="32"/>
        <v/>
      </c>
      <c r="I590" s="7" t="str">
        <f t="shared" si="33"/>
        <v/>
      </c>
      <c r="J590" s="7" t="str">
        <f t="shared" si="34"/>
        <v/>
      </c>
      <c r="K590" t="str">
        <f>IFERROR(MATCH(569,РАБОТЫ!$X$2:$X$1058,0),"")</f>
        <v/>
      </c>
      <c r="L590" t="str">
        <f>IFERROR(IF(INDEX(РАБОТЫ!$W$2:$W$1058,MATCH(569+1,РАБОТЫ!$X$2:$X$1058,0))=1,INDEX(РАБОТЫ!$V$2:$V$1058,MATCH(569+1,РАБОТЫ!$X$2:$X$1058,0)),""),"")</f>
        <v/>
      </c>
      <c r="M590" t="str">
        <f t="shared" si="35"/>
        <v/>
      </c>
    </row>
    <row r="591" spans="1:13" hidden="1" x14ac:dyDescent="0.3">
      <c r="A591" t="str">
        <f>IF(ISNUMBER($K591),INDEX(РАБОТЫ!$U$2:$U$1058,$K591),"")</f>
        <v/>
      </c>
      <c r="B591" t="str">
        <f>IF(ISNUMBER($K591),INDEX(РАБОТЫ!$A$2:$A$1058,$K591),"")</f>
        <v/>
      </c>
      <c r="C591" s="4" t="str">
        <f>IF($L591&lt;&gt;"",INDEX(РАБОТЫ!$Z$2:$Z$1058,MATCH($L591,РАБОТЫ!$V$2:$V$1058,0)),IF(ISNUMBER($K591),INDEX(РАБОТЫ!$Y$2:$Y$1058,$K591),""))</f>
        <v/>
      </c>
      <c r="D591" t="str">
        <f>IF(ISNUMBER($K591),INDEX(РАБОТЫ!$E$2:$E$1058,$K591),"")</f>
        <v/>
      </c>
      <c r="E591" t="str">
        <f>IF(ISNUMBER($K591),INDEX(РАБОТЫ!$M$2:$M$1058,$K591),"")</f>
        <v/>
      </c>
      <c r="F591" s="7" t="str">
        <f>IF(ISNUMBER($K591),INDEX(РАБОТЫ!$S$2:$S$1058,$K591),"")</f>
        <v/>
      </c>
      <c r="G591" s="7" t="str">
        <f>IF(ISNUMBER($K591),INDEX(РАБОТЫ!$T$2:$T$1058,$K591),"")</f>
        <v/>
      </c>
      <c r="H591" s="7" t="str">
        <f t="shared" si="32"/>
        <v/>
      </c>
      <c r="I591" s="7" t="str">
        <f t="shared" si="33"/>
        <v/>
      </c>
      <c r="J591" s="7" t="str">
        <f t="shared" si="34"/>
        <v/>
      </c>
      <c r="K591" t="str">
        <f>IFERROR(MATCH(570,РАБОТЫ!$X$2:$X$1058,0),"")</f>
        <v/>
      </c>
      <c r="L591" t="str">
        <f>IFERROR(IF(INDEX(РАБОТЫ!$W$2:$W$1058,MATCH(570+1,РАБОТЫ!$X$2:$X$1058,0))=1,INDEX(РАБОТЫ!$V$2:$V$1058,MATCH(570+1,РАБОТЫ!$X$2:$X$1058,0)),""),"")</f>
        <v/>
      </c>
      <c r="M591" t="str">
        <f t="shared" si="35"/>
        <v/>
      </c>
    </row>
    <row r="592" spans="1:13" hidden="1" x14ac:dyDescent="0.3">
      <c r="A592" t="str">
        <f>IF(ISNUMBER($K592),INDEX(РАБОТЫ!$U$2:$U$1058,$K592),"")</f>
        <v/>
      </c>
      <c r="B592" t="str">
        <f>IF(ISNUMBER($K592),INDEX(РАБОТЫ!$A$2:$A$1058,$K592),"")</f>
        <v/>
      </c>
      <c r="C592" s="4" t="str">
        <f>IF($L592&lt;&gt;"",INDEX(РАБОТЫ!$Z$2:$Z$1058,MATCH($L592,РАБОТЫ!$V$2:$V$1058,0)),IF(ISNUMBER($K592),INDEX(РАБОТЫ!$Y$2:$Y$1058,$K592),""))</f>
        <v/>
      </c>
      <c r="D592" t="str">
        <f>IF(ISNUMBER($K592),INDEX(РАБОТЫ!$E$2:$E$1058,$K592),"")</f>
        <v/>
      </c>
      <c r="E592" t="str">
        <f>IF(ISNUMBER($K592),INDEX(РАБОТЫ!$M$2:$M$1058,$K592),"")</f>
        <v/>
      </c>
      <c r="F592" s="7" t="str">
        <f>IF(ISNUMBER($K592),INDEX(РАБОТЫ!$S$2:$S$1058,$K592),"")</f>
        <v/>
      </c>
      <c r="G592" s="7" t="str">
        <f>IF(ISNUMBER($K592),INDEX(РАБОТЫ!$T$2:$T$1058,$K592),"")</f>
        <v/>
      </c>
      <c r="H592" s="7" t="str">
        <f t="shared" si="32"/>
        <v/>
      </c>
      <c r="I592" s="7" t="str">
        <f t="shared" si="33"/>
        <v/>
      </c>
      <c r="J592" s="7" t="str">
        <f t="shared" si="34"/>
        <v/>
      </c>
      <c r="K592" t="str">
        <f>IFERROR(MATCH(571,РАБОТЫ!$X$2:$X$1058,0),"")</f>
        <v/>
      </c>
      <c r="L592" t="str">
        <f>IFERROR(IF(INDEX(РАБОТЫ!$W$2:$W$1058,MATCH(571+1,РАБОТЫ!$X$2:$X$1058,0))=1,INDEX(РАБОТЫ!$V$2:$V$1058,MATCH(571+1,РАБОТЫ!$X$2:$X$1058,0)),""),"")</f>
        <v/>
      </c>
      <c r="M592" t="str">
        <f t="shared" si="35"/>
        <v/>
      </c>
    </row>
    <row r="593" spans="1:13" hidden="1" x14ac:dyDescent="0.3">
      <c r="A593" t="str">
        <f>IF(ISNUMBER($K593),INDEX(РАБОТЫ!$U$2:$U$1058,$K593),"")</f>
        <v/>
      </c>
      <c r="B593" t="str">
        <f>IF(ISNUMBER($K593),INDEX(РАБОТЫ!$A$2:$A$1058,$K593),"")</f>
        <v/>
      </c>
      <c r="C593" s="4" t="str">
        <f>IF($L593&lt;&gt;"",INDEX(РАБОТЫ!$Z$2:$Z$1058,MATCH($L593,РАБОТЫ!$V$2:$V$1058,0)),IF(ISNUMBER($K593),INDEX(РАБОТЫ!$Y$2:$Y$1058,$K593),""))</f>
        <v/>
      </c>
      <c r="D593" t="str">
        <f>IF(ISNUMBER($K593),INDEX(РАБОТЫ!$E$2:$E$1058,$K593),"")</f>
        <v/>
      </c>
      <c r="E593" t="str">
        <f>IF(ISNUMBER($K593),INDEX(РАБОТЫ!$M$2:$M$1058,$K593),"")</f>
        <v/>
      </c>
      <c r="F593" s="7" t="str">
        <f>IF(ISNUMBER($K593),INDEX(РАБОТЫ!$S$2:$S$1058,$K593),"")</f>
        <v/>
      </c>
      <c r="G593" s="7" t="str">
        <f>IF(ISNUMBER($K593),INDEX(РАБОТЫ!$T$2:$T$1058,$K593),"")</f>
        <v/>
      </c>
      <c r="H593" s="7" t="str">
        <f t="shared" si="32"/>
        <v/>
      </c>
      <c r="I593" s="7" t="str">
        <f t="shared" si="33"/>
        <v/>
      </c>
      <c r="J593" s="7" t="str">
        <f t="shared" si="34"/>
        <v/>
      </c>
      <c r="K593" t="str">
        <f>IFERROR(MATCH(572,РАБОТЫ!$X$2:$X$1058,0),"")</f>
        <v/>
      </c>
      <c r="L593" t="str">
        <f>IFERROR(IF(INDEX(РАБОТЫ!$W$2:$W$1058,MATCH(572+1,РАБОТЫ!$X$2:$X$1058,0))=1,INDEX(РАБОТЫ!$V$2:$V$1058,MATCH(572+1,РАБОТЫ!$X$2:$X$1058,0)),""),"")</f>
        <v/>
      </c>
      <c r="M593" t="str">
        <f t="shared" si="35"/>
        <v/>
      </c>
    </row>
    <row r="594" spans="1:13" hidden="1" x14ac:dyDescent="0.3">
      <c r="A594" t="str">
        <f>IF(ISNUMBER($K594),INDEX(РАБОТЫ!$U$2:$U$1058,$K594),"")</f>
        <v/>
      </c>
      <c r="B594" t="str">
        <f>IF(ISNUMBER($K594),INDEX(РАБОТЫ!$A$2:$A$1058,$K594),"")</f>
        <v/>
      </c>
      <c r="C594" s="4" t="str">
        <f>IF($L594&lt;&gt;"",INDEX(РАБОТЫ!$Z$2:$Z$1058,MATCH($L594,РАБОТЫ!$V$2:$V$1058,0)),IF(ISNUMBER($K594),INDEX(РАБОТЫ!$Y$2:$Y$1058,$K594),""))</f>
        <v/>
      </c>
      <c r="D594" t="str">
        <f>IF(ISNUMBER($K594),INDEX(РАБОТЫ!$E$2:$E$1058,$K594),"")</f>
        <v/>
      </c>
      <c r="E594" t="str">
        <f>IF(ISNUMBER($K594),INDEX(РАБОТЫ!$M$2:$M$1058,$K594),"")</f>
        <v/>
      </c>
      <c r="F594" s="7" t="str">
        <f>IF(ISNUMBER($K594),INDEX(РАБОТЫ!$S$2:$S$1058,$K594),"")</f>
        <v/>
      </c>
      <c r="G594" s="7" t="str">
        <f>IF(ISNUMBER($K594),INDEX(РАБОТЫ!$T$2:$T$1058,$K594),"")</f>
        <v/>
      </c>
      <c r="H594" s="7" t="str">
        <f t="shared" si="32"/>
        <v/>
      </c>
      <c r="I594" s="7" t="str">
        <f t="shared" si="33"/>
        <v/>
      </c>
      <c r="J594" s="7" t="str">
        <f t="shared" si="34"/>
        <v/>
      </c>
      <c r="K594" t="str">
        <f>IFERROR(MATCH(573,РАБОТЫ!$X$2:$X$1058,0),"")</f>
        <v/>
      </c>
      <c r="L594" t="str">
        <f>IFERROR(IF(INDEX(РАБОТЫ!$W$2:$W$1058,MATCH(573+1,РАБОТЫ!$X$2:$X$1058,0))=1,INDEX(РАБОТЫ!$V$2:$V$1058,MATCH(573+1,РАБОТЫ!$X$2:$X$1058,0)),""),"")</f>
        <v/>
      </c>
      <c r="M594" t="str">
        <f t="shared" si="35"/>
        <v/>
      </c>
    </row>
    <row r="595" spans="1:13" hidden="1" x14ac:dyDescent="0.3">
      <c r="A595" t="str">
        <f>IF(ISNUMBER($K595),INDEX(РАБОТЫ!$U$2:$U$1058,$K595),"")</f>
        <v/>
      </c>
      <c r="B595" t="str">
        <f>IF(ISNUMBER($K595),INDEX(РАБОТЫ!$A$2:$A$1058,$K595),"")</f>
        <v/>
      </c>
      <c r="C595" s="4" t="str">
        <f>IF($L595&lt;&gt;"",INDEX(РАБОТЫ!$Z$2:$Z$1058,MATCH($L595,РАБОТЫ!$V$2:$V$1058,0)),IF(ISNUMBER($K595),INDEX(РАБОТЫ!$Y$2:$Y$1058,$K595),""))</f>
        <v/>
      </c>
      <c r="D595" t="str">
        <f>IF(ISNUMBER($K595),INDEX(РАБОТЫ!$E$2:$E$1058,$K595),"")</f>
        <v/>
      </c>
      <c r="E595" t="str">
        <f>IF(ISNUMBER($K595),INDEX(РАБОТЫ!$M$2:$M$1058,$K595),"")</f>
        <v/>
      </c>
      <c r="F595" s="7" t="str">
        <f>IF(ISNUMBER($K595),INDEX(РАБОТЫ!$S$2:$S$1058,$K595),"")</f>
        <v/>
      </c>
      <c r="G595" s="7" t="str">
        <f>IF(ISNUMBER($K595),INDEX(РАБОТЫ!$T$2:$T$1058,$K595),"")</f>
        <v/>
      </c>
      <c r="H595" s="7" t="str">
        <f t="shared" si="32"/>
        <v/>
      </c>
      <c r="I595" s="7" t="str">
        <f t="shared" si="33"/>
        <v/>
      </c>
      <c r="J595" s="7" t="str">
        <f t="shared" si="34"/>
        <v/>
      </c>
      <c r="K595" t="str">
        <f>IFERROR(MATCH(574,РАБОТЫ!$X$2:$X$1058,0),"")</f>
        <v/>
      </c>
      <c r="L595" t="str">
        <f>IFERROR(IF(INDEX(РАБОТЫ!$W$2:$W$1058,MATCH(574+1,РАБОТЫ!$X$2:$X$1058,0))=1,INDEX(РАБОТЫ!$V$2:$V$1058,MATCH(574+1,РАБОТЫ!$X$2:$X$1058,0)),""),"")</f>
        <v/>
      </c>
      <c r="M595" t="str">
        <f t="shared" si="35"/>
        <v/>
      </c>
    </row>
    <row r="596" spans="1:13" hidden="1" x14ac:dyDescent="0.3">
      <c r="A596" t="str">
        <f>IF(ISNUMBER($K596),INDEX(РАБОТЫ!$U$2:$U$1058,$K596),"")</f>
        <v/>
      </c>
      <c r="B596" t="str">
        <f>IF(ISNUMBER($K596),INDEX(РАБОТЫ!$A$2:$A$1058,$K596),"")</f>
        <v/>
      </c>
      <c r="C596" s="4" t="str">
        <f>IF($L596&lt;&gt;"",INDEX(РАБОТЫ!$Z$2:$Z$1058,MATCH($L596,РАБОТЫ!$V$2:$V$1058,0)),IF(ISNUMBER($K596),INDEX(РАБОТЫ!$Y$2:$Y$1058,$K596),""))</f>
        <v/>
      </c>
      <c r="D596" t="str">
        <f>IF(ISNUMBER($K596),INDEX(РАБОТЫ!$E$2:$E$1058,$K596),"")</f>
        <v/>
      </c>
      <c r="E596" t="str">
        <f>IF(ISNUMBER($K596),INDEX(РАБОТЫ!$M$2:$M$1058,$K596),"")</f>
        <v/>
      </c>
      <c r="F596" s="7" t="str">
        <f>IF(ISNUMBER($K596),INDEX(РАБОТЫ!$S$2:$S$1058,$K596),"")</f>
        <v/>
      </c>
      <c r="G596" s="7" t="str">
        <f>IF(ISNUMBER($K596),INDEX(РАБОТЫ!$T$2:$T$1058,$K596),"")</f>
        <v/>
      </c>
      <c r="H596" s="7" t="str">
        <f t="shared" si="32"/>
        <v/>
      </c>
      <c r="I596" s="7" t="str">
        <f t="shared" si="33"/>
        <v/>
      </c>
      <c r="J596" s="7" t="str">
        <f t="shared" si="34"/>
        <v/>
      </c>
      <c r="K596" t="str">
        <f>IFERROR(MATCH(575,РАБОТЫ!$X$2:$X$1058,0),"")</f>
        <v/>
      </c>
      <c r="L596" t="str">
        <f>IFERROR(IF(INDEX(РАБОТЫ!$W$2:$W$1058,MATCH(575+1,РАБОТЫ!$X$2:$X$1058,0))=1,INDEX(РАБОТЫ!$V$2:$V$1058,MATCH(575+1,РАБОТЫ!$X$2:$X$1058,0)),""),"")</f>
        <v/>
      </c>
      <c r="M596" t="str">
        <f t="shared" si="35"/>
        <v/>
      </c>
    </row>
    <row r="597" spans="1:13" hidden="1" x14ac:dyDescent="0.3">
      <c r="A597" t="str">
        <f>IF(ISNUMBER($K597),INDEX(РАБОТЫ!$U$2:$U$1058,$K597),"")</f>
        <v/>
      </c>
      <c r="B597" t="str">
        <f>IF(ISNUMBER($K597),INDEX(РАБОТЫ!$A$2:$A$1058,$K597),"")</f>
        <v/>
      </c>
      <c r="C597" s="4" t="str">
        <f>IF($L597&lt;&gt;"",INDEX(РАБОТЫ!$Z$2:$Z$1058,MATCH($L597,РАБОТЫ!$V$2:$V$1058,0)),IF(ISNUMBER($K597),INDEX(РАБОТЫ!$Y$2:$Y$1058,$K597),""))</f>
        <v/>
      </c>
      <c r="D597" t="str">
        <f>IF(ISNUMBER($K597),INDEX(РАБОТЫ!$E$2:$E$1058,$K597),"")</f>
        <v/>
      </c>
      <c r="E597" t="str">
        <f>IF(ISNUMBER($K597),INDEX(РАБОТЫ!$M$2:$M$1058,$K597),"")</f>
        <v/>
      </c>
      <c r="F597" s="7" t="str">
        <f>IF(ISNUMBER($K597),INDEX(РАБОТЫ!$S$2:$S$1058,$K597),"")</f>
        <v/>
      </c>
      <c r="G597" s="7" t="str">
        <f>IF(ISNUMBER($K597),INDEX(РАБОТЫ!$T$2:$T$1058,$K597),"")</f>
        <v/>
      </c>
      <c r="H597" s="7" t="str">
        <f t="shared" si="32"/>
        <v/>
      </c>
      <c r="I597" s="7" t="str">
        <f t="shared" si="33"/>
        <v/>
      </c>
      <c r="J597" s="7" t="str">
        <f t="shared" si="34"/>
        <v/>
      </c>
      <c r="K597" t="str">
        <f>IFERROR(MATCH(576,РАБОТЫ!$X$2:$X$1058,0),"")</f>
        <v/>
      </c>
      <c r="L597" t="str">
        <f>IFERROR(IF(INDEX(РАБОТЫ!$W$2:$W$1058,MATCH(576+1,РАБОТЫ!$X$2:$X$1058,0))=1,INDEX(РАБОТЫ!$V$2:$V$1058,MATCH(576+1,РАБОТЫ!$X$2:$X$1058,0)),""),"")</f>
        <v/>
      </c>
      <c r="M597" t="str">
        <f t="shared" si="35"/>
        <v/>
      </c>
    </row>
    <row r="598" spans="1:13" hidden="1" x14ac:dyDescent="0.3">
      <c r="A598" t="str">
        <f>IF(ISNUMBER($K598),INDEX(РАБОТЫ!$U$2:$U$1058,$K598),"")</f>
        <v/>
      </c>
      <c r="B598" t="str">
        <f>IF(ISNUMBER($K598),INDEX(РАБОТЫ!$A$2:$A$1058,$K598),"")</f>
        <v/>
      </c>
      <c r="C598" s="4" t="str">
        <f>IF($L598&lt;&gt;"",INDEX(РАБОТЫ!$Z$2:$Z$1058,MATCH($L598,РАБОТЫ!$V$2:$V$1058,0)),IF(ISNUMBER($K598),INDEX(РАБОТЫ!$Y$2:$Y$1058,$K598),""))</f>
        <v/>
      </c>
      <c r="D598" t="str">
        <f>IF(ISNUMBER($K598),INDEX(РАБОТЫ!$E$2:$E$1058,$K598),"")</f>
        <v/>
      </c>
      <c r="E598" t="str">
        <f>IF(ISNUMBER($K598),INDEX(РАБОТЫ!$M$2:$M$1058,$K598),"")</f>
        <v/>
      </c>
      <c r="F598" s="7" t="str">
        <f>IF(ISNUMBER($K598),INDEX(РАБОТЫ!$S$2:$S$1058,$K598),"")</f>
        <v/>
      </c>
      <c r="G598" s="7" t="str">
        <f>IF(ISNUMBER($K598),INDEX(РАБОТЫ!$T$2:$T$1058,$K598),"")</f>
        <v/>
      </c>
      <c r="H598" s="7" t="str">
        <f t="shared" ref="H598:H661" si="36">IF(ISNUMBER($K598),ROUND($E598*$F598,2),"")</f>
        <v/>
      </c>
      <c r="I598" s="7" t="str">
        <f t="shared" ref="I598:I661" si="37">IF(ISNUMBER($K598),ROUND($E598*$G598,2),"")</f>
        <v/>
      </c>
      <c r="J598" s="7" t="str">
        <f t="shared" ref="J598:J661" si="38">IF(ISNUMBER($K598),$H598+$I598,"")</f>
        <v/>
      </c>
      <c r="K598" t="str">
        <f>IFERROR(MATCH(577,РАБОТЫ!$X$2:$X$1058,0),"")</f>
        <v/>
      </c>
      <c r="L598" t="str">
        <f>IFERROR(IF(INDEX(РАБОТЫ!$W$2:$W$1058,MATCH(577+1,РАБОТЫ!$X$2:$X$1058,0))=1,INDEX(РАБОТЫ!$V$2:$V$1058,MATCH(577+1,РАБОТЫ!$X$2:$X$1058,0)),""),"")</f>
        <v/>
      </c>
      <c r="M598" t="str">
        <f t="shared" ref="M598:M661" si="39">IF(OR(ISNUMBER($K598),$L598&lt;&gt;""),"показать","")</f>
        <v/>
      </c>
    </row>
    <row r="599" spans="1:13" hidden="1" x14ac:dyDescent="0.3">
      <c r="A599" t="str">
        <f>IF(ISNUMBER($K599),INDEX(РАБОТЫ!$U$2:$U$1058,$K599),"")</f>
        <v/>
      </c>
      <c r="B599" t="str">
        <f>IF(ISNUMBER($K599),INDEX(РАБОТЫ!$A$2:$A$1058,$K599),"")</f>
        <v/>
      </c>
      <c r="C599" s="4" t="str">
        <f>IF($L599&lt;&gt;"",INDEX(РАБОТЫ!$Z$2:$Z$1058,MATCH($L599,РАБОТЫ!$V$2:$V$1058,0)),IF(ISNUMBER($K599),INDEX(РАБОТЫ!$Y$2:$Y$1058,$K599),""))</f>
        <v/>
      </c>
      <c r="D599" t="str">
        <f>IF(ISNUMBER($K599),INDEX(РАБОТЫ!$E$2:$E$1058,$K599),"")</f>
        <v/>
      </c>
      <c r="E599" t="str">
        <f>IF(ISNUMBER($K599),INDEX(РАБОТЫ!$M$2:$M$1058,$K599),"")</f>
        <v/>
      </c>
      <c r="F599" s="7" t="str">
        <f>IF(ISNUMBER($K599),INDEX(РАБОТЫ!$S$2:$S$1058,$K599),"")</f>
        <v/>
      </c>
      <c r="G599" s="7" t="str">
        <f>IF(ISNUMBER($K599),INDEX(РАБОТЫ!$T$2:$T$1058,$K599),"")</f>
        <v/>
      </c>
      <c r="H599" s="7" t="str">
        <f t="shared" si="36"/>
        <v/>
      </c>
      <c r="I599" s="7" t="str">
        <f t="shared" si="37"/>
        <v/>
      </c>
      <c r="J599" s="7" t="str">
        <f t="shared" si="38"/>
        <v/>
      </c>
      <c r="K599" t="str">
        <f>IFERROR(MATCH(578,РАБОТЫ!$X$2:$X$1058,0),"")</f>
        <v/>
      </c>
      <c r="L599" t="str">
        <f>IFERROR(IF(INDEX(РАБОТЫ!$W$2:$W$1058,MATCH(578+1,РАБОТЫ!$X$2:$X$1058,0))=1,INDEX(РАБОТЫ!$V$2:$V$1058,MATCH(578+1,РАБОТЫ!$X$2:$X$1058,0)),""),"")</f>
        <v/>
      </c>
      <c r="M599" t="str">
        <f t="shared" si="39"/>
        <v/>
      </c>
    </row>
    <row r="600" spans="1:13" hidden="1" x14ac:dyDescent="0.3">
      <c r="A600" t="str">
        <f>IF(ISNUMBER($K600),INDEX(РАБОТЫ!$U$2:$U$1058,$K600),"")</f>
        <v/>
      </c>
      <c r="B600" t="str">
        <f>IF(ISNUMBER($K600),INDEX(РАБОТЫ!$A$2:$A$1058,$K600),"")</f>
        <v/>
      </c>
      <c r="C600" s="4" t="str">
        <f>IF($L600&lt;&gt;"",INDEX(РАБОТЫ!$Z$2:$Z$1058,MATCH($L600,РАБОТЫ!$V$2:$V$1058,0)),IF(ISNUMBER($K600),INDEX(РАБОТЫ!$Y$2:$Y$1058,$K600),""))</f>
        <v/>
      </c>
      <c r="D600" t="str">
        <f>IF(ISNUMBER($K600),INDEX(РАБОТЫ!$E$2:$E$1058,$K600),"")</f>
        <v/>
      </c>
      <c r="E600" t="str">
        <f>IF(ISNUMBER($K600),INDEX(РАБОТЫ!$M$2:$M$1058,$K600),"")</f>
        <v/>
      </c>
      <c r="F600" s="7" t="str">
        <f>IF(ISNUMBER($K600),INDEX(РАБОТЫ!$S$2:$S$1058,$K600),"")</f>
        <v/>
      </c>
      <c r="G600" s="7" t="str">
        <f>IF(ISNUMBER($K600),INDEX(РАБОТЫ!$T$2:$T$1058,$K600),"")</f>
        <v/>
      </c>
      <c r="H600" s="7" t="str">
        <f t="shared" si="36"/>
        <v/>
      </c>
      <c r="I600" s="7" t="str">
        <f t="shared" si="37"/>
        <v/>
      </c>
      <c r="J600" s="7" t="str">
        <f t="shared" si="38"/>
        <v/>
      </c>
      <c r="K600" t="str">
        <f>IFERROR(MATCH(579,РАБОТЫ!$X$2:$X$1058,0),"")</f>
        <v/>
      </c>
      <c r="L600" t="str">
        <f>IFERROR(IF(INDEX(РАБОТЫ!$W$2:$W$1058,MATCH(579+1,РАБОТЫ!$X$2:$X$1058,0))=1,INDEX(РАБОТЫ!$V$2:$V$1058,MATCH(579+1,РАБОТЫ!$X$2:$X$1058,0)),""),"")</f>
        <v/>
      </c>
      <c r="M600" t="str">
        <f t="shared" si="39"/>
        <v/>
      </c>
    </row>
    <row r="601" spans="1:13" hidden="1" x14ac:dyDescent="0.3">
      <c r="A601" t="str">
        <f>IF(ISNUMBER($K601),INDEX(РАБОТЫ!$U$2:$U$1058,$K601),"")</f>
        <v/>
      </c>
      <c r="B601" t="str">
        <f>IF(ISNUMBER($K601),INDEX(РАБОТЫ!$A$2:$A$1058,$K601),"")</f>
        <v/>
      </c>
      <c r="C601" s="4" t="str">
        <f>IF($L601&lt;&gt;"",INDEX(РАБОТЫ!$Z$2:$Z$1058,MATCH($L601,РАБОТЫ!$V$2:$V$1058,0)),IF(ISNUMBER($K601),INDEX(РАБОТЫ!$Y$2:$Y$1058,$K601),""))</f>
        <v/>
      </c>
      <c r="D601" t="str">
        <f>IF(ISNUMBER($K601),INDEX(РАБОТЫ!$E$2:$E$1058,$K601),"")</f>
        <v/>
      </c>
      <c r="E601" t="str">
        <f>IF(ISNUMBER($K601),INDEX(РАБОТЫ!$M$2:$M$1058,$K601),"")</f>
        <v/>
      </c>
      <c r="F601" s="7" t="str">
        <f>IF(ISNUMBER($K601),INDEX(РАБОТЫ!$S$2:$S$1058,$K601),"")</f>
        <v/>
      </c>
      <c r="G601" s="7" t="str">
        <f>IF(ISNUMBER($K601),INDEX(РАБОТЫ!$T$2:$T$1058,$K601),"")</f>
        <v/>
      </c>
      <c r="H601" s="7" t="str">
        <f t="shared" si="36"/>
        <v/>
      </c>
      <c r="I601" s="7" t="str">
        <f t="shared" si="37"/>
        <v/>
      </c>
      <c r="J601" s="7" t="str">
        <f t="shared" si="38"/>
        <v/>
      </c>
      <c r="K601" t="str">
        <f>IFERROR(MATCH(580,РАБОТЫ!$X$2:$X$1058,0),"")</f>
        <v/>
      </c>
      <c r="L601" t="str">
        <f>IFERROR(IF(INDEX(РАБОТЫ!$W$2:$W$1058,MATCH(580+1,РАБОТЫ!$X$2:$X$1058,0))=1,INDEX(РАБОТЫ!$V$2:$V$1058,MATCH(580+1,РАБОТЫ!$X$2:$X$1058,0)),""),"")</f>
        <v/>
      </c>
      <c r="M601" t="str">
        <f t="shared" si="39"/>
        <v/>
      </c>
    </row>
    <row r="602" spans="1:13" hidden="1" x14ac:dyDescent="0.3">
      <c r="A602" t="str">
        <f>IF(ISNUMBER($K602),INDEX(РАБОТЫ!$U$2:$U$1058,$K602),"")</f>
        <v/>
      </c>
      <c r="B602" t="str">
        <f>IF(ISNUMBER($K602),INDEX(РАБОТЫ!$A$2:$A$1058,$K602),"")</f>
        <v/>
      </c>
      <c r="C602" s="4" t="str">
        <f>IF($L602&lt;&gt;"",INDEX(РАБОТЫ!$Z$2:$Z$1058,MATCH($L602,РАБОТЫ!$V$2:$V$1058,0)),IF(ISNUMBER($K602),INDEX(РАБОТЫ!$Y$2:$Y$1058,$K602),""))</f>
        <v/>
      </c>
      <c r="D602" t="str">
        <f>IF(ISNUMBER($K602),INDEX(РАБОТЫ!$E$2:$E$1058,$K602),"")</f>
        <v/>
      </c>
      <c r="E602" t="str">
        <f>IF(ISNUMBER($K602),INDEX(РАБОТЫ!$M$2:$M$1058,$K602),"")</f>
        <v/>
      </c>
      <c r="F602" s="7" t="str">
        <f>IF(ISNUMBER($K602),INDEX(РАБОТЫ!$S$2:$S$1058,$K602),"")</f>
        <v/>
      </c>
      <c r="G602" s="7" t="str">
        <f>IF(ISNUMBER($K602),INDEX(РАБОТЫ!$T$2:$T$1058,$K602),"")</f>
        <v/>
      </c>
      <c r="H602" s="7" t="str">
        <f t="shared" si="36"/>
        <v/>
      </c>
      <c r="I602" s="7" t="str">
        <f t="shared" si="37"/>
        <v/>
      </c>
      <c r="J602" s="7" t="str">
        <f t="shared" si="38"/>
        <v/>
      </c>
      <c r="K602" t="str">
        <f>IFERROR(MATCH(581,РАБОТЫ!$X$2:$X$1058,0),"")</f>
        <v/>
      </c>
      <c r="L602" t="str">
        <f>IFERROR(IF(INDEX(РАБОТЫ!$W$2:$W$1058,MATCH(581+1,РАБОТЫ!$X$2:$X$1058,0))=1,INDEX(РАБОТЫ!$V$2:$V$1058,MATCH(581+1,РАБОТЫ!$X$2:$X$1058,0)),""),"")</f>
        <v/>
      </c>
      <c r="M602" t="str">
        <f t="shared" si="39"/>
        <v/>
      </c>
    </row>
    <row r="603" spans="1:13" hidden="1" x14ac:dyDescent="0.3">
      <c r="A603" t="str">
        <f>IF(ISNUMBER($K603),INDEX(РАБОТЫ!$U$2:$U$1058,$K603),"")</f>
        <v/>
      </c>
      <c r="B603" t="str">
        <f>IF(ISNUMBER($K603),INDEX(РАБОТЫ!$A$2:$A$1058,$K603),"")</f>
        <v/>
      </c>
      <c r="C603" s="4" t="str">
        <f>IF($L603&lt;&gt;"",INDEX(РАБОТЫ!$Z$2:$Z$1058,MATCH($L603,РАБОТЫ!$V$2:$V$1058,0)),IF(ISNUMBER($K603),INDEX(РАБОТЫ!$Y$2:$Y$1058,$K603),""))</f>
        <v/>
      </c>
      <c r="D603" t="str">
        <f>IF(ISNUMBER($K603),INDEX(РАБОТЫ!$E$2:$E$1058,$K603),"")</f>
        <v/>
      </c>
      <c r="E603" t="str">
        <f>IF(ISNUMBER($K603),INDEX(РАБОТЫ!$M$2:$M$1058,$K603),"")</f>
        <v/>
      </c>
      <c r="F603" s="7" t="str">
        <f>IF(ISNUMBER($K603),INDEX(РАБОТЫ!$S$2:$S$1058,$K603),"")</f>
        <v/>
      </c>
      <c r="G603" s="7" t="str">
        <f>IF(ISNUMBER($K603),INDEX(РАБОТЫ!$T$2:$T$1058,$K603),"")</f>
        <v/>
      </c>
      <c r="H603" s="7" t="str">
        <f t="shared" si="36"/>
        <v/>
      </c>
      <c r="I603" s="7" t="str">
        <f t="shared" si="37"/>
        <v/>
      </c>
      <c r="J603" s="7" t="str">
        <f t="shared" si="38"/>
        <v/>
      </c>
      <c r="K603" t="str">
        <f>IFERROR(MATCH(582,РАБОТЫ!$X$2:$X$1058,0),"")</f>
        <v/>
      </c>
      <c r="L603" t="str">
        <f>IFERROR(IF(INDEX(РАБОТЫ!$W$2:$W$1058,MATCH(582+1,РАБОТЫ!$X$2:$X$1058,0))=1,INDEX(РАБОТЫ!$V$2:$V$1058,MATCH(582+1,РАБОТЫ!$X$2:$X$1058,0)),""),"")</f>
        <v/>
      </c>
      <c r="M603" t="str">
        <f t="shared" si="39"/>
        <v/>
      </c>
    </row>
    <row r="604" spans="1:13" hidden="1" x14ac:dyDescent="0.3">
      <c r="A604" t="str">
        <f>IF(ISNUMBER($K604),INDEX(РАБОТЫ!$U$2:$U$1058,$K604),"")</f>
        <v/>
      </c>
      <c r="B604" t="str">
        <f>IF(ISNUMBER($K604),INDEX(РАБОТЫ!$A$2:$A$1058,$K604),"")</f>
        <v/>
      </c>
      <c r="C604" s="4" t="str">
        <f>IF($L604&lt;&gt;"",INDEX(РАБОТЫ!$Z$2:$Z$1058,MATCH($L604,РАБОТЫ!$V$2:$V$1058,0)),IF(ISNUMBER($K604),INDEX(РАБОТЫ!$Y$2:$Y$1058,$K604),""))</f>
        <v/>
      </c>
      <c r="D604" t="str">
        <f>IF(ISNUMBER($K604),INDEX(РАБОТЫ!$E$2:$E$1058,$K604),"")</f>
        <v/>
      </c>
      <c r="E604" t="str">
        <f>IF(ISNUMBER($K604),INDEX(РАБОТЫ!$M$2:$M$1058,$K604),"")</f>
        <v/>
      </c>
      <c r="F604" s="7" t="str">
        <f>IF(ISNUMBER($K604),INDEX(РАБОТЫ!$S$2:$S$1058,$K604),"")</f>
        <v/>
      </c>
      <c r="G604" s="7" t="str">
        <f>IF(ISNUMBER($K604),INDEX(РАБОТЫ!$T$2:$T$1058,$K604),"")</f>
        <v/>
      </c>
      <c r="H604" s="7" t="str">
        <f t="shared" si="36"/>
        <v/>
      </c>
      <c r="I604" s="7" t="str">
        <f t="shared" si="37"/>
        <v/>
      </c>
      <c r="J604" s="7" t="str">
        <f t="shared" si="38"/>
        <v/>
      </c>
      <c r="K604" t="str">
        <f>IFERROR(MATCH(583,РАБОТЫ!$X$2:$X$1058,0),"")</f>
        <v/>
      </c>
      <c r="L604" t="str">
        <f>IFERROR(IF(INDEX(РАБОТЫ!$W$2:$W$1058,MATCH(583+1,РАБОТЫ!$X$2:$X$1058,0))=1,INDEX(РАБОТЫ!$V$2:$V$1058,MATCH(583+1,РАБОТЫ!$X$2:$X$1058,0)),""),"")</f>
        <v/>
      </c>
      <c r="M604" t="str">
        <f t="shared" si="39"/>
        <v/>
      </c>
    </row>
    <row r="605" spans="1:13" hidden="1" x14ac:dyDescent="0.3">
      <c r="A605" t="str">
        <f>IF(ISNUMBER($K605),INDEX(РАБОТЫ!$U$2:$U$1058,$K605),"")</f>
        <v/>
      </c>
      <c r="B605" t="str">
        <f>IF(ISNUMBER($K605),INDEX(РАБОТЫ!$A$2:$A$1058,$K605),"")</f>
        <v/>
      </c>
      <c r="C605" s="4" t="str">
        <f>IF($L605&lt;&gt;"",INDEX(РАБОТЫ!$Z$2:$Z$1058,MATCH($L605,РАБОТЫ!$V$2:$V$1058,0)),IF(ISNUMBER($K605),INDEX(РАБОТЫ!$Y$2:$Y$1058,$K605),""))</f>
        <v/>
      </c>
      <c r="D605" t="str">
        <f>IF(ISNUMBER($K605),INDEX(РАБОТЫ!$E$2:$E$1058,$K605),"")</f>
        <v/>
      </c>
      <c r="E605" t="str">
        <f>IF(ISNUMBER($K605),INDEX(РАБОТЫ!$M$2:$M$1058,$K605),"")</f>
        <v/>
      </c>
      <c r="F605" s="7" t="str">
        <f>IF(ISNUMBER($K605),INDEX(РАБОТЫ!$S$2:$S$1058,$K605),"")</f>
        <v/>
      </c>
      <c r="G605" s="7" t="str">
        <f>IF(ISNUMBER($K605),INDEX(РАБОТЫ!$T$2:$T$1058,$K605),"")</f>
        <v/>
      </c>
      <c r="H605" s="7" t="str">
        <f t="shared" si="36"/>
        <v/>
      </c>
      <c r="I605" s="7" t="str">
        <f t="shared" si="37"/>
        <v/>
      </c>
      <c r="J605" s="7" t="str">
        <f t="shared" si="38"/>
        <v/>
      </c>
      <c r="K605" t="str">
        <f>IFERROR(MATCH(584,РАБОТЫ!$X$2:$X$1058,0),"")</f>
        <v/>
      </c>
      <c r="L605" t="str">
        <f>IFERROR(IF(INDEX(РАБОТЫ!$W$2:$W$1058,MATCH(584+1,РАБОТЫ!$X$2:$X$1058,0))=1,INDEX(РАБОТЫ!$V$2:$V$1058,MATCH(584+1,РАБОТЫ!$X$2:$X$1058,0)),""),"")</f>
        <v/>
      </c>
      <c r="M605" t="str">
        <f t="shared" si="39"/>
        <v/>
      </c>
    </row>
    <row r="606" spans="1:13" hidden="1" x14ac:dyDescent="0.3">
      <c r="A606" t="str">
        <f>IF(ISNUMBER($K606),INDEX(РАБОТЫ!$U$2:$U$1058,$K606),"")</f>
        <v/>
      </c>
      <c r="B606" t="str">
        <f>IF(ISNUMBER($K606),INDEX(РАБОТЫ!$A$2:$A$1058,$K606),"")</f>
        <v/>
      </c>
      <c r="C606" s="4" t="str">
        <f>IF($L606&lt;&gt;"",INDEX(РАБОТЫ!$Z$2:$Z$1058,MATCH($L606,РАБОТЫ!$V$2:$V$1058,0)),IF(ISNUMBER($K606),INDEX(РАБОТЫ!$Y$2:$Y$1058,$K606),""))</f>
        <v/>
      </c>
      <c r="D606" t="str">
        <f>IF(ISNUMBER($K606),INDEX(РАБОТЫ!$E$2:$E$1058,$K606),"")</f>
        <v/>
      </c>
      <c r="E606" t="str">
        <f>IF(ISNUMBER($K606),INDEX(РАБОТЫ!$M$2:$M$1058,$K606),"")</f>
        <v/>
      </c>
      <c r="F606" s="7" t="str">
        <f>IF(ISNUMBER($K606),INDEX(РАБОТЫ!$S$2:$S$1058,$K606),"")</f>
        <v/>
      </c>
      <c r="G606" s="7" t="str">
        <f>IF(ISNUMBER($K606),INDEX(РАБОТЫ!$T$2:$T$1058,$K606),"")</f>
        <v/>
      </c>
      <c r="H606" s="7" t="str">
        <f t="shared" si="36"/>
        <v/>
      </c>
      <c r="I606" s="7" t="str">
        <f t="shared" si="37"/>
        <v/>
      </c>
      <c r="J606" s="7" t="str">
        <f t="shared" si="38"/>
        <v/>
      </c>
      <c r="K606" t="str">
        <f>IFERROR(MATCH(585,РАБОТЫ!$X$2:$X$1058,0),"")</f>
        <v/>
      </c>
      <c r="L606" t="str">
        <f>IFERROR(IF(INDEX(РАБОТЫ!$W$2:$W$1058,MATCH(585+1,РАБОТЫ!$X$2:$X$1058,0))=1,INDEX(РАБОТЫ!$V$2:$V$1058,MATCH(585+1,РАБОТЫ!$X$2:$X$1058,0)),""),"")</f>
        <v/>
      </c>
      <c r="M606" t="str">
        <f t="shared" si="39"/>
        <v/>
      </c>
    </row>
    <row r="607" spans="1:13" hidden="1" x14ac:dyDescent="0.3">
      <c r="A607" t="str">
        <f>IF(ISNUMBER($K607),INDEX(РАБОТЫ!$U$2:$U$1058,$K607),"")</f>
        <v/>
      </c>
      <c r="B607" t="str">
        <f>IF(ISNUMBER($K607),INDEX(РАБОТЫ!$A$2:$A$1058,$K607),"")</f>
        <v/>
      </c>
      <c r="C607" s="4" t="str">
        <f>IF($L607&lt;&gt;"",INDEX(РАБОТЫ!$Z$2:$Z$1058,MATCH($L607,РАБОТЫ!$V$2:$V$1058,0)),IF(ISNUMBER($K607),INDEX(РАБОТЫ!$Y$2:$Y$1058,$K607),""))</f>
        <v/>
      </c>
      <c r="D607" t="str">
        <f>IF(ISNUMBER($K607),INDEX(РАБОТЫ!$E$2:$E$1058,$K607),"")</f>
        <v/>
      </c>
      <c r="E607" t="str">
        <f>IF(ISNUMBER($K607),INDEX(РАБОТЫ!$M$2:$M$1058,$K607),"")</f>
        <v/>
      </c>
      <c r="F607" s="7" t="str">
        <f>IF(ISNUMBER($K607),INDEX(РАБОТЫ!$S$2:$S$1058,$K607),"")</f>
        <v/>
      </c>
      <c r="G607" s="7" t="str">
        <f>IF(ISNUMBER($K607),INDEX(РАБОТЫ!$T$2:$T$1058,$K607),"")</f>
        <v/>
      </c>
      <c r="H607" s="7" t="str">
        <f t="shared" si="36"/>
        <v/>
      </c>
      <c r="I607" s="7" t="str">
        <f t="shared" si="37"/>
        <v/>
      </c>
      <c r="J607" s="7" t="str">
        <f t="shared" si="38"/>
        <v/>
      </c>
      <c r="K607" t="str">
        <f>IFERROR(MATCH(586,РАБОТЫ!$X$2:$X$1058,0),"")</f>
        <v/>
      </c>
      <c r="L607" t="str">
        <f>IFERROR(IF(INDEX(РАБОТЫ!$W$2:$W$1058,MATCH(586+1,РАБОТЫ!$X$2:$X$1058,0))=1,INDEX(РАБОТЫ!$V$2:$V$1058,MATCH(586+1,РАБОТЫ!$X$2:$X$1058,0)),""),"")</f>
        <v/>
      </c>
      <c r="M607" t="str">
        <f t="shared" si="39"/>
        <v/>
      </c>
    </row>
    <row r="608" spans="1:13" hidden="1" x14ac:dyDescent="0.3">
      <c r="A608" t="str">
        <f>IF(ISNUMBER($K608),INDEX(РАБОТЫ!$U$2:$U$1058,$K608),"")</f>
        <v/>
      </c>
      <c r="B608" t="str">
        <f>IF(ISNUMBER($K608),INDEX(РАБОТЫ!$A$2:$A$1058,$K608),"")</f>
        <v/>
      </c>
      <c r="C608" s="4" t="str">
        <f>IF($L608&lt;&gt;"",INDEX(РАБОТЫ!$Z$2:$Z$1058,MATCH($L608,РАБОТЫ!$V$2:$V$1058,0)),IF(ISNUMBER($K608),INDEX(РАБОТЫ!$Y$2:$Y$1058,$K608),""))</f>
        <v/>
      </c>
      <c r="D608" t="str">
        <f>IF(ISNUMBER($K608),INDEX(РАБОТЫ!$E$2:$E$1058,$K608),"")</f>
        <v/>
      </c>
      <c r="E608" t="str">
        <f>IF(ISNUMBER($K608),INDEX(РАБОТЫ!$M$2:$M$1058,$K608),"")</f>
        <v/>
      </c>
      <c r="F608" s="7" t="str">
        <f>IF(ISNUMBER($K608),INDEX(РАБОТЫ!$S$2:$S$1058,$K608),"")</f>
        <v/>
      </c>
      <c r="G608" s="7" t="str">
        <f>IF(ISNUMBER($K608),INDEX(РАБОТЫ!$T$2:$T$1058,$K608),"")</f>
        <v/>
      </c>
      <c r="H608" s="7" t="str">
        <f t="shared" si="36"/>
        <v/>
      </c>
      <c r="I608" s="7" t="str">
        <f t="shared" si="37"/>
        <v/>
      </c>
      <c r="J608" s="7" t="str">
        <f t="shared" si="38"/>
        <v/>
      </c>
      <c r="K608" t="str">
        <f>IFERROR(MATCH(587,РАБОТЫ!$X$2:$X$1058,0),"")</f>
        <v/>
      </c>
      <c r="L608" t="str">
        <f>IFERROR(IF(INDEX(РАБОТЫ!$W$2:$W$1058,MATCH(587+1,РАБОТЫ!$X$2:$X$1058,0))=1,INDEX(РАБОТЫ!$V$2:$V$1058,MATCH(587+1,РАБОТЫ!$X$2:$X$1058,0)),""),"")</f>
        <v/>
      </c>
      <c r="M608" t="str">
        <f t="shared" si="39"/>
        <v/>
      </c>
    </row>
    <row r="609" spans="1:13" hidden="1" x14ac:dyDescent="0.3">
      <c r="A609" t="str">
        <f>IF(ISNUMBER($K609),INDEX(РАБОТЫ!$U$2:$U$1058,$K609),"")</f>
        <v/>
      </c>
      <c r="B609" t="str">
        <f>IF(ISNUMBER($K609),INDEX(РАБОТЫ!$A$2:$A$1058,$K609),"")</f>
        <v/>
      </c>
      <c r="C609" s="4" t="str">
        <f>IF($L609&lt;&gt;"",INDEX(РАБОТЫ!$Z$2:$Z$1058,MATCH($L609,РАБОТЫ!$V$2:$V$1058,0)),IF(ISNUMBER($K609),INDEX(РАБОТЫ!$Y$2:$Y$1058,$K609),""))</f>
        <v/>
      </c>
      <c r="D609" t="str">
        <f>IF(ISNUMBER($K609),INDEX(РАБОТЫ!$E$2:$E$1058,$K609),"")</f>
        <v/>
      </c>
      <c r="E609" t="str">
        <f>IF(ISNUMBER($K609),INDEX(РАБОТЫ!$M$2:$M$1058,$K609),"")</f>
        <v/>
      </c>
      <c r="F609" s="7" t="str">
        <f>IF(ISNUMBER($K609),INDEX(РАБОТЫ!$S$2:$S$1058,$K609),"")</f>
        <v/>
      </c>
      <c r="G609" s="7" t="str">
        <f>IF(ISNUMBER($K609),INDEX(РАБОТЫ!$T$2:$T$1058,$K609),"")</f>
        <v/>
      </c>
      <c r="H609" s="7" t="str">
        <f t="shared" si="36"/>
        <v/>
      </c>
      <c r="I609" s="7" t="str">
        <f t="shared" si="37"/>
        <v/>
      </c>
      <c r="J609" s="7" t="str">
        <f t="shared" si="38"/>
        <v/>
      </c>
      <c r="K609" t="str">
        <f>IFERROR(MATCH(588,РАБОТЫ!$X$2:$X$1058,0),"")</f>
        <v/>
      </c>
      <c r="L609" t="str">
        <f>IFERROR(IF(INDEX(РАБОТЫ!$W$2:$W$1058,MATCH(588+1,РАБОТЫ!$X$2:$X$1058,0))=1,INDEX(РАБОТЫ!$V$2:$V$1058,MATCH(588+1,РАБОТЫ!$X$2:$X$1058,0)),""),"")</f>
        <v/>
      </c>
      <c r="M609" t="str">
        <f t="shared" si="39"/>
        <v/>
      </c>
    </row>
    <row r="610" spans="1:13" hidden="1" x14ac:dyDescent="0.3">
      <c r="A610" t="str">
        <f>IF(ISNUMBER($K610),INDEX(РАБОТЫ!$U$2:$U$1058,$K610),"")</f>
        <v/>
      </c>
      <c r="B610" t="str">
        <f>IF(ISNUMBER($K610),INDEX(РАБОТЫ!$A$2:$A$1058,$K610),"")</f>
        <v/>
      </c>
      <c r="C610" s="4" t="str">
        <f>IF($L610&lt;&gt;"",INDEX(РАБОТЫ!$Z$2:$Z$1058,MATCH($L610,РАБОТЫ!$V$2:$V$1058,0)),IF(ISNUMBER($K610),INDEX(РАБОТЫ!$Y$2:$Y$1058,$K610),""))</f>
        <v/>
      </c>
      <c r="D610" t="str">
        <f>IF(ISNUMBER($K610),INDEX(РАБОТЫ!$E$2:$E$1058,$K610),"")</f>
        <v/>
      </c>
      <c r="E610" t="str">
        <f>IF(ISNUMBER($K610),INDEX(РАБОТЫ!$M$2:$M$1058,$K610),"")</f>
        <v/>
      </c>
      <c r="F610" s="7" t="str">
        <f>IF(ISNUMBER($K610),INDEX(РАБОТЫ!$S$2:$S$1058,$K610),"")</f>
        <v/>
      </c>
      <c r="G610" s="7" t="str">
        <f>IF(ISNUMBER($K610),INDEX(РАБОТЫ!$T$2:$T$1058,$K610),"")</f>
        <v/>
      </c>
      <c r="H610" s="7" t="str">
        <f t="shared" si="36"/>
        <v/>
      </c>
      <c r="I610" s="7" t="str">
        <f t="shared" si="37"/>
        <v/>
      </c>
      <c r="J610" s="7" t="str">
        <f t="shared" si="38"/>
        <v/>
      </c>
      <c r="K610" t="str">
        <f>IFERROR(MATCH(589,РАБОТЫ!$X$2:$X$1058,0),"")</f>
        <v/>
      </c>
      <c r="L610" t="str">
        <f>IFERROR(IF(INDEX(РАБОТЫ!$W$2:$W$1058,MATCH(589+1,РАБОТЫ!$X$2:$X$1058,0))=1,INDEX(РАБОТЫ!$V$2:$V$1058,MATCH(589+1,РАБОТЫ!$X$2:$X$1058,0)),""),"")</f>
        <v/>
      </c>
      <c r="M610" t="str">
        <f t="shared" si="39"/>
        <v/>
      </c>
    </row>
    <row r="611" spans="1:13" hidden="1" x14ac:dyDescent="0.3">
      <c r="A611" t="str">
        <f>IF(ISNUMBER($K611),INDEX(РАБОТЫ!$U$2:$U$1058,$K611),"")</f>
        <v/>
      </c>
      <c r="B611" t="str">
        <f>IF(ISNUMBER($K611),INDEX(РАБОТЫ!$A$2:$A$1058,$K611),"")</f>
        <v/>
      </c>
      <c r="C611" s="4" t="str">
        <f>IF($L611&lt;&gt;"",INDEX(РАБОТЫ!$Z$2:$Z$1058,MATCH($L611,РАБОТЫ!$V$2:$V$1058,0)),IF(ISNUMBER($K611),INDEX(РАБОТЫ!$Y$2:$Y$1058,$K611),""))</f>
        <v/>
      </c>
      <c r="D611" t="str">
        <f>IF(ISNUMBER($K611),INDEX(РАБОТЫ!$E$2:$E$1058,$K611),"")</f>
        <v/>
      </c>
      <c r="E611" t="str">
        <f>IF(ISNUMBER($K611),INDEX(РАБОТЫ!$M$2:$M$1058,$K611),"")</f>
        <v/>
      </c>
      <c r="F611" s="7" t="str">
        <f>IF(ISNUMBER($K611),INDEX(РАБОТЫ!$S$2:$S$1058,$K611),"")</f>
        <v/>
      </c>
      <c r="G611" s="7" t="str">
        <f>IF(ISNUMBER($K611),INDEX(РАБОТЫ!$T$2:$T$1058,$K611),"")</f>
        <v/>
      </c>
      <c r="H611" s="7" t="str">
        <f t="shared" si="36"/>
        <v/>
      </c>
      <c r="I611" s="7" t="str">
        <f t="shared" si="37"/>
        <v/>
      </c>
      <c r="J611" s="7" t="str">
        <f t="shared" si="38"/>
        <v/>
      </c>
      <c r="K611" t="str">
        <f>IFERROR(MATCH(590,РАБОТЫ!$X$2:$X$1058,0),"")</f>
        <v/>
      </c>
      <c r="L611" t="str">
        <f>IFERROR(IF(INDEX(РАБОТЫ!$W$2:$W$1058,MATCH(590+1,РАБОТЫ!$X$2:$X$1058,0))=1,INDEX(РАБОТЫ!$V$2:$V$1058,MATCH(590+1,РАБОТЫ!$X$2:$X$1058,0)),""),"")</f>
        <v/>
      </c>
      <c r="M611" t="str">
        <f t="shared" si="39"/>
        <v/>
      </c>
    </row>
    <row r="612" spans="1:13" hidden="1" x14ac:dyDescent="0.3">
      <c r="A612" t="str">
        <f>IF(ISNUMBER($K612),INDEX(РАБОТЫ!$U$2:$U$1058,$K612),"")</f>
        <v/>
      </c>
      <c r="B612" t="str">
        <f>IF(ISNUMBER($K612),INDEX(РАБОТЫ!$A$2:$A$1058,$K612),"")</f>
        <v/>
      </c>
      <c r="C612" s="4" t="str">
        <f>IF($L612&lt;&gt;"",INDEX(РАБОТЫ!$Z$2:$Z$1058,MATCH($L612,РАБОТЫ!$V$2:$V$1058,0)),IF(ISNUMBER($K612),INDEX(РАБОТЫ!$Y$2:$Y$1058,$K612),""))</f>
        <v/>
      </c>
      <c r="D612" t="str">
        <f>IF(ISNUMBER($K612),INDEX(РАБОТЫ!$E$2:$E$1058,$K612),"")</f>
        <v/>
      </c>
      <c r="E612" t="str">
        <f>IF(ISNUMBER($K612),INDEX(РАБОТЫ!$M$2:$M$1058,$K612),"")</f>
        <v/>
      </c>
      <c r="F612" s="7" t="str">
        <f>IF(ISNUMBER($K612),INDEX(РАБОТЫ!$S$2:$S$1058,$K612),"")</f>
        <v/>
      </c>
      <c r="G612" s="7" t="str">
        <f>IF(ISNUMBER($K612),INDEX(РАБОТЫ!$T$2:$T$1058,$K612),"")</f>
        <v/>
      </c>
      <c r="H612" s="7" t="str">
        <f t="shared" si="36"/>
        <v/>
      </c>
      <c r="I612" s="7" t="str">
        <f t="shared" si="37"/>
        <v/>
      </c>
      <c r="J612" s="7" t="str">
        <f t="shared" si="38"/>
        <v/>
      </c>
      <c r="K612" t="str">
        <f>IFERROR(MATCH(591,РАБОТЫ!$X$2:$X$1058,0),"")</f>
        <v/>
      </c>
      <c r="L612" t="str">
        <f>IFERROR(IF(INDEX(РАБОТЫ!$W$2:$W$1058,MATCH(591+1,РАБОТЫ!$X$2:$X$1058,0))=1,INDEX(РАБОТЫ!$V$2:$V$1058,MATCH(591+1,РАБОТЫ!$X$2:$X$1058,0)),""),"")</f>
        <v/>
      </c>
      <c r="M612" t="str">
        <f t="shared" si="39"/>
        <v/>
      </c>
    </row>
    <row r="613" spans="1:13" hidden="1" x14ac:dyDescent="0.3">
      <c r="A613" t="str">
        <f>IF(ISNUMBER($K613),INDEX(РАБОТЫ!$U$2:$U$1058,$K613),"")</f>
        <v/>
      </c>
      <c r="B613" t="str">
        <f>IF(ISNUMBER($K613),INDEX(РАБОТЫ!$A$2:$A$1058,$K613),"")</f>
        <v/>
      </c>
      <c r="C613" s="4" t="str">
        <f>IF($L613&lt;&gt;"",INDEX(РАБОТЫ!$Z$2:$Z$1058,MATCH($L613,РАБОТЫ!$V$2:$V$1058,0)),IF(ISNUMBER($K613),INDEX(РАБОТЫ!$Y$2:$Y$1058,$K613),""))</f>
        <v/>
      </c>
      <c r="D613" t="str">
        <f>IF(ISNUMBER($K613),INDEX(РАБОТЫ!$E$2:$E$1058,$K613),"")</f>
        <v/>
      </c>
      <c r="E613" t="str">
        <f>IF(ISNUMBER($K613),INDEX(РАБОТЫ!$M$2:$M$1058,$K613),"")</f>
        <v/>
      </c>
      <c r="F613" s="7" t="str">
        <f>IF(ISNUMBER($K613),INDEX(РАБОТЫ!$S$2:$S$1058,$K613),"")</f>
        <v/>
      </c>
      <c r="G613" s="7" t="str">
        <f>IF(ISNUMBER($K613),INDEX(РАБОТЫ!$T$2:$T$1058,$K613),"")</f>
        <v/>
      </c>
      <c r="H613" s="7" t="str">
        <f t="shared" si="36"/>
        <v/>
      </c>
      <c r="I613" s="7" t="str">
        <f t="shared" si="37"/>
        <v/>
      </c>
      <c r="J613" s="7" t="str">
        <f t="shared" si="38"/>
        <v/>
      </c>
      <c r="K613" t="str">
        <f>IFERROR(MATCH(592,РАБОТЫ!$X$2:$X$1058,0),"")</f>
        <v/>
      </c>
      <c r="L613" t="str">
        <f>IFERROR(IF(INDEX(РАБОТЫ!$W$2:$W$1058,MATCH(592+1,РАБОТЫ!$X$2:$X$1058,0))=1,INDEX(РАБОТЫ!$V$2:$V$1058,MATCH(592+1,РАБОТЫ!$X$2:$X$1058,0)),""),"")</f>
        <v/>
      </c>
      <c r="M613" t="str">
        <f t="shared" si="39"/>
        <v/>
      </c>
    </row>
    <row r="614" spans="1:13" hidden="1" x14ac:dyDescent="0.3">
      <c r="A614" t="str">
        <f>IF(ISNUMBER($K614),INDEX(РАБОТЫ!$U$2:$U$1058,$K614),"")</f>
        <v/>
      </c>
      <c r="B614" t="str">
        <f>IF(ISNUMBER($K614),INDEX(РАБОТЫ!$A$2:$A$1058,$K614),"")</f>
        <v/>
      </c>
      <c r="C614" s="4" t="str">
        <f>IF($L614&lt;&gt;"",INDEX(РАБОТЫ!$Z$2:$Z$1058,MATCH($L614,РАБОТЫ!$V$2:$V$1058,0)),IF(ISNUMBER($K614),INDEX(РАБОТЫ!$Y$2:$Y$1058,$K614),""))</f>
        <v/>
      </c>
      <c r="D614" t="str">
        <f>IF(ISNUMBER($K614),INDEX(РАБОТЫ!$E$2:$E$1058,$K614),"")</f>
        <v/>
      </c>
      <c r="E614" t="str">
        <f>IF(ISNUMBER($K614),INDEX(РАБОТЫ!$M$2:$M$1058,$K614),"")</f>
        <v/>
      </c>
      <c r="F614" s="7" t="str">
        <f>IF(ISNUMBER($K614),INDEX(РАБОТЫ!$S$2:$S$1058,$K614),"")</f>
        <v/>
      </c>
      <c r="G614" s="7" t="str">
        <f>IF(ISNUMBER($K614),INDEX(РАБОТЫ!$T$2:$T$1058,$K614),"")</f>
        <v/>
      </c>
      <c r="H614" s="7" t="str">
        <f t="shared" si="36"/>
        <v/>
      </c>
      <c r="I614" s="7" t="str">
        <f t="shared" si="37"/>
        <v/>
      </c>
      <c r="J614" s="7" t="str">
        <f t="shared" si="38"/>
        <v/>
      </c>
      <c r="K614" t="str">
        <f>IFERROR(MATCH(593,РАБОТЫ!$X$2:$X$1058,0),"")</f>
        <v/>
      </c>
      <c r="L614" t="str">
        <f>IFERROR(IF(INDEX(РАБОТЫ!$W$2:$W$1058,MATCH(593+1,РАБОТЫ!$X$2:$X$1058,0))=1,INDEX(РАБОТЫ!$V$2:$V$1058,MATCH(593+1,РАБОТЫ!$X$2:$X$1058,0)),""),"")</f>
        <v/>
      </c>
      <c r="M614" t="str">
        <f t="shared" si="39"/>
        <v/>
      </c>
    </row>
    <row r="615" spans="1:13" hidden="1" x14ac:dyDescent="0.3">
      <c r="A615" t="str">
        <f>IF(ISNUMBER($K615),INDEX(РАБОТЫ!$U$2:$U$1058,$K615),"")</f>
        <v/>
      </c>
      <c r="B615" t="str">
        <f>IF(ISNUMBER($K615),INDEX(РАБОТЫ!$A$2:$A$1058,$K615),"")</f>
        <v/>
      </c>
      <c r="C615" s="4" t="str">
        <f>IF($L615&lt;&gt;"",INDEX(РАБОТЫ!$Z$2:$Z$1058,MATCH($L615,РАБОТЫ!$V$2:$V$1058,0)),IF(ISNUMBER($K615),INDEX(РАБОТЫ!$Y$2:$Y$1058,$K615),""))</f>
        <v/>
      </c>
      <c r="D615" t="str">
        <f>IF(ISNUMBER($K615),INDEX(РАБОТЫ!$E$2:$E$1058,$K615),"")</f>
        <v/>
      </c>
      <c r="E615" t="str">
        <f>IF(ISNUMBER($K615),INDEX(РАБОТЫ!$M$2:$M$1058,$K615),"")</f>
        <v/>
      </c>
      <c r="F615" s="7" t="str">
        <f>IF(ISNUMBER($K615),INDEX(РАБОТЫ!$S$2:$S$1058,$K615),"")</f>
        <v/>
      </c>
      <c r="G615" s="7" t="str">
        <f>IF(ISNUMBER($K615),INDEX(РАБОТЫ!$T$2:$T$1058,$K615),"")</f>
        <v/>
      </c>
      <c r="H615" s="7" t="str">
        <f t="shared" si="36"/>
        <v/>
      </c>
      <c r="I615" s="7" t="str">
        <f t="shared" si="37"/>
        <v/>
      </c>
      <c r="J615" s="7" t="str">
        <f t="shared" si="38"/>
        <v/>
      </c>
      <c r="K615" t="str">
        <f>IFERROR(MATCH(594,РАБОТЫ!$X$2:$X$1058,0),"")</f>
        <v/>
      </c>
      <c r="L615" t="str">
        <f>IFERROR(IF(INDEX(РАБОТЫ!$W$2:$W$1058,MATCH(594+1,РАБОТЫ!$X$2:$X$1058,0))=1,INDEX(РАБОТЫ!$V$2:$V$1058,MATCH(594+1,РАБОТЫ!$X$2:$X$1058,0)),""),"")</f>
        <v/>
      </c>
      <c r="M615" t="str">
        <f t="shared" si="39"/>
        <v/>
      </c>
    </row>
    <row r="616" spans="1:13" hidden="1" x14ac:dyDescent="0.3">
      <c r="A616" t="str">
        <f>IF(ISNUMBER($K616),INDEX(РАБОТЫ!$U$2:$U$1058,$K616),"")</f>
        <v/>
      </c>
      <c r="B616" t="str">
        <f>IF(ISNUMBER($K616),INDEX(РАБОТЫ!$A$2:$A$1058,$K616),"")</f>
        <v/>
      </c>
      <c r="C616" s="4" t="str">
        <f>IF($L616&lt;&gt;"",INDEX(РАБОТЫ!$Z$2:$Z$1058,MATCH($L616,РАБОТЫ!$V$2:$V$1058,0)),IF(ISNUMBER($K616),INDEX(РАБОТЫ!$Y$2:$Y$1058,$K616),""))</f>
        <v/>
      </c>
      <c r="D616" t="str">
        <f>IF(ISNUMBER($K616),INDEX(РАБОТЫ!$E$2:$E$1058,$K616),"")</f>
        <v/>
      </c>
      <c r="E616" t="str">
        <f>IF(ISNUMBER($K616),INDEX(РАБОТЫ!$M$2:$M$1058,$K616),"")</f>
        <v/>
      </c>
      <c r="F616" s="7" t="str">
        <f>IF(ISNUMBER($K616),INDEX(РАБОТЫ!$S$2:$S$1058,$K616),"")</f>
        <v/>
      </c>
      <c r="G616" s="7" t="str">
        <f>IF(ISNUMBER($K616),INDEX(РАБОТЫ!$T$2:$T$1058,$K616),"")</f>
        <v/>
      </c>
      <c r="H616" s="7" t="str">
        <f t="shared" si="36"/>
        <v/>
      </c>
      <c r="I616" s="7" t="str">
        <f t="shared" si="37"/>
        <v/>
      </c>
      <c r="J616" s="7" t="str">
        <f t="shared" si="38"/>
        <v/>
      </c>
      <c r="K616" t="str">
        <f>IFERROR(MATCH(595,РАБОТЫ!$X$2:$X$1058,0),"")</f>
        <v/>
      </c>
      <c r="L616" t="str">
        <f>IFERROR(IF(INDEX(РАБОТЫ!$W$2:$W$1058,MATCH(595+1,РАБОТЫ!$X$2:$X$1058,0))=1,INDEX(РАБОТЫ!$V$2:$V$1058,MATCH(595+1,РАБОТЫ!$X$2:$X$1058,0)),""),"")</f>
        <v/>
      </c>
      <c r="M616" t="str">
        <f t="shared" si="39"/>
        <v/>
      </c>
    </row>
    <row r="617" spans="1:13" hidden="1" x14ac:dyDescent="0.3">
      <c r="A617" t="str">
        <f>IF(ISNUMBER($K617),INDEX(РАБОТЫ!$U$2:$U$1058,$K617),"")</f>
        <v/>
      </c>
      <c r="B617" t="str">
        <f>IF(ISNUMBER($K617),INDEX(РАБОТЫ!$A$2:$A$1058,$K617),"")</f>
        <v/>
      </c>
      <c r="C617" s="4" t="str">
        <f>IF($L617&lt;&gt;"",INDEX(РАБОТЫ!$Z$2:$Z$1058,MATCH($L617,РАБОТЫ!$V$2:$V$1058,0)),IF(ISNUMBER($K617),INDEX(РАБОТЫ!$Y$2:$Y$1058,$K617),""))</f>
        <v/>
      </c>
      <c r="D617" t="str">
        <f>IF(ISNUMBER($K617),INDEX(РАБОТЫ!$E$2:$E$1058,$K617),"")</f>
        <v/>
      </c>
      <c r="E617" t="str">
        <f>IF(ISNUMBER($K617),INDEX(РАБОТЫ!$M$2:$M$1058,$K617),"")</f>
        <v/>
      </c>
      <c r="F617" s="7" t="str">
        <f>IF(ISNUMBER($K617),INDEX(РАБОТЫ!$S$2:$S$1058,$K617),"")</f>
        <v/>
      </c>
      <c r="G617" s="7" t="str">
        <f>IF(ISNUMBER($K617),INDEX(РАБОТЫ!$T$2:$T$1058,$K617),"")</f>
        <v/>
      </c>
      <c r="H617" s="7" t="str">
        <f t="shared" si="36"/>
        <v/>
      </c>
      <c r="I617" s="7" t="str">
        <f t="shared" si="37"/>
        <v/>
      </c>
      <c r="J617" s="7" t="str">
        <f t="shared" si="38"/>
        <v/>
      </c>
      <c r="K617" t="str">
        <f>IFERROR(MATCH(596,РАБОТЫ!$X$2:$X$1058,0),"")</f>
        <v/>
      </c>
      <c r="L617" t="str">
        <f>IFERROR(IF(INDEX(РАБОТЫ!$W$2:$W$1058,MATCH(596+1,РАБОТЫ!$X$2:$X$1058,0))=1,INDEX(РАБОТЫ!$V$2:$V$1058,MATCH(596+1,РАБОТЫ!$X$2:$X$1058,0)),""),"")</f>
        <v/>
      </c>
      <c r="M617" t="str">
        <f t="shared" si="39"/>
        <v/>
      </c>
    </row>
    <row r="618" spans="1:13" hidden="1" x14ac:dyDescent="0.3">
      <c r="A618" t="str">
        <f>IF(ISNUMBER($K618),INDEX(РАБОТЫ!$U$2:$U$1058,$K618),"")</f>
        <v/>
      </c>
      <c r="B618" t="str">
        <f>IF(ISNUMBER($K618),INDEX(РАБОТЫ!$A$2:$A$1058,$K618),"")</f>
        <v/>
      </c>
      <c r="C618" s="4" t="str">
        <f>IF($L618&lt;&gt;"",INDEX(РАБОТЫ!$Z$2:$Z$1058,MATCH($L618,РАБОТЫ!$V$2:$V$1058,0)),IF(ISNUMBER($K618),INDEX(РАБОТЫ!$Y$2:$Y$1058,$K618),""))</f>
        <v/>
      </c>
      <c r="D618" t="str">
        <f>IF(ISNUMBER($K618),INDEX(РАБОТЫ!$E$2:$E$1058,$K618),"")</f>
        <v/>
      </c>
      <c r="E618" t="str">
        <f>IF(ISNUMBER($K618),INDEX(РАБОТЫ!$M$2:$M$1058,$K618),"")</f>
        <v/>
      </c>
      <c r="F618" s="7" t="str">
        <f>IF(ISNUMBER($K618),INDEX(РАБОТЫ!$S$2:$S$1058,$K618),"")</f>
        <v/>
      </c>
      <c r="G618" s="7" t="str">
        <f>IF(ISNUMBER($K618),INDEX(РАБОТЫ!$T$2:$T$1058,$K618),"")</f>
        <v/>
      </c>
      <c r="H618" s="7" t="str">
        <f t="shared" si="36"/>
        <v/>
      </c>
      <c r="I618" s="7" t="str">
        <f t="shared" si="37"/>
        <v/>
      </c>
      <c r="J618" s="7" t="str">
        <f t="shared" si="38"/>
        <v/>
      </c>
      <c r="K618" t="str">
        <f>IFERROR(MATCH(597,РАБОТЫ!$X$2:$X$1058,0),"")</f>
        <v/>
      </c>
      <c r="L618" t="str">
        <f>IFERROR(IF(INDEX(РАБОТЫ!$W$2:$W$1058,MATCH(597+1,РАБОТЫ!$X$2:$X$1058,0))=1,INDEX(РАБОТЫ!$V$2:$V$1058,MATCH(597+1,РАБОТЫ!$X$2:$X$1058,0)),""),"")</f>
        <v/>
      </c>
      <c r="M618" t="str">
        <f t="shared" si="39"/>
        <v/>
      </c>
    </row>
    <row r="619" spans="1:13" hidden="1" x14ac:dyDescent="0.3">
      <c r="A619" t="str">
        <f>IF(ISNUMBER($K619),INDEX(РАБОТЫ!$U$2:$U$1058,$K619),"")</f>
        <v/>
      </c>
      <c r="B619" t="str">
        <f>IF(ISNUMBER($K619),INDEX(РАБОТЫ!$A$2:$A$1058,$K619),"")</f>
        <v/>
      </c>
      <c r="C619" s="4" t="str">
        <f>IF($L619&lt;&gt;"",INDEX(РАБОТЫ!$Z$2:$Z$1058,MATCH($L619,РАБОТЫ!$V$2:$V$1058,0)),IF(ISNUMBER($K619),INDEX(РАБОТЫ!$Y$2:$Y$1058,$K619),""))</f>
        <v/>
      </c>
      <c r="D619" t="str">
        <f>IF(ISNUMBER($K619),INDEX(РАБОТЫ!$E$2:$E$1058,$K619),"")</f>
        <v/>
      </c>
      <c r="E619" t="str">
        <f>IF(ISNUMBER($K619),INDEX(РАБОТЫ!$M$2:$M$1058,$K619),"")</f>
        <v/>
      </c>
      <c r="F619" s="7" t="str">
        <f>IF(ISNUMBER($K619),INDEX(РАБОТЫ!$S$2:$S$1058,$K619),"")</f>
        <v/>
      </c>
      <c r="G619" s="7" t="str">
        <f>IF(ISNUMBER($K619),INDEX(РАБОТЫ!$T$2:$T$1058,$K619),"")</f>
        <v/>
      </c>
      <c r="H619" s="7" t="str">
        <f t="shared" si="36"/>
        <v/>
      </c>
      <c r="I619" s="7" t="str">
        <f t="shared" si="37"/>
        <v/>
      </c>
      <c r="J619" s="7" t="str">
        <f t="shared" si="38"/>
        <v/>
      </c>
      <c r="K619" t="str">
        <f>IFERROR(MATCH(598,РАБОТЫ!$X$2:$X$1058,0),"")</f>
        <v/>
      </c>
      <c r="L619" t="str">
        <f>IFERROR(IF(INDEX(РАБОТЫ!$W$2:$W$1058,MATCH(598+1,РАБОТЫ!$X$2:$X$1058,0))=1,INDEX(РАБОТЫ!$V$2:$V$1058,MATCH(598+1,РАБОТЫ!$X$2:$X$1058,0)),""),"")</f>
        <v/>
      </c>
      <c r="M619" t="str">
        <f t="shared" si="39"/>
        <v/>
      </c>
    </row>
    <row r="620" spans="1:13" hidden="1" x14ac:dyDescent="0.3">
      <c r="A620" t="str">
        <f>IF(ISNUMBER($K620),INDEX(РАБОТЫ!$U$2:$U$1058,$K620),"")</f>
        <v/>
      </c>
      <c r="B620" t="str">
        <f>IF(ISNUMBER($K620),INDEX(РАБОТЫ!$A$2:$A$1058,$K620),"")</f>
        <v/>
      </c>
      <c r="C620" s="4" t="str">
        <f>IF($L620&lt;&gt;"",INDEX(РАБОТЫ!$Z$2:$Z$1058,MATCH($L620,РАБОТЫ!$V$2:$V$1058,0)),IF(ISNUMBER($K620),INDEX(РАБОТЫ!$Y$2:$Y$1058,$K620),""))</f>
        <v/>
      </c>
      <c r="D620" t="str">
        <f>IF(ISNUMBER($K620),INDEX(РАБОТЫ!$E$2:$E$1058,$K620),"")</f>
        <v/>
      </c>
      <c r="E620" t="str">
        <f>IF(ISNUMBER($K620),INDEX(РАБОТЫ!$M$2:$M$1058,$K620),"")</f>
        <v/>
      </c>
      <c r="F620" s="7" t="str">
        <f>IF(ISNUMBER($K620),INDEX(РАБОТЫ!$S$2:$S$1058,$K620),"")</f>
        <v/>
      </c>
      <c r="G620" s="7" t="str">
        <f>IF(ISNUMBER($K620),INDEX(РАБОТЫ!$T$2:$T$1058,$K620),"")</f>
        <v/>
      </c>
      <c r="H620" s="7" t="str">
        <f t="shared" si="36"/>
        <v/>
      </c>
      <c r="I620" s="7" t="str">
        <f t="shared" si="37"/>
        <v/>
      </c>
      <c r="J620" s="7" t="str">
        <f t="shared" si="38"/>
        <v/>
      </c>
      <c r="K620" t="str">
        <f>IFERROR(MATCH(599,РАБОТЫ!$X$2:$X$1058,0),"")</f>
        <v/>
      </c>
      <c r="L620" t="str">
        <f>IFERROR(IF(INDEX(РАБОТЫ!$W$2:$W$1058,MATCH(599+1,РАБОТЫ!$X$2:$X$1058,0))=1,INDEX(РАБОТЫ!$V$2:$V$1058,MATCH(599+1,РАБОТЫ!$X$2:$X$1058,0)),""),"")</f>
        <v/>
      </c>
      <c r="M620" t="str">
        <f t="shared" si="39"/>
        <v/>
      </c>
    </row>
    <row r="621" spans="1:13" hidden="1" x14ac:dyDescent="0.3">
      <c r="A621" t="str">
        <f>IF(ISNUMBER($K621),INDEX(РАБОТЫ!$U$2:$U$1058,$K621),"")</f>
        <v/>
      </c>
      <c r="B621" t="str">
        <f>IF(ISNUMBER($K621),INDEX(РАБОТЫ!$A$2:$A$1058,$K621),"")</f>
        <v/>
      </c>
      <c r="C621" s="4" t="str">
        <f>IF($L621&lt;&gt;"",INDEX(РАБОТЫ!$Z$2:$Z$1058,MATCH($L621,РАБОТЫ!$V$2:$V$1058,0)),IF(ISNUMBER($K621),INDEX(РАБОТЫ!$Y$2:$Y$1058,$K621),""))</f>
        <v/>
      </c>
      <c r="D621" t="str">
        <f>IF(ISNUMBER($K621),INDEX(РАБОТЫ!$E$2:$E$1058,$K621),"")</f>
        <v/>
      </c>
      <c r="E621" t="str">
        <f>IF(ISNUMBER($K621),INDEX(РАБОТЫ!$M$2:$M$1058,$K621),"")</f>
        <v/>
      </c>
      <c r="F621" s="7" t="str">
        <f>IF(ISNUMBER($K621),INDEX(РАБОТЫ!$S$2:$S$1058,$K621),"")</f>
        <v/>
      </c>
      <c r="G621" s="7" t="str">
        <f>IF(ISNUMBER($K621),INDEX(РАБОТЫ!$T$2:$T$1058,$K621),"")</f>
        <v/>
      </c>
      <c r="H621" s="7" t="str">
        <f t="shared" si="36"/>
        <v/>
      </c>
      <c r="I621" s="7" t="str">
        <f t="shared" si="37"/>
        <v/>
      </c>
      <c r="J621" s="7" t="str">
        <f t="shared" si="38"/>
        <v/>
      </c>
      <c r="K621" t="str">
        <f>IFERROR(MATCH(600,РАБОТЫ!$X$2:$X$1058,0),"")</f>
        <v/>
      </c>
      <c r="L621" t="str">
        <f>IFERROR(IF(INDEX(РАБОТЫ!$W$2:$W$1058,MATCH(600+1,РАБОТЫ!$X$2:$X$1058,0))=1,INDEX(РАБОТЫ!$V$2:$V$1058,MATCH(600+1,РАБОТЫ!$X$2:$X$1058,0)),""),"")</f>
        <v/>
      </c>
      <c r="M621" t="str">
        <f t="shared" si="39"/>
        <v/>
      </c>
    </row>
    <row r="622" spans="1:13" hidden="1" x14ac:dyDescent="0.3">
      <c r="A622" t="str">
        <f>IF(ISNUMBER($K622),INDEX(РАБОТЫ!$U$2:$U$1058,$K622),"")</f>
        <v/>
      </c>
      <c r="B622" t="str">
        <f>IF(ISNUMBER($K622),INDEX(РАБОТЫ!$A$2:$A$1058,$K622),"")</f>
        <v/>
      </c>
      <c r="C622" s="4" t="str">
        <f>IF($L622&lt;&gt;"",INDEX(РАБОТЫ!$Z$2:$Z$1058,MATCH($L622,РАБОТЫ!$V$2:$V$1058,0)),IF(ISNUMBER($K622),INDEX(РАБОТЫ!$Y$2:$Y$1058,$K622),""))</f>
        <v/>
      </c>
      <c r="D622" t="str">
        <f>IF(ISNUMBER($K622),INDEX(РАБОТЫ!$E$2:$E$1058,$K622),"")</f>
        <v/>
      </c>
      <c r="E622" t="str">
        <f>IF(ISNUMBER($K622),INDEX(РАБОТЫ!$M$2:$M$1058,$K622),"")</f>
        <v/>
      </c>
      <c r="F622" s="7" t="str">
        <f>IF(ISNUMBER($K622),INDEX(РАБОТЫ!$S$2:$S$1058,$K622),"")</f>
        <v/>
      </c>
      <c r="G622" s="7" t="str">
        <f>IF(ISNUMBER($K622),INDEX(РАБОТЫ!$T$2:$T$1058,$K622),"")</f>
        <v/>
      </c>
      <c r="H622" s="7" t="str">
        <f t="shared" si="36"/>
        <v/>
      </c>
      <c r="I622" s="7" t="str">
        <f t="shared" si="37"/>
        <v/>
      </c>
      <c r="J622" s="7" t="str">
        <f t="shared" si="38"/>
        <v/>
      </c>
      <c r="K622" t="str">
        <f>IFERROR(MATCH(601,РАБОТЫ!$X$2:$X$1058,0),"")</f>
        <v/>
      </c>
      <c r="L622" t="str">
        <f>IFERROR(IF(INDEX(РАБОТЫ!$W$2:$W$1058,MATCH(601+1,РАБОТЫ!$X$2:$X$1058,0))=1,INDEX(РАБОТЫ!$V$2:$V$1058,MATCH(601+1,РАБОТЫ!$X$2:$X$1058,0)),""),"")</f>
        <v/>
      </c>
      <c r="M622" t="str">
        <f t="shared" si="39"/>
        <v/>
      </c>
    </row>
    <row r="623" spans="1:13" hidden="1" x14ac:dyDescent="0.3">
      <c r="A623" t="str">
        <f>IF(ISNUMBER($K623),INDEX(РАБОТЫ!$U$2:$U$1058,$K623),"")</f>
        <v/>
      </c>
      <c r="B623" t="str">
        <f>IF(ISNUMBER($K623),INDEX(РАБОТЫ!$A$2:$A$1058,$K623),"")</f>
        <v/>
      </c>
      <c r="C623" s="4" t="str">
        <f>IF($L623&lt;&gt;"",INDEX(РАБОТЫ!$Z$2:$Z$1058,MATCH($L623,РАБОТЫ!$V$2:$V$1058,0)),IF(ISNUMBER($K623),INDEX(РАБОТЫ!$Y$2:$Y$1058,$K623),""))</f>
        <v/>
      </c>
      <c r="D623" t="str">
        <f>IF(ISNUMBER($K623),INDEX(РАБОТЫ!$E$2:$E$1058,$K623),"")</f>
        <v/>
      </c>
      <c r="E623" t="str">
        <f>IF(ISNUMBER($K623),INDEX(РАБОТЫ!$M$2:$M$1058,$K623),"")</f>
        <v/>
      </c>
      <c r="F623" s="7" t="str">
        <f>IF(ISNUMBER($K623),INDEX(РАБОТЫ!$S$2:$S$1058,$K623),"")</f>
        <v/>
      </c>
      <c r="G623" s="7" t="str">
        <f>IF(ISNUMBER($K623),INDEX(РАБОТЫ!$T$2:$T$1058,$K623),"")</f>
        <v/>
      </c>
      <c r="H623" s="7" t="str">
        <f t="shared" si="36"/>
        <v/>
      </c>
      <c r="I623" s="7" t="str">
        <f t="shared" si="37"/>
        <v/>
      </c>
      <c r="J623" s="7" t="str">
        <f t="shared" si="38"/>
        <v/>
      </c>
      <c r="K623" t="str">
        <f>IFERROR(MATCH(602,РАБОТЫ!$X$2:$X$1058,0),"")</f>
        <v/>
      </c>
      <c r="L623" t="str">
        <f>IFERROR(IF(INDEX(РАБОТЫ!$W$2:$W$1058,MATCH(602+1,РАБОТЫ!$X$2:$X$1058,0))=1,INDEX(РАБОТЫ!$V$2:$V$1058,MATCH(602+1,РАБОТЫ!$X$2:$X$1058,0)),""),"")</f>
        <v/>
      </c>
      <c r="M623" t="str">
        <f t="shared" si="39"/>
        <v/>
      </c>
    </row>
    <row r="624" spans="1:13" hidden="1" x14ac:dyDescent="0.3">
      <c r="A624" t="str">
        <f>IF(ISNUMBER($K624),INDEX(РАБОТЫ!$U$2:$U$1058,$K624),"")</f>
        <v/>
      </c>
      <c r="B624" t="str">
        <f>IF(ISNUMBER($K624),INDEX(РАБОТЫ!$A$2:$A$1058,$K624),"")</f>
        <v/>
      </c>
      <c r="C624" s="4" t="str">
        <f>IF($L624&lt;&gt;"",INDEX(РАБОТЫ!$Z$2:$Z$1058,MATCH($L624,РАБОТЫ!$V$2:$V$1058,0)),IF(ISNUMBER($K624),INDEX(РАБОТЫ!$Y$2:$Y$1058,$K624),""))</f>
        <v/>
      </c>
      <c r="D624" t="str">
        <f>IF(ISNUMBER($K624),INDEX(РАБОТЫ!$E$2:$E$1058,$K624),"")</f>
        <v/>
      </c>
      <c r="E624" t="str">
        <f>IF(ISNUMBER($K624),INDEX(РАБОТЫ!$M$2:$M$1058,$K624),"")</f>
        <v/>
      </c>
      <c r="F624" s="7" t="str">
        <f>IF(ISNUMBER($K624),INDEX(РАБОТЫ!$S$2:$S$1058,$K624),"")</f>
        <v/>
      </c>
      <c r="G624" s="7" t="str">
        <f>IF(ISNUMBER($K624),INDEX(РАБОТЫ!$T$2:$T$1058,$K624),"")</f>
        <v/>
      </c>
      <c r="H624" s="7" t="str">
        <f t="shared" si="36"/>
        <v/>
      </c>
      <c r="I624" s="7" t="str">
        <f t="shared" si="37"/>
        <v/>
      </c>
      <c r="J624" s="7" t="str">
        <f t="shared" si="38"/>
        <v/>
      </c>
      <c r="K624" t="str">
        <f>IFERROR(MATCH(603,РАБОТЫ!$X$2:$X$1058,0),"")</f>
        <v/>
      </c>
      <c r="L624" t="str">
        <f>IFERROR(IF(INDEX(РАБОТЫ!$W$2:$W$1058,MATCH(603+1,РАБОТЫ!$X$2:$X$1058,0))=1,INDEX(РАБОТЫ!$V$2:$V$1058,MATCH(603+1,РАБОТЫ!$X$2:$X$1058,0)),""),"")</f>
        <v/>
      </c>
      <c r="M624" t="str">
        <f t="shared" si="39"/>
        <v/>
      </c>
    </row>
    <row r="625" spans="1:13" hidden="1" x14ac:dyDescent="0.3">
      <c r="A625" t="str">
        <f>IF(ISNUMBER($K625),INDEX(РАБОТЫ!$U$2:$U$1058,$K625),"")</f>
        <v/>
      </c>
      <c r="B625" t="str">
        <f>IF(ISNUMBER($K625),INDEX(РАБОТЫ!$A$2:$A$1058,$K625),"")</f>
        <v/>
      </c>
      <c r="C625" s="4" t="str">
        <f>IF($L625&lt;&gt;"",INDEX(РАБОТЫ!$Z$2:$Z$1058,MATCH($L625,РАБОТЫ!$V$2:$V$1058,0)),IF(ISNUMBER($K625),INDEX(РАБОТЫ!$Y$2:$Y$1058,$K625),""))</f>
        <v/>
      </c>
      <c r="D625" t="str">
        <f>IF(ISNUMBER($K625),INDEX(РАБОТЫ!$E$2:$E$1058,$K625),"")</f>
        <v/>
      </c>
      <c r="E625" t="str">
        <f>IF(ISNUMBER($K625),INDEX(РАБОТЫ!$M$2:$M$1058,$K625),"")</f>
        <v/>
      </c>
      <c r="F625" s="7" t="str">
        <f>IF(ISNUMBER($K625),INDEX(РАБОТЫ!$S$2:$S$1058,$K625),"")</f>
        <v/>
      </c>
      <c r="G625" s="7" t="str">
        <f>IF(ISNUMBER($K625),INDEX(РАБОТЫ!$T$2:$T$1058,$K625),"")</f>
        <v/>
      </c>
      <c r="H625" s="7" t="str">
        <f t="shared" si="36"/>
        <v/>
      </c>
      <c r="I625" s="7" t="str">
        <f t="shared" si="37"/>
        <v/>
      </c>
      <c r="J625" s="7" t="str">
        <f t="shared" si="38"/>
        <v/>
      </c>
      <c r="K625" t="str">
        <f>IFERROR(MATCH(604,РАБОТЫ!$X$2:$X$1058,0),"")</f>
        <v/>
      </c>
      <c r="L625" t="str">
        <f>IFERROR(IF(INDEX(РАБОТЫ!$W$2:$W$1058,MATCH(604+1,РАБОТЫ!$X$2:$X$1058,0))=1,INDEX(РАБОТЫ!$V$2:$V$1058,MATCH(604+1,РАБОТЫ!$X$2:$X$1058,0)),""),"")</f>
        <v/>
      </c>
      <c r="M625" t="str">
        <f t="shared" si="39"/>
        <v/>
      </c>
    </row>
    <row r="626" spans="1:13" hidden="1" x14ac:dyDescent="0.3">
      <c r="A626" t="str">
        <f>IF(ISNUMBER($K626),INDEX(РАБОТЫ!$U$2:$U$1058,$K626),"")</f>
        <v/>
      </c>
      <c r="B626" t="str">
        <f>IF(ISNUMBER($K626),INDEX(РАБОТЫ!$A$2:$A$1058,$K626),"")</f>
        <v/>
      </c>
      <c r="C626" s="4" t="str">
        <f>IF($L626&lt;&gt;"",INDEX(РАБОТЫ!$Z$2:$Z$1058,MATCH($L626,РАБОТЫ!$V$2:$V$1058,0)),IF(ISNUMBER($K626),INDEX(РАБОТЫ!$Y$2:$Y$1058,$K626),""))</f>
        <v/>
      </c>
      <c r="D626" t="str">
        <f>IF(ISNUMBER($K626),INDEX(РАБОТЫ!$E$2:$E$1058,$K626),"")</f>
        <v/>
      </c>
      <c r="E626" t="str">
        <f>IF(ISNUMBER($K626),INDEX(РАБОТЫ!$M$2:$M$1058,$K626),"")</f>
        <v/>
      </c>
      <c r="F626" s="7" t="str">
        <f>IF(ISNUMBER($K626),INDEX(РАБОТЫ!$S$2:$S$1058,$K626),"")</f>
        <v/>
      </c>
      <c r="G626" s="7" t="str">
        <f>IF(ISNUMBER($K626),INDEX(РАБОТЫ!$T$2:$T$1058,$K626),"")</f>
        <v/>
      </c>
      <c r="H626" s="7" t="str">
        <f t="shared" si="36"/>
        <v/>
      </c>
      <c r="I626" s="7" t="str">
        <f t="shared" si="37"/>
        <v/>
      </c>
      <c r="J626" s="7" t="str">
        <f t="shared" si="38"/>
        <v/>
      </c>
      <c r="K626" t="str">
        <f>IFERROR(MATCH(605,РАБОТЫ!$X$2:$X$1058,0),"")</f>
        <v/>
      </c>
      <c r="L626" t="str">
        <f>IFERROR(IF(INDEX(РАБОТЫ!$W$2:$W$1058,MATCH(605+1,РАБОТЫ!$X$2:$X$1058,0))=1,INDEX(РАБОТЫ!$V$2:$V$1058,MATCH(605+1,РАБОТЫ!$X$2:$X$1058,0)),""),"")</f>
        <v/>
      </c>
      <c r="M626" t="str">
        <f t="shared" si="39"/>
        <v/>
      </c>
    </row>
    <row r="627" spans="1:13" hidden="1" x14ac:dyDescent="0.3">
      <c r="A627" t="str">
        <f>IF(ISNUMBER($K627),INDEX(РАБОТЫ!$U$2:$U$1058,$K627),"")</f>
        <v/>
      </c>
      <c r="B627" t="str">
        <f>IF(ISNUMBER($K627),INDEX(РАБОТЫ!$A$2:$A$1058,$K627),"")</f>
        <v/>
      </c>
      <c r="C627" s="4" t="str">
        <f>IF($L627&lt;&gt;"",INDEX(РАБОТЫ!$Z$2:$Z$1058,MATCH($L627,РАБОТЫ!$V$2:$V$1058,0)),IF(ISNUMBER($K627),INDEX(РАБОТЫ!$Y$2:$Y$1058,$K627),""))</f>
        <v/>
      </c>
      <c r="D627" t="str">
        <f>IF(ISNUMBER($K627),INDEX(РАБОТЫ!$E$2:$E$1058,$K627),"")</f>
        <v/>
      </c>
      <c r="E627" t="str">
        <f>IF(ISNUMBER($K627),INDEX(РАБОТЫ!$M$2:$M$1058,$K627),"")</f>
        <v/>
      </c>
      <c r="F627" s="7" t="str">
        <f>IF(ISNUMBER($K627),INDEX(РАБОТЫ!$S$2:$S$1058,$K627),"")</f>
        <v/>
      </c>
      <c r="G627" s="7" t="str">
        <f>IF(ISNUMBER($K627),INDEX(РАБОТЫ!$T$2:$T$1058,$K627),"")</f>
        <v/>
      </c>
      <c r="H627" s="7" t="str">
        <f t="shared" si="36"/>
        <v/>
      </c>
      <c r="I627" s="7" t="str">
        <f t="shared" si="37"/>
        <v/>
      </c>
      <c r="J627" s="7" t="str">
        <f t="shared" si="38"/>
        <v/>
      </c>
      <c r="K627" t="str">
        <f>IFERROR(MATCH(606,РАБОТЫ!$X$2:$X$1058,0),"")</f>
        <v/>
      </c>
      <c r="L627" t="str">
        <f>IFERROR(IF(INDEX(РАБОТЫ!$W$2:$W$1058,MATCH(606+1,РАБОТЫ!$X$2:$X$1058,0))=1,INDEX(РАБОТЫ!$V$2:$V$1058,MATCH(606+1,РАБОТЫ!$X$2:$X$1058,0)),""),"")</f>
        <v/>
      </c>
      <c r="M627" t="str">
        <f t="shared" si="39"/>
        <v/>
      </c>
    </row>
    <row r="628" spans="1:13" hidden="1" x14ac:dyDescent="0.3">
      <c r="A628" t="str">
        <f>IF(ISNUMBER($K628),INDEX(РАБОТЫ!$U$2:$U$1058,$K628),"")</f>
        <v/>
      </c>
      <c r="B628" t="str">
        <f>IF(ISNUMBER($K628),INDEX(РАБОТЫ!$A$2:$A$1058,$K628),"")</f>
        <v/>
      </c>
      <c r="C628" s="4" t="str">
        <f>IF($L628&lt;&gt;"",INDEX(РАБОТЫ!$Z$2:$Z$1058,MATCH($L628,РАБОТЫ!$V$2:$V$1058,0)),IF(ISNUMBER($K628),INDEX(РАБОТЫ!$Y$2:$Y$1058,$K628),""))</f>
        <v/>
      </c>
      <c r="D628" t="str">
        <f>IF(ISNUMBER($K628),INDEX(РАБОТЫ!$E$2:$E$1058,$K628),"")</f>
        <v/>
      </c>
      <c r="E628" t="str">
        <f>IF(ISNUMBER($K628),INDEX(РАБОТЫ!$M$2:$M$1058,$K628),"")</f>
        <v/>
      </c>
      <c r="F628" s="7" t="str">
        <f>IF(ISNUMBER($K628),INDEX(РАБОТЫ!$S$2:$S$1058,$K628),"")</f>
        <v/>
      </c>
      <c r="G628" s="7" t="str">
        <f>IF(ISNUMBER($K628),INDEX(РАБОТЫ!$T$2:$T$1058,$K628),"")</f>
        <v/>
      </c>
      <c r="H628" s="7" t="str">
        <f t="shared" si="36"/>
        <v/>
      </c>
      <c r="I628" s="7" t="str">
        <f t="shared" si="37"/>
        <v/>
      </c>
      <c r="J628" s="7" t="str">
        <f t="shared" si="38"/>
        <v/>
      </c>
      <c r="K628" t="str">
        <f>IFERROR(MATCH(607,РАБОТЫ!$X$2:$X$1058,0),"")</f>
        <v/>
      </c>
      <c r="L628" t="str">
        <f>IFERROR(IF(INDEX(РАБОТЫ!$W$2:$W$1058,MATCH(607+1,РАБОТЫ!$X$2:$X$1058,0))=1,INDEX(РАБОТЫ!$V$2:$V$1058,MATCH(607+1,РАБОТЫ!$X$2:$X$1058,0)),""),"")</f>
        <v/>
      </c>
      <c r="M628" t="str">
        <f t="shared" si="39"/>
        <v/>
      </c>
    </row>
    <row r="629" spans="1:13" hidden="1" x14ac:dyDescent="0.3">
      <c r="A629" t="str">
        <f>IF(ISNUMBER($K629),INDEX(РАБОТЫ!$U$2:$U$1058,$K629),"")</f>
        <v/>
      </c>
      <c r="B629" t="str">
        <f>IF(ISNUMBER($K629),INDEX(РАБОТЫ!$A$2:$A$1058,$K629),"")</f>
        <v/>
      </c>
      <c r="C629" s="4" t="str">
        <f>IF($L629&lt;&gt;"",INDEX(РАБОТЫ!$Z$2:$Z$1058,MATCH($L629,РАБОТЫ!$V$2:$V$1058,0)),IF(ISNUMBER($K629),INDEX(РАБОТЫ!$Y$2:$Y$1058,$K629),""))</f>
        <v/>
      </c>
      <c r="D629" t="str">
        <f>IF(ISNUMBER($K629),INDEX(РАБОТЫ!$E$2:$E$1058,$K629),"")</f>
        <v/>
      </c>
      <c r="E629" t="str">
        <f>IF(ISNUMBER($K629),INDEX(РАБОТЫ!$M$2:$M$1058,$K629),"")</f>
        <v/>
      </c>
      <c r="F629" s="7" t="str">
        <f>IF(ISNUMBER($K629),INDEX(РАБОТЫ!$S$2:$S$1058,$K629),"")</f>
        <v/>
      </c>
      <c r="G629" s="7" t="str">
        <f>IF(ISNUMBER($K629),INDEX(РАБОТЫ!$T$2:$T$1058,$K629),"")</f>
        <v/>
      </c>
      <c r="H629" s="7" t="str">
        <f t="shared" si="36"/>
        <v/>
      </c>
      <c r="I629" s="7" t="str">
        <f t="shared" si="37"/>
        <v/>
      </c>
      <c r="J629" s="7" t="str">
        <f t="shared" si="38"/>
        <v/>
      </c>
      <c r="K629" t="str">
        <f>IFERROR(MATCH(608,РАБОТЫ!$X$2:$X$1058,0),"")</f>
        <v/>
      </c>
      <c r="L629" t="str">
        <f>IFERROR(IF(INDEX(РАБОТЫ!$W$2:$W$1058,MATCH(608+1,РАБОТЫ!$X$2:$X$1058,0))=1,INDEX(РАБОТЫ!$V$2:$V$1058,MATCH(608+1,РАБОТЫ!$X$2:$X$1058,0)),""),"")</f>
        <v/>
      </c>
      <c r="M629" t="str">
        <f t="shared" si="39"/>
        <v/>
      </c>
    </row>
    <row r="630" spans="1:13" hidden="1" x14ac:dyDescent="0.3">
      <c r="A630" t="str">
        <f>IF(ISNUMBER($K630),INDEX(РАБОТЫ!$U$2:$U$1058,$K630),"")</f>
        <v/>
      </c>
      <c r="B630" t="str">
        <f>IF(ISNUMBER($K630),INDEX(РАБОТЫ!$A$2:$A$1058,$K630),"")</f>
        <v/>
      </c>
      <c r="C630" s="4" t="str">
        <f>IF($L630&lt;&gt;"",INDEX(РАБОТЫ!$Z$2:$Z$1058,MATCH($L630,РАБОТЫ!$V$2:$V$1058,0)),IF(ISNUMBER($K630),INDEX(РАБОТЫ!$Y$2:$Y$1058,$K630),""))</f>
        <v/>
      </c>
      <c r="D630" t="str">
        <f>IF(ISNUMBER($K630),INDEX(РАБОТЫ!$E$2:$E$1058,$K630),"")</f>
        <v/>
      </c>
      <c r="E630" t="str">
        <f>IF(ISNUMBER($K630),INDEX(РАБОТЫ!$M$2:$M$1058,$K630),"")</f>
        <v/>
      </c>
      <c r="F630" s="7" t="str">
        <f>IF(ISNUMBER($K630),INDEX(РАБОТЫ!$S$2:$S$1058,$K630),"")</f>
        <v/>
      </c>
      <c r="G630" s="7" t="str">
        <f>IF(ISNUMBER($K630),INDEX(РАБОТЫ!$T$2:$T$1058,$K630),"")</f>
        <v/>
      </c>
      <c r="H630" s="7" t="str">
        <f t="shared" si="36"/>
        <v/>
      </c>
      <c r="I630" s="7" t="str">
        <f t="shared" si="37"/>
        <v/>
      </c>
      <c r="J630" s="7" t="str">
        <f t="shared" si="38"/>
        <v/>
      </c>
      <c r="K630" t="str">
        <f>IFERROR(MATCH(609,РАБОТЫ!$X$2:$X$1058,0),"")</f>
        <v/>
      </c>
      <c r="L630" t="str">
        <f>IFERROR(IF(INDEX(РАБОТЫ!$W$2:$W$1058,MATCH(609+1,РАБОТЫ!$X$2:$X$1058,0))=1,INDEX(РАБОТЫ!$V$2:$V$1058,MATCH(609+1,РАБОТЫ!$X$2:$X$1058,0)),""),"")</f>
        <v/>
      </c>
      <c r="M630" t="str">
        <f t="shared" si="39"/>
        <v/>
      </c>
    </row>
    <row r="631" spans="1:13" hidden="1" x14ac:dyDescent="0.3">
      <c r="A631" t="str">
        <f>IF(ISNUMBER($K631),INDEX(РАБОТЫ!$U$2:$U$1058,$K631),"")</f>
        <v/>
      </c>
      <c r="B631" t="str">
        <f>IF(ISNUMBER($K631),INDEX(РАБОТЫ!$A$2:$A$1058,$K631),"")</f>
        <v/>
      </c>
      <c r="C631" s="4" t="str">
        <f>IF($L631&lt;&gt;"",INDEX(РАБОТЫ!$Z$2:$Z$1058,MATCH($L631,РАБОТЫ!$V$2:$V$1058,0)),IF(ISNUMBER($K631),INDEX(РАБОТЫ!$Y$2:$Y$1058,$K631),""))</f>
        <v/>
      </c>
      <c r="D631" t="str">
        <f>IF(ISNUMBER($K631),INDEX(РАБОТЫ!$E$2:$E$1058,$K631),"")</f>
        <v/>
      </c>
      <c r="E631" t="str">
        <f>IF(ISNUMBER($K631),INDEX(РАБОТЫ!$M$2:$M$1058,$K631),"")</f>
        <v/>
      </c>
      <c r="F631" s="7" t="str">
        <f>IF(ISNUMBER($K631),INDEX(РАБОТЫ!$S$2:$S$1058,$K631),"")</f>
        <v/>
      </c>
      <c r="G631" s="7" t="str">
        <f>IF(ISNUMBER($K631),INDEX(РАБОТЫ!$T$2:$T$1058,$K631),"")</f>
        <v/>
      </c>
      <c r="H631" s="7" t="str">
        <f t="shared" si="36"/>
        <v/>
      </c>
      <c r="I631" s="7" t="str">
        <f t="shared" si="37"/>
        <v/>
      </c>
      <c r="J631" s="7" t="str">
        <f t="shared" si="38"/>
        <v/>
      </c>
      <c r="K631" t="str">
        <f>IFERROR(MATCH(610,РАБОТЫ!$X$2:$X$1058,0),"")</f>
        <v/>
      </c>
      <c r="L631" t="str">
        <f>IFERROR(IF(INDEX(РАБОТЫ!$W$2:$W$1058,MATCH(610+1,РАБОТЫ!$X$2:$X$1058,0))=1,INDEX(РАБОТЫ!$V$2:$V$1058,MATCH(610+1,РАБОТЫ!$X$2:$X$1058,0)),""),"")</f>
        <v/>
      </c>
      <c r="M631" t="str">
        <f t="shared" si="39"/>
        <v/>
      </c>
    </row>
    <row r="632" spans="1:13" hidden="1" x14ac:dyDescent="0.3">
      <c r="A632" t="str">
        <f>IF(ISNUMBER($K632),INDEX(РАБОТЫ!$U$2:$U$1058,$K632),"")</f>
        <v/>
      </c>
      <c r="B632" t="str">
        <f>IF(ISNUMBER($K632),INDEX(РАБОТЫ!$A$2:$A$1058,$K632),"")</f>
        <v/>
      </c>
      <c r="C632" s="4" t="str">
        <f>IF($L632&lt;&gt;"",INDEX(РАБОТЫ!$Z$2:$Z$1058,MATCH($L632,РАБОТЫ!$V$2:$V$1058,0)),IF(ISNUMBER($K632),INDEX(РАБОТЫ!$Y$2:$Y$1058,$K632),""))</f>
        <v/>
      </c>
      <c r="D632" t="str">
        <f>IF(ISNUMBER($K632),INDEX(РАБОТЫ!$E$2:$E$1058,$K632),"")</f>
        <v/>
      </c>
      <c r="E632" t="str">
        <f>IF(ISNUMBER($K632),INDEX(РАБОТЫ!$M$2:$M$1058,$K632),"")</f>
        <v/>
      </c>
      <c r="F632" s="7" t="str">
        <f>IF(ISNUMBER($K632),INDEX(РАБОТЫ!$S$2:$S$1058,$K632),"")</f>
        <v/>
      </c>
      <c r="G632" s="7" t="str">
        <f>IF(ISNUMBER($K632),INDEX(РАБОТЫ!$T$2:$T$1058,$K632),"")</f>
        <v/>
      </c>
      <c r="H632" s="7" t="str">
        <f t="shared" si="36"/>
        <v/>
      </c>
      <c r="I632" s="7" t="str">
        <f t="shared" si="37"/>
        <v/>
      </c>
      <c r="J632" s="7" t="str">
        <f t="shared" si="38"/>
        <v/>
      </c>
      <c r="K632" t="str">
        <f>IFERROR(MATCH(611,РАБОТЫ!$X$2:$X$1058,0),"")</f>
        <v/>
      </c>
      <c r="L632" t="str">
        <f>IFERROR(IF(INDEX(РАБОТЫ!$W$2:$W$1058,MATCH(611+1,РАБОТЫ!$X$2:$X$1058,0))=1,INDEX(РАБОТЫ!$V$2:$V$1058,MATCH(611+1,РАБОТЫ!$X$2:$X$1058,0)),""),"")</f>
        <v/>
      </c>
      <c r="M632" t="str">
        <f t="shared" si="39"/>
        <v/>
      </c>
    </row>
    <row r="633" spans="1:13" hidden="1" x14ac:dyDescent="0.3">
      <c r="A633" t="str">
        <f>IF(ISNUMBER($K633),INDEX(РАБОТЫ!$U$2:$U$1058,$K633),"")</f>
        <v/>
      </c>
      <c r="B633" t="str">
        <f>IF(ISNUMBER($K633),INDEX(РАБОТЫ!$A$2:$A$1058,$K633),"")</f>
        <v/>
      </c>
      <c r="C633" s="4" t="str">
        <f>IF($L633&lt;&gt;"",INDEX(РАБОТЫ!$Z$2:$Z$1058,MATCH($L633,РАБОТЫ!$V$2:$V$1058,0)),IF(ISNUMBER($K633),INDEX(РАБОТЫ!$Y$2:$Y$1058,$K633),""))</f>
        <v/>
      </c>
      <c r="D633" t="str">
        <f>IF(ISNUMBER($K633),INDEX(РАБОТЫ!$E$2:$E$1058,$K633),"")</f>
        <v/>
      </c>
      <c r="E633" t="str">
        <f>IF(ISNUMBER($K633),INDEX(РАБОТЫ!$M$2:$M$1058,$K633),"")</f>
        <v/>
      </c>
      <c r="F633" s="7" t="str">
        <f>IF(ISNUMBER($K633),INDEX(РАБОТЫ!$S$2:$S$1058,$K633),"")</f>
        <v/>
      </c>
      <c r="G633" s="7" t="str">
        <f>IF(ISNUMBER($K633),INDEX(РАБОТЫ!$T$2:$T$1058,$K633),"")</f>
        <v/>
      </c>
      <c r="H633" s="7" t="str">
        <f t="shared" si="36"/>
        <v/>
      </c>
      <c r="I633" s="7" t="str">
        <f t="shared" si="37"/>
        <v/>
      </c>
      <c r="J633" s="7" t="str">
        <f t="shared" si="38"/>
        <v/>
      </c>
      <c r="K633" t="str">
        <f>IFERROR(MATCH(612,РАБОТЫ!$X$2:$X$1058,0),"")</f>
        <v/>
      </c>
      <c r="L633" t="str">
        <f>IFERROR(IF(INDEX(РАБОТЫ!$W$2:$W$1058,MATCH(612+1,РАБОТЫ!$X$2:$X$1058,0))=1,INDEX(РАБОТЫ!$V$2:$V$1058,MATCH(612+1,РАБОТЫ!$X$2:$X$1058,0)),""),"")</f>
        <v/>
      </c>
      <c r="M633" t="str">
        <f t="shared" si="39"/>
        <v/>
      </c>
    </row>
    <row r="634" spans="1:13" hidden="1" x14ac:dyDescent="0.3">
      <c r="A634" t="str">
        <f>IF(ISNUMBER($K634),INDEX(РАБОТЫ!$U$2:$U$1058,$K634),"")</f>
        <v/>
      </c>
      <c r="B634" t="str">
        <f>IF(ISNUMBER($K634),INDEX(РАБОТЫ!$A$2:$A$1058,$K634),"")</f>
        <v/>
      </c>
      <c r="C634" s="4" t="str">
        <f>IF($L634&lt;&gt;"",INDEX(РАБОТЫ!$Z$2:$Z$1058,MATCH($L634,РАБОТЫ!$V$2:$V$1058,0)),IF(ISNUMBER($K634),INDEX(РАБОТЫ!$Y$2:$Y$1058,$K634),""))</f>
        <v/>
      </c>
      <c r="D634" t="str">
        <f>IF(ISNUMBER($K634),INDEX(РАБОТЫ!$E$2:$E$1058,$K634),"")</f>
        <v/>
      </c>
      <c r="E634" t="str">
        <f>IF(ISNUMBER($K634),INDEX(РАБОТЫ!$M$2:$M$1058,$K634),"")</f>
        <v/>
      </c>
      <c r="F634" s="7" t="str">
        <f>IF(ISNUMBER($K634),INDEX(РАБОТЫ!$S$2:$S$1058,$K634),"")</f>
        <v/>
      </c>
      <c r="G634" s="7" t="str">
        <f>IF(ISNUMBER($K634),INDEX(РАБОТЫ!$T$2:$T$1058,$K634),"")</f>
        <v/>
      </c>
      <c r="H634" s="7" t="str">
        <f t="shared" si="36"/>
        <v/>
      </c>
      <c r="I634" s="7" t="str">
        <f t="shared" si="37"/>
        <v/>
      </c>
      <c r="J634" s="7" t="str">
        <f t="shared" si="38"/>
        <v/>
      </c>
      <c r="K634" t="str">
        <f>IFERROR(MATCH(613,РАБОТЫ!$X$2:$X$1058,0),"")</f>
        <v/>
      </c>
      <c r="L634" t="str">
        <f>IFERROR(IF(INDEX(РАБОТЫ!$W$2:$W$1058,MATCH(613+1,РАБОТЫ!$X$2:$X$1058,0))=1,INDEX(РАБОТЫ!$V$2:$V$1058,MATCH(613+1,РАБОТЫ!$X$2:$X$1058,0)),""),"")</f>
        <v/>
      </c>
      <c r="M634" t="str">
        <f t="shared" si="39"/>
        <v/>
      </c>
    </row>
    <row r="635" spans="1:13" hidden="1" x14ac:dyDescent="0.3">
      <c r="A635" t="str">
        <f>IF(ISNUMBER($K635),INDEX(РАБОТЫ!$U$2:$U$1058,$K635),"")</f>
        <v/>
      </c>
      <c r="B635" t="str">
        <f>IF(ISNUMBER($K635),INDEX(РАБОТЫ!$A$2:$A$1058,$K635),"")</f>
        <v/>
      </c>
      <c r="C635" s="4" t="str">
        <f>IF($L635&lt;&gt;"",INDEX(РАБОТЫ!$Z$2:$Z$1058,MATCH($L635,РАБОТЫ!$V$2:$V$1058,0)),IF(ISNUMBER($K635),INDEX(РАБОТЫ!$Y$2:$Y$1058,$K635),""))</f>
        <v/>
      </c>
      <c r="D635" t="str">
        <f>IF(ISNUMBER($K635),INDEX(РАБОТЫ!$E$2:$E$1058,$K635),"")</f>
        <v/>
      </c>
      <c r="E635" t="str">
        <f>IF(ISNUMBER($K635),INDEX(РАБОТЫ!$M$2:$M$1058,$K635),"")</f>
        <v/>
      </c>
      <c r="F635" s="7" t="str">
        <f>IF(ISNUMBER($K635),INDEX(РАБОТЫ!$S$2:$S$1058,$K635),"")</f>
        <v/>
      </c>
      <c r="G635" s="7" t="str">
        <f>IF(ISNUMBER($K635),INDEX(РАБОТЫ!$T$2:$T$1058,$K635),"")</f>
        <v/>
      </c>
      <c r="H635" s="7" t="str">
        <f t="shared" si="36"/>
        <v/>
      </c>
      <c r="I635" s="7" t="str">
        <f t="shared" si="37"/>
        <v/>
      </c>
      <c r="J635" s="7" t="str">
        <f t="shared" si="38"/>
        <v/>
      </c>
      <c r="K635" t="str">
        <f>IFERROR(MATCH(614,РАБОТЫ!$X$2:$X$1058,0),"")</f>
        <v/>
      </c>
      <c r="L635" t="str">
        <f>IFERROR(IF(INDEX(РАБОТЫ!$W$2:$W$1058,MATCH(614+1,РАБОТЫ!$X$2:$X$1058,0))=1,INDEX(РАБОТЫ!$V$2:$V$1058,MATCH(614+1,РАБОТЫ!$X$2:$X$1058,0)),""),"")</f>
        <v/>
      </c>
      <c r="M635" t="str">
        <f t="shared" si="39"/>
        <v/>
      </c>
    </row>
    <row r="636" spans="1:13" hidden="1" x14ac:dyDescent="0.3">
      <c r="A636" t="str">
        <f>IF(ISNUMBER($K636),INDEX(РАБОТЫ!$U$2:$U$1058,$K636),"")</f>
        <v/>
      </c>
      <c r="B636" t="str">
        <f>IF(ISNUMBER($K636),INDEX(РАБОТЫ!$A$2:$A$1058,$K636),"")</f>
        <v/>
      </c>
      <c r="C636" s="4" t="str">
        <f>IF($L636&lt;&gt;"",INDEX(РАБОТЫ!$Z$2:$Z$1058,MATCH($L636,РАБОТЫ!$V$2:$V$1058,0)),IF(ISNUMBER($K636),INDEX(РАБОТЫ!$Y$2:$Y$1058,$K636),""))</f>
        <v/>
      </c>
      <c r="D636" t="str">
        <f>IF(ISNUMBER($K636),INDEX(РАБОТЫ!$E$2:$E$1058,$K636),"")</f>
        <v/>
      </c>
      <c r="E636" t="str">
        <f>IF(ISNUMBER($K636),INDEX(РАБОТЫ!$M$2:$M$1058,$K636),"")</f>
        <v/>
      </c>
      <c r="F636" s="7" t="str">
        <f>IF(ISNUMBER($K636),INDEX(РАБОТЫ!$S$2:$S$1058,$K636),"")</f>
        <v/>
      </c>
      <c r="G636" s="7" t="str">
        <f>IF(ISNUMBER($K636),INDEX(РАБОТЫ!$T$2:$T$1058,$K636),"")</f>
        <v/>
      </c>
      <c r="H636" s="7" t="str">
        <f t="shared" si="36"/>
        <v/>
      </c>
      <c r="I636" s="7" t="str">
        <f t="shared" si="37"/>
        <v/>
      </c>
      <c r="J636" s="7" t="str">
        <f t="shared" si="38"/>
        <v/>
      </c>
      <c r="K636" t="str">
        <f>IFERROR(MATCH(615,РАБОТЫ!$X$2:$X$1058,0),"")</f>
        <v/>
      </c>
      <c r="L636" t="str">
        <f>IFERROR(IF(INDEX(РАБОТЫ!$W$2:$W$1058,MATCH(615+1,РАБОТЫ!$X$2:$X$1058,0))=1,INDEX(РАБОТЫ!$V$2:$V$1058,MATCH(615+1,РАБОТЫ!$X$2:$X$1058,0)),""),"")</f>
        <v/>
      </c>
      <c r="M636" t="str">
        <f t="shared" si="39"/>
        <v/>
      </c>
    </row>
    <row r="637" spans="1:13" hidden="1" x14ac:dyDescent="0.3">
      <c r="A637" t="str">
        <f>IF(ISNUMBER($K637),INDEX(РАБОТЫ!$U$2:$U$1058,$K637),"")</f>
        <v/>
      </c>
      <c r="B637" t="str">
        <f>IF(ISNUMBER($K637),INDEX(РАБОТЫ!$A$2:$A$1058,$K637),"")</f>
        <v/>
      </c>
      <c r="C637" s="4" t="str">
        <f>IF($L637&lt;&gt;"",INDEX(РАБОТЫ!$Z$2:$Z$1058,MATCH($L637,РАБОТЫ!$V$2:$V$1058,0)),IF(ISNUMBER($K637),INDEX(РАБОТЫ!$Y$2:$Y$1058,$K637),""))</f>
        <v/>
      </c>
      <c r="D637" t="str">
        <f>IF(ISNUMBER($K637),INDEX(РАБОТЫ!$E$2:$E$1058,$K637),"")</f>
        <v/>
      </c>
      <c r="E637" t="str">
        <f>IF(ISNUMBER($K637),INDEX(РАБОТЫ!$M$2:$M$1058,$K637),"")</f>
        <v/>
      </c>
      <c r="F637" s="7" t="str">
        <f>IF(ISNUMBER($K637),INDEX(РАБОТЫ!$S$2:$S$1058,$K637),"")</f>
        <v/>
      </c>
      <c r="G637" s="7" t="str">
        <f>IF(ISNUMBER($K637),INDEX(РАБОТЫ!$T$2:$T$1058,$K637),"")</f>
        <v/>
      </c>
      <c r="H637" s="7" t="str">
        <f t="shared" si="36"/>
        <v/>
      </c>
      <c r="I637" s="7" t="str">
        <f t="shared" si="37"/>
        <v/>
      </c>
      <c r="J637" s="7" t="str">
        <f t="shared" si="38"/>
        <v/>
      </c>
      <c r="K637" t="str">
        <f>IFERROR(MATCH(616,РАБОТЫ!$X$2:$X$1058,0),"")</f>
        <v/>
      </c>
      <c r="L637" t="str">
        <f>IFERROR(IF(INDEX(РАБОТЫ!$W$2:$W$1058,MATCH(616+1,РАБОТЫ!$X$2:$X$1058,0))=1,INDEX(РАБОТЫ!$V$2:$V$1058,MATCH(616+1,РАБОТЫ!$X$2:$X$1058,0)),""),"")</f>
        <v/>
      </c>
      <c r="M637" t="str">
        <f t="shared" si="39"/>
        <v/>
      </c>
    </row>
    <row r="638" spans="1:13" hidden="1" x14ac:dyDescent="0.3">
      <c r="A638" t="str">
        <f>IF(ISNUMBER($K638),INDEX(РАБОТЫ!$U$2:$U$1058,$K638),"")</f>
        <v/>
      </c>
      <c r="B638" t="str">
        <f>IF(ISNUMBER($K638),INDEX(РАБОТЫ!$A$2:$A$1058,$K638),"")</f>
        <v/>
      </c>
      <c r="C638" s="4" t="str">
        <f>IF($L638&lt;&gt;"",INDEX(РАБОТЫ!$Z$2:$Z$1058,MATCH($L638,РАБОТЫ!$V$2:$V$1058,0)),IF(ISNUMBER($K638),INDEX(РАБОТЫ!$Y$2:$Y$1058,$K638),""))</f>
        <v/>
      </c>
      <c r="D638" t="str">
        <f>IF(ISNUMBER($K638),INDEX(РАБОТЫ!$E$2:$E$1058,$K638),"")</f>
        <v/>
      </c>
      <c r="E638" t="str">
        <f>IF(ISNUMBER($K638),INDEX(РАБОТЫ!$M$2:$M$1058,$K638),"")</f>
        <v/>
      </c>
      <c r="F638" s="7" t="str">
        <f>IF(ISNUMBER($K638),INDEX(РАБОТЫ!$S$2:$S$1058,$K638),"")</f>
        <v/>
      </c>
      <c r="G638" s="7" t="str">
        <f>IF(ISNUMBER($K638),INDEX(РАБОТЫ!$T$2:$T$1058,$K638),"")</f>
        <v/>
      </c>
      <c r="H638" s="7" t="str">
        <f t="shared" si="36"/>
        <v/>
      </c>
      <c r="I638" s="7" t="str">
        <f t="shared" si="37"/>
        <v/>
      </c>
      <c r="J638" s="7" t="str">
        <f t="shared" si="38"/>
        <v/>
      </c>
      <c r="K638" t="str">
        <f>IFERROR(MATCH(617,РАБОТЫ!$X$2:$X$1058,0),"")</f>
        <v/>
      </c>
      <c r="L638" t="str">
        <f>IFERROR(IF(INDEX(РАБОТЫ!$W$2:$W$1058,MATCH(617+1,РАБОТЫ!$X$2:$X$1058,0))=1,INDEX(РАБОТЫ!$V$2:$V$1058,MATCH(617+1,РАБОТЫ!$X$2:$X$1058,0)),""),"")</f>
        <v/>
      </c>
      <c r="M638" t="str">
        <f t="shared" si="39"/>
        <v/>
      </c>
    </row>
    <row r="639" spans="1:13" hidden="1" x14ac:dyDescent="0.3">
      <c r="A639" t="str">
        <f>IF(ISNUMBER($K639),INDEX(РАБОТЫ!$U$2:$U$1058,$K639),"")</f>
        <v/>
      </c>
      <c r="B639" t="str">
        <f>IF(ISNUMBER($K639),INDEX(РАБОТЫ!$A$2:$A$1058,$K639),"")</f>
        <v/>
      </c>
      <c r="C639" s="4" t="str">
        <f>IF($L639&lt;&gt;"",INDEX(РАБОТЫ!$Z$2:$Z$1058,MATCH($L639,РАБОТЫ!$V$2:$V$1058,0)),IF(ISNUMBER($K639),INDEX(РАБОТЫ!$Y$2:$Y$1058,$K639),""))</f>
        <v/>
      </c>
      <c r="D639" t="str">
        <f>IF(ISNUMBER($K639),INDEX(РАБОТЫ!$E$2:$E$1058,$K639),"")</f>
        <v/>
      </c>
      <c r="E639" t="str">
        <f>IF(ISNUMBER($K639),INDEX(РАБОТЫ!$M$2:$M$1058,$K639),"")</f>
        <v/>
      </c>
      <c r="F639" s="7" t="str">
        <f>IF(ISNUMBER($K639),INDEX(РАБОТЫ!$S$2:$S$1058,$K639),"")</f>
        <v/>
      </c>
      <c r="G639" s="7" t="str">
        <f>IF(ISNUMBER($K639),INDEX(РАБОТЫ!$T$2:$T$1058,$K639),"")</f>
        <v/>
      </c>
      <c r="H639" s="7" t="str">
        <f t="shared" si="36"/>
        <v/>
      </c>
      <c r="I639" s="7" t="str">
        <f t="shared" si="37"/>
        <v/>
      </c>
      <c r="J639" s="7" t="str">
        <f t="shared" si="38"/>
        <v/>
      </c>
      <c r="K639" t="str">
        <f>IFERROR(MATCH(618,РАБОТЫ!$X$2:$X$1058,0),"")</f>
        <v/>
      </c>
      <c r="L639" t="str">
        <f>IFERROR(IF(INDEX(РАБОТЫ!$W$2:$W$1058,MATCH(618+1,РАБОТЫ!$X$2:$X$1058,0))=1,INDEX(РАБОТЫ!$V$2:$V$1058,MATCH(618+1,РАБОТЫ!$X$2:$X$1058,0)),""),"")</f>
        <v/>
      </c>
      <c r="M639" t="str">
        <f t="shared" si="39"/>
        <v/>
      </c>
    </row>
    <row r="640" spans="1:13" hidden="1" x14ac:dyDescent="0.3">
      <c r="A640" t="str">
        <f>IF(ISNUMBER($K640),INDEX(РАБОТЫ!$U$2:$U$1058,$K640),"")</f>
        <v/>
      </c>
      <c r="B640" t="str">
        <f>IF(ISNUMBER($K640),INDEX(РАБОТЫ!$A$2:$A$1058,$K640),"")</f>
        <v/>
      </c>
      <c r="C640" s="4" t="str">
        <f>IF($L640&lt;&gt;"",INDEX(РАБОТЫ!$Z$2:$Z$1058,MATCH($L640,РАБОТЫ!$V$2:$V$1058,0)),IF(ISNUMBER($K640),INDEX(РАБОТЫ!$Y$2:$Y$1058,$K640),""))</f>
        <v/>
      </c>
      <c r="D640" t="str">
        <f>IF(ISNUMBER($K640),INDEX(РАБОТЫ!$E$2:$E$1058,$K640),"")</f>
        <v/>
      </c>
      <c r="E640" t="str">
        <f>IF(ISNUMBER($K640),INDEX(РАБОТЫ!$M$2:$M$1058,$K640),"")</f>
        <v/>
      </c>
      <c r="F640" s="7" t="str">
        <f>IF(ISNUMBER($K640),INDEX(РАБОТЫ!$S$2:$S$1058,$K640),"")</f>
        <v/>
      </c>
      <c r="G640" s="7" t="str">
        <f>IF(ISNUMBER($K640),INDEX(РАБОТЫ!$T$2:$T$1058,$K640),"")</f>
        <v/>
      </c>
      <c r="H640" s="7" t="str">
        <f t="shared" si="36"/>
        <v/>
      </c>
      <c r="I640" s="7" t="str">
        <f t="shared" si="37"/>
        <v/>
      </c>
      <c r="J640" s="7" t="str">
        <f t="shared" si="38"/>
        <v/>
      </c>
      <c r="K640" t="str">
        <f>IFERROR(MATCH(619,РАБОТЫ!$X$2:$X$1058,0),"")</f>
        <v/>
      </c>
      <c r="L640" t="str">
        <f>IFERROR(IF(INDEX(РАБОТЫ!$W$2:$W$1058,MATCH(619+1,РАБОТЫ!$X$2:$X$1058,0))=1,INDEX(РАБОТЫ!$V$2:$V$1058,MATCH(619+1,РАБОТЫ!$X$2:$X$1058,0)),""),"")</f>
        <v/>
      </c>
      <c r="M640" t="str">
        <f t="shared" si="39"/>
        <v/>
      </c>
    </row>
    <row r="641" spans="1:13" hidden="1" x14ac:dyDescent="0.3">
      <c r="A641" t="str">
        <f>IF(ISNUMBER($K641),INDEX(РАБОТЫ!$U$2:$U$1058,$K641),"")</f>
        <v/>
      </c>
      <c r="B641" t="str">
        <f>IF(ISNUMBER($K641),INDEX(РАБОТЫ!$A$2:$A$1058,$K641),"")</f>
        <v/>
      </c>
      <c r="C641" s="4" t="str">
        <f>IF($L641&lt;&gt;"",INDEX(РАБОТЫ!$Z$2:$Z$1058,MATCH($L641,РАБОТЫ!$V$2:$V$1058,0)),IF(ISNUMBER($K641),INDEX(РАБОТЫ!$Y$2:$Y$1058,$K641),""))</f>
        <v/>
      </c>
      <c r="D641" t="str">
        <f>IF(ISNUMBER($K641),INDEX(РАБОТЫ!$E$2:$E$1058,$K641),"")</f>
        <v/>
      </c>
      <c r="E641" t="str">
        <f>IF(ISNUMBER($K641),INDEX(РАБОТЫ!$M$2:$M$1058,$K641),"")</f>
        <v/>
      </c>
      <c r="F641" s="7" t="str">
        <f>IF(ISNUMBER($K641),INDEX(РАБОТЫ!$S$2:$S$1058,$K641),"")</f>
        <v/>
      </c>
      <c r="G641" s="7" t="str">
        <f>IF(ISNUMBER($K641),INDEX(РАБОТЫ!$T$2:$T$1058,$K641),"")</f>
        <v/>
      </c>
      <c r="H641" s="7" t="str">
        <f t="shared" si="36"/>
        <v/>
      </c>
      <c r="I641" s="7" t="str">
        <f t="shared" si="37"/>
        <v/>
      </c>
      <c r="J641" s="7" t="str">
        <f t="shared" si="38"/>
        <v/>
      </c>
      <c r="K641" t="str">
        <f>IFERROR(MATCH(620,РАБОТЫ!$X$2:$X$1058,0),"")</f>
        <v/>
      </c>
      <c r="L641" t="str">
        <f>IFERROR(IF(INDEX(РАБОТЫ!$W$2:$W$1058,MATCH(620+1,РАБОТЫ!$X$2:$X$1058,0))=1,INDEX(РАБОТЫ!$V$2:$V$1058,MATCH(620+1,РАБОТЫ!$X$2:$X$1058,0)),""),"")</f>
        <v/>
      </c>
      <c r="M641" t="str">
        <f t="shared" si="39"/>
        <v/>
      </c>
    </row>
    <row r="642" spans="1:13" hidden="1" x14ac:dyDescent="0.3">
      <c r="A642" t="str">
        <f>IF(ISNUMBER($K642),INDEX(РАБОТЫ!$U$2:$U$1058,$K642),"")</f>
        <v/>
      </c>
      <c r="B642" t="str">
        <f>IF(ISNUMBER($K642),INDEX(РАБОТЫ!$A$2:$A$1058,$K642),"")</f>
        <v/>
      </c>
      <c r="C642" s="4" t="str">
        <f>IF($L642&lt;&gt;"",INDEX(РАБОТЫ!$Z$2:$Z$1058,MATCH($L642,РАБОТЫ!$V$2:$V$1058,0)),IF(ISNUMBER($K642),INDEX(РАБОТЫ!$Y$2:$Y$1058,$K642),""))</f>
        <v/>
      </c>
      <c r="D642" t="str">
        <f>IF(ISNUMBER($K642),INDEX(РАБОТЫ!$E$2:$E$1058,$K642),"")</f>
        <v/>
      </c>
      <c r="E642" t="str">
        <f>IF(ISNUMBER($K642),INDEX(РАБОТЫ!$M$2:$M$1058,$K642),"")</f>
        <v/>
      </c>
      <c r="F642" s="7" t="str">
        <f>IF(ISNUMBER($K642),INDEX(РАБОТЫ!$S$2:$S$1058,$K642),"")</f>
        <v/>
      </c>
      <c r="G642" s="7" t="str">
        <f>IF(ISNUMBER($K642),INDEX(РАБОТЫ!$T$2:$T$1058,$K642),"")</f>
        <v/>
      </c>
      <c r="H642" s="7" t="str">
        <f t="shared" si="36"/>
        <v/>
      </c>
      <c r="I642" s="7" t="str">
        <f t="shared" si="37"/>
        <v/>
      </c>
      <c r="J642" s="7" t="str">
        <f t="shared" si="38"/>
        <v/>
      </c>
      <c r="K642" t="str">
        <f>IFERROR(MATCH(621,РАБОТЫ!$X$2:$X$1058,0),"")</f>
        <v/>
      </c>
      <c r="L642" t="str">
        <f>IFERROR(IF(INDEX(РАБОТЫ!$W$2:$W$1058,MATCH(621+1,РАБОТЫ!$X$2:$X$1058,0))=1,INDEX(РАБОТЫ!$V$2:$V$1058,MATCH(621+1,РАБОТЫ!$X$2:$X$1058,0)),""),"")</f>
        <v/>
      </c>
      <c r="M642" t="str">
        <f t="shared" si="39"/>
        <v/>
      </c>
    </row>
    <row r="643" spans="1:13" hidden="1" x14ac:dyDescent="0.3">
      <c r="A643" t="str">
        <f>IF(ISNUMBER($K643),INDEX(РАБОТЫ!$U$2:$U$1058,$K643),"")</f>
        <v/>
      </c>
      <c r="B643" t="str">
        <f>IF(ISNUMBER($K643),INDEX(РАБОТЫ!$A$2:$A$1058,$K643),"")</f>
        <v/>
      </c>
      <c r="C643" s="4" t="str">
        <f>IF($L643&lt;&gt;"",INDEX(РАБОТЫ!$Z$2:$Z$1058,MATCH($L643,РАБОТЫ!$V$2:$V$1058,0)),IF(ISNUMBER($K643),INDEX(РАБОТЫ!$Y$2:$Y$1058,$K643),""))</f>
        <v/>
      </c>
      <c r="D643" t="str">
        <f>IF(ISNUMBER($K643),INDEX(РАБОТЫ!$E$2:$E$1058,$K643),"")</f>
        <v/>
      </c>
      <c r="E643" t="str">
        <f>IF(ISNUMBER($K643),INDEX(РАБОТЫ!$M$2:$M$1058,$K643),"")</f>
        <v/>
      </c>
      <c r="F643" s="7" t="str">
        <f>IF(ISNUMBER($K643),INDEX(РАБОТЫ!$S$2:$S$1058,$K643),"")</f>
        <v/>
      </c>
      <c r="G643" s="7" t="str">
        <f>IF(ISNUMBER($K643),INDEX(РАБОТЫ!$T$2:$T$1058,$K643),"")</f>
        <v/>
      </c>
      <c r="H643" s="7" t="str">
        <f t="shared" si="36"/>
        <v/>
      </c>
      <c r="I643" s="7" t="str">
        <f t="shared" si="37"/>
        <v/>
      </c>
      <c r="J643" s="7" t="str">
        <f t="shared" si="38"/>
        <v/>
      </c>
      <c r="K643" t="str">
        <f>IFERROR(MATCH(622,РАБОТЫ!$X$2:$X$1058,0),"")</f>
        <v/>
      </c>
      <c r="L643" t="str">
        <f>IFERROR(IF(INDEX(РАБОТЫ!$W$2:$W$1058,MATCH(622+1,РАБОТЫ!$X$2:$X$1058,0))=1,INDEX(РАБОТЫ!$V$2:$V$1058,MATCH(622+1,РАБОТЫ!$X$2:$X$1058,0)),""),"")</f>
        <v/>
      </c>
      <c r="M643" t="str">
        <f t="shared" si="39"/>
        <v/>
      </c>
    </row>
    <row r="644" spans="1:13" hidden="1" x14ac:dyDescent="0.3">
      <c r="A644" t="str">
        <f>IF(ISNUMBER($K644),INDEX(РАБОТЫ!$U$2:$U$1058,$K644),"")</f>
        <v/>
      </c>
      <c r="B644" t="str">
        <f>IF(ISNUMBER($K644),INDEX(РАБОТЫ!$A$2:$A$1058,$K644),"")</f>
        <v/>
      </c>
      <c r="C644" s="4" t="str">
        <f>IF($L644&lt;&gt;"",INDEX(РАБОТЫ!$Z$2:$Z$1058,MATCH($L644,РАБОТЫ!$V$2:$V$1058,0)),IF(ISNUMBER($K644),INDEX(РАБОТЫ!$Y$2:$Y$1058,$K644),""))</f>
        <v/>
      </c>
      <c r="D644" t="str">
        <f>IF(ISNUMBER($K644),INDEX(РАБОТЫ!$E$2:$E$1058,$K644),"")</f>
        <v/>
      </c>
      <c r="E644" t="str">
        <f>IF(ISNUMBER($K644),INDEX(РАБОТЫ!$M$2:$M$1058,$K644),"")</f>
        <v/>
      </c>
      <c r="F644" s="7" t="str">
        <f>IF(ISNUMBER($K644),INDEX(РАБОТЫ!$S$2:$S$1058,$K644),"")</f>
        <v/>
      </c>
      <c r="G644" s="7" t="str">
        <f>IF(ISNUMBER($K644),INDEX(РАБОТЫ!$T$2:$T$1058,$K644),"")</f>
        <v/>
      </c>
      <c r="H644" s="7" t="str">
        <f t="shared" si="36"/>
        <v/>
      </c>
      <c r="I644" s="7" t="str">
        <f t="shared" si="37"/>
        <v/>
      </c>
      <c r="J644" s="7" t="str">
        <f t="shared" si="38"/>
        <v/>
      </c>
      <c r="K644" t="str">
        <f>IFERROR(MATCH(623,РАБОТЫ!$X$2:$X$1058,0),"")</f>
        <v/>
      </c>
      <c r="L644" t="str">
        <f>IFERROR(IF(INDEX(РАБОТЫ!$W$2:$W$1058,MATCH(623+1,РАБОТЫ!$X$2:$X$1058,0))=1,INDEX(РАБОТЫ!$V$2:$V$1058,MATCH(623+1,РАБОТЫ!$X$2:$X$1058,0)),""),"")</f>
        <v/>
      </c>
      <c r="M644" t="str">
        <f t="shared" si="39"/>
        <v/>
      </c>
    </row>
    <row r="645" spans="1:13" hidden="1" x14ac:dyDescent="0.3">
      <c r="A645" t="str">
        <f>IF(ISNUMBER($K645),INDEX(РАБОТЫ!$U$2:$U$1058,$K645),"")</f>
        <v/>
      </c>
      <c r="B645" t="str">
        <f>IF(ISNUMBER($K645),INDEX(РАБОТЫ!$A$2:$A$1058,$K645),"")</f>
        <v/>
      </c>
      <c r="C645" s="4" t="str">
        <f>IF($L645&lt;&gt;"",INDEX(РАБОТЫ!$Z$2:$Z$1058,MATCH($L645,РАБОТЫ!$V$2:$V$1058,0)),IF(ISNUMBER($K645),INDEX(РАБОТЫ!$Y$2:$Y$1058,$K645),""))</f>
        <v/>
      </c>
      <c r="D645" t="str">
        <f>IF(ISNUMBER($K645),INDEX(РАБОТЫ!$E$2:$E$1058,$K645),"")</f>
        <v/>
      </c>
      <c r="E645" t="str">
        <f>IF(ISNUMBER($K645),INDEX(РАБОТЫ!$M$2:$M$1058,$K645),"")</f>
        <v/>
      </c>
      <c r="F645" s="7" t="str">
        <f>IF(ISNUMBER($K645),INDEX(РАБОТЫ!$S$2:$S$1058,$K645),"")</f>
        <v/>
      </c>
      <c r="G645" s="7" t="str">
        <f>IF(ISNUMBER($K645),INDEX(РАБОТЫ!$T$2:$T$1058,$K645),"")</f>
        <v/>
      </c>
      <c r="H645" s="7" t="str">
        <f t="shared" si="36"/>
        <v/>
      </c>
      <c r="I645" s="7" t="str">
        <f t="shared" si="37"/>
        <v/>
      </c>
      <c r="J645" s="7" t="str">
        <f t="shared" si="38"/>
        <v/>
      </c>
      <c r="K645" t="str">
        <f>IFERROR(MATCH(624,РАБОТЫ!$X$2:$X$1058,0),"")</f>
        <v/>
      </c>
      <c r="L645" t="str">
        <f>IFERROR(IF(INDEX(РАБОТЫ!$W$2:$W$1058,MATCH(624+1,РАБОТЫ!$X$2:$X$1058,0))=1,INDEX(РАБОТЫ!$V$2:$V$1058,MATCH(624+1,РАБОТЫ!$X$2:$X$1058,0)),""),"")</f>
        <v/>
      </c>
      <c r="M645" t="str">
        <f t="shared" si="39"/>
        <v/>
      </c>
    </row>
    <row r="646" spans="1:13" hidden="1" x14ac:dyDescent="0.3">
      <c r="A646" t="str">
        <f>IF(ISNUMBER($K646),INDEX(РАБОТЫ!$U$2:$U$1058,$K646),"")</f>
        <v/>
      </c>
      <c r="B646" t="str">
        <f>IF(ISNUMBER($K646),INDEX(РАБОТЫ!$A$2:$A$1058,$K646),"")</f>
        <v/>
      </c>
      <c r="C646" s="4" t="str">
        <f>IF($L646&lt;&gt;"",INDEX(РАБОТЫ!$Z$2:$Z$1058,MATCH($L646,РАБОТЫ!$V$2:$V$1058,0)),IF(ISNUMBER($K646),INDEX(РАБОТЫ!$Y$2:$Y$1058,$K646),""))</f>
        <v/>
      </c>
      <c r="D646" t="str">
        <f>IF(ISNUMBER($K646),INDEX(РАБОТЫ!$E$2:$E$1058,$K646),"")</f>
        <v/>
      </c>
      <c r="E646" t="str">
        <f>IF(ISNUMBER($K646),INDEX(РАБОТЫ!$M$2:$M$1058,$K646),"")</f>
        <v/>
      </c>
      <c r="F646" s="7" t="str">
        <f>IF(ISNUMBER($K646),INDEX(РАБОТЫ!$S$2:$S$1058,$K646),"")</f>
        <v/>
      </c>
      <c r="G646" s="7" t="str">
        <f>IF(ISNUMBER($K646),INDEX(РАБОТЫ!$T$2:$T$1058,$K646),"")</f>
        <v/>
      </c>
      <c r="H646" s="7" t="str">
        <f t="shared" si="36"/>
        <v/>
      </c>
      <c r="I646" s="7" t="str">
        <f t="shared" si="37"/>
        <v/>
      </c>
      <c r="J646" s="7" t="str">
        <f t="shared" si="38"/>
        <v/>
      </c>
      <c r="K646" t="str">
        <f>IFERROR(MATCH(625,РАБОТЫ!$X$2:$X$1058,0),"")</f>
        <v/>
      </c>
      <c r="L646" t="str">
        <f>IFERROR(IF(INDEX(РАБОТЫ!$W$2:$W$1058,MATCH(625+1,РАБОТЫ!$X$2:$X$1058,0))=1,INDEX(РАБОТЫ!$V$2:$V$1058,MATCH(625+1,РАБОТЫ!$X$2:$X$1058,0)),""),"")</f>
        <v/>
      </c>
      <c r="M646" t="str">
        <f t="shared" si="39"/>
        <v/>
      </c>
    </row>
    <row r="647" spans="1:13" hidden="1" x14ac:dyDescent="0.3">
      <c r="A647" t="str">
        <f>IF(ISNUMBER($K647),INDEX(РАБОТЫ!$U$2:$U$1058,$K647),"")</f>
        <v/>
      </c>
      <c r="B647" t="str">
        <f>IF(ISNUMBER($K647),INDEX(РАБОТЫ!$A$2:$A$1058,$K647),"")</f>
        <v/>
      </c>
      <c r="C647" s="4" t="str">
        <f>IF($L647&lt;&gt;"",INDEX(РАБОТЫ!$Z$2:$Z$1058,MATCH($L647,РАБОТЫ!$V$2:$V$1058,0)),IF(ISNUMBER($K647),INDEX(РАБОТЫ!$Y$2:$Y$1058,$K647),""))</f>
        <v/>
      </c>
      <c r="D647" t="str">
        <f>IF(ISNUMBER($K647),INDEX(РАБОТЫ!$E$2:$E$1058,$K647),"")</f>
        <v/>
      </c>
      <c r="E647" t="str">
        <f>IF(ISNUMBER($K647),INDEX(РАБОТЫ!$M$2:$M$1058,$K647),"")</f>
        <v/>
      </c>
      <c r="F647" s="7" t="str">
        <f>IF(ISNUMBER($K647),INDEX(РАБОТЫ!$S$2:$S$1058,$K647),"")</f>
        <v/>
      </c>
      <c r="G647" s="7" t="str">
        <f>IF(ISNUMBER($K647),INDEX(РАБОТЫ!$T$2:$T$1058,$K647),"")</f>
        <v/>
      </c>
      <c r="H647" s="7" t="str">
        <f t="shared" si="36"/>
        <v/>
      </c>
      <c r="I647" s="7" t="str">
        <f t="shared" si="37"/>
        <v/>
      </c>
      <c r="J647" s="7" t="str">
        <f t="shared" si="38"/>
        <v/>
      </c>
      <c r="K647" t="str">
        <f>IFERROR(MATCH(626,РАБОТЫ!$X$2:$X$1058,0),"")</f>
        <v/>
      </c>
      <c r="L647" t="str">
        <f>IFERROR(IF(INDEX(РАБОТЫ!$W$2:$W$1058,MATCH(626+1,РАБОТЫ!$X$2:$X$1058,0))=1,INDEX(РАБОТЫ!$V$2:$V$1058,MATCH(626+1,РАБОТЫ!$X$2:$X$1058,0)),""),"")</f>
        <v/>
      </c>
      <c r="M647" t="str">
        <f t="shared" si="39"/>
        <v/>
      </c>
    </row>
    <row r="648" spans="1:13" hidden="1" x14ac:dyDescent="0.3">
      <c r="A648" t="str">
        <f>IF(ISNUMBER($K648),INDEX(РАБОТЫ!$U$2:$U$1058,$K648),"")</f>
        <v/>
      </c>
      <c r="B648" t="str">
        <f>IF(ISNUMBER($K648),INDEX(РАБОТЫ!$A$2:$A$1058,$K648),"")</f>
        <v/>
      </c>
      <c r="C648" s="4" t="str">
        <f>IF($L648&lt;&gt;"",INDEX(РАБОТЫ!$Z$2:$Z$1058,MATCH($L648,РАБОТЫ!$V$2:$V$1058,0)),IF(ISNUMBER($K648),INDEX(РАБОТЫ!$Y$2:$Y$1058,$K648),""))</f>
        <v/>
      </c>
      <c r="D648" t="str">
        <f>IF(ISNUMBER($K648),INDEX(РАБОТЫ!$E$2:$E$1058,$K648),"")</f>
        <v/>
      </c>
      <c r="E648" t="str">
        <f>IF(ISNUMBER($K648),INDEX(РАБОТЫ!$M$2:$M$1058,$K648),"")</f>
        <v/>
      </c>
      <c r="F648" s="7" t="str">
        <f>IF(ISNUMBER($K648),INDEX(РАБОТЫ!$S$2:$S$1058,$K648),"")</f>
        <v/>
      </c>
      <c r="G648" s="7" t="str">
        <f>IF(ISNUMBER($K648),INDEX(РАБОТЫ!$T$2:$T$1058,$K648),"")</f>
        <v/>
      </c>
      <c r="H648" s="7" t="str">
        <f t="shared" si="36"/>
        <v/>
      </c>
      <c r="I648" s="7" t="str">
        <f t="shared" si="37"/>
        <v/>
      </c>
      <c r="J648" s="7" t="str">
        <f t="shared" si="38"/>
        <v/>
      </c>
      <c r="K648" t="str">
        <f>IFERROR(MATCH(627,РАБОТЫ!$X$2:$X$1058,0),"")</f>
        <v/>
      </c>
      <c r="L648" t="str">
        <f>IFERROR(IF(INDEX(РАБОТЫ!$W$2:$W$1058,MATCH(627+1,РАБОТЫ!$X$2:$X$1058,0))=1,INDEX(РАБОТЫ!$V$2:$V$1058,MATCH(627+1,РАБОТЫ!$X$2:$X$1058,0)),""),"")</f>
        <v/>
      </c>
      <c r="M648" t="str">
        <f t="shared" si="39"/>
        <v/>
      </c>
    </row>
    <row r="649" spans="1:13" hidden="1" x14ac:dyDescent="0.3">
      <c r="A649" t="str">
        <f>IF(ISNUMBER($K649),INDEX(РАБОТЫ!$U$2:$U$1058,$K649),"")</f>
        <v/>
      </c>
      <c r="B649" t="str">
        <f>IF(ISNUMBER($K649),INDEX(РАБОТЫ!$A$2:$A$1058,$K649),"")</f>
        <v/>
      </c>
      <c r="C649" s="4" t="str">
        <f>IF($L649&lt;&gt;"",INDEX(РАБОТЫ!$Z$2:$Z$1058,MATCH($L649,РАБОТЫ!$V$2:$V$1058,0)),IF(ISNUMBER($K649),INDEX(РАБОТЫ!$Y$2:$Y$1058,$K649),""))</f>
        <v/>
      </c>
      <c r="D649" t="str">
        <f>IF(ISNUMBER($K649),INDEX(РАБОТЫ!$E$2:$E$1058,$K649),"")</f>
        <v/>
      </c>
      <c r="E649" t="str">
        <f>IF(ISNUMBER($K649),INDEX(РАБОТЫ!$M$2:$M$1058,$K649),"")</f>
        <v/>
      </c>
      <c r="F649" s="7" t="str">
        <f>IF(ISNUMBER($K649),INDEX(РАБОТЫ!$S$2:$S$1058,$K649),"")</f>
        <v/>
      </c>
      <c r="G649" s="7" t="str">
        <f>IF(ISNUMBER($K649),INDEX(РАБОТЫ!$T$2:$T$1058,$K649),"")</f>
        <v/>
      </c>
      <c r="H649" s="7" t="str">
        <f t="shared" si="36"/>
        <v/>
      </c>
      <c r="I649" s="7" t="str">
        <f t="shared" si="37"/>
        <v/>
      </c>
      <c r="J649" s="7" t="str">
        <f t="shared" si="38"/>
        <v/>
      </c>
      <c r="K649" t="str">
        <f>IFERROR(MATCH(628,РАБОТЫ!$X$2:$X$1058,0),"")</f>
        <v/>
      </c>
      <c r="L649" t="str">
        <f>IFERROR(IF(INDEX(РАБОТЫ!$W$2:$W$1058,MATCH(628+1,РАБОТЫ!$X$2:$X$1058,0))=1,INDEX(РАБОТЫ!$V$2:$V$1058,MATCH(628+1,РАБОТЫ!$X$2:$X$1058,0)),""),"")</f>
        <v/>
      </c>
      <c r="M649" t="str">
        <f t="shared" si="39"/>
        <v/>
      </c>
    </row>
    <row r="650" spans="1:13" hidden="1" x14ac:dyDescent="0.3">
      <c r="A650" t="str">
        <f>IF(ISNUMBER($K650),INDEX(РАБОТЫ!$U$2:$U$1058,$K650),"")</f>
        <v/>
      </c>
      <c r="B650" t="str">
        <f>IF(ISNUMBER($K650),INDEX(РАБОТЫ!$A$2:$A$1058,$K650),"")</f>
        <v/>
      </c>
      <c r="C650" s="4" t="str">
        <f>IF($L650&lt;&gt;"",INDEX(РАБОТЫ!$Z$2:$Z$1058,MATCH($L650,РАБОТЫ!$V$2:$V$1058,0)),IF(ISNUMBER($K650),INDEX(РАБОТЫ!$Y$2:$Y$1058,$K650),""))</f>
        <v/>
      </c>
      <c r="D650" t="str">
        <f>IF(ISNUMBER($K650),INDEX(РАБОТЫ!$E$2:$E$1058,$K650),"")</f>
        <v/>
      </c>
      <c r="E650" t="str">
        <f>IF(ISNUMBER($K650),INDEX(РАБОТЫ!$M$2:$M$1058,$K650),"")</f>
        <v/>
      </c>
      <c r="F650" s="7" t="str">
        <f>IF(ISNUMBER($K650),INDEX(РАБОТЫ!$S$2:$S$1058,$K650),"")</f>
        <v/>
      </c>
      <c r="G650" s="7" t="str">
        <f>IF(ISNUMBER($K650),INDEX(РАБОТЫ!$T$2:$T$1058,$K650),"")</f>
        <v/>
      </c>
      <c r="H650" s="7" t="str">
        <f t="shared" si="36"/>
        <v/>
      </c>
      <c r="I650" s="7" t="str">
        <f t="shared" si="37"/>
        <v/>
      </c>
      <c r="J650" s="7" t="str">
        <f t="shared" si="38"/>
        <v/>
      </c>
      <c r="K650" t="str">
        <f>IFERROR(MATCH(629,РАБОТЫ!$X$2:$X$1058,0),"")</f>
        <v/>
      </c>
      <c r="L650" t="str">
        <f>IFERROR(IF(INDEX(РАБОТЫ!$W$2:$W$1058,MATCH(629+1,РАБОТЫ!$X$2:$X$1058,0))=1,INDEX(РАБОТЫ!$V$2:$V$1058,MATCH(629+1,РАБОТЫ!$X$2:$X$1058,0)),""),"")</f>
        <v/>
      </c>
      <c r="M650" t="str">
        <f t="shared" si="39"/>
        <v/>
      </c>
    </row>
    <row r="651" spans="1:13" hidden="1" x14ac:dyDescent="0.3">
      <c r="A651" t="str">
        <f>IF(ISNUMBER($K651),INDEX(РАБОТЫ!$U$2:$U$1058,$K651),"")</f>
        <v/>
      </c>
      <c r="B651" t="str">
        <f>IF(ISNUMBER($K651),INDEX(РАБОТЫ!$A$2:$A$1058,$K651),"")</f>
        <v/>
      </c>
      <c r="C651" s="4" t="str">
        <f>IF($L651&lt;&gt;"",INDEX(РАБОТЫ!$Z$2:$Z$1058,MATCH($L651,РАБОТЫ!$V$2:$V$1058,0)),IF(ISNUMBER($K651),INDEX(РАБОТЫ!$Y$2:$Y$1058,$K651),""))</f>
        <v/>
      </c>
      <c r="D651" t="str">
        <f>IF(ISNUMBER($K651),INDEX(РАБОТЫ!$E$2:$E$1058,$K651),"")</f>
        <v/>
      </c>
      <c r="E651" t="str">
        <f>IF(ISNUMBER($K651),INDEX(РАБОТЫ!$M$2:$M$1058,$K651),"")</f>
        <v/>
      </c>
      <c r="F651" s="7" t="str">
        <f>IF(ISNUMBER($K651),INDEX(РАБОТЫ!$S$2:$S$1058,$K651),"")</f>
        <v/>
      </c>
      <c r="G651" s="7" t="str">
        <f>IF(ISNUMBER($K651),INDEX(РАБОТЫ!$T$2:$T$1058,$K651),"")</f>
        <v/>
      </c>
      <c r="H651" s="7" t="str">
        <f t="shared" si="36"/>
        <v/>
      </c>
      <c r="I651" s="7" t="str">
        <f t="shared" si="37"/>
        <v/>
      </c>
      <c r="J651" s="7" t="str">
        <f t="shared" si="38"/>
        <v/>
      </c>
      <c r="K651" t="str">
        <f>IFERROR(MATCH(630,РАБОТЫ!$X$2:$X$1058,0),"")</f>
        <v/>
      </c>
      <c r="L651" t="str">
        <f>IFERROR(IF(INDEX(РАБОТЫ!$W$2:$W$1058,MATCH(630+1,РАБОТЫ!$X$2:$X$1058,0))=1,INDEX(РАБОТЫ!$V$2:$V$1058,MATCH(630+1,РАБОТЫ!$X$2:$X$1058,0)),""),"")</f>
        <v/>
      </c>
      <c r="M651" t="str">
        <f t="shared" si="39"/>
        <v/>
      </c>
    </row>
    <row r="652" spans="1:13" hidden="1" x14ac:dyDescent="0.3">
      <c r="A652" t="str">
        <f>IF(ISNUMBER($K652),INDEX(РАБОТЫ!$U$2:$U$1058,$K652),"")</f>
        <v/>
      </c>
      <c r="B652" t="str">
        <f>IF(ISNUMBER($K652),INDEX(РАБОТЫ!$A$2:$A$1058,$K652),"")</f>
        <v/>
      </c>
      <c r="C652" s="4" t="str">
        <f>IF($L652&lt;&gt;"",INDEX(РАБОТЫ!$Z$2:$Z$1058,MATCH($L652,РАБОТЫ!$V$2:$V$1058,0)),IF(ISNUMBER($K652),INDEX(РАБОТЫ!$Y$2:$Y$1058,$K652),""))</f>
        <v/>
      </c>
      <c r="D652" t="str">
        <f>IF(ISNUMBER($K652),INDEX(РАБОТЫ!$E$2:$E$1058,$K652),"")</f>
        <v/>
      </c>
      <c r="E652" t="str">
        <f>IF(ISNUMBER($K652),INDEX(РАБОТЫ!$M$2:$M$1058,$K652),"")</f>
        <v/>
      </c>
      <c r="F652" s="7" t="str">
        <f>IF(ISNUMBER($K652),INDEX(РАБОТЫ!$S$2:$S$1058,$K652),"")</f>
        <v/>
      </c>
      <c r="G652" s="7" t="str">
        <f>IF(ISNUMBER($K652),INDEX(РАБОТЫ!$T$2:$T$1058,$K652),"")</f>
        <v/>
      </c>
      <c r="H652" s="7" t="str">
        <f t="shared" si="36"/>
        <v/>
      </c>
      <c r="I652" s="7" t="str">
        <f t="shared" si="37"/>
        <v/>
      </c>
      <c r="J652" s="7" t="str">
        <f t="shared" si="38"/>
        <v/>
      </c>
      <c r="K652" t="str">
        <f>IFERROR(MATCH(631,РАБОТЫ!$X$2:$X$1058,0),"")</f>
        <v/>
      </c>
      <c r="L652" t="str">
        <f>IFERROR(IF(INDEX(РАБОТЫ!$W$2:$W$1058,MATCH(631+1,РАБОТЫ!$X$2:$X$1058,0))=1,INDEX(РАБОТЫ!$V$2:$V$1058,MATCH(631+1,РАБОТЫ!$X$2:$X$1058,0)),""),"")</f>
        <v/>
      </c>
      <c r="M652" t="str">
        <f t="shared" si="39"/>
        <v/>
      </c>
    </row>
    <row r="653" spans="1:13" hidden="1" x14ac:dyDescent="0.3">
      <c r="A653" t="str">
        <f>IF(ISNUMBER($K653),INDEX(РАБОТЫ!$U$2:$U$1058,$K653),"")</f>
        <v/>
      </c>
      <c r="B653" t="str">
        <f>IF(ISNUMBER($K653),INDEX(РАБОТЫ!$A$2:$A$1058,$K653),"")</f>
        <v/>
      </c>
      <c r="C653" s="4" t="str">
        <f>IF($L653&lt;&gt;"",INDEX(РАБОТЫ!$Z$2:$Z$1058,MATCH($L653,РАБОТЫ!$V$2:$V$1058,0)),IF(ISNUMBER($K653),INDEX(РАБОТЫ!$Y$2:$Y$1058,$K653),""))</f>
        <v/>
      </c>
      <c r="D653" t="str">
        <f>IF(ISNUMBER($K653),INDEX(РАБОТЫ!$E$2:$E$1058,$K653),"")</f>
        <v/>
      </c>
      <c r="E653" t="str">
        <f>IF(ISNUMBER($K653),INDEX(РАБОТЫ!$M$2:$M$1058,$K653),"")</f>
        <v/>
      </c>
      <c r="F653" s="7" t="str">
        <f>IF(ISNUMBER($K653),INDEX(РАБОТЫ!$S$2:$S$1058,$K653),"")</f>
        <v/>
      </c>
      <c r="G653" s="7" t="str">
        <f>IF(ISNUMBER($K653),INDEX(РАБОТЫ!$T$2:$T$1058,$K653),"")</f>
        <v/>
      </c>
      <c r="H653" s="7" t="str">
        <f t="shared" si="36"/>
        <v/>
      </c>
      <c r="I653" s="7" t="str">
        <f t="shared" si="37"/>
        <v/>
      </c>
      <c r="J653" s="7" t="str">
        <f t="shared" si="38"/>
        <v/>
      </c>
      <c r="K653" t="str">
        <f>IFERROR(MATCH(632,РАБОТЫ!$X$2:$X$1058,0),"")</f>
        <v/>
      </c>
      <c r="L653" t="str">
        <f>IFERROR(IF(INDEX(РАБОТЫ!$W$2:$W$1058,MATCH(632+1,РАБОТЫ!$X$2:$X$1058,0))=1,INDEX(РАБОТЫ!$V$2:$V$1058,MATCH(632+1,РАБОТЫ!$X$2:$X$1058,0)),""),"")</f>
        <v/>
      </c>
      <c r="M653" t="str">
        <f t="shared" si="39"/>
        <v/>
      </c>
    </row>
    <row r="654" spans="1:13" hidden="1" x14ac:dyDescent="0.3">
      <c r="A654" t="str">
        <f>IF(ISNUMBER($K654),INDEX(РАБОТЫ!$U$2:$U$1058,$K654),"")</f>
        <v/>
      </c>
      <c r="B654" t="str">
        <f>IF(ISNUMBER($K654),INDEX(РАБОТЫ!$A$2:$A$1058,$K654),"")</f>
        <v/>
      </c>
      <c r="C654" s="4" t="str">
        <f>IF($L654&lt;&gt;"",INDEX(РАБОТЫ!$Z$2:$Z$1058,MATCH($L654,РАБОТЫ!$V$2:$V$1058,0)),IF(ISNUMBER($K654),INDEX(РАБОТЫ!$Y$2:$Y$1058,$K654),""))</f>
        <v/>
      </c>
      <c r="D654" t="str">
        <f>IF(ISNUMBER($K654),INDEX(РАБОТЫ!$E$2:$E$1058,$K654),"")</f>
        <v/>
      </c>
      <c r="E654" t="str">
        <f>IF(ISNUMBER($K654),INDEX(РАБОТЫ!$M$2:$M$1058,$K654),"")</f>
        <v/>
      </c>
      <c r="F654" s="7" t="str">
        <f>IF(ISNUMBER($K654),INDEX(РАБОТЫ!$S$2:$S$1058,$K654),"")</f>
        <v/>
      </c>
      <c r="G654" s="7" t="str">
        <f>IF(ISNUMBER($K654),INDEX(РАБОТЫ!$T$2:$T$1058,$K654),"")</f>
        <v/>
      </c>
      <c r="H654" s="7" t="str">
        <f t="shared" si="36"/>
        <v/>
      </c>
      <c r="I654" s="7" t="str">
        <f t="shared" si="37"/>
        <v/>
      </c>
      <c r="J654" s="7" t="str">
        <f t="shared" si="38"/>
        <v/>
      </c>
      <c r="K654" t="str">
        <f>IFERROR(MATCH(633,РАБОТЫ!$X$2:$X$1058,0),"")</f>
        <v/>
      </c>
      <c r="L654" t="str">
        <f>IFERROR(IF(INDEX(РАБОТЫ!$W$2:$W$1058,MATCH(633+1,РАБОТЫ!$X$2:$X$1058,0))=1,INDEX(РАБОТЫ!$V$2:$V$1058,MATCH(633+1,РАБОТЫ!$X$2:$X$1058,0)),""),"")</f>
        <v/>
      </c>
      <c r="M654" t="str">
        <f t="shared" si="39"/>
        <v/>
      </c>
    </row>
    <row r="655" spans="1:13" hidden="1" x14ac:dyDescent="0.3">
      <c r="A655" t="str">
        <f>IF(ISNUMBER($K655),INDEX(РАБОТЫ!$U$2:$U$1058,$K655),"")</f>
        <v/>
      </c>
      <c r="B655" t="str">
        <f>IF(ISNUMBER($K655),INDEX(РАБОТЫ!$A$2:$A$1058,$K655),"")</f>
        <v/>
      </c>
      <c r="C655" s="4" t="str">
        <f>IF($L655&lt;&gt;"",INDEX(РАБОТЫ!$Z$2:$Z$1058,MATCH($L655,РАБОТЫ!$V$2:$V$1058,0)),IF(ISNUMBER($K655),INDEX(РАБОТЫ!$Y$2:$Y$1058,$K655),""))</f>
        <v/>
      </c>
      <c r="D655" t="str">
        <f>IF(ISNUMBER($K655),INDEX(РАБОТЫ!$E$2:$E$1058,$K655),"")</f>
        <v/>
      </c>
      <c r="E655" t="str">
        <f>IF(ISNUMBER($K655),INDEX(РАБОТЫ!$M$2:$M$1058,$K655),"")</f>
        <v/>
      </c>
      <c r="F655" s="7" t="str">
        <f>IF(ISNUMBER($K655),INDEX(РАБОТЫ!$S$2:$S$1058,$K655),"")</f>
        <v/>
      </c>
      <c r="G655" s="7" t="str">
        <f>IF(ISNUMBER($K655),INDEX(РАБОТЫ!$T$2:$T$1058,$K655),"")</f>
        <v/>
      </c>
      <c r="H655" s="7" t="str">
        <f t="shared" si="36"/>
        <v/>
      </c>
      <c r="I655" s="7" t="str">
        <f t="shared" si="37"/>
        <v/>
      </c>
      <c r="J655" s="7" t="str">
        <f t="shared" si="38"/>
        <v/>
      </c>
      <c r="K655" t="str">
        <f>IFERROR(MATCH(634,РАБОТЫ!$X$2:$X$1058,0),"")</f>
        <v/>
      </c>
      <c r="L655" t="str">
        <f>IFERROR(IF(INDEX(РАБОТЫ!$W$2:$W$1058,MATCH(634+1,РАБОТЫ!$X$2:$X$1058,0))=1,INDEX(РАБОТЫ!$V$2:$V$1058,MATCH(634+1,РАБОТЫ!$X$2:$X$1058,0)),""),"")</f>
        <v/>
      </c>
      <c r="M655" t="str">
        <f t="shared" si="39"/>
        <v/>
      </c>
    </row>
    <row r="656" spans="1:13" hidden="1" x14ac:dyDescent="0.3">
      <c r="A656" t="str">
        <f>IF(ISNUMBER($K656),INDEX(РАБОТЫ!$U$2:$U$1058,$K656),"")</f>
        <v/>
      </c>
      <c r="B656" t="str">
        <f>IF(ISNUMBER($K656),INDEX(РАБОТЫ!$A$2:$A$1058,$K656),"")</f>
        <v/>
      </c>
      <c r="C656" s="4" t="str">
        <f>IF($L656&lt;&gt;"",INDEX(РАБОТЫ!$Z$2:$Z$1058,MATCH($L656,РАБОТЫ!$V$2:$V$1058,0)),IF(ISNUMBER($K656),INDEX(РАБОТЫ!$Y$2:$Y$1058,$K656),""))</f>
        <v/>
      </c>
      <c r="D656" t="str">
        <f>IF(ISNUMBER($K656),INDEX(РАБОТЫ!$E$2:$E$1058,$K656),"")</f>
        <v/>
      </c>
      <c r="E656" t="str">
        <f>IF(ISNUMBER($K656),INDEX(РАБОТЫ!$M$2:$M$1058,$K656),"")</f>
        <v/>
      </c>
      <c r="F656" s="7" t="str">
        <f>IF(ISNUMBER($K656),INDEX(РАБОТЫ!$S$2:$S$1058,$K656),"")</f>
        <v/>
      </c>
      <c r="G656" s="7" t="str">
        <f>IF(ISNUMBER($K656),INDEX(РАБОТЫ!$T$2:$T$1058,$K656),"")</f>
        <v/>
      </c>
      <c r="H656" s="7" t="str">
        <f t="shared" si="36"/>
        <v/>
      </c>
      <c r="I656" s="7" t="str">
        <f t="shared" si="37"/>
        <v/>
      </c>
      <c r="J656" s="7" t="str">
        <f t="shared" si="38"/>
        <v/>
      </c>
      <c r="K656" t="str">
        <f>IFERROR(MATCH(635,РАБОТЫ!$X$2:$X$1058,0),"")</f>
        <v/>
      </c>
      <c r="L656" t="str">
        <f>IFERROR(IF(INDEX(РАБОТЫ!$W$2:$W$1058,MATCH(635+1,РАБОТЫ!$X$2:$X$1058,0))=1,INDEX(РАБОТЫ!$V$2:$V$1058,MATCH(635+1,РАБОТЫ!$X$2:$X$1058,0)),""),"")</f>
        <v/>
      </c>
      <c r="M656" t="str">
        <f t="shared" si="39"/>
        <v/>
      </c>
    </row>
    <row r="657" spans="1:13" hidden="1" x14ac:dyDescent="0.3">
      <c r="A657" t="str">
        <f>IF(ISNUMBER($K657),INDEX(РАБОТЫ!$U$2:$U$1058,$K657),"")</f>
        <v/>
      </c>
      <c r="B657" t="str">
        <f>IF(ISNUMBER($K657),INDEX(РАБОТЫ!$A$2:$A$1058,$K657),"")</f>
        <v/>
      </c>
      <c r="C657" s="4" t="str">
        <f>IF($L657&lt;&gt;"",INDEX(РАБОТЫ!$Z$2:$Z$1058,MATCH($L657,РАБОТЫ!$V$2:$V$1058,0)),IF(ISNUMBER($K657),INDEX(РАБОТЫ!$Y$2:$Y$1058,$K657),""))</f>
        <v/>
      </c>
      <c r="D657" t="str">
        <f>IF(ISNUMBER($K657),INDEX(РАБОТЫ!$E$2:$E$1058,$K657),"")</f>
        <v/>
      </c>
      <c r="E657" t="str">
        <f>IF(ISNUMBER($K657),INDEX(РАБОТЫ!$M$2:$M$1058,$K657),"")</f>
        <v/>
      </c>
      <c r="F657" s="7" t="str">
        <f>IF(ISNUMBER($K657),INDEX(РАБОТЫ!$S$2:$S$1058,$K657),"")</f>
        <v/>
      </c>
      <c r="G657" s="7" t="str">
        <f>IF(ISNUMBER($K657),INDEX(РАБОТЫ!$T$2:$T$1058,$K657),"")</f>
        <v/>
      </c>
      <c r="H657" s="7" t="str">
        <f t="shared" si="36"/>
        <v/>
      </c>
      <c r="I657" s="7" t="str">
        <f t="shared" si="37"/>
        <v/>
      </c>
      <c r="J657" s="7" t="str">
        <f t="shared" si="38"/>
        <v/>
      </c>
      <c r="K657" t="str">
        <f>IFERROR(MATCH(636,РАБОТЫ!$X$2:$X$1058,0),"")</f>
        <v/>
      </c>
      <c r="L657" t="str">
        <f>IFERROR(IF(INDEX(РАБОТЫ!$W$2:$W$1058,MATCH(636+1,РАБОТЫ!$X$2:$X$1058,0))=1,INDEX(РАБОТЫ!$V$2:$V$1058,MATCH(636+1,РАБОТЫ!$X$2:$X$1058,0)),""),"")</f>
        <v/>
      </c>
      <c r="M657" t="str">
        <f t="shared" si="39"/>
        <v/>
      </c>
    </row>
    <row r="658" spans="1:13" hidden="1" x14ac:dyDescent="0.3">
      <c r="A658" t="str">
        <f>IF(ISNUMBER($K658),INDEX(РАБОТЫ!$U$2:$U$1058,$K658),"")</f>
        <v/>
      </c>
      <c r="B658" t="str">
        <f>IF(ISNUMBER($K658),INDEX(РАБОТЫ!$A$2:$A$1058,$K658),"")</f>
        <v/>
      </c>
      <c r="C658" s="4" t="str">
        <f>IF($L658&lt;&gt;"",INDEX(РАБОТЫ!$Z$2:$Z$1058,MATCH($L658,РАБОТЫ!$V$2:$V$1058,0)),IF(ISNUMBER($K658),INDEX(РАБОТЫ!$Y$2:$Y$1058,$K658),""))</f>
        <v/>
      </c>
      <c r="D658" t="str">
        <f>IF(ISNUMBER($K658),INDEX(РАБОТЫ!$E$2:$E$1058,$K658),"")</f>
        <v/>
      </c>
      <c r="E658" t="str">
        <f>IF(ISNUMBER($K658),INDEX(РАБОТЫ!$M$2:$M$1058,$K658),"")</f>
        <v/>
      </c>
      <c r="F658" s="7" t="str">
        <f>IF(ISNUMBER($K658),INDEX(РАБОТЫ!$S$2:$S$1058,$K658),"")</f>
        <v/>
      </c>
      <c r="G658" s="7" t="str">
        <f>IF(ISNUMBER($K658),INDEX(РАБОТЫ!$T$2:$T$1058,$K658),"")</f>
        <v/>
      </c>
      <c r="H658" s="7" t="str">
        <f t="shared" si="36"/>
        <v/>
      </c>
      <c r="I658" s="7" t="str">
        <f t="shared" si="37"/>
        <v/>
      </c>
      <c r="J658" s="7" t="str">
        <f t="shared" si="38"/>
        <v/>
      </c>
      <c r="K658" t="str">
        <f>IFERROR(MATCH(637,РАБОТЫ!$X$2:$X$1058,0),"")</f>
        <v/>
      </c>
      <c r="L658" t="str">
        <f>IFERROR(IF(INDEX(РАБОТЫ!$W$2:$W$1058,MATCH(637+1,РАБОТЫ!$X$2:$X$1058,0))=1,INDEX(РАБОТЫ!$V$2:$V$1058,MATCH(637+1,РАБОТЫ!$X$2:$X$1058,0)),""),"")</f>
        <v/>
      </c>
      <c r="M658" t="str">
        <f t="shared" si="39"/>
        <v/>
      </c>
    </row>
    <row r="659" spans="1:13" hidden="1" x14ac:dyDescent="0.3">
      <c r="A659" t="str">
        <f>IF(ISNUMBER($K659),INDEX(РАБОТЫ!$U$2:$U$1058,$K659),"")</f>
        <v/>
      </c>
      <c r="B659" t="str">
        <f>IF(ISNUMBER($K659),INDEX(РАБОТЫ!$A$2:$A$1058,$K659),"")</f>
        <v/>
      </c>
      <c r="C659" s="4" t="str">
        <f>IF($L659&lt;&gt;"",INDEX(РАБОТЫ!$Z$2:$Z$1058,MATCH($L659,РАБОТЫ!$V$2:$V$1058,0)),IF(ISNUMBER($K659),INDEX(РАБОТЫ!$Y$2:$Y$1058,$K659),""))</f>
        <v/>
      </c>
      <c r="D659" t="str">
        <f>IF(ISNUMBER($K659),INDEX(РАБОТЫ!$E$2:$E$1058,$K659),"")</f>
        <v/>
      </c>
      <c r="E659" t="str">
        <f>IF(ISNUMBER($K659),INDEX(РАБОТЫ!$M$2:$M$1058,$K659),"")</f>
        <v/>
      </c>
      <c r="F659" s="7" t="str">
        <f>IF(ISNUMBER($K659),INDEX(РАБОТЫ!$S$2:$S$1058,$K659),"")</f>
        <v/>
      </c>
      <c r="G659" s="7" t="str">
        <f>IF(ISNUMBER($K659),INDEX(РАБОТЫ!$T$2:$T$1058,$K659),"")</f>
        <v/>
      </c>
      <c r="H659" s="7" t="str">
        <f t="shared" si="36"/>
        <v/>
      </c>
      <c r="I659" s="7" t="str">
        <f t="shared" si="37"/>
        <v/>
      </c>
      <c r="J659" s="7" t="str">
        <f t="shared" si="38"/>
        <v/>
      </c>
      <c r="K659" t="str">
        <f>IFERROR(MATCH(638,РАБОТЫ!$X$2:$X$1058,0),"")</f>
        <v/>
      </c>
      <c r="L659" t="str">
        <f>IFERROR(IF(INDEX(РАБОТЫ!$W$2:$W$1058,MATCH(638+1,РАБОТЫ!$X$2:$X$1058,0))=1,INDEX(РАБОТЫ!$V$2:$V$1058,MATCH(638+1,РАБОТЫ!$X$2:$X$1058,0)),""),"")</f>
        <v/>
      </c>
      <c r="M659" t="str">
        <f t="shared" si="39"/>
        <v/>
      </c>
    </row>
    <row r="660" spans="1:13" hidden="1" x14ac:dyDescent="0.3">
      <c r="A660" t="str">
        <f>IF(ISNUMBER($K660),INDEX(РАБОТЫ!$U$2:$U$1058,$K660),"")</f>
        <v/>
      </c>
      <c r="B660" t="str">
        <f>IF(ISNUMBER($K660),INDEX(РАБОТЫ!$A$2:$A$1058,$K660),"")</f>
        <v/>
      </c>
      <c r="C660" s="4" t="str">
        <f>IF($L660&lt;&gt;"",INDEX(РАБОТЫ!$Z$2:$Z$1058,MATCH($L660,РАБОТЫ!$V$2:$V$1058,0)),IF(ISNUMBER($K660),INDEX(РАБОТЫ!$Y$2:$Y$1058,$K660),""))</f>
        <v/>
      </c>
      <c r="D660" t="str">
        <f>IF(ISNUMBER($K660),INDEX(РАБОТЫ!$E$2:$E$1058,$K660),"")</f>
        <v/>
      </c>
      <c r="E660" t="str">
        <f>IF(ISNUMBER($K660),INDEX(РАБОТЫ!$M$2:$M$1058,$K660),"")</f>
        <v/>
      </c>
      <c r="F660" s="7" t="str">
        <f>IF(ISNUMBER($K660),INDEX(РАБОТЫ!$S$2:$S$1058,$K660),"")</f>
        <v/>
      </c>
      <c r="G660" s="7" t="str">
        <f>IF(ISNUMBER($K660),INDEX(РАБОТЫ!$T$2:$T$1058,$K660),"")</f>
        <v/>
      </c>
      <c r="H660" s="7" t="str">
        <f t="shared" si="36"/>
        <v/>
      </c>
      <c r="I660" s="7" t="str">
        <f t="shared" si="37"/>
        <v/>
      </c>
      <c r="J660" s="7" t="str">
        <f t="shared" si="38"/>
        <v/>
      </c>
      <c r="K660" t="str">
        <f>IFERROR(MATCH(639,РАБОТЫ!$X$2:$X$1058,0),"")</f>
        <v/>
      </c>
      <c r="L660" t="str">
        <f>IFERROR(IF(INDEX(РАБОТЫ!$W$2:$W$1058,MATCH(639+1,РАБОТЫ!$X$2:$X$1058,0))=1,INDEX(РАБОТЫ!$V$2:$V$1058,MATCH(639+1,РАБОТЫ!$X$2:$X$1058,0)),""),"")</f>
        <v/>
      </c>
      <c r="M660" t="str">
        <f t="shared" si="39"/>
        <v/>
      </c>
    </row>
    <row r="661" spans="1:13" hidden="1" x14ac:dyDescent="0.3">
      <c r="A661" t="str">
        <f>IF(ISNUMBER($K661),INDEX(РАБОТЫ!$U$2:$U$1058,$K661),"")</f>
        <v/>
      </c>
      <c r="B661" t="str">
        <f>IF(ISNUMBER($K661),INDEX(РАБОТЫ!$A$2:$A$1058,$K661),"")</f>
        <v/>
      </c>
      <c r="C661" s="4" t="str">
        <f>IF($L661&lt;&gt;"",INDEX(РАБОТЫ!$Z$2:$Z$1058,MATCH($L661,РАБОТЫ!$V$2:$V$1058,0)),IF(ISNUMBER($K661),INDEX(РАБОТЫ!$Y$2:$Y$1058,$K661),""))</f>
        <v/>
      </c>
      <c r="D661" t="str">
        <f>IF(ISNUMBER($K661),INDEX(РАБОТЫ!$E$2:$E$1058,$K661),"")</f>
        <v/>
      </c>
      <c r="E661" t="str">
        <f>IF(ISNUMBER($K661),INDEX(РАБОТЫ!$M$2:$M$1058,$K661),"")</f>
        <v/>
      </c>
      <c r="F661" s="7" t="str">
        <f>IF(ISNUMBER($K661),INDEX(РАБОТЫ!$S$2:$S$1058,$K661),"")</f>
        <v/>
      </c>
      <c r="G661" s="7" t="str">
        <f>IF(ISNUMBER($K661),INDEX(РАБОТЫ!$T$2:$T$1058,$K661),"")</f>
        <v/>
      </c>
      <c r="H661" s="7" t="str">
        <f t="shared" si="36"/>
        <v/>
      </c>
      <c r="I661" s="7" t="str">
        <f t="shared" si="37"/>
        <v/>
      </c>
      <c r="J661" s="7" t="str">
        <f t="shared" si="38"/>
        <v/>
      </c>
      <c r="K661" t="str">
        <f>IFERROR(MATCH(640,РАБОТЫ!$X$2:$X$1058,0),"")</f>
        <v/>
      </c>
      <c r="L661" t="str">
        <f>IFERROR(IF(INDEX(РАБОТЫ!$W$2:$W$1058,MATCH(640+1,РАБОТЫ!$X$2:$X$1058,0))=1,INDEX(РАБОТЫ!$V$2:$V$1058,MATCH(640+1,РАБОТЫ!$X$2:$X$1058,0)),""),"")</f>
        <v/>
      </c>
      <c r="M661" t="str">
        <f t="shared" si="39"/>
        <v/>
      </c>
    </row>
    <row r="662" spans="1:13" hidden="1" x14ac:dyDescent="0.3">
      <c r="A662" t="str">
        <f>IF(ISNUMBER($K662),INDEX(РАБОТЫ!$U$2:$U$1058,$K662),"")</f>
        <v/>
      </c>
      <c r="B662" t="str">
        <f>IF(ISNUMBER($K662),INDEX(РАБОТЫ!$A$2:$A$1058,$K662),"")</f>
        <v/>
      </c>
      <c r="C662" s="4" t="str">
        <f>IF($L662&lt;&gt;"",INDEX(РАБОТЫ!$Z$2:$Z$1058,MATCH($L662,РАБОТЫ!$V$2:$V$1058,0)),IF(ISNUMBER($K662),INDEX(РАБОТЫ!$Y$2:$Y$1058,$K662),""))</f>
        <v/>
      </c>
      <c r="D662" t="str">
        <f>IF(ISNUMBER($K662),INDEX(РАБОТЫ!$E$2:$E$1058,$K662),"")</f>
        <v/>
      </c>
      <c r="E662" t="str">
        <f>IF(ISNUMBER($K662),INDEX(РАБОТЫ!$M$2:$M$1058,$K662),"")</f>
        <v/>
      </c>
      <c r="F662" s="7" t="str">
        <f>IF(ISNUMBER($K662),INDEX(РАБОТЫ!$S$2:$S$1058,$K662),"")</f>
        <v/>
      </c>
      <c r="G662" s="7" t="str">
        <f>IF(ISNUMBER($K662),INDEX(РАБОТЫ!$T$2:$T$1058,$K662),"")</f>
        <v/>
      </c>
      <c r="H662" s="7" t="str">
        <f t="shared" ref="H662:H725" si="40">IF(ISNUMBER($K662),ROUND($E662*$F662,2),"")</f>
        <v/>
      </c>
      <c r="I662" s="7" t="str">
        <f t="shared" ref="I662:I725" si="41">IF(ISNUMBER($K662),ROUND($E662*$G662,2),"")</f>
        <v/>
      </c>
      <c r="J662" s="7" t="str">
        <f t="shared" ref="J662:J725" si="42">IF(ISNUMBER($K662),$H662+$I662,"")</f>
        <v/>
      </c>
      <c r="K662" t="str">
        <f>IFERROR(MATCH(641,РАБОТЫ!$X$2:$X$1058,0),"")</f>
        <v/>
      </c>
      <c r="L662" t="str">
        <f>IFERROR(IF(INDEX(РАБОТЫ!$W$2:$W$1058,MATCH(641+1,РАБОТЫ!$X$2:$X$1058,0))=1,INDEX(РАБОТЫ!$V$2:$V$1058,MATCH(641+1,РАБОТЫ!$X$2:$X$1058,0)),""),"")</f>
        <v/>
      </c>
      <c r="M662" t="str">
        <f t="shared" ref="M662:M725" si="43">IF(OR(ISNUMBER($K662),$L662&lt;&gt;""),"показать","")</f>
        <v/>
      </c>
    </row>
    <row r="663" spans="1:13" hidden="1" x14ac:dyDescent="0.3">
      <c r="A663" t="str">
        <f>IF(ISNUMBER($K663),INDEX(РАБОТЫ!$U$2:$U$1058,$K663),"")</f>
        <v/>
      </c>
      <c r="B663" t="str">
        <f>IF(ISNUMBER($K663),INDEX(РАБОТЫ!$A$2:$A$1058,$K663),"")</f>
        <v/>
      </c>
      <c r="C663" s="4" t="str">
        <f>IF($L663&lt;&gt;"",INDEX(РАБОТЫ!$Z$2:$Z$1058,MATCH($L663,РАБОТЫ!$V$2:$V$1058,0)),IF(ISNUMBER($K663),INDEX(РАБОТЫ!$Y$2:$Y$1058,$K663),""))</f>
        <v/>
      </c>
      <c r="D663" t="str">
        <f>IF(ISNUMBER($K663),INDEX(РАБОТЫ!$E$2:$E$1058,$K663),"")</f>
        <v/>
      </c>
      <c r="E663" t="str">
        <f>IF(ISNUMBER($K663),INDEX(РАБОТЫ!$M$2:$M$1058,$K663),"")</f>
        <v/>
      </c>
      <c r="F663" s="7" t="str">
        <f>IF(ISNUMBER($K663),INDEX(РАБОТЫ!$S$2:$S$1058,$K663),"")</f>
        <v/>
      </c>
      <c r="G663" s="7" t="str">
        <f>IF(ISNUMBER($K663),INDEX(РАБОТЫ!$T$2:$T$1058,$K663),"")</f>
        <v/>
      </c>
      <c r="H663" s="7" t="str">
        <f t="shared" si="40"/>
        <v/>
      </c>
      <c r="I663" s="7" t="str">
        <f t="shared" si="41"/>
        <v/>
      </c>
      <c r="J663" s="7" t="str">
        <f t="shared" si="42"/>
        <v/>
      </c>
      <c r="K663" t="str">
        <f>IFERROR(MATCH(642,РАБОТЫ!$X$2:$X$1058,0),"")</f>
        <v/>
      </c>
      <c r="L663" t="str">
        <f>IFERROR(IF(INDEX(РАБОТЫ!$W$2:$W$1058,MATCH(642+1,РАБОТЫ!$X$2:$X$1058,0))=1,INDEX(РАБОТЫ!$V$2:$V$1058,MATCH(642+1,РАБОТЫ!$X$2:$X$1058,0)),""),"")</f>
        <v/>
      </c>
      <c r="M663" t="str">
        <f t="shared" si="43"/>
        <v/>
      </c>
    </row>
    <row r="664" spans="1:13" hidden="1" x14ac:dyDescent="0.3">
      <c r="A664" t="str">
        <f>IF(ISNUMBER($K664),INDEX(РАБОТЫ!$U$2:$U$1058,$K664),"")</f>
        <v/>
      </c>
      <c r="B664" t="str">
        <f>IF(ISNUMBER($K664),INDEX(РАБОТЫ!$A$2:$A$1058,$K664),"")</f>
        <v/>
      </c>
      <c r="C664" s="4" t="str">
        <f>IF($L664&lt;&gt;"",INDEX(РАБОТЫ!$Z$2:$Z$1058,MATCH($L664,РАБОТЫ!$V$2:$V$1058,0)),IF(ISNUMBER($K664),INDEX(РАБОТЫ!$Y$2:$Y$1058,$K664),""))</f>
        <v/>
      </c>
      <c r="D664" t="str">
        <f>IF(ISNUMBER($K664),INDEX(РАБОТЫ!$E$2:$E$1058,$K664),"")</f>
        <v/>
      </c>
      <c r="E664" t="str">
        <f>IF(ISNUMBER($K664),INDEX(РАБОТЫ!$M$2:$M$1058,$K664),"")</f>
        <v/>
      </c>
      <c r="F664" s="7" t="str">
        <f>IF(ISNUMBER($K664),INDEX(РАБОТЫ!$S$2:$S$1058,$K664),"")</f>
        <v/>
      </c>
      <c r="G664" s="7" t="str">
        <f>IF(ISNUMBER($K664),INDEX(РАБОТЫ!$T$2:$T$1058,$K664),"")</f>
        <v/>
      </c>
      <c r="H664" s="7" t="str">
        <f t="shared" si="40"/>
        <v/>
      </c>
      <c r="I664" s="7" t="str">
        <f t="shared" si="41"/>
        <v/>
      </c>
      <c r="J664" s="7" t="str">
        <f t="shared" si="42"/>
        <v/>
      </c>
      <c r="K664" t="str">
        <f>IFERROR(MATCH(643,РАБОТЫ!$X$2:$X$1058,0),"")</f>
        <v/>
      </c>
      <c r="L664" t="str">
        <f>IFERROR(IF(INDEX(РАБОТЫ!$W$2:$W$1058,MATCH(643+1,РАБОТЫ!$X$2:$X$1058,0))=1,INDEX(РАБОТЫ!$V$2:$V$1058,MATCH(643+1,РАБОТЫ!$X$2:$X$1058,0)),""),"")</f>
        <v/>
      </c>
      <c r="M664" t="str">
        <f t="shared" si="43"/>
        <v/>
      </c>
    </row>
    <row r="665" spans="1:13" hidden="1" x14ac:dyDescent="0.3">
      <c r="A665" t="str">
        <f>IF(ISNUMBER($K665),INDEX(РАБОТЫ!$U$2:$U$1058,$K665),"")</f>
        <v/>
      </c>
      <c r="B665" t="str">
        <f>IF(ISNUMBER($K665),INDEX(РАБОТЫ!$A$2:$A$1058,$K665),"")</f>
        <v/>
      </c>
      <c r="C665" s="4" t="str">
        <f>IF($L665&lt;&gt;"",INDEX(РАБОТЫ!$Z$2:$Z$1058,MATCH($L665,РАБОТЫ!$V$2:$V$1058,0)),IF(ISNUMBER($K665),INDEX(РАБОТЫ!$Y$2:$Y$1058,$K665),""))</f>
        <v/>
      </c>
      <c r="D665" t="str">
        <f>IF(ISNUMBER($K665),INDEX(РАБОТЫ!$E$2:$E$1058,$K665),"")</f>
        <v/>
      </c>
      <c r="E665" t="str">
        <f>IF(ISNUMBER($K665),INDEX(РАБОТЫ!$M$2:$M$1058,$K665),"")</f>
        <v/>
      </c>
      <c r="F665" s="7" t="str">
        <f>IF(ISNUMBER($K665),INDEX(РАБОТЫ!$S$2:$S$1058,$K665),"")</f>
        <v/>
      </c>
      <c r="G665" s="7" t="str">
        <f>IF(ISNUMBER($K665),INDEX(РАБОТЫ!$T$2:$T$1058,$K665),"")</f>
        <v/>
      </c>
      <c r="H665" s="7" t="str">
        <f t="shared" si="40"/>
        <v/>
      </c>
      <c r="I665" s="7" t="str">
        <f t="shared" si="41"/>
        <v/>
      </c>
      <c r="J665" s="7" t="str">
        <f t="shared" si="42"/>
        <v/>
      </c>
      <c r="K665" t="str">
        <f>IFERROR(MATCH(644,РАБОТЫ!$X$2:$X$1058,0),"")</f>
        <v/>
      </c>
      <c r="L665" t="str">
        <f>IFERROR(IF(INDEX(РАБОТЫ!$W$2:$W$1058,MATCH(644+1,РАБОТЫ!$X$2:$X$1058,0))=1,INDEX(РАБОТЫ!$V$2:$V$1058,MATCH(644+1,РАБОТЫ!$X$2:$X$1058,0)),""),"")</f>
        <v/>
      </c>
      <c r="M665" t="str">
        <f t="shared" si="43"/>
        <v/>
      </c>
    </row>
    <row r="666" spans="1:13" hidden="1" x14ac:dyDescent="0.3">
      <c r="A666" t="str">
        <f>IF(ISNUMBER($K666),INDEX(РАБОТЫ!$U$2:$U$1058,$K666),"")</f>
        <v/>
      </c>
      <c r="B666" t="str">
        <f>IF(ISNUMBER($K666),INDEX(РАБОТЫ!$A$2:$A$1058,$K666),"")</f>
        <v/>
      </c>
      <c r="C666" s="4" t="str">
        <f>IF($L666&lt;&gt;"",INDEX(РАБОТЫ!$Z$2:$Z$1058,MATCH($L666,РАБОТЫ!$V$2:$V$1058,0)),IF(ISNUMBER($K666),INDEX(РАБОТЫ!$Y$2:$Y$1058,$K666),""))</f>
        <v/>
      </c>
      <c r="D666" t="str">
        <f>IF(ISNUMBER($K666),INDEX(РАБОТЫ!$E$2:$E$1058,$K666),"")</f>
        <v/>
      </c>
      <c r="E666" t="str">
        <f>IF(ISNUMBER($K666),INDEX(РАБОТЫ!$M$2:$M$1058,$K666),"")</f>
        <v/>
      </c>
      <c r="F666" s="7" t="str">
        <f>IF(ISNUMBER($K666),INDEX(РАБОТЫ!$S$2:$S$1058,$K666),"")</f>
        <v/>
      </c>
      <c r="G666" s="7" t="str">
        <f>IF(ISNUMBER($K666),INDEX(РАБОТЫ!$T$2:$T$1058,$K666),"")</f>
        <v/>
      </c>
      <c r="H666" s="7" t="str">
        <f t="shared" si="40"/>
        <v/>
      </c>
      <c r="I666" s="7" t="str">
        <f t="shared" si="41"/>
        <v/>
      </c>
      <c r="J666" s="7" t="str">
        <f t="shared" si="42"/>
        <v/>
      </c>
      <c r="K666" t="str">
        <f>IFERROR(MATCH(645,РАБОТЫ!$X$2:$X$1058,0),"")</f>
        <v/>
      </c>
      <c r="L666" t="str">
        <f>IFERROR(IF(INDEX(РАБОТЫ!$W$2:$W$1058,MATCH(645+1,РАБОТЫ!$X$2:$X$1058,0))=1,INDEX(РАБОТЫ!$V$2:$V$1058,MATCH(645+1,РАБОТЫ!$X$2:$X$1058,0)),""),"")</f>
        <v/>
      </c>
      <c r="M666" t="str">
        <f t="shared" si="43"/>
        <v/>
      </c>
    </row>
    <row r="667" spans="1:13" hidden="1" x14ac:dyDescent="0.3">
      <c r="A667" t="str">
        <f>IF(ISNUMBER($K667),INDEX(РАБОТЫ!$U$2:$U$1058,$K667),"")</f>
        <v/>
      </c>
      <c r="B667" t="str">
        <f>IF(ISNUMBER($K667),INDEX(РАБОТЫ!$A$2:$A$1058,$K667),"")</f>
        <v/>
      </c>
      <c r="C667" s="4" t="str">
        <f>IF($L667&lt;&gt;"",INDEX(РАБОТЫ!$Z$2:$Z$1058,MATCH($L667,РАБОТЫ!$V$2:$V$1058,0)),IF(ISNUMBER($K667),INDEX(РАБОТЫ!$Y$2:$Y$1058,$K667),""))</f>
        <v/>
      </c>
      <c r="D667" t="str">
        <f>IF(ISNUMBER($K667),INDEX(РАБОТЫ!$E$2:$E$1058,$K667),"")</f>
        <v/>
      </c>
      <c r="E667" t="str">
        <f>IF(ISNUMBER($K667),INDEX(РАБОТЫ!$M$2:$M$1058,$K667),"")</f>
        <v/>
      </c>
      <c r="F667" s="7" t="str">
        <f>IF(ISNUMBER($K667),INDEX(РАБОТЫ!$S$2:$S$1058,$K667),"")</f>
        <v/>
      </c>
      <c r="G667" s="7" t="str">
        <f>IF(ISNUMBER($K667),INDEX(РАБОТЫ!$T$2:$T$1058,$K667),"")</f>
        <v/>
      </c>
      <c r="H667" s="7" t="str">
        <f t="shared" si="40"/>
        <v/>
      </c>
      <c r="I667" s="7" t="str">
        <f t="shared" si="41"/>
        <v/>
      </c>
      <c r="J667" s="7" t="str">
        <f t="shared" si="42"/>
        <v/>
      </c>
      <c r="K667" t="str">
        <f>IFERROR(MATCH(646,РАБОТЫ!$X$2:$X$1058,0),"")</f>
        <v/>
      </c>
      <c r="L667" t="str">
        <f>IFERROR(IF(INDEX(РАБОТЫ!$W$2:$W$1058,MATCH(646+1,РАБОТЫ!$X$2:$X$1058,0))=1,INDEX(РАБОТЫ!$V$2:$V$1058,MATCH(646+1,РАБОТЫ!$X$2:$X$1058,0)),""),"")</f>
        <v/>
      </c>
      <c r="M667" t="str">
        <f t="shared" si="43"/>
        <v/>
      </c>
    </row>
    <row r="668" spans="1:13" hidden="1" x14ac:dyDescent="0.3">
      <c r="A668" t="str">
        <f>IF(ISNUMBER($K668),INDEX(РАБОТЫ!$U$2:$U$1058,$K668),"")</f>
        <v/>
      </c>
      <c r="B668" t="str">
        <f>IF(ISNUMBER($K668),INDEX(РАБОТЫ!$A$2:$A$1058,$K668),"")</f>
        <v/>
      </c>
      <c r="C668" s="4" t="str">
        <f>IF($L668&lt;&gt;"",INDEX(РАБОТЫ!$Z$2:$Z$1058,MATCH($L668,РАБОТЫ!$V$2:$V$1058,0)),IF(ISNUMBER($K668),INDEX(РАБОТЫ!$Y$2:$Y$1058,$K668),""))</f>
        <v/>
      </c>
      <c r="D668" t="str">
        <f>IF(ISNUMBER($K668),INDEX(РАБОТЫ!$E$2:$E$1058,$K668),"")</f>
        <v/>
      </c>
      <c r="E668" t="str">
        <f>IF(ISNUMBER($K668),INDEX(РАБОТЫ!$M$2:$M$1058,$K668),"")</f>
        <v/>
      </c>
      <c r="F668" s="7" t="str">
        <f>IF(ISNUMBER($K668),INDEX(РАБОТЫ!$S$2:$S$1058,$K668),"")</f>
        <v/>
      </c>
      <c r="G668" s="7" t="str">
        <f>IF(ISNUMBER($K668),INDEX(РАБОТЫ!$T$2:$T$1058,$K668),"")</f>
        <v/>
      </c>
      <c r="H668" s="7" t="str">
        <f t="shared" si="40"/>
        <v/>
      </c>
      <c r="I668" s="7" t="str">
        <f t="shared" si="41"/>
        <v/>
      </c>
      <c r="J668" s="7" t="str">
        <f t="shared" si="42"/>
        <v/>
      </c>
      <c r="K668" t="str">
        <f>IFERROR(MATCH(647,РАБОТЫ!$X$2:$X$1058,0),"")</f>
        <v/>
      </c>
      <c r="L668" t="str">
        <f>IFERROR(IF(INDEX(РАБОТЫ!$W$2:$W$1058,MATCH(647+1,РАБОТЫ!$X$2:$X$1058,0))=1,INDEX(РАБОТЫ!$V$2:$V$1058,MATCH(647+1,РАБОТЫ!$X$2:$X$1058,0)),""),"")</f>
        <v/>
      </c>
      <c r="M668" t="str">
        <f t="shared" si="43"/>
        <v/>
      </c>
    </row>
    <row r="669" spans="1:13" hidden="1" x14ac:dyDescent="0.3">
      <c r="A669" t="str">
        <f>IF(ISNUMBER($K669),INDEX(РАБОТЫ!$U$2:$U$1058,$K669),"")</f>
        <v/>
      </c>
      <c r="B669" t="str">
        <f>IF(ISNUMBER($K669),INDEX(РАБОТЫ!$A$2:$A$1058,$K669),"")</f>
        <v/>
      </c>
      <c r="C669" s="4" t="str">
        <f>IF($L669&lt;&gt;"",INDEX(РАБОТЫ!$Z$2:$Z$1058,MATCH($L669,РАБОТЫ!$V$2:$V$1058,0)),IF(ISNUMBER($K669),INDEX(РАБОТЫ!$Y$2:$Y$1058,$K669),""))</f>
        <v/>
      </c>
      <c r="D669" t="str">
        <f>IF(ISNUMBER($K669),INDEX(РАБОТЫ!$E$2:$E$1058,$K669),"")</f>
        <v/>
      </c>
      <c r="E669" t="str">
        <f>IF(ISNUMBER($K669),INDEX(РАБОТЫ!$M$2:$M$1058,$K669),"")</f>
        <v/>
      </c>
      <c r="F669" s="7" t="str">
        <f>IF(ISNUMBER($K669),INDEX(РАБОТЫ!$S$2:$S$1058,$K669),"")</f>
        <v/>
      </c>
      <c r="G669" s="7" t="str">
        <f>IF(ISNUMBER($K669),INDEX(РАБОТЫ!$T$2:$T$1058,$K669),"")</f>
        <v/>
      </c>
      <c r="H669" s="7" t="str">
        <f t="shared" si="40"/>
        <v/>
      </c>
      <c r="I669" s="7" t="str">
        <f t="shared" si="41"/>
        <v/>
      </c>
      <c r="J669" s="7" t="str">
        <f t="shared" si="42"/>
        <v/>
      </c>
      <c r="K669" t="str">
        <f>IFERROR(MATCH(648,РАБОТЫ!$X$2:$X$1058,0),"")</f>
        <v/>
      </c>
      <c r="L669" t="str">
        <f>IFERROR(IF(INDEX(РАБОТЫ!$W$2:$W$1058,MATCH(648+1,РАБОТЫ!$X$2:$X$1058,0))=1,INDEX(РАБОТЫ!$V$2:$V$1058,MATCH(648+1,РАБОТЫ!$X$2:$X$1058,0)),""),"")</f>
        <v/>
      </c>
      <c r="M669" t="str">
        <f t="shared" si="43"/>
        <v/>
      </c>
    </row>
    <row r="670" spans="1:13" hidden="1" x14ac:dyDescent="0.3">
      <c r="A670" t="str">
        <f>IF(ISNUMBER($K670),INDEX(РАБОТЫ!$U$2:$U$1058,$K670),"")</f>
        <v/>
      </c>
      <c r="B670" t="str">
        <f>IF(ISNUMBER($K670),INDEX(РАБОТЫ!$A$2:$A$1058,$K670),"")</f>
        <v/>
      </c>
      <c r="C670" s="4" t="str">
        <f>IF($L670&lt;&gt;"",INDEX(РАБОТЫ!$Z$2:$Z$1058,MATCH($L670,РАБОТЫ!$V$2:$V$1058,0)),IF(ISNUMBER($K670),INDEX(РАБОТЫ!$Y$2:$Y$1058,$K670),""))</f>
        <v/>
      </c>
      <c r="D670" t="str">
        <f>IF(ISNUMBER($K670),INDEX(РАБОТЫ!$E$2:$E$1058,$K670),"")</f>
        <v/>
      </c>
      <c r="E670" t="str">
        <f>IF(ISNUMBER($K670),INDEX(РАБОТЫ!$M$2:$M$1058,$K670),"")</f>
        <v/>
      </c>
      <c r="F670" s="7" t="str">
        <f>IF(ISNUMBER($K670),INDEX(РАБОТЫ!$S$2:$S$1058,$K670),"")</f>
        <v/>
      </c>
      <c r="G670" s="7" t="str">
        <f>IF(ISNUMBER($K670),INDEX(РАБОТЫ!$T$2:$T$1058,$K670),"")</f>
        <v/>
      </c>
      <c r="H670" s="7" t="str">
        <f t="shared" si="40"/>
        <v/>
      </c>
      <c r="I670" s="7" t="str">
        <f t="shared" si="41"/>
        <v/>
      </c>
      <c r="J670" s="7" t="str">
        <f t="shared" si="42"/>
        <v/>
      </c>
      <c r="K670" t="str">
        <f>IFERROR(MATCH(649,РАБОТЫ!$X$2:$X$1058,0),"")</f>
        <v/>
      </c>
      <c r="L670" t="str">
        <f>IFERROR(IF(INDEX(РАБОТЫ!$W$2:$W$1058,MATCH(649+1,РАБОТЫ!$X$2:$X$1058,0))=1,INDEX(РАБОТЫ!$V$2:$V$1058,MATCH(649+1,РАБОТЫ!$X$2:$X$1058,0)),""),"")</f>
        <v/>
      </c>
      <c r="M670" t="str">
        <f t="shared" si="43"/>
        <v/>
      </c>
    </row>
    <row r="671" spans="1:13" hidden="1" x14ac:dyDescent="0.3">
      <c r="A671" t="str">
        <f>IF(ISNUMBER($K671),INDEX(РАБОТЫ!$U$2:$U$1058,$K671),"")</f>
        <v/>
      </c>
      <c r="B671" t="str">
        <f>IF(ISNUMBER($K671),INDEX(РАБОТЫ!$A$2:$A$1058,$K671),"")</f>
        <v/>
      </c>
      <c r="C671" s="4" t="str">
        <f>IF($L671&lt;&gt;"",INDEX(РАБОТЫ!$Z$2:$Z$1058,MATCH($L671,РАБОТЫ!$V$2:$V$1058,0)),IF(ISNUMBER($K671),INDEX(РАБОТЫ!$Y$2:$Y$1058,$K671),""))</f>
        <v/>
      </c>
      <c r="D671" t="str">
        <f>IF(ISNUMBER($K671),INDEX(РАБОТЫ!$E$2:$E$1058,$K671),"")</f>
        <v/>
      </c>
      <c r="E671" t="str">
        <f>IF(ISNUMBER($K671),INDEX(РАБОТЫ!$M$2:$M$1058,$K671),"")</f>
        <v/>
      </c>
      <c r="F671" s="7" t="str">
        <f>IF(ISNUMBER($K671),INDEX(РАБОТЫ!$S$2:$S$1058,$K671),"")</f>
        <v/>
      </c>
      <c r="G671" s="7" t="str">
        <f>IF(ISNUMBER($K671),INDEX(РАБОТЫ!$T$2:$T$1058,$K671),"")</f>
        <v/>
      </c>
      <c r="H671" s="7" t="str">
        <f t="shared" si="40"/>
        <v/>
      </c>
      <c r="I671" s="7" t="str">
        <f t="shared" si="41"/>
        <v/>
      </c>
      <c r="J671" s="7" t="str">
        <f t="shared" si="42"/>
        <v/>
      </c>
      <c r="K671" t="str">
        <f>IFERROR(MATCH(650,РАБОТЫ!$X$2:$X$1058,0),"")</f>
        <v/>
      </c>
      <c r="L671" t="str">
        <f>IFERROR(IF(INDEX(РАБОТЫ!$W$2:$W$1058,MATCH(650+1,РАБОТЫ!$X$2:$X$1058,0))=1,INDEX(РАБОТЫ!$V$2:$V$1058,MATCH(650+1,РАБОТЫ!$X$2:$X$1058,0)),""),"")</f>
        <v/>
      </c>
      <c r="M671" t="str">
        <f t="shared" si="43"/>
        <v/>
      </c>
    </row>
    <row r="672" spans="1:13" hidden="1" x14ac:dyDescent="0.3">
      <c r="A672" t="str">
        <f>IF(ISNUMBER($K672),INDEX(РАБОТЫ!$U$2:$U$1058,$K672),"")</f>
        <v/>
      </c>
      <c r="B672" t="str">
        <f>IF(ISNUMBER($K672),INDEX(РАБОТЫ!$A$2:$A$1058,$K672),"")</f>
        <v/>
      </c>
      <c r="C672" s="4" t="str">
        <f>IF($L672&lt;&gt;"",INDEX(РАБОТЫ!$Z$2:$Z$1058,MATCH($L672,РАБОТЫ!$V$2:$V$1058,0)),IF(ISNUMBER($K672),INDEX(РАБОТЫ!$Y$2:$Y$1058,$K672),""))</f>
        <v/>
      </c>
      <c r="D672" t="str">
        <f>IF(ISNUMBER($K672),INDEX(РАБОТЫ!$E$2:$E$1058,$K672),"")</f>
        <v/>
      </c>
      <c r="E672" t="str">
        <f>IF(ISNUMBER($K672),INDEX(РАБОТЫ!$M$2:$M$1058,$K672),"")</f>
        <v/>
      </c>
      <c r="F672" s="7" t="str">
        <f>IF(ISNUMBER($K672),INDEX(РАБОТЫ!$S$2:$S$1058,$K672),"")</f>
        <v/>
      </c>
      <c r="G672" s="7" t="str">
        <f>IF(ISNUMBER($K672),INDEX(РАБОТЫ!$T$2:$T$1058,$K672),"")</f>
        <v/>
      </c>
      <c r="H672" s="7" t="str">
        <f t="shared" si="40"/>
        <v/>
      </c>
      <c r="I672" s="7" t="str">
        <f t="shared" si="41"/>
        <v/>
      </c>
      <c r="J672" s="7" t="str">
        <f t="shared" si="42"/>
        <v/>
      </c>
      <c r="K672" t="str">
        <f>IFERROR(MATCH(651,РАБОТЫ!$X$2:$X$1058,0),"")</f>
        <v/>
      </c>
      <c r="L672" t="str">
        <f>IFERROR(IF(INDEX(РАБОТЫ!$W$2:$W$1058,MATCH(651+1,РАБОТЫ!$X$2:$X$1058,0))=1,INDEX(РАБОТЫ!$V$2:$V$1058,MATCH(651+1,РАБОТЫ!$X$2:$X$1058,0)),""),"")</f>
        <v/>
      </c>
      <c r="M672" t="str">
        <f t="shared" si="43"/>
        <v/>
      </c>
    </row>
    <row r="673" spans="1:13" hidden="1" x14ac:dyDescent="0.3">
      <c r="A673" t="str">
        <f>IF(ISNUMBER($K673),INDEX(РАБОТЫ!$U$2:$U$1058,$K673),"")</f>
        <v/>
      </c>
      <c r="B673" t="str">
        <f>IF(ISNUMBER($K673),INDEX(РАБОТЫ!$A$2:$A$1058,$K673),"")</f>
        <v/>
      </c>
      <c r="C673" s="4" t="str">
        <f>IF($L673&lt;&gt;"",INDEX(РАБОТЫ!$Z$2:$Z$1058,MATCH($L673,РАБОТЫ!$V$2:$V$1058,0)),IF(ISNUMBER($K673),INDEX(РАБОТЫ!$Y$2:$Y$1058,$K673),""))</f>
        <v/>
      </c>
      <c r="D673" t="str">
        <f>IF(ISNUMBER($K673),INDEX(РАБОТЫ!$E$2:$E$1058,$K673),"")</f>
        <v/>
      </c>
      <c r="E673" t="str">
        <f>IF(ISNUMBER($K673),INDEX(РАБОТЫ!$M$2:$M$1058,$K673),"")</f>
        <v/>
      </c>
      <c r="F673" s="7" t="str">
        <f>IF(ISNUMBER($K673),INDEX(РАБОТЫ!$S$2:$S$1058,$K673),"")</f>
        <v/>
      </c>
      <c r="G673" s="7" t="str">
        <f>IF(ISNUMBER($K673),INDEX(РАБОТЫ!$T$2:$T$1058,$K673),"")</f>
        <v/>
      </c>
      <c r="H673" s="7" t="str">
        <f t="shared" si="40"/>
        <v/>
      </c>
      <c r="I673" s="7" t="str">
        <f t="shared" si="41"/>
        <v/>
      </c>
      <c r="J673" s="7" t="str">
        <f t="shared" si="42"/>
        <v/>
      </c>
      <c r="K673" t="str">
        <f>IFERROR(MATCH(652,РАБОТЫ!$X$2:$X$1058,0),"")</f>
        <v/>
      </c>
      <c r="L673" t="str">
        <f>IFERROR(IF(INDEX(РАБОТЫ!$W$2:$W$1058,MATCH(652+1,РАБОТЫ!$X$2:$X$1058,0))=1,INDEX(РАБОТЫ!$V$2:$V$1058,MATCH(652+1,РАБОТЫ!$X$2:$X$1058,0)),""),"")</f>
        <v/>
      </c>
      <c r="M673" t="str">
        <f t="shared" si="43"/>
        <v/>
      </c>
    </row>
    <row r="674" spans="1:13" hidden="1" x14ac:dyDescent="0.3">
      <c r="A674" t="str">
        <f>IF(ISNUMBER($K674),INDEX(РАБОТЫ!$U$2:$U$1058,$K674),"")</f>
        <v/>
      </c>
      <c r="B674" t="str">
        <f>IF(ISNUMBER($K674),INDEX(РАБОТЫ!$A$2:$A$1058,$K674),"")</f>
        <v/>
      </c>
      <c r="C674" s="4" t="str">
        <f>IF($L674&lt;&gt;"",INDEX(РАБОТЫ!$Z$2:$Z$1058,MATCH($L674,РАБОТЫ!$V$2:$V$1058,0)),IF(ISNUMBER($K674),INDEX(РАБОТЫ!$Y$2:$Y$1058,$K674),""))</f>
        <v/>
      </c>
      <c r="D674" t="str">
        <f>IF(ISNUMBER($K674),INDEX(РАБОТЫ!$E$2:$E$1058,$K674),"")</f>
        <v/>
      </c>
      <c r="E674" t="str">
        <f>IF(ISNUMBER($K674),INDEX(РАБОТЫ!$M$2:$M$1058,$K674),"")</f>
        <v/>
      </c>
      <c r="F674" s="7" t="str">
        <f>IF(ISNUMBER($K674),INDEX(РАБОТЫ!$S$2:$S$1058,$K674),"")</f>
        <v/>
      </c>
      <c r="G674" s="7" t="str">
        <f>IF(ISNUMBER($K674),INDEX(РАБОТЫ!$T$2:$T$1058,$K674),"")</f>
        <v/>
      </c>
      <c r="H674" s="7" t="str">
        <f t="shared" si="40"/>
        <v/>
      </c>
      <c r="I674" s="7" t="str">
        <f t="shared" si="41"/>
        <v/>
      </c>
      <c r="J674" s="7" t="str">
        <f t="shared" si="42"/>
        <v/>
      </c>
      <c r="K674" t="str">
        <f>IFERROR(MATCH(653,РАБОТЫ!$X$2:$X$1058,0),"")</f>
        <v/>
      </c>
      <c r="L674" t="str">
        <f>IFERROR(IF(INDEX(РАБОТЫ!$W$2:$W$1058,MATCH(653+1,РАБОТЫ!$X$2:$X$1058,0))=1,INDEX(РАБОТЫ!$V$2:$V$1058,MATCH(653+1,РАБОТЫ!$X$2:$X$1058,0)),""),"")</f>
        <v/>
      </c>
      <c r="M674" t="str">
        <f t="shared" si="43"/>
        <v/>
      </c>
    </row>
    <row r="675" spans="1:13" hidden="1" x14ac:dyDescent="0.3">
      <c r="A675" t="str">
        <f>IF(ISNUMBER($K675),INDEX(РАБОТЫ!$U$2:$U$1058,$K675),"")</f>
        <v/>
      </c>
      <c r="B675" t="str">
        <f>IF(ISNUMBER($K675),INDEX(РАБОТЫ!$A$2:$A$1058,$K675),"")</f>
        <v/>
      </c>
      <c r="C675" s="4" t="str">
        <f>IF($L675&lt;&gt;"",INDEX(РАБОТЫ!$Z$2:$Z$1058,MATCH($L675,РАБОТЫ!$V$2:$V$1058,0)),IF(ISNUMBER($K675),INDEX(РАБОТЫ!$Y$2:$Y$1058,$K675),""))</f>
        <v/>
      </c>
      <c r="D675" t="str">
        <f>IF(ISNUMBER($K675),INDEX(РАБОТЫ!$E$2:$E$1058,$K675),"")</f>
        <v/>
      </c>
      <c r="E675" t="str">
        <f>IF(ISNUMBER($K675),INDEX(РАБОТЫ!$M$2:$M$1058,$K675),"")</f>
        <v/>
      </c>
      <c r="F675" s="7" t="str">
        <f>IF(ISNUMBER($K675),INDEX(РАБОТЫ!$S$2:$S$1058,$K675),"")</f>
        <v/>
      </c>
      <c r="G675" s="7" t="str">
        <f>IF(ISNUMBER($K675),INDEX(РАБОТЫ!$T$2:$T$1058,$K675),"")</f>
        <v/>
      </c>
      <c r="H675" s="7" t="str">
        <f t="shared" si="40"/>
        <v/>
      </c>
      <c r="I675" s="7" t="str">
        <f t="shared" si="41"/>
        <v/>
      </c>
      <c r="J675" s="7" t="str">
        <f t="shared" si="42"/>
        <v/>
      </c>
      <c r="K675" t="str">
        <f>IFERROR(MATCH(654,РАБОТЫ!$X$2:$X$1058,0),"")</f>
        <v/>
      </c>
      <c r="L675" t="str">
        <f>IFERROR(IF(INDEX(РАБОТЫ!$W$2:$W$1058,MATCH(654+1,РАБОТЫ!$X$2:$X$1058,0))=1,INDEX(РАБОТЫ!$V$2:$V$1058,MATCH(654+1,РАБОТЫ!$X$2:$X$1058,0)),""),"")</f>
        <v/>
      </c>
      <c r="M675" t="str">
        <f t="shared" si="43"/>
        <v/>
      </c>
    </row>
    <row r="676" spans="1:13" hidden="1" x14ac:dyDescent="0.3">
      <c r="A676" t="str">
        <f>IF(ISNUMBER($K676),INDEX(РАБОТЫ!$U$2:$U$1058,$K676),"")</f>
        <v/>
      </c>
      <c r="B676" t="str">
        <f>IF(ISNUMBER($K676),INDEX(РАБОТЫ!$A$2:$A$1058,$K676),"")</f>
        <v/>
      </c>
      <c r="C676" s="4" t="str">
        <f>IF($L676&lt;&gt;"",INDEX(РАБОТЫ!$Z$2:$Z$1058,MATCH($L676,РАБОТЫ!$V$2:$V$1058,0)),IF(ISNUMBER($K676),INDEX(РАБОТЫ!$Y$2:$Y$1058,$K676),""))</f>
        <v/>
      </c>
      <c r="D676" t="str">
        <f>IF(ISNUMBER($K676),INDEX(РАБОТЫ!$E$2:$E$1058,$K676),"")</f>
        <v/>
      </c>
      <c r="E676" t="str">
        <f>IF(ISNUMBER($K676),INDEX(РАБОТЫ!$M$2:$M$1058,$K676),"")</f>
        <v/>
      </c>
      <c r="F676" s="7" t="str">
        <f>IF(ISNUMBER($K676),INDEX(РАБОТЫ!$S$2:$S$1058,$K676),"")</f>
        <v/>
      </c>
      <c r="G676" s="7" t="str">
        <f>IF(ISNUMBER($K676),INDEX(РАБОТЫ!$T$2:$T$1058,$K676),"")</f>
        <v/>
      </c>
      <c r="H676" s="7" t="str">
        <f t="shared" si="40"/>
        <v/>
      </c>
      <c r="I676" s="7" t="str">
        <f t="shared" si="41"/>
        <v/>
      </c>
      <c r="J676" s="7" t="str">
        <f t="shared" si="42"/>
        <v/>
      </c>
      <c r="K676" t="str">
        <f>IFERROR(MATCH(655,РАБОТЫ!$X$2:$X$1058,0),"")</f>
        <v/>
      </c>
      <c r="L676" t="str">
        <f>IFERROR(IF(INDEX(РАБОТЫ!$W$2:$W$1058,MATCH(655+1,РАБОТЫ!$X$2:$X$1058,0))=1,INDEX(РАБОТЫ!$V$2:$V$1058,MATCH(655+1,РАБОТЫ!$X$2:$X$1058,0)),""),"")</f>
        <v/>
      </c>
      <c r="M676" t="str">
        <f t="shared" si="43"/>
        <v/>
      </c>
    </row>
    <row r="677" spans="1:13" hidden="1" x14ac:dyDescent="0.3">
      <c r="A677" t="str">
        <f>IF(ISNUMBER($K677),INDEX(РАБОТЫ!$U$2:$U$1058,$K677),"")</f>
        <v/>
      </c>
      <c r="B677" t="str">
        <f>IF(ISNUMBER($K677),INDEX(РАБОТЫ!$A$2:$A$1058,$K677),"")</f>
        <v/>
      </c>
      <c r="C677" s="4" t="str">
        <f>IF($L677&lt;&gt;"",INDEX(РАБОТЫ!$Z$2:$Z$1058,MATCH($L677,РАБОТЫ!$V$2:$V$1058,0)),IF(ISNUMBER($K677),INDEX(РАБОТЫ!$Y$2:$Y$1058,$K677),""))</f>
        <v/>
      </c>
      <c r="D677" t="str">
        <f>IF(ISNUMBER($K677),INDEX(РАБОТЫ!$E$2:$E$1058,$K677),"")</f>
        <v/>
      </c>
      <c r="E677" t="str">
        <f>IF(ISNUMBER($K677),INDEX(РАБОТЫ!$M$2:$M$1058,$K677),"")</f>
        <v/>
      </c>
      <c r="F677" s="7" t="str">
        <f>IF(ISNUMBER($K677),INDEX(РАБОТЫ!$S$2:$S$1058,$K677),"")</f>
        <v/>
      </c>
      <c r="G677" s="7" t="str">
        <f>IF(ISNUMBER($K677),INDEX(РАБОТЫ!$T$2:$T$1058,$K677),"")</f>
        <v/>
      </c>
      <c r="H677" s="7" t="str">
        <f t="shared" si="40"/>
        <v/>
      </c>
      <c r="I677" s="7" t="str">
        <f t="shared" si="41"/>
        <v/>
      </c>
      <c r="J677" s="7" t="str">
        <f t="shared" si="42"/>
        <v/>
      </c>
      <c r="K677" t="str">
        <f>IFERROR(MATCH(656,РАБОТЫ!$X$2:$X$1058,0),"")</f>
        <v/>
      </c>
      <c r="L677" t="str">
        <f>IFERROR(IF(INDEX(РАБОТЫ!$W$2:$W$1058,MATCH(656+1,РАБОТЫ!$X$2:$X$1058,0))=1,INDEX(РАБОТЫ!$V$2:$V$1058,MATCH(656+1,РАБОТЫ!$X$2:$X$1058,0)),""),"")</f>
        <v/>
      </c>
      <c r="M677" t="str">
        <f t="shared" si="43"/>
        <v/>
      </c>
    </row>
    <row r="678" spans="1:13" hidden="1" x14ac:dyDescent="0.3">
      <c r="A678" t="str">
        <f>IF(ISNUMBER($K678),INDEX(РАБОТЫ!$U$2:$U$1058,$K678),"")</f>
        <v/>
      </c>
      <c r="B678" t="str">
        <f>IF(ISNUMBER($K678),INDEX(РАБОТЫ!$A$2:$A$1058,$K678),"")</f>
        <v/>
      </c>
      <c r="C678" s="4" t="str">
        <f>IF($L678&lt;&gt;"",INDEX(РАБОТЫ!$Z$2:$Z$1058,MATCH($L678,РАБОТЫ!$V$2:$V$1058,0)),IF(ISNUMBER($K678),INDEX(РАБОТЫ!$Y$2:$Y$1058,$K678),""))</f>
        <v/>
      </c>
      <c r="D678" t="str">
        <f>IF(ISNUMBER($K678),INDEX(РАБОТЫ!$E$2:$E$1058,$K678),"")</f>
        <v/>
      </c>
      <c r="E678" t="str">
        <f>IF(ISNUMBER($K678),INDEX(РАБОТЫ!$M$2:$M$1058,$K678),"")</f>
        <v/>
      </c>
      <c r="F678" s="7" t="str">
        <f>IF(ISNUMBER($K678),INDEX(РАБОТЫ!$S$2:$S$1058,$K678),"")</f>
        <v/>
      </c>
      <c r="G678" s="7" t="str">
        <f>IF(ISNUMBER($K678),INDEX(РАБОТЫ!$T$2:$T$1058,$K678),"")</f>
        <v/>
      </c>
      <c r="H678" s="7" t="str">
        <f t="shared" si="40"/>
        <v/>
      </c>
      <c r="I678" s="7" t="str">
        <f t="shared" si="41"/>
        <v/>
      </c>
      <c r="J678" s="7" t="str">
        <f t="shared" si="42"/>
        <v/>
      </c>
      <c r="K678" t="str">
        <f>IFERROR(MATCH(657,РАБОТЫ!$X$2:$X$1058,0),"")</f>
        <v/>
      </c>
      <c r="L678" t="str">
        <f>IFERROR(IF(INDEX(РАБОТЫ!$W$2:$W$1058,MATCH(657+1,РАБОТЫ!$X$2:$X$1058,0))=1,INDEX(РАБОТЫ!$V$2:$V$1058,MATCH(657+1,РАБОТЫ!$X$2:$X$1058,0)),""),"")</f>
        <v/>
      </c>
      <c r="M678" t="str">
        <f t="shared" si="43"/>
        <v/>
      </c>
    </row>
    <row r="679" spans="1:13" hidden="1" x14ac:dyDescent="0.3">
      <c r="A679" t="str">
        <f>IF(ISNUMBER($K679),INDEX(РАБОТЫ!$U$2:$U$1058,$K679),"")</f>
        <v/>
      </c>
      <c r="B679" t="str">
        <f>IF(ISNUMBER($K679),INDEX(РАБОТЫ!$A$2:$A$1058,$K679),"")</f>
        <v/>
      </c>
      <c r="C679" s="4" t="str">
        <f>IF($L679&lt;&gt;"",INDEX(РАБОТЫ!$Z$2:$Z$1058,MATCH($L679,РАБОТЫ!$V$2:$V$1058,0)),IF(ISNUMBER($K679),INDEX(РАБОТЫ!$Y$2:$Y$1058,$K679),""))</f>
        <v/>
      </c>
      <c r="D679" t="str">
        <f>IF(ISNUMBER($K679),INDEX(РАБОТЫ!$E$2:$E$1058,$K679),"")</f>
        <v/>
      </c>
      <c r="E679" t="str">
        <f>IF(ISNUMBER($K679),INDEX(РАБОТЫ!$M$2:$M$1058,$K679),"")</f>
        <v/>
      </c>
      <c r="F679" s="7" t="str">
        <f>IF(ISNUMBER($K679),INDEX(РАБОТЫ!$S$2:$S$1058,$K679),"")</f>
        <v/>
      </c>
      <c r="G679" s="7" t="str">
        <f>IF(ISNUMBER($K679),INDEX(РАБОТЫ!$T$2:$T$1058,$K679),"")</f>
        <v/>
      </c>
      <c r="H679" s="7" t="str">
        <f t="shared" si="40"/>
        <v/>
      </c>
      <c r="I679" s="7" t="str">
        <f t="shared" si="41"/>
        <v/>
      </c>
      <c r="J679" s="7" t="str">
        <f t="shared" si="42"/>
        <v/>
      </c>
      <c r="K679" t="str">
        <f>IFERROR(MATCH(658,РАБОТЫ!$X$2:$X$1058,0),"")</f>
        <v/>
      </c>
      <c r="L679" t="str">
        <f>IFERROR(IF(INDEX(РАБОТЫ!$W$2:$W$1058,MATCH(658+1,РАБОТЫ!$X$2:$X$1058,0))=1,INDEX(РАБОТЫ!$V$2:$V$1058,MATCH(658+1,РАБОТЫ!$X$2:$X$1058,0)),""),"")</f>
        <v/>
      </c>
      <c r="M679" t="str">
        <f t="shared" si="43"/>
        <v/>
      </c>
    </row>
    <row r="680" spans="1:13" hidden="1" x14ac:dyDescent="0.3">
      <c r="A680" t="str">
        <f>IF(ISNUMBER($K680),INDEX(РАБОТЫ!$U$2:$U$1058,$K680),"")</f>
        <v/>
      </c>
      <c r="B680" t="str">
        <f>IF(ISNUMBER($K680),INDEX(РАБОТЫ!$A$2:$A$1058,$K680),"")</f>
        <v/>
      </c>
      <c r="C680" s="4" t="str">
        <f>IF($L680&lt;&gt;"",INDEX(РАБОТЫ!$Z$2:$Z$1058,MATCH($L680,РАБОТЫ!$V$2:$V$1058,0)),IF(ISNUMBER($K680),INDEX(РАБОТЫ!$Y$2:$Y$1058,$K680),""))</f>
        <v/>
      </c>
      <c r="D680" t="str">
        <f>IF(ISNUMBER($K680),INDEX(РАБОТЫ!$E$2:$E$1058,$K680),"")</f>
        <v/>
      </c>
      <c r="E680" t="str">
        <f>IF(ISNUMBER($K680),INDEX(РАБОТЫ!$M$2:$M$1058,$K680),"")</f>
        <v/>
      </c>
      <c r="F680" s="7" t="str">
        <f>IF(ISNUMBER($K680),INDEX(РАБОТЫ!$S$2:$S$1058,$K680),"")</f>
        <v/>
      </c>
      <c r="G680" s="7" t="str">
        <f>IF(ISNUMBER($K680),INDEX(РАБОТЫ!$T$2:$T$1058,$K680),"")</f>
        <v/>
      </c>
      <c r="H680" s="7" t="str">
        <f t="shared" si="40"/>
        <v/>
      </c>
      <c r="I680" s="7" t="str">
        <f t="shared" si="41"/>
        <v/>
      </c>
      <c r="J680" s="7" t="str">
        <f t="shared" si="42"/>
        <v/>
      </c>
      <c r="K680" t="str">
        <f>IFERROR(MATCH(659,РАБОТЫ!$X$2:$X$1058,0),"")</f>
        <v/>
      </c>
      <c r="L680" t="str">
        <f>IFERROR(IF(INDEX(РАБОТЫ!$W$2:$W$1058,MATCH(659+1,РАБОТЫ!$X$2:$X$1058,0))=1,INDEX(РАБОТЫ!$V$2:$V$1058,MATCH(659+1,РАБОТЫ!$X$2:$X$1058,0)),""),"")</f>
        <v/>
      </c>
      <c r="M680" t="str">
        <f t="shared" si="43"/>
        <v/>
      </c>
    </row>
    <row r="681" spans="1:13" hidden="1" x14ac:dyDescent="0.3">
      <c r="A681" t="str">
        <f>IF(ISNUMBER($K681),INDEX(РАБОТЫ!$U$2:$U$1058,$K681),"")</f>
        <v/>
      </c>
      <c r="B681" t="str">
        <f>IF(ISNUMBER($K681),INDEX(РАБОТЫ!$A$2:$A$1058,$K681),"")</f>
        <v/>
      </c>
      <c r="C681" s="4" t="str">
        <f>IF($L681&lt;&gt;"",INDEX(РАБОТЫ!$Z$2:$Z$1058,MATCH($L681,РАБОТЫ!$V$2:$V$1058,0)),IF(ISNUMBER($K681),INDEX(РАБОТЫ!$Y$2:$Y$1058,$K681),""))</f>
        <v/>
      </c>
      <c r="D681" t="str">
        <f>IF(ISNUMBER($K681),INDEX(РАБОТЫ!$E$2:$E$1058,$K681),"")</f>
        <v/>
      </c>
      <c r="E681" t="str">
        <f>IF(ISNUMBER($K681),INDEX(РАБОТЫ!$M$2:$M$1058,$K681),"")</f>
        <v/>
      </c>
      <c r="F681" s="7" t="str">
        <f>IF(ISNUMBER($K681),INDEX(РАБОТЫ!$S$2:$S$1058,$K681),"")</f>
        <v/>
      </c>
      <c r="G681" s="7" t="str">
        <f>IF(ISNUMBER($K681),INDEX(РАБОТЫ!$T$2:$T$1058,$K681),"")</f>
        <v/>
      </c>
      <c r="H681" s="7" t="str">
        <f t="shared" si="40"/>
        <v/>
      </c>
      <c r="I681" s="7" t="str">
        <f t="shared" si="41"/>
        <v/>
      </c>
      <c r="J681" s="7" t="str">
        <f t="shared" si="42"/>
        <v/>
      </c>
      <c r="K681" t="str">
        <f>IFERROR(MATCH(660,РАБОТЫ!$X$2:$X$1058,0),"")</f>
        <v/>
      </c>
      <c r="L681" t="str">
        <f>IFERROR(IF(INDEX(РАБОТЫ!$W$2:$W$1058,MATCH(660+1,РАБОТЫ!$X$2:$X$1058,0))=1,INDEX(РАБОТЫ!$V$2:$V$1058,MATCH(660+1,РАБОТЫ!$X$2:$X$1058,0)),""),"")</f>
        <v/>
      </c>
      <c r="M681" t="str">
        <f t="shared" si="43"/>
        <v/>
      </c>
    </row>
    <row r="682" spans="1:13" hidden="1" x14ac:dyDescent="0.3">
      <c r="A682" t="str">
        <f>IF(ISNUMBER($K682),INDEX(РАБОТЫ!$U$2:$U$1058,$K682),"")</f>
        <v/>
      </c>
      <c r="B682" t="str">
        <f>IF(ISNUMBER($K682),INDEX(РАБОТЫ!$A$2:$A$1058,$K682),"")</f>
        <v/>
      </c>
      <c r="C682" s="4" t="str">
        <f>IF($L682&lt;&gt;"",INDEX(РАБОТЫ!$Z$2:$Z$1058,MATCH($L682,РАБОТЫ!$V$2:$V$1058,0)),IF(ISNUMBER($K682),INDEX(РАБОТЫ!$Y$2:$Y$1058,$K682),""))</f>
        <v/>
      </c>
      <c r="D682" t="str">
        <f>IF(ISNUMBER($K682),INDEX(РАБОТЫ!$E$2:$E$1058,$K682),"")</f>
        <v/>
      </c>
      <c r="E682" t="str">
        <f>IF(ISNUMBER($K682),INDEX(РАБОТЫ!$M$2:$M$1058,$K682),"")</f>
        <v/>
      </c>
      <c r="F682" s="7" t="str">
        <f>IF(ISNUMBER($K682),INDEX(РАБОТЫ!$S$2:$S$1058,$K682),"")</f>
        <v/>
      </c>
      <c r="G682" s="7" t="str">
        <f>IF(ISNUMBER($K682),INDEX(РАБОТЫ!$T$2:$T$1058,$K682),"")</f>
        <v/>
      </c>
      <c r="H682" s="7" t="str">
        <f t="shared" si="40"/>
        <v/>
      </c>
      <c r="I682" s="7" t="str">
        <f t="shared" si="41"/>
        <v/>
      </c>
      <c r="J682" s="7" t="str">
        <f t="shared" si="42"/>
        <v/>
      </c>
      <c r="K682" t="str">
        <f>IFERROR(MATCH(661,РАБОТЫ!$X$2:$X$1058,0),"")</f>
        <v/>
      </c>
      <c r="L682" t="str">
        <f>IFERROR(IF(INDEX(РАБОТЫ!$W$2:$W$1058,MATCH(661+1,РАБОТЫ!$X$2:$X$1058,0))=1,INDEX(РАБОТЫ!$V$2:$V$1058,MATCH(661+1,РАБОТЫ!$X$2:$X$1058,0)),""),"")</f>
        <v/>
      </c>
      <c r="M682" t="str">
        <f t="shared" si="43"/>
        <v/>
      </c>
    </row>
    <row r="683" spans="1:13" hidden="1" x14ac:dyDescent="0.3">
      <c r="A683" t="str">
        <f>IF(ISNUMBER($K683),INDEX(РАБОТЫ!$U$2:$U$1058,$K683),"")</f>
        <v/>
      </c>
      <c r="B683" t="str">
        <f>IF(ISNUMBER($K683),INDEX(РАБОТЫ!$A$2:$A$1058,$K683),"")</f>
        <v/>
      </c>
      <c r="C683" s="4" t="str">
        <f>IF($L683&lt;&gt;"",INDEX(РАБОТЫ!$Z$2:$Z$1058,MATCH($L683,РАБОТЫ!$V$2:$V$1058,0)),IF(ISNUMBER($K683),INDEX(РАБОТЫ!$Y$2:$Y$1058,$K683),""))</f>
        <v/>
      </c>
      <c r="D683" t="str">
        <f>IF(ISNUMBER($K683),INDEX(РАБОТЫ!$E$2:$E$1058,$K683),"")</f>
        <v/>
      </c>
      <c r="E683" t="str">
        <f>IF(ISNUMBER($K683),INDEX(РАБОТЫ!$M$2:$M$1058,$K683),"")</f>
        <v/>
      </c>
      <c r="F683" s="7" t="str">
        <f>IF(ISNUMBER($K683),INDEX(РАБОТЫ!$S$2:$S$1058,$K683),"")</f>
        <v/>
      </c>
      <c r="G683" s="7" t="str">
        <f>IF(ISNUMBER($K683),INDEX(РАБОТЫ!$T$2:$T$1058,$K683),"")</f>
        <v/>
      </c>
      <c r="H683" s="7" t="str">
        <f t="shared" si="40"/>
        <v/>
      </c>
      <c r="I683" s="7" t="str">
        <f t="shared" si="41"/>
        <v/>
      </c>
      <c r="J683" s="7" t="str">
        <f t="shared" si="42"/>
        <v/>
      </c>
      <c r="K683" t="str">
        <f>IFERROR(MATCH(662,РАБОТЫ!$X$2:$X$1058,0),"")</f>
        <v/>
      </c>
      <c r="L683" t="str">
        <f>IFERROR(IF(INDEX(РАБОТЫ!$W$2:$W$1058,MATCH(662+1,РАБОТЫ!$X$2:$X$1058,0))=1,INDEX(РАБОТЫ!$V$2:$V$1058,MATCH(662+1,РАБОТЫ!$X$2:$X$1058,0)),""),"")</f>
        <v/>
      </c>
      <c r="M683" t="str">
        <f t="shared" si="43"/>
        <v/>
      </c>
    </row>
    <row r="684" spans="1:13" hidden="1" x14ac:dyDescent="0.3">
      <c r="A684" t="str">
        <f>IF(ISNUMBER($K684),INDEX(РАБОТЫ!$U$2:$U$1058,$K684),"")</f>
        <v/>
      </c>
      <c r="B684" t="str">
        <f>IF(ISNUMBER($K684),INDEX(РАБОТЫ!$A$2:$A$1058,$K684),"")</f>
        <v/>
      </c>
      <c r="C684" s="4" t="str">
        <f>IF($L684&lt;&gt;"",INDEX(РАБОТЫ!$Z$2:$Z$1058,MATCH($L684,РАБОТЫ!$V$2:$V$1058,0)),IF(ISNUMBER($K684),INDEX(РАБОТЫ!$Y$2:$Y$1058,$K684),""))</f>
        <v/>
      </c>
      <c r="D684" t="str">
        <f>IF(ISNUMBER($K684),INDEX(РАБОТЫ!$E$2:$E$1058,$K684),"")</f>
        <v/>
      </c>
      <c r="E684" t="str">
        <f>IF(ISNUMBER($K684),INDEX(РАБОТЫ!$M$2:$M$1058,$K684),"")</f>
        <v/>
      </c>
      <c r="F684" s="7" t="str">
        <f>IF(ISNUMBER($K684),INDEX(РАБОТЫ!$S$2:$S$1058,$K684),"")</f>
        <v/>
      </c>
      <c r="G684" s="7" t="str">
        <f>IF(ISNUMBER($K684),INDEX(РАБОТЫ!$T$2:$T$1058,$K684),"")</f>
        <v/>
      </c>
      <c r="H684" s="7" t="str">
        <f t="shared" si="40"/>
        <v/>
      </c>
      <c r="I684" s="7" t="str">
        <f t="shared" si="41"/>
        <v/>
      </c>
      <c r="J684" s="7" t="str">
        <f t="shared" si="42"/>
        <v/>
      </c>
      <c r="K684" t="str">
        <f>IFERROR(MATCH(663,РАБОТЫ!$X$2:$X$1058,0),"")</f>
        <v/>
      </c>
      <c r="L684" t="str">
        <f>IFERROR(IF(INDEX(РАБОТЫ!$W$2:$W$1058,MATCH(663+1,РАБОТЫ!$X$2:$X$1058,0))=1,INDEX(РАБОТЫ!$V$2:$V$1058,MATCH(663+1,РАБОТЫ!$X$2:$X$1058,0)),""),"")</f>
        <v/>
      </c>
      <c r="M684" t="str">
        <f t="shared" si="43"/>
        <v/>
      </c>
    </row>
    <row r="685" spans="1:13" hidden="1" x14ac:dyDescent="0.3">
      <c r="A685" t="str">
        <f>IF(ISNUMBER($K685),INDEX(РАБОТЫ!$U$2:$U$1058,$K685),"")</f>
        <v/>
      </c>
      <c r="B685" t="str">
        <f>IF(ISNUMBER($K685),INDEX(РАБОТЫ!$A$2:$A$1058,$K685),"")</f>
        <v/>
      </c>
      <c r="C685" s="4" t="str">
        <f>IF($L685&lt;&gt;"",INDEX(РАБОТЫ!$Z$2:$Z$1058,MATCH($L685,РАБОТЫ!$V$2:$V$1058,0)),IF(ISNUMBER($K685),INDEX(РАБОТЫ!$Y$2:$Y$1058,$K685),""))</f>
        <v/>
      </c>
      <c r="D685" t="str">
        <f>IF(ISNUMBER($K685),INDEX(РАБОТЫ!$E$2:$E$1058,$K685),"")</f>
        <v/>
      </c>
      <c r="E685" t="str">
        <f>IF(ISNUMBER($K685),INDEX(РАБОТЫ!$M$2:$M$1058,$K685),"")</f>
        <v/>
      </c>
      <c r="F685" s="7" t="str">
        <f>IF(ISNUMBER($K685),INDEX(РАБОТЫ!$S$2:$S$1058,$K685),"")</f>
        <v/>
      </c>
      <c r="G685" s="7" t="str">
        <f>IF(ISNUMBER($K685),INDEX(РАБОТЫ!$T$2:$T$1058,$K685),"")</f>
        <v/>
      </c>
      <c r="H685" s="7" t="str">
        <f t="shared" si="40"/>
        <v/>
      </c>
      <c r="I685" s="7" t="str">
        <f t="shared" si="41"/>
        <v/>
      </c>
      <c r="J685" s="7" t="str">
        <f t="shared" si="42"/>
        <v/>
      </c>
      <c r="K685" t="str">
        <f>IFERROR(MATCH(664,РАБОТЫ!$X$2:$X$1058,0),"")</f>
        <v/>
      </c>
      <c r="L685" t="str">
        <f>IFERROR(IF(INDEX(РАБОТЫ!$W$2:$W$1058,MATCH(664+1,РАБОТЫ!$X$2:$X$1058,0))=1,INDEX(РАБОТЫ!$V$2:$V$1058,MATCH(664+1,РАБОТЫ!$X$2:$X$1058,0)),""),"")</f>
        <v/>
      </c>
      <c r="M685" t="str">
        <f t="shared" si="43"/>
        <v/>
      </c>
    </row>
    <row r="686" spans="1:13" hidden="1" x14ac:dyDescent="0.3">
      <c r="A686" t="str">
        <f>IF(ISNUMBER($K686),INDEX(РАБОТЫ!$U$2:$U$1058,$K686),"")</f>
        <v/>
      </c>
      <c r="B686" t="str">
        <f>IF(ISNUMBER($K686),INDEX(РАБОТЫ!$A$2:$A$1058,$K686),"")</f>
        <v/>
      </c>
      <c r="C686" s="4" t="str">
        <f>IF($L686&lt;&gt;"",INDEX(РАБОТЫ!$Z$2:$Z$1058,MATCH($L686,РАБОТЫ!$V$2:$V$1058,0)),IF(ISNUMBER($K686),INDEX(РАБОТЫ!$Y$2:$Y$1058,$K686),""))</f>
        <v/>
      </c>
      <c r="D686" t="str">
        <f>IF(ISNUMBER($K686),INDEX(РАБОТЫ!$E$2:$E$1058,$K686),"")</f>
        <v/>
      </c>
      <c r="E686" t="str">
        <f>IF(ISNUMBER($K686),INDEX(РАБОТЫ!$M$2:$M$1058,$K686),"")</f>
        <v/>
      </c>
      <c r="F686" s="7" t="str">
        <f>IF(ISNUMBER($K686),INDEX(РАБОТЫ!$S$2:$S$1058,$K686),"")</f>
        <v/>
      </c>
      <c r="G686" s="7" t="str">
        <f>IF(ISNUMBER($K686),INDEX(РАБОТЫ!$T$2:$T$1058,$K686),"")</f>
        <v/>
      </c>
      <c r="H686" s="7" t="str">
        <f t="shared" si="40"/>
        <v/>
      </c>
      <c r="I686" s="7" t="str">
        <f t="shared" si="41"/>
        <v/>
      </c>
      <c r="J686" s="7" t="str">
        <f t="shared" si="42"/>
        <v/>
      </c>
      <c r="K686" t="str">
        <f>IFERROR(MATCH(665,РАБОТЫ!$X$2:$X$1058,0),"")</f>
        <v/>
      </c>
      <c r="L686" t="str">
        <f>IFERROR(IF(INDEX(РАБОТЫ!$W$2:$W$1058,MATCH(665+1,РАБОТЫ!$X$2:$X$1058,0))=1,INDEX(РАБОТЫ!$V$2:$V$1058,MATCH(665+1,РАБОТЫ!$X$2:$X$1058,0)),""),"")</f>
        <v/>
      </c>
      <c r="M686" t="str">
        <f t="shared" si="43"/>
        <v/>
      </c>
    </row>
    <row r="687" spans="1:13" hidden="1" x14ac:dyDescent="0.3">
      <c r="A687" t="str">
        <f>IF(ISNUMBER($K687),INDEX(РАБОТЫ!$U$2:$U$1058,$K687),"")</f>
        <v/>
      </c>
      <c r="B687" t="str">
        <f>IF(ISNUMBER($K687),INDEX(РАБОТЫ!$A$2:$A$1058,$K687),"")</f>
        <v/>
      </c>
      <c r="C687" s="4" t="str">
        <f>IF($L687&lt;&gt;"",INDEX(РАБОТЫ!$Z$2:$Z$1058,MATCH($L687,РАБОТЫ!$V$2:$V$1058,0)),IF(ISNUMBER($K687),INDEX(РАБОТЫ!$Y$2:$Y$1058,$K687),""))</f>
        <v/>
      </c>
      <c r="D687" t="str">
        <f>IF(ISNUMBER($K687),INDEX(РАБОТЫ!$E$2:$E$1058,$K687),"")</f>
        <v/>
      </c>
      <c r="E687" t="str">
        <f>IF(ISNUMBER($K687),INDEX(РАБОТЫ!$M$2:$M$1058,$K687),"")</f>
        <v/>
      </c>
      <c r="F687" s="7" t="str">
        <f>IF(ISNUMBER($K687),INDEX(РАБОТЫ!$S$2:$S$1058,$K687),"")</f>
        <v/>
      </c>
      <c r="G687" s="7" t="str">
        <f>IF(ISNUMBER($K687),INDEX(РАБОТЫ!$T$2:$T$1058,$K687),"")</f>
        <v/>
      </c>
      <c r="H687" s="7" t="str">
        <f t="shared" si="40"/>
        <v/>
      </c>
      <c r="I687" s="7" t="str">
        <f t="shared" si="41"/>
        <v/>
      </c>
      <c r="J687" s="7" t="str">
        <f t="shared" si="42"/>
        <v/>
      </c>
      <c r="K687" t="str">
        <f>IFERROR(MATCH(666,РАБОТЫ!$X$2:$X$1058,0),"")</f>
        <v/>
      </c>
      <c r="L687" t="str">
        <f>IFERROR(IF(INDEX(РАБОТЫ!$W$2:$W$1058,MATCH(666+1,РАБОТЫ!$X$2:$X$1058,0))=1,INDEX(РАБОТЫ!$V$2:$V$1058,MATCH(666+1,РАБОТЫ!$X$2:$X$1058,0)),""),"")</f>
        <v/>
      </c>
      <c r="M687" t="str">
        <f t="shared" si="43"/>
        <v/>
      </c>
    </row>
    <row r="688" spans="1:13" hidden="1" x14ac:dyDescent="0.3">
      <c r="A688" t="str">
        <f>IF(ISNUMBER($K688),INDEX(РАБОТЫ!$U$2:$U$1058,$K688),"")</f>
        <v/>
      </c>
      <c r="B688" t="str">
        <f>IF(ISNUMBER($K688),INDEX(РАБОТЫ!$A$2:$A$1058,$K688),"")</f>
        <v/>
      </c>
      <c r="C688" s="4" t="str">
        <f>IF($L688&lt;&gt;"",INDEX(РАБОТЫ!$Z$2:$Z$1058,MATCH($L688,РАБОТЫ!$V$2:$V$1058,0)),IF(ISNUMBER($K688),INDEX(РАБОТЫ!$Y$2:$Y$1058,$K688),""))</f>
        <v/>
      </c>
      <c r="D688" t="str">
        <f>IF(ISNUMBER($K688),INDEX(РАБОТЫ!$E$2:$E$1058,$K688),"")</f>
        <v/>
      </c>
      <c r="E688" t="str">
        <f>IF(ISNUMBER($K688),INDEX(РАБОТЫ!$M$2:$M$1058,$K688),"")</f>
        <v/>
      </c>
      <c r="F688" s="7" t="str">
        <f>IF(ISNUMBER($K688),INDEX(РАБОТЫ!$S$2:$S$1058,$K688),"")</f>
        <v/>
      </c>
      <c r="G688" s="7" t="str">
        <f>IF(ISNUMBER($K688),INDEX(РАБОТЫ!$T$2:$T$1058,$K688),"")</f>
        <v/>
      </c>
      <c r="H688" s="7" t="str">
        <f t="shared" si="40"/>
        <v/>
      </c>
      <c r="I688" s="7" t="str">
        <f t="shared" si="41"/>
        <v/>
      </c>
      <c r="J688" s="7" t="str">
        <f t="shared" si="42"/>
        <v/>
      </c>
      <c r="K688" t="str">
        <f>IFERROR(MATCH(667,РАБОТЫ!$X$2:$X$1058,0),"")</f>
        <v/>
      </c>
      <c r="L688" t="str">
        <f>IFERROR(IF(INDEX(РАБОТЫ!$W$2:$W$1058,MATCH(667+1,РАБОТЫ!$X$2:$X$1058,0))=1,INDEX(РАБОТЫ!$V$2:$V$1058,MATCH(667+1,РАБОТЫ!$X$2:$X$1058,0)),""),"")</f>
        <v/>
      </c>
      <c r="M688" t="str">
        <f t="shared" si="43"/>
        <v/>
      </c>
    </row>
    <row r="689" spans="1:13" hidden="1" x14ac:dyDescent="0.3">
      <c r="A689" t="str">
        <f>IF(ISNUMBER($K689),INDEX(РАБОТЫ!$U$2:$U$1058,$K689),"")</f>
        <v/>
      </c>
      <c r="B689" t="str">
        <f>IF(ISNUMBER($K689),INDEX(РАБОТЫ!$A$2:$A$1058,$K689),"")</f>
        <v/>
      </c>
      <c r="C689" s="4" t="str">
        <f>IF($L689&lt;&gt;"",INDEX(РАБОТЫ!$Z$2:$Z$1058,MATCH($L689,РАБОТЫ!$V$2:$V$1058,0)),IF(ISNUMBER($K689),INDEX(РАБОТЫ!$Y$2:$Y$1058,$K689),""))</f>
        <v/>
      </c>
      <c r="D689" t="str">
        <f>IF(ISNUMBER($K689),INDEX(РАБОТЫ!$E$2:$E$1058,$K689),"")</f>
        <v/>
      </c>
      <c r="E689" t="str">
        <f>IF(ISNUMBER($K689),INDEX(РАБОТЫ!$M$2:$M$1058,$K689),"")</f>
        <v/>
      </c>
      <c r="F689" s="7" t="str">
        <f>IF(ISNUMBER($K689),INDEX(РАБОТЫ!$S$2:$S$1058,$K689),"")</f>
        <v/>
      </c>
      <c r="G689" s="7" t="str">
        <f>IF(ISNUMBER($K689),INDEX(РАБОТЫ!$T$2:$T$1058,$K689),"")</f>
        <v/>
      </c>
      <c r="H689" s="7" t="str">
        <f t="shared" si="40"/>
        <v/>
      </c>
      <c r="I689" s="7" t="str">
        <f t="shared" si="41"/>
        <v/>
      </c>
      <c r="J689" s="7" t="str">
        <f t="shared" si="42"/>
        <v/>
      </c>
      <c r="K689" t="str">
        <f>IFERROR(MATCH(668,РАБОТЫ!$X$2:$X$1058,0),"")</f>
        <v/>
      </c>
      <c r="L689" t="str">
        <f>IFERROR(IF(INDEX(РАБОТЫ!$W$2:$W$1058,MATCH(668+1,РАБОТЫ!$X$2:$X$1058,0))=1,INDEX(РАБОТЫ!$V$2:$V$1058,MATCH(668+1,РАБОТЫ!$X$2:$X$1058,0)),""),"")</f>
        <v/>
      </c>
      <c r="M689" t="str">
        <f t="shared" si="43"/>
        <v/>
      </c>
    </row>
    <row r="690" spans="1:13" hidden="1" x14ac:dyDescent="0.3">
      <c r="A690" t="str">
        <f>IF(ISNUMBER($K690),INDEX(РАБОТЫ!$U$2:$U$1058,$K690),"")</f>
        <v/>
      </c>
      <c r="B690" t="str">
        <f>IF(ISNUMBER($K690),INDEX(РАБОТЫ!$A$2:$A$1058,$K690),"")</f>
        <v/>
      </c>
      <c r="C690" s="4" t="str">
        <f>IF($L690&lt;&gt;"",INDEX(РАБОТЫ!$Z$2:$Z$1058,MATCH($L690,РАБОТЫ!$V$2:$V$1058,0)),IF(ISNUMBER($K690),INDEX(РАБОТЫ!$Y$2:$Y$1058,$K690),""))</f>
        <v/>
      </c>
      <c r="D690" t="str">
        <f>IF(ISNUMBER($K690),INDEX(РАБОТЫ!$E$2:$E$1058,$K690),"")</f>
        <v/>
      </c>
      <c r="E690" t="str">
        <f>IF(ISNUMBER($K690),INDEX(РАБОТЫ!$M$2:$M$1058,$K690),"")</f>
        <v/>
      </c>
      <c r="F690" s="7" t="str">
        <f>IF(ISNUMBER($K690),INDEX(РАБОТЫ!$S$2:$S$1058,$K690),"")</f>
        <v/>
      </c>
      <c r="G690" s="7" t="str">
        <f>IF(ISNUMBER($K690),INDEX(РАБОТЫ!$T$2:$T$1058,$K690),"")</f>
        <v/>
      </c>
      <c r="H690" s="7" t="str">
        <f t="shared" si="40"/>
        <v/>
      </c>
      <c r="I690" s="7" t="str">
        <f t="shared" si="41"/>
        <v/>
      </c>
      <c r="J690" s="7" t="str">
        <f t="shared" si="42"/>
        <v/>
      </c>
      <c r="K690" t="str">
        <f>IFERROR(MATCH(669,РАБОТЫ!$X$2:$X$1058,0),"")</f>
        <v/>
      </c>
      <c r="L690" t="str">
        <f>IFERROR(IF(INDEX(РАБОТЫ!$W$2:$W$1058,MATCH(669+1,РАБОТЫ!$X$2:$X$1058,0))=1,INDEX(РАБОТЫ!$V$2:$V$1058,MATCH(669+1,РАБОТЫ!$X$2:$X$1058,0)),""),"")</f>
        <v/>
      </c>
      <c r="M690" t="str">
        <f t="shared" si="43"/>
        <v/>
      </c>
    </row>
    <row r="691" spans="1:13" hidden="1" x14ac:dyDescent="0.3">
      <c r="A691" t="str">
        <f>IF(ISNUMBER($K691),INDEX(РАБОТЫ!$U$2:$U$1058,$K691),"")</f>
        <v/>
      </c>
      <c r="B691" t="str">
        <f>IF(ISNUMBER($K691),INDEX(РАБОТЫ!$A$2:$A$1058,$K691),"")</f>
        <v/>
      </c>
      <c r="C691" s="4" t="str">
        <f>IF($L691&lt;&gt;"",INDEX(РАБОТЫ!$Z$2:$Z$1058,MATCH($L691,РАБОТЫ!$V$2:$V$1058,0)),IF(ISNUMBER($K691),INDEX(РАБОТЫ!$Y$2:$Y$1058,$K691),""))</f>
        <v/>
      </c>
      <c r="D691" t="str">
        <f>IF(ISNUMBER($K691),INDEX(РАБОТЫ!$E$2:$E$1058,$K691),"")</f>
        <v/>
      </c>
      <c r="E691" t="str">
        <f>IF(ISNUMBER($K691),INDEX(РАБОТЫ!$M$2:$M$1058,$K691),"")</f>
        <v/>
      </c>
      <c r="F691" s="7" t="str">
        <f>IF(ISNUMBER($K691),INDEX(РАБОТЫ!$S$2:$S$1058,$K691),"")</f>
        <v/>
      </c>
      <c r="G691" s="7" t="str">
        <f>IF(ISNUMBER($K691),INDEX(РАБОТЫ!$T$2:$T$1058,$K691),"")</f>
        <v/>
      </c>
      <c r="H691" s="7" t="str">
        <f t="shared" si="40"/>
        <v/>
      </c>
      <c r="I691" s="7" t="str">
        <f t="shared" si="41"/>
        <v/>
      </c>
      <c r="J691" s="7" t="str">
        <f t="shared" si="42"/>
        <v/>
      </c>
      <c r="K691" t="str">
        <f>IFERROR(MATCH(670,РАБОТЫ!$X$2:$X$1058,0),"")</f>
        <v/>
      </c>
      <c r="L691" t="str">
        <f>IFERROR(IF(INDEX(РАБОТЫ!$W$2:$W$1058,MATCH(670+1,РАБОТЫ!$X$2:$X$1058,0))=1,INDEX(РАБОТЫ!$V$2:$V$1058,MATCH(670+1,РАБОТЫ!$X$2:$X$1058,0)),""),"")</f>
        <v/>
      </c>
      <c r="M691" t="str">
        <f t="shared" si="43"/>
        <v/>
      </c>
    </row>
    <row r="692" spans="1:13" hidden="1" x14ac:dyDescent="0.3">
      <c r="A692" t="str">
        <f>IF(ISNUMBER($K692),INDEX(РАБОТЫ!$U$2:$U$1058,$K692),"")</f>
        <v/>
      </c>
      <c r="B692" t="str">
        <f>IF(ISNUMBER($K692),INDEX(РАБОТЫ!$A$2:$A$1058,$K692),"")</f>
        <v/>
      </c>
      <c r="C692" s="4" t="str">
        <f>IF($L692&lt;&gt;"",INDEX(РАБОТЫ!$Z$2:$Z$1058,MATCH($L692,РАБОТЫ!$V$2:$V$1058,0)),IF(ISNUMBER($K692),INDEX(РАБОТЫ!$Y$2:$Y$1058,$K692),""))</f>
        <v/>
      </c>
      <c r="D692" t="str">
        <f>IF(ISNUMBER($K692),INDEX(РАБОТЫ!$E$2:$E$1058,$K692),"")</f>
        <v/>
      </c>
      <c r="E692" t="str">
        <f>IF(ISNUMBER($K692),INDEX(РАБОТЫ!$M$2:$M$1058,$K692),"")</f>
        <v/>
      </c>
      <c r="F692" s="7" t="str">
        <f>IF(ISNUMBER($K692),INDEX(РАБОТЫ!$S$2:$S$1058,$K692),"")</f>
        <v/>
      </c>
      <c r="G692" s="7" t="str">
        <f>IF(ISNUMBER($K692),INDEX(РАБОТЫ!$T$2:$T$1058,$K692),"")</f>
        <v/>
      </c>
      <c r="H692" s="7" t="str">
        <f t="shared" si="40"/>
        <v/>
      </c>
      <c r="I692" s="7" t="str">
        <f t="shared" si="41"/>
        <v/>
      </c>
      <c r="J692" s="7" t="str">
        <f t="shared" si="42"/>
        <v/>
      </c>
      <c r="K692" t="str">
        <f>IFERROR(MATCH(671,РАБОТЫ!$X$2:$X$1058,0),"")</f>
        <v/>
      </c>
      <c r="L692" t="str">
        <f>IFERROR(IF(INDEX(РАБОТЫ!$W$2:$W$1058,MATCH(671+1,РАБОТЫ!$X$2:$X$1058,0))=1,INDEX(РАБОТЫ!$V$2:$V$1058,MATCH(671+1,РАБОТЫ!$X$2:$X$1058,0)),""),"")</f>
        <v/>
      </c>
      <c r="M692" t="str">
        <f t="shared" si="43"/>
        <v/>
      </c>
    </row>
    <row r="693" spans="1:13" hidden="1" x14ac:dyDescent="0.3">
      <c r="A693" t="str">
        <f>IF(ISNUMBER($K693),INDEX(РАБОТЫ!$U$2:$U$1058,$K693),"")</f>
        <v/>
      </c>
      <c r="B693" t="str">
        <f>IF(ISNUMBER($K693),INDEX(РАБОТЫ!$A$2:$A$1058,$K693),"")</f>
        <v/>
      </c>
      <c r="C693" s="4" t="str">
        <f>IF($L693&lt;&gt;"",INDEX(РАБОТЫ!$Z$2:$Z$1058,MATCH($L693,РАБОТЫ!$V$2:$V$1058,0)),IF(ISNUMBER($K693),INDEX(РАБОТЫ!$Y$2:$Y$1058,$K693),""))</f>
        <v/>
      </c>
      <c r="D693" t="str">
        <f>IF(ISNUMBER($K693),INDEX(РАБОТЫ!$E$2:$E$1058,$K693),"")</f>
        <v/>
      </c>
      <c r="E693" t="str">
        <f>IF(ISNUMBER($K693),INDEX(РАБОТЫ!$M$2:$M$1058,$K693),"")</f>
        <v/>
      </c>
      <c r="F693" s="7" t="str">
        <f>IF(ISNUMBER($K693),INDEX(РАБОТЫ!$S$2:$S$1058,$K693),"")</f>
        <v/>
      </c>
      <c r="G693" s="7" t="str">
        <f>IF(ISNUMBER($K693),INDEX(РАБОТЫ!$T$2:$T$1058,$K693),"")</f>
        <v/>
      </c>
      <c r="H693" s="7" t="str">
        <f t="shared" si="40"/>
        <v/>
      </c>
      <c r="I693" s="7" t="str">
        <f t="shared" si="41"/>
        <v/>
      </c>
      <c r="J693" s="7" t="str">
        <f t="shared" si="42"/>
        <v/>
      </c>
      <c r="K693" t="str">
        <f>IFERROR(MATCH(672,РАБОТЫ!$X$2:$X$1058,0),"")</f>
        <v/>
      </c>
      <c r="L693" t="str">
        <f>IFERROR(IF(INDEX(РАБОТЫ!$W$2:$W$1058,MATCH(672+1,РАБОТЫ!$X$2:$X$1058,0))=1,INDEX(РАБОТЫ!$V$2:$V$1058,MATCH(672+1,РАБОТЫ!$X$2:$X$1058,0)),""),"")</f>
        <v/>
      </c>
      <c r="M693" t="str">
        <f t="shared" si="43"/>
        <v/>
      </c>
    </row>
    <row r="694" spans="1:13" hidden="1" x14ac:dyDescent="0.3">
      <c r="A694" t="str">
        <f>IF(ISNUMBER($K694),INDEX(РАБОТЫ!$U$2:$U$1058,$K694),"")</f>
        <v/>
      </c>
      <c r="B694" t="str">
        <f>IF(ISNUMBER($K694),INDEX(РАБОТЫ!$A$2:$A$1058,$K694),"")</f>
        <v/>
      </c>
      <c r="C694" s="4" t="str">
        <f>IF($L694&lt;&gt;"",INDEX(РАБОТЫ!$Z$2:$Z$1058,MATCH($L694,РАБОТЫ!$V$2:$V$1058,0)),IF(ISNUMBER($K694),INDEX(РАБОТЫ!$Y$2:$Y$1058,$K694),""))</f>
        <v/>
      </c>
      <c r="D694" t="str">
        <f>IF(ISNUMBER($K694),INDEX(РАБОТЫ!$E$2:$E$1058,$K694),"")</f>
        <v/>
      </c>
      <c r="E694" t="str">
        <f>IF(ISNUMBER($K694),INDEX(РАБОТЫ!$M$2:$M$1058,$K694),"")</f>
        <v/>
      </c>
      <c r="F694" s="7" t="str">
        <f>IF(ISNUMBER($K694),INDEX(РАБОТЫ!$S$2:$S$1058,$K694),"")</f>
        <v/>
      </c>
      <c r="G694" s="7" t="str">
        <f>IF(ISNUMBER($K694),INDEX(РАБОТЫ!$T$2:$T$1058,$K694),"")</f>
        <v/>
      </c>
      <c r="H694" s="7" t="str">
        <f t="shared" si="40"/>
        <v/>
      </c>
      <c r="I694" s="7" t="str">
        <f t="shared" si="41"/>
        <v/>
      </c>
      <c r="J694" s="7" t="str">
        <f t="shared" si="42"/>
        <v/>
      </c>
      <c r="K694" t="str">
        <f>IFERROR(MATCH(673,РАБОТЫ!$X$2:$X$1058,0),"")</f>
        <v/>
      </c>
      <c r="L694" t="str">
        <f>IFERROR(IF(INDEX(РАБОТЫ!$W$2:$W$1058,MATCH(673+1,РАБОТЫ!$X$2:$X$1058,0))=1,INDEX(РАБОТЫ!$V$2:$V$1058,MATCH(673+1,РАБОТЫ!$X$2:$X$1058,0)),""),"")</f>
        <v/>
      </c>
      <c r="M694" t="str">
        <f t="shared" si="43"/>
        <v/>
      </c>
    </row>
    <row r="695" spans="1:13" hidden="1" x14ac:dyDescent="0.3">
      <c r="A695" t="str">
        <f>IF(ISNUMBER($K695),INDEX(РАБОТЫ!$U$2:$U$1058,$K695),"")</f>
        <v/>
      </c>
      <c r="B695" t="str">
        <f>IF(ISNUMBER($K695),INDEX(РАБОТЫ!$A$2:$A$1058,$K695),"")</f>
        <v/>
      </c>
      <c r="C695" s="4" t="str">
        <f>IF($L695&lt;&gt;"",INDEX(РАБОТЫ!$Z$2:$Z$1058,MATCH($L695,РАБОТЫ!$V$2:$V$1058,0)),IF(ISNUMBER($K695),INDEX(РАБОТЫ!$Y$2:$Y$1058,$K695),""))</f>
        <v/>
      </c>
      <c r="D695" t="str">
        <f>IF(ISNUMBER($K695),INDEX(РАБОТЫ!$E$2:$E$1058,$K695),"")</f>
        <v/>
      </c>
      <c r="E695" t="str">
        <f>IF(ISNUMBER($K695),INDEX(РАБОТЫ!$M$2:$M$1058,$K695),"")</f>
        <v/>
      </c>
      <c r="F695" s="7" t="str">
        <f>IF(ISNUMBER($K695),INDEX(РАБОТЫ!$S$2:$S$1058,$K695),"")</f>
        <v/>
      </c>
      <c r="G695" s="7" t="str">
        <f>IF(ISNUMBER($K695),INDEX(РАБОТЫ!$T$2:$T$1058,$K695),"")</f>
        <v/>
      </c>
      <c r="H695" s="7" t="str">
        <f t="shared" si="40"/>
        <v/>
      </c>
      <c r="I695" s="7" t="str">
        <f t="shared" si="41"/>
        <v/>
      </c>
      <c r="J695" s="7" t="str">
        <f t="shared" si="42"/>
        <v/>
      </c>
      <c r="K695" t="str">
        <f>IFERROR(MATCH(674,РАБОТЫ!$X$2:$X$1058,0),"")</f>
        <v/>
      </c>
      <c r="L695" t="str">
        <f>IFERROR(IF(INDEX(РАБОТЫ!$W$2:$W$1058,MATCH(674+1,РАБОТЫ!$X$2:$X$1058,0))=1,INDEX(РАБОТЫ!$V$2:$V$1058,MATCH(674+1,РАБОТЫ!$X$2:$X$1058,0)),""),"")</f>
        <v/>
      </c>
      <c r="M695" t="str">
        <f t="shared" si="43"/>
        <v/>
      </c>
    </row>
    <row r="696" spans="1:13" hidden="1" x14ac:dyDescent="0.3">
      <c r="A696" t="str">
        <f>IF(ISNUMBER($K696),INDEX(РАБОТЫ!$U$2:$U$1058,$K696),"")</f>
        <v/>
      </c>
      <c r="B696" t="str">
        <f>IF(ISNUMBER($K696),INDEX(РАБОТЫ!$A$2:$A$1058,$K696),"")</f>
        <v/>
      </c>
      <c r="C696" s="4" t="str">
        <f>IF($L696&lt;&gt;"",INDEX(РАБОТЫ!$Z$2:$Z$1058,MATCH($L696,РАБОТЫ!$V$2:$V$1058,0)),IF(ISNUMBER($K696),INDEX(РАБОТЫ!$Y$2:$Y$1058,$K696),""))</f>
        <v/>
      </c>
      <c r="D696" t="str">
        <f>IF(ISNUMBER($K696),INDEX(РАБОТЫ!$E$2:$E$1058,$K696),"")</f>
        <v/>
      </c>
      <c r="E696" t="str">
        <f>IF(ISNUMBER($K696),INDEX(РАБОТЫ!$M$2:$M$1058,$K696),"")</f>
        <v/>
      </c>
      <c r="F696" s="7" t="str">
        <f>IF(ISNUMBER($K696),INDEX(РАБОТЫ!$S$2:$S$1058,$K696),"")</f>
        <v/>
      </c>
      <c r="G696" s="7" t="str">
        <f>IF(ISNUMBER($K696),INDEX(РАБОТЫ!$T$2:$T$1058,$K696),"")</f>
        <v/>
      </c>
      <c r="H696" s="7" t="str">
        <f t="shared" si="40"/>
        <v/>
      </c>
      <c r="I696" s="7" t="str">
        <f t="shared" si="41"/>
        <v/>
      </c>
      <c r="J696" s="7" t="str">
        <f t="shared" si="42"/>
        <v/>
      </c>
      <c r="K696" t="str">
        <f>IFERROR(MATCH(675,РАБОТЫ!$X$2:$X$1058,0),"")</f>
        <v/>
      </c>
      <c r="L696" t="str">
        <f>IFERROR(IF(INDEX(РАБОТЫ!$W$2:$W$1058,MATCH(675+1,РАБОТЫ!$X$2:$X$1058,0))=1,INDEX(РАБОТЫ!$V$2:$V$1058,MATCH(675+1,РАБОТЫ!$X$2:$X$1058,0)),""),"")</f>
        <v/>
      </c>
      <c r="M696" t="str">
        <f t="shared" si="43"/>
        <v/>
      </c>
    </row>
    <row r="697" spans="1:13" hidden="1" x14ac:dyDescent="0.3">
      <c r="A697" t="str">
        <f>IF(ISNUMBER($K697),INDEX(РАБОТЫ!$U$2:$U$1058,$K697),"")</f>
        <v/>
      </c>
      <c r="B697" t="str">
        <f>IF(ISNUMBER($K697),INDEX(РАБОТЫ!$A$2:$A$1058,$K697),"")</f>
        <v/>
      </c>
      <c r="C697" s="4" t="str">
        <f>IF($L697&lt;&gt;"",INDEX(РАБОТЫ!$Z$2:$Z$1058,MATCH($L697,РАБОТЫ!$V$2:$V$1058,0)),IF(ISNUMBER($K697),INDEX(РАБОТЫ!$Y$2:$Y$1058,$K697),""))</f>
        <v/>
      </c>
      <c r="D697" t="str">
        <f>IF(ISNUMBER($K697),INDEX(РАБОТЫ!$E$2:$E$1058,$K697),"")</f>
        <v/>
      </c>
      <c r="E697" t="str">
        <f>IF(ISNUMBER($K697),INDEX(РАБОТЫ!$M$2:$M$1058,$K697),"")</f>
        <v/>
      </c>
      <c r="F697" s="7" t="str">
        <f>IF(ISNUMBER($K697),INDEX(РАБОТЫ!$S$2:$S$1058,$K697),"")</f>
        <v/>
      </c>
      <c r="G697" s="7" t="str">
        <f>IF(ISNUMBER($K697),INDEX(РАБОТЫ!$T$2:$T$1058,$K697),"")</f>
        <v/>
      </c>
      <c r="H697" s="7" t="str">
        <f t="shared" si="40"/>
        <v/>
      </c>
      <c r="I697" s="7" t="str">
        <f t="shared" si="41"/>
        <v/>
      </c>
      <c r="J697" s="7" t="str">
        <f t="shared" si="42"/>
        <v/>
      </c>
      <c r="K697" t="str">
        <f>IFERROR(MATCH(676,РАБОТЫ!$X$2:$X$1058,0),"")</f>
        <v/>
      </c>
      <c r="L697" t="str">
        <f>IFERROR(IF(INDEX(РАБОТЫ!$W$2:$W$1058,MATCH(676+1,РАБОТЫ!$X$2:$X$1058,0))=1,INDEX(РАБОТЫ!$V$2:$V$1058,MATCH(676+1,РАБОТЫ!$X$2:$X$1058,0)),""),"")</f>
        <v/>
      </c>
      <c r="M697" t="str">
        <f t="shared" si="43"/>
        <v/>
      </c>
    </row>
    <row r="698" spans="1:13" hidden="1" x14ac:dyDescent="0.3">
      <c r="A698" t="str">
        <f>IF(ISNUMBER($K698),INDEX(РАБОТЫ!$U$2:$U$1058,$K698),"")</f>
        <v/>
      </c>
      <c r="B698" t="str">
        <f>IF(ISNUMBER($K698),INDEX(РАБОТЫ!$A$2:$A$1058,$K698),"")</f>
        <v/>
      </c>
      <c r="C698" s="4" t="str">
        <f>IF($L698&lt;&gt;"",INDEX(РАБОТЫ!$Z$2:$Z$1058,MATCH($L698,РАБОТЫ!$V$2:$V$1058,0)),IF(ISNUMBER($K698),INDEX(РАБОТЫ!$Y$2:$Y$1058,$K698),""))</f>
        <v/>
      </c>
      <c r="D698" t="str">
        <f>IF(ISNUMBER($K698),INDEX(РАБОТЫ!$E$2:$E$1058,$K698),"")</f>
        <v/>
      </c>
      <c r="E698" t="str">
        <f>IF(ISNUMBER($K698),INDEX(РАБОТЫ!$M$2:$M$1058,$K698),"")</f>
        <v/>
      </c>
      <c r="F698" s="7" t="str">
        <f>IF(ISNUMBER($K698),INDEX(РАБОТЫ!$S$2:$S$1058,$K698),"")</f>
        <v/>
      </c>
      <c r="G698" s="7" t="str">
        <f>IF(ISNUMBER($K698),INDEX(РАБОТЫ!$T$2:$T$1058,$K698),"")</f>
        <v/>
      </c>
      <c r="H698" s="7" t="str">
        <f t="shared" si="40"/>
        <v/>
      </c>
      <c r="I698" s="7" t="str">
        <f t="shared" si="41"/>
        <v/>
      </c>
      <c r="J698" s="7" t="str">
        <f t="shared" si="42"/>
        <v/>
      </c>
      <c r="K698" t="str">
        <f>IFERROR(MATCH(677,РАБОТЫ!$X$2:$X$1058,0),"")</f>
        <v/>
      </c>
      <c r="L698" t="str">
        <f>IFERROR(IF(INDEX(РАБОТЫ!$W$2:$W$1058,MATCH(677+1,РАБОТЫ!$X$2:$X$1058,0))=1,INDEX(РАБОТЫ!$V$2:$V$1058,MATCH(677+1,РАБОТЫ!$X$2:$X$1058,0)),""),"")</f>
        <v/>
      </c>
      <c r="M698" t="str">
        <f t="shared" si="43"/>
        <v/>
      </c>
    </row>
    <row r="699" spans="1:13" hidden="1" x14ac:dyDescent="0.3">
      <c r="A699" t="str">
        <f>IF(ISNUMBER($K699),INDEX(РАБОТЫ!$U$2:$U$1058,$K699),"")</f>
        <v/>
      </c>
      <c r="B699" t="str">
        <f>IF(ISNUMBER($K699),INDEX(РАБОТЫ!$A$2:$A$1058,$K699),"")</f>
        <v/>
      </c>
      <c r="C699" s="4" t="str">
        <f>IF($L699&lt;&gt;"",INDEX(РАБОТЫ!$Z$2:$Z$1058,MATCH($L699,РАБОТЫ!$V$2:$V$1058,0)),IF(ISNUMBER($K699),INDEX(РАБОТЫ!$Y$2:$Y$1058,$K699),""))</f>
        <v/>
      </c>
      <c r="D699" t="str">
        <f>IF(ISNUMBER($K699),INDEX(РАБОТЫ!$E$2:$E$1058,$K699),"")</f>
        <v/>
      </c>
      <c r="E699" t="str">
        <f>IF(ISNUMBER($K699),INDEX(РАБОТЫ!$M$2:$M$1058,$K699),"")</f>
        <v/>
      </c>
      <c r="F699" s="7" t="str">
        <f>IF(ISNUMBER($K699),INDEX(РАБОТЫ!$S$2:$S$1058,$K699),"")</f>
        <v/>
      </c>
      <c r="G699" s="7" t="str">
        <f>IF(ISNUMBER($K699),INDEX(РАБОТЫ!$T$2:$T$1058,$K699),"")</f>
        <v/>
      </c>
      <c r="H699" s="7" t="str">
        <f t="shared" si="40"/>
        <v/>
      </c>
      <c r="I699" s="7" t="str">
        <f t="shared" si="41"/>
        <v/>
      </c>
      <c r="J699" s="7" t="str">
        <f t="shared" si="42"/>
        <v/>
      </c>
      <c r="K699" t="str">
        <f>IFERROR(MATCH(678,РАБОТЫ!$X$2:$X$1058,0),"")</f>
        <v/>
      </c>
      <c r="L699" t="str">
        <f>IFERROR(IF(INDEX(РАБОТЫ!$W$2:$W$1058,MATCH(678+1,РАБОТЫ!$X$2:$X$1058,0))=1,INDEX(РАБОТЫ!$V$2:$V$1058,MATCH(678+1,РАБОТЫ!$X$2:$X$1058,0)),""),"")</f>
        <v/>
      </c>
      <c r="M699" t="str">
        <f t="shared" si="43"/>
        <v/>
      </c>
    </row>
    <row r="700" spans="1:13" hidden="1" x14ac:dyDescent="0.3">
      <c r="A700" t="str">
        <f>IF(ISNUMBER($K700),INDEX(РАБОТЫ!$U$2:$U$1058,$K700),"")</f>
        <v/>
      </c>
      <c r="B700" t="str">
        <f>IF(ISNUMBER($K700),INDEX(РАБОТЫ!$A$2:$A$1058,$K700),"")</f>
        <v/>
      </c>
      <c r="C700" s="4" t="str">
        <f>IF($L700&lt;&gt;"",INDEX(РАБОТЫ!$Z$2:$Z$1058,MATCH($L700,РАБОТЫ!$V$2:$V$1058,0)),IF(ISNUMBER($K700),INDEX(РАБОТЫ!$Y$2:$Y$1058,$K700),""))</f>
        <v/>
      </c>
      <c r="D700" t="str">
        <f>IF(ISNUMBER($K700),INDEX(РАБОТЫ!$E$2:$E$1058,$K700),"")</f>
        <v/>
      </c>
      <c r="E700" t="str">
        <f>IF(ISNUMBER($K700),INDEX(РАБОТЫ!$M$2:$M$1058,$K700),"")</f>
        <v/>
      </c>
      <c r="F700" s="7" t="str">
        <f>IF(ISNUMBER($K700),INDEX(РАБОТЫ!$S$2:$S$1058,$K700),"")</f>
        <v/>
      </c>
      <c r="G700" s="7" t="str">
        <f>IF(ISNUMBER($K700),INDEX(РАБОТЫ!$T$2:$T$1058,$K700),"")</f>
        <v/>
      </c>
      <c r="H700" s="7" t="str">
        <f t="shared" si="40"/>
        <v/>
      </c>
      <c r="I700" s="7" t="str">
        <f t="shared" si="41"/>
        <v/>
      </c>
      <c r="J700" s="7" t="str">
        <f t="shared" si="42"/>
        <v/>
      </c>
      <c r="K700" t="str">
        <f>IFERROR(MATCH(679,РАБОТЫ!$X$2:$X$1058,0),"")</f>
        <v/>
      </c>
      <c r="L700" t="str">
        <f>IFERROR(IF(INDEX(РАБОТЫ!$W$2:$W$1058,MATCH(679+1,РАБОТЫ!$X$2:$X$1058,0))=1,INDEX(РАБОТЫ!$V$2:$V$1058,MATCH(679+1,РАБОТЫ!$X$2:$X$1058,0)),""),"")</f>
        <v/>
      </c>
      <c r="M700" t="str">
        <f t="shared" si="43"/>
        <v/>
      </c>
    </row>
    <row r="701" spans="1:13" hidden="1" x14ac:dyDescent="0.3">
      <c r="A701" t="str">
        <f>IF(ISNUMBER($K701),INDEX(РАБОТЫ!$U$2:$U$1058,$K701),"")</f>
        <v/>
      </c>
      <c r="B701" t="str">
        <f>IF(ISNUMBER($K701),INDEX(РАБОТЫ!$A$2:$A$1058,$K701),"")</f>
        <v/>
      </c>
      <c r="C701" s="4" t="str">
        <f>IF($L701&lt;&gt;"",INDEX(РАБОТЫ!$Z$2:$Z$1058,MATCH($L701,РАБОТЫ!$V$2:$V$1058,0)),IF(ISNUMBER($K701),INDEX(РАБОТЫ!$Y$2:$Y$1058,$K701),""))</f>
        <v/>
      </c>
      <c r="D701" t="str">
        <f>IF(ISNUMBER($K701),INDEX(РАБОТЫ!$E$2:$E$1058,$K701),"")</f>
        <v/>
      </c>
      <c r="E701" t="str">
        <f>IF(ISNUMBER($K701),INDEX(РАБОТЫ!$M$2:$M$1058,$K701),"")</f>
        <v/>
      </c>
      <c r="F701" s="7" t="str">
        <f>IF(ISNUMBER($K701),INDEX(РАБОТЫ!$S$2:$S$1058,$K701),"")</f>
        <v/>
      </c>
      <c r="G701" s="7" t="str">
        <f>IF(ISNUMBER($K701),INDEX(РАБОТЫ!$T$2:$T$1058,$K701),"")</f>
        <v/>
      </c>
      <c r="H701" s="7" t="str">
        <f t="shared" si="40"/>
        <v/>
      </c>
      <c r="I701" s="7" t="str">
        <f t="shared" si="41"/>
        <v/>
      </c>
      <c r="J701" s="7" t="str">
        <f t="shared" si="42"/>
        <v/>
      </c>
      <c r="K701" t="str">
        <f>IFERROR(MATCH(680,РАБОТЫ!$X$2:$X$1058,0),"")</f>
        <v/>
      </c>
      <c r="L701" t="str">
        <f>IFERROR(IF(INDEX(РАБОТЫ!$W$2:$W$1058,MATCH(680+1,РАБОТЫ!$X$2:$X$1058,0))=1,INDEX(РАБОТЫ!$V$2:$V$1058,MATCH(680+1,РАБОТЫ!$X$2:$X$1058,0)),""),"")</f>
        <v/>
      </c>
      <c r="M701" t="str">
        <f t="shared" si="43"/>
        <v/>
      </c>
    </row>
    <row r="702" spans="1:13" hidden="1" x14ac:dyDescent="0.3">
      <c r="A702" t="str">
        <f>IF(ISNUMBER($K702),INDEX(РАБОТЫ!$U$2:$U$1058,$K702),"")</f>
        <v/>
      </c>
      <c r="B702" t="str">
        <f>IF(ISNUMBER($K702),INDEX(РАБОТЫ!$A$2:$A$1058,$K702),"")</f>
        <v/>
      </c>
      <c r="C702" s="4" t="str">
        <f>IF($L702&lt;&gt;"",INDEX(РАБОТЫ!$Z$2:$Z$1058,MATCH($L702,РАБОТЫ!$V$2:$V$1058,0)),IF(ISNUMBER($K702),INDEX(РАБОТЫ!$Y$2:$Y$1058,$K702),""))</f>
        <v/>
      </c>
      <c r="D702" t="str">
        <f>IF(ISNUMBER($K702),INDEX(РАБОТЫ!$E$2:$E$1058,$K702),"")</f>
        <v/>
      </c>
      <c r="E702" t="str">
        <f>IF(ISNUMBER($K702),INDEX(РАБОТЫ!$M$2:$M$1058,$K702),"")</f>
        <v/>
      </c>
      <c r="F702" s="7" t="str">
        <f>IF(ISNUMBER($K702),INDEX(РАБОТЫ!$S$2:$S$1058,$K702),"")</f>
        <v/>
      </c>
      <c r="G702" s="7" t="str">
        <f>IF(ISNUMBER($K702),INDEX(РАБОТЫ!$T$2:$T$1058,$K702),"")</f>
        <v/>
      </c>
      <c r="H702" s="7" t="str">
        <f t="shared" si="40"/>
        <v/>
      </c>
      <c r="I702" s="7" t="str">
        <f t="shared" si="41"/>
        <v/>
      </c>
      <c r="J702" s="7" t="str">
        <f t="shared" si="42"/>
        <v/>
      </c>
      <c r="K702" t="str">
        <f>IFERROR(MATCH(681,РАБОТЫ!$X$2:$X$1058,0),"")</f>
        <v/>
      </c>
      <c r="L702" t="str">
        <f>IFERROR(IF(INDEX(РАБОТЫ!$W$2:$W$1058,MATCH(681+1,РАБОТЫ!$X$2:$X$1058,0))=1,INDEX(РАБОТЫ!$V$2:$V$1058,MATCH(681+1,РАБОТЫ!$X$2:$X$1058,0)),""),"")</f>
        <v/>
      </c>
      <c r="M702" t="str">
        <f t="shared" si="43"/>
        <v/>
      </c>
    </row>
    <row r="703" spans="1:13" hidden="1" x14ac:dyDescent="0.3">
      <c r="A703" t="str">
        <f>IF(ISNUMBER($K703),INDEX(РАБОТЫ!$U$2:$U$1058,$K703),"")</f>
        <v/>
      </c>
      <c r="B703" t="str">
        <f>IF(ISNUMBER($K703),INDEX(РАБОТЫ!$A$2:$A$1058,$K703),"")</f>
        <v/>
      </c>
      <c r="C703" s="4" t="str">
        <f>IF($L703&lt;&gt;"",INDEX(РАБОТЫ!$Z$2:$Z$1058,MATCH($L703,РАБОТЫ!$V$2:$V$1058,0)),IF(ISNUMBER($K703),INDEX(РАБОТЫ!$Y$2:$Y$1058,$K703),""))</f>
        <v/>
      </c>
      <c r="D703" t="str">
        <f>IF(ISNUMBER($K703),INDEX(РАБОТЫ!$E$2:$E$1058,$K703),"")</f>
        <v/>
      </c>
      <c r="E703" t="str">
        <f>IF(ISNUMBER($K703),INDEX(РАБОТЫ!$M$2:$M$1058,$K703),"")</f>
        <v/>
      </c>
      <c r="F703" s="7" t="str">
        <f>IF(ISNUMBER($K703),INDEX(РАБОТЫ!$S$2:$S$1058,$K703),"")</f>
        <v/>
      </c>
      <c r="G703" s="7" t="str">
        <f>IF(ISNUMBER($K703),INDEX(РАБОТЫ!$T$2:$T$1058,$K703),"")</f>
        <v/>
      </c>
      <c r="H703" s="7" t="str">
        <f t="shared" si="40"/>
        <v/>
      </c>
      <c r="I703" s="7" t="str">
        <f t="shared" si="41"/>
        <v/>
      </c>
      <c r="J703" s="7" t="str">
        <f t="shared" si="42"/>
        <v/>
      </c>
      <c r="K703" t="str">
        <f>IFERROR(MATCH(682,РАБОТЫ!$X$2:$X$1058,0),"")</f>
        <v/>
      </c>
      <c r="L703" t="str">
        <f>IFERROR(IF(INDEX(РАБОТЫ!$W$2:$W$1058,MATCH(682+1,РАБОТЫ!$X$2:$X$1058,0))=1,INDEX(РАБОТЫ!$V$2:$V$1058,MATCH(682+1,РАБОТЫ!$X$2:$X$1058,0)),""),"")</f>
        <v/>
      </c>
      <c r="M703" t="str">
        <f t="shared" si="43"/>
        <v/>
      </c>
    </row>
    <row r="704" spans="1:13" hidden="1" x14ac:dyDescent="0.3">
      <c r="A704" t="str">
        <f>IF(ISNUMBER($K704),INDEX(РАБОТЫ!$U$2:$U$1058,$K704),"")</f>
        <v/>
      </c>
      <c r="B704" t="str">
        <f>IF(ISNUMBER($K704),INDEX(РАБОТЫ!$A$2:$A$1058,$K704),"")</f>
        <v/>
      </c>
      <c r="C704" s="4" t="str">
        <f>IF($L704&lt;&gt;"",INDEX(РАБОТЫ!$Z$2:$Z$1058,MATCH($L704,РАБОТЫ!$V$2:$V$1058,0)),IF(ISNUMBER($K704),INDEX(РАБОТЫ!$Y$2:$Y$1058,$K704),""))</f>
        <v/>
      </c>
      <c r="D704" t="str">
        <f>IF(ISNUMBER($K704),INDEX(РАБОТЫ!$E$2:$E$1058,$K704),"")</f>
        <v/>
      </c>
      <c r="E704" t="str">
        <f>IF(ISNUMBER($K704),INDEX(РАБОТЫ!$M$2:$M$1058,$K704),"")</f>
        <v/>
      </c>
      <c r="F704" s="7" t="str">
        <f>IF(ISNUMBER($K704),INDEX(РАБОТЫ!$S$2:$S$1058,$K704),"")</f>
        <v/>
      </c>
      <c r="G704" s="7" t="str">
        <f>IF(ISNUMBER($K704),INDEX(РАБОТЫ!$T$2:$T$1058,$K704),"")</f>
        <v/>
      </c>
      <c r="H704" s="7" t="str">
        <f t="shared" si="40"/>
        <v/>
      </c>
      <c r="I704" s="7" t="str">
        <f t="shared" si="41"/>
        <v/>
      </c>
      <c r="J704" s="7" t="str">
        <f t="shared" si="42"/>
        <v/>
      </c>
      <c r="K704" t="str">
        <f>IFERROR(MATCH(683,РАБОТЫ!$X$2:$X$1058,0),"")</f>
        <v/>
      </c>
      <c r="L704" t="str">
        <f>IFERROR(IF(INDEX(РАБОТЫ!$W$2:$W$1058,MATCH(683+1,РАБОТЫ!$X$2:$X$1058,0))=1,INDEX(РАБОТЫ!$V$2:$V$1058,MATCH(683+1,РАБОТЫ!$X$2:$X$1058,0)),""),"")</f>
        <v/>
      </c>
      <c r="M704" t="str">
        <f t="shared" si="43"/>
        <v/>
      </c>
    </row>
    <row r="705" spans="1:13" hidden="1" x14ac:dyDescent="0.3">
      <c r="A705" t="str">
        <f>IF(ISNUMBER($K705),INDEX(РАБОТЫ!$U$2:$U$1058,$K705),"")</f>
        <v/>
      </c>
      <c r="B705" t="str">
        <f>IF(ISNUMBER($K705),INDEX(РАБОТЫ!$A$2:$A$1058,$K705),"")</f>
        <v/>
      </c>
      <c r="C705" s="4" t="str">
        <f>IF($L705&lt;&gt;"",INDEX(РАБОТЫ!$Z$2:$Z$1058,MATCH($L705,РАБОТЫ!$V$2:$V$1058,0)),IF(ISNUMBER($K705),INDEX(РАБОТЫ!$Y$2:$Y$1058,$K705),""))</f>
        <v/>
      </c>
      <c r="D705" t="str">
        <f>IF(ISNUMBER($K705),INDEX(РАБОТЫ!$E$2:$E$1058,$K705),"")</f>
        <v/>
      </c>
      <c r="E705" t="str">
        <f>IF(ISNUMBER($K705),INDEX(РАБОТЫ!$M$2:$M$1058,$K705),"")</f>
        <v/>
      </c>
      <c r="F705" s="7" t="str">
        <f>IF(ISNUMBER($K705),INDEX(РАБОТЫ!$S$2:$S$1058,$K705),"")</f>
        <v/>
      </c>
      <c r="G705" s="7" t="str">
        <f>IF(ISNUMBER($K705),INDEX(РАБОТЫ!$T$2:$T$1058,$K705),"")</f>
        <v/>
      </c>
      <c r="H705" s="7" t="str">
        <f t="shared" si="40"/>
        <v/>
      </c>
      <c r="I705" s="7" t="str">
        <f t="shared" si="41"/>
        <v/>
      </c>
      <c r="J705" s="7" t="str">
        <f t="shared" si="42"/>
        <v/>
      </c>
      <c r="K705" t="str">
        <f>IFERROR(MATCH(684,РАБОТЫ!$X$2:$X$1058,0),"")</f>
        <v/>
      </c>
      <c r="L705" t="str">
        <f>IFERROR(IF(INDEX(РАБОТЫ!$W$2:$W$1058,MATCH(684+1,РАБОТЫ!$X$2:$X$1058,0))=1,INDEX(РАБОТЫ!$V$2:$V$1058,MATCH(684+1,РАБОТЫ!$X$2:$X$1058,0)),""),"")</f>
        <v/>
      </c>
      <c r="M705" t="str">
        <f t="shared" si="43"/>
        <v/>
      </c>
    </row>
    <row r="706" spans="1:13" hidden="1" x14ac:dyDescent="0.3">
      <c r="A706" t="str">
        <f>IF(ISNUMBER($K706),INDEX(РАБОТЫ!$U$2:$U$1058,$K706),"")</f>
        <v/>
      </c>
      <c r="B706" t="str">
        <f>IF(ISNUMBER($K706),INDEX(РАБОТЫ!$A$2:$A$1058,$K706),"")</f>
        <v/>
      </c>
      <c r="C706" s="4" t="str">
        <f>IF($L706&lt;&gt;"",INDEX(РАБОТЫ!$Z$2:$Z$1058,MATCH($L706,РАБОТЫ!$V$2:$V$1058,0)),IF(ISNUMBER($K706),INDEX(РАБОТЫ!$Y$2:$Y$1058,$K706),""))</f>
        <v/>
      </c>
      <c r="D706" t="str">
        <f>IF(ISNUMBER($K706),INDEX(РАБОТЫ!$E$2:$E$1058,$K706),"")</f>
        <v/>
      </c>
      <c r="E706" t="str">
        <f>IF(ISNUMBER($K706),INDEX(РАБОТЫ!$M$2:$M$1058,$K706),"")</f>
        <v/>
      </c>
      <c r="F706" s="7" t="str">
        <f>IF(ISNUMBER($K706),INDEX(РАБОТЫ!$S$2:$S$1058,$K706),"")</f>
        <v/>
      </c>
      <c r="G706" s="7" t="str">
        <f>IF(ISNUMBER($K706),INDEX(РАБОТЫ!$T$2:$T$1058,$K706),"")</f>
        <v/>
      </c>
      <c r="H706" s="7" t="str">
        <f t="shared" si="40"/>
        <v/>
      </c>
      <c r="I706" s="7" t="str">
        <f t="shared" si="41"/>
        <v/>
      </c>
      <c r="J706" s="7" t="str">
        <f t="shared" si="42"/>
        <v/>
      </c>
      <c r="K706" t="str">
        <f>IFERROR(MATCH(685,РАБОТЫ!$X$2:$X$1058,0),"")</f>
        <v/>
      </c>
      <c r="L706" t="str">
        <f>IFERROR(IF(INDEX(РАБОТЫ!$W$2:$W$1058,MATCH(685+1,РАБОТЫ!$X$2:$X$1058,0))=1,INDEX(РАБОТЫ!$V$2:$V$1058,MATCH(685+1,РАБОТЫ!$X$2:$X$1058,0)),""),"")</f>
        <v/>
      </c>
      <c r="M706" t="str">
        <f t="shared" si="43"/>
        <v/>
      </c>
    </row>
    <row r="707" spans="1:13" hidden="1" x14ac:dyDescent="0.3">
      <c r="A707" t="str">
        <f>IF(ISNUMBER($K707),INDEX(РАБОТЫ!$U$2:$U$1058,$K707),"")</f>
        <v/>
      </c>
      <c r="B707" t="str">
        <f>IF(ISNUMBER($K707),INDEX(РАБОТЫ!$A$2:$A$1058,$K707),"")</f>
        <v/>
      </c>
      <c r="C707" s="4" t="str">
        <f>IF($L707&lt;&gt;"",INDEX(РАБОТЫ!$Z$2:$Z$1058,MATCH($L707,РАБОТЫ!$V$2:$V$1058,0)),IF(ISNUMBER($K707),INDEX(РАБОТЫ!$Y$2:$Y$1058,$K707),""))</f>
        <v/>
      </c>
      <c r="D707" t="str">
        <f>IF(ISNUMBER($K707),INDEX(РАБОТЫ!$E$2:$E$1058,$K707),"")</f>
        <v/>
      </c>
      <c r="E707" t="str">
        <f>IF(ISNUMBER($K707),INDEX(РАБОТЫ!$M$2:$M$1058,$K707),"")</f>
        <v/>
      </c>
      <c r="F707" s="7" t="str">
        <f>IF(ISNUMBER($K707),INDEX(РАБОТЫ!$S$2:$S$1058,$K707),"")</f>
        <v/>
      </c>
      <c r="G707" s="7" t="str">
        <f>IF(ISNUMBER($K707),INDEX(РАБОТЫ!$T$2:$T$1058,$K707),"")</f>
        <v/>
      </c>
      <c r="H707" s="7" t="str">
        <f t="shared" si="40"/>
        <v/>
      </c>
      <c r="I707" s="7" t="str">
        <f t="shared" si="41"/>
        <v/>
      </c>
      <c r="J707" s="7" t="str">
        <f t="shared" si="42"/>
        <v/>
      </c>
      <c r="K707" t="str">
        <f>IFERROR(MATCH(686,РАБОТЫ!$X$2:$X$1058,0),"")</f>
        <v/>
      </c>
      <c r="L707" t="str">
        <f>IFERROR(IF(INDEX(РАБОТЫ!$W$2:$W$1058,MATCH(686+1,РАБОТЫ!$X$2:$X$1058,0))=1,INDEX(РАБОТЫ!$V$2:$V$1058,MATCH(686+1,РАБОТЫ!$X$2:$X$1058,0)),""),"")</f>
        <v/>
      </c>
      <c r="M707" t="str">
        <f t="shared" si="43"/>
        <v/>
      </c>
    </row>
    <row r="708" spans="1:13" hidden="1" x14ac:dyDescent="0.3">
      <c r="A708" t="str">
        <f>IF(ISNUMBER($K708),INDEX(РАБОТЫ!$U$2:$U$1058,$K708),"")</f>
        <v/>
      </c>
      <c r="B708" t="str">
        <f>IF(ISNUMBER($K708),INDEX(РАБОТЫ!$A$2:$A$1058,$K708),"")</f>
        <v/>
      </c>
      <c r="C708" s="4" t="str">
        <f>IF($L708&lt;&gt;"",INDEX(РАБОТЫ!$Z$2:$Z$1058,MATCH($L708,РАБОТЫ!$V$2:$V$1058,0)),IF(ISNUMBER($K708),INDEX(РАБОТЫ!$Y$2:$Y$1058,$K708),""))</f>
        <v/>
      </c>
      <c r="D708" t="str">
        <f>IF(ISNUMBER($K708),INDEX(РАБОТЫ!$E$2:$E$1058,$K708),"")</f>
        <v/>
      </c>
      <c r="E708" t="str">
        <f>IF(ISNUMBER($K708),INDEX(РАБОТЫ!$M$2:$M$1058,$K708),"")</f>
        <v/>
      </c>
      <c r="F708" s="7" t="str">
        <f>IF(ISNUMBER($K708),INDEX(РАБОТЫ!$S$2:$S$1058,$K708),"")</f>
        <v/>
      </c>
      <c r="G708" s="7" t="str">
        <f>IF(ISNUMBER($K708),INDEX(РАБОТЫ!$T$2:$T$1058,$K708),"")</f>
        <v/>
      </c>
      <c r="H708" s="7" t="str">
        <f t="shared" si="40"/>
        <v/>
      </c>
      <c r="I708" s="7" t="str">
        <f t="shared" si="41"/>
        <v/>
      </c>
      <c r="J708" s="7" t="str">
        <f t="shared" si="42"/>
        <v/>
      </c>
      <c r="K708" t="str">
        <f>IFERROR(MATCH(687,РАБОТЫ!$X$2:$X$1058,0),"")</f>
        <v/>
      </c>
      <c r="L708" t="str">
        <f>IFERROR(IF(INDEX(РАБОТЫ!$W$2:$W$1058,MATCH(687+1,РАБОТЫ!$X$2:$X$1058,0))=1,INDEX(РАБОТЫ!$V$2:$V$1058,MATCH(687+1,РАБОТЫ!$X$2:$X$1058,0)),""),"")</f>
        <v/>
      </c>
      <c r="M708" t="str">
        <f t="shared" si="43"/>
        <v/>
      </c>
    </row>
    <row r="709" spans="1:13" hidden="1" x14ac:dyDescent="0.3">
      <c r="A709" t="str">
        <f>IF(ISNUMBER($K709),INDEX(РАБОТЫ!$U$2:$U$1058,$K709),"")</f>
        <v/>
      </c>
      <c r="B709" t="str">
        <f>IF(ISNUMBER($K709),INDEX(РАБОТЫ!$A$2:$A$1058,$K709),"")</f>
        <v/>
      </c>
      <c r="C709" s="4" t="str">
        <f>IF($L709&lt;&gt;"",INDEX(РАБОТЫ!$Z$2:$Z$1058,MATCH($L709,РАБОТЫ!$V$2:$V$1058,0)),IF(ISNUMBER($K709),INDEX(РАБОТЫ!$Y$2:$Y$1058,$K709),""))</f>
        <v/>
      </c>
      <c r="D709" t="str">
        <f>IF(ISNUMBER($K709),INDEX(РАБОТЫ!$E$2:$E$1058,$K709),"")</f>
        <v/>
      </c>
      <c r="E709" t="str">
        <f>IF(ISNUMBER($K709),INDEX(РАБОТЫ!$M$2:$M$1058,$K709),"")</f>
        <v/>
      </c>
      <c r="F709" s="7" t="str">
        <f>IF(ISNUMBER($K709),INDEX(РАБОТЫ!$S$2:$S$1058,$K709),"")</f>
        <v/>
      </c>
      <c r="G709" s="7" t="str">
        <f>IF(ISNUMBER($K709),INDEX(РАБОТЫ!$T$2:$T$1058,$K709),"")</f>
        <v/>
      </c>
      <c r="H709" s="7" t="str">
        <f t="shared" si="40"/>
        <v/>
      </c>
      <c r="I709" s="7" t="str">
        <f t="shared" si="41"/>
        <v/>
      </c>
      <c r="J709" s="7" t="str">
        <f t="shared" si="42"/>
        <v/>
      </c>
      <c r="K709" t="str">
        <f>IFERROR(MATCH(688,РАБОТЫ!$X$2:$X$1058,0),"")</f>
        <v/>
      </c>
      <c r="L709" t="str">
        <f>IFERROR(IF(INDEX(РАБОТЫ!$W$2:$W$1058,MATCH(688+1,РАБОТЫ!$X$2:$X$1058,0))=1,INDEX(РАБОТЫ!$V$2:$V$1058,MATCH(688+1,РАБОТЫ!$X$2:$X$1058,0)),""),"")</f>
        <v/>
      </c>
      <c r="M709" t="str">
        <f t="shared" si="43"/>
        <v/>
      </c>
    </row>
    <row r="710" spans="1:13" hidden="1" x14ac:dyDescent="0.3">
      <c r="A710" t="str">
        <f>IF(ISNUMBER($K710),INDEX(РАБОТЫ!$U$2:$U$1058,$K710),"")</f>
        <v/>
      </c>
      <c r="B710" t="str">
        <f>IF(ISNUMBER($K710),INDEX(РАБОТЫ!$A$2:$A$1058,$K710),"")</f>
        <v/>
      </c>
      <c r="C710" s="4" t="str">
        <f>IF($L710&lt;&gt;"",INDEX(РАБОТЫ!$Z$2:$Z$1058,MATCH($L710,РАБОТЫ!$V$2:$V$1058,0)),IF(ISNUMBER($K710),INDEX(РАБОТЫ!$Y$2:$Y$1058,$K710),""))</f>
        <v/>
      </c>
      <c r="D710" t="str">
        <f>IF(ISNUMBER($K710),INDEX(РАБОТЫ!$E$2:$E$1058,$K710),"")</f>
        <v/>
      </c>
      <c r="E710" t="str">
        <f>IF(ISNUMBER($K710),INDEX(РАБОТЫ!$M$2:$M$1058,$K710),"")</f>
        <v/>
      </c>
      <c r="F710" s="7" t="str">
        <f>IF(ISNUMBER($K710),INDEX(РАБОТЫ!$S$2:$S$1058,$K710),"")</f>
        <v/>
      </c>
      <c r="G710" s="7" t="str">
        <f>IF(ISNUMBER($K710),INDEX(РАБОТЫ!$T$2:$T$1058,$K710),"")</f>
        <v/>
      </c>
      <c r="H710" s="7" t="str">
        <f t="shared" si="40"/>
        <v/>
      </c>
      <c r="I710" s="7" t="str">
        <f t="shared" si="41"/>
        <v/>
      </c>
      <c r="J710" s="7" t="str">
        <f t="shared" si="42"/>
        <v/>
      </c>
      <c r="K710" t="str">
        <f>IFERROR(MATCH(689,РАБОТЫ!$X$2:$X$1058,0),"")</f>
        <v/>
      </c>
      <c r="L710" t="str">
        <f>IFERROR(IF(INDEX(РАБОТЫ!$W$2:$W$1058,MATCH(689+1,РАБОТЫ!$X$2:$X$1058,0))=1,INDEX(РАБОТЫ!$V$2:$V$1058,MATCH(689+1,РАБОТЫ!$X$2:$X$1058,0)),""),"")</f>
        <v/>
      </c>
      <c r="M710" t="str">
        <f t="shared" si="43"/>
        <v/>
      </c>
    </row>
    <row r="711" spans="1:13" hidden="1" x14ac:dyDescent="0.3">
      <c r="A711" t="str">
        <f>IF(ISNUMBER($K711),INDEX(РАБОТЫ!$U$2:$U$1058,$K711),"")</f>
        <v/>
      </c>
      <c r="B711" t="str">
        <f>IF(ISNUMBER($K711),INDEX(РАБОТЫ!$A$2:$A$1058,$K711),"")</f>
        <v/>
      </c>
      <c r="C711" s="4" t="str">
        <f>IF($L711&lt;&gt;"",INDEX(РАБОТЫ!$Z$2:$Z$1058,MATCH($L711,РАБОТЫ!$V$2:$V$1058,0)),IF(ISNUMBER($K711),INDEX(РАБОТЫ!$Y$2:$Y$1058,$K711),""))</f>
        <v/>
      </c>
      <c r="D711" t="str">
        <f>IF(ISNUMBER($K711),INDEX(РАБОТЫ!$E$2:$E$1058,$K711),"")</f>
        <v/>
      </c>
      <c r="E711" t="str">
        <f>IF(ISNUMBER($K711),INDEX(РАБОТЫ!$M$2:$M$1058,$K711),"")</f>
        <v/>
      </c>
      <c r="F711" s="7" t="str">
        <f>IF(ISNUMBER($K711),INDEX(РАБОТЫ!$S$2:$S$1058,$K711),"")</f>
        <v/>
      </c>
      <c r="G711" s="7" t="str">
        <f>IF(ISNUMBER($K711),INDEX(РАБОТЫ!$T$2:$T$1058,$K711),"")</f>
        <v/>
      </c>
      <c r="H711" s="7" t="str">
        <f t="shared" si="40"/>
        <v/>
      </c>
      <c r="I711" s="7" t="str">
        <f t="shared" si="41"/>
        <v/>
      </c>
      <c r="J711" s="7" t="str">
        <f t="shared" si="42"/>
        <v/>
      </c>
      <c r="K711" t="str">
        <f>IFERROR(MATCH(690,РАБОТЫ!$X$2:$X$1058,0),"")</f>
        <v/>
      </c>
      <c r="L711" t="str">
        <f>IFERROR(IF(INDEX(РАБОТЫ!$W$2:$W$1058,MATCH(690+1,РАБОТЫ!$X$2:$X$1058,0))=1,INDEX(РАБОТЫ!$V$2:$V$1058,MATCH(690+1,РАБОТЫ!$X$2:$X$1058,0)),""),"")</f>
        <v/>
      </c>
      <c r="M711" t="str">
        <f t="shared" si="43"/>
        <v/>
      </c>
    </row>
    <row r="712" spans="1:13" hidden="1" x14ac:dyDescent="0.3">
      <c r="A712" t="str">
        <f>IF(ISNUMBER($K712),INDEX(РАБОТЫ!$U$2:$U$1058,$K712),"")</f>
        <v/>
      </c>
      <c r="B712" t="str">
        <f>IF(ISNUMBER($K712),INDEX(РАБОТЫ!$A$2:$A$1058,$K712),"")</f>
        <v/>
      </c>
      <c r="C712" s="4" t="str">
        <f>IF($L712&lt;&gt;"",INDEX(РАБОТЫ!$Z$2:$Z$1058,MATCH($L712,РАБОТЫ!$V$2:$V$1058,0)),IF(ISNUMBER($K712),INDEX(РАБОТЫ!$Y$2:$Y$1058,$K712),""))</f>
        <v/>
      </c>
      <c r="D712" t="str">
        <f>IF(ISNUMBER($K712),INDEX(РАБОТЫ!$E$2:$E$1058,$K712),"")</f>
        <v/>
      </c>
      <c r="E712" t="str">
        <f>IF(ISNUMBER($K712),INDEX(РАБОТЫ!$M$2:$M$1058,$K712),"")</f>
        <v/>
      </c>
      <c r="F712" s="7" t="str">
        <f>IF(ISNUMBER($K712),INDEX(РАБОТЫ!$S$2:$S$1058,$K712),"")</f>
        <v/>
      </c>
      <c r="G712" s="7" t="str">
        <f>IF(ISNUMBER($K712),INDEX(РАБОТЫ!$T$2:$T$1058,$K712),"")</f>
        <v/>
      </c>
      <c r="H712" s="7" t="str">
        <f t="shared" si="40"/>
        <v/>
      </c>
      <c r="I712" s="7" t="str">
        <f t="shared" si="41"/>
        <v/>
      </c>
      <c r="J712" s="7" t="str">
        <f t="shared" si="42"/>
        <v/>
      </c>
      <c r="K712" t="str">
        <f>IFERROR(MATCH(691,РАБОТЫ!$X$2:$X$1058,0),"")</f>
        <v/>
      </c>
      <c r="L712" t="str">
        <f>IFERROR(IF(INDEX(РАБОТЫ!$W$2:$W$1058,MATCH(691+1,РАБОТЫ!$X$2:$X$1058,0))=1,INDEX(РАБОТЫ!$V$2:$V$1058,MATCH(691+1,РАБОТЫ!$X$2:$X$1058,0)),""),"")</f>
        <v/>
      </c>
      <c r="M712" t="str">
        <f t="shared" si="43"/>
        <v/>
      </c>
    </row>
    <row r="713" spans="1:13" hidden="1" x14ac:dyDescent="0.3">
      <c r="A713" t="str">
        <f>IF(ISNUMBER($K713),INDEX(РАБОТЫ!$U$2:$U$1058,$K713),"")</f>
        <v/>
      </c>
      <c r="B713" t="str">
        <f>IF(ISNUMBER($K713),INDEX(РАБОТЫ!$A$2:$A$1058,$K713),"")</f>
        <v/>
      </c>
      <c r="C713" s="4" t="str">
        <f>IF($L713&lt;&gt;"",INDEX(РАБОТЫ!$Z$2:$Z$1058,MATCH($L713,РАБОТЫ!$V$2:$V$1058,0)),IF(ISNUMBER($K713),INDEX(РАБОТЫ!$Y$2:$Y$1058,$K713),""))</f>
        <v/>
      </c>
      <c r="D713" t="str">
        <f>IF(ISNUMBER($K713),INDEX(РАБОТЫ!$E$2:$E$1058,$K713),"")</f>
        <v/>
      </c>
      <c r="E713" t="str">
        <f>IF(ISNUMBER($K713),INDEX(РАБОТЫ!$M$2:$M$1058,$K713),"")</f>
        <v/>
      </c>
      <c r="F713" s="7" t="str">
        <f>IF(ISNUMBER($K713),INDEX(РАБОТЫ!$S$2:$S$1058,$K713),"")</f>
        <v/>
      </c>
      <c r="G713" s="7" t="str">
        <f>IF(ISNUMBER($K713),INDEX(РАБОТЫ!$T$2:$T$1058,$K713),"")</f>
        <v/>
      </c>
      <c r="H713" s="7" t="str">
        <f t="shared" si="40"/>
        <v/>
      </c>
      <c r="I713" s="7" t="str">
        <f t="shared" si="41"/>
        <v/>
      </c>
      <c r="J713" s="7" t="str">
        <f t="shared" si="42"/>
        <v/>
      </c>
      <c r="K713" t="str">
        <f>IFERROR(MATCH(692,РАБОТЫ!$X$2:$X$1058,0),"")</f>
        <v/>
      </c>
      <c r="L713" t="str">
        <f>IFERROR(IF(INDEX(РАБОТЫ!$W$2:$W$1058,MATCH(692+1,РАБОТЫ!$X$2:$X$1058,0))=1,INDEX(РАБОТЫ!$V$2:$V$1058,MATCH(692+1,РАБОТЫ!$X$2:$X$1058,0)),""),"")</f>
        <v/>
      </c>
      <c r="M713" t="str">
        <f t="shared" si="43"/>
        <v/>
      </c>
    </row>
    <row r="714" spans="1:13" hidden="1" x14ac:dyDescent="0.3">
      <c r="A714" t="str">
        <f>IF(ISNUMBER($K714),INDEX(РАБОТЫ!$U$2:$U$1058,$K714),"")</f>
        <v/>
      </c>
      <c r="B714" t="str">
        <f>IF(ISNUMBER($K714),INDEX(РАБОТЫ!$A$2:$A$1058,$K714),"")</f>
        <v/>
      </c>
      <c r="C714" s="4" t="str">
        <f>IF($L714&lt;&gt;"",INDEX(РАБОТЫ!$Z$2:$Z$1058,MATCH($L714,РАБОТЫ!$V$2:$V$1058,0)),IF(ISNUMBER($K714),INDEX(РАБОТЫ!$Y$2:$Y$1058,$K714),""))</f>
        <v/>
      </c>
      <c r="D714" t="str">
        <f>IF(ISNUMBER($K714),INDEX(РАБОТЫ!$E$2:$E$1058,$K714),"")</f>
        <v/>
      </c>
      <c r="E714" t="str">
        <f>IF(ISNUMBER($K714),INDEX(РАБОТЫ!$M$2:$M$1058,$K714),"")</f>
        <v/>
      </c>
      <c r="F714" s="7" t="str">
        <f>IF(ISNUMBER($K714),INDEX(РАБОТЫ!$S$2:$S$1058,$K714),"")</f>
        <v/>
      </c>
      <c r="G714" s="7" t="str">
        <f>IF(ISNUMBER($K714),INDEX(РАБОТЫ!$T$2:$T$1058,$K714),"")</f>
        <v/>
      </c>
      <c r="H714" s="7" t="str">
        <f t="shared" si="40"/>
        <v/>
      </c>
      <c r="I714" s="7" t="str">
        <f t="shared" si="41"/>
        <v/>
      </c>
      <c r="J714" s="7" t="str">
        <f t="shared" si="42"/>
        <v/>
      </c>
      <c r="K714" t="str">
        <f>IFERROR(MATCH(693,РАБОТЫ!$X$2:$X$1058,0),"")</f>
        <v/>
      </c>
      <c r="L714" t="str">
        <f>IFERROR(IF(INDEX(РАБОТЫ!$W$2:$W$1058,MATCH(693+1,РАБОТЫ!$X$2:$X$1058,0))=1,INDEX(РАБОТЫ!$V$2:$V$1058,MATCH(693+1,РАБОТЫ!$X$2:$X$1058,0)),""),"")</f>
        <v/>
      </c>
      <c r="M714" t="str">
        <f t="shared" si="43"/>
        <v/>
      </c>
    </row>
    <row r="715" spans="1:13" hidden="1" x14ac:dyDescent="0.3">
      <c r="A715" t="str">
        <f>IF(ISNUMBER($K715),INDEX(РАБОТЫ!$U$2:$U$1058,$K715),"")</f>
        <v/>
      </c>
      <c r="B715" t="str">
        <f>IF(ISNUMBER($K715),INDEX(РАБОТЫ!$A$2:$A$1058,$K715),"")</f>
        <v/>
      </c>
      <c r="C715" s="4" t="str">
        <f>IF($L715&lt;&gt;"",INDEX(РАБОТЫ!$Z$2:$Z$1058,MATCH($L715,РАБОТЫ!$V$2:$V$1058,0)),IF(ISNUMBER($K715),INDEX(РАБОТЫ!$Y$2:$Y$1058,$K715),""))</f>
        <v/>
      </c>
      <c r="D715" t="str">
        <f>IF(ISNUMBER($K715),INDEX(РАБОТЫ!$E$2:$E$1058,$K715),"")</f>
        <v/>
      </c>
      <c r="E715" t="str">
        <f>IF(ISNUMBER($K715),INDEX(РАБОТЫ!$M$2:$M$1058,$K715),"")</f>
        <v/>
      </c>
      <c r="F715" s="7" t="str">
        <f>IF(ISNUMBER($K715),INDEX(РАБОТЫ!$S$2:$S$1058,$K715),"")</f>
        <v/>
      </c>
      <c r="G715" s="7" t="str">
        <f>IF(ISNUMBER($K715),INDEX(РАБОТЫ!$T$2:$T$1058,$K715),"")</f>
        <v/>
      </c>
      <c r="H715" s="7" t="str">
        <f t="shared" si="40"/>
        <v/>
      </c>
      <c r="I715" s="7" t="str">
        <f t="shared" si="41"/>
        <v/>
      </c>
      <c r="J715" s="7" t="str">
        <f t="shared" si="42"/>
        <v/>
      </c>
      <c r="K715" t="str">
        <f>IFERROR(MATCH(694,РАБОТЫ!$X$2:$X$1058,0),"")</f>
        <v/>
      </c>
      <c r="L715" t="str">
        <f>IFERROR(IF(INDEX(РАБОТЫ!$W$2:$W$1058,MATCH(694+1,РАБОТЫ!$X$2:$X$1058,0))=1,INDEX(РАБОТЫ!$V$2:$V$1058,MATCH(694+1,РАБОТЫ!$X$2:$X$1058,0)),""),"")</f>
        <v/>
      </c>
      <c r="M715" t="str">
        <f t="shared" si="43"/>
        <v/>
      </c>
    </row>
    <row r="716" spans="1:13" hidden="1" x14ac:dyDescent="0.3">
      <c r="A716" t="str">
        <f>IF(ISNUMBER($K716),INDEX(РАБОТЫ!$U$2:$U$1058,$K716),"")</f>
        <v/>
      </c>
      <c r="B716" t="str">
        <f>IF(ISNUMBER($K716),INDEX(РАБОТЫ!$A$2:$A$1058,$K716),"")</f>
        <v/>
      </c>
      <c r="C716" s="4" t="str">
        <f>IF($L716&lt;&gt;"",INDEX(РАБОТЫ!$Z$2:$Z$1058,MATCH($L716,РАБОТЫ!$V$2:$V$1058,0)),IF(ISNUMBER($K716),INDEX(РАБОТЫ!$Y$2:$Y$1058,$K716),""))</f>
        <v/>
      </c>
      <c r="D716" t="str">
        <f>IF(ISNUMBER($K716),INDEX(РАБОТЫ!$E$2:$E$1058,$K716),"")</f>
        <v/>
      </c>
      <c r="E716" t="str">
        <f>IF(ISNUMBER($K716),INDEX(РАБОТЫ!$M$2:$M$1058,$K716),"")</f>
        <v/>
      </c>
      <c r="F716" s="7" t="str">
        <f>IF(ISNUMBER($K716),INDEX(РАБОТЫ!$S$2:$S$1058,$K716),"")</f>
        <v/>
      </c>
      <c r="G716" s="7" t="str">
        <f>IF(ISNUMBER($K716),INDEX(РАБОТЫ!$T$2:$T$1058,$K716),"")</f>
        <v/>
      </c>
      <c r="H716" s="7" t="str">
        <f t="shared" si="40"/>
        <v/>
      </c>
      <c r="I716" s="7" t="str">
        <f t="shared" si="41"/>
        <v/>
      </c>
      <c r="J716" s="7" t="str">
        <f t="shared" si="42"/>
        <v/>
      </c>
      <c r="K716" t="str">
        <f>IFERROR(MATCH(695,РАБОТЫ!$X$2:$X$1058,0),"")</f>
        <v/>
      </c>
      <c r="L716" t="str">
        <f>IFERROR(IF(INDEX(РАБОТЫ!$W$2:$W$1058,MATCH(695+1,РАБОТЫ!$X$2:$X$1058,0))=1,INDEX(РАБОТЫ!$V$2:$V$1058,MATCH(695+1,РАБОТЫ!$X$2:$X$1058,0)),""),"")</f>
        <v/>
      </c>
      <c r="M716" t="str">
        <f t="shared" si="43"/>
        <v/>
      </c>
    </row>
    <row r="717" spans="1:13" hidden="1" x14ac:dyDescent="0.3">
      <c r="A717" t="str">
        <f>IF(ISNUMBER($K717),INDEX(РАБОТЫ!$U$2:$U$1058,$K717),"")</f>
        <v/>
      </c>
      <c r="B717" t="str">
        <f>IF(ISNUMBER($K717),INDEX(РАБОТЫ!$A$2:$A$1058,$K717),"")</f>
        <v/>
      </c>
      <c r="C717" s="4" t="str">
        <f>IF($L717&lt;&gt;"",INDEX(РАБОТЫ!$Z$2:$Z$1058,MATCH($L717,РАБОТЫ!$V$2:$V$1058,0)),IF(ISNUMBER($K717),INDEX(РАБОТЫ!$Y$2:$Y$1058,$K717),""))</f>
        <v/>
      </c>
      <c r="D717" t="str">
        <f>IF(ISNUMBER($K717),INDEX(РАБОТЫ!$E$2:$E$1058,$K717),"")</f>
        <v/>
      </c>
      <c r="E717" t="str">
        <f>IF(ISNUMBER($K717),INDEX(РАБОТЫ!$M$2:$M$1058,$K717),"")</f>
        <v/>
      </c>
      <c r="F717" s="7" t="str">
        <f>IF(ISNUMBER($K717),INDEX(РАБОТЫ!$S$2:$S$1058,$K717),"")</f>
        <v/>
      </c>
      <c r="G717" s="7" t="str">
        <f>IF(ISNUMBER($K717),INDEX(РАБОТЫ!$T$2:$T$1058,$K717),"")</f>
        <v/>
      </c>
      <c r="H717" s="7" t="str">
        <f t="shared" si="40"/>
        <v/>
      </c>
      <c r="I717" s="7" t="str">
        <f t="shared" si="41"/>
        <v/>
      </c>
      <c r="J717" s="7" t="str">
        <f t="shared" si="42"/>
        <v/>
      </c>
      <c r="K717" t="str">
        <f>IFERROR(MATCH(696,РАБОТЫ!$X$2:$X$1058,0),"")</f>
        <v/>
      </c>
      <c r="L717" t="str">
        <f>IFERROR(IF(INDEX(РАБОТЫ!$W$2:$W$1058,MATCH(696+1,РАБОТЫ!$X$2:$X$1058,0))=1,INDEX(РАБОТЫ!$V$2:$V$1058,MATCH(696+1,РАБОТЫ!$X$2:$X$1058,0)),""),"")</f>
        <v/>
      </c>
      <c r="M717" t="str">
        <f t="shared" si="43"/>
        <v/>
      </c>
    </row>
    <row r="718" spans="1:13" hidden="1" x14ac:dyDescent="0.3">
      <c r="A718" t="str">
        <f>IF(ISNUMBER($K718),INDEX(РАБОТЫ!$U$2:$U$1058,$K718),"")</f>
        <v/>
      </c>
      <c r="B718" t="str">
        <f>IF(ISNUMBER($K718),INDEX(РАБОТЫ!$A$2:$A$1058,$K718),"")</f>
        <v/>
      </c>
      <c r="C718" s="4" t="str">
        <f>IF($L718&lt;&gt;"",INDEX(РАБОТЫ!$Z$2:$Z$1058,MATCH($L718,РАБОТЫ!$V$2:$V$1058,0)),IF(ISNUMBER($K718),INDEX(РАБОТЫ!$Y$2:$Y$1058,$K718),""))</f>
        <v/>
      </c>
      <c r="D718" t="str">
        <f>IF(ISNUMBER($K718),INDEX(РАБОТЫ!$E$2:$E$1058,$K718),"")</f>
        <v/>
      </c>
      <c r="E718" t="str">
        <f>IF(ISNUMBER($K718),INDEX(РАБОТЫ!$M$2:$M$1058,$K718),"")</f>
        <v/>
      </c>
      <c r="F718" s="7" t="str">
        <f>IF(ISNUMBER($K718),INDEX(РАБОТЫ!$S$2:$S$1058,$K718),"")</f>
        <v/>
      </c>
      <c r="G718" s="7" t="str">
        <f>IF(ISNUMBER($K718),INDEX(РАБОТЫ!$T$2:$T$1058,$K718),"")</f>
        <v/>
      </c>
      <c r="H718" s="7" t="str">
        <f t="shared" si="40"/>
        <v/>
      </c>
      <c r="I718" s="7" t="str">
        <f t="shared" si="41"/>
        <v/>
      </c>
      <c r="J718" s="7" t="str">
        <f t="shared" si="42"/>
        <v/>
      </c>
      <c r="K718" t="str">
        <f>IFERROR(MATCH(697,РАБОТЫ!$X$2:$X$1058,0),"")</f>
        <v/>
      </c>
      <c r="L718" t="str">
        <f>IFERROR(IF(INDEX(РАБОТЫ!$W$2:$W$1058,MATCH(697+1,РАБОТЫ!$X$2:$X$1058,0))=1,INDEX(РАБОТЫ!$V$2:$V$1058,MATCH(697+1,РАБОТЫ!$X$2:$X$1058,0)),""),"")</f>
        <v/>
      </c>
      <c r="M718" t="str">
        <f t="shared" si="43"/>
        <v/>
      </c>
    </row>
    <row r="719" spans="1:13" hidden="1" x14ac:dyDescent="0.3">
      <c r="A719" t="str">
        <f>IF(ISNUMBER($K719),INDEX(РАБОТЫ!$U$2:$U$1058,$K719),"")</f>
        <v/>
      </c>
      <c r="B719" t="str">
        <f>IF(ISNUMBER($K719),INDEX(РАБОТЫ!$A$2:$A$1058,$K719),"")</f>
        <v/>
      </c>
      <c r="C719" s="4" t="str">
        <f>IF($L719&lt;&gt;"",INDEX(РАБОТЫ!$Z$2:$Z$1058,MATCH($L719,РАБОТЫ!$V$2:$V$1058,0)),IF(ISNUMBER($K719),INDEX(РАБОТЫ!$Y$2:$Y$1058,$K719),""))</f>
        <v/>
      </c>
      <c r="D719" t="str">
        <f>IF(ISNUMBER($K719),INDEX(РАБОТЫ!$E$2:$E$1058,$K719),"")</f>
        <v/>
      </c>
      <c r="E719" t="str">
        <f>IF(ISNUMBER($K719),INDEX(РАБОТЫ!$M$2:$M$1058,$K719),"")</f>
        <v/>
      </c>
      <c r="F719" s="7" t="str">
        <f>IF(ISNUMBER($K719),INDEX(РАБОТЫ!$S$2:$S$1058,$K719),"")</f>
        <v/>
      </c>
      <c r="G719" s="7" t="str">
        <f>IF(ISNUMBER($K719),INDEX(РАБОТЫ!$T$2:$T$1058,$K719),"")</f>
        <v/>
      </c>
      <c r="H719" s="7" t="str">
        <f t="shared" si="40"/>
        <v/>
      </c>
      <c r="I719" s="7" t="str">
        <f t="shared" si="41"/>
        <v/>
      </c>
      <c r="J719" s="7" t="str">
        <f t="shared" si="42"/>
        <v/>
      </c>
      <c r="K719" t="str">
        <f>IFERROR(MATCH(698,РАБОТЫ!$X$2:$X$1058,0),"")</f>
        <v/>
      </c>
      <c r="L719" t="str">
        <f>IFERROR(IF(INDEX(РАБОТЫ!$W$2:$W$1058,MATCH(698+1,РАБОТЫ!$X$2:$X$1058,0))=1,INDEX(РАБОТЫ!$V$2:$V$1058,MATCH(698+1,РАБОТЫ!$X$2:$X$1058,0)),""),"")</f>
        <v/>
      </c>
      <c r="M719" t="str">
        <f t="shared" si="43"/>
        <v/>
      </c>
    </row>
    <row r="720" spans="1:13" hidden="1" x14ac:dyDescent="0.3">
      <c r="A720" t="str">
        <f>IF(ISNUMBER($K720),INDEX(РАБОТЫ!$U$2:$U$1058,$K720),"")</f>
        <v/>
      </c>
      <c r="B720" t="str">
        <f>IF(ISNUMBER($K720),INDEX(РАБОТЫ!$A$2:$A$1058,$K720),"")</f>
        <v/>
      </c>
      <c r="C720" s="4" t="str">
        <f>IF($L720&lt;&gt;"",INDEX(РАБОТЫ!$Z$2:$Z$1058,MATCH($L720,РАБОТЫ!$V$2:$V$1058,0)),IF(ISNUMBER($K720),INDEX(РАБОТЫ!$Y$2:$Y$1058,$K720),""))</f>
        <v/>
      </c>
      <c r="D720" t="str">
        <f>IF(ISNUMBER($K720),INDEX(РАБОТЫ!$E$2:$E$1058,$K720),"")</f>
        <v/>
      </c>
      <c r="E720" t="str">
        <f>IF(ISNUMBER($K720),INDEX(РАБОТЫ!$M$2:$M$1058,$K720),"")</f>
        <v/>
      </c>
      <c r="F720" s="7" t="str">
        <f>IF(ISNUMBER($K720),INDEX(РАБОТЫ!$S$2:$S$1058,$K720),"")</f>
        <v/>
      </c>
      <c r="G720" s="7" t="str">
        <f>IF(ISNUMBER($K720),INDEX(РАБОТЫ!$T$2:$T$1058,$K720),"")</f>
        <v/>
      </c>
      <c r="H720" s="7" t="str">
        <f t="shared" si="40"/>
        <v/>
      </c>
      <c r="I720" s="7" t="str">
        <f t="shared" si="41"/>
        <v/>
      </c>
      <c r="J720" s="7" t="str">
        <f t="shared" si="42"/>
        <v/>
      </c>
      <c r="K720" t="str">
        <f>IFERROR(MATCH(699,РАБОТЫ!$X$2:$X$1058,0),"")</f>
        <v/>
      </c>
      <c r="L720" t="str">
        <f>IFERROR(IF(INDEX(РАБОТЫ!$W$2:$W$1058,MATCH(699+1,РАБОТЫ!$X$2:$X$1058,0))=1,INDEX(РАБОТЫ!$V$2:$V$1058,MATCH(699+1,РАБОТЫ!$X$2:$X$1058,0)),""),"")</f>
        <v/>
      </c>
      <c r="M720" t="str">
        <f t="shared" si="43"/>
        <v/>
      </c>
    </row>
    <row r="721" spans="1:13" hidden="1" x14ac:dyDescent="0.3">
      <c r="A721" t="str">
        <f>IF(ISNUMBER($K721),INDEX(РАБОТЫ!$U$2:$U$1058,$K721),"")</f>
        <v/>
      </c>
      <c r="B721" t="str">
        <f>IF(ISNUMBER($K721),INDEX(РАБОТЫ!$A$2:$A$1058,$K721),"")</f>
        <v/>
      </c>
      <c r="C721" s="4" t="str">
        <f>IF($L721&lt;&gt;"",INDEX(РАБОТЫ!$Z$2:$Z$1058,MATCH($L721,РАБОТЫ!$V$2:$V$1058,0)),IF(ISNUMBER($K721),INDEX(РАБОТЫ!$Y$2:$Y$1058,$K721),""))</f>
        <v/>
      </c>
      <c r="D721" t="str">
        <f>IF(ISNUMBER($K721),INDEX(РАБОТЫ!$E$2:$E$1058,$K721),"")</f>
        <v/>
      </c>
      <c r="E721" t="str">
        <f>IF(ISNUMBER($K721),INDEX(РАБОТЫ!$M$2:$M$1058,$K721),"")</f>
        <v/>
      </c>
      <c r="F721" s="7" t="str">
        <f>IF(ISNUMBER($K721),INDEX(РАБОТЫ!$S$2:$S$1058,$K721),"")</f>
        <v/>
      </c>
      <c r="G721" s="7" t="str">
        <f>IF(ISNUMBER($K721),INDEX(РАБОТЫ!$T$2:$T$1058,$K721),"")</f>
        <v/>
      </c>
      <c r="H721" s="7" t="str">
        <f t="shared" si="40"/>
        <v/>
      </c>
      <c r="I721" s="7" t="str">
        <f t="shared" si="41"/>
        <v/>
      </c>
      <c r="J721" s="7" t="str">
        <f t="shared" si="42"/>
        <v/>
      </c>
      <c r="K721" t="str">
        <f>IFERROR(MATCH(700,РАБОТЫ!$X$2:$X$1058,0),"")</f>
        <v/>
      </c>
      <c r="L721" t="str">
        <f>IFERROR(IF(INDEX(РАБОТЫ!$W$2:$W$1058,MATCH(700+1,РАБОТЫ!$X$2:$X$1058,0))=1,INDEX(РАБОТЫ!$V$2:$V$1058,MATCH(700+1,РАБОТЫ!$X$2:$X$1058,0)),""),"")</f>
        <v/>
      </c>
      <c r="M721" t="str">
        <f t="shared" si="43"/>
        <v/>
      </c>
    </row>
    <row r="722" spans="1:13" hidden="1" x14ac:dyDescent="0.3">
      <c r="A722" t="str">
        <f>IF(ISNUMBER($K722),INDEX(РАБОТЫ!$U$2:$U$1058,$K722),"")</f>
        <v/>
      </c>
      <c r="B722" t="str">
        <f>IF(ISNUMBER($K722),INDEX(РАБОТЫ!$A$2:$A$1058,$K722),"")</f>
        <v/>
      </c>
      <c r="C722" s="4" t="str">
        <f>IF($L722&lt;&gt;"",INDEX(РАБОТЫ!$Z$2:$Z$1058,MATCH($L722,РАБОТЫ!$V$2:$V$1058,0)),IF(ISNUMBER($K722),INDEX(РАБОТЫ!$Y$2:$Y$1058,$K722),""))</f>
        <v/>
      </c>
      <c r="D722" t="str">
        <f>IF(ISNUMBER($K722),INDEX(РАБОТЫ!$E$2:$E$1058,$K722),"")</f>
        <v/>
      </c>
      <c r="E722" t="str">
        <f>IF(ISNUMBER($K722),INDEX(РАБОТЫ!$M$2:$M$1058,$K722),"")</f>
        <v/>
      </c>
      <c r="F722" s="7" t="str">
        <f>IF(ISNUMBER($K722),INDEX(РАБОТЫ!$S$2:$S$1058,$K722),"")</f>
        <v/>
      </c>
      <c r="G722" s="7" t="str">
        <f>IF(ISNUMBER($K722),INDEX(РАБОТЫ!$T$2:$T$1058,$K722),"")</f>
        <v/>
      </c>
      <c r="H722" s="7" t="str">
        <f t="shared" si="40"/>
        <v/>
      </c>
      <c r="I722" s="7" t="str">
        <f t="shared" si="41"/>
        <v/>
      </c>
      <c r="J722" s="7" t="str">
        <f t="shared" si="42"/>
        <v/>
      </c>
      <c r="K722" t="str">
        <f>IFERROR(MATCH(701,РАБОТЫ!$X$2:$X$1058,0),"")</f>
        <v/>
      </c>
      <c r="L722" t="str">
        <f>IFERROR(IF(INDEX(РАБОТЫ!$W$2:$W$1058,MATCH(701+1,РАБОТЫ!$X$2:$X$1058,0))=1,INDEX(РАБОТЫ!$V$2:$V$1058,MATCH(701+1,РАБОТЫ!$X$2:$X$1058,0)),""),"")</f>
        <v/>
      </c>
      <c r="M722" t="str">
        <f t="shared" si="43"/>
        <v/>
      </c>
    </row>
    <row r="723" spans="1:13" hidden="1" x14ac:dyDescent="0.3">
      <c r="A723" t="str">
        <f>IF(ISNUMBER($K723),INDEX(РАБОТЫ!$U$2:$U$1058,$K723),"")</f>
        <v/>
      </c>
      <c r="B723" t="str">
        <f>IF(ISNUMBER($K723),INDEX(РАБОТЫ!$A$2:$A$1058,$K723),"")</f>
        <v/>
      </c>
      <c r="C723" s="4" t="str">
        <f>IF($L723&lt;&gt;"",INDEX(РАБОТЫ!$Z$2:$Z$1058,MATCH($L723,РАБОТЫ!$V$2:$V$1058,0)),IF(ISNUMBER($K723),INDEX(РАБОТЫ!$Y$2:$Y$1058,$K723),""))</f>
        <v/>
      </c>
      <c r="D723" t="str">
        <f>IF(ISNUMBER($K723),INDEX(РАБОТЫ!$E$2:$E$1058,$K723),"")</f>
        <v/>
      </c>
      <c r="E723" t="str">
        <f>IF(ISNUMBER($K723),INDEX(РАБОТЫ!$M$2:$M$1058,$K723),"")</f>
        <v/>
      </c>
      <c r="F723" s="7" t="str">
        <f>IF(ISNUMBER($K723),INDEX(РАБОТЫ!$S$2:$S$1058,$K723),"")</f>
        <v/>
      </c>
      <c r="G723" s="7" t="str">
        <f>IF(ISNUMBER($K723),INDEX(РАБОТЫ!$T$2:$T$1058,$K723),"")</f>
        <v/>
      </c>
      <c r="H723" s="7" t="str">
        <f t="shared" si="40"/>
        <v/>
      </c>
      <c r="I723" s="7" t="str">
        <f t="shared" si="41"/>
        <v/>
      </c>
      <c r="J723" s="7" t="str">
        <f t="shared" si="42"/>
        <v/>
      </c>
      <c r="K723" t="str">
        <f>IFERROR(MATCH(702,РАБОТЫ!$X$2:$X$1058,0),"")</f>
        <v/>
      </c>
      <c r="L723" t="str">
        <f>IFERROR(IF(INDEX(РАБОТЫ!$W$2:$W$1058,MATCH(702+1,РАБОТЫ!$X$2:$X$1058,0))=1,INDEX(РАБОТЫ!$V$2:$V$1058,MATCH(702+1,РАБОТЫ!$X$2:$X$1058,0)),""),"")</f>
        <v/>
      </c>
      <c r="M723" t="str">
        <f t="shared" si="43"/>
        <v/>
      </c>
    </row>
    <row r="724" spans="1:13" hidden="1" x14ac:dyDescent="0.3">
      <c r="A724" t="str">
        <f>IF(ISNUMBER($K724),INDEX(РАБОТЫ!$U$2:$U$1058,$K724),"")</f>
        <v/>
      </c>
      <c r="B724" t="str">
        <f>IF(ISNUMBER($K724),INDEX(РАБОТЫ!$A$2:$A$1058,$K724),"")</f>
        <v/>
      </c>
      <c r="C724" s="4" t="str">
        <f>IF($L724&lt;&gt;"",INDEX(РАБОТЫ!$Z$2:$Z$1058,MATCH($L724,РАБОТЫ!$V$2:$V$1058,0)),IF(ISNUMBER($K724),INDEX(РАБОТЫ!$Y$2:$Y$1058,$K724),""))</f>
        <v/>
      </c>
      <c r="D724" t="str">
        <f>IF(ISNUMBER($K724),INDEX(РАБОТЫ!$E$2:$E$1058,$K724),"")</f>
        <v/>
      </c>
      <c r="E724" t="str">
        <f>IF(ISNUMBER($K724),INDEX(РАБОТЫ!$M$2:$M$1058,$K724),"")</f>
        <v/>
      </c>
      <c r="F724" s="7" t="str">
        <f>IF(ISNUMBER($K724),INDEX(РАБОТЫ!$S$2:$S$1058,$K724),"")</f>
        <v/>
      </c>
      <c r="G724" s="7" t="str">
        <f>IF(ISNUMBER($K724),INDEX(РАБОТЫ!$T$2:$T$1058,$K724),"")</f>
        <v/>
      </c>
      <c r="H724" s="7" t="str">
        <f t="shared" si="40"/>
        <v/>
      </c>
      <c r="I724" s="7" t="str">
        <f t="shared" si="41"/>
        <v/>
      </c>
      <c r="J724" s="7" t="str">
        <f t="shared" si="42"/>
        <v/>
      </c>
      <c r="K724" t="str">
        <f>IFERROR(MATCH(703,РАБОТЫ!$X$2:$X$1058,0),"")</f>
        <v/>
      </c>
      <c r="L724" t="str">
        <f>IFERROR(IF(INDEX(РАБОТЫ!$W$2:$W$1058,MATCH(703+1,РАБОТЫ!$X$2:$X$1058,0))=1,INDEX(РАБОТЫ!$V$2:$V$1058,MATCH(703+1,РАБОТЫ!$X$2:$X$1058,0)),""),"")</f>
        <v/>
      </c>
      <c r="M724" t="str">
        <f t="shared" si="43"/>
        <v/>
      </c>
    </row>
    <row r="725" spans="1:13" hidden="1" x14ac:dyDescent="0.3">
      <c r="A725" t="str">
        <f>IF(ISNUMBER($K725),INDEX(РАБОТЫ!$U$2:$U$1058,$K725),"")</f>
        <v/>
      </c>
      <c r="B725" t="str">
        <f>IF(ISNUMBER($K725),INDEX(РАБОТЫ!$A$2:$A$1058,$K725),"")</f>
        <v/>
      </c>
      <c r="C725" s="4" t="str">
        <f>IF($L725&lt;&gt;"",INDEX(РАБОТЫ!$Z$2:$Z$1058,MATCH($L725,РАБОТЫ!$V$2:$V$1058,0)),IF(ISNUMBER($K725),INDEX(РАБОТЫ!$Y$2:$Y$1058,$K725),""))</f>
        <v/>
      </c>
      <c r="D725" t="str">
        <f>IF(ISNUMBER($K725),INDEX(РАБОТЫ!$E$2:$E$1058,$K725),"")</f>
        <v/>
      </c>
      <c r="E725" t="str">
        <f>IF(ISNUMBER($K725),INDEX(РАБОТЫ!$M$2:$M$1058,$K725),"")</f>
        <v/>
      </c>
      <c r="F725" s="7" t="str">
        <f>IF(ISNUMBER($K725),INDEX(РАБОТЫ!$S$2:$S$1058,$K725),"")</f>
        <v/>
      </c>
      <c r="G725" s="7" t="str">
        <f>IF(ISNUMBER($K725),INDEX(РАБОТЫ!$T$2:$T$1058,$K725),"")</f>
        <v/>
      </c>
      <c r="H725" s="7" t="str">
        <f t="shared" si="40"/>
        <v/>
      </c>
      <c r="I725" s="7" t="str">
        <f t="shared" si="41"/>
        <v/>
      </c>
      <c r="J725" s="7" t="str">
        <f t="shared" si="42"/>
        <v/>
      </c>
      <c r="K725" t="str">
        <f>IFERROR(MATCH(704,РАБОТЫ!$X$2:$X$1058,0),"")</f>
        <v/>
      </c>
      <c r="L725" t="str">
        <f>IFERROR(IF(INDEX(РАБОТЫ!$W$2:$W$1058,MATCH(704+1,РАБОТЫ!$X$2:$X$1058,0))=1,INDEX(РАБОТЫ!$V$2:$V$1058,MATCH(704+1,РАБОТЫ!$X$2:$X$1058,0)),""),"")</f>
        <v/>
      </c>
      <c r="M725" t="str">
        <f t="shared" si="43"/>
        <v/>
      </c>
    </row>
    <row r="726" spans="1:13" hidden="1" x14ac:dyDescent="0.3">
      <c r="A726" t="str">
        <f>IF(ISNUMBER($K726),INDEX(РАБОТЫ!$U$2:$U$1058,$K726),"")</f>
        <v/>
      </c>
      <c r="B726" t="str">
        <f>IF(ISNUMBER($K726),INDEX(РАБОТЫ!$A$2:$A$1058,$K726),"")</f>
        <v/>
      </c>
      <c r="C726" s="4" t="str">
        <f>IF($L726&lt;&gt;"",INDEX(РАБОТЫ!$Z$2:$Z$1058,MATCH($L726,РАБОТЫ!$V$2:$V$1058,0)),IF(ISNUMBER($K726),INDEX(РАБОТЫ!$Y$2:$Y$1058,$K726),""))</f>
        <v/>
      </c>
      <c r="D726" t="str">
        <f>IF(ISNUMBER($K726),INDEX(РАБОТЫ!$E$2:$E$1058,$K726),"")</f>
        <v/>
      </c>
      <c r="E726" t="str">
        <f>IF(ISNUMBER($K726),INDEX(РАБОТЫ!$M$2:$M$1058,$K726),"")</f>
        <v/>
      </c>
      <c r="F726" s="7" t="str">
        <f>IF(ISNUMBER($K726),INDEX(РАБОТЫ!$S$2:$S$1058,$K726),"")</f>
        <v/>
      </c>
      <c r="G726" s="7" t="str">
        <f>IF(ISNUMBER($K726),INDEX(РАБОТЫ!$T$2:$T$1058,$K726),"")</f>
        <v/>
      </c>
      <c r="H726" s="7" t="str">
        <f t="shared" ref="H726:H789" si="44">IF(ISNUMBER($K726),ROUND($E726*$F726,2),"")</f>
        <v/>
      </c>
      <c r="I726" s="7" t="str">
        <f t="shared" ref="I726:I789" si="45">IF(ISNUMBER($K726),ROUND($E726*$G726,2),"")</f>
        <v/>
      </c>
      <c r="J726" s="7" t="str">
        <f t="shared" ref="J726:J789" si="46">IF(ISNUMBER($K726),$H726+$I726,"")</f>
        <v/>
      </c>
      <c r="K726" t="str">
        <f>IFERROR(MATCH(705,РАБОТЫ!$X$2:$X$1058,0),"")</f>
        <v/>
      </c>
      <c r="L726" t="str">
        <f>IFERROR(IF(INDEX(РАБОТЫ!$W$2:$W$1058,MATCH(705+1,РАБОТЫ!$X$2:$X$1058,0))=1,INDEX(РАБОТЫ!$V$2:$V$1058,MATCH(705+1,РАБОТЫ!$X$2:$X$1058,0)),""),"")</f>
        <v/>
      </c>
      <c r="M726" t="str">
        <f t="shared" ref="M726:M789" si="47">IF(OR(ISNUMBER($K726),$L726&lt;&gt;""),"показать","")</f>
        <v/>
      </c>
    </row>
    <row r="727" spans="1:13" hidden="1" x14ac:dyDescent="0.3">
      <c r="A727" t="str">
        <f>IF(ISNUMBER($K727),INDEX(РАБОТЫ!$U$2:$U$1058,$K727),"")</f>
        <v/>
      </c>
      <c r="B727" t="str">
        <f>IF(ISNUMBER($K727),INDEX(РАБОТЫ!$A$2:$A$1058,$K727),"")</f>
        <v/>
      </c>
      <c r="C727" s="4" t="str">
        <f>IF($L727&lt;&gt;"",INDEX(РАБОТЫ!$Z$2:$Z$1058,MATCH($L727,РАБОТЫ!$V$2:$V$1058,0)),IF(ISNUMBER($K727),INDEX(РАБОТЫ!$Y$2:$Y$1058,$K727),""))</f>
        <v/>
      </c>
      <c r="D727" t="str">
        <f>IF(ISNUMBER($K727),INDEX(РАБОТЫ!$E$2:$E$1058,$K727),"")</f>
        <v/>
      </c>
      <c r="E727" t="str">
        <f>IF(ISNUMBER($K727),INDEX(РАБОТЫ!$M$2:$M$1058,$K727),"")</f>
        <v/>
      </c>
      <c r="F727" s="7" t="str">
        <f>IF(ISNUMBER($K727),INDEX(РАБОТЫ!$S$2:$S$1058,$K727),"")</f>
        <v/>
      </c>
      <c r="G727" s="7" t="str">
        <f>IF(ISNUMBER($K727),INDEX(РАБОТЫ!$T$2:$T$1058,$K727),"")</f>
        <v/>
      </c>
      <c r="H727" s="7" t="str">
        <f t="shared" si="44"/>
        <v/>
      </c>
      <c r="I727" s="7" t="str">
        <f t="shared" si="45"/>
        <v/>
      </c>
      <c r="J727" s="7" t="str">
        <f t="shared" si="46"/>
        <v/>
      </c>
      <c r="K727" t="str">
        <f>IFERROR(MATCH(706,РАБОТЫ!$X$2:$X$1058,0),"")</f>
        <v/>
      </c>
      <c r="L727" t="str">
        <f>IFERROR(IF(INDEX(РАБОТЫ!$W$2:$W$1058,MATCH(706+1,РАБОТЫ!$X$2:$X$1058,0))=1,INDEX(РАБОТЫ!$V$2:$V$1058,MATCH(706+1,РАБОТЫ!$X$2:$X$1058,0)),""),"")</f>
        <v/>
      </c>
      <c r="M727" t="str">
        <f t="shared" si="47"/>
        <v/>
      </c>
    </row>
    <row r="728" spans="1:13" hidden="1" x14ac:dyDescent="0.3">
      <c r="A728" t="str">
        <f>IF(ISNUMBER($K728),INDEX(РАБОТЫ!$U$2:$U$1058,$K728),"")</f>
        <v/>
      </c>
      <c r="B728" t="str">
        <f>IF(ISNUMBER($K728),INDEX(РАБОТЫ!$A$2:$A$1058,$K728),"")</f>
        <v/>
      </c>
      <c r="C728" s="4" t="str">
        <f>IF($L728&lt;&gt;"",INDEX(РАБОТЫ!$Z$2:$Z$1058,MATCH($L728,РАБОТЫ!$V$2:$V$1058,0)),IF(ISNUMBER($K728),INDEX(РАБОТЫ!$Y$2:$Y$1058,$K728),""))</f>
        <v/>
      </c>
      <c r="D728" t="str">
        <f>IF(ISNUMBER($K728),INDEX(РАБОТЫ!$E$2:$E$1058,$K728),"")</f>
        <v/>
      </c>
      <c r="E728" t="str">
        <f>IF(ISNUMBER($K728),INDEX(РАБОТЫ!$M$2:$M$1058,$K728),"")</f>
        <v/>
      </c>
      <c r="F728" s="7" t="str">
        <f>IF(ISNUMBER($K728),INDEX(РАБОТЫ!$S$2:$S$1058,$K728),"")</f>
        <v/>
      </c>
      <c r="G728" s="7" t="str">
        <f>IF(ISNUMBER($K728),INDEX(РАБОТЫ!$T$2:$T$1058,$K728),"")</f>
        <v/>
      </c>
      <c r="H728" s="7" t="str">
        <f t="shared" si="44"/>
        <v/>
      </c>
      <c r="I728" s="7" t="str">
        <f t="shared" si="45"/>
        <v/>
      </c>
      <c r="J728" s="7" t="str">
        <f t="shared" si="46"/>
        <v/>
      </c>
      <c r="K728" t="str">
        <f>IFERROR(MATCH(707,РАБОТЫ!$X$2:$X$1058,0),"")</f>
        <v/>
      </c>
      <c r="L728" t="str">
        <f>IFERROR(IF(INDEX(РАБОТЫ!$W$2:$W$1058,MATCH(707+1,РАБОТЫ!$X$2:$X$1058,0))=1,INDEX(РАБОТЫ!$V$2:$V$1058,MATCH(707+1,РАБОТЫ!$X$2:$X$1058,0)),""),"")</f>
        <v/>
      </c>
      <c r="M728" t="str">
        <f t="shared" si="47"/>
        <v/>
      </c>
    </row>
    <row r="729" spans="1:13" hidden="1" x14ac:dyDescent="0.3">
      <c r="A729" t="str">
        <f>IF(ISNUMBER($K729),INDEX(РАБОТЫ!$U$2:$U$1058,$K729),"")</f>
        <v/>
      </c>
      <c r="B729" t="str">
        <f>IF(ISNUMBER($K729),INDEX(РАБОТЫ!$A$2:$A$1058,$K729),"")</f>
        <v/>
      </c>
      <c r="C729" s="4" t="str">
        <f>IF($L729&lt;&gt;"",INDEX(РАБОТЫ!$Z$2:$Z$1058,MATCH($L729,РАБОТЫ!$V$2:$V$1058,0)),IF(ISNUMBER($K729),INDEX(РАБОТЫ!$Y$2:$Y$1058,$K729),""))</f>
        <v/>
      </c>
      <c r="D729" t="str">
        <f>IF(ISNUMBER($K729),INDEX(РАБОТЫ!$E$2:$E$1058,$K729),"")</f>
        <v/>
      </c>
      <c r="E729" t="str">
        <f>IF(ISNUMBER($K729),INDEX(РАБОТЫ!$M$2:$M$1058,$K729),"")</f>
        <v/>
      </c>
      <c r="F729" s="7" t="str">
        <f>IF(ISNUMBER($K729),INDEX(РАБОТЫ!$S$2:$S$1058,$K729),"")</f>
        <v/>
      </c>
      <c r="G729" s="7" t="str">
        <f>IF(ISNUMBER($K729),INDEX(РАБОТЫ!$T$2:$T$1058,$K729),"")</f>
        <v/>
      </c>
      <c r="H729" s="7" t="str">
        <f t="shared" si="44"/>
        <v/>
      </c>
      <c r="I729" s="7" t="str">
        <f t="shared" si="45"/>
        <v/>
      </c>
      <c r="J729" s="7" t="str">
        <f t="shared" si="46"/>
        <v/>
      </c>
      <c r="K729" t="str">
        <f>IFERROR(MATCH(708,РАБОТЫ!$X$2:$X$1058,0),"")</f>
        <v/>
      </c>
      <c r="L729" t="str">
        <f>IFERROR(IF(INDEX(РАБОТЫ!$W$2:$W$1058,MATCH(708+1,РАБОТЫ!$X$2:$X$1058,0))=1,INDEX(РАБОТЫ!$V$2:$V$1058,MATCH(708+1,РАБОТЫ!$X$2:$X$1058,0)),""),"")</f>
        <v/>
      </c>
      <c r="M729" t="str">
        <f t="shared" si="47"/>
        <v/>
      </c>
    </row>
    <row r="730" spans="1:13" hidden="1" x14ac:dyDescent="0.3">
      <c r="A730" t="str">
        <f>IF(ISNUMBER($K730),INDEX(РАБОТЫ!$U$2:$U$1058,$K730),"")</f>
        <v/>
      </c>
      <c r="B730" t="str">
        <f>IF(ISNUMBER($K730),INDEX(РАБОТЫ!$A$2:$A$1058,$K730),"")</f>
        <v/>
      </c>
      <c r="C730" s="4" t="str">
        <f>IF($L730&lt;&gt;"",INDEX(РАБОТЫ!$Z$2:$Z$1058,MATCH($L730,РАБОТЫ!$V$2:$V$1058,0)),IF(ISNUMBER($K730),INDEX(РАБОТЫ!$Y$2:$Y$1058,$K730),""))</f>
        <v/>
      </c>
      <c r="D730" t="str">
        <f>IF(ISNUMBER($K730),INDEX(РАБОТЫ!$E$2:$E$1058,$K730),"")</f>
        <v/>
      </c>
      <c r="E730" t="str">
        <f>IF(ISNUMBER($K730),INDEX(РАБОТЫ!$M$2:$M$1058,$K730),"")</f>
        <v/>
      </c>
      <c r="F730" s="7" t="str">
        <f>IF(ISNUMBER($K730),INDEX(РАБОТЫ!$S$2:$S$1058,$K730),"")</f>
        <v/>
      </c>
      <c r="G730" s="7" t="str">
        <f>IF(ISNUMBER($K730),INDEX(РАБОТЫ!$T$2:$T$1058,$K730),"")</f>
        <v/>
      </c>
      <c r="H730" s="7" t="str">
        <f t="shared" si="44"/>
        <v/>
      </c>
      <c r="I730" s="7" t="str">
        <f t="shared" si="45"/>
        <v/>
      </c>
      <c r="J730" s="7" t="str">
        <f t="shared" si="46"/>
        <v/>
      </c>
      <c r="K730" t="str">
        <f>IFERROR(MATCH(709,РАБОТЫ!$X$2:$X$1058,0),"")</f>
        <v/>
      </c>
      <c r="L730" t="str">
        <f>IFERROR(IF(INDEX(РАБОТЫ!$W$2:$W$1058,MATCH(709+1,РАБОТЫ!$X$2:$X$1058,0))=1,INDEX(РАБОТЫ!$V$2:$V$1058,MATCH(709+1,РАБОТЫ!$X$2:$X$1058,0)),""),"")</f>
        <v/>
      </c>
      <c r="M730" t="str">
        <f t="shared" si="47"/>
        <v/>
      </c>
    </row>
    <row r="731" spans="1:13" hidden="1" x14ac:dyDescent="0.3">
      <c r="A731" t="str">
        <f>IF(ISNUMBER($K731),INDEX(РАБОТЫ!$U$2:$U$1058,$K731),"")</f>
        <v/>
      </c>
      <c r="B731" t="str">
        <f>IF(ISNUMBER($K731),INDEX(РАБОТЫ!$A$2:$A$1058,$K731),"")</f>
        <v/>
      </c>
      <c r="C731" s="4" t="str">
        <f>IF($L731&lt;&gt;"",INDEX(РАБОТЫ!$Z$2:$Z$1058,MATCH($L731,РАБОТЫ!$V$2:$V$1058,0)),IF(ISNUMBER($K731),INDEX(РАБОТЫ!$Y$2:$Y$1058,$K731),""))</f>
        <v/>
      </c>
      <c r="D731" t="str">
        <f>IF(ISNUMBER($K731),INDEX(РАБОТЫ!$E$2:$E$1058,$K731),"")</f>
        <v/>
      </c>
      <c r="E731" t="str">
        <f>IF(ISNUMBER($K731),INDEX(РАБОТЫ!$M$2:$M$1058,$K731),"")</f>
        <v/>
      </c>
      <c r="F731" s="7" t="str">
        <f>IF(ISNUMBER($K731),INDEX(РАБОТЫ!$S$2:$S$1058,$K731),"")</f>
        <v/>
      </c>
      <c r="G731" s="7" t="str">
        <f>IF(ISNUMBER($K731),INDEX(РАБОТЫ!$T$2:$T$1058,$K731),"")</f>
        <v/>
      </c>
      <c r="H731" s="7" t="str">
        <f t="shared" si="44"/>
        <v/>
      </c>
      <c r="I731" s="7" t="str">
        <f t="shared" si="45"/>
        <v/>
      </c>
      <c r="J731" s="7" t="str">
        <f t="shared" si="46"/>
        <v/>
      </c>
      <c r="K731" t="str">
        <f>IFERROR(MATCH(710,РАБОТЫ!$X$2:$X$1058,0),"")</f>
        <v/>
      </c>
      <c r="L731" t="str">
        <f>IFERROR(IF(INDEX(РАБОТЫ!$W$2:$W$1058,MATCH(710+1,РАБОТЫ!$X$2:$X$1058,0))=1,INDEX(РАБОТЫ!$V$2:$V$1058,MATCH(710+1,РАБОТЫ!$X$2:$X$1058,0)),""),"")</f>
        <v/>
      </c>
      <c r="M731" t="str">
        <f t="shared" si="47"/>
        <v/>
      </c>
    </row>
    <row r="732" spans="1:13" hidden="1" x14ac:dyDescent="0.3">
      <c r="A732" t="str">
        <f>IF(ISNUMBER($K732),INDEX(РАБОТЫ!$U$2:$U$1058,$K732),"")</f>
        <v/>
      </c>
      <c r="B732" t="str">
        <f>IF(ISNUMBER($K732),INDEX(РАБОТЫ!$A$2:$A$1058,$K732),"")</f>
        <v/>
      </c>
      <c r="C732" s="4" t="str">
        <f>IF($L732&lt;&gt;"",INDEX(РАБОТЫ!$Z$2:$Z$1058,MATCH($L732,РАБОТЫ!$V$2:$V$1058,0)),IF(ISNUMBER($K732),INDEX(РАБОТЫ!$Y$2:$Y$1058,$K732),""))</f>
        <v/>
      </c>
      <c r="D732" t="str">
        <f>IF(ISNUMBER($K732),INDEX(РАБОТЫ!$E$2:$E$1058,$K732),"")</f>
        <v/>
      </c>
      <c r="E732" t="str">
        <f>IF(ISNUMBER($K732),INDEX(РАБОТЫ!$M$2:$M$1058,$K732),"")</f>
        <v/>
      </c>
      <c r="F732" s="7" t="str">
        <f>IF(ISNUMBER($K732),INDEX(РАБОТЫ!$S$2:$S$1058,$K732),"")</f>
        <v/>
      </c>
      <c r="G732" s="7" t="str">
        <f>IF(ISNUMBER($K732),INDEX(РАБОТЫ!$T$2:$T$1058,$K732),"")</f>
        <v/>
      </c>
      <c r="H732" s="7" t="str">
        <f t="shared" si="44"/>
        <v/>
      </c>
      <c r="I732" s="7" t="str">
        <f t="shared" si="45"/>
        <v/>
      </c>
      <c r="J732" s="7" t="str">
        <f t="shared" si="46"/>
        <v/>
      </c>
      <c r="K732" t="str">
        <f>IFERROR(MATCH(711,РАБОТЫ!$X$2:$X$1058,0),"")</f>
        <v/>
      </c>
      <c r="L732" t="str">
        <f>IFERROR(IF(INDEX(РАБОТЫ!$W$2:$W$1058,MATCH(711+1,РАБОТЫ!$X$2:$X$1058,0))=1,INDEX(РАБОТЫ!$V$2:$V$1058,MATCH(711+1,РАБОТЫ!$X$2:$X$1058,0)),""),"")</f>
        <v/>
      </c>
      <c r="M732" t="str">
        <f t="shared" si="47"/>
        <v/>
      </c>
    </row>
    <row r="733" spans="1:13" hidden="1" x14ac:dyDescent="0.3">
      <c r="A733" t="str">
        <f>IF(ISNUMBER($K733),INDEX(РАБОТЫ!$U$2:$U$1058,$K733),"")</f>
        <v/>
      </c>
      <c r="B733" t="str">
        <f>IF(ISNUMBER($K733),INDEX(РАБОТЫ!$A$2:$A$1058,$K733),"")</f>
        <v/>
      </c>
      <c r="C733" s="4" t="str">
        <f>IF($L733&lt;&gt;"",INDEX(РАБОТЫ!$Z$2:$Z$1058,MATCH($L733,РАБОТЫ!$V$2:$V$1058,0)),IF(ISNUMBER($K733),INDEX(РАБОТЫ!$Y$2:$Y$1058,$K733),""))</f>
        <v/>
      </c>
      <c r="D733" t="str">
        <f>IF(ISNUMBER($K733),INDEX(РАБОТЫ!$E$2:$E$1058,$K733),"")</f>
        <v/>
      </c>
      <c r="E733" t="str">
        <f>IF(ISNUMBER($K733),INDEX(РАБОТЫ!$M$2:$M$1058,$K733),"")</f>
        <v/>
      </c>
      <c r="F733" s="7" t="str">
        <f>IF(ISNUMBER($K733),INDEX(РАБОТЫ!$S$2:$S$1058,$K733),"")</f>
        <v/>
      </c>
      <c r="G733" s="7" t="str">
        <f>IF(ISNUMBER($K733),INDEX(РАБОТЫ!$T$2:$T$1058,$K733),"")</f>
        <v/>
      </c>
      <c r="H733" s="7" t="str">
        <f t="shared" si="44"/>
        <v/>
      </c>
      <c r="I733" s="7" t="str">
        <f t="shared" si="45"/>
        <v/>
      </c>
      <c r="J733" s="7" t="str">
        <f t="shared" si="46"/>
        <v/>
      </c>
      <c r="K733" t="str">
        <f>IFERROR(MATCH(712,РАБОТЫ!$X$2:$X$1058,0),"")</f>
        <v/>
      </c>
      <c r="L733" t="str">
        <f>IFERROR(IF(INDEX(РАБОТЫ!$W$2:$W$1058,MATCH(712+1,РАБОТЫ!$X$2:$X$1058,0))=1,INDEX(РАБОТЫ!$V$2:$V$1058,MATCH(712+1,РАБОТЫ!$X$2:$X$1058,0)),""),"")</f>
        <v/>
      </c>
      <c r="M733" t="str">
        <f t="shared" si="47"/>
        <v/>
      </c>
    </row>
    <row r="734" spans="1:13" hidden="1" x14ac:dyDescent="0.3">
      <c r="A734" t="str">
        <f>IF(ISNUMBER($K734),INDEX(РАБОТЫ!$U$2:$U$1058,$K734),"")</f>
        <v/>
      </c>
      <c r="B734" t="str">
        <f>IF(ISNUMBER($K734),INDEX(РАБОТЫ!$A$2:$A$1058,$K734),"")</f>
        <v/>
      </c>
      <c r="C734" s="4" t="str">
        <f>IF($L734&lt;&gt;"",INDEX(РАБОТЫ!$Z$2:$Z$1058,MATCH($L734,РАБОТЫ!$V$2:$V$1058,0)),IF(ISNUMBER($K734),INDEX(РАБОТЫ!$Y$2:$Y$1058,$K734),""))</f>
        <v/>
      </c>
      <c r="D734" t="str">
        <f>IF(ISNUMBER($K734),INDEX(РАБОТЫ!$E$2:$E$1058,$K734),"")</f>
        <v/>
      </c>
      <c r="E734" t="str">
        <f>IF(ISNUMBER($K734),INDEX(РАБОТЫ!$M$2:$M$1058,$K734),"")</f>
        <v/>
      </c>
      <c r="F734" s="7" t="str">
        <f>IF(ISNUMBER($K734),INDEX(РАБОТЫ!$S$2:$S$1058,$K734),"")</f>
        <v/>
      </c>
      <c r="G734" s="7" t="str">
        <f>IF(ISNUMBER($K734),INDEX(РАБОТЫ!$T$2:$T$1058,$K734),"")</f>
        <v/>
      </c>
      <c r="H734" s="7" t="str">
        <f t="shared" si="44"/>
        <v/>
      </c>
      <c r="I734" s="7" t="str">
        <f t="shared" si="45"/>
        <v/>
      </c>
      <c r="J734" s="7" t="str">
        <f t="shared" si="46"/>
        <v/>
      </c>
      <c r="K734" t="str">
        <f>IFERROR(MATCH(713,РАБОТЫ!$X$2:$X$1058,0),"")</f>
        <v/>
      </c>
      <c r="L734" t="str">
        <f>IFERROR(IF(INDEX(РАБОТЫ!$W$2:$W$1058,MATCH(713+1,РАБОТЫ!$X$2:$X$1058,0))=1,INDEX(РАБОТЫ!$V$2:$V$1058,MATCH(713+1,РАБОТЫ!$X$2:$X$1058,0)),""),"")</f>
        <v/>
      </c>
      <c r="M734" t="str">
        <f t="shared" si="47"/>
        <v/>
      </c>
    </row>
    <row r="735" spans="1:13" hidden="1" x14ac:dyDescent="0.3">
      <c r="A735" t="str">
        <f>IF(ISNUMBER($K735),INDEX(РАБОТЫ!$U$2:$U$1058,$K735),"")</f>
        <v/>
      </c>
      <c r="B735" t="str">
        <f>IF(ISNUMBER($K735),INDEX(РАБОТЫ!$A$2:$A$1058,$K735),"")</f>
        <v/>
      </c>
      <c r="C735" s="4" t="str">
        <f>IF($L735&lt;&gt;"",INDEX(РАБОТЫ!$Z$2:$Z$1058,MATCH($L735,РАБОТЫ!$V$2:$V$1058,0)),IF(ISNUMBER($K735),INDEX(РАБОТЫ!$Y$2:$Y$1058,$K735),""))</f>
        <v/>
      </c>
      <c r="D735" t="str">
        <f>IF(ISNUMBER($K735),INDEX(РАБОТЫ!$E$2:$E$1058,$K735),"")</f>
        <v/>
      </c>
      <c r="E735" t="str">
        <f>IF(ISNUMBER($K735),INDEX(РАБОТЫ!$M$2:$M$1058,$K735),"")</f>
        <v/>
      </c>
      <c r="F735" s="7" t="str">
        <f>IF(ISNUMBER($K735),INDEX(РАБОТЫ!$S$2:$S$1058,$K735),"")</f>
        <v/>
      </c>
      <c r="G735" s="7" t="str">
        <f>IF(ISNUMBER($K735),INDEX(РАБОТЫ!$T$2:$T$1058,$K735),"")</f>
        <v/>
      </c>
      <c r="H735" s="7" t="str">
        <f t="shared" si="44"/>
        <v/>
      </c>
      <c r="I735" s="7" t="str">
        <f t="shared" si="45"/>
        <v/>
      </c>
      <c r="J735" s="7" t="str">
        <f t="shared" si="46"/>
        <v/>
      </c>
      <c r="K735" t="str">
        <f>IFERROR(MATCH(714,РАБОТЫ!$X$2:$X$1058,0),"")</f>
        <v/>
      </c>
      <c r="L735" t="str">
        <f>IFERROR(IF(INDEX(РАБОТЫ!$W$2:$W$1058,MATCH(714+1,РАБОТЫ!$X$2:$X$1058,0))=1,INDEX(РАБОТЫ!$V$2:$V$1058,MATCH(714+1,РАБОТЫ!$X$2:$X$1058,0)),""),"")</f>
        <v/>
      </c>
      <c r="M735" t="str">
        <f t="shared" si="47"/>
        <v/>
      </c>
    </row>
    <row r="736" spans="1:13" hidden="1" x14ac:dyDescent="0.3">
      <c r="A736" t="str">
        <f>IF(ISNUMBER($K736),INDEX(РАБОТЫ!$U$2:$U$1058,$K736),"")</f>
        <v/>
      </c>
      <c r="B736" t="str">
        <f>IF(ISNUMBER($K736),INDEX(РАБОТЫ!$A$2:$A$1058,$K736),"")</f>
        <v/>
      </c>
      <c r="C736" s="4" t="str">
        <f>IF($L736&lt;&gt;"",INDEX(РАБОТЫ!$Z$2:$Z$1058,MATCH($L736,РАБОТЫ!$V$2:$V$1058,0)),IF(ISNUMBER($K736),INDEX(РАБОТЫ!$Y$2:$Y$1058,$K736),""))</f>
        <v/>
      </c>
      <c r="D736" t="str">
        <f>IF(ISNUMBER($K736),INDEX(РАБОТЫ!$E$2:$E$1058,$K736),"")</f>
        <v/>
      </c>
      <c r="E736" t="str">
        <f>IF(ISNUMBER($K736),INDEX(РАБОТЫ!$M$2:$M$1058,$K736),"")</f>
        <v/>
      </c>
      <c r="F736" s="7" t="str">
        <f>IF(ISNUMBER($K736),INDEX(РАБОТЫ!$S$2:$S$1058,$K736),"")</f>
        <v/>
      </c>
      <c r="G736" s="7" t="str">
        <f>IF(ISNUMBER($K736),INDEX(РАБОТЫ!$T$2:$T$1058,$K736),"")</f>
        <v/>
      </c>
      <c r="H736" s="7" t="str">
        <f t="shared" si="44"/>
        <v/>
      </c>
      <c r="I736" s="7" t="str">
        <f t="shared" si="45"/>
        <v/>
      </c>
      <c r="J736" s="7" t="str">
        <f t="shared" si="46"/>
        <v/>
      </c>
      <c r="K736" t="str">
        <f>IFERROR(MATCH(715,РАБОТЫ!$X$2:$X$1058,0),"")</f>
        <v/>
      </c>
      <c r="L736" t="str">
        <f>IFERROR(IF(INDEX(РАБОТЫ!$W$2:$W$1058,MATCH(715+1,РАБОТЫ!$X$2:$X$1058,0))=1,INDEX(РАБОТЫ!$V$2:$V$1058,MATCH(715+1,РАБОТЫ!$X$2:$X$1058,0)),""),"")</f>
        <v/>
      </c>
      <c r="M736" t="str">
        <f t="shared" si="47"/>
        <v/>
      </c>
    </row>
    <row r="737" spans="1:13" hidden="1" x14ac:dyDescent="0.3">
      <c r="A737" t="str">
        <f>IF(ISNUMBER($K737),INDEX(РАБОТЫ!$U$2:$U$1058,$K737),"")</f>
        <v/>
      </c>
      <c r="B737" t="str">
        <f>IF(ISNUMBER($K737),INDEX(РАБОТЫ!$A$2:$A$1058,$K737),"")</f>
        <v/>
      </c>
      <c r="C737" s="4" t="str">
        <f>IF($L737&lt;&gt;"",INDEX(РАБОТЫ!$Z$2:$Z$1058,MATCH($L737,РАБОТЫ!$V$2:$V$1058,0)),IF(ISNUMBER($K737),INDEX(РАБОТЫ!$Y$2:$Y$1058,$K737),""))</f>
        <v/>
      </c>
      <c r="D737" t="str">
        <f>IF(ISNUMBER($K737),INDEX(РАБОТЫ!$E$2:$E$1058,$K737),"")</f>
        <v/>
      </c>
      <c r="E737" t="str">
        <f>IF(ISNUMBER($K737),INDEX(РАБОТЫ!$M$2:$M$1058,$K737),"")</f>
        <v/>
      </c>
      <c r="F737" s="7" t="str">
        <f>IF(ISNUMBER($K737),INDEX(РАБОТЫ!$S$2:$S$1058,$K737),"")</f>
        <v/>
      </c>
      <c r="G737" s="7" t="str">
        <f>IF(ISNUMBER($K737),INDEX(РАБОТЫ!$T$2:$T$1058,$K737),"")</f>
        <v/>
      </c>
      <c r="H737" s="7" t="str">
        <f t="shared" si="44"/>
        <v/>
      </c>
      <c r="I737" s="7" t="str">
        <f t="shared" si="45"/>
        <v/>
      </c>
      <c r="J737" s="7" t="str">
        <f t="shared" si="46"/>
        <v/>
      </c>
      <c r="K737" t="str">
        <f>IFERROR(MATCH(716,РАБОТЫ!$X$2:$X$1058,0),"")</f>
        <v/>
      </c>
      <c r="L737" t="str">
        <f>IFERROR(IF(INDEX(РАБОТЫ!$W$2:$W$1058,MATCH(716+1,РАБОТЫ!$X$2:$X$1058,0))=1,INDEX(РАБОТЫ!$V$2:$V$1058,MATCH(716+1,РАБОТЫ!$X$2:$X$1058,0)),""),"")</f>
        <v/>
      </c>
      <c r="M737" t="str">
        <f t="shared" si="47"/>
        <v/>
      </c>
    </row>
    <row r="738" spans="1:13" hidden="1" x14ac:dyDescent="0.3">
      <c r="A738" t="str">
        <f>IF(ISNUMBER($K738),INDEX(РАБОТЫ!$U$2:$U$1058,$K738),"")</f>
        <v/>
      </c>
      <c r="B738" t="str">
        <f>IF(ISNUMBER($K738),INDEX(РАБОТЫ!$A$2:$A$1058,$K738),"")</f>
        <v/>
      </c>
      <c r="C738" s="4" t="str">
        <f>IF($L738&lt;&gt;"",INDEX(РАБОТЫ!$Z$2:$Z$1058,MATCH($L738,РАБОТЫ!$V$2:$V$1058,0)),IF(ISNUMBER($K738),INDEX(РАБОТЫ!$Y$2:$Y$1058,$K738),""))</f>
        <v/>
      </c>
      <c r="D738" t="str">
        <f>IF(ISNUMBER($K738),INDEX(РАБОТЫ!$E$2:$E$1058,$K738),"")</f>
        <v/>
      </c>
      <c r="E738" t="str">
        <f>IF(ISNUMBER($K738),INDEX(РАБОТЫ!$M$2:$M$1058,$K738),"")</f>
        <v/>
      </c>
      <c r="F738" s="7" t="str">
        <f>IF(ISNUMBER($K738),INDEX(РАБОТЫ!$S$2:$S$1058,$K738),"")</f>
        <v/>
      </c>
      <c r="G738" s="7" t="str">
        <f>IF(ISNUMBER($K738),INDEX(РАБОТЫ!$T$2:$T$1058,$K738),"")</f>
        <v/>
      </c>
      <c r="H738" s="7" t="str">
        <f t="shared" si="44"/>
        <v/>
      </c>
      <c r="I738" s="7" t="str">
        <f t="shared" si="45"/>
        <v/>
      </c>
      <c r="J738" s="7" t="str">
        <f t="shared" si="46"/>
        <v/>
      </c>
      <c r="K738" t="str">
        <f>IFERROR(MATCH(717,РАБОТЫ!$X$2:$X$1058,0),"")</f>
        <v/>
      </c>
      <c r="L738" t="str">
        <f>IFERROR(IF(INDEX(РАБОТЫ!$W$2:$W$1058,MATCH(717+1,РАБОТЫ!$X$2:$X$1058,0))=1,INDEX(РАБОТЫ!$V$2:$V$1058,MATCH(717+1,РАБОТЫ!$X$2:$X$1058,0)),""),"")</f>
        <v/>
      </c>
      <c r="M738" t="str">
        <f t="shared" si="47"/>
        <v/>
      </c>
    </row>
    <row r="739" spans="1:13" hidden="1" x14ac:dyDescent="0.3">
      <c r="A739" t="str">
        <f>IF(ISNUMBER($K739),INDEX(РАБОТЫ!$U$2:$U$1058,$K739),"")</f>
        <v/>
      </c>
      <c r="B739" t="str">
        <f>IF(ISNUMBER($K739),INDEX(РАБОТЫ!$A$2:$A$1058,$K739),"")</f>
        <v/>
      </c>
      <c r="C739" s="4" t="str">
        <f>IF($L739&lt;&gt;"",INDEX(РАБОТЫ!$Z$2:$Z$1058,MATCH($L739,РАБОТЫ!$V$2:$V$1058,0)),IF(ISNUMBER($K739),INDEX(РАБОТЫ!$Y$2:$Y$1058,$K739),""))</f>
        <v/>
      </c>
      <c r="D739" t="str">
        <f>IF(ISNUMBER($K739),INDEX(РАБОТЫ!$E$2:$E$1058,$K739),"")</f>
        <v/>
      </c>
      <c r="E739" t="str">
        <f>IF(ISNUMBER($K739),INDEX(РАБОТЫ!$M$2:$M$1058,$K739),"")</f>
        <v/>
      </c>
      <c r="F739" s="7" t="str">
        <f>IF(ISNUMBER($K739),INDEX(РАБОТЫ!$S$2:$S$1058,$K739),"")</f>
        <v/>
      </c>
      <c r="G739" s="7" t="str">
        <f>IF(ISNUMBER($K739),INDEX(РАБОТЫ!$T$2:$T$1058,$K739),"")</f>
        <v/>
      </c>
      <c r="H739" s="7" t="str">
        <f t="shared" si="44"/>
        <v/>
      </c>
      <c r="I739" s="7" t="str">
        <f t="shared" si="45"/>
        <v/>
      </c>
      <c r="J739" s="7" t="str">
        <f t="shared" si="46"/>
        <v/>
      </c>
      <c r="K739" t="str">
        <f>IFERROR(MATCH(718,РАБОТЫ!$X$2:$X$1058,0),"")</f>
        <v/>
      </c>
      <c r="L739" t="str">
        <f>IFERROR(IF(INDEX(РАБОТЫ!$W$2:$W$1058,MATCH(718+1,РАБОТЫ!$X$2:$X$1058,0))=1,INDEX(РАБОТЫ!$V$2:$V$1058,MATCH(718+1,РАБОТЫ!$X$2:$X$1058,0)),""),"")</f>
        <v/>
      </c>
      <c r="M739" t="str">
        <f t="shared" si="47"/>
        <v/>
      </c>
    </row>
    <row r="740" spans="1:13" hidden="1" x14ac:dyDescent="0.3">
      <c r="A740" t="str">
        <f>IF(ISNUMBER($K740),INDEX(РАБОТЫ!$U$2:$U$1058,$K740),"")</f>
        <v/>
      </c>
      <c r="B740" t="str">
        <f>IF(ISNUMBER($K740),INDEX(РАБОТЫ!$A$2:$A$1058,$K740),"")</f>
        <v/>
      </c>
      <c r="C740" s="4" t="str">
        <f>IF($L740&lt;&gt;"",INDEX(РАБОТЫ!$Z$2:$Z$1058,MATCH($L740,РАБОТЫ!$V$2:$V$1058,0)),IF(ISNUMBER($K740),INDEX(РАБОТЫ!$Y$2:$Y$1058,$K740),""))</f>
        <v/>
      </c>
      <c r="D740" t="str">
        <f>IF(ISNUMBER($K740),INDEX(РАБОТЫ!$E$2:$E$1058,$K740),"")</f>
        <v/>
      </c>
      <c r="E740" t="str">
        <f>IF(ISNUMBER($K740),INDEX(РАБОТЫ!$M$2:$M$1058,$K740),"")</f>
        <v/>
      </c>
      <c r="F740" s="7" t="str">
        <f>IF(ISNUMBER($K740),INDEX(РАБОТЫ!$S$2:$S$1058,$K740),"")</f>
        <v/>
      </c>
      <c r="G740" s="7" t="str">
        <f>IF(ISNUMBER($K740),INDEX(РАБОТЫ!$T$2:$T$1058,$K740),"")</f>
        <v/>
      </c>
      <c r="H740" s="7" t="str">
        <f t="shared" si="44"/>
        <v/>
      </c>
      <c r="I740" s="7" t="str">
        <f t="shared" si="45"/>
        <v/>
      </c>
      <c r="J740" s="7" t="str">
        <f t="shared" si="46"/>
        <v/>
      </c>
      <c r="K740" t="str">
        <f>IFERROR(MATCH(719,РАБОТЫ!$X$2:$X$1058,0),"")</f>
        <v/>
      </c>
      <c r="L740" t="str">
        <f>IFERROR(IF(INDEX(РАБОТЫ!$W$2:$W$1058,MATCH(719+1,РАБОТЫ!$X$2:$X$1058,0))=1,INDEX(РАБОТЫ!$V$2:$V$1058,MATCH(719+1,РАБОТЫ!$X$2:$X$1058,0)),""),"")</f>
        <v/>
      </c>
      <c r="M740" t="str">
        <f t="shared" si="47"/>
        <v/>
      </c>
    </row>
    <row r="741" spans="1:13" hidden="1" x14ac:dyDescent="0.3">
      <c r="A741" t="str">
        <f>IF(ISNUMBER($K741),INDEX(РАБОТЫ!$U$2:$U$1058,$K741),"")</f>
        <v/>
      </c>
      <c r="B741" t="str">
        <f>IF(ISNUMBER($K741),INDEX(РАБОТЫ!$A$2:$A$1058,$K741),"")</f>
        <v/>
      </c>
      <c r="C741" s="4" t="str">
        <f>IF($L741&lt;&gt;"",INDEX(РАБОТЫ!$Z$2:$Z$1058,MATCH($L741,РАБОТЫ!$V$2:$V$1058,0)),IF(ISNUMBER($K741),INDEX(РАБОТЫ!$Y$2:$Y$1058,$K741),""))</f>
        <v/>
      </c>
      <c r="D741" t="str">
        <f>IF(ISNUMBER($K741),INDEX(РАБОТЫ!$E$2:$E$1058,$K741),"")</f>
        <v/>
      </c>
      <c r="E741" t="str">
        <f>IF(ISNUMBER($K741),INDEX(РАБОТЫ!$M$2:$M$1058,$K741),"")</f>
        <v/>
      </c>
      <c r="F741" s="7" t="str">
        <f>IF(ISNUMBER($K741),INDEX(РАБОТЫ!$S$2:$S$1058,$K741),"")</f>
        <v/>
      </c>
      <c r="G741" s="7" t="str">
        <f>IF(ISNUMBER($K741),INDEX(РАБОТЫ!$T$2:$T$1058,$K741),"")</f>
        <v/>
      </c>
      <c r="H741" s="7" t="str">
        <f t="shared" si="44"/>
        <v/>
      </c>
      <c r="I741" s="7" t="str">
        <f t="shared" si="45"/>
        <v/>
      </c>
      <c r="J741" s="7" t="str">
        <f t="shared" si="46"/>
        <v/>
      </c>
      <c r="K741" t="str">
        <f>IFERROR(MATCH(720,РАБОТЫ!$X$2:$X$1058,0),"")</f>
        <v/>
      </c>
      <c r="L741" t="str">
        <f>IFERROR(IF(INDEX(РАБОТЫ!$W$2:$W$1058,MATCH(720+1,РАБОТЫ!$X$2:$X$1058,0))=1,INDEX(РАБОТЫ!$V$2:$V$1058,MATCH(720+1,РАБОТЫ!$X$2:$X$1058,0)),""),"")</f>
        <v/>
      </c>
      <c r="M741" t="str">
        <f t="shared" si="47"/>
        <v/>
      </c>
    </row>
    <row r="742" spans="1:13" hidden="1" x14ac:dyDescent="0.3">
      <c r="A742" t="str">
        <f>IF(ISNUMBER($K742),INDEX(РАБОТЫ!$U$2:$U$1058,$K742),"")</f>
        <v/>
      </c>
      <c r="B742" t="str">
        <f>IF(ISNUMBER($K742),INDEX(РАБОТЫ!$A$2:$A$1058,$K742),"")</f>
        <v/>
      </c>
      <c r="C742" s="4" t="str">
        <f>IF($L742&lt;&gt;"",INDEX(РАБОТЫ!$Z$2:$Z$1058,MATCH($L742,РАБОТЫ!$V$2:$V$1058,0)),IF(ISNUMBER($K742),INDEX(РАБОТЫ!$Y$2:$Y$1058,$K742),""))</f>
        <v/>
      </c>
      <c r="D742" t="str">
        <f>IF(ISNUMBER($K742),INDEX(РАБОТЫ!$E$2:$E$1058,$K742),"")</f>
        <v/>
      </c>
      <c r="E742" t="str">
        <f>IF(ISNUMBER($K742),INDEX(РАБОТЫ!$M$2:$M$1058,$K742),"")</f>
        <v/>
      </c>
      <c r="F742" s="7" t="str">
        <f>IF(ISNUMBER($K742),INDEX(РАБОТЫ!$S$2:$S$1058,$K742),"")</f>
        <v/>
      </c>
      <c r="G742" s="7" t="str">
        <f>IF(ISNUMBER($K742),INDEX(РАБОТЫ!$T$2:$T$1058,$K742),"")</f>
        <v/>
      </c>
      <c r="H742" s="7" t="str">
        <f t="shared" si="44"/>
        <v/>
      </c>
      <c r="I742" s="7" t="str">
        <f t="shared" si="45"/>
        <v/>
      </c>
      <c r="J742" s="7" t="str">
        <f t="shared" si="46"/>
        <v/>
      </c>
      <c r="K742" t="str">
        <f>IFERROR(MATCH(721,РАБОТЫ!$X$2:$X$1058,0),"")</f>
        <v/>
      </c>
      <c r="L742" t="str">
        <f>IFERROR(IF(INDEX(РАБОТЫ!$W$2:$W$1058,MATCH(721+1,РАБОТЫ!$X$2:$X$1058,0))=1,INDEX(РАБОТЫ!$V$2:$V$1058,MATCH(721+1,РАБОТЫ!$X$2:$X$1058,0)),""),"")</f>
        <v/>
      </c>
      <c r="M742" t="str">
        <f t="shared" si="47"/>
        <v/>
      </c>
    </row>
    <row r="743" spans="1:13" hidden="1" x14ac:dyDescent="0.3">
      <c r="A743" t="str">
        <f>IF(ISNUMBER($K743),INDEX(РАБОТЫ!$U$2:$U$1058,$K743),"")</f>
        <v/>
      </c>
      <c r="B743" t="str">
        <f>IF(ISNUMBER($K743),INDEX(РАБОТЫ!$A$2:$A$1058,$K743),"")</f>
        <v/>
      </c>
      <c r="C743" s="4" t="str">
        <f>IF($L743&lt;&gt;"",INDEX(РАБОТЫ!$Z$2:$Z$1058,MATCH($L743,РАБОТЫ!$V$2:$V$1058,0)),IF(ISNUMBER($K743),INDEX(РАБОТЫ!$Y$2:$Y$1058,$K743),""))</f>
        <v/>
      </c>
      <c r="D743" t="str">
        <f>IF(ISNUMBER($K743),INDEX(РАБОТЫ!$E$2:$E$1058,$K743),"")</f>
        <v/>
      </c>
      <c r="E743" t="str">
        <f>IF(ISNUMBER($K743),INDEX(РАБОТЫ!$M$2:$M$1058,$K743),"")</f>
        <v/>
      </c>
      <c r="F743" s="7" t="str">
        <f>IF(ISNUMBER($K743),INDEX(РАБОТЫ!$S$2:$S$1058,$K743),"")</f>
        <v/>
      </c>
      <c r="G743" s="7" t="str">
        <f>IF(ISNUMBER($K743),INDEX(РАБОТЫ!$T$2:$T$1058,$K743),"")</f>
        <v/>
      </c>
      <c r="H743" s="7" t="str">
        <f t="shared" si="44"/>
        <v/>
      </c>
      <c r="I743" s="7" t="str">
        <f t="shared" si="45"/>
        <v/>
      </c>
      <c r="J743" s="7" t="str">
        <f t="shared" si="46"/>
        <v/>
      </c>
      <c r="K743" t="str">
        <f>IFERROR(MATCH(722,РАБОТЫ!$X$2:$X$1058,0),"")</f>
        <v/>
      </c>
      <c r="L743" t="str">
        <f>IFERROR(IF(INDEX(РАБОТЫ!$W$2:$W$1058,MATCH(722+1,РАБОТЫ!$X$2:$X$1058,0))=1,INDEX(РАБОТЫ!$V$2:$V$1058,MATCH(722+1,РАБОТЫ!$X$2:$X$1058,0)),""),"")</f>
        <v/>
      </c>
      <c r="M743" t="str">
        <f t="shared" si="47"/>
        <v/>
      </c>
    </row>
    <row r="744" spans="1:13" hidden="1" x14ac:dyDescent="0.3">
      <c r="A744" t="str">
        <f>IF(ISNUMBER($K744),INDEX(РАБОТЫ!$U$2:$U$1058,$K744),"")</f>
        <v/>
      </c>
      <c r="B744" t="str">
        <f>IF(ISNUMBER($K744),INDEX(РАБОТЫ!$A$2:$A$1058,$K744),"")</f>
        <v/>
      </c>
      <c r="C744" s="4" t="str">
        <f>IF($L744&lt;&gt;"",INDEX(РАБОТЫ!$Z$2:$Z$1058,MATCH($L744,РАБОТЫ!$V$2:$V$1058,0)),IF(ISNUMBER($K744),INDEX(РАБОТЫ!$Y$2:$Y$1058,$K744),""))</f>
        <v/>
      </c>
      <c r="D744" t="str">
        <f>IF(ISNUMBER($K744),INDEX(РАБОТЫ!$E$2:$E$1058,$K744),"")</f>
        <v/>
      </c>
      <c r="E744" t="str">
        <f>IF(ISNUMBER($K744),INDEX(РАБОТЫ!$M$2:$M$1058,$K744),"")</f>
        <v/>
      </c>
      <c r="F744" s="7" t="str">
        <f>IF(ISNUMBER($K744),INDEX(РАБОТЫ!$S$2:$S$1058,$K744),"")</f>
        <v/>
      </c>
      <c r="G744" s="7" t="str">
        <f>IF(ISNUMBER($K744),INDEX(РАБОТЫ!$T$2:$T$1058,$K744),"")</f>
        <v/>
      </c>
      <c r="H744" s="7" t="str">
        <f t="shared" si="44"/>
        <v/>
      </c>
      <c r="I744" s="7" t="str">
        <f t="shared" si="45"/>
        <v/>
      </c>
      <c r="J744" s="7" t="str">
        <f t="shared" si="46"/>
        <v/>
      </c>
      <c r="K744" t="str">
        <f>IFERROR(MATCH(723,РАБОТЫ!$X$2:$X$1058,0),"")</f>
        <v/>
      </c>
      <c r="L744" t="str">
        <f>IFERROR(IF(INDEX(РАБОТЫ!$W$2:$W$1058,MATCH(723+1,РАБОТЫ!$X$2:$X$1058,0))=1,INDEX(РАБОТЫ!$V$2:$V$1058,MATCH(723+1,РАБОТЫ!$X$2:$X$1058,0)),""),"")</f>
        <v/>
      </c>
      <c r="M744" t="str">
        <f t="shared" si="47"/>
        <v/>
      </c>
    </row>
    <row r="745" spans="1:13" hidden="1" x14ac:dyDescent="0.3">
      <c r="A745" t="str">
        <f>IF(ISNUMBER($K745),INDEX(РАБОТЫ!$U$2:$U$1058,$K745),"")</f>
        <v/>
      </c>
      <c r="B745" t="str">
        <f>IF(ISNUMBER($K745),INDEX(РАБОТЫ!$A$2:$A$1058,$K745),"")</f>
        <v/>
      </c>
      <c r="C745" s="4" t="str">
        <f>IF($L745&lt;&gt;"",INDEX(РАБОТЫ!$Z$2:$Z$1058,MATCH($L745,РАБОТЫ!$V$2:$V$1058,0)),IF(ISNUMBER($K745),INDEX(РАБОТЫ!$Y$2:$Y$1058,$K745),""))</f>
        <v/>
      </c>
      <c r="D745" t="str">
        <f>IF(ISNUMBER($K745),INDEX(РАБОТЫ!$E$2:$E$1058,$K745),"")</f>
        <v/>
      </c>
      <c r="E745" t="str">
        <f>IF(ISNUMBER($K745),INDEX(РАБОТЫ!$M$2:$M$1058,$K745),"")</f>
        <v/>
      </c>
      <c r="F745" s="7" t="str">
        <f>IF(ISNUMBER($K745),INDEX(РАБОТЫ!$S$2:$S$1058,$K745),"")</f>
        <v/>
      </c>
      <c r="G745" s="7" t="str">
        <f>IF(ISNUMBER($K745),INDEX(РАБОТЫ!$T$2:$T$1058,$K745),"")</f>
        <v/>
      </c>
      <c r="H745" s="7" t="str">
        <f t="shared" si="44"/>
        <v/>
      </c>
      <c r="I745" s="7" t="str">
        <f t="shared" si="45"/>
        <v/>
      </c>
      <c r="J745" s="7" t="str">
        <f t="shared" si="46"/>
        <v/>
      </c>
      <c r="K745" t="str">
        <f>IFERROR(MATCH(724,РАБОТЫ!$X$2:$X$1058,0),"")</f>
        <v/>
      </c>
      <c r="L745" t="str">
        <f>IFERROR(IF(INDEX(РАБОТЫ!$W$2:$W$1058,MATCH(724+1,РАБОТЫ!$X$2:$X$1058,0))=1,INDEX(РАБОТЫ!$V$2:$V$1058,MATCH(724+1,РАБОТЫ!$X$2:$X$1058,0)),""),"")</f>
        <v/>
      </c>
      <c r="M745" t="str">
        <f t="shared" si="47"/>
        <v/>
      </c>
    </row>
    <row r="746" spans="1:13" hidden="1" x14ac:dyDescent="0.3">
      <c r="A746" t="str">
        <f>IF(ISNUMBER($K746),INDEX(РАБОТЫ!$U$2:$U$1058,$K746),"")</f>
        <v/>
      </c>
      <c r="B746" t="str">
        <f>IF(ISNUMBER($K746),INDEX(РАБОТЫ!$A$2:$A$1058,$K746),"")</f>
        <v/>
      </c>
      <c r="C746" s="4" t="str">
        <f>IF($L746&lt;&gt;"",INDEX(РАБОТЫ!$Z$2:$Z$1058,MATCH($L746,РАБОТЫ!$V$2:$V$1058,0)),IF(ISNUMBER($K746),INDEX(РАБОТЫ!$Y$2:$Y$1058,$K746),""))</f>
        <v/>
      </c>
      <c r="D746" t="str">
        <f>IF(ISNUMBER($K746),INDEX(РАБОТЫ!$E$2:$E$1058,$K746),"")</f>
        <v/>
      </c>
      <c r="E746" t="str">
        <f>IF(ISNUMBER($K746),INDEX(РАБОТЫ!$M$2:$M$1058,$K746),"")</f>
        <v/>
      </c>
      <c r="F746" s="7" t="str">
        <f>IF(ISNUMBER($K746),INDEX(РАБОТЫ!$S$2:$S$1058,$K746),"")</f>
        <v/>
      </c>
      <c r="G746" s="7" t="str">
        <f>IF(ISNUMBER($K746),INDEX(РАБОТЫ!$T$2:$T$1058,$K746),"")</f>
        <v/>
      </c>
      <c r="H746" s="7" t="str">
        <f t="shared" si="44"/>
        <v/>
      </c>
      <c r="I746" s="7" t="str">
        <f t="shared" si="45"/>
        <v/>
      </c>
      <c r="J746" s="7" t="str">
        <f t="shared" si="46"/>
        <v/>
      </c>
      <c r="K746" t="str">
        <f>IFERROR(MATCH(725,РАБОТЫ!$X$2:$X$1058,0),"")</f>
        <v/>
      </c>
      <c r="L746" t="str">
        <f>IFERROR(IF(INDEX(РАБОТЫ!$W$2:$W$1058,MATCH(725+1,РАБОТЫ!$X$2:$X$1058,0))=1,INDEX(РАБОТЫ!$V$2:$V$1058,MATCH(725+1,РАБОТЫ!$X$2:$X$1058,0)),""),"")</f>
        <v/>
      </c>
      <c r="M746" t="str">
        <f t="shared" si="47"/>
        <v/>
      </c>
    </row>
    <row r="747" spans="1:13" hidden="1" x14ac:dyDescent="0.3">
      <c r="A747" t="str">
        <f>IF(ISNUMBER($K747),INDEX(РАБОТЫ!$U$2:$U$1058,$K747),"")</f>
        <v/>
      </c>
      <c r="B747" t="str">
        <f>IF(ISNUMBER($K747),INDEX(РАБОТЫ!$A$2:$A$1058,$K747),"")</f>
        <v/>
      </c>
      <c r="C747" s="4" t="str">
        <f>IF($L747&lt;&gt;"",INDEX(РАБОТЫ!$Z$2:$Z$1058,MATCH($L747,РАБОТЫ!$V$2:$V$1058,0)),IF(ISNUMBER($K747),INDEX(РАБОТЫ!$Y$2:$Y$1058,$K747),""))</f>
        <v/>
      </c>
      <c r="D747" t="str">
        <f>IF(ISNUMBER($K747),INDEX(РАБОТЫ!$E$2:$E$1058,$K747),"")</f>
        <v/>
      </c>
      <c r="E747" t="str">
        <f>IF(ISNUMBER($K747),INDEX(РАБОТЫ!$M$2:$M$1058,$K747),"")</f>
        <v/>
      </c>
      <c r="F747" s="7" t="str">
        <f>IF(ISNUMBER($K747),INDEX(РАБОТЫ!$S$2:$S$1058,$K747),"")</f>
        <v/>
      </c>
      <c r="G747" s="7" t="str">
        <f>IF(ISNUMBER($K747),INDEX(РАБОТЫ!$T$2:$T$1058,$K747),"")</f>
        <v/>
      </c>
      <c r="H747" s="7" t="str">
        <f t="shared" si="44"/>
        <v/>
      </c>
      <c r="I747" s="7" t="str">
        <f t="shared" si="45"/>
        <v/>
      </c>
      <c r="J747" s="7" t="str">
        <f t="shared" si="46"/>
        <v/>
      </c>
      <c r="K747" t="str">
        <f>IFERROR(MATCH(726,РАБОТЫ!$X$2:$X$1058,0),"")</f>
        <v/>
      </c>
      <c r="L747" t="str">
        <f>IFERROR(IF(INDEX(РАБОТЫ!$W$2:$W$1058,MATCH(726+1,РАБОТЫ!$X$2:$X$1058,0))=1,INDEX(РАБОТЫ!$V$2:$V$1058,MATCH(726+1,РАБОТЫ!$X$2:$X$1058,0)),""),"")</f>
        <v/>
      </c>
      <c r="M747" t="str">
        <f t="shared" si="47"/>
        <v/>
      </c>
    </row>
    <row r="748" spans="1:13" hidden="1" x14ac:dyDescent="0.3">
      <c r="A748" t="str">
        <f>IF(ISNUMBER($K748),INDEX(РАБОТЫ!$U$2:$U$1058,$K748),"")</f>
        <v/>
      </c>
      <c r="B748" t="str">
        <f>IF(ISNUMBER($K748),INDEX(РАБОТЫ!$A$2:$A$1058,$K748),"")</f>
        <v/>
      </c>
      <c r="C748" s="4" t="str">
        <f>IF($L748&lt;&gt;"",INDEX(РАБОТЫ!$Z$2:$Z$1058,MATCH($L748,РАБОТЫ!$V$2:$V$1058,0)),IF(ISNUMBER($K748),INDEX(РАБОТЫ!$Y$2:$Y$1058,$K748),""))</f>
        <v/>
      </c>
      <c r="D748" t="str">
        <f>IF(ISNUMBER($K748),INDEX(РАБОТЫ!$E$2:$E$1058,$K748),"")</f>
        <v/>
      </c>
      <c r="E748" t="str">
        <f>IF(ISNUMBER($K748),INDEX(РАБОТЫ!$M$2:$M$1058,$K748),"")</f>
        <v/>
      </c>
      <c r="F748" s="7" t="str">
        <f>IF(ISNUMBER($K748),INDEX(РАБОТЫ!$S$2:$S$1058,$K748),"")</f>
        <v/>
      </c>
      <c r="G748" s="7" t="str">
        <f>IF(ISNUMBER($K748),INDEX(РАБОТЫ!$T$2:$T$1058,$K748),"")</f>
        <v/>
      </c>
      <c r="H748" s="7" t="str">
        <f t="shared" si="44"/>
        <v/>
      </c>
      <c r="I748" s="7" t="str">
        <f t="shared" si="45"/>
        <v/>
      </c>
      <c r="J748" s="7" t="str">
        <f t="shared" si="46"/>
        <v/>
      </c>
      <c r="K748" t="str">
        <f>IFERROR(MATCH(727,РАБОТЫ!$X$2:$X$1058,0),"")</f>
        <v/>
      </c>
      <c r="L748" t="str">
        <f>IFERROR(IF(INDEX(РАБОТЫ!$W$2:$W$1058,MATCH(727+1,РАБОТЫ!$X$2:$X$1058,0))=1,INDEX(РАБОТЫ!$V$2:$V$1058,MATCH(727+1,РАБОТЫ!$X$2:$X$1058,0)),""),"")</f>
        <v/>
      </c>
      <c r="M748" t="str">
        <f t="shared" si="47"/>
        <v/>
      </c>
    </row>
    <row r="749" spans="1:13" hidden="1" x14ac:dyDescent="0.3">
      <c r="A749" t="str">
        <f>IF(ISNUMBER($K749),INDEX(РАБОТЫ!$U$2:$U$1058,$K749),"")</f>
        <v/>
      </c>
      <c r="B749" t="str">
        <f>IF(ISNUMBER($K749),INDEX(РАБОТЫ!$A$2:$A$1058,$K749),"")</f>
        <v/>
      </c>
      <c r="C749" s="4" t="str">
        <f>IF($L749&lt;&gt;"",INDEX(РАБОТЫ!$Z$2:$Z$1058,MATCH($L749,РАБОТЫ!$V$2:$V$1058,0)),IF(ISNUMBER($K749),INDEX(РАБОТЫ!$Y$2:$Y$1058,$K749),""))</f>
        <v/>
      </c>
      <c r="D749" t="str">
        <f>IF(ISNUMBER($K749),INDEX(РАБОТЫ!$E$2:$E$1058,$K749),"")</f>
        <v/>
      </c>
      <c r="E749" t="str">
        <f>IF(ISNUMBER($K749),INDEX(РАБОТЫ!$M$2:$M$1058,$K749),"")</f>
        <v/>
      </c>
      <c r="F749" s="7" t="str">
        <f>IF(ISNUMBER($K749),INDEX(РАБОТЫ!$S$2:$S$1058,$K749),"")</f>
        <v/>
      </c>
      <c r="G749" s="7" t="str">
        <f>IF(ISNUMBER($K749),INDEX(РАБОТЫ!$T$2:$T$1058,$K749),"")</f>
        <v/>
      </c>
      <c r="H749" s="7" t="str">
        <f t="shared" si="44"/>
        <v/>
      </c>
      <c r="I749" s="7" t="str">
        <f t="shared" si="45"/>
        <v/>
      </c>
      <c r="J749" s="7" t="str">
        <f t="shared" si="46"/>
        <v/>
      </c>
      <c r="K749" t="str">
        <f>IFERROR(MATCH(728,РАБОТЫ!$X$2:$X$1058,0),"")</f>
        <v/>
      </c>
      <c r="L749" t="str">
        <f>IFERROR(IF(INDEX(РАБОТЫ!$W$2:$W$1058,MATCH(728+1,РАБОТЫ!$X$2:$X$1058,0))=1,INDEX(РАБОТЫ!$V$2:$V$1058,MATCH(728+1,РАБОТЫ!$X$2:$X$1058,0)),""),"")</f>
        <v/>
      </c>
      <c r="M749" t="str">
        <f t="shared" si="47"/>
        <v/>
      </c>
    </row>
    <row r="750" spans="1:13" hidden="1" x14ac:dyDescent="0.3">
      <c r="A750" t="str">
        <f>IF(ISNUMBER($K750),INDEX(РАБОТЫ!$U$2:$U$1058,$K750),"")</f>
        <v/>
      </c>
      <c r="B750" t="str">
        <f>IF(ISNUMBER($K750),INDEX(РАБОТЫ!$A$2:$A$1058,$K750),"")</f>
        <v/>
      </c>
      <c r="C750" s="4" t="str">
        <f>IF($L750&lt;&gt;"",INDEX(РАБОТЫ!$Z$2:$Z$1058,MATCH($L750,РАБОТЫ!$V$2:$V$1058,0)),IF(ISNUMBER($K750),INDEX(РАБОТЫ!$Y$2:$Y$1058,$K750),""))</f>
        <v/>
      </c>
      <c r="D750" t="str">
        <f>IF(ISNUMBER($K750),INDEX(РАБОТЫ!$E$2:$E$1058,$K750),"")</f>
        <v/>
      </c>
      <c r="E750" t="str">
        <f>IF(ISNUMBER($K750),INDEX(РАБОТЫ!$M$2:$M$1058,$K750),"")</f>
        <v/>
      </c>
      <c r="F750" s="7" t="str">
        <f>IF(ISNUMBER($K750),INDEX(РАБОТЫ!$S$2:$S$1058,$K750),"")</f>
        <v/>
      </c>
      <c r="G750" s="7" t="str">
        <f>IF(ISNUMBER($K750),INDEX(РАБОТЫ!$T$2:$T$1058,$K750),"")</f>
        <v/>
      </c>
      <c r="H750" s="7" t="str">
        <f t="shared" si="44"/>
        <v/>
      </c>
      <c r="I750" s="7" t="str">
        <f t="shared" si="45"/>
        <v/>
      </c>
      <c r="J750" s="7" t="str">
        <f t="shared" si="46"/>
        <v/>
      </c>
      <c r="K750" t="str">
        <f>IFERROR(MATCH(729,РАБОТЫ!$X$2:$X$1058,0),"")</f>
        <v/>
      </c>
      <c r="L750" t="str">
        <f>IFERROR(IF(INDEX(РАБОТЫ!$W$2:$W$1058,MATCH(729+1,РАБОТЫ!$X$2:$X$1058,0))=1,INDEX(РАБОТЫ!$V$2:$V$1058,MATCH(729+1,РАБОТЫ!$X$2:$X$1058,0)),""),"")</f>
        <v/>
      </c>
      <c r="M750" t="str">
        <f t="shared" si="47"/>
        <v/>
      </c>
    </row>
    <row r="751" spans="1:13" hidden="1" x14ac:dyDescent="0.3">
      <c r="A751" t="str">
        <f>IF(ISNUMBER($K751),INDEX(РАБОТЫ!$U$2:$U$1058,$K751),"")</f>
        <v/>
      </c>
      <c r="B751" t="str">
        <f>IF(ISNUMBER($K751),INDEX(РАБОТЫ!$A$2:$A$1058,$K751),"")</f>
        <v/>
      </c>
      <c r="C751" s="4" t="str">
        <f>IF($L751&lt;&gt;"",INDEX(РАБОТЫ!$Z$2:$Z$1058,MATCH($L751,РАБОТЫ!$V$2:$V$1058,0)),IF(ISNUMBER($K751),INDEX(РАБОТЫ!$Y$2:$Y$1058,$K751),""))</f>
        <v/>
      </c>
      <c r="D751" t="str">
        <f>IF(ISNUMBER($K751),INDEX(РАБОТЫ!$E$2:$E$1058,$K751),"")</f>
        <v/>
      </c>
      <c r="E751" t="str">
        <f>IF(ISNUMBER($K751),INDEX(РАБОТЫ!$M$2:$M$1058,$K751),"")</f>
        <v/>
      </c>
      <c r="F751" s="7" t="str">
        <f>IF(ISNUMBER($K751),INDEX(РАБОТЫ!$S$2:$S$1058,$K751),"")</f>
        <v/>
      </c>
      <c r="G751" s="7" t="str">
        <f>IF(ISNUMBER($K751),INDEX(РАБОТЫ!$T$2:$T$1058,$K751),"")</f>
        <v/>
      </c>
      <c r="H751" s="7" t="str">
        <f t="shared" si="44"/>
        <v/>
      </c>
      <c r="I751" s="7" t="str">
        <f t="shared" si="45"/>
        <v/>
      </c>
      <c r="J751" s="7" t="str">
        <f t="shared" si="46"/>
        <v/>
      </c>
      <c r="K751" t="str">
        <f>IFERROR(MATCH(730,РАБОТЫ!$X$2:$X$1058,0),"")</f>
        <v/>
      </c>
      <c r="L751" t="str">
        <f>IFERROR(IF(INDEX(РАБОТЫ!$W$2:$W$1058,MATCH(730+1,РАБОТЫ!$X$2:$X$1058,0))=1,INDEX(РАБОТЫ!$V$2:$V$1058,MATCH(730+1,РАБОТЫ!$X$2:$X$1058,0)),""),"")</f>
        <v/>
      </c>
      <c r="M751" t="str">
        <f t="shared" si="47"/>
        <v/>
      </c>
    </row>
    <row r="752" spans="1:13" hidden="1" x14ac:dyDescent="0.3">
      <c r="A752" t="str">
        <f>IF(ISNUMBER($K752),INDEX(РАБОТЫ!$U$2:$U$1058,$K752),"")</f>
        <v/>
      </c>
      <c r="B752" t="str">
        <f>IF(ISNUMBER($K752),INDEX(РАБОТЫ!$A$2:$A$1058,$K752),"")</f>
        <v/>
      </c>
      <c r="C752" s="4" t="str">
        <f>IF($L752&lt;&gt;"",INDEX(РАБОТЫ!$Z$2:$Z$1058,MATCH($L752,РАБОТЫ!$V$2:$V$1058,0)),IF(ISNUMBER($K752),INDEX(РАБОТЫ!$Y$2:$Y$1058,$K752),""))</f>
        <v/>
      </c>
      <c r="D752" t="str">
        <f>IF(ISNUMBER($K752),INDEX(РАБОТЫ!$E$2:$E$1058,$K752),"")</f>
        <v/>
      </c>
      <c r="E752" t="str">
        <f>IF(ISNUMBER($K752),INDEX(РАБОТЫ!$M$2:$M$1058,$K752),"")</f>
        <v/>
      </c>
      <c r="F752" s="7" t="str">
        <f>IF(ISNUMBER($K752),INDEX(РАБОТЫ!$S$2:$S$1058,$K752),"")</f>
        <v/>
      </c>
      <c r="G752" s="7" t="str">
        <f>IF(ISNUMBER($K752),INDEX(РАБОТЫ!$T$2:$T$1058,$K752),"")</f>
        <v/>
      </c>
      <c r="H752" s="7" t="str">
        <f t="shared" si="44"/>
        <v/>
      </c>
      <c r="I752" s="7" t="str">
        <f t="shared" si="45"/>
        <v/>
      </c>
      <c r="J752" s="7" t="str">
        <f t="shared" si="46"/>
        <v/>
      </c>
      <c r="K752" t="str">
        <f>IFERROR(MATCH(731,РАБОТЫ!$X$2:$X$1058,0),"")</f>
        <v/>
      </c>
      <c r="L752" t="str">
        <f>IFERROR(IF(INDEX(РАБОТЫ!$W$2:$W$1058,MATCH(731+1,РАБОТЫ!$X$2:$X$1058,0))=1,INDEX(РАБОТЫ!$V$2:$V$1058,MATCH(731+1,РАБОТЫ!$X$2:$X$1058,0)),""),"")</f>
        <v/>
      </c>
      <c r="M752" t="str">
        <f t="shared" si="47"/>
        <v/>
      </c>
    </row>
    <row r="753" spans="1:13" hidden="1" x14ac:dyDescent="0.3">
      <c r="A753" t="str">
        <f>IF(ISNUMBER($K753),INDEX(РАБОТЫ!$U$2:$U$1058,$K753),"")</f>
        <v/>
      </c>
      <c r="B753" t="str">
        <f>IF(ISNUMBER($K753),INDEX(РАБОТЫ!$A$2:$A$1058,$K753),"")</f>
        <v/>
      </c>
      <c r="C753" s="4" t="str">
        <f>IF($L753&lt;&gt;"",INDEX(РАБОТЫ!$Z$2:$Z$1058,MATCH($L753,РАБОТЫ!$V$2:$V$1058,0)),IF(ISNUMBER($K753),INDEX(РАБОТЫ!$Y$2:$Y$1058,$K753),""))</f>
        <v/>
      </c>
      <c r="D753" t="str">
        <f>IF(ISNUMBER($K753),INDEX(РАБОТЫ!$E$2:$E$1058,$K753),"")</f>
        <v/>
      </c>
      <c r="E753" t="str">
        <f>IF(ISNUMBER($K753),INDEX(РАБОТЫ!$M$2:$M$1058,$K753),"")</f>
        <v/>
      </c>
      <c r="F753" s="7" t="str">
        <f>IF(ISNUMBER($K753),INDEX(РАБОТЫ!$S$2:$S$1058,$K753),"")</f>
        <v/>
      </c>
      <c r="G753" s="7" t="str">
        <f>IF(ISNUMBER($K753),INDEX(РАБОТЫ!$T$2:$T$1058,$K753),"")</f>
        <v/>
      </c>
      <c r="H753" s="7" t="str">
        <f t="shared" si="44"/>
        <v/>
      </c>
      <c r="I753" s="7" t="str">
        <f t="shared" si="45"/>
        <v/>
      </c>
      <c r="J753" s="7" t="str">
        <f t="shared" si="46"/>
        <v/>
      </c>
      <c r="K753" t="str">
        <f>IFERROR(MATCH(732,РАБОТЫ!$X$2:$X$1058,0),"")</f>
        <v/>
      </c>
      <c r="L753" t="str">
        <f>IFERROR(IF(INDEX(РАБОТЫ!$W$2:$W$1058,MATCH(732+1,РАБОТЫ!$X$2:$X$1058,0))=1,INDEX(РАБОТЫ!$V$2:$V$1058,MATCH(732+1,РАБОТЫ!$X$2:$X$1058,0)),""),"")</f>
        <v/>
      </c>
      <c r="M753" t="str">
        <f t="shared" si="47"/>
        <v/>
      </c>
    </row>
    <row r="754" spans="1:13" hidden="1" x14ac:dyDescent="0.3">
      <c r="A754" t="str">
        <f>IF(ISNUMBER($K754),INDEX(РАБОТЫ!$U$2:$U$1058,$K754),"")</f>
        <v/>
      </c>
      <c r="B754" t="str">
        <f>IF(ISNUMBER($K754),INDEX(РАБОТЫ!$A$2:$A$1058,$K754),"")</f>
        <v/>
      </c>
      <c r="C754" s="4" t="str">
        <f>IF($L754&lt;&gt;"",INDEX(РАБОТЫ!$Z$2:$Z$1058,MATCH($L754,РАБОТЫ!$V$2:$V$1058,0)),IF(ISNUMBER($K754),INDEX(РАБОТЫ!$Y$2:$Y$1058,$K754),""))</f>
        <v/>
      </c>
      <c r="D754" t="str">
        <f>IF(ISNUMBER($K754),INDEX(РАБОТЫ!$E$2:$E$1058,$K754),"")</f>
        <v/>
      </c>
      <c r="E754" t="str">
        <f>IF(ISNUMBER($K754),INDEX(РАБОТЫ!$M$2:$M$1058,$K754),"")</f>
        <v/>
      </c>
      <c r="F754" s="7" t="str">
        <f>IF(ISNUMBER($K754),INDEX(РАБОТЫ!$S$2:$S$1058,$K754),"")</f>
        <v/>
      </c>
      <c r="G754" s="7" t="str">
        <f>IF(ISNUMBER($K754),INDEX(РАБОТЫ!$T$2:$T$1058,$K754),"")</f>
        <v/>
      </c>
      <c r="H754" s="7" t="str">
        <f t="shared" si="44"/>
        <v/>
      </c>
      <c r="I754" s="7" t="str">
        <f t="shared" si="45"/>
        <v/>
      </c>
      <c r="J754" s="7" t="str">
        <f t="shared" si="46"/>
        <v/>
      </c>
      <c r="K754" t="str">
        <f>IFERROR(MATCH(733,РАБОТЫ!$X$2:$X$1058,0),"")</f>
        <v/>
      </c>
      <c r="L754" t="str">
        <f>IFERROR(IF(INDEX(РАБОТЫ!$W$2:$W$1058,MATCH(733+1,РАБОТЫ!$X$2:$X$1058,0))=1,INDEX(РАБОТЫ!$V$2:$V$1058,MATCH(733+1,РАБОТЫ!$X$2:$X$1058,0)),""),"")</f>
        <v/>
      </c>
      <c r="M754" t="str">
        <f t="shared" si="47"/>
        <v/>
      </c>
    </row>
    <row r="755" spans="1:13" hidden="1" x14ac:dyDescent="0.3">
      <c r="A755" t="str">
        <f>IF(ISNUMBER($K755),INDEX(РАБОТЫ!$U$2:$U$1058,$K755),"")</f>
        <v/>
      </c>
      <c r="B755" t="str">
        <f>IF(ISNUMBER($K755),INDEX(РАБОТЫ!$A$2:$A$1058,$K755),"")</f>
        <v/>
      </c>
      <c r="C755" s="4" t="str">
        <f>IF($L755&lt;&gt;"",INDEX(РАБОТЫ!$Z$2:$Z$1058,MATCH($L755,РАБОТЫ!$V$2:$V$1058,0)),IF(ISNUMBER($K755),INDEX(РАБОТЫ!$Y$2:$Y$1058,$K755),""))</f>
        <v/>
      </c>
      <c r="D755" t="str">
        <f>IF(ISNUMBER($K755),INDEX(РАБОТЫ!$E$2:$E$1058,$K755),"")</f>
        <v/>
      </c>
      <c r="E755" t="str">
        <f>IF(ISNUMBER($K755),INDEX(РАБОТЫ!$M$2:$M$1058,$K755),"")</f>
        <v/>
      </c>
      <c r="F755" s="7" t="str">
        <f>IF(ISNUMBER($K755),INDEX(РАБОТЫ!$S$2:$S$1058,$K755),"")</f>
        <v/>
      </c>
      <c r="G755" s="7" t="str">
        <f>IF(ISNUMBER($K755),INDEX(РАБОТЫ!$T$2:$T$1058,$K755),"")</f>
        <v/>
      </c>
      <c r="H755" s="7" t="str">
        <f t="shared" si="44"/>
        <v/>
      </c>
      <c r="I755" s="7" t="str">
        <f t="shared" si="45"/>
        <v/>
      </c>
      <c r="J755" s="7" t="str">
        <f t="shared" si="46"/>
        <v/>
      </c>
      <c r="K755" t="str">
        <f>IFERROR(MATCH(734,РАБОТЫ!$X$2:$X$1058,0),"")</f>
        <v/>
      </c>
      <c r="L755" t="str">
        <f>IFERROR(IF(INDEX(РАБОТЫ!$W$2:$W$1058,MATCH(734+1,РАБОТЫ!$X$2:$X$1058,0))=1,INDEX(РАБОТЫ!$V$2:$V$1058,MATCH(734+1,РАБОТЫ!$X$2:$X$1058,0)),""),"")</f>
        <v/>
      </c>
      <c r="M755" t="str">
        <f t="shared" si="47"/>
        <v/>
      </c>
    </row>
    <row r="756" spans="1:13" hidden="1" x14ac:dyDescent="0.3">
      <c r="A756" t="str">
        <f>IF(ISNUMBER($K756),INDEX(РАБОТЫ!$U$2:$U$1058,$K756),"")</f>
        <v/>
      </c>
      <c r="B756" t="str">
        <f>IF(ISNUMBER($K756),INDEX(РАБОТЫ!$A$2:$A$1058,$K756),"")</f>
        <v/>
      </c>
      <c r="C756" s="4" t="str">
        <f>IF($L756&lt;&gt;"",INDEX(РАБОТЫ!$Z$2:$Z$1058,MATCH($L756,РАБОТЫ!$V$2:$V$1058,0)),IF(ISNUMBER($K756),INDEX(РАБОТЫ!$Y$2:$Y$1058,$K756),""))</f>
        <v/>
      </c>
      <c r="D756" t="str">
        <f>IF(ISNUMBER($K756),INDEX(РАБОТЫ!$E$2:$E$1058,$K756),"")</f>
        <v/>
      </c>
      <c r="E756" t="str">
        <f>IF(ISNUMBER($K756),INDEX(РАБОТЫ!$M$2:$M$1058,$K756),"")</f>
        <v/>
      </c>
      <c r="F756" s="7" t="str">
        <f>IF(ISNUMBER($K756),INDEX(РАБОТЫ!$S$2:$S$1058,$K756),"")</f>
        <v/>
      </c>
      <c r="G756" s="7" t="str">
        <f>IF(ISNUMBER($K756),INDEX(РАБОТЫ!$T$2:$T$1058,$K756),"")</f>
        <v/>
      </c>
      <c r="H756" s="7" t="str">
        <f t="shared" si="44"/>
        <v/>
      </c>
      <c r="I756" s="7" t="str">
        <f t="shared" si="45"/>
        <v/>
      </c>
      <c r="J756" s="7" t="str">
        <f t="shared" si="46"/>
        <v/>
      </c>
      <c r="K756" t="str">
        <f>IFERROR(MATCH(735,РАБОТЫ!$X$2:$X$1058,0),"")</f>
        <v/>
      </c>
      <c r="L756" t="str">
        <f>IFERROR(IF(INDEX(РАБОТЫ!$W$2:$W$1058,MATCH(735+1,РАБОТЫ!$X$2:$X$1058,0))=1,INDEX(РАБОТЫ!$V$2:$V$1058,MATCH(735+1,РАБОТЫ!$X$2:$X$1058,0)),""),"")</f>
        <v/>
      </c>
      <c r="M756" t="str">
        <f t="shared" si="47"/>
        <v/>
      </c>
    </row>
    <row r="757" spans="1:13" hidden="1" x14ac:dyDescent="0.3">
      <c r="A757" t="str">
        <f>IF(ISNUMBER($K757),INDEX(РАБОТЫ!$U$2:$U$1058,$K757),"")</f>
        <v/>
      </c>
      <c r="B757" t="str">
        <f>IF(ISNUMBER($K757),INDEX(РАБОТЫ!$A$2:$A$1058,$K757),"")</f>
        <v/>
      </c>
      <c r="C757" s="4" t="str">
        <f>IF($L757&lt;&gt;"",INDEX(РАБОТЫ!$Z$2:$Z$1058,MATCH($L757,РАБОТЫ!$V$2:$V$1058,0)),IF(ISNUMBER($K757),INDEX(РАБОТЫ!$Y$2:$Y$1058,$K757),""))</f>
        <v/>
      </c>
      <c r="D757" t="str">
        <f>IF(ISNUMBER($K757),INDEX(РАБОТЫ!$E$2:$E$1058,$K757),"")</f>
        <v/>
      </c>
      <c r="E757" t="str">
        <f>IF(ISNUMBER($K757),INDEX(РАБОТЫ!$M$2:$M$1058,$K757),"")</f>
        <v/>
      </c>
      <c r="F757" s="7" t="str">
        <f>IF(ISNUMBER($K757),INDEX(РАБОТЫ!$S$2:$S$1058,$K757),"")</f>
        <v/>
      </c>
      <c r="G757" s="7" t="str">
        <f>IF(ISNUMBER($K757),INDEX(РАБОТЫ!$T$2:$T$1058,$K757),"")</f>
        <v/>
      </c>
      <c r="H757" s="7" t="str">
        <f t="shared" si="44"/>
        <v/>
      </c>
      <c r="I757" s="7" t="str">
        <f t="shared" si="45"/>
        <v/>
      </c>
      <c r="J757" s="7" t="str">
        <f t="shared" si="46"/>
        <v/>
      </c>
      <c r="K757" t="str">
        <f>IFERROR(MATCH(736,РАБОТЫ!$X$2:$X$1058,0),"")</f>
        <v/>
      </c>
      <c r="L757" t="str">
        <f>IFERROR(IF(INDEX(РАБОТЫ!$W$2:$W$1058,MATCH(736+1,РАБОТЫ!$X$2:$X$1058,0))=1,INDEX(РАБОТЫ!$V$2:$V$1058,MATCH(736+1,РАБОТЫ!$X$2:$X$1058,0)),""),"")</f>
        <v/>
      </c>
      <c r="M757" t="str">
        <f t="shared" si="47"/>
        <v/>
      </c>
    </row>
    <row r="758" spans="1:13" hidden="1" x14ac:dyDescent="0.3">
      <c r="A758" t="str">
        <f>IF(ISNUMBER($K758),INDEX(РАБОТЫ!$U$2:$U$1058,$K758),"")</f>
        <v/>
      </c>
      <c r="B758" t="str">
        <f>IF(ISNUMBER($K758),INDEX(РАБОТЫ!$A$2:$A$1058,$K758),"")</f>
        <v/>
      </c>
      <c r="C758" s="4" t="str">
        <f>IF($L758&lt;&gt;"",INDEX(РАБОТЫ!$Z$2:$Z$1058,MATCH($L758,РАБОТЫ!$V$2:$V$1058,0)),IF(ISNUMBER($K758),INDEX(РАБОТЫ!$Y$2:$Y$1058,$K758),""))</f>
        <v/>
      </c>
      <c r="D758" t="str">
        <f>IF(ISNUMBER($K758),INDEX(РАБОТЫ!$E$2:$E$1058,$K758),"")</f>
        <v/>
      </c>
      <c r="E758" t="str">
        <f>IF(ISNUMBER($K758),INDEX(РАБОТЫ!$M$2:$M$1058,$K758),"")</f>
        <v/>
      </c>
      <c r="F758" s="7" t="str">
        <f>IF(ISNUMBER($K758),INDEX(РАБОТЫ!$S$2:$S$1058,$K758),"")</f>
        <v/>
      </c>
      <c r="G758" s="7" t="str">
        <f>IF(ISNUMBER($K758),INDEX(РАБОТЫ!$T$2:$T$1058,$K758),"")</f>
        <v/>
      </c>
      <c r="H758" s="7" t="str">
        <f t="shared" si="44"/>
        <v/>
      </c>
      <c r="I758" s="7" t="str">
        <f t="shared" si="45"/>
        <v/>
      </c>
      <c r="J758" s="7" t="str">
        <f t="shared" si="46"/>
        <v/>
      </c>
      <c r="K758" t="str">
        <f>IFERROR(MATCH(737,РАБОТЫ!$X$2:$X$1058,0),"")</f>
        <v/>
      </c>
      <c r="L758" t="str">
        <f>IFERROR(IF(INDEX(РАБОТЫ!$W$2:$W$1058,MATCH(737+1,РАБОТЫ!$X$2:$X$1058,0))=1,INDEX(РАБОТЫ!$V$2:$V$1058,MATCH(737+1,РАБОТЫ!$X$2:$X$1058,0)),""),"")</f>
        <v/>
      </c>
      <c r="M758" t="str">
        <f t="shared" si="47"/>
        <v/>
      </c>
    </row>
    <row r="759" spans="1:13" hidden="1" x14ac:dyDescent="0.3">
      <c r="A759" t="str">
        <f>IF(ISNUMBER($K759),INDEX(РАБОТЫ!$U$2:$U$1058,$K759),"")</f>
        <v/>
      </c>
      <c r="B759" t="str">
        <f>IF(ISNUMBER($K759),INDEX(РАБОТЫ!$A$2:$A$1058,$K759),"")</f>
        <v/>
      </c>
      <c r="C759" s="4" t="str">
        <f>IF($L759&lt;&gt;"",INDEX(РАБОТЫ!$Z$2:$Z$1058,MATCH($L759,РАБОТЫ!$V$2:$V$1058,0)),IF(ISNUMBER($K759),INDEX(РАБОТЫ!$Y$2:$Y$1058,$K759),""))</f>
        <v/>
      </c>
      <c r="D759" t="str">
        <f>IF(ISNUMBER($K759),INDEX(РАБОТЫ!$E$2:$E$1058,$K759),"")</f>
        <v/>
      </c>
      <c r="E759" t="str">
        <f>IF(ISNUMBER($K759),INDEX(РАБОТЫ!$M$2:$M$1058,$K759),"")</f>
        <v/>
      </c>
      <c r="F759" s="7" t="str">
        <f>IF(ISNUMBER($K759),INDEX(РАБОТЫ!$S$2:$S$1058,$K759),"")</f>
        <v/>
      </c>
      <c r="G759" s="7" t="str">
        <f>IF(ISNUMBER($K759),INDEX(РАБОТЫ!$T$2:$T$1058,$K759),"")</f>
        <v/>
      </c>
      <c r="H759" s="7" t="str">
        <f t="shared" si="44"/>
        <v/>
      </c>
      <c r="I759" s="7" t="str">
        <f t="shared" si="45"/>
        <v/>
      </c>
      <c r="J759" s="7" t="str">
        <f t="shared" si="46"/>
        <v/>
      </c>
      <c r="K759" t="str">
        <f>IFERROR(MATCH(738,РАБОТЫ!$X$2:$X$1058,0),"")</f>
        <v/>
      </c>
      <c r="L759" t="str">
        <f>IFERROR(IF(INDEX(РАБОТЫ!$W$2:$W$1058,MATCH(738+1,РАБОТЫ!$X$2:$X$1058,0))=1,INDEX(РАБОТЫ!$V$2:$V$1058,MATCH(738+1,РАБОТЫ!$X$2:$X$1058,0)),""),"")</f>
        <v/>
      </c>
      <c r="M759" t="str">
        <f t="shared" si="47"/>
        <v/>
      </c>
    </row>
    <row r="760" spans="1:13" hidden="1" x14ac:dyDescent="0.3">
      <c r="A760" t="str">
        <f>IF(ISNUMBER($K760),INDEX(РАБОТЫ!$U$2:$U$1058,$K760),"")</f>
        <v/>
      </c>
      <c r="B760" t="str">
        <f>IF(ISNUMBER($K760),INDEX(РАБОТЫ!$A$2:$A$1058,$K760),"")</f>
        <v/>
      </c>
      <c r="C760" s="4" t="str">
        <f>IF($L760&lt;&gt;"",INDEX(РАБОТЫ!$Z$2:$Z$1058,MATCH($L760,РАБОТЫ!$V$2:$V$1058,0)),IF(ISNUMBER($K760),INDEX(РАБОТЫ!$Y$2:$Y$1058,$K760),""))</f>
        <v/>
      </c>
      <c r="D760" t="str">
        <f>IF(ISNUMBER($K760),INDEX(РАБОТЫ!$E$2:$E$1058,$K760),"")</f>
        <v/>
      </c>
      <c r="E760" t="str">
        <f>IF(ISNUMBER($K760),INDEX(РАБОТЫ!$M$2:$M$1058,$K760),"")</f>
        <v/>
      </c>
      <c r="F760" s="7" t="str">
        <f>IF(ISNUMBER($K760),INDEX(РАБОТЫ!$S$2:$S$1058,$K760),"")</f>
        <v/>
      </c>
      <c r="G760" s="7" t="str">
        <f>IF(ISNUMBER($K760),INDEX(РАБОТЫ!$T$2:$T$1058,$K760),"")</f>
        <v/>
      </c>
      <c r="H760" s="7" t="str">
        <f t="shared" si="44"/>
        <v/>
      </c>
      <c r="I760" s="7" t="str">
        <f t="shared" si="45"/>
        <v/>
      </c>
      <c r="J760" s="7" t="str">
        <f t="shared" si="46"/>
        <v/>
      </c>
      <c r="K760" t="str">
        <f>IFERROR(MATCH(739,РАБОТЫ!$X$2:$X$1058,0),"")</f>
        <v/>
      </c>
      <c r="L760" t="str">
        <f>IFERROR(IF(INDEX(РАБОТЫ!$W$2:$W$1058,MATCH(739+1,РАБОТЫ!$X$2:$X$1058,0))=1,INDEX(РАБОТЫ!$V$2:$V$1058,MATCH(739+1,РАБОТЫ!$X$2:$X$1058,0)),""),"")</f>
        <v/>
      </c>
      <c r="M760" t="str">
        <f t="shared" si="47"/>
        <v/>
      </c>
    </row>
    <row r="761" spans="1:13" hidden="1" x14ac:dyDescent="0.3">
      <c r="A761" t="str">
        <f>IF(ISNUMBER($K761),INDEX(РАБОТЫ!$U$2:$U$1058,$K761),"")</f>
        <v/>
      </c>
      <c r="B761" t="str">
        <f>IF(ISNUMBER($K761),INDEX(РАБОТЫ!$A$2:$A$1058,$K761),"")</f>
        <v/>
      </c>
      <c r="C761" s="4" t="str">
        <f>IF($L761&lt;&gt;"",INDEX(РАБОТЫ!$Z$2:$Z$1058,MATCH($L761,РАБОТЫ!$V$2:$V$1058,0)),IF(ISNUMBER($K761),INDEX(РАБОТЫ!$Y$2:$Y$1058,$K761),""))</f>
        <v/>
      </c>
      <c r="D761" t="str">
        <f>IF(ISNUMBER($K761),INDEX(РАБОТЫ!$E$2:$E$1058,$K761),"")</f>
        <v/>
      </c>
      <c r="E761" t="str">
        <f>IF(ISNUMBER($K761),INDEX(РАБОТЫ!$M$2:$M$1058,$K761),"")</f>
        <v/>
      </c>
      <c r="F761" s="7" t="str">
        <f>IF(ISNUMBER($K761),INDEX(РАБОТЫ!$S$2:$S$1058,$K761),"")</f>
        <v/>
      </c>
      <c r="G761" s="7" t="str">
        <f>IF(ISNUMBER($K761),INDEX(РАБОТЫ!$T$2:$T$1058,$K761),"")</f>
        <v/>
      </c>
      <c r="H761" s="7" t="str">
        <f t="shared" si="44"/>
        <v/>
      </c>
      <c r="I761" s="7" t="str">
        <f t="shared" si="45"/>
        <v/>
      </c>
      <c r="J761" s="7" t="str">
        <f t="shared" si="46"/>
        <v/>
      </c>
      <c r="K761" t="str">
        <f>IFERROR(MATCH(740,РАБОТЫ!$X$2:$X$1058,0),"")</f>
        <v/>
      </c>
      <c r="L761" t="str">
        <f>IFERROR(IF(INDEX(РАБОТЫ!$W$2:$W$1058,MATCH(740+1,РАБОТЫ!$X$2:$X$1058,0))=1,INDEX(РАБОТЫ!$V$2:$V$1058,MATCH(740+1,РАБОТЫ!$X$2:$X$1058,0)),""),"")</f>
        <v/>
      </c>
      <c r="M761" t="str">
        <f t="shared" si="47"/>
        <v/>
      </c>
    </row>
    <row r="762" spans="1:13" hidden="1" x14ac:dyDescent="0.3">
      <c r="A762" t="str">
        <f>IF(ISNUMBER($K762),INDEX(РАБОТЫ!$U$2:$U$1058,$K762),"")</f>
        <v/>
      </c>
      <c r="B762" t="str">
        <f>IF(ISNUMBER($K762),INDEX(РАБОТЫ!$A$2:$A$1058,$K762),"")</f>
        <v/>
      </c>
      <c r="C762" s="4" t="str">
        <f>IF($L762&lt;&gt;"",INDEX(РАБОТЫ!$Z$2:$Z$1058,MATCH($L762,РАБОТЫ!$V$2:$V$1058,0)),IF(ISNUMBER($K762),INDEX(РАБОТЫ!$Y$2:$Y$1058,$K762),""))</f>
        <v/>
      </c>
      <c r="D762" t="str">
        <f>IF(ISNUMBER($K762),INDEX(РАБОТЫ!$E$2:$E$1058,$K762),"")</f>
        <v/>
      </c>
      <c r="E762" t="str">
        <f>IF(ISNUMBER($K762),INDEX(РАБОТЫ!$M$2:$M$1058,$K762),"")</f>
        <v/>
      </c>
      <c r="F762" s="7" t="str">
        <f>IF(ISNUMBER($K762),INDEX(РАБОТЫ!$S$2:$S$1058,$K762),"")</f>
        <v/>
      </c>
      <c r="G762" s="7" t="str">
        <f>IF(ISNUMBER($K762),INDEX(РАБОТЫ!$T$2:$T$1058,$K762),"")</f>
        <v/>
      </c>
      <c r="H762" s="7" t="str">
        <f t="shared" si="44"/>
        <v/>
      </c>
      <c r="I762" s="7" t="str">
        <f t="shared" si="45"/>
        <v/>
      </c>
      <c r="J762" s="7" t="str">
        <f t="shared" si="46"/>
        <v/>
      </c>
      <c r="K762" t="str">
        <f>IFERROR(MATCH(741,РАБОТЫ!$X$2:$X$1058,0),"")</f>
        <v/>
      </c>
      <c r="L762" t="str">
        <f>IFERROR(IF(INDEX(РАБОТЫ!$W$2:$W$1058,MATCH(741+1,РАБОТЫ!$X$2:$X$1058,0))=1,INDEX(РАБОТЫ!$V$2:$V$1058,MATCH(741+1,РАБОТЫ!$X$2:$X$1058,0)),""),"")</f>
        <v/>
      </c>
      <c r="M762" t="str">
        <f t="shared" si="47"/>
        <v/>
      </c>
    </row>
    <row r="763" spans="1:13" hidden="1" x14ac:dyDescent="0.3">
      <c r="A763" t="str">
        <f>IF(ISNUMBER($K763),INDEX(РАБОТЫ!$U$2:$U$1058,$K763),"")</f>
        <v/>
      </c>
      <c r="B763" t="str">
        <f>IF(ISNUMBER($K763),INDEX(РАБОТЫ!$A$2:$A$1058,$K763),"")</f>
        <v/>
      </c>
      <c r="C763" s="4" t="str">
        <f>IF($L763&lt;&gt;"",INDEX(РАБОТЫ!$Z$2:$Z$1058,MATCH($L763,РАБОТЫ!$V$2:$V$1058,0)),IF(ISNUMBER($K763),INDEX(РАБОТЫ!$Y$2:$Y$1058,$K763),""))</f>
        <v/>
      </c>
      <c r="D763" t="str">
        <f>IF(ISNUMBER($K763),INDEX(РАБОТЫ!$E$2:$E$1058,$K763),"")</f>
        <v/>
      </c>
      <c r="E763" t="str">
        <f>IF(ISNUMBER($K763),INDEX(РАБОТЫ!$M$2:$M$1058,$K763),"")</f>
        <v/>
      </c>
      <c r="F763" s="7" t="str">
        <f>IF(ISNUMBER($K763),INDEX(РАБОТЫ!$S$2:$S$1058,$K763),"")</f>
        <v/>
      </c>
      <c r="G763" s="7" t="str">
        <f>IF(ISNUMBER($K763),INDEX(РАБОТЫ!$T$2:$T$1058,$K763),"")</f>
        <v/>
      </c>
      <c r="H763" s="7" t="str">
        <f t="shared" si="44"/>
        <v/>
      </c>
      <c r="I763" s="7" t="str">
        <f t="shared" si="45"/>
        <v/>
      </c>
      <c r="J763" s="7" t="str">
        <f t="shared" si="46"/>
        <v/>
      </c>
      <c r="K763" t="str">
        <f>IFERROR(MATCH(742,РАБОТЫ!$X$2:$X$1058,0),"")</f>
        <v/>
      </c>
      <c r="L763" t="str">
        <f>IFERROR(IF(INDEX(РАБОТЫ!$W$2:$W$1058,MATCH(742+1,РАБОТЫ!$X$2:$X$1058,0))=1,INDEX(РАБОТЫ!$V$2:$V$1058,MATCH(742+1,РАБОТЫ!$X$2:$X$1058,0)),""),"")</f>
        <v/>
      </c>
      <c r="M763" t="str">
        <f t="shared" si="47"/>
        <v/>
      </c>
    </row>
    <row r="764" spans="1:13" hidden="1" x14ac:dyDescent="0.3">
      <c r="A764" t="str">
        <f>IF(ISNUMBER($K764),INDEX(РАБОТЫ!$U$2:$U$1058,$K764),"")</f>
        <v/>
      </c>
      <c r="B764" t="str">
        <f>IF(ISNUMBER($K764),INDEX(РАБОТЫ!$A$2:$A$1058,$K764),"")</f>
        <v/>
      </c>
      <c r="C764" s="4" t="str">
        <f>IF($L764&lt;&gt;"",INDEX(РАБОТЫ!$Z$2:$Z$1058,MATCH($L764,РАБОТЫ!$V$2:$V$1058,0)),IF(ISNUMBER($K764),INDEX(РАБОТЫ!$Y$2:$Y$1058,$K764),""))</f>
        <v/>
      </c>
      <c r="D764" t="str">
        <f>IF(ISNUMBER($K764),INDEX(РАБОТЫ!$E$2:$E$1058,$K764),"")</f>
        <v/>
      </c>
      <c r="E764" t="str">
        <f>IF(ISNUMBER($K764),INDEX(РАБОТЫ!$M$2:$M$1058,$K764),"")</f>
        <v/>
      </c>
      <c r="F764" s="7" t="str">
        <f>IF(ISNUMBER($K764),INDEX(РАБОТЫ!$S$2:$S$1058,$K764),"")</f>
        <v/>
      </c>
      <c r="G764" s="7" t="str">
        <f>IF(ISNUMBER($K764),INDEX(РАБОТЫ!$T$2:$T$1058,$K764),"")</f>
        <v/>
      </c>
      <c r="H764" s="7" t="str">
        <f t="shared" si="44"/>
        <v/>
      </c>
      <c r="I764" s="7" t="str">
        <f t="shared" si="45"/>
        <v/>
      </c>
      <c r="J764" s="7" t="str">
        <f t="shared" si="46"/>
        <v/>
      </c>
      <c r="K764" t="str">
        <f>IFERROR(MATCH(743,РАБОТЫ!$X$2:$X$1058,0),"")</f>
        <v/>
      </c>
      <c r="L764" t="str">
        <f>IFERROR(IF(INDEX(РАБОТЫ!$W$2:$W$1058,MATCH(743+1,РАБОТЫ!$X$2:$X$1058,0))=1,INDEX(РАБОТЫ!$V$2:$V$1058,MATCH(743+1,РАБОТЫ!$X$2:$X$1058,0)),""),"")</f>
        <v/>
      </c>
      <c r="M764" t="str">
        <f t="shared" si="47"/>
        <v/>
      </c>
    </row>
    <row r="765" spans="1:13" hidden="1" x14ac:dyDescent="0.3">
      <c r="A765" t="str">
        <f>IF(ISNUMBER($K765),INDEX(РАБОТЫ!$U$2:$U$1058,$K765),"")</f>
        <v/>
      </c>
      <c r="B765" t="str">
        <f>IF(ISNUMBER($K765),INDEX(РАБОТЫ!$A$2:$A$1058,$K765),"")</f>
        <v/>
      </c>
      <c r="C765" s="4" t="str">
        <f>IF($L765&lt;&gt;"",INDEX(РАБОТЫ!$Z$2:$Z$1058,MATCH($L765,РАБОТЫ!$V$2:$V$1058,0)),IF(ISNUMBER($K765),INDEX(РАБОТЫ!$Y$2:$Y$1058,$K765),""))</f>
        <v/>
      </c>
      <c r="D765" t="str">
        <f>IF(ISNUMBER($K765),INDEX(РАБОТЫ!$E$2:$E$1058,$K765),"")</f>
        <v/>
      </c>
      <c r="E765" t="str">
        <f>IF(ISNUMBER($K765),INDEX(РАБОТЫ!$M$2:$M$1058,$K765),"")</f>
        <v/>
      </c>
      <c r="F765" s="7" t="str">
        <f>IF(ISNUMBER($K765),INDEX(РАБОТЫ!$S$2:$S$1058,$K765),"")</f>
        <v/>
      </c>
      <c r="G765" s="7" t="str">
        <f>IF(ISNUMBER($K765),INDEX(РАБОТЫ!$T$2:$T$1058,$K765),"")</f>
        <v/>
      </c>
      <c r="H765" s="7" t="str">
        <f t="shared" si="44"/>
        <v/>
      </c>
      <c r="I765" s="7" t="str">
        <f t="shared" si="45"/>
        <v/>
      </c>
      <c r="J765" s="7" t="str">
        <f t="shared" si="46"/>
        <v/>
      </c>
      <c r="K765" t="str">
        <f>IFERROR(MATCH(744,РАБОТЫ!$X$2:$X$1058,0),"")</f>
        <v/>
      </c>
      <c r="L765" t="str">
        <f>IFERROR(IF(INDEX(РАБОТЫ!$W$2:$W$1058,MATCH(744+1,РАБОТЫ!$X$2:$X$1058,0))=1,INDEX(РАБОТЫ!$V$2:$V$1058,MATCH(744+1,РАБОТЫ!$X$2:$X$1058,0)),""),"")</f>
        <v/>
      </c>
      <c r="M765" t="str">
        <f t="shared" si="47"/>
        <v/>
      </c>
    </row>
    <row r="766" spans="1:13" hidden="1" x14ac:dyDescent="0.3">
      <c r="A766" t="str">
        <f>IF(ISNUMBER($K766),INDEX(РАБОТЫ!$U$2:$U$1058,$K766),"")</f>
        <v/>
      </c>
      <c r="B766" t="str">
        <f>IF(ISNUMBER($K766),INDEX(РАБОТЫ!$A$2:$A$1058,$K766),"")</f>
        <v/>
      </c>
      <c r="C766" s="4" t="str">
        <f>IF($L766&lt;&gt;"",INDEX(РАБОТЫ!$Z$2:$Z$1058,MATCH($L766,РАБОТЫ!$V$2:$V$1058,0)),IF(ISNUMBER($K766),INDEX(РАБОТЫ!$Y$2:$Y$1058,$K766),""))</f>
        <v/>
      </c>
      <c r="D766" t="str">
        <f>IF(ISNUMBER($K766),INDEX(РАБОТЫ!$E$2:$E$1058,$K766),"")</f>
        <v/>
      </c>
      <c r="E766" t="str">
        <f>IF(ISNUMBER($K766),INDEX(РАБОТЫ!$M$2:$M$1058,$K766),"")</f>
        <v/>
      </c>
      <c r="F766" s="7" t="str">
        <f>IF(ISNUMBER($K766),INDEX(РАБОТЫ!$S$2:$S$1058,$K766),"")</f>
        <v/>
      </c>
      <c r="G766" s="7" t="str">
        <f>IF(ISNUMBER($K766),INDEX(РАБОТЫ!$T$2:$T$1058,$K766),"")</f>
        <v/>
      </c>
      <c r="H766" s="7" t="str">
        <f t="shared" si="44"/>
        <v/>
      </c>
      <c r="I766" s="7" t="str">
        <f t="shared" si="45"/>
        <v/>
      </c>
      <c r="J766" s="7" t="str">
        <f t="shared" si="46"/>
        <v/>
      </c>
      <c r="K766" t="str">
        <f>IFERROR(MATCH(745,РАБОТЫ!$X$2:$X$1058,0),"")</f>
        <v/>
      </c>
      <c r="L766" t="str">
        <f>IFERROR(IF(INDEX(РАБОТЫ!$W$2:$W$1058,MATCH(745+1,РАБОТЫ!$X$2:$X$1058,0))=1,INDEX(РАБОТЫ!$V$2:$V$1058,MATCH(745+1,РАБОТЫ!$X$2:$X$1058,0)),""),"")</f>
        <v/>
      </c>
      <c r="M766" t="str">
        <f t="shared" si="47"/>
        <v/>
      </c>
    </row>
    <row r="767" spans="1:13" hidden="1" x14ac:dyDescent="0.3">
      <c r="A767" t="str">
        <f>IF(ISNUMBER($K767),INDEX(РАБОТЫ!$U$2:$U$1058,$K767),"")</f>
        <v/>
      </c>
      <c r="B767" t="str">
        <f>IF(ISNUMBER($K767),INDEX(РАБОТЫ!$A$2:$A$1058,$K767),"")</f>
        <v/>
      </c>
      <c r="C767" s="4" t="str">
        <f>IF($L767&lt;&gt;"",INDEX(РАБОТЫ!$Z$2:$Z$1058,MATCH($L767,РАБОТЫ!$V$2:$V$1058,0)),IF(ISNUMBER($K767),INDEX(РАБОТЫ!$Y$2:$Y$1058,$K767),""))</f>
        <v/>
      </c>
      <c r="D767" t="str">
        <f>IF(ISNUMBER($K767),INDEX(РАБОТЫ!$E$2:$E$1058,$K767),"")</f>
        <v/>
      </c>
      <c r="E767" t="str">
        <f>IF(ISNUMBER($K767),INDEX(РАБОТЫ!$M$2:$M$1058,$K767),"")</f>
        <v/>
      </c>
      <c r="F767" s="7" t="str">
        <f>IF(ISNUMBER($K767),INDEX(РАБОТЫ!$S$2:$S$1058,$K767),"")</f>
        <v/>
      </c>
      <c r="G767" s="7" t="str">
        <f>IF(ISNUMBER($K767),INDEX(РАБОТЫ!$T$2:$T$1058,$K767),"")</f>
        <v/>
      </c>
      <c r="H767" s="7" t="str">
        <f t="shared" si="44"/>
        <v/>
      </c>
      <c r="I767" s="7" t="str">
        <f t="shared" si="45"/>
        <v/>
      </c>
      <c r="J767" s="7" t="str">
        <f t="shared" si="46"/>
        <v/>
      </c>
      <c r="K767" t="str">
        <f>IFERROR(MATCH(746,РАБОТЫ!$X$2:$X$1058,0),"")</f>
        <v/>
      </c>
      <c r="L767" t="str">
        <f>IFERROR(IF(INDEX(РАБОТЫ!$W$2:$W$1058,MATCH(746+1,РАБОТЫ!$X$2:$X$1058,0))=1,INDEX(РАБОТЫ!$V$2:$V$1058,MATCH(746+1,РАБОТЫ!$X$2:$X$1058,0)),""),"")</f>
        <v/>
      </c>
      <c r="M767" t="str">
        <f t="shared" si="47"/>
        <v/>
      </c>
    </row>
    <row r="768" spans="1:13" hidden="1" x14ac:dyDescent="0.3">
      <c r="A768" t="str">
        <f>IF(ISNUMBER($K768),INDEX(РАБОТЫ!$U$2:$U$1058,$K768),"")</f>
        <v/>
      </c>
      <c r="B768" t="str">
        <f>IF(ISNUMBER($K768),INDEX(РАБОТЫ!$A$2:$A$1058,$K768),"")</f>
        <v/>
      </c>
      <c r="C768" s="4" t="str">
        <f>IF($L768&lt;&gt;"",INDEX(РАБОТЫ!$Z$2:$Z$1058,MATCH($L768,РАБОТЫ!$V$2:$V$1058,0)),IF(ISNUMBER($K768),INDEX(РАБОТЫ!$Y$2:$Y$1058,$K768),""))</f>
        <v/>
      </c>
      <c r="D768" t="str">
        <f>IF(ISNUMBER($K768),INDEX(РАБОТЫ!$E$2:$E$1058,$K768),"")</f>
        <v/>
      </c>
      <c r="E768" t="str">
        <f>IF(ISNUMBER($K768),INDEX(РАБОТЫ!$M$2:$M$1058,$K768),"")</f>
        <v/>
      </c>
      <c r="F768" s="7" t="str">
        <f>IF(ISNUMBER($K768),INDEX(РАБОТЫ!$S$2:$S$1058,$K768),"")</f>
        <v/>
      </c>
      <c r="G768" s="7" t="str">
        <f>IF(ISNUMBER($K768),INDEX(РАБОТЫ!$T$2:$T$1058,$K768),"")</f>
        <v/>
      </c>
      <c r="H768" s="7" t="str">
        <f t="shared" si="44"/>
        <v/>
      </c>
      <c r="I768" s="7" t="str">
        <f t="shared" si="45"/>
        <v/>
      </c>
      <c r="J768" s="7" t="str">
        <f t="shared" si="46"/>
        <v/>
      </c>
      <c r="K768" t="str">
        <f>IFERROR(MATCH(747,РАБОТЫ!$X$2:$X$1058,0),"")</f>
        <v/>
      </c>
      <c r="L768" t="str">
        <f>IFERROR(IF(INDEX(РАБОТЫ!$W$2:$W$1058,MATCH(747+1,РАБОТЫ!$X$2:$X$1058,0))=1,INDEX(РАБОТЫ!$V$2:$V$1058,MATCH(747+1,РАБОТЫ!$X$2:$X$1058,0)),""),"")</f>
        <v/>
      </c>
      <c r="M768" t="str">
        <f t="shared" si="47"/>
        <v/>
      </c>
    </row>
    <row r="769" spans="1:13" hidden="1" x14ac:dyDescent="0.3">
      <c r="A769" t="str">
        <f>IF(ISNUMBER($K769),INDEX(РАБОТЫ!$U$2:$U$1058,$K769),"")</f>
        <v/>
      </c>
      <c r="B769" t="str">
        <f>IF(ISNUMBER($K769),INDEX(РАБОТЫ!$A$2:$A$1058,$K769),"")</f>
        <v/>
      </c>
      <c r="C769" s="4" t="str">
        <f>IF($L769&lt;&gt;"",INDEX(РАБОТЫ!$Z$2:$Z$1058,MATCH($L769,РАБОТЫ!$V$2:$V$1058,0)),IF(ISNUMBER($K769),INDEX(РАБОТЫ!$Y$2:$Y$1058,$K769),""))</f>
        <v/>
      </c>
      <c r="D769" t="str">
        <f>IF(ISNUMBER($K769),INDEX(РАБОТЫ!$E$2:$E$1058,$K769),"")</f>
        <v/>
      </c>
      <c r="E769" t="str">
        <f>IF(ISNUMBER($K769),INDEX(РАБОТЫ!$M$2:$M$1058,$K769),"")</f>
        <v/>
      </c>
      <c r="F769" s="7" t="str">
        <f>IF(ISNUMBER($K769),INDEX(РАБОТЫ!$S$2:$S$1058,$K769),"")</f>
        <v/>
      </c>
      <c r="G769" s="7" t="str">
        <f>IF(ISNUMBER($K769),INDEX(РАБОТЫ!$T$2:$T$1058,$K769),"")</f>
        <v/>
      </c>
      <c r="H769" s="7" t="str">
        <f t="shared" si="44"/>
        <v/>
      </c>
      <c r="I769" s="7" t="str">
        <f t="shared" si="45"/>
        <v/>
      </c>
      <c r="J769" s="7" t="str">
        <f t="shared" si="46"/>
        <v/>
      </c>
      <c r="K769" t="str">
        <f>IFERROR(MATCH(748,РАБОТЫ!$X$2:$X$1058,0),"")</f>
        <v/>
      </c>
      <c r="L769" t="str">
        <f>IFERROR(IF(INDEX(РАБОТЫ!$W$2:$W$1058,MATCH(748+1,РАБОТЫ!$X$2:$X$1058,0))=1,INDEX(РАБОТЫ!$V$2:$V$1058,MATCH(748+1,РАБОТЫ!$X$2:$X$1058,0)),""),"")</f>
        <v/>
      </c>
      <c r="M769" t="str">
        <f t="shared" si="47"/>
        <v/>
      </c>
    </row>
    <row r="770" spans="1:13" hidden="1" x14ac:dyDescent="0.3">
      <c r="A770" t="str">
        <f>IF(ISNUMBER($K770),INDEX(РАБОТЫ!$U$2:$U$1058,$K770),"")</f>
        <v/>
      </c>
      <c r="B770" t="str">
        <f>IF(ISNUMBER($K770),INDEX(РАБОТЫ!$A$2:$A$1058,$K770),"")</f>
        <v/>
      </c>
      <c r="C770" s="4" t="str">
        <f>IF($L770&lt;&gt;"",INDEX(РАБОТЫ!$Z$2:$Z$1058,MATCH($L770,РАБОТЫ!$V$2:$V$1058,0)),IF(ISNUMBER($K770),INDEX(РАБОТЫ!$Y$2:$Y$1058,$K770),""))</f>
        <v/>
      </c>
      <c r="D770" t="str">
        <f>IF(ISNUMBER($K770),INDEX(РАБОТЫ!$E$2:$E$1058,$K770),"")</f>
        <v/>
      </c>
      <c r="E770" t="str">
        <f>IF(ISNUMBER($K770),INDEX(РАБОТЫ!$M$2:$M$1058,$K770),"")</f>
        <v/>
      </c>
      <c r="F770" s="7" t="str">
        <f>IF(ISNUMBER($K770),INDEX(РАБОТЫ!$S$2:$S$1058,$K770),"")</f>
        <v/>
      </c>
      <c r="G770" s="7" t="str">
        <f>IF(ISNUMBER($K770),INDEX(РАБОТЫ!$T$2:$T$1058,$K770),"")</f>
        <v/>
      </c>
      <c r="H770" s="7" t="str">
        <f t="shared" si="44"/>
        <v/>
      </c>
      <c r="I770" s="7" t="str">
        <f t="shared" si="45"/>
        <v/>
      </c>
      <c r="J770" s="7" t="str">
        <f t="shared" si="46"/>
        <v/>
      </c>
      <c r="K770" t="str">
        <f>IFERROR(MATCH(749,РАБОТЫ!$X$2:$X$1058,0),"")</f>
        <v/>
      </c>
      <c r="L770" t="str">
        <f>IFERROR(IF(INDEX(РАБОТЫ!$W$2:$W$1058,MATCH(749+1,РАБОТЫ!$X$2:$X$1058,0))=1,INDEX(РАБОТЫ!$V$2:$V$1058,MATCH(749+1,РАБОТЫ!$X$2:$X$1058,0)),""),"")</f>
        <v/>
      </c>
      <c r="M770" t="str">
        <f t="shared" si="47"/>
        <v/>
      </c>
    </row>
    <row r="771" spans="1:13" hidden="1" x14ac:dyDescent="0.3">
      <c r="A771" t="str">
        <f>IF(ISNUMBER($K771),INDEX(РАБОТЫ!$U$2:$U$1058,$K771),"")</f>
        <v/>
      </c>
      <c r="B771" t="str">
        <f>IF(ISNUMBER($K771),INDEX(РАБОТЫ!$A$2:$A$1058,$K771),"")</f>
        <v/>
      </c>
      <c r="C771" s="4" t="str">
        <f>IF($L771&lt;&gt;"",INDEX(РАБОТЫ!$Z$2:$Z$1058,MATCH($L771,РАБОТЫ!$V$2:$V$1058,0)),IF(ISNUMBER($K771),INDEX(РАБОТЫ!$Y$2:$Y$1058,$K771),""))</f>
        <v/>
      </c>
      <c r="D771" t="str">
        <f>IF(ISNUMBER($K771),INDEX(РАБОТЫ!$E$2:$E$1058,$K771),"")</f>
        <v/>
      </c>
      <c r="E771" t="str">
        <f>IF(ISNUMBER($K771),INDEX(РАБОТЫ!$M$2:$M$1058,$K771),"")</f>
        <v/>
      </c>
      <c r="F771" s="7" t="str">
        <f>IF(ISNUMBER($K771),INDEX(РАБОТЫ!$S$2:$S$1058,$K771),"")</f>
        <v/>
      </c>
      <c r="G771" s="7" t="str">
        <f>IF(ISNUMBER($K771),INDEX(РАБОТЫ!$T$2:$T$1058,$K771),"")</f>
        <v/>
      </c>
      <c r="H771" s="7" t="str">
        <f t="shared" si="44"/>
        <v/>
      </c>
      <c r="I771" s="7" t="str">
        <f t="shared" si="45"/>
        <v/>
      </c>
      <c r="J771" s="7" t="str">
        <f t="shared" si="46"/>
        <v/>
      </c>
      <c r="K771" t="str">
        <f>IFERROR(MATCH(750,РАБОТЫ!$X$2:$X$1058,0),"")</f>
        <v/>
      </c>
      <c r="L771" t="str">
        <f>IFERROR(IF(INDEX(РАБОТЫ!$W$2:$W$1058,MATCH(750+1,РАБОТЫ!$X$2:$X$1058,0))=1,INDEX(РАБОТЫ!$V$2:$V$1058,MATCH(750+1,РАБОТЫ!$X$2:$X$1058,0)),""),"")</f>
        <v/>
      </c>
      <c r="M771" t="str">
        <f t="shared" si="47"/>
        <v/>
      </c>
    </row>
    <row r="772" spans="1:13" hidden="1" x14ac:dyDescent="0.3">
      <c r="A772" t="str">
        <f>IF(ISNUMBER($K772),INDEX(РАБОТЫ!$U$2:$U$1058,$K772),"")</f>
        <v/>
      </c>
      <c r="B772" t="str">
        <f>IF(ISNUMBER($K772),INDEX(РАБОТЫ!$A$2:$A$1058,$K772),"")</f>
        <v/>
      </c>
      <c r="C772" s="4" t="str">
        <f>IF($L772&lt;&gt;"",INDEX(РАБОТЫ!$Z$2:$Z$1058,MATCH($L772,РАБОТЫ!$V$2:$V$1058,0)),IF(ISNUMBER($K772),INDEX(РАБОТЫ!$Y$2:$Y$1058,$K772),""))</f>
        <v/>
      </c>
      <c r="D772" t="str">
        <f>IF(ISNUMBER($K772),INDEX(РАБОТЫ!$E$2:$E$1058,$K772),"")</f>
        <v/>
      </c>
      <c r="E772" t="str">
        <f>IF(ISNUMBER($K772),INDEX(РАБОТЫ!$M$2:$M$1058,$K772),"")</f>
        <v/>
      </c>
      <c r="F772" s="7" t="str">
        <f>IF(ISNUMBER($K772),INDEX(РАБОТЫ!$S$2:$S$1058,$K772),"")</f>
        <v/>
      </c>
      <c r="G772" s="7" t="str">
        <f>IF(ISNUMBER($K772),INDEX(РАБОТЫ!$T$2:$T$1058,$K772),"")</f>
        <v/>
      </c>
      <c r="H772" s="7" t="str">
        <f t="shared" si="44"/>
        <v/>
      </c>
      <c r="I772" s="7" t="str">
        <f t="shared" si="45"/>
        <v/>
      </c>
      <c r="J772" s="7" t="str">
        <f t="shared" si="46"/>
        <v/>
      </c>
      <c r="K772" t="str">
        <f>IFERROR(MATCH(751,РАБОТЫ!$X$2:$X$1058,0),"")</f>
        <v/>
      </c>
      <c r="L772" t="str">
        <f>IFERROR(IF(INDEX(РАБОТЫ!$W$2:$W$1058,MATCH(751+1,РАБОТЫ!$X$2:$X$1058,0))=1,INDEX(РАБОТЫ!$V$2:$V$1058,MATCH(751+1,РАБОТЫ!$X$2:$X$1058,0)),""),"")</f>
        <v/>
      </c>
      <c r="M772" t="str">
        <f t="shared" si="47"/>
        <v/>
      </c>
    </row>
    <row r="773" spans="1:13" hidden="1" x14ac:dyDescent="0.3">
      <c r="A773" t="str">
        <f>IF(ISNUMBER($K773),INDEX(РАБОТЫ!$U$2:$U$1058,$K773),"")</f>
        <v/>
      </c>
      <c r="B773" t="str">
        <f>IF(ISNUMBER($K773),INDEX(РАБОТЫ!$A$2:$A$1058,$K773),"")</f>
        <v/>
      </c>
      <c r="C773" s="4" t="str">
        <f>IF($L773&lt;&gt;"",INDEX(РАБОТЫ!$Z$2:$Z$1058,MATCH($L773,РАБОТЫ!$V$2:$V$1058,0)),IF(ISNUMBER($K773),INDEX(РАБОТЫ!$Y$2:$Y$1058,$K773),""))</f>
        <v/>
      </c>
      <c r="D773" t="str">
        <f>IF(ISNUMBER($K773),INDEX(РАБОТЫ!$E$2:$E$1058,$K773),"")</f>
        <v/>
      </c>
      <c r="E773" t="str">
        <f>IF(ISNUMBER($K773),INDEX(РАБОТЫ!$M$2:$M$1058,$K773),"")</f>
        <v/>
      </c>
      <c r="F773" s="7" t="str">
        <f>IF(ISNUMBER($K773),INDEX(РАБОТЫ!$S$2:$S$1058,$K773),"")</f>
        <v/>
      </c>
      <c r="G773" s="7" t="str">
        <f>IF(ISNUMBER($K773),INDEX(РАБОТЫ!$T$2:$T$1058,$K773),"")</f>
        <v/>
      </c>
      <c r="H773" s="7" t="str">
        <f t="shared" si="44"/>
        <v/>
      </c>
      <c r="I773" s="7" t="str">
        <f t="shared" si="45"/>
        <v/>
      </c>
      <c r="J773" s="7" t="str">
        <f t="shared" si="46"/>
        <v/>
      </c>
      <c r="K773" t="str">
        <f>IFERROR(MATCH(752,РАБОТЫ!$X$2:$X$1058,0),"")</f>
        <v/>
      </c>
      <c r="L773" t="str">
        <f>IFERROR(IF(INDEX(РАБОТЫ!$W$2:$W$1058,MATCH(752+1,РАБОТЫ!$X$2:$X$1058,0))=1,INDEX(РАБОТЫ!$V$2:$V$1058,MATCH(752+1,РАБОТЫ!$X$2:$X$1058,0)),""),"")</f>
        <v/>
      </c>
      <c r="M773" t="str">
        <f t="shared" si="47"/>
        <v/>
      </c>
    </row>
    <row r="774" spans="1:13" hidden="1" x14ac:dyDescent="0.3">
      <c r="A774" t="str">
        <f>IF(ISNUMBER($K774),INDEX(РАБОТЫ!$U$2:$U$1058,$K774),"")</f>
        <v/>
      </c>
      <c r="B774" t="str">
        <f>IF(ISNUMBER($K774),INDEX(РАБОТЫ!$A$2:$A$1058,$K774),"")</f>
        <v/>
      </c>
      <c r="C774" s="4" t="str">
        <f>IF($L774&lt;&gt;"",INDEX(РАБОТЫ!$Z$2:$Z$1058,MATCH($L774,РАБОТЫ!$V$2:$V$1058,0)),IF(ISNUMBER($K774),INDEX(РАБОТЫ!$Y$2:$Y$1058,$K774),""))</f>
        <v/>
      </c>
      <c r="D774" t="str">
        <f>IF(ISNUMBER($K774),INDEX(РАБОТЫ!$E$2:$E$1058,$K774),"")</f>
        <v/>
      </c>
      <c r="E774" t="str">
        <f>IF(ISNUMBER($K774),INDEX(РАБОТЫ!$M$2:$M$1058,$K774),"")</f>
        <v/>
      </c>
      <c r="F774" s="7" t="str">
        <f>IF(ISNUMBER($K774),INDEX(РАБОТЫ!$S$2:$S$1058,$K774),"")</f>
        <v/>
      </c>
      <c r="G774" s="7" t="str">
        <f>IF(ISNUMBER($K774),INDEX(РАБОТЫ!$T$2:$T$1058,$K774),"")</f>
        <v/>
      </c>
      <c r="H774" s="7" t="str">
        <f t="shared" si="44"/>
        <v/>
      </c>
      <c r="I774" s="7" t="str">
        <f t="shared" si="45"/>
        <v/>
      </c>
      <c r="J774" s="7" t="str">
        <f t="shared" si="46"/>
        <v/>
      </c>
      <c r="K774" t="str">
        <f>IFERROR(MATCH(753,РАБОТЫ!$X$2:$X$1058,0),"")</f>
        <v/>
      </c>
      <c r="L774" t="str">
        <f>IFERROR(IF(INDEX(РАБОТЫ!$W$2:$W$1058,MATCH(753+1,РАБОТЫ!$X$2:$X$1058,0))=1,INDEX(РАБОТЫ!$V$2:$V$1058,MATCH(753+1,РАБОТЫ!$X$2:$X$1058,0)),""),"")</f>
        <v/>
      </c>
      <c r="M774" t="str">
        <f t="shared" si="47"/>
        <v/>
      </c>
    </row>
    <row r="775" spans="1:13" hidden="1" x14ac:dyDescent="0.3">
      <c r="A775" t="str">
        <f>IF(ISNUMBER($K775),INDEX(РАБОТЫ!$U$2:$U$1058,$K775),"")</f>
        <v/>
      </c>
      <c r="B775" t="str">
        <f>IF(ISNUMBER($K775),INDEX(РАБОТЫ!$A$2:$A$1058,$K775),"")</f>
        <v/>
      </c>
      <c r="C775" s="4" t="str">
        <f>IF($L775&lt;&gt;"",INDEX(РАБОТЫ!$Z$2:$Z$1058,MATCH($L775,РАБОТЫ!$V$2:$V$1058,0)),IF(ISNUMBER($K775),INDEX(РАБОТЫ!$Y$2:$Y$1058,$K775),""))</f>
        <v/>
      </c>
      <c r="D775" t="str">
        <f>IF(ISNUMBER($K775),INDEX(РАБОТЫ!$E$2:$E$1058,$K775),"")</f>
        <v/>
      </c>
      <c r="E775" t="str">
        <f>IF(ISNUMBER($K775),INDEX(РАБОТЫ!$M$2:$M$1058,$K775),"")</f>
        <v/>
      </c>
      <c r="F775" s="7" t="str">
        <f>IF(ISNUMBER($K775),INDEX(РАБОТЫ!$S$2:$S$1058,$K775),"")</f>
        <v/>
      </c>
      <c r="G775" s="7" t="str">
        <f>IF(ISNUMBER($K775),INDEX(РАБОТЫ!$T$2:$T$1058,$K775),"")</f>
        <v/>
      </c>
      <c r="H775" s="7" t="str">
        <f t="shared" si="44"/>
        <v/>
      </c>
      <c r="I775" s="7" t="str">
        <f t="shared" si="45"/>
        <v/>
      </c>
      <c r="J775" s="7" t="str">
        <f t="shared" si="46"/>
        <v/>
      </c>
      <c r="K775" t="str">
        <f>IFERROR(MATCH(754,РАБОТЫ!$X$2:$X$1058,0),"")</f>
        <v/>
      </c>
      <c r="L775" t="str">
        <f>IFERROR(IF(INDEX(РАБОТЫ!$W$2:$W$1058,MATCH(754+1,РАБОТЫ!$X$2:$X$1058,0))=1,INDEX(РАБОТЫ!$V$2:$V$1058,MATCH(754+1,РАБОТЫ!$X$2:$X$1058,0)),""),"")</f>
        <v/>
      </c>
      <c r="M775" t="str">
        <f t="shared" si="47"/>
        <v/>
      </c>
    </row>
    <row r="776" spans="1:13" hidden="1" x14ac:dyDescent="0.3">
      <c r="A776" t="str">
        <f>IF(ISNUMBER($K776),INDEX(РАБОТЫ!$U$2:$U$1058,$K776),"")</f>
        <v/>
      </c>
      <c r="B776" t="str">
        <f>IF(ISNUMBER($K776),INDEX(РАБОТЫ!$A$2:$A$1058,$K776),"")</f>
        <v/>
      </c>
      <c r="C776" s="4" t="str">
        <f>IF($L776&lt;&gt;"",INDEX(РАБОТЫ!$Z$2:$Z$1058,MATCH($L776,РАБОТЫ!$V$2:$V$1058,0)),IF(ISNUMBER($K776),INDEX(РАБОТЫ!$Y$2:$Y$1058,$K776),""))</f>
        <v/>
      </c>
      <c r="D776" t="str">
        <f>IF(ISNUMBER($K776),INDEX(РАБОТЫ!$E$2:$E$1058,$K776),"")</f>
        <v/>
      </c>
      <c r="E776" t="str">
        <f>IF(ISNUMBER($K776),INDEX(РАБОТЫ!$M$2:$M$1058,$K776),"")</f>
        <v/>
      </c>
      <c r="F776" s="7" t="str">
        <f>IF(ISNUMBER($K776),INDEX(РАБОТЫ!$S$2:$S$1058,$K776),"")</f>
        <v/>
      </c>
      <c r="G776" s="7" t="str">
        <f>IF(ISNUMBER($K776),INDEX(РАБОТЫ!$T$2:$T$1058,$K776),"")</f>
        <v/>
      </c>
      <c r="H776" s="7" t="str">
        <f t="shared" si="44"/>
        <v/>
      </c>
      <c r="I776" s="7" t="str">
        <f t="shared" si="45"/>
        <v/>
      </c>
      <c r="J776" s="7" t="str">
        <f t="shared" si="46"/>
        <v/>
      </c>
      <c r="K776" t="str">
        <f>IFERROR(MATCH(755,РАБОТЫ!$X$2:$X$1058,0),"")</f>
        <v/>
      </c>
      <c r="L776" t="str">
        <f>IFERROR(IF(INDEX(РАБОТЫ!$W$2:$W$1058,MATCH(755+1,РАБОТЫ!$X$2:$X$1058,0))=1,INDEX(РАБОТЫ!$V$2:$V$1058,MATCH(755+1,РАБОТЫ!$X$2:$X$1058,0)),""),"")</f>
        <v/>
      </c>
      <c r="M776" t="str">
        <f t="shared" si="47"/>
        <v/>
      </c>
    </row>
    <row r="777" spans="1:13" hidden="1" x14ac:dyDescent="0.3">
      <c r="A777" t="str">
        <f>IF(ISNUMBER($K777),INDEX(РАБОТЫ!$U$2:$U$1058,$K777),"")</f>
        <v/>
      </c>
      <c r="B777" t="str">
        <f>IF(ISNUMBER($K777),INDEX(РАБОТЫ!$A$2:$A$1058,$K777),"")</f>
        <v/>
      </c>
      <c r="C777" s="4" t="str">
        <f>IF($L777&lt;&gt;"",INDEX(РАБОТЫ!$Z$2:$Z$1058,MATCH($L777,РАБОТЫ!$V$2:$V$1058,0)),IF(ISNUMBER($K777),INDEX(РАБОТЫ!$Y$2:$Y$1058,$K777),""))</f>
        <v/>
      </c>
      <c r="D777" t="str">
        <f>IF(ISNUMBER($K777),INDEX(РАБОТЫ!$E$2:$E$1058,$K777),"")</f>
        <v/>
      </c>
      <c r="E777" t="str">
        <f>IF(ISNUMBER($K777),INDEX(РАБОТЫ!$M$2:$M$1058,$K777),"")</f>
        <v/>
      </c>
      <c r="F777" s="7" t="str">
        <f>IF(ISNUMBER($K777),INDEX(РАБОТЫ!$S$2:$S$1058,$K777),"")</f>
        <v/>
      </c>
      <c r="G777" s="7" t="str">
        <f>IF(ISNUMBER($K777),INDEX(РАБОТЫ!$T$2:$T$1058,$K777),"")</f>
        <v/>
      </c>
      <c r="H777" s="7" t="str">
        <f t="shared" si="44"/>
        <v/>
      </c>
      <c r="I777" s="7" t="str">
        <f t="shared" si="45"/>
        <v/>
      </c>
      <c r="J777" s="7" t="str">
        <f t="shared" si="46"/>
        <v/>
      </c>
      <c r="K777" t="str">
        <f>IFERROR(MATCH(756,РАБОТЫ!$X$2:$X$1058,0),"")</f>
        <v/>
      </c>
      <c r="L777" t="str">
        <f>IFERROR(IF(INDEX(РАБОТЫ!$W$2:$W$1058,MATCH(756+1,РАБОТЫ!$X$2:$X$1058,0))=1,INDEX(РАБОТЫ!$V$2:$V$1058,MATCH(756+1,РАБОТЫ!$X$2:$X$1058,0)),""),"")</f>
        <v/>
      </c>
      <c r="M777" t="str">
        <f t="shared" si="47"/>
        <v/>
      </c>
    </row>
    <row r="778" spans="1:13" hidden="1" x14ac:dyDescent="0.3">
      <c r="A778" t="str">
        <f>IF(ISNUMBER($K778),INDEX(РАБОТЫ!$U$2:$U$1058,$K778),"")</f>
        <v/>
      </c>
      <c r="B778" t="str">
        <f>IF(ISNUMBER($K778),INDEX(РАБОТЫ!$A$2:$A$1058,$K778),"")</f>
        <v/>
      </c>
      <c r="C778" s="4" t="str">
        <f>IF($L778&lt;&gt;"",INDEX(РАБОТЫ!$Z$2:$Z$1058,MATCH($L778,РАБОТЫ!$V$2:$V$1058,0)),IF(ISNUMBER($K778),INDEX(РАБОТЫ!$Y$2:$Y$1058,$K778),""))</f>
        <v/>
      </c>
      <c r="D778" t="str">
        <f>IF(ISNUMBER($K778),INDEX(РАБОТЫ!$E$2:$E$1058,$K778),"")</f>
        <v/>
      </c>
      <c r="E778" t="str">
        <f>IF(ISNUMBER($K778),INDEX(РАБОТЫ!$M$2:$M$1058,$K778),"")</f>
        <v/>
      </c>
      <c r="F778" s="7" t="str">
        <f>IF(ISNUMBER($K778),INDEX(РАБОТЫ!$S$2:$S$1058,$K778),"")</f>
        <v/>
      </c>
      <c r="G778" s="7" t="str">
        <f>IF(ISNUMBER($K778),INDEX(РАБОТЫ!$T$2:$T$1058,$K778),"")</f>
        <v/>
      </c>
      <c r="H778" s="7" t="str">
        <f t="shared" si="44"/>
        <v/>
      </c>
      <c r="I778" s="7" t="str">
        <f t="shared" si="45"/>
        <v/>
      </c>
      <c r="J778" s="7" t="str">
        <f t="shared" si="46"/>
        <v/>
      </c>
      <c r="K778" t="str">
        <f>IFERROR(MATCH(757,РАБОТЫ!$X$2:$X$1058,0),"")</f>
        <v/>
      </c>
      <c r="L778" t="str">
        <f>IFERROR(IF(INDEX(РАБОТЫ!$W$2:$W$1058,MATCH(757+1,РАБОТЫ!$X$2:$X$1058,0))=1,INDEX(РАБОТЫ!$V$2:$V$1058,MATCH(757+1,РАБОТЫ!$X$2:$X$1058,0)),""),"")</f>
        <v/>
      </c>
      <c r="M778" t="str">
        <f t="shared" si="47"/>
        <v/>
      </c>
    </row>
    <row r="779" spans="1:13" hidden="1" x14ac:dyDescent="0.3">
      <c r="A779" t="str">
        <f>IF(ISNUMBER($K779),INDEX(РАБОТЫ!$U$2:$U$1058,$K779),"")</f>
        <v/>
      </c>
      <c r="B779" t="str">
        <f>IF(ISNUMBER($K779),INDEX(РАБОТЫ!$A$2:$A$1058,$K779),"")</f>
        <v/>
      </c>
      <c r="C779" s="4" t="str">
        <f>IF($L779&lt;&gt;"",INDEX(РАБОТЫ!$Z$2:$Z$1058,MATCH($L779,РАБОТЫ!$V$2:$V$1058,0)),IF(ISNUMBER($K779),INDEX(РАБОТЫ!$Y$2:$Y$1058,$K779),""))</f>
        <v/>
      </c>
      <c r="D779" t="str">
        <f>IF(ISNUMBER($K779),INDEX(РАБОТЫ!$E$2:$E$1058,$K779),"")</f>
        <v/>
      </c>
      <c r="E779" t="str">
        <f>IF(ISNUMBER($K779),INDEX(РАБОТЫ!$M$2:$M$1058,$K779),"")</f>
        <v/>
      </c>
      <c r="F779" s="7" t="str">
        <f>IF(ISNUMBER($K779),INDEX(РАБОТЫ!$S$2:$S$1058,$K779),"")</f>
        <v/>
      </c>
      <c r="G779" s="7" t="str">
        <f>IF(ISNUMBER($K779),INDEX(РАБОТЫ!$T$2:$T$1058,$K779),"")</f>
        <v/>
      </c>
      <c r="H779" s="7" t="str">
        <f t="shared" si="44"/>
        <v/>
      </c>
      <c r="I779" s="7" t="str">
        <f t="shared" si="45"/>
        <v/>
      </c>
      <c r="J779" s="7" t="str">
        <f t="shared" si="46"/>
        <v/>
      </c>
      <c r="K779" t="str">
        <f>IFERROR(MATCH(758,РАБОТЫ!$X$2:$X$1058,0),"")</f>
        <v/>
      </c>
      <c r="L779" t="str">
        <f>IFERROR(IF(INDEX(РАБОТЫ!$W$2:$W$1058,MATCH(758+1,РАБОТЫ!$X$2:$X$1058,0))=1,INDEX(РАБОТЫ!$V$2:$V$1058,MATCH(758+1,РАБОТЫ!$X$2:$X$1058,0)),""),"")</f>
        <v/>
      </c>
      <c r="M779" t="str">
        <f t="shared" si="47"/>
        <v/>
      </c>
    </row>
    <row r="780" spans="1:13" hidden="1" x14ac:dyDescent="0.3">
      <c r="A780" t="str">
        <f>IF(ISNUMBER($K780),INDEX(РАБОТЫ!$U$2:$U$1058,$K780),"")</f>
        <v/>
      </c>
      <c r="B780" t="str">
        <f>IF(ISNUMBER($K780),INDEX(РАБОТЫ!$A$2:$A$1058,$K780),"")</f>
        <v/>
      </c>
      <c r="C780" s="4" t="str">
        <f>IF($L780&lt;&gt;"",INDEX(РАБОТЫ!$Z$2:$Z$1058,MATCH($L780,РАБОТЫ!$V$2:$V$1058,0)),IF(ISNUMBER($K780),INDEX(РАБОТЫ!$Y$2:$Y$1058,$K780),""))</f>
        <v/>
      </c>
      <c r="D780" t="str">
        <f>IF(ISNUMBER($K780),INDEX(РАБОТЫ!$E$2:$E$1058,$K780),"")</f>
        <v/>
      </c>
      <c r="E780" t="str">
        <f>IF(ISNUMBER($K780),INDEX(РАБОТЫ!$M$2:$M$1058,$K780),"")</f>
        <v/>
      </c>
      <c r="F780" s="7" t="str">
        <f>IF(ISNUMBER($K780),INDEX(РАБОТЫ!$S$2:$S$1058,$K780),"")</f>
        <v/>
      </c>
      <c r="G780" s="7" t="str">
        <f>IF(ISNUMBER($K780),INDEX(РАБОТЫ!$T$2:$T$1058,$K780),"")</f>
        <v/>
      </c>
      <c r="H780" s="7" t="str">
        <f t="shared" si="44"/>
        <v/>
      </c>
      <c r="I780" s="7" t="str">
        <f t="shared" si="45"/>
        <v/>
      </c>
      <c r="J780" s="7" t="str">
        <f t="shared" si="46"/>
        <v/>
      </c>
      <c r="K780" t="str">
        <f>IFERROR(MATCH(759,РАБОТЫ!$X$2:$X$1058,0),"")</f>
        <v/>
      </c>
      <c r="L780" t="str">
        <f>IFERROR(IF(INDEX(РАБОТЫ!$W$2:$W$1058,MATCH(759+1,РАБОТЫ!$X$2:$X$1058,0))=1,INDEX(РАБОТЫ!$V$2:$V$1058,MATCH(759+1,РАБОТЫ!$X$2:$X$1058,0)),""),"")</f>
        <v/>
      </c>
      <c r="M780" t="str">
        <f t="shared" si="47"/>
        <v/>
      </c>
    </row>
    <row r="781" spans="1:13" hidden="1" x14ac:dyDescent="0.3">
      <c r="A781" t="str">
        <f>IF(ISNUMBER($K781),INDEX(РАБОТЫ!$U$2:$U$1058,$K781),"")</f>
        <v/>
      </c>
      <c r="B781" t="str">
        <f>IF(ISNUMBER($K781),INDEX(РАБОТЫ!$A$2:$A$1058,$K781),"")</f>
        <v/>
      </c>
      <c r="C781" s="4" t="str">
        <f>IF($L781&lt;&gt;"",INDEX(РАБОТЫ!$Z$2:$Z$1058,MATCH($L781,РАБОТЫ!$V$2:$V$1058,0)),IF(ISNUMBER($K781),INDEX(РАБОТЫ!$Y$2:$Y$1058,$K781),""))</f>
        <v/>
      </c>
      <c r="D781" t="str">
        <f>IF(ISNUMBER($K781),INDEX(РАБОТЫ!$E$2:$E$1058,$K781),"")</f>
        <v/>
      </c>
      <c r="E781" t="str">
        <f>IF(ISNUMBER($K781),INDEX(РАБОТЫ!$M$2:$M$1058,$K781),"")</f>
        <v/>
      </c>
      <c r="F781" s="7" t="str">
        <f>IF(ISNUMBER($K781),INDEX(РАБОТЫ!$S$2:$S$1058,$K781),"")</f>
        <v/>
      </c>
      <c r="G781" s="7" t="str">
        <f>IF(ISNUMBER($K781),INDEX(РАБОТЫ!$T$2:$T$1058,$K781),"")</f>
        <v/>
      </c>
      <c r="H781" s="7" t="str">
        <f t="shared" si="44"/>
        <v/>
      </c>
      <c r="I781" s="7" t="str">
        <f t="shared" si="45"/>
        <v/>
      </c>
      <c r="J781" s="7" t="str">
        <f t="shared" si="46"/>
        <v/>
      </c>
      <c r="K781" t="str">
        <f>IFERROR(MATCH(760,РАБОТЫ!$X$2:$X$1058,0),"")</f>
        <v/>
      </c>
      <c r="L781" t="str">
        <f>IFERROR(IF(INDEX(РАБОТЫ!$W$2:$W$1058,MATCH(760+1,РАБОТЫ!$X$2:$X$1058,0))=1,INDEX(РАБОТЫ!$V$2:$V$1058,MATCH(760+1,РАБОТЫ!$X$2:$X$1058,0)),""),"")</f>
        <v/>
      </c>
      <c r="M781" t="str">
        <f t="shared" si="47"/>
        <v/>
      </c>
    </row>
    <row r="782" spans="1:13" hidden="1" x14ac:dyDescent="0.3">
      <c r="A782" t="str">
        <f>IF(ISNUMBER($K782),INDEX(РАБОТЫ!$U$2:$U$1058,$K782),"")</f>
        <v/>
      </c>
      <c r="B782" t="str">
        <f>IF(ISNUMBER($K782),INDEX(РАБОТЫ!$A$2:$A$1058,$K782),"")</f>
        <v/>
      </c>
      <c r="C782" s="4" t="str">
        <f>IF($L782&lt;&gt;"",INDEX(РАБОТЫ!$Z$2:$Z$1058,MATCH($L782,РАБОТЫ!$V$2:$V$1058,0)),IF(ISNUMBER($K782),INDEX(РАБОТЫ!$Y$2:$Y$1058,$K782),""))</f>
        <v/>
      </c>
      <c r="D782" t="str">
        <f>IF(ISNUMBER($K782),INDEX(РАБОТЫ!$E$2:$E$1058,$K782),"")</f>
        <v/>
      </c>
      <c r="E782" t="str">
        <f>IF(ISNUMBER($K782),INDEX(РАБОТЫ!$M$2:$M$1058,$K782),"")</f>
        <v/>
      </c>
      <c r="F782" s="7" t="str">
        <f>IF(ISNUMBER($K782),INDEX(РАБОТЫ!$S$2:$S$1058,$K782),"")</f>
        <v/>
      </c>
      <c r="G782" s="7" t="str">
        <f>IF(ISNUMBER($K782),INDEX(РАБОТЫ!$T$2:$T$1058,$K782),"")</f>
        <v/>
      </c>
      <c r="H782" s="7" t="str">
        <f t="shared" si="44"/>
        <v/>
      </c>
      <c r="I782" s="7" t="str">
        <f t="shared" si="45"/>
        <v/>
      </c>
      <c r="J782" s="7" t="str">
        <f t="shared" si="46"/>
        <v/>
      </c>
      <c r="K782" t="str">
        <f>IFERROR(MATCH(761,РАБОТЫ!$X$2:$X$1058,0),"")</f>
        <v/>
      </c>
      <c r="L782" t="str">
        <f>IFERROR(IF(INDEX(РАБОТЫ!$W$2:$W$1058,MATCH(761+1,РАБОТЫ!$X$2:$X$1058,0))=1,INDEX(РАБОТЫ!$V$2:$V$1058,MATCH(761+1,РАБОТЫ!$X$2:$X$1058,0)),""),"")</f>
        <v/>
      </c>
      <c r="M782" t="str">
        <f t="shared" si="47"/>
        <v/>
      </c>
    </row>
    <row r="783" spans="1:13" hidden="1" x14ac:dyDescent="0.3">
      <c r="A783" t="str">
        <f>IF(ISNUMBER($K783),INDEX(РАБОТЫ!$U$2:$U$1058,$K783),"")</f>
        <v/>
      </c>
      <c r="B783" t="str">
        <f>IF(ISNUMBER($K783),INDEX(РАБОТЫ!$A$2:$A$1058,$K783),"")</f>
        <v/>
      </c>
      <c r="C783" s="4" t="str">
        <f>IF($L783&lt;&gt;"",INDEX(РАБОТЫ!$Z$2:$Z$1058,MATCH($L783,РАБОТЫ!$V$2:$V$1058,0)),IF(ISNUMBER($K783),INDEX(РАБОТЫ!$Y$2:$Y$1058,$K783),""))</f>
        <v/>
      </c>
      <c r="D783" t="str">
        <f>IF(ISNUMBER($K783),INDEX(РАБОТЫ!$E$2:$E$1058,$K783),"")</f>
        <v/>
      </c>
      <c r="E783" t="str">
        <f>IF(ISNUMBER($K783),INDEX(РАБОТЫ!$M$2:$M$1058,$K783),"")</f>
        <v/>
      </c>
      <c r="F783" s="7" t="str">
        <f>IF(ISNUMBER($K783),INDEX(РАБОТЫ!$S$2:$S$1058,$K783),"")</f>
        <v/>
      </c>
      <c r="G783" s="7" t="str">
        <f>IF(ISNUMBER($K783),INDEX(РАБОТЫ!$T$2:$T$1058,$K783),"")</f>
        <v/>
      </c>
      <c r="H783" s="7" t="str">
        <f t="shared" si="44"/>
        <v/>
      </c>
      <c r="I783" s="7" t="str">
        <f t="shared" si="45"/>
        <v/>
      </c>
      <c r="J783" s="7" t="str">
        <f t="shared" si="46"/>
        <v/>
      </c>
      <c r="K783" t="str">
        <f>IFERROR(MATCH(762,РАБОТЫ!$X$2:$X$1058,0),"")</f>
        <v/>
      </c>
      <c r="L783" t="str">
        <f>IFERROR(IF(INDEX(РАБОТЫ!$W$2:$W$1058,MATCH(762+1,РАБОТЫ!$X$2:$X$1058,0))=1,INDEX(РАБОТЫ!$V$2:$V$1058,MATCH(762+1,РАБОТЫ!$X$2:$X$1058,0)),""),"")</f>
        <v/>
      </c>
      <c r="M783" t="str">
        <f t="shared" si="47"/>
        <v/>
      </c>
    </row>
    <row r="784" spans="1:13" hidden="1" x14ac:dyDescent="0.3">
      <c r="A784" t="str">
        <f>IF(ISNUMBER($K784),INDEX(РАБОТЫ!$U$2:$U$1058,$K784),"")</f>
        <v/>
      </c>
      <c r="B784" t="str">
        <f>IF(ISNUMBER($K784),INDEX(РАБОТЫ!$A$2:$A$1058,$K784),"")</f>
        <v/>
      </c>
      <c r="C784" s="4" t="str">
        <f>IF($L784&lt;&gt;"",INDEX(РАБОТЫ!$Z$2:$Z$1058,MATCH($L784,РАБОТЫ!$V$2:$V$1058,0)),IF(ISNUMBER($K784),INDEX(РАБОТЫ!$Y$2:$Y$1058,$K784),""))</f>
        <v/>
      </c>
      <c r="D784" t="str">
        <f>IF(ISNUMBER($K784),INDEX(РАБОТЫ!$E$2:$E$1058,$K784),"")</f>
        <v/>
      </c>
      <c r="E784" t="str">
        <f>IF(ISNUMBER($K784),INDEX(РАБОТЫ!$M$2:$M$1058,$K784),"")</f>
        <v/>
      </c>
      <c r="F784" s="7" t="str">
        <f>IF(ISNUMBER($K784),INDEX(РАБОТЫ!$S$2:$S$1058,$K784),"")</f>
        <v/>
      </c>
      <c r="G784" s="7" t="str">
        <f>IF(ISNUMBER($K784),INDEX(РАБОТЫ!$T$2:$T$1058,$K784),"")</f>
        <v/>
      </c>
      <c r="H784" s="7" t="str">
        <f t="shared" si="44"/>
        <v/>
      </c>
      <c r="I784" s="7" t="str">
        <f t="shared" si="45"/>
        <v/>
      </c>
      <c r="J784" s="7" t="str">
        <f t="shared" si="46"/>
        <v/>
      </c>
      <c r="K784" t="str">
        <f>IFERROR(MATCH(763,РАБОТЫ!$X$2:$X$1058,0),"")</f>
        <v/>
      </c>
      <c r="L784" t="str">
        <f>IFERROR(IF(INDEX(РАБОТЫ!$W$2:$W$1058,MATCH(763+1,РАБОТЫ!$X$2:$X$1058,0))=1,INDEX(РАБОТЫ!$V$2:$V$1058,MATCH(763+1,РАБОТЫ!$X$2:$X$1058,0)),""),"")</f>
        <v/>
      </c>
      <c r="M784" t="str">
        <f t="shared" si="47"/>
        <v/>
      </c>
    </row>
    <row r="785" spans="1:13" hidden="1" x14ac:dyDescent="0.3">
      <c r="A785" t="str">
        <f>IF(ISNUMBER($K785),INDEX(РАБОТЫ!$U$2:$U$1058,$K785),"")</f>
        <v/>
      </c>
      <c r="B785" t="str">
        <f>IF(ISNUMBER($K785),INDEX(РАБОТЫ!$A$2:$A$1058,$K785),"")</f>
        <v/>
      </c>
      <c r="C785" s="4" t="str">
        <f>IF($L785&lt;&gt;"",INDEX(РАБОТЫ!$Z$2:$Z$1058,MATCH($L785,РАБОТЫ!$V$2:$V$1058,0)),IF(ISNUMBER($K785),INDEX(РАБОТЫ!$Y$2:$Y$1058,$K785),""))</f>
        <v/>
      </c>
      <c r="D785" t="str">
        <f>IF(ISNUMBER($K785),INDEX(РАБОТЫ!$E$2:$E$1058,$K785),"")</f>
        <v/>
      </c>
      <c r="E785" t="str">
        <f>IF(ISNUMBER($K785),INDEX(РАБОТЫ!$M$2:$M$1058,$K785),"")</f>
        <v/>
      </c>
      <c r="F785" s="7" t="str">
        <f>IF(ISNUMBER($K785),INDEX(РАБОТЫ!$S$2:$S$1058,$K785),"")</f>
        <v/>
      </c>
      <c r="G785" s="7" t="str">
        <f>IF(ISNUMBER($K785),INDEX(РАБОТЫ!$T$2:$T$1058,$K785),"")</f>
        <v/>
      </c>
      <c r="H785" s="7" t="str">
        <f t="shared" si="44"/>
        <v/>
      </c>
      <c r="I785" s="7" t="str">
        <f t="shared" si="45"/>
        <v/>
      </c>
      <c r="J785" s="7" t="str">
        <f t="shared" si="46"/>
        <v/>
      </c>
      <c r="K785" t="str">
        <f>IFERROR(MATCH(764,РАБОТЫ!$X$2:$X$1058,0),"")</f>
        <v/>
      </c>
      <c r="L785" t="str">
        <f>IFERROR(IF(INDEX(РАБОТЫ!$W$2:$W$1058,MATCH(764+1,РАБОТЫ!$X$2:$X$1058,0))=1,INDEX(РАБОТЫ!$V$2:$V$1058,MATCH(764+1,РАБОТЫ!$X$2:$X$1058,0)),""),"")</f>
        <v/>
      </c>
      <c r="M785" t="str">
        <f t="shared" si="47"/>
        <v/>
      </c>
    </row>
    <row r="786" spans="1:13" hidden="1" x14ac:dyDescent="0.3">
      <c r="A786" t="str">
        <f>IF(ISNUMBER($K786),INDEX(РАБОТЫ!$U$2:$U$1058,$K786),"")</f>
        <v/>
      </c>
      <c r="B786" t="str">
        <f>IF(ISNUMBER($K786),INDEX(РАБОТЫ!$A$2:$A$1058,$K786),"")</f>
        <v/>
      </c>
      <c r="C786" s="4" t="str">
        <f>IF($L786&lt;&gt;"",INDEX(РАБОТЫ!$Z$2:$Z$1058,MATCH($L786,РАБОТЫ!$V$2:$V$1058,0)),IF(ISNUMBER($K786),INDEX(РАБОТЫ!$Y$2:$Y$1058,$K786),""))</f>
        <v/>
      </c>
      <c r="D786" t="str">
        <f>IF(ISNUMBER($K786),INDEX(РАБОТЫ!$E$2:$E$1058,$K786),"")</f>
        <v/>
      </c>
      <c r="E786" t="str">
        <f>IF(ISNUMBER($K786),INDEX(РАБОТЫ!$M$2:$M$1058,$K786),"")</f>
        <v/>
      </c>
      <c r="F786" s="7" t="str">
        <f>IF(ISNUMBER($K786),INDEX(РАБОТЫ!$S$2:$S$1058,$K786),"")</f>
        <v/>
      </c>
      <c r="G786" s="7" t="str">
        <f>IF(ISNUMBER($K786),INDEX(РАБОТЫ!$T$2:$T$1058,$K786),"")</f>
        <v/>
      </c>
      <c r="H786" s="7" t="str">
        <f t="shared" si="44"/>
        <v/>
      </c>
      <c r="I786" s="7" t="str">
        <f t="shared" si="45"/>
        <v/>
      </c>
      <c r="J786" s="7" t="str">
        <f t="shared" si="46"/>
        <v/>
      </c>
      <c r="K786" t="str">
        <f>IFERROR(MATCH(765,РАБОТЫ!$X$2:$X$1058,0),"")</f>
        <v/>
      </c>
      <c r="L786" t="str">
        <f>IFERROR(IF(INDEX(РАБОТЫ!$W$2:$W$1058,MATCH(765+1,РАБОТЫ!$X$2:$X$1058,0))=1,INDEX(РАБОТЫ!$V$2:$V$1058,MATCH(765+1,РАБОТЫ!$X$2:$X$1058,0)),""),"")</f>
        <v/>
      </c>
      <c r="M786" t="str">
        <f t="shared" si="47"/>
        <v/>
      </c>
    </row>
    <row r="787" spans="1:13" hidden="1" x14ac:dyDescent="0.3">
      <c r="A787" t="str">
        <f>IF(ISNUMBER($K787),INDEX(РАБОТЫ!$U$2:$U$1058,$K787),"")</f>
        <v/>
      </c>
      <c r="B787" t="str">
        <f>IF(ISNUMBER($K787),INDEX(РАБОТЫ!$A$2:$A$1058,$K787),"")</f>
        <v/>
      </c>
      <c r="C787" s="4" t="str">
        <f>IF($L787&lt;&gt;"",INDEX(РАБОТЫ!$Z$2:$Z$1058,MATCH($L787,РАБОТЫ!$V$2:$V$1058,0)),IF(ISNUMBER($K787),INDEX(РАБОТЫ!$Y$2:$Y$1058,$K787),""))</f>
        <v/>
      </c>
      <c r="D787" t="str">
        <f>IF(ISNUMBER($K787),INDEX(РАБОТЫ!$E$2:$E$1058,$K787),"")</f>
        <v/>
      </c>
      <c r="E787" t="str">
        <f>IF(ISNUMBER($K787),INDEX(РАБОТЫ!$M$2:$M$1058,$K787),"")</f>
        <v/>
      </c>
      <c r="F787" s="7" t="str">
        <f>IF(ISNUMBER($K787),INDEX(РАБОТЫ!$S$2:$S$1058,$K787),"")</f>
        <v/>
      </c>
      <c r="G787" s="7" t="str">
        <f>IF(ISNUMBER($K787),INDEX(РАБОТЫ!$T$2:$T$1058,$K787),"")</f>
        <v/>
      </c>
      <c r="H787" s="7" t="str">
        <f t="shared" si="44"/>
        <v/>
      </c>
      <c r="I787" s="7" t="str">
        <f t="shared" si="45"/>
        <v/>
      </c>
      <c r="J787" s="7" t="str">
        <f t="shared" si="46"/>
        <v/>
      </c>
      <c r="K787" t="str">
        <f>IFERROR(MATCH(766,РАБОТЫ!$X$2:$X$1058,0),"")</f>
        <v/>
      </c>
      <c r="L787" t="str">
        <f>IFERROR(IF(INDEX(РАБОТЫ!$W$2:$W$1058,MATCH(766+1,РАБОТЫ!$X$2:$X$1058,0))=1,INDEX(РАБОТЫ!$V$2:$V$1058,MATCH(766+1,РАБОТЫ!$X$2:$X$1058,0)),""),"")</f>
        <v/>
      </c>
      <c r="M787" t="str">
        <f t="shared" si="47"/>
        <v/>
      </c>
    </row>
    <row r="788" spans="1:13" hidden="1" x14ac:dyDescent="0.3">
      <c r="A788" t="str">
        <f>IF(ISNUMBER($K788),INDEX(РАБОТЫ!$U$2:$U$1058,$K788),"")</f>
        <v/>
      </c>
      <c r="B788" t="str">
        <f>IF(ISNUMBER($K788),INDEX(РАБОТЫ!$A$2:$A$1058,$K788),"")</f>
        <v/>
      </c>
      <c r="C788" s="4" t="str">
        <f>IF($L788&lt;&gt;"",INDEX(РАБОТЫ!$Z$2:$Z$1058,MATCH($L788,РАБОТЫ!$V$2:$V$1058,0)),IF(ISNUMBER($K788),INDEX(РАБОТЫ!$Y$2:$Y$1058,$K788),""))</f>
        <v/>
      </c>
      <c r="D788" t="str">
        <f>IF(ISNUMBER($K788),INDEX(РАБОТЫ!$E$2:$E$1058,$K788),"")</f>
        <v/>
      </c>
      <c r="E788" t="str">
        <f>IF(ISNUMBER($K788),INDEX(РАБОТЫ!$M$2:$M$1058,$K788),"")</f>
        <v/>
      </c>
      <c r="F788" s="7" t="str">
        <f>IF(ISNUMBER($K788),INDEX(РАБОТЫ!$S$2:$S$1058,$K788),"")</f>
        <v/>
      </c>
      <c r="G788" s="7" t="str">
        <f>IF(ISNUMBER($K788),INDEX(РАБОТЫ!$T$2:$T$1058,$K788),"")</f>
        <v/>
      </c>
      <c r="H788" s="7" t="str">
        <f t="shared" si="44"/>
        <v/>
      </c>
      <c r="I788" s="7" t="str">
        <f t="shared" si="45"/>
        <v/>
      </c>
      <c r="J788" s="7" t="str">
        <f t="shared" si="46"/>
        <v/>
      </c>
      <c r="K788" t="str">
        <f>IFERROR(MATCH(767,РАБОТЫ!$X$2:$X$1058,0),"")</f>
        <v/>
      </c>
      <c r="L788" t="str">
        <f>IFERROR(IF(INDEX(РАБОТЫ!$W$2:$W$1058,MATCH(767+1,РАБОТЫ!$X$2:$X$1058,0))=1,INDEX(РАБОТЫ!$V$2:$V$1058,MATCH(767+1,РАБОТЫ!$X$2:$X$1058,0)),""),"")</f>
        <v/>
      </c>
      <c r="M788" t="str">
        <f t="shared" si="47"/>
        <v/>
      </c>
    </row>
    <row r="789" spans="1:13" hidden="1" x14ac:dyDescent="0.3">
      <c r="A789" t="str">
        <f>IF(ISNUMBER($K789),INDEX(РАБОТЫ!$U$2:$U$1058,$K789),"")</f>
        <v/>
      </c>
      <c r="B789" t="str">
        <f>IF(ISNUMBER($K789),INDEX(РАБОТЫ!$A$2:$A$1058,$K789),"")</f>
        <v/>
      </c>
      <c r="C789" s="4" t="str">
        <f>IF($L789&lt;&gt;"",INDEX(РАБОТЫ!$Z$2:$Z$1058,MATCH($L789,РАБОТЫ!$V$2:$V$1058,0)),IF(ISNUMBER($K789),INDEX(РАБОТЫ!$Y$2:$Y$1058,$K789),""))</f>
        <v/>
      </c>
      <c r="D789" t="str">
        <f>IF(ISNUMBER($K789),INDEX(РАБОТЫ!$E$2:$E$1058,$K789),"")</f>
        <v/>
      </c>
      <c r="E789" t="str">
        <f>IF(ISNUMBER($K789),INDEX(РАБОТЫ!$M$2:$M$1058,$K789),"")</f>
        <v/>
      </c>
      <c r="F789" s="7" t="str">
        <f>IF(ISNUMBER($K789),INDEX(РАБОТЫ!$S$2:$S$1058,$K789),"")</f>
        <v/>
      </c>
      <c r="G789" s="7" t="str">
        <f>IF(ISNUMBER($K789),INDEX(РАБОТЫ!$T$2:$T$1058,$K789),"")</f>
        <v/>
      </c>
      <c r="H789" s="7" t="str">
        <f t="shared" si="44"/>
        <v/>
      </c>
      <c r="I789" s="7" t="str">
        <f t="shared" si="45"/>
        <v/>
      </c>
      <c r="J789" s="7" t="str">
        <f t="shared" si="46"/>
        <v/>
      </c>
      <c r="K789" t="str">
        <f>IFERROR(MATCH(768,РАБОТЫ!$X$2:$X$1058,0),"")</f>
        <v/>
      </c>
      <c r="L789" t="str">
        <f>IFERROR(IF(INDEX(РАБОТЫ!$W$2:$W$1058,MATCH(768+1,РАБОТЫ!$X$2:$X$1058,0))=1,INDEX(РАБОТЫ!$V$2:$V$1058,MATCH(768+1,РАБОТЫ!$X$2:$X$1058,0)),""),"")</f>
        <v/>
      </c>
      <c r="M789" t="str">
        <f t="shared" si="47"/>
        <v/>
      </c>
    </row>
    <row r="790" spans="1:13" hidden="1" x14ac:dyDescent="0.3">
      <c r="A790" t="str">
        <f>IF(ISNUMBER($K790),INDEX(РАБОТЫ!$U$2:$U$1058,$K790),"")</f>
        <v/>
      </c>
      <c r="B790" t="str">
        <f>IF(ISNUMBER($K790),INDEX(РАБОТЫ!$A$2:$A$1058,$K790),"")</f>
        <v/>
      </c>
      <c r="C790" s="4" t="str">
        <f>IF($L790&lt;&gt;"",INDEX(РАБОТЫ!$Z$2:$Z$1058,MATCH($L790,РАБОТЫ!$V$2:$V$1058,0)),IF(ISNUMBER($K790),INDEX(РАБОТЫ!$Y$2:$Y$1058,$K790),""))</f>
        <v/>
      </c>
      <c r="D790" t="str">
        <f>IF(ISNUMBER($K790),INDEX(РАБОТЫ!$E$2:$E$1058,$K790),"")</f>
        <v/>
      </c>
      <c r="E790" t="str">
        <f>IF(ISNUMBER($K790),INDEX(РАБОТЫ!$M$2:$M$1058,$K790),"")</f>
        <v/>
      </c>
      <c r="F790" s="7" t="str">
        <f>IF(ISNUMBER($K790),INDEX(РАБОТЫ!$S$2:$S$1058,$K790),"")</f>
        <v/>
      </c>
      <c r="G790" s="7" t="str">
        <f>IF(ISNUMBER($K790),INDEX(РАБОТЫ!$T$2:$T$1058,$K790),"")</f>
        <v/>
      </c>
      <c r="H790" s="7" t="str">
        <f t="shared" ref="H790:H853" si="48">IF(ISNUMBER($K790),ROUND($E790*$F790,2),"")</f>
        <v/>
      </c>
      <c r="I790" s="7" t="str">
        <f t="shared" ref="I790:I853" si="49">IF(ISNUMBER($K790),ROUND($E790*$G790,2),"")</f>
        <v/>
      </c>
      <c r="J790" s="7" t="str">
        <f t="shared" ref="J790:J853" si="50">IF(ISNUMBER($K790),$H790+$I790,"")</f>
        <v/>
      </c>
      <c r="K790" t="str">
        <f>IFERROR(MATCH(769,РАБОТЫ!$X$2:$X$1058,0),"")</f>
        <v/>
      </c>
      <c r="L790" t="str">
        <f>IFERROR(IF(INDEX(РАБОТЫ!$W$2:$W$1058,MATCH(769+1,РАБОТЫ!$X$2:$X$1058,0))=1,INDEX(РАБОТЫ!$V$2:$V$1058,MATCH(769+1,РАБОТЫ!$X$2:$X$1058,0)),""),"")</f>
        <v/>
      </c>
      <c r="M790" t="str">
        <f t="shared" ref="M790:M853" si="51">IF(OR(ISNUMBER($K790),$L790&lt;&gt;""),"показать","")</f>
        <v/>
      </c>
    </row>
    <row r="791" spans="1:13" hidden="1" x14ac:dyDescent="0.3">
      <c r="A791" t="str">
        <f>IF(ISNUMBER($K791),INDEX(РАБОТЫ!$U$2:$U$1058,$K791),"")</f>
        <v/>
      </c>
      <c r="B791" t="str">
        <f>IF(ISNUMBER($K791),INDEX(РАБОТЫ!$A$2:$A$1058,$K791),"")</f>
        <v/>
      </c>
      <c r="C791" s="4" t="str">
        <f>IF($L791&lt;&gt;"",INDEX(РАБОТЫ!$Z$2:$Z$1058,MATCH($L791,РАБОТЫ!$V$2:$V$1058,0)),IF(ISNUMBER($K791),INDEX(РАБОТЫ!$Y$2:$Y$1058,$K791),""))</f>
        <v/>
      </c>
      <c r="D791" t="str">
        <f>IF(ISNUMBER($K791),INDEX(РАБОТЫ!$E$2:$E$1058,$K791),"")</f>
        <v/>
      </c>
      <c r="E791" t="str">
        <f>IF(ISNUMBER($K791),INDEX(РАБОТЫ!$M$2:$M$1058,$K791),"")</f>
        <v/>
      </c>
      <c r="F791" s="7" t="str">
        <f>IF(ISNUMBER($K791),INDEX(РАБОТЫ!$S$2:$S$1058,$K791),"")</f>
        <v/>
      </c>
      <c r="G791" s="7" t="str">
        <f>IF(ISNUMBER($K791),INDEX(РАБОТЫ!$T$2:$T$1058,$K791),"")</f>
        <v/>
      </c>
      <c r="H791" s="7" t="str">
        <f t="shared" si="48"/>
        <v/>
      </c>
      <c r="I791" s="7" t="str">
        <f t="shared" si="49"/>
        <v/>
      </c>
      <c r="J791" s="7" t="str">
        <f t="shared" si="50"/>
        <v/>
      </c>
      <c r="K791" t="str">
        <f>IFERROR(MATCH(770,РАБОТЫ!$X$2:$X$1058,0),"")</f>
        <v/>
      </c>
      <c r="L791" t="str">
        <f>IFERROR(IF(INDEX(РАБОТЫ!$W$2:$W$1058,MATCH(770+1,РАБОТЫ!$X$2:$X$1058,0))=1,INDEX(РАБОТЫ!$V$2:$V$1058,MATCH(770+1,РАБОТЫ!$X$2:$X$1058,0)),""),"")</f>
        <v/>
      </c>
      <c r="M791" t="str">
        <f t="shared" si="51"/>
        <v/>
      </c>
    </row>
    <row r="792" spans="1:13" hidden="1" x14ac:dyDescent="0.3">
      <c r="A792" t="str">
        <f>IF(ISNUMBER($K792),INDEX(РАБОТЫ!$U$2:$U$1058,$K792),"")</f>
        <v/>
      </c>
      <c r="B792" t="str">
        <f>IF(ISNUMBER($K792),INDEX(РАБОТЫ!$A$2:$A$1058,$K792),"")</f>
        <v/>
      </c>
      <c r="C792" s="4" t="str">
        <f>IF($L792&lt;&gt;"",INDEX(РАБОТЫ!$Z$2:$Z$1058,MATCH($L792,РАБОТЫ!$V$2:$V$1058,0)),IF(ISNUMBER($K792),INDEX(РАБОТЫ!$Y$2:$Y$1058,$K792),""))</f>
        <v/>
      </c>
      <c r="D792" t="str">
        <f>IF(ISNUMBER($K792),INDEX(РАБОТЫ!$E$2:$E$1058,$K792),"")</f>
        <v/>
      </c>
      <c r="E792" t="str">
        <f>IF(ISNUMBER($K792),INDEX(РАБОТЫ!$M$2:$M$1058,$K792),"")</f>
        <v/>
      </c>
      <c r="F792" s="7" t="str">
        <f>IF(ISNUMBER($K792),INDEX(РАБОТЫ!$S$2:$S$1058,$K792),"")</f>
        <v/>
      </c>
      <c r="G792" s="7" t="str">
        <f>IF(ISNUMBER($K792),INDEX(РАБОТЫ!$T$2:$T$1058,$K792),"")</f>
        <v/>
      </c>
      <c r="H792" s="7" t="str">
        <f t="shared" si="48"/>
        <v/>
      </c>
      <c r="I792" s="7" t="str">
        <f t="shared" si="49"/>
        <v/>
      </c>
      <c r="J792" s="7" t="str">
        <f t="shared" si="50"/>
        <v/>
      </c>
      <c r="K792" t="str">
        <f>IFERROR(MATCH(771,РАБОТЫ!$X$2:$X$1058,0),"")</f>
        <v/>
      </c>
      <c r="L792" t="str">
        <f>IFERROR(IF(INDEX(РАБОТЫ!$W$2:$W$1058,MATCH(771+1,РАБОТЫ!$X$2:$X$1058,0))=1,INDEX(РАБОТЫ!$V$2:$V$1058,MATCH(771+1,РАБОТЫ!$X$2:$X$1058,0)),""),"")</f>
        <v/>
      </c>
      <c r="M792" t="str">
        <f t="shared" si="51"/>
        <v/>
      </c>
    </row>
    <row r="793" spans="1:13" hidden="1" x14ac:dyDescent="0.3">
      <c r="A793" t="str">
        <f>IF(ISNUMBER($K793),INDEX(РАБОТЫ!$U$2:$U$1058,$K793),"")</f>
        <v/>
      </c>
      <c r="B793" t="str">
        <f>IF(ISNUMBER($K793),INDEX(РАБОТЫ!$A$2:$A$1058,$K793),"")</f>
        <v/>
      </c>
      <c r="C793" s="4" t="str">
        <f>IF($L793&lt;&gt;"",INDEX(РАБОТЫ!$Z$2:$Z$1058,MATCH($L793,РАБОТЫ!$V$2:$V$1058,0)),IF(ISNUMBER($K793),INDEX(РАБОТЫ!$Y$2:$Y$1058,$K793),""))</f>
        <v/>
      </c>
      <c r="D793" t="str">
        <f>IF(ISNUMBER($K793),INDEX(РАБОТЫ!$E$2:$E$1058,$K793),"")</f>
        <v/>
      </c>
      <c r="E793" t="str">
        <f>IF(ISNUMBER($K793),INDEX(РАБОТЫ!$M$2:$M$1058,$K793),"")</f>
        <v/>
      </c>
      <c r="F793" s="7" t="str">
        <f>IF(ISNUMBER($K793),INDEX(РАБОТЫ!$S$2:$S$1058,$K793),"")</f>
        <v/>
      </c>
      <c r="G793" s="7" t="str">
        <f>IF(ISNUMBER($K793),INDEX(РАБОТЫ!$T$2:$T$1058,$K793),"")</f>
        <v/>
      </c>
      <c r="H793" s="7" t="str">
        <f t="shared" si="48"/>
        <v/>
      </c>
      <c r="I793" s="7" t="str">
        <f t="shared" si="49"/>
        <v/>
      </c>
      <c r="J793" s="7" t="str">
        <f t="shared" si="50"/>
        <v/>
      </c>
      <c r="K793" t="str">
        <f>IFERROR(MATCH(772,РАБОТЫ!$X$2:$X$1058,0),"")</f>
        <v/>
      </c>
      <c r="L793" t="str">
        <f>IFERROR(IF(INDEX(РАБОТЫ!$W$2:$W$1058,MATCH(772+1,РАБОТЫ!$X$2:$X$1058,0))=1,INDEX(РАБОТЫ!$V$2:$V$1058,MATCH(772+1,РАБОТЫ!$X$2:$X$1058,0)),""),"")</f>
        <v/>
      </c>
      <c r="M793" t="str">
        <f t="shared" si="51"/>
        <v/>
      </c>
    </row>
    <row r="794" spans="1:13" hidden="1" x14ac:dyDescent="0.3">
      <c r="A794" t="str">
        <f>IF(ISNUMBER($K794),INDEX(РАБОТЫ!$U$2:$U$1058,$K794),"")</f>
        <v/>
      </c>
      <c r="B794" t="str">
        <f>IF(ISNUMBER($K794),INDEX(РАБОТЫ!$A$2:$A$1058,$K794),"")</f>
        <v/>
      </c>
      <c r="C794" s="4" t="str">
        <f>IF($L794&lt;&gt;"",INDEX(РАБОТЫ!$Z$2:$Z$1058,MATCH($L794,РАБОТЫ!$V$2:$V$1058,0)),IF(ISNUMBER($K794),INDEX(РАБОТЫ!$Y$2:$Y$1058,$K794),""))</f>
        <v/>
      </c>
      <c r="D794" t="str">
        <f>IF(ISNUMBER($K794),INDEX(РАБОТЫ!$E$2:$E$1058,$K794),"")</f>
        <v/>
      </c>
      <c r="E794" t="str">
        <f>IF(ISNUMBER($K794),INDEX(РАБОТЫ!$M$2:$M$1058,$K794),"")</f>
        <v/>
      </c>
      <c r="F794" s="7" t="str">
        <f>IF(ISNUMBER($K794),INDEX(РАБОТЫ!$S$2:$S$1058,$K794),"")</f>
        <v/>
      </c>
      <c r="G794" s="7" t="str">
        <f>IF(ISNUMBER($K794),INDEX(РАБОТЫ!$T$2:$T$1058,$K794),"")</f>
        <v/>
      </c>
      <c r="H794" s="7" t="str">
        <f t="shared" si="48"/>
        <v/>
      </c>
      <c r="I794" s="7" t="str">
        <f t="shared" si="49"/>
        <v/>
      </c>
      <c r="J794" s="7" t="str">
        <f t="shared" si="50"/>
        <v/>
      </c>
      <c r="K794" t="str">
        <f>IFERROR(MATCH(773,РАБОТЫ!$X$2:$X$1058,0),"")</f>
        <v/>
      </c>
      <c r="L794" t="str">
        <f>IFERROR(IF(INDEX(РАБОТЫ!$W$2:$W$1058,MATCH(773+1,РАБОТЫ!$X$2:$X$1058,0))=1,INDEX(РАБОТЫ!$V$2:$V$1058,MATCH(773+1,РАБОТЫ!$X$2:$X$1058,0)),""),"")</f>
        <v/>
      </c>
      <c r="M794" t="str">
        <f t="shared" si="51"/>
        <v/>
      </c>
    </row>
    <row r="795" spans="1:13" hidden="1" x14ac:dyDescent="0.3">
      <c r="A795" t="str">
        <f>IF(ISNUMBER($K795),INDEX(РАБОТЫ!$U$2:$U$1058,$K795),"")</f>
        <v/>
      </c>
      <c r="B795" t="str">
        <f>IF(ISNUMBER($K795),INDEX(РАБОТЫ!$A$2:$A$1058,$K795),"")</f>
        <v/>
      </c>
      <c r="C795" s="4" t="str">
        <f>IF($L795&lt;&gt;"",INDEX(РАБОТЫ!$Z$2:$Z$1058,MATCH($L795,РАБОТЫ!$V$2:$V$1058,0)),IF(ISNUMBER($K795),INDEX(РАБОТЫ!$Y$2:$Y$1058,$K795),""))</f>
        <v/>
      </c>
      <c r="D795" t="str">
        <f>IF(ISNUMBER($K795),INDEX(РАБОТЫ!$E$2:$E$1058,$K795),"")</f>
        <v/>
      </c>
      <c r="E795" t="str">
        <f>IF(ISNUMBER($K795),INDEX(РАБОТЫ!$M$2:$M$1058,$K795),"")</f>
        <v/>
      </c>
      <c r="F795" s="7" t="str">
        <f>IF(ISNUMBER($K795),INDEX(РАБОТЫ!$S$2:$S$1058,$K795),"")</f>
        <v/>
      </c>
      <c r="G795" s="7" t="str">
        <f>IF(ISNUMBER($K795),INDEX(РАБОТЫ!$T$2:$T$1058,$K795),"")</f>
        <v/>
      </c>
      <c r="H795" s="7" t="str">
        <f t="shared" si="48"/>
        <v/>
      </c>
      <c r="I795" s="7" t="str">
        <f t="shared" si="49"/>
        <v/>
      </c>
      <c r="J795" s="7" t="str">
        <f t="shared" si="50"/>
        <v/>
      </c>
      <c r="K795" t="str">
        <f>IFERROR(MATCH(774,РАБОТЫ!$X$2:$X$1058,0),"")</f>
        <v/>
      </c>
      <c r="L795" t="str">
        <f>IFERROR(IF(INDEX(РАБОТЫ!$W$2:$W$1058,MATCH(774+1,РАБОТЫ!$X$2:$X$1058,0))=1,INDEX(РАБОТЫ!$V$2:$V$1058,MATCH(774+1,РАБОТЫ!$X$2:$X$1058,0)),""),"")</f>
        <v/>
      </c>
      <c r="M795" t="str">
        <f t="shared" si="51"/>
        <v/>
      </c>
    </row>
    <row r="796" spans="1:13" hidden="1" x14ac:dyDescent="0.3">
      <c r="A796" t="str">
        <f>IF(ISNUMBER($K796),INDEX(РАБОТЫ!$U$2:$U$1058,$K796),"")</f>
        <v/>
      </c>
      <c r="B796" t="str">
        <f>IF(ISNUMBER($K796),INDEX(РАБОТЫ!$A$2:$A$1058,$K796),"")</f>
        <v/>
      </c>
      <c r="C796" s="4" t="str">
        <f>IF($L796&lt;&gt;"",INDEX(РАБОТЫ!$Z$2:$Z$1058,MATCH($L796,РАБОТЫ!$V$2:$V$1058,0)),IF(ISNUMBER($K796),INDEX(РАБОТЫ!$Y$2:$Y$1058,$K796),""))</f>
        <v/>
      </c>
      <c r="D796" t="str">
        <f>IF(ISNUMBER($K796),INDEX(РАБОТЫ!$E$2:$E$1058,$K796),"")</f>
        <v/>
      </c>
      <c r="E796" t="str">
        <f>IF(ISNUMBER($K796),INDEX(РАБОТЫ!$M$2:$M$1058,$K796),"")</f>
        <v/>
      </c>
      <c r="F796" s="7" t="str">
        <f>IF(ISNUMBER($K796),INDEX(РАБОТЫ!$S$2:$S$1058,$K796),"")</f>
        <v/>
      </c>
      <c r="G796" s="7" t="str">
        <f>IF(ISNUMBER($K796),INDEX(РАБОТЫ!$T$2:$T$1058,$K796),"")</f>
        <v/>
      </c>
      <c r="H796" s="7" t="str">
        <f t="shared" si="48"/>
        <v/>
      </c>
      <c r="I796" s="7" t="str">
        <f t="shared" si="49"/>
        <v/>
      </c>
      <c r="J796" s="7" t="str">
        <f t="shared" si="50"/>
        <v/>
      </c>
      <c r="K796" t="str">
        <f>IFERROR(MATCH(775,РАБОТЫ!$X$2:$X$1058,0),"")</f>
        <v/>
      </c>
      <c r="L796" t="str">
        <f>IFERROR(IF(INDEX(РАБОТЫ!$W$2:$W$1058,MATCH(775+1,РАБОТЫ!$X$2:$X$1058,0))=1,INDEX(РАБОТЫ!$V$2:$V$1058,MATCH(775+1,РАБОТЫ!$X$2:$X$1058,0)),""),"")</f>
        <v/>
      </c>
      <c r="M796" t="str">
        <f t="shared" si="51"/>
        <v/>
      </c>
    </row>
    <row r="797" spans="1:13" hidden="1" x14ac:dyDescent="0.3">
      <c r="A797" t="str">
        <f>IF(ISNUMBER($K797),INDEX(РАБОТЫ!$U$2:$U$1058,$K797),"")</f>
        <v/>
      </c>
      <c r="B797" t="str">
        <f>IF(ISNUMBER($K797),INDEX(РАБОТЫ!$A$2:$A$1058,$K797),"")</f>
        <v/>
      </c>
      <c r="C797" s="4" t="str">
        <f>IF($L797&lt;&gt;"",INDEX(РАБОТЫ!$Z$2:$Z$1058,MATCH($L797,РАБОТЫ!$V$2:$V$1058,0)),IF(ISNUMBER($K797),INDEX(РАБОТЫ!$Y$2:$Y$1058,$K797),""))</f>
        <v/>
      </c>
      <c r="D797" t="str">
        <f>IF(ISNUMBER($K797),INDEX(РАБОТЫ!$E$2:$E$1058,$K797),"")</f>
        <v/>
      </c>
      <c r="E797" t="str">
        <f>IF(ISNUMBER($K797),INDEX(РАБОТЫ!$M$2:$M$1058,$K797),"")</f>
        <v/>
      </c>
      <c r="F797" s="7" t="str">
        <f>IF(ISNUMBER($K797),INDEX(РАБОТЫ!$S$2:$S$1058,$K797),"")</f>
        <v/>
      </c>
      <c r="G797" s="7" t="str">
        <f>IF(ISNUMBER($K797),INDEX(РАБОТЫ!$T$2:$T$1058,$K797),"")</f>
        <v/>
      </c>
      <c r="H797" s="7" t="str">
        <f t="shared" si="48"/>
        <v/>
      </c>
      <c r="I797" s="7" t="str">
        <f t="shared" si="49"/>
        <v/>
      </c>
      <c r="J797" s="7" t="str">
        <f t="shared" si="50"/>
        <v/>
      </c>
      <c r="K797" t="str">
        <f>IFERROR(MATCH(776,РАБОТЫ!$X$2:$X$1058,0),"")</f>
        <v/>
      </c>
      <c r="L797" t="str">
        <f>IFERROR(IF(INDEX(РАБОТЫ!$W$2:$W$1058,MATCH(776+1,РАБОТЫ!$X$2:$X$1058,0))=1,INDEX(РАБОТЫ!$V$2:$V$1058,MATCH(776+1,РАБОТЫ!$X$2:$X$1058,0)),""),"")</f>
        <v/>
      </c>
      <c r="M797" t="str">
        <f t="shared" si="51"/>
        <v/>
      </c>
    </row>
    <row r="798" spans="1:13" hidden="1" x14ac:dyDescent="0.3">
      <c r="A798" t="str">
        <f>IF(ISNUMBER($K798),INDEX(РАБОТЫ!$U$2:$U$1058,$K798),"")</f>
        <v/>
      </c>
      <c r="B798" t="str">
        <f>IF(ISNUMBER($K798),INDEX(РАБОТЫ!$A$2:$A$1058,$K798),"")</f>
        <v/>
      </c>
      <c r="C798" s="4" t="str">
        <f>IF($L798&lt;&gt;"",INDEX(РАБОТЫ!$Z$2:$Z$1058,MATCH($L798,РАБОТЫ!$V$2:$V$1058,0)),IF(ISNUMBER($K798),INDEX(РАБОТЫ!$Y$2:$Y$1058,$K798),""))</f>
        <v/>
      </c>
      <c r="D798" t="str">
        <f>IF(ISNUMBER($K798),INDEX(РАБОТЫ!$E$2:$E$1058,$K798),"")</f>
        <v/>
      </c>
      <c r="E798" t="str">
        <f>IF(ISNUMBER($K798),INDEX(РАБОТЫ!$M$2:$M$1058,$K798),"")</f>
        <v/>
      </c>
      <c r="F798" s="7" t="str">
        <f>IF(ISNUMBER($K798),INDEX(РАБОТЫ!$S$2:$S$1058,$K798),"")</f>
        <v/>
      </c>
      <c r="G798" s="7" t="str">
        <f>IF(ISNUMBER($K798),INDEX(РАБОТЫ!$T$2:$T$1058,$K798),"")</f>
        <v/>
      </c>
      <c r="H798" s="7" t="str">
        <f t="shared" si="48"/>
        <v/>
      </c>
      <c r="I798" s="7" t="str">
        <f t="shared" si="49"/>
        <v/>
      </c>
      <c r="J798" s="7" t="str">
        <f t="shared" si="50"/>
        <v/>
      </c>
      <c r="K798" t="str">
        <f>IFERROR(MATCH(777,РАБОТЫ!$X$2:$X$1058,0),"")</f>
        <v/>
      </c>
      <c r="L798" t="str">
        <f>IFERROR(IF(INDEX(РАБОТЫ!$W$2:$W$1058,MATCH(777+1,РАБОТЫ!$X$2:$X$1058,0))=1,INDEX(РАБОТЫ!$V$2:$V$1058,MATCH(777+1,РАБОТЫ!$X$2:$X$1058,0)),""),"")</f>
        <v/>
      </c>
      <c r="M798" t="str">
        <f t="shared" si="51"/>
        <v/>
      </c>
    </row>
    <row r="799" spans="1:13" hidden="1" x14ac:dyDescent="0.3">
      <c r="A799" t="str">
        <f>IF(ISNUMBER($K799),INDEX(РАБОТЫ!$U$2:$U$1058,$K799),"")</f>
        <v/>
      </c>
      <c r="B799" t="str">
        <f>IF(ISNUMBER($K799),INDEX(РАБОТЫ!$A$2:$A$1058,$K799),"")</f>
        <v/>
      </c>
      <c r="C799" s="4" t="str">
        <f>IF($L799&lt;&gt;"",INDEX(РАБОТЫ!$Z$2:$Z$1058,MATCH($L799,РАБОТЫ!$V$2:$V$1058,0)),IF(ISNUMBER($K799),INDEX(РАБОТЫ!$Y$2:$Y$1058,$K799),""))</f>
        <v/>
      </c>
      <c r="D799" t="str">
        <f>IF(ISNUMBER($K799),INDEX(РАБОТЫ!$E$2:$E$1058,$K799),"")</f>
        <v/>
      </c>
      <c r="E799" t="str">
        <f>IF(ISNUMBER($K799),INDEX(РАБОТЫ!$M$2:$M$1058,$K799),"")</f>
        <v/>
      </c>
      <c r="F799" s="7" t="str">
        <f>IF(ISNUMBER($K799),INDEX(РАБОТЫ!$S$2:$S$1058,$K799),"")</f>
        <v/>
      </c>
      <c r="G799" s="7" t="str">
        <f>IF(ISNUMBER($K799),INDEX(РАБОТЫ!$T$2:$T$1058,$K799),"")</f>
        <v/>
      </c>
      <c r="H799" s="7" t="str">
        <f t="shared" si="48"/>
        <v/>
      </c>
      <c r="I799" s="7" t="str">
        <f t="shared" si="49"/>
        <v/>
      </c>
      <c r="J799" s="7" t="str">
        <f t="shared" si="50"/>
        <v/>
      </c>
      <c r="K799" t="str">
        <f>IFERROR(MATCH(778,РАБОТЫ!$X$2:$X$1058,0),"")</f>
        <v/>
      </c>
      <c r="L799" t="str">
        <f>IFERROR(IF(INDEX(РАБОТЫ!$W$2:$W$1058,MATCH(778+1,РАБОТЫ!$X$2:$X$1058,0))=1,INDEX(РАБОТЫ!$V$2:$V$1058,MATCH(778+1,РАБОТЫ!$X$2:$X$1058,0)),""),"")</f>
        <v/>
      </c>
      <c r="M799" t="str">
        <f t="shared" si="51"/>
        <v/>
      </c>
    </row>
    <row r="800" spans="1:13" hidden="1" x14ac:dyDescent="0.3">
      <c r="A800" t="str">
        <f>IF(ISNUMBER($K800),INDEX(РАБОТЫ!$U$2:$U$1058,$K800),"")</f>
        <v/>
      </c>
      <c r="B800" t="str">
        <f>IF(ISNUMBER($K800),INDEX(РАБОТЫ!$A$2:$A$1058,$K800),"")</f>
        <v/>
      </c>
      <c r="C800" s="4" t="str">
        <f>IF($L800&lt;&gt;"",INDEX(РАБОТЫ!$Z$2:$Z$1058,MATCH($L800,РАБОТЫ!$V$2:$V$1058,0)),IF(ISNUMBER($K800),INDEX(РАБОТЫ!$Y$2:$Y$1058,$K800),""))</f>
        <v/>
      </c>
      <c r="D800" t="str">
        <f>IF(ISNUMBER($K800),INDEX(РАБОТЫ!$E$2:$E$1058,$K800),"")</f>
        <v/>
      </c>
      <c r="E800" t="str">
        <f>IF(ISNUMBER($K800),INDEX(РАБОТЫ!$M$2:$M$1058,$K800),"")</f>
        <v/>
      </c>
      <c r="F800" s="7" t="str">
        <f>IF(ISNUMBER($K800),INDEX(РАБОТЫ!$S$2:$S$1058,$K800),"")</f>
        <v/>
      </c>
      <c r="G800" s="7" t="str">
        <f>IF(ISNUMBER($K800),INDEX(РАБОТЫ!$T$2:$T$1058,$K800),"")</f>
        <v/>
      </c>
      <c r="H800" s="7" t="str">
        <f t="shared" si="48"/>
        <v/>
      </c>
      <c r="I800" s="7" t="str">
        <f t="shared" si="49"/>
        <v/>
      </c>
      <c r="J800" s="7" t="str">
        <f t="shared" si="50"/>
        <v/>
      </c>
      <c r="K800" t="str">
        <f>IFERROR(MATCH(779,РАБОТЫ!$X$2:$X$1058,0),"")</f>
        <v/>
      </c>
      <c r="L800" t="str">
        <f>IFERROR(IF(INDEX(РАБОТЫ!$W$2:$W$1058,MATCH(779+1,РАБОТЫ!$X$2:$X$1058,0))=1,INDEX(РАБОТЫ!$V$2:$V$1058,MATCH(779+1,РАБОТЫ!$X$2:$X$1058,0)),""),"")</f>
        <v/>
      </c>
      <c r="M800" t="str">
        <f t="shared" si="51"/>
        <v/>
      </c>
    </row>
    <row r="801" spans="1:13" hidden="1" x14ac:dyDescent="0.3">
      <c r="A801" t="str">
        <f>IF(ISNUMBER($K801),INDEX(РАБОТЫ!$U$2:$U$1058,$K801),"")</f>
        <v/>
      </c>
      <c r="B801" t="str">
        <f>IF(ISNUMBER($K801),INDEX(РАБОТЫ!$A$2:$A$1058,$K801),"")</f>
        <v/>
      </c>
      <c r="C801" s="4" t="str">
        <f>IF($L801&lt;&gt;"",INDEX(РАБОТЫ!$Z$2:$Z$1058,MATCH($L801,РАБОТЫ!$V$2:$V$1058,0)),IF(ISNUMBER($K801),INDEX(РАБОТЫ!$Y$2:$Y$1058,$K801),""))</f>
        <v/>
      </c>
      <c r="D801" t="str">
        <f>IF(ISNUMBER($K801),INDEX(РАБОТЫ!$E$2:$E$1058,$K801),"")</f>
        <v/>
      </c>
      <c r="E801" t="str">
        <f>IF(ISNUMBER($K801),INDEX(РАБОТЫ!$M$2:$M$1058,$K801),"")</f>
        <v/>
      </c>
      <c r="F801" s="7" t="str">
        <f>IF(ISNUMBER($K801),INDEX(РАБОТЫ!$S$2:$S$1058,$K801),"")</f>
        <v/>
      </c>
      <c r="G801" s="7" t="str">
        <f>IF(ISNUMBER($K801),INDEX(РАБОТЫ!$T$2:$T$1058,$K801),"")</f>
        <v/>
      </c>
      <c r="H801" s="7" t="str">
        <f t="shared" si="48"/>
        <v/>
      </c>
      <c r="I801" s="7" t="str">
        <f t="shared" si="49"/>
        <v/>
      </c>
      <c r="J801" s="7" t="str">
        <f t="shared" si="50"/>
        <v/>
      </c>
      <c r="K801" t="str">
        <f>IFERROR(MATCH(780,РАБОТЫ!$X$2:$X$1058,0),"")</f>
        <v/>
      </c>
      <c r="L801" t="str">
        <f>IFERROR(IF(INDEX(РАБОТЫ!$W$2:$W$1058,MATCH(780+1,РАБОТЫ!$X$2:$X$1058,0))=1,INDEX(РАБОТЫ!$V$2:$V$1058,MATCH(780+1,РАБОТЫ!$X$2:$X$1058,0)),""),"")</f>
        <v/>
      </c>
      <c r="M801" t="str">
        <f t="shared" si="51"/>
        <v/>
      </c>
    </row>
    <row r="802" spans="1:13" hidden="1" x14ac:dyDescent="0.3">
      <c r="A802" t="str">
        <f>IF(ISNUMBER($K802),INDEX(РАБОТЫ!$U$2:$U$1058,$K802),"")</f>
        <v/>
      </c>
      <c r="B802" t="str">
        <f>IF(ISNUMBER($K802),INDEX(РАБОТЫ!$A$2:$A$1058,$K802),"")</f>
        <v/>
      </c>
      <c r="C802" s="4" t="str">
        <f>IF($L802&lt;&gt;"",INDEX(РАБОТЫ!$Z$2:$Z$1058,MATCH($L802,РАБОТЫ!$V$2:$V$1058,0)),IF(ISNUMBER($K802),INDEX(РАБОТЫ!$Y$2:$Y$1058,$K802),""))</f>
        <v/>
      </c>
      <c r="D802" t="str">
        <f>IF(ISNUMBER($K802),INDEX(РАБОТЫ!$E$2:$E$1058,$K802),"")</f>
        <v/>
      </c>
      <c r="E802" t="str">
        <f>IF(ISNUMBER($K802),INDEX(РАБОТЫ!$M$2:$M$1058,$K802),"")</f>
        <v/>
      </c>
      <c r="F802" s="7" t="str">
        <f>IF(ISNUMBER($K802),INDEX(РАБОТЫ!$S$2:$S$1058,$K802),"")</f>
        <v/>
      </c>
      <c r="G802" s="7" t="str">
        <f>IF(ISNUMBER($K802),INDEX(РАБОТЫ!$T$2:$T$1058,$K802),"")</f>
        <v/>
      </c>
      <c r="H802" s="7" t="str">
        <f t="shared" si="48"/>
        <v/>
      </c>
      <c r="I802" s="7" t="str">
        <f t="shared" si="49"/>
        <v/>
      </c>
      <c r="J802" s="7" t="str">
        <f t="shared" si="50"/>
        <v/>
      </c>
      <c r="K802" t="str">
        <f>IFERROR(MATCH(781,РАБОТЫ!$X$2:$X$1058,0),"")</f>
        <v/>
      </c>
      <c r="L802" t="str">
        <f>IFERROR(IF(INDEX(РАБОТЫ!$W$2:$W$1058,MATCH(781+1,РАБОТЫ!$X$2:$X$1058,0))=1,INDEX(РАБОТЫ!$V$2:$V$1058,MATCH(781+1,РАБОТЫ!$X$2:$X$1058,0)),""),"")</f>
        <v/>
      </c>
      <c r="M802" t="str">
        <f t="shared" si="51"/>
        <v/>
      </c>
    </row>
    <row r="803" spans="1:13" hidden="1" x14ac:dyDescent="0.3">
      <c r="A803" t="str">
        <f>IF(ISNUMBER($K803),INDEX(РАБОТЫ!$U$2:$U$1058,$K803),"")</f>
        <v/>
      </c>
      <c r="B803" t="str">
        <f>IF(ISNUMBER($K803),INDEX(РАБОТЫ!$A$2:$A$1058,$K803),"")</f>
        <v/>
      </c>
      <c r="C803" s="4" t="str">
        <f>IF($L803&lt;&gt;"",INDEX(РАБОТЫ!$Z$2:$Z$1058,MATCH($L803,РАБОТЫ!$V$2:$V$1058,0)),IF(ISNUMBER($K803),INDEX(РАБОТЫ!$Y$2:$Y$1058,$K803),""))</f>
        <v/>
      </c>
      <c r="D803" t="str">
        <f>IF(ISNUMBER($K803),INDEX(РАБОТЫ!$E$2:$E$1058,$K803),"")</f>
        <v/>
      </c>
      <c r="E803" t="str">
        <f>IF(ISNUMBER($K803),INDEX(РАБОТЫ!$M$2:$M$1058,$K803),"")</f>
        <v/>
      </c>
      <c r="F803" s="7" t="str">
        <f>IF(ISNUMBER($K803),INDEX(РАБОТЫ!$S$2:$S$1058,$K803),"")</f>
        <v/>
      </c>
      <c r="G803" s="7" t="str">
        <f>IF(ISNUMBER($K803),INDEX(РАБОТЫ!$T$2:$T$1058,$K803),"")</f>
        <v/>
      </c>
      <c r="H803" s="7" t="str">
        <f t="shared" si="48"/>
        <v/>
      </c>
      <c r="I803" s="7" t="str">
        <f t="shared" si="49"/>
        <v/>
      </c>
      <c r="J803" s="7" t="str">
        <f t="shared" si="50"/>
        <v/>
      </c>
      <c r="K803" t="str">
        <f>IFERROR(MATCH(782,РАБОТЫ!$X$2:$X$1058,0),"")</f>
        <v/>
      </c>
      <c r="L803" t="str">
        <f>IFERROR(IF(INDEX(РАБОТЫ!$W$2:$W$1058,MATCH(782+1,РАБОТЫ!$X$2:$X$1058,0))=1,INDEX(РАБОТЫ!$V$2:$V$1058,MATCH(782+1,РАБОТЫ!$X$2:$X$1058,0)),""),"")</f>
        <v/>
      </c>
      <c r="M803" t="str">
        <f t="shared" si="51"/>
        <v/>
      </c>
    </row>
    <row r="804" spans="1:13" hidden="1" x14ac:dyDescent="0.3">
      <c r="A804" t="str">
        <f>IF(ISNUMBER($K804),INDEX(РАБОТЫ!$U$2:$U$1058,$K804),"")</f>
        <v/>
      </c>
      <c r="B804" t="str">
        <f>IF(ISNUMBER($K804),INDEX(РАБОТЫ!$A$2:$A$1058,$K804),"")</f>
        <v/>
      </c>
      <c r="C804" s="4" t="str">
        <f>IF($L804&lt;&gt;"",INDEX(РАБОТЫ!$Z$2:$Z$1058,MATCH($L804,РАБОТЫ!$V$2:$V$1058,0)),IF(ISNUMBER($K804),INDEX(РАБОТЫ!$Y$2:$Y$1058,$K804),""))</f>
        <v/>
      </c>
      <c r="D804" t="str">
        <f>IF(ISNUMBER($K804),INDEX(РАБОТЫ!$E$2:$E$1058,$K804),"")</f>
        <v/>
      </c>
      <c r="E804" t="str">
        <f>IF(ISNUMBER($K804),INDEX(РАБОТЫ!$M$2:$M$1058,$K804),"")</f>
        <v/>
      </c>
      <c r="F804" s="7" t="str">
        <f>IF(ISNUMBER($K804),INDEX(РАБОТЫ!$S$2:$S$1058,$K804),"")</f>
        <v/>
      </c>
      <c r="G804" s="7" t="str">
        <f>IF(ISNUMBER($K804),INDEX(РАБОТЫ!$T$2:$T$1058,$K804),"")</f>
        <v/>
      </c>
      <c r="H804" s="7" t="str">
        <f t="shared" si="48"/>
        <v/>
      </c>
      <c r="I804" s="7" t="str">
        <f t="shared" si="49"/>
        <v/>
      </c>
      <c r="J804" s="7" t="str">
        <f t="shared" si="50"/>
        <v/>
      </c>
      <c r="K804" t="str">
        <f>IFERROR(MATCH(783,РАБОТЫ!$X$2:$X$1058,0),"")</f>
        <v/>
      </c>
      <c r="L804" t="str">
        <f>IFERROR(IF(INDEX(РАБОТЫ!$W$2:$W$1058,MATCH(783+1,РАБОТЫ!$X$2:$X$1058,0))=1,INDEX(РАБОТЫ!$V$2:$V$1058,MATCH(783+1,РАБОТЫ!$X$2:$X$1058,0)),""),"")</f>
        <v/>
      </c>
      <c r="M804" t="str">
        <f t="shared" si="51"/>
        <v/>
      </c>
    </row>
    <row r="805" spans="1:13" hidden="1" x14ac:dyDescent="0.3">
      <c r="A805" t="str">
        <f>IF(ISNUMBER($K805),INDEX(РАБОТЫ!$U$2:$U$1058,$K805),"")</f>
        <v/>
      </c>
      <c r="B805" t="str">
        <f>IF(ISNUMBER($K805),INDEX(РАБОТЫ!$A$2:$A$1058,$K805),"")</f>
        <v/>
      </c>
      <c r="C805" s="4" t="str">
        <f>IF($L805&lt;&gt;"",INDEX(РАБОТЫ!$Z$2:$Z$1058,MATCH($L805,РАБОТЫ!$V$2:$V$1058,0)),IF(ISNUMBER($K805),INDEX(РАБОТЫ!$Y$2:$Y$1058,$K805),""))</f>
        <v/>
      </c>
      <c r="D805" t="str">
        <f>IF(ISNUMBER($K805),INDEX(РАБОТЫ!$E$2:$E$1058,$K805),"")</f>
        <v/>
      </c>
      <c r="E805" t="str">
        <f>IF(ISNUMBER($K805),INDEX(РАБОТЫ!$M$2:$M$1058,$K805),"")</f>
        <v/>
      </c>
      <c r="F805" s="7" t="str">
        <f>IF(ISNUMBER($K805),INDEX(РАБОТЫ!$S$2:$S$1058,$K805),"")</f>
        <v/>
      </c>
      <c r="G805" s="7" t="str">
        <f>IF(ISNUMBER($K805),INDEX(РАБОТЫ!$T$2:$T$1058,$K805),"")</f>
        <v/>
      </c>
      <c r="H805" s="7" t="str">
        <f t="shared" si="48"/>
        <v/>
      </c>
      <c r="I805" s="7" t="str">
        <f t="shared" si="49"/>
        <v/>
      </c>
      <c r="J805" s="7" t="str">
        <f t="shared" si="50"/>
        <v/>
      </c>
      <c r="K805" t="str">
        <f>IFERROR(MATCH(784,РАБОТЫ!$X$2:$X$1058,0),"")</f>
        <v/>
      </c>
      <c r="L805" t="str">
        <f>IFERROR(IF(INDEX(РАБОТЫ!$W$2:$W$1058,MATCH(784+1,РАБОТЫ!$X$2:$X$1058,0))=1,INDEX(РАБОТЫ!$V$2:$V$1058,MATCH(784+1,РАБОТЫ!$X$2:$X$1058,0)),""),"")</f>
        <v/>
      </c>
      <c r="M805" t="str">
        <f t="shared" si="51"/>
        <v/>
      </c>
    </row>
    <row r="806" spans="1:13" hidden="1" x14ac:dyDescent="0.3">
      <c r="A806" t="str">
        <f>IF(ISNUMBER($K806),INDEX(РАБОТЫ!$U$2:$U$1058,$K806),"")</f>
        <v/>
      </c>
      <c r="B806" t="str">
        <f>IF(ISNUMBER($K806),INDEX(РАБОТЫ!$A$2:$A$1058,$K806),"")</f>
        <v/>
      </c>
      <c r="C806" s="4" t="str">
        <f>IF($L806&lt;&gt;"",INDEX(РАБОТЫ!$Z$2:$Z$1058,MATCH($L806,РАБОТЫ!$V$2:$V$1058,0)),IF(ISNUMBER($K806),INDEX(РАБОТЫ!$Y$2:$Y$1058,$K806),""))</f>
        <v/>
      </c>
      <c r="D806" t="str">
        <f>IF(ISNUMBER($K806),INDEX(РАБОТЫ!$E$2:$E$1058,$K806),"")</f>
        <v/>
      </c>
      <c r="E806" t="str">
        <f>IF(ISNUMBER($K806),INDEX(РАБОТЫ!$M$2:$M$1058,$K806),"")</f>
        <v/>
      </c>
      <c r="F806" s="7" t="str">
        <f>IF(ISNUMBER($K806),INDEX(РАБОТЫ!$S$2:$S$1058,$K806),"")</f>
        <v/>
      </c>
      <c r="G806" s="7" t="str">
        <f>IF(ISNUMBER($K806),INDEX(РАБОТЫ!$T$2:$T$1058,$K806),"")</f>
        <v/>
      </c>
      <c r="H806" s="7" t="str">
        <f t="shared" si="48"/>
        <v/>
      </c>
      <c r="I806" s="7" t="str">
        <f t="shared" si="49"/>
        <v/>
      </c>
      <c r="J806" s="7" t="str">
        <f t="shared" si="50"/>
        <v/>
      </c>
      <c r="K806" t="str">
        <f>IFERROR(MATCH(785,РАБОТЫ!$X$2:$X$1058,0),"")</f>
        <v/>
      </c>
      <c r="L806" t="str">
        <f>IFERROR(IF(INDEX(РАБОТЫ!$W$2:$W$1058,MATCH(785+1,РАБОТЫ!$X$2:$X$1058,0))=1,INDEX(РАБОТЫ!$V$2:$V$1058,MATCH(785+1,РАБОТЫ!$X$2:$X$1058,0)),""),"")</f>
        <v/>
      </c>
      <c r="M806" t="str">
        <f t="shared" si="51"/>
        <v/>
      </c>
    </row>
    <row r="807" spans="1:13" hidden="1" x14ac:dyDescent="0.3">
      <c r="A807" t="str">
        <f>IF(ISNUMBER($K807),INDEX(РАБОТЫ!$U$2:$U$1058,$K807),"")</f>
        <v/>
      </c>
      <c r="B807" t="str">
        <f>IF(ISNUMBER($K807),INDEX(РАБОТЫ!$A$2:$A$1058,$K807),"")</f>
        <v/>
      </c>
      <c r="C807" s="4" t="str">
        <f>IF($L807&lt;&gt;"",INDEX(РАБОТЫ!$Z$2:$Z$1058,MATCH($L807,РАБОТЫ!$V$2:$V$1058,0)),IF(ISNUMBER($K807),INDEX(РАБОТЫ!$Y$2:$Y$1058,$K807),""))</f>
        <v/>
      </c>
      <c r="D807" t="str">
        <f>IF(ISNUMBER($K807),INDEX(РАБОТЫ!$E$2:$E$1058,$K807),"")</f>
        <v/>
      </c>
      <c r="E807" t="str">
        <f>IF(ISNUMBER($K807),INDEX(РАБОТЫ!$M$2:$M$1058,$K807),"")</f>
        <v/>
      </c>
      <c r="F807" s="7" t="str">
        <f>IF(ISNUMBER($K807),INDEX(РАБОТЫ!$S$2:$S$1058,$K807),"")</f>
        <v/>
      </c>
      <c r="G807" s="7" t="str">
        <f>IF(ISNUMBER($K807),INDEX(РАБОТЫ!$T$2:$T$1058,$K807),"")</f>
        <v/>
      </c>
      <c r="H807" s="7" t="str">
        <f t="shared" si="48"/>
        <v/>
      </c>
      <c r="I807" s="7" t="str">
        <f t="shared" si="49"/>
        <v/>
      </c>
      <c r="J807" s="7" t="str">
        <f t="shared" si="50"/>
        <v/>
      </c>
      <c r="K807" t="str">
        <f>IFERROR(MATCH(786,РАБОТЫ!$X$2:$X$1058,0),"")</f>
        <v/>
      </c>
      <c r="L807" t="str">
        <f>IFERROR(IF(INDEX(РАБОТЫ!$W$2:$W$1058,MATCH(786+1,РАБОТЫ!$X$2:$X$1058,0))=1,INDEX(РАБОТЫ!$V$2:$V$1058,MATCH(786+1,РАБОТЫ!$X$2:$X$1058,0)),""),"")</f>
        <v/>
      </c>
      <c r="M807" t="str">
        <f t="shared" si="51"/>
        <v/>
      </c>
    </row>
    <row r="808" spans="1:13" hidden="1" x14ac:dyDescent="0.3">
      <c r="A808" t="str">
        <f>IF(ISNUMBER($K808),INDEX(РАБОТЫ!$U$2:$U$1058,$K808),"")</f>
        <v/>
      </c>
      <c r="B808" t="str">
        <f>IF(ISNUMBER($K808),INDEX(РАБОТЫ!$A$2:$A$1058,$K808),"")</f>
        <v/>
      </c>
      <c r="C808" s="4" t="str">
        <f>IF($L808&lt;&gt;"",INDEX(РАБОТЫ!$Z$2:$Z$1058,MATCH($L808,РАБОТЫ!$V$2:$V$1058,0)),IF(ISNUMBER($K808),INDEX(РАБОТЫ!$Y$2:$Y$1058,$K808),""))</f>
        <v/>
      </c>
      <c r="D808" t="str">
        <f>IF(ISNUMBER($K808),INDEX(РАБОТЫ!$E$2:$E$1058,$K808),"")</f>
        <v/>
      </c>
      <c r="E808" t="str">
        <f>IF(ISNUMBER($K808),INDEX(РАБОТЫ!$M$2:$M$1058,$K808),"")</f>
        <v/>
      </c>
      <c r="F808" s="7" t="str">
        <f>IF(ISNUMBER($K808),INDEX(РАБОТЫ!$S$2:$S$1058,$K808),"")</f>
        <v/>
      </c>
      <c r="G808" s="7" t="str">
        <f>IF(ISNUMBER($K808),INDEX(РАБОТЫ!$T$2:$T$1058,$K808),"")</f>
        <v/>
      </c>
      <c r="H808" s="7" t="str">
        <f t="shared" si="48"/>
        <v/>
      </c>
      <c r="I808" s="7" t="str">
        <f t="shared" si="49"/>
        <v/>
      </c>
      <c r="J808" s="7" t="str">
        <f t="shared" si="50"/>
        <v/>
      </c>
      <c r="K808" t="str">
        <f>IFERROR(MATCH(787,РАБОТЫ!$X$2:$X$1058,0),"")</f>
        <v/>
      </c>
      <c r="L808" t="str">
        <f>IFERROR(IF(INDEX(РАБОТЫ!$W$2:$W$1058,MATCH(787+1,РАБОТЫ!$X$2:$X$1058,0))=1,INDEX(РАБОТЫ!$V$2:$V$1058,MATCH(787+1,РАБОТЫ!$X$2:$X$1058,0)),""),"")</f>
        <v/>
      </c>
      <c r="M808" t="str">
        <f t="shared" si="51"/>
        <v/>
      </c>
    </row>
    <row r="809" spans="1:13" hidden="1" x14ac:dyDescent="0.3">
      <c r="A809" t="str">
        <f>IF(ISNUMBER($K809),INDEX(РАБОТЫ!$U$2:$U$1058,$K809),"")</f>
        <v/>
      </c>
      <c r="B809" t="str">
        <f>IF(ISNUMBER($K809),INDEX(РАБОТЫ!$A$2:$A$1058,$K809),"")</f>
        <v/>
      </c>
      <c r="C809" s="4" t="str">
        <f>IF($L809&lt;&gt;"",INDEX(РАБОТЫ!$Z$2:$Z$1058,MATCH($L809,РАБОТЫ!$V$2:$V$1058,0)),IF(ISNUMBER($K809),INDEX(РАБОТЫ!$Y$2:$Y$1058,$K809),""))</f>
        <v/>
      </c>
      <c r="D809" t="str">
        <f>IF(ISNUMBER($K809),INDEX(РАБОТЫ!$E$2:$E$1058,$K809),"")</f>
        <v/>
      </c>
      <c r="E809" t="str">
        <f>IF(ISNUMBER($K809),INDEX(РАБОТЫ!$M$2:$M$1058,$K809),"")</f>
        <v/>
      </c>
      <c r="F809" s="7" t="str">
        <f>IF(ISNUMBER($K809),INDEX(РАБОТЫ!$S$2:$S$1058,$K809),"")</f>
        <v/>
      </c>
      <c r="G809" s="7" t="str">
        <f>IF(ISNUMBER($K809),INDEX(РАБОТЫ!$T$2:$T$1058,$K809),"")</f>
        <v/>
      </c>
      <c r="H809" s="7" t="str">
        <f t="shared" si="48"/>
        <v/>
      </c>
      <c r="I809" s="7" t="str">
        <f t="shared" si="49"/>
        <v/>
      </c>
      <c r="J809" s="7" t="str">
        <f t="shared" si="50"/>
        <v/>
      </c>
      <c r="K809" t="str">
        <f>IFERROR(MATCH(788,РАБОТЫ!$X$2:$X$1058,0),"")</f>
        <v/>
      </c>
      <c r="L809" t="str">
        <f>IFERROR(IF(INDEX(РАБОТЫ!$W$2:$W$1058,MATCH(788+1,РАБОТЫ!$X$2:$X$1058,0))=1,INDEX(РАБОТЫ!$V$2:$V$1058,MATCH(788+1,РАБОТЫ!$X$2:$X$1058,0)),""),"")</f>
        <v/>
      </c>
      <c r="M809" t="str">
        <f t="shared" si="51"/>
        <v/>
      </c>
    </row>
    <row r="810" spans="1:13" hidden="1" x14ac:dyDescent="0.3">
      <c r="A810" t="str">
        <f>IF(ISNUMBER($K810),INDEX(РАБОТЫ!$U$2:$U$1058,$K810),"")</f>
        <v/>
      </c>
      <c r="B810" t="str">
        <f>IF(ISNUMBER($K810),INDEX(РАБОТЫ!$A$2:$A$1058,$K810),"")</f>
        <v/>
      </c>
      <c r="C810" s="4" t="str">
        <f>IF($L810&lt;&gt;"",INDEX(РАБОТЫ!$Z$2:$Z$1058,MATCH($L810,РАБОТЫ!$V$2:$V$1058,0)),IF(ISNUMBER($K810),INDEX(РАБОТЫ!$Y$2:$Y$1058,$K810),""))</f>
        <v/>
      </c>
      <c r="D810" t="str">
        <f>IF(ISNUMBER($K810),INDEX(РАБОТЫ!$E$2:$E$1058,$K810),"")</f>
        <v/>
      </c>
      <c r="E810" t="str">
        <f>IF(ISNUMBER($K810),INDEX(РАБОТЫ!$M$2:$M$1058,$K810),"")</f>
        <v/>
      </c>
      <c r="F810" s="7" t="str">
        <f>IF(ISNUMBER($K810),INDEX(РАБОТЫ!$S$2:$S$1058,$K810),"")</f>
        <v/>
      </c>
      <c r="G810" s="7" t="str">
        <f>IF(ISNUMBER($K810),INDEX(РАБОТЫ!$T$2:$T$1058,$K810),"")</f>
        <v/>
      </c>
      <c r="H810" s="7" t="str">
        <f t="shared" si="48"/>
        <v/>
      </c>
      <c r="I810" s="7" t="str">
        <f t="shared" si="49"/>
        <v/>
      </c>
      <c r="J810" s="7" t="str">
        <f t="shared" si="50"/>
        <v/>
      </c>
      <c r="K810" t="str">
        <f>IFERROR(MATCH(789,РАБОТЫ!$X$2:$X$1058,0),"")</f>
        <v/>
      </c>
      <c r="L810" t="str">
        <f>IFERROR(IF(INDEX(РАБОТЫ!$W$2:$W$1058,MATCH(789+1,РАБОТЫ!$X$2:$X$1058,0))=1,INDEX(РАБОТЫ!$V$2:$V$1058,MATCH(789+1,РАБОТЫ!$X$2:$X$1058,0)),""),"")</f>
        <v/>
      </c>
      <c r="M810" t="str">
        <f t="shared" si="51"/>
        <v/>
      </c>
    </row>
    <row r="811" spans="1:13" hidden="1" x14ac:dyDescent="0.3">
      <c r="A811" t="str">
        <f>IF(ISNUMBER($K811),INDEX(РАБОТЫ!$U$2:$U$1058,$K811),"")</f>
        <v/>
      </c>
      <c r="B811" t="str">
        <f>IF(ISNUMBER($K811),INDEX(РАБОТЫ!$A$2:$A$1058,$K811),"")</f>
        <v/>
      </c>
      <c r="C811" s="4" t="str">
        <f>IF($L811&lt;&gt;"",INDEX(РАБОТЫ!$Z$2:$Z$1058,MATCH($L811,РАБОТЫ!$V$2:$V$1058,0)),IF(ISNUMBER($K811),INDEX(РАБОТЫ!$Y$2:$Y$1058,$K811),""))</f>
        <v/>
      </c>
      <c r="D811" t="str">
        <f>IF(ISNUMBER($K811),INDEX(РАБОТЫ!$E$2:$E$1058,$K811),"")</f>
        <v/>
      </c>
      <c r="E811" t="str">
        <f>IF(ISNUMBER($K811),INDEX(РАБОТЫ!$M$2:$M$1058,$K811),"")</f>
        <v/>
      </c>
      <c r="F811" s="7" t="str">
        <f>IF(ISNUMBER($K811),INDEX(РАБОТЫ!$S$2:$S$1058,$K811),"")</f>
        <v/>
      </c>
      <c r="G811" s="7" t="str">
        <f>IF(ISNUMBER($K811),INDEX(РАБОТЫ!$T$2:$T$1058,$K811),"")</f>
        <v/>
      </c>
      <c r="H811" s="7" t="str">
        <f t="shared" si="48"/>
        <v/>
      </c>
      <c r="I811" s="7" t="str">
        <f t="shared" si="49"/>
        <v/>
      </c>
      <c r="J811" s="7" t="str">
        <f t="shared" si="50"/>
        <v/>
      </c>
      <c r="K811" t="str">
        <f>IFERROR(MATCH(790,РАБОТЫ!$X$2:$X$1058,0),"")</f>
        <v/>
      </c>
      <c r="L811" t="str">
        <f>IFERROR(IF(INDEX(РАБОТЫ!$W$2:$W$1058,MATCH(790+1,РАБОТЫ!$X$2:$X$1058,0))=1,INDEX(РАБОТЫ!$V$2:$V$1058,MATCH(790+1,РАБОТЫ!$X$2:$X$1058,0)),""),"")</f>
        <v/>
      </c>
      <c r="M811" t="str">
        <f t="shared" si="51"/>
        <v/>
      </c>
    </row>
    <row r="812" spans="1:13" hidden="1" x14ac:dyDescent="0.3">
      <c r="A812" t="str">
        <f>IF(ISNUMBER($K812),INDEX(РАБОТЫ!$U$2:$U$1058,$K812),"")</f>
        <v/>
      </c>
      <c r="B812" t="str">
        <f>IF(ISNUMBER($K812),INDEX(РАБОТЫ!$A$2:$A$1058,$K812),"")</f>
        <v/>
      </c>
      <c r="C812" s="4" t="str">
        <f>IF($L812&lt;&gt;"",INDEX(РАБОТЫ!$Z$2:$Z$1058,MATCH($L812,РАБОТЫ!$V$2:$V$1058,0)),IF(ISNUMBER($K812),INDEX(РАБОТЫ!$Y$2:$Y$1058,$K812),""))</f>
        <v/>
      </c>
      <c r="D812" t="str">
        <f>IF(ISNUMBER($K812),INDEX(РАБОТЫ!$E$2:$E$1058,$K812),"")</f>
        <v/>
      </c>
      <c r="E812" t="str">
        <f>IF(ISNUMBER($K812),INDEX(РАБОТЫ!$M$2:$M$1058,$K812),"")</f>
        <v/>
      </c>
      <c r="F812" s="7" t="str">
        <f>IF(ISNUMBER($K812),INDEX(РАБОТЫ!$S$2:$S$1058,$K812),"")</f>
        <v/>
      </c>
      <c r="G812" s="7" t="str">
        <f>IF(ISNUMBER($K812),INDEX(РАБОТЫ!$T$2:$T$1058,$K812),"")</f>
        <v/>
      </c>
      <c r="H812" s="7" t="str">
        <f t="shared" si="48"/>
        <v/>
      </c>
      <c r="I812" s="7" t="str">
        <f t="shared" si="49"/>
        <v/>
      </c>
      <c r="J812" s="7" t="str">
        <f t="shared" si="50"/>
        <v/>
      </c>
      <c r="K812" t="str">
        <f>IFERROR(MATCH(791,РАБОТЫ!$X$2:$X$1058,0),"")</f>
        <v/>
      </c>
      <c r="L812" t="str">
        <f>IFERROR(IF(INDEX(РАБОТЫ!$W$2:$W$1058,MATCH(791+1,РАБОТЫ!$X$2:$X$1058,0))=1,INDEX(РАБОТЫ!$V$2:$V$1058,MATCH(791+1,РАБОТЫ!$X$2:$X$1058,0)),""),"")</f>
        <v/>
      </c>
      <c r="M812" t="str">
        <f t="shared" si="51"/>
        <v/>
      </c>
    </row>
    <row r="813" spans="1:13" hidden="1" x14ac:dyDescent="0.3">
      <c r="A813" t="str">
        <f>IF(ISNUMBER($K813),INDEX(РАБОТЫ!$U$2:$U$1058,$K813),"")</f>
        <v/>
      </c>
      <c r="B813" t="str">
        <f>IF(ISNUMBER($K813),INDEX(РАБОТЫ!$A$2:$A$1058,$K813),"")</f>
        <v/>
      </c>
      <c r="C813" s="4" t="str">
        <f>IF($L813&lt;&gt;"",INDEX(РАБОТЫ!$Z$2:$Z$1058,MATCH($L813,РАБОТЫ!$V$2:$V$1058,0)),IF(ISNUMBER($K813),INDEX(РАБОТЫ!$Y$2:$Y$1058,$K813),""))</f>
        <v/>
      </c>
      <c r="D813" t="str">
        <f>IF(ISNUMBER($K813),INDEX(РАБОТЫ!$E$2:$E$1058,$K813),"")</f>
        <v/>
      </c>
      <c r="E813" t="str">
        <f>IF(ISNUMBER($K813),INDEX(РАБОТЫ!$M$2:$M$1058,$K813),"")</f>
        <v/>
      </c>
      <c r="F813" s="7" t="str">
        <f>IF(ISNUMBER($K813),INDEX(РАБОТЫ!$S$2:$S$1058,$K813),"")</f>
        <v/>
      </c>
      <c r="G813" s="7" t="str">
        <f>IF(ISNUMBER($K813),INDEX(РАБОТЫ!$T$2:$T$1058,$K813),"")</f>
        <v/>
      </c>
      <c r="H813" s="7" t="str">
        <f t="shared" si="48"/>
        <v/>
      </c>
      <c r="I813" s="7" t="str">
        <f t="shared" si="49"/>
        <v/>
      </c>
      <c r="J813" s="7" t="str">
        <f t="shared" si="50"/>
        <v/>
      </c>
      <c r="K813" t="str">
        <f>IFERROR(MATCH(792,РАБОТЫ!$X$2:$X$1058,0),"")</f>
        <v/>
      </c>
      <c r="L813" t="str">
        <f>IFERROR(IF(INDEX(РАБОТЫ!$W$2:$W$1058,MATCH(792+1,РАБОТЫ!$X$2:$X$1058,0))=1,INDEX(РАБОТЫ!$V$2:$V$1058,MATCH(792+1,РАБОТЫ!$X$2:$X$1058,0)),""),"")</f>
        <v/>
      </c>
      <c r="M813" t="str">
        <f t="shared" si="51"/>
        <v/>
      </c>
    </row>
    <row r="814" spans="1:13" hidden="1" x14ac:dyDescent="0.3">
      <c r="A814" t="str">
        <f>IF(ISNUMBER($K814),INDEX(РАБОТЫ!$U$2:$U$1058,$K814),"")</f>
        <v/>
      </c>
      <c r="B814" t="str">
        <f>IF(ISNUMBER($K814),INDEX(РАБОТЫ!$A$2:$A$1058,$K814),"")</f>
        <v/>
      </c>
      <c r="C814" s="4" t="str">
        <f>IF($L814&lt;&gt;"",INDEX(РАБОТЫ!$Z$2:$Z$1058,MATCH($L814,РАБОТЫ!$V$2:$V$1058,0)),IF(ISNUMBER($K814),INDEX(РАБОТЫ!$Y$2:$Y$1058,$K814),""))</f>
        <v/>
      </c>
      <c r="D814" t="str">
        <f>IF(ISNUMBER($K814),INDEX(РАБОТЫ!$E$2:$E$1058,$K814),"")</f>
        <v/>
      </c>
      <c r="E814" t="str">
        <f>IF(ISNUMBER($K814),INDEX(РАБОТЫ!$M$2:$M$1058,$K814),"")</f>
        <v/>
      </c>
      <c r="F814" s="7" t="str">
        <f>IF(ISNUMBER($K814),INDEX(РАБОТЫ!$S$2:$S$1058,$K814),"")</f>
        <v/>
      </c>
      <c r="G814" s="7" t="str">
        <f>IF(ISNUMBER($K814),INDEX(РАБОТЫ!$T$2:$T$1058,$K814),"")</f>
        <v/>
      </c>
      <c r="H814" s="7" t="str">
        <f t="shared" si="48"/>
        <v/>
      </c>
      <c r="I814" s="7" t="str">
        <f t="shared" si="49"/>
        <v/>
      </c>
      <c r="J814" s="7" t="str">
        <f t="shared" si="50"/>
        <v/>
      </c>
      <c r="K814" t="str">
        <f>IFERROR(MATCH(793,РАБОТЫ!$X$2:$X$1058,0),"")</f>
        <v/>
      </c>
      <c r="L814" t="str">
        <f>IFERROR(IF(INDEX(РАБОТЫ!$W$2:$W$1058,MATCH(793+1,РАБОТЫ!$X$2:$X$1058,0))=1,INDEX(РАБОТЫ!$V$2:$V$1058,MATCH(793+1,РАБОТЫ!$X$2:$X$1058,0)),""),"")</f>
        <v/>
      </c>
      <c r="M814" t="str">
        <f t="shared" si="51"/>
        <v/>
      </c>
    </row>
    <row r="815" spans="1:13" hidden="1" x14ac:dyDescent="0.3">
      <c r="A815" t="str">
        <f>IF(ISNUMBER($K815),INDEX(РАБОТЫ!$U$2:$U$1058,$K815),"")</f>
        <v/>
      </c>
      <c r="B815" t="str">
        <f>IF(ISNUMBER($K815),INDEX(РАБОТЫ!$A$2:$A$1058,$K815),"")</f>
        <v/>
      </c>
      <c r="C815" s="4" t="str">
        <f>IF($L815&lt;&gt;"",INDEX(РАБОТЫ!$Z$2:$Z$1058,MATCH($L815,РАБОТЫ!$V$2:$V$1058,0)),IF(ISNUMBER($K815),INDEX(РАБОТЫ!$Y$2:$Y$1058,$K815),""))</f>
        <v/>
      </c>
      <c r="D815" t="str">
        <f>IF(ISNUMBER($K815),INDEX(РАБОТЫ!$E$2:$E$1058,$K815),"")</f>
        <v/>
      </c>
      <c r="E815" t="str">
        <f>IF(ISNUMBER($K815),INDEX(РАБОТЫ!$M$2:$M$1058,$K815),"")</f>
        <v/>
      </c>
      <c r="F815" s="7" t="str">
        <f>IF(ISNUMBER($K815),INDEX(РАБОТЫ!$S$2:$S$1058,$K815),"")</f>
        <v/>
      </c>
      <c r="G815" s="7" t="str">
        <f>IF(ISNUMBER($K815),INDEX(РАБОТЫ!$T$2:$T$1058,$K815),"")</f>
        <v/>
      </c>
      <c r="H815" s="7" t="str">
        <f t="shared" si="48"/>
        <v/>
      </c>
      <c r="I815" s="7" t="str">
        <f t="shared" si="49"/>
        <v/>
      </c>
      <c r="J815" s="7" t="str">
        <f t="shared" si="50"/>
        <v/>
      </c>
      <c r="K815" t="str">
        <f>IFERROR(MATCH(794,РАБОТЫ!$X$2:$X$1058,0),"")</f>
        <v/>
      </c>
      <c r="L815" t="str">
        <f>IFERROR(IF(INDEX(РАБОТЫ!$W$2:$W$1058,MATCH(794+1,РАБОТЫ!$X$2:$X$1058,0))=1,INDEX(РАБОТЫ!$V$2:$V$1058,MATCH(794+1,РАБОТЫ!$X$2:$X$1058,0)),""),"")</f>
        <v/>
      </c>
      <c r="M815" t="str">
        <f t="shared" si="51"/>
        <v/>
      </c>
    </row>
    <row r="816" spans="1:13" hidden="1" x14ac:dyDescent="0.3">
      <c r="A816" t="str">
        <f>IF(ISNUMBER($K816),INDEX(РАБОТЫ!$U$2:$U$1058,$K816),"")</f>
        <v/>
      </c>
      <c r="B816" t="str">
        <f>IF(ISNUMBER($K816),INDEX(РАБОТЫ!$A$2:$A$1058,$K816),"")</f>
        <v/>
      </c>
      <c r="C816" s="4" t="str">
        <f>IF($L816&lt;&gt;"",INDEX(РАБОТЫ!$Z$2:$Z$1058,MATCH($L816,РАБОТЫ!$V$2:$V$1058,0)),IF(ISNUMBER($K816),INDEX(РАБОТЫ!$Y$2:$Y$1058,$K816),""))</f>
        <v/>
      </c>
      <c r="D816" t="str">
        <f>IF(ISNUMBER($K816),INDEX(РАБОТЫ!$E$2:$E$1058,$K816),"")</f>
        <v/>
      </c>
      <c r="E816" t="str">
        <f>IF(ISNUMBER($K816),INDEX(РАБОТЫ!$M$2:$M$1058,$K816),"")</f>
        <v/>
      </c>
      <c r="F816" s="7" t="str">
        <f>IF(ISNUMBER($K816),INDEX(РАБОТЫ!$S$2:$S$1058,$K816),"")</f>
        <v/>
      </c>
      <c r="G816" s="7" t="str">
        <f>IF(ISNUMBER($K816),INDEX(РАБОТЫ!$T$2:$T$1058,$K816),"")</f>
        <v/>
      </c>
      <c r="H816" s="7" t="str">
        <f t="shared" si="48"/>
        <v/>
      </c>
      <c r="I816" s="7" t="str">
        <f t="shared" si="49"/>
        <v/>
      </c>
      <c r="J816" s="7" t="str">
        <f t="shared" si="50"/>
        <v/>
      </c>
      <c r="K816" t="str">
        <f>IFERROR(MATCH(795,РАБОТЫ!$X$2:$X$1058,0),"")</f>
        <v/>
      </c>
      <c r="L816" t="str">
        <f>IFERROR(IF(INDEX(РАБОТЫ!$W$2:$W$1058,MATCH(795+1,РАБОТЫ!$X$2:$X$1058,0))=1,INDEX(РАБОТЫ!$V$2:$V$1058,MATCH(795+1,РАБОТЫ!$X$2:$X$1058,0)),""),"")</f>
        <v/>
      </c>
      <c r="M816" t="str">
        <f t="shared" si="51"/>
        <v/>
      </c>
    </row>
    <row r="817" spans="1:13" hidden="1" x14ac:dyDescent="0.3">
      <c r="A817" t="str">
        <f>IF(ISNUMBER($K817),INDEX(РАБОТЫ!$U$2:$U$1058,$K817),"")</f>
        <v/>
      </c>
      <c r="B817" t="str">
        <f>IF(ISNUMBER($K817),INDEX(РАБОТЫ!$A$2:$A$1058,$K817),"")</f>
        <v/>
      </c>
      <c r="C817" s="4" t="str">
        <f>IF($L817&lt;&gt;"",INDEX(РАБОТЫ!$Z$2:$Z$1058,MATCH($L817,РАБОТЫ!$V$2:$V$1058,0)),IF(ISNUMBER($K817),INDEX(РАБОТЫ!$Y$2:$Y$1058,$K817),""))</f>
        <v/>
      </c>
      <c r="D817" t="str">
        <f>IF(ISNUMBER($K817),INDEX(РАБОТЫ!$E$2:$E$1058,$K817),"")</f>
        <v/>
      </c>
      <c r="E817" t="str">
        <f>IF(ISNUMBER($K817),INDEX(РАБОТЫ!$M$2:$M$1058,$K817),"")</f>
        <v/>
      </c>
      <c r="F817" s="7" t="str">
        <f>IF(ISNUMBER($K817),INDEX(РАБОТЫ!$S$2:$S$1058,$K817),"")</f>
        <v/>
      </c>
      <c r="G817" s="7" t="str">
        <f>IF(ISNUMBER($K817),INDEX(РАБОТЫ!$T$2:$T$1058,$K817),"")</f>
        <v/>
      </c>
      <c r="H817" s="7" t="str">
        <f t="shared" si="48"/>
        <v/>
      </c>
      <c r="I817" s="7" t="str">
        <f t="shared" si="49"/>
        <v/>
      </c>
      <c r="J817" s="7" t="str">
        <f t="shared" si="50"/>
        <v/>
      </c>
      <c r="K817" t="str">
        <f>IFERROR(MATCH(796,РАБОТЫ!$X$2:$X$1058,0),"")</f>
        <v/>
      </c>
      <c r="L817" t="str">
        <f>IFERROR(IF(INDEX(РАБОТЫ!$W$2:$W$1058,MATCH(796+1,РАБОТЫ!$X$2:$X$1058,0))=1,INDEX(РАБОТЫ!$V$2:$V$1058,MATCH(796+1,РАБОТЫ!$X$2:$X$1058,0)),""),"")</f>
        <v/>
      </c>
      <c r="M817" t="str">
        <f t="shared" si="51"/>
        <v/>
      </c>
    </row>
    <row r="818" spans="1:13" hidden="1" x14ac:dyDescent="0.3">
      <c r="A818" t="str">
        <f>IF(ISNUMBER($K818),INDEX(РАБОТЫ!$U$2:$U$1058,$K818),"")</f>
        <v/>
      </c>
      <c r="B818" t="str">
        <f>IF(ISNUMBER($K818),INDEX(РАБОТЫ!$A$2:$A$1058,$K818),"")</f>
        <v/>
      </c>
      <c r="C818" s="4" t="str">
        <f>IF($L818&lt;&gt;"",INDEX(РАБОТЫ!$Z$2:$Z$1058,MATCH($L818,РАБОТЫ!$V$2:$V$1058,0)),IF(ISNUMBER($K818),INDEX(РАБОТЫ!$Y$2:$Y$1058,$K818),""))</f>
        <v/>
      </c>
      <c r="D818" t="str">
        <f>IF(ISNUMBER($K818),INDEX(РАБОТЫ!$E$2:$E$1058,$K818),"")</f>
        <v/>
      </c>
      <c r="E818" t="str">
        <f>IF(ISNUMBER($K818),INDEX(РАБОТЫ!$M$2:$M$1058,$K818),"")</f>
        <v/>
      </c>
      <c r="F818" s="7" t="str">
        <f>IF(ISNUMBER($K818),INDEX(РАБОТЫ!$S$2:$S$1058,$K818),"")</f>
        <v/>
      </c>
      <c r="G818" s="7" t="str">
        <f>IF(ISNUMBER($K818),INDEX(РАБОТЫ!$T$2:$T$1058,$K818),"")</f>
        <v/>
      </c>
      <c r="H818" s="7" t="str">
        <f t="shared" si="48"/>
        <v/>
      </c>
      <c r="I818" s="7" t="str">
        <f t="shared" si="49"/>
        <v/>
      </c>
      <c r="J818" s="7" t="str">
        <f t="shared" si="50"/>
        <v/>
      </c>
      <c r="K818" t="str">
        <f>IFERROR(MATCH(797,РАБОТЫ!$X$2:$X$1058,0),"")</f>
        <v/>
      </c>
      <c r="L818" t="str">
        <f>IFERROR(IF(INDEX(РАБОТЫ!$W$2:$W$1058,MATCH(797+1,РАБОТЫ!$X$2:$X$1058,0))=1,INDEX(РАБОТЫ!$V$2:$V$1058,MATCH(797+1,РАБОТЫ!$X$2:$X$1058,0)),""),"")</f>
        <v/>
      </c>
      <c r="M818" t="str">
        <f t="shared" si="51"/>
        <v/>
      </c>
    </row>
    <row r="819" spans="1:13" hidden="1" x14ac:dyDescent="0.3">
      <c r="A819" t="str">
        <f>IF(ISNUMBER($K819),INDEX(РАБОТЫ!$U$2:$U$1058,$K819),"")</f>
        <v/>
      </c>
      <c r="B819" t="str">
        <f>IF(ISNUMBER($K819),INDEX(РАБОТЫ!$A$2:$A$1058,$K819),"")</f>
        <v/>
      </c>
      <c r="C819" s="4" t="str">
        <f>IF($L819&lt;&gt;"",INDEX(РАБОТЫ!$Z$2:$Z$1058,MATCH($L819,РАБОТЫ!$V$2:$V$1058,0)),IF(ISNUMBER($K819),INDEX(РАБОТЫ!$Y$2:$Y$1058,$K819),""))</f>
        <v/>
      </c>
      <c r="D819" t="str">
        <f>IF(ISNUMBER($K819),INDEX(РАБОТЫ!$E$2:$E$1058,$K819),"")</f>
        <v/>
      </c>
      <c r="E819" t="str">
        <f>IF(ISNUMBER($K819),INDEX(РАБОТЫ!$M$2:$M$1058,$K819),"")</f>
        <v/>
      </c>
      <c r="F819" s="7" t="str">
        <f>IF(ISNUMBER($K819),INDEX(РАБОТЫ!$S$2:$S$1058,$K819),"")</f>
        <v/>
      </c>
      <c r="G819" s="7" t="str">
        <f>IF(ISNUMBER($K819),INDEX(РАБОТЫ!$T$2:$T$1058,$K819),"")</f>
        <v/>
      </c>
      <c r="H819" s="7" t="str">
        <f t="shared" si="48"/>
        <v/>
      </c>
      <c r="I819" s="7" t="str">
        <f t="shared" si="49"/>
        <v/>
      </c>
      <c r="J819" s="7" t="str">
        <f t="shared" si="50"/>
        <v/>
      </c>
      <c r="K819" t="str">
        <f>IFERROR(MATCH(798,РАБОТЫ!$X$2:$X$1058,0),"")</f>
        <v/>
      </c>
      <c r="L819" t="str">
        <f>IFERROR(IF(INDEX(РАБОТЫ!$W$2:$W$1058,MATCH(798+1,РАБОТЫ!$X$2:$X$1058,0))=1,INDEX(РАБОТЫ!$V$2:$V$1058,MATCH(798+1,РАБОТЫ!$X$2:$X$1058,0)),""),"")</f>
        <v/>
      </c>
      <c r="M819" t="str">
        <f t="shared" si="51"/>
        <v/>
      </c>
    </row>
    <row r="820" spans="1:13" hidden="1" x14ac:dyDescent="0.3">
      <c r="A820" t="str">
        <f>IF(ISNUMBER($K820),INDEX(РАБОТЫ!$U$2:$U$1058,$K820),"")</f>
        <v/>
      </c>
      <c r="B820" t="str">
        <f>IF(ISNUMBER($K820),INDEX(РАБОТЫ!$A$2:$A$1058,$K820),"")</f>
        <v/>
      </c>
      <c r="C820" s="4" t="str">
        <f>IF($L820&lt;&gt;"",INDEX(РАБОТЫ!$Z$2:$Z$1058,MATCH($L820,РАБОТЫ!$V$2:$V$1058,0)),IF(ISNUMBER($K820),INDEX(РАБОТЫ!$Y$2:$Y$1058,$K820),""))</f>
        <v/>
      </c>
      <c r="D820" t="str">
        <f>IF(ISNUMBER($K820),INDEX(РАБОТЫ!$E$2:$E$1058,$K820),"")</f>
        <v/>
      </c>
      <c r="E820" t="str">
        <f>IF(ISNUMBER($K820),INDEX(РАБОТЫ!$M$2:$M$1058,$K820),"")</f>
        <v/>
      </c>
      <c r="F820" s="7" t="str">
        <f>IF(ISNUMBER($K820),INDEX(РАБОТЫ!$S$2:$S$1058,$K820),"")</f>
        <v/>
      </c>
      <c r="G820" s="7" t="str">
        <f>IF(ISNUMBER($K820),INDEX(РАБОТЫ!$T$2:$T$1058,$K820),"")</f>
        <v/>
      </c>
      <c r="H820" s="7" t="str">
        <f t="shared" si="48"/>
        <v/>
      </c>
      <c r="I820" s="7" t="str">
        <f t="shared" si="49"/>
        <v/>
      </c>
      <c r="J820" s="7" t="str">
        <f t="shared" si="50"/>
        <v/>
      </c>
      <c r="K820" t="str">
        <f>IFERROR(MATCH(799,РАБОТЫ!$X$2:$X$1058,0),"")</f>
        <v/>
      </c>
      <c r="L820" t="str">
        <f>IFERROR(IF(INDEX(РАБОТЫ!$W$2:$W$1058,MATCH(799+1,РАБОТЫ!$X$2:$X$1058,0))=1,INDEX(РАБОТЫ!$V$2:$V$1058,MATCH(799+1,РАБОТЫ!$X$2:$X$1058,0)),""),"")</f>
        <v/>
      </c>
      <c r="M820" t="str">
        <f t="shared" si="51"/>
        <v/>
      </c>
    </row>
    <row r="821" spans="1:13" hidden="1" x14ac:dyDescent="0.3">
      <c r="A821" t="str">
        <f>IF(ISNUMBER($K821),INDEX(РАБОТЫ!$U$2:$U$1058,$K821),"")</f>
        <v/>
      </c>
      <c r="B821" t="str">
        <f>IF(ISNUMBER($K821),INDEX(РАБОТЫ!$A$2:$A$1058,$K821),"")</f>
        <v/>
      </c>
      <c r="C821" s="4" t="str">
        <f>IF($L821&lt;&gt;"",INDEX(РАБОТЫ!$Z$2:$Z$1058,MATCH($L821,РАБОТЫ!$V$2:$V$1058,0)),IF(ISNUMBER($K821),INDEX(РАБОТЫ!$Y$2:$Y$1058,$K821),""))</f>
        <v/>
      </c>
      <c r="D821" t="str">
        <f>IF(ISNUMBER($K821),INDEX(РАБОТЫ!$E$2:$E$1058,$K821),"")</f>
        <v/>
      </c>
      <c r="E821" t="str">
        <f>IF(ISNUMBER($K821),INDEX(РАБОТЫ!$M$2:$M$1058,$K821),"")</f>
        <v/>
      </c>
      <c r="F821" s="7" t="str">
        <f>IF(ISNUMBER($K821),INDEX(РАБОТЫ!$S$2:$S$1058,$K821),"")</f>
        <v/>
      </c>
      <c r="G821" s="7" t="str">
        <f>IF(ISNUMBER($K821),INDEX(РАБОТЫ!$T$2:$T$1058,$K821),"")</f>
        <v/>
      </c>
      <c r="H821" s="7" t="str">
        <f t="shared" si="48"/>
        <v/>
      </c>
      <c r="I821" s="7" t="str">
        <f t="shared" si="49"/>
        <v/>
      </c>
      <c r="J821" s="7" t="str">
        <f t="shared" si="50"/>
        <v/>
      </c>
      <c r="K821" t="str">
        <f>IFERROR(MATCH(800,РАБОТЫ!$X$2:$X$1058,0),"")</f>
        <v/>
      </c>
      <c r="L821" t="str">
        <f>IFERROR(IF(INDEX(РАБОТЫ!$W$2:$W$1058,MATCH(800+1,РАБОТЫ!$X$2:$X$1058,0))=1,INDEX(РАБОТЫ!$V$2:$V$1058,MATCH(800+1,РАБОТЫ!$X$2:$X$1058,0)),""),"")</f>
        <v/>
      </c>
      <c r="M821" t="str">
        <f t="shared" si="51"/>
        <v/>
      </c>
    </row>
    <row r="822" spans="1:13" hidden="1" x14ac:dyDescent="0.3">
      <c r="A822" t="str">
        <f>IF(ISNUMBER($K822),INDEX(РАБОТЫ!$U$2:$U$1058,$K822),"")</f>
        <v/>
      </c>
      <c r="B822" t="str">
        <f>IF(ISNUMBER($K822),INDEX(РАБОТЫ!$A$2:$A$1058,$K822),"")</f>
        <v/>
      </c>
      <c r="C822" s="4" t="str">
        <f>IF($L822&lt;&gt;"",INDEX(РАБОТЫ!$Z$2:$Z$1058,MATCH($L822,РАБОТЫ!$V$2:$V$1058,0)),IF(ISNUMBER($K822),INDEX(РАБОТЫ!$Y$2:$Y$1058,$K822),""))</f>
        <v/>
      </c>
      <c r="D822" t="str">
        <f>IF(ISNUMBER($K822),INDEX(РАБОТЫ!$E$2:$E$1058,$K822),"")</f>
        <v/>
      </c>
      <c r="E822" t="str">
        <f>IF(ISNUMBER($K822),INDEX(РАБОТЫ!$M$2:$M$1058,$K822),"")</f>
        <v/>
      </c>
      <c r="F822" s="7" t="str">
        <f>IF(ISNUMBER($K822),INDEX(РАБОТЫ!$S$2:$S$1058,$K822),"")</f>
        <v/>
      </c>
      <c r="G822" s="7" t="str">
        <f>IF(ISNUMBER($K822),INDEX(РАБОТЫ!$T$2:$T$1058,$K822),"")</f>
        <v/>
      </c>
      <c r="H822" s="7" t="str">
        <f t="shared" si="48"/>
        <v/>
      </c>
      <c r="I822" s="7" t="str">
        <f t="shared" si="49"/>
        <v/>
      </c>
      <c r="J822" s="7" t="str">
        <f t="shared" si="50"/>
        <v/>
      </c>
      <c r="K822" t="str">
        <f>IFERROR(MATCH(801,РАБОТЫ!$X$2:$X$1058,0),"")</f>
        <v/>
      </c>
      <c r="L822" t="str">
        <f>IFERROR(IF(INDEX(РАБОТЫ!$W$2:$W$1058,MATCH(801+1,РАБОТЫ!$X$2:$X$1058,0))=1,INDEX(РАБОТЫ!$V$2:$V$1058,MATCH(801+1,РАБОТЫ!$X$2:$X$1058,0)),""),"")</f>
        <v/>
      </c>
      <c r="M822" t="str">
        <f t="shared" si="51"/>
        <v/>
      </c>
    </row>
    <row r="823" spans="1:13" hidden="1" x14ac:dyDescent="0.3">
      <c r="A823" t="str">
        <f>IF(ISNUMBER($K823),INDEX(РАБОТЫ!$U$2:$U$1058,$K823),"")</f>
        <v/>
      </c>
      <c r="B823" t="str">
        <f>IF(ISNUMBER($K823),INDEX(РАБОТЫ!$A$2:$A$1058,$K823),"")</f>
        <v/>
      </c>
      <c r="C823" s="4" t="str">
        <f>IF($L823&lt;&gt;"",INDEX(РАБОТЫ!$Z$2:$Z$1058,MATCH($L823,РАБОТЫ!$V$2:$V$1058,0)),IF(ISNUMBER($K823),INDEX(РАБОТЫ!$Y$2:$Y$1058,$K823),""))</f>
        <v/>
      </c>
      <c r="D823" t="str">
        <f>IF(ISNUMBER($K823),INDEX(РАБОТЫ!$E$2:$E$1058,$K823),"")</f>
        <v/>
      </c>
      <c r="E823" t="str">
        <f>IF(ISNUMBER($K823),INDEX(РАБОТЫ!$M$2:$M$1058,$K823),"")</f>
        <v/>
      </c>
      <c r="F823" s="7" t="str">
        <f>IF(ISNUMBER($K823),INDEX(РАБОТЫ!$S$2:$S$1058,$K823),"")</f>
        <v/>
      </c>
      <c r="G823" s="7" t="str">
        <f>IF(ISNUMBER($K823),INDEX(РАБОТЫ!$T$2:$T$1058,$K823),"")</f>
        <v/>
      </c>
      <c r="H823" s="7" t="str">
        <f t="shared" si="48"/>
        <v/>
      </c>
      <c r="I823" s="7" t="str">
        <f t="shared" si="49"/>
        <v/>
      </c>
      <c r="J823" s="7" t="str">
        <f t="shared" si="50"/>
        <v/>
      </c>
      <c r="K823" t="str">
        <f>IFERROR(MATCH(802,РАБОТЫ!$X$2:$X$1058,0),"")</f>
        <v/>
      </c>
      <c r="L823" t="str">
        <f>IFERROR(IF(INDEX(РАБОТЫ!$W$2:$W$1058,MATCH(802+1,РАБОТЫ!$X$2:$X$1058,0))=1,INDEX(РАБОТЫ!$V$2:$V$1058,MATCH(802+1,РАБОТЫ!$X$2:$X$1058,0)),""),"")</f>
        <v/>
      </c>
      <c r="M823" t="str">
        <f t="shared" si="51"/>
        <v/>
      </c>
    </row>
    <row r="824" spans="1:13" hidden="1" x14ac:dyDescent="0.3">
      <c r="A824" t="str">
        <f>IF(ISNUMBER($K824),INDEX(РАБОТЫ!$U$2:$U$1058,$K824),"")</f>
        <v/>
      </c>
      <c r="B824" t="str">
        <f>IF(ISNUMBER($K824),INDEX(РАБОТЫ!$A$2:$A$1058,$K824),"")</f>
        <v/>
      </c>
      <c r="C824" s="4" t="str">
        <f>IF($L824&lt;&gt;"",INDEX(РАБОТЫ!$Z$2:$Z$1058,MATCH($L824,РАБОТЫ!$V$2:$V$1058,0)),IF(ISNUMBER($K824),INDEX(РАБОТЫ!$Y$2:$Y$1058,$K824),""))</f>
        <v/>
      </c>
      <c r="D824" t="str">
        <f>IF(ISNUMBER($K824),INDEX(РАБОТЫ!$E$2:$E$1058,$K824),"")</f>
        <v/>
      </c>
      <c r="E824" t="str">
        <f>IF(ISNUMBER($K824),INDEX(РАБОТЫ!$M$2:$M$1058,$K824),"")</f>
        <v/>
      </c>
      <c r="F824" s="7" t="str">
        <f>IF(ISNUMBER($K824),INDEX(РАБОТЫ!$S$2:$S$1058,$K824),"")</f>
        <v/>
      </c>
      <c r="G824" s="7" t="str">
        <f>IF(ISNUMBER($K824),INDEX(РАБОТЫ!$T$2:$T$1058,$K824),"")</f>
        <v/>
      </c>
      <c r="H824" s="7" t="str">
        <f t="shared" si="48"/>
        <v/>
      </c>
      <c r="I824" s="7" t="str">
        <f t="shared" si="49"/>
        <v/>
      </c>
      <c r="J824" s="7" t="str">
        <f t="shared" si="50"/>
        <v/>
      </c>
      <c r="K824" t="str">
        <f>IFERROR(MATCH(803,РАБОТЫ!$X$2:$X$1058,0),"")</f>
        <v/>
      </c>
      <c r="L824" t="str">
        <f>IFERROR(IF(INDEX(РАБОТЫ!$W$2:$W$1058,MATCH(803+1,РАБОТЫ!$X$2:$X$1058,0))=1,INDEX(РАБОТЫ!$V$2:$V$1058,MATCH(803+1,РАБОТЫ!$X$2:$X$1058,0)),""),"")</f>
        <v/>
      </c>
      <c r="M824" t="str">
        <f t="shared" si="51"/>
        <v/>
      </c>
    </row>
    <row r="825" spans="1:13" hidden="1" x14ac:dyDescent="0.3">
      <c r="A825" t="str">
        <f>IF(ISNUMBER($K825),INDEX(РАБОТЫ!$U$2:$U$1058,$K825),"")</f>
        <v/>
      </c>
      <c r="B825" t="str">
        <f>IF(ISNUMBER($K825),INDEX(РАБОТЫ!$A$2:$A$1058,$K825),"")</f>
        <v/>
      </c>
      <c r="C825" s="4" t="str">
        <f>IF($L825&lt;&gt;"",INDEX(РАБОТЫ!$Z$2:$Z$1058,MATCH($L825,РАБОТЫ!$V$2:$V$1058,0)),IF(ISNUMBER($K825),INDEX(РАБОТЫ!$Y$2:$Y$1058,$K825),""))</f>
        <v/>
      </c>
      <c r="D825" t="str">
        <f>IF(ISNUMBER($K825),INDEX(РАБОТЫ!$E$2:$E$1058,$K825),"")</f>
        <v/>
      </c>
      <c r="E825" t="str">
        <f>IF(ISNUMBER($K825),INDEX(РАБОТЫ!$M$2:$M$1058,$K825),"")</f>
        <v/>
      </c>
      <c r="F825" s="7" t="str">
        <f>IF(ISNUMBER($K825),INDEX(РАБОТЫ!$S$2:$S$1058,$K825),"")</f>
        <v/>
      </c>
      <c r="G825" s="7" t="str">
        <f>IF(ISNUMBER($K825),INDEX(РАБОТЫ!$T$2:$T$1058,$K825),"")</f>
        <v/>
      </c>
      <c r="H825" s="7" t="str">
        <f t="shared" si="48"/>
        <v/>
      </c>
      <c r="I825" s="7" t="str">
        <f t="shared" si="49"/>
        <v/>
      </c>
      <c r="J825" s="7" t="str">
        <f t="shared" si="50"/>
        <v/>
      </c>
      <c r="K825" t="str">
        <f>IFERROR(MATCH(804,РАБОТЫ!$X$2:$X$1058,0),"")</f>
        <v/>
      </c>
      <c r="L825" t="str">
        <f>IFERROR(IF(INDEX(РАБОТЫ!$W$2:$W$1058,MATCH(804+1,РАБОТЫ!$X$2:$X$1058,0))=1,INDEX(РАБОТЫ!$V$2:$V$1058,MATCH(804+1,РАБОТЫ!$X$2:$X$1058,0)),""),"")</f>
        <v/>
      </c>
      <c r="M825" t="str">
        <f t="shared" si="51"/>
        <v/>
      </c>
    </row>
    <row r="826" spans="1:13" hidden="1" x14ac:dyDescent="0.3">
      <c r="A826" t="str">
        <f>IF(ISNUMBER($K826),INDEX(РАБОТЫ!$U$2:$U$1058,$K826),"")</f>
        <v/>
      </c>
      <c r="B826" t="str">
        <f>IF(ISNUMBER($K826),INDEX(РАБОТЫ!$A$2:$A$1058,$K826),"")</f>
        <v/>
      </c>
      <c r="C826" s="4" t="str">
        <f>IF($L826&lt;&gt;"",INDEX(РАБОТЫ!$Z$2:$Z$1058,MATCH($L826,РАБОТЫ!$V$2:$V$1058,0)),IF(ISNUMBER($K826),INDEX(РАБОТЫ!$Y$2:$Y$1058,$K826),""))</f>
        <v/>
      </c>
      <c r="D826" t="str">
        <f>IF(ISNUMBER($K826),INDEX(РАБОТЫ!$E$2:$E$1058,$K826),"")</f>
        <v/>
      </c>
      <c r="E826" t="str">
        <f>IF(ISNUMBER($K826),INDEX(РАБОТЫ!$M$2:$M$1058,$K826),"")</f>
        <v/>
      </c>
      <c r="F826" s="7" t="str">
        <f>IF(ISNUMBER($K826),INDEX(РАБОТЫ!$S$2:$S$1058,$K826),"")</f>
        <v/>
      </c>
      <c r="G826" s="7" t="str">
        <f>IF(ISNUMBER($K826),INDEX(РАБОТЫ!$T$2:$T$1058,$K826),"")</f>
        <v/>
      </c>
      <c r="H826" s="7" t="str">
        <f t="shared" si="48"/>
        <v/>
      </c>
      <c r="I826" s="7" t="str">
        <f t="shared" si="49"/>
        <v/>
      </c>
      <c r="J826" s="7" t="str">
        <f t="shared" si="50"/>
        <v/>
      </c>
      <c r="K826" t="str">
        <f>IFERROR(MATCH(805,РАБОТЫ!$X$2:$X$1058,0),"")</f>
        <v/>
      </c>
      <c r="L826" t="str">
        <f>IFERROR(IF(INDEX(РАБОТЫ!$W$2:$W$1058,MATCH(805+1,РАБОТЫ!$X$2:$X$1058,0))=1,INDEX(РАБОТЫ!$V$2:$V$1058,MATCH(805+1,РАБОТЫ!$X$2:$X$1058,0)),""),"")</f>
        <v/>
      </c>
      <c r="M826" t="str">
        <f t="shared" si="51"/>
        <v/>
      </c>
    </row>
    <row r="827" spans="1:13" hidden="1" x14ac:dyDescent="0.3">
      <c r="A827" t="str">
        <f>IF(ISNUMBER($K827),INDEX(РАБОТЫ!$U$2:$U$1058,$K827),"")</f>
        <v/>
      </c>
      <c r="B827" t="str">
        <f>IF(ISNUMBER($K827),INDEX(РАБОТЫ!$A$2:$A$1058,$K827),"")</f>
        <v/>
      </c>
      <c r="C827" s="4" t="str">
        <f>IF($L827&lt;&gt;"",INDEX(РАБОТЫ!$Z$2:$Z$1058,MATCH($L827,РАБОТЫ!$V$2:$V$1058,0)),IF(ISNUMBER($K827),INDEX(РАБОТЫ!$Y$2:$Y$1058,$K827),""))</f>
        <v/>
      </c>
      <c r="D827" t="str">
        <f>IF(ISNUMBER($K827),INDEX(РАБОТЫ!$E$2:$E$1058,$K827),"")</f>
        <v/>
      </c>
      <c r="E827" t="str">
        <f>IF(ISNUMBER($K827),INDEX(РАБОТЫ!$M$2:$M$1058,$K827),"")</f>
        <v/>
      </c>
      <c r="F827" s="7" t="str">
        <f>IF(ISNUMBER($K827),INDEX(РАБОТЫ!$S$2:$S$1058,$K827),"")</f>
        <v/>
      </c>
      <c r="G827" s="7" t="str">
        <f>IF(ISNUMBER($K827),INDEX(РАБОТЫ!$T$2:$T$1058,$K827),"")</f>
        <v/>
      </c>
      <c r="H827" s="7" t="str">
        <f t="shared" si="48"/>
        <v/>
      </c>
      <c r="I827" s="7" t="str">
        <f t="shared" si="49"/>
        <v/>
      </c>
      <c r="J827" s="7" t="str">
        <f t="shared" si="50"/>
        <v/>
      </c>
      <c r="K827" t="str">
        <f>IFERROR(MATCH(806,РАБОТЫ!$X$2:$X$1058,0),"")</f>
        <v/>
      </c>
      <c r="L827" t="str">
        <f>IFERROR(IF(INDEX(РАБОТЫ!$W$2:$W$1058,MATCH(806+1,РАБОТЫ!$X$2:$X$1058,0))=1,INDEX(РАБОТЫ!$V$2:$V$1058,MATCH(806+1,РАБОТЫ!$X$2:$X$1058,0)),""),"")</f>
        <v/>
      </c>
      <c r="M827" t="str">
        <f t="shared" si="51"/>
        <v/>
      </c>
    </row>
    <row r="828" spans="1:13" hidden="1" x14ac:dyDescent="0.3">
      <c r="A828" t="str">
        <f>IF(ISNUMBER($K828),INDEX(РАБОТЫ!$U$2:$U$1058,$K828),"")</f>
        <v/>
      </c>
      <c r="B828" t="str">
        <f>IF(ISNUMBER($K828),INDEX(РАБОТЫ!$A$2:$A$1058,$K828),"")</f>
        <v/>
      </c>
      <c r="C828" s="4" t="str">
        <f>IF($L828&lt;&gt;"",INDEX(РАБОТЫ!$Z$2:$Z$1058,MATCH($L828,РАБОТЫ!$V$2:$V$1058,0)),IF(ISNUMBER($K828),INDEX(РАБОТЫ!$Y$2:$Y$1058,$K828),""))</f>
        <v/>
      </c>
      <c r="D828" t="str">
        <f>IF(ISNUMBER($K828),INDEX(РАБОТЫ!$E$2:$E$1058,$K828),"")</f>
        <v/>
      </c>
      <c r="E828" t="str">
        <f>IF(ISNUMBER($K828),INDEX(РАБОТЫ!$M$2:$M$1058,$K828),"")</f>
        <v/>
      </c>
      <c r="F828" s="7" t="str">
        <f>IF(ISNUMBER($K828),INDEX(РАБОТЫ!$S$2:$S$1058,$K828),"")</f>
        <v/>
      </c>
      <c r="G828" s="7" t="str">
        <f>IF(ISNUMBER($K828),INDEX(РАБОТЫ!$T$2:$T$1058,$K828),"")</f>
        <v/>
      </c>
      <c r="H828" s="7" t="str">
        <f t="shared" si="48"/>
        <v/>
      </c>
      <c r="I828" s="7" t="str">
        <f t="shared" si="49"/>
        <v/>
      </c>
      <c r="J828" s="7" t="str">
        <f t="shared" si="50"/>
        <v/>
      </c>
      <c r="K828" t="str">
        <f>IFERROR(MATCH(807,РАБОТЫ!$X$2:$X$1058,0),"")</f>
        <v/>
      </c>
      <c r="L828" t="str">
        <f>IFERROR(IF(INDEX(РАБОТЫ!$W$2:$W$1058,MATCH(807+1,РАБОТЫ!$X$2:$X$1058,0))=1,INDEX(РАБОТЫ!$V$2:$V$1058,MATCH(807+1,РАБОТЫ!$X$2:$X$1058,0)),""),"")</f>
        <v/>
      </c>
      <c r="M828" t="str">
        <f t="shared" si="51"/>
        <v/>
      </c>
    </row>
    <row r="829" spans="1:13" hidden="1" x14ac:dyDescent="0.3">
      <c r="A829" t="str">
        <f>IF(ISNUMBER($K829),INDEX(РАБОТЫ!$U$2:$U$1058,$K829),"")</f>
        <v/>
      </c>
      <c r="B829" t="str">
        <f>IF(ISNUMBER($K829),INDEX(РАБОТЫ!$A$2:$A$1058,$K829),"")</f>
        <v/>
      </c>
      <c r="C829" s="4" t="str">
        <f>IF($L829&lt;&gt;"",INDEX(РАБОТЫ!$Z$2:$Z$1058,MATCH($L829,РАБОТЫ!$V$2:$V$1058,0)),IF(ISNUMBER($K829),INDEX(РАБОТЫ!$Y$2:$Y$1058,$K829),""))</f>
        <v/>
      </c>
      <c r="D829" t="str">
        <f>IF(ISNUMBER($K829),INDEX(РАБОТЫ!$E$2:$E$1058,$K829),"")</f>
        <v/>
      </c>
      <c r="E829" t="str">
        <f>IF(ISNUMBER($K829),INDEX(РАБОТЫ!$M$2:$M$1058,$K829),"")</f>
        <v/>
      </c>
      <c r="F829" s="7" t="str">
        <f>IF(ISNUMBER($K829),INDEX(РАБОТЫ!$S$2:$S$1058,$K829),"")</f>
        <v/>
      </c>
      <c r="G829" s="7" t="str">
        <f>IF(ISNUMBER($K829),INDEX(РАБОТЫ!$T$2:$T$1058,$K829),"")</f>
        <v/>
      </c>
      <c r="H829" s="7" t="str">
        <f t="shared" si="48"/>
        <v/>
      </c>
      <c r="I829" s="7" t="str">
        <f t="shared" si="49"/>
        <v/>
      </c>
      <c r="J829" s="7" t="str">
        <f t="shared" si="50"/>
        <v/>
      </c>
      <c r="K829" t="str">
        <f>IFERROR(MATCH(808,РАБОТЫ!$X$2:$X$1058,0),"")</f>
        <v/>
      </c>
      <c r="L829" t="str">
        <f>IFERROR(IF(INDEX(РАБОТЫ!$W$2:$W$1058,MATCH(808+1,РАБОТЫ!$X$2:$X$1058,0))=1,INDEX(РАБОТЫ!$V$2:$V$1058,MATCH(808+1,РАБОТЫ!$X$2:$X$1058,0)),""),"")</f>
        <v/>
      </c>
      <c r="M829" t="str">
        <f t="shared" si="51"/>
        <v/>
      </c>
    </row>
    <row r="830" spans="1:13" hidden="1" x14ac:dyDescent="0.3">
      <c r="A830" t="str">
        <f>IF(ISNUMBER($K830),INDEX(РАБОТЫ!$U$2:$U$1058,$K830),"")</f>
        <v/>
      </c>
      <c r="B830" t="str">
        <f>IF(ISNUMBER($K830),INDEX(РАБОТЫ!$A$2:$A$1058,$K830),"")</f>
        <v/>
      </c>
      <c r="C830" s="4" t="str">
        <f>IF($L830&lt;&gt;"",INDEX(РАБОТЫ!$Z$2:$Z$1058,MATCH($L830,РАБОТЫ!$V$2:$V$1058,0)),IF(ISNUMBER($K830),INDEX(РАБОТЫ!$Y$2:$Y$1058,$K830),""))</f>
        <v/>
      </c>
      <c r="D830" t="str">
        <f>IF(ISNUMBER($K830),INDEX(РАБОТЫ!$E$2:$E$1058,$K830),"")</f>
        <v/>
      </c>
      <c r="E830" t="str">
        <f>IF(ISNUMBER($K830),INDEX(РАБОТЫ!$M$2:$M$1058,$K830),"")</f>
        <v/>
      </c>
      <c r="F830" s="7" t="str">
        <f>IF(ISNUMBER($K830),INDEX(РАБОТЫ!$S$2:$S$1058,$K830),"")</f>
        <v/>
      </c>
      <c r="G830" s="7" t="str">
        <f>IF(ISNUMBER($K830),INDEX(РАБОТЫ!$T$2:$T$1058,$K830),"")</f>
        <v/>
      </c>
      <c r="H830" s="7" t="str">
        <f t="shared" si="48"/>
        <v/>
      </c>
      <c r="I830" s="7" t="str">
        <f t="shared" si="49"/>
        <v/>
      </c>
      <c r="J830" s="7" t="str">
        <f t="shared" si="50"/>
        <v/>
      </c>
      <c r="K830" t="str">
        <f>IFERROR(MATCH(809,РАБОТЫ!$X$2:$X$1058,0),"")</f>
        <v/>
      </c>
      <c r="L830" t="str">
        <f>IFERROR(IF(INDEX(РАБОТЫ!$W$2:$W$1058,MATCH(809+1,РАБОТЫ!$X$2:$X$1058,0))=1,INDEX(РАБОТЫ!$V$2:$V$1058,MATCH(809+1,РАБОТЫ!$X$2:$X$1058,0)),""),"")</f>
        <v/>
      </c>
      <c r="M830" t="str">
        <f t="shared" si="51"/>
        <v/>
      </c>
    </row>
    <row r="831" spans="1:13" hidden="1" x14ac:dyDescent="0.3">
      <c r="A831" t="str">
        <f>IF(ISNUMBER($K831),INDEX(РАБОТЫ!$U$2:$U$1058,$K831),"")</f>
        <v/>
      </c>
      <c r="B831" t="str">
        <f>IF(ISNUMBER($K831),INDEX(РАБОТЫ!$A$2:$A$1058,$K831),"")</f>
        <v/>
      </c>
      <c r="C831" s="4" t="str">
        <f>IF($L831&lt;&gt;"",INDEX(РАБОТЫ!$Z$2:$Z$1058,MATCH($L831,РАБОТЫ!$V$2:$V$1058,0)),IF(ISNUMBER($K831),INDEX(РАБОТЫ!$Y$2:$Y$1058,$K831),""))</f>
        <v/>
      </c>
      <c r="D831" t="str">
        <f>IF(ISNUMBER($K831),INDEX(РАБОТЫ!$E$2:$E$1058,$K831),"")</f>
        <v/>
      </c>
      <c r="E831" t="str">
        <f>IF(ISNUMBER($K831),INDEX(РАБОТЫ!$M$2:$M$1058,$K831),"")</f>
        <v/>
      </c>
      <c r="F831" s="7" t="str">
        <f>IF(ISNUMBER($K831),INDEX(РАБОТЫ!$S$2:$S$1058,$K831),"")</f>
        <v/>
      </c>
      <c r="G831" s="7" t="str">
        <f>IF(ISNUMBER($K831),INDEX(РАБОТЫ!$T$2:$T$1058,$K831),"")</f>
        <v/>
      </c>
      <c r="H831" s="7" t="str">
        <f t="shared" si="48"/>
        <v/>
      </c>
      <c r="I831" s="7" t="str">
        <f t="shared" si="49"/>
        <v/>
      </c>
      <c r="J831" s="7" t="str">
        <f t="shared" si="50"/>
        <v/>
      </c>
      <c r="K831" t="str">
        <f>IFERROR(MATCH(810,РАБОТЫ!$X$2:$X$1058,0),"")</f>
        <v/>
      </c>
      <c r="L831" t="str">
        <f>IFERROR(IF(INDEX(РАБОТЫ!$W$2:$W$1058,MATCH(810+1,РАБОТЫ!$X$2:$X$1058,0))=1,INDEX(РАБОТЫ!$V$2:$V$1058,MATCH(810+1,РАБОТЫ!$X$2:$X$1058,0)),""),"")</f>
        <v/>
      </c>
      <c r="M831" t="str">
        <f t="shared" si="51"/>
        <v/>
      </c>
    </row>
    <row r="832" spans="1:13" hidden="1" x14ac:dyDescent="0.3">
      <c r="A832" t="str">
        <f>IF(ISNUMBER($K832),INDEX(РАБОТЫ!$U$2:$U$1058,$K832),"")</f>
        <v/>
      </c>
      <c r="B832" t="str">
        <f>IF(ISNUMBER($K832),INDEX(РАБОТЫ!$A$2:$A$1058,$K832),"")</f>
        <v/>
      </c>
      <c r="C832" s="4" t="str">
        <f>IF($L832&lt;&gt;"",INDEX(РАБОТЫ!$Z$2:$Z$1058,MATCH($L832,РАБОТЫ!$V$2:$V$1058,0)),IF(ISNUMBER($K832),INDEX(РАБОТЫ!$Y$2:$Y$1058,$K832),""))</f>
        <v/>
      </c>
      <c r="D832" t="str">
        <f>IF(ISNUMBER($K832),INDEX(РАБОТЫ!$E$2:$E$1058,$K832),"")</f>
        <v/>
      </c>
      <c r="E832" t="str">
        <f>IF(ISNUMBER($K832),INDEX(РАБОТЫ!$M$2:$M$1058,$K832),"")</f>
        <v/>
      </c>
      <c r="F832" s="7" t="str">
        <f>IF(ISNUMBER($K832),INDEX(РАБОТЫ!$S$2:$S$1058,$K832),"")</f>
        <v/>
      </c>
      <c r="G832" s="7" t="str">
        <f>IF(ISNUMBER($K832),INDEX(РАБОТЫ!$T$2:$T$1058,$K832),"")</f>
        <v/>
      </c>
      <c r="H832" s="7" t="str">
        <f t="shared" si="48"/>
        <v/>
      </c>
      <c r="I832" s="7" t="str">
        <f t="shared" si="49"/>
        <v/>
      </c>
      <c r="J832" s="7" t="str">
        <f t="shared" si="50"/>
        <v/>
      </c>
      <c r="K832" t="str">
        <f>IFERROR(MATCH(811,РАБОТЫ!$X$2:$X$1058,0),"")</f>
        <v/>
      </c>
      <c r="L832" t="str">
        <f>IFERROR(IF(INDEX(РАБОТЫ!$W$2:$W$1058,MATCH(811+1,РАБОТЫ!$X$2:$X$1058,0))=1,INDEX(РАБОТЫ!$V$2:$V$1058,MATCH(811+1,РАБОТЫ!$X$2:$X$1058,0)),""),"")</f>
        <v/>
      </c>
      <c r="M832" t="str">
        <f t="shared" si="51"/>
        <v/>
      </c>
    </row>
    <row r="833" spans="1:13" hidden="1" x14ac:dyDescent="0.3">
      <c r="A833" t="str">
        <f>IF(ISNUMBER($K833),INDEX(РАБОТЫ!$U$2:$U$1058,$K833),"")</f>
        <v/>
      </c>
      <c r="B833" t="str">
        <f>IF(ISNUMBER($K833),INDEX(РАБОТЫ!$A$2:$A$1058,$K833),"")</f>
        <v/>
      </c>
      <c r="C833" s="4" t="str">
        <f>IF($L833&lt;&gt;"",INDEX(РАБОТЫ!$Z$2:$Z$1058,MATCH($L833,РАБОТЫ!$V$2:$V$1058,0)),IF(ISNUMBER($K833),INDEX(РАБОТЫ!$Y$2:$Y$1058,$K833),""))</f>
        <v/>
      </c>
      <c r="D833" t="str">
        <f>IF(ISNUMBER($K833),INDEX(РАБОТЫ!$E$2:$E$1058,$K833),"")</f>
        <v/>
      </c>
      <c r="E833" t="str">
        <f>IF(ISNUMBER($K833),INDEX(РАБОТЫ!$M$2:$M$1058,$K833),"")</f>
        <v/>
      </c>
      <c r="F833" s="7" t="str">
        <f>IF(ISNUMBER($K833),INDEX(РАБОТЫ!$S$2:$S$1058,$K833),"")</f>
        <v/>
      </c>
      <c r="G833" s="7" t="str">
        <f>IF(ISNUMBER($K833),INDEX(РАБОТЫ!$T$2:$T$1058,$K833),"")</f>
        <v/>
      </c>
      <c r="H833" s="7" t="str">
        <f t="shared" si="48"/>
        <v/>
      </c>
      <c r="I833" s="7" t="str">
        <f t="shared" si="49"/>
        <v/>
      </c>
      <c r="J833" s="7" t="str">
        <f t="shared" si="50"/>
        <v/>
      </c>
      <c r="K833" t="str">
        <f>IFERROR(MATCH(812,РАБОТЫ!$X$2:$X$1058,0),"")</f>
        <v/>
      </c>
      <c r="L833" t="str">
        <f>IFERROR(IF(INDEX(РАБОТЫ!$W$2:$W$1058,MATCH(812+1,РАБОТЫ!$X$2:$X$1058,0))=1,INDEX(РАБОТЫ!$V$2:$V$1058,MATCH(812+1,РАБОТЫ!$X$2:$X$1058,0)),""),"")</f>
        <v/>
      </c>
      <c r="M833" t="str">
        <f t="shared" si="51"/>
        <v/>
      </c>
    </row>
    <row r="834" spans="1:13" hidden="1" x14ac:dyDescent="0.3">
      <c r="A834" t="str">
        <f>IF(ISNUMBER($K834),INDEX(РАБОТЫ!$U$2:$U$1058,$K834),"")</f>
        <v/>
      </c>
      <c r="B834" t="str">
        <f>IF(ISNUMBER($K834),INDEX(РАБОТЫ!$A$2:$A$1058,$K834),"")</f>
        <v/>
      </c>
      <c r="C834" s="4" t="str">
        <f>IF($L834&lt;&gt;"",INDEX(РАБОТЫ!$Z$2:$Z$1058,MATCH($L834,РАБОТЫ!$V$2:$V$1058,0)),IF(ISNUMBER($K834),INDEX(РАБОТЫ!$Y$2:$Y$1058,$K834),""))</f>
        <v/>
      </c>
      <c r="D834" t="str">
        <f>IF(ISNUMBER($K834),INDEX(РАБОТЫ!$E$2:$E$1058,$K834),"")</f>
        <v/>
      </c>
      <c r="E834" t="str">
        <f>IF(ISNUMBER($K834),INDEX(РАБОТЫ!$M$2:$M$1058,$K834),"")</f>
        <v/>
      </c>
      <c r="F834" s="7" t="str">
        <f>IF(ISNUMBER($K834),INDEX(РАБОТЫ!$S$2:$S$1058,$K834),"")</f>
        <v/>
      </c>
      <c r="G834" s="7" t="str">
        <f>IF(ISNUMBER($K834),INDEX(РАБОТЫ!$T$2:$T$1058,$K834),"")</f>
        <v/>
      </c>
      <c r="H834" s="7" t="str">
        <f t="shared" si="48"/>
        <v/>
      </c>
      <c r="I834" s="7" t="str">
        <f t="shared" si="49"/>
        <v/>
      </c>
      <c r="J834" s="7" t="str">
        <f t="shared" si="50"/>
        <v/>
      </c>
      <c r="K834" t="str">
        <f>IFERROR(MATCH(813,РАБОТЫ!$X$2:$X$1058,0),"")</f>
        <v/>
      </c>
      <c r="L834" t="str">
        <f>IFERROR(IF(INDEX(РАБОТЫ!$W$2:$W$1058,MATCH(813+1,РАБОТЫ!$X$2:$X$1058,0))=1,INDEX(РАБОТЫ!$V$2:$V$1058,MATCH(813+1,РАБОТЫ!$X$2:$X$1058,0)),""),"")</f>
        <v/>
      </c>
      <c r="M834" t="str">
        <f t="shared" si="51"/>
        <v/>
      </c>
    </row>
    <row r="835" spans="1:13" hidden="1" x14ac:dyDescent="0.3">
      <c r="A835" t="str">
        <f>IF(ISNUMBER($K835),INDEX(РАБОТЫ!$U$2:$U$1058,$K835),"")</f>
        <v/>
      </c>
      <c r="B835" t="str">
        <f>IF(ISNUMBER($K835),INDEX(РАБОТЫ!$A$2:$A$1058,$K835),"")</f>
        <v/>
      </c>
      <c r="C835" s="4" t="str">
        <f>IF($L835&lt;&gt;"",INDEX(РАБОТЫ!$Z$2:$Z$1058,MATCH($L835,РАБОТЫ!$V$2:$V$1058,0)),IF(ISNUMBER($K835),INDEX(РАБОТЫ!$Y$2:$Y$1058,$K835),""))</f>
        <v/>
      </c>
      <c r="D835" t="str">
        <f>IF(ISNUMBER($K835),INDEX(РАБОТЫ!$E$2:$E$1058,$K835),"")</f>
        <v/>
      </c>
      <c r="E835" t="str">
        <f>IF(ISNUMBER($K835),INDEX(РАБОТЫ!$M$2:$M$1058,$K835),"")</f>
        <v/>
      </c>
      <c r="F835" s="7" t="str">
        <f>IF(ISNUMBER($K835),INDEX(РАБОТЫ!$S$2:$S$1058,$K835),"")</f>
        <v/>
      </c>
      <c r="G835" s="7" t="str">
        <f>IF(ISNUMBER($K835),INDEX(РАБОТЫ!$T$2:$T$1058,$K835),"")</f>
        <v/>
      </c>
      <c r="H835" s="7" t="str">
        <f t="shared" si="48"/>
        <v/>
      </c>
      <c r="I835" s="7" t="str">
        <f t="shared" si="49"/>
        <v/>
      </c>
      <c r="J835" s="7" t="str">
        <f t="shared" si="50"/>
        <v/>
      </c>
      <c r="K835" t="str">
        <f>IFERROR(MATCH(814,РАБОТЫ!$X$2:$X$1058,0),"")</f>
        <v/>
      </c>
      <c r="L835" t="str">
        <f>IFERROR(IF(INDEX(РАБОТЫ!$W$2:$W$1058,MATCH(814+1,РАБОТЫ!$X$2:$X$1058,0))=1,INDEX(РАБОТЫ!$V$2:$V$1058,MATCH(814+1,РАБОТЫ!$X$2:$X$1058,0)),""),"")</f>
        <v/>
      </c>
      <c r="M835" t="str">
        <f t="shared" si="51"/>
        <v/>
      </c>
    </row>
    <row r="836" spans="1:13" hidden="1" x14ac:dyDescent="0.3">
      <c r="A836" t="str">
        <f>IF(ISNUMBER($K836),INDEX(РАБОТЫ!$U$2:$U$1058,$K836),"")</f>
        <v/>
      </c>
      <c r="B836" t="str">
        <f>IF(ISNUMBER($K836),INDEX(РАБОТЫ!$A$2:$A$1058,$K836),"")</f>
        <v/>
      </c>
      <c r="C836" s="4" t="str">
        <f>IF($L836&lt;&gt;"",INDEX(РАБОТЫ!$Z$2:$Z$1058,MATCH($L836,РАБОТЫ!$V$2:$V$1058,0)),IF(ISNUMBER($K836),INDEX(РАБОТЫ!$Y$2:$Y$1058,$K836),""))</f>
        <v/>
      </c>
      <c r="D836" t="str">
        <f>IF(ISNUMBER($K836),INDEX(РАБОТЫ!$E$2:$E$1058,$K836),"")</f>
        <v/>
      </c>
      <c r="E836" t="str">
        <f>IF(ISNUMBER($K836),INDEX(РАБОТЫ!$M$2:$M$1058,$K836),"")</f>
        <v/>
      </c>
      <c r="F836" s="7" t="str">
        <f>IF(ISNUMBER($K836),INDEX(РАБОТЫ!$S$2:$S$1058,$K836),"")</f>
        <v/>
      </c>
      <c r="G836" s="7" t="str">
        <f>IF(ISNUMBER($K836),INDEX(РАБОТЫ!$T$2:$T$1058,$K836),"")</f>
        <v/>
      </c>
      <c r="H836" s="7" t="str">
        <f t="shared" si="48"/>
        <v/>
      </c>
      <c r="I836" s="7" t="str">
        <f t="shared" si="49"/>
        <v/>
      </c>
      <c r="J836" s="7" t="str">
        <f t="shared" si="50"/>
        <v/>
      </c>
      <c r="K836" t="str">
        <f>IFERROR(MATCH(815,РАБОТЫ!$X$2:$X$1058,0),"")</f>
        <v/>
      </c>
      <c r="L836" t="str">
        <f>IFERROR(IF(INDEX(РАБОТЫ!$W$2:$W$1058,MATCH(815+1,РАБОТЫ!$X$2:$X$1058,0))=1,INDEX(РАБОТЫ!$V$2:$V$1058,MATCH(815+1,РАБОТЫ!$X$2:$X$1058,0)),""),"")</f>
        <v/>
      </c>
      <c r="M836" t="str">
        <f t="shared" si="51"/>
        <v/>
      </c>
    </row>
    <row r="837" spans="1:13" hidden="1" x14ac:dyDescent="0.3">
      <c r="A837" t="str">
        <f>IF(ISNUMBER($K837),INDEX(РАБОТЫ!$U$2:$U$1058,$K837),"")</f>
        <v/>
      </c>
      <c r="B837" t="str">
        <f>IF(ISNUMBER($K837),INDEX(РАБОТЫ!$A$2:$A$1058,$K837),"")</f>
        <v/>
      </c>
      <c r="C837" s="4" t="str">
        <f>IF($L837&lt;&gt;"",INDEX(РАБОТЫ!$Z$2:$Z$1058,MATCH($L837,РАБОТЫ!$V$2:$V$1058,0)),IF(ISNUMBER($K837),INDEX(РАБОТЫ!$Y$2:$Y$1058,$K837),""))</f>
        <v/>
      </c>
      <c r="D837" t="str">
        <f>IF(ISNUMBER($K837),INDEX(РАБОТЫ!$E$2:$E$1058,$K837),"")</f>
        <v/>
      </c>
      <c r="E837" t="str">
        <f>IF(ISNUMBER($K837),INDEX(РАБОТЫ!$M$2:$M$1058,$K837),"")</f>
        <v/>
      </c>
      <c r="F837" s="7" t="str">
        <f>IF(ISNUMBER($K837),INDEX(РАБОТЫ!$S$2:$S$1058,$K837),"")</f>
        <v/>
      </c>
      <c r="G837" s="7" t="str">
        <f>IF(ISNUMBER($K837),INDEX(РАБОТЫ!$T$2:$T$1058,$K837),"")</f>
        <v/>
      </c>
      <c r="H837" s="7" t="str">
        <f t="shared" si="48"/>
        <v/>
      </c>
      <c r="I837" s="7" t="str">
        <f t="shared" si="49"/>
        <v/>
      </c>
      <c r="J837" s="7" t="str">
        <f t="shared" si="50"/>
        <v/>
      </c>
      <c r="K837" t="str">
        <f>IFERROR(MATCH(816,РАБОТЫ!$X$2:$X$1058,0),"")</f>
        <v/>
      </c>
      <c r="L837" t="str">
        <f>IFERROR(IF(INDEX(РАБОТЫ!$W$2:$W$1058,MATCH(816+1,РАБОТЫ!$X$2:$X$1058,0))=1,INDEX(РАБОТЫ!$V$2:$V$1058,MATCH(816+1,РАБОТЫ!$X$2:$X$1058,0)),""),"")</f>
        <v/>
      </c>
      <c r="M837" t="str">
        <f t="shared" si="51"/>
        <v/>
      </c>
    </row>
    <row r="838" spans="1:13" hidden="1" x14ac:dyDescent="0.3">
      <c r="A838" t="str">
        <f>IF(ISNUMBER($K838),INDEX(РАБОТЫ!$U$2:$U$1058,$K838),"")</f>
        <v/>
      </c>
      <c r="B838" t="str">
        <f>IF(ISNUMBER($K838),INDEX(РАБОТЫ!$A$2:$A$1058,$K838),"")</f>
        <v/>
      </c>
      <c r="C838" s="4" t="str">
        <f>IF($L838&lt;&gt;"",INDEX(РАБОТЫ!$Z$2:$Z$1058,MATCH($L838,РАБОТЫ!$V$2:$V$1058,0)),IF(ISNUMBER($K838),INDEX(РАБОТЫ!$Y$2:$Y$1058,$K838),""))</f>
        <v/>
      </c>
      <c r="D838" t="str">
        <f>IF(ISNUMBER($K838),INDEX(РАБОТЫ!$E$2:$E$1058,$K838),"")</f>
        <v/>
      </c>
      <c r="E838" t="str">
        <f>IF(ISNUMBER($K838),INDEX(РАБОТЫ!$M$2:$M$1058,$K838),"")</f>
        <v/>
      </c>
      <c r="F838" s="7" t="str">
        <f>IF(ISNUMBER($K838),INDEX(РАБОТЫ!$S$2:$S$1058,$K838),"")</f>
        <v/>
      </c>
      <c r="G838" s="7" t="str">
        <f>IF(ISNUMBER($K838),INDEX(РАБОТЫ!$T$2:$T$1058,$K838),"")</f>
        <v/>
      </c>
      <c r="H838" s="7" t="str">
        <f t="shared" si="48"/>
        <v/>
      </c>
      <c r="I838" s="7" t="str">
        <f t="shared" si="49"/>
        <v/>
      </c>
      <c r="J838" s="7" t="str">
        <f t="shared" si="50"/>
        <v/>
      </c>
      <c r="K838" t="str">
        <f>IFERROR(MATCH(817,РАБОТЫ!$X$2:$X$1058,0),"")</f>
        <v/>
      </c>
      <c r="L838" t="str">
        <f>IFERROR(IF(INDEX(РАБОТЫ!$W$2:$W$1058,MATCH(817+1,РАБОТЫ!$X$2:$X$1058,0))=1,INDEX(РАБОТЫ!$V$2:$V$1058,MATCH(817+1,РАБОТЫ!$X$2:$X$1058,0)),""),"")</f>
        <v/>
      </c>
      <c r="M838" t="str">
        <f t="shared" si="51"/>
        <v/>
      </c>
    </row>
    <row r="839" spans="1:13" hidden="1" x14ac:dyDescent="0.3">
      <c r="A839" t="str">
        <f>IF(ISNUMBER($K839),INDEX(РАБОТЫ!$U$2:$U$1058,$K839),"")</f>
        <v/>
      </c>
      <c r="B839" t="str">
        <f>IF(ISNUMBER($K839),INDEX(РАБОТЫ!$A$2:$A$1058,$K839),"")</f>
        <v/>
      </c>
      <c r="C839" s="4" t="str">
        <f>IF($L839&lt;&gt;"",INDEX(РАБОТЫ!$Z$2:$Z$1058,MATCH($L839,РАБОТЫ!$V$2:$V$1058,0)),IF(ISNUMBER($K839),INDEX(РАБОТЫ!$Y$2:$Y$1058,$K839),""))</f>
        <v/>
      </c>
      <c r="D839" t="str">
        <f>IF(ISNUMBER($K839),INDEX(РАБОТЫ!$E$2:$E$1058,$K839),"")</f>
        <v/>
      </c>
      <c r="E839" t="str">
        <f>IF(ISNUMBER($K839),INDEX(РАБОТЫ!$M$2:$M$1058,$K839),"")</f>
        <v/>
      </c>
      <c r="F839" s="7" t="str">
        <f>IF(ISNUMBER($K839),INDEX(РАБОТЫ!$S$2:$S$1058,$K839),"")</f>
        <v/>
      </c>
      <c r="G839" s="7" t="str">
        <f>IF(ISNUMBER($K839),INDEX(РАБОТЫ!$T$2:$T$1058,$K839),"")</f>
        <v/>
      </c>
      <c r="H839" s="7" t="str">
        <f t="shared" si="48"/>
        <v/>
      </c>
      <c r="I839" s="7" t="str">
        <f t="shared" si="49"/>
        <v/>
      </c>
      <c r="J839" s="7" t="str">
        <f t="shared" si="50"/>
        <v/>
      </c>
      <c r="K839" t="str">
        <f>IFERROR(MATCH(818,РАБОТЫ!$X$2:$X$1058,0),"")</f>
        <v/>
      </c>
      <c r="L839" t="str">
        <f>IFERROR(IF(INDEX(РАБОТЫ!$W$2:$W$1058,MATCH(818+1,РАБОТЫ!$X$2:$X$1058,0))=1,INDEX(РАБОТЫ!$V$2:$V$1058,MATCH(818+1,РАБОТЫ!$X$2:$X$1058,0)),""),"")</f>
        <v/>
      </c>
      <c r="M839" t="str">
        <f t="shared" si="51"/>
        <v/>
      </c>
    </row>
    <row r="840" spans="1:13" hidden="1" x14ac:dyDescent="0.3">
      <c r="A840" t="str">
        <f>IF(ISNUMBER($K840),INDEX(РАБОТЫ!$U$2:$U$1058,$K840),"")</f>
        <v/>
      </c>
      <c r="B840" t="str">
        <f>IF(ISNUMBER($K840),INDEX(РАБОТЫ!$A$2:$A$1058,$K840),"")</f>
        <v/>
      </c>
      <c r="C840" s="4" t="str">
        <f>IF($L840&lt;&gt;"",INDEX(РАБОТЫ!$Z$2:$Z$1058,MATCH($L840,РАБОТЫ!$V$2:$V$1058,0)),IF(ISNUMBER($K840),INDEX(РАБОТЫ!$Y$2:$Y$1058,$K840),""))</f>
        <v/>
      </c>
      <c r="D840" t="str">
        <f>IF(ISNUMBER($K840),INDEX(РАБОТЫ!$E$2:$E$1058,$K840),"")</f>
        <v/>
      </c>
      <c r="E840" t="str">
        <f>IF(ISNUMBER($K840),INDEX(РАБОТЫ!$M$2:$M$1058,$K840),"")</f>
        <v/>
      </c>
      <c r="F840" s="7" t="str">
        <f>IF(ISNUMBER($K840),INDEX(РАБОТЫ!$S$2:$S$1058,$K840),"")</f>
        <v/>
      </c>
      <c r="G840" s="7" t="str">
        <f>IF(ISNUMBER($K840),INDEX(РАБОТЫ!$T$2:$T$1058,$K840),"")</f>
        <v/>
      </c>
      <c r="H840" s="7" t="str">
        <f t="shared" si="48"/>
        <v/>
      </c>
      <c r="I840" s="7" t="str">
        <f t="shared" si="49"/>
        <v/>
      </c>
      <c r="J840" s="7" t="str">
        <f t="shared" si="50"/>
        <v/>
      </c>
      <c r="K840" t="str">
        <f>IFERROR(MATCH(819,РАБОТЫ!$X$2:$X$1058,0),"")</f>
        <v/>
      </c>
      <c r="L840" t="str">
        <f>IFERROR(IF(INDEX(РАБОТЫ!$W$2:$W$1058,MATCH(819+1,РАБОТЫ!$X$2:$X$1058,0))=1,INDEX(РАБОТЫ!$V$2:$V$1058,MATCH(819+1,РАБОТЫ!$X$2:$X$1058,0)),""),"")</f>
        <v/>
      </c>
      <c r="M840" t="str">
        <f t="shared" si="51"/>
        <v/>
      </c>
    </row>
    <row r="841" spans="1:13" hidden="1" x14ac:dyDescent="0.3">
      <c r="A841" t="str">
        <f>IF(ISNUMBER($K841),INDEX(РАБОТЫ!$U$2:$U$1058,$K841),"")</f>
        <v/>
      </c>
      <c r="B841" t="str">
        <f>IF(ISNUMBER($K841),INDEX(РАБОТЫ!$A$2:$A$1058,$K841),"")</f>
        <v/>
      </c>
      <c r="C841" s="4" t="str">
        <f>IF($L841&lt;&gt;"",INDEX(РАБОТЫ!$Z$2:$Z$1058,MATCH($L841,РАБОТЫ!$V$2:$V$1058,0)),IF(ISNUMBER($K841),INDEX(РАБОТЫ!$Y$2:$Y$1058,$K841),""))</f>
        <v/>
      </c>
      <c r="D841" t="str">
        <f>IF(ISNUMBER($K841),INDEX(РАБОТЫ!$E$2:$E$1058,$K841),"")</f>
        <v/>
      </c>
      <c r="E841" t="str">
        <f>IF(ISNUMBER($K841),INDEX(РАБОТЫ!$M$2:$M$1058,$K841),"")</f>
        <v/>
      </c>
      <c r="F841" s="7" t="str">
        <f>IF(ISNUMBER($K841),INDEX(РАБОТЫ!$S$2:$S$1058,$K841),"")</f>
        <v/>
      </c>
      <c r="G841" s="7" t="str">
        <f>IF(ISNUMBER($K841),INDEX(РАБОТЫ!$T$2:$T$1058,$K841),"")</f>
        <v/>
      </c>
      <c r="H841" s="7" t="str">
        <f t="shared" si="48"/>
        <v/>
      </c>
      <c r="I841" s="7" t="str">
        <f t="shared" si="49"/>
        <v/>
      </c>
      <c r="J841" s="7" t="str">
        <f t="shared" si="50"/>
        <v/>
      </c>
      <c r="K841" t="str">
        <f>IFERROR(MATCH(820,РАБОТЫ!$X$2:$X$1058,0),"")</f>
        <v/>
      </c>
      <c r="L841" t="str">
        <f>IFERROR(IF(INDEX(РАБОТЫ!$W$2:$W$1058,MATCH(820+1,РАБОТЫ!$X$2:$X$1058,0))=1,INDEX(РАБОТЫ!$V$2:$V$1058,MATCH(820+1,РАБОТЫ!$X$2:$X$1058,0)),""),"")</f>
        <v/>
      </c>
      <c r="M841" t="str">
        <f t="shared" si="51"/>
        <v/>
      </c>
    </row>
    <row r="842" spans="1:13" hidden="1" x14ac:dyDescent="0.3">
      <c r="A842" t="str">
        <f>IF(ISNUMBER($K842),INDEX(РАБОТЫ!$U$2:$U$1058,$K842),"")</f>
        <v/>
      </c>
      <c r="B842" t="str">
        <f>IF(ISNUMBER($K842),INDEX(РАБОТЫ!$A$2:$A$1058,$K842),"")</f>
        <v/>
      </c>
      <c r="C842" s="4" t="str">
        <f>IF($L842&lt;&gt;"",INDEX(РАБОТЫ!$Z$2:$Z$1058,MATCH($L842,РАБОТЫ!$V$2:$V$1058,0)),IF(ISNUMBER($K842),INDEX(РАБОТЫ!$Y$2:$Y$1058,$K842),""))</f>
        <v/>
      </c>
      <c r="D842" t="str">
        <f>IF(ISNUMBER($K842),INDEX(РАБОТЫ!$E$2:$E$1058,$K842),"")</f>
        <v/>
      </c>
      <c r="E842" t="str">
        <f>IF(ISNUMBER($K842),INDEX(РАБОТЫ!$M$2:$M$1058,$K842),"")</f>
        <v/>
      </c>
      <c r="F842" s="7" t="str">
        <f>IF(ISNUMBER($K842),INDEX(РАБОТЫ!$S$2:$S$1058,$K842),"")</f>
        <v/>
      </c>
      <c r="G842" s="7" t="str">
        <f>IF(ISNUMBER($K842),INDEX(РАБОТЫ!$T$2:$T$1058,$K842),"")</f>
        <v/>
      </c>
      <c r="H842" s="7" t="str">
        <f t="shared" si="48"/>
        <v/>
      </c>
      <c r="I842" s="7" t="str">
        <f t="shared" si="49"/>
        <v/>
      </c>
      <c r="J842" s="7" t="str">
        <f t="shared" si="50"/>
        <v/>
      </c>
      <c r="K842" t="str">
        <f>IFERROR(MATCH(821,РАБОТЫ!$X$2:$X$1058,0),"")</f>
        <v/>
      </c>
      <c r="L842" t="str">
        <f>IFERROR(IF(INDEX(РАБОТЫ!$W$2:$W$1058,MATCH(821+1,РАБОТЫ!$X$2:$X$1058,0))=1,INDEX(РАБОТЫ!$V$2:$V$1058,MATCH(821+1,РАБОТЫ!$X$2:$X$1058,0)),""),"")</f>
        <v/>
      </c>
      <c r="M842" t="str">
        <f t="shared" si="51"/>
        <v/>
      </c>
    </row>
    <row r="843" spans="1:13" hidden="1" x14ac:dyDescent="0.3">
      <c r="A843" t="str">
        <f>IF(ISNUMBER($K843),INDEX(РАБОТЫ!$U$2:$U$1058,$K843),"")</f>
        <v/>
      </c>
      <c r="B843" t="str">
        <f>IF(ISNUMBER($K843),INDEX(РАБОТЫ!$A$2:$A$1058,$K843),"")</f>
        <v/>
      </c>
      <c r="C843" s="4" t="str">
        <f>IF($L843&lt;&gt;"",INDEX(РАБОТЫ!$Z$2:$Z$1058,MATCH($L843,РАБОТЫ!$V$2:$V$1058,0)),IF(ISNUMBER($K843),INDEX(РАБОТЫ!$Y$2:$Y$1058,$K843),""))</f>
        <v/>
      </c>
      <c r="D843" t="str">
        <f>IF(ISNUMBER($K843),INDEX(РАБОТЫ!$E$2:$E$1058,$K843),"")</f>
        <v/>
      </c>
      <c r="E843" t="str">
        <f>IF(ISNUMBER($K843),INDEX(РАБОТЫ!$M$2:$M$1058,$K843),"")</f>
        <v/>
      </c>
      <c r="F843" s="7" t="str">
        <f>IF(ISNUMBER($K843),INDEX(РАБОТЫ!$S$2:$S$1058,$K843),"")</f>
        <v/>
      </c>
      <c r="G843" s="7" t="str">
        <f>IF(ISNUMBER($K843),INDEX(РАБОТЫ!$T$2:$T$1058,$K843),"")</f>
        <v/>
      </c>
      <c r="H843" s="7" t="str">
        <f t="shared" si="48"/>
        <v/>
      </c>
      <c r="I843" s="7" t="str">
        <f t="shared" si="49"/>
        <v/>
      </c>
      <c r="J843" s="7" t="str">
        <f t="shared" si="50"/>
        <v/>
      </c>
      <c r="K843" t="str">
        <f>IFERROR(MATCH(822,РАБОТЫ!$X$2:$X$1058,0),"")</f>
        <v/>
      </c>
      <c r="L843" t="str">
        <f>IFERROR(IF(INDEX(РАБОТЫ!$W$2:$W$1058,MATCH(822+1,РАБОТЫ!$X$2:$X$1058,0))=1,INDEX(РАБОТЫ!$V$2:$V$1058,MATCH(822+1,РАБОТЫ!$X$2:$X$1058,0)),""),"")</f>
        <v/>
      </c>
      <c r="M843" t="str">
        <f t="shared" si="51"/>
        <v/>
      </c>
    </row>
    <row r="844" spans="1:13" hidden="1" x14ac:dyDescent="0.3">
      <c r="A844" t="str">
        <f>IF(ISNUMBER($K844),INDEX(РАБОТЫ!$U$2:$U$1058,$K844),"")</f>
        <v/>
      </c>
      <c r="B844" t="str">
        <f>IF(ISNUMBER($K844),INDEX(РАБОТЫ!$A$2:$A$1058,$K844),"")</f>
        <v/>
      </c>
      <c r="C844" s="4" t="str">
        <f>IF($L844&lt;&gt;"",INDEX(РАБОТЫ!$Z$2:$Z$1058,MATCH($L844,РАБОТЫ!$V$2:$V$1058,0)),IF(ISNUMBER($K844),INDEX(РАБОТЫ!$Y$2:$Y$1058,$K844),""))</f>
        <v/>
      </c>
      <c r="D844" t="str">
        <f>IF(ISNUMBER($K844),INDEX(РАБОТЫ!$E$2:$E$1058,$K844),"")</f>
        <v/>
      </c>
      <c r="E844" t="str">
        <f>IF(ISNUMBER($K844),INDEX(РАБОТЫ!$M$2:$M$1058,$K844),"")</f>
        <v/>
      </c>
      <c r="F844" s="7" t="str">
        <f>IF(ISNUMBER($K844),INDEX(РАБОТЫ!$S$2:$S$1058,$K844),"")</f>
        <v/>
      </c>
      <c r="G844" s="7" t="str">
        <f>IF(ISNUMBER($K844),INDEX(РАБОТЫ!$T$2:$T$1058,$K844),"")</f>
        <v/>
      </c>
      <c r="H844" s="7" t="str">
        <f t="shared" si="48"/>
        <v/>
      </c>
      <c r="I844" s="7" t="str">
        <f t="shared" si="49"/>
        <v/>
      </c>
      <c r="J844" s="7" t="str">
        <f t="shared" si="50"/>
        <v/>
      </c>
      <c r="K844" t="str">
        <f>IFERROR(MATCH(823,РАБОТЫ!$X$2:$X$1058,0),"")</f>
        <v/>
      </c>
      <c r="L844" t="str">
        <f>IFERROR(IF(INDEX(РАБОТЫ!$W$2:$W$1058,MATCH(823+1,РАБОТЫ!$X$2:$X$1058,0))=1,INDEX(РАБОТЫ!$V$2:$V$1058,MATCH(823+1,РАБОТЫ!$X$2:$X$1058,0)),""),"")</f>
        <v/>
      </c>
      <c r="M844" t="str">
        <f t="shared" si="51"/>
        <v/>
      </c>
    </row>
    <row r="845" spans="1:13" hidden="1" x14ac:dyDescent="0.3">
      <c r="A845" t="str">
        <f>IF(ISNUMBER($K845),INDEX(РАБОТЫ!$U$2:$U$1058,$K845),"")</f>
        <v/>
      </c>
      <c r="B845" t="str">
        <f>IF(ISNUMBER($K845),INDEX(РАБОТЫ!$A$2:$A$1058,$K845),"")</f>
        <v/>
      </c>
      <c r="C845" s="4" t="str">
        <f>IF($L845&lt;&gt;"",INDEX(РАБОТЫ!$Z$2:$Z$1058,MATCH($L845,РАБОТЫ!$V$2:$V$1058,0)),IF(ISNUMBER($K845),INDEX(РАБОТЫ!$Y$2:$Y$1058,$K845),""))</f>
        <v/>
      </c>
      <c r="D845" t="str">
        <f>IF(ISNUMBER($K845),INDEX(РАБОТЫ!$E$2:$E$1058,$K845),"")</f>
        <v/>
      </c>
      <c r="E845" t="str">
        <f>IF(ISNUMBER($K845),INDEX(РАБОТЫ!$M$2:$M$1058,$K845),"")</f>
        <v/>
      </c>
      <c r="F845" s="7" t="str">
        <f>IF(ISNUMBER($K845),INDEX(РАБОТЫ!$S$2:$S$1058,$K845),"")</f>
        <v/>
      </c>
      <c r="G845" s="7" t="str">
        <f>IF(ISNUMBER($K845),INDEX(РАБОТЫ!$T$2:$T$1058,$K845),"")</f>
        <v/>
      </c>
      <c r="H845" s="7" t="str">
        <f t="shared" si="48"/>
        <v/>
      </c>
      <c r="I845" s="7" t="str">
        <f t="shared" si="49"/>
        <v/>
      </c>
      <c r="J845" s="7" t="str">
        <f t="shared" si="50"/>
        <v/>
      </c>
      <c r="K845" t="str">
        <f>IFERROR(MATCH(824,РАБОТЫ!$X$2:$X$1058,0),"")</f>
        <v/>
      </c>
      <c r="L845" t="str">
        <f>IFERROR(IF(INDEX(РАБОТЫ!$W$2:$W$1058,MATCH(824+1,РАБОТЫ!$X$2:$X$1058,0))=1,INDEX(РАБОТЫ!$V$2:$V$1058,MATCH(824+1,РАБОТЫ!$X$2:$X$1058,0)),""),"")</f>
        <v/>
      </c>
      <c r="M845" t="str">
        <f t="shared" si="51"/>
        <v/>
      </c>
    </row>
    <row r="846" spans="1:13" hidden="1" x14ac:dyDescent="0.3">
      <c r="A846" t="str">
        <f>IF(ISNUMBER($K846),INDEX(РАБОТЫ!$U$2:$U$1058,$K846),"")</f>
        <v/>
      </c>
      <c r="B846" t="str">
        <f>IF(ISNUMBER($K846),INDEX(РАБОТЫ!$A$2:$A$1058,$K846),"")</f>
        <v/>
      </c>
      <c r="C846" s="4" t="str">
        <f>IF($L846&lt;&gt;"",INDEX(РАБОТЫ!$Z$2:$Z$1058,MATCH($L846,РАБОТЫ!$V$2:$V$1058,0)),IF(ISNUMBER($K846),INDEX(РАБОТЫ!$Y$2:$Y$1058,$K846),""))</f>
        <v/>
      </c>
      <c r="D846" t="str">
        <f>IF(ISNUMBER($K846),INDEX(РАБОТЫ!$E$2:$E$1058,$K846),"")</f>
        <v/>
      </c>
      <c r="E846" t="str">
        <f>IF(ISNUMBER($K846),INDEX(РАБОТЫ!$M$2:$M$1058,$K846),"")</f>
        <v/>
      </c>
      <c r="F846" s="7" t="str">
        <f>IF(ISNUMBER($K846),INDEX(РАБОТЫ!$S$2:$S$1058,$K846),"")</f>
        <v/>
      </c>
      <c r="G846" s="7" t="str">
        <f>IF(ISNUMBER($K846),INDEX(РАБОТЫ!$T$2:$T$1058,$K846),"")</f>
        <v/>
      </c>
      <c r="H846" s="7" t="str">
        <f t="shared" si="48"/>
        <v/>
      </c>
      <c r="I846" s="7" t="str">
        <f t="shared" si="49"/>
        <v/>
      </c>
      <c r="J846" s="7" t="str">
        <f t="shared" si="50"/>
        <v/>
      </c>
      <c r="K846" t="str">
        <f>IFERROR(MATCH(825,РАБОТЫ!$X$2:$X$1058,0),"")</f>
        <v/>
      </c>
      <c r="L846" t="str">
        <f>IFERROR(IF(INDEX(РАБОТЫ!$W$2:$W$1058,MATCH(825+1,РАБОТЫ!$X$2:$X$1058,0))=1,INDEX(РАБОТЫ!$V$2:$V$1058,MATCH(825+1,РАБОТЫ!$X$2:$X$1058,0)),""),"")</f>
        <v/>
      </c>
      <c r="M846" t="str">
        <f t="shared" si="51"/>
        <v/>
      </c>
    </row>
    <row r="847" spans="1:13" hidden="1" x14ac:dyDescent="0.3">
      <c r="A847" t="str">
        <f>IF(ISNUMBER($K847),INDEX(РАБОТЫ!$U$2:$U$1058,$K847),"")</f>
        <v/>
      </c>
      <c r="B847" t="str">
        <f>IF(ISNUMBER($K847),INDEX(РАБОТЫ!$A$2:$A$1058,$K847),"")</f>
        <v/>
      </c>
      <c r="C847" s="4" t="str">
        <f>IF($L847&lt;&gt;"",INDEX(РАБОТЫ!$Z$2:$Z$1058,MATCH($L847,РАБОТЫ!$V$2:$V$1058,0)),IF(ISNUMBER($K847),INDEX(РАБОТЫ!$Y$2:$Y$1058,$K847),""))</f>
        <v/>
      </c>
      <c r="D847" t="str">
        <f>IF(ISNUMBER($K847),INDEX(РАБОТЫ!$E$2:$E$1058,$K847),"")</f>
        <v/>
      </c>
      <c r="E847" t="str">
        <f>IF(ISNUMBER($K847),INDEX(РАБОТЫ!$M$2:$M$1058,$K847),"")</f>
        <v/>
      </c>
      <c r="F847" s="7" t="str">
        <f>IF(ISNUMBER($K847),INDEX(РАБОТЫ!$S$2:$S$1058,$K847),"")</f>
        <v/>
      </c>
      <c r="G847" s="7" t="str">
        <f>IF(ISNUMBER($K847),INDEX(РАБОТЫ!$T$2:$T$1058,$K847),"")</f>
        <v/>
      </c>
      <c r="H847" s="7" t="str">
        <f t="shared" si="48"/>
        <v/>
      </c>
      <c r="I847" s="7" t="str">
        <f t="shared" si="49"/>
        <v/>
      </c>
      <c r="J847" s="7" t="str">
        <f t="shared" si="50"/>
        <v/>
      </c>
      <c r="K847" t="str">
        <f>IFERROR(MATCH(826,РАБОТЫ!$X$2:$X$1058,0),"")</f>
        <v/>
      </c>
      <c r="L847" t="str">
        <f>IFERROR(IF(INDEX(РАБОТЫ!$W$2:$W$1058,MATCH(826+1,РАБОТЫ!$X$2:$X$1058,0))=1,INDEX(РАБОТЫ!$V$2:$V$1058,MATCH(826+1,РАБОТЫ!$X$2:$X$1058,0)),""),"")</f>
        <v/>
      </c>
      <c r="M847" t="str">
        <f t="shared" si="51"/>
        <v/>
      </c>
    </row>
    <row r="848" spans="1:13" hidden="1" x14ac:dyDescent="0.3">
      <c r="A848" t="str">
        <f>IF(ISNUMBER($K848),INDEX(РАБОТЫ!$U$2:$U$1058,$K848),"")</f>
        <v/>
      </c>
      <c r="B848" t="str">
        <f>IF(ISNUMBER($K848),INDEX(РАБОТЫ!$A$2:$A$1058,$K848),"")</f>
        <v/>
      </c>
      <c r="C848" s="4" t="str">
        <f>IF($L848&lt;&gt;"",INDEX(РАБОТЫ!$Z$2:$Z$1058,MATCH($L848,РАБОТЫ!$V$2:$V$1058,0)),IF(ISNUMBER($K848),INDEX(РАБОТЫ!$Y$2:$Y$1058,$K848),""))</f>
        <v/>
      </c>
      <c r="D848" t="str">
        <f>IF(ISNUMBER($K848),INDEX(РАБОТЫ!$E$2:$E$1058,$K848),"")</f>
        <v/>
      </c>
      <c r="E848" t="str">
        <f>IF(ISNUMBER($K848),INDEX(РАБОТЫ!$M$2:$M$1058,$K848),"")</f>
        <v/>
      </c>
      <c r="F848" s="7" t="str">
        <f>IF(ISNUMBER($K848),INDEX(РАБОТЫ!$S$2:$S$1058,$K848),"")</f>
        <v/>
      </c>
      <c r="G848" s="7" t="str">
        <f>IF(ISNUMBER($K848),INDEX(РАБОТЫ!$T$2:$T$1058,$K848),"")</f>
        <v/>
      </c>
      <c r="H848" s="7" t="str">
        <f t="shared" si="48"/>
        <v/>
      </c>
      <c r="I848" s="7" t="str">
        <f t="shared" si="49"/>
        <v/>
      </c>
      <c r="J848" s="7" t="str">
        <f t="shared" si="50"/>
        <v/>
      </c>
      <c r="K848" t="str">
        <f>IFERROR(MATCH(827,РАБОТЫ!$X$2:$X$1058,0),"")</f>
        <v/>
      </c>
      <c r="L848" t="str">
        <f>IFERROR(IF(INDEX(РАБОТЫ!$W$2:$W$1058,MATCH(827+1,РАБОТЫ!$X$2:$X$1058,0))=1,INDEX(РАБОТЫ!$V$2:$V$1058,MATCH(827+1,РАБОТЫ!$X$2:$X$1058,0)),""),"")</f>
        <v/>
      </c>
      <c r="M848" t="str">
        <f t="shared" si="51"/>
        <v/>
      </c>
    </row>
    <row r="849" spans="1:13" hidden="1" x14ac:dyDescent="0.3">
      <c r="A849" t="str">
        <f>IF(ISNUMBER($K849),INDEX(РАБОТЫ!$U$2:$U$1058,$K849),"")</f>
        <v/>
      </c>
      <c r="B849" t="str">
        <f>IF(ISNUMBER($K849),INDEX(РАБОТЫ!$A$2:$A$1058,$K849),"")</f>
        <v/>
      </c>
      <c r="C849" s="4" t="str">
        <f>IF($L849&lt;&gt;"",INDEX(РАБОТЫ!$Z$2:$Z$1058,MATCH($L849,РАБОТЫ!$V$2:$V$1058,0)),IF(ISNUMBER($K849),INDEX(РАБОТЫ!$Y$2:$Y$1058,$K849),""))</f>
        <v/>
      </c>
      <c r="D849" t="str">
        <f>IF(ISNUMBER($K849),INDEX(РАБОТЫ!$E$2:$E$1058,$K849),"")</f>
        <v/>
      </c>
      <c r="E849" t="str">
        <f>IF(ISNUMBER($K849),INDEX(РАБОТЫ!$M$2:$M$1058,$K849),"")</f>
        <v/>
      </c>
      <c r="F849" s="7" t="str">
        <f>IF(ISNUMBER($K849),INDEX(РАБОТЫ!$S$2:$S$1058,$K849),"")</f>
        <v/>
      </c>
      <c r="G849" s="7" t="str">
        <f>IF(ISNUMBER($K849),INDEX(РАБОТЫ!$T$2:$T$1058,$K849),"")</f>
        <v/>
      </c>
      <c r="H849" s="7" t="str">
        <f t="shared" si="48"/>
        <v/>
      </c>
      <c r="I849" s="7" t="str">
        <f t="shared" si="49"/>
        <v/>
      </c>
      <c r="J849" s="7" t="str">
        <f t="shared" si="50"/>
        <v/>
      </c>
      <c r="K849" t="str">
        <f>IFERROR(MATCH(828,РАБОТЫ!$X$2:$X$1058,0),"")</f>
        <v/>
      </c>
      <c r="L849" t="str">
        <f>IFERROR(IF(INDEX(РАБОТЫ!$W$2:$W$1058,MATCH(828+1,РАБОТЫ!$X$2:$X$1058,0))=1,INDEX(РАБОТЫ!$V$2:$V$1058,MATCH(828+1,РАБОТЫ!$X$2:$X$1058,0)),""),"")</f>
        <v/>
      </c>
      <c r="M849" t="str">
        <f t="shared" si="51"/>
        <v/>
      </c>
    </row>
    <row r="850" spans="1:13" hidden="1" x14ac:dyDescent="0.3">
      <c r="A850" t="str">
        <f>IF(ISNUMBER($K850),INDEX(РАБОТЫ!$U$2:$U$1058,$K850),"")</f>
        <v/>
      </c>
      <c r="B850" t="str">
        <f>IF(ISNUMBER($K850),INDEX(РАБОТЫ!$A$2:$A$1058,$K850),"")</f>
        <v/>
      </c>
      <c r="C850" s="4" t="str">
        <f>IF($L850&lt;&gt;"",INDEX(РАБОТЫ!$Z$2:$Z$1058,MATCH($L850,РАБОТЫ!$V$2:$V$1058,0)),IF(ISNUMBER($K850),INDEX(РАБОТЫ!$Y$2:$Y$1058,$K850),""))</f>
        <v/>
      </c>
      <c r="D850" t="str">
        <f>IF(ISNUMBER($K850),INDEX(РАБОТЫ!$E$2:$E$1058,$K850),"")</f>
        <v/>
      </c>
      <c r="E850" t="str">
        <f>IF(ISNUMBER($K850),INDEX(РАБОТЫ!$M$2:$M$1058,$K850),"")</f>
        <v/>
      </c>
      <c r="F850" s="7" t="str">
        <f>IF(ISNUMBER($K850),INDEX(РАБОТЫ!$S$2:$S$1058,$K850),"")</f>
        <v/>
      </c>
      <c r="G850" s="7" t="str">
        <f>IF(ISNUMBER($K850),INDEX(РАБОТЫ!$T$2:$T$1058,$K850),"")</f>
        <v/>
      </c>
      <c r="H850" s="7" t="str">
        <f t="shared" si="48"/>
        <v/>
      </c>
      <c r="I850" s="7" t="str">
        <f t="shared" si="49"/>
        <v/>
      </c>
      <c r="J850" s="7" t="str">
        <f t="shared" si="50"/>
        <v/>
      </c>
      <c r="K850" t="str">
        <f>IFERROR(MATCH(829,РАБОТЫ!$X$2:$X$1058,0),"")</f>
        <v/>
      </c>
      <c r="L850" t="str">
        <f>IFERROR(IF(INDEX(РАБОТЫ!$W$2:$W$1058,MATCH(829+1,РАБОТЫ!$X$2:$X$1058,0))=1,INDEX(РАБОТЫ!$V$2:$V$1058,MATCH(829+1,РАБОТЫ!$X$2:$X$1058,0)),""),"")</f>
        <v/>
      </c>
      <c r="M850" t="str">
        <f t="shared" si="51"/>
        <v/>
      </c>
    </row>
    <row r="851" spans="1:13" hidden="1" x14ac:dyDescent="0.3">
      <c r="A851" t="str">
        <f>IF(ISNUMBER($K851),INDEX(РАБОТЫ!$U$2:$U$1058,$K851),"")</f>
        <v/>
      </c>
      <c r="B851" t="str">
        <f>IF(ISNUMBER($K851),INDEX(РАБОТЫ!$A$2:$A$1058,$K851),"")</f>
        <v/>
      </c>
      <c r="C851" s="4" t="str">
        <f>IF($L851&lt;&gt;"",INDEX(РАБОТЫ!$Z$2:$Z$1058,MATCH($L851,РАБОТЫ!$V$2:$V$1058,0)),IF(ISNUMBER($K851),INDEX(РАБОТЫ!$Y$2:$Y$1058,$K851),""))</f>
        <v/>
      </c>
      <c r="D851" t="str">
        <f>IF(ISNUMBER($K851),INDEX(РАБОТЫ!$E$2:$E$1058,$K851),"")</f>
        <v/>
      </c>
      <c r="E851" t="str">
        <f>IF(ISNUMBER($K851),INDEX(РАБОТЫ!$M$2:$M$1058,$K851),"")</f>
        <v/>
      </c>
      <c r="F851" s="7" t="str">
        <f>IF(ISNUMBER($K851),INDEX(РАБОТЫ!$S$2:$S$1058,$K851),"")</f>
        <v/>
      </c>
      <c r="G851" s="7" t="str">
        <f>IF(ISNUMBER($K851),INDEX(РАБОТЫ!$T$2:$T$1058,$K851),"")</f>
        <v/>
      </c>
      <c r="H851" s="7" t="str">
        <f t="shared" si="48"/>
        <v/>
      </c>
      <c r="I851" s="7" t="str">
        <f t="shared" si="49"/>
        <v/>
      </c>
      <c r="J851" s="7" t="str">
        <f t="shared" si="50"/>
        <v/>
      </c>
      <c r="K851" t="str">
        <f>IFERROR(MATCH(830,РАБОТЫ!$X$2:$X$1058,0),"")</f>
        <v/>
      </c>
      <c r="L851" t="str">
        <f>IFERROR(IF(INDEX(РАБОТЫ!$W$2:$W$1058,MATCH(830+1,РАБОТЫ!$X$2:$X$1058,0))=1,INDEX(РАБОТЫ!$V$2:$V$1058,MATCH(830+1,РАБОТЫ!$X$2:$X$1058,0)),""),"")</f>
        <v/>
      </c>
      <c r="M851" t="str">
        <f t="shared" si="51"/>
        <v/>
      </c>
    </row>
    <row r="852" spans="1:13" hidden="1" x14ac:dyDescent="0.3">
      <c r="A852" t="str">
        <f>IF(ISNUMBER($K852),INDEX(РАБОТЫ!$U$2:$U$1058,$K852),"")</f>
        <v/>
      </c>
      <c r="B852" t="str">
        <f>IF(ISNUMBER($K852),INDEX(РАБОТЫ!$A$2:$A$1058,$K852),"")</f>
        <v/>
      </c>
      <c r="C852" s="4" t="str">
        <f>IF($L852&lt;&gt;"",INDEX(РАБОТЫ!$Z$2:$Z$1058,MATCH($L852,РАБОТЫ!$V$2:$V$1058,0)),IF(ISNUMBER($K852),INDEX(РАБОТЫ!$Y$2:$Y$1058,$K852),""))</f>
        <v/>
      </c>
      <c r="D852" t="str">
        <f>IF(ISNUMBER($K852),INDEX(РАБОТЫ!$E$2:$E$1058,$K852),"")</f>
        <v/>
      </c>
      <c r="E852" t="str">
        <f>IF(ISNUMBER($K852),INDEX(РАБОТЫ!$M$2:$M$1058,$K852),"")</f>
        <v/>
      </c>
      <c r="F852" s="7" t="str">
        <f>IF(ISNUMBER($K852),INDEX(РАБОТЫ!$S$2:$S$1058,$K852),"")</f>
        <v/>
      </c>
      <c r="G852" s="7" t="str">
        <f>IF(ISNUMBER($K852),INDEX(РАБОТЫ!$T$2:$T$1058,$K852),"")</f>
        <v/>
      </c>
      <c r="H852" s="7" t="str">
        <f t="shared" si="48"/>
        <v/>
      </c>
      <c r="I852" s="7" t="str">
        <f t="shared" si="49"/>
        <v/>
      </c>
      <c r="J852" s="7" t="str">
        <f t="shared" si="50"/>
        <v/>
      </c>
      <c r="K852" t="str">
        <f>IFERROR(MATCH(831,РАБОТЫ!$X$2:$X$1058,0),"")</f>
        <v/>
      </c>
      <c r="L852" t="str">
        <f>IFERROR(IF(INDEX(РАБОТЫ!$W$2:$W$1058,MATCH(831+1,РАБОТЫ!$X$2:$X$1058,0))=1,INDEX(РАБОТЫ!$V$2:$V$1058,MATCH(831+1,РАБОТЫ!$X$2:$X$1058,0)),""),"")</f>
        <v/>
      </c>
      <c r="M852" t="str">
        <f t="shared" si="51"/>
        <v/>
      </c>
    </row>
    <row r="853" spans="1:13" hidden="1" x14ac:dyDescent="0.3">
      <c r="A853" t="str">
        <f>IF(ISNUMBER($K853),INDEX(РАБОТЫ!$U$2:$U$1058,$K853),"")</f>
        <v/>
      </c>
      <c r="B853" t="str">
        <f>IF(ISNUMBER($K853),INDEX(РАБОТЫ!$A$2:$A$1058,$K853),"")</f>
        <v/>
      </c>
      <c r="C853" s="4" t="str">
        <f>IF($L853&lt;&gt;"",INDEX(РАБОТЫ!$Z$2:$Z$1058,MATCH($L853,РАБОТЫ!$V$2:$V$1058,0)),IF(ISNUMBER($K853),INDEX(РАБОТЫ!$Y$2:$Y$1058,$K853),""))</f>
        <v/>
      </c>
      <c r="D853" t="str">
        <f>IF(ISNUMBER($K853),INDEX(РАБОТЫ!$E$2:$E$1058,$K853),"")</f>
        <v/>
      </c>
      <c r="E853" t="str">
        <f>IF(ISNUMBER($K853),INDEX(РАБОТЫ!$M$2:$M$1058,$K853),"")</f>
        <v/>
      </c>
      <c r="F853" s="7" t="str">
        <f>IF(ISNUMBER($K853),INDEX(РАБОТЫ!$S$2:$S$1058,$K853),"")</f>
        <v/>
      </c>
      <c r="G853" s="7" t="str">
        <f>IF(ISNUMBER($K853),INDEX(РАБОТЫ!$T$2:$T$1058,$K853),"")</f>
        <v/>
      </c>
      <c r="H853" s="7" t="str">
        <f t="shared" si="48"/>
        <v/>
      </c>
      <c r="I853" s="7" t="str">
        <f t="shared" si="49"/>
        <v/>
      </c>
      <c r="J853" s="7" t="str">
        <f t="shared" si="50"/>
        <v/>
      </c>
      <c r="K853" t="str">
        <f>IFERROR(MATCH(832,РАБОТЫ!$X$2:$X$1058,0),"")</f>
        <v/>
      </c>
      <c r="L853" t="str">
        <f>IFERROR(IF(INDEX(РАБОТЫ!$W$2:$W$1058,MATCH(832+1,РАБОТЫ!$X$2:$X$1058,0))=1,INDEX(РАБОТЫ!$V$2:$V$1058,MATCH(832+1,РАБОТЫ!$X$2:$X$1058,0)),""),"")</f>
        <v/>
      </c>
      <c r="M853" t="str">
        <f t="shared" si="51"/>
        <v/>
      </c>
    </row>
    <row r="854" spans="1:13" hidden="1" x14ac:dyDescent="0.3">
      <c r="A854" t="str">
        <f>IF(ISNUMBER($K854),INDEX(РАБОТЫ!$U$2:$U$1058,$K854),"")</f>
        <v/>
      </c>
      <c r="B854" t="str">
        <f>IF(ISNUMBER($K854),INDEX(РАБОТЫ!$A$2:$A$1058,$K854),"")</f>
        <v/>
      </c>
      <c r="C854" s="4" t="str">
        <f>IF($L854&lt;&gt;"",INDEX(РАБОТЫ!$Z$2:$Z$1058,MATCH($L854,РАБОТЫ!$V$2:$V$1058,0)),IF(ISNUMBER($K854),INDEX(РАБОТЫ!$Y$2:$Y$1058,$K854),""))</f>
        <v/>
      </c>
      <c r="D854" t="str">
        <f>IF(ISNUMBER($K854),INDEX(РАБОТЫ!$E$2:$E$1058,$K854),"")</f>
        <v/>
      </c>
      <c r="E854" t="str">
        <f>IF(ISNUMBER($K854),INDEX(РАБОТЫ!$M$2:$M$1058,$K854),"")</f>
        <v/>
      </c>
      <c r="F854" s="7" t="str">
        <f>IF(ISNUMBER($K854),INDEX(РАБОТЫ!$S$2:$S$1058,$K854),"")</f>
        <v/>
      </c>
      <c r="G854" s="7" t="str">
        <f>IF(ISNUMBER($K854),INDEX(РАБОТЫ!$T$2:$T$1058,$K854),"")</f>
        <v/>
      </c>
      <c r="H854" s="7" t="str">
        <f t="shared" ref="H854:H917" si="52">IF(ISNUMBER($K854),ROUND($E854*$F854,2),"")</f>
        <v/>
      </c>
      <c r="I854" s="7" t="str">
        <f t="shared" ref="I854:I917" si="53">IF(ISNUMBER($K854),ROUND($E854*$G854,2),"")</f>
        <v/>
      </c>
      <c r="J854" s="7" t="str">
        <f t="shared" ref="J854:J917" si="54">IF(ISNUMBER($K854),$H854+$I854,"")</f>
        <v/>
      </c>
      <c r="K854" t="str">
        <f>IFERROR(MATCH(833,РАБОТЫ!$X$2:$X$1058,0),"")</f>
        <v/>
      </c>
      <c r="L854" t="str">
        <f>IFERROR(IF(INDEX(РАБОТЫ!$W$2:$W$1058,MATCH(833+1,РАБОТЫ!$X$2:$X$1058,0))=1,INDEX(РАБОТЫ!$V$2:$V$1058,MATCH(833+1,РАБОТЫ!$X$2:$X$1058,0)),""),"")</f>
        <v/>
      </c>
      <c r="M854" t="str">
        <f t="shared" ref="M854:M917" si="55">IF(OR(ISNUMBER($K854),$L854&lt;&gt;""),"показать","")</f>
        <v/>
      </c>
    </row>
    <row r="855" spans="1:13" hidden="1" x14ac:dyDescent="0.3">
      <c r="A855" t="str">
        <f>IF(ISNUMBER($K855),INDEX(РАБОТЫ!$U$2:$U$1058,$K855),"")</f>
        <v/>
      </c>
      <c r="B855" t="str">
        <f>IF(ISNUMBER($K855),INDEX(РАБОТЫ!$A$2:$A$1058,$K855),"")</f>
        <v/>
      </c>
      <c r="C855" s="4" t="str">
        <f>IF($L855&lt;&gt;"",INDEX(РАБОТЫ!$Z$2:$Z$1058,MATCH($L855,РАБОТЫ!$V$2:$V$1058,0)),IF(ISNUMBER($K855),INDEX(РАБОТЫ!$Y$2:$Y$1058,$K855),""))</f>
        <v/>
      </c>
      <c r="D855" t="str">
        <f>IF(ISNUMBER($K855),INDEX(РАБОТЫ!$E$2:$E$1058,$K855),"")</f>
        <v/>
      </c>
      <c r="E855" t="str">
        <f>IF(ISNUMBER($K855),INDEX(РАБОТЫ!$M$2:$M$1058,$K855),"")</f>
        <v/>
      </c>
      <c r="F855" s="7" t="str">
        <f>IF(ISNUMBER($K855),INDEX(РАБОТЫ!$S$2:$S$1058,$K855),"")</f>
        <v/>
      </c>
      <c r="G855" s="7" t="str">
        <f>IF(ISNUMBER($K855),INDEX(РАБОТЫ!$T$2:$T$1058,$K855),"")</f>
        <v/>
      </c>
      <c r="H855" s="7" t="str">
        <f t="shared" si="52"/>
        <v/>
      </c>
      <c r="I855" s="7" t="str">
        <f t="shared" si="53"/>
        <v/>
      </c>
      <c r="J855" s="7" t="str">
        <f t="shared" si="54"/>
        <v/>
      </c>
      <c r="K855" t="str">
        <f>IFERROR(MATCH(834,РАБОТЫ!$X$2:$X$1058,0),"")</f>
        <v/>
      </c>
      <c r="L855" t="str">
        <f>IFERROR(IF(INDEX(РАБОТЫ!$W$2:$W$1058,MATCH(834+1,РАБОТЫ!$X$2:$X$1058,0))=1,INDEX(РАБОТЫ!$V$2:$V$1058,MATCH(834+1,РАБОТЫ!$X$2:$X$1058,0)),""),"")</f>
        <v/>
      </c>
      <c r="M855" t="str">
        <f t="shared" si="55"/>
        <v/>
      </c>
    </row>
    <row r="856" spans="1:13" hidden="1" x14ac:dyDescent="0.3">
      <c r="A856" t="str">
        <f>IF(ISNUMBER($K856),INDEX(РАБОТЫ!$U$2:$U$1058,$K856),"")</f>
        <v/>
      </c>
      <c r="B856" t="str">
        <f>IF(ISNUMBER($K856),INDEX(РАБОТЫ!$A$2:$A$1058,$K856),"")</f>
        <v/>
      </c>
      <c r="C856" s="4" t="str">
        <f>IF($L856&lt;&gt;"",INDEX(РАБОТЫ!$Z$2:$Z$1058,MATCH($L856,РАБОТЫ!$V$2:$V$1058,0)),IF(ISNUMBER($K856),INDEX(РАБОТЫ!$Y$2:$Y$1058,$K856),""))</f>
        <v/>
      </c>
      <c r="D856" t="str">
        <f>IF(ISNUMBER($K856),INDEX(РАБОТЫ!$E$2:$E$1058,$K856),"")</f>
        <v/>
      </c>
      <c r="E856" t="str">
        <f>IF(ISNUMBER($K856),INDEX(РАБОТЫ!$M$2:$M$1058,$K856),"")</f>
        <v/>
      </c>
      <c r="F856" s="7" t="str">
        <f>IF(ISNUMBER($K856),INDEX(РАБОТЫ!$S$2:$S$1058,$K856),"")</f>
        <v/>
      </c>
      <c r="G856" s="7" t="str">
        <f>IF(ISNUMBER($K856),INDEX(РАБОТЫ!$T$2:$T$1058,$K856),"")</f>
        <v/>
      </c>
      <c r="H856" s="7" t="str">
        <f t="shared" si="52"/>
        <v/>
      </c>
      <c r="I856" s="7" t="str">
        <f t="shared" si="53"/>
        <v/>
      </c>
      <c r="J856" s="7" t="str">
        <f t="shared" si="54"/>
        <v/>
      </c>
      <c r="K856" t="str">
        <f>IFERROR(MATCH(835,РАБОТЫ!$X$2:$X$1058,0),"")</f>
        <v/>
      </c>
      <c r="L856" t="str">
        <f>IFERROR(IF(INDEX(РАБОТЫ!$W$2:$W$1058,MATCH(835+1,РАБОТЫ!$X$2:$X$1058,0))=1,INDEX(РАБОТЫ!$V$2:$V$1058,MATCH(835+1,РАБОТЫ!$X$2:$X$1058,0)),""),"")</f>
        <v/>
      </c>
      <c r="M856" t="str">
        <f t="shared" si="55"/>
        <v/>
      </c>
    </row>
    <row r="857" spans="1:13" hidden="1" x14ac:dyDescent="0.3">
      <c r="A857" t="str">
        <f>IF(ISNUMBER($K857),INDEX(РАБОТЫ!$U$2:$U$1058,$K857),"")</f>
        <v/>
      </c>
      <c r="B857" t="str">
        <f>IF(ISNUMBER($K857),INDEX(РАБОТЫ!$A$2:$A$1058,$K857),"")</f>
        <v/>
      </c>
      <c r="C857" s="4" t="str">
        <f>IF($L857&lt;&gt;"",INDEX(РАБОТЫ!$Z$2:$Z$1058,MATCH($L857,РАБОТЫ!$V$2:$V$1058,0)),IF(ISNUMBER($K857),INDEX(РАБОТЫ!$Y$2:$Y$1058,$K857),""))</f>
        <v/>
      </c>
      <c r="D857" t="str">
        <f>IF(ISNUMBER($K857),INDEX(РАБОТЫ!$E$2:$E$1058,$K857),"")</f>
        <v/>
      </c>
      <c r="E857" t="str">
        <f>IF(ISNUMBER($K857),INDEX(РАБОТЫ!$M$2:$M$1058,$K857),"")</f>
        <v/>
      </c>
      <c r="F857" s="7" t="str">
        <f>IF(ISNUMBER($K857),INDEX(РАБОТЫ!$S$2:$S$1058,$K857),"")</f>
        <v/>
      </c>
      <c r="G857" s="7" t="str">
        <f>IF(ISNUMBER($K857),INDEX(РАБОТЫ!$T$2:$T$1058,$K857),"")</f>
        <v/>
      </c>
      <c r="H857" s="7" t="str">
        <f t="shared" si="52"/>
        <v/>
      </c>
      <c r="I857" s="7" t="str">
        <f t="shared" si="53"/>
        <v/>
      </c>
      <c r="J857" s="7" t="str">
        <f t="shared" si="54"/>
        <v/>
      </c>
      <c r="K857" t="str">
        <f>IFERROR(MATCH(836,РАБОТЫ!$X$2:$X$1058,0),"")</f>
        <v/>
      </c>
      <c r="L857" t="str">
        <f>IFERROR(IF(INDEX(РАБОТЫ!$W$2:$W$1058,MATCH(836+1,РАБОТЫ!$X$2:$X$1058,0))=1,INDEX(РАБОТЫ!$V$2:$V$1058,MATCH(836+1,РАБОТЫ!$X$2:$X$1058,0)),""),"")</f>
        <v/>
      </c>
      <c r="M857" t="str">
        <f t="shared" si="55"/>
        <v/>
      </c>
    </row>
    <row r="858" spans="1:13" hidden="1" x14ac:dyDescent="0.3">
      <c r="A858" t="str">
        <f>IF(ISNUMBER($K858),INDEX(РАБОТЫ!$U$2:$U$1058,$K858),"")</f>
        <v/>
      </c>
      <c r="B858" t="str">
        <f>IF(ISNUMBER($K858),INDEX(РАБОТЫ!$A$2:$A$1058,$K858),"")</f>
        <v/>
      </c>
      <c r="C858" s="4" t="str">
        <f>IF($L858&lt;&gt;"",INDEX(РАБОТЫ!$Z$2:$Z$1058,MATCH($L858,РАБОТЫ!$V$2:$V$1058,0)),IF(ISNUMBER($K858),INDEX(РАБОТЫ!$Y$2:$Y$1058,$K858),""))</f>
        <v/>
      </c>
      <c r="D858" t="str">
        <f>IF(ISNUMBER($K858),INDEX(РАБОТЫ!$E$2:$E$1058,$K858),"")</f>
        <v/>
      </c>
      <c r="E858" t="str">
        <f>IF(ISNUMBER($K858),INDEX(РАБОТЫ!$M$2:$M$1058,$K858),"")</f>
        <v/>
      </c>
      <c r="F858" s="7" t="str">
        <f>IF(ISNUMBER($K858),INDEX(РАБОТЫ!$S$2:$S$1058,$K858),"")</f>
        <v/>
      </c>
      <c r="G858" s="7" t="str">
        <f>IF(ISNUMBER($K858),INDEX(РАБОТЫ!$T$2:$T$1058,$K858),"")</f>
        <v/>
      </c>
      <c r="H858" s="7" t="str">
        <f t="shared" si="52"/>
        <v/>
      </c>
      <c r="I858" s="7" t="str">
        <f t="shared" si="53"/>
        <v/>
      </c>
      <c r="J858" s="7" t="str">
        <f t="shared" si="54"/>
        <v/>
      </c>
      <c r="K858" t="str">
        <f>IFERROR(MATCH(837,РАБОТЫ!$X$2:$X$1058,0),"")</f>
        <v/>
      </c>
      <c r="L858" t="str">
        <f>IFERROR(IF(INDEX(РАБОТЫ!$W$2:$W$1058,MATCH(837+1,РАБОТЫ!$X$2:$X$1058,0))=1,INDEX(РАБОТЫ!$V$2:$V$1058,MATCH(837+1,РАБОТЫ!$X$2:$X$1058,0)),""),"")</f>
        <v/>
      </c>
      <c r="M858" t="str">
        <f t="shared" si="55"/>
        <v/>
      </c>
    </row>
    <row r="859" spans="1:13" hidden="1" x14ac:dyDescent="0.3">
      <c r="A859" t="str">
        <f>IF(ISNUMBER($K859),INDEX(РАБОТЫ!$U$2:$U$1058,$K859),"")</f>
        <v/>
      </c>
      <c r="B859" t="str">
        <f>IF(ISNUMBER($K859),INDEX(РАБОТЫ!$A$2:$A$1058,$K859),"")</f>
        <v/>
      </c>
      <c r="C859" s="4" t="str">
        <f>IF($L859&lt;&gt;"",INDEX(РАБОТЫ!$Z$2:$Z$1058,MATCH($L859,РАБОТЫ!$V$2:$V$1058,0)),IF(ISNUMBER($K859),INDEX(РАБОТЫ!$Y$2:$Y$1058,$K859),""))</f>
        <v/>
      </c>
      <c r="D859" t="str">
        <f>IF(ISNUMBER($K859),INDEX(РАБОТЫ!$E$2:$E$1058,$K859),"")</f>
        <v/>
      </c>
      <c r="E859" t="str">
        <f>IF(ISNUMBER($K859),INDEX(РАБОТЫ!$M$2:$M$1058,$K859),"")</f>
        <v/>
      </c>
      <c r="F859" s="7" t="str">
        <f>IF(ISNUMBER($K859),INDEX(РАБОТЫ!$S$2:$S$1058,$K859),"")</f>
        <v/>
      </c>
      <c r="G859" s="7" t="str">
        <f>IF(ISNUMBER($K859),INDEX(РАБОТЫ!$T$2:$T$1058,$K859),"")</f>
        <v/>
      </c>
      <c r="H859" s="7" t="str">
        <f t="shared" si="52"/>
        <v/>
      </c>
      <c r="I859" s="7" t="str">
        <f t="shared" si="53"/>
        <v/>
      </c>
      <c r="J859" s="7" t="str">
        <f t="shared" si="54"/>
        <v/>
      </c>
      <c r="K859" t="str">
        <f>IFERROR(MATCH(838,РАБОТЫ!$X$2:$X$1058,0),"")</f>
        <v/>
      </c>
      <c r="L859" t="str">
        <f>IFERROR(IF(INDEX(РАБОТЫ!$W$2:$W$1058,MATCH(838+1,РАБОТЫ!$X$2:$X$1058,0))=1,INDEX(РАБОТЫ!$V$2:$V$1058,MATCH(838+1,РАБОТЫ!$X$2:$X$1058,0)),""),"")</f>
        <v/>
      </c>
      <c r="M859" t="str">
        <f t="shared" si="55"/>
        <v/>
      </c>
    </row>
    <row r="860" spans="1:13" hidden="1" x14ac:dyDescent="0.3">
      <c r="A860" t="str">
        <f>IF(ISNUMBER($K860),INDEX(РАБОТЫ!$U$2:$U$1058,$K860),"")</f>
        <v/>
      </c>
      <c r="B860" t="str">
        <f>IF(ISNUMBER($K860),INDEX(РАБОТЫ!$A$2:$A$1058,$K860),"")</f>
        <v/>
      </c>
      <c r="C860" s="4" t="str">
        <f>IF($L860&lt;&gt;"",INDEX(РАБОТЫ!$Z$2:$Z$1058,MATCH($L860,РАБОТЫ!$V$2:$V$1058,0)),IF(ISNUMBER($K860),INDEX(РАБОТЫ!$Y$2:$Y$1058,$K860),""))</f>
        <v/>
      </c>
      <c r="D860" t="str">
        <f>IF(ISNUMBER($K860),INDEX(РАБОТЫ!$E$2:$E$1058,$K860),"")</f>
        <v/>
      </c>
      <c r="E860" t="str">
        <f>IF(ISNUMBER($K860),INDEX(РАБОТЫ!$M$2:$M$1058,$K860),"")</f>
        <v/>
      </c>
      <c r="F860" s="7" t="str">
        <f>IF(ISNUMBER($K860),INDEX(РАБОТЫ!$S$2:$S$1058,$K860),"")</f>
        <v/>
      </c>
      <c r="G860" s="7" t="str">
        <f>IF(ISNUMBER($K860),INDEX(РАБОТЫ!$T$2:$T$1058,$K860),"")</f>
        <v/>
      </c>
      <c r="H860" s="7" t="str">
        <f t="shared" si="52"/>
        <v/>
      </c>
      <c r="I860" s="7" t="str">
        <f t="shared" si="53"/>
        <v/>
      </c>
      <c r="J860" s="7" t="str">
        <f t="shared" si="54"/>
        <v/>
      </c>
      <c r="K860" t="str">
        <f>IFERROR(MATCH(839,РАБОТЫ!$X$2:$X$1058,0),"")</f>
        <v/>
      </c>
      <c r="L860" t="str">
        <f>IFERROR(IF(INDEX(РАБОТЫ!$W$2:$W$1058,MATCH(839+1,РАБОТЫ!$X$2:$X$1058,0))=1,INDEX(РАБОТЫ!$V$2:$V$1058,MATCH(839+1,РАБОТЫ!$X$2:$X$1058,0)),""),"")</f>
        <v/>
      </c>
      <c r="M860" t="str">
        <f t="shared" si="55"/>
        <v/>
      </c>
    </row>
    <row r="861" spans="1:13" hidden="1" x14ac:dyDescent="0.3">
      <c r="A861" t="str">
        <f>IF(ISNUMBER($K861),INDEX(РАБОТЫ!$U$2:$U$1058,$K861),"")</f>
        <v/>
      </c>
      <c r="B861" t="str">
        <f>IF(ISNUMBER($K861),INDEX(РАБОТЫ!$A$2:$A$1058,$K861),"")</f>
        <v/>
      </c>
      <c r="C861" s="4" t="str">
        <f>IF($L861&lt;&gt;"",INDEX(РАБОТЫ!$Z$2:$Z$1058,MATCH($L861,РАБОТЫ!$V$2:$V$1058,0)),IF(ISNUMBER($K861),INDEX(РАБОТЫ!$Y$2:$Y$1058,$K861),""))</f>
        <v/>
      </c>
      <c r="D861" t="str">
        <f>IF(ISNUMBER($K861),INDEX(РАБОТЫ!$E$2:$E$1058,$K861),"")</f>
        <v/>
      </c>
      <c r="E861" t="str">
        <f>IF(ISNUMBER($K861),INDEX(РАБОТЫ!$M$2:$M$1058,$K861),"")</f>
        <v/>
      </c>
      <c r="F861" s="7" t="str">
        <f>IF(ISNUMBER($K861),INDEX(РАБОТЫ!$S$2:$S$1058,$K861),"")</f>
        <v/>
      </c>
      <c r="G861" s="7" t="str">
        <f>IF(ISNUMBER($K861),INDEX(РАБОТЫ!$T$2:$T$1058,$K861),"")</f>
        <v/>
      </c>
      <c r="H861" s="7" t="str">
        <f t="shared" si="52"/>
        <v/>
      </c>
      <c r="I861" s="7" t="str">
        <f t="shared" si="53"/>
        <v/>
      </c>
      <c r="J861" s="7" t="str">
        <f t="shared" si="54"/>
        <v/>
      </c>
      <c r="K861" t="str">
        <f>IFERROR(MATCH(840,РАБОТЫ!$X$2:$X$1058,0),"")</f>
        <v/>
      </c>
      <c r="L861" t="str">
        <f>IFERROR(IF(INDEX(РАБОТЫ!$W$2:$W$1058,MATCH(840+1,РАБОТЫ!$X$2:$X$1058,0))=1,INDEX(РАБОТЫ!$V$2:$V$1058,MATCH(840+1,РАБОТЫ!$X$2:$X$1058,0)),""),"")</f>
        <v/>
      </c>
      <c r="M861" t="str">
        <f t="shared" si="55"/>
        <v/>
      </c>
    </row>
    <row r="862" spans="1:13" hidden="1" x14ac:dyDescent="0.3">
      <c r="A862" t="str">
        <f>IF(ISNUMBER($K862),INDEX(РАБОТЫ!$U$2:$U$1058,$K862),"")</f>
        <v/>
      </c>
      <c r="B862" t="str">
        <f>IF(ISNUMBER($K862),INDEX(РАБОТЫ!$A$2:$A$1058,$K862),"")</f>
        <v/>
      </c>
      <c r="C862" s="4" t="str">
        <f>IF($L862&lt;&gt;"",INDEX(РАБОТЫ!$Z$2:$Z$1058,MATCH($L862,РАБОТЫ!$V$2:$V$1058,0)),IF(ISNUMBER($K862),INDEX(РАБОТЫ!$Y$2:$Y$1058,$K862),""))</f>
        <v/>
      </c>
      <c r="D862" t="str">
        <f>IF(ISNUMBER($K862),INDEX(РАБОТЫ!$E$2:$E$1058,$K862),"")</f>
        <v/>
      </c>
      <c r="E862" t="str">
        <f>IF(ISNUMBER($K862),INDEX(РАБОТЫ!$M$2:$M$1058,$K862),"")</f>
        <v/>
      </c>
      <c r="F862" s="7" t="str">
        <f>IF(ISNUMBER($K862),INDEX(РАБОТЫ!$S$2:$S$1058,$K862),"")</f>
        <v/>
      </c>
      <c r="G862" s="7" t="str">
        <f>IF(ISNUMBER($K862),INDEX(РАБОТЫ!$T$2:$T$1058,$K862),"")</f>
        <v/>
      </c>
      <c r="H862" s="7" t="str">
        <f t="shared" si="52"/>
        <v/>
      </c>
      <c r="I862" s="7" t="str">
        <f t="shared" si="53"/>
        <v/>
      </c>
      <c r="J862" s="7" t="str">
        <f t="shared" si="54"/>
        <v/>
      </c>
      <c r="K862" t="str">
        <f>IFERROR(MATCH(841,РАБОТЫ!$X$2:$X$1058,0),"")</f>
        <v/>
      </c>
      <c r="L862" t="str">
        <f>IFERROR(IF(INDEX(РАБОТЫ!$W$2:$W$1058,MATCH(841+1,РАБОТЫ!$X$2:$X$1058,0))=1,INDEX(РАБОТЫ!$V$2:$V$1058,MATCH(841+1,РАБОТЫ!$X$2:$X$1058,0)),""),"")</f>
        <v/>
      </c>
      <c r="M862" t="str">
        <f t="shared" si="55"/>
        <v/>
      </c>
    </row>
    <row r="863" spans="1:13" hidden="1" x14ac:dyDescent="0.3">
      <c r="A863" t="str">
        <f>IF(ISNUMBER($K863),INDEX(РАБОТЫ!$U$2:$U$1058,$K863),"")</f>
        <v/>
      </c>
      <c r="B863" t="str">
        <f>IF(ISNUMBER($K863),INDEX(РАБОТЫ!$A$2:$A$1058,$K863),"")</f>
        <v/>
      </c>
      <c r="C863" s="4" t="str">
        <f>IF($L863&lt;&gt;"",INDEX(РАБОТЫ!$Z$2:$Z$1058,MATCH($L863,РАБОТЫ!$V$2:$V$1058,0)),IF(ISNUMBER($K863),INDEX(РАБОТЫ!$Y$2:$Y$1058,$K863),""))</f>
        <v/>
      </c>
      <c r="D863" t="str">
        <f>IF(ISNUMBER($K863),INDEX(РАБОТЫ!$E$2:$E$1058,$K863),"")</f>
        <v/>
      </c>
      <c r="E863" t="str">
        <f>IF(ISNUMBER($K863),INDEX(РАБОТЫ!$M$2:$M$1058,$K863),"")</f>
        <v/>
      </c>
      <c r="F863" s="7" t="str">
        <f>IF(ISNUMBER($K863),INDEX(РАБОТЫ!$S$2:$S$1058,$K863),"")</f>
        <v/>
      </c>
      <c r="G863" s="7" t="str">
        <f>IF(ISNUMBER($K863),INDEX(РАБОТЫ!$T$2:$T$1058,$K863),"")</f>
        <v/>
      </c>
      <c r="H863" s="7" t="str">
        <f t="shared" si="52"/>
        <v/>
      </c>
      <c r="I863" s="7" t="str">
        <f t="shared" si="53"/>
        <v/>
      </c>
      <c r="J863" s="7" t="str">
        <f t="shared" si="54"/>
        <v/>
      </c>
      <c r="K863" t="str">
        <f>IFERROR(MATCH(842,РАБОТЫ!$X$2:$X$1058,0),"")</f>
        <v/>
      </c>
      <c r="L863" t="str">
        <f>IFERROR(IF(INDEX(РАБОТЫ!$W$2:$W$1058,MATCH(842+1,РАБОТЫ!$X$2:$X$1058,0))=1,INDEX(РАБОТЫ!$V$2:$V$1058,MATCH(842+1,РАБОТЫ!$X$2:$X$1058,0)),""),"")</f>
        <v/>
      </c>
      <c r="M863" t="str">
        <f t="shared" si="55"/>
        <v/>
      </c>
    </row>
    <row r="864" spans="1:13" hidden="1" x14ac:dyDescent="0.3">
      <c r="A864" t="str">
        <f>IF(ISNUMBER($K864),INDEX(РАБОТЫ!$U$2:$U$1058,$K864),"")</f>
        <v/>
      </c>
      <c r="B864" t="str">
        <f>IF(ISNUMBER($K864),INDEX(РАБОТЫ!$A$2:$A$1058,$K864),"")</f>
        <v/>
      </c>
      <c r="C864" s="4" t="str">
        <f>IF($L864&lt;&gt;"",INDEX(РАБОТЫ!$Z$2:$Z$1058,MATCH($L864,РАБОТЫ!$V$2:$V$1058,0)),IF(ISNUMBER($K864),INDEX(РАБОТЫ!$Y$2:$Y$1058,$K864),""))</f>
        <v/>
      </c>
      <c r="D864" t="str">
        <f>IF(ISNUMBER($K864),INDEX(РАБОТЫ!$E$2:$E$1058,$K864),"")</f>
        <v/>
      </c>
      <c r="E864" t="str">
        <f>IF(ISNUMBER($K864),INDEX(РАБОТЫ!$M$2:$M$1058,$K864),"")</f>
        <v/>
      </c>
      <c r="F864" s="7" t="str">
        <f>IF(ISNUMBER($K864),INDEX(РАБОТЫ!$S$2:$S$1058,$K864),"")</f>
        <v/>
      </c>
      <c r="G864" s="7" t="str">
        <f>IF(ISNUMBER($K864),INDEX(РАБОТЫ!$T$2:$T$1058,$K864),"")</f>
        <v/>
      </c>
      <c r="H864" s="7" t="str">
        <f t="shared" si="52"/>
        <v/>
      </c>
      <c r="I864" s="7" t="str">
        <f t="shared" si="53"/>
        <v/>
      </c>
      <c r="J864" s="7" t="str">
        <f t="shared" si="54"/>
        <v/>
      </c>
      <c r="K864" t="str">
        <f>IFERROR(MATCH(843,РАБОТЫ!$X$2:$X$1058,0),"")</f>
        <v/>
      </c>
      <c r="L864" t="str">
        <f>IFERROR(IF(INDEX(РАБОТЫ!$W$2:$W$1058,MATCH(843+1,РАБОТЫ!$X$2:$X$1058,0))=1,INDEX(РАБОТЫ!$V$2:$V$1058,MATCH(843+1,РАБОТЫ!$X$2:$X$1058,0)),""),"")</f>
        <v/>
      </c>
      <c r="M864" t="str">
        <f t="shared" si="55"/>
        <v/>
      </c>
    </row>
    <row r="865" spans="1:13" hidden="1" x14ac:dyDescent="0.3">
      <c r="A865" t="str">
        <f>IF(ISNUMBER($K865),INDEX(РАБОТЫ!$U$2:$U$1058,$K865),"")</f>
        <v/>
      </c>
      <c r="B865" t="str">
        <f>IF(ISNUMBER($K865),INDEX(РАБОТЫ!$A$2:$A$1058,$K865),"")</f>
        <v/>
      </c>
      <c r="C865" s="4" t="str">
        <f>IF($L865&lt;&gt;"",INDEX(РАБОТЫ!$Z$2:$Z$1058,MATCH($L865,РАБОТЫ!$V$2:$V$1058,0)),IF(ISNUMBER($K865),INDEX(РАБОТЫ!$Y$2:$Y$1058,$K865),""))</f>
        <v/>
      </c>
      <c r="D865" t="str">
        <f>IF(ISNUMBER($K865),INDEX(РАБОТЫ!$E$2:$E$1058,$K865),"")</f>
        <v/>
      </c>
      <c r="E865" t="str">
        <f>IF(ISNUMBER($K865),INDEX(РАБОТЫ!$M$2:$M$1058,$K865),"")</f>
        <v/>
      </c>
      <c r="F865" s="7" t="str">
        <f>IF(ISNUMBER($K865),INDEX(РАБОТЫ!$S$2:$S$1058,$K865),"")</f>
        <v/>
      </c>
      <c r="G865" s="7" t="str">
        <f>IF(ISNUMBER($K865),INDEX(РАБОТЫ!$T$2:$T$1058,$K865),"")</f>
        <v/>
      </c>
      <c r="H865" s="7" t="str">
        <f t="shared" si="52"/>
        <v/>
      </c>
      <c r="I865" s="7" t="str">
        <f t="shared" si="53"/>
        <v/>
      </c>
      <c r="J865" s="7" t="str">
        <f t="shared" si="54"/>
        <v/>
      </c>
      <c r="K865" t="str">
        <f>IFERROR(MATCH(844,РАБОТЫ!$X$2:$X$1058,0),"")</f>
        <v/>
      </c>
      <c r="L865" t="str">
        <f>IFERROR(IF(INDEX(РАБОТЫ!$W$2:$W$1058,MATCH(844+1,РАБОТЫ!$X$2:$X$1058,0))=1,INDEX(РАБОТЫ!$V$2:$V$1058,MATCH(844+1,РАБОТЫ!$X$2:$X$1058,0)),""),"")</f>
        <v/>
      </c>
      <c r="M865" t="str">
        <f t="shared" si="55"/>
        <v/>
      </c>
    </row>
    <row r="866" spans="1:13" hidden="1" x14ac:dyDescent="0.3">
      <c r="A866" t="str">
        <f>IF(ISNUMBER($K866),INDEX(РАБОТЫ!$U$2:$U$1058,$K866),"")</f>
        <v/>
      </c>
      <c r="B866" t="str">
        <f>IF(ISNUMBER($K866),INDEX(РАБОТЫ!$A$2:$A$1058,$K866),"")</f>
        <v/>
      </c>
      <c r="C866" s="4" t="str">
        <f>IF($L866&lt;&gt;"",INDEX(РАБОТЫ!$Z$2:$Z$1058,MATCH($L866,РАБОТЫ!$V$2:$V$1058,0)),IF(ISNUMBER($K866),INDEX(РАБОТЫ!$Y$2:$Y$1058,$K866),""))</f>
        <v/>
      </c>
      <c r="D866" t="str">
        <f>IF(ISNUMBER($K866),INDEX(РАБОТЫ!$E$2:$E$1058,$K866),"")</f>
        <v/>
      </c>
      <c r="E866" t="str">
        <f>IF(ISNUMBER($K866),INDEX(РАБОТЫ!$M$2:$M$1058,$K866),"")</f>
        <v/>
      </c>
      <c r="F866" s="7" t="str">
        <f>IF(ISNUMBER($K866),INDEX(РАБОТЫ!$S$2:$S$1058,$K866),"")</f>
        <v/>
      </c>
      <c r="G866" s="7" t="str">
        <f>IF(ISNUMBER($K866),INDEX(РАБОТЫ!$T$2:$T$1058,$K866),"")</f>
        <v/>
      </c>
      <c r="H866" s="7" t="str">
        <f t="shared" si="52"/>
        <v/>
      </c>
      <c r="I866" s="7" t="str">
        <f t="shared" si="53"/>
        <v/>
      </c>
      <c r="J866" s="7" t="str">
        <f t="shared" si="54"/>
        <v/>
      </c>
      <c r="K866" t="str">
        <f>IFERROR(MATCH(845,РАБОТЫ!$X$2:$X$1058,0),"")</f>
        <v/>
      </c>
      <c r="L866" t="str">
        <f>IFERROR(IF(INDEX(РАБОТЫ!$W$2:$W$1058,MATCH(845+1,РАБОТЫ!$X$2:$X$1058,0))=1,INDEX(РАБОТЫ!$V$2:$V$1058,MATCH(845+1,РАБОТЫ!$X$2:$X$1058,0)),""),"")</f>
        <v/>
      </c>
      <c r="M866" t="str">
        <f t="shared" si="55"/>
        <v/>
      </c>
    </row>
    <row r="867" spans="1:13" hidden="1" x14ac:dyDescent="0.3">
      <c r="A867" t="str">
        <f>IF(ISNUMBER($K867),INDEX(РАБОТЫ!$U$2:$U$1058,$K867),"")</f>
        <v/>
      </c>
      <c r="B867" t="str">
        <f>IF(ISNUMBER($K867),INDEX(РАБОТЫ!$A$2:$A$1058,$K867),"")</f>
        <v/>
      </c>
      <c r="C867" s="4" t="str">
        <f>IF($L867&lt;&gt;"",INDEX(РАБОТЫ!$Z$2:$Z$1058,MATCH($L867,РАБОТЫ!$V$2:$V$1058,0)),IF(ISNUMBER($K867),INDEX(РАБОТЫ!$Y$2:$Y$1058,$K867),""))</f>
        <v/>
      </c>
      <c r="D867" t="str">
        <f>IF(ISNUMBER($K867),INDEX(РАБОТЫ!$E$2:$E$1058,$K867),"")</f>
        <v/>
      </c>
      <c r="E867" t="str">
        <f>IF(ISNUMBER($K867),INDEX(РАБОТЫ!$M$2:$M$1058,$K867),"")</f>
        <v/>
      </c>
      <c r="F867" s="7" t="str">
        <f>IF(ISNUMBER($K867),INDEX(РАБОТЫ!$S$2:$S$1058,$K867),"")</f>
        <v/>
      </c>
      <c r="G867" s="7" t="str">
        <f>IF(ISNUMBER($K867),INDEX(РАБОТЫ!$T$2:$T$1058,$K867),"")</f>
        <v/>
      </c>
      <c r="H867" s="7" t="str">
        <f t="shared" si="52"/>
        <v/>
      </c>
      <c r="I867" s="7" t="str">
        <f t="shared" si="53"/>
        <v/>
      </c>
      <c r="J867" s="7" t="str">
        <f t="shared" si="54"/>
        <v/>
      </c>
      <c r="K867" t="str">
        <f>IFERROR(MATCH(846,РАБОТЫ!$X$2:$X$1058,0),"")</f>
        <v/>
      </c>
      <c r="L867" t="str">
        <f>IFERROR(IF(INDEX(РАБОТЫ!$W$2:$W$1058,MATCH(846+1,РАБОТЫ!$X$2:$X$1058,0))=1,INDEX(РАБОТЫ!$V$2:$V$1058,MATCH(846+1,РАБОТЫ!$X$2:$X$1058,0)),""),"")</f>
        <v/>
      </c>
      <c r="M867" t="str">
        <f t="shared" si="55"/>
        <v/>
      </c>
    </row>
    <row r="868" spans="1:13" hidden="1" x14ac:dyDescent="0.3">
      <c r="A868" t="str">
        <f>IF(ISNUMBER($K868),INDEX(РАБОТЫ!$U$2:$U$1058,$K868),"")</f>
        <v/>
      </c>
      <c r="B868" t="str">
        <f>IF(ISNUMBER($K868),INDEX(РАБОТЫ!$A$2:$A$1058,$K868),"")</f>
        <v/>
      </c>
      <c r="C868" s="4" t="str">
        <f>IF($L868&lt;&gt;"",INDEX(РАБОТЫ!$Z$2:$Z$1058,MATCH($L868,РАБОТЫ!$V$2:$V$1058,0)),IF(ISNUMBER($K868),INDEX(РАБОТЫ!$Y$2:$Y$1058,$K868),""))</f>
        <v/>
      </c>
      <c r="D868" t="str">
        <f>IF(ISNUMBER($K868),INDEX(РАБОТЫ!$E$2:$E$1058,$K868),"")</f>
        <v/>
      </c>
      <c r="E868" t="str">
        <f>IF(ISNUMBER($K868),INDEX(РАБОТЫ!$M$2:$M$1058,$K868),"")</f>
        <v/>
      </c>
      <c r="F868" s="7" t="str">
        <f>IF(ISNUMBER($K868),INDEX(РАБОТЫ!$S$2:$S$1058,$K868),"")</f>
        <v/>
      </c>
      <c r="G868" s="7" t="str">
        <f>IF(ISNUMBER($K868),INDEX(РАБОТЫ!$T$2:$T$1058,$K868),"")</f>
        <v/>
      </c>
      <c r="H868" s="7" t="str">
        <f t="shared" si="52"/>
        <v/>
      </c>
      <c r="I868" s="7" t="str">
        <f t="shared" si="53"/>
        <v/>
      </c>
      <c r="J868" s="7" t="str">
        <f t="shared" si="54"/>
        <v/>
      </c>
      <c r="K868" t="str">
        <f>IFERROR(MATCH(847,РАБОТЫ!$X$2:$X$1058,0),"")</f>
        <v/>
      </c>
      <c r="L868" t="str">
        <f>IFERROR(IF(INDEX(РАБОТЫ!$W$2:$W$1058,MATCH(847+1,РАБОТЫ!$X$2:$X$1058,0))=1,INDEX(РАБОТЫ!$V$2:$V$1058,MATCH(847+1,РАБОТЫ!$X$2:$X$1058,0)),""),"")</f>
        <v/>
      </c>
      <c r="M868" t="str">
        <f t="shared" si="55"/>
        <v/>
      </c>
    </row>
    <row r="869" spans="1:13" hidden="1" x14ac:dyDescent="0.3">
      <c r="A869" t="str">
        <f>IF(ISNUMBER($K869),INDEX(РАБОТЫ!$U$2:$U$1058,$K869),"")</f>
        <v/>
      </c>
      <c r="B869" t="str">
        <f>IF(ISNUMBER($K869),INDEX(РАБОТЫ!$A$2:$A$1058,$K869),"")</f>
        <v/>
      </c>
      <c r="C869" s="4" t="str">
        <f>IF($L869&lt;&gt;"",INDEX(РАБОТЫ!$Z$2:$Z$1058,MATCH($L869,РАБОТЫ!$V$2:$V$1058,0)),IF(ISNUMBER($K869),INDEX(РАБОТЫ!$Y$2:$Y$1058,$K869),""))</f>
        <v/>
      </c>
      <c r="D869" t="str">
        <f>IF(ISNUMBER($K869),INDEX(РАБОТЫ!$E$2:$E$1058,$K869),"")</f>
        <v/>
      </c>
      <c r="E869" t="str">
        <f>IF(ISNUMBER($K869),INDEX(РАБОТЫ!$M$2:$M$1058,$K869),"")</f>
        <v/>
      </c>
      <c r="F869" s="7" t="str">
        <f>IF(ISNUMBER($K869),INDEX(РАБОТЫ!$S$2:$S$1058,$K869),"")</f>
        <v/>
      </c>
      <c r="G869" s="7" t="str">
        <f>IF(ISNUMBER($K869),INDEX(РАБОТЫ!$T$2:$T$1058,$K869),"")</f>
        <v/>
      </c>
      <c r="H869" s="7" t="str">
        <f t="shared" si="52"/>
        <v/>
      </c>
      <c r="I869" s="7" t="str">
        <f t="shared" si="53"/>
        <v/>
      </c>
      <c r="J869" s="7" t="str">
        <f t="shared" si="54"/>
        <v/>
      </c>
      <c r="K869" t="str">
        <f>IFERROR(MATCH(848,РАБОТЫ!$X$2:$X$1058,0),"")</f>
        <v/>
      </c>
      <c r="L869" t="str">
        <f>IFERROR(IF(INDEX(РАБОТЫ!$W$2:$W$1058,MATCH(848+1,РАБОТЫ!$X$2:$X$1058,0))=1,INDEX(РАБОТЫ!$V$2:$V$1058,MATCH(848+1,РАБОТЫ!$X$2:$X$1058,0)),""),"")</f>
        <v/>
      </c>
      <c r="M869" t="str">
        <f t="shared" si="55"/>
        <v/>
      </c>
    </row>
    <row r="870" spans="1:13" hidden="1" x14ac:dyDescent="0.3">
      <c r="A870" t="str">
        <f>IF(ISNUMBER($K870),INDEX(РАБОТЫ!$U$2:$U$1058,$K870),"")</f>
        <v/>
      </c>
      <c r="B870" t="str">
        <f>IF(ISNUMBER($K870),INDEX(РАБОТЫ!$A$2:$A$1058,$K870),"")</f>
        <v/>
      </c>
      <c r="C870" s="4" t="str">
        <f>IF($L870&lt;&gt;"",INDEX(РАБОТЫ!$Z$2:$Z$1058,MATCH($L870,РАБОТЫ!$V$2:$V$1058,0)),IF(ISNUMBER($K870),INDEX(РАБОТЫ!$Y$2:$Y$1058,$K870),""))</f>
        <v/>
      </c>
      <c r="D870" t="str">
        <f>IF(ISNUMBER($K870),INDEX(РАБОТЫ!$E$2:$E$1058,$K870),"")</f>
        <v/>
      </c>
      <c r="E870" t="str">
        <f>IF(ISNUMBER($K870),INDEX(РАБОТЫ!$M$2:$M$1058,$K870),"")</f>
        <v/>
      </c>
      <c r="F870" s="7" t="str">
        <f>IF(ISNUMBER($K870),INDEX(РАБОТЫ!$S$2:$S$1058,$K870),"")</f>
        <v/>
      </c>
      <c r="G870" s="7" t="str">
        <f>IF(ISNUMBER($K870),INDEX(РАБОТЫ!$T$2:$T$1058,$K870),"")</f>
        <v/>
      </c>
      <c r="H870" s="7" t="str">
        <f t="shared" si="52"/>
        <v/>
      </c>
      <c r="I870" s="7" t="str">
        <f t="shared" si="53"/>
        <v/>
      </c>
      <c r="J870" s="7" t="str">
        <f t="shared" si="54"/>
        <v/>
      </c>
      <c r="K870" t="str">
        <f>IFERROR(MATCH(849,РАБОТЫ!$X$2:$X$1058,0),"")</f>
        <v/>
      </c>
      <c r="L870" t="str">
        <f>IFERROR(IF(INDEX(РАБОТЫ!$W$2:$W$1058,MATCH(849+1,РАБОТЫ!$X$2:$X$1058,0))=1,INDEX(РАБОТЫ!$V$2:$V$1058,MATCH(849+1,РАБОТЫ!$X$2:$X$1058,0)),""),"")</f>
        <v/>
      </c>
      <c r="M870" t="str">
        <f t="shared" si="55"/>
        <v/>
      </c>
    </row>
    <row r="871" spans="1:13" hidden="1" x14ac:dyDescent="0.3">
      <c r="A871" t="str">
        <f>IF(ISNUMBER($K871),INDEX(РАБОТЫ!$U$2:$U$1058,$K871),"")</f>
        <v/>
      </c>
      <c r="B871" t="str">
        <f>IF(ISNUMBER($K871),INDEX(РАБОТЫ!$A$2:$A$1058,$K871),"")</f>
        <v/>
      </c>
      <c r="C871" s="4" t="str">
        <f>IF($L871&lt;&gt;"",INDEX(РАБОТЫ!$Z$2:$Z$1058,MATCH($L871,РАБОТЫ!$V$2:$V$1058,0)),IF(ISNUMBER($K871),INDEX(РАБОТЫ!$Y$2:$Y$1058,$K871),""))</f>
        <v/>
      </c>
      <c r="D871" t="str">
        <f>IF(ISNUMBER($K871),INDEX(РАБОТЫ!$E$2:$E$1058,$K871),"")</f>
        <v/>
      </c>
      <c r="E871" t="str">
        <f>IF(ISNUMBER($K871),INDEX(РАБОТЫ!$M$2:$M$1058,$K871),"")</f>
        <v/>
      </c>
      <c r="F871" s="7" t="str">
        <f>IF(ISNUMBER($K871),INDEX(РАБОТЫ!$S$2:$S$1058,$K871),"")</f>
        <v/>
      </c>
      <c r="G871" s="7" t="str">
        <f>IF(ISNUMBER($K871),INDEX(РАБОТЫ!$T$2:$T$1058,$K871),"")</f>
        <v/>
      </c>
      <c r="H871" s="7" t="str">
        <f t="shared" si="52"/>
        <v/>
      </c>
      <c r="I871" s="7" t="str">
        <f t="shared" si="53"/>
        <v/>
      </c>
      <c r="J871" s="7" t="str">
        <f t="shared" si="54"/>
        <v/>
      </c>
      <c r="K871" t="str">
        <f>IFERROR(MATCH(850,РАБОТЫ!$X$2:$X$1058,0),"")</f>
        <v/>
      </c>
      <c r="L871" t="str">
        <f>IFERROR(IF(INDEX(РАБОТЫ!$W$2:$W$1058,MATCH(850+1,РАБОТЫ!$X$2:$X$1058,0))=1,INDEX(РАБОТЫ!$V$2:$V$1058,MATCH(850+1,РАБОТЫ!$X$2:$X$1058,0)),""),"")</f>
        <v/>
      </c>
      <c r="M871" t="str">
        <f t="shared" si="55"/>
        <v/>
      </c>
    </row>
    <row r="872" spans="1:13" hidden="1" x14ac:dyDescent="0.3">
      <c r="A872" t="str">
        <f>IF(ISNUMBER($K872),INDEX(РАБОТЫ!$U$2:$U$1058,$K872),"")</f>
        <v/>
      </c>
      <c r="B872" t="str">
        <f>IF(ISNUMBER($K872),INDEX(РАБОТЫ!$A$2:$A$1058,$K872),"")</f>
        <v/>
      </c>
      <c r="C872" s="4" t="str">
        <f>IF($L872&lt;&gt;"",INDEX(РАБОТЫ!$Z$2:$Z$1058,MATCH($L872,РАБОТЫ!$V$2:$V$1058,0)),IF(ISNUMBER($K872),INDEX(РАБОТЫ!$Y$2:$Y$1058,$K872),""))</f>
        <v/>
      </c>
      <c r="D872" t="str">
        <f>IF(ISNUMBER($K872),INDEX(РАБОТЫ!$E$2:$E$1058,$K872),"")</f>
        <v/>
      </c>
      <c r="E872" t="str">
        <f>IF(ISNUMBER($K872),INDEX(РАБОТЫ!$M$2:$M$1058,$K872),"")</f>
        <v/>
      </c>
      <c r="F872" s="7" t="str">
        <f>IF(ISNUMBER($K872),INDEX(РАБОТЫ!$S$2:$S$1058,$K872),"")</f>
        <v/>
      </c>
      <c r="G872" s="7" t="str">
        <f>IF(ISNUMBER($K872),INDEX(РАБОТЫ!$T$2:$T$1058,$K872),"")</f>
        <v/>
      </c>
      <c r="H872" s="7" t="str">
        <f t="shared" si="52"/>
        <v/>
      </c>
      <c r="I872" s="7" t="str">
        <f t="shared" si="53"/>
        <v/>
      </c>
      <c r="J872" s="7" t="str">
        <f t="shared" si="54"/>
        <v/>
      </c>
      <c r="K872" t="str">
        <f>IFERROR(MATCH(851,РАБОТЫ!$X$2:$X$1058,0),"")</f>
        <v/>
      </c>
      <c r="L872" t="str">
        <f>IFERROR(IF(INDEX(РАБОТЫ!$W$2:$W$1058,MATCH(851+1,РАБОТЫ!$X$2:$X$1058,0))=1,INDEX(РАБОТЫ!$V$2:$V$1058,MATCH(851+1,РАБОТЫ!$X$2:$X$1058,0)),""),"")</f>
        <v/>
      </c>
      <c r="M872" t="str">
        <f t="shared" si="55"/>
        <v/>
      </c>
    </row>
    <row r="873" spans="1:13" hidden="1" x14ac:dyDescent="0.3">
      <c r="A873" t="str">
        <f>IF(ISNUMBER($K873),INDEX(РАБОТЫ!$U$2:$U$1058,$K873),"")</f>
        <v/>
      </c>
      <c r="B873" t="str">
        <f>IF(ISNUMBER($K873),INDEX(РАБОТЫ!$A$2:$A$1058,$K873),"")</f>
        <v/>
      </c>
      <c r="C873" s="4" t="str">
        <f>IF($L873&lt;&gt;"",INDEX(РАБОТЫ!$Z$2:$Z$1058,MATCH($L873,РАБОТЫ!$V$2:$V$1058,0)),IF(ISNUMBER($K873),INDEX(РАБОТЫ!$Y$2:$Y$1058,$K873),""))</f>
        <v/>
      </c>
      <c r="D873" t="str">
        <f>IF(ISNUMBER($K873),INDEX(РАБОТЫ!$E$2:$E$1058,$K873),"")</f>
        <v/>
      </c>
      <c r="E873" t="str">
        <f>IF(ISNUMBER($K873),INDEX(РАБОТЫ!$M$2:$M$1058,$K873),"")</f>
        <v/>
      </c>
      <c r="F873" s="7" t="str">
        <f>IF(ISNUMBER($K873),INDEX(РАБОТЫ!$S$2:$S$1058,$K873),"")</f>
        <v/>
      </c>
      <c r="G873" s="7" t="str">
        <f>IF(ISNUMBER($K873),INDEX(РАБОТЫ!$T$2:$T$1058,$K873),"")</f>
        <v/>
      </c>
      <c r="H873" s="7" t="str">
        <f t="shared" si="52"/>
        <v/>
      </c>
      <c r="I873" s="7" t="str">
        <f t="shared" si="53"/>
        <v/>
      </c>
      <c r="J873" s="7" t="str">
        <f t="shared" si="54"/>
        <v/>
      </c>
      <c r="K873" t="str">
        <f>IFERROR(MATCH(852,РАБОТЫ!$X$2:$X$1058,0),"")</f>
        <v/>
      </c>
      <c r="L873" t="str">
        <f>IFERROR(IF(INDEX(РАБОТЫ!$W$2:$W$1058,MATCH(852+1,РАБОТЫ!$X$2:$X$1058,0))=1,INDEX(РАБОТЫ!$V$2:$V$1058,MATCH(852+1,РАБОТЫ!$X$2:$X$1058,0)),""),"")</f>
        <v/>
      </c>
      <c r="M873" t="str">
        <f t="shared" si="55"/>
        <v/>
      </c>
    </row>
    <row r="874" spans="1:13" hidden="1" x14ac:dyDescent="0.3">
      <c r="A874" t="str">
        <f>IF(ISNUMBER($K874),INDEX(РАБОТЫ!$U$2:$U$1058,$K874),"")</f>
        <v/>
      </c>
      <c r="B874" t="str">
        <f>IF(ISNUMBER($K874),INDEX(РАБОТЫ!$A$2:$A$1058,$K874),"")</f>
        <v/>
      </c>
      <c r="C874" s="4" t="str">
        <f>IF($L874&lt;&gt;"",INDEX(РАБОТЫ!$Z$2:$Z$1058,MATCH($L874,РАБОТЫ!$V$2:$V$1058,0)),IF(ISNUMBER($K874),INDEX(РАБОТЫ!$Y$2:$Y$1058,$K874),""))</f>
        <v/>
      </c>
      <c r="D874" t="str">
        <f>IF(ISNUMBER($K874),INDEX(РАБОТЫ!$E$2:$E$1058,$K874),"")</f>
        <v/>
      </c>
      <c r="E874" t="str">
        <f>IF(ISNUMBER($K874),INDEX(РАБОТЫ!$M$2:$M$1058,$K874),"")</f>
        <v/>
      </c>
      <c r="F874" s="7" t="str">
        <f>IF(ISNUMBER($K874),INDEX(РАБОТЫ!$S$2:$S$1058,$K874),"")</f>
        <v/>
      </c>
      <c r="G874" s="7" t="str">
        <f>IF(ISNUMBER($K874),INDEX(РАБОТЫ!$T$2:$T$1058,$K874),"")</f>
        <v/>
      </c>
      <c r="H874" s="7" t="str">
        <f t="shared" si="52"/>
        <v/>
      </c>
      <c r="I874" s="7" t="str">
        <f t="shared" si="53"/>
        <v/>
      </c>
      <c r="J874" s="7" t="str">
        <f t="shared" si="54"/>
        <v/>
      </c>
      <c r="K874" t="str">
        <f>IFERROR(MATCH(853,РАБОТЫ!$X$2:$X$1058,0),"")</f>
        <v/>
      </c>
      <c r="L874" t="str">
        <f>IFERROR(IF(INDEX(РАБОТЫ!$W$2:$W$1058,MATCH(853+1,РАБОТЫ!$X$2:$X$1058,0))=1,INDEX(РАБОТЫ!$V$2:$V$1058,MATCH(853+1,РАБОТЫ!$X$2:$X$1058,0)),""),"")</f>
        <v/>
      </c>
      <c r="M874" t="str">
        <f t="shared" si="55"/>
        <v/>
      </c>
    </row>
    <row r="875" spans="1:13" hidden="1" x14ac:dyDescent="0.3">
      <c r="A875" t="str">
        <f>IF(ISNUMBER($K875),INDEX(РАБОТЫ!$U$2:$U$1058,$K875),"")</f>
        <v/>
      </c>
      <c r="B875" t="str">
        <f>IF(ISNUMBER($K875),INDEX(РАБОТЫ!$A$2:$A$1058,$K875),"")</f>
        <v/>
      </c>
      <c r="C875" s="4" t="str">
        <f>IF($L875&lt;&gt;"",INDEX(РАБОТЫ!$Z$2:$Z$1058,MATCH($L875,РАБОТЫ!$V$2:$V$1058,0)),IF(ISNUMBER($K875),INDEX(РАБОТЫ!$Y$2:$Y$1058,$K875),""))</f>
        <v/>
      </c>
      <c r="D875" t="str">
        <f>IF(ISNUMBER($K875),INDEX(РАБОТЫ!$E$2:$E$1058,$K875),"")</f>
        <v/>
      </c>
      <c r="E875" t="str">
        <f>IF(ISNUMBER($K875),INDEX(РАБОТЫ!$M$2:$M$1058,$K875),"")</f>
        <v/>
      </c>
      <c r="F875" s="7" t="str">
        <f>IF(ISNUMBER($K875),INDEX(РАБОТЫ!$S$2:$S$1058,$K875),"")</f>
        <v/>
      </c>
      <c r="G875" s="7" t="str">
        <f>IF(ISNUMBER($K875),INDEX(РАБОТЫ!$T$2:$T$1058,$K875),"")</f>
        <v/>
      </c>
      <c r="H875" s="7" t="str">
        <f t="shared" si="52"/>
        <v/>
      </c>
      <c r="I875" s="7" t="str">
        <f t="shared" si="53"/>
        <v/>
      </c>
      <c r="J875" s="7" t="str">
        <f t="shared" si="54"/>
        <v/>
      </c>
      <c r="K875" t="str">
        <f>IFERROR(MATCH(854,РАБОТЫ!$X$2:$X$1058,0),"")</f>
        <v/>
      </c>
      <c r="L875" t="str">
        <f>IFERROR(IF(INDEX(РАБОТЫ!$W$2:$W$1058,MATCH(854+1,РАБОТЫ!$X$2:$X$1058,0))=1,INDEX(РАБОТЫ!$V$2:$V$1058,MATCH(854+1,РАБОТЫ!$X$2:$X$1058,0)),""),"")</f>
        <v/>
      </c>
      <c r="M875" t="str">
        <f t="shared" si="55"/>
        <v/>
      </c>
    </row>
    <row r="876" spans="1:13" hidden="1" x14ac:dyDescent="0.3">
      <c r="A876" t="str">
        <f>IF(ISNUMBER($K876),INDEX(РАБОТЫ!$U$2:$U$1058,$K876),"")</f>
        <v/>
      </c>
      <c r="B876" t="str">
        <f>IF(ISNUMBER($K876),INDEX(РАБОТЫ!$A$2:$A$1058,$K876),"")</f>
        <v/>
      </c>
      <c r="C876" s="4" t="str">
        <f>IF($L876&lt;&gt;"",INDEX(РАБОТЫ!$Z$2:$Z$1058,MATCH($L876,РАБОТЫ!$V$2:$V$1058,0)),IF(ISNUMBER($K876),INDEX(РАБОТЫ!$Y$2:$Y$1058,$K876),""))</f>
        <v/>
      </c>
      <c r="D876" t="str">
        <f>IF(ISNUMBER($K876),INDEX(РАБОТЫ!$E$2:$E$1058,$K876),"")</f>
        <v/>
      </c>
      <c r="E876" t="str">
        <f>IF(ISNUMBER($K876),INDEX(РАБОТЫ!$M$2:$M$1058,$K876),"")</f>
        <v/>
      </c>
      <c r="F876" s="7" t="str">
        <f>IF(ISNUMBER($K876),INDEX(РАБОТЫ!$S$2:$S$1058,$K876),"")</f>
        <v/>
      </c>
      <c r="G876" s="7" t="str">
        <f>IF(ISNUMBER($K876),INDEX(РАБОТЫ!$T$2:$T$1058,$K876),"")</f>
        <v/>
      </c>
      <c r="H876" s="7" t="str">
        <f t="shared" si="52"/>
        <v/>
      </c>
      <c r="I876" s="7" t="str">
        <f t="shared" si="53"/>
        <v/>
      </c>
      <c r="J876" s="7" t="str">
        <f t="shared" si="54"/>
        <v/>
      </c>
      <c r="K876" t="str">
        <f>IFERROR(MATCH(855,РАБОТЫ!$X$2:$X$1058,0),"")</f>
        <v/>
      </c>
      <c r="L876" t="str">
        <f>IFERROR(IF(INDEX(РАБОТЫ!$W$2:$W$1058,MATCH(855+1,РАБОТЫ!$X$2:$X$1058,0))=1,INDEX(РАБОТЫ!$V$2:$V$1058,MATCH(855+1,РАБОТЫ!$X$2:$X$1058,0)),""),"")</f>
        <v/>
      </c>
      <c r="M876" t="str">
        <f t="shared" si="55"/>
        <v/>
      </c>
    </row>
    <row r="877" spans="1:13" hidden="1" x14ac:dyDescent="0.3">
      <c r="A877" t="str">
        <f>IF(ISNUMBER($K877),INDEX(РАБОТЫ!$U$2:$U$1058,$K877),"")</f>
        <v/>
      </c>
      <c r="B877" t="str">
        <f>IF(ISNUMBER($K877),INDEX(РАБОТЫ!$A$2:$A$1058,$K877),"")</f>
        <v/>
      </c>
      <c r="C877" s="4" t="str">
        <f>IF($L877&lt;&gt;"",INDEX(РАБОТЫ!$Z$2:$Z$1058,MATCH($L877,РАБОТЫ!$V$2:$V$1058,0)),IF(ISNUMBER($K877),INDEX(РАБОТЫ!$Y$2:$Y$1058,$K877),""))</f>
        <v/>
      </c>
      <c r="D877" t="str">
        <f>IF(ISNUMBER($K877),INDEX(РАБОТЫ!$E$2:$E$1058,$K877),"")</f>
        <v/>
      </c>
      <c r="E877" t="str">
        <f>IF(ISNUMBER($K877),INDEX(РАБОТЫ!$M$2:$M$1058,$K877),"")</f>
        <v/>
      </c>
      <c r="F877" s="7" t="str">
        <f>IF(ISNUMBER($K877),INDEX(РАБОТЫ!$S$2:$S$1058,$K877),"")</f>
        <v/>
      </c>
      <c r="G877" s="7" t="str">
        <f>IF(ISNUMBER($K877),INDEX(РАБОТЫ!$T$2:$T$1058,$K877),"")</f>
        <v/>
      </c>
      <c r="H877" s="7" t="str">
        <f t="shared" si="52"/>
        <v/>
      </c>
      <c r="I877" s="7" t="str">
        <f t="shared" si="53"/>
        <v/>
      </c>
      <c r="J877" s="7" t="str">
        <f t="shared" si="54"/>
        <v/>
      </c>
      <c r="K877" t="str">
        <f>IFERROR(MATCH(856,РАБОТЫ!$X$2:$X$1058,0),"")</f>
        <v/>
      </c>
      <c r="L877" t="str">
        <f>IFERROR(IF(INDEX(РАБОТЫ!$W$2:$W$1058,MATCH(856+1,РАБОТЫ!$X$2:$X$1058,0))=1,INDEX(РАБОТЫ!$V$2:$V$1058,MATCH(856+1,РАБОТЫ!$X$2:$X$1058,0)),""),"")</f>
        <v/>
      </c>
      <c r="M877" t="str">
        <f t="shared" si="55"/>
        <v/>
      </c>
    </row>
    <row r="878" spans="1:13" hidden="1" x14ac:dyDescent="0.3">
      <c r="A878" t="str">
        <f>IF(ISNUMBER($K878),INDEX(РАБОТЫ!$U$2:$U$1058,$K878),"")</f>
        <v/>
      </c>
      <c r="B878" t="str">
        <f>IF(ISNUMBER($K878),INDEX(РАБОТЫ!$A$2:$A$1058,$K878),"")</f>
        <v/>
      </c>
      <c r="C878" s="4" t="str">
        <f>IF($L878&lt;&gt;"",INDEX(РАБОТЫ!$Z$2:$Z$1058,MATCH($L878,РАБОТЫ!$V$2:$V$1058,0)),IF(ISNUMBER($K878),INDEX(РАБОТЫ!$Y$2:$Y$1058,$K878),""))</f>
        <v/>
      </c>
      <c r="D878" t="str">
        <f>IF(ISNUMBER($K878),INDEX(РАБОТЫ!$E$2:$E$1058,$K878),"")</f>
        <v/>
      </c>
      <c r="E878" t="str">
        <f>IF(ISNUMBER($K878),INDEX(РАБОТЫ!$M$2:$M$1058,$K878),"")</f>
        <v/>
      </c>
      <c r="F878" s="7" t="str">
        <f>IF(ISNUMBER($K878),INDEX(РАБОТЫ!$S$2:$S$1058,$K878),"")</f>
        <v/>
      </c>
      <c r="G878" s="7" t="str">
        <f>IF(ISNUMBER($K878),INDEX(РАБОТЫ!$T$2:$T$1058,$K878),"")</f>
        <v/>
      </c>
      <c r="H878" s="7" t="str">
        <f t="shared" si="52"/>
        <v/>
      </c>
      <c r="I878" s="7" t="str">
        <f t="shared" si="53"/>
        <v/>
      </c>
      <c r="J878" s="7" t="str">
        <f t="shared" si="54"/>
        <v/>
      </c>
      <c r="K878" t="str">
        <f>IFERROR(MATCH(857,РАБОТЫ!$X$2:$X$1058,0),"")</f>
        <v/>
      </c>
      <c r="L878" t="str">
        <f>IFERROR(IF(INDEX(РАБОТЫ!$W$2:$W$1058,MATCH(857+1,РАБОТЫ!$X$2:$X$1058,0))=1,INDEX(РАБОТЫ!$V$2:$V$1058,MATCH(857+1,РАБОТЫ!$X$2:$X$1058,0)),""),"")</f>
        <v/>
      </c>
      <c r="M878" t="str">
        <f t="shared" si="55"/>
        <v/>
      </c>
    </row>
    <row r="879" spans="1:13" hidden="1" x14ac:dyDescent="0.3">
      <c r="A879" t="str">
        <f>IF(ISNUMBER($K879),INDEX(РАБОТЫ!$U$2:$U$1058,$K879),"")</f>
        <v/>
      </c>
      <c r="B879" t="str">
        <f>IF(ISNUMBER($K879),INDEX(РАБОТЫ!$A$2:$A$1058,$K879),"")</f>
        <v/>
      </c>
      <c r="C879" s="4" t="str">
        <f>IF($L879&lt;&gt;"",INDEX(РАБОТЫ!$Z$2:$Z$1058,MATCH($L879,РАБОТЫ!$V$2:$V$1058,0)),IF(ISNUMBER($K879),INDEX(РАБОТЫ!$Y$2:$Y$1058,$K879),""))</f>
        <v/>
      </c>
      <c r="D879" t="str">
        <f>IF(ISNUMBER($K879),INDEX(РАБОТЫ!$E$2:$E$1058,$K879),"")</f>
        <v/>
      </c>
      <c r="E879" t="str">
        <f>IF(ISNUMBER($K879),INDEX(РАБОТЫ!$M$2:$M$1058,$K879),"")</f>
        <v/>
      </c>
      <c r="F879" s="7" t="str">
        <f>IF(ISNUMBER($K879),INDEX(РАБОТЫ!$S$2:$S$1058,$K879),"")</f>
        <v/>
      </c>
      <c r="G879" s="7" t="str">
        <f>IF(ISNUMBER($K879),INDEX(РАБОТЫ!$T$2:$T$1058,$K879),"")</f>
        <v/>
      </c>
      <c r="H879" s="7" t="str">
        <f t="shared" si="52"/>
        <v/>
      </c>
      <c r="I879" s="7" t="str">
        <f t="shared" si="53"/>
        <v/>
      </c>
      <c r="J879" s="7" t="str">
        <f t="shared" si="54"/>
        <v/>
      </c>
      <c r="K879" t="str">
        <f>IFERROR(MATCH(858,РАБОТЫ!$X$2:$X$1058,0),"")</f>
        <v/>
      </c>
      <c r="L879" t="str">
        <f>IFERROR(IF(INDEX(РАБОТЫ!$W$2:$W$1058,MATCH(858+1,РАБОТЫ!$X$2:$X$1058,0))=1,INDEX(РАБОТЫ!$V$2:$V$1058,MATCH(858+1,РАБОТЫ!$X$2:$X$1058,0)),""),"")</f>
        <v/>
      </c>
      <c r="M879" t="str">
        <f t="shared" si="55"/>
        <v/>
      </c>
    </row>
    <row r="880" spans="1:13" hidden="1" x14ac:dyDescent="0.3">
      <c r="A880" t="str">
        <f>IF(ISNUMBER($K880),INDEX(РАБОТЫ!$U$2:$U$1058,$K880),"")</f>
        <v/>
      </c>
      <c r="B880" t="str">
        <f>IF(ISNUMBER($K880),INDEX(РАБОТЫ!$A$2:$A$1058,$K880),"")</f>
        <v/>
      </c>
      <c r="C880" s="4" t="str">
        <f>IF($L880&lt;&gt;"",INDEX(РАБОТЫ!$Z$2:$Z$1058,MATCH($L880,РАБОТЫ!$V$2:$V$1058,0)),IF(ISNUMBER($K880),INDEX(РАБОТЫ!$Y$2:$Y$1058,$K880),""))</f>
        <v/>
      </c>
      <c r="D880" t="str">
        <f>IF(ISNUMBER($K880),INDEX(РАБОТЫ!$E$2:$E$1058,$K880),"")</f>
        <v/>
      </c>
      <c r="E880" t="str">
        <f>IF(ISNUMBER($K880),INDEX(РАБОТЫ!$M$2:$M$1058,$K880),"")</f>
        <v/>
      </c>
      <c r="F880" s="7" t="str">
        <f>IF(ISNUMBER($K880),INDEX(РАБОТЫ!$S$2:$S$1058,$K880),"")</f>
        <v/>
      </c>
      <c r="G880" s="7" t="str">
        <f>IF(ISNUMBER($K880),INDEX(РАБОТЫ!$T$2:$T$1058,$K880),"")</f>
        <v/>
      </c>
      <c r="H880" s="7" t="str">
        <f t="shared" si="52"/>
        <v/>
      </c>
      <c r="I880" s="7" t="str">
        <f t="shared" si="53"/>
        <v/>
      </c>
      <c r="J880" s="7" t="str">
        <f t="shared" si="54"/>
        <v/>
      </c>
      <c r="K880" t="str">
        <f>IFERROR(MATCH(859,РАБОТЫ!$X$2:$X$1058,0),"")</f>
        <v/>
      </c>
      <c r="L880" t="str">
        <f>IFERROR(IF(INDEX(РАБОТЫ!$W$2:$W$1058,MATCH(859+1,РАБОТЫ!$X$2:$X$1058,0))=1,INDEX(РАБОТЫ!$V$2:$V$1058,MATCH(859+1,РАБОТЫ!$X$2:$X$1058,0)),""),"")</f>
        <v/>
      </c>
      <c r="M880" t="str">
        <f t="shared" si="55"/>
        <v/>
      </c>
    </row>
    <row r="881" spans="1:13" hidden="1" x14ac:dyDescent="0.3">
      <c r="A881" t="str">
        <f>IF(ISNUMBER($K881),INDEX(РАБОТЫ!$U$2:$U$1058,$K881),"")</f>
        <v/>
      </c>
      <c r="B881" t="str">
        <f>IF(ISNUMBER($K881),INDEX(РАБОТЫ!$A$2:$A$1058,$K881),"")</f>
        <v/>
      </c>
      <c r="C881" s="4" t="str">
        <f>IF($L881&lt;&gt;"",INDEX(РАБОТЫ!$Z$2:$Z$1058,MATCH($L881,РАБОТЫ!$V$2:$V$1058,0)),IF(ISNUMBER($K881),INDEX(РАБОТЫ!$Y$2:$Y$1058,$K881),""))</f>
        <v/>
      </c>
      <c r="D881" t="str">
        <f>IF(ISNUMBER($K881),INDEX(РАБОТЫ!$E$2:$E$1058,$K881),"")</f>
        <v/>
      </c>
      <c r="E881" t="str">
        <f>IF(ISNUMBER($K881),INDEX(РАБОТЫ!$M$2:$M$1058,$K881),"")</f>
        <v/>
      </c>
      <c r="F881" s="7" t="str">
        <f>IF(ISNUMBER($K881),INDEX(РАБОТЫ!$S$2:$S$1058,$K881),"")</f>
        <v/>
      </c>
      <c r="G881" s="7" t="str">
        <f>IF(ISNUMBER($K881),INDEX(РАБОТЫ!$T$2:$T$1058,$K881),"")</f>
        <v/>
      </c>
      <c r="H881" s="7" t="str">
        <f t="shared" si="52"/>
        <v/>
      </c>
      <c r="I881" s="7" t="str">
        <f t="shared" si="53"/>
        <v/>
      </c>
      <c r="J881" s="7" t="str">
        <f t="shared" si="54"/>
        <v/>
      </c>
      <c r="K881" t="str">
        <f>IFERROR(MATCH(860,РАБОТЫ!$X$2:$X$1058,0),"")</f>
        <v/>
      </c>
      <c r="L881" t="str">
        <f>IFERROR(IF(INDEX(РАБОТЫ!$W$2:$W$1058,MATCH(860+1,РАБОТЫ!$X$2:$X$1058,0))=1,INDEX(РАБОТЫ!$V$2:$V$1058,MATCH(860+1,РАБОТЫ!$X$2:$X$1058,0)),""),"")</f>
        <v/>
      </c>
      <c r="M881" t="str">
        <f t="shared" si="55"/>
        <v/>
      </c>
    </row>
    <row r="882" spans="1:13" hidden="1" x14ac:dyDescent="0.3">
      <c r="A882" t="str">
        <f>IF(ISNUMBER($K882),INDEX(РАБОТЫ!$U$2:$U$1058,$K882),"")</f>
        <v/>
      </c>
      <c r="B882" t="str">
        <f>IF(ISNUMBER($K882),INDEX(РАБОТЫ!$A$2:$A$1058,$K882),"")</f>
        <v/>
      </c>
      <c r="C882" s="4" t="str">
        <f>IF($L882&lt;&gt;"",INDEX(РАБОТЫ!$Z$2:$Z$1058,MATCH($L882,РАБОТЫ!$V$2:$V$1058,0)),IF(ISNUMBER($K882),INDEX(РАБОТЫ!$Y$2:$Y$1058,$K882),""))</f>
        <v/>
      </c>
      <c r="D882" t="str">
        <f>IF(ISNUMBER($K882),INDEX(РАБОТЫ!$E$2:$E$1058,$K882),"")</f>
        <v/>
      </c>
      <c r="E882" t="str">
        <f>IF(ISNUMBER($K882),INDEX(РАБОТЫ!$M$2:$M$1058,$K882),"")</f>
        <v/>
      </c>
      <c r="F882" s="7" t="str">
        <f>IF(ISNUMBER($K882),INDEX(РАБОТЫ!$S$2:$S$1058,$K882),"")</f>
        <v/>
      </c>
      <c r="G882" s="7" t="str">
        <f>IF(ISNUMBER($K882),INDEX(РАБОТЫ!$T$2:$T$1058,$K882),"")</f>
        <v/>
      </c>
      <c r="H882" s="7" t="str">
        <f t="shared" si="52"/>
        <v/>
      </c>
      <c r="I882" s="7" t="str">
        <f t="shared" si="53"/>
        <v/>
      </c>
      <c r="J882" s="7" t="str">
        <f t="shared" si="54"/>
        <v/>
      </c>
      <c r="K882" t="str">
        <f>IFERROR(MATCH(861,РАБОТЫ!$X$2:$X$1058,0),"")</f>
        <v/>
      </c>
      <c r="L882" t="str">
        <f>IFERROR(IF(INDEX(РАБОТЫ!$W$2:$W$1058,MATCH(861+1,РАБОТЫ!$X$2:$X$1058,0))=1,INDEX(РАБОТЫ!$V$2:$V$1058,MATCH(861+1,РАБОТЫ!$X$2:$X$1058,0)),""),"")</f>
        <v/>
      </c>
      <c r="M882" t="str">
        <f t="shared" si="55"/>
        <v/>
      </c>
    </row>
    <row r="883" spans="1:13" hidden="1" x14ac:dyDescent="0.3">
      <c r="A883" t="str">
        <f>IF(ISNUMBER($K883),INDEX(РАБОТЫ!$U$2:$U$1058,$K883),"")</f>
        <v/>
      </c>
      <c r="B883" t="str">
        <f>IF(ISNUMBER($K883),INDEX(РАБОТЫ!$A$2:$A$1058,$K883),"")</f>
        <v/>
      </c>
      <c r="C883" s="4" t="str">
        <f>IF($L883&lt;&gt;"",INDEX(РАБОТЫ!$Z$2:$Z$1058,MATCH($L883,РАБОТЫ!$V$2:$V$1058,0)),IF(ISNUMBER($K883),INDEX(РАБОТЫ!$Y$2:$Y$1058,$K883),""))</f>
        <v/>
      </c>
      <c r="D883" t="str">
        <f>IF(ISNUMBER($K883),INDEX(РАБОТЫ!$E$2:$E$1058,$K883),"")</f>
        <v/>
      </c>
      <c r="E883" t="str">
        <f>IF(ISNUMBER($K883),INDEX(РАБОТЫ!$M$2:$M$1058,$K883),"")</f>
        <v/>
      </c>
      <c r="F883" s="7" t="str">
        <f>IF(ISNUMBER($K883),INDEX(РАБОТЫ!$S$2:$S$1058,$K883),"")</f>
        <v/>
      </c>
      <c r="G883" s="7" t="str">
        <f>IF(ISNUMBER($K883),INDEX(РАБОТЫ!$T$2:$T$1058,$K883),"")</f>
        <v/>
      </c>
      <c r="H883" s="7" t="str">
        <f t="shared" si="52"/>
        <v/>
      </c>
      <c r="I883" s="7" t="str">
        <f t="shared" si="53"/>
        <v/>
      </c>
      <c r="J883" s="7" t="str">
        <f t="shared" si="54"/>
        <v/>
      </c>
      <c r="K883" t="str">
        <f>IFERROR(MATCH(862,РАБОТЫ!$X$2:$X$1058,0),"")</f>
        <v/>
      </c>
      <c r="L883" t="str">
        <f>IFERROR(IF(INDEX(РАБОТЫ!$W$2:$W$1058,MATCH(862+1,РАБОТЫ!$X$2:$X$1058,0))=1,INDEX(РАБОТЫ!$V$2:$V$1058,MATCH(862+1,РАБОТЫ!$X$2:$X$1058,0)),""),"")</f>
        <v/>
      </c>
      <c r="M883" t="str">
        <f t="shared" si="55"/>
        <v/>
      </c>
    </row>
    <row r="884" spans="1:13" hidden="1" x14ac:dyDescent="0.3">
      <c r="A884" t="str">
        <f>IF(ISNUMBER($K884),INDEX(РАБОТЫ!$U$2:$U$1058,$K884),"")</f>
        <v/>
      </c>
      <c r="B884" t="str">
        <f>IF(ISNUMBER($K884),INDEX(РАБОТЫ!$A$2:$A$1058,$K884),"")</f>
        <v/>
      </c>
      <c r="C884" s="4" t="str">
        <f>IF($L884&lt;&gt;"",INDEX(РАБОТЫ!$Z$2:$Z$1058,MATCH($L884,РАБОТЫ!$V$2:$V$1058,0)),IF(ISNUMBER($K884),INDEX(РАБОТЫ!$Y$2:$Y$1058,$K884),""))</f>
        <v/>
      </c>
      <c r="D884" t="str">
        <f>IF(ISNUMBER($K884),INDEX(РАБОТЫ!$E$2:$E$1058,$K884),"")</f>
        <v/>
      </c>
      <c r="E884" t="str">
        <f>IF(ISNUMBER($K884),INDEX(РАБОТЫ!$M$2:$M$1058,$K884),"")</f>
        <v/>
      </c>
      <c r="F884" s="7" t="str">
        <f>IF(ISNUMBER($K884),INDEX(РАБОТЫ!$S$2:$S$1058,$K884),"")</f>
        <v/>
      </c>
      <c r="G884" s="7" t="str">
        <f>IF(ISNUMBER($K884),INDEX(РАБОТЫ!$T$2:$T$1058,$K884),"")</f>
        <v/>
      </c>
      <c r="H884" s="7" t="str">
        <f t="shared" si="52"/>
        <v/>
      </c>
      <c r="I884" s="7" t="str">
        <f t="shared" si="53"/>
        <v/>
      </c>
      <c r="J884" s="7" t="str">
        <f t="shared" si="54"/>
        <v/>
      </c>
      <c r="K884" t="str">
        <f>IFERROR(MATCH(863,РАБОТЫ!$X$2:$X$1058,0),"")</f>
        <v/>
      </c>
      <c r="L884" t="str">
        <f>IFERROR(IF(INDEX(РАБОТЫ!$W$2:$W$1058,MATCH(863+1,РАБОТЫ!$X$2:$X$1058,0))=1,INDEX(РАБОТЫ!$V$2:$V$1058,MATCH(863+1,РАБОТЫ!$X$2:$X$1058,0)),""),"")</f>
        <v/>
      </c>
      <c r="M884" t="str">
        <f t="shared" si="55"/>
        <v/>
      </c>
    </row>
    <row r="885" spans="1:13" hidden="1" x14ac:dyDescent="0.3">
      <c r="A885" t="str">
        <f>IF(ISNUMBER($K885),INDEX(РАБОТЫ!$U$2:$U$1058,$K885),"")</f>
        <v/>
      </c>
      <c r="B885" t="str">
        <f>IF(ISNUMBER($K885),INDEX(РАБОТЫ!$A$2:$A$1058,$K885),"")</f>
        <v/>
      </c>
      <c r="C885" s="4" t="str">
        <f>IF($L885&lt;&gt;"",INDEX(РАБОТЫ!$Z$2:$Z$1058,MATCH($L885,РАБОТЫ!$V$2:$V$1058,0)),IF(ISNUMBER($K885),INDEX(РАБОТЫ!$Y$2:$Y$1058,$K885),""))</f>
        <v/>
      </c>
      <c r="D885" t="str">
        <f>IF(ISNUMBER($K885),INDEX(РАБОТЫ!$E$2:$E$1058,$K885),"")</f>
        <v/>
      </c>
      <c r="E885" t="str">
        <f>IF(ISNUMBER($K885),INDEX(РАБОТЫ!$M$2:$M$1058,$K885),"")</f>
        <v/>
      </c>
      <c r="F885" s="7" t="str">
        <f>IF(ISNUMBER($K885),INDEX(РАБОТЫ!$S$2:$S$1058,$K885),"")</f>
        <v/>
      </c>
      <c r="G885" s="7" t="str">
        <f>IF(ISNUMBER($K885),INDEX(РАБОТЫ!$T$2:$T$1058,$K885),"")</f>
        <v/>
      </c>
      <c r="H885" s="7" t="str">
        <f t="shared" si="52"/>
        <v/>
      </c>
      <c r="I885" s="7" t="str">
        <f t="shared" si="53"/>
        <v/>
      </c>
      <c r="J885" s="7" t="str">
        <f t="shared" si="54"/>
        <v/>
      </c>
      <c r="K885" t="str">
        <f>IFERROR(MATCH(864,РАБОТЫ!$X$2:$X$1058,0),"")</f>
        <v/>
      </c>
      <c r="L885" t="str">
        <f>IFERROR(IF(INDEX(РАБОТЫ!$W$2:$W$1058,MATCH(864+1,РАБОТЫ!$X$2:$X$1058,0))=1,INDEX(РАБОТЫ!$V$2:$V$1058,MATCH(864+1,РАБОТЫ!$X$2:$X$1058,0)),""),"")</f>
        <v/>
      </c>
      <c r="M885" t="str">
        <f t="shared" si="55"/>
        <v/>
      </c>
    </row>
    <row r="886" spans="1:13" hidden="1" x14ac:dyDescent="0.3">
      <c r="A886" t="str">
        <f>IF(ISNUMBER($K886),INDEX(РАБОТЫ!$U$2:$U$1058,$K886),"")</f>
        <v/>
      </c>
      <c r="B886" t="str">
        <f>IF(ISNUMBER($K886),INDEX(РАБОТЫ!$A$2:$A$1058,$K886),"")</f>
        <v/>
      </c>
      <c r="C886" s="4" t="str">
        <f>IF($L886&lt;&gt;"",INDEX(РАБОТЫ!$Z$2:$Z$1058,MATCH($L886,РАБОТЫ!$V$2:$V$1058,0)),IF(ISNUMBER($K886),INDEX(РАБОТЫ!$Y$2:$Y$1058,$K886),""))</f>
        <v/>
      </c>
      <c r="D886" t="str">
        <f>IF(ISNUMBER($K886),INDEX(РАБОТЫ!$E$2:$E$1058,$K886),"")</f>
        <v/>
      </c>
      <c r="E886" t="str">
        <f>IF(ISNUMBER($K886),INDEX(РАБОТЫ!$M$2:$M$1058,$K886),"")</f>
        <v/>
      </c>
      <c r="F886" s="7" t="str">
        <f>IF(ISNUMBER($K886),INDEX(РАБОТЫ!$S$2:$S$1058,$K886),"")</f>
        <v/>
      </c>
      <c r="G886" s="7" t="str">
        <f>IF(ISNUMBER($K886),INDEX(РАБОТЫ!$T$2:$T$1058,$K886),"")</f>
        <v/>
      </c>
      <c r="H886" s="7" t="str">
        <f t="shared" si="52"/>
        <v/>
      </c>
      <c r="I886" s="7" t="str">
        <f t="shared" si="53"/>
        <v/>
      </c>
      <c r="J886" s="7" t="str">
        <f t="shared" si="54"/>
        <v/>
      </c>
      <c r="K886" t="str">
        <f>IFERROR(MATCH(865,РАБОТЫ!$X$2:$X$1058,0),"")</f>
        <v/>
      </c>
      <c r="L886" t="str">
        <f>IFERROR(IF(INDEX(РАБОТЫ!$W$2:$W$1058,MATCH(865+1,РАБОТЫ!$X$2:$X$1058,0))=1,INDEX(РАБОТЫ!$V$2:$V$1058,MATCH(865+1,РАБОТЫ!$X$2:$X$1058,0)),""),"")</f>
        <v/>
      </c>
      <c r="M886" t="str">
        <f t="shared" si="55"/>
        <v/>
      </c>
    </row>
    <row r="887" spans="1:13" hidden="1" x14ac:dyDescent="0.3">
      <c r="A887" t="str">
        <f>IF(ISNUMBER($K887),INDEX(РАБОТЫ!$U$2:$U$1058,$K887),"")</f>
        <v/>
      </c>
      <c r="B887" t="str">
        <f>IF(ISNUMBER($K887),INDEX(РАБОТЫ!$A$2:$A$1058,$K887),"")</f>
        <v/>
      </c>
      <c r="C887" s="4" t="str">
        <f>IF($L887&lt;&gt;"",INDEX(РАБОТЫ!$Z$2:$Z$1058,MATCH($L887,РАБОТЫ!$V$2:$V$1058,0)),IF(ISNUMBER($K887),INDEX(РАБОТЫ!$Y$2:$Y$1058,$K887),""))</f>
        <v/>
      </c>
      <c r="D887" t="str">
        <f>IF(ISNUMBER($K887),INDEX(РАБОТЫ!$E$2:$E$1058,$K887),"")</f>
        <v/>
      </c>
      <c r="E887" t="str">
        <f>IF(ISNUMBER($K887),INDEX(РАБОТЫ!$M$2:$M$1058,$K887),"")</f>
        <v/>
      </c>
      <c r="F887" s="7" t="str">
        <f>IF(ISNUMBER($K887),INDEX(РАБОТЫ!$S$2:$S$1058,$K887),"")</f>
        <v/>
      </c>
      <c r="G887" s="7" t="str">
        <f>IF(ISNUMBER($K887),INDEX(РАБОТЫ!$T$2:$T$1058,$K887),"")</f>
        <v/>
      </c>
      <c r="H887" s="7" t="str">
        <f t="shared" si="52"/>
        <v/>
      </c>
      <c r="I887" s="7" t="str">
        <f t="shared" si="53"/>
        <v/>
      </c>
      <c r="J887" s="7" t="str">
        <f t="shared" si="54"/>
        <v/>
      </c>
      <c r="K887" t="str">
        <f>IFERROR(MATCH(866,РАБОТЫ!$X$2:$X$1058,0),"")</f>
        <v/>
      </c>
      <c r="L887" t="str">
        <f>IFERROR(IF(INDEX(РАБОТЫ!$W$2:$W$1058,MATCH(866+1,РАБОТЫ!$X$2:$X$1058,0))=1,INDEX(РАБОТЫ!$V$2:$V$1058,MATCH(866+1,РАБОТЫ!$X$2:$X$1058,0)),""),"")</f>
        <v/>
      </c>
      <c r="M887" t="str">
        <f t="shared" si="55"/>
        <v/>
      </c>
    </row>
    <row r="888" spans="1:13" hidden="1" x14ac:dyDescent="0.3">
      <c r="A888" t="str">
        <f>IF(ISNUMBER($K888),INDEX(РАБОТЫ!$U$2:$U$1058,$K888),"")</f>
        <v/>
      </c>
      <c r="B888" t="str">
        <f>IF(ISNUMBER($K888),INDEX(РАБОТЫ!$A$2:$A$1058,$K888),"")</f>
        <v/>
      </c>
      <c r="C888" s="4" t="str">
        <f>IF($L888&lt;&gt;"",INDEX(РАБОТЫ!$Z$2:$Z$1058,MATCH($L888,РАБОТЫ!$V$2:$V$1058,0)),IF(ISNUMBER($K888),INDEX(РАБОТЫ!$Y$2:$Y$1058,$K888),""))</f>
        <v/>
      </c>
      <c r="D888" t="str">
        <f>IF(ISNUMBER($K888),INDEX(РАБОТЫ!$E$2:$E$1058,$K888),"")</f>
        <v/>
      </c>
      <c r="E888" t="str">
        <f>IF(ISNUMBER($K888),INDEX(РАБОТЫ!$M$2:$M$1058,$K888),"")</f>
        <v/>
      </c>
      <c r="F888" s="7" t="str">
        <f>IF(ISNUMBER($K888),INDEX(РАБОТЫ!$S$2:$S$1058,$K888),"")</f>
        <v/>
      </c>
      <c r="G888" s="7" t="str">
        <f>IF(ISNUMBER($K888),INDEX(РАБОТЫ!$T$2:$T$1058,$K888),"")</f>
        <v/>
      </c>
      <c r="H888" s="7" t="str">
        <f t="shared" si="52"/>
        <v/>
      </c>
      <c r="I888" s="7" t="str">
        <f t="shared" si="53"/>
        <v/>
      </c>
      <c r="J888" s="7" t="str">
        <f t="shared" si="54"/>
        <v/>
      </c>
      <c r="K888" t="str">
        <f>IFERROR(MATCH(867,РАБОТЫ!$X$2:$X$1058,0),"")</f>
        <v/>
      </c>
      <c r="L888" t="str">
        <f>IFERROR(IF(INDEX(РАБОТЫ!$W$2:$W$1058,MATCH(867+1,РАБОТЫ!$X$2:$X$1058,0))=1,INDEX(РАБОТЫ!$V$2:$V$1058,MATCH(867+1,РАБОТЫ!$X$2:$X$1058,0)),""),"")</f>
        <v/>
      </c>
      <c r="M888" t="str">
        <f t="shared" si="55"/>
        <v/>
      </c>
    </row>
    <row r="889" spans="1:13" hidden="1" x14ac:dyDescent="0.3">
      <c r="A889" t="str">
        <f>IF(ISNUMBER($K889),INDEX(РАБОТЫ!$U$2:$U$1058,$K889),"")</f>
        <v/>
      </c>
      <c r="B889" t="str">
        <f>IF(ISNUMBER($K889),INDEX(РАБОТЫ!$A$2:$A$1058,$K889),"")</f>
        <v/>
      </c>
      <c r="C889" s="4" t="str">
        <f>IF($L889&lt;&gt;"",INDEX(РАБОТЫ!$Z$2:$Z$1058,MATCH($L889,РАБОТЫ!$V$2:$V$1058,0)),IF(ISNUMBER($K889),INDEX(РАБОТЫ!$Y$2:$Y$1058,$K889),""))</f>
        <v/>
      </c>
      <c r="D889" t="str">
        <f>IF(ISNUMBER($K889),INDEX(РАБОТЫ!$E$2:$E$1058,$K889),"")</f>
        <v/>
      </c>
      <c r="E889" t="str">
        <f>IF(ISNUMBER($K889),INDEX(РАБОТЫ!$M$2:$M$1058,$K889),"")</f>
        <v/>
      </c>
      <c r="F889" s="7" t="str">
        <f>IF(ISNUMBER($K889),INDEX(РАБОТЫ!$S$2:$S$1058,$K889),"")</f>
        <v/>
      </c>
      <c r="G889" s="7" t="str">
        <f>IF(ISNUMBER($K889),INDEX(РАБОТЫ!$T$2:$T$1058,$K889),"")</f>
        <v/>
      </c>
      <c r="H889" s="7" t="str">
        <f t="shared" si="52"/>
        <v/>
      </c>
      <c r="I889" s="7" t="str">
        <f t="shared" si="53"/>
        <v/>
      </c>
      <c r="J889" s="7" t="str">
        <f t="shared" si="54"/>
        <v/>
      </c>
      <c r="K889" t="str">
        <f>IFERROR(MATCH(868,РАБОТЫ!$X$2:$X$1058,0),"")</f>
        <v/>
      </c>
      <c r="L889" t="str">
        <f>IFERROR(IF(INDEX(РАБОТЫ!$W$2:$W$1058,MATCH(868+1,РАБОТЫ!$X$2:$X$1058,0))=1,INDEX(РАБОТЫ!$V$2:$V$1058,MATCH(868+1,РАБОТЫ!$X$2:$X$1058,0)),""),"")</f>
        <v/>
      </c>
      <c r="M889" t="str">
        <f t="shared" si="55"/>
        <v/>
      </c>
    </row>
    <row r="890" spans="1:13" hidden="1" x14ac:dyDescent="0.3">
      <c r="A890" t="str">
        <f>IF(ISNUMBER($K890),INDEX(РАБОТЫ!$U$2:$U$1058,$K890),"")</f>
        <v/>
      </c>
      <c r="B890" t="str">
        <f>IF(ISNUMBER($K890),INDEX(РАБОТЫ!$A$2:$A$1058,$K890),"")</f>
        <v/>
      </c>
      <c r="C890" s="4" t="str">
        <f>IF($L890&lt;&gt;"",INDEX(РАБОТЫ!$Z$2:$Z$1058,MATCH($L890,РАБОТЫ!$V$2:$V$1058,0)),IF(ISNUMBER($K890),INDEX(РАБОТЫ!$Y$2:$Y$1058,$K890),""))</f>
        <v/>
      </c>
      <c r="D890" t="str">
        <f>IF(ISNUMBER($K890),INDEX(РАБОТЫ!$E$2:$E$1058,$K890),"")</f>
        <v/>
      </c>
      <c r="E890" t="str">
        <f>IF(ISNUMBER($K890),INDEX(РАБОТЫ!$M$2:$M$1058,$K890),"")</f>
        <v/>
      </c>
      <c r="F890" s="7" t="str">
        <f>IF(ISNUMBER($K890),INDEX(РАБОТЫ!$S$2:$S$1058,$K890),"")</f>
        <v/>
      </c>
      <c r="G890" s="7" t="str">
        <f>IF(ISNUMBER($K890),INDEX(РАБОТЫ!$T$2:$T$1058,$K890),"")</f>
        <v/>
      </c>
      <c r="H890" s="7" t="str">
        <f t="shared" si="52"/>
        <v/>
      </c>
      <c r="I890" s="7" t="str">
        <f t="shared" si="53"/>
        <v/>
      </c>
      <c r="J890" s="7" t="str">
        <f t="shared" si="54"/>
        <v/>
      </c>
      <c r="K890" t="str">
        <f>IFERROR(MATCH(869,РАБОТЫ!$X$2:$X$1058,0),"")</f>
        <v/>
      </c>
      <c r="L890" t="str">
        <f>IFERROR(IF(INDEX(РАБОТЫ!$W$2:$W$1058,MATCH(869+1,РАБОТЫ!$X$2:$X$1058,0))=1,INDEX(РАБОТЫ!$V$2:$V$1058,MATCH(869+1,РАБОТЫ!$X$2:$X$1058,0)),""),"")</f>
        <v/>
      </c>
      <c r="M890" t="str">
        <f t="shared" si="55"/>
        <v/>
      </c>
    </row>
    <row r="891" spans="1:13" hidden="1" x14ac:dyDescent="0.3">
      <c r="A891" t="str">
        <f>IF(ISNUMBER($K891),INDEX(РАБОТЫ!$U$2:$U$1058,$K891),"")</f>
        <v/>
      </c>
      <c r="B891" t="str">
        <f>IF(ISNUMBER($K891),INDEX(РАБОТЫ!$A$2:$A$1058,$K891),"")</f>
        <v/>
      </c>
      <c r="C891" s="4" t="str">
        <f>IF($L891&lt;&gt;"",INDEX(РАБОТЫ!$Z$2:$Z$1058,MATCH($L891,РАБОТЫ!$V$2:$V$1058,0)),IF(ISNUMBER($K891),INDEX(РАБОТЫ!$Y$2:$Y$1058,$K891),""))</f>
        <v/>
      </c>
      <c r="D891" t="str">
        <f>IF(ISNUMBER($K891),INDEX(РАБОТЫ!$E$2:$E$1058,$K891),"")</f>
        <v/>
      </c>
      <c r="E891" t="str">
        <f>IF(ISNUMBER($K891),INDEX(РАБОТЫ!$M$2:$M$1058,$K891),"")</f>
        <v/>
      </c>
      <c r="F891" s="7" t="str">
        <f>IF(ISNUMBER($K891),INDEX(РАБОТЫ!$S$2:$S$1058,$K891),"")</f>
        <v/>
      </c>
      <c r="G891" s="7" t="str">
        <f>IF(ISNUMBER($K891),INDEX(РАБОТЫ!$T$2:$T$1058,$K891),"")</f>
        <v/>
      </c>
      <c r="H891" s="7" t="str">
        <f t="shared" si="52"/>
        <v/>
      </c>
      <c r="I891" s="7" t="str">
        <f t="shared" si="53"/>
        <v/>
      </c>
      <c r="J891" s="7" t="str">
        <f t="shared" si="54"/>
        <v/>
      </c>
      <c r="K891" t="str">
        <f>IFERROR(MATCH(870,РАБОТЫ!$X$2:$X$1058,0),"")</f>
        <v/>
      </c>
      <c r="L891" t="str">
        <f>IFERROR(IF(INDEX(РАБОТЫ!$W$2:$W$1058,MATCH(870+1,РАБОТЫ!$X$2:$X$1058,0))=1,INDEX(РАБОТЫ!$V$2:$V$1058,MATCH(870+1,РАБОТЫ!$X$2:$X$1058,0)),""),"")</f>
        <v/>
      </c>
      <c r="M891" t="str">
        <f t="shared" si="55"/>
        <v/>
      </c>
    </row>
    <row r="892" spans="1:13" hidden="1" x14ac:dyDescent="0.3">
      <c r="A892" t="str">
        <f>IF(ISNUMBER($K892),INDEX(РАБОТЫ!$U$2:$U$1058,$K892),"")</f>
        <v/>
      </c>
      <c r="B892" t="str">
        <f>IF(ISNUMBER($K892),INDEX(РАБОТЫ!$A$2:$A$1058,$K892),"")</f>
        <v/>
      </c>
      <c r="C892" s="4" t="str">
        <f>IF($L892&lt;&gt;"",INDEX(РАБОТЫ!$Z$2:$Z$1058,MATCH($L892,РАБОТЫ!$V$2:$V$1058,0)),IF(ISNUMBER($K892),INDEX(РАБОТЫ!$Y$2:$Y$1058,$K892),""))</f>
        <v/>
      </c>
      <c r="D892" t="str">
        <f>IF(ISNUMBER($K892),INDEX(РАБОТЫ!$E$2:$E$1058,$K892),"")</f>
        <v/>
      </c>
      <c r="E892" t="str">
        <f>IF(ISNUMBER($K892),INDEX(РАБОТЫ!$M$2:$M$1058,$K892),"")</f>
        <v/>
      </c>
      <c r="F892" s="7" t="str">
        <f>IF(ISNUMBER($K892),INDEX(РАБОТЫ!$S$2:$S$1058,$K892),"")</f>
        <v/>
      </c>
      <c r="G892" s="7" t="str">
        <f>IF(ISNUMBER($K892),INDEX(РАБОТЫ!$T$2:$T$1058,$K892),"")</f>
        <v/>
      </c>
      <c r="H892" s="7" t="str">
        <f t="shared" si="52"/>
        <v/>
      </c>
      <c r="I892" s="7" t="str">
        <f t="shared" si="53"/>
        <v/>
      </c>
      <c r="J892" s="7" t="str">
        <f t="shared" si="54"/>
        <v/>
      </c>
      <c r="K892" t="str">
        <f>IFERROR(MATCH(871,РАБОТЫ!$X$2:$X$1058,0),"")</f>
        <v/>
      </c>
      <c r="L892" t="str">
        <f>IFERROR(IF(INDEX(РАБОТЫ!$W$2:$W$1058,MATCH(871+1,РАБОТЫ!$X$2:$X$1058,0))=1,INDEX(РАБОТЫ!$V$2:$V$1058,MATCH(871+1,РАБОТЫ!$X$2:$X$1058,0)),""),"")</f>
        <v/>
      </c>
      <c r="M892" t="str">
        <f t="shared" si="55"/>
        <v/>
      </c>
    </row>
    <row r="893" spans="1:13" hidden="1" x14ac:dyDescent="0.3">
      <c r="A893" t="str">
        <f>IF(ISNUMBER($K893),INDEX(РАБОТЫ!$U$2:$U$1058,$K893),"")</f>
        <v/>
      </c>
      <c r="B893" t="str">
        <f>IF(ISNUMBER($K893),INDEX(РАБОТЫ!$A$2:$A$1058,$K893),"")</f>
        <v/>
      </c>
      <c r="C893" s="4" t="str">
        <f>IF($L893&lt;&gt;"",INDEX(РАБОТЫ!$Z$2:$Z$1058,MATCH($L893,РАБОТЫ!$V$2:$V$1058,0)),IF(ISNUMBER($K893),INDEX(РАБОТЫ!$Y$2:$Y$1058,$K893),""))</f>
        <v/>
      </c>
      <c r="D893" t="str">
        <f>IF(ISNUMBER($K893),INDEX(РАБОТЫ!$E$2:$E$1058,$K893),"")</f>
        <v/>
      </c>
      <c r="E893" t="str">
        <f>IF(ISNUMBER($K893),INDEX(РАБОТЫ!$M$2:$M$1058,$K893),"")</f>
        <v/>
      </c>
      <c r="F893" s="7" t="str">
        <f>IF(ISNUMBER($K893),INDEX(РАБОТЫ!$S$2:$S$1058,$K893),"")</f>
        <v/>
      </c>
      <c r="G893" s="7" t="str">
        <f>IF(ISNUMBER($K893),INDEX(РАБОТЫ!$T$2:$T$1058,$K893),"")</f>
        <v/>
      </c>
      <c r="H893" s="7" t="str">
        <f t="shared" si="52"/>
        <v/>
      </c>
      <c r="I893" s="7" t="str">
        <f t="shared" si="53"/>
        <v/>
      </c>
      <c r="J893" s="7" t="str">
        <f t="shared" si="54"/>
        <v/>
      </c>
      <c r="K893" t="str">
        <f>IFERROR(MATCH(872,РАБОТЫ!$X$2:$X$1058,0),"")</f>
        <v/>
      </c>
      <c r="L893" t="str">
        <f>IFERROR(IF(INDEX(РАБОТЫ!$W$2:$W$1058,MATCH(872+1,РАБОТЫ!$X$2:$X$1058,0))=1,INDEX(РАБОТЫ!$V$2:$V$1058,MATCH(872+1,РАБОТЫ!$X$2:$X$1058,0)),""),"")</f>
        <v/>
      </c>
      <c r="M893" t="str">
        <f t="shared" si="55"/>
        <v/>
      </c>
    </row>
    <row r="894" spans="1:13" hidden="1" x14ac:dyDescent="0.3">
      <c r="A894" t="str">
        <f>IF(ISNUMBER($K894),INDEX(РАБОТЫ!$U$2:$U$1058,$K894),"")</f>
        <v/>
      </c>
      <c r="B894" t="str">
        <f>IF(ISNUMBER($K894),INDEX(РАБОТЫ!$A$2:$A$1058,$K894),"")</f>
        <v/>
      </c>
      <c r="C894" s="4" t="str">
        <f>IF($L894&lt;&gt;"",INDEX(РАБОТЫ!$Z$2:$Z$1058,MATCH($L894,РАБОТЫ!$V$2:$V$1058,0)),IF(ISNUMBER($K894),INDEX(РАБОТЫ!$Y$2:$Y$1058,$K894),""))</f>
        <v/>
      </c>
      <c r="D894" t="str">
        <f>IF(ISNUMBER($K894),INDEX(РАБОТЫ!$E$2:$E$1058,$K894),"")</f>
        <v/>
      </c>
      <c r="E894" t="str">
        <f>IF(ISNUMBER($K894),INDEX(РАБОТЫ!$M$2:$M$1058,$K894),"")</f>
        <v/>
      </c>
      <c r="F894" s="7" t="str">
        <f>IF(ISNUMBER($K894),INDEX(РАБОТЫ!$S$2:$S$1058,$K894),"")</f>
        <v/>
      </c>
      <c r="G894" s="7" t="str">
        <f>IF(ISNUMBER($K894),INDEX(РАБОТЫ!$T$2:$T$1058,$K894),"")</f>
        <v/>
      </c>
      <c r="H894" s="7" t="str">
        <f t="shared" si="52"/>
        <v/>
      </c>
      <c r="I894" s="7" t="str">
        <f t="shared" si="53"/>
        <v/>
      </c>
      <c r="J894" s="7" t="str">
        <f t="shared" si="54"/>
        <v/>
      </c>
      <c r="K894" t="str">
        <f>IFERROR(MATCH(873,РАБОТЫ!$X$2:$X$1058,0),"")</f>
        <v/>
      </c>
      <c r="L894" t="str">
        <f>IFERROR(IF(INDEX(РАБОТЫ!$W$2:$W$1058,MATCH(873+1,РАБОТЫ!$X$2:$X$1058,0))=1,INDEX(РАБОТЫ!$V$2:$V$1058,MATCH(873+1,РАБОТЫ!$X$2:$X$1058,0)),""),"")</f>
        <v/>
      </c>
      <c r="M894" t="str">
        <f t="shared" si="55"/>
        <v/>
      </c>
    </row>
    <row r="895" spans="1:13" hidden="1" x14ac:dyDescent="0.3">
      <c r="A895" t="str">
        <f>IF(ISNUMBER($K895),INDEX(РАБОТЫ!$U$2:$U$1058,$K895),"")</f>
        <v/>
      </c>
      <c r="B895" t="str">
        <f>IF(ISNUMBER($K895),INDEX(РАБОТЫ!$A$2:$A$1058,$K895),"")</f>
        <v/>
      </c>
      <c r="C895" s="4" t="str">
        <f>IF($L895&lt;&gt;"",INDEX(РАБОТЫ!$Z$2:$Z$1058,MATCH($L895,РАБОТЫ!$V$2:$V$1058,0)),IF(ISNUMBER($K895),INDEX(РАБОТЫ!$Y$2:$Y$1058,$K895),""))</f>
        <v/>
      </c>
      <c r="D895" t="str">
        <f>IF(ISNUMBER($K895),INDEX(РАБОТЫ!$E$2:$E$1058,$K895),"")</f>
        <v/>
      </c>
      <c r="E895" t="str">
        <f>IF(ISNUMBER($K895),INDEX(РАБОТЫ!$M$2:$M$1058,$K895),"")</f>
        <v/>
      </c>
      <c r="F895" s="7" t="str">
        <f>IF(ISNUMBER($K895),INDEX(РАБОТЫ!$S$2:$S$1058,$K895),"")</f>
        <v/>
      </c>
      <c r="G895" s="7" t="str">
        <f>IF(ISNUMBER($K895),INDEX(РАБОТЫ!$T$2:$T$1058,$K895),"")</f>
        <v/>
      </c>
      <c r="H895" s="7" t="str">
        <f t="shared" si="52"/>
        <v/>
      </c>
      <c r="I895" s="7" t="str">
        <f t="shared" si="53"/>
        <v/>
      </c>
      <c r="J895" s="7" t="str">
        <f t="shared" si="54"/>
        <v/>
      </c>
      <c r="K895" t="str">
        <f>IFERROR(MATCH(874,РАБОТЫ!$X$2:$X$1058,0),"")</f>
        <v/>
      </c>
      <c r="L895" t="str">
        <f>IFERROR(IF(INDEX(РАБОТЫ!$W$2:$W$1058,MATCH(874+1,РАБОТЫ!$X$2:$X$1058,0))=1,INDEX(РАБОТЫ!$V$2:$V$1058,MATCH(874+1,РАБОТЫ!$X$2:$X$1058,0)),""),"")</f>
        <v/>
      </c>
      <c r="M895" t="str">
        <f t="shared" si="55"/>
        <v/>
      </c>
    </row>
    <row r="896" spans="1:13" hidden="1" x14ac:dyDescent="0.3">
      <c r="A896" t="str">
        <f>IF(ISNUMBER($K896),INDEX(РАБОТЫ!$U$2:$U$1058,$K896),"")</f>
        <v/>
      </c>
      <c r="B896" t="str">
        <f>IF(ISNUMBER($K896),INDEX(РАБОТЫ!$A$2:$A$1058,$K896),"")</f>
        <v/>
      </c>
      <c r="C896" s="4" t="str">
        <f>IF($L896&lt;&gt;"",INDEX(РАБОТЫ!$Z$2:$Z$1058,MATCH($L896,РАБОТЫ!$V$2:$V$1058,0)),IF(ISNUMBER($K896),INDEX(РАБОТЫ!$Y$2:$Y$1058,$K896),""))</f>
        <v/>
      </c>
      <c r="D896" t="str">
        <f>IF(ISNUMBER($K896),INDEX(РАБОТЫ!$E$2:$E$1058,$K896),"")</f>
        <v/>
      </c>
      <c r="E896" t="str">
        <f>IF(ISNUMBER($K896),INDEX(РАБОТЫ!$M$2:$M$1058,$K896),"")</f>
        <v/>
      </c>
      <c r="F896" s="7" t="str">
        <f>IF(ISNUMBER($K896),INDEX(РАБОТЫ!$S$2:$S$1058,$K896),"")</f>
        <v/>
      </c>
      <c r="G896" s="7" t="str">
        <f>IF(ISNUMBER($K896),INDEX(РАБОТЫ!$T$2:$T$1058,$K896),"")</f>
        <v/>
      </c>
      <c r="H896" s="7" t="str">
        <f t="shared" si="52"/>
        <v/>
      </c>
      <c r="I896" s="7" t="str">
        <f t="shared" si="53"/>
        <v/>
      </c>
      <c r="J896" s="7" t="str">
        <f t="shared" si="54"/>
        <v/>
      </c>
      <c r="K896" t="str">
        <f>IFERROR(MATCH(875,РАБОТЫ!$X$2:$X$1058,0),"")</f>
        <v/>
      </c>
      <c r="L896" t="str">
        <f>IFERROR(IF(INDEX(РАБОТЫ!$W$2:$W$1058,MATCH(875+1,РАБОТЫ!$X$2:$X$1058,0))=1,INDEX(РАБОТЫ!$V$2:$V$1058,MATCH(875+1,РАБОТЫ!$X$2:$X$1058,0)),""),"")</f>
        <v/>
      </c>
      <c r="M896" t="str">
        <f t="shared" si="55"/>
        <v/>
      </c>
    </row>
    <row r="897" spans="1:13" hidden="1" x14ac:dyDescent="0.3">
      <c r="A897" t="str">
        <f>IF(ISNUMBER($K897),INDEX(РАБОТЫ!$U$2:$U$1058,$K897),"")</f>
        <v/>
      </c>
      <c r="B897" t="str">
        <f>IF(ISNUMBER($K897),INDEX(РАБОТЫ!$A$2:$A$1058,$K897),"")</f>
        <v/>
      </c>
      <c r="C897" s="4" t="str">
        <f>IF($L897&lt;&gt;"",INDEX(РАБОТЫ!$Z$2:$Z$1058,MATCH($L897,РАБОТЫ!$V$2:$V$1058,0)),IF(ISNUMBER($K897),INDEX(РАБОТЫ!$Y$2:$Y$1058,$K897),""))</f>
        <v/>
      </c>
      <c r="D897" t="str">
        <f>IF(ISNUMBER($K897),INDEX(РАБОТЫ!$E$2:$E$1058,$K897),"")</f>
        <v/>
      </c>
      <c r="E897" t="str">
        <f>IF(ISNUMBER($K897),INDEX(РАБОТЫ!$M$2:$M$1058,$K897),"")</f>
        <v/>
      </c>
      <c r="F897" s="7" t="str">
        <f>IF(ISNUMBER($K897),INDEX(РАБОТЫ!$S$2:$S$1058,$K897),"")</f>
        <v/>
      </c>
      <c r="G897" s="7" t="str">
        <f>IF(ISNUMBER($K897),INDEX(РАБОТЫ!$T$2:$T$1058,$K897),"")</f>
        <v/>
      </c>
      <c r="H897" s="7" t="str">
        <f t="shared" si="52"/>
        <v/>
      </c>
      <c r="I897" s="7" t="str">
        <f t="shared" si="53"/>
        <v/>
      </c>
      <c r="J897" s="7" t="str">
        <f t="shared" si="54"/>
        <v/>
      </c>
      <c r="K897" t="str">
        <f>IFERROR(MATCH(876,РАБОТЫ!$X$2:$X$1058,0),"")</f>
        <v/>
      </c>
      <c r="L897" t="str">
        <f>IFERROR(IF(INDEX(РАБОТЫ!$W$2:$W$1058,MATCH(876+1,РАБОТЫ!$X$2:$X$1058,0))=1,INDEX(РАБОТЫ!$V$2:$V$1058,MATCH(876+1,РАБОТЫ!$X$2:$X$1058,0)),""),"")</f>
        <v/>
      </c>
      <c r="M897" t="str">
        <f t="shared" si="55"/>
        <v/>
      </c>
    </row>
    <row r="898" spans="1:13" hidden="1" x14ac:dyDescent="0.3">
      <c r="A898" t="str">
        <f>IF(ISNUMBER($K898),INDEX(РАБОТЫ!$U$2:$U$1058,$K898),"")</f>
        <v/>
      </c>
      <c r="B898" t="str">
        <f>IF(ISNUMBER($K898),INDEX(РАБОТЫ!$A$2:$A$1058,$K898),"")</f>
        <v/>
      </c>
      <c r="C898" s="4" t="str">
        <f>IF($L898&lt;&gt;"",INDEX(РАБОТЫ!$Z$2:$Z$1058,MATCH($L898,РАБОТЫ!$V$2:$V$1058,0)),IF(ISNUMBER($K898),INDEX(РАБОТЫ!$Y$2:$Y$1058,$K898),""))</f>
        <v/>
      </c>
      <c r="D898" t="str">
        <f>IF(ISNUMBER($K898),INDEX(РАБОТЫ!$E$2:$E$1058,$K898),"")</f>
        <v/>
      </c>
      <c r="E898" t="str">
        <f>IF(ISNUMBER($K898),INDEX(РАБОТЫ!$M$2:$M$1058,$K898),"")</f>
        <v/>
      </c>
      <c r="F898" s="7" t="str">
        <f>IF(ISNUMBER($K898),INDEX(РАБОТЫ!$S$2:$S$1058,$K898),"")</f>
        <v/>
      </c>
      <c r="G898" s="7" t="str">
        <f>IF(ISNUMBER($K898),INDEX(РАБОТЫ!$T$2:$T$1058,$K898),"")</f>
        <v/>
      </c>
      <c r="H898" s="7" t="str">
        <f t="shared" si="52"/>
        <v/>
      </c>
      <c r="I898" s="7" t="str">
        <f t="shared" si="53"/>
        <v/>
      </c>
      <c r="J898" s="7" t="str">
        <f t="shared" si="54"/>
        <v/>
      </c>
      <c r="K898" t="str">
        <f>IFERROR(MATCH(877,РАБОТЫ!$X$2:$X$1058,0),"")</f>
        <v/>
      </c>
      <c r="L898" t="str">
        <f>IFERROR(IF(INDEX(РАБОТЫ!$W$2:$W$1058,MATCH(877+1,РАБОТЫ!$X$2:$X$1058,0))=1,INDEX(РАБОТЫ!$V$2:$V$1058,MATCH(877+1,РАБОТЫ!$X$2:$X$1058,0)),""),"")</f>
        <v/>
      </c>
      <c r="M898" t="str">
        <f t="shared" si="55"/>
        <v/>
      </c>
    </row>
    <row r="899" spans="1:13" hidden="1" x14ac:dyDescent="0.3">
      <c r="A899" t="str">
        <f>IF(ISNUMBER($K899),INDEX(РАБОТЫ!$U$2:$U$1058,$K899),"")</f>
        <v/>
      </c>
      <c r="B899" t="str">
        <f>IF(ISNUMBER($K899),INDEX(РАБОТЫ!$A$2:$A$1058,$K899),"")</f>
        <v/>
      </c>
      <c r="C899" s="4" t="str">
        <f>IF($L899&lt;&gt;"",INDEX(РАБОТЫ!$Z$2:$Z$1058,MATCH($L899,РАБОТЫ!$V$2:$V$1058,0)),IF(ISNUMBER($K899),INDEX(РАБОТЫ!$Y$2:$Y$1058,$K899),""))</f>
        <v/>
      </c>
      <c r="D899" t="str">
        <f>IF(ISNUMBER($K899),INDEX(РАБОТЫ!$E$2:$E$1058,$K899),"")</f>
        <v/>
      </c>
      <c r="E899" t="str">
        <f>IF(ISNUMBER($K899),INDEX(РАБОТЫ!$M$2:$M$1058,$K899),"")</f>
        <v/>
      </c>
      <c r="F899" s="7" t="str">
        <f>IF(ISNUMBER($K899),INDEX(РАБОТЫ!$S$2:$S$1058,$K899),"")</f>
        <v/>
      </c>
      <c r="G899" s="7" t="str">
        <f>IF(ISNUMBER($K899),INDEX(РАБОТЫ!$T$2:$T$1058,$K899),"")</f>
        <v/>
      </c>
      <c r="H899" s="7" t="str">
        <f t="shared" si="52"/>
        <v/>
      </c>
      <c r="I899" s="7" t="str">
        <f t="shared" si="53"/>
        <v/>
      </c>
      <c r="J899" s="7" t="str">
        <f t="shared" si="54"/>
        <v/>
      </c>
      <c r="K899" t="str">
        <f>IFERROR(MATCH(878,РАБОТЫ!$X$2:$X$1058,0),"")</f>
        <v/>
      </c>
      <c r="L899" t="str">
        <f>IFERROR(IF(INDEX(РАБОТЫ!$W$2:$W$1058,MATCH(878+1,РАБОТЫ!$X$2:$X$1058,0))=1,INDEX(РАБОТЫ!$V$2:$V$1058,MATCH(878+1,РАБОТЫ!$X$2:$X$1058,0)),""),"")</f>
        <v/>
      </c>
      <c r="M899" t="str">
        <f t="shared" si="55"/>
        <v/>
      </c>
    </row>
    <row r="900" spans="1:13" hidden="1" x14ac:dyDescent="0.3">
      <c r="A900" t="str">
        <f>IF(ISNUMBER($K900),INDEX(РАБОТЫ!$U$2:$U$1058,$K900),"")</f>
        <v/>
      </c>
      <c r="B900" t="str">
        <f>IF(ISNUMBER($K900),INDEX(РАБОТЫ!$A$2:$A$1058,$K900),"")</f>
        <v/>
      </c>
      <c r="C900" s="4" t="str">
        <f>IF($L900&lt;&gt;"",INDEX(РАБОТЫ!$Z$2:$Z$1058,MATCH($L900,РАБОТЫ!$V$2:$V$1058,0)),IF(ISNUMBER($K900),INDEX(РАБОТЫ!$Y$2:$Y$1058,$K900),""))</f>
        <v/>
      </c>
      <c r="D900" t="str">
        <f>IF(ISNUMBER($K900),INDEX(РАБОТЫ!$E$2:$E$1058,$K900),"")</f>
        <v/>
      </c>
      <c r="E900" t="str">
        <f>IF(ISNUMBER($K900),INDEX(РАБОТЫ!$M$2:$M$1058,$K900),"")</f>
        <v/>
      </c>
      <c r="F900" s="7" t="str">
        <f>IF(ISNUMBER($K900),INDEX(РАБОТЫ!$S$2:$S$1058,$K900),"")</f>
        <v/>
      </c>
      <c r="G900" s="7" t="str">
        <f>IF(ISNUMBER($K900),INDEX(РАБОТЫ!$T$2:$T$1058,$K900),"")</f>
        <v/>
      </c>
      <c r="H900" s="7" t="str">
        <f t="shared" si="52"/>
        <v/>
      </c>
      <c r="I900" s="7" t="str">
        <f t="shared" si="53"/>
        <v/>
      </c>
      <c r="J900" s="7" t="str">
        <f t="shared" si="54"/>
        <v/>
      </c>
      <c r="K900" t="str">
        <f>IFERROR(MATCH(879,РАБОТЫ!$X$2:$X$1058,0),"")</f>
        <v/>
      </c>
      <c r="L900" t="str">
        <f>IFERROR(IF(INDEX(РАБОТЫ!$W$2:$W$1058,MATCH(879+1,РАБОТЫ!$X$2:$X$1058,0))=1,INDEX(РАБОТЫ!$V$2:$V$1058,MATCH(879+1,РАБОТЫ!$X$2:$X$1058,0)),""),"")</f>
        <v/>
      </c>
      <c r="M900" t="str">
        <f t="shared" si="55"/>
        <v/>
      </c>
    </row>
    <row r="901" spans="1:13" hidden="1" x14ac:dyDescent="0.3">
      <c r="A901" t="str">
        <f>IF(ISNUMBER($K901),INDEX(РАБОТЫ!$U$2:$U$1058,$K901),"")</f>
        <v/>
      </c>
      <c r="B901" t="str">
        <f>IF(ISNUMBER($K901),INDEX(РАБОТЫ!$A$2:$A$1058,$K901),"")</f>
        <v/>
      </c>
      <c r="C901" s="4" t="str">
        <f>IF($L901&lt;&gt;"",INDEX(РАБОТЫ!$Z$2:$Z$1058,MATCH($L901,РАБОТЫ!$V$2:$V$1058,0)),IF(ISNUMBER($K901),INDEX(РАБОТЫ!$Y$2:$Y$1058,$K901),""))</f>
        <v/>
      </c>
      <c r="D901" t="str">
        <f>IF(ISNUMBER($K901),INDEX(РАБОТЫ!$E$2:$E$1058,$K901),"")</f>
        <v/>
      </c>
      <c r="E901" t="str">
        <f>IF(ISNUMBER($K901),INDEX(РАБОТЫ!$M$2:$M$1058,$K901),"")</f>
        <v/>
      </c>
      <c r="F901" s="7" t="str">
        <f>IF(ISNUMBER($K901),INDEX(РАБОТЫ!$S$2:$S$1058,$K901),"")</f>
        <v/>
      </c>
      <c r="G901" s="7" t="str">
        <f>IF(ISNUMBER($K901),INDEX(РАБОТЫ!$T$2:$T$1058,$K901),"")</f>
        <v/>
      </c>
      <c r="H901" s="7" t="str">
        <f t="shared" si="52"/>
        <v/>
      </c>
      <c r="I901" s="7" t="str">
        <f t="shared" si="53"/>
        <v/>
      </c>
      <c r="J901" s="7" t="str">
        <f t="shared" si="54"/>
        <v/>
      </c>
      <c r="K901" t="str">
        <f>IFERROR(MATCH(880,РАБОТЫ!$X$2:$X$1058,0),"")</f>
        <v/>
      </c>
      <c r="L901" t="str">
        <f>IFERROR(IF(INDEX(РАБОТЫ!$W$2:$W$1058,MATCH(880+1,РАБОТЫ!$X$2:$X$1058,0))=1,INDEX(РАБОТЫ!$V$2:$V$1058,MATCH(880+1,РАБОТЫ!$X$2:$X$1058,0)),""),"")</f>
        <v/>
      </c>
      <c r="M901" t="str">
        <f t="shared" si="55"/>
        <v/>
      </c>
    </row>
    <row r="902" spans="1:13" hidden="1" x14ac:dyDescent="0.3">
      <c r="A902" t="str">
        <f>IF(ISNUMBER($K902),INDEX(РАБОТЫ!$U$2:$U$1058,$K902),"")</f>
        <v/>
      </c>
      <c r="B902" t="str">
        <f>IF(ISNUMBER($K902),INDEX(РАБОТЫ!$A$2:$A$1058,$K902),"")</f>
        <v/>
      </c>
      <c r="C902" s="4" t="str">
        <f>IF($L902&lt;&gt;"",INDEX(РАБОТЫ!$Z$2:$Z$1058,MATCH($L902,РАБОТЫ!$V$2:$V$1058,0)),IF(ISNUMBER($K902),INDEX(РАБОТЫ!$Y$2:$Y$1058,$K902),""))</f>
        <v/>
      </c>
      <c r="D902" t="str">
        <f>IF(ISNUMBER($K902),INDEX(РАБОТЫ!$E$2:$E$1058,$K902),"")</f>
        <v/>
      </c>
      <c r="E902" t="str">
        <f>IF(ISNUMBER($K902),INDEX(РАБОТЫ!$M$2:$M$1058,$K902),"")</f>
        <v/>
      </c>
      <c r="F902" s="7" t="str">
        <f>IF(ISNUMBER($K902),INDEX(РАБОТЫ!$S$2:$S$1058,$K902),"")</f>
        <v/>
      </c>
      <c r="G902" s="7" t="str">
        <f>IF(ISNUMBER($K902),INDEX(РАБОТЫ!$T$2:$T$1058,$K902),"")</f>
        <v/>
      </c>
      <c r="H902" s="7" t="str">
        <f t="shared" si="52"/>
        <v/>
      </c>
      <c r="I902" s="7" t="str">
        <f t="shared" si="53"/>
        <v/>
      </c>
      <c r="J902" s="7" t="str">
        <f t="shared" si="54"/>
        <v/>
      </c>
      <c r="K902" t="str">
        <f>IFERROR(MATCH(881,РАБОТЫ!$X$2:$X$1058,0),"")</f>
        <v/>
      </c>
      <c r="L902" t="str">
        <f>IFERROR(IF(INDEX(РАБОТЫ!$W$2:$W$1058,MATCH(881+1,РАБОТЫ!$X$2:$X$1058,0))=1,INDEX(РАБОТЫ!$V$2:$V$1058,MATCH(881+1,РАБОТЫ!$X$2:$X$1058,0)),""),"")</f>
        <v/>
      </c>
      <c r="M902" t="str">
        <f t="shared" si="55"/>
        <v/>
      </c>
    </row>
    <row r="903" spans="1:13" hidden="1" x14ac:dyDescent="0.3">
      <c r="A903" t="str">
        <f>IF(ISNUMBER($K903),INDEX(РАБОТЫ!$U$2:$U$1058,$K903),"")</f>
        <v/>
      </c>
      <c r="B903" t="str">
        <f>IF(ISNUMBER($K903),INDEX(РАБОТЫ!$A$2:$A$1058,$K903),"")</f>
        <v/>
      </c>
      <c r="C903" s="4" t="str">
        <f>IF($L903&lt;&gt;"",INDEX(РАБОТЫ!$Z$2:$Z$1058,MATCH($L903,РАБОТЫ!$V$2:$V$1058,0)),IF(ISNUMBER($K903),INDEX(РАБОТЫ!$Y$2:$Y$1058,$K903),""))</f>
        <v/>
      </c>
      <c r="D903" t="str">
        <f>IF(ISNUMBER($K903),INDEX(РАБОТЫ!$E$2:$E$1058,$K903),"")</f>
        <v/>
      </c>
      <c r="E903" t="str">
        <f>IF(ISNUMBER($K903),INDEX(РАБОТЫ!$M$2:$M$1058,$K903),"")</f>
        <v/>
      </c>
      <c r="F903" s="7" t="str">
        <f>IF(ISNUMBER($K903),INDEX(РАБОТЫ!$S$2:$S$1058,$K903),"")</f>
        <v/>
      </c>
      <c r="G903" s="7" t="str">
        <f>IF(ISNUMBER($K903),INDEX(РАБОТЫ!$T$2:$T$1058,$K903),"")</f>
        <v/>
      </c>
      <c r="H903" s="7" t="str">
        <f t="shared" si="52"/>
        <v/>
      </c>
      <c r="I903" s="7" t="str">
        <f t="shared" si="53"/>
        <v/>
      </c>
      <c r="J903" s="7" t="str">
        <f t="shared" si="54"/>
        <v/>
      </c>
      <c r="K903" t="str">
        <f>IFERROR(MATCH(882,РАБОТЫ!$X$2:$X$1058,0),"")</f>
        <v/>
      </c>
      <c r="L903" t="str">
        <f>IFERROR(IF(INDEX(РАБОТЫ!$W$2:$W$1058,MATCH(882+1,РАБОТЫ!$X$2:$X$1058,0))=1,INDEX(РАБОТЫ!$V$2:$V$1058,MATCH(882+1,РАБОТЫ!$X$2:$X$1058,0)),""),"")</f>
        <v/>
      </c>
      <c r="M903" t="str">
        <f t="shared" si="55"/>
        <v/>
      </c>
    </row>
    <row r="904" spans="1:13" hidden="1" x14ac:dyDescent="0.3">
      <c r="A904" t="str">
        <f>IF(ISNUMBER($K904),INDEX(РАБОТЫ!$U$2:$U$1058,$K904),"")</f>
        <v/>
      </c>
      <c r="B904" t="str">
        <f>IF(ISNUMBER($K904),INDEX(РАБОТЫ!$A$2:$A$1058,$K904),"")</f>
        <v/>
      </c>
      <c r="C904" s="4" t="str">
        <f>IF($L904&lt;&gt;"",INDEX(РАБОТЫ!$Z$2:$Z$1058,MATCH($L904,РАБОТЫ!$V$2:$V$1058,0)),IF(ISNUMBER($K904),INDEX(РАБОТЫ!$Y$2:$Y$1058,$K904),""))</f>
        <v/>
      </c>
      <c r="D904" t="str">
        <f>IF(ISNUMBER($K904),INDEX(РАБОТЫ!$E$2:$E$1058,$K904),"")</f>
        <v/>
      </c>
      <c r="E904" t="str">
        <f>IF(ISNUMBER($K904),INDEX(РАБОТЫ!$M$2:$M$1058,$K904),"")</f>
        <v/>
      </c>
      <c r="F904" s="7" t="str">
        <f>IF(ISNUMBER($K904),INDEX(РАБОТЫ!$S$2:$S$1058,$K904),"")</f>
        <v/>
      </c>
      <c r="G904" s="7" t="str">
        <f>IF(ISNUMBER($K904),INDEX(РАБОТЫ!$T$2:$T$1058,$K904),"")</f>
        <v/>
      </c>
      <c r="H904" s="7" t="str">
        <f t="shared" si="52"/>
        <v/>
      </c>
      <c r="I904" s="7" t="str">
        <f t="shared" si="53"/>
        <v/>
      </c>
      <c r="J904" s="7" t="str">
        <f t="shared" si="54"/>
        <v/>
      </c>
      <c r="K904" t="str">
        <f>IFERROR(MATCH(883,РАБОТЫ!$X$2:$X$1058,0),"")</f>
        <v/>
      </c>
      <c r="L904" t="str">
        <f>IFERROR(IF(INDEX(РАБОТЫ!$W$2:$W$1058,MATCH(883+1,РАБОТЫ!$X$2:$X$1058,0))=1,INDEX(РАБОТЫ!$V$2:$V$1058,MATCH(883+1,РАБОТЫ!$X$2:$X$1058,0)),""),"")</f>
        <v/>
      </c>
      <c r="M904" t="str">
        <f t="shared" si="55"/>
        <v/>
      </c>
    </row>
    <row r="905" spans="1:13" hidden="1" x14ac:dyDescent="0.3">
      <c r="A905" t="str">
        <f>IF(ISNUMBER($K905),INDEX(РАБОТЫ!$U$2:$U$1058,$K905),"")</f>
        <v/>
      </c>
      <c r="B905" t="str">
        <f>IF(ISNUMBER($K905),INDEX(РАБОТЫ!$A$2:$A$1058,$K905),"")</f>
        <v/>
      </c>
      <c r="C905" s="4" t="str">
        <f>IF($L905&lt;&gt;"",INDEX(РАБОТЫ!$Z$2:$Z$1058,MATCH($L905,РАБОТЫ!$V$2:$V$1058,0)),IF(ISNUMBER($K905),INDEX(РАБОТЫ!$Y$2:$Y$1058,$K905),""))</f>
        <v/>
      </c>
      <c r="D905" t="str">
        <f>IF(ISNUMBER($K905),INDEX(РАБОТЫ!$E$2:$E$1058,$K905),"")</f>
        <v/>
      </c>
      <c r="E905" t="str">
        <f>IF(ISNUMBER($K905),INDEX(РАБОТЫ!$M$2:$M$1058,$K905),"")</f>
        <v/>
      </c>
      <c r="F905" s="7" t="str">
        <f>IF(ISNUMBER($K905),INDEX(РАБОТЫ!$S$2:$S$1058,$K905),"")</f>
        <v/>
      </c>
      <c r="G905" s="7" t="str">
        <f>IF(ISNUMBER($K905),INDEX(РАБОТЫ!$T$2:$T$1058,$K905),"")</f>
        <v/>
      </c>
      <c r="H905" s="7" t="str">
        <f t="shared" si="52"/>
        <v/>
      </c>
      <c r="I905" s="7" t="str">
        <f t="shared" si="53"/>
        <v/>
      </c>
      <c r="J905" s="7" t="str">
        <f t="shared" si="54"/>
        <v/>
      </c>
      <c r="K905" t="str">
        <f>IFERROR(MATCH(884,РАБОТЫ!$X$2:$X$1058,0),"")</f>
        <v/>
      </c>
      <c r="L905" t="str">
        <f>IFERROR(IF(INDEX(РАБОТЫ!$W$2:$W$1058,MATCH(884+1,РАБОТЫ!$X$2:$X$1058,0))=1,INDEX(РАБОТЫ!$V$2:$V$1058,MATCH(884+1,РАБОТЫ!$X$2:$X$1058,0)),""),"")</f>
        <v/>
      </c>
      <c r="M905" t="str">
        <f t="shared" si="55"/>
        <v/>
      </c>
    </row>
    <row r="906" spans="1:13" hidden="1" x14ac:dyDescent="0.3">
      <c r="A906" t="str">
        <f>IF(ISNUMBER($K906),INDEX(РАБОТЫ!$U$2:$U$1058,$K906),"")</f>
        <v/>
      </c>
      <c r="B906" t="str">
        <f>IF(ISNUMBER($K906),INDEX(РАБОТЫ!$A$2:$A$1058,$K906),"")</f>
        <v/>
      </c>
      <c r="C906" s="4" t="str">
        <f>IF($L906&lt;&gt;"",INDEX(РАБОТЫ!$Z$2:$Z$1058,MATCH($L906,РАБОТЫ!$V$2:$V$1058,0)),IF(ISNUMBER($K906),INDEX(РАБОТЫ!$Y$2:$Y$1058,$K906),""))</f>
        <v/>
      </c>
      <c r="D906" t="str">
        <f>IF(ISNUMBER($K906),INDEX(РАБОТЫ!$E$2:$E$1058,$K906),"")</f>
        <v/>
      </c>
      <c r="E906" t="str">
        <f>IF(ISNUMBER($K906),INDEX(РАБОТЫ!$M$2:$M$1058,$K906),"")</f>
        <v/>
      </c>
      <c r="F906" s="7" t="str">
        <f>IF(ISNUMBER($K906),INDEX(РАБОТЫ!$S$2:$S$1058,$K906),"")</f>
        <v/>
      </c>
      <c r="G906" s="7" t="str">
        <f>IF(ISNUMBER($K906),INDEX(РАБОТЫ!$T$2:$T$1058,$K906),"")</f>
        <v/>
      </c>
      <c r="H906" s="7" t="str">
        <f t="shared" si="52"/>
        <v/>
      </c>
      <c r="I906" s="7" t="str">
        <f t="shared" si="53"/>
        <v/>
      </c>
      <c r="J906" s="7" t="str">
        <f t="shared" si="54"/>
        <v/>
      </c>
      <c r="K906" t="str">
        <f>IFERROR(MATCH(885,РАБОТЫ!$X$2:$X$1058,0),"")</f>
        <v/>
      </c>
      <c r="L906" t="str">
        <f>IFERROR(IF(INDEX(РАБОТЫ!$W$2:$W$1058,MATCH(885+1,РАБОТЫ!$X$2:$X$1058,0))=1,INDEX(РАБОТЫ!$V$2:$V$1058,MATCH(885+1,РАБОТЫ!$X$2:$X$1058,0)),""),"")</f>
        <v/>
      </c>
      <c r="M906" t="str">
        <f t="shared" si="55"/>
        <v/>
      </c>
    </row>
    <row r="907" spans="1:13" hidden="1" x14ac:dyDescent="0.3">
      <c r="A907" t="str">
        <f>IF(ISNUMBER($K907),INDEX(РАБОТЫ!$U$2:$U$1058,$K907),"")</f>
        <v/>
      </c>
      <c r="B907" t="str">
        <f>IF(ISNUMBER($K907),INDEX(РАБОТЫ!$A$2:$A$1058,$K907),"")</f>
        <v/>
      </c>
      <c r="C907" s="4" t="str">
        <f>IF($L907&lt;&gt;"",INDEX(РАБОТЫ!$Z$2:$Z$1058,MATCH($L907,РАБОТЫ!$V$2:$V$1058,0)),IF(ISNUMBER($K907),INDEX(РАБОТЫ!$Y$2:$Y$1058,$K907),""))</f>
        <v/>
      </c>
      <c r="D907" t="str">
        <f>IF(ISNUMBER($K907),INDEX(РАБОТЫ!$E$2:$E$1058,$K907),"")</f>
        <v/>
      </c>
      <c r="E907" t="str">
        <f>IF(ISNUMBER($K907),INDEX(РАБОТЫ!$M$2:$M$1058,$K907),"")</f>
        <v/>
      </c>
      <c r="F907" s="7" t="str">
        <f>IF(ISNUMBER($K907),INDEX(РАБОТЫ!$S$2:$S$1058,$K907),"")</f>
        <v/>
      </c>
      <c r="G907" s="7" t="str">
        <f>IF(ISNUMBER($K907),INDEX(РАБОТЫ!$T$2:$T$1058,$K907),"")</f>
        <v/>
      </c>
      <c r="H907" s="7" t="str">
        <f t="shared" si="52"/>
        <v/>
      </c>
      <c r="I907" s="7" t="str">
        <f t="shared" si="53"/>
        <v/>
      </c>
      <c r="J907" s="7" t="str">
        <f t="shared" si="54"/>
        <v/>
      </c>
      <c r="K907" t="str">
        <f>IFERROR(MATCH(886,РАБОТЫ!$X$2:$X$1058,0),"")</f>
        <v/>
      </c>
      <c r="L907" t="str">
        <f>IFERROR(IF(INDEX(РАБОТЫ!$W$2:$W$1058,MATCH(886+1,РАБОТЫ!$X$2:$X$1058,0))=1,INDEX(РАБОТЫ!$V$2:$V$1058,MATCH(886+1,РАБОТЫ!$X$2:$X$1058,0)),""),"")</f>
        <v/>
      </c>
      <c r="M907" t="str">
        <f t="shared" si="55"/>
        <v/>
      </c>
    </row>
    <row r="908" spans="1:13" hidden="1" x14ac:dyDescent="0.3">
      <c r="A908" t="str">
        <f>IF(ISNUMBER($K908),INDEX(РАБОТЫ!$U$2:$U$1058,$K908),"")</f>
        <v/>
      </c>
      <c r="B908" t="str">
        <f>IF(ISNUMBER($K908),INDEX(РАБОТЫ!$A$2:$A$1058,$K908),"")</f>
        <v/>
      </c>
      <c r="C908" s="4" t="str">
        <f>IF($L908&lt;&gt;"",INDEX(РАБОТЫ!$Z$2:$Z$1058,MATCH($L908,РАБОТЫ!$V$2:$V$1058,0)),IF(ISNUMBER($K908),INDEX(РАБОТЫ!$Y$2:$Y$1058,$K908),""))</f>
        <v/>
      </c>
      <c r="D908" t="str">
        <f>IF(ISNUMBER($K908),INDEX(РАБОТЫ!$E$2:$E$1058,$K908),"")</f>
        <v/>
      </c>
      <c r="E908" t="str">
        <f>IF(ISNUMBER($K908),INDEX(РАБОТЫ!$M$2:$M$1058,$K908),"")</f>
        <v/>
      </c>
      <c r="F908" s="7" t="str">
        <f>IF(ISNUMBER($K908),INDEX(РАБОТЫ!$S$2:$S$1058,$K908),"")</f>
        <v/>
      </c>
      <c r="G908" s="7" t="str">
        <f>IF(ISNUMBER($K908),INDEX(РАБОТЫ!$T$2:$T$1058,$K908),"")</f>
        <v/>
      </c>
      <c r="H908" s="7" t="str">
        <f t="shared" si="52"/>
        <v/>
      </c>
      <c r="I908" s="7" t="str">
        <f t="shared" si="53"/>
        <v/>
      </c>
      <c r="J908" s="7" t="str">
        <f t="shared" si="54"/>
        <v/>
      </c>
      <c r="K908" t="str">
        <f>IFERROR(MATCH(887,РАБОТЫ!$X$2:$X$1058,0),"")</f>
        <v/>
      </c>
      <c r="L908" t="str">
        <f>IFERROR(IF(INDEX(РАБОТЫ!$W$2:$W$1058,MATCH(887+1,РАБОТЫ!$X$2:$X$1058,0))=1,INDEX(РАБОТЫ!$V$2:$V$1058,MATCH(887+1,РАБОТЫ!$X$2:$X$1058,0)),""),"")</f>
        <v/>
      </c>
      <c r="M908" t="str">
        <f t="shared" si="55"/>
        <v/>
      </c>
    </row>
    <row r="909" spans="1:13" hidden="1" x14ac:dyDescent="0.3">
      <c r="A909" t="str">
        <f>IF(ISNUMBER($K909),INDEX(РАБОТЫ!$U$2:$U$1058,$K909),"")</f>
        <v/>
      </c>
      <c r="B909" t="str">
        <f>IF(ISNUMBER($K909),INDEX(РАБОТЫ!$A$2:$A$1058,$K909),"")</f>
        <v/>
      </c>
      <c r="C909" s="4" t="str">
        <f>IF($L909&lt;&gt;"",INDEX(РАБОТЫ!$Z$2:$Z$1058,MATCH($L909,РАБОТЫ!$V$2:$V$1058,0)),IF(ISNUMBER($K909),INDEX(РАБОТЫ!$Y$2:$Y$1058,$K909),""))</f>
        <v/>
      </c>
      <c r="D909" t="str">
        <f>IF(ISNUMBER($K909),INDEX(РАБОТЫ!$E$2:$E$1058,$K909),"")</f>
        <v/>
      </c>
      <c r="E909" t="str">
        <f>IF(ISNUMBER($K909),INDEX(РАБОТЫ!$M$2:$M$1058,$K909),"")</f>
        <v/>
      </c>
      <c r="F909" s="7" t="str">
        <f>IF(ISNUMBER($K909),INDEX(РАБОТЫ!$S$2:$S$1058,$K909),"")</f>
        <v/>
      </c>
      <c r="G909" s="7" t="str">
        <f>IF(ISNUMBER($K909),INDEX(РАБОТЫ!$T$2:$T$1058,$K909),"")</f>
        <v/>
      </c>
      <c r="H909" s="7" t="str">
        <f t="shared" si="52"/>
        <v/>
      </c>
      <c r="I909" s="7" t="str">
        <f t="shared" si="53"/>
        <v/>
      </c>
      <c r="J909" s="7" t="str">
        <f t="shared" si="54"/>
        <v/>
      </c>
      <c r="K909" t="str">
        <f>IFERROR(MATCH(888,РАБОТЫ!$X$2:$X$1058,0),"")</f>
        <v/>
      </c>
      <c r="L909" t="str">
        <f>IFERROR(IF(INDEX(РАБОТЫ!$W$2:$W$1058,MATCH(888+1,РАБОТЫ!$X$2:$X$1058,0))=1,INDEX(РАБОТЫ!$V$2:$V$1058,MATCH(888+1,РАБОТЫ!$X$2:$X$1058,0)),""),"")</f>
        <v/>
      </c>
      <c r="M909" t="str">
        <f t="shared" si="55"/>
        <v/>
      </c>
    </row>
    <row r="910" spans="1:13" hidden="1" x14ac:dyDescent="0.3">
      <c r="A910" t="str">
        <f>IF(ISNUMBER($K910),INDEX(РАБОТЫ!$U$2:$U$1058,$K910),"")</f>
        <v/>
      </c>
      <c r="B910" t="str">
        <f>IF(ISNUMBER($K910),INDEX(РАБОТЫ!$A$2:$A$1058,$K910),"")</f>
        <v/>
      </c>
      <c r="C910" s="4" t="str">
        <f>IF($L910&lt;&gt;"",INDEX(РАБОТЫ!$Z$2:$Z$1058,MATCH($L910,РАБОТЫ!$V$2:$V$1058,0)),IF(ISNUMBER($K910),INDEX(РАБОТЫ!$Y$2:$Y$1058,$K910),""))</f>
        <v/>
      </c>
      <c r="D910" t="str">
        <f>IF(ISNUMBER($K910),INDEX(РАБОТЫ!$E$2:$E$1058,$K910),"")</f>
        <v/>
      </c>
      <c r="E910" t="str">
        <f>IF(ISNUMBER($K910),INDEX(РАБОТЫ!$M$2:$M$1058,$K910),"")</f>
        <v/>
      </c>
      <c r="F910" s="7" t="str">
        <f>IF(ISNUMBER($K910),INDEX(РАБОТЫ!$S$2:$S$1058,$K910),"")</f>
        <v/>
      </c>
      <c r="G910" s="7" t="str">
        <f>IF(ISNUMBER($K910),INDEX(РАБОТЫ!$T$2:$T$1058,$K910),"")</f>
        <v/>
      </c>
      <c r="H910" s="7" t="str">
        <f t="shared" si="52"/>
        <v/>
      </c>
      <c r="I910" s="7" t="str">
        <f t="shared" si="53"/>
        <v/>
      </c>
      <c r="J910" s="7" t="str">
        <f t="shared" si="54"/>
        <v/>
      </c>
      <c r="K910" t="str">
        <f>IFERROR(MATCH(889,РАБОТЫ!$X$2:$X$1058,0),"")</f>
        <v/>
      </c>
      <c r="L910" t="str">
        <f>IFERROR(IF(INDEX(РАБОТЫ!$W$2:$W$1058,MATCH(889+1,РАБОТЫ!$X$2:$X$1058,0))=1,INDEX(РАБОТЫ!$V$2:$V$1058,MATCH(889+1,РАБОТЫ!$X$2:$X$1058,0)),""),"")</f>
        <v/>
      </c>
      <c r="M910" t="str">
        <f t="shared" si="55"/>
        <v/>
      </c>
    </row>
    <row r="911" spans="1:13" hidden="1" x14ac:dyDescent="0.3">
      <c r="A911" t="str">
        <f>IF(ISNUMBER($K911),INDEX(РАБОТЫ!$U$2:$U$1058,$K911),"")</f>
        <v/>
      </c>
      <c r="B911" t="str">
        <f>IF(ISNUMBER($K911),INDEX(РАБОТЫ!$A$2:$A$1058,$K911),"")</f>
        <v/>
      </c>
      <c r="C911" s="4" t="str">
        <f>IF($L911&lt;&gt;"",INDEX(РАБОТЫ!$Z$2:$Z$1058,MATCH($L911,РАБОТЫ!$V$2:$V$1058,0)),IF(ISNUMBER($K911),INDEX(РАБОТЫ!$Y$2:$Y$1058,$K911),""))</f>
        <v/>
      </c>
      <c r="D911" t="str">
        <f>IF(ISNUMBER($K911),INDEX(РАБОТЫ!$E$2:$E$1058,$K911),"")</f>
        <v/>
      </c>
      <c r="E911" t="str">
        <f>IF(ISNUMBER($K911),INDEX(РАБОТЫ!$M$2:$M$1058,$K911),"")</f>
        <v/>
      </c>
      <c r="F911" s="7" t="str">
        <f>IF(ISNUMBER($K911),INDEX(РАБОТЫ!$S$2:$S$1058,$K911),"")</f>
        <v/>
      </c>
      <c r="G911" s="7" t="str">
        <f>IF(ISNUMBER($K911),INDEX(РАБОТЫ!$T$2:$T$1058,$K911),"")</f>
        <v/>
      </c>
      <c r="H911" s="7" t="str">
        <f t="shared" si="52"/>
        <v/>
      </c>
      <c r="I911" s="7" t="str">
        <f t="shared" si="53"/>
        <v/>
      </c>
      <c r="J911" s="7" t="str">
        <f t="shared" si="54"/>
        <v/>
      </c>
      <c r="K911" t="str">
        <f>IFERROR(MATCH(890,РАБОТЫ!$X$2:$X$1058,0),"")</f>
        <v/>
      </c>
      <c r="L911" t="str">
        <f>IFERROR(IF(INDEX(РАБОТЫ!$W$2:$W$1058,MATCH(890+1,РАБОТЫ!$X$2:$X$1058,0))=1,INDEX(РАБОТЫ!$V$2:$V$1058,MATCH(890+1,РАБОТЫ!$X$2:$X$1058,0)),""),"")</f>
        <v/>
      </c>
      <c r="M911" t="str">
        <f t="shared" si="55"/>
        <v/>
      </c>
    </row>
    <row r="912" spans="1:13" hidden="1" x14ac:dyDescent="0.3">
      <c r="A912" t="str">
        <f>IF(ISNUMBER($K912),INDEX(РАБОТЫ!$U$2:$U$1058,$K912),"")</f>
        <v/>
      </c>
      <c r="B912" t="str">
        <f>IF(ISNUMBER($K912),INDEX(РАБОТЫ!$A$2:$A$1058,$K912),"")</f>
        <v/>
      </c>
      <c r="C912" s="4" t="str">
        <f>IF($L912&lt;&gt;"",INDEX(РАБОТЫ!$Z$2:$Z$1058,MATCH($L912,РАБОТЫ!$V$2:$V$1058,0)),IF(ISNUMBER($K912),INDEX(РАБОТЫ!$Y$2:$Y$1058,$K912),""))</f>
        <v/>
      </c>
      <c r="D912" t="str">
        <f>IF(ISNUMBER($K912),INDEX(РАБОТЫ!$E$2:$E$1058,$K912),"")</f>
        <v/>
      </c>
      <c r="E912" t="str">
        <f>IF(ISNUMBER($K912),INDEX(РАБОТЫ!$M$2:$M$1058,$K912),"")</f>
        <v/>
      </c>
      <c r="F912" s="7" t="str">
        <f>IF(ISNUMBER($K912),INDEX(РАБОТЫ!$S$2:$S$1058,$K912),"")</f>
        <v/>
      </c>
      <c r="G912" s="7" t="str">
        <f>IF(ISNUMBER($K912),INDEX(РАБОТЫ!$T$2:$T$1058,$K912),"")</f>
        <v/>
      </c>
      <c r="H912" s="7" t="str">
        <f t="shared" si="52"/>
        <v/>
      </c>
      <c r="I912" s="7" t="str">
        <f t="shared" si="53"/>
        <v/>
      </c>
      <c r="J912" s="7" t="str">
        <f t="shared" si="54"/>
        <v/>
      </c>
      <c r="K912" t="str">
        <f>IFERROR(MATCH(891,РАБОТЫ!$X$2:$X$1058,0),"")</f>
        <v/>
      </c>
      <c r="L912" t="str">
        <f>IFERROR(IF(INDEX(РАБОТЫ!$W$2:$W$1058,MATCH(891+1,РАБОТЫ!$X$2:$X$1058,0))=1,INDEX(РАБОТЫ!$V$2:$V$1058,MATCH(891+1,РАБОТЫ!$X$2:$X$1058,0)),""),"")</f>
        <v/>
      </c>
      <c r="M912" t="str">
        <f t="shared" si="55"/>
        <v/>
      </c>
    </row>
    <row r="913" spans="1:13" hidden="1" x14ac:dyDescent="0.3">
      <c r="A913" t="str">
        <f>IF(ISNUMBER($K913),INDEX(РАБОТЫ!$U$2:$U$1058,$K913),"")</f>
        <v/>
      </c>
      <c r="B913" t="str">
        <f>IF(ISNUMBER($K913),INDEX(РАБОТЫ!$A$2:$A$1058,$K913),"")</f>
        <v/>
      </c>
      <c r="C913" s="4" t="str">
        <f>IF($L913&lt;&gt;"",INDEX(РАБОТЫ!$Z$2:$Z$1058,MATCH($L913,РАБОТЫ!$V$2:$V$1058,0)),IF(ISNUMBER($K913),INDEX(РАБОТЫ!$Y$2:$Y$1058,$K913),""))</f>
        <v/>
      </c>
      <c r="D913" t="str">
        <f>IF(ISNUMBER($K913),INDEX(РАБОТЫ!$E$2:$E$1058,$K913),"")</f>
        <v/>
      </c>
      <c r="E913" t="str">
        <f>IF(ISNUMBER($K913),INDEX(РАБОТЫ!$M$2:$M$1058,$K913),"")</f>
        <v/>
      </c>
      <c r="F913" s="7" t="str">
        <f>IF(ISNUMBER($K913),INDEX(РАБОТЫ!$S$2:$S$1058,$K913),"")</f>
        <v/>
      </c>
      <c r="G913" s="7" t="str">
        <f>IF(ISNUMBER($K913),INDEX(РАБОТЫ!$T$2:$T$1058,$K913),"")</f>
        <v/>
      </c>
      <c r="H913" s="7" t="str">
        <f t="shared" si="52"/>
        <v/>
      </c>
      <c r="I913" s="7" t="str">
        <f t="shared" si="53"/>
        <v/>
      </c>
      <c r="J913" s="7" t="str">
        <f t="shared" si="54"/>
        <v/>
      </c>
      <c r="K913" t="str">
        <f>IFERROR(MATCH(892,РАБОТЫ!$X$2:$X$1058,0),"")</f>
        <v/>
      </c>
      <c r="L913" t="str">
        <f>IFERROR(IF(INDEX(РАБОТЫ!$W$2:$W$1058,MATCH(892+1,РАБОТЫ!$X$2:$X$1058,0))=1,INDEX(РАБОТЫ!$V$2:$V$1058,MATCH(892+1,РАБОТЫ!$X$2:$X$1058,0)),""),"")</f>
        <v/>
      </c>
      <c r="M913" t="str">
        <f t="shared" si="55"/>
        <v/>
      </c>
    </row>
    <row r="914" spans="1:13" hidden="1" x14ac:dyDescent="0.3">
      <c r="A914" t="str">
        <f>IF(ISNUMBER($K914),INDEX(РАБОТЫ!$U$2:$U$1058,$K914),"")</f>
        <v/>
      </c>
      <c r="B914" t="str">
        <f>IF(ISNUMBER($K914),INDEX(РАБОТЫ!$A$2:$A$1058,$K914),"")</f>
        <v/>
      </c>
      <c r="C914" s="4" t="str">
        <f>IF($L914&lt;&gt;"",INDEX(РАБОТЫ!$Z$2:$Z$1058,MATCH($L914,РАБОТЫ!$V$2:$V$1058,0)),IF(ISNUMBER($K914),INDEX(РАБОТЫ!$Y$2:$Y$1058,$K914),""))</f>
        <v/>
      </c>
      <c r="D914" t="str">
        <f>IF(ISNUMBER($K914),INDEX(РАБОТЫ!$E$2:$E$1058,$K914),"")</f>
        <v/>
      </c>
      <c r="E914" t="str">
        <f>IF(ISNUMBER($K914),INDEX(РАБОТЫ!$M$2:$M$1058,$K914),"")</f>
        <v/>
      </c>
      <c r="F914" s="7" t="str">
        <f>IF(ISNUMBER($K914),INDEX(РАБОТЫ!$S$2:$S$1058,$K914),"")</f>
        <v/>
      </c>
      <c r="G914" s="7" t="str">
        <f>IF(ISNUMBER($K914),INDEX(РАБОТЫ!$T$2:$T$1058,$K914),"")</f>
        <v/>
      </c>
      <c r="H914" s="7" t="str">
        <f t="shared" si="52"/>
        <v/>
      </c>
      <c r="I914" s="7" t="str">
        <f t="shared" si="53"/>
        <v/>
      </c>
      <c r="J914" s="7" t="str">
        <f t="shared" si="54"/>
        <v/>
      </c>
      <c r="K914" t="str">
        <f>IFERROR(MATCH(893,РАБОТЫ!$X$2:$X$1058,0),"")</f>
        <v/>
      </c>
      <c r="L914" t="str">
        <f>IFERROR(IF(INDEX(РАБОТЫ!$W$2:$W$1058,MATCH(893+1,РАБОТЫ!$X$2:$X$1058,0))=1,INDEX(РАБОТЫ!$V$2:$V$1058,MATCH(893+1,РАБОТЫ!$X$2:$X$1058,0)),""),"")</f>
        <v/>
      </c>
      <c r="M914" t="str">
        <f t="shared" si="55"/>
        <v/>
      </c>
    </row>
    <row r="915" spans="1:13" hidden="1" x14ac:dyDescent="0.3">
      <c r="A915" t="str">
        <f>IF(ISNUMBER($K915),INDEX(РАБОТЫ!$U$2:$U$1058,$K915),"")</f>
        <v/>
      </c>
      <c r="B915" t="str">
        <f>IF(ISNUMBER($K915),INDEX(РАБОТЫ!$A$2:$A$1058,$K915),"")</f>
        <v/>
      </c>
      <c r="C915" s="4" t="str">
        <f>IF($L915&lt;&gt;"",INDEX(РАБОТЫ!$Z$2:$Z$1058,MATCH($L915,РАБОТЫ!$V$2:$V$1058,0)),IF(ISNUMBER($K915),INDEX(РАБОТЫ!$Y$2:$Y$1058,$K915),""))</f>
        <v/>
      </c>
      <c r="D915" t="str">
        <f>IF(ISNUMBER($K915),INDEX(РАБОТЫ!$E$2:$E$1058,$K915),"")</f>
        <v/>
      </c>
      <c r="E915" t="str">
        <f>IF(ISNUMBER($K915),INDEX(РАБОТЫ!$M$2:$M$1058,$K915),"")</f>
        <v/>
      </c>
      <c r="F915" s="7" t="str">
        <f>IF(ISNUMBER($K915),INDEX(РАБОТЫ!$S$2:$S$1058,$K915),"")</f>
        <v/>
      </c>
      <c r="G915" s="7" t="str">
        <f>IF(ISNUMBER($K915),INDEX(РАБОТЫ!$T$2:$T$1058,$K915),"")</f>
        <v/>
      </c>
      <c r="H915" s="7" t="str">
        <f t="shared" si="52"/>
        <v/>
      </c>
      <c r="I915" s="7" t="str">
        <f t="shared" si="53"/>
        <v/>
      </c>
      <c r="J915" s="7" t="str">
        <f t="shared" si="54"/>
        <v/>
      </c>
      <c r="K915" t="str">
        <f>IFERROR(MATCH(894,РАБОТЫ!$X$2:$X$1058,0),"")</f>
        <v/>
      </c>
      <c r="L915" t="str">
        <f>IFERROR(IF(INDEX(РАБОТЫ!$W$2:$W$1058,MATCH(894+1,РАБОТЫ!$X$2:$X$1058,0))=1,INDEX(РАБОТЫ!$V$2:$V$1058,MATCH(894+1,РАБОТЫ!$X$2:$X$1058,0)),""),"")</f>
        <v/>
      </c>
      <c r="M915" t="str">
        <f t="shared" si="55"/>
        <v/>
      </c>
    </row>
    <row r="916" spans="1:13" hidden="1" x14ac:dyDescent="0.3">
      <c r="A916" t="str">
        <f>IF(ISNUMBER($K916),INDEX(РАБОТЫ!$U$2:$U$1058,$K916),"")</f>
        <v/>
      </c>
      <c r="B916" t="str">
        <f>IF(ISNUMBER($K916),INDEX(РАБОТЫ!$A$2:$A$1058,$K916),"")</f>
        <v/>
      </c>
      <c r="C916" s="4" t="str">
        <f>IF($L916&lt;&gt;"",INDEX(РАБОТЫ!$Z$2:$Z$1058,MATCH($L916,РАБОТЫ!$V$2:$V$1058,0)),IF(ISNUMBER($K916),INDEX(РАБОТЫ!$Y$2:$Y$1058,$K916),""))</f>
        <v/>
      </c>
      <c r="D916" t="str">
        <f>IF(ISNUMBER($K916),INDEX(РАБОТЫ!$E$2:$E$1058,$K916),"")</f>
        <v/>
      </c>
      <c r="E916" t="str">
        <f>IF(ISNUMBER($K916),INDEX(РАБОТЫ!$M$2:$M$1058,$K916),"")</f>
        <v/>
      </c>
      <c r="F916" s="7" t="str">
        <f>IF(ISNUMBER($K916),INDEX(РАБОТЫ!$S$2:$S$1058,$K916),"")</f>
        <v/>
      </c>
      <c r="G916" s="7" t="str">
        <f>IF(ISNUMBER($K916),INDEX(РАБОТЫ!$T$2:$T$1058,$K916),"")</f>
        <v/>
      </c>
      <c r="H916" s="7" t="str">
        <f t="shared" si="52"/>
        <v/>
      </c>
      <c r="I916" s="7" t="str">
        <f t="shared" si="53"/>
        <v/>
      </c>
      <c r="J916" s="7" t="str">
        <f t="shared" si="54"/>
        <v/>
      </c>
      <c r="K916" t="str">
        <f>IFERROR(MATCH(895,РАБОТЫ!$X$2:$X$1058,0),"")</f>
        <v/>
      </c>
      <c r="L916" t="str">
        <f>IFERROR(IF(INDEX(РАБОТЫ!$W$2:$W$1058,MATCH(895+1,РАБОТЫ!$X$2:$X$1058,0))=1,INDEX(РАБОТЫ!$V$2:$V$1058,MATCH(895+1,РАБОТЫ!$X$2:$X$1058,0)),""),"")</f>
        <v/>
      </c>
      <c r="M916" t="str">
        <f t="shared" si="55"/>
        <v/>
      </c>
    </row>
    <row r="917" spans="1:13" hidden="1" x14ac:dyDescent="0.3">
      <c r="A917" t="str">
        <f>IF(ISNUMBER($K917),INDEX(РАБОТЫ!$U$2:$U$1058,$K917),"")</f>
        <v/>
      </c>
      <c r="B917" t="str">
        <f>IF(ISNUMBER($K917),INDEX(РАБОТЫ!$A$2:$A$1058,$K917),"")</f>
        <v/>
      </c>
      <c r="C917" s="4" t="str">
        <f>IF($L917&lt;&gt;"",INDEX(РАБОТЫ!$Z$2:$Z$1058,MATCH($L917,РАБОТЫ!$V$2:$V$1058,0)),IF(ISNUMBER($K917),INDEX(РАБОТЫ!$Y$2:$Y$1058,$K917),""))</f>
        <v/>
      </c>
      <c r="D917" t="str">
        <f>IF(ISNUMBER($K917),INDEX(РАБОТЫ!$E$2:$E$1058,$K917),"")</f>
        <v/>
      </c>
      <c r="E917" t="str">
        <f>IF(ISNUMBER($K917),INDEX(РАБОТЫ!$M$2:$M$1058,$K917),"")</f>
        <v/>
      </c>
      <c r="F917" s="7" t="str">
        <f>IF(ISNUMBER($K917),INDEX(РАБОТЫ!$S$2:$S$1058,$K917),"")</f>
        <v/>
      </c>
      <c r="G917" s="7" t="str">
        <f>IF(ISNUMBER($K917),INDEX(РАБОТЫ!$T$2:$T$1058,$K917),"")</f>
        <v/>
      </c>
      <c r="H917" s="7" t="str">
        <f t="shared" si="52"/>
        <v/>
      </c>
      <c r="I917" s="7" t="str">
        <f t="shared" si="53"/>
        <v/>
      </c>
      <c r="J917" s="7" t="str">
        <f t="shared" si="54"/>
        <v/>
      </c>
      <c r="K917" t="str">
        <f>IFERROR(MATCH(896,РАБОТЫ!$X$2:$X$1058,0),"")</f>
        <v/>
      </c>
      <c r="L917" t="str">
        <f>IFERROR(IF(INDEX(РАБОТЫ!$W$2:$W$1058,MATCH(896+1,РАБОТЫ!$X$2:$X$1058,0))=1,INDEX(РАБОТЫ!$V$2:$V$1058,MATCH(896+1,РАБОТЫ!$X$2:$X$1058,0)),""),"")</f>
        <v/>
      </c>
      <c r="M917" t="str">
        <f t="shared" si="55"/>
        <v/>
      </c>
    </row>
    <row r="918" spans="1:13" hidden="1" x14ac:dyDescent="0.3">
      <c r="A918" t="str">
        <f>IF(ISNUMBER($K918),INDEX(РАБОТЫ!$U$2:$U$1058,$K918),"")</f>
        <v/>
      </c>
      <c r="B918" t="str">
        <f>IF(ISNUMBER($K918),INDEX(РАБОТЫ!$A$2:$A$1058,$K918),"")</f>
        <v/>
      </c>
      <c r="C918" s="4" t="str">
        <f>IF($L918&lt;&gt;"",INDEX(РАБОТЫ!$Z$2:$Z$1058,MATCH($L918,РАБОТЫ!$V$2:$V$1058,0)),IF(ISNUMBER($K918),INDEX(РАБОТЫ!$Y$2:$Y$1058,$K918),""))</f>
        <v/>
      </c>
      <c r="D918" t="str">
        <f>IF(ISNUMBER($K918),INDEX(РАБОТЫ!$E$2:$E$1058,$K918),"")</f>
        <v/>
      </c>
      <c r="E918" t="str">
        <f>IF(ISNUMBER($K918),INDEX(РАБОТЫ!$M$2:$M$1058,$K918),"")</f>
        <v/>
      </c>
      <c r="F918" s="7" t="str">
        <f>IF(ISNUMBER($K918),INDEX(РАБОТЫ!$S$2:$S$1058,$K918),"")</f>
        <v/>
      </c>
      <c r="G918" s="7" t="str">
        <f>IF(ISNUMBER($K918),INDEX(РАБОТЫ!$T$2:$T$1058,$K918),"")</f>
        <v/>
      </c>
      <c r="H918" s="7" t="str">
        <f t="shared" ref="H918:H981" si="56">IF(ISNUMBER($K918),ROUND($E918*$F918,2),"")</f>
        <v/>
      </c>
      <c r="I918" s="7" t="str">
        <f t="shared" ref="I918:I981" si="57">IF(ISNUMBER($K918),ROUND($E918*$G918,2),"")</f>
        <v/>
      </c>
      <c r="J918" s="7" t="str">
        <f t="shared" ref="J918:J981" si="58">IF(ISNUMBER($K918),$H918+$I918,"")</f>
        <v/>
      </c>
      <c r="K918" t="str">
        <f>IFERROR(MATCH(897,РАБОТЫ!$X$2:$X$1058,0),"")</f>
        <v/>
      </c>
      <c r="L918" t="str">
        <f>IFERROR(IF(INDEX(РАБОТЫ!$W$2:$W$1058,MATCH(897+1,РАБОТЫ!$X$2:$X$1058,0))=1,INDEX(РАБОТЫ!$V$2:$V$1058,MATCH(897+1,РАБОТЫ!$X$2:$X$1058,0)),""),"")</f>
        <v/>
      </c>
      <c r="M918" t="str">
        <f t="shared" ref="M918:M981" si="59">IF(OR(ISNUMBER($K918),$L918&lt;&gt;""),"показать","")</f>
        <v/>
      </c>
    </row>
    <row r="919" spans="1:13" hidden="1" x14ac:dyDescent="0.3">
      <c r="A919" t="str">
        <f>IF(ISNUMBER($K919),INDEX(РАБОТЫ!$U$2:$U$1058,$K919),"")</f>
        <v/>
      </c>
      <c r="B919" t="str">
        <f>IF(ISNUMBER($K919),INDEX(РАБОТЫ!$A$2:$A$1058,$K919),"")</f>
        <v/>
      </c>
      <c r="C919" s="4" t="str">
        <f>IF($L919&lt;&gt;"",INDEX(РАБОТЫ!$Z$2:$Z$1058,MATCH($L919,РАБОТЫ!$V$2:$V$1058,0)),IF(ISNUMBER($K919),INDEX(РАБОТЫ!$Y$2:$Y$1058,$K919),""))</f>
        <v/>
      </c>
      <c r="D919" t="str">
        <f>IF(ISNUMBER($K919),INDEX(РАБОТЫ!$E$2:$E$1058,$K919),"")</f>
        <v/>
      </c>
      <c r="E919" t="str">
        <f>IF(ISNUMBER($K919),INDEX(РАБОТЫ!$M$2:$M$1058,$K919),"")</f>
        <v/>
      </c>
      <c r="F919" s="7" t="str">
        <f>IF(ISNUMBER($K919),INDEX(РАБОТЫ!$S$2:$S$1058,$K919),"")</f>
        <v/>
      </c>
      <c r="G919" s="7" t="str">
        <f>IF(ISNUMBER($K919),INDEX(РАБОТЫ!$T$2:$T$1058,$K919),"")</f>
        <v/>
      </c>
      <c r="H919" s="7" t="str">
        <f t="shared" si="56"/>
        <v/>
      </c>
      <c r="I919" s="7" t="str">
        <f t="shared" si="57"/>
        <v/>
      </c>
      <c r="J919" s="7" t="str">
        <f t="shared" si="58"/>
        <v/>
      </c>
      <c r="K919" t="str">
        <f>IFERROR(MATCH(898,РАБОТЫ!$X$2:$X$1058,0),"")</f>
        <v/>
      </c>
      <c r="L919" t="str">
        <f>IFERROR(IF(INDEX(РАБОТЫ!$W$2:$W$1058,MATCH(898+1,РАБОТЫ!$X$2:$X$1058,0))=1,INDEX(РАБОТЫ!$V$2:$V$1058,MATCH(898+1,РАБОТЫ!$X$2:$X$1058,0)),""),"")</f>
        <v/>
      </c>
      <c r="M919" t="str">
        <f t="shared" si="59"/>
        <v/>
      </c>
    </row>
    <row r="920" spans="1:13" hidden="1" x14ac:dyDescent="0.3">
      <c r="A920" t="str">
        <f>IF(ISNUMBER($K920),INDEX(РАБОТЫ!$U$2:$U$1058,$K920),"")</f>
        <v/>
      </c>
      <c r="B920" t="str">
        <f>IF(ISNUMBER($K920),INDEX(РАБОТЫ!$A$2:$A$1058,$K920),"")</f>
        <v/>
      </c>
      <c r="C920" s="4" t="str">
        <f>IF($L920&lt;&gt;"",INDEX(РАБОТЫ!$Z$2:$Z$1058,MATCH($L920,РАБОТЫ!$V$2:$V$1058,0)),IF(ISNUMBER($K920),INDEX(РАБОТЫ!$Y$2:$Y$1058,$K920),""))</f>
        <v/>
      </c>
      <c r="D920" t="str">
        <f>IF(ISNUMBER($K920),INDEX(РАБОТЫ!$E$2:$E$1058,$K920),"")</f>
        <v/>
      </c>
      <c r="E920" t="str">
        <f>IF(ISNUMBER($K920),INDEX(РАБОТЫ!$M$2:$M$1058,$K920),"")</f>
        <v/>
      </c>
      <c r="F920" s="7" t="str">
        <f>IF(ISNUMBER($K920),INDEX(РАБОТЫ!$S$2:$S$1058,$K920),"")</f>
        <v/>
      </c>
      <c r="G920" s="7" t="str">
        <f>IF(ISNUMBER($K920),INDEX(РАБОТЫ!$T$2:$T$1058,$K920),"")</f>
        <v/>
      </c>
      <c r="H920" s="7" t="str">
        <f t="shared" si="56"/>
        <v/>
      </c>
      <c r="I920" s="7" t="str">
        <f t="shared" si="57"/>
        <v/>
      </c>
      <c r="J920" s="7" t="str">
        <f t="shared" si="58"/>
        <v/>
      </c>
      <c r="K920" t="str">
        <f>IFERROR(MATCH(899,РАБОТЫ!$X$2:$X$1058,0),"")</f>
        <v/>
      </c>
      <c r="L920" t="str">
        <f>IFERROR(IF(INDEX(РАБОТЫ!$W$2:$W$1058,MATCH(899+1,РАБОТЫ!$X$2:$X$1058,0))=1,INDEX(РАБОТЫ!$V$2:$V$1058,MATCH(899+1,РАБОТЫ!$X$2:$X$1058,0)),""),"")</f>
        <v/>
      </c>
      <c r="M920" t="str">
        <f t="shared" si="59"/>
        <v/>
      </c>
    </row>
    <row r="921" spans="1:13" hidden="1" x14ac:dyDescent="0.3">
      <c r="A921" t="str">
        <f>IF(ISNUMBER($K921),INDEX(РАБОТЫ!$U$2:$U$1058,$K921),"")</f>
        <v/>
      </c>
      <c r="B921" t="str">
        <f>IF(ISNUMBER($K921),INDEX(РАБОТЫ!$A$2:$A$1058,$K921),"")</f>
        <v/>
      </c>
      <c r="C921" s="4" t="str">
        <f>IF($L921&lt;&gt;"",INDEX(РАБОТЫ!$Z$2:$Z$1058,MATCH($L921,РАБОТЫ!$V$2:$V$1058,0)),IF(ISNUMBER($K921),INDEX(РАБОТЫ!$Y$2:$Y$1058,$K921),""))</f>
        <v/>
      </c>
      <c r="D921" t="str">
        <f>IF(ISNUMBER($K921),INDEX(РАБОТЫ!$E$2:$E$1058,$K921),"")</f>
        <v/>
      </c>
      <c r="E921" t="str">
        <f>IF(ISNUMBER($K921),INDEX(РАБОТЫ!$M$2:$M$1058,$K921),"")</f>
        <v/>
      </c>
      <c r="F921" s="7" t="str">
        <f>IF(ISNUMBER($K921),INDEX(РАБОТЫ!$S$2:$S$1058,$K921),"")</f>
        <v/>
      </c>
      <c r="G921" s="7" t="str">
        <f>IF(ISNUMBER($K921),INDEX(РАБОТЫ!$T$2:$T$1058,$K921),"")</f>
        <v/>
      </c>
      <c r="H921" s="7" t="str">
        <f t="shared" si="56"/>
        <v/>
      </c>
      <c r="I921" s="7" t="str">
        <f t="shared" si="57"/>
        <v/>
      </c>
      <c r="J921" s="7" t="str">
        <f t="shared" si="58"/>
        <v/>
      </c>
      <c r="K921" t="str">
        <f>IFERROR(MATCH(900,РАБОТЫ!$X$2:$X$1058,0),"")</f>
        <v/>
      </c>
      <c r="L921" t="str">
        <f>IFERROR(IF(INDEX(РАБОТЫ!$W$2:$W$1058,MATCH(900+1,РАБОТЫ!$X$2:$X$1058,0))=1,INDEX(РАБОТЫ!$V$2:$V$1058,MATCH(900+1,РАБОТЫ!$X$2:$X$1058,0)),""),"")</f>
        <v/>
      </c>
      <c r="M921" t="str">
        <f t="shared" si="59"/>
        <v/>
      </c>
    </row>
    <row r="922" spans="1:13" hidden="1" x14ac:dyDescent="0.3">
      <c r="A922" t="str">
        <f>IF(ISNUMBER($K922),INDEX(РАБОТЫ!$U$2:$U$1058,$K922),"")</f>
        <v/>
      </c>
      <c r="B922" t="str">
        <f>IF(ISNUMBER($K922),INDEX(РАБОТЫ!$A$2:$A$1058,$K922),"")</f>
        <v/>
      </c>
      <c r="C922" s="4" t="str">
        <f>IF($L922&lt;&gt;"",INDEX(РАБОТЫ!$Z$2:$Z$1058,MATCH($L922,РАБОТЫ!$V$2:$V$1058,0)),IF(ISNUMBER($K922),INDEX(РАБОТЫ!$Y$2:$Y$1058,$K922),""))</f>
        <v/>
      </c>
      <c r="D922" t="str">
        <f>IF(ISNUMBER($K922),INDEX(РАБОТЫ!$E$2:$E$1058,$K922),"")</f>
        <v/>
      </c>
      <c r="E922" t="str">
        <f>IF(ISNUMBER($K922),INDEX(РАБОТЫ!$M$2:$M$1058,$K922),"")</f>
        <v/>
      </c>
      <c r="F922" s="7" t="str">
        <f>IF(ISNUMBER($K922),INDEX(РАБОТЫ!$S$2:$S$1058,$K922),"")</f>
        <v/>
      </c>
      <c r="G922" s="7" t="str">
        <f>IF(ISNUMBER($K922),INDEX(РАБОТЫ!$T$2:$T$1058,$K922),"")</f>
        <v/>
      </c>
      <c r="H922" s="7" t="str">
        <f t="shared" si="56"/>
        <v/>
      </c>
      <c r="I922" s="7" t="str">
        <f t="shared" si="57"/>
        <v/>
      </c>
      <c r="J922" s="7" t="str">
        <f t="shared" si="58"/>
        <v/>
      </c>
      <c r="K922" t="str">
        <f>IFERROR(MATCH(901,РАБОТЫ!$X$2:$X$1058,0),"")</f>
        <v/>
      </c>
      <c r="L922" t="str">
        <f>IFERROR(IF(INDEX(РАБОТЫ!$W$2:$W$1058,MATCH(901+1,РАБОТЫ!$X$2:$X$1058,0))=1,INDEX(РАБОТЫ!$V$2:$V$1058,MATCH(901+1,РАБОТЫ!$X$2:$X$1058,0)),""),"")</f>
        <v/>
      </c>
      <c r="M922" t="str">
        <f t="shared" si="59"/>
        <v/>
      </c>
    </row>
    <row r="923" spans="1:13" hidden="1" x14ac:dyDescent="0.3">
      <c r="A923" t="str">
        <f>IF(ISNUMBER($K923),INDEX(РАБОТЫ!$U$2:$U$1058,$K923),"")</f>
        <v/>
      </c>
      <c r="B923" t="str">
        <f>IF(ISNUMBER($K923),INDEX(РАБОТЫ!$A$2:$A$1058,$K923),"")</f>
        <v/>
      </c>
      <c r="C923" s="4" t="str">
        <f>IF($L923&lt;&gt;"",INDEX(РАБОТЫ!$Z$2:$Z$1058,MATCH($L923,РАБОТЫ!$V$2:$V$1058,0)),IF(ISNUMBER($K923),INDEX(РАБОТЫ!$Y$2:$Y$1058,$K923),""))</f>
        <v/>
      </c>
      <c r="D923" t="str">
        <f>IF(ISNUMBER($K923),INDEX(РАБОТЫ!$E$2:$E$1058,$K923),"")</f>
        <v/>
      </c>
      <c r="E923" t="str">
        <f>IF(ISNUMBER($K923),INDEX(РАБОТЫ!$M$2:$M$1058,$K923),"")</f>
        <v/>
      </c>
      <c r="F923" s="7" t="str">
        <f>IF(ISNUMBER($K923),INDEX(РАБОТЫ!$S$2:$S$1058,$K923),"")</f>
        <v/>
      </c>
      <c r="G923" s="7" t="str">
        <f>IF(ISNUMBER($K923),INDEX(РАБОТЫ!$T$2:$T$1058,$K923),"")</f>
        <v/>
      </c>
      <c r="H923" s="7" t="str">
        <f t="shared" si="56"/>
        <v/>
      </c>
      <c r="I923" s="7" t="str">
        <f t="shared" si="57"/>
        <v/>
      </c>
      <c r="J923" s="7" t="str">
        <f t="shared" si="58"/>
        <v/>
      </c>
      <c r="K923" t="str">
        <f>IFERROR(MATCH(902,РАБОТЫ!$X$2:$X$1058,0),"")</f>
        <v/>
      </c>
      <c r="L923" t="str">
        <f>IFERROR(IF(INDEX(РАБОТЫ!$W$2:$W$1058,MATCH(902+1,РАБОТЫ!$X$2:$X$1058,0))=1,INDEX(РАБОТЫ!$V$2:$V$1058,MATCH(902+1,РАБОТЫ!$X$2:$X$1058,0)),""),"")</f>
        <v/>
      </c>
      <c r="M923" t="str">
        <f t="shared" si="59"/>
        <v/>
      </c>
    </row>
    <row r="924" spans="1:13" hidden="1" x14ac:dyDescent="0.3">
      <c r="A924" t="str">
        <f>IF(ISNUMBER($K924),INDEX(РАБОТЫ!$U$2:$U$1058,$K924),"")</f>
        <v/>
      </c>
      <c r="B924" t="str">
        <f>IF(ISNUMBER($K924),INDEX(РАБОТЫ!$A$2:$A$1058,$K924),"")</f>
        <v/>
      </c>
      <c r="C924" s="4" t="str">
        <f>IF($L924&lt;&gt;"",INDEX(РАБОТЫ!$Z$2:$Z$1058,MATCH($L924,РАБОТЫ!$V$2:$V$1058,0)),IF(ISNUMBER($K924),INDEX(РАБОТЫ!$Y$2:$Y$1058,$K924),""))</f>
        <v/>
      </c>
      <c r="D924" t="str">
        <f>IF(ISNUMBER($K924),INDEX(РАБОТЫ!$E$2:$E$1058,$K924),"")</f>
        <v/>
      </c>
      <c r="E924" t="str">
        <f>IF(ISNUMBER($K924),INDEX(РАБОТЫ!$M$2:$M$1058,$K924),"")</f>
        <v/>
      </c>
      <c r="F924" s="7" t="str">
        <f>IF(ISNUMBER($K924),INDEX(РАБОТЫ!$S$2:$S$1058,$K924),"")</f>
        <v/>
      </c>
      <c r="G924" s="7" t="str">
        <f>IF(ISNUMBER($K924),INDEX(РАБОТЫ!$T$2:$T$1058,$K924),"")</f>
        <v/>
      </c>
      <c r="H924" s="7" t="str">
        <f t="shared" si="56"/>
        <v/>
      </c>
      <c r="I924" s="7" t="str">
        <f t="shared" si="57"/>
        <v/>
      </c>
      <c r="J924" s="7" t="str">
        <f t="shared" si="58"/>
        <v/>
      </c>
      <c r="K924" t="str">
        <f>IFERROR(MATCH(903,РАБОТЫ!$X$2:$X$1058,0),"")</f>
        <v/>
      </c>
      <c r="L924" t="str">
        <f>IFERROR(IF(INDEX(РАБОТЫ!$W$2:$W$1058,MATCH(903+1,РАБОТЫ!$X$2:$X$1058,0))=1,INDEX(РАБОТЫ!$V$2:$V$1058,MATCH(903+1,РАБОТЫ!$X$2:$X$1058,0)),""),"")</f>
        <v/>
      </c>
      <c r="M924" t="str">
        <f t="shared" si="59"/>
        <v/>
      </c>
    </row>
    <row r="925" spans="1:13" hidden="1" x14ac:dyDescent="0.3">
      <c r="A925" t="str">
        <f>IF(ISNUMBER($K925),INDEX(РАБОТЫ!$U$2:$U$1058,$K925),"")</f>
        <v/>
      </c>
      <c r="B925" t="str">
        <f>IF(ISNUMBER($K925),INDEX(РАБОТЫ!$A$2:$A$1058,$K925),"")</f>
        <v/>
      </c>
      <c r="C925" s="4" t="str">
        <f>IF($L925&lt;&gt;"",INDEX(РАБОТЫ!$Z$2:$Z$1058,MATCH($L925,РАБОТЫ!$V$2:$V$1058,0)),IF(ISNUMBER($K925),INDEX(РАБОТЫ!$Y$2:$Y$1058,$K925),""))</f>
        <v/>
      </c>
      <c r="D925" t="str">
        <f>IF(ISNUMBER($K925),INDEX(РАБОТЫ!$E$2:$E$1058,$K925),"")</f>
        <v/>
      </c>
      <c r="E925" t="str">
        <f>IF(ISNUMBER($K925),INDEX(РАБОТЫ!$M$2:$M$1058,$K925),"")</f>
        <v/>
      </c>
      <c r="F925" s="7" t="str">
        <f>IF(ISNUMBER($K925),INDEX(РАБОТЫ!$S$2:$S$1058,$K925),"")</f>
        <v/>
      </c>
      <c r="G925" s="7" t="str">
        <f>IF(ISNUMBER($K925),INDEX(РАБОТЫ!$T$2:$T$1058,$K925),"")</f>
        <v/>
      </c>
      <c r="H925" s="7" t="str">
        <f t="shared" si="56"/>
        <v/>
      </c>
      <c r="I925" s="7" t="str">
        <f t="shared" si="57"/>
        <v/>
      </c>
      <c r="J925" s="7" t="str">
        <f t="shared" si="58"/>
        <v/>
      </c>
      <c r="K925" t="str">
        <f>IFERROR(MATCH(904,РАБОТЫ!$X$2:$X$1058,0),"")</f>
        <v/>
      </c>
      <c r="L925" t="str">
        <f>IFERROR(IF(INDEX(РАБОТЫ!$W$2:$W$1058,MATCH(904+1,РАБОТЫ!$X$2:$X$1058,0))=1,INDEX(РАБОТЫ!$V$2:$V$1058,MATCH(904+1,РАБОТЫ!$X$2:$X$1058,0)),""),"")</f>
        <v/>
      </c>
      <c r="M925" t="str">
        <f t="shared" si="59"/>
        <v/>
      </c>
    </row>
    <row r="926" spans="1:13" hidden="1" x14ac:dyDescent="0.3">
      <c r="A926" t="str">
        <f>IF(ISNUMBER($K926),INDEX(РАБОТЫ!$U$2:$U$1058,$K926),"")</f>
        <v/>
      </c>
      <c r="B926" t="str">
        <f>IF(ISNUMBER($K926),INDEX(РАБОТЫ!$A$2:$A$1058,$K926),"")</f>
        <v/>
      </c>
      <c r="C926" s="4" t="str">
        <f>IF($L926&lt;&gt;"",INDEX(РАБОТЫ!$Z$2:$Z$1058,MATCH($L926,РАБОТЫ!$V$2:$V$1058,0)),IF(ISNUMBER($K926),INDEX(РАБОТЫ!$Y$2:$Y$1058,$K926),""))</f>
        <v/>
      </c>
      <c r="D926" t="str">
        <f>IF(ISNUMBER($K926),INDEX(РАБОТЫ!$E$2:$E$1058,$K926),"")</f>
        <v/>
      </c>
      <c r="E926" t="str">
        <f>IF(ISNUMBER($K926),INDEX(РАБОТЫ!$M$2:$M$1058,$K926),"")</f>
        <v/>
      </c>
      <c r="F926" s="7" t="str">
        <f>IF(ISNUMBER($K926),INDEX(РАБОТЫ!$S$2:$S$1058,$K926),"")</f>
        <v/>
      </c>
      <c r="G926" s="7" t="str">
        <f>IF(ISNUMBER($K926),INDEX(РАБОТЫ!$T$2:$T$1058,$K926),"")</f>
        <v/>
      </c>
      <c r="H926" s="7" t="str">
        <f t="shared" si="56"/>
        <v/>
      </c>
      <c r="I926" s="7" t="str">
        <f t="shared" si="57"/>
        <v/>
      </c>
      <c r="J926" s="7" t="str">
        <f t="shared" si="58"/>
        <v/>
      </c>
      <c r="K926" t="str">
        <f>IFERROR(MATCH(905,РАБОТЫ!$X$2:$X$1058,0),"")</f>
        <v/>
      </c>
      <c r="L926" t="str">
        <f>IFERROR(IF(INDEX(РАБОТЫ!$W$2:$W$1058,MATCH(905+1,РАБОТЫ!$X$2:$X$1058,0))=1,INDEX(РАБОТЫ!$V$2:$V$1058,MATCH(905+1,РАБОТЫ!$X$2:$X$1058,0)),""),"")</f>
        <v/>
      </c>
      <c r="M926" t="str">
        <f t="shared" si="59"/>
        <v/>
      </c>
    </row>
    <row r="927" spans="1:13" hidden="1" x14ac:dyDescent="0.3">
      <c r="A927" t="str">
        <f>IF(ISNUMBER($K927),INDEX(РАБОТЫ!$U$2:$U$1058,$K927),"")</f>
        <v/>
      </c>
      <c r="B927" t="str">
        <f>IF(ISNUMBER($K927),INDEX(РАБОТЫ!$A$2:$A$1058,$K927),"")</f>
        <v/>
      </c>
      <c r="C927" s="4" t="str">
        <f>IF($L927&lt;&gt;"",INDEX(РАБОТЫ!$Z$2:$Z$1058,MATCH($L927,РАБОТЫ!$V$2:$V$1058,0)),IF(ISNUMBER($K927),INDEX(РАБОТЫ!$Y$2:$Y$1058,$K927),""))</f>
        <v/>
      </c>
      <c r="D927" t="str">
        <f>IF(ISNUMBER($K927),INDEX(РАБОТЫ!$E$2:$E$1058,$K927),"")</f>
        <v/>
      </c>
      <c r="E927" t="str">
        <f>IF(ISNUMBER($K927),INDEX(РАБОТЫ!$M$2:$M$1058,$K927),"")</f>
        <v/>
      </c>
      <c r="F927" s="7" t="str">
        <f>IF(ISNUMBER($K927),INDEX(РАБОТЫ!$S$2:$S$1058,$K927),"")</f>
        <v/>
      </c>
      <c r="G927" s="7" t="str">
        <f>IF(ISNUMBER($K927),INDEX(РАБОТЫ!$T$2:$T$1058,$K927),"")</f>
        <v/>
      </c>
      <c r="H927" s="7" t="str">
        <f t="shared" si="56"/>
        <v/>
      </c>
      <c r="I927" s="7" t="str">
        <f t="shared" si="57"/>
        <v/>
      </c>
      <c r="J927" s="7" t="str">
        <f t="shared" si="58"/>
        <v/>
      </c>
      <c r="K927" t="str">
        <f>IFERROR(MATCH(906,РАБОТЫ!$X$2:$X$1058,0),"")</f>
        <v/>
      </c>
      <c r="L927" t="str">
        <f>IFERROR(IF(INDEX(РАБОТЫ!$W$2:$W$1058,MATCH(906+1,РАБОТЫ!$X$2:$X$1058,0))=1,INDEX(РАБОТЫ!$V$2:$V$1058,MATCH(906+1,РАБОТЫ!$X$2:$X$1058,0)),""),"")</f>
        <v/>
      </c>
      <c r="M927" t="str">
        <f t="shared" si="59"/>
        <v/>
      </c>
    </row>
    <row r="928" spans="1:13" hidden="1" x14ac:dyDescent="0.3">
      <c r="A928" t="str">
        <f>IF(ISNUMBER($K928),INDEX(РАБОТЫ!$U$2:$U$1058,$K928),"")</f>
        <v/>
      </c>
      <c r="B928" t="str">
        <f>IF(ISNUMBER($K928),INDEX(РАБОТЫ!$A$2:$A$1058,$K928),"")</f>
        <v/>
      </c>
      <c r="C928" s="4" t="str">
        <f>IF($L928&lt;&gt;"",INDEX(РАБОТЫ!$Z$2:$Z$1058,MATCH($L928,РАБОТЫ!$V$2:$V$1058,0)),IF(ISNUMBER($K928),INDEX(РАБОТЫ!$Y$2:$Y$1058,$K928),""))</f>
        <v/>
      </c>
      <c r="D928" t="str">
        <f>IF(ISNUMBER($K928),INDEX(РАБОТЫ!$E$2:$E$1058,$K928),"")</f>
        <v/>
      </c>
      <c r="E928" t="str">
        <f>IF(ISNUMBER($K928),INDEX(РАБОТЫ!$M$2:$M$1058,$K928),"")</f>
        <v/>
      </c>
      <c r="F928" s="7" t="str">
        <f>IF(ISNUMBER($K928),INDEX(РАБОТЫ!$S$2:$S$1058,$K928),"")</f>
        <v/>
      </c>
      <c r="G928" s="7" t="str">
        <f>IF(ISNUMBER($K928),INDEX(РАБОТЫ!$T$2:$T$1058,$K928),"")</f>
        <v/>
      </c>
      <c r="H928" s="7" t="str">
        <f t="shared" si="56"/>
        <v/>
      </c>
      <c r="I928" s="7" t="str">
        <f t="shared" si="57"/>
        <v/>
      </c>
      <c r="J928" s="7" t="str">
        <f t="shared" si="58"/>
        <v/>
      </c>
      <c r="K928" t="str">
        <f>IFERROR(MATCH(907,РАБОТЫ!$X$2:$X$1058,0),"")</f>
        <v/>
      </c>
      <c r="L928" t="str">
        <f>IFERROR(IF(INDEX(РАБОТЫ!$W$2:$W$1058,MATCH(907+1,РАБОТЫ!$X$2:$X$1058,0))=1,INDEX(РАБОТЫ!$V$2:$V$1058,MATCH(907+1,РАБОТЫ!$X$2:$X$1058,0)),""),"")</f>
        <v/>
      </c>
      <c r="M928" t="str">
        <f t="shared" si="59"/>
        <v/>
      </c>
    </row>
    <row r="929" spans="1:13" hidden="1" x14ac:dyDescent="0.3">
      <c r="A929" t="str">
        <f>IF(ISNUMBER($K929),INDEX(РАБОТЫ!$U$2:$U$1058,$K929),"")</f>
        <v/>
      </c>
      <c r="B929" t="str">
        <f>IF(ISNUMBER($K929),INDEX(РАБОТЫ!$A$2:$A$1058,$K929),"")</f>
        <v/>
      </c>
      <c r="C929" s="4" t="str">
        <f>IF($L929&lt;&gt;"",INDEX(РАБОТЫ!$Z$2:$Z$1058,MATCH($L929,РАБОТЫ!$V$2:$V$1058,0)),IF(ISNUMBER($K929),INDEX(РАБОТЫ!$Y$2:$Y$1058,$K929),""))</f>
        <v/>
      </c>
      <c r="D929" t="str">
        <f>IF(ISNUMBER($K929),INDEX(РАБОТЫ!$E$2:$E$1058,$K929),"")</f>
        <v/>
      </c>
      <c r="E929" t="str">
        <f>IF(ISNUMBER($K929),INDEX(РАБОТЫ!$M$2:$M$1058,$K929),"")</f>
        <v/>
      </c>
      <c r="F929" s="7" t="str">
        <f>IF(ISNUMBER($K929),INDEX(РАБОТЫ!$S$2:$S$1058,$K929),"")</f>
        <v/>
      </c>
      <c r="G929" s="7" t="str">
        <f>IF(ISNUMBER($K929),INDEX(РАБОТЫ!$T$2:$T$1058,$K929),"")</f>
        <v/>
      </c>
      <c r="H929" s="7" t="str">
        <f t="shared" si="56"/>
        <v/>
      </c>
      <c r="I929" s="7" t="str">
        <f t="shared" si="57"/>
        <v/>
      </c>
      <c r="J929" s="7" t="str">
        <f t="shared" si="58"/>
        <v/>
      </c>
      <c r="K929" t="str">
        <f>IFERROR(MATCH(908,РАБОТЫ!$X$2:$X$1058,0),"")</f>
        <v/>
      </c>
      <c r="L929" t="str">
        <f>IFERROR(IF(INDEX(РАБОТЫ!$W$2:$W$1058,MATCH(908+1,РАБОТЫ!$X$2:$X$1058,0))=1,INDEX(РАБОТЫ!$V$2:$V$1058,MATCH(908+1,РАБОТЫ!$X$2:$X$1058,0)),""),"")</f>
        <v/>
      </c>
      <c r="M929" t="str">
        <f t="shared" si="59"/>
        <v/>
      </c>
    </row>
    <row r="930" spans="1:13" hidden="1" x14ac:dyDescent="0.3">
      <c r="A930" t="str">
        <f>IF(ISNUMBER($K930),INDEX(РАБОТЫ!$U$2:$U$1058,$K930),"")</f>
        <v/>
      </c>
      <c r="B930" t="str">
        <f>IF(ISNUMBER($K930),INDEX(РАБОТЫ!$A$2:$A$1058,$K930),"")</f>
        <v/>
      </c>
      <c r="C930" s="4" t="str">
        <f>IF($L930&lt;&gt;"",INDEX(РАБОТЫ!$Z$2:$Z$1058,MATCH($L930,РАБОТЫ!$V$2:$V$1058,0)),IF(ISNUMBER($K930),INDEX(РАБОТЫ!$Y$2:$Y$1058,$K930),""))</f>
        <v/>
      </c>
      <c r="D930" t="str">
        <f>IF(ISNUMBER($K930),INDEX(РАБОТЫ!$E$2:$E$1058,$K930),"")</f>
        <v/>
      </c>
      <c r="E930" t="str">
        <f>IF(ISNUMBER($K930),INDEX(РАБОТЫ!$M$2:$M$1058,$K930),"")</f>
        <v/>
      </c>
      <c r="F930" s="7" t="str">
        <f>IF(ISNUMBER($K930),INDEX(РАБОТЫ!$S$2:$S$1058,$K930),"")</f>
        <v/>
      </c>
      <c r="G930" s="7" t="str">
        <f>IF(ISNUMBER($K930),INDEX(РАБОТЫ!$T$2:$T$1058,$K930),"")</f>
        <v/>
      </c>
      <c r="H930" s="7" t="str">
        <f t="shared" si="56"/>
        <v/>
      </c>
      <c r="I930" s="7" t="str">
        <f t="shared" si="57"/>
        <v/>
      </c>
      <c r="J930" s="7" t="str">
        <f t="shared" si="58"/>
        <v/>
      </c>
      <c r="K930" t="str">
        <f>IFERROR(MATCH(909,РАБОТЫ!$X$2:$X$1058,0),"")</f>
        <v/>
      </c>
      <c r="L930" t="str">
        <f>IFERROR(IF(INDEX(РАБОТЫ!$W$2:$W$1058,MATCH(909+1,РАБОТЫ!$X$2:$X$1058,0))=1,INDEX(РАБОТЫ!$V$2:$V$1058,MATCH(909+1,РАБОТЫ!$X$2:$X$1058,0)),""),"")</f>
        <v/>
      </c>
      <c r="M930" t="str">
        <f t="shared" si="59"/>
        <v/>
      </c>
    </row>
    <row r="931" spans="1:13" hidden="1" x14ac:dyDescent="0.3">
      <c r="A931" t="str">
        <f>IF(ISNUMBER($K931),INDEX(РАБОТЫ!$U$2:$U$1058,$K931),"")</f>
        <v/>
      </c>
      <c r="B931" t="str">
        <f>IF(ISNUMBER($K931),INDEX(РАБОТЫ!$A$2:$A$1058,$K931),"")</f>
        <v/>
      </c>
      <c r="C931" s="4" t="str">
        <f>IF($L931&lt;&gt;"",INDEX(РАБОТЫ!$Z$2:$Z$1058,MATCH($L931,РАБОТЫ!$V$2:$V$1058,0)),IF(ISNUMBER($K931),INDEX(РАБОТЫ!$Y$2:$Y$1058,$K931),""))</f>
        <v/>
      </c>
      <c r="D931" t="str">
        <f>IF(ISNUMBER($K931),INDEX(РАБОТЫ!$E$2:$E$1058,$K931),"")</f>
        <v/>
      </c>
      <c r="E931" t="str">
        <f>IF(ISNUMBER($K931),INDEX(РАБОТЫ!$M$2:$M$1058,$K931),"")</f>
        <v/>
      </c>
      <c r="F931" s="7" t="str">
        <f>IF(ISNUMBER($K931),INDEX(РАБОТЫ!$S$2:$S$1058,$K931),"")</f>
        <v/>
      </c>
      <c r="G931" s="7" t="str">
        <f>IF(ISNUMBER($K931),INDEX(РАБОТЫ!$T$2:$T$1058,$K931),"")</f>
        <v/>
      </c>
      <c r="H931" s="7" t="str">
        <f t="shared" si="56"/>
        <v/>
      </c>
      <c r="I931" s="7" t="str">
        <f t="shared" si="57"/>
        <v/>
      </c>
      <c r="J931" s="7" t="str">
        <f t="shared" si="58"/>
        <v/>
      </c>
      <c r="K931" t="str">
        <f>IFERROR(MATCH(910,РАБОТЫ!$X$2:$X$1058,0),"")</f>
        <v/>
      </c>
      <c r="L931" t="str">
        <f>IFERROR(IF(INDEX(РАБОТЫ!$W$2:$W$1058,MATCH(910+1,РАБОТЫ!$X$2:$X$1058,0))=1,INDEX(РАБОТЫ!$V$2:$V$1058,MATCH(910+1,РАБОТЫ!$X$2:$X$1058,0)),""),"")</f>
        <v/>
      </c>
      <c r="M931" t="str">
        <f t="shared" si="59"/>
        <v/>
      </c>
    </row>
    <row r="932" spans="1:13" hidden="1" x14ac:dyDescent="0.3">
      <c r="A932" t="str">
        <f>IF(ISNUMBER($K932),INDEX(РАБОТЫ!$U$2:$U$1058,$K932),"")</f>
        <v/>
      </c>
      <c r="B932" t="str">
        <f>IF(ISNUMBER($K932),INDEX(РАБОТЫ!$A$2:$A$1058,$K932),"")</f>
        <v/>
      </c>
      <c r="C932" s="4" t="str">
        <f>IF($L932&lt;&gt;"",INDEX(РАБОТЫ!$Z$2:$Z$1058,MATCH($L932,РАБОТЫ!$V$2:$V$1058,0)),IF(ISNUMBER($K932),INDEX(РАБОТЫ!$Y$2:$Y$1058,$K932),""))</f>
        <v/>
      </c>
      <c r="D932" t="str">
        <f>IF(ISNUMBER($K932),INDEX(РАБОТЫ!$E$2:$E$1058,$K932),"")</f>
        <v/>
      </c>
      <c r="E932" t="str">
        <f>IF(ISNUMBER($K932),INDEX(РАБОТЫ!$M$2:$M$1058,$K932),"")</f>
        <v/>
      </c>
      <c r="F932" s="7" t="str">
        <f>IF(ISNUMBER($K932),INDEX(РАБОТЫ!$S$2:$S$1058,$K932),"")</f>
        <v/>
      </c>
      <c r="G932" s="7" t="str">
        <f>IF(ISNUMBER($K932),INDEX(РАБОТЫ!$T$2:$T$1058,$K932),"")</f>
        <v/>
      </c>
      <c r="H932" s="7" t="str">
        <f t="shared" si="56"/>
        <v/>
      </c>
      <c r="I932" s="7" t="str">
        <f t="shared" si="57"/>
        <v/>
      </c>
      <c r="J932" s="7" t="str">
        <f t="shared" si="58"/>
        <v/>
      </c>
      <c r="K932" t="str">
        <f>IFERROR(MATCH(911,РАБОТЫ!$X$2:$X$1058,0),"")</f>
        <v/>
      </c>
      <c r="L932" t="str">
        <f>IFERROR(IF(INDEX(РАБОТЫ!$W$2:$W$1058,MATCH(911+1,РАБОТЫ!$X$2:$X$1058,0))=1,INDEX(РАБОТЫ!$V$2:$V$1058,MATCH(911+1,РАБОТЫ!$X$2:$X$1058,0)),""),"")</f>
        <v/>
      </c>
      <c r="M932" t="str">
        <f t="shared" si="59"/>
        <v/>
      </c>
    </row>
    <row r="933" spans="1:13" hidden="1" x14ac:dyDescent="0.3">
      <c r="A933" t="str">
        <f>IF(ISNUMBER($K933),INDEX(РАБОТЫ!$U$2:$U$1058,$K933),"")</f>
        <v/>
      </c>
      <c r="B933" t="str">
        <f>IF(ISNUMBER($K933),INDEX(РАБОТЫ!$A$2:$A$1058,$K933),"")</f>
        <v/>
      </c>
      <c r="C933" s="4" t="str">
        <f>IF($L933&lt;&gt;"",INDEX(РАБОТЫ!$Z$2:$Z$1058,MATCH($L933,РАБОТЫ!$V$2:$V$1058,0)),IF(ISNUMBER($K933),INDEX(РАБОТЫ!$Y$2:$Y$1058,$K933),""))</f>
        <v/>
      </c>
      <c r="D933" t="str">
        <f>IF(ISNUMBER($K933),INDEX(РАБОТЫ!$E$2:$E$1058,$K933),"")</f>
        <v/>
      </c>
      <c r="E933" t="str">
        <f>IF(ISNUMBER($K933),INDEX(РАБОТЫ!$M$2:$M$1058,$K933),"")</f>
        <v/>
      </c>
      <c r="F933" s="7" t="str">
        <f>IF(ISNUMBER($K933),INDEX(РАБОТЫ!$S$2:$S$1058,$K933),"")</f>
        <v/>
      </c>
      <c r="G933" s="7" t="str">
        <f>IF(ISNUMBER($K933),INDEX(РАБОТЫ!$T$2:$T$1058,$K933),"")</f>
        <v/>
      </c>
      <c r="H933" s="7" t="str">
        <f t="shared" si="56"/>
        <v/>
      </c>
      <c r="I933" s="7" t="str">
        <f t="shared" si="57"/>
        <v/>
      </c>
      <c r="J933" s="7" t="str">
        <f t="shared" si="58"/>
        <v/>
      </c>
      <c r="K933" t="str">
        <f>IFERROR(MATCH(912,РАБОТЫ!$X$2:$X$1058,0),"")</f>
        <v/>
      </c>
      <c r="L933" t="str">
        <f>IFERROR(IF(INDEX(РАБОТЫ!$W$2:$W$1058,MATCH(912+1,РАБОТЫ!$X$2:$X$1058,0))=1,INDEX(РАБОТЫ!$V$2:$V$1058,MATCH(912+1,РАБОТЫ!$X$2:$X$1058,0)),""),"")</f>
        <v/>
      </c>
      <c r="M933" t="str">
        <f t="shared" si="59"/>
        <v/>
      </c>
    </row>
    <row r="934" spans="1:13" hidden="1" x14ac:dyDescent="0.3">
      <c r="A934" t="str">
        <f>IF(ISNUMBER($K934),INDEX(РАБОТЫ!$U$2:$U$1058,$K934),"")</f>
        <v/>
      </c>
      <c r="B934" t="str">
        <f>IF(ISNUMBER($K934),INDEX(РАБОТЫ!$A$2:$A$1058,$K934),"")</f>
        <v/>
      </c>
      <c r="C934" s="4" t="str">
        <f>IF($L934&lt;&gt;"",INDEX(РАБОТЫ!$Z$2:$Z$1058,MATCH($L934,РАБОТЫ!$V$2:$V$1058,0)),IF(ISNUMBER($K934),INDEX(РАБОТЫ!$Y$2:$Y$1058,$K934),""))</f>
        <v/>
      </c>
      <c r="D934" t="str">
        <f>IF(ISNUMBER($K934),INDEX(РАБОТЫ!$E$2:$E$1058,$K934),"")</f>
        <v/>
      </c>
      <c r="E934" t="str">
        <f>IF(ISNUMBER($K934),INDEX(РАБОТЫ!$M$2:$M$1058,$K934),"")</f>
        <v/>
      </c>
      <c r="F934" s="7" t="str">
        <f>IF(ISNUMBER($K934),INDEX(РАБОТЫ!$S$2:$S$1058,$K934),"")</f>
        <v/>
      </c>
      <c r="G934" s="7" t="str">
        <f>IF(ISNUMBER($K934),INDEX(РАБОТЫ!$T$2:$T$1058,$K934),"")</f>
        <v/>
      </c>
      <c r="H934" s="7" t="str">
        <f t="shared" si="56"/>
        <v/>
      </c>
      <c r="I934" s="7" t="str">
        <f t="shared" si="57"/>
        <v/>
      </c>
      <c r="J934" s="7" t="str">
        <f t="shared" si="58"/>
        <v/>
      </c>
      <c r="K934" t="str">
        <f>IFERROR(MATCH(913,РАБОТЫ!$X$2:$X$1058,0),"")</f>
        <v/>
      </c>
      <c r="L934" t="str">
        <f>IFERROR(IF(INDEX(РАБОТЫ!$W$2:$W$1058,MATCH(913+1,РАБОТЫ!$X$2:$X$1058,0))=1,INDEX(РАБОТЫ!$V$2:$V$1058,MATCH(913+1,РАБОТЫ!$X$2:$X$1058,0)),""),"")</f>
        <v/>
      </c>
      <c r="M934" t="str">
        <f t="shared" si="59"/>
        <v/>
      </c>
    </row>
    <row r="935" spans="1:13" hidden="1" x14ac:dyDescent="0.3">
      <c r="A935" t="str">
        <f>IF(ISNUMBER($K935),INDEX(РАБОТЫ!$U$2:$U$1058,$K935),"")</f>
        <v/>
      </c>
      <c r="B935" t="str">
        <f>IF(ISNUMBER($K935),INDEX(РАБОТЫ!$A$2:$A$1058,$K935),"")</f>
        <v/>
      </c>
      <c r="C935" s="4" t="str">
        <f>IF($L935&lt;&gt;"",INDEX(РАБОТЫ!$Z$2:$Z$1058,MATCH($L935,РАБОТЫ!$V$2:$V$1058,0)),IF(ISNUMBER($K935),INDEX(РАБОТЫ!$Y$2:$Y$1058,$K935),""))</f>
        <v/>
      </c>
      <c r="D935" t="str">
        <f>IF(ISNUMBER($K935),INDEX(РАБОТЫ!$E$2:$E$1058,$K935),"")</f>
        <v/>
      </c>
      <c r="E935" t="str">
        <f>IF(ISNUMBER($K935),INDEX(РАБОТЫ!$M$2:$M$1058,$K935),"")</f>
        <v/>
      </c>
      <c r="F935" s="7" t="str">
        <f>IF(ISNUMBER($K935),INDEX(РАБОТЫ!$S$2:$S$1058,$K935),"")</f>
        <v/>
      </c>
      <c r="G935" s="7" t="str">
        <f>IF(ISNUMBER($K935),INDEX(РАБОТЫ!$T$2:$T$1058,$K935),"")</f>
        <v/>
      </c>
      <c r="H935" s="7" t="str">
        <f t="shared" si="56"/>
        <v/>
      </c>
      <c r="I935" s="7" t="str">
        <f t="shared" si="57"/>
        <v/>
      </c>
      <c r="J935" s="7" t="str">
        <f t="shared" si="58"/>
        <v/>
      </c>
      <c r="K935" t="str">
        <f>IFERROR(MATCH(914,РАБОТЫ!$X$2:$X$1058,0),"")</f>
        <v/>
      </c>
      <c r="L935" t="str">
        <f>IFERROR(IF(INDEX(РАБОТЫ!$W$2:$W$1058,MATCH(914+1,РАБОТЫ!$X$2:$X$1058,0))=1,INDEX(РАБОТЫ!$V$2:$V$1058,MATCH(914+1,РАБОТЫ!$X$2:$X$1058,0)),""),"")</f>
        <v/>
      </c>
      <c r="M935" t="str">
        <f t="shared" si="59"/>
        <v/>
      </c>
    </row>
    <row r="936" spans="1:13" hidden="1" x14ac:dyDescent="0.3">
      <c r="A936" t="str">
        <f>IF(ISNUMBER($K936),INDEX(РАБОТЫ!$U$2:$U$1058,$K936),"")</f>
        <v/>
      </c>
      <c r="B936" t="str">
        <f>IF(ISNUMBER($K936),INDEX(РАБОТЫ!$A$2:$A$1058,$K936),"")</f>
        <v/>
      </c>
      <c r="C936" s="4" t="str">
        <f>IF($L936&lt;&gt;"",INDEX(РАБОТЫ!$Z$2:$Z$1058,MATCH($L936,РАБОТЫ!$V$2:$V$1058,0)),IF(ISNUMBER($K936),INDEX(РАБОТЫ!$Y$2:$Y$1058,$K936),""))</f>
        <v/>
      </c>
      <c r="D936" t="str">
        <f>IF(ISNUMBER($K936),INDEX(РАБОТЫ!$E$2:$E$1058,$K936),"")</f>
        <v/>
      </c>
      <c r="E936" t="str">
        <f>IF(ISNUMBER($K936),INDEX(РАБОТЫ!$M$2:$M$1058,$K936),"")</f>
        <v/>
      </c>
      <c r="F936" s="7" t="str">
        <f>IF(ISNUMBER($K936),INDEX(РАБОТЫ!$S$2:$S$1058,$K936),"")</f>
        <v/>
      </c>
      <c r="G936" s="7" t="str">
        <f>IF(ISNUMBER($K936),INDEX(РАБОТЫ!$T$2:$T$1058,$K936),"")</f>
        <v/>
      </c>
      <c r="H936" s="7" t="str">
        <f t="shared" si="56"/>
        <v/>
      </c>
      <c r="I936" s="7" t="str">
        <f t="shared" si="57"/>
        <v/>
      </c>
      <c r="J936" s="7" t="str">
        <f t="shared" si="58"/>
        <v/>
      </c>
      <c r="K936" t="str">
        <f>IFERROR(MATCH(915,РАБОТЫ!$X$2:$X$1058,0),"")</f>
        <v/>
      </c>
      <c r="L936" t="str">
        <f>IFERROR(IF(INDEX(РАБОТЫ!$W$2:$W$1058,MATCH(915+1,РАБОТЫ!$X$2:$X$1058,0))=1,INDEX(РАБОТЫ!$V$2:$V$1058,MATCH(915+1,РАБОТЫ!$X$2:$X$1058,0)),""),"")</f>
        <v/>
      </c>
      <c r="M936" t="str">
        <f t="shared" si="59"/>
        <v/>
      </c>
    </row>
    <row r="937" spans="1:13" hidden="1" x14ac:dyDescent="0.3">
      <c r="A937" t="str">
        <f>IF(ISNUMBER($K937),INDEX(РАБОТЫ!$U$2:$U$1058,$K937),"")</f>
        <v/>
      </c>
      <c r="B937" t="str">
        <f>IF(ISNUMBER($K937),INDEX(РАБОТЫ!$A$2:$A$1058,$K937),"")</f>
        <v/>
      </c>
      <c r="C937" s="4" t="str">
        <f>IF($L937&lt;&gt;"",INDEX(РАБОТЫ!$Z$2:$Z$1058,MATCH($L937,РАБОТЫ!$V$2:$V$1058,0)),IF(ISNUMBER($K937),INDEX(РАБОТЫ!$Y$2:$Y$1058,$K937),""))</f>
        <v/>
      </c>
      <c r="D937" t="str">
        <f>IF(ISNUMBER($K937),INDEX(РАБОТЫ!$E$2:$E$1058,$K937),"")</f>
        <v/>
      </c>
      <c r="E937" t="str">
        <f>IF(ISNUMBER($K937),INDEX(РАБОТЫ!$M$2:$M$1058,$K937),"")</f>
        <v/>
      </c>
      <c r="F937" s="7" t="str">
        <f>IF(ISNUMBER($K937),INDEX(РАБОТЫ!$S$2:$S$1058,$K937),"")</f>
        <v/>
      </c>
      <c r="G937" s="7" t="str">
        <f>IF(ISNUMBER($K937),INDEX(РАБОТЫ!$T$2:$T$1058,$K937),"")</f>
        <v/>
      </c>
      <c r="H937" s="7" t="str">
        <f t="shared" si="56"/>
        <v/>
      </c>
      <c r="I937" s="7" t="str">
        <f t="shared" si="57"/>
        <v/>
      </c>
      <c r="J937" s="7" t="str">
        <f t="shared" si="58"/>
        <v/>
      </c>
      <c r="K937" t="str">
        <f>IFERROR(MATCH(916,РАБОТЫ!$X$2:$X$1058,0),"")</f>
        <v/>
      </c>
      <c r="L937" t="str">
        <f>IFERROR(IF(INDEX(РАБОТЫ!$W$2:$W$1058,MATCH(916+1,РАБОТЫ!$X$2:$X$1058,0))=1,INDEX(РАБОТЫ!$V$2:$V$1058,MATCH(916+1,РАБОТЫ!$X$2:$X$1058,0)),""),"")</f>
        <v/>
      </c>
      <c r="M937" t="str">
        <f t="shared" si="59"/>
        <v/>
      </c>
    </row>
    <row r="938" spans="1:13" hidden="1" x14ac:dyDescent="0.3">
      <c r="A938" t="str">
        <f>IF(ISNUMBER($K938),INDEX(РАБОТЫ!$U$2:$U$1058,$K938),"")</f>
        <v/>
      </c>
      <c r="B938" t="str">
        <f>IF(ISNUMBER($K938),INDEX(РАБОТЫ!$A$2:$A$1058,$K938),"")</f>
        <v/>
      </c>
      <c r="C938" s="4" t="str">
        <f>IF($L938&lt;&gt;"",INDEX(РАБОТЫ!$Z$2:$Z$1058,MATCH($L938,РАБОТЫ!$V$2:$V$1058,0)),IF(ISNUMBER($K938),INDEX(РАБОТЫ!$Y$2:$Y$1058,$K938),""))</f>
        <v/>
      </c>
      <c r="D938" t="str">
        <f>IF(ISNUMBER($K938),INDEX(РАБОТЫ!$E$2:$E$1058,$K938),"")</f>
        <v/>
      </c>
      <c r="E938" t="str">
        <f>IF(ISNUMBER($K938),INDEX(РАБОТЫ!$M$2:$M$1058,$K938),"")</f>
        <v/>
      </c>
      <c r="F938" s="7" t="str">
        <f>IF(ISNUMBER($K938),INDEX(РАБОТЫ!$S$2:$S$1058,$K938),"")</f>
        <v/>
      </c>
      <c r="G938" s="7" t="str">
        <f>IF(ISNUMBER($K938),INDEX(РАБОТЫ!$T$2:$T$1058,$K938),"")</f>
        <v/>
      </c>
      <c r="H938" s="7" t="str">
        <f t="shared" si="56"/>
        <v/>
      </c>
      <c r="I938" s="7" t="str">
        <f t="shared" si="57"/>
        <v/>
      </c>
      <c r="J938" s="7" t="str">
        <f t="shared" si="58"/>
        <v/>
      </c>
      <c r="K938" t="str">
        <f>IFERROR(MATCH(917,РАБОТЫ!$X$2:$X$1058,0),"")</f>
        <v/>
      </c>
      <c r="L938" t="str">
        <f>IFERROR(IF(INDEX(РАБОТЫ!$W$2:$W$1058,MATCH(917+1,РАБОТЫ!$X$2:$X$1058,0))=1,INDEX(РАБОТЫ!$V$2:$V$1058,MATCH(917+1,РАБОТЫ!$X$2:$X$1058,0)),""),"")</f>
        <v/>
      </c>
      <c r="M938" t="str">
        <f t="shared" si="59"/>
        <v/>
      </c>
    </row>
    <row r="939" spans="1:13" hidden="1" x14ac:dyDescent="0.3">
      <c r="A939" t="str">
        <f>IF(ISNUMBER($K939),INDEX(РАБОТЫ!$U$2:$U$1058,$K939),"")</f>
        <v/>
      </c>
      <c r="B939" t="str">
        <f>IF(ISNUMBER($K939),INDEX(РАБОТЫ!$A$2:$A$1058,$K939),"")</f>
        <v/>
      </c>
      <c r="C939" s="4" t="str">
        <f>IF($L939&lt;&gt;"",INDEX(РАБОТЫ!$Z$2:$Z$1058,MATCH($L939,РАБОТЫ!$V$2:$V$1058,0)),IF(ISNUMBER($K939),INDEX(РАБОТЫ!$Y$2:$Y$1058,$K939),""))</f>
        <v/>
      </c>
      <c r="D939" t="str">
        <f>IF(ISNUMBER($K939),INDEX(РАБОТЫ!$E$2:$E$1058,$K939),"")</f>
        <v/>
      </c>
      <c r="E939" t="str">
        <f>IF(ISNUMBER($K939),INDEX(РАБОТЫ!$M$2:$M$1058,$K939),"")</f>
        <v/>
      </c>
      <c r="F939" s="7" t="str">
        <f>IF(ISNUMBER($K939),INDEX(РАБОТЫ!$S$2:$S$1058,$K939),"")</f>
        <v/>
      </c>
      <c r="G939" s="7" t="str">
        <f>IF(ISNUMBER($K939),INDEX(РАБОТЫ!$T$2:$T$1058,$K939),"")</f>
        <v/>
      </c>
      <c r="H939" s="7" t="str">
        <f t="shared" si="56"/>
        <v/>
      </c>
      <c r="I939" s="7" t="str">
        <f t="shared" si="57"/>
        <v/>
      </c>
      <c r="J939" s="7" t="str">
        <f t="shared" si="58"/>
        <v/>
      </c>
      <c r="K939" t="str">
        <f>IFERROR(MATCH(918,РАБОТЫ!$X$2:$X$1058,0),"")</f>
        <v/>
      </c>
      <c r="L939" t="str">
        <f>IFERROR(IF(INDEX(РАБОТЫ!$W$2:$W$1058,MATCH(918+1,РАБОТЫ!$X$2:$X$1058,0))=1,INDEX(РАБОТЫ!$V$2:$V$1058,MATCH(918+1,РАБОТЫ!$X$2:$X$1058,0)),""),"")</f>
        <v/>
      </c>
      <c r="M939" t="str">
        <f t="shared" si="59"/>
        <v/>
      </c>
    </row>
    <row r="940" spans="1:13" hidden="1" x14ac:dyDescent="0.3">
      <c r="A940" t="str">
        <f>IF(ISNUMBER($K940),INDEX(РАБОТЫ!$U$2:$U$1058,$K940),"")</f>
        <v/>
      </c>
      <c r="B940" t="str">
        <f>IF(ISNUMBER($K940),INDEX(РАБОТЫ!$A$2:$A$1058,$K940),"")</f>
        <v/>
      </c>
      <c r="C940" s="4" t="str">
        <f>IF($L940&lt;&gt;"",INDEX(РАБОТЫ!$Z$2:$Z$1058,MATCH($L940,РАБОТЫ!$V$2:$V$1058,0)),IF(ISNUMBER($K940),INDEX(РАБОТЫ!$Y$2:$Y$1058,$K940),""))</f>
        <v/>
      </c>
      <c r="D940" t="str">
        <f>IF(ISNUMBER($K940),INDEX(РАБОТЫ!$E$2:$E$1058,$K940),"")</f>
        <v/>
      </c>
      <c r="E940" t="str">
        <f>IF(ISNUMBER($K940),INDEX(РАБОТЫ!$M$2:$M$1058,$K940),"")</f>
        <v/>
      </c>
      <c r="F940" s="7" t="str">
        <f>IF(ISNUMBER($K940),INDEX(РАБОТЫ!$S$2:$S$1058,$K940),"")</f>
        <v/>
      </c>
      <c r="G940" s="7" t="str">
        <f>IF(ISNUMBER($K940),INDEX(РАБОТЫ!$T$2:$T$1058,$K940),"")</f>
        <v/>
      </c>
      <c r="H940" s="7" t="str">
        <f t="shared" si="56"/>
        <v/>
      </c>
      <c r="I940" s="7" t="str">
        <f t="shared" si="57"/>
        <v/>
      </c>
      <c r="J940" s="7" t="str">
        <f t="shared" si="58"/>
        <v/>
      </c>
      <c r="K940" t="str">
        <f>IFERROR(MATCH(919,РАБОТЫ!$X$2:$X$1058,0),"")</f>
        <v/>
      </c>
      <c r="L940" t="str">
        <f>IFERROR(IF(INDEX(РАБОТЫ!$W$2:$W$1058,MATCH(919+1,РАБОТЫ!$X$2:$X$1058,0))=1,INDEX(РАБОТЫ!$V$2:$V$1058,MATCH(919+1,РАБОТЫ!$X$2:$X$1058,0)),""),"")</f>
        <v/>
      </c>
      <c r="M940" t="str">
        <f t="shared" si="59"/>
        <v/>
      </c>
    </row>
    <row r="941" spans="1:13" hidden="1" x14ac:dyDescent="0.3">
      <c r="A941" t="str">
        <f>IF(ISNUMBER($K941),INDEX(РАБОТЫ!$U$2:$U$1058,$K941),"")</f>
        <v/>
      </c>
      <c r="B941" t="str">
        <f>IF(ISNUMBER($K941),INDEX(РАБОТЫ!$A$2:$A$1058,$K941),"")</f>
        <v/>
      </c>
      <c r="C941" s="4" t="str">
        <f>IF($L941&lt;&gt;"",INDEX(РАБОТЫ!$Z$2:$Z$1058,MATCH($L941,РАБОТЫ!$V$2:$V$1058,0)),IF(ISNUMBER($K941),INDEX(РАБОТЫ!$Y$2:$Y$1058,$K941),""))</f>
        <v/>
      </c>
      <c r="D941" t="str">
        <f>IF(ISNUMBER($K941),INDEX(РАБОТЫ!$E$2:$E$1058,$K941),"")</f>
        <v/>
      </c>
      <c r="E941" t="str">
        <f>IF(ISNUMBER($K941),INDEX(РАБОТЫ!$M$2:$M$1058,$K941),"")</f>
        <v/>
      </c>
      <c r="F941" s="7" t="str">
        <f>IF(ISNUMBER($K941),INDEX(РАБОТЫ!$S$2:$S$1058,$K941),"")</f>
        <v/>
      </c>
      <c r="G941" s="7" t="str">
        <f>IF(ISNUMBER($K941),INDEX(РАБОТЫ!$T$2:$T$1058,$K941),"")</f>
        <v/>
      </c>
      <c r="H941" s="7" t="str">
        <f t="shared" si="56"/>
        <v/>
      </c>
      <c r="I941" s="7" t="str">
        <f t="shared" si="57"/>
        <v/>
      </c>
      <c r="J941" s="7" t="str">
        <f t="shared" si="58"/>
        <v/>
      </c>
      <c r="K941" t="str">
        <f>IFERROR(MATCH(920,РАБОТЫ!$X$2:$X$1058,0),"")</f>
        <v/>
      </c>
      <c r="L941" t="str">
        <f>IFERROR(IF(INDEX(РАБОТЫ!$W$2:$W$1058,MATCH(920+1,РАБОТЫ!$X$2:$X$1058,0))=1,INDEX(РАБОТЫ!$V$2:$V$1058,MATCH(920+1,РАБОТЫ!$X$2:$X$1058,0)),""),"")</f>
        <v/>
      </c>
      <c r="M941" t="str">
        <f t="shared" si="59"/>
        <v/>
      </c>
    </row>
    <row r="942" spans="1:13" hidden="1" x14ac:dyDescent="0.3">
      <c r="A942" t="str">
        <f>IF(ISNUMBER($K942),INDEX(РАБОТЫ!$U$2:$U$1058,$K942),"")</f>
        <v/>
      </c>
      <c r="B942" t="str">
        <f>IF(ISNUMBER($K942),INDEX(РАБОТЫ!$A$2:$A$1058,$K942),"")</f>
        <v/>
      </c>
      <c r="C942" s="4" t="str">
        <f>IF($L942&lt;&gt;"",INDEX(РАБОТЫ!$Z$2:$Z$1058,MATCH($L942,РАБОТЫ!$V$2:$V$1058,0)),IF(ISNUMBER($K942),INDEX(РАБОТЫ!$Y$2:$Y$1058,$K942),""))</f>
        <v/>
      </c>
      <c r="D942" t="str">
        <f>IF(ISNUMBER($K942),INDEX(РАБОТЫ!$E$2:$E$1058,$K942),"")</f>
        <v/>
      </c>
      <c r="E942" t="str">
        <f>IF(ISNUMBER($K942),INDEX(РАБОТЫ!$M$2:$M$1058,$K942),"")</f>
        <v/>
      </c>
      <c r="F942" s="7" t="str">
        <f>IF(ISNUMBER($K942),INDEX(РАБОТЫ!$S$2:$S$1058,$K942),"")</f>
        <v/>
      </c>
      <c r="G942" s="7" t="str">
        <f>IF(ISNUMBER($K942),INDEX(РАБОТЫ!$T$2:$T$1058,$K942),"")</f>
        <v/>
      </c>
      <c r="H942" s="7" t="str">
        <f t="shared" si="56"/>
        <v/>
      </c>
      <c r="I942" s="7" t="str">
        <f t="shared" si="57"/>
        <v/>
      </c>
      <c r="J942" s="7" t="str">
        <f t="shared" si="58"/>
        <v/>
      </c>
      <c r="K942" t="str">
        <f>IFERROR(MATCH(921,РАБОТЫ!$X$2:$X$1058,0),"")</f>
        <v/>
      </c>
      <c r="L942" t="str">
        <f>IFERROR(IF(INDEX(РАБОТЫ!$W$2:$W$1058,MATCH(921+1,РАБОТЫ!$X$2:$X$1058,0))=1,INDEX(РАБОТЫ!$V$2:$V$1058,MATCH(921+1,РАБОТЫ!$X$2:$X$1058,0)),""),"")</f>
        <v/>
      </c>
      <c r="M942" t="str">
        <f t="shared" si="59"/>
        <v/>
      </c>
    </row>
    <row r="943" spans="1:13" hidden="1" x14ac:dyDescent="0.3">
      <c r="A943" t="str">
        <f>IF(ISNUMBER($K943),INDEX(РАБОТЫ!$U$2:$U$1058,$K943),"")</f>
        <v/>
      </c>
      <c r="B943" t="str">
        <f>IF(ISNUMBER($K943),INDEX(РАБОТЫ!$A$2:$A$1058,$K943),"")</f>
        <v/>
      </c>
      <c r="C943" s="4" t="str">
        <f>IF($L943&lt;&gt;"",INDEX(РАБОТЫ!$Z$2:$Z$1058,MATCH($L943,РАБОТЫ!$V$2:$V$1058,0)),IF(ISNUMBER($K943),INDEX(РАБОТЫ!$Y$2:$Y$1058,$K943),""))</f>
        <v/>
      </c>
      <c r="D943" t="str">
        <f>IF(ISNUMBER($K943),INDEX(РАБОТЫ!$E$2:$E$1058,$K943),"")</f>
        <v/>
      </c>
      <c r="E943" t="str">
        <f>IF(ISNUMBER($K943),INDEX(РАБОТЫ!$M$2:$M$1058,$K943),"")</f>
        <v/>
      </c>
      <c r="F943" s="7" t="str">
        <f>IF(ISNUMBER($K943),INDEX(РАБОТЫ!$S$2:$S$1058,$K943),"")</f>
        <v/>
      </c>
      <c r="G943" s="7" t="str">
        <f>IF(ISNUMBER($K943),INDEX(РАБОТЫ!$T$2:$T$1058,$K943),"")</f>
        <v/>
      </c>
      <c r="H943" s="7" t="str">
        <f t="shared" si="56"/>
        <v/>
      </c>
      <c r="I943" s="7" t="str">
        <f t="shared" si="57"/>
        <v/>
      </c>
      <c r="J943" s="7" t="str">
        <f t="shared" si="58"/>
        <v/>
      </c>
      <c r="K943" t="str">
        <f>IFERROR(MATCH(922,РАБОТЫ!$X$2:$X$1058,0),"")</f>
        <v/>
      </c>
      <c r="L943" t="str">
        <f>IFERROR(IF(INDEX(РАБОТЫ!$W$2:$W$1058,MATCH(922+1,РАБОТЫ!$X$2:$X$1058,0))=1,INDEX(РАБОТЫ!$V$2:$V$1058,MATCH(922+1,РАБОТЫ!$X$2:$X$1058,0)),""),"")</f>
        <v/>
      </c>
      <c r="M943" t="str">
        <f t="shared" si="59"/>
        <v/>
      </c>
    </row>
    <row r="944" spans="1:13" hidden="1" x14ac:dyDescent="0.3">
      <c r="A944" t="str">
        <f>IF(ISNUMBER($K944),INDEX(РАБОТЫ!$U$2:$U$1058,$K944),"")</f>
        <v/>
      </c>
      <c r="B944" t="str">
        <f>IF(ISNUMBER($K944),INDEX(РАБОТЫ!$A$2:$A$1058,$K944),"")</f>
        <v/>
      </c>
      <c r="C944" s="4" t="str">
        <f>IF($L944&lt;&gt;"",INDEX(РАБОТЫ!$Z$2:$Z$1058,MATCH($L944,РАБОТЫ!$V$2:$V$1058,0)),IF(ISNUMBER($K944),INDEX(РАБОТЫ!$Y$2:$Y$1058,$K944),""))</f>
        <v/>
      </c>
      <c r="D944" t="str">
        <f>IF(ISNUMBER($K944),INDEX(РАБОТЫ!$E$2:$E$1058,$K944),"")</f>
        <v/>
      </c>
      <c r="E944" t="str">
        <f>IF(ISNUMBER($K944),INDEX(РАБОТЫ!$M$2:$M$1058,$K944),"")</f>
        <v/>
      </c>
      <c r="F944" s="7" t="str">
        <f>IF(ISNUMBER($K944),INDEX(РАБОТЫ!$S$2:$S$1058,$K944),"")</f>
        <v/>
      </c>
      <c r="G944" s="7" t="str">
        <f>IF(ISNUMBER($K944),INDEX(РАБОТЫ!$T$2:$T$1058,$K944),"")</f>
        <v/>
      </c>
      <c r="H944" s="7" t="str">
        <f t="shared" si="56"/>
        <v/>
      </c>
      <c r="I944" s="7" t="str">
        <f t="shared" si="57"/>
        <v/>
      </c>
      <c r="J944" s="7" t="str">
        <f t="shared" si="58"/>
        <v/>
      </c>
      <c r="K944" t="str">
        <f>IFERROR(MATCH(923,РАБОТЫ!$X$2:$X$1058,0),"")</f>
        <v/>
      </c>
      <c r="L944" t="str">
        <f>IFERROR(IF(INDEX(РАБОТЫ!$W$2:$W$1058,MATCH(923+1,РАБОТЫ!$X$2:$X$1058,0))=1,INDEX(РАБОТЫ!$V$2:$V$1058,MATCH(923+1,РАБОТЫ!$X$2:$X$1058,0)),""),"")</f>
        <v/>
      </c>
      <c r="M944" t="str">
        <f t="shared" si="59"/>
        <v/>
      </c>
    </row>
    <row r="945" spans="1:13" hidden="1" x14ac:dyDescent="0.3">
      <c r="A945" t="str">
        <f>IF(ISNUMBER($K945),INDEX(РАБОТЫ!$U$2:$U$1058,$K945),"")</f>
        <v/>
      </c>
      <c r="B945" t="str">
        <f>IF(ISNUMBER($K945),INDEX(РАБОТЫ!$A$2:$A$1058,$K945),"")</f>
        <v/>
      </c>
      <c r="C945" s="4" t="str">
        <f>IF($L945&lt;&gt;"",INDEX(РАБОТЫ!$Z$2:$Z$1058,MATCH($L945,РАБОТЫ!$V$2:$V$1058,0)),IF(ISNUMBER($K945),INDEX(РАБОТЫ!$Y$2:$Y$1058,$K945),""))</f>
        <v/>
      </c>
      <c r="D945" t="str">
        <f>IF(ISNUMBER($K945),INDEX(РАБОТЫ!$E$2:$E$1058,$K945),"")</f>
        <v/>
      </c>
      <c r="E945" t="str">
        <f>IF(ISNUMBER($K945),INDEX(РАБОТЫ!$M$2:$M$1058,$K945),"")</f>
        <v/>
      </c>
      <c r="F945" s="7" t="str">
        <f>IF(ISNUMBER($K945),INDEX(РАБОТЫ!$S$2:$S$1058,$K945),"")</f>
        <v/>
      </c>
      <c r="G945" s="7" t="str">
        <f>IF(ISNUMBER($K945),INDEX(РАБОТЫ!$T$2:$T$1058,$K945),"")</f>
        <v/>
      </c>
      <c r="H945" s="7" t="str">
        <f t="shared" si="56"/>
        <v/>
      </c>
      <c r="I945" s="7" t="str">
        <f t="shared" si="57"/>
        <v/>
      </c>
      <c r="J945" s="7" t="str">
        <f t="shared" si="58"/>
        <v/>
      </c>
      <c r="K945" t="str">
        <f>IFERROR(MATCH(924,РАБОТЫ!$X$2:$X$1058,0),"")</f>
        <v/>
      </c>
      <c r="L945" t="str">
        <f>IFERROR(IF(INDEX(РАБОТЫ!$W$2:$W$1058,MATCH(924+1,РАБОТЫ!$X$2:$X$1058,0))=1,INDEX(РАБОТЫ!$V$2:$V$1058,MATCH(924+1,РАБОТЫ!$X$2:$X$1058,0)),""),"")</f>
        <v/>
      </c>
      <c r="M945" t="str">
        <f t="shared" si="59"/>
        <v/>
      </c>
    </row>
    <row r="946" spans="1:13" hidden="1" x14ac:dyDescent="0.3">
      <c r="A946" t="str">
        <f>IF(ISNUMBER($K946),INDEX(РАБОТЫ!$U$2:$U$1058,$K946),"")</f>
        <v/>
      </c>
      <c r="B946" t="str">
        <f>IF(ISNUMBER($K946),INDEX(РАБОТЫ!$A$2:$A$1058,$K946),"")</f>
        <v/>
      </c>
      <c r="C946" s="4" t="str">
        <f>IF($L946&lt;&gt;"",INDEX(РАБОТЫ!$Z$2:$Z$1058,MATCH($L946,РАБОТЫ!$V$2:$V$1058,0)),IF(ISNUMBER($K946),INDEX(РАБОТЫ!$Y$2:$Y$1058,$K946),""))</f>
        <v/>
      </c>
      <c r="D946" t="str">
        <f>IF(ISNUMBER($K946),INDEX(РАБОТЫ!$E$2:$E$1058,$K946),"")</f>
        <v/>
      </c>
      <c r="E946" t="str">
        <f>IF(ISNUMBER($K946),INDEX(РАБОТЫ!$M$2:$M$1058,$K946),"")</f>
        <v/>
      </c>
      <c r="F946" s="7" t="str">
        <f>IF(ISNUMBER($K946),INDEX(РАБОТЫ!$S$2:$S$1058,$K946),"")</f>
        <v/>
      </c>
      <c r="G946" s="7" t="str">
        <f>IF(ISNUMBER($K946),INDEX(РАБОТЫ!$T$2:$T$1058,$K946),"")</f>
        <v/>
      </c>
      <c r="H946" s="7" t="str">
        <f t="shared" si="56"/>
        <v/>
      </c>
      <c r="I946" s="7" t="str">
        <f t="shared" si="57"/>
        <v/>
      </c>
      <c r="J946" s="7" t="str">
        <f t="shared" si="58"/>
        <v/>
      </c>
      <c r="K946" t="str">
        <f>IFERROR(MATCH(925,РАБОТЫ!$X$2:$X$1058,0),"")</f>
        <v/>
      </c>
      <c r="L946" t="str">
        <f>IFERROR(IF(INDEX(РАБОТЫ!$W$2:$W$1058,MATCH(925+1,РАБОТЫ!$X$2:$X$1058,0))=1,INDEX(РАБОТЫ!$V$2:$V$1058,MATCH(925+1,РАБОТЫ!$X$2:$X$1058,0)),""),"")</f>
        <v/>
      </c>
      <c r="M946" t="str">
        <f t="shared" si="59"/>
        <v/>
      </c>
    </row>
    <row r="947" spans="1:13" hidden="1" x14ac:dyDescent="0.3">
      <c r="A947" t="str">
        <f>IF(ISNUMBER($K947),INDEX(РАБОТЫ!$U$2:$U$1058,$K947),"")</f>
        <v/>
      </c>
      <c r="B947" t="str">
        <f>IF(ISNUMBER($K947),INDEX(РАБОТЫ!$A$2:$A$1058,$K947),"")</f>
        <v/>
      </c>
      <c r="C947" s="4" t="str">
        <f>IF($L947&lt;&gt;"",INDEX(РАБОТЫ!$Z$2:$Z$1058,MATCH($L947,РАБОТЫ!$V$2:$V$1058,0)),IF(ISNUMBER($K947),INDEX(РАБОТЫ!$Y$2:$Y$1058,$K947),""))</f>
        <v/>
      </c>
      <c r="D947" t="str">
        <f>IF(ISNUMBER($K947),INDEX(РАБОТЫ!$E$2:$E$1058,$K947),"")</f>
        <v/>
      </c>
      <c r="E947" t="str">
        <f>IF(ISNUMBER($K947),INDEX(РАБОТЫ!$M$2:$M$1058,$K947),"")</f>
        <v/>
      </c>
      <c r="F947" s="7" t="str">
        <f>IF(ISNUMBER($K947),INDEX(РАБОТЫ!$S$2:$S$1058,$K947),"")</f>
        <v/>
      </c>
      <c r="G947" s="7" t="str">
        <f>IF(ISNUMBER($K947),INDEX(РАБОТЫ!$T$2:$T$1058,$K947),"")</f>
        <v/>
      </c>
      <c r="H947" s="7" t="str">
        <f t="shared" si="56"/>
        <v/>
      </c>
      <c r="I947" s="7" t="str">
        <f t="shared" si="57"/>
        <v/>
      </c>
      <c r="J947" s="7" t="str">
        <f t="shared" si="58"/>
        <v/>
      </c>
      <c r="K947" t="str">
        <f>IFERROR(MATCH(926,РАБОТЫ!$X$2:$X$1058,0),"")</f>
        <v/>
      </c>
      <c r="L947" t="str">
        <f>IFERROR(IF(INDEX(РАБОТЫ!$W$2:$W$1058,MATCH(926+1,РАБОТЫ!$X$2:$X$1058,0))=1,INDEX(РАБОТЫ!$V$2:$V$1058,MATCH(926+1,РАБОТЫ!$X$2:$X$1058,0)),""),"")</f>
        <v/>
      </c>
      <c r="M947" t="str">
        <f t="shared" si="59"/>
        <v/>
      </c>
    </row>
    <row r="948" spans="1:13" hidden="1" x14ac:dyDescent="0.3">
      <c r="A948" t="str">
        <f>IF(ISNUMBER($K948),INDEX(РАБОТЫ!$U$2:$U$1058,$K948),"")</f>
        <v/>
      </c>
      <c r="B948" t="str">
        <f>IF(ISNUMBER($K948),INDEX(РАБОТЫ!$A$2:$A$1058,$K948),"")</f>
        <v/>
      </c>
      <c r="C948" s="4" t="str">
        <f>IF($L948&lt;&gt;"",INDEX(РАБОТЫ!$Z$2:$Z$1058,MATCH($L948,РАБОТЫ!$V$2:$V$1058,0)),IF(ISNUMBER($K948),INDEX(РАБОТЫ!$Y$2:$Y$1058,$K948),""))</f>
        <v/>
      </c>
      <c r="D948" t="str">
        <f>IF(ISNUMBER($K948),INDEX(РАБОТЫ!$E$2:$E$1058,$K948),"")</f>
        <v/>
      </c>
      <c r="E948" t="str">
        <f>IF(ISNUMBER($K948),INDEX(РАБОТЫ!$M$2:$M$1058,$K948),"")</f>
        <v/>
      </c>
      <c r="F948" s="7" t="str">
        <f>IF(ISNUMBER($K948),INDEX(РАБОТЫ!$S$2:$S$1058,$K948),"")</f>
        <v/>
      </c>
      <c r="G948" s="7" t="str">
        <f>IF(ISNUMBER($K948),INDEX(РАБОТЫ!$T$2:$T$1058,$K948),"")</f>
        <v/>
      </c>
      <c r="H948" s="7" t="str">
        <f t="shared" si="56"/>
        <v/>
      </c>
      <c r="I948" s="7" t="str">
        <f t="shared" si="57"/>
        <v/>
      </c>
      <c r="J948" s="7" t="str">
        <f t="shared" si="58"/>
        <v/>
      </c>
      <c r="K948" t="str">
        <f>IFERROR(MATCH(927,РАБОТЫ!$X$2:$X$1058,0),"")</f>
        <v/>
      </c>
      <c r="L948" t="str">
        <f>IFERROR(IF(INDEX(РАБОТЫ!$W$2:$W$1058,MATCH(927+1,РАБОТЫ!$X$2:$X$1058,0))=1,INDEX(РАБОТЫ!$V$2:$V$1058,MATCH(927+1,РАБОТЫ!$X$2:$X$1058,0)),""),"")</f>
        <v/>
      </c>
      <c r="M948" t="str">
        <f t="shared" si="59"/>
        <v/>
      </c>
    </row>
    <row r="949" spans="1:13" hidden="1" x14ac:dyDescent="0.3">
      <c r="A949" t="str">
        <f>IF(ISNUMBER($K949),INDEX(РАБОТЫ!$U$2:$U$1058,$K949),"")</f>
        <v/>
      </c>
      <c r="B949" t="str">
        <f>IF(ISNUMBER($K949),INDEX(РАБОТЫ!$A$2:$A$1058,$K949),"")</f>
        <v/>
      </c>
      <c r="C949" s="4" t="str">
        <f>IF($L949&lt;&gt;"",INDEX(РАБОТЫ!$Z$2:$Z$1058,MATCH($L949,РАБОТЫ!$V$2:$V$1058,0)),IF(ISNUMBER($K949),INDEX(РАБОТЫ!$Y$2:$Y$1058,$K949),""))</f>
        <v/>
      </c>
      <c r="D949" t="str">
        <f>IF(ISNUMBER($K949),INDEX(РАБОТЫ!$E$2:$E$1058,$K949),"")</f>
        <v/>
      </c>
      <c r="E949" t="str">
        <f>IF(ISNUMBER($K949),INDEX(РАБОТЫ!$M$2:$M$1058,$K949),"")</f>
        <v/>
      </c>
      <c r="F949" s="7" t="str">
        <f>IF(ISNUMBER($K949),INDEX(РАБОТЫ!$S$2:$S$1058,$K949),"")</f>
        <v/>
      </c>
      <c r="G949" s="7" t="str">
        <f>IF(ISNUMBER($K949),INDEX(РАБОТЫ!$T$2:$T$1058,$K949),"")</f>
        <v/>
      </c>
      <c r="H949" s="7" t="str">
        <f t="shared" si="56"/>
        <v/>
      </c>
      <c r="I949" s="7" t="str">
        <f t="shared" si="57"/>
        <v/>
      </c>
      <c r="J949" s="7" t="str">
        <f t="shared" si="58"/>
        <v/>
      </c>
      <c r="K949" t="str">
        <f>IFERROR(MATCH(928,РАБОТЫ!$X$2:$X$1058,0),"")</f>
        <v/>
      </c>
      <c r="L949" t="str">
        <f>IFERROR(IF(INDEX(РАБОТЫ!$W$2:$W$1058,MATCH(928+1,РАБОТЫ!$X$2:$X$1058,0))=1,INDEX(РАБОТЫ!$V$2:$V$1058,MATCH(928+1,РАБОТЫ!$X$2:$X$1058,0)),""),"")</f>
        <v/>
      </c>
      <c r="M949" t="str">
        <f t="shared" si="59"/>
        <v/>
      </c>
    </row>
    <row r="950" spans="1:13" hidden="1" x14ac:dyDescent="0.3">
      <c r="A950" t="str">
        <f>IF(ISNUMBER($K950),INDEX(РАБОТЫ!$U$2:$U$1058,$K950),"")</f>
        <v/>
      </c>
      <c r="B950" t="str">
        <f>IF(ISNUMBER($K950),INDEX(РАБОТЫ!$A$2:$A$1058,$K950),"")</f>
        <v/>
      </c>
      <c r="C950" s="4" t="str">
        <f>IF($L950&lt;&gt;"",INDEX(РАБОТЫ!$Z$2:$Z$1058,MATCH($L950,РАБОТЫ!$V$2:$V$1058,0)),IF(ISNUMBER($K950),INDEX(РАБОТЫ!$Y$2:$Y$1058,$K950),""))</f>
        <v/>
      </c>
      <c r="D950" t="str">
        <f>IF(ISNUMBER($K950),INDEX(РАБОТЫ!$E$2:$E$1058,$K950),"")</f>
        <v/>
      </c>
      <c r="E950" t="str">
        <f>IF(ISNUMBER($K950),INDEX(РАБОТЫ!$M$2:$M$1058,$K950),"")</f>
        <v/>
      </c>
      <c r="F950" s="7" t="str">
        <f>IF(ISNUMBER($K950),INDEX(РАБОТЫ!$S$2:$S$1058,$K950),"")</f>
        <v/>
      </c>
      <c r="G950" s="7" t="str">
        <f>IF(ISNUMBER($K950),INDEX(РАБОТЫ!$T$2:$T$1058,$K950),"")</f>
        <v/>
      </c>
      <c r="H950" s="7" t="str">
        <f t="shared" si="56"/>
        <v/>
      </c>
      <c r="I950" s="7" t="str">
        <f t="shared" si="57"/>
        <v/>
      </c>
      <c r="J950" s="7" t="str">
        <f t="shared" si="58"/>
        <v/>
      </c>
      <c r="K950" t="str">
        <f>IFERROR(MATCH(929,РАБОТЫ!$X$2:$X$1058,0),"")</f>
        <v/>
      </c>
      <c r="L950" t="str">
        <f>IFERROR(IF(INDEX(РАБОТЫ!$W$2:$W$1058,MATCH(929+1,РАБОТЫ!$X$2:$X$1058,0))=1,INDEX(РАБОТЫ!$V$2:$V$1058,MATCH(929+1,РАБОТЫ!$X$2:$X$1058,0)),""),"")</f>
        <v/>
      </c>
      <c r="M950" t="str">
        <f t="shared" si="59"/>
        <v/>
      </c>
    </row>
    <row r="951" spans="1:13" hidden="1" x14ac:dyDescent="0.3">
      <c r="A951" t="str">
        <f>IF(ISNUMBER($K951),INDEX(РАБОТЫ!$U$2:$U$1058,$K951),"")</f>
        <v/>
      </c>
      <c r="B951" t="str">
        <f>IF(ISNUMBER($K951),INDEX(РАБОТЫ!$A$2:$A$1058,$K951),"")</f>
        <v/>
      </c>
      <c r="C951" s="4" t="str">
        <f>IF($L951&lt;&gt;"",INDEX(РАБОТЫ!$Z$2:$Z$1058,MATCH($L951,РАБОТЫ!$V$2:$V$1058,0)),IF(ISNUMBER($K951),INDEX(РАБОТЫ!$Y$2:$Y$1058,$K951),""))</f>
        <v/>
      </c>
      <c r="D951" t="str">
        <f>IF(ISNUMBER($K951),INDEX(РАБОТЫ!$E$2:$E$1058,$K951),"")</f>
        <v/>
      </c>
      <c r="E951" t="str">
        <f>IF(ISNUMBER($K951),INDEX(РАБОТЫ!$M$2:$M$1058,$K951),"")</f>
        <v/>
      </c>
      <c r="F951" s="7" t="str">
        <f>IF(ISNUMBER($K951),INDEX(РАБОТЫ!$S$2:$S$1058,$K951),"")</f>
        <v/>
      </c>
      <c r="G951" s="7" t="str">
        <f>IF(ISNUMBER($K951),INDEX(РАБОТЫ!$T$2:$T$1058,$K951),"")</f>
        <v/>
      </c>
      <c r="H951" s="7" t="str">
        <f t="shared" si="56"/>
        <v/>
      </c>
      <c r="I951" s="7" t="str">
        <f t="shared" si="57"/>
        <v/>
      </c>
      <c r="J951" s="7" t="str">
        <f t="shared" si="58"/>
        <v/>
      </c>
      <c r="K951" t="str">
        <f>IFERROR(MATCH(930,РАБОТЫ!$X$2:$X$1058,0),"")</f>
        <v/>
      </c>
      <c r="L951" t="str">
        <f>IFERROR(IF(INDEX(РАБОТЫ!$W$2:$W$1058,MATCH(930+1,РАБОТЫ!$X$2:$X$1058,0))=1,INDEX(РАБОТЫ!$V$2:$V$1058,MATCH(930+1,РАБОТЫ!$X$2:$X$1058,0)),""),"")</f>
        <v/>
      </c>
      <c r="M951" t="str">
        <f t="shared" si="59"/>
        <v/>
      </c>
    </row>
    <row r="952" spans="1:13" hidden="1" x14ac:dyDescent="0.3">
      <c r="A952" t="str">
        <f>IF(ISNUMBER($K952),INDEX(РАБОТЫ!$U$2:$U$1058,$K952),"")</f>
        <v/>
      </c>
      <c r="B952" t="str">
        <f>IF(ISNUMBER($K952),INDEX(РАБОТЫ!$A$2:$A$1058,$K952),"")</f>
        <v/>
      </c>
      <c r="C952" s="4" t="str">
        <f>IF($L952&lt;&gt;"",INDEX(РАБОТЫ!$Z$2:$Z$1058,MATCH($L952,РАБОТЫ!$V$2:$V$1058,0)),IF(ISNUMBER($K952),INDEX(РАБОТЫ!$Y$2:$Y$1058,$K952),""))</f>
        <v/>
      </c>
      <c r="D952" t="str">
        <f>IF(ISNUMBER($K952),INDEX(РАБОТЫ!$E$2:$E$1058,$K952),"")</f>
        <v/>
      </c>
      <c r="E952" t="str">
        <f>IF(ISNUMBER($K952),INDEX(РАБОТЫ!$M$2:$M$1058,$K952),"")</f>
        <v/>
      </c>
      <c r="F952" s="7" t="str">
        <f>IF(ISNUMBER($K952),INDEX(РАБОТЫ!$S$2:$S$1058,$K952),"")</f>
        <v/>
      </c>
      <c r="G952" s="7" t="str">
        <f>IF(ISNUMBER($K952),INDEX(РАБОТЫ!$T$2:$T$1058,$K952),"")</f>
        <v/>
      </c>
      <c r="H952" s="7" t="str">
        <f t="shared" si="56"/>
        <v/>
      </c>
      <c r="I952" s="7" t="str">
        <f t="shared" si="57"/>
        <v/>
      </c>
      <c r="J952" s="7" t="str">
        <f t="shared" si="58"/>
        <v/>
      </c>
      <c r="K952" t="str">
        <f>IFERROR(MATCH(931,РАБОТЫ!$X$2:$X$1058,0),"")</f>
        <v/>
      </c>
      <c r="L952" t="str">
        <f>IFERROR(IF(INDEX(РАБОТЫ!$W$2:$W$1058,MATCH(931+1,РАБОТЫ!$X$2:$X$1058,0))=1,INDEX(РАБОТЫ!$V$2:$V$1058,MATCH(931+1,РАБОТЫ!$X$2:$X$1058,0)),""),"")</f>
        <v/>
      </c>
      <c r="M952" t="str">
        <f t="shared" si="59"/>
        <v/>
      </c>
    </row>
    <row r="953" spans="1:13" hidden="1" x14ac:dyDescent="0.3">
      <c r="A953" t="str">
        <f>IF(ISNUMBER($K953),INDEX(РАБОТЫ!$U$2:$U$1058,$K953),"")</f>
        <v/>
      </c>
      <c r="B953" t="str">
        <f>IF(ISNUMBER($K953),INDEX(РАБОТЫ!$A$2:$A$1058,$K953),"")</f>
        <v/>
      </c>
      <c r="C953" s="4" t="str">
        <f>IF($L953&lt;&gt;"",INDEX(РАБОТЫ!$Z$2:$Z$1058,MATCH($L953,РАБОТЫ!$V$2:$V$1058,0)),IF(ISNUMBER($K953),INDEX(РАБОТЫ!$Y$2:$Y$1058,$K953),""))</f>
        <v/>
      </c>
      <c r="D953" t="str">
        <f>IF(ISNUMBER($K953),INDEX(РАБОТЫ!$E$2:$E$1058,$K953),"")</f>
        <v/>
      </c>
      <c r="E953" t="str">
        <f>IF(ISNUMBER($K953),INDEX(РАБОТЫ!$M$2:$M$1058,$K953),"")</f>
        <v/>
      </c>
      <c r="F953" s="7" t="str">
        <f>IF(ISNUMBER($K953),INDEX(РАБОТЫ!$S$2:$S$1058,$K953),"")</f>
        <v/>
      </c>
      <c r="G953" s="7" t="str">
        <f>IF(ISNUMBER($K953),INDEX(РАБОТЫ!$T$2:$T$1058,$K953),"")</f>
        <v/>
      </c>
      <c r="H953" s="7" t="str">
        <f t="shared" si="56"/>
        <v/>
      </c>
      <c r="I953" s="7" t="str">
        <f t="shared" si="57"/>
        <v/>
      </c>
      <c r="J953" s="7" t="str">
        <f t="shared" si="58"/>
        <v/>
      </c>
      <c r="K953" t="str">
        <f>IFERROR(MATCH(932,РАБОТЫ!$X$2:$X$1058,0),"")</f>
        <v/>
      </c>
      <c r="L953" t="str">
        <f>IFERROR(IF(INDEX(РАБОТЫ!$W$2:$W$1058,MATCH(932+1,РАБОТЫ!$X$2:$X$1058,0))=1,INDEX(РАБОТЫ!$V$2:$V$1058,MATCH(932+1,РАБОТЫ!$X$2:$X$1058,0)),""),"")</f>
        <v/>
      </c>
      <c r="M953" t="str">
        <f t="shared" si="59"/>
        <v/>
      </c>
    </row>
    <row r="954" spans="1:13" hidden="1" x14ac:dyDescent="0.3">
      <c r="A954" t="str">
        <f>IF(ISNUMBER($K954),INDEX(РАБОТЫ!$U$2:$U$1058,$K954),"")</f>
        <v/>
      </c>
      <c r="B954" t="str">
        <f>IF(ISNUMBER($K954),INDEX(РАБОТЫ!$A$2:$A$1058,$K954),"")</f>
        <v/>
      </c>
      <c r="C954" s="4" t="str">
        <f>IF($L954&lt;&gt;"",INDEX(РАБОТЫ!$Z$2:$Z$1058,MATCH($L954,РАБОТЫ!$V$2:$V$1058,0)),IF(ISNUMBER($K954),INDEX(РАБОТЫ!$Y$2:$Y$1058,$K954),""))</f>
        <v/>
      </c>
      <c r="D954" t="str">
        <f>IF(ISNUMBER($K954),INDEX(РАБОТЫ!$E$2:$E$1058,$K954),"")</f>
        <v/>
      </c>
      <c r="E954" t="str">
        <f>IF(ISNUMBER($K954),INDEX(РАБОТЫ!$M$2:$M$1058,$K954),"")</f>
        <v/>
      </c>
      <c r="F954" s="7" t="str">
        <f>IF(ISNUMBER($K954),INDEX(РАБОТЫ!$S$2:$S$1058,$K954),"")</f>
        <v/>
      </c>
      <c r="G954" s="7" t="str">
        <f>IF(ISNUMBER($K954),INDEX(РАБОТЫ!$T$2:$T$1058,$K954),"")</f>
        <v/>
      </c>
      <c r="H954" s="7" t="str">
        <f t="shared" si="56"/>
        <v/>
      </c>
      <c r="I954" s="7" t="str">
        <f t="shared" si="57"/>
        <v/>
      </c>
      <c r="J954" s="7" t="str">
        <f t="shared" si="58"/>
        <v/>
      </c>
      <c r="K954" t="str">
        <f>IFERROR(MATCH(933,РАБОТЫ!$X$2:$X$1058,0),"")</f>
        <v/>
      </c>
      <c r="L954" t="str">
        <f>IFERROR(IF(INDEX(РАБОТЫ!$W$2:$W$1058,MATCH(933+1,РАБОТЫ!$X$2:$X$1058,0))=1,INDEX(РАБОТЫ!$V$2:$V$1058,MATCH(933+1,РАБОТЫ!$X$2:$X$1058,0)),""),"")</f>
        <v/>
      </c>
      <c r="M954" t="str">
        <f t="shared" si="59"/>
        <v/>
      </c>
    </row>
    <row r="955" spans="1:13" hidden="1" x14ac:dyDescent="0.3">
      <c r="A955" t="str">
        <f>IF(ISNUMBER($K955),INDEX(РАБОТЫ!$U$2:$U$1058,$K955),"")</f>
        <v/>
      </c>
      <c r="B955" t="str">
        <f>IF(ISNUMBER($K955),INDEX(РАБОТЫ!$A$2:$A$1058,$K955),"")</f>
        <v/>
      </c>
      <c r="C955" s="4" t="str">
        <f>IF($L955&lt;&gt;"",INDEX(РАБОТЫ!$Z$2:$Z$1058,MATCH($L955,РАБОТЫ!$V$2:$V$1058,0)),IF(ISNUMBER($K955),INDEX(РАБОТЫ!$Y$2:$Y$1058,$K955),""))</f>
        <v/>
      </c>
      <c r="D955" t="str">
        <f>IF(ISNUMBER($K955),INDEX(РАБОТЫ!$E$2:$E$1058,$K955),"")</f>
        <v/>
      </c>
      <c r="E955" t="str">
        <f>IF(ISNUMBER($K955),INDEX(РАБОТЫ!$M$2:$M$1058,$K955),"")</f>
        <v/>
      </c>
      <c r="F955" s="7" t="str">
        <f>IF(ISNUMBER($K955),INDEX(РАБОТЫ!$S$2:$S$1058,$K955),"")</f>
        <v/>
      </c>
      <c r="G955" s="7" t="str">
        <f>IF(ISNUMBER($K955),INDEX(РАБОТЫ!$T$2:$T$1058,$K955),"")</f>
        <v/>
      </c>
      <c r="H955" s="7" t="str">
        <f t="shared" si="56"/>
        <v/>
      </c>
      <c r="I955" s="7" t="str">
        <f t="shared" si="57"/>
        <v/>
      </c>
      <c r="J955" s="7" t="str">
        <f t="shared" si="58"/>
        <v/>
      </c>
      <c r="K955" t="str">
        <f>IFERROR(MATCH(934,РАБОТЫ!$X$2:$X$1058,0),"")</f>
        <v/>
      </c>
      <c r="L955" t="str">
        <f>IFERROR(IF(INDEX(РАБОТЫ!$W$2:$W$1058,MATCH(934+1,РАБОТЫ!$X$2:$X$1058,0))=1,INDEX(РАБОТЫ!$V$2:$V$1058,MATCH(934+1,РАБОТЫ!$X$2:$X$1058,0)),""),"")</f>
        <v/>
      </c>
      <c r="M955" t="str">
        <f t="shared" si="59"/>
        <v/>
      </c>
    </row>
    <row r="956" spans="1:13" hidden="1" x14ac:dyDescent="0.3">
      <c r="A956" t="str">
        <f>IF(ISNUMBER($K956),INDEX(РАБОТЫ!$U$2:$U$1058,$K956),"")</f>
        <v/>
      </c>
      <c r="B956" t="str">
        <f>IF(ISNUMBER($K956),INDEX(РАБОТЫ!$A$2:$A$1058,$K956),"")</f>
        <v/>
      </c>
      <c r="C956" s="4" t="str">
        <f>IF($L956&lt;&gt;"",INDEX(РАБОТЫ!$Z$2:$Z$1058,MATCH($L956,РАБОТЫ!$V$2:$V$1058,0)),IF(ISNUMBER($K956),INDEX(РАБОТЫ!$Y$2:$Y$1058,$K956),""))</f>
        <v/>
      </c>
      <c r="D956" t="str">
        <f>IF(ISNUMBER($K956),INDEX(РАБОТЫ!$E$2:$E$1058,$K956),"")</f>
        <v/>
      </c>
      <c r="E956" t="str">
        <f>IF(ISNUMBER($K956),INDEX(РАБОТЫ!$M$2:$M$1058,$K956),"")</f>
        <v/>
      </c>
      <c r="F956" s="7" t="str">
        <f>IF(ISNUMBER($K956),INDEX(РАБОТЫ!$S$2:$S$1058,$K956),"")</f>
        <v/>
      </c>
      <c r="G956" s="7" t="str">
        <f>IF(ISNUMBER($K956),INDEX(РАБОТЫ!$T$2:$T$1058,$K956),"")</f>
        <v/>
      </c>
      <c r="H956" s="7" t="str">
        <f t="shared" si="56"/>
        <v/>
      </c>
      <c r="I956" s="7" t="str">
        <f t="shared" si="57"/>
        <v/>
      </c>
      <c r="J956" s="7" t="str">
        <f t="shared" si="58"/>
        <v/>
      </c>
      <c r="K956" t="str">
        <f>IFERROR(MATCH(935,РАБОТЫ!$X$2:$X$1058,0),"")</f>
        <v/>
      </c>
      <c r="L956" t="str">
        <f>IFERROR(IF(INDEX(РАБОТЫ!$W$2:$W$1058,MATCH(935+1,РАБОТЫ!$X$2:$X$1058,0))=1,INDEX(РАБОТЫ!$V$2:$V$1058,MATCH(935+1,РАБОТЫ!$X$2:$X$1058,0)),""),"")</f>
        <v/>
      </c>
      <c r="M956" t="str">
        <f t="shared" si="59"/>
        <v/>
      </c>
    </row>
    <row r="957" spans="1:13" hidden="1" x14ac:dyDescent="0.3">
      <c r="A957" t="str">
        <f>IF(ISNUMBER($K957),INDEX(РАБОТЫ!$U$2:$U$1058,$K957),"")</f>
        <v/>
      </c>
      <c r="B957" t="str">
        <f>IF(ISNUMBER($K957),INDEX(РАБОТЫ!$A$2:$A$1058,$K957),"")</f>
        <v/>
      </c>
      <c r="C957" s="4" t="str">
        <f>IF($L957&lt;&gt;"",INDEX(РАБОТЫ!$Z$2:$Z$1058,MATCH($L957,РАБОТЫ!$V$2:$V$1058,0)),IF(ISNUMBER($K957),INDEX(РАБОТЫ!$Y$2:$Y$1058,$K957),""))</f>
        <v/>
      </c>
      <c r="D957" t="str">
        <f>IF(ISNUMBER($K957),INDEX(РАБОТЫ!$E$2:$E$1058,$K957),"")</f>
        <v/>
      </c>
      <c r="E957" t="str">
        <f>IF(ISNUMBER($K957),INDEX(РАБОТЫ!$M$2:$M$1058,$K957),"")</f>
        <v/>
      </c>
      <c r="F957" s="7" t="str">
        <f>IF(ISNUMBER($K957),INDEX(РАБОТЫ!$S$2:$S$1058,$K957),"")</f>
        <v/>
      </c>
      <c r="G957" s="7" t="str">
        <f>IF(ISNUMBER($K957),INDEX(РАБОТЫ!$T$2:$T$1058,$K957),"")</f>
        <v/>
      </c>
      <c r="H957" s="7" t="str">
        <f t="shared" si="56"/>
        <v/>
      </c>
      <c r="I957" s="7" t="str">
        <f t="shared" si="57"/>
        <v/>
      </c>
      <c r="J957" s="7" t="str">
        <f t="shared" si="58"/>
        <v/>
      </c>
      <c r="K957" t="str">
        <f>IFERROR(MATCH(936,РАБОТЫ!$X$2:$X$1058,0),"")</f>
        <v/>
      </c>
      <c r="L957" t="str">
        <f>IFERROR(IF(INDEX(РАБОТЫ!$W$2:$W$1058,MATCH(936+1,РАБОТЫ!$X$2:$X$1058,0))=1,INDEX(РАБОТЫ!$V$2:$V$1058,MATCH(936+1,РАБОТЫ!$X$2:$X$1058,0)),""),"")</f>
        <v/>
      </c>
      <c r="M957" t="str">
        <f t="shared" si="59"/>
        <v/>
      </c>
    </row>
    <row r="958" spans="1:13" hidden="1" x14ac:dyDescent="0.3">
      <c r="A958" t="str">
        <f>IF(ISNUMBER($K958),INDEX(РАБОТЫ!$U$2:$U$1058,$K958),"")</f>
        <v/>
      </c>
      <c r="B958" t="str">
        <f>IF(ISNUMBER($K958),INDEX(РАБОТЫ!$A$2:$A$1058,$K958),"")</f>
        <v/>
      </c>
      <c r="C958" s="4" t="str">
        <f>IF($L958&lt;&gt;"",INDEX(РАБОТЫ!$Z$2:$Z$1058,MATCH($L958,РАБОТЫ!$V$2:$V$1058,0)),IF(ISNUMBER($K958),INDEX(РАБОТЫ!$Y$2:$Y$1058,$K958),""))</f>
        <v/>
      </c>
      <c r="D958" t="str">
        <f>IF(ISNUMBER($K958),INDEX(РАБОТЫ!$E$2:$E$1058,$K958),"")</f>
        <v/>
      </c>
      <c r="E958" t="str">
        <f>IF(ISNUMBER($K958),INDEX(РАБОТЫ!$M$2:$M$1058,$K958),"")</f>
        <v/>
      </c>
      <c r="F958" s="7" t="str">
        <f>IF(ISNUMBER($K958),INDEX(РАБОТЫ!$S$2:$S$1058,$K958),"")</f>
        <v/>
      </c>
      <c r="G958" s="7" t="str">
        <f>IF(ISNUMBER($K958),INDEX(РАБОТЫ!$T$2:$T$1058,$K958),"")</f>
        <v/>
      </c>
      <c r="H958" s="7" t="str">
        <f t="shared" si="56"/>
        <v/>
      </c>
      <c r="I958" s="7" t="str">
        <f t="shared" si="57"/>
        <v/>
      </c>
      <c r="J958" s="7" t="str">
        <f t="shared" si="58"/>
        <v/>
      </c>
      <c r="K958" t="str">
        <f>IFERROR(MATCH(937,РАБОТЫ!$X$2:$X$1058,0),"")</f>
        <v/>
      </c>
      <c r="L958" t="str">
        <f>IFERROR(IF(INDEX(РАБОТЫ!$W$2:$W$1058,MATCH(937+1,РАБОТЫ!$X$2:$X$1058,0))=1,INDEX(РАБОТЫ!$V$2:$V$1058,MATCH(937+1,РАБОТЫ!$X$2:$X$1058,0)),""),"")</f>
        <v/>
      </c>
      <c r="M958" t="str">
        <f t="shared" si="59"/>
        <v/>
      </c>
    </row>
    <row r="959" spans="1:13" hidden="1" x14ac:dyDescent="0.3">
      <c r="A959" t="str">
        <f>IF(ISNUMBER($K959),INDEX(РАБОТЫ!$U$2:$U$1058,$K959),"")</f>
        <v/>
      </c>
      <c r="B959" t="str">
        <f>IF(ISNUMBER($K959),INDEX(РАБОТЫ!$A$2:$A$1058,$K959),"")</f>
        <v/>
      </c>
      <c r="C959" s="4" t="str">
        <f>IF($L959&lt;&gt;"",INDEX(РАБОТЫ!$Z$2:$Z$1058,MATCH($L959,РАБОТЫ!$V$2:$V$1058,0)),IF(ISNUMBER($K959),INDEX(РАБОТЫ!$Y$2:$Y$1058,$K959),""))</f>
        <v/>
      </c>
      <c r="D959" t="str">
        <f>IF(ISNUMBER($K959),INDEX(РАБОТЫ!$E$2:$E$1058,$K959),"")</f>
        <v/>
      </c>
      <c r="E959" t="str">
        <f>IF(ISNUMBER($K959),INDEX(РАБОТЫ!$M$2:$M$1058,$K959),"")</f>
        <v/>
      </c>
      <c r="F959" s="7" t="str">
        <f>IF(ISNUMBER($K959),INDEX(РАБОТЫ!$S$2:$S$1058,$K959),"")</f>
        <v/>
      </c>
      <c r="G959" s="7" t="str">
        <f>IF(ISNUMBER($K959),INDEX(РАБОТЫ!$T$2:$T$1058,$K959),"")</f>
        <v/>
      </c>
      <c r="H959" s="7" t="str">
        <f t="shared" si="56"/>
        <v/>
      </c>
      <c r="I959" s="7" t="str">
        <f t="shared" si="57"/>
        <v/>
      </c>
      <c r="J959" s="7" t="str">
        <f t="shared" si="58"/>
        <v/>
      </c>
      <c r="K959" t="str">
        <f>IFERROR(MATCH(938,РАБОТЫ!$X$2:$X$1058,0),"")</f>
        <v/>
      </c>
      <c r="L959" t="str">
        <f>IFERROR(IF(INDEX(РАБОТЫ!$W$2:$W$1058,MATCH(938+1,РАБОТЫ!$X$2:$X$1058,0))=1,INDEX(РАБОТЫ!$V$2:$V$1058,MATCH(938+1,РАБОТЫ!$X$2:$X$1058,0)),""),"")</f>
        <v/>
      </c>
      <c r="M959" t="str">
        <f t="shared" si="59"/>
        <v/>
      </c>
    </row>
    <row r="960" spans="1:13" hidden="1" x14ac:dyDescent="0.3">
      <c r="A960" t="str">
        <f>IF(ISNUMBER($K960),INDEX(РАБОТЫ!$U$2:$U$1058,$K960),"")</f>
        <v/>
      </c>
      <c r="B960" t="str">
        <f>IF(ISNUMBER($K960),INDEX(РАБОТЫ!$A$2:$A$1058,$K960),"")</f>
        <v/>
      </c>
      <c r="C960" s="4" t="str">
        <f>IF($L960&lt;&gt;"",INDEX(РАБОТЫ!$Z$2:$Z$1058,MATCH($L960,РАБОТЫ!$V$2:$V$1058,0)),IF(ISNUMBER($K960),INDEX(РАБОТЫ!$Y$2:$Y$1058,$K960),""))</f>
        <v/>
      </c>
      <c r="D960" t="str">
        <f>IF(ISNUMBER($K960),INDEX(РАБОТЫ!$E$2:$E$1058,$K960),"")</f>
        <v/>
      </c>
      <c r="E960" t="str">
        <f>IF(ISNUMBER($K960),INDEX(РАБОТЫ!$M$2:$M$1058,$K960),"")</f>
        <v/>
      </c>
      <c r="F960" s="7" t="str">
        <f>IF(ISNUMBER($K960),INDEX(РАБОТЫ!$S$2:$S$1058,$K960),"")</f>
        <v/>
      </c>
      <c r="G960" s="7" t="str">
        <f>IF(ISNUMBER($K960),INDEX(РАБОТЫ!$T$2:$T$1058,$K960),"")</f>
        <v/>
      </c>
      <c r="H960" s="7" t="str">
        <f t="shared" si="56"/>
        <v/>
      </c>
      <c r="I960" s="7" t="str">
        <f t="shared" si="57"/>
        <v/>
      </c>
      <c r="J960" s="7" t="str">
        <f t="shared" si="58"/>
        <v/>
      </c>
      <c r="K960" t="str">
        <f>IFERROR(MATCH(939,РАБОТЫ!$X$2:$X$1058,0),"")</f>
        <v/>
      </c>
      <c r="L960" t="str">
        <f>IFERROR(IF(INDEX(РАБОТЫ!$W$2:$W$1058,MATCH(939+1,РАБОТЫ!$X$2:$X$1058,0))=1,INDEX(РАБОТЫ!$V$2:$V$1058,MATCH(939+1,РАБОТЫ!$X$2:$X$1058,0)),""),"")</f>
        <v/>
      </c>
      <c r="M960" t="str">
        <f t="shared" si="59"/>
        <v/>
      </c>
    </row>
    <row r="961" spans="1:13" hidden="1" x14ac:dyDescent="0.3">
      <c r="A961" t="str">
        <f>IF(ISNUMBER($K961),INDEX(РАБОТЫ!$U$2:$U$1058,$K961),"")</f>
        <v/>
      </c>
      <c r="B961" t="str">
        <f>IF(ISNUMBER($K961),INDEX(РАБОТЫ!$A$2:$A$1058,$K961),"")</f>
        <v/>
      </c>
      <c r="C961" s="4" t="str">
        <f>IF($L961&lt;&gt;"",INDEX(РАБОТЫ!$Z$2:$Z$1058,MATCH($L961,РАБОТЫ!$V$2:$V$1058,0)),IF(ISNUMBER($K961),INDEX(РАБОТЫ!$Y$2:$Y$1058,$K961),""))</f>
        <v/>
      </c>
      <c r="D961" t="str">
        <f>IF(ISNUMBER($K961),INDEX(РАБОТЫ!$E$2:$E$1058,$K961),"")</f>
        <v/>
      </c>
      <c r="E961" t="str">
        <f>IF(ISNUMBER($K961),INDEX(РАБОТЫ!$M$2:$M$1058,$K961),"")</f>
        <v/>
      </c>
      <c r="F961" s="7" t="str">
        <f>IF(ISNUMBER($K961),INDEX(РАБОТЫ!$S$2:$S$1058,$K961),"")</f>
        <v/>
      </c>
      <c r="G961" s="7" t="str">
        <f>IF(ISNUMBER($K961),INDEX(РАБОТЫ!$T$2:$T$1058,$K961),"")</f>
        <v/>
      </c>
      <c r="H961" s="7" t="str">
        <f t="shared" si="56"/>
        <v/>
      </c>
      <c r="I961" s="7" t="str">
        <f t="shared" si="57"/>
        <v/>
      </c>
      <c r="J961" s="7" t="str">
        <f t="shared" si="58"/>
        <v/>
      </c>
      <c r="K961" t="str">
        <f>IFERROR(MATCH(940,РАБОТЫ!$X$2:$X$1058,0),"")</f>
        <v/>
      </c>
      <c r="L961" t="str">
        <f>IFERROR(IF(INDEX(РАБОТЫ!$W$2:$W$1058,MATCH(940+1,РАБОТЫ!$X$2:$X$1058,0))=1,INDEX(РАБОТЫ!$V$2:$V$1058,MATCH(940+1,РАБОТЫ!$X$2:$X$1058,0)),""),"")</f>
        <v/>
      </c>
      <c r="M961" t="str">
        <f t="shared" si="59"/>
        <v/>
      </c>
    </row>
    <row r="962" spans="1:13" hidden="1" x14ac:dyDescent="0.3">
      <c r="A962" t="str">
        <f>IF(ISNUMBER($K962),INDEX(РАБОТЫ!$U$2:$U$1058,$K962),"")</f>
        <v/>
      </c>
      <c r="B962" t="str">
        <f>IF(ISNUMBER($K962),INDEX(РАБОТЫ!$A$2:$A$1058,$K962),"")</f>
        <v/>
      </c>
      <c r="C962" s="4" t="str">
        <f>IF($L962&lt;&gt;"",INDEX(РАБОТЫ!$Z$2:$Z$1058,MATCH($L962,РАБОТЫ!$V$2:$V$1058,0)),IF(ISNUMBER($K962),INDEX(РАБОТЫ!$Y$2:$Y$1058,$K962),""))</f>
        <v/>
      </c>
      <c r="D962" t="str">
        <f>IF(ISNUMBER($K962),INDEX(РАБОТЫ!$E$2:$E$1058,$K962),"")</f>
        <v/>
      </c>
      <c r="E962" t="str">
        <f>IF(ISNUMBER($K962),INDEX(РАБОТЫ!$M$2:$M$1058,$K962),"")</f>
        <v/>
      </c>
      <c r="F962" s="7" t="str">
        <f>IF(ISNUMBER($K962),INDEX(РАБОТЫ!$S$2:$S$1058,$K962),"")</f>
        <v/>
      </c>
      <c r="G962" s="7" t="str">
        <f>IF(ISNUMBER($K962),INDEX(РАБОТЫ!$T$2:$T$1058,$K962),"")</f>
        <v/>
      </c>
      <c r="H962" s="7" t="str">
        <f t="shared" si="56"/>
        <v/>
      </c>
      <c r="I962" s="7" t="str">
        <f t="shared" si="57"/>
        <v/>
      </c>
      <c r="J962" s="7" t="str">
        <f t="shared" si="58"/>
        <v/>
      </c>
      <c r="K962" t="str">
        <f>IFERROR(MATCH(941,РАБОТЫ!$X$2:$X$1058,0),"")</f>
        <v/>
      </c>
      <c r="L962" t="str">
        <f>IFERROR(IF(INDEX(РАБОТЫ!$W$2:$W$1058,MATCH(941+1,РАБОТЫ!$X$2:$X$1058,0))=1,INDEX(РАБОТЫ!$V$2:$V$1058,MATCH(941+1,РАБОТЫ!$X$2:$X$1058,0)),""),"")</f>
        <v/>
      </c>
      <c r="M962" t="str">
        <f t="shared" si="59"/>
        <v/>
      </c>
    </row>
    <row r="963" spans="1:13" hidden="1" x14ac:dyDescent="0.3">
      <c r="A963" t="str">
        <f>IF(ISNUMBER($K963),INDEX(РАБОТЫ!$U$2:$U$1058,$K963),"")</f>
        <v/>
      </c>
      <c r="B963" t="str">
        <f>IF(ISNUMBER($K963),INDEX(РАБОТЫ!$A$2:$A$1058,$K963),"")</f>
        <v/>
      </c>
      <c r="C963" s="4" t="str">
        <f>IF($L963&lt;&gt;"",INDEX(РАБОТЫ!$Z$2:$Z$1058,MATCH($L963,РАБОТЫ!$V$2:$V$1058,0)),IF(ISNUMBER($K963),INDEX(РАБОТЫ!$Y$2:$Y$1058,$K963),""))</f>
        <v/>
      </c>
      <c r="D963" t="str">
        <f>IF(ISNUMBER($K963),INDEX(РАБОТЫ!$E$2:$E$1058,$K963),"")</f>
        <v/>
      </c>
      <c r="E963" t="str">
        <f>IF(ISNUMBER($K963),INDEX(РАБОТЫ!$M$2:$M$1058,$K963),"")</f>
        <v/>
      </c>
      <c r="F963" s="7" t="str">
        <f>IF(ISNUMBER($K963),INDEX(РАБОТЫ!$S$2:$S$1058,$K963),"")</f>
        <v/>
      </c>
      <c r="G963" s="7" t="str">
        <f>IF(ISNUMBER($K963),INDEX(РАБОТЫ!$T$2:$T$1058,$K963),"")</f>
        <v/>
      </c>
      <c r="H963" s="7" t="str">
        <f t="shared" si="56"/>
        <v/>
      </c>
      <c r="I963" s="7" t="str">
        <f t="shared" si="57"/>
        <v/>
      </c>
      <c r="J963" s="7" t="str">
        <f t="shared" si="58"/>
        <v/>
      </c>
      <c r="K963" t="str">
        <f>IFERROR(MATCH(942,РАБОТЫ!$X$2:$X$1058,0),"")</f>
        <v/>
      </c>
      <c r="L963" t="str">
        <f>IFERROR(IF(INDEX(РАБОТЫ!$W$2:$W$1058,MATCH(942+1,РАБОТЫ!$X$2:$X$1058,0))=1,INDEX(РАБОТЫ!$V$2:$V$1058,MATCH(942+1,РАБОТЫ!$X$2:$X$1058,0)),""),"")</f>
        <v/>
      </c>
      <c r="M963" t="str">
        <f t="shared" si="59"/>
        <v/>
      </c>
    </row>
    <row r="964" spans="1:13" hidden="1" x14ac:dyDescent="0.3">
      <c r="A964" t="str">
        <f>IF(ISNUMBER($K964),INDEX(РАБОТЫ!$U$2:$U$1058,$K964),"")</f>
        <v/>
      </c>
      <c r="B964" t="str">
        <f>IF(ISNUMBER($K964),INDEX(РАБОТЫ!$A$2:$A$1058,$K964),"")</f>
        <v/>
      </c>
      <c r="C964" s="4" t="str">
        <f>IF($L964&lt;&gt;"",INDEX(РАБОТЫ!$Z$2:$Z$1058,MATCH($L964,РАБОТЫ!$V$2:$V$1058,0)),IF(ISNUMBER($K964),INDEX(РАБОТЫ!$Y$2:$Y$1058,$K964),""))</f>
        <v/>
      </c>
      <c r="D964" t="str">
        <f>IF(ISNUMBER($K964),INDEX(РАБОТЫ!$E$2:$E$1058,$K964),"")</f>
        <v/>
      </c>
      <c r="E964" t="str">
        <f>IF(ISNUMBER($K964),INDEX(РАБОТЫ!$M$2:$M$1058,$K964),"")</f>
        <v/>
      </c>
      <c r="F964" s="7" t="str">
        <f>IF(ISNUMBER($K964),INDEX(РАБОТЫ!$S$2:$S$1058,$K964),"")</f>
        <v/>
      </c>
      <c r="G964" s="7" t="str">
        <f>IF(ISNUMBER($K964),INDEX(РАБОТЫ!$T$2:$T$1058,$K964),"")</f>
        <v/>
      </c>
      <c r="H964" s="7" t="str">
        <f t="shared" si="56"/>
        <v/>
      </c>
      <c r="I964" s="7" t="str">
        <f t="shared" si="57"/>
        <v/>
      </c>
      <c r="J964" s="7" t="str">
        <f t="shared" si="58"/>
        <v/>
      </c>
      <c r="K964" t="str">
        <f>IFERROR(MATCH(943,РАБОТЫ!$X$2:$X$1058,0),"")</f>
        <v/>
      </c>
      <c r="L964" t="str">
        <f>IFERROR(IF(INDEX(РАБОТЫ!$W$2:$W$1058,MATCH(943+1,РАБОТЫ!$X$2:$X$1058,0))=1,INDEX(РАБОТЫ!$V$2:$V$1058,MATCH(943+1,РАБОТЫ!$X$2:$X$1058,0)),""),"")</f>
        <v/>
      </c>
      <c r="M964" t="str">
        <f t="shared" si="59"/>
        <v/>
      </c>
    </row>
    <row r="965" spans="1:13" hidden="1" x14ac:dyDescent="0.3">
      <c r="A965" t="str">
        <f>IF(ISNUMBER($K965),INDEX(РАБОТЫ!$U$2:$U$1058,$K965),"")</f>
        <v/>
      </c>
      <c r="B965" t="str">
        <f>IF(ISNUMBER($K965),INDEX(РАБОТЫ!$A$2:$A$1058,$K965),"")</f>
        <v/>
      </c>
      <c r="C965" s="4" t="str">
        <f>IF($L965&lt;&gt;"",INDEX(РАБОТЫ!$Z$2:$Z$1058,MATCH($L965,РАБОТЫ!$V$2:$V$1058,0)),IF(ISNUMBER($K965),INDEX(РАБОТЫ!$Y$2:$Y$1058,$K965),""))</f>
        <v/>
      </c>
      <c r="D965" t="str">
        <f>IF(ISNUMBER($K965),INDEX(РАБОТЫ!$E$2:$E$1058,$K965),"")</f>
        <v/>
      </c>
      <c r="E965" t="str">
        <f>IF(ISNUMBER($K965),INDEX(РАБОТЫ!$M$2:$M$1058,$K965),"")</f>
        <v/>
      </c>
      <c r="F965" s="7" t="str">
        <f>IF(ISNUMBER($K965),INDEX(РАБОТЫ!$S$2:$S$1058,$K965),"")</f>
        <v/>
      </c>
      <c r="G965" s="7" t="str">
        <f>IF(ISNUMBER($K965),INDEX(РАБОТЫ!$T$2:$T$1058,$K965),"")</f>
        <v/>
      </c>
      <c r="H965" s="7" t="str">
        <f t="shared" si="56"/>
        <v/>
      </c>
      <c r="I965" s="7" t="str">
        <f t="shared" si="57"/>
        <v/>
      </c>
      <c r="J965" s="7" t="str">
        <f t="shared" si="58"/>
        <v/>
      </c>
      <c r="K965" t="str">
        <f>IFERROR(MATCH(944,РАБОТЫ!$X$2:$X$1058,0),"")</f>
        <v/>
      </c>
      <c r="L965" t="str">
        <f>IFERROR(IF(INDEX(РАБОТЫ!$W$2:$W$1058,MATCH(944+1,РАБОТЫ!$X$2:$X$1058,0))=1,INDEX(РАБОТЫ!$V$2:$V$1058,MATCH(944+1,РАБОТЫ!$X$2:$X$1058,0)),""),"")</f>
        <v/>
      </c>
      <c r="M965" t="str">
        <f t="shared" si="59"/>
        <v/>
      </c>
    </row>
    <row r="966" spans="1:13" hidden="1" x14ac:dyDescent="0.3">
      <c r="A966" t="str">
        <f>IF(ISNUMBER($K966),INDEX(РАБОТЫ!$U$2:$U$1058,$K966),"")</f>
        <v/>
      </c>
      <c r="B966" t="str">
        <f>IF(ISNUMBER($K966),INDEX(РАБОТЫ!$A$2:$A$1058,$K966),"")</f>
        <v/>
      </c>
      <c r="C966" s="4" t="str">
        <f>IF($L966&lt;&gt;"",INDEX(РАБОТЫ!$Z$2:$Z$1058,MATCH($L966,РАБОТЫ!$V$2:$V$1058,0)),IF(ISNUMBER($K966),INDEX(РАБОТЫ!$Y$2:$Y$1058,$K966),""))</f>
        <v/>
      </c>
      <c r="D966" t="str">
        <f>IF(ISNUMBER($K966),INDEX(РАБОТЫ!$E$2:$E$1058,$K966),"")</f>
        <v/>
      </c>
      <c r="E966" t="str">
        <f>IF(ISNUMBER($K966),INDEX(РАБОТЫ!$M$2:$M$1058,$K966),"")</f>
        <v/>
      </c>
      <c r="F966" s="7" t="str">
        <f>IF(ISNUMBER($K966),INDEX(РАБОТЫ!$S$2:$S$1058,$K966),"")</f>
        <v/>
      </c>
      <c r="G966" s="7" t="str">
        <f>IF(ISNUMBER($K966),INDEX(РАБОТЫ!$T$2:$T$1058,$K966),"")</f>
        <v/>
      </c>
      <c r="H966" s="7" t="str">
        <f t="shared" si="56"/>
        <v/>
      </c>
      <c r="I966" s="7" t="str">
        <f t="shared" si="57"/>
        <v/>
      </c>
      <c r="J966" s="7" t="str">
        <f t="shared" si="58"/>
        <v/>
      </c>
      <c r="K966" t="str">
        <f>IFERROR(MATCH(945,РАБОТЫ!$X$2:$X$1058,0),"")</f>
        <v/>
      </c>
      <c r="L966" t="str">
        <f>IFERROR(IF(INDEX(РАБОТЫ!$W$2:$W$1058,MATCH(945+1,РАБОТЫ!$X$2:$X$1058,0))=1,INDEX(РАБОТЫ!$V$2:$V$1058,MATCH(945+1,РАБОТЫ!$X$2:$X$1058,0)),""),"")</f>
        <v/>
      </c>
      <c r="M966" t="str">
        <f t="shared" si="59"/>
        <v/>
      </c>
    </row>
    <row r="967" spans="1:13" hidden="1" x14ac:dyDescent="0.3">
      <c r="A967" t="str">
        <f>IF(ISNUMBER($K967),INDEX(РАБОТЫ!$U$2:$U$1058,$K967),"")</f>
        <v/>
      </c>
      <c r="B967" t="str">
        <f>IF(ISNUMBER($K967),INDEX(РАБОТЫ!$A$2:$A$1058,$K967),"")</f>
        <v/>
      </c>
      <c r="C967" s="4" t="str">
        <f>IF($L967&lt;&gt;"",INDEX(РАБОТЫ!$Z$2:$Z$1058,MATCH($L967,РАБОТЫ!$V$2:$V$1058,0)),IF(ISNUMBER($K967),INDEX(РАБОТЫ!$Y$2:$Y$1058,$K967),""))</f>
        <v/>
      </c>
      <c r="D967" t="str">
        <f>IF(ISNUMBER($K967),INDEX(РАБОТЫ!$E$2:$E$1058,$K967),"")</f>
        <v/>
      </c>
      <c r="E967" t="str">
        <f>IF(ISNUMBER($K967),INDEX(РАБОТЫ!$M$2:$M$1058,$K967),"")</f>
        <v/>
      </c>
      <c r="F967" s="7" t="str">
        <f>IF(ISNUMBER($K967),INDEX(РАБОТЫ!$S$2:$S$1058,$K967),"")</f>
        <v/>
      </c>
      <c r="G967" s="7" t="str">
        <f>IF(ISNUMBER($K967),INDEX(РАБОТЫ!$T$2:$T$1058,$K967),"")</f>
        <v/>
      </c>
      <c r="H967" s="7" t="str">
        <f t="shared" si="56"/>
        <v/>
      </c>
      <c r="I967" s="7" t="str">
        <f t="shared" si="57"/>
        <v/>
      </c>
      <c r="J967" s="7" t="str">
        <f t="shared" si="58"/>
        <v/>
      </c>
      <c r="K967" t="str">
        <f>IFERROR(MATCH(946,РАБОТЫ!$X$2:$X$1058,0),"")</f>
        <v/>
      </c>
      <c r="L967" t="str">
        <f>IFERROR(IF(INDEX(РАБОТЫ!$W$2:$W$1058,MATCH(946+1,РАБОТЫ!$X$2:$X$1058,0))=1,INDEX(РАБОТЫ!$V$2:$V$1058,MATCH(946+1,РАБОТЫ!$X$2:$X$1058,0)),""),"")</f>
        <v/>
      </c>
      <c r="M967" t="str">
        <f t="shared" si="59"/>
        <v/>
      </c>
    </row>
    <row r="968" spans="1:13" hidden="1" x14ac:dyDescent="0.3">
      <c r="A968" t="str">
        <f>IF(ISNUMBER($K968),INDEX(РАБОТЫ!$U$2:$U$1058,$K968),"")</f>
        <v/>
      </c>
      <c r="B968" t="str">
        <f>IF(ISNUMBER($K968),INDEX(РАБОТЫ!$A$2:$A$1058,$K968),"")</f>
        <v/>
      </c>
      <c r="C968" s="4" t="str">
        <f>IF($L968&lt;&gt;"",INDEX(РАБОТЫ!$Z$2:$Z$1058,MATCH($L968,РАБОТЫ!$V$2:$V$1058,0)),IF(ISNUMBER($K968),INDEX(РАБОТЫ!$Y$2:$Y$1058,$K968),""))</f>
        <v/>
      </c>
      <c r="D968" t="str">
        <f>IF(ISNUMBER($K968),INDEX(РАБОТЫ!$E$2:$E$1058,$K968),"")</f>
        <v/>
      </c>
      <c r="E968" t="str">
        <f>IF(ISNUMBER($K968),INDEX(РАБОТЫ!$M$2:$M$1058,$K968),"")</f>
        <v/>
      </c>
      <c r="F968" s="7" t="str">
        <f>IF(ISNUMBER($K968),INDEX(РАБОТЫ!$S$2:$S$1058,$K968),"")</f>
        <v/>
      </c>
      <c r="G968" s="7" t="str">
        <f>IF(ISNUMBER($K968),INDEX(РАБОТЫ!$T$2:$T$1058,$K968),"")</f>
        <v/>
      </c>
      <c r="H968" s="7" t="str">
        <f t="shared" si="56"/>
        <v/>
      </c>
      <c r="I968" s="7" t="str">
        <f t="shared" si="57"/>
        <v/>
      </c>
      <c r="J968" s="7" t="str">
        <f t="shared" si="58"/>
        <v/>
      </c>
      <c r="K968" t="str">
        <f>IFERROR(MATCH(947,РАБОТЫ!$X$2:$X$1058,0),"")</f>
        <v/>
      </c>
      <c r="L968" t="str">
        <f>IFERROR(IF(INDEX(РАБОТЫ!$W$2:$W$1058,MATCH(947+1,РАБОТЫ!$X$2:$X$1058,0))=1,INDEX(РАБОТЫ!$V$2:$V$1058,MATCH(947+1,РАБОТЫ!$X$2:$X$1058,0)),""),"")</f>
        <v/>
      </c>
      <c r="M968" t="str">
        <f t="shared" si="59"/>
        <v/>
      </c>
    </row>
    <row r="969" spans="1:13" hidden="1" x14ac:dyDescent="0.3">
      <c r="A969" t="str">
        <f>IF(ISNUMBER($K969),INDEX(РАБОТЫ!$U$2:$U$1058,$K969),"")</f>
        <v/>
      </c>
      <c r="B969" t="str">
        <f>IF(ISNUMBER($K969),INDEX(РАБОТЫ!$A$2:$A$1058,$K969),"")</f>
        <v/>
      </c>
      <c r="C969" s="4" t="str">
        <f>IF($L969&lt;&gt;"",INDEX(РАБОТЫ!$Z$2:$Z$1058,MATCH($L969,РАБОТЫ!$V$2:$V$1058,0)),IF(ISNUMBER($K969),INDEX(РАБОТЫ!$Y$2:$Y$1058,$K969),""))</f>
        <v/>
      </c>
      <c r="D969" t="str">
        <f>IF(ISNUMBER($K969),INDEX(РАБОТЫ!$E$2:$E$1058,$K969),"")</f>
        <v/>
      </c>
      <c r="E969" t="str">
        <f>IF(ISNUMBER($K969),INDEX(РАБОТЫ!$M$2:$M$1058,$K969),"")</f>
        <v/>
      </c>
      <c r="F969" s="7" t="str">
        <f>IF(ISNUMBER($K969),INDEX(РАБОТЫ!$S$2:$S$1058,$K969),"")</f>
        <v/>
      </c>
      <c r="G969" s="7" t="str">
        <f>IF(ISNUMBER($K969),INDEX(РАБОТЫ!$T$2:$T$1058,$K969),"")</f>
        <v/>
      </c>
      <c r="H969" s="7" t="str">
        <f t="shared" si="56"/>
        <v/>
      </c>
      <c r="I969" s="7" t="str">
        <f t="shared" si="57"/>
        <v/>
      </c>
      <c r="J969" s="7" t="str">
        <f t="shared" si="58"/>
        <v/>
      </c>
      <c r="K969" t="str">
        <f>IFERROR(MATCH(948,РАБОТЫ!$X$2:$X$1058,0),"")</f>
        <v/>
      </c>
      <c r="L969" t="str">
        <f>IFERROR(IF(INDEX(РАБОТЫ!$W$2:$W$1058,MATCH(948+1,РАБОТЫ!$X$2:$X$1058,0))=1,INDEX(РАБОТЫ!$V$2:$V$1058,MATCH(948+1,РАБОТЫ!$X$2:$X$1058,0)),""),"")</f>
        <v/>
      </c>
      <c r="M969" t="str">
        <f t="shared" si="59"/>
        <v/>
      </c>
    </row>
    <row r="970" spans="1:13" hidden="1" x14ac:dyDescent="0.3">
      <c r="A970" t="str">
        <f>IF(ISNUMBER($K970),INDEX(РАБОТЫ!$U$2:$U$1058,$K970),"")</f>
        <v/>
      </c>
      <c r="B970" t="str">
        <f>IF(ISNUMBER($K970),INDEX(РАБОТЫ!$A$2:$A$1058,$K970),"")</f>
        <v/>
      </c>
      <c r="C970" s="4" t="str">
        <f>IF($L970&lt;&gt;"",INDEX(РАБОТЫ!$Z$2:$Z$1058,MATCH($L970,РАБОТЫ!$V$2:$V$1058,0)),IF(ISNUMBER($K970),INDEX(РАБОТЫ!$Y$2:$Y$1058,$K970),""))</f>
        <v/>
      </c>
      <c r="D970" t="str">
        <f>IF(ISNUMBER($K970),INDEX(РАБОТЫ!$E$2:$E$1058,$K970),"")</f>
        <v/>
      </c>
      <c r="E970" t="str">
        <f>IF(ISNUMBER($K970),INDEX(РАБОТЫ!$M$2:$M$1058,$K970),"")</f>
        <v/>
      </c>
      <c r="F970" s="7" t="str">
        <f>IF(ISNUMBER($K970),INDEX(РАБОТЫ!$S$2:$S$1058,$K970),"")</f>
        <v/>
      </c>
      <c r="G970" s="7" t="str">
        <f>IF(ISNUMBER($K970),INDEX(РАБОТЫ!$T$2:$T$1058,$K970),"")</f>
        <v/>
      </c>
      <c r="H970" s="7" t="str">
        <f t="shared" si="56"/>
        <v/>
      </c>
      <c r="I970" s="7" t="str">
        <f t="shared" si="57"/>
        <v/>
      </c>
      <c r="J970" s="7" t="str">
        <f t="shared" si="58"/>
        <v/>
      </c>
      <c r="K970" t="str">
        <f>IFERROR(MATCH(949,РАБОТЫ!$X$2:$X$1058,0),"")</f>
        <v/>
      </c>
      <c r="L970" t="str">
        <f>IFERROR(IF(INDEX(РАБОТЫ!$W$2:$W$1058,MATCH(949+1,РАБОТЫ!$X$2:$X$1058,0))=1,INDEX(РАБОТЫ!$V$2:$V$1058,MATCH(949+1,РАБОТЫ!$X$2:$X$1058,0)),""),"")</f>
        <v/>
      </c>
      <c r="M970" t="str">
        <f t="shared" si="59"/>
        <v/>
      </c>
    </row>
    <row r="971" spans="1:13" hidden="1" x14ac:dyDescent="0.3">
      <c r="A971" t="str">
        <f>IF(ISNUMBER($K971),INDEX(РАБОТЫ!$U$2:$U$1058,$K971),"")</f>
        <v/>
      </c>
      <c r="B971" t="str">
        <f>IF(ISNUMBER($K971),INDEX(РАБОТЫ!$A$2:$A$1058,$K971),"")</f>
        <v/>
      </c>
      <c r="C971" s="4" t="str">
        <f>IF($L971&lt;&gt;"",INDEX(РАБОТЫ!$Z$2:$Z$1058,MATCH($L971,РАБОТЫ!$V$2:$V$1058,0)),IF(ISNUMBER($K971),INDEX(РАБОТЫ!$Y$2:$Y$1058,$K971),""))</f>
        <v/>
      </c>
      <c r="D971" t="str">
        <f>IF(ISNUMBER($K971),INDEX(РАБОТЫ!$E$2:$E$1058,$K971),"")</f>
        <v/>
      </c>
      <c r="E971" t="str">
        <f>IF(ISNUMBER($K971),INDEX(РАБОТЫ!$M$2:$M$1058,$K971),"")</f>
        <v/>
      </c>
      <c r="F971" s="7" t="str">
        <f>IF(ISNUMBER($K971),INDEX(РАБОТЫ!$S$2:$S$1058,$K971),"")</f>
        <v/>
      </c>
      <c r="G971" s="7" t="str">
        <f>IF(ISNUMBER($K971),INDEX(РАБОТЫ!$T$2:$T$1058,$K971),"")</f>
        <v/>
      </c>
      <c r="H971" s="7" t="str">
        <f t="shared" si="56"/>
        <v/>
      </c>
      <c r="I971" s="7" t="str">
        <f t="shared" si="57"/>
        <v/>
      </c>
      <c r="J971" s="7" t="str">
        <f t="shared" si="58"/>
        <v/>
      </c>
      <c r="K971" t="str">
        <f>IFERROR(MATCH(950,РАБОТЫ!$X$2:$X$1058,0),"")</f>
        <v/>
      </c>
      <c r="L971" t="str">
        <f>IFERROR(IF(INDEX(РАБОТЫ!$W$2:$W$1058,MATCH(950+1,РАБОТЫ!$X$2:$X$1058,0))=1,INDEX(РАБОТЫ!$V$2:$V$1058,MATCH(950+1,РАБОТЫ!$X$2:$X$1058,0)),""),"")</f>
        <v/>
      </c>
      <c r="M971" t="str">
        <f t="shared" si="59"/>
        <v/>
      </c>
    </row>
    <row r="972" spans="1:13" hidden="1" x14ac:dyDescent="0.3">
      <c r="A972" t="str">
        <f>IF(ISNUMBER($K972),INDEX(РАБОТЫ!$U$2:$U$1058,$K972),"")</f>
        <v/>
      </c>
      <c r="B972" t="str">
        <f>IF(ISNUMBER($K972),INDEX(РАБОТЫ!$A$2:$A$1058,$K972),"")</f>
        <v/>
      </c>
      <c r="C972" s="4" t="str">
        <f>IF($L972&lt;&gt;"",INDEX(РАБОТЫ!$Z$2:$Z$1058,MATCH($L972,РАБОТЫ!$V$2:$V$1058,0)),IF(ISNUMBER($K972),INDEX(РАБОТЫ!$Y$2:$Y$1058,$K972),""))</f>
        <v/>
      </c>
      <c r="D972" t="str">
        <f>IF(ISNUMBER($K972),INDEX(РАБОТЫ!$E$2:$E$1058,$K972),"")</f>
        <v/>
      </c>
      <c r="E972" t="str">
        <f>IF(ISNUMBER($K972),INDEX(РАБОТЫ!$M$2:$M$1058,$K972),"")</f>
        <v/>
      </c>
      <c r="F972" s="7" t="str">
        <f>IF(ISNUMBER($K972),INDEX(РАБОТЫ!$S$2:$S$1058,$K972),"")</f>
        <v/>
      </c>
      <c r="G972" s="7" t="str">
        <f>IF(ISNUMBER($K972),INDEX(РАБОТЫ!$T$2:$T$1058,$K972),"")</f>
        <v/>
      </c>
      <c r="H972" s="7" t="str">
        <f t="shared" si="56"/>
        <v/>
      </c>
      <c r="I972" s="7" t="str">
        <f t="shared" si="57"/>
        <v/>
      </c>
      <c r="J972" s="7" t="str">
        <f t="shared" si="58"/>
        <v/>
      </c>
      <c r="K972" t="str">
        <f>IFERROR(MATCH(951,РАБОТЫ!$X$2:$X$1058,0),"")</f>
        <v/>
      </c>
      <c r="L972" t="str">
        <f>IFERROR(IF(INDEX(РАБОТЫ!$W$2:$W$1058,MATCH(951+1,РАБОТЫ!$X$2:$X$1058,0))=1,INDEX(РАБОТЫ!$V$2:$V$1058,MATCH(951+1,РАБОТЫ!$X$2:$X$1058,0)),""),"")</f>
        <v/>
      </c>
      <c r="M972" t="str">
        <f t="shared" si="59"/>
        <v/>
      </c>
    </row>
    <row r="973" spans="1:13" hidden="1" x14ac:dyDescent="0.3">
      <c r="A973" t="str">
        <f>IF(ISNUMBER($K973),INDEX(РАБОТЫ!$U$2:$U$1058,$K973),"")</f>
        <v/>
      </c>
      <c r="B973" t="str">
        <f>IF(ISNUMBER($K973),INDEX(РАБОТЫ!$A$2:$A$1058,$K973),"")</f>
        <v/>
      </c>
      <c r="C973" s="4" t="str">
        <f>IF($L973&lt;&gt;"",INDEX(РАБОТЫ!$Z$2:$Z$1058,MATCH($L973,РАБОТЫ!$V$2:$V$1058,0)),IF(ISNUMBER($K973),INDEX(РАБОТЫ!$Y$2:$Y$1058,$K973),""))</f>
        <v/>
      </c>
      <c r="D973" t="str">
        <f>IF(ISNUMBER($K973),INDEX(РАБОТЫ!$E$2:$E$1058,$K973),"")</f>
        <v/>
      </c>
      <c r="E973" t="str">
        <f>IF(ISNUMBER($K973),INDEX(РАБОТЫ!$M$2:$M$1058,$K973),"")</f>
        <v/>
      </c>
      <c r="F973" s="7" t="str">
        <f>IF(ISNUMBER($K973),INDEX(РАБОТЫ!$S$2:$S$1058,$K973),"")</f>
        <v/>
      </c>
      <c r="G973" s="7" t="str">
        <f>IF(ISNUMBER($K973),INDEX(РАБОТЫ!$T$2:$T$1058,$K973),"")</f>
        <v/>
      </c>
      <c r="H973" s="7" t="str">
        <f t="shared" si="56"/>
        <v/>
      </c>
      <c r="I973" s="7" t="str">
        <f t="shared" si="57"/>
        <v/>
      </c>
      <c r="J973" s="7" t="str">
        <f t="shared" si="58"/>
        <v/>
      </c>
      <c r="K973" t="str">
        <f>IFERROR(MATCH(952,РАБОТЫ!$X$2:$X$1058,0),"")</f>
        <v/>
      </c>
      <c r="L973" t="str">
        <f>IFERROR(IF(INDEX(РАБОТЫ!$W$2:$W$1058,MATCH(952+1,РАБОТЫ!$X$2:$X$1058,0))=1,INDEX(РАБОТЫ!$V$2:$V$1058,MATCH(952+1,РАБОТЫ!$X$2:$X$1058,0)),""),"")</f>
        <v/>
      </c>
      <c r="M973" t="str">
        <f t="shared" si="59"/>
        <v/>
      </c>
    </row>
    <row r="974" spans="1:13" hidden="1" x14ac:dyDescent="0.3">
      <c r="A974" t="str">
        <f>IF(ISNUMBER($K974),INDEX(РАБОТЫ!$U$2:$U$1058,$K974),"")</f>
        <v/>
      </c>
      <c r="B974" t="str">
        <f>IF(ISNUMBER($K974),INDEX(РАБОТЫ!$A$2:$A$1058,$K974),"")</f>
        <v/>
      </c>
      <c r="C974" s="4" t="str">
        <f>IF($L974&lt;&gt;"",INDEX(РАБОТЫ!$Z$2:$Z$1058,MATCH($L974,РАБОТЫ!$V$2:$V$1058,0)),IF(ISNUMBER($K974),INDEX(РАБОТЫ!$Y$2:$Y$1058,$K974),""))</f>
        <v/>
      </c>
      <c r="D974" t="str">
        <f>IF(ISNUMBER($K974),INDEX(РАБОТЫ!$E$2:$E$1058,$K974),"")</f>
        <v/>
      </c>
      <c r="E974" t="str">
        <f>IF(ISNUMBER($K974),INDEX(РАБОТЫ!$M$2:$M$1058,$K974),"")</f>
        <v/>
      </c>
      <c r="F974" s="7" t="str">
        <f>IF(ISNUMBER($K974),INDEX(РАБОТЫ!$S$2:$S$1058,$K974),"")</f>
        <v/>
      </c>
      <c r="G974" s="7" t="str">
        <f>IF(ISNUMBER($K974),INDEX(РАБОТЫ!$T$2:$T$1058,$K974),"")</f>
        <v/>
      </c>
      <c r="H974" s="7" t="str">
        <f t="shared" si="56"/>
        <v/>
      </c>
      <c r="I974" s="7" t="str">
        <f t="shared" si="57"/>
        <v/>
      </c>
      <c r="J974" s="7" t="str">
        <f t="shared" si="58"/>
        <v/>
      </c>
      <c r="K974" t="str">
        <f>IFERROR(MATCH(953,РАБОТЫ!$X$2:$X$1058,0),"")</f>
        <v/>
      </c>
      <c r="L974" t="str">
        <f>IFERROR(IF(INDEX(РАБОТЫ!$W$2:$W$1058,MATCH(953+1,РАБОТЫ!$X$2:$X$1058,0))=1,INDEX(РАБОТЫ!$V$2:$V$1058,MATCH(953+1,РАБОТЫ!$X$2:$X$1058,0)),""),"")</f>
        <v/>
      </c>
      <c r="M974" t="str">
        <f t="shared" si="59"/>
        <v/>
      </c>
    </row>
    <row r="975" spans="1:13" hidden="1" x14ac:dyDescent="0.3">
      <c r="A975" t="str">
        <f>IF(ISNUMBER($K975),INDEX(РАБОТЫ!$U$2:$U$1058,$K975),"")</f>
        <v/>
      </c>
      <c r="B975" t="str">
        <f>IF(ISNUMBER($K975),INDEX(РАБОТЫ!$A$2:$A$1058,$K975),"")</f>
        <v/>
      </c>
      <c r="C975" s="4" t="str">
        <f>IF($L975&lt;&gt;"",INDEX(РАБОТЫ!$Z$2:$Z$1058,MATCH($L975,РАБОТЫ!$V$2:$V$1058,0)),IF(ISNUMBER($K975),INDEX(РАБОТЫ!$Y$2:$Y$1058,$K975),""))</f>
        <v/>
      </c>
      <c r="D975" t="str">
        <f>IF(ISNUMBER($K975),INDEX(РАБОТЫ!$E$2:$E$1058,$K975),"")</f>
        <v/>
      </c>
      <c r="E975" t="str">
        <f>IF(ISNUMBER($K975),INDEX(РАБОТЫ!$M$2:$M$1058,$K975),"")</f>
        <v/>
      </c>
      <c r="F975" s="7" t="str">
        <f>IF(ISNUMBER($K975),INDEX(РАБОТЫ!$S$2:$S$1058,$K975),"")</f>
        <v/>
      </c>
      <c r="G975" s="7" t="str">
        <f>IF(ISNUMBER($K975),INDEX(РАБОТЫ!$T$2:$T$1058,$K975),"")</f>
        <v/>
      </c>
      <c r="H975" s="7" t="str">
        <f t="shared" si="56"/>
        <v/>
      </c>
      <c r="I975" s="7" t="str">
        <f t="shared" si="57"/>
        <v/>
      </c>
      <c r="J975" s="7" t="str">
        <f t="shared" si="58"/>
        <v/>
      </c>
      <c r="K975" t="str">
        <f>IFERROR(MATCH(954,РАБОТЫ!$X$2:$X$1058,0),"")</f>
        <v/>
      </c>
      <c r="L975" t="str">
        <f>IFERROR(IF(INDEX(РАБОТЫ!$W$2:$W$1058,MATCH(954+1,РАБОТЫ!$X$2:$X$1058,0))=1,INDEX(РАБОТЫ!$V$2:$V$1058,MATCH(954+1,РАБОТЫ!$X$2:$X$1058,0)),""),"")</f>
        <v/>
      </c>
      <c r="M975" t="str">
        <f t="shared" si="59"/>
        <v/>
      </c>
    </row>
    <row r="976" spans="1:13" hidden="1" x14ac:dyDescent="0.3">
      <c r="A976" t="str">
        <f>IF(ISNUMBER($K976),INDEX(РАБОТЫ!$U$2:$U$1058,$K976),"")</f>
        <v/>
      </c>
      <c r="B976" t="str">
        <f>IF(ISNUMBER($K976),INDEX(РАБОТЫ!$A$2:$A$1058,$K976),"")</f>
        <v/>
      </c>
      <c r="C976" s="4" t="str">
        <f>IF($L976&lt;&gt;"",INDEX(РАБОТЫ!$Z$2:$Z$1058,MATCH($L976,РАБОТЫ!$V$2:$V$1058,0)),IF(ISNUMBER($K976),INDEX(РАБОТЫ!$Y$2:$Y$1058,$K976),""))</f>
        <v/>
      </c>
      <c r="D976" t="str">
        <f>IF(ISNUMBER($K976),INDEX(РАБОТЫ!$E$2:$E$1058,$K976),"")</f>
        <v/>
      </c>
      <c r="E976" t="str">
        <f>IF(ISNUMBER($K976),INDEX(РАБОТЫ!$M$2:$M$1058,$K976),"")</f>
        <v/>
      </c>
      <c r="F976" s="7" t="str">
        <f>IF(ISNUMBER($K976),INDEX(РАБОТЫ!$S$2:$S$1058,$K976),"")</f>
        <v/>
      </c>
      <c r="G976" s="7" t="str">
        <f>IF(ISNUMBER($K976),INDEX(РАБОТЫ!$T$2:$T$1058,$K976),"")</f>
        <v/>
      </c>
      <c r="H976" s="7" t="str">
        <f t="shared" si="56"/>
        <v/>
      </c>
      <c r="I976" s="7" t="str">
        <f t="shared" si="57"/>
        <v/>
      </c>
      <c r="J976" s="7" t="str">
        <f t="shared" si="58"/>
        <v/>
      </c>
      <c r="K976" t="str">
        <f>IFERROR(MATCH(955,РАБОТЫ!$X$2:$X$1058,0),"")</f>
        <v/>
      </c>
      <c r="L976" t="str">
        <f>IFERROR(IF(INDEX(РАБОТЫ!$W$2:$W$1058,MATCH(955+1,РАБОТЫ!$X$2:$X$1058,0))=1,INDEX(РАБОТЫ!$V$2:$V$1058,MATCH(955+1,РАБОТЫ!$X$2:$X$1058,0)),""),"")</f>
        <v/>
      </c>
      <c r="M976" t="str">
        <f t="shared" si="59"/>
        <v/>
      </c>
    </row>
    <row r="977" spans="1:13" hidden="1" x14ac:dyDescent="0.3">
      <c r="A977" t="str">
        <f>IF(ISNUMBER($K977),INDEX(РАБОТЫ!$U$2:$U$1058,$K977),"")</f>
        <v/>
      </c>
      <c r="B977" t="str">
        <f>IF(ISNUMBER($K977),INDEX(РАБОТЫ!$A$2:$A$1058,$K977),"")</f>
        <v/>
      </c>
      <c r="C977" s="4" t="str">
        <f>IF($L977&lt;&gt;"",INDEX(РАБОТЫ!$Z$2:$Z$1058,MATCH($L977,РАБОТЫ!$V$2:$V$1058,0)),IF(ISNUMBER($K977),INDEX(РАБОТЫ!$Y$2:$Y$1058,$K977),""))</f>
        <v/>
      </c>
      <c r="D977" t="str">
        <f>IF(ISNUMBER($K977),INDEX(РАБОТЫ!$E$2:$E$1058,$K977),"")</f>
        <v/>
      </c>
      <c r="E977" t="str">
        <f>IF(ISNUMBER($K977),INDEX(РАБОТЫ!$M$2:$M$1058,$K977),"")</f>
        <v/>
      </c>
      <c r="F977" s="7" t="str">
        <f>IF(ISNUMBER($K977),INDEX(РАБОТЫ!$S$2:$S$1058,$K977),"")</f>
        <v/>
      </c>
      <c r="G977" s="7" t="str">
        <f>IF(ISNUMBER($K977),INDEX(РАБОТЫ!$T$2:$T$1058,$K977),"")</f>
        <v/>
      </c>
      <c r="H977" s="7" t="str">
        <f t="shared" si="56"/>
        <v/>
      </c>
      <c r="I977" s="7" t="str">
        <f t="shared" si="57"/>
        <v/>
      </c>
      <c r="J977" s="7" t="str">
        <f t="shared" si="58"/>
        <v/>
      </c>
      <c r="K977" t="str">
        <f>IFERROR(MATCH(956,РАБОТЫ!$X$2:$X$1058,0),"")</f>
        <v/>
      </c>
      <c r="L977" t="str">
        <f>IFERROR(IF(INDEX(РАБОТЫ!$W$2:$W$1058,MATCH(956+1,РАБОТЫ!$X$2:$X$1058,0))=1,INDEX(РАБОТЫ!$V$2:$V$1058,MATCH(956+1,РАБОТЫ!$X$2:$X$1058,0)),""),"")</f>
        <v/>
      </c>
      <c r="M977" t="str">
        <f t="shared" si="59"/>
        <v/>
      </c>
    </row>
    <row r="978" spans="1:13" hidden="1" x14ac:dyDescent="0.3">
      <c r="A978" t="str">
        <f>IF(ISNUMBER($K978),INDEX(РАБОТЫ!$U$2:$U$1058,$K978),"")</f>
        <v/>
      </c>
      <c r="B978" t="str">
        <f>IF(ISNUMBER($K978),INDEX(РАБОТЫ!$A$2:$A$1058,$K978),"")</f>
        <v/>
      </c>
      <c r="C978" s="4" t="str">
        <f>IF($L978&lt;&gt;"",INDEX(РАБОТЫ!$Z$2:$Z$1058,MATCH($L978,РАБОТЫ!$V$2:$V$1058,0)),IF(ISNUMBER($K978),INDEX(РАБОТЫ!$Y$2:$Y$1058,$K978),""))</f>
        <v/>
      </c>
      <c r="D978" t="str">
        <f>IF(ISNUMBER($K978),INDEX(РАБОТЫ!$E$2:$E$1058,$K978),"")</f>
        <v/>
      </c>
      <c r="E978" t="str">
        <f>IF(ISNUMBER($K978),INDEX(РАБОТЫ!$M$2:$M$1058,$K978),"")</f>
        <v/>
      </c>
      <c r="F978" s="7" t="str">
        <f>IF(ISNUMBER($K978),INDEX(РАБОТЫ!$S$2:$S$1058,$K978),"")</f>
        <v/>
      </c>
      <c r="G978" s="7" t="str">
        <f>IF(ISNUMBER($K978),INDEX(РАБОТЫ!$T$2:$T$1058,$K978),"")</f>
        <v/>
      </c>
      <c r="H978" s="7" t="str">
        <f t="shared" si="56"/>
        <v/>
      </c>
      <c r="I978" s="7" t="str">
        <f t="shared" si="57"/>
        <v/>
      </c>
      <c r="J978" s="7" t="str">
        <f t="shared" si="58"/>
        <v/>
      </c>
      <c r="K978" t="str">
        <f>IFERROR(MATCH(957,РАБОТЫ!$X$2:$X$1058,0),"")</f>
        <v/>
      </c>
      <c r="L978" t="str">
        <f>IFERROR(IF(INDEX(РАБОТЫ!$W$2:$W$1058,MATCH(957+1,РАБОТЫ!$X$2:$X$1058,0))=1,INDEX(РАБОТЫ!$V$2:$V$1058,MATCH(957+1,РАБОТЫ!$X$2:$X$1058,0)),""),"")</f>
        <v/>
      </c>
      <c r="M978" t="str">
        <f t="shared" si="59"/>
        <v/>
      </c>
    </row>
    <row r="979" spans="1:13" hidden="1" x14ac:dyDescent="0.3">
      <c r="A979" t="str">
        <f>IF(ISNUMBER($K979),INDEX(РАБОТЫ!$U$2:$U$1058,$K979),"")</f>
        <v/>
      </c>
      <c r="B979" t="str">
        <f>IF(ISNUMBER($K979),INDEX(РАБОТЫ!$A$2:$A$1058,$K979),"")</f>
        <v/>
      </c>
      <c r="C979" s="4" t="str">
        <f>IF($L979&lt;&gt;"",INDEX(РАБОТЫ!$Z$2:$Z$1058,MATCH($L979,РАБОТЫ!$V$2:$V$1058,0)),IF(ISNUMBER($K979),INDEX(РАБОТЫ!$Y$2:$Y$1058,$K979),""))</f>
        <v/>
      </c>
      <c r="D979" t="str">
        <f>IF(ISNUMBER($K979),INDEX(РАБОТЫ!$E$2:$E$1058,$K979),"")</f>
        <v/>
      </c>
      <c r="E979" t="str">
        <f>IF(ISNUMBER($K979),INDEX(РАБОТЫ!$M$2:$M$1058,$K979),"")</f>
        <v/>
      </c>
      <c r="F979" s="7" t="str">
        <f>IF(ISNUMBER($K979),INDEX(РАБОТЫ!$S$2:$S$1058,$K979),"")</f>
        <v/>
      </c>
      <c r="G979" s="7" t="str">
        <f>IF(ISNUMBER($K979),INDEX(РАБОТЫ!$T$2:$T$1058,$K979),"")</f>
        <v/>
      </c>
      <c r="H979" s="7" t="str">
        <f t="shared" si="56"/>
        <v/>
      </c>
      <c r="I979" s="7" t="str">
        <f t="shared" si="57"/>
        <v/>
      </c>
      <c r="J979" s="7" t="str">
        <f t="shared" si="58"/>
        <v/>
      </c>
      <c r="K979" t="str">
        <f>IFERROR(MATCH(958,РАБОТЫ!$X$2:$X$1058,0),"")</f>
        <v/>
      </c>
      <c r="L979" t="str">
        <f>IFERROR(IF(INDEX(РАБОТЫ!$W$2:$W$1058,MATCH(958+1,РАБОТЫ!$X$2:$X$1058,0))=1,INDEX(РАБОТЫ!$V$2:$V$1058,MATCH(958+1,РАБОТЫ!$X$2:$X$1058,0)),""),"")</f>
        <v/>
      </c>
      <c r="M979" t="str">
        <f t="shared" si="59"/>
        <v/>
      </c>
    </row>
    <row r="980" spans="1:13" hidden="1" x14ac:dyDescent="0.3">
      <c r="A980" t="str">
        <f>IF(ISNUMBER($K980),INDEX(РАБОТЫ!$U$2:$U$1058,$K980),"")</f>
        <v/>
      </c>
      <c r="B980" t="str">
        <f>IF(ISNUMBER($K980),INDEX(РАБОТЫ!$A$2:$A$1058,$K980),"")</f>
        <v/>
      </c>
      <c r="C980" s="4" t="str">
        <f>IF($L980&lt;&gt;"",INDEX(РАБОТЫ!$Z$2:$Z$1058,MATCH($L980,РАБОТЫ!$V$2:$V$1058,0)),IF(ISNUMBER($K980),INDEX(РАБОТЫ!$Y$2:$Y$1058,$K980),""))</f>
        <v/>
      </c>
      <c r="D980" t="str">
        <f>IF(ISNUMBER($K980),INDEX(РАБОТЫ!$E$2:$E$1058,$K980),"")</f>
        <v/>
      </c>
      <c r="E980" t="str">
        <f>IF(ISNUMBER($K980),INDEX(РАБОТЫ!$M$2:$M$1058,$K980),"")</f>
        <v/>
      </c>
      <c r="F980" s="7" t="str">
        <f>IF(ISNUMBER($K980),INDEX(РАБОТЫ!$S$2:$S$1058,$K980),"")</f>
        <v/>
      </c>
      <c r="G980" s="7" t="str">
        <f>IF(ISNUMBER($K980),INDEX(РАБОТЫ!$T$2:$T$1058,$K980),"")</f>
        <v/>
      </c>
      <c r="H980" s="7" t="str">
        <f t="shared" si="56"/>
        <v/>
      </c>
      <c r="I980" s="7" t="str">
        <f t="shared" si="57"/>
        <v/>
      </c>
      <c r="J980" s="7" t="str">
        <f t="shared" si="58"/>
        <v/>
      </c>
      <c r="K980" t="str">
        <f>IFERROR(MATCH(959,РАБОТЫ!$X$2:$X$1058,0),"")</f>
        <v/>
      </c>
      <c r="L980" t="str">
        <f>IFERROR(IF(INDEX(РАБОТЫ!$W$2:$W$1058,MATCH(959+1,РАБОТЫ!$X$2:$X$1058,0))=1,INDEX(РАБОТЫ!$V$2:$V$1058,MATCH(959+1,РАБОТЫ!$X$2:$X$1058,0)),""),"")</f>
        <v/>
      </c>
      <c r="M980" t="str">
        <f t="shared" si="59"/>
        <v/>
      </c>
    </row>
    <row r="981" spans="1:13" hidden="1" x14ac:dyDescent="0.3">
      <c r="A981" t="str">
        <f>IF(ISNUMBER($K981),INDEX(РАБОТЫ!$U$2:$U$1058,$K981),"")</f>
        <v/>
      </c>
      <c r="B981" t="str">
        <f>IF(ISNUMBER($K981),INDEX(РАБОТЫ!$A$2:$A$1058,$K981),"")</f>
        <v/>
      </c>
      <c r="C981" s="4" t="str">
        <f>IF($L981&lt;&gt;"",INDEX(РАБОТЫ!$Z$2:$Z$1058,MATCH($L981,РАБОТЫ!$V$2:$V$1058,0)),IF(ISNUMBER($K981),INDEX(РАБОТЫ!$Y$2:$Y$1058,$K981),""))</f>
        <v/>
      </c>
      <c r="D981" t="str">
        <f>IF(ISNUMBER($K981),INDEX(РАБОТЫ!$E$2:$E$1058,$K981),"")</f>
        <v/>
      </c>
      <c r="E981" t="str">
        <f>IF(ISNUMBER($K981),INDEX(РАБОТЫ!$M$2:$M$1058,$K981),"")</f>
        <v/>
      </c>
      <c r="F981" s="7" t="str">
        <f>IF(ISNUMBER($K981),INDEX(РАБОТЫ!$S$2:$S$1058,$K981),"")</f>
        <v/>
      </c>
      <c r="G981" s="7" t="str">
        <f>IF(ISNUMBER($K981),INDEX(РАБОТЫ!$T$2:$T$1058,$K981),"")</f>
        <v/>
      </c>
      <c r="H981" s="7" t="str">
        <f t="shared" si="56"/>
        <v/>
      </c>
      <c r="I981" s="7" t="str">
        <f t="shared" si="57"/>
        <v/>
      </c>
      <c r="J981" s="7" t="str">
        <f t="shared" si="58"/>
        <v/>
      </c>
      <c r="K981" t="str">
        <f>IFERROR(MATCH(960,РАБОТЫ!$X$2:$X$1058,0),"")</f>
        <v/>
      </c>
      <c r="L981" t="str">
        <f>IFERROR(IF(INDEX(РАБОТЫ!$W$2:$W$1058,MATCH(960+1,РАБОТЫ!$X$2:$X$1058,0))=1,INDEX(РАБОТЫ!$V$2:$V$1058,MATCH(960+1,РАБОТЫ!$X$2:$X$1058,0)),""),"")</f>
        <v/>
      </c>
      <c r="M981" t="str">
        <f t="shared" si="59"/>
        <v/>
      </c>
    </row>
    <row r="982" spans="1:13" hidden="1" x14ac:dyDescent="0.3">
      <c r="A982" t="str">
        <f>IF(ISNUMBER($K982),INDEX(РАБОТЫ!$U$2:$U$1058,$K982),"")</f>
        <v/>
      </c>
      <c r="B982" t="str">
        <f>IF(ISNUMBER($K982),INDEX(РАБОТЫ!$A$2:$A$1058,$K982),"")</f>
        <v/>
      </c>
      <c r="C982" s="4" t="str">
        <f>IF($L982&lt;&gt;"",INDEX(РАБОТЫ!$Z$2:$Z$1058,MATCH($L982,РАБОТЫ!$V$2:$V$1058,0)),IF(ISNUMBER($K982),INDEX(РАБОТЫ!$Y$2:$Y$1058,$K982),""))</f>
        <v/>
      </c>
      <c r="D982" t="str">
        <f>IF(ISNUMBER($K982),INDEX(РАБОТЫ!$E$2:$E$1058,$K982),"")</f>
        <v/>
      </c>
      <c r="E982" t="str">
        <f>IF(ISNUMBER($K982),INDEX(РАБОТЫ!$M$2:$M$1058,$K982),"")</f>
        <v/>
      </c>
      <c r="F982" s="7" t="str">
        <f>IF(ISNUMBER($K982),INDEX(РАБОТЫ!$S$2:$S$1058,$K982),"")</f>
        <v/>
      </c>
      <c r="G982" s="7" t="str">
        <f>IF(ISNUMBER($K982),INDEX(РАБОТЫ!$T$2:$T$1058,$K982),"")</f>
        <v/>
      </c>
      <c r="H982" s="7" t="str">
        <f t="shared" ref="H982:H1045" si="60">IF(ISNUMBER($K982),ROUND($E982*$F982,2),"")</f>
        <v/>
      </c>
      <c r="I982" s="7" t="str">
        <f t="shared" ref="I982:I1045" si="61">IF(ISNUMBER($K982),ROUND($E982*$G982,2),"")</f>
        <v/>
      </c>
      <c r="J982" s="7" t="str">
        <f t="shared" ref="J982:J1045" si="62">IF(ISNUMBER($K982),$H982+$I982,"")</f>
        <v/>
      </c>
      <c r="K982" t="str">
        <f>IFERROR(MATCH(961,РАБОТЫ!$X$2:$X$1058,0),"")</f>
        <v/>
      </c>
      <c r="L982" t="str">
        <f>IFERROR(IF(INDEX(РАБОТЫ!$W$2:$W$1058,MATCH(961+1,РАБОТЫ!$X$2:$X$1058,0))=1,INDEX(РАБОТЫ!$V$2:$V$1058,MATCH(961+1,РАБОТЫ!$X$2:$X$1058,0)),""),"")</f>
        <v/>
      </c>
      <c r="M982" t="str">
        <f t="shared" ref="M982:M1045" si="63">IF(OR(ISNUMBER($K982),$L982&lt;&gt;""),"показать","")</f>
        <v/>
      </c>
    </row>
    <row r="983" spans="1:13" hidden="1" x14ac:dyDescent="0.3">
      <c r="A983" t="str">
        <f>IF(ISNUMBER($K983),INDEX(РАБОТЫ!$U$2:$U$1058,$K983),"")</f>
        <v/>
      </c>
      <c r="B983" t="str">
        <f>IF(ISNUMBER($K983),INDEX(РАБОТЫ!$A$2:$A$1058,$K983),"")</f>
        <v/>
      </c>
      <c r="C983" s="4" t="str">
        <f>IF($L983&lt;&gt;"",INDEX(РАБОТЫ!$Z$2:$Z$1058,MATCH($L983,РАБОТЫ!$V$2:$V$1058,0)),IF(ISNUMBER($K983),INDEX(РАБОТЫ!$Y$2:$Y$1058,$K983),""))</f>
        <v/>
      </c>
      <c r="D983" t="str">
        <f>IF(ISNUMBER($K983),INDEX(РАБОТЫ!$E$2:$E$1058,$K983),"")</f>
        <v/>
      </c>
      <c r="E983" t="str">
        <f>IF(ISNUMBER($K983),INDEX(РАБОТЫ!$M$2:$M$1058,$K983),"")</f>
        <v/>
      </c>
      <c r="F983" s="7" t="str">
        <f>IF(ISNUMBER($K983),INDEX(РАБОТЫ!$S$2:$S$1058,$K983),"")</f>
        <v/>
      </c>
      <c r="G983" s="7" t="str">
        <f>IF(ISNUMBER($K983),INDEX(РАБОТЫ!$T$2:$T$1058,$K983),"")</f>
        <v/>
      </c>
      <c r="H983" s="7" t="str">
        <f t="shared" si="60"/>
        <v/>
      </c>
      <c r="I983" s="7" t="str">
        <f t="shared" si="61"/>
        <v/>
      </c>
      <c r="J983" s="7" t="str">
        <f t="shared" si="62"/>
        <v/>
      </c>
      <c r="K983" t="str">
        <f>IFERROR(MATCH(962,РАБОТЫ!$X$2:$X$1058,0),"")</f>
        <v/>
      </c>
      <c r="L983" t="str">
        <f>IFERROR(IF(INDEX(РАБОТЫ!$W$2:$W$1058,MATCH(962+1,РАБОТЫ!$X$2:$X$1058,0))=1,INDEX(РАБОТЫ!$V$2:$V$1058,MATCH(962+1,РАБОТЫ!$X$2:$X$1058,0)),""),"")</f>
        <v/>
      </c>
      <c r="M983" t="str">
        <f t="shared" si="63"/>
        <v/>
      </c>
    </row>
    <row r="984" spans="1:13" hidden="1" x14ac:dyDescent="0.3">
      <c r="A984" t="str">
        <f>IF(ISNUMBER($K984),INDEX(РАБОТЫ!$U$2:$U$1058,$K984),"")</f>
        <v/>
      </c>
      <c r="B984" t="str">
        <f>IF(ISNUMBER($K984),INDEX(РАБОТЫ!$A$2:$A$1058,$K984),"")</f>
        <v/>
      </c>
      <c r="C984" s="4" t="str">
        <f>IF($L984&lt;&gt;"",INDEX(РАБОТЫ!$Z$2:$Z$1058,MATCH($L984,РАБОТЫ!$V$2:$V$1058,0)),IF(ISNUMBER($K984),INDEX(РАБОТЫ!$Y$2:$Y$1058,$K984),""))</f>
        <v/>
      </c>
      <c r="D984" t="str">
        <f>IF(ISNUMBER($K984),INDEX(РАБОТЫ!$E$2:$E$1058,$K984),"")</f>
        <v/>
      </c>
      <c r="E984" t="str">
        <f>IF(ISNUMBER($K984),INDEX(РАБОТЫ!$M$2:$M$1058,$K984),"")</f>
        <v/>
      </c>
      <c r="F984" s="7" t="str">
        <f>IF(ISNUMBER($K984),INDEX(РАБОТЫ!$S$2:$S$1058,$K984),"")</f>
        <v/>
      </c>
      <c r="G984" s="7" t="str">
        <f>IF(ISNUMBER($K984),INDEX(РАБОТЫ!$T$2:$T$1058,$K984),"")</f>
        <v/>
      </c>
      <c r="H984" s="7" t="str">
        <f t="shared" si="60"/>
        <v/>
      </c>
      <c r="I984" s="7" t="str">
        <f t="shared" si="61"/>
        <v/>
      </c>
      <c r="J984" s="7" t="str">
        <f t="shared" si="62"/>
        <v/>
      </c>
      <c r="K984" t="str">
        <f>IFERROR(MATCH(963,РАБОТЫ!$X$2:$X$1058,0),"")</f>
        <v/>
      </c>
      <c r="L984" t="str">
        <f>IFERROR(IF(INDEX(РАБОТЫ!$W$2:$W$1058,MATCH(963+1,РАБОТЫ!$X$2:$X$1058,0))=1,INDEX(РАБОТЫ!$V$2:$V$1058,MATCH(963+1,РАБОТЫ!$X$2:$X$1058,0)),""),"")</f>
        <v/>
      </c>
      <c r="M984" t="str">
        <f t="shared" si="63"/>
        <v/>
      </c>
    </row>
    <row r="985" spans="1:13" hidden="1" x14ac:dyDescent="0.3">
      <c r="A985" t="str">
        <f>IF(ISNUMBER($K985),INDEX(РАБОТЫ!$U$2:$U$1058,$K985),"")</f>
        <v/>
      </c>
      <c r="B985" t="str">
        <f>IF(ISNUMBER($K985),INDEX(РАБОТЫ!$A$2:$A$1058,$K985),"")</f>
        <v/>
      </c>
      <c r="C985" s="4" t="str">
        <f>IF($L985&lt;&gt;"",INDEX(РАБОТЫ!$Z$2:$Z$1058,MATCH($L985,РАБОТЫ!$V$2:$V$1058,0)),IF(ISNUMBER($K985),INDEX(РАБОТЫ!$Y$2:$Y$1058,$K985),""))</f>
        <v/>
      </c>
      <c r="D985" t="str">
        <f>IF(ISNUMBER($K985),INDEX(РАБОТЫ!$E$2:$E$1058,$K985),"")</f>
        <v/>
      </c>
      <c r="E985" t="str">
        <f>IF(ISNUMBER($K985),INDEX(РАБОТЫ!$M$2:$M$1058,$K985),"")</f>
        <v/>
      </c>
      <c r="F985" s="7" t="str">
        <f>IF(ISNUMBER($K985),INDEX(РАБОТЫ!$S$2:$S$1058,$K985),"")</f>
        <v/>
      </c>
      <c r="G985" s="7" t="str">
        <f>IF(ISNUMBER($K985),INDEX(РАБОТЫ!$T$2:$T$1058,$K985),"")</f>
        <v/>
      </c>
      <c r="H985" s="7" t="str">
        <f t="shared" si="60"/>
        <v/>
      </c>
      <c r="I985" s="7" t="str">
        <f t="shared" si="61"/>
        <v/>
      </c>
      <c r="J985" s="7" t="str">
        <f t="shared" si="62"/>
        <v/>
      </c>
      <c r="K985" t="str">
        <f>IFERROR(MATCH(964,РАБОТЫ!$X$2:$X$1058,0),"")</f>
        <v/>
      </c>
      <c r="L985" t="str">
        <f>IFERROR(IF(INDEX(РАБОТЫ!$W$2:$W$1058,MATCH(964+1,РАБОТЫ!$X$2:$X$1058,0))=1,INDEX(РАБОТЫ!$V$2:$V$1058,MATCH(964+1,РАБОТЫ!$X$2:$X$1058,0)),""),"")</f>
        <v/>
      </c>
      <c r="M985" t="str">
        <f t="shared" si="63"/>
        <v/>
      </c>
    </row>
    <row r="986" spans="1:13" hidden="1" x14ac:dyDescent="0.3">
      <c r="A986" t="str">
        <f>IF(ISNUMBER($K986),INDEX(РАБОТЫ!$U$2:$U$1058,$K986),"")</f>
        <v/>
      </c>
      <c r="B986" t="str">
        <f>IF(ISNUMBER($K986),INDEX(РАБОТЫ!$A$2:$A$1058,$K986),"")</f>
        <v/>
      </c>
      <c r="C986" s="4" t="str">
        <f>IF($L986&lt;&gt;"",INDEX(РАБОТЫ!$Z$2:$Z$1058,MATCH($L986,РАБОТЫ!$V$2:$V$1058,0)),IF(ISNUMBER($K986),INDEX(РАБОТЫ!$Y$2:$Y$1058,$K986),""))</f>
        <v/>
      </c>
      <c r="D986" t="str">
        <f>IF(ISNUMBER($K986),INDEX(РАБОТЫ!$E$2:$E$1058,$K986),"")</f>
        <v/>
      </c>
      <c r="E986" t="str">
        <f>IF(ISNUMBER($K986),INDEX(РАБОТЫ!$M$2:$M$1058,$K986),"")</f>
        <v/>
      </c>
      <c r="F986" s="7" t="str">
        <f>IF(ISNUMBER($K986),INDEX(РАБОТЫ!$S$2:$S$1058,$K986),"")</f>
        <v/>
      </c>
      <c r="G986" s="7" t="str">
        <f>IF(ISNUMBER($K986),INDEX(РАБОТЫ!$T$2:$T$1058,$K986),"")</f>
        <v/>
      </c>
      <c r="H986" s="7" t="str">
        <f t="shared" si="60"/>
        <v/>
      </c>
      <c r="I986" s="7" t="str">
        <f t="shared" si="61"/>
        <v/>
      </c>
      <c r="J986" s="7" t="str">
        <f t="shared" si="62"/>
        <v/>
      </c>
      <c r="K986" t="str">
        <f>IFERROR(MATCH(965,РАБОТЫ!$X$2:$X$1058,0),"")</f>
        <v/>
      </c>
      <c r="L986" t="str">
        <f>IFERROR(IF(INDEX(РАБОТЫ!$W$2:$W$1058,MATCH(965+1,РАБОТЫ!$X$2:$X$1058,0))=1,INDEX(РАБОТЫ!$V$2:$V$1058,MATCH(965+1,РАБОТЫ!$X$2:$X$1058,0)),""),"")</f>
        <v/>
      </c>
      <c r="M986" t="str">
        <f t="shared" si="63"/>
        <v/>
      </c>
    </row>
    <row r="987" spans="1:13" hidden="1" x14ac:dyDescent="0.3">
      <c r="A987" t="str">
        <f>IF(ISNUMBER($K987),INDEX(РАБОТЫ!$U$2:$U$1058,$K987),"")</f>
        <v/>
      </c>
      <c r="B987" t="str">
        <f>IF(ISNUMBER($K987),INDEX(РАБОТЫ!$A$2:$A$1058,$K987),"")</f>
        <v/>
      </c>
      <c r="C987" s="4" t="str">
        <f>IF($L987&lt;&gt;"",INDEX(РАБОТЫ!$Z$2:$Z$1058,MATCH($L987,РАБОТЫ!$V$2:$V$1058,0)),IF(ISNUMBER($K987),INDEX(РАБОТЫ!$Y$2:$Y$1058,$K987),""))</f>
        <v/>
      </c>
      <c r="D987" t="str">
        <f>IF(ISNUMBER($K987),INDEX(РАБОТЫ!$E$2:$E$1058,$K987),"")</f>
        <v/>
      </c>
      <c r="E987" t="str">
        <f>IF(ISNUMBER($K987),INDEX(РАБОТЫ!$M$2:$M$1058,$K987),"")</f>
        <v/>
      </c>
      <c r="F987" s="7" t="str">
        <f>IF(ISNUMBER($K987),INDEX(РАБОТЫ!$S$2:$S$1058,$K987),"")</f>
        <v/>
      </c>
      <c r="G987" s="7" t="str">
        <f>IF(ISNUMBER($K987),INDEX(РАБОТЫ!$T$2:$T$1058,$K987),"")</f>
        <v/>
      </c>
      <c r="H987" s="7" t="str">
        <f t="shared" si="60"/>
        <v/>
      </c>
      <c r="I987" s="7" t="str">
        <f t="shared" si="61"/>
        <v/>
      </c>
      <c r="J987" s="7" t="str">
        <f t="shared" si="62"/>
        <v/>
      </c>
      <c r="K987" t="str">
        <f>IFERROR(MATCH(966,РАБОТЫ!$X$2:$X$1058,0),"")</f>
        <v/>
      </c>
      <c r="L987" t="str">
        <f>IFERROR(IF(INDEX(РАБОТЫ!$W$2:$W$1058,MATCH(966+1,РАБОТЫ!$X$2:$X$1058,0))=1,INDEX(РАБОТЫ!$V$2:$V$1058,MATCH(966+1,РАБОТЫ!$X$2:$X$1058,0)),""),"")</f>
        <v/>
      </c>
      <c r="M987" t="str">
        <f t="shared" si="63"/>
        <v/>
      </c>
    </row>
    <row r="988" spans="1:13" hidden="1" x14ac:dyDescent="0.3">
      <c r="A988" t="str">
        <f>IF(ISNUMBER($K988),INDEX(РАБОТЫ!$U$2:$U$1058,$K988),"")</f>
        <v/>
      </c>
      <c r="B988" t="str">
        <f>IF(ISNUMBER($K988),INDEX(РАБОТЫ!$A$2:$A$1058,$K988),"")</f>
        <v/>
      </c>
      <c r="C988" s="4" t="str">
        <f>IF($L988&lt;&gt;"",INDEX(РАБОТЫ!$Z$2:$Z$1058,MATCH($L988,РАБОТЫ!$V$2:$V$1058,0)),IF(ISNUMBER($K988),INDEX(РАБОТЫ!$Y$2:$Y$1058,$K988),""))</f>
        <v/>
      </c>
      <c r="D988" t="str">
        <f>IF(ISNUMBER($K988),INDEX(РАБОТЫ!$E$2:$E$1058,$K988),"")</f>
        <v/>
      </c>
      <c r="E988" t="str">
        <f>IF(ISNUMBER($K988),INDEX(РАБОТЫ!$M$2:$M$1058,$K988),"")</f>
        <v/>
      </c>
      <c r="F988" s="7" t="str">
        <f>IF(ISNUMBER($K988),INDEX(РАБОТЫ!$S$2:$S$1058,$K988),"")</f>
        <v/>
      </c>
      <c r="G988" s="7" t="str">
        <f>IF(ISNUMBER($K988),INDEX(РАБОТЫ!$T$2:$T$1058,$K988),"")</f>
        <v/>
      </c>
      <c r="H988" s="7" t="str">
        <f t="shared" si="60"/>
        <v/>
      </c>
      <c r="I988" s="7" t="str">
        <f t="shared" si="61"/>
        <v/>
      </c>
      <c r="J988" s="7" t="str">
        <f t="shared" si="62"/>
        <v/>
      </c>
      <c r="K988" t="str">
        <f>IFERROR(MATCH(967,РАБОТЫ!$X$2:$X$1058,0),"")</f>
        <v/>
      </c>
      <c r="L988" t="str">
        <f>IFERROR(IF(INDEX(РАБОТЫ!$W$2:$W$1058,MATCH(967+1,РАБОТЫ!$X$2:$X$1058,0))=1,INDEX(РАБОТЫ!$V$2:$V$1058,MATCH(967+1,РАБОТЫ!$X$2:$X$1058,0)),""),"")</f>
        <v/>
      </c>
      <c r="M988" t="str">
        <f t="shared" si="63"/>
        <v/>
      </c>
    </row>
    <row r="989" spans="1:13" hidden="1" x14ac:dyDescent="0.3">
      <c r="A989" t="str">
        <f>IF(ISNUMBER($K989),INDEX(РАБОТЫ!$U$2:$U$1058,$K989),"")</f>
        <v/>
      </c>
      <c r="B989" t="str">
        <f>IF(ISNUMBER($K989),INDEX(РАБОТЫ!$A$2:$A$1058,$K989),"")</f>
        <v/>
      </c>
      <c r="C989" s="4" t="str">
        <f>IF($L989&lt;&gt;"",INDEX(РАБОТЫ!$Z$2:$Z$1058,MATCH($L989,РАБОТЫ!$V$2:$V$1058,0)),IF(ISNUMBER($K989),INDEX(РАБОТЫ!$Y$2:$Y$1058,$K989),""))</f>
        <v/>
      </c>
      <c r="D989" t="str">
        <f>IF(ISNUMBER($K989),INDEX(РАБОТЫ!$E$2:$E$1058,$K989),"")</f>
        <v/>
      </c>
      <c r="E989" t="str">
        <f>IF(ISNUMBER($K989),INDEX(РАБОТЫ!$M$2:$M$1058,$K989),"")</f>
        <v/>
      </c>
      <c r="F989" s="7" t="str">
        <f>IF(ISNUMBER($K989),INDEX(РАБОТЫ!$S$2:$S$1058,$K989),"")</f>
        <v/>
      </c>
      <c r="G989" s="7" t="str">
        <f>IF(ISNUMBER($K989),INDEX(РАБОТЫ!$T$2:$T$1058,$K989),"")</f>
        <v/>
      </c>
      <c r="H989" s="7" t="str">
        <f t="shared" si="60"/>
        <v/>
      </c>
      <c r="I989" s="7" t="str">
        <f t="shared" si="61"/>
        <v/>
      </c>
      <c r="J989" s="7" t="str">
        <f t="shared" si="62"/>
        <v/>
      </c>
      <c r="K989" t="str">
        <f>IFERROR(MATCH(968,РАБОТЫ!$X$2:$X$1058,0),"")</f>
        <v/>
      </c>
      <c r="L989" t="str">
        <f>IFERROR(IF(INDEX(РАБОТЫ!$W$2:$W$1058,MATCH(968+1,РАБОТЫ!$X$2:$X$1058,0))=1,INDEX(РАБОТЫ!$V$2:$V$1058,MATCH(968+1,РАБОТЫ!$X$2:$X$1058,0)),""),"")</f>
        <v/>
      </c>
      <c r="M989" t="str">
        <f t="shared" si="63"/>
        <v/>
      </c>
    </row>
    <row r="990" spans="1:13" hidden="1" x14ac:dyDescent="0.3">
      <c r="A990" t="str">
        <f>IF(ISNUMBER($K990),INDEX(РАБОТЫ!$U$2:$U$1058,$K990),"")</f>
        <v/>
      </c>
      <c r="B990" t="str">
        <f>IF(ISNUMBER($K990),INDEX(РАБОТЫ!$A$2:$A$1058,$K990),"")</f>
        <v/>
      </c>
      <c r="C990" s="4" t="str">
        <f>IF($L990&lt;&gt;"",INDEX(РАБОТЫ!$Z$2:$Z$1058,MATCH($L990,РАБОТЫ!$V$2:$V$1058,0)),IF(ISNUMBER($K990),INDEX(РАБОТЫ!$Y$2:$Y$1058,$K990),""))</f>
        <v/>
      </c>
      <c r="D990" t="str">
        <f>IF(ISNUMBER($K990),INDEX(РАБОТЫ!$E$2:$E$1058,$K990),"")</f>
        <v/>
      </c>
      <c r="E990" t="str">
        <f>IF(ISNUMBER($K990),INDEX(РАБОТЫ!$M$2:$M$1058,$K990),"")</f>
        <v/>
      </c>
      <c r="F990" s="7" t="str">
        <f>IF(ISNUMBER($K990),INDEX(РАБОТЫ!$S$2:$S$1058,$K990),"")</f>
        <v/>
      </c>
      <c r="G990" s="7" t="str">
        <f>IF(ISNUMBER($K990),INDEX(РАБОТЫ!$T$2:$T$1058,$K990),"")</f>
        <v/>
      </c>
      <c r="H990" s="7" t="str">
        <f t="shared" si="60"/>
        <v/>
      </c>
      <c r="I990" s="7" t="str">
        <f t="shared" si="61"/>
        <v/>
      </c>
      <c r="J990" s="7" t="str">
        <f t="shared" si="62"/>
        <v/>
      </c>
      <c r="K990" t="str">
        <f>IFERROR(MATCH(969,РАБОТЫ!$X$2:$X$1058,0),"")</f>
        <v/>
      </c>
      <c r="L990" t="str">
        <f>IFERROR(IF(INDEX(РАБОТЫ!$W$2:$W$1058,MATCH(969+1,РАБОТЫ!$X$2:$X$1058,0))=1,INDEX(РАБОТЫ!$V$2:$V$1058,MATCH(969+1,РАБОТЫ!$X$2:$X$1058,0)),""),"")</f>
        <v/>
      </c>
      <c r="M990" t="str">
        <f t="shared" si="63"/>
        <v/>
      </c>
    </row>
    <row r="991" spans="1:13" hidden="1" x14ac:dyDescent="0.3">
      <c r="A991" t="str">
        <f>IF(ISNUMBER($K991),INDEX(РАБОТЫ!$U$2:$U$1058,$K991),"")</f>
        <v/>
      </c>
      <c r="B991" t="str">
        <f>IF(ISNUMBER($K991),INDEX(РАБОТЫ!$A$2:$A$1058,$K991),"")</f>
        <v/>
      </c>
      <c r="C991" s="4" t="str">
        <f>IF($L991&lt;&gt;"",INDEX(РАБОТЫ!$Z$2:$Z$1058,MATCH($L991,РАБОТЫ!$V$2:$V$1058,0)),IF(ISNUMBER($K991),INDEX(РАБОТЫ!$Y$2:$Y$1058,$K991),""))</f>
        <v/>
      </c>
      <c r="D991" t="str">
        <f>IF(ISNUMBER($K991),INDEX(РАБОТЫ!$E$2:$E$1058,$K991),"")</f>
        <v/>
      </c>
      <c r="E991" t="str">
        <f>IF(ISNUMBER($K991),INDEX(РАБОТЫ!$M$2:$M$1058,$K991),"")</f>
        <v/>
      </c>
      <c r="F991" s="7" t="str">
        <f>IF(ISNUMBER($K991),INDEX(РАБОТЫ!$S$2:$S$1058,$K991),"")</f>
        <v/>
      </c>
      <c r="G991" s="7" t="str">
        <f>IF(ISNUMBER($K991),INDEX(РАБОТЫ!$T$2:$T$1058,$K991),"")</f>
        <v/>
      </c>
      <c r="H991" s="7" t="str">
        <f t="shared" si="60"/>
        <v/>
      </c>
      <c r="I991" s="7" t="str">
        <f t="shared" si="61"/>
        <v/>
      </c>
      <c r="J991" s="7" t="str">
        <f t="shared" si="62"/>
        <v/>
      </c>
      <c r="K991" t="str">
        <f>IFERROR(MATCH(970,РАБОТЫ!$X$2:$X$1058,0),"")</f>
        <v/>
      </c>
      <c r="L991" t="str">
        <f>IFERROR(IF(INDEX(РАБОТЫ!$W$2:$W$1058,MATCH(970+1,РАБОТЫ!$X$2:$X$1058,0))=1,INDEX(РАБОТЫ!$V$2:$V$1058,MATCH(970+1,РАБОТЫ!$X$2:$X$1058,0)),""),"")</f>
        <v/>
      </c>
      <c r="M991" t="str">
        <f t="shared" si="63"/>
        <v/>
      </c>
    </row>
    <row r="992" spans="1:13" hidden="1" x14ac:dyDescent="0.3">
      <c r="A992" t="str">
        <f>IF(ISNUMBER($K992),INDEX(РАБОТЫ!$U$2:$U$1058,$K992),"")</f>
        <v/>
      </c>
      <c r="B992" t="str">
        <f>IF(ISNUMBER($K992),INDEX(РАБОТЫ!$A$2:$A$1058,$K992),"")</f>
        <v/>
      </c>
      <c r="C992" s="4" t="str">
        <f>IF($L992&lt;&gt;"",INDEX(РАБОТЫ!$Z$2:$Z$1058,MATCH($L992,РАБОТЫ!$V$2:$V$1058,0)),IF(ISNUMBER($K992),INDEX(РАБОТЫ!$Y$2:$Y$1058,$K992),""))</f>
        <v/>
      </c>
      <c r="D992" t="str">
        <f>IF(ISNUMBER($K992),INDEX(РАБОТЫ!$E$2:$E$1058,$K992),"")</f>
        <v/>
      </c>
      <c r="E992" t="str">
        <f>IF(ISNUMBER($K992),INDEX(РАБОТЫ!$M$2:$M$1058,$K992),"")</f>
        <v/>
      </c>
      <c r="F992" s="7" t="str">
        <f>IF(ISNUMBER($K992),INDEX(РАБОТЫ!$S$2:$S$1058,$K992),"")</f>
        <v/>
      </c>
      <c r="G992" s="7" t="str">
        <f>IF(ISNUMBER($K992),INDEX(РАБОТЫ!$T$2:$T$1058,$K992),"")</f>
        <v/>
      </c>
      <c r="H992" s="7" t="str">
        <f t="shared" si="60"/>
        <v/>
      </c>
      <c r="I992" s="7" t="str">
        <f t="shared" si="61"/>
        <v/>
      </c>
      <c r="J992" s="7" t="str">
        <f t="shared" si="62"/>
        <v/>
      </c>
      <c r="K992" t="str">
        <f>IFERROR(MATCH(971,РАБОТЫ!$X$2:$X$1058,0),"")</f>
        <v/>
      </c>
      <c r="L992" t="str">
        <f>IFERROR(IF(INDEX(РАБОТЫ!$W$2:$W$1058,MATCH(971+1,РАБОТЫ!$X$2:$X$1058,0))=1,INDEX(РАБОТЫ!$V$2:$V$1058,MATCH(971+1,РАБОТЫ!$X$2:$X$1058,0)),""),"")</f>
        <v/>
      </c>
      <c r="M992" t="str">
        <f t="shared" si="63"/>
        <v/>
      </c>
    </row>
    <row r="993" spans="1:13" hidden="1" x14ac:dyDescent="0.3">
      <c r="A993" t="str">
        <f>IF(ISNUMBER($K993),INDEX(РАБОТЫ!$U$2:$U$1058,$K993),"")</f>
        <v/>
      </c>
      <c r="B993" t="str">
        <f>IF(ISNUMBER($K993),INDEX(РАБОТЫ!$A$2:$A$1058,$K993),"")</f>
        <v/>
      </c>
      <c r="C993" s="4" t="str">
        <f>IF($L993&lt;&gt;"",INDEX(РАБОТЫ!$Z$2:$Z$1058,MATCH($L993,РАБОТЫ!$V$2:$V$1058,0)),IF(ISNUMBER($K993),INDEX(РАБОТЫ!$Y$2:$Y$1058,$K993),""))</f>
        <v/>
      </c>
      <c r="D993" t="str">
        <f>IF(ISNUMBER($K993),INDEX(РАБОТЫ!$E$2:$E$1058,$K993),"")</f>
        <v/>
      </c>
      <c r="E993" t="str">
        <f>IF(ISNUMBER($K993),INDEX(РАБОТЫ!$M$2:$M$1058,$K993),"")</f>
        <v/>
      </c>
      <c r="F993" s="7" t="str">
        <f>IF(ISNUMBER($K993),INDEX(РАБОТЫ!$S$2:$S$1058,$K993),"")</f>
        <v/>
      </c>
      <c r="G993" s="7" t="str">
        <f>IF(ISNUMBER($K993),INDEX(РАБОТЫ!$T$2:$T$1058,$K993),"")</f>
        <v/>
      </c>
      <c r="H993" s="7" t="str">
        <f t="shared" si="60"/>
        <v/>
      </c>
      <c r="I993" s="7" t="str">
        <f t="shared" si="61"/>
        <v/>
      </c>
      <c r="J993" s="7" t="str">
        <f t="shared" si="62"/>
        <v/>
      </c>
      <c r="K993" t="str">
        <f>IFERROR(MATCH(972,РАБОТЫ!$X$2:$X$1058,0),"")</f>
        <v/>
      </c>
      <c r="L993" t="str">
        <f>IFERROR(IF(INDEX(РАБОТЫ!$W$2:$W$1058,MATCH(972+1,РАБОТЫ!$X$2:$X$1058,0))=1,INDEX(РАБОТЫ!$V$2:$V$1058,MATCH(972+1,РАБОТЫ!$X$2:$X$1058,0)),""),"")</f>
        <v/>
      </c>
      <c r="M993" t="str">
        <f t="shared" si="63"/>
        <v/>
      </c>
    </row>
    <row r="994" spans="1:13" hidden="1" x14ac:dyDescent="0.3">
      <c r="A994" t="str">
        <f>IF(ISNUMBER($K994),INDEX(РАБОТЫ!$U$2:$U$1058,$K994),"")</f>
        <v/>
      </c>
      <c r="B994" t="str">
        <f>IF(ISNUMBER($K994),INDEX(РАБОТЫ!$A$2:$A$1058,$K994),"")</f>
        <v/>
      </c>
      <c r="C994" s="4" t="str">
        <f>IF($L994&lt;&gt;"",INDEX(РАБОТЫ!$Z$2:$Z$1058,MATCH($L994,РАБОТЫ!$V$2:$V$1058,0)),IF(ISNUMBER($K994),INDEX(РАБОТЫ!$Y$2:$Y$1058,$K994),""))</f>
        <v/>
      </c>
      <c r="D994" t="str">
        <f>IF(ISNUMBER($K994),INDEX(РАБОТЫ!$E$2:$E$1058,$K994),"")</f>
        <v/>
      </c>
      <c r="E994" t="str">
        <f>IF(ISNUMBER($K994),INDEX(РАБОТЫ!$M$2:$M$1058,$K994),"")</f>
        <v/>
      </c>
      <c r="F994" s="7" t="str">
        <f>IF(ISNUMBER($K994),INDEX(РАБОТЫ!$S$2:$S$1058,$K994),"")</f>
        <v/>
      </c>
      <c r="G994" s="7" t="str">
        <f>IF(ISNUMBER($K994),INDEX(РАБОТЫ!$T$2:$T$1058,$K994),"")</f>
        <v/>
      </c>
      <c r="H994" s="7" t="str">
        <f t="shared" si="60"/>
        <v/>
      </c>
      <c r="I994" s="7" t="str">
        <f t="shared" si="61"/>
        <v/>
      </c>
      <c r="J994" s="7" t="str">
        <f t="shared" si="62"/>
        <v/>
      </c>
      <c r="K994" t="str">
        <f>IFERROR(MATCH(973,РАБОТЫ!$X$2:$X$1058,0),"")</f>
        <v/>
      </c>
      <c r="L994" t="str">
        <f>IFERROR(IF(INDEX(РАБОТЫ!$W$2:$W$1058,MATCH(973+1,РАБОТЫ!$X$2:$X$1058,0))=1,INDEX(РАБОТЫ!$V$2:$V$1058,MATCH(973+1,РАБОТЫ!$X$2:$X$1058,0)),""),"")</f>
        <v/>
      </c>
      <c r="M994" t="str">
        <f t="shared" si="63"/>
        <v/>
      </c>
    </row>
    <row r="995" spans="1:13" hidden="1" x14ac:dyDescent="0.3">
      <c r="A995" t="str">
        <f>IF(ISNUMBER($K995),INDEX(РАБОТЫ!$U$2:$U$1058,$K995),"")</f>
        <v/>
      </c>
      <c r="B995" t="str">
        <f>IF(ISNUMBER($K995),INDEX(РАБОТЫ!$A$2:$A$1058,$K995),"")</f>
        <v/>
      </c>
      <c r="C995" s="4" t="str">
        <f>IF($L995&lt;&gt;"",INDEX(РАБОТЫ!$Z$2:$Z$1058,MATCH($L995,РАБОТЫ!$V$2:$V$1058,0)),IF(ISNUMBER($K995),INDEX(РАБОТЫ!$Y$2:$Y$1058,$K995),""))</f>
        <v/>
      </c>
      <c r="D995" t="str">
        <f>IF(ISNUMBER($K995),INDEX(РАБОТЫ!$E$2:$E$1058,$K995),"")</f>
        <v/>
      </c>
      <c r="E995" t="str">
        <f>IF(ISNUMBER($K995),INDEX(РАБОТЫ!$M$2:$M$1058,$K995),"")</f>
        <v/>
      </c>
      <c r="F995" s="7" t="str">
        <f>IF(ISNUMBER($K995),INDEX(РАБОТЫ!$S$2:$S$1058,$K995),"")</f>
        <v/>
      </c>
      <c r="G995" s="7" t="str">
        <f>IF(ISNUMBER($K995),INDEX(РАБОТЫ!$T$2:$T$1058,$K995),"")</f>
        <v/>
      </c>
      <c r="H995" s="7" t="str">
        <f t="shared" si="60"/>
        <v/>
      </c>
      <c r="I995" s="7" t="str">
        <f t="shared" si="61"/>
        <v/>
      </c>
      <c r="J995" s="7" t="str">
        <f t="shared" si="62"/>
        <v/>
      </c>
      <c r="K995" t="str">
        <f>IFERROR(MATCH(974,РАБОТЫ!$X$2:$X$1058,0),"")</f>
        <v/>
      </c>
      <c r="L995" t="str">
        <f>IFERROR(IF(INDEX(РАБОТЫ!$W$2:$W$1058,MATCH(974+1,РАБОТЫ!$X$2:$X$1058,0))=1,INDEX(РАБОТЫ!$V$2:$V$1058,MATCH(974+1,РАБОТЫ!$X$2:$X$1058,0)),""),"")</f>
        <v/>
      </c>
      <c r="M995" t="str">
        <f t="shared" si="63"/>
        <v/>
      </c>
    </row>
    <row r="996" spans="1:13" hidden="1" x14ac:dyDescent="0.3">
      <c r="A996" t="str">
        <f>IF(ISNUMBER($K996),INDEX(РАБОТЫ!$U$2:$U$1058,$K996),"")</f>
        <v/>
      </c>
      <c r="B996" t="str">
        <f>IF(ISNUMBER($K996),INDEX(РАБОТЫ!$A$2:$A$1058,$K996),"")</f>
        <v/>
      </c>
      <c r="C996" s="4" t="str">
        <f>IF($L996&lt;&gt;"",INDEX(РАБОТЫ!$Z$2:$Z$1058,MATCH($L996,РАБОТЫ!$V$2:$V$1058,0)),IF(ISNUMBER($K996),INDEX(РАБОТЫ!$Y$2:$Y$1058,$K996),""))</f>
        <v/>
      </c>
      <c r="D996" t="str">
        <f>IF(ISNUMBER($K996),INDEX(РАБОТЫ!$E$2:$E$1058,$K996),"")</f>
        <v/>
      </c>
      <c r="E996" t="str">
        <f>IF(ISNUMBER($K996),INDEX(РАБОТЫ!$M$2:$M$1058,$K996),"")</f>
        <v/>
      </c>
      <c r="F996" s="7" t="str">
        <f>IF(ISNUMBER($K996),INDEX(РАБОТЫ!$S$2:$S$1058,$K996),"")</f>
        <v/>
      </c>
      <c r="G996" s="7" t="str">
        <f>IF(ISNUMBER($K996),INDEX(РАБОТЫ!$T$2:$T$1058,$K996),"")</f>
        <v/>
      </c>
      <c r="H996" s="7" t="str">
        <f t="shared" si="60"/>
        <v/>
      </c>
      <c r="I996" s="7" t="str">
        <f t="shared" si="61"/>
        <v/>
      </c>
      <c r="J996" s="7" t="str">
        <f t="shared" si="62"/>
        <v/>
      </c>
      <c r="K996" t="str">
        <f>IFERROR(MATCH(975,РАБОТЫ!$X$2:$X$1058,0),"")</f>
        <v/>
      </c>
      <c r="L996" t="str">
        <f>IFERROR(IF(INDEX(РАБОТЫ!$W$2:$W$1058,MATCH(975+1,РАБОТЫ!$X$2:$X$1058,0))=1,INDEX(РАБОТЫ!$V$2:$V$1058,MATCH(975+1,РАБОТЫ!$X$2:$X$1058,0)),""),"")</f>
        <v/>
      </c>
      <c r="M996" t="str">
        <f t="shared" si="63"/>
        <v/>
      </c>
    </row>
    <row r="997" spans="1:13" hidden="1" x14ac:dyDescent="0.3">
      <c r="A997" t="str">
        <f>IF(ISNUMBER($K997),INDEX(РАБОТЫ!$U$2:$U$1058,$K997),"")</f>
        <v/>
      </c>
      <c r="B997" t="str">
        <f>IF(ISNUMBER($K997),INDEX(РАБОТЫ!$A$2:$A$1058,$K997),"")</f>
        <v/>
      </c>
      <c r="C997" s="4" t="str">
        <f>IF($L997&lt;&gt;"",INDEX(РАБОТЫ!$Z$2:$Z$1058,MATCH($L997,РАБОТЫ!$V$2:$V$1058,0)),IF(ISNUMBER($K997),INDEX(РАБОТЫ!$Y$2:$Y$1058,$K997),""))</f>
        <v/>
      </c>
      <c r="D997" t="str">
        <f>IF(ISNUMBER($K997),INDEX(РАБОТЫ!$E$2:$E$1058,$K997),"")</f>
        <v/>
      </c>
      <c r="E997" t="str">
        <f>IF(ISNUMBER($K997),INDEX(РАБОТЫ!$M$2:$M$1058,$K997),"")</f>
        <v/>
      </c>
      <c r="F997" s="7" t="str">
        <f>IF(ISNUMBER($K997),INDEX(РАБОТЫ!$S$2:$S$1058,$K997),"")</f>
        <v/>
      </c>
      <c r="G997" s="7" t="str">
        <f>IF(ISNUMBER($K997),INDEX(РАБОТЫ!$T$2:$T$1058,$K997),"")</f>
        <v/>
      </c>
      <c r="H997" s="7" t="str">
        <f t="shared" si="60"/>
        <v/>
      </c>
      <c r="I997" s="7" t="str">
        <f t="shared" si="61"/>
        <v/>
      </c>
      <c r="J997" s="7" t="str">
        <f t="shared" si="62"/>
        <v/>
      </c>
      <c r="K997" t="str">
        <f>IFERROR(MATCH(976,РАБОТЫ!$X$2:$X$1058,0),"")</f>
        <v/>
      </c>
      <c r="L997" t="str">
        <f>IFERROR(IF(INDEX(РАБОТЫ!$W$2:$W$1058,MATCH(976+1,РАБОТЫ!$X$2:$X$1058,0))=1,INDEX(РАБОТЫ!$V$2:$V$1058,MATCH(976+1,РАБОТЫ!$X$2:$X$1058,0)),""),"")</f>
        <v/>
      </c>
      <c r="M997" t="str">
        <f t="shared" si="63"/>
        <v/>
      </c>
    </row>
    <row r="998" spans="1:13" hidden="1" x14ac:dyDescent="0.3">
      <c r="A998" t="str">
        <f>IF(ISNUMBER($K998),INDEX(РАБОТЫ!$U$2:$U$1058,$K998),"")</f>
        <v/>
      </c>
      <c r="B998" t="str">
        <f>IF(ISNUMBER($K998),INDEX(РАБОТЫ!$A$2:$A$1058,$K998),"")</f>
        <v/>
      </c>
      <c r="C998" s="4" t="str">
        <f>IF($L998&lt;&gt;"",INDEX(РАБОТЫ!$Z$2:$Z$1058,MATCH($L998,РАБОТЫ!$V$2:$V$1058,0)),IF(ISNUMBER($K998),INDEX(РАБОТЫ!$Y$2:$Y$1058,$K998),""))</f>
        <v/>
      </c>
      <c r="D998" t="str">
        <f>IF(ISNUMBER($K998),INDEX(РАБОТЫ!$E$2:$E$1058,$K998),"")</f>
        <v/>
      </c>
      <c r="E998" t="str">
        <f>IF(ISNUMBER($K998),INDEX(РАБОТЫ!$M$2:$M$1058,$K998),"")</f>
        <v/>
      </c>
      <c r="F998" s="7" t="str">
        <f>IF(ISNUMBER($K998),INDEX(РАБОТЫ!$S$2:$S$1058,$K998),"")</f>
        <v/>
      </c>
      <c r="G998" s="7" t="str">
        <f>IF(ISNUMBER($K998),INDEX(РАБОТЫ!$T$2:$T$1058,$K998),"")</f>
        <v/>
      </c>
      <c r="H998" s="7" t="str">
        <f t="shared" si="60"/>
        <v/>
      </c>
      <c r="I998" s="7" t="str">
        <f t="shared" si="61"/>
        <v/>
      </c>
      <c r="J998" s="7" t="str">
        <f t="shared" si="62"/>
        <v/>
      </c>
      <c r="K998" t="str">
        <f>IFERROR(MATCH(977,РАБОТЫ!$X$2:$X$1058,0),"")</f>
        <v/>
      </c>
      <c r="L998" t="str">
        <f>IFERROR(IF(INDEX(РАБОТЫ!$W$2:$W$1058,MATCH(977+1,РАБОТЫ!$X$2:$X$1058,0))=1,INDEX(РАБОТЫ!$V$2:$V$1058,MATCH(977+1,РАБОТЫ!$X$2:$X$1058,0)),""),"")</f>
        <v/>
      </c>
      <c r="M998" t="str">
        <f t="shared" si="63"/>
        <v/>
      </c>
    </row>
    <row r="999" spans="1:13" hidden="1" x14ac:dyDescent="0.3">
      <c r="A999" t="str">
        <f>IF(ISNUMBER($K999),INDEX(РАБОТЫ!$U$2:$U$1058,$K999),"")</f>
        <v/>
      </c>
      <c r="B999" t="str">
        <f>IF(ISNUMBER($K999),INDEX(РАБОТЫ!$A$2:$A$1058,$K999),"")</f>
        <v/>
      </c>
      <c r="C999" s="4" t="str">
        <f>IF($L999&lt;&gt;"",INDEX(РАБОТЫ!$Z$2:$Z$1058,MATCH($L999,РАБОТЫ!$V$2:$V$1058,0)),IF(ISNUMBER($K999),INDEX(РАБОТЫ!$Y$2:$Y$1058,$K999),""))</f>
        <v/>
      </c>
      <c r="D999" t="str">
        <f>IF(ISNUMBER($K999),INDEX(РАБОТЫ!$E$2:$E$1058,$K999),"")</f>
        <v/>
      </c>
      <c r="E999" t="str">
        <f>IF(ISNUMBER($K999),INDEX(РАБОТЫ!$M$2:$M$1058,$K999),"")</f>
        <v/>
      </c>
      <c r="F999" s="7" t="str">
        <f>IF(ISNUMBER($K999),INDEX(РАБОТЫ!$S$2:$S$1058,$K999),"")</f>
        <v/>
      </c>
      <c r="G999" s="7" t="str">
        <f>IF(ISNUMBER($K999),INDEX(РАБОТЫ!$T$2:$T$1058,$K999),"")</f>
        <v/>
      </c>
      <c r="H999" s="7" t="str">
        <f t="shared" si="60"/>
        <v/>
      </c>
      <c r="I999" s="7" t="str">
        <f t="shared" si="61"/>
        <v/>
      </c>
      <c r="J999" s="7" t="str">
        <f t="shared" si="62"/>
        <v/>
      </c>
      <c r="K999" t="str">
        <f>IFERROR(MATCH(978,РАБОТЫ!$X$2:$X$1058,0),"")</f>
        <v/>
      </c>
      <c r="L999" t="str">
        <f>IFERROR(IF(INDEX(РАБОТЫ!$W$2:$W$1058,MATCH(978+1,РАБОТЫ!$X$2:$X$1058,0))=1,INDEX(РАБОТЫ!$V$2:$V$1058,MATCH(978+1,РАБОТЫ!$X$2:$X$1058,0)),""),"")</f>
        <v/>
      </c>
      <c r="M999" t="str">
        <f t="shared" si="63"/>
        <v/>
      </c>
    </row>
    <row r="1000" spans="1:13" hidden="1" x14ac:dyDescent="0.3">
      <c r="A1000" t="str">
        <f>IF(ISNUMBER($K1000),INDEX(РАБОТЫ!$U$2:$U$1058,$K1000),"")</f>
        <v/>
      </c>
      <c r="B1000" t="str">
        <f>IF(ISNUMBER($K1000),INDEX(РАБОТЫ!$A$2:$A$1058,$K1000),"")</f>
        <v/>
      </c>
      <c r="C1000" s="4" t="str">
        <f>IF($L1000&lt;&gt;"",INDEX(РАБОТЫ!$Z$2:$Z$1058,MATCH($L1000,РАБОТЫ!$V$2:$V$1058,0)),IF(ISNUMBER($K1000),INDEX(РАБОТЫ!$Y$2:$Y$1058,$K1000),""))</f>
        <v/>
      </c>
      <c r="D1000" t="str">
        <f>IF(ISNUMBER($K1000),INDEX(РАБОТЫ!$E$2:$E$1058,$K1000),"")</f>
        <v/>
      </c>
      <c r="E1000" t="str">
        <f>IF(ISNUMBER($K1000),INDEX(РАБОТЫ!$M$2:$M$1058,$K1000),"")</f>
        <v/>
      </c>
      <c r="F1000" s="7" t="str">
        <f>IF(ISNUMBER($K1000),INDEX(РАБОТЫ!$S$2:$S$1058,$K1000),"")</f>
        <v/>
      </c>
      <c r="G1000" s="7" t="str">
        <f>IF(ISNUMBER($K1000),INDEX(РАБОТЫ!$T$2:$T$1058,$K1000),"")</f>
        <v/>
      </c>
      <c r="H1000" s="7" t="str">
        <f t="shared" si="60"/>
        <v/>
      </c>
      <c r="I1000" s="7" t="str">
        <f t="shared" si="61"/>
        <v/>
      </c>
      <c r="J1000" s="7" t="str">
        <f t="shared" si="62"/>
        <v/>
      </c>
      <c r="K1000" t="str">
        <f>IFERROR(MATCH(979,РАБОТЫ!$X$2:$X$1058,0),"")</f>
        <v/>
      </c>
      <c r="L1000" t="str">
        <f>IFERROR(IF(INDEX(РАБОТЫ!$W$2:$W$1058,MATCH(979+1,РАБОТЫ!$X$2:$X$1058,0))=1,INDEX(РАБОТЫ!$V$2:$V$1058,MATCH(979+1,РАБОТЫ!$X$2:$X$1058,0)),""),"")</f>
        <v/>
      </c>
      <c r="M1000" t="str">
        <f t="shared" si="63"/>
        <v/>
      </c>
    </row>
    <row r="1001" spans="1:13" hidden="1" x14ac:dyDescent="0.3">
      <c r="A1001" t="str">
        <f>IF(ISNUMBER($K1001),INDEX(РАБОТЫ!$U$2:$U$1058,$K1001),"")</f>
        <v/>
      </c>
      <c r="B1001" t="str">
        <f>IF(ISNUMBER($K1001),INDEX(РАБОТЫ!$A$2:$A$1058,$K1001),"")</f>
        <v/>
      </c>
      <c r="C1001" s="4" t="str">
        <f>IF($L1001&lt;&gt;"",INDEX(РАБОТЫ!$Z$2:$Z$1058,MATCH($L1001,РАБОТЫ!$V$2:$V$1058,0)),IF(ISNUMBER($K1001),INDEX(РАБОТЫ!$Y$2:$Y$1058,$K1001),""))</f>
        <v/>
      </c>
      <c r="D1001" t="str">
        <f>IF(ISNUMBER($K1001),INDEX(РАБОТЫ!$E$2:$E$1058,$K1001),"")</f>
        <v/>
      </c>
      <c r="E1001" t="str">
        <f>IF(ISNUMBER($K1001),INDEX(РАБОТЫ!$M$2:$M$1058,$K1001),"")</f>
        <v/>
      </c>
      <c r="F1001" s="7" t="str">
        <f>IF(ISNUMBER($K1001),INDEX(РАБОТЫ!$S$2:$S$1058,$K1001),"")</f>
        <v/>
      </c>
      <c r="G1001" s="7" t="str">
        <f>IF(ISNUMBER($K1001),INDEX(РАБОТЫ!$T$2:$T$1058,$K1001),"")</f>
        <v/>
      </c>
      <c r="H1001" s="7" t="str">
        <f t="shared" si="60"/>
        <v/>
      </c>
      <c r="I1001" s="7" t="str">
        <f t="shared" si="61"/>
        <v/>
      </c>
      <c r="J1001" s="7" t="str">
        <f t="shared" si="62"/>
        <v/>
      </c>
      <c r="K1001" t="str">
        <f>IFERROR(MATCH(980,РАБОТЫ!$X$2:$X$1058,0),"")</f>
        <v/>
      </c>
      <c r="L1001" t="str">
        <f>IFERROR(IF(INDEX(РАБОТЫ!$W$2:$W$1058,MATCH(980+1,РАБОТЫ!$X$2:$X$1058,0))=1,INDEX(РАБОТЫ!$V$2:$V$1058,MATCH(980+1,РАБОТЫ!$X$2:$X$1058,0)),""),"")</f>
        <v/>
      </c>
      <c r="M1001" t="str">
        <f t="shared" si="63"/>
        <v/>
      </c>
    </row>
    <row r="1002" spans="1:13" hidden="1" x14ac:dyDescent="0.3">
      <c r="A1002" t="str">
        <f>IF(ISNUMBER($K1002),INDEX(РАБОТЫ!$U$2:$U$1058,$K1002),"")</f>
        <v/>
      </c>
      <c r="B1002" t="str">
        <f>IF(ISNUMBER($K1002),INDEX(РАБОТЫ!$A$2:$A$1058,$K1002),"")</f>
        <v/>
      </c>
      <c r="C1002" s="4" t="str">
        <f>IF($L1002&lt;&gt;"",INDEX(РАБОТЫ!$Z$2:$Z$1058,MATCH($L1002,РАБОТЫ!$V$2:$V$1058,0)),IF(ISNUMBER($K1002),INDEX(РАБОТЫ!$Y$2:$Y$1058,$K1002),""))</f>
        <v/>
      </c>
      <c r="D1002" t="str">
        <f>IF(ISNUMBER($K1002),INDEX(РАБОТЫ!$E$2:$E$1058,$K1002),"")</f>
        <v/>
      </c>
      <c r="E1002" t="str">
        <f>IF(ISNUMBER($K1002),INDEX(РАБОТЫ!$M$2:$M$1058,$K1002),"")</f>
        <v/>
      </c>
      <c r="F1002" s="7" t="str">
        <f>IF(ISNUMBER($K1002),INDEX(РАБОТЫ!$S$2:$S$1058,$K1002),"")</f>
        <v/>
      </c>
      <c r="G1002" s="7" t="str">
        <f>IF(ISNUMBER($K1002),INDEX(РАБОТЫ!$T$2:$T$1058,$K1002),"")</f>
        <v/>
      </c>
      <c r="H1002" s="7" t="str">
        <f t="shared" si="60"/>
        <v/>
      </c>
      <c r="I1002" s="7" t="str">
        <f t="shared" si="61"/>
        <v/>
      </c>
      <c r="J1002" s="7" t="str">
        <f t="shared" si="62"/>
        <v/>
      </c>
      <c r="K1002" t="str">
        <f>IFERROR(MATCH(981,РАБОТЫ!$X$2:$X$1058,0),"")</f>
        <v/>
      </c>
      <c r="L1002" t="str">
        <f>IFERROR(IF(INDEX(РАБОТЫ!$W$2:$W$1058,MATCH(981+1,РАБОТЫ!$X$2:$X$1058,0))=1,INDEX(РАБОТЫ!$V$2:$V$1058,MATCH(981+1,РАБОТЫ!$X$2:$X$1058,0)),""),"")</f>
        <v/>
      </c>
      <c r="M1002" t="str">
        <f t="shared" si="63"/>
        <v/>
      </c>
    </row>
    <row r="1003" spans="1:13" hidden="1" x14ac:dyDescent="0.3">
      <c r="A1003" t="str">
        <f>IF(ISNUMBER($K1003),INDEX(РАБОТЫ!$U$2:$U$1058,$K1003),"")</f>
        <v/>
      </c>
      <c r="B1003" t="str">
        <f>IF(ISNUMBER($K1003),INDEX(РАБОТЫ!$A$2:$A$1058,$K1003),"")</f>
        <v/>
      </c>
      <c r="C1003" s="4" t="str">
        <f>IF($L1003&lt;&gt;"",INDEX(РАБОТЫ!$Z$2:$Z$1058,MATCH($L1003,РАБОТЫ!$V$2:$V$1058,0)),IF(ISNUMBER($K1003),INDEX(РАБОТЫ!$Y$2:$Y$1058,$K1003),""))</f>
        <v/>
      </c>
      <c r="D1003" t="str">
        <f>IF(ISNUMBER($K1003),INDEX(РАБОТЫ!$E$2:$E$1058,$K1003),"")</f>
        <v/>
      </c>
      <c r="E1003" t="str">
        <f>IF(ISNUMBER($K1003),INDEX(РАБОТЫ!$M$2:$M$1058,$K1003),"")</f>
        <v/>
      </c>
      <c r="F1003" s="7" t="str">
        <f>IF(ISNUMBER($K1003),INDEX(РАБОТЫ!$S$2:$S$1058,$K1003),"")</f>
        <v/>
      </c>
      <c r="G1003" s="7" t="str">
        <f>IF(ISNUMBER($K1003),INDEX(РАБОТЫ!$T$2:$T$1058,$K1003),"")</f>
        <v/>
      </c>
      <c r="H1003" s="7" t="str">
        <f t="shared" si="60"/>
        <v/>
      </c>
      <c r="I1003" s="7" t="str">
        <f t="shared" si="61"/>
        <v/>
      </c>
      <c r="J1003" s="7" t="str">
        <f t="shared" si="62"/>
        <v/>
      </c>
      <c r="K1003" t="str">
        <f>IFERROR(MATCH(982,РАБОТЫ!$X$2:$X$1058,0),"")</f>
        <v/>
      </c>
      <c r="L1003" t="str">
        <f>IFERROR(IF(INDEX(РАБОТЫ!$W$2:$W$1058,MATCH(982+1,РАБОТЫ!$X$2:$X$1058,0))=1,INDEX(РАБОТЫ!$V$2:$V$1058,MATCH(982+1,РАБОТЫ!$X$2:$X$1058,0)),""),"")</f>
        <v/>
      </c>
      <c r="M1003" t="str">
        <f t="shared" si="63"/>
        <v/>
      </c>
    </row>
    <row r="1004" spans="1:13" hidden="1" x14ac:dyDescent="0.3">
      <c r="A1004" t="str">
        <f>IF(ISNUMBER($K1004),INDEX(РАБОТЫ!$U$2:$U$1058,$K1004),"")</f>
        <v/>
      </c>
      <c r="B1004" t="str">
        <f>IF(ISNUMBER($K1004),INDEX(РАБОТЫ!$A$2:$A$1058,$K1004),"")</f>
        <v/>
      </c>
      <c r="C1004" s="4" t="str">
        <f>IF($L1004&lt;&gt;"",INDEX(РАБОТЫ!$Z$2:$Z$1058,MATCH($L1004,РАБОТЫ!$V$2:$V$1058,0)),IF(ISNUMBER($K1004),INDEX(РАБОТЫ!$Y$2:$Y$1058,$K1004),""))</f>
        <v/>
      </c>
      <c r="D1004" t="str">
        <f>IF(ISNUMBER($K1004),INDEX(РАБОТЫ!$E$2:$E$1058,$K1004),"")</f>
        <v/>
      </c>
      <c r="E1004" t="str">
        <f>IF(ISNUMBER($K1004),INDEX(РАБОТЫ!$M$2:$M$1058,$K1004),"")</f>
        <v/>
      </c>
      <c r="F1004" s="7" t="str">
        <f>IF(ISNUMBER($K1004),INDEX(РАБОТЫ!$S$2:$S$1058,$K1004),"")</f>
        <v/>
      </c>
      <c r="G1004" s="7" t="str">
        <f>IF(ISNUMBER($K1004),INDEX(РАБОТЫ!$T$2:$T$1058,$K1004),"")</f>
        <v/>
      </c>
      <c r="H1004" s="7" t="str">
        <f t="shared" si="60"/>
        <v/>
      </c>
      <c r="I1004" s="7" t="str">
        <f t="shared" si="61"/>
        <v/>
      </c>
      <c r="J1004" s="7" t="str">
        <f t="shared" si="62"/>
        <v/>
      </c>
      <c r="K1004" t="str">
        <f>IFERROR(MATCH(983,РАБОТЫ!$X$2:$X$1058,0),"")</f>
        <v/>
      </c>
      <c r="L1004" t="str">
        <f>IFERROR(IF(INDEX(РАБОТЫ!$W$2:$W$1058,MATCH(983+1,РАБОТЫ!$X$2:$X$1058,0))=1,INDEX(РАБОТЫ!$V$2:$V$1058,MATCH(983+1,РАБОТЫ!$X$2:$X$1058,0)),""),"")</f>
        <v/>
      </c>
      <c r="M1004" t="str">
        <f t="shared" si="63"/>
        <v/>
      </c>
    </row>
    <row r="1005" spans="1:13" hidden="1" x14ac:dyDescent="0.3">
      <c r="A1005" t="str">
        <f>IF(ISNUMBER($K1005),INDEX(РАБОТЫ!$U$2:$U$1058,$K1005),"")</f>
        <v/>
      </c>
      <c r="B1005" t="str">
        <f>IF(ISNUMBER($K1005),INDEX(РАБОТЫ!$A$2:$A$1058,$K1005),"")</f>
        <v/>
      </c>
      <c r="C1005" s="4" t="str">
        <f>IF($L1005&lt;&gt;"",INDEX(РАБОТЫ!$Z$2:$Z$1058,MATCH($L1005,РАБОТЫ!$V$2:$V$1058,0)),IF(ISNUMBER($K1005),INDEX(РАБОТЫ!$Y$2:$Y$1058,$K1005),""))</f>
        <v/>
      </c>
      <c r="D1005" t="str">
        <f>IF(ISNUMBER($K1005),INDEX(РАБОТЫ!$E$2:$E$1058,$K1005),"")</f>
        <v/>
      </c>
      <c r="E1005" t="str">
        <f>IF(ISNUMBER($K1005),INDEX(РАБОТЫ!$M$2:$M$1058,$K1005),"")</f>
        <v/>
      </c>
      <c r="F1005" s="7" t="str">
        <f>IF(ISNUMBER($K1005),INDEX(РАБОТЫ!$S$2:$S$1058,$K1005),"")</f>
        <v/>
      </c>
      <c r="G1005" s="7" t="str">
        <f>IF(ISNUMBER($K1005),INDEX(РАБОТЫ!$T$2:$T$1058,$K1005),"")</f>
        <v/>
      </c>
      <c r="H1005" s="7" t="str">
        <f t="shared" si="60"/>
        <v/>
      </c>
      <c r="I1005" s="7" t="str">
        <f t="shared" si="61"/>
        <v/>
      </c>
      <c r="J1005" s="7" t="str">
        <f t="shared" si="62"/>
        <v/>
      </c>
      <c r="K1005" t="str">
        <f>IFERROR(MATCH(984,РАБОТЫ!$X$2:$X$1058,0),"")</f>
        <v/>
      </c>
      <c r="L1005" t="str">
        <f>IFERROR(IF(INDEX(РАБОТЫ!$W$2:$W$1058,MATCH(984+1,РАБОТЫ!$X$2:$X$1058,0))=1,INDEX(РАБОТЫ!$V$2:$V$1058,MATCH(984+1,РАБОТЫ!$X$2:$X$1058,0)),""),"")</f>
        <v/>
      </c>
      <c r="M1005" t="str">
        <f t="shared" si="63"/>
        <v/>
      </c>
    </row>
    <row r="1006" spans="1:13" hidden="1" x14ac:dyDescent="0.3">
      <c r="A1006" t="str">
        <f>IF(ISNUMBER($K1006),INDEX(РАБОТЫ!$U$2:$U$1058,$K1006),"")</f>
        <v/>
      </c>
      <c r="B1006" t="str">
        <f>IF(ISNUMBER($K1006),INDEX(РАБОТЫ!$A$2:$A$1058,$K1006),"")</f>
        <v/>
      </c>
      <c r="C1006" s="4" t="str">
        <f>IF($L1006&lt;&gt;"",INDEX(РАБОТЫ!$Z$2:$Z$1058,MATCH($L1006,РАБОТЫ!$V$2:$V$1058,0)),IF(ISNUMBER($K1006),INDEX(РАБОТЫ!$Y$2:$Y$1058,$K1006),""))</f>
        <v/>
      </c>
      <c r="D1006" t="str">
        <f>IF(ISNUMBER($K1006),INDEX(РАБОТЫ!$E$2:$E$1058,$K1006),"")</f>
        <v/>
      </c>
      <c r="E1006" t="str">
        <f>IF(ISNUMBER($K1006),INDEX(РАБОТЫ!$M$2:$M$1058,$K1006),"")</f>
        <v/>
      </c>
      <c r="F1006" s="7" t="str">
        <f>IF(ISNUMBER($K1006),INDEX(РАБОТЫ!$S$2:$S$1058,$K1006),"")</f>
        <v/>
      </c>
      <c r="G1006" s="7" t="str">
        <f>IF(ISNUMBER($K1006),INDEX(РАБОТЫ!$T$2:$T$1058,$K1006),"")</f>
        <v/>
      </c>
      <c r="H1006" s="7" t="str">
        <f t="shared" si="60"/>
        <v/>
      </c>
      <c r="I1006" s="7" t="str">
        <f t="shared" si="61"/>
        <v/>
      </c>
      <c r="J1006" s="7" t="str">
        <f t="shared" si="62"/>
        <v/>
      </c>
      <c r="K1006" t="str">
        <f>IFERROR(MATCH(985,РАБОТЫ!$X$2:$X$1058,0),"")</f>
        <v/>
      </c>
      <c r="L1006" t="str">
        <f>IFERROR(IF(INDEX(РАБОТЫ!$W$2:$W$1058,MATCH(985+1,РАБОТЫ!$X$2:$X$1058,0))=1,INDEX(РАБОТЫ!$V$2:$V$1058,MATCH(985+1,РАБОТЫ!$X$2:$X$1058,0)),""),"")</f>
        <v/>
      </c>
      <c r="M1006" t="str">
        <f t="shared" si="63"/>
        <v/>
      </c>
    </row>
    <row r="1007" spans="1:13" hidden="1" x14ac:dyDescent="0.3">
      <c r="A1007" t="str">
        <f>IF(ISNUMBER($K1007),INDEX(РАБОТЫ!$U$2:$U$1058,$K1007),"")</f>
        <v/>
      </c>
      <c r="B1007" t="str">
        <f>IF(ISNUMBER($K1007),INDEX(РАБОТЫ!$A$2:$A$1058,$K1007),"")</f>
        <v/>
      </c>
      <c r="C1007" s="4" t="str">
        <f>IF($L1007&lt;&gt;"",INDEX(РАБОТЫ!$Z$2:$Z$1058,MATCH($L1007,РАБОТЫ!$V$2:$V$1058,0)),IF(ISNUMBER($K1007),INDEX(РАБОТЫ!$Y$2:$Y$1058,$K1007),""))</f>
        <v/>
      </c>
      <c r="D1007" t="str">
        <f>IF(ISNUMBER($K1007),INDEX(РАБОТЫ!$E$2:$E$1058,$K1007),"")</f>
        <v/>
      </c>
      <c r="E1007" t="str">
        <f>IF(ISNUMBER($K1007),INDEX(РАБОТЫ!$M$2:$M$1058,$K1007),"")</f>
        <v/>
      </c>
      <c r="F1007" s="7" t="str">
        <f>IF(ISNUMBER($K1007),INDEX(РАБОТЫ!$S$2:$S$1058,$K1007),"")</f>
        <v/>
      </c>
      <c r="G1007" s="7" t="str">
        <f>IF(ISNUMBER($K1007),INDEX(РАБОТЫ!$T$2:$T$1058,$K1007),"")</f>
        <v/>
      </c>
      <c r="H1007" s="7" t="str">
        <f t="shared" si="60"/>
        <v/>
      </c>
      <c r="I1007" s="7" t="str">
        <f t="shared" si="61"/>
        <v/>
      </c>
      <c r="J1007" s="7" t="str">
        <f t="shared" si="62"/>
        <v/>
      </c>
      <c r="K1007" t="str">
        <f>IFERROR(MATCH(986,РАБОТЫ!$X$2:$X$1058,0),"")</f>
        <v/>
      </c>
      <c r="L1007" t="str">
        <f>IFERROR(IF(INDEX(РАБОТЫ!$W$2:$W$1058,MATCH(986+1,РАБОТЫ!$X$2:$X$1058,0))=1,INDEX(РАБОТЫ!$V$2:$V$1058,MATCH(986+1,РАБОТЫ!$X$2:$X$1058,0)),""),"")</f>
        <v/>
      </c>
      <c r="M1007" t="str">
        <f t="shared" si="63"/>
        <v/>
      </c>
    </row>
    <row r="1008" spans="1:13" hidden="1" x14ac:dyDescent="0.3">
      <c r="A1008" t="str">
        <f>IF(ISNUMBER($K1008),INDEX(РАБОТЫ!$U$2:$U$1058,$K1008),"")</f>
        <v/>
      </c>
      <c r="B1008" t="str">
        <f>IF(ISNUMBER($K1008),INDEX(РАБОТЫ!$A$2:$A$1058,$K1008),"")</f>
        <v/>
      </c>
      <c r="C1008" s="4" t="str">
        <f>IF($L1008&lt;&gt;"",INDEX(РАБОТЫ!$Z$2:$Z$1058,MATCH($L1008,РАБОТЫ!$V$2:$V$1058,0)),IF(ISNUMBER($K1008),INDEX(РАБОТЫ!$Y$2:$Y$1058,$K1008),""))</f>
        <v/>
      </c>
      <c r="D1008" t="str">
        <f>IF(ISNUMBER($K1008),INDEX(РАБОТЫ!$E$2:$E$1058,$K1008),"")</f>
        <v/>
      </c>
      <c r="E1008" t="str">
        <f>IF(ISNUMBER($K1008),INDEX(РАБОТЫ!$M$2:$M$1058,$K1008),"")</f>
        <v/>
      </c>
      <c r="F1008" s="7" t="str">
        <f>IF(ISNUMBER($K1008),INDEX(РАБОТЫ!$S$2:$S$1058,$K1008),"")</f>
        <v/>
      </c>
      <c r="G1008" s="7" t="str">
        <f>IF(ISNUMBER($K1008),INDEX(РАБОТЫ!$T$2:$T$1058,$K1008),"")</f>
        <v/>
      </c>
      <c r="H1008" s="7" t="str">
        <f t="shared" si="60"/>
        <v/>
      </c>
      <c r="I1008" s="7" t="str">
        <f t="shared" si="61"/>
        <v/>
      </c>
      <c r="J1008" s="7" t="str">
        <f t="shared" si="62"/>
        <v/>
      </c>
      <c r="K1008" t="str">
        <f>IFERROR(MATCH(987,РАБОТЫ!$X$2:$X$1058,0),"")</f>
        <v/>
      </c>
      <c r="L1008" t="str">
        <f>IFERROR(IF(INDEX(РАБОТЫ!$W$2:$W$1058,MATCH(987+1,РАБОТЫ!$X$2:$X$1058,0))=1,INDEX(РАБОТЫ!$V$2:$V$1058,MATCH(987+1,РАБОТЫ!$X$2:$X$1058,0)),""),"")</f>
        <v/>
      </c>
      <c r="M1008" t="str">
        <f t="shared" si="63"/>
        <v/>
      </c>
    </row>
    <row r="1009" spans="1:13" hidden="1" x14ac:dyDescent="0.3">
      <c r="A1009" t="str">
        <f>IF(ISNUMBER($K1009),INDEX(РАБОТЫ!$U$2:$U$1058,$K1009),"")</f>
        <v/>
      </c>
      <c r="B1009" t="str">
        <f>IF(ISNUMBER($K1009),INDEX(РАБОТЫ!$A$2:$A$1058,$K1009),"")</f>
        <v/>
      </c>
      <c r="C1009" s="4" t="str">
        <f>IF($L1009&lt;&gt;"",INDEX(РАБОТЫ!$Z$2:$Z$1058,MATCH($L1009,РАБОТЫ!$V$2:$V$1058,0)),IF(ISNUMBER($K1009),INDEX(РАБОТЫ!$Y$2:$Y$1058,$K1009),""))</f>
        <v/>
      </c>
      <c r="D1009" t="str">
        <f>IF(ISNUMBER($K1009),INDEX(РАБОТЫ!$E$2:$E$1058,$K1009),"")</f>
        <v/>
      </c>
      <c r="E1009" t="str">
        <f>IF(ISNUMBER($K1009),INDEX(РАБОТЫ!$M$2:$M$1058,$K1009),"")</f>
        <v/>
      </c>
      <c r="F1009" s="7" t="str">
        <f>IF(ISNUMBER($K1009),INDEX(РАБОТЫ!$S$2:$S$1058,$K1009),"")</f>
        <v/>
      </c>
      <c r="G1009" s="7" t="str">
        <f>IF(ISNUMBER($K1009),INDEX(РАБОТЫ!$T$2:$T$1058,$K1009),"")</f>
        <v/>
      </c>
      <c r="H1009" s="7" t="str">
        <f t="shared" si="60"/>
        <v/>
      </c>
      <c r="I1009" s="7" t="str">
        <f t="shared" si="61"/>
        <v/>
      </c>
      <c r="J1009" s="7" t="str">
        <f t="shared" si="62"/>
        <v/>
      </c>
      <c r="K1009" t="str">
        <f>IFERROR(MATCH(988,РАБОТЫ!$X$2:$X$1058,0),"")</f>
        <v/>
      </c>
      <c r="L1009" t="str">
        <f>IFERROR(IF(INDEX(РАБОТЫ!$W$2:$W$1058,MATCH(988+1,РАБОТЫ!$X$2:$X$1058,0))=1,INDEX(РАБОТЫ!$V$2:$V$1058,MATCH(988+1,РАБОТЫ!$X$2:$X$1058,0)),""),"")</f>
        <v/>
      </c>
      <c r="M1009" t="str">
        <f t="shared" si="63"/>
        <v/>
      </c>
    </row>
    <row r="1010" spans="1:13" hidden="1" x14ac:dyDescent="0.3">
      <c r="A1010" t="str">
        <f>IF(ISNUMBER($K1010),INDEX(РАБОТЫ!$U$2:$U$1058,$K1010),"")</f>
        <v/>
      </c>
      <c r="B1010" t="str">
        <f>IF(ISNUMBER($K1010),INDEX(РАБОТЫ!$A$2:$A$1058,$K1010),"")</f>
        <v/>
      </c>
      <c r="C1010" s="4" t="str">
        <f>IF($L1010&lt;&gt;"",INDEX(РАБОТЫ!$Z$2:$Z$1058,MATCH($L1010,РАБОТЫ!$V$2:$V$1058,0)),IF(ISNUMBER($K1010),INDEX(РАБОТЫ!$Y$2:$Y$1058,$K1010),""))</f>
        <v/>
      </c>
      <c r="D1010" t="str">
        <f>IF(ISNUMBER($K1010),INDEX(РАБОТЫ!$E$2:$E$1058,$K1010),"")</f>
        <v/>
      </c>
      <c r="E1010" t="str">
        <f>IF(ISNUMBER($K1010),INDEX(РАБОТЫ!$M$2:$M$1058,$K1010),"")</f>
        <v/>
      </c>
      <c r="F1010" s="7" t="str">
        <f>IF(ISNUMBER($K1010),INDEX(РАБОТЫ!$S$2:$S$1058,$K1010),"")</f>
        <v/>
      </c>
      <c r="G1010" s="7" t="str">
        <f>IF(ISNUMBER($K1010),INDEX(РАБОТЫ!$T$2:$T$1058,$K1010),"")</f>
        <v/>
      </c>
      <c r="H1010" s="7" t="str">
        <f t="shared" si="60"/>
        <v/>
      </c>
      <c r="I1010" s="7" t="str">
        <f t="shared" si="61"/>
        <v/>
      </c>
      <c r="J1010" s="7" t="str">
        <f t="shared" si="62"/>
        <v/>
      </c>
      <c r="K1010" t="str">
        <f>IFERROR(MATCH(989,РАБОТЫ!$X$2:$X$1058,0),"")</f>
        <v/>
      </c>
      <c r="L1010" t="str">
        <f>IFERROR(IF(INDEX(РАБОТЫ!$W$2:$W$1058,MATCH(989+1,РАБОТЫ!$X$2:$X$1058,0))=1,INDEX(РАБОТЫ!$V$2:$V$1058,MATCH(989+1,РАБОТЫ!$X$2:$X$1058,0)),""),"")</f>
        <v/>
      </c>
      <c r="M1010" t="str">
        <f t="shared" si="63"/>
        <v/>
      </c>
    </row>
    <row r="1011" spans="1:13" hidden="1" x14ac:dyDescent="0.3">
      <c r="A1011" t="str">
        <f>IF(ISNUMBER($K1011),INDEX(РАБОТЫ!$U$2:$U$1058,$K1011),"")</f>
        <v/>
      </c>
      <c r="B1011" t="str">
        <f>IF(ISNUMBER($K1011),INDEX(РАБОТЫ!$A$2:$A$1058,$K1011),"")</f>
        <v/>
      </c>
      <c r="C1011" s="4" t="str">
        <f>IF($L1011&lt;&gt;"",INDEX(РАБОТЫ!$Z$2:$Z$1058,MATCH($L1011,РАБОТЫ!$V$2:$V$1058,0)),IF(ISNUMBER($K1011),INDEX(РАБОТЫ!$Y$2:$Y$1058,$K1011),""))</f>
        <v/>
      </c>
      <c r="D1011" t="str">
        <f>IF(ISNUMBER($K1011),INDEX(РАБОТЫ!$E$2:$E$1058,$K1011),"")</f>
        <v/>
      </c>
      <c r="E1011" t="str">
        <f>IF(ISNUMBER($K1011),INDEX(РАБОТЫ!$M$2:$M$1058,$K1011),"")</f>
        <v/>
      </c>
      <c r="F1011" s="7" t="str">
        <f>IF(ISNUMBER($K1011),INDEX(РАБОТЫ!$S$2:$S$1058,$K1011),"")</f>
        <v/>
      </c>
      <c r="G1011" s="7" t="str">
        <f>IF(ISNUMBER($K1011),INDEX(РАБОТЫ!$T$2:$T$1058,$K1011),"")</f>
        <v/>
      </c>
      <c r="H1011" s="7" t="str">
        <f t="shared" si="60"/>
        <v/>
      </c>
      <c r="I1011" s="7" t="str">
        <f t="shared" si="61"/>
        <v/>
      </c>
      <c r="J1011" s="7" t="str">
        <f t="shared" si="62"/>
        <v/>
      </c>
      <c r="K1011" t="str">
        <f>IFERROR(MATCH(990,РАБОТЫ!$X$2:$X$1058,0),"")</f>
        <v/>
      </c>
      <c r="L1011" t="str">
        <f>IFERROR(IF(INDEX(РАБОТЫ!$W$2:$W$1058,MATCH(990+1,РАБОТЫ!$X$2:$X$1058,0))=1,INDEX(РАБОТЫ!$V$2:$V$1058,MATCH(990+1,РАБОТЫ!$X$2:$X$1058,0)),""),"")</f>
        <v/>
      </c>
      <c r="M1011" t="str">
        <f t="shared" si="63"/>
        <v/>
      </c>
    </row>
    <row r="1012" spans="1:13" hidden="1" x14ac:dyDescent="0.3">
      <c r="A1012" t="str">
        <f>IF(ISNUMBER($K1012),INDEX(РАБОТЫ!$U$2:$U$1058,$K1012),"")</f>
        <v/>
      </c>
      <c r="B1012" t="str">
        <f>IF(ISNUMBER($K1012),INDEX(РАБОТЫ!$A$2:$A$1058,$K1012),"")</f>
        <v/>
      </c>
      <c r="C1012" s="4" t="str">
        <f>IF($L1012&lt;&gt;"",INDEX(РАБОТЫ!$Z$2:$Z$1058,MATCH($L1012,РАБОТЫ!$V$2:$V$1058,0)),IF(ISNUMBER($K1012),INDEX(РАБОТЫ!$Y$2:$Y$1058,$K1012),""))</f>
        <v/>
      </c>
      <c r="D1012" t="str">
        <f>IF(ISNUMBER($K1012),INDEX(РАБОТЫ!$E$2:$E$1058,$K1012),"")</f>
        <v/>
      </c>
      <c r="E1012" t="str">
        <f>IF(ISNUMBER($K1012),INDEX(РАБОТЫ!$M$2:$M$1058,$K1012),"")</f>
        <v/>
      </c>
      <c r="F1012" s="7" t="str">
        <f>IF(ISNUMBER($K1012),INDEX(РАБОТЫ!$S$2:$S$1058,$K1012),"")</f>
        <v/>
      </c>
      <c r="G1012" s="7" t="str">
        <f>IF(ISNUMBER($K1012),INDEX(РАБОТЫ!$T$2:$T$1058,$K1012),"")</f>
        <v/>
      </c>
      <c r="H1012" s="7" t="str">
        <f t="shared" si="60"/>
        <v/>
      </c>
      <c r="I1012" s="7" t="str">
        <f t="shared" si="61"/>
        <v/>
      </c>
      <c r="J1012" s="7" t="str">
        <f t="shared" si="62"/>
        <v/>
      </c>
      <c r="K1012" t="str">
        <f>IFERROR(MATCH(991,РАБОТЫ!$X$2:$X$1058,0),"")</f>
        <v/>
      </c>
      <c r="L1012" t="str">
        <f>IFERROR(IF(INDEX(РАБОТЫ!$W$2:$W$1058,MATCH(991+1,РАБОТЫ!$X$2:$X$1058,0))=1,INDEX(РАБОТЫ!$V$2:$V$1058,MATCH(991+1,РАБОТЫ!$X$2:$X$1058,0)),""),"")</f>
        <v/>
      </c>
      <c r="M1012" t="str">
        <f t="shared" si="63"/>
        <v/>
      </c>
    </row>
    <row r="1013" spans="1:13" hidden="1" x14ac:dyDescent="0.3">
      <c r="A1013" t="str">
        <f>IF(ISNUMBER($K1013),INDEX(РАБОТЫ!$U$2:$U$1058,$K1013),"")</f>
        <v/>
      </c>
      <c r="B1013" t="str">
        <f>IF(ISNUMBER($K1013),INDEX(РАБОТЫ!$A$2:$A$1058,$K1013),"")</f>
        <v/>
      </c>
      <c r="C1013" s="4" t="str">
        <f>IF($L1013&lt;&gt;"",INDEX(РАБОТЫ!$Z$2:$Z$1058,MATCH($L1013,РАБОТЫ!$V$2:$V$1058,0)),IF(ISNUMBER($K1013),INDEX(РАБОТЫ!$Y$2:$Y$1058,$K1013),""))</f>
        <v/>
      </c>
      <c r="D1013" t="str">
        <f>IF(ISNUMBER($K1013),INDEX(РАБОТЫ!$E$2:$E$1058,$K1013),"")</f>
        <v/>
      </c>
      <c r="E1013" t="str">
        <f>IF(ISNUMBER($K1013),INDEX(РАБОТЫ!$M$2:$M$1058,$K1013),"")</f>
        <v/>
      </c>
      <c r="F1013" s="7" t="str">
        <f>IF(ISNUMBER($K1013),INDEX(РАБОТЫ!$S$2:$S$1058,$K1013),"")</f>
        <v/>
      </c>
      <c r="G1013" s="7" t="str">
        <f>IF(ISNUMBER($K1013),INDEX(РАБОТЫ!$T$2:$T$1058,$K1013),"")</f>
        <v/>
      </c>
      <c r="H1013" s="7" t="str">
        <f t="shared" si="60"/>
        <v/>
      </c>
      <c r="I1013" s="7" t="str">
        <f t="shared" si="61"/>
        <v/>
      </c>
      <c r="J1013" s="7" t="str">
        <f t="shared" si="62"/>
        <v/>
      </c>
      <c r="K1013" t="str">
        <f>IFERROR(MATCH(992,РАБОТЫ!$X$2:$X$1058,0),"")</f>
        <v/>
      </c>
      <c r="L1013" t="str">
        <f>IFERROR(IF(INDEX(РАБОТЫ!$W$2:$W$1058,MATCH(992+1,РАБОТЫ!$X$2:$X$1058,0))=1,INDEX(РАБОТЫ!$V$2:$V$1058,MATCH(992+1,РАБОТЫ!$X$2:$X$1058,0)),""),"")</f>
        <v/>
      </c>
      <c r="M1013" t="str">
        <f t="shared" si="63"/>
        <v/>
      </c>
    </row>
    <row r="1014" spans="1:13" hidden="1" x14ac:dyDescent="0.3">
      <c r="A1014" t="str">
        <f>IF(ISNUMBER($K1014),INDEX(РАБОТЫ!$U$2:$U$1058,$K1014),"")</f>
        <v/>
      </c>
      <c r="B1014" t="str">
        <f>IF(ISNUMBER($K1014),INDEX(РАБОТЫ!$A$2:$A$1058,$K1014),"")</f>
        <v/>
      </c>
      <c r="C1014" s="4" t="str">
        <f>IF($L1014&lt;&gt;"",INDEX(РАБОТЫ!$Z$2:$Z$1058,MATCH($L1014,РАБОТЫ!$V$2:$V$1058,0)),IF(ISNUMBER($K1014),INDEX(РАБОТЫ!$Y$2:$Y$1058,$K1014),""))</f>
        <v/>
      </c>
      <c r="D1014" t="str">
        <f>IF(ISNUMBER($K1014),INDEX(РАБОТЫ!$E$2:$E$1058,$K1014),"")</f>
        <v/>
      </c>
      <c r="E1014" t="str">
        <f>IF(ISNUMBER($K1014),INDEX(РАБОТЫ!$M$2:$M$1058,$K1014),"")</f>
        <v/>
      </c>
      <c r="F1014" s="7" t="str">
        <f>IF(ISNUMBER($K1014),INDEX(РАБОТЫ!$S$2:$S$1058,$K1014),"")</f>
        <v/>
      </c>
      <c r="G1014" s="7" t="str">
        <f>IF(ISNUMBER($K1014),INDEX(РАБОТЫ!$T$2:$T$1058,$K1014),"")</f>
        <v/>
      </c>
      <c r="H1014" s="7" t="str">
        <f t="shared" si="60"/>
        <v/>
      </c>
      <c r="I1014" s="7" t="str">
        <f t="shared" si="61"/>
        <v/>
      </c>
      <c r="J1014" s="7" t="str">
        <f t="shared" si="62"/>
        <v/>
      </c>
      <c r="K1014" t="str">
        <f>IFERROR(MATCH(993,РАБОТЫ!$X$2:$X$1058,0),"")</f>
        <v/>
      </c>
      <c r="L1014" t="str">
        <f>IFERROR(IF(INDEX(РАБОТЫ!$W$2:$W$1058,MATCH(993+1,РАБОТЫ!$X$2:$X$1058,0))=1,INDEX(РАБОТЫ!$V$2:$V$1058,MATCH(993+1,РАБОТЫ!$X$2:$X$1058,0)),""),"")</f>
        <v/>
      </c>
      <c r="M1014" t="str">
        <f t="shared" si="63"/>
        <v/>
      </c>
    </row>
    <row r="1015" spans="1:13" hidden="1" x14ac:dyDescent="0.3">
      <c r="A1015" t="str">
        <f>IF(ISNUMBER($K1015),INDEX(РАБОТЫ!$U$2:$U$1058,$K1015),"")</f>
        <v/>
      </c>
      <c r="B1015" t="str">
        <f>IF(ISNUMBER($K1015),INDEX(РАБОТЫ!$A$2:$A$1058,$K1015),"")</f>
        <v/>
      </c>
      <c r="C1015" s="4" t="str">
        <f>IF($L1015&lt;&gt;"",INDEX(РАБОТЫ!$Z$2:$Z$1058,MATCH($L1015,РАБОТЫ!$V$2:$V$1058,0)),IF(ISNUMBER($K1015),INDEX(РАБОТЫ!$Y$2:$Y$1058,$K1015),""))</f>
        <v/>
      </c>
      <c r="D1015" t="str">
        <f>IF(ISNUMBER($K1015),INDEX(РАБОТЫ!$E$2:$E$1058,$K1015),"")</f>
        <v/>
      </c>
      <c r="E1015" t="str">
        <f>IF(ISNUMBER($K1015),INDEX(РАБОТЫ!$M$2:$M$1058,$K1015),"")</f>
        <v/>
      </c>
      <c r="F1015" s="7" t="str">
        <f>IF(ISNUMBER($K1015),INDEX(РАБОТЫ!$S$2:$S$1058,$K1015),"")</f>
        <v/>
      </c>
      <c r="G1015" s="7" t="str">
        <f>IF(ISNUMBER($K1015),INDEX(РАБОТЫ!$T$2:$T$1058,$K1015),"")</f>
        <v/>
      </c>
      <c r="H1015" s="7" t="str">
        <f t="shared" si="60"/>
        <v/>
      </c>
      <c r="I1015" s="7" t="str">
        <f t="shared" si="61"/>
        <v/>
      </c>
      <c r="J1015" s="7" t="str">
        <f t="shared" si="62"/>
        <v/>
      </c>
      <c r="K1015" t="str">
        <f>IFERROR(MATCH(994,РАБОТЫ!$X$2:$X$1058,0),"")</f>
        <v/>
      </c>
      <c r="L1015" t="str">
        <f>IFERROR(IF(INDEX(РАБОТЫ!$W$2:$W$1058,MATCH(994+1,РАБОТЫ!$X$2:$X$1058,0))=1,INDEX(РАБОТЫ!$V$2:$V$1058,MATCH(994+1,РАБОТЫ!$X$2:$X$1058,0)),""),"")</f>
        <v/>
      </c>
      <c r="M1015" t="str">
        <f t="shared" si="63"/>
        <v/>
      </c>
    </row>
    <row r="1016" spans="1:13" hidden="1" x14ac:dyDescent="0.3">
      <c r="A1016" t="str">
        <f>IF(ISNUMBER($K1016),INDEX(РАБОТЫ!$U$2:$U$1058,$K1016),"")</f>
        <v/>
      </c>
      <c r="B1016" t="str">
        <f>IF(ISNUMBER($K1016),INDEX(РАБОТЫ!$A$2:$A$1058,$K1016),"")</f>
        <v/>
      </c>
      <c r="C1016" s="4" t="str">
        <f>IF($L1016&lt;&gt;"",INDEX(РАБОТЫ!$Z$2:$Z$1058,MATCH($L1016,РАБОТЫ!$V$2:$V$1058,0)),IF(ISNUMBER($K1016),INDEX(РАБОТЫ!$Y$2:$Y$1058,$K1016),""))</f>
        <v/>
      </c>
      <c r="D1016" t="str">
        <f>IF(ISNUMBER($K1016),INDEX(РАБОТЫ!$E$2:$E$1058,$K1016),"")</f>
        <v/>
      </c>
      <c r="E1016" t="str">
        <f>IF(ISNUMBER($K1016),INDEX(РАБОТЫ!$M$2:$M$1058,$K1016),"")</f>
        <v/>
      </c>
      <c r="F1016" s="7" t="str">
        <f>IF(ISNUMBER($K1016),INDEX(РАБОТЫ!$S$2:$S$1058,$K1016),"")</f>
        <v/>
      </c>
      <c r="G1016" s="7" t="str">
        <f>IF(ISNUMBER($K1016),INDEX(РАБОТЫ!$T$2:$T$1058,$K1016),"")</f>
        <v/>
      </c>
      <c r="H1016" s="7" t="str">
        <f t="shared" si="60"/>
        <v/>
      </c>
      <c r="I1016" s="7" t="str">
        <f t="shared" si="61"/>
        <v/>
      </c>
      <c r="J1016" s="7" t="str">
        <f t="shared" si="62"/>
        <v/>
      </c>
      <c r="K1016" t="str">
        <f>IFERROR(MATCH(995,РАБОТЫ!$X$2:$X$1058,0),"")</f>
        <v/>
      </c>
      <c r="L1016" t="str">
        <f>IFERROR(IF(INDEX(РАБОТЫ!$W$2:$W$1058,MATCH(995+1,РАБОТЫ!$X$2:$X$1058,0))=1,INDEX(РАБОТЫ!$V$2:$V$1058,MATCH(995+1,РАБОТЫ!$X$2:$X$1058,0)),""),"")</f>
        <v/>
      </c>
      <c r="M1016" t="str">
        <f t="shared" si="63"/>
        <v/>
      </c>
    </row>
    <row r="1017" spans="1:13" hidden="1" x14ac:dyDescent="0.3">
      <c r="A1017" t="str">
        <f>IF(ISNUMBER($K1017),INDEX(РАБОТЫ!$U$2:$U$1058,$K1017),"")</f>
        <v/>
      </c>
      <c r="B1017" t="str">
        <f>IF(ISNUMBER($K1017),INDEX(РАБОТЫ!$A$2:$A$1058,$K1017),"")</f>
        <v/>
      </c>
      <c r="C1017" s="4" t="str">
        <f>IF($L1017&lt;&gt;"",INDEX(РАБОТЫ!$Z$2:$Z$1058,MATCH($L1017,РАБОТЫ!$V$2:$V$1058,0)),IF(ISNUMBER($K1017),INDEX(РАБОТЫ!$Y$2:$Y$1058,$K1017),""))</f>
        <v/>
      </c>
      <c r="D1017" t="str">
        <f>IF(ISNUMBER($K1017),INDEX(РАБОТЫ!$E$2:$E$1058,$K1017),"")</f>
        <v/>
      </c>
      <c r="E1017" t="str">
        <f>IF(ISNUMBER($K1017),INDEX(РАБОТЫ!$M$2:$M$1058,$K1017),"")</f>
        <v/>
      </c>
      <c r="F1017" s="7" t="str">
        <f>IF(ISNUMBER($K1017),INDEX(РАБОТЫ!$S$2:$S$1058,$K1017),"")</f>
        <v/>
      </c>
      <c r="G1017" s="7" t="str">
        <f>IF(ISNUMBER($K1017),INDEX(РАБОТЫ!$T$2:$T$1058,$K1017),"")</f>
        <v/>
      </c>
      <c r="H1017" s="7" t="str">
        <f t="shared" si="60"/>
        <v/>
      </c>
      <c r="I1017" s="7" t="str">
        <f t="shared" si="61"/>
        <v/>
      </c>
      <c r="J1017" s="7" t="str">
        <f t="shared" si="62"/>
        <v/>
      </c>
      <c r="K1017" t="str">
        <f>IFERROR(MATCH(996,РАБОТЫ!$X$2:$X$1058,0),"")</f>
        <v/>
      </c>
      <c r="L1017" t="str">
        <f>IFERROR(IF(INDEX(РАБОТЫ!$W$2:$W$1058,MATCH(996+1,РАБОТЫ!$X$2:$X$1058,0))=1,INDEX(РАБОТЫ!$V$2:$V$1058,MATCH(996+1,РАБОТЫ!$X$2:$X$1058,0)),""),"")</f>
        <v/>
      </c>
      <c r="M1017" t="str">
        <f t="shared" si="63"/>
        <v/>
      </c>
    </row>
    <row r="1018" spans="1:13" hidden="1" x14ac:dyDescent="0.3">
      <c r="A1018" t="str">
        <f>IF(ISNUMBER($K1018),INDEX(РАБОТЫ!$U$2:$U$1058,$K1018),"")</f>
        <v/>
      </c>
      <c r="B1018" t="str">
        <f>IF(ISNUMBER($K1018),INDEX(РАБОТЫ!$A$2:$A$1058,$K1018),"")</f>
        <v/>
      </c>
      <c r="C1018" s="4" t="str">
        <f>IF($L1018&lt;&gt;"",INDEX(РАБОТЫ!$Z$2:$Z$1058,MATCH($L1018,РАБОТЫ!$V$2:$V$1058,0)),IF(ISNUMBER($K1018),INDEX(РАБОТЫ!$Y$2:$Y$1058,$K1018),""))</f>
        <v/>
      </c>
      <c r="D1018" t="str">
        <f>IF(ISNUMBER($K1018),INDEX(РАБОТЫ!$E$2:$E$1058,$K1018),"")</f>
        <v/>
      </c>
      <c r="E1018" t="str">
        <f>IF(ISNUMBER($K1018),INDEX(РАБОТЫ!$M$2:$M$1058,$K1018),"")</f>
        <v/>
      </c>
      <c r="F1018" s="7" t="str">
        <f>IF(ISNUMBER($K1018),INDEX(РАБОТЫ!$S$2:$S$1058,$K1018),"")</f>
        <v/>
      </c>
      <c r="G1018" s="7" t="str">
        <f>IF(ISNUMBER($K1018),INDEX(РАБОТЫ!$T$2:$T$1058,$K1018),"")</f>
        <v/>
      </c>
      <c r="H1018" s="7" t="str">
        <f t="shared" si="60"/>
        <v/>
      </c>
      <c r="I1018" s="7" t="str">
        <f t="shared" si="61"/>
        <v/>
      </c>
      <c r="J1018" s="7" t="str">
        <f t="shared" si="62"/>
        <v/>
      </c>
      <c r="K1018" t="str">
        <f>IFERROR(MATCH(997,РАБОТЫ!$X$2:$X$1058,0),"")</f>
        <v/>
      </c>
      <c r="L1018" t="str">
        <f>IFERROR(IF(INDEX(РАБОТЫ!$W$2:$W$1058,MATCH(997+1,РАБОТЫ!$X$2:$X$1058,0))=1,INDEX(РАБОТЫ!$V$2:$V$1058,MATCH(997+1,РАБОТЫ!$X$2:$X$1058,0)),""),"")</f>
        <v/>
      </c>
      <c r="M1018" t="str">
        <f t="shared" si="63"/>
        <v/>
      </c>
    </row>
    <row r="1019" spans="1:13" hidden="1" x14ac:dyDescent="0.3">
      <c r="A1019" t="str">
        <f>IF(ISNUMBER($K1019),INDEX(РАБОТЫ!$U$2:$U$1058,$K1019),"")</f>
        <v/>
      </c>
      <c r="B1019" t="str">
        <f>IF(ISNUMBER($K1019),INDEX(РАБОТЫ!$A$2:$A$1058,$K1019),"")</f>
        <v/>
      </c>
      <c r="C1019" s="4" t="str">
        <f>IF($L1019&lt;&gt;"",INDEX(РАБОТЫ!$Z$2:$Z$1058,MATCH($L1019,РАБОТЫ!$V$2:$V$1058,0)),IF(ISNUMBER($K1019),INDEX(РАБОТЫ!$Y$2:$Y$1058,$K1019),""))</f>
        <v/>
      </c>
      <c r="D1019" t="str">
        <f>IF(ISNUMBER($K1019),INDEX(РАБОТЫ!$E$2:$E$1058,$K1019),"")</f>
        <v/>
      </c>
      <c r="E1019" t="str">
        <f>IF(ISNUMBER($K1019),INDEX(РАБОТЫ!$M$2:$M$1058,$K1019),"")</f>
        <v/>
      </c>
      <c r="F1019" s="7" t="str">
        <f>IF(ISNUMBER($K1019),INDEX(РАБОТЫ!$S$2:$S$1058,$K1019),"")</f>
        <v/>
      </c>
      <c r="G1019" s="7" t="str">
        <f>IF(ISNUMBER($K1019),INDEX(РАБОТЫ!$T$2:$T$1058,$K1019),"")</f>
        <v/>
      </c>
      <c r="H1019" s="7" t="str">
        <f t="shared" si="60"/>
        <v/>
      </c>
      <c r="I1019" s="7" t="str">
        <f t="shared" si="61"/>
        <v/>
      </c>
      <c r="J1019" s="7" t="str">
        <f t="shared" si="62"/>
        <v/>
      </c>
      <c r="K1019" t="str">
        <f>IFERROR(MATCH(998,РАБОТЫ!$X$2:$X$1058,0),"")</f>
        <v/>
      </c>
      <c r="L1019" t="str">
        <f>IFERROR(IF(INDEX(РАБОТЫ!$W$2:$W$1058,MATCH(998+1,РАБОТЫ!$X$2:$X$1058,0))=1,INDEX(РАБОТЫ!$V$2:$V$1058,MATCH(998+1,РАБОТЫ!$X$2:$X$1058,0)),""),"")</f>
        <v/>
      </c>
      <c r="M1019" t="str">
        <f t="shared" si="63"/>
        <v/>
      </c>
    </row>
    <row r="1020" spans="1:13" hidden="1" x14ac:dyDescent="0.3">
      <c r="A1020" t="str">
        <f>IF(ISNUMBER($K1020),INDEX(РАБОТЫ!$U$2:$U$1058,$K1020),"")</f>
        <v/>
      </c>
      <c r="B1020" t="str">
        <f>IF(ISNUMBER($K1020),INDEX(РАБОТЫ!$A$2:$A$1058,$K1020),"")</f>
        <v/>
      </c>
      <c r="C1020" s="4" t="str">
        <f>IF($L1020&lt;&gt;"",INDEX(РАБОТЫ!$Z$2:$Z$1058,MATCH($L1020,РАБОТЫ!$V$2:$V$1058,0)),IF(ISNUMBER($K1020),INDEX(РАБОТЫ!$Y$2:$Y$1058,$K1020),""))</f>
        <v/>
      </c>
      <c r="D1020" t="str">
        <f>IF(ISNUMBER($K1020),INDEX(РАБОТЫ!$E$2:$E$1058,$K1020),"")</f>
        <v/>
      </c>
      <c r="E1020" t="str">
        <f>IF(ISNUMBER($K1020),INDEX(РАБОТЫ!$M$2:$M$1058,$K1020),"")</f>
        <v/>
      </c>
      <c r="F1020" s="7" t="str">
        <f>IF(ISNUMBER($K1020),INDEX(РАБОТЫ!$S$2:$S$1058,$K1020),"")</f>
        <v/>
      </c>
      <c r="G1020" s="7" t="str">
        <f>IF(ISNUMBER($K1020),INDEX(РАБОТЫ!$T$2:$T$1058,$K1020),"")</f>
        <v/>
      </c>
      <c r="H1020" s="7" t="str">
        <f t="shared" si="60"/>
        <v/>
      </c>
      <c r="I1020" s="7" t="str">
        <f t="shared" si="61"/>
        <v/>
      </c>
      <c r="J1020" s="7" t="str">
        <f t="shared" si="62"/>
        <v/>
      </c>
      <c r="K1020" t="str">
        <f>IFERROR(MATCH(999,РАБОТЫ!$X$2:$X$1058,0),"")</f>
        <v/>
      </c>
      <c r="L1020" t="str">
        <f>IFERROR(IF(INDEX(РАБОТЫ!$W$2:$W$1058,MATCH(999+1,РАБОТЫ!$X$2:$X$1058,0))=1,INDEX(РАБОТЫ!$V$2:$V$1058,MATCH(999+1,РАБОТЫ!$X$2:$X$1058,0)),""),"")</f>
        <v/>
      </c>
      <c r="M1020" t="str">
        <f t="shared" si="63"/>
        <v/>
      </c>
    </row>
    <row r="1021" spans="1:13" hidden="1" x14ac:dyDescent="0.3">
      <c r="A1021" t="str">
        <f>IF(ISNUMBER($K1021),INDEX(РАБОТЫ!$U$2:$U$1058,$K1021),"")</f>
        <v/>
      </c>
      <c r="B1021" t="str">
        <f>IF(ISNUMBER($K1021),INDEX(РАБОТЫ!$A$2:$A$1058,$K1021),"")</f>
        <v/>
      </c>
      <c r="C1021" s="4" t="str">
        <f>IF($L1021&lt;&gt;"",INDEX(РАБОТЫ!$Z$2:$Z$1058,MATCH($L1021,РАБОТЫ!$V$2:$V$1058,0)),IF(ISNUMBER($K1021),INDEX(РАБОТЫ!$Y$2:$Y$1058,$K1021),""))</f>
        <v/>
      </c>
      <c r="D1021" t="str">
        <f>IF(ISNUMBER($K1021),INDEX(РАБОТЫ!$E$2:$E$1058,$K1021),"")</f>
        <v/>
      </c>
      <c r="E1021" t="str">
        <f>IF(ISNUMBER($K1021),INDEX(РАБОТЫ!$M$2:$M$1058,$K1021),"")</f>
        <v/>
      </c>
      <c r="F1021" s="7" t="str">
        <f>IF(ISNUMBER($K1021),INDEX(РАБОТЫ!$S$2:$S$1058,$K1021),"")</f>
        <v/>
      </c>
      <c r="G1021" s="7" t="str">
        <f>IF(ISNUMBER($K1021),INDEX(РАБОТЫ!$T$2:$T$1058,$K1021),"")</f>
        <v/>
      </c>
      <c r="H1021" s="7" t="str">
        <f t="shared" si="60"/>
        <v/>
      </c>
      <c r="I1021" s="7" t="str">
        <f t="shared" si="61"/>
        <v/>
      </c>
      <c r="J1021" s="7" t="str">
        <f t="shared" si="62"/>
        <v/>
      </c>
      <c r="K1021" t="str">
        <f>IFERROR(MATCH(1000,РАБОТЫ!$X$2:$X$1058,0),"")</f>
        <v/>
      </c>
      <c r="L1021" t="str">
        <f>IFERROR(IF(INDEX(РАБОТЫ!$W$2:$W$1058,MATCH(1000+1,РАБОТЫ!$X$2:$X$1058,0))=1,INDEX(РАБОТЫ!$V$2:$V$1058,MATCH(1000+1,РАБОТЫ!$X$2:$X$1058,0)),""),"")</f>
        <v/>
      </c>
      <c r="M1021" t="str">
        <f t="shared" si="63"/>
        <v/>
      </c>
    </row>
    <row r="1022" spans="1:13" hidden="1" x14ac:dyDescent="0.3">
      <c r="A1022" t="str">
        <f>IF(ISNUMBER($K1022),INDEX(РАБОТЫ!$U$2:$U$1058,$K1022),"")</f>
        <v/>
      </c>
      <c r="B1022" t="str">
        <f>IF(ISNUMBER($K1022),INDEX(РАБОТЫ!$A$2:$A$1058,$K1022),"")</f>
        <v/>
      </c>
      <c r="C1022" s="4" t="str">
        <f>IF($L1022&lt;&gt;"",INDEX(РАБОТЫ!$Z$2:$Z$1058,MATCH($L1022,РАБОТЫ!$V$2:$V$1058,0)),IF(ISNUMBER($K1022),INDEX(РАБОТЫ!$Y$2:$Y$1058,$K1022),""))</f>
        <v/>
      </c>
      <c r="D1022" t="str">
        <f>IF(ISNUMBER($K1022),INDEX(РАБОТЫ!$E$2:$E$1058,$K1022),"")</f>
        <v/>
      </c>
      <c r="E1022" t="str">
        <f>IF(ISNUMBER($K1022),INDEX(РАБОТЫ!$M$2:$M$1058,$K1022),"")</f>
        <v/>
      </c>
      <c r="F1022" s="7" t="str">
        <f>IF(ISNUMBER($K1022),INDEX(РАБОТЫ!$S$2:$S$1058,$K1022),"")</f>
        <v/>
      </c>
      <c r="G1022" s="7" t="str">
        <f>IF(ISNUMBER($K1022),INDEX(РАБОТЫ!$T$2:$T$1058,$K1022),"")</f>
        <v/>
      </c>
      <c r="H1022" s="7" t="str">
        <f t="shared" si="60"/>
        <v/>
      </c>
      <c r="I1022" s="7" t="str">
        <f t="shared" si="61"/>
        <v/>
      </c>
      <c r="J1022" s="7" t="str">
        <f t="shared" si="62"/>
        <v/>
      </c>
      <c r="K1022" t="str">
        <f>IFERROR(MATCH(1001,РАБОТЫ!$X$2:$X$1058,0),"")</f>
        <v/>
      </c>
      <c r="L1022" t="str">
        <f>IFERROR(IF(INDEX(РАБОТЫ!$W$2:$W$1058,MATCH(1001+1,РАБОТЫ!$X$2:$X$1058,0))=1,INDEX(РАБОТЫ!$V$2:$V$1058,MATCH(1001+1,РАБОТЫ!$X$2:$X$1058,0)),""),"")</f>
        <v/>
      </c>
      <c r="M1022" t="str">
        <f t="shared" si="63"/>
        <v/>
      </c>
    </row>
    <row r="1023" spans="1:13" hidden="1" x14ac:dyDescent="0.3">
      <c r="A1023" t="str">
        <f>IF(ISNUMBER($K1023),INDEX(РАБОТЫ!$U$2:$U$1058,$K1023),"")</f>
        <v/>
      </c>
      <c r="B1023" t="str">
        <f>IF(ISNUMBER($K1023),INDEX(РАБОТЫ!$A$2:$A$1058,$K1023),"")</f>
        <v/>
      </c>
      <c r="C1023" s="4" t="str">
        <f>IF($L1023&lt;&gt;"",INDEX(РАБОТЫ!$Z$2:$Z$1058,MATCH($L1023,РАБОТЫ!$V$2:$V$1058,0)),IF(ISNUMBER($K1023),INDEX(РАБОТЫ!$Y$2:$Y$1058,$K1023),""))</f>
        <v/>
      </c>
      <c r="D1023" t="str">
        <f>IF(ISNUMBER($K1023),INDEX(РАБОТЫ!$E$2:$E$1058,$K1023),"")</f>
        <v/>
      </c>
      <c r="E1023" t="str">
        <f>IF(ISNUMBER($K1023),INDEX(РАБОТЫ!$M$2:$M$1058,$K1023),"")</f>
        <v/>
      </c>
      <c r="F1023" s="7" t="str">
        <f>IF(ISNUMBER($K1023),INDEX(РАБОТЫ!$S$2:$S$1058,$K1023),"")</f>
        <v/>
      </c>
      <c r="G1023" s="7" t="str">
        <f>IF(ISNUMBER($K1023),INDEX(РАБОТЫ!$T$2:$T$1058,$K1023),"")</f>
        <v/>
      </c>
      <c r="H1023" s="7" t="str">
        <f t="shared" si="60"/>
        <v/>
      </c>
      <c r="I1023" s="7" t="str">
        <f t="shared" si="61"/>
        <v/>
      </c>
      <c r="J1023" s="7" t="str">
        <f t="shared" si="62"/>
        <v/>
      </c>
      <c r="K1023" t="str">
        <f>IFERROR(MATCH(1002,РАБОТЫ!$X$2:$X$1058,0),"")</f>
        <v/>
      </c>
      <c r="L1023" t="str">
        <f>IFERROR(IF(INDEX(РАБОТЫ!$W$2:$W$1058,MATCH(1002+1,РАБОТЫ!$X$2:$X$1058,0))=1,INDEX(РАБОТЫ!$V$2:$V$1058,MATCH(1002+1,РАБОТЫ!$X$2:$X$1058,0)),""),"")</f>
        <v/>
      </c>
      <c r="M1023" t="str">
        <f t="shared" si="63"/>
        <v/>
      </c>
    </row>
    <row r="1024" spans="1:13" hidden="1" x14ac:dyDescent="0.3">
      <c r="A1024" t="str">
        <f>IF(ISNUMBER($K1024),INDEX(РАБОТЫ!$U$2:$U$1058,$K1024),"")</f>
        <v/>
      </c>
      <c r="B1024" t="str">
        <f>IF(ISNUMBER($K1024),INDEX(РАБОТЫ!$A$2:$A$1058,$K1024),"")</f>
        <v/>
      </c>
      <c r="C1024" s="4" t="str">
        <f>IF($L1024&lt;&gt;"",INDEX(РАБОТЫ!$Z$2:$Z$1058,MATCH($L1024,РАБОТЫ!$V$2:$V$1058,0)),IF(ISNUMBER($K1024),INDEX(РАБОТЫ!$Y$2:$Y$1058,$K1024),""))</f>
        <v/>
      </c>
      <c r="D1024" t="str">
        <f>IF(ISNUMBER($K1024),INDEX(РАБОТЫ!$E$2:$E$1058,$K1024),"")</f>
        <v/>
      </c>
      <c r="E1024" t="str">
        <f>IF(ISNUMBER($K1024),INDEX(РАБОТЫ!$M$2:$M$1058,$K1024),"")</f>
        <v/>
      </c>
      <c r="F1024" s="7" t="str">
        <f>IF(ISNUMBER($K1024),INDEX(РАБОТЫ!$S$2:$S$1058,$K1024),"")</f>
        <v/>
      </c>
      <c r="G1024" s="7" t="str">
        <f>IF(ISNUMBER($K1024),INDEX(РАБОТЫ!$T$2:$T$1058,$K1024),"")</f>
        <v/>
      </c>
      <c r="H1024" s="7" t="str">
        <f t="shared" si="60"/>
        <v/>
      </c>
      <c r="I1024" s="7" t="str">
        <f t="shared" si="61"/>
        <v/>
      </c>
      <c r="J1024" s="7" t="str">
        <f t="shared" si="62"/>
        <v/>
      </c>
      <c r="K1024" t="str">
        <f>IFERROR(MATCH(1003,РАБОТЫ!$X$2:$X$1058,0),"")</f>
        <v/>
      </c>
      <c r="L1024" t="str">
        <f>IFERROR(IF(INDEX(РАБОТЫ!$W$2:$W$1058,MATCH(1003+1,РАБОТЫ!$X$2:$X$1058,0))=1,INDEX(РАБОТЫ!$V$2:$V$1058,MATCH(1003+1,РАБОТЫ!$X$2:$X$1058,0)),""),"")</f>
        <v/>
      </c>
      <c r="M1024" t="str">
        <f t="shared" si="63"/>
        <v/>
      </c>
    </row>
    <row r="1025" spans="1:13" hidden="1" x14ac:dyDescent="0.3">
      <c r="A1025" t="str">
        <f>IF(ISNUMBER($K1025),INDEX(РАБОТЫ!$U$2:$U$1058,$K1025),"")</f>
        <v/>
      </c>
      <c r="B1025" t="str">
        <f>IF(ISNUMBER($K1025),INDEX(РАБОТЫ!$A$2:$A$1058,$K1025),"")</f>
        <v/>
      </c>
      <c r="C1025" s="4" t="str">
        <f>IF($L1025&lt;&gt;"",INDEX(РАБОТЫ!$Z$2:$Z$1058,MATCH($L1025,РАБОТЫ!$V$2:$V$1058,0)),IF(ISNUMBER($K1025),INDEX(РАБОТЫ!$Y$2:$Y$1058,$K1025),""))</f>
        <v/>
      </c>
      <c r="D1025" t="str">
        <f>IF(ISNUMBER($K1025),INDEX(РАБОТЫ!$E$2:$E$1058,$K1025),"")</f>
        <v/>
      </c>
      <c r="E1025" t="str">
        <f>IF(ISNUMBER($K1025),INDEX(РАБОТЫ!$M$2:$M$1058,$K1025),"")</f>
        <v/>
      </c>
      <c r="F1025" s="7" t="str">
        <f>IF(ISNUMBER($K1025),INDEX(РАБОТЫ!$S$2:$S$1058,$K1025),"")</f>
        <v/>
      </c>
      <c r="G1025" s="7" t="str">
        <f>IF(ISNUMBER($K1025),INDEX(РАБОТЫ!$T$2:$T$1058,$K1025),"")</f>
        <v/>
      </c>
      <c r="H1025" s="7" t="str">
        <f t="shared" si="60"/>
        <v/>
      </c>
      <c r="I1025" s="7" t="str">
        <f t="shared" si="61"/>
        <v/>
      </c>
      <c r="J1025" s="7" t="str">
        <f t="shared" si="62"/>
        <v/>
      </c>
      <c r="K1025" t="str">
        <f>IFERROR(MATCH(1004,РАБОТЫ!$X$2:$X$1058,0),"")</f>
        <v/>
      </c>
      <c r="L1025" t="str">
        <f>IFERROR(IF(INDEX(РАБОТЫ!$W$2:$W$1058,MATCH(1004+1,РАБОТЫ!$X$2:$X$1058,0))=1,INDEX(РАБОТЫ!$V$2:$V$1058,MATCH(1004+1,РАБОТЫ!$X$2:$X$1058,0)),""),"")</f>
        <v/>
      </c>
      <c r="M1025" t="str">
        <f t="shared" si="63"/>
        <v/>
      </c>
    </row>
    <row r="1026" spans="1:13" hidden="1" x14ac:dyDescent="0.3">
      <c r="A1026" t="str">
        <f>IF(ISNUMBER($K1026),INDEX(РАБОТЫ!$U$2:$U$1058,$K1026),"")</f>
        <v/>
      </c>
      <c r="B1026" t="str">
        <f>IF(ISNUMBER($K1026),INDEX(РАБОТЫ!$A$2:$A$1058,$K1026),"")</f>
        <v/>
      </c>
      <c r="C1026" s="4" t="str">
        <f>IF($L1026&lt;&gt;"",INDEX(РАБОТЫ!$Z$2:$Z$1058,MATCH($L1026,РАБОТЫ!$V$2:$V$1058,0)),IF(ISNUMBER($K1026),INDEX(РАБОТЫ!$Y$2:$Y$1058,$K1026),""))</f>
        <v/>
      </c>
      <c r="D1026" t="str">
        <f>IF(ISNUMBER($K1026),INDEX(РАБОТЫ!$E$2:$E$1058,$K1026),"")</f>
        <v/>
      </c>
      <c r="E1026" t="str">
        <f>IF(ISNUMBER($K1026),INDEX(РАБОТЫ!$M$2:$M$1058,$K1026),"")</f>
        <v/>
      </c>
      <c r="F1026" s="7" t="str">
        <f>IF(ISNUMBER($K1026),INDEX(РАБОТЫ!$S$2:$S$1058,$K1026),"")</f>
        <v/>
      </c>
      <c r="G1026" s="7" t="str">
        <f>IF(ISNUMBER($K1026),INDEX(РАБОТЫ!$T$2:$T$1058,$K1026),"")</f>
        <v/>
      </c>
      <c r="H1026" s="7" t="str">
        <f t="shared" si="60"/>
        <v/>
      </c>
      <c r="I1026" s="7" t="str">
        <f t="shared" si="61"/>
        <v/>
      </c>
      <c r="J1026" s="7" t="str">
        <f t="shared" si="62"/>
        <v/>
      </c>
      <c r="K1026" t="str">
        <f>IFERROR(MATCH(1005,РАБОТЫ!$X$2:$X$1058,0),"")</f>
        <v/>
      </c>
      <c r="L1026" t="str">
        <f>IFERROR(IF(INDEX(РАБОТЫ!$W$2:$W$1058,MATCH(1005+1,РАБОТЫ!$X$2:$X$1058,0))=1,INDEX(РАБОТЫ!$V$2:$V$1058,MATCH(1005+1,РАБОТЫ!$X$2:$X$1058,0)),""),"")</f>
        <v/>
      </c>
      <c r="M1026" t="str">
        <f t="shared" si="63"/>
        <v/>
      </c>
    </row>
    <row r="1027" spans="1:13" hidden="1" x14ac:dyDescent="0.3">
      <c r="A1027" t="str">
        <f>IF(ISNUMBER($K1027),INDEX(РАБОТЫ!$U$2:$U$1058,$K1027),"")</f>
        <v/>
      </c>
      <c r="B1027" t="str">
        <f>IF(ISNUMBER($K1027),INDEX(РАБОТЫ!$A$2:$A$1058,$K1027),"")</f>
        <v/>
      </c>
      <c r="C1027" s="4" t="str">
        <f>IF($L1027&lt;&gt;"",INDEX(РАБОТЫ!$Z$2:$Z$1058,MATCH($L1027,РАБОТЫ!$V$2:$V$1058,0)),IF(ISNUMBER($K1027),INDEX(РАБОТЫ!$Y$2:$Y$1058,$K1027),""))</f>
        <v/>
      </c>
      <c r="D1027" t="str">
        <f>IF(ISNUMBER($K1027),INDEX(РАБОТЫ!$E$2:$E$1058,$K1027),"")</f>
        <v/>
      </c>
      <c r="E1027" t="str">
        <f>IF(ISNUMBER($K1027),INDEX(РАБОТЫ!$M$2:$M$1058,$K1027),"")</f>
        <v/>
      </c>
      <c r="F1027" s="7" t="str">
        <f>IF(ISNUMBER($K1027),INDEX(РАБОТЫ!$S$2:$S$1058,$K1027),"")</f>
        <v/>
      </c>
      <c r="G1027" s="7" t="str">
        <f>IF(ISNUMBER($K1027),INDEX(РАБОТЫ!$T$2:$T$1058,$K1027),"")</f>
        <v/>
      </c>
      <c r="H1027" s="7" t="str">
        <f t="shared" si="60"/>
        <v/>
      </c>
      <c r="I1027" s="7" t="str">
        <f t="shared" si="61"/>
        <v/>
      </c>
      <c r="J1027" s="7" t="str">
        <f t="shared" si="62"/>
        <v/>
      </c>
      <c r="K1027" t="str">
        <f>IFERROR(MATCH(1006,РАБОТЫ!$X$2:$X$1058,0),"")</f>
        <v/>
      </c>
      <c r="L1027" t="str">
        <f>IFERROR(IF(INDEX(РАБОТЫ!$W$2:$W$1058,MATCH(1006+1,РАБОТЫ!$X$2:$X$1058,0))=1,INDEX(РАБОТЫ!$V$2:$V$1058,MATCH(1006+1,РАБОТЫ!$X$2:$X$1058,0)),""),"")</f>
        <v/>
      </c>
      <c r="M1027" t="str">
        <f t="shared" si="63"/>
        <v/>
      </c>
    </row>
    <row r="1028" spans="1:13" hidden="1" x14ac:dyDescent="0.3">
      <c r="A1028" t="str">
        <f>IF(ISNUMBER($K1028),INDEX(РАБОТЫ!$U$2:$U$1058,$K1028),"")</f>
        <v/>
      </c>
      <c r="B1028" t="str">
        <f>IF(ISNUMBER($K1028),INDEX(РАБОТЫ!$A$2:$A$1058,$K1028),"")</f>
        <v/>
      </c>
      <c r="C1028" s="4" t="str">
        <f>IF($L1028&lt;&gt;"",INDEX(РАБОТЫ!$Z$2:$Z$1058,MATCH($L1028,РАБОТЫ!$V$2:$V$1058,0)),IF(ISNUMBER($K1028),INDEX(РАБОТЫ!$Y$2:$Y$1058,$K1028),""))</f>
        <v/>
      </c>
      <c r="D1028" t="str">
        <f>IF(ISNUMBER($K1028),INDEX(РАБОТЫ!$E$2:$E$1058,$K1028),"")</f>
        <v/>
      </c>
      <c r="E1028" t="str">
        <f>IF(ISNUMBER($K1028),INDEX(РАБОТЫ!$M$2:$M$1058,$K1028),"")</f>
        <v/>
      </c>
      <c r="F1028" s="7" t="str">
        <f>IF(ISNUMBER($K1028),INDEX(РАБОТЫ!$S$2:$S$1058,$K1028),"")</f>
        <v/>
      </c>
      <c r="G1028" s="7" t="str">
        <f>IF(ISNUMBER($K1028),INDEX(РАБОТЫ!$T$2:$T$1058,$K1028),"")</f>
        <v/>
      </c>
      <c r="H1028" s="7" t="str">
        <f t="shared" si="60"/>
        <v/>
      </c>
      <c r="I1028" s="7" t="str">
        <f t="shared" si="61"/>
        <v/>
      </c>
      <c r="J1028" s="7" t="str">
        <f t="shared" si="62"/>
        <v/>
      </c>
      <c r="K1028" t="str">
        <f>IFERROR(MATCH(1007,РАБОТЫ!$X$2:$X$1058,0),"")</f>
        <v/>
      </c>
      <c r="L1028" t="str">
        <f>IFERROR(IF(INDEX(РАБОТЫ!$W$2:$W$1058,MATCH(1007+1,РАБОТЫ!$X$2:$X$1058,0))=1,INDEX(РАБОТЫ!$V$2:$V$1058,MATCH(1007+1,РАБОТЫ!$X$2:$X$1058,0)),""),"")</f>
        <v/>
      </c>
      <c r="M1028" t="str">
        <f t="shared" si="63"/>
        <v/>
      </c>
    </row>
    <row r="1029" spans="1:13" hidden="1" x14ac:dyDescent="0.3">
      <c r="A1029" t="str">
        <f>IF(ISNUMBER($K1029),INDEX(РАБОТЫ!$U$2:$U$1058,$K1029),"")</f>
        <v/>
      </c>
      <c r="B1029" t="str">
        <f>IF(ISNUMBER($K1029),INDEX(РАБОТЫ!$A$2:$A$1058,$K1029),"")</f>
        <v/>
      </c>
      <c r="C1029" s="4" t="str">
        <f>IF($L1029&lt;&gt;"",INDEX(РАБОТЫ!$Z$2:$Z$1058,MATCH($L1029,РАБОТЫ!$V$2:$V$1058,0)),IF(ISNUMBER($K1029),INDEX(РАБОТЫ!$Y$2:$Y$1058,$K1029),""))</f>
        <v/>
      </c>
      <c r="D1029" t="str">
        <f>IF(ISNUMBER($K1029),INDEX(РАБОТЫ!$E$2:$E$1058,$K1029),"")</f>
        <v/>
      </c>
      <c r="E1029" t="str">
        <f>IF(ISNUMBER($K1029),INDEX(РАБОТЫ!$M$2:$M$1058,$K1029),"")</f>
        <v/>
      </c>
      <c r="F1029" s="7" t="str">
        <f>IF(ISNUMBER($K1029),INDEX(РАБОТЫ!$S$2:$S$1058,$K1029),"")</f>
        <v/>
      </c>
      <c r="G1029" s="7" t="str">
        <f>IF(ISNUMBER($K1029),INDEX(РАБОТЫ!$T$2:$T$1058,$K1029),"")</f>
        <v/>
      </c>
      <c r="H1029" s="7" t="str">
        <f t="shared" si="60"/>
        <v/>
      </c>
      <c r="I1029" s="7" t="str">
        <f t="shared" si="61"/>
        <v/>
      </c>
      <c r="J1029" s="7" t="str">
        <f t="shared" si="62"/>
        <v/>
      </c>
      <c r="K1029" t="str">
        <f>IFERROR(MATCH(1008,РАБОТЫ!$X$2:$X$1058,0),"")</f>
        <v/>
      </c>
      <c r="L1029" t="str">
        <f>IFERROR(IF(INDEX(РАБОТЫ!$W$2:$W$1058,MATCH(1008+1,РАБОТЫ!$X$2:$X$1058,0))=1,INDEX(РАБОТЫ!$V$2:$V$1058,MATCH(1008+1,РАБОТЫ!$X$2:$X$1058,0)),""),"")</f>
        <v/>
      </c>
      <c r="M1029" t="str">
        <f t="shared" si="63"/>
        <v/>
      </c>
    </row>
    <row r="1030" spans="1:13" hidden="1" x14ac:dyDescent="0.3">
      <c r="A1030" t="str">
        <f>IF(ISNUMBER($K1030),INDEX(РАБОТЫ!$U$2:$U$1058,$K1030),"")</f>
        <v/>
      </c>
      <c r="B1030" t="str">
        <f>IF(ISNUMBER($K1030),INDEX(РАБОТЫ!$A$2:$A$1058,$K1030),"")</f>
        <v/>
      </c>
      <c r="C1030" s="4" t="str">
        <f>IF($L1030&lt;&gt;"",INDEX(РАБОТЫ!$Z$2:$Z$1058,MATCH($L1030,РАБОТЫ!$V$2:$V$1058,0)),IF(ISNUMBER($K1030),INDEX(РАБОТЫ!$Y$2:$Y$1058,$K1030),""))</f>
        <v/>
      </c>
      <c r="D1030" t="str">
        <f>IF(ISNUMBER($K1030),INDEX(РАБОТЫ!$E$2:$E$1058,$K1030),"")</f>
        <v/>
      </c>
      <c r="E1030" t="str">
        <f>IF(ISNUMBER($K1030),INDEX(РАБОТЫ!$M$2:$M$1058,$K1030),"")</f>
        <v/>
      </c>
      <c r="F1030" s="7" t="str">
        <f>IF(ISNUMBER($K1030),INDEX(РАБОТЫ!$S$2:$S$1058,$K1030),"")</f>
        <v/>
      </c>
      <c r="G1030" s="7" t="str">
        <f>IF(ISNUMBER($K1030),INDEX(РАБОТЫ!$T$2:$T$1058,$K1030),"")</f>
        <v/>
      </c>
      <c r="H1030" s="7" t="str">
        <f t="shared" si="60"/>
        <v/>
      </c>
      <c r="I1030" s="7" t="str">
        <f t="shared" si="61"/>
        <v/>
      </c>
      <c r="J1030" s="7" t="str">
        <f t="shared" si="62"/>
        <v/>
      </c>
      <c r="K1030" t="str">
        <f>IFERROR(MATCH(1009,РАБОТЫ!$X$2:$X$1058,0),"")</f>
        <v/>
      </c>
      <c r="L1030" t="str">
        <f>IFERROR(IF(INDEX(РАБОТЫ!$W$2:$W$1058,MATCH(1009+1,РАБОТЫ!$X$2:$X$1058,0))=1,INDEX(РАБОТЫ!$V$2:$V$1058,MATCH(1009+1,РАБОТЫ!$X$2:$X$1058,0)),""),"")</f>
        <v/>
      </c>
      <c r="M1030" t="str">
        <f t="shared" si="63"/>
        <v/>
      </c>
    </row>
    <row r="1031" spans="1:13" hidden="1" x14ac:dyDescent="0.3">
      <c r="A1031" t="str">
        <f>IF(ISNUMBER($K1031),INDEX(РАБОТЫ!$U$2:$U$1058,$K1031),"")</f>
        <v/>
      </c>
      <c r="B1031" t="str">
        <f>IF(ISNUMBER($K1031),INDEX(РАБОТЫ!$A$2:$A$1058,$K1031),"")</f>
        <v/>
      </c>
      <c r="C1031" s="4" t="str">
        <f>IF($L1031&lt;&gt;"",INDEX(РАБОТЫ!$Z$2:$Z$1058,MATCH($L1031,РАБОТЫ!$V$2:$V$1058,0)),IF(ISNUMBER($K1031),INDEX(РАБОТЫ!$Y$2:$Y$1058,$K1031),""))</f>
        <v/>
      </c>
      <c r="D1031" t="str">
        <f>IF(ISNUMBER($K1031),INDEX(РАБОТЫ!$E$2:$E$1058,$K1031),"")</f>
        <v/>
      </c>
      <c r="E1031" t="str">
        <f>IF(ISNUMBER($K1031),INDEX(РАБОТЫ!$M$2:$M$1058,$K1031),"")</f>
        <v/>
      </c>
      <c r="F1031" s="7" t="str">
        <f>IF(ISNUMBER($K1031),INDEX(РАБОТЫ!$S$2:$S$1058,$K1031),"")</f>
        <v/>
      </c>
      <c r="G1031" s="7" t="str">
        <f>IF(ISNUMBER($K1031),INDEX(РАБОТЫ!$T$2:$T$1058,$K1031),"")</f>
        <v/>
      </c>
      <c r="H1031" s="7" t="str">
        <f t="shared" si="60"/>
        <v/>
      </c>
      <c r="I1031" s="7" t="str">
        <f t="shared" si="61"/>
        <v/>
      </c>
      <c r="J1031" s="7" t="str">
        <f t="shared" si="62"/>
        <v/>
      </c>
      <c r="K1031" t="str">
        <f>IFERROR(MATCH(1010,РАБОТЫ!$X$2:$X$1058,0),"")</f>
        <v/>
      </c>
      <c r="L1031" t="str">
        <f>IFERROR(IF(INDEX(РАБОТЫ!$W$2:$W$1058,MATCH(1010+1,РАБОТЫ!$X$2:$X$1058,0))=1,INDEX(РАБОТЫ!$V$2:$V$1058,MATCH(1010+1,РАБОТЫ!$X$2:$X$1058,0)),""),"")</f>
        <v/>
      </c>
      <c r="M1031" t="str">
        <f t="shared" si="63"/>
        <v/>
      </c>
    </row>
    <row r="1032" spans="1:13" hidden="1" x14ac:dyDescent="0.3">
      <c r="A1032" t="str">
        <f>IF(ISNUMBER($K1032),INDEX(РАБОТЫ!$U$2:$U$1058,$K1032),"")</f>
        <v/>
      </c>
      <c r="B1032" t="str">
        <f>IF(ISNUMBER($K1032),INDEX(РАБОТЫ!$A$2:$A$1058,$K1032),"")</f>
        <v/>
      </c>
      <c r="C1032" s="4" t="str">
        <f>IF($L1032&lt;&gt;"",INDEX(РАБОТЫ!$Z$2:$Z$1058,MATCH($L1032,РАБОТЫ!$V$2:$V$1058,0)),IF(ISNUMBER($K1032),INDEX(РАБОТЫ!$Y$2:$Y$1058,$K1032),""))</f>
        <v/>
      </c>
      <c r="D1032" t="str">
        <f>IF(ISNUMBER($K1032),INDEX(РАБОТЫ!$E$2:$E$1058,$K1032),"")</f>
        <v/>
      </c>
      <c r="E1032" t="str">
        <f>IF(ISNUMBER($K1032),INDEX(РАБОТЫ!$M$2:$M$1058,$K1032),"")</f>
        <v/>
      </c>
      <c r="F1032" s="7" t="str">
        <f>IF(ISNUMBER($K1032),INDEX(РАБОТЫ!$S$2:$S$1058,$K1032),"")</f>
        <v/>
      </c>
      <c r="G1032" s="7" t="str">
        <f>IF(ISNUMBER($K1032),INDEX(РАБОТЫ!$T$2:$T$1058,$K1032),"")</f>
        <v/>
      </c>
      <c r="H1032" s="7" t="str">
        <f t="shared" si="60"/>
        <v/>
      </c>
      <c r="I1032" s="7" t="str">
        <f t="shared" si="61"/>
        <v/>
      </c>
      <c r="J1032" s="7" t="str">
        <f t="shared" si="62"/>
        <v/>
      </c>
      <c r="K1032" t="str">
        <f>IFERROR(MATCH(1011,РАБОТЫ!$X$2:$X$1058,0),"")</f>
        <v/>
      </c>
      <c r="L1032" t="str">
        <f>IFERROR(IF(INDEX(РАБОТЫ!$W$2:$W$1058,MATCH(1011+1,РАБОТЫ!$X$2:$X$1058,0))=1,INDEX(РАБОТЫ!$V$2:$V$1058,MATCH(1011+1,РАБОТЫ!$X$2:$X$1058,0)),""),"")</f>
        <v/>
      </c>
      <c r="M1032" t="str">
        <f t="shared" si="63"/>
        <v/>
      </c>
    </row>
    <row r="1033" spans="1:13" hidden="1" x14ac:dyDescent="0.3">
      <c r="A1033" t="str">
        <f>IF(ISNUMBER($K1033),INDEX(РАБОТЫ!$U$2:$U$1058,$K1033),"")</f>
        <v/>
      </c>
      <c r="B1033" t="str">
        <f>IF(ISNUMBER($K1033),INDEX(РАБОТЫ!$A$2:$A$1058,$K1033),"")</f>
        <v/>
      </c>
      <c r="C1033" s="4" t="str">
        <f>IF($L1033&lt;&gt;"",INDEX(РАБОТЫ!$Z$2:$Z$1058,MATCH($L1033,РАБОТЫ!$V$2:$V$1058,0)),IF(ISNUMBER($K1033),INDEX(РАБОТЫ!$Y$2:$Y$1058,$K1033),""))</f>
        <v/>
      </c>
      <c r="D1033" t="str">
        <f>IF(ISNUMBER($K1033),INDEX(РАБОТЫ!$E$2:$E$1058,$K1033),"")</f>
        <v/>
      </c>
      <c r="E1033" t="str">
        <f>IF(ISNUMBER($K1033),INDEX(РАБОТЫ!$M$2:$M$1058,$K1033),"")</f>
        <v/>
      </c>
      <c r="F1033" s="7" t="str">
        <f>IF(ISNUMBER($K1033),INDEX(РАБОТЫ!$S$2:$S$1058,$K1033),"")</f>
        <v/>
      </c>
      <c r="G1033" s="7" t="str">
        <f>IF(ISNUMBER($K1033),INDEX(РАБОТЫ!$T$2:$T$1058,$K1033),"")</f>
        <v/>
      </c>
      <c r="H1033" s="7" t="str">
        <f t="shared" si="60"/>
        <v/>
      </c>
      <c r="I1033" s="7" t="str">
        <f t="shared" si="61"/>
        <v/>
      </c>
      <c r="J1033" s="7" t="str">
        <f t="shared" si="62"/>
        <v/>
      </c>
      <c r="K1033" t="str">
        <f>IFERROR(MATCH(1012,РАБОТЫ!$X$2:$X$1058,0),"")</f>
        <v/>
      </c>
      <c r="L1033" t="str">
        <f>IFERROR(IF(INDEX(РАБОТЫ!$W$2:$W$1058,MATCH(1012+1,РАБОТЫ!$X$2:$X$1058,0))=1,INDEX(РАБОТЫ!$V$2:$V$1058,MATCH(1012+1,РАБОТЫ!$X$2:$X$1058,0)),""),"")</f>
        <v/>
      </c>
      <c r="M1033" t="str">
        <f t="shared" si="63"/>
        <v/>
      </c>
    </row>
    <row r="1034" spans="1:13" hidden="1" x14ac:dyDescent="0.3">
      <c r="A1034" t="str">
        <f>IF(ISNUMBER($K1034),INDEX(РАБОТЫ!$U$2:$U$1058,$K1034),"")</f>
        <v/>
      </c>
      <c r="B1034" t="str">
        <f>IF(ISNUMBER($K1034),INDEX(РАБОТЫ!$A$2:$A$1058,$K1034),"")</f>
        <v/>
      </c>
      <c r="C1034" s="4" t="str">
        <f>IF($L1034&lt;&gt;"",INDEX(РАБОТЫ!$Z$2:$Z$1058,MATCH($L1034,РАБОТЫ!$V$2:$V$1058,0)),IF(ISNUMBER($K1034),INDEX(РАБОТЫ!$Y$2:$Y$1058,$K1034),""))</f>
        <v/>
      </c>
      <c r="D1034" t="str">
        <f>IF(ISNUMBER($K1034),INDEX(РАБОТЫ!$E$2:$E$1058,$K1034),"")</f>
        <v/>
      </c>
      <c r="E1034" t="str">
        <f>IF(ISNUMBER($K1034),INDEX(РАБОТЫ!$M$2:$M$1058,$K1034),"")</f>
        <v/>
      </c>
      <c r="F1034" s="7" t="str">
        <f>IF(ISNUMBER($K1034),INDEX(РАБОТЫ!$S$2:$S$1058,$K1034),"")</f>
        <v/>
      </c>
      <c r="G1034" s="7" t="str">
        <f>IF(ISNUMBER($K1034),INDEX(РАБОТЫ!$T$2:$T$1058,$K1034),"")</f>
        <v/>
      </c>
      <c r="H1034" s="7" t="str">
        <f t="shared" si="60"/>
        <v/>
      </c>
      <c r="I1034" s="7" t="str">
        <f t="shared" si="61"/>
        <v/>
      </c>
      <c r="J1034" s="7" t="str">
        <f t="shared" si="62"/>
        <v/>
      </c>
      <c r="K1034" t="str">
        <f>IFERROR(MATCH(1013,РАБОТЫ!$X$2:$X$1058,0),"")</f>
        <v/>
      </c>
      <c r="L1034" t="str">
        <f>IFERROR(IF(INDEX(РАБОТЫ!$W$2:$W$1058,MATCH(1013+1,РАБОТЫ!$X$2:$X$1058,0))=1,INDEX(РАБОТЫ!$V$2:$V$1058,MATCH(1013+1,РАБОТЫ!$X$2:$X$1058,0)),""),"")</f>
        <v/>
      </c>
      <c r="M1034" t="str">
        <f t="shared" si="63"/>
        <v/>
      </c>
    </row>
    <row r="1035" spans="1:13" hidden="1" x14ac:dyDescent="0.3">
      <c r="A1035" t="str">
        <f>IF(ISNUMBER($K1035),INDEX(РАБОТЫ!$U$2:$U$1058,$K1035),"")</f>
        <v/>
      </c>
      <c r="B1035" t="str">
        <f>IF(ISNUMBER($K1035),INDEX(РАБОТЫ!$A$2:$A$1058,$K1035),"")</f>
        <v/>
      </c>
      <c r="C1035" s="4" t="str">
        <f>IF($L1035&lt;&gt;"",INDEX(РАБОТЫ!$Z$2:$Z$1058,MATCH($L1035,РАБОТЫ!$V$2:$V$1058,0)),IF(ISNUMBER($K1035),INDEX(РАБОТЫ!$Y$2:$Y$1058,$K1035),""))</f>
        <v/>
      </c>
      <c r="D1035" t="str">
        <f>IF(ISNUMBER($K1035),INDEX(РАБОТЫ!$E$2:$E$1058,$K1035),"")</f>
        <v/>
      </c>
      <c r="E1035" t="str">
        <f>IF(ISNUMBER($K1035),INDEX(РАБОТЫ!$M$2:$M$1058,$K1035),"")</f>
        <v/>
      </c>
      <c r="F1035" s="7" t="str">
        <f>IF(ISNUMBER($K1035),INDEX(РАБОТЫ!$S$2:$S$1058,$K1035),"")</f>
        <v/>
      </c>
      <c r="G1035" s="7" t="str">
        <f>IF(ISNUMBER($K1035),INDEX(РАБОТЫ!$T$2:$T$1058,$K1035),"")</f>
        <v/>
      </c>
      <c r="H1035" s="7" t="str">
        <f t="shared" si="60"/>
        <v/>
      </c>
      <c r="I1035" s="7" t="str">
        <f t="shared" si="61"/>
        <v/>
      </c>
      <c r="J1035" s="7" t="str">
        <f t="shared" si="62"/>
        <v/>
      </c>
      <c r="K1035" t="str">
        <f>IFERROR(MATCH(1014,РАБОТЫ!$X$2:$X$1058,0),"")</f>
        <v/>
      </c>
      <c r="L1035" t="str">
        <f>IFERROR(IF(INDEX(РАБОТЫ!$W$2:$W$1058,MATCH(1014+1,РАБОТЫ!$X$2:$X$1058,0))=1,INDEX(РАБОТЫ!$V$2:$V$1058,MATCH(1014+1,РАБОТЫ!$X$2:$X$1058,0)),""),"")</f>
        <v/>
      </c>
      <c r="M1035" t="str">
        <f t="shared" si="63"/>
        <v/>
      </c>
    </row>
    <row r="1036" spans="1:13" hidden="1" x14ac:dyDescent="0.3">
      <c r="A1036" t="str">
        <f>IF(ISNUMBER($K1036),INDEX(РАБОТЫ!$U$2:$U$1058,$K1036),"")</f>
        <v/>
      </c>
      <c r="B1036" t="str">
        <f>IF(ISNUMBER($K1036),INDEX(РАБОТЫ!$A$2:$A$1058,$K1036),"")</f>
        <v/>
      </c>
      <c r="C1036" s="4" t="str">
        <f>IF($L1036&lt;&gt;"",INDEX(РАБОТЫ!$Z$2:$Z$1058,MATCH($L1036,РАБОТЫ!$V$2:$V$1058,0)),IF(ISNUMBER($K1036),INDEX(РАБОТЫ!$Y$2:$Y$1058,$K1036),""))</f>
        <v/>
      </c>
      <c r="D1036" t="str">
        <f>IF(ISNUMBER($K1036),INDEX(РАБОТЫ!$E$2:$E$1058,$K1036),"")</f>
        <v/>
      </c>
      <c r="E1036" t="str">
        <f>IF(ISNUMBER($K1036),INDEX(РАБОТЫ!$M$2:$M$1058,$K1036),"")</f>
        <v/>
      </c>
      <c r="F1036" s="7" t="str">
        <f>IF(ISNUMBER($K1036),INDEX(РАБОТЫ!$S$2:$S$1058,$K1036),"")</f>
        <v/>
      </c>
      <c r="G1036" s="7" t="str">
        <f>IF(ISNUMBER($K1036),INDEX(РАБОТЫ!$T$2:$T$1058,$K1036),"")</f>
        <v/>
      </c>
      <c r="H1036" s="7" t="str">
        <f t="shared" si="60"/>
        <v/>
      </c>
      <c r="I1036" s="7" t="str">
        <f t="shared" si="61"/>
        <v/>
      </c>
      <c r="J1036" s="7" t="str">
        <f t="shared" si="62"/>
        <v/>
      </c>
      <c r="K1036" t="str">
        <f>IFERROR(MATCH(1015,РАБОТЫ!$X$2:$X$1058,0),"")</f>
        <v/>
      </c>
      <c r="L1036" t="str">
        <f>IFERROR(IF(INDEX(РАБОТЫ!$W$2:$W$1058,MATCH(1015+1,РАБОТЫ!$X$2:$X$1058,0))=1,INDEX(РАБОТЫ!$V$2:$V$1058,MATCH(1015+1,РАБОТЫ!$X$2:$X$1058,0)),""),"")</f>
        <v/>
      </c>
      <c r="M1036" t="str">
        <f t="shared" si="63"/>
        <v/>
      </c>
    </row>
    <row r="1037" spans="1:13" hidden="1" x14ac:dyDescent="0.3">
      <c r="A1037" t="str">
        <f>IF(ISNUMBER($K1037),INDEX(РАБОТЫ!$U$2:$U$1058,$K1037),"")</f>
        <v/>
      </c>
      <c r="B1037" t="str">
        <f>IF(ISNUMBER($K1037),INDEX(РАБОТЫ!$A$2:$A$1058,$K1037),"")</f>
        <v/>
      </c>
      <c r="C1037" s="4" t="str">
        <f>IF($L1037&lt;&gt;"",INDEX(РАБОТЫ!$Z$2:$Z$1058,MATCH($L1037,РАБОТЫ!$V$2:$V$1058,0)),IF(ISNUMBER($K1037),INDEX(РАБОТЫ!$Y$2:$Y$1058,$K1037),""))</f>
        <v/>
      </c>
      <c r="D1037" t="str">
        <f>IF(ISNUMBER($K1037),INDEX(РАБОТЫ!$E$2:$E$1058,$K1037),"")</f>
        <v/>
      </c>
      <c r="E1037" t="str">
        <f>IF(ISNUMBER($K1037),INDEX(РАБОТЫ!$M$2:$M$1058,$K1037),"")</f>
        <v/>
      </c>
      <c r="F1037" s="7" t="str">
        <f>IF(ISNUMBER($K1037),INDEX(РАБОТЫ!$S$2:$S$1058,$K1037),"")</f>
        <v/>
      </c>
      <c r="G1037" s="7" t="str">
        <f>IF(ISNUMBER($K1037),INDEX(РАБОТЫ!$T$2:$T$1058,$K1037),"")</f>
        <v/>
      </c>
      <c r="H1037" s="7" t="str">
        <f t="shared" si="60"/>
        <v/>
      </c>
      <c r="I1037" s="7" t="str">
        <f t="shared" si="61"/>
        <v/>
      </c>
      <c r="J1037" s="7" t="str">
        <f t="shared" si="62"/>
        <v/>
      </c>
      <c r="K1037" t="str">
        <f>IFERROR(MATCH(1016,РАБОТЫ!$X$2:$X$1058,0),"")</f>
        <v/>
      </c>
      <c r="L1037" t="str">
        <f>IFERROR(IF(INDEX(РАБОТЫ!$W$2:$W$1058,MATCH(1016+1,РАБОТЫ!$X$2:$X$1058,0))=1,INDEX(РАБОТЫ!$V$2:$V$1058,MATCH(1016+1,РАБОТЫ!$X$2:$X$1058,0)),""),"")</f>
        <v/>
      </c>
      <c r="M1037" t="str">
        <f t="shared" si="63"/>
        <v/>
      </c>
    </row>
    <row r="1038" spans="1:13" hidden="1" x14ac:dyDescent="0.3">
      <c r="A1038" t="str">
        <f>IF(ISNUMBER($K1038),INDEX(РАБОТЫ!$U$2:$U$1058,$K1038),"")</f>
        <v/>
      </c>
      <c r="B1038" t="str">
        <f>IF(ISNUMBER($K1038),INDEX(РАБОТЫ!$A$2:$A$1058,$K1038),"")</f>
        <v/>
      </c>
      <c r="C1038" s="4" t="str">
        <f>IF($L1038&lt;&gt;"",INDEX(РАБОТЫ!$Z$2:$Z$1058,MATCH($L1038,РАБОТЫ!$V$2:$V$1058,0)),IF(ISNUMBER($K1038),INDEX(РАБОТЫ!$Y$2:$Y$1058,$K1038),""))</f>
        <v/>
      </c>
      <c r="D1038" t="str">
        <f>IF(ISNUMBER($K1038),INDEX(РАБОТЫ!$E$2:$E$1058,$K1038),"")</f>
        <v/>
      </c>
      <c r="E1038" t="str">
        <f>IF(ISNUMBER($K1038),INDEX(РАБОТЫ!$M$2:$M$1058,$K1038),"")</f>
        <v/>
      </c>
      <c r="F1038" s="7" t="str">
        <f>IF(ISNUMBER($K1038),INDEX(РАБОТЫ!$S$2:$S$1058,$K1038),"")</f>
        <v/>
      </c>
      <c r="G1038" s="7" t="str">
        <f>IF(ISNUMBER($K1038),INDEX(РАБОТЫ!$T$2:$T$1058,$K1038),"")</f>
        <v/>
      </c>
      <c r="H1038" s="7" t="str">
        <f t="shared" si="60"/>
        <v/>
      </c>
      <c r="I1038" s="7" t="str">
        <f t="shared" si="61"/>
        <v/>
      </c>
      <c r="J1038" s="7" t="str">
        <f t="shared" si="62"/>
        <v/>
      </c>
      <c r="K1038" t="str">
        <f>IFERROR(MATCH(1017,РАБОТЫ!$X$2:$X$1058,0),"")</f>
        <v/>
      </c>
      <c r="L1038" t="str">
        <f>IFERROR(IF(INDEX(РАБОТЫ!$W$2:$W$1058,MATCH(1017+1,РАБОТЫ!$X$2:$X$1058,0))=1,INDEX(РАБОТЫ!$V$2:$V$1058,MATCH(1017+1,РАБОТЫ!$X$2:$X$1058,0)),""),"")</f>
        <v/>
      </c>
      <c r="M1038" t="str">
        <f t="shared" si="63"/>
        <v/>
      </c>
    </row>
    <row r="1039" spans="1:13" hidden="1" x14ac:dyDescent="0.3">
      <c r="A1039" t="str">
        <f>IF(ISNUMBER($K1039),INDEX(РАБОТЫ!$U$2:$U$1058,$K1039),"")</f>
        <v/>
      </c>
      <c r="B1039" t="str">
        <f>IF(ISNUMBER($K1039),INDEX(РАБОТЫ!$A$2:$A$1058,$K1039),"")</f>
        <v/>
      </c>
      <c r="C1039" s="4" t="str">
        <f>IF($L1039&lt;&gt;"",INDEX(РАБОТЫ!$Z$2:$Z$1058,MATCH($L1039,РАБОТЫ!$V$2:$V$1058,0)),IF(ISNUMBER($K1039),INDEX(РАБОТЫ!$Y$2:$Y$1058,$K1039),""))</f>
        <v/>
      </c>
      <c r="D1039" t="str">
        <f>IF(ISNUMBER($K1039),INDEX(РАБОТЫ!$E$2:$E$1058,$K1039),"")</f>
        <v/>
      </c>
      <c r="E1039" t="str">
        <f>IF(ISNUMBER($K1039),INDEX(РАБОТЫ!$M$2:$M$1058,$K1039),"")</f>
        <v/>
      </c>
      <c r="F1039" s="7" t="str">
        <f>IF(ISNUMBER($K1039),INDEX(РАБОТЫ!$S$2:$S$1058,$K1039),"")</f>
        <v/>
      </c>
      <c r="G1039" s="7" t="str">
        <f>IF(ISNUMBER($K1039),INDEX(РАБОТЫ!$T$2:$T$1058,$K1039),"")</f>
        <v/>
      </c>
      <c r="H1039" s="7" t="str">
        <f t="shared" si="60"/>
        <v/>
      </c>
      <c r="I1039" s="7" t="str">
        <f t="shared" si="61"/>
        <v/>
      </c>
      <c r="J1039" s="7" t="str">
        <f t="shared" si="62"/>
        <v/>
      </c>
      <c r="K1039" t="str">
        <f>IFERROR(MATCH(1018,РАБОТЫ!$X$2:$X$1058,0),"")</f>
        <v/>
      </c>
      <c r="L1039" t="str">
        <f>IFERROR(IF(INDEX(РАБОТЫ!$W$2:$W$1058,MATCH(1018+1,РАБОТЫ!$X$2:$X$1058,0))=1,INDEX(РАБОТЫ!$V$2:$V$1058,MATCH(1018+1,РАБОТЫ!$X$2:$X$1058,0)),""),"")</f>
        <v/>
      </c>
      <c r="M1039" t="str">
        <f t="shared" si="63"/>
        <v/>
      </c>
    </row>
    <row r="1040" spans="1:13" hidden="1" x14ac:dyDescent="0.3">
      <c r="A1040" t="str">
        <f>IF(ISNUMBER($K1040),INDEX(РАБОТЫ!$U$2:$U$1058,$K1040),"")</f>
        <v/>
      </c>
      <c r="B1040" t="str">
        <f>IF(ISNUMBER($K1040),INDEX(РАБОТЫ!$A$2:$A$1058,$K1040),"")</f>
        <v/>
      </c>
      <c r="C1040" s="4" t="str">
        <f>IF($L1040&lt;&gt;"",INDEX(РАБОТЫ!$Z$2:$Z$1058,MATCH($L1040,РАБОТЫ!$V$2:$V$1058,0)),IF(ISNUMBER($K1040),INDEX(РАБОТЫ!$Y$2:$Y$1058,$K1040),""))</f>
        <v/>
      </c>
      <c r="D1040" t="str">
        <f>IF(ISNUMBER($K1040),INDEX(РАБОТЫ!$E$2:$E$1058,$K1040),"")</f>
        <v/>
      </c>
      <c r="E1040" t="str">
        <f>IF(ISNUMBER($K1040),INDEX(РАБОТЫ!$M$2:$M$1058,$K1040),"")</f>
        <v/>
      </c>
      <c r="F1040" s="7" t="str">
        <f>IF(ISNUMBER($K1040),INDEX(РАБОТЫ!$S$2:$S$1058,$K1040),"")</f>
        <v/>
      </c>
      <c r="G1040" s="7" t="str">
        <f>IF(ISNUMBER($K1040),INDEX(РАБОТЫ!$T$2:$T$1058,$K1040),"")</f>
        <v/>
      </c>
      <c r="H1040" s="7" t="str">
        <f t="shared" si="60"/>
        <v/>
      </c>
      <c r="I1040" s="7" t="str">
        <f t="shared" si="61"/>
        <v/>
      </c>
      <c r="J1040" s="7" t="str">
        <f t="shared" si="62"/>
        <v/>
      </c>
      <c r="K1040" t="str">
        <f>IFERROR(MATCH(1019,РАБОТЫ!$X$2:$X$1058,0),"")</f>
        <v/>
      </c>
      <c r="L1040" t="str">
        <f>IFERROR(IF(INDEX(РАБОТЫ!$W$2:$W$1058,MATCH(1019+1,РАБОТЫ!$X$2:$X$1058,0))=1,INDEX(РАБОТЫ!$V$2:$V$1058,MATCH(1019+1,РАБОТЫ!$X$2:$X$1058,0)),""),"")</f>
        <v/>
      </c>
      <c r="M1040" t="str">
        <f t="shared" si="63"/>
        <v/>
      </c>
    </row>
    <row r="1041" spans="1:13" hidden="1" x14ac:dyDescent="0.3">
      <c r="A1041" t="str">
        <f>IF(ISNUMBER($K1041),INDEX(РАБОТЫ!$U$2:$U$1058,$K1041),"")</f>
        <v/>
      </c>
      <c r="B1041" t="str">
        <f>IF(ISNUMBER($K1041),INDEX(РАБОТЫ!$A$2:$A$1058,$K1041),"")</f>
        <v/>
      </c>
      <c r="C1041" s="4" t="str">
        <f>IF($L1041&lt;&gt;"",INDEX(РАБОТЫ!$Z$2:$Z$1058,MATCH($L1041,РАБОТЫ!$V$2:$V$1058,0)),IF(ISNUMBER($K1041),INDEX(РАБОТЫ!$Y$2:$Y$1058,$K1041),""))</f>
        <v/>
      </c>
      <c r="D1041" t="str">
        <f>IF(ISNUMBER($K1041),INDEX(РАБОТЫ!$E$2:$E$1058,$K1041),"")</f>
        <v/>
      </c>
      <c r="E1041" t="str">
        <f>IF(ISNUMBER($K1041),INDEX(РАБОТЫ!$M$2:$M$1058,$K1041),"")</f>
        <v/>
      </c>
      <c r="F1041" s="7" t="str">
        <f>IF(ISNUMBER($K1041),INDEX(РАБОТЫ!$S$2:$S$1058,$K1041),"")</f>
        <v/>
      </c>
      <c r="G1041" s="7" t="str">
        <f>IF(ISNUMBER($K1041),INDEX(РАБОТЫ!$T$2:$T$1058,$K1041),"")</f>
        <v/>
      </c>
      <c r="H1041" s="7" t="str">
        <f t="shared" si="60"/>
        <v/>
      </c>
      <c r="I1041" s="7" t="str">
        <f t="shared" si="61"/>
        <v/>
      </c>
      <c r="J1041" s="7" t="str">
        <f t="shared" si="62"/>
        <v/>
      </c>
      <c r="K1041" t="str">
        <f>IFERROR(MATCH(1020,РАБОТЫ!$X$2:$X$1058,0),"")</f>
        <v/>
      </c>
      <c r="L1041" t="str">
        <f>IFERROR(IF(INDEX(РАБОТЫ!$W$2:$W$1058,MATCH(1020+1,РАБОТЫ!$X$2:$X$1058,0))=1,INDEX(РАБОТЫ!$V$2:$V$1058,MATCH(1020+1,РАБОТЫ!$X$2:$X$1058,0)),""),"")</f>
        <v/>
      </c>
      <c r="M1041" t="str">
        <f t="shared" si="63"/>
        <v/>
      </c>
    </row>
    <row r="1042" spans="1:13" hidden="1" x14ac:dyDescent="0.3">
      <c r="A1042" t="str">
        <f>IF(ISNUMBER($K1042),INDEX(РАБОТЫ!$U$2:$U$1058,$K1042),"")</f>
        <v/>
      </c>
      <c r="B1042" t="str">
        <f>IF(ISNUMBER($K1042),INDEX(РАБОТЫ!$A$2:$A$1058,$K1042),"")</f>
        <v/>
      </c>
      <c r="C1042" s="4" t="str">
        <f>IF($L1042&lt;&gt;"",INDEX(РАБОТЫ!$Z$2:$Z$1058,MATCH($L1042,РАБОТЫ!$V$2:$V$1058,0)),IF(ISNUMBER($K1042),INDEX(РАБОТЫ!$Y$2:$Y$1058,$K1042),""))</f>
        <v/>
      </c>
      <c r="D1042" t="str">
        <f>IF(ISNUMBER($K1042),INDEX(РАБОТЫ!$E$2:$E$1058,$K1042),"")</f>
        <v/>
      </c>
      <c r="E1042" t="str">
        <f>IF(ISNUMBER($K1042),INDEX(РАБОТЫ!$M$2:$M$1058,$K1042),"")</f>
        <v/>
      </c>
      <c r="F1042" s="7" t="str">
        <f>IF(ISNUMBER($K1042),INDEX(РАБОТЫ!$S$2:$S$1058,$K1042),"")</f>
        <v/>
      </c>
      <c r="G1042" s="7" t="str">
        <f>IF(ISNUMBER($K1042),INDEX(РАБОТЫ!$T$2:$T$1058,$K1042),"")</f>
        <v/>
      </c>
      <c r="H1042" s="7" t="str">
        <f t="shared" si="60"/>
        <v/>
      </c>
      <c r="I1042" s="7" t="str">
        <f t="shared" si="61"/>
        <v/>
      </c>
      <c r="J1042" s="7" t="str">
        <f t="shared" si="62"/>
        <v/>
      </c>
      <c r="K1042" t="str">
        <f>IFERROR(MATCH(1021,РАБОТЫ!$X$2:$X$1058,0),"")</f>
        <v/>
      </c>
      <c r="L1042" t="str">
        <f>IFERROR(IF(INDEX(РАБОТЫ!$W$2:$W$1058,MATCH(1021+1,РАБОТЫ!$X$2:$X$1058,0))=1,INDEX(РАБОТЫ!$V$2:$V$1058,MATCH(1021+1,РАБОТЫ!$X$2:$X$1058,0)),""),"")</f>
        <v/>
      </c>
      <c r="M1042" t="str">
        <f t="shared" si="63"/>
        <v/>
      </c>
    </row>
    <row r="1043" spans="1:13" hidden="1" x14ac:dyDescent="0.3">
      <c r="A1043" t="str">
        <f>IF(ISNUMBER($K1043),INDEX(РАБОТЫ!$U$2:$U$1058,$K1043),"")</f>
        <v/>
      </c>
      <c r="B1043" t="str">
        <f>IF(ISNUMBER($K1043),INDEX(РАБОТЫ!$A$2:$A$1058,$K1043),"")</f>
        <v/>
      </c>
      <c r="C1043" s="4" t="str">
        <f>IF($L1043&lt;&gt;"",INDEX(РАБОТЫ!$Z$2:$Z$1058,MATCH($L1043,РАБОТЫ!$V$2:$V$1058,0)),IF(ISNUMBER($K1043),INDEX(РАБОТЫ!$Y$2:$Y$1058,$K1043),""))</f>
        <v/>
      </c>
      <c r="D1043" t="str">
        <f>IF(ISNUMBER($K1043),INDEX(РАБОТЫ!$E$2:$E$1058,$K1043),"")</f>
        <v/>
      </c>
      <c r="E1043" t="str">
        <f>IF(ISNUMBER($K1043),INDEX(РАБОТЫ!$M$2:$M$1058,$K1043),"")</f>
        <v/>
      </c>
      <c r="F1043" s="7" t="str">
        <f>IF(ISNUMBER($K1043),INDEX(РАБОТЫ!$S$2:$S$1058,$K1043),"")</f>
        <v/>
      </c>
      <c r="G1043" s="7" t="str">
        <f>IF(ISNUMBER($K1043),INDEX(РАБОТЫ!$T$2:$T$1058,$K1043),"")</f>
        <v/>
      </c>
      <c r="H1043" s="7" t="str">
        <f t="shared" si="60"/>
        <v/>
      </c>
      <c r="I1043" s="7" t="str">
        <f t="shared" si="61"/>
        <v/>
      </c>
      <c r="J1043" s="7" t="str">
        <f t="shared" si="62"/>
        <v/>
      </c>
      <c r="K1043" t="str">
        <f>IFERROR(MATCH(1022,РАБОТЫ!$X$2:$X$1058,0),"")</f>
        <v/>
      </c>
      <c r="L1043" t="str">
        <f>IFERROR(IF(INDEX(РАБОТЫ!$W$2:$W$1058,MATCH(1022+1,РАБОТЫ!$X$2:$X$1058,0))=1,INDEX(РАБОТЫ!$V$2:$V$1058,MATCH(1022+1,РАБОТЫ!$X$2:$X$1058,0)),""),"")</f>
        <v/>
      </c>
      <c r="M1043" t="str">
        <f t="shared" si="63"/>
        <v/>
      </c>
    </row>
    <row r="1044" spans="1:13" hidden="1" x14ac:dyDescent="0.3">
      <c r="A1044" t="str">
        <f>IF(ISNUMBER($K1044),INDEX(РАБОТЫ!$U$2:$U$1058,$K1044),"")</f>
        <v/>
      </c>
      <c r="B1044" t="str">
        <f>IF(ISNUMBER($K1044),INDEX(РАБОТЫ!$A$2:$A$1058,$K1044),"")</f>
        <v/>
      </c>
      <c r="C1044" s="4" t="str">
        <f>IF($L1044&lt;&gt;"",INDEX(РАБОТЫ!$Z$2:$Z$1058,MATCH($L1044,РАБОТЫ!$V$2:$V$1058,0)),IF(ISNUMBER($K1044),INDEX(РАБОТЫ!$Y$2:$Y$1058,$K1044),""))</f>
        <v/>
      </c>
      <c r="D1044" t="str">
        <f>IF(ISNUMBER($K1044),INDEX(РАБОТЫ!$E$2:$E$1058,$K1044),"")</f>
        <v/>
      </c>
      <c r="E1044" t="str">
        <f>IF(ISNUMBER($K1044),INDEX(РАБОТЫ!$M$2:$M$1058,$K1044),"")</f>
        <v/>
      </c>
      <c r="F1044" s="7" t="str">
        <f>IF(ISNUMBER($K1044),INDEX(РАБОТЫ!$S$2:$S$1058,$K1044),"")</f>
        <v/>
      </c>
      <c r="G1044" s="7" t="str">
        <f>IF(ISNUMBER($K1044),INDEX(РАБОТЫ!$T$2:$T$1058,$K1044),"")</f>
        <v/>
      </c>
      <c r="H1044" s="7" t="str">
        <f t="shared" si="60"/>
        <v/>
      </c>
      <c r="I1044" s="7" t="str">
        <f t="shared" si="61"/>
        <v/>
      </c>
      <c r="J1044" s="7" t="str">
        <f t="shared" si="62"/>
        <v/>
      </c>
      <c r="K1044" t="str">
        <f>IFERROR(MATCH(1023,РАБОТЫ!$X$2:$X$1058,0),"")</f>
        <v/>
      </c>
      <c r="L1044" t="str">
        <f>IFERROR(IF(INDEX(РАБОТЫ!$W$2:$W$1058,MATCH(1023+1,РАБОТЫ!$X$2:$X$1058,0))=1,INDEX(РАБОТЫ!$V$2:$V$1058,MATCH(1023+1,РАБОТЫ!$X$2:$X$1058,0)),""),"")</f>
        <v/>
      </c>
      <c r="M1044" t="str">
        <f t="shared" si="63"/>
        <v/>
      </c>
    </row>
    <row r="1045" spans="1:13" hidden="1" x14ac:dyDescent="0.3">
      <c r="A1045" t="str">
        <f>IF(ISNUMBER($K1045),INDEX(РАБОТЫ!$U$2:$U$1058,$K1045),"")</f>
        <v/>
      </c>
      <c r="B1045" t="str">
        <f>IF(ISNUMBER($K1045),INDEX(РАБОТЫ!$A$2:$A$1058,$K1045),"")</f>
        <v/>
      </c>
      <c r="C1045" s="4" t="str">
        <f>IF($L1045&lt;&gt;"",INDEX(РАБОТЫ!$Z$2:$Z$1058,MATCH($L1045,РАБОТЫ!$V$2:$V$1058,0)),IF(ISNUMBER($K1045),INDEX(РАБОТЫ!$Y$2:$Y$1058,$K1045),""))</f>
        <v/>
      </c>
      <c r="D1045" t="str">
        <f>IF(ISNUMBER($K1045),INDEX(РАБОТЫ!$E$2:$E$1058,$K1045),"")</f>
        <v/>
      </c>
      <c r="E1045" t="str">
        <f>IF(ISNUMBER($K1045),INDEX(РАБОТЫ!$M$2:$M$1058,$K1045),"")</f>
        <v/>
      </c>
      <c r="F1045" s="7" t="str">
        <f>IF(ISNUMBER($K1045),INDEX(РАБОТЫ!$S$2:$S$1058,$K1045),"")</f>
        <v/>
      </c>
      <c r="G1045" s="7" t="str">
        <f>IF(ISNUMBER($K1045),INDEX(РАБОТЫ!$T$2:$T$1058,$K1045),"")</f>
        <v/>
      </c>
      <c r="H1045" s="7" t="str">
        <f t="shared" si="60"/>
        <v/>
      </c>
      <c r="I1045" s="7" t="str">
        <f t="shared" si="61"/>
        <v/>
      </c>
      <c r="J1045" s="7" t="str">
        <f t="shared" si="62"/>
        <v/>
      </c>
      <c r="K1045" t="str">
        <f>IFERROR(MATCH(1024,РАБОТЫ!$X$2:$X$1058,0),"")</f>
        <v/>
      </c>
      <c r="L1045" t="str">
        <f>IFERROR(IF(INDEX(РАБОТЫ!$W$2:$W$1058,MATCH(1024+1,РАБОТЫ!$X$2:$X$1058,0))=1,INDEX(РАБОТЫ!$V$2:$V$1058,MATCH(1024+1,РАБОТЫ!$X$2:$X$1058,0)),""),"")</f>
        <v/>
      </c>
      <c r="M1045" t="str">
        <f t="shared" si="63"/>
        <v/>
      </c>
    </row>
    <row r="1046" spans="1:13" hidden="1" x14ac:dyDescent="0.3">
      <c r="A1046" t="str">
        <f>IF(ISNUMBER($K1046),INDEX(РАБОТЫ!$U$2:$U$1058,$K1046),"")</f>
        <v/>
      </c>
      <c r="B1046" t="str">
        <f>IF(ISNUMBER($K1046),INDEX(РАБОТЫ!$A$2:$A$1058,$K1046),"")</f>
        <v/>
      </c>
      <c r="C1046" s="4" t="str">
        <f>IF($L1046&lt;&gt;"",INDEX(РАБОТЫ!$Z$2:$Z$1058,MATCH($L1046,РАБОТЫ!$V$2:$V$1058,0)),IF(ISNUMBER($K1046),INDEX(РАБОТЫ!$Y$2:$Y$1058,$K1046),""))</f>
        <v/>
      </c>
      <c r="D1046" t="str">
        <f>IF(ISNUMBER($K1046),INDEX(РАБОТЫ!$E$2:$E$1058,$K1046),"")</f>
        <v/>
      </c>
      <c r="E1046" t="str">
        <f>IF(ISNUMBER($K1046),INDEX(РАБОТЫ!$M$2:$M$1058,$K1046),"")</f>
        <v/>
      </c>
      <c r="F1046" s="7" t="str">
        <f>IF(ISNUMBER($K1046),INDEX(РАБОТЫ!$S$2:$S$1058,$K1046),"")</f>
        <v/>
      </c>
      <c r="G1046" s="7" t="str">
        <f>IF(ISNUMBER($K1046),INDEX(РАБОТЫ!$T$2:$T$1058,$K1046),"")</f>
        <v/>
      </c>
      <c r="H1046" s="7" t="str">
        <f t="shared" ref="H1046:H1096" si="64">IF(ISNUMBER($K1046),ROUND($E1046*$F1046,2),"")</f>
        <v/>
      </c>
      <c r="I1046" s="7" t="str">
        <f t="shared" ref="I1046:I1096" si="65">IF(ISNUMBER($K1046),ROUND($E1046*$G1046,2),"")</f>
        <v/>
      </c>
      <c r="J1046" s="7" t="str">
        <f t="shared" ref="J1046:J1096" si="66">IF(ISNUMBER($K1046),$H1046+$I1046,"")</f>
        <v/>
      </c>
      <c r="K1046" t="str">
        <f>IFERROR(MATCH(1025,РАБОТЫ!$X$2:$X$1058,0),"")</f>
        <v/>
      </c>
      <c r="L1046" t="str">
        <f>IFERROR(IF(INDEX(РАБОТЫ!$W$2:$W$1058,MATCH(1025+1,РАБОТЫ!$X$2:$X$1058,0))=1,INDEX(РАБОТЫ!$V$2:$V$1058,MATCH(1025+1,РАБОТЫ!$X$2:$X$1058,0)),""),"")</f>
        <v/>
      </c>
      <c r="M1046" t="str">
        <f t="shared" ref="M1046:M1096" si="67">IF(OR(ISNUMBER($K1046),$L1046&lt;&gt;""),"показать","")</f>
        <v/>
      </c>
    </row>
    <row r="1047" spans="1:13" hidden="1" x14ac:dyDescent="0.3">
      <c r="A1047" t="str">
        <f>IF(ISNUMBER($K1047),INDEX(РАБОТЫ!$U$2:$U$1058,$K1047),"")</f>
        <v/>
      </c>
      <c r="B1047" t="str">
        <f>IF(ISNUMBER($K1047),INDEX(РАБОТЫ!$A$2:$A$1058,$K1047),"")</f>
        <v/>
      </c>
      <c r="C1047" s="4" t="str">
        <f>IF($L1047&lt;&gt;"",INDEX(РАБОТЫ!$Z$2:$Z$1058,MATCH($L1047,РАБОТЫ!$V$2:$V$1058,0)),IF(ISNUMBER($K1047),INDEX(РАБОТЫ!$Y$2:$Y$1058,$K1047),""))</f>
        <v/>
      </c>
      <c r="D1047" t="str">
        <f>IF(ISNUMBER($K1047),INDEX(РАБОТЫ!$E$2:$E$1058,$K1047),"")</f>
        <v/>
      </c>
      <c r="E1047" t="str">
        <f>IF(ISNUMBER($K1047),INDEX(РАБОТЫ!$M$2:$M$1058,$K1047),"")</f>
        <v/>
      </c>
      <c r="F1047" s="7" t="str">
        <f>IF(ISNUMBER($K1047),INDEX(РАБОТЫ!$S$2:$S$1058,$K1047),"")</f>
        <v/>
      </c>
      <c r="G1047" s="7" t="str">
        <f>IF(ISNUMBER($K1047),INDEX(РАБОТЫ!$T$2:$T$1058,$K1047),"")</f>
        <v/>
      </c>
      <c r="H1047" s="7" t="str">
        <f t="shared" si="64"/>
        <v/>
      </c>
      <c r="I1047" s="7" t="str">
        <f t="shared" si="65"/>
        <v/>
      </c>
      <c r="J1047" s="7" t="str">
        <f t="shared" si="66"/>
        <v/>
      </c>
      <c r="K1047" t="str">
        <f>IFERROR(MATCH(1026,РАБОТЫ!$X$2:$X$1058,0),"")</f>
        <v/>
      </c>
      <c r="L1047" t="str">
        <f>IFERROR(IF(INDEX(РАБОТЫ!$W$2:$W$1058,MATCH(1026+1,РАБОТЫ!$X$2:$X$1058,0))=1,INDEX(РАБОТЫ!$V$2:$V$1058,MATCH(1026+1,РАБОТЫ!$X$2:$X$1058,0)),""),"")</f>
        <v/>
      </c>
      <c r="M1047" t="str">
        <f t="shared" si="67"/>
        <v/>
      </c>
    </row>
    <row r="1048" spans="1:13" hidden="1" x14ac:dyDescent="0.3">
      <c r="A1048" t="str">
        <f>IF(ISNUMBER($K1048),INDEX(РАБОТЫ!$U$2:$U$1058,$K1048),"")</f>
        <v/>
      </c>
      <c r="B1048" t="str">
        <f>IF(ISNUMBER($K1048),INDEX(РАБОТЫ!$A$2:$A$1058,$K1048),"")</f>
        <v/>
      </c>
      <c r="C1048" s="4" t="str">
        <f>IF($L1048&lt;&gt;"",INDEX(РАБОТЫ!$Z$2:$Z$1058,MATCH($L1048,РАБОТЫ!$V$2:$V$1058,0)),IF(ISNUMBER($K1048),INDEX(РАБОТЫ!$Y$2:$Y$1058,$K1048),""))</f>
        <v/>
      </c>
      <c r="D1048" t="str">
        <f>IF(ISNUMBER($K1048),INDEX(РАБОТЫ!$E$2:$E$1058,$K1048),"")</f>
        <v/>
      </c>
      <c r="E1048" t="str">
        <f>IF(ISNUMBER($K1048),INDEX(РАБОТЫ!$M$2:$M$1058,$K1048),"")</f>
        <v/>
      </c>
      <c r="F1048" s="7" t="str">
        <f>IF(ISNUMBER($K1048),INDEX(РАБОТЫ!$S$2:$S$1058,$K1048),"")</f>
        <v/>
      </c>
      <c r="G1048" s="7" t="str">
        <f>IF(ISNUMBER($K1048),INDEX(РАБОТЫ!$T$2:$T$1058,$K1048),"")</f>
        <v/>
      </c>
      <c r="H1048" s="7" t="str">
        <f t="shared" si="64"/>
        <v/>
      </c>
      <c r="I1048" s="7" t="str">
        <f t="shared" si="65"/>
        <v/>
      </c>
      <c r="J1048" s="7" t="str">
        <f t="shared" si="66"/>
        <v/>
      </c>
      <c r="K1048" t="str">
        <f>IFERROR(MATCH(1027,РАБОТЫ!$X$2:$X$1058,0),"")</f>
        <v/>
      </c>
      <c r="L1048" t="str">
        <f>IFERROR(IF(INDEX(РАБОТЫ!$W$2:$W$1058,MATCH(1027+1,РАБОТЫ!$X$2:$X$1058,0))=1,INDEX(РАБОТЫ!$V$2:$V$1058,MATCH(1027+1,РАБОТЫ!$X$2:$X$1058,0)),""),"")</f>
        <v/>
      </c>
      <c r="M1048" t="str">
        <f t="shared" si="67"/>
        <v/>
      </c>
    </row>
    <row r="1049" spans="1:13" hidden="1" x14ac:dyDescent="0.3">
      <c r="A1049" t="str">
        <f>IF(ISNUMBER($K1049),INDEX(РАБОТЫ!$U$2:$U$1058,$K1049),"")</f>
        <v/>
      </c>
      <c r="B1049" t="str">
        <f>IF(ISNUMBER($K1049),INDEX(РАБОТЫ!$A$2:$A$1058,$K1049),"")</f>
        <v/>
      </c>
      <c r="C1049" s="4" t="str">
        <f>IF($L1049&lt;&gt;"",INDEX(РАБОТЫ!$Z$2:$Z$1058,MATCH($L1049,РАБОТЫ!$V$2:$V$1058,0)),IF(ISNUMBER($K1049),INDEX(РАБОТЫ!$Y$2:$Y$1058,$K1049),""))</f>
        <v/>
      </c>
      <c r="D1049" t="str">
        <f>IF(ISNUMBER($K1049),INDEX(РАБОТЫ!$E$2:$E$1058,$K1049),"")</f>
        <v/>
      </c>
      <c r="E1049" t="str">
        <f>IF(ISNUMBER($K1049),INDEX(РАБОТЫ!$M$2:$M$1058,$K1049),"")</f>
        <v/>
      </c>
      <c r="F1049" s="7" t="str">
        <f>IF(ISNUMBER($K1049),INDEX(РАБОТЫ!$S$2:$S$1058,$K1049),"")</f>
        <v/>
      </c>
      <c r="G1049" s="7" t="str">
        <f>IF(ISNUMBER($K1049),INDEX(РАБОТЫ!$T$2:$T$1058,$K1049),"")</f>
        <v/>
      </c>
      <c r="H1049" s="7" t="str">
        <f t="shared" si="64"/>
        <v/>
      </c>
      <c r="I1049" s="7" t="str">
        <f t="shared" si="65"/>
        <v/>
      </c>
      <c r="J1049" s="7" t="str">
        <f t="shared" si="66"/>
        <v/>
      </c>
      <c r="K1049" t="str">
        <f>IFERROR(MATCH(1028,РАБОТЫ!$X$2:$X$1058,0),"")</f>
        <v/>
      </c>
      <c r="L1049" t="str">
        <f>IFERROR(IF(INDEX(РАБОТЫ!$W$2:$W$1058,MATCH(1028+1,РАБОТЫ!$X$2:$X$1058,0))=1,INDEX(РАБОТЫ!$V$2:$V$1058,MATCH(1028+1,РАБОТЫ!$X$2:$X$1058,0)),""),"")</f>
        <v/>
      </c>
      <c r="M1049" t="str">
        <f t="shared" si="67"/>
        <v/>
      </c>
    </row>
    <row r="1050" spans="1:13" hidden="1" x14ac:dyDescent="0.3">
      <c r="A1050" t="str">
        <f>IF(ISNUMBER($K1050),INDEX(РАБОТЫ!$U$2:$U$1058,$K1050),"")</f>
        <v/>
      </c>
      <c r="B1050" t="str">
        <f>IF(ISNUMBER($K1050),INDEX(РАБОТЫ!$A$2:$A$1058,$K1050),"")</f>
        <v/>
      </c>
      <c r="C1050" s="4" t="str">
        <f>IF($L1050&lt;&gt;"",INDEX(РАБОТЫ!$Z$2:$Z$1058,MATCH($L1050,РАБОТЫ!$V$2:$V$1058,0)),IF(ISNUMBER($K1050),INDEX(РАБОТЫ!$Y$2:$Y$1058,$K1050),""))</f>
        <v/>
      </c>
      <c r="D1050" t="str">
        <f>IF(ISNUMBER($K1050),INDEX(РАБОТЫ!$E$2:$E$1058,$K1050),"")</f>
        <v/>
      </c>
      <c r="E1050" t="str">
        <f>IF(ISNUMBER($K1050),INDEX(РАБОТЫ!$M$2:$M$1058,$K1050),"")</f>
        <v/>
      </c>
      <c r="F1050" s="7" t="str">
        <f>IF(ISNUMBER($K1050),INDEX(РАБОТЫ!$S$2:$S$1058,$K1050),"")</f>
        <v/>
      </c>
      <c r="G1050" s="7" t="str">
        <f>IF(ISNUMBER($K1050),INDEX(РАБОТЫ!$T$2:$T$1058,$K1050),"")</f>
        <v/>
      </c>
      <c r="H1050" s="7" t="str">
        <f t="shared" si="64"/>
        <v/>
      </c>
      <c r="I1050" s="7" t="str">
        <f t="shared" si="65"/>
        <v/>
      </c>
      <c r="J1050" s="7" t="str">
        <f t="shared" si="66"/>
        <v/>
      </c>
      <c r="K1050" t="str">
        <f>IFERROR(MATCH(1029,РАБОТЫ!$X$2:$X$1058,0),"")</f>
        <v/>
      </c>
      <c r="L1050" t="str">
        <f>IFERROR(IF(INDEX(РАБОТЫ!$W$2:$W$1058,MATCH(1029+1,РАБОТЫ!$X$2:$X$1058,0))=1,INDEX(РАБОТЫ!$V$2:$V$1058,MATCH(1029+1,РАБОТЫ!$X$2:$X$1058,0)),""),"")</f>
        <v/>
      </c>
      <c r="M1050" t="str">
        <f t="shared" si="67"/>
        <v/>
      </c>
    </row>
    <row r="1051" spans="1:13" hidden="1" x14ac:dyDescent="0.3">
      <c r="A1051" t="str">
        <f>IF(ISNUMBER($K1051),INDEX(РАБОТЫ!$U$2:$U$1058,$K1051),"")</f>
        <v/>
      </c>
      <c r="B1051" t="str">
        <f>IF(ISNUMBER($K1051),INDEX(РАБОТЫ!$A$2:$A$1058,$K1051),"")</f>
        <v/>
      </c>
      <c r="C1051" s="4" t="str">
        <f>IF($L1051&lt;&gt;"",INDEX(РАБОТЫ!$Z$2:$Z$1058,MATCH($L1051,РАБОТЫ!$V$2:$V$1058,0)),IF(ISNUMBER($K1051),INDEX(РАБОТЫ!$Y$2:$Y$1058,$K1051),""))</f>
        <v/>
      </c>
      <c r="D1051" t="str">
        <f>IF(ISNUMBER($K1051),INDEX(РАБОТЫ!$E$2:$E$1058,$K1051),"")</f>
        <v/>
      </c>
      <c r="E1051" t="str">
        <f>IF(ISNUMBER($K1051),INDEX(РАБОТЫ!$M$2:$M$1058,$K1051),"")</f>
        <v/>
      </c>
      <c r="F1051" s="7" t="str">
        <f>IF(ISNUMBER($K1051),INDEX(РАБОТЫ!$S$2:$S$1058,$K1051),"")</f>
        <v/>
      </c>
      <c r="G1051" s="7" t="str">
        <f>IF(ISNUMBER($K1051),INDEX(РАБОТЫ!$T$2:$T$1058,$K1051),"")</f>
        <v/>
      </c>
      <c r="H1051" s="7" t="str">
        <f t="shared" si="64"/>
        <v/>
      </c>
      <c r="I1051" s="7" t="str">
        <f t="shared" si="65"/>
        <v/>
      </c>
      <c r="J1051" s="7" t="str">
        <f t="shared" si="66"/>
        <v/>
      </c>
      <c r="K1051" t="str">
        <f>IFERROR(MATCH(1030,РАБОТЫ!$X$2:$X$1058,0),"")</f>
        <v/>
      </c>
      <c r="L1051" t="str">
        <f>IFERROR(IF(INDEX(РАБОТЫ!$W$2:$W$1058,MATCH(1030+1,РАБОТЫ!$X$2:$X$1058,0))=1,INDEX(РАБОТЫ!$V$2:$V$1058,MATCH(1030+1,РАБОТЫ!$X$2:$X$1058,0)),""),"")</f>
        <v/>
      </c>
      <c r="M1051" t="str">
        <f t="shared" si="67"/>
        <v/>
      </c>
    </row>
    <row r="1052" spans="1:13" hidden="1" x14ac:dyDescent="0.3">
      <c r="A1052" t="str">
        <f>IF(ISNUMBER($K1052),INDEX(РАБОТЫ!$U$2:$U$1058,$K1052),"")</f>
        <v/>
      </c>
      <c r="B1052" t="str">
        <f>IF(ISNUMBER($K1052),INDEX(РАБОТЫ!$A$2:$A$1058,$K1052),"")</f>
        <v/>
      </c>
      <c r="C1052" s="4" t="str">
        <f>IF($L1052&lt;&gt;"",INDEX(РАБОТЫ!$Z$2:$Z$1058,MATCH($L1052,РАБОТЫ!$V$2:$V$1058,0)),IF(ISNUMBER($K1052),INDEX(РАБОТЫ!$Y$2:$Y$1058,$K1052),""))</f>
        <v/>
      </c>
      <c r="D1052" t="str">
        <f>IF(ISNUMBER($K1052),INDEX(РАБОТЫ!$E$2:$E$1058,$K1052),"")</f>
        <v/>
      </c>
      <c r="E1052" t="str">
        <f>IF(ISNUMBER($K1052),INDEX(РАБОТЫ!$M$2:$M$1058,$K1052),"")</f>
        <v/>
      </c>
      <c r="F1052" s="7" t="str">
        <f>IF(ISNUMBER($K1052),INDEX(РАБОТЫ!$S$2:$S$1058,$K1052),"")</f>
        <v/>
      </c>
      <c r="G1052" s="7" t="str">
        <f>IF(ISNUMBER($K1052),INDEX(РАБОТЫ!$T$2:$T$1058,$K1052),"")</f>
        <v/>
      </c>
      <c r="H1052" s="7" t="str">
        <f t="shared" si="64"/>
        <v/>
      </c>
      <c r="I1052" s="7" t="str">
        <f t="shared" si="65"/>
        <v/>
      </c>
      <c r="J1052" s="7" t="str">
        <f t="shared" si="66"/>
        <v/>
      </c>
      <c r="K1052" t="str">
        <f>IFERROR(MATCH(1031,РАБОТЫ!$X$2:$X$1058,0),"")</f>
        <v/>
      </c>
      <c r="L1052" t="str">
        <f>IFERROR(IF(INDEX(РАБОТЫ!$W$2:$W$1058,MATCH(1031+1,РАБОТЫ!$X$2:$X$1058,0))=1,INDEX(РАБОТЫ!$V$2:$V$1058,MATCH(1031+1,РАБОТЫ!$X$2:$X$1058,0)),""),"")</f>
        <v/>
      </c>
      <c r="M1052" t="str">
        <f t="shared" si="67"/>
        <v/>
      </c>
    </row>
    <row r="1053" spans="1:13" hidden="1" x14ac:dyDescent="0.3">
      <c r="A1053" t="str">
        <f>IF(ISNUMBER($K1053),INDEX(РАБОТЫ!$U$2:$U$1058,$K1053),"")</f>
        <v/>
      </c>
      <c r="B1053" t="str">
        <f>IF(ISNUMBER($K1053),INDEX(РАБОТЫ!$A$2:$A$1058,$K1053),"")</f>
        <v/>
      </c>
      <c r="C1053" s="4" t="str">
        <f>IF($L1053&lt;&gt;"",INDEX(РАБОТЫ!$Z$2:$Z$1058,MATCH($L1053,РАБОТЫ!$V$2:$V$1058,0)),IF(ISNUMBER($K1053),INDEX(РАБОТЫ!$Y$2:$Y$1058,$K1053),""))</f>
        <v/>
      </c>
      <c r="D1053" t="str">
        <f>IF(ISNUMBER($K1053),INDEX(РАБОТЫ!$E$2:$E$1058,$K1053),"")</f>
        <v/>
      </c>
      <c r="E1053" t="str">
        <f>IF(ISNUMBER($K1053),INDEX(РАБОТЫ!$M$2:$M$1058,$K1053),"")</f>
        <v/>
      </c>
      <c r="F1053" s="7" t="str">
        <f>IF(ISNUMBER($K1053),INDEX(РАБОТЫ!$S$2:$S$1058,$K1053),"")</f>
        <v/>
      </c>
      <c r="G1053" s="7" t="str">
        <f>IF(ISNUMBER($K1053),INDEX(РАБОТЫ!$T$2:$T$1058,$K1053),"")</f>
        <v/>
      </c>
      <c r="H1053" s="7" t="str">
        <f t="shared" si="64"/>
        <v/>
      </c>
      <c r="I1053" s="7" t="str">
        <f t="shared" si="65"/>
        <v/>
      </c>
      <c r="J1053" s="7" t="str">
        <f t="shared" si="66"/>
        <v/>
      </c>
      <c r="K1053" t="str">
        <f>IFERROR(MATCH(1032,РАБОТЫ!$X$2:$X$1058,0),"")</f>
        <v/>
      </c>
      <c r="L1053" t="str">
        <f>IFERROR(IF(INDEX(РАБОТЫ!$W$2:$W$1058,MATCH(1032+1,РАБОТЫ!$X$2:$X$1058,0))=1,INDEX(РАБОТЫ!$V$2:$V$1058,MATCH(1032+1,РАБОТЫ!$X$2:$X$1058,0)),""),"")</f>
        <v/>
      </c>
      <c r="M1053" t="str">
        <f t="shared" si="67"/>
        <v/>
      </c>
    </row>
    <row r="1054" spans="1:13" hidden="1" x14ac:dyDescent="0.3">
      <c r="A1054" t="str">
        <f>IF(ISNUMBER($K1054),INDEX(РАБОТЫ!$U$2:$U$1058,$K1054),"")</f>
        <v/>
      </c>
      <c r="B1054" t="str">
        <f>IF(ISNUMBER($K1054),INDEX(РАБОТЫ!$A$2:$A$1058,$K1054),"")</f>
        <v/>
      </c>
      <c r="C1054" s="4" t="str">
        <f>IF($L1054&lt;&gt;"",INDEX(РАБОТЫ!$Z$2:$Z$1058,MATCH($L1054,РАБОТЫ!$V$2:$V$1058,0)),IF(ISNUMBER($K1054),INDEX(РАБОТЫ!$Y$2:$Y$1058,$K1054),""))</f>
        <v/>
      </c>
      <c r="D1054" t="str">
        <f>IF(ISNUMBER($K1054),INDEX(РАБОТЫ!$E$2:$E$1058,$K1054),"")</f>
        <v/>
      </c>
      <c r="E1054" t="str">
        <f>IF(ISNUMBER($K1054),INDEX(РАБОТЫ!$M$2:$M$1058,$K1054),"")</f>
        <v/>
      </c>
      <c r="F1054" s="7" t="str">
        <f>IF(ISNUMBER($K1054),INDEX(РАБОТЫ!$S$2:$S$1058,$K1054),"")</f>
        <v/>
      </c>
      <c r="G1054" s="7" t="str">
        <f>IF(ISNUMBER($K1054),INDEX(РАБОТЫ!$T$2:$T$1058,$K1054),"")</f>
        <v/>
      </c>
      <c r="H1054" s="7" t="str">
        <f t="shared" si="64"/>
        <v/>
      </c>
      <c r="I1054" s="7" t="str">
        <f t="shared" si="65"/>
        <v/>
      </c>
      <c r="J1054" s="7" t="str">
        <f t="shared" si="66"/>
        <v/>
      </c>
      <c r="K1054" t="str">
        <f>IFERROR(MATCH(1033,РАБОТЫ!$X$2:$X$1058,0),"")</f>
        <v/>
      </c>
      <c r="L1054" t="str">
        <f>IFERROR(IF(INDEX(РАБОТЫ!$W$2:$W$1058,MATCH(1033+1,РАБОТЫ!$X$2:$X$1058,0))=1,INDEX(РАБОТЫ!$V$2:$V$1058,MATCH(1033+1,РАБОТЫ!$X$2:$X$1058,0)),""),"")</f>
        <v/>
      </c>
      <c r="M1054" t="str">
        <f t="shared" si="67"/>
        <v/>
      </c>
    </row>
    <row r="1055" spans="1:13" hidden="1" x14ac:dyDescent="0.3">
      <c r="A1055" t="str">
        <f>IF(ISNUMBER($K1055),INDEX(РАБОТЫ!$U$2:$U$1058,$K1055),"")</f>
        <v/>
      </c>
      <c r="B1055" t="str">
        <f>IF(ISNUMBER($K1055),INDEX(РАБОТЫ!$A$2:$A$1058,$K1055),"")</f>
        <v/>
      </c>
      <c r="C1055" s="4" t="str">
        <f>IF($L1055&lt;&gt;"",INDEX(РАБОТЫ!$Z$2:$Z$1058,MATCH($L1055,РАБОТЫ!$V$2:$V$1058,0)),IF(ISNUMBER($K1055),INDEX(РАБОТЫ!$Y$2:$Y$1058,$K1055),""))</f>
        <v/>
      </c>
      <c r="D1055" t="str">
        <f>IF(ISNUMBER($K1055),INDEX(РАБОТЫ!$E$2:$E$1058,$K1055),"")</f>
        <v/>
      </c>
      <c r="E1055" t="str">
        <f>IF(ISNUMBER($K1055),INDEX(РАБОТЫ!$M$2:$M$1058,$K1055),"")</f>
        <v/>
      </c>
      <c r="F1055" s="7" t="str">
        <f>IF(ISNUMBER($K1055),INDEX(РАБОТЫ!$S$2:$S$1058,$K1055),"")</f>
        <v/>
      </c>
      <c r="G1055" s="7" t="str">
        <f>IF(ISNUMBER($K1055),INDEX(РАБОТЫ!$T$2:$T$1058,$K1055),"")</f>
        <v/>
      </c>
      <c r="H1055" s="7" t="str">
        <f t="shared" si="64"/>
        <v/>
      </c>
      <c r="I1055" s="7" t="str">
        <f t="shared" si="65"/>
        <v/>
      </c>
      <c r="J1055" s="7" t="str">
        <f t="shared" si="66"/>
        <v/>
      </c>
      <c r="K1055" t="str">
        <f>IFERROR(MATCH(1034,РАБОТЫ!$X$2:$X$1058,0),"")</f>
        <v/>
      </c>
      <c r="L1055" t="str">
        <f>IFERROR(IF(INDEX(РАБОТЫ!$W$2:$W$1058,MATCH(1034+1,РАБОТЫ!$X$2:$X$1058,0))=1,INDEX(РАБОТЫ!$V$2:$V$1058,MATCH(1034+1,РАБОТЫ!$X$2:$X$1058,0)),""),"")</f>
        <v/>
      </c>
      <c r="M1055" t="str">
        <f t="shared" si="67"/>
        <v/>
      </c>
    </row>
    <row r="1056" spans="1:13" hidden="1" x14ac:dyDescent="0.3">
      <c r="A1056" t="str">
        <f>IF(ISNUMBER($K1056),INDEX(РАБОТЫ!$U$2:$U$1058,$K1056),"")</f>
        <v/>
      </c>
      <c r="B1056" t="str">
        <f>IF(ISNUMBER($K1056),INDEX(РАБОТЫ!$A$2:$A$1058,$K1056),"")</f>
        <v/>
      </c>
      <c r="C1056" s="4" t="str">
        <f>IF($L1056&lt;&gt;"",INDEX(РАБОТЫ!$Z$2:$Z$1058,MATCH($L1056,РАБОТЫ!$V$2:$V$1058,0)),IF(ISNUMBER($K1056),INDEX(РАБОТЫ!$Y$2:$Y$1058,$K1056),""))</f>
        <v/>
      </c>
      <c r="D1056" t="str">
        <f>IF(ISNUMBER($K1056),INDEX(РАБОТЫ!$E$2:$E$1058,$K1056),"")</f>
        <v/>
      </c>
      <c r="E1056" t="str">
        <f>IF(ISNUMBER($K1056),INDEX(РАБОТЫ!$M$2:$M$1058,$K1056),"")</f>
        <v/>
      </c>
      <c r="F1056" s="7" t="str">
        <f>IF(ISNUMBER($K1056),INDEX(РАБОТЫ!$S$2:$S$1058,$K1056),"")</f>
        <v/>
      </c>
      <c r="G1056" s="7" t="str">
        <f>IF(ISNUMBER($K1056),INDEX(РАБОТЫ!$T$2:$T$1058,$K1056),"")</f>
        <v/>
      </c>
      <c r="H1056" s="7" t="str">
        <f t="shared" si="64"/>
        <v/>
      </c>
      <c r="I1056" s="7" t="str">
        <f t="shared" si="65"/>
        <v/>
      </c>
      <c r="J1056" s="7" t="str">
        <f t="shared" si="66"/>
        <v/>
      </c>
      <c r="K1056" t="str">
        <f>IFERROR(MATCH(1035,РАБОТЫ!$X$2:$X$1058,0),"")</f>
        <v/>
      </c>
      <c r="L1056" t="str">
        <f>IFERROR(IF(INDEX(РАБОТЫ!$W$2:$W$1058,MATCH(1035+1,РАБОТЫ!$X$2:$X$1058,0))=1,INDEX(РАБОТЫ!$V$2:$V$1058,MATCH(1035+1,РАБОТЫ!$X$2:$X$1058,0)),""),"")</f>
        <v/>
      </c>
      <c r="M1056" t="str">
        <f t="shared" si="67"/>
        <v/>
      </c>
    </row>
    <row r="1057" spans="1:13" hidden="1" x14ac:dyDescent="0.3">
      <c r="A1057" t="str">
        <f>IF(ISNUMBER($K1057),INDEX(РАБОТЫ!$U$2:$U$1058,$K1057),"")</f>
        <v/>
      </c>
      <c r="B1057" t="str">
        <f>IF(ISNUMBER($K1057),INDEX(РАБОТЫ!$A$2:$A$1058,$K1057),"")</f>
        <v/>
      </c>
      <c r="C1057" s="4" t="str">
        <f>IF($L1057&lt;&gt;"",INDEX(РАБОТЫ!$Z$2:$Z$1058,MATCH($L1057,РАБОТЫ!$V$2:$V$1058,0)),IF(ISNUMBER($K1057),INDEX(РАБОТЫ!$Y$2:$Y$1058,$K1057),""))</f>
        <v/>
      </c>
      <c r="D1057" t="str">
        <f>IF(ISNUMBER($K1057),INDEX(РАБОТЫ!$E$2:$E$1058,$K1057),"")</f>
        <v/>
      </c>
      <c r="E1057" t="str">
        <f>IF(ISNUMBER($K1057),INDEX(РАБОТЫ!$M$2:$M$1058,$K1057),"")</f>
        <v/>
      </c>
      <c r="F1057" s="7" t="str">
        <f>IF(ISNUMBER($K1057),INDEX(РАБОТЫ!$S$2:$S$1058,$K1057),"")</f>
        <v/>
      </c>
      <c r="G1057" s="7" t="str">
        <f>IF(ISNUMBER($K1057),INDEX(РАБОТЫ!$T$2:$T$1058,$K1057),"")</f>
        <v/>
      </c>
      <c r="H1057" s="7" t="str">
        <f t="shared" si="64"/>
        <v/>
      </c>
      <c r="I1057" s="7" t="str">
        <f t="shared" si="65"/>
        <v/>
      </c>
      <c r="J1057" s="7" t="str">
        <f t="shared" si="66"/>
        <v/>
      </c>
      <c r="K1057" t="str">
        <f>IFERROR(MATCH(1036,РАБОТЫ!$X$2:$X$1058,0),"")</f>
        <v/>
      </c>
      <c r="L1057" t="str">
        <f>IFERROR(IF(INDEX(РАБОТЫ!$W$2:$W$1058,MATCH(1036+1,РАБОТЫ!$X$2:$X$1058,0))=1,INDEX(РАБОТЫ!$V$2:$V$1058,MATCH(1036+1,РАБОТЫ!$X$2:$X$1058,0)),""),"")</f>
        <v/>
      </c>
      <c r="M1057" t="str">
        <f t="shared" si="67"/>
        <v/>
      </c>
    </row>
    <row r="1058" spans="1:13" hidden="1" x14ac:dyDescent="0.3">
      <c r="A1058" t="str">
        <f>IF(ISNUMBER($K1058),INDEX(РАБОТЫ!$U$2:$U$1058,$K1058),"")</f>
        <v/>
      </c>
      <c r="B1058" t="str">
        <f>IF(ISNUMBER($K1058),INDEX(РАБОТЫ!$A$2:$A$1058,$K1058),"")</f>
        <v/>
      </c>
      <c r="C1058" s="4" t="str">
        <f>IF($L1058&lt;&gt;"",INDEX(РАБОТЫ!$Z$2:$Z$1058,MATCH($L1058,РАБОТЫ!$V$2:$V$1058,0)),IF(ISNUMBER($K1058),INDEX(РАБОТЫ!$Y$2:$Y$1058,$K1058),""))</f>
        <v/>
      </c>
      <c r="D1058" t="str">
        <f>IF(ISNUMBER($K1058),INDEX(РАБОТЫ!$E$2:$E$1058,$K1058),"")</f>
        <v/>
      </c>
      <c r="E1058" t="str">
        <f>IF(ISNUMBER($K1058),INDEX(РАБОТЫ!$M$2:$M$1058,$K1058),"")</f>
        <v/>
      </c>
      <c r="F1058" s="7" t="str">
        <f>IF(ISNUMBER($K1058),INDEX(РАБОТЫ!$S$2:$S$1058,$K1058),"")</f>
        <v/>
      </c>
      <c r="G1058" s="7" t="str">
        <f>IF(ISNUMBER($K1058),INDEX(РАБОТЫ!$T$2:$T$1058,$K1058),"")</f>
        <v/>
      </c>
      <c r="H1058" s="7" t="str">
        <f t="shared" si="64"/>
        <v/>
      </c>
      <c r="I1058" s="7" t="str">
        <f t="shared" si="65"/>
        <v/>
      </c>
      <c r="J1058" s="7" t="str">
        <f t="shared" si="66"/>
        <v/>
      </c>
      <c r="K1058" t="str">
        <f>IFERROR(MATCH(1037,РАБОТЫ!$X$2:$X$1058,0),"")</f>
        <v/>
      </c>
      <c r="L1058" t="str">
        <f>IFERROR(IF(INDEX(РАБОТЫ!$W$2:$W$1058,MATCH(1037+1,РАБОТЫ!$X$2:$X$1058,0))=1,INDEX(РАБОТЫ!$V$2:$V$1058,MATCH(1037+1,РАБОТЫ!$X$2:$X$1058,0)),""),"")</f>
        <v/>
      </c>
      <c r="M1058" t="str">
        <f t="shared" si="67"/>
        <v/>
      </c>
    </row>
    <row r="1059" spans="1:13" hidden="1" x14ac:dyDescent="0.3">
      <c r="A1059" t="str">
        <f>IF(ISNUMBER($K1059),INDEX(РАБОТЫ!$U$2:$U$1058,$K1059),"")</f>
        <v/>
      </c>
      <c r="B1059" t="str">
        <f>IF(ISNUMBER($K1059),INDEX(РАБОТЫ!$A$2:$A$1058,$K1059),"")</f>
        <v/>
      </c>
      <c r="C1059" s="4" t="str">
        <f>IF($L1059&lt;&gt;"",INDEX(РАБОТЫ!$Z$2:$Z$1058,MATCH($L1059,РАБОТЫ!$V$2:$V$1058,0)),IF(ISNUMBER($K1059),INDEX(РАБОТЫ!$Y$2:$Y$1058,$K1059),""))</f>
        <v/>
      </c>
      <c r="D1059" t="str">
        <f>IF(ISNUMBER($K1059),INDEX(РАБОТЫ!$E$2:$E$1058,$K1059),"")</f>
        <v/>
      </c>
      <c r="E1059" t="str">
        <f>IF(ISNUMBER($K1059),INDEX(РАБОТЫ!$M$2:$M$1058,$K1059),"")</f>
        <v/>
      </c>
      <c r="F1059" s="7" t="str">
        <f>IF(ISNUMBER($K1059),INDEX(РАБОТЫ!$S$2:$S$1058,$K1059),"")</f>
        <v/>
      </c>
      <c r="G1059" s="7" t="str">
        <f>IF(ISNUMBER($K1059),INDEX(РАБОТЫ!$T$2:$T$1058,$K1059),"")</f>
        <v/>
      </c>
      <c r="H1059" s="7" t="str">
        <f t="shared" si="64"/>
        <v/>
      </c>
      <c r="I1059" s="7" t="str">
        <f t="shared" si="65"/>
        <v/>
      </c>
      <c r="J1059" s="7" t="str">
        <f t="shared" si="66"/>
        <v/>
      </c>
      <c r="K1059" t="str">
        <f>IFERROR(MATCH(1038,РАБОТЫ!$X$2:$X$1058,0),"")</f>
        <v/>
      </c>
      <c r="L1059" t="str">
        <f>IFERROR(IF(INDEX(РАБОТЫ!$W$2:$W$1058,MATCH(1038+1,РАБОТЫ!$X$2:$X$1058,0))=1,INDEX(РАБОТЫ!$V$2:$V$1058,MATCH(1038+1,РАБОТЫ!$X$2:$X$1058,0)),""),"")</f>
        <v/>
      </c>
      <c r="M1059" t="str">
        <f t="shared" si="67"/>
        <v/>
      </c>
    </row>
    <row r="1060" spans="1:13" hidden="1" x14ac:dyDescent="0.3">
      <c r="A1060" t="str">
        <f>IF(ISNUMBER($K1060),INDEX(РАБОТЫ!$U$2:$U$1058,$K1060),"")</f>
        <v/>
      </c>
      <c r="B1060" t="str">
        <f>IF(ISNUMBER($K1060),INDEX(РАБОТЫ!$A$2:$A$1058,$K1060),"")</f>
        <v/>
      </c>
      <c r="C1060" s="4" t="str">
        <f>IF($L1060&lt;&gt;"",INDEX(РАБОТЫ!$Z$2:$Z$1058,MATCH($L1060,РАБОТЫ!$V$2:$V$1058,0)),IF(ISNUMBER($K1060),INDEX(РАБОТЫ!$Y$2:$Y$1058,$K1060),""))</f>
        <v/>
      </c>
      <c r="D1060" t="str">
        <f>IF(ISNUMBER($K1060),INDEX(РАБОТЫ!$E$2:$E$1058,$K1060),"")</f>
        <v/>
      </c>
      <c r="E1060" t="str">
        <f>IF(ISNUMBER($K1060),INDEX(РАБОТЫ!$M$2:$M$1058,$K1060),"")</f>
        <v/>
      </c>
      <c r="F1060" s="7" t="str">
        <f>IF(ISNUMBER($K1060),INDEX(РАБОТЫ!$S$2:$S$1058,$K1060),"")</f>
        <v/>
      </c>
      <c r="G1060" s="7" t="str">
        <f>IF(ISNUMBER($K1060),INDEX(РАБОТЫ!$T$2:$T$1058,$K1060),"")</f>
        <v/>
      </c>
      <c r="H1060" s="7" t="str">
        <f t="shared" si="64"/>
        <v/>
      </c>
      <c r="I1060" s="7" t="str">
        <f t="shared" si="65"/>
        <v/>
      </c>
      <c r="J1060" s="7" t="str">
        <f t="shared" si="66"/>
        <v/>
      </c>
      <c r="K1060" t="str">
        <f>IFERROR(MATCH(1039,РАБОТЫ!$X$2:$X$1058,0),"")</f>
        <v/>
      </c>
      <c r="L1060" t="str">
        <f>IFERROR(IF(INDEX(РАБОТЫ!$W$2:$W$1058,MATCH(1039+1,РАБОТЫ!$X$2:$X$1058,0))=1,INDEX(РАБОТЫ!$V$2:$V$1058,MATCH(1039+1,РАБОТЫ!$X$2:$X$1058,0)),""),"")</f>
        <v/>
      </c>
      <c r="M1060" t="str">
        <f t="shared" si="67"/>
        <v/>
      </c>
    </row>
    <row r="1061" spans="1:13" hidden="1" x14ac:dyDescent="0.3">
      <c r="A1061" t="str">
        <f>IF(ISNUMBER($K1061),INDEX(РАБОТЫ!$U$2:$U$1058,$K1061),"")</f>
        <v/>
      </c>
      <c r="B1061" t="str">
        <f>IF(ISNUMBER($K1061),INDEX(РАБОТЫ!$A$2:$A$1058,$K1061),"")</f>
        <v/>
      </c>
      <c r="C1061" s="4" t="str">
        <f>IF($L1061&lt;&gt;"",INDEX(РАБОТЫ!$Z$2:$Z$1058,MATCH($L1061,РАБОТЫ!$V$2:$V$1058,0)),IF(ISNUMBER($K1061),INDEX(РАБОТЫ!$Y$2:$Y$1058,$K1061),""))</f>
        <v/>
      </c>
      <c r="D1061" t="str">
        <f>IF(ISNUMBER($K1061),INDEX(РАБОТЫ!$E$2:$E$1058,$K1061),"")</f>
        <v/>
      </c>
      <c r="E1061" t="str">
        <f>IF(ISNUMBER($K1061),INDEX(РАБОТЫ!$M$2:$M$1058,$K1061),"")</f>
        <v/>
      </c>
      <c r="F1061" s="7" t="str">
        <f>IF(ISNUMBER($K1061),INDEX(РАБОТЫ!$S$2:$S$1058,$K1061),"")</f>
        <v/>
      </c>
      <c r="G1061" s="7" t="str">
        <f>IF(ISNUMBER($K1061),INDEX(РАБОТЫ!$T$2:$T$1058,$K1061),"")</f>
        <v/>
      </c>
      <c r="H1061" s="7" t="str">
        <f t="shared" si="64"/>
        <v/>
      </c>
      <c r="I1061" s="7" t="str">
        <f t="shared" si="65"/>
        <v/>
      </c>
      <c r="J1061" s="7" t="str">
        <f t="shared" si="66"/>
        <v/>
      </c>
      <c r="K1061" t="str">
        <f>IFERROR(MATCH(1040,РАБОТЫ!$X$2:$X$1058,0),"")</f>
        <v/>
      </c>
      <c r="L1061" t="str">
        <f>IFERROR(IF(INDEX(РАБОТЫ!$W$2:$W$1058,MATCH(1040+1,РАБОТЫ!$X$2:$X$1058,0))=1,INDEX(РАБОТЫ!$V$2:$V$1058,MATCH(1040+1,РАБОТЫ!$X$2:$X$1058,0)),""),"")</f>
        <v/>
      </c>
      <c r="M1061" t="str">
        <f t="shared" si="67"/>
        <v/>
      </c>
    </row>
    <row r="1062" spans="1:13" hidden="1" x14ac:dyDescent="0.3">
      <c r="A1062" t="str">
        <f>IF(ISNUMBER($K1062),INDEX(РАБОТЫ!$U$2:$U$1058,$K1062),"")</f>
        <v/>
      </c>
      <c r="B1062" t="str">
        <f>IF(ISNUMBER($K1062),INDEX(РАБОТЫ!$A$2:$A$1058,$K1062),"")</f>
        <v/>
      </c>
      <c r="C1062" s="4" t="str">
        <f>IF($L1062&lt;&gt;"",INDEX(РАБОТЫ!$Z$2:$Z$1058,MATCH($L1062,РАБОТЫ!$V$2:$V$1058,0)),IF(ISNUMBER($K1062),INDEX(РАБОТЫ!$Y$2:$Y$1058,$K1062),""))</f>
        <v/>
      </c>
      <c r="D1062" t="str">
        <f>IF(ISNUMBER($K1062),INDEX(РАБОТЫ!$E$2:$E$1058,$K1062),"")</f>
        <v/>
      </c>
      <c r="E1062" t="str">
        <f>IF(ISNUMBER($K1062),INDEX(РАБОТЫ!$M$2:$M$1058,$K1062),"")</f>
        <v/>
      </c>
      <c r="F1062" s="7" t="str">
        <f>IF(ISNUMBER($K1062),INDEX(РАБОТЫ!$S$2:$S$1058,$K1062),"")</f>
        <v/>
      </c>
      <c r="G1062" s="7" t="str">
        <f>IF(ISNUMBER($K1062),INDEX(РАБОТЫ!$T$2:$T$1058,$K1062),"")</f>
        <v/>
      </c>
      <c r="H1062" s="7" t="str">
        <f t="shared" si="64"/>
        <v/>
      </c>
      <c r="I1062" s="7" t="str">
        <f t="shared" si="65"/>
        <v/>
      </c>
      <c r="J1062" s="7" t="str">
        <f t="shared" si="66"/>
        <v/>
      </c>
      <c r="K1062" t="str">
        <f>IFERROR(MATCH(1041,РАБОТЫ!$X$2:$X$1058,0),"")</f>
        <v/>
      </c>
      <c r="L1062" t="str">
        <f>IFERROR(IF(INDEX(РАБОТЫ!$W$2:$W$1058,MATCH(1041+1,РАБОТЫ!$X$2:$X$1058,0))=1,INDEX(РАБОТЫ!$V$2:$V$1058,MATCH(1041+1,РАБОТЫ!$X$2:$X$1058,0)),""),"")</f>
        <v/>
      </c>
      <c r="M1062" t="str">
        <f t="shared" si="67"/>
        <v/>
      </c>
    </row>
    <row r="1063" spans="1:13" hidden="1" x14ac:dyDescent="0.3">
      <c r="A1063" t="str">
        <f>IF(ISNUMBER($K1063),INDEX(РАБОТЫ!$U$2:$U$1058,$K1063),"")</f>
        <v/>
      </c>
      <c r="B1063" t="str">
        <f>IF(ISNUMBER($K1063),INDEX(РАБОТЫ!$A$2:$A$1058,$K1063),"")</f>
        <v/>
      </c>
      <c r="C1063" s="4" t="str">
        <f>IF($L1063&lt;&gt;"",INDEX(РАБОТЫ!$Z$2:$Z$1058,MATCH($L1063,РАБОТЫ!$V$2:$V$1058,0)),IF(ISNUMBER($K1063),INDEX(РАБОТЫ!$Y$2:$Y$1058,$K1063),""))</f>
        <v/>
      </c>
      <c r="D1063" t="str">
        <f>IF(ISNUMBER($K1063),INDEX(РАБОТЫ!$E$2:$E$1058,$K1063),"")</f>
        <v/>
      </c>
      <c r="E1063" t="str">
        <f>IF(ISNUMBER($K1063),INDEX(РАБОТЫ!$M$2:$M$1058,$K1063),"")</f>
        <v/>
      </c>
      <c r="F1063" s="7" t="str">
        <f>IF(ISNUMBER($K1063),INDEX(РАБОТЫ!$S$2:$S$1058,$K1063),"")</f>
        <v/>
      </c>
      <c r="G1063" s="7" t="str">
        <f>IF(ISNUMBER($K1063),INDEX(РАБОТЫ!$T$2:$T$1058,$K1063),"")</f>
        <v/>
      </c>
      <c r="H1063" s="7" t="str">
        <f t="shared" si="64"/>
        <v/>
      </c>
      <c r="I1063" s="7" t="str">
        <f t="shared" si="65"/>
        <v/>
      </c>
      <c r="J1063" s="7" t="str">
        <f t="shared" si="66"/>
        <v/>
      </c>
      <c r="K1063" t="str">
        <f>IFERROR(MATCH(1042,РАБОТЫ!$X$2:$X$1058,0),"")</f>
        <v/>
      </c>
      <c r="L1063" t="str">
        <f>IFERROR(IF(INDEX(РАБОТЫ!$W$2:$W$1058,MATCH(1042+1,РАБОТЫ!$X$2:$X$1058,0))=1,INDEX(РАБОТЫ!$V$2:$V$1058,MATCH(1042+1,РАБОТЫ!$X$2:$X$1058,0)),""),"")</f>
        <v/>
      </c>
      <c r="M1063" t="str">
        <f t="shared" si="67"/>
        <v/>
      </c>
    </row>
    <row r="1064" spans="1:13" hidden="1" x14ac:dyDescent="0.3">
      <c r="A1064" t="str">
        <f>IF(ISNUMBER($K1064),INDEX(РАБОТЫ!$U$2:$U$1058,$K1064),"")</f>
        <v/>
      </c>
      <c r="B1064" t="str">
        <f>IF(ISNUMBER($K1064),INDEX(РАБОТЫ!$A$2:$A$1058,$K1064),"")</f>
        <v/>
      </c>
      <c r="C1064" s="4" t="str">
        <f>IF($L1064&lt;&gt;"",INDEX(РАБОТЫ!$Z$2:$Z$1058,MATCH($L1064,РАБОТЫ!$V$2:$V$1058,0)),IF(ISNUMBER($K1064),INDEX(РАБОТЫ!$Y$2:$Y$1058,$K1064),""))</f>
        <v/>
      </c>
      <c r="D1064" t="str">
        <f>IF(ISNUMBER($K1064),INDEX(РАБОТЫ!$E$2:$E$1058,$K1064),"")</f>
        <v/>
      </c>
      <c r="E1064" t="str">
        <f>IF(ISNUMBER($K1064),INDEX(РАБОТЫ!$M$2:$M$1058,$K1064),"")</f>
        <v/>
      </c>
      <c r="F1064" s="7" t="str">
        <f>IF(ISNUMBER($K1064),INDEX(РАБОТЫ!$S$2:$S$1058,$K1064),"")</f>
        <v/>
      </c>
      <c r="G1064" s="7" t="str">
        <f>IF(ISNUMBER($K1064),INDEX(РАБОТЫ!$T$2:$T$1058,$K1064),"")</f>
        <v/>
      </c>
      <c r="H1064" s="7" t="str">
        <f t="shared" si="64"/>
        <v/>
      </c>
      <c r="I1064" s="7" t="str">
        <f t="shared" si="65"/>
        <v/>
      </c>
      <c r="J1064" s="7" t="str">
        <f t="shared" si="66"/>
        <v/>
      </c>
      <c r="K1064" t="str">
        <f>IFERROR(MATCH(1043,РАБОТЫ!$X$2:$X$1058,0),"")</f>
        <v/>
      </c>
      <c r="L1064" t="str">
        <f>IFERROR(IF(INDEX(РАБОТЫ!$W$2:$W$1058,MATCH(1043+1,РАБОТЫ!$X$2:$X$1058,0))=1,INDEX(РАБОТЫ!$V$2:$V$1058,MATCH(1043+1,РАБОТЫ!$X$2:$X$1058,0)),""),"")</f>
        <v/>
      </c>
      <c r="M1064" t="str">
        <f t="shared" si="67"/>
        <v/>
      </c>
    </row>
    <row r="1065" spans="1:13" hidden="1" x14ac:dyDescent="0.3">
      <c r="A1065" t="str">
        <f>IF(ISNUMBER($K1065),INDEX(РАБОТЫ!$U$2:$U$1058,$K1065),"")</f>
        <v/>
      </c>
      <c r="B1065" t="str">
        <f>IF(ISNUMBER($K1065),INDEX(РАБОТЫ!$A$2:$A$1058,$K1065),"")</f>
        <v/>
      </c>
      <c r="C1065" s="4" t="str">
        <f>IF($L1065&lt;&gt;"",INDEX(РАБОТЫ!$Z$2:$Z$1058,MATCH($L1065,РАБОТЫ!$V$2:$V$1058,0)),IF(ISNUMBER($K1065),INDEX(РАБОТЫ!$Y$2:$Y$1058,$K1065),""))</f>
        <v/>
      </c>
      <c r="D1065" t="str">
        <f>IF(ISNUMBER($K1065),INDEX(РАБОТЫ!$E$2:$E$1058,$K1065),"")</f>
        <v/>
      </c>
      <c r="E1065" t="str">
        <f>IF(ISNUMBER($K1065),INDEX(РАБОТЫ!$M$2:$M$1058,$K1065),"")</f>
        <v/>
      </c>
      <c r="F1065" s="7" t="str">
        <f>IF(ISNUMBER($K1065),INDEX(РАБОТЫ!$S$2:$S$1058,$K1065),"")</f>
        <v/>
      </c>
      <c r="G1065" s="7" t="str">
        <f>IF(ISNUMBER($K1065),INDEX(РАБОТЫ!$T$2:$T$1058,$K1065),"")</f>
        <v/>
      </c>
      <c r="H1065" s="7" t="str">
        <f t="shared" si="64"/>
        <v/>
      </c>
      <c r="I1065" s="7" t="str">
        <f t="shared" si="65"/>
        <v/>
      </c>
      <c r="J1065" s="7" t="str">
        <f t="shared" si="66"/>
        <v/>
      </c>
      <c r="K1065" t="str">
        <f>IFERROR(MATCH(1044,РАБОТЫ!$X$2:$X$1058,0),"")</f>
        <v/>
      </c>
      <c r="L1065" t="str">
        <f>IFERROR(IF(INDEX(РАБОТЫ!$W$2:$W$1058,MATCH(1044+1,РАБОТЫ!$X$2:$X$1058,0))=1,INDEX(РАБОТЫ!$V$2:$V$1058,MATCH(1044+1,РАБОТЫ!$X$2:$X$1058,0)),""),"")</f>
        <v/>
      </c>
      <c r="M1065" t="str">
        <f t="shared" si="67"/>
        <v/>
      </c>
    </row>
    <row r="1066" spans="1:13" hidden="1" x14ac:dyDescent="0.3">
      <c r="A1066" t="str">
        <f>IF(ISNUMBER($K1066),INDEX(РАБОТЫ!$U$2:$U$1058,$K1066),"")</f>
        <v/>
      </c>
      <c r="B1066" t="str">
        <f>IF(ISNUMBER($K1066),INDEX(РАБОТЫ!$A$2:$A$1058,$K1066),"")</f>
        <v/>
      </c>
      <c r="C1066" s="4" t="str">
        <f>IF($L1066&lt;&gt;"",INDEX(РАБОТЫ!$Z$2:$Z$1058,MATCH($L1066,РАБОТЫ!$V$2:$V$1058,0)),IF(ISNUMBER($K1066),INDEX(РАБОТЫ!$Y$2:$Y$1058,$K1066),""))</f>
        <v/>
      </c>
      <c r="D1066" t="str">
        <f>IF(ISNUMBER($K1066),INDEX(РАБОТЫ!$E$2:$E$1058,$K1066),"")</f>
        <v/>
      </c>
      <c r="E1066" t="str">
        <f>IF(ISNUMBER($K1066),INDEX(РАБОТЫ!$M$2:$M$1058,$K1066),"")</f>
        <v/>
      </c>
      <c r="F1066" s="7" t="str">
        <f>IF(ISNUMBER($K1066),INDEX(РАБОТЫ!$S$2:$S$1058,$K1066),"")</f>
        <v/>
      </c>
      <c r="G1066" s="7" t="str">
        <f>IF(ISNUMBER($K1066),INDEX(РАБОТЫ!$T$2:$T$1058,$K1066),"")</f>
        <v/>
      </c>
      <c r="H1066" s="7" t="str">
        <f t="shared" si="64"/>
        <v/>
      </c>
      <c r="I1066" s="7" t="str">
        <f t="shared" si="65"/>
        <v/>
      </c>
      <c r="J1066" s="7" t="str">
        <f t="shared" si="66"/>
        <v/>
      </c>
      <c r="K1066" t="str">
        <f>IFERROR(MATCH(1045,РАБОТЫ!$X$2:$X$1058,0),"")</f>
        <v/>
      </c>
      <c r="L1066" t="str">
        <f>IFERROR(IF(INDEX(РАБОТЫ!$W$2:$W$1058,MATCH(1045+1,РАБОТЫ!$X$2:$X$1058,0))=1,INDEX(РАБОТЫ!$V$2:$V$1058,MATCH(1045+1,РАБОТЫ!$X$2:$X$1058,0)),""),"")</f>
        <v/>
      </c>
      <c r="M1066" t="str">
        <f t="shared" si="67"/>
        <v/>
      </c>
    </row>
    <row r="1067" spans="1:13" hidden="1" x14ac:dyDescent="0.3">
      <c r="A1067" t="str">
        <f>IF(ISNUMBER($K1067),INDEX(РАБОТЫ!$U$2:$U$1058,$K1067),"")</f>
        <v/>
      </c>
      <c r="B1067" t="str">
        <f>IF(ISNUMBER($K1067),INDEX(РАБОТЫ!$A$2:$A$1058,$K1067),"")</f>
        <v/>
      </c>
      <c r="C1067" s="4" t="str">
        <f>IF($L1067&lt;&gt;"",INDEX(РАБОТЫ!$Z$2:$Z$1058,MATCH($L1067,РАБОТЫ!$V$2:$V$1058,0)),IF(ISNUMBER($K1067),INDEX(РАБОТЫ!$Y$2:$Y$1058,$K1067),""))</f>
        <v/>
      </c>
      <c r="D1067" t="str">
        <f>IF(ISNUMBER($K1067),INDEX(РАБОТЫ!$E$2:$E$1058,$K1067),"")</f>
        <v/>
      </c>
      <c r="E1067" t="str">
        <f>IF(ISNUMBER($K1067),INDEX(РАБОТЫ!$M$2:$M$1058,$K1067),"")</f>
        <v/>
      </c>
      <c r="F1067" s="7" t="str">
        <f>IF(ISNUMBER($K1067),INDEX(РАБОТЫ!$S$2:$S$1058,$K1067),"")</f>
        <v/>
      </c>
      <c r="G1067" s="7" t="str">
        <f>IF(ISNUMBER($K1067),INDEX(РАБОТЫ!$T$2:$T$1058,$K1067),"")</f>
        <v/>
      </c>
      <c r="H1067" s="7" t="str">
        <f t="shared" si="64"/>
        <v/>
      </c>
      <c r="I1067" s="7" t="str">
        <f t="shared" si="65"/>
        <v/>
      </c>
      <c r="J1067" s="7" t="str">
        <f t="shared" si="66"/>
        <v/>
      </c>
      <c r="K1067" t="str">
        <f>IFERROR(MATCH(1046,РАБОТЫ!$X$2:$X$1058,0),"")</f>
        <v/>
      </c>
      <c r="L1067" t="str">
        <f>IFERROR(IF(INDEX(РАБОТЫ!$W$2:$W$1058,MATCH(1046+1,РАБОТЫ!$X$2:$X$1058,0))=1,INDEX(РАБОТЫ!$V$2:$V$1058,MATCH(1046+1,РАБОТЫ!$X$2:$X$1058,0)),""),"")</f>
        <v/>
      </c>
      <c r="M1067" t="str">
        <f t="shared" si="67"/>
        <v/>
      </c>
    </row>
    <row r="1068" spans="1:13" hidden="1" x14ac:dyDescent="0.3">
      <c r="A1068" t="str">
        <f>IF(ISNUMBER($K1068),INDEX(РАБОТЫ!$U$2:$U$1058,$K1068),"")</f>
        <v/>
      </c>
      <c r="B1068" t="str">
        <f>IF(ISNUMBER($K1068),INDEX(РАБОТЫ!$A$2:$A$1058,$K1068),"")</f>
        <v/>
      </c>
      <c r="C1068" s="4" t="str">
        <f>IF($L1068&lt;&gt;"",INDEX(РАБОТЫ!$Z$2:$Z$1058,MATCH($L1068,РАБОТЫ!$V$2:$V$1058,0)),IF(ISNUMBER($K1068),INDEX(РАБОТЫ!$Y$2:$Y$1058,$K1068),""))</f>
        <v/>
      </c>
      <c r="D1068" t="str">
        <f>IF(ISNUMBER($K1068),INDEX(РАБОТЫ!$E$2:$E$1058,$K1068),"")</f>
        <v/>
      </c>
      <c r="E1068" t="str">
        <f>IF(ISNUMBER($K1068),INDEX(РАБОТЫ!$M$2:$M$1058,$K1068),"")</f>
        <v/>
      </c>
      <c r="F1068" s="7" t="str">
        <f>IF(ISNUMBER($K1068),INDEX(РАБОТЫ!$S$2:$S$1058,$K1068),"")</f>
        <v/>
      </c>
      <c r="G1068" s="7" t="str">
        <f>IF(ISNUMBER($K1068),INDEX(РАБОТЫ!$T$2:$T$1058,$K1068),"")</f>
        <v/>
      </c>
      <c r="H1068" s="7" t="str">
        <f t="shared" si="64"/>
        <v/>
      </c>
      <c r="I1068" s="7" t="str">
        <f t="shared" si="65"/>
        <v/>
      </c>
      <c r="J1068" s="7" t="str">
        <f t="shared" si="66"/>
        <v/>
      </c>
      <c r="K1068" t="str">
        <f>IFERROR(MATCH(1047,РАБОТЫ!$X$2:$X$1058,0),"")</f>
        <v/>
      </c>
      <c r="L1068" t="str">
        <f>IFERROR(IF(INDEX(РАБОТЫ!$W$2:$W$1058,MATCH(1047+1,РАБОТЫ!$X$2:$X$1058,0))=1,INDEX(РАБОТЫ!$V$2:$V$1058,MATCH(1047+1,РАБОТЫ!$X$2:$X$1058,0)),""),"")</f>
        <v/>
      </c>
      <c r="M1068" t="str">
        <f t="shared" si="67"/>
        <v/>
      </c>
    </row>
    <row r="1069" spans="1:13" hidden="1" x14ac:dyDescent="0.3">
      <c r="A1069" t="str">
        <f>IF(ISNUMBER($K1069),INDEX(РАБОТЫ!$U$2:$U$1058,$K1069),"")</f>
        <v/>
      </c>
      <c r="B1069" t="str">
        <f>IF(ISNUMBER($K1069),INDEX(РАБОТЫ!$A$2:$A$1058,$K1069),"")</f>
        <v/>
      </c>
      <c r="C1069" s="4" t="str">
        <f>IF($L1069&lt;&gt;"",INDEX(РАБОТЫ!$Z$2:$Z$1058,MATCH($L1069,РАБОТЫ!$V$2:$V$1058,0)),IF(ISNUMBER($K1069),INDEX(РАБОТЫ!$Y$2:$Y$1058,$K1069),""))</f>
        <v/>
      </c>
      <c r="D1069" t="str">
        <f>IF(ISNUMBER($K1069),INDEX(РАБОТЫ!$E$2:$E$1058,$K1069),"")</f>
        <v/>
      </c>
      <c r="E1069" t="str">
        <f>IF(ISNUMBER($K1069),INDEX(РАБОТЫ!$M$2:$M$1058,$K1069),"")</f>
        <v/>
      </c>
      <c r="F1069" s="7" t="str">
        <f>IF(ISNUMBER($K1069),INDEX(РАБОТЫ!$S$2:$S$1058,$K1069),"")</f>
        <v/>
      </c>
      <c r="G1069" s="7" t="str">
        <f>IF(ISNUMBER($K1069),INDEX(РАБОТЫ!$T$2:$T$1058,$K1069),"")</f>
        <v/>
      </c>
      <c r="H1069" s="7" t="str">
        <f t="shared" si="64"/>
        <v/>
      </c>
      <c r="I1069" s="7" t="str">
        <f t="shared" si="65"/>
        <v/>
      </c>
      <c r="J1069" s="7" t="str">
        <f t="shared" si="66"/>
        <v/>
      </c>
      <c r="K1069" t="str">
        <f>IFERROR(MATCH(1048,РАБОТЫ!$X$2:$X$1058,0),"")</f>
        <v/>
      </c>
      <c r="L1069" t="str">
        <f>IFERROR(IF(INDEX(РАБОТЫ!$W$2:$W$1058,MATCH(1048+1,РАБОТЫ!$X$2:$X$1058,0))=1,INDEX(РАБОТЫ!$V$2:$V$1058,MATCH(1048+1,РАБОТЫ!$X$2:$X$1058,0)),""),"")</f>
        <v/>
      </c>
      <c r="M1069" t="str">
        <f t="shared" si="67"/>
        <v/>
      </c>
    </row>
    <row r="1070" spans="1:13" hidden="1" x14ac:dyDescent="0.3">
      <c r="A1070" t="str">
        <f>IF(ISNUMBER($K1070),INDEX(РАБОТЫ!$U$2:$U$1058,$K1070),"")</f>
        <v/>
      </c>
      <c r="B1070" t="str">
        <f>IF(ISNUMBER($K1070),INDEX(РАБОТЫ!$A$2:$A$1058,$K1070),"")</f>
        <v/>
      </c>
      <c r="C1070" s="4" t="str">
        <f>IF($L1070&lt;&gt;"",INDEX(РАБОТЫ!$Z$2:$Z$1058,MATCH($L1070,РАБОТЫ!$V$2:$V$1058,0)),IF(ISNUMBER($K1070),INDEX(РАБОТЫ!$Y$2:$Y$1058,$K1070),""))</f>
        <v/>
      </c>
      <c r="D1070" t="str">
        <f>IF(ISNUMBER($K1070),INDEX(РАБОТЫ!$E$2:$E$1058,$K1070),"")</f>
        <v/>
      </c>
      <c r="E1070" t="str">
        <f>IF(ISNUMBER($K1070),INDEX(РАБОТЫ!$M$2:$M$1058,$K1070),"")</f>
        <v/>
      </c>
      <c r="F1070" s="7" t="str">
        <f>IF(ISNUMBER($K1070),INDEX(РАБОТЫ!$S$2:$S$1058,$K1070),"")</f>
        <v/>
      </c>
      <c r="G1070" s="7" t="str">
        <f>IF(ISNUMBER($K1070),INDEX(РАБОТЫ!$T$2:$T$1058,$K1070),"")</f>
        <v/>
      </c>
      <c r="H1070" s="7" t="str">
        <f t="shared" si="64"/>
        <v/>
      </c>
      <c r="I1070" s="7" t="str">
        <f t="shared" si="65"/>
        <v/>
      </c>
      <c r="J1070" s="7" t="str">
        <f t="shared" si="66"/>
        <v/>
      </c>
      <c r="K1070" t="str">
        <f>IFERROR(MATCH(1049,РАБОТЫ!$X$2:$X$1058,0),"")</f>
        <v/>
      </c>
      <c r="L1070" t="str">
        <f>IFERROR(IF(INDEX(РАБОТЫ!$W$2:$W$1058,MATCH(1049+1,РАБОТЫ!$X$2:$X$1058,0))=1,INDEX(РАБОТЫ!$V$2:$V$1058,MATCH(1049+1,РАБОТЫ!$X$2:$X$1058,0)),""),"")</f>
        <v/>
      </c>
      <c r="M1070" t="str">
        <f t="shared" si="67"/>
        <v/>
      </c>
    </row>
    <row r="1071" spans="1:13" hidden="1" x14ac:dyDescent="0.3">
      <c r="A1071" t="str">
        <f>IF(ISNUMBER($K1071),INDEX(РАБОТЫ!$U$2:$U$1058,$K1071),"")</f>
        <v/>
      </c>
      <c r="B1071" t="str">
        <f>IF(ISNUMBER($K1071),INDEX(РАБОТЫ!$A$2:$A$1058,$K1071),"")</f>
        <v/>
      </c>
      <c r="C1071" s="4" t="str">
        <f>IF($L1071&lt;&gt;"",INDEX(РАБОТЫ!$Z$2:$Z$1058,MATCH($L1071,РАБОТЫ!$V$2:$V$1058,0)),IF(ISNUMBER($K1071),INDEX(РАБОТЫ!$Y$2:$Y$1058,$K1071),""))</f>
        <v/>
      </c>
      <c r="D1071" t="str">
        <f>IF(ISNUMBER($K1071),INDEX(РАБОТЫ!$E$2:$E$1058,$K1071),"")</f>
        <v/>
      </c>
      <c r="E1071" t="str">
        <f>IF(ISNUMBER($K1071),INDEX(РАБОТЫ!$M$2:$M$1058,$K1071),"")</f>
        <v/>
      </c>
      <c r="F1071" s="7" t="str">
        <f>IF(ISNUMBER($K1071),INDEX(РАБОТЫ!$S$2:$S$1058,$K1071),"")</f>
        <v/>
      </c>
      <c r="G1071" s="7" t="str">
        <f>IF(ISNUMBER($K1071),INDEX(РАБОТЫ!$T$2:$T$1058,$K1071),"")</f>
        <v/>
      </c>
      <c r="H1071" s="7" t="str">
        <f t="shared" si="64"/>
        <v/>
      </c>
      <c r="I1071" s="7" t="str">
        <f t="shared" si="65"/>
        <v/>
      </c>
      <c r="J1071" s="7" t="str">
        <f t="shared" si="66"/>
        <v/>
      </c>
      <c r="K1071" t="str">
        <f>IFERROR(MATCH(1050,РАБОТЫ!$X$2:$X$1058,0),"")</f>
        <v/>
      </c>
      <c r="L1071" t="str">
        <f>IFERROR(IF(INDEX(РАБОТЫ!$W$2:$W$1058,MATCH(1050+1,РАБОТЫ!$X$2:$X$1058,0))=1,INDEX(РАБОТЫ!$V$2:$V$1058,MATCH(1050+1,РАБОТЫ!$X$2:$X$1058,0)),""),"")</f>
        <v/>
      </c>
      <c r="M1071" t="str">
        <f t="shared" si="67"/>
        <v/>
      </c>
    </row>
    <row r="1072" spans="1:13" hidden="1" x14ac:dyDescent="0.3">
      <c r="A1072" t="str">
        <f>IF(ISNUMBER($K1072),INDEX(РАБОТЫ!$U$2:$U$1058,$K1072),"")</f>
        <v/>
      </c>
      <c r="B1072" t="str">
        <f>IF(ISNUMBER($K1072),INDEX(РАБОТЫ!$A$2:$A$1058,$K1072),"")</f>
        <v/>
      </c>
      <c r="C1072" s="4" t="str">
        <f>IF($L1072&lt;&gt;"",INDEX(РАБОТЫ!$Z$2:$Z$1058,MATCH($L1072,РАБОТЫ!$V$2:$V$1058,0)),IF(ISNUMBER($K1072),INDEX(РАБОТЫ!$Y$2:$Y$1058,$K1072),""))</f>
        <v/>
      </c>
      <c r="D1072" t="str">
        <f>IF(ISNUMBER($K1072),INDEX(РАБОТЫ!$E$2:$E$1058,$K1072),"")</f>
        <v/>
      </c>
      <c r="E1072" t="str">
        <f>IF(ISNUMBER($K1072),INDEX(РАБОТЫ!$M$2:$M$1058,$K1072),"")</f>
        <v/>
      </c>
      <c r="F1072" s="7" t="str">
        <f>IF(ISNUMBER($K1072),INDEX(РАБОТЫ!$S$2:$S$1058,$K1072),"")</f>
        <v/>
      </c>
      <c r="G1072" s="7" t="str">
        <f>IF(ISNUMBER($K1072),INDEX(РАБОТЫ!$T$2:$T$1058,$K1072),"")</f>
        <v/>
      </c>
      <c r="H1072" s="7" t="str">
        <f t="shared" si="64"/>
        <v/>
      </c>
      <c r="I1072" s="7" t="str">
        <f t="shared" si="65"/>
        <v/>
      </c>
      <c r="J1072" s="7" t="str">
        <f t="shared" si="66"/>
        <v/>
      </c>
      <c r="K1072" t="str">
        <f>IFERROR(MATCH(1051,РАБОТЫ!$X$2:$X$1058,0),"")</f>
        <v/>
      </c>
      <c r="L1072" t="str">
        <f>IFERROR(IF(INDEX(РАБОТЫ!$W$2:$W$1058,MATCH(1051+1,РАБОТЫ!$X$2:$X$1058,0))=1,INDEX(РАБОТЫ!$V$2:$V$1058,MATCH(1051+1,РАБОТЫ!$X$2:$X$1058,0)),""),"")</f>
        <v/>
      </c>
      <c r="M1072" t="str">
        <f t="shared" si="67"/>
        <v/>
      </c>
    </row>
    <row r="1073" spans="1:13" hidden="1" x14ac:dyDescent="0.3">
      <c r="A1073" t="str">
        <f>IF(ISNUMBER($K1073),INDEX(РАБОТЫ!$U$2:$U$1058,$K1073),"")</f>
        <v/>
      </c>
      <c r="B1073" t="str">
        <f>IF(ISNUMBER($K1073),INDEX(РАБОТЫ!$A$2:$A$1058,$K1073),"")</f>
        <v/>
      </c>
      <c r="C1073" s="4" t="str">
        <f>IF($L1073&lt;&gt;"",INDEX(РАБОТЫ!$Z$2:$Z$1058,MATCH($L1073,РАБОТЫ!$V$2:$V$1058,0)),IF(ISNUMBER($K1073),INDEX(РАБОТЫ!$Y$2:$Y$1058,$K1073),""))</f>
        <v/>
      </c>
      <c r="D1073" t="str">
        <f>IF(ISNUMBER($K1073),INDEX(РАБОТЫ!$E$2:$E$1058,$K1073),"")</f>
        <v/>
      </c>
      <c r="E1073" t="str">
        <f>IF(ISNUMBER($K1073),INDEX(РАБОТЫ!$M$2:$M$1058,$K1073),"")</f>
        <v/>
      </c>
      <c r="F1073" s="7" t="str">
        <f>IF(ISNUMBER($K1073),INDEX(РАБОТЫ!$S$2:$S$1058,$K1073),"")</f>
        <v/>
      </c>
      <c r="G1073" s="7" t="str">
        <f>IF(ISNUMBER($K1073),INDEX(РАБОТЫ!$T$2:$T$1058,$K1073),"")</f>
        <v/>
      </c>
      <c r="H1073" s="7" t="str">
        <f t="shared" si="64"/>
        <v/>
      </c>
      <c r="I1073" s="7" t="str">
        <f t="shared" si="65"/>
        <v/>
      </c>
      <c r="J1073" s="7" t="str">
        <f t="shared" si="66"/>
        <v/>
      </c>
      <c r="K1073" t="str">
        <f>IFERROR(MATCH(1052,РАБОТЫ!$X$2:$X$1058,0),"")</f>
        <v/>
      </c>
      <c r="L1073" t="str">
        <f>IFERROR(IF(INDEX(РАБОТЫ!$W$2:$W$1058,MATCH(1052+1,РАБОТЫ!$X$2:$X$1058,0))=1,INDEX(РАБОТЫ!$V$2:$V$1058,MATCH(1052+1,РАБОТЫ!$X$2:$X$1058,0)),""),"")</f>
        <v/>
      </c>
      <c r="M1073" t="str">
        <f t="shared" si="67"/>
        <v/>
      </c>
    </row>
    <row r="1074" spans="1:13" hidden="1" x14ac:dyDescent="0.3">
      <c r="A1074" t="str">
        <f>IF(ISNUMBER($K1074),INDEX(РАБОТЫ!$U$2:$U$1058,$K1074),"")</f>
        <v/>
      </c>
      <c r="B1074" t="str">
        <f>IF(ISNUMBER($K1074),INDEX(РАБОТЫ!$A$2:$A$1058,$K1074),"")</f>
        <v/>
      </c>
      <c r="C1074" s="4" t="str">
        <f>IF($L1074&lt;&gt;"",INDEX(РАБОТЫ!$Z$2:$Z$1058,MATCH($L1074,РАБОТЫ!$V$2:$V$1058,0)),IF(ISNUMBER($K1074),INDEX(РАБОТЫ!$Y$2:$Y$1058,$K1074),""))</f>
        <v/>
      </c>
      <c r="D1074" t="str">
        <f>IF(ISNUMBER($K1074),INDEX(РАБОТЫ!$E$2:$E$1058,$K1074),"")</f>
        <v/>
      </c>
      <c r="E1074" t="str">
        <f>IF(ISNUMBER($K1074),INDEX(РАБОТЫ!$M$2:$M$1058,$K1074),"")</f>
        <v/>
      </c>
      <c r="F1074" s="7" t="str">
        <f>IF(ISNUMBER($K1074),INDEX(РАБОТЫ!$S$2:$S$1058,$K1074),"")</f>
        <v/>
      </c>
      <c r="G1074" s="7" t="str">
        <f>IF(ISNUMBER($K1074),INDEX(РАБОТЫ!$T$2:$T$1058,$K1074),"")</f>
        <v/>
      </c>
      <c r="H1074" s="7" t="str">
        <f t="shared" si="64"/>
        <v/>
      </c>
      <c r="I1074" s="7" t="str">
        <f t="shared" si="65"/>
        <v/>
      </c>
      <c r="J1074" s="7" t="str">
        <f t="shared" si="66"/>
        <v/>
      </c>
      <c r="K1074" t="str">
        <f>IFERROR(MATCH(1053,РАБОТЫ!$X$2:$X$1058,0),"")</f>
        <v/>
      </c>
      <c r="L1074" t="str">
        <f>IFERROR(IF(INDEX(РАБОТЫ!$W$2:$W$1058,MATCH(1053+1,РАБОТЫ!$X$2:$X$1058,0))=1,INDEX(РАБОТЫ!$V$2:$V$1058,MATCH(1053+1,РАБОТЫ!$X$2:$X$1058,0)),""),"")</f>
        <v/>
      </c>
      <c r="M1074" t="str">
        <f t="shared" si="67"/>
        <v/>
      </c>
    </row>
    <row r="1075" spans="1:13" hidden="1" x14ac:dyDescent="0.3">
      <c r="A1075" t="str">
        <f>IF(ISNUMBER($K1075),INDEX(РАБОТЫ!$U$2:$U$1058,$K1075),"")</f>
        <v/>
      </c>
      <c r="B1075" t="str">
        <f>IF(ISNUMBER($K1075),INDEX(РАБОТЫ!$A$2:$A$1058,$K1075),"")</f>
        <v/>
      </c>
      <c r="C1075" s="4" t="str">
        <f>IF($L1075&lt;&gt;"",INDEX(РАБОТЫ!$Z$2:$Z$1058,MATCH($L1075,РАБОТЫ!$V$2:$V$1058,0)),IF(ISNUMBER($K1075),INDEX(РАБОТЫ!$Y$2:$Y$1058,$K1075),""))</f>
        <v/>
      </c>
      <c r="D1075" t="str">
        <f>IF(ISNUMBER($K1075),INDEX(РАБОТЫ!$E$2:$E$1058,$K1075),"")</f>
        <v/>
      </c>
      <c r="E1075" t="str">
        <f>IF(ISNUMBER($K1075),INDEX(РАБОТЫ!$M$2:$M$1058,$K1075),"")</f>
        <v/>
      </c>
      <c r="F1075" s="7" t="str">
        <f>IF(ISNUMBER($K1075),INDEX(РАБОТЫ!$S$2:$S$1058,$K1075),"")</f>
        <v/>
      </c>
      <c r="G1075" s="7" t="str">
        <f>IF(ISNUMBER($K1075),INDEX(РАБОТЫ!$T$2:$T$1058,$K1075),"")</f>
        <v/>
      </c>
      <c r="H1075" s="7" t="str">
        <f t="shared" si="64"/>
        <v/>
      </c>
      <c r="I1075" s="7" t="str">
        <f t="shared" si="65"/>
        <v/>
      </c>
      <c r="J1075" s="7" t="str">
        <f t="shared" si="66"/>
        <v/>
      </c>
      <c r="K1075" t="str">
        <f>IFERROR(MATCH(1054,РАБОТЫ!$X$2:$X$1058,0),"")</f>
        <v/>
      </c>
      <c r="L1075" t="str">
        <f>IFERROR(IF(INDEX(РАБОТЫ!$W$2:$W$1058,MATCH(1054+1,РАБОТЫ!$X$2:$X$1058,0))=1,INDEX(РАБОТЫ!$V$2:$V$1058,MATCH(1054+1,РАБОТЫ!$X$2:$X$1058,0)),""),"")</f>
        <v/>
      </c>
      <c r="M1075" t="str">
        <f t="shared" si="67"/>
        <v/>
      </c>
    </row>
    <row r="1076" spans="1:13" hidden="1" x14ac:dyDescent="0.3">
      <c r="A1076" t="str">
        <f>IF(ISNUMBER($K1076),INDEX(РАБОТЫ!$U$2:$U$1058,$K1076),"")</f>
        <v/>
      </c>
      <c r="B1076" t="str">
        <f>IF(ISNUMBER($K1076),INDEX(РАБОТЫ!$A$2:$A$1058,$K1076),"")</f>
        <v/>
      </c>
      <c r="C1076" s="4" t="str">
        <f>IF($L1076&lt;&gt;"",INDEX(РАБОТЫ!$Z$2:$Z$1058,MATCH($L1076,РАБОТЫ!$V$2:$V$1058,0)),IF(ISNUMBER($K1076),INDEX(РАБОТЫ!$Y$2:$Y$1058,$K1076),""))</f>
        <v/>
      </c>
      <c r="D1076" t="str">
        <f>IF(ISNUMBER($K1076),INDEX(РАБОТЫ!$E$2:$E$1058,$K1076),"")</f>
        <v/>
      </c>
      <c r="E1076" t="str">
        <f>IF(ISNUMBER($K1076),INDEX(РАБОТЫ!$M$2:$M$1058,$K1076),"")</f>
        <v/>
      </c>
      <c r="F1076" s="7" t="str">
        <f>IF(ISNUMBER($K1076),INDEX(РАБОТЫ!$S$2:$S$1058,$K1076),"")</f>
        <v/>
      </c>
      <c r="G1076" s="7" t="str">
        <f>IF(ISNUMBER($K1076),INDEX(РАБОТЫ!$T$2:$T$1058,$K1076),"")</f>
        <v/>
      </c>
      <c r="H1076" s="7" t="str">
        <f t="shared" si="64"/>
        <v/>
      </c>
      <c r="I1076" s="7" t="str">
        <f t="shared" si="65"/>
        <v/>
      </c>
      <c r="J1076" s="7" t="str">
        <f t="shared" si="66"/>
        <v/>
      </c>
      <c r="K1076" t="str">
        <f>IFERROR(MATCH(1055,РАБОТЫ!$X$2:$X$1058,0),"")</f>
        <v/>
      </c>
      <c r="L1076" t="str">
        <f>IFERROR(IF(INDEX(РАБОТЫ!$W$2:$W$1058,MATCH(1055+1,РАБОТЫ!$X$2:$X$1058,0))=1,INDEX(РАБОТЫ!$V$2:$V$1058,MATCH(1055+1,РАБОТЫ!$X$2:$X$1058,0)),""),"")</f>
        <v/>
      </c>
      <c r="M1076" t="str">
        <f t="shared" si="67"/>
        <v/>
      </c>
    </row>
    <row r="1077" spans="1:13" hidden="1" x14ac:dyDescent="0.3">
      <c r="A1077" t="str">
        <f>IF(ISNUMBER($K1077),INDEX(РАБОТЫ!$U$2:$U$1058,$K1077),"")</f>
        <v/>
      </c>
      <c r="B1077" t="str">
        <f>IF(ISNUMBER($K1077),INDEX(РАБОТЫ!$A$2:$A$1058,$K1077),"")</f>
        <v/>
      </c>
      <c r="C1077" s="4" t="str">
        <f>IF($L1077&lt;&gt;"",INDEX(РАБОТЫ!$Z$2:$Z$1058,MATCH($L1077,РАБОТЫ!$V$2:$V$1058,0)),IF(ISNUMBER($K1077),INDEX(РАБОТЫ!$Y$2:$Y$1058,$K1077),""))</f>
        <v/>
      </c>
      <c r="D1077" t="str">
        <f>IF(ISNUMBER($K1077),INDEX(РАБОТЫ!$E$2:$E$1058,$K1077),"")</f>
        <v/>
      </c>
      <c r="E1077" t="str">
        <f>IF(ISNUMBER($K1077),INDEX(РАБОТЫ!$M$2:$M$1058,$K1077),"")</f>
        <v/>
      </c>
      <c r="F1077" s="7" t="str">
        <f>IF(ISNUMBER($K1077),INDEX(РАБОТЫ!$S$2:$S$1058,$K1077),"")</f>
        <v/>
      </c>
      <c r="G1077" s="7" t="str">
        <f>IF(ISNUMBER($K1077),INDEX(РАБОТЫ!$T$2:$T$1058,$K1077),"")</f>
        <v/>
      </c>
      <c r="H1077" s="7" t="str">
        <f t="shared" si="64"/>
        <v/>
      </c>
      <c r="I1077" s="7" t="str">
        <f t="shared" si="65"/>
        <v/>
      </c>
      <c r="J1077" s="7" t="str">
        <f t="shared" si="66"/>
        <v/>
      </c>
      <c r="K1077" t="str">
        <f>IFERROR(MATCH(1056,РАБОТЫ!$X$2:$X$1058,0),"")</f>
        <v/>
      </c>
      <c r="L1077" t="str">
        <f>IFERROR(IF(INDEX(РАБОТЫ!$W$2:$W$1058,MATCH(1056+1,РАБОТЫ!$X$2:$X$1058,0))=1,INDEX(РАБОТЫ!$V$2:$V$1058,MATCH(1056+1,РАБОТЫ!$X$2:$X$1058,0)),""),"")</f>
        <v/>
      </c>
      <c r="M1077" t="str">
        <f t="shared" si="67"/>
        <v/>
      </c>
    </row>
    <row r="1078" spans="1:13" hidden="1" x14ac:dyDescent="0.3">
      <c r="A1078" t="str">
        <f>IF(ISNUMBER($K1078),INDEX(РАБОТЫ!$U$2:$U$1058,$K1078),"")</f>
        <v/>
      </c>
      <c r="B1078" t="str">
        <f>IF(ISNUMBER($K1078),INDEX(РАБОТЫ!$A$2:$A$1058,$K1078),"")</f>
        <v/>
      </c>
      <c r="C1078" s="4" t="str">
        <f>IF($L1078&lt;&gt;"",INDEX(РАБОТЫ!$Z$2:$Z$1058,MATCH($L1078,РАБОТЫ!$V$2:$V$1058,0)),IF(ISNUMBER($K1078),INDEX(РАБОТЫ!$Y$2:$Y$1058,$K1078),""))</f>
        <v/>
      </c>
      <c r="D1078" t="str">
        <f>IF(ISNUMBER($K1078),INDEX(РАБОТЫ!$E$2:$E$1058,$K1078),"")</f>
        <v/>
      </c>
      <c r="E1078" t="str">
        <f>IF(ISNUMBER($K1078),INDEX(РАБОТЫ!$M$2:$M$1058,$K1078),"")</f>
        <v/>
      </c>
      <c r="F1078" s="7" t="str">
        <f>IF(ISNUMBER($K1078),INDEX(РАБОТЫ!$S$2:$S$1058,$K1078),"")</f>
        <v/>
      </c>
      <c r="G1078" s="7" t="str">
        <f>IF(ISNUMBER($K1078),INDEX(РАБОТЫ!$T$2:$T$1058,$K1078),"")</f>
        <v/>
      </c>
      <c r="H1078" s="7" t="str">
        <f t="shared" si="64"/>
        <v/>
      </c>
      <c r="I1078" s="7" t="str">
        <f t="shared" si="65"/>
        <v/>
      </c>
      <c r="J1078" s="7" t="str">
        <f t="shared" si="66"/>
        <v/>
      </c>
      <c r="K1078" t="str">
        <f>IFERROR(MATCH(1057,РАБОТЫ!$X$2:$X$1058,0),"")</f>
        <v/>
      </c>
      <c r="L1078" t="str">
        <f>IFERROR(IF(INDEX(РАБОТЫ!$W$2:$W$1058,MATCH(1057+1,РАБОТЫ!$X$2:$X$1058,0))=1,INDEX(РАБОТЫ!$V$2:$V$1058,MATCH(1057+1,РАБОТЫ!$X$2:$X$1058,0)),""),"")</f>
        <v/>
      </c>
      <c r="M1078" t="str">
        <f t="shared" si="67"/>
        <v/>
      </c>
    </row>
    <row r="1079" spans="1:13" hidden="1" x14ac:dyDescent="0.3">
      <c r="A1079" t="str">
        <f>IF(ISNUMBER($K1079),INDEX(РАБОТЫ!$U$2:$U$1058,$K1079),"")</f>
        <v/>
      </c>
      <c r="B1079" t="str">
        <f>IF(ISNUMBER($K1079),INDEX(РАБОТЫ!$A$2:$A$1058,$K1079),"")</f>
        <v/>
      </c>
      <c r="C1079" s="4" t="str">
        <f>IF($L1079&lt;&gt;"",INDEX(РАБОТЫ!$Z$2:$Z$1058,MATCH($L1079,РАБОТЫ!$V$2:$V$1058,0)),IF(ISNUMBER($K1079),INDEX(РАБОТЫ!$Y$2:$Y$1058,$K1079),""))</f>
        <v/>
      </c>
      <c r="D1079" t="str">
        <f>IF(ISNUMBER($K1079),INDEX(РАБОТЫ!$E$2:$E$1058,$K1079),"")</f>
        <v/>
      </c>
      <c r="E1079" t="str">
        <f>IF(ISNUMBER($K1079),INDEX(РАБОТЫ!$M$2:$M$1058,$K1079),"")</f>
        <v/>
      </c>
      <c r="F1079" s="7" t="str">
        <f>IF(ISNUMBER($K1079),INDEX(РАБОТЫ!$S$2:$S$1058,$K1079),"")</f>
        <v/>
      </c>
      <c r="G1079" s="7" t="str">
        <f>IF(ISNUMBER($K1079),INDEX(РАБОТЫ!$T$2:$T$1058,$K1079),"")</f>
        <v/>
      </c>
      <c r="H1079" s="7" t="str">
        <f t="shared" si="64"/>
        <v/>
      </c>
      <c r="I1079" s="7" t="str">
        <f t="shared" si="65"/>
        <v/>
      </c>
      <c r="J1079" s="7" t="str">
        <f t="shared" si="66"/>
        <v/>
      </c>
      <c r="K1079" t="str">
        <f>IFERROR(MATCH(1058,РАБОТЫ!$X$2:$X$1058,0),"")</f>
        <v/>
      </c>
      <c r="L1079" t="str">
        <f>IFERROR(IF(INDEX(РАБОТЫ!$W$2:$W$1058,MATCH(1058+1,РАБОТЫ!$X$2:$X$1058,0))=1,INDEX(РАБОТЫ!$V$2:$V$1058,MATCH(1058+1,РАБОТЫ!$X$2:$X$1058,0)),""),"")</f>
        <v/>
      </c>
      <c r="M1079" t="str">
        <f t="shared" si="67"/>
        <v/>
      </c>
    </row>
    <row r="1080" spans="1:13" hidden="1" x14ac:dyDescent="0.3">
      <c r="A1080" t="str">
        <f>IF(ISNUMBER($K1080),INDEX(РАБОТЫ!$U$2:$U$1058,$K1080),"")</f>
        <v/>
      </c>
      <c r="B1080" t="str">
        <f>IF(ISNUMBER($K1080),INDEX(РАБОТЫ!$A$2:$A$1058,$K1080),"")</f>
        <v/>
      </c>
      <c r="C1080" s="4" t="str">
        <f>IF($L1080&lt;&gt;"",INDEX(РАБОТЫ!$Z$2:$Z$1058,MATCH($L1080,РАБОТЫ!$V$2:$V$1058,0)),IF(ISNUMBER($K1080),INDEX(РАБОТЫ!$Y$2:$Y$1058,$K1080),""))</f>
        <v/>
      </c>
      <c r="D1080" t="str">
        <f>IF(ISNUMBER($K1080),INDEX(РАБОТЫ!$E$2:$E$1058,$K1080),"")</f>
        <v/>
      </c>
      <c r="E1080" t="str">
        <f>IF(ISNUMBER($K1080),INDEX(РАБОТЫ!$M$2:$M$1058,$K1080),"")</f>
        <v/>
      </c>
      <c r="F1080" s="7" t="str">
        <f>IF(ISNUMBER($K1080),INDEX(РАБОТЫ!$S$2:$S$1058,$K1080),"")</f>
        <v/>
      </c>
      <c r="G1080" s="7" t="str">
        <f>IF(ISNUMBER($K1080),INDEX(РАБОТЫ!$T$2:$T$1058,$K1080),"")</f>
        <v/>
      </c>
      <c r="H1080" s="7" t="str">
        <f t="shared" si="64"/>
        <v/>
      </c>
      <c r="I1080" s="7" t="str">
        <f t="shared" si="65"/>
        <v/>
      </c>
      <c r="J1080" s="7" t="str">
        <f t="shared" si="66"/>
        <v/>
      </c>
      <c r="K1080" t="str">
        <f>IFERROR(MATCH(1059,РАБОТЫ!$X$2:$X$1058,0),"")</f>
        <v/>
      </c>
      <c r="L1080" t="str">
        <f>IFERROR(IF(INDEX(РАБОТЫ!$W$2:$W$1058,MATCH(1059+1,РАБОТЫ!$X$2:$X$1058,0))=1,INDEX(РАБОТЫ!$V$2:$V$1058,MATCH(1059+1,РАБОТЫ!$X$2:$X$1058,0)),""),"")</f>
        <v/>
      </c>
      <c r="M1080" t="str">
        <f t="shared" si="67"/>
        <v/>
      </c>
    </row>
    <row r="1081" spans="1:13" hidden="1" x14ac:dyDescent="0.3">
      <c r="A1081" t="str">
        <f>IF(ISNUMBER($K1081),INDEX(РАБОТЫ!$U$2:$U$1058,$K1081),"")</f>
        <v/>
      </c>
      <c r="B1081" t="str">
        <f>IF(ISNUMBER($K1081),INDEX(РАБОТЫ!$A$2:$A$1058,$K1081),"")</f>
        <v/>
      </c>
      <c r="C1081" s="4" t="str">
        <f>IF($L1081&lt;&gt;"",INDEX(РАБОТЫ!$Z$2:$Z$1058,MATCH($L1081,РАБОТЫ!$V$2:$V$1058,0)),IF(ISNUMBER($K1081),INDEX(РАБОТЫ!$Y$2:$Y$1058,$K1081),""))</f>
        <v/>
      </c>
      <c r="D1081" t="str">
        <f>IF(ISNUMBER($K1081),INDEX(РАБОТЫ!$E$2:$E$1058,$K1081),"")</f>
        <v/>
      </c>
      <c r="E1081" t="str">
        <f>IF(ISNUMBER($K1081),INDEX(РАБОТЫ!$M$2:$M$1058,$K1081),"")</f>
        <v/>
      </c>
      <c r="F1081" s="7" t="str">
        <f>IF(ISNUMBER($K1081),INDEX(РАБОТЫ!$S$2:$S$1058,$K1081),"")</f>
        <v/>
      </c>
      <c r="G1081" s="7" t="str">
        <f>IF(ISNUMBER($K1081),INDEX(РАБОТЫ!$T$2:$T$1058,$K1081),"")</f>
        <v/>
      </c>
      <c r="H1081" s="7" t="str">
        <f t="shared" si="64"/>
        <v/>
      </c>
      <c r="I1081" s="7" t="str">
        <f t="shared" si="65"/>
        <v/>
      </c>
      <c r="J1081" s="7" t="str">
        <f t="shared" si="66"/>
        <v/>
      </c>
      <c r="K1081" t="str">
        <f>IFERROR(MATCH(1060,РАБОТЫ!$X$2:$X$1058,0),"")</f>
        <v/>
      </c>
      <c r="L1081" t="str">
        <f>IFERROR(IF(INDEX(РАБОТЫ!$W$2:$W$1058,MATCH(1060+1,РАБОТЫ!$X$2:$X$1058,0))=1,INDEX(РАБОТЫ!$V$2:$V$1058,MATCH(1060+1,РАБОТЫ!$X$2:$X$1058,0)),""),"")</f>
        <v/>
      </c>
      <c r="M1081" t="str">
        <f t="shared" si="67"/>
        <v/>
      </c>
    </row>
    <row r="1082" spans="1:13" hidden="1" x14ac:dyDescent="0.3">
      <c r="A1082" t="str">
        <f>IF(ISNUMBER($K1082),INDEX(РАБОТЫ!$U$2:$U$1058,$K1082),"")</f>
        <v/>
      </c>
      <c r="B1082" t="str">
        <f>IF(ISNUMBER($K1082),INDEX(РАБОТЫ!$A$2:$A$1058,$K1082),"")</f>
        <v/>
      </c>
      <c r="C1082" s="4" t="str">
        <f>IF($L1082&lt;&gt;"",INDEX(РАБОТЫ!$Z$2:$Z$1058,MATCH($L1082,РАБОТЫ!$V$2:$V$1058,0)),IF(ISNUMBER($K1082),INDEX(РАБОТЫ!$Y$2:$Y$1058,$K1082),""))</f>
        <v/>
      </c>
      <c r="D1082" t="str">
        <f>IF(ISNUMBER($K1082),INDEX(РАБОТЫ!$E$2:$E$1058,$K1082),"")</f>
        <v/>
      </c>
      <c r="E1082" t="str">
        <f>IF(ISNUMBER($K1082),INDEX(РАБОТЫ!$M$2:$M$1058,$K1082),"")</f>
        <v/>
      </c>
      <c r="F1082" s="7" t="str">
        <f>IF(ISNUMBER($K1082),INDEX(РАБОТЫ!$S$2:$S$1058,$K1082),"")</f>
        <v/>
      </c>
      <c r="G1082" s="7" t="str">
        <f>IF(ISNUMBER($K1082),INDEX(РАБОТЫ!$T$2:$T$1058,$K1082),"")</f>
        <v/>
      </c>
      <c r="H1082" s="7" t="str">
        <f t="shared" si="64"/>
        <v/>
      </c>
      <c r="I1082" s="7" t="str">
        <f t="shared" si="65"/>
        <v/>
      </c>
      <c r="J1082" s="7" t="str">
        <f t="shared" si="66"/>
        <v/>
      </c>
      <c r="K1082" t="str">
        <f>IFERROR(MATCH(1061,РАБОТЫ!$X$2:$X$1058,0),"")</f>
        <v/>
      </c>
      <c r="L1082" t="str">
        <f>IFERROR(IF(INDEX(РАБОТЫ!$W$2:$W$1058,MATCH(1061+1,РАБОТЫ!$X$2:$X$1058,0))=1,INDEX(РАБОТЫ!$V$2:$V$1058,MATCH(1061+1,РАБОТЫ!$X$2:$X$1058,0)),""),"")</f>
        <v/>
      </c>
      <c r="M1082" t="str">
        <f t="shared" si="67"/>
        <v/>
      </c>
    </row>
    <row r="1083" spans="1:13" hidden="1" x14ac:dyDescent="0.3">
      <c r="A1083" t="str">
        <f>IF(ISNUMBER($K1083),INDEX(РАБОТЫ!$U$2:$U$1058,$K1083),"")</f>
        <v/>
      </c>
      <c r="B1083" t="str">
        <f>IF(ISNUMBER($K1083),INDEX(РАБОТЫ!$A$2:$A$1058,$K1083),"")</f>
        <v/>
      </c>
      <c r="C1083" s="4" t="str">
        <f>IF($L1083&lt;&gt;"",INDEX(РАБОТЫ!$Z$2:$Z$1058,MATCH($L1083,РАБОТЫ!$V$2:$V$1058,0)),IF(ISNUMBER($K1083),INDEX(РАБОТЫ!$Y$2:$Y$1058,$K1083),""))</f>
        <v/>
      </c>
      <c r="D1083" t="str">
        <f>IF(ISNUMBER($K1083),INDEX(РАБОТЫ!$E$2:$E$1058,$K1083),"")</f>
        <v/>
      </c>
      <c r="E1083" t="str">
        <f>IF(ISNUMBER($K1083),INDEX(РАБОТЫ!$M$2:$M$1058,$K1083),"")</f>
        <v/>
      </c>
      <c r="F1083" s="7" t="str">
        <f>IF(ISNUMBER($K1083),INDEX(РАБОТЫ!$S$2:$S$1058,$K1083),"")</f>
        <v/>
      </c>
      <c r="G1083" s="7" t="str">
        <f>IF(ISNUMBER($K1083),INDEX(РАБОТЫ!$T$2:$T$1058,$K1083),"")</f>
        <v/>
      </c>
      <c r="H1083" s="7" t="str">
        <f t="shared" si="64"/>
        <v/>
      </c>
      <c r="I1083" s="7" t="str">
        <f t="shared" si="65"/>
        <v/>
      </c>
      <c r="J1083" s="7" t="str">
        <f t="shared" si="66"/>
        <v/>
      </c>
      <c r="K1083" t="str">
        <f>IFERROR(MATCH(1062,РАБОТЫ!$X$2:$X$1058,0),"")</f>
        <v/>
      </c>
      <c r="L1083" t="str">
        <f>IFERROR(IF(INDEX(РАБОТЫ!$W$2:$W$1058,MATCH(1062+1,РАБОТЫ!$X$2:$X$1058,0))=1,INDEX(РАБОТЫ!$V$2:$V$1058,MATCH(1062+1,РАБОТЫ!$X$2:$X$1058,0)),""),"")</f>
        <v/>
      </c>
      <c r="M1083" t="str">
        <f t="shared" si="67"/>
        <v/>
      </c>
    </row>
    <row r="1084" spans="1:13" hidden="1" x14ac:dyDescent="0.3">
      <c r="A1084" t="str">
        <f>IF(ISNUMBER($K1084),INDEX(РАБОТЫ!$U$2:$U$1058,$K1084),"")</f>
        <v/>
      </c>
      <c r="B1084" t="str">
        <f>IF(ISNUMBER($K1084),INDEX(РАБОТЫ!$A$2:$A$1058,$K1084),"")</f>
        <v/>
      </c>
      <c r="C1084" s="4" t="str">
        <f>IF($L1084&lt;&gt;"",INDEX(РАБОТЫ!$Z$2:$Z$1058,MATCH($L1084,РАБОТЫ!$V$2:$V$1058,0)),IF(ISNUMBER($K1084),INDEX(РАБОТЫ!$Y$2:$Y$1058,$K1084),""))</f>
        <v/>
      </c>
      <c r="D1084" t="str">
        <f>IF(ISNUMBER($K1084),INDEX(РАБОТЫ!$E$2:$E$1058,$K1084),"")</f>
        <v/>
      </c>
      <c r="E1084" t="str">
        <f>IF(ISNUMBER($K1084),INDEX(РАБОТЫ!$M$2:$M$1058,$K1084),"")</f>
        <v/>
      </c>
      <c r="F1084" s="7" t="str">
        <f>IF(ISNUMBER($K1084),INDEX(РАБОТЫ!$S$2:$S$1058,$K1084),"")</f>
        <v/>
      </c>
      <c r="G1084" s="7" t="str">
        <f>IF(ISNUMBER($K1084),INDEX(РАБОТЫ!$T$2:$T$1058,$K1084),"")</f>
        <v/>
      </c>
      <c r="H1084" s="7" t="str">
        <f t="shared" si="64"/>
        <v/>
      </c>
      <c r="I1084" s="7" t="str">
        <f t="shared" si="65"/>
        <v/>
      </c>
      <c r="J1084" s="7" t="str">
        <f t="shared" si="66"/>
        <v/>
      </c>
      <c r="K1084" t="str">
        <f>IFERROR(MATCH(1063,РАБОТЫ!$X$2:$X$1058,0),"")</f>
        <v/>
      </c>
      <c r="L1084" t="str">
        <f>IFERROR(IF(INDEX(РАБОТЫ!$W$2:$W$1058,MATCH(1063+1,РАБОТЫ!$X$2:$X$1058,0))=1,INDEX(РАБОТЫ!$V$2:$V$1058,MATCH(1063+1,РАБОТЫ!$X$2:$X$1058,0)),""),"")</f>
        <v/>
      </c>
      <c r="M1084" t="str">
        <f t="shared" si="67"/>
        <v/>
      </c>
    </row>
    <row r="1085" spans="1:13" hidden="1" x14ac:dyDescent="0.3">
      <c r="A1085" t="str">
        <f>IF(ISNUMBER($K1085),INDEX(РАБОТЫ!$U$2:$U$1058,$K1085),"")</f>
        <v/>
      </c>
      <c r="B1085" t="str">
        <f>IF(ISNUMBER($K1085),INDEX(РАБОТЫ!$A$2:$A$1058,$K1085),"")</f>
        <v/>
      </c>
      <c r="C1085" s="4" t="str">
        <f>IF($L1085&lt;&gt;"",INDEX(РАБОТЫ!$Z$2:$Z$1058,MATCH($L1085,РАБОТЫ!$V$2:$V$1058,0)),IF(ISNUMBER($K1085),INDEX(РАБОТЫ!$Y$2:$Y$1058,$K1085),""))</f>
        <v/>
      </c>
      <c r="D1085" t="str">
        <f>IF(ISNUMBER($K1085),INDEX(РАБОТЫ!$E$2:$E$1058,$K1085),"")</f>
        <v/>
      </c>
      <c r="E1085" t="str">
        <f>IF(ISNUMBER($K1085),INDEX(РАБОТЫ!$M$2:$M$1058,$K1085),"")</f>
        <v/>
      </c>
      <c r="F1085" s="7" t="str">
        <f>IF(ISNUMBER($K1085),INDEX(РАБОТЫ!$S$2:$S$1058,$K1085),"")</f>
        <v/>
      </c>
      <c r="G1085" s="7" t="str">
        <f>IF(ISNUMBER($K1085),INDEX(РАБОТЫ!$T$2:$T$1058,$K1085),"")</f>
        <v/>
      </c>
      <c r="H1085" s="7" t="str">
        <f t="shared" si="64"/>
        <v/>
      </c>
      <c r="I1085" s="7" t="str">
        <f t="shared" si="65"/>
        <v/>
      </c>
      <c r="J1085" s="7" t="str">
        <f t="shared" si="66"/>
        <v/>
      </c>
      <c r="K1085" t="str">
        <f>IFERROR(MATCH(1064,РАБОТЫ!$X$2:$X$1058,0),"")</f>
        <v/>
      </c>
      <c r="L1085" t="str">
        <f>IFERROR(IF(INDEX(РАБОТЫ!$W$2:$W$1058,MATCH(1064+1,РАБОТЫ!$X$2:$X$1058,0))=1,INDEX(РАБОТЫ!$V$2:$V$1058,MATCH(1064+1,РАБОТЫ!$X$2:$X$1058,0)),""),"")</f>
        <v/>
      </c>
      <c r="M1085" t="str">
        <f t="shared" si="67"/>
        <v/>
      </c>
    </row>
    <row r="1086" spans="1:13" hidden="1" x14ac:dyDescent="0.3">
      <c r="A1086" t="str">
        <f>IF(ISNUMBER($K1086),INDEX(РАБОТЫ!$U$2:$U$1058,$K1086),"")</f>
        <v/>
      </c>
      <c r="B1086" t="str">
        <f>IF(ISNUMBER($K1086),INDEX(РАБОТЫ!$A$2:$A$1058,$K1086),"")</f>
        <v/>
      </c>
      <c r="C1086" s="4" t="str">
        <f>IF($L1086&lt;&gt;"",INDEX(РАБОТЫ!$Z$2:$Z$1058,MATCH($L1086,РАБОТЫ!$V$2:$V$1058,0)),IF(ISNUMBER($K1086),INDEX(РАБОТЫ!$Y$2:$Y$1058,$K1086),""))</f>
        <v/>
      </c>
      <c r="D1086" t="str">
        <f>IF(ISNUMBER($K1086),INDEX(РАБОТЫ!$E$2:$E$1058,$K1086),"")</f>
        <v/>
      </c>
      <c r="E1086" t="str">
        <f>IF(ISNUMBER($K1086),INDEX(РАБОТЫ!$M$2:$M$1058,$K1086),"")</f>
        <v/>
      </c>
      <c r="F1086" s="7" t="str">
        <f>IF(ISNUMBER($K1086),INDEX(РАБОТЫ!$S$2:$S$1058,$K1086),"")</f>
        <v/>
      </c>
      <c r="G1086" s="7" t="str">
        <f>IF(ISNUMBER($K1086),INDEX(РАБОТЫ!$T$2:$T$1058,$K1086),"")</f>
        <v/>
      </c>
      <c r="H1086" s="7" t="str">
        <f t="shared" si="64"/>
        <v/>
      </c>
      <c r="I1086" s="7" t="str">
        <f t="shared" si="65"/>
        <v/>
      </c>
      <c r="J1086" s="7" t="str">
        <f t="shared" si="66"/>
        <v/>
      </c>
      <c r="K1086" t="str">
        <f>IFERROR(MATCH(1065,РАБОТЫ!$X$2:$X$1058,0),"")</f>
        <v/>
      </c>
      <c r="L1086" t="str">
        <f>IFERROR(IF(INDEX(РАБОТЫ!$W$2:$W$1058,MATCH(1065+1,РАБОТЫ!$X$2:$X$1058,0))=1,INDEX(РАБОТЫ!$V$2:$V$1058,MATCH(1065+1,РАБОТЫ!$X$2:$X$1058,0)),""),"")</f>
        <v/>
      </c>
      <c r="M1086" t="str">
        <f t="shared" si="67"/>
        <v/>
      </c>
    </row>
    <row r="1087" spans="1:13" hidden="1" x14ac:dyDescent="0.3">
      <c r="A1087" t="str">
        <f>IF(ISNUMBER($K1087),INDEX(РАБОТЫ!$U$2:$U$1058,$K1087),"")</f>
        <v/>
      </c>
      <c r="B1087" t="str">
        <f>IF(ISNUMBER($K1087),INDEX(РАБОТЫ!$A$2:$A$1058,$K1087),"")</f>
        <v/>
      </c>
      <c r="C1087" s="4" t="str">
        <f>IF($L1087&lt;&gt;"",INDEX(РАБОТЫ!$Z$2:$Z$1058,MATCH($L1087,РАБОТЫ!$V$2:$V$1058,0)),IF(ISNUMBER($K1087),INDEX(РАБОТЫ!$Y$2:$Y$1058,$K1087),""))</f>
        <v/>
      </c>
      <c r="D1087" t="str">
        <f>IF(ISNUMBER($K1087),INDEX(РАБОТЫ!$E$2:$E$1058,$K1087),"")</f>
        <v/>
      </c>
      <c r="E1087" t="str">
        <f>IF(ISNUMBER($K1087),INDEX(РАБОТЫ!$M$2:$M$1058,$K1087),"")</f>
        <v/>
      </c>
      <c r="F1087" s="7" t="str">
        <f>IF(ISNUMBER($K1087),INDEX(РАБОТЫ!$S$2:$S$1058,$K1087),"")</f>
        <v/>
      </c>
      <c r="G1087" s="7" t="str">
        <f>IF(ISNUMBER($K1087),INDEX(РАБОТЫ!$T$2:$T$1058,$K1087),"")</f>
        <v/>
      </c>
      <c r="H1087" s="7" t="str">
        <f t="shared" si="64"/>
        <v/>
      </c>
      <c r="I1087" s="7" t="str">
        <f t="shared" si="65"/>
        <v/>
      </c>
      <c r="J1087" s="7" t="str">
        <f t="shared" si="66"/>
        <v/>
      </c>
      <c r="K1087" t="str">
        <f>IFERROR(MATCH(1066,РАБОТЫ!$X$2:$X$1058,0),"")</f>
        <v/>
      </c>
      <c r="L1087" t="str">
        <f>IFERROR(IF(INDEX(РАБОТЫ!$W$2:$W$1058,MATCH(1066+1,РАБОТЫ!$X$2:$X$1058,0))=1,INDEX(РАБОТЫ!$V$2:$V$1058,MATCH(1066+1,РАБОТЫ!$X$2:$X$1058,0)),""),"")</f>
        <v/>
      </c>
      <c r="M1087" t="str">
        <f t="shared" si="67"/>
        <v/>
      </c>
    </row>
    <row r="1088" spans="1:13" hidden="1" x14ac:dyDescent="0.3">
      <c r="A1088" t="str">
        <f>IF(ISNUMBER($K1088),INDEX(РАБОТЫ!$U$2:$U$1058,$K1088),"")</f>
        <v/>
      </c>
      <c r="B1088" t="str">
        <f>IF(ISNUMBER($K1088),INDEX(РАБОТЫ!$A$2:$A$1058,$K1088),"")</f>
        <v/>
      </c>
      <c r="C1088" s="4" t="str">
        <f>IF($L1088&lt;&gt;"",INDEX(РАБОТЫ!$Z$2:$Z$1058,MATCH($L1088,РАБОТЫ!$V$2:$V$1058,0)),IF(ISNUMBER($K1088),INDEX(РАБОТЫ!$Y$2:$Y$1058,$K1088),""))</f>
        <v/>
      </c>
      <c r="D1088" t="str">
        <f>IF(ISNUMBER($K1088),INDEX(РАБОТЫ!$E$2:$E$1058,$K1088),"")</f>
        <v/>
      </c>
      <c r="E1088" t="str">
        <f>IF(ISNUMBER($K1088),INDEX(РАБОТЫ!$M$2:$M$1058,$K1088),"")</f>
        <v/>
      </c>
      <c r="F1088" s="7" t="str">
        <f>IF(ISNUMBER($K1088),INDEX(РАБОТЫ!$S$2:$S$1058,$K1088),"")</f>
        <v/>
      </c>
      <c r="G1088" s="7" t="str">
        <f>IF(ISNUMBER($K1088),INDEX(РАБОТЫ!$T$2:$T$1058,$K1088),"")</f>
        <v/>
      </c>
      <c r="H1088" s="7" t="str">
        <f t="shared" si="64"/>
        <v/>
      </c>
      <c r="I1088" s="7" t="str">
        <f t="shared" si="65"/>
        <v/>
      </c>
      <c r="J1088" s="7" t="str">
        <f t="shared" si="66"/>
        <v/>
      </c>
      <c r="K1088" t="str">
        <f>IFERROR(MATCH(1067,РАБОТЫ!$X$2:$X$1058,0),"")</f>
        <v/>
      </c>
      <c r="L1088" t="str">
        <f>IFERROR(IF(INDEX(РАБОТЫ!$W$2:$W$1058,MATCH(1067+1,РАБОТЫ!$X$2:$X$1058,0))=1,INDEX(РАБОТЫ!$V$2:$V$1058,MATCH(1067+1,РАБОТЫ!$X$2:$X$1058,0)),""),"")</f>
        <v/>
      </c>
      <c r="M1088" t="str">
        <f t="shared" si="67"/>
        <v/>
      </c>
    </row>
    <row r="1089" spans="1:13" hidden="1" x14ac:dyDescent="0.3">
      <c r="A1089" t="str">
        <f>IF(ISNUMBER($K1089),INDEX(РАБОТЫ!$U$2:$U$1058,$K1089),"")</f>
        <v/>
      </c>
      <c r="B1089" t="str">
        <f>IF(ISNUMBER($K1089),INDEX(РАБОТЫ!$A$2:$A$1058,$K1089),"")</f>
        <v/>
      </c>
      <c r="C1089" s="4" t="str">
        <f>IF($L1089&lt;&gt;"",INDEX(РАБОТЫ!$Z$2:$Z$1058,MATCH($L1089,РАБОТЫ!$V$2:$V$1058,0)),IF(ISNUMBER($K1089),INDEX(РАБОТЫ!$Y$2:$Y$1058,$K1089),""))</f>
        <v/>
      </c>
      <c r="D1089" t="str">
        <f>IF(ISNUMBER($K1089),INDEX(РАБОТЫ!$E$2:$E$1058,$K1089),"")</f>
        <v/>
      </c>
      <c r="E1089" t="str">
        <f>IF(ISNUMBER($K1089),INDEX(РАБОТЫ!$M$2:$M$1058,$K1089),"")</f>
        <v/>
      </c>
      <c r="F1089" s="7" t="str">
        <f>IF(ISNUMBER($K1089),INDEX(РАБОТЫ!$S$2:$S$1058,$K1089),"")</f>
        <v/>
      </c>
      <c r="G1089" s="7" t="str">
        <f>IF(ISNUMBER($K1089),INDEX(РАБОТЫ!$T$2:$T$1058,$K1089),"")</f>
        <v/>
      </c>
      <c r="H1089" s="7" t="str">
        <f t="shared" si="64"/>
        <v/>
      </c>
      <c r="I1089" s="7" t="str">
        <f t="shared" si="65"/>
        <v/>
      </c>
      <c r="J1089" s="7" t="str">
        <f t="shared" si="66"/>
        <v/>
      </c>
      <c r="K1089" t="str">
        <f>IFERROR(MATCH(1068,РАБОТЫ!$X$2:$X$1058,0),"")</f>
        <v/>
      </c>
      <c r="L1089" t="str">
        <f>IFERROR(IF(INDEX(РАБОТЫ!$W$2:$W$1058,MATCH(1068+1,РАБОТЫ!$X$2:$X$1058,0))=1,INDEX(РАБОТЫ!$V$2:$V$1058,MATCH(1068+1,РАБОТЫ!$X$2:$X$1058,0)),""),"")</f>
        <v/>
      </c>
      <c r="M1089" t="str">
        <f t="shared" si="67"/>
        <v/>
      </c>
    </row>
    <row r="1090" spans="1:13" hidden="1" x14ac:dyDescent="0.3">
      <c r="A1090" t="str">
        <f>IF(ISNUMBER($K1090),INDEX(РАБОТЫ!$U$2:$U$1058,$K1090),"")</f>
        <v/>
      </c>
      <c r="B1090" t="str">
        <f>IF(ISNUMBER($K1090),INDEX(РАБОТЫ!$A$2:$A$1058,$K1090),"")</f>
        <v/>
      </c>
      <c r="C1090" s="4" t="str">
        <f>IF($L1090&lt;&gt;"",INDEX(РАБОТЫ!$Z$2:$Z$1058,MATCH($L1090,РАБОТЫ!$V$2:$V$1058,0)),IF(ISNUMBER($K1090),INDEX(РАБОТЫ!$Y$2:$Y$1058,$K1090),""))</f>
        <v/>
      </c>
      <c r="D1090" t="str">
        <f>IF(ISNUMBER($K1090),INDEX(РАБОТЫ!$E$2:$E$1058,$K1090),"")</f>
        <v/>
      </c>
      <c r="E1090" t="str">
        <f>IF(ISNUMBER($K1090),INDEX(РАБОТЫ!$M$2:$M$1058,$K1090),"")</f>
        <v/>
      </c>
      <c r="F1090" s="7" t="str">
        <f>IF(ISNUMBER($K1090),INDEX(РАБОТЫ!$S$2:$S$1058,$K1090),"")</f>
        <v/>
      </c>
      <c r="G1090" s="7" t="str">
        <f>IF(ISNUMBER($K1090),INDEX(РАБОТЫ!$T$2:$T$1058,$K1090),"")</f>
        <v/>
      </c>
      <c r="H1090" s="7" t="str">
        <f t="shared" si="64"/>
        <v/>
      </c>
      <c r="I1090" s="7" t="str">
        <f t="shared" si="65"/>
        <v/>
      </c>
      <c r="J1090" s="7" t="str">
        <f t="shared" si="66"/>
        <v/>
      </c>
      <c r="K1090" t="str">
        <f>IFERROR(MATCH(1069,РАБОТЫ!$X$2:$X$1058,0),"")</f>
        <v/>
      </c>
      <c r="L1090" t="str">
        <f>IFERROR(IF(INDEX(РАБОТЫ!$W$2:$W$1058,MATCH(1069+1,РАБОТЫ!$X$2:$X$1058,0))=1,INDEX(РАБОТЫ!$V$2:$V$1058,MATCH(1069+1,РАБОТЫ!$X$2:$X$1058,0)),""),"")</f>
        <v/>
      </c>
      <c r="M1090" t="str">
        <f t="shared" si="67"/>
        <v/>
      </c>
    </row>
    <row r="1091" spans="1:13" hidden="1" x14ac:dyDescent="0.3">
      <c r="A1091" t="str">
        <f>IF(ISNUMBER($K1091),INDEX(РАБОТЫ!$U$2:$U$1058,$K1091),"")</f>
        <v/>
      </c>
      <c r="B1091" t="str">
        <f>IF(ISNUMBER($K1091),INDEX(РАБОТЫ!$A$2:$A$1058,$K1091),"")</f>
        <v/>
      </c>
      <c r="C1091" s="4" t="str">
        <f>IF($L1091&lt;&gt;"",INDEX(РАБОТЫ!$Z$2:$Z$1058,MATCH($L1091,РАБОТЫ!$V$2:$V$1058,0)),IF(ISNUMBER($K1091),INDEX(РАБОТЫ!$Y$2:$Y$1058,$K1091),""))</f>
        <v/>
      </c>
      <c r="D1091" t="str">
        <f>IF(ISNUMBER($K1091),INDEX(РАБОТЫ!$E$2:$E$1058,$K1091),"")</f>
        <v/>
      </c>
      <c r="E1091" t="str">
        <f>IF(ISNUMBER($K1091),INDEX(РАБОТЫ!$M$2:$M$1058,$K1091),"")</f>
        <v/>
      </c>
      <c r="F1091" s="7" t="str">
        <f>IF(ISNUMBER($K1091),INDEX(РАБОТЫ!$S$2:$S$1058,$K1091),"")</f>
        <v/>
      </c>
      <c r="G1091" s="7" t="str">
        <f>IF(ISNUMBER($K1091),INDEX(РАБОТЫ!$T$2:$T$1058,$K1091),"")</f>
        <v/>
      </c>
      <c r="H1091" s="7" t="str">
        <f t="shared" si="64"/>
        <v/>
      </c>
      <c r="I1091" s="7" t="str">
        <f t="shared" si="65"/>
        <v/>
      </c>
      <c r="J1091" s="7" t="str">
        <f t="shared" si="66"/>
        <v/>
      </c>
      <c r="K1091" t="str">
        <f>IFERROR(MATCH(1070,РАБОТЫ!$X$2:$X$1058,0),"")</f>
        <v/>
      </c>
      <c r="L1091" t="str">
        <f>IFERROR(IF(INDEX(РАБОТЫ!$W$2:$W$1058,MATCH(1070+1,РАБОТЫ!$X$2:$X$1058,0))=1,INDEX(РАБОТЫ!$V$2:$V$1058,MATCH(1070+1,РАБОТЫ!$X$2:$X$1058,0)),""),"")</f>
        <v/>
      </c>
      <c r="M1091" t="str">
        <f t="shared" si="67"/>
        <v/>
      </c>
    </row>
    <row r="1092" spans="1:13" hidden="1" x14ac:dyDescent="0.3">
      <c r="A1092" t="str">
        <f>IF(ISNUMBER($K1092),INDEX(РАБОТЫ!$U$2:$U$1058,$K1092),"")</f>
        <v/>
      </c>
      <c r="B1092" t="str">
        <f>IF(ISNUMBER($K1092),INDEX(РАБОТЫ!$A$2:$A$1058,$K1092),"")</f>
        <v/>
      </c>
      <c r="C1092" s="4" t="str">
        <f>IF($L1092&lt;&gt;"",INDEX(РАБОТЫ!$Z$2:$Z$1058,MATCH($L1092,РАБОТЫ!$V$2:$V$1058,0)),IF(ISNUMBER($K1092),INDEX(РАБОТЫ!$Y$2:$Y$1058,$K1092),""))</f>
        <v/>
      </c>
      <c r="D1092" t="str">
        <f>IF(ISNUMBER($K1092),INDEX(РАБОТЫ!$E$2:$E$1058,$K1092),"")</f>
        <v/>
      </c>
      <c r="E1092" t="str">
        <f>IF(ISNUMBER($K1092),INDEX(РАБОТЫ!$M$2:$M$1058,$K1092),"")</f>
        <v/>
      </c>
      <c r="F1092" s="7" t="str">
        <f>IF(ISNUMBER($K1092),INDEX(РАБОТЫ!$S$2:$S$1058,$K1092),"")</f>
        <v/>
      </c>
      <c r="G1092" s="7" t="str">
        <f>IF(ISNUMBER($K1092),INDEX(РАБОТЫ!$T$2:$T$1058,$K1092),"")</f>
        <v/>
      </c>
      <c r="H1092" s="7" t="str">
        <f t="shared" si="64"/>
        <v/>
      </c>
      <c r="I1092" s="7" t="str">
        <f t="shared" si="65"/>
        <v/>
      </c>
      <c r="J1092" s="7" t="str">
        <f t="shared" si="66"/>
        <v/>
      </c>
      <c r="K1092" t="str">
        <f>IFERROR(MATCH(1071,РАБОТЫ!$X$2:$X$1058,0),"")</f>
        <v/>
      </c>
      <c r="L1092" t="str">
        <f>IFERROR(IF(INDEX(РАБОТЫ!$W$2:$W$1058,MATCH(1071+1,РАБОТЫ!$X$2:$X$1058,0))=1,INDEX(РАБОТЫ!$V$2:$V$1058,MATCH(1071+1,РАБОТЫ!$X$2:$X$1058,0)),""),"")</f>
        <v/>
      </c>
      <c r="M1092" t="str">
        <f t="shared" si="67"/>
        <v/>
      </c>
    </row>
    <row r="1093" spans="1:13" hidden="1" x14ac:dyDescent="0.3">
      <c r="A1093" t="str">
        <f>IF(ISNUMBER($K1093),INDEX(РАБОТЫ!$U$2:$U$1058,$K1093),"")</f>
        <v/>
      </c>
      <c r="B1093" t="str">
        <f>IF(ISNUMBER($K1093),INDEX(РАБОТЫ!$A$2:$A$1058,$K1093),"")</f>
        <v/>
      </c>
      <c r="C1093" s="4" t="str">
        <f>IF($L1093&lt;&gt;"",INDEX(РАБОТЫ!$Z$2:$Z$1058,MATCH($L1093,РАБОТЫ!$V$2:$V$1058,0)),IF(ISNUMBER($K1093),INDEX(РАБОТЫ!$Y$2:$Y$1058,$K1093),""))</f>
        <v/>
      </c>
      <c r="D1093" t="str">
        <f>IF(ISNUMBER($K1093),INDEX(РАБОТЫ!$E$2:$E$1058,$K1093),"")</f>
        <v/>
      </c>
      <c r="E1093" t="str">
        <f>IF(ISNUMBER($K1093),INDEX(РАБОТЫ!$M$2:$M$1058,$K1093),"")</f>
        <v/>
      </c>
      <c r="F1093" s="7" t="str">
        <f>IF(ISNUMBER($K1093),INDEX(РАБОТЫ!$S$2:$S$1058,$K1093),"")</f>
        <v/>
      </c>
      <c r="G1093" s="7" t="str">
        <f>IF(ISNUMBER($K1093),INDEX(РАБОТЫ!$T$2:$T$1058,$K1093),"")</f>
        <v/>
      </c>
      <c r="H1093" s="7" t="str">
        <f t="shared" si="64"/>
        <v/>
      </c>
      <c r="I1093" s="7" t="str">
        <f t="shared" si="65"/>
        <v/>
      </c>
      <c r="J1093" s="7" t="str">
        <f t="shared" si="66"/>
        <v/>
      </c>
      <c r="K1093" t="str">
        <f>IFERROR(MATCH(1072,РАБОТЫ!$X$2:$X$1058,0),"")</f>
        <v/>
      </c>
      <c r="L1093" t="str">
        <f>IFERROR(IF(INDEX(РАБОТЫ!$W$2:$W$1058,MATCH(1072+1,РАБОТЫ!$X$2:$X$1058,0))=1,INDEX(РАБОТЫ!$V$2:$V$1058,MATCH(1072+1,РАБОТЫ!$X$2:$X$1058,0)),""),"")</f>
        <v/>
      </c>
      <c r="M1093" t="str">
        <f t="shared" si="67"/>
        <v/>
      </c>
    </row>
    <row r="1094" spans="1:13" hidden="1" x14ac:dyDescent="0.3">
      <c r="A1094" t="str">
        <f>IF(ISNUMBER($K1094),INDEX(РАБОТЫ!$U$2:$U$1058,$K1094),"")</f>
        <v/>
      </c>
      <c r="B1094" t="str">
        <f>IF(ISNUMBER($K1094),INDEX(РАБОТЫ!$A$2:$A$1058,$K1094),"")</f>
        <v/>
      </c>
      <c r="C1094" s="4" t="str">
        <f>IF($L1094&lt;&gt;"",INDEX(РАБОТЫ!$Z$2:$Z$1058,MATCH($L1094,РАБОТЫ!$V$2:$V$1058,0)),IF(ISNUMBER($K1094),INDEX(РАБОТЫ!$Y$2:$Y$1058,$K1094),""))</f>
        <v/>
      </c>
      <c r="D1094" t="str">
        <f>IF(ISNUMBER($K1094),INDEX(РАБОТЫ!$E$2:$E$1058,$K1094),"")</f>
        <v/>
      </c>
      <c r="E1094" t="str">
        <f>IF(ISNUMBER($K1094),INDEX(РАБОТЫ!$M$2:$M$1058,$K1094),"")</f>
        <v/>
      </c>
      <c r="F1094" s="7" t="str">
        <f>IF(ISNUMBER($K1094),INDEX(РАБОТЫ!$S$2:$S$1058,$K1094),"")</f>
        <v/>
      </c>
      <c r="G1094" s="7" t="str">
        <f>IF(ISNUMBER($K1094),INDEX(РАБОТЫ!$T$2:$T$1058,$K1094),"")</f>
        <v/>
      </c>
      <c r="H1094" s="7" t="str">
        <f t="shared" si="64"/>
        <v/>
      </c>
      <c r="I1094" s="7" t="str">
        <f t="shared" si="65"/>
        <v/>
      </c>
      <c r="J1094" s="7" t="str">
        <f t="shared" si="66"/>
        <v/>
      </c>
      <c r="K1094" t="str">
        <f>IFERROR(MATCH(1073,РАБОТЫ!$X$2:$X$1058,0),"")</f>
        <v/>
      </c>
      <c r="L1094" t="str">
        <f>IFERROR(IF(INDEX(РАБОТЫ!$W$2:$W$1058,MATCH(1073+1,РАБОТЫ!$X$2:$X$1058,0))=1,INDEX(РАБОТЫ!$V$2:$V$1058,MATCH(1073+1,РАБОТЫ!$X$2:$X$1058,0)),""),"")</f>
        <v/>
      </c>
      <c r="M1094" t="str">
        <f t="shared" si="67"/>
        <v/>
      </c>
    </row>
    <row r="1095" spans="1:13" hidden="1" x14ac:dyDescent="0.3">
      <c r="A1095" t="str">
        <f>IF(ISNUMBER($K1095),INDEX(РАБОТЫ!$U$2:$U$1058,$K1095),"")</f>
        <v/>
      </c>
      <c r="B1095" t="str">
        <f>IF(ISNUMBER($K1095),INDEX(РАБОТЫ!$A$2:$A$1058,$K1095),"")</f>
        <v/>
      </c>
      <c r="C1095" s="4" t="str">
        <f>IF($L1095&lt;&gt;"",INDEX(РАБОТЫ!$Z$2:$Z$1058,MATCH($L1095,РАБОТЫ!$V$2:$V$1058,0)),IF(ISNUMBER($K1095),INDEX(РАБОТЫ!$Y$2:$Y$1058,$K1095),""))</f>
        <v/>
      </c>
      <c r="D1095" t="str">
        <f>IF(ISNUMBER($K1095),INDEX(РАБОТЫ!$E$2:$E$1058,$K1095),"")</f>
        <v/>
      </c>
      <c r="E1095" t="str">
        <f>IF(ISNUMBER($K1095),INDEX(РАБОТЫ!$M$2:$M$1058,$K1095),"")</f>
        <v/>
      </c>
      <c r="F1095" s="7" t="str">
        <f>IF(ISNUMBER($K1095),INDEX(РАБОТЫ!$S$2:$S$1058,$K1095),"")</f>
        <v/>
      </c>
      <c r="G1095" s="7" t="str">
        <f>IF(ISNUMBER($K1095),INDEX(РАБОТЫ!$T$2:$T$1058,$K1095),"")</f>
        <v/>
      </c>
      <c r="H1095" s="7" t="str">
        <f t="shared" si="64"/>
        <v/>
      </c>
      <c r="I1095" s="7" t="str">
        <f t="shared" si="65"/>
        <v/>
      </c>
      <c r="J1095" s="7" t="str">
        <f t="shared" si="66"/>
        <v/>
      </c>
      <c r="K1095" t="str">
        <f>IFERROR(MATCH(1074,РАБОТЫ!$X$2:$X$1058,0),"")</f>
        <v/>
      </c>
      <c r="L1095" t="str">
        <f>IFERROR(IF(INDEX(РАБОТЫ!$W$2:$W$1058,MATCH(1074+1,РАБОТЫ!$X$2:$X$1058,0))=1,INDEX(РАБОТЫ!$V$2:$V$1058,MATCH(1074+1,РАБОТЫ!$X$2:$X$1058,0)),""),"")</f>
        <v/>
      </c>
      <c r="M1095" t="str">
        <f t="shared" si="67"/>
        <v/>
      </c>
    </row>
    <row r="1096" spans="1:13" hidden="1" x14ac:dyDescent="0.3">
      <c r="A1096" t="str">
        <f>IF(ISNUMBER($K1096),INDEX(РАБОТЫ!$U$2:$U$1058,$K1096),"")</f>
        <v/>
      </c>
      <c r="B1096" t="str">
        <f>IF(ISNUMBER($K1096),INDEX(РАБОТЫ!$A$2:$A$1058,$K1096),"")</f>
        <v/>
      </c>
      <c r="C1096" s="4" t="str">
        <f>IF($L1096&lt;&gt;"",INDEX(РАБОТЫ!$Z$2:$Z$1058,MATCH($L1096,РАБОТЫ!$V$2:$V$1058,0)),IF(ISNUMBER($K1096),INDEX(РАБОТЫ!$Y$2:$Y$1058,$K1096),""))</f>
        <v/>
      </c>
      <c r="D1096" t="str">
        <f>IF(ISNUMBER($K1096),INDEX(РАБОТЫ!$E$2:$E$1058,$K1096),"")</f>
        <v/>
      </c>
      <c r="E1096" t="str">
        <f>IF(ISNUMBER($K1096),INDEX(РАБОТЫ!$M$2:$M$1058,$K1096),"")</f>
        <v/>
      </c>
      <c r="F1096" s="7" t="str">
        <f>IF(ISNUMBER($K1096),INDEX(РАБОТЫ!$S$2:$S$1058,$K1096),"")</f>
        <v/>
      </c>
      <c r="G1096" s="7" t="str">
        <f>IF(ISNUMBER($K1096),INDEX(РАБОТЫ!$T$2:$T$1058,$K1096),"")</f>
        <v/>
      </c>
      <c r="H1096" s="7" t="str">
        <f t="shared" si="64"/>
        <v/>
      </c>
      <c r="I1096" s="7" t="str">
        <f t="shared" si="65"/>
        <v/>
      </c>
      <c r="J1096" s="7" t="str">
        <f t="shared" si="66"/>
        <v/>
      </c>
      <c r="K1096" t="str">
        <f>IFERROR(MATCH(1075,РАБОТЫ!$X$2:$X$1058,0),"")</f>
        <v/>
      </c>
      <c r="L1096" t="str">
        <f>IFERROR(IF(INDEX(РАБОТЫ!$W$2:$W$1058,MATCH(1075+1,РАБОТЫ!$X$2:$X$1058,0))=1,INDEX(РАБОТЫ!$V$2:$V$1058,MATCH(1075+1,РАБОТЫ!$X$2:$X$1058,0)),""),"")</f>
        <v/>
      </c>
      <c r="M1096" t="str">
        <f t="shared" si="67"/>
        <v/>
      </c>
    </row>
    <row r="1097" spans="1:13" x14ac:dyDescent="0.3">
      <c r="B1097" t="s">
        <v>6202</v>
      </c>
      <c r="H1097" s="7">
        <f>SUM($H$22:$H$1096)</f>
        <v>0</v>
      </c>
      <c r="M1097" t="s">
        <v>6203</v>
      </c>
    </row>
    <row r="1098" spans="1:13" x14ac:dyDescent="0.3">
      <c r="B1098" t="s">
        <v>6204</v>
      </c>
      <c r="I1098" s="7">
        <f>SUM($I$22:$I$1096)</f>
        <v>0</v>
      </c>
      <c r="M1098" t="s">
        <v>6203</v>
      </c>
    </row>
    <row r="1099" spans="1:13" x14ac:dyDescent="0.3">
      <c r="B1099" s="2" t="s">
        <v>6205</v>
      </c>
      <c r="J1099" s="15">
        <f>SUM($J$22:$J$1096)</f>
        <v>0</v>
      </c>
      <c r="M1099" t="s">
        <v>6203</v>
      </c>
    </row>
    <row r="1100" spans="1:13" x14ac:dyDescent="0.3">
      <c r="M1100" t="s">
        <v>6203</v>
      </c>
    </row>
    <row r="1101" spans="1:13" x14ac:dyDescent="0.3">
      <c r="A1101" t="s">
        <v>6206</v>
      </c>
      <c r="M1101" t="s">
        <v>6203</v>
      </c>
    </row>
    <row r="1102" spans="1:13" x14ac:dyDescent="0.3">
      <c r="M1102" t="s">
        <v>6203</v>
      </c>
    </row>
    <row r="1103" spans="1:13" x14ac:dyDescent="0.3">
      <c r="A1103" t="s">
        <v>6207</v>
      </c>
      <c r="G1103" t="s">
        <v>6208</v>
      </c>
      <c r="M1103" t="s">
        <v>6203</v>
      </c>
    </row>
  </sheetData>
  <autoFilter ref="A21:M1103" xr:uid="{00000000-0009-0000-0000-000003000000}">
    <filterColumn colId="12">
      <filters>
        <filter val="показать"/>
      </filters>
    </filterColumn>
  </autoFilter>
  <conditionalFormatting sqref="A22:J1096">
    <cfRule type="expression" dxfId="0" priority="1">
      <formula>$L22&lt;&gt;""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G25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20" customWidth="1"/>
    <col min="4" max="6" width="14" customWidth="1"/>
    <col min="7" max="7" width="44" customWidth="1"/>
  </cols>
  <sheetData>
    <row r="1" spans="1:7" ht="273.60000000000002" x14ac:dyDescent="0.3">
      <c r="A1" s="4" t="s">
        <v>6209</v>
      </c>
    </row>
    <row r="3" spans="1:7" x14ac:dyDescent="0.3">
      <c r="A3" s="3" t="s">
        <v>6210</v>
      </c>
      <c r="B3" s="3" t="s">
        <v>6211</v>
      </c>
      <c r="C3" s="3" t="s">
        <v>6212</v>
      </c>
      <c r="D3" s="3" t="s">
        <v>6213</v>
      </c>
      <c r="E3" s="3" t="s">
        <v>6214</v>
      </c>
      <c r="F3" s="3" t="s">
        <v>6215</v>
      </c>
      <c r="G3" s="3" t="s">
        <v>6216</v>
      </c>
    </row>
    <row r="4" spans="1:7" x14ac:dyDescent="0.3">
      <c r="A4" s="16"/>
      <c r="D4" s="7"/>
      <c r="E4" s="7"/>
    </row>
    <row r="5" spans="1:7" x14ac:dyDescent="0.3">
      <c r="A5" s="16"/>
      <c r="D5" s="7"/>
      <c r="E5" s="7"/>
    </row>
    <row r="6" spans="1:7" x14ac:dyDescent="0.3">
      <c r="A6" s="16"/>
      <c r="D6" s="7"/>
      <c r="E6" s="7"/>
    </row>
    <row r="7" spans="1:7" x14ac:dyDescent="0.3">
      <c r="A7" s="16"/>
      <c r="D7" s="7"/>
      <c r="E7" s="7"/>
    </row>
    <row r="8" spans="1:7" x14ac:dyDescent="0.3">
      <c r="A8" s="16"/>
      <c r="D8" s="7"/>
      <c r="E8" s="7"/>
    </row>
    <row r="9" spans="1:7" x14ac:dyDescent="0.3">
      <c r="A9" s="16"/>
      <c r="D9" s="7"/>
      <c r="E9" s="7"/>
    </row>
    <row r="10" spans="1:7" x14ac:dyDescent="0.3">
      <c r="A10" s="16"/>
      <c r="D10" s="7"/>
      <c r="E10" s="7"/>
    </row>
    <row r="11" spans="1:7" x14ac:dyDescent="0.3">
      <c r="A11" s="16"/>
      <c r="D11" s="7"/>
      <c r="E11" s="7"/>
    </row>
    <row r="12" spans="1:7" x14ac:dyDescent="0.3">
      <c r="A12" s="16"/>
      <c r="D12" s="7"/>
      <c r="E12" s="7"/>
    </row>
    <row r="13" spans="1:7" x14ac:dyDescent="0.3">
      <c r="A13" s="16"/>
      <c r="D13" s="7"/>
      <c r="E13" s="7"/>
    </row>
    <row r="14" spans="1:7" x14ac:dyDescent="0.3">
      <c r="A14" s="16"/>
      <c r="D14" s="7"/>
      <c r="E14" s="7"/>
    </row>
    <row r="15" spans="1:7" x14ac:dyDescent="0.3">
      <c r="A15" s="16"/>
      <c r="D15" s="7"/>
      <c r="E15" s="7"/>
    </row>
    <row r="16" spans="1:7" x14ac:dyDescent="0.3">
      <c r="A16" s="16"/>
      <c r="D16" s="7"/>
      <c r="E16" s="7"/>
    </row>
    <row r="17" spans="1:5" x14ac:dyDescent="0.3">
      <c r="A17" s="16"/>
      <c r="D17" s="7"/>
      <c r="E17" s="7"/>
    </row>
    <row r="18" spans="1:5" x14ac:dyDescent="0.3">
      <c r="A18" s="16"/>
      <c r="D18" s="7"/>
      <c r="E18" s="7"/>
    </row>
    <row r="19" spans="1:5" x14ac:dyDescent="0.3">
      <c r="A19" s="16"/>
      <c r="D19" s="7"/>
      <c r="E19" s="7"/>
    </row>
    <row r="20" spans="1:5" x14ac:dyDescent="0.3">
      <c r="A20" s="16"/>
      <c r="D20" s="7"/>
      <c r="E20" s="7"/>
    </row>
    <row r="21" spans="1:5" x14ac:dyDescent="0.3">
      <c r="A21" s="16"/>
      <c r="D21" s="7"/>
      <c r="E21" s="7"/>
    </row>
    <row r="22" spans="1:5" x14ac:dyDescent="0.3">
      <c r="A22" s="16"/>
      <c r="D22" s="7"/>
      <c r="E22" s="7"/>
    </row>
    <row r="23" spans="1:5" x14ac:dyDescent="0.3">
      <c r="A23" s="16"/>
      <c r="D23" s="7"/>
      <c r="E23" s="7"/>
    </row>
    <row r="24" spans="1:5" x14ac:dyDescent="0.3">
      <c r="A24" s="16"/>
      <c r="D24" s="7"/>
      <c r="E24" s="7"/>
    </row>
    <row r="25" spans="1:5" x14ac:dyDescent="0.3">
      <c r="A25" s="16"/>
      <c r="D25" s="7"/>
      <c r="E25" s="7"/>
    </row>
    <row r="26" spans="1:5" x14ac:dyDescent="0.3">
      <c r="A26" s="16"/>
      <c r="D26" s="7"/>
      <c r="E26" s="7"/>
    </row>
    <row r="27" spans="1:5" x14ac:dyDescent="0.3">
      <c r="A27" s="16"/>
      <c r="D27" s="7"/>
      <c r="E27" s="7"/>
    </row>
    <row r="28" spans="1:5" x14ac:dyDescent="0.3">
      <c r="A28" s="16"/>
      <c r="D28" s="7"/>
      <c r="E28" s="7"/>
    </row>
    <row r="29" spans="1:5" x14ac:dyDescent="0.3">
      <c r="A29" s="16"/>
      <c r="D29" s="7"/>
      <c r="E29" s="7"/>
    </row>
    <row r="30" spans="1:5" x14ac:dyDescent="0.3">
      <c r="A30" s="16"/>
      <c r="D30" s="7"/>
      <c r="E30" s="7"/>
    </row>
    <row r="31" spans="1:5" x14ac:dyDescent="0.3">
      <c r="A31" s="16"/>
      <c r="D31" s="7"/>
      <c r="E31" s="7"/>
    </row>
    <row r="32" spans="1:5" x14ac:dyDescent="0.3">
      <c r="A32" s="16"/>
      <c r="D32" s="7"/>
      <c r="E32" s="7"/>
    </row>
    <row r="33" spans="1:5" x14ac:dyDescent="0.3">
      <c r="A33" s="16"/>
      <c r="D33" s="7"/>
      <c r="E33" s="7"/>
    </row>
    <row r="34" spans="1:5" x14ac:dyDescent="0.3">
      <c r="A34" s="16"/>
      <c r="D34" s="7"/>
      <c r="E34" s="7"/>
    </row>
    <row r="35" spans="1:5" x14ac:dyDescent="0.3">
      <c r="A35" s="16"/>
      <c r="D35" s="7"/>
      <c r="E35" s="7"/>
    </row>
    <row r="36" spans="1:5" x14ac:dyDescent="0.3">
      <c r="A36" s="16"/>
      <c r="D36" s="7"/>
      <c r="E36" s="7"/>
    </row>
    <row r="37" spans="1:5" x14ac:dyDescent="0.3">
      <c r="A37" s="16"/>
      <c r="D37" s="7"/>
      <c r="E37" s="7"/>
    </row>
    <row r="38" spans="1:5" x14ac:dyDescent="0.3">
      <c r="A38" s="16"/>
      <c r="D38" s="7"/>
      <c r="E38" s="7"/>
    </row>
    <row r="39" spans="1:5" x14ac:dyDescent="0.3">
      <c r="A39" s="16"/>
      <c r="D39" s="7"/>
      <c r="E39" s="7"/>
    </row>
    <row r="40" spans="1:5" x14ac:dyDescent="0.3">
      <c r="A40" s="16"/>
      <c r="D40" s="7"/>
      <c r="E40" s="7"/>
    </row>
    <row r="41" spans="1:5" x14ac:dyDescent="0.3">
      <c r="A41" s="16"/>
      <c r="D41" s="7"/>
      <c r="E41" s="7"/>
    </row>
    <row r="42" spans="1:5" x14ac:dyDescent="0.3">
      <c r="A42" s="16"/>
      <c r="D42" s="7"/>
      <c r="E42" s="7"/>
    </row>
    <row r="43" spans="1:5" x14ac:dyDescent="0.3">
      <c r="A43" s="16"/>
      <c r="D43" s="7"/>
      <c r="E43" s="7"/>
    </row>
    <row r="44" spans="1:5" x14ac:dyDescent="0.3">
      <c r="A44" s="16"/>
      <c r="D44" s="7"/>
      <c r="E44" s="7"/>
    </row>
    <row r="45" spans="1:5" x14ac:dyDescent="0.3">
      <c r="A45" s="16"/>
      <c r="D45" s="7"/>
      <c r="E45" s="7"/>
    </row>
    <row r="46" spans="1:5" x14ac:dyDescent="0.3">
      <c r="A46" s="16"/>
      <c r="D46" s="7"/>
      <c r="E46" s="7"/>
    </row>
    <row r="47" spans="1:5" x14ac:dyDescent="0.3">
      <c r="A47" s="16"/>
      <c r="D47" s="7"/>
      <c r="E47" s="7"/>
    </row>
    <row r="48" spans="1:5" x14ac:dyDescent="0.3">
      <c r="A48" s="16"/>
      <c r="D48" s="7"/>
      <c r="E48" s="7"/>
    </row>
    <row r="49" spans="1:5" x14ac:dyDescent="0.3">
      <c r="A49" s="16"/>
      <c r="D49" s="7"/>
      <c r="E49" s="7"/>
    </row>
    <row r="50" spans="1:5" x14ac:dyDescent="0.3">
      <c r="A50" s="16"/>
      <c r="D50" s="7"/>
      <c r="E50" s="7"/>
    </row>
    <row r="51" spans="1:5" x14ac:dyDescent="0.3">
      <c r="A51" s="16"/>
      <c r="D51" s="7"/>
      <c r="E51" s="7"/>
    </row>
    <row r="52" spans="1:5" x14ac:dyDescent="0.3">
      <c r="A52" s="16"/>
      <c r="D52" s="7"/>
      <c r="E52" s="7"/>
    </row>
    <row r="53" spans="1:5" x14ac:dyDescent="0.3">
      <c r="A53" s="16"/>
      <c r="D53" s="7"/>
      <c r="E53" s="7"/>
    </row>
    <row r="54" spans="1:5" x14ac:dyDescent="0.3">
      <c r="A54" s="16"/>
      <c r="D54" s="7"/>
      <c r="E54" s="7"/>
    </row>
    <row r="55" spans="1:5" x14ac:dyDescent="0.3">
      <c r="A55" s="16"/>
      <c r="D55" s="7"/>
      <c r="E55" s="7"/>
    </row>
    <row r="56" spans="1:5" x14ac:dyDescent="0.3">
      <c r="A56" s="16"/>
      <c r="D56" s="7"/>
      <c r="E56" s="7"/>
    </row>
    <row r="57" spans="1:5" x14ac:dyDescent="0.3">
      <c r="A57" s="16"/>
      <c r="D57" s="7"/>
      <c r="E57" s="7"/>
    </row>
    <row r="58" spans="1:5" x14ac:dyDescent="0.3">
      <c r="A58" s="16"/>
      <c r="D58" s="7"/>
      <c r="E58" s="7"/>
    </row>
    <row r="59" spans="1:5" x14ac:dyDescent="0.3">
      <c r="A59" s="16"/>
      <c r="D59" s="7"/>
      <c r="E59" s="7"/>
    </row>
    <row r="60" spans="1:5" x14ac:dyDescent="0.3">
      <c r="A60" s="16"/>
      <c r="D60" s="7"/>
      <c r="E60" s="7"/>
    </row>
    <row r="61" spans="1:5" x14ac:dyDescent="0.3">
      <c r="A61" s="16"/>
      <c r="D61" s="7"/>
      <c r="E61" s="7"/>
    </row>
    <row r="62" spans="1:5" x14ac:dyDescent="0.3">
      <c r="A62" s="16"/>
      <c r="D62" s="7"/>
      <c r="E62" s="7"/>
    </row>
    <row r="63" spans="1:5" x14ac:dyDescent="0.3">
      <c r="A63" s="16"/>
      <c r="D63" s="7"/>
      <c r="E63" s="7"/>
    </row>
    <row r="64" spans="1:5" x14ac:dyDescent="0.3">
      <c r="A64" s="16"/>
      <c r="D64" s="7"/>
      <c r="E64" s="7"/>
    </row>
    <row r="65" spans="1:5" x14ac:dyDescent="0.3">
      <c r="A65" s="16"/>
      <c r="D65" s="7"/>
      <c r="E65" s="7"/>
    </row>
    <row r="66" spans="1:5" x14ac:dyDescent="0.3">
      <c r="A66" s="16"/>
      <c r="D66" s="7"/>
      <c r="E66" s="7"/>
    </row>
    <row r="67" spans="1:5" x14ac:dyDescent="0.3">
      <c r="A67" s="16"/>
      <c r="D67" s="7"/>
      <c r="E67" s="7"/>
    </row>
    <row r="68" spans="1:5" x14ac:dyDescent="0.3">
      <c r="A68" s="16"/>
      <c r="D68" s="7"/>
      <c r="E68" s="7"/>
    </row>
    <row r="69" spans="1:5" x14ac:dyDescent="0.3">
      <c r="A69" s="16"/>
      <c r="D69" s="7"/>
      <c r="E69" s="7"/>
    </row>
    <row r="70" spans="1:5" x14ac:dyDescent="0.3">
      <c r="A70" s="16"/>
      <c r="D70" s="7"/>
      <c r="E70" s="7"/>
    </row>
    <row r="71" spans="1:5" x14ac:dyDescent="0.3">
      <c r="A71" s="16"/>
      <c r="D71" s="7"/>
      <c r="E71" s="7"/>
    </row>
    <row r="72" spans="1:5" x14ac:dyDescent="0.3">
      <c r="A72" s="16"/>
      <c r="D72" s="7"/>
      <c r="E72" s="7"/>
    </row>
    <row r="73" spans="1:5" x14ac:dyDescent="0.3">
      <c r="A73" s="16"/>
      <c r="D73" s="7"/>
      <c r="E73" s="7"/>
    </row>
    <row r="74" spans="1:5" x14ac:dyDescent="0.3">
      <c r="A74" s="16"/>
      <c r="D74" s="7"/>
      <c r="E74" s="7"/>
    </row>
    <row r="75" spans="1:5" x14ac:dyDescent="0.3">
      <c r="A75" s="16"/>
      <c r="D75" s="7"/>
      <c r="E75" s="7"/>
    </row>
    <row r="76" spans="1:5" x14ac:dyDescent="0.3">
      <c r="A76" s="16"/>
      <c r="D76" s="7"/>
      <c r="E76" s="7"/>
    </row>
    <row r="77" spans="1:5" x14ac:dyDescent="0.3">
      <c r="A77" s="16"/>
      <c r="D77" s="7"/>
      <c r="E77" s="7"/>
    </row>
    <row r="78" spans="1:5" x14ac:dyDescent="0.3">
      <c r="A78" s="16"/>
      <c r="D78" s="7"/>
      <c r="E78" s="7"/>
    </row>
    <row r="79" spans="1:5" x14ac:dyDescent="0.3">
      <c r="A79" s="16"/>
      <c r="D79" s="7"/>
      <c r="E79" s="7"/>
    </row>
    <row r="80" spans="1:5" x14ac:dyDescent="0.3">
      <c r="A80" s="16"/>
      <c r="D80" s="7"/>
      <c r="E80" s="7"/>
    </row>
    <row r="81" spans="1:5" x14ac:dyDescent="0.3">
      <c r="A81" s="16"/>
      <c r="D81" s="7"/>
      <c r="E81" s="7"/>
    </row>
    <row r="82" spans="1:5" x14ac:dyDescent="0.3">
      <c r="A82" s="16"/>
      <c r="D82" s="7"/>
      <c r="E82" s="7"/>
    </row>
    <row r="83" spans="1:5" x14ac:dyDescent="0.3">
      <c r="A83" s="16"/>
      <c r="D83" s="7"/>
      <c r="E83" s="7"/>
    </row>
    <row r="84" spans="1:5" x14ac:dyDescent="0.3">
      <c r="A84" s="16"/>
      <c r="D84" s="7"/>
      <c r="E84" s="7"/>
    </row>
    <row r="85" spans="1:5" x14ac:dyDescent="0.3">
      <c r="A85" s="16"/>
      <c r="D85" s="7"/>
      <c r="E85" s="7"/>
    </row>
    <row r="86" spans="1:5" x14ac:dyDescent="0.3">
      <c r="A86" s="16"/>
      <c r="D86" s="7"/>
      <c r="E86" s="7"/>
    </row>
    <row r="87" spans="1:5" x14ac:dyDescent="0.3">
      <c r="A87" s="16"/>
      <c r="D87" s="7"/>
      <c r="E87" s="7"/>
    </row>
    <row r="88" spans="1:5" x14ac:dyDescent="0.3">
      <c r="A88" s="16"/>
      <c r="D88" s="7"/>
      <c r="E88" s="7"/>
    </row>
    <row r="89" spans="1:5" x14ac:dyDescent="0.3">
      <c r="A89" s="16"/>
      <c r="D89" s="7"/>
      <c r="E89" s="7"/>
    </row>
    <row r="90" spans="1:5" x14ac:dyDescent="0.3">
      <c r="A90" s="16"/>
      <c r="D90" s="7"/>
      <c r="E90" s="7"/>
    </row>
    <row r="91" spans="1:5" x14ac:dyDescent="0.3">
      <c r="A91" s="16"/>
      <c r="D91" s="7"/>
      <c r="E91" s="7"/>
    </row>
    <row r="92" spans="1:5" x14ac:dyDescent="0.3">
      <c r="A92" s="16"/>
      <c r="D92" s="7"/>
      <c r="E92" s="7"/>
    </row>
    <row r="93" spans="1:5" x14ac:dyDescent="0.3">
      <c r="A93" s="16"/>
      <c r="D93" s="7"/>
      <c r="E93" s="7"/>
    </row>
    <row r="94" spans="1:5" x14ac:dyDescent="0.3">
      <c r="A94" s="16"/>
      <c r="D94" s="7"/>
      <c r="E94" s="7"/>
    </row>
    <row r="95" spans="1:5" x14ac:dyDescent="0.3">
      <c r="A95" s="16"/>
      <c r="D95" s="7"/>
      <c r="E95" s="7"/>
    </row>
    <row r="96" spans="1:5" x14ac:dyDescent="0.3">
      <c r="A96" s="16"/>
      <c r="D96" s="7"/>
      <c r="E96" s="7"/>
    </row>
    <row r="97" spans="1:5" x14ac:dyDescent="0.3">
      <c r="A97" s="16"/>
      <c r="D97" s="7"/>
      <c r="E97" s="7"/>
    </row>
    <row r="98" spans="1:5" x14ac:dyDescent="0.3">
      <c r="A98" s="16"/>
      <c r="D98" s="7"/>
      <c r="E98" s="7"/>
    </row>
    <row r="99" spans="1:5" x14ac:dyDescent="0.3">
      <c r="A99" s="16"/>
      <c r="D99" s="7"/>
      <c r="E99" s="7"/>
    </row>
    <row r="100" spans="1:5" x14ac:dyDescent="0.3">
      <c r="A100" s="16"/>
      <c r="D100" s="7"/>
      <c r="E100" s="7"/>
    </row>
    <row r="101" spans="1:5" x14ac:dyDescent="0.3">
      <c r="A101" s="16"/>
      <c r="D101" s="7"/>
      <c r="E101" s="7"/>
    </row>
    <row r="102" spans="1:5" x14ac:dyDescent="0.3">
      <c r="A102" s="16"/>
      <c r="D102" s="7"/>
      <c r="E102" s="7"/>
    </row>
    <row r="103" spans="1:5" x14ac:dyDescent="0.3">
      <c r="A103" s="16"/>
      <c r="D103" s="7"/>
      <c r="E103" s="7"/>
    </row>
    <row r="104" spans="1:5" x14ac:dyDescent="0.3">
      <c r="A104" s="16"/>
      <c r="D104" s="7"/>
      <c r="E104" s="7"/>
    </row>
    <row r="105" spans="1:5" x14ac:dyDescent="0.3">
      <c r="A105" s="16"/>
      <c r="D105" s="7"/>
      <c r="E105" s="7"/>
    </row>
    <row r="106" spans="1:5" x14ac:dyDescent="0.3">
      <c r="A106" s="16"/>
      <c r="D106" s="7"/>
      <c r="E106" s="7"/>
    </row>
    <row r="107" spans="1:5" x14ac:dyDescent="0.3">
      <c r="A107" s="16"/>
      <c r="D107" s="7"/>
      <c r="E107" s="7"/>
    </row>
    <row r="108" spans="1:5" x14ac:dyDescent="0.3">
      <c r="A108" s="16"/>
      <c r="D108" s="7"/>
      <c r="E108" s="7"/>
    </row>
    <row r="109" spans="1:5" x14ac:dyDescent="0.3">
      <c r="A109" s="16"/>
      <c r="D109" s="7"/>
      <c r="E109" s="7"/>
    </row>
    <row r="110" spans="1:5" x14ac:dyDescent="0.3">
      <c r="A110" s="16"/>
      <c r="D110" s="7"/>
      <c r="E110" s="7"/>
    </row>
    <row r="111" spans="1:5" x14ac:dyDescent="0.3">
      <c r="A111" s="16"/>
      <c r="D111" s="7"/>
      <c r="E111" s="7"/>
    </row>
    <row r="112" spans="1:5" x14ac:dyDescent="0.3">
      <c r="A112" s="16"/>
      <c r="D112" s="7"/>
      <c r="E112" s="7"/>
    </row>
    <row r="113" spans="1:5" x14ac:dyDescent="0.3">
      <c r="A113" s="16"/>
      <c r="D113" s="7"/>
      <c r="E113" s="7"/>
    </row>
    <row r="114" spans="1:5" x14ac:dyDescent="0.3">
      <c r="A114" s="16"/>
      <c r="D114" s="7"/>
      <c r="E114" s="7"/>
    </row>
    <row r="115" spans="1:5" x14ac:dyDescent="0.3">
      <c r="A115" s="16"/>
      <c r="D115" s="7"/>
      <c r="E115" s="7"/>
    </row>
    <row r="116" spans="1:5" x14ac:dyDescent="0.3">
      <c r="A116" s="16"/>
      <c r="D116" s="7"/>
      <c r="E116" s="7"/>
    </row>
    <row r="117" spans="1:5" x14ac:dyDescent="0.3">
      <c r="A117" s="16"/>
      <c r="D117" s="7"/>
      <c r="E117" s="7"/>
    </row>
    <row r="118" spans="1:5" x14ac:dyDescent="0.3">
      <c r="A118" s="16"/>
      <c r="D118" s="7"/>
      <c r="E118" s="7"/>
    </row>
    <row r="119" spans="1:5" x14ac:dyDescent="0.3">
      <c r="A119" s="16"/>
      <c r="D119" s="7"/>
      <c r="E119" s="7"/>
    </row>
    <row r="120" spans="1:5" x14ac:dyDescent="0.3">
      <c r="A120" s="16"/>
      <c r="D120" s="7"/>
      <c r="E120" s="7"/>
    </row>
    <row r="121" spans="1:5" x14ac:dyDescent="0.3">
      <c r="A121" s="16"/>
      <c r="D121" s="7"/>
      <c r="E121" s="7"/>
    </row>
    <row r="122" spans="1:5" x14ac:dyDescent="0.3">
      <c r="A122" s="16"/>
      <c r="D122" s="7"/>
      <c r="E122" s="7"/>
    </row>
    <row r="123" spans="1:5" x14ac:dyDescent="0.3">
      <c r="A123" s="16"/>
      <c r="D123" s="7"/>
      <c r="E123" s="7"/>
    </row>
    <row r="124" spans="1:5" x14ac:dyDescent="0.3">
      <c r="A124" s="16"/>
      <c r="D124" s="7"/>
      <c r="E124" s="7"/>
    </row>
    <row r="125" spans="1:5" x14ac:dyDescent="0.3">
      <c r="A125" s="16"/>
      <c r="D125" s="7"/>
      <c r="E125" s="7"/>
    </row>
    <row r="126" spans="1:5" x14ac:dyDescent="0.3">
      <c r="A126" s="16"/>
      <c r="D126" s="7"/>
      <c r="E126" s="7"/>
    </row>
    <row r="127" spans="1:5" x14ac:dyDescent="0.3">
      <c r="A127" s="16"/>
      <c r="D127" s="7"/>
      <c r="E127" s="7"/>
    </row>
    <row r="128" spans="1:5" x14ac:dyDescent="0.3">
      <c r="A128" s="16"/>
      <c r="D128" s="7"/>
      <c r="E128" s="7"/>
    </row>
    <row r="129" spans="1:5" x14ac:dyDescent="0.3">
      <c r="A129" s="16"/>
      <c r="D129" s="7"/>
      <c r="E129" s="7"/>
    </row>
    <row r="130" spans="1:5" x14ac:dyDescent="0.3">
      <c r="A130" s="16"/>
      <c r="D130" s="7"/>
      <c r="E130" s="7"/>
    </row>
    <row r="131" spans="1:5" x14ac:dyDescent="0.3">
      <c r="A131" s="16"/>
      <c r="D131" s="7"/>
      <c r="E131" s="7"/>
    </row>
    <row r="132" spans="1:5" x14ac:dyDescent="0.3">
      <c r="A132" s="16"/>
      <c r="D132" s="7"/>
      <c r="E132" s="7"/>
    </row>
    <row r="133" spans="1:5" x14ac:dyDescent="0.3">
      <c r="A133" s="16"/>
      <c r="D133" s="7"/>
      <c r="E133" s="7"/>
    </row>
    <row r="134" spans="1:5" x14ac:dyDescent="0.3">
      <c r="A134" s="16"/>
      <c r="D134" s="7"/>
      <c r="E134" s="7"/>
    </row>
    <row r="135" spans="1:5" x14ac:dyDescent="0.3">
      <c r="A135" s="16"/>
      <c r="D135" s="7"/>
      <c r="E135" s="7"/>
    </row>
    <row r="136" spans="1:5" x14ac:dyDescent="0.3">
      <c r="A136" s="16"/>
      <c r="D136" s="7"/>
      <c r="E136" s="7"/>
    </row>
    <row r="137" spans="1:5" x14ac:dyDescent="0.3">
      <c r="A137" s="16"/>
      <c r="D137" s="7"/>
      <c r="E137" s="7"/>
    </row>
    <row r="138" spans="1:5" x14ac:dyDescent="0.3">
      <c r="A138" s="16"/>
      <c r="D138" s="7"/>
      <c r="E138" s="7"/>
    </row>
    <row r="139" spans="1:5" x14ac:dyDescent="0.3">
      <c r="A139" s="16"/>
      <c r="D139" s="7"/>
      <c r="E139" s="7"/>
    </row>
    <row r="140" spans="1:5" x14ac:dyDescent="0.3">
      <c r="A140" s="16"/>
      <c r="D140" s="7"/>
      <c r="E140" s="7"/>
    </row>
    <row r="141" spans="1:5" x14ac:dyDescent="0.3">
      <c r="A141" s="16"/>
      <c r="D141" s="7"/>
      <c r="E141" s="7"/>
    </row>
    <row r="142" spans="1:5" x14ac:dyDescent="0.3">
      <c r="A142" s="16"/>
      <c r="D142" s="7"/>
      <c r="E142" s="7"/>
    </row>
    <row r="143" spans="1:5" x14ac:dyDescent="0.3">
      <c r="A143" s="16"/>
      <c r="D143" s="7"/>
      <c r="E143" s="7"/>
    </row>
    <row r="144" spans="1:5" x14ac:dyDescent="0.3">
      <c r="A144" s="16"/>
      <c r="D144" s="7"/>
      <c r="E144" s="7"/>
    </row>
    <row r="145" spans="1:5" x14ac:dyDescent="0.3">
      <c r="A145" s="16"/>
      <c r="D145" s="7"/>
      <c r="E145" s="7"/>
    </row>
    <row r="146" spans="1:5" x14ac:dyDescent="0.3">
      <c r="A146" s="16"/>
      <c r="D146" s="7"/>
      <c r="E146" s="7"/>
    </row>
    <row r="147" spans="1:5" x14ac:dyDescent="0.3">
      <c r="A147" s="16"/>
      <c r="D147" s="7"/>
      <c r="E147" s="7"/>
    </row>
    <row r="148" spans="1:5" x14ac:dyDescent="0.3">
      <c r="A148" s="16"/>
      <c r="D148" s="7"/>
      <c r="E148" s="7"/>
    </row>
    <row r="149" spans="1:5" x14ac:dyDescent="0.3">
      <c r="A149" s="16"/>
      <c r="D149" s="7"/>
      <c r="E149" s="7"/>
    </row>
    <row r="150" spans="1:5" x14ac:dyDescent="0.3">
      <c r="A150" s="16"/>
      <c r="D150" s="7"/>
      <c r="E150" s="7"/>
    </row>
    <row r="151" spans="1:5" x14ac:dyDescent="0.3">
      <c r="A151" s="16"/>
      <c r="D151" s="7"/>
      <c r="E151" s="7"/>
    </row>
    <row r="152" spans="1:5" x14ac:dyDescent="0.3">
      <c r="A152" s="16"/>
      <c r="D152" s="7"/>
      <c r="E152" s="7"/>
    </row>
    <row r="153" spans="1:5" x14ac:dyDescent="0.3">
      <c r="A153" s="16"/>
      <c r="D153" s="7"/>
      <c r="E153" s="7"/>
    </row>
    <row r="154" spans="1:5" x14ac:dyDescent="0.3">
      <c r="A154" s="16"/>
      <c r="D154" s="7"/>
      <c r="E154" s="7"/>
    </row>
    <row r="155" spans="1:5" x14ac:dyDescent="0.3">
      <c r="A155" s="16"/>
      <c r="D155" s="7"/>
      <c r="E155" s="7"/>
    </row>
    <row r="156" spans="1:5" x14ac:dyDescent="0.3">
      <c r="A156" s="16"/>
      <c r="D156" s="7"/>
      <c r="E156" s="7"/>
    </row>
    <row r="157" spans="1:5" x14ac:dyDescent="0.3">
      <c r="A157" s="16"/>
      <c r="D157" s="7"/>
      <c r="E157" s="7"/>
    </row>
    <row r="158" spans="1:5" x14ac:dyDescent="0.3">
      <c r="A158" s="16"/>
      <c r="D158" s="7"/>
      <c r="E158" s="7"/>
    </row>
    <row r="159" spans="1:5" x14ac:dyDescent="0.3">
      <c r="A159" s="16"/>
      <c r="D159" s="7"/>
      <c r="E159" s="7"/>
    </row>
    <row r="160" spans="1:5" x14ac:dyDescent="0.3">
      <c r="A160" s="16"/>
      <c r="D160" s="7"/>
      <c r="E160" s="7"/>
    </row>
    <row r="161" spans="1:5" x14ac:dyDescent="0.3">
      <c r="A161" s="16"/>
      <c r="D161" s="7"/>
      <c r="E161" s="7"/>
    </row>
    <row r="162" spans="1:5" x14ac:dyDescent="0.3">
      <c r="A162" s="16"/>
      <c r="D162" s="7"/>
      <c r="E162" s="7"/>
    </row>
    <row r="163" spans="1:5" x14ac:dyDescent="0.3">
      <c r="A163" s="16"/>
      <c r="D163" s="7"/>
      <c r="E163" s="7"/>
    </row>
    <row r="164" spans="1:5" x14ac:dyDescent="0.3">
      <c r="A164" s="16"/>
      <c r="D164" s="7"/>
      <c r="E164" s="7"/>
    </row>
    <row r="165" spans="1:5" x14ac:dyDescent="0.3">
      <c r="A165" s="16"/>
      <c r="D165" s="7"/>
      <c r="E165" s="7"/>
    </row>
    <row r="166" spans="1:5" x14ac:dyDescent="0.3">
      <c r="A166" s="16"/>
      <c r="D166" s="7"/>
      <c r="E166" s="7"/>
    </row>
    <row r="167" spans="1:5" x14ac:dyDescent="0.3">
      <c r="A167" s="16"/>
      <c r="D167" s="7"/>
      <c r="E167" s="7"/>
    </row>
    <row r="168" spans="1:5" x14ac:dyDescent="0.3">
      <c r="A168" s="16"/>
      <c r="D168" s="7"/>
      <c r="E168" s="7"/>
    </row>
    <row r="169" spans="1:5" x14ac:dyDescent="0.3">
      <c r="A169" s="16"/>
      <c r="D169" s="7"/>
      <c r="E169" s="7"/>
    </row>
    <row r="170" spans="1:5" x14ac:dyDescent="0.3">
      <c r="A170" s="16"/>
      <c r="D170" s="7"/>
      <c r="E170" s="7"/>
    </row>
    <row r="171" spans="1:5" x14ac:dyDescent="0.3">
      <c r="A171" s="16"/>
      <c r="D171" s="7"/>
      <c r="E171" s="7"/>
    </row>
    <row r="172" spans="1:5" x14ac:dyDescent="0.3">
      <c r="A172" s="16"/>
      <c r="D172" s="7"/>
      <c r="E172" s="7"/>
    </row>
    <row r="173" spans="1:5" x14ac:dyDescent="0.3">
      <c r="A173" s="16"/>
      <c r="D173" s="7"/>
      <c r="E173" s="7"/>
    </row>
    <row r="174" spans="1:5" x14ac:dyDescent="0.3">
      <c r="A174" s="16"/>
      <c r="D174" s="7"/>
      <c r="E174" s="7"/>
    </row>
    <row r="175" spans="1:5" x14ac:dyDescent="0.3">
      <c r="A175" s="16"/>
      <c r="D175" s="7"/>
      <c r="E175" s="7"/>
    </row>
    <row r="176" spans="1:5" x14ac:dyDescent="0.3">
      <c r="A176" s="16"/>
      <c r="D176" s="7"/>
      <c r="E176" s="7"/>
    </row>
    <row r="177" spans="1:5" x14ac:dyDescent="0.3">
      <c r="A177" s="16"/>
      <c r="D177" s="7"/>
      <c r="E177" s="7"/>
    </row>
    <row r="178" spans="1:5" x14ac:dyDescent="0.3">
      <c r="A178" s="16"/>
      <c r="D178" s="7"/>
      <c r="E178" s="7"/>
    </row>
    <row r="179" spans="1:5" x14ac:dyDescent="0.3">
      <c r="A179" s="16"/>
      <c r="D179" s="7"/>
      <c r="E179" s="7"/>
    </row>
    <row r="180" spans="1:5" x14ac:dyDescent="0.3">
      <c r="A180" s="16"/>
      <c r="D180" s="7"/>
      <c r="E180" s="7"/>
    </row>
    <row r="181" spans="1:5" x14ac:dyDescent="0.3">
      <c r="A181" s="16"/>
      <c r="D181" s="7"/>
      <c r="E181" s="7"/>
    </row>
    <row r="182" spans="1:5" x14ac:dyDescent="0.3">
      <c r="A182" s="16"/>
      <c r="D182" s="7"/>
      <c r="E182" s="7"/>
    </row>
    <row r="183" spans="1:5" x14ac:dyDescent="0.3">
      <c r="A183" s="16"/>
      <c r="D183" s="7"/>
      <c r="E183" s="7"/>
    </row>
    <row r="184" spans="1:5" x14ac:dyDescent="0.3">
      <c r="A184" s="16"/>
      <c r="D184" s="7"/>
      <c r="E184" s="7"/>
    </row>
    <row r="185" spans="1:5" x14ac:dyDescent="0.3">
      <c r="A185" s="16"/>
      <c r="D185" s="7"/>
      <c r="E185" s="7"/>
    </row>
    <row r="186" spans="1:5" x14ac:dyDescent="0.3">
      <c r="A186" s="16"/>
      <c r="D186" s="7"/>
      <c r="E186" s="7"/>
    </row>
    <row r="187" spans="1:5" x14ac:dyDescent="0.3">
      <c r="A187" s="16"/>
      <c r="D187" s="7"/>
      <c r="E187" s="7"/>
    </row>
    <row r="188" spans="1:5" x14ac:dyDescent="0.3">
      <c r="A188" s="16"/>
      <c r="D188" s="7"/>
      <c r="E188" s="7"/>
    </row>
    <row r="189" spans="1:5" x14ac:dyDescent="0.3">
      <c r="A189" s="16"/>
      <c r="D189" s="7"/>
      <c r="E189" s="7"/>
    </row>
    <row r="190" spans="1:5" x14ac:dyDescent="0.3">
      <c r="A190" s="16"/>
      <c r="D190" s="7"/>
      <c r="E190" s="7"/>
    </row>
    <row r="191" spans="1:5" x14ac:dyDescent="0.3">
      <c r="A191" s="16"/>
      <c r="D191" s="7"/>
      <c r="E191" s="7"/>
    </row>
    <row r="192" spans="1:5" x14ac:dyDescent="0.3">
      <c r="A192" s="16"/>
      <c r="D192" s="7"/>
      <c r="E192" s="7"/>
    </row>
    <row r="193" spans="1:5" x14ac:dyDescent="0.3">
      <c r="A193" s="16"/>
      <c r="D193" s="7"/>
      <c r="E193" s="7"/>
    </row>
    <row r="194" spans="1:5" x14ac:dyDescent="0.3">
      <c r="A194" s="16"/>
      <c r="D194" s="7"/>
      <c r="E194" s="7"/>
    </row>
    <row r="195" spans="1:5" x14ac:dyDescent="0.3">
      <c r="A195" s="16"/>
      <c r="D195" s="7"/>
      <c r="E195" s="7"/>
    </row>
    <row r="196" spans="1:5" x14ac:dyDescent="0.3">
      <c r="A196" s="16"/>
      <c r="D196" s="7"/>
      <c r="E196" s="7"/>
    </row>
    <row r="197" spans="1:5" x14ac:dyDescent="0.3">
      <c r="A197" s="16"/>
      <c r="D197" s="7"/>
      <c r="E197" s="7"/>
    </row>
    <row r="198" spans="1:5" x14ac:dyDescent="0.3">
      <c r="A198" s="16"/>
      <c r="D198" s="7"/>
      <c r="E198" s="7"/>
    </row>
    <row r="199" spans="1:5" x14ac:dyDescent="0.3">
      <c r="A199" s="16"/>
      <c r="D199" s="7"/>
      <c r="E199" s="7"/>
    </row>
    <row r="200" spans="1:5" x14ac:dyDescent="0.3">
      <c r="A200" s="16"/>
      <c r="D200" s="7"/>
      <c r="E200" s="7"/>
    </row>
    <row r="201" spans="1:5" x14ac:dyDescent="0.3">
      <c r="A201" s="16"/>
      <c r="D201" s="7"/>
      <c r="E201" s="7"/>
    </row>
    <row r="202" spans="1:5" x14ac:dyDescent="0.3">
      <c r="A202" s="16"/>
      <c r="D202" s="7"/>
      <c r="E202" s="7"/>
    </row>
    <row r="203" spans="1:5" x14ac:dyDescent="0.3">
      <c r="A203" s="16"/>
      <c r="D203" s="7"/>
      <c r="E203" s="7"/>
    </row>
    <row r="204" spans="1:5" x14ac:dyDescent="0.3">
      <c r="A204" s="16"/>
      <c r="D204" s="7"/>
      <c r="E204" s="7"/>
    </row>
    <row r="205" spans="1:5" x14ac:dyDescent="0.3">
      <c r="A205" s="16"/>
      <c r="D205" s="7"/>
      <c r="E205" s="7"/>
    </row>
    <row r="206" spans="1:5" x14ac:dyDescent="0.3">
      <c r="A206" s="16"/>
      <c r="D206" s="7"/>
      <c r="E206" s="7"/>
    </row>
    <row r="207" spans="1:5" x14ac:dyDescent="0.3">
      <c r="A207" s="16"/>
      <c r="D207" s="7"/>
      <c r="E207" s="7"/>
    </row>
    <row r="208" spans="1:5" x14ac:dyDescent="0.3">
      <c r="A208" s="16"/>
      <c r="D208" s="7"/>
      <c r="E208" s="7"/>
    </row>
    <row r="209" spans="1:5" x14ac:dyDescent="0.3">
      <c r="A209" s="16"/>
      <c r="D209" s="7"/>
      <c r="E209" s="7"/>
    </row>
    <row r="210" spans="1:5" x14ac:dyDescent="0.3">
      <c r="A210" s="16"/>
      <c r="D210" s="7"/>
      <c r="E210" s="7"/>
    </row>
    <row r="211" spans="1:5" x14ac:dyDescent="0.3">
      <c r="A211" s="16"/>
      <c r="D211" s="7"/>
      <c r="E211" s="7"/>
    </row>
    <row r="212" spans="1:5" x14ac:dyDescent="0.3">
      <c r="A212" s="16"/>
      <c r="D212" s="7"/>
      <c r="E212" s="7"/>
    </row>
    <row r="213" spans="1:5" x14ac:dyDescent="0.3">
      <c r="A213" s="16"/>
      <c r="D213" s="7"/>
      <c r="E213" s="7"/>
    </row>
    <row r="214" spans="1:5" x14ac:dyDescent="0.3">
      <c r="A214" s="16"/>
      <c r="D214" s="7"/>
      <c r="E214" s="7"/>
    </row>
    <row r="215" spans="1:5" x14ac:dyDescent="0.3">
      <c r="A215" s="16"/>
      <c r="D215" s="7"/>
      <c r="E215" s="7"/>
    </row>
    <row r="216" spans="1:5" x14ac:dyDescent="0.3">
      <c r="A216" s="16"/>
      <c r="D216" s="7"/>
      <c r="E216" s="7"/>
    </row>
    <row r="217" spans="1:5" x14ac:dyDescent="0.3">
      <c r="A217" s="16"/>
      <c r="D217" s="7"/>
      <c r="E217" s="7"/>
    </row>
    <row r="218" spans="1:5" x14ac:dyDescent="0.3">
      <c r="A218" s="16"/>
      <c r="D218" s="7"/>
      <c r="E218" s="7"/>
    </row>
    <row r="219" spans="1:5" x14ac:dyDescent="0.3">
      <c r="A219" s="16"/>
      <c r="D219" s="7"/>
      <c r="E219" s="7"/>
    </row>
    <row r="220" spans="1:5" x14ac:dyDescent="0.3">
      <c r="A220" s="16"/>
      <c r="D220" s="7"/>
      <c r="E220" s="7"/>
    </row>
    <row r="221" spans="1:5" x14ac:dyDescent="0.3">
      <c r="A221" s="16"/>
      <c r="D221" s="7"/>
      <c r="E221" s="7"/>
    </row>
    <row r="222" spans="1:5" x14ac:dyDescent="0.3">
      <c r="A222" s="16"/>
      <c r="D222" s="7"/>
      <c r="E222" s="7"/>
    </row>
    <row r="223" spans="1:5" x14ac:dyDescent="0.3">
      <c r="A223" s="16"/>
      <c r="D223" s="7"/>
      <c r="E223" s="7"/>
    </row>
    <row r="224" spans="1:5" x14ac:dyDescent="0.3">
      <c r="A224" s="16"/>
      <c r="D224" s="7"/>
      <c r="E224" s="7"/>
    </row>
    <row r="225" spans="1:5" x14ac:dyDescent="0.3">
      <c r="A225" s="16"/>
      <c r="D225" s="7"/>
      <c r="E225" s="7"/>
    </row>
    <row r="226" spans="1:5" x14ac:dyDescent="0.3">
      <c r="A226" s="16"/>
      <c r="D226" s="7"/>
      <c r="E226" s="7"/>
    </row>
    <row r="227" spans="1:5" x14ac:dyDescent="0.3">
      <c r="A227" s="16"/>
      <c r="D227" s="7"/>
      <c r="E227" s="7"/>
    </row>
    <row r="228" spans="1:5" x14ac:dyDescent="0.3">
      <c r="A228" s="16"/>
      <c r="D228" s="7"/>
      <c r="E228" s="7"/>
    </row>
    <row r="229" spans="1:5" x14ac:dyDescent="0.3">
      <c r="A229" s="16"/>
      <c r="D229" s="7"/>
      <c r="E229" s="7"/>
    </row>
    <row r="230" spans="1:5" x14ac:dyDescent="0.3">
      <c r="A230" s="16"/>
      <c r="D230" s="7"/>
      <c r="E230" s="7"/>
    </row>
    <row r="231" spans="1:5" x14ac:dyDescent="0.3">
      <c r="A231" s="16"/>
      <c r="D231" s="7"/>
      <c r="E231" s="7"/>
    </row>
    <row r="232" spans="1:5" x14ac:dyDescent="0.3">
      <c r="A232" s="16"/>
      <c r="D232" s="7"/>
      <c r="E232" s="7"/>
    </row>
    <row r="233" spans="1:5" x14ac:dyDescent="0.3">
      <c r="A233" s="16"/>
      <c r="D233" s="7"/>
      <c r="E233" s="7"/>
    </row>
    <row r="234" spans="1:5" x14ac:dyDescent="0.3">
      <c r="A234" s="16"/>
      <c r="D234" s="7"/>
      <c r="E234" s="7"/>
    </row>
    <row r="235" spans="1:5" x14ac:dyDescent="0.3">
      <c r="A235" s="16"/>
      <c r="D235" s="7"/>
      <c r="E235" s="7"/>
    </row>
    <row r="236" spans="1:5" x14ac:dyDescent="0.3">
      <c r="A236" s="16"/>
      <c r="D236" s="7"/>
      <c r="E236" s="7"/>
    </row>
    <row r="237" spans="1:5" x14ac:dyDescent="0.3">
      <c r="A237" s="16"/>
      <c r="D237" s="7"/>
      <c r="E237" s="7"/>
    </row>
    <row r="238" spans="1:5" x14ac:dyDescent="0.3">
      <c r="A238" s="16"/>
      <c r="D238" s="7"/>
      <c r="E238" s="7"/>
    </row>
    <row r="239" spans="1:5" x14ac:dyDescent="0.3">
      <c r="A239" s="16"/>
      <c r="D239" s="7"/>
      <c r="E239" s="7"/>
    </row>
    <row r="240" spans="1:5" x14ac:dyDescent="0.3">
      <c r="A240" s="16"/>
      <c r="D240" s="7"/>
      <c r="E240" s="7"/>
    </row>
    <row r="241" spans="1:5" x14ac:dyDescent="0.3">
      <c r="A241" s="16"/>
      <c r="D241" s="7"/>
      <c r="E241" s="7"/>
    </row>
    <row r="242" spans="1:5" x14ac:dyDescent="0.3">
      <c r="A242" s="16"/>
      <c r="D242" s="7"/>
      <c r="E242" s="7"/>
    </row>
    <row r="243" spans="1:5" x14ac:dyDescent="0.3">
      <c r="A243" s="16"/>
      <c r="D243" s="7"/>
      <c r="E243" s="7"/>
    </row>
    <row r="244" spans="1:5" x14ac:dyDescent="0.3">
      <c r="A244" s="16"/>
      <c r="D244" s="7"/>
      <c r="E244" s="7"/>
    </row>
    <row r="245" spans="1:5" x14ac:dyDescent="0.3">
      <c r="A245" s="16"/>
      <c r="D245" s="7"/>
      <c r="E245" s="7"/>
    </row>
    <row r="246" spans="1:5" x14ac:dyDescent="0.3">
      <c r="A246" s="16"/>
      <c r="D246" s="7"/>
      <c r="E246" s="7"/>
    </row>
    <row r="247" spans="1:5" x14ac:dyDescent="0.3">
      <c r="A247" s="16"/>
      <c r="D247" s="7"/>
      <c r="E247" s="7"/>
    </row>
    <row r="248" spans="1:5" x14ac:dyDescent="0.3">
      <c r="A248" s="16"/>
      <c r="D248" s="7"/>
      <c r="E248" s="7"/>
    </row>
    <row r="249" spans="1:5" x14ac:dyDescent="0.3">
      <c r="A249" s="16"/>
      <c r="D249" s="7"/>
      <c r="E249" s="7"/>
    </row>
    <row r="250" spans="1:5" x14ac:dyDescent="0.3">
      <c r="A250" s="16"/>
      <c r="D250" s="7"/>
      <c r="E250" s="7"/>
    </row>
    <row r="251" spans="1:5" x14ac:dyDescent="0.3">
      <c r="A251" s="16"/>
      <c r="D251" s="7"/>
      <c r="E251" s="7"/>
    </row>
    <row r="252" spans="1:5" x14ac:dyDescent="0.3">
      <c r="A252" s="16"/>
      <c r="D252" s="7"/>
      <c r="E252" s="7"/>
    </row>
    <row r="253" spans="1:5" x14ac:dyDescent="0.3">
      <c r="A253" s="16"/>
      <c r="D253" s="7"/>
      <c r="E253" s="7"/>
    </row>
  </sheetData>
  <dataValidations count="1">
    <dataValidation type="list" allowBlank="1" sqref="C4:C253" xr:uid="{00000000-0002-0000-0400-000000000000}">
      <formula1>"цена работы,цена материала"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G5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46" customWidth="1"/>
    <col min="3" max="3" width="30" customWidth="1"/>
    <col min="4" max="4" width="8" customWidth="1"/>
    <col min="5" max="5" width="14" customWidth="1"/>
    <col min="6" max="6" width="66" customWidth="1"/>
    <col min="7" max="7" width="74" customWidth="1"/>
  </cols>
  <sheetData>
    <row r="1" spans="1:7" x14ac:dyDescent="0.3">
      <c r="A1" s="3" t="s">
        <v>6217</v>
      </c>
      <c r="B1" s="3" t="s">
        <v>6218</v>
      </c>
      <c r="C1" s="3" t="s">
        <v>6219</v>
      </c>
      <c r="D1" s="3" t="s">
        <v>26</v>
      </c>
      <c r="E1" s="3" t="s">
        <v>6220</v>
      </c>
      <c r="F1" s="3" t="s">
        <v>6221</v>
      </c>
      <c r="G1" s="3" t="s">
        <v>6222</v>
      </c>
    </row>
    <row r="2" spans="1:7" x14ac:dyDescent="0.3">
      <c r="A2" t="s">
        <v>6223</v>
      </c>
      <c r="B2" t="s">
        <v>6224</v>
      </c>
      <c r="C2" t="s">
        <v>6225</v>
      </c>
      <c r="D2" t="s">
        <v>52</v>
      </c>
      <c r="E2" s="5">
        <v>135.44999999999999</v>
      </c>
      <c r="F2" t="s">
        <v>6226</v>
      </c>
      <c r="G2" t="s">
        <v>6227</v>
      </c>
    </row>
    <row r="3" spans="1:7" x14ac:dyDescent="0.3">
      <c r="A3" t="s">
        <v>6223</v>
      </c>
      <c r="B3" t="s">
        <v>6224</v>
      </c>
      <c r="C3" t="s">
        <v>6228</v>
      </c>
      <c r="D3" t="s">
        <v>83</v>
      </c>
      <c r="E3" s="5">
        <v>10500</v>
      </c>
      <c r="F3" t="s">
        <v>6229</v>
      </c>
      <c r="G3" t="s">
        <v>6230</v>
      </c>
    </row>
    <row r="4" spans="1:7" x14ac:dyDescent="0.3">
      <c r="A4" t="s">
        <v>6223</v>
      </c>
      <c r="B4" t="s">
        <v>6231</v>
      </c>
      <c r="C4" t="s">
        <v>6225</v>
      </c>
      <c r="D4" t="s">
        <v>52</v>
      </c>
      <c r="E4" s="5">
        <v>389.55</v>
      </c>
      <c r="F4" t="s">
        <v>6232</v>
      </c>
      <c r="G4" t="s">
        <v>6233</v>
      </c>
    </row>
    <row r="5" spans="1:7" x14ac:dyDescent="0.3">
      <c r="A5" t="s">
        <v>6223</v>
      </c>
      <c r="B5" t="s">
        <v>6231</v>
      </c>
      <c r="C5" t="s">
        <v>6228</v>
      </c>
      <c r="D5" t="s">
        <v>83</v>
      </c>
      <c r="E5" s="5">
        <v>20737.5</v>
      </c>
      <c r="F5" t="s">
        <v>6234</v>
      </c>
      <c r="G5" t="s">
        <v>6235</v>
      </c>
    </row>
    <row r="6" spans="1:7" x14ac:dyDescent="0.3">
      <c r="A6" t="s">
        <v>6223</v>
      </c>
      <c r="B6" t="s">
        <v>6236</v>
      </c>
      <c r="C6" t="s">
        <v>6225</v>
      </c>
      <c r="D6" t="s">
        <v>52</v>
      </c>
      <c r="E6" s="5">
        <v>258.3</v>
      </c>
      <c r="F6" t="s">
        <v>6237</v>
      </c>
      <c r="G6" t="s">
        <v>6238</v>
      </c>
    </row>
    <row r="7" spans="1:7" x14ac:dyDescent="0.3">
      <c r="A7" t="s">
        <v>6223</v>
      </c>
      <c r="B7" t="s">
        <v>6236</v>
      </c>
      <c r="C7" t="s">
        <v>6228</v>
      </c>
      <c r="D7" t="s">
        <v>83</v>
      </c>
      <c r="E7" s="5">
        <v>20737.5</v>
      </c>
      <c r="F7" t="s">
        <v>6239</v>
      </c>
      <c r="G7" t="s">
        <v>6240</v>
      </c>
    </row>
    <row r="8" spans="1:7" x14ac:dyDescent="0.3">
      <c r="A8" t="s">
        <v>6223</v>
      </c>
      <c r="B8" t="s">
        <v>6241</v>
      </c>
      <c r="C8" t="s">
        <v>6225</v>
      </c>
      <c r="D8" t="s">
        <v>52</v>
      </c>
      <c r="E8" s="5">
        <v>202.65</v>
      </c>
      <c r="F8" t="s">
        <v>6242</v>
      </c>
      <c r="G8" t="s">
        <v>6243</v>
      </c>
    </row>
    <row r="9" spans="1:7" x14ac:dyDescent="0.3">
      <c r="A9" t="s">
        <v>6223</v>
      </c>
      <c r="B9" t="s">
        <v>6241</v>
      </c>
      <c r="C9" t="s">
        <v>6228</v>
      </c>
      <c r="D9" t="s">
        <v>83</v>
      </c>
      <c r="E9" s="5">
        <v>15592.5</v>
      </c>
      <c r="F9" t="s">
        <v>6244</v>
      </c>
      <c r="G9" t="s">
        <v>6245</v>
      </c>
    </row>
    <row r="10" spans="1:7" x14ac:dyDescent="0.3">
      <c r="A10" t="s">
        <v>6223</v>
      </c>
      <c r="B10" t="s">
        <v>6246</v>
      </c>
      <c r="C10" t="s">
        <v>6225</v>
      </c>
      <c r="D10" t="s">
        <v>52</v>
      </c>
      <c r="E10" s="5">
        <v>159.47999999999999</v>
      </c>
      <c r="F10" t="s">
        <v>6247</v>
      </c>
      <c r="G10" t="s">
        <v>6248</v>
      </c>
    </row>
    <row r="11" spans="1:7" x14ac:dyDescent="0.3">
      <c r="A11" t="s">
        <v>6223</v>
      </c>
      <c r="B11" t="s">
        <v>6246</v>
      </c>
      <c r="C11" t="s">
        <v>6228</v>
      </c>
      <c r="D11" t="s">
        <v>83</v>
      </c>
      <c r="E11" s="5">
        <v>10395</v>
      </c>
      <c r="F11" t="s">
        <v>6249</v>
      </c>
      <c r="G11" t="s">
        <v>6250</v>
      </c>
    </row>
    <row r="12" spans="1:7" x14ac:dyDescent="0.3">
      <c r="A12" t="s">
        <v>6223</v>
      </c>
      <c r="B12" t="s">
        <v>6251</v>
      </c>
      <c r="C12" t="s">
        <v>6225</v>
      </c>
      <c r="D12" t="s">
        <v>52</v>
      </c>
      <c r="E12" s="5">
        <v>123.9</v>
      </c>
      <c r="F12" t="s">
        <v>6252</v>
      </c>
      <c r="G12" t="s">
        <v>6253</v>
      </c>
    </row>
    <row r="13" spans="1:7" x14ac:dyDescent="0.3">
      <c r="A13" t="s">
        <v>6223</v>
      </c>
      <c r="B13" t="s">
        <v>6251</v>
      </c>
      <c r="C13" t="s">
        <v>6228</v>
      </c>
      <c r="D13" t="s">
        <v>83</v>
      </c>
      <c r="E13" s="5">
        <v>10395</v>
      </c>
      <c r="F13" t="s">
        <v>6254</v>
      </c>
      <c r="G13" t="s">
        <v>6255</v>
      </c>
    </row>
    <row r="14" spans="1:7" x14ac:dyDescent="0.3">
      <c r="A14" t="s">
        <v>6223</v>
      </c>
      <c r="B14" t="s">
        <v>6256</v>
      </c>
      <c r="C14" t="s">
        <v>6225</v>
      </c>
      <c r="D14" t="s">
        <v>52</v>
      </c>
      <c r="E14" s="5">
        <v>130.19999999999999</v>
      </c>
      <c r="F14" t="s">
        <v>6257</v>
      </c>
      <c r="G14" t="s">
        <v>6258</v>
      </c>
    </row>
    <row r="15" spans="1:7" x14ac:dyDescent="0.3">
      <c r="A15" t="s">
        <v>6223</v>
      </c>
      <c r="B15" t="s">
        <v>6256</v>
      </c>
      <c r="C15" t="s">
        <v>6228</v>
      </c>
      <c r="D15" t="s">
        <v>83</v>
      </c>
      <c r="E15" s="5">
        <v>10395</v>
      </c>
      <c r="F15" t="s">
        <v>6259</v>
      </c>
      <c r="G15" t="s">
        <v>6260</v>
      </c>
    </row>
    <row r="16" spans="1:7" x14ac:dyDescent="0.3">
      <c r="A16" t="s">
        <v>6223</v>
      </c>
      <c r="B16" t="s">
        <v>6261</v>
      </c>
      <c r="C16" t="s">
        <v>6225</v>
      </c>
      <c r="D16" t="s">
        <v>52</v>
      </c>
      <c r="E16" s="5">
        <v>91.68</v>
      </c>
      <c r="F16" t="s">
        <v>6262</v>
      </c>
      <c r="G16" t="s">
        <v>6263</v>
      </c>
    </row>
    <row r="17" spans="1:7" x14ac:dyDescent="0.3">
      <c r="A17" t="s">
        <v>6223</v>
      </c>
      <c r="B17" t="s">
        <v>6261</v>
      </c>
      <c r="C17" t="s">
        <v>6228</v>
      </c>
      <c r="D17" t="s">
        <v>83</v>
      </c>
      <c r="E17" s="5">
        <v>15592.5</v>
      </c>
      <c r="F17" t="s">
        <v>6264</v>
      </c>
      <c r="G17" t="s">
        <v>6265</v>
      </c>
    </row>
    <row r="18" spans="1:7" x14ac:dyDescent="0.3">
      <c r="A18" t="s">
        <v>6223</v>
      </c>
      <c r="B18" t="s">
        <v>6266</v>
      </c>
      <c r="C18" t="s">
        <v>6225</v>
      </c>
      <c r="D18" t="s">
        <v>52</v>
      </c>
      <c r="E18" s="5">
        <v>91.68</v>
      </c>
      <c r="F18" t="s">
        <v>6267</v>
      </c>
      <c r="G18" t="s">
        <v>6268</v>
      </c>
    </row>
    <row r="19" spans="1:7" x14ac:dyDescent="0.3">
      <c r="A19" t="s">
        <v>6223</v>
      </c>
      <c r="B19" t="s">
        <v>6266</v>
      </c>
      <c r="C19" t="s">
        <v>6228</v>
      </c>
      <c r="D19" t="s">
        <v>83</v>
      </c>
      <c r="E19" s="5">
        <v>10395</v>
      </c>
      <c r="F19" t="s">
        <v>6269</v>
      </c>
      <c r="G19" t="s">
        <v>6270</v>
      </c>
    </row>
    <row r="20" spans="1:7" x14ac:dyDescent="0.3">
      <c r="A20" t="s">
        <v>6223</v>
      </c>
      <c r="B20" t="s">
        <v>6271</v>
      </c>
      <c r="C20" t="s">
        <v>6225</v>
      </c>
      <c r="D20" t="s">
        <v>52</v>
      </c>
      <c r="E20" s="5">
        <v>103.95</v>
      </c>
      <c r="F20" t="s">
        <v>6272</v>
      </c>
      <c r="G20" t="s">
        <v>6273</v>
      </c>
    </row>
    <row r="21" spans="1:7" x14ac:dyDescent="0.3">
      <c r="A21" t="s">
        <v>6223</v>
      </c>
      <c r="B21" t="s">
        <v>6271</v>
      </c>
      <c r="C21" t="s">
        <v>6228</v>
      </c>
      <c r="D21" t="s">
        <v>83</v>
      </c>
      <c r="E21" s="5">
        <v>15592.5</v>
      </c>
      <c r="F21" t="s">
        <v>6274</v>
      </c>
      <c r="G21" t="s">
        <v>6275</v>
      </c>
    </row>
    <row r="22" spans="1:7" x14ac:dyDescent="0.3">
      <c r="A22" t="s">
        <v>6223</v>
      </c>
      <c r="B22" t="s">
        <v>6276</v>
      </c>
      <c r="C22" t="s">
        <v>6277</v>
      </c>
      <c r="D22" t="s">
        <v>52</v>
      </c>
      <c r="E22" s="5">
        <v>7.04</v>
      </c>
      <c r="F22" t="s">
        <v>6278</v>
      </c>
      <c r="G22" t="s">
        <v>6279</v>
      </c>
    </row>
    <row r="23" spans="1:7" x14ac:dyDescent="0.3">
      <c r="A23" t="s">
        <v>6223</v>
      </c>
      <c r="B23" t="s">
        <v>6276</v>
      </c>
      <c r="C23" t="s">
        <v>6280</v>
      </c>
      <c r="D23" t="s">
        <v>52</v>
      </c>
      <c r="E23" s="5">
        <v>70.349999999999994</v>
      </c>
      <c r="F23" t="s">
        <v>6281</v>
      </c>
      <c r="G23" t="s">
        <v>6282</v>
      </c>
    </row>
    <row r="24" spans="1:7" x14ac:dyDescent="0.3">
      <c r="A24" t="s">
        <v>6223</v>
      </c>
      <c r="B24" t="s">
        <v>6283</v>
      </c>
      <c r="C24" t="s">
        <v>6277</v>
      </c>
      <c r="D24" t="s">
        <v>52</v>
      </c>
      <c r="E24" s="5">
        <v>4.0999999999999996</v>
      </c>
      <c r="F24" t="s">
        <v>6284</v>
      </c>
      <c r="G24" t="s">
        <v>6285</v>
      </c>
    </row>
    <row r="25" spans="1:7" x14ac:dyDescent="0.3">
      <c r="A25" t="s">
        <v>6223</v>
      </c>
      <c r="B25" t="s">
        <v>6283</v>
      </c>
      <c r="C25" t="s">
        <v>6280</v>
      </c>
      <c r="D25" t="s">
        <v>52</v>
      </c>
      <c r="E25" s="5">
        <v>40.950000000000003</v>
      </c>
      <c r="F25" t="s">
        <v>6286</v>
      </c>
      <c r="G25" t="s">
        <v>6287</v>
      </c>
    </row>
    <row r="26" spans="1:7" x14ac:dyDescent="0.3">
      <c r="A26" t="s">
        <v>6223</v>
      </c>
      <c r="B26" t="s">
        <v>6288</v>
      </c>
      <c r="C26" t="s">
        <v>6277</v>
      </c>
      <c r="D26" t="s">
        <v>52</v>
      </c>
      <c r="E26" s="5">
        <v>0.84</v>
      </c>
      <c r="F26" t="s">
        <v>6289</v>
      </c>
      <c r="G26" t="s">
        <v>6290</v>
      </c>
    </row>
    <row r="27" spans="1:7" x14ac:dyDescent="0.3">
      <c r="A27" t="s">
        <v>6223</v>
      </c>
      <c r="B27" t="s">
        <v>6288</v>
      </c>
      <c r="C27" t="s">
        <v>6280</v>
      </c>
      <c r="D27" t="s">
        <v>52</v>
      </c>
      <c r="E27" s="5">
        <v>8.4</v>
      </c>
      <c r="F27" t="s">
        <v>6291</v>
      </c>
      <c r="G27" t="s">
        <v>6292</v>
      </c>
    </row>
    <row r="28" spans="1:7" x14ac:dyDescent="0.3">
      <c r="A28" t="s">
        <v>6223</v>
      </c>
      <c r="B28" t="s">
        <v>6293</v>
      </c>
      <c r="C28" t="s">
        <v>6277</v>
      </c>
      <c r="D28" t="s">
        <v>52</v>
      </c>
      <c r="E28" s="5">
        <v>2.62</v>
      </c>
      <c r="F28" t="s">
        <v>6294</v>
      </c>
      <c r="G28" t="s">
        <v>6295</v>
      </c>
    </row>
    <row r="29" spans="1:7" x14ac:dyDescent="0.3">
      <c r="A29" t="s">
        <v>6223</v>
      </c>
      <c r="B29" t="s">
        <v>6293</v>
      </c>
      <c r="C29" t="s">
        <v>6280</v>
      </c>
      <c r="D29" t="s">
        <v>52</v>
      </c>
      <c r="E29" s="5">
        <v>26.25</v>
      </c>
      <c r="F29" t="s">
        <v>6296</v>
      </c>
      <c r="G29" t="s">
        <v>6297</v>
      </c>
    </row>
    <row r="30" spans="1:7" x14ac:dyDescent="0.3">
      <c r="A30" t="s">
        <v>6223</v>
      </c>
      <c r="B30" t="s">
        <v>6298</v>
      </c>
      <c r="C30" t="s">
        <v>6277</v>
      </c>
      <c r="D30" t="s">
        <v>52</v>
      </c>
      <c r="E30" s="5">
        <v>0.32</v>
      </c>
      <c r="F30" t="s">
        <v>6299</v>
      </c>
      <c r="G30" t="s">
        <v>6300</v>
      </c>
    </row>
    <row r="31" spans="1:7" x14ac:dyDescent="0.3">
      <c r="A31" t="s">
        <v>6223</v>
      </c>
      <c r="B31" t="s">
        <v>6298</v>
      </c>
      <c r="C31" t="s">
        <v>6280</v>
      </c>
      <c r="D31" t="s">
        <v>52</v>
      </c>
      <c r="E31" s="5">
        <v>3.15</v>
      </c>
      <c r="F31" t="s">
        <v>6301</v>
      </c>
      <c r="G31" t="s">
        <v>6302</v>
      </c>
    </row>
    <row r="32" spans="1:7" x14ac:dyDescent="0.3">
      <c r="A32" t="s">
        <v>6223</v>
      </c>
      <c r="B32" t="s">
        <v>6303</v>
      </c>
      <c r="C32" t="s">
        <v>6277</v>
      </c>
      <c r="D32" t="s">
        <v>52</v>
      </c>
      <c r="E32" s="5">
        <v>0.11</v>
      </c>
      <c r="F32" t="s">
        <v>6304</v>
      </c>
      <c r="G32" t="s">
        <v>6305</v>
      </c>
    </row>
    <row r="33" spans="1:7" x14ac:dyDescent="0.3">
      <c r="A33" t="s">
        <v>6223</v>
      </c>
      <c r="B33" t="s">
        <v>6303</v>
      </c>
      <c r="C33" t="s">
        <v>6280</v>
      </c>
      <c r="D33" t="s">
        <v>52</v>
      </c>
      <c r="E33" s="5">
        <v>1.05</v>
      </c>
      <c r="F33" t="s">
        <v>6306</v>
      </c>
      <c r="G33" t="s">
        <v>6307</v>
      </c>
    </row>
    <row r="34" spans="1:7" x14ac:dyDescent="0.3">
      <c r="A34" t="s">
        <v>6223</v>
      </c>
      <c r="B34" t="s">
        <v>6308</v>
      </c>
      <c r="C34" t="s">
        <v>6277</v>
      </c>
      <c r="D34" t="s">
        <v>52</v>
      </c>
      <c r="E34" s="5">
        <v>0.11</v>
      </c>
      <c r="F34" t="s">
        <v>6309</v>
      </c>
      <c r="G34" t="s">
        <v>6310</v>
      </c>
    </row>
    <row r="35" spans="1:7" x14ac:dyDescent="0.3">
      <c r="A35" t="s">
        <v>6223</v>
      </c>
      <c r="B35" t="s">
        <v>6308</v>
      </c>
      <c r="C35" t="s">
        <v>6280</v>
      </c>
      <c r="D35" t="s">
        <v>52</v>
      </c>
      <c r="E35" s="5">
        <v>1.05</v>
      </c>
      <c r="F35" t="s">
        <v>6311</v>
      </c>
      <c r="G35" t="s">
        <v>6312</v>
      </c>
    </row>
    <row r="36" spans="1:7" x14ac:dyDescent="0.3">
      <c r="A36" t="s">
        <v>6223</v>
      </c>
      <c r="B36" t="s">
        <v>6313</v>
      </c>
      <c r="C36" t="s">
        <v>6277</v>
      </c>
      <c r="D36" t="s">
        <v>52</v>
      </c>
      <c r="E36" s="5">
        <v>0.11</v>
      </c>
      <c r="F36" t="s">
        <v>6314</v>
      </c>
      <c r="G36" t="s">
        <v>6315</v>
      </c>
    </row>
    <row r="37" spans="1:7" x14ac:dyDescent="0.3">
      <c r="A37" t="s">
        <v>6223</v>
      </c>
      <c r="B37" t="s">
        <v>6313</v>
      </c>
      <c r="C37" t="s">
        <v>6280</v>
      </c>
      <c r="D37" t="s">
        <v>52</v>
      </c>
      <c r="E37" s="5">
        <v>1.05</v>
      </c>
      <c r="F37" t="s">
        <v>6316</v>
      </c>
      <c r="G37" t="s">
        <v>6317</v>
      </c>
    </row>
    <row r="38" spans="1:7" x14ac:dyDescent="0.3">
      <c r="A38" t="s">
        <v>6318</v>
      </c>
      <c r="B38" t="s">
        <v>6224</v>
      </c>
      <c r="C38" t="s">
        <v>6319</v>
      </c>
      <c r="D38" t="s">
        <v>52</v>
      </c>
      <c r="E38" s="5">
        <v>13.55</v>
      </c>
      <c r="F38" t="s">
        <v>6320</v>
      </c>
      <c r="G38" t="s">
        <v>6321</v>
      </c>
    </row>
    <row r="39" spans="1:7" x14ac:dyDescent="0.3">
      <c r="A39" t="s">
        <v>6318</v>
      </c>
      <c r="B39" t="s">
        <v>6224</v>
      </c>
      <c r="C39" t="s">
        <v>6228</v>
      </c>
      <c r="D39" t="s">
        <v>83</v>
      </c>
      <c r="E39" s="5">
        <v>1050</v>
      </c>
      <c r="F39" t="s">
        <v>6322</v>
      </c>
      <c r="G39" t="s">
        <v>6323</v>
      </c>
    </row>
    <row r="40" spans="1:7" x14ac:dyDescent="0.3">
      <c r="A40" t="s">
        <v>6318</v>
      </c>
      <c r="B40" t="s">
        <v>6231</v>
      </c>
      <c r="C40" t="s">
        <v>6319</v>
      </c>
      <c r="D40" t="s">
        <v>52</v>
      </c>
      <c r="E40" s="5">
        <v>38.96</v>
      </c>
      <c r="F40" t="s">
        <v>6324</v>
      </c>
      <c r="G40" t="s">
        <v>6325</v>
      </c>
    </row>
    <row r="41" spans="1:7" x14ac:dyDescent="0.3">
      <c r="A41" t="s">
        <v>6318</v>
      </c>
      <c r="B41" t="s">
        <v>6231</v>
      </c>
      <c r="C41" t="s">
        <v>6228</v>
      </c>
      <c r="D41" t="s">
        <v>83</v>
      </c>
      <c r="E41" s="5">
        <v>2073.75</v>
      </c>
      <c r="F41" t="s">
        <v>6326</v>
      </c>
      <c r="G41" t="s">
        <v>6327</v>
      </c>
    </row>
    <row r="42" spans="1:7" x14ac:dyDescent="0.3">
      <c r="A42" t="s">
        <v>6318</v>
      </c>
      <c r="B42" t="s">
        <v>6236</v>
      </c>
      <c r="C42" t="s">
        <v>6319</v>
      </c>
      <c r="D42" t="s">
        <v>52</v>
      </c>
      <c r="E42" s="5">
        <v>25.83</v>
      </c>
      <c r="F42" t="s">
        <v>6328</v>
      </c>
      <c r="G42" t="s">
        <v>6329</v>
      </c>
    </row>
    <row r="43" spans="1:7" x14ac:dyDescent="0.3">
      <c r="A43" t="s">
        <v>6318</v>
      </c>
      <c r="B43" t="s">
        <v>6236</v>
      </c>
      <c r="C43" t="s">
        <v>6228</v>
      </c>
      <c r="D43" t="s">
        <v>83</v>
      </c>
      <c r="E43" s="5">
        <v>2073.75</v>
      </c>
      <c r="F43" t="s">
        <v>6330</v>
      </c>
      <c r="G43" t="s">
        <v>6331</v>
      </c>
    </row>
    <row r="44" spans="1:7" x14ac:dyDescent="0.3">
      <c r="A44" t="s">
        <v>6318</v>
      </c>
      <c r="B44" t="s">
        <v>6241</v>
      </c>
      <c r="C44" t="s">
        <v>6319</v>
      </c>
      <c r="D44" t="s">
        <v>52</v>
      </c>
      <c r="E44" s="5">
        <v>20.27</v>
      </c>
      <c r="F44" t="s">
        <v>6332</v>
      </c>
      <c r="G44" t="s">
        <v>6333</v>
      </c>
    </row>
    <row r="45" spans="1:7" x14ac:dyDescent="0.3">
      <c r="A45" t="s">
        <v>6318</v>
      </c>
      <c r="B45" t="s">
        <v>6241</v>
      </c>
      <c r="C45" t="s">
        <v>6228</v>
      </c>
      <c r="D45" t="s">
        <v>83</v>
      </c>
      <c r="E45" s="5">
        <v>1559.25</v>
      </c>
      <c r="F45" t="s">
        <v>6334</v>
      </c>
      <c r="G45" t="s">
        <v>6335</v>
      </c>
    </row>
    <row r="46" spans="1:7" x14ac:dyDescent="0.3">
      <c r="A46" t="s">
        <v>6318</v>
      </c>
      <c r="B46" t="s">
        <v>6246</v>
      </c>
      <c r="C46" t="s">
        <v>6319</v>
      </c>
      <c r="D46" t="s">
        <v>52</v>
      </c>
      <c r="E46" s="5">
        <v>15.95</v>
      </c>
      <c r="F46" t="s">
        <v>6336</v>
      </c>
      <c r="G46" t="s">
        <v>6337</v>
      </c>
    </row>
    <row r="47" spans="1:7" x14ac:dyDescent="0.3">
      <c r="A47" t="s">
        <v>6318</v>
      </c>
      <c r="B47" t="s">
        <v>6246</v>
      </c>
      <c r="C47" t="s">
        <v>6228</v>
      </c>
      <c r="D47" t="s">
        <v>83</v>
      </c>
      <c r="E47" s="5">
        <v>1039.5</v>
      </c>
      <c r="F47" t="s">
        <v>6338</v>
      </c>
      <c r="G47" t="s">
        <v>6339</v>
      </c>
    </row>
    <row r="48" spans="1:7" x14ac:dyDescent="0.3">
      <c r="A48" t="s">
        <v>6318</v>
      </c>
      <c r="B48" t="s">
        <v>6251</v>
      </c>
      <c r="C48" t="s">
        <v>6319</v>
      </c>
      <c r="D48" t="s">
        <v>52</v>
      </c>
      <c r="E48" s="5">
        <v>12.39</v>
      </c>
      <c r="F48" t="s">
        <v>6340</v>
      </c>
      <c r="G48" t="s">
        <v>6341</v>
      </c>
    </row>
    <row r="49" spans="1:7" x14ac:dyDescent="0.3">
      <c r="A49" t="s">
        <v>6318</v>
      </c>
      <c r="B49" t="s">
        <v>6251</v>
      </c>
      <c r="C49" t="s">
        <v>6228</v>
      </c>
      <c r="D49" t="s">
        <v>83</v>
      </c>
      <c r="E49" s="5">
        <v>1039.5</v>
      </c>
      <c r="F49" t="s">
        <v>6342</v>
      </c>
      <c r="G49" t="s">
        <v>6343</v>
      </c>
    </row>
    <row r="50" spans="1:7" x14ac:dyDescent="0.3">
      <c r="A50" t="s">
        <v>6318</v>
      </c>
      <c r="B50" t="s">
        <v>6256</v>
      </c>
      <c r="C50" t="s">
        <v>6319</v>
      </c>
      <c r="D50" t="s">
        <v>52</v>
      </c>
      <c r="E50" s="5">
        <v>13.02</v>
      </c>
      <c r="F50" t="s">
        <v>6344</v>
      </c>
      <c r="G50" t="s">
        <v>6345</v>
      </c>
    </row>
    <row r="51" spans="1:7" x14ac:dyDescent="0.3">
      <c r="A51" t="s">
        <v>6318</v>
      </c>
      <c r="B51" t="s">
        <v>6256</v>
      </c>
      <c r="C51" t="s">
        <v>6228</v>
      </c>
      <c r="D51" t="s">
        <v>83</v>
      </c>
      <c r="E51" s="5">
        <v>1039.5</v>
      </c>
      <c r="F51" t="s">
        <v>6346</v>
      </c>
      <c r="G51" t="s">
        <v>6347</v>
      </c>
    </row>
    <row r="52" spans="1:7" x14ac:dyDescent="0.3">
      <c r="A52" t="s">
        <v>6318</v>
      </c>
      <c r="B52" t="s">
        <v>6261</v>
      </c>
      <c r="C52" t="s">
        <v>6319</v>
      </c>
      <c r="D52" t="s">
        <v>52</v>
      </c>
      <c r="E52" s="5">
        <v>9.17</v>
      </c>
      <c r="F52" t="s">
        <v>6348</v>
      </c>
      <c r="G52" t="s">
        <v>6349</v>
      </c>
    </row>
    <row r="53" spans="1:7" x14ac:dyDescent="0.3">
      <c r="A53" t="s">
        <v>6318</v>
      </c>
      <c r="B53" t="s">
        <v>6261</v>
      </c>
      <c r="C53" t="s">
        <v>6228</v>
      </c>
      <c r="D53" t="s">
        <v>83</v>
      </c>
      <c r="E53" s="5">
        <v>1559.25</v>
      </c>
      <c r="F53" t="s">
        <v>6350</v>
      </c>
      <c r="G53" t="s">
        <v>6351</v>
      </c>
    </row>
    <row r="54" spans="1:7" x14ac:dyDescent="0.3">
      <c r="A54" t="s">
        <v>6318</v>
      </c>
      <c r="B54" t="s">
        <v>6266</v>
      </c>
      <c r="C54" t="s">
        <v>6319</v>
      </c>
      <c r="D54" t="s">
        <v>52</v>
      </c>
      <c r="E54" s="5">
        <v>9.17</v>
      </c>
      <c r="F54" t="s">
        <v>6352</v>
      </c>
      <c r="G54" t="s">
        <v>6353</v>
      </c>
    </row>
    <row r="55" spans="1:7" x14ac:dyDescent="0.3">
      <c r="A55" t="s">
        <v>6318</v>
      </c>
      <c r="B55" t="s">
        <v>6266</v>
      </c>
      <c r="C55" t="s">
        <v>6228</v>
      </c>
      <c r="D55" t="s">
        <v>83</v>
      </c>
      <c r="E55" s="5">
        <v>1039.5</v>
      </c>
      <c r="F55" t="s">
        <v>6354</v>
      </c>
      <c r="G55" t="s">
        <v>6355</v>
      </c>
    </row>
    <row r="56" spans="1:7" x14ac:dyDescent="0.3">
      <c r="A56" t="s">
        <v>6318</v>
      </c>
      <c r="B56" t="s">
        <v>6271</v>
      </c>
      <c r="C56" t="s">
        <v>6319</v>
      </c>
      <c r="D56" t="s">
        <v>52</v>
      </c>
      <c r="E56" s="5">
        <v>10.4</v>
      </c>
      <c r="F56" t="s">
        <v>6356</v>
      </c>
      <c r="G56" t="s">
        <v>6357</v>
      </c>
    </row>
    <row r="57" spans="1:7" x14ac:dyDescent="0.3">
      <c r="A57" t="s">
        <v>6318</v>
      </c>
      <c r="B57" t="s">
        <v>6271</v>
      </c>
      <c r="C57" t="s">
        <v>6228</v>
      </c>
      <c r="D57" t="s">
        <v>83</v>
      </c>
      <c r="E57" s="5">
        <v>1559.25</v>
      </c>
      <c r="F57" t="s">
        <v>6358</v>
      </c>
      <c r="G57" t="s">
        <v>6359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E6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40" customWidth="1"/>
    <col min="3" max="3" width="22" customWidth="1"/>
    <col min="4" max="4" width="60" customWidth="1"/>
    <col min="5" max="5" width="40" customWidth="1"/>
  </cols>
  <sheetData>
    <row r="1" spans="1:5" ht="15.6" x14ac:dyDescent="0.3">
      <c r="A1" s="17" t="s">
        <v>6360</v>
      </c>
    </row>
    <row r="2" spans="1:5" ht="331.2" x14ac:dyDescent="0.3">
      <c r="A2" s="4" t="s">
        <v>6361</v>
      </c>
    </row>
    <row r="4" spans="1:5" x14ac:dyDescent="0.3">
      <c r="A4" s="3" t="s">
        <v>6362</v>
      </c>
      <c r="B4" s="3" t="s">
        <v>1778</v>
      </c>
      <c r="C4" s="3" t="s">
        <v>6363</v>
      </c>
      <c r="D4" s="3" t="s">
        <v>6364</v>
      </c>
      <c r="E4" s="3" t="s">
        <v>6365</v>
      </c>
    </row>
    <row r="5" spans="1:5" x14ac:dyDescent="0.3">
      <c r="A5" t="s">
        <v>1221</v>
      </c>
      <c r="B5" t="s">
        <v>6366</v>
      </c>
      <c r="C5" t="s">
        <v>6367</v>
      </c>
      <c r="D5" t="s">
        <v>6368</v>
      </c>
      <c r="E5" t="s">
        <v>1220</v>
      </c>
    </row>
    <row r="6" spans="1:5" x14ac:dyDescent="0.3">
      <c r="A6" t="s">
        <v>1251</v>
      </c>
      <c r="B6" t="s">
        <v>6369</v>
      </c>
      <c r="C6" t="s">
        <v>6367</v>
      </c>
      <c r="D6" t="s">
        <v>6370</v>
      </c>
      <c r="E6" t="s">
        <v>6371</v>
      </c>
    </row>
    <row r="7" spans="1:5" x14ac:dyDescent="0.3">
      <c r="A7" t="s">
        <v>961</v>
      </c>
      <c r="B7" t="s">
        <v>6372</v>
      </c>
      <c r="C7" t="s">
        <v>6373</v>
      </c>
      <c r="D7" t="s">
        <v>6374</v>
      </c>
      <c r="E7" t="s">
        <v>995</v>
      </c>
    </row>
    <row r="8" spans="1:5" x14ac:dyDescent="0.3">
      <c r="A8" t="s">
        <v>683</v>
      </c>
      <c r="B8" t="s">
        <v>6375</v>
      </c>
      <c r="C8" t="s">
        <v>6376</v>
      </c>
      <c r="D8" t="s">
        <v>6377</v>
      </c>
      <c r="E8" t="s">
        <v>6378</v>
      </c>
    </row>
    <row r="9" spans="1:5" x14ac:dyDescent="0.3">
      <c r="A9" t="s">
        <v>758</v>
      </c>
      <c r="B9" t="s">
        <v>6379</v>
      </c>
      <c r="C9" t="s">
        <v>6376</v>
      </c>
      <c r="D9" t="s">
        <v>6380</v>
      </c>
      <c r="E9" t="s">
        <v>6381</v>
      </c>
    </row>
    <row r="10" spans="1:5" x14ac:dyDescent="0.3">
      <c r="A10" t="s">
        <v>1161</v>
      </c>
      <c r="B10" t="s">
        <v>6382</v>
      </c>
      <c r="C10" t="s">
        <v>6383</v>
      </c>
      <c r="D10" t="s">
        <v>6384</v>
      </c>
      <c r="E10" t="s">
        <v>1160</v>
      </c>
    </row>
    <row r="11" spans="1:5" x14ac:dyDescent="0.3">
      <c r="A11" t="s">
        <v>1170</v>
      </c>
      <c r="B11" t="s">
        <v>6385</v>
      </c>
      <c r="C11" t="s">
        <v>6383</v>
      </c>
      <c r="D11" t="s">
        <v>6386</v>
      </c>
      <c r="E11" t="s">
        <v>6387</v>
      </c>
    </row>
    <row r="12" spans="1:5" x14ac:dyDescent="0.3">
      <c r="A12" t="s">
        <v>1180</v>
      </c>
      <c r="B12" t="s">
        <v>6388</v>
      </c>
      <c r="C12" t="s">
        <v>6383</v>
      </c>
      <c r="D12" t="s">
        <v>6389</v>
      </c>
      <c r="E12" t="s">
        <v>1179</v>
      </c>
    </row>
    <row r="13" spans="1:5" x14ac:dyDescent="0.3">
      <c r="A13" t="s">
        <v>409</v>
      </c>
      <c r="B13" t="s">
        <v>6390</v>
      </c>
      <c r="C13" t="s">
        <v>6391</v>
      </c>
      <c r="D13" t="s">
        <v>6392</v>
      </c>
      <c r="E13" t="s">
        <v>413</v>
      </c>
    </row>
    <row r="14" spans="1:5" x14ac:dyDescent="0.3">
      <c r="A14" t="s">
        <v>536</v>
      </c>
      <c r="B14" t="s">
        <v>6393</v>
      </c>
      <c r="C14" t="s">
        <v>6394</v>
      </c>
      <c r="D14" t="s">
        <v>6395</v>
      </c>
      <c r="E14" t="s">
        <v>535</v>
      </c>
    </row>
    <row r="15" spans="1:5" x14ac:dyDescent="0.3">
      <c r="A15" t="s">
        <v>529</v>
      </c>
      <c r="B15" t="s">
        <v>6396</v>
      </c>
      <c r="C15" t="s">
        <v>6394</v>
      </c>
      <c r="D15" t="s">
        <v>6397</v>
      </c>
      <c r="E15" t="s">
        <v>6398</v>
      </c>
    </row>
    <row r="16" spans="1:5" x14ac:dyDescent="0.3">
      <c r="A16" t="s">
        <v>544</v>
      </c>
      <c r="B16" t="s">
        <v>6399</v>
      </c>
      <c r="C16" t="s">
        <v>6400</v>
      </c>
      <c r="D16" t="s">
        <v>6401</v>
      </c>
      <c r="E16" t="s">
        <v>742</v>
      </c>
    </row>
    <row r="17" spans="1:5" x14ac:dyDescent="0.3">
      <c r="A17" t="s">
        <v>562</v>
      </c>
      <c r="B17" t="s">
        <v>6402</v>
      </c>
      <c r="C17" t="s">
        <v>6394</v>
      </c>
      <c r="D17" t="s">
        <v>6403</v>
      </c>
      <c r="E17" t="s">
        <v>561</v>
      </c>
    </row>
    <row r="18" spans="1:5" x14ac:dyDescent="0.3">
      <c r="A18" t="s">
        <v>554</v>
      </c>
      <c r="B18" t="s">
        <v>6404</v>
      </c>
      <c r="C18" t="s">
        <v>6394</v>
      </c>
      <c r="D18" t="s">
        <v>6405</v>
      </c>
      <c r="E18" t="s">
        <v>553</v>
      </c>
    </row>
    <row r="19" spans="1:5" x14ac:dyDescent="0.3">
      <c r="A19" t="s">
        <v>547</v>
      </c>
      <c r="B19" t="s">
        <v>6406</v>
      </c>
      <c r="C19" t="s">
        <v>6394</v>
      </c>
      <c r="D19" t="s">
        <v>6407</v>
      </c>
      <c r="E19" t="s">
        <v>546</v>
      </c>
    </row>
    <row r="20" spans="1:5" x14ac:dyDescent="0.3">
      <c r="A20" t="s">
        <v>572</v>
      </c>
      <c r="B20" t="s">
        <v>6408</v>
      </c>
      <c r="C20" t="s">
        <v>6409</v>
      </c>
      <c r="D20" t="s">
        <v>6410</v>
      </c>
      <c r="E20" t="s">
        <v>6411</v>
      </c>
    </row>
    <row r="21" spans="1:5" x14ac:dyDescent="0.3">
      <c r="A21" t="s">
        <v>1142</v>
      </c>
      <c r="B21" t="s">
        <v>6412</v>
      </c>
      <c r="C21" t="s">
        <v>6413</v>
      </c>
      <c r="D21" t="s">
        <v>6414</v>
      </c>
      <c r="E21" t="s">
        <v>1144</v>
      </c>
    </row>
    <row r="22" spans="1:5" x14ac:dyDescent="0.3">
      <c r="A22" t="s">
        <v>421</v>
      </c>
      <c r="B22" t="s">
        <v>6415</v>
      </c>
      <c r="C22" t="s">
        <v>6416</v>
      </c>
      <c r="D22" t="s">
        <v>6417</v>
      </c>
      <c r="E22" t="s">
        <v>6418</v>
      </c>
    </row>
    <row r="23" spans="1:5" x14ac:dyDescent="0.3">
      <c r="A23" t="s">
        <v>1424</v>
      </c>
      <c r="B23" t="s">
        <v>6419</v>
      </c>
      <c r="C23" t="s">
        <v>6420</v>
      </c>
      <c r="D23" t="s">
        <v>6421</v>
      </c>
      <c r="E23" t="s">
        <v>1615</v>
      </c>
    </row>
    <row r="24" spans="1:5" x14ac:dyDescent="0.3">
      <c r="A24" t="s">
        <v>1200</v>
      </c>
      <c r="B24" t="s">
        <v>6422</v>
      </c>
      <c r="C24" t="s">
        <v>6383</v>
      </c>
      <c r="D24" t="s">
        <v>6423</v>
      </c>
      <c r="E24" t="s">
        <v>6424</v>
      </c>
    </row>
    <row r="25" spans="1:5" x14ac:dyDescent="0.3">
      <c r="A25" t="s">
        <v>396</v>
      </c>
      <c r="B25" t="s">
        <v>6425</v>
      </c>
      <c r="C25" t="s">
        <v>6391</v>
      </c>
      <c r="D25" t="s">
        <v>6426</v>
      </c>
      <c r="E25" t="s">
        <v>6427</v>
      </c>
    </row>
    <row r="26" spans="1:5" x14ac:dyDescent="0.3">
      <c r="A26" t="s">
        <v>1397</v>
      </c>
      <c r="B26" t="s">
        <v>6428</v>
      </c>
      <c r="C26" t="s">
        <v>6420</v>
      </c>
      <c r="D26" t="s">
        <v>6429</v>
      </c>
      <c r="E26" t="s">
        <v>1396</v>
      </c>
    </row>
    <row r="27" spans="1:5" x14ac:dyDescent="0.3">
      <c r="A27" t="s">
        <v>498</v>
      </c>
      <c r="B27" t="s">
        <v>6430</v>
      </c>
      <c r="C27" t="s">
        <v>6431</v>
      </c>
      <c r="D27" t="s">
        <v>6432</v>
      </c>
      <c r="E27" t="s">
        <v>569</v>
      </c>
    </row>
    <row r="28" spans="1:5" x14ac:dyDescent="0.3">
      <c r="A28" t="s">
        <v>1402</v>
      </c>
      <c r="B28" t="s">
        <v>6433</v>
      </c>
      <c r="C28" t="s">
        <v>6420</v>
      </c>
      <c r="D28" t="s">
        <v>6434</v>
      </c>
      <c r="E28" t="s">
        <v>1401</v>
      </c>
    </row>
    <row r="29" spans="1:5" x14ac:dyDescent="0.3">
      <c r="A29" t="s">
        <v>1637</v>
      </c>
      <c r="B29" t="s">
        <v>6435</v>
      </c>
      <c r="C29" t="s">
        <v>6420</v>
      </c>
      <c r="D29" t="s">
        <v>6436</v>
      </c>
      <c r="E29" t="s">
        <v>6437</v>
      </c>
    </row>
    <row r="30" spans="1:5" x14ac:dyDescent="0.3">
      <c r="A30" t="s">
        <v>1700</v>
      </c>
      <c r="B30" t="s">
        <v>6438</v>
      </c>
      <c r="C30" t="s">
        <v>6439</v>
      </c>
      <c r="D30" t="s">
        <v>6440</v>
      </c>
      <c r="E30" t="s">
        <v>1699</v>
      </c>
    </row>
    <row r="31" spans="1:5" x14ac:dyDescent="0.3">
      <c r="A31" t="s">
        <v>1670</v>
      </c>
      <c r="B31" t="s">
        <v>6441</v>
      </c>
      <c r="C31" t="s">
        <v>6420</v>
      </c>
      <c r="D31" t="s">
        <v>6442</v>
      </c>
      <c r="E31" t="s">
        <v>6443</v>
      </c>
    </row>
    <row r="32" spans="1:5" x14ac:dyDescent="0.3">
      <c r="A32" t="s">
        <v>501</v>
      </c>
      <c r="B32" t="s">
        <v>6444</v>
      </c>
      <c r="C32" t="s">
        <v>6391</v>
      </c>
      <c r="D32" t="s">
        <v>6445</v>
      </c>
      <c r="E32" t="s">
        <v>522</v>
      </c>
    </row>
    <row r="33" spans="1:5" x14ac:dyDescent="0.3">
      <c r="A33" t="s">
        <v>6446</v>
      </c>
      <c r="B33" t="s">
        <v>6447</v>
      </c>
      <c r="C33" t="s">
        <v>6448</v>
      </c>
      <c r="D33" t="s">
        <v>6449</v>
      </c>
      <c r="E33" t="s">
        <v>1197</v>
      </c>
    </row>
    <row r="34" spans="1:5" x14ac:dyDescent="0.3">
      <c r="A34" t="s">
        <v>567</v>
      </c>
      <c r="B34" t="s">
        <v>6450</v>
      </c>
      <c r="C34" t="s">
        <v>6409</v>
      </c>
      <c r="D34" t="s">
        <v>6451</v>
      </c>
      <c r="E34" t="s">
        <v>566</v>
      </c>
    </row>
    <row r="35" spans="1:5" x14ac:dyDescent="0.3">
      <c r="A35" t="s">
        <v>1131</v>
      </c>
      <c r="B35" t="s">
        <v>6452</v>
      </c>
      <c r="C35" t="s">
        <v>6453</v>
      </c>
      <c r="D35" t="s">
        <v>6454</v>
      </c>
      <c r="E35" t="s">
        <v>1211</v>
      </c>
    </row>
    <row r="36" spans="1:5" x14ac:dyDescent="0.3">
      <c r="A36" t="s">
        <v>469</v>
      </c>
      <c r="B36" t="s">
        <v>6455</v>
      </c>
      <c r="C36" t="s">
        <v>6391</v>
      </c>
      <c r="D36" t="s">
        <v>6456</v>
      </c>
      <c r="E36" t="s">
        <v>475</v>
      </c>
    </row>
    <row r="37" spans="1:5" x14ac:dyDescent="0.3">
      <c r="A37" t="s">
        <v>481</v>
      </c>
      <c r="B37" t="s">
        <v>6457</v>
      </c>
      <c r="C37" t="s">
        <v>6391</v>
      </c>
      <c r="D37" t="s">
        <v>6458</v>
      </c>
      <c r="E37" t="s">
        <v>6459</v>
      </c>
    </row>
    <row r="38" spans="1:5" x14ac:dyDescent="0.3">
      <c r="A38" t="s">
        <v>582</v>
      </c>
      <c r="B38" t="s">
        <v>6460</v>
      </c>
      <c r="C38" t="s">
        <v>6461</v>
      </c>
      <c r="D38" t="s">
        <v>6462</v>
      </c>
      <c r="E38" t="s">
        <v>6463</v>
      </c>
    </row>
    <row r="39" spans="1:5" x14ac:dyDescent="0.3">
      <c r="A39" t="s">
        <v>691</v>
      </c>
      <c r="B39" t="s">
        <v>6464</v>
      </c>
      <c r="C39" t="s">
        <v>6465</v>
      </c>
      <c r="D39" t="s">
        <v>6466</v>
      </c>
      <c r="E39" t="s">
        <v>690</v>
      </c>
    </row>
    <row r="40" spans="1:5" x14ac:dyDescent="0.3">
      <c r="A40" t="s">
        <v>577</v>
      </c>
      <c r="B40" t="s">
        <v>6467</v>
      </c>
      <c r="C40" t="s">
        <v>6409</v>
      </c>
      <c r="D40" t="s">
        <v>6468</v>
      </c>
      <c r="E40" t="s">
        <v>576</v>
      </c>
    </row>
    <row r="41" spans="1:5" x14ac:dyDescent="0.3">
      <c r="A41" t="s">
        <v>732</v>
      </c>
      <c r="B41" t="s">
        <v>6469</v>
      </c>
      <c r="C41" t="s">
        <v>6465</v>
      </c>
      <c r="D41" t="s">
        <v>6470</v>
      </c>
      <c r="E41" t="s">
        <v>6471</v>
      </c>
    </row>
    <row r="42" spans="1:5" x14ac:dyDescent="0.3">
      <c r="A42" t="s">
        <v>688</v>
      </c>
      <c r="B42" t="s">
        <v>6472</v>
      </c>
      <c r="C42" t="s">
        <v>6465</v>
      </c>
      <c r="D42" t="s">
        <v>6473</v>
      </c>
      <c r="E42" t="s">
        <v>687</v>
      </c>
    </row>
    <row r="43" spans="1:5" x14ac:dyDescent="0.3">
      <c r="A43" t="s">
        <v>696</v>
      </c>
      <c r="B43" t="s">
        <v>6474</v>
      </c>
      <c r="C43" t="s">
        <v>6465</v>
      </c>
      <c r="D43" t="s">
        <v>6475</v>
      </c>
      <c r="E43" t="s">
        <v>695</v>
      </c>
    </row>
    <row r="44" spans="1:5" x14ac:dyDescent="0.3">
      <c r="A44" t="s">
        <v>664</v>
      </c>
      <c r="B44" t="s">
        <v>6476</v>
      </c>
      <c r="C44" t="s">
        <v>6465</v>
      </c>
      <c r="D44" t="s">
        <v>6477</v>
      </c>
      <c r="E44" t="s">
        <v>6478</v>
      </c>
    </row>
    <row r="45" spans="1:5" x14ac:dyDescent="0.3">
      <c r="A45" t="s">
        <v>590</v>
      </c>
      <c r="B45" t="s">
        <v>6479</v>
      </c>
      <c r="C45" t="s">
        <v>6480</v>
      </c>
      <c r="D45" t="s">
        <v>6481</v>
      </c>
      <c r="E45" t="s">
        <v>600</v>
      </c>
    </row>
    <row r="46" spans="1:5" x14ac:dyDescent="0.3">
      <c r="A46" t="s">
        <v>1054</v>
      </c>
      <c r="B46" t="s">
        <v>6482</v>
      </c>
      <c r="C46" t="s">
        <v>6483</v>
      </c>
      <c r="D46" t="s">
        <v>6484</v>
      </c>
      <c r="E46" t="s">
        <v>1052</v>
      </c>
    </row>
    <row r="47" spans="1:5" x14ac:dyDescent="0.3">
      <c r="A47" t="s">
        <v>1058</v>
      </c>
      <c r="B47" t="s">
        <v>6485</v>
      </c>
      <c r="C47" t="s">
        <v>6483</v>
      </c>
      <c r="D47" t="s">
        <v>6486</v>
      </c>
      <c r="E47" t="s">
        <v>1057</v>
      </c>
    </row>
    <row r="48" spans="1:5" x14ac:dyDescent="0.3">
      <c r="A48" t="s">
        <v>1381</v>
      </c>
      <c r="B48" t="s">
        <v>6487</v>
      </c>
      <c r="C48" t="s">
        <v>6420</v>
      </c>
      <c r="D48" t="s">
        <v>6488</v>
      </c>
      <c r="E48" t="s">
        <v>1456</v>
      </c>
    </row>
    <row r="49" spans="1:5" x14ac:dyDescent="0.3">
      <c r="A49" t="s">
        <v>1378</v>
      </c>
      <c r="B49" t="s">
        <v>6489</v>
      </c>
      <c r="C49" t="s">
        <v>6420</v>
      </c>
      <c r="D49" t="s">
        <v>6490</v>
      </c>
      <c r="E49" t="s">
        <v>1377</v>
      </c>
    </row>
    <row r="50" spans="1:5" x14ac:dyDescent="0.3">
      <c r="A50" t="s">
        <v>1206</v>
      </c>
      <c r="B50" t="s">
        <v>6491</v>
      </c>
      <c r="C50" t="s">
        <v>6367</v>
      </c>
      <c r="D50" t="s">
        <v>6492</v>
      </c>
      <c r="E50" t="s">
        <v>1205</v>
      </c>
    </row>
    <row r="51" spans="1:5" x14ac:dyDescent="0.3">
      <c r="A51" t="s">
        <v>506</v>
      </c>
      <c r="B51" t="s">
        <v>6493</v>
      </c>
      <c r="C51" t="s">
        <v>6391</v>
      </c>
      <c r="D51" t="s">
        <v>6494</v>
      </c>
      <c r="E51" t="s">
        <v>508</v>
      </c>
    </row>
    <row r="52" spans="1:5" x14ac:dyDescent="0.3">
      <c r="A52" t="s">
        <v>1020</v>
      </c>
      <c r="B52" t="s">
        <v>6495</v>
      </c>
      <c r="C52" t="s">
        <v>6496</v>
      </c>
      <c r="D52" t="s">
        <v>6497</v>
      </c>
      <c r="E52" t="s">
        <v>1019</v>
      </c>
    </row>
    <row r="53" spans="1:5" x14ac:dyDescent="0.3">
      <c r="A53" t="s">
        <v>978</v>
      </c>
      <c r="B53" t="s">
        <v>6498</v>
      </c>
      <c r="C53" t="s">
        <v>6496</v>
      </c>
      <c r="D53" t="s">
        <v>6499</v>
      </c>
      <c r="E53" t="s">
        <v>977</v>
      </c>
    </row>
    <row r="54" spans="1:5" x14ac:dyDescent="0.3">
      <c r="A54" t="s">
        <v>985</v>
      </c>
      <c r="B54" t="s">
        <v>6500</v>
      </c>
      <c r="C54" t="s">
        <v>6496</v>
      </c>
      <c r="D54" t="s">
        <v>6501</v>
      </c>
      <c r="E54" t="s">
        <v>984</v>
      </c>
    </row>
    <row r="55" spans="1:5" x14ac:dyDescent="0.3">
      <c r="A55" t="s">
        <v>975</v>
      </c>
      <c r="B55" t="s">
        <v>6502</v>
      </c>
      <c r="C55" t="s">
        <v>6496</v>
      </c>
      <c r="D55" t="s">
        <v>6503</v>
      </c>
      <c r="E55" t="s">
        <v>974</v>
      </c>
    </row>
    <row r="56" spans="1:5" x14ac:dyDescent="0.3">
      <c r="A56" t="s">
        <v>964</v>
      </c>
      <c r="B56" t="s">
        <v>6504</v>
      </c>
      <c r="C56" t="s">
        <v>6373</v>
      </c>
      <c r="D56" t="s">
        <v>6505</v>
      </c>
      <c r="E56" t="s">
        <v>993</v>
      </c>
    </row>
    <row r="57" spans="1:5" x14ac:dyDescent="0.3">
      <c r="A57" t="s">
        <v>1384</v>
      </c>
      <c r="B57" t="s">
        <v>6506</v>
      </c>
      <c r="C57" t="s">
        <v>6420</v>
      </c>
      <c r="D57" t="s">
        <v>6507</v>
      </c>
      <c r="E57" t="s">
        <v>1383</v>
      </c>
    </row>
    <row r="58" spans="1:5" x14ac:dyDescent="0.3">
      <c r="A58" t="s">
        <v>478</v>
      </c>
      <c r="B58" t="s">
        <v>6508</v>
      </c>
      <c r="C58" t="s">
        <v>6465</v>
      </c>
      <c r="D58" t="s">
        <v>6509</v>
      </c>
      <c r="E58" t="s">
        <v>477</v>
      </c>
    </row>
    <row r="59" spans="1:5" x14ac:dyDescent="0.3">
      <c r="A59" t="s">
        <v>6510</v>
      </c>
      <c r="B59" t="s">
        <v>6511</v>
      </c>
      <c r="C59" t="s">
        <v>6367</v>
      </c>
      <c r="D59" t="s">
        <v>6512</v>
      </c>
      <c r="E59" t="s">
        <v>6513</v>
      </c>
    </row>
    <row r="60" spans="1:5" x14ac:dyDescent="0.3">
      <c r="A60" t="s">
        <v>1184</v>
      </c>
      <c r="B60" t="s">
        <v>6514</v>
      </c>
      <c r="C60" t="s">
        <v>6383</v>
      </c>
      <c r="D60" t="s">
        <v>6515</v>
      </c>
      <c r="E60" t="s">
        <v>1183</v>
      </c>
    </row>
    <row r="61" spans="1:5" x14ac:dyDescent="0.3">
      <c r="A61" t="s">
        <v>1284</v>
      </c>
      <c r="B61" t="s">
        <v>6516</v>
      </c>
      <c r="C61" t="s">
        <v>6420</v>
      </c>
      <c r="D61" t="s">
        <v>6517</v>
      </c>
      <c r="E61" t="s">
        <v>1283</v>
      </c>
    </row>
    <row r="62" spans="1:5" x14ac:dyDescent="0.3">
      <c r="A62" t="s">
        <v>1414</v>
      </c>
      <c r="B62" t="s">
        <v>6518</v>
      </c>
      <c r="C62" t="s">
        <v>6420</v>
      </c>
      <c r="D62" t="s">
        <v>6519</v>
      </c>
      <c r="E62" t="s">
        <v>1413</v>
      </c>
    </row>
    <row r="63" spans="1:5" x14ac:dyDescent="0.3">
      <c r="A63" t="s">
        <v>1410</v>
      </c>
      <c r="B63" t="s">
        <v>6520</v>
      </c>
      <c r="C63" t="s">
        <v>6420</v>
      </c>
      <c r="D63" t="s">
        <v>6521</v>
      </c>
      <c r="E63" t="s">
        <v>1409</v>
      </c>
    </row>
    <row r="64" spans="1:5" x14ac:dyDescent="0.3">
      <c r="A64" t="s">
        <v>1257</v>
      </c>
      <c r="B64" t="s">
        <v>6522</v>
      </c>
      <c r="C64" t="s">
        <v>6420</v>
      </c>
      <c r="D64" t="s">
        <v>6523</v>
      </c>
      <c r="E64" t="s">
        <v>1263</v>
      </c>
    </row>
  </sheetData>
  <autoFilter ref="A4:E6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B13"/>
  <sheetViews>
    <sheetView workbookViewId="0"/>
  </sheetViews>
  <sheetFormatPr defaultRowHeight="14.4" x14ac:dyDescent="0.3"/>
  <cols>
    <col min="1" max="1" width="8" customWidth="1"/>
    <col min="2" max="2" width="46" customWidth="1"/>
  </cols>
  <sheetData>
    <row r="1" spans="1:2" x14ac:dyDescent="0.3">
      <c r="A1" s="3" t="s">
        <v>22</v>
      </c>
      <c r="B1" s="3" t="s">
        <v>6524</v>
      </c>
    </row>
    <row r="2" spans="1:2" x14ac:dyDescent="0.3">
      <c r="A2" t="s">
        <v>49</v>
      </c>
      <c r="B2" t="s">
        <v>6525</v>
      </c>
    </row>
    <row r="3" spans="1:2" x14ac:dyDescent="0.3">
      <c r="A3" t="s">
        <v>134</v>
      </c>
      <c r="B3" t="s">
        <v>6526</v>
      </c>
    </row>
    <row r="4" spans="1:2" x14ac:dyDescent="0.3">
      <c r="A4" t="s">
        <v>394</v>
      </c>
      <c r="B4" t="s">
        <v>6527</v>
      </c>
    </row>
    <row r="5" spans="1:2" x14ac:dyDescent="0.3">
      <c r="A5" t="s">
        <v>836</v>
      </c>
      <c r="B5" t="s">
        <v>6528</v>
      </c>
    </row>
    <row r="6" spans="1:2" x14ac:dyDescent="0.3">
      <c r="A6" t="s">
        <v>953</v>
      </c>
      <c r="B6" t="s">
        <v>6529</v>
      </c>
    </row>
    <row r="7" spans="1:2" x14ac:dyDescent="0.3">
      <c r="A7" t="s">
        <v>1047</v>
      </c>
      <c r="B7" t="s">
        <v>6483</v>
      </c>
    </row>
    <row r="8" spans="1:2" x14ac:dyDescent="0.3">
      <c r="A8" t="s">
        <v>1129</v>
      </c>
      <c r="B8" t="s">
        <v>6383</v>
      </c>
    </row>
    <row r="9" spans="1:2" x14ac:dyDescent="0.3">
      <c r="A9" t="s">
        <v>1204</v>
      </c>
      <c r="B9" t="s">
        <v>6367</v>
      </c>
    </row>
    <row r="10" spans="1:2" x14ac:dyDescent="0.3">
      <c r="A10" t="s">
        <v>1255</v>
      </c>
      <c r="B10" t="s">
        <v>6530</v>
      </c>
    </row>
    <row r="11" spans="1:2" x14ac:dyDescent="0.3">
      <c r="A11" t="s">
        <v>1694</v>
      </c>
      <c r="B11" t="s">
        <v>6531</v>
      </c>
    </row>
    <row r="12" spans="1:2" x14ac:dyDescent="0.3">
      <c r="A12" t="s">
        <v>1722</v>
      </c>
      <c r="B12" t="s">
        <v>6532</v>
      </c>
    </row>
    <row r="13" spans="1:2" x14ac:dyDescent="0.3">
      <c r="A13" t="s">
        <v>1742</v>
      </c>
      <c r="B13" t="s">
        <v>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35</vt:i4>
      </vt:variant>
    </vt:vector>
  </HeadingPairs>
  <TitlesOfParts>
    <vt:vector size="43" baseType="lpstr">
      <vt:lpstr>О файле</vt:lpstr>
      <vt:lpstr>РАБОТЫ</vt:lpstr>
      <vt:lpstr>МАТЕРИАЛЫ</vt:lpstr>
      <vt:lpstr>Смета</vt:lpstr>
      <vt:lpstr>История цен</vt:lpstr>
      <vt:lpstr>Документация</vt:lpstr>
      <vt:lpstr>Группы</vt:lpstr>
      <vt:lpstr>Разделы</vt:lpstr>
      <vt:lpstr>ДисконтТендер</vt:lpstr>
      <vt:lpstr>КурсCNY</vt:lpstr>
      <vt:lpstr>КурсEUR</vt:lpstr>
      <vt:lpstr>КурсUSD</vt:lpstr>
      <vt:lpstr>мат_VRF_ВНУТ</vt:lpstr>
      <vt:lpstr>мат_VRF_НАР</vt:lpstr>
      <vt:lpstr>мат_БРОНЯ</vt:lpstr>
      <vt:lpstr>мат_ДВ</vt:lpstr>
      <vt:lpstr>мат_ДВ_АЛ</vt:lpstr>
      <vt:lpstr>мат_ДВ_ДЕР</vt:lpstr>
      <vt:lpstr>мат_ДВ_СТ</vt:lpstr>
      <vt:lpstr>мат_ДОК_ИД</vt:lpstr>
      <vt:lpstr>мат_ДОК_РД</vt:lpstr>
      <vt:lpstr>мат_ЗАВЕСА</vt:lpstr>
      <vt:lpstr>мат_ЛЮЧОК</vt:lpstr>
      <vt:lpstr>мат_ПВУ</vt:lpstr>
      <vt:lpstr>мат_ПЕРЕГ_СТ</vt:lpstr>
      <vt:lpstr>мат_ПЕРЕГ_ТР</vt:lpstr>
      <vt:lpstr>мат_ПОЛ_КГ</vt:lpstr>
      <vt:lpstr>мат_ПОЛ_МОД</vt:lpstr>
      <vt:lpstr>мат_ПОТОЛОК</vt:lpstr>
      <vt:lpstr>мат_РАД</vt:lpstr>
      <vt:lpstr>мат_РАД_КОМПЛ</vt:lpstr>
      <vt:lpstr>мат_СВЕТ</vt:lpstr>
      <vt:lpstr>мат_СВЕТ_АВАР</vt:lpstr>
      <vt:lpstr>мат_СПЛИТ</vt:lpstr>
      <vt:lpstr>мат_СТЕН_ПЛ</vt:lpstr>
      <vt:lpstr>мат_СТП_РАК</vt:lpstr>
      <vt:lpstr>мат_СТП_СМЕС</vt:lpstr>
      <vt:lpstr>мат_СТП_УНИТ</vt:lpstr>
      <vt:lpstr>мат_ФАЛЬШПОЛ</vt:lpstr>
      <vt:lpstr>мат_ЭУИ_ВЫКЛ</vt:lpstr>
      <vt:lpstr>мат_ЭУИ_РОЗ</vt:lpstr>
      <vt:lpstr>мат_ЭЩ</vt:lpstr>
      <vt:lpstr>спрРазделы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2026-09-01T10:08:06Z</dcterms:created>
  <dcterms:modified xsi:type="dcterms:W3CDTF">2026-09-01T10:08:08Z</dcterms:modified>
</cp:coreProperties>
</file>