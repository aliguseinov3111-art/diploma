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00 архив\"/>
    </mc:Choice>
  </mc:AlternateContent>
  <xr:revisionPtr revIDLastSave="0" documentId="8_{80151DD0-D885-42C2-BC23-E9F12E0EF3ED}" xr6:coauthVersionLast="45" xr6:coauthVersionMax="45" xr10:uidLastSave="{00000000-0000-0000-0000-000000000000}"/>
  <bookViews>
    <workbookView xWindow="-108" yWindow="-108" windowWidth="23256" windowHeight="12576" xr2:uid="{20F2CE8B-CA0D-4CE5-A1E1-9B7D39CBF2B6}"/>
  </bookViews>
  <sheets>
    <sheet name="Смета ЕР (общ)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PwC1" hidden="1">{#N/A,#N/A,FALSE,"NBU rates 1999"}</definedName>
    <definedName name="__PwC1" hidden="1">{#N/A,#N/A,FALSE,"NBU rates 1999"}</definedName>
    <definedName name="_FD2" hidden="1">#REF!</definedName>
    <definedName name="_Fill" hidden="1">'[4]Subfed SpB'!$V$1:$V$49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in" hidden="1">#REF!</definedName>
    <definedName name="_PwC1" hidden="1">{#N/A,#N/A,FALSE,"NBU rates 1999"}</definedName>
    <definedName name="_Sort" hidden="1">#REF!</definedName>
    <definedName name="_xlnm._FilterDatabase" localSheetId="0" hidden="1">'Смета ЕР (общ) '!$A$14:$U$1703</definedName>
    <definedName name="_xlnm._FilterDatabase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hidden="1">#REF!</definedName>
    <definedName name="ewrw" hidden="1">'[5]GAAP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[6]XLR_NoRangeSheet!$D$6</definedName>
    <definedName name="nos_op_DEP" hidden="1">[6]XLR_NoRangeSheet!$F$6</definedName>
    <definedName name="nos_op_MONTH" hidden="1">[6]XLR_NoRangeSheet!$B$6</definedName>
    <definedName name="nos_op_PODP1" hidden="1">[6]XLR_NoRangeSheet!$G$6</definedName>
    <definedName name="nos_op_PODP1_FIO" hidden="1">[6]XLR_NoRangeSheet!$H$6</definedName>
    <definedName name="nos_op_PODP2" hidden="1">[6]XLR_NoRangeSheet!$I$6</definedName>
    <definedName name="nos_op_PODP2_FIO" hidden="1">[6]XLR_NoRangeSheet!$J$6</definedName>
    <definedName name="nos_op_S10000" hidden="1">[6]XLR_NoRangeSheet!$E$6</definedName>
    <definedName name="nos_op_YEAR" hidden="1">[6]XLR_NoRangeSheet!$C$6</definedName>
    <definedName name="nos_vedd_DATE" hidden="1">#REF!</definedName>
    <definedName name="nos_vedd_DEP" hidden="1">#REF!</definedName>
    <definedName name="OLD" hidden="1">{#N/A,#N/A,TRUE,"Лист1"}</definedName>
    <definedName name="P" hidden="1">"dunstan"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[7]XLRpt_TempSheet!$B$13</definedName>
    <definedName name="qq" hidden="1">{#N/A,#N/A,TRUE,"Лист1"}</definedName>
    <definedName name="qwe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[8]XLR_NoRangeSheet!$A$5</definedName>
    <definedName name="XLRPARAMS_ACCOUNT_NUM" hidden="1">[8]XLR_NoRangeSheet!$F$6</definedName>
    <definedName name="XLRPARAMS_ALL_SUM_NAT_AMOUNT" hidden="1">[9]XLR_NoRangeSheet!$X$6</definedName>
    <definedName name="XLRPARAMS_BALBEG" hidden="1">[10]XLR_NoRangeSheet!$Q$6</definedName>
    <definedName name="XLRPARAMS_BALEND" hidden="1">[10]XLR_NoRangeSheet!$R$6</definedName>
    <definedName name="XLRPARAMS_Beg_Date" hidden="1">[11]XLR_NoRangeSheet!$B$6</definedName>
    <definedName name="XLRPARAMS_BEG_REPORT_DATE" hidden="1">[12]XLR_NoRangeSheet!$Q$6</definedName>
    <definedName name="XLRPARAMS_EMPL_NAME" hidden="1">[13]XLR_NoRangeSheet!$U$6</definedName>
    <definedName name="XLRPARAMS_End_Date" hidden="1">[11]XLR_NoRangeSheet!$C$6</definedName>
    <definedName name="XLRPARAMS_END_REPORT_DATE" hidden="1">[12]XLR_NoRangeSheet!$R$6</definedName>
    <definedName name="XLRPARAMS_OP_DATE" hidden="1">[14]XLR_NoRangeSheet!$AC$6</definedName>
    <definedName name="XLRPARAMS_OUR_BANK_FULL_NAME" hidden="1">[8]XLR_NoRangeSheet!$D$6</definedName>
    <definedName name="XLRPARAMS_OUR_BANK_NAME" hidden="1">[8]XLR_NoRangeSheet!$C$6</definedName>
    <definedName name="XLRPARAMS_REAL_USER_NAME" hidden="1">[14]XLR_NoRangeSheet!$B$6</definedName>
    <definedName name="XLRPARAMS_REP_DATE" hidden="1">[15]XLR_NoRangeSheet!$Q$6</definedName>
    <definedName name="XLRPARAMS_REP_DATE_STR" hidden="1">[8]XLR_NoRangeSheet!$M$6</definedName>
    <definedName name="XLRPARAMS_REPORT_DATE" hidden="1">[13]XLR_NoRangeSheet!$T$6</definedName>
    <definedName name="XLRPARAMS_SELECT_DATE" hidden="1">[16]XLR_NoRangeSheet!$M$6</definedName>
    <definedName name="XLRPARAMS_TYPE_NAME" hidden="1">[10]XLR_NoRangeSheet!$P$6</definedName>
    <definedName name="XLRPARAMS_VDATEYEAR" hidden="1">[8]XLR_NoRangeSheet!$N$6</definedName>
    <definedName name="XLRPARAMS_VEUR_COURSE" hidden="1">[8]XLR_NoRangeSheet!$P$6</definedName>
    <definedName name="XLRPARAMS_VUSD_COURSE" hidden="1">[8]XLR_NoRangeSheet!$Q$6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hidden="1">#REF!</definedName>
    <definedName name="Z_85B0ED75_B773_44FF_B36D_C46A7C8175E9_.wvu.PrintTitles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hidden="1">#REF!</definedName>
    <definedName name="роп" hidden="1">{0,0,0,0}</definedName>
    <definedName name="рпр" hidden="1">{#N/A,#N/A,TRUE,"Лист1"}</definedName>
    <definedName name="укк" hidden="1">#REF!</definedName>
    <definedName name="фцв" hidden="1">#REF!</definedName>
    <definedName name="щз" hidden="1">{#N/A,#N/A,TRUE,"Лист1"}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98" i="1" l="1"/>
  <c r="T1698" i="1" s="1"/>
  <c r="Q1698" i="1"/>
  <c r="S1698" i="1" s="1"/>
  <c r="E1698" i="1"/>
  <c r="R1697" i="1"/>
  <c r="T1697" i="1" s="1"/>
  <c r="Q1697" i="1"/>
  <c r="S1697" i="1" s="1"/>
  <c r="E1697" i="1"/>
  <c r="R1696" i="1"/>
  <c r="T1696" i="1" s="1"/>
  <c r="Q1696" i="1"/>
  <c r="S1696" i="1" s="1"/>
  <c r="E1696" i="1"/>
  <c r="R1695" i="1"/>
  <c r="T1695" i="1" s="1"/>
  <c r="Q1695" i="1"/>
  <c r="S1695" i="1" s="1"/>
  <c r="E1695" i="1"/>
  <c r="R1694" i="1"/>
  <c r="T1694" i="1" s="1"/>
  <c r="Q1694" i="1"/>
  <c r="S1694" i="1" s="1"/>
  <c r="E1694" i="1"/>
  <c r="R1693" i="1"/>
  <c r="T1693" i="1" s="1"/>
  <c r="Q1693" i="1"/>
  <c r="S1693" i="1" s="1"/>
  <c r="E1693" i="1"/>
  <c r="R1692" i="1"/>
  <c r="T1692" i="1" s="1"/>
  <c r="Q1692" i="1"/>
  <c r="S1692" i="1" s="1"/>
  <c r="E1692" i="1"/>
  <c r="R1691" i="1"/>
  <c r="T1691" i="1" s="1"/>
  <c r="Q1691" i="1"/>
  <c r="S1691" i="1" s="1"/>
  <c r="E1691" i="1"/>
  <c r="R1690" i="1"/>
  <c r="T1690" i="1" s="1"/>
  <c r="Q1690" i="1"/>
  <c r="S1690" i="1" s="1"/>
  <c r="E1690" i="1"/>
  <c r="R1689" i="1"/>
  <c r="T1689" i="1" s="1"/>
  <c r="Q1689" i="1"/>
  <c r="S1689" i="1" s="1"/>
  <c r="E1689" i="1"/>
  <c r="R1688" i="1"/>
  <c r="T1688" i="1" s="1"/>
  <c r="Q1688" i="1"/>
  <c r="S1688" i="1" s="1"/>
  <c r="E1688" i="1"/>
  <c r="R1687" i="1"/>
  <c r="T1687" i="1" s="1"/>
  <c r="Q1687" i="1"/>
  <c r="S1687" i="1" s="1"/>
  <c r="E1687" i="1"/>
  <c r="R1686" i="1"/>
  <c r="T1686" i="1" s="1"/>
  <c r="Q1686" i="1"/>
  <c r="S1686" i="1" s="1"/>
  <c r="E1686" i="1"/>
  <c r="R1685" i="1"/>
  <c r="T1685" i="1" s="1"/>
  <c r="Q1685" i="1"/>
  <c r="S1685" i="1" s="1"/>
  <c r="E1685" i="1"/>
  <c r="R1684" i="1"/>
  <c r="T1684" i="1" s="1"/>
  <c r="Q1684" i="1"/>
  <c r="S1684" i="1" s="1"/>
  <c r="E1684" i="1"/>
  <c r="R1683" i="1"/>
  <c r="T1683" i="1" s="1"/>
  <c r="Q1683" i="1"/>
  <c r="S1683" i="1" s="1"/>
  <c r="E1683" i="1"/>
  <c r="R1682" i="1"/>
  <c r="T1682" i="1" s="1"/>
  <c r="Q1682" i="1"/>
  <c r="S1682" i="1" s="1"/>
  <c r="E1682" i="1"/>
  <c r="R1681" i="1"/>
  <c r="T1681" i="1" s="1"/>
  <c r="Q1681" i="1"/>
  <c r="S1681" i="1" s="1"/>
  <c r="E1681" i="1"/>
  <c r="R1680" i="1"/>
  <c r="T1680" i="1" s="1"/>
  <c r="Q1680" i="1"/>
  <c r="S1680" i="1" s="1"/>
  <c r="E1680" i="1"/>
  <c r="R1679" i="1"/>
  <c r="T1679" i="1" s="1"/>
  <c r="Q1679" i="1"/>
  <c r="S1679" i="1" s="1"/>
  <c r="E1679" i="1"/>
  <c r="R1678" i="1"/>
  <c r="T1678" i="1" s="1"/>
  <c r="Q1678" i="1"/>
  <c r="S1678" i="1" s="1"/>
  <c r="E1678" i="1"/>
  <c r="R1677" i="1"/>
  <c r="T1677" i="1" s="1"/>
  <c r="Q1677" i="1"/>
  <c r="S1677" i="1" s="1"/>
  <c r="E1677" i="1"/>
  <c r="R1676" i="1"/>
  <c r="T1676" i="1" s="1"/>
  <c r="T1675" i="1" s="1"/>
  <c r="T1674" i="1" s="1"/>
  <c r="Q1676" i="1"/>
  <c r="S1676" i="1" s="1"/>
  <c r="E1676" i="1"/>
  <c r="E1675" i="1"/>
  <c r="E1674" i="1"/>
  <c r="Q1673" i="1"/>
  <c r="S1673" i="1" s="1"/>
  <c r="P1673" i="1"/>
  <c r="R1673" i="1" s="1"/>
  <c r="T1673" i="1" s="1"/>
  <c r="E1673" i="1"/>
  <c r="Q1672" i="1"/>
  <c r="S1672" i="1" s="1"/>
  <c r="P1672" i="1"/>
  <c r="R1672" i="1" s="1"/>
  <c r="T1672" i="1" s="1"/>
  <c r="E1672" i="1"/>
  <c r="R1671" i="1"/>
  <c r="T1671" i="1" s="1"/>
  <c r="Q1671" i="1"/>
  <c r="S1671" i="1" s="1"/>
  <c r="P1671" i="1"/>
  <c r="E1671" i="1"/>
  <c r="S1670" i="1"/>
  <c r="R1670" i="1"/>
  <c r="T1670" i="1" s="1"/>
  <c r="Q1670" i="1"/>
  <c r="P1670" i="1"/>
  <c r="E1670" i="1"/>
  <c r="T1669" i="1"/>
  <c r="R1669" i="1"/>
  <c r="Q1669" i="1"/>
  <c r="S1669" i="1" s="1"/>
  <c r="P1669" i="1"/>
  <c r="E1669" i="1"/>
  <c r="S1668" i="1"/>
  <c r="R1668" i="1"/>
  <c r="T1668" i="1" s="1"/>
  <c r="Q1668" i="1"/>
  <c r="P1668" i="1"/>
  <c r="E1668" i="1"/>
  <c r="S1667" i="1"/>
  <c r="Q1667" i="1"/>
  <c r="P1667" i="1"/>
  <c r="R1667" i="1" s="1"/>
  <c r="T1667" i="1" s="1"/>
  <c r="E1667" i="1"/>
  <c r="Q1666" i="1"/>
  <c r="S1666" i="1" s="1"/>
  <c r="P1666" i="1"/>
  <c r="R1666" i="1" s="1"/>
  <c r="T1666" i="1" s="1"/>
  <c r="E1666" i="1"/>
  <c r="R1665" i="1"/>
  <c r="T1665" i="1" s="1"/>
  <c r="Q1665" i="1"/>
  <c r="S1665" i="1" s="1"/>
  <c r="P1665" i="1"/>
  <c r="E1665" i="1"/>
  <c r="S1664" i="1"/>
  <c r="Q1664" i="1"/>
  <c r="P1664" i="1"/>
  <c r="R1664" i="1" s="1"/>
  <c r="T1664" i="1" s="1"/>
  <c r="E1664" i="1"/>
  <c r="T1663" i="1"/>
  <c r="R1663" i="1"/>
  <c r="Q1663" i="1"/>
  <c r="S1663" i="1" s="1"/>
  <c r="P1663" i="1"/>
  <c r="E1663" i="1"/>
  <c r="S1662" i="1"/>
  <c r="R1662" i="1"/>
  <c r="T1662" i="1" s="1"/>
  <c r="Q1662" i="1"/>
  <c r="P1662" i="1"/>
  <c r="E1662" i="1"/>
  <c r="E1661" i="1"/>
  <c r="S1660" i="1"/>
  <c r="R1660" i="1"/>
  <c r="T1660" i="1" s="1"/>
  <c r="Q1660" i="1"/>
  <c r="E1660" i="1"/>
  <c r="S1659" i="1"/>
  <c r="R1659" i="1"/>
  <c r="T1659" i="1" s="1"/>
  <c r="Q1659" i="1"/>
  <c r="E1659" i="1"/>
  <c r="S1658" i="1"/>
  <c r="R1658" i="1"/>
  <c r="T1658" i="1" s="1"/>
  <c r="Q1658" i="1"/>
  <c r="E1658" i="1"/>
  <c r="S1657" i="1"/>
  <c r="R1657" i="1"/>
  <c r="T1657" i="1" s="1"/>
  <c r="Q1657" i="1"/>
  <c r="E1657" i="1"/>
  <c r="S1656" i="1"/>
  <c r="R1656" i="1"/>
  <c r="T1656" i="1" s="1"/>
  <c r="Q1656" i="1"/>
  <c r="E1656" i="1"/>
  <c r="S1655" i="1"/>
  <c r="R1655" i="1"/>
  <c r="T1655" i="1" s="1"/>
  <c r="Q1655" i="1"/>
  <c r="E1655" i="1"/>
  <c r="S1654" i="1"/>
  <c r="R1654" i="1"/>
  <c r="T1654" i="1" s="1"/>
  <c r="Q1654" i="1"/>
  <c r="E1654" i="1"/>
  <c r="S1653" i="1"/>
  <c r="R1653" i="1"/>
  <c r="T1653" i="1" s="1"/>
  <c r="Q1653" i="1"/>
  <c r="E1653" i="1"/>
  <c r="S1652" i="1"/>
  <c r="R1652" i="1"/>
  <c r="T1652" i="1" s="1"/>
  <c r="Q1652" i="1"/>
  <c r="E1652" i="1"/>
  <c r="S1651" i="1"/>
  <c r="R1651" i="1"/>
  <c r="T1651" i="1" s="1"/>
  <c r="Q1651" i="1"/>
  <c r="E1651" i="1"/>
  <c r="S1650" i="1"/>
  <c r="R1650" i="1"/>
  <c r="T1650" i="1" s="1"/>
  <c r="Q1650" i="1"/>
  <c r="E1650" i="1"/>
  <c r="S1649" i="1"/>
  <c r="R1649" i="1"/>
  <c r="T1649" i="1" s="1"/>
  <c r="Q1649" i="1"/>
  <c r="E1649" i="1"/>
  <c r="S1648" i="1"/>
  <c r="R1648" i="1"/>
  <c r="T1648" i="1" s="1"/>
  <c r="Q1648" i="1"/>
  <c r="E1648" i="1"/>
  <c r="S1647" i="1"/>
  <c r="R1647" i="1"/>
  <c r="T1647" i="1" s="1"/>
  <c r="Q1647" i="1"/>
  <c r="E1647" i="1"/>
  <c r="S1646" i="1"/>
  <c r="R1646" i="1"/>
  <c r="T1646" i="1" s="1"/>
  <c r="Q1646" i="1"/>
  <c r="E1646" i="1"/>
  <c r="S1645" i="1"/>
  <c r="R1645" i="1"/>
  <c r="T1645" i="1" s="1"/>
  <c r="Q1645" i="1"/>
  <c r="E1645" i="1"/>
  <c r="S1644" i="1"/>
  <c r="R1644" i="1"/>
  <c r="T1644" i="1" s="1"/>
  <c r="Q1644" i="1"/>
  <c r="E1644" i="1"/>
  <c r="S1643" i="1"/>
  <c r="R1643" i="1"/>
  <c r="T1643" i="1" s="1"/>
  <c r="Q1643" i="1"/>
  <c r="E1643" i="1"/>
  <c r="S1642" i="1"/>
  <c r="R1642" i="1"/>
  <c r="T1642" i="1" s="1"/>
  <c r="Q1642" i="1"/>
  <c r="E1642" i="1"/>
  <c r="S1641" i="1"/>
  <c r="R1641" i="1"/>
  <c r="T1641" i="1" s="1"/>
  <c r="Q1641" i="1"/>
  <c r="E1641" i="1"/>
  <c r="S1640" i="1"/>
  <c r="R1640" i="1"/>
  <c r="T1640" i="1" s="1"/>
  <c r="Q1640" i="1"/>
  <c r="E1640" i="1"/>
  <c r="S1639" i="1"/>
  <c r="R1639" i="1"/>
  <c r="T1639" i="1" s="1"/>
  <c r="Q1639" i="1"/>
  <c r="E1639" i="1"/>
  <c r="S1638" i="1"/>
  <c r="N1638" i="1"/>
  <c r="E1638" i="1"/>
  <c r="T1637" i="1"/>
  <c r="R1637" i="1"/>
  <c r="Q1637" i="1"/>
  <c r="S1637" i="1" s="1"/>
  <c r="S1635" i="1" s="1"/>
  <c r="N1635" i="1" s="1"/>
  <c r="P1637" i="1"/>
  <c r="E1637" i="1"/>
  <c r="S1636" i="1"/>
  <c r="Q1636" i="1"/>
  <c r="P1636" i="1"/>
  <c r="R1636" i="1" s="1"/>
  <c r="T1636" i="1" s="1"/>
  <c r="T1635" i="1" s="1"/>
  <c r="E1636" i="1"/>
  <c r="E1635" i="1"/>
  <c r="S1634" i="1"/>
  <c r="R1634" i="1"/>
  <c r="T1634" i="1" s="1"/>
  <c r="Q1634" i="1"/>
  <c r="E1634" i="1"/>
  <c r="S1633" i="1"/>
  <c r="R1633" i="1"/>
  <c r="T1633" i="1" s="1"/>
  <c r="Q1633" i="1"/>
  <c r="E1633" i="1"/>
  <c r="S1632" i="1"/>
  <c r="R1632" i="1"/>
  <c r="T1632" i="1" s="1"/>
  <c r="Q1632" i="1"/>
  <c r="E1632" i="1"/>
  <c r="S1631" i="1"/>
  <c r="R1631" i="1"/>
  <c r="T1631" i="1" s="1"/>
  <c r="Q1631" i="1"/>
  <c r="P1631" i="1"/>
  <c r="E1631" i="1"/>
  <c r="T1630" i="1"/>
  <c r="S1630" i="1"/>
  <c r="R1630" i="1"/>
  <c r="Q1630" i="1"/>
  <c r="E1630" i="1"/>
  <c r="T1629" i="1"/>
  <c r="S1629" i="1"/>
  <c r="R1629" i="1"/>
  <c r="Q1629" i="1"/>
  <c r="E1629" i="1"/>
  <c r="T1628" i="1"/>
  <c r="S1628" i="1"/>
  <c r="R1628" i="1"/>
  <c r="Q1628" i="1"/>
  <c r="E1628" i="1"/>
  <c r="T1627" i="1"/>
  <c r="S1627" i="1"/>
  <c r="R1627" i="1"/>
  <c r="Q1627" i="1"/>
  <c r="E1627" i="1"/>
  <c r="T1626" i="1"/>
  <c r="S1626" i="1"/>
  <c r="R1626" i="1"/>
  <c r="Q1626" i="1"/>
  <c r="E1626" i="1"/>
  <c r="T1625" i="1"/>
  <c r="S1625" i="1"/>
  <c r="R1625" i="1"/>
  <c r="Q1625" i="1"/>
  <c r="E1625" i="1"/>
  <c r="T1624" i="1"/>
  <c r="S1624" i="1"/>
  <c r="R1624" i="1"/>
  <c r="Q1624" i="1"/>
  <c r="E1624" i="1"/>
  <c r="T1623" i="1"/>
  <c r="S1623" i="1"/>
  <c r="R1623" i="1"/>
  <c r="Q1623" i="1"/>
  <c r="E1623" i="1"/>
  <c r="T1622" i="1"/>
  <c r="S1622" i="1"/>
  <c r="R1622" i="1"/>
  <c r="Q1622" i="1"/>
  <c r="E1622" i="1"/>
  <c r="T1621" i="1"/>
  <c r="S1621" i="1"/>
  <c r="R1621" i="1"/>
  <c r="Q1621" i="1"/>
  <c r="E1621" i="1"/>
  <c r="T1620" i="1"/>
  <c r="S1620" i="1"/>
  <c r="R1620" i="1"/>
  <c r="Q1620" i="1"/>
  <c r="E1620" i="1"/>
  <c r="S1619" i="1"/>
  <c r="R1619" i="1"/>
  <c r="T1619" i="1" s="1"/>
  <c r="Q1619" i="1"/>
  <c r="E1619" i="1"/>
  <c r="S1618" i="1"/>
  <c r="R1618" i="1"/>
  <c r="T1618" i="1" s="1"/>
  <c r="Q1618" i="1"/>
  <c r="E1618" i="1"/>
  <c r="S1617" i="1"/>
  <c r="R1617" i="1"/>
  <c r="T1617" i="1" s="1"/>
  <c r="Q1617" i="1"/>
  <c r="E1617" i="1"/>
  <c r="S1616" i="1"/>
  <c r="R1616" i="1"/>
  <c r="T1616" i="1" s="1"/>
  <c r="Q1616" i="1"/>
  <c r="E1616" i="1"/>
  <c r="S1615" i="1"/>
  <c r="R1615" i="1"/>
  <c r="T1615" i="1" s="1"/>
  <c r="Q1615" i="1"/>
  <c r="E1615" i="1"/>
  <c r="S1614" i="1"/>
  <c r="R1614" i="1"/>
  <c r="T1614" i="1" s="1"/>
  <c r="Q1614" i="1"/>
  <c r="E1614" i="1"/>
  <c r="S1613" i="1"/>
  <c r="R1613" i="1"/>
  <c r="T1613" i="1" s="1"/>
  <c r="Q1613" i="1"/>
  <c r="E1613" i="1"/>
  <c r="S1612" i="1"/>
  <c r="R1612" i="1"/>
  <c r="T1612" i="1" s="1"/>
  <c r="Q1612" i="1"/>
  <c r="E1612" i="1"/>
  <c r="S1611" i="1"/>
  <c r="R1611" i="1"/>
  <c r="T1611" i="1" s="1"/>
  <c r="Q1611" i="1"/>
  <c r="E1611" i="1"/>
  <c r="S1610" i="1"/>
  <c r="R1610" i="1"/>
  <c r="T1610" i="1" s="1"/>
  <c r="Q1610" i="1"/>
  <c r="E1610" i="1"/>
  <c r="S1609" i="1"/>
  <c r="R1609" i="1"/>
  <c r="T1609" i="1" s="1"/>
  <c r="Q1609" i="1"/>
  <c r="E1609" i="1"/>
  <c r="S1608" i="1"/>
  <c r="R1608" i="1"/>
  <c r="T1608" i="1" s="1"/>
  <c r="Q1608" i="1"/>
  <c r="E1608" i="1"/>
  <c r="S1607" i="1"/>
  <c r="R1607" i="1"/>
  <c r="T1607" i="1" s="1"/>
  <c r="Q1607" i="1"/>
  <c r="E1607" i="1"/>
  <c r="S1606" i="1"/>
  <c r="R1606" i="1"/>
  <c r="T1606" i="1" s="1"/>
  <c r="Q1606" i="1"/>
  <c r="E1606" i="1"/>
  <c r="T1605" i="1"/>
  <c r="S1605" i="1"/>
  <c r="E1605" i="1"/>
  <c r="T1604" i="1"/>
  <c r="S1604" i="1"/>
  <c r="E1604" i="1"/>
  <c r="T1603" i="1"/>
  <c r="S1603" i="1"/>
  <c r="E1603" i="1"/>
  <c r="T1602" i="1"/>
  <c r="S1602" i="1"/>
  <c r="E1602" i="1"/>
  <c r="T1601" i="1"/>
  <c r="S1601" i="1"/>
  <c r="E1601" i="1"/>
  <c r="T1600" i="1"/>
  <c r="S1600" i="1"/>
  <c r="E1600" i="1"/>
  <c r="T1599" i="1"/>
  <c r="S1599" i="1"/>
  <c r="E1599" i="1"/>
  <c r="T1598" i="1"/>
  <c r="S1598" i="1"/>
  <c r="E1598" i="1"/>
  <c r="T1597" i="1"/>
  <c r="S1597" i="1"/>
  <c r="E1597" i="1"/>
  <c r="T1596" i="1"/>
  <c r="S1596" i="1"/>
  <c r="E1596" i="1"/>
  <c r="T1595" i="1"/>
  <c r="S1595" i="1"/>
  <c r="E1595" i="1"/>
  <c r="T1594" i="1"/>
  <c r="S1594" i="1"/>
  <c r="E1594" i="1"/>
  <c r="T1593" i="1"/>
  <c r="S1593" i="1"/>
  <c r="E1593" i="1"/>
  <c r="T1592" i="1"/>
  <c r="S1592" i="1"/>
  <c r="E1592" i="1"/>
  <c r="T1591" i="1"/>
  <c r="S1591" i="1"/>
  <c r="E1591" i="1"/>
  <c r="T1590" i="1"/>
  <c r="S1590" i="1"/>
  <c r="E1590" i="1"/>
  <c r="T1589" i="1"/>
  <c r="S1589" i="1"/>
  <c r="E1589" i="1"/>
  <c r="T1588" i="1"/>
  <c r="S1588" i="1"/>
  <c r="E1588" i="1"/>
  <c r="S1587" i="1"/>
  <c r="R1587" i="1"/>
  <c r="T1587" i="1" s="1"/>
  <c r="Q1587" i="1"/>
  <c r="E1587" i="1"/>
  <c r="P1586" i="1"/>
  <c r="E1586" i="1"/>
  <c r="R1585" i="1"/>
  <c r="T1585" i="1" s="1"/>
  <c r="P1585" i="1"/>
  <c r="O1585" i="1"/>
  <c r="Q1585" i="1" s="1"/>
  <c r="S1585" i="1" s="1"/>
  <c r="E1585" i="1"/>
  <c r="P1584" i="1"/>
  <c r="R1584" i="1" s="1"/>
  <c r="T1584" i="1" s="1"/>
  <c r="E1584" i="1"/>
  <c r="P1583" i="1"/>
  <c r="E1583" i="1"/>
  <c r="R1582" i="1"/>
  <c r="T1582" i="1" s="1"/>
  <c r="Q1582" i="1"/>
  <c r="S1582" i="1" s="1"/>
  <c r="P1582" i="1"/>
  <c r="O1582" i="1"/>
  <c r="E1582" i="1"/>
  <c r="T1581" i="1"/>
  <c r="P1581" i="1"/>
  <c r="R1581" i="1" s="1"/>
  <c r="E1581" i="1"/>
  <c r="P1580" i="1"/>
  <c r="E1580" i="1"/>
  <c r="R1579" i="1"/>
  <c r="T1579" i="1" s="1"/>
  <c r="P1579" i="1"/>
  <c r="O1579" i="1"/>
  <c r="Q1579" i="1" s="1"/>
  <c r="S1579" i="1" s="1"/>
  <c r="E1579" i="1"/>
  <c r="P1578" i="1"/>
  <c r="E1578" i="1"/>
  <c r="S1577" i="1"/>
  <c r="P1577" i="1"/>
  <c r="R1577" i="1" s="1"/>
  <c r="T1577" i="1" s="1"/>
  <c r="O1577" i="1"/>
  <c r="Q1577" i="1" s="1"/>
  <c r="E1577" i="1"/>
  <c r="R1576" i="1"/>
  <c r="T1576" i="1" s="1"/>
  <c r="P1576" i="1"/>
  <c r="O1576" i="1"/>
  <c r="Q1576" i="1" s="1"/>
  <c r="S1576" i="1" s="1"/>
  <c r="E1576" i="1"/>
  <c r="P1575" i="1"/>
  <c r="E1575" i="1"/>
  <c r="P1574" i="1"/>
  <c r="R1574" i="1" s="1"/>
  <c r="T1574" i="1" s="1"/>
  <c r="O1574" i="1"/>
  <c r="Q1574" i="1" s="1"/>
  <c r="S1574" i="1" s="1"/>
  <c r="E1574" i="1"/>
  <c r="R1573" i="1"/>
  <c r="T1573" i="1" s="1"/>
  <c r="P1573" i="1"/>
  <c r="O1573" i="1"/>
  <c r="Q1573" i="1" s="1"/>
  <c r="S1573" i="1" s="1"/>
  <c r="E1573" i="1"/>
  <c r="P1572" i="1"/>
  <c r="E1572" i="1"/>
  <c r="P1571" i="1"/>
  <c r="R1571" i="1" s="1"/>
  <c r="T1571" i="1" s="1"/>
  <c r="O1571" i="1"/>
  <c r="Q1571" i="1" s="1"/>
  <c r="S1571" i="1" s="1"/>
  <c r="E1571" i="1"/>
  <c r="P1570" i="1"/>
  <c r="O1570" i="1" s="1"/>
  <c r="Q1570" i="1" s="1"/>
  <c r="S1570" i="1" s="1"/>
  <c r="E1570" i="1"/>
  <c r="P1569" i="1"/>
  <c r="E1569" i="1"/>
  <c r="P1568" i="1"/>
  <c r="R1568" i="1" s="1"/>
  <c r="T1568" i="1" s="1"/>
  <c r="O1568" i="1"/>
  <c r="Q1568" i="1" s="1"/>
  <c r="S1568" i="1" s="1"/>
  <c r="E1568" i="1"/>
  <c r="R1567" i="1"/>
  <c r="T1567" i="1" s="1"/>
  <c r="P1567" i="1"/>
  <c r="O1567" i="1"/>
  <c r="Q1567" i="1" s="1"/>
  <c r="S1567" i="1" s="1"/>
  <c r="E1567" i="1"/>
  <c r="P1566" i="1"/>
  <c r="E1566" i="1"/>
  <c r="P1565" i="1"/>
  <c r="R1565" i="1" s="1"/>
  <c r="T1565" i="1" s="1"/>
  <c r="O1565" i="1"/>
  <c r="Q1565" i="1" s="1"/>
  <c r="S1565" i="1" s="1"/>
  <c r="E1565" i="1"/>
  <c r="P1564" i="1"/>
  <c r="O1564" i="1" s="1"/>
  <c r="Q1564" i="1" s="1"/>
  <c r="S1564" i="1" s="1"/>
  <c r="E1564" i="1"/>
  <c r="P1563" i="1"/>
  <c r="E1563" i="1"/>
  <c r="R1562" i="1"/>
  <c r="T1562" i="1" s="1"/>
  <c r="Q1562" i="1"/>
  <c r="S1562" i="1" s="1"/>
  <c r="P1562" i="1"/>
  <c r="O1562" i="1"/>
  <c r="E1562" i="1"/>
  <c r="T1561" i="1"/>
  <c r="Q1561" i="1"/>
  <c r="S1561" i="1" s="1"/>
  <c r="P1561" i="1"/>
  <c r="R1561" i="1" s="1"/>
  <c r="O1561" i="1"/>
  <c r="E1561" i="1"/>
  <c r="P1560" i="1"/>
  <c r="E1560" i="1"/>
  <c r="R1559" i="1"/>
  <c r="T1559" i="1" s="1"/>
  <c r="P1559" i="1"/>
  <c r="O1559" i="1"/>
  <c r="Q1559" i="1" s="1"/>
  <c r="S1559" i="1" s="1"/>
  <c r="E1559" i="1"/>
  <c r="P1558" i="1"/>
  <c r="R1558" i="1" s="1"/>
  <c r="T1558" i="1" s="1"/>
  <c r="O1558" i="1"/>
  <c r="Q1558" i="1" s="1"/>
  <c r="S1558" i="1" s="1"/>
  <c r="E1558" i="1"/>
  <c r="P1557" i="1"/>
  <c r="R1557" i="1" s="1"/>
  <c r="T1557" i="1" s="1"/>
  <c r="O1557" i="1"/>
  <c r="Q1557" i="1" s="1"/>
  <c r="S1557" i="1" s="1"/>
  <c r="E1557" i="1"/>
  <c r="R1556" i="1"/>
  <c r="T1556" i="1" s="1"/>
  <c r="Q1556" i="1"/>
  <c r="S1556" i="1" s="1"/>
  <c r="P1556" i="1"/>
  <c r="O1556" i="1"/>
  <c r="E1556" i="1"/>
  <c r="P1555" i="1"/>
  <c r="R1555" i="1" s="1"/>
  <c r="T1555" i="1" s="1"/>
  <c r="E1555" i="1"/>
  <c r="P1554" i="1"/>
  <c r="R1554" i="1" s="1"/>
  <c r="T1554" i="1" s="1"/>
  <c r="E1554" i="1"/>
  <c r="R1553" i="1"/>
  <c r="T1553" i="1" s="1"/>
  <c r="Q1553" i="1"/>
  <c r="S1553" i="1" s="1"/>
  <c r="P1553" i="1"/>
  <c r="O1553" i="1"/>
  <c r="E1553" i="1"/>
  <c r="T1552" i="1"/>
  <c r="Q1552" i="1"/>
  <c r="S1552" i="1" s="1"/>
  <c r="P1552" i="1"/>
  <c r="R1552" i="1" s="1"/>
  <c r="O1552" i="1"/>
  <c r="E1552" i="1"/>
  <c r="P1551" i="1"/>
  <c r="E1551" i="1"/>
  <c r="R1550" i="1"/>
  <c r="T1550" i="1" s="1"/>
  <c r="P1550" i="1"/>
  <c r="O1550" i="1"/>
  <c r="Q1550" i="1" s="1"/>
  <c r="S1550" i="1" s="1"/>
  <c r="E1550" i="1"/>
  <c r="P1549" i="1"/>
  <c r="R1549" i="1" s="1"/>
  <c r="T1549" i="1" s="1"/>
  <c r="O1549" i="1"/>
  <c r="Q1549" i="1" s="1"/>
  <c r="S1549" i="1" s="1"/>
  <c r="E1549" i="1"/>
  <c r="P1548" i="1"/>
  <c r="R1548" i="1" s="1"/>
  <c r="T1548" i="1" s="1"/>
  <c r="O1548" i="1"/>
  <c r="Q1548" i="1" s="1"/>
  <c r="S1548" i="1" s="1"/>
  <c r="E1548" i="1"/>
  <c r="R1547" i="1"/>
  <c r="T1547" i="1" s="1"/>
  <c r="Q1547" i="1"/>
  <c r="S1547" i="1" s="1"/>
  <c r="P1547" i="1"/>
  <c r="O1547" i="1"/>
  <c r="E1547" i="1"/>
  <c r="P1546" i="1"/>
  <c r="R1546" i="1" s="1"/>
  <c r="T1546" i="1" s="1"/>
  <c r="E1546" i="1"/>
  <c r="Q1545" i="1"/>
  <c r="S1545" i="1" s="1"/>
  <c r="P1545" i="1"/>
  <c r="R1545" i="1" s="1"/>
  <c r="T1545" i="1" s="1"/>
  <c r="O1545" i="1"/>
  <c r="E1545" i="1"/>
  <c r="R1544" i="1"/>
  <c r="T1544" i="1" s="1"/>
  <c r="Q1544" i="1"/>
  <c r="S1544" i="1" s="1"/>
  <c r="P1544" i="1"/>
  <c r="O1544" i="1"/>
  <c r="E1544" i="1"/>
  <c r="T1543" i="1"/>
  <c r="Q1543" i="1"/>
  <c r="S1543" i="1" s="1"/>
  <c r="P1543" i="1"/>
  <c r="R1543" i="1" s="1"/>
  <c r="O1543" i="1"/>
  <c r="E1543" i="1"/>
  <c r="Q1542" i="1"/>
  <c r="S1542" i="1" s="1"/>
  <c r="P1542" i="1"/>
  <c r="R1542" i="1" s="1"/>
  <c r="T1542" i="1" s="1"/>
  <c r="O1542" i="1"/>
  <c r="E1542" i="1"/>
  <c r="R1541" i="1"/>
  <c r="T1541" i="1" s="1"/>
  <c r="Q1541" i="1"/>
  <c r="S1541" i="1" s="1"/>
  <c r="P1541" i="1"/>
  <c r="O1541" i="1"/>
  <c r="E1541" i="1"/>
  <c r="P1540" i="1"/>
  <c r="R1540" i="1" s="1"/>
  <c r="T1540" i="1" s="1"/>
  <c r="E1540" i="1"/>
  <c r="Q1539" i="1"/>
  <c r="S1539" i="1" s="1"/>
  <c r="P1539" i="1"/>
  <c r="R1539" i="1" s="1"/>
  <c r="T1539" i="1" s="1"/>
  <c r="O1539" i="1"/>
  <c r="E1539" i="1"/>
  <c r="R1538" i="1"/>
  <c r="T1538" i="1" s="1"/>
  <c r="Q1538" i="1"/>
  <c r="S1538" i="1" s="1"/>
  <c r="P1538" i="1"/>
  <c r="O1538" i="1"/>
  <c r="E1538" i="1"/>
  <c r="T1537" i="1"/>
  <c r="Q1537" i="1"/>
  <c r="S1537" i="1" s="1"/>
  <c r="P1537" i="1"/>
  <c r="R1537" i="1" s="1"/>
  <c r="O1537" i="1"/>
  <c r="E1537" i="1"/>
  <c r="Q1536" i="1"/>
  <c r="S1536" i="1" s="1"/>
  <c r="P1536" i="1"/>
  <c r="R1536" i="1" s="1"/>
  <c r="T1536" i="1" s="1"/>
  <c r="O1536" i="1"/>
  <c r="E1536" i="1"/>
  <c r="R1535" i="1"/>
  <c r="T1535" i="1" s="1"/>
  <c r="Q1535" i="1"/>
  <c r="S1535" i="1" s="1"/>
  <c r="P1535" i="1"/>
  <c r="O1535" i="1"/>
  <c r="E1535" i="1"/>
  <c r="P1534" i="1"/>
  <c r="R1534" i="1" s="1"/>
  <c r="T1534" i="1" s="1"/>
  <c r="E1534" i="1"/>
  <c r="Q1533" i="1"/>
  <c r="S1533" i="1" s="1"/>
  <c r="P1533" i="1"/>
  <c r="R1533" i="1" s="1"/>
  <c r="T1533" i="1" s="1"/>
  <c r="O1533" i="1"/>
  <c r="E1533" i="1"/>
  <c r="R1532" i="1"/>
  <c r="T1532" i="1" s="1"/>
  <c r="Q1532" i="1"/>
  <c r="S1532" i="1" s="1"/>
  <c r="P1532" i="1"/>
  <c r="O1532" i="1"/>
  <c r="E1532" i="1"/>
  <c r="T1531" i="1"/>
  <c r="Q1531" i="1"/>
  <c r="S1531" i="1" s="1"/>
  <c r="P1531" i="1"/>
  <c r="R1531" i="1" s="1"/>
  <c r="O1531" i="1"/>
  <c r="E1531" i="1"/>
  <c r="Q1530" i="1"/>
  <c r="S1530" i="1" s="1"/>
  <c r="P1530" i="1"/>
  <c r="R1530" i="1" s="1"/>
  <c r="T1530" i="1" s="1"/>
  <c r="O1530" i="1"/>
  <c r="E1530" i="1"/>
  <c r="R1529" i="1"/>
  <c r="T1529" i="1" s="1"/>
  <c r="Q1529" i="1"/>
  <c r="S1529" i="1" s="1"/>
  <c r="P1529" i="1"/>
  <c r="O1529" i="1"/>
  <c r="E1529" i="1"/>
  <c r="P1528" i="1"/>
  <c r="R1528" i="1" s="1"/>
  <c r="T1528" i="1" s="1"/>
  <c r="E1528" i="1"/>
  <c r="Q1527" i="1"/>
  <c r="S1527" i="1" s="1"/>
  <c r="P1527" i="1"/>
  <c r="R1527" i="1" s="1"/>
  <c r="T1527" i="1" s="1"/>
  <c r="O1527" i="1"/>
  <c r="E1527" i="1"/>
  <c r="R1526" i="1"/>
  <c r="T1526" i="1" s="1"/>
  <c r="Q1526" i="1"/>
  <c r="S1526" i="1" s="1"/>
  <c r="P1526" i="1"/>
  <c r="O1526" i="1"/>
  <c r="E1526" i="1"/>
  <c r="T1525" i="1"/>
  <c r="Q1525" i="1"/>
  <c r="S1525" i="1" s="1"/>
  <c r="P1525" i="1"/>
  <c r="R1525" i="1" s="1"/>
  <c r="O1525" i="1"/>
  <c r="E1525" i="1"/>
  <c r="Q1524" i="1"/>
  <c r="S1524" i="1" s="1"/>
  <c r="P1524" i="1"/>
  <c r="R1524" i="1" s="1"/>
  <c r="T1524" i="1" s="1"/>
  <c r="O1524" i="1"/>
  <c r="E1524" i="1"/>
  <c r="R1523" i="1"/>
  <c r="T1523" i="1" s="1"/>
  <c r="Q1523" i="1"/>
  <c r="S1523" i="1" s="1"/>
  <c r="P1523" i="1"/>
  <c r="O1523" i="1"/>
  <c r="E1523" i="1"/>
  <c r="P1522" i="1"/>
  <c r="R1522" i="1" s="1"/>
  <c r="T1522" i="1" s="1"/>
  <c r="E1522" i="1"/>
  <c r="Q1521" i="1"/>
  <c r="S1521" i="1" s="1"/>
  <c r="P1521" i="1"/>
  <c r="R1521" i="1" s="1"/>
  <c r="T1521" i="1" s="1"/>
  <c r="O1521" i="1"/>
  <c r="E1521" i="1"/>
  <c r="R1520" i="1"/>
  <c r="T1520" i="1" s="1"/>
  <c r="Q1520" i="1"/>
  <c r="S1520" i="1" s="1"/>
  <c r="P1520" i="1"/>
  <c r="O1520" i="1"/>
  <c r="E1520" i="1"/>
  <c r="T1519" i="1"/>
  <c r="Q1519" i="1"/>
  <c r="S1519" i="1" s="1"/>
  <c r="P1519" i="1"/>
  <c r="R1519" i="1" s="1"/>
  <c r="O1519" i="1"/>
  <c r="E1519" i="1"/>
  <c r="P1518" i="1"/>
  <c r="R1518" i="1" s="1"/>
  <c r="T1518" i="1" s="1"/>
  <c r="E1518" i="1"/>
  <c r="R1517" i="1"/>
  <c r="T1517" i="1" s="1"/>
  <c r="P1517" i="1"/>
  <c r="O1517" i="1"/>
  <c r="Q1517" i="1" s="1"/>
  <c r="S1517" i="1" s="1"/>
  <c r="E1517" i="1"/>
  <c r="T1516" i="1"/>
  <c r="Q1516" i="1"/>
  <c r="S1516" i="1" s="1"/>
  <c r="P1516" i="1"/>
  <c r="R1516" i="1" s="1"/>
  <c r="O1516" i="1"/>
  <c r="E1516" i="1"/>
  <c r="P1515" i="1"/>
  <c r="R1515" i="1" s="1"/>
  <c r="T1515" i="1" s="1"/>
  <c r="E1515" i="1"/>
  <c r="P1514" i="1"/>
  <c r="O1514" i="1" s="1"/>
  <c r="Q1514" i="1" s="1"/>
  <c r="S1514" i="1" s="1"/>
  <c r="E1514" i="1"/>
  <c r="T1513" i="1"/>
  <c r="P1513" i="1"/>
  <c r="R1513" i="1" s="1"/>
  <c r="O1513" i="1"/>
  <c r="Q1513" i="1" s="1"/>
  <c r="S1513" i="1" s="1"/>
  <c r="E1513" i="1"/>
  <c r="P1512" i="1"/>
  <c r="R1512" i="1" s="1"/>
  <c r="T1512" i="1" s="1"/>
  <c r="E1512" i="1"/>
  <c r="R1511" i="1"/>
  <c r="T1511" i="1" s="1"/>
  <c r="Q1511" i="1"/>
  <c r="S1511" i="1" s="1"/>
  <c r="P1511" i="1"/>
  <c r="O1511" i="1"/>
  <c r="E1511" i="1"/>
  <c r="P1510" i="1"/>
  <c r="R1510" i="1" s="1"/>
  <c r="T1510" i="1" s="1"/>
  <c r="E1510" i="1"/>
  <c r="P1509" i="1"/>
  <c r="R1509" i="1" s="1"/>
  <c r="T1509" i="1" s="1"/>
  <c r="E1509" i="1"/>
  <c r="R1508" i="1"/>
  <c r="T1508" i="1" s="1"/>
  <c r="P1508" i="1"/>
  <c r="O1508" i="1"/>
  <c r="Q1508" i="1" s="1"/>
  <c r="S1508" i="1" s="1"/>
  <c r="E1508" i="1"/>
  <c r="T1507" i="1"/>
  <c r="Q1507" i="1"/>
  <c r="S1507" i="1" s="1"/>
  <c r="P1507" i="1"/>
  <c r="R1507" i="1" s="1"/>
  <c r="O1507" i="1"/>
  <c r="E1507" i="1"/>
  <c r="P1506" i="1"/>
  <c r="R1506" i="1" s="1"/>
  <c r="T1506" i="1" s="1"/>
  <c r="E1506" i="1"/>
  <c r="S1505" i="1"/>
  <c r="R1505" i="1"/>
  <c r="T1505" i="1" s="1"/>
  <c r="Q1505" i="1"/>
  <c r="P1505" i="1"/>
  <c r="O1505" i="1"/>
  <c r="E1505" i="1"/>
  <c r="P1504" i="1"/>
  <c r="R1504" i="1" s="1"/>
  <c r="T1504" i="1" s="1"/>
  <c r="E1504" i="1"/>
  <c r="P1503" i="1"/>
  <c r="E1503" i="1"/>
  <c r="S1502" i="1"/>
  <c r="R1502" i="1"/>
  <c r="T1502" i="1" s="1"/>
  <c r="P1502" i="1"/>
  <c r="O1502" i="1" s="1"/>
  <c r="Q1502" i="1" s="1"/>
  <c r="E1502" i="1"/>
  <c r="T1501" i="1"/>
  <c r="R1501" i="1"/>
  <c r="P1501" i="1"/>
  <c r="O1501" i="1"/>
  <c r="Q1501" i="1" s="1"/>
  <c r="S1501" i="1" s="1"/>
  <c r="E1501" i="1"/>
  <c r="P1500" i="1"/>
  <c r="E1500" i="1"/>
  <c r="P1499" i="1"/>
  <c r="O1499" i="1" s="1"/>
  <c r="Q1499" i="1" s="1"/>
  <c r="S1499" i="1" s="1"/>
  <c r="E1499" i="1"/>
  <c r="R1498" i="1"/>
  <c r="T1498" i="1" s="1"/>
  <c r="P1498" i="1"/>
  <c r="O1498" i="1"/>
  <c r="Q1498" i="1" s="1"/>
  <c r="S1498" i="1" s="1"/>
  <c r="E1498" i="1"/>
  <c r="P1497" i="1"/>
  <c r="E1497" i="1"/>
  <c r="S1496" i="1"/>
  <c r="R1496" i="1"/>
  <c r="T1496" i="1" s="1"/>
  <c r="P1496" i="1"/>
  <c r="O1496" i="1" s="1"/>
  <c r="Q1496" i="1" s="1"/>
  <c r="E1496" i="1"/>
  <c r="T1495" i="1"/>
  <c r="R1495" i="1"/>
  <c r="P1495" i="1"/>
  <c r="O1495" i="1"/>
  <c r="Q1495" i="1" s="1"/>
  <c r="S1495" i="1" s="1"/>
  <c r="E1495" i="1"/>
  <c r="P1494" i="1"/>
  <c r="E1494" i="1"/>
  <c r="R1493" i="1"/>
  <c r="T1493" i="1" s="1"/>
  <c r="P1493" i="1"/>
  <c r="O1493" i="1" s="1"/>
  <c r="Q1493" i="1" s="1"/>
  <c r="S1493" i="1" s="1"/>
  <c r="E1493" i="1"/>
  <c r="R1492" i="1"/>
  <c r="T1492" i="1" s="1"/>
  <c r="P1492" i="1"/>
  <c r="O1492" i="1"/>
  <c r="Q1492" i="1" s="1"/>
  <c r="S1492" i="1" s="1"/>
  <c r="E1492" i="1"/>
  <c r="P1491" i="1"/>
  <c r="E1491" i="1"/>
  <c r="S1490" i="1"/>
  <c r="R1490" i="1"/>
  <c r="T1490" i="1" s="1"/>
  <c r="P1490" i="1"/>
  <c r="O1490" i="1" s="1"/>
  <c r="Q1490" i="1" s="1"/>
  <c r="E1490" i="1"/>
  <c r="P1489" i="1"/>
  <c r="O1489" i="1" s="1"/>
  <c r="Q1489" i="1" s="1"/>
  <c r="S1489" i="1" s="1"/>
  <c r="E1489" i="1"/>
  <c r="P1488" i="1"/>
  <c r="E1488" i="1"/>
  <c r="P1487" i="1"/>
  <c r="O1487" i="1" s="1"/>
  <c r="Q1487" i="1" s="1"/>
  <c r="S1487" i="1" s="1"/>
  <c r="E1487" i="1"/>
  <c r="R1486" i="1"/>
  <c r="T1486" i="1" s="1"/>
  <c r="P1486" i="1"/>
  <c r="O1486" i="1"/>
  <c r="Q1486" i="1" s="1"/>
  <c r="S1486" i="1" s="1"/>
  <c r="E1486" i="1"/>
  <c r="P1485" i="1"/>
  <c r="E1485" i="1"/>
  <c r="S1484" i="1"/>
  <c r="R1484" i="1"/>
  <c r="T1484" i="1" s="1"/>
  <c r="P1484" i="1"/>
  <c r="O1484" i="1" s="1"/>
  <c r="Q1484" i="1" s="1"/>
  <c r="E1484" i="1"/>
  <c r="T1483" i="1"/>
  <c r="R1483" i="1"/>
  <c r="P1483" i="1"/>
  <c r="O1483" i="1"/>
  <c r="Q1483" i="1" s="1"/>
  <c r="S1483" i="1" s="1"/>
  <c r="E1483" i="1"/>
  <c r="P1482" i="1"/>
  <c r="E1482" i="1"/>
  <c r="R1481" i="1"/>
  <c r="T1481" i="1" s="1"/>
  <c r="P1481" i="1"/>
  <c r="O1481" i="1" s="1"/>
  <c r="Q1481" i="1" s="1"/>
  <c r="S1481" i="1" s="1"/>
  <c r="E1481" i="1"/>
  <c r="R1480" i="1"/>
  <c r="T1480" i="1" s="1"/>
  <c r="P1480" i="1"/>
  <c r="O1480" i="1"/>
  <c r="Q1480" i="1" s="1"/>
  <c r="S1480" i="1" s="1"/>
  <c r="E1480" i="1"/>
  <c r="P1479" i="1"/>
  <c r="E1479" i="1"/>
  <c r="S1478" i="1"/>
  <c r="R1478" i="1"/>
  <c r="T1478" i="1" s="1"/>
  <c r="P1478" i="1"/>
  <c r="O1478" i="1" s="1"/>
  <c r="Q1478" i="1" s="1"/>
  <c r="E1478" i="1"/>
  <c r="P1477" i="1"/>
  <c r="O1477" i="1" s="1"/>
  <c r="Q1477" i="1" s="1"/>
  <c r="S1477" i="1" s="1"/>
  <c r="E1477" i="1"/>
  <c r="P1476" i="1"/>
  <c r="E1476" i="1"/>
  <c r="P1475" i="1"/>
  <c r="O1475" i="1" s="1"/>
  <c r="Q1475" i="1" s="1"/>
  <c r="S1475" i="1" s="1"/>
  <c r="E1475" i="1"/>
  <c r="R1474" i="1"/>
  <c r="T1474" i="1" s="1"/>
  <c r="P1474" i="1"/>
  <c r="O1474" i="1"/>
  <c r="Q1474" i="1" s="1"/>
  <c r="S1474" i="1" s="1"/>
  <c r="E1474" i="1"/>
  <c r="P1473" i="1"/>
  <c r="E1473" i="1"/>
  <c r="R1472" i="1"/>
  <c r="T1472" i="1" s="1"/>
  <c r="P1472" i="1"/>
  <c r="O1472" i="1" s="1"/>
  <c r="Q1472" i="1" s="1"/>
  <c r="S1472" i="1" s="1"/>
  <c r="E1472" i="1"/>
  <c r="R1471" i="1"/>
  <c r="T1471" i="1" s="1"/>
  <c r="P1471" i="1"/>
  <c r="O1471" i="1"/>
  <c r="Q1471" i="1" s="1"/>
  <c r="S1471" i="1" s="1"/>
  <c r="E1471" i="1"/>
  <c r="P1470" i="1"/>
  <c r="E1470" i="1"/>
  <c r="S1469" i="1"/>
  <c r="R1469" i="1"/>
  <c r="T1469" i="1" s="1"/>
  <c r="P1469" i="1"/>
  <c r="O1469" i="1"/>
  <c r="Q1469" i="1" s="1"/>
  <c r="E1469" i="1"/>
  <c r="R1468" i="1"/>
  <c r="T1468" i="1" s="1"/>
  <c r="P1468" i="1"/>
  <c r="O1468" i="1"/>
  <c r="Q1468" i="1" s="1"/>
  <c r="S1468" i="1" s="1"/>
  <c r="E1468" i="1"/>
  <c r="P1467" i="1"/>
  <c r="E1467" i="1"/>
  <c r="S1466" i="1"/>
  <c r="R1466" i="1"/>
  <c r="T1466" i="1" s="1"/>
  <c r="P1466" i="1"/>
  <c r="O1466" i="1"/>
  <c r="Q1466" i="1" s="1"/>
  <c r="E1466" i="1"/>
  <c r="R1465" i="1"/>
  <c r="T1465" i="1" s="1"/>
  <c r="P1465" i="1"/>
  <c r="O1465" i="1"/>
  <c r="Q1465" i="1" s="1"/>
  <c r="S1465" i="1" s="1"/>
  <c r="E1465" i="1"/>
  <c r="P1464" i="1"/>
  <c r="E1464" i="1"/>
  <c r="S1463" i="1"/>
  <c r="R1463" i="1"/>
  <c r="T1463" i="1" s="1"/>
  <c r="P1463" i="1"/>
  <c r="O1463" i="1"/>
  <c r="Q1463" i="1" s="1"/>
  <c r="E1463" i="1"/>
  <c r="R1462" i="1"/>
  <c r="T1462" i="1" s="1"/>
  <c r="P1462" i="1"/>
  <c r="O1462" i="1"/>
  <c r="Q1462" i="1" s="1"/>
  <c r="S1462" i="1" s="1"/>
  <c r="E1462" i="1"/>
  <c r="T1461" i="1"/>
  <c r="P1461" i="1"/>
  <c r="R1461" i="1" s="1"/>
  <c r="E1461" i="1"/>
  <c r="P1460" i="1"/>
  <c r="R1460" i="1" s="1"/>
  <c r="T1460" i="1" s="1"/>
  <c r="O1460" i="1"/>
  <c r="Q1460" i="1" s="1"/>
  <c r="S1460" i="1" s="1"/>
  <c r="E1460" i="1"/>
  <c r="P1459" i="1"/>
  <c r="O1459" i="1" s="1"/>
  <c r="Q1459" i="1" s="1"/>
  <c r="S1459" i="1" s="1"/>
  <c r="E1459" i="1"/>
  <c r="P1458" i="1"/>
  <c r="O1458" i="1" s="1"/>
  <c r="Q1458" i="1" s="1"/>
  <c r="S1458" i="1" s="1"/>
  <c r="E1458" i="1"/>
  <c r="S1457" i="1"/>
  <c r="Q1457" i="1"/>
  <c r="P1457" i="1"/>
  <c r="R1457" i="1" s="1"/>
  <c r="T1457" i="1" s="1"/>
  <c r="E1457" i="1"/>
  <c r="T1456" i="1"/>
  <c r="Q1456" i="1"/>
  <c r="S1456" i="1" s="1"/>
  <c r="P1456" i="1"/>
  <c r="R1456" i="1" s="1"/>
  <c r="E1456" i="1"/>
  <c r="R1455" i="1"/>
  <c r="T1455" i="1" s="1"/>
  <c r="Q1455" i="1"/>
  <c r="S1455" i="1" s="1"/>
  <c r="P1455" i="1"/>
  <c r="E1455" i="1"/>
  <c r="T1454" i="1"/>
  <c r="S1454" i="1"/>
  <c r="Q1454" i="1"/>
  <c r="P1454" i="1"/>
  <c r="R1454" i="1" s="1"/>
  <c r="E1454" i="1"/>
  <c r="R1453" i="1"/>
  <c r="T1453" i="1" s="1"/>
  <c r="Q1453" i="1"/>
  <c r="S1453" i="1" s="1"/>
  <c r="P1453" i="1"/>
  <c r="E1453" i="1"/>
  <c r="T1452" i="1"/>
  <c r="S1452" i="1"/>
  <c r="R1452" i="1"/>
  <c r="Q1452" i="1"/>
  <c r="P1452" i="1"/>
  <c r="E1452" i="1"/>
  <c r="T1451" i="1"/>
  <c r="S1451" i="1"/>
  <c r="Q1451" i="1"/>
  <c r="P1451" i="1"/>
  <c r="R1451" i="1" s="1"/>
  <c r="E1451" i="1"/>
  <c r="T1450" i="1"/>
  <c r="S1450" i="1"/>
  <c r="Q1450" i="1"/>
  <c r="P1450" i="1"/>
  <c r="R1450" i="1" s="1"/>
  <c r="E1450" i="1"/>
  <c r="T1449" i="1"/>
  <c r="S1449" i="1"/>
  <c r="Q1449" i="1"/>
  <c r="P1449" i="1"/>
  <c r="R1449" i="1" s="1"/>
  <c r="E1449" i="1"/>
  <c r="T1448" i="1"/>
  <c r="S1448" i="1"/>
  <c r="R1448" i="1"/>
  <c r="Q1448" i="1"/>
  <c r="P1448" i="1"/>
  <c r="E1448" i="1"/>
  <c r="T1447" i="1"/>
  <c r="S1447" i="1"/>
  <c r="Q1447" i="1"/>
  <c r="P1447" i="1"/>
  <c r="R1447" i="1" s="1"/>
  <c r="E1447" i="1"/>
  <c r="T1446" i="1"/>
  <c r="S1446" i="1"/>
  <c r="R1446" i="1"/>
  <c r="Q1446" i="1"/>
  <c r="P1446" i="1"/>
  <c r="E1446" i="1"/>
  <c r="T1445" i="1"/>
  <c r="S1445" i="1"/>
  <c r="R1445" i="1"/>
  <c r="Q1445" i="1"/>
  <c r="P1445" i="1"/>
  <c r="E1445" i="1"/>
  <c r="T1444" i="1"/>
  <c r="S1444" i="1"/>
  <c r="Q1444" i="1"/>
  <c r="P1444" i="1"/>
  <c r="R1444" i="1" s="1"/>
  <c r="E1444" i="1"/>
  <c r="T1443" i="1"/>
  <c r="S1443" i="1"/>
  <c r="Q1443" i="1"/>
  <c r="P1443" i="1"/>
  <c r="R1443" i="1" s="1"/>
  <c r="E1443" i="1"/>
  <c r="T1442" i="1"/>
  <c r="S1442" i="1"/>
  <c r="R1442" i="1"/>
  <c r="Q1442" i="1"/>
  <c r="P1442" i="1"/>
  <c r="E1442" i="1"/>
  <c r="T1441" i="1"/>
  <c r="S1441" i="1"/>
  <c r="Q1441" i="1"/>
  <c r="P1441" i="1"/>
  <c r="R1441" i="1" s="1"/>
  <c r="E1441" i="1"/>
  <c r="T1440" i="1"/>
  <c r="S1440" i="1"/>
  <c r="R1440" i="1"/>
  <c r="Q1440" i="1"/>
  <c r="P1440" i="1"/>
  <c r="E1440" i="1"/>
  <c r="T1439" i="1"/>
  <c r="S1439" i="1"/>
  <c r="R1439" i="1"/>
  <c r="Q1439" i="1"/>
  <c r="P1439" i="1"/>
  <c r="E1439" i="1"/>
  <c r="T1438" i="1"/>
  <c r="S1438" i="1"/>
  <c r="Q1438" i="1"/>
  <c r="P1438" i="1"/>
  <c r="R1438" i="1" s="1"/>
  <c r="E1438" i="1"/>
  <c r="T1437" i="1"/>
  <c r="S1437" i="1"/>
  <c r="Q1437" i="1"/>
  <c r="P1437" i="1"/>
  <c r="R1437" i="1" s="1"/>
  <c r="E1437" i="1"/>
  <c r="T1436" i="1"/>
  <c r="S1436" i="1"/>
  <c r="R1436" i="1"/>
  <c r="Q1436" i="1"/>
  <c r="P1436" i="1"/>
  <c r="E1436" i="1"/>
  <c r="S1435" i="1"/>
  <c r="R1435" i="1"/>
  <c r="T1435" i="1" s="1"/>
  <c r="Q1435" i="1"/>
  <c r="E1435" i="1"/>
  <c r="S1434" i="1"/>
  <c r="R1434" i="1"/>
  <c r="T1434" i="1" s="1"/>
  <c r="Q1434" i="1"/>
  <c r="E1434" i="1"/>
  <c r="S1433" i="1"/>
  <c r="R1433" i="1"/>
  <c r="T1433" i="1" s="1"/>
  <c r="Q1433" i="1"/>
  <c r="E1433" i="1"/>
  <c r="S1432" i="1"/>
  <c r="R1432" i="1"/>
  <c r="T1432" i="1" s="1"/>
  <c r="Q1432" i="1"/>
  <c r="E1432" i="1"/>
  <c r="S1431" i="1"/>
  <c r="R1431" i="1"/>
  <c r="T1431" i="1" s="1"/>
  <c r="Q1431" i="1"/>
  <c r="E1431" i="1"/>
  <c r="S1430" i="1"/>
  <c r="R1430" i="1"/>
  <c r="T1430" i="1" s="1"/>
  <c r="Q1430" i="1"/>
  <c r="E1430" i="1"/>
  <c r="S1429" i="1"/>
  <c r="R1429" i="1"/>
  <c r="T1429" i="1" s="1"/>
  <c r="Q1429" i="1"/>
  <c r="E1429" i="1"/>
  <c r="S1428" i="1"/>
  <c r="R1428" i="1"/>
  <c r="T1428" i="1" s="1"/>
  <c r="Q1428" i="1"/>
  <c r="E1428" i="1"/>
  <c r="S1427" i="1"/>
  <c r="R1427" i="1"/>
  <c r="T1427" i="1" s="1"/>
  <c r="Q1427" i="1"/>
  <c r="E1427" i="1"/>
  <c r="S1426" i="1"/>
  <c r="R1426" i="1"/>
  <c r="T1426" i="1" s="1"/>
  <c r="Q1426" i="1"/>
  <c r="E1426" i="1"/>
  <c r="S1425" i="1"/>
  <c r="R1425" i="1"/>
  <c r="T1425" i="1" s="1"/>
  <c r="Q1425" i="1"/>
  <c r="E1425" i="1"/>
  <c r="S1424" i="1"/>
  <c r="R1424" i="1"/>
  <c r="T1424" i="1" s="1"/>
  <c r="Q1424" i="1"/>
  <c r="E1424" i="1"/>
  <c r="S1423" i="1"/>
  <c r="R1423" i="1"/>
  <c r="T1423" i="1" s="1"/>
  <c r="Q1423" i="1"/>
  <c r="E1423" i="1"/>
  <c r="S1422" i="1"/>
  <c r="R1422" i="1"/>
  <c r="T1422" i="1" s="1"/>
  <c r="Q1422" i="1"/>
  <c r="E1422" i="1"/>
  <c r="S1421" i="1"/>
  <c r="R1421" i="1"/>
  <c r="T1421" i="1" s="1"/>
  <c r="Q1421" i="1"/>
  <c r="E1421" i="1"/>
  <c r="S1420" i="1"/>
  <c r="R1420" i="1"/>
  <c r="T1420" i="1" s="1"/>
  <c r="Q1420" i="1"/>
  <c r="E1420" i="1"/>
  <c r="S1419" i="1"/>
  <c r="R1419" i="1"/>
  <c r="T1419" i="1" s="1"/>
  <c r="Q1419" i="1"/>
  <c r="E1419" i="1"/>
  <c r="S1418" i="1"/>
  <c r="R1418" i="1"/>
  <c r="T1418" i="1" s="1"/>
  <c r="Q1418" i="1"/>
  <c r="E1418" i="1"/>
  <c r="S1417" i="1"/>
  <c r="R1417" i="1"/>
  <c r="T1417" i="1" s="1"/>
  <c r="Q1417" i="1"/>
  <c r="E1417" i="1"/>
  <c r="S1416" i="1"/>
  <c r="R1416" i="1"/>
  <c r="T1416" i="1" s="1"/>
  <c r="Q1416" i="1"/>
  <c r="E1416" i="1"/>
  <c r="S1415" i="1"/>
  <c r="R1415" i="1"/>
  <c r="T1415" i="1" s="1"/>
  <c r="Q1415" i="1"/>
  <c r="E1415" i="1"/>
  <c r="S1414" i="1"/>
  <c r="R1414" i="1"/>
  <c r="T1414" i="1" s="1"/>
  <c r="Q1414" i="1"/>
  <c r="E1414" i="1"/>
  <c r="S1413" i="1"/>
  <c r="R1413" i="1"/>
  <c r="T1413" i="1" s="1"/>
  <c r="Q1413" i="1"/>
  <c r="E1413" i="1"/>
  <c r="S1412" i="1"/>
  <c r="R1412" i="1"/>
  <c r="T1412" i="1" s="1"/>
  <c r="Q1412" i="1"/>
  <c r="E1412" i="1"/>
  <c r="S1411" i="1"/>
  <c r="R1411" i="1"/>
  <c r="T1411" i="1" s="1"/>
  <c r="Q1411" i="1"/>
  <c r="E1411" i="1"/>
  <c r="S1410" i="1"/>
  <c r="R1410" i="1"/>
  <c r="T1410" i="1" s="1"/>
  <c r="Q1410" i="1"/>
  <c r="E1410" i="1"/>
  <c r="S1409" i="1"/>
  <c r="R1409" i="1"/>
  <c r="T1409" i="1" s="1"/>
  <c r="Q1409" i="1"/>
  <c r="E1409" i="1"/>
  <c r="S1408" i="1"/>
  <c r="R1408" i="1"/>
  <c r="T1408" i="1" s="1"/>
  <c r="Q1408" i="1"/>
  <c r="E1408" i="1"/>
  <c r="S1407" i="1"/>
  <c r="R1407" i="1"/>
  <c r="T1407" i="1" s="1"/>
  <c r="Q1407" i="1"/>
  <c r="E1407" i="1"/>
  <c r="S1406" i="1"/>
  <c r="R1406" i="1"/>
  <c r="T1406" i="1" s="1"/>
  <c r="Q1406" i="1"/>
  <c r="E1406" i="1"/>
  <c r="S1405" i="1"/>
  <c r="R1405" i="1"/>
  <c r="T1405" i="1" s="1"/>
  <c r="Q1405" i="1"/>
  <c r="E1405" i="1"/>
  <c r="S1404" i="1"/>
  <c r="R1404" i="1"/>
  <c r="T1404" i="1" s="1"/>
  <c r="Q1404" i="1"/>
  <c r="E1404" i="1"/>
  <c r="S1403" i="1"/>
  <c r="Q1403" i="1"/>
  <c r="P1403" i="1"/>
  <c r="R1403" i="1" s="1"/>
  <c r="T1403" i="1" s="1"/>
  <c r="E1403" i="1"/>
  <c r="T1402" i="1"/>
  <c r="R1402" i="1"/>
  <c r="Q1402" i="1"/>
  <c r="S1402" i="1" s="1"/>
  <c r="P1402" i="1"/>
  <c r="E1402" i="1"/>
  <c r="S1401" i="1"/>
  <c r="R1401" i="1"/>
  <c r="T1401" i="1" s="1"/>
  <c r="Q1401" i="1"/>
  <c r="E1401" i="1"/>
  <c r="S1400" i="1"/>
  <c r="R1400" i="1"/>
  <c r="T1400" i="1" s="1"/>
  <c r="Q1400" i="1"/>
  <c r="E1400" i="1"/>
  <c r="S1399" i="1"/>
  <c r="R1399" i="1"/>
  <c r="T1399" i="1" s="1"/>
  <c r="Q1399" i="1"/>
  <c r="E1399" i="1"/>
  <c r="S1398" i="1"/>
  <c r="R1398" i="1"/>
  <c r="T1398" i="1" s="1"/>
  <c r="Q1398" i="1"/>
  <c r="E1398" i="1"/>
  <c r="S1397" i="1"/>
  <c r="R1397" i="1"/>
  <c r="T1397" i="1" s="1"/>
  <c r="Q1397" i="1"/>
  <c r="E1397" i="1"/>
  <c r="S1396" i="1"/>
  <c r="R1396" i="1"/>
  <c r="T1396" i="1" s="1"/>
  <c r="Q1396" i="1"/>
  <c r="E1396" i="1"/>
  <c r="S1395" i="1"/>
  <c r="R1395" i="1"/>
  <c r="T1395" i="1" s="1"/>
  <c r="Q1395" i="1"/>
  <c r="E1395" i="1"/>
  <c r="S1394" i="1"/>
  <c r="R1394" i="1"/>
  <c r="T1394" i="1" s="1"/>
  <c r="Q1394" i="1"/>
  <c r="E1394" i="1"/>
  <c r="S1393" i="1"/>
  <c r="R1393" i="1"/>
  <c r="T1393" i="1" s="1"/>
  <c r="Q1393" i="1"/>
  <c r="P1393" i="1"/>
  <c r="E1393" i="1"/>
  <c r="S1392" i="1"/>
  <c r="Q1392" i="1"/>
  <c r="P1392" i="1"/>
  <c r="R1392" i="1" s="1"/>
  <c r="T1392" i="1" s="1"/>
  <c r="E1392" i="1"/>
  <c r="T1391" i="1"/>
  <c r="R1391" i="1"/>
  <c r="Q1391" i="1"/>
  <c r="S1391" i="1" s="1"/>
  <c r="E1391" i="1"/>
  <c r="T1390" i="1"/>
  <c r="R1390" i="1"/>
  <c r="Q1390" i="1"/>
  <c r="S1390" i="1" s="1"/>
  <c r="E1390" i="1"/>
  <c r="T1389" i="1"/>
  <c r="R1389" i="1"/>
  <c r="Q1389" i="1"/>
  <c r="S1389" i="1" s="1"/>
  <c r="E1389" i="1"/>
  <c r="T1388" i="1"/>
  <c r="R1388" i="1"/>
  <c r="Q1388" i="1"/>
  <c r="S1388" i="1" s="1"/>
  <c r="E1388" i="1"/>
  <c r="T1387" i="1"/>
  <c r="R1387" i="1"/>
  <c r="Q1387" i="1"/>
  <c r="S1387" i="1" s="1"/>
  <c r="E1387" i="1"/>
  <c r="T1386" i="1"/>
  <c r="R1386" i="1"/>
  <c r="Q1386" i="1"/>
  <c r="S1386" i="1" s="1"/>
  <c r="E1386" i="1"/>
  <c r="T1385" i="1"/>
  <c r="R1385" i="1"/>
  <c r="Q1385" i="1"/>
  <c r="S1385" i="1" s="1"/>
  <c r="E1385" i="1"/>
  <c r="T1384" i="1"/>
  <c r="R1384" i="1"/>
  <c r="Q1384" i="1"/>
  <c r="S1384" i="1" s="1"/>
  <c r="E1384" i="1"/>
  <c r="T1383" i="1"/>
  <c r="R1383" i="1"/>
  <c r="Q1383" i="1"/>
  <c r="S1383" i="1" s="1"/>
  <c r="E1383" i="1"/>
  <c r="T1382" i="1"/>
  <c r="R1382" i="1"/>
  <c r="Q1382" i="1"/>
  <c r="S1382" i="1" s="1"/>
  <c r="E1382" i="1"/>
  <c r="T1381" i="1"/>
  <c r="R1381" i="1"/>
  <c r="Q1381" i="1"/>
  <c r="S1381" i="1" s="1"/>
  <c r="E1381" i="1"/>
  <c r="T1380" i="1"/>
  <c r="R1380" i="1"/>
  <c r="Q1380" i="1"/>
  <c r="S1380" i="1" s="1"/>
  <c r="E1380" i="1"/>
  <c r="T1379" i="1"/>
  <c r="R1379" i="1"/>
  <c r="Q1379" i="1"/>
  <c r="S1379" i="1" s="1"/>
  <c r="E1379" i="1"/>
  <c r="T1378" i="1"/>
  <c r="R1378" i="1"/>
  <c r="Q1378" i="1"/>
  <c r="S1378" i="1" s="1"/>
  <c r="E1378" i="1"/>
  <c r="T1377" i="1"/>
  <c r="R1377" i="1"/>
  <c r="Q1377" i="1"/>
  <c r="S1377" i="1" s="1"/>
  <c r="E1377" i="1"/>
  <c r="T1376" i="1"/>
  <c r="R1376" i="1"/>
  <c r="Q1376" i="1"/>
  <c r="S1376" i="1" s="1"/>
  <c r="E1376" i="1"/>
  <c r="T1375" i="1"/>
  <c r="R1375" i="1"/>
  <c r="Q1375" i="1"/>
  <c r="S1375" i="1" s="1"/>
  <c r="E1375" i="1"/>
  <c r="T1374" i="1"/>
  <c r="R1374" i="1"/>
  <c r="Q1374" i="1"/>
  <c r="S1374" i="1" s="1"/>
  <c r="E1374" i="1"/>
  <c r="T1373" i="1"/>
  <c r="R1373" i="1"/>
  <c r="Q1373" i="1"/>
  <c r="S1373" i="1" s="1"/>
  <c r="E1373" i="1"/>
  <c r="T1372" i="1"/>
  <c r="R1372" i="1"/>
  <c r="Q1372" i="1"/>
  <c r="S1372" i="1" s="1"/>
  <c r="E1372" i="1"/>
  <c r="T1371" i="1"/>
  <c r="R1371" i="1"/>
  <c r="Q1371" i="1"/>
  <c r="S1371" i="1" s="1"/>
  <c r="E1371" i="1"/>
  <c r="T1370" i="1"/>
  <c r="R1370" i="1"/>
  <c r="Q1370" i="1"/>
  <c r="S1370" i="1" s="1"/>
  <c r="E1370" i="1"/>
  <c r="T1369" i="1"/>
  <c r="R1369" i="1"/>
  <c r="Q1369" i="1"/>
  <c r="S1369" i="1" s="1"/>
  <c r="E1369" i="1"/>
  <c r="T1368" i="1"/>
  <c r="R1368" i="1"/>
  <c r="Q1368" i="1"/>
  <c r="S1368" i="1" s="1"/>
  <c r="E1368" i="1"/>
  <c r="T1367" i="1"/>
  <c r="R1367" i="1"/>
  <c r="Q1367" i="1"/>
  <c r="S1367" i="1" s="1"/>
  <c r="E1367" i="1"/>
  <c r="T1366" i="1"/>
  <c r="R1366" i="1"/>
  <c r="Q1366" i="1"/>
  <c r="S1366" i="1" s="1"/>
  <c r="E1366" i="1"/>
  <c r="T1365" i="1"/>
  <c r="R1365" i="1"/>
  <c r="Q1365" i="1"/>
  <c r="S1365" i="1" s="1"/>
  <c r="E1365" i="1"/>
  <c r="T1364" i="1"/>
  <c r="R1364" i="1"/>
  <c r="Q1364" i="1"/>
  <c r="S1364" i="1" s="1"/>
  <c r="E1364" i="1"/>
  <c r="T1363" i="1"/>
  <c r="R1363" i="1"/>
  <c r="Q1363" i="1"/>
  <c r="S1363" i="1" s="1"/>
  <c r="E1363" i="1"/>
  <c r="T1362" i="1"/>
  <c r="R1362" i="1"/>
  <c r="Q1362" i="1"/>
  <c r="S1362" i="1" s="1"/>
  <c r="E1362" i="1"/>
  <c r="T1361" i="1"/>
  <c r="R1361" i="1"/>
  <c r="Q1361" i="1"/>
  <c r="S1361" i="1" s="1"/>
  <c r="E1361" i="1"/>
  <c r="T1360" i="1"/>
  <c r="R1360" i="1"/>
  <c r="Q1360" i="1"/>
  <c r="S1360" i="1" s="1"/>
  <c r="E1360" i="1"/>
  <c r="T1359" i="1"/>
  <c r="R1359" i="1"/>
  <c r="Q1359" i="1"/>
  <c r="S1359" i="1" s="1"/>
  <c r="E1359" i="1"/>
  <c r="T1358" i="1"/>
  <c r="R1358" i="1"/>
  <c r="Q1358" i="1"/>
  <c r="S1358" i="1" s="1"/>
  <c r="E1358" i="1"/>
  <c r="T1357" i="1"/>
  <c r="R1357" i="1"/>
  <c r="Q1357" i="1"/>
  <c r="S1357" i="1" s="1"/>
  <c r="E1357" i="1"/>
  <c r="T1356" i="1"/>
  <c r="R1356" i="1"/>
  <c r="Q1356" i="1"/>
  <c r="S1356" i="1" s="1"/>
  <c r="E1356" i="1"/>
  <c r="R1355" i="1"/>
  <c r="T1355" i="1" s="1"/>
  <c r="Q1355" i="1"/>
  <c r="S1355" i="1" s="1"/>
  <c r="E1355" i="1"/>
  <c r="R1354" i="1"/>
  <c r="T1354" i="1" s="1"/>
  <c r="Q1354" i="1"/>
  <c r="S1354" i="1" s="1"/>
  <c r="E1354" i="1"/>
  <c r="T1353" i="1"/>
  <c r="R1353" i="1"/>
  <c r="Q1353" i="1"/>
  <c r="S1353" i="1" s="1"/>
  <c r="E1353" i="1"/>
  <c r="R1352" i="1"/>
  <c r="T1352" i="1" s="1"/>
  <c r="Q1352" i="1"/>
  <c r="S1352" i="1" s="1"/>
  <c r="E1352" i="1"/>
  <c r="R1351" i="1"/>
  <c r="T1351" i="1" s="1"/>
  <c r="Q1351" i="1"/>
  <c r="S1351" i="1" s="1"/>
  <c r="E1351" i="1"/>
  <c r="T1350" i="1"/>
  <c r="R1350" i="1"/>
  <c r="Q1350" i="1"/>
  <c r="S1350" i="1" s="1"/>
  <c r="E1350" i="1"/>
  <c r="R1349" i="1"/>
  <c r="T1349" i="1" s="1"/>
  <c r="Q1349" i="1"/>
  <c r="S1349" i="1" s="1"/>
  <c r="E1349" i="1"/>
  <c r="R1348" i="1"/>
  <c r="T1348" i="1" s="1"/>
  <c r="Q1348" i="1"/>
  <c r="S1348" i="1" s="1"/>
  <c r="E1348" i="1"/>
  <c r="T1347" i="1"/>
  <c r="R1347" i="1"/>
  <c r="Q1347" i="1"/>
  <c r="S1347" i="1" s="1"/>
  <c r="E1347" i="1"/>
  <c r="R1346" i="1"/>
  <c r="T1346" i="1" s="1"/>
  <c r="Q1346" i="1"/>
  <c r="S1346" i="1" s="1"/>
  <c r="E1346" i="1"/>
  <c r="R1345" i="1"/>
  <c r="T1345" i="1" s="1"/>
  <c r="Q1345" i="1"/>
  <c r="S1345" i="1" s="1"/>
  <c r="E1345" i="1"/>
  <c r="T1344" i="1"/>
  <c r="R1344" i="1"/>
  <c r="Q1344" i="1"/>
  <c r="S1344" i="1" s="1"/>
  <c r="E1344" i="1"/>
  <c r="T1343" i="1"/>
  <c r="S1343" i="1"/>
  <c r="R1343" i="1"/>
  <c r="Q1343" i="1"/>
  <c r="E1343" i="1"/>
  <c r="T1342" i="1"/>
  <c r="S1342" i="1"/>
  <c r="R1342" i="1"/>
  <c r="Q1342" i="1"/>
  <c r="E1342" i="1"/>
  <c r="T1341" i="1"/>
  <c r="S1341" i="1"/>
  <c r="R1341" i="1"/>
  <c r="Q1341" i="1"/>
  <c r="E1341" i="1"/>
  <c r="T1340" i="1"/>
  <c r="S1340" i="1"/>
  <c r="R1340" i="1"/>
  <c r="Q1340" i="1"/>
  <c r="E1340" i="1"/>
  <c r="T1339" i="1"/>
  <c r="S1339" i="1"/>
  <c r="R1339" i="1"/>
  <c r="Q1339" i="1"/>
  <c r="E1339" i="1"/>
  <c r="T1338" i="1"/>
  <c r="S1338" i="1"/>
  <c r="R1338" i="1"/>
  <c r="Q1338" i="1"/>
  <c r="E1338" i="1"/>
  <c r="T1337" i="1"/>
  <c r="S1337" i="1"/>
  <c r="R1337" i="1"/>
  <c r="Q1337" i="1"/>
  <c r="E1337" i="1"/>
  <c r="T1336" i="1"/>
  <c r="S1336" i="1"/>
  <c r="R1336" i="1"/>
  <c r="Q1336" i="1"/>
  <c r="E1336" i="1"/>
  <c r="T1335" i="1"/>
  <c r="S1335" i="1"/>
  <c r="R1335" i="1"/>
  <c r="Q1335" i="1"/>
  <c r="E1335" i="1"/>
  <c r="T1334" i="1"/>
  <c r="S1334" i="1"/>
  <c r="R1334" i="1"/>
  <c r="Q1334" i="1"/>
  <c r="E1334" i="1"/>
  <c r="T1333" i="1"/>
  <c r="S1333" i="1"/>
  <c r="R1333" i="1"/>
  <c r="Q1333" i="1"/>
  <c r="E1333" i="1"/>
  <c r="T1332" i="1"/>
  <c r="S1332" i="1"/>
  <c r="R1332" i="1"/>
  <c r="Q1332" i="1"/>
  <c r="E1332" i="1"/>
  <c r="T1331" i="1"/>
  <c r="S1331" i="1"/>
  <c r="R1331" i="1"/>
  <c r="Q1331" i="1"/>
  <c r="E1331" i="1"/>
  <c r="T1330" i="1"/>
  <c r="S1330" i="1"/>
  <c r="R1330" i="1"/>
  <c r="Q1330" i="1"/>
  <c r="E1330" i="1"/>
  <c r="T1329" i="1"/>
  <c r="S1329" i="1"/>
  <c r="R1329" i="1"/>
  <c r="Q1329" i="1"/>
  <c r="E1329" i="1"/>
  <c r="T1328" i="1"/>
  <c r="S1328" i="1"/>
  <c r="R1328" i="1"/>
  <c r="Q1328" i="1"/>
  <c r="E1328" i="1"/>
  <c r="T1327" i="1"/>
  <c r="S1327" i="1"/>
  <c r="R1327" i="1"/>
  <c r="Q1327" i="1"/>
  <c r="E1327" i="1"/>
  <c r="T1326" i="1"/>
  <c r="S1326" i="1"/>
  <c r="R1326" i="1"/>
  <c r="Q1326" i="1"/>
  <c r="E1326" i="1"/>
  <c r="T1325" i="1"/>
  <c r="S1325" i="1"/>
  <c r="R1325" i="1"/>
  <c r="Q1325" i="1"/>
  <c r="E1325" i="1"/>
  <c r="T1324" i="1"/>
  <c r="S1324" i="1"/>
  <c r="R1324" i="1"/>
  <c r="Q1324" i="1"/>
  <c r="E1324" i="1"/>
  <c r="T1323" i="1"/>
  <c r="S1323" i="1"/>
  <c r="R1323" i="1"/>
  <c r="Q1323" i="1"/>
  <c r="E1323" i="1"/>
  <c r="T1322" i="1"/>
  <c r="S1322" i="1"/>
  <c r="R1322" i="1"/>
  <c r="Q1322" i="1"/>
  <c r="E1322" i="1"/>
  <c r="T1321" i="1"/>
  <c r="S1321" i="1"/>
  <c r="R1321" i="1"/>
  <c r="Q1321" i="1"/>
  <c r="E1321" i="1"/>
  <c r="T1320" i="1"/>
  <c r="S1320" i="1"/>
  <c r="R1320" i="1"/>
  <c r="Q1320" i="1"/>
  <c r="E1320" i="1"/>
  <c r="T1319" i="1"/>
  <c r="S1319" i="1"/>
  <c r="R1319" i="1"/>
  <c r="Q1319" i="1"/>
  <c r="E1319" i="1"/>
  <c r="T1318" i="1"/>
  <c r="S1318" i="1"/>
  <c r="R1318" i="1"/>
  <c r="Q1318" i="1"/>
  <c r="E1318" i="1"/>
  <c r="T1317" i="1"/>
  <c r="S1317" i="1"/>
  <c r="R1317" i="1"/>
  <c r="Q1317" i="1"/>
  <c r="E1317" i="1"/>
  <c r="T1316" i="1"/>
  <c r="S1316" i="1"/>
  <c r="R1316" i="1"/>
  <c r="Q1316" i="1"/>
  <c r="E1316" i="1"/>
  <c r="T1315" i="1"/>
  <c r="S1315" i="1"/>
  <c r="R1315" i="1"/>
  <c r="Q1315" i="1"/>
  <c r="E1315" i="1"/>
  <c r="T1314" i="1"/>
  <c r="S1314" i="1"/>
  <c r="R1314" i="1"/>
  <c r="Q1314" i="1"/>
  <c r="E1314" i="1"/>
  <c r="T1313" i="1"/>
  <c r="S1313" i="1"/>
  <c r="R1313" i="1"/>
  <c r="Q1313" i="1"/>
  <c r="E1313" i="1"/>
  <c r="T1312" i="1"/>
  <c r="S1312" i="1"/>
  <c r="R1312" i="1"/>
  <c r="Q1312" i="1"/>
  <c r="E1312" i="1"/>
  <c r="T1311" i="1"/>
  <c r="S1311" i="1"/>
  <c r="R1311" i="1"/>
  <c r="Q1311" i="1"/>
  <c r="E1311" i="1"/>
  <c r="T1310" i="1"/>
  <c r="S1310" i="1"/>
  <c r="R1310" i="1"/>
  <c r="Q1310" i="1"/>
  <c r="E1310" i="1"/>
  <c r="T1309" i="1"/>
  <c r="S1309" i="1"/>
  <c r="R1309" i="1"/>
  <c r="Q1309" i="1"/>
  <c r="E1309" i="1"/>
  <c r="T1308" i="1"/>
  <c r="S1308" i="1"/>
  <c r="R1308" i="1"/>
  <c r="Q1308" i="1"/>
  <c r="E1308" i="1"/>
  <c r="T1307" i="1"/>
  <c r="S1307" i="1"/>
  <c r="R1307" i="1"/>
  <c r="Q1307" i="1"/>
  <c r="E1307" i="1"/>
  <c r="T1306" i="1"/>
  <c r="S1306" i="1"/>
  <c r="R1306" i="1"/>
  <c r="Q1306" i="1"/>
  <c r="E1306" i="1"/>
  <c r="T1305" i="1"/>
  <c r="S1305" i="1"/>
  <c r="R1305" i="1"/>
  <c r="Q1305" i="1"/>
  <c r="E1305" i="1"/>
  <c r="T1304" i="1"/>
  <c r="S1304" i="1"/>
  <c r="R1304" i="1"/>
  <c r="Q1304" i="1"/>
  <c r="E1304" i="1"/>
  <c r="T1303" i="1"/>
  <c r="S1303" i="1"/>
  <c r="R1303" i="1"/>
  <c r="Q1303" i="1"/>
  <c r="E1303" i="1"/>
  <c r="T1302" i="1"/>
  <c r="S1302" i="1"/>
  <c r="R1302" i="1"/>
  <c r="Q1302" i="1"/>
  <c r="E1302" i="1"/>
  <c r="T1301" i="1"/>
  <c r="S1301" i="1"/>
  <c r="R1301" i="1"/>
  <c r="Q1301" i="1"/>
  <c r="E1301" i="1"/>
  <c r="T1300" i="1"/>
  <c r="S1300" i="1"/>
  <c r="R1300" i="1"/>
  <c r="Q1300" i="1"/>
  <c r="E1300" i="1"/>
  <c r="T1299" i="1"/>
  <c r="S1299" i="1"/>
  <c r="R1299" i="1"/>
  <c r="Q1299" i="1"/>
  <c r="E1299" i="1"/>
  <c r="T1298" i="1"/>
  <c r="S1298" i="1"/>
  <c r="R1298" i="1"/>
  <c r="Q1298" i="1"/>
  <c r="E1298" i="1"/>
  <c r="T1297" i="1"/>
  <c r="S1297" i="1"/>
  <c r="R1297" i="1"/>
  <c r="Q1297" i="1"/>
  <c r="E1297" i="1"/>
  <c r="T1296" i="1"/>
  <c r="S1296" i="1"/>
  <c r="R1296" i="1"/>
  <c r="Q1296" i="1"/>
  <c r="E1296" i="1"/>
  <c r="T1295" i="1"/>
  <c r="S1295" i="1"/>
  <c r="R1295" i="1"/>
  <c r="Q1295" i="1"/>
  <c r="E1295" i="1"/>
  <c r="T1294" i="1"/>
  <c r="S1294" i="1"/>
  <c r="R1294" i="1"/>
  <c r="Q1294" i="1"/>
  <c r="E1294" i="1"/>
  <c r="T1293" i="1"/>
  <c r="S1293" i="1"/>
  <c r="R1293" i="1"/>
  <c r="Q1293" i="1"/>
  <c r="E1293" i="1"/>
  <c r="T1292" i="1"/>
  <c r="S1292" i="1"/>
  <c r="R1292" i="1"/>
  <c r="Q1292" i="1"/>
  <c r="E1292" i="1"/>
  <c r="T1291" i="1"/>
  <c r="S1291" i="1"/>
  <c r="R1291" i="1"/>
  <c r="Q1291" i="1"/>
  <c r="E1291" i="1"/>
  <c r="T1290" i="1"/>
  <c r="S1290" i="1"/>
  <c r="R1290" i="1"/>
  <c r="Q1290" i="1"/>
  <c r="E1290" i="1"/>
  <c r="T1289" i="1"/>
  <c r="S1289" i="1"/>
  <c r="R1289" i="1"/>
  <c r="Q1289" i="1"/>
  <c r="E1289" i="1"/>
  <c r="T1288" i="1"/>
  <c r="S1288" i="1"/>
  <c r="R1288" i="1"/>
  <c r="Q1288" i="1"/>
  <c r="E1288" i="1"/>
  <c r="T1287" i="1"/>
  <c r="S1287" i="1"/>
  <c r="R1287" i="1"/>
  <c r="Q1287" i="1"/>
  <c r="E1287" i="1"/>
  <c r="T1286" i="1"/>
  <c r="S1286" i="1"/>
  <c r="R1286" i="1"/>
  <c r="Q1286" i="1"/>
  <c r="E1286" i="1"/>
  <c r="T1285" i="1"/>
  <c r="S1285" i="1"/>
  <c r="R1285" i="1"/>
  <c r="Q1285" i="1"/>
  <c r="E1285" i="1"/>
  <c r="T1284" i="1"/>
  <c r="S1284" i="1"/>
  <c r="R1284" i="1"/>
  <c r="Q1284" i="1"/>
  <c r="E1284" i="1"/>
  <c r="T1283" i="1"/>
  <c r="S1283" i="1"/>
  <c r="R1283" i="1"/>
  <c r="Q1283" i="1"/>
  <c r="E1283" i="1"/>
  <c r="T1282" i="1"/>
  <c r="S1282" i="1"/>
  <c r="R1282" i="1"/>
  <c r="Q1282" i="1"/>
  <c r="E1282" i="1"/>
  <c r="T1281" i="1"/>
  <c r="S1281" i="1"/>
  <c r="R1281" i="1"/>
  <c r="Q1281" i="1"/>
  <c r="E1281" i="1"/>
  <c r="T1280" i="1"/>
  <c r="S1280" i="1"/>
  <c r="R1280" i="1"/>
  <c r="Q1280" i="1"/>
  <c r="E1280" i="1"/>
  <c r="T1279" i="1"/>
  <c r="S1279" i="1"/>
  <c r="R1279" i="1"/>
  <c r="Q1279" i="1"/>
  <c r="E1279" i="1"/>
  <c r="T1278" i="1"/>
  <c r="S1278" i="1"/>
  <c r="R1278" i="1"/>
  <c r="Q1278" i="1"/>
  <c r="E1278" i="1"/>
  <c r="T1277" i="1"/>
  <c r="S1277" i="1"/>
  <c r="R1277" i="1"/>
  <c r="Q1277" i="1"/>
  <c r="E1277" i="1"/>
  <c r="T1276" i="1"/>
  <c r="S1276" i="1"/>
  <c r="R1276" i="1"/>
  <c r="Q1276" i="1"/>
  <c r="E1276" i="1"/>
  <c r="T1275" i="1"/>
  <c r="S1275" i="1"/>
  <c r="R1275" i="1"/>
  <c r="Q1275" i="1"/>
  <c r="E1275" i="1"/>
  <c r="T1274" i="1"/>
  <c r="S1274" i="1"/>
  <c r="R1274" i="1"/>
  <c r="Q1274" i="1"/>
  <c r="E1274" i="1"/>
  <c r="T1273" i="1"/>
  <c r="S1273" i="1"/>
  <c r="R1273" i="1"/>
  <c r="Q1273" i="1"/>
  <c r="E1273" i="1"/>
  <c r="T1272" i="1"/>
  <c r="S1272" i="1"/>
  <c r="R1272" i="1"/>
  <c r="Q1272" i="1"/>
  <c r="E1272" i="1"/>
  <c r="T1271" i="1"/>
  <c r="S1271" i="1"/>
  <c r="R1271" i="1"/>
  <c r="Q1271" i="1"/>
  <c r="E1271" i="1"/>
  <c r="T1270" i="1"/>
  <c r="S1270" i="1"/>
  <c r="R1270" i="1"/>
  <c r="Q1270" i="1"/>
  <c r="E1270" i="1"/>
  <c r="T1269" i="1"/>
  <c r="S1269" i="1"/>
  <c r="R1269" i="1"/>
  <c r="Q1269" i="1"/>
  <c r="E1269" i="1"/>
  <c r="T1268" i="1"/>
  <c r="S1268" i="1"/>
  <c r="R1268" i="1"/>
  <c r="Q1268" i="1"/>
  <c r="E1268" i="1"/>
  <c r="T1267" i="1"/>
  <c r="S1267" i="1"/>
  <c r="R1267" i="1"/>
  <c r="Q1267" i="1"/>
  <c r="E1267" i="1"/>
  <c r="T1266" i="1"/>
  <c r="R1266" i="1"/>
  <c r="Q1266" i="1"/>
  <c r="S1266" i="1" s="1"/>
  <c r="E1266" i="1"/>
  <c r="T1265" i="1"/>
  <c r="R1265" i="1"/>
  <c r="Q1265" i="1"/>
  <c r="S1265" i="1" s="1"/>
  <c r="E1265" i="1"/>
  <c r="T1264" i="1"/>
  <c r="R1264" i="1"/>
  <c r="Q1264" i="1"/>
  <c r="S1264" i="1" s="1"/>
  <c r="E1264" i="1"/>
  <c r="T1263" i="1"/>
  <c r="R1263" i="1"/>
  <c r="Q1263" i="1"/>
  <c r="S1263" i="1" s="1"/>
  <c r="E1263" i="1"/>
  <c r="T1262" i="1"/>
  <c r="R1262" i="1"/>
  <c r="Q1262" i="1"/>
  <c r="S1262" i="1" s="1"/>
  <c r="E1262" i="1"/>
  <c r="T1261" i="1"/>
  <c r="R1261" i="1"/>
  <c r="Q1261" i="1"/>
  <c r="S1261" i="1" s="1"/>
  <c r="E1261" i="1"/>
  <c r="T1260" i="1"/>
  <c r="R1260" i="1"/>
  <c r="Q1260" i="1"/>
  <c r="S1260" i="1" s="1"/>
  <c r="E1260" i="1"/>
  <c r="T1259" i="1"/>
  <c r="R1259" i="1"/>
  <c r="Q1259" i="1"/>
  <c r="S1259" i="1" s="1"/>
  <c r="E1259" i="1"/>
  <c r="T1258" i="1"/>
  <c r="R1258" i="1"/>
  <c r="Q1258" i="1"/>
  <c r="S1258" i="1" s="1"/>
  <c r="E1258" i="1"/>
  <c r="T1257" i="1"/>
  <c r="R1257" i="1"/>
  <c r="Q1257" i="1"/>
  <c r="S1257" i="1" s="1"/>
  <c r="E1257" i="1"/>
  <c r="T1256" i="1"/>
  <c r="R1256" i="1"/>
  <c r="Q1256" i="1"/>
  <c r="S1256" i="1" s="1"/>
  <c r="E1256" i="1"/>
  <c r="T1255" i="1"/>
  <c r="R1255" i="1"/>
  <c r="Q1255" i="1"/>
  <c r="S1255" i="1" s="1"/>
  <c r="E1255" i="1"/>
  <c r="T1254" i="1"/>
  <c r="R1254" i="1"/>
  <c r="Q1254" i="1"/>
  <c r="S1254" i="1" s="1"/>
  <c r="E1254" i="1"/>
  <c r="T1253" i="1"/>
  <c r="R1253" i="1"/>
  <c r="Q1253" i="1"/>
  <c r="S1253" i="1" s="1"/>
  <c r="E1253" i="1"/>
  <c r="T1252" i="1"/>
  <c r="R1252" i="1"/>
  <c r="Q1252" i="1"/>
  <c r="S1252" i="1" s="1"/>
  <c r="E1252" i="1"/>
  <c r="T1251" i="1"/>
  <c r="R1251" i="1"/>
  <c r="Q1251" i="1"/>
  <c r="S1251" i="1" s="1"/>
  <c r="E1251" i="1"/>
  <c r="T1250" i="1"/>
  <c r="R1250" i="1"/>
  <c r="Q1250" i="1"/>
  <c r="S1250" i="1" s="1"/>
  <c r="E1250" i="1"/>
  <c r="T1249" i="1"/>
  <c r="R1249" i="1"/>
  <c r="Q1249" i="1"/>
  <c r="S1249" i="1" s="1"/>
  <c r="E1249" i="1"/>
  <c r="T1248" i="1"/>
  <c r="R1248" i="1"/>
  <c r="Q1248" i="1"/>
  <c r="S1248" i="1" s="1"/>
  <c r="E1248" i="1"/>
  <c r="T1247" i="1"/>
  <c r="R1247" i="1"/>
  <c r="Q1247" i="1"/>
  <c r="S1247" i="1" s="1"/>
  <c r="E1247" i="1"/>
  <c r="T1246" i="1"/>
  <c r="R1246" i="1"/>
  <c r="Q1246" i="1"/>
  <c r="S1246" i="1" s="1"/>
  <c r="E1246" i="1"/>
  <c r="T1245" i="1"/>
  <c r="R1245" i="1"/>
  <c r="Q1245" i="1"/>
  <c r="S1245" i="1" s="1"/>
  <c r="E1245" i="1"/>
  <c r="T1244" i="1"/>
  <c r="R1244" i="1"/>
  <c r="Q1244" i="1"/>
  <c r="S1244" i="1" s="1"/>
  <c r="E1244" i="1"/>
  <c r="T1243" i="1"/>
  <c r="R1243" i="1"/>
  <c r="Q1243" i="1"/>
  <c r="S1243" i="1" s="1"/>
  <c r="E1243" i="1"/>
  <c r="T1242" i="1"/>
  <c r="R1242" i="1"/>
  <c r="Q1242" i="1"/>
  <c r="S1242" i="1" s="1"/>
  <c r="E1242" i="1"/>
  <c r="T1241" i="1"/>
  <c r="R1241" i="1"/>
  <c r="Q1241" i="1"/>
  <c r="S1241" i="1" s="1"/>
  <c r="E1241" i="1"/>
  <c r="T1240" i="1"/>
  <c r="R1240" i="1"/>
  <c r="Q1240" i="1"/>
  <c r="S1240" i="1" s="1"/>
  <c r="E1240" i="1"/>
  <c r="T1239" i="1"/>
  <c r="R1239" i="1"/>
  <c r="Q1239" i="1"/>
  <c r="S1239" i="1" s="1"/>
  <c r="E1239" i="1"/>
  <c r="T1238" i="1"/>
  <c r="R1238" i="1"/>
  <c r="Q1238" i="1"/>
  <c r="S1238" i="1" s="1"/>
  <c r="E1238" i="1"/>
  <c r="T1237" i="1"/>
  <c r="R1237" i="1"/>
  <c r="Q1237" i="1"/>
  <c r="S1237" i="1" s="1"/>
  <c r="E1237" i="1"/>
  <c r="T1236" i="1"/>
  <c r="R1236" i="1"/>
  <c r="Q1236" i="1"/>
  <c r="S1236" i="1" s="1"/>
  <c r="E1236" i="1"/>
  <c r="T1235" i="1"/>
  <c r="R1235" i="1"/>
  <c r="Q1235" i="1"/>
  <c r="S1235" i="1" s="1"/>
  <c r="E1235" i="1"/>
  <c r="T1234" i="1"/>
  <c r="R1234" i="1"/>
  <c r="Q1234" i="1"/>
  <c r="S1234" i="1" s="1"/>
  <c r="E1234" i="1"/>
  <c r="T1233" i="1"/>
  <c r="R1233" i="1"/>
  <c r="Q1233" i="1"/>
  <c r="S1233" i="1" s="1"/>
  <c r="E1233" i="1"/>
  <c r="T1232" i="1"/>
  <c r="R1232" i="1"/>
  <c r="Q1232" i="1"/>
  <c r="S1232" i="1" s="1"/>
  <c r="E1232" i="1"/>
  <c r="T1231" i="1"/>
  <c r="R1231" i="1"/>
  <c r="Q1231" i="1"/>
  <c r="S1231" i="1" s="1"/>
  <c r="E1231" i="1"/>
  <c r="T1230" i="1"/>
  <c r="R1230" i="1"/>
  <c r="Q1230" i="1"/>
  <c r="S1230" i="1" s="1"/>
  <c r="E1230" i="1"/>
  <c r="T1229" i="1"/>
  <c r="R1229" i="1"/>
  <c r="Q1229" i="1"/>
  <c r="S1229" i="1" s="1"/>
  <c r="E1229" i="1"/>
  <c r="R1228" i="1"/>
  <c r="T1228" i="1" s="1"/>
  <c r="Q1228" i="1"/>
  <c r="S1228" i="1" s="1"/>
  <c r="E1228" i="1"/>
  <c r="R1227" i="1"/>
  <c r="T1227" i="1" s="1"/>
  <c r="Q1227" i="1"/>
  <c r="S1227" i="1" s="1"/>
  <c r="E1227" i="1"/>
  <c r="R1226" i="1"/>
  <c r="T1226" i="1" s="1"/>
  <c r="Q1226" i="1"/>
  <c r="S1226" i="1" s="1"/>
  <c r="E1226" i="1"/>
  <c r="R1225" i="1"/>
  <c r="T1225" i="1" s="1"/>
  <c r="Q1225" i="1"/>
  <c r="S1225" i="1" s="1"/>
  <c r="E1225" i="1"/>
  <c r="R1224" i="1"/>
  <c r="T1224" i="1" s="1"/>
  <c r="Q1224" i="1"/>
  <c r="S1224" i="1" s="1"/>
  <c r="E1224" i="1"/>
  <c r="R1223" i="1"/>
  <c r="T1223" i="1" s="1"/>
  <c r="Q1223" i="1"/>
  <c r="S1223" i="1" s="1"/>
  <c r="E1223" i="1"/>
  <c r="R1222" i="1"/>
  <c r="T1222" i="1" s="1"/>
  <c r="Q1222" i="1"/>
  <c r="S1222" i="1" s="1"/>
  <c r="E1222" i="1"/>
  <c r="R1221" i="1"/>
  <c r="T1221" i="1" s="1"/>
  <c r="Q1221" i="1"/>
  <c r="S1221" i="1" s="1"/>
  <c r="E1221" i="1"/>
  <c r="R1220" i="1"/>
  <c r="T1220" i="1" s="1"/>
  <c r="Q1220" i="1"/>
  <c r="S1220" i="1" s="1"/>
  <c r="E1220" i="1"/>
  <c r="R1219" i="1"/>
  <c r="T1219" i="1" s="1"/>
  <c r="Q1219" i="1"/>
  <c r="S1219" i="1" s="1"/>
  <c r="E1219" i="1"/>
  <c r="R1218" i="1"/>
  <c r="T1218" i="1" s="1"/>
  <c r="Q1218" i="1"/>
  <c r="S1218" i="1" s="1"/>
  <c r="E1218" i="1"/>
  <c r="R1217" i="1"/>
  <c r="T1217" i="1" s="1"/>
  <c r="Q1217" i="1"/>
  <c r="S1217" i="1" s="1"/>
  <c r="E1217" i="1"/>
  <c r="R1216" i="1"/>
  <c r="T1216" i="1" s="1"/>
  <c r="Q1216" i="1"/>
  <c r="S1216" i="1" s="1"/>
  <c r="E1216" i="1"/>
  <c r="R1215" i="1"/>
  <c r="T1215" i="1" s="1"/>
  <c r="Q1215" i="1"/>
  <c r="S1215" i="1" s="1"/>
  <c r="E1215" i="1"/>
  <c r="R1214" i="1"/>
  <c r="T1214" i="1" s="1"/>
  <c r="Q1214" i="1"/>
  <c r="S1214" i="1" s="1"/>
  <c r="E1214" i="1"/>
  <c r="R1213" i="1"/>
  <c r="T1213" i="1" s="1"/>
  <c r="Q1213" i="1"/>
  <c r="S1213" i="1" s="1"/>
  <c r="E1213" i="1"/>
  <c r="R1212" i="1"/>
  <c r="T1212" i="1" s="1"/>
  <c r="Q1212" i="1"/>
  <c r="S1212" i="1" s="1"/>
  <c r="E1212" i="1"/>
  <c r="R1211" i="1"/>
  <c r="T1211" i="1" s="1"/>
  <c r="Q1211" i="1"/>
  <c r="S1211" i="1" s="1"/>
  <c r="E1211" i="1"/>
  <c r="T1210" i="1"/>
  <c r="R1210" i="1"/>
  <c r="Q1210" i="1"/>
  <c r="S1210" i="1" s="1"/>
  <c r="E1210" i="1"/>
  <c r="R1209" i="1"/>
  <c r="T1209" i="1" s="1"/>
  <c r="Q1209" i="1"/>
  <c r="S1209" i="1" s="1"/>
  <c r="E1209" i="1"/>
  <c r="R1208" i="1"/>
  <c r="T1208" i="1" s="1"/>
  <c r="Q1208" i="1"/>
  <c r="S1208" i="1" s="1"/>
  <c r="E1208" i="1"/>
  <c r="T1207" i="1"/>
  <c r="R1207" i="1"/>
  <c r="Q1207" i="1"/>
  <c r="S1207" i="1" s="1"/>
  <c r="E1207" i="1"/>
  <c r="R1206" i="1"/>
  <c r="T1206" i="1" s="1"/>
  <c r="Q1206" i="1"/>
  <c r="S1206" i="1" s="1"/>
  <c r="E1206" i="1"/>
  <c r="R1205" i="1"/>
  <c r="T1205" i="1" s="1"/>
  <c r="Q1205" i="1"/>
  <c r="S1205" i="1" s="1"/>
  <c r="E1205" i="1"/>
  <c r="T1204" i="1"/>
  <c r="R1204" i="1"/>
  <c r="Q1204" i="1"/>
  <c r="S1204" i="1" s="1"/>
  <c r="E1204" i="1"/>
  <c r="R1203" i="1"/>
  <c r="T1203" i="1" s="1"/>
  <c r="Q1203" i="1"/>
  <c r="S1203" i="1" s="1"/>
  <c r="E1203" i="1"/>
  <c r="R1202" i="1"/>
  <c r="T1202" i="1" s="1"/>
  <c r="Q1202" i="1"/>
  <c r="S1202" i="1" s="1"/>
  <c r="E1202" i="1"/>
  <c r="T1201" i="1"/>
  <c r="R1201" i="1"/>
  <c r="Q1201" i="1"/>
  <c r="S1201" i="1" s="1"/>
  <c r="E1201" i="1"/>
  <c r="R1200" i="1"/>
  <c r="T1200" i="1" s="1"/>
  <c r="Q1200" i="1"/>
  <c r="S1200" i="1" s="1"/>
  <c r="E1200" i="1"/>
  <c r="R1199" i="1"/>
  <c r="T1199" i="1" s="1"/>
  <c r="Q1199" i="1"/>
  <c r="S1199" i="1" s="1"/>
  <c r="E1199" i="1"/>
  <c r="T1198" i="1"/>
  <c r="R1198" i="1"/>
  <c r="Q1198" i="1"/>
  <c r="S1198" i="1" s="1"/>
  <c r="E1198" i="1"/>
  <c r="R1197" i="1"/>
  <c r="T1197" i="1" s="1"/>
  <c r="Q1197" i="1"/>
  <c r="S1197" i="1" s="1"/>
  <c r="E1197" i="1"/>
  <c r="R1196" i="1"/>
  <c r="T1196" i="1" s="1"/>
  <c r="Q1196" i="1"/>
  <c r="S1196" i="1" s="1"/>
  <c r="E1196" i="1"/>
  <c r="T1195" i="1"/>
  <c r="R1195" i="1"/>
  <c r="Q1195" i="1"/>
  <c r="S1195" i="1" s="1"/>
  <c r="E1195" i="1"/>
  <c r="R1194" i="1"/>
  <c r="T1194" i="1" s="1"/>
  <c r="Q1194" i="1"/>
  <c r="S1194" i="1" s="1"/>
  <c r="E1194" i="1"/>
  <c r="R1193" i="1"/>
  <c r="T1193" i="1" s="1"/>
  <c r="Q1193" i="1"/>
  <c r="S1193" i="1" s="1"/>
  <c r="E1193" i="1"/>
  <c r="T1192" i="1"/>
  <c r="R1192" i="1"/>
  <c r="Q1192" i="1"/>
  <c r="S1192" i="1" s="1"/>
  <c r="E1192" i="1"/>
  <c r="R1191" i="1"/>
  <c r="T1191" i="1" s="1"/>
  <c r="Q1191" i="1"/>
  <c r="S1191" i="1" s="1"/>
  <c r="E1191" i="1"/>
  <c r="R1190" i="1"/>
  <c r="T1190" i="1" s="1"/>
  <c r="Q1190" i="1"/>
  <c r="S1190" i="1" s="1"/>
  <c r="E1190" i="1"/>
  <c r="T1189" i="1"/>
  <c r="R1189" i="1"/>
  <c r="Q1189" i="1"/>
  <c r="S1189" i="1" s="1"/>
  <c r="E1189" i="1"/>
  <c r="R1188" i="1"/>
  <c r="T1188" i="1" s="1"/>
  <c r="Q1188" i="1"/>
  <c r="S1188" i="1" s="1"/>
  <c r="E1188" i="1"/>
  <c r="R1187" i="1"/>
  <c r="T1187" i="1" s="1"/>
  <c r="Q1187" i="1"/>
  <c r="S1187" i="1" s="1"/>
  <c r="E1187" i="1"/>
  <c r="T1186" i="1"/>
  <c r="R1186" i="1"/>
  <c r="Q1186" i="1"/>
  <c r="S1186" i="1" s="1"/>
  <c r="E1186" i="1"/>
  <c r="R1185" i="1"/>
  <c r="T1185" i="1" s="1"/>
  <c r="Q1185" i="1"/>
  <c r="S1185" i="1" s="1"/>
  <c r="E1185" i="1"/>
  <c r="R1184" i="1"/>
  <c r="T1184" i="1" s="1"/>
  <c r="Q1184" i="1"/>
  <c r="S1184" i="1" s="1"/>
  <c r="E1184" i="1"/>
  <c r="T1183" i="1"/>
  <c r="R1183" i="1"/>
  <c r="Q1183" i="1"/>
  <c r="S1183" i="1" s="1"/>
  <c r="E1183" i="1"/>
  <c r="T1182" i="1"/>
  <c r="R1182" i="1"/>
  <c r="Q1182" i="1"/>
  <c r="S1182" i="1" s="1"/>
  <c r="E1182" i="1"/>
  <c r="T1181" i="1"/>
  <c r="R1181" i="1"/>
  <c r="Q1181" i="1"/>
  <c r="S1181" i="1" s="1"/>
  <c r="E1181" i="1"/>
  <c r="T1180" i="1"/>
  <c r="R1180" i="1"/>
  <c r="Q1180" i="1"/>
  <c r="S1180" i="1" s="1"/>
  <c r="E1180" i="1"/>
  <c r="T1179" i="1"/>
  <c r="R1179" i="1"/>
  <c r="Q1179" i="1"/>
  <c r="S1179" i="1" s="1"/>
  <c r="E1179" i="1"/>
  <c r="T1178" i="1"/>
  <c r="R1178" i="1"/>
  <c r="Q1178" i="1"/>
  <c r="S1178" i="1" s="1"/>
  <c r="E1178" i="1"/>
  <c r="T1177" i="1"/>
  <c r="R1177" i="1"/>
  <c r="Q1177" i="1"/>
  <c r="S1177" i="1" s="1"/>
  <c r="E1177" i="1"/>
  <c r="T1176" i="1"/>
  <c r="R1176" i="1"/>
  <c r="Q1176" i="1"/>
  <c r="S1176" i="1" s="1"/>
  <c r="E1176" i="1"/>
  <c r="T1175" i="1"/>
  <c r="R1175" i="1"/>
  <c r="Q1175" i="1"/>
  <c r="S1175" i="1" s="1"/>
  <c r="E1175" i="1"/>
  <c r="T1174" i="1"/>
  <c r="R1174" i="1"/>
  <c r="Q1174" i="1"/>
  <c r="S1174" i="1" s="1"/>
  <c r="E1174" i="1"/>
  <c r="T1173" i="1"/>
  <c r="R1173" i="1"/>
  <c r="Q1173" i="1"/>
  <c r="S1173" i="1" s="1"/>
  <c r="E1173" i="1"/>
  <c r="T1172" i="1"/>
  <c r="R1172" i="1"/>
  <c r="Q1172" i="1"/>
  <c r="S1172" i="1" s="1"/>
  <c r="E1172" i="1"/>
  <c r="T1171" i="1"/>
  <c r="R1171" i="1"/>
  <c r="Q1171" i="1"/>
  <c r="S1171" i="1" s="1"/>
  <c r="E1171" i="1"/>
  <c r="T1170" i="1"/>
  <c r="R1170" i="1"/>
  <c r="Q1170" i="1"/>
  <c r="S1170" i="1" s="1"/>
  <c r="E1170" i="1"/>
  <c r="T1169" i="1"/>
  <c r="R1169" i="1"/>
  <c r="Q1169" i="1"/>
  <c r="S1169" i="1" s="1"/>
  <c r="E1169" i="1"/>
  <c r="T1168" i="1"/>
  <c r="R1168" i="1"/>
  <c r="Q1168" i="1"/>
  <c r="S1168" i="1" s="1"/>
  <c r="E1168" i="1"/>
  <c r="T1167" i="1"/>
  <c r="R1167" i="1"/>
  <c r="Q1167" i="1"/>
  <c r="S1167" i="1" s="1"/>
  <c r="E1167" i="1"/>
  <c r="T1166" i="1"/>
  <c r="R1166" i="1"/>
  <c r="Q1166" i="1"/>
  <c r="S1166" i="1" s="1"/>
  <c r="E1166" i="1"/>
  <c r="T1165" i="1"/>
  <c r="R1165" i="1"/>
  <c r="Q1165" i="1"/>
  <c r="S1165" i="1" s="1"/>
  <c r="E1165" i="1"/>
  <c r="T1164" i="1"/>
  <c r="R1164" i="1"/>
  <c r="Q1164" i="1"/>
  <c r="S1164" i="1" s="1"/>
  <c r="E1164" i="1"/>
  <c r="T1163" i="1"/>
  <c r="R1163" i="1"/>
  <c r="Q1163" i="1"/>
  <c r="S1163" i="1" s="1"/>
  <c r="E1163" i="1"/>
  <c r="T1162" i="1"/>
  <c r="R1162" i="1"/>
  <c r="Q1162" i="1"/>
  <c r="S1162" i="1" s="1"/>
  <c r="E1162" i="1"/>
  <c r="T1161" i="1"/>
  <c r="R1161" i="1"/>
  <c r="Q1161" i="1"/>
  <c r="S1161" i="1" s="1"/>
  <c r="E1161" i="1"/>
  <c r="T1160" i="1"/>
  <c r="R1160" i="1"/>
  <c r="Q1160" i="1"/>
  <c r="S1160" i="1" s="1"/>
  <c r="E1160" i="1"/>
  <c r="T1159" i="1"/>
  <c r="R1159" i="1"/>
  <c r="Q1159" i="1"/>
  <c r="S1159" i="1" s="1"/>
  <c r="E1159" i="1"/>
  <c r="T1158" i="1"/>
  <c r="R1158" i="1"/>
  <c r="Q1158" i="1"/>
  <c r="S1158" i="1" s="1"/>
  <c r="E1158" i="1"/>
  <c r="T1157" i="1"/>
  <c r="R1157" i="1"/>
  <c r="Q1157" i="1"/>
  <c r="S1157" i="1" s="1"/>
  <c r="E1157" i="1"/>
  <c r="T1156" i="1"/>
  <c r="R1156" i="1"/>
  <c r="Q1156" i="1"/>
  <c r="S1156" i="1" s="1"/>
  <c r="E1156" i="1"/>
  <c r="T1155" i="1"/>
  <c r="R1155" i="1"/>
  <c r="Q1155" i="1"/>
  <c r="S1155" i="1" s="1"/>
  <c r="E1155" i="1"/>
  <c r="T1154" i="1"/>
  <c r="R1154" i="1"/>
  <c r="Q1154" i="1"/>
  <c r="S1154" i="1" s="1"/>
  <c r="E1154" i="1"/>
  <c r="T1153" i="1"/>
  <c r="R1153" i="1"/>
  <c r="Q1153" i="1"/>
  <c r="S1153" i="1" s="1"/>
  <c r="E1153" i="1"/>
  <c r="T1152" i="1"/>
  <c r="R1152" i="1"/>
  <c r="Q1152" i="1"/>
  <c r="S1152" i="1" s="1"/>
  <c r="E1152" i="1"/>
  <c r="T1151" i="1"/>
  <c r="R1151" i="1"/>
  <c r="Q1151" i="1"/>
  <c r="S1151" i="1" s="1"/>
  <c r="E1151" i="1"/>
  <c r="T1150" i="1"/>
  <c r="R1150" i="1"/>
  <c r="Q1150" i="1"/>
  <c r="S1150" i="1" s="1"/>
  <c r="E1150" i="1"/>
  <c r="T1149" i="1"/>
  <c r="R1149" i="1"/>
  <c r="Q1149" i="1"/>
  <c r="S1149" i="1" s="1"/>
  <c r="E1149" i="1"/>
  <c r="T1148" i="1"/>
  <c r="R1148" i="1"/>
  <c r="Q1148" i="1"/>
  <c r="S1148" i="1" s="1"/>
  <c r="E1148" i="1"/>
  <c r="T1147" i="1"/>
  <c r="R1147" i="1"/>
  <c r="Q1147" i="1"/>
  <c r="S1147" i="1" s="1"/>
  <c r="E1147" i="1"/>
  <c r="T1146" i="1"/>
  <c r="R1146" i="1"/>
  <c r="Q1146" i="1"/>
  <c r="S1146" i="1" s="1"/>
  <c r="E1146" i="1"/>
  <c r="T1145" i="1"/>
  <c r="R1145" i="1"/>
  <c r="Q1145" i="1"/>
  <c r="S1145" i="1" s="1"/>
  <c r="E1145" i="1"/>
  <c r="T1144" i="1"/>
  <c r="R1144" i="1"/>
  <c r="Q1144" i="1"/>
  <c r="S1144" i="1" s="1"/>
  <c r="E1144" i="1"/>
  <c r="T1143" i="1"/>
  <c r="R1143" i="1"/>
  <c r="Q1143" i="1"/>
  <c r="S1143" i="1" s="1"/>
  <c r="E1143" i="1"/>
  <c r="T1142" i="1"/>
  <c r="R1142" i="1"/>
  <c r="Q1142" i="1"/>
  <c r="S1142" i="1" s="1"/>
  <c r="E1142" i="1"/>
  <c r="T1141" i="1"/>
  <c r="R1141" i="1"/>
  <c r="Q1141" i="1"/>
  <c r="S1141" i="1" s="1"/>
  <c r="E1141" i="1"/>
  <c r="T1140" i="1"/>
  <c r="R1140" i="1"/>
  <c r="Q1140" i="1"/>
  <c r="S1140" i="1" s="1"/>
  <c r="E1140" i="1"/>
  <c r="T1139" i="1"/>
  <c r="R1139" i="1"/>
  <c r="Q1139" i="1"/>
  <c r="S1139" i="1" s="1"/>
  <c r="E1139" i="1"/>
  <c r="T1138" i="1"/>
  <c r="R1138" i="1"/>
  <c r="Q1138" i="1"/>
  <c r="S1138" i="1" s="1"/>
  <c r="E1138" i="1"/>
  <c r="T1137" i="1"/>
  <c r="R1137" i="1"/>
  <c r="Q1137" i="1"/>
  <c r="S1137" i="1" s="1"/>
  <c r="E1137" i="1"/>
  <c r="T1136" i="1"/>
  <c r="R1136" i="1"/>
  <c r="Q1136" i="1"/>
  <c r="S1136" i="1" s="1"/>
  <c r="E1136" i="1"/>
  <c r="T1135" i="1"/>
  <c r="R1135" i="1"/>
  <c r="Q1135" i="1"/>
  <c r="S1135" i="1" s="1"/>
  <c r="E1135" i="1"/>
  <c r="T1134" i="1"/>
  <c r="R1134" i="1"/>
  <c r="Q1134" i="1"/>
  <c r="S1134" i="1" s="1"/>
  <c r="E1134" i="1"/>
  <c r="T1133" i="1"/>
  <c r="R1133" i="1"/>
  <c r="Q1133" i="1"/>
  <c r="S1133" i="1" s="1"/>
  <c r="E1133" i="1"/>
  <c r="T1132" i="1"/>
  <c r="R1132" i="1"/>
  <c r="Q1132" i="1"/>
  <c r="S1132" i="1" s="1"/>
  <c r="E1132" i="1"/>
  <c r="T1131" i="1"/>
  <c r="R1131" i="1"/>
  <c r="Q1131" i="1"/>
  <c r="S1131" i="1" s="1"/>
  <c r="E1131" i="1"/>
  <c r="T1130" i="1"/>
  <c r="R1130" i="1"/>
  <c r="Q1130" i="1"/>
  <c r="S1130" i="1" s="1"/>
  <c r="E1130" i="1"/>
  <c r="T1129" i="1"/>
  <c r="R1129" i="1"/>
  <c r="Q1129" i="1"/>
  <c r="S1129" i="1" s="1"/>
  <c r="E1129" i="1"/>
  <c r="T1128" i="1"/>
  <c r="R1128" i="1"/>
  <c r="Q1128" i="1"/>
  <c r="S1128" i="1" s="1"/>
  <c r="E1128" i="1"/>
  <c r="T1127" i="1"/>
  <c r="R1127" i="1"/>
  <c r="Q1127" i="1"/>
  <c r="S1127" i="1" s="1"/>
  <c r="E1127" i="1"/>
  <c r="T1126" i="1"/>
  <c r="R1126" i="1"/>
  <c r="Q1126" i="1"/>
  <c r="S1126" i="1" s="1"/>
  <c r="E1126" i="1"/>
  <c r="T1125" i="1"/>
  <c r="R1125" i="1"/>
  <c r="Q1125" i="1"/>
  <c r="S1125" i="1" s="1"/>
  <c r="E1125" i="1"/>
  <c r="T1124" i="1"/>
  <c r="R1124" i="1"/>
  <c r="Q1124" i="1"/>
  <c r="S1124" i="1" s="1"/>
  <c r="E1124" i="1"/>
  <c r="T1123" i="1"/>
  <c r="R1123" i="1"/>
  <c r="Q1123" i="1"/>
  <c r="S1123" i="1" s="1"/>
  <c r="E1123" i="1"/>
  <c r="T1122" i="1"/>
  <c r="R1122" i="1"/>
  <c r="Q1122" i="1"/>
  <c r="S1122" i="1" s="1"/>
  <c r="E1122" i="1"/>
  <c r="T1121" i="1"/>
  <c r="R1121" i="1"/>
  <c r="Q1121" i="1"/>
  <c r="S1121" i="1" s="1"/>
  <c r="E1121" i="1"/>
  <c r="T1120" i="1"/>
  <c r="R1120" i="1"/>
  <c r="Q1120" i="1"/>
  <c r="S1120" i="1" s="1"/>
  <c r="E1120" i="1"/>
  <c r="T1119" i="1"/>
  <c r="R1119" i="1"/>
  <c r="Q1119" i="1"/>
  <c r="S1119" i="1" s="1"/>
  <c r="E1119" i="1"/>
  <c r="R1118" i="1"/>
  <c r="T1118" i="1" s="1"/>
  <c r="Q1118" i="1"/>
  <c r="S1118" i="1" s="1"/>
  <c r="E1118" i="1"/>
  <c r="R1117" i="1"/>
  <c r="T1117" i="1" s="1"/>
  <c r="Q1117" i="1"/>
  <c r="S1117" i="1" s="1"/>
  <c r="E1117" i="1"/>
  <c r="R1116" i="1"/>
  <c r="T1116" i="1" s="1"/>
  <c r="Q1116" i="1"/>
  <c r="S1116" i="1" s="1"/>
  <c r="E1116" i="1"/>
  <c r="R1115" i="1"/>
  <c r="T1115" i="1" s="1"/>
  <c r="Q1115" i="1"/>
  <c r="S1115" i="1" s="1"/>
  <c r="E1115" i="1"/>
  <c r="R1114" i="1"/>
  <c r="T1114" i="1" s="1"/>
  <c r="Q1114" i="1"/>
  <c r="S1114" i="1" s="1"/>
  <c r="E1114" i="1"/>
  <c r="R1113" i="1"/>
  <c r="T1113" i="1" s="1"/>
  <c r="Q1113" i="1"/>
  <c r="S1113" i="1" s="1"/>
  <c r="E1113" i="1"/>
  <c r="R1112" i="1"/>
  <c r="T1112" i="1" s="1"/>
  <c r="Q1112" i="1"/>
  <c r="S1112" i="1" s="1"/>
  <c r="E1112" i="1"/>
  <c r="R1111" i="1"/>
  <c r="T1111" i="1" s="1"/>
  <c r="Q1111" i="1"/>
  <c r="S1111" i="1" s="1"/>
  <c r="E1111" i="1"/>
  <c r="R1110" i="1"/>
  <c r="T1110" i="1" s="1"/>
  <c r="Q1110" i="1"/>
  <c r="S1110" i="1" s="1"/>
  <c r="E1110" i="1"/>
  <c r="R1109" i="1"/>
  <c r="T1109" i="1" s="1"/>
  <c r="Q1109" i="1"/>
  <c r="S1109" i="1" s="1"/>
  <c r="E1109" i="1"/>
  <c r="R1108" i="1"/>
  <c r="T1108" i="1" s="1"/>
  <c r="Q1108" i="1"/>
  <c r="S1108" i="1" s="1"/>
  <c r="E1108" i="1"/>
  <c r="R1107" i="1"/>
  <c r="T1107" i="1" s="1"/>
  <c r="Q1107" i="1"/>
  <c r="S1107" i="1" s="1"/>
  <c r="E1107" i="1"/>
  <c r="R1106" i="1"/>
  <c r="T1106" i="1" s="1"/>
  <c r="Q1106" i="1"/>
  <c r="S1106" i="1" s="1"/>
  <c r="E1106" i="1"/>
  <c r="R1105" i="1"/>
  <c r="T1105" i="1" s="1"/>
  <c r="Q1105" i="1"/>
  <c r="S1105" i="1" s="1"/>
  <c r="E1105" i="1"/>
  <c r="R1104" i="1"/>
  <c r="T1104" i="1" s="1"/>
  <c r="Q1104" i="1"/>
  <c r="S1104" i="1" s="1"/>
  <c r="E1104" i="1"/>
  <c r="R1103" i="1"/>
  <c r="T1103" i="1" s="1"/>
  <c r="Q1103" i="1"/>
  <c r="S1103" i="1" s="1"/>
  <c r="E1103" i="1"/>
  <c r="R1102" i="1"/>
  <c r="T1102" i="1" s="1"/>
  <c r="Q1102" i="1"/>
  <c r="S1102" i="1" s="1"/>
  <c r="E1102" i="1"/>
  <c r="E1101" i="1"/>
  <c r="Q1100" i="1"/>
  <c r="S1100" i="1" s="1"/>
  <c r="P1100" i="1"/>
  <c r="R1100" i="1" s="1"/>
  <c r="T1100" i="1" s="1"/>
  <c r="E1100" i="1"/>
  <c r="R1099" i="1"/>
  <c r="T1099" i="1" s="1"/>
  <c r="Q1099" i="1"/>
  <c r="S1099" i="1" s="1"/>
  <c r="P1099" i="1"/>
  <c r="E1099" i="1"/>
  <c r="S1098" i="1"/>
  <c r="Q1098" i="1"/>
  <c r="P1098" i="1"/>
  <c r="R1098" i="1" s="1"/>
  <c r="T1098" i="1" s="1"/>
  <c r="E1098" i="1"/>
  <c r="Q1097" i="1"/>
  <c r="S1097" i="1" s="1"/>
  <c r="P1097" i="1"/>
  <c r="R1097" i="1" s="1"/>
  <c r="T1097" i="1" s="1"/>
  <c r="E1097" i="1"/>
  <c r="R1096" i="1"/>
  <c r="T1096" i="1" s="1"/>
  <c r="Q1096" i="1"/>
  <c r="S1096" i="1" s="1"/>
  <c r="P1096" i="1"/>
  <c r="E1096" i="1"/>
  <c r="S1095" i="1"/>
  <c r="Q1095" i="1"/>
  <c r="P1095" i="1"/>
  <c r="R1095" i="1" s="1"/>
  <c r="T1095" i="1" s="1"/>
  <c r="E1095" i="1"/>
  <c r="T1094" i="1"/>
  <c r="Q1094" i="1"/>
  <c r="S1094" i="1" s="1"/>
  <c r="P1094" i="1"/>
  <c r="R1094" i="1" s="1"/>
  <c r="E1094" i="1"/>
  <c r="R1093" i="1"/>
  <c r="T1093" i="1" s="1"/>
  <c r="Q1093" i="1"/>
  <c r="S1093" i="1" s="1"/>
  <c r="P1093" i="1"/>
  <c r="E1093" i="1"/>
  <c r="S1092" i="1"/>
  <c r="Q1092" i="1"/>
  <c r="P1092" i="1"/>
  <c r="R1092" i="1" s="1"/>
  <c r="T1092" i="1" s="1"/>
  <c r="E1092" i="1"/>
  <c r="E1091" i="1"/>
  <c r="E1090" i="1"/>
  <c r="R1089" i="1"/>
  <c r="T1089" i="1" s="1"/>
  <c r="Q1089" i="1"/>
  <c r="S1089" i="1" s="1"/>
  <c r="E1089" i="1"/>
  <c r="R1088" i="1"/>
  <c r="T1088" i="1" s="1"/>
  <c r="Q1088" i="1"/>
  <c r="S1088" i="1" s="1"/>
  <c r="E1088" i="1"/>
  <c r="R1087" i="1"/>
  <c r="T1087" i="1" s="1"/>
  <c r="Q1087" i="1"/>
  <c r="S1087" i="1" s="1"/>
  <c r="E1087" i="1"/>
  <c r="R1086" i="1"/>
  <c r="T1086" i="1" s="1"/>
  <c r="Q1086" i="1"/>
  <c r="S1086" i="1" s="1"/>
  <c r="E1086" i="1"/>
  <c r="R1085" i="1"/>
  <c r="T1085" i="1" s="1"/>
  <c r="Q1085" i="1"/>
  <c r="S1085" i="1" s="1"/>
  <c r="E1085" i="1"/>
  <c r="R1084" i="1"/>
  <c r="T1084" i="1" s="1"/>
  <c r="Q1084" i="1"/>
  <c r="S1084" i="1" s="1"/>
  <c r="E1084" i="1"/>
  <c r="R1083" i="1"/>
  <c r="T1083" i="1" s="1"/>
  <c r="Q1083" i="1"/>
  <c r="S1083" i="1" s="1"/>
  <c r="E1083" i="1"/>
  <c r="R1082" i="1"/>
  <c r="T1082" i="1" s="1"/>
  <c r="Q1082" i="1"/>
  <c r="S1082" i="1" s="1"/>
  <c r="E1082" i="1"/>
  <c r="R1081" i="1"/>
  <c r="T1081" i="1" s="1"/>
  <c r="Q1081" i="1"/>
  <c r="S1081" i="1" s="1"/>
  <c r="E1081" i="1"/>
  <c r="R1080" i="1"/>
  <c r="T1080" i="1" s="1"/>
  <c r="Q1080" i="1"/>
  <c r="S1080" i="1" s="1"/>
  <c r="E1080" i="1"/>
  <c r="R1079" i="1"/>
  <c r="T1079" i="1" s="1"/>
  <c r="Q1079" i="1"/>
  <c r="S1079" i="1" s="1"/>
  <c r="E1079" i="1"/>
  <c r="R1078" i="1"/>
  <c r="T1078" i="1" s="1"/>
  <c r="Q1078" i="1"/>
  <c r="S1078" i="1" s="1"/>
  <c r="E1078" i="1"/>
  <c r="R1077" i="1"/>
  <c r="T1077" i="1" s="1"/>
  <c r="Q1077" i="1"/>
  <c r="S1077" i="1" s="1"/>
  <c r="E1077" i="1"/>
  <c r="R1076" i="1"/>
  <c r="T1076" i="1" s="1"/>
  <c r="Q1076" i="1"/>
  <c r="S1076" i="1" s="1"/>
  <c r="E1076" i="1"/>
  <c r="R1075" i="1"/>
  <c r="T1075" i="1" s="1"/>
  <c r="Q1075" i="1"/>
  <c r="S1075" i="1" s="1"/>
  <c r="E1075" i="1"/>
  <c r="R1074" i="1"/>
  <c r="T1074" i="1" s="1"/>
  <c r="Q1074" i="1"/>
  <c r="S1074" i="1" s="1"/>
  <c r="E1074" i="1"/>
  <c r="Q1073" i="1"/>
  <c r="S1073" i="1" s="1"/>
  <c r="P1073" i="1"/>
  <c r="R1073" i="1" s="1"/>
  <c r="T1073" i="1" s="1"/>
  <c r="E1073" i="1"/>
  <c r="S1072" i="1"/>
  <c r="Q1072" i="1"/>
  <c r="P1072" i="1"/>
  <c r="R1072" i="1" s="1"/>
  <c r="T1072" i="1" s="1"/>
  <c r="E1072" i="1"/>
  <c r="Q1071" i="1"/>
  <c r="S1071" i="1" s="1"/>
  <c r="P1071" i="1"/>
  <c r="R1071" i="1" s="1"/>
  <c r="T1071" i="1" s="1"/>
  <c r="E1071" i="1"/>
  <c r="Q1070" i="1"/>
  <c r="S1070" i="1" s="1"/>
  <c r="P1070" i="1"/>
  <c r="R1070" i="1" s="1"/>
  <c r="T1070" i="1" s="1"/>
  <c r="E1070" i="1"/>
  <c r="S1069" i="1"/>
  <c r="Q1069" i="1"/>
  <c r="P1069" i="1"/>
  <c r="R1069" i="1" s="1"/>
  <c r="T1069" i="1" s="1"/>
  <c r="E1069" i="1"/>
  <c r="T1068" i="1"/>
  <c r="Q1068" i="1"/>
  <c r="S1068" i="1" s="1"/>
  <c r="P1068" i="1"/>
  <c r="R1068" i="1" s="1"/>
  <c r="E1068" i="1"/>
  <c r="Q1067" i="1"/>
  <c r="S1067" i="1" s="1"/>
  <c r="P1067" i="1"/>
  <c r="R1067" i="1" s="1"/>
  <c r="T1067" i="1" s="1"/>
  <c r="E1067" i="1"/>
  <c r="S1066" i="1"/>
  <c r="Q1066" i="1"/>
  <c r="P1066" i="1"/>
  <c r="R1066" i="1" s="1"/>
  <c r="T1066" i="1" s="1"/>
  <c r="E1066" i="1"/>
  <c r="Q1065" i="1"/>
  <c r="S1065" i="1" s="1"/>
  <c r="P1065" i="1"/>
  <c r="R1065" i="1" s="1"/>
  <c r="T1065" i="1" s="1"/>
  <c r="E1065" i="1"/>
  <c r="R1064" i="1"/>
  <c r="T1064" i="1" s="1"/>
  <c r="Q1064" i="1"/>
  <c r="S1064" i="1" s="1"/>
  <c r="P1064" i="1"/>
  <c r="E1064" i="1"/>
  <c r="S1063" i="1"/>
  <c r="Q1063" i="1"/>
  <c r="P1063" i="1"/>
  <c r="R1063" i="1" s="1"/>
  <c r="T1063" i="1" s="1"/>
  <c r="E1063" i="1"/>
  <c r="Q1062" i="1"/>
  <c r="S1062" i="1" s="1"/>
  <c r="P1062" i="1"/>
  <c r="R1062" i="1" s="1"/>
  <c r="T1062" i="1" s="1"/>
  <c r="E1062" i="1"/>
  <c r="R1061" i="1"/>
  <c r="T1061" i="1" s="1"/>
  <c r="Q1061" i="1"/>
  <c r="S1061" i="1" s="1"/>
  <c r="P1061" i="1"/>
  <c r="E1061" i="1"/>
  <c r="S1060" i="1"/>
  <c r="Q1060" i="1"/>
  <c r="P1060" i="1"/>
  <c r="R1060" i="1" s="1"/>
  <c r="T1060" i="1" s="1"/>
  <c r="E1060" i="1"/>
  <c r="Q1059" i="1"/>
  <c r="S1059" i="1" s="1"/>
  <c r="P1059" i="1"/>
  <c r="R1059" i="1" s="1"/>
  <c r="T1059" i="1" s="1"/>
  <c r="E1059" i="1"/>
  <c r="R1058" i="1"/>
  <c r="T1058" i="1" s="1"/>
  <c r="Q1058" i="1"/>
  <c r="S1058" i="1" s="1"/>
  <c r="P1058" i="1"/>
  <c r="E1058" i="1"/>
  <c r="S1057" i="1"/>
  <c r="Q1057" i="1"/>
  <c r="P1057" i="1"/>
  <c r="R1057" i="1" s="1"/>
  <c r="T1057" i="1" s="1"/>
  <c r="E1057" i="1"/>
  <c r="Q1056" i="1"/>
  <c r="S1056" i="1" s="1"/>
  <c r="P1056" i="1"/>
  <c r="R1056" i="1" s="1"/>
  <c r="T1056" i="1" s="1"/>
  <c r="E1056" i="1"/>
  <c r="R1055" i="1"/>
  <c r="T1055" i="1" s="1"/>
  <c r="Q1055" i="1"/>
  <c r="S1055" i="1" s="1"/>
  <c r="P1055" i="1"/>
  <c r="E1055" i="1"/>
  <c r="S1054" i="1"/>
  <c r="Q1054" i="1"/>
  <c r="P1054" i="1"/>
  <c r="R1054" i="1" s="1"/>
  <c r="T1054" i="1" s="1"/>
  <c r="E1054" i="1"/>
  <c r="Q1053" i="1"/>
  <c r="S1053" i="1" s="1"/>
  <c r="P1053" i="1"/>
  <c r="R1053" i="1" s="1"/>
  <c r="T1053" i="1" s="1"/>
  <c r="E1053" i="1"/>
  <c r="R1052" i="1"/>
  <c r="T1052" i="1" s="1"/>
  <c r="Q1052" i="1"/>
  <c r="S1052" i="1" s="1"/>
  <c r="P1052" i="1"/>
  <c r="E1052" i="1"/>
  <c r="S1051" i="1"/>
  <c r="Q1051" i="1"/>
  <c r="P1051" i="1"/>
  <c r="R1051" i="1" s="1"/>
  <c r="T1051" i="1" s="1"/>
  <c r="E1051" i="1"/>
  <c r="T1050" i="1"/>
  <c r="Q1050" i="1"/>
  <c r="S1050" i="1" s="1"/>
  <c r="P1050" i="1"/>
  <c r="R1050" i="1" s="1"/>
  <c r="E1050" i="1"/>
  <c r="R1049" i="1"/>
  <c r="T1049" i="1" s="1"/>
  <c r="Q1049" i="1"/>
  <c r="S1049" i="1" s="1"/>
  <c r="P1049" i="1"/>
  <c r="E1049" i="1"/>
  <c r="S1048" i="1"/>
  <c r="Q1048" i="1"/>
  <c r="P1048" i="1"/>
  <c r="R1048" i="1" s="1"/>
  <c r="T1048" i="1" s="1"/>
  <c r="E1048" i="1"/>
  <c r="Q1047" i="1"/>
  <c r="S1047" i="1" s="1"/>
  <c r="P1047" i="1"/>
  <c r="R1047" i="1" s="1"/>
  <c r="T1047" i="1" s="1"/>
  <c r="E1047" i="1"/>
  <c r="R1046" i="1"/>
  <c r="T1046" i="1" s="1"/>
  <c r="Q1046" i="1"/>
  <c r="S1046" i="1" s="1"/>
  <c r="P1046" i="1"/>
  <c r="E1046" i="1"/>
  <c r="S1045" i="1"/>
  <c r="Q1045" i="1"/>
  <c r="P1045" i="1"/>
  <c r="R1045" i="1" s="1"/>
  <c r="T1045" i="1" s="1"/>
  <c r="E1045" i="1"/>
  <c r="T1044" i="1"/>
  <c r="Q1044" i="1"/>
  <c r="S1044" i="1" s="1"/>
  <c r="P1044" i="1"/>
  <c r="R1044" i="1" s="1"/>
  <c r="E1044" i="1"/>
  <c r="R1043" i="1"/>
  <c r="T1043" i="1" s="1"/>
  <c r="Q1043" i="1"/>
  <c r="S1043" i="1" s="1"/>
  <c r="P1043" i="1"/>
  <c r="E1043" i="1"/>
  <c r="S1042" i="1"/>
  <c r="Q1042" i="1"/>
  <c r="P1042" i="1"/>
  <c r="R1042" i="1" s="1"/>
  <c r="T1042" i="1" s="1"/>
  <c r="E1042" i="1"/>
  <c r="Q1041" i="1"/>
  <c r="S1041" i="1" s="1"/>
  <c r="P1041" i="1"/>
  <c r="R1041" i="1" s="1"/>
  <c r="T1041" i="1" s="1"/>
  <c r="E1041" i="1"/>
  <c r="Q1040" i="1"/>
  <c r="S1040" i="1" s="1"/>
  <c r="P1040" i="1"/>
  <c r="R1040" i="1" s="1"/>
  <c r="T1040" i="1" s="1"/>
  <c r="E1040" i="1"/>
  <c r="S1039" i="1"/>
  <c r="Q1039" i="1"/>
  <c r="P1039" i="1"/>
  <c r="R1039" i="1" s="1"/>
  <c r="T1039" i="1" s="1"/>
  <c r="E1039" i="1"/>
  <c r="T1038" i="1"/>
  <c r="Q1038" i="1"/>
  <c r="S1038" i="1" s="1"/>
  <c r="P1038" i="1"/>
  <c r="R1038" i="1" s="1"/>
  <c r="E1038" i="1"/>
  <c r="Q1037" i="1"/>
  <c r="S1037" i="1" s="1"/>
  <c r="P1037" i="1"/>
  <c r="R1037" i="1" s="1"/>
  <c r="T1037" i="1" s="1"/>
  <c r="E1037" i="1"/>
  <c r="S1036" i="1"/>
  <c r="Q1036" i="1"/>
  <c r="P1036" i="1"/>
  <c r="R1036" i="1" s="1"/>
  <c r="T1036" i="1" s="1"/>
  <c r="E1036" i="1"/>
  <c r="S1035" i="1"/>
  <c r="Q1035" i="1"/>
  <c r="P1035" i="1"/>
  <c r="R1035" i="1" s="1"/>
  <c r="T1035" i="1" s="1"/>
  <c r="E1035" i="1"/>
  <c r="R1034" i="1"/>
  <c r="T1034" i="1" s="1"/>
  <c r="Q1034" i="1"/>
  <c r="S1034" i="1" s="1"/>
  <c r="P1034" i="1"/>
  <c r="E1034" i="1"/>
  <c r="S1033" i="1"/>
  <c r="Q1033" i="1"/>
  <c r="P1033" i="1"/>
  <c r="R1033" i="1" s="1"/>
  <c r="T1033" i="1" s="1"/>
  <c r="E1033" i="1"/>
  <c r="T1032" i="1"/>
  <c r="Q1032" i="1"/>
  <c r="S1032" i="1" s="1"/>
  <c r="P1032" i="1"/>
  <c r="R1032" i="1" s="1"/>
  <c r="E1032" i="1"/>
  <c r="R1031" i="1"/>
  <c r="T1031" i="1" s="1"/>
  <c r="Q1031" i="1"/>
  <c r="S1031" i="1" s="1"/>
  <c r="P1031" i="1"/>
  <c r="E1031" i="1"/>
  <c r="S1030" i="1"/>
  <c r="Q1030" i="1"/>
  <c r="P1030" i="1"/>
  <c r="R1030" i="1" s="1"/>
  <c r="T1030" i="1" s="1"/>
  <c r="E1030" i="1"/>
  <c r="S1029" i="1"/>
  <c r="Q1029" i="1"/>
  <c r="P1029" i="1"/>
  <c r="R1029" i="1" s="1"/>
  <c r="T1029" i="1" s="1"/>
  <c r="E1029" i="1"/>
  <c r="R1028" i="1"/>
  <c r="T1028" i="1" s="1"/>
  <c r="Q1028" i="1"/>
  <c r="S1028" i="1" s="1"/>
  <c r="P1028" i="1"/>
  <c r="E1028" i="1"/>
  <c r="S1027" i="1"/>
  <c r="Q1027" i="1"/>
  <c r="P1027" i="1"/>
  <c r="R1027" i="1" s="1"/>
  <c r="T1027" i="1" s="1"/>
  <c r="E1027" i="1"/>
  <c r="T1026" i="1"/>
  <c r="Q1026" i="1"/>
  <c r="S1026" i="1" s="1"/>
  <c r="P1026" i="1"/>
  <c r="R1026" i="1" s="1"/>
  <c r="E1026" i="1"/>
  <c r="R1025" i="1"/>
  <c r="T1025" i="1" s="1"/>
  <c r="Q1025" i="1"/>
  <c r="S1025" i="1" s="1"/>
  <c r="P1025" i="1"/>
  <c r="E1025" i="1"/>
  <c r="S1024" i="1"/>
  <c r="Q1024" i="1"/>
  <c r="P1024" i="1"/>
  <c r="R1024" i="1" s="1"/>
  <c r="T1024" i="1" s="1"/>
  <c r="E1024" i="1"/>
  <c r="S1023" i="1"/>
  <c r="Q1023" i="1"/>
  <c r="P1023" i="1"/>
  <c r="R1023" i="1" s="1"/>
  <c r="T1023" i="1" s="1"/>
  <c r="E1023" i="1"/>
  <c r="T1022" i="1"/>
  <c r="R1022" i="1"/>
  <c r="Q1022" i="1"/>
  <c r="S1022" i="1" s="1"/>
  <c r="P1022" i="1"/>
  <c r="E1022" i="1"/>
  <c r="S1021" i="1"/>
  <c r="Q1021" i="1"/>
  <c r="P1021" i="1"/>
  <c r="R1021" i="1" s="1"/>
  <c r="T1021" i="1" s="1"/>
  <c r="E1021" i="1"/>
  <c r="Q1020" i="1"/>
  <c r="S1020" i="1" s="1"/>
  <c r="P1020" i="1"/>
  <c r="R1020" i="1" s="1"/>
  <c r="T1020" i="1" s="1"/>
  <c r="E1020" i="1"/>
  <c r="R1019" i="1"/>
  <c r="T1019" i="1" s="1"/>
  <c r="Q1019" i="1"/>
  <c r="S1019" i="1" s="1"/>
  <c r="P1019" i="1"/>
  <c r="E1019" i="1"/>
  <c r="S1018" i="1"/>
  <c r="Q1018" i="1"/>
  <c r="P1018" i="1"/>
  <c r="R1018" i="1" s="1"/>
  <c r="T1018" i="1" s="1"/>
  <c r="E1018" i="1"/>
  <c r="S1017" i="1"/>
  <c r="Q1017" i="1"/>
  <c r="P1017" i="1"/>
  <c r="R1017" i="1" s="1"/>
  <c r="T1017" i="1" s="1"/>
  <c r="E1017" i="1"/>
  <c r="T1016" i="1"/>
  <c r="R1016" i="1"/>
  <c r="Q1016" i="1"/>
  <c r="S1016" i="1" s="1"/>
  <c r="P1016" i="1"/>
  <c r="E1016" i="1"/>
  <c r="S1015" i="1"/>
  <c r="Q1015" i="1"/>
  <c r="P1015" i="1"/>
  <c r="R1015" i="1" s="1"/>
  <c r="T1015" i="1" s="1"/>
  <c r="E1015" i="1"/>
  <c r="Q1014" i="1"/>
  <c r="S1014" i="1" s="1"/>
  <c r="P1014" i="1"/>
  <c r="R1014" i="1" s="1"/>
  <c r="T1014" i="1" s="1"/>
  <c r="E1014" i="1"/>
  <c r="R1013" i="1"/>
  <c r="T1013" i="1" s="1"/>
  <c r="Q1013" i="1"/>
  <c r="S1013" i="1" s="1"/>
  <c r="P1013" i="1"/>
  <c r="E1013" i="1"/>
  <c r="S1012" i="1"/>
  <c r="Q1012" i="1"/>
  <c r="P1012" i="1"/>
  <c r="R1012" i="1" s="1"/>
  <c r="T1012" i="1" s="1"/>
  <c r="E1012" i="1"/>
  <c r="S1011" i="1"/>
  <c r="Q1011" i="1"/>
  <c r="P1011" i="1"/>
  <c r="R1011" i="1" s="1"/>
  <c r="T1011" i="1" s="1"/>
  <c r="E1011" i="1"/>
  <c r="E1010" i="1"/>
  <c r="T1009" i="1"/>
  <c r="S1009" i="1"/>
  <c r="R1009" i="1"/>
  <c r="Q1009" i="1"/>
  <c r="E1009" i="1"/>
  <c r="T1008" i="1"/>
  <c r="S1008" i="1"/>
  <c r="R1008" i="1"/>
  <c r="Q1008" i="1"/>
  <c r="E1008" i="1"/>
  <c r="T1007" i="1"/>
  <c r="S1007" i="1"/>
  <c r="Q1007" i="1"/>
  <c r="P1007" i="1"/>
  <c r="R1007" i="1" s="1"/>
  <c r="E1007" i="1"/>
  <c r="R1006" i="1"/>
  <c r="T1006" i="1" s="1"/>
  <c r="Q1006" i="1"/>
  <c r="S1006" i="1" s="1"/>
  <c r="P1006" i="1"/>
  <c r="E1006" i="1"/>
  <c r="S1005" i="1"/>
  <c r="R1005" i="1"/>
  <c r="T1005" i="1" s="1"/>
  <c r="Q1005" i="1"/>
  <c r="P1005" i="1"/>
  <c r="E1005" i="1"/>
  <c r="Q1004" i="1"/>
  <c r="S1004" i="1" s="1"/>
  <c r="P1004" i="1"/>
  <c r="R1004" i="1" s="1"/>
  <c r="T1004" i="1" s="1"/>
  <c r="E1004" i="1"/>
  <c r="T1003" i="1"/>
  <c r="R1003" i="1"/>
  <c r="Q1003" i="1"/>
  <c r="S1003" i="1" s="1"/>
  <c r="P1003" i="1"/>
  <c r="E1003" i="1"/>
  <c r="E1002" i="1"/>
  <c r="E1001" i="1"/>
  <c r="T1000" i="1"/>
  <c r="S1000" i="1"/>
  <c r="R1000" i="1"/>
  <c r="Q1000" i="1"/>
  <c r="E1000" i="1"/>
  <c r="T999" i="1"/>
  <c r="S999" i="1"/>
  <c r="R999" i="1"/>
  <c r="Q999" i="1"/>
  <c r="E999" i="1"/>
  <c r="T998" i="1"/>
  <c r="T994" i="1" s="1"/>
  <c r="S998" i="1"/>
  <c r="R998" i="1"/>
  <c r="Q998" i="1"/>
  <c r="E998" i="1"/>
  <c r="T997" i="1"/>
  <c r="S997" i="1"/>
  <c r="S994" i="1" s="1"/>
  <c r="N994" i="1" s="1"/>
  <c r="R997" i="1"/>
  <c r="Q997" i="1"/>
  <c r="E997" i="1"/>
  <c r="T996" i="1"/>
  <c r="S996" i="1"/>
  <c r="R996" i="1"/>
  <c r="Q996" i="1"/>
  <c r="E996" i="1"/>
  <c r="T995" i="1"/>
  <c r="S995" i="1"/>
  <c r="R995" i="1"/>
  <c r="Q995" i="1"/>
  <c r="E995" i="1"/>
  <c r="E994" i="1"/>
  <c r="S993" i="1"/>
  <c r="R993" i="1"/>
  <c r="T993" i="1" s="1"/>
  <c r="Q993" i="1"/>
  <c r="E993" i="1"/>
  <c r="S992" i="1"/>
  <c r="R992" i="1"/>
  <c r="T992" i="1" s="1"/>
  <c r="Q992" i="1"/>
  <c r="T991" i="1"/>
  <c r="S991" i="1"/>
  <c r="R991" i="1"/>
  <c r="Q991" i="1"/>
  <c r="R990" i="1"/>
  <c r="T990" i="1" s="1"/>
  <c r="Q990" i="1"/>
  <c r="S990" i="1" s="1"/>
  <c r="S989" i="1"/>
  <c r="R989" i="1"/>
  <c r="T989" i="1" s="1"/>
  <c r="Q989" i="1"/>
  <c r="S988" i="1"/>
  <c r="R988" i="1"/>
  <c r="T988" i="1" s="1"/>
  <c r="Q988" i="1"/>
  <c r="S987" i="1"/>
  <c r="R987" i="1"/>
  <c r="T987" i="1" s="1"/>
  <c r="Q987" i="1"/>
  <c r="T986" i="1"/>
  <c r="S986" i="1"/>
  <c r="R986" i="1"/>
  <c r="Q986" i="1"/>
  <c r="T985" i="1"/>
  <c r="S985" i="1"/>
  <c r="R985" i="1"/>
  <c r="Q985" i="1"/>
  <c r="T984" i="1"/>
  <c r="S984" i="1"/>
  <c r="R984" i="1"/>
  <c r="Q984" i="1"/>
  <c r="T983" i="1"/>
  <c r="R983" i="1"/>
  <c r="Q983" i="1"/>
  <c r="S983" i="1" s="1"/>
  <c r="R982" i="1"/>
  <c r="T982" i="1" s="1"/>
  <c r="Q982" i="1"/>
  <c r="S982" i="1" s="1"/>
  <c r="S981" i="1"/>
  <c r="R981" i="1"/>
  <c r="T981" i="1" s="1"/>
  <c r="Q981" i="1"/>
  <c r="T980" i="1"/>
  <c r="S980" i="1"/>
  <c r="R980" i="1"/>
  <c r="Q980" i="1"/>
  <c r="T979" i="1"/>
  <c r="S979" i="1"/>
  <c r="R979" i="1"/>
  <c r="Q979" i="1"/>
  <c r="T978" i="1"/>
  <c r="S978" i="1"/>
  <c r="R978" i="1"/>
  <c r="Q978" i="1"/>
  <c r="T977" i="1"/>
  <c r="R977" i="1"/>
  <c r="Q977" i="1"/>
  <c r="S977" i="1" s="1"/>
  <c r="R976" i="1"/>
  <c r="T976" i="1" s="1"/>
  <c r="Q976" i="1"/>
  <c r="S976" i="1" s="1"/>
  <c r="S975" i="1"/>
  <c r="R975" i="1"/>
  <c r="T975" i="1" s="1"/>
  <c r="Q975" i="1"/>
  <c r="T974" i="1"/>
  <c r="S974" i="1"/>
  <c r="R974" i="1"/>
  <c r="Q974" i="1"/>
  <c r="T973" i="1"/>
  <c r="S973" i="1"/>
  <c r="R973" i="1"/>
  <c r="Q973" i="1"/>
  <c r="T972" i="1"/>
  <c r="S972" i="1"/>
  <c r="R972" i="1"/>
  <c r="Q972" i="1"/>
  <c r="T971" i="1"/>
  <c r="R971" i="1"/>
  <c r="Q971" i="1"/>
  <c r="S971" i="1" s="1"/>
  <c r="R970" i="1"/>
  <c r="T970" i="1" s="1"/>
  <c r="Q970" i="1"/>
  <c r="S970" i="1" s="1"/>
  <c r="S969" i="1"/>
  <c r="R969" i="1"/>
  <c r="T969" i="1" s="1"/>
  <c r="Q969" i="1"/>
  <c r="T968" i="1"/>
  <c r="S968" i="1"/>
  <c r="R968" i="1"/>
  <c r="Q968" i="1"/>
  <c r="T967" i="1"/>
  <c r="S967" i="1"/>
  <c r="R967" i="1"/>
  <c r="Q967" i="1"/>
  <c r="T966" i="1"/>
  <c r="S966" i="1"/>
  <c r="R966" i="1"/>
  <c r="Q966" i="1"/>
  <c r="T965" i="1"/>
  <c r="R965" i="1"/>
  <c r="Q965" i="1"/>
  <c r="S965" i="1" s="1"/>
  <c r="R964" i="1"/>
  <c r="T964" i="1" s="1"/>
  <c r="Q964" i="1"/>
  <c r="S964" i="1" s="1"/>
  <c r="S963" i="1"/>
  <c r="R963" i="1"/>
  <c r="T963" i="1" s="1"/>
  <c r="Q963" i="1"/>
  <c r="T962" i="1"/>
  <c r="S962" i="1"/>
  <c r="R962" i="1"/>
  <c r="Q962" i="1"/>
  <c r="T961" i="1"/>
  <c r="S961" i="1"/>
  <c r="R961" i="1"/>
  <c r="Q961" i="1"/>
  <c r="T960" i="1"/>
  <c r="S960" i="1"/>
  <c r="R960" i="1"/>
  <c r="Q960" i="1"/>
  <c r="T959" i="1"/>
  <c r="R959" i="1"/>
  <c r="Q959" i="1"/>
  <c r="S959" i="1" s="1"/>
  <c r="R958" i="1"/>
  <c r="T958" i="1" s="1"/>
  <c r="Q958" i="1"/>
  <c r="S958" i="1" s="1"/>
  <c r="S957" i="1"/>
  <c r="R957" i="1"/>
  <c r="T957" i="1" s="1"/>
  <c r="Q957" i="1"/>
  <c r="T956" i="1"/>
  <c r="S956" i="1"/>
  <c r="R956" i="1"/>
  <c r="Q956" i="1"/>
  <c r="T955" i="1"/>
  <c r="S955" i="1"/>
  <c r="R955" i="1"/>
  <c r="Q955" i="1"/>
  <c r="T954" i="1"/>
  <c r="S954" i="1"/>
  <c r="R954" i="1"/>
  <c r="Q954" i="1"/>
  <c r="T953" i="1"/>
  <c r="R953" i="1"/>
  <c r="Q953" i="1"/>
  <c r="S953" i="1" s="1"/>
  <c r="R952" i="1"/>
  <c r="T952" i="1" s="1"/>
  <c r="Q952" i="1"/>
  <c r="S952" i="1" s="1"/>
  <c r="S951" i="1"/>
  <c r="R951" i="1"/>
  <c r="T951" i="1" s="1"/>
  <c r="Q951" i="1"/>
  <c r="T950" i="1"/>
  <c r="S950" i="1"/>
  <c r="R950" i="1"/>
  <c r="Q950" i="1"/>
  <c r="T949" i="1"/>
  <c r="S949" i="1"/>
  <c r="R949" i="1"/>
  <c r="Q949" i="1"/>
  <c r="T948" i="1"/>
  <c r="S948" i="1"/>
  <c r="R948" i="1"/>
  <c r="Q948" i="1"/>
  <c r="T947" i="1"/>
  <c r="R947" i="1"/>
  <c r="Q947" i="1"/>
  <c r="S947" i="1" s="1"/>
  <c r="R946" i="1"/>
  <c r="T946" i="1" s="1"/>
  <c r="Q946" i="1"/>
  <c r="S946" i="1" s="1"/>
  <c r="S945" i="1"/>
  <c r="R945" i="1"/>
  <c r="T945" i="1" s="1"/>
  <c r="Q945" i="1"/>
  <c r="T944" i="1"/>
  <c r="S944" i="1"/>
  <c r="R944" i="1"/>
  <c r="Q944" i="1"/>
  <c r="T943" i="1"/>
  <c r="S943" i="1"/>
  <c r="R943" i="1"/>
  <c r="Q943" i="1"/>
  <c r="T942" i="1"/>
  <c r="S942" i="1"/>
  <c r="R942" i="1"/>
  <c r="Q942" i="1"/>
  <c r="T941" i="1"/>
  <c r="R941" i="1"/>
  <c r="Q941" i="1"/>
  <c r="S941" i="1" s="1"/>
  <c r="R940" i="1"/>
  <c r="T940" i="1" s="1"/>
  <c r="Q940" i="1"/>
  <c r="S940" i="1" s="1"/>
  <c r="S939" i="1"/>
  <c r="R939" i="1"/>
  <c r="T939" i="1" s="1"/>
  <c r="Q939" i="1"/>
  <c r="T938" i="1"/>
  <c r="S938" i="1"/>
  <c r="R938" i="1"/>
  <c r="Q938" i="1"/>
  <c r="T937" i="1"/>
  <c r="S937" i="1"/>
  <c r="R937" i="1"/>
  <c r="Q937" i="1"/>
  <c r="T936" i="1"/>
  <c r="S936" i="1"/>
  <c r="R936" i="1"/>
  <c r="Q936" i="1"/>
  <c r="T935" i="1"/>
  <c r="R935" i="1"/>
  <c r="Q935" i="1"/>
  <c r="S935" i="1" s="1"/>
  <c r="R934" i="1"/>
  <c r="T934" i="1" s="1"/>
  <c r="Q934" i="1"/>
  <c r="S934" i="1" s="1"/>
  <c r="S933" i="1"/>
  <c r="R933" i="1"/>
  <c r="T933" i="1" s="1"/>
  <c r="Q933" i="1"/>
  <c r="T932" i="1"/>
  <c r="S932" i="1"/>
  <c r="R932" i="1"/>
  <c r="Q932" i="1"/>
  <c r="T931" i="1"/>
  <c r="S931" i="1"/>
  <c r="R931" i="1"/>
  <c r="Q931" i="1"/>
  <c r="T930" i="1"/>
  <c r="S930" i="1"/>
  <c r="R930" i="1"/>
  <c r="Q930" i="1"/>
  <c r="T929" i="1"/>
  <c r="R929" i="1"/>
  <c r="Q929" i="1"/>
  <c r="S929" i="1" s="1"/>
  <c r="R928" i="1"/>
  <c r="T928" i="1" s="1"/>
  <c r="Q928" i="1"/>
  <c r="S928" i="1" s="1"/>
  <c r="S927" i="1"/>
  <c r="R927" i="1"/>
  <c r="T927" i="1" s="1"/>
  <c r="Q927" i="1"/>
  <c r="T926" i="1"/>
  <c r="S926" i="1"/>
  <c r="R926" i="1"/>
  <c r="Q926" i="1"/>
  <c r="D926" i="1"/>
  <c r="D927" i="1" s="1"/>
  <c r="T925" i="1"/>
  <c r="S925" i="1"/>
  <c r="R925" i="1"/>
  <c r="Q925" i="1"/>
  <c r="E925" i="1"/>
  <c r="T924" i="1"/>
  <c r="S924" i="1"/>
  <c r="R924" i="1"/>
  <c r="Q924" i="1"/>
  <c r="E924" i="1"/>
  <c r="T923" i="1"/>
  <c r="S923" i="1"/>
  <c r="R923" i="1"/>
  <c r="Q923" i="1"/>
  <c r="E923" i="1"/>
  <c r="T922" i="1"/>
  <c r="S922" i="1"/>
  <c r="R922" i="1"/>
  <c r="Q922" i="1"/>
  <c r="E922" i="1"/>
  <c r="T921" i="1"/>
  <c r="S921" i="1"/>
  <c r="R921" i="1"/>
  <c r="Q921" i="1"/>
  <c r="E921" i="1"/>
  <c r="T920" i="1"/>
  <c r="S920" i="1"/>
  <c r="R920" i="1"/>
  <c r="Q920" i="1"/>
  <c r="E920" i="1"/>
  <c r="T919" i="1"/>
  <c r="S919" i="1"/>
  <c r="R919" i="1"/>
  <c r="Q919" i="1"/>
  <c r="E919" i="1"/>
  <c r="T918" i="1"/>
  <c r="S918" i="1"/>
  <c r="R918" i="1"/>
  <c r="Q918" i="1"/>
  <c r="E918" i="1"/>
  <c r="T917" i="1"/>
  <c r="S917" i="1"/>
  <c r="R917" i="1"/>
  <c r="Q917" i="1"/>
  <c r="E917" i="1"/>
  <c r="T916" i="1"/>
  <c r="S916" i="1"/>
  <c r="R916" i="1"/>
  <c r="Q916" i="1"/>
  <c r="E916" i="1"/>
  <c r="T915" i="1"/>
  <c r="S915" i="1"/>
  <c r="R915" i="1"/>
  <c r="Q915" i="1"/>
  <c r="E915" i="1"/>
  <c r="T914" i="1"/>
  <c r="S914" i="1"/>
  <c r="R914" i="1"/>
  <c r="Q914" i="1"/>
  <c r="E914" i="1"/>
  <c r="T913" i="1"/>
  <c r="S913" i="1"/>
  <c r="R913" i="1"/>
  <c r="Q913" i="1"/>
  <c r="E913" i="1"/>
  <c r="T912" i="1"/>
  <c r="S912" i="1"/>
  <c r="R912" i="1"/>
  <c r="Q912" i="1"/>
  <c r="E912" i="1"/>
  <c r="T911" i="1"/>
  <c r="S911" i="1"/>
  <c r="R911" i="1"/>
  <c r="Q911" i="1"/>
  <c r="E911" i="1"/>
  <c r="T910" i="1"/>
  <c r="S910" i="1"/>
  <c r="R910" i="1"/>
  <c r="Q910" i="1"/>
  <c r="E910" i="1"/>
  <c r="T909" i="1"/>
  <c r="S909" i="1"/>
  <c r="R909" i="1"/>
  <c r="Q909" i="1"/>
  <c r="E909" i="1"/>
  <c r="T908" i="1"/>
  <c r="S908" i="1"/>
  <c r="R908" i="1"/>
  <c r="Q908" i="1"/>
  <c r="E908" i="1"/>
  <c r="T907" i="1"/>
  <c r="S907" i="1"/>
  <c r="R907" i="1"/>
  <c r="Q907" i="1"/>
  <c r="E907" i="1"/>
  <c r="T906" i="1"/>
  <c r="S906" i="1"/>
  <c r="R906" i="1"/>
  <c r="Q906" i="1"/>
  <c r="E906" i="1"/>
  <c r="T905" i="1"/>
  <c r="S905" i="1"/>
  <c r="R905" i="1"/>
  <c r="Q905" i="1"/>
  <c r="E905" i="1"/>
  <c r="T904" i="1"/>
  <c r="S904" i="1"/>
  <c r="R904" i="1"/>
  <c r="Q904" i="1"/>
  <c r="E904" i="1"/>
  <c r="T903" i="1"/>
  <c r="S903" i="1"/>
  <c r="R903" i="1"/>
  <c r="Q903" i="1"/>
  <c r="E903" i="1"/>
  <c r="S902" i="1"/>
  <c r="R902" i="1"/>
  <c r="T902" i="1" s="1"/>
  <c r="Q902" i="1"/>
  <c r="P902" i="1"/>
  <c r="E902" i="1"/>
  <c r="S901" i="1"/>
  <c r="Q901" i="1"/>
  <c r="P901" i="1"/>
  <c r="R901" i="1" s="1"/>
  <c r="T901" i="1" s="1"/>
  <c r="E901" i="1"/>
  <c r="Q900" i="1"/>
  <c r="S900" i="1" s="1"/>
  <c r="P900" i="1"/>
  <c r="R900" i="1" s="1"/>
  <c r="T900" i="1" s="1"/>
  <c r="E900" i="1"/>
  <c r="R899" i="1"/>
  <c r="T899" i="1" s="1"/>
  <c r="Q899" i="1"/>
  <c r="S899" i="1" s="1"/>
  <c r="P899" i="1"/>
  <c r="E899" i="1"/>
  <c r="S898" i="1"/>
  <c r="Q898" i="1"/>
  <c r="P898" i="1"/>
  <c r="R898" i="1" s="1"/>
  <c r="T898" i="1" s="1"/>
  <c r="E898" i="1"/>
  <c r="T897" i="1"/>
  <c r="R897" i="1"/>
  <c r="Q897" i="1"/>
  <c r="S897" i="1" s="1"/>
  <c r="P897" i="1"/>
  <c r="E897" i="1"/>
  <c r="S896" i="1"/>
  <c r="R896" i="1"/>
  <c r="T896" i="1" s="1"/>
  <c r="Q896" i="1"/>
  <c r="P896" i="1"/>
  <c r="E896" i="1"/>
  <c r="S895" i="1"/>
  <c r="Q895" i="1"/>
  <c r="P895" i="1"/>
  <c r="R895" i="1" s="1"/>
  <c r="T895" i="1" s="1"/>
  <c r="E895" i="1"/>
  <c r="Q894" i="1"/>
  <c r="S894" i="1" s="1"/>
  <c r="P894" i="1"/>
  <c r="R894" i="1" s="1"/>
  <c r="T894" i="1" s="1"/>
  <c r="E894" i="1"/>
  <c r="E893" i="1"/>
  <c r="E892" i="1"/>
  <c r="T891" i="1"/>
  <c r="S891" i="1"/>
  <c r="R891" i="1"/>
  <c r="Q891" i="1"/>
  <c r="E891" i="1"/>
  <c r="T890" i="1"/>
  <c r="S890" i="1"/>
  <c r="R890" i="1"/>
  <c r="Q890" i="1"/>
  <c r="E890" i="1"/>
  <c r="T889" i="1"/>
  <c r="S889" i="1"/>
  <c r="R889" i="1"/>
  <c r="Q889" i="1"/>
  <c r="E889" i="1"/>
  <c r="T888" i="1"/>
  <c r="S888" i="1"/>
  <c r="R888" i="1"/>
  <c r="Q888" i="1"/>
  <c r="E888" i="1"/>
  <c r="T887" i="1"/>
  <c r="S887" i="1"/>
  <c r="R887" i="1"/>
  <c r="Q887" i="1"/>
  <c r="E887" i="1"/>
  <c r="T886" i="1"/>
  <c r="S886" i="1"/>
  <c r="R886" i="1"/>
  <c r="Q886" i="1"/>
  <c r="E886" i="1"/>
  <c r="T885" i="1"/>
  <c r="S885" i="1"/>
  <c r="R885" i="1"/>
  <c r="Q885" i="1"/>
  <c r="E885" i="1"/>
  <c r="T884" i="1"/>
  <c r="S884" i="1"/>
  <c r="R884" i="1"/>
  <c r="Q884" i="1"/>
  <c r="E884" i="1"/>
  <c r="T883" i="1"/>
  <c r="S883" i="1"/>
  <c r="R883" i="1"/>
  <c r="Q883" i="1"/>
  <c r="E883" i="1"/>
  <c r="T882" i="1"/>
  <c r="S882" i="1"/>
  <c r="R882" i="1"/>
  <c r="Q882" i="1"/>
  <c r="E882" i="1"/>
  <c r="T881" i="1"/>
  <c r="S881" i="1"/>
  <c r="R881" i="1"/>
  <c r="Q881" i="1"/>
  <c r="E881" i="1"/>
  <c r="T880" i="1"/>
  <c r="S880" i="1"/>
  <c r="R880" i="1"/>
  <c r="Q880" i="1"/>
  <c r="E880" i="1"/>
  <c r="T879" i="1"/>
  <c r="S879" i="1"/>
  <c r="R879" i="1"/>
  <c r="Q879" i="1"/>
  <c r="E879" i="1"/>
  <c r="T878" i="1"/>
  <c r="S878" i="1"/>
  <c r="R878" i="1"/>
  <c r="Q878" i="1"/>
  <c r="E878" i="1"/>
  <c r="T877" i="1"/>
  <c r="S877" i="1"/>
  <c r="R877" i="1"/>
  <c r="Q877" i="1"/>
  <c r="E877" i="1"/>
  <c r="T876" i="1"/>
  <c r="S876" i="1"/>
  <c r="R876" i="1"/>
  <c r="Q876" i="1"/>
  <c r="E876" i="1"/>
  <c r="T875" i="1"/>
  <c r="S875" i="1"/>
  <c r="R875" i="1"/>
  <c r="Q875" i="1"/>
  <c r="E875" i="1"/>
  <c r="T874" i="1"/>
  <c r="S874" i="1"/>
  <c r="R874" i="1"/>
  <c r="Q874" i="1"/>
  <c r="E874" i="1"/>
  <c r="T873" i="1"/>
  <c r="S873" i="1"/>
  <c r="R873" i="1"/>
  <c r="Q873" i="1"/>
  <c r="E873" i="1"/>
  <c r="T872" i="1"/>
  <c r="S872" i="1"/>
  <c r="R872" i="1"/>
  <c r="Q872" i="1"/>
  <c r="E872" i="1"/>
  <c r="T871" i="1"/>
  <c r="S871" i="1"/>
  <c r="R871" i="1"/>
  <c r="Q871" i="1"/>
  <c r="E871" i="1"/>
  <c r="T870" i="1"/>
  <c r="S870" i="1"/>
  <c r="R870" i="1"/>
  <c r="Q870" i="1"/>
  <c r="E870" i="1"/>
  <c r="T869" i="1"/>
  <c r="S869" i="1"/>
  <c r="R869" i="1"/>
  <c r="Q869" i="1"/>
  <c r="E869" i="1"/>
  <c r="T868" i="1"/>
  <c r="S868" i="1"/>
  <c r="R868" i="1"/>
  <c r="Q868" i="1"/>
  <c r="E868" i="1"/>
  <c r="T867" i="1"/>
  <c r="S867" i="1"/>
  <c r="R867" i="1"/>
  <c r="Q867" i="1"/>
  <c r="E867" i="1"/>
  <c r="T866" i="1"/>
  <c r="S866" i="1"/>
  <c r="R866" i="1"/>
  <c r="Q866" i="1"/>
  <c r="E866" i="1"/>
  <c r="T865" i="1"/>
  <c r="S865" i="1"/>
  <c r="R865" i="1"/>
  <c r="Q865" i="1"/>
  <c r="E865" i="1"/>
  <c r="T864" i="1"/>
  <c r="S864" i="1"/>
  <c r="R864" i="1"/>
  <c r="Q864" i="1"/>
  <c r="E864" i="1"/>
  <c r="T863" i="1"/>
  <c r="S863" i="1"/>
  <c r="R863" i="1"/>
  <c r="Q863" i="1"/>
  <c r="E863" i="1"/>
  <c r="T862" i="1"/>
  <c r="S862" i="1"/>
  <c r="R862" i="1"/>
  <c r="Q862" i="1"/>
  <c r="E862" i="1"/>
  <c r="T861" i="1"/>
  <c r="S861" i="1"/>
  <c r="R861" i="1"/>
  <c r="Q861" i="1"/>
  <c r="E861" i="1"/>
  <c r="T860" i="1"/>
  <c r="S860" i="1"/>
  <c r="R860" i="1"/>
  <c r="Q860" i="1"/>
  <c r="E860" i="1"/>
  <c r="T859" i="1"/>
  <c r="S859" i="1"/>
  <c r="R859" i="1"/>
  <c r="Q859" i="1"/>
  <c r="E859" i="1"/>
  <c r="T858" i="1"/>
  <c r="S858" i="1"/>
  <c r="R858" i="1"/>
  <c r="Q858" i="1"/>
  <c r="E858" i="1"/>
  <c r="T857" i="1"/>
  <c r="S857" i="1"/>
  <c r="R857" i="1"/>
  <c r="Q857" i="1"/>
  <c r="E857" i="1"/>
  <c r="T856" i="1"/>
  <c r="S856" i="1"/>
  <c r="R856" i="1"/>
  <c r="Q856" i="1"/>
  <c r="E856" i="1"/>
  <c r="T855" i="1"/>
  <c r="S855" i="1"/>
  <c r="R855" i="1"/>
  <c r="Q855" i="1"/>
  <c r="E855" i="1"/>
  <c r="T854" i="1"/>
  <c r="S854" i="1"/>
  <c r="R854" i="1"/>
  <c r="Q854" i="1"/>
  <c r="E854" i="1"/>
  <c r="T853" i="1"/>
  <c r="S853" i="1"/>
  <c r="R853" i="1"/>
  <c r="Q853" i="1"/>
  <c r="E853" i="1"/>
  <c r="T852" i="1"/>
  <c r="S852" i="1"/>
  <c r="R852" i="1"/>
  <c r="Q852" i="1"/>
  <c r="E852" i="1"/>
  <c r="T851" i="1"/>
  <c r="S851" i="1"/>
  <c r="R851" i="1"/>
  <c r="Q851" i="1"/>
  <c r="E851" i="1"/>
  <c r="T850" i="1"/>
  <c r="S850" i="1"/>
  <c r="R850" i="1"/>
  <c r="Q850" i="1"/>
  <c r="E850" i="1"/>
  <c r="T849" i="1"/>
  <c r="S849" i="1"/>
  <c r="R849" i="1"/>
  <c r="Q849" i="1"/>
  <c r="E849" i="1"/>
  <c r="T848" i="1"/>
  <c r="S848" i="1"/>
  <c r="R848" i="1"/>
  <c r="Q848" i="1"/>
  <c r="E848" i="1"/>
  <c r="T847" i="1"/>
  <c r="S847" i="1"/>
  <c r="R847" i="1"/>
  <c r="Q847" i="1"/>
  <c r="E847" i="1"/>
  <c r="T846" i="1"/>
  <c r="S846" i="1"/>
  <c r="R846" i="1"/>
  <c r="Q846" i="1"/>
  <c r="E846" i="1"/>
  <c r="T845" i="1"/>
  <c r="S845" i="1"/>
  <c r="R845" i="1"/>
  <c r="Q845" i="1"/>
  <c r="E845" i="1"/>
  <c r="T844" i="1"/>
  <c r="S844" i="1"/>
  <c r="R844" i="1"/>
  <c r="Q844" i="1"/>
  <c r="E844" i="1"/>
  <c r="T843" i="1"/>
  <c r="S843" i="1"/>
  <c r="R843" i="1"/>
  <c r="Q843" i="1"/>
  <c r="E843" i="1"/>
  <c r="T842" i="1"/>
  <c r="S842" i="1"/>
  <c r="R842" i="1"/>
  <c r="Q842" i="1"/>
  <c r="E842" i="1"/>
  <c r="T841" i="1"/>
  <c r="S841" i="1"/>
  <c r="R841" i="1"/>
  <c r="Q841" i="1"/>
  <c r="E841" i="1"/>
  <c r="T840" i="1"/>
  <c r="S840" i="1"/>
  <c r="R840" i="1"/>
  <c r="Q840" i="1"/>
  <c r="E840" i="1"/>
  <c r="T839" i="1"/>
  <c r="S839" i="1"/>
  <c r="R839" i="1"/>
  <c r="Q839" i="1"/>
  <c r="E839" i="1"/>
  <c r="T838" i="1"/>
  <c r="S838" i="1"/>
  <c r="R838" i="1"/>
  <c r="Q838" i="1"/>
  <c r="E838" i="1"/>
  <c r="T837" i="1"/>
  <c r="S837" i="1"/>
  <c r="R837" i="1"/>
  <c r="Q837" i="1"/>
  <c r="E837" i="1"/>
  <c r="T836" i="1"/>
  <c r="S836" i="1"/>
  <c r="R836" i="1"/>
  <c r="Q836" i="1"/>
  <c r="E836" i="1"/>
  <c r="T835" i="1"/>
  <c r="S835" i="1"/>
  <c r="R835" i="1"/>
  <c r="Q835" i="1"/>
  <c r="E835" i="1"/>
  <c r="T834" i="1"/>
  <c r="S834" i="1"/>
  <c r="R834" i="1"/>
  <c r="Q834" i="1"/>
  <c r="E834" i="1"/>
  <c r="T833" i="1"/>
  <c r="S833" i="1"/>
  <c r="R833" i="1"/>
  <c r="Q833" i="1"/>
  <c r="E833" i="1"/>
  <c r="T832" i="1"/>
  <c r="S832" i="1"/>
  <c r="R832" i="1"/>
  <c r="Q832" i="1"/>
  <c r="E832" i="1"/>
  <c r="T831" i="1"/>
  <c r="S831" i="1"/>
  <c r="R831" i="1"/>
  <c r="Q831" i="1"/>
  <c r="E831" i="1"/>
  <c r="T830" i="1"/>
  <c r="S830" i="1"/>
  <c r="R830" i="1"/>
  <c r="Q830" i="1"/>
  <c r="E830" i="1"/>
  <c r="T829" i="1"/>
  <c r="S829" i="1"/>
  <c r="R829" i="1"/>
  <c r="Q829" i="1"/>
  <c r="E829" i="1"/>
  <c r="T828" i="1"/>
  <c r="S828" i="1"/>
  <c r="R828" i="1"/>
  <c r="Q828" i="1"/>
  <c r="E828" i="1"/>
  <c r="T827" i="1"/>
  <c r="S827" i="1"/>
  <c r="R827" i="1"/>
  <c r="Q827" i="1"/>
  <c r="E827" i="1"/>
  <c r="T826" i="1"/>
  <c r="S826" i="1"/>
  <c r="R826" i="1"/>
  <c r="Q826" i="1"/>
  <c r="E826" i="1"/>
  <c r="P825" i="1"/>
  <c r="R825" i="1" s="1"/>
  <c r="T825" i="1" s="1"/>
  <c r="O825" i="1"/>
  <c r="Q825" i="1" s="1"/>
  <c r="S825" i="1" s="1"/>
  <c r="E825" i="1"/>
  <c r="R824" i="1"/>
  <c r="T824" i="1" s="1"/>
  <c r="Q824" i="1"/>
  <c r="S824" i="1" s="1"/>
  <c r="P824" i="1"/>
  <c r="O824" i="1"/>
  <c r="E824" i="1"/>
  <c r="S823" i="1"/>
  <c r="R823" i="1"/>
  <c r="T823" i="1" s="1"/>
  <c r="Q823" i="1"/>
  <c r="P823" i="1"/>
  <c r="O823" i="1"/>
  <c r="E823" i="1"/>
  <c r="P822" i="1"/>
  <c r="R822" i="1" s="1"/>
  <c r="T822" i="1" s="1"/>
  <c r="O822" i="1"/>
  <c r="Q822" i="1" s="1"/>
  <c r="S822" i="1" s="1"/>
  <c r="E822" i="1"/>
  <c r="R821" i="1"/>
  <c r="T821" i="1" s="1"/>
  <c r="Q821" i="1"/>
  <c r="S821" i="1" s="1"/>
  <c r="P821" i="1"/>
  <c r="O821" i="1"/>
  <c r="E821" i="1"/>
  <c r="S820" i="1"/>
  <c r="Q820" i="1"/>
  <c r="P820" i="1"/>
  <c r="R820" i="1" s="1"/>
  <c r="T820" i="1" s="1"/>
  <c r="O820" i="1"/>
  <c r="E820" i="1"/>
  <c r="P819" i="1"/>
  <c r="R819" i="1" s="1"/>
  <c r="T819" i="1" s="1"/>
  <c r="O819" i="1"/>
  <c r="Q819" i="1" s="1"/>
  <c r="S819" i="1" s="1"/>
  <c r="E819" i="1"/>
  <c r="R818" i="1"/>
  <c r="T818" i="1" s="1"/>
  <c r="Q818" i="1"/>
  <c r="S818" i="1" s="1"/>
  <c r="P818" i="1"/>
  <c r="O818" i="1"/>
  <c r="E818" i="1"/>
  <c r="S817" i="1"/>
  <c r="R817" i="1"/>
  <c r="T817" i="1" s="1"/>
  <c r="Q817" i="1"/>
  <c r="P817" i="1"/>
  <c r="O817" i="1"/>
  <c r="E817" i="1"/>
  <c r="P816" i="1"/>
  <c r="R816" i="1" s="1"/>
  <c r="T816" i="1" s="1"/>
  <c r="O816" i="1"/>
  <c r="Q816" i="1" s="1"/>
  <c r="S816" i="1" s="1"/>
  <c r="E816" i="1"/>
  <c r="R815" i="1"/>
  <c r="T815" i="1" s="1"/>
  <c r="Q815" i="1"/>
  <c r="S815" i="1" s="1"/>
  <c r="P815" i="1"/>
  <c r="O815" i="1"/>
  <c r="E815" i="1"/>
  <c r="S814" i="1"/>
  <c r="Q814" i="1"/>
  <c r="P814" i="1"/>
  <c r="R814" i="1" s="1"/>
  <c r="T814" i="1" s="1"/>
  <c r="O814" i="1"/>
  <c r="E814" i="1"/>
  <c r="P813" i="1"/>
  <c r="R813" i="1" s="1"/>
  <c r="T813" i="1" s="1"/>
  <c r="O813" i="1"/>
  <c r="Q813" i="1" s="1"/>
  <c r="S813" i="1" s="1"/>
  <c r="E813" i="1"/>
  <c r="R812" i="1"/>
  <c r="T812" i="1" s="1"/>
  <c r="Q812" i="1"/>
  <c r="S812" i="1" s="1"/>
  <c r="P812" i="1"/>
  <c r="O812" i="1"/>
  <c r="E812" i="1"/>
  <c r="S811" i="1"/>
  <c r="R811" i="1"/>
  <c r="T811" i="1" s="1"/>
  <c r="Q811" i="1"/>
  <c r="P811" i="1"/>
  <c r="O811" i="1"/>
  <c r="E811" i="1"/>
  <c r="P810" i="1"/>
  <c r="R810" i="1" s="1"/>
  <c r="T810" i="1" s="1"/>
  <c r="O810" i="1"/>
  <c r="Q810" i="1" s="1"/>
  <c r="S810" i="1" s="1"/>
  <c r="E810" i="1"/>
  <c r="R809" i="1"/>
  <c r="T809" i="1" s="1"/>
  <c r="Q809" i="1"/>
  <c r="S809" i="1" s="1"/>
  <c r="P809" i="1"/>
  <c r="O809" i="1"/>
  <c r="E809" i="1"/>
  <c r="S808" i="1"/>
  <c r="Q808" i="1"/>
  <c r="P808" i="1"/>
  <c r="R808" i="1" s="1"/>
  <c r="T808" i="1" s="1"/>
  <c r="O808" i="1"/>
  <c r="E808" i="1"/>
  <c r="P807" i="1"/>
  <c r="R807" i="1" s="1"/>
  <c r="T807" i="1" s="1"/>
  <c r="O807" i="1"/>
  <c r="Q807" i="1" s="1"/>
  <c r="S807" i="1" s="1"/>
  <c r="E807" i="1"/>
  <c r="R806" i="1"/>
  <c r="T806" i="1" s="1"/>
  <c r="Q806" i="1"/>
  <c r="S806" i="1" s="1"/>
  <c r="P806" i="1"/>
  <c r="O806" i="1"/>
  <c r="E806" i="1"/>
  <c r="S805" i="1"/>
  <c r="R805" i="1"/>
  <c r="T805" i="1" s="1"/>
  <c r="Q805" i="1"/>
  <c r="P805" i="1"/>
  <c r="O805" i="1"/>
  <c r="E805" i="1"/>
  <c r="P804" i="1"/>
  <c r="R804" i="1" s="1"/>
  <c r="T804" i="1" s="1"/>
  <c r="O804" i="1"/>
  <c r="Q804" i="1" s="1"/>
  <c r="S804" i="1" s="1"/>
  <c r="E804" i="1"/>
  <c r="R803" i="1"/>
  <c r="T803" i="1" s="1"/>
  <c r="Q803" i="1"/>
  <c r="S803" i="1" s="1"/>
  <c r="P803" i="1"/>
  <c r="O803" i="1"/>
  <c r="E803" i="1"/>
  <c r="S802" i="1"/>
  <c r="Q802" i="1"/>
  <c r="P802" i="1"/>
  <c r="R802" i="1" s="1"/>
  <c r="T802" i="1" s="1"/>
  <c r="O802" i="1"/>
  <c r="E802" i="1"/>
  <c r="P801" i="1"/>
  <c r="R801" i="1" s="1"/>
  <c r="T801" i="1" s="1"/>
  <c r="O801" i="1"/>
  <c r="Q801" i="1" s="1"/>
  <c r="S801" i="1" s="1"/>
  <c r="E801" i="1"/>
  <c r="R800" i="1"/>
  <c r="T800" i="1" s="1"/>
  <c r="Q800" i="1"/>
  <c r="S800" i="1" s="1"/>
  <c r="P800" i="1"/>
  <c r="O800" i="1"/>
  <c r="E800" i="1"/>
  <c r="S799" i="1"/>
  <c r="R799" i="1"/>
  <c r="T799" i="1" s="1"/>
  <c r="Q799" i="1"/>
  <c r="P799" i="1"/>
  <c r="O799" i="1"/>
  <c r="E799" i="1"/>
  <c r="P798" i="1"/>
  <c r="R798" i="1" s="1"/>
  <c r="T798" i="1" s="1"/>
  <c r="O798" i="1"/>
  <c r="Q798" i="1" s="1"/>
  <c r="S798" i="1" s="1"/>
  <c r="E798" i="1"/>
  <c r="R797" i="1"/>
  <c r="T797" i="1" s="1"/>
  <c r="Q797" i="1"/>
  <c r="S797" i="1" s="1"/>
  <c r="P797" i="1"/>
  <c r="O797" i="1"/>
  <c r="E797" i="1"/>
  <c r="S796" i="1"/>
  <c r="Q796" i="1"/>
  <c r="P796" i="1"/>
  <c r="R796" i="1" s="1"/>
  <c r="T796" i="1" s="1"/>
  <c r="O796" i="1"/>
  <c r="E796" i="1"/>
  <c r="P795" i="1"/>
  <c r="R795" i="1" s="1"/>
  <c r="T795" i="1" s="1"/>
  <c r="O795" i="1"/>
  <c r="Q795" i="1" s="1"/>
  <c r="S795" i="1" s="1"/>
  <c r="E795" i="1"/>
  <c r="R794" i="1"/>
  <c r="T794" i="1" s="1"/>
  <c r="Q794" i="1"/>
  <c r="S794" i="1" s="1"/>
  <c r="P794" i="1"/>
  <c r="O794" i="1"/>
  <c r="E794" i="1"/>
  <c r="S793" i="1"/>
  <c r="R793" i="1"/>
  <c r="T793" i="1" s="1"/>
  <c r="Q793" i="1"/>
  <c r="P793" i="1"/>
  <c r="O793" i="1"/>
  <c r="E793" i="1"/>
  <c r="S792" i="1"/>
  <c r="Q792" i="1"/>
  <c r="P792" i="1"/>
  <c r="R792" i="1" s="1"/>
  <c r="T792" i="1" s="1"/>
  <c r="E792" i="1"/>
  <c r="Q791" i="1"/>
  <c r="S791" i="1" s="1"/>
  <c r="P791" i="1"/>
  <c r="R791" i="1" s="1"/>
  <c r="T791" i="1" s="1"/>
  <c r="E791" i="1"/>
  <c r="R790" i="1"/>
  <c r="T790" i="1" s="1"/>
  <c r="Q790" i="1"/>
  <c r="S790" i="1" s="1"/>
  <c r="P790" i="1"/>
  <c r="E790" i="1"/>
  <c r="S789" i="1"/>
  <c r="R789" i="1"/>
  <c r="T789" i="1" s="1"/>
  <c r="Q789" i="1"/>
  <c r="P789" i="1"/>
  <c r="E789" i="1"/>
  <c r="S788" i="1"/>
  <c r="R788" i="1"/>
  <c r="T788" i="1" s="1"/>
  <c r="Q788" i="1"/>
  <c r="P788" i="1"/>
  <c r="E788" i="1"/>
  <c r="Q787" i="1"/>
  <c r="P787" i="1"/>
  <c r="R787" i="1" s="1"/>
  <c r="T787" i="1" s="1"/>
  <c r="N787" i="1"/>
  <c r="S787" i="1" s="1"/>
  <c r="E787" i="1"/>
  <c r="Q786" i="1"/>
  <c r="S786" i="1" s="1"/>
  <c r="P786" i="1"/>
  <c r="R786" i="1" s="1"/>
  <c r="T786" i="1" s="1"/>
  <c r="E786" i="1"/>
  <c r="R785" i="1"/>
  <c r="T785" i="1" s="1"/>
  <c r="Q785" i="1"/>
  <c r="S785" i="1" s="1"/>
  <c r="P785" i="1"/>
  <c r="E785" i="1"/>
  <c r="S784" i="1"/>
  <c r="R784" i="1"/>
  <c r="T784" i="1" s="1"/>
  <c r="Q784" i="1"/>
  <c r="P784" i="1"/>
  <c r="E784" i="1"/>
  <c r="S783" i="1"/>
  <c r="R783" i="1"/>
  <c r="T783" i="1" s="1"/>
  <c r="Q783" i="1"/>
  <c r="P783" i="1"/>
  <c r="E783" i="1"/>
  <c r="S782" i="1"/>
  <c r="R782" i="1"/>
  <c r="T782" i="1" s="1"/>
  <c r="Q782" i="1"/>
  <c r="P782" i="1"/>
  <c r="E782" i="1"/>
  <c r="S781" i="1"/>
  <c r="Q781" i="1"/>
  <c r="P781" i="1"/>
  <c r="R781" i="1" s="1"/>
  <c r="T781" i="1" s="1"/>
  <c r="E781" i="1"/>
  <c r="Q780" i="1"/>
  <c r="S780" i="1" s="1"/>
  <c r="P780" i="1"/>
  <c r="R780" i="1" s="1"/>
  <c r="T780" i="1" s="1"/>
  <c r="E780" i="1"/>
  <c r="Q779" i="1"/>
  <c r="S779" i="1" s="1"/>
  <c r="P779" i="1"/>
  <c r="R779" i="1" s="1"/>
  <c r="T779" i="1" s="1"/>
  <c r="E779" i="1"/>
  <c r="S778" i="1"/>
  <c r="Q778" i="1"/>
  <c r="P778" i="1"/>
  <c r="R778" i="1" s="1"/>
  <c r="N778" i="1"/>
  <c r="E778" i="1"/>
  <c r="S777" i="1"/>
  <c r="Q777" i="1"/>
  <c r="P777" i="1"/>
  <c r="R777" i="1" s="1"/>
  <c r="T777" i="1" s="1"/>
  <c r="E777" i="1"/>
  <c r="S776" i="1"/>
  <c r="Q776" i="1"/>
  <c r="P776" i="1"/>
  <c r="R776" i="1" s="1"/>
  <c r="T776" i="1" s="1"/>
  <c r="E776" i="1"/>
  <c r="Q775" i="1"/>
  <c r="S775" i="1" s="1"/>
  <c r="P775" i="1"/>
  <c r="R775" i="1" s="1"/>
  <c r="T775" i="1" s="1"/>
  <c r="E775" i="1"/>
  <c r="Q774" i="1"/>
  <c r="S774" i="1" s="1"/>
  <c r="P774" i="1"/>
  <c r="R774" i="1" s="1"/>
  <c r="T774" i="1" s="1"/>
  <c r="E774" i="1"/>
  <c r="S773" i="1"/>
  <c r="R773" i="1"/>
  <c r="T773" i="1" s="1"/>
  <c r="Q773" i="1"/>
  <c r="P773" i="1"/>
  <c r="E773" i="1"/>
  <c r="T772" i="1"/>
  <c r="S772" i="1"/>
  <c r="R772" i="1"/>
  <c r="Q772" i="1"/>
  <c r="P772" i="1"/>
  <c r="E772" i="1"/>
  <c r="Q771" i="1"/>
  <c r="P771" i="1"/>
  <c r="R771" i="1" s="1"/>
  <c r="T771" i="1" s="1"/>
  <c r="N771" i="1"/>
  <c r="S771" i="1" s="1"/>
  <c r="E771" i="1"/>
  <c r="Q770" i="1"/>
  <c r="S770" i="1" s="1"/>
  <c r="P770" i="1"/>
  <c r="R770" i="1" s="1"/>
  <c r="T770" i="1" s="1"/>
  <c r="E770" i="1"/>
  <c r="Q769" i="1"/>
  <c r="S769" i="1" s="1"/>
  <c r="P769" i="1"/>
  <c r="R769" i="1" s="1"/>
  <c r="T769" i="1" s="1"/>
  <c r="E769" i="1"/>
  <c r="S768" i="1"/>
  <c r="R768" i="1"/>
  <c r="T768" i="1" s="1"/>
  <c r="Q768" i="1"/>
  <c r="P768" i="1"/>
  <c r="E768" i="1"/>
  <c r="T767" i="1"/>
  <c r="S767" i="1"/>
  <c r="R767" i="1"/>
  <c r="Q767" i="1"/>
  <c r="E767" i="1"/>
  <c r="T766" i="1"/>
  <c r="S766" i="1"/>
  <c r="R766" i="1"/>
  <c r="Q766" i="1"/>
  <c r="E766" i="1"/>
  <c r="E765" i="1"/>
  <c r="E764" i="1"/>
  <c r="R763" i="1"/>
  <c r="T763" i="1" s="1"/>
  <c r="Q763" i="1"/>
  <c r="S763" i="1" s="1"/>
  <c r="E763" i="1"/>
  <c r="R762" i="1"/>
  <c r="T762" i="1" s="1"/>
  <c r="Q762" i="1"/>
  <c r="S762" i="1" s="1"/>
  <c r="E762" i="1"/>
  <c r="E761" i="1"/>
  <c r="T760" i="1"/>
  <c r="R760" i="1"/>
  <c r="Q760" i="1"/>
  <c r="S760" i="1" s="1"/>
  <c r="E760" i="1"/>
  <c r="T759" i="1"/>
  <c r="R759" i="1"/>
  <c r="Q759" i="1"/>
  <c r="S759" i="1" s="1"/>
  <c r="E759" i="1"/>
  <c r="T758" i="1"/>
  <c r="R758" i="1"/>
  <c r="Q758" i="1"/>
  <c r="S758" i="1" s="1"/>
  <c r="E758" i="1"/>
  <c r="T757" i="1"/>
  <c r="R757" i="1"/>
  <c r="Q757" i="1"/>
  <c r="S757" i="1" s="1"/>
  <c r="E757" i="1"/>
  <c r="T756" i="1"/>
  <c r="R756" i="1"/>
  <c r="Q756" i="1"/>
  <c r="S756" i="1" s="1"/>
  <c r="E756" i="1"/>
  <c r="T755" i="1"/>
  <c r="R755" i="1"/>
  <c r="Q755" i="1"/>
  <c r="S755" i="1" s="1"/>
  <c r="E755" i="1"/>
  <c r="T754" i="1"/>
  <c r="R754" i="1"/>
  <c r="Q754" i="1"/>
  <c r="S754" i="1" s="1"/>
  <c r="E754" i="1"/>
  <c r="T753" i="1"/>
  <c r="R753" i="1"/>
  <c r="Q753" i="1"/>
  <c r="S753" i="1" s="1"/>
  <c r="E753" i="1"/>
  <c r="E752" i="1"/>
  <c r="T751" i="1"/>
  <c r="S751" i="1"/>
  <c r="R751" i="1"/>
  <c r="Q751" i="1"/>
  <c r="E751" i="1"/>
  <c r="T750" i="1"/>
  <c r="S750" i="1"/>
  <c r="R750" i="1"/>
  <c r="Q750" i="1"/>
  <c r="E750" i="1"/>
  <c r="T749" i="1"/>
  <c r="S749" i="1"/>
  <c r="R749" i="1"/>
  <c r="Q749" i="1"/>
  <c r="E749" i="1"/>
  <c r="T748" i="1"/>
  <c r="S748" i="1"/>
  <c r="R748" i="1"/>
  <c r="Q748" i="1"/>
  <c r="E748" i="1"/>
  <c r="T747" i="1"/>
  <c r="T746" i="1" s="1"/>
  <c r="S747" i="1"/>
  <c r="R747" i="1"/>
  <c r="Q747" i="1"/>
  <c r="E747" i="1"/>
  <c r="E746" i="1"/>
  <c r="T745" i="1"/>
  <c r="S745" i="1"/>
  <c r="R745" i="1"/>
  <c r="Q745" i="1"/>
  <c r="E745" i="1"/>
  <c r="T744" i="1"/>
  <c r="S744" i="1"/>
  <c r="R744" i="1"/>
  <c r="Q744" i="1"/>
  <c r="E744" i="1"/>
  <c r="S743" i="1"/>
  <c r="R743" i="1"/>
  <c r="T743" i="1" s="1"/>
  <c r="Q743" i="1"/>
  <c r="E743" i="1"/>
  <c r="T742" i="1"/>
  <c r="S742" i="1"/>
  <c r="R742" i="1"/>
  <c r="Q742" i="1"/>
  <c r="E742" i="1"/>
  <c r="T741" i="1"/>
  <c r="S741" i="1"/>
  <c r="R741" i="1"/>
  <c r="Q741" i="1"/>
  <c r="E741" i="1"/>
  <c r="S740" i="1"/>
  <c r="R740" i="1"/>
  <c r="T740" i="1" s="1"/>
  <c r="Q740" i="1"/>
  <c r="E740" i="1"/>
  <c r="T739" i="1"/>
  <c r="S739" i="1"/>
  <c r="R739" i="1"/>
  <c r="Q739" i="1"/>
  <c r="E739" i="1"/>
  <c r="T738" i="1"/>
  <c r="S738" i="1"/>
  <c r="R738" i="1"/>
  <c r="Q738" i="1"/>
  <c r="E738" i="1"/>
  <c r="S737" i="1"/>
  <c r="R737" i="1"/>
  <c r="T737" i="1" s="1"/>
  <c r="Q737" i="1"/>
  <c r="E737" i="1"/>
  <c r="T736" i="1"/>
  <c r="S736" i="1"/>
  <c r="R736" i="1"/>
  <c r="Q736" i="1"/>
  <c r="E736" i="1"/>
  <c r="T735" i="1"/>
  <c r="S735" i="1"/>
  <c r="R735" i="1"/>
  <c r="Q735" i="1"/>
  <c r="E735" i="1"/>
  <c r="S734" i="1"/>
  <c r="R734" i="1"/>
  <c r="T734" i="1" s="1"/>
  <c r="Q734" i="1"/>
  <c r="E734" i="1"/>
  <c r="T733" i="1"/>
  <c r="S733" i="1"/>
  <c r="R733" i="1"/>
  <c r="Q733" i="1"/>
  <c r="E733" i="1"/>
  <c r="T732" i="1"/>
  <c r="S732" i="1"/>
  <c r="R732" i="1"/>
  <c r="Q732" i="1"/>
  <c r="E732" i="1"/>
  <c r="S731" i="1"/>
  <c r="R731" i="1"/>
  <c r="T731" i="1" s="1"/>
  <c r="Q731" i="1"/>
  <c r="E731" i="1"/>
  <c r="T730" i="1"/>
  <c r="S730" i="1"/>
  <c r="R730" i="1"/>
  <c r="Q730" i="1"/>
  <c r="E730" i="1"/>
  <c r="T729" i="1"/>
  <c r="S729" i="1"/>
  <c r="R729" i="1"/>
  <c r="Q729" i="1"/>
  <c r="E729" i="1"/>
  <c r="S728" i="1"/>
  <c r="R728" i="1"/>
  <c r="T728" i="1" s="1"/>
  <c r="Q728" i="1"/>
  <c r="E728" i="1"/>
  <c r="S727" i="1"/>
  <c r="R727" i="1"/>
  <c r="T727" i="1" s="1"/>
  <c r="Q727" i="1"/>
  <c r="E727" i="1"/>
  <c r="T726" i="1"/>
  <c r="S726" i="1"/>
  <c r="R726" i="1"/>
  <c r="Q726" i="1"/>
  <c r="E726" i="1"/>
  <c r="S725" i="1"/>
  <c r="R725" i="1"/>
  <c r="T725" i="1" s="1"/>
  <c r="Q725" i="1"/>
  <c r="E725" i="1"/>
  <c r="T724" i="1"/>
  <c r="S724" i="1"/>
  <c r="R724" i="1"/>
  <c r="Q724" i="1"/>
  <c r="E724" i="1"/>
  <c r="T723" i="1"/>
  <c r="S723" i="1"/>
  <c r="R723" i="1"/>
  <c r="Q723" i="1"/>
  <c r="E723" i="1"/>
  <c r="S722" i="1"/>
  <c r="R722" i="1"/>
  <c r="T722" i="1" s="1"/>
  <c r="Q722" i="1"/>
  <c r="E722" i="1"/>
  <c r="S721" i="1"/>
  <c r="R721" i="1"/>
  <c r="T721" i="1" s="1"/>
  <c r="Q721" i="1"/>
  <c r="E721" i="1"/>
  <c r="T720" i="1"/>
  <c r="S720" i="1"/>
  <c r="R720" i="1"/>
  <c r="Q720" i="1"/>
  <c r="E720" i="1"/>
  <c r="S719" i="1"/>
  <c r="R719" i="1"/>
  <c r="T719" i="1" s="1"/>
  <c r="Q719" i="1"/>
  <c r="E719" i="1"/>
  <c r="T718" i="1"/>
  <c r="S718" i="1"/>
  <c r="R718" i="1"/>
  <c r="Q718" i="1"/>
  <c r="E718" i="1"/>
  <c r="T717" i="1"/>
  <c r="S717" i="1"/>
  <c r="R717" i="1"/>
  <c r="Q717" i="1"/>
  <c r="E717" i="1"/>
  <c r="S716" i="1"/>
  <c r="R716" i="1"/>
  <c r="T716" i="1" s="1"/>
  <c r="Q716" i="1"/>
  <c r="E716" i="1"/>
  <c r="S715" i="1"/>
  <c r="R715" i="1"/>
  <c r="T715" i="1" s="1"/>
  <c r="Q715" i="1"/>
  <c r="E715" i="1"/>
  <c r="T714" i="1"/>
  <c r="S714" i="1"/>
  <c r="R714" i="1"/>
  <c r="Q714" i="1"/>
  <c r="E714" i="1"/>
  <c r="S713" i="1"/>
  <c r="R713" i="1"/>
  <c r="T713" i="1" s="1"/>
  <c r="Q713" i="1"/>
  <c r="E713" i="1"/>
  <c r="T712" i="1"/>
  <c r="S712" i="1"/>
  <c r="R712" i="1"/>
  <c r="Q712" i="1"/>
  <c r="E712" i="1"/>
  <c r="T711" i="1"/>
  <c r="S711" i="1"/>
  <c r="R711" i="1"/>
  <c r="Q711" i="1"/>
  <c r="E711" i="1"/>
  <c r="S710" i="1"/>
  <c r="R710" i="1"/>
  <c r="T710" i="1" s="1"/>
  <c r="Q710" i="1"/>
  <c r="E710" i="1"/>
  <c r="S709" i="1"/>
  <c r="R709" i="1"/>
  <c r="T709" i="1" s="1"/>
  <c r="Q709" i="1"/>
  <c r="E709" i="1"/>
  <c r="T708" i="1"/>
  <c r="S708" i="1"/>
  <c r="R708" i="1"/>
  <c r="Q708" i="1"/>
  <c r="E708" i="1"/>
  <c r="S707" i="1"/>
  <c r="R707" i="1"/>
  <c r="T707" i="1" s="1"/>
  <c r="Q707" i="1"/>
  <c r="E707" i="1"/>
  <c r="S706" i="1"/>
  <c r="R706" i="1"/>
  <c r="T706" i="1" s="1"/>
  <c r="Q706" i="1"/>
  <c r="E706" i="1"/>
  <c r="T705" i="1"/>
  <c r="S705" i="1"/>
  <c r="R705" i="1"/>
  <c r="Q705" i="1"/>
  <c r="E705" i="1"/>
  <c r="S704" i="1"/>
  <c r="R704" i="1"/>
  <c r="T704" i="1" s="1"/>
  <c r="Q704" i="1"/>
  <c r="E704" i="1"/>
  <c r="S703" i="1"/>
  <c r="R703" i="1"/>
  <c r="T703" i="1" s="1"/>
  <c r="Q703" i="1"/>
  <c r="E703" i="1"/>
  <c r="T702" i="1"/>
  <c r="S702" i="1"/>
  <c r="R702" i="1"/>
  <c r="Q702" i="1"/>
  <c r="E702" i="1"/>
  <c r="S701" i="1"/>
  <c r="R701" i="1"/>
  <c r="T701" i="1" s="1"/>
  <c r="Q701" i="1"/>
  <c r="E701" i="1"/>
  <c r="S700" i="1"/>
  <c r="R700" i="1"/>
  <c r="T700" i="1" s="1"/>
  <c r="Q700" i="1"/>
  <c r="E700" i="1"/>
  <c r="T699" i="1"/>
  <c r="S699" i="1"/>
  <c r="R699" i="1"/>
  <c r="Q699" i="1"/>
  <c r="E699" i="1"/>
  <c r="S698" i="1"/>
  <c r="R698" i="1"/>
  <c r="T698" i="1" s="1"/>
  <c r="Q698" i="1"/>
  <c r="E698" i="1"/>
  <c r="S697" i="1"/>
  <c r="R697" i="1"/>
  <c r="T697" i="1" s="1"/>
  <c r="Q697" i="1"/>
  <c r="E697" i="1"/>
  <c r="T696" i="1"/>
  <c r="S696" i="1"/>
  <c r="R696" i="1"/>
  <c r="Q696" i="1"/>
  <c r="E696" i="1"/>
  <c r="S695" i="1"/>
  <c r="R695" i="1"/>
  <c r="T695" i="1" s="1"/>
  <c r="Q695" i="1"/>
  <c r="E695" i="1"/>
  <c r="S694" i="1"/>
  <c r="R694" i="1"/>
  <c r="T694" i="1" s="1"/>
  <c r="Q694" i="1"/>
  <c r="E694" i="1"/>
  <c r="T693" i="1"/>
  <c r="S693" i="1"/>
  <c r="R693" i="1"/>
  <c r="Q693" i="1"/>
  <c r="E693" i="1"/>
  <c r="S692" i="1"/>
  <c r="R692" i="1"/>
  <c r="T692" i="1" s="1"/>
  <c r="Q692" i="1"/>
  <c r="E692" i="1"/>
  <c r="S691" i="1"/>
  <c r="R691" i="1"/>
  <c r="T691" i="1" s="1"/>
  <c r="Q691" i="1"/>
  <c r="E691" i="1"/>
  <c r="T690" i="1"/>
  <c r="S690" i="1"/>
  <c r="R690" i="1"/>
  <c r="Q690" i="1"/>
  <c r="E690" i="1"/>
  <c r="S689" i="1"/>
  <c r="R689" i="1"/>
  <c r="T689" i="1" s="1"/>
  <c r="Q689" i="1"/>
  <c r="E689" i="1"/>
  <c r="S688" i="1"/>
  <c r="R688" i="1"/>
  <c r="T688" i="1" s="1"/>
  <c r="Q688" i="1"/>
  <c r="E688" i="1"/>
  <c r="T687" i="1"/>
  <c r="S687" i="1"/>
  <c r="R687" i="1"/>
  <c r="Q687" i="1"/>
  <c r="E687" i="1"/>
  <c r="T686" i="1"/>
  <c r="S686" i="1"/>
  <c r="R686" i="1"/>
  <c r="Q686" i="1"/>
  <c r="E686" i="1"/>
  <c r="S685" i="1"/>
  <c r="R685" i="1"/>
  <c r="T685" i="1" s="1"/>
  <c r="Q685" i="1"/>
  <c r="E685" i="1"/>
  <c r="S684" i="1"/>
  <c r="R684" i="1"/>
  <c r="T684" i="1" s="1"/>
  <c r="Q684" i="1"/>
  <c r="E684" i="1"/>
  <c r="S683" i="1"/>
  <c r="R683" i="1"/>
  <c r="T683" i="1" s="1"/>
  <c r="Q683" i="1"/>
  <c r="E683" i="1"/>
  <c r="S682" i="1"/>
  <c r="R682" i="1"/>
  <c r="T682" i="1" s="1"/>
  <c r="Q682" i="1"/>
  <c r="E682" i="1"/>
  <c r="S681" i="1"/>
  <c r="Q681" i="1"/>
  <c r="P681" i="1"/>
  <c r="R681" i="1" s="1"/>
  <c r="T681" i="1" s="1"/>
  <c r="E681" i="1"/>
  <c r="T680" i="1"/>
  <c r="S680" i="1"/>
  <c r="Q680" i="1"/>
  <c r="P680" i="1"/>
  <c r="R680" i="1" s="1"/>
  <c r="E680" i="1"/>
  <c r="Q679" i="1"/>
  <c r="S679" i="1" s="1"/>
  <c r="P679" i="1"/>
  <c r="R679" i="1" s="1"/>
  <c r="T679" i="1" s="1"/>
  <c r="E679" i="1"/>
  <c r="R678" i="1"/>
  <c r="T678" i="1" s="1"/>
  <c r="Q678" i="1"/>
  <c r="S678" i="1" s="1"/>
  <c r="E678" i="1"/>
  <c r="Q677" i="1"/>
  <c r="S677" i="1" s="1"/>
  <c r="P677" i="1"/>
  <c r="R677" i="1" s="1"/>
  <c r="T677" i="1" s="1"/>
  <c r="E677" i="1"/>
  <c r="Q676" i="1"/>
  <c r="S676" i="1" s="1"/>
  <c r="P676" i="1"/>
  <c r="R676" i="1" s="1"/>
  <c r="T676" i="1" s="1"/>
  <c r="E676" i="1"/>
  <c r="R675" i="1"/>
  <c r="T675" i="1" s="1"/>
  <c r="Q675" i="1"/>
  <c r="S675" i="1" s="1"/>
  <c r="P675" i="1"/>
  <c r="E675" i="1"/>
  <c r="S674" i="1"/>
  <c r="R674" i="1"/>
  <c r="T674" i="1" s="1"/>
  <c r="Q674" i="1"/>
  <c r="P674" i="1"/>
  <c r="E674" i="1"/>
  <c r="T673" i="1"/>
  <c r="S673" i="1"/>
  <c r="R673" i="1"/>
  <c r="Q673" i="1"/>
  <c r="E673" i="1"/>
  <c r="S672" i="1"/>
  <c r="Q672" i="1"/>
  <c r="P672" i="1"/>
  <c r="R672" i="1" s="1"/>
  <c r="T672" i="1" s="1"/>
  <c r="E672" i="1"/>
  <c r="Q671" i="1"/>
  <c r="S671" i="1" s="1"/>
  <c r="P671" i="1"/>
  <c r="R671" i="1" s="1"/>
  <c r="T671" i="1" s="1"/>
  <c r="E671" i="1"/>
  <c r="Q670" i="1"/>
  <c r="S670" i="1" s="1"/>
  <c r="P670" i="1"/>
  <c r="R670" i="1" s="1"/>
  <c r="T670" i="1" s="1"/>
  <c r="E670" i="1"/>
  <c r="S669" i="1"/>
  <c r="R669" i="1"/>
  <c r="T669" i="1" s="1"/>
  <c r="Q669" i="1"/>
  <c r="P669" i="1"/>
  <c r="E669" i="1"/>
  <c r="T668" i="1"/>
  <c r="S668" i="1"/>
  <c r="R668" i="1"/>
  <c r="Q668" i="1"/>
  <c r="P668" i="1"/>
  <c r="E668" i="1"/>
  <c r="T667" i="1"/>
  <c r="S667" i="1"/>
  <c r="R667" i="1"/>
  <c r="Q667" i="1"/>
  <c r="P667" i="1"/>
  <c r="E667" i="1"/>
  <c r="T666" i="1"/>
  <c r="S666" i="1"/>
  <c r="Q666" i="1"/>
  <c r="P666" i="1"/>
  <c r="R666" i="1" s="1"/>
  <c r="E666" i="1"/>
  <c r="T665" i="1"/>
  <c r="Q665" i="1"/>
  <c r="S665" i="1" s="1"/>
  <c r="P665" i="1"/>
  <c r="R665" i="1" s="1"/>
  <c r="E665" i="1"/>
  <c r="Q664" i="1"/>
  <c r="S664" i="1" s="1"/>
  <c r="P664" i="1"/>
  <c r="R664" i="1" s="1"/>
  <c r="T664" i="1" s="1"/>
  <c r="E664" i="1"/>
  <c r="S663" i="1"/>
  <c r="R663" i="1"/>
  <c r="T663" i="1" s="1"/>
  <c r="Q663" i="1"/>
  <c r="P663" i="1"/>
  <c r="E663" i="1"/>
  <c r="S662" i="1"/>
  <c r="R662" i="1"/>
  <c r="T662" i="1" s="1"/>
  <c r="Q662" i="1"/>
  <c r="E662" i="1"/>
  <c r="R661" i="1"/>
  <c r="T661" i="1" s="1"/>
  <c r="Q661" i="1"/>
  <c r="S661" i="1" s="1"/>
  <c r="E661" i="1"/>
  <c r="T660" i="1"/>
  <c r="R660" i="1"/>
  <c r="Q660" i="1"/>
  <c r="S660" i="1" s="1"/>
  <c r="E660" i="1"/>
  <c r="T659" i="1"/>
  <c r="S659" i="1"/>
  <c r="R659" i="1"/>
  <c r="Q659" i="1"/>
  <c r="E659" i="1"/>
  <c r="T658" i="1"/>
  <c r="S658" i="1"/>
  <c r="R658" i="1"/>
  <c r="Q658" i="1"/>
  <c r="E658" i="1"/>
  <c r="T657" i="1"/>
  <c r="S657" i="1"/>
  <c r="R657" i="1"/>
  <c r="Q657" i="1"/>
  <c r="E657" i="1"/>
  <c r="S656" i="1"/>
  <c r="R656" i="1"/>
  <c r="T656" i="1" s="1"/>
  <c r="Q656" i="1"/>
  <c r="E656" i="1"/>
  <c r="R655" i="1"/>
  <c r="T655" i="1" s="1"/>
  <c r="Q655" i="1"/>
  <c r="S655" i="1" s="1"/>
  <c r="E655" i="1"/>
  <c r="T654" i="1"/>
  <c r="R654" i="1"/>
  <c r="Q654" i="1"/>
  <c r="S654" i="1" s="1"/>
  <c r="E654" i="1"/>
  <c r="E653" i="1"/>
  <c r="E652" i="1"/>
  <c r="R651" i="1"/>
  <c r="T651" i="1" s="1"/>
  <c r="Q651" i="1"/>
  <c r="S651" i="1" s="1"/>
  <c r="E651" i="1"/>
  <c r="R650" i="1"/>
  <c r="T650" i="1" s="1"/>
  <c r="Q650" i="1"/>
  <c r="S650" i="1" s="1"/>
  <c r="E650" i="1"/>
  <c r="T649" i="1"/>
  <c r="R649" i="1"/>
  <c r="Q649" i="1"/>
  <c r="S649" i="1" s="1"/>
  <c r="E649" i="1"/>
  <c r="T648" i="1"/>
  <c r="R648" i="1"/>
  <c r="Q648" i="1"/>
  <c r="S648" i="1" s="1"/>
  <c r="E648" i="1"/>
  <c r="R647" i="1"/>
  <c r="T647" i="1" s="1"/>
  <c r="Q647" i="1"/>
  <c r="S647" i="1" s="1"/>
  <c r="E647" i="1"/>
  <c r="T646" i="1"/>
  <c r="R646" i="1"/>
  <c r="Q646" i="1"/>
  <c r="S646" i="1" s="1"/>
  <c r="E646" i="1"/>
  <c r="R645" i="1"/>
  <c r="T645" i="1" s="1"/>
  <c r="Q645" i="1"/>
  <c r="S645" i="1" s="1"/>
  <c r="E645" i="1"/>
  <c r="T644" i="1"/>
  <c r="R644" i="1"/>
  <c r="Q644" i="1"/>
  <c r="S644" i="1" s="1"/>
  <c r="E644" i="1"/>
  <c r="T643" i="1"/>
  <c r="R643" i="1"/>
  <c r="Q643" i="1"/>
  <c r="S643" i="1" s="1"/>
  <c r="E643" i="1"/>
  <c r="T642" i="1"/>
  <c r="R642" i="1"/>
  <c r="Q642" i="1"/>
  <c r="S642" i="1" s="1"/>
  <c r="E642" i="1"/>
  <c r="R641" i="1"/>
  <c r="T641" i="1" s="1"/>
  <c r="Q641" i="1"/>
  <c r="S641" i="1" s="1"/>
  <c r="E641" i="1"/>
  <c r="T640" i="1"/>
  <c r="R640" i="1"/>
  <c r="Q640" i="1"/>
  <c r="S640" i="1" s="1"/>
  <c r="E640" i="1"/>
  <c r="R639" i="1"/>
  <c r="T639" i="1" s="1"/>
  <c r="Q639" i="1"/>
  <c r="S639" i="1" s="1"/>
  <c r="E639" i="1"/>
  <c r="T638" i="1"/>
  <c r="S638" i="1"/>
  <c r="R638" i="1"/>
  <c r="Q638" i="1"/>
  <c r="E638" i="1"/>
  <c r="T637" i="1"/>
  <c r="S637" i="1"/>
  <c r="R637" i="1"/>
  <c r="Q637" i="1"/>
  <c r="E637" i="1"/>
  <c r="T636" i="1"/>
  <c r="S636" i="1"/>
  <c r="R636" i="1"/>
  <c r="Q636" i="1"/>
  <c r="E636" i="1"/>
  <c r="T635" i="1"/>
  <c r="S635" i="1"/>
  <c r="R635" i="1"/>
  <c r="Q635" i="1"/>
  <c r="E635" i="1"/>
  <c r="E634" i="1"/>
  <c r="T633" i="1"/>
  <c r="S633" i="1"/>
  <c r="R633" i="1"/>
  <c r="Q633" i="1"/>
  <c r="E633" i="1"/>
  <c r="T632" i="1"/>
  <c r="S632" i="1"/>
  <c r="R632" i="1"/>
  <c r="Q632" i="1"/>
  <c r="E632" i="1"/>
  <c r="T631" i="1"/>
  <c r="S631" i="1"/>
  <c r="R631" i="1"/>
  <c r="Q631" i="1"/>
  <c r="E631" i="1"/>
  <c r="T630" i="1"/>
  <c r="S630" i="1"/>
  <c r="R630" i="1"/>
  <c r="Q630" i="1"/>
  <c r="E630" i="1"/>
  <c r="T629" i="1"/>
  <c r="S629" i="1"/>
  <c r="R629" i="1"/>
  <c r="Q629" i="1"/>
  <c r="E629" i="1"/>
  <c r="T628" i="1"/>
  <c r="T627" i="1" s="1"/>
  <c r="S628" i="1"/>
  <c r="S627" i="1" s="1"/>
  <c r="N627" i="1" s="1"/>
  <c r="R628" i="1"/>
  <c r="Q628" i="1"/>
  <c r="E628" i="1"/>
  <c r="E627" i="1"/>
  <c r="T626" i="1"/>
  <c r="S626" i="1"/>
  <c r="R626" i="1"/>
  <c r="Q626" i="1"/>
  <c r="E626" i="1"/>
  <c r="T625" i="1"/>
  <c r="S625" i="1"/>
  <c r="R625" i="1"/>
  <c r="Q625" i="1"/>
  <c r="E625" i="1"/>
  <c r="T624" i="1"/>
  <c r="S624" i="1"/>
  <c r="R624" i="1"/>
  <c r="Q624" i="1"/>
  <c r="E624" i="1"/>
  <c r="T623" i="1"/>
  <c r="S623" i="1"/>
  <c r="R623" i="1"/>
  <c r="Q623" i="1"/>
  <c r="E623" i="1"/>
  <c r="T622" i="1"/>
  <c r="S622" i="1"/>
  <c r="R622" i="1"/>
  <c r="Q622" i="1"/>
  <c r="E622" i="1"/>
  <c r="T621" i="1"/>
  <c r="S621" i="1"/>
  <c r="R621" i="1"/>
  <c r="Q621" i="1"/>
  <c r="E621" i="1"/>
  <c r="T620" i="1"/>
  <c r="S620" i="1"/>
  <c r="R620" i="1"/>
  <c r="Q620" i="1"/>
  <c r="E620" i="1"/>
  <c r="T619" i="1"/>
  <c r="S619" i="1"/>
  <c r="R619" i="1"/>
  <c r="Q619" i="1"/>
  <c r="E619" i="1"/>
  <c r="T618" i="1"/>
  <c r="S618" i="1"/>
  <c r="R618" i="1"/>
  <c r="Q618" i="1"/>
  <c r="E618" i="1"/>
  <c r="T617" i="1"/>
  <c r="S617" i="1"/>
  <c r="R617" i="1"/>
  <c r="Q617" i="1"/>
  <c r="E617" i="1"/>
  <c r="T616" i="1"/>
  <c r="S616" i="1"/>
  <c r="R616" i="1"/>
  <c r="Q616" i="1"/>
  <c r="E616" i="1"/>
  <c r="T615" i="1"/>
  <c r="S615" i="1"/>
  <c r="R615" i="1"/>
  <c r="Q615" i="1"/>
  <c r="E615" i="1"/>
  <c r="T614" i="1"/>
  <c r="S614" i="1"/>
  <c r="R614" i="1"/>
  <c r="Q614" i="1"/>
  <c r="E614" i="1"/>
  <c r="T613" i="1"/>
  <c r="S613" i="1"/>
  <c r="R613" i="1"/>
  <c r="Q613" i="1"/>
  <c r="E613" i="1"/>
  <c r="T612" i="1"/>
  <c r="S612" i="1"/>
  <c r="R612" i="1"/>
  <c r="Q612" i="1"/>
  <c r="E612" i="1"/>
  <c r="T611" i="1"/>
  <c r="S611" i="1"/>
  <c r="R611" i="1"/>
  <c r="Q611" i="1"/>
  <c r="E611" i="1"/>
  <c r="T610" i="1"/>
  <c r="S610" i="1"/>
  <c r="R610" i="1"/>
  <c r="Q610" i="1"/>
  <c r="E610" i="1"/>
  <c r="T609" i="1"/>
  <c r="S609" i="1"/>
  <c r="R609" i="1"/>
  <c r="Q609" i="1"/>
  <c r="E609" i="1"/>
  <c r="T608" i="1"/>
  <c r="S608" i="1"/>
  <c r="R608" i="1"/>
  <c r="Q608" i="1"/>
  <c r="E608" i="1"/>
  <c r="T607" i="1"/>
  <c r="S607" i="1"/>
  <c r="R607" i="1"/>
  <c r="Q607" i="1"/>
  <c r="E607" i="1"/>
  <c r="T606" i="1"/>
  <c r="S606" i="1"/>
  <c r="R606" i="1"/>
  <c r="Q606" i="1"/>
  <c r="E606" i="1"/>
  <c r="T605" i="1"/>
  <c r="S605" i="1"/>
  <c r="R605" i="1"/>
  <c r="Q605" i="1"/>
  <c r="E605" i="1"/>
  <c r="T604" i="1"/>
  <c r="S604" i="1"/>
  <c r="R604" i="1"/>
  <c r="Q604" i="1"/>
  <c r="E604" i="1"/>
  <c r="T603" i="1"/>
  <c r="S603" i="1"/>
  <c r="R603" i="1"/>
  <c r="Q603" i="1"/>
  <c r="E603" i="1"/>
  <c r="T602" i="1"/>
  <c r="S602" i="1"/>
  <c r="R602" i="1"/>
  <c r="Q602" i="1"/>
  <c r="E602" i="1"/>
  <c r="T601" i="1"/>
  <c r="T600" i="1" s="1"/>
  <c r="S601" i="1"/>
  <c r="R601" i="1"/>
  <c r="Q601" i="1"/>
  <c r="E601" i="1"/>
  <c r="S600" i="1"/>
  <c r="N600" i="1" s="1"/>
  <c r="E600" i="1"/>
  <c r="S599" i="1"/>
  <c r="R599" i="1"/>
  <c r="T599" i="1" s="1"/>
  <c r="Q599" i="1"/>
  <c r="E599" i="1"/>
  <c r="S598" i="1"/>
  <c r="R598" i="1"/>
  <c r="T598" i="1" s="1"/>
  <c r="Q598" i="1"/>
  <c r="E598" i="1"/>
  <c r="S597" i="1"/>
  <c r="R597" i="1"/>
  <c r="T597" i="1" s="1"/>
  <c r="Q597" i="1"/>
  <c r="E597" i="1"/>
  <c r="S596" i="1"/>
  <c r="R596" i="1"/>
  <c r="T596" i="1" s="1"/>
  <c r="Q596" i="1"/>
  <c r="E596" i="1"/>
  <c r="S595" i="1"/>
  <c r="R595" i="1"/>
  <c r="T595" i="1" s="1"/>
  <c r="Q595" i="1"/>
  <c r="E595" i="1"/>
  <c r="S594" i="1"/>
  <c r="R594" i="1"/>
  <c r="T594" i="1" s="1"/>
  <c r="Q594" i="1"/>
  <c r="E594" i="1"/>
  <c r="S593" i="1"/>
  <c r="R593" i="1"/>
  <c r="T593" i="1" s="1"/>
  <c r="Q593" i="1"/>
  <c r="E593" i="1"/>
  <c r="S592" i="1"/>
  <c r="R592" i="1"/>
  <c r="T592" i="1" s="1"/>
  <c r="Q592" i="1"/>
  <c r="E592" i="1"/>
  <c r="S591" i="1"/>
  <c r="R591" i="1"/>
  <c r="T591" i="1" s="1"/>
  <c r="Q591" i="1"/>
  <c r="E591" i="1"/>
  <c r="S590" i="1"/>
  <c r="R590" i="1"/>
  <c r="T590" i="1" s="1"/>
  <c r="Q590" i="1"/>
  <c r="E590" i="1"/>
  <c r="S589" i="1"/>
  <c r="S587" i="1" s="1"/>
  <c r="N587" i="1" s="1"/>
  <c r="R589" i="1"/>
  <c r="T589" i="1" s="1"/>
  <c r="Q589" i="1"/>
  <c r="E589" i="1"/>
  <c r="S588" i="1"/>
  <c r="R588" i="1"/>
  <c r="T588" i="1" s="1"/>
  <c r="T587" i="1" s="1"/>
  <c r="Q588" i="1"/>
  <c r="E588" i="1"/>
  <c r="E587" i="1"/>
  <c r="E586" i="1"/>
  <c r="R585" i="1"/>
  <c r="T585" i="1" s="1"/>
  <c r="Q585" i="1"/>
  <c r="S585" i="1" s="1"/>
  <c r="E585" i="1"/>
  <c r="R584" i="1"/>
  <c r="T584" i="1" s="1"/>
  <c r="Q584" i="1"/>
  <c r="S584" i="1" s="1"/>
  <c r="E584" i="1"/>
  <c r="R583" i="1"/>
  <c r="T583" i="1" s="1"/>
  <c r="Q583" i="1"/>
  <c r="S583" i="1" s="1"/>
  <c r="E583" i="1"/>
  <c r="R582" i="1"/>
  <c r="T582" i="1" s="1"/>
  <c r="Q582" i="1"/>
  <c r="S582" i="1" s="1"/>
  <c r="E582" i="1"/>
  <c r="R581" i="1"/>
  <c r="T581" i="1" s="1"/>
  <c r="Q581" i="1"/>
  <c r="S581" i="1" s="1"/>
  <c r="E581" i="1"/>
  <c r="R580" i="1"/>
  <c r="T580" i="1" s="1"/>
  <c r="Q580" i="1"/>
  <c r="S580" i="1" s="1"/>
  <c r="E580" i="1"/>
  <c r="R579" i="1"/>
  <c r="T579" i="1" s="1"/>
  <c r="Q579" i="1"/>
  <c r="S579" i="1" s="1"/>
  <c r="E579" i="1"/>
  <c r="R578" i="1"/>
  <c r="T578" i="1" s="1"/>
  <c r="Q578" i="1"/>
  <c r="S578" i="1" s="1"/>
  <c r="E578" i="1"/>
  <c r="R577" i="1"/>
  <c r="T577" i="1" s="1"/>
  <c r="Q577" i="1"/>
  <c r="S577" i="1" s="1"/>
  <c r="E577" i="1"/>
  <c r="R576" i="1"/>
  <c r="T576" i="1" s="1"/>
  <c r="Q576" i="1"/>
  <c r="S576" i="1" s="1"/>
  <c r="E576" i="1"/>
  <c r="R575" i="1"/>
  <c r="T575" i="1" s="1"/>
  <c r="Q575" i="1"/>
  <c r="S575" i="1" s="1"/>
  <c r="E575" i="1"/>
  <c r="R574" i="1"/>
  <c r="T574" i="1" s="1"/>
  <c r="Q574" i="1"/>
  <c r="S574" i="1" s="1"/>
  <c r="E574" i="1"/>
  <c r="R573" i="1"/>
  <c r="T573" i="1" s="1"/>
  <c r="Q573" i="1"/>
  <c r="S573" i="1" s="1"/>
  <c r="E573" i="1"/>
  <c r="R572" i="1"/>
  <c r="T572" i="1" s="1"/>
  <c r="Q572" i="1"/>
  <c r="S572" i="1" s="1"/>
  <c r="E572" i="1"/>
  <c r="R571" i="1"/>
  <c r="T571" i="1" s="1"/>
  <c r="Q571" i="1"/>
  <c r="S571" i="1" s="1"/>
  <c r="E571" i="1"/>
  <c r="R570" i="1"/>
  <c r="T570" i="1" s="1"/>
  <c r="Q570" i="1"/>
  <c r="S570" i="1" s="1"/>
  <c r="E570" i="1"/>
  <c r="R569" i="1"/>
  <c r="T569" i="1" s="1"/>
  <c r="Q569" i="1"/>
  <c r="S569" i="1" s="1"/>
  <c r="E569" i="1"/>
  <c r="R568" i="1"/>
  <c r="T568" i="1" s="1"/>
  <c r="Q568" i="1"/>
  <c r="S568" i="1" s="1"/>
  <c r="E568" i="1"/>
  <c r="R567" i="1"/>
  <c r="T567" i="1" s="1"/>
  <c r="Q567" i="1"/>
  <c r="S567" i="1" s="1"/>
  <c r="E567" i="1"/>
  <c r="R566" i="1"/>
  <c r="T566" i="1" s="1"/>
  <c r="Q566" i="1"/>
  <c r="S566" i="1" s="1"/>
  <c r="E566" i="1"/>
  <c r="R565" i="1"/>
  <c r="T565" i="1" s="1"/>
  <c r="Q565" i="1"/>
  <c r="S565" i="1" s="1"/>
  <c r="E565" i="1"/>
  <c r="R564" i="1"/>
  <c r="T564" i="1" s="1"/>
  <c r="Q564" i="1"/>
  <c r="S564" i="1" s="1"/>
  <c r="E564" i="1"/>
  <c r="R563" i="1"/>
  <c r="T563" i="1" s="1"/>
  <c r="Q563" i="1"/>
  <c r="S563" i="1" s="1"/>
  <c r="E563" i="1"/>
  <c r="R562" i="1"/>
  <c r="T562" i="1" s="1"/>
  <c r="Q562" i="1"/>
  <c r="S562" i="1" s="1"/>
  <c r="E562" i="1"/>
  <c r="R561" i="1"/>
  <c r="T561" i="1" s="1"/>
  <c r="Q561" i="1"/>
  <c r="S561" i="1" s="1"/>
  <c r="E561" i="1"/>
  <c r="R560" i="1"/>
  <c r="T560" i="1" s="1"/>
  <c r="Q560" i="1"/>
  <c r="S560" i="1" s="1"/>
  <c r="E560" i="1"/>
  <c r="R559" i="1"/>
  <c r="T559" i="1" s="1"/>
  <c r="Q559" i="1"/>
  <c r="S559" i="1" s="1"/>
  <c r="E559" i="1"/>
  <c r="R558" i="1"/>
  <c r="T558" i="1" s="1"/>
  <c r="Q558" i="1"/>
  <c r="S558" i="1" s="1"/>
  <c r="E558" i="1"/>
  <c r="R557" i="1"/>
  <c r="T557" i="1" s="1"/>
  <c r="Q557" i="1"/>
  <c r="S557" i="1" s="1"/>
  <c r="E557" i="1"/>
  <c r="R556" i="1"/>
  <c r="T556" i="1" s="1"/>
  <c r="Q556" i="1"/>
  <c r="S556" i="1" s="1"/>
  <c r="E556" i="1"/>
  <c r="R555" i="1"/>
  <c r="T555" i="1" s="1"/>
  <c r="Q555" i="1"/>
  <c r="S555" i="1" s="1"/>
  <c r="S552" i="1" s="1"/>
  <c r="N552" i="1" s="1"/>
  <c r="E555" i="1"/>
  <c r="E554" i="1"/>
  <c r="S553" i="1"/>
  <c r="R553" i="1"/>
  <c r="T553" i="1" s="1"/>
  <c r="Q553" i="1"/>
  <c r="E553" i="1"/>
  <c r="E552" i="1"/>
  <c r="R551" i="1"/>
  <c r="T551" i="1" s="1"/>
  <c r="Q551" i="1"/>
  <c r="S551" i="1" s="1"/>
  <c r="P551" i="1"/>
  <c r="E551" i="1"/>
  <c r="S550" i="1"/>
  <c r="Q550" i="1"/>
  <c r="P550" i="1"/>
  <c r="R550" i="1" s="1"/>
  <c r="T550" i="1" s="1"/>
  <c r="E550" i="1"/>
  <c r="S549" i="1"/>
  <c r="Q549" i="1"/>
  <c r="P549" i="1"/>
  <c r="R549" i="1" s="1"/>
  <c r="T549" i="1" s="1"/>
  <c r="E549" i="1"/>
  <c r="T548" i="1"/>
  <c r="S548" i="1"/>
  <c r="R548" i="1"/>
  <c r="Q548" i="1"/>
  <c r="E548" i="1"/>
  <c r="S547" i="1"/>
  <c r="Q547" i="1"/>
  <c r="P547" i="1"/>
  <c r="R547" i="1" s="1"/>
  <c r="T547" i="1" s="1"/>
  <c r="E547" i="1"/>
  <c r="Q546" i="1"/>
  <c r="S546" i="1" s="1"/>
  <c r="P546" i="1"/>
  <c r="R546" i="1" s="1"/>
  <c r="T546" i="1" s="1"/>
  <c r="E546" i="1"/>
  <c r="Q545" i="1"/>
  <c r="S545" i="1" s="1"/>
  <c r="P545" i="1"/>
  <c r="R545" i="1" s="1"/>
  <c r="T545" i="1" s="1"/>
  <c r="E545" i="1"/>
  <c r="R544" i="1"/>
  <c r="T544" i="1" s="1"/>
  <c r="Q544" i="1"/>
  <c r="S544" i="1" s="1"/>
  <c r="P544" i="1"/>
  <c r="E544" i="1"/>
  <c r="S543" i="1"/>
  <c r="Q543" i="1"/>
  <c r="P543" i="1"/>
  <c r="R543" i="1" s="1"/>
  <c r="T543" i="1" s="1"/>
  <c r="E543" i="1"/>
  <c r="T542" i="1"/>
  <c r="S542" i="1"/>
  <c r="R542" i="1"/>
  <c r="Q542" i="1"/>
  <c r="E542" i="1"/>
  <c r="T541" i="1"/>
  <c r="S541" i="1"/>
  <c r="R541" i="1"/>
  <c r="Q541" i="1"/>
  <c r="E541" i="1"/>
  <c r="T540" i="1"/>
  <c r="S540" i="1"/>
  <c r="R540" i="1"/>
  <c r="Q540" i="1"/>
  <c r="E540" i="1"/>
  <c r="T539" i="1"/>
  <c r="S539" i="1"/>
  <c r="R539" i="1"/>
  <c r="Q539" i="1"/>
  <c r="E539" i="1"/>
  <c r="T538" i="1"/>
  <c r="S538" i="1"/>
  <c r="R538" i="1"/>
  <c r="Q538" i="1"/>
  <c r="E538" i="1"/>
  <c r="T537" i="1"/>
  <c r="S537" i="1"/>
  <c r="R537" i="1"/>
  <c r="Q537" i="1"/>
  <c r="E537" i="1"/>
  <c r="S536" i="1"/>
  <c r="Q536" i="1"/>
  <c r="P536" i="1"/>
  <c r="R536" i="1" s="1"/>
  <c r="T536" i="1" s="1"/>
  <c r="E536" i="1"/>
  <c r="S535" i="1"/>
  <c r="Q535" i="1"/>
  <c r="P535" i="1"/>
  <c r="R535" i="1" s="1"/>
  <c r="T535" i="1" s="1"/>
  <c r="E535" i="1"/>
  <c r="Q534" i="1"/>
  <c r="S534" i="1" s="1"/>
  <c r="P534" i="1"/>
  <c r="R534" i="1" s="1"/>
  <c r="T534" i="1" s="1"/>
  <c r="E534" i="1"/>
  <c r="Q533" i="1"/>
  <c r="S533" i="1" s="1"/>
  <c r="P533" i="1"/>
  <c r="R533" i="1" s="1"/>
  <c r="T533" i="1" s="1"/>
  <c r="E533" i="1"/>
  <c r="E532" i="1"/>
  <c r="R531" i="1"/>
  <c r="T531" i="1" s="1"/>
  <c r="Q531" i="1"/>
  <c r="S531" i="1" s="1"/>
  <c r="R530" i="1"/>
  <c r="T530" i="1" s="1"/>
  <c r="Q530" i="1"/>
  <c r="S530" i="1" s="1"/>
  <c r="S529" i="1"/>
  <c r="R529" i="1"/>
  <c r="T529" i="1" s="1"/>
  <c r="Q529" i="1"/>
  <c r="T528" i="1"/>
  <c r="S528" i="1"/>
  <c r="R528" i="1"/>
  <c r="Q528" i="1"/>
  <c r="T527" i="1"/>
  <c r="S527" i="1"/>
  <c r="R527" i="1"/>
  <c r="Q527" i="1"/>
  <c r="T526" i="1"/>
  <c r="R526" i="1"/>
  <c r="Q526" i="1"/>
  <c r="S526" i="1" s="1"/>
  <c r="R525" i="1"/>
  <c r="T525" i="1" s="1"/>
  <c r="Q525" i="1"/>
  <c r="S525" i="1" s="1"/>
  <c r="R524" i="1"/>
  <c r="T524" i="1" s="1"/>
  <c r="Q524" i="1"/>
  <c r="S524" i="1" s="1"/>
  <c r="P524" i="1"/>
  <c r="E524" i="1"/>
  <c r="S523" i="1"/>
  <c r="R523" i="1"/>
  <c r="T523" i="1" s="1"/>
  <c r="Q523" i="1"/>
  <c r="P523" i="1"/>
  <c r="T522" i="1"/>
  <c r="S522" i="1"/>
  <c r="R522" i="1"/>
  <c r="Q522" i="1"/>
  <c r="T521" i="1"/>
  <c r="R521" i="1"/>
  <c r="Q521" i="1"/>
  <c r="S521" i="1" s="1"/>
  <c r="R520" i="1"/>
  <c r="T520" i="1" s="1"/>
  <c r="Q520" i="1"/>
  <c r="S520" i="1" s="1"/>
  <c r="R519" i="1"/>
  <c r="T519" i="1" s="1"/>
  <c r="Q519" i="1"/>
  <c r="S519" i="1" s="1"/>
  <c r="S518" i="1"/>
  <c r="R518" i="1"/>
  <c r="T518" i="1" s="1"/>
  <c r="Q518" i="1"/>
  <c r="T517" i="1"/>
  <c r="S517" i="1"/>
  <c r="R517" i="1"/>
  <c r="Q517" i="1"/>
  <c r="T516" i="1"/>
  <c r="S516" i="1"/>
  <c r="R516" i="1"/>
  <c r="Q516" i="1"/>
  <c r="T515" i="1"/>
  <c r="R515" i="1"/>
  <c r="Q515" i="1"/>
  <c r="S515" i="1" s="1"/>
  <c r="R514" i="1"/>
  <c r="T514" i="1" s="1"/>
  <c r="Q514" i="1"/>
  <c r="S514" i="1" s="1"/>
  <c r="R513" i="1"/>
  <c r="T513" i="1" s="1"/>
  <c r="Q513" i="1"/>
  <c r="S513" i="1" s="1"/>
  <c r="S512" i="1"/>
  <c r="R512" i="1"/>
  <c r="T512" i="1" s="1"/>
  <c r="Q512" i="1"/>
  <c r="T511" i="1"/>
  <c r="S511" i="1"/>
  <c r="R511" i="1"/>
  <c r="Q511" i="1"/>
  <c r="T510" i="1"/>
  <c r="S510" i="1"/>
  <c r="R510" i="1"/>
  <c r="Q510" i="1"/>
  <c r="T509" i="1"/>
  <c r="R509" i="1"/>
  <c r="Q509" i="1"/>
  <c r="S509" i="1" s="1"/>
  <c r="R508" i="1"/>
  <c r="T508" i="1" s="1"/>
  <c r="Q508" i="1"/>
  <c r="S508" i="1" s="1"/>
  <c r="R507" i="1"/>
  <c r="T507" i="1" s="1"/>
  <c r="Q507" i="1"/>
  <c r="S507" i="1" s="1"/>
  <c r="S506" i="1"/>
  <c r="R506" i="1"/>
  <c r="T506" i="1" s="1"/>
  <c r="Q506" i="1"/>
  <c r="T505" i="1"/>
  <c r="S505" i="1"/>
  <c r="R505" i="1"/>
  <c r="Q505" i="1"/>
  <c r="T504" i="1"/>
  <c r="S504" i="1"/>
  <c r="R504" i="1"/>
  <c r="Q504" i="1"/>
  <c r="T503" i="1"/>
  <c r="R503" i="1"/>
  <c r="Q503" i="1"/>
  <c r="S503" i="1" s="1"/>
  <c r="R502" i="1"/>
  <c r="T502" i="1" s="1"/>
  <c r="Q502" i="1"/>
  <c r="S502" i="1" s="1"/>
  <c r="R501" i="1"/>
  <c r="T501" i="1" s="1"/>
  <c r="Q501" i="1"/>
  <c r="S501" i="1" s="1"/>
  <c r="S500" i="1"/>
  <c r="R500" i="1"/>
  <c r="T500" i="1" s="1"/>
  <c r="Q500" i="1"/>
  <c r="T499" i="1"/>
  <c r="S499" i="1"/>
  <c r="R499" i="1"/>
  <c r="Q499" i="1"/>
  <c r="T498" i="1"/>
  <c r="S498" i="1"/>
  <c r="R498" i="1"/>
  <c r="Q498" i="1"/>
  <c r="T497" i="1"/>
  <c r="R497" i="1"/>
  <c r="Q497" i="1"/>
  <c r="S497" i="1" s="1"/>
  <c r="R496" i="1"/>
  <c r="T496" i="1" s="1"/>
  <c r="Q496" i="1"/>
  <c r="S496" i="1" s="1"/>
  <c r="R495" i="1"/>
  <c r="T495" i="1" s="1"/>
  <c r="Q495" i="1"/>
  <c r="S495" i="1" s="1"/>
  <c r="P495" i="1"/>
  <c r="S494" i="1"/>
  <c r="Q494" i="1"/>
  <c r="P494" i="1"/>
  <c r="R494" i="1" s="1"/>
  <c r="T494" i="1" s="1"/>
  <c r="Q493" i="1"/>
  <c r="S493" i="1" s="1"/>
  <c r="P493" i="1"/>
  <c r="R493" i="1" s="1"/>
  <c r="T493" i="1" s="1"/>
  <c r="Q492" i="1"/>
  <c r="S492" i="1" s="1"/>
  <c r="P492" i="1"/>
  <c r="R492" i="1" s="1"/>
  <c r="T492" i="1" s="1"/>
  <c r="T491" i="1"/>
  <c r="S491" i="1"/>
  <c r="R491" i="1"/>
  <c r="Q491" i="1"/>
  <c r="P491" i="1"/>
  <c r="T490" i="1"/>
  <c r="R490" i="1"/>
  <c r="Q490" i="1"/>
  <c r="S490" i="1" s="1"/>
  <c r="R489" i="1"/>
  <c r="T489" i="1" s="1"/>
  <c r="Q489" i="1"/>
  <c r="S489" i="1" s="1"/>
  <c r="R488" i="1"/>
  <c r="T488" i="1" s="1"/>
  <c r="Q488" i="1"/>
  <c r="S488" i="1" s="1"/>
  <c r="S487" i="1"/>
  <c r="Q487" i="1"/>
  <c r="P487" i="1"/>
  <c r="R487" i="1" s="1"/>
  <c r="T487" i="1" s="1"/>
  <c r="T486" i="1"/>
  <c r="S486" i="1"/>
  <c r="R486" i="1"/>
  <c r="Q486" i="1"/>
  <c r="T485" i="1"/>
  <c r="R485" i="1"/>
  <c r="Q485" i="1"/>
  <c r="S485" i="1" s="1"/>
  <c r="R484" i="1"/>
  <c r="T484" i="1" s="1"/>
  <c r="Q484" i="1"/>
  <c r="S484" i="1" s="1"/>
  <c r="R483" i="1"/>
  <c r="T483" i="1" s="1"/>
  <c r="Q483" i="1"/>
  <c r="S483" i="1" s="1"/>
  <c r="S482" i="1"/>
  <c r="R482" i="1"/>
  <c r="T482" i="1" s="1"/>
  <c r="Q482" i="1"/>
  <c r="T481" i="1"/>
  <c r="S481" i="1"/>
  <c r="R481" i="1"/>
  <c r="Q481" i="1"/>
  <c r="T480" i="1"/>
  <c r="S480" i="1"/>
  <c r="R480" i="1"/>
  <c r="Q480" i="1"/>
  <c r="T479" i="1"/>
  <c r="R479" i="1"/>
  <c r="Q479" i="1"/>
  <c r="S479" i="1" s="1"/>
  <c r="R478" i="1"/>
  <c r="T478" i="1" s="1"/>
  <c r="Q478" i="1"/>
  <c r="S478" i="1" s="1"/>
  <c r="R477" i="1"/>
  <c r="T477" i="1" s="1"/>
  <c r="Q477" i="1"/>
  <c r="S477" i="1" s="1"/>
  <c r="S476" i="1"/>
  <c r="R476" i="1"/>
  <c r="T476" i="1" s="1"/>
  <c r="Q476" i="1"/>
  <c r="T475" i="1"/>
  <c r="S475" i="1"/>
  <c r="R475" i="1"/>
  <c r="Q475" i="1"/>
  <c r="D475" i="1"/>
  <c r="T474" i="1"/>
  <c r="S474" i="1"/>
  <c r="R474" i="1"/>
  <c r="Q474" i="1"/>
  <c r="E474" i="1"/>
  <c r="D474" i="1"/>
  <c r="T473" i="1"/>
  <c r="R473" i="1"/>
  <c r="Q473" i="1"/>
  <c r="S473" i="1" s="1"/>
  <c r="E473" i="1"/>
  <c r="E472" i="1"/>
  <c r="T471" i="1"/>
  <c r="S471" i="1"/>
  <c r="R471" i="1"/>
  <c r="Q471" i="1"/>
  <c r="E471" i="1"/>
  <c r="T470" i="1"/>
  <c r="S470" i="1"/>
  <c r="R470" i="1"/>
  <c r="Q470" i="1"/>
  <c r="E470" i="1"/>
  <c r="T469" i="1"/>
  <c r="S469" i="1"/>
  <c r="R469" i="1"/>
  <c r="Q469" i="1"/>
  <c r="E469" i="1"/>
  <c r="T468" i="1"/>
  <c r="S468" i="1"/>
  <c r="R468" i="1"/>
  <c r="Q468" i="1"/>
  <c r="E468" i="1"/>
  <c r="T466" i="1"/>
  <c r="S466" i="1"/>
  <c r="R466" i="1"/>
  <c r="Q466" i="1"/>
  <c r="T465" i="1"/>
  <c r="S465" i="1"/>
  <c r="R465" i="1"/>
  <c r="Q465" i="1"/>
  <c r="T464" i="1"/>
  <c r="S464" i="1"/>
  <c r="R464" i="1"/>
  <c r="Q464" i="1"/>
  <c r="T463" i="1"/>
  <c r="S463" i="1"/>
  <c r="R463" i="1"/>
  <c r="Q463" i="1"/>
  <c r="T462" i="1"/>
  <c r="S462" i="1"/>
  <c r="R462" i="1"/>
  <c r="Q462" i="1"/>
  <c r="T461" i="1"/>
  <c r="S461" i="1"/>
  <c r="R461" i="1"/>
  <c r="Q461" i="1"/>
  <c r="T460" i="1"/>
  <c r="S460" i="1"/>
  <c r="R460" i="1"/>
  <c r="Q460" i="1"/>
  <c r="T459" i="1"/>
  <c r="S459" i="1"/>
  <c r="R459" i="1"/>
  <c r="Q459" i="1"/>
  <c r="T458" i="1"/>
  <c r="S458" i="1"/>
  <c r="R458" i="1"/>
  <c r="Q458" i="1"/>
  <c r="T457" i="1"/>
  <c r="S457" i="1"/>
  <c r="R457" i="1"/>
  <c r="Q457" i="1"/>
  <c r="F457" i="1"/>
  <c r="F458" i="1" s="1"/>
  <c r="F459" i="1" s="1"/>
  <c r="F460" i="1" s="1"/>
  <c r="F461" i="1" s="1"/>
  <c r="F462" i="1" s="1"/>
  <c r="F463" i="1" s="1"/>
  <c r="F464" i="1" s="1"/>
  <c r="T456" i="1"/>
  <c r="S456" i="1"/>
  <c r="R456" i="1"/>
  <c r="Q456" i="1"/>
  <c r="T455" i="1"/>
  <c r="S455" i="1"/>
  <c r="R455" i="1"/>
  <c r="Q455" i="1"/>
  <c r="E455" i="1"/>
  <c r="T454" i="1"/>
  <c r="S454" i="1"/>
  <c r="R454" i="1"/>
  <c r="Q454" i="1"/>
  <c r="E454" i="1"/>
  <c r="T453" i="1"/>
  <c r="S453" i="1"/>
  <c r="R453" i="1"/>
  <c r="Q453" i="1"/>
  <c r="E453" i="1"/>
  <c r="T452" i="1"/>
  <c r="S452" i="1"/>
  <c r="R452" i="1"/>
  <c r="Q452" i="1"/>
  <c r="E452" i="1"/>
  <c r="T451" i="1"/>
  <c r="S451" i="1"/>
  <c r="R451" i="1"/>
  <c r="Q451" i="1"/>
  <c r="E451" i="1"/>
  <c r="T450" i="1"/>
  <c r="S450" i="1"/>
  <c r="R450" i="1"/>
  <c r="Q450" i="1"/>
  <c r="E450" i="1"/>
  <c r="T449" i="1"/>
  <c r="S449" i="1"/>
  <c r="R449" i="1"/>
  <c r="Q449" i="1"/>
  <c r="E449" i="1"/>
  <c r="T448" i="1"/>
  <c r="S448" i="1"/>
  <c r="R448" i="1"/>
  <c r="Q448" i="1"/>
  <c r="E448" i="1"/>
  <c r="E447" i="1"/>
  <c r="E446" i="1"/>
  <c r="S445" i="1"/>
  <c r="R445" i="1"/>
  <c r="T445" i="1" s="1"/>
  <c r="Q445" i="1"/>
  <c r="E445" i="1"/>
  <c r="R444" i="1"/>
  <c r="T444" i="1" s="1"/>
  <c r="Q444" i="1"/>
  <c r="S444" i="1" s="1"/>
  <c r="E444" i="1"/>
  <c r="S443" i="1"/>
  <c r="R443" i="1"/>
  <c r="T443" i="1" s="1"/>
  <c r="Q443" i="1"/>
  <c r="E443" i="1"/>
  <c r="S442" i="1"/>
  <c r="R442" i="1"/>
  <c r="T442" i="1" s="1"/>
  <c r="Q442" i="1"/>
  <c r="E442" i="1"/>
  <c r="R441" i="1"/>
  <c r="T441" i="1" s="1"/>
  <c r="Q441" i="1"/>
  <c r="S441" i="1" s="1"/>
  <c r="E441" i="1"/>
  <c r="S440" i="1"/>
  <c r="R440" i="1"/>
  <c r="T440" i="1" s="1"/>
  <c r="Q440" i="1"/>
  <c r="P440" i="1"/>
  <c r="E440" i="1"/>
  <c r="S439" i="1"/>
  <c r="Q439" i="1"/>
  <c r="P439" i="1"/>
  <c r="R439" i="1" s="1"/>
  <c r="T439" i="1" s="1"/>
  <c r="E439" i="1"/>
  <c r="S438" i="1"/>
  <c r="Q438" i="1"/>
  <c r="P438" i="1"/>
  <c r="R438" i="1" s="1"/>
  <c r="T438" i="1" s="1"/>
  <c r="E438" i="1"/>
  <c r="T437" i="1"/>
  <c r="Q437" i="1"/>
  <c r="S437" i="1" s="1"/>
  <c r="P437" i="1"/>
  <c r="R437" i="1" s="1"/>
  <c r="E437" i="1"/>
  <c r="Q436" i="1"/>
  <c r="S436" i="1" s="1"/>
  <c r="P436" i="1"/>
  <c r="R436" i="1" s="1"/>
  <c r="T436" i="1" s="1"/>
  <c r="E436" i="1"/>
  <c r="R435" i="1"/>
  <c r="T435" i="1" s="1"/>
  <c r="Q435" i="1"/>
  <c r="S435" i="1" s="1"/>
  <c r="E435" i="1"/>
  <c r="R434" i="1"/>
  <c r="T434" i="1" s="1"/>
  <c r="Q434" i="1"/>
  <c r="S434" i="1" s="1"/>
  <c r="E434" i="1"/>
  <c r="R433" i="1"/>
  <c r="T433" i="1" s="1"/>
  <c r="Q433" i="1"/>
  <c r="S433" i="1" s="1"/>
  <c r="E433" i="1"/>
  <c r="R432" i="1"/>
  <c r="T432" i="1" s="1"/>
  <c r="Q432" i="1"/>
  <c r="S432" i="1" s="1"/>
  <c r="E432" i="1"/>
  <c r="R431" i="1"/>
  <c r="T431" i="1" s="1"/>
  <c r="Q431" i="1"/>
  <c r="S431" i="1" s="1"/>
  <c r="E431" i="1"/>
  <c r="R430" i="1"/>
  <c r="T430" i="1" s="1"/>
  <c r="Q430" i="1"/>
  <c r="S430" i="1" s="1"/>
  <c r="E430" i="1"/>
  <c r="R429" i="1"/>
  <c r="T429" i="1" s="1"/>
  <c r="Q429" i="1"/>
  <c r="S429" i="1" s="1"/>
  <c r="E429" i="1"/>
  <c r="R428" i="1"/>
  <c r="T428" i="1" s="1"/>
  <c r="Q428" i="1"/>
  <c r="S428" i="1" s="1"/>
  <c r="E428" i="1"/>
  <c r="R427" i="1"/>
  <c r="T427" i="1" s="1"/>
  <c r="Q427" i="1"/>
  <c r="S427" i="1" s="1"/>
  <c r="E427" i="1"/>
  <c r="R426" i="1"/>
  <c r="T426" i="1" s="1"/>
  <c r="Q426" i="1"/>
  <c r="S426" i="1" s="1"/>
  <c r="E426" i="1"/>
  <c r="R425" i="1"/>
  <c r="T425" i="1" s="1"/>
  <c r="Q425" i="1"/>
  <c r="S425" i="1" s="1"/>
  <c r="E425" i="1"/>
  <c r="R424" i="1"/>
  <c r="T424" i="1" s="1"/>
  <c r="Q424" i="1"/>
  <c r="S424" i="1" s="1"/>
  <c r="E424" i="1"/>
  <c r="R423" i="1"/>
  <c r="T423" i="1" s="1"/>
  <c r="Q423" i="1"/>
  <c r="S423" i="1" s="1"/>
  <c r="E423" i="1"/>
  <c r="R422" i="1"/>
  <c r="T422" i="1" s="1"/>
  <c r="Q422" i="1"/>
  <c r="S422" i="1" s="1"/>
  <c r="E422" i="1"/>
  <c r="R421" i="1"/>
  <c r="T421" i="1" s="1"/>
  <c r="Q421" i="1"/>
  <c r="S421" i="1" s="1"/>
  <c r="E421" i="1"/>
  <c r="R420" i="1"/>
  <c r="T420" i="1" s="1"/>
  <c r="Q420" i="1"/>
  <c r="S420" i="1" s="1"/>
  <c r="E420" i="1"/>
  <c r="R419" i="1"/>
  <c r="T419" i="1" s="1"/>
  <c r="Q419" i="1"/>
  <c r="S419" i="1" s="1"/>
  <c r="E419" i="1"/>
  <c r="R418" i="1"/>
  <c r="T418" i="1" s="1"/>
  <c r="Q418" i="1"/>
  <c r="S418" i="1" s="1"/>
  <c r="E418" i="1"/>
  <c r="R417" i="1"/>
  <c r="T417" i="1" s="1"/>
  <c r="Q417" i="1"/>
  <c r="S417" i="1" s="1"/>
  <c r="E417" i="1"/>
  <c r="R416" i="1"/>
  <c r="T416" i="1" s="1"/>
  <c r="Q416" i="1"/>
  <c r="S416" i="1" s="1"/>
  <c r="E416" i="1"/>
  <c r="R415" i="1"/>
  <c r="T415" i="1" s="1"/>
  <c r="Q415" i="1"/>
  <c r="S415" i="1" s="1"/>
  <c r="E415" i="1"/>
  <c r="R414" i="1"/>
  <c r="T414" i="1" s="1"/>
  <c r="Q414" i="1"/>
  <c r="S414" i="1" s="1"/>
  <c r="E414" i="1"/>
  <c r="R413" i="1"/>
  <c r="T413" i="1" s="1"/>
  <c r="Q413" i="1"/>
  <c r="S413" i="1" s="1"/>
  <c r="E413" i="1"/>
  <c r="E412" i="1"/>
  <c r="R411" i="1"/>
  <c r="T411" i="1" s="1"/>
  <c r="Q411" i="1"/>
  <c r="S411" i="1" s="1"/>
  <c r="E411" i="1"/>
  <c r="S410" i="1"/>
  <c r="R410" i="1"/>
  <c r="T410" i="1" s="1"/>
  <c r="Q410" i="1"/>
  <c r="E410" i="1"/>
  <c r="R409" i="1"/>
  <c r="T409" i="1" s="1"/>
  <c r="Q409" i="1"/>
  <c r="S409" i="1" s="1"/>
  <c r="E409" i="1"/>
  <c r="S408" i="1"/>
  <c r="R408" i="1"/>
  <c r="T408" i="1" s="1"/>
  <c r="Q408" i="1"/>
  <c r="E408" i="1"/>
  <c r="S407" i="1"/>
  <c r="R407" i="1"/>
  <c r="T407" i="1" s="1"/>
  <c r="Q407" i="1"/>
  <c r="E407" i="1"/>
  <c r="R406" i="1"/>
  <c r="T406" i="1" s="1"/>
  <c r="Q406" i="1"/>
  <c r="S406" i="1" s="1"/>
  <c r="E406" i="1"/>
  <c r="S405" i="1"/>
  <c r="R405" i="1"/>
  <c r="T405" i="1" s="1"/>
  <c r="Q405" i="1"/>
  <c r="E405" i="1"/>
  <c r="S404" i="1"/>
  <c r="R404" i="1"/>
  <c r="T404" i="1" s="1"/>
  <c r="Q404" i="1"/>
  <c r="E404" i="1"/>
  <c r="R403" i="1"/>
  <c r="T403" i="1" s="1"/>
  <c r="Q403" i="1"/>
  <c r="S403" i="1" s="1"/>
  <c r="E403" i="1"/>
  <c r="S402" i="1"/>
  <c r="R402" i="1"/>
  <c r="T402" i="1" s="1"/>
  <c r="Q402" i="1"/>
  <c r="E402" i="1"/>
  <c r="S401" i="1"/>
  <c r="R401" i="1"/>
  <c r="T401" i="1" s="1"/>
  <c r="Q401" i="1"/>
  <c r="E401" i="1"/>
  <c r="R400" i="1"/>
  <c r="T400" i="1" s="1"/>
  <c r="Q400" i="1"/>
  <c r="S400" i="1" s="1"/>
  <c r="E400" i="1"/>
  <c r="S399" i="1"/>
  <c r="R399" i="1"/>
  <c r="T399" i="1" s="1"/>
  <c r="Q399" i="1"/>
  <c r="E399" i="1"/>
  <c r="S398" i="1"/>
  <c r="R398" i="1"/>
  <c r="T398" i="1" s="1"/>
  <c r="Q398" i="1"/>
  <c r="E398" i="1"/>
  <c r="R397" i="1"/>
  <c r="T397" i="1" s="1"/>
  <c r="Q397" i="1"/>
  <c r="S397" i="1" s="1"/>
  <c r="E397" i="1"/>
  <c r="S396" i="1"/>
  <c r="R396" i="1"/>
  <c r="T396" i="1" s="1"/>
  <c r="Q396" i="1"/>
  <c r="E396" i="1"/>
  <c r="S395" i="1"/>
  <c r="R395" i="1"/>
  <c r="T395" i="1" s="1"/>
  <c r="Q395" i="1"/>
  <c r="E395" i="1"/>
  <c r="R394" i="1"/>
  <c r="T394" i="1" s="1"/>
  <c r="Q394" i="1"/>
  <c r="S394" i="1" s="1"/>
  <c r="E394" i="1"/>
  <c r="S393" i="1"/>
  <c r="R393" i="1"/>
  <c r="T393" i="1" s="1"/>
  <c r="Q393" i="1"/>
  <c r="E393" i="1"/>
  <c r="E392" i="1"/>
  <c r="S391" i="1"/>
  <c r="R391" i="1"/>
  <c r="T391" i="1" s="1"/>
  <c r="Q391" i="1"/>
  <c r="E391" i="1"/>
  <c r="S390" i="1"/>
  <c r="R390" i="1"/>
  <c r="T390" i="1" s="1"/>
  <c r="Q390" i="1"/>
  <c r="E390" i="1"/>
  <c r="S389" i="1"/>
  <c r="R389" i="1"/>
  <c r="T389" i="1" s="1"/>
  <c r="Q389" i="1"/>
  <c r="E389" i="1"/>
  <c r="S388" i="1"/>
  <c r="R388" i="1"/>
  <c r="T388" i="1" s="1"/>
  <c r="Q388" i="1"/>
  <c r="E388" i="1"/>
  <c r="S387" i="1"/>
  <c r="R387" i="1"/>
  <c r="T387" i="1" s="1"/>
  <c r="Q387" i="1"/>
  <c r="P387" i="1"/>
  <c r="E387" i="1"/>
  <c r="T386" i="1"/>
  <c r="S386" i="1"/>
  <c r="R386" i="1"/>
  <c r="Q386" i="1"/>
  <c r="E386" i="1"/>
  <c r="S385" i="1"/>
  <c r="Q385" i="1"/>
  <c r="P385" i="1"/>
  <c r="R385" i="1" s="1"/>
  <c r="T385" i="1" s="1"/>
  <c r="E385" i="1"/>
  <c r="Q384" i="1"/>
  <c r="S384" i="1" s="1"/>
  <c r="P384" i="1"/>
  <c r="R384" i="1" s="1"/>
  <c r="T384" i="1" s="1"/>
  <c r="E384" i="1"/>
  <c r="S383" i="1"/>
  <c r="R383" i="1"/>
  <c r="T383" i="1" s="1"/>
  <c r="Q383" i="1"/>
  <c r="E383" i="1"/>
  <c r="S382" i="1"/>
  <c r="R382" i="1"/>
  <c r="T382" i="1" s="1"/>
  <c r="Q382" i="1"/>
  <c r="E382" i="1"/>
  <c r="S381" i="1"/>
  <c r="R381" i="1"/>
  <c r="T381" i="1" s="1"/>
  <c r="Q381" i="1"/>
  <c r="E381" i="1"/>
  <c r="S380" i="1"/>
  <c r="R380" i="1"/>
  <c r="T380" i="1" s="1"/>
  <c r="Q380" i="1"/>
  <c r="E380" i="1"/>
  <c r="E379" i="1"/>
  <c r="T378" i="1"/>
  <c r="R378" i="1"/>
  <c r="Q378" i="1"/>
  <c r="S378" i="1" s="1"/>
  <c r="E378" i="1"/>
  <c r="T377" i="1"/>
  <c r="R377" i="1"/>
  <c r="Q377" i="1"/>
  <c r="S377" i="1" s="1"/>
  <c r="E377" i="1"/>
  <c r="E376" i="1"/>
  <c r="T375" i="1"/>
  <c r="S375" i="1"/>
  <c r="R375" i="1"/>
  <c r="Q375" i="1"/>
  <c r="E375" i="1"/>
  <c r="T374" i="1"/>
  <c r="S374" i="1"/>
  <c r="R374" i="1"/>
  <c r="Q374" i="1"/>
  <c r="E374" i="1"/>
  <c r="T373" i="1"/>
  <c r="S373" i="1"/>
  <c r="R373" i="1"/>
  <c r="Q373" i="1"/>
  <c r="E373" i="1"/>
  <c r="T372" i="1"/>
  <c r="S372" i="1"/>
  <c r="R372" i="1"/>
  <c r="Q372" i="1"/>
  <c r="E372" i="1"/>
  <c r="T371" i="1"/>
  <c r="S371" i="1"/>
  <c r="R371" i="1"/>
  <c r="Q371" i="1"/>
  <c r="E371" i="1"/>
  <c r="T370" i="1"/>
  <c r="S370" i="1"/>
  <c r="R370" i="1"/>
  <c r="Q370" i="1"/>
  <c r="E370" i="1"/>
  <c r="T369" i="1"/>
  <c r="S369" i="1"/>
  <c r="R369" i="1"/>
  <c r="Q369" i="1"/>
  <c r="E369" i="1"/>
  <c r="T368" i="1"/>
  <c r="S368" i="1"/>
  <c r="R368" i="1"/>
  <c r="Q368" i="1"/>
  <c r="E368" i="1"/>
  <c r="E367" i="1"/>
  <c r="R366" i="1"/>
  <c r="T366" i="1" s="1"/>
  <c r="P366" i="1"/>
  <c r="O366" i="1"/>
  <c r="Q366" i="1" s="1"/>
  <c r="S366" i="1" s="1"/>
  <c r="E366" i="1"/>
  <c r="Q365" i="1"/>
  <c r="S365" i="1" s="1"/>
  <c r="P365" i="1"/>
  <c r="R365" i="1" s="1"/>
  <c r="T365" i="1" s="1"/>
  <c r="E365" i="1"/>
  <c r="S364" i="1"/>
  <c r="R364" i="1"/>
  <c r="T364" i="1" s="1"/>
  <c r="Q364" i="1"/>
  <c r="P364" i="1"/>
  <c r="E364" i="1"/>
  <c r="S363" i="1"/>
  <c r="Q363" i="1"/>
  <c r="P363" i="1"/>
  <c r="R363" i="1" s="1"/>
  <c r="T363" i="1" s="1"/>
  <c r="E363" i="1"/>
  <c r="Q362" i="1"/>
  <c r="S362" i="1" s="1"/>
  <c r="P362" i="1"/>
  <c r="R362" i="1" s="1"/>
  <c r="T362" i="1" s="1"/>
  <c r="E362" i="1"/>
  <c r="E361" i="1"/>
  <c r="Q360" i="1"/>
  <c r="S360" i="1" s="1"/>
  <c r="P360" i="1"/>
  <c r="R360" i="1" s="1"/>
  <c r="T360" i="1" s="1"/>
  <c r="E360" i="1"/>
  <c r="S359" i="1"/>
  <c r="Q359" i="1"/>
  <c r="P359" i="1"/>
  <c r="R359" i="1" s="1"/>
  <c r="T359" i="1" s="1"/>
  <c r="E359" i="1"/>
  <c r="Q358" i="1"/>
  <c r="S358" i="1" s="1"/>
  <c r="S357" i="1" s="1"/>
  <c r="N357" i="1" s="1"/>
  <c r="P358" i="1"/>
  <c r="R358" i="1" s="1"/>
  <c r="T358" i="1" s="1"/>
  <c r="E358" i="1"/>
  <c r="E357" i="1"/>
  <c r="T356" i="1"/>
  <c r="R356" i="1"/>
  <c r="Q356" i="1"/>
  <c r="S356" i="1" s="1"/>
  <c r="E356" i="1"/>
  <c r="Q355" i="1"/>
  <c r="S355" i="1" s="1"/>
  <c r="P355" i="1"/>
  <c r="R355" i="1" s="1"/>
  <c r="T355" i="1" s="1"/>
  <c r="E355" i="1"/>
  <c r="Q354" i="1"/>
  <c r="S354" i="1" s="1"/>
  <c r="S352" i="1" s="1"/>
  <c r="N352" i="1" s="1"/>
  <c r="P354" i="1"/>
  <c r="R354" i="1" s="1"/>
  <c r="T354" i="1" s="1"/>
  <c r="E354" i="1"/>
  <c r="S353" i="1"/>
  <c r="R353" i="1"/>
  <c r="T353" i="1" s="1"/>
  <c r="Q353" i="1"/>
  <c r="E353" i="1"/>
  <c r="E352" i="1"/>
  <c r="Q351" i="1"/>
  <c r="S351" i="1" s="1"/>
  <c r="P351" i="1"/>
  <c r="R351" i="1" s="1"/>
  <c r="T351" i="1" s="1"/>
  <c r="E351" i="1"/>
  <c r="S350" i="1"/>
  <c r="R350" i="1"/>
  <c r="T350" i="1" s="1"/>
  <c r="Q350" i="1"/>
  <c r="P350" i="1"/>
  <c r="E350" i="1"/>
  <c r="S349" i="1"/>
  <c r="Q349" i="1"/>
  <c r="P349" i="1"/>
  <c r="R349" i="1" s="1"/>
  <c r="T349" i="1" s="1"/>
  <c r="E349" i="1"/>
  <c r="Q348" i="1"/>
  <c r="S348" i="1" s="1"/>
  <c r="P348" i="1"/>
  <c r="R348" i="1" s="1"/>
  <c r="T348" i="1" s="1"/>
  <c r="E348" i="1"/>
  <c r="E347" i="1"/>
  <c r="E346" i="1"/>
  <c r="T345" i="1"/>
  <c r="S345" i="1"/>
  <c r="R345" i="1"/>
  <c r="Q345" i="1"/>
  <c r="E345" i="1"/>
  <c r="T344" i="1"/>
  <c r="S344" i="1"/>
  <c r="R344" i="1"/>
  <c r="Q344" i="1"/>
  <c r="E344" i="1"/>
  <c r="T343" i="1"/>
  <c r="S343" i="1"/>
  <c r="R343" i="1"/>
  <c r="Q343" i="1"/>
  <c r="E343" i="1"/>
  <c r="T342" i="1"/>
  <c r="S342" i="1"/>
  <c r="R342" i="1"/>
  <c r="Q342" i="1"/>
  <c r="E342" i="1"/>
  <c r="T341" i="1"/>
  <c r="S341" i="1"/>
  <c r="R341" i="1"/>
  <c r="Q341" i="1"/>
  <c r="E341" i="1"/>
  <c r="T340" i="1"/>
  <c r="S340" i="1"/>
  <c r="R340" i="1"/>
  <c r="Q340" i="1"/>
  <c r="E340" i="1"/>
  <c r="T339" i="1"/>
  <c r="S339" i="1"/>
  <c r="R339" i="1"/>
  <c r="Q339" i="1"/>
  <c r="E339" i="1"/>
  <c r="T338" i="1"/>
  <c r="S338" i="1"/>
  <c r="R338" i="1"/>
  <c r="Q338" i="1"/>
  <c r="E338" i="1"/>
  <c r="T337" i="1"/>
  <c r="S337" i="1"/>
  <c r="R337" i="1"/>
  <c r="Q337" i="1"/>
  <c r="E337" i="1"/>
  <c r="T336" i="1"/>
  <c r="S336" i="1"/>
  <c r="R336" i="1"/>
  <c r="Q336" i="1"/>
  <c r="E336" i="1"/>
  <c r="T335" i="1"/>
  <c r="S335" i="1"/>
  <c r="R335" i="1"/>
  <c r="Q335" i="1"/>
  <c r="E335" i="1"/>
  <c r="T334" i="1"/>
  <c r="S334" i="1"/>
  <c r="R334" i="1"/>
  <c r="Q334" i="1"/>
  <c r="E334" i="1"/>
  <c r="T333" i="1"/>
  <c r="S333" i="1"/>
  <c r="R333" i="1"/>
  <c r="Q333" i="1"/>
  <c r="E333" i="1"/>
  <c r="T332" i="1"/>
  <c r="S332" i="1"/>
  <c r="R332" i="1"/>
  <c r="Q332" i="1"/>
  <c r="E332" i="1"/>
  <c r="S331" i="1"/>
  <c r="Q331" i="1"/>
  <c r="P331" i="1"/>
  <c r="R331" i="1" s="1"/>
  <c r="T331" i="1" s="1"/>
  <c r="E331" i="1"/>
  <c r="R330" i="1"/>
  <c r="T330" i="1" s="1"/>
  <c r="Q330" i="1"/>
  <c r="S330" i="1" s="1"/>
  <c r="P330" i="1"/>
  <c r="E330" i="1"/>
  <c r="S329" i="1"/>
  <c r="Q329" i="1"/>
  <c r="P329" i="1"/>
  <c r="R329" i="1" s="1"/>
  <c r="T329" i="1" s="1"/>
  <c r="E329" i="1"/>
  <c r="Q328" i="1"/>
  <c r="S328" i="1" s="1"/>
  <c r="P328" i="1"/>
  <c r="R328" i="1" s="1"/>
  <c r="T328" i="1" s="1"/>
  <c r="E328" i="1"/>
  <c r="R327" i="1"/>
  <c r="T327" i="1" s="1"/>
  <c r="Q327" i="1"/>
  <c r="S327" i="1" s="1"/>
  <c r="P327" i="1"/>
  <c r="E327" i="1"/>
  <c r="S326" i="1"/>
  <c r="Q326" i="1"/>
  <c r="P326" i="1"/>
  <c r="R326" i="1" s="1"/>
  <c r="T326" i="1" s="1"/>
  <c r="E326" i="1"/>
  <c r="S325" i="1"/>
  <c r="Q325" i="1"/>
  <c r="P325" i="1"/>
  <c r="R325" i="1" s="1"/>
  <c r="T325" i="1" s="1"/>
  <c r="E325" i="1"/>
  <c r="Q324" i="1"/>
  <c r="S324" i="1" s="1"/>
  <c r="P324" i="1"/>
  <c r="R324" i="1" s="1"/>
  <c r="T324" i="1" s="1"/>
  <c r="E324" i="1"/>
  <c r="S323" i="1"/>
  <c r="Q323" i="1"/>
  <c r="P323" i="1"/>
  <c r="R323" i="1" s="1"/>
  <c r="T323" i="1" s="1"/>
  <c r="E323" i="1"/>
  <c r="T322" i="1"/>
  <c r="R322" i="1"/>
  <c r="Q322" i="1"/>
  <c r="S322" i="1" s="1"/>
  <c r="E322" i="1"/>
  <c r="Q321" i="1"/>
  <c r="S321" i="1" s="1"/>
  <c r="P321" i="1"/>
  <c r="R321" i="1" s="1"/>
  <c r="T321" i="1" s="1"/>
  <c r="E321" i="1"/>
  <c r="R320" i="1"/>
  <c r="T320" i="1" s="1"/>
  <c r="Q320" i="1"/>
  <c r="S320" i="1" s="1"/>
  <c r="E320" i="1"/>
  <c r="R319" i="1"/>
  <c r="T319" i="1" s="1"/>
  <c r="Q319" i="1"/>
  <c r="S319" i="1" s="1"/>
  <c r="E319" i="1"/>
  <c r="R318" i="1"/>
  <c r="T318" i="1" s="1"/>
  <c r="Q318" i="1"/>
  <c r="S318" i="1" s="1"/>
  <c r="E318" i="1"/>
  <c r="R317" i="1"/>
  <c r="T317" i="1" s="1"/>
  <c r="Q317" i="1"/>
  <c r="S317" i="1" s="1"/>
  <c r="E317" i="1"/>
  <c r="R316" i="1"/>
  <c r="T316" i="1" s="1"/>
  <c r="Q316" i="1"/>
  <c r="S316" i="1" s="1"/>
  <c r="E316" i="1"/>
  <c r="R315" i="1"/>
  <c r="T315" i="1" s="1"/>
  <c r="Q315" i="1"/>
  <c r="S315" i="1" s="1"/>
  <c r="E315" i="1"/>
  <c r="R314" i="1"/>
  <c r="T314" i="1" s="1"/>
  <c r="Q314" i="1"/>
  <c r="S314" i="1" s="1"/>
  <c r="E314" i="1"/>
  <c r="R313" i="1"/>
  <c r="T313" i="1" s="1"/>
  <c r="Q313" i="1"/>
  <c r="S313" i="1" s="1"/>
  <c r="E313" i="1"/>
  <c r="R312" i="1"/>
  <c r="T312" i="1" s="1"/>
  <c r="Q312" i="1"/>
  <c r="S312" i="1" s="1"/>
  <c r="E312" i="1"/>
  <c r="R311" i="1"/>
  <c r="T311" i="1" s="1"/>
  <c r="Q311" i="1"/>
  <c r="S311" i="1" s="1"/>
  <c r="E311" i="1"/>
  <c r="E310" i="1"/>
  <c r="Q309" i="1"/>
  <c r="S309" i="1" s="1"/>
  <c r="P309" i="1"/>
  <c r="R309" i="1" s="1"/>
  <c r="T309" i="1" s="1"/>
  <c r="E309" i="1"/>
  <c r="R308" i="1"/>
  <c r="T308" i="1" s="1"/>
  <c r="Q308" i="1"/>
  <c r="S308" i="1" s="1"/>
  <c r="P308" i="1"/>
  <c r="E308" i="1"/>
  <c r="S307" i="1"/>
  <c r="Q307" i="1"/>
  <c r="P307" i="1"/>
  <c r="R307" i="1" s="1"/>
  <c r="T307" i="1" s="1"/>
  <c r="E307" i="1"/>
  <c r="S306" i="1"/>
  <c r="Q306" i="1"/>
  <c r="P306" i="1"/>
  <c r="R306" i="1" s="1"/>
  <c r="T306" i="1" s="1"/>
  <c r="E306" i="1"/>
  <c r="Q305" i="1"/>
  <c r="S305" i="1" s="1"/>
  <c r="P305" i="1"/>
  <c r="R305" i="1" s="1"/>
  <c r="T305" i="1" s="1"/>
  <c r="E305" i="1"/>
  <c r="S304" i="1"/>
  <c r="Q304" i="1"/>
  <c r="P304" i="1"/>
  <c r="R304" i="1" s="1"/>
  <c r="T304" i="1" s="1"/>
  <c r="E304" i="1"/>
  <c r="T303" i="1"/>
  <c r="R303" i="1"/>
  <c r="Q303" i="1"/>
  <c r="S303" i="1" s="1"/>
  <c r="E303" i="1"/>
  <c r="T302" i="1"/>
  <c r="R302" i="1"/>
  <c r="Q302" i="1"/>
  <c r="S302" i="1" s="1"/>
  <c r="E302" i="1"/>
  <c r="T301" i="1"/>
  <c r="R301" i="1"/>
  <c r="Q301" i="1"/>
  <c r="S301" i="1" s="1"/>
  <c r="E301" i="1"/>
  <c r="Q300" i="1"/>
  <c r="S300" i="1" s="1"/>
  <c r="P300" i="1"/>
  <c r="R300" i="1" s="1"/>
  <c r="T300" i="1" s="1"/>
  <c r="E300" i="1"/>
  <c r="R299" i="1"/>
  <c r="T299" i="1" s="1"/>
  <c r="Q299" i="1"/>
  <c r="S299" i="1" s="1"/>
  <c r="E299" i="1"/>
  <c r="R298" i="1"/>
  <c r="T298" i="1" s="1"/>
  <c r="Q298" i="1"/>
  <c r="S298" i="1" s="1"/>
  <c r="E298" i="1"/>
  <c r="Q297" i="1"/>
  <c r="S297" i="1" s="1"/>
  <c r="P297" i="1"/>
  <c r="R297" i="1" s="1"/>
  <c r="T297" i="1" s="1"/>
  <c r="E297" i="1"/>
  <c r="S296" i="1"/>
  <c r="R296" i="1"/>
  <c r="T296" i="1" s="1"/>
  <c r="Q296" i="1"/>
  <c r="P296" i="1"/>
  <c r="E296" i="1"/>
  <c r="E295" i="1"/>
  <c r="S294" i="1"/>
  <c r="R294" i="1"/>
  <c r="T294" i="1" s="1"/>
  <c r="Q294" i="1"/>
  <c r="E294" i="1"/>
  <c r="S293" i="1"/>
  <c r="R293" i="1"/>
  <c r="T293" i="1" s="1"/>
  <c r="Q293" i="1"/>
  <c r="E293" i="1"/>
  <c r="S292" i="1"/>
  <c r="R292" i="1"/>
  <c r="T292" i="1" s="1"/>
  <c r="Q292" i="1"/>
  <c r="E292" i="1"/>
  <c r="S291" i="1"/>
  <c r="R291" i="1"/>
  <c r="T291" i="1" s="1"/>
  <c r="Q291" i="1"/>
  <c r="E291" i="1"/>
  <c r="S290" i="1"/>
  <c r="R290" i="1"/>
  <c r="T290" i="1" s="1"/>
  <c r="Q290" i="1"/>
  <c r="E290" i="1"/>
  <c r="S289" i="1"/>
  <c r="R289" i="1"/>
  <c r="T289" i="1" s="1"/>
  <c r="Q289" i="1"/>
  <c r="E289" i="1"/>
  <c r="S288" i="1"/>
  <c r="R288" i="1"/>
  <c r="T288" i="1" s="1"/>
  <c r="Q288" i="1"/>
  <c r="E288" i="1"/>
  <c r="S287" i="1"/>
  <c r="R287" i="1"/>
  <c r="T287" i="1" s="1"/>
  <c r="Q287" i="1"/>
  <c r="E287" i="1"/>
  <c r="S286" i="1"/>
  <c r="R286" i="1"/>
  <c r="T286" i="1" s="1"/>
  <c r="Q286" i="1"/>
  <c r="E286" i="1"/>
  <c r="S285" i="1"/>
  <c r="R285" i="1"/>
  <c r="T285" i="1" s="1"/>
  <c r="Q285" i="1"/>
  <c r="E285" i="1"/>
  <c r="S284" i="1"/>
  <c r="R284" i="1"/>
  <c r="T284" i="1" s="1"/>
  <c r="Q284" i="1"/>
  <c r="E284" i="1"/>
  <c r="S283" i="1"/>
  <c r="R283" i="1"/>
  <c r="T283" i="1" s="1"/>
  <c r="Q283" i="1"/>
  <c r="E283" i="1"/>
  <c r="S282" i="1"/>
  <c r="R282" i="1"/>
  <c r="T282" i="1" s="1"/>
  <c r="Q282" i="1"/>
  <c r="E282" i="1"/>
  <c r="S281" i="1"/>
  <c r="R281" i="1"/>
  <c r="T281" i="1" s="1"/>
  <c r="Q281" i="1"/>
  <c r="E281" i="1"/>
  <c r="S280" i="1"/>
  <c r="R280" i="1"/>
  <c r="T280" i="1" s="1"/>
  <c r="Q280" i="1"/>
  <c r="E280" i="1"/>
  <c r="S279" i="1"/>
  <c r="R279" i="1"/>
  <c r="T279" i="1" s="1"/>
  <c r="Q279" i="1"/>
  <c r="E279" i="1"/>
  <c r="S278" i="1"/>
  <c r="R278" i="1"/>
  <c r="T278" i="1" s="1"/>
  <c r="Q278" i="1"/>
  <c r="E278" i="1"/>
  <c r="S277" i="1"/>
  <c r="R277" i="1"/>
  <c r="T277" i="1" s="1"/>
  <c r="Q277" i="1"/>
  <c r="E277" i="1"/>
  <c r="S276" i="1"/>
  <c r="R276" i="1"/>
  <c r="T276" i="1" s="1"/>
  <c r="Q276" i="1"/>
  <c r="E276" i="1"/>
  <c r="S275" i="1"/>
  <c r="R275" i="1"/>
  <c r="T275" i="1" s="1"/>
  <c r="Q275" i="1"/>
  <c r="E275" i="1"/>
  <c r="S274" i="1"/>
  <c r="R274" i="1"/>
  <c r="T274" i="1" s="1"/>
  <c r="Q274" i="1"/>
  <c r="E274" i="1"/>
  <c r="S273" i="1"/>
  <c r="R273" i="1"/>
  <c r="T273" i="1" s="1"/>
  <c r="Q273" i="1"/>
  <c r="E273" i="1"/>
  <c r="S272" i="1"/>
  <c r="R272" i="1"/>
  <c r="T272" i="1" s="1"/>
  <c r="Q272" i="1"/>
  <c r="E272" i="1"/>
  <c r="S271" i="1"/>
  <c r="R271" i="1"/>
  <c r="T271" i="1" s="1"/>
  <c r="Q271" i="1"/>
  <c r="E271" i="1"/>
  <c r="R270" i="1"/>
  <c r="T270" i="1" s="1"/>
  <c r="Q270" i="1"/>
  <c r="S270" i="1" s="1"/>
  <c r="E270" i="1"/>
  <c r="R269" i="1"/>
  <c r="T269" i="1" s="1"/>
  <c r="Q269" i="1"/>
  <c r="S269" i="1" s="1"/>
  <c r="E269" i="1"/>
  <c r="R268" i="1"/>
  <c r="T268" i="1" s="1"/>
  <c r="Q268" i="1"/>
  <c r="S268" i="1" s="1"/>
  <c r="E268" i="1"/>
  <c r="R267" i="1"/>
  <c r="T267" i="1" s="1"/>
  <c r="Q267" i="1"/>
  <c r="S267" i="1" s="1"/>
  <c r="E267" i="1"/>
  <c r="R266" i="1"/>
  <c r="T266" i="1" s="1"/>
  <c r="Q266" i="1"/>
  <c r="S266" i="1" s="1"/>
  <c r="E266" i="1"/>
  <c r="R265" i="1"/>
  <c r="T265" i="1" s="1"/>
  <c r="Q265" i="1"/>
  <c r="S265" i="1" s="1"/>
  <c r="E265" i="1"/>
  <c r="R264" i="1"/>
  <c r="T264" i="1" s="1"/>
  <c r="Q264" i="1"/>
  <c r="S264" i="1" s="1"/>
  <c r="E264" i="1"/>
  <c r="R263" i="1"/>
  <c r="T263" i="1" s="1"/>
  <c r="Q263" i="1"/>
  <c r="S263" i="1" s="1"/>
  <c r="E263" i="1"/>
  <c r="R262" i="1"/>
  <c r="T262" i="1" s="1"/>
  <c r="Q262" i="1"/>
  <c r="S262" i="1" s="1"/>
  <c r="E262" i="1"/>
  <c r="R261" i="1"/>
  <c r="T261" i="1" s="1"/>
  <c r="Q261" i="1"/>
  <c r="S261" i="1" s="1"/>
  <c r="E261" i="1"/>
  <c r="R260" i="1"/>
  <c r="T260" i="1" s="1"/>
  <c r="Q260" i="1"/>
  <c r="S260" i="1" s="1"/>
  <c r="E260" i="1"/>
  <c r="R259" i="1"/>
  <c r="T259" i="1" s="1"/>
  <c r="Q259" i="1"/>
  <c r="S259" i="1" s="1"/>
  <c r="E259" i="1"/>
  <c r="R258" i="1"/>
  <c r="T258" i="1" s="1"/>
  <c r="Q258" i="1"/>
  <c r="S258" i="1" s="1"/>
  <c r="E258" i="1"/>
  <c r="R257" i="1"/>
  <c r="T257" i="1" s="1"/>
  <c r="Q257" i="1"/>
  <c r="S257" i="1" s="1"/>
  <c r="E257" i="1"/>
  <c r="R256" i="1"/>
  <c r="T256" i="1" s="1"/>
  <c r="Q256" i="1"/>
  <c r="S256" i="1" s="1"/>
  <c r="E256" i="1"/>
  <c r="R255" i="1"/>
  <c r="T255" i="1" s="1"/>
  <c r="Q255" i="1"/>
  <c r="S255" i="1" s="1"/>
  <c r="E255" i="1"/>
  <c r="E254" i="1"/>
  <c r="E253" i="1"/>
  <c r="T252" i="1"/>
  <c r="S252" i="1"/>
  <c r="R252" i="1"/>
  <c r="Q252" i="1"/>
  <c r="E252" i="1"/>
  <c r="T251" i="1"/>
  <c r="S251" i="1"/>
  <c r="R251" i="1"/>
  <c r="Q251" i="1"/>
  <c r="E251" i="1"/>
  <c r="T250" i="1"/>
  <c r="S250" i="1"/>
  <c r="R250" i="1"/>
  <c r="Q250" i="1"/>
  <c r="E250" i="1"/>
  <c r="T249" i="1"/>
  <c r="S249" i="1"/>
  <c r="R249" i="1"/>
  <c r="Q249" i="1"/>
  <c r="E249" i="1"/>
  <c r="T248" i="1"/>
  <c r="S248" i="1"/>
  <c r="R248" i="1"/>
  <c r="Q248" i="1"/>
  <c r="E248" i="1"/>
  <c r="T247" i="1"/>
  <c r="S247" i="1"/>
  <c r="R247" i="1"/>
  <c r="Q247" i="1"/>
  <c r="E247" i="1"/>
  <c r="T246" i="1"/>
  <c r="S246" i="1"/>
  <c r="R246" i="1"/>
  <c r="Q246" i="1"/>
  <c r="E246" i="1"/>
  <c r="T245" i="1"/>
  <c r="T244" i="1" s="1"/>
  <c r="S245" i="1"/>
  <c r="S244" i="1" s="1"/>
  <c r="R245" i="1"/>
  <c r="Q245" i="1"/>
  <c r="E245" i="1"/>
  <c r="N244" i="1"/>
  <c r="E244" i="1"/>
  <c r="S243" i="1"/>
  <c r="R243" i="1"/>
  <c r="T243" i="1" s="1"/>
  <c r="Q243" i="1"/>
  <c r="E243" i="1"/>
  <c r="S242" i="1"/>
  <c r="R242" i="1"/>
  <c r="T242" i="1" s="1"/>
  <c r="Q242" i="1"/>
  <c r="E242" i="1"/>
  <c r="S241" i="1"/>
  <c r="R241" i="1"/>
  <c r="T241" i="1" s="1"/>
  <c r="Q241" i="1"/>
  <c r="E241" i="1"/>
  <c r="S240" i="1"/>
  <c r="R240" i="1"/>
  <c r="T240" i="1" s="1"/>
  <c r="Q240" i="1"/>
  <c r="E240" i="1"/>
  <c r="S239" i="1"/>
  <c r="R239" i="1"/>
  <c r="T239" i="1" s="1"/>
  <c r="Q239" i="1"/>
  <c r="E239" i="1"/>
  <c r="S238" i="1"/>
  <c r="R238" i="1"/>
  <c r="T238" i="1" s="1"/>
  <c r="Q238" i="1"/>
  <c r="E238" i="1"/>
  <c r="S237" i="1"/>
  <c r="R237" i="1"/>
  <c r="T237" i="1" s="1"/>
  <c r="Q237" i="1"/>
  <c r="E237" i="1"/>
  <c r="S236" i="1"/>
  <c r="S235" i="1" s="1"/>
  <c r="R236" i="1"/>
  <c r="T236" i="1" s="1"/>
  <c r="Q236" i="1"/>
  <c r="E236" i="1"/>
  <c r="N235" i="1"/>
  <c r="E235" i="1"/>
  <c r="T234" i="1"/>
  <c r="R234" i="1"/>
  <c r="Q234" i="1"/>
  <c r="S234" i="1" s="1"/>
  <c r="E234" i="1"/>
  <c r="T233" i="1"/>
  <c r="R233" i="1"/>
  <c r="Q233" i="1"/>
  <c r="S233" i="1" s="1"/>
  <c r="E233" i="1"/>
  <c r="R232" i="1"/>
  <c r="T232" i="1" s="1"/>
  <c r="Q232" i="1"/>
  <c r="S232" i="1" s="1"/>
  <c r="E232" i="1"/>
  <c r="T231" i="1"/>
  <c r="R231" i="1"/>
  <c r="Q231" i="1"/>
  <c r="S231" i="1" s="1"/>
  <c r="E231" i="1"/>
  <c r="T230" i="1"/>
  <c r="R230" i="1"/>
  <c r="Q230" i="1"/>
  <c r="S230" i="1" s="1"/>
  <c r="E230" i="1"/>
  <c r="R229" i="1"/>
  <c r="T229" i="1" s="1"/>
  <c r="Q229" i="1"/>
  <c r="S229" i="1" s="1"/>
  <c r="E229" i="1"/>
  <c r="T228" i="1"/>
  <c r="R228" i="1"/>
  <c r="Q228" i="1"/>
  <c r="S228" i="1" s="1"/>
  <c r="E228" i="1"/>
  <c r="T227" i="1"/>
  <c r="R227" i="1"/>
  <c r="Q227" i="1"/>
  <c r="S227" i="1" s="1"/>
  <c r="E227" i="1"/>
  <c r="R226" i="1"/>
  <c r="T226" i="1" s="1"/>
  <c r="Q226" i="1"/>
  <c r="S226" i="1" s="1"/>
  <c r="E226" i="1"/>
  <c r="T225" i="1"/>
  <c r="R225" i="1"/>
  <c r="Q225" i="1"/>
  <c r="S225" i="1" s="1"/>
  <c r="E225" i="1"/>
  <c r="T224" i="1"/>
  <c r="R224" i="1"/>
  <c r="Q224" i="1"/>
  <c r="S224" i="1" s="1"/>
  <c r="E224" i="1"/>
  <c r="R223" i="1"/>
  <c r="T223" i="1" s="1"/>
  <c r="Q223" i="1"/>
  <c r="S223" i="1" s="1"/>
  <c r="E223" i="1"/>
  <c r="T222" i="1"/>
  <c r="T221" i="1" s="1"/>
  <c r="R222" i="1"/>
  <c r="Q222" i="1"/>
  <c r="S222" i="1" s="1"/>
  <c r="E222" i="1"/>
  <c r="N221" i="1"/>
  <c r="E221" i="1"/>
  <c r="T220" i="1"/>
  <c r="R220" i="1"/>
  <c r="Q220" i="1"/>
  <c r="S220" i="1" s="1"/>
  <c r="E220" i="1"/>
  <c r="T219" i="1"/>
  <c r="R219" i="1"/>
  <c r="Q219" i="1"/>
  <c r="S219" i="1" s="1"/>
  <c r="E219" i="1"/>
  <c r="T218" i="1"/>
  <c r="S218" i="1"/>
  <c r="R218" i="1"/>
  <c r="Q218" i="1"/>
  <c r="E218" i="1"/>
  <c r="T217" i="1"/>
  <c r="S217" i="1"/>
  <c r="R217" i="1"/>
  <c r="Q217" i="1"/>
  <c r="E217" i="1"/>
  <c r="T216" i="1"/>
  <c r="T215" i="1" s="1"/>
  <c r="R216" i="1"/>
  <c r="Q216" i="1"/>
  <c r="S216" i="1" s="1"/>
  <c r="E216" i="1"/>
  <c r="N215" i="1"/>
  <c r="E215" i="1"/>
  <c r="S214" i="1"/>
  <c r="R214" i="1"/>
  <c r="T214" i="1" s="1"/>
  <c r="Q214" i="1"/>
  <c r="E214" i="1"/>
  <c r="S213" i="1"/>
  <c r="R213" i="1"/>
  <c r="T213" i="1" s="1"/>
  <c r="Q213" i="1"/>
  <c r="E213" i="1"/>
  <c r="S212" i="1"/>
  <c r="R212" i="1"/>
  <c r="T212" i="1" s="1"/>
  <c r="Q212" i="1"/>
  <c r="E212" i="1"/>
  <c r="S211" i="1"/>
  <c r="R211" i="1"/>
  <c r="T211" i="1" s="1"/>
  <c r="Q211" i="1"/>
  <c r="E211" i="1"/>
  <c r="S210" i="1"/>
  <c r="R210" i="1"/>
  <c r="T210" i="1" s="1"/>
  <c r="Q210" i="1"/>
  <c r="E210" i="1"/>
  <c r="S209" i="1"/>
  <c r="R209" i="1"/>
  <c r="T209" i="1" s="1"/>
  <c r="Q209" i="1"/>
  <c r="E209" i="1"/>
  <c r="S208" i="1"/>
  <c r="R208" i="1"/>
  <c r="T208" i="1" s="1"/>
  <c r="Q208" i="1"/>
  <c r="E208" i="1"/>
  <c r="S207" i="1"/>
  <c r="R207" i="1"/>
  <c r="T207" i="1" s="1"/>
  <c r="Q207" i="1"/>
  <c r="E207" i="1"/>
  <c r="S206" i="1"/>
  <c r="S205" i="1" s="1"/>
  <c r="R206" i="1"/>
  <c r="T206" i="1" s="1"/>
  <c r="Q206" i="1"/>
  <c r="E206" i="1"/>
  <c r="N205" i="1"/>
  <c r="E205" i="1"/>
  <c r="T204" i="1"/>
  <c r="R204" i="1"/>
  <c r="Q204" i="1"/>
  <c r="S204" i="1" s="1"/>
  <c r="E204" i="1"/>
  <c r="T203" i="1"/>
  <c r="R203" i="1"/>
  <c r="Q203" i="1"/>
  <c r="S203" i="1" s="1"/>
  <c r="E203" i="1"/>
  <c r="T202" i="1"/>
  <c r="R202" i="1"/>
  <c r="Q202" i="1"/>
  <c r="S202" i="1" s="1"/>
  <c r="E202" i="1"/>
  <c r="T201" i="1"/>
  <c r="R201" i="1"/>
  <c r="Q201" i="1"/>
  <c r="S201" i="1" s="1"/>
  <c r="E201" i="1"/>
  <c r="T200" i="1"/>
  <c r="R200" i="1"/>
  <c r="Q200" i="1"/>
  <c r="S200" i="1" s="1"/>
  <c r="E200" i="1"/>
  <c r="T199" i="1"/>
  <c r="R199" i="1"/>
  <c r="Q199" i="1"/>
  <c r="S199" i="1" s="1"/>
  <c r="E199" i="1"/>
  <c r="T198" i="1"/>
  <c r="R198" i="1"/>
  <c r="Q198" i="1"/>
  <c r="S198" i="1" s="1"/>
  <c r="E198" i="1"/>
  <c r="T197" i="1"/>
  <c r="R197" i="1"/>
  <c r="Q197" i="1"/>
  <c r="S197" i="1" s="1"/>
  <c r="E197" i="1"/>
  <c r="T196" i="1"/>
  <c r="R196" i="1"/>
  <c r="Q196" i="1"/>
  <c r="S196" i="1" s="1"/>
  <c r="E196" i="1"/>
  <c r="T195" i="1"/>
  <c r="R195" i="1"/>
  <c r="Q195" i="1"/>
  <c r="S195" i="1" s="1"/>
  <c r="E195" i="1"/>
  <c r="T194" i="1"/>
  <c r="R194" i="1"/>
  <c r="Q194" i="1"/>
  <c r="S194" i="1" s="1"/>
  <c r="E194" i="1"/>
  <c r="T193" i="1"/>
  <c r="T190" i="1" s="1"/>
  <c r="R193" i="1"/>
  <c r="Q193" i="1"/>
  <c r="S193" i="1" s="1"/>
  <c r="E193" i="1"/>
  <c r="T192" i="1"/>
  <c r="R192" i="1"/>
  <c r="Q192" i="1"/>
  <c r="S192" i="1" s="1"/>
  <c r="E192" i="1"/>
  <c r="T191" i="1"/>
  <c r="R191" i="1"/>
  <c r="Q191" i="1"/>
  <c r="S191" i="1" s="1"/>
  <c r="E191" i="1"/>
  <c r="N190" i="1"/>
  <c r="E190" i="1"/>
  <c r="T189" i="1"/>
  <c r="S189" i="1"/>
  <c r="R189" i="1"/>
  <c r="Q189" i="1"/>
  <c r="E189" i="1"/>
  <c r="T188" i="1"/>
  <c r="S188" i="1"/>
  <c r="R188" i="1"/>
  <c r="Q188" i="1"/>
  <c r="E188" i="1"/>
  <c r="T187" i="1"/>
  <c r="S187" i="1"/>
  <c r="R187" i="1"/>
  <c r="Q187" i="1"/>
  <c r="E187" i="1"/>
  <c r="T186" i="1"/>
  <c r="S186" i="1"/>
  <c r="R186" i="1"/>
  <c r="Q186" i="1"/>
  <c r="E186" i="1"/>
  <c r="T185" i="1"/>
  <c r="T184" i="1" s="1"/>
  <c r="S185" i="1"/>
  <c r="S184" i="1" s="1"/>
  <c r="R185" i="1"/>
  <c r="Q185" i="1"/>
  <c r="E185" i="1"/>
  <c r="N184" i="1"/>
  <c r="E184" i="1"/>
  <c r="S183" i="1"/>
  <c r="R183" i="1"/>
  <c r="T183" i="1" s="1"/>
  <c r="Q183" i="1"/>
  <c r="E183" i="1"/>
  <c r="S182" i="1"/>
  <c r="R182" i="1"/>
  <c r="T182" i="1" s="1"/>
  <c r="Q182" i="1"/>
  <c r="E182" i="1"/>
  <c r="S181" i="1"/>
  <c r="R181" i="1"/>
  <c r="T181" i="1" s="1"/>
  <c r="Q181" i="1"/>
  <c r="E181" i="1"/>
  <c r="S180" i="1"/>
  <c r="R180" i="1"/>
  <c r="T180" i="1" s="1"/>
  <c r="Q180" i="1"/>
  <c r="E180" i="1"/>
  <c r="S179" i="1"/>
  <c r="R179" i="1"/>
  <c r="T179" i="1" s="1"/>
  <c r="Q179" i="1"/>
  <c r="E179" i="1"/>
  <c r="S178" i="1"/>
  <c r="R178" i="1"/>
  <c r="T178" i="1" s="1"/>
  <c r="Q178" i="1"/>
  <c r="E178" i="1"/>
  <c r="S177" i="1"/>
  <c r="R177" i="1"/>
  <c r="T177" i="1" s="1"/>
  <c r="Q177" i="1"/>
  <c r="E177" i="1"/>
  <c r="S176" i="1"/>
  <c r="S174" i="1" s="1"/>
  <c r="R176" i="1"/>
  <c r="T176" i="1" s="1"/>
  <c r="Q176" i="1"/>
  <c r="E176" i="1"/>
  <c r="S175" i="1"/>
  <c r="R175" i="1"/>
  <c r="T175" i="1" s="1"/>
  <c r="Q175" i="1"/>
  <c r="E175" i="1"/>
  <c r="N174" i="1"/>
  <c r="E174" i="1"/>
  <c r="R173" i="1"/>
  <c r="T173" i="1" s="1"/>
  <c r="Q173" i="1"/>
  <c r="S173" i="1" s="1"/>
  <c r="E173" i="1"/>
  <c r="T172" i="1"/>
  <c r="R172" i="1"/>
  <c r="Q172" i="1"/>
  <c r="S172" i="1" s="1"/>
  <c r="E172" i="1"/>
  <c r="T171" i="1"/>
  <c r="R171" i="1"/>
  <c r="Q171" i="1"/>
  <c r="S171" i="1" s="1"/>
  <c r="E171" i="1"/>
  <c r="R170" i="1"/>
  <c r="T170" i="1" s="1"/>
  <c r="Q170" i="1"/>
  <c r="S170" i="1" s="1"/>
  <c r="E170" i="1"/>
  <c r="T169" i="1"/>
  <c r="R169" i="1"/>
  <c r="Q169" i="1"/>
  <c r="S169" i="1" s="1"/>
  <c r="E169" i="1"/>
  <c r="T168" i="1"/>
  <c r="R168" i="1"/>
  <c r="Q168" i="1"/>
  <c r="S168" i="1" s="1"/>
  <c r="E168" i="1"/>
  <c r="R167" i="1"/>
  <c r="T167" i="1" s="1"/>
  <c r="Q167" i="1"/>
  <c r="S167" i="1" s="1"/>
  <c r="E167" i="1"/>
  <c r="R166" i="1"/>
  <c r="T166" i="1" s="1"/>
  <c r="Q166" i="1"/>
  <c r="S166" i="1" s="1"/>
  <c r="E166" i="1"/>
  <c r="T165" i="1"/>
  <c r="R165" i="1"/>
  <c r="Q165" i="1"/>
  <c r="S165" i="1" s="1"/>
  <c r="E165" i="1"/>
  <c r="N164" i="1"/>
  <c r="E164" i="1"/>
  <c r="T163" i="1"/>
  <c r="R163" i="1"/>
  <c r="Q163" i="1"/>
  <c r="S163" i="1" s="1"/>
  <c r="E163" i="1"/>
  <c r="T162" i="1"/>
  <c r="R162" i="1"/>
  <c r="Q162" i="1"/>
  <c r="S162" i="1" s="1"/>
  <c r="E162" i="1"/>
  <c r="T161" i="1"/>
  <c r="R161" i="1"/>
  <c r="Q161" i="1"/>
  <c r="S161" i="1" s="1"/>
  <c r="E161" i="1"/>
  <c r="T160" i="1"/>
  <c r="R160" i="1"/>
  <c r="Q160" i="1"/>
  <c r="S160" i="1" s="1"/>
  <c r="E160" i="1"/>
  <c r="T159" i="1"/>
  <c r="R159" i="1"/>
  <c r="Q159" i="1"/>
  <c r="S159" i="1" s="1"/>
  <c r="E159" i="1"/>
  <c r="T158" i="1"/>
  <c r="R158" i="1"/>
  <c r="Q158" i="1"/>
  <c r="S158" i="1" s="1"/>
  <c r="E158" i="1"/>
  <c r="T157" i="1"/>
  <c r="R157" i="1"/>
  <c r="Q157" i="1"/>
  <c r="S157" i="1" s="1"/>
  <c r="E157" i="1"/>
  <c r="T156" i="1"/>
  <c r="R156" i="1"/>
  <c r="Q156" i="1"/>
  <c r="S156" i="1" s="1"/>
  <c r="E156" i="1"/>
  <c r="T155" i="1"/>
  <c r="R155" i="1"/>
  <c r="Q155" i="1"/>
  <c r="S155" i="1" s="1"/>
  <c r="E155" i="1"/>
  <c r="T154" i="1"/>
  <c r="R154" i="1"/>
  <c r="Q154" i="1"/>
  <c r="S154" i="1" s="1"/>
  <c r="E154" i="1"/>
  <c r="T153" i="1"/>
  <c r="R153" i="1"/>
  <c r="Q153" i="1"/>
  <c r="S153" i="1" s="1"/>
  <c r="E153" i="1"/>
  <c r="T152" i="1"/>
  <c r="R152" i="1"/>
  <c r="Q152" i="1"/>
  <c r="S152" i="1" s="1"/>
  <c r="E152" i="1"/>
  <c r="T151" i="1"/>
  <c r="R151" i="1"/>
  <c r="Q151" i="1"/>
  <c r="S151" i="1" s="1"/>
  <c r="E151" i="1"/>
  <c r="T150" i="1"/>
  <c r="R150" i="1"/>
  <c r="Q150" i="1"/>
  <c r="S150" i="1" s="1"/>
  <c r="E150" i="1"/>
  <c r="T149" i="1"/>
  <c r="R149" i="1"/>
  <c r="Q149" i="1"/>
  <c r="S149" i="1" s="1"/>
  <c r="E149" i="1"/>
  <c r="T148" i="1"/>
  <c r="R148" i="1"/>
  <c r="Q148" i="1"/>
  <c r="S148" i="1" s="1"/>
  <c r="E148" i="1"/>
  <c r="T147" i="1"/>
  <c r="T146" i="1" s="1"/>
  <c r="R147" i="1"/>
  <c r="Q147" i="1"/>
  <c r="S147" i="1" s="1"/>
  <c r="E147" i="1"/>
  <c r="N146" i="1"/>
  <c r="E146" i="1"/>
  <c r="T145" i="1"/>
  <c r="S145" i="1"/>
  <c r="R145" i="1"/>
  <c r="Q145" i="1"/>
  <c r="E145" i="1"/>
  <c r="T144" i="1"/>
  <c r="S144" i="1"/>
  <c r="R144" i="1"/>
  <c r="Q144" i="1"/>
  <c r="E144" i="1"/>
  <c r="T143" i="1"/>
  <c r="S143" i="1"/>
  <c r="R143" i="1"/>
  <c r="Q143" i="1"/>
  <c r="E143" i="1"/>
  <c r="T142" i="1"/>
  <c r="S142" i="1"/>
  <c r="R142" i="1"/>
  <c r="Q142" i="1"/>
  <c r="E142" i="1"/>
  <c r="T141" i="1"/>
  <c r="S141" i="1"/>
  <c r="R141" i="1"/>
  <c r="Q141" i="1"/>
  <c r="E141" i="1"/>
  <c r="T140" i="1"/>
  <c r="S140" i="1"/>
  <c r="R140" i="1"/>
  <c r="Q140" i="1"/>
  <c r="E140" i="1"/>
  <c r="T139" i="1"/>
  <c r="S139" i="1"/>
  <c r="R139" i="1"/>
  <c r="Q139" i="1"/>
  <c r="E139" i="1"/>
  <c r="T138" i="1"/>
  <c r="S138" i="1"/>
  <c r="R138" i="1"/>
  <c r="Q138" i="1"/>
  <c r="E138" i="1"/>
  <c r="T137" i="1"/>
  <c r="S137" i="1"/>
  <c r="R137" i="1"/>
  <c r="Q137" i="1"/>
  <c r="E137" i="1"/>
  <c r="T136" i="1"/>
  <c r="S136" i="1"/>
  <c r="R136" i="1"/>
  <c r="Q136" i="1"/>
  <c r="E136" i="1"/>
  <c r="T135" i="1"/>
  <c r="S135" i="1"/>
  <c r="R135" i="1"/>
  <c r="Q135" i="1"/>
  <c r="E135" i="1"/>
  <c r="T134" i="1"/>
  <c r="S134" i="1"/>
  <c r="R134" i="1"/>
  <c r="Q134" i="1"/>
  <c r="E134" i="1"/>
  <c r="T133" i="1"/>
  <c r="S133" i="1"/>
  <c r="R133" i="1"/>
  <c r="Q133" i="1"/>
  <c r="E133" i="1"/>
  <c r="T132" i="1"/>
  <c r="S132" i="1"/>
  <c r="R132" i="1"/>
  <c r="Q132" i="1"/>
  <c r="E132" i="1"/>
  <c r="T131" i="1"/>
  <c r="S131" i="1"/>
  <c r="R131" i="1"/>
  <c r="Q131" i="1"/>
  <c r="E131" i="1"/>
  <c r="T130" i="1"/>
  <c r="S130" i="1"/>
  <c r="S128" i="1" s="1"/>
  <c r="R130" i="1"/>
  <c r="Q130" i="1"/>
  <c r="E130" i="1"/>
  <c r="T129" i="1"/>
  <c r="T128" i="1" s="1"/>
  <c r="S129" i="1"/>
  <c r="R129" i="1"/>
  <c r="Q129" i="1"/>
  <c r="E129" i="1"/>
  <c r="N128" i="1"/>
  <c r="E128" i="1"/>
  <c r="R127" i="1"/>
  <c r="T127" i="1" s="1"/>
  <c r="Q127" i="1"/>
  <c r="S127" i="1" s="1"/>
  <c r="E127" i="1"/>
  <c r="T126" i="1"/>
  <c r="R126" i="1"/>
  <c r="Q126" i="1"/>
  <c r="S126" i="1" s="1"/>
  <c r="E126" i="1"/>
  <c r="S125" i="1"/>
  <c r="R125" i="1"/>
  <c r="T125" i="1" s="1"/>
  <c r="Q125" i="1"/>
  <c r="E125" i="1"/>
  <c r="T124" i="1"/>
  <c r="R124" i="1"/>
  <c r="Q124" i="1"/>
  <c r="S124" i="1" s="1"/>
  <c r="E124" i="1"/>
  <c r="T123" i="1"/>
  <c r="S123" i="1"/>
  <c r="R123" i="1"/>
  <c r="Q123" i="1"/>
  <c r="E123" i="1"/>
  <c r="S122" i="1"/>
  <c r="R122" i="1"/>
  <c r="T122" i="1" s="1"/>
  <c r="Q122" i="1"/>
  <c r="E122" i="1"/>
  <c r="R121" i="1"/>
  <c r="T121" i="1" s="1"/>
  <c r="Q121" i="1"/>
  <c r="S121" i="1" s="1"/>
  <c r="E121" i="1"/>
  <c r="T120" i="1"/>
  <c r="R120" i="1"/>
  <c r="Q120" i="1"/>
  <c r="S120" i="1" s="1"/>
  <c r="E120" i="1"/>
  <c r="S119" i="1"/>
  <c r="R119" i="1"/>
  <c r="T119" i="1" s="1"/>
  <c r="Q119" i="1"/>
  <c r="E119" i="1"/>
  <c r="S118" i="1"/>
  <c r="R118" i="1"/>
  <c r="T118" i="1" s="1"/>
  <c r="Q118" i="1"/>
  <c r="E118" i="1"/>
  <c r="S117" i="1"/>
  <c r="R117" i="1"/>
  <c r="T117" i="1" s="1"/>
  <c r="Q117" i="1"/>
  <c r="E117" i="1"/>
  <c r="S116" i="1"/>
  <c r="R116" i="1"/>
  <c r="T116" i="1" s="1"/>
  <c r="Q116" i="1"/>
  <c r="E116" i="1"/>
  <c r="S115" i="1"/>
  <c r="R115" i="1"/>
  <c r="T115" i="1" s="1"/>
  <c r="Q115" i="1"/>
  <c r="E115" i="1"/>
  <c r="S114" i="1"/>
  <c r="R114" i="1"/>
  <c r="T114" i="1" s="1"/>
  <c r="Q114" i="1"/>
  <c r="E114" i="1"/>
  <c r="S113" i="1"/>
  <c r="R113" i="1"/>
  <c r="T113" i="1" s="1"/>
  <c r="Q113" i="1"/>
  <c r="E113" i="1"/>
  <c r="N112" i="1"/>
  <c r="N109" i="1" s="1"/>
  <c r="E112" i="1"/>
  <c r="T111" i="1"/>
  <c r="R111" i="1"/>
  <c r="Q111" i="1"/>
  <c r="S111" i="1" s="1"/>
  <c r="S110" i="1" s="1"/>
  <c r="E111" i="1"/>
  <c r="T110" i="1"/>
  <c r="N110" i="1"/>
  <c r="E110" i="1"/>
  <c r="E109" i="1"/>
  <c r="S108" i="1"/>
  <c r="R108" i="1"/>
  <c r="T108" i="1" s="1"/>
  <c r="Q108" i="1"/>
  <c r="E108" i="1"/>
  <c r="S107" i="1"/>
  <c r="R107" i="1"/>
  <c r="T107" i="1" s="1"/>
  <c r="Q107" i="1"/>
  <c r="E107" i="1"/>
  <c r="S106" i="1"/>
  <c r="R106" i="1"/>
  <c r="T106" i="1" s="1"/>
  <c r="Q106" i="1"/>
  <c r="E106" i="1"/>
  <c r="S105" i="1"/>
  <c r="R105" i="1"/>
  <c r="T105" i="1" s="1"/>
  <c r="Q105" i="1"/>
  <c r="E105" i="1"/>
  <c r="S104" i="1"/>
  <c r="R104" i="1"/>
  <c r="T104" i="1" s="1"/>
  <c r="Q104" i="1"/>
  <c r="E104" i="1"/>
  <c r="S103" i="1"/>
  <c r="R103" i="1"/>
  <c r="T103" i="1" s="1"/>
  <c r="Q103" i="1"/>
  <c r="E103" i="1"/>
  <c r="S102" i="1"/>
  <c r="R102" i="1"/>
  <c r="T102" i="1" s="1"/>
  <c r="Q102" i="1"/>
  <c r="E102" i="1"/>
  <c r="S101" i="1"/>
  <c r="R101" i="1"/>
  <c r="T101" i="1" s="1"/>
  <c r="Q101" i="1"/>
  <c r="E101" i="1"/>
  <c r="S100" i="1"/>
  <c r="R100" i="1"/>
  <c r="T100" i="1" s="1"/>
  <c r="Q100" i="1"/>
  <c r="E100" i="1"/>
  <c r="S99" i="1"/>
  <c r="R99" i="1"/>
  <c r="T99" i="1" s="1"/>
  <c r="Q99" i="1"/>
  <c r="E99" i="1"/>
  <c r="S98" i="1"/>
  <c r="R98" i="1"/>
  <c r="T98" i="1" s="1"/>
  <c r="Q98" i="1"/>
  <c r="E98" i="1"/>
  <c r="S97" i="1"/>
  <c r="R97" i="1"/>
  <c r="T97" i="1" s="1"/>
  <c r="Q97" i="1"/>
  <c r="E97" i="1"/>
  <c r="S96" i="1"/>
  <c r="R96" i="1"/>
  <c r="T96" i="1" s="1"/>
  <c r="Q96" i="1"/>
  <c r="E96" i="1"/>
  <c r="S95" i="1"/>
  <c r="R95" i="1"/>
  <c r="T95" i="1" s="1"/>
  <c r="Q95" i="1"/>
  <c r="E95" i="1"/>
  <c r="S94" i="1"/>
  <c r="R94" i="1"/>
  <c r="T94" i="1" s="1"/>
  <c r="Q94" i="1"/>
  <c r="E94" i="1"/>
  <c r="S93" i="1"/>
  <c r="R93" i="1"/>
  <c r="T93" i="1" s="1"/>
  <c r="Q93" i="1"/>
  <c r="E93" i="1"/>
  <c r="S92" i="1"/>
  <c r="R92" i="1"/>
  <c r="T92" i="1" s="1"/>
  <c r="Q92" i="1"/>
  <c r="E92" i="1"/>
  <c r="S91" i="1"/>
  <c r="R91" i="1"/>
  <c r="T91" i="1" s="1"/>
  <c r="Q91" i="1"/>
  <c r="E91" i="1"/>
  <c r="S90" i="1"/>
  <c r="R90" i="1"/>
  <c r="T90" i="1" s="1"/>
  <c r="Q90" i="1"/>
  <c r="E90" i="1"/>
  <c r="S89" i="1"/>
  <c r="R89" i="1"/>
  <c r="T89" i="1" s="1"/>
  <c r="Q89" i="1"/>
  <c r="E89" i="1"/>
  <c r="S88" i="1"/>
  <c r="R88" i="1"/>
  <c r="T88" i="1" s="1"/>
  <c r="Q88" i="1"/>
  <c r="E88" i="1"/>
  <c r="S87" i="1"/>
  <c r="R87" i="1"/>
  <c r="T87" i="1" s="1"/>
  <c r="Q87" i="1"/>
  <c r="E87" i="1"/>
  <c r="S86" i="1"/>
  <c r="R86" i="1"/>
  <c r="T86" i="1" s="1"/>
  <c r="Q86" i="1"/>
  <c r="E86" i="1"/>
  <c r="S85" i="1"/>
  <c r="R85" i="1"/>
  <c r="T85" i="1" s="1"/>
  <c r="Q85" i="1"/>
  <c r="E85" i="1"/>
  <c r="S84" i="1"/>
  <c r="R84" i="1"/>
  <c r="T84" i="1" s="1"/>
  <c r="Q84" i="1"/>
  <c r="E84" i="1"/>
  <c r="S83" i="1"/>
  <c r="R83" i="1"/>
  <c r="T83" i="1" s="1"/>
  <c r="Q83" i="1"/>
  <c r="E83" i="1"/>
  <c r="S82" i="1"/>
  <c r="R82" i="1"/>
  <c r="T82" i="1" s="1"/>
  <c r="Q82" i="1"/>
  <c r="E82" i="1"/>
  <c r="T81" i="1"/>
  <c r="S81" i="1"/>
  <c r="R81" i="1"/>
  <c r="Q81" i="1"/>
  <c r="E81" i="1"/>
  <c r="T80" i="1"/>
  <c r="S80" i="1"/>
  <c r="R80" i="1"/>
  <c r="Q80" i="1"/>
  <c r="E80" i="1"/>
  <c r="T79" i="1"/>
  <c r="S79" i="1"/>
  <c r="R79" i="1"/>
  <c r="Q79" i="1"/>
  <c r="E79" i="1"/>
  <c r="T78" i="1"/>
  <c r="S78" i="1"/>
  <c r="R78" i="1"/>
  <c r="Q78" i="1"/>
  <c r="E78" i="1"/>
  <c r="T77" i="1"/>
  <c r="S77" i="1"/>
  <c r="R77" i="1"/>
  <c r="Q77" i="1"/>
  <c r="E77" i="1"/>
  <c r="T76" i="1"/>
  <c r="R76" i="1"/>
  <c r="O76" i="1"/>
  <c r="Q76" i="1" s="1"/>
  <c r="S76" i="1" s="1"/>
  <c r="E76" i="1"/>
  <c r="T75" i="1"/>
  <c r="R75" i="1"/>
  <c r="O75" i="1"/>
  <c r="Q75" i="1" s="1"/>
  <c r="S75" i="1" s="1"/>
  <c r="E75" i="1"/>
  <c r="T74" i="1"/>
  <c r="R74" i="1"/>
  <c r="O74" i="1"/>
  <c r="Q74" i="1" s="1"/>
  <c r="S74" i="1" s="1"/>
  <c r="E74" i="1"/>
  <c r="R73" i="1"/>
  <c r="T73" i="1" s="1"/>
  <c r="O73" i="1"/>
  <c r="Q73" i="1" s="1"/>
  <c r="S73" i="1" s="1"/>
  <c r="E73" i="1"/>
  <c r="R72" i="1"/>
  <c r="T72" i="1" s="1"/>
  <c r="O72" i="1"/>
  <c r="Q72" i="1" s="1"/>
  <c r="S72" i="1" s="1"/>
  <c r="E72" i="1"/>
  <c r="R71" i="1"/>
  <c r="T71" i="1" s="1"/>
  <c r="O71" i="1"/>
  <c r="Q71" i="1" s="1"/>
  <c r="S71" i="1" s="1"/>
  <c r="E71" i="1"/>
  <c r="T70" i="1"/>
  <c r="R70" i="1"/>
  <c r="O70" i="1"/>
  <c r="Q70" i="1" s="1"/>
  <c r="S70" i="1" s="1"/>
  <c r="E70" i="1"/>
  <c r="T69" i="1"/>
  <c r="R69" i="1"/>
  <c r="O69" i="1"/>
  <c r="Q69" i="1" s="1"/>
  <c r="S69" i="1" s="1"/>
  <c r="E69" i="1"/>
  <c r="T68" i="1"/>
  <c r="R68" i="1"/>
  <c r="O68" i="1"/>
  <c r="Q68" i="1" s="1"/>
  <c r="S68" i="1" s="1"/>
  <c r="E68" i="1"/>
  <c r="R67" i="1"/>
  <c r="T67" i="1" s="1"/>
  <c r="O67" i="1"/>
  <c r="Q67" i="1" s="1"/>
  <c r="S67" i="1" s="1"/>
  <c r="E67" i="1"/>
  <c r="R66" i="1"/>
  <c r="T66" i="1" s="1"/>
  <c r="O66" i="1"/>
  <c r="Q66" i="1" s="1"/>
  <c r="S66" i="1" s="1"/>
  <c r="E66" i="1"/>
  <c r="R65" i="1"/>
  <c r="T65" i="1" s="1"/>
  <c r="O65" i="1"/>
  <c r="Q65" i="1" s="1"/>
  <c r="S65" i="1" s="1"/>
  <c r="E65" i="1"/>
  <c r="T64" i="1"/>
  <c r="R64" i="1"/>
  <c r="O64" i="1"/>
  <c r="Q64" i="1" s="1"/>
  <c r="S64" i="1" s="1"/>
  <c r="E64" i="1"/>
  <c r="R63" i="1"/>
  <c r="T63" i="1" s="1"/>
  <c r="O63" i="1"/>
  <c r="Q63" i="1" s="1"/>
  <c r="S63" i="1" s="1"/>
  <c r="E63" i="1"/>
  <c r="T62" i="1"/>
  <c r="R62" i="1"/>
  <c r="O62" i="1"/>
  <c r="Q62" i="1" s="1"/>
  <c r="S62" i="1" s="1"/>
  <c r="E62" i="1"/>
  <c r="T61" i="1"/>
  <c r="R61" i="1"/>
  <c r="O61" i="1"/>
  <c r="Q61" i="1" s="1"/>
  <c r="S61" i="1" s="1"/>
  <c r="E61" i="1"/>
  <c r="R60" i="1"/>
  <c r="T60" i="1" s="1"/>
  <c r="O60" i="1"/>
  <c r="Q60" i="1" s="1"/>
  <c r="S60" i="1" s="1"/>
  <c r="E60" i="1"/>
  <c r="R59" i="1"/>
  <c r="T59" i="1" s="1"/>
  <c r="O59" i="1"/>
  <c r="Q59" i="1" s="1"/>
  <c r="S59" i="1" s="1"/>
  <c r="E59" i="1"/>
  <c r="T58" i="1"/>
  <c r="R58" i="1"/>
  <c r="Q58" i="1"/>
  <c r="S58" i="1" s="1"/>
  <c r="O58" i="1"/>
  <c r="E58" i="1"/>
  <c r="R57" i="1"/>
  <c r="T57" i="1" s="1"/>
  <c r="O57" i="1"/>
  <c r="Q57" i="1" s="1"/>
  <c r="S57" i="1" s="1"/>
  <c r="E57" i="1"/>
  <c r="T56" i="1"/>
  <c r="R56" i="1"/>
  <c r="O56" i="1"/>
  <c r="Q56" i="1" s="1"/>
  <c r="S56" i="1" s="1"/>
  <c r="E56" i="1"/>
  <c r="T55" i="1"/>
  <c r="R55" i="1"/>
  <c r="O55" i="1"/>
  <c r="Q55" i="1" s="1"/>
  <c r="S55" i="1" s="1"/>
  <c r="E55" i="1"/>
  <c r="R54" i="1"/>
  <c r="T54" i="1" s="1"/>
  <c r="Q54" i="1"/>
  <c r="S54" i="1" s="1"/>
  <c r="O54" i="1"/>
  <c r="E54" i="1"/>
  <c r="R53" i="1"/>
  <c r="T53" i="1" s="1"/>
  <c r="O53" i="1"/>
  <c r="Q53" i="1" s="1"/>
  <c r="S53" i="1" s="1"/>
  <c r="E53" i="1"/>
  <c r="T52" i="1"/>
  <c r="R52" i="1"/>
  <c r="O52" i="1"/>
  <c r="Q52" i="1" s="1"/>
  <c r="S52" i="1" s="1"/>
  <c r="E52" i="1"/>
  <c r="R51" i="1"/>
  <c r="T51" i="1" s="1"/>
  <c r="O51" i="1"/>
  <c r="Q51" i="1" s="1"/>
  <c r="S51" i="1" s="1"/>
  <c r="E51" i="1"/>
  <c r="T50" i="1"/>
  <c r="R50" i="1"/>
  <c r="O50" i="1"/>
  <c r="Q50" i="1" s="1"/>
  <c r="S50" i="1" s="1"/>
  <c r="E50" i="1"/>
  <c r="T49" i="1"/>
  <c r="R49" i="1"/>
  <c r="O49" i="1"/>
  <c r="Q49" i="1" s="1"/>
  <c r="S49" i="1" s="1"/>
  <c r="E49" i="1"/>
  <c r="R48" i="1"/>
  <c r="T48" i="1" s="1"/>
  <c r="O48" i="1"/>
  <c r="Q48" i="1" s="1"/>
  <c r="S48" i="1" s="1"/>
  <c r="E48" i="1"/>
  <c r="R47" i="1"/>
  <c r="T47" i="1" s="1"/>
  <c r="O47" i="1"/>
  <c r="Q47" i="1" s="1"/>
  <c r="S47" i="1" s="1"/>
  <c r="E47" i="1"/>
  <c r="T46" i="1"/>
  <c r="R46" i="1"/>
  <c r="O46" i="1"/>
  <c r="Q46" i="1" s="1"/>
  <c r="S46" i="1" s="1"/>
  <c r="E46" i="1"/>
  <c r="R45" i="1"/>
  <c r="T45" i="1" s="1"/>
  <c r="O45" i="1"/>
  <c r="Q45" i="1" s="1"/>
  <c r="S45" i="1" s="1"/>
  <c r="E45" i="1"/>
  <c r="T44" i="1"/>
  <c r="R44" i="1"/>
  <c r="O44" i="1"/>
  <c r="Q44" i="1" s="1"/>
  <c r="S44" i="1" s="1"/>
  <c r="E44" i="1"/>
  <c r="T43" i="1"/>
  <c r="R43" i="1"/>
  <c r="O43" i="1"/>
  <c r="Q43" i="1" s="1"/>
  <c r="S43" i="1" s="1"/>
  <c r="E43" i="1"/>
  <c r="R42" i="1"/>
  <c r="T42" i="1" s="1"/>
  <c r="O42" i="1"/>
  <c r="Q42" i="1" s="1"/>
  <c r="S42" i="1" s="1"/>
  <c r="E42" i="1"/>
  <c r="R41" i="1"/>
  <c r="T41" i="1" s="1"/>
  <c r="O41" i="1"/>
  <c r="Q41" i="1" s="1"/>
  <c r="S41" i="1" s="1"/>
  <c r="E41" i="1"/>
  <c r="T40" i="1"/>
  <c r="R40" i="1"/>
  <c r="Q40" i="1"/>
  <c r="S40" i="1" s="1"/>
  <c r="O40" i="1"/>
  <c r="E40" i="1"/>
  <c r="R39" i="1"/>
  <c r="T39" i="1" s="1"/>
  <c r="O39" i="1"/>
  <c r="Q39" i="1" s="1"/>
  <c r="S39" i="1" s="1"/>
  <c r="E39" i="1"/>
  <c r="R38" i="1"/>
  <c r="T38" i="1" s="1"/>
  <c r="O38" i="1"/>
  <c r="Q38" i="1" s="1"/>
  <c r="S38" i="1" s="1"/>
  <c r="E38" i="1"/>
  <c r="T37" i="1"/>
  <c r="R37" i="1"/>
  <c r="O37" i="1"/>
  <c r="Q37" i="1" s="1"/>
  <c r="S37" i="1" s="1"/>
  <c r="E37" i="1"/>
  <c r="R36" i="1"/>
  <c r="T36" i="1" s="1"/>
  <c r="O36" i="1"/>
  <c r="Q36" i="1" s="1"/>
  <c r="S36" i="1" s="1"/>
  <c r="E36" i="1"/>
  <c r="R35" i="1"/>
  <c r="T35" i="1" s="1"/>
  <c r="O35" i="1"/>
  <c r="Q35" i="1" s="1"/>
  <c r="S35" i="1" s="1"/>
  <c r="E35" i="1"/>
  <c r="T34" i="1"/>
  <c r="R34" i="1"/>
  <c r="O34" i="1"/>
  <c r="Q34" i="1" s="1"/>
  <c r="S34" i="1" s="1"/>
  <c r="E34" i="1"/>
  <c r="R33" i="1"/>
  <c r="T33" i="1" s="1"/>
  <c r="O33" i="1"/>
  <c r="Q33" i="1" s="1"/>
  <c r="S33" i="1" s="1"/>
  <c r="E33" i="1"/>
  <c r="R32" i="1"/>
  <c r="T32" i="1" s="1"/>
  <c r="O32" i="1"/>
  <c r="Q32" i="1" s="1"/>
  <c r="S32" i="1" s="1"/>
  <c r="E32" i="1"/>
  <c r="T31" i="1"/>
  <c r="R31" i="1"/>
  <c r="O31" i="1"/>
  <c r="Q31" i="1" s="1"/>
  <c r="S31" i="1" s="1"/>
  <c r="E31" i="1"/>
  <c r="R30" i="1"/>
  <c r="T30" i="1" s="1"/>
  <c r="Q30" i="1"/>
  <c r="S30" i="1" s="1"/>
  <c r="O30" i="1"/>
  <c r="E30" i="1"/>
  <c r="R29" i="1"/>
  <c r="T29" i="1" s="1"/>
  <c r="O29" i="1"/>
  <c r="Q29" i="1" s="1"/>
  <c r="S29" i="1" s="1"/>
  <c r="E29" i="1"/>
  <c r="T28" i="1"/>
  <c r="R28" i="1"/>
  <c r="O28" i="1"/>
  <c r="Q28" i="1" s="1"/>
  <c r="S28" i="1" s="1"/>
  <c r="E28" i="1"/>
  <c r="R27" i="1"/>
  <c r="T27" i="1" s="1"/>
  <c r="O27" i="1"/>
  <c r="Q27" i="1" s="1"/>
  <c r="S27" i="1" s="1"/>
  <c r="E27" i="1"/>
  <c r="R26" i="1"/>
  <c r="T26" i="1" s="1"/>
  <c r="O26" i="1"/>
  <c r="Q26" i="1" s="1"/>
  <c r="S26" i="1" s="1"/>
  <c r="E26" i="1"/>
  <c r="T25" i="1"/>
  <c r="R25" i="1"/>
  <c r="O25" i="1"/>
  <c r="Q25" i="1" s="1"/>
  <c r="S25" i="1" s="1"/>
  <c r="E25" i="1"/>
  <c r="R24" i="1"/>
  <c r="T24" i="1" s="1"/>
  <c r="O24" i="1"/>
  <c r="Q24" i="1" s="1"/>
  <c r="S24" i="1" s="1"/>
  <c r="E24" i="1"/>
  <c r="R23" i="1"/>
  <c r="T23" i="1" s="1"/>
  <c r="O23" i="1"/>
  <c r="Q23" i="1" s="1"/>
  <c r="S23" i="1" s="1"/>
  <c r="E23" i="1"/>
  <c r="T22" i="1"/>
  <c r="R22" i="1"/>
  <c r="Q22" i="1"/>
  <c r="S22" i="1" s="1"/>
  <c r="O22" i="1"/>
  <c r="E22" i="1"/>
  <c r="R21" i="1"/>
  <c r="T21" i="1" s="1"/>
  <c r="O21" i="1"/>
  <c r="Q21" i="1" s="1"/>
  <c r="S21" i="1" s="1"/>
  <c r="E21" i="1"/>
  <c r="R20" i="1"/>
  <c r="T20" i="1" s="1"/>
  <c r="O20" i="1"/>
  <c r="Q20" i="1" s="1"/>
  <c r="S20" i="1" s="1"/>
  <c r="E20" i="1"/>
  <c r="T19" i="1"/>
  <c r="R19" i="1"/>
  <c r="O19" i="1"/>
  <c r="Q19" i="1" s="1"/>
  <c r="S19" i="1" s="1"/>
  <c r="E19" i="1"/>
  <c r="R18" i="1"/>
  <c r="T18" i="1" s="1"/>
  <c r="O18" i="1"/>
  <c r="Q18" i="1" s="1"/>
  <c r="S18" i="1" s="1"/>
  <c r="E18" i="1"/>
  <c r="R17" i="1"/>
  <c r="T17" i="1" s="1"/>
  <c r="O17" i="1"/>
  <c r="Q17" i="1" s="1"/>
  <c r="S17" i="1" s="1"/>
  <c r="E17" i="1"/>
  <c r="N16" i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E16" i="1"/>
  <c r="N15" i="1"/>
  <c r="E15" i="1"/>
  <c r="T472" i="1" l="1"/>
  <c r="T357" i="1"/>
  <c r="T653" i="1"/>
  <c r="T1010" i="1"/>
  <c r="S254" i="1"/>
  <c r="T367" i="1"/>
  <c r="S379" i="1"/>
  <c r="N379" i="1" s="1"/>
  <c r="R1459" i="1"/>
  <c r="T1459" i="1" s="1"/>
  <c r="R1475" i="1"/>
  <c r="T1475" i="1" s="1"/>
  <c r="R1477" i="1"/>
  <c r="T1477" i="1" s="1"/>
  <c r="R1487" i="1"/>
  <c r="T1487" i="1" s="1"/>
  <c r="R1489" i="1"/>
  <c r="T1489" i="1" s="1"/>
  <c r="R1499" i="1"/>
  <c r="T1499" i="1" s="1"/>
  <c r="R1564" i="1"/>
  <c r="T1564" i="1" s="1"/>
  <c r="R1570" i="1"/>
  <c r="T1570" i="1" s="1"/>
  <c r="S112" i="1"/>
  <c r="T205" i="1"/>
  <c r="T235" i="1"/>
  <c r="S447" i="1"/>
  <c r="R1458" i="1"/>
  <c r="T1458" i="1" s="1"/>
  <c r="R1514" i="1"/>
  <c r="T1514" i="1" s="1"/>
  <c r="T1638" i="1"/>
  <c r="S16" i="1"/>
  <c r="S15" i="1" s="1"/>
  <c r="T352" i="1"/>
  <c r="T752" i="1"/>
  <c r="T761" i="1"/>
  <c r="S893" i="1"/>
  <c r="S634" i="1"/>
  <c r="N634" i="1" s="1"/>
  <c r="T392" i="1"/>
  <c r="S746" i="1"/>
  <c r="N746" i="1" s="1"/>
  <c r="S752" i="1"/>
  <c r="N752" i="1" s="1"/>
  <c r="S765" i="1"/>
  <c r="O1504" i="1"/>
  <c r="Q1504" i="1" s="1"/>
  <c r="S1504" i="1" s="1"/>
  <c r="O1510" i="1"/>
  <c r="Q1510" i="1" s="1"/>
  <c r="S1510" i="1" s="1"/>
  <c r="O1522" i="1"/>
  <c r="Q1522" i="1" s="1"/>
  <c r="S1522" i="1" s="1"/>
  <c r="O1528" i="1"/>
  <c r="Q1528" i="1" s="1"/>
  <c r="S1528" i="1" s="1"/>
  <c r="O1534" i="1"/>
  <c r="Q1534" i="1" s="1"/>
  <c r="S1534" i="1" s="1"/>
  <c r="O1540" i="1"/>
  <c r="Q1540" i="1" s="1"/>
  <c r="S1540" i="1" s="1"/>
  <c r="O1546" i="1"/>
  <c r="Q1546" i="1" s="1"/>
  <c r="S1546" i="1" s="1"/>
  <c r="O1555" i="1"/>
  <c r="Q1555" i="1" s="1"/>
  <c r="S1555" i="1" s="1"/>
  <c r="T16" i="1"/>
  <c r="T15" i="1" s="1"/>
  <c r="T164" i="1"/>
  <c r="T112" i="1"/>
  <c r="S146" i="1"/>
  <c r="S215" i="1"/>
  <c r="F96" i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95" i="1"/>
  <c r="S164" i="1"/>
  <c r="F465" i="1"/>
  <c r="F466" i="1" s="1"/>
  <c r="F468" i="1"/>
  <c r="F469" i="1" s="1"/>
  <c r="F470" i="1" s="1"/>
  <c r="F471" i="1" s="1"/>
  <c r="T174" i="1"/>
  <c r="T109" i="1" s="1"/>
  <c r="S221" i="1"/>
  <c r="T254" i="1"/>
  <c r="S295" i="1"/>
  <c r="N295" i="1" s="1"/>
  <c r="S347" i="1"/>
  <c r="S361" i="1"/>
  <c r="N361" i="1" s="1"/>
  <c r="N447" i="1"/>
  <c r="S190" i="1"/>
  <c r="T379" i="1"/>
  <c r="T295" i="1"/>
  <c r="S310" i="1"/>
  <c r="N310" i="1" s="1"/>
  <c r="T347" i="1"/>
  <c r="T361" i="1"/>
  <c r="S392" i="1"/>
  <c r="N392" i="1" s="1"/>
  <c r="N254" i="1"/>
  <c r="T310" i="1"/>
  <c r="S367" i="1"/>
  <c r="N367" i="1" s="1"/>
  <c r="T412" i="1"/>
  <c r="D476" i="1"/>
  <c r="E475" i="1"/>
  <c r="S653" i="1"/>
  <c r="T447" i="1"/>
  <c r="T446" i="1" s="1"/>
  <c r="T552" i="1"/>
  <c r="T634" i="1"/>
  <c r="T586" i="1" s="1"/>
  <c r="S472" i="1"/>
  <c r="N472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T532" i="1"/>
  <c r="S412" i="1"/>
  <c r="N412" i="1" s="1"/>
  <c r="S532" i="1"/>
  <c r="N532" i="1" s="1"/>
  <c r="S764" i="1"/>
  <c r="N764" i="1" s="1"/>
  <c r="N765" i="1"/>
  <c r="S586" i="1"/>
  <c r="N586" i="1" s="1"/>
  <c r="S761" i="1"/>
  <c r="N761" i="1" s="1"/>
  <c r="T893" i="1"/>
  <c r="T892" i="1" s="1"/>
  <c r="N893" i="1"/>
  <c r="S892" i="1"/>
  <c r="N892" i="1" s="1"/>
  <c r="T778" i="1"/>
  <c r="T765" i="1" s="1"/>
  <c r="T764" i="1" s="1"/>
  <c r="D928" i="1"/>
  <c r="E927" i="1"/>
  <c r="S1002" i="1"/>
  <c r="T1002" i="1"/>
  <c r="T1001" i="1" s="1"/>
  <c r="S1010" i="1"/>
  <c r="N1010" i="1" s="1"/>
  <c r="T1091" i="1"/>
  <c r="S1091" i="1"/>
  <c r="N1091" i="1" s="1"/>
  <c r="E926" i="1"/>
  <c r="R1580" i="1"/>
  <c r="T1580" i="1" s="1"/>
  <c r="O1580" i="1"/>
  <c r="Q1580" i="1" s="1"/>
  <c r="S1580" i="1" s="1"/>
  <c r="R1586" i="1"/>
  <c r="T1586" i="1" s="1"/>
  <c r="O1586" i="1"/>
  <c r="Q1586" i="1" s="1"/>
  <c r="S1586" i="1" s="1"/>
  <c r="O1476" i="1"/>
  <c r="Q1476" i="1" s="1"/>
  <c r="S1476" i="1" s="1"/>
  <c r="R1476" i="1"/>
  <c r="T1476" i="1" s="1"/>
  <c r="O1482" i="1"/>
  <c r="Q1482" i="1" s="1"/>
  <c r="S1482" i="1" s="1"/>
  <c r="R1482" i="1"/>
  <c r="T1482" i="1" s="1"/>
  <c r="O1488" i="1"/>
  <c r="Q1488" i="1" s="1"/>
  <c r="S1488" i="1" s="1"/>
  <c r="R1488" i="1"/>
  <c r="T1488" i="1" s="1"/>
  <c r="T1101" i="1" s="1"/>
  <c r="T1090" i="1" s="1"/>
  <c r="O1494" i="1"/>
  <c r="Q1494" i="1" s="1"/>
  <c r="S1494" i="1" s="1"/>
  <c r="R1494" i="1"/>
  <c r="T1494" i="1" s="1"/>
  <c r="O1500" i="1"/>
  <c r="Q1500" i="1" s="1"/>
  <c r="S1500" i="1" s="1"/>
  <c r="R1500" i="1"/>
  <c r="T1500" i="1" s="1"/>
  <c r="O1461" i="1"/>
  <c r="Q1461" i="1" s="1"/>
  <c r="S1461" i="1" s="1"/>
  <c r="R1551" i="1"/>
  <c r="T1551" i="1" s="1"/>
  <c r="O1551" i="1"/>
  <c r="Q1551" i="1" s="1"/>
  <c r="S1551" i="1" s="1"/>
  <c r="R1569" i="1"/>
  <c r="T1569" i="1" s="1"/>
  <c r="O1569" i="1"/>
  <c r="Q1569" i="1" s="1"/>
  <c r="S1569" i="1" s="1"/>
  <c r="R1572" i="1"/>
  <c r="T1572" i="1" s="1"/>
  <c r="O1572" i="1"/>
  <c r="Q1572" i="1" s="1"/>
  <c r="S1572" i="1" s="1"/>
  <c r="O1464" i="1"/>
  <c r="Q1464" i="1" s="1"/>
  <c r="S1464" i="1" s="1"/>
  <c r="R1464" i="1"/>
  <c r="T1464" i="1" s="1"/>
  <c r="O1467" i="1"/>
  <c r="Q1467" i="1" s="1"/>
  <c r="S1467" i="1" s="1"/>
  <c r="R1467" i="1"/>
  <c r="T1467" i="1" s="1"/>
  <c r="O1470" i="1"/>
  <c r="Q1470" i="1" s="1"/>
  <c r="S1470" i="1" s="1"/>
  <c r="R1470" i="1"/>
  <c r="T1470" i="1" s="1"/>
  <c r="O1473" i="1"/>
  <c r="Q1473" i="1" s="1"/>
  <c r="S1473" i="1" s="1"/>
  <c r="R1473" i="1"/>
  <c r="T1473" i="1" s="1"/>
  <c r="O1479" i="1"/>
  <c r="Q1479" i="1" s="1"/>
  <c r="S1479" i="1" s="1"/>
  <c r="R1479" i="1"/>
  <c r="T1479" i="1" s="1"/>
  <c r="O1485" i="1"/>
  <c r="Q1485" i="1" s="1"/>
  <c r="S1485" i="1" s="1"/>
  <c r="R1485" i="1"/>
  <c r="T1485" i="1" s="1"/>
  <c r="O1491" i="1"/>
  <c r="Q1491" i="1" s="1"/>
  <c r="S1491" i="1" s="1"/>
  <c r="R1491" i="1"/>
  <c r="T1491" i="1" s="1"/>
  <c r="O1497" i="1"/>
  <c r="Q1497" i="1" s="1"/>
  <c r="S1497" i="1" s="1"/>
  <c r="R1497" i="1"/>
  <c r="T1497" i="1" s="1"/>
  <c r="O1503" i="1"/>
  <c r="Q1503" i="1" s="1"/>
  <c r="S1503" i="1" s="1"/>
  <c r="R1503" i="1"/>
  <c r="T1503" i="1" s="1"/>
  <c r="R1583" i="1"/>
  <c r="T1583" i="1" s="1"/>
  <c r="O1583" i="1"/>
  <c r="Q1583" i="1" s="1"/>
  <c r="S1583" i="1" s="1"/>
  <c r="R1560" i="1"/>
  <c r="T1560" i="1" s="1"/>
  <c r="O1560" i="1"/>
  <c r="Q1560" i="1" s="1"/>
  <c r="S1560" i="1" s="1"/>
  <c r="O1506" i="1"/>
  <c r="Q1506" i="1" s="1"/>
  <c r="S1506" i="1" s="1"/>
  <c r="O1509" i="1"/>
  <c r="Q1509" i="1" s="1"/>
  <c r="S1509" i="1" s="1"/>
  <c r="O1512" i="1"/>
  <c r="Q1512" i="1" s="1"/>
  <c r="S1512" i="1" s="1"/>
  <c r="O1515" i="1"/>
  <c r="Q1515" i="1" s="1"/>
  <c r="S1515" i="1" s="1"/>
  <c r="O1518" i="1"/>
  <c r="Q1518" i="1" s="1"/>
  <c r="S1518" i="1" s="1"/>
  <c r="R1575" i="1"/>
  <c r="T1575" i="1" s="1"/>
  <c r="O1575" i="1"/>
  <c r="Q1575" i="1" s="1"/>
  <c r="S1575" i="1" s="1"/>
  <c r="T1661" i="1"/>
  <c r="S1661" i="1"/>
  <c r="O1554" i="1"/>
  <c r="Q1554" i="1" s="1"/>
  <c r="S1554" i="1" s="1"/>
  <c r="O1563" i="1"/>
  <c r="Q1563" i="1" s="1"/>
  <c r="S1563" i="1" s="1"/>
  <c r="R1563" i="1"/>
  <c r="T1563" i="1" s="1"/>
  <c r="R1578" i="1"/>
  <c r="T1578" i="1" s="1"/>
  <c r="O1578" i="1"/>
  <c r="Q1578" i="1" s="1"/>
  <c r="S1578" i="1" s="1"/>
  <c r="R1566" i="1"/>
  <c r="T1566" i="1" s="1"/>
  <c r="O1566" i="1"/>
  <c r="Q1566" i="1" s="1"/>
  <c r="S1566" i="1" s="1"/>
  <c r="S1675" i="1"/>
  <c r="O1581" i="1"/>
  <c r="Q1581" i="1" s="1"/>
  <c r="S1581" i="1" s="1"/>
  <c r="O1584" i="1"/>
  <c r="Q1584" i="1" s="1"/>
  <c r="S1584" i="1" s="1"/>
  <c r="S1101" i="1" l="1"/>
  <c r="T652" i="1"/>
  <c r="N1101" i="1"/>
  <c r="S1090" i="1"/>
  <c r="N1090" i="1" s="1"/>
  <c r="D929" i="1"/>
  <c r="E928" i="1"/>
  <c r="T253" i="1"/>
  <c r="S109" i="1"/>
  <c r="F525" i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24" i="1"/>
  <c r="T346" i="1"/>
  <c r="S446" i="1"/>
  <c r="N446" i="1" s="1"/>
  <c r="N1675" i="1"/>
  <c r="S1674" i="1"/>
  <c r="N1674" i="1" s="1"/>
  <c r="S1001" i="1"/>
  <c r="N1001" i="1" s="1"/>
  <c r="N1002" i="1"/>
  <c r="S652" i="1"/>
  <c r="N652" i="1" s="1"/>
  <c r="N653" i="1"/>
  <c r="D477" i="1"/>
  <c r="E476" i="1"/>
  <c r="S346" i="1"/>
  <c r="N346" i="1" s="1"/>
  <c r="N253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N347" i="1"/>
  <c r="S1700" i="1" l="1"/>
  <c r="S1701" i="1" s="1"/>
  <c r="S253" i="1"/>
  <c r="F332" i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330" i="1"/>
  <c r="F331" i="1" s="1"/>
  <c r="F559" i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557" i="1"/>
  <c r="F558" i="1" s="1"/>
  <c r="N1661" i="1"/>
  <c r="D478" i="1"/>
  <c r="E477" i="1"/>
  <c r="D930" i="1"/>
  <c r="E929" i="1"/>
  <c r="S1699" i="1"/>
  <c r="S1702" i="1" s="1"/>
  <c r="F793" i="1" l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789" i="1"/>
  <c r="F790" i="1" s="1"/>
  <c r="F791" i="1" s="1"/>
  <c r="F792" i="1" s="1"/>
  <c r="E478" i="1"/>
  <c r="D479" i="1"/>
  <c r="D931" i="1"/>
  <c r="E930" i="1"/>
  <c r="D480" i="1" l="1"/>
  <c r="E479" i="1"/>
  <c r="D932" i="1"/>
  <c r="E931" i="1"/>
  <c r="F859" i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858" i="1"/>
  <c r="F905" i="1" l="1"/>
  <c r="F900" i="1"/>
  <c r="D933" i="1"/>
  <c r="E932" i="1"/>
  <c r="E480" i="1"/>
  <c r="D481" i="1"/>
  <c r="D934" i="1" l="1"/>
  <c r="E933" i="1"/>
  <c r="D482" i="1"/>
  <c r="E481" i="1"/>
  <c r="F906" i="1"/>
  <c r="F901" i="1"/>
  <c r="D483" i="1" l="1"/>
  <c r="E482" i="1"/>
  <c r="F907" i="1"/>
  <c r="F902" i="1"/>
  <c r="D935" i="1"/>
  <c r="E934" i="1"/>
  <c r="D936" i="1" l="1"/>
  <c r="E935" i="1"/>
  <c r="F908" i="1"/>
  <c r="F903" i="1"/>
  <c r="D484" i="1"/>
  <c r="E483" i="1"/>
  <c r="D485" i="1" l="1"/>
  <c r="E484" i="1"/>
  <c r="F909" i="1"/>
  <c r="F904" i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D937" i="1"/>
  <c r="E936" i="1"/>
  <c r="D938" i="1" l="1"/>
  <c r="E937" i="1"/>
  <c r="F1674" i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61" i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D486" i="1"/>
  <c r="E485" i="1"/>
  <c r="E486" i="1" l="1"/>
  <c r="D487" i="1"/>
  <c r="D939" i="1"/>
  <c r="E938" i="1"/>
  <c r="D940" i="1" l="1"/>
  <c r="E939" i="1"/>
  <c r="D488" i="1"/>
  <c r="E487" i="1"/>
  <c r="D489" i="1" l="1"/>
  <c r="E488" i="1"/>
  <c r="D941" i="1"/>
  <c r="E940" i="1"/>
  <c r="D942" i="1" l="1"/>
  <c r="E941" i="1"/>
  <c r="D490" i="1"/>
  <c r="E489" i="1"/>
  <c r="D491" i="1" l="1"/>
  <c r="E490" i="1"/>
  <c r="D943" i="1"/>
  <c r="E942" i="1"/>
  <c r="D944" i="1" l="1"/>
  <c r="E943" i="1"/>
  <c r="D492" i="1"/>
  <c r="E491" i="1"/>
  <c r="D493" i="1" l="1"/>
  <c r="E492" i="1"/>
  <c r="D945" i="1"/>
  <c r="E944" i="1"/>
  <c r="D946" i="1" l="1"/>
  <c r="E945" i="1"/>
  <c r="D494" i="1"/>
  <c r="E493" i="1"/>
  <c r="D495" i="1" l="1"/>
  <c r="E494" i="1"/>
  <c r="D947" i="1"/>
  <c r="E946" i="1"/>
  <c r="D948" i="1" l="1"/>
  <c r="E947" i="1"/>
  <c r="D496" i="1"/>
  <c r="E495" i="1"/>
  <c r="D497" i="1" l="1"/>
  <c r="E496" i="1"/>
  <c r="D949" i="1"/>
  <c r="E948" i="1"/>
  <c r="D950" i="1" l="1"/>
  <c r="E949" i="1"/>
  <c r="D498" i="1"/>
  <c r="E497" i="1"/>
  <c r="D499" i="1" l="1"/>
  <c r="E498" i="1"/>
  <c r="D951" i="1"/>
  <c r="E950" i="1"/>
  <c r="D952" i="1" l="1"/>
  <c r="E951" i="1"/>
  <c r="D500" i="1"/>
  <c r="E499" i="1"/>
  <c r="D501" i="1" l="1"/>
  <c r="E500" i="1"/>
  <c r="D953" i="1"/>
  <c r="E952" i="1"/>
  <c r="D954" i="1" l="1"/>
  <c r="E953" i="1"/>
  <c r="D502" i="1"/>
  <c r="E501" i="1"/>
  <c r="D503" i="1" l="1"/>
  <c r="E502" i="1"/>
  <c r="D955" i="1"/>
  <c r="E954" i="1"/>
  <c r="D956" i="1" l="1"/>
  <c r="E955" i="1"/>
  <c r="D504" i="1"/>
  <c r="E503" i="1"/>
  <c r="E504" i="1" l="1"/>
  <c r="D505" i="1"/>
  <c r="D957" i="1"/>
  <c r="E956" i="1"/>
  <c r="D958" i="1" l="1"/>
  <c r="E957" i="1"/>
  <c r="D506" i="1"/>
  <c r="E505" i="1"/>
  <c r="D507" i="1" l="1"/>
  <c r="E506" i="1"/>
  <c r="D959" i="1"/>
  <c r="E958" i="1"/>
  <c r="D960" i="1" l="1"/>
  <c r="E959" i="1"/>
  <c r="D508" i="1"/>
  <c r="E507" i="1"/>
  <c r="D509" i="1" l="1"/>
  <c r="E508" i="1"/>
  <c r="D961" i="1"/>
  <c r="E960" i="1"/>
  <c r="D962" i="1" l="1"/>
  <c r="E961" i="1"/>
  <c r="D510" i="1"/>
  <c r="E509" i="1"/>
  <c r="D511" i="1" l="1"/>
  <c r="E510" i="1"/>
  <c r="D963" i="1"/>
  <c r="E962" i="1"/>
  <c r="D964" i="1" l="1"/>
  <c r="E963" i="1"/>
  <c r="D512" i="1"/>
  <c r="E511" i="1"/>
  <c r="D513" i="1" l="1"/>
  <c r="E512" i="1"/>
  <c r="D965" i="1"/>
  <c r="E964" i="1"/>
  <c r="D966" i="1" l="1"/>
  <c r="E965" i="1"/>
  <c r="D514" i="1"/>
  <c r="E513" i="1"/>
  <c r="D515" i="1" l="1"/>
  <c r="E514" i="1"/>
  <c r="D967" i="1"/>
  <c r="E966" i="1"/>
  <c r="D968" i="1" l="1"/>
  <c r="E967" i="1"/>
  <c r="D516" i="1"/>
  <c r="E515" i="1"/>
  <c r="E516" i="1" l="1"/>
  <c r="D517" i="1"/>
  <c r="D969" i="1"/>
  <c r="E968" i="1"/>
  <c r="D970" i="1" l="1"/>
  <c r="E969" i="1"/>
  <c r="D518" i="1"/>
  <c r="E517" i="1"/>
  <c r="D519" i="1" l="1"/>
  <c r="E518" i="1"/>
  <c r="D971" i="1"/>
  <c r="E970" i="1"/>
  <c r="D972" i="1" l="1"/>
  <c r="E971" i="1"/>
  <c r="D520" i="1"/>
  <c r="E519" i="1"/>
  <c r="D521" i="1" l="1"/>
  <c r="E520" i="1"/>
  <c r="D973" i="1"/>
  <c r="E972" i="1"/>
  <c r="D974" i="1" l="1"/>
  <c r="E973" i="1"/>
  <c r="D522" i="1"/>
  <c r="E521" i="1"/>
  <c r="D523" i="1" l="1"/>
  <c r="E522" i="1"/>
  <c r="D975" i="1"/>
  <c r="E974" i="1"/>
  <c r="D976" i="1" l="1"/>
  <c r="E975" i="1"/>
  <c r="D525" i="1"/>
  <c r="E523" i="1"/>
  <c r="D526" i="1" l="1"/>
  <c r="E525" i="1"/>
  <c r="D977" i="1"/>
  <c r="E976" i="1"/>
  <c r="D978" i="1" l="1"/>
  <c r="E977" i="1"/>
  <c r="D527" i="1"/>
  <c r="E526" i="1"/>
  <c r="E527" i="1" l="1"/>
  <c r="D528" i="1"/>
  <c r="D979" i="1"/>
  <c r="E978" i="1"/>
  <c r="D980" i="1" l="1"/>
  <c r="E979" i="1"/>
  <c r="D529" i="1"/>
  <c r="E528" i="1"/>
  <c r="D530" i="1" l="1"/>
  <c r="E529" i="1"/>
  <c r="D981" i="1"/>
  <c r="E980" i="1"/>
  <c r="D982" i="1" l="1"/>
  <c r="E981" i="1"/>
  <c r="D531" i="1"/>
  <c r="E531" i="1" s="1"/>
  <c r="E530" i="1"/>
  <c r="D983" i="1" l="1"/>
  <c r="E982" i="1"/>
  <c r="D984" i="1" l="1"/>
  <c r="E983" i="1"/>
  <c r="D985" i="1" l="1"/>
  <c r="E984" i="1"/>
  <c r="D986" i="1" l="1"/>
  <c r="E985" i="1"/>
  <c r="D987" i="1" l="1"/>
  <c r="E986" i="1"/>
  <c r="D988" i="1" l="1"/>
  <c r="E987" i="1"/>
  <c r="D989" i="1" l="1"/>
  <c r="E988" i="1"/>
  <c r="D990" i="1" l="1"/>
  <c r="E989" i="1"/>
  <c r="D991" i="1" l="1"/>
  <c r="E990" i="1"/>
  <c r="D992" i="1" l="1"/>
  <c r="E992" i="1" s="1"/>
  <c r="E9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V770" authorId="0" shapeId="0" xr:uid="{E570ABFA-431D-45D7-96F1-C829473049A5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V1379" authorId="1" shapeId="0" xr:uid="{AE7BC9E2-6593-4901-A12C-FBBD887655C9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<sst xmlns="http://schemas.openxmlformats.org/spreadsheetml/2006/main" count="5839" uniqueCount="1791">
  <si>
    <t>Формат объекта</t>
  </si>
  <si>
    <t>ККО</t>
  </si>
  <si>
    <t>курс $</t>
  </si>
  <si>
    <t xml:space="preserve">дверной </t>
  </si>
  <si>
    <t>Адрес объекта:</t>
  </si>
  <si>
    <t>СПб, улюЛьва Толстого д..9</t>
  </si>
  <si>
    <t>курс Евро</t>
  </si>
  <si>
    <t>Плoщадь объекта (м.кв.):</t>
  </si>
  <si>
    <t>Плащадь объекта:</t>
  </si>
  <si>
    <t>Дисконт по тендеру</t>
  </si>
  <si>
    <t xml:space="preserve">Срок проведения работ </t>
  </si>
  <si>
    <t>Согласно план-графику производства работ</t>
  </si>
  <si>
    <t>курс Юань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</si>
  <si>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</si>
  <si>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</si>
  <si>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</si>
  <si>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</si>
  <si>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</si>
  <si>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</si>
  <si>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</si>
  <si>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Раздел</t>
  </si>
  <si>
    <t>Подраздел</t>
  </si>
  <si>
    <t>Подраздел подраздела</t>
  </si>
  <si>
    <t>Пункт подраздела</t>
  </si>
  <si>
    <t>Новый номенклатурный номер</t>
  </si>
  <si>
    <t>№</t>
  </si>
  <si>
    <t>Наименование работ и затрат</t>
  </si>
  <si>
    <t>Един. изм.</t>
  </si>
  <si>
    <t>Кол - во. (объем)</t>
  </si>
  <si>
    <t>ЕР цена работ, руб.*</t>
  </si>
  <si>
    <t>ЕР цена материалов и оборудования, руб.*</t>
  </si>
  <si>
    <t>Цена работ, руб. 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</si>
  <si>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</si>
  <si>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</si>
  <si>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</si>
  <si>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Примечание</t>
  </si>
  <si>
    <t>Р1</t>
  </si>
  <si>
    <t>Раздел №1. Проектные работы и согласования</t>
  </si>
  <si>
    <t>1.1.0 Проектные работы и согласования</t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</si>
  <si>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</si>
  <si>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t>м2</t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</si>
  <si>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</si>
  <si>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</si>
  <si>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</si>
  <si>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</si>
  <si>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</si>
  <si>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</si>
  <si>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</si>
  <si>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</si>
  <si>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</si>
  <si>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</si>
  <si>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</si>
  <si>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</si>
  <si>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</si>
  <si>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</si>
  <si>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</si>
  <si>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</si>
  <si>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</si>
  <si>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</si>
  <si>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</si>
  <si>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</si>
  <si>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</si>
  <si>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</si>
  <si>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</si>
  <si>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>компл.</t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</si>
  <si>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</si>
  <si>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</si>
  <si>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</si>
  <si>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</si>
  <si>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</si>
  <si>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</si>
  <si>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</si>
  <si>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</si>
  <si>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</si>
  <si>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</si>
  <si>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</si>
  <si>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</si>
  <si>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</si>
  <si>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</si>
  <si>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</si>
  <si>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</si>
  <si>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</si>
  <si>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</si>
  <si>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</si>
  <si>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</si>
  <si>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</si>
  <si>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</si>
  <si>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</si>
  <si>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</si>
  <si>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</si>
  <si>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</si>
  <si>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</si>
  <si>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</si>
  <si>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</si>
  <si>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</si>
  <si>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цена по КП</t>
  </si>
  <si>
    <t>Стоимость согласования проекта перепланировки/реконструкции объекта   в соответствии с нормативными актами г.______________.</t>
  </si>
  <si>
    <t>Получение паспорта БТИ (в черных линиях)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</si>
  <si>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</si>
  <si>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</si>
  <si>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 xml:space="preserve">Сертификация помещения для совершения операций с ценностями, хранение ценностей  по (5)  классу вломостойкости </t>
  </si>
  <si>
    <t>Технический отчет электролаборатории для помещений более 100 м.кв.</t>
  </si>
  <si>
    <t>Технический отчет электролаборатории для помещений менее 100 м.кв.</t>
  </si>
  <si>
    <t>Стоимость согласования проекта изменения фасада  согласно нормативных и законодательных актов г. ___________ и РФ.</t>
  </si>
  <si>
    <t>Разработка  дизайн-проекта интерьера</t>
  </si>
  <si>
    <t>Экспертиза и согласование проекта ЭОМ в Ростехнадзоре</t>
  </si>
  <si>
    <t xml:space="preserve">Проект системы водоотведения </t>
  </si>
  <si>
    <t>Рабочая документация Системы ливневой канализации</t>
  </si>
  <si>
    <t>Получение Технических условий (при необходимости)</t>
  </si>
  <si>
    <t>Расчет категории пожарной опасности помещений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</si>
  <si>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</si>
  <si>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Согласование проекта Системы водоотведения  и получения тех условий (при необходимости)</t>
  </si>
  <si>
    <t>Испытание лестниц 3 типа с предоставлением актов</t>
  </si>
  <si>
    <t xml:space="preserve"> Испытания системы внутреннего противопожарного водопровода аккредитованной организацией (ВПВ и АУПТ).</t>
  </si>
  <si>
    <t>Мероприятия по обеспечению доступа инвалидов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</si>
  <si>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</si>
  <si>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</si>
  <si>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Разработка проекта огнезащиты</t>
  </si>
  <si>
    <t>шт.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</si>
  <si>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</si>
  <si>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</si>
  <si>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Акустический расчет инженерных систем ОВиК (предоставление в Роспотребнадзор) электронный и бумажный вариант</t>
  </si>
  <si>
    <t>согласование памятников архитектуры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</si>
  <si>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</si>
  <si>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Стоимость согласования проекта перепланировки/реконструкции объекта   в соответствии с нормативными актами г. ______________</t>
  </si>
  <si>
    <t>кв.м.площади офиса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</si>
  <si>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</si>
  <si>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Подготовка и сдача в _______научного отчета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</si>
  <si>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</si>
  <si>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Р2</t>
  </si>
  <si>
    <t>Раздел №2. Демонтажные работы.</t>
  </si>
  <si>
    <t>2.13.0 Демонтажные работы до состояния shell-and-core</t>
  </si>
  <si>
    <t>Демонтажные работы до состояния shell-and-core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</si>
  <si>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</si>
  <si>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2.1.0 Потолки</t>
  </si>
  <si>
    <t>Демонтаж подвесных потолков типа "Армстронг"</t>
  </si>
  <si>
    <t>Демонтаж подвесных потолков "Армстронг"
с сохранением</t>
  </si>
  <si>
    <t>Демонтаж  одноуровневых потолков из ГКЛ</t>
  </si>
  <si>
    <t>Демонтаж  двухуровневых потолков из ГКЛ</t>
  </si>
  <si>
    <t>Демонтаж  реечного потолка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</si>
  <si>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</si>
  <si>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</si>
  <si>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</si>
  <si>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</si>
  <si>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м3</t>
  </si>
  <si>
    <t>Демонтаж утеплителя потолков из пенополистирола</t>
  </si>
  <si>
    <t>Демонтаж потолочного плинтуса, карниза, элементов декора.</t>
  </si>
  <si>
    <t>м.п.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</si>
  <si>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</si>
  <si>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</si>
  <si>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</si>
  <si>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</si>
  <si>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2.2.0 Полы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</si>
  <si>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</si>
  <si>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</si>
  <si>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</si>
  <si>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</si>
  <si>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</si>
  <si>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>Демонтаж покрытия полов из керамогранита и кераимческих плиток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</si>
  <si>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</si>
  <si>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</si>
  <si>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</si>
  <si>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</si>
  <si>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фальшпола</t>
  </si>
  <si>
    <t>Демонтаж деревянных полов на деревянных лагах</t>
  </si>
  <si>
    <t>Демонтаж плинтусов:  из керамической плитки</t>
  </si>
  <si>
    <t>Демонтаж плинтусов: деревянных, пвх</t>
  </si>
  <si>
    <t>Демонтаж ЖБ плит перекрытия.</t>
  </si>
  <si>
    <t>Демонтаж деревянных балок перекрытия</t>
  </si>
  <si>
    <t>Демонтаж плиточного клея</t>
  </si>
  <si>
    <t>2.3.0 Стены и перегородки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</si>
  <si>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</si>
  <si>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</si>
  <si>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 xml:space="preserve">Демонтаж кирпичных стен </t>
  </si>
  <si>
    <t>Демонтаж стен из пенобетонных блоков</t>
  </si>
  <si>
    <t>Демонтаж утеплителя стен из минераловатных плит</t>
  </si>
  <si>
    <t>Демонтаж утеплителя стен из пенополистирола</t>
  </si>
  <si>
    <t>Демонтаж облицовки стен листами ГКЛ по металлическому каркасу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</si>
  <si>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</si>
  <si>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</si>
  <si>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Демонтаж перегородок по металлическому каркасу с облицовкой панелями МДФ</t>
  </si>
  <si>
    <t>Отбивка штукатурки стен толщиной до 30 мм</t>
  </si>
  <si>
    <t>Снятие обоев</t>
  </si>
  <si>
    <t>Демонтаж облицовки стен из плитки керамической, мрамора.</t>
  </si>
  <si>
    <t>Демонтаж стеклянных перегородок</t>
  </si>
  <si>
    <t>Демонтаж бронепанелей</t>
  </si>
  <si>
    <t>Демонтаж обшивки стен мебельными панелями</t>
  </si>
  <si>
    <t>Разборка перегородок из ГКЛ по металлическому каркасу</t>
  </si>
  <si>
    <t>2.4.0 Двери</t>
  </si>
  <si>
    <t>Демонтаж дверных блоков деревянных (межкомнатные)</t>
  </si>
  <si>
    <t>Демонтаж дверных блоков из ПВХ профиля</t>
  </si>
  <si>
    <t>Демонтаж дверных блоков металлических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</si>
  <si>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</si>
  <si>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</si>
  <si>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решетчатой двери (распашные, гармошка).</t>
  </si>
  <si>
    <t>Демонтаж дверей гаражных</t>
  </si>
  <si>
    <t>Демонтаж рольставни</t>
  </si>
  <si>
    <t>Демонтаж дверных блоков  с сохранением</t>
  </si>
  <si>
    <t>2.5.0 Окна</t>
  </si>
  <si>
    <t>Демонтаж деревянных оконных блоков</t>
  </si>
  <si>
    <t>Демонтаж оконных блоков из ПВХ профиля</t>
  </si>
  <si>
    <t>Демонтаж оконных блоков в алюминиевом профиле</t>
  </si>
  <si>
    <t>Демонтаж бронеокон</t>
  </si>
  <si>
    <t>Демонтаж подоконных досок деревянных</t>
  </si>
  <si>
    <t>Демонтаж подоконников из ПВХ</t>
  </si>
  <si>
    <t>Демонтаж подоконных досок бетонных</t>
  </si>
  <si>
    <t>Демонтаж отливов из оцинкованной стали</t>
  </si>
  <si>
    <t>Демонтаж откосов ПВХ</t>
  </si>
  <si>
    <t>2.6.0 Кровля</t>
  </si>
  <si>
    <t>Демонтаж рулонной кровли из оклеечных изоляционных материалов в два слоя</t>
  </si>
  <si>
    <t>Демонтаж покрытия кровли из профлиста, металлочерепицы, андулина, металла.</t>
  </si>
  <si>
    <t>Демонтаж стропильной части кровли включая обрешетку</t>
  </si>
  <si>
    <t>Демонтаж утеплителя кровли</t>
  </si>
  <si>
    <t>Демонтаж отливов, водостоков.</t>
  </si>
  <si>
    <t>2.7.0 Фасад, прилегающая территория</t>
  </si>
  <si>
    <t>Разборка тротуарной плитки</t>
  </si>
  <si>
    <t>Разборка асфальтового покрытия</t>
  </si>
  <si>
    <t>Разборка бетонированного покрытия</t>
  </si>
  <si>
    <t>Выемка грунта</t>
  </si>
  <si>
    <t>Демонтаж бордюрного, тротуарного,дорожного камня.</t>
  </si>
  <si>
    <t>Демонтаж перил ограждения</t>
  </si>
  <si>
    <t>Демонтаж козырьков</t>
  </si>
  <si>
    <t xml:space="preserve">Демонтаж облицовки цоколя, фасада (плитка керамическая, камень натуральный) 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</si>
  <si>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</si>
  <si>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</si>
  <si>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</si>
  <si>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</si>
  <si>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</si>
  <si>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</si>
  <si>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тн.</t>
  </si>
  <si>
    <t>2.8.0 Электро и слаботочные системы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</si>
  <si>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</si>
  <si>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</si>
  <si>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</si>
  <si>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</si>
  <si>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</si>
  <si>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щитов ВРУ</t>
  </si>
  <si>
    <t>Демонтаж вводных кабелей высоковольтных</t>
  </si>
  <si>
    <t>Демонтаж светильников с сохранением</t>
  </si>
  <si>
    <t xml:space="preserve">Демонтаж кабель канала </t>
  </si>
  <si>
    <t>2.9.0 Вентиляция и кондиционирование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</si>
  <si>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</si>
  <si>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</si>
  <si>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кондиционера (сплит система, внешний и внутренний блоки) с сохранением</t>
  </si>
  <si>
    <t>Демонтаж вент машин</t>
  </si>
  <si>
    <t>Демонтаж вент машин с сохранением</t>
  </si>
  <si>
    <t>2.10.0 Отопление, водоснабжение, канализация</t>
  </si>
  <si>
    <t>Демонтаж унитаза</t>
  </si>
  <si>
    <t>Демонтаж  раковины</t>
  </si>
  <si>
    <t>Демонтаж смесителя</t>
  </si>
  <si>
    <t>Демонтаж ванн, душевых кабин.</t>
  </si>
  <si>
    <t xml:space="preserve">Демонтаж радиаторов отопления с запорной арматурой </t>
  </si>
  <si>
    <t>Демонтаж труб системы отопления</t>
  </si>
  <si>
    <t>Демонтаж труб водоснабжения и канализации диаметром до 50 мм</t>
  </si>
  <si>
    <t>Демонтаж труб канализации и водоснабжения диаметром до 110 мм</t>
  </si>
  <si>
    <t>Демонтаж запорной арматуры белее 50 мм</t>
  </si>
  <si>
    <t>Демонтаж запорной арматуры диаметром до 50 мм</t>
  </si>
  <si>
    <t>Демонтаж  циркуляционных насосов</t>
  </si>
  <si>
    <t>Демонтаж регистров отопления</t>
  </si>
  <si>
    <t xml:space="preserve">Демонтаж панельного радиатора </t>
  </si>
  <si>
    <t>2.11.0 Вывоз мусора и уборка</t>
  </si>
  <si>
    <t>Вывоз мусора (бункер 5т - 8м3)</t>
  </si>
  <si>
    <t>Вывоз мусора (бункер 27 м3)</t>
  </si>
  <si>
    <t>Вывоз мусора (бункер 24 м3)</t>
  </si>
  <si>
    <t>Вывоз мусора (бункер 20 м3)</t>
  </si>
  <si>
    <t>Перемещение вручную строительных материалов, мусора на расстоянии свыше 50 м от объекта</t>
  </si>
  <si>
    <t>позиция применяется только если реально грузить мусор более  50 м. Если менее -не применять</t>
  </si>
  <si>
    <t>Уборка послестроительная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</si>
  <si>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</si>
  <si>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</si>
  <si>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2.12.0 Прочее</t>
  </si>
  <si>
    <t>Демонтаж мебельных конструкций</t>
  </si>
  <si>
    <t>Демонтаж шлюза инкосаторского</t>
  </si>
  <si>
    <t>Удаление старого огнезащитного покрытия</t>
  </si>
  <si>
    <t>Демонтаж жалюзей</t>
  </si>
  <si>
    <t>Демонтаж металлоконструкций</t>
  </si>
  <si>
    <t>Демонтаж наборных ступеней ЛС 90 с выломкой четвертей</t>
  </si>
  <si>
    <t>Демонтаж лифта включая Двери, двигатели, тросы, уловители,ограничители.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</si>
  <si>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</si>
  <si>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Р3</t>
  </si>
  <si>
    <t>Раздел №3.  Внутренние строительные работы</t>
  </si>
  <si>
    <t>3.1.0 Стены и перегородки</t>
  </si>
  <si>
    <t xml:space="preserve">Кладка перегородок  толщиной в 1/2 кирпича </t>
  </si>
  <si>
    <t>Кладка перегородок армированных толщиной в 1 кирпич</t>
  </si>
  <si>
    <t>Кладка перегородок из пеноблоков (600*300*200)</t>
  </si>
  <si>
    <t xml:space="preserve">Заделка проемов в кирпичных стенах </t>
  </si>
  <si>
    <t>Усиление проемов металлическим профилем из уголка 50*3</t>
  </si>
  <si>
    <t>Усиление перегородок UA  профилем Кнауф</t>
  </si>
  <si>
    <t>Усиление проемов металлическим профилем из уголка 100*100*10</t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</si>
  <si>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</si>
  <si>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</si>
  <si>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использовать 2 х слойную перегородку</t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</si>
  <si>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</si>
  <si>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использовать 1 слойныую облицовку стен, внешние стены прокладывать минватой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</si>
  <si>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</si>
  <si>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</si>
  <si>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</si>
  <si>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</si>
  <si>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</si>
  <si>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Устройство оконных откосов из ГКЛВ толщ. 12 мм.</t>
  </si>
  <si>
    <t>Тепло- и звукоизоляция стен из минеральных материалов</t>
  </si>
  <si>
    <t xml:space="preserve">Штукатурка  стен  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</si>
  <si>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</si>
  <si>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</si>
  <si>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Устройство штроб в конструкциях газосиликатных, керамзитобетонных, шлакобетонных, пенобетонных.</t>
  </si>
  <si>
    <t xml:space="preserve">Пробивка отверстий в кирпичных стенах фасада, внутренних перегородках под прокладку труб ОВиК, электролотков, </t>
  </si>
  <si>
    <t>Пробивка отверстий в бетоных стенах фасада, внутренних перегородках под прокладку труб ОВиК, электролотков.</t>
  </si>
  <si>
    <t>Запенивание противопожарной пеной тех. отверстий прохода транзитных коммуникаций</t>
  </si>
  <si>
    <t>Пробивка проемов в стенах из пенобетонных блоков</t>
  </si>
  <si>
    <t>Пробивка проемов в стенах из кирпича</t>
  </si>
  <si>
    <t>Алмазное сверление отверстий в стенах Ø50-100 мм</t>
  </si>
  <si>
    <t>см.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</si>
  <si>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</si>
  <si>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</si>
  <si>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</si>
  <si>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</si>
  <si>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</si>
  <si>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Устройство ниши ГКЛ по м/к под монтаж приборов отопления</t>
  </si>
  <si>
    <t>Устройство пароизоляции из полиэтиленовой пленки до 100 мкр.</t>
  </si>
  <si>
    <t xml:space="preserve">Усиление проемов деревянным антисептированным бруском 50*50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</si>
  <si>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</si>
  <si>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</si>
  <si>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</si>
  <si>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</si>
  <si>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Устройство коробов из ГКЛ до 600 мм шириной (для обшивки ригелей, балок колонн и т.д.)</t>
  </si>
  <si>
    <t>3.2.0 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</si>
  <si>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</si>
  <si>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см.лист "Бескаркасные двери и перегородки"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</si>
  <si>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</si>
  <si>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</si>
  <si>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 xml:space="preserve">Оклейка стеклянных перегородок декоративной пленкой (перфорированной) с фоторисунком 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</si>
  <si>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</si>
  <si>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Стекл. перегородки'!A1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</si>
  <si>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</si>
  <si>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</si>
  <si>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>Замок для трансформируемой перегородки  типа «Т-009 PSS»</t>
  </si>
  <si>
    <t>Трансформируемая перегородка  цельностеклянная, закаленое стекло 10 мм.  высотой до 3000мм в проем до 5 м²</t>
  </si>
  <si>
    <t>см. лист "Трансф. перег."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</si>
  <si>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</si>
  <si>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</si>
  <si>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</si>
  <si>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 xml:space="preserve">Цилиндр с заверткой для нижнего замка </t>
  </si>
  <si>
    <t>Цилиндр с заверткой для среднего замка</t>
  </si>
  <si>
    <t>3.3.0 Поверхность стен</t>
  </si>
  <si>
    <t>Обработка стен, поврежденных грибком антисептическим раствором за 2 раза</t>
  </si>
  <si>
    <t xml:space="preserve">Шпатлевка швов, саморезов и примыканий стен и перегородок из ГКЛ </t>
  </si>
  <si>
    <t>позиция только для стен выше подвесного потолка.</t>
  </si>
  <si>
    <t xml:space="preserve">Шпатлевка стен </t>
  </si>
  <si>
    <t>позиция только для стен, не обшитых ГКЛ</t>
  </si>
  <si>
    <t>Шпатлевка стен по стеклохолсту</t>
  </si>
  <si>
    <t xml:space="preserve">Сплошное выравние стен составами "Ветонит" толщиной до 10 мм </t>
  </si>
  <si>
    <t>Грунтовка поверхности стен и перегородок за 2 раза</t>
  </si>
  <si>
    <t>Окраска стен за 2 раза краской Tikkurila EURO 7 (колерованная)</t>
  </si>
  <si>
    <t xml:space="preserve">Оклейка стен стеклообоями типа "Паутинка" (нефактурными) </t>
  </si>
  <si>
    <t>Ремонт штукатурки стен с расшивкой швов, отдельными местами до 1 м.кв.</t>
  </si>
  <si>
    <t>Облицовка стен керамической плиткой  с затиркой швов.</t>
  </si>
  <si>
    <t>Облицовка стен керамической плиткой 200*500  Amsterdam graphite  " Ctramica Konskie" с затиркой швов.</t>
  </si>
  <si>
    <t>вкладка Плитка СУ</t>
  </si>
  <si>
    <t>Облицовка стен керамической плиткой 200*500 "Graphit" коллекциии "Oxford" " Ctramica Konskie" с затиркой швов.</t>
  </si>
  <si>
    <t>Облицовка стен керамической плиткой Mountain silver 25х50 с затиркой швов.</t>
  </si>
  <si>
    <t>Облицовка стен керамической плиткой Frida gray 30х60 с затиркой швов.</t>
  </si>
  <si>
    <t>Atlas Concorde Rin. Grey 60x120/Ринашенте Грей 60X120 с затиркой швов</t>
  </si>
  <si>
    <t>Керамогранит</t>
  </si>
  <si>
    <t>1 м.кв.</t>
  </si>
  <si>
    <t>Atlas Concorde Rin. Grey 80x80/Ринашенте Грей 80X80 с затиркой швов</t>
  </si>
  <si>
    <t>Atlas Concorde Rinascente SMOKE 600х1200х9 с затиркой швов.</t>
  </si>
  <si>
    <t>Atlas Concorde Rinascente PEARL 600х1200х9 с затиркой швов.</t>
  </si>
  <si>
    <t>Atlas Concorde Rinascente IVORY 600х1200х9 с затиркой швов.</t>
  </si>
  <si>
    <t>Atlas Concorde  Forte dei Marmi Rock Tiffany White 60x120 Mat с затиркой швов</t>
  </si>
  <si>
    <t>Atlas Concorde Аллюр Джойя Ret 60x120 - снят с производства </t>
  </si>
  <si>
    <t>Atlas Concorde  Forte dei Marmi Rock Tiffany White 80x160 Mat с затиркой швов</t>
  </si>
  <si>
    <t>Atlas Concorde Аллюр Джойя Ret 80x80 -  снят с производства </t>
  </si>
  <si>
    <t>Бордюр 500*15 "Szklana T40"  коллекциии "Oxford" " Ctramica Konskie" с затиркой швов.</t>
  </si>
  <si>
    <t xml:space="preserve">Установка пластиковых уголков на наружные углы колонн и стен </t>
  </si>
  <si>
    <t xml:space="preserve">Установка металлических уголков на наружные углы колонн и стен </t>
  </si>
  <si>
    <t>Облицовка стен декоративной штукатуркой</t>
  </si>
  <si>
    <t>Нанесение известковой декоративной штукатурки TRAVERTINO ITALIANO с коллеровкой в RAL  7047*</t>
  </si>
  <si>
    <t>Оклейка стен стеклообоями типа "Рогожка"</t>
  </si>
  <si>
    <t>Декоративные крашенные МДФ ПАНЕЛИ 20ММ, ЦВЕТ RAL 7040, Швы - черный, П-образный
профиль 10мм</t>
  </si>
  <si>
    <t>Аккустическая панель из Войлока, максимальные размери 1200X2400см, клеиться на стену</t>
  </si>
  <si>
    <t>ДЕКОРАТИВНЫЕ АКУСТИЧЕСКИЕ ОБОИ Цвет: FE Light blue 60</t>
  </si>
  <si>
    <t>Стеновые декоративные панели из ЛДСП Egger Дуб Гладстоун песочный H3309 ST28,  Швы - черный П-образный профиль 10мм</t>
  </si>
  <si>
    <t>Плитка Керама Марацци 6304 Ломбардиа 25*40 - h=2400</t>
  </si>
  <si>
    <t>Оклейка поверхностей  стен и перегородок  Обои Голландские обои Eijffinger, коллекция Ibiza, артикул 330203</t>
  </si>
  <si>
    <t>Оклейка поверхностей  стен и перегородок  бумажными обоями (рисунок обоев выполняется "на заказ")</t>
  </si>
  <si>
    <t>3.4.0.0 Двери, Окна.</t>
  </si>
  <si>
    <t>3.4.1.0 Двери входные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</si>
  <si>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</si>
  <si>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Вкладка "Стекл двери а алюм."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</si>
  <si>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</si>
  <si>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</si>
  <si>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Установка дверного доводчика  штанга рычажная  на входные двери (210 кг)</t>
  </si>
  <si>
    <t>3.4.2.0 Двери запасного входа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</si>
  <si>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</si>
  <si>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</si>
  <si>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вкладка "Броня"</t>
  </si>
  <si>
    <t>Доводчик на рабочую створку  NOTEDO DC-025-095 (со скользящим каналом). Доводчик на паразитную створку NOTEDO  DC-070 (паук)</t>
  </si>
  <si>
    <t>Установка металлической  двери-решетчатой гармошки с замком 900х2100 мм (запасной выход)</t>
  </si>
  <si>
    <t>3.4.3.0 Двери стеклянные бескаркасные</t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</si>
  <si>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</si>
  <si>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</si>
  <si>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</si>
  <si>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3.4.4.0 Двери стеклянные в алюминиевом профиле внутренние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</si>
  <si>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</si>
  <si>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</si>
  <si>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</si>
  <si>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</si>
  <si>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Стекл. двери один в перегородку'!A1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</si>
  <si>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</si>
  <si>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дв. полут в проем '!A1</t>
  </si>
  <si>
    <t>3.4.5.0 Двери противопожарные</t>
  </si>
  <si>
    <t>Установка противопожарного однопольного дверного блока , min EI60 с фурнитурой 1000х2100мм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</si>
  <si>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</si>
  <si>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</si>
  <si>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противопожарного  двухпольного дверного блока , min EI60 с фурнитурой 1800х2100мм</t>
  </si>
  <si>
    <t>Установка противопожарного  двухпольного дверного блока , min EI60 с фурнитурой 1600х2350мм</t>
  </si>
  <si>
    <t>Установка дверного доводчика к мет дверям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</si>
  <si>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</si>
  <si>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Комплект антипаника Doorlock на активную створку DL PD800FR-BAR (или аналог по согласованию заказчика)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</si>
  <si>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</si>
  <si>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</si>
  <si>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3.4.6.0 Двери внутренние деревянные</t>
  </si>
  <si>
    <t>Установка деревянного дверного блока 900х2100 мм, типа Alavus с фурнитурой,добором и наличниками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</si>
  <si>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</si>
  <si>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</si>
  <si>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</si>
  <si>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</si>
  <si>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Дерев. гл. скр. двери в проем'!A1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</si>
  <si>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</si>
  <si>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двери в проем'!A1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</si>
  <si>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</si>
  <si>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</si>
  <si>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см. лист "Двери Kapelli"</t>
  </si>
  <si>
    <t xml:space="preserve">Установка дверного доводчика к деревянным дверям </t>
  </si>
  <si>
    <t>Установка дверного доводчика к дверям Dorma TS-93 (B/G)</t>
  </si>
  <si>
    <t>бб</t>
  </si>
  <si>
    <t>Установка стопора дверного Standers, 3.5х3.2 см, нержавеющая сталь</t>
  </si>
  <si>
    <t>Установка ограничителей движения двери (упор напольный)</t>
  </si>
  <si>
    <t>3.4.7.0 Окна</t>
  </si>
  <si>
    <t>Монтаж оконного блока алюминиевый профиль с двухкамерным стеклопакетом, RAL</t>
  </si>
  <si>
    <t xml:space="preserve">Монтаж оконного блока ПВХ с двухкамерным стеклопакетом </t>
  </si>
  <si>
    <t xml:space="preserve">Установка металлических окрашенных (цвет белый) распашных решеток на оконные блоки </t>
  </si>
  <si>
    <t>Установка рулонных штор</t>
  </si>
  <si>
    <t>Установка жалюзи вертикальных серии Line</t>
  </si>
  <si>
    <t>Установка подоконных досок из ПВХ белого цвета шириной до 600 мм</t>
  </si>
  <si>
    <t>Установка подоконных досок из ПВХ белого цвета шириной от 600 до 1200 мм</t>
  </si>
  <si>
    <t>Установка конвекционных решеток в подоконную доску из ПВХ 450*90 мм</t>
  </si>
  <si>
    <t xml:space="preserve">Установка оконных отливов с окраской по RAL 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</si>
  <si>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</si>
  <si>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</si>
  <si>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</si>
  <si>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Оклейка окон, стеклянных поверхностей дверных полотен пленкой матированной</t>
  </si>
  <si>
    <t>Оклейка окон, стеклянных поверхностей ПВХ-пленкой. Печать рисунка - градиент от RAL 9010 до прозрачного</t>
  </si>
  <si>
    <t>Оклейка окон, стеклянных поверхностей дверных полотен пленкой ORACAL 641000М</t>
  </si>
  <si>
    <t>Оклейка окон, стеклянных поверхностей дверных полотен пленкой теплоотражающей</t>
  </si>
  <si>
    <t>Алюминиевые конструкции для остекления фасада. Стеклопакет двухкамерный 32 мм. Цвет согласовать с заказчиком.</t>
  </si>
  <si>
    <t xml:space="preserve"> ПВХ конструкции для остекления фасада.  Стеклопакет двухкамерный 32 мм. Цвет согласовать с заказчиком.</t>
  </si>
  <si>
    <t>Механизм открывания фрамуги естественного проветривания (дистанционный, ручной)</t>
  </si>
  <si>
    <t xml:space="preserve">3.5.0  Потолки 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</si>
  <si>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</si>
  <si>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</si>
  <si>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</si>
  <si>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Замена потолочных плит  OWA «Sinfonia»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</si>
  <si>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</si>
  <si>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</si>
  <si>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</si>
  <si>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</si>
  <si>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</si>
  <si>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</si>
  <si>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</si>
  <si>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Реечный потолок, кубообразная рейка 30х70мм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</si>
  <si>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</si>
  <si>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 xml:space="preserve">Маркерное белое стекло цвет: RAL 9010 </t>
  </si>
  <si>
    <t xml:space="preserve">Облицовка деревяных потолков ГКЛО 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</si>
  <si>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</si>
  <si>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Штукатурка потолка цемено-песчаным раствором толщ. до 20 мм.</t>
  </si>
  <si>
    <t xml:space="preserve">Устройство тепло- и звукоизоляции перекрытия минеральной ватой с устройством пароизоляции </t>
  </si>
  <si>
    <t>Вата применяется во всех перегородках и в обшивке стен, граничащих с улицей.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</si>
  <si>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</si>
  <si>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</si>
  <si>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</si>
  <si>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>Окраска потолков за 2 раза краской Tikkurila EURO 7 (колерованная)</t>
  </si>
  <si>
    <t>Окраска потолков за 2 раза  краской с классом пожарной опасности  КМ 1 (колерованная)</t>
  </si>
  <si>
    <t>Потолочный акустический остров  1195*1530*40мм цвет: белый, форма под заказ (форма яйцо)в комплекте с подвесами</t>
  </si>
  <si>
    <t>Акустические потолки'!A1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</si>
  <si>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</si>
  <si>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</si>
  <si>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</si>
  <si>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Потолочный акустический остров цвет: белый,  форма прямоугольник, размеры 1190 х 293 мм., толщ. 40мм, в комплекте с подвесами</t>
  </si>
  <si>
    <t>Подготовка и обеспылевание потолка поверхности и коммуникаций  под покраску . (воздуховоды, лотки эл. и т.д.)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</si>
  <si>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</si>
  <si>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Устройство потолков реечных алюминиевых, крепление подвесов металлическим крепежным элементом.</t>
  </si>
  <si>
    <t>Замена потолочных плит  Армстронг</t>
  </si>
  <si>
    <t xml:space="preserve">Запенивание  швов между плитами </t>
  </si>
  <si>
    <t>3.6.0.0  Полы</t>
  </si>
  <si>
    <t>Р3.6.1.0 Основание пола</t>
  </si>
  <si>
    <t xml:space="preserve">Устройство подсыпки пола из керамзита </t>
  </si>
  <si>
    <t>Устройство стяжек цементно-песчаных толщиной 20 мм (добавляется на каждые 20  мм стяжки)</t>
  </si>
  <si>
    <t>Устройство стяжек цементно-песчаных толщиной более 50 мм (добавляется на каждые 50  мм стяжки)</t>
  </si>
  <si>
    <t>Устройство самовыравнивающейся стяжки типа Vetonit (толщина 5 мм)</t>
  </si>
  <si>
    <t>Укладка дорожной металлической сетки 100х100 диаметром 4мм</t>
  </si>
  <si>
    <t>Грунтовка пола за два раза</t>
  </si>
  <si>
    <t>Обработка поверхности  составом "Бетоноконтакт"</t>
  </si>
  <si>
    <t>Устройство горизонтальной обмазочной гидроизоляции  с захлестом на стены на 15см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</si>
  <si>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</si>
  <si>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</si>
  <si>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</si>
  <si>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</si>
  <si>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</si>
  <si>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</si>
  <si>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</si>
  <si>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</si>
  <si>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</si>
  <si>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</si>
  <si>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</si>
  <si>
    <t xml:space="preserve">Устройство каркаса из бруса 100*200 </t>
  </si>
  <si>
    <t>подиум в кассу</t>
  </si>
  <si>
    <t>Устройство лаг 75*75</t>
  </si>
  <si>
    <t>Устройство пола в кассу из фанеры 1500*1500*12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</si>
  <si>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</si>
  <si>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Р3.6.1.0 Покрытие пола</t>
  </si>
  <si>
    <t xml:space="preserve">Облицовка полов керамогранитом TU602800R Арена серый обрезной 600*600 мм. с затиркой швовов </t>
  </si>
  <si>
    <t xml:space="preserve">Облицовка полов керамогранитом Кераммо марацци Кедр 420х420 с затиркой швовов </t>
  </si>
  <si>
    <t xml:space="preserve">Облицовка полов керамогранитом КЕRАМА MARAZZI Агатти беж 40.2х40.2 с затиркой швовов 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</si>
  <si>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</si>
  <si>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</si>
  <si>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</si>
  <si>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</si>
  <si>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Облицовка полов керамогранитом п/дерево 165*1000 мм La Faenza Amazzonia GLP тип С</t>
  </si>
  <si>
    <t xml:space="preserve">Облицовка полов керамогранитом "Уральский гранит" CT 03 600*600 мм. с затиркой швовов </t>
  </si>
  <si>
    <t xml:space="preserve">Облицовка полов керамогранитом Unicolore Casalgrande Padana Verde 30*30 натуральный  300 х300 мм с затиркой швовов </t>
  </si>
  <si>
    <t>Облицовка полов керамической плиткой 333*333 "Dalia" коллекциии "Oxford" " Ctramica Konskie" с затиркой швов.</t>
  </si>
  <si>
    <t xml:space="preserve">Облицовка полов керамогранитом Italon CONTEMPORA PURE 600*600 с затиркой швовов </t>
  </si>
  <si>
    <t>ЦИК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</si>
  <si>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</si>
  <si>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</si>
  <si>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Облицовка полов керамогранитом  КЕРАМА МАРАЦЦИ SG632400R 600*600 ТЕРРАЦЦО СЕРЫЙ СВЕТЛЫЙ с затиркой швов</t>
  </si>
  <si>
    <t>см. лист "Kerama Marazzi"</t>
  </si>
  <si>
    <t>Облицовка полов керамогранитом  Creto Style Ivory 600*600 с затиркой швов</t>
  </si>
  <si>
    <t xml:space="preserve">ББ (аналог терраццо в случае его отсутствия.) возможна закупка у поставщика сантехники </t>
  </si>
  <si>
    <t>Установка плинтуса алюминиевого из уголка 50х25 с покраской по RAL , цвет согласовать с заказчиком.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</si>
  <si>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</si>
  <si>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Ковровая плитка Desso Grezzo AB64 9027 (серый светлый) КМ3, с учетом клея фиксатора</t>
  </si>
  <si>
    <t>Ковровая плитка'!A1</t>
  </si>
  <si>
    <t>Ковровая плитка Desso Grezzo AB64 9033 (серый темный) КМ3, с учетом клея фиксатора и подрезки 10%</t>
  </si>
  <si>
    <t>Ковровая плитка'!A2</t>
  </si>
  <si>
    <t>Ковровая плитка Desso Grezzo AB64 8904 (cиний) КМ3, с учетом клея фиксатора и подрезки 10%</t>
  </si>
  <si>
    <t>Ковровая плитка'!A3</t>
  </si>
  <si>
    <t>Ковровая плитка Desso Grezzo AB64 7923 (зеленый) КМ3, с учетом клея фиксатора и подорезки 10%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</si>
  <si>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</si>
  <si>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</si>
  <si>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ПВХ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</si>
  <si>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</si>
  <si>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Затирка швов поверхности пола, плитка керамическая</t>
  </si>
  <si>
    <t>позиция только для уже существующей плитки. Для новой -в комплекте с укладкой.</t>
  </si>
  <si>
    <t>Устройство полов из модульной ковровой плитки типа Escom Object LINE 2924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</si>
  <si>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</si>
  <si>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</si>
  <si>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</si>
  <si>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</si>
  <si>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</si>
  <si>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</si>
  <si>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</si>
  <si>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</si>
  <si>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Устройство полов из модульной ковровой плитки типа Desso Libra 9950</t>
  </si>
  <si>
    <t>Устройство полов из модульной ковровой плитки типа ACCENT 49430</t>
  </si>
  <si>
    <t>Устройство полов из модульной ковровой плитки типа Escom Jetset 50645</t>
  </si>
  <si>
    <t xml:space="preserve">Устройство  плинтусов пластиковых </t>
  </si>
  <si>
    <t>Устройство  плинтусов пластиковых с ковровым заполнением высотой 55 мм</t>
  </si>
  <si>
    <t>Устройство покрытия пола из полу коммерческого линолеума типа "Таркет" цвет согласовать с Заказчиком</t>
  </si>
  <si>
    <t>Устройство  плинтусов МДФ, высотой 100 мм</t>
  </si>
  <si>
    <t>Установка  плинтуса алюминиевого Metal Line 90 h=40мм, покраска, черный матовый, гнущийся по радиусу</t>
  </si>
  <si>
    <t>Установка  плинтуса алюминиевого h80 мм, Fezard  2500*80*10 c соединителями и углами или аналог.</t>
  </si>
  <si>
    <t xml:space="preserve">возможна закупка у поставщика сантехники 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</si>
  <si>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</si>
  <si>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</si>
  <si>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Монтаж грязезащитного коврика СИТИТОП Сити резина + текстиль + скребок)</t>
  </si>
  <si>
    <t>Устройство штроб в цементно-песчаной стяжке пола</t>
  </si>
  <si>
    <t>Заделка штроб в полу цементно-песчаным р-ром</t>
  </si>
  <si>
    <t xml:space="preserve">Укрытие полов листами ДВП на время производства работ  </t>
  </si>
  <si>
    <t xml:space="preserve">Укрытие полов пленкой полиэтиленовой 200 мкм на время производства работ  </t>
  </si>
  <si>
    <t>Установка фальшпола 600*600*38мм, тип 38 AL/ST, с учетом подрезки 10%</t>
  </si>
  <si>
    <t>вкладка Фальшпол</t>
  </si>
  <si>
    <t>Установка  фальшпола из сульфата кальция 600*600*30,5mm с учетом подрезки 10%</t>
  </si>
  <si>
    <t>антистатическим покрытием) ANKER тип BRIKK N28ST/PVC Emerald Plus 5092, с учетом подрезки 10%</t>
  </si>
  <si>
    <t>Устройство противоскользящих уголков на ступени</t>
  </si>
  <si>
    <t>Укладка паркетной доски 200*2000 Solid Floor Piraness</t>
  </si>
  <si>
    <t>Шлифовка бетонного основания мозаично-шлифовальными машинами  с алмазными сегментами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</si>
  <si>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</si>
  <si>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</si>
  <si>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</si>
  <si>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3.7.0 Тех укрепленность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</si>
  <si>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</si>
  <si>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</si>
  <si>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</si>
  <si>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</si>
  <si>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t>Установка металлического дверного блока размером 900х2100 мм в СОКР (включая окно и лоток, в соответствии с ТЗ)</t>
  </si>
  <si>
    <t>Установка доводчиков на бронированных металлических  дверях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</si>
  <si>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</si>
  <si>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</si>
  <si>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</si>
  <si>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</si>
  <si>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</si>
  <si>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</si>
  <si>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</si>
  <si>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</si>
  <si>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</si>
  <si>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t>Монтаж переговорного устройство DD-205T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</si>
  <si>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</si>
  <si>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</si>
  <si>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V класс взломостойкости, сварное соединение, бетонно-заливная. Покраска грунт</t>
  </si>
  <si>
    <t>3.8.0 Прочие работы</t>
  </si>
  <si>
    <t>Мобилизация обьекта (более 300 кв.м.)</t>
  </si>
  <si>
    <t>обьект</t>
  </si>
  <si>
    <t>Мобилизация обьекта (менее 300 кв.м.)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</si>
  <si>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</si>
  <si>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</si>
  <si>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</si>
  <si>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</si>
  <si>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</si>
  <si>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</si>
  <si>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</si>
  <si>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</si>
  <si>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</si>
  <si>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 xml:space="preserve">Установка рольставни с электроприводом </t>
  </si>
  <si>
    <t>Установка  алюминиевой рольставни</t>
  </si>
  <si>
    <t>Заливка бетона М150</t>
  </si>
  <si>
    <t>Монтаж металлического листа толщ. 4 мм</t>
  </si>
  <si>
    <t>Изготовление и монтаж металлоконструкций</t>
  </si>
  <si>
    <t>Устройство технологических проходов над помещениями из профильной трубы и просечной сетки.</t>
  </si>
  <si>
    <t>Монтаж мобильных лесов или тура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</si>
  <si>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</si>
  <si>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</si>
  <si>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Лючки ревизии потайные</t>
  </si>
  <si>
    <t>Окраска по металлу  с учетом подготовки</t>
  </si>
  <si>
    <t>Пробивка отверстий в ЖБ плитах перекрытия толщиной до 250 мм.</t>
  </si>
  <si>
    <t>Обшивка стен листовой нержавеющей сталью толщиной 1 мм.</t>
  </si>
  <si>
    <t>Обшивка каркаса лестничного марша ГКЛВ</t>
  </si>
  <si>
    <t>Устройство каркаса лестничного марша под крепление сэндвич- панелей из металоконструкций</t>
  </si>
  <si>
    <t>Обшивка каркаса лестничного марша сэндвич - панелями Ruukki ( RE 90)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</si>
  <si>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</si>
  <si>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</si>
  <si>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Установка конвекционных решеток   из ПВХ 600*900 мм</t>
  </si>
  <si>
    <t>Устройство косоуров под наборные ступени лестничного марша</t>
  </si>
  <si>
    <t xml:space="preserve">Армирование  площадки   арматурой АIII </t>
  </si>
  <si>
    <t>Монтаж наборных ступеней ЛС 13-14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</si>
  <si>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</si>
  <si>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Установка подъемно трансформируемого устройства (ПТУ - 001) с радиоуправляемым пультом и доплнительным ограждением</t>
  </si>
  <si>
    <t>Р4</t>
  </si>
  <si>
    <t>Раздел №4.  Наружные строительные работы</t>
  </si>
  <si>
    <t>4.1.0 Устройство кровли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</si>
  <si>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</si>
  <si>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</si>
  <si>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</si>
  <si>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Устройство кровли из профлиста, металлочерепицы по деревянной обрешетке</t>
  </si>
  <si>
    <t>Грунтовка битумной мастикой примыканий и поверхности ремонтируемой кровли</t>
  </si>
  <si>
    <t>Монтаж водоотводных воронок с грязеуловителями</t>
  </si>
  <si>
    <t>Заделка стыков морозоустойчивым герметиком</t>
  </si>
  <si>
    <t>Ревизия кровли и водосточных систем с подготовкой акта</t>
  </si>
  <si>
    <t>Устройство мелких покрытий (брандмауэры, парапеты, свесы и т.р.) из листовой оцинкованной стали</t>
  </si>
  <si>
    <t>Подъем материалов на крышу здания</t>
  </si>
  <si>
    <t>Устройство фартука из оцинкованной стали</t>
  </si>
  <si>
    <t>Устройство эл подогрева воронок и кровли вокруг низ не менее 1 п.м от воронки</t>
  </si>
  <si>
    <t>4.2.0 Фасадные работы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</si>
  <si>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</si>
  <si>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</si>
  <si>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Ремонт штукатурки гладких фасадов по камню и бетону цементно-известковым раствором толщиной слоя до 20 мм</t>
  </si>
  <si>
    <t>Частичный ремонт фасада (расшивка и заделка трещин на штукарке, шпатлевка выбоин, сколов)</t>
  </si>
  <si>
    <t>Грунтовка фасада глубопроникающей грунтовкой за два раза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</si>
  <si>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</si>
  <si>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</si>
  <si>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</si>
  <si>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Монтаж фасада из композитных панелей "Алюкобонд" с подсистемой без утеплителя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</si>
  <si>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</si>
  <si>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>Монтаж фасада из кассетного профиля (оцинкованный лист окрашенный) без утеплителя</t>
  </si>
  <si>
    <t>Монтаж фасада из кассетного профиля (оцинкованный лист окрашенный) с утеплением</t>
  </si>
  <si>
    <t>Изоляция покрытий теплоизоляционными матами URSA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</si>
  <si>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</si>
  <si>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</si>
  <si>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Устройство пароизоляции</t>
  </si>
  <si>
    <t>Очистка фасада от пыли грязи, навесных и монтажных элементов</t>
  </si>
  <si>
    <t>Облицовка ступеней крыльца керамогранитом  300х300 мм.</t>
  </si>
  <si>
    <t>Облицовка крыльца клинкерной плиткой</t>
  </si>
  <si>
    <t>Крепление Г-образных алюминиевых с резиновой вставкой противоскользящик порогов на ступени-25*45</t>
  </si>
  <si>
    <t xml:space="preserve">Окраска металлических ограждений в стационарных условиях краской по металлу типа Hammerite </t>
  </si>
  <si>
    <t>Устройство козырьков на основе профтрубы (с грунтовкой и покраской) из поликарбоната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</si>
  <si>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</si>
  <si>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</si>
  <si>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</si>
  <si>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</si>
  <si>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4.3.0 Устройство временной ограждающей конструкции в зимний период (тепляк) </t>
  </si>
  <si>
    <t>Устройство каркаса из бруса (брус 100х50, 50х50, доска 150х15, саморезы, скобы, гвозди) с последующим демантажом</t>
  </si>
  <si>
    <t>Устройство защитного шатра из полиэтиленовой пленкой до 100 мкр., с последующим демонтажом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</si>
  <si>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</si>
  <si>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(электрическая пушка)</t>
  </si>
  <si>
    <t>м/час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</si>
  <si>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</si>
  <si>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</si>
  <si>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4.5.0 Работы по благоустройству прилегающей территории</t>
  </si>
  <si>
    <t>Разработка грунта вручную</t>
  </si>
  <si>
    <t>Обратная засыпка грунта вручную</t>
  </si>
  <si>
    <t>Подготовка подстилающих слоев вручную с уплотнением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</si>
  <si>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</si>
  <si>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</si>
  <si>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 xml:space="preserve">Установка автоматического шлагбаума GARD 4000-кр </t>
  </si>
  <si>
    <t>Устройство ограждения прилегающей территории ( Н - 2м. Проф-труба 60Х40 мм. с шагом 100 мм. Порошковая окраска - цвет черный).</t>
  </si>
  <si>
    <t>Разметка стоянок под автомобили</t>
  </si>
  <si>
    <t>Облицовка фасада профлистом крашенным по RAL</t>
  </si>
  <si>
    <t>Устройство отмостки здания</t>
  </si>
  <si>
    <t>Устройство приямков</t>
  </si>
  <si>
    <t>Укладка геотекстиля</t>
  </si>
  <si>
    <t>Укладка  тротуарной плитки (толщину и цвет согласовать с заказчиком)</t>
  </si>
  <si>
    <t>Устройство бордюра тротуарного</t>
  </si>
  <si>
    <t>Устройство асфальтового покрытия</t>
  </si>
  <si>
    <t xml:space="preserve"> Устройство козырька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</si>
  <si>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</si>
  <si>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Р5</t>
  </si>
  <si>
    <t>Раздел №5.  Водоснабжение и Канализация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</si>
  <si>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</si>
  <si>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</si>
  <si>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</si>
  <si>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</si>
  <si>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</si>
  <si>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>Установка системы инсталяции Geberit Duofix UP320 111.300.00.5</t>
  </si>
  <si>
    <t xml:space="preserve">Установка унитаза подвесного AlBANO BB120CHR, безободкового с креплением P-trap, с сиденьем ALBANO BB120SC и кнопкой слива GEBERIT 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</si>
  <si>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</si>
  <si>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</si>
  <si>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</si>
  <si>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Унитаз подвесной безободковый (сиденье микролифт) SL-5007 </t>
  </si>
  <si>
    <t>см. лист "Сантехника"</t>
  </si>
  <si>
    <t>Смеситель сенсорный Swedbe Europe 6000-220.</t>
  </si>
  <si>
    <t>CN6014 Умывальник чаша накладная круглая Element 435*435*135мм</t>
  </si>
  <si>
    <t>ES3300 CREAVIT Кран для писсуара сенсорный</t>
  </si>
  <si>
    <t>Раковина Creavit Next NX242-00CB00E-0000 белая   (Ширина: 500 мм,  Высота: 130 мм, Глубина: 400 мм)</t>
  </si>
  <si>
    <t>HB80 Сифон для раковины Haiba хром</t>
  </si>
  <si>
    <t>HB66 Донный клапан для раковины Haiba без перелива, хром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</si>
  <si>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</si>
  <si>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</si>
  <si>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Инсталляция для подвесного унитаза Aquatek Standart 37 INS-0000017, кнопка Акватек KDI-0000016 хром, KKI-0000002 Комплект крепления</t>
  </si>
  <si>
    <t xml:space="preserve">Установка  Умывальника SantiLine SL-2005  в комплекте с сифоном из нержавеющей стали  Viega 100674 Хром </t>
  </si>
  <si>
    <t>Установка смесителя для раковины  IDEAL STANDARD CERALINE BC193AA однорычажный, хром</t>
  </si>
  <si>
    <t>Инсталляция для подвесного унитаза Aquatek Standart 37 INS-0000017, кнопка Акватек KDI-0000016 хром</t>
  </si>
  <si>
    <t>Установка смеситетеля  гигиенического Ideal Standart DB130AA</t>
  </si>
  <si>
    <t xml:space="preserve">Установка смесителя для раковины Damixa Jupiter 770230001 с гигиеническим душем, хром </t>
  </si>
  <si>
    <t>смеситель Swedbe Europe 6000-220.</t>
  </si>
  <si>
    <t xml:space="preserve">Рама для монтажа PROSYS R016367 писсуара с задней подводкой
</t>
  </si>
  <si>
    <t>LEMARK Смывное устройство для писсуара, сенсорное, встраиваемое</t>
  </si>
  <si>
    <t>Установка умывальника пр-во Россия (согласовать с Заказчиком)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</si>
  <si>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</si>
  <si>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</si>
  <si>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t>Установка смесителя Kvart однорычажное упр., неповоротный излив, без донного клапана Арт. Артикул: 3111I10041101</t>
  </si>
  <si>
    <t>Смеситель GROHE Eurosmart</t>
  </si>
  <si>
    <t>Смеситель пр-во Россия (согласовать с Заказчиком)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</si>
  <si>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</si>
  <si>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</si>
  <si>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</si>
  <si>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 xml:space="preserve">Монтаж трубопроводов из полипропилена диаметром до 20 мм фасонные детали </t>
  </si>
  <si>
    <t>Кран шаровой Ду15</t>
  </si>
  <si>
    <t>Кран шаровой Ду20</t>
  </si>
  <si>
    <t>Кран шаровой Ду25</t>
  </si>
  <si>
    <t>Кран шаровой Ду32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</si>
  <si>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</si>
  <si>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</si>
  <si>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</si>
  <si>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 (Труба канализационная чугунная безраструбная Duker SML Ду50)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</si>
  <si>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</si>
  <si>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</si>
  <si>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</si>
  <si>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</si>
  <si>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Труба PPR PN10 ф20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</si>
  <si>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</si>
  <si>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Изоляция Thermoflex Ду 32</t>
  </si>
  <si>
    <t>Изоляция Thermoflex Ду 25</t>
  </si>
  <si>
    <t>Изоляция Thermoflex Ду 20</t>
  </si>
  <si>
    <t>Изоляция Thermoflex Ду 15</t>
  </si>
  <si>
    <t>Проход стояков 2хДу15 через перекрытие в гильзах</t>
  </si>
  <si>
    <t>Установка счетчиков на горячее и холодное водоснабжение</t>
  </si>
  <si>
    <t>Врезка в существующие сети ГВС/ХВС</t>
  </si>
  <si>
    <t>Врезка в существующие сети канализации</t>
  </si>
  <si>
    <t>Врезка Ду20 в существующие трубопроводы водопровода Ду63 с установкой запорной арматуры</t>
  </si>
  <si>
    <t>Врезка Ду50 в существующие трубопроводы канализации</t>
  </si>
  <si>
    <t>Установка водонагревателя  15л</t>
  </si>
  <si>
    <t>Установка водонагревателя   30л</t>
  </si>
  <si>
    <t>Установка водонагревателя   10л</t>
  </si>
  <si>
    <t>Капельная воронка HL 21</t>
  </si>
  <si>
    <t>Ревизия системы водоснабжения и канализации</t>
  </si>
  <si>
    <t>Установка душевой кабины River Neva 90/18 (сидение, зеркало, полки, душевая лейка, смеситель)</t>
  </si>
  <si>
    <t>Сололифт Grundfos Sololift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</si>
  <si>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</si>
  <si>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</si>
  <si>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ЛИЛЛОНГЕН (с настенными кронштейнами Артикульный номер: 698.940.59)</t>
  </si>
  <si>
    <t>Монтаж раковины Jacob Delafon Struktura 65x48 см фарфор, цвет белый (в комплекте с крепежом и сифоном хром)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</si>
  <si>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</si>
  <si>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</si>
  <si>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</si>
  <si>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Установка писсуара Jika DOMINO без сенсора с отв.для распылителя 4110.1(в комплекте с  запорной арматурой)</t>
  </si>
  <si>
    <t>Установка моек из нержавеющей стали 600*600*1,2 с сифоном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</si>
  <si>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</si>
  <si>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</si>
  <si>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</si>
  <si>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</si>
  <si>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</si>
  <si>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</si>
  <si>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</si>
  <si>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Монтаж металлических гильз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</si>
  <si>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</si>
  <si>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</si>
  <si>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</si>
  <si>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</si>
  <si>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</si>
  <si>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</si>
  <si>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5.1.0 Внутренний противопожарный водопровод (ВПВ)</t>
  </si>
  <si>
    <t>Установка пожарного шкафа в комлекте с пожарным рукавом 20 м и огнетушителем</t>
  </si>
  <si>
    <t>Установка пожарного шкафа двойного в комлекте с пожарными рукавами 20м- 2шт. и огнетушителями-2шт. ШПК-03-12</t>
  </si>
  <si>
    <t>Врезка в существующий пожарный водопрвод</t>
  </si>
  <si>
    <t>Установка пожарных кранов</t>
  </si>
  <si>
    <t>Монтаж трубы электросварной д 50 мм</t>
  </si>
  <si>
    <t>5.2.0 Аксесуары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</si>
  <si>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</si>
  <si>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</si>
  <si>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</si>
  <si>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</si>
  <si>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</si>
  <si>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</si>
  <si>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</si>
  <si>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Ревизия и установка Люстр заказчика (без стоимости люстры) с заменой ламп</t>
  </si>
  <si>
    <t>5.4.0 АУВПТ (спринкерные системы)</t>
  </si>
  <si>
    <t>Перенос оросителя спринклера</t>
  </si>
  <si>
    <t>Устройство спринкерной системы пожаротушения  ( в том числе гибкие подводки, оросители и т.д)</t>
  </si>
  <si>
    <t>Р6</t>
  </si>
  <si>
    <t>Раздел №6.  Отопление</t>
  </si>
  <si>
    <t>6.1.0. Отопление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</si>
  <si>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</si>
  <si>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</si>
  <si>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Установка радиаторов отопления RIFAR BASE 200</t>
  </si>
  <si>
    <t>секц.</t>
  </si>
  <si>
    <t>вкладка "Радиаторы"</t>
  </si>
  <si>
    <t>Установка радиаторов отопления RIFAR BASE 350</t>
  </si>
  <si>
    <t>Установка радиаторов отопления RIFAR BASE 500</t>
  </si>
  <si>
    <t>Автоматический терморегулятор RIFAR (термоголовка)</t>
  </si>
  <si>
    <t>1 на радиатор</t>
  </si>
  <si>
    <t>Монтажный комплект RIFAR 1/2</t>
  </si>
  <si>
    <t>Если радиатор с нижней подводкой, данная позиция не учитывается</t>
  </si>
  <si>
    <t>Монтажный комплект RIFAR 3/4</t>
  </si>
  <si>
    <t>Монтажный комплект RIFAR 3/4 для радиаторов MONOLIT/SUPReMO</t>
  </si>
  <si>
    <t>Монтажный комплект RIFAR 3/4 для радиаторов MONOLIT/SUPReMO Хром</t>
  </si>
  <si>
    <t>Узел нижней подводки "RIFAR" двойной прямой евроконус G 3/4"</t>
  </si>
  <si>
    <t>Узел нижнего подключения RIFAR для 2-трубных систем угловой G3/4"</t>
  </si>
  <si>
    <t>Кронштейн регулируемый RIFAR (комплект 2 шт.)</t>
  </si>
  <si>
    <t>Кронштейн напольный RIFAR (комплект 2 шт.)</t>
  </si>
  <si>
    <t>твек.10.1. Кронштейн напольный "RIFAR"</t>
  </si>
  <si>
    <t>твек. 6.3. Кронштейн "RIFAR" штырьевой бел. плоский 8х180</t>
  </si>
  <si>
    <t>твек. 6.7. Кронштейн "DUETTO" штырьевой бел. плоский 9х220</t>
  </si>
  <si>
    <t>твек. 6.7.01 Кронштейн  штырьевой бел. плоский 9х260</t>
  </si>
  <si>
    <t>твек. 6.8. Кронштейн SIRA RS штырьевой белый плоский 1,8 9х220</t>
  </si>
  <si>
    <t>твек. 7.3. Кронштейн угл. универс. бел. "ЭЛЕГАНС" (2,0)</t>
  </si>
  <si>
    <t>твек. 7.8. Кронштейн усил. угловой универсальный белый "Элеганс" 1,7</t>
  </si>
  <si>
    <t>КОМПЛЕКТ МОНТАЖНЫЙ 1/2 универсальный белый без кронштейнов</t>
  </si>
  <si>
    <t>КОМПЛЕКТ МОНТАЖНЫЙ 3/4 универсальный белый без кронштейнов</t>
  </si>
  <si>
    <t>Наценка на радиатор с нп Комплектация для радиатора с НП ( клапан термостатический с комплектующими , монтажный комплект</t>
  </si>
  <si>
    <t>Узел подключения радиатора H-образный Arrowhead Element, прямой, 3/4"- 3/4" (без ниппелей)</t>
  </si>
  <si>
    <t>1 на радиатор с нижней подводкой</t>
  </si>
  <si>
    <t>Трубка РЕХАУ из. нерж. стали для подкл. радиатора, Г-образная 16/250</t>
  </si>
  <si>
    <t>2 на радиатор с нижней подводкой</t>
  </si>
  <si>
    <t>Резьбозажимное соединение РЕХАУ для металлической трубки G 3/4 -15</t>
  </si>
  <si>
    <t>3 на радиатор с нижней подводкой</t>
  </si>
  <si>
    <t>Радиатор биметаллический RIFAR MONOLIT Ventil 300 04 секц. нижн. прав.</t>
  </si>
  <si>
    <t>Радиатор биметаллический RIFAR MONOLIT Ventil 300 05 секц. нижн. прав.</t>
  </si>
  <si>
    <t>Радиатор биметаллический RIFAR MONOLIT Ventil 300 06 секц. нижн. прав.</t>
  </si>
  <si>
    <t>Радиатор биметаллический RIFAR MONOLIT Ventil 300 07 секц. нижн. прав.</t>
  </si>
  <si>
    <t>Радиатор биметаллический RIFAR MONOLIT Ventil 300 08 секц. нижн. прав.</t>
  </si>
  <si>
    <t>Радиатор биметаллический RIFAR MONOLIT Ventil 300 09 секц. нижн. прав.</t>
  </si>
  <si>
    <t>Радиатор биметаллический RIFAR MONOLIT Ventil 300 10 секц. нижн. прав.</t>
  </si>
  <si>
    <t>Радиатор биметаллический RIFAR MONOLIT Ventil 300 11 секц. нижн. прав.</t>
  </si>
  <si>
    <t>Радиатор биметаллический RIFAR MONOLIT Ventil 300 12 секц. нижн. прав.</t>
  </si>
  <si>
    <t>Радиатор биметаллический RIFAR MONOLIT Ventil 300 13 секц. нижн. прав.</t>
  </si>
  <si>
    <t>Радиатор биметаллический RIFAR MONOLIT Ventil 300 14 секц. нижн. прав.</t>
  </si>
  <si>
    <t>Радиатор биметаллический RIFAR MONOLIT Ventil 350 04 секц. нижн. прав.</t>
  </si>
  <si>
    <t>Радиатор биметаллический RIFAR MONOLIT Ventil 350 05 секц. нижн. прав.</t>
  </si>
  <si>
    <t>Радиатор биметаллический RIFAR MONOLIT Ventil 350 06 секц. нижн. прав.</t>
  </si>
  <si>
    <t>Радиатор биметаллический RIFAR MONOLIT Ventil 350 07 секц. нижн. прав.</t>
  </si>
  <si>
    <t>Радиатор биметаллический RIFAR MONOLIT Ventil 350 08 секц. нижн. прав.</t>
  </si>
  <si>
    <t>Радиатор биметаллический RIFAR MONOLIT Ventil 350 09 секц. нижн. прав.</t>
  </si>
  <si>
    <t>Радиатор биметаллический RIFAR MONOLIT Ventil 350 10 секц. нижн. прав.</t>
  </si>
  <si>
    <t>Радиатор биметаллический RIFAR MONOLIT Ventil 350 11 секц. нижн. прав.</t>
  </si>
  <si>
    <t>Радиатор биметаллический RIFAR MONOLIT Ventil 350 12 секц. нижн. прав.</t>
  </si>
  <si>
    <t>Радиатор биметаллический RIFAR MONOLIT Ventil 350 13 секц. нижн. прав.</t>
  </si>
  <si>
    <t>Радиатор биметаллический RIFAR MONOLIT Ventil 350 14 секц. нижн. прав.</t>
  </si>
  <si>
    <t>Радиатор биметаллический RIFAR MONOLIT Ventil 500 04 секц. нижн. прав.</t>
  </si>
  <si>
    <t>Радиатор биметаллический RIFAR MONOLIT Ventil 500 05 секц. нижн. прав.</t>
  </si>
  <si>
    <t>Радиатор биметаллический RIFAR MONOLIT Ventil 500 06 секц. нижн. прав.</t>
  </si>
  <si>
    <t>Радиатор биметаллический RIFAR MONOLIT Ventil 500 07 секц. нижн. прав.</t>
  </si>
  <si>
    <t>Радиатор биметаллический RIFAR MONOLIT Ventil 500 08 секц. нижн. прав.</t>
  </si>
  <si>
    <t>Радиатор биметаллический RIFAR MONOLIT Ventil 500 09 секц. нижн. прав.</t>
  </si>
  <si>
    <t>Радиатор биметаллический RIFAR MONOLIT Ventil 500 10 секц. нижн. прав.</t>
  </si>
  <si>
    <t>Радиатор биметаллический RIFAR MONOLIT Ventil 500 11 секц. нижн. прав.</t>
  </si>
  <si>
    <t>Радиатор биметаллический RIFAR MONOLIT Ventil 500 12 секц. нижн. прав.</t>
  </si>
  <si>
    <t>Радиатор биметаллический RIFAR MONOLIT Ventil 500 13 секц. нижн. прав.</t>
  </si>
  <si>
    <t>Радиатор биметаллический RIFAR MONOLIT Ventil 500 14 секц. нижн. прав.</t>
  </si>
  <si>
    <t xml:space="preserve">Циркуляционный насос VALTEC 25-60 (VRS.256.13.0) DN25 </t>
  </si>
  <si>
    <t xml:space="preserve">Циркуляционный насос OASIS 25/4  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</si>
  <si>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</si>
  <si>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</si>
  <si>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</si>
  <si>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</si>
  <si>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</si>
  <si>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</si>
  <si>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</si>
  <si>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</si>
  <si>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</si>
  <si>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</si>
  <si>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</si>
  <si>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</si>
  <si>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>Демонтаж радиаторов отопления с сохранением</t>
  </si>
  <si>
    <t>Монтаж радиатора чугунного Радиаторы МС-140</t>
  </si>
  <si>
    <t>Термоголовка Watts SE 148</t>
  </si>
  <si>
    <t>Термоголовка (диапазон регулировки 6,5-27,5 С) твердотельная VALTEC VT.1000.0.0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</si>
  <si>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</si>
  <si>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</si>
  <si>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</si>
  <si>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Труба полипропиленовая, армированная PN-25 Pilsatherm 25х4.2мм. с фитингами</t>
  </si>
  <si>
    <t>Труба полипропиленовая, армированная PN-25 Pilsatherm 20х3.4мм. с фитингами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</si>
  <si>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</si>
  <si>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</si>
  <si>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</si>
  <si>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Клапан VALTEC ручной, прямой 3/4 VT.008.LN.05</t>
  </si>
  <si>
    <t>Клапан термостатический VALTEC прямой 3/4 VT.032.N.05</t>
  </si>
  <si>
    <t>Кронштейн телескопический для алюминиевых радиаторов</t>
  </si>
  <si>
    <t>Опрессовка системы отопления до 450 м.кв</t>
  </si>
  <si>
    <t>Опрессовка системы отопления от  450 м.кв</t>
  </si>
  <si>
    <t>Вырезка участка стояковых труб</t>
  </si>
  <si>
    <t>Врезка в существующую систему отопления</t>
  </si>
  <si>
    <t>Установка крестовин стояковых труб (труба 32, отвод 16)</t>
  </si>
  <si>
    <t>Кран маевского Watts Dy15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</si>
  <si>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</si>
  <si>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</si>
  <si>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конвекторов электрических Noirot spot 1500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</si>
  <si>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</si>
  <si>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25мм</t>
  </si>
  <si>
    <t>Монтаж труб отопления из стальных водогазопроводных труб, диаметр до 32мм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</si>
  <si>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</si>
  <si>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</si>
  <si>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</si>
  <si>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 xml:space="preserve">Ревизия отопительных приборов </t>
  </si>
  <si>
    <t>Ревизия системы трубопроводов и запорно-регулирующей арматуры</t>
  </si>
  <si>
    <t>Вентиль на обратную подводку угловой, 1/2"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</si>
  <si>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</si>
  <si>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</si>
  <si>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</si>
  <si>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</si>
  <si>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</si>
  <si>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</si>
  <si>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</si>
  <si>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</si>
  <si>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</si>
  <si>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</si>
  <si>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</si>
  <si>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</si>
  <si>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</si>
  <si>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</si>
  <si>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Расходные и крепежные материалы</t>
  </si>
  <si>
    <t>перевод на м.кв. из расчета на SB 250 м.кв.</t>
  </si>
  <si>
    <t xml:space="preserve">Ревизия газовых котлов отопления </t>
  </si>
  <si>
    <t xml:space="preserve">Установка сантехнического люка доступа </t>
  </si>
  <si>
    <t>Р7</t>
  </si>
  <si>
    <t>Раздел №7.  Вентиляция</t>
  </si>
  <si>
    <t>7.1.0 Вентиляция бытовая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</si>
  <si>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</si>
  <si>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см. вкладку "вентмашины"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</si>
  <si>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</si>
  <si>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</si>
  <si>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</si>
  <si>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</si>
  <si>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Компактная воздушно-тепловая завеса КЭВ-3П1154Е с пультом</t>
  </si>
  <si>
    <t>см. вкладку Тепловые завесы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</si>
  <si>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</si>
  <si>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</si>
  <si>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</si>
  <si>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Приточный очиститель воздуха Тион Бризер 4S Magic</t>
  </si>
  <si>
    <t>Для формата Микро</t>
  </si>
  <si>
    <t>Подставка под ПВУ сборная , усиленная - (уголок металлический, окрашеный)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</si>
  <si>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</si>
  <si>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</si>
  <si>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</si>
  <si>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</si>
  <si>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</si>
  <si>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Вентилятор IN 10/4 T O.Erre с таймером на выключение (санузел)</t>
  </si>
  <si>
    <t>Вентилятор Systemair K125M с таймером</t>
  </si>
  <si>
    <t>Тепловая завеса Frico с термостатом и пультом</t>
  </si>
  <si>
    <t>Пусконаладочные работы системы вентиляции</t>
  </si>
  <si>
    <t>Противопожарный клапан (с электромеханическим приводом Belimo с возвратной пружиной) НО 500*300</t>
  </si>
  <si>
    <t>клапан используется в поз Р7.0.17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</si>
  <si>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</si>
  <si>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</si>
  <si>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</si>
  <si>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Монтаж теплоизоляции  K-FLEX (или Энергофлекс) воздуховодов согласно ТЗ</t>
  </si>
  <si>
    <t>м2 (по площади помещения)</t>
  </si>
  <si>
    <t>Декоративная щелевая решетка с адаптером из стали, размер 1000х40</t>
  </si>
  <si>
    <t>в SB ставим круглые</t>
  </si>
  <si>
    <t>Декоративная щелевая решетка с адаптером из стали, размер 500х40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</si>
  <si>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</si>
  <si>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</si>
  <si>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</si>
  <si>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</si>
  <si>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</si>
  <si>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</si>
  <si>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</si>
  <si>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</si>
  <si>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</si>
  <si>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</si>
  <si>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</si>
  <si>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</si>
  <si>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</si>
  <si>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</si>
  <si>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</si>
  <si>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</si>
  <si>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</si>
  <si>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</si>
  <si>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</si>
  <si>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</si>
  <si>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</si>
  <si>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</si>
  <si>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</si>
  <si>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</si>
  <si>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</si>
  <si>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</si>
  <si>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</si>
  <si>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</si>
  <si>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</si>
  <si>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</si>
  <si>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</si>
  <si>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</si>
  <si>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</si>
  <si>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</si>
  <si>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</si>
  <si>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</si>
  <si>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</si>
  <si>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</si>
  <si>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</si>
  <si>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</si>
  <si>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</si>
  <si>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</si>
  <si>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</si>
  <si>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</si>
  <si>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</si>
  <si>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</si>
  <si>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</si>
  <si>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100, обратный клапан  для круглых каналов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</si>
  <si>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</si>
  <si>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</si>
  <si>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</si>
  <si>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</si>
  <si>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</si>
  <si>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</si>
  <si>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</si>
  <si>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</si>
  <si>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</si>
  <si>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</si>
  <si>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</si>
  <si>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</si>
  <si>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</si>
  <si>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</si>
  <si>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</si>
  <si>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</si>
  <si>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</si>
  <si>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</si>
  <si>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</si>
  <si>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</si>
  <si>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</si>
  <si>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</si>
  <si>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</si>
  <si>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</si>
  <si>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</si>
  <si>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>7.2.0 Дымоудаление</t>
  </si>
  <si>
    <t>Вентилятор дымоудаления Systemair DVV 400D4-6/F400 в комплекте со щитом автоматики.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</si>
  <si>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</si>
  <si>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EI60 S=5мм</t>
  </si>
  <si>
    <t>Огнезащитоное покрытие базальтовое фольгированное с пределом огнестойкости EI150 S=50мм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</si>
  <si>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</si>
  <si>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</si>
  <si>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Р8</t>
  </si>
  <si>
    <t>Раздел №8. Кондиционирование</t>
  </si>
  <si>
    <t>8.1.0 Кондиционирование технологическое</t>
  </si>
  <si>
    <t>Сплит система настенная MDV 07 MDSAJ-07HRN8 / MDOAJ-07HN8 (либо аналог согласно ТЗ. Замену согласовать с заказчиком)</t>
  </si>
  <si>
    <t xml:space="preserve">см. вкладку кондиционеры бытовые 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</si>
  <si>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</si>
  <si>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</si>
  <si>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</si>
  <si>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</si>
  <si>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</si>
  <si>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Блок сопряжения кондиционеров</t>
  </si>
  <si>
    <t>8.2.0 Кондиционирование бытовое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</si>
  <si>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</si>
  <si>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</si>
  <si>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</si>
  <si>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</si>
  <si>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</si>
  <si>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</si>
  <si>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</si>
  <si>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</si>
  <si>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</si>
  <si>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</si>
  <si>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</si>
  <si>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</si>
  <si>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</si>
  <si>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</si>
  <si>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</si>
  <si>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AS052MNERA</t>
  </si>
  <si>
    <t>Кондиционеры Haier VRF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</si>
  <si>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</si>
  <si>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</si>
  <si>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</si>
  <si>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</si>
  <si>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</si>
  <si>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</si>
  <si>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</si>
  <si>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</si>
  <si>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</si>
  <si>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</si>
  <si>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</si>
  <si>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</si>
  <si>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</si>
  <si>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MDV VRF включая пульт RM12F1 MDVI3-15WMVR12D</t>
  </si>
  <si>
    <t>Кондиционеры MDV VRF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</si>
  <si>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</si>
  <si>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</si>
  <si>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</si>
  <si>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</si>
  <si>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</si>
  <si>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</si>
  <si>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</si>
  <si>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</si>
  <si>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</si>
  <si>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</si>
  <si>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</si>
  <si>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</si>
  <si>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</si>
  <si>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</si>
  <si>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</si>
  <si>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 xml:space="preserve">Наружный блок мультизональной системы кондиционирования HAIER VRF AU08NFKERA  </t>
  </si>
  <si>
    <t xml:space="preserve">Наружный блок мультизональной системы кондиционирования HAIER VRF AU10NFKERA </t>
  </si>
  <si>
    <t>Наружный блок мультизональной системы кондиционирования HAIER VRF AU12NFKERA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</si>
  <si>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</si>
  <si>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</si>
  <si>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</si>
  <si>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Разветвитель FQG-B335A</t>
  </si>
  <si>
    <t>Разветвитель FQG-B506A</t>
  </si>
  <si>
    <t>Разветвитель FQZHN-01D MDV</t>
  </si>
  <si>
    <t>Разветвитель FQZHN-02D MDV</t>
  </si>
  <si>
    <t>Разветвитель FQZHN-03D MDV</t>
  </si>
  <si>
    <t>Разветвитель FQZHN-04D MDV</t>
  </si>
  <si>
    <t>Разветвитель FQZHN-05D MDV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</si>
  <si>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</si>
  <si>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</si>
  <si>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Вентиль шаровый под пайку для внутреннего блока</t>
  </si>
  <si>
    <t>Фильтр осушитель Danfoss DCR включая сменный сердечник</t>
  </si>
  <si>
    <t>Регенерация, заправка хладагентом, Фреон  R407C, R410A R 32</t>
  </si>
  <si>
    <t>кг</t>
  </si>
  <si>
    <t>Дренажный насос Aqua mini blue, ASPEN</t>
  </si>
  <si>
    <t>Дренажный насос мини Orang</t>
  </si>
  <si>
    <t>Антивандальные решетки с козырьком для внешних блоков</t>
  </si>
  <si>
    <t>Пусконаладочные работы систем кондиционирования</t>
  </si>
  <si>
    <t>Зимний комплект к кондиционерам</t>
  </si>
  <si>
    <t>Помпа дренажная Si 1805</t>
  </si>
  <si>
    <t>Помпа дренажная Si 82</t>
  </si>
  <si>
    <t>Помпа дренажная Si 27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</si>
  <si>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</si>
  <si>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</si>
  <si>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</si>
  <si>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Р9</t>
  </si>
  <si>
    <t>Раздел №9.  Электротехнические работы</t>
  </si>
  <si>
    <t>9.1.0 Щиты в сборе</t>
  </si>
  <si>
    <t>ГРЩ(1)</t>
  </si>
  <si>
    <t>см. вкладку Щиты в сборе</t>
  </si>
  <si>
    <t>ГРЩ(2)</t>
  </si>
  <si>
    <t>ЩС(1)</t>
  </si>
  <si>
    <t>ЩС(2)</t>
  </si>
  <si>
    <t>ЩСБ</t>
  </si>
  <si>
    <t>ЩИБП</t>
  </si>
  <si>
    <t>ППУ</t>
  </si>
  <si>
    <t xml:space="preserve">ЩР (НАНО 1-ф) </t>
  </si>
  <si>
    <t xml:space="preserve">ЩР (НАНО 3-ф) </t>
  </si>
  <si>
    <t>9.2.0 Электротехнические работы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</si>
  <si>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</si>
  <si>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</si>
  <si>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</si>
  <si>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</si>
  <si>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</si>
  <si>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</si>
  <si>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</si>
  <si>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</si>
  <si>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</si>
  <si>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</si>
  <si>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Щит ППУ 8-12 мод IP 65 красный металлический</t>
  </si>
  <si>
    <t>Автоматический ввод резерва 63А, 380В в сборе</t>
  </si>
  <si>
    <t>Автоматический ввод резерва 80А, 380В в сборе</t>
  </si>
  <si>
    <t>Автоматический ввод резерва 125А, 380В в сборе</t>
  </si>
  <si>
    <t>Выключатель нагрузки OT40E3, 40А, ABB</t>
  </si>
  <si>
    <t>Выключатель нагрузки OT45E3, 45А, ABB</t>
  </si>
  <si>
    <t>Выключатель нагрузки OT63E3, 63А, ABB</t>
  </si>
  <si>
    <t>Выключатель нагрузки OT80F3, 80А, ABB</t>
  </si>
  <si>
    <t>Счетчик электроэнергии, Меркурий 231 АТ 01 (двухтарифный, 3-х фазный, 63А)</t>
  </si>
  <si>
    <t>Счетчик электроэнергии, Меркурий 231 АТ 01 с трансформаторами тока (двухтарифный, 3-х фазный, 63А)</t>
  </si>
  <si>
    <t>Счетчик электроэнергии, Меркурий 230 ART-02 CN (многотарифный, 3-х фазный, 100А)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</si>
  <si>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</si>
  <si>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</si>
  <si>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</si>
  <si>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</si>
  <si>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</si>
  <si>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</si>
  <si>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</si>
  <si>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</si>
  <si>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</si>
  <si>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</si>
  <si>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</si>
  <si>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</si>
  <si>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</si>
  <si>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</si>
  <si>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</si>
  <si>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</si>
  <si>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</si>
  <si>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</si>
  <si>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40A 30mA F204 AC-40/0,03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</si>
  <si>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</si>
  <si>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</si>
  <si>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</si>
  <si>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</si>
  <si>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Устройство защитного отключения 4пол. тип AC 63A 30mA FH204 AC-63/0,03 АВВ</t>
  </si>
  <si>
    <t>Устройство защитного отключения 4пол. тип AC 80A 300mA F204 AC-80/0,3 ABB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</si>
  <si>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</si>
  <si>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</si>
  <si>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B6А</t>
  </si>
  <si>
    <t>Автомат.выкл-ль АВВ 1-полюсный S201 B10А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</si>
  <si>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</si>
  <si>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</si>
  <si>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</si>
  <si>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1-полюсный S201 B40А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</si>
  <si>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</si>
  <si>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</si>
  <si>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</si>
  <si>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C20А</t>
  </si>
  <si>
    <t>Автомат.выкл-ль АВВ 1-полюсный S201 C25А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</si>
  <si>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</si>
  <si>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</si>
  <si>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</si>
  <si>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1-полюсный SH201L C6А</t>
  </si>
  <si>
    <t>Автомат.выкл-ль АВВ 1-полюсный SH201L C10А</t>
  </si>
  <si>
    <t>Автомат.выкл-ль АВВ 1-полюсный SH201L C16А</t>
  </si>
  <si>
    <t>Автомат.выкл-ль АВВ 1-полюсный SH201L C20А</t>
  </si>
  <si>
    <t>Автомат.выкл-ль АВВ 1-полюсный SH201L C25А</t>
  </si>
  <si>
    <t>Автомат.выкл-ль АВВ 1-полюсный SH201L C32А</t>
  </si>
  <si>
    <t>Автомат.выкл-ль АВВ 1-полюсный SH201L C40А</t>
  </si>
  <si>
    <t>Автомат.выкл-ль АВВ 1-полюсный SH201L C50А</t>
  </si>
  <si>
    <t>Автомат.выкл-ль АВВ 2-полюсный S202 B6А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</si>
  <si>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</si>
  <si>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</si>
  <si>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</si>
  <si>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</si>
  <si>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</si>
  <si>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</si>
  <si>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</si>
  <si>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C6А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</si>
  <si>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</si>
  <si>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</si>
  <si>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</si>
  <si>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</si>
  <si>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</si>
  <si>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</si>
  <si>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S202 C50А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</si>
  <si>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</si>
  <si>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</si>
  <si>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</si>
  <si>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</si>
  <si>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</si>
  <si>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</si>
  <si>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</si>
  <si>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</si>
  <si>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S203 B16А</t>
  </si>
  <si>
    <t>Автомат.выкл-ль АВВ 3-полюсный S203 B20А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</si>
  <si>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</si>
  <si>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</si>
  <si>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</si>
  <si>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</si>
  <si>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t>Автомат.выкл-ль АВВ 3-полюсный S203 C6А</t>
  </si>
  <si>
    <t>Автомат.выкл-ль АВВ 3-полюсный S203 C10А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</si>
  <si>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</si>
  <si>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</si>
  <si>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</si>
  <si>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S203 C32А</t>
  </si>
  <si>
    <t>Автомат.выкл-ль АВВ 3-полюсный S203 C40А</t>
  </si>
  <si>
    <t>Автомат.выкл-ль АВВ 3-полюсный S203 C50А</t>
  </si>
  <si>
    <t>Автомат.выкл-ль АВВ 3-полюсный S203 C63А</t>
  </si>
  <si>
    <t>Автомат.выкл-ль АВВ 3-полюсный SH203L C6А</t>
  </si>
  <si>
    <t>Автомат.выкл-ль АВВ 3-полюсный SH203L C10А</t>
  </si>
  <si>
    <t>Автомат.выкл-ль АВВ 3-полюсный SH203L C16А</t>
  </si>
  <si>
    <t>Автомат.выкл-ль АВВ 3-полюсный SH203L C20А</t>
  </si>
  <si>
    <t>Автомат.выкл-ль АВВ 3-полюсный SH203L C25А</t>
  </si>
  <si>
    <t>Автомат.выкл-ль АВВ 3-полюсный SH203L C32А</t>
  </si>
  <si>
    <t>Автомат.выкл-ль АВВ 3-полюсный SH203L C40А</t>
  </si>
  <si>
    <t>Автомат.выкл-ль АВВ 3-полюсный SH203L C50А</t>
  </si>
  <si>
    <t>Автомат.выкл-ль АВВ 4-полюсный S204 B16А</t>
  </si>
  <si>
    <t>Автомат.выкл-ль АВВ 4-полюсный S204 B25А</t>
  </si>
  <si>
    <t>Автомат.выкл-ль АВВ 4-полюсный S204 C16А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</si>
  <si>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</si>
  <si>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</si>
  <si>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</si>
  <si>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</si>
  <si>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t>Автомат.выкл-ль АВВ 4-полюсный SH204L C40А</t>
  </si>
  <si>
    <t>Автомат.выкл-ль АВВ Т1В160 40А</t>
  </si>
  <si>
    <t>Автомат.выкл-ль АВВ Т1В160 32А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</si>
  <si>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</si>
  <si>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</si>
  <si>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</si>
  <si>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80А</t>
  </si>
  <si>
    <t>Автомат.выкл-ль АВВ Т1В160 100А</t>
  </si>
  <si>
    <t>Автомат.выкл-ль АВВ Т1В160 125А</t>
  </si>
  <si>
    <t>Монтажная площадка для Т1В 160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</si>
  <si>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</si>
  <si>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</si>
  <si>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</si>
  <si>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</si>
  <si>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</si>
  <si>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</si>
  <si>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</si>
  <si>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</si>
  <si>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</si>
  <si>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</si>
  <si>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</si>
  <si>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</si>
  <si>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</si>
  <si>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</si>
  <si>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</si>
  <si>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</si>
  <si>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</si>
  <si>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</si>
  <si>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</si>
  <si>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</si>
  <si>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</si>
  <si>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</si>
  <si>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</si>
  <si>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</si>
  <si>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</si>
  <si>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</si>
  <si>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</si>
  <si>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</si>
  <si>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</si>
  <si>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</si>
  <si>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</si>
  <si>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АВДТ с защитой от сверхтоков OptiDin D63-22C10-A-УХЛ4 (2Р, С10, 30mA)</t>
  </si>
  <si>
    <t>АВДТ с защитой от сверхтоков OptiDin D63-22C16-A-УХЛ4 (2Р, С16, 30mA)</t>
  </si>
  <si>
    <t>АВДТ с защитой от сверхтоков OptiDin D63-22C20-A-УХЛ4 (2Р, С20,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</si>
  <si>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</si>
  <si>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</si>
  <si>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</si>
  <si>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</si>
  <si>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</si>
  <si>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</si>
  <si>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</si>
  <si>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</si>
  <si>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</si>
  <si>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</si>
  <si>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</si>
  <si>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</si>
  <si>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</si>
  <si>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</si>
  <si>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</si>
  <si>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</si>
  <si>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</si>
  <si>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</si>
  <si>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</si>
  <si>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</si>
  <si>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</si>
  <si>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</si>
  <si>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</si>
  <si>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</si>
  <si>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</si>
  <si>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</si>
  <si>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</si>
  <si>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</si>
  <si>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</si>
  <si>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</si>
  <si>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</si>
  <si>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</si>
  <si>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</si>
  <si>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</si>
  <si>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</si>
  <si>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</si>
  <si>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</si>
  <si>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</si>
  <si>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</si>
  <si>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</si>
  <si>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</si>
  <si>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</si>
  <si>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</si>
  <si>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</si>
  <si>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</si>
  <si>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</si>
  <si>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</si>
  <si>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</si>
  <si>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</si>
  <si>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</si>
  <si>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</si>
  <si>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</si>
  <si>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</si>
  <si>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</si>
  <si>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</si>
  <si>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</si>
  <si>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</si>
  <si>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</si>
  <si>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</si>
  <si>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</si>
  <si>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</si>
  <si>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</si>
  <si>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ESB24-31</t>
  </si>
  <si>
    <t>Контактор модульный ABB ESB40-40</t>
  </si>
  <si>
    <t>Контактор модульный ABB ESB63-40</t>
  </si>
  <si>
    <t>Реле времени недельное ABB ATS</t>
  </si>
  <si>
    <t>Реле освещенности ABB TW, Датчик освещенности ABB LS-SP</t>
  </si>
  <si>
    <t>Реле управления нагрузкой LSS1/2 230В ,90А (АВВ)</t>
  </si>
  <si>
    <t>Реле максимального тока STT6 114  E 451 5,7A</t>
  </si>
  <si>
    <t xml:space="preserve">Трансформатор 230В/24В понижающий однофазный 160ВА , на din -рейку, </t>
  </si>
  <si>
    <t>Устройство отключения неприоритетных цепей Legrand 038 13</t>
  </si>
  <si>
    <t>Реле переключения нагрузок АВВ Е451</t>
  </si>
  <si>
    <t>Реле времени АВВ CT-ERD.12</t>
  </si>
  <si>
    <t>Независимый расцепитель, S2C-A2</t>
  </si>
  <si>
    <t>Электромеханический  недельный таймер ABB</t>
  </si>
  <si>
    <t>Выключатель нагрузки  Legrand 04345, 32А, 3-полюсный</t>
  </si>
  <si>
    <t>Выключатель нагрузки  Legrand 04350, 63А, 3-полюсный</t>
  </si>
  <si>
    <t>Светильник эвакуационный с аккумуляторной батареей</t>
  </si>
  <si>
    <t>Светильник эвакуационный без аккумуляторной батареи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</si>
  <si>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</si>
  <si>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</si>
  <si>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</si>
  <si>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</si>
  <si>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</si>
  <si>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Монтаж Светильника аварийного потолочного  светильник PL CL 1.0 Pelastus</t>
  </si>
  <si>
    <t>Светильник светодиодный OWP OPTIMA LED 595 IP54/IP54 4000K mat Световые Технологии</t>
  </si>
  <si>
    <t>депозитарий</t>
  </si>
  <si>
    <t>Светильник с зеркалом и SPC-RNG-600-LED-TCH, 12W, 220-240V, 600x30с подсветкой  и сенсорным выключателем belbagno арт. SPC-RNG-600-LED-TCH</t>
  </si>
  <si>
    <t>Гофрированная ПВХ труба ∅ 50</t>
  </si>
  <si>
    <t>Гофрированная ПВХ труба ∅ 40</t>
  </si>
  <si>
    <t>Гофрированная ПВХ труба ∅ 32</t>
  </si>
  <si>
    <t>Гофрированная ПВХ труба ∅ 25</t>
  </si>
  <si>
    <t>Гофрированная ПВХ труба ∅ 20</t>
  </si>
  <si>
    <t>Гофрированная ПВХ труба ∅ 16</t>
  </si>
  <si>
    <t>Труба гладкая жесткая ПВХ 20 мм легкая серая (3м) в комплекте с углами, крепежами,переходниками и расходными материалами</t>
  </si>
  <si>
    <t>на офис на 200 м.кв.</t>
  </si>
  <si>
    <t>Труба гладкая жесткая ПВХ 32 мм легкая серая (3м) в комплекте с углами, крепежами,переходниками и расходными материалами</t>
  </si>
  <si>
    <t xml:space="preserve">Труба гофрированная ПНД HF d20мм с протяжкой, безгалогенная оранжевая </t>
  </si>
  <si>
    <t xml:space="preserve">Труба гофрированная ПНД HF d25мм с протяжкой, безгалогенная оранжевая </t>
  </si>
  <si>
    <t>Гладкая труба ∅ 40 ПНД</t>
  </si>
  <si>
    <t>Поворот 90° для  ПВХ-трубы ∅ 40</t>
  </si>
  <si>
    <t>Кабель-канал DLP 105х50 мм Legrand, включая заглушки, уголки и разделители.</t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</si>
  <si>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</si>
  <si>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</si>
  <si>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с опорой ML 100 мм облегченная</t>
  </si>
  <si>
    <t>комплект подвесов и консолей для лотков на офис 200 м.кв.</t>
  </si>
  <si>
    <t>Консоль 400 мм BBH-60 усиленная</t>
  </si>
  <si>
    <t>Консоль усиленная 200мм</t>
  </si>
  <si>
    <t>Консоль усиленная 300мм усиленная ВВН6030 DKC</t>
  </si>
  <si>
    <t>Подвес вертикальный одиночный L=600мм</t>
  </si>
  <si>
    <t>Подвес вертикальный двойной 41х21 L 600</t>
  </si>
  <si>
    <t>Подвес вертикальный одиночный 41х21 L 800</t>
  </si>
  <si>
    <t>Подвес вертикальный двойной 41х21 L 800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</si>
  <si>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</si>
  <si>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</si>
  <si>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</si>
  <si>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</si>
  <si>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</si>
  <si>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</si>
  <si>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</si>
  <si>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</si>
  <si>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</si>
  <si>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</si>
  <si>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Установка штепсельной розетки с заземлением  "Legrand" Mozaik ,  суппортом и рамкой (красная или белая).</t>
  </si>
  <si>
    <t xml:space="preserve">Установка розетки двойной накладной в запотолочном пространстве  Schneider </t>
  </si>
  <si>
    <t>Установка розетки двойной Schneider Electric Blanca с заземлением, открытый монтаж, цвет – Алюминий</t>
  </si>
  <si>
    <t>Формат НАНО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</si>
  <si>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</si>
  <si>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t>см.розекти ДКС</t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</si>
  <si>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</si>
  <si>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штепсельной розетки с заземлением в стену, 2P+E, с з/ш, Legrand "Etika", с супортом и рамкой "Белая"</t>
  </si>
  <si>
    <t>Установка штепсельной розетки с заземлением в стену, 2P+E, с з/ш, Legrand "Etika", с супортом и рамкой "Антрацит"</t>
  </si>
  <si>
    <t>Установка одноклавишных выключателей  "Legrand"  VALENA  с суппортом и  установочной коробкой Batibox</t>
  </si>
  <si>
    <t xml:space="preserve">Установка одноклавишных выключателей  Schneider Electric BLANCA О/У 1-клавишный, 10А, 250B, цвет – Алюминий </t>
  </si>
  <si>
    <t xml:space="preserve">Установка двухклавишных выключателей  "Legrand"  VALENA  с суппортом и  установочной коробкой Batibox 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</si>
  <si>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</si>
  <si>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</si>
  <si>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</si>
  <si>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</si>
  <si>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</si>
  <si>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</si>
  <si>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</si>
  <si>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</si>
  <si>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</si>
  <si>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Установка выключателя с ключом двухпозиционного</t>
  </si>
  <si>
    <t>Установка точечных светодиодных светильников R63 12 Вт в мебельные конструкции (холодное свечение)</t>
  </si>
  <si>
    <t>Установка св-ка встраиваемого "Lival mony" 2*24 Вт белый с лампами</t>
  </si>
  <si>
    <t>Установка светильника тонкий встраиваемый UNIEL GX70/H5 Белый с лампой.</t>
  </si>
  <si>
    <t>Установка светильников для складских помещений</t>
  </si>
  <si>
    <t>Светильник с люминесцентными лампами встраиваемый PRBLUX -600х600(касса)</t>
  </si>
  <si>
    <t>Светильник противопожарный с люминесцентными лампами встраиваемый стекло матовое 600х600(серверная)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</si>
  <si>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</si>
  <si>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</si>
  <si>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Пуско-наладочные работы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</si>
  <si>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</si>
  <si>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 xml:space="preserve">средние </t>
  </si>
  <si>
    <t>Установка коробки напольной 18 модульн Mosaik с  нерж крышкой (суппорта в комплекте )</t>
  </si>
  <si>
    <t>Блок аварийного питания INTERLUX ES-1 ( 6-58Ц)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</si>
  <si>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</si>
  <si>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</si>
  <si>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</si>
  <si>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</si>
  <si>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</si>
  <si>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</si>
  <si>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Распред коробка legrand</t>
  </si>
  <si>
    <t>Коробка распределительная  240х195х90мм</t>
  </si>
  <si>
    <t>Установка светильникака  94 838 NDL-P1-25W-840-WH-LED (аналог Downlight КЛЛ 2х26) Navigator 4607136948389</t>
  </si>
  <si>
    <t>Светильник светодиодный 19 Вт, Navigator NLP-S1-19W-840-WH-LED(225x225)</t>
  </si>
  <si>
    <t>Светильник светодиодный 18 Вт, Navigator 71 761 NLP-R1-18W-R220-840-WH-LED</t>
  </si>
  <si>
    <t>Установка светильника  94 836 NDL-P1-10W-840-WH-LED (аналог R80 100Вт) Navigator 4607136948365</t>
  </si>
  <si>
    <t>Светильник светодиодный 5 Вт IP44, Navigator 71 366 NDL-P2-5W-830-CH-LED</t>
  </si>
  <si>
    <t>Установка люстры ARSTID, 3-х рожковая с лампами э/сберег.</t>
  </si>
  <si>
    <t xml:space="preserve">Светодиодный светильник OFL 0240 36 595 4000 К  "Hazadr Light" </t>
  </si>
  <si>
    <t>Подвес LGD-4TR-HANG-2-WH ©</t>
  </si>
  <si>
    <t>ООО "ЭТМ"</t>
  </si>
  <si>
    <t>Коннектор прямой LGD-4TR-CON-LONG-WH</t>
  </si>
  <si>
    <t>Светильник светодиодный трековый LGD-GERA-4TR-R74-20W Day4000 (WH, 24 deg, 230V) КРАСНЫЙ RAL3020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</si>
  <si>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</si>
  <si>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</si>
  <si>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</si>
  <si>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</si>
  <si>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</si>
  <si>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Коннектор внутренний LGD-4TR-CON-MINI-WH ©</t>
  </si>
  <si>
    <t>Зажим LGD-4TR-CLIP-WH ©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</si>
  <si>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</si>
  <si>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</si>
  <si>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</si>
  <si>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</si>
  <si>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ORTUS SORES 650 св-к накладной LED 53W/4000K (СЕРЫЙ RAL 7047 МАТОВЫЙ)</t>
  </si>
  <si>
    <t>ООО ОКТАНТ (ТД ПРОФЛЕД)</t>
  </si>
  <si>
    <t>ORTUS SORES 650 св-к подвесной LED 53W/4000K подвес 1,5м (СЕРЫЙ RAL 7047 МАТОВЫЙ)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</si>
  <si>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</si>
  <si>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</si>
  <si>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</si>
  <si>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</si>
  <si>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</si>
  <si>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</si>
  <si>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Rota D1000 MP ECO 42W-4000K CRI 90 Susp WHI - Светильник</t>
  </si>
  <si>
    <t>Освещение Рефлекта</t>
  </si>
  <si>
    <t>Rota D1000 MP ECO 42W-4000K CRI 90 Susp WHI Emerg- Светильник</t>
  </si>
  <si>
    <t>Rota D1000 MP ECO 54W-4000K CRI 90 L24 Reduced Susp WHI - Светильник</t>
  </si>
  <si>
    <t xml:space="preserve">Rota D1000 MP ECO 54W-4000K CRI 90 L24 Reduced Susp WHI - Светильник + Acc. Emergency kit 1,8-3,5W {1-5L12/0,5-2,5L24} EM1H (18-35V, max 100V) BOX I - Аварийный блок </t>
  </si>
  <si>
    <t>Rota Triangle DI MP ECO 42W-4000K CRI 90 Susp WHI - Светильник</t>
  </si>
  <si>
    <t>Rota Triangle DI MP ECO 42W-4000K CRI 90 Susp WHI Emerg - Светильник</t>
  </si>
  <si>
    <t>Rota Triangle DI MP ECO 54W-4000K CRI 90 L24 Reduced Susp - Светильник</t>
  </si>
  <si>
    <t xml:space="preserve">Rota Triangle DI MP ECO 54W-4000K CRI 90 L24 Reduced Susp WHI - Светильник + Acc. Emergency kit 1,8-3,5W {1-5L12/0,5-2,5L24} EM1H (18-35V, max 100V) BOX I - Аварийный блок </t>
  </si>
  <si>
    <t>Rota Egg DI MP ECO 40W-4000K CRI 90 Susp WHI - Светильник</t>
  </si>
  <si>
    <t>Rota Egg DI MP ECO 40W-4000K CRI 90 Susp WHI Emerg - Светильник</t>
  </si>
  <si>
    <t>Rota Egg DI MP ECO 54W-4000K CRI 90 L24 Reduced Susp - Светильник</t>
  </si>
  <si>
    <t>Rota Egg DI MP ECO 54W-4000K CRI 90 L24 Reduced Susp - Светильник + Acc. Emergency kit 1,8-3,5W {1-5L12/0,5-2,5L24} EM1H (18-35V, max 100V) BOX I - Аварийный блок</t>
  </si>
  <si>
    <t>Quark IN SHE D70 Lens 8W-3000K CRI 90 Recess WHI IP65 - Светильник</t>
  </si>
  <si>
    <t>Quark IN IT D70 REF 45` 8W-4000K CRI 90 Recess WHI - Светильник</t>
  </si>
  <si>
    <t>Quark IN IT D70 REF 60` 8W-4000K CRI 90 Recess WHI - Светильник</t>
  </si>
  <si>
    <t>Quark IN IT D70 REF 60` 12W-4000K CRI 90 Recess WHI - Светильник</t>
  </si>
  <si>
    <t xml:space="preserve">Quark IN IT D70 REF 60` 12W-4000K CRI 90 Recess WHI - Светильник + Acc. Emergency kit 0,72-1,4W 20-45V {COBx1, {1xL12/0,5-1xL24} EM1H (18-35V, max 40V) BOX I - Аварийный блок </t>
  </si>
  <si>
    <t>MICA D190 14W-4000K CRI 90 Recess MP ECO WHI - Светильник</t>
  </si>
  <si>
    <t>Quark IN HE D70 Lens 8W-4000K CRI 90  Recess WHI - Светильник</t>
  </si>
  <si>
    <t>FAT Comfort 8W-4000K CRI 90 H130 MP Susp BLK - Светильник</t>
  </si>
  <si>
    <t xml:space="preserve">FAT Comfort 8W-4000K CRI 90 H130 MP Susp BLK Emerg - Светильник + Acc. Emergency kit 0,72-1,4W 20-45V {COBx1, {1xL12/0,5-1xL24} EM1H (18-35V, max 40V) BOX I - Аварийный блок </t>
  </si>
  <si>
    <t>FAT Comfort 12W-4000K CRI 90 H130 MP Susp BLK - Светильник</t>
  </si>
  <si>
    <t>FAT Comfort 12W-4000K CRI 90 H130 MP Susp BLK Emerg - Светильник</t>
  </si>
  <si>
    <t>Quark AIR IT MP D70 12W-4000K CRI 90 H210 Susp WHI - Светильник</t>
  </si>
  <si>
    <t xml:space="preserve">Quark AIR IT MP D70 12W-4000K CRI 90 H210 Susp WHI Emerg - Светильник + Acc. Emergency kit 0,72-1,4W 20-45V {COBx1, {1xL12/0,5-1xL24} EM1H (18-35V, max 40V) BOX I - Аварийный блок </t>
  </si>
  <si>
    <t>Quark AIR IT Lens D70 8W-4000K CRI 90 H210 Susp WHI- Светильник</t>
  </si>
  <si>
    <t>Quark AIR IT MP D70 8W-4000K CRI 90 H210 Susp BLK - Светильник</t>
  </si>
  <si>
    <t>Quark AIR IT Ref 60` D70 6W-4000K CRI 90 H210 Susp WHI - Светильник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</si>
  <si>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</si>
  <si>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>Quark AIR IT MP D45 12W-4000K CRI 90 H210 Susp - Светильник + NECK Q45 IT - Декоративная насадка</t>
  </si>
  <si>
    <t>Agat D80 31W/mt-4000K CRI 90 ROW Susp WHI - Светильник</t>
  </si>
  <si>
    <t>Ray IN D750 49W-4000K CRI 90 Reduced Susp BLK - Светильник</t>
  </si>
  <si>
    <t xml:space="preserve">Ray IN D750 69W-4000K CRI 90 Susp WHI - Светильник + Acc. Emergency kit 1,8-3,5W {1-5L12/0,5-2,5L24} EM1H (18-35V, max 100V) BOX I - Аварийный блок </t>
  </si>
  <si>
    <t>Rota D650 MP ECO 28W-4000K CRI 90 Susp BLK - Светильник</t>
  </si>
  <si>
    <t>Longa 61 46W-4000K CRI 90 MP 2xL24 Reduced M1200 Susp BLK - Светильник</t>
  </si>
  <si>
    <t>Longa 61 35W-4000K CRI 90 MP M1200 Susp BLK - Светильник</t>
  </si>
  <si>
    <t xml:space="preserve">Longa 61 35W-4000K CRI 90 MP M1200 Susp BLK- Светильник + Acc. Emergency kit 1,8-3,5W {1-5L12/0,5-2,5L24} EM1H (18-35V, max 100V) BOX I - Аварийный блок </t>
  </si>
  <si>
    <t>Longa 40 DI 22W/mt-4000K CRI 90  ROW Reduced Susp BLK - Светильник</t>
  </si>
  <si>
    <t>Longa 40 DI 25W-4000K CRI 90  M1200 Reduced Susp WHI  - Светильник</t>
  </si>
  <si>
    <t xml:space="preserve">Longa 40 DI 25W-4000K CRI 90  M1200 Reduced Susp WHI Emerg  - Светильник + Acc. Emergency kit 1,8-3,5W {1-5L12/0,5-2,5L24} EM1H (18-35V, max 100V) BOX I - Аварийный блок </t>
  </si>
  <si>
    <t>Longa 40 DI 39W-4000K CRI 90  M1400 Susp WHI, L=1392mm - Светильник</t>
  </si>
  <si>
    <t>Ray line 31W/mt-4000K CRI 90  ROW Recess - Светильник</t>
  </si>
  <si>
    <t>Ray line.U-kit - Крепёж в потолок 1 шт.</t>
  </si>
  <si>
    <t>Longa 40 DI 22W/mt-4000K CRI 90  ROW Reduced Susp BLK, L=3928mm - Светильник</t>
  </si>
  <si>
    <t>Ray line 31W/mt-4000K CRI 90 ROW Susp BLK, L=931mm - Светильник</t>
  </si>
  <si>
    <t>Ray line 20W/mt-3500K  ROW  270mA Susp BLK, L=2314mm  - Светильник</t>
  </si>
  <si>
    <t>Ray line 20W/mt-3500K  ROW  270mA Susp BLK, L=3697mm  - Светильник</t>
  </si>
  <si>
    <t>Ray line 33W-4000K CRI 90 M1200 Susp BLK - Светильник</t>
  </si>
  <si>
    <t>Ray line 31W/mt-4000K CRI 90 ROW Susp BLK, L=2084mm - Светильник</t>
  </si>
  <si>
    <t>Ray line 15W/mt-4000K CRI 90  ROW 175mA Susp, L=3006mm - Светильник</t>
  </si>
  <si>
    <t>Ray line 31W/mt-4000K CRI 90 ROW Susp BLK, L=3006mm - Светильник</t>
  </si>
  <si>
    <t>Ray line 15W/mt-4000K CRI 90  ROW 175mA Susp, L=3236mm - Светильник</t>
  </si>
  <si>
    <t>Ray line 31W/mt-4000K CRI 90 ROW Susp BLK, L=3236mm - Светильник</t>
  </si>
  <si>
    <t>Ray line 15W/mt-4000K CRI 90  ROW 175mA Susp, L=3928mm - Светильник</t>
  </si>
  <si>
    <t>Ray line 15W/mt-4000K CRI 90  ROW 175mA Susp, L=5080mm - Светильник</t>
  </si>
  <si>
    <t>Ray line 31W/mt-4000K CRI 90 ROW Susp BLK, L=5311mm - Светильник</t>
  </si>
  <si>
    <t>Ray line 31W/mt-4000K CRI 90 ROW Susp BLK, L=5541mm - Светильник</t>
  </si>
  <si>
    <t>Ray line 15W/mt-4000K CRI 90  ROW 175mA Susp, L=5772mm - Светильник</t>
  </si>
  <si>
    <t>Ray line 15W/mt-4000K CRI 90  ROW 175mA Susp, L=6694mm - Светильник</t>
  </si>
  <si>
    <t>Ray line 31W/mt-4000K CRI 90 ROW Susp BLK, L=6924mm - Светильник</t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</si>
  <si>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</si>
  <si>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</si>
  <si>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</si>
  <si>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</si>
  <si>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IEK Светильник ДСП 1318 48Вт 4500К IP65 1500мм</t>
  </si>
  <si>
    <t>IEK Светильник ДСП 1318 48Вт 4500К IP65 1500мм Emerg</t>
  </si>
  <si>
    <t>Acc. Wire ↓ suspension 1500mm - Тросовый подвес с регулировкой внизу, 1 шт.</t>
  </si>
  <si>
    <t>LED strip N2835 11W/m 24V 120led/m 1220Lm/m 4000K CRI90 IP20 5m</t>
  </si>
  <si>
    <t>Led driver  N24V45W</t>
  </si>
  <si>
    <t>Led driver  N24V60W</t>
  </si>
  <si>
    <t>Led driver  N24V80W</t>
  </si>
  <si>
    <t>Longa 16 L=2000 mm h=12 ANO - Профиль накладной алюминиевый анодированный, цена за 2 п.м.</t>
  </si>
  <si>
    <t>Longa 15/16/22 L=2000 mm PC Clear - Рассеиватель прозрачный</t>
  </si>
  <si>
    <t>Шинопровод 3м (черный) (белый)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</si>
  <si>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</si>
  <si>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</si>
  <si>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</si>
  <si>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</si>
  <si>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</si>
  <si>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</si>
  <si>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</si>
  <si>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</si>
  <si>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</si>
  <si>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</si>
  <si>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</si>
  <si>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</si>
  <si>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</si>
  <si>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Silent acoustic D200-100x(h)300 mm, 1xE27, one side colour Susp  Серый- Светильник</t>
  </si>
  <si>
    <t>Silent acoustic D800-400x(h)400 mm, 3xE27, one side colour Susp RED - Светильник</t>
  </si>
  <si>
    <t>Grata Slim SL D750 MP ECO 50W-4000K CRI 90 Reduced Susp BLK - Светильник</t>
  </si>
  <si>
    <t xml:space="preserve">LED лампа 13W/827 FR DIM E27 1521 lm </t>
  </si>
  <si>
    <t xml:space="preserve">Longa 40 DI 26W-4000K CRI 90  M900 WALL WHI - Светильник </t>
  </si>
  <si>
    <t>Байпасная блокировка АВВ</t>
  </si>
  <si>
    <t xml:space="preserve">Кабель ВВГнг-LS 5х16 </t>
  </si>
  <si>
    <t>Кабель ВВГнг-LS 5х10</t>
  </si>
  <si>
    <t>Кабель ВВГнг-LS 5х6</t>
  </si>
  <si>
    <t>Кабель ВВГнг-LS 5х4</t>
  </si>
  <si>
    <t>Кабель ВВГнг-LS 5х2,5</t>
  </si>
  <si>
    <t>Кабель ВВГнг-LS 5х1,5</t>
  </si>
  <si>
    <t>Кабель ВВГнг-LS 4х2,5</t>
  </si>
  <si>
    <t>Кабель ВВГнг-LS 4х1,5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</si>
  <si>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</si>
  <si>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</si>
  <si>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</si>
  <si>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</si>
  <si>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</si>
  <si>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</si>
  <si>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</si>
  <si>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</si>
  <si>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</si>
  <si>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Кабель ППГнг(А)-HF 5х35</t>
  </si>
  <si>
    <t>Кабель ППГнг(А)-HF 5х25</t>
  </si>
  <si>
    <t>Кабель ППГнг(А)-HF 5х16</t>
  </si>
  <si>
    <t>Кабель ППГнг(А)-HF 5х10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</si>
  <si>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</si>
  <si>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</si>
  <si>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</si>
  <si>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</si>
  <si>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</si>
  <si>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</si>
  <si>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</si>
  <si>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Кабель ППГнг(А)-HF 3x4</t>
  </si>
  <si>
    <t>Кабель ППГнг(А)-FRHF 3х2,5</t>
  </si>
  <si>
    <t>Кабель ППГнг(А)-FRHF 3х1,5</t>
  </si>
  <si>
    <t>Кабель ППГнг(А)-FRHF 3х4</t>
  </si>
  <si>
    <t>Кабель ППГнг(А)-FRHF 5х1,5</t>
  </si>
  <si>
    <t>Кабель ППГнг(А)-FRHF 5х2,5</t>
  </si>
  <si>
    <t>Кабель монтажный МКЭШ 2х0,75 ТРТС</t>
  </si>
  <si>
    <t>Кабель (провод) Parlan U/UTP Cat5eZHнг(А)-HF 4х2х0,52</t>
  </si>
  <si>
    <t>Кабельная проходка ОГНЕЗА-ПМ-К/50 (муфта)</t>
  </si>
  <si>
    <t>Кабельная проходка ОГНЕЗА-ПМ-К/125 (муфта)</t>
  </si>
  <si>
    <t>Напольная коробка 18 модулей Legrand арт. 089611</t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</si>
  <si>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</si>
  <si>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</si>
  <si>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</si>
  <si>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Лючок напольный SEG-Lux 250x250x100мм на 16 модуля арт. ALFB16M с розетками 2К+3 красного(Legrand Mozaic 077218) 4 шт. и белого(Legrand Mozaic 077211) 2 шт. цвета</t>
  </si>
  <si>
    <t>вкладка "Лючек напольный"</t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</si>
  <si>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</si>
  <si>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Подушка огнестойкая 120х200х30</t>
  </si>
  <si>
    <t xml:space="preserve">Обработка проходов кабелей через перегородки огнезой с 2 сторон  </t>
  </si>
  <si>
    <t>9.3.0 Щиты в сборе МИКРО</t>
  </si>
  <si>
    <t>ВРЩ(микро)</t>
  </si>
  <si>
    <t>см вкладку щиты  сборе</t>
  </si>
  <si>
    <t>ППУ(микро)</t>
  </si>
  <si>
    <t>9.4.0 Электротехнические работы МИКРО</t>
  </si>
  <si>
    <t>Зажим 773-302 безвинтовой 6х (0,75-2,5) кв. мм для меди и алюминия (Wago)</t>
  </si>
  <si>
    <t>Провод ПВ1 1х4 (красный/голубой/желтый/зеленый/желто-зеленый)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</si>
  <si>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</si>
  <si>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</si>
  <si>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</si>
  <si>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</si>
  <si>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</si>
  <si>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</si>
  <si>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</si>
  <si>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</si>
  <si>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</si>
  <si>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</si>
  <si>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</si>
  <si>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</si>
  <si>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</si>
  <si>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Р10</t>
  </si>
  <si>
    <t>Раздел №10.  Адаптация объекта для МГН</t>
  </si>
  <si>
    <t>10.1.0 Адаптация объекта для МГН</t>
  </si>
  <si>
    <t>ООО "Юнилифт" поставщик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</si>
  <si>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</si>
  <si>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</si>
  <si>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</si>
  <si>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>Беспроводная система. Питание батарейки. Кнопка со световым сигналом подтверждения нажатия.  Приемник: звуковой.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</si>
  <si>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</si>
  <si>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Откидной пандус. Конструкция из двух рельс (аппарелей), которые соединены между собой направляющими (до 2,5 м)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</si>
  <si>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</si>
  <si>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</si>
  <si>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</si>
  <si>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</si>
  <si>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Наклейка на дверь круг. Самоклеящаяся, виниловая, желтого цвета, размер 200мм.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</si>
  <si>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</si>
  <si>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</si>
  <si>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</si>
  <si>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</si>
  <si>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</si>
  <si>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</si>
  <si>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</si>
  <si>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</si>
  <si>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</si>
  <si>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</si>
  <si>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</si>
  <si>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Тактильный знак (рельефный пластик). Кнопка вызова.(200*200)</t>
  </si>
  <si>
    <t>Итого работы:</t>
  </si>
  <si>
    <t>руб.</t>
  </si>
  <si>
    <t>Итого материалы:</t>
  </si>
  <si>
    <t>Тр*</t>
  </si>
  <si>
    <t>Транспортные расходы (% от стоимости  материалов):</t>
  </si>
  <si>
    <t>%</t>
  </si>
  <si>
    <t>ВСЕГО*:</t>
  </si>
  <si>
    <t>* с учетом всех налогов, сборов и пошлин, предусмотренных действующим законодательством РФ</t>
  </si>
  <si>
    <t>(для помещений от 100 до  450 м.кв)</t>
  </si>
  <si>
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</t>
  </si>
  <si>
    <t>Рабочая документация "Архитектурные решения" ("АР"), включая пояснительную записку</t>
  </si>
  <si>
    <t>(для фасадов от 100 до  450 м.кв)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</si>
  <si>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</t>
  </si>
  <si>
    <t xml:space="preserve">Рабочая документация по усилению/устройству несущих конструкций ("КР"), включая пояснительную записку </t>
  </si>
  <si>
    <t xml:space="preserve">Рабочая документация "Архитектурные решения" ("АР"), включая пояснительную записку </t>
  </si>
  <si>
    <t xml:space="preserve">Рабочая документация по электроснабжению и электроосвещению ("ЭОМ"), включая пояснительную записку </t>
  </si>
  <si>
    <t xml:space="preserve">Рабочая документация Системы вентиляции ("ОВиК-В"), включая пояснительную записку </t>
  </si>
  <si>
    <t xml:space="preserve">Рабочая документация Системы кондиционирования ("ОВиК-К"), включая пояснительную записку </t>
  </si>
  <si>
    <t>Рабочая документация по электроснабжению и электроосвещению ("ЭОМ"), включая пояснительную записку</t>
  </si>
  <si>
    <t>Рабочая документация Системы вентиляции ("ОВиК-В"), включая пояснительную записку</t>
  </si>
  <si>
    <t xml:space="preserve">Рабочая документация Системы отопления ("ОВиК-О"), включая Пояснительную записку и Теплотехнический расчет </t>
  </si>
  <si>
    <t xml:space="preserve">Рабочая документация Системы водоснабжения и канализации ("ВК"), включая пояснительную записку </t>
  </si>
  <si>
    <t xml:space="preserve">Рабочая документация Системы автоматической установки водяного пожаротушения  ("АУВПТ"), (спринкерная, дренчерная, модульная система), включая пояснительную записку </t>
  </si>
  <si>
    <t xml:space="preserve">Рабочая документация Системы Внутреннего противопожарного водопровода ("ВПВ"), включая пояснительную записку </t>
  </si>
  <si>
    <t xml:space="preserve">Рабочая документация Системы дымоудаления ("ДУ"), включая пояснительную записку </t>
  </si>
  <si>
    <t>Рабочая документация</t>
  </si>
  <si>
    <t>Рабочая документация "Автоматическая пожарная сигнализация" (АПС)</t>
  </si>
  <si>
    <t>Рабочая документация "Система оповещения и управления эвакуацией людей при пожаре" (СОУЭ)</t>
  </si>
  <si>
    <t>Рабочая документация "Автоматизация системы внутреннего противопожарного водопровода (ВПВ)</t>
  </si>
  <si>
    <t>Рабочая документация "Автоматизация системы противодымной вентиляции (ПДВ")"</t>
  </si>
  <si>
    <t>Рабочая документация "Автоматизация  Системы отопления, вентиляции и кондиционирования (ОВиК)"</t>
  </si>
  <si>
    <t>Рабочая документация "Автоматизация  Системы аварийного освещения (АО)"</t>
  </si>
  <si>
    <t>Рабочая документация "Автоматизации Системы контроля управления доступом (СКУД)"</t>
  </si>
  <si>
    <t>(для фасадов менее 100 м.кв)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</si>
  <si>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</t>
  </si>
  <si>
    <t>(для помещений менее 100 м.кв)</t>
  </si>
  <si>
    <t xml:space="preserve">Исполнительная документация по усилению/устройству несущих конструкций ("КР"), включая пояснительную записку </t>
  </si>
  <si>
    <t xml:space="preserve">Исполнительная документация "Архитектурные решения" ("АР"), включая пояснительную записку </t>
  </si>
  <si>
    <t>(для объектов более 100 кв.м.)</t>
  </si>
  <si>
    <t xml:space="preserve">Исполнительная документация Системы вентиляции ("ОВиК-В"), включая пояснительную записку </t>
  </si>
  <si>
    <t xml:space="preserve">Исполнительная документация Системы кондиционирования ("ОВиК-К"), включая пояснительную записку </t>
  </si>
  <si>
    <t xml:space="preserve">Исполнительная документация Системы отопления ("ОВиК-О"), включая Пояснительную записку и Теплотехнический расчет </t>
  </si>
  <si>
    <t xml:space="preserve">Исполнительная документация Системы водоснабжения и канализации ("ВК"), включая пояснительную записку </t>
  </si>
  <si>
    <t xml:space="preserve">Исполнительная документация Системы Внутреннего противопожарного водопровода ("ВПВ"), включая пояснительную записку </t>
  </si>
  <si>
    <t xml:space="preserve">Исполнительная документация Системы дымоудаления ("ДУ"), включая пояснительную записку </t>
  </si>
  <si>
    <t>Исполнительная документация "Архитектурные решения" ("АР"), включая пояснительную записку</t>
  </si>
  <si>
    <t xml:space="preserve"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</t>
  </si>
  <si>
    <t xml:space="preserve">Исполнительная документация по усилению/устройству несущих конструкций ("КР"), включая пояснительную записку  </t>
  </si>
  <si>
    <t xml:space="preserve">Исполнительная документация по электроснабжению и электроосвещению ("ЭОМ"), включая пояснительную записку </t>
  </si>
  <si>
    <t xml:space="preserve">Исполнительная документация Системы кондиционирования ("ОВиК-К"), включая пояснительную записку  </t>
  </si>
  <si>
    <t xml:space="preserve">Исполнительная документация Системы отопления ("ОВиК-О"), включая Пояснительную записку и Теплотехнический расчет  </t>
  </si>
  <si>
    <t xml:space="preserve">Исполнительная документация Системы водоснабжения и канализации ("ВК"), включая пояснительную записку  </t>
  </si>
  <si>
    <t>Исполнительная документация Системы дымоудаления ("ДУ"), включая пояснительную записку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</si>
  <si>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"ТЗК")</t>
  </si>
  <si>
    <t>Исполнительная документация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</si>
</sst>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_-* #,##0.00\ _₽_-;\-* #,##0.00\ _₽_-;_-* &quot;-&quot;??\ _₽_-;_-@_-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b/>
      <sz val="9"/>
      <color theme="0"/>
      <name val="Calibri"/>
      <family val="2"/>
      <charset val="204"/>
    </font>
    <font>
      <sz val="9"/>
      <color rgb="FFFF0000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12"/>
      <name val="Times New Roman Cyr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0" tint="-0.249977111117893"/>
      <name val="Calibri"/>
      <family val="2"/>
      <charset val="204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9"/>
      <color theme="0" tint="-4.9989318521683403E-2"/>
      <name val="Calibri"/>
      <family val="2"/>
      <charset val="204"/>
    </font>
    <font>
      <sz val="10"/>
      <name val="Arial Cyr"/>
      <charset val="204"/>
    </font>
    <font>
      <sz val="8"/>
      <name val="Calibri"/>
      <family val="2"/>
      <charset val="204"/>
    </font>
    <font>
      <sz val="10"/>
      <name val="Century Gothic"/>
      <family val="2"/>
      <charset val="204"/>
    </font>
    <font>
      <sz val="9"/>
      <name val="Calibri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0"/>
      <color theme="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/>
    <xf numFmtId="0" fontId="19" fillId="0" borderId="0"/>
    <xf numFmtId="166" fontId="1" fillId="0" borderId="0" applyFont="0" applyFill="0" applyBorder="0" applyAlignment="0" applyProtection="0"/>
    <xf numFmtId="0" fontId="24" fillId="0" borderId="0"/>
    <xf numFmtId="0" fontId="1" fillId="0" borderId="0"/>
    <xf numFmtId="0" fontId="19" fillId="0" borderId="0"/>
  </cellStyleXfs>
  <cellXfs count="20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164" fontId="6" fillId="0" borderId="3" xfId="2" applyNumberFormat="1" applyFont="1" applyFill="1" applyBorder="1" applyAlignment="1" applyProtection="1"/>
    <xf numFmtId="0" fontId="8" fillId="3" borderId="3" xfId="0" applyFont="1" applyFill="1" applyBorder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8" fillId="3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9" fillId="3" borderId="3" xfId="3" applyFill="1" applyBorder="1" applyAlignment="1" applyProtection="1">
      <alignment horizontal="left"/>
    </xf>
    <xf numFmtId="4" fontId="7" fillId="0" borderId="3" xfId="0" applyNumberFormat="1" applyFont="1" applyBorder="1" applyAlignment="1">
      <alignment horizontal="left"/>
    </xf>
    <xf numFmtId="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" fontId="10" fillId="4" borderId="3" xfId="0" applyNumberFormat="1" applyFont="1" applyFill="1" applyBorder="1" applyAlignment="1">
      <alignment horizontal="center" vertical="center" wrapText="1"/>
    </xf>
    <xf numFmtId="165" fontId="10" fillId="4" borderId="3" xfId="4" applyNumberFormat="1" applyFont="1" applyFill="1" applyBorder="1" applyAlignment="1">
      <alignment horizontal="left" vertical="center" wrapText="1"/>
    </xf>
    <xf numFmtId="165" fontId="10" fillId="4" borderId="3" xfId="4" applyNumberFormat="1" applyFont="1" applyFill="1" applyBorder="1" applyAlignment="1">
      <alignment horizontal="center" vertical="center" wrapText="1"/>
    </xf>
    <xf numFmtId="4" fontId="10" fillId="4" borderId="3" xfId="4" applyNumberFormat="1" applyFont="1" applyFill="1" applyBorder="1" applyAlignment="1">
      <alignment horizontal="center" vertical="center" wrapText="1"/>
    </xf>
    <xf numFmtId="4" fontId="10" fillId="0" borderId="3" xfId="4" applyNumberFormat="1" applyFont="1" applyBorder="1" applyAlignment="1">
      <alignment horizontal="center" vertical="center" wrapText="1"/>
    </xf>
    <xf numFmtId="0" fontId="12" fillId="0" borderId="0" xfId="0" applyFont="1"/>
    <xf numFmtId="43" fontId="0" fillId="0" borderId="0" xfId="1" applyFont="1" applyFill="1" applyProtection="1"/>
    <xf numFmtId="1" fontId="10" fillId="5" borderId="3" xfId="4" applyNumberFormat="1" applyFont="1" applyFill="1" applyBorder="1" applyAlignment="1">
      <alignment horizontal="center" vertical="center" wrapText="1"/>
    </xf>
    <xf numFmtId="165" fontId="10" fillId="5" borderId="3" xfId="4" applyNumberFormat="1" applyFont="1" applyFill="1" applyBorder="1" applyAlignment="1">
      <alignment horizontal="left" vertical="center" wrapText="1"/>
    </xf>
    <xf numFmtId="165" fontId="13" fillId="5" borderId="3" xfId="4" applyNumberFormat="1" applyFont="1" applyFill="1" applyBorder="1" applyAlignment="1">
      <alignment horizontal="center" vertical="center" wrapText="1"/>
    </xf>
    <xf numFmtId="4" fontId="13" fillId="5" borderId="3" xfId="4" applyNumberFormat="1" applyFont="1" applyFill="1" applyBorder="1" applyAlignment="1">
      <alignment horizontal="center" vertical="center" wrapText="1"/>
    </xf>
    <xf numFmtId="43" fontId="10" fillId="5" borderId="3" xfId="1" applyFont="1" applyFill="1" applyBorder="1" applyAlignment="1" applyProtection="1">
      <alignment horizontal="center" vertical="center" wrapText="1"/>
    </xf>
    <xf numFmtId="4" fontId="10" fillId="5" borderId="3" xfId="4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6" fillId="0" borderId="3" xfId="4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49" fontId="6" fillId="0" borderId="3" xfId="0" applyNumberFormat="1" applyFont="1" applyBorder="1" applyAlignment="1">
      <alignment horizontal="left" vertical="center" wrapText="1"/>
    </xf>
    <xf numFmtId="4" fontId="6" fillId="3" borderId="3" xfId="4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4" fontId="10" fillId="6" borderId="3" xfId="4" applyNumberFormat="1" applyFont="1" applyFill="1" applyBorder="1" applyAlignment="1">
      <alignment horizontal="center" vertical="center" wrapText="1"/>
    </xf>
    <xf numFmtId="1" fontId="10" fillId="5" borderId="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1" fontId="6" fillId="0" borderId="3" xfId="4" applyNumberFormat="1" applyFont="1" applyBorder="1" applyAlignment="1">
      <alignment horizontal="center" vertical="center" wrapText="1"/>
    </xf>
    <xf numFmtId="2" fontId="6" fillId="0" borderId="3" xfId="4" applyNumberFormat="1" applyFont="1" applyBorder="1" applyAlignment="1">
      <alignment horizontal="left" vertical="center" wrapText="1"/>
    </xf>
    <xf numFmtId="4" fontId="4" fillId="0" borderId="0" xfId="0" applyNumberFormat="1" applyFont="1" applyAlignment="1">
      <alignment horizontal="center" vertical="center" wrapText="1"/>
    </xf>
    <xf numFmtId="2" fontId="6" fillId="0" borderId="3" xfId="0" applyNumberFormat="1" applyFont="1" applyBorder="1" applyAlignment="1">
      <alignment horizontal="left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" fontId="6" fillId="0" borderId="0" xfId="0" applyNumberFormat="1" applyFont="1" applyAlignment="1">
      <alignment horizontal="center" vertical="center" wrapText="1"/>
    </xf>
    <xf numFmtId="1" fontId="6" fillId="7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4" fontId="6" fillId="7" borderId="3" xfId="0" applyNumberFormat="1" applyFont="1" applyFill="1" applyBorder="1" applyAlignment="1">
      <alignment horizontal="center" vertical="center" wrapText="1"/>
    </xf>
    <xf numFmtId="4" fontId="6" fillId="7" borderId="3" xfId="4" applyNumberFormat="1" applyFont="1" applyFill="1" applyBorder="1" applyAlignment="1">
      <alignment horizontal="center" vertical="center" wrapText="1"/>
    </xf>
    <xf numFmtId="1" fontId="6" fillId="0" borderId="3" xfId="5" applyNumberFormat="1" applyFont="1" applyBorder="1" applyAlignment="1">
      <alignment horizontal="center" vertical="center" wrapText="1"/>
    </xf>
    <xf numFmtId="0" fontId="6" fillId="0" borderId="3" xfId="5" applyFont="1" applyBorder="1" applyAlignment="1">
      <alignment horizontal="left" vertical="center" wrapText="1"/>
    </xf>
    <xf numFmtId="0" fontId="6" fillId="0" borderId="3" xfId="5" applyFont="1" applyBorder="1" applyAlignment="1">
      <alignment horizontal="center" vertical="center" wrapText="1"/>
    </xf>
    <xf numFmtId="4" fontId="6" fillId="8" borderId="3" xfId="4" applyNumberFormat="1" applyFont="1" applyFill="1" applyBorder="1" applyAlignment="1">
      <alignment horizontal="center" vertical="center" wrapText="1"/>
    </xf>
    <xf numFmtId="0" fontId="20" fillId="0" borderId="0" xfId="3" applyFont="1" applyAlignment="1" applyProtection="1">
      <alignment wrapText="1"/>
    </xf>
    <xf numFmtId="4" fontId="12" fillId="0" borderId="0" xfId="0" applyNumberFormat="1" applyFont="1"/>
    <xf numFmtId="0" fontId="20" fillId="0" borderId="0" xfId="3" quotePrefix="1" applyFont="1" applyAlignment="1" applyProtection="1">
      <alignment wrapText="1"/>
    </xf>
    <xf numFmtId="2" fontId="6" fillId="7" borderId="3" xfId="0" applyNumberFormat="1" applyFont="1" applyFill="1" applyBorder="1" applyAlignment="1">
      <alignment horizontal="left" vertical="center" wrapText="1"/>
    </xf>
    <xf numFmtId="4" fontId="6" fillId="9" borderId="3" xfId="4" applyNumberFormat="1" applyFont="1" applyFill="1" applyBorder="1" applyAlignment="1">
      <alignment horizontal="center" vertical="center" wrapText="1"/>
    </xf>
    <xf numFmtId="2" fontId="6" fillId="7" borderId="3" xfId="0" applyNumberFormat="1" applyFont="1" applyFill="1" applyBorder="1" applyAlignment="1">
      <alignment horizontal="center" vertical="center" wrapText="1"/>
    </xf>
    <xf numFmtId="0" fontId="9" fillId="0" borderId="0" xfId="3" applyAlignment="1" applyProtection="1">
      <alignment wrapText="1"/>
    </xf>
    <xf numFmtId="0" fontId="0" fillId="0" borderId="0" xfId="0" applyAlignment="1">
      <alignment wrapText="1"/>
    </xf>
    <xf numFmtId="43" fontId="0" fillId="0" borderId="0" xfId="0" applyNumberFormat="1"/>
    <xf numFmtId="0" fontId="0" fillId="0" borderId="2" xfId="0" applyBorder="1"/>
    <xf numFmtId="2" fontId="0" fillId="0" borderId="0" xfId="0" applyNumberFormat="1"/>
    <xf numFmtId="0" fontId="18" fillId="0" borderId="0" xfId="0" applyFont="1" applyAlignment="1">
      <alignment wrapText="1"/>
    </xf>
    <xf numFmtId="0" fontId="0" fillId="0" borderId="4" xfId="0" applyBorder="1"/>
    <xf numFmtId="43" fontId="0" fillId="0" borderId="0" xfId="6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wrapText="1"/>
    </xf>
    <xf numFmtId="4" fontId="6" fillId="7" borderId="1" xfId="0" applyNumberFormat="1" applyFont="1" applyFill="1" applyBorder="1" applyAlignment="1">
      <alignment horizontal="center" vertical="center" wrapText="1"/>
    </xf>
    <xf numFmtId="1" fontId="10" fillId="10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4" fontId="23" fillId="10" borderId="3" xfId="4" applyNumberFormat="1" applyFont="1" applyFill="1" applyBorder="1" applyAlignment="1">
      <alignment horizontal="center" vertical="center" wrapText="1"/>
    </xf>
    <xf numFmtId="4" fontId="10" fillId="11" borderId="3" xfId="4" applyNumberFormat="1" applyFont="1" applyFill="1" applyBorder="1" applyAlignment="1">
      <alignment horizontal="center" vertical="center" wrapText="1"/>
    </xf>
    <xf numFmtId="4" fontId="10" fillId="10" borderId="3" xfId="4" applyNumberFormat="1" applyFont="1" applyFill="1" applyBorder="1" applyAlignment="1">
      <alignment horizontal="center" vertical="center" wrapText="1"/>
    </xf>
    <xf numFmtId="1" fontId="10" fillId="12" borderId="3" xfId="0" applyNumberFormat="1" applyFont="1" applyFill="1" applyBorder="1" applyAlignment="1">
      <alignment horizontal="center" vertical="center" wrapText="1"/>
    </xf>
    <xf numFmtId="2" fontId="10" fillId="12" borderId="3" xfId="0" applyNumberFormat="1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4" fontId="10" fillId="12" borderId="3" xfId="4" applyNumberFormat="1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left" vertical="center" wrapText="1"/>
    </xf>
    <xf numFmtId="1" fontId="6" fillId="0" borderId="3" xfId="7" applyNumberFormat="1" applyFont="1" applyBorder="1" applyAlignment="1">
      <alignment horizontal="center" vertical="center" wrapText="1"/>
    </xf>
    <xf numFmtId="2" fontId="6" fillId="0" borderId="3" xfId="7" applyNumberFormat="1" applyFont="1" applyBorder="1" applyAlignment="1">
      <alignment horizontal="left" vertical="center" wrapText="1"/>
    </xf>
    <xf numFmtId="4" fontId="6" fillId="0" borderId="5" xfId="4" applyNumberFormat="1" applyFont="1" applyBorder="1" applyAlignment="1">
      <alignment horizontal="center" vertical="center" wrapText="1"/>
    </xf>
    <xf numFmtId="4" fontId="6" fillId="7" borderId="0" xfId="4" applyNumberFormat="1" applyFont="1" applyFill="1" applyAlignment="1">
      <alignment horizontal="center" vertical="center" wrapText="1"/>
    </xf>
    <xf numFmtId="2" fontId="10" fillId="12" borderId="3" xfId="0" applyNumberFormat="1" applyFont="1" applyFill="1" applyBorder="1" applyAlignment="1">
      <alignment horizontal="center" vertical="center" wrapText="1"/>
    </xf>
    <xf numFmtId="4" fontId="25" fillId="0" borderId="3" xfId="0" applyNumberFormat="1" applyFont="1" applyBorder="1" applyAlignment="1">
      <alignment horizontal="center" vertical="center" wrapText="1"/>
    </xf>
    <xf numFmtId="0" fontId="12" fillId="7" borderId="0" xfId="0" applyFont="1" applyFill="1" applyAlignment="1">
      <alignment wrapText="1"/>
    </xf>
    <xf numFmtId="2" fontId="6" fillId="0" borderId="3" xfId="7" applyNumberFormat="1" applyFont="1" applyBorder="1" applyAlignment="1">
      <alignment horizontal="center" vertical="center" wrapText="1"/>
    </xf>
    <xf numFmtId="4" fontId="26" fillId="0" borderId="3" xfId="4" applyNumberFormat="1" applyFont="1" applyBorder="1" applyAlignment="1">
      <alignment horizontal="center" vertical="center" wrapText="1"/>
    </xf>
    <xf numFmtId="1" fontId="27" fillId="7" borderId="3" xfId="8" applyNumberFormat="1" applyFont="1" applyFill="1" applyBorder="1" applyAlignment="1">
      <alignment horizontal="center" vertical="center" wrapText="1"/>
    </xf>
    <xf numFmtId="0" fontId="27" fillId="7" borderId="3" xfId="8" applyFont="1" applyFill="1" applyBorder="1" applyAlignment="1">
      <alignment horizontal="left" vertical="center" wrapText="1"/>
    </xf>
    <xf numFmtId="4" fontId="27" fillId="7" borderId="3" xfId="8" applyNumberFormat="1" applyFont="1" applyFill="1" applyBorder="1" applyAlignment="1">
      <alignment horizontal="center" vertical="center" wrapText="1"/>
    </xf>
    <xf numFmtId="4" fontId="10" fillId="13" borderId="3" xfId="4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wrapText="1"/>
    </xf>
    <xf numFmtId="4" fontId="6" fillId="3" borderId="3" xfId="0" applyNumberFormat="1" applyFont="1" applyFill="1" applyBorder="1" applyAlignment="1">
      <alignment horizontal="center" vertical="center" wrapText="1"/>
    </xf>
    <xf numFmtId="2" fontId="10" fillId="10" borderId="3" xfId="0" applyNumberFormat="1" applyFont="1" applyFill="1" applyBorder="1" applyAlignment="1">
      <alignment horizontal="left" vertical="center" wrapText="1"/>
    </xf>
    <xf numFmtId="1" fontId="27" fillId="0" borderId="6" xfId="0" applyNumberFormat="1" applyFont="1" applyBorder="1" applyAlignment="1">
      <alignment horizontal="center" vertical="center" wrapText="1"/>
    </xf>
    <xf numFmtId="2" fontId="27" fillId="0" borderId="6" xfId="0" applyNumberFormat="1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9" fillId="0" borderId="0" xfId="3" quotePrefix="1" applyAlignment="1" applyProtection="1">
      <alignment wrapText="1"/>
    </xf>
    <xf numFmtId="4" fontId="18" fillId="0" borderId="3" xfId="0" applyNumberFormat="1" applyFont="1" applyBorder="1"/>
    <xf numFmtId="1" fontId="28" fillId="0" borderId="3" xfId="0" applyNumberFormat="1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left" vertical="center" wrapText="1"/>
    </xf>
    <xf numFmtId="1" fontId="28" fillId="7" borderId="3" xfId="0" applyNumberFormat="1" applyFont="1" applyFill="1" applyBorder="1" applyAlignment="1">
      <alignment horizontal="center" vertical="center" wrapText="1"/>
    </xf>
    <xf numFmtId="2" fontId="28" fillId="7" borderId="2" xfId="0" applyNumberFormat="1" applyFont="1" applyFill="1" applyBorder="1" applyAlignment="1">
      <alignment horizontal="left" vertical="center" wrapText="1"/>
    </xf>
    <xf numFmtId="1" fontId="6" fillId="7" borderId="3" xfId="7" applyNumberFormat="1" applyFont="1" applyFill="1" applyBorder="1" applyAlignment="1">
      <alignment horizontal="center" vertical="center" wrapText="1"/>
    </xf>
    <xf numFmtId="0" fontId="6" fillId="7" borderId="3" xfId="7" applyFont="1" applyFill="1" applyBorder="1" applyAlignment="1">
      <alignment horizontal="left" vertical="center" wrapText="1"/>
    </xf>
    <xf numFmtId="1" fontId="30" fillId="0" borderId="7" xfId="0" applyNumberFormat="1" applyFont="1" applyBorder="1" applyAlignment="1">
      <alignment horizontal="center" vertical="center" wrapText="1"/>
    </xf>
    <xf numFmtId="0" fontId="30" fillId="0" borderId="7" xfId="0" applyFont="1" applyBorder="1" applyAlignment="1">
      <alignment horizontal="left" vertical="center" wrapText="1"/>
    </xf>
    <xf numFmtId="1" fontId="30" fillId="0" borderId="8" xfId="0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horizontal="left" vertical="center" wrapText="1"/>
    </xf>
    <xf numFmtId="1" fontId="28" fillId="0" borderId="7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1" fontId="30" fillId="7" borderId="8" xfId="0" applyNumberFormat="1" applyFont="1" applyFill="1" applyBorder="1" applyAlignment="1">
      <alignment horizontal="center" vertical="center" wrapText="1"/>
    </xf>
    <xf numFmtId="0" fontId="30" fillId="7" borderId="8" xfId="0" applyFont="1" applyFill="1" applyBorder="1" applyAlignment="1">
      <alignment horizontal="left" vertical="center" wrapText="1"/>
    </xf>
    <xf numFmtId="2" fontId="6" fillId="7" borderId="3" xfId="7" applyNumberFormat="1" applyFont="1" applyFill="1" applyBorder="1" applyAlignment="1">
      <alignment horizontal="center" vertical="center" wrapText="1"/>
    </xf>
    <xf numFmtId="1" fontId="10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6" fillId="0" borderId="3" xfId="7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3" borderId="0" xfId="0" applyFont="1" applyFill="1" applyAlignment="1">
      <alignment wrapText="1"/>
    </xf>
    <xf numFmtId="0" fontId="12" fillId="0" borderId="0" xfId="0" applyFont="1" applyAlignment="1">
      <alignment horizontal="center" vertical="center" wrapText="1"/>
    </xf>
    <xf numFmtId="4" fontId="6" fillId="0" borderId="9" xfId="4" applyNumberFormat="1" applyFont="1" applyBorder="1" applyAlignment="1">
      <alignment horizontal="center" vertical="center" wrapText="1"/>
    </xf>
    <xf numFmtId="0" fontId="0" fillId="7" borderId="0" xfId="0" applyFill="1"/>
    <xf numFmtId="2" fontId="10" fillId="5" borderId="3" xfId="0" applyNumberFormat="1" applyFont="1" applyFill="1" applyBorder="1" applyAlignment="1">
      <alignment horizontal="left" vertical="center" wrapText="1"/>
    </xf>
    <xf numFmtId="0" fontId="0" fillId="3" borderId="0" xfId="0" applyFill="1"/>
    <xf numFmtId="4" fontId="12" fillId="3" borderId="0" xfId="0" applyNumberFormat="1" applyFont="1" applyFill="1"/>
    <xf numFmtId="0" fontId="6" fillId="3" borderId="3" xfId="0" applyFont="1" applyFill="1" applyBorder="1" applyAlignment="1">
      <alignment horizontal="left" vertical="center" wrapText="1"/>
    </xf>
    <xf numFmtId="2" fontId="6" fillId="3" borderId="3" xfId="0" applyNumberFormat="1" applyFont="1" applyFill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left" vertical="center" wrapText="1"/>
    </xf>
    <xf numFmtId="0" fontId="10" fillId="13" borderId="3" xfId="0" applyFont="1" applyFill="1" applyBorder="1" applyAlignment="1">
      <alignment horizontal="center" vertical="center" wrapText="1"/>
    </xf>
    <xf numFmtId="4" fontId="13" fillId="13" borderId="3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29" fillId="0" borderId="0" xfId="0" applyFont="1" applyAlignment="1">
      <alignment wrapText="1"/>
    </xf>
    <xf numFmtId="0" fontId="20" fillId="7" borderId="0" xfId="3" applyFont="1" applyFill="1" applyAlignment="1" applyProtection="1">
      <alignment wrapText="1"/>
    </xf>
    <xf numFmtId="0" fontId="18" fillId="7" borderId="0" xfId="0" applyFont="1" applyFill="1"/>
    <xf numFmtId="1" fontId="6" fillId="0" borderId="2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vertical="center" wrapText="1"/>
    </xf>
    <xf numFmtId="1" fontId="34" fillId="7" borderId="2" xfId="0" applyNumberFormat="1" applyFont="1" applyFill="1" applyBorder="1" applyAlignment="1">
      <alignment horizontal="center" vertical="top" wrapText="1"/>
    </xf>
    <xf numFmtId="0" fontId="34" fillId="0" borderId="3" xfId="0" applyFont="1" applyBorder="1" applyAlignment="1">
      <alignment horizontal="left" vertical="center" wrapText="1"/>
    </xf>
    <xf numFmtId="0" fontId="34" fillId="3" borderId="3" xfId="0" applyFont="1" applyFill="1" applyBorder="1" applyAlignment="1">
      <alignment horizontal="left" vertical="center" wrapText="1"/>
    </xf>
    <xf numFmtId="1" fontId="34" fillId="0" borderId="2" xfId="0" applyNumberFormat="1" applyFont="1" applyBorder="1" applyAlignment="1">
      <alignment horizontal="center" vertical="top" wrapText="1"/>
    </xf>
    <xf numFmtId="1" fontId="6" fillId="0" borderId="3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1" fontId="6" fillId="0" borderId="3" xfId="9" applyNumberFormat="1" applyFont="1" applyBorder="1" applyAlignment="1">
      <alignment horizontal="center" vertical="center" wrapText="1"/>
    </xf>
    <xf numFmtId="2" fontId="6" fillId="0" borderId="3" xfId="9" applyNumberFormat="1" applyFont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/>
    </xf>
    <xf numFmtId="0" fontId="35" fillId="0" borderId="10" xfId="0" applyFont="1" applyBorder="1" applyAlignment="1">
      <alignment horizontal="left" vertical="center" wrapText="1"/>
    </xf>
    <xf numFmtId="0" fontId="36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vertical="center" wrapText="1"/>
    </xf>
    <xf numFmtId="4" fontId="35" fillId="0" borderId="1" xfId="0" applyNumberFormat="1" applyFont="1" applyBorder="1" applyAlignment="1">
      <alignment horizontal="center" vertical="center" wrapText="1"/>
    </xf>
    <xf numFmtId="4" fontId="35" fillId="0" borderId="2" xfId="0" applyNumberFormat="1" applyFont="1" applyBorder="1" applyAlignment="1">
      <alignment horizontal="center" vertical="center" wrapText="1"/>
    </xf>
    <xf numFmtId="4" fontId="35" fillId="0" borderId="10" xfId="0" applyNumberFormat="1" applyFont="1" applyBorder="1" applyAlignment="1">
      <alignment horizontal="center" vertical="center" wrapText="1"/>
    </xf>
    <xf numFmtId="4" fontId="35" fillId="0" borderId="10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/>
    </xf>
    <xf numFmtId="0" fontId="35" fillId="0" borderId="3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vertical="center" wrapText="1"/>
    </xf>
    <xf numFmtId="4" fontId="35" fillId="0" borderId="3" xfId="0" applyNumberFormat="1" applyFont="1" applyBorder="1" applyAlignment="1">
      <alignment horizontal="center" vertical="center" wrapText="1"/>
    </xf>
    <xf numFmtId="4" fontId="35" fillId="0" borderId="3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/>
    </xf>
    <xf numFmtId="0" fontId="38" fillId="0" borderId="3" xfId="0" applyFont="1" applyBorder="1" applyAlignment="1">
      <alignment horizontal="center" wrapText="1"/>
    </xf>
    <xf numFmtId="9" fontId="36" fillId="0" borderId="3" xfId="0" applyNumberFormat="1" applyFont="1" applyBorder="1" applyAlignment="1">
      <alignment horizontal="center" vertical="center"/>
    </xf>
    <xf numFmtId="4" fontId="39" fillId="0" borderId="1" xfId="0" applyNumberFormat="1" applyFont="1" applyBorder="1" applyAlignment="1">
      <alignment horizontal="center" vertical="center" wrapText="1"/>
    </xf>
    <xf numFmtId="4" fontId="39" fillId="0" borderId="2" xfId="0" applyNumberFormat="1" applyFont="1" applyBorder="1" applyAlignment="1">
      <alignment horizontal="center" vertical="center" wrapText="1"/>
    </xf>
    <xf numFmtId="4" fontId="39" fillId="0" borderId="3" xfId="0" applyNumberFormat="1" applyFont="1" applyBorder="1" applyAlignment="1">
      <alignment horizontal="center" vertical="center" wrapText="1"/>
    </xf>
    <xf numFmtId="4" fontId="39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wrapText="1"/>
    </xf>
    <xf numFmtId="0" fontId="37" fillId="0" borderId="3" xfId="0" applyFont="1" applyBorder="1"/>
    <xf numFmtId="1" fontId="8" fillId="14" borderId="3" xfId="0" applyNumberFormat="1" applyFont="1" applyFill="1" applyBorder="1" applyAlignment="1">
      <alignment horizontal="center"/>
    </xf>
    <xf numFmtId="0" fontId="40" fillId="14" borderId="1" xfId="0" applyFont="1" applyFill="1" applyBorder="1" applyAlignment="1">
      <alignment horizontal="left" vertical="center" wrapText="1"/>
    </xf>
    <xf numFmtId="0" fontId="40" fillId="14" borderId="11" xfId="0" applyFont="1" applyFill="1" applyBorder="1" applyAlignment="1">
      <alignment horizontal="left" vertical="center" wrapText="1"/>
    </xf>
    <xf numFmtId="0" fontId="40" fillId="14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1" fillId="0" borderId="0" xfId="0" applyFont="1"/>
    <xf numFmtId="0" fontId="3" fillId="2" borderId="11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" fontId="28" fillId="0" borderId="2" xfId="0" applyNumberFormat="1" applyFont="1" applyBorder="1" applyAlignment="1">
      <alignment horizontal="center" vertical="center" wrapText="1"/>
    </xf>
    <xf numFmtId="1" fontId="28" fillId="7" borderId="2" xfId="0" applyNumberFormat="1" applyFont="1" applyFill="1" applyBorder="1" applyAlignment="1">
      <alignment horizontal="center" vertical="center" wrapText="1"/>
    </xf>
    <xf numFmtId="1" fontId="8" fillId="14" borderId="1" xfId="0" applyNumberFormat="1" applyFont="1" applyFill="1" applyBorder="1" applyAlignment="1">
      <alignment horizontal="center"/>
    </xf>
  </cellXfs>
  <cellStyles count="10">
    <cellStyle name="Гиперссылка" xfId="3" builtinId="8"/>
    <cellStyle name="Обычный" xfId="0" builtinId="0"/>
    <cellStyle name="Обычный 2" xfId="7" xr:uid="{0FE1F1A3-2D90-42C8-8822-1E3C78F9375A}"/>
    <cellStyle name="Обычный 33" xfId="8" xr:uid="{8D272560-DEF4-4E46-8F0C-929745DD0CE2}"/>
    <cellStyle name="Обычный_4FFF1F62" xfId="5" xr:uid="{5829B0E5-871D-4291-BEBF-2EF8CF667BB5}"/>
    <cellStyle name="Обычный_Лист1" xfId="9" xr:uid="{06ED1305-CD95-43D5-BDE6-7B2A079D208A}"/>
    <cellStyle name="Обычный_Смета_динамо" xfId="4" xr:uid="{BFB48073-A55E-4EE1-ACE5-E0279AE69780}"/>
    <cellStyle name="Процентный" xfId="2" builtinId="5"/>
    <cellStyle name="Финансовый" xfId="1" builtinId="3"/>
    <cellStyle name="Финансовый 2" xfId="6" xr:uid="{98A33396-6777-4064-AB8D-D1ED23A8DA59}"/>
  </cellStyles>
  <dxfs count="151"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53340</xdr:colOff>
          <xdr:row>1685</xdr:row>
          <xdr:rowOff>45720</xdr:rowOff>
        </xdr:from>
        <xdr:to>
          <xdr:col>20</xdr:col>
          <xdr:colOff>396240</xdr:colOff>
          <xdr:row>1685</xdr:row>
          <xdr:rowOff>327660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1A3CC8B-2B1D-445B-8B38-358016F6F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91440</xdr:colOff>
          <xdr:row>1688</xdr:row>
          <xdr:rowOff>30480</xdr:rowOff>
        </xdr:from>
        <xdr:to>
          <xdr:col>20</xdr:col>
          <xdr:colOff>381000</xdr:colOff>
          <xdr:row>1688</xdr:row>
          <xdr:rowOff>327660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F8BFE73-25F4-447A-AD62-DD9A0EA91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53340</xdr:colOff>
          <xdr:row>1688</xdr:row>
          <xdr:rowOff>327660</xdr:rowOff>
        </xdr:from>
        <xdr:to>
          <xdr:col>20</xdr:col>
          <xdr:colOff>403860</xdr:colOff>
          <xdr:row>1689</xdr:row>
          <xdr:rowOff>335280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6D1683C-17CC-4096-8D77-081EEF21D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57;%20&#1045;&#10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ЕР (общ) "/>
      <sheetName val="Радиаторы"/>
      <sheetName val="Лючек напольный."/>
      <sheetName val="Проектирование до 100"/>
      <sheetName val="Проектирование 100-450"/>
      <sheetName val="Список и контакты поставщиков"/>
      <sheetName val="АПС, СОУЭ, ППА"/>
      <sheetName val="Освещение Рефлект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MDV VRF"/>
      <sheetName val="Вентмашины"/>
      <sheetName val="Для калькулятора"/>
      <sheetName val="ККО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"/>
      <sheetName val="Фальшпол"/>
      <sheetName val="Керамогранит"/>
      <sheetName val="Освещение"/>
      <sheetName val="Лист1"/>
    </sheetNames>
    <sheetDataSet>
      <sheetData sheetId="0"/>
      <sheetData sheetId="1">
        <row r="32">
          <cell r="BC32">
            <v>9712.5</v>
          </cell>
        </row>
        <row r="33">
          <cell r="BC33">
            <v>9933</v>
          </cell>
        </row>
        <row r="34">
          <cell r="BC34">
            <v>10143</v>
          </cell>
        </row>
        <row r="103">
          <cell r="BC103">
            <v>6585.6</v>
          </cell>
        </row>
        <row r="104">
          <cell r="BC104">
            <v>7695.45</v>
          </cell>
        </row>
        <row r="105">
          <cell r="BC105">
            <v>8805.2999999999993</v>
          </cell>
        </row>
        <row r="106">
          <cell r="BC106">
            <v>9915.15</v>
          </cell>
        </row>
        <row r="107">
          <cell r="BC107">
            <v>11025</v>
          </cell>
        </row>
        <row r="108">
          <cell r="BC108">
            <v>12134.85</v>
          </cell>
        </row>
        <row r="109">
          <cell r="BC109">
            <v>13244.7</v>
          </cell>
        </row>
        <row r="110">
          <cell r="BC110">
            <v>14354.55</v>
          </cell>
        </row>
        <row r="111">
          <cell r="BC111">
            <v>15464.4</v>
          </cell>
        </row>
        <row r="112">
          <cell r="BC112">
            <v>16574.25</v>
          </cell>
        </row>
        <row r="113">
          <cell r="BC113">
            <v>17684.099999999999</v>
          </cell>
        </row>
        <row r="114">
          <cell r="BC114">
            <v>6673.8</v>
          </cell>
        </row>
        <row r="115">
          <cell r="BC115">
            <v>7805.7</v>
          </cell>
        </row>
        <row r="116">
          <cell r="BC116">
            <v>8937.6</v>
          </cell>
        </row>
        <row r="117">
          <cell r="BC117">
            <v>10069.5</v>
          </cell>
        </row>
        <row r="118">
          <cell r="BC118">
            <v>11201.4</v>
          </cell>
        </row>
        <row r="119">
          <cell r="BC119">
            <v>12333.3</v>
          </cell>
        </row>
        <row r="120">
          <cell r="BC120">
            <v>13465.2</v>
          </cell>
        </row>
        <row r="121">
          <cell r="BC121">
            <v>14597.1</v>
          </cell>
        </row>
        <row r="122">
          <cell r="BC122">
            <v>15729</v>
          </cell>
        </row>
        <row r="123">
          <cell r="BC123">
            <v>16860.900000000001</v>
          </cell>
        </row>
        <row r="124">
          <cell r="BC124">
            <v>17992.8</v>
          </cell>
        </row>
        <row r="125">
          <cell r="BC125">
            <v>6757.8</v>
          </cell>
        </row>
        <row r="126">
          <cell r="BC126">
            <v>7910.7</v>
          </cell>
        </row>
        <row r="127">
          <cell r="BC127">
            <v>9063.6</v>
          </cell>
        </row>
        <row r="128">
          <cell r="BC128">
            <v>10216.5</v>
          </cell>
        </row>
        <row r="129">
          <cell r="BC129">
            <v>11369.4</v>
          </cell>
        </row>
        <row r="130">
          <cell r="BC130">
            <v>12522.3</v>
          </cell>
        </row>
        <row r="131">
          <cell r="BC131">
            <v>13675.2</v>
          </cell>
        </row>
        <row r="132">
          <cell r="BC132">
            <v>14828.1</v>
          </cell>
        </row>
        <row r="133">
          <cell r="BC133">
            <v>15981</v>
          </cell>
        </row>
        <row r="134">
          <cell r="BC134">
            <v>17133.900000000001</v>
          </cell>
        </row>
        <row r="135">
          <cell r="BC135">
            <v>18286.8</v>
          </cell>
        </row>
        <row r="171">
          <cell r="BC171">
            <v>985.95</v>
          </cell>
        </row>
        <row r="172">
          <cell r="BC172">
            <v>985.95</v>
          </cell>
        </row>
        <row r="173">
          <cell r="BC173">
            <v>1009.05</v>
          </cell>
        </row>
        <row r="174">
          <cell r="BC174">
            <v>418.95</v>
          </cell>
        </row>
        <row r="175">
          <cell r="BC175">
            <v>515.54999999999995</v>
          </cell>
        </row>
        <row r="176">
          <cell r="BC176">
            <v>1382.85</v>
          </cell>
        </row>
        <row r="177">
          <cell r="BC177">
            <v>1442.7</v>
          </cell>
        </row>
        <row r="178">
          <cell r="BC178">
            <v>546</v>
          </cell>
        </row>
        <row r="179">
          <cell r="BC179">
            <v>1292.55</v>
          </cell>
        </row>
        <row r="180">
          <cell r="BC180">
            <v>400.68</v>
          </cell>
        </row>
        <row r="181">
          <cell r="BC181">
            <v>20.220000000000002</v>
          </cell>
        </row>
        <row r="182">
          <cell r="BC182">
            <v>32.130000000000003</v>
          </cell>
        </row>
        <row r="183">
          <cell r="BC183">
            <v>37.489999999999995</v>
          </cell>
        </row>
        <row r="184">
          <cell r="BC184">
            <v>37.799999999999997</v>
          </cell>
        </row>
        <row r="185">
          <cell r="BC185">
            <v>24.950000000000003</v>
          </cell>
        </row>
        <row r="186">
          <cell r="BC186">
            <v>37.93</v>
          </cell>
        </row>
        <row r="187">
          <cell r="BC187">
            <v>712.95</v>
          </cell>
        </row>
        <row r="190">
          <cell r="BC190">
            <v>681.45</v>
          </cell>
        </row>
        <row r="191">
          <cell r="BC191">
            <v>1846.95</v>
          </cell>
        </row>
        <row r="192">
          <cell r="BC192">
            <v>626.85</v>
          </cell>
        </row>
        <row r="193">
          <cell r="BC193">
            <v>1246.8799999999999</v>
          </cell>
        </row>
        <row r="194">
          <cell r="BC194">
            <v>411.96999999999997</v>
          </cell>
        </row>
      </sheetData>
      <sheetData sheetId="2">
        <row r="15">
          <cell r="G15">
            <v>9303.8700000000008</v>
          </cell>
        </row>
      </sheetData>
      <sheetData sheetId="3">
        <row r="17">
          <cell r="E17">
            <v>10000</v>
          </cell>
        </row>
        <row r="18">
          <cell r="E18">
            <v>19750</v>
          </cell>
        </row>
        <row r="19">
          <cell r="E19">
            <v>19750</v>
          </cell>
        </row>
        <row r="20">
          <cell r="E20">
            <v>14850</v>
          </cell>
        </row>
        <row r="21">
          <cell r="E21">
            <v>9900</v>
          </cell>
        </row>
        <row r="22">
          <cell r="E22">
            <v>9900</v>
          </cell>
        </row>
        <row r="23">
          <cell r="E23">
            <v>9900</v>
          </cell>
        </row>
        <row r="24">
          <cell r="E24">
            <v>14850</v>
          </cell>
        </row>
        <row r="25">
          <cell r="E25">
            <v>9900</v>
          </cell>
        </row>
        <row r="26">
          <cell r="E26">
            <v>14850</v>
          </cell>
        </row>
        <row r="35">
          <cell r="E35">
            <v>3500</v>
          </cell>
        </row>
        <row r="36">
          <cell r="E36">
            <v>7450</v>
          </cell>
        </row>
      </sheetData>
      <sheetData sheetId="4">
        <row r="18">
          <cell r="E18">
            <v>129</v>
          </cell>
        </row>
        <row r="19">
          <cell r="E19">
            <v>371</v>
          </cell>
        </row>
        <row r="20">
          <cell r="E20">
            <v>246</v>
          </cell>
        </row>
        <row r="21">
          <cell r="E21">
            <v>193</v>
          </cell>
        </row>
        <row r="22">
          <cell r="E22">
            <v>151.88999999999999</v>
          </cell>
        </row>
        <row r="23">
          <cell r="E23">
            <v>118</v>
          </cell>
        </row>
        <row r="24">
          <cell r="E24">
            <v>124</v>
          </cell>
        </row>
        <row r="25">
          <cell r="E25">
            <v>87.31</v>
          </cell>
        </row>
        <row r="26">
          <cell r="E26">
            <v>87.31</v>
          </cell>
        </row>
        <row r="27">
          <cell r="E27">
            <v>99</v>
          </cell>
        </row>
        <row r="36">
          <cell r="E36">
            <v>3500</v>
          </cell>
        </row>
        <row r="37">
          <cell r="E37">
            <v>7450</v>
          </cell>
        </row>
      </sheetData>
      <sheetData sheetId="5"/>
      <sheetData sheetId="6">
        <row r="13">
          <cell r="F13">
            <v>67</v>
          </cell>
        </row>
        <row r="14">
          <cell r="F14">
            <v>39</v>
          </cell>
        </row>
        <row r="16">
          <cell r="F16">
            <v>8</v>
          </cell>
        </row>
        <row r="17">
          <cell r="F17">
            <v>25</v>
          </cell>
        </row>
        <row r="18">
          <cell r="F18">
            <v>3</v>
          </cell>
        </row>
        <row r="19">
          <cell r="F19">
            <v>1</v>
          </cell>
        </row>
        <row r="20">
          <cell r="F20">
            <v>1</v>
          </cell>
        </row>
        <row r="21">
          <cell r="F21">
            <v>1</v>
          </cell>
        </row>
      </sheetData>
      <sheetData sheetId="7"/>
      <sheetData sheetId="8">
        <row r="7">
          <cell r="L7">
            <v>361.01</v>
          </cell>
        </row>
        <row r="8">
          <cell r="L8">
            <v>614.36</v>
          </cell>
        </row>
        <row r="9">
          <cell r="L9">
            <v>3679.83</v>
          </cell>
        </row>
        <row r="10">
          <cell r="L10">
            <v>5655.93</v>
          </cell>
        </row>
        <row r="11">
          <cell r="L11">
            <v>3895.16</v>
          </cell>
        </row>
        <row r="12">
          <cell r="L12">
            <v>1897.27</v>
          </cell>
        </row>
        <row r="15">
          <cell r="L15">
            <v>418.03</v>
          </cell>
        </row>
        <row r="16">
          <cell r="L16">
            <v>133.01</v>
          </cell>
        </row>
        <row r="17">
          <cell r="L17">
            <v>360.63</v>
          </cell>
        </row>
        <row r="18">
          <cell r="L18">
            <v>361.01</v>
          </cell>
        </row>
        <row r="19">
          <cell r="L19">
            <v>2671.12</v>
          </cell>
        </row>
        <row r="20">
          <cell r="L20">
            <v>3421.85</v>
          </cell>
        </row>
        <row r="21">
          <cell r="L21">
            <v>5283.02</v>
          </cell>
        </row>
        <row r="22">
          <cell r="L22">
            <v>6902.28</v>
          </cell>
        </row>
      </sheetData>
      <sheetData sheetId="9">
        <row r="2">
          <cell r="J2">
            <v>12789</v>
          </cell>
        </row>
        <row r="3">
          <cell r="J3">
            <v>7245</v>
          </cell>
        </row>
        <row r="4">
          <cell r="J4">
            <v>8284.5</v>
          </cell>
        </row>
        <row r="5">
          <cell r="J5">
            <v>11445</v>
          </cell>
        </row>
        <row r="6">
          <cell r="J6">
            <v>3223.5</v>
          </cell>
        </row>
        <row r="7">
          <cell r="J7">
            <v>13782.3</v>
          </cell>
        </row>
        <row r="8">
          <cell r="J8">
            <v>12117</v>
          </cell>
        </row>
        <row r="9">
          <cell r="J9">
            <v>9345</v>
          </cell>
        </row>
        <row r="10">
          <cell r="J10">
            <v>20359.5</v>
          </cell>
        </row>
        <row r="11">
          <cell r="J11">
            <v>15634.5</v>
          </cell>
        </row>
        <row r="30">
          <cell r="J30">
            <v>15498</v>
          </cell>
        </row>
        <row r="31">
          <cell r="J31">
            <v>29431.5</v>
          </cell>
        </row>
        <row r="32">
          <cell r="J32">
            <v>10909.5</v>
          </cell>
        </row>
        <row r="33">
          <cell r="J33">
            <v>1029</v>
          </cell>
        </row>
        <row r="34">
          <cell r="J34">
            <v>1354.5</v>
          </cell>
        </row>
        <row r="35">
          <cell r="J35">
            <v>23478</v>
          </cell>
        </row>
      </sheetData>
      <sheetData sheetId="10">
        <row r="4">
          <cell r="I4">
            <v>18332.150000000001</v>
          </cell>
        </row>
        <row r="5">
          <cell r="I5">
            <v>18332.150000000001</v>
          </cell>
        </row>
        <row r="6">
          <cell r="I6">
            <v>27954.93</v>
          </cell>
        </row>
        <row r="7">
          <cell r="I7">
            <v>31734.38</v>
          </cell>
        </row>
        <row r="8">
          <cell r="I8">
            <v>62344.71</v>
          </cell>
        </row>
        <row r="9">
          <cell r="I9">
            <v>83288.09</v>
          </cell>
        </row>
        <row r="10">
          <cell r="I10">
            <v>100755.48</v>
          </cell>
        </row>
        <row r="11">
          <cell r="I11">
            <v>3020.08</v>
          </cell>
        </row>
      </sheetData>
      <sheetData sheetId="11">
        <row r="12">
          <cell r="E12">
            <v>19441.8</v>
          </cell>
        </row>
      </sheetData>
      <sheetData sheetId="12">
        <row r="7">
          <cell r="F7">
            <v>52500</v>
          </cell>
        </row>
        <row r="8">
          <cell r="F8">
            <v>39900</v>
          </cell>
        </row>
        <row r="9">
          <cell r="F9">
            <v>105000</v>
          </cell>
        </row>
        <row r="10">
          <cell r="F10">
            <v>99750</v>
          </cell>
        </row>
        <row r="13">
          <cell r="F13">
            <v>78750</v>
          </cell>
        </row>
        <row r="16">
          <cell r="F16">
            <v>14700</v>
          </cell>
        </row>
        <row r="18">
          <cell r="F18">
            <v>17535</v>
          </cell>
        </row>
        <row r="20">
          <cell r="F20">
            <v>15750</v>
          </cell>
        </row>
        <row r="21">
          <cell r="F21">
            <v>88725</v>
          </cell>
        </row>
        <row r="22">
          <cell r="F22">
            <v>87150</v>
          </cell>
        </row>
        <row r="23">
          <cell r="F23">
            <v>148575</v>
          </cell>
        </row>
        <row r="24">
          <cell r="F24">
            <v>223650</v>
          </cell>
        </row>
        <row r="30">
          <cell r="F30">
            <v>110250</v>
          </cell>
        </row>
        <row r="31">
          <cell r="F31">
            <v>8400</v>
          </cell>
        </row>
      </sheetData>
      <sheetData sheetId="13">
        <row r="3">
          <cell r="E3">
            <v>2338.6755000000007</v>
          </cell>
        </row>
        <row r="22">
          <cell r="E22">
            <v>1685.1555000000001</v>
          </cell>
        </row>
        <row r="23">
          <cell r="E23">
            <v>1622.1555000000001</v>
          </cell>
        </row>
      </sheetData>
      <sheetData sheetId="14">
        <row r="6">
          <cell r="E6">
            <v>46510.8</v>
          </cell>
        </row>
        <row r="7">
          <cell r="E7">
            <v>72350.25</v>
          </cell>
        </row>
        <row r="8">
          <cell r="E8">
            <v>106310.39999999999</v>
          </cell>
        </row>
        <row r="10">
          <cell r="E10">
            <v>8190</v>
          </cell>
        </row>
        <row r="11">
          <cell r="E11">
            <v>7875</v>
          </cell>
        </row>
      </sheetData>
      <sheetData sheetId="15">
        <row r="9">
          <cell r="C9">
            <v>2044.7280000000003</v>
          </cell>
        </row>
      </sheetData>
      <sheetData sheetId="16">
        <row r="3">
          <cell r="F3">
            <v>37170</v>
          </cell>
        </row>
        <row r="4">
          <cell r="F4">
            <v>34230</v>
          </cell>
        </row>
        <row r="5">
          <cell r="F5">
            <v>33295.5</v>
          </cell>
        </row>
        <row r="6">
          <cell r="F6">
            <v>32235</v>
          </cell>
        </row>
        <row r="11">
          <cell r="F11">
            <v>1323</v>
          </cell>
        </row>
        <row r="12">
          <cell r="F12">
            <v>1659</v>
          </cell>
        </row>
      </sheetData>
      <sheetData sheetId="17">
        <row r="6">
          <cell r="D6">
            <v>51219</v>
          </cell>
        </row>
        <row r="7">
          <cell r="D7">
            <v>73572.45</v>
          </cell>
        </row>
        <row r="8">
          <cell r="D8">
            <v>89201.7</v>
          </cell>
        </row>
        <row r="9">
          <cell r="C9">
            <v>5500</v>
          </cell>
        </row>
        <row r="11">
          <cell r="D11">
            <v>43806</v>
          </cell>
        </row>
        <row r="12">
          <cell r="D12">
            <v>63349.65</v>
          </cell>
        </row>
        <row r="13">
          <cell r="D13">
            <v>76440</v>
          </cell>
        </row>
      </sheetData>
      <sheetData sheetId="18">
        <row r="24">
          <cell r="M24">
            <v>124007.1</v>
          </cell>
        </row>
        <row r="25">
          <cell r="M25">
            <v>311104.5</v>
          </cell>
        </row>
        <row r="26">
          <cell r="M26">
            <v>348886.65</v>
          </cell>
        </row>
        <row r="27">
          <cell r="M27">
            <v>348616.8</v>
          </cell>
        </row>
        <row r="28">
          <cell r="M28">
            <v>12020.4</v>
          </cell>
        </row>
        <row r="29">
          <cell r="M29">
            <v>22568.7</v>
          </cell>
        </row>
        <row r="30">
          <cell r="M30">
            <v>24994.2</v>
          </cell>
        </row>
        <row r="31">
          <cell r="M31">
            <v>187951.05</v>
          </cell>
        </row>
        <row r="32">
          <cell r="M32">
            <v>22705.200000000001</v>
          </cell>
        </row>
        <row r="33">
          <cell r="M33">
            <v>62745.9</v>
          </cell>
        </row>
        <row r="34">
          <cell r="M34">
            <v>136832.85</v>
          </cell>
        </row>
      </sheetData>
      <sheetData sheetId="19">
        <row r="3">
          <cell r="D3">
            <v>375.74</v>
          </cell>
        </row>
        <row r="4">
          <cell r="D4">
            <v>474.98999999999995</v>
          </cell>
        </row>
        <row r="11">
          <cell r="D11">
            <v>385.51</v>
          </cell>
        </row>
        <row r="12">
          <cell r="D12">
            <v>532.30999999999995</v>
          </cell>
        </row>
      </sheetData>
      <sheetData sheetId="20">
        <row r="4">
          <cell r="F4">
            <v>12056.63</v>
          </cell>
        </row>
        <row r="5">
          <cell r="F5">
            <v>25452</v>
          </cell>
        </row>
        <row r="6">
          <cell r="F6">
            <v>44730</v>
          </cell>
        </row>
        <row r="7">
          <cell r="F7">
            <v>49888.13</v>
          </cell>
        </row>
      </sheetData>
      <sheetData sheetId="21">
        <row r="5">
          <cell r="K5">
            <v>219.45000000000002</v>
          </cell>
          <cell r="N5">
            <v>239.4</v>
          </cell>
        </row>
        <row r="6">
          <cell r="K6">
            <v>242.55</v>
          </cell>
          <cell r="N6">
            <v>266.7</v>
          </cell>
        </row>
        <row r="7">
          <cell r="K7">
            <v>306.60000000000002</v>
          </cell>
          <cell r="N7">
            <v>328.65000000000003</v>
          </cell>
        </row>
        <row r="8">
          <cell r="K8">
            <v>501.90000000000003</v>
          </cell>
          <cell r="N8">
            <v>522.9</v>
          </cell>
        </row>
        <row r="9">
          <cell r="K9">
            <v>666.75</v>
          </cell>
          <cell r="N9">
            <v>701.4</v>
          </cell>
        </row>
        <row r="10">
          <cell r="N10">
            <v>563.85</v>
          </cell>
        </row>
        <row r="11">
          <cell r="N11">
            <v>616.35</v>
          </cell>
        </row>
        <row r="12">
          <cell r="N12">
            <v>807.45</v>
          </cell>
        </row>
        <row r="14">
          <cell r="N14">
            <v>1117.2</v>
          </cell>
        </row>
        <row r="15">
          <cell r="N15">
            <v>1275.75</v>
          </cell>
        </row>
        <row r="16">
          <cell r="N16">
            <v>1631.7</v>
          </cell>
        </row>
        <row r="23">
          <cell r="N23">
            <v>794.85</v>
          </cell>
        </row>
        <row r="24">
          <cell r="N24">
            <v>1145.55</v>
          </cell>
        </row>
        <row r="25">
          <cell r="N25">
            <v>1398.6000000000001</v>
          </cell>
        </row>
        <row r="26">
          <cell r="N26">
            <v>1620.15</v>
          </cell>
        </row>
      </sheetData>
      <sheetData sheetId="22">
        <row r="15">
          <cell r="J15">
            <v>3198.3</v>
          </cell>
        </row>
        <row r="16">
          <cell r="J16">
            <v>3265.5</v>
          </cell>
        </row>
        <row r="17">
          <cell r="J17">
            <v>3378.9</v>
          </cell>
        </row>
        <row r="28">
          <cell r="J28">
            <v>267.75</v>
          </cell>
        </row>
        <row r="29">
          <cell r="J29">
            <v>269.85000000000002</v>
          </cell>
        </row>
        <row r="30">
          <cell r="J30">
            <v>271.95</v>
          </cell>
        </row>
        <row r="31">
          <cell r="J31">
            <v>278.25</v>
          </cell>
        </row>
        <row r="32">
          <cell r="J32">
            <v>305.55</v>
          </cell>
        </row>
        <row r="33">
          <cell r="J33">
            <v>326.55</v>
          </cell>
        </row>
        <row r="34">
          <cell r="J34">
            <v>349.65000000000003</v>
          </cell>
        </row>
        <row r="37">
          <cell r="J37">
            <v>308.7</v>
          </cell>
        </row>
        <row r="38">
          <cell r="J38">
            <v>310.8</v>
          </cell>
        </row>
        <row r="39">
          <cell r="J39">
            <v>312.90000000000003</v>
          </cell>
        </row>
        <row r="40">
          <cell r="J40">
            <v>317.10000000000002</v>
          </cell>
        </row>
        <row r="41">
          <cell r="J41">
            <v>357</v>
          </cell>
        </row>
        <row r="42">
          <cell r="J42">
            <v>373.8</v>
          </cell>
        </row>
        <row r="43">
          <cell r="J43">
            <v>396.90000000000003</v>
          </cell>
        </row>
        <row r="170">
          <cell r="J170">
            <v>51.45</v>
          </cell>
        </row>
        <row r="171">
          <cell r="J171">
            <v>58.800000000000004</v>
          </cell>
        </row>
      </sheetData>
      <sheetData sheetId="23">
        <row r="75">
          <cell r="J75">
            <v>6199.1860000000015</v>
          </cell>
        </row>
        <row r="76">
          <cell r="J76">
            <v>6533.9540000000006</v>
          </cell>
        </row>
        <row r="77">
          <cell r="J77">
            <v>7177.0160000000024</v>
          </cell>
        </row>
        <row r="111">
          <cell r="J111">
            <v>619.57700000000011</v>
          </cell>
        </row>
        <row r="112">
          <cell r="J112">
            <v>629.82500000000005</v>
          </cell>
        </row>
        <row r="113">
          <cell r="J113">
            <v>664.83900000000017</v>
          </cell>
        </row>
        <row r="114">
          <cell r="J114">
            <v>703.69600000000014</v>
          </cell>
        </row>
        <row r="115">
          <cell r="J115">
            <v>897.12700000000029</v>
          </cell>
        </row>
        <row r="116">
          <cell r="J116">
            <v>925.30900000000008</v>
          </cell>
        </row>
        <row r="117">
          <cell r="J117">
            <v>942.81600000000014</v>
          </cell>
        </row>
        <row r="118">
          <cell r="J118">
            <v>1014.1250000000001</v>
          </cell>
        </row>
        <row r="124">
          <cell r="J124">
            <v>176.35100000000003</v>
          </cell>
        </row>
        <row r="190">
          <cell r="J190">
            <v>424.86500000000001</v>
          </cell>
        </row>
        <row r="191">
          <cell r="J191">
            <v>432.12400000000002</v>
          </cell>
        </row>
        <row r="192">
          <cell r="J192">
            <v>455.60900000000004</v>
          </cell>
        </row>
        <row r="193">
          <cell r="J193">
            <v>505.14100000000008</v>
          </cell>
        </row>
        <row r="194">
          <cell r="J194">
            <v>572.18000000000006</v>
          </cell>
        </row>
        <row r="195">
          <cell r="J195">
            <v>586.27100000000019</v>
          </cell>
        </row>
        <row r="196">
          <cell r="J196">
            <v>632.81400000000008</v>
          </cell>
        </row>
        <row r="197">
          <cell r="J197">
            <v>644.34300000000007</v>
          </cell>
        </row>
        <row r="272">
          <cell r="J272">
            <v>46.116000000000014</v>
          </cell>
        </row>
        <row r="273">
          <cell r="J273">
            <v>48.678000000000004</v>
          </cell>
        </row>
        <row r="274">
          <cell r="J274">
            <v>110.59300000000002</v>
          </cell>
        </row>
        <row r="275">
          <cell r="J275">
            <v>161.833</v>
          </cell>
        </row>
        <row r="276">
          <cell r="J276">
            <v>170.37300000000002</v>
          </cell>
        </row>
        <row r="293">
          <cell r="J293">
            <v>119.98700000000001</v>
          </cell>
        </row>
      </sheetData>
      <sheetData sheetId="24">
        <row r="9">
          <cell r="Q9">
            <v>906916.5</v>
          </cell>
        </row>
        <row r="10">
          <cell r="Q10">
            <v>1165342.5</v>
          </cell>
        </row>
        <row r="11">
          <cell r="Q11">
            <v>1206502.5</v>
          </cell>
        </row>
        <row r="12">
          <cell r="Q12">
            <v>1507705.5</v>
          </cell>
        </row>
        <row r="13">
          <cell r="Q13">
            <v>1835736</v>
          </cell>
        </row>
      </sheetData>
      <sheetData sheetId="25"/>
      <sheetData sheetId="26"/>
      <sheetData sheetId="27"/>
      <sheetData sheetId="28">
        <row r="8">
          <cell r="G8">
            <v>15250</v>
          </cell>
        </row>
      </sheetData>
      <sheetData sheetId="29">
        <row r="8">
          <cell r="G8">
            <v>95950</v>
          </cell>
        </row>
      </sheetData>
      <sheetData sheetId="30">
        <row r="8">
          <cell r="G8">
            <v>161350</v>
          </cell>
        </row>
      </sheetData>
      <sheetData sheetId="31">
        <row r="8">
          <cell r="G8">
            <v>88300</v>
          </cell>
        </row>
      </sheetData>
      <sheetData sheetId="32">
        <row r="8">
          <cell r="G8">
            <v>93350</v>
          </cell>
        </row>
      </sheetData>
      <sheetData sheetId="33">
        <row r="7">
          <cell r="G7">
            <v>15947.9</v>
          </cell>
        </row>
        <row r="8">
          <cell r="G8">
            <v>9988.7000000000007</v>
          </cell>
        </row>
        <row r="9">
          <cell r="G9">
            <v>9988.7000000000007</v>
          </cell>
        </row>
        <row r="10">
          <cell r="G10">
            <v>9988.7000000000007</v>
          </cell>
        </row>
        <row r="11">
          <cell r="G11">
            <v>3473.2</v>
          </cell>
        </row>
      </sheetData>
      <sheetData sheetId="34">
        <row r="23">
          <cell r="F23">
            <v>4070.6111249999999</v>
          </cell>
        </row>
        <row r="32">
          <cell r="F32">
            <v>4070.6111249999999</v>
          </cell>
        </row>
      </sheetData>
      <sheetData sheetId="35"/>
      <sheetData sheetId="36">
        <row r="19">
          <cell r="F19">
            <v>3175.6567500000001</v>
          </cell>
        </row>
      </sheetData>
      <sheetData sheetId="37">
        <row r="17">
          <cell r="J17">
            <v>3245.3546973106791</v>
          </cell>
        </row>
        <row r="31">
          <cell r="J31">
            <v>11955.231240520556</v>
          </cell>
        </row>
      </sheetData>
      <sheetData sheetId="38">
        <row r="3">
          <cell r="E3">
            <v>4387.8868950000005</v>
          </cell>
        </row>
        <row r="4">
          <cell r="E4">
            <v>4699.438905</v>
          </cell>
        </row>
        <row r="5">
          <cell r="E5">
            <v>4057.4529450000005</v>
          </cell>
        </row>
        <row r="6">
          <cell r="E6">
            <v>4387.8868950000005</v>
          </cell>
        </row>
        <row r="7">
          <cell r="E7">
            <v>4057.4529450000005</v>
          </cell>
        </row>
        <row r="8">
          <cell r="E8">
            <v>3769.5033600000006</v>
          </cell>
        </row>
        <row r="9">
          <cell r="E9">
            <v>4576.706295</v>
          </cell>
        </row>
      </sheetData>
      <sheetData sheetId="39">
        <row r="14">
          <cell r="H14">
            <v>32428.620000000003</v>
          </cell>
        </row>
        <row r="15">
          <cell r="H15">
            <v>37564.695</v>
          </cell>
        </row>
        <row r="16">
          <cell r="H16">
            <v>33572.07</v>
          </cell>
        </row>
        <row r="17">
          <cell r="H17">
            <v>38708.145000000004</v>
          </cell>
        </row>
        <row r="18">
          <cell r="H18">
            <v>32428.620000000003</v>
          </cell>
        </row>
        <row r="19">
          <cell r="H19">
            <v>37564.695</v>
          </cell>
        </row>
        <row r="20">
          <cell r="H20">
            <v>33572.07</v>
          </cell>
        </row>
        <row r="21">
          <cell r="H21">
            <v>38708.145000000004</v>
          </cell>
        </row>
        <row r="22">
          <cell r="H22">
            <v>32428.620000000003</v>
          </cell>
        </row>
        <row r="23">
          <cell r="H23">
            <v>37564.695</v>
          </cell>
        </row>
        <row r="24">
          <cell r="H24">
            <v>33572.07</v>
          </cell>
        </row>
        <row r="25">
          <cell r="H25">
            <v>38708.145000000004</v>
          </cell>
        </row>
        <row r="26">
          <cell r="H26">
            <v>5712.5250000000005</v>
          </cell>
        </row>
        <row r="27">
          <cell r="H27">
            <v>7072.380000000001</v>
          </cell>
        </row>
        <row r="28">
          <cell r="H28">
            <v>7072.380000000001</v>
          </cell>
        </row>
        <row r="29">
          <cell r="H29">
            <v>7072.380000000001</v>
          </cell>
        </row>
        <row r="30">
          <cell r="H30">
            <v>12936.105000000001</v>
          </cell>
        </row>
        <row r="31">
          <cell r="H31">
            <v>5145.5250000000005</v>
          </cell>
        </row>
        <row r="32">
          <cell r="H32">
            <v>5712.5250000000005</v>
          </cell>
        </row>
        <row r="33">
          <cell r="H33">
            <v>8576.82</v>
          </cell>
        </row>
        <row r="34">
          <cell r="H34">
            <v>14440.545</v>
          </cell>
        </row>
        <row r="35">
          <cell r="H35">
            <v>8576.82</v>
          </cell>
        </row>
        <row r="36">
          <cell r="H36">
            <v>14440.545</v>
          </cell>
        </row>
        <row r="37">
          <cell r="H37">
            <v>8103.375</v>
          </cell>
        </row>
        <row r="38">
          <cell r="H38">
            <v>13967.1</v>
          </cell>
        </row>
        <row r="39">
          <cell r="H39">
            <v>7358.7150000000001</v>
          </cell>
        </row>
        <row r="40">
          <cell r="H40">
            <v>7143.255000000001</v>
          </cell>
        </row>
        <row r="41">
          <cell r="H41">
            <v>8103.375</v>
          </cell>
        </row>
        <row r="42">
          <cell r="H42">
            <v>13967.1</v>
          </cell>
        </row>
        <row r="43">
          <cell r="H43">
            <v>8383.0949999999993</v>
          </cell>
        </row>
        <row r="44">
          <cell r="H44">
            <v>31982.579999999998</v>
          </cell>
        </row>
        <row r="45">
          <cell r="H45">
            <v>25462.079999999998</v>
          </cell>
        </row>
        <row r="46">
          <cell r="H46">
            <v>30598.154999999999</v>
          </cell>
        </row>
        <row r="47">
          <cell r="H47">
            <v>25106.760000000002</v>
          </cell>
        </row>
        <row r="48">
          <cell r="H48">
            <v>18379.305</v>
          </cell>
        </row>
        <row r="49">
          <cell r="H49">
            <v>13953.87</v>
          </cell>
        </row>
        <row r="50">
          <cell r="H50">
            <v>19089.945000000003</v>
          </cell>
        </row>
        <row r="51">
          <cell r="H51">
            <v>56579.985000000001</v>
          </cell>
        </row>
        <row r="52">
          <cell r="H52">
            <v>14234.535000000002</v>
          </cell>
        </row>
        <row r="53">
          <cell r="H53">
            <v>19370.61</v>
          </cell>
        </row>
        <row r="54">
          <cell r="H54">
            <v>17052.525000000001</v>
          </cell>
        </row>
        <row r="55">
          <cell r="H55">
            <v>51176.474999999999</v>
          </cell>
        </row>
        <row r="56">
          <cell r="H56">
            <v>660.55500000000006</v>
          </cell>
        </row>
        <row r="57">
          <cell r="H57">
            <v>48116.565000000002</v>
          </cell>
        </row>
        <row r="58">
          <cell r="H58">
            <v>8999.2350000000006</v>
          </cell>
        </row>
        <row r="59">
          <cell r="H59">
            <v>22365.314999999999</v>
          </cell>
        </row>
        <row r="60">
          <cell r="H60">
            <v>35730.450000000004</v>
          </cell>
        </row>
        <row r="61">
          <cell r="H61">
            <v>10784.34</v>
          </cell>
        </row>
        <row r="62">
          <cell r="H62">
            <v>20142.674999999999</v>
          </cell>
        </row>
        <row r="63">
          <cell r="H63">
            <v>29052.135000000002</v>
          </cell>
        </row>
        <row r="64">
          <cell r="H64">
            <v>29052.135000000002</v>
          </cell>
        </row>
        <row r="65">
          <cell r="H65">
            <v>31274.775000000001</v>
          </cell>
        </row>
        <row r="66">
          <cell r="H66">
            <v>31274.775000000001</v>
          </cell>
        </row>
        <row r="67">
          <cell r="H67">
            <v>37962.540000000008</v>
          </cell>
        </row>
        <row r="68">
          <cell r="H68">
            <v>49096.53</v>
          </cell>
        </row>
        <row r="69">
          <cell r="H69">
            <v>51327.675000000003</v>
          </cell>
        </row>
        <row r="70">
          <cell r="H70">
            <v>53551.26</v>
          </cell>
        </row>
        <row r="71">
          <cell r="H71">
            <v>55784.295000000006</v>
          </cell>
        </row>
        <row r="72">
          <cell r="H72">
            <v>64693.755000000005</v>
          </cell>
        </row>
        <row r="73">
          <cell r="H73">
            <v>66916.395000000004</v>
          </cell>
        </row>
        <row r="74">
          <cell r="H74">
            <v>75828.69</v>
          </cell>
        </row>
        <row r="75">
          <cell r="H75">
            <v>78059.835000000006</v>
          </cell>
        </row>
        <row r="76">
          <cell r="H76">
            <v>80282.475000000006</v>
          </cell>
        </row>
        <row r="77">
          <cell r="H77">
            <v>86971.184999999998</v>
          </cell>
        </row>
        <row r="78">
          <cell r="H78">
            <v>4923.45</v>
          </cell>
        </row>
        <row r="79">
          <cell r="H79">
            <v>10059.525</v>
          </cell>
        </row>
        <row r="80">
          <cell r="H80">
            <v>917.59500000000003</v>
          </cell>
        </row>
        <row r="81">
          <cell r="H81">
            <v>3898.125</v>
          </cell>
        </row>
        <row r="82">
          <cell r="H82">
            <v>2393.6849999999999</v>
          </cell>
        </row>
        <row r="83">
          <cell r="H83">
            <v>3092.9850000000001</v>
          </cell>
        </row>
        <row r="84">
          <cell r="H84">
            <v>3468.15</v>
          </cell>
        </row>
        <row r="85">
          <cell r="H85">
            <v>1253.0700000000002</v>
          </cell>
        </row>
        <row r="86">
          <cell r="H86">
            <v>243.81</v>
          </cell>
        </row>
        <row r="87">
          <cell r="H87">
            <v>5005.665</v>
          </cell>
        </row>
        <row r="88">
          <cell r="H88">
            <v>665.28000000000009</v>
          </cell>
        </row>
        <row r="89">
          <cell r="H89">
            <v>223.02</v>
          </cell>
        </row>
        <row r="90">
          <cell r="H90">
            <v>916.65000000000009</v>
          </cell>
        </row>
        <row r="91">
          <cell r="H91">
            <v>174.82500000000002</v>
          </cell>
        </row>
        <row r="92">
          <cell r="H92">
            <v>517.86</v>
          </cell>
        </row>
        <row r="93">
          <cell r="H93">
            <v>279.71999999999997</v>
          </cell>
        </row>
        <row r="94">
          <cell r="H94">
            <v>7937.0550000000003</v>
          </cell>
        </row>
        <row r="95">
          <cell r="H95">
            <v>1777.5450000000001</v>
          </cell>
        </row>
        <row r="96">
          <cell r="H96">
            <v>5005.665</v>
          </cell>
        </row>
        <row r="97">
          <cell r="H97">
            <v>174.82500000000002</v>
          </cell>
        </row>
        <row r="98">
          <cell r="H98">
            <v>517.86</v>
          </cell>
        </row>
        <row r="99">
          <cell r="H99">
            <v>279.71999999999997</v>
          </cell>
        </row>
        <row r="100">
          <cell r="H100">
            <v>7937.0550000000003</v>
          </cell>
        </row>
        <row r="101">
          <cell r="H101">
            <v>5005.665</v>
          </cell>
        </row>
        <row r="102">
          <cell r="H102">
            <v>1668.8700000000001</v>
          </cell>
        </row>
        <row r="103">
          <cell r="H103">
            <v>665.28000000000009</v>
          </cell>
        </row>
        <row r="104">
          <cell r="H104">
            <v>916.65000000000009</v>
          </cell>
        </row>
        <row r="105">
          <cell r="H105">
            <v>40.635000000000005</v>
          </cell>
        </row>
        <row r="106">
          <cell r="H106">
            <v>174.82500000000002</v>
          </cell>
        </row>
        <row r="107">
          <cell r="H107">
            <v>517.86</v>
          </cell>
        </row>
        <row r="108">
          <cell r="H108">
            <v>279.71999999999997</v>
          </cell>
        </row>
        <row r="109">
          <cell r="H109">
            <v>7937.0550000000003</v>
          </cell>
        </row>
        <row r="110">
          <cell r="H110">
            <v>5005.665</v>
          </cell>
        </row>
        <row r="111">
          <cell r="H111">
            <v>1668.8700000000001</v>
          </cell>
        </row>
        <row r="112">
          <cell r="H112">
            <v>665.28000000000009</v>
          </cell>
        </row>
        <row r="113">
          <cell r="H113">
            <v>916.65000000000009</v>
          </cell>
        </row>
        <row r="114">
          <cell r="H114">
            <v>40.635000000000005</v>
          </cell>
        </row>
        <row r="115">
          <cell r="H115">
            <v>174.82500000000002</v>
          </cell>
        </row>
        <row r="116">
          <cell r="H116">
            <v>517.86</v>
          </cell>
        </row>
        <row r="117">
          <cell r="H117">
            <v>279.71999999999997</v>
          </cell>
        </row>
        <row r="118">
          <cell r="H118">
            <v>7937.0550000000003</v>
          </cell>
        </row>
        <row r="119">
          <cell r="H119">
            <v>5005.665</v>
          </cell>
        </row>
        <row r="120">
          <cell r="H120">
            <v>3729.9150000000004</v>
          </cell>
        </row>
        <row r="121">
          <cell r="H121">
            <v>665.28000000000009</v>
          </cell>
        </row>
        <row r="122">
          <cell r="H122">
            <v>916.65000000000009</v>
          </cell>
        </row>
        <row r="123">
          <cell r="H123">
            <v>40.635000000000005</v>
          </cell>
        </row>
        <row r="124">
          <cell r="H124">
            <v>174.82500000000002</v>
          </cell>
        </row>
        <row r="125">
          <cell r="H125">
            <v>517.86</v>
          </cell>
        </row>
        <row r="126">
          <cell r="H126">
            <v>279.71999999999997</v>
          </cell>
        </row>
        <row r="127">
          <cell r="H127">
            <v>7937.0550000000003</v>
          </cell>
        </row>
        <row r="128">
          <cell r="H128">
            <v>5005.665</v>
          </cell>
        </row>
        <row r="129">
          <cell r="H129">
            <v>916.65000000000009</v>
          </cell>
        </row>
        <row r="130">
          <cell r="H130">
            <v>40.635000000000005</v>
          </cell>
        </row>
        <row r="131">
          <cell r="H131">
            <v>174.82500000000002</v>
          </cell>
        </row>
        <row r="132">
          <cell r="H132">
            <v>517.86</v>
          </cell>
        </row>
        <row r="133">
          <cell r="H133">
            <v>279.71999999999997</v>
          </cell>
        </row>
        <row r="134">
          <cell r="H134">
            <v>7937.0550000000003</v>
          </cell>
        </row>
        <row r="135">
          <cell r="H135">
            <v>28961.415000000001</v>
          </cell>
        </row>
        <row r="136">
          <cell r="H136">
            <v>12093.164999999999</v>
          </cell>
        </row>
        <row r="137">
          <cell r="H137">
            <v>23427.495000000003</v>
          </cell>
        </row>
        <row r="138">
          <cell r="H138">
            <v>35535.78</v>
          </cell>
        </row>
        <row r="139">
          <cell r="H139">
            <v>276.88499999999999</v>
          </cell>
        </row>
        <row r="140">
          <cell r="H140">
            <v>276.88499999999999</v>
          </cell>
        </row>
        <row r="141">
          <cell r="H141">
            <v>276.88499999999999</v>
          </cell>
        </row>
        <row r="142">
          <cell r="H142">
            <v>12010.005000000001</v>
          </cell>
        </row>
      </sheetData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A682-ECAF-4469-84FA-8F8063A8DAC5}">
  <sheetPr>
    <tabColor rgb="FF00B050"/>
    <pageSetUpPr fitToPage="1"/>
  </sheetPr>
  <dimension ref="A1:AA1703"/>
  <sheetViews>
    <sheetView tabSelected="1" topLeftCell="D1" zoomScale="70" zoomScaleNormal="70" workbookViewId="0">
      <pane ySplit="14" topLeftCell="A67" activePane="bottomLeft" state="frozen"/>
      <selection activeCell="F1" sqref="F1"/>
      <selection pane="bottomLeft" activeCell="L70" sqref="L70"/>
    </sheetView>
  </sheetViews>
  <sheetFormatPr defaultColWidth="9.109375" defaultRowHeight="18" customHeight="1" x14ac:dyDescent="0.3"/>
  <cols>
    <col min="1" max="1" width="12.77734375" bestFit="1" customWidth="1"/>
    <col min="2" max="2" width="15.77734375" bestFit="1" customWidth="1"/>
    <col min="3" max="3" width="16.44140625" bestFit="1" customWidth="1"/>
    <col min="4" max="4" width="13.77734375" bestFit="1" customWidth="1"/>
    <col min="5" max="5" width="17.44140625" bestFit="1" customWidth="1"/>
    <col min="6" max="6" width="9.33203125" bestFit="1" customWidth="1"/>
    <col min="7" max="9" width="20.77734375" customWidth="1"/>
    <col min="10" max="10" width="50.77734375" customWidth="1"/>
    <col min="11" max="11" width="20.77734375" customWidth="1"/>
    <col min="12" max="12" width="50.77734375" style="194" customWidth="1"/>
    <col min="13" max="13" width="9.44140625" customWidth="1"/>
    <col min="14" max="14" width="13.44140625" style="195" customWidth="1"/>
    <col min="15" max="15" width="9.6640625" customWidth="1"/>
    <col min="16" max="18" width="12" customWidth="1"/>
    <col min="19" max="19" width="12.109375" customWidth="1"/>
    <col min="20" max="20" width="11.33203125" customWidth="1"/>
    <col min="21" max="21" width="46.88671875" style="35" customWidth="1"/>
    <col min="22" max="22" width="8.44140625" style="27" customWidth="1"/>
    <col min="23" max="23" width="13" customWidth="1"/>
    <col min="24" max="24" width="9.109375" customWidth="1"/>
    <col min="25" max="25" width="9.109375" hidden="1" customWidth="1"/>
  </cols>
  <sheetData>
    <row r="1" spans="1:25" s="7" customFormat="1" ht="12.75" customHeight="1" x14ac:dyDescent="0.25">
      <c r="A1" s="1"/>
      <c r="B1" s="1"/>
      <c r="C1" s="1"/>
      <c r="D1" s="1"/>
      <c r="E1" s="1"/>
      <c r="F1" s="2" t="s">
        <v>0</v>
      </c>
      <c r="G1" s="196"/>
      <c r="H1" s="196"/>
      <c r="I1" s="196"/>
      <c r="J1" s="196"/>
      <c r="K1" s="196"/>
      <c r="L1" s="3"/>
      <c r="M1" s="4" t="s">
        <v>1</v>
      </c>
      <c r="N1" s="4"/>
      <c r="O1" s="4"/>
      <c r="P1" s="4"/>
      <c r="Q1" s="4"/>
      <c r="R1" s="4"/>
      <c r="S1" s="4"/>
      <c r="T1" s="4"/>
      <c r="U1" s="5" t="s">
        <v>2</v>
      </c>
      <c r="V1" s="6">
        <v>81</v>
      </c>
    </row>
    <row r="2" spans="1:25" s="7" customFormat="1" ht="12.75" customHeight="1" x14ac:dyDescent="0.25">
      <c r="A2" s="1"/>
      <c r="B2" s="1"/>
      <c r="C2" s="1"/>
      <c r="D2" s="1"/>
      <c r="E2" s="1"/>
      <c r="F2" s="8" t="s">
        <v>3</v>
      </c>
      <c r="G2" s="197"/>
      <c r="H2" s="197"/>
      <c r="I2" s="197"/>
      <c r="J2" s="197"/>
      <c r="K2" s="197"/>
      <c r="L2" s="9" t="s">
        <v>4</v>
      </c>
      <c r="M2" s="10" t="s">
        <v>5</v>
      </c>
      <c r="N2" s="10"/>
      <c r="O2" s="10"/>
      <c r="P2" s="10"/>
      <c r="Q2" s="10"/>
      <c r="R2" s="10"/>
      <c r="S2" s="10"/>
      <c r="T2" s="10"/>
      <c r="U2" s="5" t="s">
        <v>6</v>
      </c>
      <c r="V2" s="6">
        <v>95</v>
      </c>
    </row>
    <row r="3" spans="1:25" s="7" customFormat="1" ht="12.75" customHeight="1" x14ac:dyDescent="0.25">
      <c r="A3" s="1"/>
      <c r="B3" s="1"/>
      <c r="C3" s="1"/>
      <c r="D3" s="1"/>
      <c r="E3" s="1"/>
      <c r="F3" s="8" t="s">
        <v>7</v>
      </c>
      <c r="G3" s="197"/>
      <c r="H3" s="197"/>
      <c r="I3" s="197"/>
      <c r="J3" s="197"/>
      <c r="K3" s="197"/>
      <c r="L3" s="9" t="s">
        <v>8</v>
      </c>
      <c r="M3" s="10">
        <v>1900</v>
      </c>
      <c r="N3" s="10"/>
      <c r="O3" s="10"/>
      <c r="P3" s="10"/>
      <c r="Q3" s="10"/>
      <c r="R3" s="10"/>
      <c r="S3" s="10"/>
      <c r="T3" s="10"/>
      <c r="U3" s="5" t="s">
        <v>9</v>
      </c>
      <c r="V3" s="11">
        <v>0</v>
      </c>
    </row>
    <row r="4" spans="1:25" s="7" customFormat="1" ht="12.75" customHeight="1" x14ac:dyDescent="0.25">
      <c r="A4" s="1"/>
      <c r="B4" s="1"/>
      <c r="C4" s="1"/>
      <c r="D4" s="1"/>
      <c r="E4" s="1"/>
      <c r="F4" s="8" t="s">
        <v>10</v>
      </c>
      <c r="G4" s="197"/>
      <c r="H4" s="197"/>
      <c r="I4" s="197"/>
      <c r="J4" s="197"/>
      <c r="K4" s="197"/>
      <c r="L4" s="9" t="s">
        <v>10</v>
      </c>
      <c r="M4" s="10" t="s">
        <v>11</v>
      </c>
      <c r="N4" s="10"/>
      <c r="O4" s="10"/>
      <c r="P4" s="10"/>
      <c r="Q4" s="10"/>
      <c r="R4" s="10"/>
      <c r="S4" s="10"/>
      <c r="T4" s="10"/>
      <c r="U4" s="5" t="s">
        <v>12</v>
      </c>
      <c r="V4" s="6">
        <v>10.94</v>
      </c>
    </row>
    <row r="5" spans="1:25" s="7" customFormat="1" ht="12.75" customHeight="1" x14ac:dyDescent="0.25">
      <c r="A5" s="1"/>
      <c r="B5" s="1"/>
      <c r="C5" s="1"/>
      <c r="D5" s="1"/>
      <c r="E5" s="1"/>
      <c r="F5" s="8" t="s">
        <v>13</v>
      </c>
      <c r="G5" s="197"/>
      <c r="H5" s="197"/>
      <c r="I5" s="197"/>
      <c r="J5" s="197"/>
      <c r="K5" s="197"/>
      <c r="L5" s="9" t="s">
        <v>13</v>
      </c>
      <c r="M5" s="12"/>
      <c r="N5" s="12"/>
      <c r="O5" s="12"/>
      <c r="P5" s="12"/>
      <c r="Q5" s="12"/>
      <c r="R5" s="12"/>
      <c r="S5" s="12"/>
      <c r="T5" s="12"/>
      <c r="U5" s="13"/>
      <c r="V5" s="14"/>
    </row>
    <row r="6" spans="1:25" s="7" customFormat="1" ht="12.75" customHeight="1" x14ac:dyDescent="0.25">
      <c r="A6" s="1"/>
      <c r="B6" s="1"/>
      <c r="C6" s="1"/>
      <c r="D6" s="1"/>
      <c r="E6" s="1"/>
      <c r="F6" s="8" t="s">
        <v>14</v>
      </c>
      <c r="G6" s="197"/>
      <c r="H6" s="197"/>
      <c r="I6" s="197"/>
      <c r="J6" s="197"/>
      <c r="K6" s="197"/>
      <c r="L6" s="9" t="s">
        <v>14</v>
      </c>
      <c r="M6" s="15"/>
      <c r="N6" s="15"/>
      <c r="O6" s="15"/>
      <c r="P6" s="15"/>
      <c r="Q6" s="15"/>
      <c r="R6" s="15"/>
      <c r="S6" s="15"/>
      <c r="T6" s="15"/>
      <c r="U6" s="13"/>
      <c r="V6" s="14"/>
      <c r="W6" s="16"/>
    </row>
    <row r="7" spans="1:25" s="7" customFormat="1" ht="12.75" customHeight="1" x14ac:dyDescent="0.3">
      <c r="A7" s="1"/>
      <c r="B7" s="1"/>
      <c r="C7" s="1"/>
      <c r="D7" s="1"/>
      <c r="E7" s="1"/>
      <c r="F7" s="8" t="s">
        <v>15</v>
      </c>
      <c r="G7" s="197"/>
      <c r="H7" s="197"/>
      <c r="I7" s="197"/>
      <c r="J7" s="197"/>
      <c r="K7" s="197"/>
      <c r="L7" s="9" t="s">
        <v>15</v>
      </c>
      <c r="M7" s="17"/>
      <c r="N7" s="15"/>
      <c r="O7" s="15"/>
      <c r="P7" s="15"/>
      <c r="Q7" s="15"/>
      <c r="R7" s="15"/>
      <c r="S7" s="15"/>
      <c r="T7" s="15"/>
      <c r="U7" s="13"/>
      <c r="V7" s="14"/>
      <c r="W7" s="16"/>
    </row>
    <row r="8" spans="1:25" s="7" customFormat="1" ht="12.75" customHeight="1" x14ac:dyDescent="0.25">
      <c r="A8" s="1"/>
      <c r="B8" s="1"/>
      <c r="C8" s="1"/>
      <c r="D8" s="1"/>
      <c r="E8" s="1"/>
      <c r="F8" s="8" t="s">
        <v>16</v>
      </c>
      <c r="G8" s="197"/>
      <c r="H8" s="197"/>
      <c r="I8" s="197"/>
      <c r="J8" s="197"/>
      <c r="K8" s="197"/>
      <c r="L8" s="9" t="s">
        <v>16</v>
      </c>
      <c r="M8" s="15"/>
      <c r="N8" s="15"/>
      <c r="O8" s="15"/>
      <c r="P8" s="15"/>
      <c r="Q8" s="15"/>
      <c r="R8" s="15"/>
      <c r="S8" s="15"/>
      <c r="T8" s="15"/>
      <c r="U8" s="13"/>
      <c r="V8" s="14"/>
      <c r="W8" s="16"/>
    </row>
    <row r="9" spans="1:25" s="7" customFormat="1" ht="12.75" customHeight="1" x14ac:dyDescent="0.25">
      <c r="A9" s="1"/>
      <c r="B9" s="1"/>
      <c r="C9" s="1"/>
      <c r="D9" s="1"/>
      <c r="E9" s="1"/>
      <c r="F9" s="8" t="s">
        <v>17</v>
      </c>
      <c r="G9" s="197"/>
      <c r="H9" s="197"/>
      <c r="I9" s="197"/>
      <c r="J9" s="197"/>
      <c r="K9" s="197"/>
      <c r="L9" s="9" t="s">
        <v>17</v>
      </c>
      <c r="M9" s="15"/>
      <c r="N9" s="15"/>
      <c r="O9" s="15"/>
      <c r="P9" s="15"/>
      <c r="Q9" s="15"/>
      <c r="R9" s="15"/>
      <c r="S9" s="15"/>
      <c r="T9" s="15"/>
      <c r="U9" s="13"/>
      <c r="V9" s="14"/>
      <c r="W9" s="16"/>
    </row>
    <row r="10" spans="1:25" s="7" customFormat="1" ht="12.75" customHeight="1" x14ac:dyDescent="0.25">
      <c r="A10" s="1"/>
      <c r="B10" s="1"/>
      <c r="C10" s="1"/>
      <c r="D10" s="1"/>
      <c r="E10" s="1"/>
      <c r="F10" s="8" t="s">
        <v>18</v>
      </c>
      <c r="G10" s="197"/>
      <c r="H10" s="197"/>
      <c r="I10" s="197"/>
      <c r="J10" s="197"/>
      <c r="K10" s="197"/>
      <c r="L10" s="9" t="s">
        <v>18</v>
      </c>
      <c r="M10" s="15"/>
      <c r="N10" s="15"/>
      <c r="O10" s="15"/>
      <c r="P10" s="15"/>
      <c r="Q10" s="15"/>
      <c r="R10" s="15"/>
      <c r="S10" s="15"/>
      <c r="T10" s="15"/>
      <c r="U10" s="13"/>
      <c r="V10" s="14"/>
    </row>
    <row r="11" spans="1:25" s="7" customFormat="1" ht="12.75" customHeight="1" x14ac:dyDescent="0.25">
      <c r="A11" s="1"/>
      <c r="B11" s="1"/>
      <c r="C11" s="1"/>
      <c r="D11" s="1"/>
      <c r="E11" s="1"/>
      <c r="F11" s="8" t="s">
        <v>19</v>
      </c>
      <c r="G11" s="197"/>
      <c r="H11" s="197"/>
      <c r="I11" s="197"/>
      <c r="J11" s="197"/>
      <c r="K11" s="197"/>
      <c r="L11" s="9" t="s">
        <v>19</v>
      </c>
      <c r="M11" s="18"/>
      <c r="N11" s="18"/>
      <c r="O11" s="18"/>
      <c r="P11" s="18"/>
      <c r="Q11" s="18"/>
      <c r="R11" s="18"/>
      <c r="S11" s="18"/>
      <c r="T11" s="18"/>
      <c r="U11" s="13"/>
    </row>
    <row r="12" spans="1:25" s="7" customFormat="1" ht="9" customHeight="1" x14ac:dyDescent="0.25">
      <c r="Q12" s="19"/>
      <c r="R12" s="19"/>
      <c r="S12" s="19"/>
      <c r="T12" s="19"/>
      <c r="U12" s="13"/>
    </row>
    <row r="13" spans="1:25" s="7" customFormat="1" ht="12.75" hidden="1" customHeight="1" x14ac:dyDescent="0.25">
      <c r="Q13" s="20"/>
      <c r="R13" s="20"/>
      <c r="S13" s="20"/>
      <c r="T13" s="20"/>
      <c r="U13" s="21"/>
    </row>
    <row r="14" spans="1:25" ht="61.5" customHeight="1" x14ac:dyDescent="0.3">
      <c r="A14" s="22" t="s">
        <v>20</v>
      </c>
      <c r="B14" s="22" t="s">
        <v>21</v>
      </c>
      <c r="C14" s="22" t="s">
        <v>22</v>
      </c>
      <c r="D14" s="22" t="s">
        <v>23</v>
      </c>
      <c r="E14" s="22" t="s">
        <v>24</v>
      </c>
      <c r="F14" s="22" t="s">
        <v>25</v>
      </c>
      <c r="G14" s="22"/>
      <c r="H14" s="22"/>
      <c r="I14" s="22"/>
      <c r="J14" s="22"/>
      <c r="K14" s="22"/>
      <c r="L14" s="23" t="s">
        <v>26</v>
      </c>
      <c r="M14" s="24" t="s">
        <v>27</v>
      </c>
      <c r="N14" s="25" t="s">
        <v>28</v>
      </c>
      <c r="O14" s="26" t="s">
        <v>29</v>
      </c>
      <c r="P14" s="26" t="s">
        <v>30</v>
      </c>
      <c r="Q14" s="25" t="s">
        <v>31</v>
      </c>
      <c r="R14" s="25" t="s">
        <v>32</v>
      </c>
      <c r="S14" s="25" t="s">
        <v>33</v>
      </c>
      <c r="T14" s="25" t="s">
        <v>34</v>
      </c>
      <c r="U14" s="25" t="s">
        <v>35</v>
      </c>
      <c r="W14" s="28"/>
      <c r="Y14" t="s">
        <v>28</v>
      </c>
    </row>
    <row r="15" spans="1:25" ht="14.4" x14ac:dyDescent="0.3">
      <c r="A15" s="29" t="s">
        <v>36</v>
      </c>
      <c r="B15" s="29">
        <v>0</v>
      </c>
      <c r="C15" s="29"/>
      <c r="D15" s="29">
        <v>0</v>
      </c>
      <c r="E15" s="29" t="str">
        <f>CONCATENATE('Смета ЕР (общ) '!$A15,".",'Смета ЕР (общ) '!$B15,".",'Смета ЕР (общ) '!$D15)</f>
        <v>Р1.0.0</v>
      </c>
      <c r="F15" s="29">
        <v>1</v>
      </c>
      <c r="G15" s="29"/>
      <c r="H15" s="29"/>
      <c r="I15" s="29"/>
      <c r="J15" s="29"/>
      <c r="K15" s="29"/>
      <c r="L15" s="30" t="s">
        <v>37</v>
      </c>
      <c r="M15" s="31"/>
      <c r="N15" s="32">
        <f>N16</f>
        <v>0</v>
      </c>
      <c r="O15" s="33"/>
      <c r="P15" s="33"/>
      <c r="Q15" s="34"/>
      <c r="R15" s="34"/>
      <c r="S15" s="34">
        <f>ROUND(S16,2)</f>
        <v>0</v>
      </c>
      <c r="T15" s="34">
        <f>ROUND(T16,2)</f>
        <v>0</v>
      </c>
      <c r="Y15">
        <v>1498</v>
      </c>
    </row>
    <row r="16" spans="1:25" ht="48" x14ac:dyDescent="0.3">
      <c r="A16" s="29" t="s">
        <v>36</v>
      </c>
      <c r="B16" s="29">
        <v>1</v>
      </c>
      <c r="C16" s="29"/>
      <c r="D16" s="29">
        <v>0</v>
      </c>
      <c r="E16" s="29" t="str">
        <f>CONCATENATE('Смета ЕР (общ) '!$A16,".",'Смета ЕР (общ) '!$B16,".",'Смета ЕР (общ) '!$D16)</f>
        <v>Р1.1.0</v>
      </c>
      <c r="F16" s="29">
        <f>IF(N16&gt;0,F15+1,F15)</f>
        <v>1</v>
      </c>
      <c r="G16" s="29" t="s">
        <v>37</v>
      </c>
      <c r="H16" s="29" t="s">
        <v>38</v>
      </c>
      <c r="I16" s="29"/>
      <c r="J16" s="29"/>
      <c r="K16" s="29"/>
      <c r="L16" s="30" t="s">
        <v>38</v>
      </c>
      <c r="M16" s="31"/>
      <c r="N16" s="32">
        <f>SUM(N17:N108)</f>
        <v>0</v>
      </c>
      <c r="O16" s="33"/>
      <c r="P16" s="33"/>
      <c r="Q16" s="34"/>
      <c r="R16" s="34"/>
      <c r="S16" s="34">
        <f>SUM(S17:S108)</f>
        <v>0</v>
      </c>
      <c r="T16" s="34">
        <f>SUM(T17:T108)</f>
        <v>0</v>
      </c>
      <c r="Y16">
        <v>1498</v>
      </c>
    </row>
    <row r="17" spans="1:25" ht="48" x14ac:dyDescent="0.3">
      <c r="A17" s="36" t="s">
        <v>36</v>
      </c>
      <c r="B17" s="36">
        <v>1</v>
      </c>
      <c r="C17" s="36"/>
      <c r="D17" s="36">
        <v>1</v>
      </c>
      <c r="E17" s="36" t="str">
        <f>CONCATENATE('Смета ЕР (общ) '!$A17,".",'Смета ЕР (общ) '!$B17,".",'Смета ЕР (общ) '!$D17)</f>
        <v>Р1.1.1</v>
      </c>
      <c r="F17" s="36">
        <f t="shared" ref="F17:F80" si="0">IF(N17&gt;0,F16+1,F16)</f>
        <v>1</v>
      </c>
      <c r="G17" s="36" t="s">
        <v>37</v>
      </c>
      <c r="H17" s="36" t="s">
        <v>38</v>
      </c>
      <c r="I17" s="36"/>
      <c r="J17" s="36" t="s">
        <v>1745</v>
      </c>
      <c r="K17" s="36" t="s">
        <v>1744</v>
      </c>
      <c r="L17" s="37" t="s">
        <v>39</v>
      </c>
      <c r="M17" s="38" t="s">
        <v>40</v>
      </c>
      <c r="N17" s="39"/>
      <c r="O17" s="40">
        <f>'[1]Проектирование 100-450'!E36*1.05</f>
        <v>3675</v>
      </c>
      <c r="P17" s="40">
        <v>0</v>
      </c>
      <c r="Q17" s="40">
        <f t="shared" ref="Q17:R32" si="1">ROUND(O17-O17*$V$3,2)</f>
        <v>3675</v>
      </c>
      <c r="R17" s="40">
        <f t="shared" si="1"/>
        <v>0</v>
      </c>
      <c r="S17" s="40">
        <f>ROUND('Смета ЕР (общ) '!$N17*'Смета ЕР (общ) '!$Q17,2)</f>
        <v>0</v>
      </c>
      <c r="T17" s="40">
        <f>ROUND('Смета ЕР (общ) '!$N17*'Смета ЕР (общ) '!$R17,2)</f>
        <v>0</v>
      </c>
    </row>
    <row r="18" spans="1:25" ht="48" x14ac:dyDescent="0.3">
      <c r="A18" s="36" t="s">
        <v>36</v>
      </c>
      <c r="B18" s="36">
        <v>1</v>
      </c>
      <c r="C18" s="36"/>
      <c r="D18" s="36">
        <v>44</v>
      </c>
      <c r="E18" s="36" t="str">
        <f>CONCATENATE('Смета ЕР (общ) '!$A18,".",'Смета ЕР (общ) '!$B18,".",'Смета ЕР (общ) '!$D18)</f>
        <v>Р1.1.44</v>
      </c>
      <c r="F18" s="36">
        <f t="shared" si="0"/>
        <v>1</v>
      </c>
      <c r="G18" s="36" t="s">
        <v>37</v>
      </c>
      <c r="H18" s="36" t="s">
        <v>38</v>
      </c>
      <c r="I18" s="36"/>
      <c r="J18" s="36" t="s">
        <v>1748</v>
      </c>
      <c r="K18" s="36" t="s">
        <v>1747</v>
      </c>
      <c r="L18" s="37" t="s">
        <v>41</v>
      </c>
      <c r="M18" s="38" t="s">
        <v>40</v>
      </c>
      <c r="N18" s="39"/>
      <c r="O18" s="40">
        <f>'[1]Проектирование 100-450'!E37*1.05</f>
        <v>7822.5</v>
      </c>
      <c r="P18" s="40">
        <v>0</v>
      </c>
      <c r="Q18" s="40">
        <f t="shared" si="1"/>
        <v>7822.5</v>
      </c>
      <c r="R18" s="40">
        <f t="shared" si="1"/>
        <v>0</v>
      </c>
      <c r="S18" s="40">
        <f>ROUND('Смета ЕР (общ) '!$N18*'Смета ЕР (общ) '!$Q18,2)</f>
        <v>0</v>
      </c>
      <c r="T18" s="40">
        <f>ROUND('Смета ЕР (общ) '!$N18*'Смета ЕР (общ) '!$R18,2)</f>
        <v>0</v>
      </c>
    </row>
    <row r="19" spans="1:25" ht="36" x14ac:dyDescent="0.3">
      <c r="A19" s="36" t="s">
        <v>36</v>
      </c>
      <c r="B19" s="36">
        <v>1</v>
      </c>
      <c r="C19" s="36"/>
      <c r="D19" s="36">
        <v>2</v>
      </c>
      <c r="E19" s="36" t="str">
        <f>CONCATENATE('Смета ЕР (общ) '!$A19,".",'Смета ЕР (общ) '!$B19,".",'Смета ЕР (общ) '!$D19)</f>
        <v>Р1.1.2</v>
      </c>
      <c r="F19" s="36">
        <f t="shared" si="0"/>
        <v>1</v>
      </c>
      <c r="G19" s="36" t="s">
        <v>37</v>
      </c>
      <c r="H19" s="36" t="s">
        <v>38</v>
      </c>
      <c r="I19" s="36" t="s">
        <v>1761</v>
      </c>
      <c r="J19" s="36" t="s">
        <v>1749</v>
      </c>
      <c r="K19" s="36" t="s">
        <v>1744</v>
      </c>
      <c r="L19" s="37" t="s">
        <v>42</v>
      </c>
      <c r="M19" s="38" t="s">
        <v>40</v>
      </c>
      <c r="N19" s="39"/>
      <c r="O19" s="40">
        <f>'[1]Проектирование 100-450'!E18*1.05</f>
        <v>135.45000000000002</v>
      </c>
      <c r="P19" s="40">
        <v>0</v>
      </c>
      <c r="Q19" s="40">
        <f t="shared" si="1"/>
        <v>135.44999999999999</v>
      </c>
      <c r="R19" s="40">
        <f t="shared" si="1"/>
        <v>0</v>
      </c>
      <c r="S19" s="40">
        <f>ROUND('Смета ЕР (общ) '!$N19*'Смета ЕР (общ) '!$Q19,2)</f>
        <v>0</v>
      </c>
      <c r="T19" s="40">
        <f>ROUND('Смета ЕР (общ) '!$N19*'Смета ЕР (общ) '!$R19,2)</f>
        <v>0</v>
      </c>
    </row>
    <row r="20" spans="1:25" ht="48" customHeight="1" x14ac:dyDescent="0.3">
      <c r="A20" s="36" t="s">
        <v>36</v>
      </c>
      <c r="B20" s="36">
        <v>1</v>
      </c>
      <c r="C20" s="36"/>
      <c r="D20" s="36">
        <v>3</v>
      </c>
      <c r="E20" s="36" t="str">
        <f>CONCATENATE('Смета ЕР (общ) '!$A20,".",'Смета ЕР (общ) '!$B20,".",'Смета ЕР (общ) '!$D20)</f>
        <v>Р1.1.3</v>
      </c>
      <c r="F20" s="36">
        <f t="shared" si="0"/>
        <v>1</v>
      </c>
      <c r="G20" s="36" t="s">
        <v>37</v>
      </c>
      <c r="H20" s="36" t="s">
        <v>38</v>
      </c>
      <c r="I20" s="36" t="s">
        <v>1761</v>
      </c>
      <c r="J20" s="36" t="s">
        <v>1746</v>
      </c>
      <c r="K20" s="36" t="s">
        <v>1744</v>
      </c>
      <c r="L20" s="37" t="s">
        <v>43</v>
      </c>
      <c r="M20" s="38" t="s">
        <v>40</v>
      </c>
      <c r="N20" s="39"/>
      <c r="O20" s="40">
        <f>'[1]Проектирование 100-450'!E19*1.05</f>
        <v>389.55</v>
      </c>
      <c r="P20" s="40">
        <v>0</v>
      </c>
      <c r="Q20" s="40">
        <f t="shared" si="1"/>
        <v>389.55</v>
      </c>
      <c r="R20" s="40">
        <f t="shared" si="1"/>
        <v>0</v>
      </c>
      <c r="S20" s="40">
        <f>ROUND('Смета ЕР (общ) '!$N20*'Смета ЕР (общ) '!$Q20,2)</f>
        <v>0</v>
      </c>
      <c r="T20" s="40">
        <f>ROUND('Смета ЕР (общ) '!$N20*'Смета ЕР (общ) '!$R20,2)</f>
        <v>0</v>
      </c>
      <c r="Y20">
        <v>214</v>
      </c>
    </row>
    <row r="21" spans="1:25" ht="36" x14ac:dyDescent="0.3">
      <c r="A21" s="36" t="s">
        <v>36</v>
      </c>
      <c r="B21" s="36">
        <v>1</v>
      </c>
      <c r="C21" s="36"/>
      <c r="D21" s="36">
        <v>4</v>
      </c>
      <c r="E21" s="36" t="str">
        <f>CONCATENATE('Смета ЕР (общ) '!$A21,".",'Смета ЕР (общ) '!$B21,".",'Смета ЕР (общ) '!$D21)</f>
        <v>Р1.1.4</v>
      </c>
      <c r="F21" s="36">
        <f t="shared" si="0"/>
        <v>1</v>
      </c>
      <c r="G21" s="36" t="s">
        <v>37</v>
      </c>
      <c r="H21" s="36" t="s">
        <v>38</v>
      </c>
      <c r="I21" s="36" t="s">
        <v>1761</v>
      </c>
      <c r="J21" s="36" t="s">
        <v>1754</v>
      </c>
      <c r="K21" s="36" t="s">
        <v>1744</v>
      </c>
      <c r="L21" s="37" t="s">
        <v>44</v>
      </c>
      <c r="M21" s="38" t="s">
        <v>40</v>
      </c>
      <c r="N21" s="39"/>
      <c r="O21" s="40">
        <f>'[1]Проектирование 100-450'!E20*1.05</f>
        <v>258.3</v>
      </c>
      <c r="P21" s="40">
        <v>0</v>
      </c>
      <c r="Q21" s="40">
        <f t="shared" si="1"/>
        <v>258.3</v>
      </c>
      <c r="R21" s="40">
        <f t="shared" si="1"/>
        <v>0</v>
      </c>
      <c r="S21" s="40">
        <f>ROUND('Смета ЕР (общ) '!$N21*'Смета ЕР (общ) '!$Q21,2)</f>
        <v>0</v>
      </c>
      <c r="T21" s="40">
        <f>ROUND('Смета ЕР (общ) '!$N21*'Смета ЕР (общ) '!$R21,2)</f>
        <v>0</v>
      </c>
      <c r="Y21">
        <v>214</v>
      </c>
    </row>
    <row r="22" spans="1:25" ht="24" x14ac:dyDescent="0.3">
      <c r="A22" s="36" t="s">
        <v>36</v>
      </c>
      <c r="B22" s="36">
        <v>1</v>
      </c>
      <c r="C22" s="36"/>
      <c r="D22" s="36">
        <v>5</v>
      </c>
      <c r="E22" s="36" t="str">
        <f>CONCATENATE('Смета ЕР (общ) '!$A22,".",'Смета ЕР (общ) '!$B22,".",'Смета ЕР (общ) '!$D22)</f>
        <v>Р1.1.5</v>
      </c>
      <c r="F22" s="36">
        <f t="shared" si="0"/>
        <v>1</v>
      </c>
      <c r="G22" s="36" t="s">
        <v>37</v>
      </c>
      <c r="H22" s="36" t="s">
        <v>38</v>
      </c>
      <c r="I22" s="36" t="s">
        <v>1761</v>
      </c>
      <c r="J22" s="36" t="s">
        <v>1755</v>
      </c>
      <c r="K22" s="36" t="s">
        <v>1744</v>
      </c>
      <c r="L22" s="37" t="s">
        <v>45</v>
      </c>
      <c r="M22" s="38" t="s">
        <v>40</v>
      </c>
      <c r="N22" s="39"/>
      <c r="O22" s="40">
        <f>'[1]Проектирование 100-450'!E21*1.05</f>
        <v>202.65</v>
      </c>
      <c r="P22" s="40">
        <v>0</v>
      </c>
      <c r="Q22" s="40">
        <f t="shared" si="1"/>
        <v>202.65</v>
      </c>
      <c r="R22" s="40">
        <f t="shared" si="1"/>
        <v>0</v>
      </c>
      <c r="S22" s="40">
        <f>ROUND('Смета ЕР (общ) '!$N22*'Смета ЕР (общ) '!$Q22,2)</f>
        <v>0</v>
      </c>
      <c r="T22" s="40">
        <f>ROUND('Смета ЕР (общ) '!$N22*'Смета ЕР (общ) '!$R22,2)</f>
        <v>0</v>
      </c>
      <c r="Y22">
        <v>214</v>
      </c>
    </row>
    <row r="23" spans="1:25" ht="36" x14ac:dyDescent="0.3">
      <c r="A23" s="36" t="s">
        <v>36</v>
      </c>
      <c r="B23" s="36">
        <v>1</v>
      </c>
      <c r="C23" s="36"/>
      <c r="D23" s="36">
        <v>6</v>
      </c>
      <c r="E23" s="36" t="str">
        <f>CONCATENATE('Смета ЕР (общ) '!$A23,".",'Смета ЕР (общ) '!$B23,".",'Смета ЕР (общ) '!$D23)</f>
        <v>Р1.1.6</v>
      </c>
      <c r="F23" s="36">
        <f t="shared" si="0"/>
        <v>1</v>
      </c>
      <c r="G23" s="36" t="s">
        <v>37</v>
      </c>
      <c r="H23" s="36" t="s">
        <v>38</v>
      </c>
      <c r="I23" s="36" t="s">
        <v>1761</v>
      </c>
      <c r="J23" s="36" t="s">
        <v>1753</v>
      </c>
      <c r="K23" s="36" t="s">
        <v>1744</v>
      </c>
      <c r="L23" s="37" t="s">
        <v>46</v>
      </c>
      <c r="M23" s="38" t="s">
        <v>40</v>
      </c>
      <c r="N23" s="39"/>
      <c r="O23" s="40">
        <f>'[1]Проектирование 100-450'!E22*1.05</f>
        <v>159.4845</v>
      </c>
      <c r="P23" s="40">
        <v>0</v>
      </c>
      <c r="Q23" s="40">
        <f t="shared" si="1"/>
        <v>159.47999999999999</v>
      </c>
      <c r="R23" s="40">
        <f t="shared" si="1"/>
        <v>0</v>
      </c>
      <c r="S23" s="40">
        <f>ROUND('Смета ЕР (общ) '!$N23*'Смета ЕР (общ) '!$Q23,2)</f>
        <v>0</v>
      </c>
      <c r="T23" s="40">
        <f>ROUND('Смета ЕР (общ) '!$N23*'Смета ЕР (общ) '!$R23,2)</f>
        <v>0</v>
      </c>
      <c r="Y23">
        <v>214</v>
      </c>
    </row>
    <row r="24" spans="1:25" ht="36" x14ac:dyDescent="0.3">
      <c r="A24" s="36" t="s">
        <v>36</v>
      </c>
      <c r="B24" s="36">
        <v>1</v>
      </c>
      <c r="C24" s="36"/>
      <c r="D24" s="36">
        <v>7</v>
      </c>
      <c r="E24" s="36" t="str">
        <f>CONCATENATE('Смета ЕР (общ) '!$A24,".",'Смета ЕР (общ) '!$B24,".",'Смета ЕР (общ) '!$D24)</f>
        <v>Р1.1.7</v>
      </c>
      <c r="F24" s="36">
        <f t="shared" si="0"/>
        <v>1</v>
      </c>
      <c r="G24" s="36" t="s">
        <v>37</v>
      </c>
      <c r="H24" s="36" t="s">
        <v>38</v>
      </c>
      <c r="I24" s="36" t="s">
        <v>1761</v>
      </c>
      <c r="J24" s="36" t="s">
        <v>1756</v>
      </c>
      <c r="K24" s="36" t="s">
        <v>1744</v>
      </c>
      <c r="L24" s="37" t="s">
        <v>47</v>
      </c>
      <c r="M24" s="38" t="s">
        <v>40</v>
      </c>
      <c r="N24" s="39"/>
      <c r="O24" s="40">
        <f>'[1]Проектирование 100-450'!E23*1.05</f>
        <v>123.9</v>
      </c>
      <c r="P24" s="40">
        <v>0</v>
      </c>
      <c r="Q24" s="40">
        <f t="shared" si="1"/>
        <v>123.9</v>
      </c>
      <c r="R24" s="40">
        <f t="shared" si="1"/>
        <v>0</v>
      </c>
      <c r="S24" s="40">
        <f>ROUND('Смета ЕР (общ) '!$N24*'Смета ЕР (общ) '!$Q24,2)</f>
        <v>0</v>
      </c>
      <c r="T24" s="40">
        <f>ROUND('Смета ЕР (общ) '!$N24*'Смета ЕР (общ) '!$R24,2)</f>
        <v>0</v>
      </c>
      <c r="Y24">
        <v>214</v>
      </c>
    </row>
    <row r="25" spans="1:25" ht="36" x14ac:dyDescent="0.3">
      <c r="A25" s="36" t="s">
        <v>36</v>
      </c>
      <c r="B25" s="36">
        <v>1</v>
      </c>
      <c r="C25" s="36"/>
      <c r="D25" s="36">
        <v>8</v>
      </c>
      <c r="E25" s="36" t="str">
        <f>CONCATENATE('Смета ЕР (общ) '!$A25,".",'Смета ЕР (общ) '!$B25,".",'Смета ЕР (общ) '!$D25)</f>
        <v>Р1.1.8</v>
      </c>
      <c r="F25" s="36">
        <f t="shared" si="0"/>
        <v>1</v>
      </c>
      <c r="G25" s="36" t="s">
        <v>37</v>
      </c>
      <c r="H25" s="36" t="s">
        <v>38</v>
      </c>
      <c r="I25" s="36" t="s">
        <v>1761</v>
      </c>
      <c r="J25" s="36" t="s">
        <v>1757</v>
      </c>
      <c r="K25" s="36" t="s">
        <v>1744</v>
      </c>
      <c r="L25" s="37" t="s">
        <v>48</v>
      </c>
      <c r="M25" s="38" t="s">
        <v>40</v>
      </c>
      <c r="N25" s="39"/>
      <c r="O25" s="40">
        <f>'[1]Проектирование 100-450'!E24*1.05</f>
        <v>130.20000000000002</v>
      </c>
      <c r="P25" s="40">
        <v>0</v>
      </c>
      <c r="Q25" s="40">
        <f t="shared" si="1"/>
        <v>130.19999999999999</v>
      </c>
      <c r="R25" s="40">
        <f t="shared" si="1"/>
        <v>0</v>
      </c>
      <c r="S25" s="40">
        <f>ROUND('Смета ЕР (общ) '!$N25*'Смета ЕР (общ) '!$Q25,2)</f>
        <v>0</v>
      </c>
      <c r="T25" s="40">
        <f>ROUND('Смета ЕР (общ) '!$N25*'Смета ЕР (общ) '!$R25,2)</f>
        <v>0</v>
      </c>
      <c r="Y25">
        <v>214</v>
      </c>
    </row>
    <row r="26" spans="1:25" ht="48" x14ac:dyDescent="0.3">
      <c r="A26" s="36" t="s">
        <v>36</v>
      </c>
      <c r="B26" s="36">
        <v>1</v>
      </c>
      <c r="C26" s="36"/>
      <c r="D26" s="36">
        <v>9</v>
      </c>
      <c r="E26" s="36" t="str">
        <f>CONCATENATE('Смета ЕР (общ) '!$A26,".",'Смета ЕР (общ) '!$B26,".",'Смета ЕР (общ) '!$D26)</f>
        <v>Р1.1.9</v>
      </c>
      <c r="F26" s="36">
        <f t="shared" si="0"/>
        <v>1</v>
      </c>
      <c r="G26" s="36" t="s">
        <v>37</v>
      </c>
      <c r="H26" s="36" t="s">
        <v>38</v>
      </c>
      <c r="I26" s="36" t="s">
        <v>1761</v>
      </c>
      <c r="J26" s="36" t="s">
        <v>1758</v>
      </c>
      <c r="K26" s="36" t="s">
        <v>1744</v>
      </c>
      <c r="L26" s="37" t="s">
        <v>49</v>
      </c>
      <c r="M26" s="38" t="s">
        <v>40</v>
      </c>
      <c r="N26" s="39"/>
      <c r="O26" s="40">
        <f>'[1]Проектирование 100-450'!E25*1.05</f>
        <v>91.6755</v>
      </c>
      <c r="P26" s="40">
        <v>0</v>
      </c>
      <c r="Q26" s="40">
        <f t="shared" si="1"/>
        <v>91.68</v>
      </c>
      <c r="R26" s="40">
        <f t="shared" si="1"/>
        <v>0</v>
      </c>
      <c r="S26" s="40">
        <f>ROUND('Смета ЕР (общ) '!$N26*'Смета ЕР (общ) '!$Q26,2)</f>
        <v>0</v>
      </c>
      <c r="T26" s="40">
        <f>ROUND('Смета ЕР (общ) '!$N26*'Смета ЕР (общ) '!$R26,2)</f>
        <v>0</v>
      </c>
      <c r="U26" s="27"/>
    </row>
    <row r="27" spans="1:25" ht="36" x14ac:dyDescent="0.3">
      <c r="A27" s="36" t="s">
        <v>36</v>
      </c>
      <c r="B27" s="36">
        <v>1</v>
      </c>
      <c r="C27" s="36"/>
      <c r="D27" s="36">
        <v>43</v>
      </c>
      <c r="E27" s="36" t="str">
        <f>CONCATENATE('Смета ЕР (общ) '!$A27,".",'Смета ЕР (общ) '!$B27,".",'Смета ЕР (общ) '!$D27)</f>
        <v>Р1.1.43</v>
      </c>
      <c r="F27" s="36">
        <f t="shared" si="0"/>
        <v>1</v>
      </c>
      <c r="G27" s="36" t="s">
        <v>37</v>
      </c>
      <c r="H27" s="36" t="s">
        <v>38</v>
      </c>
      <c r="I27" s="36" t="s">
        <v>1761</v>
      </c>
      <c r="J27" s="36" t="s">
        <v>1759</v>
      </c>
      <c r="K27" s="36" t="s">
        <v>1744</v>
      </c>
      <c r="L27" s="37" t="s">
        <v>50</v>
      </c>
      <c r="M27" s="38" t="s">
        <v>40</v>
      </c>
      <c r="N27" s="39"/>
      <c r="O27" s="40">
        <f>'[1]Проектирование 100-450'!E26*1.05</f>
        <v>91.6755</v>
      </c>
      <c r="P27" s="40">
        <v>0</v>
      </c>
      <c r="Q27" s="40">
        <f t="shared" si="1"/>
        <v>91.68</v>
      </c>
      <c r="R27" s="40">
        <f t="shared" si="1"/>
        <v>0</v>
      </c>
      <c r="S27" s="40">
        <f>ROUND('Смета ЕР (общ) '!$N27*'Смета ЕР (общ) '!$Q27,2)</f>
        <v>0</v>
      </c>
      <c r="T27" s="40">
        <f>ROUND('Смета ЕР (общ) '!$N27*'Смета ЕР (общ) '!$R27,2)</f>
        <v>0</v>
      </c>
      <c r="U27" s="27"/>
    </row>
    <row r="28" spans="1:25" ht="24" x14ac:dyDescent="0.3">
      <c r="A28" s="36" t="s">
        <v>36</v>
      </c>
      <c r="B28" s="36">
        <v>1</v>
      </c>
      <c r="C28" s="36"/>
      <c r="D28" s="36">
        <v>10</v>
      </c>
      <c r="E28" s="36" t="str">
        <f>CONCATENATE('Смета ЕР (общ) '!$A28,".",'Смета ЕР (общ) '!$B28,".",'Смета ЕР (общ) '!$D28)</f>
        <v>Р1.1.10</v>
      </c>
      <c r="F28" s="36">
        <f t="shared" si="0"/>
        <v>1</v>
      </c>
      <c r="G28" s="36" t="s">
        <v>37</v>
      </c>
      <c r="H28" s="36" t="s">
        <v>38</v>
      </c>
      <c r="I28" s="36" t="s">
        <v>1761</v>
      </c>
      <c r="J28" s="36" t="s">
        <v>1760</v>
      </c>
      <c r="K28" s="36" t="s">
        <v>1744</v>
      </c>
      <c r="L28" s="37" t="s">
        <v>51</v>
      </c>
      <c r="M28" s="38" t="s">
        <v>40</v>
      </c>
      <c r="N28" s="39"/>
      <c r="O28" s="40">
        <f>'[1]Проектирование 100-450'!E27*1.05</f>
        <v>103.95</v>
      </c>
      <c r="P28" s="40">
        <v>0</v>
      </c>
      <c r="Q28" s="40">
        <f t="shared" si="1"/>
        <v>103.95</v>
      </c>
      <c r="R28" s="40">
        <f t="shared" si="1"/>
        <v>0</v>
      </c>
      <c r="S28" s="40">
        <f>ROUND('Смета ЕР (общ) '!$N28*'Смета ЕР (общ) '!$Q28,2)</f>
        <v>0</v>
      </c>
      <c r="T28" s="40">
        <f>ROUND('Смета ЕР (общ) '!$N28*'Смета ЕР (общ) '!$R28,2)</f>
        <v>0</v>
      </c>
      <c r="U28" s="27"/>
    </row>
    <row r="29" spans="1:25" ht="40.5" customHeight="1" x14ac:dyDescent="0.3">
      <c r="A29" s="41" t="s">
        <v>36</v>
      </c>
      <c r="B29" s="41">
        <v>1</v>
      </c>
      <c r="C29" s="41"/>
      <c r="D29" s="41">
        <v>11</v>
      </c>
      <c r="E29" s="41" t="str">
        <f>CONCATENATE('Смета ЕР (общ) '!$A29,".",'Смета ЕР (общ) '!$B29,".",'Смета ЕР (общ) '!$D29)</f>
        <v>Р1.1.11</v>
      </c>
      <c r="F29" s="41">
        <f t="shared" si="0"/>
        <v>1</v>
      </c>
      <c r="G29" s="41" t="s">
        <v>37</v>
      </c>
      <c r="H29" s="41" t="s">
        <v>38</v>
      </c>
      <c r="I29" s="41" t="s">
        <v>1761</v>
      </c>
      <c r="J29" s="41" t="s">
        <v>1762</v>
      </c>
      <c r="K29" s="41"/>
      <c r="L29" s="42" t="s">
        <v>52</v>
      </c>
      <c r="M29" s="38" t="s">
        <v>40</v>
      </c>
      <c r="N29" s="39"/>
      <c r="O29" s="40">
        <f>'[1]АПС, СОУЭ, ППА'!F13*1.05*0.1</f>
        <v>7.035000000000001</v>
      </c>
      <c r="P29" s="40">
        <v>0</v>
      </c>
      <c r="Q29" s="40">
        <f t="shared" si="1"/>
        <v>7.04</v>
      </c>
      <c r="R29" s="40">
        <f t="shared" si="1"/>
        <v>0</v>
      </c>
      <c r="S29" s="40">
        <f>ROUND('Смета ЕР (общ) '!$N29*'Смета ЕР (общ) '!$Q29,2)</f>
        <v>0</v>
      </c>
      <c r="T29" s="40">
        <f>ROUND('Смета ЕР (общ) '!$N29*'Смета ЕР (общ) '!$R29,2)</f>
        <v>0</v>
      </c>
      <c r="V29" s="35"/>
      <c r="W29" s="35"/>
    </row>
    <row r="30" spans="1:25" ht="40.5" customHeight="1" x14ac:dyDescent="0.3">
      <c r="A30" s="36" t="s">
        <v>36</v>
      </c>
      <c r="B30" s="36">
        <v>1</v>
      </c>
      <c r="C30" s="36"/>
      <c r="D30" s="36">
        <v>25</v>
      </c>
      <c r="E30" s="36" t="str">
        <f>CONCATENATE('Смета ЕР (общ) '!$A30,".",'Смета ЕР (общ) '!$B30,".",'Смета ЕР (общ) '!$D30)</f>
        <v>Р1.1.25</v>
      </c>
      <c r="F30" s="36">
        <f t="shared" si="0"/>
        <v>1</v>
      </c>
      <c r="G30" s="36" t="s">
        <v>37</v>
      </c>
      <c r="H30" s="36" t="s">
        <v>38</v>
      </c>
      <c r="I30" s="36" t="s">
        <v>1761</v>
      </c>
      <c r="J30" s="36" t="s">
        <v>1763</v>
      </c>
      <c r="K30" s="36"/>
      <c r="L30" s="37" t="s">
        <v>53</v>
      </c>
      <c r="M30" s="38" t="s">
        <v>40</v>
      </c>
      <c r="N30" s="39"/>
      <c r="O30" s="40">
        <f>'[1]АПС, СОУЭ, ППА'!F14*1.05*0.1</f>
        <v>4.0950000000000006</v>
      </c>
      <c r="P30" s="40">
        <v>0</v>
      </c>
      <c r="Q30" s="40">
        <f t="shared" si="1"/>
        <v>4.0999999999999996</v>
      </c>
      <c r="R30" s="40">
        <f t="shared" si="1"/>
        <v>0</v>
      </c>
      <c r="S30" s="40">
        <f>ROUND('Смета ЕР (общ) '!$N30*'Смета ЕР (общ) '!$Q30,2)</f>
        <v>0</v>
      </c>
      <c r="T30" s="40">
        <f>ROUND('Смета ЕР (общ) '!$N30*'Смета ЕР (общ) '!$R30,2)</f>
        <v>0</v>
      </c>
      <c r="V30" s="35"/>
      <c r="W30" s="35"/>
    </row>
    <row r="31" spans="1:25" ht="40.5" customHeight="1" x14ac:dyDescent="0.3">
      <c r="A31" s="36" t="s">
        <v>36</v>
      </c>
      <c r="B31" s="36">
        <v>1</v>
      </c>
      <c r="C31" s="36"/>
      <c r="D31" s="36">
        <v>26</v>
      </c>
      <c r="E31" s="36" t="str">
        <f>CONCATENATE('Смета ЕР (общ) '!$A31,".",'Смета ЕР (общ) '!$B31,".",'Смета ЕР (общ) '!$D31)</f>
        <v>Р1.1.26</v>
      </c>
      <c r="F31" s="36">
        <f t="shared" si="0"/>
        <v>1</v>
      </c>
      <c r="G31" s="36" t="s">
        <v>37</v>
      </c>
      <c r="H31" s="36" t="s">
        <v>38</v>
      </c>
      <c r="I31" s="36" t="s">
        <v>1761</v>
      </c>
      <c r="J31" s="36" t="s">
        <v>1764</v>
      </c>
      <c r="K31" s="36"/>
      <c r="L31" s="37" t="s">
        <v>54</v>
      </c>
      <c r="M31" s="38" t="s">
        <v>40</v>
      </c>
      <c r="N31" s="39"/>
      <c r="O31" s="40">
        <f>'[1]АПС, СОУЭ, ППА'!F16*1.05*0.1</f>
        <v>0.84000000000000008</v>
      </c>
      <c r="P31" s="40">
        <v>0</v>
      </c>
      <c r="Q31" s="40">
        <f t="shared" si="1"/>
        <v>0.84</v>
      </c>
      <c r="R31" s="40">
        <f t="shared" si="1"/>
        <v>0</v>
      </c>
      <c r="S31" s="40">
        <f>ROUND('Смета ЕР (общ) '!$N31*'Смета ЕР (общ) '!$Q31,2)</f>
        <v>0</v>
      </c>
      <c r="T31" s="40">
        <f>ROUND('Смета ЕР (общ) '!$N31*'Смета ЕР (общ) '!$R31,2)</f>
        <v>0</v>
      </c>
      <c r="V31" s="35"/>
      <c r="W31" s="35"/>
    </row>
    <row r="32" spans="1:25" ht="40.5" customHeight="1" x14ac:dyDescent="0.3">
      <c r="A32" s="36" t="s">
        <v>36</v>
      </c>
      <c r="B32" s="36">
        <v>1</v>
      </c>
      <c r="C32" s="36"/>
      <c r="D32" s="36">
        <v>29</v>
      </c>
      <c r="E32" s="36" t="str">
        <f>CONCATENATE('Смета ЕР (общ) '!$A32,".",'Смета ЕР (общ) '!$B32,".",'Смета ЕР (общ) '!$D32)</f>
        <v>Р1.1.29</v>
      </c>
      <c r="F32" s="36">
        <f t="shared" si="0"/>
        <v>1</v>
      </c>
      <c r="G32" s="36" t="s">
        <v>37</v>
      </c>
      <c r="H32" s="36" t="s">
        <v>38</v>
      </c>
      <c r="I32" s="36" t="s">
        <v>1761</v>
      </c>
      <c r="J32" s="36" t="s">
        <v>1765</v>
      </c>
      <c r="K32" s="36"/>
      <c r="L32" s="37" t="s">
        <v>55</v>
      </c>
      <c r="M32" s="38" t="s">
        <v>40</v>
      </c>
      <c r="N32" s="39"/>
      <c r="O32" s="40">
        <f>'[1]АПС, СОУЭ, ППА'!F17*1.05*0.1</f>
        <v>2.625</v>
      </c>
      <c r="P32" s="40">
        <v>0</v>
      </c>
      <c r="Q32" s="40">
        <f t="shared" si="1"/>
        <v>2.63</v>
      </c>
      <c r="R32" s="40">
        <f t="shared" si="1"/>
        <v>0</v>
      </c>
      <c r="S32" s="40">
        <f>ROUND('Смета ЕР (общ) '!$N32*'Смета ЕР (общ) '!$Q32,2)</f>
        <v>0</v>
      </c>
      <c r="T32" s="40">
        <f>ROUND('Смета ЕР (общ) '!$N32*'Смета ЕР (общ) '!$R32,2)</f>
        <v>0</v>
      </c>
      <c r="V32" s="35"/>
      <c r="W32" s="35"/>
    </row>
    <row r="33" spans="1:23" ht="40.5" customHeight="1" x14ac:dyDescent="0.3">
      <c r="A33" s="36" t="s">
        <v>36</v>
      </c>
      <c r="B33" s="36">
        <v>1</v>
      </c>
      <c r="C33" s="36"/>
      <c r="D33" s="36">
        <v>30</v>
      </c>
      <c r="E33" s="36" t="str">
        <f>CONCATENATE('Смета ЕР (общ) '!$A33,".",'Смета ЕР (общ) '!$B33,".",'Смета ЕР (общ) '!$D33)</f>
        <v>Р1.1.30</v>
      </c>
      <c r="F33" s="36">
        <f t="shared" si="0"/>
        <v>1</v>
      </c>
      <c r="G33" s="36" t="s">
        <v>37</v>
      </c>
      <c r="H33" s="36" t="s">
        <v>38</v>
      </c>
      <c r="I33" s="36" t="s">
        <v>1761</v>
      </c>
      <c r="J33" s="36" t="s">
        <v>1766</v>
      </c>
      <c r="K33" s="36"/>
      <c r="L33" s="37" t="s">
        <v>56</v>
      </c>
      <c r="M33" s="38" t="s">
        <v>40</v>
      </c>
      <c r="N33" s="39"/>
      <c r="O33" s="40">
        <f>'[1]АПС, СОУЭ, ППА'!F18*1.05*0.1</f>
        <v>0.31500000000000006</v>
      </c>
      <c r="P33" s="40">
        <v>0</v>
      </c>
      <c r="Q33" s="40">
        <f t="shared" ref="Q33:R48" si="2">ROUND(O33-O33*$V$3,2)</f>
        <v>0.32</v>
      </c>
      <c r="R33" s="40">
        <f t="shared" si="2"/>
        <v>0</v>
      </c>
      <c r="S33" s="40">
        <f>ROUND('Смета ЕР (общ) '!$N33*'Смета ЕР (общ) '!$Q33,2)</f>
        <v>0</v>
      </c>
      <c r="T33" s="40">
        <f>ROUND('Смета ЕР (общ) '!$N33*'Смета ЕР (общ) '!$R33,2)</f>
        <v>0</v>
      </c>
      <c r="V33" s="35"/>
      <c r="W33" s="35"/>
    </row>
    <row r="34" spans="1:23" ht="40.5" customHeight="1" x14ac:dyDescent="0.3">
      <c r="A34" s="36" t="s">
        <v>36</v>
      </c>
      <c r="B34" s="36">
        <v>1</v>
      </c>
      <c r="C34" s="36"/>
      <c r="D34" s="36">
        <v>31</v>
      </c>
      <c r="E34" s="36" t="str">
        <f>CONCATENATE('Смета ЕР (общ) '!$A34,".",'Смета ЕР (общ) '!$B34,".",'Смета ЕР (общ) '!$D34)</f>
        <v>Р1.1.31</v>
      </c>
      <c r="F34" s="36">
        <f t="shared" si="0"/>
        <v>1</v>
      </c>
      <c r="G34" s="36" t="s">
        <v>37</v>
      </c>
      <c r="H34" s="36" t="s">
        <v>38</v>
      </c>
      <c r="I34" s="36" t="s">
        <v>1761</v>
      </c>
      <c r="J34" s="36" t="s">
        <v>1767</v>
      </c>
      <c r="K34" s="36"/>
      <c r="L34" s="37" t="s">
        <v>57</v>
      </c>
      <c r="M34" s="38" t="s">
        <v>40</v>
      </c>
      <c r="N34" s="39"/>
      <c r="O34" s="40">
        <f>'[1]АПС, СОУЭ, ППА'!F19*1.05*0.1</f>
        <v>0.10500000000000001</v>
      </c>
      <c r="P34" s="40">
        <v>0</v>
      </c>
      <c r="Q34" s="40">
        <f t="shared" si="2"/>
        <v>0.11</v>
      </c>
      <c r="R34" s="40">
        <f t="shared" si="2"/>
        <v>0</v>
      </c>
      <c r="S34" s="40">
        <f>ROUND('Смета ЕР (общ) '!$N34*'Смета ЕР (общ) '!$Q34,2)</f>
        <v>0</v>
      </c>
      <c r="T34" s="40">
        <f>ROUND('Смета ЕР (общ) '!$N34*'Смета ЕР (общ) '!$R34,2)</f>
        <v>0</v>
      </c>
      <c r="V34" s="35"/>
      <c r="W34" s="35"/>
    </row>
    <row r="35" spans="1:23" ht="40.5" customHeight="1" x14ac:dyDescent="0.3">
      <c r="A35" s="36" t="s">
        <v>36</v>
      </c>
      <c r="B35" s="36">
        <v>1</v>
      </c>
      <c r="C35" s="36"/>
      <c r="D35" s="36">
        <v>33</v>
      </c>
      <c r="E35" s="36" t="str">
        <f>CONCATENATE('Смета ЕР (общ) '!$A35,".",'Смета ЕР (общ) '!$B35,".",'Смета ЕР (общ) '!$D35)</f>
        <v>Р1.1.33</v>
      </c>
      <c r="F35" s="36">
        <f t="shared" si="0"/>
        <v>1</v>
      </c>
      <c r="G35" s="36" t="s">
        <v>37</v>
      </c>
      <c r="H35" s="36" t="s">
        <v>38</v>
      </c>
      <c r="I35" s="36" t="s">
        <v>1761</v>
      </c>
      <c r="J35" s="36" t="s">
        <v>58</v>
      </c>
      <c r="K35" s="36"/>
      <c r="L35" s="37" t="s">
        <v>58</v>
      </c>
      <c r="M35" s="38" t="s">
        <v>40</v>
      </c>
      <c r="N35" s="39"/>
      <c r="O35" s="40">
        <f>'[1]АПС, СОУЭ, ППА'!F20*1.05*0.1</f>
        <v>0.10500000000000001</v>
      </c>
      <c r="P35" s="40">
        <v>0</v>
      </c>
      <c r="Q35" s="40">
        <f t="shared" si="2"/>
        <v>0.11</v>
      </c>
      <c r="R35" s="40">
        <f t="shared" si="2"/>
        <v>0</v>
      </c>
      <c r="S35" s="40">
        <f>ROUND('Смета ЕР (общ) '!$N35*'Смета ЕР (общ) '!$Q35,2)</f>
        <v>0</v>
      </c>
      <c r="T35" s="40">
        <f>ROUND('Смета ЕР (общ) '!$N35*'Смета ЕР (общ) '!$R35,2)</f>
        <v>0</v>
      </c>
      <c r="V35" s="35"/>
      <c r="W35" s="35"/>
    </row>
    <row r="36" spans="1:23" ht="40.5" customHeight="1" x14ac:dyDescent="0.3">
      <c r="A36" s="36" t="s">
        <v>36</v>
      </c>
      <c r="B36" s="36">
        <v>1</v>
      </c>
      <c r="C36" s="36"/>
      <c r="D36" s="36">
        <v>36</v>
      </c>
      <c r="E36" s="36" t="str">
        <f>CONCATENATE('Смета ЕР (общ) '!$A36,".",'Смета ЕР (общ) '!$B36,".",'Смета ЕР (общ) '!$D36)</f>
        <v>Р1.1.36</v>
      </c>
      <c r="F36" s="36">
        <f t="shared" si="0"/>
        <v>1</v>
      </c>
      <c r="G36" s="36" t="s">
        <v>37</v>
      </c>
      <c r="H36" s="36" t="s">
        <v>38</v>
      </c>
      <c r="I36" s="36" t="s">
        <v>1761</v>
      </c>
      <c r="J36" s="36" t="s">
        <v>1768</v>
      </c>
      <c r="K36" s="36"/>
      <c r="L36" s="37" t="s">
        <v>59</v>
      </c>
      <c r="M36" s="38" t="s">
        <v>40</v>
      </c>
      <c r="N36" s="39"/>
      <c r="O36" s="40">
        <f>'[1]АПС, СОУЭ, ППА'!F21*1.05*0.1</f>
        <v>0.10500000000000001</v>
      </c>
      <c r="P36" s="40">
        <v>0</v>
      </c>
      <c r="Q36" s="40">
        <f t="shared" si="2"/>
        <v>0.11</v>
      </c>
      <c r="R36" s="40">
        <f t="shared" si="2"/>
        <v>0</v>
      </c>
      <c r="S36" s="40">
        <f>ROUND('Смета ЕР (общ) '!$N36*'Смета ЕР (общ) '!$Q36,2)</f>
        <v>0</v>
      </c>
      <c r="T36" s="40">
        <f>ROUND('Смета ЕР (общ) '!$N36*'Смета ЕР (общ) '!$R36,2)</f>
        <v>0</v>
      </c>
      <c r="V36" s="35"/>
      <c r="W36" s="35"/>
    </row>
    <row r="37" spans="1:23" ht="40.5" customHeight="1" x14ac:dyDescent="0.3">
      <c r="A37" s="36" t="s">
        <v>36</v>
      </c>
      <c r="B37" s="36">
        <v>1</v>
      </c>
      <c r="C37" s="36"/>
      <c r="D37" s="36">
        <v>37</v>
      </c>
      <c r="E37" s="36" t="str">
        <f>CONCATENATE('Смета ЕР (общ) '!$A37,".",'Смета ЕР (общ) '!$B37,".",'Смета ЕР (общ) '!$D37)</f>
        <v>Р1.1.37</v>
      </c>
      <c r="F37" s="36">
        <f t="shared" si="0"/>
        <v>1</v>
      </c>
      <c r="G37" s="36" t="s">
        <v>37</v>
      </c>
      <c r="H37" s="36" t="s">
        <v>38</v>
      </c>
      <c r="I37" s="36"/>
      <c r="J37" s="36" t="s">
        <v>1789</v>
      </c>
      <c r="K37" s="36" t="s">
        <v>1771</v>
      </c>
      <c r="L37" s="37" t="s">
        <v>60</v>
      </c>
      <c r="M37" s="38" t="s">
        <v>40</v>
      </c>
      <c r="N37" s="39"/>
      <c r="O37" s="40">
        <f>'[1]Проектирование до 100'!E35*1.05</f>
        <v>3675</v>
      </c>
      <c r="P37" s="40">
        <v>0</v>
      </c>
      <c r="Q37" s="40">
        <f t="shared" si="2"/>
        <v>3675</v>
      </c>
      <c r="R37" s="40">
        <f t="shared" si="2"/>
        <v>0</v>
      </c>
      <c r="S37" s="40">
        <f>ROUND('Смета ЕР (общ) '!$N37*'Смета ЕР (общ) '!$Q37,2)</f>
        <v>0</v>
      </c>
      <c r="T37" s="40">
        <f>ROUND('Смета ЕР (общ) '!$N37*'Смета ЕР (общ) '!$R37,2)</f>
        <v>0</v>
      </c>
      <c r="V37" s="35"/>
      <c r="W37" s="35"/>
    </row>
    <row r="38" spans="1:23" ht="40.5" customHeight="1" x14ac:dyDescent="0.3">
      <c r="A38" s="36" t="s">
        <v>36</v>
      </c>
      <c r="B38" s="36">
        <v>1</v>
      </c>
      <c r="C38" s="36"/>
      <c r="D38" s="36">
        <v>45</v>
      </c>
      <c r="E38" s="36" t="str">
        <f>CONCATENATE('Смета ЕР (общ) '!$A38,".",'Смета ЕР (общ) '!$B38,".",'Смета ЕР (общ) '!$D38)</f>
        <v>Р1.1.45</v>
      </c>
      <c r="F38" s="36">
        <f t="shared" si="0"/>
        <v>1</v>
      </c>
      <c r="G38" s="36" t="s">
        <v>37</v>
      </c>
      <c r="H38" s="36" t="s">
        <v>38</v>
      </c>
      <c r="I38" s="36"/>
      <c r="J38" s="36" t="s">
        <v>1770</v>
      </c>
      <c r="K38" s="36" t="s">
        <v>1769</v>
      </c>
      <c r="L38" s="37" t="s">
        <v>61</v>
      </c>
      <c r="M38" s="38" t="s">
        <v>62</v>
      </c>
      <c r="N38" s="39"/>
      <c r="O38" s="40">
        <f>'[1]Проектирование до 100'!E36*1.05</f>
        <v>7822.5</v>
      </c>
      <c r="P38" s="40">
        <v>0</v>
      </c>
      <c r="Q38" s="40">
        <f t="shared" si="2"/>
        <v>7822.5</v>
      </c>
      <c r="R38" s="40">
        <f t="shared" si="2"/>
        <v>0</v>
      </c>
      <c r="S38" s="40">
        <f>ROUND('Смета ЕР (общ) '!$N38*'Смета ЕР (общ) '!$Q38,2)</f>
        <v>0</v>
      </c>
      <c r="T38" s="40">
        <f>ROUND('Смета ЕР (общ) '!$N38*'Смета ЕР (общ) '!$R38,2)</f>
        <v>0</v>
      </c>
      <c r="U38" s="27"/>
      <c r="V38"/>
    </row>
    <row r="39" spans="1:23" ht="40.5" customHeight="1" x14ac:dyDescent="0.3">
      <c r="A39" s="36" t="s">
        <v>36</v>
      </c>
      <c r="B39" s="36">
        <v>1</v>
      </c>
      <c r="C39" s="36"/>
      <c r="D39" s="36">
        <v>46</v>
      </c>
      <c r="E39" s="36" t="str">
        <f>CONCATENATE('Смета ЕР (общ) '!$A39,".",'Смета ЕР (общ) '!$B39,".",'Смета ЕР (общ) '!$D39)</f>
        <v>Р1.1.46</v>
      </c>
      <c r="F39" s="36">
        <f t="shared" si="0"/>
        <v>1</v>
      </c>
      <c r="G39" s="36" t="s">
        <v>37</v>
      </c>
      <c r="H39" s="36" t="s">
        <v>38</v>
      </c>
      <c r="I39" s="36" t="s">
        <v>1761</v>
      </c>
      <c r="J39" s="36" t="s">
        <v>1749</v>
      </c>
      <c r="K39" s="36" t="s">
        <v>1771</v>
      </c>
      <c r="L39" s="37" t="s">
        <v>63</v>
      </c>
      <c r="M39" s="38" t="s">
        <v>64</v>
      </c>
      <c r="N39" s="39"/>
      <c r="O39" s="40">
        <f>'[1]Проектирование до 100'!E17*1.05</f>
        <v>10500</v>
      </c>
      <c r="P39" s="40">
        <v>0</v>
      </c>
      <c r="Q39" s="40">
        <f t="shared" si="2"/>
        <v>10500</v>
      </c>
      <c r="R39" s="40">
        <f t="shared" si="2"/>
        <v>0</v>
      </c>
      <c r="S39" s="40">
        <f>ROUND('Смета ЕР (общ) '!$N39*'Смета ЕР (общ) '!$Q39,2)</f>
        <v>0</v>
      </c>
      <c r="T39" s="40">
        <f>ROUND('Смета ЕР (общ) '!$N39*'Смета ЕР (общ) '!$R39,2)</f>
        <v>0</v>
      </c>
    </row>
    <row r="40" spans="1:23" ht="40.5" customHeight="1" x14ac:dyDescent="0.3">
      <c r="A40" s="36" t="s">
        <v>36</v>
      </c>
      <c r="B40" s="36">
        <v>1</v>
      </c>
      <c r="C40" s="36"/>
      <c r="D40" s="36">
        <v>47</v>
      </c>
      <c r="E40" s="36" t="str">
        <f>CONCATENATE('Смета ЕР (общ) '!$A40,".",'Смета ЕР (общ) '!$B40,".",'Смета ЕР (общ) '!$D40)</f>
        <v>Р1.1.47</v>
      </c>
      <c r="F40" s="36">
        <f t="shared" si="0"/>
        <v>1</v>
      </c>
      <c r="G40" s="36" t="s">
        <v>37</v>
      </c>
      <c r="H40" s="36" t="s">
        <v>38</v>
      </c>
      <c r="I40" s="36" t="s">
        <v>1761</v>
      </c>
      <c r="J40" s="36" t="s">
        <v>1750</v>
      </c>
      <c r="K40" s="36" t="s">
        <v>1771</v>
      </c>
      <c r="L40" s="37" t="s">
        <v>65</v>
      </c>
      <c r="M40" s="38" t="s">
        <v>64</v>
      </c>
      <c r="N40" s="39"/>
      <c r="O40" s="40">
        <f>'[1]Проектирование до 100'!E18*1.05</f>
        <v>20737.5</v>
      </c>
      <c r="P40" s="40">
        <v>0</v>
      </c>
      <c r="Q40" s="40">
        <f t="shared" si="2"/>
        <v>20737.5</v>
      </c>
      <c r="R40" s="40">
        <f t="shared" si="2"/>
        <v>0</v>
      </c>
      <c r="S40" s="40">
        <f>ROUND('Смета ЕР (общ) '!$N40*'Смета ЕР (общ) '!$Q40,2)</f>
        <v>0</v>
      </c>
      <c r="T40" s="40">
        <f>ROUND('Смета ЕР (общ) '!$N40*'Смета ЕР (общ) '!$R40,2)</f>
        <v>0</v>
      </c>
    </row>
    <row r="41" spans="1:23" ht="40.5" customHeight="1" x14ac:dyDescent="0.3">
      <c r="A41" s="36" t="s">
        <v>36</v>
      </c>
      <c r="B41" s="36">
        <v>1</v>
      </c>
      <c r="C41" s="36"/>
      <c r="D41" s="36">
        <v>48</v>
      </c>
      <c r="E41" s="36" t="str">
        <f>CONCATENATE('Смета ЕР (общ) '!$A41,".",'Смета ЕР (общ) '!$B41,".",'Смета ЕР (общ) '!$D41)</f>
        <v>Р1.1.48</v>
      </c>
      <c r="F41" s="36">
        <f t="shared" si="0"/>
        <v>1</v>
      </c>
      <c r="G41" s="36" t="s">
        <v>37</v>
      </c>
      <c r="H41" s="36" t="s">
        <v>38</v>
      </c>
      <c r="I41" s="36" t="s">
        <v>1761</v>
      </c>
      <c r="J41" s="36" t="s">
        <v>1751</v>
      </c>
      <c r="K41" s="36" t="s">
        <v>1771</v>
      </c>
      <c r="L41" s="37" t="s">
        <v>66</v>
      </c>
      <c r="M41" s="38" t="s">
        <v>64</v>
      </c>
      <c r="N41" s="39"/>
      <c r="O41" s="40">
        <f>'[1]Проектирование до 100'!E19*1.05</f>
        <v>20737.5</v>
      </c>
      <c r="P41" s="40">
        <v>0</v>
      </c>
      <c r="Q41" s="40">
        <f t="shared" si="2"/>
        <v>20737.5</v>
      </c>
      <c r="R41" s="40">
        <f t="shared" si="2"/>
        <v>0</v>
      </c>
      <c r="S41" s="40">
        <f>ROUND('Смета ЕР (общ) '!$N41*'Смета ЕР (общ) '!$Q41,2)</f>
        <v>0</v>
      </c>
      <c r="T41" s="40">
        <f>ROUND('Смета ЕР (общ) '!$N41*'Смета ЕР (общ) '!$R41,2)</f>
        <v>0</v>
      </c>
    </row>
    <row r="42" spans="1:23" ht="40.5" customHeight="1" x14ac:dyDescent="0.3">
      <c r="A42" s="36" t="s">
        <v>36</v>
      </c>
      <c r="B42" s="36">
        <v>1</v>
      </c>
      <c r="C42" s="36"/>
      <c r="D42" s="36">
        <v>49</v>
      </c>
      <c r="E42" s="36" t="str">
        <f>CONCATENATE('Смета ЕР (общ) '!$A42,".",'Смета ЕР (общ) '!$B42,".",'Смета ЕР (общ) '!$D42)</f>
        <v>Р1.1.49</v>
      </c>
      <c r="F42" s="36">
        <f t="shared" si="0"/>
        <v>1</v>
      </c>
      <c r="G42" s="36" t="s">
        <v>37</v>
      </c>
      <c r="H42" s="36" t="s">
        <v>38</v>
      </c>
      <c r="I42" s="36" t="s">
        <v>1761</v>
      </c>
      <c r="J42" s="36" t="s">
        <v>1752</v>
      </c>
      <c r="K42" s="36" t="s">
        <v>1771</v>
      </c>
      <c r="L42" s="37" t="s">
        <v>67</v>
      </c>
      <c r="M42" s="38" t="s">
        <v>64</v>
      </c>
      <c r="N42" s="39"/>
      <c r="O42" s="40">
        <f>'[1]Проектирование до 100'!E20*1.05</f>
        <v>15592.5</v>
      </c>
      <c r="P42" s="40">
        <v>0</v>
      </c>
      <c r="Q42" s="40">
        <f t="shared" si="2"/>
        <v>15592.5</v>
      </c>
      <c r="R42" s="40">
        <f t="shared" si="2"/>
        <v>0</v>
      </c>
      <c r="S42" s="40">
        <f>ROUND('Смета ЕР (общ) '!$N42*'Смета ЕР (общ) '!$Q42,2)</f>
        <v>0</v>
      </c>
      <c r="T42" s="40">
        <f>ROUND('Смета ЕР (общ) '!$N42*'Смета ЕР (общ) '!$R42,2)</f>
        <v>0</v>
      </c>
    </row>
    <row r="43" spans="1:23" ht="40.5" customHeight="1" x14ac:dyDescent="0.3">
      <c r="A43" s="36" t="s">
        <v>36</v>
      </c>
      <c r="B43" s="36">
        <v>1</v>
      </c>
      <c r="C43" s="36"/>
      <c r="D43" s="36">
        <v>50</v>
      </c>
      <c r="E43" s="36" t="str">
        <f>CONCATENATE('Смета ЕР (общ) '!$A43,".",'Смета ЕР (общ) '!$B43,".",'Смета ЕР (общ) '!$D43)</f>
        <v>Р1.1.50</v>
      </c>
      <c r="F43" s="36">
        <f t="shared" si="0"/>
        <v>1</v>
      </c>
      <c r="G43" s="36" t="s">
        <v>37</v>
      </c>
      <c r="H43" s="36" t="s">
        <v>38</v>
      </c>
      <c r="I43" s="36" t="s">
        <v>1761</v>
      </c>
      <c r="J43" s="36" t="s">
        <v>1753</v>
      </c>
      <c r="K43" s="36" t="s">
        <v>1771</v>
      </c>
      <c r="L43" s="37" t="s">
        <v>68</v>
      </c>
      <c r="M43" s="38" t="s">
        <v>64</v>
      </c>
      <c r="N43" s="39"/>
      <c r="O43" s="40">
        <f>'[1]Проектирование до 100'!E21*1.05</f>
        <v>10395</v>
      </c>
      <c r="P43" s="40">
        <v>0</v>
      </c>
      <c r="Q43" s="40">
        <f t="shared" si="2"/>
        <v>10395</v>
      </c>
      <c r="R43" s="40">
        <f t="shared" si="2"/>
        <v>0</v>
      </c>
      <c r="S43" s="40">
        <f>ROUND('Смета ЕР (общ) '!$N43*'Смета ЕР (общ) '!$Q43,2)</f>
        <v>0</v>
      </c>
      <c r="T43" s="40">
        <f>ROUND('Смета ЕР (общ) '!$N43*'Смета ЕР (общ) '!$R43,2)</f>
        <v>0</v>
      </c>
    </row>
    <row r="44" spans="1:23" ht="40.5" customHeight="1" x14ac:dyDescent="0.3">
      <c r="A44" s="36" t="s">
        <v>36</v>
      </c>
      <c r="B44" s="36">
        <v>1</v>
      </c>
      <c r="C44" s="36"/>
      <c r="D44" s="36">
        <v>51</v>
      </c>
      <c r="E44" s="36" t="str">
        <f>CONCATENATE('Смета ЕР (общ) '!$A44,".",'Смета ЕР (общ) '!$B44,".",'Смета ЕР (общ) '!$D44)</f>
        <v>Р1.1.51</v>
      </c>
      <c r="F44" s="36">
        <f t="shared" si="0"/>
        <v>1</v>
      </c>
      <c r="G44" s="36" t="s">
        <v>37</v>
      </c>
      <c r="H44" s="36" t="s">
        <v>38</v>
      </c>
      <c r="I44" s="36" t="s">
        <v>1761</v>
      </c>
      <c r="J44" s="36" t="s">
        <v>1756</v>
      </c>
      <c r="K44" s="36" t="s">
        <v>1771</v>
      </c>
      <c r="L44" s="37" t="s">
        <v>69</v>
      </c>
      <c r="M44" s="38" t="s">
        <v>64</v>
      </c>
      <c r="N44" s="39"/>
      <c r="O44" s="40">
        <f>'[1]Проектирование до 100'!E22*1.05</f>
        <v>10395</v>
      </c>
      <c r="P44" s="40">
        <v>0</v>
      </c>
      <c r="Q44" s="40">
        <f t="shared" si="2"/>
        <v>10395</v>
      </c>
      <c r="R44" s="40">
        <f t="shared" si="2"/>
        <v>0</v>
      </c>
      <c r="S44" s="40">
        <f>ROUND('Смета ЕР (общ) '!$N44*'Смета ЕР (общ) '!$Q44,2)</f>
        <v>0</v>
      </c>
      <c r="T44" s="40">
        <f>ROUND('Смета ЕР (общ) '!$N44*'Смета ЕР (общ) '!$R44,2)</f>
        <v>0</v>
      </c>
    </row>
    <row r="45" spans="1:23" ht="40.5" customHeight="1" x14ac:dyDescent="0.3">
      <c r="A45" s="36" t="s">
        <v>36</v>
      </c>
      <c r="B45" s="36">
        <v>1</v>
      </c>
      <c r="C45" s="36"/>
      <c r="D45" s="36">
        <v>52</v>
      </c>
      <c r="E45" s="36" t="str">
        <f>CONCATENATE('Смета ЕР (общ) '!$A45,".",'Смета ЕР (общ) '!$B45,".",'Смета ЕР (общ) '!$D45)</f>
        <v>Р1.1.52</v>
      </c>
      <c r="F45" s="36">
        <f t="shared" si="0"/>
        <v>1</v>
      </c>
      <c r="G45" s="36" t="s">
        <v>37</v>
      </c>
      <c r="H45" s="36" t="s">
        <v>38</v>
      </c>
      <c r="I45" s="36" t="s">
        <v>1761</v>
      </c>
      <c r="J45" s="36" t="s">
        <v>1757</v>
      </c>
      <c r="K45" s="36" t="s">
        <v>1771</v>
      </c>
      <c r="L45" s="37" t="s">
        <v>70</v>
      </c>
      <c r="M45" s="38" t="s">
        <v>64</v>
      </c>
      <c r="N45" s="39"/>
      <c r="O45" s="40">
        <f>'[1]Проектирование до 100'!E23*1.05</f>
        <v>10395</v>
      </c>
      <c r="P45" s="40">
        <v>0</v>
      </c>
      <c r="Q45" s="40">
        <f t="shared" si="2"/>
        <v>10395</v>
      </c>
      <c r="R45" s="40">
        <f t="shared" si="2"/>
        <v>0</v>
      </c>
      <c r="S45" s="40">
        <f>ROUND('Смета ЕР (общ) '!$N45*'Смета ЕР (общ) '!$Q45,2)</f>
        <v>0</v>
      </c>
      <c r="T45" s="40">
        <f>ROUND('Смета ЕР (общ) '!$N45*'Смета ЕР (общ) '!$R45,2)</f>
        <v>0</v>
      </c>
    </row>
    <row r="46" spans="1:23" ht="40.5" customHeight="1" x14ac:dyDescent="0.3">
      <c r="A46" s="36" t="s">
        <v>36</v>
      </c>
      <c r="B46" s="36">
        <v>1</v>
      </c>
      <c r="C46" s="36"/>
      <c r="D46" s="36">
        <v>53</v>
      </c>
      <c r="E46" s="36" t="str">
        <f>CONCATENATE('Смета ЕР (общ) '!$A46,".",'Смета ЕР (общ) '!$B46,".",'Смета ЕР (общ) '!$D46)</f>
        <v>Р1.1.53</v>
      </c>
      <c r="F46" s="36">
        <f t="shared" si="0"/>
        <v>1</v>
      </c>
      <c r="G46" s="36" t="s">
        <v>37</v>
      </c>
      <c r="H46" s="36" t="s">
        <v>38</v>
      </c>
      <c r="I46" s="36" t="s">
        <v>1761</v>
      </c>
      <c r="J46" s="36" t="s">
        <v>1758</v>
      </c>
      <c r="K46" s="36" t="s">
        <v>1771</v>
      </c>
      <c r="L46" s="37" t="s">
        <v>71</v>
      </c>
      <c r="M46" s="38" t="s">
        <v>64</v>
      </c>
      <c r="N46" s="39"/>
      <c r="O46" s="40">
        <f>'[1]Проектирование до 100'!E24*1.05</f>
        <v>15592.5</v>
      </c>
      <c r="P46" s="40">
        <v>0</v>
      </c>
      <c r="Q46" s="40">
        <f t="shared" si="2"/>
        <v>15592.5</v>
      </c>
      <c r="R46" s="40">
        <f t="shared" si="2"/>
        <v>0</v>
      </c>
      <c r="S46" s="40">
        <f>ROUND('Смета ЕР (общ) '!$N46*'Смета ЕР (общ) '!$Q46,2)</f>
        <v>0</v>
      </c>
      <c r="T46" s="40">
        <f>ROUND('Смета ЕР (общ) '!$N46*'Смета ЕР (общ) '!$R46,2)</f>
        <v>0</v>
      </c>
    </row>
    <row r="47" spans="1:23" ht="36" x14ac:dyDescent="0.3">
      <c r="A47" s="36" t="s">
        <v>36</v>
      </c>
      <c r="B47" s="36">
        <v>1</v>
      </c>
      <c r="C47" s="36"/>
      <c r="D47" s="36">
        <v>54</v>
      </c>
      <c r="E47" s="36" t="str">
        <f>CONCATENATE('Смета ЕР (общ) '!$A47,".",'Смета ЕР (общ) '!$B47,".",'Смета ЕР (общ) '!$D47)</f>
        <v>Р1.1.54</v>
      </c>
      <c r="F47" s="36">
        <f t="shared" si="0"/>
        <v>1</v>
      </c>
      <c r="G47" s="36" t="s">
        <v>37</v>
      </c>
      <c r="H47" s="36" t="s">
        <v>38</v>
      </c>
      <c r="I47" s="36" t="s">
        <v>1761</v>
      </c>
      <c r="J47" s="36" t="s">
        <v>1759</v>
      </c>
      <c r="K47" s="36" t="s">
        <v>1771</v>
      </c>
      <c r="L47" s="37" t="s">
        <v>72</v>
      </c>
      <c r="M47" s="38" t="s">
        <v>64</v>
      </c>
      <c r="N47" s="39"/>
      <c r="O47" s="40">
        <f>'[1]Проектирование до 100'!E25*1.05</f>
        <v>10395</v>
      </c>
      <c r="P47" s="40">
        <v>0</v>
      </c>
      <c r="Q47" s="40">
        <f t="shared" si="2"/>
        <v>10395</v>
      </c>
      <c r="R47" s="40">
        <f t="shared" si="2"/>
        <v>0</v>
      </c>
      <c r="S47" s="40">
        <f>ROUND('Смета ЕР (общ) '!$N47*'Смета ЕР (общ) '!$Q47,2)</f>
        <v>0</v>
      </c>
      <c r="T47" s="40">
        <f>ROUND('Смета ЕР (общ) '!$N47*'Смета ЕР (общ) '!$R47,2)</f>
        <v>0</v>
      </c>
    </row>
    <row r="48" spans="1:23" ht="24" x14ac:dyDescent="0.3">
      <c r="A48" s="36" t="s">
        <v>36</v>
      </c>
      <c r="B48" s="36">
        <v>1</v>
      </c>
      <c r="C48" s="36"/>
      <c r="D48" s="36">
        <v>55</v>
      </c>
      <c r="E48" s="36" t="str">
        <f>CONCATENATE('Смета ЕР (общ) '!$A48,".",'Смета ЕР (общ) '!$B48,".",'Смета ЕР (общ) '!$D48)</f>
        <v>Р1.1.55</v>
      </c>
      <c r="F48" s="36">
        <f t="shared" si="0"/>
        <v>1</v>
      </c>
      <c r="G48" s="36" t="s">
        <v>37</v>
      </c>
      <c r="H48" s="36" t="s">
        <v>38</v>
      </c>
      <c r="I48" s="36" t="s">
        <v>1761</v>
      </c>
      <c r="J48" s="36" t="s">
        <v>1760</v>
      </c>
      <c r="K48" s="36" t="s">
        <v>1771</v>
      </c>
      <c r="L48" s="37" t="s">
        <v>73</v>
      </c>
      <c r="M48" s="38" t="s">
        <v>64</v>
      </c>
      <c r="N48" s="39"/>
      <c r="O48" s="40">
        <f>'[1]Проектирование до 100'!E26*1.05</f>
        <v>15592.5</v>
      </c>
      <c r="P48" s="40">
        <v>0</v>
      </c>
      <c r="Q48" s="40">
        <f t="shared" si="2"/>
        <v>15592.5</v>
      </c>
      <c r="R48" s="40">
        <f t="shared" si="2"/>
        <v>0</v>
      </c>
      <c r="S48" s="40">
        <f>ROUND('Смета ЕР (общ) '!$N48*'Смета ЕР (общ) '!$Q48,2)</f>
        <v>0</v>
      </c>
      <c r="T48" s="40">
        <f>ROUND('Смета ЕР (общ) '!$N48*'Смета ЕР (общ) '!$R48,2)</f>
        <v>0</v>
      </c>
    </row>
    <row r="49" spans="1:20" ht="36" x14ac:dyDescent="0.3">
      <c r="A49" s="36" t="s">
        <v>36</v>
      </c>
      <c r="B49" s="36">
        <v>1</v>
      </c>
      <c r="C49" s="36"/>
      <c r="D49" s="36">
        <v>56</v>
      </c>
      <c r="E49" s="36" t="str">
        <f>CONCATENATE('Смета ЕР (общ) '!$A49,".",'Смета ЕР (общ) '!$B49,".",'Смета ЕР (общ) '!$D49)</f>
        <v>Р1.1.56</v>
      </c>
      <c r="F49" s="36">
        <f t="shared" si="0"/>
        <v>1</v>
      </c>
      <c r="G49" s="36" t="s">
        <v>37</v>
      </c>
      <c r="H49" s="36" t="s">
        <v>38</v>
      </c>
      <c r="I49" s="36" t="s">
        <v>1790</v>
      </c>
      <c r="J49" s="36" t="s">
        <v>1783</v>
      </c>
      <c r="K49" s="36" t="s">
        <v>1774</v>
      </c>
      <c r="L49" s="43" t="s">
        <v>74</v>
      </c>
      <c r="M49" s="38" t="s">
        <v>40</v>
      </c>
      <c r="N49" s="39"/>
      <c r="O49" s="40">
        <f>'[1]Проектирование 100-450'!E18*1.05*0.1</f>
        <v>13.545000000000002</v>
      </c>
      <c r="P49" s="40">
        <v>0</v>
      </c>
      <c r="Q49" s="40">
        <f t="shared" ref="Q49:R91" si="3">ROUND(O49-O49*$V$3,2)</f>
        <v>13.55</v>
      </c>
      <c r="R49" s="40">
        <f t="shared" si="3"/>
        <v>0</v>
      </c>
      <c r="S49" s="40">
        <f>ROUND('Смета ЕР (общ) '!$N49*'Смета ЕР (общ) '!$Q49,2)</f>
        <v>0</v>
      </c>
      <c r="T49" s="40">
        <f>ROUND('Смета ЕР (общ) '!$N49*'Смета ЕР (общ) '!$R49,2)</f>
        <v>0</v>
      </c>
    </row>
    <row r="50" spans="1:20" ht="24" x14ac:dyDescent="0.3">
      <c r="A50" s="36" t="s">
        <v>36</v>
      </c>
      <c r="B50" s="36">
        <v>1</v>
      </c>
      <c r="C50" s="36"/>
      <c r="D50" s="36">
        <v>57</v>
      </c>
      <c r="E50" s="36" t="str">
        <f>CONCATENATE('Смета ЕР (общ) '!$A50,".",'Смета ЕР (общ) '!$B50,".",'Смета ЕР (общ) '!$D50)</f>
        <v>Р1.1.57</v>
      </c>
      <c r="F50" s="36">
        <f t="shared" si="0"/>
        <v>1</v>
      </c>
      <c r="G50" s="36" t="s">
        <v>37</v>
      </c>
      <c r="H50" s="36" t="s">
        <v>38</v>
      </c>
      <c r="I50" s="36" t="s">
        <v>1790</v>
      </c>
      <c r="J50" s="36" t="s">
        <v>1773</v>
      </c>
      <c r="K50" s="36" t="s">
        <v>1774</v>
      </c>
      <c r="L50" s="43" t="s">
        <v>75</v>
      </c>
      <c r="M50" s="38" t="s">
        <v>40</v>
      </c>
      <c r="N50" s="39"/>
      <c r="O50" s="40">
        <f>'[1]Проектирование 100-450'!E19*1.05*0.1</f>
        <v>38.955000000000005</v>
      </c>
      <c r="P50" s="40">
        <v>0</v>
      </c>
      <c r="Q50" s="40">
        <f t="shared" si="3"/>
        <v>38.96</v>
      </c>
      <c r="R50" s="40">
        <f t="shared" si="3"/>
        <v>0</v>
      </c>
      <c r="S50" s="40">
        <f>ROUND('Смета ЕР (общ) '!$N50*'Смета ЕР (общ) '!$Q50,2)</f>
        <v>0</v>
      </c>
      <c r="T50" s="40">
        <f>ROUND('Смета ЕР (общ) '!$N50*'Смета ЕР (общ) '!$R50,2)</f>
        <v>0</v>
      </c>
    </row>
    <row r="51" spans="1:20" ht="36" x14ac:dyDescent="0.3">
      <c r="A51" s="36" t="s">
        <v>36</v>
      </c>
      <c r="B51" s="36">
        <v>1</v>
      </c>
      <c r="C51" s="36"/>
      <c r="D51" s="36">
        <v>58</v>
      </c>
      <c r="E51" s="36" t="str">
        <f>CONCATENATE('Смета ЕР (общ) '!$A51,".",'Смета ЕР (общ) '!$B51,".",'Смета ЕР (общ) '!$D51)</f>
        <v>Р1.1.58</v>
      </c>
      <c r="F51" s="36">
        <f t="shared" si="0"/>
        <v>1</v>
      </c>
      <c r="G51" s="36" t="s">
        <v>37</v>
      </c>
      <c r="H51" s="36" t="s">
        <v>38</v>
      </c>
      <c r="I51" s="36" t="s">
        <v>1790</v>
      </c>
      <c r="J51" s="36" t="s">
        <v>1784</v>
      </c>
      <c r="K51" s="36" t="s">
        <v>1774</v>
      </c>
      <c r="L51" s="43" t="s">
        <v>76</v>
      </c>
      <c r="M51" s="38" t="s">
        <v>40</v>
      </c>
      <c r="N51" s="39"/>
      <c r="O51" s="40">
        <f>'[1]Проектирование 100-450'!E20*1.05*0.1</f>
        <v>25.830000000000002</v>
      </c>
      <c r="P51" s="40">
        <v>0</v>
      </c>
      <c r="Q51" s="40">
        <f t="shared" si="3"/>
        <v>25.83</v>
      </c>
      <c r="R51" s="40">
        <f t="shared" si="3"/>
        <v>0</v>
      </c>
      <c r="S51" s="40">
        <f>ROUND('Смета ЕР (общ) '!$N51*'Смета ЕР (общ) '!$Q51,2)</f>
        <v>0</v>
      </c>
      <c r="T51" s="40">
        <f>ROUND('Смета ЕР (общ) '!$N51*'Смета ЕР (общ) '!$R51,2)</f>
        <v>0</v>
      </c>
    </row>
    <row r="52" spans="1:20" ht="24" x14ac:dyDescent="0.3">
      <c r="A52" s="36" t="s">
        <v>36</v>
      </c>
      <c r="B52" s="36">
        <v>1</v>
      </c>
      <c r="C52" s="36"/>
      <c r="D52" s="36">
        <v>59</v>
      </c>
      <c r="E52" s="36" t="str">
        <f>CONCATENATE('Смета ЕР (общ) '!$A52,".",'Смета ЕР (общ) '!$B52,".",'Смета ЕР (общ) '!$D52)</f>
        <v>Р1.1.59</v>
      </c>
      <c r="F52" s="36">
        <f t="shared" si="0"/>
        <v>1</v>
      </c>
      <c r="G52" s="36" t="s">
        <v>37</v>
      </c>
      <c r="H52" s="36" t="s">
        <v>38</v>
      </c>
      <c r="I52" s="36" t="s">
        <v>1790</v>
      </c>
      <c r="J52" s="36" t="s">
        <v>1775</v>
      </c>
      <c r="K52" s="36" t="s">
        <v>1774</v>
      </c>
      <c r="L52" s="43" t="s">
        <v>77</v>
      </c>
      <c r="M52" s="38" t="s">
        <v>40</v>
      </c>
      <c r="N52" s="39"/>
      <c r="O52" s="40">
        <f>'[1]Проектирование 100-450'!E21*1.05*0.1</f>
        <v>20.265000000000001</v>
      </c>
      <c r="P52" s="40">
        <v>0</v>
      </c>
      <c r="Q52" s="40">
        <f t="shared" si="3"/>
        <v>20.27</v>
      </c>
      <c r="R52" s="40">
        <f t="shared" si="3"/>
        <v>0</v>
      </c>
      <c r="S52" s="40">
        <f>ROUND('Смета ЕР (общ) '!$N52*'Смета ЕР (общ) '!$Q52,2)</f>
        <v>0</v>
      </c>
      <c r="T52" s="40">
        <f>ROUND('Смета ЕР (общ) '!$N52*'Смета ЕР (общ) '!$R52,2)</f>
        <v>0</v>
      </c>
    </row>
    <row r="53" spans="1:20" ht="36" x14ac:dyDescent="0.3">
      <c r="A53" s="36" t="s">
        <v>36</v>
      </c>
      <c r="B53" s="36">
        <v>1</v>
      </c>
      <c r="C53" s="36"/>
      <c r="D53" s="36">
        <v>60</v>
      </c>
      <c r="E53" s="36" t="str">
        <f>CONCATENATE('Смета ЕР (общ) '!$A53,".",'Смета ЕР (общ) '!$B53,".",'Смета ЕР (общ) '!$D53)</f>
        <v>Р1.1.60</v>
      </c>
      <c r="F53" s="36">
        <f t="shared" si="0"/>
        <v>1</v>
      </c>
      <c r="G53" s="36" t="s">
        <v>37</v>
      </c>
      <c r="H53" s="36" t="s">
        <v>38</v>
      </c>
      <c r="I53" s="36" t="s">
        <v>1790</v>
      </c>
      <c r="J53" s="36" t="s">
        <v>1785</v>
      </c>
      <c r="K53" s="36" t="s">
        <v>1774</v>
      </c>
      <c r="L53" s="43" t="s">
        <v>78</v>
      </c>
      <c r="M53" s="38" t="s">
        <v>40</v>
      </c>
      <c r="N53" s="39"/>
      <c r="O53" s="40">
        <f>'[1]Проектирование 100-450'!E22*1.05*0.1</f>
        <v>15.948450000000001</v>
      </c>
      <c r="P53" s="40">
        <v>0</v>
      </c>
      <c r="Q53" s="40">
        <f t="shared" si="3"/>
        <v>15.95</v>
      </c>
      <c r="R53" s="40">
        <f t="shared" si="3"/>
        <v>0</v>
      </c>
      <c r="S53" s="40">
        <f>ROUND('Смета ЕР (общ) '!$N53*'Смета ЕР (общ) '!$Q53,2)</f>
        <v>0</v>
      </c>
      <c r="T53" s="40">
        <f>ROUND('Смета ЕР (общ) '!$N53*'Смета ЕР (общ) '!$R53,2)</f>
        <v>0</v>
      </c>
    </row>
    <row r="54" spans="1:20" ht="36" x14ac:dyDescent="0.3">
      <c r="A54" s="36" t="s">
        <v>36</v>
      </c>
      <c r="B54" s="36">
        <v>1</v>
      </c>
      <c r="C54" s="36"/>
      <c r="D54" s="36">
        <v>61</v>
      </c>
      <c r="E54" s="36" t="str">
        <f>CONCATENATE('Смета ЕР (общ) '!$A54,".",'Смета ЕР (общ) '!$B54,".",'Смета ЕР (общ) '!$D54)</f>
        <v>Р1.1.61</v>
      </c>
      <c r="F54" s="36">
        <f t="shared" si="0"/>
        <v>1</v>
      </c>
      <c r="G54" s="36" t="s">
        <v>37</v>
      </c>
      <c r="H54" s="36" t="s">
        <v>38</v>
      </c>
      <c r="I54" s="36" t="s">
        <v>1790</v>
      </c>
      <c r="J54" s="36" t="s">
        <v>1786</v>
      </c>
      <c r="K54" s="36" t="s">
        <v>1774</v>
      </c>
      <c r="L54" s="43" t="s">
        <v>79</v>
      </c>
      <c r="M54" s="38" t="s">
        <v>40</v>
      </c>
      <c r="N54" s="39"/>
      <c r="O54" s="40">
        <f>'[1]Проектирование 100-450'!E23*1.05*0.1</f>
        <v>12.39</v>
      </c>
      <c r="P54" s="40">
        <v>0</v>
      </c>
      <c r="Q54" s="40">
        <f t="shared" si="3"/>
        <v>12.39</v>
      </c>
      <c r="R54" s="40">
        <f t="shared" si="3"/>
        <v>0</v>
      </c>
      <c r="S54" s="40">
        <f>ROUND('Смета ЕР (общ) '!$N54*'Смета ЕР (общ) '!$Q54,2)</f>
        <v>0</v>
      </c>
      <c r="T54" s="40">
        <f>ROUND('Смета ЕР (общ) '!$N54*'Смета ЕР (общ) '!$R54,2)</f>
        <v>0</v>
      </c>
    </row>
    <row r="55" spans="1:20" ht="36" x14ac:dyDescent="0.3">
      <c r="A55" s="36" t="s">
        <v>36</v>
      </c>
      <c r="B55" s="36">
        <v>1</v>
      </c>
      <c r="C55" s="36"/>
      <c r="D55" s="36">
        <v>62</v>
      </c>
      <c r="E55" s="36" t="str">
        <f>CONCATENATE('Смета ЕР (общ) '!$A55,".",'Смета ЕР (общ) '!$B55,".",'Смета ЕР (общ) '!$D55)</f>
        <v>Р1.1.62</v>
      </c>
      <c r="F55" s="36">
        <f t="shared" si="0"/>
        <v>1</v>
      </c>
      <c r="G55" s="36" t="s">
        <v>37</v>
      </c>
      <c r="H55" s="36" t="s">
        <v>38</v>
      </c>
      <c r="I55" s="36" t="s">
        <v>1790</v>
      </c>
      <c r="J55" s="36" t="s">
        <v>1787</v>
      </c>
      <c r="K55" s="36" t="s">
        <v>1774</v>
      </c>
      <c r="L55" s="43" t="s">
        <v>80</v>
      </c>
      <c r="M55" s="38" t="s">
        <v>40</v>
      </c>
      <c r="N55" s="39"/>
      <c r="O55" s="40">
        <f>'[1]Проектирование 100-450'!E24*1.05*0.1</f>
        <v>13.020000000000003</v>
      </c>
      <c r="P55" s="40">
        <v>0</v>
      </c>
      <c r="Q55" s="40">
        <f t="shared" si="3"/>
        <v>13.02</v>
      </c>
      <c r="R55" s="40">
        <f t="shared" si="3"/>
        <v>0</v>
      </c>
      <c r="S55" s="40">
        <f>ROUND('Смета ЕР (общ) '!$N55*'Смета ЕР (общ) '!$Q55,2)</f>
        <v>0</v>
      </c>
      <c r="T55" s="40">
        <f>ROUND('Смета ЕР (общ) '!$N55*'Смета ЕР (общ) '!$R55,2)</f>
        <v>0</v>
      </c>
    </row>
    <row r="56" spans="1:20" ht="48" x14ac:dyDescent="0.3">
      <c r="A56" s="36" t="s">
        <v>36</v>
      </c>
      <c r="B56" s="36">
        <v>1</v>
      </c>
      <c r="C56" s="36"/>
      <c r="D56" s="36">
        <v>63</v>
      </c>
      <c r="E56" s="36" t="str">
        <f>CONCATENATE('Смета ЕР (общ) '!$A56,".",'Смета ЕР (общ) '!$B56,".",'Смета ЕР (общ) '!$D56)</f>
        <v>Р1.1.63</v>
      </c>
      <c r="F56" s="36">
        <f t="shared" si="0"/>
        <v>1</v>
      </c>
      <c r="G56" s="36" t="s">
        <v>37</v>
      </c>
      <c r="H56" s="36" t="s">
        <v>38</v>
      </c>
      <c r="I56" s="36" t="s">
        <v>1790</v>
      </c>
      <c r="J56" s="36" t="s">
        <v>1782</v>
      </c>
      <c r="K56" s="36" t="s">
        <v>1774</v>
      </c>
      <c r="L56" s="43" t="s">
        <v>81</v>
      </c>
      <c r="M56" s="38" t="s">
        <v>40</v>
      </c>
      <c r="N56" s="39"/>
      <c r="O56" s="40">
        <f>'[1]Проектирование 100-450'!E25*1.05*0.1</f>
        <v>9.1675500000000003</v>
      </c>
      <c r="P56" s="40">
        <v>0</v>
      </c>
      <c r="Q56" s="40">
        <f t="shared" si="3"/>
        <v>9.17</v>
      </c>
      <c r="R56" s="40">
        <f t="shared" si="3"/>
        <v>0</v>
      </c>
      <c r="S56" s="40">
        <f>ROUND('Смета ЕР (общ) '!$N56*'Смета ЕР (общ) '!$Q56,2)</f>
        <v>0</v>
      </c>
      <c r="T56" s="40">
        <f>ROUND('Смета ЕР (общ) '!$N56*'Смета ЕР (общ) '!$R56,2)</f>
        <v>0</v>
      </c>
    </row>
    <row r="57" spans="1:20" ht="36" x14ac:dyDescent="0.3">
      <c r="A57" s="36" t="s">
        <v>36</v>
      </c>
      <c r="B57" s="36">
        <v>1</v>
      </c>
      <c r="C57" s="36"/>
      <c r="D57" s="36">
        <v>64</v>
      </c>
      <c r="E57" s="36" t="str">
        <f>CONCATENATE('Смета ЕР (общ) '!$A57,".",'Смета ЕР (общ) '!$B57,".",'Смета ЕР (общ) '!$D57)</f>
        <v>Р1.1.64</v>
      </c>
      <c r="F57" s="36">
        <f t="shared" si="0"/>
        <v>1</v>
      </c>
      <c r="G57" s="36" t="s">
        <v>37</v>
      </c>
      <c r="H57" s="36" t="s">
        <v>38</v>
      </c>
      <c r="I57" s="36" t="s">
        <v>1790</v>
      </c>
      <c r="J57" s="36" t="s">
        <v>1779</v>
      </c>
      <c r="K57" s="36" t="s">
        <v>1774</v>
      </c>
      <c r="L57" s="43" t="s">
        <v>82</v>
      </c>
      <c r="M57" s="38" t="s">
        <v>40</v>
      </c>
      <c r="N57" s="39"/>
      <c r="O57" s="40">
        <f>'[1]Проектирование 100-450'!E26*1.05*0.1</f>
        <v>9.1675500000000003</v>
      </c>
      <c r="P57" s="40">
        <v>0</v>
      </c>
      <c r="Q57" s="40">
        <f t="shared" si="3"/>
        <v>9.17</v>
      </c>
      <c r="R57" s="40">
        <f t="shared" si="3"/>
        <v>0</v>
      </c>
      <c r="S57" s="40">
        <f>ROUND('Смета ЕР (общ) '!$N57*'Смета ЕР (общ) '!$Q57,2)</f>
        <v>0</v>
      </c>
      <c r="T57" s="40">
        <f>ROUND('Смета ЕР (общ) '!$N57*'Смета ЕР (общ) '!$R57,2)</f>
        <v>0</v>
      </c>
    </row>
    <row r="58" spans="1:20" ht="24" x14ac:dyDescent="0.3">
      <c r="A58" s="36" t="s">
        <v>36</v>
      </c>
      <c r="B58" s="36">
        <v>1</v>
      </c>
      <c r="C58" s="36"/>
      <c r="D58" s="36">
        <v>65</v>
      </c>
      <c r="E58" s="36" t="str">
        <f>CONCATENATE('Смета ЕР (общ) '!$A58,".",'Смета ЕР (общ) '!$B58,".",'Смета ЕР (общ) '!$D58)</f>
        <v>Р1.1.65</v>
      </c>
      <c r="F58" s="36">
        <f t="shared" si="0"/>
        <v>1</v>
      </c>
      <c r="G58" s="36" t="s">
        <v>37</v>
      </c>
      <c r="H58" s="36" t="s">
        <v>38</v>
      </c>
      <c r="I58" s="36" t="s">
        <v>1790</v>
      </c>
      <c r="J58" s="36" t="s">
        <v>1780</v>
      </c>
      <c r="K58" s="36" t="s">
        <v>1774</v>
      </c>
      <c r="L58" s="43" t="s">
        <v>83</v>
      </c>
      <c r="M58" s="38" t="s">
        <v>40</v>
      </c>
      <c r="N58" s="39"/>
      <c r="O58" s="40">
        <f>'[1]Проектирование 100-450'!E27*1.05*0.1</f>
        <v>10.395000000000001</v>
      </c>
      <c r="P58" s="40">
        <v>0</v>
      </c>
      <c r="Q58" s="40">
        <f t="shared" si="3"/>
        <v>10.4</v>
      </c>
      <c r="R58" s="40">
        <f t="shared" si="3"/>
        <v>0</v>
      </c>
      <c r="S58" s="40">
        <f>ROUND('Смета ЕР (общ) '!$N58*'Смета ЕР (общ) '!$Q58,2)</f>
        <v>0</v>
      </c>
      <c r="T58" s="40">
        <f>ROUND('Смета ЕР (общ) '!$N58*'Смета ЕР (общ) '!$R58,2)</f>
        <v>0</v>
      </c>
    </row>
    <row r="59" spans="1:20" ht="36" x14ac:dyDescent="0.3">
      <c r="A59" s="36" t="s">
        <v>36</v>
      </c>
      <c r="B59" s="36">
        <v>1</v>
      </c>
      <c r="C59" s="36"/>
      <c r="D59" s="36">
        <v>66</v>
      </c>
      <c r="E59" s="36" t="str">
        <f>CONCATENATE('Смета ЕР (общ) '!$A59,".",'Смета ЕР (общ) '!$B59,".",'Смета ЕР (общ) '!$D59)</f>
        <v>Р1.1.66</v>
      </c>
      <c r="F59" s="36">
        <f t="shared" si="0"/>
        <v>1</v>
      </c>
      <c r="G59" s="36" t="s">
        <v>37</v>
      </c>
      <c r="H59" s="36" t="s">
        <v>38</v>
      </c>
      <c r="I59" s="36" t="s">
        <v>1790</v>
      </c>
      <c r="J59" s="36" t="s">
        <v>1772</v>
      </c>
      <c r="K59" s="36" t="s">
        <v>1774</v>
      </c>
      <c r="L59" s="43" t="s">
        <v>84</v>
      </c>
      <c r="M59" s="38" t="s">
        <v>64</v>
      </c>
      <c r="N59" s="39"/>
      <c r="O59" s="40">
        <f>'[1]Проектирование до 100'!E17*1.05*0.1</f>
        <v>1050</v>
      </c>
      <c r="P59" s="40">
        <v>0</v>
      </c>
      <c r="Q59" s="40">
        <f t="shared" si="3"/>
        <v>1050</v>
      </c>
      <c r="R59" s="40">
        <f t="shared" si="3"/>
        <v>0</v>
      </c>
      <c r="S59" s="40">
        <f>ROUND('Смета ЕР (общ) '!$N59*'Смета ЕР (общ) '!$Q59,2)</f>
        <v>0</v>
      </c>
      <c r="T59" s="40">
        <f>ROUND('Смета ЕР (общ) '!$N59*'Смета ЕР (общ) '!$R59,2)</f>
        <v>0</v>
      </c>
    </row>
    <row r="60" spans="1:20" ht="24" x14ac:dyDescent="0.3">
      <c r="A60" s="36" t="s">
        <v>36</v>
      </c>
      <c r="B60" s="36">
        <v>1</v>
      </c>
      <c r="C60" s="36"/>
      <c r="D60" s="36">
        <v>67</v>
      </c>
      <c r="E60" s="36" t="str">
        <f>CONCATENATE('Смета ЕР (общ) '!$A60,".",'Смета ЕР (общ) '!$B60,".",'Смета ЕР (общ) '!$D60)</f>
        <v>Р1.1.67</v>
      </c>
      <c r="F60" s="36">
        <f t="shared" si="0"/>
        <v>1</v>
      </c>
      <c r="G60" s="36" t="s">
        <v>37</v>
      </c>
      <c r="H60" s="36" t="s">
        <v>38</v>
      </c>
      <c r="I60" s="36" t="s">
        <v>1790</v>
      </c>
      <c r="J60" s="36" t="s">
        <v>1781</v>
      </c>
      <c r="K60" s="36" t="s">
        <v>1774</v>
      </c>
      <c r="L60" s="43" t="s">
        <v>85</v>
      </c>
      <c r="M60" s="38" t="s">
        <v>64</v>
      </c>
      <c r="N60" s="39"/>
      <c r="O60" s="40">
        <f>'[1]Проектирование до 100'!E18*1.05*0.1</f>
        <v>2073.75</v>
      </c>
      <c r="P60" s="40">
        <v>0</v>
      </c>
      <c r="Q60" s="40">
        <f t="shared" si="3"/>
        <v>2073.75</v>
      </c>
      <c r="R60" s="40">
        <f t="shared" si="3"/>
        <v>0</v>
      </c>
      <c r="S60" s="40">
        <f>ROUND('Смета ЕР (общ) '!$N60*'Смета ЕР (общ) '!$Q60,2)</f>
        <v>0</v>
      </c>
      <c r="T60" s="40">
        <f>ROUND('Смета ЕР (общ) '!$N60*'Смета ЕР (общ) '!$R60,2)</f>
        <v>0</v>
      </c>
    </row>
    <row r="61" spans="1:20" ht="36" x14ac:dyDescent="0.3">
      <c r="A61" s="36" t="s">
        <v>36</v>
      </c>
      <c r="B61" s="36">
        <v>1</v>
      </c>
      <c r="C61" s="36"/>
      <c r="D61" s="36">
        <v>68</v>
      </c>
      <c r="E61" s="36" t="str">
        <f>CONCATENATE('Смета ЕР (общ) '!$A61,".",'Смета ЕР (общ) '!$B61,".",'Смета ЕР (общ) '!$D61)</f>
        <v>Р1.1.68</v>
      </c>
      <c r="F61" s="36">
        <f t="shared" si="0"/>
        <v>1</v>
      </c>
      <c r="G61" s="36" t="s">
        <v>37</v>
      </c>
      <c r="H61" s="36" t="s">
        <v>38</v>
      </c>
      <c r="I61" s="36" t="s">
        <v>1790</v>
      </c>
      <c r="J61" s="36" t="s">
        <v>1784</v>
      </c>
      <c r="K61" s="36" t="s">
        <v>1774</v>
      </c>
      <c r="L61" s="43" t="s">
        <v>86</v>
      </c>
      <c r="M61" s="38" t="s">
        <v>64</v>
      </c>
      <c r="N61" s="39"/>
      <c r="O61" s="40">
        <f>'[1]Проектирование до 100'!E19*1.05*0.1</f>
        <v>2073.75</v>
      </c>
      <c r="P61" s="40">
        <v>0</v>
      </c>
      <c r="Q61" s="40">
        <f t="shared" si="3"/>
        <v>2073.75</v>
      </c>
      <c r="R61" s="40">
        <f t="shared" si="3"/>
        <v>0</v>
      </c>
      <c r="S61" s="40">
        <f>ROUND('Смета ЕР (общ) '!$N61*'Смета ЕР (общ) '!$Q61,2)</f>
        <v>0</v>
      </c>
      <c r="T61" s="40">
        <f>ROUND('Смета ЕР (общ) '!$N61*'Смета ЕР (общ) '!$R61,2)</f>
        <v>0</v>
      </c>
    </row>
    <row r="62" spans="1:20" ht="24" x14ac:dyDescent="0.3">
      <c r="A62" s="36" t="s">
        <v>36</v>
      </c>
      <c r="B62" s="36">
        <v>1</v>
      </c>
      <c r="C62" s="36"/>
      <c r="D62" s="36">
        <v>69</v>
      </c>
      <c r="E62" s="36" t="str">
        <f>CONCATENATE('Смета ЕР (общ) '!$A62,".",'Смета ЕР (общ) '!$B62,".",'Смета ЕР (общ) '!$D62)</f>
        <v>Р1.1.69</v>
      </c>
      <c r="F62" s="36">
        <f t="shared" si="0"/>
        <v>1</v>
      </c>
      <c r="G62" s="36" t="s">
        <v>37</v>
      </c>
      <c r="H62" s="36" t="s">
        <v>38</v>
      </c>
      <c r="I62" s="36" t="s">
        <v>1790</v>
      </c>
      <c r="J62" s="36" t="s">
        <v>1775</v>
      </c>
      <c r="K62" s="36" t="s">
        <v>1774</v>
      </c>
      <c r="L62" s="43" t="s">
        <v>87</v>
      </c>
      <c r="M62" s="38" t="s">
        <v>64</v>
      </c>
      <c r="N62" s="39"/>
      <c r="O62" s="40">
        <f>'[1]Проектирование до 100'!E20*1.05*0.1</f>
        <v>1559.25</v>
      </c>
      <c r="P62" s="40">
        <v>0</v>
      </c>
      <c r="Q62" s="40">
        <f t="shared" si="3"/>
        <v>1559.25</v>
      </c>
      <c r="R62" s="40">
        <f t="shared" si="3"/>
        <v>0</v>
      </c>
      <c r="S62" s="40">
        <f>ROUND('Смета ЕР (общ) '!$N62*'Смета ЕР (общ) '!$Q62,2)</f>
        <v>0</v>
      </c>
      <c r="T62" s="40">
        <f>ROUND('Смета ЕР (общ) '!$N62*'Смета ЕР (общ) '!$R62,2)</f>
        <v>0</v>
      </c>
    </row>
    <row r="63" spans="1:20" ht="36" x14ac:dyDescent="0.3">
      <c r="A63" s="36" t="s">
        <v>36</v>
      </c>
      <c r="B63" s="36">
        <v>1</v>
      </c>
      <c r="C63" s="36"/>
      <c r="D63" s="36">
        <v>70</v>
      </c>
      <c r="E63" s="36" t="str">
        <f>CONCATENATE('Смета ЕР (общ) '!$A63,".",'Смета ЕР (общ) '!$B63,".",'Смета ЕР (общ) '!$D63)</f>
        <v>Р1.1.70</v>
      </c>
      <c r="F63" s="36">
        <f t="shared" si="0"/>
        <v>1</v>
      </c>
      <c r="G63" s="36" t="s">
        <v>37</v>
      </c>
      <c r="H63" s="36" t="s">
        <v>38</v>
      </c>
      <c r="I63" s="36" t="s">
        <v>1790</v>
      </c>
      <c r="J63" s="36" t="s">
        <v>1776</v>
      </c>
      <c r="K63" s="36" t="s">
        <v>1774</v>
      </c>
      <c r="L63" s="43" t="s">
        <v>88</v>
      </c>
      <c r="M63" s="38" t="s">
        <v>64</v>
      </c>
      <c r="N63" s="39"/>
      <c r="O63" s="40">
        <f>'[1]Проектирование до 100'!E21*1.05*0.1</f>
        <v>1039.5</v>
      </c>
      <c r="P63" s="40">
        <v>0</v>
      </c>
      <c r="Q63" s="40">
        <f t="shared" si="3"/>
        <v>1039.5</v>
      </c>
      <c r="R63" s="40">
        <f t="shared" si="3"/>
        <v>0</v>
      </c>
      <c r="S63" s="40">
        <f>ROUND('Смета ЕР (общ) '!$N63*'Смета ЕР (общ) '!$Q63,2)</f>
        <v>0</v>
      </c>
      <c r="T63" s="40">
        <f>ROUND('Смета ЕР (общ) '!$N63*'Смета ЕР (общ) '!$R63,2)</f>
        <v>0</v>
      </c>
    </row>
    <row r="64" spans="1:20" ht="36" x14ac:dyDescent="0.3">
      <c r="A64" s="36" t="s">
        <v>36</v>
      </c>
      <c r="B64" s="36">
        <v>1</v>
      </c>
      <c r="C64" s="36"/>
      <c r="D64" s="36">
        <v>71</v>
      </c>
      <c r="E64" s="36" t="str">
        <f>CONCATENATE('Смета ЕР (общ) '!$A64,".",'Смета ЕР (общ) '!$B64,".",'Смета ЕР (общ) '!$D64)</f>
        <v>Р1.1.71</v>
      </c>
      <c r="F64" s="36">
        <f t="shared" si="0"/>
        <v>1</v>
      </c>
      <c r="G64" s="36" t="s">
        <v>37</v>
      </c>
      <c r="H64" s="36" t="s">
        <v>38</v>
      </c>
      <c r="I64" s="36" t="s">
        <v>1790</v>
      </c>
      <c r="J64" s="36" t="s">
        <v>1777</v>
      </c>
      <c r="K64" s="36" t="s">
        <v>1774</v>
      </c>
      <c r="L64" s="43" t="s">
        <v>89</v>
      </c>
      <c r="M64" s="38" t="s">
        <v>64</v>
      </c>
      <c r="N64" s="39"/>
      <c r="O64" s="40">
        <f>'[1]Проектирование до 100'!E22*1.05*0.1</f>
        <v>1039.5</v>
      </c>
      <c r="P64" s="40">
        <v>0</v>
      </c>
      <c r="Q64" s="40">
        <f t="shared" si="3"/>
        <v>1039.5</v>
      </c>
      <c r="R64" s="40">
        <f t="shared" si="3"/>
        <v>0</v>
      </c>
      <c r="S64" s="40">
        <f>ROUND('Смета ЕР (общ) '!$N64*'Смета ЕР (общ) '!$Q64,2)</f>
        <v>0</v>
      </c>
      <c r="T64" s="40">
        <f>ROUND('Смета ЕР (общ) '!$N64*'Смета ЕР (общ) '!$R64,2)</f>
        <v>0</v>
      </c>
    </row>
    <row r="65" spans="1:21" ht="36" x14ac:dyDescent="0.3">
      <c r="A65" s="36" t="s">
        <v>36</v>
      </c>
      <c r="B65" s="36">
        <v>1</v>
      </c>
      <c r="C65" s="36"/>
      <c r="D65" s="36">
        <v>72</v>
      </c>
      <c r="E65" s="36" t="str">
        <f>CONCATENATE('Смета ЕР (общ) '!$A65,".",'Смета ЕР (общ) '!$B65,".",'Смета ЕР (общ) '!$D65)</f>
        <v>Р1.1.72</v>
      </c>
      <c r="F65" s="36">
        <f t="shared" si="0"/>
        <v>1</v>
      </c>
      <c r="G65" s="36" t="s">
        <v>37</v>
      </c>
      <c r="H65" s="36" t="s">
        <v>38</v>
      </c>
      <c r="I65" s="36" t="s">
        <v>1790</v>
      </c>
      <c r="J65" s="36" t="s">
        <v>1778</v>
      </c>
      <c r="K65" s="36" t="s">
        <v>1774</v>
      </c>
      <c r="L65" s="43" t="s">
        <v>90</v>
      </c>
      <c r="M65" s="38" t="s">
        <v>64</v>
      </c>
      <c r="N65" s="39"/>
      <c r="O65" s="40">
        <f>'[1]Проектирование до 100'!E23*1.05*0.1</f>
        <v>1039.5</v>
      </c>
      <c r="P65" s="40">
        <v>0</v>
      </c>
      <c r="Q65" s="40">
        <f t="shared" si="3"/>
        <v>1039.5</v>
      </c>
      <c r="R65" s="40">
        <f t="shared" si="3"/>
        <v>0</v>
      </c>
      <c r="S65" s="40">
        <f>ROUND('Смета ЕР (общ) '!$N65*'Смета ЕР (общ) '!$Q65,2)</f>
        <v>0</v>
      </c>
      <c r="T65" s="40">
        <f>ROUND('Смета ЕР (общ) '!$N65*'Смета ЕР (общ) '!$R65,2)</f>
        <v>0</v>
      </c>
    </row>
    <row r="66" spans="1:21" ht="48" x14ac:dyDescent="0.3">
      <c r="A66" s="36" t="s">
        <v>36</v>
      </c>
      <c r="B66" s="36">
        <v>1</v>
      </c>
      <c r="C66" s="36"/>
      <c r="D66" s="36">
        <v>73</v>
      </c>
      <c r="E66" s="36" t="str">
        <f>CONCATENATE('Смета ЕР (общ) '!$A66,".",'Смета ЕР (общ) '!$B66,".",'Смета ЕР (общ) '!$D66)</f>
        <v>Р1.1.73</v>
      </c>
      <c r="F66" s="36">
        <f t="shared" si="0"/>
        <v>1</v>
      </c>
      <c r="G66" s="36" t="s">
        <v>37</v>
      </c>
      <c r="H66" s="36" t="s">
        <v>38</v>
      </c>
      <c r="I66" s="36" t="s">
        <v>1790</v>
      </c>
      <c r="J66" s="36" t="s">
        <v>1782</v>
      </c>
      <c r="K66" s="36" t="s">
        <v>1774</v>
      </c>
      <c r="L66" s="43" t="s">
        <v>91</v>
      </c>
      <c r="M66" s="38" t="s">
        <v>64</v>
      </c>
      <c r="N66" s="39"/>
      <c r="O66" s="40">
        <f>'[1]Проектирование до 100'!E24*1.05*0.1</f>
        <v>1559.25</v>
      </c>
      <c r="P66" s="40">
        <v>0</v>
      </c>
      <c r="Q66" s="40">
        <f t="shared" si="3"/>
        <v>1559.25</v>
      </c>
      <c r="R66" s="40">
        <f t="shared" si="3"/>
        <v>0</v>
      </c>
      <c r="S66" s="40">
        <f>ROUND('Смета ЕР (общ) '!$N66*'Смета ЕР (общ) '!$Q66,2)</f>
        <v>0</v>
      </c>
      <c r="T66" s="40">
        <f>ROUND('Смета ЕР (общ) '!$N66*'Смета ЕР (общ) '!$R66,2)</f>
        <v>0</v>
      </c>
    </row>
    <row r="67" spans="1:21" ht="36" x14ac:dyDescent="0.3">
      <c r="A67" s="36" t="s">
        <v>36</v>
      </c>
      <c r="B67" s="36">
        <v>1</v>
      </c>
      <c r="C67" s="36"/>
      <c r="D67" s="36">
        <v>74</v>
      </c>
      <c r="E67" s="36" t="str">
        <f>CONCATENATE('Смета ЕР (общ) '!$A67,".",'Смета ЕР (общ) '!$B67,".",'Смета ЕР (общ) '!$D67)</f>
        <v>Р1.1.74</v>
      </c>
      <c r="F67" s="36">
        <f t="shared" si="0"/>
        <v>1</v>
      </c>
      <c r="G67" s="36" t="s">
        <v>37</v>
      </c>
      <c r="H67" s="36" t="s">
        <v>38</v>
      </c>
      <c r="I67" s="36" t="s">
        <v>1790</v>
      </c>
      <c r="J67" s="36" t="s">
        <v>1779</v>
      </c>
      <c r="K67" s="36" t="s">
        <v>1774</v>
      </c>
      <c r="L67" s="43" t="s">
        <v>92</v>
      </c>
      <c r="M67" s="38" t="s">
        <v>64</v>
      </c>
      <c r="N67" s="39"/>
      <c r="O67" s="40">
        <f>'[1]Проектирование до 100'!E25*1.05*0.1</f>
        <v>1039.5</v>
      </c>
      <c r="P67" s="40">
        <v>0</v>
      </c>
      <c r="Q67" s="40">
        <f t="shared" si="3"/>
        <v>1039.5</v>
      </c>
      <c r="R67" s="40">
        <f t="shared" si="3"/>
        <v>0</v>
      </c>
      <c r="S67" s="40">
        <f>ROUND('Смета ЕР (общ) '!$N67*'Смета ЕР (общ) '!$Q67,2)</f>
        <v>0</v>
      </c>
      <c r="T67" s="40">
        <f>ROUND('Смета ЕР (общ) '!$N67*'Смета ЕР (общ) '!$R67,2)</f>
        <v>0</v>
      </c>
    </row>
    <row r="68" spans="1:21" ht="24" x14ac:dyDescent="0.3">
      <c r="A68" s="36" t="s">
        <v>36</v>
      </c>
      <c r="B68" s="36">
        <v>1</v>
      </c>
      <c r="C68" s="36"/>
      <c r="D68" s="36">
        <v>75</v>
      </c>
      <c r="E68" s="36" t="str">
        <f>CONCATENATE('Смета ЕР (общ) '!$A68,".",'Смета ЕР (общ) '!$B68,".",'Смета ЕР (общ) '!$D68)</f>
        <v>Р1.1.75</v>
      </c>
      <c r="F68" s="36">
        <f t="shared" si="0"/>
        <v>1</v>
      </c>
      <c r="G68" s="36" t="s">
        <v>37</v>
      </c>
      <c r="H68" s="36" t="s">
        <v>38</v>
      </c>
      <c r="I68" s="36" t="s">
        <v>1790</v>
      </c>
      <c r="J68" s="36" t="s">
        <v>1788</v>
      </c>
      <c r="K68" s="36" t="s">
        <v>1774</v>
      </c>
      <c r="L68" s="43" t="s">
        <v>93</v>
      </c>
      <c r="M68" s="38" t="s">
        <v>64</v>
      </c>
      <c r="N68" s="39"/>
      <c r="O68" s="40">
        <f>'[1]Проектирование до 100'!E26*1.05*0.1</f>
        <v>1559.25</v>
      </c>
      <c r="P68" s="40">
        <v>0</v>
      </c>
      <c r="Q68" s="40">
        <f t="shared" si="3"/>
        <v>1559.25</v>
      </c>
      <c r="R68" s="40">
        <f t="shared" si="3"/>
        <v>0</v>
      </c>
      <c r="S68" s="40">
        <f>ROUND('Смета ЕР (общ) '!$N68*'Смета ЕР (общ) '!$Q68,2)</f>
        <v>0</v>
      </c>
      <c r="T68" s="40">
        <f>ROUND('Смета ЕР (общ) '!$N68*'Смета ЕР (общ) '!$R68,2)</f>
        <v>0</v>
      </c>
    </row>
    <row r="69" spans="1:21" ht="27.6" x14ac:dyDescent="0.3">
      <c r="A69" s="41" t="s">
        <v>36</v>
      </c>
      <c r="B69" s="41">
        <v>1</v>
      </c>
      <c r="C69" s="41"/>
      <c r="D69" s="41">
        <v>76</v>
      </c>
      <c r="E69" s="41" t="str">
        <f>CONCATENATE('Смета ЕР (общ) '!$A69,".",'Смета ЕР (общ) '!$B69,".",'Смета ЕР (общ) '!$D69)</f>
        <v>Р1.1.76</v>
      </c>
      <c r="F69" s="41">
        <f t="shared" si="0"/>
        <v>1</v>
      </c>
      <c r="G69" s="41" t="s">
        <v>37</v>
      </c>
      <c r="H69" s="41" t="s">
        <v>38</v>
      </c>
      <c r="I69" s="36" t="s">
        <v>1761</v>
      </c>
      <c r="J69" s="41" t="s">
        <v>1762</v>
      </c>
      <c r="K69" s="41"/>
      <c r="L69" s="42" t="s">
        <v>52</v>
      </c>
      <c r="M69" s="38" t="s">
        <v>40</v>
      </c>
      <c r="N69" s="39"/>
      <c r="O69" s="40">
        <f>'[1]АПС, СОУЭ, ППА'!F13*1.05</f>
        <v>70.350000000000009</v>
      </c>
      <c r="P69" s="40">
        <v>1</v>
      </c>
      <c r="Q69" s="40">
        <f t="shared" si="3"/>
        <v>70.349999999999994</v>
      </c>
      <c r="R69" s="40">
        <f t="shared" si="3"/>
        <v>1</v>
      </c>
      <c r="S69" s="40">
        <f>ROUND('Смета ЕР (общ) '!$N69*'Смета ЕР (общ) '!$Q69,2)</f>
        <v>0</v>
      </c>
      <c r="T69" s="40">
        <f>ROUND('Смета ЕР (общ) '!$N69*'Смета ЕР (общ) '!$R69,2)</f>
        <v>0</v>
      </c>
    </row>
    <row r="70" spans="1:21" ht="25.8" x14ac:dyDescent="0.3">
      <c r="A70" s="36" t="s">
        <v>36</v>
      </c>
      <c r="B70" s="36">
        <v>1</v>
      </c>
      <c r="C70" s="36"/>
      <c r="D70" s="36">
        <v>77</v>
      </c>
      <c r="E70" s="36" t="str">
        <f>CONCATENATE('Смета ЕР (общ) '!$A70,".",'Смета ЕР (общ) '!$B70,".",'Смета ЕР (общ) '!$D70)</f>
        <v>Р1.1.77</v>
      </c>
      <c r="F70" s="36">
        <f t="shared" si="0"/>
        <v>1</v>
      </c>
      <c r="G70" s="36" t="s">
        <v>37</v>
      </c>
      <c r="H70" s="36" t="s">
        <v>38</v>
      </c>
      <c r="I70" s="36" t="s">
        <v>1761</v>
      </c>
      <c r="J70" s="36" t="s">
        <v>1763</v>
      </c>
      <c r="K70" s="36"/>
      <c r="L70" s="37" t="s">
        <v>53</v>
      </c>
      <c r="M70" s="38" t="s">
        <v>40</v>
      </c>
      <c r="N70" s="39"/>
      <c r="O70" s="40">
        <f>'[1]АПС, СОУЭ, ППА'!F14*1.05</f>
        <v>40.950000000000003</v>
      </c>
      <c r="P70" s="40">
        <v>2</v>
      </c>
      <c r="Q70" s="40">
        <f t="shared" si="3"/>
        <v>40.950000000000003</v>
      </c>
      <c r="R70" s="40">
        <f t="shared" si="3"/>
        <v>2</v>
      </c>
      <c r="S70" s="40">
        <f>ROUND('Смета ЕР (общ) '!$N70*'Смета ЕР (общ) '!$Q70,2)</f>
        <v>0</v>
      </c>
      <c r="T70" s="40">
        <f>ROUND('Смета ЕР (общ) '!$N70*'Смета ЕР (общ) '!$R70,2)</f>
        <v>0</v>
      </c>
    </row>
    <row r="71" spans="1:21" ht="25.8" x14ac:dyDescent="0.3">
      <c r="A71" s="36" t="s">
        <v>36</v>
      </c>
      <c r="B71" s="36">
        <v>1</v>
      </c>
      <c r="C71" s="36"/>
      <c r="D71" s="36">
        <v>78</v>
      </c>
      <c r="E71" s="36" t="str">
        <f>CONCATENATE('Смета ЕР (общ) '!$A71,".",'Смета ЕР (общ) '!$B71,".",'Смета ЕР (общ) '!$D71)</f>
        <v>Р1.1.78</v>
      </c>
      <c r="F71" s="36">
        <f t="shared" si="0"/>
        <v>1</v>
      </c>
      <c r="G71" s="36" t="s">
        <v>37</v>
      </c>
      <c r="H71" s="36" t="s">
        <v>38</v>
      </c>
      <c r="I71" s="36" t="s">
        <v>1761</v>
      </c>
      <c r="J71" s="36" t="s">
        <v>1764</v>
      </c>
      <c r="K71" s="36"/>
      <c r="L71" s="37" t="s">
        <v>54</v>
      </c>
      <c r="M71" s="38" t="s">
        <v>40</v>
      </c>
      <c r="N71" s="39"/>
      <c r="O71" s="40">
        <f>'[1]АПС, СОУЭ, ППА'!F16*1.05</f>
        <v>8.4</v>
      </c>
      <c r="P71" s="40">
        <v>3</v>
      </c>
      <c r="Q71" s="40">
        <f t="shared" si="3"/>
        <v>8.4</v>
      </c>
      <c r="R71" s="40">
        <f t="shared" si="3"/>
        <v>3</v>
      </c>
      <c r="S71" s="40">
        <f>ROUND('Смета ЕР (общ) '!$N71*'Смета ЕР (общ) '!$Q71,2)</f>
        <v>0</v>
      </c>
      <c r="T71" s="40">
        <f>ROUND('Смета ЕР (общ) '!$N71*'Смета ЕР (общ) '!$R71,2)</f>
        <v>0</v>
      </c>
    </row>
    <row r="72" spans="1:21" ht="25.8" x14ac:dyDescent="0.3">
      <c r="A72" s="36" t="s">
        <v>36</v>
      </c>
      <c r="B72" s="36">
        <v>1</v>
      </c>
      <c r="C72" s="36"/>
      <c r="D72" s="36">
        <v>79</v>
      </c>
      <c r="E72" s="36" t="str">
        <f>CONCATENATE('Смета ЕР (общ) '!$A72,".",'Смета ЕР (общ) '!$B72,".",'Смета ЕР (общ) '!$D72)</f>
        <v>Р1.1.79</v>
      </c>
      <c r="F72" s="36">
        <f t="shared" si="0"/>
        <v>1</v>
      </c>
      <c r="G72" s="36" t="s">
        <v>37</v>
      </c>
      <c r="H72" s="36" t="s">
        <v>38</v>
      </c>
      <c r="I72" s="36" t="s">
        <v>1761</v>
      </c>
      <c r="J72" s="36" t="s">
        <v>1765</v>
      </c>
      <c r="K72" s="36"/>
      <c r="L72" s="37" t="s">
        <v>55</v>
      </c>
      <c r="M72" s="38" t="s">
        <v>40</v>
      </c>
      <c r="N72" s="39"/>
      <c r="O72" s="40">
        <f>'[1]АПС, СОУЭ, ППА'!F17*1.05</f>
        <v>26.25</v>
      </c>
      <c r="P72" s="40">
        <v>4</v>
      </c>
      <c r="Q72" s="40">
        <f t="shared" si="3"/>
        <v>26.25</v>
      </c>
      <c r="R72" s="40">
        <f t="shared" si="3"/>
        <v>4</v>
      </c>
      <c r="S72" s="40">
        <f>ROUND('Смета ЕР (общ) '!$N72*'Смета ЕР (общ) '!$Q72,2)</f>
        <v>0</v>
      </c>
      <c r="T72" s="40">
        <f>ROUND('Смета ЕР (общ) '!$N72*'Смета ЕР (общ) '!$R72,2)</f>
        <v>0</v>
      </c>
    </row>
    <row r="73" spans="1:21" ht="25.8" x14ac:dyDescent="0.3">
      <c r="A73" s="36" t="s">
        <v>36</v>
      </c>
      <c r="B73" s="36">
        <v>1</v>
      </c>
      <c r="C73" s="36"/>
      <c r="D73" s="36">
        <v>80</v>
      </c>
      <c r="E73" s="36" t="str">
        <f>CONCATENATE('Смета ЕР (общ) '!$A73,".",'Смета ЕР (общ) '!$B73,".",'Смета ЕР (общ) '!$D73)</f>
        <v>Р1.1.80</v>
      </c>
      <c r="F73" s="36">
        <f t="shared" si="0"/>
        <v>1</v>
      </c>
      <c r="G73" s="36" t="s">
        <v>37</v>
      </c>
      <c r="H73" s="36" t="s">
        <v>38</v>
      </c>
      <c r="I73" s="36" t="s">
        <v>1761</v>
      </c>
      <c r="J73" s="36" t="s">
        <v>1766</v>
      </c>
      <c r="K73" s="36"/>
      <c r="L73" s="37" t="s">
        <v>56</v>
      </c>
      <c r="M73" s="38" t="s">
        <v>40</v>
      </c>
      <c r="N73" s="39"/>
      <c r="O73" s="40">
        <f>'[1]АПС, СОУЭ, ППА'!F18*1.05</f>
        <v>3.1500000000000004</v>
      </c>
      <c r="P73" s="40">
        <v>5</v>
      </c>
      <c r="Q73" s="40">
        <f t="shared" si="3"/>
        <v>3.15</v>
      </c>
      <c r="R73" s="40">
        <f t="shared" si="3"/>
        <v>5</v>
      </c>
      <c r="S73" s="40">
        <f>ROUND('Смета ЕР (общ) '!$N73*'Смета ЕР (общ) '!$Q73,2)</f>
        <v>0</v>
      </c>
      <c r="T73" s="40">
        <f>ROUND('Смета ЕР (общ) '!$N73*'Смета ЕР (общ) '!$R73,2)</f>
        <v>0</v>
      </c>
    </row>
    <row r="74" spans="1:21" ht="25.8" x14ac:dyDescent="0.3">
      <c r="A74" s="36" t="s">
        <v>36</v>
      </c>
      <c r="B74" s="36">
        <v>1</v>
      </c>
      <c r="C74" s="36"/>
      <c r="D74" s="36">
        <v>81</v>
      </c>
      <c r="E74" s="36" t="str">
        <f>CONCATENATE('Смета ЕР (общ) '!$A74,".",'Смета ЕР (общ) '!$B74,".",'Смета ЕР (общ) '!$D74)</f>
        <v>Р1.1.81</v>
      </c>
      <c r="F74" s="36">
        <f t="shared" si="0"/>
        <v>1</v>
      </c>
      <c r="G74" s="36" t="s">
        <v>37</v>
      </c>
      <c r="H74" s="36" t="s">
        <v>38</v>
      </c>
      <c r="I74" s="36" t="s">
        <v>1761</v>
      </c>
      <c r="J74" s="36" t="s">
        <v>1767</v>
      </c>
      <c r="K74" s="36"/>
      <c r="L74" s="37" t="s">
        <v>57</v>
      </c>
      <c r="M74" s="38" t="s">
        <v>40</v>
      </c>
      <c r="N74" s="39"/>
      <c r="O74" s="40">
        <f>'[1]АПС, СОУЭ, ППА'!F19*1.05</f>
        <v>1.05</v>
      </c>
      <c r="P74" s="40">
        <v>6</v>
      </c>
      <c r="Q74" s="40">
        <f t="shared" si="3"/>
        <v>1.05</v>
      </c>
      <c r="R74" s="40">
        <f t="shared" si="3"/>
        <v>6</v>
      </c>
      <c r="S74" s="40">
        <f>ROUND('Смета ЕР (общ) '!$N74*'Смета ЕР (общ) '!$Q74,2)</f>
        <v>0</v>
      </c>
      <c r="T74" s="40">
        <f>ROUND('Смета ЕР (общ) '!$N74*'Смета ЕР (общ) '!$R74,2)</f>
        <v>0</v>
      </c>
    </row>
    <row r="75" spans="1:21" ht="24" x14ac:dyDescent="0.3">
      <c r="A75" s="36" t="s">
        <v>36</v>
      </c>
      <c r="B75" s="36">
        <v>1</v>
      </c>
      <c r="C75" s="36"/>
      <c r="D75" s="36">
        <v>82</v>
      </c>
      <c r="E75" s="36" t="str">
        <f>CONCATENATE('Смета ЕР (общ) '!$A75,".",'Смета ЕР (общ) '!$B75,".",'Смета ЕР (общ) '!$D75)</f>
        <v>Р1.1.82</v>
      </c>
      <c r="F75" s="36">
        <f t="shared" si="0"/>
        <v>1</v>
      </c>
      <c r="G75" s="36" t="s">
        <v>37</v>
      </c>
      <c r="H75" s="36" t="s">
        <v>38</v>
      </c>
      <c r="I75" s="36" t="s">
        <v>1761</v>
      </c>
      <c r="J75" s="36" t="s">
        <v>58</v>
      </c>
      <c r="K75" s="36"/>
      <c r="L75" s="37" t="s">
        <v>58</v>
      </c>
      <c r="M75" s="38" t="s">
        <v>40</v>
      </c>
      <c r="N75" s="39"/>
      <c r="O75" s="40">
        <f>'[1]АПС, СОУЭ, ППА'!F20*1.05</f>
        <v>1.05</v>
      </c>
      <c r="P75" s="40">
        <v>7</v>
      </c>
      <c r="Q75" s="40">
        <f t="shared" si="3"/>
        <v>1.05</v>
      </c>
      <c r="R75" s="40">
        <f t="shared" si="3"/>
        <v>7</v>
      </c>
      <c r="S75" s="40">
        <f>ROUND('Смета ЕР (общ) '!$N75*'Смета ЕР (общ) '!$Q75,2)</f>
        <v>0</v>
      </c>
      <c r="T75" s="40">
        <f>ROUND('Смета ЕР (общ) '!$N75*'Смета ЕР (общ) '!$R75,2)</f>
        <v>0</v>
      </c>
    </row>
    <row r="76" spans="1:21" ht="25.8" x14ac:dyDescent="0.3">
      <c r="A76" s="36" t="s">
        <v>36</v>
      </c>
      <c r="B76" s="36">
        <v>1</v>
      </c>
      <c r="C76" s="36"/>
      <c r="D76" s="36">
        <v>83</v>
      </c>
      <c r="E76" s="36" t="str">
        <f>CONCATENATE('Смета ЕР (общ) '!$A76,".",'Смета ЕР (общ) '!$B76,".",'Смета ЕР (общ) '!$D76)</f>
        <v>Р1.1.83</v>
      </c>
      <c r="F76" s="36">
        <f t="shared" si="0"/>
        <v>1</v>
      </c>
      <c r="G76" s="36" t="s">
        <v>37</v>
      </c>
      <c r="H76" s="36" t="s">
        <v>38</v>
      </c>
      <c r="I76" s="36" t="s">
        <v>1761</v>
      </c>
      <c r="J76" s="36" t="s">
        <v>1768</v>
      </c>
      <c r="K76" s="36"/>
      <c r="L76" s="37" t="s">
        <v>59</v>
      </c>
      <c r="M76" s="38" t="s">
        <v>40</v>
      </c>
      <c r="N76" s="39"/>
      <c r="O76" s="40">
        <f>'[1]АПС, СОУЭ, ППА'!F21*1.05</f>
        <v>1.05</v>
      </c>
      <c r="P76" s="40">
        <v>8</v>
      </c>
      <c r="Q76" s="40">
        <f t="shared" si="3"/>
        <v>1.05</v>
      </c>
      <c r="R76" s="40">
        <f t="shared" si="3"/>
        <v>8</v>
      </c>
      <c r="S76" s="40">
        <f>ROUND('Смета ЕР (общ) '!$N76*'Смета ЕР (общ) '!$Q76,2)</f>
        <v>0</v>
      </c>
      <c r="T76" s="40">
        <f>ROUND('Смета ЕР (общ) '!$N76*'Смета ЕР (общ) '!$R76,2)</f>
        <v>0</v>
      </c>
    </row>
    <row r="77" spans="1:21" ht="48" x14ac:dyDescent="0.3">
      <c r="A77" s="36" t="s">
        <v>36</v>
      </c>
      <c r="B77" s="36">
        <v>1</v>
      </c>
      <c r="C77" s="36"/>
      <c r="D77" s="36">
        <v>12</v>
      </c>
      <c r="E77" s="36" t="str">
        <f>CONCATENATE('Смета ЕР (общ) '!$A77,".",'Смета ЕР (общ) '!$B77,".",'Смета ЕР (общ) '!$D77)</f>
        <v>Р1.1.12</v>
      </c>
      <c r="F77" s="36">
        <f t="shared" si="0"/>
        <v>1</v>
      </c>
      <c r="G77" s="36" t="s">
        <v>37</v>
      </c>
      <c r="H77" s="36" t="s">
        <v>38</v>
      </c>
      <c r="I77" s="36"/>
      <c r="J77" s="36"/>
      <c r="K77" s="36"/>
      <c r="L77" s="37" t="s">
        <v>94</v>
      </c>
      <c r="M77" s="38" t="s">
        <v>40</v>
      </c>
      <c r="N77" s="39"/>
      <c r="O77" s="44">
        <v>0</v>
      </c>
      <c r="P77" s="40">
        <v>0</v>
      </c>
      <c r="Q77" s="40">
        <f t="shared" si="3"/>
        <v>0</v>
      </c>
      <c r="R77" s="40">
        <f t="shared" si="3"/>
        <v>0</v>
      </c>
      <c r="S77" s="40">
        <f>ROUND('Смета ЕР (общ) '!$N77*'Смета ЕР (общ) '!$Q77,2)</f>
        <v>0</v>
      </c>
      <c r="T77" s="40">
        <f>ROUND('Смета ЕР (общ) '!$N77*'Смета ЕР (общ) '!$R77,2)</f>
        <v>0</v>
      </c>
      <c r="U77" s="35" t="s">
        <v>95</v>
      </c>
    </row>
    <row r="78" spans="1:21" ht="48" x14ac:dyDescent="0.3">
      <c r="A78" s="36" t="s">
        <v>36</v>
      </c>
      <c r="B78" s="36">
        <v>1</v>
      </c>
      <c r="C78" s="36"/>
      <c r="D78" s="36">
        <v>13</v>
      </c>
      <c r="E78" s="36" t="str">
        <f>CONCATENATE('Смета ЕР (общ) '!$A78,".",'Смета ЕР (общ) '!$B78,".",'Смета ЕР (общ) '!$D78)</f>
        <v>Р1.1.13</v>
      </c>
      <c r="F78" s="36">
        <f t="shared" si="0"/>
        <v>1</v>
      </c>
      <c r="G78" s="36" t="s">
        <v>37</v>
      </c>
      <c r="H78" s="36" t="s">
        <v>38</v>
      </c>
      <c r="I78" s="36"/>
      <c r="J78" s="36"/>
      <c r="K78" s="36"/>
      <c r="L78" s="37" t="s">
        <v>96</v>
      </c>
      <c r="M78" s="38" t="s">
        <v>40</v>
      </c>
      <c r="N78" s="39"/>
      <c r="O78" s="44">
        <v>0</v>
      </c>
      <c r="P78" s="40">
        <v>0</v>
      </c>
      <c r="Q78" s="40">
        <f t="shared" si="3"/>
        <v>0</v>
      </c>
      <c r="R78" s="40">
        <f t="shared" si="3"/>
        <v>0</v>
      </c>
      <c r="S78" s="40">
        <f>ROUND('Смета ЕР (общ) '!$N78*'Смета ЕР (общ) '!$Q78,2)</f>
        <v>0</v>
      </c>
      <c r="T78" s="40">
        <f>ROUND('Смета ЕР (общ) '!$N78*'Смета ЕР (общ) '!$R78,2)</f>
        <v>0</v>
      </c>
      <c r="U78" s="35" t="s">
        <v>95</v>
      </c>
    </row>
    <row r="79" spans="1:21" ht="48" x14ac:dyDescent="0.3">
      <c r="A79" s="36" t="s">
        <v>36</v>
      </c>
      <c r="B79" s="36">
        <v>1</v>
      </c>
      <c r="C79" s="36"/>
      <c r="D79" s="36">
        <v>14</v>
      </c>
      <c r="E79" s="36" t="str">
        <f>CONCATENATE('Смета ЕР (общ) '!$A79,".",'Смета ЕР (общ) '!$B79,".",'Смета ЕР (общ) '!$D79)</f>
        <v>Р1.1.14</v>
      </c>
      <c r="F79" s="36">
        <f t="shared" si="0"/>
        <v>1</v>
      </c>
      <c r="G79" s="36" t="s">
        <v>37</v>
      </c>
      <c r="H79" s="36" t="s">
        <v>38</v>
      </c>
      <c r="I79" s="36"/>
      <c r="J79" s="36"/>
      <c r="K79" s="36"/>
      <c r="L79" s="37" t="s">
        <v>97</v>
      </c>
      <c r="M79" s="38" t="s">
        <v>40</v>
      </c>
      <c r="N79" s="39"/>
      <c r="O79" s="44">
        <v>0</v>
      </c>
      <c r="P79" s="40">
        <v>0</v>
      </c>
      <c r="Q79" s="40">
        <f t="shared" si="3"/>
        <v>0</v>
      </c>
      <c r="R79" s="40">
        <f t="shared" si="3"/>
        <v>0</v>
      </c>
      <c r="S79" s="40">
        <f>ROUND('Смета ЕР (общ) '!$N79*'Смета ЕР (общ) '!$Q79,2)</f>
        <v>0</v>
      </c>
      <c r="T79" s="40">
        <f>ROUND('Смета ЕР (общ) '!$N79*'Смета ЕР (общ) '!$R79,2)</f>
        <v>0</v>
      </c>
      <c r="U79" s="35" t="s">
        <v>95</v>
      </c>
    </row>
    <row r="80" spans="1:21" ht="48" x14ac:dyDescent="0.3">
      <c r="A80" s="36" t="s">
        <v>36</v>
      </c>
      <c r="B80" s="36">
        <v>1</v>
      </c>
      <c r="C80" s="36"/>
      <c r="D80" s="36">
        <v>15</v>
      </c>
      <c r="E80" s="36" t="str">
        <f>CONCATENATE('Смета ЕР (общ) '!$A80,".",'Смета ЕР (общ) '!$B80,".",'Смета ЕР (общ) '!$D80)</f>
        <v>Р1.1.15</v>
      </c>
      <c r="F80" s="36">
        <f t="shared" si="0"/>
        <v>1</v>
      </c>
      <c r="G80" s="36" t="s">
        <v>37</v>
      </c>
      <c r="H80" s="36" t="s">
        <v>38</v>
      </c>
      <c r="I80" s="36"/>
      <c r="J80" s="36"/>
      <c r="K80" s="36"/>
      <c r="L80" s="37" t="s">
        <v>98</v>
      </c>
      <c r="M80" s="38" t="s">
        <v>40</v>
      </c>
      <c r="N80" s="39"/>
      <c r="O80" s="40">
        <v>88.99</v>
      </c>
      <c r="P80" s="40">
        <v>0</v>
      </c>
      <c r="Q80" s="40">
        <f t="shared" si="3"/>
        <v>88.99</v>
      </c>
      <c r="R80" s="40">
        <f t="shared" si="3"/>
        <v>0</v>
      </c>
      <c r="S80" s="40">
        <f>ROUND('Смета ЕР (общ) '!$N80*'Смета ЕР (общ) '!$Q80,2)</f>
        <v>0</v>
      </c>
      <c r="T80" s="40">
        <f>ROUND('Смета ЕР (общ) '!$N80*'Смета ЕР (общ) '!$R80,2)</f>
        <v>0</v>
      </c>
    </row>
    <row r="81" spans="1:25" ht="48" x14ac:dyDescent="0.3">
      <c r="A81" s="36" t="s">
        <v>36</v>
      </c>
      <c r="B81" s="36">
        <v>1</v>
      </c>
      <c r="C81" s="36"/>
      <c r="D81" s="36">
        <v>16</v>
      </c>
      <c r="E81" s="36" t="str">
        <f>CONCATENATE('Смета ЕР (общ) '!$A81,".",'Смета ЕР (общ) '!$B81,".",'Смета ЕР (общ) '!$D81)</f>
        <v>Р1.1.16</v>
      </c>
      <c r="F81" s="36">
        <f t="shared" ref="F81:F144" si="4">IF(N81&gt;0,F80+1,F80)</f>
        <v>1</v>
      </c>
      <c r="G81" s="36" t="s">
        <v>37</v>
      </c>
      <c r="H81" s="36" t="s">
        <v>38</v>
      </c>
      <c r="I81" s="36"/>
      <c r="J81" s="36"/>
      <c r="K81" s="36"/>
      <c r="L81" s="37" t="s">
        <v>99</v>
      </c>
      <c r="M81" s="38" t="s">
        <v>40</v>
      </c>
      <c r="N81" s="39"/>
      <c r="O81" s="40">
        <v>149.82</v>
      </c>
      <c r="P81" s="40">
        <v>0</v>
      </c>
      <c r="Q81" s="40">
        <f t="shared" si="3"/>
        <v>149.82</v>
      </c>
      <c r="R81" s="40">
        <f t="shared" si="3"/>
        <v>0</v>
      </c>
      <c r="S81" s="40">
        <f>ROUND('Смета ЕР (общ) '!$N81*'Смета ЕР (общ) '!$Q81,2)</f>
        <v>0</v>
      </c>
      <c r="T81" s="40">
        <f>ROUND('Смета ЕР (общ) '!$N81*'Смета ЕР (общ) '!$R81,2)</f>
        <v>0</v>
      </c>
    </row>
    <row r="82" spans="1:25" ht="48" x14ac:dyDescent="0.3">
      <c r="A82" s="36" t="s">
        <v>36</v>
      </c>
      <c r="B82" s="36">
        <v>1</v>
      </c>
      <c r="C82" s="36"/>
      <c r="D82" s="36">
        <v>17</v>
      </c>
      <c r="E82" s="36" t="str">
        <f>CONCATENATE('Смета ЕР (общ) '!$A82,".",'Смета ЕР (общ) '!$B82,".",'Смета ЕР (общ) '!$D82)</f>
        <v>Р1.1.17</v>
      </c>
      <c r="F82" s="36">
        <f t="shared" si="4"/>
        <v>1</v>
      </c>
      <c r="G82" s="36" t="s">
        <v>37</v>
      </c>
      <c r="H82" s="36" t="s">
        <v>38</v>
      </c>
      <c r="I82" s="36"/>
      <c r="J82" s="36"/>
      <c r="K82" s="36"/>
      <c r="L82" s="37" t="s">
        <v>100</v>
      </c>
      <c r="M82" s="38" t="s">
        <v>40</v>
      </c>
      <c r="N82" s="39"/>
      <c r="O82" s="40">
        <v>96.48</v>
      </c>
      <c r="P82" s="40">
        <v>0</v>
      </c>
      <c r="Q82" s="40">
        <f t="shared" si="3"/>
        <v>96.48</v>
      </c>
      <c r="R82" s="40">
        <f t="shared" si="3"/>
        <v>0</v>
      </c>
      <c r="S82" s="40">
        <f>ROUND('Смета ЕР (общ) '!$N82*'Смета ЕР (общ) '!$Q82,2)</f>
        <v>0</v>
      </c>
      <c r="T82" s="40">
        <f>ROUND('Смета ЕР (общ) '!$N82*'Смета ЕР (общ) '!$R82,2)</f>
        <v>0</v>
      </c>
    </row>
    <row r="83" spans="1:25" ht="48" x14ac:dyDescent="0.3">
      <c r="A83" s="36" t="s">
        <v>36</v>
      </c>
      <c r="B83" s="36">
        <v>1</v>
      </c>
      <c r="C83" s="36"/>
      <c r="D83" s="36">
        <v>18</v>
      </c>
      <c r="E83" s="36" t="str">
        <f>CONCATENATE('Смета ЕР (общ) '!$A83,".",'Смета ЕР (общ) '!$B83,".",'Смета ЕР (общ) '!$D83)</f>
        <v>Р1.1.18</v>
      </c>
      <c r="F83" s="36">
        <f t="shared" si="4"/>
        <v>1</v>
      </c>
      <c r="G83" s="36" t="s">
        <v>37</v>
      </c>
      <c r="H83" s="36" t="s">
        <v>38</v>
      </c>
      <c r="I83" s="36"/>
      <c r="J83" s="36"/>
      <c r="K83" s="36"/>
      <c r="L83" s="37" t="s">
        <v>101</v>
      </c>
      <c r="M83" s="38" t="s">
        <v>40</v>
      </c>
      <c r="N83" s="39"/>
      <c r="O83" s="40">
        <v>123.58</v>
      </c>
      <c r="P83" s="40">
        <v>0</v>
      </c>
      <c r="Q83" s="40">
        <f t="shared" si="3"/>
        <v>123.58</v>
      </c>
      <c r="R83" s="40">
        <f t="shared" si="3"/>
        <v>0</v>
      </c>
      <c r="S83" s="40">
        <f>ROUND('Смета ЕР (общ) '!$N83*'Смета ЕР (общ) '!$Q83,2)</f>
        <v>0</v>
      </c>
      <c r="T83" s="40">
        <f>ROUND('Смета ЕР (общ) '!$N83*'Смета ЕР (общ) '!$R83,2)</f>
        <v>0</v>
      </c>
      <c r="Y83">
        <v>214</v>
      </c>
    </row>
    <row r="84" spans="1:25" ht="48" x14ac:dyDescent="0.3">
      <c r="A84" s="36" t="s">
        <v>36</v>
      </c>
      <c r="B84" s="36">
        <v>1</v>
      </c>
      <c r="C84" s="36"/>
      <c r="D84" s="36">
        <v>84</v>
      </c>
      <c r="E84" s="36" t="str">
        <f>CONCATENATE('Смета ЕР (общ) '!$A84,".",'Смета ЕР (общ) '!$B84,".",'Смета ЕР (общ) '!$D84)</f>
        <v>Р1.1.84</v>
      </c>
      <c r="F84" s="36">
        <f t="shared" si="4"/>
        <v>1</v>
      </c>
      <c r="G84" s="36" t="s">
        <v>37</v>
      </c>
      <c r="H84" s="36" t="s">
        <v>38</v>
      </c>
      <c r="I84" s="36"/>
      <c r="J84" s="36"/>
      <c r="K84" s="36"/>
      <c r="L84" s="37" t="s">
        <v>102</v>
      </c>
      <c r="M84" s="38" t="s">
        <v>64</v>
      </c>
      <c r="N84" s="39"/>
      <c r="O84" s="40">
        <v>13074.35</v>
      </c>
      <c r="P84" s="40">
        <v>0</v>
      </c>
      <c r="Q84" s="40">
        <f t="shared" si="3"/>
        <v>13074.35</v>
      </c>
      <c r="R84" s="40">
        <f t="shared" si="3"/>
        <v>0</v>
      </c>
      <c r="S84" s="40">
        <f>ROUND('Смета ЕР (общ) '!$N84*'Смета ЕР (общ) '!$Q84,2)</f>
        <v>0</v>
      </c>
      <c r="T84" s="40">
        <f>ROUND('Смета ЕР (общ) '!$N84*'Смета ЕР (общ) '!$R84,2)</f>
        <v>0</v>
      </c>
    </row>
    <row r="85" spans="1:25" ht="48" x14ac:dyDescent="0.3">
      <c r="A85" s="36" t="s">
        <v>36</v>
      </c>
      <c r="B85" s="36">
        <v>1</v>
      </c>
      <c r="C85" s="36"/>
      <c r="D85" s="36">
        <v>19</v>
      </c>
      <c r="E85" s="36" t="str">
        <f>CONCATENATE('Смета ЕР (общ) '!$A85,".",'Смета ЕР (общ) '!$B85,".",'Смета ЕР (общ) '!$D85)</f>
        <v>Р1.1.19</v>
      </c>
      <c r="F85" s="36">
        <f t="shared" si="4"/>
        <v>1</v>
      </c>
      <c r="G85" s="36" t="s">
        <v>37</v>
      </c>
      <c r="H85" s="36" t="s">
        <v>38</v>
      </c>
      <c r="I85" s="36"/>
      <c r="J85" s="36"/>
      <c r="K85" s="36"/>
      <c r="L85" s="37" t="s">
        <v>103</v>
      </c>
      <c r="M85" s="38" t="s">
        <v>40</v>
      </c>
      <c r="N85" s="39"/>
      <c r="O85" s="40">
        <v>190.9</v>
      </c>
      <c r="P85" s="40">
        <v>0</v>
      </c>
      <c r="Q85" s="40">
        <f t="shared" si="3"/>
        <v>190.9</v>
      </c>
      <c r="R85" s="40">
        <f t="shared" si="3"/>
        <v>0</v>
      </c>
      <c r="S85" s="40">
        <f>ROUND('Смета ЕР (общ) '!$N85*'Смета ЕР (общ) '!$Q85,2)</f>
        <v>0</v>
      </c>
      <c r="T85" s="40">
        <f>ROUND('Смета ЕР (общ) '!$N85*'Смета ЕР (общ) '!$R85,2)</f>
        <v>0</v>
      </c>
    </row>
    <row r="86" spans="1:25" ht="48" x14ac:dyDescent="0.3">
      <c r="A86" s="36" t="s">
        <v>36</v>
      </c>
      <c r="B86" s="36">
        <v>1</v>
      </c>
      <c r="C86" s="36"/>
      <c r="D86" s="36">
        <v>20</v>
      </c>
      <c r="E86" s="36" t="str">
        <f>CONCATENATE('Смета ЕР (общ) '!$A86,".",'Смета ЕР (общ) '!$B86,".",'Смета ЕР (общ) '!$D86)</f>
        <v>Р1.1.20</v>
      </c>
      <c r="F86" s="36">
        <f t="shared" si="4"/>
        <v>1</v>
      </c>
      <c r="G86" s="36" t="s">
        <v>37</v>
      </c>
      <c r="H86" s="36" t="s">
        <v>38</v>
      </c>
      <c r="I86" s="36"/>
      <c r="J86" s="36"/>
      <c r="K86" s="36"/>
      <c r="L86" s="37" t="s">
        <v>104</v>
      </c>
      <c r="M86" s="38" t="s">
        <v>40</v>
      </c>
      <c r="N86" s="39"/>
      <c r="O86" s="44">
        <v>0</v>
      </c>
      <c r="P86" s="40">
        <v>0</v>
      </c>
      <c r="Q86" s="40">
        <f t="shared" si="3"/>
        <v>0</v>
      </c>
      <c r="R86" s="40">
        <f t="shared" si="3"/>
        <v>0</v>
      </c>
      <c r="S86" s="40">
        <f>ROUND('Смета ЕР (общ) '!$N86*'Смета ЕР (общ) '!$Q86,2)</f>
        <v>0</v>
      </c>
      <c r="T86" s="40">
        <f>ROUND('Смета ЕР (общ) '!$N86*'Смета ЕР (общ) '!$R86,2)</f>
        <v>0</v>
      </c>
      <c r="U86" s="35" t="s">
        <v>95</v>
      </c>
    </row>
    <row r="87" spans="1:25" ht="48" x14ac:dyDescent="0.3">
      <c r="A87" s="36" t="s">
        <v>36</v>
      </c>
      <c r="B87" s="36">
        <v>1</v>
      </c>
      <c r="C87" s="36"/>
      <c r="D87" s="36">
        <v>21</v>
      </c>
      <c r="E87" s="36" t="str">
        <f>CONCATENATE('Смета ЕР (общ) '!$A87,".",'Смета ЕР (общ) '!$B87,".",'Смета ЕР (общ) '!$D87)</f>
        <v>Р1.1.21</v>
      </c>
      <c r="F87" s="36">
        <f t="shared" si="4"/>
        <v>1</v>
      </c>
      <c r="G87" s="36" t="s">
        <v>37</v>
      </c>
      <c r="H87" s="36" t="s">
        <v>38</v>
      </c>
      <c r="I87" s="36"/>
      <c r="J87" s="36"/>
      <c r="K87" s="36"/>
      <c r="L87" s="37" t="s">
        <v>105</v>
      </c>
      <c r="M87" s="38" t="s">
        <v>40</v>
      </c>
      <c r="N87" s="39"/>
      <c r="O87" s="40">
        <v>98.96</v>
      </c>
      <c r="P87" s="40">
        <v>0</v>
      </c>
      <c r="Q87" s="40">
        <f t="shared" si="3"/>
        <v>98.96</v>
      </c>
      <c r="R87" s="40">
        <f t="shared" si="3"/>
        <v>0</v>
      </c>
      <c r="S87" s="40">
        <f>ROUND('Смета ЕР (общ) '!$N87*'Смета ЕР (общ) '!$Q87,2)</f>
        <v>0</v>
      </c>
      <c r="T87" s="40">
        <f>ROUND('Смета ЕР (общ) '!$N87*'Смета ЕР (общ) '!$R87,2)</f>
        <v>0</v>
      </c>
    </row>
    <row r="88" spans="1:25" ht="48" x14ac:dyDescent="0.3">
      <c r="A88" s="36" t="s">
        <v>36</v>
      </c>
      <c r="B88" s="36">
        <v>1</v>
      </c>
      <c r="C88" s="36"/>
      <c r="D88" s="36">
        <v>22</v>
      </c>
      <c r="E88" s="36" t="str">
        <f>CONCATENATE('Смета ЕР (общ) '!$A88,".",'Смета ЕР (общ) '!$B88,".",'Смета ЕР (общ) '!$D88)</f>
        <v>Р1.1.22</v>
      </c>
      <c r="F88" s="36">
        <f t="shared" si="4"/>
        <v>1</v>
      </c>
      <c r="G88" s="36" t="s">
        <v>37</v>
      </c>
      <c r="H88" s="36" t="s">
        <v>38</v>
      </c>
      <c r="I88" s="36"/>
      <c r="J88" s="36"/>
      <c r="K88" s="36"/>
      <c r="L88" s="37" t="s">
        <v>106</v>
      </c>
      <c r="M88" s="38" t="s">
        <v>40</v>
      </c>
      <c r="N88" s="39"/>
      <c r="O88" s="44">
        <v>0</v>
      </c>
      <c r="P88" s="40">
        <v>0</v>
      </c>
      <c r="Q88" s="40">
        <f t="shared" si="3"/>
        <v>0</v>
      </c>
      <c r="R88" s="40">
        <f t="shared" si="3"/>
        <v>0</v>
      </c>
      <c r="S88" s="40">
        <f>ROUND('Смета ЕР (общ) '!$N88*'Смета ЕР (общ) '!$Q88,2)</f>
        <v>0</v>
      </c>
      <c r="T88" s="40">
        <f>ROUND('Смета ЕР (общ) '!$N88*'Смета ЕР (общ) '!$R88,2)</f>
        <v>0</v>
      </c>
      <c r="U88" s="35" t="s">
        <v>95</v>
      </c>
    </row>
    <row r="89" spans="1:25" ht="48" x14ac:dyDescent="0.3">
      <c r="A89" s="36" t="s">
        <v>36</v>
      </c>
      <c r="B89" s="36">
        <v>1</v>
      </c>
      <c r="C89" s="36"/>
      <c r="D89" s="36">
        <v>23</v>
      </c>
      <c r="E89" s="36" t="str">
        <f>CONCATENATE('Смета ЕР (общ) '!$A89,".",'Смета ЕР (общ) '!$B89,".",'Смета ЕР (общ) '!$D89)</f>
        <v>Р1.1.23</v>
      </c>
      <c r="F89" s="36">
        <f t="shared" si="4"/>
        <v>1</v>
      </c>
      <c r="G89" s="36" t="s">
        <v>37</v>
      </c>
      <c r="H89" s="36" t="s">
        <v>38</v>
      </c>
      <c r="I89" s="36"/>
      <c r="J89" s="36"/>
      <c r="K89" s="36"/>
      <c r="L89" s="37" t="s">
        <v>107</v>
      </c>
      <c r="M89" s="38" t="s">
        <v>40</v>
      </c>
      <c r="N89" s="39"/>
      <c r="O89" s="44">
        <v>0</v>
      </c>
      <c r="P89" s="40">
        <v>0</v>
      </c>
      <c r="Q89" s="40">
        <f t="shared" si="3"/>
        <v>0</v>
      </c>
      <c r="R89" s="40">
        <f t="shared" si="3"/>
        <v>0</v>
      </c>
      <c r="S89" s="40">
        <f>ROUND('Смета ЕР (общ) '!$N89*'Смета ЕР (общ) '!$Q89,2)</f>
        <v>0</v>
      </c>
      <c r="T89" s="40">
        <f>ROUND('Смета ЕР (общ) '!$N89*'Смета ЕР (общ) '!$R89,2)</f>
        <v>0</v>
      </c>
      <c r="U89" s="35" t="s">
        <v>95</v>
      </c>
    </row>
    <row r="90" spans="1:25" ht="48" x14ac:dyDescent="0.3">
      <c r="A90" s="36" t="s">
        <v>36</v>
      </c>
      <c r="B90" s="36">
        <v>1</v>
      </c>
      <c r="C90" s="36"/>
      <c r="D90" s="36">
        <v>24</v>
      </c>
      <c r="E90" s="36" t="str">
        <f>CONCATENATE('Смета ЕР (общ) '!$A90,".",'Смета ЕР (общ) '!$B90,".",'Смета ЕР (общ) '!$D90)</f>
        <v>Р1.1.24</v>
      </c>
      <c r="F90" s="36">
        <f t="shared" si="4"/>
        <v>1</v>
      </c>
      <c r="G90" s="36" t="s">
        <v>37</v>
      </c>
      <c r="H90" s="36" t="s">
        <v>38</v>
      </c>
      <c r="I90" s="36"/>
      <c r="J90" s="36"/>
      <c r="K90" s="36"/>
      <c r="L90" s="37" t="s">
        <v>108</v>
      </c>
      <c r="M90" s="38" t="s">
        <v>40</v>
      </c>
      <c r="N90" s="39"/>
      <c r="O90" s="44">
        <v>0</v>
      </c>
      <c r="P90" s="40">
        <v>0</v>
      </c>
      <c r="Q90" s="40">
        <f t="shared" si="3"/>
        <v>0</v>
      </c>
      <c r="R90" s="40">
        <f t="shared" si="3"/>
        <v>0</v>
      </c>
      <c r="S90" s="40">
        <f>ROUND('Смета ЕР (общ) '!$N90*'Смета ЕР (общ) '!$Q90,2)</f>
        <v>0</v>
      </c>
      <c r="T90" s="40">
        <f>ROUND('Смета ЕР (общ) '!$N90*'Смета ЕР (общ) '!$R90,2)</f>
        <v>0</v>
      </c>
      <c r="U90" s="35" t="s">
        <v>95</v>
      </c>
    </row>
    <row r="91" spans="1:25" ht="48" x14ac:dyDescent="0.3">
      <c r="A91" s="36" t="s">
        <v>36</v>
      </c>
      <c r="B91" s="36">
        <v>1</v>
      </c>
      <c r="C91" s="36"/>
      <c r="D91" s="36">
        <v>27</v>
      </c>
      <c r="E91" s="36" t="str">
        <f>CONCATENATE('Смета ЕР (общ) '!$A91,".",'Смета ЕР (общ) '!$B91,".",'Смета ЕР (общ) '!$D91)</f>
        <v>Р1.1.27</v>
      </c>
      <c r="F91" s="36">
        <f t="shared" si="4"/>
        <v>1</v>
      </c>
      <c r="G91" s="36" t="s">
        <v>37</v>
      </c>
      <c r="H91" s="36" t="s">
        <v>38</v>
      </c>
      <c r="I91" s="36"/>
      <c r="J91" s="36"/>
      <c r="K91" s="36"/>
      <c r="L91" s="37" t="s">
        <v>109</v>
      </c>
      <c r="M91" s="38" t="s">
        <v>40</v>
      </c>
      <c r="N91" s="39"/>
      <c r="O91" s="40">
        <v>114.84</v>
      </c>
      <c r="P91" s="40">
        <v>0</v>
      </c>
      <c r="Q91" s="40">
        <f t="shared" si="3"/>
        <v>114.84</v>
      </c>
      <c r="R91" s="40">
        <f t="shared" si="3"/>
        <v>0</v>
      </c>
      <c r="S91" s="40">
        <f>ROUND('Смета ЕР (общ) '!$N91*'Смета ЕР (общ) '!$Q91,2)</f>
        <v>0</v>
      </c>
      <c r="T91" s="40">
        <f>ROUND('Смета ЕР (общ) '!$N91*'Смета ЕР (общ) '!$R91,2)</f>
        <v>0</v>
      </c>
    </row>
    <row r="92" spans="1:25" ht="48" x14ac:dyDescent="0.3">
      <c r="A92" s="36" t="s">
        <v>36</v>
      </c>
      <c r="B92" s="36">
        <v>1</v>
      </c>
      <c r="C92" s="36"/>
      <c r="D92" s="36">
        <v>28</v>
      </c>
      <c r="E92" s="36" t="str">
        <f>CONCATENATE('Смета ЕР (общ) '!$A92,".",'Смета ЕР (общ) '!$B92,".",'Смета ЕР (общ) '!$D92)</f>
        <v>Р1.1.28</v>
      </c>
      <c r="F92" s="36">
        <f t="shared" si="4"/>
        <v>1</v>
      </c>
      <c r="G92" s="36" t="s">
        <v>37</v>
      </c>
      <c r="H92" s="36" t="s">
        <v>38</v>
      </c>
      <c r="I92" s="36"/>
      <c r="J92" s="36"/>
      <c r="K92" s="36"/>
      <c r="L92" s="37" t="s">
        <v>110</v>
      </c>
      <c r="M92" s="38" t="s">
        <v>40</v>
      </c>
      <c r="N92" s="39"/>
      <c r="O92" s="40">
        <v>52.25</v>
      </c>
      <c r="P92" s="40">
        <v>0</v>
      </c>
      <c r="Q92" s="40">
        <f t="shared" ref="Q92:R123" si="5">ROUND(O92-O92*$V$3,2)</f>
        <v>52.25</v>
      </c>
      <c r="R92" s="40">
        <f t="shared" si="5"/>
        <v>0</v>
      </c>
      <c r="S92" s="40">
        <f>ROUND('Смета ЕР (общ) '!$N92*'Смета ЕР (общ) '!$Q92,2)</f>
        <v>0</v>
      </c>
      <c r="T92" s="40">
        <f>ROUND('Смета ЕР (общ) '!$N92*'Смета ЕР (общ) '!$R92,2)</f>
        <v>0</v>
      </c>
    </row>
    <row r="93" spans="1:25" ht="48" x14ac:dyDescent="0.3">
      <c r="A93" s="36" t="s">
        <v>36</v>
      </c>
      <c r="B93" s="36">
        <v>1</v>
      </c>
      <c r="C93" s="36"/>
      <c r="D93" s="36">
        <v>32</v>
      </c>
      <c r="E93" s="36" t="str">
        <f>CONCATENATE('Смета ЕР (общ) '!$A93,".",'Смета ЕР (общ) '!$B93,".",'Смета ЕР (общ) '!$D93)</f>
        <v>Р1.1.32</v>
      </c>
      <c r="F93" s="36">
        <f t="shared" si="4"/>
        <v>1</v>
      </c>
      <c r="G93" s="36" t="s">
        <v>37</v>
      </c>
      <c r="H93" s="36" t="s">
        <v>38</v>
      </c>
      <c r="I93" s="36"/>
      <c r="J93" s="36"/>
      <c r="K93" s="36"/>
      <c r="L93" s="37" t="s">
        <v>111</v>
      </c>
      <c r="M93" s="38" t="s">
        <v>40</v>
      </c>
      <c r="N93" s="39"/>
      <c r="O93" s="44">
        <v>0</v>
      </c>
      <c r="P93" s="40">
        <v>0</v>
      </c>
      <c r="Q93" s="40">
        <f t="shared" si="5"/>
        <v>0</v>
      </c>
      <c r="R93" s="40">
        <f t="shared" si="5"/>
        <v>0</v>
      </c>
      <c r="S93" s="40">
        <f>ROUND('Смета ЕР (общ) '!$N93*'Смета ЕР (общ) '!$Q93,2)</f>
        <v>0</v>
      </c>
      <c r="T93" s="40">
        <f>ROUND('Смета ЕР (общ) '!$N93*'Смета ЕР (общ) '!$R93,2)</f>
        <v>0</v>
      </c>
      <c r="U93" s="35" t="s">
        <v>95</v>
      </c>
    </row>
    <row r="94" spans="1:25" ht="48" x14ac:dyDescent="0.3">
      <c r="A94" s="36" t="s">
        <v>36</v>
      </c>
      <c r="B94" s="36">
        <v>1</v>
      </c>
      <c r="C94" s="36"/>
      <c r="D94" s="36">
        <v>34</v>
      </c>
      <c r="E94" s="36" t="str">
        <f>CONCATENATE('Смета ЕР (общ) '!$A94,".",'Смета ЕР (общ) '!$B94,".",'Смета ЕР (общ) '!$D94)</f>
        <v>Р1.1.34</v>
      </c>
      <c r="F94" s="36">
        <f t="shared" si="4"/>
        <v>1</v>
      </c>
      <c r="G94" s="36" t="s">
        <v>37</v>
      </c>
      <c r="H94" s="36" t="s">
        <v>38</v>
      </c>
      <c r="I94" s="36"/>
      <c r="J94" s="36"/>
      <c r="K94" s="36"/>
      <c r="L94" s="37" t="s">
        <v>112</v>
      </c>
      <c r="M94" s="38" t="s">
        <v>40</v>
      </c>
      <c r="N94" s="39"/>
      <c r="O94" s="40">
        <v>30.63</v>
      </c>
      <c r="P94" s="40">
        <v>0</v>
      </c>
      <c r="Q94" s="40">
        <f t="shared" si="5"/>
        <v>30.63</v>
      </c>
      <c r="R94" s="40">
        <f t="shared" si="5"/>
        <v>0</v>
      </c>
      <c r="S94" s="40">
        <f>ROUND('Смета ЕР (общ) '!$N94*'Смета ЕР (общ) '!$Q94,2)</f>
        <v>0</v>
      </c>
      <c r="T94" s="40">
        <f>ROUND('Смета ЕР (общ) '!$N94*'Смета ЕР (общ) '!$R94,2)</f>
        <v>0</v>
      </c>
    </row>
    <row r="95" spans="1:25" ht="48" x14ac:dyDescent="0.3">
      <c r="A95" s="36" t="s">
        <v>36</v>
      </c>
      <c r="B95" s="36">
        <v>1</v>
      </c>
      <c r="C95" s="36"/>
      <c r="D95" s="36">
        <v>92</v>
      </c>
      <c r="E95" s="36" t="str">
        <f>CONCATENATE('Смета ЕР (общ) '!$A95,".",'Смета ЕР (общ) '!$B95,".",'Смета ЕР (общ) '!$D95)</f>
        <v>Р1.1.92</v>
      </c>
      <c r="F95" s="36">
        <f t="shared" si="4"/>
        <v>1</v>
      </c>
      <c r="G95" s="36" t="s">
        <v>37</v>
      </c>
      <c r="H95" s="36" t="s">
        <v>38</v>
      </c>
      <c r="I95" s="36"/>
      <c r="J95" s="36"/>
      <c r="K95" s="36"/>
      <c r="L95" s="37" t="s">
        <v>113</v>
      </c>
      <c r="M95" s="38" t="s">
        <v>64</v>
      </c>
      <c r="N95" s="39"/>
      <c r="O95" s="40">
        <v>10207.56</v>
      </c>
      <c r="P95" s="40">
        <v>0</v>
      </c>
      <c r="Q95" s="40">
        <f t="shared" si="5"/>
        <v>10207.56</v>
      </c>
      <c r="R95" s="40">
        <f t="shared" si="5"/>
        <v>0</v>
      </c>
      <c r="S95" s="40">
        <f>ROUND('Смета ЕР (общ) '!$N95*'Смета ЕР (общ) '!$Q95,2)</f>
        <v>0</v>
      </c>
      <c r="T95" s="40">
        <f>ROUND('Смета ЕР (общ) '!$N95*'Смета ЕР (общ) '!$R95,2)</f>
        <v>0</v>
      </c>
    </row>
    <row r="96" spans="1:25" ht="48" x14ac:dyDescent="0.3">
      <c r="A96" s="36" t="s">
        <v>36</v>
      </c>
      <c r="B96" s="36">
        <v>1</v>
      </c>
      <c r="C96" s="36"/>
      <c r="D96" s="36">
        <v>35</v>
      </c>
      <c r="E96" s="36" t="str">
        <f>CONCATENATE('Смета ЕР (общ) '!$A96,".",'Смета ЕР (общ) '!$B96,".",'Смета ЕР (общ) '!$D96)</f>
        <v>Р1.1.35</v>
      </c>
      <c r="F96" s="36">
        <f>IF(N96&gt;0,F94+1,F94)</f>
        <v>1</v>
      </c>
      <c r="G96" s="36" t="s">
        <v>37</v>
      </c>
      <c r="H96" s="36" t="s">
        <v>38</v>
      </c>
      <c r="I96" s="36"/>
      <c r="J96" s="36"/>
      <c r="K96" s="36"/>
      <c r="L96" s="37" t="s">
        <v>114</v>
      </c>
      <c r="M96" s="38" t="s">
        <v>40</v>
      </c>
      <c r="N96" s="39"/>
      <c r="O96" s="40">
        <v>76.52</v>
      </c>
      <c r="P96" s="40">
        <v>0</v>
      </c>
      <c r="Q96" s="40">
        <f t="shared" si="5"/>
        <v>76.52</v>
      </c>
      <c r="R96" s="40">
        <f t="shared" si="5"/>
        <v>0</v>
      </c>
      <c r="S96" s="40">
        <f>ROUND('Смета ЕР (общ) '!$N96*'Смета ЕР (общ) '!$Q96,2)</f>
        <v>0</v>
      </c>
      <c r="T96" s="40">
        <f>ROUND('Смета ЕР (общ) '!$N96*'Смета ЕР (общ) '!$R96,2)</f>
        <v>0</v>
      </c>
    </row>
    <row r="97" spans="1:25" ht="48" x14ac:dyDescent="0.3">
      <c r="A97" s="36" t="s">
        <v>36</v>
      </c>
      <c r="B97" s="36">
        <v>1</v>
      </c>
      <c r="C97" s="36"/>
      <c r="D97" s="36">
        <v>38</v>
      </c>
      <c r="E97" s="36" t="str">
        <f>CONCATENATE('Смета ЕР (общ) '!$A97,".",'Смета ЕР (общ) '!$B97,".",'Смета ЕР (общ) '!$D97)</f>
        <v>Р1.1.38</v>
      </c>
      <c r="F97" s="36">
        <f t="shared" si="4"/>
        <v>1</v>
      </c>
      <c r="G97" s="36" t="s">
        <v>37</v>
      </c>
      <c r="H97" s="36" t="s">
        <v>38</v>
      </c>
      <c r="I97" s="36"/>
      <c r="J97" s="36"/>
      <c r="K97" s="36"/>
      <c r="L97" s="37" t="s">
        <v>115</v>
      </c>
      <c r="M97" s="38" t="s">
        <v>40</v>
      </c>
      <c r="N97" s="39"/>
      <c r="O97" s="44">
        <v>0</v>
      </c>
      <c r="P97" s="40">
        <v>0</v>
      </c>
      <c r="Q97" s="40">
        <f t="shared" si="5"/>
        <v>0</v>
      </c>
      <c r="R97" s="40">
        <f t="shared" si="5"/>
        <v>0</v>
      </c>
      <c r="S97" s="40">
        <f>ROUND('Смета ЕР (общ) '!$N97*'Смета ЕР (общ) '!$Q97,2)</f>
        <v>0</v>
      </c>
      <c r="T97" s="40">
        <f>ROUND('Смета ЕР (общ) '!$N97*'Смета ЕР (общ) '!$R97,2)</f>
        <v>0</v>
      </c>
      <c r="U97" s="35" t="s">
        <v>95</v>
      </c>
    </row>
    <row r="98" spans="1:25" ht="48" x14ac:dyDescent="0.3">
      <c r="A98" s="36" t="s">
        <v>36</v>
      </c>
      <c r="B98" s="36">
        <v>1</v>
      </c>
      <c r="C98" s="36"/>
      <c r="D98" s="36">
        <v>39</v>
      </c>
      <c r="E98" s="36" t="str">
        <f>CONCATENATE('Смета ЕР (общ) '!$A98,".",'Смета ЕР (общ) '!$B98,".",'Смета ЕР (общ) '!$D98)</f>
        <v>Р1.1.39</v>
      </c>
      <c r="F98" s="36">
        <f t="shared" si="4"/>
        <v>1</v>
      </c>
      <c r="G98" s="36" t="s">
        <v>37</v>
      </c>
      <c r="H98" s="36" t="s">
        <v>38</v>
      </c>
      <c r="I98" s="36"/>
      <c r="J98" s="36"/>
      <c r="K98" s="36"/>
      <c r="L98" s="37" t="s">
        <v>116</v>
      </c>
      <c r="M98" s="38" t="s">
        <v>40</v>
      </c>
      <c r="N98" s="39"/>
      <c r="O98" s="44">
        <v>0</v>
      </c>
      <c r="P98" s="40">
        <v>0</v>
      </c>
      <c r="Q98" s="40">
        <f t="shared" si="5"/>
        <v>0</v>
      </c>
      <c r="R98" s="40">
        <f t="shared" si="5"/>
        <v>0</v>
      </c>
      <c r="S98" s="40">
        <f>ROUND('Смета ЕР (общ) '!$N98*'Смета ЕР (общ) '!$Q98,2)</f>
        <v>0</v>
      </c>
      <c r="T98" s="40">
        <f>ROUND('Смета ЕР (общ) '!$N98*'Смета ЕР (общ) '!$R98,2)</f>
        <v>0</v>
      </c>
      <c r="U98" s="35" t="s">
        <v>95</v>
      </c>
    </row>
    <row r="99" spans="1:25" ht="48" x14ac:dyDescent="0.3">
      <c r="A99" s="36" t="s">
        <v>36</v>
      </c>
      <c r="B99" s="36">
        <v>1</v>
      </c>
      <c r="C99" s="36"/>
      <c r="D99" s="36">
        <v>40</v>
      </c>
      <c r="E99" s="36" t="str">
        <f>CONCATENATE('Смета ЕР (общ) '!$A99,".",'Смета ЕР (общ) '!$B99,".",'Смета ЕР (общ) '!$D99)</f>
        <v>Р1.1.40</v>
      </c>
      <c r="F99" s="36">
        <f t="shared" si="4"/>
        <v>1</v>
      </c>
      <c r="G99" s="36" t="s">
        <v>37</v>
      </c>
      <c r="H99" s="36" t="s">
        <v>38</v>
      </c>
      <c r="I99" s="36"/>
      <c r="J99" s="36"/>
      <c r="K99" s="36"/>
      <c r="L99" s="37" t="s">
        <v>117</v>
      </c>
      <c r="M99" s="38" t="s">
        <v>118</v>
      </c>
      <c r="N99" s="39"/>
      <c r="O99" s="40">
        <v>16168.42</v>
      </c>
      <c r="P99" s="40">
        <v>0</v>
      </c>
      <c r="Q99" s="40">
        <f t="shared" si="5"/>
        <v>16168.42</v>
      </c>
      <c r="R99" s="40">
        <f t="shared" si="5"/>
        <v>0</v>
      </c>
      <c r="S99" s="40">
        <f>ROUND('Смета ЕР (общ) '!$N99*'Смета ЕР (общ) '!$Q99,2)</f>
        <v>0</v>
      </c>
      <c r="T99" s="40">
        <f>ROUND('Смета ЕР (общ) '!$N99*'Смета ЕР (общ) '!$R99,2)</f>
        <v>0</v>
      </c>
    </row>
    <row r="100" spans="1:25" ht="48" x14ac:dyDescent="0.3">
      <c r="A100" s="36" t="s">
        <v>36</v>
      </c>
      <c r="B100" s="36">
        <v>1</v>
      </c>
      <c r="C100" s="36"/>
      <c r="D100" s="36">
        <v>41</v>
      </c>
      <c r="E100" s="36" t="str">
        <f>CONCATENATE('Смета ЕР (общ) '!$A100,".",'Смета ЕР (общ) '!$B100,".",'Смета ЕР (общ) '!$D100)</f>
        <v>Р1.1.41</v>
      </c>
      <c r="F100" s="36">
        <f t="shared" si="4"/>
        <v>1</v>
      </c>
      <c r="G100" s="36" t="s">
        <v>37</v>
      </c>
      <c r="H100" s="36" t="s">
        <v>38</v>
      </c>
      <c r="I100" s="36"/>
      <c r="J100" s="36"/>
      <c r="K100" s="36"/>
      <c r="L100" s="37" t="s">
        <v>119</v>
      </c>
      <c r="M100" s="38" t="s">
        <v>64</v>
      </c>
      <c r="N100" s="39"/>
      <c r="O100" s="40">
        <v>23438.15</v>
      </c>
      <c r="P100" s="40">
        <v>0</v>
      </c>
      <c r="Q100" s="40">
        <f t="shared" si="5"/>
        <v>23438.15</v>
      </c>
      <c r="R100" s="40">
        <f t="shared" si="5"/>
        <v>0</v>
      </c>
      <c r="S100" s="40">
        <f>ROUND('Смета ЕР (общ) '!$N100*'Смета ЕР (общ) '!$Q100,2)</f>
        <v>0</v>
      </c>
      <c r="T100" s="40">
        <f>ROUND('Смета ЕР (общ) '!$N100*'Смета ЕР (общ) '!$R100,2)</f>
        <v>0</v>
      </c>
    </row>
    <row r="101" spans="1:25" ht="48" x14ac:dyDescent="0.3">
      <c r="A101" s="36" t="s">
        <v>36</v>
      </c>
      <c r="B101" s="36">
        <v>1</v>
      </c>
      <c r="C101" s="36"/>
      <c r="D101" s="36">
        <v>85</v>
      </c>
      <c r="E101" s="36" t="str">
        <f>CONCATENATE('Смета ЕР (общ) '!$A101,".",'Смета ЕР (общ) '!$B101,".",'Смета ЕР (общ) '!$D101)</f>
        <v>Р1.1.85</v>
      </c>
      <c r="F101" s="36">
        <f t="shared" si="4"/>
        <v>1</v>
      </c>
      <c r="G101" s="36" t="s">
        <v>37</v>
      </c>
      <c r="H101" s="36" t="s">
        <v>38</v>
      </c>
      <c r="I101" s="36"/>
      <c r="J101" s="36"/>
      <c r="K101" s="36"/>
      <c r="L101" s="37" t="s">
        <v>120</v>
      </c>
      <c r="M101" s="38" t="s">
        <v>40</v>
      </c>
      <c r="N101" s="39"/>
      <c r="O101" s="40">
        <v>17.8</v>
      </c>
      <c r="P101" s="40">
        <v>0</v>
      </c>
      <c r="Q101" s="40">
        <f t="shared" si="5"/>
        <v>17.8</v>
      </c>
      <c r="R101" s="40">
        <f t="shared" si="5"/>
        <v>0</v>
      </c>
      <c r="S101" s="40">
        <f>ROUND('Смета ЕР (общ) '!$N101*'Смета ЕР (общ) '!$Q101,2)</f>
        <v>0</v>
      </c>
      <c r="T101" s="40">
        <f>ROUND('Смета ЕР (общ) '!$N101*'Смета ЕР (общ) '!$R101,2)</f>
        <v>0</v>
      </c>
    </row>
    <row r="102" spans="1:25" s="46" customFormat="1" ht="48" x14ac:dyDescent="0.3">
      <c r="A102" s="36" t="s">
        <v>36</v>
      </c>
      <c r="B102" s="36">
        <v>1</v>
      </c>
      <c r="C102" s="36"/>
      <c r="D102" s="36">
        <v>86</v>
      </c>
      <c r="E102" s="36" t="str">
        <f>CONCATENATE('Смета ЕР (общ) '!$A102,".",'Смета ЕР (общ) '!$B102,".",'Смета ЕР (общ) '!$D102)</f>
        <v>Р1.1.86</v>
      </c>
      <c r="F102" s="36">
        <f t="shared" si="4"/>
        <v>1</v>
      </c>
      <c r="G102" s="36" t="s">
        <v>37</v>
      </c>
      <c r="H102" s="36" t="s">
        <v>38</v>
      </c>
      <c r="I102" s="36"/>
      <c r="J102" s="36"/>
      <c r="K102" s="36"/>
      <c r="L102" s="37" t="s">
        <v>121</v>
      </c>
      <c r="M102" s="38" t="s">
        <v>64</v>
      </c>
      <c r="N102" s="39"/>
      <c r="O102" s="40">
        <v>132501.92000000001</v>
      </c>
      <c r="P102" s="40">
        <v>0</v>
      </c>
      <c r="Q102" s="40">
        <f t="shared" si="5"/>
        <v>132501.92000000001</v>
      </c>
      <c r="R102" s="40">
        <f t="shared" si="5"/>
        <v>0</v>
      </c>
      <c r="S102" s="40">
        <f>ROUND('Смета ЕР (общ) '!$N102*'Смета ЕР (общ) '!$Q102,2)</f>
        <v>0</v>
      </c>
      <c r="T102" s="40">
        <f>ROUND('Смета ЕР (общ) '!$N102*'Смета ЕР (общ) '!$R102,2)</f>
        <v>0</v>
      </c>
      <c r="U102" s="45" t="s">
        <v>122</v>
      </c>
    </row>
    <row r="103" spans="1:25" s="46" customFormat="1" ht="48" x14ac:dyDescent="0.3">
      <c r="A103" s="36" t="s">
        <v>36</v>
      </c>
      <c r="B103" s="36">
        <v>1</v>
      </c>
      <c r="C103" s="36"/>
      <c r="D103" s="36">
        <v>87</v>
      </c>
      <c r="E103" s="36" t="str">
        <f>CONCATENATE('Смета ЕР (общ) '!$A103,".",'Смета ЕР (общ) '!$B103,".",'Смета ЕР (общ) '!$D103)</f>
        <v>Р1.1.87</v>
      </c>
      <c r="F103" s="36">
        <f t="shared" si="4"/>
        <v>1</v>
      </c>
      <c r="G103" s="36" t="s">
        <v>37</v>
      </c>
      <c r="H103" s="36" t="s">
        <v>38</v>
      </c>
      <c r="I103" s="36"/>
      <c r="J103" s="36"/>
      <c r="K103" s="36"/>
      <c r="L103" s="37" t="s">
        <v>123</v>
      </c>
      <c r="M103" s="38" t="s">
        <v>64</v>
      </c>
      <c r="N103" s="39"/>
      <c r="O103" s="40">
        <v>134515.32999999999</v>
      </c>
      <c r="P103" s="40">
        <v>0</v>
      </c>
      <c r="Q103" s="40">
        <f t="shared" si="5"/>
        <v>134515.32999999999</v>
      </c>
      <c r="R103" s="40">
        <f t="shared" si="5"/>
        <v>0</v>
      </c>
      <c r="S103" s="40">
        <f>ROUND('Смета ЕР (общ) '!$N103*'Смета ЕР (общ) '!$Q103,2)</f>
        <v>0</v>
      </c>
      <c r="T103" s="40">
        <f>ROUND('Смета ЕР (общ) '!$N103*'Смета ЕР (общ) '!$R103,2)</f>
        <v>0</v>
      </c>
      <c r="U103" s="45" t="s">
        <v>122</v>
      </c>
    </row>
    <row r="104" spans="1:25" s="46" customFormat="1" ht="48" x14ac:dyDescent="0.3">
      <c r="A104" s="36" t="s">
        <v>36</v>
      </c>
      <c r="B104" s="36">
        <v>1</v>
      </c>
      <c r="C104" s="36"/>
      <c r="D104" s="36">
        <v>88</v>
      </c>
      <c r="E104" s="36" t="str">
        <f>CONCATENATE('Смета ЕР (общ) '!$A104,".",'Смета ЕР (общ) '!$B104,".",'Смета ЕР (общ) '!$D104)</f>
        <v>Р1.1.88</v>
      </c>
      <c r="F104" s="36">
        <f t="shared" si="4"/>
        <v>1</v>
      </c>
      <c r="G104" s="36" t="s">
        <v>37</v>
      </c>
      <c r="H104" s="36" t="s">
        <v>38</v>
      </c>
      <c r="I104" s="36"/>
      <c r="J104" s="36"/>
      <c r="K104" s="36"/>
      <c r="L104" s="37" t="s">
        <v>124</v>
      </c>
      <c r="M104" s="38" t="s">
        <v>125</v>
      </c>
      <c r="N104" s="39"/>
      <c r="O104" s="40">
        <v>137099.85999999999</v>
      </c>
      <c r="P104" s="40">
        <v>0</v>
      </c>
      <c r="Q104" s="40">
        <f t="shared" si="5"/>
        <v>137099.85999999999</v>
      </c>
      <c r="R104" s="40">
        <f t="shared" si="5"/>
        <v>0</v>
      </c>
      <c r="S104" s="40">
        <f>ROUND('Смета ЕР (общ) '!$N104*'Смета ЕР (общ) '!$Q104,2)</f>
        <v>0</v>
      </c>
      <c r="T104" s="40">
        <f>ROUND('Смета ЕР (общ) '!$N104*'Смета ЕР (общ) '!$R104,2)</f>
        <v>0</v>
      </c>
      <c r="U104" s="45" t="s">
        <v>122</v>
      </c>
    </row>
    <row r="105" spans="1:25" s="46" customFormat="1" ht="48" x14ac:dyDescent="0.3">
      <c r="A105" s="36" t="s">
        <v>36</v>
      </c>
      <c r="B105" s="36">
        <v>1</v>
      </c>
      <c r="C105" s="36"/>
      <c r="D105" s="36">
        <v>89</v>
      </c>
      <c r="E105" s="36" t="str">
        <f>CONCATENATE('Смета ЕР (общ) '!$A105,".",'Смета ЕР (общ) '!$B105,".",'Смета ЕР (общ) '!$D105)</f>
        <v>Р1.1.89</v>
      </c>
      <c r="F105" s="36">
        <f t="shared" si="4"/>
        <v>1</v>
      </c>
      <c r="G105" s="36" t="s">
        <v>37</v>
      </c>
      <c r="H105" s="36" t="s">
        <v>38</v>
      </c>
      <c r="I105" s="36"/>
      <c r="J105" s="36"/>
      <c r="K105" s="36"/>
      <c r="L105" s="37" t="s">
        <v>97</v>
      </c>
      <c r="M105" s="38" t="s">
        <v>64</v>
      </c>
      <c r="N105" s="39"/>
      <c r="O105" s="40">
        <v>134499.93</v>
      </c>
      <c r="P105" s="40">
        <v>0</v>
      </c>
      <c r="Q105" s="40">
        <f t="shared" si="5"/>
        <v>134499.93</v>
      </c>
      <c r="R105" s="40">
        <f t="shared" si="5"/>
        <v>0</v>
      </c>
      <c r="S105" s="40">
        <f>ROUND('Смета ЕР (общ) '!$N105*'Смета ЕР (общ) '!$Q105,2)</f>
        <v>0</v>
      </c>
      <c r="T105" s="40">
        <f>ROUND('Смета ЕР (общ) '!$N105*'Смета ЕР (общ) '!$R105,2)</f>
        <v>0</v>
      </c>
      <c r="U105" s="45" t="s">
        <v>122</v>
      </c>
    </row>
    <row r="106" spans="1:25" s="46" customFormat="1" ht="48" x14ac:dyDescent="0.3">
      <c r="A106" s="36" t="s">
        <v>36</v>
      </c>
      <c r="B106" s="36">
        <v>1</v>
      </c>
      <c r="C106" s="36"/>
      <c r="D106" s="36">
        <v>90</v>
      </c>
      <c r="E106" s="36" t="str">
        <f>CONCATENATE('Смета ЕР (общ) '!$A106,".",'Смета ЕР (общ) '!$B106,".",'Смета ЕР (общ) '!$D106)</f>
        <v>Р1.1.90</v>
      </c>
      <c r="F106" s="36">
        <f t="shared" si="4"/>
        <v>1</v>
      </c>
      <c r="G106" s="36" t="s">
        <v>37</v>
      </c>
      <c r="H106" s="36" t="s">
        <v>38</v>
      </c>
      <c r="I106" s="36"/>
      <c r="J106" s="36"/>
      <c r="K106" s="36"/>
      <c r="L106" s="37" t="s">
        <v>126</v>
      </c>
      <c r="M106" s="38" t="s">
        <v>64</v>
      </c>
      <c r="N106" s="39"/>
      <c r="O106" s="40">
        <v>135524.49</v>
      </c>
      <c r="P106" s="40">
        <v>0</v>
      </c>
      <c r="Q106" s="40">
        <f t="shared" si="5"/>
        <v>135524.49</v>
      </c>
      <c r="R106" s="40">
        <f t="shared" si="5"/>
        <v>0</v>
      </c>
      <c r="S106" s="40">
        <f>ROUND('Смета ЕР (общ) '!$N106*'Смета ЕР (общ) '!$Q106,2)</f>
        <v>0</v>
      </c>
      <c r="T106" s="40">
        <f>ROUND('Смета ЕР (общ) '!$N106*'Смета ЕР (общ) '!$R106,2)</f>
        <v>0</v>
      </c>
      <c r="U106" s="45" t="s">
        <v>122</v>
      </c>
    </row>
    <row r="107" spans="1:25" s="46" customFormat="1" ht="48" x14ac:dyDescent="0.3">
      <c r="A107" s="36" t="s">
        <v>36</v>
      </c>
      <c r="B107" s="36">
        <v>1</v>
      </c>
      <c r="C107" s="36"/>
      <c r="D107" s="36">
        <v>91</v>
      </c>
      <c r="E107" s="36" t="str">
        <f>CONCATENATE('Смета ЕР (общ) '!$A107,".",'Смета ЕР (общ) '!$B107,".",'Смета ЕР (общ) '!$D107)</f>
        <v>Р1.1.91</v>
      </c>
      <c r="F107" s="36">
        <f t="shared" si="4"/>
        <v>1</v>
      </c>
      <c r="G107" s="36" t="s">
        <v>37</v>
      </c>
      <c r="H107" s="36" t="s">
        <v>38</v>
      </c>
      <c r="I107" s="36"/>
      <c r="J107" s="36"/>
      <c r="K107" s="36"/>
      <c r="L107" s="37" t="s">
        <v>127</v>
      </c>
      <c r="M107" s="38" t="s">
        <v>64</v>
      </c>
      <c r="N107" s="39"/>
      <c r="O107" s="40">
        <v>134002.26</v>
      </c>
      <c r="P107" s="40">
        <v>0</v>
      </c>
      <c r="Q107" s="40">
        <f t="shared" si="5"/>
        <v>134002.26</v>
      </c>
      <c r="R107" s="40">
        <f t="shared" si="5"/>
        <v>0</v>
      </c>
      <c r="S107" s="40">
        <f>ROUND('Смета ЕР (общ) '!$N107*'Смета ЕР (общ) '!$Q107,2)</f>
        <v>0</v>
      </c>
      <c r="T107" s="40">
        <f>ROUND('Смета ЕР (общ) '!$N107*'Смета ЕР (общ) '!$R107,2)</f>
        <v>0</v>
      </c>
      <c r="U107" s="45" t="s">
        <v>122</v>
      </c>
    </row>
    <row r="108" spans="1:25" ht="48" x14ac:dyDescent="0.3">
      <c r="A108" s="36" t="s">
        <v>36</v>
      </c>
      <c r="B108" s="36">
        <v>1</v>
      </c>
      <c r="C108" s="36"/>
      <c r="D108" s="36">
        <v>42</v>
      </c>
      <c r="E108" s="36" t="str">
        <f>CONCATENATE('Смета ЕР (общ) '!$A108,".",'Смета ЕР (общ) '!$B108,".",'Смета ЕР (общ) '!$D108)</f>
        <v>Р1.1.42</v>
      </c>
      <c r="F108" s="36">
        <f t="shared" si="4"/>
        <v>1</v>
      </c>
      <c r="G108" s="36" t="s">
        <v>37</v>
      </c>
      <c r="H108" s="36" t="s">
        <v>38</v>
      </c>
      <c r="I108" s="36"/>
      <c r="J108" s="36"/>
      <c r="K108" s="36"/>
      <c r="L108" s="37" t="s">
        <v>128</v>
      </c>
      <c r="M108" s="38" t="s">
        <v>64</v>
      </c>
      <c r="N108" s="39"/>
      <c r="O108" s="40">
        <v>852600</v>
      </c>
      <c r="P108" s="40">
        <v>0</v>
      </c>
      <c r="Q108" s="40">
        <f t="shared" si="5"/>
        <v>852600</v>
      </c>
      <c r="R108" s="40">
        <f t="shared" si="5"/>
        <v>0</v>
      </c>
      <c r="S108" s="40">
        <f>ROUND('Смета ЕР (общ) '!$N108*'Смета ЕР (общ) '!$Q108,2)</f>
        <v>0</v>
      </c>
      <c r="T108" s="40">
        <f>ROUND('Смета ЕР (общ) '!$N108*'Смета ЕР (общ) '!$R108,2)</f>
        <v>0</v>
      </c>
    </row>
    <row r="109" spans="1:25" ht="14.4" x14ac:dyDescent="0.3">
      <c r="A109" s="29" t="s">
        <v>129</v>
      </c>
      <c r="B109" s="29">
        <v>0</v>
      </c>
      <c r="C109" s="29"/>
      <c r="D109" s="29">
        <v>0</v>
      </c>
      <c r="E109" s="29" t="str">
        <f>CONCATENATE('Смета ЕР (общ) '!$A109,".",'Смета ЕР (общ) '!$B109,".",'Смета ЕР (общ) '!$D109)</f>
        <v>Р2.0.0</v>
      </c>
      <c r="F109" s="29">
        <f t="shared" si="4"/>
        <v>1</v>
      </c>
      <c r="G109" s="29"/>
      <c r="H109" s="29"/>
      <c r="I109" s="29"/>
      <c r="J109" s="29"/>
      <c r="K109" s="29"/>
      <c r="L109" s="30" t="s">
        <v>130</v>
      </c>
      <c r="M109" s="31"/>
      <c r="N109" s="32">
        <f>N111+N112+N128+N146+N164+N174+N184+N205+N215+N221+N235+N244</f>
        <v>0</v>
      </c>
      <c r="O109" s="47"/>
      <c r="P109" s="47"/>
      <c r="Q109" s="34"/>
      <c r="R109" s="34"/>
      <c r="S109" s="34">
        <f>ROUND(S244+S235+S221+S215+S205+S190+S174+S164+S146+S128+S112+S184+S110,2)</f>
        <v>0</v>
      </c>
      <c r="T109" s="34">
        <f>ROUND(T244+T235+T221+T215+T205+T190+T174+T164+T146+T128+T112+T184+T111+T110,2)</f>
        <v>0</v>
      </c>
      <c r="Y109">
        <v>1137.52</v>
      </c>
    </row>
    <row r="110" spans="1:25" ht="14.4" x14ac:dyDescent="0.3">
      <c r="A110" s="48" t="s">
        <v>129</v>
      </c>
      <c r="B110" s="48">
        <v>13</v>
      </c>
      <c r="C110" s="48"/>
      <c r="D110" s="48">
        <v>0</v>
      </c>
      <c r="E110" s="48" t="str">
        <f>CONCATENATE('Смета ЕР (общ) '!$A110,".",'Смета ЕР (общ) '!$B110,".",'Смета ЕР (общ) '!$D110)</f>
        <v>Р2.13.0</v>
      </c>
      <c r="F110" s="48">
        <f t="shared" si="4"/>
        <v>1</v>
      </c>
      <c r="G110" s="48"/>
      <c r="H110" s="48"/>
      <c r="I110" s="48"/>
      <c r="J110" s="48"/>
      <c r="K110" s="48"/>
      <c r="L110" s="49" t="s">
        <v>131</v>
      </c>
      <c r="M110" s="31"/>
      <c r="N110" s="32">
        <f>SUM(N111:N125)</f>
        <v>0</v>
      </c>
      <c r="O110" s="47"/>
      <c r="P110" s="47"/>
      <c r="Q110" s="34"/>
      <c r="R110" s="34"/>
      <c r="S110" s="34">
        <f>S111</f>
        <v>0</v>
      </c>
      <c r="T110" s="34">
        <f>T111</f>
        <v>0</v>
      </c>
      <c r="Y110">
        <v>214</v>
      </c>
    </row>
    <row r="111" spans="1:25" ht="22.5" customHeight="1" x14ac:dyDescent="0.3">
      <c r="A111" s="50" t="s">
        <v>129</v>
      </c>
      <c r="B111" s="50">
        <v>13</v>
      </c>
      <c r="C111" s="50"/>
      <c r="D111" s="50">
        <v>1</v>
      </c>
      <c r="E111" s="50" t="str">
        <f>CONCATENATE('Смета ЕР (общ) '!$A111,".",'Смета ЕР (общ) '!$B111,".",'Смета ЕР (общ) '!$D111)</f>
        <v>Р2.13.1</v>
      </c>
      <c r="F111" s="50">
        <f t="shared" si="4"/>
        <v>1</v>
      </c>
      <c r="G111" s="50"/>
      <c r="H111" s="50"/>
      <c r="I111" s="50"/>
      <c r="J111" s="50"/>
      <c r="K111" s="50"/>
      <c r="L111" s="51" t="s">
        <v>132</v>
      </c>
      <c r="M111" s="38" t="s">
        <v>40</v>
      </c>
      <c r="N111" s="40"/>
      <c r="O111" s="40">
        <v>2133.33</v>
      </c>
      <c r="P111" s="40">
        <v>0</v>
      </c>
      <c r="Q111" s="40">
        <f>ROUND(O111-O111*$V$3,2)</f>
        <v>2133.33</v>
      </c>
      <c r="R111" s="40">
        <f>ROUND(P111-P111*$V$3,2)</f>
        <v>0</v>
      </c>
      <c r="S111" s="40">
        <f>ROUND('Смета ЕР (общ) '!$N111*'Смета ЕР (общ) '!$Q111,2)</f>
        <v>0</v>
      </c>
      <c r="T111" s="40">
        <f>ROUND('Смета ЕР (общ) '!$N111*'Смета ЕР (общ) '!$R111,2)</f>
        <v>0</v>
      </c>
      <c r="U111" s="52" t="s">
        <v>133</v>
      </c>
      <c r="Y111">
        <v>214</v>
      </c>
    </row>
    <row r="112" spans="1:25" ht="14.4" x14ac:dyDescent="0.3">
      <c r="A112" s="48" t="s">
        <v>129</v>
      </c>
      <c r="B112" s="48">
        <v>1</v>
      </c>
      <c r="C112" s="48"/>
      <c r="D112" s="48">
        <v>0</v>
      </c>
      <c r="E112" s="48" t="str">
        <f>CONCATENATE('Смета ЕР (общ) '!$A112,".",'Смета ЕР (общ) '!$B112,".",'Смета ЕР (общ) '!$D112)</f>
        <v>Р2.1.0</v>
      </c>
      <c r="F112" s="48">
        <f t="shared" si="4"/>
        <v>1</v>
      </c>
      <c r="G112" s="48"/>
      <c r="H112" s="48"/>
      <c r="I112" s="48"/>
      <c r="J112" s="48"/>
      <c r="K112" s="48"/>
      <c r="L112" s="49" t="s">
        <v>134</v>
      </c>
      <c r="M112" s="31"/>
      <c r="N112" s="32">
        <f>SUM(N113:N127)</f>
        <v>0</v>
      </c>
      <c r="O112" s="47"/>
      <c r="P112" s="47"/>
      <c r="Q112" s="34"/>
      <c r="R112" s="34"/>
      <c r="S112" s="34">
        <f>SUM(S113:S127)</f>
        <v>0</v>
      </c>
      <c r="T112" s="34">
        <f>SUM(T113:T127)</f>
        <v>0</v>
      </c>
      <c r="Y112">
        <v>0</v>
      </c>
    </row>
    <row r="113" spans="1:25" ht="14.4" x14ac:dyDescent="0.3">
      <c r="A113" s="36" t="s">
        <v>129</v>
      </c>
      <c r="B113" s="36">
        <v>1</v>
      </c>
      <c r="C113" s="36"/>
      <c r="D113" s="36">
        <v>1</v>
      </c>
      <c r="E113" s="36" t="str">
        <f>CONCATENATE('Смета ЕР (общ) '!$A113,".",'Смета ЕР (общ) '!$B113,".",'Смета ЕР (общ) '!$D113)</f>
        <v>Р2.1.1</v>
      </c>
      <c r="F113" s="36">
        <f t="shared" si="4"/>
        <v>1</v>
      </c>
      <c r="G113" s="36"/>
      <c r="H113" s="36"/>
      <c r="I113" s="36"/>
      <c r="J113" s="36"/>
      <c r="K113" s="36"/>
      <c r="L113" s="37" t="s">
        <v>135</v>
      </c>
      <c r="M113" s="38" t="s">
        <v>40</v>
      </c>
      <c r="N113" s="39"/>
      <c r="O113" s="40">
        <v>313.2</v>
      </c>
      <c r="P113" s="40">
        <v>0</v>
      </c>
      <c r="Q113" s="40">
        <f t="shared" ref="Q113:R127" si="6">ROUND(O113-O113*$V$3,2)</f>
        <v>313.2</v>
      </c>
      <c r="R113" s="40">
        <f t="shared" si="6"/>
        <v>0</v>
      </c>
      <c r="S113" s="40">
        <f>ROUND('Смета ЕР (общ) '!$N113*'Смета ЕР (общ) '!$Q113,2)</f>
        <v>0</v>
      </c>
      <c r="T113" s="40">
        <f>ROUND('Смета ЕР (общ) '!$N113*'Смета ЕР (общ) '!$R113,2)</f>
        <v>0</v>
      </c>
    </row>
    <row r="114" spans="1:25" ht="24" x14ac:dyDescent="0.3">
      <c r="A114" s="36" t="s">
        <v>129</v>
      </c>
      <c r="B114" s="36">
        <v>1</v>
      </c>
      <c r="C114" s="36"/>
      <c r="D114" s="36">
        <v>2</v>
      </c>
      <c r="E114" s="36" t="str">
        <f>CONCATENATE('Смета ЕР (общ) '!$A114,".",'Смета ЕР (общ) '!$B114,".",'Смета ЕР (общ) '!$D114)</f>
        <v>Р2.1.2</v>
      </c>
      <c r="F114" s="36">
        <f t="shared" si="4"/>
        <v>1</v>
      </c>
      <c r="G114" s="36"/>
      <c r="H114" s="36"/>
      <c r="I114" s="36"/>
      <c r="J114" s="36"/>
      <c r="K114" s="36"/>
      <c r="L114" s="37" t="s">
        <v>136</v>
      </c>
      <c r="M114" s="38" t="s">
        <v>40</v>
      </c>
      <c r="N114" s="39"/>
      <c r="O114" s="40">
        <v>574.75</v>
      </c>
      <c r="P114" s="40">
        <v>0</v>
      </c>
      <c r="Q114" s="40">
        <f t="shared" si="6"/>
        <v>574.75</v>
      </c>
      <c r="R114" s="40">
        <f t="shared" si="6"/>
        <v>0</v>
      </c>
      <c r="S114" s="40">
        <f>ROUND('Смета ЕР (общ) '!$N114*'Смета ЕР (общ) '!$Q114,2)</f>
        <v>0</v>
      </c>
      <c r="T114" s="40">
        <f>ROUND('Смета ЕР (общ) '!$N114*'Смета ЕР (общ) '!$R114,2)</f>
        <v>0</v>
      </c>
    </row>
    <row r="115" spans="1:25" ht="14.4" x14ac:dyDescent="0.3">
      <c r="A115" s="36" t="s">
        <v>129</v>
      </c>
      <c r="B115" s="36">
        <v>1</v>
      </c>
      <c r="C115" s="36"/>
      <c r="D115" s="36">
        <v>3</v>
      </c>
      <c r="E115" s="36" t="str">
        <f>CONCATENATE('Смета ЕР (общ) '!$A115,".",'Смета ЕР (общ) '!$B115,".",'Смета ЕР (общ) '!$D115)</f>
        <v>Р2.1.3</v>
      </c>
      <c r="F115" s="36">
        <f t="shared" si="4"/>
        <v>1</v>
      </c>
      <c r="G115" s="36"/>
      <c r="H115" s="36"/>
      <c r="I115" s="36"/>
      <c r="J115" s="36"/>
      <c r="K115" s="36"/>
      <c r="L115" s="37" t="s">
        <v>137</v>
      </c>
      <c r="M115" s="38" t="s">
        <v>40</v>
      </c>
      <c r="N115" s="39"/>
      <c r="O115" s="40">
        <v>318.72000000000003</v>
      </c>
      <c r="P115" s="40">
        <v>0</v>
      </c>
      <c r="Q115" s="40">
        <f t="shared" si="6"/>
        <v>318.72000000000003</v>
      </c>
      <c r="R115" s="40">
        <f t="shared" si="6"/>
        <v>0</v>
      </c>
      <c r="S115" s="40">
        <f>ROUND('Смета ЕР (общ) '!$N115*'Смета ЕР (общ) '!$Q115,2)</f>
        <v>0</v>
      </c>
      <c r="T115" s="40">
        <f>ROUND('Смета ЕР (общ) '!$N115*'Смета ЕР (общ) '!$R115,2)</f>
        <v>0</v>
      </c>
    </row>
    <row r="116" spans="1:25" ht="14.4" x14ac:dyDescent="0.3">
      <c r="A116" s="36" t="s">
        <v>129</v>
      </c>
      <c r="B116" s="36">
        <v>1</v>
      </c>
      <c r="C116" s="36"/>
      <c r="D116" s="36">
        <v>4</v>
      </c>
      <c r="E116" s="36" t="str">
        <f>CONCATENATE('Смета ЕР (общ) '!$A116,".",'Смета ЕР (общ) '!$B116,".",'Смета ЕР (общ) '!$D116)</f>
        <v>Р2.1.4</v>
      </c>
      <c r="F116" s="36">
        <f t="shared" si="4"/>
        <v>1</v>
      </c>
      <c r="G116" s="36"/>
      <c r="H116" s="36"/>
      <c r="I116" s="36"/>
      <c r="J116" s="36"/>
      <c r="K116" s="36"/>
      <c r="L116" s="37" t="s">
        <v>138</v>
      </c>
      <c r="M116" s="38" t="s">
        <v>40</v>
      </c>
      <c r="N116" s="39"/>
      <c r="O116" s="40">
        <v>341.73</v>
      </c>
      <c r="P116" s="40">
        <v>0</v>
      </c>
      <c r="Q116" s="40">
        <f t="shared" si="6"/>
        <v>341.73</v>
      </c>
      <c r="R116" s="40">
        <f t="shared" si="6"/>
        <v>0</v>
      </c>
      <c r="S116" s="40">
        <f>ROUND('Смета ЕР (общ) '!$N116*'Смета ЕР (общ) '!$Q116,2)</f>
        <v>0</v>
      </c>
      <c r="T116" s="40">
        <f>ROUND('Смета ЕР (общ) '!$N116*'Смета ЕР (общ) '!$R116,2)</f>
        <v>0</v>
      </c>
    </row>
    <row r="117" spans="1:25" ht="14.4" x14ac:dyDescent="0.3">
      <c r="A117" s="36" t="s">
        <v>129</v>
      </c>
      <c r="B117" s="36">
        <v>1</v>
      </c>
      <c r="C117" s="36"/>
      <c r="D117" s="36">
        <v>5</v>
      </c>
      <c r="E117" s="36" t="str">
        <f>CONCATENATE('Смета ЕР (общ) '!$A117,".",'Смета ЕР (общ) '!$B117,".",'Смета ЕР (общ) '!$D117)</f>
        <v>Р2.1.5</v>
      </c>
      <c r="F117" s="36">
        <f t="shared" si="4"/>
        <v>1</v>
      </c>
      <c r="G117" s="36"/>
      <c r="H117" s="36"/>
      <c r="I117" s="36"/>
      <c r="J117" s="36"/>
      <c r="K117" s="36"/>
      <c r="L117" s="53" t="s">
        <v>139</v>
      </c>
      <c r="M117" s="54" t="s">
        <v>40</v>
      </c>
      <c r="N117" s="39"/>
      <c r="O117" s="40">
        <v>260.13</v>
      </c>
      <c r="P117" s="40">
        <v>0</v>
      </c>
      <c r="Q117" s="40">
        <f t="shared" si="6"/>
        <v>260.13</v>
      </c>
      <c r="R117" s="40">
        <f t="shared" si="6"/>
        <v>0</v>
      </c>
      <c r="S117" s="40">
        <f>ROUND('Смета ЕР (общ) '!$N117*'Смета ЕР (общ) '!$Q117,2)</f>
        <v>0</v>
      </c>
      <c r="T117" s="40">
        <f>ROUND('Смета ЕР (общ) '!$N117*'Смета ЕР (общ) '!$R117,2)</f>
        <v>0</v>
      </c>
    </row>
    <row r="118" spans="1:25" ht="14.4" x14ac:dyDescent="0.3">
      <c r="A118" s="36" t="s">
        <v>129</v>
      </c>
      <c r="B118" s="36">
        <v>1</v>
      </c>
      <c r="C118" s="36"/>
      <c r="D118" s="36">
        <v>6</v>
      </c>
      <c r="E118" s="36" t="str">
        <f>CONCATENATE('Смета ЕР (общ) '!$A118,".",'Смета ЕР (общ) '!$B118,".",'Смета ЕР (общ) '!$D118)</f>
        <v>Р2.1.6</v>
      </c>
      <c r="F118" s="36">
        <f t="shared" si="4"/>
        <v>1</v>
      </c>
      <c r="G118" s="36"/>
      <c r="H118" s="36"/>
      <c r="I118" s="36"/>
      <c r="J118" s="36"/>
      <c r="K118" s="36"/>
      <c r="L118" s="37" t="s">
        <v>140</v>
      </c>
      <c r="M118" s="38" t="s">
        <v>40</v>
      </c>
      <c r="N118" s="39"/>
      <c r="O118" s="40">
        <v>276.02</v>
      </c>
      <c r="P118" s="40">
        <v>0</v>
      </c>
      <c r="Q118" s="40">
        <f t="shared" si="6"/>
        <v>276.02</v>
      </c>
      <c r="R118" s="40">
        <f t="shared" si="6"/>
        <v>0</v>
      </c>
      <c r="S118" s="40">
        <f>ROUND('Смета ЕР (общ) '!$N118*'Смета ЕР (общ) '!$Q118,2)</f>
        <v>0</v>
      </c>
      <c r="T118" s="40">
        <f>ROUND('Смета ЕР (общ) '!$N118*'Смета ЕР (общ) '!$R118,2)</f>
        <v>0</v>
      </c>
    </row>
    <row r="119" spans="1:25" ht="14.4" x14ac:dyDescent="0.3">
      <c r="A119" s="36" t="s">
        <v>129</v>
      </c>
      <c r="B119" s="36">
        <v>1</v>
      </c>
      <c r="C119" s="36"/>
      <c r="D119" s="36">
        <v>7</v>
      </c>
      <c r="E119" s="36" t="str">
        <f>CONCATENATE('Смета ЕР (общ) '!$A119,".",'Смета ЕР (общ) '!$B119,".",'Смета ЕР (общ) '!$D119)</f>
        <v>Р2.1.7</v>
      </c>
      <c r="F119" s="36">
        <f t="shared" si="4"/>
        <v>1</v>
      </c>
      <c r="G119" s="36"/>
      <c r="H119" s="36"/>
      <c r="I119" s="36"/>
      <c r="J119" s="36"/>
      <c r="K119" s="36"/>
      <c r="L119" s="37" t="s">
        <v>141</v>
      </c>
      <c r="M119" s="38" t="s">
        <v>40</v>
      </c>
      <c r="N119" s="39"/>
      <c r="O119" s="40">
        <v>234.9</v>
      </c>
      <c r="P119" s="40">
        <v>0</v>
      </c>
      <c r="Q119" s="40">
        <f t="shared" si="6"/>
        <v>234.9</v>
      </c>
      <c r="R119" s="40">
        <f t="shared" si="6"/>
        <v>0</v>
      </c>
      <c r="S119" s="40">
        <f>ROUND('Смета ЕР (общ) '!$N119*'Смета ЕР (общ) '!$Q119,2)</f>
        <v>0</v>
      </c>
      <c r="T119" s="40">
        <f>ROUND('Смета ЕР (общ) '!$N119*'Смета ЕР (общ) '!$R119,2)</f>
        <v>0</v>
      </c>
    </row>
    <row r="120" spans="1:25" ht="14.4" x14ac:dyDescent="0.3">
      <c r="A120" s="36" t="s">
        <v>129</v>
      </c>
      <c r="B120" s="36">
        <v>1</v>
      </c>
      <c r="C120" s="36"/>
      <c r="D120" s="36">
        <v>8</v>
      </c>
      <c r="E120" s="36" t="str">
        <f>CONCATENATE('Смета ЕР (общ) '!$A120,".",'Смета ЕР (общ) '!$B120,".",'Смета ЕР (общ) '!$D120)</f>
        <v>Р2.1.8</v>
      </c>
      <c r="F120" s="36">
        <f t="shared" si="4"/>
        <v>1</v>
      </c>
      <c r="G120" s="36"/>
      <c r="H120" s="36"/>
      <c r="I120" s="36"/>
      <c r="J120" s="36"/>
      <c r="K120" s="36"/>
      <c r="L120" s="37" t="s">
        <v>142</v>
      </c>
      <c r="M120" s="38" t="s">
        <v>40</v>
      </c>
      <c r="N120" s="39"/>
      <c r="O120" s="40">
        <v>234.9</v>
      </c>
      <c r="P120" s="40">
        <v>0</v>
      </c>
      <c r="Q120" s="40">
        <f t="shared" si="6"/>
        <v>234.9</v>
      </c>
      <c r="R120" s="40">
        <f t="shared" si="6"/>
        <v>0</v>
      </c>
      <c r="S120" s="40">
        <f>ROUND('Смета ЕР (общ) '!$N120*'Смета ЕР (общ) '!$Q120,2)</f>
        <v>0</v>
      </c>
      <c r="T120" s="40">
        <f>ROUND('Смета ЕР (общ) '!$N120*'Смета ЕР (общ) '!$R120,2)</f>
        <v>0</v>
      </c>
    </row>
    <row r="121" spans="1:25" ht="14.4" x14ac:dyDescent="0.3">
      <c r="A121" s="36" t="s">
        <v>129</v>
      </c>
      <c r="B121" s="36">
        <v>1</v>
      </c>
      <c r="C121" s="36"/>
      <c r="D121" s="36">
        <v>9</v>
      </c>
      <c r="E121" s="36" t="str">
        <f>CONCATENATE('Смета ЕР (общ) '!$A121,".",'Смета ЕР (общ) '!$B121,".",'Смета ЕР (общ) '!$D121)</f>
        <v>Р2.1.9</v>
      </c>
      <c r="F121" s="36">
        <f t="shared" si="4"/>
        <v>1</v>
      </c>
      <c r="G121" s="36"/>
      <c r="H121" s="36"/>
      <c r="I121" s="36"/>
      <c r="J121" s="36"/>
      <c r="K121" s="36"/>
      <c r="L121" s="37" t="s">
        <v>143</v>
      </c>
      <c r="M121" s="38" t="s">
        <v>144</v>
      </c>
      <c r="N121" s="39"/>
      <c r="O121" s="40">
        <v>814.32</v>
      </c>
      <c r="P121" s="40">
        <v>0</v>
      </c>
      <c r="Q121" s="40">
        <f t="shared" si="6"/>
        <v>814.32</v>
      </c>
      <c r="R121" s="40">
        <f t="shared" si="6"/>
        <v>0</v>
      </c>
      <c r="S121" s="40">
        <f>ROUND('Смета ЕР (общ) '!$N121*'Смета ЕР (общ) '!$Q121,2)</f>
        <v>0</v>
      </c>
      <c r="T121" s="40">
        <f>ROUND('Смета ЕР (общ) '!$N121*'Смета ЕР (общ) '!$R121,2)</f>
        <v>0</v>
      </c>
    </row>
    <row r="122" spans="1:25" ht="14.4" x14ac:dyDescent="0.3">
      <c r="A122" s="36" t="s">
        <v>129</v>
      </c>
      <c r="B122" s="36">
        <v>1</v>
      </c>
      <c r="C122" s="36"/>
      <c r="D122" s="36">
        <v>10</v>
      </c>
      <c r="E122" s="36" t="str">
        <f>CONCATENATE('Смета ЕР (общ) '!$A122,".",'Смета ЕР (общ) '!$B122,".",'Смета ЕР (общ) '!$D122)</f>
        <v>Р2.1.10</v>
      </c>
      <c r="F122" s="36">
        <f t="shared" si="4"/>
        <v>1</v>
      </c>
      <c r="G122" s="36"/>
      <c r="H122" s="36"/>
      <c r="I122" s="36"/>
      <c r="J122" s="36"/>
      <c r="K122" s="36"/>
      <c r="L122" s="37" t="s">
        <v>145</v>
      </c>
      <c r="M122" s="38" t="s">
        <v>144</v>
      </c>
      <c r="N122" s="39"/>
      <c r="O122" s="40">
        <v>814.32</v>
      </c>
      <c r="P122" s="40">
        <v>0</v>
      </c>
      <c r="Q122" s="40">
        <f t="shared" si="6"/>
        <v>814.32</v>
      </c>
      <c r="R122" s="40">
        <f t="shared" si="6"/>
        <v>0</v>
      </c>
      <c r="S122" s="40">
        <f>ROUND('Смета ЕР (общ) '!$N122*'Смета ЕР (общ) '!$Q122,2)</f>
        <v>0</v>
      </c>
      <c r="T122" s="40">
        <f>ROUND('Смета ЕР (общ) '!$N122*'Смета ЕР (общ) '!$R122,2)</f>
        <v>0</v>
      </c>
    </row>
    <row r="123" spans="1:25" ht="14.4" x14ac:dyDescent="0.3">
      <c r="A123" s="36" t="s">
        <v>129</v>
      </c>
      <c r="B123" s="36">
        <v>1</v>
      </c>
      <c r="C123" s="36"/>
      <c r="D123" s="36">
        <v>11</v>
      </c>
      <c r="E123" s="36" t="str">
        <f>CONCATENATE('Смета ЕР (общ) '!$A123,".",'Смета ЕР (общ) '!$B123,".",'Смета ЕР (общ) '!$D123)</f>
        <v>Р2.1.11</v>
      </c>
      <c r="F123" s="36">
        <f t="shared" si="4"/>
        <v>1</v>
      </c>
      <c r="G123" s="36"/>
      <c r="H123" s="36"/>
      <c r="I123" s="36"/>
      <c r="J123" s="36"/>
      <c r="K123" s="36"/>
      <c r="L123" s="37" t="s">
        <v>146</v>
      </c>
      <c r="M123" s="38" t="s">
        <v>147</v>
      </c>
      <c r="N123" s="39"/>
      <c r="O123" s="40">
        <v>78.3</v>
      </c>
      <c r="P123" s="40">
        <v>0</v>
      </c>
      <c r="Q123" s="40">
        <f t="shared" si="6"/>
        <v>78.3</v>
      </c>
      <c r="R123" s="40">
        <f t="shared" si="6"/>
        <v>0</v>
      </c>
      <c r="S123" s="40">
        <f>ROUND('Смета ЕР (общ) '!$N123*'Смета ЕР (общ) '!$Q123,2)</f>
        <v>0</v>
      </c>
      <c r="T123" s="40">
        <f>ROUND('Смета ЕР (общ) '!$N123*'Смета ЕР (общ) '!$R123,2)</f>
        <v>0</v>
      </c>
    </row>
    <row r="124" spans="1:25" ht="14.4" x14ac:dyDescent="0.3">
      <c r="A124" s="36" t="s">
        <v>129</v>
      </c>
      <c r="B124" s="36">
        <v>1</v>
      </c>
      <c r="C124" s="36"/>
      <c r="D124" s="36">
        <v>12</v>
      </c>
      <c r="E124" s="36" t="str">
        <f>CONCATENATE('Смета ЕР (общ) '!$A124,".",'Смета ЕР (общ) '!$B124,".",'Смета ЕР (общ) '!$D124)</f>
        <v>Р2.1.12</v>
      </c>
      <c r="F124" s="36">
        <f t="shared" si="4"/>
        <v>1</v>
      </c>
      <c r="G124" s="36"/>
      <c r="H124" s="36"/>
      <c r="I124" s="36"/>
      <c r="J124" s="36"/>
      <c r="K124" s="36"/>
      <c r="L124" s="37" t="s">
        <v>148</v>
      </c>
      <c r="M124" s="38" t="s">
        <v>147</v>
      </c>
      <c r="N124" s="39"/>
      <c r="O124" s="40">
        <v>134.19999999999999</v>
      </c>
      <c r="P124" s="40">
        <v>0</v>
      </c>
      <c r="Q124" s="40">
        <f t="shared" si="6"/>
        <v>134.19999999999999</v>
      </c>
      <c r="R124" s="40">
        <f t="shared" si="6"/>
        <v>0</v>
      </c>
      <c r="S124" s="40">
        <f>ROUND('Смета ЕР (общ) '!$N124*'Смета ЕР (общ) '!$Q124,2)</f>
        <v>0</v>
      </c>
      <c r="T124" s="40">
        <f>ROUND('Смета ЕР (общ) '!$N124*'Смета ЕР (общ) '!$R124,2)</f>
        <v>0</v>
      </c>
    </row>
    <row r="125" spans="1:25" ht="14.4" x14ac:dyDescent="0.3">
      <c r="A125" s="36" t="s">
        <v>129</v>
      </c>
      <c r="B125" s="36">
        <v>1</v>
      </c>
      <c r="C125" s="36"/>
      <c r="D125" s="36">
        <v>13</v>
      </c>
      <c r="E125" s="36" t="str">
        <f>CONCATENATE('Смета ЕР (общ) '!$A125,".",'Смета ЕР (общ) '!$B125,".",'Смета ЕР (общ) '!$D125)</f>
        <v>Р2.1.13</v>
      </c>
      <c r="F125" s="36">
        <f t="shared" si="4"/>
        <v>1</v>
      </c>
      <c r="G125" s="36"/>
      <c r="H125" s="36"/>
      <c r="I125" s="36"/>
      <c r="J125" s="36"/>
      <c r="K125" s="36"/>
      <c r="L125" s="37" t="s">
        <v>149</v>
      </c>
      <c r="M125" s="38" t="s">
        <v>40</v>
      </c>
      <c r="N125" s="39"/>
      <c r="O125" s="40">
        <v>157.72</v>
      </c>
      <c r="P125" s="40">
        <v>0</v>
      </c>
      <c r="Q125" s="40">
        <f t="shared" si="6"/>
        <v>157.72</v>
      </c>
      <c r="R125" s="40">
        <f t="shared" si="6"/>
        <v>0</v>
      </c>
      <c r="S125" s="40">
        <f>ROUND('Смета ЕР (общ) '!$N125*'Смета ЕР (общ) '!$Q125,2)</f>
        <v>0</v>
      </c>
      <c r="T125" s="40">
        <f>ROUND('Смета ЕР (общ) '!$N125*'Смета ЕР (общ) '!$R125,2)</f>
        <v>0</v>
      </c>
    </row>
    <row r="126" spans="1:25" ht="14.4" x14ac:dyDescent="0.3">
      <c r="A126" s="36" t="s">
        <v>129</v>
      </c>
      <c r="B126" s="36">
        <v>1</v>
      </c>
      <c r="C126" s="36"/>
      <c r="D126" s="36">
        <v>14</v>
      </c>
      <c r="E126" s="36" t="str">
        <f>CONCATENATE('Смета ЕР (общ) '!$A126,".",'Смета ЕР (общ) '!$B126,".",'Смета ЕР (общ) '!$D126)</f>
        <v>Р2.1.14</v>
      </c>
      <c r="F126" s="36">
        <f t="shared" si="4"/>
        <v>1</v>
      </c>
      <c r="G126" s="36"/>
      <c r="H126" s="36"/>
      <c r="I126" s="36"/>
      <c r="J126" s="36"/>
      <c r="K126" s="36"/>
      <c r="L126" s="37" t="s">
        <v>150</v>
      </c>
      <c r="M126" s="38" t="s">
        <v>40</v>
      </c>
      <c r="N126" s="39"/>
      <c r="O126" s="40">
        <v>281.88</v>
      </c>
      <c r="P126" s="40">
        <v>0</v>
      </c>
      <c r="Q126" s="40">
        <f t="shared" si="6"/>
        <v>281.88</v>
      </c>
      <c r="R126" s="40">
        <f t="shared" si="6"/>
        <v>0</v>
      </c>
      <c r="S126" s="40">
        <f>ROUND('Смета ЕР (общ) '!$N126*'Смета ЕР (общ) '!$Q126,2)</f>
        <v>0</v>
      </c>
      <c r="T126" s="40">
        <f>ROUND('Смета ЕР (общ) '!$N126*'Смета ЕР (общ) '!$R126,2)</f>
        <v>0</v>
      </c>
    </row>
    <row r="127" spans="1:25" ht="14.4" x14ac:dyDescent="0.3">
      <c r="A127" s="36" t="s">
        <v>129</v>
      </c>
      <c r="B127" s="36">
        <v>1</v>
      </c>
      <c r="C127" s="36"/>
      <c r="D127" s="36">
        <v>15</v>
      </c>
      <c r="E127" s="36" t="str">
        <f>CONCATENATE('Смета ЕР (общ) '!$A127,".",'Смета ЕР (общ) '!$B127,".",'Смета ЕР (общ) '!$D127)</f>
        <v>Р2.1.15</v>
      </c>
      <c r="F127" s="36">
        <f t="shared" si="4"/>
        <v>1</v>
      </c>
      <c r="G127" s="36"/>
      <c r="H127" s="36"/>
      <c r="I127" s="36"/>
      <c r="J127" s="36"/>
      <c r="K127" s="36"/>
      <c r="L127" s="37" t="s">
        <v>151</v>
      </c>
      <c r="M127" s="38" t="s">
        <v>40</v>
      </c>
      <c r="N127" s="39"/>
      <c r="O127" s="40">
        <v>313.2</v>
      </c>
      <c r="P127" s="40">
        <v>0</v>
      </c>
      <c r="Q127" s="40">
        <f t="shared" si="6"/>
        <v>313.2</v>
      </c>
      <c r="R127" s="40">
        <f t="shared" si="6"/>
        <v>0</v>
      </c>
      <c r="S127" s="40">
        <f>ROUND('Смета ЕР (общ) '!$N127*'Смета ЕР (общ) '!$Q127,2)</f>
        <v>0</v>
      </c>
      <c r="T127" s="40">
        <f>ROUND('Смета ЕР (общ) '!$N127*'Смета ЕР (общ) '!$R127,2)</f>
        <v>0</v>
      </c>
    </row>
    <row r="128" spans="1:25" ht="14.4" x14ac:dyDescent="0.3">
      <c r="A128" s="48" t="s">
        <v>129</v>
      </c>
      <c r="B128" s="48">
        <v>2</v>
      </c>
      <c r="C128" s="48"/>
      <c r="D128" s="48">
        <v>0</v>
      </c>
      <c r="E128" s="48" t="str">
        <f>CONCATENATE('Смета ЕР (общ) '!$A128,".",'Смета ЕР (общ) '!$B128,".",'Смета ЕР (общ) '!$D128)</f>
        <v>Р2.2.0</v>
      </c>
      <c r="F128" s="48">
        <f t="shared" si="4"/>
        <v>1</v>
      </c>
      <c r="G128" s="48"/>
      <c r="H128" s="48"/>
      <c r="I128" s="48"/>
      <c r="J128" s="48"/>
      <c r="K128" s="48"/>
      <c r="L128" s="49" t="s">
        <v>152</v>
      </c>
      <c r="M128" s="31"/>
      <c r="N128" s="32">
        <f>SUM(N129:N145)</f>
        <v>0</v>
      </c>
      <c r="O128" s="47"/>
      <c r="P128" s="47"/>
      <c r="Q128" s="34"/>
      <c r="R128" s="34"/>
      <c r="S128" s="34">
        <f>SUM(S129:S145)</f>
        <v>0</v>
      </c>
      <c r="T128" s="34">
        <f>SUM(T129:T145)</f>
        <v>0</v>
      </c>
      <c r="Y128">
        <v>214</v>
      </c>
    </row>
    <row r="129" spans="1:25" ht="14.4" x14ac:dyDescent="0.3">
      <c r="A129" s="36" t="s">
        <v>129</v>
      </c>
      <c r="B129" s="36">
        <v>2</v>
      </c>
      <c r="C129" s="36"/>
      <c r="D129" s="36">
        <v>1</v>
      </c>
      <c r="E129" s="36" t="str">
        <f>CONCATENATE('Смета ЕР (общ) '!$A129,".",'Смета ЕР (общ) '!$B129,".",'Смета ЕР (общ) '!$D129)</f>
        <v>Р2.2.1</v>
      </c>
      <c r="F129" s="36">
        <f t="shared" si="4"/>
        <v>1</v>
      </c>
      <c r="G129" s="36"/>
      <c r="H129" s="36"/>
      <c r="I129" s="36"/>
      <c r="J129" s="36"/>
      <c r="K129" s="36"/>
      <c r="L129" s="37" t="s">
        <v>153</v>
      </c>
      <c r="M129" s="38" t="s">
        <v>40</v>
      </c>
      <c r="N129" s="39"/>
      <c r="O129" s="40">
        <v>232.64</v>
      </c>
      <c r="P129" s="40">
        <v>0</v>
      </c>
      <c r="Q129" s="40">
        <f t="shared" ref="Q129:R145" si="7">ROUND(O129-O129*$V$3,2)</f>
        <v>232.64</v>
      </c>
      <c r="R129" s="40">
        <f t="shared" si="7"/>
        <v>0</v>
      </c>
      <c r="S129" s="40">
        <f>ROUND('Смета ЕР (общ) '!$N129*'Смета ЕР (общ) '!$Q129,2)</f>
        <v>0</v>
      </c>
      <c r="T129" s="40">
        <f>ROUND('Смета ЕР (общ) '!$N129*'Смета ЕР (общ) '!$R129,2)</f>
        <v>0</v>
      </c>
    </row>
    <row r="130" spans="1:25" ht="14.4" x14ac:dyDescent="0.3">
      <c r="A130" s="36" t="s">
        <v>129</v>
      </c>
      <c r="B130" s="36">
        <v>2</v>
      </c>
      <c r="C130" s="36"/>
      <c r="D130" s="36">
        <v>2</v>
      </c>
      <c r="E130" s="36" t="str">
        <f>CONCATENATE('Смета ЕР (общ) '!$A130,".",'Смета ЕР (общ) '!$B130,".",'Смета ЕР (общ) '!$D130)</f>
        <v>Р2.2.2</v>
      </c>
      <c r="F130" s="36">
        <f t="shared" si="4"/>
        <v>1</v>
      </c>
      <c r="G130" s="36"/>
      <c r="H130" s="36"/>
      <c r="I130" s="36"/>
      <c r="J130" s="36"/>
      <c r="K130" s="36"/>
      <c r="L130" s="37" t="s">
        <v>154</v>
      </c>
      <c r="M130" s="38" t="s">
        <v>40</v>
      </c>
      <c r="N130" s="39"/>
      <c r="O130" s="40">
        <v>319.39</v>
      </c>
      <c r="P130" s="40">
        <v>0</v>
      </c>
      <c r="Q130" s="40">
        <f t="shared" si="7"/>
        <v>319.39</v>
      </c>
      <c r="R130" s="40">
        <f t="shared" si="7"/>
        <v>0</v>
      </c>
      <c r="S130" s="40">
        <f>ROUND('Смета ЕР (общ) '!$N130*'Смета ЕР (общ) '!$Q130,2)</f>
        <v>0</v>
      </c>
      <c r="T130" s="40">
        <f>ROUND('Смета ЕР (общ) '!$N130*'Смета ЕР (общ) '!$R130,2)</f>
        <v>0</v>
      </c>
      <c r="Y130">
        <v>214</v>
      </c>
    </row>
    <row r="131" spans="1:25" ht="14.4" x14ac:dyDescent="0.3">
      <c r="A131" s="36" t="s">
        <v>129</v>
      </c>
      <c r="B131" s="36">
        <v>2</v>
      </c>
      <c r="C131" s="36"/>
      <c r="D131" s="36">
        <v>3</v>
      </c>
      <c r="E131" s="36" t="str">
        <f>CONCATENATE('Смета ЕР (общ) '!$A131,".",'Смета ЕР (общ) '!$B131,".",'Смета ЕР (общ) '!$D131)</f>
        <v>Р2.2.3</v>
      </c>
      <c r="F131" s="36">
        <f t="shared" si="4"/>
        <v>1</v>
      </c>
      <c r="G131" s="36"/>
      <c r="H131" s="36"/>
      <c r="I131" s="36"/>
      <c r="J131" s="36"/>
      <c r="K131" s="36"/>
      <c r="L131" s="37" t="s">
        <v>155</v>
      </c>
      <c r="M131" s="38" t="s">
        <v>40</v>
      </c>
      <c r="N131" s="39"/>
      <c r="O131" s="40">
        <v>272.8</v>
      </c>
      <c r="P131" s="40">
        <v>0</v>
      </c>
      <c r="Q131" s="40">
        <f t="shared" si="7"/>
        <v>272.8</v>
      </c>
      <c r="R131" s="40">
        <f t="shared" si="7"/>
        <v>0</v>
      </c>
      <c r="S131" s="40">
        <f>ROUND('Смета ЕР (общ) '!$N131*'Смета ЕР (общ) '!$Q131,2)</f>
        <v>0</v>
      </c>
      <c r="T131" s="40">
        <f>ROUND('Смета ЕР (общ) '!$N131*'Смета ЕР (общ) '!$R131,2)</f>
        <v>0</v>
      </c>
    </row>
    <row r="132" spans="1:25" ht="14.4" x14ac:dyDescent="0.3">
      <c r="A132" s="36" t="s">
        <v>129</v>
      </c>
      <c r="B132" s="36">
        <v>2</v>
      </c>
      <c r="C132" s="36"/>
      <c r="D132" s="36">
        <v>4</v>
      </c>
      <c r="E132" s="36" t="str">
        <f>CONCATENATE('Смета ЕР (общ) '!$A132,".",'Смета ЕР (общ) '!$B132,".",'Смета ЕР (общ) '!$D132)</f>
        <v>Р2.2.4</v>
      </c>
      <c r="F132" s="36">
        <f t="shared" si="4"/>
        <v>1</v>
      </c>
      <c r="G132" s="36"/>
      <c r="H132" s="36"/>
      <c r="I132" s="36"/>
      <c r="J132" s="36"/>
      <c r="K132" s="36"/>
      <c r="L132" s="37" t="s">
        <v>156</v>
      </c>
      <c r="M132" s="38" t="s">
        <v>40</v>
      </c>
      <c r="N132" s="39"/>
      <c r="O132" s="40">
        <v>391.5</v>
      </c>
      <c r="P132" s="40">
        <v>0</v>
      </c>
      <c r="Q132" s="40">
        <f t="shared" si="7"/>
        <v>391.5</v>
      </c>
      <c r="R132" s="40">
        <f t="shared" si="7"/>
        <v>0</v>
      </c>
      <c r="S132" s="40">
        <f>ROUND('Смета ЕР (общ) '!$N132*'Смета ЕР (общ) '!$Q132,2)</f>
        <v>0</v>
      </c>
      <c r="T132" s="40">
        <f>ROUND('Смета ЕР (общ) '!$N132*'Смета ЕР (общ) '!$R132,2)</f>
        <v>0</v>
      </c>
    </row>
    <row r="133" spans="1:25" ht="14.4" x14ac:dyDescent="0.3">
      <c r="A133" s="36" t="s">
        <v>129</v>
      </c>
      <c r="B133" s="36">
        <v>2</v>
      </c>
      <c r="C133" s="36"/>
      <c r="D133" s="36">
        <v>5</v>
      </c>
      <c r="E133" s="36" t="str">
        <f>CONCATENATE('Смета ЕР (общ) '!$A133,".",'Смета ЕР (общ) '!$B133,".",'Смета ЕР (общ) '!$D133)</f>
        <v>Р2.2.5</v>
      </c>
      <c r="F133" s="36">
        <f t="shared" si="4"/>
        <v>1</v>
      </c>
      <c r="G133" s="36"/>
      <c r="H133" s="36"/>
      <c r="I133" s="36"/>
      <c r="J133" s="36"/>
      <c r="K133" s="36"/>
      <c r="L133" s="37" t="s">
        <v>157</v>
      </c>
      <c r="M133" s="38" t="s">
        <v>40</v>
      </c>
      <c r="N133" s="39"/>
      <c r="O133" s="40">
        <v>376.67</v>
      </c>
      <c r="P133" s="40">
        <v>0</v>
      </c>
      <c r="Q133" s="40">
        <f t="shared" si="7"/>
        <v>376.67</v>
      </c>
      <c r="R133" s="40">
        <f t="shared" si="7"/>
        <v>0</v>
      </c>
      <c r="S133" s="40">
        <f>ROUND('Смета ЕР (общ) '!$N133*'Смета ЕР (общ) '!$Q133,2)</f>
        <v>0</v>
      </c>
      <c r="T133" s="40">
        <f>ROUND('Смета ЕР (общ) '!$N133*'Смета ЕР (общ) '!$R133,2)</f>
        <v>0</v>
      </c>
    </row>
    <row r="134" spans="1:25" ht="14.4" x14ac:dyDescent="0.3">
      <c r="A134" s="36" t="s">
        <v>129</v>
      </c>
      <c r="B134" s="36">
        <v>2</v>
      </c>
      <c r="C134" s="36"/>
      <c r="D134" s="36">
        <v>6</v>
      </c>
      <c r="E134" s="36" t="str">
        <f>CONCATENATE('Смета ЕР (общ) '!$A134,".",'Смета ЕР (общ) '!$B134,".",'Смета ЕР (общ) '!$D134)</f>
        <v>Р2.2.6</v>
      </c>
      <c r="F134" s="36">
        <f t="shared" si="4"/>
        <v>1</v>
      </c>
      <c r="G134" s="36"/>
      <c r="H134" s="36"/>
      <c r="I134" s="36"/>
      <c r="J134" s="36"/>
      <c r="K134" s="36"/>
      <c r="L134" s="37" t="s">
        <v>158</v>
      </c>
      <c r="M134" s="38" t="s">
        <v>40</v>
      </c>
      <c r="N134" s="39"/>
      <c r="O134" s="40">
        <v>501.12</v>
      </c>
      <c r="P134" s="40">
        <v>0</v>
      </c>
      <c r="Q134" s="40">
        <f t="shared" si="7"/>
        <v>501.12</v>
      </c>
      <c r="R134" s="40">
        <f t="shared" si="7"/>
        <v>0</v>
      </c>
      <c r="S134" s="40">
        <f>ROUND('Смета ЕР (общ) '!$N134*'Смета ЕР (общ) '!$Q134,2)</f>
        <v>0</v>
      </c>
      <c r="T134" s="40">
        <f>ROUND('Смета ЕР (общ) '!$N134*'Смета ЕР (общ) '!$R134,2)</f>
        <v>0</v>
      </c>
    </row>
    <row r="135" spans="1:25" ht="14.4" x14ac:dyDescent="0.3">
      <c r="A135" s="36" t="s">
        <v>129</v>
      </c>
      <c r="B135" s="36">
        <v>2</v>
      </c>
      <c r="C135" s="36"/>
      <c r="D135" s="36">
        <v>7</v>
      </c>
      <c r="E135" s="36" t="str">
        <f>CONCATENATE('Смета ЕР (общ) '!$A135,".",'Смета ЕР (общ) '!$B135,".",'Смета ЕР (общ) '!$D135)</f>
        <v>Р2.2.7</v>
      </c>
      <c r="F135" s="36">
        <f t="shared" si="4"/>
        <v>1</v>
      </c>
      <c r="G135" s="36"/>
      <c r="H135" s="36"/>
      <c r="I135" s="36"/>
      <c r="J135" s="36"/>
      <c r="K135" s="36"/>
      <c r="L135" s="37" t="s">
        <v>159</v>
      </c>
      <c r="M135" s="38" t="s">
        <v>40</v>
      </c>
      <c r="N135" s="39"/>
      <c r="O135" s="40">
        <v>501.12</v>
      </c>
      <c r="P135" s="40">
        <v>0</v>
      </c>
      <c r="Q135" s="40">
        <f t="shared" si="7"/>
        <v>501.12</v>
      </c>
      <c r="R135" s="40">
        <f t="shared" si="7"/>
        <v>0</v>
      </c>
      <c r="S135" s="40">
        <f>ROUND('Смета ЕР (общ) '!$N135*'Смета ЕР (общ) '!$Q135,2)</f>
        <v>0</v>
      </c>
      <c r="T135" s="40">
        <f>ROUND('Смета ЕР (общ) '!$N135*'Смета ЕР (общ) '!$R135,2)</f>
        <v>0</v>
      </c>
    </row>
    <row r="136" spans="1:25" ht="14.4" x14ac:dyDescent="0.3">
      <c r="A136" s="36" t="s">
        <v>129</v>
      </c>
      <c r="B136" s="36">
        <v>2</v>
      </c>
      <c r="C136" s="36"/>
      <c r="D136" s="36">
        <v>8</v>
      </c>
      <c r="E136" s="36" t="str">
        <f>CONCATENATE('Смета ЕР (общ) '!$A136,".",'Смета ЕР (общ) '!$B136,".",'Смета ЕР (общ) '!$D136)</f>
        <v>Р2.2.8</v>
      </c>
      <c r="F136" s="36">
        <f t="shared" si="4"/>
        <v>1</v>
      </c>
      <c r="G136" s="36"/>
      <c r="H136" s="36"/>
      <c r="I136" s="36"/>
      <c r="J136" s="36"/>
      <c r="K136" s="36"/>
      <c r="L136" s="37" t="s">
        <v>160</v>
      </c>
      <c r="M136" s="38" t="s">
        <v>40</v>
      </c>
      <c r="N136" s="39"/>
      <c r="O136" s="40">
        <v>187.92</v>
      </c>
      <c r="P136" s="40">
        <v>0</v>
      </c>
      <c r="Q136" s="40">
        <f t="shared" si="7"/>
        <v>187.92</v>
      </c>
      <c r="R136" s="40">
        <f t="shared" si="7"/>
        <v>0</v>
      </c>
      <c r="S136" s="40">
        <f>ROUND('Смета ЕР (общ) '!$N136*'Смета ЕР (общ) '!$Q136,2)</f>
        <v>0</v>
      </c>
      <c r="T136" s="40">
        <f>ROUND('Смета ЕР (общ) '!$N136*'Смета ЕР (общ) '!$R136,2)</f>
        <v>0</v>
      </c>
    </row>
    <row r="137" spans="1:25" ht="14.4" x14ac:dyDescent="0.3">
      <c r="A137" s="36" t="s">
        <v>129</v>
      </c>
      <c r="B137" s="36">
        <v>2</v>
      </c>
      <c r="C137" s="36"/>
      <c r="D137" s="36">
        <v>9</v>
      </c>
      <c r="E137" s="36" t="str">
        <f>CONCATENATE('Смета ЕР (общ) '!$A137,".",'Смета ЕР (общ) '!$B137,".",'Смета ЕР (общ) '!$D137)</f>
        <v>Р2.2.9</v>
      </c>
      <c r="F137" s="36">
        <f t="shared" si="4"/>
        <v>1</v>
      </c>
      <c r="G137" s="36"/>
      <c r="H137" s="36"/>
      <c r="I137" s="36"/>
      <c r="J137" s="36"/>
      <c r="K137" s="36"/>
      <c r="L137" s="37" t="s">
        <v>161</v>
      </c>
      <c r="M137" s="38" t="s">
        <v>40</v>
      </c>
      <c r="N137" s="39"/>
      <c r="O137" s="40">
        <v>220</v>
      </c>
      <c r="P137" s="40">
        <v>0</v>
      </c>
      <c r="Q137" s="40">
        <f t="shared" si="7"/>
        <v>220</v>
      </c>
      <c r="R137" s="40">
        <f t="shared" si="7"/>
        <v>0</v>
      </c>
      <c r="S137" s="40">
        <f>ROUND('Смета ЕР (общ) '!$N137*'Смета ЕР (общ) '!$Q137,2)</f>
        <v>0</v>
      </c>
      <c r="T137" s="40">
        <f>ROUND('Смета ЕР (общ) '!$N137*'Смета ЕР (общ) '!$R137,2)</f>
        <v>0</v>
      </c>
    </row>
    <row r="138" spans="1:25" ht="14.4" x14ac:dyDescent="0.3">
      <c r="A138" s="55" t="s">
        <v>129</v>
      </c>
      <c r="B138" s="55">
        <v>2</v>
      </c>
      <c r="C138" s="55"/>
      <c r="D138" s="55">
        <v>10</v>
      </c>
      <c r="E138" s="55" t="str">
        <f>CONCATENATE('Смета ЕР (общ) '!$A138,".",'Смета ЕР (общ) '!$B138,".",'Смета ЕР (общ) '!$D138)</f>
        <v>Р2.2.10</v>
      </c>
      <c r="F138" s="55">
        <f t="shared" si="4"/>
        <v>1</v>
      </c>
      <c r="G138" s="55"/>
      <c r="H138" s="55"/>
      <c r="I138" s="55"/>
      <c r="J138" s="55"/>
      <c r="K138" s="55"/>
      <c r="L138" s="56" t="s">
        <v>162</v>
      </c>
      <c r="M138" s="38" t="s">
        <v>40</v>
      </c>
      <c r="N138" s="39"/>
      <c r="O138" s="40">
        <v>374.59</v>
      </c>
      <c r="P138" s="40">
        <v>0</v>
      </c>
      <c r="Q138" s="40">
        <f t="shared" si="7"/>
        <v>374.59</v>
      </c>
      <c r="R138" s="40">
        <f t="shared" si="7"/>
        <v>0</v>
      </c>
      <c r="S138" s="40">
        <f>ROUND('Смета ЕР (общ) '!$N138*'Смета ЕР (общ) '!$Q138,2)</f>
        <v>0</v>
      </c>
      <c r="T138" s="40">
        <f>ROUND('Смета ЕР (общ) '!$N138*'Смета ЕР (общ) '!$R138,2)</f>
        <v>0</v>
      </c>
    </row>
    <row r="139" spans="1:25" ht="14.4" x14ac:dyDescent="0.3">
      <c r="A139" s="36" t="s">
        <v>129</v>
      </c>
      <c r="B139" s="36">
        <v>2</v>
      </c>
      <c r="C139" s="36"/>
      <c r="D139" s="36">
        <v>11</v>
      </c>
      <c r="E139" s="36" t="str">
        <f>CONCATENATE('Смета ЕР (общ) '!$A139,".",'Смета ЕР (общ) '!$B139,".",'Смета ЕР (общ) '!$D139)</f>
        <v>Р2.2.11</v>
      </c>
      <c r="F139" s="36">
        <f t="shared" si="4"/>
        <v>1</v>
      </c>
      <c r="G139" s="36"/>
      <c r="H139" s="36"/>
      <c r="I139" s="36"/>
      <c r="J139" s="36"/>
      <c r="K139" s="36"/>
      <c r="L139" s="37" t="s">
        <v>163</v>
      </c>
      <c r="M139" s="38" t="s">
        <v>40</v>
      </c>
      <c r="N139" s="39"/>
      <c r="O139" s="40">
        <v>322.01</v>
      </c>
      <c r="P139" s="40">
        <v>0</v>
      </c>
      <c r="Q139" s="40">
        <f t="shared" si="7"/>
        <v>322.01</v>
      </c>
      <c r="R139" s="40">
        <f t="shared" si="7"/>
        <v>0</v>
      </c>
      <c r="S139" s="40">
        <f>ROUND('Смета ЕР (общ) '!$N139*'Смета ЕР (общ) '!$Q139,2)</f>
        <v>0</v>
      </c>
      <c r="T139" s="40">
        <f>ROUND('Смета ЕР (общ) '!$N139*'Смета ЕР (общ) '!$R139,2)</f>
        <v>0</v>
      </c>
    </row>
    <row r="140" spans="1:25" ht="14.4" x14ac:dyDescent="0.3">
      <c r="A140" s="36" t="s">
        <v>129</v>
      </c>
      <c r="B140" s="36">
        <v>2</v>
      </c>
      <c r="C140" s="36"/>
      <c r="D140" s="36">
        <v>12</v>
      </c>
      <c r="E140" s="36" t="str">
        <f>CONCATENATE('Смета ЕР (общ) '!$A140,".",'Смета ЕР (общ) '!$B140,".",'Смета ЕР (общ) '!$D140)</f>
        <v>Р2.2.12</v>
      </c>
      <c r="F140" s="36">
        <f t="shared" si="4"/>
        <v>1</v>
      </c>
      <c r="G140" s="36"/>
      <c r="H140" s="36"/>
      <c r="I140" s="36"/>
      <c r="J140" s="36"/>
      <c r="K140" s="36"/>
      <c r="L140" s="37" t="s">
        <v>164</v>
      </c>
      <c r="M140" s="38" t="s">
        <v>40</v>
      </c>
      <c r="N140" s="39"/>
      <c r="O140" s="40">
        <v>375.84</v>
      </c>
      <c r="P140" s="40">
        <v>0</v>
      </c>
      <c r="Q140" s="40">
        <f t="shared" si="7"/>
        <v>375.84</v>
      </c>
      <c r="R140" s="40">
        <f t="shared" si="7"/>
        <v>0</v>
      </c>
      <c r="S140" s="40">
        <f>ROUND('Смета ЕР (общ) '!$N140*'Смета ЕР (общ) '!$Q140,2)</f>
        <v>0</v>
      </c>
      <c r="T140" s="40">
        <f>ROUND('Смета ЕР (общ) '!$N140*'Смета ЕР (общ) '!$R140,2)</f>
        <v>0</v>
      </c>
    </row>
    <row r="141" spans="1:25" ht="14.4" x14ac:dyDescent="0.3">
      <c r="A141" s="36" t="s">
        <v>129</v>
      </c>
      <c r="B141" s="36">
        <v>2</v>
      </c>
      <c r="C141" s="36"/>
      <c r="D141" s="36">
        <v>13</v>
      </c>
      <c r="E141" s="36" t="str">
        <f>CONCATENATE('Смета ЕР (общ) '!$A141,".",'Смета ЕР (общ) '!$B141,".",'Смета ЕР (общ) '!$D141)</f>
        <v>Р2.2.13</v>
      </c>
      <c r="F141" s="36">
        <f t="shared" si="4"/>
        <v>1</v>
      </c>
      <c r="G141" s="36"/>
      <c r="H141" s="36"/>
      <c r="I141" s="36"/>
      <c r="J141" s="36"/>
      <c r="K141" s="36"/>
      <c r="L141" s="37" t="s">
        <v>165</v>
      </c>
      <c r="M141" s="38" t="s">
        <v>147</v>
      </c>
      <c r="N141" s="39"/>
      <c r="O141" s="40">
        <v>78.86</v>
      </c>
      <c r="P141" s="40">
        <v>0</v>
      </c>
      <c r="Q141" s="40">
        <f t="shared" si="7"/>
        <v>78.86</v>
      </c>
      <c r="R141" s="40">
        <f t="shared" si="7"/>
        <v>0</v>
      </c>
      <c r="S141" s="40">
        <f>ROUND('Смета ЕР (общ) '!$N141*'Смета ЕР (общ) '!$Q141,2)</f>
        <v>0</v>
      </c>
      <c r="T141" s="40">
        <f>ROUND('Смета ЕР (общ) '!$N141*'Смета ЕР (общ) '!$R141,2)</f>
        <v>0</v>
      </c>
    </row>
    <row r="142" spans="1:25" ht="14.4" x14ac:dyDescent="0.3">
      <c r="A142" s="36" t="s">
        <v>129</v>
      </c>
      <c r="B142" s="36">
        <v>2</v>
      </c>
      <c r="C142" s="36"/>
      <c r="D142" s="36">
        <v>14</v>
      </c>
      <c r="E142" s="36" t="str">
        <f>CONCATENATE('Смета ЕР (общ) '!$A142,".",'Смета ЕР (общ) '!$B142,".",'Смета ЕР (общ) '!$D142)</f>
        <v>Р2.2.14</v>
      </c>
      <c r="F142" s="36">
        <f t="shared" si="4"/>
        <v>1</v>
      </c>
      <c r="G142" s="36"/>
      <c r="H142" s="36"/>
      <c r="I142" s="36"/>
      <c r="J142" s="36"/>
      <c r="K142" s="36"/>
      <c r="L142" s="37" t="s">
        <v>166</v>
      </c>
      <c r="M142" s="38" t="s">
        <v>147</v>
      </c>
      <c r="N142" s="39"/>
      <c r="O142" s="40">
        <v>78.38</v>
      </c>
      <c r="P142" s="40">
        <v>0</v>
      </c>
      <c r="Q142" s="40">
        <f t="shared" si="7"/>
        <v>78.38</v>
      </c>
      <c r="R142" s="40">
        <f t="shared" si="7"/>
        <v>0</v>
      </c>
      <c r="S142" s="40">
        <f>ROUND('Смета ЕР (общ) '!$N142*'Смета ЕР (общ) '!$Q142,2)</f>
        <v>0</v>
      </c>
      <c r="T142" s="40">
        <f>ROUND('Смета ЕР (общ) '!$N142*'Смета ЕР (общ) '!$R142,2)</f>
        <v>0</v>
      </c>
    </row>
    <row r="143" spans="1:25" ht="14.4" x14ac:dyDescent="0.3">
      <c r="A143" s="36" t="s">
        <v>129</v>
      </c>
      <c r="B143" s="36">
        <v>2</v>
      </c>
      <c r="C143" s="36"/>
      <c r="D143" s="36">
        <v>15</v>
      </c>
      <c r="E143" s="36" t="str">
        <f>CONCATENATE('Смета ЕР (общ) '!$A143,".",'Смета ЕР (общ) '!$B143,".",'Смета ЕР (общ) '!$D143)</f>
        <v>Р2.2.15</v>
      </c>
      <c r="F143" s="36">
        <f t="shared" si="4"/>
        <v>1</v>
      </c>
      <c r="G143" s="36"/>
      <c r="H143" s="36"/>
      <c r="I143" s="36"/>
      <c r="J143" s="36"/>
      <c r="K143" s="36"/>
      <c r="L143" s="37" t="s">
        <v>167</v>
      </c>
      <c r="M143" s="38" t="s">
        <v>40</v>
      </c>
      <c r="N143" s="39"/>
      <c r="O143" s="40">
        <v>5622.11</v>
      </c>
      <c r="P143" s="40">
        <v>0</v>
      </c>
      <c r="Q143" s="40">
        <f t="shared" si="7"/>
        <v>5622.11</v>
      </c>
      <c r="R143" s="40">
        <f t="shared" si="7"/>
        <v>0</v>
      </c>
      <c r="S143" s="40">
        <f>ROUND('Смета ЕР (общ) '!$N143*'Смета ЕР (общ) '!$Q143,2)</f>
        <v>0</v>
      </c>
      <c r="T143" s="40">
        <f>ROUND('Смета ЕР (общ) '!$N143*'Смета ЕР (общ) '!$R143,2)</f>
        <v>0</v>
      </c>
    </row>
    <row r="144" spans="1:25" ht="14.4" x14ac:dyDescent="0.3">
      <c r="A144" s="36" t="s">
        <v>129</v>
      </c>
      <c r="B144" s="36">
        <v>2</v>
      </c>
      <c r="C144" s="36"/>
      <c r="D144" s="36">
        <v>16</v>
      </c>
      <c r="E144" s="36" t="str">
        <f>CONCATENATE('Смета ЕР (общ) '!$A144,".",'Смета ЕР (общ) '!$B144,".",'Смета ЕР (общ) '!$D144)</f>
        <v>Р2.2.16</v>
      </c>
      <c r="F144" s="36">
        <f t="shared" si="4"/>
        <v>1</v>
      </c>
      <c r="G144" s="36"/>
      <c r="H144" s="36"/>
      <c r="I144" s="36"/>
      <c r="J144" s="36"/>
      <c r="K144" s="36"/>
      <c r="L144" s="37" t="s">
        <v>168</v>
      </c>
      <c r="M144" s="38" t="s">
        <v>147</v>
      </c>
      <c r="N144" s="39"/>
      <c r="O144" s="40">
        <v>814.32</v>
      </c>
      <c r="P144" s="40">
        <v>0</v>
      </c>
      <c r="Q144" s="40">
        <f t="shared" si="7"/>
        <v>814.32</v>
      </c>
      <c r="R144" s="40">
        <f t="shared" si="7"/>
        <v>0</v>
      </c>
      <c r="S144" s="40">
        <f>ROUND('Смета ЕР (общ) '!$N144*'Смета ЕР (общ) '!$Q144,2)</f>
        <v>0</v>
      </c>
      <c r="T144" s="40">
        <f>ROUND('Смета ЕР (общ) '!$N144*'Смета ЕР (общ) '!$R144,2)</f>
        <v>0</v>
      </c>
    </row>
    <row r="145" spans="1:25" ht="14.4" x14ac:dyDescent="0.3">
      <c r="A145" s="36" t="s">
        <v>129</v>
      </c>
      <c r="B145" s="36">
        <v>2</v>
      </c>
      <c r="C145" s="36"/>
      <c r="D145" s="36">
        <v>17</v>
      </c>
      <c r="E145" s="36" t="str">
        <f>CONCATENATE('Смета ЕР (общ) '!$A145,".",'Смета ЕР (общ) '!$B145,".",'Смета ЕР (общ) '!$D145)</f>
        <v>Р2.2.17</v>
      </c>
      <c r="F145" s="36">
        <f t="shared" ref="F145:F208" si="8">IF(N145&gt;0,F144+1,F144)</f>
        <v>1</v>
      </c>
      <c r="G145" s="36"/>
      <c r="H145" s="36"/>
      <c r="I145" s="36"/>
      <c r="J145" s="36"/>
      <c r="K145" s="36"/>
      <c r="L145" s="37" t="s">
        <v>169</v>
      </c>
      <c r="M145" s="38" t="s">
        <v>40</v>
      </c>
      <c r="N145" s="39"/>
      <c r="O145" s="40">
        <v>209</v>
      </c>
      <c r="P145" s="40">
        <v>0</v>
      </c>
      <c r="Q145" s="40">
        <f t="shared" si="7"/>
        <v>209</v>
      </c>
      <c r="R145" s="40">
        <f t="shared" si="7"/>
        <v>0</v>
      </c>
      <c r="S145" s="40">
        <f>ROUND('Смета ЕР (общ) '!$N145*'Смета ЕР (общ) '!$Q145,2)</f>
        <v>0</v>
      </c>
      <c r="T145" s="40">
        <f>ROUND('Смета ЕР (общ) '!$N145*'Смета ЕР (общ) '!$R145,2)</f>
        <v>0</v>
      </c>
    </row>
    <row r="146" spans="1:25" ht="14.4" x14ac:dyDescent="0.3">
      <c r="A146" s="48" t="s">
        <v>129</v>
      </c>
      <c r="B146" s="48">
        <v>3</v>
      </c>
      <c r="C146" s="48"/>
      <c r="D146" s="48">
        <v>0</v>
      </c>
      <c r="E146" s="48" t="str">
        <f>CONCATENATE('Смета ЕР (общ) '!$A146,".",'Смета ЕР (общ) '!$B146,".",'Смета ЕР (общ) '!$D146)</f>
        <v>Р2.3.0</v>
      </c>
      <c r="F146" s="48">
        <f t="shared" si="8"/>
        <v>1</v>
      </c>
      <c r="G146" s="48"/>
      <c r="H146" s="48"/>
      <c r="I146" s="48"/>
      <c r="J146" s="48"/>
      <c r="K146" s="48"/>
      <c r="L146" s="49" t="s">
        <v>170</v>
      </c>
      <c r="M146" s="31"/>
      <c r="N146" s="32">
        <f>SUM(N147:N163)</f>
        <v>0</v>
      </c>
      <c r="O146" s="47"/>
      <c r="P146" s="47"/>
      <c r="Q146" s="34"/>
      <c r="R146" s="34"/>
      <c r="S146" s="34">
        <f>SUM(S147:S163)</f>
        <v>0</v>
      </c>
      <c r="T146" s="34">
        <f>SUM(T147:T163)</f>
        <v>0</v>
      </c>
      <c r="Y146">
        <v>0</v>
      </c>
    </row>
    <row r="147" spans="1:25" ht="14.4" x14ac:dyDescent="0.3">
      <c r="A147" s="36" t="s">
        <v>129</v>
      </c>
      <c r="B147" s="36">
        <v>3</v>
      </c>
      <c r="C147" s="36"/>
      <c r="D147" s="36">
        <v>1</v>
      </c>
      <c r="E147" s="36" t="str">
        <f>CONCATENATE('Смета ЕР (общ) '!$A147,".",'Смета ЕР (общ) '!$B147,".",'Смета ЕР (общ) '!$D147)</f>
        <v>Р2.3.1</v>
      </c>
      <c r="F147" s="36">
        <f t="shared" si="8"/>
        <v>1</v>
      </c>
      <c r="G147" s="36"/>
      <c r="H147" s="36"/>
      <c r="I147" s="36"/>
      <c r="J147" s="36"/>
      <c r="K147" s="36"/>
      <c r="L147" s="37" t="s">
        <v>171</v>
      </c>
      <c r="M147" s="38" t="s">
        <v>40</v>
      </c>
      <c r="N147" s="39"/>
      <c r="O147" s="40">
        <v>1021.9</v>
      </c>
      <c r="P147" s="40">
        <v>0</v>
      </c>
      <c r="Q147" s="40">
        <f t="shared" ref="Q147:R163" si="9">ROUND(O147-O147*$V$3,2)</f>
        <v>1021.9</v>
      </c>
      <c r="R147" s="40">
        <f t="shared" si="9"/>
        <v>0</v>
      </c>
      <c r="S147" s="40">
        <f>ROUND('Смета ЕР (общ) '!$N147*'Смета ЕР (общ) '!$Q147,2)</f>
        <v>0</v>
      </c>
      <c r="T147" s="40">
        <f>ROUND('Смета ЕР (общ) '!$N147*'Смета ЕР (общ) '!$R147,2)</f>
        <v>0</v>
      </c>
    </row>
    <row r="148" spans="1:25" ht="24" x14ac:dyDescent="0.3">
      <c r="A148" s="36" t="s">
        <v>129</v>
      </c>
      <c r="B148" s="36">
        <v>3</v>
      </c>
      <c r="C148" s="36"/>
      <c r="D148" s="36">
        <v>2</v>
      </c>
      <c r="E148" s="36" t="str">
        <f>CONCATENATE('Смета ЕР (общ) '!$A148,".",'Смета ЕР (общ) '!$B148,".",'Смета ЕР (общ) '!$D148)</f>
        <v>Р2.3.2</v>
      </c>
      <c r="F148" s="36">
        <f t="shared" si="8"/>
        <v>1</v>
      </c>
      <c r="G148" s="36"/>
      <c r="H148" s="36"/>
      <c r="I148" s="36"/>
      <c r="J148" s="36"/>
      <c r="K148" s="36"/>
      <c r="L148" s="37" t="s">
        <v>172</v>
      </c>
      <c r="M148" s="38" t="s">
        <v>40</v>
      </c>
      <c r="N148" s="39"/>
      <c r="O148" s="40">
        <v>1287</v>
      </c>
      <c r="P148" s="40">
        <v>0</v>
      </c>
      <c r="Q148" s="40">
        <f t="shared" si="9"/>
        <v>1287</v>
      </c>
      <c r="R148" s="40">
        <f t="shared" si="9"/>
        <v>0</v>
      </c>
      <c r="S148" s="40">
        <f>ROUND('Смета ЕР (общ) '!$N148*'Смета ЕР (общ) '!$Q148,2)</f>
        <v>0</v>
      </c>
      <c r="T148" s="40">
        <f>ROUND('Смета ЕР (общ) '!$N148*'Смета ЕР (общ) '!$R148,2)</f>
        <v>0</v>
      </c>
    </row>
    <row r="149" spans="1:25" ht="14.4" x14ac:dyDescent="0.3">
      <c r="A149" s="36" t="s">
        <v>129</v>
      </c>
      <c r="B149" s="36">
        <v>3</v>
      </c>
      <c r="C149" s="36"/>
      <c r="D149" s="36">
        <v>3</v>
      </c>
      <c r="E149" s="36" t="str">
        <f>CONCATENATE('Смета ЕР (общ) '!$A149,".",'Смета ЕР (общ) '!$B149,".",'Смета ЕР (общ) '!$D149)</f>
        <v>Р2.3.3</v>
      </c>
      <c r="F149" s="36">
        <f t="shared" si="8"/>
        <v>1</v>
      </c>
      <c r="G149" s="36"/>
      <c r="H149" s="36"/>
      <c r="I149" s="36"/>
      <c r="J149" s="36"/>
      <c r="K149" s="36"/>
      <c r="L149" s="37" t="s">
        <v>173</v>
      </c>
      <c r="M149" s="38" t="s">
        <v>144</v>
      </c>
      <c r="N149" s="39"/>
      <c r="O149" s="40">
        <v>8175.22</v>
      </c>
      <c r="P149" s="40">
        <v>0</v>
      </c>
      <c r="Q149" s="40">
        <f t="shared" si="9"/>
        <v>8175.22</v>
      </c>
      <c r="R149" s="40">
        <f t="shared" si="9"/>
        <v>0</v>
      </c>
      <c r="S149" s="40">
        <f>ROUND('Смета ЕР (общ) '!$N149*'Смета ЕР (общ) '!$Q149,2)</f>
        <v>0</v>
      </c>
      <c r="T149" s="40">
        <f>ROUND('Смета ЕР (общ) '!$N149*'Смета ЕР (общ) '!$R149,2)</f>
        <v>0</v>
      </c>
    </row>
    <row r="150" spans="1:25" ht="14.4" x14ac:dyDescent="0.3">
      <c r="A150" s="36" t="s">
        <v>129</v>
      </c>
      <c r="B150" s="36">
        <v>3</v>
      </c>
      <c r="C150" s="36"/>
      <c r="D150" s="36">
        <v>7</v>
      </c>
      <c r="E150" s="36" t="str">
        <f>CONCATENATE('Смета ЕР (общ) '!$A150,".",'Смета ЕР (общ) '!$B150,".",'Смета ЕР (общ) '!$D150)</f>
        <v>Р2.3.7</v>
      </c>
      <c r="F150" s="36">
        <f t="shared" si="8"/>
        <v>1</v>
      </c>
      <c r="G150" s="36"/>
      <c r="H150" s="36"/>
      <c r="I150" s="36"/>
      <c r="J150" s="36"/>
      <c r="K150" s="36"/>
      <c r="L150" s="37" t="s">
        <v>174</v>
      </c>
      <c r="M150" s="38" t="s">
        <v>144</v>
      </c>
      <c r="N150" s="39"/>
      <c r="O150" s="40">
        <v>8992.74</v>
      </c>
      <c r="P150" s="40">
        <v>0</v>
      </c>
      <c r="Q150" s="40">
        <f t="shared" si="9"/>
        <v>8992.74</v>
      </c>
      <c r="R150" s="40">
        <f t="shared" si="9"/>
        <v>0</v>
      </c>
      <c r="S150" s="40">
        <f>ROUND('Смета ЕР (общ) '!$N150*'Смета ЕР (общ) '!$Q150,2)</f>
        <v>0</v>
      </c>
      <c r="T150" s="40">
        <f>ROUND('Смета ЕР (общ) '!$N150*'Смета ЕР (общ) '!$R150,2)</f>
        <v>0</v>
      </c>
    </row>
    <row r="151" spans="1:25" ht="14.4" x14ac:dyDescent="0.3">
      <c r="A151" s="36" t="s">
        <v>129</v>
      </c>
      <c r="B151" s="36">
        <v>3</v>
      </c>
      <c r="C151" s="36"/>
      <c r="D151" s="36">
        <v>8</v>
      </c>
      <c r="E151" s="36" t="str">
        <f>CONCATENATE('Смета ЕР (общ) '!$A151,".",'Смета ЕР (общ) '!$B151,".",'Смета ЕР (общ) '!$D151)</f>
        <v>Р2.3.8</v>
      </c>
      <c r="F151" s="36">
        <f t="shared" si="8"/>
        <v>1</v>
      </c>
      <c r="G151" s="36"/>
      <c r="H151" s="36"/>
      <c r="I151" s="36"/>
      <c r="J151" s="36"/>
      <c r="K151" s="36"/>
      <c r="L151" s="37" t="s">
        <v>175</v>
      </c>
      <c r="M151" s="38" t="s">
        <v>40</v>
      </c>
      <c r="N151" s="39"/>
      <c r="O151" s="40">
        <v>144.58000000000001</v>
      </c>
      <c r="P151" s="40">
        <v>0</v>
      </c>
      <c r="Q151" s="40">
        <f t="shared" si="9"/>
        <v>144.58000000000001</v>
      </c>
      <c r="R151" s="40">
        <f t="shared" si="9"/>
        <v>0</v>
      </c>
      <c r="S151" s="40">
        <f>ROUND('Смета ЕР (общ) '!$N151*'Смета ЕР (общ) '!$Q151,2)</f>
        <v>0</v>
      </c>
      <c r="T151" s="40">
        <f>ROUND('Смета ЕР (общ) '!$N151*'Смета ЕР (общ) '!$R151,2)</f>
        <v>0</v>
      </c>
    </row>
    <row r="152" spans="1:25" ht="14.4" x14ac:dyDescent="0.3">
      <c r="A152" s="36" t="s">
        <v>129</v>
      </c>
      <c r="B152" s="36">
        <v>3</v>
      </c>
      <c r="C152" s="36"/>
      <c r="D152" s="36">
        <v>9</v>
      </c>
      <c r="E152" s="36" t="str">
        <f>CONCATENATE('Смета ЕР (общ) '!$A152,".",'Смета ЕР (общ) '!$B152,".",'Смета ЕР (общ) '!$D152)</f>
        <v>Р2.3.9</v>
      </c>
      <c r="F152" s="36">
        <f t="shared" si="8"/>
        <v>1</v>
      </c>
      <c r="G152" s="36"/>
      <c r="H152" s="36"/>
      <c r="I152" s="36"/>
      <c r="J152" s="36"/>
      <c r="K152" s="36"/>
      <c r="L152" s="37" t="s">
        <v>176</v>
      </c>
      <c r="M152" s="38" t="s">
        <v>144</v>
      </c>
      <c r="N152" s="39"/>
      <c r="O152" s="40">
        <v>156.6</v>
      </c>
      <c r="P152" s="40">
        <v>0</v>
      </c>
      <c r="Q152" s="40">
        <f t="shared" si="9"/>
        <v>156.6</v>
      </c>
      <c r="R152" s="40">
        <f t="shared" si="9"/>
        <v>0</v>
      </c>
      <c r="S152" s="40">
        <f>ROUND('Смета ЕР (общ) '!$N152*'Смета ЕР (общ) '!$Q152,2)</f>
        <v>0</v>
      </c>
      <c r="T152" s="40">
        <f>ROUND('Смета ЕР (общ) '!$N152*'Смета ЕР (общ) '!$R152,2)</f>
        <v>0</v>
      </c>
    </row>
    <row r="153" spans="1:25" ht="14.4" x14ac:dyDescent="0.3">
      <c r="A153" s="36" t="s">
        <v>129</v>
      </c>
      <c r="B153" s="36">
        <v>3</v>
      </c>
      <c r="C153" s="36"/>
      <c r="D153" s="36">
        <v>10</v>
      </c>
      <c r="E153" s="36" t="str">
        <f>CONCATENATE('Смета ЕР (общ) '!$A153,".",'Смета ЕР (общ) '!$B153,".",'Смета ЕР (общ) '!$D153)</f>
        <v>Р2.3.10</v>
      </c>
      <c r="F153" s="36">
        <f t="shared" si="8"/>
        <v>1</v>
      </c>
      <c r="G153" s="36"/>
      <c r="H153" s="36"/>
      <c r="I153" s="36"/>
      <c r="J153" s="36"/>
      <c r="K153" s="36"/>
      <c r="L153" s="37" t="s">
        <v>177</v>
      </c>
      <c r="M153" s="38" t="s">
        <v>40</v>
      </c>
      <c r="N153" s="39"/>
      <c r="O153" s="40">
        <v>341.73</v>
      </c>
      <c r="P153" s="40">
        <v>0</v>
      </c>
      <c r="Q153" s="40">
        <f t="shared" si="9"/>
        <v>341.73</v>
      </c>
      <c r="R153" s="40">
        <f t="shared" si="9"/>
        <v>0</v>
      </c>
      <c r="S153" s="40">
        <f>ROUND('Смета ЕР (общ) '!$N153*'Смета ЕР (общ) '!$Q153,2)</f>
        <v>0</v>
      </c>
      <c r="T153" s="40">
        <f>ROUND('Смета ЕР (общ) '!$N153*'Смета ЕР (общ) '!$R153,2)</f>
        <v>0</v>
      </c>
    </row>
    <row r="154" spans="1:25" ht="14.4" x14ac:dyDescent="0.3">
      <c r="A154" s="36" t="s">
        <v>129</v>
      </c>
      <c r="B154" s="36">
        <v>3</v>
      </c>
      <c r="C154" s="36"/>
      <c r="D154" s="36">
        <v>11</v>
      </c>
      <c r="E154" s="36" t="str">
        <f>CONCATENATE('Смета ЕР (общ) '!$A154,".",'Смета ЕР (общ) '!$B154,".",'Смета ЕР (общ) '!$D154)</f>
        <v>Р2.3.11</v>
      </c>
      <c r="F154" s="36">
        <f t="shared" si="8"/>
        <v>1</v>
      </c>
      <c r="G154" s="36"/>
      <c r="H154" s="36"/>
      <c r="I154" s="36"/>
      <c r="J154" s="36"/>
      <c r="K154" s="36"/>
      <c r="L154" s="37" t="s">
        <v>178</v>
      </c>
      <c r="M154" s="38" t="s">
        <v>40</v>
      </c>
      <c r="N154" s="39"/>
      <c r="O154" s="40">
        <v>281.88</v>
      </c>
      <c r="P154" s="40">
        <v>0</v>
      </c>
      <c r="Q154" s="40">
        <f t="shared" si="9"/>
        <v>281.88</v>
      </c>
      <c r="R154" s="40">
        <f t="shared" si="9"/>
        <v>0</v>
      </c>
      <c r="S154" s="40">
        <f>ROUND('Смета ЕР (общ) '!$N154*'Смета ЕР (общ) '!$Q154,2)</f>
        <v>0</v>
      </c>
      <c r="T154" s="40">
        <f>ROUND('Смета ЕР (общ) '!$N154*'Смета ЕР (общ) '!$R154,2)</f>
        <v>0</v>
      </c>
    </row>
    <row r="155" spans="1:25" ht="14.4" x14ac:dyDescent="0.3">
      <c r="A155" s="36" t="s">
        <v>129</v>
      </c>
      <c r="B155" s="36">
        <v>3</v>
      </c>
      <c r="C155" s="36"/>
      <c r="D155" s="36">
        <v>12</v>
      </c>
      <c r="E155" s="36" t="str">
        <f>CONCATENATE('Смета ЕР (общ) '!$A155,".",'Смета ЕР (общ) '!$B155,".",'Смета ЕР (общ) '!$D155)</f>
        <v>Р2.3.12</v>
      </c>
      <c r="F155" s="36">
        <f t="shared" si="8"/>
        <v>1</v>
      </c>
      <c r="G155" s="36"/>
      <c r="H155" s="36"/>
      <c r="I155" s="36"/>
      <c r="J155" s="36"/>
      <c r="K155" s="36"/>
      <c r="L155" s="37" t="s">
        <v>179</v>
      </c>
      <c r="M155" s="38" t="s">
        <v>40</v>
      </c>
      <c r="N155" s="39"/>
      <c r="O155" s="40">
        <v>433.73</v>
      </c>
      <c r="P155" s="40">
        <v>0</v>
      </c>
      <c r="Q155" s="40">
        <f t="shared" si="9"/>
        <v>433.73</v>
      </c>
      <c r="R155" s="40">
        <f t="shared" si="9"/>
        <v>0</v>
      </c>
      <c r="S155" s="40">
        <f>ROUND('Смета ЕР (общ) '!$N155*'Смета ЕР (общ) '!$Q155,2)</f>
        <v>0</v>
      </c>
      <c r="T155" s="40">
        <f>ROUND('Смета ЕР (общ) '!$N155*'Смета ЕР (общ) '!$R155,2)</f>
        <v>0</v>
      </c>
    </row>
    <row r="156" spans="1:25" ht="24" x14ac:dyDescent="0.3">
      <c r="A156" s="36" t="s">
        <v>129</v>
      </c>
      <c r="B156" s="36">
        <v>3</v>
      </c>
      <c r="C156" s="36"/>
      <c r="D156" s="36">
        <v>13</v>
      </c>
      <c r="E156" s="36" t="str">
        <f>CONCATENATE('Смета ЕР (общ) '!$A156,".",'Смета ЕР (общ) '!$B156,".",'Смета ЕР (общ) '!$D156)</f>
        <v>Р2.3.13</v>
      </c>
      <c r="F156" s="36">
        <f t="shared" si="8"/>
        <v>1</v>
      </c>
      <c r="G156" s="36"/>
      <c r="H156" s="36"/>
      <c r="I156" s="36"/>
      <c r="J156" s="36"/>
      <c r="K156" s="36"/>
      <c r="L156" s="37" t="s">
        <v>180</v>
      </c>
      <c r="M156" s="38" t="s">
        <v>40</v>
      </c>
      <c r="N156" s="39"/>
      <c r="O156" s="40">
        <v>453.45</v>
      </c>
      <c r="P156" s="40">
        <v>0</v>
      </c>
      <c r="Q156" s="40">
        <f t="shared" si="9"/>
        <v>453.45</v>
      </c>
      <c r="R156" s="40">
        <f t="shared" si="9"/>
        <v>0</v>
      </c>
      <c r="S156" s="40">
        <f>ROUND('Смета ЕР (общ) '!$N156*'Смета ЕР (общ) '!$Q156,2)</f>
        <v>0</v>
      </c>
      <c r="T156" s="40">
        <f>ROUND('Смета ЕР (общ) '!$N156*'Смета ЕР (общ) '!$R156,2)</f>
        <v>0</v>
      </c>
    </row>
    <row r="157" spans="1:25" ht="14.4" x14ac:dyDescent="0.3">
      <c r="A157" s="36" t="s">
        <v>129</v>
      </c>
      <c r="B157" s="36">
        <v>3</v>
      </c>
      <c r="C157" s="36"/>
      <c r="D157" s="36">
        <v>14</v>
      </c>
      <c r="E157" s="36" t="str">
        <f>CONCATENATE('Смета ЕР (общ) '!$A157,".",'Смета ЕР (общ) '!$B157,".",'Смета ЕР (общ) '!$D157)</f>
        <v>Р2.3.14</v>
      </c>
      <c r="F157" s="36">
        <f t="shared" si="8"/>
        <v>1</v>
      </c>
      <c r="G157" s="36"/>
      <c r="H157" s="36"/>
      <c r="I157" s="36"/>
      <c r="J157" s="36"/>
      <c r="K157" s="36"/>
      <c r="L157" s="37" t="s">
        <v>181</v>
      </c>
      <c r="M157" s="38" t="s">
        <v>40</v>
      </c>
      <c r="N157" s="39"/>
      <c r="O157" s="40">
        <v>337.56</v>
      </c>
      <c r="P157" s="40">
        <v>0</v>
      </c>
      <c r="Q157" s="40">
        <f t="shared" si="9"/>
        <v>337.56</v>
      </c>
      <c r="R157" s="40">
        <f t="shared" si="9"/>
        <v>0</v>
      </c>
      <c r="S157" s="40">
        <f>ROUND('Смета ЕР (общ) '!$N157*'Смета ЕР (общ) '!$Q157,2)</f>
        <v>0</v>
      </c>
      <c r="T157" s="40">
        <f>ROUND('Смета ЕР (общ) '!$N157*'Смета ЕР (общ) '!$R157,2)</f>
        <v>0</v>
      </c>
    </row>
    <row r="158" spans="1:25" ht="14.4" x14ac:dyDescent="0.3">
      <c r="A158" s="36" t="s">
        <v>129</v>
      </c>
      <c r="B158" s="36">
        <v>3</v>
      </c>
      <c r="C158" s="36"/>
      <c r="D158" s="36">
        <v>15</v>
      </c>
      <c r="E158" s="36" t="str">
        <f>CONCATENATE('Смета ЕР (общ) '!$A158,".",'Смета ЕР (общ) '!$B158,".",'Смета ЕР (общ) '!$D158)</f>
        <v>Р2.3.15</v>
      </c>
      <c r="F158" s="36">
        <f t="shared" si="8"/>
        <v>1</v>
      </c>
      <c r="G158" s="36"/>
      <c r="H158" s="36"/>
      <c r="I158" s="36"/>
      <c r="J158" s="36"/>
      <c r="K158" s="36"/>
      <c r="L158" s="37" t="s">
        <v>182</v>
      </c>
      <c r="M158" s="38" t="s">
        <v>40</v>
      </c>
      <c r="N158" s="39"/>
      <c r="O158" s="40">
        <v>125.28</v>
      </c>
      <c r="P158" s="40">
        <v>0</v>
      </c>
      <c r="Q158" s="40">
        <f t="shared" si="9"/>
        <v>125.28</v>
      </c>
      <c r="R158" s="40">
        <f t="shared" si="9"/>
        <v>0</v>
      </c>
      <c r="S158" s="40">
        <f>ROUND('Смета ЕР (общ) '!$N158*'Смета ЕР (общ) '!$Q158,2)</f>
        <v>0</v>
      </c>
      <c r="T158" s="40">
        <f>ROUND('Смета ЕР (общ) '!$N158*'Смета ЕР (общ) '!$R158,2)</f>
        <v>0</v>
      </c>
    </row>
    <row r="159" spans="1:25" ht="14.4" x14ac:dyDescent="0.3">
      <c r="A159" s="36" t="s">
        <v>129</v>
      </c>
      <c r="B159" s="36">
        <v>3</v>
      </c>
      <c r="C159" s="36"/>
      <c r="D159" s="36">
        <v>16</v>
      </c>
      <c r="E159" s="36" t="str">
        <f>CONCATENATE('Смета ЕР (общ) '!$A159,".",'Смета ЕР (общ) '!$B159,".",'Смета ЕР (общ) '!$D159)</f>
        <v>Р2.3.16</v>
      </c>
      <c r="F159" s="36">
        <f t="shared" si="8"/>
        <v>1</v>
      </c>
      <c r="G159" s="36"/>
      <c r="H159" s="36"/>
      <c r="I159" s="36"/>
      <c r="J159" s="36"/>
      <c r="K159" s="36"/>
      <c r="L159" s="37" t="s">
        <v>183</v>
      </c>
      <c r="M159" s="38" t="s">
        <v>40</v>
      </c>
      <c r="N159" s="39"/>
      <c r="O159" s="40">
        <v>501.12</v>
      </c>
      <c r="P159" s="40">
        <v>0</v>
      </c>
      <c r="Q159" s="40">
        <f t="shared" si="9"/>
        <v>501.12</v>
      </c>
      <c r="R159" s="40">
        <f t="shared" si="9"/>
        <v>0</v>
      </c>
      <c r="S159" s="40">
        <f>ROUND('Смета ЕР (общ) '!$N159*'Смета ЕР (общ) '!$Q159,2)</f>
        <v>0</v>
      </c>
      <c r="T159" s="40">
        <f>ROUND('Смета ЕР (общ) '!$N159*'Смета ЕР (общ) '!$R159,2)</f>
        <v>0</v>
      </c>
    </row>
    <row r="160" spans="1:25" ht="14.4" x14ac:dyDescent="0.3">
      <c r="A160" s="36" t="s">
        <v>129</v>
      </c>
      <c r="B160" s="36">
        <v>3</v>
      </c>
      <c r="C160" s="36"/>
      <c r="D160" s="36">
        <v>17</v>
      </c>
      <c r="E160" s="36" t="str">
        <f>CONCATENATE('Смета ЕР (общ) '!$A160,".",'Смета ЕР (общ) '!$B160,".",'Смета ЕР (общ) '!$D160)</f>
        <v>Р2.3.17</v>
      </c>
      <c r="F160" s="36">
        <f t="shared" si="8"/>
        <v>1</v>
      </c>
      <c r="G160" s="36"/>
      <c r="H160" s="36"/>
      <c r="I160" s="36"/>
      <c r="J160" s="36"/>
      <c r="K160" s="36"/>
      <c r="L160" s="37" t="s">
        <v>184</v>
      </c>
      <c r="M160" s="38" t="s">
        <v>40</v>
      </c>
      <c r="N160" s="39"/>
      <c r="O160" s="40">
        <v>627</v>
      </c>
      <c r="P160" s="40">
        <v>0</v>
      </c>
      <c r="Q160" s="40">
        <f t="shared" si="9"/>
        <v>627</v>
      </c>
      <c r="R160" s="40">
        <f t="shared" si="9"/>
        <v>0</v>
      </c>
      <c r="S160" s="40">
        <f>ROUND('Смета ЕР (общ) '!$N160*'Смета ЕР (общ) '!$Q160,2)</f>
        <v>0</v>
      </c>
      <c r="T160" s="40">
        <f>ROUND('Смета ЕР (общ) '!$N160*'Смета ЕР (общ) '!$R160,2)</f>
        <v>0</v>
      </c>
    </row>
    <row r="161" spans="1:25" ht="14.4" x14ac:dyDescent="0.3">
      <c r="A161" s="36" t="s">
        <v>129</v>
      </c>
      <c r="B161" s="36">
        <v>3</v>
      </c>
      <c r="C161" s="36"/>
      <c r="D161" s="36">
        <v>18</v>
      </c>
      <c r="E161" s="36" t="str">
        <f>CONCATENATE('Смета ЕР (общ) '!$A161,".",'Смета ЕР (общ) '!$B161,".",'Смета ЕР (общ) '!$D161)</f>
        <v>Р2.3.18</v>
      </c>
      <c r="F161" s="36">
        <f t="shared" si="8"/>
        <v>1</v>
      </c>
      <c r="G161" s="36"/>
      <c r="H161" s="36"/>
      <c r="I161" s="36"/>
      <c r="J161" s="36"/>
      <c r="K161" s="36"/>
      <c r="L161" s="37" t="s">
        <v>185</v>
      </c>
      <c r="M161" s="38" t="s">
        <v>40</v>
      </c>
      <c r="N161" s="39"/>
      <c r="O161" s="40">
        <v>1252.8</v>
      </c>
      <c r="P161" s="40">
        <v>0</v>
      </c>
      <c r="Q161" s="40">
        <f t="shared" si="9"/>
        <v>1252.8</v>
      </c>
      <c r="R161" s="40">
        <f t="shared" si="9"/>
        <v>0</v>
      </c>
      <c r="S161" s="40">
        <f>ROUND('Смета ЕР (общ) '!$N161*'Смета ЕР (общ) '!$Q161,2)</f>
        <v>0</v>
      </c>
      <c r="T161" s="40">
        <f>ROUND('Смета ЕР (общ) '!$N161*'Смета ЕР (общ) '!$R161,2)</f>
        <v>0</v>
      </c>
    </row>
    <row r="162" spans="1:25" ht="14.4" x14ac:dyDescent="0.3">
      <c r="A162" s="36" t="s">
        <v>129</v>
      </c>
      <c r="B162" s="36">
        <v>3</v>
      </c>
      <c r="C162" s="36"/>
      <c r="D162" s="36">
        <v>19</v>
      </c>
      <c r="E162" s="36" t="str">
        <f>CONCATENATE('Смета ЕР (общ) '!$A162,".",'Смета ЕР (общ) '!$B162,".",'Смета ЕР (общ) '!$D162)</f>
        <v>Р2.3.19</v>
      </c>
      <c r="F162" s="36">
        <f t="shared" si="8"/>
        <v>1</v>
      </c>
      <c r="G162" s="36"/>
      <c r="H162" s="36"/>
      <c r="I162" s="36"/>
      <c r="J162" s="36"/>
      <c r="K162" s="36"/>
      <c r="L162" s="37" t="s">
        <v>186</v>
      </c>
      <c r="M162" s="38" t="s">
        <v>40</v>
      </c>
      <c r="N162" s="39"/>
      <c r="O162" s="40">
        <v>313.2</v>
      </c>
      <c r="P162" s="40">
        <v>0</v>
      </c>
      <c r="Q162" s="40">
        <f t="shared" si="9"/>
        <v>313.2</v>
      </c>
      <c r="R162" s="40">
        <f t="shared" si="9"/>
        <v>0</v>
      </c>
      <c r="S162" s="40">
        <f>ROUND('Смета ЕР (общ) '!$N162*'Смета ЕР (общ) '!$Q162,2)</f>
        <v>0</v>
      </c>
      <c r="T162" s="40">
        <f>ROUND('Смета ЕР (общ) '!$N162*'Смета ЕР (общ) '!$R162,2)</f>
        <v>0</v>
      </c>
    </row>
    <row r="163" spans="1:25" ht="14.4" x14ac:dyDescent="0.3">
      <c r="A163" s="36" t="s">
        <v>129</v>
      </c>
      <c r="B163" s="36">
        <v>3</v>
      </c>
      <c r="C163" s="36"/>
      <c r="D163" s="36">
        <v>20</v>
      </c>
      <c r="E163" s="36" t="str">
        <f>CONCATENATE('Смета ЕР (общ) '!$A163,".",'Смета ЕР (общ) '!$B163,".",'Смета ЕР (общ) '!$D163)</f>
        <v>Р2.3.20</v>
      </c>
      <c r="F163" s="36">
        <f t="shared" si="8"/>
        <v>1</v>
      </c>
      <c r="G163" s="36"/>
      <c r="H163" s="36"/>
      <c r="I163" s="36"/>
      <c r="J163" s="36"/>
      <c r="K163" s="36"/>
      <c r="L163" s="37" t="s">
        <v>187</v>
      </c>
      <c r="M163" s="38" t="s">
        <v>40</v>
      </c>
      <c r="N163" s="39"/>
      <c r="O163" s="40">
        <v>402.77</v>
      </c>
      <c r="P163" s="40">
        <v>0</v>
      </c>
      <c r="Q163" s="40">
        <f t="shared" si="9"/>
        <v>402.77</v>
      </c>
      <c r="R163" s="40">
        <f t="shared" si="9"/>
        <v>0</v>
      </c>
      <c r="S163" s="40">
        <f>ROUND('Смета ЕР (общ) '!$N163*'Смета ЕР (общ) '!$Q163,2)</f>
        <v>0</v>
      </c>
      <c r="T163" s="40">
        <f>ROUND('Смета ЕР (общ) '!$N163*'Смета ЕР (общ) '!$R163,2)</f>
        <v>0</v>
      </c>
    </row>
    <row r="164" spans="1:25" ht="14.4" x14ac:dyDescent="0.3">
      <c r="A164" s="48" t="s">
        <v>129</v>
      </c>
      <c r="B164" s="48">
        <v>4</v>
      </c>
      <c r="C164" s="48"/>
      <c r="D164" s="48">
        <v>0</v>
      </c>
      <c r="E164" s="48" t="str">
        <f>CONCATENATE('Смета ЕР (общ) '!$A164,".",'Смета ЕР (общ) '!$B164,".",'Смета ЕР (общ) '!$D164)</f>
        <v>Р2.4.0</v>
      </c>
      <c r="F164" s="48">
        <f t="shared" si="8"/>
        <v>1</v>
      </c>
      <c r="G164" s="48"/>
      <c r="H164" s="48"/>
      <c r="I164" s="48"/>
      <c r="J164" s="48"/>
      <c r="K164" s="48"/>
      <c r="L164" s="49" t="s">
        <v>188</v>
      </c>
      <c r="M164" s="31"/>
      <c r="N164" s="32">
        <f>SUM(N165:N173)</f>
        <v>0</v>
      </c>
      <c r="O164" s="47"/>
      <c r="P164" s="47"/>
      <c r="Q164" s="34"/>
      <c r="R164" s="34"/>
      <c r="S164" s="34">
        <f>SUM(S165:S173)</f>
        <v>0</v>
      </c>
      <c r="T164" s="34">
        <f>SUM(T165:T173)</f>
        <v>0</v>
      </c>
      <c r="Y164">
        <v>2</v>
      </c>
    </row>
    <row r="165" spans="1:25" ht="14.4" x14ac:dyDescent="0.3">
      <c r="A165" s="36" t="s">
        <v>129</v>
      </c>
      <c r="B165" s="36">
        <v>4</v>
      </c>
      <c r="C165" s="36"/>
      <c r="D165" s="36">
        <v>1</v>
      </c>
      <c r="E165" s="36" t="str">
        <f>CONCATENATE('Смета ЕР (общ) '!$A165,".",'Смета ЕР (общ) '!$B165,".",'Смета ЕР (общ) '!$D165)</f>
        <v>Р2.4.1</v>
      </c>
      <c r="F165" s="36">
        <f t="shared" si="8"/>
        <v>1</v>
      </c>
      <c r="G165" s="36"/>
      <c r="H165" s="36"/>
      <c r="I165" s="36"/>
      <c r="J165" s="36"/>
      <c r="K165" s="36"/>
      <c r="L165" s="37" t="s">
        <v>189</v>
      </c>
      <c r="M165" s="38" t="s">
        <v>118</v>
      </c>
      <c r="N165" s="39"/>
      <c r="O165" s="40">
        <v>1045</v>
      </c>
      <c r="P165" s="40">
        <v>0</v>
      </c>
      <c r="Q165" s="40">
        <f t="shared" ref="Q165:R173" si="10">ROUND(O165-O165*$V$3,2)</f>
        <v>1045</v>
      </c>
      <c r="R165" s="40">
        <f t="shared" si="10"/>
        <v>0</v>
      </c>
      <c r="S165" s="40">
        <f>ROUND('Смета ЕР (общ) '!$N165*'Смета ЕР (общ) '!$Q165,2)</f>
        <v>0</v>
      </c>
      <c r="T165" s="40">
        <f>ROUND('Смета ЕР (общ) '!$N165*'Смета ЕР (общ) '!$R165,2)</f>
        <v>0</v>
      </c>
    </row>
    <row r="166" spans="1:25" ht="14.4" x14ac:dyDescent="0.3">
      <c r="A166" s="36" t="s">
        <v>129</v>
      </c>
      <c r="B166" s="36">
        <v>4</v>
      </c>
      <c r="C166" s="36"/>
      <c r="D166" s="36">
        <v>2</v>
      </c>
      <c r="E166" s="36" t="str">
        <f>CONCATENATE('Смета ЕР (общ) '!$A166,".",'Смета ЕР (общ) '!$B166,".",'Смета ЕР (общ) '!$D166)</f>
        <v>Р2.4.2</v>
      </c>
      <c r="F166" s="36">
        <f t="shared" si="8"/>
        <v>1</v>
      </c>
      <c r="G166" s="36"/>
      <c r="H166" s="36"/>
      <c r="I166" s="36"/>
      <c r="J166" s="36"/>
      <c r="K166" s="36"/>
      <c r="L166" s="37" t="s">
        <v>190</v>
      </c>
      <c r="M166" s="38" t="s">
        <v>118</v>
      </c>
      <c r="N166" s="39"/>
      <c r="O166" s="40">
        <v>1252.8</v>
      </c>
      <c r="P166" s="40">
        <v>0</v>
      </c>
      <c r="Q166" s="40">
        <f t="shared" si="10"/>
        <v>1252.8</v>
      </c>
      <c r="R166" s="40">
        <f t="shared" si="10"/>
        <v>0</v>
      </c>
      <c r="S166" s="40">
        <f>ROUND('Смета ЕР (общ) '!$N166*'Смета ЕР (общ) '!$Q166,2)</f>
        <v>0</v>
      </c>
      <c r="T166" s="40">
        <f>ROUND('Смета ЕР (общ) '!$N166*'Смета ЕР (общ) '!$R166,2)</f>
        <v>0</v>
      </c>
    </row>
    <row r="167" spans="1:25" ht="14.4" x14ac:dyDescent="0.3">
      <c r="A167" s="36" t="s">
        <v>129</v>
      </c>
      <c r="B167" s="36">
        <v>4</v>
      </c>
      <c r="C167" s="36"/>
      <c r="D167" s="36">
        <v>3</v>
      </c>
      <c r="E167" s="36" t="str">
        <f>CONCATENATE('Смета ЕР (общ) '!$A167,".",'Смета ЕР (общ) '!$B167,".",'Смета ЕР (общ) '!$D167)</f>
        <v>Р2.4.3</v>
      </c>
      <c r="F167" s="36">
        <f t="shared" si="8"/>
        <v>1</v>
      </c>
      <c r="G167" s="36"/>
      <c r="H167" s="36"/>
      <c r="I167" s="36"/>
      <c r="J167" s="36"/>
      <c r="K167" s="36"/>
      <c r="L167" s="37" t="s">
        <v>191</v>
      </c>
      <c r="M167" s="38" t="s">
        <v>118</v>
      </c>
      <c r="N167" s="39"/>
      <c r="O167" s="40">
        <v>1980</v>
      </c>
      <c r="P167" s="40">
        <v>0</v>
      </c>
      <c r="Q167" s="40">
        <f t="shared" si="10"/>
        <v>1980</v>
      </c>
      <c r="R167" s="40">
        <f t="shared" si="10"/>
        <v>0</v>
      </c>
      <c r="S167" s="40">
        <f>ROUND('Смета ЕР (общ) '!$N167*'Смета ЕР (общ) '!$Q167,2)</f>
        <v>0</v>
      </c>
      <c r="T167" s="40">
        <f>ROUND('Смета ЕР (общ) '!$N167*'Смета ЕР (общ) '!$R167,2)</f>
        <v>0</v>
      </c>
    </row>
    <row r="168" spans="1:25" ht="14.4" x14ac:dyDescent="0.3">
      <c r="A168" s="36" t="s">
        <v>129</v>
      </c>
      <c r="B168" s="36">
        <v>4</v>
      </c>
      <c r="C168" s="36"/>
      <c r="D168" s="36">
        <v>4</v>
      </c>
      <c r="E168" s="36" t="str">
        <f>CONCATENATE('Смета ЕР (общ) '!$A168,".",'Смета ЕР (общ) '!$B168,".",'Смета ЕР (общ) '!$D168)</f>
        <v>Р2.4.4</v>
      </c>
      <c r="F168" s="36">
        <f t="shared" si="8"/>
        <v>1</v>
      </c>
      <c r="G168" s="36"/>
      <c r="H168" s="36"/>
      <c r="I168" s="36"/>
      <c r="J168" s="36"/>
      <c r="K168" s="36"/>
      <c r="L168" s="37" t="s">
        <v>192</v>
      </c>
      <c r="M168" s="38" t="s">
        <v>118</v>
      </c>
      <c r="N168" s="39"/>
      <c r="O168" s="40">
        <v>2750</v>
      </c>
      <c r="P168" s="40">
        <v>0</v>
      </c>
      <c r="Q168" s="40">
        <f t="shared" si="10"/>
        <v>2750</v>
      </c>
      <c r="R168" s="40">
        <f t="shared" si="10"/>
        <v>0</v>
      </c>
      <c r="S168" s="40">
        <f>ROUND('Смета ЕР (общ) '!$N168*'Смета ЕР (общ) '!$Q168,2)</f>
        <v>0</v>
      </c>
      <c r="T168" s="40">
        <f>ROUND('Смета ЕР (общ) '!$N168*'Смета ЕР (общ) '!$R168,2)</f>
        <v>0</v>
      </c>
      <c r="Y168">
        <v>2</v>
      </c>
    </row>
    <row r="169" spans="1:25" ht="14.4" x14ac:dyDescent="0.3">
      <c r="A169" s="36" t="s">
        <v>129</v>
      </c>
      <c r="B169" s="36">
        <v>4</v>
      </c>
      <c r="C169" s="36"/>
      <c r="D169" s="36">
        <v>6</v>
      </c>
      <c r="E169" s="36" t="str">
        <f>CONCATENATE('Смета ЕР (общ) '!$A169,".",'Смета ЕР (общ) '!$B169,".",'Смета ЕР (общ) '!$D169)</f>
        <v>Р2.4.6</v>
      </c>
      <c r="F169" s="36">
        <f t="shared" si="8"/>
        <v>1</v>
      </c>
      <c r="G169" s="36"/>
      <c r="H169" s="36"/>
      <c r="I169" s="36"/>
      <c r="J169" s="36"/>
      <c r="K169" s="36"/>
      <c r="L169" s="37" t="s">
        <v>193</v>
      </c>
      <c r="M169" s="38" t="s">
        <v>118</v>
      </c>
      <c r="N169" s="39"/>
      <c r="O169" s="40">
        <v>2612.5</v>
      </c>
      <c r="P169" s="40">
        <v>0</v>
      </c>
      <c r="Q169" s="40">
        <f t="shared" si="10"/>
        <v>2612.5</v>
      </c>
      <c r="R169" s="40">
        <f t="shared" si="10"/>
        <v>0</v>
      </c>
      <c r="S169" s="40">
        <f>ROUND('Смета ЕР (общ) '!$N169*'Смета ЕР (общ) '!$Q169,2)</f>
        <v>0</v>
      </c>
      <c r="T169" s="40">
        <f>ROUND('Смета ЕР (общ) '!$N169*'Смета ЕР (общ) '!$R169,2)</f>
        <v>0</v>
      </c>
    </row>
    <row r="170" spans="1:25" ht="14.4" x14ac:dyDescent="0.3">
      <c r="A170" s="36" t="s">
        <v>129</v>
      </c>
      <c r="B170" s="36">
        <v>4</v>
      </c>
      <c r="C170" s="36"/>
      <c r="D170" s="36">
        <v>7</v>
      </c>
      <c r="E170" s="36" t="str">
        <f>CONCATENATE('Смета ЕР (общ) '!$A170,".",'Смета ЕР (общ) '!$B170,".",'Смета ЕР (общ) '!$D170)</f>
        <v>Р2.4.7</v>
      </c>
      <c r="F170" s="36">
        <f t="shared" si="8"/>
        <v>1</v>
      </c>
      <c r="G170" s="36"/>
      <c r="H170" s="36"/>
      <c r="I170" s="36"/>
      <c r="J170" s="36"/>
      <c r="K170" s="36"/>
      <c r="L170" s="37" t="s">
        <v>194</v>
      </c>
      <c r="M170" s="38" t="s">
        <v>118</v>
      </c>
      <c r="N170" s="39"/>
      <c r="O170" s="40">
        <v>1412.92</v>
      </c>
      <c r="P170" s="40">
        <v>0</v>
      </c>
      <c r="Q170" s="40">
        <f t="shared" si="10"/>
        <v>1412.92</v>
      </c>
      <c r="R170" s="40">
        <f t="shared" si="10"/>
        <v>0</v>
      </c>
      <c r="S170" s="40">
        <f>ROUND('Смета ЕР (общ) '!$N170*'Смета ЕР (общ) '!$Q170,2)</f>
        <v>0</v>
      </c>
      <c r="T170" s="40">
        <f>ROUND('Смета ЕР (общ) '!$N170*'Смета ЕР (общ) '!$R170,2)</f>
        <v>0</v>
      </c>
    </row>
    <row r="171" spans="1:25" ht="14.4" x14ac:dyDescent="0.3">
      <c r="A171" s="36" t="s">
        <v>129</v>
      </c>
      <c r="B171" s="36">
        <v>4</v>
      </c>
      <c r="C171" s="36"/>
      <c r="D171" s="36">
        <v>8</v>
      </c>
      <c r="E171" s="36" t="str">
        <f>CONCATENATE('Смета ЕР (общ) '!$A171,".",'Смета ЕР (общ) '!$B171,".",'Смета ЕР (общ) '!$D171)</f>
        <v>Р2.4.8</v>
      </c>
      <c r="F171" s="36">
        <f t="shared" si="8"/>
        <v>1</v>
      </c>
      <c r="G171" s="36"/>
      <c r="H171" s="36"/>
      <c r="I171" s="36"/>
      <c r="J171" s="36"/>
      <c r="K171" s="36"/>
      <c r="L171" s="37" t="s">
        <v>195</v>
      </c>
      <c r="M171" s="38" t="s">
        <v>118</v>
      </c>
      <c r="N171" s="39"/>
      <c r="O171" s="40">
        <v>3052.5</v>
      </c>
      <c r="P171" s="40">
        <v>0</v>
      </c>
      <c r="Q171" s="40">
        <f t="shared" si="10"/>
        <v>3052.5</v>
      </c>
      <c r="R171" s="40">
        <f t="shared" si="10"/>
        <v>0</v>
      </c>
      <c r="S171" s="40">
        <f>ROUND('Смета ЕР (общ) '!$N171*'Смета ЕР (общ) '!$Q171,2)</f>
        <v>0</v>
      </c>
      <c r="T171" s="40">
        <f>ROUND('Смета ЕР (общ) '!$N171*'Смета ЕР (общ) '!$R171,2)</f>
        <v>0</v>
      </c>
    </row>
    <row r="172" spans="1:25" ht="14.4" x14ac:dyDescent="0.3">
      <c r="A172" s="36" t="s">
        <v>129</v>
      </c>
      <c r="B172" s="36">
        <v>4</v>
      </c>
      <c r="C172" s="36"/>
      <c r="D172" s="36">
        <v>9</v>
      </c>
      <c r="E172" s="36" t="str">
        <f>CONCATENATE('Смета ЕР (общ) '!$A172,".",'Смета ЕР (общ) '!$B172,".",'Смета ЕР (общ) '!$D172)</f>
        <v>Р2.4.9</v>
      </c>
      <c r="F172" s="36">
        <f t="shared" si="8"/>
        <v>1</v>
      </c>
      <c r="G172" s="36"/>
      <c r="H172" s="36"/>
      <c r="I172" s="36"/>
      <c r="J172" s="36"/>
      <c r="K172" s="36"/>
      <c r="L172" s="37" t="s">
        <v>196</v>
      </c>
      <c r="M172" s="38" t="s">
        <v>118</v>
      </c>
      <c r="N172" s="39"/>
      <c r="O172" s="40">
        <v>3135</v>
      </c>
      <c r="P172" s="40">
        <v>0</v>
      </c>
      <c r="Q172" s="40">
        <f t="shared" si="10"/>
        <v>3135</v>
      </c>
      <c r="R172" s="40">
        <f t="shared" si="10"/>
        <v>0</v>
      </c>
      <c r="S172" s="40">
        <f>ROUND('Смета ЕР (общ) '!$N172*'Смета ЕР (общ) '!$Q172,2)</f>
        <v>0</v>
      </c>
      <c r="T172" s="40">
        <f>ROUND('Смета ЕР (общ) '!$N172*'Смета ЕР (общ) '!$R172,2)</f>
        <v>0</v>
      </c>
    </row>
    <row r="173" spans="1:25" ht="14.4" x14ac:dyDescent="0.3">
      <c r="A173" s="36" t="s">
        <v>129</v>
      </c>
      <c r="B173" s="36">
        <v>4</v>
      </c>
      <c r="C173" s="36"/>
      <c r="D173" s="36">
        <v>10</v>
      </c>
      <c r="E173" s="36" t="str">
        <f>CONCATENATE('Смета ЕР (общ) '!$A173,".",'Смета ЕР (общ) '!$B173,".",'Смета ЕР (общ) '!$D173)</f>
        <v>Р2.4.10</v>
      </c>
      <c r="F173" s="36">
        <f t="shared" si="8"/>
        <v>1</v>
      </c>
      <c r="G173" s="36"/>
      <c r="H173" s="36"/>
      <c r="I173" s="36"/>
      <c r="J173" s="36"/>
      <c r="K173" s="36"/>
      <c r="L173" s="37" t="s">
        <v>197</v>
      </c>
      <c r="M173" s="54" t="s">
        <v>40</v>
      </c>
      <c r="N173" s="39"/>
      <c r="O173" s="40">
        <v>2750</v>
      </c>
      <c r="P173" s="40">
        <v>0</v>
      </c>
      <c r="Q173" s="40">
        <f t="shared" si="10"/>
        <v>2750</v>
      </c>
      <c r="R173" s="40">
        <f t="shared" si="10"/>
        <v>0</v>
      </c>
      <c r="S173" s="40">
        <f>ROUND('Смета ЕР (общ) '!$N173*'Смета ЕР (общ) '!$Q173,2)</f>
        <v>0</v>
      </c>
      <c r="T173" s="40">
        <f>ROUND('Смета ЕР (общ) '!$N173*'Смета ЕР (общ) '!$R173,2)</f>
        <v>0</v>
      </c>
    </row>
    <row r="174" spans="1:25" ht="14.4" x14ac:dyDescent="0.3">
      <c r="A174" s="48" t="s">
        <v>129</v>
      </c>
      <c r="B174" s="48">
        <v>5</v>
      </c>
      <c r="C174" s="48"/>
      <c r="D174" s="48">
        <v>0</v>
      </c>
      <c r="E174" s="48" t="str">
        <f>CONCATENATE('Смета ЕР (общ) '!$A174,".",'Смета ЕР (общ) '!$B174,".",'Смета ЕР (общ) '!$D174)</f>
        <v>Р2.5.0</v>
      </c>
      <c r="F174" s="48">
        <f t="shared" si="8"/>
        <v>1</v>
      </c>
      <c r="G174" s="48"/>
      <c r="H174" s="48"/>
      <c r="I174" s="48"/>
      <c r="J174" s="48"/>
      <c r="K174" s="48"/>
      <c r="L174" s="49" t="s">
        <v>198</v>
      </c>
      <c r="M174" s="31"/>
      <c r="N174" s="32">
        <f>SUM(N175:N183)</f>
        <v>0</v>
      </c>
      <c r="O174" s="47"/>
      <c r="P174" s="47"/>
      <c r="Q174" s="34"/>
      <c r="R174" s="34"/>
      <c r="S174" s="34">
        <f>SUM(S175:S183)</f>
        <v>0</v>
      </c>
      <c r="T174" s="34">
        <f>SUM(T175:T183)</f>
        <v>0</v>
      </c>
      <c r="Y174">
        <v>39.519999999999996</v>
      </c>
    </row>
    <row r="175" spans="1:25" ht="14.4" x14ac:dyDescent="0.3">
      <c r="A175" s="36" t="s">
        <v>129</v>
      </c>
      <c r="B175" s="36">
        <v>5</v>
      </c>
      <c r="C175" s="36"/>
      <c r="D175" s="36">
        <v>1</v>
      </c>
      <c r="E175" s="36" t="str">
        <f>CONCATENATE('Смета ЕР (общ) '!$A175,".",'Смета ЕР (общ) '!$B175,".",'Смета ЕР (общ) '!$D175)</f>
        <v>Р2.5.1</v>
      </c>
      <c r="F175" s="36">
        <f t="shared" si="8"/>
        <v>1</v>
      </c>
      <c r="G175" s="36"/>
      <c r="H175" s="36"/>
      <c r="I175" s="36"/>
      <c r="J175" s="36"/>
      <c r="K175" s="36"/>
      <c r="L175" s="53" t="s">
        <v>199</v>
      </c>
      <c r="M175" s="54" t="s">
        <v>40</v>
      </c>
      <c r="N175" s="39"/>
      <c r="O175" s="40">
        <v>736.03</v>
      </c>
      <c r="P175" s="40">
        <v>0</v>
      </c>
      <c r="Q175" s="40">
        <f t="shared" ref="Q175:R183" si="11">ROUND(O175-O175*$V$3,2)</f>
        <v>736.03</v>
      </c>
      <c r="R175" s="40">
        <f t="shared" si="11"/>
        <v>0</v>
      </c>
      <c r="S175" s="40">
        <f>ROUND('Смета ЕР (общ) '!$N175*'Смета ЕР (общ) '!$Q175,2)</f>
        <v>0</v>
      </c>
      <c r="T175" s="40">
        <f>ROUND('Смета ЕР (общ) '!$N175*'Смета ЕР (общ) '!$R175,2)</f>
        <v>0</v>
      </c>
      <c r="Y175">
        <v>11.52</v>
      </c>
    </row>
    <row r="176" spans="1:25" ht="14.4" x14ac:dyDescent="0.3">
      <c r="A176" s="36" t="s">
        <v>129</v>
      </c>
      <c r="B176" s="36">
        <v>5</v>
      </c>
      <c r="C176" s="36"/>
      <c r="D176" s="36">
        <v>2</v>
      </c>
      <c r="E176" s="36" t="str">
        <f>CONCATENATE('Смета ЕР (общ) '!$A176,".",'Смета ЕР (общ) '!$B176,".",'Смета ЕР (общ) '!$D176)</f>
        <v>Р2.5.2</v>
      </c>
      <c r="F176" s="36">
        <f t="shared" si="8"/>
        <v>1</v>
      </c>
      <c r="G176" s="36"/>
      <c r="H176" s="36"/>
      <c r="I176" s="36"/>
      <c r="J176" s="36"/>
      <c r="K176" s="36"/>
      <c r="L176" s="53" t="s">
        <v>200</v>
      </c>
      <c r="M176" s="54" t="s">
        <v>40</v>
      </c>
      <c r="N176" s="39"/>
      <c r="O176" s="40">
        <v>736.03</v>
      </c>
      <c r="P176" s="40">
        <v>0</v>
      </c>
      <c r="Q176" s="40">
        <f t="shared" si="11"/>
        <v>736.03</v>
      </c>
      <c r="R176" s="40">
        <f t="shared" si="11"/>
        <v>0</v>
      </c>
      <c r="S176" s="40">
        <f>ROUND('Смета ЕР (общ) '!$N176*'Смета ЕР (общ) '!$Q176,2)</f>
        <v>0</v>
      </c>
      <c r="T176" s="40">
        <f>ROUND('Смета ЕР (общ) '!$N176*'Смета ЕР (общ) '!$R176,2)</f>
        <v>0</v>
      </c>
    </row>
    <row r="177" spans="1:25" ht="14.4" x14ac:dyDescent="0.3">
      <c r="A177" s="36" t="s">
        <v>129</v>
      </c>
      <c r="B177" s="36">
        <v>5</v>
      </c>
      <c r="C177" s="36"/>
      <c r="D177" s="36">
        <v>3</v>
      </c>
      <c r="E177" s="36" t="str">
        <f>CONCATENATE('Смета ЕР (общ) '!$A177,".",'Смета ЕР (общ) '!$B177,".",'Смета ЕР (общ) '!$D177)</f>
        <v>Р2.5.3</v>
      </c>
      <c r="F177" s="36">
        <f t="shared" si="8"/>
        <v>1</v>
      </c>
      <c r="G177" s="36"/>
      <c r="H177" s="36"/>
      <c r="I177" s="36"/>
      <c r="J177" s="36"/>
      <c r="K177" s="36"/>
      <c r="L177" s="53" t="s">
        <v>201</v>
      </c>
      <c r="M177" s="38" t="s">
        <v>40</v>
      </c>
      <c r="N177" s="39"/>
      <c r="O177" s="40">
        <v>736.03</v>
      </c>
      <c r="P177" s="40">
        <v>0</v>
      </c>
      <c r="Q177" s="40">
        <f t="shared" si="11"/>
        <v>736.03</v>
      </c>
      <c r="R177" s="40">
        <f t="shared" si="11"/>
        <v>0</v>
      </c>
      <c r="S177" s="40">
        <f>ROUND('Смета ЕР (общ) '!$N177*'Смета ЕР (общ) '!$Q177,2)</f>
        <v>0</v>
      </c>
      <c r="T177" s="40">
        <f>ROUND('Смета ЕР (общ) '!$N177*'Смета ЕР (общ) '!$R177,2)</f>
        <v>0</v>
      </c>
      <c r="Y177">
        <v>28</v>
      </c>
    </row>
    <row r="178" spans="1:25" ht="14.4" x14ac:dyDescent="0.3">
      <c r="A178" s="36" t="s">
        <v>129</v>
      </c>
      <c r="B178" s="36">
        <v>5</v>
      </c>
      <c r="C178" s="36"/>
      <c r="D178" s="36">
        <v>4</v>
      </c>
      <c r="E178" s="36" t="str">
        <f>CONCATENATE('Смета ЕР (общ) '!$A178,".",'Смета ЕР (общ) '!$B178,".",'Смета ЕР (общ) '!$D178)</f>
        <v>Р2.5.4</v>
      </c>
      <c r="F178" s="36">
        <f t="shared" si="8"/>
        <v>1</v>
      </c>
      <c r="G178" s="36"/>
      <c r="H178" s="36"/>
      <c r="I178" s="36"/>
      <c r="J178" s="36"/>
      <c r="K178" s="36"/>
      <c r="L178" s="37" t="s">
        <v>202</v>
      </c>
      <c r="M178" s="38" t="s">
        <v>40</v>
      </c>
      <c r="N178" s="39"/>
      <c r="O178" s="40">
        <v>1612.66</v>
      </c>
      <c r="P178" s="40">
        <v>0</v>
      </c>
      <c r="Q178" s="40">
        <f t="shared" si="11"/>
        <v>1612.66</v>
      </c>
      <c r="R178" s="40">
        <f t="shared" si="11"/>
        <v>0</v>
      </c>
      <c r="S178" s="40">
        <f>ROUND('Смета ЕР (общ) '!$N178*'Смета ЕР (общ) '!$Q178,2)</f>
        <v>0</v>
      </c>
      <c r="T178" s="40">
        <f>ROUND('Смета ЕР (общ) '!$N178*'Смета ЕР (общ) '!$R178,2)</f>
        <v>0</v>
      </c>
    </row>
    <row r="179" spans="1:25" ht="14.4" x14ac:dyDescent="0.3">
      <c r="A179" s="36" t="s">
        <v>129</v>
      </c>
      <c r="B179" s="36">
        <v>5</v>
      </c>
      <c r="C179" s="36"/>
      <c r="D179" s="36">
        <v>5</v>
      </c>
      <c r="E179" s="36" t="str">
        <f>CONCATENATE('Смета ЕР (общ) '!$A179,".",'Смета ЕР (общ) '!$B179,".",'Смета ЕР (общ) '!$D179)</f>
        <v>Р2.5.5</v>
      </c>
      <c r="F179" s="36">
        <f t="shared" si="8"/>
        <v>1</v>
      </c>
      <c r="G179" s="36"/>
      <c r="H179" s="36"/>
      <c r="I179" s="36"/>
      <c r="J179" s="36"/>
      <c r="K179" s="36"/>
      <c r="L179" s="53" t="s">
        <v>203</v>
      </c>
      <c r="M179" s="38" t="s">
        <v>147</v>
      </c>
      <c r="N179" s="39"/>
      <c r="O179" s="40">
        <v>261</v>
      </c>
      <c r="P179" s="40">
        <v>0</v>
      </c>
      <c r="Q179" s="40">
        <f t="shared" si="11"/>
        <v>261</v>
      </c>
      <c r="R179" s="40">
        <f t="shared" si="11"/>
        <v>0</v>
      </c>
      <c r="S179" s="40">
        <f>ROUND('Смета ЕР (общ) '!$N179*'Смета ЕР (общ) '!$Q179,2)</f>
        <v>0</v>
      </c>
      <c r="T179" s="40">
        <f>ROUND('Смета ЕР (общ) '!$N179*'Смета ЕР (общ) '!$R179,2)</f>
        <v>0</v>
      </c>
    </row>
    <row r="180" spans="1:25" ht="14.4" x14ac:dyDescent="0.3">
      <c r="A180" s="36" t="s">
        <v>129</v>
      </c>
      <c r="B180" s="36">
        <v>5</v>
      </c>
      <c r="C180" s="36"/>
      <c r="D180" s="36">
        <v>6</v>
      </c>
      <c r="E180" s="36" t="str">
        <f>CONCATENATE('Смета ЕР (общ) '!$A180,".",'Смета ЕР (общ) '!$B180,".",'Смета ЕР (общ) '!$D180)</f>
        <v>Р2.5.6</v>
      </c>
      <c r="F180" s="36">
        <f t="shared" si="8"/>
        <v>1</v>
      </c>
      <c r="G180" s="36"/>
      <c r="H180" s="36"/>
      <c r="I180" s="36"/>
      <c r="J180" s="36"/>
      <c r="K180" s="36"/>
      <c r="L180" s="53" t="s">
        <v>204</v>
      </c>
      <c r="M180" s="38" t="s">
        <v>147</v>
      </c>
      <c r="N180" s="39"/>
      <c r="O180" s="40">
        <v>261</v>
      </c>
      <c r="P180" s="40">
        <v>0</v>
      </c>
      <c r="Q180" s="40">
        <f t="shared" si="11"/>
        <v>261</v>
      </c>
      <c r="R180" s="40">
        <f t="shared" si="11"/>
        <v>0</v>
      </c>
      <c r="S180" s="40">
        <f>ROUND('Смета ЕР (общ) '!$N180*'Смета ЕР (общ) '!$Q180,2)</f>
        <v>0</v>
      </c>
      <c r="T180" s="40">
        <f>ROUND('Смета ЕР (общ) '!$N180*'Смета ЕР (общ) '!$R180,2)</f>
        <v>0</v>
      </c>
    </row>
    <row r="181" spans="1:25" ht="14.4" x14ac:dyDescent="0.3">
      <c r="A181" s="36" t="s">
        <v>129</v>
      </c>
      <c r="B181" s="36">
        <v>5</v>
      </c>
      <c r="C181" s="36"/>
      <c r="D181" s="36">
        <v>7</v>
      </c>
      <c r="E181" s="36" t="str">
        <f>CONCATENATE('Смета ЕР (общ) '!$A181,".",'Смета ЕР (общ) '!$B181,".",'Смета ЕР (общ) '!$D181)</f>
        <v>Р2.5.7</v>
      </c>
      <c r="F181" s="36">
        <f t="shared" si="8"/>
        <v>1</v>
      </c>
      <c r="G181" s="36"/>
      <c r="H181" s="36"/>
      <c r="I181" s="36"/>
      <c r="J181" s="36"/>
      <c r="K181" s="36"/>
      <c r="L181" s="53" t="s">
        <v>205</v>
      </c>
      <c r="M181" s="38" t="s">
        <v>147</v>
      </c>
      <c r="N181" s="39"/>
      <c r="O181" s="40">
        <v>689.04</v>
      </c>
      <c r="P181" s="40">
        <v>0</v>
      </c>
      <c r="Q181" s="40">
        <f t="shared" si="11"/>
        <v>689.04</v>
      </c>
      <c r="R181" s="40">
        <f t="shared" si="11"/>
        <v>0</v>
      </c>
      <c r="S181" s="40">
        <f>ROUND('Смета ЕР (общ) '!$N181*'Смета ЕР (общ) '!$Q181,2)</f>
        <v>0</v>
      </c>
      <c r="T181" s="40">
        <f>ROUND('Смета ЕР (общ) '!$N181*'Смета ЕР (общ) '!$R181,2)</f>
        <v>0</v>
      </c>
    </row>
    <row r="182" spans="1:25" ht="14.4" x14ac:dyDescent="0.3">
      <c r="A182" s="36" t="s">
        <v>129</v>
      </c>
      <c r="B182" s="36">
        <v>5</v>
      </c>
      <c r="C182" s="36"/>
      <c r="D182" s="36">
        <v>8</v>
      </c>
      <c r="E182" s="36" t="str">
        <f>CONCATENATE('Смета ЕР (общ) '!$A182,".",'Смета ЕР (общ) '!$B182,".",'Смета ЕР (общ) '!$D182)</f>
        <v>Р2.5.8</v>
      </c>
      <c r="F182" s="36">
        <f t="shared" si="8"/>
        <v>1</v>
      </c>
      <c r="G182" s="36"/>
      <c r="H182" s="36"/>
      <c r="I182" s="36"/>
      <c r="J182" s="36"/>
      <c r="K182" s="36"/>
      <c r="L182" s="37" t="s">
        <v>206</v>
      </c>
      <c r="M182" s="38" t="s">
        <v>147</v>
      </c>
      <c r="N182" s="39"/>
      <c r="O182" s="40">
        <v>111.79</v>
      </c>
      <c r="P182" s="40">
        <v>0</v>
      </c>
      <c r="Q182" s="40">
        <f t="shared" si="11"/>
        <v>111.79</v>
      </c>
      <c r="R182" s="40">
        <f t="shared" si="11"/>
        <v>0</v>
      </c>
      <c r="S182" s="40">
        <f>ROUND('Смета ЕР (общ) '!$N182*'Смета ЕР (общ) '!$Q182,2)</f>
        <v>0</v>
      </c>
      <c r="T182" s="40">
        <f>ROUND('Смета ЕР (общ) '!$N182*'Смета ЕР (общ) '!$R182,2)</f>
        <v>0</v>
      </c>
    </row>
    <row r="183" spans="1:25" ht="14.4" x14ac:dyDescent="0.3">
      <c r="A183" s="36" t="s">
        <v>129</v>
      </c>
      <c r="B183" s="36">
        <v>5</v>
      </c>
      <c r="C183" s="36"/>
      <c r="D183" s="36">
        <v>9</v>
      </c>
      <c r="E183" s="36" t="str">
        <f>CONCATENATE('Смета ЕР (общ) '!$A183,".",'Смета ЕР (общ) '!$B183,".",'Смета ЕР (общ) '!$D183)</f>
        <v>Р2.5.9</v>
      </c>
      <c r="F183" s="36">
        <f t="shared" si="8"/>
        <v>1</v>
      </c>
      <c r="G183" s="36"/>
      <c r="H183" s="36"/>
      <c r="I183" s="36"/>
      <c r="J183" s="36"/>
      <c r="K183" s="36"/>
      <c r="L183" s="37" t="s">
        <v>207</v>
      </c>
      <c r="M183" s="38" t="s">
        <v>40</v>
      </c>
      <c r="N183" s="39"/>
      <c r="O183" s="40">
        <v>130.5</v>
      </c>
      <c r="P183" s="40">
        <v>0</v>
      </c>
      <c r="Q183" s="40">
        <f t="shared" si="11"/>
        <v>130.5</v>
      </c>
      <c r="R183" s="40">
        <f t="shared" si="11"/>
        <v>0</v>
      </c>
      <c r="S183" s="40">
        <f>ROUND('Смета ЕР (общ) '!$N183*'Смета ЕР (общ) '!$Q183,2)</f>
        <v>0</v>
      </c>
      <c r="T183" s="40">
        <f>ROUND('Смета ЕР (общ) '!$N183*'Смета ЕР (общ) '!$R183,2)</f>
        <v>0</v>
      </c>
    </row>
    <row r="184" spans="1:25" ht="14.4" x14ac:dyDescent="0.3">
      <c r="A184" s="48" t="s">
        <v>129</v>
      </c>
      <c r="B184" s="48">
        <v>6</v>
      </c>
      <c r="C184" s="48"/>
      <c r="D184" s="48">
        <v>0</v>
      </c>
      <c r="E184" s="48" t="str">
        <f>CONCATENATE('Смета ЕР (общ) '!$A184,".",'Смета ЕР (общ) '!$B184,".",'Смета ЕР (общ) '!$D184)</f>
        <v>Р2.6.0</v>
      </c>
      <c r="F184" s="48">
        <f t="shared" si="8"/>
        <v>1</v>
      </c>
      <c r="G184" s="48"/>
      <c r="H184" s="48"/>
      <c r="I184" s="48"/>
      <c r="J184" s="48"/>
      <c r="K184" s="48"/>
      <c r="L184" s="49" t="s">
        <v>208</v>
      </c>
      <c r="M184" s="31"/>
      <c r="N184" s="32">
        <f>SUM(N185:N189)</f>
        <v>0</v>
      </c>
      <c r="O184" s="47"/>
      <c r="P184" s="47"/>
      <c r="Q184" s="34"/>
      <c r="R184" s="34"/>
      <c r="S184" s="34">
        <f>SUM(S185:S189)</f>
        <v>0</v>
      </c>
      <c r="T184" s="34">
        <f>SUM(T185:T189)</f>
        <v>0</v>
      </c>
      <c r="Y184">
        <v>0</v>
      </c>
    </row>
    <row r="185" spans="1:25" ht="24" x14ac:dyDescent="0.3">
      <c r="A185" s="36" t="s">
        <v>129</v>
      </c>
      <c r="B185" s="36">
        <v>6</v>
      </c>
      <c r="C185" s="36"/>
      <c r="D185" s="36">
        <v>1</v>
      </c>
      <c r="E185" s="36" t="str">
        <f>CONCATENATE('Смета ЕР (общ) '!$A185,".",'Смета ЕР (общ) '!$B185,".",'Смета ЕР (общ) '!$D185)</f>
        <v>Р2.6.1</v>
      </c>
      <c r="F185" s="36">
        <f t="shared" si="8"/>
        <v>1</v>
      </c>
      <c r="G185" s="36"/>
      <c r="H185" s="36"/>
      <c r="I185" s="36"/>
      <c r="J185" s="36"/>
      <c r="K185" s="36"/>
      <c r="L185" s="37" t="s">
        <v>209</v>
      </c>
      <c r="M185" s="38" t="s">
        <v>40</v>
      </c>
      <c r="N185" s="39"/>
      <c r="O185" s="40">
        <v>1460</v>
      </c>
      <c r="P185" s="40">
        <v>0</v>
      </c>
      <c r="Q185" s="40">
        <f t="shared" ref="Q185:R189" si="12">ROUND(O185-O185*$V$3,2)</f>
        <v>1460</v>
      </c>
      <c r="R185" s="40">
        <f t="shared" si="12"/>
        <v>0</v>
      </c>
      <c r="S185" s="40">
        <f>ROUND('Смета ЕР (общ) '!$N185*'Смета ЕР (общ) '!$Q185,2)</f>
        <v>0</v>
      </c>
      <c r="T185" s="40">
        <f>ROUND('Смета ЕР (общ) '!$N185*'Смета ЕР (общ) '!$R185,2)</f>
        <v>0</v>
      </c>
    </row>
    <row r="186" spans="1:25" ht="24" x14ac:dyDescent="0.3">
      <c r="A186" s="36" t="s">
        <v>129</v>
      </c>
      <c r="B186" s="36">
        <v>6</v>
      </c>
      <c r="C186" s="36"/>
      <c r="D186" s="36">
        <v>2</v>
      </c>
      <c r="E186" s="36" t="str">
        <f>CONCATENATE('Смета ЕР (общ) '!$A186,".",'Смета ЕР (общ) '!$B186,".",'Смета ЕР (общ) '!$D186)</f>
        <v>Р2.6.2</v>
      </c>
      <c r="F186" s="36">
        <f t="shared" si="8"/>
        <v>1</v>
      </c>
      <c r="G186" s="36"/>
      <c r="H186" s="36"/>
      <c r="I186" s="36"/>
      <c r="J186" s="36"/>
      <c r="K186" s="36"/>
      <c r="L186" s="37" t="s">
        <v>210</v>
      </c>
      <c r="M186" s="38" t="s">
        <v>40</v>
      </c>
      <c r="N186" s="39"/>
      <c r="O186" s="40">
        <v>422.78</v>
      </c>
      <c r="P186" s="40">
        <v>0</v>
      </c>
      <c r="Q186" s="40">
        <f t="shared" si="12"/>
        <v>422.78</v>
      </c>
      <c r="R186" s="40">
        <f t="shared" si="12"/>
        <v>0</v>
      </c>
      <c r="S186" s="40">
        <f>ROUND('Смета ЕР (общ) '!$N186*'Смета ЕР (общ) '!$Q186,2)</f>
        <v>0</v>
      </c>
      <c r="T186" s="40">
        <f>ROUND('Смета ЕР (общ) '!$N186*'Смета ЕР (общ) '!$R186,2)</f>
        <v>0</v>
      </c>
    </row>
    <row r="187" spans="1:25" ht="14.4" x14ac:dyDescent="0.3">
      <c r="A187" s="36" t="s">
        <v>129</v>
      </c>
      <c r="B187" s="36">
        <v>6</v>
      </c>
      <c r="C187" s="36"/>
      <c r="D187" s="36">
        <v>3</v>
      </c>
      <c r="E187" s="36" t="str">
        <f>CONCATENATE('Смета ЕР (общ) '!$A187,".",'Смета ЕР (общ) '!$B187,".",'Смета ЕР (общ) '!$D187)</f>
        <v>Р2.6.3</v>
      </c>
      <c r="F187" s="36">
        <f t="shared" si="8"/>
        <v>1</v>
      </c>
      <c r="G187" s="36"/>
      <c r="H187" s="36"/>
      <c r="I187" s="36"/>
      <c r="J187" s="36"/>
      <c r="K187" s="36"/>
      <c r="L187" s="37" t="s">
        <v>211</v>
      </c>
      <c r="M187" s="38" t="s">
        <v>40</v>
      </c>
      <c r="N187" s="39"/>
      <c r="O187" s="40">
        <v>1379.7</v>
      </c>
      <c r="P187" s="40">
        <v>0</v>
      </c>
      <c r="Q187" s="40">
        <f t="shared" si="12"/>
        <v>1379.7</v>
      </c>
      <c r="R187" s="40">
        <f t="shared" si="12"/>
        <v>0</v>
      </c>
      <c r="S187" s="40">
        <f>ROUND('Смета ЕР (общ) '!$N187*'Смета ЕР (общ) '!$Q187,2)</f>
        <v>0</v>
      </c>
      <c r="T187" s="40">
        <f>ROUND('Смета ЕР (общ) '!$N187*'Смета ЕР (общ) '!$R187,2)</f>
        <v>0</v>
      </c>
    </row>
    <row r="188" spans="1:25" ht="14.4" x14ac:dyDescent="0.3">
      <c r="A188" s="36" t="s">
        <v>129</v>
      </c>
      <c r="B188" s="36">
        <v>6</v>
      </c>
      <c r="C188" s="36"/>
      <c r="D188" s="36">
        <v>4</v>
      </c>
      <c r="E188" s="36" t="str">
        <f>CONCATENATE('Смета ЕР (общ) '!$A188,".",'Смета ЕР (общ) '!$B188,".",'Смета ЕР (общ) '!$D188)</f>
        <v>Р2.6.4</v>
      </c>
      <c r="F188" s="36">
        <f t="shared" si="8"/>
        <v>1</v>
      </c>
      <c r="G188" s="36"/>
      <c r="H188" s="36"/>
      <c r="I188" s="36"/>
      <c r="J188" s="36"/>
      <c r="K188" s="36"/>
      <c r="L188" s="37" t="s">
        <v>212</v>
      </c>
      <c r="M188" s="38" t="s">
        <v>144</v>
      </c>
      <c r="N188" s="39"/>
      <c r="O188" s="40">
        <v>1163.98</v>
      </c>
      <c r="P188" s="40">
        <v>0</v>
      </c>
      <c r="Q188" s="40">
        <f t="shared" si="12"/>
        <v>1163.98</v>
      </c>
      <c r="R188" s="40">
        <f t="shared" si="12"/>
        <v>0</v>
      </c>
      <c r="S188" s="40">
        <f>ROUND('Смета ЕР (общ) '!$N188*'Смета ЕР (общ) '!$Q188,2)</f>
        <v>0</v>
      </c>
      <c r="T188" s="40">
        <f>ROUND('Смета ЕР (общ) '!$N188*'Смета ЕР (общ) '!$R188,2)</f>
        <v>0</v>
      </c>
    </row>
    <row r="189" spans="1:25" ht="14.4" x14ac:dyDescent="0.3">
      <c r="A189" s="36" t="s">
        <v>129</v>
      </c>
      <c r="B189" s="36">
        <v>6</v>
      </c>
      <c r="C189" s="36"/>
      <c r="D189" s="36">
        <v>5</v>
      </c>
      <c r="E189" s="36" t="str">
        <f>CONCATENATE('Смета ЕР (общ) '!$A189,".",'Смета ЕР (общ) '!$B189,".",'Смета ЕР (общ) '!$D189)</f>
        <v>Р2.6.5</v>
      </c>
      <c r="F189" s="36">
        <f t="shared" si="8"/>
        <v>1</v>
      </c>
      <c r="G189" s="36"/>
      <c r="H189" s="36"/>
      <c r="I189" s="36"/>
      <c r="J189" s="36"/>
      <c r="K189" s="36"/>
      <c r="L189" s="37" t="s">
        <v>213</v>
      </c>
      <c r="M189" s="38" t="s">
        <v>147</v>
      </c>
      <c r="N189" s="39"/>
      <c r="O189" s="40">
        <v>209</v>
      </c>
      <c r="P189" s="40">
        <v>0</v>
      </c>
      <c r="Q189" s="40">
        <f t="shared" si="12"/>
        <v>209</v>
      </c>
      <c r="R189" s="40">
        <f t="shared" si="12"/>
        <v>0</v>
      </c>
      <c r="S189" s="40">
        <f>ROUND('Смета ЕР (общ) '!$N189*'Смета ЕР (общ) '!$Q189,2)</f>
        <v>0</v>
      </c>
      <c r="T189" s="40">
        <f>ROUND('Смета ЕР (общ) '!$N189*'Смета ЕР (общ) '!$R189,2)</f>
        <v>0</v>
      </c>
    </row>
    <row r="190" spans="1:25" ht="14.4" x14ac:dyDescent="0.3">
      <c r="A190" s="48" t="s">
        <v>129</v>
      </c>
      <c r="B190" s="48">
        <v>7</v>
      </c>
      <c r="C190" s="48"/>
      <c r="D190" s="48">
        <v>0</v>
      </c>
      <c r="E190" s="48" t="str">
        <f>CONCATENATE('Смета ЕР (общ) '!$A190,".",'Смета ЕР (общ) '!$B190,".",'Смета ЕР (общ) '!$D190)</f>
        <v>Р2.7.0</v>
      </c>
      <c r="F190" s="48">
        <f t="shared" si="8"/>
        <v>1</v>
      </c>
      <c r="G190" s="48"/>
      <c r="H190" s="48"/>
      <c r="I190" s="48"/>
      <c r="J190" s="48"/>
      <c r="K190" s="48"/>
      <c r="L190" s="49" t="s">
        <v>214</v>
      </c>
      <c r="M190" s="31"/>
      <c r="N190" s="32">
        <f>SUM(N191:N204)</f>
        <v>0</v>
      </c>
      <c r="O190" s="47"/>
      <c r="P190" s="47"/>
      <c r="Q190" s="34"/>
      <c r="R190" s="34"/>
      <c r="S190" s="34">
        <f>SUM(S191:S204)</f>
        <v>0</v>
      </c>
      <c r="T190" s="34">
        <f>SUM(T191:T204)</f>
        <v>0</v>
      </c>
      <c r="Y190">
        <v>0</v>
      </c>
    </row>
    <row r="191" spans="1:25" ht="14.4" x14ac:dyDescent="0.3">
      <c r="A191" s="36" t="s">
        <v>129</v>
      </c>
      <c r="B191" s="36">
        <v>7</v>
      </c>
      <c r="C191" s="36"/>
      <c r="D191" s="36">
        <v>1</v>
      </c>
      <c r="E191" s="36" t="str">
        <f>CONCATENATE('Смета ЕР (общ) '!$A191,".",'Смета ЕР (общ) '!$B191,".",'Смета ЕР (общ) '!$D191)</f>
        <v>Р2.7.1</v>
      </c>
      <c r="F191" s="36">
        <f t="shared" si="8"/>
        <v>1</v>
      </c>
      <c r="G191" s="36"/>
      <c r="H191" s="36"/>
      <c r="I191" s="36"/>
      <c r="J191" s="36"/>
      <c r="K191" s="36"/>
      <c r="L191" s="37" t="s">
        <v>215</v>
      </c>
      <c r="M191" s="38" t="s">
        <v>40</v>
      </c>
      <c r="N191" s="39"/>
      <c r="O191" s="40">
        <v>339.3</v>
      </c>
      <c r="P191" s="40">
        <v>0</v>
      </c>
      <c r="Q191" s="40">
        <f t="shared" ref="Q191:R204" si="13">ROUND(O191-O191*$V$3,2)</f>
        <v>339.3</v>
      </c>
      <c r="R191" s="40">
        <f t="shared" si="13"/>
        <v>0</v>
      </c>
      <c r="S191" s="40">
        <f>ROUND('Смета ЕР (общ) '!$N191*'Смета ЕР (общ) '!$Q191,2)</f>
        <v>0</v>
      </c>
      <c r="T191" s="40">
        <f>ROUND('Смета ЕР (общ) '!$N191*'Смета ЕР (общ) '!$R191,2)</f>
        <v>0</v>
      </c>
    </row>
    <row r="192" spans="1:25" ht="14.4" x14ac:dyDescent="0.3">
      <c r="A192" s="36" t="s">
        <v>129</v>
      </c>
      <c r="B192" s="36">
        <v>7</v>
      </c>
      <c r="C192" s="36"/>
      <c r="D192" s="36">
        <v>2</v>
      </c>
      <c r="E192" s="36" t="str">
        <f>CONCATENATE('Смета ЕР (общ) '!$A192,".",'Смета ЕР (общ) '!$B192,".",'Смета ЕР (общ) '!$D192)</f>
        <v>Р2.7.2</v>
      </c>
      <c r="F192" s="36">
        <f t="shared" si="8"/>
        <v>1</v>
      </c>
      <c r="G192" s="36"/>
      <c r="H192" s="36"/>
      <c r="I192" s="36"/>
      <c r="J192" s="36"/>
      <c r="K192" s="36"/>
      <c r="L192" s="37" t="s">
        <v>216</v>
      </c>
      <c r="M192" s="38" t="s">
        <v>40</v>
      </c>
      <c r="N192" s="39"/>
      <c r="O192" s="40">
        <v>882.18</v>
      </c>
      <c r="P192" s="40">
        <v>0</v>
      </c>
      <c r="Q192" s="40">
        <f t="shared" si="13"/>
        <v>882.18</v>
      </c>
      <c r="R192" s="40">
        <f t="shared" si="13"/>
        <v>0</v>
      </c>
      <c r="S192" s="40">
        <f>ROUND('Смета ЕР (общ) '!$N192*'Смета ЕР (общ) '!$Q192,2)</f>
        <v>0</v>
      </c>
      <c r="T192" s="40">
        <f>ROUND('Смета ЕР (общ) '!$N192*'Смета ЕР (общ) '!$R192,2)</f>
        <v>0</v>
      </c>
    </row>
    <row r="193" spans="1:25" ht="14.4" x14ac:dyDescent="0.3">
      <c r="A193" s="36" t="s">
        <v>129</v>
      </c>
      <c r="B193" s="36">
        <v>7</v>
      </c>
      <c r="C193" s="36"/>
      <c r="D193" s="36">
        <v>3</v>
      </c>
      <c r="E193" s="36" t="str">
        <f>CONCATENATE('Смета ЕР (общ) '!$A193,".",'Смета ЕР (общ) '!$B193,".",'Смета ЕР (общ) '!$D193)</f>
        <v>Р2.7.3</v>
      </c>
      <c r="F193" s="36">
        <f t="shared" si="8"/>
        <v>1</v>
      </c>
      <c r="G193" s="36"/>
      <c r="H193" s="36"/>
      <c r="I193" s="36"/>
      <c r="J193" s="36"/>
      <c r="K193" s="36"/>
      <c r="L193" s="37" t="s">
        <v>217</v>
      </c>
      <c r="M193" s="38" t="s">
        <v>40</v>
      </c>
      <c r="N193" s="39"/>
      <c r="O193" s="40">
        <v>7464.6</v>
      </c>
      <c r="P193" s="40">
        <v>0</v>
      </c>
      <c r="Q193" s="40">
        <f t="shared" si="13"/>
        <v>7464.6</v>
      </c>
      <c r="R193" s="40">
        <f t="shared" si="13"/>
        <v>0</v>
      </c>
      <c r="S193" s="40">
        <f>ROUND('Смета ЕР (общ) '!$N193*'Смета ЕР (общ) '!$Q193,2)</f>
        <v>0</v>
      </c>
      <c r="T193" s="40">
        <f>ROUND('Смета ЕР (общ) '!$N193*'Смета ЕР (общ) '!$R193,2)</f>
        <v>0</v>
      </c>
    </row>
    <row r="194" spans="1:25" ht="14.4" x14ac:dyDescent="0.3">
      <c r="A194" s="36" t="s">
        <v>129</v>
      </c>
      <c r="B194" s="36">
        <v>7</v>
      </c>
      <c r="C194" s="36"/>
      <c r="D194" s="36">
        <v>4</v>
      </c>
      <c r="E194" s="36" t="str">
        <f>CONCATENATE('Смета ЕР (общ) '!$A194,".",'Смета ЕР (общ) '!$B194,".",'Смета ЕР (общ) '!$D194)</f>
        <v>Р2.7.4</v>
      </c>
      <c r="F194" s="36">
        <f t="shared" si="8"/>
        <v>1</v>
      </c>
      <c r="G194" s="36"/>
      <c r="H194" s="36"/>
      <c r="I194" s="36"/>
      <c r="J194" s="36"/>
      <c r="K194" s="36"/>
      <c r="L194" s="37" t="s">
        <v>218</v>
      </c>
      <c r="M194" s="38" t="s">
        <v>144</v>
      </c>
      <c r="N194" s="39"/>
      <c r="O194" s="40">
        <v>3732.3</v>
      </c>
      <c r="P194" s="40">
        <v>0</v>
      </c>
      <c r="Q194" s="40">
        <f t="shared" si="13"/>
        <v>3732.3</v>
      </c>
      <c r="R194" s="40">
        <f t="shared" si="13"/>
        <v>0</v>
      </c>
      <c r="S194" s="40">
        <f>ROUND('Смета ЕР (общ) '!$N194*'Смета ЕР (общ) '!$Q194,2)</f>
        <v>0</v>
      </c>
      <c r="T194" s="40">
        <f>ROUND('Смета ЕР (общ) '!$N194*'Смета ЕР (общ) '!$R194,2)</f>
        <v>0</v>
      </c>
    </row>
    <row r="195" spans="1:25" ht="14.4" x14ac:dyDescent="0.3">
      <c r="A195" s="36" t="s">
        <v>129</v>
      </c>
      <c r="B195" s="36">
        <v>7</v>
      </c>
      <c r="C195" s="36"/>
      <c r="D195" s="36">
        <v>5</v>
      </c>
      <c r="E195" s="36" t="str">
        <f>CONCATENATE('Смета ЕР (общ) '!$A195,".",'Смета ЕР (общ) '!$B195,".",'Смета ЕР (общ) '!$D195)</f>
        <v>Р2.7.5</v>
      </c>
      <c r="F195" s="36">
        <f t="shared" si="8"/>
        <v>1</v>
      </c>
      <c r="G195" s="36"/>
      <c r="H195" s="36"/>
      <c r="I195" s="36"/>
      <c r="J195" s="36"/>
      <c r="K195" s="36"/>
      <c r="L195" s="37" t="s">
        <v>219</v>
      </c>
      <c r="M195" s="38" t="s">
        <v>147</v>
      </c>
      <c r="N195" s="39"/>
      <c r="O195" s="40">
        <v>916.11</v>
      </c>
      <c r="P195" s="40">
        <v>0</v>
      </c>
      <c r="Q195" s="40">
        <f t="shared" si="13"/>
        <v>916.11</v>
      </c>
      <c r="R195" s="40">
        <f t="shared" si="13"/>
        <v>0</v>
      </c>
      <c r="S195" s="40">
        <f>ROUND('Смета ЕР (общ) '!$N195*'Смета ЕР (общ) '!$Q195,2)</f>
        <v>0</v>
      </c>
      <c r="T195" s="40">
        <f>ROUND('Смета ЕР (общ) '!$N195*'Смета ЕР (общ) '!$R195,2)</f>
        <v>0</v>
      </c>
    </row>
    <row r="196" spans="1:25" ht="14.4" x14ac:dyDescent="0.3">
      <c r="A196" s="36" t="s">
        <v>129</v>
      </c>
      <c r="B196" s="36">
        <v>7</v>
      </c>
      <c r="C196" s="36"/>
      <c r="D196" s="36">
        <v>6</v>
      </c>
      <c r="E196" s="36" t="str">
        <f>CONCATENATE('Смета ЕР (общ) '!$A196,".",'Смета ЕР (общ) '!$B196,".",'Смета ЕР (общ) '!$D196)</f>
        <v>Р2.7.6</v>
      </c>
      <c r="F196" s="36">
        <f t="shared" si="8"/>
        <v>1</v>
      </c>
      <c r="G196" s="36"/>
      <c r="H196" s="36"/>
      <c r="I196" s="36"/>
      <c r="J196" s="36"/>
      <c r="K196" s="36"/>
      <c r="L196" s="37" t="s">
        <v>220</v>
      </c>
      <c r="M196" s="38" t="s">
        <v>147</v>
      </c>
      <c r="N196" s="39"/>
      <c r="O196" s="40">
        <v>610.74</v>
      </c>
      <c r="P196" s="40">
        <v>0</v>
      </c>
      <c r="Q196" s="40">
        <f t="shared" si="13"/>
        <v>610.74</v>
      </c>
      <c r="R196" s="40">
        <f t="shared" si="13"/>
        <v>0</v>
      </c>
      <c r="S196" s="40">
        <f>ROUND('Смета ЕР (общ) '!$N196*'Смета ЕР (общ) '!$Q196,2)</f>
        <v>0</v>
      </c>
      <c r="T196" s="40">
        <f>ROUND('Смета ЕР (общ) '!$N196*'Смета ЕР (общ) '!$R196,2)</f>
        <v>0</v>
      </c>
    </row>
    <row r="197" spans="1:25" ht="14.4" x14ac:dyDescent="0.3">
      <c r="A197" s="36" t="s">
        <v>129</v>
      </c>
      <c r="B197" s="36">
        <v>7</v>
      </c>
      <c r="C197" s="36"/>
      <c r="D197" s="36">
        <v>7</v>
      </c>
      <c r="E197" s="36" t="str">
        <f>CONCATENATE('Смета ЕР (общ) '!$A197,".",'Смета ЕР (общ) '!$B197,".",'Смета ЕР (общ) '!$D197)</f>
        <v>Р2.7.7</v>
      </c>
      <c r="F197" s="36">
        <f t="shared" si="8"/>
        <v>1</v>
      </c>
      <c r="G197" s="36"/>
      <c r="H197" s="36"/>
      <c r="I197" s="36"/>
      <c r="J197" s="36"/>
      <c r="K197" s="36"/>
      <c r="L197" s="37" t="s">
        <v>221</v>
      </c>
      <c r="M197" s="38" t="s">
        <v>40</v>
      </c>
      <c r="N197" s="39"/>
      <c r="O197" s="40">
        <v>780.39</v>
      </c>
      <c r="P197" s="40">
        <v>0</v>
      </c>
      <c r="Q197" s="40">
        <f t="shared" si="13"/>
        <v>780.39</v>
      </c>
      <c r="R197" s="40">
        <f t="shared" si="13"/>
        <v>0</v>
      </c>
      <c r="S197" s="40">
        <f>ROUND('Смета ЕР (общ) '!$N197*'Смета ЕР (общ) '!$Q197,2)</f>
        <v>0</v>
      </c>
      <c r="T197" s="40">
        <f>ROUND('Смета ЕР (общ) '!$N197*'Смета ЕР (общ) '!$R197,2)</f>
        <v>0</v>
      </c>
    </row>
    <row r="198" spans="1:25" ht="24" x14ac:dyDescent="0.3">
      <c r="A198" s="36" t="s">
        <v>129</v>
      </c>
      <c r="B198" s="36">
        <v>7</v>
      </c>
      <c r="C198" s="36"/>
      <c r="D198" s="36">
        <v>8</v>
      </c>
      <c r="E198" s="36" t="str">
        <f>CONCATENATE('Смета ЕР (общ) '!$A198,".",'Смета ЕР (общ) '!$B198,".",'Смета ЕР (общ) '!$D198)</f>
        <v>Р2.7.8</v>
      </c>
      <c r="F198" s="36">
        <f t="shared" si="8"/>
        <v>1</v>
      </c>
      <c r="G198" s="36"/>
      <c r="H198" s="36"/>
      <c r="I198" s="36"/>
      <c r="J198" s="36"/>
      <c r="K198" s="36"/>
      <c r="L198" s="37" t="s">
        <v>222</v>
      </c>
      <c r="M198" s="38" t="s">
        <v>40</v>
      </c>
      <c r="N198" s="39"/>
      <c r="O198" s="40">
        <v>433.22</v>
      </c>
      <c r="P198" s="40">
        <v>0</v>
      </c>
      <c r="Q198" s="40">
        <f t="shared" si="13"/>
        <v>433.22</v>
      </c>
      <c r="R198" s="40">
        <f t="shared" si="13"/>
        <v>0</v>
      </c>
      <c r="S198" s="40">
        <f>ROUND('Смета ЕР (общ) '!$N198*'Смета ЕР (общ) '!$Q198,2)</f>
        <v>0</v>
      </c>
      <c r="T198" s="40">
        <f>ROUND('Смета ЕР (общ) '!$N198*'Смета ЕР (общ) '!$R198,2)</f>
        <v>0</v>
      </c>
    </row>
    <row r="199" spans="1:25" ht="14.4" x14ac:dyDescent="0.3">
      <c r="A199" s="36" t="s">
        <v>129</v>
      </c>
      <c r="B199" s="36">
        <v>7</v>
      </c>
      <c r="C199" s="36"/>
      <c r="D199" s="36">
        <v>9</v>
      </c>
      <c r="E199" s="36" t="str">
        <f>CONCATENATE('Смета ЕР (общ) '!$A199,".",'Смета ЕР (общ) '!$B199,".",'Смета ЕР (общ) '!$D199)</f>
        <v>Р2.7.9</v>
      </c>
      <c r="F199" s="36">
        <f t="shared" si="8"/>
        <v>1</v>
      </c>
      <c r="G199" s="36"/>
      <c r="H199" s="36"/>
      <c r="I199" s="36"/>
      <c r="J199" s="36"/>
      <c r="K199" s="36"/>
      <c r="L199" s="37" t="s">
        <v>223</v>
      </c>
      <c r="M199" s="38" t="s">
        <v>40</v>
      </c>
      <c r="N199" s="39"/>
      <c r="O199" s="40">
        <v>470.25</v>
      </c>
      <c r="P199" s="40">
        <v>0</v>
      </c>
      <c r="Q199" s="40">
        <f t="shared" si="13"/>
        <v>470.25</v>
      </c>
      <c r="R199" s="40">
        <f t="shared" si="13"/>
        <v>0</v>
      </c>
      <c r="S199" s="40">
        <f>ROUND('Смета ЕР (общ) '!$N199*'Смета ЕР (общ) '!$Q199,2)</f>
        <v>0</v>
      </c>
      <c r="T199" s="40">
        <f>ROUND('Смета ЕР (общ) '!$N199*'Смета ЕР (общ) '!$R199,2)</f>
        <v>0</v>
      </c>
    </row>
    <row r="200" spans="1:25" ht="14.4" x14ac:dyDescent="0.3">
      <c r="A200" s="36" t="s">
        <v>129</v>
      </c>
      <c r="B200" s="36">
        <v>7</v>
      </c>
      <c r="C200" s="36"/>
      <c r="D200" s="36">
        <v>10</v>
      </c>
      <c r="E200" s="36" t="str">
        <f>CONCATENATE('Смета ЕР (общ) '!$A200,".",'Смета ЕР (общ) '!$B200,".",'Смета ЕР (общ) '!$D200)</f>
        <v>Р2.7.10</v>
      </c>
      <c r="F200" s="36">
        <f t="shared" si="8"/>
        <v>1</v>
      </c>
      <c r="G200" s="36"/>
      <c r="H200" s="36"/>
      <c r="I200" s="36"/>
      <c r="J200" s="36"/>
      <c r="K200" s="36"/>
      <c r="L200" s="37" t="s">
        <v>224</v>
      </c>
      <c r="M200" s="38" t="s">
        <v>147</v>
      </c>
      <c r="N200" s="39"/>
      <c r="O200" s="40">
        <v>434.96</v>
      </c>
      <c r="P200" s="40">
        <v>0</v>
      </c>
      <c r="Q200" s="40">
        <f t="shared" si="13"/>
        <v>434.96</v>
      </c>
      <c r="R200" s="40">
        <f t="shared" si="13"/>
        <v>0</v>
      </c>
      <c r="S200" s="40">
        <f>ROUND('Смета ЕР (общ) '!$N200*'Смета ЕР (общ) '!$Q200,2)</f>
        <v>0</v>
      </c>
      <c r="T200" s="40">
        <f>ROUND('Смета ЕР (общ) '!$N200*'Смета ЕР (общ) '!$R200,2)</f>
        <v>0</v>
      </c>
    </row>
    <row r="201" spans="1:25" ht="24" x14ac:dyDescent="0.3">
      <c r="A201" s="36" t="s">
        <v>129</v>
      </c>
      <c r="B201" s="36">
        <v>7</v>
      </c>
      <c r="C201" s="36"/>
      <c r="D201" s="36">
        <v>11</v>
      </c>
      <c r="E201" s="36" t="str">
        <f>CONCATENATE('Смета ЕР (общ) '!$A201,".",'Смета ЕР (общ) '!$B201,".",'Смета ЕР (общ) '!$D201)</f>
        <v>Р2.7.11</v>
      </c>
      <c r="F201" s="36">
        <f t="shared" si="8"/>
        <v>1</v>
      </c>
      <c r="G201" s="36"/>
      <c r="H201" s="36"/>
      <c r="I201" s="36"/>
      <c r="J201" s="36"/>
      <c r="K201" s="36"/>
      <c r="L201" s="53" t="s">
        <v>225</v>
      </c>
      <c r="M201" s="38" t="s">
        <v>40</v>
      </c>
      <c r="N201" s="39"/>
      <c r="O201" s="40">
        <v>627</v>
      </c>
      <c r="P201" s="40">
        <v>0</v>
      </c>
      <c r="Q201" s="40">
        <f t="shared" si="13"/>
        <v>627</v>
      </c>
      <c r="R201" s="40">
        <f t="shared" si="13"/>
        <v>0</v>
      </c>
      <c r="S201" s="40">
        <f>ROUND('Смета ЕР (общ) '!$N201*'Смета ЕР (общ) '!$Q201,2)</f>
        <v>0</v>
      </c>
      <c r="T201" s="40">
        <f>ROUND('Смета ЕР (общ) '!$N201*'Смета ЕР (общ) '!$R201,2)</f>
        <v>0</v>
      </c>
    </row>
    <row r="202" spans="1:25" ht="14.4" x14ac:dyDescent="0.3">
      <c r="A202" s="36" t="s">
        <v>129</v>
      </c>
      <c r="B202" s="36">
        <v>7</v>
      </c>
      <c r="C202" s="36"/>
      <c r="D202" s="36">
        <v>12</v>
      </c>
      <c r="E202" s="36" t="str">
        <f>CONCATENATE('Смета ЕР (общ) '!$A202,".",'Смета ЕР (общ) '!$B202,".",'Смета ЕР (общ) '!$D202)</f>
        <v>Р2.7.12</v>
      </c>
      <c r="F202" s="36">
        <f t="shared" si="8"/>
        <v>1</v>
      </c>
      <c r="G202" s="36"/>
      <c r="H202" s="36"/>
      <c r="I202" s="36"/>
      <c r="J202" s="36"/>
      <c r="K202" s="36"/>
      <c r="L202" s="37" t="s">
        <v>226</v>
      </c>
      <c r="M202" s="38" t="s">
        <v>40</v>
      </c>
      <c r="N202" s="39"/>
      <c r="O202" s="40">
        <v>475.02</v>
      </c>
      <c r="P202" s="40">
        <v>0</v>
      </c>
      <c r="Q202" s="40">
        <f t="shared" si="13"/>
        <v>475.02</v>
      </c>
      <c r="R202" s="40">
        <f t="shared" si="13"/>
        <v>0</v>
      </c>
      <c r="S202" s="40">
        <f>ROUND('Смета ЕР (общ) '!$N202*'Смета ЕР (общ) '!$Q202,2)</f>
        <v>0</v>
      </c>
      <c r="T202" s="40">
        <f>ROUND('Смета ЕР (общ) '!$N202*'Смета ЕР (общ) '!$R202,2)</f>
        <v>0</v>
      </c>
    </row>
    <row r="203" spans="1:25" ht="14.4" x14ac:dyDescent="0.3">
      <c r="A203" s="36" t="s">
        <v>129</v>
      </c>
      <c r="B203" s="36">
        <v>7</v>
      </c>
      <c r="C203" s="36"/>
      <c r="D203" s="36">
        <v>13</v>
      </c>
      <c r="E203" s="36" t="str">
        <f>CONCATENATE('Смета ЕР (общ) '!$A203,".",'Смета ЕР (общ) '!$B203,".",'Смета ЕР (общ) '!$D203)</f>
        <v>Р2.7.13</v>
      </c>
      <c r="F203" s="36">
        <f t="shared" si="8"/>
        <v>1</v>
      </c>
      <c r="G203" s="36"/>
      <c r="H203" s="36"/>
      <c r="I203" s="36"/>
      <c r="J203" s="36"/>
      <c r="K203" s="36"/>
      <c r="L203" s="37" t="s">
        <v>227</v>
      </c>
      <c r="M203" s="38" t="s">
        <v>40</v>
      </c>
      <c r="N203" s="39"/>
      <c r="O203" s="40">
        <v>373.23</v>
      </c>
      <c r="P203" s="40">
        <v>0</v>
      </c>
      <c r="Q203" s="40">
        <f t="shared" si="13"/>
        <v>373.23</v>
      </c>
      <c r="R203" s="40">
        <f t="shared" si="13"/>
        <v>0</v>
      </c>
      <c r="S203" s="40">
        <f>ROUND('Смета ЕР (общ) '!$N203*'Смета ЕР (общ) '!$Q203,2)</f>
        <v>0</v>
      </c>
      <c r="T203" s="40">
        <f>ROUND('Смета ЕР (общ) '!$N203*'Смета ЕР (общ) '!$R203,2)</f>
        <v>0</v>
      </c>
    </row>
    <row r="204" spans="1:25" ht="14.4" x14ac:dyDescent="0.3">
      <c r="A204" s="36" t="s">
        <v>129</v>
      </c>
      <c r="B204" s="36">
        <v>7</v>
      </c>
      <c r="C204" s="36"/>
      <c r="D204" s="36">
        <v>14</v>
      </c>
      <c r="E204" s="36" t="str">
        <f>CONCATENATE('Смета ЕР (общ) '!$A204,".",'Смета ЕР (общ) '!$B204,".",'Смета ЕР (общ) '!$D204)</f>
        <v>Р2.7.14</v>
      </c>
      <c r="F204" s="36">
        <f t="shared" si="8"/>
        <v>1</v>
      </c>
      <c r="G204" s="36"/>
      <c r="H204" s="36"/>
      <c r="I204" s="36"/>
      <c r="J204" s="36"/>
      <c r="K204" s="36"/>
      <c r="L204" s="37" t="s">
        <v>228</v>
      </c>
      <c r="M204" s="38" t="s">
        <v>229</v>
      </c>
      <c r="N204" s="39"/>
      <c r="O204" s="40">
        <v>6786</v>
      </c>
      <c r="P204" s="40">
        <v>0</v>
      </c>
      <c r="Q204" s="40">
        <f t="shared" si="13"/>
        <v>6786</v>
      </c>
      <c r="R204" s="40">
        <f t="shared" si="13"/>
        <v>0</v>
      </c>
      <c r="S204" s="40">
        <f>ROUND('Смета ЕР (общ) '!$N204*'Смета ЕР (общ) '!$Q204,2)</f>
        <v>0</v>
      </c>
      <c r="T204" s="40">
        <f>ROUND('Смета ЕР (общ) '!$N204*'Смета ЕР (общ) '!$R204,2)</f>
        <v>0</v>
      </c>
    </row>
    <row r="205" spans="1:25" ht="14.4" x14ac:dyDescent="0.3">
      <c r="A205" s="48" t="s">
        <v>129</v>
      </c>
      <c r="B205" s="48">
        <v>8</v>
      </c>
      <c r="C205" s="48"/>
      <c r="D205" s="48">
        <v>0</v>
      </c>
      <c r="E205" s="48" t="str">
        <f>CONCATENATE('Смета ЕР (общ) '!$A205,".",'Смета ЕР (общ) '!$B205,".",'Смета ЕР (общ) '!$D205)</f>
        <v>Р2.8.0</v>
      </c>
      <c r="F205" s="48">
        <f t="shared" si="8"/>
        <v>1</v>
      </c>
      <c r="G205" s="48"/>
      <c r="H205" s="48"/>
      <c r="I205" s="48"/>
      <c r="J205" s="48"/>
      <c r="K205" s="48"/>
      <c r="L205" s="49" t="s">
        <v>230</v>
      </c>
      <c r="M205" s="31"/>
      <c r="N205" s="32">
        <f>SUM(N206:N214)</f>
        <v>0</v>
      </c>
      <c r="O205" s="47"/>
      <c r="P205" s="47"/>
      <c r="Q205" s="34"/>
      <c r="R205" s="34"/>
      <c r="S205" s="34">
        <f>SUM(S206:S214)</f>
        <v>0</v>
      </c>
      <c r="T205" s="34">
        <f>SUM(T206:T214)</f>
        <v>0</v>
      </c>
      <c r="Y205">
        <v>0</v>
      </c>
    </row>
    <row r="206" spans="1:25" ht="48" x14ac:dyDescent="0.3">
      <c r="A206" s="36" t="s">
        <v>129</v>
      </c>
      <c r="B206" s="36">
        <v>8</v>
      </c>
      <c r="C206" s="36"/>
      <c r="D206" s="36">
        <v>1</v>
      </c>
      <c r="E206" s="36" t="str">
        <f>CONCATENATE('Смета ЕР (общ) '!$A206,".",'Смета ЕР (общ) '!$B206,".",'Смета ЕР (общ) '!$D206)</f>
        <v>Р2.8.1</v>
      </c>
      <c r="F206" s="36">
        <f t="shared" si="8"/>
        <v>1</v>
      </c>
      <c r="G206" s="36"/>
      <c r="H206" s="36"/>
      <c r="I206" s="36"/>
      <c r="J206" s="36"/>
      <c r="K206" s="36"/>
      <c r="L206" s="37" t="s">
        <v>231</v>
      </c>
      <c r="M206" s="38" t="s">
        <v>125</v>
      </c>
      <c r="N206" s="39"/>
      <c r="O206" s="40">
        <v>86.13</v>
      </c>
      <c r="P206" s="40">
        <v>0</v>
      </c>
      <c r="Q206" s="40">
        <f t="shared" ref="Q206:R214" si="14">ROUND(O206-O206*$V$3,2)</f>
        <v>86.13</v>
      </c>
      <c r="R206" s="40">
        <f t="shared" si="14"/>
        <v>0</v>
      </c>
      <c r="S206" s="40">
        <f>ROUND('Смета ЕР (общ) '!$N206*'Смета ЕР (общ) '!$Q206,2)</f>
        <v>0</v>
      </c>
      <c r="T206" s="40">
        <f>ROUND('Смета ЕР (общ) '!$N206*'Смета ЕР (общ) '!$R206,2)</f>
        <v>0</v>
      </c>
    </row>
    <row r="207" spans="1:25" ht="36" x14ac:dyDescent="0.3">
      <c r="A207" s="36" t="s">
        <v>129</v>
      </c>
      <c r="B207" s="36">
        <v>8</v>
      </c>
      <c r="C207" s="36"/>
      <c r="D207" s="36">
        <v>2</v>
      </c>
      <c r="E207" s="36" t="str">
        <f>CONCATENATE('Смета ЕР (общ) '!$A207,".",'Смета ЕР (общ) '!$B207,".",'Смета ЕР (общ) '!$D207)</f>
        <v>Р2.8.2</v>
      </c>
      <c r="F207" s="36">
        <f t="shared" si="8"/>
        <v>1</v>
      </c>
      <c r="G207" s="36"/>
      <c r="H207" s="36"/>
      <c r="I207" s="36"/>
      <c r="J207" s="36"/>
      <c r="K207" s="36"/>
      <c r="L207" s="37" t="s">
        <v>232</v>
      </c>
      <c r="M207" s="38" t="s">
        <v>125</v>
      </c>
      <c r="N207" s="39"/>
      <c r="O207" s="40">
        <v>92.39</v>
      </c>
      <c r="P207" s="40">
        <v>0</v>
      </c>
      <c r="Q207" s="40">
        <f t="shared" si="14"/>
        <v>92.39</v>
      </c>
      <c r="R207" s="40">
        <f t="shared" si="14"/>
        <v>0</v>
      </c>
      <c r="S207" s="40">
        <f>ROUND('Смета ЕР (общ) '!$N207*'Смета ЕР (общ) '!$Q207,2)</f>
        <v>0</v>
      </c>
      <c r="T207" s="40">
        <f>ROUND('Смета ЕР (общ) '!$N207*'Смета ЕР (общ) '!$R207,2)</f>
        <v>0</v>
      </c>
    </row>
    <row r="208" spans="1:25" ht="14.4" x14ac:dyDescent="0.3">
      <c r="A208" s="36" t="s">
        <v>129</v>
      </c>
      <c r="B208" s="36">
        <v>8</v>
      </c>
      <c r="C208" s="36"/>
      <c r="D208" s="36">
        <v>3</v>
      </c>
      <c r="E208" s="36" t="str">
        <f>CONCATENATE('Смета ЕР (общ) '!$A208,".",'Смета ЕР (общ) '!$B208,".",'Смета ЕР (общ) '!$D208)</f>
        <v>Р2.8.3</v>
      </c>
      <c r="F208" s="36">
        <f t="shared" si="8"/>
        <v>1</v>
      </c>
      <c r="G208" s="36"/>
      <c r="H208" s="36"/>
      <c r="I208" s="36"/>
      <c r="J208" s="36"/>
      <c r="K208" s="36"/>
      <c r="L208" s="37" t="s">
        <v>233</v>
      </c>
      <c r="M208" s="38" t="s">
        <v>118</v>
      </c>
      <c r="N208" s="39"/>
      <c r="O208" s="40">
        <v>191.4</v>
      </c>
      <c r="P208" s="40">
        <v>0</v>
      </c>
      <c r="Q208" s="40">
        <f t="shared" si="14"/>
        <v>191.4</v>
      </c>
      <c r="R208" s="40">
        <f t="shared" si="14"/>
        <v>0</v>
      </c>
      <c r="S208" s="40">
        <f>ROUND('Смета ЕР (общ) '!$N208*'Смета ЕР (общ) '!$Q208,2)</f>
        <v>0</v>
      </c>
      <c r="T208" s="40">
        <f>ROUND('Смета ЕР (общ) '!$N208*'Смета ЕР (общ) '!$R208,2)</f>
        <v>0</v>
      </c>
    </row>
    <row r="209" spans="1:25" ht="14.4" x14ac:dyDescent="0.3">
      <c r="A209" s="36" t="s">
        <v>129</v>
      </c>
      <c r="B209" s="36">
        <v>8</v>
      </c>
      <c r="C209" s="36"/>
      <c r="D209" s="36">
        <v>4</v>
      </c>
      <c r="E209" s="36" t="str">
        <f>CONCATENATE('Смета ЕР (общ) '!$A209,".",'Смета ЕР (общ) '!$B209,".",'Смета ЕР (общ) '!$D209)</f>
        <v>Р2.8.4</v>
      </c>
      <c r="F209" s="36">
        <f t="shared" ref="F209:F272" si="15">IF(N209&gt;0,F208+1,F208)</f>
        <v>1</v>
      </c>
      <c r="G209" s="36"/>
      <c r="H209" s="36"/>
      <c r="I209" s="36"/>
      <c r="J209" s="36"/>
      <c r="K209" s="36"/>
      <c r="L209" s="37" t="s">
        <v>234</v>
      </c>
      <c r="M209" s="38" t="s">
        <v>118</v>
      </c>
      <c r="N209" s="39"/>
      <c r="O209" s="40">
        <v>431.61</v>
      </c>
      <c r="P209" s="40">
        <v>0</v>
      </c>
      <c r="Q209" s="40">
        <f t="shared" si="14"/>
        <v>431.61</v>
      </c>
      <c r="R209" s="40">
        <f t="shared" si="14"/>
        <v>0</v>
      </c>
      <c r="S209" s="40">
        <f>ROUND('Смета ЕР (общ) '!$N209*'Смета ЕР (общ) '!$Q209,2)</f>
        <v>0</v>
      </c>
      <c r="T209" s="40">
        <f>ROUND('Смета ЕР (общ) '!$N209*'Смета ЕР (общ) '!$R209,2)</f>
        <v>0</v>
      </c>
    </row>
    <row r="210" spans="1:25" ht="14.4" x14ac:dyDescent="0.3">
      <c r="A210" s="36" t="s">
        <v>129</v>
      </c>
      <c r="B210" s="36">
        <v>8</v>
      </c>
      <c r="C210" s="36"/>
      <c r="D210" s="36">
        <v>5</v>
      </c>
      <c r="E210" s="36" t="str">
        <f>CONCATENATE('Смета ЕР (общ) '!$A210,".",'Смета ЕР (общ) '!$B210,".",'Смета ЕР (общ) '!$D210)</f>
        <v>Р2.8.5</v>
      </c>
      <c r="F210" s="36">
        <f t="shared" si="15"/>
        <v>1</v>
      </c>
      <c r="G210" s="36"/>
      <c r="H210" s="36"/>
      <c r="I210" s="36"/>
      <c r="J210" s="36"/>
      <c r="K210" s="36"/>
      <c r="L210" s="37" t="s">
        <v>235</v>
      </c>
      <c r="M210" s="38" t="s">
        <v>118</v>
      </c>
      <c r="N210" s="39"/>
      <c r="O210" s="40">
        <v>2200</v>
      </c>
      <c r="P210" s="40">
        <v>0</v>
      </c>
      <c r="Q210" s="40">
        <f t="shared" si="14"/>
        <v>2200</v>
      </c>
      <c r="R210" s="40">
        <f t="shared" si="14"/>
        <v>0</v>
      </c>
      <c r="S210" s="40">
        <f>ROUND('Смета ЕР (общ) '!$N210*'Смета ЕР (общ) '!$Q210,2)</f>
        <v>0</v>
      </c>
      <c r="T210" s="40">
        <f>ROUND('Смета ЕР (общ) '!$N210*'Смета ЕР (общ) '!$R210,2)</f>
        <v>0</v>
      </c>
    </row>
    <row r="211" spans="1:25" ht="14.4" x14ac:dyDescent="0.3">
      <c r="A211" s="36" t="s">
        <v>129</v>
      </c>
      <c r="B211" s="36">
        <v>8</v>
      </c>
      <c r="C211" s="36"/>
      <c r="D211" s="36">
        <v>6</v>
      </c>
      <c r="E211" s="36" t="str">
        <f>CONCATENATE('Смета ЕР (общ) '!$A211,".",'Смета ЕР (общ) '!$B211,".",'Смета ЕР (общ) '!$D211)</f>
        <v>Р2.8.6</v>
      </c>
      <c r="F211" s="36">
        <f t="shared" si="15"/>
        <v>1</v>
      </c>
      <c r="G211" s="36"/>
      <c r="H211" s="36"/>
      <c r="I211" s="36"/>
      <c r="J211" s="36"/>
      <c r="K211" s="36"/>
      <c r="L211" s="37" t="s">
        <v>236</v>
      </c>
      <c r="M211" s="38" t="s">
        <v>118</v>
      </c>
      <c r="N211" s="39"/>
      <c r="O211" s="40">
        <v>5225</v>
      </c>
      <c r="P211" s="40">
        <v>0</v>
      </c>
      <c r="Q211" s="40">
        <f t="shared" si="14"/>
        <v>5225</v>
      </c>
      <c r="R211" s="40">
        <f t="shared" si="14"/>
        <v>0</v>
      </c>
      <c r="S211" s="40">
        <f>ROUND('Смета ЕР (общ) '!$N211*'Смета ЕР (общ) '!$Q211,2)</f>
        <v>0</v>
      </c>
      <c r="T211" s="40">
        <f>ROUND('Смета ЕР (общ) '!$N211*'Смета ЕР (общ) '!$R211,2)</f>
        <v>0</v>
      </c>
    </row>
    <row r="212" spans="1:25" ht="14.4" x14ac:dyDescent="0.3">
      <c r="A212" s="36" t="s">
        <v>129</v>
      </c>
      <c r="B212" s="36">
        <v>8</v>
      </c>
      <c r="C212" s="36"/>
      <c r="D212" s="36">
        <v>7</v>
      </c>
      <c r="E212" s="36" t="str">
        <f>CONCATENATE('Смета ЕР (общ) '!$A212,".",'Смета ЕР (общ) '!$B212,".",'Смета ЕР (общ) '!$D212)</f>
        <v>Р2.8.7</v>
      </c>
      <c r="F212" s="36">
        <f t="shared" si="15"/>
        <v>1</v>
      </c>
      <c r="G212" s="36"/>
      <c r="H212" s="36"/>
      <c r="I212" s="36"/>
      <c r="J212" s="36"/>
      <c r="K212" s="36"/>
      <c r="L212" s="37" t="s">
        <v>237</v>
      </c>
      <c r="M212" s="38" t="s">
        <v>147</v>
      </c>
      <c r="N212" s="39"/>
      <c r="O212" s="40">
        <v>435.41</v>
      </c>
      <c r="P212" s="40">
        <v>0</v>
      </c>
      <c r="Q212" s="40">
        <f t="shared" si="14"/>
        <v>435.41</v>
      </c>
      <c r="R212" s="40">
        <f t="shared" si="14"/>
        <v>0</v>
      </c>
      <c r="S212" s="40">
        <f>ROUND('Смета ЕР (общ) '!$N212*'Смета ЕР (общ) '!$Q212,2)</f>
        <v>0</v>
      </c>
      <c r="T212" s="40">
        <f>ROUND('Смета ЕР (общ) '!$N212*'Смета ЕР (общ) '!$R212,2)</f>
        <v>0</v>
      </c>
    </row>
    <row r="213" spans="1:25" ht="14.4" x14ac:dyDescent="0.3">
      <c r="A213" s="36" t="s">
        <v>129</v>
      </c>
      <c r="B213" s="36">
        <v>8</v>
      </c>
      <c r="C213" s="36"/>
      <c r="D213" s="36">
        <v>8</v>
      </c>
      <c r="E213" s="36" t="str">
        <f>CONCATENATE('Смета ЕР (общ) '!$A213,".",'Смета ЕР (общ) '!$B213,".",'Смета ЕР (общ) '!$D213)</f>
        <v>Р2.8.8</v>
      </c>
      <c r="F213" s="36">
        <f t="shared" si="15"/>
        <v>1</v>
      </c>
      <c r="G213" s="36"/>
      <c r="H213" s="36"/>
      <c r="I213" s="36"/>
      <c r="J213" s="36"/>
      <c r="K213" s="36"/>
      <c r="L213" s="37" t="s">
        <v>238</v>
      </c>
      <c r="M213" s="38" t="s">
        <v>118</v>
      </c>
      <c r="N213" s="39"/>
      <c r="O213" s="40">
        <v>1045</v>
      </c>
      <c r="P213" s="40">
        <v>0</v>
      </c>
      <c r="Q213" s="40">
        <f t="shared" si="14"/>
        <v>1045</v>
      </c>
      <c r="R213" s="40">
        <f t="shared" si="14"/>
        <v>0</v>
      </c>
      <c r="S213" s="40">
        <f>ROUND('Смета ЕР (общ) '!$N213*'Смета ЕР (общ) '!$Q213,2)</f>
        <v>0</v>
      </c>
      <c r="T213" s="40">
        <f>ROUND('Смета ЕР (общ) '!$N213*'Смета ЕР (общ) '!$R213,2)</f>
        <v>0</v>
      </c>
    </row>
    <row r="214" spans="1:25" ht="14.4" x14ac:dyDescent="0.3">
      <c r="A214" s="36" t="s">
        <v>129</v>
      </c>
      <c r="B214" s="36">
        <v>8</v>
      </c>
      <c r="C214" s="36"/>
      <c r="D214" s="36">
        <v>9</v>
      </c>
      <c r="E214" s="36" t="str">
        <f>CONCATENATE('Смета ЕР (общ) '!$A214,".",'Смета ЕР (общ) '!$B214,".",'Смета ЕР (общ) '!$D214)</f>
        <v>Р2.8.9</v>
      </c>
      <c r="F214" s="36">
        <f t="shared" si="15"/>
        <v>1</v>
      </c>
      <c r="G214" s="36"/>
      <c r="H214" s="36"/>
      <c r="I214" s="36"/>
      <c r="J214" s="36"/>
      <c r="K214" s="36"/>
      <c r="L214" s="37" t="s">
        <v>239</v>
      </c>
      <c r="M214" s="38" t="s">
        <v>147</v>
      </c>
      <c r="N214" s="39"/>
      <c r="O214" s="40">
        <v>255.07</v>
      </c>
      <c r="P214" s="40">
        <v>0</v>
      </c>
      <c r="Q214" s="40">
        <f t="shared" si="14"/>
        <v>255.07</v>
      </c>
      <c r="R214" s="40">
        <f t="shared" si="14"/>
        <v>0</v>
      </c>
      <c r="S214" s="40">
        <f>ROUND('Смета ЕР (общ) '!$N214*'Смета ЕР (общ) '!$Q214,2)</f>
        <v>0</v>
      </c>
      <c r="T214" s="40">
        <f>ROUND('Смета ЕР (общ) '!$N214*'Смета ЕР (общ) '!$R214,2)</f>
        <v>0</v>
      </c>
    </row>
    <row r="215" spans="1:25" ht="14.4" x14ac:dyDescent="0.3">
      <c r="A215" s="48" t="s">
        <v>129</v>
      </c>
      <c r="B215" s="48">
        <v>9</v>
      </c>
      <c r="C215" s="48"/>
      <c r="D215" s="48">
        <v>0</v>
      </c>
      <c r="E215" s="48" t="str">
        <f>CONCATENATE('Смета ЕР (общ) '!$A215,".",'Смета ЕР (общ) '!$B215,".",'Смета ЕР (общ) '!$D215)</f>
        <v>Р2.9.0</v>
      </c>
      <c r="F215" s="48">
        <f t="shared" si="15"/>
        <v>1</v>
      </c>
      <c r="G215" s="48"/>
      <c r="H215" s="48"/>
      <c r="I215" s="48"/>
      <c r="J215" s="48"/>
      <c r="K215" s="48"/>
      <c r="L215" s="49" t="s">
        <v>240</v>
      </c>
      <c r="M215" s="31"/>
      <c r="N215" s="32">
        <f>SUM(N216:N220)</f>
        <v>0</v>
      </c>
      <c r="O215" s="47"/>
      <c r="P215" s="47"/>
      <c r="Q215" s="34"/>
      <c r="R215" s="34"/>
      <c r="S215" s="34">
        <f>SUM(S216:S220)</f>
        <v>0</v>
      </c>
      <c r="T215" s="34">
        <f>SUM(T216:T220)</f>
        <v>0</v>
      </c>
      <c r="Y215">
        <v>0</v>
      </c>
    </row>
    <row r="216" spans="1:25" ht="24" x14ac:dyDescent="0.3">
      <c r="A216" s="36" t="s">
        <v>129</v>
      </c>
      <c r="B216" s="36">
        <v>9</v>
      </c>
      <c r="C216" s="36"/>
      <c r="D216" s="36">
        <v>1</v>
      </c>
      <c r="E216" s="36" t="str">
        <f>CONCATENATE('Смета ЕР (общ) '!$A216,".",'Смета ЕР (общ) '!$B216,".",'Смета ЕР (общ) '!$D216)</f>
        <v>Р2.9.1</v>
      </c>
      <c r="F216" s="36">
        <f t="shared" si="15"/>
        <v>1</v>
      </c>
      <c r="G216" s="36"/>
      <c r="H216" s="36"/>
      <c r="I216" s="36"/>
      <c r="J216" s="36"/>
      <c r="K216" s="36"/>
      <c r="L216" s="37" t="s">
        <v>241</v>
      </c>
      <c r="M216" s="38" t="s">
        <v>125</v>
      </c>
      <c r="N216" s="39"/>
      <c r="O216" s="40">
        <v>197.84</v>
      </c>
      <c r="P216" s="40">
        <v>0</v>
      </c>
      <c r="Q216" s="40">
        <f t="shared" ref="Q216:R220" si="16">ROUND(O216-O216*$V$3,2)</f>
        <v>197.84</v>
      </c>
      <c r="R216" s="40">
        <f t="shared" si="16"/>
        <v>0</v>
      </c>
      <c r="S216" s="40">
        <f>ROUND('Смета ЕР (общ) '!$N216*'Смета ЕР (общ) '!$Q216,2)</f>
        <v>0</v>
      </c>
      <c r="T216" s="40">
        <f>ROUND('Смета ЕР (общ) '!$N216*'Смета ЕР (общ) '!$R216,2)</f>
        <v>0</v>
      </c>
    </row>
    <row r="217" spans="1:25" ht="24" x14ac:dyDescent="0.3">
      <c r="A217" s="36" t="s">
        <v>129</v>
      </c>
      <c r="B217" s="36">
        <v>9</v>
      </c>
      <c r="C217" s="36"/>
      <c r="D217" s="36">
        <v>2</v>
      </c>
      <c r="E217" s="36" t="str">
        <f>CONCATENATE('Смета ЕР (общ) '!$A217,".",'Смета ЕР (общ) '!$B217,".",'Смета ЕР (общ) '!$D217)</f>
        <v>Р2.9.2</v>
      </c>
      <c r="F217" s="36">
        <f t="shared" si="15"/>
        <v>1</v>
      </c>
      <c r="G217" s="36"/>
      <c r="H217" s="36"/>
      <c r="I217" s="36"/>
      <c r="J217" s="36"/>
      <c r="K217" s="36"/>
      <c r="L217" s="37" t="s">
        <v>242</v>
      </c>
      <c r="M217" s="38" t="s">
        <v>118</v>
      </c>
      <c r="N217" s="39"/>
      <c r="O217" s="40">
        <v>2639.67</v>
      </c>
      <c r="P217" s="40">
        <v>0</v>
      </c>
      <c r="Q217" s="40">
        <f t="shared" si="16"/>
        <v>2639.67</v>
      </c>
      <c r="R217" s="40">
        <f t="shared" si="16"/>
        <v>0</v>
      </c>
      <c r="S217" s="40">
        <f>ROUND('Смета ЕР (общ) '!$N217*'Смета ЕР (общ) '!$Q217,2)</f>
        <v>0</v>
      </c>
      <c r="T217" s="40">
        <f>ROUND('Смета ЕР (общ) '!$N217*'Смета ЕР (общ) '!$R217,2)</f>
        <v>0</v>
      </c>
    </row>
    <row r="218" spans="1:25" ht="24" x14ac:dyDescent="0.3">
      <c r="A218" s="36" t="s">
        <v>129</v>
      </c>
      <c r="B218" s="36">
        <v>9</v>
      </c>
      <c r="C218" s="36"/>
      <c r="D218" s="36">
        <v>3</v>
      </c>
      <c r="E218" s="36" t="str">
        <f>CONCATENATE('Смета ЕР (общ) '!$A218,".",'Смета ЕР (общ) '!$B218,".",'Смета ЕР (общ) '!$D218)</f>
        <v>Р2.9.3</v>
      </c>
      <c r="F218" s="36">
        <f t="shared" si="15"/>
        <v>1</v>
      </c>
      <c r="G218" s="36"/>
      <c r="H218" s="36"/>
      <c r="I218" s="36"/>
      <c r="J218" s="36"/>
      <c r="K218" s="36"/>
      <c r="L218" s="37" t="s">
        <v>243</v>
      </c>
      <c r="M218" s="38" t="s">
        <v>118</v>
      </c>
      <c r="N218" s="39"/>
      <c r="O218" s="40">
        <v>7657.74</v>
      </c>
      <c r="P218" s="40">
        <v>0</v>
      </c>
      <c r="Q218" s="40">
        <f t="shared" si="16"/>
        <v>7657.74</v>
      </c>
      <c r="R218" s="40">
        <f t="shared" si="16"/>
        <v>0</v>
      </c>
      <c r="S218" s="40">
        <f>ROUND('Смета ЕР (общ) '!$N218*'Смета ЕР (общ) '!$Q218,2)</f>
        <v>0</v>
      </c>
      <c r="T218" s="40">
        <f>ROUND('Смета ЕР (общ) '!$N218*'Смета ЕР (общ) '!$R218,2)</f>
        <v>0</v>
      </c>
    </row>
    <row r="219" spans="1:25" ht="14.4" x14ac:dyDescent="0.3">
      <c r="A219" s="36" t="s">
        <v>129</v>
      </c>
      <c r="B219" s="36">
        <v>9</v>
      </c>
      <c r="C219" s="36"/>
      <c r="D219" s="36">
        <v>4</v>
      </c>
      <c r="E219" s="36" t="str">
        <f>CONCATENATE('Смета ЕР (общ) '!$A219,".",'Смета ЕР (общ) '!$B219,".",'Смета ЕР (общ) '!$D219)</f>
        <v>Р2.9.4</v>
      </c>
      <c r="F219" s="36">
        <f t="shared" si="15"/>
        <v>1</v>
      </c>
      <c r="G219" s="36"/>
      <c r="H219" s="36"/>
      <c r="I219" s="36"/>
      <c r="J219" s="36"/>
      <c r="K219" s="36"/>
      <c r="L219" s="37" t="s">
        <v>244</v>
      </c>
      <c r="M219" s="38" t="s">
        <v>118</v>
      </c>
      <c r="N219" s="39"/>
      <c r="O219" s="40">
        <v>27311.040000000001</v>
      </c>
      <c r="P219" s="40">
        <v>0</v>
      </c>
      <c r="Q219" s="40">
        <f t="shared" si="16"/>
        <v>27311.040000000001</v>
      </c>
      <c r="R219" s="40">
        <f t="shared" si="16"/>
        <v>0</v>
      </c>
      <c r="S219" s="40">
        <f>ROUND('Смета ЕР (общ) '!$N219*'Смета ЕР (общ) '!$Q219,2)</f>
        <v>0</v>
      </c>
      <c r="T219" s="40">
        <f>ROUND('Смета ЕР (общ) '!$N219*'Смета ЕР (общ) '!$R219,2)</f>
        <v>0</v>
      </c>
    </row>
    <row r="220" spans="1:25" ht="14.4" x14ac:dyDescent="0.3">
      <c r="A220" s="36" t="s">
        <v>129</v>
      </c>
      <c r="B220" s="36">
        <v>9</v>
      </c>
      <c r="C220" s="36"/>
      <c r="D220" s="36">
        <v>5</v>
      </c>
      <c r="E220" s="36" t="str">
        <f>CONCATENATE('Смета ЕР (общ) '!$A220,".",'Смета ЕР (общ) '!$B220,".",'Смета ЕР (общ) '!$D220)</f>
        <v>Р2.9.5</v>
      </c>
      <c r="F220" s="36">
        <f t="shared" si="15"/>
        <v>1</v>
      </c>
      <c r="G220" s="36"/>
      <c r="H220" s="36"/>
      <c r="I220" s="36"/>
      <c r="J220" s="36"/>
      <c r="K220" s="36"/>
      <c r="L220" s="37" t="s">
        <v>245</v>
      </c>
      <c r="M220" s="38" t="s">
        <v>118</v>
      </c>
      <c r="N220" s="39"/>
      <c r="O220" s="40">
        <v>39400.559999999998</v>
      </c>
      <c r="P220" s="40">
        <v>0</v>
      </c>
      <c r="Q220" s="40">
        <f t="shared" si="16"/>
        <v>39400.559999999998</v>
      </c>
      <c r="R220" s="40">
        <f t="shared" si="16"/>
        <v>0</v>
      </c>
      <c r="S220" s="40">
        <f>ROUND('Смета ЕР (общ) '!$N220*'Смета ЕР (общ) '!$Q220,2)</f>
        <v>0</v>
      </c>
      <c r="T220" s="40">
        <f>ROUND('Смета ЕР (общ) '!$N220*'Смета ЕР (общ) '!$R220,2)</f>
        <v>0</v>
      </c>
    </row>
    <row r="221" spans="1:25" ht="14.4" x14ac:dyDescent="0.3">
      <c r="A221" s="48" t="s">
        <v>129</v>
      </c>
      <c r="B221" s="48">
        <v>10</v>
      </c>
      <c r="C221" s="48"/>
      <c r="D221" s="48">
        <v>0</v>
      </c>
      <c r="E221" s="48" t="str">
        <f>CONCATENATE('Смета ЕР (общ) '!$A221,".",'Смета ЕР (общ) '!$B221,".",'Смета ЕР (общ) '!$D221)</f>
        <v>Р2.10.0</v>
      </c>
      <c r="F221" s="48">
        <f t="shared" si="15"/>
        <v>1</v>
      </c>
      <c r="G221" s="48"/>
      <c r="H221" s="48"/>
      <c r="I221" s="48"/>
      <c r="J221" s="48"/>
      <c r="K221" s="48"/>
      <c r="L221" s="49" t="s">
        <v>246</v>
      </c>
      <c r="M221" s="31"/>
      <c r="N221" s="32">
        <f>SUM(N222:N233)</f>
        <v>0</v>
      </c>
      <c r="O221" s="47"/>
      <c r="P221" s="47"/>
      <c r="Q221" s="34"/>
      <c r="R221" s="34"/>
      <c r="S221" s="34">
        <f>SUM(S222:S234)</f>
        <v>0</v>
      </c>
      <c r="T221" s="34">
        <f>SUM(T222:T234)</f>
        <v>0</v>
      </c>
      <c r="Y221">
        <v>0</v>
      </c>
    </row>
    <row r="222" spans="1:25" ht="14.4" x14ac:dyDescent="0.3">
      <c r="A222" s="36" t="s">
        <v>129</v>
      </c>
      <c r="B222" s="36">
        <v>10</v>
      </c>
      <c r="C222" s="36"/>
      <c r="D222" s="36">
        <v>1</v>
      </c>
      <c r="E222" s="36" t="str">
        <f>CONCATENATE('Смета ЕР (общ) '!$A222,".",'Смета ЕР (общ) '!$B222,".",'Смета ЕР (общ) '!$D222)</f>
        <v>Р2.10.1</v>
      </c>
      <c r="F222" s="36">
        <f t="shared" si="15"/>
        <v>1</v>
      </c>
      <c r="G222" s="36"/>
      <c r="H222" s="36"/>
      <c r="I222" s="36"/>
      <c r="J222" s="36"/>
      <c r="K222" s="36"/>
      <c r="L222" s="37" t="s">
        <v>247</v>
      </c>
      <c r="M222" s="38" t="s">
        <v>118</v>
      </c>
      <c r="N222" s="39"/>
      <c r="O222" s="40">
        <v>783</v>
      </c>
      <c r="P222" s="40">
        <v>0</v>
      </c>
      <c r="Q222" s="40">
        <f t="shared" ref="Q222:R234" si="17">ROUND(O222-O222*$V$3,2)</f>
        <v>783</v>
      </c>
      <c r="R222" s="40">
        <f t="shared" si="17"/>
        <v>0</v>
      </c>
      <c r="S222" s="40">
        <f>ROUND('Смета ЕР (общ) '!$N222*'Смета ЕР (общ) '!$Q222,2)</f>
        <v>0</v>
      </c>
      <c r="T222" s="40">
        <f>ROUND('Смета ЕР (общ) '!$N222*'Смета ЕР (общ) '!$R222,2)</f>
        <v>0</v>
      </c>
    </row>
    <row r="223" spans="1:25" ht="14.4" x14ac:dyDescent="0.3">
      <c r="A223" s="36" t="s">
        <v>129</v>
      </c>
      <c r="B223" s="36">
        <v>10</v>
      </c>
      <c r="C223" s="36"/>
      <c r="D223" s="36">
        <v>2</v>
      </c>
      <c r="E223" s="36" t="str">
        <f>CONCATENATE('Смета ЕР (общ) '!$A223,".",'Смета ЕР (общ) '!$B223,".",'Смета ЕР (общ) '!$D223)</f>
        <v>Р2.10.2</v>
      </c>
      <c r="F223" s="36">
        <f t="shared" si="15"/>
        <v>1</v>
      </c>
      <c r="G223" s="36"/>
      <c r="H223" s="36"/>
      <c r="I223" s="36"/>
      <c r="J223" s="36"/>
      <c r="K223" s="36"/>
      <c r="L223" s="53" t="s">
        <v>248</v>
      </c>
      <c r="M223" s="38" t="s">
        <v>118</v>
      </c>
      <c r="N223" s="39"/>
      <c r="O223" s="40">
        <v>689.04</v>
      </c>
      <c r="P223" s="40">
        <v>0</v>
      </c>
      <c r="Q223" s="40">
        <f t="shared" si="17"/>
        <v>689.04</v>
      </c>
      <c r="R223" s="40">
        <f t="shared" si="17"/>
        <v>0</v>
      </c>
      <c r="S223" s="40">
        <f>ROUND('Смета ЕР (общ) '!$N223*'Смета ЕР (общ) '!$Q223,2)</f>
        <v>0</v>
      </c>
      <c r="T223" s="40">
        <f>ROUND('Смета ЕР (общ) '!$N223*'Смета ЕР (общ) '!$R223,2)</f>
        <v>0</v>
      </c>
    </row>
    <row r="224" spans="1:25" ht="14.4" x14ac:dyDescent="0.3">
      <c r="A224" s="36" t="s">
        <v>129</v>
      </c>
      <c r="B224" s="36">
        <v>10</v>
      </c>
      <c r="C224" s="36"/>
      <c r="D224" s="36">
        <v>3</v>
      </c>
      <c r="E224" s="36" t="str">
        <f>CONCATENATE('Смета ЕР (общ) '!$A224,".",'Смета ЕР (общ) '!$B224,".",'Смета ЕР (общ) '!$D224)</f>
        <v>Р2.10.3</v>
      </c>
      <c r="F224" s="36">
        <f t="shared" si="15"/>
        <v>1</v>
      </c>
      <c r="G224" s="36"/>
      <c r="H224" s="36"/>
      <c r="I224" s="36"/>
      <c r="J224" s="36"/>
      <c r="K224" s="36"/>
      <c r="L224" s="37" t="s">
        <v>249</v>
      </c>
      <c r="M224" s="38" t="s">
        <v>64</v>
      </c>
      <c r="N224" s="39"/>
      <c r="O224" s="40">
        <v>330</v>
      </c>
      <c r="P224" s="40">
        <v>0</v>
      </c>
      <c r="Q224" s="40">
        <f t="shared" si="17"/>
        <v>330</v>
      </c>
      <c r="R224" s="40">
        <f t="shared" si="17"/>
        <v>0</v>
      </c>
      <c r="S224" s="40">
        <f>ROUND('Смета ЕР (общ) '!$N224*'Смета ЕР (общ) '!$Q224,2)</f>
        <v>0</v>
      </c>
      <c r="T224" s="40">
        <f>ROUND('Смета ЕР (общ) '!$N224*'Смета ЕР (общ) '!$R224,2)</f>
        <v>0</v>
      </c>
    </row>
    <row r="225" spans="1:25" ht="14.4" x14ac:dyDescent="0.3">
      <c r="A225" s="36" t="s">
        <v>129</v>
      </c>
      <c r="B225" s="36">
        <v>10</v>
      </c>
      <c r="C225" s="36"/>
      <c r="D225" s="36">
        <v>4</v>
      </c>
      <c r="E225" s="36" t="str">
        <f>CONCATENATE('Смета ЕР (общ) '!$A225,".",'Смета ЕР (общ) '!$B225,".",'Смета ЕР (общ) '!$D225)</f>
        <v>Р2.10.4</v>
      </c>
      <c r="F225" s="36">
        <f t="shared" si="15"/>
        <v>1</v>
      </c>
      <c r="G225" s="36"/>
      <c r="H225" s="36"/>
      <c r="I225" s="36"/>
      <c r="J225" s="36"/>
      <c r="K225" s="36"/>
      <c r="L225" s="37" t="s">
        <v>250</v>
      </c>
      <c r="M225" s="38" t="s">
        <v>118</v>
      </c>
      <c r="N225" s="39"/>
      <c r="O225" s="40">
        <v>2612.5</v>
      </c>
      <c r="P225" s="40">
        <v>0</v>
      </c>
      <c r="Q225" s="40">
        <f t="shared" si="17"/>
        <v>2612.5</v>
      </c>
      <c r="R225" s="40">
        <f t="shared" si="17"/>
        <v>0</v>
      </c>
      <c r="S225" s="40">
        <f>ROUND('Смета ЕР (общ) '!$N225*'Смета ЕР (общ) '!$Q225,2)</f>
        <v>0</v>
      </c>
      <c r="T225" s="40">
        <f>ROUND('Смета ЕР (общ) '!$N225*'Смета ЕР (общ) '!$R225,2)</f>
        <v>0</v>
      </c>
    </row>
    <row r="226" spans="1:25" ht="14.4" x14ac:dyDescent="0.3">
      <c r="A226" s="36" t="s">
        <v>129</v>
      </c>
      <c r="B226" s="36">
        <v>10</v>
      </c>
      <c r="C226" s="36"/>
      <c r="D226" s="36">
        <v>5</v>
      </c>
      <c r="E226" s="36" t="str">
        <f>CONCATENATE('Смета ЕР (общ) '!$A226,".",'Смета ЕР (общ) '!$B226,".",'Смета ЕР (общ) '!$D226)</f>
        <v>Р2.10.5</v>
      </c>
      <c r="F226" s="36">
        <f t="shared" si="15"/>
        <v>1</v>
      </c>
      <c r="G226" s="36"/>
      <c r="H226" s="36"/>
      <c r="I226" s="36"/>
      <c r="J226" s="36"/>
      <c r="K226" s="36"/>
      <c r="L226" s="37" t="s">
        <v>251</v>
      </c>
      <c r="M226" s="38" t="s">
        <v>118</v>
      </c>
      <c r="N226" s="39"/>
      <c r="O226" s="40">
        <v>1212.71</v>
      </c>
      <c r="P226" s="40">
        <v>0</v>
      </c>
      <c r="Q226" s="40">
        <f t="shared" si="17"/>
        <v>1212.71</v>
      </c>
      <c r="R226" s="40">
        <f t="shared" si="17"/>
        <v>0</v>
      </c>
      <c r="S226" s="40">
        <f>ROUND('Смета ЕР (общ) '!$N226*'Смета ЕР (общ) '!$Q226,2)</f>
        <v>0</v>
      </c>
      <c r="T226" s="40">
        <f>ROUND('Смета ЕР (общ) '!$N226*'Смета ЕР (общ) '!$R226,2)</f>
        <v>0</v>
      </c>
    </row>
    <row r="227" spans="1:25" ht="14.4" x14ac:dyDescent="0.3">
      <c r="A227" s="36" t="s">
        <v>129</v>
      </c>
      <c r="B227" s="36">
        <v>10</v>
      </c>
      <c r="C227" s="36"/>
      <c r="D227" s="36">
        <v>6</v>
      </c>
      <c r="E227" s="36" t="str">
        <f>CONCATENATE('Смета ЕР (общ) '!$A227,".",'Смета ЕР (общ) '!$B227,".",'Смета ЕР (общ) '!$D227)</f>
        <v>Р2.10.6</v>
      </c>
      <c r="F227" s="36">
        <f t="shared" si="15"/>
        <v>1</v>
      </c>
      <c r="G227" s="36"/>
      <c r="H227" s="36"/>
      <c r="I227" s="36"/>
      <c r="J227" s="36"/>
      <c r="K227" s="36"/>
      <c r="L227" s="37" t="s">
        <v>252</v>
      </c>
      <c r="M227" s="38" t="s">
        <v>147</v>
      </c>
      <c r="N227" s="39"/>
      <c r="O227" s="40">
        <v>128.15</v>
      </c>
      <c r="P227" s="40">
        <v>0</v>
      </c>
      <c r="Q227" s="40">
        <f t="shared" si="17"/>
        <v>128.15</v>
      </c>
      <c r="R227" s="40">
        <f t="shared" si="17"/>
        <v>0</v>
      </c>
      <c r="S227" s="40">
        <f>ROUND('Смета ЕР (общ) '!$N227*'Смета ЕР (общ) '!$Q227,2)</f>
        <v>0</v>
      </c>
      <c r="T227" s="40">
        <f>ROUND('Смета ЕР (общ) '!$N227*'Смета ЕР (общ) '!$R227,2)</f>
        <v>0</v>
      </c>
    </row>
    <row r="228" spans="1:25" ht="14.4" x14ac:dyDescent="0.3">
      <c r="A228" s="36" t="s">
        <v>129</v>
      </c>
      <c r="B228" s="36">
        <v>10</v>
      </c>
      <c r="C228" s="36"/>
      <c r="D228" s="36">
        <v>7</v>
      </c>
      <c r="E228" s="36" t="str">
        <f>CONCATENATE('Смета ЕР (общ) '!$A228,".",'Смета ЕР (общ) '!$B228,".",'Смета ЕР (общ) '!$D228)</f>
        <v>Р2.10.7</v>
      </c>
      <c r="F228" s="36">
        <f t="shared" si="15"/>
        <v>1</v>
      </c>
      <c r="G228" s="36"/>
      <c r="H228" s="36"/>
      <c r="I228" s="36"/>
      <c r="J228" s="36"/>
      <c r="K228" s="36"/>
      <c r="L228" s="37" t="s">
        <v>253</v>
      </c>
      <c r="M228" s="38" t="s">
        <v>147</v>
      </c>
      <c r="N228" s="39"/>
      <c r="O228" s="40">
        <v>178.94</v>
      </c>
      <c r="P228" s="40">
        <v>0</v>
      </c>
      <c r="Q228" s="40">
        <f t="shared" si="17"/>
        <v>178.94</v>
      </c>
      <c r="R228" s="40">
        <f t="shared" si="17"/>
        <v>0</v>
      </c>
      <c r="S228" s="40">
        <f>ROUND('Смета ЕР (общ) '!$N228*'Смета ЕР (общ) '!$Q228,2)</f>
        <v>0</v>
      </c>
      <c r="T228" s="40">
        <f>ROUND('Смета ЕР (общ) '!$N228*'Смета ЕР (общ) '!$R228,2)</f>
        <v>0</v>
      </c>
    </row>
    <row r="229" spans="1:25" ht="14.4" x14ac:dyDescent="0.3">
      <c r="A229" s="36" t="s">
        <v>129</v>
      </c>
      <c r="B229" s="36">
        <v>10</v>
      </c>
      <c r="C229" s="36"/>
      <c r="D229" s="36">
        <v>8</v>
      </c>
      <c r="E229" s="36" t="str">
        <f>CONCATENATE('Смета ЕР (общ) '!$A229,".",'Смета ЕР (общ) '!$B229,".",'Смета ЕР (общ) '!$D229)</f>
        <v>Р2.10.8</v>
      </c>
      <c r="F229" s="36">
        <f t="shared" si="15"/>
        <v>1</v>
      </c>
      <c r="G229" s="36"/>
      <c r="H229" s="36"/>
      <c r="I229" s="36"/>
      <c r="J229" s="36"/>
      <c r="K229" s="36"/>
      <c r="L229" s="37" t="s">
        <v>254</v>
      </c>
      <c r="M229" s="38" t="s">
        <v>147</v>
      </c>
      <c r="N229" s="39"/>
      <c r="O229" s="40">
        <v>183.45</v>
      </c>
      <c r="P229" s="40">
        <v>0</v>
      </c>
      <c r="Q229" s="40">
        <f t="shared" si="17"/>
        <v>183.45</v>
      </c>
      <c r="R229" s="40">
        <f t="shared" si="17"/>
        <v>0</v>
      </c>
      <c r="S229" s="40">
        <f>ROUND('Смета ЕР (общ) '!$N229*'Смета ЕР (общ) '!$Q229,2)</f>
        <v>0</v>
      </c>
      <c r="T229" s="40">
        <f>ROUND('Смета ЕР (общ) '!$N229*'Смета ЕР (общ) '!$R229,2)</f>
        <v>0</v>
      </c>
    </row>
    <row r="230" spans="1:25" ht="14.4" x14ac:dyDescent="0.3">
      <c r="A230" s="36" t="s">
        <v>129</v>
      </c>
      <c r="B230" s="36">
        <v>10</v>
      </c>
      <c r="C230" s="36"/>
      <c r="D230" s="36">
        <v>10</v>
      </c>
      <c r="E230" s="36" t="str">
        <f>CONCATENATE('Смета ЕР (общ) '!$A230,".",'Смета ЕР (общ) '!$B230,".",'Смета ЕР (общ) '!$D230)</f>
        <v>Р2.10.10</v>
      </c>
      <c r="F230" s="36">
        <f t="shared" si="15"/>
        <v>1</v>
      </c>
      <c r="G230" s="36"/>
      <c r="H230" s="36"/>
      <c r="I230" s="36"/>
      <c r="J230" s="36"/>
      <c r="K230" s="36"/>
      <c r="L230" s="37" t="s">
        <v>255</v>
      </c>
      <c r="M230" s="38" t="s">
        <v>118</v>
      </c>
      <c r="N230" s="39"/>
      <c r="O230" s="40">
        <v>720.26</v>
      </c>
      <c r="P230" s="40">
        <v>0</v>
      </c>
      <c r="Q230" s="40">
        <f t="shared" si="17"/>
        <v>720.26</v>
      </c>
      <c r="R230" s="40">
        <f t="shared" si="17"/>
        <v>0</v>
      </c>
      <c r="S230" s="40">
        <f>ROUND('Смета ЕР (общ) '!$N230*'Смета ЕР (общ) '!$Q230,2)</f>
        <v>0</v>
      </c>
      <c r="T230" s="40">
        <f>ROUND('Смета ЕР (общ) '!$N230*'Смета ЕР (общ) '!$R230,2)</f>
        <v>0</v>
      </c>
    </row>
    <row r="231" spans="1:25" ht="14.4" x14ac:dyDescent="0.3">
      <c r="A231" s="36" t="s">
        <v>129</v>
      </c>
      <c r="B231" s="36">
        <v>10</v>
      </c>
      <c r="C231" s="36"/>
      <c r="D231" s="36">
        <v>9</v>
      </c>
      <c r="E231" s="36" t="str">
        <f>CONCATENATE('Смета ЕР (общ) '!$A231,".",'Смета ЕР (общ) '!$B231,".",'Смета ЕР (общ) '!$D231)</f>
        <v>Р2.10.9</v>
      </c>
      <c r="F231" s="36">
        <f t="shared" si="15"/>
        <v>1</v>
      </c>
      <c r="G231" s="36"/>
      <c r="H231" s="36"/>
      <c r="I231" s="36"/>
      <c r="J231" s="36"/>
      <c r="K231" s="36"/>
      <c r="L231" s="37" t="s">
        <v>256</v>
      </c>
      <c r="M231" s="38" t="s">
        <v>118</v>
      </c>
      <c r="N231" s="39"/>
      <c r="O231" s="40">
        <v>313.5</v>
      </c>
      <c r="P231" s="40">
        <v>0</v>
      </c>
      <c r="Q231" s="40">
        <f t="shared" si="17"/>
        <v>313.5</v>
      </c>
      <c r="R231" s="40">
        <f t="shared" si="17"/>
        <v>0</v>
      </c>
      <c r="S231" s="40">
        <f>ROUND('Смета ЕР (общ) '!$N231*'Смета ЕР (общ) '!$Q231,2)</f>
        <v>0</v>
      </c>
      <c r="T231" s="40">
        <f>ROUND('Смета ЕР (общ) '!$N231*'Смета ЕР (общ) '!$R231,2)</f>
        <v>0</v>
      </c>
    </row>
    <row r="232" spans="1:25" ht="14.4" x14ac:dyDescent="0.3">
      <c r="A232" s="36" t="s">
        <v>129</v>
      </c>
      <c r="B232" s="36">
        <v>10</v>
      </c>
      <c r="C232" s="36"/>
      <c r="D232" s="36">
        <v>11</v>
      </c>
      <c r="E232" s="36" t="str">
        <f>CONCATENATE('Смета ЕР (общ) '!$A232,".",'Смета ЕР (общ) '!$B232,".",'Смета ЕР (общ) '!$D232)</f>
        <v>Р2.10.11</v>
      </c>
      <c r="F232" s="36">
        <f t="shared" si="15"/>
        <v>1</v>
      </c>
      <c r="G232" s="36"/>
      <c r="H232" s="36"/>
      <c r="I232" s="36"/>
      <c r="J232" s="36"/>
      <c r="K232" s="36"/>
      <c r="L232" s="37" t="s">
        <v>257</v>
      </c>
      <c r="M232" s="38" t="s">
        <v>118</v>
      </c>
      <c r="N232" s="39"/>
      <c r="O232" s="40">
        <v>1492.92</v>
      </c>
      <c r="P232" s="40">
        <v>0</v>
      </c>
      <c r="Q232" s="40">
        <f t="shared" si="17"/>
        <v>1492.92</v>
      </c>
      <c r="R232" s="40">
        <f t="shared" si="17"/>
        <v>0</v>
      </c>
      <c r="S232" s="40">
        <f>ROUND('Смета ЕР (общ) '!$N232*'Смета ЕР (общ) '!$Q232,2)</f>
        <v>0</v>
      </c>
      <c r="T232" s="40">
        <f>ROUND('Смета ЕР (общ) '!$N232*'Смета ЕР (общ) '!$R232,2)</f>
        <v>0</v>
      </c>
    </row>
    <row r="233" spans="1:25" ht="14.4" x14ac:dyDescent="0.3">
      <c r="A233" s="36" t="s">
        <v>129</v>
      </c>
      <c r="B233" s="36">
        <v>10</v>
      </c>
      <c r="C233" s="36"/>
      <c r="D233" s="36">
        <v>12</v>
      </c>
      <c r="E233" s="36" t="str">
        <f>CONCATENATE('Смета ЕР (общ) '!$A233,".",'Смета ЕР (общ) '!$B233,".",'Смета ЕР (общ) '!$D233)</f>
        <v>Р2.10.12</v>
      </c>
      <c r="F233" s="36">
        <f t="shared" si="15"/>
        <v>1</v>
      </c>
      <c r="G233" s="36"/>
      <c r="H233" s="36"/>
      <c r="I233" s="36"/>
      <c r="J233" s="36"/>
      <c r="K233" s="36"/>
      <c r="L233" s="37" t="s">
        <v>258</v>
      </c>
      <c r="M233" s="38" t="s">
        <v>118</v>
      </c>
      <c r="N233" s="39"/>
      <c r="O233" s="40">
        <v>463.67</v>
      </c>
      <c r="P233" s="40">
        <v>0</v>
      </c>
      <c r="Q233" s="40">
        <f t="shared" si="17"/>
        <v>463.67</v>
      </c>
      <c r="R233" s="40">
        <f t="shared" si="17"/>
        <v>0</v>
      </c>
      <c r="S233" s="40">
        <f>ROUND('Смета ЕР (общ) '!$N233*'Смета ЕР (общ) '!$Q233,2)</f>
        <v>0</v>
      </c>
      <c r="T233" s="40">
        <f>ROUND('Смета ЕР (общ) '!$N233*'Смета ЕР (общ) '!$R233,2)</f>
        <v>0</v>
      </c>
    </row>
    <row r="234" spans="1:25" ht="14.4" x14ac:dyDescent="0.3">
      <c r="A234" s="36" t="s">
        <v>129</v>
      </c>
      <c r="B234" s="36">
        <v>10</v>
      </c>
      <c r="C234" s="36"/>
      <c r="D234" s="36">
        <v>13</v>
      </c>
      <c r="E234" s="36" t="str">
        <f>CONCATENATE('Смета ЕР (общ) '!$A234,".",'Смета ЕР (общ) '!$B234,".",'Смета ЕР (общ) '!$D234)</f>
        <v>Р2.10.13</v>
      </c>
      <c r="F234" s="36">
        <f t="shared" si="15"/>
        <v>1</v>
      </c>
      <c r="G234" s="36"/>
      <c r="H234" s="36"/>
      <c r="I234" s="36"/>
      <c r="J234" s="36"/>
      <c r="K234" s="36"/>
      <c r="L234" s="37" t="s">
        <v>259</v>
      </c>
      <c r="M234" s="38" t="s">
        <v>118</v>
      </c>
      <c r="N234" s="39"/>
      <c r="O234" s="40">
        <v>2592.6</v>
      </c>
      <c r="P234" s="40">
        <v>0</v>
      </c>
      <c r="Q234" s="40">
        <f t="shared" si="17"/>
        <v>2592.6</v>
      </c>
      <c r="R234" s="40">
        <f t="shared" si="17"/>
        <v>0</v>
      </c>
      <c r="S234" s="40">
        <f>ROUND('Смета ЕР (общ) '!$N234*'Смета ЕР (общ) '!$Q234,2)</f>
        <v>0</v>
      </c>
      <c r="T234" s="40">
        <f>ROUND('Смета ЕР (общ) '!$N234*'Смета ЕР (общ) '!$R234,2)</f>
        <v>0</v>
      </c>
    </row>
    <row r="235" spans="1:25" ht="30.75" customHeight="1" x14ac:dyDescent="0.3">
      <c r="A235" s="48" t="s">
        <v>129</v>
      </c>
      <c r="B235" s="48">
        <v>11</v>
      </c>
      <c r="C235" s="48"/>
      <c r="D235" s="48">
        <v>0</v>
      </c>
      <c r="E235" s="48" t="str">
        <f>CONCATENATE('Смета ЕР (общ) '!$A235,".",'Смета ЕР (общ) '!$B235,".",'Смета ЕР (общ) '!$D235)</f>
        <v>Р2.11.0</v>
      </c>
      <c r="F235" s="48">
        <f t="shared" si="15"/>
        <v>1</v>
      </c>
      <c r="G235" s="48"/>
      <c r="H235" s="48"/>
      <c r="I235" s="48"/>
      <c r="J235" s="48"/>
      <c r="K235" s="48"/>
      <c r="L235" s="49" t="s">
        <v>260</v>
      </c>
      <c r="M235" s="31"/>
      <c r="N235" s="32">
        <f>SUM(N236:N243)</f>
        <v>0</v>
      </c>
      <c r="O235" s="47"/>
      <c r="P235" s="47"/>
      <c r="Q235" s="34"/>
      <c r="R235" s="34"/>
      <c r="S235" s="34">
        <f>SUM(S236:S243)</f>
        <v>0</v>
      </c>
      <c r="T235" s="34">
        <f>SUM(T236:T243)</f>
        <v>0</v>
      </c>
      <c r="Y235">
        <v>668</v>
      </c>
    </row>
    <row r="236" spans="1:25" ht="14.4" x14ac:dyDescent="0.3">
      <c r="A236" s="36" t="s">
        <v>129</v>
      </c>
      <c r="B236" s="36">
        <v>11</v>
      </c>
      <c r="C236" s="36"/>
      <c r="D236" s="36">
        <v>1</v>
      </c>
      <c r="E236" s="36" t="str">
        <f>CONCATENATE('Смета ЕР (общ) '!$A236,".",'Смета ЕР (общ) '!$B236,".",'Смета ЕР (общ) '!$D236)</f>
        <v>Р2.11.1</v>
      </c>
      <c r="F236" s="36">
        <f t="shared" si="15"/>
        <v>1</v>
      </c>
      <c r="G236" s="36"/>
      <c r="H236" s="36"/>
      <c r="I236" s="36"/>
      <c r="J236" s="36"/>
      <c r="K236" s="36"/>
      <c r="L236" s="37" t="s">
        <v>261</v>
      </c>
      <c r="M236" s="38" t="s">
        <v>118</v>
      </c>
      <c r="N236" s="39"/>
      <c r="O236" s="40">
        <v>13200</v>
      </c>
      <c r="P236" s="40">
        <v>0</v>
      </c>
      <c r="Q236" s="40">
        <f t="shared" ref="Q236:R243" si="18">ROUND(O236-O236*$V$3,2)</f>
        <v>13200</v>
      </c>
      <c r="R236" s="40">
        <f t="shared" si="18"/>
        <v>0</v>
      </c>
      <c r="S236" s="40">
        <f>ROUND('Смета ЕР (общ) '!$N236*'Смета ЕР (общ) '!$Q236,2)</f>
        <v>0</v>
      </c>
      <c r="T236" s="40">
        <f>ROUND('Смета ЕР (общ) '!$N236*'Смета ЕР (общ) '!$R236,2)</f>
        <v>0</v>
      </c>
      <c r="Y236">
        <v>26</v>
      </c>
    </row>
    <row r="237" spans="1:25" ht="14.4" x14ac:dyDescent="0.3">
      <c r="A237" s="36" t="s">
        <v>129</v>
      </c>
      <c r="B237" s="36">
        <v>11</v>
      </c>
      <c r="C237" s="36"/>
      <c r="D237" s="36">
        <v>13</v>
      </c>
      <c r="E237" s="36" t="str">
        <f>CONCATENATE('Смета ЕР (общ) '!$A237,".",'Смета ЕР (общ) '!$B237,".",'Смета ЕР (общ) '!$D237)</f>
        <v>Р2.11.13</v>
      </c>
      <c r="F237" s="36">
        <f t="shared" si="15"/>
        <v>1</v>
      </c>
      <c r="G237" s="36"/>
      <c r="H237" s="36"/>
      <c r="I237" s="36"/>
      <c r="J237" s="36"/>
      <c r="K237" s="36"/>
      <c r="L237" s="37" t="s">
        <v>262</v>
      </c>
      <c r="M237" s="38" t="s">
        <v>118</v>
      </c>
      <c r="N237" s="39"/>
      <c r="O237" s="40">
        <v>32447.25</v>
      </c>
      <c r="P237" s="40">
        <v>0</v>
      </c>
      <c r="Q237" s="40">
        <f t="shared" si="18"/>
        <v>32447.25</v>
      </c>
      <c r="R237" s="40">
        <f t="shared" si="18"/>
        <v>0</v>
      </c>
      <c r="S237" s="40">
        <f>ROUND('Смета ЕР (общ) '!$N237*'Смета ЕР (общ) '!$Q237,2)</f>
        <v>0</v>
      </c>
      <c r="T237" s="40">
        <f>ROUND('Смета ЕР (общ) '!$N237*'Смета ЕР (общ) '!$R237,2)</f>
        <v>0</v>
      </c>
    </row>
    <row r="238" spans="1:25" ht="14.4" x14ac:dyDescent="0.3">
      <c r="A238" s="36" t="s">
        <v>129</v>
      </c>
      <c r="B238" s="36">
        <v>11</v>
      </c>
      <c r="C238" s="36"/>
      <c r="D238" s="36">
        <v>10</v>
      </c>
      <c r="E238" s="36" t="str">
        <f>CONCATENATE('Смета ЕР (общ) '!$A238,".",'Смета ЕР (общ) '!$B238,".",'Смета ЕР (общ) '!$D238)</f>
        <v>Р2.11.10</v>
      </c>
      <c r="F238" s="36">
        <f t="shared" si="15"/>
        <v>1</v>
      </c>
      <c r="G238" s="36"/>
      <c r="H238" s="36"/>
      <c r="I238" s="36"/>
      <c r="J238" s="36"/>
      <c r="K238" s="36"/>
      <c r="L238" s="37" t="s">
        <v>263</v>
      </c>
      <c r="M238" s="38" t="s">
        <v>118</v>
      </c>
      <c r="N238" s="39"/>
      <c r="O238" s="40">
        <v>28842</v>
      </c>
      <c r="P238" s="40">
        <v>0</v>
      </c>
      <c r="Q238" s="40">
        <f t="shared" si="18"/>
        <v>28842</v>
      </c>
      <c r="R238" s="40">
        <f t="shared" si="18"/>
        <v>0</v>
      </c>
      <c r="S238" s="40">
        <f>ROUND('Смета ЕР (общ) '!$N238*'Смета ЕР (общ) '!$Q238,2)</f>
        <v>0</v>
      </c>
      <c r="T238" s="40">
        <f>ROUND('Смета ЕР (общ) '!$N238*'Смета ЕР (общ) '!$R238,2)</f>
        <v>0</v>
      </c>
    </row>
    <row r="239" spans="1:25" ht="14.4" x14ac:dyDescent="0.3">
      <c r="A239" s="36" t="s">
        <v>129</v>
      </c>
      <c r="B239" s="36">
        <v>11</v>
      </c>
      <c r="C239" s="36"/>
      <c r="D239" s="36">
        <v>8</v>
      </c>
      <c r="E239" s="36" t="str">
        <f>CONCATENATE('Смета ЕР (общ) '!$A239,".",'Смета ЕР (общ) '!$B239,".",'Смета ЕР (общ) '!$D239)</f>
        <v>Р2.11.8</v>
      </c>
      <c r="F239" s="36">
        <f t="shared" si="15"/>
        <v>1</v>
      </c>
      <c r="G239" s="36"/>
      <c r="H239" s="36"/>
      <c r="I239" s="36"/>
      <c r="J239" s="36"/>
      <c r="K239" s="36"/>
      <c r="L239" s="37" t="s">
        <v>264</v>
      </c>
      <c r="M239" s="38" t="s">
        <v>118</v>
      </c>
      <c r="N239" s="39"/>
      <c r="O239" s="40">
        <v>24795</v>
      </c>
      <c r="P239" s="40">
        <v>0</v>
      </c>
      <c r="Q239" s="40">
        <f t="shared" si="18"/>
        <v>24795</v>
      </c>
      <c r="R239" s="40">
        <f t="shared" si="18"/>
        <v>0</v>
      </c>
      <c r="S239" s="40">
        <f>ROUND('Смета ЕР (общ) '!$N239*'Смета ЕР (общ) '!$Q239,2)</f>
        <v>0</v>
      </c>
      <c r="T239" s="40">
        <f>ROUND('Смета ЕР (общ) '!$N239*'Смета ЕР (общ) '!$R239,2)</f>
        <v>0</v>
      </c>
    </row>
    <row r="240" spans="1:25" ht="28.5" customHeight="1" x14ac:dyDescent="0.3">
      <c r="A240" s="36" t="s">
        <v>129</v>
      </c>
      <c r="B240" s="36">
        <v>11</v>
      </c>
      <c r="C240" s="36"/>
      <c r="D240" s="36">
        <v>4</v>
      </c>
      <c r="E240" s="36" t="str">
        <f>CONCATENATE('Смета ЕР (общ) '!$A240,".",'Смета ЕР (общ) '!$B240,".",'Смета ЕР (общ) '!$D240)</f>
        <v>Р2.11.4</v>
      </c>
      <c r="F240" s="36">
        <f t="shared" si="15"/>
        <v>1</v>
      </c>
      <c r="G240" s="36"/>
      <c r="H240" s="36"/>
      <c r="I240" s="36"/>
      <c r="J240" s="36"/>
      <c r="K240" s="36"/>
      <c r="L240" s="37" t="s">
        <v>265</v>
      </c>
      <c r="M240" s="38" t="s">
        <v>229</v>
      </c>
      <c r="N240" s="39"/>
      <c r="O240" s="40">
        <v>1268.6300000000001</v>
      </c>
      <c r="P240" s="40">
        <v>0</v>
      </c>
      <c r="Q240" s="40">
        <f t="shared" si="18"/>
        <v>1268.6300000000001</v>
      </c>
      <c r="R240" s="40">
        <f t="shared" si="18"/>
        <v>0</v>
      </c>
      <c r="S240" s="40">
        <f>ROUND('Смета ЕР (общ) '!$N240*'Смета ЕР (общ) '!$Q240,2)</f>
        <v>0</v>
      </c>
      <c r="T240" s="40">
        <f>ROUND('Смета ЕР (общ) '!$N240*'Смета ЕР (общ) '!$R240,2)</f>
        <v>0</v>
      </c>
      <c r="U240" s="57" t="s">
        <v>266</v>
      </c>
    </row>
    <row r="241" spans="1:25" ht="14.4" x14ac:dyDescent="0.3">
      <c r="A241" s="36" t="s">
        <v>129</v>
      </c>
      <c r="B241" s="36">
        <v>11</v>
      </c>
      <c r="C241" s="36"/>
      <c r="D241" s="36">
        <v>5</v>
      </c>
      <c r="E241" s="36" t="str">
        <f>CONCATENATE('Смета ЕР (общ) '!$A241,".",'Смета ЕР (общ) '!$B241,".",'Смета ЕР (общ) '!$D241)</f>
        <v>Р2.11.5</v>
      </c>
      <c r="F241" s="36">
        <f t="shared" si="15"/>
        <v>1</v>
      </c>
      <c r="G241" s="36"/>
      <c r="H241" s="36"/>
      <c r="I241" s="36"/>
      <c r="J241" s="36"/>
      <c r="K241" s="36"/>
      <c r="L241" s="37" t="s">
        <v>267</v>
      </c>
      <c r="M241" s="38" t="s">
        <v>40</v>
      </c>
      <c r="N241" s="39"/>
      <c r="O241" s="40">
        <v>94.05</v>
      </c>
      <c r="P241" s="40">
        <v>0</v>
      </c>
      <c r="Q241" s="40">
        <f t="shared" si="18"/>
        <v>94.05</v>
      </c>
      <c r="R241" s="40">
        <f t="shared" si="18"/>
        <v>0</v>
      </c>
      <c r="S241" s="40">
        <f>ROUND('Смета ЕР (общ) '!$N241*'Смета ЕР (общ) '!$Q241,2)</f>
        <v>0</v>
      </c>
      <c r="T241" s="40">
        <f>ROUND('Смета ЕР (общ) '!$N241*'Смета ЕР (общ) '!$R241,2)</f>
        <v>0</v>
      </c>
      <c r="Y241">
        <v>214</v>
      </c>
    </row>
    <row r="242" spans="1:25" ht="14.4" x14ac:dyDescent="0.3">
      <c r="A242" s="36" t="s">
        <v>129</v>
      </c>
      <c r="B242" s="36">
        <v>11</v>
      </c>
      <c r="C242" s="36"/>
      <c r="D242" s="36">
        <v>7</v>
      </c>
      <c r="E242" s="36" t="str">
        <f>CONCATENATE('Смета ЕР (общ) '!$A242,".",'Смета ЕР (общ) '!$B242,".",'Смета ЕР (общ) '!$D242)</f>
        <v>Р2.11.7</v>
      </c>
      <c r="F242" s="36">
        <f t="shared" si="15"/>
        <v>1</v>
      </c>
      <c r="G242" s="36"/>
      <c r="H242" s="36"/>
      <c r="I242" s="36"/>
      <c r="J242" s="36"/>
      <c r="K242" s="36"/>
      <c r="L242" s="37" t="s">
        <v>268</v>
      </c>
      <c r="M242" s="38" t="s">
        <v>40</v>
      </c>
      <c r="N242" s="39"/>
      <c r="O242" s="40">
        <v>110.69</v>
      </c>
      <c r="P242" s="40">
        <v>0</v>
      </c>
      <c r="Q242" s="40">
        <f t="shared" si="18"/>
        <v>110.69</v>
      </c>
      <c r="R242" s="40">
        <f t="shared" si="18"/>
        <v>0</v>
      </c>
      <c r="S242" s="40">
        <f>ROUND('Смета ЕР (общ) '!$N242*'Смета ЕР (общ) '!$Q242,2)</f>
        <v>0</v>
      </c>
      <c r="T242" s="40">
        <f>ROUND('Смета ЕР (общ) '!$N242*'Смета ЕР (общ) '!$R242,2)</f>
        <v>0</v>
      </c>
      <c r="Y242">
        <v>214</v>
      </c>
    </row>
    <row r="243" spans="1:25" ht="14.4" x14ac:dyDescent="0.3">
      <c r="A243" s="36" t="s">
        <v>129</v>
      </c>
      <c r="B243" s="36">
        <v>11</v>
      </c>
      <c r="C243" s="36"/>
      <c r="D243" s="36">
        <v>6</v>
      </c>
      <c r="E243" s="36" t="str">
        <f>CONCATENATE('Смета ЕР (общ) '!$A243,".",'Смета ЕР (общ) '!$B243,".",'Смета ЕР (общ) '!$D243)</f>
        <v>Р2.11.6</v>
      </c>
      <c r="F243" s="36">
        <f t="shared" si="15"/>
        <v>1</v>
      </c>
      <c r="G243" s="36"/>
      <c r="H243" s="36"/>
      <c r="I243" s="36"/>
      <c r="J243" s="36"/>
      <c r="K243" s="36"/>
      <c r="L243" s="37" t="s">
        <v>269</v>
      </c>
      <c r="M243" s="38" t="s">
        <v>40</v>
      </c>
      <c r="N243" s="39"/>
      <c r="O243" s="40">
        <v>519</v>
      </c>
      <c r="P243" s="40">
        <v>0</v>
      </c>
      <c r="Q243" s="40">
        <f t="shared" si="18"/>
        <v>519</v>
      </c>
      <c r="R243" s="40">
        <f t="shared" si="18"/>
        <v>0</v>
      </c>
      <c r="S243" s="40">
        <f>ROUND('Смета ЕР (общ) '!$N243*'Смета ЕР (общ) '!$Q243,2)</f>
        <v>0</v>
      </c>
      <c r="T243" s="40">
        <f>ROUND('Смета ЕР (общ) '!$N243*'Смета ЕР (общ) '!$R243,2)</f>
        <v>0</v>
      </c>
      <c r="Y243">
        <v>214</v>
      </c>
    </row>
    <row r="244" spans="1:25" ht="14.4" x14ac:dyDescent="0.3">
      <c r="A244" s="48" t="s">
        <v>129</v>
      </c>
      <c r="B244" s="48">
        <v>12</v>
      </c>
      <c r="C244" s="48"/>
      <c r="D244" s="48">
        <v>0</v>
      </c>
      <c r="E244" s="48" t="str">
        <f>CONCATENATE('Смета ЕР (общ) '!$A244,".",'Смета ЕР (общ) '!$B244,".",'Смета ЕР (общ) '!$D244)</f>
        <v>Р2.12.0</v>
      </c>
      <c r="F244" s="48">
        <f t="shared" si="15"/>
        <v>1</v>
      </c>
      <c r="G244" s="48"/>
      <c r="H244" s="48"/>
      <c r="I244" s="48"/>
      <c r="J244" s="48"/>
      <c r="K244" s="48"/>
      <c r="L244" s="49" t="s">
        <v>270</v>
      </c>
      <c r="M244" s="31"/>
      <c r="N244" s="32">
        <f>SUM(N245:N251)</f>
        <v>0</v>
      </c>
      <c r="O244" s="47"/>
      <c r="P244" s="47"/>
      <c r="Q244" s="34"/>
      <c r="R244" s="34"/>
      <c r="S244" s="34">
        <f>SUM(S245:S251)</f>
        <v>0</v>
      </c>
      <c r="T244" s="34">
        <f>SUM(T245:T251)</f>
        <v>0</v>
      </c>
      <c r="Y244">
        <v>0</v>
      </c>
    </row>
    <row r="245" spans="1:25" ht="14.4" x14ac:dyDescent="0.3">
      <c r="A245" s="36" t="s">
        <v>129</v>
      </c>
      <c r="B245" s="36">
        <v>12</v>
      </c>
      <c r="C245" s="36"/>
      <c r="D245" s="36">
        <v>1</v>
      </c>
      <c r="E245" s="36" t="str">
        <f>CONCATENATE('Смета ЕР (общ) '!$A245,".",'Смета ЕР (общ) '!$B245,".",'Смета ЕР (общ) '!$D245)</f>
        <v>Р2.12.1</v>
      </c>
      <c r="F245" s="36">
        <f t="shared" si="15"/>
        <v>1</v>
      </c>
      <c r="G245" s="36"/>
      <c r="H245" s="36"/>
      <c r="I245" s="36"/>
      <c r="J245" s="36"/>
      <c r="K245" s="36"/>
      <c r="L245" s="37" t="s">
        <v>271</v>
      </c>
      <c r="M245" s="38" t="s">
        <v>118</v>
      </c>
      <c r="N245" s="39"/>
      <c r="O245" s="40">
        <v>522.5</v>
      </c>
      <c r="P245" s="40">
        <v>0</v>
      </c>
      <c r="Q245" s="40">
        <f t="shared" ref="Q245:R252" si="19">ROUND(O245-O245*$V$3,2)</f>
        <v>522.5</v>
      </c>
      <c r="R245" s="40">
        <f t="shared" si="19"/>
        <v>0</v>
      </c>
      <c r="S245" s="40">
        <f>ROUND('Смета ЕР (общ) '!$N245*'Смета ЕР (общ) '!$Q245,2)</f>
        <v>0</v>
      </c>
      <c r="T245" s="40">
        <f>ROUND('Смета ЕР (общ) '!$N245*'Смета ЕР (общ) '!$R245,2)</f>
        <v>0</v>
      </c>
    </row>
    <row r="246" spans="1:25" ht="14.4" x14ac:dyDescent="0.3">
      <c r="A246" s="36" t="s">
        <v>129</v>
      </c>
      <c r="B246" s="36">
        <v>12</v>
      </c>
      <c r="C246" s="36"/>
      <c r="D246" s="36">
        <v>2</v>
      </c>
      <c r="E246" s="36" t="str">
        <f>CONCATENATE('Смета ЕР (общ) '!$A246,".",'Смета ЕР (общ) '!$B246,".",'Смета ЕР (общ) '!$D246)</f>
        <v>Р2.12.2</v>
      </c>
      <c r="F246" s="36">
        <f t="shared" si="15"/>
        <v>1</v>
      </c>
      <c r="G246" s="36"/>
      <c r="H246" s="36"/>
      <c r="I246" s="36"/>
      <c r="J246" s="36"/>
      <c r="K246" s="36"/>
      <c r="L246" s="37" t="s">
        <v>272</v>
      </c>
      <c r="M246" s="38" t="s">
        <v>118</v>
      </c>
      <c r="N246" s="39"/>
      <c r="O246" s="40">
        <v>3027.6</v>
      </c>
      <c r="P246" s="40">
        <v>0</v>
      </c>
      <c r="Q246" s="40">
        <f t="shared" si="19"/>
        <v>3027.6</v>
      </c>
      <c r="R246" s="40">
        <f t="shared" si="19"/>
        <v>0</v>
      </c>
      <c r="S246" s="40">
        <f>ROUND('Смета ЕР (общ) '!$N246*'Смета ЕР (общ) '!$Q246,2)</f>
        <v>0</v>
      </c>
      <c r="T246" s="40">
        <f>ROUND('Смета ЕР (общ) '!$N246*'Смета ЕР (общ) '!$R246,2)</f>
        <v>0</v>
      </c>
    </row>
    <row r="247" spans="1:25" ht="14.4" x14ac:dyDescent="0.3">
      <c r="A247" s="36" t="s">
        <v>129</v>
      </c>
      <c r="B247" s="36">
        <v>12</v>
      </c>
      <c r="C247" s="36"/>
      <c r="D247" s="36">
        <v>5</v>
      </c>
      <c r="E247" s="36" t="str">
        <f>CONCATENATE('Смета ЕР (общ) '!$A247,".",'Смета ЕР (общ) '!$B247,".",'Смета ЕР (общ) '!$D247)</f>
        <v>Р2.12.5</v>
      </c>
      <c r="F247" s="36">
        <f t="shared" si="15"/>
        <v>1</v>
      </c>
      <c r="G247" s="36"/>
      <c r="H247" s="36"/>
      <c r="I247" s="36"/>
      <c r="J247" s="36"/>
      <c r="K247" s="36"/>
      <c r="L247" s="37" t="s">
        <v>273</v>
      </c>
      <c r="M247" s="38" t="s">
        <v>40</v>
      </c>
      <c r="N247" s="39"/>
      <c r="O247" s="40">
        <v>626.4</v>
      </c>
      <c r="P247" s="40">
        <v>0</v>
      </c>
      <c r="Q247" s="40">
        <f t="shared" si="19"/>
        <v>626.4</v>
      </c>
      <c r="R247" s="40">
        <f t="shared" si="19"/>
        <v>0</v>
      </c>
      <c r="S247" s="40">
        <f>ROUND('Смета ЕР (общ) '!$N247*'Смета ЕР (общ) '!$Q247,2)</f>
        <v>0</v>
      </c>
      <c r="T247" s="40">
        <f>ROUND('Смета ЕР (общ) '!$N247*'Смета ЕР (общ) '!$R247,2)</f>
        <v>0</v>
      </c>
    </row>
    <row r="248" spans="1:25" ht="14.4" x14ac:dyDescent="0.3">
      <c r="A248" s="36" t="s">
        <v>129</v>
      </c>
      <c r="B248" s="36">
        <v>12</v>
      </c>
      <c r="C248" s="36"/>
      <c r="D248" s="36">
        <v>3</v>
      </c>
      <c r="E248" s="36" t="str">
        <f>CONCATENATE('Смета ЕР (общ) '!$A248,".",'Смета ЕР (общ) '!$B248,".",'Смета ЕР (общ) '!$D248)</f>
        <v>Р2.12.3</v>
      </c>
      <c r="F248" s="36">
        <f t="shared" si="15"/>
        <v>1</v>
      </c>
      <c r="G248" s="36"/>
      <c r="H248" s="36"/>
      <c r="I248" s="36"/>
      <c r="J248" s="36"/>
      <c r="K248" s="36"/>
      <c r="L248" s="37" t="s">
        <v>274</v>
      </c>
      <c r="M248" s="38" t="s">
        <v>40</v>
      </c>
      <c r="N248" s="39"/>
      <c r="O248" s="40">
        <v>174</v>
      </c>
      <c r="P248" s="40">
        <v>0</v>
      </c>
      <c r="Q248" s="40">
        <f t="shared" si="19"/>
        <v>174</v>
      </c>
      <c r="R248" s="40">
        <f t="shared" si="19"/>
        <v>0</v>
      </c>
      <c r="S248" s="40">
        <f>ROUND('Смета ЕР (общ) '!$N248*'Смета ЕР (общ) '!$Q248,2)</f>
        <v>0</v>
      </c>
      <c r="T248" s="40">
        <f>ROUND('Смета ЕР (общ) '!$N248*'Смета ЕР (общ) '!$R248,2)</f>
        <v>0</v>
      </c>
    </row>
    <row r="249" spans="1:25" ht="14.4" x14ac:dyDescent="0.3">
      <c r="A249" s="36" t="s">
        <v>129</v>
      </c>
      <c r="B249" s="36">
        <v>12</v>
      </c>
      <c r="C249" s="36"/>
      <c r="D249" s="36">
        <v>4</v>
      </c>
      <c r="E249" s="36" t="str">
        <f>CONCATENATE('Смета ЕР (общ) '!$A249,".",'Смета ЕР (общ) '!$B249,".",'Смета ЕР (общ) '!$D249)</f>
        <v>Р2.12.4</v>
      </c>
      <c r="F249" s="36">
        <f t="shared" si="15"/>
        <v>1</v>
      </c>
      <c r="G249" s="36"/>
      <c r="H249" s="36"/>
      <c r="I249" s="36"/>
      <c r="J249" s="36"/>
      <c r="K249" s="36"/>
      <c r="L249" s="37" t="s">
        <v>275</v>
      </c>
      <c r="M249" s="38" t="s">
        <v>229</v>
      </c>
      <c r="N249" s="39"/>
      <c r="O249" s="40">
        <v>5225</v>
      </c>
      <c r="P249" s="40">
        <v>0</v>
      </c>
      <c r="Q249" s="40">
        <f t="shared" si="19"/>
        <v>5225</v>
      </c>
      <c r="R249" s="40">
        <f t="shared" si="19"/>
        <v>0</v>
      </c>
      <c r="S249" s="40">
        <f>ROUND('Смета ЕР (общ) '!$N249*'Смета ЕР (общ) '!$Q249,2)</f>
        <v>0</v>
      </c>
      <c r="T249" s="40">
        <f>ROUND('Смета ЕР (общ) '!$N249*'Смета ЕР (общ) '!$R249,2)</f>
        <v>0</v>
      </c>
    </row>
    <row r="250" spans="1:25" ht="14.4" x14ac:dyDescent="0.3">
      <c r="A250" s="36" t="s">
        <v>129</v>
      </c>
      <c r="B250" s="36">
        <v>12</v>
      </c>
      <c r="C250" s="36"/>
      <c r="D250" s="36">
        <v>6</v>
      </c>
      <c r="E250" s="36" t="str">
        <f>CONCATENATE('Смета ЕР (общ) '!$A250,".",'Смета ЕР (общ) '!$B250,".",'Смета ЕР (общ) '!$D250)</f>
        <v>Р2.12.6</v>
      </c>
      <c r="F250" s="36">
        <f t="shared" si="15"/>
        <v>1</v>
      </c>
      <c r="G250" s="36"/>
      <c r="H250" s="36"/>
      <c r="I250" s="36"/>
      <c r="J250" s="36"/>
      <c r="K250" s="36"/>
      <c r="L250" s="37" t="s">
        <v>276</v>
      </c>
      <c r="M250" s="38" t="s">
        <v>118</v>
      </c>
      <c r="N250" s="39"/>
      <c r="O250" s="40">
        <v>8143.2</v>
      </c>
      <c r="P250" s="40">
        <v>0</v>
      </c>
      <c r="Q250" s="40">
        <f t="shared" si="19"/>
        <v>8143.2</v>
      </c>
      <c r="R250" s="40">
        <f t="shared" si="19"/>
        <v>0</v>
      </c>
      <c r="S250" s="40">
        <f>ROUND('Смета ЕР (общ) '!$N250*'Смета ЕР (общ) '!$Q250,2)</f>
        <v>0</v>
      </c>
      <c r="T250" s="40">
        <f>ROUND('Смета ЕР (общ) '!$N250*'Смета ЕР (общ) '!$R250,2)</f>
        <v>0</v>
      </c>
    </row>
    <row r="251" spans="1:25" ht="14.4" x14ac:dyDescent="0.3">
      <c r="A251" s="36" t="s">
        <v>129</v>
      </c>
      <c r="B251" s="36">
        <v>12</v>
      </c>
      <c r="C251" s="36"/>
      <c r="D251" s="36">
        <v>10</v>
      </c>
      <c r="E251" s="36" t="str">
        <f>CONCATENATE('Смета ЕР (общ) '!$A251,".",'Смета ЕР (общ) '!$B251,".",'Смета ЕР (общ) '!$D251)</f>
        <v>Р2.12.10</v>
      </c>
      <c r="F251" s="36">
        <f>IF(N251&gt;0,F250+1,F250)</f>
        <v>1</v>
      </c>
      <c r="G251" s="36"/>
      <c r="H251" s="36"/>
      <c r="I251" s="36"/>
      <c r="J251" s="36"/>
      <c r="K251" s="36"/>
      <c r="L251" s="37" t="s">
        <v>277</v>
      </c>
      <c r="M251" s="38" t="s">
        <v>118</v>
      </c>
      <c r="N251" s="39"/>
      <c r="O251" s="40">
        <v>305370</v>
      </c>
      <c r="P251" s="40">
        <v>0</v>
      </c>
      <c r="Q251" s="40">
        <f t="shared" si="19"/>
        <v>305370</v>
      </c>
      <c r="R251" s="40">
        <f t="shared" si="19"/>
        <v>0</v>
      </c>
      <c r="S251" s="40">
        <f>ROUND('Смета ЕР (общ) '!$N251*'Смета ЕР (общ) '!$Q251,2)</f>
        <v>0</v>
      </c>
      <c r="T251" s="40">
        <f>ROUND('Смета ЕР (общ) '!$N251*'Смета ЕР (общ) '!$R251,2)</f>
        <v>0</v>
      </c>
    </row>
    <row r="252" spans="1:25" ht="60" x14ac:dyDescent="0.3">
      <c r="A252" s="36" t="s">
        <v>129</v>
      </c>
      <c r="B252" s="36">
        <v>12</v>
      </c>
      <c r="C252" s="36"/>
      <c r="D252" s="36">
        <v>11</v>
      </c>
      <c r="E252" s="36" t="str">
        <f>CONCATENATE('Смета ЕР (общ) '!$A252,".",'Смета ЕР (общ) '!$B252,".",'Смета ЕР (общ) '!$D252)</f>
        <v>Р2.12.11</v>
      </c>
      <c r="F252" s="36">
        <f>IF(N252&gt;0,F251+1,F251)</f>
        <v>1</v>
      </c>
      <c r="G252" s="36"/>
      <c r="H252" s="36"/>
      <c r="I252" s="36"/>
      <c r="J252" s="36"/>
      <c r="K252" s="36"/>
      <c r="L252" s="37" t="s">
        <v>278</v>
      </c>
      <c r="M252" s="38" t="s">
        <v>40</v>
      </c>
      <c r="N252" s="39"/>
      <c r="O252" s="40">
        <v>820</v>
      </c>
      <c r="P252" s="40">
        <v>890</v>
      </c>
      <c r="Q252" s="40">
        <f t="shared" si="19"/>
        <v>820</v>
      </c>
      <c r="R252" s="40">
        <f t="shared" si="19"/>
        <v>890</v>
      </c>
      <c r="S252" s="40">
        <f>ROUND('Смета ЕР (общ) '!$N252*'Смета ЕР (общ) '!$Q252,2)</f>
        <v>0</v>
      </c>
      <c r="T252" s="40">
        <f>ROUND('Смета ЕР (общ) '!$N252*'Смета ЕР (общ) '!$R252,2)</f>
        <v>0</v>
      </c>
    </row>
    <row r="253" spans="1:25" ht="14.4" x14ac:dyDescent="0.3">
      <c r="A253" s="29" t="s">
        <v>279</v>
      </c>
      <c r="B253" s="29">
        <v>0</v>
      </c>
      <c r="C253" s="29"/>
      <c r="D253" s="29">
        <v>0</v>
      </c>
      <c r="E253" s="29" t="str">
        <f>CONCATENATE('Смета ЕР (общ) '!$A253,".",'Смета ЕР (общ) '!$B253,".",'Смета ЕР (общ) '!$D253)</f>
        <v>Р3.0.0</v>
      </c>
      <c r="F253" s="48">
        <f t="shared" si="15"/>
        <v>1</v>
      </c>
      <c r="G253" s="48"/>
      <c r="H253" s="48"/>
      <c r="I253" s="48"/>
      <c r="J253" s="48"/>
      <c r="K253" s="48"/>
      <c r="L253" s="30" t="s">
        <v>280</v>
      </c>
      <c r="M253" s="31"/>
      <c r="N253" s="32">
        <f>N254+N295+N310+N346+N347+N352+N357+N361+N367+N379+N392+N412+N446+N447+N472+N532+N552</f>
        <v>0</v>
      </c>
      <c r="O253" s="47"/>
      <c r="P253" s="47"/>
      <c r="Q253" s="34"/>
      <c r="R253" s="34"/>
      <c r="S253" s="34">
        <f>ROUND(S254+S295+S310+S346+S412+S446+S532+S552,2)</f>
        <v>0</v>
      </c>
      <c r="T253" s="34">
        <f>ROUND(T254+T295+T310+T347+T352+T357+T361+T367+T379+T392+T412+T447+T472+T532+T552,2)</f>
        <v>0</v>
      </c>
      <c r="Y253">
        <v>5377872.1999999993</v>
      </c>
    </row>
    <row r="254" spans="1:25" ht="14.4" x14ac:dyDescent="0.3">
      <c r="A254" s="48" t="s">
        <v>279</v>
      </c>
      <c r="B254" s="48">
        <v>1</v>
      </c>
      <c r="C254" s="48"/>
      <c r="D254" s="48">
        <v>0</v>
      </c>
      <c r="E254" s="48" t="str">
        <f>CONCATENATE('Смета ЕР (общ) '!$A254,".",'Смета ЕР (общ) '!$B254,".",'Смета ЕР (общ) '!$D254)</f>
        <v>Р3.1.0</v>
      </c>
      <c r="F254" s="48">
        <f t="shared" si="15"/>
        <v>1</v>
      </c>
      <c r="G254" s="48"/>
      <c r="H254" s="48"/>
      <c r="I254" s="48"/>
      <c r="J254" s="48"/>
      <c r="K254" s="48"/>
      <c r="L254" s="49" t="s">
        <v>281</v>
      </c>
      <c r="M254" s="31"/>
      <c r="N254" s="32">
        <f>S254</f>
        <v>0</v>
      </c>
      <c r="O254" s="47"/>
      <c r="P254" s="47"/>
      <c r="Q254" s="34"/>
      <c r="R254" s="34"/>
      <c r="S254" s="34">
        <f>SUM(S255:S294)</f>
        <v>0</v>
      </c>
      <c r="T254" s="34">
        <f>SUM(T255:T294)</f>
        <v>0</v>
      </c>
      <c r="Y254">
        <v>1011935.72</v>
      </c>
    </row>
    <row r="255" spans="1:25" ht="14.4" x14ac:dyDescent="0.3">
      <c r="A255" s="36" t="s">
        <v>279</v>
      </c>
      <c r="B255" s="36">
        <v>1</v>
      </c>
      <c r="C255" s="36"/>
      <c r="D255" s="36">
        <v>1</v>
      </c>
      <c r="E255" s="36" t="str">
        <f>CONCATENATE('Смета ЕР (общ) '!$A255,".",'Смета ЕР (общ) '!$B255,".",'Смета ЕР (общ) '!$D255)</f>
        <v>Р3.1.1</v>
      </c>
      <c r="F255" s="36">
        <f t="shared" si="15"/>
        <v>1</v>
      </c>
      <c r="G255" s="36"/>
      <c r="H255" s="36"/>
      <c r="I255" s="36"/>
      <c r="J255" s="36"/>
      <c r="K255" s="36"/>
      <c r="L255" s="37" t="s">
        <v>282</v>
      </c>
      <c r="M255" s="38" t="s">
        <v>40</v>
      </c>
      <c r="N255" s="39"/>
      <c r="O255" s="40">
        <v>2392.5</v>
      </c>
      <c r="P255" s="40">
        <v>1771.46</v>
      </c>
      <c r="Q255" s="40">
        <f t="shared" ref="Q255:R294" si="20">ROUND(O255-O255*$V$3,2)</f>
        <v>2392.5</v>
      </c>
      <c r="R255" s="40">
        <f t="shared" si="20"/>
        <v>1771.46</v>
      </c>
      <c r="S255" s="40">
        <f>ROUND('Смета ЕР (общ) '!$N255*'Смета ЕР (общ) '!$Q255,2)</f>
        <v>0</v>
      </c>
      <c r="T255" s="40">
        <f>ROUND('Смета ЕР (общ) '!$N255*'Смета ЕР (общ) '!$R255,2)</f>
        <v>0</v>
      </c>
      <c r="Y255">
        <v>50.61</v>
      </c>
    </row>
    <row r="256" spans="1:25" ht="14.4" x14ac:dyDescent="0.3">
      <c r="A256" s="36" t="s">
        <v>279</v>
      </c>
      <c r="B256" s="36">
        <v>1</v>
      </c>
      <c r="C256" s="36"/>
      <c r="D256" s="36">
        <v>2</v>
      </c>
      <c r="E256" s="36" t="str">
        <f>CONCATENATE('Смета ЕР (общ) '!$A256,".",'Смета ЕР (общ) '!$B256,".",'Смета ЕР (общ) '!$D256)</f>
        <v>Р3.1.2</v>
      </c>
      <c r="F256" s="36">
        <f t="shared" si="15"/>
        <v>1</v>
      </c>
      <c r="G256" s="36"/>
      <c r="H256" s="36"/>
      <c r="I256" s="36"/>
      <c r="J256" s="36"/>
      <c r="K256" s="36"/>
      <c r="L256" s="53" t="s">
        <v>283</v>
      </c>
      <c r="M256" s="54" t="s">
        <v>40</v>
      </c>
      <c r="N256" s="39"/>
      <c r="O256" s="40">
        <v>2704.48</v>
      </c>
      <c r="P256" s="40">
        <v>3557.89</v>
      </c>
      <c r="Q256" s="40">
        <f t="shared" si="20"/>
        <v>2704.48</v>
      </c>
      <c r="R256" s="40">
        <f t="shared" si="20"/>
        <v>3557.89</v>
      </c>
      <c r="S256" s="40">
        <f>ROUND('Смета ЕР (общ) '!$N256*'Смета ЕР (общ) '!$Q256,2)</f>
        <v>0</v>
      </c>
      <c r="T256" s="40">
        <f>ROUND('Смета ЕР (общ) '!$N256*'Смета ЕР (общ) '!$R256,2)</f>
        <v>0</v>
      </c>
    </row>
    <row r="257" spans="1:25" ht="14.4" x14ac:dyDescent="0.3">
      <c r="A257" s="36" t="s">
        <v>279</v>
      </c>
      <c r="B257" s="36">
        <v>1</v>
      </c>
      <c r="C257" s="36"/>
      <c r="D257" s="36">
        <v>3</v>
      </c>
      <c r="E257" s="36" t="str">
        <f>CONCATENATE('Смета ЕР (общ) '!$A257,".",'Смета ЕР (общ) '!$B257,".",'Смета ЕР (общ) '!$D257)</f>
        <v>Р3.1.3</v>
      </c>
      <c r="F257" s="36">
        <f t="shared" si="15"/>
        <v>1</v>
      </c>
      <c r="G257" s="36"/>
      <c r="H257" s="36"/>
      <c r="I257" s="36"/>
      <c r="J257" s="36"/>
      <c r="K257" s="36"/>
      <c r="L257" s="37" t="s">
        <v>284</v>
      </c>
      <c r="M257" s="54" t="s">
        <v>40</v>
      </c>
      <c r="N257" s="39"/>
      <c r="O257" s="40">
        <v>2035.8</v>
      </c>
      <c r="P257" s="40">
        <v>3824.36</v>
      </c>
      <c r="Q257" s="40">
        <f t="shared" si="20"/>
        <v>2035.8</v>
      </c>
      <c r="R257" s="40">
        <f t="shared" si="20"/>
        <v>3824.36</v>
      </c>
      <c r="S257" s="40">
        <f>ROUND('Смета ЕР (общ) '!$N257*'Смета ЕР (общ) '!$Q257,2)</f>
        <v>0</v>
      </c>
      <c r="T257" s="40">
        <f>ROUND('Смета ЕР (общ) '!$N257*'Смета ЕР (общ) '!$R257,2)</f>
        <v>0</v>
      </c>
    </row>
    <row r="258" spans="1:25" ht="14.4" x14ac:dyDescent="0.3">
      <c r="A258" s="36" t="s">
        <v>279</v>
      </c>
      <c r="B258" s="36">
        <v>1</v>
      </c>
      <c r="C258" s="36"/>
      <c r="D258" s="36">
        <v>4</v>
      </c>
      <c r="E258" s="36" t="str">
        <f>CONCATENATE('Смета ЕР (общ) '!$A258,".",'Смета ЕР (общ) '!$B258,".",'Смета ЕР (общ) '!$D258)</f>
        <v>Р3.1.4</v>
      </c>
      <c r="F258" s="36">
        <f t="shared" si="15"/>
        <v>1</v>
      </c>
      <c r="G258" s="36"/>
      <c r="H258" s="36"/>
      <c r="I258" s="36"/>
      <c r="J258" s="36"/>
      <c r="K258" s="36"/>
      <c r="L258" s="37" t="s">
        <v>285</v>
      </c>
      <c r="M258" s="54" t="s">
        <v>144</v>
      </c>
      <c r="N258" s="39"/>
      <c r="O258" s="40">
        <v>9787.5</v>
      </c>
      <c r="P258" s="40">
        <v>14433.36</v>
      </c>
      <c r="Q258" s="40">
        <f t="shared" si="20"/>
        <v>9787.5</v>
      </c>
      <c r="R258" s="40">
        <f t="shared" si="20"/>
        <v>14433.36</v>
      </c>
      <c r="S258" s="40">
        <f>ROUND('Смета ЕР (общ) '!$N258*'Смета ЕР (общ) '!$Q258,2)</f>
        <v>0</v>
      </c>
      <c r="T258" s="40">
        <f>ROUND('Смета ЕР (общ) '!$N258*'Смета ЕР (общ) '!$R258,2)</f>
        <v>0</v>
      </c>
    </row>
    <row r="259" spans="1:25" ht="14.4" x14ac:dyDescent="0.3">
      <c r="A259" s="36" t="s">
        <v>279</v>
      </c>
      <c r="B259" s="36">
        <v>1</v>
      </c>
      <c r="C259" s="36"/>
      <c r="D259" s="36">
        <v>5</v>
      </c>
      <c r="E259" s="36" t="str">
        <f>CONCATENATE('Смета ЕР (общ) '!$A259,".",'Смета ЕР (общ) '!$B259,".",'Смета ЕР (общ) '!$D259)</f>
        <v>Р3.1.5</v>
      </c>
      <c r="F259" s="36">
        <f t="shared" si="15"/>
        <v>1</v>
      </c>
      <c r="G259" s="36"/>
      <c r="H259" s="36"/>
      <c r="I259" s="36"/>
      <c r="J259" s="36"/>
      <c r="K259" s="36"/>
      <c r="L259" s="37" t="s">
        <v>286</v>
      </c>
      <c r="M259" s="38" t="s">
        <v>147</v>
      </c>
      <c r="N259" s="39"/>
      <c r="O259" s="40">
        <v>1045</v>
      </c>
      <c r="P259" s="40">
        <v>898.67</v>
      </c>
      <c r="Q259" s="40">
        <f t="shared" si="20"/>
        <v>1045</v>
      </c>
      <c r="R259" s="40">
        <f t="shared" si="20"/>
        <v>898.67</v>
      </c>
      <c r="S259" s="40">
        <f>ROUND('Смета ЕР (общ) '!$N259*'Смета ЕР (общ) '!$Q259,2)</f>
        <v>0</v>
      </c>
      <c r="T259" s="40">
        <f>ROUND('Смета ЕР (общ) '!$N259*'Смета ЕР (общ) '!$R259,2)</f>
        <v>0</v>
      </c>
      <c r="Y259">
        <v>12</v>
      </c>
    </row>
    <row r="260" spans="1:25" ht="14.4" x14ac:dyDescent="0.3">
      <c r="A260" s="58" t="s">
        <v>279</v>
      </c>
      <c r="B260" s="58">
        <v>1</v>
      </c>
      <c r="C260" s="58"/>
      <c r="D260" s="58">
        <v>15</v>
      </c>
      <c r="E260" s="58" t="str">
        <f>CONCATENATE('Смета ЕР (общ) '!$A260,".",'Смета ЕР (общ) '!$B260,".",'Смета ЕР (общ) '!$D260)</f>
        <v>Р3.1.15</v>
      </c>
      <c r="F260" s="58">
        <f t="shared" si="15"/>
        <v>1</v>
      </c>
      <c r="G260" s="58"/>
      <c r="H260" s="58"/>
      <c r="I260" s="58"/>
      <c r="J260" s="58"/>
      <c r="K260" s="58"/>
      <c r="L260" s="59" t="s">
        <v>287</v>
      </c>
      <c r="M260" s="60" t="s">
        <v>147</v>
      </c>
      <c r="N260" s="61"/>
      <c r="O260" s="40">
        <v>1045</v>
      </c>
      <c r="P260" s="40">
        <v>1149.76</v>
      </c>
      <c r="Q260" s="62">
        <f t="shared" si="20"/>
        <v>1045</v>
      </c>
      <c r="R260" s="62">
        <f t="shared" si="20"/>
        <v>1149.76</v>
      </c>
      <c r="S260" s="62">
        <f>ROUND('Смета ЕР (общ) '!$N260*'Смета ЕР (общ) '!$Q260,2)</f>
        <v>0</v>
      </c>
      <c r="T260" s="62">
        <f>ROUND('Смета ЕР (общ) '!$N260*'Смета ЕР (общ) '!$R260,2)</f>
        <v>0</v>
      </c>
    </row>
    <row r="261" spans="1:25" ht="14.4" x14ac:dyDescent="0.3">
      <c r="A261" s="36" t="s">
        <v>279</v>
      </c>
      <c r="B261" s="36">
        <v>1</v>
      </c>
      <c r="C261" s="36"/>
      <c r="D261" s="36">
        <v>6</v>
      </c>
      <c r="E261" s="36" t="str">
        <f>CONCATENATE('Смета ЕР (общ) '!$A261,".",'Смета ЕР (общ) '!$B261,".",'Смета ЕР (общ) '!$D261)</f>
        <v>Р3.1.6</v>
      </c>
      <c r="F261" s="36">
        <f t="shared" si="15"/>
        <v>1</v>
      </c>
      <c r="G261" s="36"/>
      <c r="H261" s="36"/>
      <c r="I261" s="36"/>
      <c r="J261" s="36"/>
      <c r="K261" s="36"/>
      <c r="L261" s="37" t="s">
        <v>288</v>
      </c>
      <c r="M261" s="38" t="s">
        <v>147</v>
      </c>
      <c r="N261" s="39"/>
      <c r="O261" s="40">
        <v>2090</v>
      </c>
      <c r="P261" s="40">
        <v>1746.37</v>
      </c>
      <c r="Q261" s="40">
        <f t="shared" si="20"/>
        <v>2090</v>
      </c>
      <c r="R261" s="40">
        <f t="shared" si="20"/>
        <v>1746.37</v>
      </c>
      <c r="S261" s="40">
        <f>ROUND('Смета ЕР (общ) '!$N261*'Смета ЕР (общ) '!$Q261,2)</f>
        <v>0</v>
      </c>
      <c r="T261" s="40">
        <f>ROUND('Смета ЕР (общ) '!$N261*'Смета ЕР (общ) '!$R261,2)</f>
        <v>0</v>
      </c>
      <c r="Y261">
        <v>24</v>
      </c>
    </row>
    <row r="262" spans="1:25" ht="36" x14ac:dyDescent="0.3">
      <c r="A262" s="36" t="s">
        <v>279</v>
      </c>
      <c r="B262" s="36">
        <v>1</v>
      </c>
      <c r="C262" s="36"/>
      <c r="D262" s="36">
        <v>9</v>
      </c>
      <c r="E262" s="36" t="str">
        <f>CONCATENATE('Смета ЕР (общ) '!$A262,".",'Смета ЕР (общ) '!$B262,".",'Смета ЕР (общ) '!$D262)</f>
        <v>Р3.1.9</v>
      </c>
      <c r="F262" s="36">
        <f t="shared" si="15"/>
        <v>1</v>
      </c>
      <c r="G262" s="36"/>
      <c r="H262" s="36"/>
      <c r="I262" s="36"/>
      <c r="J262" s="36"/>
      <c r="K262" s="36"/>
      <c r="L262" s="37" t="s">
        <v>289</v>
      </c>
      <c r="M262" s="54" t="s">
        <v>40</v>
      </c>
      <c r="N262" s="61"/>
      <c r="O262" s="40">
        <v>1722.6</v>
      </c>
      <c r="P262" s="40">
        <v>1130.31</v>
      </c>
      <c r="Q262" s="40">
        <f t="shared" si="20"/>
        <v>1722.6</v>
      </c>
      <c r="R262" s="40">
        <f t="shared" si="20"/>
        <v>1130.31</v>
      </c>
      <c r="S262" s="40">
        <f>ROUND('Смета ЕР (общ) '!$N262*'Смета ЕР (общ) '!$Q262,2)</f>
        <v>0</v>
      </c>
      <c r="T262" s="40">
        <f>ROUND('Смета ЕР (общ) '!$N262*'Смета ЕР (общ) '!$R262,2)</f>
        <v>0</v>
      </c>
    </row>
    <row r="263" spans="1:25" ht="36" x14ac:dyDescent="0.3">
      <c r="A263" s="36" t="s">
        <v>279</v>
      </c>
      <c r="B263" s="36">
        <v>1</v>
      </c>
      <c r="C263" s="36"/>
      <c r="D263" s="36">
        <v>7</v>
      </c>
      <c r="E263" s="36" t="str">
        <f>CONCATENATE('Смета ЕР (общ) '!$A263,".",'Смета ЕР (общ) '!$B263,".",'Смета ЕР (общ) '!$D263)</f>
        <v>Р3.1.7</v>
      </c>
      <c r="F263" s="36">
        <f t="shared" si="15"/>
        <v>1</v>
      </c>
      <c r="G263" s="36"/>
      <c r="H263" s="36"/>
      <c r="I263" s="36"/>
      <c r="J263" s="36"/>
      <c r="K263" s="36"/>
      <c r="L263" s="37" t="s">
        <v>290</v>
      </c>
      <c r="M263" s="54" t="s">
        <v>40</v>
      </c>
      <c r="N263" s="39"/>
      <c r="O263" s="40">
        <v>1894.86</v>
      </c>
      <c r="P263" s="40">
        <v>1416.65</v>
      </c>
      <c r="Q263" s="40">
        <f t="shared" si="20"/>
        <v>1894.86</v>
      </c>
      <c r="R263" s="40">
        <f t="shared" si="20"/>
        <v>1416.65</v>
      </c>
      <c r="S263" s="40">
        <f>ROUND('Смета ЕР (общ) '!$N263*'Смета ЕР (общ) '!$Q263,2)</f>
        <v>0</v>
      </c>
      <c r="T263" s="40">
        <f>ROUND('Смета ЕР (общ) '!$N263*'Смета ЕР (общ) '!$R263,2)</f>
        <v>0</v>
      </c>
      <c r="U263" s="57" t="s">
        <v>291</v>
      </c>
      <c r="Y263">
        <v>89.25</v>
      </c>
    </row>
    <row r="264" spans="1:25" ht="55.5" customHeight="1" x14ac:dyDescent="0.3">
      <c r="A264" s="36" t="s">
        <v>279</v>
      </c>
      <c r="B264" s="36">
        <v>1</v>
      </c>
      <c r="C264" s="36"/>
      <c r="D264" s="36">
        <v>8</v>
      </c>
      <c r="E264" s="36" t="str">
        <f>CONCATENATE('Смета ЕР (общ) '!$A264,".",'Смета ЕР (общ) '!$B264,".",'Смета ЕР (общ) '!$D264)</f>
        <v>Р3.1.8</v>
      </c>
      <c r="F264" s="36">
        <f t="shared" si="15"/>
        <v>1</v>
      </c>
      <c r="G264" s="36"/>
      <c r="H264" s="36"/>
      <c r="I264" s="36"/>
      <c r="J264" s="36"/>
      <c r="K264" s="36"/>
      <c r="L264" s="37" t="s">
        <v>292</v>
      </c>
      <c r="M264" s="54" t="s">
        <v>40</v>
      </c>
      <c r="N264" s="39"/>
      <c r="O264" s="40">
        <v>1305.22</v>
      </c>
      <c r="P264" s="40">
        <v>612.99</v>
      </c>
      <c r="Q264" s="40">
        <f t="shared" si="20"/>
        <v>1305.22</v>
      </c>
      <c r="R264" s="40">
        <f t="shared" si="20"/>
        <v>612.99</v>
      </c>
      <c r="S264" s="40">
        <f>ROUND('Смета ЕР (общ) '!$N264*'Смета ЕР (общ) '!$Q264,2)</f>
        <v>0</v>
      </c>
      <c r="T264" s="40">
        <f>ROUND('Смета ЕР (общ) '!$N264*'Смета ЕР (общ) '!$R264,2)</f>
        <v>0</v>
      </c>
      <c r="U264" s="57" t="s">
        <v>293</v>
      </c>
      <c r="Y264">
        <v>321.5</v>
      </c>
    </row>
    <row r="265" spans="1:25" ht="36" x14ac:dyDescent="0.3">
      <c r="A265" s="36" t="s">
        <v>279</v>
      </c>
      <c r="B265" s="36">
        <v>1</v>
      </c>
      <c r="C265" s="36"/>
      <c r="D265" s="36">
        <v>27</v>
      </c>
      <c r="E265" s="36" t="str">
        <f>CONCATENATE('Смета ЕР (общ) '!$A265,".",'Смета ЕР (общ) '!$B265,".",'Смета ЕР (общ) '!$D265)</f>
        <v>Р3.1.27</v>
      </c>
      <c r="F265" s="36">
        <f t="shared" si="15"/>
        <v>1</v>
      </c>
      <c r="G265" s="36"/>
      <c r="H265" s="36"/>
      <c r="I265" s="36"/>
      <c r="J265" s="36"/>
      <c r="K265" s="36"/>
      <c r="L265" s="37" t="s">
        <v>294</v>
      </c>
      <c r="M265" s="54" t="s">
        <v>40</v>
      </c>
      <c r="N265" s="39"/>
      <c r="O265" s="40">
        <v>1515.98</v>
      </c>
      <c r="P265" s="40">
        <v>660</v>
      </c>
      <c r="Q265" s="40">
        <f t="shared" si="20"/>
        <v>1515.98</v>
      </c>
      <c r="R265" s="40">
        <f t="shared" si="20"/>
        <v>660</v>
      </c>
      <c r="S265" s="40">
        <f>ROUND('Смета ЕР (общ) '!$N265*'Смета ЕР (общ) '!$Q265,2)</f>
        <v>0</v>
      </c>
      <c r="T265" s="40">
        <f>ROUND('Смета ЕР (общ) '!$N265*'Смета ЕР (общ) '!$R265,2)</f>
        <v>0</v>
      </c>
      <c r="U265" s="57"/>
    </row>
    <row r="266" spans="1:25" ht="36" x14ac:dyDescent="0.3">
      <c r="A266" s="36" t="s">
        <v>279</v>
      </c>
      <c r="B266" s="36">
        <v>1</v>
      </c>
      <c r="C266" s="36"/>
      <c r="D266" s="36">
        <v>33</v>
      </c>
      <c r="E266" s="36" t="str">
        <f>CONCATENATE('Смета ЕР (общ) '!$A266,".",'Смета ЕР (общ) '!$B266,".",'Смета ЕР (общ) '!$D266)</f>
        <v>Р3.1.33</v>
      </c>
      <c r="F266" s="36">
        <f t="shared" si="15"/>
        <v>1</v>
      </c>
      <c r="G266" s="36"/>
      <c r="H266" s="36"/>
      <c r="I266" s="36"/>
      <c r="J266" s="36"/>
      <c r="K266" s="36"/>
      <c r="L266" s="37" t="s">
        <v>295</v>
      </c>
      <c r="M266" s="54" t="s">
        <v>40</v>
      </c>
      <c r="N266" s="39"/>
      <c r="O266" s="40">
        <v>1305.22</v>
      </c>
      <c r="P266" s="40">
        <v>1366.98</v>
      </c>
      <c r="Q266" s="40">
        <f t="shared" si="20"/>
        <v>1305.22</v>
      </c>
      <c r="R266" s="40">
        <f t="shared" si="20"/>
        <v>1366.98</v>
      </c>
      <c r="S266" s="40">
        <f>ROUND('Смета ЕР (общ) '!$N266*'Смета ЕР (общ) '!$Q266,2)</f>
        <v>0</v>
      </c>
      <c r="T266" s="40">
        <f>ROUND('Смета ЕР (общ) '!$N266*'Смета ЕР (общ) '!$R266,2)</f>
        <v>0</v>
      </c>
      <c r="U266" s="57"/>
    </row>
    <row r="267" spans="1:25" ht="36" x14ac:dyDescent="0.3">
      <c r="A267" s="36" t="s">
        <v>279</v>
      </c>
      <c r="B267" s="36">
        <v>1</v>
      </c>
      <c r="C267" s="36"/>
      <c r="D267" s="36">
        <v>34</v>
      </c>
      <c r="E267" s="36" t="str">
        <f>CONCATENATE('Смета ЕР (общ) '!$A267,".",'Смета ЕР (общ) '!$B267,".",'Смета ЕР (общ) '!$D267)</f>
        <v>Р3.1.34</v>
      </c>
      <c r="F267" s="36">
        <f t="shared" si="15"/>
        <v>1</v>
      </c>
      <c r="G267" s="36"/>
      <c r="H267" s="36"/>
      <c r="I267" s="36"/>
      <c r="J267" s="36"/>
      <c r="K267" s="36"/>
      <c r="L267" s="37" t="s">
        <v>296</v>
      </c>
      <c r="M267" s="54" t="s">
        <v>40</v>
      </c>
      <c r="N267" s="39"/>
      <c r="O267" s="40">
        <v>1515.98</v>
      </c>
      <c r="P267" s="40">
        <v>1535.22</v>
      </c>
      <c r="Q267" s="62">
        <f t="shared" si="20"/>
        <v>1515.98</v>
      </c>
      <c r="R267" s="62">
        <f t="shared" si="20"/>
        <v>1535.22</v>
      </c>
      <c r="S267" s="62">
        <f>ROUND('Смета ЕР (общ) '!$N267*'Смета ЕР (общ) '!$Q267,2)</f>
        <v>0</v>
      </c>
      <c r="T267" s="62">
        <f>ROUND('Смета ЕР (общ) '!$N267*'Смета ЕР (общ) '!$R267,2)</f>
        <v>0</v>
      </c>
      <c r="U267" s="57"/>
    </row>
    <row r="268" spans="1:25" ht="36" x14ac:dyDescent="0.3">
      <c r="A268" s="36" t="s">
        <v>279</v>
      </c>
      <c r="B268" s="36">
        <v>1</v>
      </c>
      <c r="C268" s="36"/>
      <c r="D268" s="36">
        <v>10</v>
      </c>
      <c r="E268" s="36" t="str">
        <f>CONCATENATE('Смета ЕР (общ) '!$A268,".",'Смета ЕР (общ) '!$B268,".",'Смета ЕР (общ) '!$D268)</f>
        <v>Р3.1.10</v>
      </c>
      <c r="F268" s="36">
        <f t="shared" si="15"/>
        <v>1</v>
      </c>
      <c r="G268" s="36"/>
      <c r="H268" s="36"/>
      <c r="I268" s="36"/>
      <c r="J268" s="36"/>
      <c r="K268" s="36"/>
      <c r="L268" s="37" t="s">
        <v>297</v>
      </c>
      <c r="M268" s="54" t="s">
        <v>40</v>
      </c>
      <c r="N268" s="39"/>
      <c r="O268" s="40">
        <v>1305.22</v>
      </c>
      <c r="P268" s="40">
        <v>805.24</v>
      </c>
      <c r="Q268" s="40">
        <f t="shared" si="20"/>
        <v>1305.22</v>
      </c>
      <c r="R268" s="40">
        <f t="shared" si="20"/>
        <v>805.24</v>
      </c>
      <c r="S268" s="40">
        <f>ROUND('Смета ЕР (общ) '!$N268*'Смета ЕР (общ) '!$Q268,2)</f>
        <v>0</v>
      </c>
      <c r="T268" s="40">
        <f>ROUND('Смета ЕР (общ) '!$N268*'Смета ЕР (общ) '!$R268,2)</f>
        <v>0</v>
      </c>
    </row>
    <row r="269" spans="1:25" ht="24" x14ac:dyDescent="0.3">
      <c r="A269" s="36" t="s">
        <v>279</v>
      </c>
      <c r="B269" s="36">
        <v>1</v>
      </c>
      <c r="C269" s="36"/>
      <c r="D269" s="36">
        <v>11</v>
      </c>
      <c r="E269" s="36" t="str">
        <f>CONCATENATE('Смета ЕР (общ) '!$A269,".",'Смета ЕР (общ) '!$B269,".",'Смета ЕР (общ) '!$D269)</f>
        <v>Р3.1.11</v>
      </c>
      <c r="F269" s="36">
        <f t="shared" si="15"/>
        <v>1</v>
      </c>
      <c r="G269" s="36"/>
      <c r="H269" s="36"/>
      <c r="I269" s="36"/>
      <c r="J269" s="36"/>
      <c r="K269" s="36"/>
      <c r="L269" s="37" t="s">
        <v>298</v>
      </c>
      <c r="M269" s="54" t="s">
        <v>40</v>
      </c>
      <c r="N269" s="39"/>
      <c r="O269" s="40">
        <v>1357.2</v>
      </c>
      <c r="P269" s="40">
        <v>350.02</v>
      </c>
      <c r="Q269" s="40">
        <f t="shared" si="20"/>
        <v>1357.2</v>
      </c>
      <c r="R269" s="40">
        <f t="shared" si="20"/>
        <v>350.02</v>
      </c>
      <c r="S269" s="40">
        <f>ROUND('Смета ЕР (общ) '!$N269*'Смета ЕР (общ) '!$Q269,2)</f>
        <v>0</v>
      </c>
      <c r="T269" s="40">
        <f>ROUND('Смета ЕР (общ) '!$N269*'Смета ЕР (общ) '!$R269,2)</f>
        <v>0</v>
      </c>
    </row>
    <row r="270" spans="1:25" ht="14.4" x14ac:dyDescent="0.3">
      <c r="A270" s="36" t="s">
        <v>279</v>
      </c>
      <c r="B270" s="36">
        <v>1</v>
      </c>
      <c r="C270" s="36"/>
      <c r="D270" s="36">
        <v>12</v>
      </c>
      <c r="E270" s="36" t="str">
        <f>CONCATENATE('Смета ЕР (общ) '!$A270,".",'Смета ЕР (общ) '!$B270,".",'Смета ЕР (общ) '!$D270)</f>
        <v>Р3.1.12</v>
      </c>
      <c r="F270" s="36">
        <f t="shared" si="15"/>
        <v>1</v>
      </c>
      <c r="G270" s="36"/>
      <c r="H270" s="36"/>
      <c r="I270" s="36"/>
      <c r="J270" s="36"/>
      <c r="K270" s="36"/>
      <c r="L270" s="37" t="s">
        <v>299</v>
      </c>
      <c r="M270" s="38" t="s">
        <v>40</v>
      </c>
      <c r="N270" s="39"/>
      <c r="O270" s="40">
        <v>1305</v>
      </c>
      <c r="P270" s="40">
        <v>1270.72</v>
      </c>
      <c r="Q270" s="40">
        <f t="shared" si="20"/>
        <v>1305</v>
      </c>
      <c r="R270" s="40">
        <f t="shared" si="20"/>
        <v>1270.72</v>
      </c>
      <c r="S270" s="40">
        <f>ROUND('Смета ЕР (общ) '!$N270*'Смета ЕР (общ) '!$Q270,2)</f>
        <v>0</v>
      </c>
      <c r="T270" s="40">
        <f>ROUND('Смета ЕР (общ) '!$N270*'Смета ЕР (общ) '!$R270,2)</f>
        <v>0</v>
      </c>
      <c r="Y270">
        <v>45</v>
      </c>
    </row>
    <row r="271" spans="1:25" ht="14.4" x14ac:dyDescent="0.3">
      <c r="A271" s="36" t="s">
        <v>279</v>
      </c>
      <c r="B271" s="36">
        <v>1</v>
      </c>
      <c r="C271" s="36"/>
      <c r="D271" s="36">
        <v>13</v>
      </c>
      <c r="E271" s="36" t="str">
        <f>CONCATENATE('Смета ЕР (общ) '!$A271,".",'Смета ЕР (общ) '!$B271,".",'Смета ЕР (общ) '!$D271)</f>
        <v>Р3.1.13</v>
      </c>
      <c r="F271" s="36">
        <f t="shared" si="15"/>
        <v>1</v>
      </c>
      <c r="G271" s="36"/>
      <c r="H271" s="36"/>
      <c r="I271" s="36"/>
      <c r="J271" s="36"/>
      <c r="K271" s="36"/>
      <c r="L271" s="37" t="s">
        <v>300</v>
      </c>
      <c r="M271" s="54" t="s">
        <v>40</v>
      </c>
      <c r="N271" s="61"/>
      <c r="O271" s="40">
        <v>106.14</v>
      </c>
      <c r="P271" s="40">
        <v>314.04000000000002</v>
      </c>
      <c r="Q271" s="40">
        <f t="shared" si="20"/>
        <v>106.14</v>
      </c>
      <c r="R271" s="40">
        <f t="shared" si="20"/>
        <v>314.04000000000002</v>
      </c>
      <c r="S271" s="40">
        <f>ROUND('Смета ЕР (общ) '!$N271*'Смета ЕР (общ) '!$Q271,2)</f>
        <v>0</v>
      </c>
      <c r="T271" s="40">
        <f>ROUND('Смета ЕР (общ) '!$N271*'Смета ЕР (общ) '!$R271,2)</f>
        <v>0</v>
      </c>
      <c r="Y271">
        <v>199.25</v>
      </c>
    </row>
    <row r="272" spans="1:25" ht="14.4" x14ac:dyDescent="0.3">
      <c r="A272" s="36" t="s">
        <v>279</v>
      </c>
      <c r="B272" s="36">
        <v>1</v>
      </c>
      <c r="C272" s="36"/>
      <c r="D272" s="36">
        <v>14</v>
      </c>
      <c r="E272" s="36" t="str">
        <f>CONCATENATE('Смета ЕР (общ) '!$A272,".",'Смета ЕР (общ) '!$B272,".",'Смета ЕР (общ) '!$D272)</f>
        <v>Р3.1.14</v>
      </c>
      <c r="F272" s="36">
        <f t="shared" si="15"/>
        <v>1</v>
      </c>
      <c r="G272" s="36"/>
      <c r="H272" s="36"/>
      <c r="I272" s="36"/>
      <c r="J272" s="36"/>
      <c r="K272" s="36"/>
      <c r="L272" s="37" t="s">
        <v>301</v>
      </c>
      <c r="M272" s="38" t="s">
        <v>40</v>
      </c>
      <c r="N272" s="39"/>
      <c r="O272" s="40">
        <v>977.08</v>
      </c>
      <c r="P272" s="40">
        <v>432.43</v>
      </c>
      <c r="Q272" s="40">
        <f t="shared" si="20"/>
        <v>977.08</v>
      </c>
      <c r="R272" s="40">
        <f t="shared" si="20"/>
        <v>432.43</v>
      </c>
      <c r="S272" s="40">
        <f>ROUND('Смета ЕР (общ) '!$N272*'Смета ЕР (общ) '!$Q272,2)</f>
        <v>0</v>
      </c>
      <c r="T272" s="40">
        <f>ROUND('Смета ЕР (общ) '!$N272*'Смета ЕР (общ) '!$R272,2)</f>
        <v>0</v>
      </c>
      <c r="Y272">
        <v>10</v>
      </c>
    </row>
    <row r="273" spans="1:25" ht="24" x14ac:dyDescent="0.3">
      <c r="A273" s="36" t="s">
        <v>279</v>
      </c>
      <c r="B273" s="36">
        <v>1</v>
      </c>
      <c r="C273" s="36"/>
      <c r="D273" s="36">
        <v>19</v>
      </c>
      <c r="E273" s="36" t="str">
        <f>CONCATENATE('Смета ЕР (общ) '!$A273,".",'Смета ЕР (общ) '!$B273,".",'Смета ЕР (общ) '!$D273)</f>
        <v>Р3.1.19</v>
      </c>
      <c r="F273" s="36">
        <f t="shared" ref="F273:F336" si="21">IF(N273&gt;0,F272+1,F272)</f>
        <v>1</v>
      </c>
      <c r="G273" s="36"/>
      <c r="H273" s="36"/>
      <c r="I273" s="36"/>
      <c r="J273" s="36"/>
      <c r="K273" s="36"/>
      <c r="L273" s="37" t="s">
        <v>302</v>
      </c>
      <c r="M273" s="38" t="s">
        <v>147</v>
      </c>
      <c r="N273" s="39"/>
      <c r="O273" s="40">
        <v>2090</v>
      </c>
      <c r="P273" s="40">
        <v>1637.13</v>
      </c>
      <c r="Q273" s="40">
        <f t="shared" si="20"/>
        <v>2090</v>
      </c>
      <c r="R273" s="40">
        <f t="shared" si="20"/>
        <v>1637.13</v>
      </c>
      <c r="S273" s="40">
        <f>ROUND('Смета ЕР (общ) '!$N273*'Смета ЕР (общ) '!$Q273,2)</f>
        <v>0</v>
      </c>
      <c r="T273" s="40">
        <f>ROUND('Смета ЕР (общ) '!$N273*'Смета ЕР (общ) '!$R273,2)</f>
        <v>0</v>
      </c>
      <c r="Y273">
        <v>40</v>
      </c>
    </row>
    <row r="274" spans="1:25" ht="14.4" x14ac:dyDescent="0.3">
      <c r="A274" s="36" t="s">
        <v>279</v>
      </c>
      <c r="B274" s="36">
        <v>1</v>
      </c>
      <c r="C274" s="36"/>
      <c r="D274" s="36">
        <v>20</v>
      </c>
      <c r="E274" s="36" t="str">
        <f>CONCATENATE('Смета ЕР (общ) '!$A274,".",'Смета ЕР (общ) '!$B274,".",'Смета ЕР (общ) '!$D274)</f>
        <v>Р3.1.20</v>
      </c>
      <c r="F274" s="36">
        <f t="shared" si="21"/>
        <v>1</v>
      </c>
      <c r="G274" s="36"/>
      <c r="H274" s="36"/>
      <c r="I274" s="36"/>
      <c r="J274" s="36"/>
      <c r="K274" s="36"/>
      <c r="L274" s="37" t="s">
        <v>303</v>
      </c>
      <c r="M274" s="38" t="s">
        <v>147</v>
      </c>
      <c r="N274" s="39"/>
      <c r="O274" s="40">
        <v>616.1</v>
      </c>
      <c r="P274" s="40">
        <v>0</v>
      </c>
      <c r="Q274" s="40">
        <f t="shared" si="20"/>
        <v>616.1</v>
      </c>
      <c r="R274" s="40">
        <f t="shared" si="20"/>
        <v>0</v>
      </c>
      <c r="S274" s="40">
        <f>ROUND('Смета ЕР (общ) '!$N274*'Смета ЕР (общ) '!$Q274,2)</f>
        <v>0</v>
      </c>
      <c r="T274" s="40">
        <f>ROUND('Смета ЕР (общ) '!$N274*'Смета ЕР (общ) '!$R274,2)</f>
        <v>0</v>
      </c>
      <c r="Y274">
        <v>10</v>
      </c>
    </row>
    <row r="275" spans="1:25" ht="24" x14ac:dyDescent="0.3">
      <c r="A275" s="36" t="s">
        <v>279</v>
      </c>
      <c r="B275" s="36">
        <v>1</v>
      </c>
      <c r="C275" s="36"/>
      <c r="D275" s="36">
        <v>21</v>
      </c>
      <c r="E275" s="36" t="str">
        <f>CONCATENATE('Смета ЕР (общ) '!$A275,".",'Смета ЕР (общ) '!$B275,".",'Смета ЕР (общ) '!$D275)</f>
        <v>Р3.1.21</v>
      </c>
      <c r="F275" s="36">
        <f t="shared" si="21"/>
        <v>1</v>
      </c>
      <c r="G275" s="36"/>
      <c r="H275" s="36"/>
      <c r="I275" s="36"/>
      <c r="J275" s="36"/>
      <c r="K275" s="36"/>
      <c r="L275" s="37" t="s">
        <v>304</v>
      </c>
      <c r="M275" s="38" t="s">
        <v>147</v>
      </c>
      <c r="N275" s="39"/>
      <c r="O275" s="40">
        <v>585.20000000000005</v>
      </c>
      <c r="P275" s="40">
        <v>0</v>
      </c>
      <c r="Q275" s="40">
        <f t="shared" si="20"/>
        <v>585.20000000000005</v>
      </c>
      <c r="R275" s="40">
        <f t="shared" si="20"/>
        <v>0</v>
      </c>
      <c r="S275" s="40">
        <f>ROUND('Смета ЕР (общ) '!$N275*'Смета ЕР (общ) '!$Q275,2)</f>
        <v>0</v>
      </c>
      <c r="T275" s="40">
        <f>ROUND('Смета ЕР (общ) '!$N275*'Смета ЕР (общ) '!$R275,2)</f>
        <v>0</v>
      </c>
    </row>
    <row r="276" spans="1:25" ht="24" x14ac:dyDescent="0.3">
      <c r="A276" s="63" t="s">
        <v>279</v>
      </c>
      <c r="B276" s="63">
        <v>1</v>
      </c>
      <c r="C276" s="63"/>
      <c r="D276" s="63">
        <v>22</v>
      </c>
      <c r="E276" s="63" t="str">
        <f>CONCATENATE('Смета ЕР (общ) '!$A276,".",'Смета ЕР (общ) '!$B276,".",'Смета ЕР (общ) '!$D276)</f>
        <v>Р3.1.22</v>
      </c>
      <c r="F276" s="63">
        <f t="shared" si="21"/>
        <v>1</v>
      </c>
      <c r="G276" s="63"/>
      <c r="H276" s="63"/>
      <c r="I276" s="63"/>
      <c r="J276" s="63"/>
      <c r="K276" s="63"/>
      <c r="L276" s="64" t="s">
        <v>305</v>
      </c>
      <c r="M276" s="65" t="s">
        <v>144</v>
      </c>
      <c r="N276" s="39"/>
      <c r="O276" s="40">
        <v>25414.48</v>
      </c>
      <c r="P276" s="40">
        <v>0</v>
      </c>
      <c r="Q276" s="40">
        <f t="shared" si="20"/>
        <v>25414.48</v>
      </c>
      <c r="R276" s="40">
        <f t="shared" si="20"/>
        <v>0</v>
      </c>
      <c r="S276" s="40">
        <f>ROUND('Смета ЕР (общ) '!$N276*'Смета ЕР (общ) '!$Q276,2)</f>
        <v>0</v>
      </c>
      <c r="T276" s="40">
        <f>ROUND('Смета ЕР (общ) '!$N276*'Смета ЕР (общ) '!$R276,2)</f>
        <v>0</v>
      </c>
    </row>
    <row r="277" spans="1:25" ht="24" x14ac:dyDescent="0.3">
      <c r="A277" s="63" t="s">
        <v>279</v>
      </c>
      <c r="B277" s="63">
        <v>1</v>
      </c>
      <c r="C277" s="63"/>
      <c r="D277" s="63">
        <v>23</v>
      </c>
      <c r="E277" s="63" t="str">
        <f>CONCATENATE('Смета ЕР (общ) '!$A277,".",'Смета ЕР (общ) '!$B277,".",'Смета ЕР (общ) '!$D277)</f>
        <v>Р3.1.23</v>
      </c>
      <c r="F277" s="63">
        <f t="shared" si="21"/>
        <v>1</v>
      </c>
      <c r="G277" s="63"/>
      <c r="H277" s="63"/>
      <c r="I277" s="63"/>
      <c r="J277" s="63"/>
      <c r="K277" s="63"/>
      <c r="L277" s="64" t="s">
        <v>306</v>
      </c>
      <c r="M277" s="65" t="s">
        <v>144</v>
      </c>
      <c r="N277" s="39"/>
      <c r="O277" s="40">
        <v>31115.45</v>
      </c>
      <c r="P277" s="40">
        <v>0</v>
      </c>
      <c r="Q277" s="40">
        <f t="shared" si="20"/>
        <v>31115.45</v>
      </c>
      <c r="R277" s="40">
        <f t="shared" si="20"/>
        <v>0</v>
      </c>
      <c r="S277" s="40">
        <f>ROUND('Смета ЕР (общ) '!$N277*'Смета ЕР (общ) '!$Q277,2)</f>
        <v>0</v>
      </c>
      <c r="T277" s="40">
        <f>ROUND('Смета ЕР (общ) '!$N277*'Смета ЕР (общ) '!$R277,2)</f>
        <v>0</v>
      </c>
    </row>
    <row r="278" spans="1:25" ht="24" x14ac:dyDescent="0.3">
      <c r="A278" s="63" t="s">
        <v>279</v>
      </c>
      <c r="B278" s="63">
        <v>1</v>
      </c>
      <c r="C278" s="63"/>
      <c r="D278" s="63">
        <v>18</v>
      </c>
      <c r="E278" s="63" t="str">
        <f>CONCATENATE('Смета ЕР (общ) '!$A278,".",'Смета ЕР (общ) '!$B278,".",'Смета ЕР (общ) '!$D278)</f>
        <v>Р3.1.18</v>
      </c>
      <c r="F278" s="63">
        <f t="shared" si="21"/>
        <v>1</v>
      </c>
      <c r="G278" s="63"/>
      <c r="H278" s="63"/>
      <c r="I278" s="63"/>
      <c r="J278" s="63"/>
      <c r="K278" s="63"/>
      <c r="L278" s="64" t="s">
        <v>307</v>
      </c>
      <c r="M278" s="65" t="s">
        <v>40</v>
      </c>
      <c r="N278" s="39"/>
      <c r="O278" s="40">
        <v>500.21</v>
      </c>
      <c r="P278" s="40">
        <v>104.4</v>
      </c>
      <c r="Q278" s="40">
        <f t="shared" si="20"/>
        <v>500.21</v>
      </c>
      <c r="R278" s="40">
        <f t="shared" si="20"/>
        <v>104.4</v>
      </c>
      <c r="S278" s="40">
        <f>ROUND('Смета ЕР (общ) '!$N278*'Смета ЕР (общ) '!$Q278,2)</f>
        <v>0</v>
      </c>
      <c r="T278" s="40">
        <f>ROUND('Смета ЕР (общ) '!$N278*'Смета ЕР (общ) '!$R278,2)</f>
        <v>0</v>
      </c>
      <c r="Y278">
        <v>10</v>
      </c>
    </row>
    <row r="279" spans="1:25" ht="14.4" x14ac:dyDescent="0.3">
      <c r="A279" s="36" t="s">
        <v>279</v>
      </c>
      <c r="B279" s="36">
        <v>1</v>
      </c>
      <c r="C279" s="36"/>
      <c r="D279" s="36">
        <v>30</v>
      </c>
      <c r="E279" s="36" t="str">
        <f>CONCATENATE('Смета ЕР (общ) '!$A279,".",'Смета ЕР (общ) '!$B279,".",'Смета ЕР (общ) '!$D279)</f>
        <v>Р3.1.30</v>
      </c>
      <c r="F279" s="36">
        <f t="shared" si="21"/>
        <v>1</v>
      </c>
      <c r="G279" s="36"/>
      <c r="H279" s="36"/>
      <c r="I279" s="36"/>
      <c r="J279" s="36"/>
      <c r="K279" s="36"/>
      <c r="L279" s="37" t="s">
        <v>308</v>
      </c>
      <c r="M279" s="38" t="s">
        <v>144</v>
      </c>
      <c r="N279" s="39"/>
      <c r="O279" s="40">
        <v>12214.8</v>
      </c>
      <c r="P279" s="40">
        <v>0</v>
      </c>
      <c r="Q279" s="40">
        <f t="shared" si="20"/>
        <v>12214.8</v>
      </c>
      <c r="R279" s="40">
        <f t="shared" si="20"/>
        <v>0</v>
      </c>
      <c r="S279" s="40">
        <f>ROUND('Смета ЕР (общ) '!$N279*'Смета ЕР (общ) '!$Q279,2)</f>
        <v>0</v>
      </c>
      <c r="T279" s="40">
        <f>ROUND('Смета ЕР (общ) '!$N279*'Смета ЕР (общ) '!$R279,2)</f>
        <v>0</v>
      </c>
    </row>
    <row r="280" spans="1:25" ht="14.4" x14ac:dyDescent="0.3">
      <c r="A280" s="36" t="s">
        <v>279</v>
      </c>
      <c r="B280" s="36">
        <v>1</v>
      </c>
      <c r="C280" s="36"/>
      <c r="D280" s="36">
        <v>29</v>
      </c>
      <c r="E280" s="36" t="str">
        <f>CONCATENATE('Смета ЕР (общ) '!$A280,".",'Смета ЕР (общ) '!$B280,".",'Смета ЕР (общ) '!$D280)</f>
        <v>Р3.1.29</v>
      </c>
      <c r="F280" s="36">
        <f t="shared" si="21"/>
        <v>1</v>
      </c>
      <c r="G280" s="36"/>
      <c r="H280" s="36"/>
      <c r="I280" s="36"/>
      <c r="J280" s="36"/>
      <c r="K280" s="36"/>
      <c r="L280" s="37" t="s">
        <v>309</v>
      </c>
      <c r="M280" s="38" t="s">
        <v>144</v>
      </c>
      <c r="N280" s="39"/>
      <c r="O280" s="40">
        <v>10521.32</v>
      </c>
      <c r="P280" s="40">
        <v>0</v>
      </c>
      <c r="Q280" s="40">
        <f t="shared" si="20"/>
        <v>10521.32</v>
      </c>
      <c r="R280" s="40">
        <f t="shared" si="20"/>
        <v>0</v>
      </c>
      <c r="S280" s="40">
        <f>ROUND('Смета ЕР (общ) '!$N280*'Смета ЕР (общ) '!$Q280,2)</f>
        <v>0</v>
      </c>
      <c r="T280" s="40">
        <f>ROUND('Смета ЕР (общ) '!$N280*'Смета ЕР (общ) '!$R280,2)</f>
        <v>0</v>
      </c>
    </row>
    <row r="281" spans="1:25" ht="14.4" x14ac:dyDescent="0.3">
      <c r="A281" s="36" t="s">
        <v>279</v>
      </c>
      <c r="B281" s="36">
        <v>1</v>
      </c>
      <c r="C281" s="36"/>
      <c r="D281" s="36">
        <v>31</v>
      </c>
      <c r="E281" s="36" t="str">
        <f>CONCATENATE('Смета ЕР (общ) '!$A281,".",'Смета ЕР (общ) '!$B281,".",'Смета ЕР (общ) '!$D281)</f>
        <v>Р3.1.31</v>
      </c>
      <c r="F281" s="36">
        <f t="shared" si="21"/>
        <v>1</v>
      </c>
      <c r="G281" s="36"/>
      <c r="H281" s="36"/>
      <c r="I281" s="36"/>
      <c r="J281" s="36"/>
      <c r="K281" s="36"/>
      <c r="L281" s="37" t="s">
        <v>310</v>
      </c>
      <c r="M281" s="38" t="s">
        <v>311</v>
      </c>
      <c r="N281" s="39"/>
      <c r="O281" s="40">
        <v>76.37</v>
      </c>
      <c r="P281" s="40">
        <v>0</v>
      </c>
      <c r="Q281" s="40">
        <f t="shared" si="20"/>
        <v>76.37</v>
      </c>
      <c r="R281" s="40">
        <f t="shared" si="20"/>
        <v>0</v>
      </c>
      <c r="S281" s="40">
        <f>ROUND('Смета ЕР (общ) '!$N281*'Смета ЕР (общ) '!$Q281,2)</f>
        <v>0</v>
      </c>
      <c r="T281" s="40">
        <f>ROUND('Смета ЕР (общ) '!$N281*'Смета ЕР (общ) '!$R281,2)</f>
        <v>0</v>
      </c>
      <c r="Y281">
        <v>150</v>
      </c>
    </row>
    <row r="282" spans="1:25" ht="14.4" x14ac:dyDescent="0.3">
      <c r="A282" s="36" t="s">
        <v>279</v>
      </c>
      <c r="B282" s="36">
        <v>1</v>
      </c>
      <c r="C282" s="36"/>
      <c r="D282" s="36">
        <v>25</v>
      </c>
      <c r="E282" s="36" t="str">
        <f>CONCATENATE('Смета ЕР (общ) '!$A282,".",'Смета ЕР (общ) '!$B282,".",'Смета ЕР (общ) '!$D282)</f>
        <v>Р3.1.25</v>
      </c>
      <c r="F282" s="36">
        <f t="shared" si="21"/>
        <v>1</v>
      </c>
      <c r="G282" s="36"/>
      <c r="H282" s="36"/>
      <c r="I282" s="36"/>
      <c r="J282" s="36"/>
      <c r="K282" s="36"/>
      <c r="L282" s="37" t="s">
        <v>312</v>
      </c>
      <c r="M282" s="38" t="s">
        <v>311</v>
      </c>
      <c r="N282" s="39"/>
      <c r="O282" s="40">
        <v>78.959999999999994</v>
      </c>
      <c r="P282" s="40">
        <v>0</v>
      </c>
      <c r="Q282" s="40">
        <f t="shared" si="20"/>
        <v>78.959999999999994</v>
      </c>
      <c r="R282" s="40">
        <f t="shared" si="20"/>
        <v>0</v>
      </c>
      <c r="S282" s="40">
        <f>ROUND('Смета ЕР (общ) '!$N282*'Смета ЕР (общ) '!$Q282,2)</f>
        <v>0</v>
      </c>
      <c r="T282" s="40">
        <f>ROUND('Смета ЕР (общ) '!$N282*'Смета ЕР (общ) '!$R282,2)</f>
        <v>0</v>
      </c>
      <c r="Y282">
        <v>150</v>
      </c>
    </row>
    <row r="283" spans="1:25" ht="14.4" x14ac:dyDescent="0.3">
      <c r="A283" s="36" t="s">
        <v>279</v>
      </c>
      <c r="B283" s="36">
        <v>1</v>
      </c>
      <c r="C283" s="36"/>
      <c r="D283" s="36">
        <v>26</v>
      </c>
      <c r="E283" s="36" t="str">
        <f>CONCATENATE('Смета ЕР (общ) '!$A283,".",'Смета ЕР (общ) '!$B283,".",'Смета ЕР (общ) '!$D283)</f>
        <v>Р3.1.26</v>
      </c>
      <c r="F283" s="36">
        <f t="shared" si="21"/>
        <v>1</v>
      </c>
      <c r="G283" s="36"/>
      <c r="H283" s="36"/>
      <c r="I283" s="36"/>
      <c r="J283" s="36"/>
      <c r="K283" s="36"/>
      <c r="L283" s="37" t="s">
        <v>313</v>
      </c>
      <c r="M283" s="38" t="s">
        <v>311</v>
      </c>
      <c r="N283" s="39"/>
      <c r="O283" s="40">
        <v>134.85</v>
      </c>
      <c r="P283" s="40">
        <v>0</v>
      </c>
      <c r="Q283" s="40">
        <f t="shared" si="20"/>
        <v>134.85</v>
      </c>
      <c r="R283" s="40">
        <f t="shared" si="20"/>
        <v>0</v>
      </c>
      <c r="S283" s="40">
        <f>ROUND('Смета ЕР (общ) '!$N283*'Смета ЕР (общ) '!$Q283,2)</f>
        <v>0</v>
      </c>
      <c r="T283" s="40">
        <f>ROUND('Смета ЕР (общ) '!$N283*'Смета ЕР (общ) '!$R283,2)</f>
        <v>0</v>
      </c>
    </row>
    <row r="284" spans="1:25" ht="14.4" x14ac:dyDescent="0.3">
      <c r="A284" s="36" t="s">
        <v>279</v>
      </c>
      <c r="B284" s="36">
        <v>1</v>
      </c>
      <c r="C284" s="36"/>
      <c r="D284" s="36">
        <v>32</v>
      </c>
      <c r="E284" s="36" t="str">
        <f>CONCATENATE('Смета ЕР (общ) '!$A284,".",'Смета ЕР (общ) '!$B284,".",'Смета ЕР (общ) '!$D284)</f>
        <v>Р3.1.32</v>
      </c>
      <c r="F284" s="36">
        <f t="shared" si="21"/>
        <v>1</v>
      </c>
      <c r="G284" s="36"/>
      <c r="H284" s="36"/>
      <c r="I284" s="36"/>
      <c r="J284" s="36"/>
      <c r="K284" s="36"/>
      <c r="L284" s="37" t="s">
        <v>314</v>
      </c>
      <c r="M284" s="38" t="s">
        <v>311</v>
      </c>
      <c r="N284" s="39"/>
      <c r="O284" s="40">
        <v>174</v>
      </c>
      <c r="P284" s="40">
        <v>0</v>
      </c>
      <c r="Q284" s="40">
        <f t="shared" si="20"/>
        <v>174</v>
      </c>
      <c r="R284" s="40">
        <f t="shared" si="20"/>
        <v>0</v>
      </c>
      <c r="S284" s="40">
        <f>ROUND('Смета ЕР (общ) '!$N284*'Смета ЕР (общ) '!$Q284,2)</f>
        <v>0</v>
      </c>
      <c r="T284" s="40">
        <f>ROUND('Смета ЕР (общ) '!$N284*'Смета ЕР (общ) '!$R284,2)</f>
        <v>0</v>
      </c>
      <c r="Y284">
        <v>150</v>
      </c>
    </row>
    <row r="285" spans="1:25" ht="24" x14ac:dyDescent="0.3">
      <c r="A285" s="36" t="s">
        <v>279</v>
      </c>
      <c r="B285" s="36">
        <v>1</v>
      </c>
      <c r="C285" s="36"/>
      <c r="D285" s="36">
        <v>17</v>
      </c>
      <c r="E285" s="36" t="str">
        <f>CONCATENATE('Смета ЕР (общ) '!$A285,".",'Смета ЕР (общ) '!$B285,".",'Смета ЕР (общ) '!$D285)</f>
        <v>Р3.1.17</v>
      </c>
      <c r="F285" s="36">
        <f t="shared" si="21"/>
        <v>1</v>
      </c>
      <c r="G285" s="36"/>
      <c r="H285" s="36"/>
      <c r="I285" s="36"/>
      <c r="J285" s="36"/>
      <c r="K285" s="36"/>
      <c r="L285" s="53" t="s">
        <v>315</v>
      </c>
      <c r="M285" s="54" t="s">
        <v>40</v>
      </c>
      <c r="N285" s="39"/>
      <c r="O285" s="40">
        <v>560</v>
      </c>
      <c r="P285" s="40">
        <v>832.4</v>
      </c>
      <c r="Q285" s="40">
        <f t="shared" si="20"/>
        <v>560</v>
      </c>
      <c r="R285" s="40">
        <f t="shared" si="20"/>
        <v>832.4</v>
      </c>
      <c r="S285" s="40">
        <f>ROUND('Смета ЕР (общ) '!$N285*'Смета ЕР (общ) '!$Q285,2)</f>
        <v>0</v>
      </c>
      <c r="T285" s="40">
        <f>ROUND('Смета ЕР (общ) '!$N285*'Смета ЕР (общ) '!$R285,2)</f>
        <v>0</v>
      </c>
      <c r="Y285">
        <v>10</v>
      </c>
    </row>
    <row r="286" spans="1:25" ht="14.4" x14ac:dyDescent="0.3">
      <c r="A286" s="36" t="s">
        <v>279</v>
      </c>
      <c r="B286" s="36">
        <v>1</v>
      </c>
      <c r="C286" s="36"/>
      <c r="D286" s="36">
        <v>28</v>
      </c>
      <c r="E286" s="36" t="str">
        <f>CONCATENATE('Смета ЕР (общ) '!$A286,".",'Смета ЕР (общ) '!$B286,".",'Смета ЕР (общ) '!$D286)</f>
        <v>Р3.1.28</v>
      </c>
      <c r="F286" s="36">
        <f t="shared" si="21"/>
        <v>1</v>
      </c>
      <c r="G286" s="36"/>
      <c r="H286" s="36"/>
      <c r="I286" s="36"/>
      <c r="J286" s="36"/>
      <c r="K286" s="36"/>
      <c r="L286" s="53" t="s">
        <v>316</v>
      </c>
      <c r="M286" s="54" t="s">
        <v>40</v>
      </c>
      <c r="N286" s="39"/>
      <c r="O286" s="40">
        <v>560</v>
      </c>
      <c r="P286" s="40">
        <v>831.03</v>
      </c>
      <c r="Q286" s="40">
        <f t="shared" si="20"/>
        <v>560</v>
      </c>
      <c r="R286" s="40">
        <f t="shared" si="20"/>
        <v>831.03</v>
      </c>
      <c r="S286" s="40">
        <f>ROUND('Смета ЕР (общ) '!$N286*'Смета ЕР (общ) '!$Q286,2)</f>
        <v>0</v>
      </c>
      <c r="T286" s="40">
        <f>ROUND('Смета ЕР (общ) '!$N286*'Смета ЕР (общ) '!$R286,2)</f>
        <v>0</v>
      </c>
    </row>
    <row r="287" spans="1:25" ht="14.4" x14ac:dyDescent="0.3">
      <c r="A287" s="36" t="s">
        <v>279</v>
      </c>
      <c r="B287" s="36">
        <v>1</v>
      </c>
      <c r="C287" s="36"/>
      <c r="D287" s="36">
        <v>16</v>
      </c>
      <c r="E287" s="36" t="str">
        <f>CONCATENATE('Смета ЕР (общ) '!$A287,".",'Смета ЕР (общ) '!$B287,".",'Смета ЕР (общ) '!$D287)</f>
        <v>Р3.1.16</v>
      </c>
      <c r="F287" s="36">
        <f t="shared" si="21"/>
        <v>1</v>
      </c>
      <c r="G287" s="36"/>
      <c r="H287" s="36"/>
      <c r="I287" s="36"/>
      <c r="J287" s="36"/>
      <c r="K287" s="36"/>
      <c r="L287" s="53" t="s">
        <v>317</v>
      </c>
      <c r="M287" s="38" t="s">
        <v>118</v>
      </c>
      <c r="N287" s="39"/>
      <c r="O287" s="40">
        <v>3063.98</v>
      </c>
      <c r="P287" s="40">
        <v>1562.63</v>
      </c>
      <c r="Q287" s="40">
        <f t="shared" si="20"/>
        <v>3063.98</v>
      </c>
      <c r="R287" s="40">
        <f t="shared" si="20"/>
        <v>1562.63</v>
      </c>
      <c r="S287" s="40">
        <f>ROUND('Смета ЕР (общ) '!$N287*'Смета ЕР (общ) '!$Q287,2)</f>
        <v>0</v>
      </c>
      <c r="T287" s="40">
        <f>ROUND('Смета ЕР (общ) '!$N287*'Смета ЕР (общ) '!$R287,2)</f>
        <v>0</v>
      </c>
    </row>
    <row r="288" spans="1:25" ht="14.4" x14ac:dyDescent="0.3">
      <c r="A288" s="36" t="s">
        <v>279</v>
      </c>
      <c r="B288" s="36">
        <v>1</v>
      </c>
      <c r="C288" s="36"/>
      <c r="D288" s="36">
        <v>24</v>
      </c>
      <c r="E288" s="36" t="str">
        <f>CONCATENATE('Смета ЕР (общ) '!$A288,".",'Смета ЕР (общ) '!$B288,".",'Смета ЕР (общ) '!$D288)</f>
        <v>Р3.1.24</v>
      </c>
      <c r="F288" s="36">
        <f t="shared" si="21"/>
        <v>1</v>
      </c>
      <c r="G288" s="36"/>
      <c r="H288" s="36"/>
      <c r="I288" s="36"/>
      <c r="J288" s="36"/>
      <c r="K288" s="36"/>
      <c r="L288" s="37" t="s">
        <v>318</v>
      </c>
      <c r="M288" s="54" t="s">
        <v>40</v>
      </c>
      <c r="N288" s="39"/>
      <c r="O288" s="40">
        <v>115.13</v>
      </c>
      <c r="P288" s="40">
        <v>25</v>
      </c>
      <c r="Q288" s="40">
        <f t="shared" si="20"/>
        <v>115.13</v>
      </c>
      <c r="R288" s="40">
        <f t="shared" si="20"/>
        <v>25</v>
      </c>
      <c r="S288" s="40">
        <f>ROUND('Смета ЕР (общ) '!$N288*'Смета ЕР (общ) '!$Q288,2)</f>
        <v>0</v>
      </c>
      <c r="T288" s="40">
        <f>ROUND('Смета ЕР (общ) '!$N288*'Смета ЕР (общ) '!$R288,2)</f>
        <v>0</v>
      </c>
    </row>
    <row r="289" spans="1:25" ht="14.4" x14ac:dyDescent="0.3">
      <c r="A289" s="36" t="s">
        <v>279</v>
      </c>
      <c r="B289" s="36">
        <v>1</v>
      </c>
      <c r="C289" s="36"/>
      <c r="D289" s="36">
        <v>35</v>
      </c>
      <c r="E289" s="36" t="str">
        <f>CONCATENATE('Смета ЕР (общ) '!$A289,".",'Смета ЕР (общ) '!$B289,".",'Смета ЕР (общ) '!$D289)</f>
        <v>Р3.1.35</v>
      </c>
      <c r="F289" s="36">
        <f t="shared" si="21"/>
        <v>1</v>
      </c>
      <c r="G289" s="36"/>
      <c r="H289" s="36"/>
      <c r="I289" s="36"/>
      <c r="J289" s="36"/>
      <c r="K289" s="36"/>
      <c r="L289" s="37" t="s">
        <v>319</v>
      </c>
      <c r="M289" s="54" t="s">
        <v>147</v>
      </c>
      <c r="N289" s="39"/>
      <c r="O289" s="40">
        <v>490.94</v>
      </c>
      <c r="P289" s="40">
        <v>213.65</v>
      </c>
      <c r="Q289" s="40">
        <f t="shared" si="20"/>
        <v>490.94</v>
      </c>
      <c r="R289" s="40">
        <f t="shared" si="20"/>
        <v>213.65</v>
      </c>
      <c r="S289" s="40">
        <f>ROUND('Смета ЕР (общ) '!$N289*'Смета ЕР (общ) '!$Q289,2)</f>
        <v>0</v>
      </c>
      <c r="T289" s="40">
        <f>ROUND('Смета ЕР (общ) '!$N289*'Смета ЕР (общ) '!$R289,2)</f>
        <v>0</v>
      </c>
    </row>
    <row r="290" spans="1:25" ht="14.4" x14ac:dyDescent="0.3">
      <c r="A290" s="36" t="s">
        <v>279</v>
      </c>
      <c r="B290" s="36">
        <v>1</v>
      </c>
      <c r="C290" s="36"/>
      <c r="D290" s="36">
        <v>36</v>
      </c>
      <c r="E290" s="36" t="str">
        <f>CONCATENATE('Смета ЕР (общ) '!$A290,".",'Смета ЕР (общ) '!$B290,".",'Смета ЕР (общ) '!$D290)</f>
        <v>Р3.1.36</v>
      </c>
      <c r="F290" s="36">
        <f t="shared" si="21"/>
        <v>1</v>
      </c>
      <c r="G290" s="36"/>
      <c r="H290" s="36"/>
      <c r="I290" s="36"/>
      <c r="J290" s="36"/>
      <c r="K290" s="36"/>
      <c r="L290" s="37" t="s">
        <v>320</v>
      </c>
      <c r="M290" s="38" t="s">
        <v>118</v>
      </c>
      <c r="N290" s="39"/>
      <c r="O290" s="40">
        <v>1788.72</v>
      </c>
      <c r="P290" s="40">
        <v>2311.16</v>
      </c>
      <c r="Q290" s="40">
        <f t="shared" si="20"/>
        <v>1788.72</v>
      </c>
      <c r="R290" s="40">
        <f t="shared" si="20"/>
        <v>2311.16</v>
      </c>
      <c r="S290" s="40">
        <f>ROUND('Смета ЕР (общ) '!$N290*'Смета ЕР (общ) '!$Q290,2)</f>
        <v>0</v>
      </c>
      <c r="T290" s="40">
        <f>ROUND('Смета ЕР (общ) '!$N290*'Смета ЕР (общ) '!$R290,2)</f>
        <v>0</v>
      </c>
    </row>
    <row r="291" spans="1:25" ht="14.4" x14ac:dyDescent="0.3">
      <c r="A291" s="36" t="s">
        <v>279</v>
      </c>
      <c r="B291" s="36">
        <v>1</v>
      </c>
      <c r="C291" s="36"/>
      <c r="D291" s="36">
        <v>37</v>
      </c>
      <c r="E291" s="36" t="str">
        <f>CONCATENATE('Смета ЕР (общ) '!$A291,".",'Смета ЕР (общ) '!$B291,".",'Смета ЕР (общ) '!$D291)</f>
        <v>Р3.1.37</v>
      </c>
      <c r="F291" s="36">
        <f t="shared" si="21"/>
        <v>1</v>
      </c>
      <c r="G291" s="36"/>
      <c r="H291" s="36"/>
      <c r="I291" s="36"/>
      <c r="J291" s="36"/>
      <c r="K291" s="36"/>
      <c r="L291" s="37" t="s">
        <v>321</v>
      </c>
      <c r="M291" s="38" t="s">
        <v>118</v>
      </c>
      <c r="N291" s="39"/>
      <c r="O291" s="40">
        <v>2401.1999999999998</v>
      </c>
      <c r="P291" s="40">
        <v>5600</v>
      </c>
      <c r="Q291" s="40">
        <f t="shared" si="20"/>
        <v>2401.1999999999998</v>
      </c>
      <c r="R291" s="40">
        <f t="shared" si="20"/>
        <v>5600</v>
      </c>
      <c r="S291" s="40">
        <f>ROUND('Смета ЕР (общ) '!$N291*'Смета ЕР (общ) '!$Q291,2)</f>
        <v>0</v>
      </c>
      <c r="T291" s="40">
        <f>ROUND('Смета ЕР (общ) '!$N291*'Смета ЕР (общ) '!$R291,2)</f>
        <v>0</v>
      </c>
    </row>
    <row r="292" spans="1:25" ht="14.4" x14ac:dyDescent="0.3">
      <c r="A292" s="36" t="s">
        <v>279</v>
      </c>
      <c r="B292" s="36">
        <v>1</v>
      </c>
      <c r="C292" s="36"/>
      <c r="D292" s="36">
        <v>38</v>
      </c>
      <c r="E292" s="36" t="str">
        <f>CONCATENATE('Смета ЕР (общ) '!$A292,".",'Смета ЕР (общ) '!$B292,".",'Смета ЕР (общ) '!$D292)</f>
        <v>Р3.1.38</v>
      </c>
      <c r="F292" s="36">
        <f t="shared" si="21"/>
        <v>1</v>
      </c>
      <c r="G292" s="36"/>
      <c r="H292" s="36"/>
      <c r="I292" s="36"/>
      <c r="J292" s="36"/>
      <c r="K292" s="36"/>
      <c r="L292" s="37" t="s">
        <v>322</v>
      </c>
      <c r="M292" s="38" t="s">
        <v>118</v>
      </c>
      <c r="N292" s="39"/>
      <c r="O292" s="40">
        <v>2554.3200000000002</v>
      </c>
      <c r="P292" s="40">
        <v>6000</v>
      </c>
      <c r="Q292" s="40">
        <f t="shared" si="20"/>
        <v>2554.3200000000002</v>
      </c>
      <c r="R292" s="40">
        <f t="shared" si="20"/>
        <v>6000</v>
      </c>
      <c r="S292" s="40">
        <f>ROUND('Смета ЕР (общ) '!$N292*'Смета ЕР (общ) '!$Q292,2)</f>
        <v>0</v>
      </c>
      <c r="T292" s="40">
        <f>ROUND('Смета ЕР (общ) '!$N292*'Смета ЕР (общ) '!$R292,2)</f>
        <v>0</v>
      </c>
    </row>
    <row r="293" spans="1:25" ht="14.4" x14ac:dyDescent="0.3">
      <c r="A293" s="36" t="s">
        <v>279</v>
      </c>
      <c r="B293" s="36">
        <v>1</v>
      </c>
      <c r="C293" s="36"/>
      <c r="D293" s="36">
        <v>39</v>
      </c>
      <c r="E293" s="36" t="str">
        <f>CONCATENATE('Смета ЕР (общ) '!$A293,".",'Смета ЕР (общ) '!$B293,".",'Смета ЕР (общ) '!$D293)</f>
        <v>Р3.1.39</v>
      </c>
      <c r="F293" s="36">
        <f t="shared" si="21"/>
        <v>1</v>
      </c>
      <c r="G293" s="36"/>
      <c r="H293" s="36"/>
      <c r="I293" s="36"/>
      <c r="J293" s="36"/>
      <c r="K293" s="36"/>
      <c r="L293" s="37" t="s">
        <v>323</v>
      </c>
      <c r="M293" s="38" t="s">
        <v>118</v>
      </c>
      <c r="N293" s="39"/>
      <c r="O293" s="40">
        <v>2924.94</v>
      </c>
      <c r="P293" s="40">
        <v>6150</v>
      </c>
      <c r="Q293" s="40">
        <f t="shared" si="20"/>
        <v>2924.94</v>
      </c>
      <c r="R293" s="40">
        <f t="shared" si="20"/>
        <v>6150</v>
      </c>
      <c r="S293" s="40">
        <f>ROUND('Смета ЕР (общ) '!$N293*'Смета ЕР (общ) '!$Q293,2)</f>
        <v>0</v>
      </c>
      <c r="T293" s="40">
        <f>ROUND('Смета ЕР (общ) '!$N293*'Смета ЕР (общ) '!$R293,2)</f>
        <v>0</v>
      </c>
    </row>
    <row r="294" spans="1:25" ht="24" x14ac:dyDescent="0.3">
      <c r="A294" s="36" t="s">
        <v>279</v>
      </c>
      <c r="B294" s="36">
        <v>1</v>
      </c>
      <c r="C294" s="36"/>
      <c r="D294" s="36">
        <v>40</v>
      </c>
      <c r="E294" s="36" t="str">
        <f>CONCATENATE('Смета ЕР (общ) '!$A294,".",'Смета ЕР (общ) '!$B294,".",'Смета ЕР (общ) '!$D294)</f>
        <v>Р3.1.40</v>
      </c>
      <c r="F294" s="36">
        <f t="shared" si="21"/>
        <v>1</v>
      </c>
      <c r="G294" s="36"/>
      <c r="H294" s="36"/>
      <c r="I294" s="36"/>
      <c r="J294" s="36"/>
      <c r="K294" s="36"/>
      <c r="L294" s="37" t="s">
        <v>324</v>
      </c>
      <c r="M294" s="54" t="s">
        <v>147</v>
      </c>
      <c r="N294" s="39"/>
      <c r="O294" s="40">
        <v>1733.48</v>
      </c>
      <c r="P294" s="40">
        <v>904.04</v>
      </c>
      <c r="Q294" s="40">
        <f t="shared" si="20"/>
        <v>1733.48</v>
      </c>
      <c r="R294" s="40">
        <f t="shared" si="20"/>
        <v>904.04</v>
      </c>
      <c r="S294" s="40">
        <f>ROUND('Смета ЕР (общ) '!$N294*'Смета ЕР (общ) '!$Q294,2)</f>
        <v>0</v>
      </c>
      <c r="T294" s="40">
        <f>ROUND('Смета ЕР (общ) '!$N294*'Смета ЕР (общ) '!$R294,2)</f>
        <v>0</v>
      </c>
    </row>
    <row r="295" spans="1:25" ht="14.4" x14ac:dyDescent="0.3">
      <c r="A295" s="48" t="s">
        <v>279</v>
      </c>
      <c r="B295" s="48">
        <v>2</v>
      </c>
      <c r="C295" s="48"/>
      <c r="D295" s="48">
        <v>0</v>
      </c>
      <c r="E295" s="48" t="str">
        <f>CONCATENATE('Смета ЕР (общ) '!$A295,".",'Смета ЕР (общ) '!$B295,".",'Смета ЕР (общ) '!$D295)</f>
        <v>Р3.2.0</v>
      </c>
      <c r="F295" s="48">
        <f t="shared" si="21"/>
        <v>1</v>
      </c>
      <c r="G295" s="48"/>
      <c r="H295" s="48"/>
      <c r="I295" s="48"/>
      <c r="J295" s="48"/>
      <c r="K295" s="48"/>
      <c r="L295" s="49" t="s">
        <v>325</v>
      </c>
      <c r="M295" s="31"/>
      <c r="N295" s="32">
        <f>S295</f>
        <v>0</v>
      </c>
      <c r="O295" s="47"/>
      <c r="P295" s="47"/>
      <c r="Q295" s="34"/>
      <c r="R295" s="34"/>
      <c r="S295" s="34">
        <f>SUM(S296:S309)</f>
        <v>0</v>
      </c>
      <c r="T295" s="34">
        <f>SUM(T296:T309)</f>
        <v>0</v>
      </c>
      <c r="Y295">
        <v>230637.52000000002</v>
      </c>
    </row>
    <row r="296" spans="1:25" ht="24" x14ac:dyDescent="0.3">
      <c r="A296" s="36" t="s">
        <v>279</v>
      </c>
      <c r="B296" s="36">
        <v>2</v>
      </c>
      <c r="C296" s="36"/>
      <c r="D296" s="36">
        <v>1</v>
      </c>
      <c r="E296" s="36" t="str">
        <f>CONCATENATE('Смета ЕР (общ) '!$A296,".",'Смета ЕР (общ) '!$B296,".",'Смета ЕР (общ) '!$D296)</f>
        <v>Р3.2.1</v>
      </c>
      <c r="F296" s="36">
        <f t="shared" si="21"/>
        <v>1</v>
      </c>
      <c r="G296" s="36"/>
      <c r="H296" s="36"/>
      <c r="I296" s="36"/>
      <c r="J296" s="36"/>
      <c r="K296" s="36"/>
      <c r="L296" s="37" t="s">
        <v>326</v>
      </c>
      <c r="M296" s="54" t="s">
        <v>40</v>
      </c>
      <c r="N296" s="39"/>
      <c r="O296" s="40">
        <v>3065.04</v>
      </c>
      <c r="P296" s="40">
        <f>'[1]Бескаркасные двери и перегородк'!E10</f>
        <v>8190</v>
      </c>
      <c r="Q296" s="40">
        <f t="shared" ref="Q296:R309" si="22">ROUND(O296-O296*$V$3,2)</f>
        <v>3065.04</v>
      </c>
      <c r="R296" s="66">
        <f>P296</f>
        <v>8190</v>
      </c>
      <c r="S296" s="40">
        <f>ROUND('Смета ЕР (общ) '!$N296*'Смета ЕР (общ) '!$Q296,2)</f>
        <v>0</v>
      </c>
      <c r="T296" s="40">
        <f>ROUND('Смета ЕР (общ) '!$N296*'Смета ЕР (общ) '!$R296,2)</f>
        <v>0</v>
      </c>
      <c r="U296" s="67" t="s">
        <v>327</v>
      </c>
      <c r="V296" s="68"/>
      <c r="Y296">
        <v>25.77</v>
      </c>
    </row>
    <row r="297" spans="1:25" ht="24" x14ac:dyDescent="0.3">
      <c r="A297" s="36" t="s">
        <v>279</v>
      </c>
      <c r="B297" s="36">
        <v>2</v>
      </c>
      <c r="C297" s="36"/>
      <c r="D297" s="36">
        <v>2</v>
      </c>
      <c r="E297" s="36" t="str">
        <f>CONCATENATE('Смета ЕР (общ) '!$A297,".",'Смета ЕР (общ) '!$B297,".",'Смета ЕР (общ) '!$D297)</f>
        <v>Р3.2.2</v>
      </c>
      <c r="F297" s="36">
        <f t="shared" si="21"/>
        <v>1</v>
      </c>
      <c r="G297" s="36"/>
      <c r="H297" s="36"/>
      <c r="I297" s="36"/>
      <c r="J297" s="36"/>
      <c r="K297" s="36"/>
      <c r="L297" s="37" t="s">
        <v>328</v>
      </c>
      <c r="M297" s="38" t="s">
        <v>40</v>
      </c>
      <c r="N297" s="39"/>
      <c r="O297" s="40">
        <v>2210.33</v>
      </c>
      <c r="P297" s="40">
        <f>'[1]Бескаркасные двери и перегородк'!E11</f>
        <v>7875</v>
      </c>
      <c r="Q297" s="40">
        <f t="shared" si="22"/>
        <v>2210.33</v>
      </c>
      <c r="R297" s="66">
        <f>P297</f>
        <v>7875</v>
      </c>
      <c r="S297" s="40">
        <f>ROUND('Смета ЕР (общ) '!$N297*'Смета ЕР (общ) '!$Q297,2)</f>
        <v>0</v>
      </c>
      <c r="T297" s="40">
        <f>ROUND('Смета ЕР (общ) '!$N297*'Смета ЕР (общ) '!$R297,2)</f>
        <v>0</v>
      </c>
      <c r="U297" s="67" t="s">
        <v>327</v>
      </c>
      <c r="V297" s="68"/>
    </row>
    <row r="298" spans="1:25" ht="24" x14ac:dyDescent="0.3">
      <c r="A298" s="36" t="s">
        <v>279</v>
      </c>
      <c r="B298" s="36">
        <v>2</v>
      </c>
      <c r="C298" s="36"/>
      <c r="D298" s="36">
        <v>3</v>
      </c>
      <c r="E298" s="36" t="str">
        <f>CONCATENATE('Смета ЕР (общ) '!$A298,".",'Смета ЕР (общ) '!$B298,".",'Смета ЕР (общ) '!$D298)</f>
        <v>Р3.2.3</v>
      </c>
      <c r="F298" s="36">
        <f t="shared" si="21"/>
        <v>1</v>
      </c>
      <c r="G298" s="36"/>
      <c r="H298" s="36"/>
      <c r="I298" s="36"/>
      <c r="J298" s="36"/>
      <c r="K298" s="36"/>
      <c r="L298" s="37" t="s">
        <v>329</v>
      </c>
      <c r="M298" s="38" t="s">
        <v>40</v>
      </c>
      <c r="N298" s="39"/>
      <c r="O298" s="40">
        <v>2197.3200000000002</v>
      </c>
      <c r="P298" s="40">
        <v>7075.57</v>
      </c>
      <c r="Q298" s="40">
        <f t="shared" si="22"/>
        <v>2197.3200000000002</v>
      </c>
      <c r="R298" s="40">
        <f t="shared" si="22"/>
        <v>7075.57</v>
      </c>
      <c r="S298" s="40">
        <f>ROUND('Смета ЕР (общ) '!$N298*'Смета ЕР (общ) '!$Q298,2)</f>
        <v>0</v>
      </c>
      <c r="T298" s="40">
        <f>ROUND('Смета ЕР (общ) '!$N298*'Смета ЕР (общ) '!$R298,2)</f>
        <v>0</v>
      </c>
    </row>
    <row r="299" spans="1:25" ht="24" x14ac:dyDescent="0.3">
      <c r="A299" s="36" t="s">
        <v>279</v>
      </c>
      <c r="B299" s="36">
        <v>2</v>
      </c>
      <c r="C299" s="36"/>
      <c r="D299" s="36">
        <v>4</v>
      </c>
      <c r="E299" s="36" t="str">
        <f>CONCATENATE('Смета ЕР (общ) '!$A299,".",'Смета ЕР (общ) '!$B299,".",'Смета ЕР (общ) '!$D299)</f>
        <v>Р3.2.4</v>
      </c>
      <c r="F299" s="36">
        <f t="shared" si="21"/>
        <v>1</v>
      </c>
      <c r="G299" s="36"/>
      <c r="H299" s="36"/>
      <c r="I299" s="36"/>
      <c r="J299" s="36"/>
      <c r="K299" s="36"/>
      <c r="L299" s="53" t="s">
        <v>330</v>
      </c>
      <c r="M299" s="38" t="s">
        <v>40</v>
      </c>
      <c r="N299" s="39"/>
      <c r="O299" s="40">
        <v>1650</v>
      </c>
      <c r="P299" s="40">
        <v>1711.35</v>
      </c>
      <c r="Q299" s="40">
        <f t="shared" si="22"/>
        <v>1650</v>
      </c>
      <c r="R299" s="40">
        <f t="shared" si="22"/>
        <v>1711.35</v>
      </c>
      <c r="S299" s="40">
        <f>ROUND('Смета ЕР (общ) '!$N299*'Смета ЕР (общ) '!$Q299,2)</f>
        <v>0</v>
      </c>
      <c r="T299" s="40">
        <f>ROUND('Смета ЕР (общ) '!$N299*'Смета ЕР (общ) '!$R299,2)</f>
        <v>0</v>
      </c>
    </row>
    <row r="300" spans="1:25" ht="36" x14ac:dyDescent="0.3">
      <c r="A300" s="36" t="s">
        <v>279</v>
      </c>
      <c r="B300" s="36">
        <v>2</v>
      </c>
      <c r="C300" s="36"/>
      <c r="D300" s="36">
        <v>5</v>
      </c>
      <c r="E300" s="36" t="str">
        <f>CONCATENATE('Смета ЕР (общ) '!$A300,".",'Смета ЕР (общ) '!$B300,".",'Смета ЕР (общ) '!$D300)</f>
        <v>Р3.2.5</v>
      </c>
      <c r="F300" s="36">
        <f t="shared" si="21"/>
        <v>1</v>
      </c>
      <c r="G300" s="36"/>
      <c r="H300" s="36"/>
      <c r="I300" s="36"/>
      <c r="J300" s="36"/>
      <c r="K300" s="36"/>
      <c r="L300" s="53" t="s">
        <v>331</v>
      </c>
      <c r="M300" s="38" t="s">
        <v>40</v>
      </c>
      <c r="N300" s="39"/>
      <c r="O300" s="39">
        <v>5637.6</v>
      </c>
      <c r="P300" s="40">
        <f>'[1]Стекл. перегородки'!G8*1.05</f>
        <v>16012.5</v>
      </c>
      <c r="Q300" s="40">
        <f t="shared" si="22"/>
        <v>5637.6</v>
      </c>
      <c r="R300" s="66">
        <f>P300</f>
        <v>16012.5</v>
      </c>
      <c r="S300" s="40">
        <f>ROUND('Смета ЕР (общ) '!$N300*'Смета ЕР (общ) '!$Q300,2)</f>
        <v>0</v>
      </c>
      <c r="T300" s="40">
        <f>ROUND('Смета ЕР (общ) '!$N300*'Смета ЕР (общ) '!$R300,2)</f>
        <v>0</v>
      </c>
      <c r="U300" s="69" t="s">
        <v>332</v>
      </c>
      <c r="V300" s="68"/>
      <c r="Y300">
        <v>10</v>
      </c>
    </row>
    <row r="301" spans="1:25" ht="82.5" customHeight="1" x14ac:dyDescent="0.3">
      <c r="A301" s="36" t="s">
        <v>279</v>
      </c>
      <c r="B301" s="36">
        <v>2</v>
      </c>
      <c r="C301" s="36"/>
      <c r="D301" s="36">
        <v>6</v>
      </c>
      <c r="E301" s="36" t="str">
        <f>CONCATENATE('Смета ЕР (общ) '!$A301,".",'Смета ЕР (общ) '!$B301,".",'Смета ЕР (общ) '!$D301)</f>
        <v>Р3.2.6</v>
      </c>
      <c r="F301" s="36">
        <f t="shared" si="21"/>
        <v>1</v>
      </c>
      <c r="G301" s="36"/>
      <c r="H301" s="36"/>
      <c r="I301" s="36"/>
      <c r="J301" s="36"/>
      <c r="K301" s="36"/>
      <c r="L301" s="53" t="s">
        <v>333</v>
      </c>
      <c r="M301" s="38" t="s">
        <v>40</v>
      </c>
      <c r="N301" s="39"/>
      <c r="O301" s="40">
        <v>5637.6</v>
      </c>
      <c r="P301" s="40">
        <v>18196.919999999998</v>
      </c>
      <c r="Q301" s="40">
        <f t="shared" si="22"/>
        <v>5637.6</v>
      </c>
      <c r="R301" s="40">
        <f t="shared" si="22"/>
        <v>18196.919999999998</v>
      </c>
      <c r="S301" s="40">
        <f>ROUND('Смета ЕР (общ) '!$N301*'Смета ЕР (общ) '!$Q301,2)</f>
        <v>0</v>
      </c>
      <c r="T301" s="40">
        <f>ROUND('Смета ЕР (общ) '!$N301*'Смета ЕР (общ) '!$R301,2)</f>
        <v>0</v>
      </c>
    </row>
    <row r="302" spans="1:25" ht="39.75" customHeight="1" x14ac:dyDescent="0.3">
      <c r="A302" s="58" t="s">
        <v>279</v>
      </c>
      <c r="B302" s="58">
        <v>2</v>
      </c>
      <c r="C302" s="58"/>
      <c r="D302" s="58">
        <v>7</v>
      </c>
      <c r="E302" s="58" t="str">
        <f>CONCATENATE('Смета ЕР (общ) '!$A302,".",'Смета ЕР (общ) '!$B302,".",'Смета ЕР (общ) '!$D302)</f>
        <v>Р3.2.7</v>
      </c>
      <c r="F302" s="58">
        <f t="shared" si="21"/>
        <v>1</v>
      </c>
      <c r="G302" s="58"/>
      <c r="H302" s="58"/>
      <c r="I302" s="58"/>
      <c r="J302" s="58"/>
      <c r="K302" s="58"/>
      <c r="L302" s="70" t="s">
        <v>334</v>
      </c>
      <c r="M302" s="60" t="s">
        <v>40</v>
      </c>
      <c r="N302" s="39"/>
      <c r="O302" s="40">
        <v>8143.2</v>
      </c>
      <c r="P302" s="71">
        <v>75795.63</v>
      </c>
      <c r="Q302" s="62">
        <f t="shared" si="22"/>
        <v>8143.2</v>
      </c>
      <c r="R302" s="62">
        <f t="shared" si="22"/>
        <v>75795.63</v>
      </c>
      <c r="S302" s="62">
        <f>ROUND('Смета ЕР (общ) '!$N302*'Смета ЕР (общ) '!$Q302,2)</f>
        <v>0</v>
      </c>
      <c r="T302" s="62">
        <f>ROUND('Смета ЕР (общ) '!$N302*'Смета ЕР (общ) '!$R302,2)</f>
        <v>0</v>
      </c>
    </row>
    <row r="303" spans="1:25" ht="14.4" x14ac:dyDescent="0.3">
      <c r="A303" s="36" t="s">
        <v>279</v>
      </c>
      <c r="B303" s="36">
        <v>2</v>
      </c>
      <c r="C303" s="36"/>
      <c r="D303" s="36">
        <v>8</v>
      </c>
      <c r="E303" s="36" t="str">
        <f>CONCATENATE('Смета ЕР (общ) '!$A303,".",'Смета ЕР (общ) '!$B303,".",'Смета ЕР (общ) '!$D303)</f>
        <v>Р3.2.8</v>
      </c>
      <c r="F303" s="36">
        <f t="shared" si="21"/>
        <v>1</v>
      </c>
      <c r="G303" s="36"/>
      <c r="H303" s="36"/>
      <c r="I303" s="36"/>
      <c r="J303" s="36"/>
      <c r="K303" s="36"/>
      <c r="L303" s="53" t="s">
        <v>335</v>
      </c>
      <c r="M303" s="38" t="s">
        <v>118</v>
      </c>
      <c r="N303" s="39"/>
      <c r="O303" s="40">
        <v>720.36</v>
      </c>
      <c r="P303" s="40">
        <v>4249.08</v>
      </c>
      <c r="Q303" s="40">
        <f t="shared" si="22"/>
        <v>720.36</v>
      </c>
      <c r="R303" s="40">
        <f t="shared" si="22"/>
        <v>4249.08</v>
      </c>
      <c r="S303" s="40">
        <f>ROUND('Смета ЕР (общ) '!$N303*'Смета ЕР (общ) '!$Q303,2)</f>
        <v>0</v>
      </c>
      <c r="T303" s="40">
        <f>ROUND('Смета ЕР (общ) '!$N303*'Смета ЕР (общ) '!$R303,2)</f>
        <v>0</v>
      </c>
      <c r="Y303">
        <v>1</v>
      </c>
    </row>
    <row r="304" spans="1:25" ht="24" x14ac:dyDescent="0.3">
      <c r="A304" s="36" t="s">
        <v>279</v>
      </c>
      <c r="B304" s="36">
        <v>2</v>
      </c>
      <c r="C304" s="36"/>
      <c r="D304" s="36">
        <v>9</v>
      </c>
      <c r="E304" s="36" t="str">
        <f>CONCATENATE('Смета ЕР (общ) '!$A304,".",'Смета ЕР (общ) '!$B304,".",'Смета ЕР (общ) '!$D304)</f>
        <v>Р3.2.9</v>
      </c>
      <c r="F304" s="36">
        <f t="shared" si="21"/>
        <v>1</v>
      </c>
      <c r="G304" s="36"/>
      <c r="H304" s="36"/>
      <c r="I304" s="36"/>
      <c r="J304" s="36"/>
      <c r="K304" s="36"/>
      <c r="L304" s="53" t="s">
        <v>336</v>
      </c>
      <c r="M304" s="54" t="s">
        <v>40</v>
      </c>
      <c r="N304" s="39"/>
      <c r="O304" s="40">
        <v>8143.2</v>
      </c>
      <c r="P304" s="40">
        <f>'[1]Трансформируемая перегородка'!F3</f>
        <v>37170</v>
      </c>
      <c r="Q304" s="40">
        <f t="shared" si="22"/>
        <v>8143.2</v>
      </c>
      <c r="R304" s="66">
        <f>P304</f>
        <v>37170</v>
      </c>
      <c r="S304" s="40">
        <f>ROUND('Смета ЕР (общ) '!$N304*'Смета ЕР (общ) '!$Q304,2)</f>
        <v>0</v>
      </c>
      <c r="T304" s="40">
        <f>ROUND('Смета ЕР (общ) '!$N304*'Смета ЕР (общ) '!$R304,2)</f>
        <v>0</v>
      </c>
      <c r="U304" s="67" t="s">
        <v>337</v>
      </c>
      <c r="V304" s="68"/>
    </row>
    <row r="305" spans="1:25" ht="24" x14ac:dyDescent="0.3">
      <c r="A305" s="36" t="s">
        <v>279</v>
      </c>
      <c r="B305" s="36">
        <v>2</v>
      </c>
      <c r="C305" s="36"/>
      <c r="D305" s="36">
        <v>10</v>
      </c>
      <c r="E305" s="36" t="str">
        <f>CONCATENATE('Смета ЕР (общ) '!$A305,".",'Смета ЕР (общ) '!$B305,".",'Смета ЕР (общ) '!$D305)</f>
        <v>Р3.2.10</v>
      </c>
      <c r="F305" s="36">
        <f t="shared" si="21"/>
        <v>1</v>
      </c>
      <c r="G305" s="36"/>
      <c r="H305" s="36"/>
      <c r="I305" s="36"/>
      <c r="J305" s="36"/>
      <c r="K305" s="36"/>
      <c r="L305" s="53" t="s">
        <v>338</v>
      </c>
      <c r="M305" s="54" t="s">
        <v>40</v>
      </c>
      <c r="N305" s="39"/>
      <c r="O305" s="40">
        <v>8143.2</v>
      </c>
      <c r="P305" s="40">
        <f>'[1]Трансформируемая перегородка'!F4</f>
        <v>34230</v>
      </c>
      <c r="Q305" s="40">
        <f t="shared" si="22"/>
        <v>8143.2</v>
      </c>
      <c r="R305" s="66">
        <f t="shared" ref="R305:R309" si="23">P305</f>
        <v>34230</v>
      </c>
      <c r="S305" s="40">
        <f>ROUND('Смета ЕР (общ) '!$N305*'Смета ЕР (общ) '!$Q305,2)</f>
        <v>0</v>
      </c>
      <c r="T305" s="40">
        <f>ROUND('Смета ЕР (общ) '!$N305*'Смета ЕР (общ) '!$R305,2)</f>
        <v>0</v>
      </c>
      <c r="U305" s="67" t="s">
        <v>337</v>
      </c>
      <c r="V305" s="68"/>
    </row>
    <row r="306" spans="1:25" ht="24" x14ac:dyDescent="0.3">
      <c r="A306" s="36" t="s">
        <v>279</v>
      </c>
      <c r="B306" s="36">
        <v>2</v>
      </c>
      <c r="C306" s="36"/>
      <c r="D306" s="36">
        <v>11</v>
      </c>
      <c r="E306" s="36" t="str">
        <f>CONCATENATE('Смета ЕР (общ) '!$A306,".",'Смета ЕР (общ) '!$B306,".",'Смета ЕР (общ) '!$D306)</f>
        <v>Р3.2.11</v>
      </c>
      <c r="F306" s="36">
        <f t="shared" si="21"/>
        <v>1</v>
      </c>
      <c r="G306" s="36"/>
      <c r="H306" s="36"/>
      <c r="I306" s="36"/>
      <c r="J306" s="36"/>
      <c r="K306" s="36"/>
      <c r="L306" s="53" t="s">
        <v>339</v>
      </c>
      <c r="M306" s="54" t="s">
        <v>40</v>
      </c>
      <c r="N306" s="39"/>
      <c r="O306" s="40">
        <v>8143.2</v>
      </c>
      <c r="P306" s="40">
        <f>'[1]Трансформируемая перегородка'!F5</f>
        <v>33295.5</v>
      </c>
      <c r="Q306" s="40">
        <f t="shared" si="22"/>
        <v>8143.2</v>
      </c>
      <c r="R306" s="66">
        <f t="shared" si="23"/>
        <v>33295.5</v>
      </c>
      <c r="S306" s="40">
        <f>ROUND('Смета ЕР (общ) '!$N306*'Смета ЕР (общ) '!$Q306,2)</f>
        <v>0</v>
      </c>
      <c r="T306" s="40">
        <f>ROUND('Смета ЕР (общ) '!$N306*'Смета ЕР (общ) '!$R306,2)</f>
        <v>0</v>
      </c>
      <c r="U306" s="67" t="s">
        <v>337</v>
      </c>
      <c r="V306" s="68"/>
      <c r="Y306">
        <v>11.55</v>
      </c>
    </row>
    <row r="307" spans="1:25" ht="24" x14ac:dyDescent="0.3">
      <c r="A307" s="36" t="s">
        <v>279</v>
      </c>
      <c r="B307" s="36">
        <v>2</v>
      </c>
      <c r="C307" s="36"/>
      <c r="D307" s="36">
        <v>12</v>
      </c>
      <c r="E307" s="36" t="str">
        <f>CONCATENATE('Смета ЕР (общ) '!$A307,".",'Смета ЕР (общ) '!$B307,".",'Смета ЕР (общ) '!$D307)</f>
        <v>Р3.2.12</v>
      </c>
      <c r="F307" s="36">
        <f t="shared" si="21"/>
        <v>1</v>
      </c>
      <c r="G307" s="36"/>
      <c r="H307" s="36"/>
      <c r="I307" s="36"/>
      <c r="J307" s="36"/>
      <c r="K307" s="36"/>
      <c r="L307" s="53" t="s">
        <v>340</v>
      </c>
      <c r="M307" s="54" t="s">
        <v>40</v>
      </c>
      <c r="N307" s="39"/>
      <c r="O307" s="40">
        <v>8143.2</v>
      </c>
      <c r="P307" s="40">
        <f>'[1]Трансформируемая перегородка'!F6</f>
        <v>32235</v>
      </c>
      <c r="Q307" s="40">
        <f t="shared" si="22"/>
        <v>8143.2</v>
      </c>
      <c r="R307" s="66">
        <f t="shared" si="23"/>
        <v>32235</v>
      </c>
      <c r="S307" s="40">
        <f>ROUND('Смета ЕР (общ) '!$N307*'Смета ЕР (общ) '!$Q307,2)</f>
        <v>0</v>
      </c>
      <c r="T307" s="40">
        <f>ROUND('Смета ЕР (общ) '!$N307*'Смета ЕР (общ) '!$R307,2)</f>
        <v>0</v>
      </c>
      <c r="U307" s="67" t="s">
        <v>337</v>
      </c>
      <c r="V307" s="68"/>
    </row>
    <row r="308" spans="1:25" ht="14.4" x14ac:dyDescent="0.3">
      <c r="A308" s="36" t="s">
        <v>279</v>
      </c>
      <c r="B308" s="36">
        <v>2</v>
      </c>
      <c r="C308" s="36"/>
      <c r="D308" s="36">
        <v>13</v>
      </c>
      <c r="E308" s="36" t="str">
        <f>CONCATENATE('Смета ЕР (общ) '!$A308,".",'Смета ЕР (общ) '!$B308,".",'Смета ЕР (общ) '!$D308)</f>
        <v>Р3.2.13</v>
      </c>
      <c r="F308" s="36">
        <f t="shared" si="21"/>
        <v>1</v>
      </c>
      <c r="G308" s="36"/>
      <c r="H308" s="36"/>
      <c r="I308" s="36"/>
      <c r="J308" s="36"/>
      <c r="K308" s="36"/>
      <c r="L308" s="53" t="s">
        <v>341</v>
      </c>
      <c r="M308" s="54" t="s">
        <v>118</v>
      </c>
      <c r="N308" s="39"/>
      <c r="O308" s="40">
        <v>250.56</v>
      </c>
      <c r="P308" s="40">
        <f>'[1]Трансформируемая перегородка'!F11</f>
        <v>1323</v>
      </c>
      <c r="Q308" s="40">
        <f t="shared" si="22"/>
        <v>250.56</v>
      </c>
      <c r="R308" s="66">
        <f t="shared" si="23"/>
        <v>1323</v>
      </c>
      <c r="S308" s="40">
        <f>ROUND('Смета ЕР (общ) '!$N308*'Смета ЕР (общ) '!$Q308,2)</f>
        <v>0</v>
      </c>
      <c r="T308" s="40">
        <f>ROUND('Смета ЕР (общ) '!$N308*'Смета ЕР (общ) '!$R308,2)</f>
        <v>0</v>
      </c>
      <c r="U308" s="67" t="s">
        <v>337</v>
      </c>
      <c r="V308" s="68"/>
      <c r="Y308">
        <v>1</v>
      </c>
    </row>
    <row r="309" spans="1:25" ht="14.4" x14ac:dyDescent="0.3">
      <c r="A309" s="36" t="s">
        <v>279</v>
      </c>
      <c r="B309" s="36">
        <v>2</v>
      </c>
      <c r="C309" s="36"/>
      <c r="D309" s="36">
        <v>14</v>
      </c>
      <c r="E309" s="36" t="str">
        <f>CONCATENATE('Смета ЕР (общ) '!$A309,".",'Смета ЕР (общ) '!$B309,".",'Смета ЕР (общ) '!$D309)</f>
        <v>Р3.2.14</v>
      </c>
      <c r="F309" s="36">
        <f t="shared" si="21"/>
        <v>1</v>
      </c>
      <c r="G309" s="36"/>
      <c r="H309" s="36"/>
      <c r="I309" s="36"/>
      <c r="J309" s="36"/>
      <c r="K309" s="36"/>
      <c r="L309" s="53" t="s">
        <v>342</v>
      </c>
      <c r="M309" s="54" t="s">
        <v>118</v>
      </c>
      <c r="N309" s="39"/>
      <c r="O309" s="40">
        <v>250.56</v>
      </c>
      <c r="P309" s="40">
        <f>'[1]Трансформируемая перегородка'!F12</f>
        <v>1659</v>
      </c>
      <c r="Q309" s="40">
        <f t="shared" si="22"/>
        <v>250.56</v>
      </c>
      <c r="R309" s="66">
        <f t="shared" si="23"/>
        <v>1659</v>
      </c>
      <c r="S309" s="40">
        <f>ROUND('Смета ЕР (общ) '!$N309*'Смета ЕР (общ) '!$Q309,2)</f>
        <v>0</v>
      </c>
      <c r="T309" s="40">
        <f>ROUND('Смета ЕР (общ) '!$N309*'Смета ЕР (общ) '!$R309,2)</f>
        <v>0</v>
      </c>
      <c r="U309" s="67" t="s">
        <v>337</v>
      </c>
      <c r="V309" s="68"/>
      <c r="Y309">
        <v>1</v>
      </c>
    </row>
    <row r="310" spans="1:25" ht="14.4" x14ac:dyDescent="0.3">
      <c r="A310" s="48" t="s">
        <v>279</v>
      </c>
      <c r="B310" s="48">
        <v>3</v>
      </c>
      <c r="C310" s="48"/>
      <c r="D310" s="48">
        <v>0</v>
      </c>
      <c r="E310" s="48" t="str">
        <f>CONCATENATE('Смета ЕР (общ) '!$A310,".",'Смета ЕР (общ) '!$B310,".",'Смета ЕР (общ) '!$D310)</f>
        <v>Р3.3.0</v>
      </c>
      <c r="F310" s="48">
        <f t="shared" si="21"/>
        <v>1</v>
      </c>
      <c r="G310" s="48"/>
      <c r="H310" s="48"/>
      <c r="I310" s="48"/>
      <c r="J310" s="48"/>
      <c r="K310" s="48"/>
      <c r="L310" s="49" t="s">
        <v>343</v>
      </c>
      <c r="M310" s="31"/>
      <c r="N310" s="32">
        <f>S310</f>
        <v>0</v>
      </c>
      <c r="O310" s="47"/>
      <c r="P310" s="47"/>
      <c r="Q310" s="34"/>
      <c r="R310" s="34"/>
      <c r="S310" s="34">
        <f>SUM(S311:S345)</f>
        <v>0</v>
      </c>
      <c r="T310" s="34">
        <f>SUM(T311:T345)</f>
        <v>0</v>
      </c>
      <c r="Y310">
        <v>672955.1</v>
      </c>
    </row>
    <row r="311" spans="1:25" ht="14.4" x14ac:dyDescent="0.3">
      <c r="A311" s="36" t="s">
        <v>279</v>
      </c>
      <c r="B311" s="36">
        <v>3</v>
      </c>
      <c r="C311" s="36"/>
      <c r="D311" s="36">
        <v>2</v>
      </c>
      <c r="E311" s="36" t="str">
        <f>CONCATENATE('Смета ЕР (общ) '!$A311,".",'Смета ЕР (общ) '!$B311,".",'Смета ЕР (общ) '!$D311)</f>
        <v>Р3.3.2</v>
      </c>
      <c r="F311" s="36">
        <f t="shared" si="21"/>
        <v>1</v>
      </c>
      <c r="G311" s="36"/>
      <c r="H311" s="36"/>
      <c r="I311" s="36"/>
      <c r="J311" s="36"/>
      <c r="K311" s="36"/>
      <c r="L311" s="37" t="s">
        <v>344</v>
      </c>
      <c r="M311" s="54" t="s">
        <v>40</v>
      </c>
      <c r="N311" s="39"/>
      <c r="O311" s="40">
        <v>87</v>
      </c>
      <c r="P311" s="40">
        <v>154.86000000000001</v>
      </c>
      <c r="Q311" s="40">
        <f t="shared" ref="Q311:R341" si="24">ROUND(O311-O311*$V$3,2)</f>
        <v>87</v>
      </c>
      <c r="R311" s="40">
        <f t="shared" si="24"/>
        <v>154.86000000000001</v>
      </c>
      <c r="S311" s="40">
        <f>ROUND('Смета ЕР (общ) '!$N311*'Смета ЕР (общ) '!$Q311,2)</f>
        <v>0</v>
      </c>
      <c r="T311" s="40">
        <f>ROUND('Смета ЕР (общ) '!$N311*'Смета ЕР (общ) '!$R311,2)</f>
        <v>0</v>
      </c>
    </row>
    <row r="312" spans="1:25" ht="24" customHeight="1" x14ac:dyDescent="0.3">
      <c r="A312" s="36" t="s">
        <v>279</v>
      </c>
      <c r="B312" s="36">
        <v>3</v>
      </c>
      <c r="C312" s="36"/>
      <c r="D312" s="36">
        <v>3</v>
      </c>
      <c r="E312" s="36" t="str">
        <f>CONCATENATE('Смета ЕР (общ) '!$A312,".",'Смета ЕР (общ) '!$B312,".",'Смета ЕР (общ) '!$D312)</f>
        <v>Р3.3.3</v>
      </c>
      <c r="F312" s="36">
        <f t="shared" si="21"/>
        <v>1</v>
      </c>
      <c r="G312" s="36"/>
      <c r="H312" s="36"/>
      <c r="I312" s="36"/>
      <c r="J312" s="36"/>
      <c r="K312" s="36"/>
      <c r="L312" s="37" t="s">
        <v>345</v>
      </c>
      <c r="M312" s="54" t="s">
        <v>40</v>
      </c>
      <c r="N312" s="61"/>
      <c r="O312" s="40">
        <v>143.55000000000001</v>
      </c>
      <c r="P312" s="40">
        <v>106.22</v>
      </c>
      <c r="Q312" s="40">
        <f t="shared" si="24"/>
        <v>143.55000000000001</v>
      </c>
      <c r="R312" s="40">
        <f t="shared" si="24"/>
        <v>106.22</v>
      </c>
      <c r="S312" s="40">
        <f>ROUND('Смета ЕР (общ) '!$N312*'Смета ЕР (общ) '!$Q312,2)</f>
        <v>0</v>
      </c>
      <c r="T312" s="40">
        <f>ROUND('Смета ЕР (общ) '!$N312*'Смета ЕР (общ) '!$R312,2)</f>
        <v>0</v>
      </c>
      <c r="U312" s="57" t="s">
        <v>346</v>
      </c>
      <c r="Y312">
        <v>545</v>
      </c>
    </row>
    <row r="313" spans="1:25" ht="21.75" customHeight="1" x14ac:dyDescent="0.3">
      <c r="A313" s="36" t="s">
        <v>279</v>
      </c>
      <c r="B313" s="36">
        <v>3</v>
      </c>
      <c r="C313" s="36"/>
      <c r="D313" s="36">
        <v>4</v>
      </c>
      <c r="E313" s="36" t="str">
        <f>CONCATENATE('Смета ЕР (общ) '!$A313,".",'Смета ЕР (общ) '!$B313,".",'Смета ЕР (общ) '!$D313)</f>
        <v>Р3.3.4</v>
      </c>
      <c r="F313" s="36">
        <f t="shared" si="21"/>
        <v>1</v>
      </c>
      <c r="G313" s="36"/>
      <c r="H313" s="36"/>
      <c r="I313" s="36"/>
      <c r="J313" s="36"/>
      <c r="K313" s="36"/>
      <c r="L313" s="37" t="s">
        <v>347</v>
      </c>
      <c r="M313" s="38" t="s">
        <v>40</v>
      </c>
      <c r="N313" s="39"/>
      <c r="O313" s="40">
        <v>530.66</v>
      </c>
      <c r="P313" s="40">
        <v>307.39</v>
      </c>
      <c r="Q313" s="40">
        <f t="shared" si="24"/>
        <v>530.66</v>
      </c>
      <c r="R313" s="40">
        <f t="shared" si="24"/>
        <v>307.39</v>
      </c>
      <c r="S313" s="40">
        <f>ROUND('Смета ЕР (общ) '!$N313*'Смета ЕР (общ) '!$Q313,2)</f>
        <v>0</v>
      </c>
      <c r="T313" s="40">
        <f>ROUND('Смета ЕР (общ) '!$N313*'Смета ЕР (общ) '!$R313,2)</f>
        <v>0</v>
      </c>
      <c r="U313" s="57" t="s">
        <v>348</v>
      </c>
    </row>
    <row r="314" spans="1:25" ht="14.4" x14ac:dyDescent="0.3">
      <c r="A314" s="36" t="s">
        <v>279</v>
      </c>
      <c r="B314" s="36">
        <v>3</v>
      </c>
      <c r="C314" s="36"/>
      <c r="D314" s="36">
        <v>5</v>
      </c>
      <c r="E314" s="36" t="str">
        <f>CONCATENATE('Смета ЕР (общ) '!$A314,".",'Смета ЕР (общ) '!$B314,".",'Смета ЕР (общ) '!$D314)</f>
        <v>Р3.3.5</v>
      </c>
      <c r="F314" s="36">
        <f t="shared" si="21"/>
        <v>1</v>
      </c>
      <c r="G314" s="36"/>
      <c r="H314" s="36"/>
      <c r="I314" s="36"/>
      <c r="J314" s="36"/>
      <c r="K314" s="36"/>
      <c r="L314" s="37" t="s">
        <v>349</v>
      </c>
      <c r="M314" s="38" t="s">
        <v>40</v>
      </c>
      <c r="N314" s="39"/>
      <c r="O314" s="40">
        <v>531.53</v>
      </c>
      <c r="P314" s="40">
        <v>401.98</v>
      </c>
      <c r="Q314" s="40">
        <f t="shared" si="24"/>
        <v>531.53</v>
      </c>
      <c r="R314" s="40">
        <f t="shared" si="24"/>
        <v>401.98</v>
      </c>
      <c r="S314" s="40">
        <f>ROUND('Смета ЕР (общ) '!$N314*'Смета ЕР (общ) '!$Q314,2)</f>
        <v>0</v>
      </c>
      <c r="T314" s="40">
        <f>ROUND('Смета ЕР (общ) '!$N314*'Смета ЕР (общ) '!$R314,2)</f>
        <v>0</v>
      </c>
      <c r="Y314">
        <v>545</v>
      </c>
    </row>
    <row r="315" spans="1:25" ht="18" customHeight="1" x14ac:dyDescent="0.3">
      <c r="A315" s="36" t="s">
        <v>279</v>
      </c>
      <c r="B315" s="36">
        <v>3</v>
      </c>
      <c r="C315" s="36"/>
      <c r="D315" s="36">
        <v>6</v>
      </c>
      <c r="E315" s="36" t="str">
        <f>CONCATENATE('Смета ЕР (общ) '!$A315,".",'Смета ЕР (общ) '!$B315,".",'Смета ЕР (общ) '!$D315)</f>
        <v>Р3.3.6</v>
      </c>
      <c r="F315" s="36">
        <f t="shared" si="21"/>
        <v>1</v>
      </c>
      <c r="G315" s="36"/>
      <c r="H315" s="36"/>
      <c r="I315" s="36"/>
      <c r="J315" s="36"/>
      <c r="K315" s="36"/>
      <c r="L315" s="37" t="s">
        <v>350</v>
      </c>
      <c r="M315" s="38" t="s">
        <v>40</v>
      </c>
      <c r="N315" s="39"/>
      <c r="O315" s="40">
        <v>532.4</v>
      </c>
      <c r="P315" s="40">
        <v>325.2</v>
      </c>
      <c r="Q315" s="40">
        <f t="shared" si="24"/>
        <v>532.4</v>
      </c>
      <c r="R315" s="40">
        <f t="shared" si="24"/>
        <v>325.2</v>
      </c>
      <c r="S315" s="40">
        <f>ROUND('Смета ЕР (общ) '!$N315*'Смета ЕР (общ) '!$Q315,2)</f>
        <v>0</v>
      </c>
      <c r="T315" s="40">
        <f>ROUND('Смета ЕР (общ) '!$N315*'Смета ЕР (общ) '!$R315,2)</f>
        <v>0</v>
      </c>
      <c r="U315" s="57" t="s">
        <v>348</v>
      </c>
    </row>
    <row r="316" spans="1:25" ht="14.4" x14ac:dyDescent="0.3">
      <c r="A316" s="36" t="s">
        <v>279</v>
      </c>
      <c r="B316" s="36">
        <v>3</v>
      </c>
      <c r="C316" s="36"/>
      <c r="D316" s="36">
        <v>7</v>
      </c>
      <c r="E316" s="36" t="str">
        <f>CONCATENATE('Смета ЕР (общ) '!$A316,".",'Смета ЕР (общ) '!$B316,".",'Смета ЕР (общ) '!$D316)</f>
        <v>Р3.3.7</v>
      </c>
      <c r="F316" s="36">
        <f t="shared" si="21"/>
        <v>1</v>
      </c>
      <c r="G316" s="36"/>
      <c r="H316" s="36"/>
      <c r="I316" s="36"/>
      <c r="J316" s="36"/>
      <c r="K316" s="36"/>
      <c r="L316" s="37" t="s">
        <v>351</v>
      </c>
      <c r="M316" s="38" t="s">
        <v>40</v>
      </c>
      <c r="N316" s="39"/>
      <c r="O316" s="40">
        <v>75.199999999999989</v>
      </c>
      <c r="P316" s="40">
        <v>50</v>
      </c>
      <c r="Q316" s="40">
        <f t="shared" si="24"/>
        <v>75.2</v>
      </c>
      <c r="R316" s="40">
        <f t="shared" si="24"/>
        <v>50</v>
      </c>
      <c r="S316" s="40">
        <f>ROUND('Смета ЕР (общ) '!$N316*'Смета ЕР (общ) '!$Q316,2)</f>
        <v>0</v>
      </c>
      <c r="T316" s="40">
        <f>ROUND('Смета ЕР (общ) '!$N316*'Смета ЕР (общ) '!$R316,2)</f>
        <v>0</v>
      </c>
      <c r="Y316">
        <v>545</v>
      </c>
    </row>
    <row r="317" spans="1:25" ht="14.4" x14ac:dyDescent="0.3">
      <c r="A317" s="36" t="s">
        <v>279</v>
      </c>
      <c r="B317" s="36">
        <v>3</v>
      </c>
      <c r="C317" s="36"/>
      <c r="D317" s="36">
        <v>8</v>
      </c>
      <c r="E317" s="36" t="str">
        <f>CONCATENATE('Смета ЕР (общ) '!$A317,".",'Смета ЕР (общ) '!$B317,".",'Смета ЕР (общ) '!$D317)</f>
        <v>Р3.3.8</v>
      </c>
      <c r="F317" s="36">
        <f t="shared" si="21"/>
        <v>1</v>
      </c>
      <c r="G317" s="36"/>
      <c r="H317" s="36"/>
      <c r="I317" s="36"/>
      <c r="J317" s="36"/>
      <c r="K317" s="36"/>
      <c r="L317" s="37" t="s">
        <v>352</v>
      </c>
      <c r="M317" s="54" t="s">
        <v>40</v>
      </c>
      <c r="N317" s="39"/>
      <c r="O317" s="40">
        <v>350</v>
      </c>
      <c r="P317" s="40">
        <v>420</v>
      </c>
      <c r="Q317" s="40">
        <f t="shared" si="24"/>
        <v>350</v>
      </c>
      <c r="R317" s="40">
        <f t="shared" si="24"/>
        <v>420</v>
      </c>
      <c r="S317" s="40">
        <f>ROUND('Смета ЕР (общ) '!$N317*'Смета ЕР (общ) '!$Q317,2)</f>
        <v>0</v>
      </c>
      <c r="T317" s="40">
        <f>ROUND('Смета ЕР (общ) '!$N317*'Смета ЕР (общ) '!$R317,2)</f>
        <v>0</v>
      </c>
      <c r="Y317">
        <v>463.25</v>
      </c>
    </row>
    <row r="318" spans="1:25" ht="14.4" x14ac:dyDescent="0.3">
      <c r="A318" s="36" t="s">
        <v>279</v>
      </c>
      <c r="B318" s="36">
        <v>3</v>
      </c>
      <c r="C318" s="36"/>
      <c r="D318" s="36">
        <v>9</v>
      </c>
      <c r="E318" s="36" t="str">
        <f>CONCATENATE('Смета ЕР (общ) '!$A318,".",'Смета ЕР (общ) '!$B318,".",'Смета ЕР (общ) '!$D318)</f>
        <v>Р3.3.9</v>
      </c>
      <c r="F318" s="36">
        <f t="shared" si="21"/>
        <v>1</v>
      </c>
      <c r="G318" s="36"/>
      <c r="H318" s="36"/>
      <c r="I318" s="36"/>
      <c r="J318" s="36"/>
      <c r="K318" s="36"/>
      <c r="L318" s="37" t="s">
        <v>353</v>
      </c>
      <c r="M318" s="54" t="s">
        <v>40</v>
      </c>
      <c r="N318" s="39"/>
      <c r="O318" s="40">
        <v>220</v>
      </c>
      <c r="P318" s="40">
        <v>89.4</v>
      </c>
      <c r="Q318" s="40">
        <f t="shared" si="24"/>
        <v>220</v>
      </c>
      <c r="R318" s="40">
        <f t="shared" si="24"/>
        <v>89.4</v>
      </c>
      <c r="S318" s="40">
        <f>ROUND('Смета ЕР (общ) '!$N318*'Смета ЕР (общ) '!$Q318,2)</f>
        <v>0</v>
      </c>
      <c r="T318" s="40">
        <f>ROUND('Смета ЕР (общ) '!$N318*'Смета ЕР (общ) '!$R318,2)</f>
        <v>0</v>
      </c>
      <c r="Y318">
        <v>463.25</v>
      </c>
    </row>
    <row r="319" spans="1:25" ht="14.4" x14ac:dyDescent="0.3">
      <c r="A319" s="36" t="s">
        <v>279</v>
      </c>
      <c r="B319" s="36">
        <v>3</v>
      </c>
      <c r="C319" s="36"/>
      <c r="D319" s="36">
        <v>10</v>
      </c>
      <c r="E319" s="36" t="str">
        <f>CONCATENATE('Смета ЕР (общ) '!$A319,".",'Смета ЕР (общ) '!$B319,".",'Смета ЕР (общ) '!$D319)</f>
        <v>Р3.3.10</v>
      </c>
      <c r="F319" s="36">
        <f t="shared" si="21"/>
        <v>1</v>
      </c>
      <c r="G319" s="36"/>
      <c r="H319" s="36"/>
      <c r="I319" s="36"/>
      <c r="J319" s="36"/>
      <c r="K319" s="36"/>
      <c r="L319" s="37" t="s">
        <v>354</v>
      </c>
      <c r="M319" s="54" t="s">
        <v>40</v>
      </c>
      <c r="N319" s="39"/>
      <c r="O319" s="40">
        <v>977.08</v>
      </c>
      <c r="P319" s="40">
        <v>432.43</v>
      </c>
      <c r="Q319" s="40">
        <f t="shared" si="24"/>
        <v>977.08</v>
      </c>
      <c r="R319" s="40">
        <f t="shared" si="24"/>
        <v>432.43</v>
      </c>
      <c r="S319" s="40">
        <f>ROUND('Смета ЕР (общ) '!$N319*'Смета ЕР (общ) '!$Q319,2)</f>
        <v>0</v>
      </c>
      <c r="T319" s="40">
        <f>ROUND('Смета ЕР (общ) '!$N319*'Смета ЕР (общ) '!$R319,2)</f>
        <v>0</v>
      </c>
    </row>
    <row r="320" spans="1:25" ht="14.4" x14ac:dyDescent="0.3">
      <c r="A320" s="36" t="s">
        <v>279</v>
      </c>
      <c r="B320" s="36">
        <v>3</v>
      </c>
      <c r="C320" s="36"/>
      <c r="D320" s="36">
        <v>11</v>
      </c>
      <c r="E320" s="36" t="str">
        <f>CONCATENATE('Смета ЕР (общ) '!$A320,".",'Смета ЕР (общ) '!$B320,".",'Смета ЕР (общ) '!$D320)</f>
        <v>Р3.3.11</v>
      </c>
      <c r="F320" s="36">
        <f t="shared" si="21"/>
        <v>1</v>
      </c>
      <c r="G320" s="36"/>
      <c r="H320" s="36"/>
      <c r="I320" s="36"/>
      <c r="J320" s="36"/>
      <c r="K320" s="36"/>
      <c r="L320" s="53" t="s">
        <v>355</v>
      </c>
      <c r="M320" s="54" t="s">
        <v>40</v>
      </c>
      <c r="N320" s="39"/>
      <c r="O320" s="40">
        <v>2307.71</v>
      </c>
      <c r="P320" s="40">
        <v>402.45</v>
      </c>
      <c r="Q320" s="40">
        <f t="shared" si="24"/>
        <v>2307.71</v>
      </c>
      <c r="R320" s="40">
        <f t="shared" si="24"/>
        <v>402.45</v>
      </c>
      <c r="S320" s="40">
        <f>ROUND('Смета ЕР (общ) '!$N320*'Смета ЕР (общ) '!$Q320,2)</f>
        <v>0</v>
      </c>
      <c r="T320" s="40">
        <f>ROUND('Смета ЕР (общ) '!$N320*'Смета ЕР (общ) '!$R320,2)</f>
        <v>0</v>
      </c>
    </row>
    <row r="321" spans="1:27" ht="24" x14ac:dyDescent="0.3">
      <c r="A321" s="36" t="s">
        <v>279</v>
      </c>
      <c r="B321" s="36">
        <v>3</v>
      </c>
      <c r="C321" s="36"/>
      <c r="D321" s="36">
        <v>23</v>
      </c>
      <c r="E321" s="36" t="str">
        <f>CONCATENATE('Смета ЕР (общ) '!$A321,".",'Смета ЕР (общ) '!$B321,".",'Смета ЕР (общ) '!$D321)</f>
        <v>Р3.3.23</v>
      </c>
      <c r="F321" s="36">
        <f t="shared" si="21"/>
        <v>1</v>
      </c>
      <c r="G321" s="36"/>
      <c r="H321" s="36"/>
      <c r="I321" s="36"/>
      <c r="J321" s="36"/>
      <c r="K321" s="36"/>
      <c r="L321" s="53" t="s">
        <v>356</v>
      </c>
      <c r="M321" s="54" t="s">
        <v>40</v>
      </c>
      <c r="N321" s="39"/>
      <c r="O321" s="40">
        <v>3048.05</v>
      </c>
      <c r="P321" s="40">
        <f>'[1]Плитка СУ'!E3</f>
        <v>2338.6755000000007</v>
      </c>
      <c r="Q321" s="40">
        <f t="shared" si="24"/>
        <v>3048.05</v>
      </c>
      <c r="R321" s="66">
        <f>P321</f>
        <v>2338.6755000000007</v>
      </c>
      <c r="S321" s="40">
        <f>ROUND('Смета ЕР (общ) '!$N321*'Смета ЕР (общ) '!$Q321,2)</f>
        <v>0</v>
      </c>
      <c r="T321" s="40">
        <f>ROUND('Смета ЕР (общ) '!$N321*'Смета ЕР (общ) '!$R321,2)</f>
        <v>0</v>
      </c>
      <c r="U321" s="67" t="s">
        <v>357</v>
      </c>
      <c r="V321" s="68"/>
    </row>
    <row r="322" spans="1:27" ht="24" x14ac:dyDescent="0.3">
      <c r="A322" s="36" t="s">
        <v>279</v>
      </c>
      <c r="B322" s="36">
        <v>3</v>
      </c>
      <c r="C322" s="36"/>
      <c r="D322" s="36">
        <v>24</v>
      </c>
      <c r="E322" s="36" t="str">
        <f>CONCATENATE('Смета ЕР (общ) '!$A322,".",'Смета ЕР (общ) '!$B322,".",'Смета ЕР (общ) '!$D322)</f>
        <v>Р3.3.24</v>
      </c>
      <c r="F322" s="36">
        <f t="shared" si="21"/>
        <v>1</v>
      </c>
      <c r="G322" s="36"/>
      <c r="H322" s="36"/>
      <c r="I322" s="36"/>
      <c r="J322" s="36"/>
      <c r="K322" s="36"/>
      <c r="L322" s="53" t="s">
        <v>358</v>
      </c>
      <c r="M322" s="54" t="s">
        <v>40</v>
      </c>
      <c r="N322" s="39"/>
      <c r="O322" s="40">
        <v>3048.05</v>
      </c>
      <c r="P322" s="40">
        <v>2125.37</v>
      </c>
      <c r="Q322" s="40">
        <f t="shared" si="24"/>
        <v>3048.05</v>
      </c>
      <c r="R322" s="40">
        <f t="shared" si="24"/>
        <v>2125.37</v>
      </c>
      <c r="S322" s="40">
        <f>ROUND('Смета ЕР (общ) '!$N322*'Смета ЕР (общ) '!$Q322,2)</f>
        <v>0</v>
      </c>
      <c r="T322" s="40">
        <f>ROUND('Смета ЕР (общ) '!$N322*'Смета ЕР (общ) '!$R322,2)</f>
        <v>0</v>
      </c>
      <c r="U322" s="67"/>
    </row>
    <row r="323" spans="1:27" ht="14.4" x14ac:dyDescent="0.3">
      <c r="A323" s="36" t="s">
        <v>279</v>
      </c>
      <c r="B323" s="36">
        <v>3</v>
      </c>
      <c r="C323" s="36"/>
      <c r="D323" s="36">
        <v>13</v>
      </c>
      <c r="E323" s="36" t="str">
        <f>CONCATENATE('Смета ЕР (общ) '!$A323,".",'Смета ЕР (общ) '!$B323,".",'Смета ЕР (общ) '!$D323)</f>
        <v>Р3.3.13</v>
      </c>
      <c r="F323" s="36">
        <f t="shared" si="21"/>
        <v>1</v>
      </c>
      <c r="G323" s="36"/>
      <c r="H323" s="36"/>
      <c r="I323" s="36"/>
      <c r="J323" s="36"/>
      <c r="K323" s="36"/>
      <c r="L323" s="53" t="s">
        <v>359</v>
      </c>
      <c r="M323" s="72" t="s">
        <v>40</v>
      </c>
      <c r="N323" s="61"/>
      <c r="O323" s="40">
        <v>3048.05</v>
      </c>
      <c r="P323" s="40">
        <f>'[1]Плитка СУ'!E23</f>
        <v>1622.1555000000001</v>
      </c>
      <c r="Q323" s="62">
        <f t="shared" si="24"/>
        <v>3048.05</v>
      </c>
      <c r="R323" s="66">
        <f>P323</f>
        <v>1622.1555000000001</v>
      </c>
      <c r="S323" s="62">
        <f>ROUND('Смета ЕР (общ) '!$N323*'Смета ЕР (общ) '!$Q323,2)</f>
        <v>0</v>
      </c>
      <c r="T323" s="62">
        <f>ROUND('Смета ЕР (общ) '!$N323*'Смета ЕР (общ) '!$R323,2)</f>
        <v>0</v>
      </c>
      <c r="U323" s="67" t="s">
        <v>357</v>
      </c>
      <c r="V323" s="68"/>
    </row>
    <row r="324" spans="1:27" ht="14.4" x14ac:dyDescent="0.3">
      <c r="A324" s="36" t="s">
        <v>279</v>
      </c>
      <c r="B324" s="36">
        <v>3</v>
      </c>
      <c r="C324" s="36"/>
      <c r="D324" s="36">
        <v>14</v>
      </c>
      <c r="E324" s="36" t="str">
        <f>CONCATENATE('Смета ЕР (общ) '!$A324,".",'Смета ЕР (общ) '!$B324,".",'Смета ЕР (общ) '!$D324)</f>
        <v>Р3.3.14</v>
      </c>
      <c r="F324" s="36">
        <f t="shared" si="21"/>
        <v>1</v>
      </c>
      <c r="G324" s="36"/>
      <c r="H324" s="36"/>
      <c r="I324" s="36"/>
      <c r="J324" s="36"/>
      <c r="K324" s="36"/>
      <c r="L324" s="53" t="s">
        <v>360</v>
      </c>
      <c r="M324" s="54" t="s">
        <v>40</v>
      </c>
      <c r="N324" s="61"/>
      <c r="O324" s="40">
        <v>3048.05</v>
      </c>
      <c r="P324" s="40">
        <f>'[1]Плитка СУ'!E22</f>
        <v>1685.1555000000001</v>
      </c>
      <c r="Q324" s="62">
        <f t="shared" si="24"/>
        <v>3048.05</v>
      </c>
      <c r="R324" s="66">
        <f>P324</f>
        <v>1685.1555000000001</v>
      </c>
      <c r="S324" s="62">
        <f>ROUND('Смета ЕР (общ) '!$N324*'Смета ЕР (общ) '!$Q324,2)</f>
        <v>0</v>
      </c>
      <c r="T324" s="62">
        <f>ROUND('Смета ЕР (общ) '!$N324*'Смета ЕР (общ) '!$R324,2)</f>
        <v>0</v>
      </c>
      <c r="U324" s="67" t="s">
        <v>357</v>
      </c>
      <c r="V324" s="68"/>
    </row>
    <row r="325" spans="1:27" ht="14.4" x14ac:dyDescent="0.3">
      <c r="A325" s="36" t="s">
        <v>279</v>
      </c>
      <c r="B325" s="36">
        <v>3</v>
      </c>
      <c r="C325" s="36"/>
      <c r="D325" s="36">
        <v>30</v>
      </c>
      <c r="E325" s="36" t="str">
        <f>CONCATENATE('Смета ЕР (общ) '!$A325,".",'Смета ЕР (общ) '!$B325,".",'Смета ЕР (общ) '!$D325)</f>
        <v>Р3.3.30</v>
      </c>
      <c r="F325" s="36">
        <f t="shared" si="21"/>
        <v>1</v>
      </c>
      <c r="G325" s="36"/>
      <c r="H325" s="36"/>
      <c r="I325" s="36"/>
      <c r="J325" s="36"/>
      <c r="K325" s="36"/>
      <c r="L325" s="53" t="s">
        <v>361</v>
      </c>
      <c r="M325" s="54" t="s">
        <v>40</v>
      </c>
      <c r="N325" s="61"/>
      <c r="O325" s="40">
        <v>3048.05</v>
      </c>
      <c r="P325" s="40">
        <f>[1]Керамогранит!E3</f>
        <v>4387.8868950000005</v>
      </c>
      <c r="Q325" s="62">
        <f t="shared" si="24"/>
        <v>3048.05</v>
      </c>
      <c r="R325" s="66">
        <f t="shared" ref="R325:R331" si="25">P325</f>
        <v>4387.8868950000005</v>
      </c>
      <c r="S325" s="62">
        <f>ROUND('Смета ЕР (общ) '!$N325*'Смета ЕР (общ) '!$Q325,2)</f>
        <v>0</v>
      </c>
      <c r="T325" s="62">
        <f>ROUND('Смета ЕР (общ) '!$N325*'Смета ЕР (общ) '!$R325,2)</f>
        <v>0</v>
      </c>
      <c r="U325" s="73" t="s">
        <v>362</v>
      </c>
      <c r="V325" s="68"/>
      <c r="W325" s="74"/>
      <c r="X325" s="75"/>
      <c r="Y325" s="76" t="s">
        <v>363</v>
      </c>
      <c r="Z325" s="77"/>
      <c r="AA325" s="75"/>
    </row>
    <row r="326" spans="1:27" ht="14.4" x14ac:dyDescent="0.3">
      <c r="A326" s="36" t="s">
        <v>279</v>
      </c>
      <c r="B326" s="36">
        <v>3</v>
      </c>
      <c r="C326" s="36"/>
      <c r="D326" s="36">
        <v>31</v>
      </c>
      <c r="E326" s="36" t="str">
        <f>CONCATENATE('Смета ЕР (общ) '!$A326,".",'Смета ЕР (общ) '!$B326,".",'Смета ЕР (общ) '!$D326)</f>
        <v>Р3.3.31</v>
      </c>
      <c r="F326" s="36">
        <f t="shared" si="21"/>
        <v>1</v>
      </c>
      <c r="G326" s="36"/>
      <c r="H326" s="36"/>
      <c r="I326" s="36"/>
      <c r="J326" s="36"/>
      <c r="K326" s="36"/>
      <c r="L326" s="53" t="s">
        <v>364</v>
      </c>
      <c r="M326" s="54" t="s">
        <v>40</v>
      </c>
      <c r="N326" s="61"/>
      <c r="O326" s="40">
        <v>3048.05</v>
      </c>
      <c r="P326" s="40">
        <f>[1]Керамогранит!E4</f>
        <v>4699.438905</v>
      </c>
      <c r="Q326" s="62">
        <f t="shared" si="24"/>
        <v>3048.05</v>
      </c>
      <c r="R326" s="66">
        <f t="shared" si="25"/>
        <v>4699.438905</v>
      </c>
      <c r="S326" s="62">
        <f>ROUND('Смета ЕР (общ) '!$N326*'Смета ЕР (общ) '!$Q326,2)</f>
        <v>0</v>
      </c>
      <c r="T326" s="62">
        <f>ROUND('Смета ЕР (общ) '!$N326*'Смета ЕР (общ) '!$R326,2)</f>
        <v>0</v>
      </c>
      <c r="U326" s="73" t="s">
        <v>362</v>
      </c>
      <c r="V326" s="68"/>
      <c r="W326" s="74"/>
      <c r="X326" s="75"/>
      <c r="Y326" s="76" t="s">
        <v>363</v>
      </c>
      <c r="Z326" s="77"/>
      <c r="AA326" s="75"/>
    </row>
    <row r="327" spans="1:27" ht="14.4" x14ac:dyDescent="0.3">
      <c r="A327" s="36" t="s">
        <v>279</v>
      </c>
      <c r="B327" s="36">
        <v>3</v>
      </c>
      <c r="C327" s="36"/>
      <c r="D327" s="36">
        <v>32</v>
      </c>
      <c r="E327" s="36" t="str">
        <f>CONCATENATE('Смета ЕР (общ) '!$A327,".",'Смета ЕР (общ) '!$B327,".",'Смета ЕР (общ) '!$D327)</f>
        <v>Р3.3.32</v>
      </c>
      <c r="F327" s="36">
        <f t="shared" si="21"/>
        <v>1</v>
      </c>
      <c r="G327" s="36"/>
      <c r="H327" s="36"/>
      <c r="I327" s="36"/>
      <c r="J327" s="36"/>
      <c r="K327" s="36"/>
      <c r="L327" s="53" t="s">
        <v>365</v>
      </c>
      <c r="M327" s="54" t="s">
        <v>40</v>
      </c>
      <c r="N327" s="61"/>
      <c r="O327" s="40">
        <v>3048.05</v>
      </c>
      <c r="P327" s="40">
        <f>[1]Керамогранит!E5</f>
        <v>4057.4529450000005</v>
      </c>
      <c r="Q327" s="62">
        <f t="shared" si="24"/>
        <v>3048.05</v>
      </c>
      <c r="R327" s="66">
        <f t="shared" si="25"/>
        <v>4057.4529450000005</v>
      </c>
      <c r="S327" s="62">
        <f>ROUND('Смета ЕР (общ) '!$N327*'Смета ЕР (общ) '!$Q327,2)</f>
        <v>0</v>
      </c>
      <c r="T327" s="62">
        <f>ROUND('Смета ЕР (общ) '!$N327*'Смета ЕР (общ) '!$R327,2)</f>
        <v>0</v>
      </c>
      <c r="U327" s="73" t="s">
        <v>362</v>
      </c>
      <c r="V327" s="68"/>
      <c r="W327" s="74"/>
      <c r="X327" s="75"/>
      <c r="Y327" s="76" t="s">
        <v>363</v>
      </c>
      <c r="Z327" s="77"/>
      <c r="AA327" s="75"/>
    </row>
    <row r="328" spans="1:27" ht="14.4" x14ac:dyDescent="0.3">
      <c r="A328" s="36" t="s">
        <v>279</v>
      </c>
      <c r="B328" s="36">
        <v>3</v>
      </c>
      <c r="C328" s="36"/>
      <c r="D328" s="36">
        <v>33</v>
      </c>
      <c r="E328" s="36" t="str">
        <f>CONCATENATE('Смета ЕР (общ) '!$A328,".",'Смета ЕР (общ) '!$B328,".",'Смета ЕР (общ) '!$D328)</f>
        <v>Р3.3.33</v>
      </c>
      <c r="F328" s="36">
        <f t="shared" si="21"/>
        <v>1</v>
      </c>
      <c r="G328" s="36"/>
      <c r="H328" s="36"/>
      <c r="I328" s="36"/>
      <c r="J328" s="36"/>
      <c r="K328" s="36"/>
      <c r="L328" s="53" t="s">
        <v>366</v>
      </c>
      <c r="M328" s="54" t="s">
        <v>40</v>
      </c>
      <c r="N328" s="61"/>
      <c r="O328" s="40">
        <v>3048.05</v>
      </c>
      <c r="P328" s="40">
        <f>[1]Керамогранит!E6</f>
        <v>4387.8868950000005</v>
      </c>
      <c r="Q328" s="62">
        <f t="shared" si="24"/>
        <v>3048.05</v>
      </c>
      <c r="R328" s="66">
        <f t="shared" si="25"/>
        <v>4387.8868950000005</v>
      </c>
      <c r="S328" s="62">
        <f>ROUND('Смета ЕР (общ) '!$N328*'Смета ЕР (общ) '!$Q328,2)</f>
        <v>0</v>
      </c>
      <c r="T328" s="62">
        <f>ROUND('Смета ЕР (общ) '!$N328*'Смета ЕР (общ) '!$R328,2)</f>
        <v>0</v>
      </c>
      <c r="U328" s="73" t="s">
        <v>362</v>
      </c>
      <c r="V328" s="68"/>
      <c r="W328" s="74"/>
      <c r="X328" s="75"/>
      <c r="Y328" s="76" t="s">
        <v>363</v>
      </c>
      <c r="Z328" s="77"/>
      <c r="AA328" s="75"/>
    </row>
    <row r="329" spans="1:27" ht="14.4" x14ac:dyDescent="0.3">
      <c r="A329" s="36" t="s">
        <v>279</v>
      </c>
      <c r="B329" s="36">
        <v>3</v>
      </c>
      <c r="C329" s="36"/>
      <c r="D329" s="36">
        <v>34</v>
      </c>
      <c r="E329" s="36" t="str">
        <f>CONCATENATE('Смета ЕР (общ) '!$A329,".",'Смета ЕР (общ) '!$B329,".",'Смета ЕР (общ) '!$D329)</f>
        <v>Р3.3.34</v>
      </c>
      <c r="F329" s="36">
        <f t="shared" si="21"/>
        <v>1</v>
      </c>
      <c r="G329" s="36"/>
      <c r="H329" s="36"/>
      <c r="I329" s="36"/>
      <c r="J329" s="36"/>
      <c r="K329" s="36"/>
      <c r="L329" s="53" t="s">
        <v>367</v>
      </c>
      <c r="M329" s="54" t="s">
        <v>40</v>
      </c>
      <c r="N329" s="61"/>
      <c r="O329" s="40">
        <v>3048.05</v>
      </c>
      <c r="P329" s="40">
        <f>[1]Керамогранит!E7</f>
        <v>4057.4529450000005</v>
      </c>
      <c r="Q329" s="62">
        <f t="shared" si="24"/>
        <v>3048.05</v>
      </c>
      <c r="R329" s="66">
        <f t="shared" si="25"/>
        <v>4057.4529450000005</v>
      </c>
      <c r="S329" s="62">
        <f>ROUND('Смета ЕР (общ) '!$N329*'Смета ЕР (общ) '!$Q329,2)</f>
        <v>0</v>
      </c>
      <c r="T329" s="62">
        <f>ROUND('Смета ЕР (общ) '!$N329*'Смета ЕР (общ) '!$R329,2)</f>
        <v>0</v>
      </c>
      <c r="U329" s="73" t="s">
        <v>362</v>
      </c>
      <c r="V329" s="68"/>
      <c r="W329" s="78"/>
      <c r="Y329" s="79" t="s">
        <v>363</v>
      </c>
      <c r="Z329" s="77"/>
      <c r="AA329" s="80"/>
    </row>
    <row r="330" spans="1:27" ht="14.4" x14ac:dyDescent="0.3">
      <c r="A330" s="36" t="s">
        <v>279</v>
      </c>
      <c r="B330" s="36">
        <v>3</v>
      </c>
      <c r="C330" s="36"/>
      <c r="D330" s="36">
        <v>35</v>
      </c>
      <c r="E330" s="36" t="str">
        <f>CONCATENATE('Смета ЕР (общ) '!$A330,".",'Смета ЕР (общ) '!$B330,".",'Смета ЕР (общ) '!$D330)</f>
        <v>Р3.3.35</v>
      </c>
      <c r="F330" s="36">
        <f t="shared" si="21"/>
        <v>1</v>
      </c>
      <c r="G330" s="36"/>
      <c r="H330" s="36"/>
      <c r="I330" s="36"/>
      <c r="J330" s="36"/>
      <c r="K330" s="36"/>
      <c r="L330" s="53" t="s">
        <v>368</v>
      </c>
      <c r="M330" s="54" t="s">
        <v>40</v>
      </c>
      <c r="N330" s="61"/>
      <c r="O330" s="40">
        <v>3048.05</v>
      </c>
      <c r="P330" s="40">
        <f>[1]Керамогранит!E8</f>
        <v>3769.5033600000006</v>
      </c>
      <c r="Q330" s="62">
        <f t="shared" si="24"/>
        <v>3048.05</v>
      </c>
      <c r="R330" s="66">
        <f t="shared" si="25"/>
        <v>3769.5033600000006</v>
      </c>
      <c r="S330" s="62">
        <f>ROUND('Смета ЕР (общ) '!$N330*'Смета ЕР (общ) '!$Q330,2)</f>
        <v>0</v>
      </c>
      <c r="T330" s="62">
        <f>ROUND('Смета ЕР (общ) '!$N330*'Смета ЕР (общ) '!$R330,2)</f>
        <v>0</v>
      </c>
      <c r="U330" s="73" t="s">
        <v>362</v>
      </c>
      <c r="V330" s="81" t="s">
        <v>369</v>
      </c>
      <c r="W330" s="78"/>
      <c r="Z330" s="77"/>
      <c r="AA330" s="80"/>
    </row>
    <row r="331" spans="1:27" ht="14.4" x14ac:dyDescent="0.3">
      <c r="A331" s="36" t="s">
        <v>279</v>
      </c>
      <c r="B331" s="36">
        <v>3</v>
      </c>
      <c r="C331" s="36"/>
      <c r="D331" s="36">
        <v>36</v>
      </c>
      <c r="E331" s="36" t="str">
        <f>CONCATENATE('Смета ЕР (общ) '!$A331,".",'Смета ЕР (общ) '!$B331,".",'Смета ЕР (общ) '!$D331)</f>
        <v>Р3.3.36</v>
      </c>
      <c r="F331" s="36">
        <f t="shared" si="21"/>
        <v>1</v>
      </c>
      <c r="G331" s="36"/>
      <c r="H331" s="36"/>
      <c r="I331" s="36"/>
      <c r="J331" s="36"/>
      <c r="K331" s="36"/>
      <c r="L331" s="53" t="s">
        <v>370</v>
      </c>
      <c r="M331" s="54" t="s">
        <v>40</v>
      </c>
      <c r="N331" s="61"/>
      <c r="O331" s="40">
        <v>3048.05</v>
      </c>
      <c r="P331" s="40">
        <f>[1]Керамогранит!E9</f>
        <v>4576.706295</v>
      </c>
      <c r="Q331" s="62">
        <f t="shared" si="24"/>
        <v>3048.05</v>
      </c>
      <c r="R331" s="66">
        <f t="shared" si="25"/>
        <v>4576.706295</v>
      </c>
      <c r="S331" s="62">
        <f>ROUND('Смета ЕР (общ) '!$N331*'Смета ЕР (общ) '!$Q331,2)</f>
        <v>0</v>
      </c>
      <c r="T331" s="62">
        <f>ROUND('Смета ЕР (общ) '!$N331*'Смета ЕР (общ) '!$R331,2)</f>
        <v>0</v>
      </c>
      <c r="U331" s="73" t="s">
        <v>362</v>
      </c>
      <c r="V331" s="81" t="s">
        <v>371</v>
      </c>
      <c r="W331" s="78"/>
      <c r="Z331" s="77"/>
      <c r="AA331" s="80"/>
    </row>
    <row r="332" spans="1:27" ht="24" x14ac:dyDescent="0.3">
      <c r="A332" s="36" t="s">
        <v>279</v>
      </c>
      <c r="B332" s="36">
        <v>3</v>
      </c>
      <c r="C332" s="36"/>
      <c r="D332" s="36">
        <v>25</v>
      </c>
      <c r="E332" s="36" t="str">
        <f>CONCATENATE('Смета ЕР (общ) '!$A332,".",'Смета ЕР (общ) '!$B332,".",'Смета ЕР (общ) '!$D332)</f>
        <v>Р3.3.25</v>
      </c>
      <c r="F332" s="36">
        <f>IF(N332&gt;0,F329+1,F329)</f>
        <v>1</v>
      </c>
      <c r="G332" s="36"/>
      <c r="H332" s="36"/>
      <c r="I332" s="36"/>
      <c r="J332" s="36"/>
      <c r="K332" s="36"/>
      <c r="L332" s="53" t="s">
        <v>372</v>
      </c>
      <c r="M332" s="38" t="s">
        <v>118</v>
      </c>
      <c r="N332" s="39"/>
      <c r="O332" s="40">
        <v>339.3</v>
      </c>
      <c r="P332" s="40">
        <v>220.24</v>
      </c>
      <c r="Q332" s="40">
        <f t="shared" si="24"/>
        <v>339.3</v>
      </c>
      <c r="R332" s="40">
        <f t="shared" si="24"/>
        <v>220.24</v>
      </c>
      <c r="S332" s="40">
        <f>ROUND('Смета ЕР (общ) '!$N332*'Смета ЕР (общ) '!$Q332,2)</f>
        <v>0</v>
      </c>
      <c r="T332" s="40">
        <f>ROUND('Смета ЕР (общ) '!$N332*'Смета ЕР (общ) '!$R332,2)</f>
        <v>0</v>
      </c>
      <c r="W332" s="82"/>
      <c r="AA332" s="80"/>
    </row>
    <row r="333" spans="1:27" ht="14.4" x14ac:dyDescent="0.3">
      <c r="A333" s="36" t="s">
        <v>279</v>
      </c>
      <c r="B333" s="36">
        <v>3</v>
      </c>
      <c r="C333" s="36"/>
      <c r="D333" s="36">
        <v>12</v>
      </c>
      <c r="E333" s="36" t="str">
        <f>CONCATENATE('Смета ЕР (общ) '!$A333,".",'Смета ЕР (общ) '!$B333,".",'Смета ЕР (общ) '!$D333)</f>
        <v>Р3.3.12</v>
      </c>
      <c r="F333" s="36">
        <f t="shared" si="21"/>
        <v>1</v>
      </c>
      <c r="G333" s="36"/>
      <c r="H333" s="36"/>
      <c r="I333" s="36"/>
      <c r="J333" s="36"/>
      <c r="K333" s="36"/>
      <c r="L333" s="37" t="s">
        <v>373</v>
      </c>
      <c r="M333" s="38" t="s">
        <v>147</v>
      </c>
      <c r="N333" s="39"/>
      <c r="O333" s="40">
        <v>297.58</v>
      </c>
      <c r="P333" s="40">
        <v>106.05</v>
      </c>
      <c r="Q333" s="40">
        <f t="shared" si="24"/>
        <v>297.58</v>
      </c>
      <c r="R333" s="40">
        <f t="shared" si="24"/>
        <v>106.05</v>
      </c>
      <c r="S333" s="40">
        <f>ROUND('Смета ЕР (общ) '!$N333*'Смета ЕР (общ) '!$Q333,2)</f>
        <v>0</v>
      </c>
      <c r="T333" s="40">
        <f>ROUND('Смета ЕР (общ) '!$N333*'Смета ЕР (общ) '!$R333,2)</f>
        <v>0</v>
      </c>
      <c r="W333" s="82"/>
      <c r="AA333" s="80"/>
    </row>
    <row r="334" spans="1:27" ht="14.4" x14ac:dyDescent="0.3">
      <c r="A334" s="36" t="s">
        <v>279</v>
      </c>
      <c r="B334" s="36">
        <v>3</v>
      </c>
      <c r="C334" s="36"/>
      <c r="D334" s="36">
        <v>26</v>
      </c>
      <c r="E334" s="36" t="str">
        <f>CONCATENATE('Смета ЕР (общ) '!$A334,".",'Смета ЕР (общ) '!$B334,".",'Смета ЕР (общ) '!$D334)</f>
        <v>Р3.3.26</v>
      </c>
      <c r="F334" s="36">
        <f t="shared" si="21"/>
        <v>1</v>
      </c>
      <c r="G334" s="36"/>
      <c r="H334" s="36"/>
      <c r="I334" s="36"/>
      <c r="J334" s="36"/>
      <c r="K334" s="36"/>
      <c r="L334" s="37" t="s">
        <v>374</v>
      </c>
      <c r="M334" s="38" t="s">
        <v>147</v>
      </c>
      <c r="N334" s="39"/>
      <c r="O334" s="40">
        <v>297.58</v>
      </c>
      <c r="P334" s="40">
        <v>215.17</v>
      </c>
      <c r="Q334" s="40">
        <f t="shared" si="24"/>
        <v>297.58</v>
      </c>
      <c r="R334" s="40">
        <f t="shared" si="24"/>
        <v>215.17</v>
      </c>
      <c r="S334" s="40">
        <f>ROUND('Смета ЕР (общ) '!$N334*'Смета ЕР (общ) '!$Q334,2)</f>
        <v>0</v>
      </c>
      <c r="T334" s="40">
        <f>ROUND('Смета ЕР (общ) '!$N334*'Смета ЕР (общ) '!$R334,2)</f>
        <v>0</v>
      </c>
    </row>
    <row r="335" spans="1:27" ht="14.4" x14ac:dyDescent="0.3">
      <c r="A335" s="36" t="s">
        <v>279</v>
      </c>
      <c r="B335" s="36">
        <v>3</v>
      </c>
      <c r="C335" s="36"/>
      <c r="D335" s="36">
        <v>20</v>
      </c>
      <c r="E335" s="36" t="str">
        <f>CONCATENATE('Смета ЕР (общ) '!$A335,".",'Смета ЕР (общ) '!$B335,".",'Смета ЕР (общ) '!$D335)</f>
        <v>Р3.3.20</v>
      </c>
      <c r="F335" s="36">
        <f t="shared" si="21"/>
        <v>1</v>
      </c>
      <c r="G335" s="36"/>
      <c r="H335" s="36"/>
      <c r="I335" s="36"/>
      <c r="J335" s="36"/>
      <c r="K335" s="36"/>
      <c r="L335" s="37" t="s">
        <v>375</v>
      </c>
      <c r="M335" s="38" t="s">
        <v>40</v>
      </c>
      <c r="N335" s="39"/>
      <c r="O335" s="40">
        <v>2926</v>
      </c>
      <c r="P335" s="40">
        <v>2933.96</v>
      </c>
      <c r="Q335" s="40">
        <f t="shared" si="24"/>
        <v>2926</v>
      </c>
      <c r="R335" s="40">
        <f t="shared" si="24"/>
        <v>2933.96</v>
      </c>
      <c r="S335" s="40">
        <f>ROUND('Смета ЕР (общ) '!$N335*'Смета ЕР (общ) '!$Q335,2)</f>
        <v>0</v>
      </c>
      <c r="T335" s="40">
        <f>ROUND('Смета ЕР (общ) '!$N335*'Смета ЕР (общ) '!$R335,2)</f>
        <v>0</v>
      </c>
    </row>
    <row r="336" spans="1:27" ht="24" x14ac:dyDescent="0.3">
      <c r="A336" s="36" t="s">
        <v>279</v>
      </c>
      <c r="B336" s="36">
        <v>3</v>
      </c>
      <c r="C336" s="36"/>
      <c r="D336" s="36">
        <v>27</v>
      </c>
      <c r="E336" s="36" t="str">
        <f>CONCATENATE('Смета ЕР (общ) '!$A336,".",'Смета ЕР (общ) '!$B336,".",'Смета ЕР (общ) '!$D336)</f>
        <v>Р3.3.27</v>
      </c>
      <c r="F336" s="36">
        <f t="shared" si="21"/>
        <v>1</v>
      </c>
      <c r="G336" s="36"/>
      <c r="H336" s="36"/>
      <c r="I336" s="36"/>
      <c r="J336" s="36"/>
      <c r="K336" s="36"/>
      <c r="L336" s="37" t="s">
        <v>376</v>
      </c>
      <c r="M336" s="38" t="s">
        <v>40</v>
      </c>
      <c r="N336" s="39"/>
      <c r="O336" s="40">
        <v>2926</v>
      </c>
      <c r="P336" s="40">
        <v>805.21</v>
      </c>
      <c r="Q336" s="40">
        <f t="shared" si="24"/>
        <v>2926</v>
      </c>
      <c r="R336" s="40">
        <f t="shared" si="24"/>
        <v>805.21</v>
      </c>
      <c r="S336" s="40">
        <f>ROUND('Смета ЕР (общ) '!$N336*'Смета ЕР (общ) '!$Q336,2)</f>
        <v>0</v>
      </c>
      <c r="T336" s="40">
        <f>ROUND('Смета ЕР (общ) '!$N336*'Смета ЕР (общ) '!$R336,2)</f>
        <v>0</v>
      </c>
    </row>
    <row r="337" spans="1:25" ht="14.4" x14ac:dyDescent="0.3">
      <c r="A337" s="36" t="s">
        <v>279</v>
      </c>
      <c r="B337" s="36">
        <v>3</v>
      </c>
      <c r="C337" s="36"/>
      <c r="D337" s="36">
        <v>21</v>
      </c>
      <c r="E337" s="36" t="str">
        <f>CONCATENATE('Смета ЕР (общ) '!$A337,".",'Смета ЕР (общ) '!$B337,".",'Смета ЕР (общ) '!$D337)</f>
        <v>Р3.3.21</v>
      </c>
      <c r="F337" s="36">
        <f t="shared" ref="F337:F400" si="26">IF(N337&gt;0,F336+1,F336)</f>
        <v>1</v>
      </c>
      <c r="G337" s="36"/>
      <c r="H337" s="36"/>
      <c r="I337" s="36"/>
      <c r="J337" s="36"/>
      <c r="K337" s="36"/>
      <c r="L337" s="37" t="s">
        <v>377</v>
      </c>
      <c r="M337" s="38" t="s">
        <v>40</v>
      </c>
      <c r="N337" s="39"/>
      <c r="O337" s="40">
        <v>475.02</v>
      </c>
      <c r="P337" s="40">
        <v>185.71</v>
      </c>
      <c r="Q337" s="40">
        <f t="shared" si="24"/>
        <v>475.02</v>
      </c>
      <c r="R337" s="40">
        <f t="shared" si="24"/>
        <v>185.71</v>
      </c>
      <c r="S337" s="40">
        <f>ROUND('Смета ЕР (общ) '!$N337*'Смета ЕР (общ) '!$Q337,2)</f>
        <v>0</v>
      </c>
      <c r="T337" s="40">
        <f>ROUND('Смета ЕР (общ) '!$N337*'Смета ЕР (общ) '!$R337,2)</f>
        <v>0</v>
      </c>
    </row>
    <row r="338" spans="1:25" ht="36" x14ac:dyDescent="0.3">
      <c r="A338" s="58" t="s">
        <v>279</v>
      </c>
      <c r="B338" s="58">
        <v>3</v>
      </c>
      <c r="C338" s="58"/>
      <c r="D338" s="58">
        <v>16</v>
      </c>
      <c r="E338" s="58" t="str">
        <f>CONCATENATE('Смета ЕР (общ) '!$A338,".",'Смета ЕР (общ) '!$B338,".",'Смета ЕР (общ) '!$D338)</f>
        <v>Р3.3.16</v>
      </c>
      <c r="F338" s="58">
        <f t="shared" si="26"/>
        <v>1</v>
      </c>
      <c r="G338" s="58"/>
      <c r="H338" s="58"/>
      <c r="I338" s="58"/>
      <c r="J338" s="58"/>
      <c r="K338" s="58"/>
      <c r="L338" s="59" t="s">
        <v>378</v>
      </c>
      <c r="M338" s="60" t="s">
        <v>40</v>
      </c>
      <c r="N338" s="83"/>
      <c r="O338" s="40">
        <v>1289.3399999999999</v>
      </c>
      <c r="P338" s="40">
        <v>13431.16</v>
      </c>
      <c r="Q338" s="40">
        <f t="shared" si="24"/>
        <v>1289.3399999999999</v>
      </c>
      <c r="R338" s="40">
        <f t="shared" si="24"/>
        <v>13431.16</v>
      </c>
      <c r="S338" s="40">
        <f>ROUND('Смета ЕР (общ) '!$N338*'Смета ЕР (общ) '!$Q338,2)</f>
        <v>0</v>
      </c>
      <c r="T338" s="40">
        <f>ROUND('Смета ЕР (общ) '!$N338*'Смета ЕР (общ) '!$R338,2)</f>
        <v>0</v>
      </c>
    </row>
    <row r="339" spans="1:25" ht="24" x14ac:dyDescent="0.3">
      <c r="A339" s="58" t="s">
        <v>279</v>
      </c>
      <c r="B339" s="58">
        <v>3</v>
      </c>
      <c r="C339" s="58"/>
      <c r="D339" s="58">
        <v>17</v>
      </c>
      <c r="E339" s="58" t="str">
        <f>CONCATENATE('Смета ЕР (общ) '!$A339,".",'Смета ЕР (общ) '!$B339,".",'Смета ЕР (общ) '!$D339)</f>
        <v>Р3.3.17</v>
      </c>
      <c r="F339" s="58">
        <f t="shared" si="26"/>
        <v>1</v>
      </c>
      <c r="G339" s="58"/>
      <c r="H339" s="58"/>
      <c r="I339" s="58"/>
      <c r="J339" s="58"/>
      <c r="K339" s="58"/>
      <c r="L339" s="59" t="s">
        <v>379</v>
      </c>
      <c r="M339" s="60" t="s">
        <v>40</v>
      </c>
      <c r="N339" s="83"/>
      <c r="O339" s="40">
        <v>548.05999999999995</v>
      </c>
      <c r="P339" s="40">
        <v>4940.51</v>
      </c>
      <c r="Q339" s="40">
        <f t="shared" si="24"/>
        <v>548.05999999999995</v>
      </c>
      <c r="R339" s="40">
        <f t="shared" si="24"/>
        <v>4940.51</v>
      </c>
      <c r="S339" s="40">
        <f>ROUND('Смета ЕР (общ) '!$N339*'Смета ЕР (общ) '!$Q339,2)</f>
        <v>0</v>
      </c>
      <c r="T339" s="40">
        <f>ROUND('Смета ЕР (общ) '!$N339*'Смета ЕР (общ) '!$R339,2)</f>
        <v>0</v>
      </c>
    </row>
    <row r="340" spans="1:25" ht="14.4" x14ac:dyDescent="0.3">
      <c r="A340" s="58" t="s">
        <v>279</v>
      </c>
      <c r="B340" s="58">
        <v>3</v>
      </c>
      <c r="C340" s="58"/>
      <c r="D340" s="58">
        <v>18</v>
      </c>
      <c r="E340" s="58" t="str">
        <f>CONCATENATE('Смета ЕР (общ) '!$A340,".",'Смета ЕР (общ) '!$B340,".",'Смета ЕР (общ) '!$D340)</f>
        <v>Р3.3.18</v>
      </c>
      <c r="F340" s="58">
        <f t="shared" si="26"/>
        <v>1</v>
      </c>
      <c r="G340" s="58"/>
      <c r="H340" s="58"/>
      <c r="I340" s="58"/>
      <c r="J340" s="58"/>
      <c r="K340" s="58"/>
      <c r="L340" s="59" t="s">
        <v>380</v>
      </c>
      <c r="M340" s="60" t="s">
        <v>40</v>
      </c>
      <c r="N340" s="83"/>
      <c r="O340" s="40">
        <v>1628.64</v>
      </c>
      <c r="P340" s="40">
        <v>15401.73</v>
      </c>
      <c r="Q340" s="40">
        <f t="shared" si="24"/>
        <v>1628.64</v>
      </c>
      <c r="R340" s="40">
        <f t="shared" si="24"/>
        <v>15401.73</v>
      </c>
      <c r="S340" s="40">
        <f>ROUND('Смета ЕР (общ) '!$N340*'Смета ЕР (общ) '!$Q340,2)</f>
        <v>0</v>
      </c>
      <c r="T340" s="40">
        <f>ROUND('Смета ЕР (общ) '!$N340*'Смета ЕР (общ) '!$R340,2)</f>
        <v>0</v>
      </c>
    </row>
    <row r="341" spans="1:25" ht="14.4" x14ac:dyDescent="0.3">
      <c r="A341" s="58" t="s">
        <v>279</v>
      </c>
      <c r="B341" s="58">
        <v>3</v>
      </c>
      <c r="C341" s="58"/>
      <c r="D341" s="58">
        <v>19</v>
      </c>
      <c r="E341" s="58" t="str">
        <f>CONCATENATE('Смета ЕР (общ) '!$A341,".",'Смета ЕР (общ) '!$B341,".",'Смета ЕР (общ) '!$D341)</f>
        <v>Р3.3.19</v>
      </c>
      <c r="F341" s="58">
        <f t="shared" si="26"/>
        <v>1</v>
      </c>
      <c r="G341" s="58"/>
      <c r="H341" s="58"/>
      <c r="I341" s="58"/>
      <c r="J341" s="58"/>
      <c r="K341" s="58"/>
      <c r="L341" s="59" t="s">
        <v>380</v>
      </c>
      <c r="M341" s="60"/>
      <c r="N341" s="83"/>
      <c r="O341" s="40">
        <v>1628.64</v>
      </c>
      <c r="P341" s="40">
        <v>77047.199999999997</v>
      </c>
      <c r="Q341" s="40">
        <f t="shared" si="24"/>
        <v>1628.64</v>
      </c>
      <c r="R341" s="40">
        <f t="shared" si="24"/>
        <v>77047.199999999997</v>
      </c>
      <c r="S341" s="40">
        <f>ROUND('Смета ЕР (общ) '!$N341*'Смета ЕР (общ) '!$Q341,2)</f>
        <v>0</v>
      </c>
      <c r="T341" s="40">
        <f>ROUND('Смета ЕР (общ) '!$N341*'Смета ЕР (общ) '!$R341,2)</f>
        <v>0</v>
      </c>
    </row>
    <row r="342" spans="1:25" ht="24" x14ac:dyDescent="0.3">
      <c r="A342" s="58" t="s">
        <v>279</v>
      </c>
      <c r="B342" s="58">
        <v>3</v>
      </c>
      <c r="C342" s="58"/>
      <c r="D342" s="58">
        <v>28</v>
      </c>
      <c r="E342" s="58" t="str">
        <f>CONCATENATE('Смета ЕР (общ) '!$A342,".",'Смета ЕР (общ) '!$B342,".",'Смета ЕР (общ) '!$D342)</f>
        <v>Р3.3.28</v>
      </c>
      <c r="F342" s="58">
        <f t="shared" si="26"/>
        <v>1</v>
      </c>
      <c r="G342" s="58"/>
      <c r="H342" s="58"/>
      <c r="I342" s="58"/>
      <c r="J342" s="58"/>
      <c r="K342" s="58"/>
      <c r="L342" s="59" t="s">
        <v>381</v>
      </c>
      <c r="M342" s="60" t="s">
        <v>40</v>
      </c>
      <c r="N342" s="83"/>
      <c r="O342" s="40">
        <v>1289.3399999999999</v>
      </c>
      <c r="P342" s="40">
        <v>3668.56</v>
      </c>
      <c r="Q342" s="40">
        <f>ROUND(O342-O342*$V$3,2)</f>
        <v>1289.3399999999999</v>
      </c>
      <c r="R342" s="40">
        <f t="shared" ref="R342:R373" si="27">ROUND(P342-P342*$V$3,2)</f>
        <v>3668.56</v>
      </c>
      <c r="S342" s="40">
        <f>ROUND('Смета ЕР (общ) '!$N342*'Смета ЕР (общ) '!$Q342,2)</f>
        <v>0</v>
      </c>
      <c r="T342" s="40">
        <f>ROUND('Смета ЕР (общ) '!$N342*'Смета ЕР (общ) '!$R343,2)</f>
        <v>0</v>
      </c>
    </row>
    <row r="343" spans="1:25" ht="14.4" x14ac:dyDescent="0.3">
      <c r="A343" s="58" t="s">
        <v>279</v>
      </c>
      <c r="B343" s="58">
        <v>3</v>
      </c>
      <c r="C343" s="58"/>
      <c r="D343" s="58">
        <v>29</v>
      </c>
      <c r="E343" s="58" t="str">
        <f>CONCATENATE('Смета ЕР (общ) '!$A343,".",'Смета ЕР (общ) '!$B343,".",'Смета ЕР (общ) '!$D343)</f>
        <v>Р3.3.29</v>
      </c>
      <c r="F343" s="58">
        <f t="shared" si="26"/>
        <v>1</v>
      </c>
      <c r="G343" s="58"/>
      <c r="H343" s="58"/>
      <c r="I343" s="58"/>
      <c r="J343" s="58"/>
      <c r="K343" s="58"/>
      <c r="L343" s="59" t="s">
        <v>382</v>
      </c>
      <c r="M343" s="60" t="s">
        <v>40</v>
      </c>
      <c r="N343" s="83"/>
      <c r="O343" s="40">
        <v>3048.05</v>
      </c>
      <c r="P343" s="40">
        <v>890.65</v>
      </c>
      <c r="Q343" s="40">
        <f>ROUND(O343-O343*$V$3,2)</f>
        <v>3048.05</v>
      </c>
      <c r="R343" s="40">
        <f>ROUND(P342-P342*$V$3,2)</f>
        <v>3668.56</v>
      </c>
      <c r="S343" s="40">
        <f>ROUND('Смета ЕР (общ) '!$N343*'Смета ЕР (общ) '!$Q343,2)</f>
        <v>0</v>
      </c>
      <c r="T343" s="40">
        <f>ROUND('Смета ЕР (общ) '!$N343*'Смета ЕР (общ) '!$R344,2)</f>
        <v>0</v>
      </c>
    </row>
    <row r="344" spans="1:25" ht="24" x14ac:dyDescent="0.3">
      <c r="A344" s="36" t="s">
        <v>279</v>
      </c>
      <c r="B344" s="36">
        <v>3</v>
      </c>
      <c r="C344" s="36"/>
      <c r="D344" s="36">
        <v>15</v>
      </c>
      <c r="E344" s="36" t="str">
        <f>CONCATENATE('Смета ЕР (общ) '!$A344,".",'Смета ЕР (общ) '!$B344,".",'Смета ЕР (общ) '!$D344)</f>
        <v>Р3.3.15</v>
      </c>
      <c r="F344" s="36">
        <f t="shared" si="26"/>
        <v>1</v>
      </c>
      <c r="G344" s="36"/>
      <c r="H344" s="36"/>
      <c r="I344" s="36"/>
      <c r="J344" s="36"/>
      <c r="K344" s="36"/>
      <c r="L344" s="53" t="s">
        <v>383</v>
      </c>
      <c r="M344" s="54" t="s">
        <v>40</v>
      </c>
      <c r="N344" s="39"/>
      <c r="O344" s="40">
        <v>474.15</v>
      </c>
      <c r="P344" s="40">
        <v>1572.69</v>
      </c>
      <c r="Q344" s="40">
        <f>ROUND(O344-O344*$V$3,2)</f>
        <v>474.15</v>
      </c>
      <c r="R344" s="40">
        <f>ROUND(P344-P344*$V$3,2)</f>
        <v>1572.69</v>
      </c>
      <c r="S344" s="40">
        <f>ROUND('Смета ЕР (общ) '!$N344*'Смета ЕР (общ) '!$Q344,2)</f>
        <v>0</v>
      </c>
      <c r="T344" s="40">
        <f>ROUND('Смета ЕР (общ) '!$N344*'Смета ЕР (общ) '!$R344,2)</f>
        <v>0</v>
      </c>
    </row>
    <row r="345" spans="1:25" ht="24" x14ac:dyDescent="0.3">
      <c r="A345" s="36" t="s">
        <v>279</v>
      </c>
      <c r="B345" s="36">
        <v>3</v>
      </c>
      <c r="C345" s="36"/>
      <c r="D345" s="36">
        <v>22</v>
      </c>
      <c r="E345" s="36" t="str">
        <f>CONCATENATE('Смета ЕР (общ) '!$A345,".",'Смета ЕР (общ) '!$B345,".",'Смета ЕР (общ) '!$D345)</f>
        <v>Р3.3.22</v>
      </c>
      <c r="F345" s="36">
        <f t="shared" si="26"/>
        <v>1</v>
      </c>
      <c r="G345" s="36"/>
      <c r="H345" s="36"/>
      <c r="I345" s="36"/>
      <c r="J345" s="36"/>
      <c r="K345" s="36"/>
      <c r="L345" s="37" t="s">
        <v>384</v>
      </c>
      <c r="M345" s="38" t="s">
        <v>40</v>
      </c>
      <c r="N345" s="39"/>
      <c r="O345" s="40">
        <v>652.5</v>
      </c>
      <c r="P345" s="40">
        <v>2120.4299999999998</v>
      </c>
      <c r="Q345" s="40">
        <f>ROUND(O345-O345*$V$3,2)</f>
        <v>652.5</v>
      </c>
      <c r="R345" s="40">
        <f>ROUND(P345-P345*$V$3,2)</f>
        <v>2120.4299999999998</v>
      </c>
      <c r="S345" s="40">
        <f>ROUND('Смета ЕР (общ) '!$N345*'Смета ЕР (общ) '!$Q345,2)</f>
        <v>0</v>
      </c>
      <c r="T345" s="40">
        <f>ROUND('Смета ЕР (общ) '!$N345*'Смета ЕР (общ) '!$R345,2)</f>
        <v>0</v>
      </c>
    </row>
    <row r="346" spans="1:25" ht="14.4" x14ac:dyDescent="0.3">
      <c r="A346" s="48" t="s">
        <v>279</v>
      </c>
      <c r="B346" s="48">
        <v>4</v>
      </c>
      <c r="C346" s="48">
        <v>0</v>
      </c>
      <c r="D346" s="48">
        <v>0</v>
      </c>
      <c r="E346" s="48" t="str">
        <f>CONCATENATE('Смета ЕР (общ) '!$A346,".",'Смета ЕР (общ) '!$B346,".",C346,".",'Смета ЕР (общ) '!$D346)</f>
        <v>Р3.4.0.0</v>
      </c>
      <c r="F346" s="48">
        <f t="shared" si="26"/>
        <v>1</v>
      </c>
      <c r="G346" s="48"/>
      <c r="H346" s="48"/>
      <c r="I346" s="48"/>
      <c r="J346" s="48"/>
      <c r="K346" s="48"/>
      <c r="L346" s="49" t="s">
        <v>385</v>
      </c>
      <c r="M346" s="31"/>
      <c r="N346" s="32">
        <f>S346</f>
        <v>0</v>
      </c>
      <c r="O346" s="47"/>
      <c r="P346" s="47"/>
      <c r="Q346" s="34"/>
      <c r="R346" s="34"/>
      <c r="S346" s="34">
        <f>ROUND(S347+S352+S357+S361+S367+S379+S392,2)</f>
        <v>0</v>
      </c>
      <c r="T346" s="34">
        <f>ROUND(T347+T352+T357+T361+T367+T379+T392,2)</f>
        <v>0</v>
      </c>
      <c r="Y346">
        <v>551184.55000000005</v>
      </c>
    </row>
    <row r="347" spans="1:25" ht="14.4" x14ac:dyDescent="0.3">
      <c r="A347" s="84" t="s">
        <v>279</v>
      </c>
      <c r="B347" s="84">
        <v>4</v>
      </c>
      <c r="C347" s="84">
        <v>1</v>
      </c>
      <c r="D347" s="84">
        <v>0</v>
      </c>
      <c r="E347" s="84" t="str">
        <f>CONCATENATE('Смета ЕР (общ) '!$A347,".",'Смета ЕР (общ) '!$B347,".",C347,".",'Смета ЕР (общ) '!$D347)</f>
        <v>Р3.4.1.0</v>
      </c>
      <c r="F347" s="84">
        <f t="shared" si="26"/>
        <v>1</v>
      </c>
      <c r="G347" s="84"/>
      <c r="H347" s="84"/>
      <c r="I347" s="84"/>
      <c r="J347" s="84"/>
      <c r="K347" s="84"/>
      <c r="L347" s="85" t="s">
        <v>386</v>
      </c>
      <c r="M347" s="86"/>
      <c r="N347" s="87">
        <f>S347</f>
        <v>0</v>
      </c>
      <c r="O347" s="88"/>
      <c r="P347" s="88"/>
      <c r="Q347" s="89"/>
      <c r="R347" s="89"/>
      <c r="S347" s="89">
        <f>SUM(S348:S351)</f>
        <v>0</v>
      </c>
      <c r="T347" s="89">
        <f>SUM(T348:T351)</f>
        <v>0</v>
      </c>
      <c r="Y347">
        <v>20905.800000000003</v>
      </c>
    </row>
    <row r="348" spans="1:25" ht="72" x14ac:dyDescent="0.3">
      <c r="A348" s="36" t="s">
        <v>279</v>
      </c>
      <c r="B348" s="36">
        <v>4</v>
      </c>
      <c r="C348" s="36">
        <v>1</v>
      </c>
      <c r="D348" s="36">
        <v>1</v>
      </c>
      <c r="E348" s="36" t="str">
        <f>CONCATENATE('Смета ЕР (общ) '!$A348,".",'Смета ЕР (общ) '!$B348,".",C348,".",'Смета ЕР (общ) '!$D348)</f>
        <v>Р3.4.1.1</v>
      </c>
      <c r="F348" s="36">
        <f t="shared" si="26"/>
        <v>1</v>
      </c>
      <c r="G348" s="36"/>
      <c r="H348" s="36"/>
      <c r="I348" s="36"/>
      <c r="J348" s="36"/>
      <c r="K348" s="36"/>
      <c r="L348" s="37" t="s">
        <v>387</v>
      </c>
      <c r="M348" s="38" t="s">
        <v>118</v>
      </c>
      <c r="N348" s="39"/>
      <c r="O348" s="40">
        <v>5781.74</v>
      </c>
      <c r="P348" s="40">
        <f>'[1]Стекл двери в алюм. (2)'!D6</f>
        <v>51219</v>
      </c>
      <c r="Q348" s="40">
        <f t="shared" ref="Q348:R351" si="28">ROUND(O348-O348*$V$3,2)</f>
        <v>5781.74</v>
      </c>
      <c r="R348" s="66">
        <f>P348</f>
        <v>51219</v>
      </c>
      <c r="S348" s="40">
        <f>ROUND('Смета ЕР (общ) '!$N348*'Смета ЕР (общ) '!$Q348,2)</f>
        <v>0</v>
      </c>
      <c r="T348" s="40">
        <f>ROUND('Смета ЕР (общ) '!$N348*'Смета ЕР (общ) '!$R348,2)</f>
        <v>0</v>
      </c>
      <c r="U348" s="67" t="s">
        <v>388</v>
      </c>
      <c r="V348" s="68"/>
    </row>
    <row r="349" spans="1:25" ht="72" x14ac:dyDescent="0.3">
      <c r="A349" s="36" t="s">
        <v>279</v>
      </c>
      <c r="B349" s="36">
        <v>4</v>
      </c>
      <c r="C349" s="36">
        <v>1</v>
      </c>
      <c r="D349" s="36">
        <v>2</v>
      </c>
      <c r="E349" s="36" t="str">
        <f>CONCATENATE('Смета ЕР (общ) '!$A349,".",'Смета ЕР (общ) '!$B349,".",C349,".",'Смета ЕР (общ) '!$D349)</f>
        <v>Р3.4.1.2</v>
      </c>
      <c r="F349" s="36">
        <f t="shared" si="26"/>
        <v>1</v>
      </c>
      <c r="G349" s="36"/>
      <c r="H349" s="36"/>
      <c r="I349" s="36"/>
      <c r="J349" s="36"/>
      <c r="K349" s="36"/>
      <c r="L349" s="53" t="s">
        <v>389</v>
      </c>
      <c r="M349" s="38" t="s">
        <v>118</v>
      </c>
      <c r="N349" s="39"/>
      <c r="O349" s="40">
        <v>7892.64</v>
      </c>
      <c r="P349" s="40">
        <f>'[1]Стекл двери в алюм. (2)'!D7</f>
        <v>73572.45</v>
      </c>
      <c r="Q349" s="40">
        <f t="shared" si="28"/>
        <v>7892.64</v>
      </c>
      <c r="R349" s="66">
        <f t="shared" ref="R349:R350" si="29">P349</f>
        <v>73572.45</v>
      </c>
      <c r="S349" s="40">
        <f>ROUND('Смета ЕР (общ) '!$N349*'Смета ЕР (общ) '!$Q349,2)</f>
        <v>0</v>
      </c>
      <c r="T349" s="40">
        <f>ROUND('Смета ЕР (общ) '!$N349*'Смета ЕР (общ) '!$R349,2)</f>
        <v>0</v>
      </c>
      <c r="U349" s="67" t="s">
        <v>388</v>
      </c>
      <c r="V349" s="68"/>
      <c r="Y349">
        <v>2</v>
      </c>
    </row>
    <row r="350" spans="1:25" ht="72" x14ac:dyDescent="0.3">
      <c r="A350" s="36" t="s">
        <v>279</v>
      </c>
      <c r="B350" s="36">
        <v>4</v>
      </c>
      <c r="C350" s="36">
        <v>1</v>
      </c>
      <c r="D350" s="36">
        <v>3</v>
      </c>
      <c r="E350" s="36" t="str">
        <f>CONCATENATE('Смета ЕР (общ) '!$A350,".",'Смета ЕР (общ) '!$B350,".",C350,".",'Смета ЕР (общ) '!$D350)</f>
        <v>Р3.4.1.3</v>
      </c>
      <c r="F350" s="36">
        <f t="shared" si="26"/>
        <v>1</v>
      </c>
      <c r="G350" s="36"/>
      <c r="H350" s="36"/>
      <c r="I350" s="36"/>
      <c r="J350" s="36"/>
      <c r="K350" s="36"/>
      <c r="L350" s="53" t="s">
        <v>390</v>
      </c>
      <c r="M350" s="38" t="s">
        <v>118</v>
      </c>
      <c r="N350" s="39"/>
      <c r="O350" s="40">
        <v>9900</v>
      </c>
      <c r="P350" s="40">
        <f>'[1]Стекл двери в алюм. (2)'!D8</f>
        <v>89201.7</v>
      </c>
      <c r="Q350" s="40">
        <f t="shared" si="28"/>
        <v>9900</v>
      </c>
      <c r="R350" s="66">
        <f t="shared" si="29"/>
        <v>89201.7</v>
      </c>
      <c r="S350" s="40">
        <f>ROUND('Смета ЕР (общ) '!$N350*'Смета ЕР (общ) '!$Q350,2)</f>
        <v>0</v>
      </c>
      <c r="T350" s="40">
        <f>ROUND('Смета ЕР (общ) '!$N350*'Смета ЕР (общ) '!$R350,2)</f>
        <v>0</v>
      </c>
      <c r="U350" s="67" t="s">
        <v>388</v>
      </c>
      <c r="V350" s="68"/>
    </row>
    <row r="351" spans="1:25" ht="14.4" x14ac:dyDescent="0.3">
      <c r="A351" s="36" t="s">
        <v>279</v>
      </c>
      <c r="B351" s="36">
        <v>4</v>
      </c>
      <c r="C351" s="36">
        <v>1</v>
      </c>
      <c r="D351" s="36">
        <v>4</v>
      </c>
      <c r="E351" s="36" t="str">
        <f>CONCATENATE('Смета ЕР (общ) '!$A351,".",'Смета ЕР (общ) '!$B351,".",C351,".",'Смета ЕР (общ) '!$D351)</f>
        <v>Р3.4.1.4</v>
      </c>
      <c r="F351" s="36">
        <f t="shared" si="26"/>
        <v>1</v>
      </c>
      <c r="G351" s="36"/>
      <c r="H351" s="36"/>
      <c r="I351" s="36"/>
      <c r="J351" s="36"/>
      <c r="K351" s="36"/>
      <c r="L351" s="37" t="s">
        <v>391</v>
      </c>
      <c r="M351" s="38" t="s">
        <v>118</v>
      </c>
      <c r="N351" s="39"/>
      <c r="O351" s="40">
        <v>1280.1300000000001</v>
      </c>
      <c r="P351" s="40">
        <f>'[1]Стекл двери в алюм. (2)'!C9</f>
        <v>5500</v>
      </c>
      <c r="Q351" s="40">
        <f t="shared" si="28"/>
        <v>1280.1300000000001</v>
      </c>
      <c r="R351" s="40">
        <f t="shared" si="28"/>
        <v>5500</v>
      </c>
      <c r="S351" s="40">
        <f>ROUND('Смета ЕР (общ) '!$N351*'Смета ЕР (общ) '!$Q351,2)</f>
        <v>0</v>
      </c>
      <c r="T351" s="40">
        <f>ROUND('Смета ЕР (общ) '!$N351*'Смета ЕР (общ) '!$R351,2)</f>
        <v>0</v>
      </c>
      <c r="Y351">
        <v>4</v>
      </c>
    </row>
    <row r="352" spans="1:25" ht="14.4" x14ac:dyDescent="0.3">
      <c r="A352" s="90" t="s">
        <v>279</v>
      </c>
      <c r="B352" s="90">
        <v>4</v>
      </c>
      <c r="C352" s="90">
        <v>2</v>
      </c>
      <c r="D352" s="90">
        <v>0</v>
      </c>
      <c r="E352" s="90" t="str">
        <f>CONCATENATE('Смета ЕР (общ) '!$A352,".",'Смета ЕР (общ) '!$B352,".",C352,".",'Смета ЕР (общ) '!$D352)</f>
        <v>Р3.4.2.0</v>
      </c>
      <c r="F352" s="90">
        <f t="shared" si="26"/>
        <v>1</v>
      </c>
      <c r="G352" s="90"/>
      <c r="H352" s="90"/>
      <c r="I352" s="90"/>
      <c r="J352" s="90"/>
      <c r="K352" s="90"/>
      <c r="L352" s="91" t="s">
        <v>392</v>
      </c>
      <c r="M352" s="92"/>
      <c r="N352" s="87">
        <f>S352</f>
        <v>0</v>
      </c>
      <c r="O352" s="88"/>
      <c r="P352" s="88"/>
      <c r="Q352" s="93"/>
      <c r="R352" s="93"/>
      <c r="S352" s="93">
        <f>SUM(S353:S356)</f>
        <v>0</v>
      </c>
      <c r="T352" s="93">
        <f>SUM(T353:T356)</f>
        <v>0</v>
      </c>
      <c r="Y352">
        <v>0</v>
      </c>
    </row>
    <row r="353" spans="1:25" ht="36" x14ac:dyDescent="0.3">
      <c r="A353" s="36" t="s">
        <v>279</v>
      </c>
      <c r="B353" s="36">
        <v>4</v>
      </c>
      <c r="C353" s="36">
        <v>2</v>
      </c>
      <c r="D353" s="36">
        <v>1</v>
      </c>
      <c r="E353" s="36" t="str">
        <f>CONCATENATE('Смета ЕР (общ) '!$A353,".",'Смета ЕР (общ) '!$B353,".",C353,".",'Смета ЕР (общ) '!$D353)</f>
        <v>Р3.4.2.1</v>
      </c>
      <c r="F353" s="36">
        <f t="shared" si="26"/>
        <v>1</v>
      </c>
      <c r="G353" s="36"/>
      <c r="H353" s="36"/>
      <c r="I353" s="36"/>
      <c r="J353" s="36"/>
      <c r="K353" s="36"/>
      <c r="L353" s="37" t="s">
        <v>393</v>
      </c>
      <c r="M353" s="38" t="s">
        <v>118</v>
      </c>
      <c r="N353" s="39"/>
      <c r="O353" s="40">
        <v>10648.8</v>
      </c>
      <c r="P353" s="40">
        <v>72163.73</v>
      </c>
      <c r="Q353" s="40">
        <f t="shared" ref="Q353:R356" si="30">ROUND(O353-O353*$V$3,2)</f>
        <v>10648.8</v>
      </c>
      <c r="R353" s="40">
        <f t="shared" si="30"/>
        <v>72163.73</v>
      </c>
      <c r="S353" s="40">
        <f>ROUND('Смета ЕР (общ) '!$N353*'Смета ЕР (общ) '!$Q353,2)</f>
        <v>0</v>
      </c>
      <c r="T353" s="40">
        <f>ROUND('Смета ЕР (общ) '!$N353*'Смета ЕР (общ) '!$R353,2)</f>
        <v>0</v>
      </c>
    </row>
    <row r="354" spans="1:25" ht="96" x14ac:dyDescent="0.3">
      <c r="A354" s="36" t="s">
        <v>279</v>
      </c>
      <c r="B354" s="36">
        <v>4</v>
      </c>
      <c r="C354" s="36">
        <v>2</v>
      </c>
      <c r="D354" s="36">
        <v>2</v>
      </c>
      <c r="E354" s="36" t="str">
        <f>CONCATENATE('Смета ЕР (общ) '!$A354,".",'Смета ЕР (общ) '!$B354,".",C354,".",'Смета ЕР (общ) '!$D354)</f>
        <v>Р3.4.2.2</v>
      </c>
      <c r="F354" s="36">
        <f t="shared" si="26"/>
        <v>1</v>
      </c>
      <c r="G354" s="36"/>
      <c r="H354" s="36"/>
      <c r="I354" s="36"/>
      <c r="J354" s="36"/>
      <c r="K354" s="36"/>
      <c r="L354" s="37" t="s">
        <v>394</v>
      </c>
      <c r="M354" s="38" t="s">
        <v>118</v>
      </c>
      <c r="N354" s="39"/>
      <c r="O354" s="40">
        <v>13154.4</v>
      </c>
      <c r="P354" s="40">
        <f>[1]Броня!F30</f>
        <v>110250</v>
      </c>
      <c r="Q354" s="40">
        <f t="shared" si="30"/>
        <v>13154.4</v>
      </c>
      <c r="R354" s="66">
        <f>P354</f>
        <v>110250</v>
      </c>
      <c r="S354" s="40">
        <f>ROUND('Смета ЕР (общ) '!$N354*'Смета ЕР (общ) '!$Q354,2)</f>
        <v>0</v>
      </c>
      <c r="T354" s="40">
        <f>ROUND('Смета ЕР (общ) '!$N354*'Смета ЕР (общ) '!$R354,2)</f>
        <v>0</v>
      </c>
      <c r="U354" s="67" t="s">
        <v>395</v>
      </c>
      <c r="V354" s="68"/>
    </row>
    <row r="355" spans="1:25" ht="24" x14ac:dyDescent="0.3">
      <c r="A355" s="36" t="s">
        <v>279</v>
      </c>
      <c r="B355" s="36">
        <v>4</v>
      </c>
      <c r="C355" s="36">
        <v>2</v>
      </c>
      <c r="D355" s="36">
        <v>3</v>
      </c>
      <c r="E355" s="36" t="str">
        <f>CONCATENATE('Смета ЕР (общ) '!$A355,".",'Смета ЕР (общ) '!$B355,".",C355,".",'Смета ЕР (общ) '!$D355)</f>
        <v>Р3.4.2.3</v>
      </c>
      <c r="F355" s="36">
        <f t="shared" si="26"/>
        <v>1</v>
      </c>
      <c r="G355" s="36"/>
      <c r="H355" s="36"/>
      <c r="I355" s="36"/>
      <c r="J355" s="36"/>
      <c r="K355" s="36"/>
      <c r="L355" s="37" t="s">
        <v>396</v>
      </c>
      <c r="M355" s="38" t="s">
        <v>118</v>
      </c>
      <c r="N355" s="39"/>
      <c r="O355" s="40">
        <v>1315.44</v>
      </c>
      <c r="P355" s="40">
        <f>[1]Броня!F31</f>
        <v>8400</v>
      </c>
      <c r="Q355" s="40">
        <f t="shared" si="30"/>
        <v>1315.44</v>
      </c>
      <c r="R355" s="66">
        <f>P355</f>
        <v>8400</v>
      </c>
      <c r="S355" s="40">
        <f>ROUND('Смета ЕР (общ) '!$N355*'Смета ЕР (общ) '!$Q355,2)</f>
        <v>0</v>
      </c>
      <c r="T355" s="40">
        <f>ROUND('Смета ЕР (общ) '!$N355*'Смета ЕР (общ) '!$R355,2)</f>
        <v>0</v>
      </c>
      <c r="U355" s="67" t="s">
        <v>395</v>
      </c>
      <c r="V355" s="68"/>
    </row>
    <row r="356" spans="1:25" ht="24" x14ac:dyDescent="0.3">
      <c r="A356" s="36" t="s">
        <v>279</v>
      </c>
      <c r="B356" s="36">
        <v>4</v>
      </c>
      <c r="C356" s="36">
        <v>2</v>
      </c>
      <c r="D356" s="36">
        <v>4</v>
      </c>
      <c r="E356" s="36" t="str">
        <f>CONCATENATE('Смета ЕР (общ) '!$A356,".",'Смета ЕР (общ) '!$B356,".",C356,".",'Смета ЕР (общ) '!$D356)</f>
        <v>Р3.4.2.4</v>
      </c>
      <c r="F356" s="36">
        <f t="shared" si="26"/>
        <v>1</v>
      </c>
      <c r="G356" s="36"/>
      <c r="H356" s="36"/>
      <c r="I356" s="36"/>
      <c r="J356" s="36"/>
      <c r="K356" s="36"/>
      <c r="L356" s="37" t="s">
        <v>397</v>
      </c>
      <c r="M356" s="38" t="s">
        <v>118</v>
      </c>
      <c r="N356" s="39"/>
      <c r="O356" s="40">
        <v>11901.6</v>
      </c>
      <c r="P356" s="40">
        <v>63832.07</v>
      </c>
      <c r="Q356" s="40">
        <f t="shared" si="30"/>
        <v>11901.6</v>
      </c>
      <c r="R356" s="40">
        <f t="shared" si="30"/>
        <v>63832.07</v>
      </c>
      <c r="S356" s="40">
        <f>ROUND('Смета ЕР (общ) '!$N356*'Смета ЕР (общ) '!$Q356,2)</f>
        <v>0</v>
      </c>
      <c r="T356" s="40">
        <f>ROUND('Смета ЕР (общ) '!$N356*'Смета ЕР (общ) '!$R356,2)</f>
        <v>0</v>
      </c>
    </row>
    <row r="357" spans="1:25" ht="14.4" x14ac:dyDescent="0.3">
      <c r="A357" s="84" t="s">
        <v>279</v>
      </c>
      <c r="B357" s="84">
        <v>4</v>
      </c>
      <c r="C357" s="84">
        <v>3</v>
      </c>
      <c r="D357" s="84">
        <v>0</v>
      </c>
      <c r="E357" s="84" t="str">
        <f>CONCATENATE('Смета ЕР (общ) '!$A357,".",'Смета ЕР (общ) '!$B357,".",C357,".",'Смета ЕР (общ) '!$D357)</f>
        <v>Р3.4.3.0</v>
      </c>
      <c r="F357" s="84">
        <f t="shared" si="26"/>
        <v>1</v>
      </c>
      <c r="G357" s="84"/>
      <c r="H357" s="84"/>
      <c r="I357" s="84"/>
      <c r="J357" s="84"/>
      <c r="K357" s="84"/>
      <c r="L357" s="85" t="s">
        <v>398</v>
      </c>
      <c r="M357" s="86"/>
      <c r="N357" s="87">
        <f>S357</f>
        <v>0</v>
      </c>
      <c r="O357" s="88"/>
      <c r="P357" s="88"/>
      <c r="Q357" s="89"/>
      <c r="R357" s="89"/>
      <c r="S357" s="89">
        <f>SUM(S358:S360)</f>
        <v>0</v>
      </c>
      <c r="T357" s="89">
        <f>SUM(T358:T360)</f>
        <v>0</v>
      </c>
      <c r="Y357">
        <v>74800</v>
      </c>
    </row>
    <row r="358" spans="1:25" ht="84" x14ac:dyDescent="0.3">
      <c r="A358" s="36" t="s">
        <v>279</v>
      </c>
      <c r="B358" s="36">
        <v>4</v>
      </c>
      <c r="C358" s="36">
        <v>3</v>
      </c>
      <c r="D358" s="36">
        <v>1</v>
      </c>
      <c r="E358" s="36" t="str">
        <f>CONCATENATE('Смета ЕР (общ) '!$A358,".",'Смета ЕР (общ) '!$B358,".",C358,".",'Смета ЕР (общ) '!$D358)</f>
        <v>Р3.4.3.1</v>
      </c>
      <c r="F358" s="36">
        <f t="shared" si="26"/>
        <v>1</v>
      </c>
      <c r="G358" s="36"/>
      <c r="H358" s="36"/>
      <c r="I358" s="36"/>
      <c r="J358" s="36"/>
      <c r="K358" s="36"/>
      <c r="L358" s="37" t="s">
        <v>399</v>
      </c>
      <c r="M358" s="38" t="s">
        <v>118</v>
      </c>
      <c r="N358" s="39"/>
      <c r="O358" s="40">
        <v>9350</v>
      </c>
      <c r="P358" s="40">
        <f>'[1]Бескаркасные двери и перегородк'!E6</f>
        <v>46510.8</v>
      </c>
      <c r="Q358" s="40">
        <f t="shared" ref="Q358:Q360" si="31">ROUND(O358-O358*$V$3,2)</f>
        <v>9350</v>
      </c>
      <c r="R358" s="66">
        <f>P358</f>
        <v>46510.8</v>
      </c>
      <c r="S358" s="40">
        <f>ROUND('Смета ЕР (общ) '!$N358*'Смета ЕР (общ) '!$Q358,2)</f>
        <v>0</v>
      </c>
      <c r="T358" s="40">
        <f>ROUND('Смета ЕР (общ) '!$N358*'Смета ЕР (общ) '!$R358,2)</f>
        <v>0</v>
      </c>
      <c r="U358" s="67" t="s">
        <v>327</v>
      </c>
      <c r="V358" s="68"/>
      <c r="Y358">
        <v>8</v>
      </c>
    </row>
    <row r="359" spans="1:25" ht="84" x14ac:dyDescent="0.3">
      <c r="A359" s="36" t="s">
        <v>279</v>
      </c>
      <c r="B359" s="36">
        <v>4</v>
      </c>
      <c r="C359" s="36">
        <v>3</v>
      </c>
      <c r="D359" s="36">
        <v>2</v>
      </c>
      <c r="E359" s="36" t="str">
        <f>CONCATENATE('Смета ЕР (общ) '!$A359,".",'Смета ЕР (общ) '!$B359,".",C359,".",'Смета ЕР (общ) '!$D359)</f>
        <v>Р3.4.3.2</v>
      </c>
      <c r="F359" s="36">
        <f t="shared" si="26"/>
        <v>1</v>
      </c>
      <c r="G359" s="36"/>
      <c r="H359" s="36"/>
      <c r="I359" s="36"/>
      <c r="J359" s="36"/>
      <c r="K359" s="36"/>
      <c r="L359" s="37" t="s">
        <v>400</v>
      </c>
      <c r="M359" s="38" t="s">
        <v>118</v>
      </c>
      <c r="N359" s="39"/>
      <c r="O359" s="40">
        <v>9350</v>
      </c>
      <c r="P359" s="40">
        <f>'[1]Бескаркасные двери и перегородк'!E7</f>
        <v>72350.25</v>
      </c>
      <c r="Q359" s="40">
        <f t="shared" si="31"/>
        <v>9350</v>
      </c>
      <c r="R359" s="66">
        <f t="shared" ref="R359:R360" si="32">P359</f>
        <v>72350.25</v>
      </c>
      <c r="S359" s="40">
        <f>ROUND('Смета ЕР (общ) '!$N359*'Смета ЕР (общ) '!$Q359,2)</f>
        <v>0</v>
      </c>
      <c r="T359" s="40">
        <f>ROUND('Смета ЕР (общ) '!$N359*'Смета ЕР (общ) '!$R359,2)</f>
        <v>0</v>
      </c>
      <c r="U359" s="67" t="s">
        <v>327</v>
      </c>
      <c r="V359" s="68"/>
    </row>
    <row r="360" spans="1:25" ht="84" x14ac:dyDescent="0.3">
      <c r="A360" s="36" t="s">
        <v>279</v>
      </c>
      <c r="B360" s="36">
        <v>4</v>
      </c>
      <c r="C360" s="36">
        <v>3</v>
      </c>
      <c r="D360" s="36">
        <v>3</v>
      </c>
      <c r="E360" s="36" t="str">
        <f>CONCATENATE('Смета ЕР (общ) '!$A360,".",'Смета ЕР (общ) '!$B360,".",C360,".",'Смета ЕР (общ) '!$D360)</f>
        <v>Р3.4.3.3</v>
      </c>
      <c r="F360" s="36">
        <f t="shared" si="26"/>
        <v>1</v>
      </c>
      <c r="G360" s="36"/>
      <c r="H360" s="36"/>
      <c r="I360" s="36"/>
      <c r="J360" s="36"/>
      <c r="K360" s="36"/>
      <c r="L360" s="37" t="s">
        <v>401</v>
      </c>
      <c r="M360" s="38" t="s">
        <v>118</v>
      </c>
      <c r="N360" s="39"/>
      <c r="O360" s="40">
        <v>12069.75</v>
      </c>
      <c r="P360" s="40">
        <f>'[1]Бескаркасные двери и перегородк'!E8</f>
        <v>106310.39999999999</v>
      </c>
      <c r="Q360" s="40">
        <f t="shared" si="31"/>
        <v>12069.75</v>
      </c>
      <c r="R360" s="66">
        <f t="shared" si="32"/>
        <v>106310.39999999999</v>
      </c>
      <c r="S360" s="40">
        <f>ROUND('Смета ЕР (общ) '!$N360*'Смета ЕР (общ) '!$Q360,2)</f>
        <v>0</v>
      </c>
      <c r="T360" s="40">
        <f>ROUND('Смета ЕР (общ) '!$N360*'Смета ЕР (общ) '!$R360,2)</f>
        <v>0</v>
      </c>
      <c r="U360" s="67" t="s">
        <v>327</v>
      </c>
      <c r="V360" s="68"/>
    </row>
    <row r="361" spans="1:25" ht="14.4" x14ac:dyDescent="0.3">
      <c r="A361" s="90" t="s">
        <v>279</v>
      </c>
      <c r="B361" s="90">
        <v>4</v>
      </c>
      <c r="C361" s="90">
        <v>4</v>
      </c>
      <c r="D361" s="90">
        <v>0</v>
      </c>
      <c r="E361" s="90" t="str">
        <f>CONCATENATE('Смета ЕР (общ) '!$A361,".",'Смета ЕР (общ) '!$B361,".",C361,".",'Смета ЕР (общ) '!$D361)</f>
        <v>Р3.4.4.0</v>
      </c>
      <c r="F361" s="90">
        <f t="shared" si="26"/>
        <v>1</v>
      </c>
      <c r="G361" s="90"/>
      <c r="H361" s="90"/>
      <c r="I361" s="90"/>
      <c r="J361" s="90"/>
      <c r="K361" s="90"/>
      <c r="L361" s="94" t="s">
        <v>402</v>
      </c>
      <c r="M361" s="92"/>
      <c r="N361" s="87">
        <f>S361</f>
        <v>0</v>
      </c>
      <c r="O361" s="88"/>
      <c r="P361" s="88"/>
      <c r="Q361" s="93"/>
      <c r="R361" s="93"/>
      <c r="S361" s="93">
        <f>SUM(S362:S366)</f>
        <v>0</v>
      </c>
      <c r="T361" s="93">
        <f>SUM(T362:T366)</f>
        <v>0</v>
      </c>
      <c r="Y361">
        <v>18700</v>
      </c>
    </row>
    <row r="362" spans="1:25" ht="60" x14ac:dyDescent="0.3">
      <c r="A362" s="36" t="s">
        <v>279</v>
      </c>
      <c r="B362" s="36">
        <v>4</v>
      </c>
      <c r="C362" s="36">
        <v>4</v>
      </c>
      <c r="D362" s="36">
        <v>1</v>
      </c>
      <c r="E362" s="36" t="str">
        <f>CONCATENATE('Смета ЕР (общ) '!$A362,".",'Смета ЕР (общ) '!$B362,".",C362,".",'Смета ЕР (общ) '!$D362)</f>
        <v>Р3.4.4.1</v>
      </c>
      <c r="F362" s="36">
        <f t="shared" si="26"/>
        <v>1</v>
      </c>
      <c r="G362" s="36"/>
      <c r="H362" s="36"/>
      <c r="I362" s="36"/>
      <c r="J362" s="36"/>
      <c r="K362" s="36"/>
      <c r="L362" s="37" t="s">
        <v>403</v>
      </c>
      <c r="M362" s="38" t="s">
        <v>118</v>
      </c>
      <c r="N362" s="39"/>
      <c r="O362" s="40">
        <v>9350</v>
      </c>
      <c r="P362" s="40">
        <f>'[1]Стекл двери в алюм. (2)'!D11</f>
        <v>43806</v>
      </c>
      <c r="Q362" s="40">
        <f t="shared" ref="Q362:Q366" si="33">ROUND(O362-O362*$V$3,2)</f>
        <v>9350</v>
      </c>
      <c r="R362" s="66">
        <f>P362</f>
        <v>43806</v>
      </c>
      <c r="S362" s="40">
        <f>ROUND('Смета ЕР (общ) '!$N362*'Смета ЕР (общ) '!$Q362,2)</f>
        <v>0</v>
      </c>
      <c r="T362" s="40">
        <f>ROUND('Смета ЕР (общ) '!$N362*'Смета ЕР (общ) '!$R362,2)</f>
        <v>0</v>
      </c>
      <c r="U362" s="67" t="s">
        <v>388</v>
      </c>
      <c r="V362" s="68"/>
    </row>
    <row r="363" spans="1:25" ht="60" x14ac:dyDescent="0.3">
      <c r="A363" s="36" t="s">
        <v>279</v>
      </c>
      <c r="B363" s="36">
        <v>4</v>
      </c>
      <c r="C363" s="36">
        <v>4</v>
      </c>
      <c r="D363" s="36">
        <v>2</v>
      </c>
      <c r="E363" s="36" t="str">
        <f>CONCATENATE('Смета ЕР (общ) '!$A363,".",'Смета ЕР (общ) '!$B363,".",C363,".",'Смета ЕР (общ) '!$D363)</f>
        <v>Р3.4.4.2</v>
      </c>
      <c r="F363" s="36">
        <f t="shared" si="26"/>
        <v>1</v>
      </c>
      <c r="G363" s="36"/>
      <c r="H363" s="36"/>
      <c r="I363" s="36"/>
      <c r="J363" s="36"/>
      <c r="K363" s="36"/>
      <c r="L363" s="37" t="s">
        <v>404</v>
      </c>
      <c r="M363" s="38" t="s">
        <v>118</v>
      </c>
      <c r="N363" s="39"/>
      <c r="O363" s="40">
        <v>9350</v>
      </c>
      <c r="P363" s="40">
        <f>'[1]Стекл двери в алюм. (2)'!D12</f>
        <v>63349.65</v>
      </c>
      <c r="Q363" s="40">
        <f t="shared" si="33"/>
        <v>9350</v>
      </c>
      <c r="R363" s="66">
        <f t="shared" ref="R363:R364" si="34">P363</f>
        <v>63349.65</v>
      </c>
      <c r="S363" s="40">
        <f>ROUND('Смета ЕР (общ) '!$N363*'Смета ЕР (общ) '!$Q363,2)</f>
        <v>0</v>
      </c>
      <c r="T363" s="40">
        <f>ROUND('Смета ЕР (общ) '!$N363*'Смета ЕР (общ) '!$R363,2)</f>
        <v>0</v>
      </c>
      <c r="U363" s="67" t="s">
        <v>388</v>
      </c>
      <c r="V363" s="68"/>
    </row>
    <row r="364" spans="1:25" ht="60" x14ac:dyDescent="0.3">
      <c r="A364" s="36" t="s">
        <v>279</v>
      </c>
      <c r="B364" s="36">
        <v>4</v>
      </c>
      <c r="C364" s="36">
        <v>4</v>
      </c>
      <c r="D364" s="36">
        <v>3</v>
      </c>
      <c r="E364" s="36" t="str">
        <f>CONCATENATE('Смета ЕР (общ) '!$A364,".",'Смета ЕР (общ) '!$B364,".",C364,".",'Смета ЕР (общ) '!$D364)</f>
        <v>Р3.4.4.3</v>
      </c>
      <c r="F364" s="36">
        <f t="shared" si="26"/>
        <v>1</v>
      </c>
      <c r="G364" s="36"/>
      <c r="H364" s="36"/>
      <c r="I364" s="36"/>
      <c r="J364" s="36"/>
      <c r="K364" s="36"/>
      <c r="L364" s="37" t="s">
        <v>405</v>
      </c>
      <c r="M364" s="38" t="s">
        <v>118</v>
      </c>
      <c r="N364" s="39"/>
      <c r="O364" s="40">
        <v>11000</v>
      </c>
      <c r="P364" s="40">
        <f>'[1]Стекл двери в алюм. (2)'!D13</f>
        <v>76440</v>
      </c>
      <c r="Q364" s="40">
        <f t="shared" si="33"/>
        <v>11000</v>
      </c>
      <c r="R364" s="66">
        <f t="shared" si="34"/>
        <v>76440</v>
      </c>
      <c r="S364" s="40">
        <f>ROUND('Смета ЕР (общ) '!$N364*'Смета ЕР (общ) '!$Q364,2)</f>
        <v>0</v>
      </c>
      <c r="T364" s="40">
        <f>ROUND('Смета ЕР (общ) '!$N364*'Смета ЕР (общ) '!$R364,2)</f>
        <v>0</v>
      </c>
      <c r="U364" s="67" t="s">
        <v>388</v>
      </c>
      <c r="V364" s="68"/>
    </row>
    <row r="365" spans="1:25" ht="96" x14ac:dyDescent="0.3">
      <c r="A365" s="58" t="s">
        <v>279</v>
      </c>
      <c r="B365" s="58">
        <v>4</v>
      </c>
      <c r="C365" s="58">
        <v>4</v>
      </c>
      <c r="D365" s="58">
        <v>4</v>
      </c>
      <c r="E365" s="58" t="str">
        <f>CONCATENATE('Смета ЕР (общ) '!$A365,".",'Смета ЕР (общ) '!$B365,".",C365,".",'Смета ЕР (общ) '!$D365)</f>
        <v>Р3.4.4.4</v>
      </c>
      <c r="F365" s="58">
        <f t="shared" si="26"/>
        <v>1</v>
      </c>
      <c r="G365" s="58"/>
      <c r="H365" s="58"/>
      <c r="I365" s="58"/>
      <c r="J365" s="58"/>
      <c r="K365" s="58"/>
      <c r="L365" s="59" t="s">
        <v>406</v>
      </c>
      <c r="M365" s="38" t="s">
        <v>118</v>
      </c>
      <c r="N365" s="61"/>
      <c r="O365" s="62">
        <v>9350</v>
      </c>
      <c r="P365" s="40">
        <f>'[1]Стекл. двери один в перегородку'!G8*1.05</f>
        <v>100747.5</v>
      </c>
      <c r="Q365" s="40">
        <f t="shared" si="33"/>
        <v>9350</v>
      </c>
      <c r="R365" s="66">
        <f>P365</f>
        <v>100747.5</v>
      </c>
      <c r="S365" s="40">
        <f>ROUND('Смета ЕР (общ) '!$N365*'Смета ЕР (общ) '!$Q365,2)</f>
        <v>0</v>
      </c>
      <c r="T365" s="40">
        <f>ROUND('Смета ЕР (общ) '!$N365*'Смета ЕР (общ) '!$R365,2)</f>
        <v>0</v>
      </c>
      <c r="U365" s="69" t="s">
        <v>407</v>
      </c>
      <c r="V365" s="68"/>
      <c r="Y365">
        <v>1</v>
      </c>
    </row>
    <row r="366" spans="1:25" ht="132" x14ac:dyDescent="0.3">
      <c r="A366" s="58" t="s">
        <v>279</v>
      </c>
      <c r="B366" s="58">
        <v>4</v>
      </c>
      <c r="C366" s="58">
        <v>4</v>
      </c>
      <c r="D366" s="58">
        <v>5</v>
      </c>
      <c r="E366" s="58" t="str">
        <f>CONCATENATE('Смета ЕР (общ) '!$A366,".",'Смета ЕР (общ) '!$B366,".",C366,".",'Смета ЕР (общ) '!$D366)</f>
        <v>Р3.4.4.5</v>
      </c>
      <c r="F366" s="58">
        <f t="shared" si="26"/>
        <v>1</v>
      </c>
      <c r="G366" s="58"/>
      <c r="H366" s="58"/>
      <c r="I366" s="58"/>
      <c r="J366" s="58"/>
      <c r="K366" s="58"/>
      <c r="L366" s="59" t="s">
        <v>408</v>
      </c>
      <c r="M366" s="38" t="s">
        <v>118</v>
      </c>
      <c r="N366" s="61"/>
      <c r="O366" s="61">
        <f>O363</f>
        <v>9350</v>
      </c>
      <c r="P366" s="40">
        <f>'[1]Стекл. дв. полут в проем '!G8*1.05</f>
        <v>169417.5</v>
      </c>
      <c r="Q366" s="40">
        <f t="shared" si="33"/>
        <v>9350</v>
      </c>
      <c r="R366" s="66">
        <f>P366</f>
        <v>169417.5</v>
      </c>
      <c r="S366" s="40">
        <f>ROUND('Смета ЕР (общ) '!$N366*'Смета ЕР (общ) '!$Q366,2)</f>
        <v>0</v>
      </c>
      <c r="T366" s="40">
        <f>ROUND('Смета ЕР (общ) '!$N366*'Смета ЕР (общ) '!$R366,2)</f>
        <v>0</v>
      </c>
      <c r="U366" s="69" t="s">
        <v>409</v>
      </c>
      <c r="V366" s="68"/>
      <c r="Y366">
        <v>1</v>
      </c>
    </row>
    <row r="367" spans="1:25" ht="14.4" x14ac:dyDescent="0.3">
      <c r="A367" s="84" t="s">
        <v>279</v>
      </c>
      <c r="B367" s="84">
        <v>4</v>
      </c>
      <c r="C367" s="84">
        <v>5</v>
      </c>
      <c r="D367" s="84">
        <v>0</v>
      </c>
      <c r="E367" s="84" t="str">
        <f>CONCATENATE('Смета ЕР (общ) '!$A367,".",'Смета ЕР (общ) '!$B367,".",C367,".",'Смета ЕР (общ) '!$D367)</f>
        <v>Р3.4.5.0</v>
      </c>
      <c r="F367" s="84">
        <f t="shared" si="26"/>
        <v>1</v>
      </c>
      <c r="G367" s="84"/>
      <c r="H367" s="84"/>
      <c r="I367" s="84"/>
      <c r="J367" s="84"/>
      <c r="K367" s="84"/>
      <c r="L367" s="85" t="s">
        <v>410</v>
      </c>
      <c r="M367" s="86"/>
      <c r="N367" s="87">
        <f>S367</f>
        <v>0</v>
      </c>
      <c r="O367" s="88"/>
      <c r="P367" s="88"/>
      <c r="Q367" s="89"/>
      <c r="R367" s="89"/>
      <c r="S367" s="89">
        <f>SUM(S368:S378)</f>
        <v>0</v>
      </c>
      <c r="T367" s="89">
        <f>SUM(T368:T378)</f>
        <v>0</v>
      </c>
      <c r="Y367">
        <v>41350.39</v>
      </c>
    </row>
    <row r="368" spans="1:25" ht="24" x14ac:dyDescent="0.3">
      <c r="A368" s="36" t="s">
        <v>279</v>
      </c>
      <c r="B368" s="36">
        <v>4</v>
      </c>
      <c r="C368" s="36">
        <v>5</v>
      </c>
      <c r="D368" s="36">
        <v>1</v>
      </c>
      <c r="E368" s="36" t="str">
        <f>CONCATENATE('Смета ЕР (общ) '!$A368,".",'Смета ЕР (общ) '!$B368,".",C368,".",'Смета ЕР (общ) '!$D368)</f>
        <v>Р3.4.5.1</v>
      </c>
      <c r="F368" s="36">
        <f t="shared" si="26"/>
        <v>1</v>
      </c>
      <c r="G368" s="36"/>
      <c r="H368" s="36"/>
      <c r="I368" s="36"/>
      <c r="J368" s="36"/>
      <c r="K368" s="36"/>
      <c r="L368" s="37" t="s">
        <v>411</v>
      </c>
      <c r="M368" s="38" t="s">
        <v>118</v>
      </c>
      <c r="N368" s="39"/>
      <c r="O368" s="40">
        <v>11880</v>
      </c>
      <c r="P368" s="62">
        <v>38150</v>
      </c>
      <c r="Q368" s="40">
        <f t="shared" ref="Q368:R375" si="35">ROUND(O368-O368*$V$3,2)</f>
        <v>11880</v>
      </c>
      <c r="R368" s="40">
        <f t="shared" si="35"/>
        <v>38150</v>
      </c>
      <c r="S368" s="40">
        <f>ROUND('Смета ЕР (общ) '!$N368*'Смета ЕР (общ) '!$Q368,2)</f>
        <v>0</v>
      </c>
      <c r="T368" s="40">
        <f>ROUND('Смета ЕР (общ) '!$N368*'Смета ЕР (общ) '!$R368,2)</f>
        <v>0</v>
      </c>
      <c r="Y368">
        <v>1</v>
      </c>
    </row>
    <row r="369" spans="1:25" ht="24" x14ac:dyDescent="0.3">
      <c r="A369" s="36" t="s">
        <v>279</v>
      </c>
      <c r="B369" s="36">
        <v>4</v>
      </c>
      <c r="C369" s="36">
        <v>5</v>
      </c>
      <c r="D369" s="36">
        <v>2</v>
      </c>
      <c r="E369" s="36" t="str">
        <f>CONCATENATE('Смета ЕР (общ) '!$A369,".",'Смета ЕР (общ) '!$B369,".",C369,".",'Смета ЕР (общ) '!$D369)</f>
        <v>Р3.4.5.2</v>
      </c>
      <c r="F369" s="36">
        <f t="shared" si="26"/>
        <v>1</v>
      </c>
      <c r="G369" s="36"/>
      <c r="H369" s="36"/>
      <c r="I369" s="36"/>
      <c r="J369" s="36"/>
      <c r="K369" s="36"/>
      <c r="L369" s="37" t="s">
        <v>412</v>
      </c>
      <c r="M369" s="38" t="s">
        <v>118</v>
      </c>
      <c r="N369" s="39"/>
      <c r="O369" s="40">
        <v>11880</v>
      </c>
      <c r="P369" s="40">
        <v>45780</v>
      </c>
      <c r="Q369" s="40">
        <f t="shared" si="35"/>
        <v>11880</v>
      </c>
      <c r="R369" s="40">
        <f t="shared" si="35"/>
        <v>45780</v>
      </c>
      <c r="S369" s="40">
        <f>ROUND('Смета ЕР (общ) '!$N369*'Смета ЕР (общ) '!$Q369,2)</f>
        <v>0</v>
      </c>
      <c r="T369" s="40">
        <f>ROUND('Смета ЕР (общ) '!$N369*'Смета ЕР (общ) '!$R369,2)</f>
        <v>0</v>
      </c>
    </row>
    <row r="370" spans="1:25" ht="24" x14ac:dyDescent="0.3">
      <c r="A370" s="95" t="s">
        <v>279</v>
      </c>
      <c r="B370" s="95">
        <v>4</v>
      </c>
      <c r="C370" s="95">
        <v>5</v>
      </c>
      <c r="D370" s="95">
        <v>3</v>
      </c>
      <c r="E370" s="95" t="str">
        <f>CONCATENATE('Смета ЕР (общ) '!$A370,".",'Смета ЕР (общ) '!$B370,".",C370,".",'Смета ЕР (общ) '!$D370)</f>
        <v>Р3.4.5.3</v>
      </c>
      <c r="F370" s="95">
        <f t="shared" si="26"/>
        <v>1</v>
      </c>
      <c r="G370" s="95"/>
      <c r="H370" s="95"/>
      <c r="I370" s="95"/>
      <c r="J370" s="95"/>
      <c r="K370" s="95"/>
      <c r="L370" s="96" t="s">
        <v>413</v>
      </c>
      <c r="M370" s="38" t="s">
        <v>118</v>
      </c>
      <c r="N370" s="39"/>
      <c r="O370" s="40">
        <v>11880</v>
      </c>
      <c r="P370" s="40">
        <v>49595</v>
      </c>
      <c r="Q370" s="40">
        <f t="shared" si="35"/>
        <v>11880</v>
      </c>
      <c r="R370" s="40">
        <f t="shared" si="35"/>
        <v>49595</v>
      </c>
      <c r="S370" s="40">
        <f>ROUND('Смета ЕР (общ) '!$N370*'Смета ЕР (общ) '!$Q370,2)</f>
        <v>0</v>
      </c>
      <c r="T370" s="40">
        <f>ROUND('Смета ЕР (общ) '!$N370*'Смета ЕР (общ) '!$R370,2)</f>
        <v>0</v>
      </c>
      <c r="Y370">
        <v>1</v>
      </c>
    </row>
    <row r="371" spans="1:25" ht="24" x14ac:dyDescent="0.3">
      <c r="A371" s="95" t="s">
        <v>279</v>
      </c>
      <c r="B371" s="95">
        <v>4</v>
      </c>
      <c r="C371" s="95">
        <v>5</v>
      </c>
      <c r="D371" s="95">
        <v>8</v>
      </c>
      <c r="E371" s="95" t="str">
        <f>CONCATENATE('Смета ЕР (общ) '!$A371,".",'Смета ЕР (общ) '!$B371,".",C371,".",'Смета ЕР (общ) '!$D371)</f>
        <v>Р3.4.5.8</v>
      </c>
      <c r="F371" s="95">
        <f t="shared" si="26"/>
        <v>1</v>
      </c>
      <c r="G371" s="95"/>
      <c r="H371" s="95"/>
      <c r="I371" s="95"/>
      <c r="J371" s="95"/>
      <c r="K371" s="95"/>
      <c r="L371" s="96" t="s">
        <v>414</v>
      </c>
      <c r="M371" s="38" t="s">
        <v>118</v>
      </c>
      <c r="N371" s="39"/>
      <c r="O371" s="40">
        <v>13750</v>
      </c>
      <c r="P371" s="97">
        <v>68670</v>
      </c>
      <c r="Q371" s="40">
        <f t="shared" si="35"/>
        <v>13750</v>
      </c>
      <c r="R371" s="40">
        <f t="shared" si="35"/>
        <v>68670</v>
      </c>
      <c r="S371" s="40">
        <f>ROUND('Смета ЕР (общ) '!$N371*'Смета ЕР (общ) '!$Q371,2)</f>
        <v>0</v>
      </c>
      <c r="T371" s="40">
        <f>ROUND('Смета ЕР (общ) '!$N371*'Смета ЕР (общ) '!$R371,2)</f>
        <v>0</v>
      </c>
    </row>
    <row r="372" spans="1:25" ht="24" x14ac:dyDescent="0.3">
      <c r="A372" s="95" t="s">
        <v>279</v>
      </c>
      <c r="B372" s="95">
        <v>4</v>
      </c>
      <c r="C372" s="95">
        <v>5</v>
      </c>
      <c r="D372" s="95">
        <v>9</v>
      </c>
      <c r="E372" s="95" t="str">
        <f>CONCATENATE('Смета ЕР (общ) '!$A372,".",'Смета ЕР (общ) '!$B372,".",C372,".",'Смета ЕР (общ) '!$D372)</f>
        <v>Р3.4.5.9</v>
      </c>
      <c r="F372" s="95">
        <f t="shared" si="26"/>
        <v>1</v>
      </c>
      <c r="G372" s="95"/>
      <c r="H372" s="95"/>
      <c r="I372" s="95"/>
      <c r="J372" s="95"/>
      <c r="K372" s="95"/>
      <c r="L372" s="96" t="s">
        <v>415</v>
      </c>
      <c r="M372" s="38" t="s">
        <v>118</v>
      </c>
      <c r="N372" s="61"/>
      <c r="O372" s="40">
        <v>13750</v>
      </c>
      <c r="P372" s="98">
        <v>59850</v>
      </c>
      <c r="Q372" s="62">
        <f t="shared" si="35"/>
        <v>13750</v>
      </c>
      <c r="R372" s="62">
        <f t="shared" si="35"/>
        <v>59850</v>
      </c>
      <c r="S372" s="62">
        <f>ROUND('Смета ЕР (общ) '!$N372*'Смета ЕР (общ) '!$Q372,2)</f>
        <v>0</v>
      </c>
      <c r="T372" s="62">
        <f>ROUND('Смета ЕР (общ) '!$N372*'Смета ЕР (общ) '!$R372,2)</f>
        <v>0</v>
      </c>
      <c r="Y372">
        <v>1</v>
      </c>
    </row>
    <row r="373" spans="1:25" ht="14.4" x14ac:dyDescent="0.3">
      <c r="A373" s="95" t="s">
        <v>279</v>
      </c>
      <c r="B373" s="95">
        <v>4</v>
      </c>
      <c r="C373" s="95">
        <v>5</v>
      </c>
      <c r="D373" s="95">
        <v>4</v>
      </c>
      <c r="E373" s="95" t="str">
        <f>CONCATENATE('Смета ЕР (общ) '!$A373,".",'Смета ЕР (общ) '!$B373,".",C373,".",'Смета ЕР (общ) '!$D373)</f>
        <v>Р3.4.5.4</v>
      </c>
      <c r="F373" s="95">
        <f t="shared" si="26"/>
        <v>1</v>
      </c>
      <c r="G373" s="95"/>
      <c r="H373" s="95"/>
      <c r="I373" s="95"/>
      <c r="J373" s="95"/>
      <c r="K373" s="95"/>
      <c r="L373" s="96" t="s">
        <v>416</v>
      </c>
      <c r="M373" s="38" t="s">
        <v>118</v>
      </c>
      <c r="N373" s="39"/>
      <c r="O373" s="40">
        <v>1280.1300000000001</v>
      </c>
      <c r="P373" s="40">
        <v>3815</v>
      </c>
      <c r="Q373" s="40">
        <f t="shared" si="35"/>
        <v>1280.1300000000001</v>
      </c>
      <c r="R373" s="40">
        <f t="shared" si="35"/>
        <v>3815</v>
      </c>
      <c r="S373" s="40">
        <f>ROUND('Смета ЕР (общ) '!$N373*'Смета ЕР (общ) '!$Q373,2)</f>
        <v>0</v>
      </c>
      <c r="T373" s="40">
        <f>ROUND('Смета ЕР (общ) '!$N373*'Смета ЕР (общ) '!$R373,2)</f>
        <v>0</v>
      </c>
      <c r="Y373">
        <v>3</v>
      </c>
    </row>
    <row r="374" spans="1:25" ht="36" x14ac:dyDescent="0.3">
      <c r="A374" s="36" t="s">
        <v>279</v>
      </c>
      <c r="B374" s="36">
        <v>4</v>
      </c>
      <c r="C374" s="36">
        <v>5</v>
      </c>
      <c r="D374" s="36">
        <v>5</v>
      </c>
      <c r="E374" s="36" t="str">
        <f>CONCATENATE('Смета ЕР (общ) '!$A374,".",'Смета ЕР (общ) '!$B374,".",C374,".",'Смета ЕР (общ) '!$D374)</f>
        <v>Р3.4.5.5</v>
      </c>
      <c r="F374" s="36">
        <f t="shared" si="26"/>
        <v>1</v>
      </c>
      <c r="G374" s="36"/>
      <c r="H374" s="36"/>
      <c r="I374" s="36"/>
      <c r="J374" s="36"/>
      <c r="K374" s="36"/>
      <c r="L374" s="37" t="s">
        <v>417</v>
      </c>
      <c r="M374" s="38" t="s">
        <v>118</v>
      </c>
      <c r="N374" s="39"/>
      <c r="O374" s="40">
        <v>1503.36</v>
      </c>
      <c r="P374" s="40">
        <v>206.06</v>
      </c>
      <c r="Q374" s="40">
        <f t="shared" si="35"/>
        <v>1503.36</v>
      </c>
      <c r="R374" s="40">
        <f t="shared" si="35"/>
        <v>206.06</v>
      </c>
      <c r="S374" s="40">
        <f>ROUND('Смета ЕР (общ) '!$N374*'Смета ЕР (общ) '!$Q374,2)</f>
        <v>0</v>
      </c>
      <c r="T374" s="40">
        <f>ROUND('Смета ЕР (общ) '!$N374*'Смета ЕР (общ) '!$R374,2)</f>
        <v>0</v>
      </c>
    </row>
    <row r="375" spans="1:25" ht="24" x14ac:dyDescent="0.3">
      <c r="A375" s="95" t="s">
        <v>279</v>
      </c>
      <c r="B375" s="95">
        <v>4</v>
      </c>
      <c r="C375" s="95">
        <v>5</v>
      </c>
      <c r="D375" s="95">
        <v>6</v>
      </c>
      <c r="E375" s="95" t="str">
        <f>CONCATENATE('Смета ЕР (общ) '!$A375,".",'Смета ЕР (общ) '!$B375,".",C375,".",'Смета ЕР (общ) '!$D375)</f>
        <v>Р3.4.5.6</v>
      </c>
      <c r="F375" s="95">
        <f t="shared" si="26"/>
        <v>1</v>
      </c>
      <c r="G375" s="95"/>
      <c r="H375" s="95"/>
      <c r="I375" s="95"/>
      <c r="J375" s="95"/>
      <c r="K375" s="95"/>
      <c r="L375" s="96" t="s">
        <v>418</v>
      </c>
      <c r="M375" s="38" t="s">
        <v>118</v>
      </c>
      <c r="N375" s="39"/>
      <c r="O375" s="40">
        <v>2192.4</v>
      </c>
      <c r="P375" s="40">
        <v>37425.71</v>
      </c>
      <c r="Q375" s="40">
        <f t="shared" si="35"/>
        <v>2192.4</v>
      </c>
      <c r="R375" s="40">
        <f t="shared" si="35"/>
        <v>37425.71</v>
      </c>
      <c r="S375" s="40">
        <f>ROUND('Смета ЕР (общ) '!$N375*'Смета ЕР (общ) '!$Q375,2)</f>
        <v>0</v>
      </c>
      <c r="T375" s="40">
        <f>ROUND('Смета ЕР (общ) '!$N375*'Смета ЕР (общ) '!$R375,2)</f>
        <v>0</v>
      </c>
    </row>
    <row r="376" spans="1:25" ht="14.4" x14ac:dyDescent="0.3">
      <c r="A376" s="95" t="s">
        <v>279</v>
      </c>
      <c r="B376" s="95">
        <v>4</v>
      </c>
      <c r="C376" s="95">
        <v>5</v>
      </c>
      <c r="D376" s="95">
        <v>7</v>
      </c>
      <c r="E376" s="95" t="str">
        <f>CONCATENATE('Смета ЕР (общ) '!$A376,".",'Смета ЕР (общ) '!$B376,".",C376,".",'Смета ЕР (общ) '!$D376)</f>
        <v>Р3.4.5.7</v>
      </c>
      <c r="F376" s="95">
        <f t="shared" si="26"/>
        <v>1</v>
      </c>
      <c r="G376" s="95"/>
      <c r="H376" s="95"/>
      <c r="I376" s="95"/>
      <c r="J376" s="95"/>
      <c r="K376" s="95"/>
      <c r="L376" s="96"/>
      <c r="M376" s="38"/>
      <c r="N376" s="39"/>
      <c r="O376" s="40"/>
      <c r="P376" s="40"/>
      <c r="Q376" s="40"/>
      <c r="R376" s="40"/>
      <c r="S376" s="40"/>
      <c r="T376" s="40"/>
    </row>
    <row r="377" spans="1:25" ht="60" x14ac:dyDescent="0.3">
      <c r="A377" s="36" t="s">
        <v>279</v>
      </c>
      <c r="B377" s="36">
        <v>4</v>
      </c>
      <c r="C377" s="36">
        <v>5</v>
      </c>
      <c r="D377" s="36">
        <v>30</v>
      </c>
      <c r="E377" s="36" t="str">
        <f>CONCATENATE('Смета ЕР (общ) '!$A377,".",'Смета ЕР (общ) '!$B377,".",'Смета ЕР (общ) '!$D377)</f>
        <v>Р3.4.30</v>
      </c>
      <c r="F377" s="36">
        <f t="shared" si="26"/>
        <v>1</v>
      </c>
      <c r="G377" s="36"/>
      <c r="H377" s="36"/>
      <c r="I377" s="36"/>
      <c r="J377" s="36"/>
      <c r="K377" s="36"/>
      <c r="L377" s="53" t="s">
        <v>419</v>
      </c>
      <c r="M377" s="38" t="s">
        <v>118</v>
      </c>
      <c r="N377" s="39"/>
      <c r="O377" s="40">
        <v>10648.8</v>
      </c>
      <c r="P377" s="40">
        <v>137025</v>
      </c>
      <c r="Q377" s="40">
        <f>ROUND(O377-O377*$V$3,2)</f>
        <v>10648.8</v>
      </c>
      <c r="R377" s="40">
        <f>ROUND(P377-P377*$V$3,2)</f>
        <v>137025</v>
      </c>
      <c r="S377" s="40">
        <f>ROUND('Смета ЕР (общ) '!$N377*'Смета ЕР (общ) '!$Q377,2)</f>
        <v>0</v>
      </c>
      <c r="T377" s="40">
        <f>ROUND('Смета ЕР (общ) '!$N377*'Смета ЕР (общ) '!$R377,2)</f>
        <v>0</v>
      </c>
    </row>
    <row r="378" spans="1:25" ht="60" x14ac:dyDescent="0.3">
      <c r="A378" s="36" t="s">
        <v>279</v>
      </c>
      <c r="B378" s="36">
        <v>4</v>
      </c>
      <c r="C378" s="36">
        <v>5</v>
      </c>
      <c r="D378" s="36">
        <v>31</v>
      </c>
      <c r="E378" s="36" t="str">
        <f>CONCATENATE('Смета ЕР (общ) '!$A378,".",'Смета ЕР (общ) '!$B378,".",'Смета ЕР (общ) '!$D378)</f>
        <v>Р3.4.31</v>
      </c>
      <c r="F378" s="36">
        <f t="shared" si="26"/>
        <v>1</v>
      </c>
      <c r="G378" s="36"/>
      <c r="H378" s="36"/>
      <c r="I378" s="36"/>
      <c r="J378" s="36"/>
      <c r="K378" s="36"/>
      <c r="L378" s="53" t="s">
        <v>420</v>
      </c>
      <c r="M378" s="38" t="s">
        <v>118</v>
      </c>
      <c r="N378" s="39"/>
      <c r="O378" s="40">
        <v>10648.8</v>
      </c>
      <c r="P378" s="40">
        <v>164430</v>
      </c>
      <c r="Q378" s="40">
        <f>ROUND(O378-O378*$V$3,2)</f>
        <v>10648.8</v>
      </c>
      <c r="R378" s="40">
        <f>ROUND(P378-P378*$V$3,2)</f>
        <v>164430</v>
      </c>
      <c r="S378" s="40">
        <f>ROUND('Смета ЕР (общ) '!$N378*'Смета ЕР (общ) '!$Q378,2)</f>
        <v>0</v>
      </c>
      <c r="T378" s="40">
        <f>ROUND('Смета ЕР (общ) '!$N378*'Смета ЕР (общ) '!$R378,2)</f>
        <v>0</v>
      </c>
    </row>
    <row r="379" spans="1:25" ht="14.4" x14ac:dyDescent="0.3">
      <c r="A379" s="90" t="s">
        <v>279</v>
      </c>
      <c r="B379" s="90">
        <v>4</v>
      </c>
      <c r="C379" s="90">
        <v>6</v>
      </c>
      <c r="D379" s="90">
        <v>0</v>
      </c>
      <c r="E379" s="90" t="str">
        <f>CONCATENATE('Смета ЕР (общ) '!$A379,".",'Смета ЕР (общ) '!$B379,".",C379,".",'Смета ЕР (общ) '!$D379)</f>
        <v>Р3.4.6.0</v>
      </c>
      <c r="F379" s="90">
        <f t="shared" si="26"/>
        <v>1</v>
      </c>
      <c r="G379" s="90"/>
      <c r="H379" s="90"/>
      <c r="I379" s="90"/>
      <c r="J379" s="90"/>
      <c r="K379" s="90"/>
      <c r="L379" s="91" t="s">
        <v>421</v>
      </c>
      <c r="M379" s="99"/>
      <c r="N379" s="87">
        <f>S379</f>
        <v>0</v>
      </c>
      <c r="O379" s="88"/>
      <c r="P379" s="88"/>
      <c r="Q379" s="93"/>
      <c r="R379" s="93"/>
      <c r="S379" s="93">
        <f>SUM(S380:S391)</f>
        <v>0</v>
      </c>
      <c r="T379" s="93">
        <f>SUM(T380:T391)</f>
        <v>0</v>
      </c>
      <c r="Y379">
        <v>32199.42</v>
      </c>
    </row>
    <row r="380" spans="1:25" ht="24" x14ac:dyDescent="0.3">
      <c r="A380" s="36" t="s">
        <v>279</v>
      </c>
      <c r="B380" s="36">
        <v>4</v>
      </c>
      <c r="C380" s="36">
        <v>6</v>
      </c>
      <c r="D380" s="36">
        <v>1</v>
      </c>
      <c r="E380" s="36" t="str">
        <f>CONCATENATE('Смета ЕР (общ) '!$A380,".",'Смета ЕР (общ) '!$B380,".",C380,".",'Смета ЕР (общ) '!$D380)</f>
        <v>Р3.4.6.1</v>
      </c>
      <c r="F380" s="36">
        <f t="shared" si="26"/>
        <v>1</v>
      </c>
      <c r="G380" s="36"/>
      <c r="H380" s="36"/>
      <c r="I380" s="36"/>
      <c r="J380" s="36"/>
      <c r="K380" s="36"/>
      <c r="L380" s="37" t="s">
        <v>422</v>
      </c>
      <c r="M380" s="38" t="s">
        <v>118</v>
      </c>
      <c r="N380" s="39"/>
      <c r="O380" s="40">
        <v>7297.56</v>
      </c>
      <c r="P380" s="40">
        <v>21591.77</v>
      </c>
      <c r="Q380" s="40">
        <f t="shared" ref="Q380:R391" si="36">ROUND(O380-O380*$V$3,2)</f>
        <v>7297.56</v>
      </c>
      <c r="R380" s="40">
        <f t="shared" si="36"/>
        <v>21591.77</v>
      </c>
      <c r="S380" s="40">
        <f>ROUND('Смета ЕР (общ) '!$N380*'Смета ЕР (общ) '!$Q380,2)</f>
        <v>0</v>
      </c>
      <c r="T380" s="40">
        <f>ROUND('Смета ЕР (общ) '!$N380*'Смета ЕР (общ) '!$R380,2)</f>
        <v>0</v>
      </c>
    </row>
    <row r="381" spans="1:25" ht="24" x14ac:dyDescent="0.3">
      <c r="A381" s="36" t="s">
        <v>279</v>
      </c>
      <c r="B381" s="36">
        <v>4</v>
      </c>
      <c r="C381" s="36">
        <v>6</v>
      </c>
      <c r="D381" s="36">
        <v>2</v>
      </c>
      <c r="E381" s="36" t="str">
        <f>CONCATENATE('Смета ЕР (общ) '!$A381,".",'Смета ЕР (общ) '!$B381,".",C381,".",'Смета ЕР (общ) '!$D381)</f>
        <v>Р3.4.6.2</v>
      </c>
      <c r="F381" s="36">
        <f t="shared" si="26"/>
        <v>1</v>
      </c>
      <c r="G381" s="36"/>
      <c r="H381" s="36"/>
      <c r="I381" s="36"/>
      <c r="J381" s="36"/>
      <c r="K381" s="36"/>
      <c r="L381" s="53" t="s">
        <v>423</v>
      </c>
      <c r="M381" s="38" t="s">
        <v>118</v>
      </c>
      <c r="N381" s="39"/>
      <c r="O381" s="40">
        <v>7297.56</v>
      </c>
      <c r="P381" s="40">
        <v>35597.46</v>
      </c>
      <c r="Q381" s="40">
        <f t="shared" si="36"/>
        <v>7297.56</v>
      </c>
      <c r="R381" s="40">
        <f t="shared" si="36"/>
        <v>35597.46</v>
      </c>
      <c r="S381" s="40">
        <f>ROUND('Смета ЕР (общ) '!$N381*'Смета ЕР (общ) '!$Q381,2)</f>
        <v>0</v>
      </c>
      <c r="T381" s="40">
        <f>ROUND('Смета ЕР (общ) '!$N381*'Смета ЕР (общ) '!$R381,2)</f>
        <v>0</v>
      </c>
    </row>
    <row r="382" spans="1:25" ht="36" x14ac:dyDescent="0.3">
      <c r="A382" s="36" t="s">
        <v>279</v>
      </c>
      <c r="B382" s="36">
        <v>4</v>
      </c>
      <c r="C382" s="36">
        <v>6</v>
      </c>
      <c r="D382" s="36">
        <v>3</v>
      </c>
      <c r="E382" s="36" t="str">
        <f>CONCATENATE('Смета ЕР (общ) '!$A382,".",'Смета ЕР (общ) '!$B382,".",C382,".",'Смета ЕР (общ) '!$D382)</f>
        <v>Р3.4.6.3</v>
      </c>
      <c r="F382" s="36">
        <f t="shared" si="26"/>
        <v>1</v>
      </c>
      <c r="G382" s="36"/>
      <c r="H382" s="36"/>
      <c r="I382" s="36"/>
      <c r="J382" s="36"/>
      <c r="K382" s="36"/>
      <c r="L382" s="53" t="s">
        <v>424</v>
      </c>
      <c r="M382" s="38" t="s">
        <v>118</v>
      </c>
      <c r="N382" s="39"/>
      <c r="O382" s="40">
        <v>7297.56</v>
      </c>
      <c r="P382" s="40">
        <v>40865.360000000001</v>
      </c>
      <c r="Q382" s="40">
        <f t="shared" si="36"/>
        <v>7297.56</v>
      </c>
      <c r="R382" s="40">
        <f t="shared" si="36"/>
        <v>40865.360000000001</v>
      </c>
      <c r="S382" s="40">
        <f>ROUND('Смета ЕР (общ) '!$N382*'Смета ЕР (общ) '!$Q382,2)</f>
        <v>0</v>
      </c>
      <c r="T382" s="40">
        <f>ROUND('Смета ЕР (общ) '!$N382*'Смета ЕР (общ) '!$R382,2)</f>
        <v>0</v>
      </c>
    </row>
    <row r="383" spans="1:25" ht="24" x14ac:dyDescent="0.3">
      <c r="A383" s="36" t="s">
        <v>279</v>
      </c>
      <c r="B383" s="36">
        <v>4</v>
      </c>
      <c r="C383" s="36">
        <v>6</v>
      </c>
      <c r="D383" s="36">
        <v>4</v>
      </c>
      <c r="E383" s="36" t="str">
        <f>CONCATENATE('Смета ЕР (общ) '!$A383,".",'Смета ЕР (общ) '!$B383,".",C383,".",'Смета ЕР (общ) '!$D383)</f>
        <v>Р3.4.6.4</v>
      </c>
      <c r="F383" s="36">
        <f t="shared" si="26"/>
        <v>1</v>
      </c>
      <c r="G383" s="36"/>
      <c r="H383" s="36"/>
      <c r="I383" s="36"/>
      <c r="J383" s="36"/>
      <c r="K383" s="36"/>
      <c r="L383" s="53" t="s">
        <v>425</v>
      </c>
      <c r="M383" s="38" t="s">
        <v>118</v>
      </c>
      <c r="N383" s="39"/>
      <c r="O383" s="40">
        <v>7297.56</v>
      </c>
      <c r="P383" s="40">
        <v>37337.31</v>
      </c>
      <c r="Q383" s="40">
        <f t="shared" si="36"/>
        <v>7297.56</v>
      </c>
      <c r="R383" s="40">
        <f t="shared" si="36"/>
        <v>37337.31</v>
      </c>
      <c r="S383" s="40">
        <f>ROUND('Смета ЕР (общ) '!$N383*'Смета ЕР (общ) '!$Q383,2)</f>
        <v>0</v>
      </c>
      <c r="T383" s="40">
        <f>ROUND('Смета ЕР (общ) '!$N383*'Смета ЕР (общ) '!$R383,2)</f>
        <v>0</v>
      </c>
    </row>
    <row r="384" spans="1:25" ht="132" x14ac:dyDescent="0.3">
      <c r="A384" s="36" t="s">
        <v>279</v>
      </c>
      <c r="B384" s="36">
        <v>4</v>
      </c>
      <c r="C384" s="36">
        <v>6</v>
      </c>
      <c r="D384" s="36">
        <v>5</v>
      </c>
      <c r="E384" s="36" t="str">
        <f>CONCATENATE('Смета ЕР (общ) '!$A384,".",'Смета ЕР (общ) '!$B384,".",C384,".",'Смета ЕР (общ) '!$D384)</f>
        <v>Р3.4.6.5</v>
      </c>
      <c r="F384" s="36">
        <f t="shared" si="26"/>
        <v>1</v>
      </c>
      <c r="G384" s="36"/>
      <c r="H384" s="36"/>
      <c r="I384" s="36"/>
      <c r="J384" s="36"/>
      <c r="K384" s="36"/>
      <c r="L384" s="53" t="s">
        <v>426</v>
      </c>
      <c r="M384" s="38" t="s">
        <v>118</v>
      </c>
      <c r="N384" s="39"/>
      <c r="O384" s="40">
        <v>7297.56</v>
      </c>
      <c r="P384" s="39">
        <f>'[1]Дерев. гл. скр. двери в проем'!G8*1.05</f>
        <v>92715</v>
      </c>
      <c r="Q384" s="40">
        <f t="shared" si="36"/>
        <v>7297.56</v>
      </c>
      <c r="R384" s="66">
        <f>P384</f>
        <v>92715</v>
      </c>
      <c r="S384" s="40">
        <f>ROUND('Смета ЕР (общ) '!$N384*'Смета ЕР (общ) '!$Q384,2)</f>
        <v>0</v>
      </c>
      <c r="T384" s="40">
        <f>ROUND('Смета ЕР (общ) '!$N384*'Смета ЕР (общ) '!$R384,2)</f>
        <v>0</v>
      </c>
      <c r="U384" s="69" t="s">
        <v>427</v>
      </c>
      <c r="V384" s="68"/>
      <c r="Y384">
        <v>1</v>
      </c>
    </row>
    <row r="385" spans="1:25" ht="108" x14ac:dyDescent="0.3">
      <c r="A385" s="36" t="s">
        <v>279</v>
      </c>
      <c r="B385" s="36">
        <v>4</v>
      </c>
      <c r="C385" s="36">
        <v>6</v>
      </c>
      <c r="D385" s="36">
        <v>6</v>
      </c>
      <c r="E385" s="36" t="str">
        <f>CONCATENATE('Смета ЕР (общ) '!$A385,".",'Смета ЕР (общ) '!$B385,".",C385,".",'Смета ЕР (общ) '!$D385)</f>
        <v>Р3.4.6.6</v>
      </c>
      <c r="F385" s="36">
        <f t="shared" si="26"/>
        <v>1</v>
      </c>
      <c r="G385" s="36"/>
      <c r="H385" s="36"/>
      <c r="I385" s="36"/>
      <c r="J385" s="36"/>
      <c r="K385" s="36"/>
      <c r="L385" s="53" t="s">
        <v>428</v>
      </c>
      <c r="M385" s="38" t="s">
        <v>118</v>
      </c>
      <c r="N385" s="39"/>
      <c r="O385" s="40">
        <v>7297.56</v>
      </c>
      <c r="P385" s="39">
        <f>'[1]Дерев. гл. двери в проем'!G8*1.05</f>
        <v>98017.5</v>
      </c>
      <c r="Q385" s="40">
        <f t="shared" si="36"/>
        <v>7297.56</v>
      </c>
      <c r="R385" s="66">
        <f>P385</f>
        <v>98017.5</v>
      </c>
      <c r="S385" s="40">
        <f>ROUND('Смета ЕР (общ) '!$N385*'Смета ЕР (общ) '!$Q385,2)</f>
        <v>0</v>
      </c>
      <c r="T385" s="40">
        <f>ROUND('Смета ЕР (общ) '!$N385*'Смета ЕР (общ) '!$R385,2)</f>
        <v>0</v>
      </c>
      <c r="U385" s="69" t="s">
        <v>429</v>
      </c>
      <c r="V385" s="68"/>
      <c r="Y385">
        <v>1</v>
      </c>
    </row>
    <row r="386" spans="1:25" ht="24" x14ac:dyDescent="0.3">
      <c r="A386" s="36" t="s">
        <v>279</v>
      </c>
      <c r="B386" s="36">
        <v>4</v>
      </c>
      <c r="C386" s="36">
        <v>6</v>
      </c>
      <c r="D386" s="36">
        <v>7</v>
      </c>
      <c r="E386" s="36" t="str">
        <f>CONCATENATE('Смета ЕР (общ) '!$A386,".",'Смета ЕР (общ) '!$B386,".",C386,".",'Смета ЕР (общ) '!$D386)</f>
        <v>Р3.4.6.7</v>
      </c>
      <c r="F386" s="36">
        <f t="shared" si="26"/>
        <v>1</v>
      </c>
      <c r="G386" s="36"/>
      <c r="H386" s="36"/>
      <c r="I386" s="36"/>
      <c r="J386" s="36"/>
      <c r="K386" s="36"/>
      <c r="L386" s="53" t="s">
        <v>430</v>
      </c>
      <c r="M386" s="38" t="s">
        <v>118</v>
      </c>
      <c r="N386" s="39"/>
      <c r="O386" s="40">
        <v>7297.56</v>
      </c>
      <c r="P386" s="40">
        <v>18584.89</v>
      </c>
      <c r="Q386" s="40">
        <f t="shared" si="36"/>
        <v>7297.56</v>
      </c>
      <c r="R386" s="40">
        <f t="shared" si="36"/>
        <v>18584.89</v>
      </c>
      <c r="S386" s="40">
        <f>ROUND('Смета ЕР (общ) '!$N386*'Смета ЕР (общ) '!$Q386,2)</f>
        <v>0</v>
      </c>
      <c r="T386" s="40">
        <f>ROUND('Смета ЕР (общ) '!$N386*'Смета ЕР (общ) '!$R386,2)</f>
        <v>0</v>
      </c>
    </row>
    <row r="387" spans="1:25" ht="36" x14ac:dyDescent="0.3">
      <c r="A387" s="36" t="s">
        <v>279</v>
      </c>
      <c r="B387" s="36">
        <v>4</v>
      </c>
      <c r="C387" s="36">
        <v>6</v>
      </c>
      <c r="D387" s="36">
        <v>8</v>
      </c>
      <c r="E387" s="36" t="str">
        <f>CONCATENATE('Смета ЕР (общ) '!$A387,".",'Смета ЕР (общ) '!$B387,".",C387,".",'Смета ЕР (общ) '!$D387)</f>
        <v>Р3.4.6.8</v>
      </c>
      <c r="F387" s="36">
        <f t="shared" si="26"/>
        <v>1</v>
      </c>
      <c r="G387" s="36"/>
      <c r="H387" s="36"/>
      <c r="I387" s="36"/>
      <c r="J387" s="36"/>
      <c r="K387" s="36"/>
      <c r="L387" s="53" t="s">
        <v>431</v>
      </c>
      <c r="M387" s="38" t="s">
        <v>118</v>
      </c>
      <c r="N387" s="39"/>
      <c r="O387" s="40">
        <v>7297.56</v>
      </c>
      <c r="P387" s="40">
        <f>'[1]Двери Kapelli'!E12</f>
        <v>19441.8</v>
      </c>
      <c r="Q387" s="40">
        <f t="shared" si="36"/>
        <v>7297.56</v>
      </c>
      <c r="R387" s="66">
        <f>P387</f>
        <v>19441.8</v>
      </c>
      <c r="S387" s="40">
        <f>ROUND('Смета ЕР (общ) '!$N387*'Смета ЕР (общ) '!$Q387,2)</f>
        <v>0</v>
      </c>
      <c r="T387" s="40">
        <f>ROUND('Смета ЕР (общ) '!$N387*'Смета ЕР (общ) '!$R387,2)</f>
        <v>0</v>
      </c>
      <c r="U387" s="67" t="s">
        <v>432</v>
      </c>
      <c r="V387" s="68"/>
      <c r="Y387">
        <v>2</v>
      </c>
    </row>
    <row r="388" spans="1:25" ht="14.4" x14ac:dyDescent="0.3">
      <c r="A388" s="36" t="s">
        <v>279</v>
      </c>
      <c r="B388" s="36">
        <v>4</v>
      </c>
      <c r="C388" s="36">
        <v>6</v>
      </c>
      <c r="D388" s="36">
        <v>9</v>
      </c>
      <c r="E388" s="36" t="str">
        <f>CONCATENATE('Смета ЕР (общ) '!$A388,".",'Смета ЕР (общ) '!$B388,".",C388,".",'Смета ЕР (общ) '!$D388)</f>
        <v>Р3.4.6.9</v>
      </c>
      <c r="F388" s="36">
        <f t="shared" si="26"/>
        <v>1</v>
      </c>
      <c r="G388" s="36"/>
      <c r="H388" s="36"/>
      <c r="I388" s="36"/>
      <c r="J388" s="36"/>
      <c r="K388" s="36"/>
      <c r="L388" s="37" t="s">
        <v>433</v>
      </c>
      <c r="M388" s="38" t="s">
        <v>118</v>
      </c>
      <c r="N388" s="39"/>
      <c r="O388" s="40">
        <v>1280.1300000000001</v>
      </c>
      <c r="P388" s="40">
        <v>4843.88</v>
      </c>
      <c r="Q388" s="40">
        <f t="shared" si="36"/>
        <v>1280.1300000000001</v>
      </c>
      <c r="R388" s="40">
        <f t="shared" si="36"/>
        <v>4843.88</v>
      </c>
      <c r="S388" s="40">
        <f>ROUND('Смета ЕР (общ) '!$N388*'Смета ЕР (общ) '!$Q388,2)</f>
        <v>0</v>
      </c>
      <c r="T388" s="40">
        <f>ROUND('Смета ЕР (общ) '!$N388*'Смета ЕР (общ) '!$R388,2)</f>
        <v>0</v>
      </c>
    </row>
    <row r="389" spans="1:25" ht="14.4" x14ac:dyDescent="0.3">
      <c r="A389" s="95" t="s">
        <v>279</v>
      </c>
      <c r="B389" s="95">
        <v>4</v>
      </c>
      <c r="C389" s="95">
        <v>6</v>
      </c>
      <c r="D389" s="95">
        <v>10</v>
      </c>
      <c r="E389" s="95" t="str">
        <f>CONCATENATE('Смета ЕР (общ) '!$A389,".",'Смета ЕР (общ) '!$B389,".",C389,".",'Смета ЕР (общ) '!$D389)</f>
        <v>Р3.4.6.10</v>
      </c>
      <c r="F389" s="95">
        <f t="shared" si="26"/>
        <v>1</v>
      </c>
      <c r="G389" s="95"/>
      <c r="H389" s="95"/>
      <c r="I389" s="95"/>
      <c r="J389" s="95"/>
      <c r="K389" s="95"/>
      <c r="L389" s="96" t="s">
        <v>434</v>
      </c>
      <c r="M389" s="38" t="s">
        <v>118</v>
      </c>
      <c r="N389" s="39"/>
      <c r="O389" s="40">
        <v>1280.1300000000001</v>
      </c>
      <c r="P389" s="40">
        <v>24572.5</v>
      </c>
      <c r="Q389" s="40">
        <f t="shared" si="36"/>
        <v>1280.1300000000001</v>
      </c>
      <c r="R389" s="40">
        <f t="shared" si="36"/>
        <v>24572.5</v>
      </c>
      <c r="S389" s="40">
        <f>ROUND('Смета ЕР (общ) '!$N389*'Смета ЕР (общ) '!$Q389,2)</f>
        <v>0</v>
      </c>
      <c r="T389" s="40">
        <f>ROUND('Смета ЕР (общ) '!$N389*'Смета ЕР (общ) '!$R389,2)</f>
        <v>0</v>
      </c>
      <c r="U389" s="35" t="s">
        <v>435</v>
      </c>
      <c r="Y389">
        <v>2</v>
      </c>
    </row>
    <row r="390" spans="1:25" s="7" customFormat="1" ht="12" x14ac:dyDescent="0.25">
      <c r="A390" s="95" t="s">
        <v>279</v>
      </c>
      <c r="B390" s="95">
        <v>4</v>
      </c>
      <c r="C390" s="95">
        <v>6</v>
      </c>
      <c r="D390" s="95">
        <v>11</v>
      </c>
      <c r="E390" s="95" t="str">
        <f>CONCATENATE('Смета ЕР (общ) '!$A390,".",'Смета ЕР (общ) '!$B390,".",C390,".",'Смета ЕР (общ) '!$D390)</f>
        <v>Р3.4.6.11</v>
      </c>
      <c r="F390" s="95">
        <f t="shared" si="26"/>
        <v>1</v>
      </c>
      <c r="G390" s="95"/>
      <c r="H390" s="95"/>
      <c r="I390" s="95"/>
      <c r="J390" s="95"/>
      <c r="K390" s="95"/>
      <c r="L390" s="96" t="s">
        <v>436</v>
      </c>
      <c r="M390" s="38" t="s">
        <v>118</v>
      </c>
      <c r="N390" s="100"/>
      <c r="O390" s="40">
        <v>224.46</v>
      </c>
      <c r="P390" s="40">
        <v>286.32</v>
      </c>
      <c r="Q390" s="40">
        <f t="shared" si="36"/>
        <v>224.46</v>
      </c>
      <c r="R390" s="40">
        <f t="shared" si="36"/>
        <v>286.32</v>
      </c>
      <c r="S390" s="40">
        <f>ROUND('Смета ЕР (общ) '!$N390*'Смета ЕР (общ) '!$Q390,2)</f>
        <v>0</v>
      </c>
      <c r="T390" s="40">
        <f>ROUND('Смета ЕР (общ) '!$N390*'Смета ЕР (общ) '!$R390,2)</f>
        <v>0</v>
      </c>
      <c r="U390" s="35" t="s">
        <v>435</v>
      </c>
      <c r="Y390" s="7">
        <v>2</v>
      </c>
    </row>
    <row r="391" spans="1:25" ht="14.4" x14ac:dyDescent="0.3">
      <c r="A391" s="36" t="s">
        <v>279</v>
      </c>
      <c r="B391" s="36">
        <v>4</v>
      </c>
      <c r="C391" s="36">
        <v>6</v>
      </c>
      <c r="D391" s="36">
        <v>12</v>
      </c>
      <c r="E391" s="36" t="str">
        <f>CONCATENATE('Смета ЕР (общ) '!$A391,".",'Смета ЕР (общ) '!$B391,".",C391,".",'Смета ЕР (общ) '!$D391)</f>
        <v>Р3.4.6.12</v>
      </c>
      <c r="F391" s="36">
        <f t="shared" si="26"/>
        <v>1</v>
      </c>
      <c r="G391" s="36"/>
      <c r="H391" s="36"/>
      <c r="I391" s="36"/>
      <c r="J391" s="36"/>
      <c r="K391" s="36"/>
      <c r="L391" s="37" t="s">
        <v>437</v>
      </c>
      <c r="M391" s="38" t="s">
        <v>118</v>
      </c>
      <c r="N391" s="39"/>
      <c r="O391" s="40">
        <v>224.46</v>
      </c>
      <c r="P391" s="40">
        <v>329.48</v>
      </c>
      <c r="Q391" s="40">
        <f t="shared" si="36"/>
        <v>224.46</v>
      </c>
      <c r="R391" s="40">
        <f t="shared" si="36"/>
        <v>329.48</v>
      </c>
      <c r="S391" s="40">
        <f>ROUND('Смета ЕР (общ) '!$N391*'Смета ЕР (общ) '!$Q391,2)</f>
        <v>0</v>
      </c>
      <c r="T391" s="40">
        <f>ROUND('Смета ЕР (общ) '!$N391*'Смета ЕР (общ) '!$R391,2)</f>
        <v>0</v>
      </c>
    </row>
    <row r="392" spans="1:25" ht="14.4" x14ac:dyDescent="0.3">
      <c r="A392" s="84" t="s">
        <v>279</v>
      </c>
      <c r="B392" s="84">
        <v>4</v>
      </c>
      <c r="C392" s="84">
        <v>7</v>
      </c>
      <c r="D392" s="84">
        <v>0</v>
      </c>
      <c r="E392" s="84" t="str">
        <f>CONCATENATE('Смета ЕР (общ) '!$A392,".",'Смета ЕР (общ) '!$B392,".",C392,".",'Смета ЕР (общ) '!$D392)</f>
        <v>Р3.4.7.0</v>
      </c>
      <c r="F392" s="84">
        <f t="shared" si="26"/>
        <v>1</v>
      </c>
      <c r="G392" s="84"/>
      <c r="H392" s="84"/>
      <c r="I392" s="84"/>
      <c r="J392" s="84"/>
      <c r="K392" s="84"/>
      <c r="L392" s="85" t="s">
        <v>438</v>
      </c>
      <c r="M392" s="86"/>
      <c r="N392" s="87">
        <f>S392</f>
        <v>0</v>
      </c>
      <c r="O392" s="88"/>
      <c r="P392" s="88"/>
      <c r="Q392" s="89"/>
      <c r="R392" s="89"/>
      <c r="S392" s="89">
        <f>SUM(S393:S411)</f>
        <v>0</v>
      </c>
      <c r="T392" s="89">
        <f>SUM(T393:T411)</f>
        <v>0</v>
      </c>
      <c r="Y392">
        <v>363228.94</v>
      </c>
    </row>
    <row r="393" spans="1:25" ht="24" x14ac:dyDescent="0.3">
      <c r="A393" s="36" t="s">
        <v>279</v>
      </c>
      <c r="B393" s="36">
        <v>4</v>
      </c>
      <c r="C393" s="36">
        <v>7</v>
      </c>
      <c r="D393" s="36">
        <v>1</v>
      </c>
      <c r="E393" s="36" t="str">
        <f>CONCATENATE('Смета ЕР (общ) '!$A393,".",'Смета ЕР (общ) '!$B393,".",C393,".",'Смета ЕР (общ) '!$D393)</f>
        <v>Р3.4.7.1</v>
      </c>
      <c r="F393" s="36">
        <f t="shared" si="26"/>
        <v>1</v>
      </c>
      <c r="G393" s="36"/>
      <c r="H393" s="36"/>
      <c r="I393" s="36"/>
      <c r="J393" s="36"/>
      <c r="K393" s="36"/>
      <c r="L393" s="37" t="s">
        <v>439</v>
      </c>
      <c r="M393" s="54" t="s">
        <v>40</v>
      </c>
      <c r="N393" s="39"/>
      <c r="O393" s="40">
        <v>2750</v>
      </c>
      <c r="P393" s="40">
        <v>16842.29</v>
      </c>
      <c r="Q393" s="40">
        <f t="shared" ref="Q393:R411" si="37">ROUND(O393-O393*$V$3,2)</f>
        <v>2750</v>
      </c>
      <c r="R393" s="40">
        <f t="shared" si="37"/>
        <v>16842.29</v>
      </c>
      <c r="S393" s="40">
        <f>ROUND('Смета ЕР (общ) '!$N393*'Смета ЕР (общ) '!$Q393,2)</f>
        <v>0</v>
      </c>
      <c r="T393" s="40">
        <f>ROUND('Смета ЕР (общ) '!$N393*'Смета ЕР (общ) '!$R393,2)</f>
        <v>0</v>
      </c>
    </row>
    <row r="394" spans="1:25" ht="14.4" x14ac:dyDescent="0.3">
      <c r="A394" s="36" t="s">
        <v>279</v>
      </c>
      <c r="B394" s="36">
        <v>4</v>
      </c>
      <c r="C394" s="36">
        <v>7</v>
      </c>
      <c r="D394" s="36">
        <v>2</v>
      </c>
      <c r="E394" s="36" t="str">
        <f>CONCATENATE('Смета ЕР (общ) '!$A394,".",'Смета ЕР (общ) '!$B394,".",C394,".",'Смета ЕР (общ) '!$D394)</f>
        <v>Р3.4.7.2</v>
      </c>
      <c r="F394" s="36">
        <f t="shared" si="26"/>
        <v>1</v>
      </c>
      <c r="G394" s="36"/>
      <c r="H394" s="36"/>
      <c r="I394" s="36"/>
      <c r="J394" s="36"/>
      <c r="K394" s="36"/>
      <c r="L394" s="37" t="s">
        <v>440</v>
      </c>
      <c r="M394" s="38" t="s">
        <v>40</v>
      </c>
      <c r="N394" s="39"/>
      <c r="O394" s="40">
        <v>2750</v>
      </c>
      <c r="P394" s="40">
        <v>15912.06</v>
      </c>
      <c r="Q394" s="40">
        <f t="shared" si="37"/>
        <v>2750</v>
      </c>
      <c r="R394" s="40">
        <f t="shared" si="37"/>
        <v>15912.06</v>
      </c>
      <c r="S394" s="40">
        <f>ROUND('Смета ЕР (общ) '!$N394*'Смета ЕР (общ) '!$Q394,2)</f>
        <v>0</v>
      </c>
      <c r="T394" s="40">
        <f>ROUND('Смета ЕР (общ) '!$N394*'Смета ЕР (общ) '!$R394,2)</f>
        <v>0</v>
      </c>
    </row>
    <row r="395" spans="1:25" ht="24" x14ac:dyDescent="0.3">
      <c r="A395" s="36" t="s">
        <v>279</v>
      </c>
      <c r="B395" s="36">
        <v>4</v>
      </c>
      <c r="C395" s="36">
        <v>7</v>
      </c>
      <c r="D395" s="36">
        <v>3</v>
      </c>
      <c r="E395" s="36" t="str">
        <f>CONCATENATE('Смета ЕР (общ) '!$A395,".",'Смета ЕР (общ) '!$B395,".",C395,".",'Смета ЕР (общ) '!$D395)</f>
        <v>Р3.4.7.3</v>
      </c>
      <c r="F395" s="36">
        <f t="shared" si="26"/>
        <v>1</v>
      </c>
      <c r="G395" s="36"/>
      <c r="H395" s="36"/>
      <c r="I395" s="36"/>
      <c r="J395" s="36"/>
      <c r="K395" s="36"/>
      <c r="L395" s="37" t="s">
        <v>441</v>
      </c>
      <c r="M395" s="38" t="s">
        <v>40</v>
      </c>
      <c r="N395" s="39"/>
      <c r="O395" s="40">
        <v>1252.8</v>
      </c>
      <c r="P395" s="40">
        <v>2151.83</v>
      </c>
      <c r="Q395" s="40">
        <f t="shared" si="37"/>
        <v>1252.8</v>
      </c>
      <c r="R395" s="40">
        <f t="shared" si="37"/>
        <v>2151.83</v>
      </c>
      <c r="S395" s="40">
        <f>ROUND('Смета ЕР (общ) '!$N395*'Смета ЕР (общ) '!$Q395,2)</f>
        <v>0</v>
      </c>
      <c r="T395" s="40">
        <f>ROUND('Смета ЕР (общ) '!$N395*'Смета ЕР (общ) '!$R395,2)</f>
        <v>0</v>
      </c>
    </row>
    <row r="396" spans="1:25" ht="14.4" x14ac:dyDescent="0.3">
      <c r="A396" s="36" t="s">
        <v>279</v>
      </c>
      <c r="B396" s="36">
        <v>4</v>
      </c>
      <c r="C396" s="36">
        <v>7</v>
      </c>
      <c r="D396" s="36">
        <v>4</v>
      </c>
      <c r="E396" s="36" t="str">
        <f>CONCATENATE('Смета ЕР (общ) '!$A396,".",'Смета ЕР (общ) '!$B396,".",C396,".",'Смета ЕР (общ) '!$D396)</f>
        <v>Р3.4.7.4</v>
      </c>
      <c r="F396" s="36">
        <f t="shared" si="26"/>
        <v>1</v>
      </c>
      <c r="G396" s="36"/>
      <c r="H396" s="36"/>
      <c r="I396" s="36"/>
      <c r="J396" s="36"/>
      <c r="K396" s="36"/>
      <c r="L396" s="37" t="s">
        <v>442</v>
      </c>
      <c r="M396" s="38" t="s">
        <v>40</v>
      </c>
      <c r="N396" s="39"/>
      <c r="O396" s="40">
        <v>220</v>
      </c>
      <c r="P396" s="40">
        <v>1993.8</v>
      </c>
      <c r="Q396" s="40">
        <f t="shared" si="37"/>
        <v>220</v>
      </c>
      <c r="R396" s="40">
        <f t="shared" si="37"/>
        <v>1993.8</v>
      </c>
      <c r="S396" s="40">
        <f>ROUND('Смета ЕР (общ) '!$N396*'Смета ЕР (общ) '!$Q396,2)</f>
        <v>0</v>
      </c>
      <c r="T396" s="40">
        <f>ROUND('Смета ЕР (общ) '!$N396*'Смета ЕР (общ) '!$R396,2)</f>
        <v>0</v>
      </c>
    </row>
    <row r="397" spans="1:25" ht="14.4" x14ac:dyDescent="0.3">
      <c r="A397" s="36" t="s">
        <v>279</v>
      </c>
      <c r="B397" s="36">
        <v>4</v>
      </c>
      <c r="C397" s="36">
        <v>7</v>
      </c>
      <c r="D397" s="36">
        <v>5</v>
      </c>
      <c r="E397" s="36" t="str">
        <f>CONCATENATE('Смета ЕР (общ) '!$A397,".",'Смета ЕР (общ) '!$B397,".",C397,".",'Смета ЕР (общ) '!$D397)</f>
        <v>Р3.4.7.5</v>
      </c>
      <c r="F397" s="36">
        <f t="shared" si="26"/>
        <v>1</v>
      </c>
      <c r="G397" s="36"/>
      <c r="H397" s="36"/>
      <c r="I397" s="36"/>
      <c r="J397" s="36"/>
      <c r="K397" s="36"/>
      <c r="L397" s="37" t="s">
        <v>443</v>
      </c>
      <c r="M397" s="38" t="s">
        <v>40</v>
      </c>
      <c r="N397" s="39"/>
      <c r="O397" s="40">
        <v>330</v>
      </c>
      <c r="P397" s="40">
        <v>1056.6099999999999</v>
      </c>
      <c r="Q397" s="40">
        <f t="shared" si="37"/>
        <v>330</v>
      </c>
      <c r="R397" s="40">
        <f t="shared" si="37"/>
        <v>1056.6099999999999</v>
      </c>
      <c r="S397" s="40">
        <f>ROUND('Смета ЕР (общ) '!$N397*'Смета ЕР (общ) '!$Q397,2)</f>
        <v>0</v>
      </c>
      <c r="T397" s="40">
        <f>ROUND('Смета ЕР (общ) '!$N397*'Смета ЕР (общ) '!$R397,2)</f>
        <v>0</v>
      </c>
    </row>
    <row r="398" spans="1:25" ht="14.4" x14ac:dyDescent="0.3">
      <c r="A398" s="36" t="s">
        <v>279</v>
      </c>
      <c r="B398" s="36">
        <v>4</v>
      </c>
      <c r="C398" s="36">
        <v>7</v>
      </c>
      <c r="D398" s="36">
        <v>6</v>
      </c>
      <c r="E398" s="36" t="str">
        <f>CONCATENATE('Смета ЕР (общ) '!$A398,".",'Смета ЕР (общ) '!$B398,".",C398,".",'Смета ЕР (общ) '!$D398)</f>
        <v>Р3.4.7.6</v>
      </c>
      <c r="F398" s="36">
        <f t="shared" si="26"/>
        <v>1</v>
      </c>
      <c r="G398" s="36"/>
      <c r="H398" s="36"/>
      <c r="I398" s="36"/>
      <c r="J398" s="36"/>
      <c r="K398" s="36"/>
      <c r="L398" s="37" t="s">
        <v>444</v>
      </c>
      <c r="M398" s="38" t="s">
        <v>147</v>
      </c>
      <c r="N398" s="39"/>
      <c r="O398" s="40">
        <v>888.25</v>
      </c>
      <c r="P398" s="40">
        <v>3845.89</v>
      </c>
      <c r="Q398" s="40">
        <f t="shared" si="37"/>
        <v>888.25</v>
      </c>
      <c r="R398" s="40">
        <f t="shared" si="37"/>
        <v>3845.89</v>
      </c>
      <c r="S398" s="40">
        <f>ROUND('Смета ЕР (общ) '!$N398*'Смета ЕР (общ) '!$Q398,2)</f>
        <v>0</v>
      </c>
      <c r="T398" s="40">
        <f>ROUND('Смета ЕР (общ) '!$N398*'Смета ЕР (общ) '!$R398,2)</f>
        <v>0</v>
      </c>
    </row>
    <row r="399" spans="1:25" ht="14.4" x14ac:dyDescent="0.3">
      <c r="A399" s="36" t="s">
        <v>279</v>
      </c>
      <c r="B399" s="36">
        <v>4</v>
      </c>
      <c r="C399" s="36">
        <v>7</v>
      </c>
      <c r="D399" s="36">
        <v>7</v>
      </c>
      <c r="E399" s="36" t="str">
        <f>CONCATENATE('Смета ЕР (общ) '!$A399,".",'Смета ЕР (общ) '!$B399,".",C399,".",'Смета ЕР (общ) '!$D399)</f>
        <v>Р3.4.7.7</v>
      </c>
      <c r="F399" s="36">
        <f t="shared" si="26"/>
        <v>1</v>
      </c>
      <c r="G399" s="36"/>
      <c r="H399" s="36"/>
      <c r="I399" s="36"/>
      <c r="J399" s="36"/>
      <c r="K399" s="36"/>
      <c r="L399" s="37" t="s">
        <v>445</v>
      </c>
      <c r="M399" s="38" t="s">
        <v>147</v>
      </c>
      <c r="N399" s="39"/>
      <c r="O399" s="40">
        <v>888.25</v>
      </c>
      <c r="P399" s="40">
        <v>4762.53</v>
      </c>
      <c r="Q399" s="40">
        <f t="shared" si="37"/>
        <v>888.25</v>
      </c>
      <c r="R399" s="40">
        <f t="shared" si="37"/>
        <v>4762.53</v>
      </c>
      <c r="S399" s="40">
        <f>ROUND('Смета ЕР (общ) '!$N399*'Смета ЕР (общ) '!$Q399,2)</f>
        <v>0</v>
      </c>
      <c r="T399" s="40">
        <f>ROUND('Смета ЕР (общ) '!$N399*'Смета ЕР (общ) '!$R399,2)</f>
        <v>0</v>
      </c>
      <c r="Y399">
        <v>20.8</v>
      </c>
    </row>
    <row r="400" spans="1:25" ht="14.4" x14ac:dyDescent="0.3">
      <c r="A400" s="36" t="s">
        <v>279</v>
      </c>
      <c r="B400" s="36">
        <v>4</v>
      </c>
      <c r="C400" s="36">
        <v>7</v>
      </c>
      <c r="D400" s="36">
        <v>8</v>
      </c>
      <c r="E400" s="36" t="str">
        <f>CONCATENATE('Смета ЕР (общ) '!$A400,".",'Смета ЕР (общ) '!$B400,".",C400,".",'Смета ЕР (общ) '!$D400)</f>
        <v>Р3.4.7.8</v>
      </c>
      <c r="F400" s="36">
        <f t="shared" si="26"/>
        <v>1</v>
      </c>
      <c r="G400" s="36"/>
      <c r="H400" s="36"/>
      <c r="I400" s="36"/>
      <c r="J400" s="36"/>
      <c r="K400" s="36"/>
      <c r="L400" s="37" t="s">
        <v>446</v>
      </c>
      <c r="M400" s="38" t="s">
        <v>118</v>
      </c>
      <c r="N400" s="39"/>
      <c r="O400" s="40">
        <v>888.25</v>
      </c>
      <c r="P400" s="40">
        <v>1395.79</v>
      </c>
      <c r="Q400" s="40">
        <f t="shared" si="37"/>
        <v>888.25</v>
      </c>
      <c r="R400" s="40">
        <f t="shared" si="37"/>
        <v>1395.79</v>
      </c>
      <c r="S400" s="40">
        <f>ROUND('Смета ЕР (общ) '!$N400*'Смета ЕР (общ) '!$Q400,2)</f>
        <v>0</v>
      </c>
      <c r="T400" s="40">
        <f>ROUND('Смета ЕР (общ) '!$N400*'Смета ЕР (общ) '!$R400,2)</f>
        <v>0</v>
      </c>
    </row>
    <row r="401" spans="1:25" ht="14.4" x14ac:dyDescent="0.3">
      <c r="A401" s="36" t="s">
        <v>279</v>
      </c>
      <c r="B401" s="36">
        <v>4</v>
      </c>
      <c r="C401" s="36">
        <v>7</v>
      </c>
      <c r="D401" s="36">
        <v>9</v>
      </c>
      <c r="E401" s="36" t="str">
        <f>CONCATENATE('Смета ЕР (общ) '!$A401,".",'Смета ЕР (общ) '!$B401,".",C401,".",'Смета ЕР (общ) '!$D401)</f>
        <v>Р3.4.7.9</v>
      </c>
      <c r="F401" s="36">
        <f t="shared" ref="F401:F464" si="38">IF(N401&gt;0,F400+1,F400)</f>
        <v>1</v>
      </c>
      <c r="G401" s="36"/>
      <c r="H401" s="36"/>
      <c r="I401" s="36"/>
      <c r="J401" s="36"/>
      <c r="K401" s="36"/>
      <c r="L401" s="37" t="s">
        <v>447</v>
      </c>
      <c r="M401" s="38" t="s">
        <v>147</v>
      </c>
      <c r="N401" s="39"/>
      <c r="O401" s="40">
        <v>599.39</v>
      </c>
      <c r="P401" s="40">
        <v>363.69</v>
      </c>
      <c r="Q401" s="40">
        <f t="shared" si="37"/>
        <v>599.39</v>
      </c>
      <c r="R401" s="40">
        <f t="shared" si="37"/>
        <v>363.69</v>
      </c>
      <c r="S401" s="40">
        <f>ROUND('Смета ЕР (общ) '!$N401*'Смета ЕР (общ) '!$Q401,2)</f>
        <v>0</v>
      </c>
      <c r="T401" s="40">
        <f>ROUND('Смета ЕР (общ) '!$N401*'Смета ЕР (общ) '!$R401,2)</f>
        <v>0</v>
      </c>
    </row>
    <row r="402" spans="1:25" ht="24" x14ac:dyDescent="0.3">
      <c r="A402" s="36" t="s">
        <v>279</v>
      </c>
      <c r="B402" s="36">
        <v>4</v>
      </c>
      <c r="C402" s="36">
        <v>7</v>
      </c>
      <c r="D402" s="36">
        <v>10</v>
      </c>
      <c r="E402" s="36" t="str">
        <f>CONCATENATE('Смета ЕР (общ) '!$A402,".",'Смета ЕР (общ) '!$B402,".",C402,".",'Смета ЕР (общ) '!$D402)</f>
        <v>Р3.4.7.10</v>
      </c>
      <c r="F402" s="36">
        <f t="shared" si="38"/>
        <v>1</v>
      </c>
      <c r="G402" s="36"/>
      <c r="H402" s="36"/>
      <c r="I402" s="36"/>
      <c r="J402" s="36"/>
      <c r="K402" s="36"/>
      <c r="L402" s="37" t="s">
        <v>448</v>
      </c>
      <c r="M402" s="38" t="s">
        <v>40</v>
      </c>
      <c r="N402" s="39"/>
      <c r="O402" s="40">
        <v>2000</v>
      </c>
      <c r="P402" s="40">
        <v>4052.17</v>
      </c>
      <c r="Q402" s="40">
        <f t="shared" si="37"/>
        <v>2000</v>
      </c>
      <c r="R402" s="40">
        <f t="shared" si="37"/>
        <v>4052.17</v>
      </c>
      <c r="S402" s="40">
        <f>ROUND('Смета ЕР (общ) '!$N402*'Смета ЕР (общ) '!$Q402,2)</f>
        <v>0</v>
      </c>
      <c r="T402" s="40">
        <f>ROUND('Смета ЕР (общ) '!$N402*'Смета ЕР (общ) '!$R402,2)</f>
        <v>0</v>
      </c>
      <c r="Y402">
        <v>55.33</v>
      </c>
    </row>
    <row r="403" spans="1:25" ht="24" x14ac:dyDescent="0.3">
      <c r="A403" s="36" t="s">
        <v>279</v>
      </c>
      <c r="B403" s="36">
        <v>4</v>
      </c>
      <c r="C403" s="36">
        <v>7</v>
      </c>
      <c r="D403" s="36">
        <v>11</v>
      </c>
      <c r="E403" s="36" t="str">
        <f>CONCATENATE('Смета ЕР (общ) '!$A403,".",'Смета ЕР (общ) '!$B403,".",C403,".",'Смета ЕР (общ) '!$D403)</f>
        <v>Р3.4.7.11</v>
      </c>
      <c r="F403" s="36">
        <f t="shared" si="38"/>
        <v>1</v>
      </c>
      <c r="G403" s="36"/>
      <c r="H403" s="36"/>
      <c r="I403" s="36"/>
      <c r="J403" s="36"/>
      <c r="K403" s="36"/>
      <c r="L403" s="37" t="s">
        <v>449</v>
      </c>
      <c r="M403" s="38" t="s">
        <v>40</v>
      </c>
      <c r="N403" s="39"/>
      <c r="O403" s="40">
        <v>1450</v>
      </c>
      <c r="P403" s="40">
        <v>1885.98</v>
      </c>
      <c r="Q403" s="40">
        <f t="shared" si="37"/>
        <v>1450</v>
      </c>
      <c r="R403" s="40">
        <f t="shared" si="37"/>
        <v>1885.98</v>
      </c>
      <c r="S403" s="40">
        <f>ROUND('Смета ЕР (общ) '!$N403*'Смета ЕР (общ) '!$Q403,2)</f>
        <v>0</v>
      </c>
      <c r="T403" s="40">
        <f>ROUND('Смета ЕР (общ) '!$N403*'Смета ЕР (общ) '!$R403,2)</f>
        <v>0</v>
      </c>
      <c r="Y403">
        <v>5.82</v>
      </c>
    </row>
    <row r="404" spans="1:25" ht="24" x14ac:dyDescent="0.3">
      <c r="A404" s="36" t="s">
        <v>279</v>
      </c>
      <c r="B404" s="36">
        <v>4</v>
      </c>
      <c r="C404" s="36">
        <v>7</v>
      </c>
      <c r="D404" s="36">
        <v>12</v>
      </c>
      <c r="E404" s="36" t="str">
        <f>CONCATENATE('Смета ЕР (общ) '!$A404,".",'Смета ЕР (общ) '!$B404,".",C404,".",'Смета ЕР (общ) '!$D404)</f>
        <v>Р3.4.7.12</v>
      </c>
      <c r="F404" s="36">
        <f t="shared" si="38"/>
        <v>1</v>
      </c>
      <c r="G404" s="36"/>
      <c r="H404" s="36"/>
      <c r="I404" s="36"/>
      <c r="J404" s="36"/>
      <c r="K404" s="36"/>
      <c r="L404" s="37" t="s">
        <v>450</v>
      </c>
      <c r="M404" s="38" t="s">
        <v>40</v>
      </c>
      <c r="N404" s="39"/>
      <c r="O404" s="40">
        <v>1252.8</v>
      </c>
      <c r="P404" s="40">
        <v>1221.03</v>
      </c>
      <c r="Q404" s="40">
        <f t="shared" si="37"/>
        <v>1252.8</v>
      </c>
      <c r="R404" s="40">
        <f t="shared" si="37"/>
        <v>1221.03</v>
      </c>
      <c r="S404" s="40">
        <f>ROUND('Смета ЕР (общ) '!$N404*'Смета ЕР (общ) '!$Q404,2)</f>
        <v>0</v>
      </c>
      <c r="T404" s="40">
        <f>ROUND('Смета ЕР (общ) '!$N404*'Смета ЕР (общ) '!$R404,2)</f>
        <v>0</v>
      </c>
      <c r="U404" s="101"/>
      <c r="Y404">
        <v>39</v>
      </c>
    </row>
    <row r="405" spans="1:25" ht="24" x14ac:dyDescent="0.3">
      <c r="A405" s="36" t="s">
        <v>279</v>
      </c>
      <c r="B405" s="36">
        <v>4</v>
      </c>
      <c r="C405" s="36">
        <v>7</v>
      </c>
      <c r="D405" s="36">
        <v>13</v>
      </c>
      <c r="E405" s="36" t="str">
        <f>CONCATENATE('Смета ЕР (общ) '!$A405,".",'Смета ЕР (общ) '!$B405,".",C405,".",'Смета ЕР (общ) '!$D405)</f>
        <v>Р3.4.7.13</v>
      </c>
      <c r="F405" s="36">
        <f t="shared" si="38"/>
        <v>1</v>
      </c>
      <c r="G405" s="36"/>
      <c r="H405" s="36"/>
      <c r="I405" s="36"/>
      <c r="J405" s="36"/>
      <c r="K405" s="36"/>
      <c r="L405" s="37" t="s">
        <v>451</v>
      </c>
      <c r="M405" s="38" t="s">
        <v>40</v>
      </c>
      <c r="N405" s="39"/>
      <c r="O405" s="40">
        <v>1252.8</v>
      </c>
      <c r="P405" s="40">
        <v>951.29</v>
      </c>
      <c r="Q405" s="40">
        <f t="shared" si="37"/>
        <v>1252.8</v>
      </c>
      <c r="R405" s="40">
        <f t="shared" si="37"/>
        <v>951.29</v>
      </c>
      <c r="S405" s="40">
        <f>ROUND('Смета ЕР (общ) '!$N405*'Смета ЕР (общ) '!$Q405,2)</f>
        <v>0</v>
      </c>
      <c r="T405" s="40">
        <f>ROUND('Смета ЕР (общ) '!$N405*'Смета ЕР (общ) '!$R405,2)</f>
        <v>0</v>
      </c>
    </row>
    <row r="406" spans="1:25" ht="24" x14ac:dyDescent="0.3">
      <c r="A406" s="58" t="s">
        <v>279</v>
      </c>
      <c r="B406" s="58">
        <v>4</v>
      </c>
      <c r="C406" s="58">
        <v>7</v>
      </c>
      <c r="D406" s="58">
        <v>14</v>
      </c>
      <c r="E406" s="58" t="str">
        <f>CONCATENATE('Смета ЕР (общ) '!$A406,".",'Смета ЕР (общ) '!$B406,".",C406,".",'Смета ЕР (общ) '!$D406)</f>
        <v>Р3.4.7.14</v>
      </c>
      <c r="F406" s="58">
        <f t="shared" si="38"/>
        <v>1</v>
      </c>
      <c r="G406" s="58"/>
      <c r="H406" s="58"/>
      <c r="I406" s="58"/>
      <c r="J406" s="58"/>
      <c r="K406" s="58"/>
      <c r="L406" s="59" t="s">
        <v>452</v>
      </c>
      <c r="M406" s="60" t="s">
        <v>40</v>
      </c>
      <c r="N406" s="61"/>
      <c r="O406" s="40">
        <v>1252.8</v>
      </c>
      <c r="P406" s="40">
        <v>1757</v>
      </c>
      <c r="Q406" s="62">
        <f t="shared" si="37"/>
        <v>1252.8</v>
      </c>
      <c r="R406" s="62">
        <f t="shared" si="37"/>
        <v>1757</v>
      </c>
      <c r="S406" s="40">
        <f>ROUND('Смета ЕР (общ) '!$N406*'Смета ЕР (общ) '!$Q406,2)</f>
        <v>0</v>
      </c>
      <c r="T406" s="40">
        <f>ROUND('Смета ЕР (общ) '!$N406*'Смета ЕР (общ) '!$R406,2)</f>
        <v>0</v>
      </c>
      <c r="U406" s="101"/>
    </row>
    <row r="407" spans="1:25" ht="38.25" customHeight="1" x14ac:dyDescent="0.3">
      <c r="A407" s="36" t="s">
        <v>279</v>
      </c>
      <c r="B407" s="36">
        <v>4</v>
      </c>
      <c r="C407" s="36">
        <v>7</v>
      </c>
      <c r="D407" s="36">
        <v>15</v>
      </c>
      <c r="E407" s="36" t="str">
        <f>CONCATENATE('Смета ЕР (общ) '!$A407,".",'Смета ЕР (общ) '!$B407,".",C407,".",'Смета ЕР (общ) '!$D407)</f>
        <v>Р3.4.7.15</v>
      </c>
      <c r="F407" s="36">
        <f t="shared" si="38"/>
        <v>1</v>
      </c>
      <c r="G407" s="36"/>
      <c r="H407" s="36"/>
      <c r="I407" s="36"/>
      <c r="J407" s="36"/>
      <c r="K407" s="36"/>
      <c r="L407" s="37" t="s">
        <v>453</v>
      </c>
      <c r="M407" s="38" t="s">
        <v>40</v>
      </c>
      <c r="N407" s="39"/>
      <c r="O407" s="40">
        <v>1252.8</v>
      </c>
      <c r="P407" s="40">
        <v>350</v>
      </c>
      <c r="Q407" s="40">
        <f t="shared" si="37"/>
        <v>1252.8</v>
      </c>
      <c r="R407" s="40">
        <f t="shared" si="37"/>
        <v>350</v>
      </c>
      <c r="S407" s="40">
        <f>ROUND('Смета ЕР (общ) '!$N407*'Смета ЕР (общ) '!$Q407,2)</f>
        <v>0</v>
      </c>
      <c r="T407" s="40">
        <f>ROUND('Смета ЕР (общ) '!$N407*'Смета ЕР (общ) '!$R407,2)</f>
        <v>0</v>
      </c>
      <c r="U407" s="35" t="s">
        <v>435</v>
      </c>
    </row>
    <row r="408" spans="1:25" ht="24" x14ac:dyDescent="0.3">
      <c r="A408" s="36" t="s">
        <v>279</v>
      </c>
      <c r="B408" s="36">
        <v>4</v>
      </c>
      <c r="C408" s="36">
        <v>7</v>
      </c>
      <c r="D408" s="36">
        <v>16</v>
      </c>
      <c r="E408" s="36" t="str">
        <f>CONCATENATE('Смета ЕР (общ) '!$A408,".",'Смета ЕР (общ) '!$B408,".",C408,".",'Смета ЕР (общ) '!$D408)</f>
        <v>Р3.4.7.16</v>
      </c>
      <c r="F408" s="36">
        <f t="shared" si="38"/>
        <v>1</v>
      </c>
      <c r="G408" s="36"/>
      <c r="H408" s="36"/>
      <c r="I408" s="36"/>
      <c r="J408" s="36"/>
      <c r="K408" s="36"/>
      <c r="L408" s="37" t="s">
        <v>454</v>
      </c>
      <c r="M408" s="38" t="s">
        <v>40</v>
      </c>
      <c r="N408" s="39"/>
      <c r="O408" s="40">
        <v>1252.8</v>
      </c>
      <c r="P408" s="40">
        <v>890.47</v>
      </c>
      <c r="Q408" s="40">
        <f t="shared" si="37"/>
        <v>1252.8</v>
      </c>
      <c r="R408" s="40">
        <f t="shared" si="37"/>
        <v>890.47</v>
      </c>
      <c r="S408" s="40">
        <f>ROUND('Смета ЕР (общ) '!$N408*'Смета ЕР (общ) '!$Q408,2)</f>
        <v>0</v>
      </c>
      <c r="T408" s="40">
        <f>ROUND('Смета ЕР (общ) '!$N408*'Смета ЕР (общ) '!$R408,2)</f>
        <v>0</v>
      </c>
    </row>
    <row r="409" spans="1:25" ht="24" x14ac:dyDescent="0.3">
      <c r="A409" s="36" t="s">
        <v>279</v>
      </c>
      <c r="B409" s="36">
        <v>4</v>
      </c>
      <c r="C409" s="36">
        <v>7</v>
      </c>
      <c r="D409" s="36">
        <v>17</v>
      </c>
      <c r="E409" s="36" t="str">
        <f>CONCATENATE('Смета ЕР (общ) '!$A409,".",'Смета ЕР (общ) '!$B409,".",C409,".",'Смета ЕР (общ) '!$D409)</f>
        <v>Р3.4.7.17</v>
      </c>
      <c r="F409" s="36">
        <f t="shared" si="38"/>
        <v>1</v>
      </c>
      <c r="G409" s="36"/>
      <c r="H409" s="36"/>
      <c r="I409" s="36"/>
      <c r="J409" s="36"/>
      <c r="K409" s="36"/>
      <c r="L409" s="37" t="s">
        <v>455</v>
      </c>
      <c r="M409" s="38" t="s">
        <v>40</v>
      </c>
      <c r="N409" s="39"/>
      <c r="O409" s="40">
        <v>4384.8</v>
      </c>
      <c r="P409" s="40">
        <v>34098.629999999997</v>
      </c>
      <c r="Q409" s="40">
        <f t="shared" si="37"/>
        <v>4384.8</v>
      </c>
      <c r="R409" s="40">
        <f t="shared" si="37"/>
        <v>34098.629999999997</v>
      </c>
      <c r="S409" s="40">
        <f>ROUND('Смета ЕР (общ) '!$N409*'Смета ЕР (общ) '!$Q409,2)</f>
        <v>0</v>
      </c>
      <c r="T409" s="40">
        <f>ROUND('Смета ЕР (общ) '!$N409*'Смета ЕР (общ) '!$R409,2)</f>
        <v>0</v>
      </c>
      <c r="Y409">
        <v>40.32</v>
      </c>
    </row>
    <row r="410" spans="1:25" ht="24" x14ac:dyDescent="0.3">
      <c r="A410" s="36" t="s">
        <v>279</v>
      </c>
      <c r="B410" s="36">
        <v>4</v>
      </c>
      <c r="C410" s="36">
        <v>7</v>
      </c>
      <c r="D410" s="36">
        <v>18</v>
      </c>
      <c r="E410" s="36" t="str">
        <f>CONCATENATE('Смета ЕР (общ) '!$A410,".",'Смета ЕР (общ) '!$B410,".",C410,".",'Смета ЕР (общ) '!$D410)</f>
        <v>Р3.4.7.18</v>
      </c>
      <c r="F410" s="36">
        <f t="shared" si="38"/>
        <v>1</v>
      </c>
      <c r="G410" s="36"/>
      <c r="H410" s="36"/>
      <c r="I410" s="36"/>
      <c r="J410" s="36"/>
      <c r="K410" s="36"/>
      <c r="L410" s="37" t="s">
        <v>456</v>
      </c>
      <c r="M410" s="38" t="s">
        <v>40</v>
      </c>
      <c r="N410" s="39"/>
      <c r="O410" s="40">
        <v>4384.8</v>
      </c>
      <c r="P410" s="40">
        <v>35151.47</v>
      </c>
      <c r="Q410" s="40">
        <f t="shared" si="37"/>
        <v>4384.8</v>
      </c>
      <c r="R410" s="40">
        <f t="shared" si="37"/>
        <v>35151.47</v>
      </c>
      <c r="S410" s="40">
        <f>ROUND('Смета ЕР (общ) '!$N410*'Смета ЕР (общ) '!$Q410,2)</f>
        <v>0</v>
      </c>
      <c r="T410" s="40">
        <f>ROUND('Смета ЕР (общ) '!$N410*'Смета ЕР (общ) '!$R410,2)</f>
        <v>0</v>
      </c>
    </row>
    <row r="411" spans="1:25" ht="24" x14ac:dyDescent="0.3">
      <c r="A411" s="36" t="s">
        <v>279</v>
      </c>
      <c r="B411" s="36">
        <v>4</v>
      </c>
      <c r="C411" s="36">
        <v>7</v>
      </c>
      <c r="D411" s="36">
        <v>19</v>
      </c>
      <c r="E411" s="36" t="str">
        <f>CONCATENATE('Смета ЕР (общ) '!$A411,".",'Смета ЕР (общ) '!$B411,".",C411,".",'Смета ЕР (общ) '!$D411)</f>
        <v>Р3.4.7.19</v>
      </c>
      <c r="F411" s="36">
        <f t="shared" si="38"/>
        <v>1</v>
      </c>
      <c r="G411" s="36"/>
      <c r="H411" s="36"/>
      <c r="I411" s="36"/>
      <c r="J411" s="36"/>
      <c r="K411" s="36"/>
      <c r="L411" s="37" t="s">
        <v>457</v>
      </c>
      <c r="M411" s="38" t="s">
        <v>118</v>
      </c>
      <c r="N411" s="39"/>
      <c r="O411" s="40">
        <v>3758.4</v>
      </c>
      <c r="P411" s="40">
        <v>21828.5</v>
      </c>
      <c r="Q411" s="40">
        <f t="shared" si="37"/>
        <v>3758.4</v>
      </c>
      <c r="R411" s="40">
        <f t="shared" si="37"/>
        <v>21828.5</v>
      </c>
      <c r="S411" s="40">
        <f>ROUND('Смета ЕР (общ) '!$N411*'Смета ЕР (общ) '!$Q411,2)</f>
        <v>0</v>
      </c>
      <c r="T411" s="40">
        <f>ROUND('Смета ЕР (общ) '!$N411*'Смета ЕР (общ) '!$R411,2)</f>
        <v>0</v>
      </c>
    </row>
    <row r="412" spans="1:25" ht="14.4" x14ac:dyDescent="0.3">
      <c r="A412" s="48" t="s">
        <v>279</v>
      </c>
      <c r="B412" s="48">
        <v>5</v>
      </c>
      <c r="C412" s="48"/>
      <c r="D412" s="48">
        <v>0</v>
      </c>
      <c r="E412" s="48" t="str">
        <f>CONCATENATE('Смета ЕР (общ) '!$A412,".",'Смета ЕР (общ) '!$B412,".",'Смета ЕР (общ) '!$D412)</f>
        <v>Р3.5.0</v>
      </c>
      <c r="F412" s="48">
        <f t="shared" si="38"/>
        <v>1</v>
      </c>
      <c r="G412" s="48"/>
      <c r="H412" s="48"/>
      <c r="I412" s="48"/>
      <c r="J412" s="48"/>
      <c r="K412" s="48"/>
      <c r="L412" s="49" t="s">
        <v>458</v>
      </c>
      <c r="M412" s="31"/>
      <c r="N412" s="32">
        <f>S412</f>
        <v>0</v>
      </c>
      <c r="O412" s="47"/>
      <c r="P412" s="47"/>
      <c r="Q412" s="34"/>
      <c r="R412" s="34"/>
      <c r="S412" s="34">
        <f>SUM(S413:S445)</f>
        <v>0</v>
      </c>
      <c r="T412" s="34">
        <f>SUM(T413:T445)</f>
        <v>0</v>
      </c>
      <c r="Y412">
        <v>375254.66999999993</v>
      </c>
    </row>
    <row r="413" spans="1:25" ht="48" x14ac:dyDescent="0.3">
      <c r="A413" s="36" t="s">
        <v>279</v>
      </c>
      <c r="B413" s="36">
        <v>5</v>
      </c>
      <c r="C413" s="36"/>
      <c r="D413" s="36">
        <v>1</v>
      </c>
      <c r="E413" s="36" t="str">
        <f>CONCATENATE('Смета ЕР (общ) '!$A413,".",'Смета ЕР (общ) '!$B413,".",'Смета ЕР (общ) '!$D413)</f>
        <v>Р3.5.1</v>
      </c>
      <c r="F413" s="36">
        <f t="shared" si="38"/>
        <v>1</v>
      </c>
      <c r="G413" s="36"/>
      <c r="H413" s="36"/>
      <c r="I413" s="36"/>
      <c r="J413" s="36"/>
      <c r="K413" s="36"/>
      <c r="L413" s="37" t="s">
        <v>459</v>
      </c>
      <c r="M413" s="54" t="s">
        <v>40</v>
      </c>
      <c r="N413" s="39"/>
      <c r="O413" s="40">
        <v>609.83000000000004</v>
      </c>
      <c r="P413" s="40">
        <v>1675.44</v>
      </c>
      <c r="Q413" s="40">
        <f t="shared" ref="Q413:R444" si="39">ROUND(O413-O413*$V$3,2)</f>
        <v>609.83000000000004</v>
      </c>
      <c r="R413" s="40">
        <f t="shared" si="39"/>
        <v>1675.44</v>
      </c>
      <c r="S413" s="40">
        <f>ROUND('Смета ЕР (общ) '!$N413*'Смета ЕР (общ) '!$Q413,2)</f>
        <v>0</v>
      </c>
      <c r="T413" s="40">
        <f>ROUND('Смета ЕР (общ) '!$N413*'Смета ЕР (общ) '!$R413,2)</f>
        <v>0</v>
      </c>
    </row>
    <row r="414" spans="1:25" ht="48" x14ac:dyDescent="0.3">
      <c r="A414" s="36" t="s">
        <v>279</v>
      </c>
      <c r="B414" s="36">
        <v>5</v>
      </c>
      <c r="C414" s="36"/>
      <c r="D414" s="36">
        <v>2</v>
      </c>
      <c r="E414" s="36" t="str">
        <f>CONCATENATE('Смета ЕР (общ) '!$A414,".",'Смета ЕР (общ) '!$B414,".",'Смета ЕР (общ) '!$D414)</f>
        <v>Р3.5.2</v>
      </c>
      <c r="F414" s="36">
        <f t="shared" si="38"/>
        <v>1</v>
      </c>
      <c r="G414" s="36"/>
      <c r="H414" s="36"/>
      <c r="I414" s="36"/>
      <c r="J414" s="36"/>
      <c r="K414" s="36"/>
      <c r="L414" s="37" t="s">
        <v>460</v>
      </c>
      <c r="M414" s="54" t="s">
        <v>40</v>
      </c>
      <c r="N414" s="39"/>
      <c r="O414" s="40">
        <v>610.70000000000005</v>
      </c>
      <c r="P414" s="40">
        <v>640.94000000000005</v>
      </c>
      <c r="Q414" s="40">
        <f t="shared" si="39"/>
        <v>610.70000000000005</v>
      </c>
      <c r="R414" s="40">
        <f t="shared" si="39"/>
        <v>640.94000000000005</v>
      </c>
      <c r="S414" s="40">
        <f>ROUND('Смета ЕР (общ) '!$N414*'Смета ЕР (общ) '!$Q414,2)</f>
        <v>0</v>
      </c>
      <c r="T414" s="40">
        <f>ROUND('Смета ЕР (общ) '!$N414*'Смета ЕР (общ) '!$R414,2)</f>
        <v>0</v>
      </c>
    </row>
    <row r="415" spans="1:25" ht="48" x14ac:dyDescent="0.3">
      <c r="A415" s="95" t="s">
        <v>279</v>
      </c>
      <c r="B415" s="95">
        <v>5</v>
      </c>
      <c r="C415" s="95"/>
      <c r="D415" s="95">
        <v>39</v>
      </c>
      <c r="E415" s="95" t="str">
        <f>CONCATENATE('Смета ЕР (общ) '!$A415,".",'Смета ЕР (общ) '!$B415,".",'Смета ЕР (общ) '!$D415)</f>
        <v>Р3.5.39</v>
      </c>
      <c r="F415" s="95">
        <f t="shared" si="38"/>
        <v>1</v>
      </c>
      <c r="G415" s="95"/>
      <c r="H415" s="95"/>
      <c r="I415" s="95"/>
      <c r="J415" s="95"/>
      <c r="K415" s="95"/>
      <c r="L415" s="96" t="s">
        <v>461</v>
      </c>
      <c r="M415" s="102" t="s">
        <v>40</v>
      </c>
      <c r="N415" s="39"/>
      <c r="O415" s="40">
        <v>611.57000000000005</v>
      </c>
      <c r="P415" s="40">
        <v>1884.09</v>
      </c>
      <c r="Q415" s="40">
        <f t="shared" si="39"/>
        <v>611.57000000000005</v>
      </c>
      <c r="R415" s="40">
        <f t="shared" si="39"/>
        <v>1884.09</v>
      </c>
      <c r="S415" s="40">
        <f>ROUND('Смета ЕР (общ) '!$N415*'Смета ЕР (общ) '!$Q415,2)</f>
        <v>0</v>
      </c>
      <c r="T415" s="40">
        <f>ROUND('Смета ЕР (общ) '!$N415*'Смета ЕР (общ) '!$R415,2)</f>
        <v>0</v>
      </c>
    </row>
    <row r="416" spans="1:25" ht="14.4" x14ac:dyDescent="0.3">
      <c r="A416" s="95" t="s">
        <v>279</v>
      </c>
      <c r="B416" s="95">
        <v>5</v>
      </c>
      <c r="C416" s="95"/>
      <c r="D416" s="95">
        <v>40</v>
      </c>
      <c r="E416" s="95" t="str">
        <f>CONCATENATE('Смета ЕР (общ) '!$A416,".",'Смета ЕР (общ) '!$B416,".",'Смета ЕР (общ) '!$D416)</f>
        <v>Р3.5.40</v>
      </c>
      <c r="F416" s="95">
        <f t="shared" si="38"/>
        <v>1</v>
      </c>
      <c r="G416" s="95"/>
      <c r="H416" s="95"/>
      <c r="I416" s="95"/>
      <c r="J416" s="95"/>
      <c r="K416" s="95"/>
      <c r="L416" s="96" t="s">
        <v>462</v>
      </c>
      <c r="M416" s="102" t="s">
        <v>40</v>
      </c>
      <c r="N416" s="39"/>
      <c r="O416" s="40">
        <v>326.25</v>
      </c>
      <c r="P416" s="40">
        <v>1558.66</v>
      </c>
      <c r="Q416" s="40">
        <f t="shared" si="39"/>
        <v>326.25</v>
      </c>
      <c r="R416" s="40">
        <f t="shared" si="39"/>
        <v>1558.66</v>
      </c>
      <c r="S416" s="40">
        <f>ROUND('Смета ЕР (общ) '!$N416*'Смета ЕР (общ) '!$Q416,2)</f>
        <v>0</v>
      </c>
      <c r="T416" s="40">
        <f>ROUND('Смета ЕР (общ) '!$N416*'Смета ЕР (общ) '!$R416,2)</f>
        <v>0</v>
      </c>
    </row>
    <row r="417" spans="1:25" ht="24" x14ac:dyDescent="0.3">
      <c r="A417" s="36" t="s">
        <v>279</v>
      </c>
      <c r="B417" s="36">
        <v>5</v>
      </c>
      <c r="C417" s="36"/>
      <c r="D417" s="36">
        <v>3</v>
      </c>
      <c r="E417" s="36" t="str">
        <f>CONCATENATE('Смета ЕР (общ) '!$A417,".",'Смета ЕР (общ) '!$B417,".",'Смета ЕР (общ) '!$D417)</f>
        <v>Р3.5.3</v>
      </c>
      <c r="F417" s="36">
        <f t="shared" si="38"/>
        <v>1</v>
      </c>
      <c r="G417" s="36"/>
      <c r="H417" s="36"/>
      <c r="I417" s="36"/>
      <c r="J417" s="36"/>
      <c r="K417" s="36"/>
      <c r="L417" s="37" t="s">
        <v>463</v>
      </c>
      <c r="M417" s="54" t="s">
        <v>40</v>
      </c>
      <c r="N417" s="39"/>
      <c r="O417" s="40">
        <v>1934.0099999999998</v>
      </c>
      <c r="P417" s="40">
        <v>690.28899999999999</v>
      </c>
      <c r="Q417" s="40">
        <f t="shared" si="39"/>
        <v>1934.01</v>
      </c>
      <c r="R417" s="40">
        <f t="shared" si="39"/>
        <v>690.29</v>
      </c>
      <c r="S417" s="40">
        <f>ROUND('Смета ЕР (общ) '!$N417*'Смета ЕР (общ) '!$Q417,2)</f>
        <v>0</v>
      </c>
      <c r="T417" s="40">
        <f>ROUND('Смета ЕР (общ) '!$N417*'Смета ЕР (общ) '!$R417,2)</f>
        <v>0</v>
      </c>
      <c r="Y417">
        <v>50.91</v>
      </c>
    </row>
    <row r="418" spans="1:25" ht="24" x14ac:dyDescent="0.3">
      <c r="A418" s="36" t="s">
        <v>279</v>
      </c>
      <c r="B418" s="36">
        <v>5</v>
      </c>
      <c r="C418" s="36"/>
      <c r="D418" s="36">
        <v>4</v>
      </c>
      <c r="E418" s="36" t="str">
        <f>CONCATENATE('Смета ЕР (общ) '!$A418,".",'Смета ЕР (общ) '!$B418,".",'Смета ЕР (общ) '!$D418)</f>
        <v>Р3.5.4</v>
      </c>
      <c r="F418" s="36">
        <f t="shared" si="38"/>
        <v>1</v>
      </c>
      <c r="G418" s="36"/>
      <c r="H418" s="36"/>
      <c r="I418" s="36"/>
      <c r="J418" s="36"/>
      <c r="K418" s="36"/>
      <c r="L418" s="37" t="s">
        <v>464</v>
      </c>
      <c r="M418" s="54" t="s">
        <v>40</v>
      </c>
      <c r="N418" s="39"/>
      <c r="O418" s="40">
        <v>2035.8</v>
      </c>
      <c r="P418" s="40">
        <v>919.57150000000001</v>
      </c>
      <c r="Q418" s="40">
        <f t="shared" si="39"/>
        <v>2035.8</v>
      </c>
      <c r="R418" s="40">
        <f t="shared" si="39"/>
        <v>919.57</v>
      </c>
      <c r="S418" s="40">
        <f>ROUND('Смета ЕР (общ) '!$N418*'Смета ЕР (общ) '!$Q418,2)</f>
        <v>0</v>
      </c>
      <c r="T418" s="40">
        <f>ROUND('Смета ЕР (общ) '!$N418*'Смета ЕР (общ) '!$R418,2)</f>
        <v>0</v>
      </c>
      <c r="Y418">
        <v>13.2</v>
      </c>
    </row>
    <row r="419" spans="1:25" ht="36" x14ac:dyDescent="0.3">
      <c r="A419" s="36" t="s">
        <v>279</v>
      </c>
      <c r="B419" s="36">
        <v>5</v>
      </c>
      <c r="C419" s="36"/>
      <c r="D419" s="36">
        <v>5</v>
      </c>
      <c r="E419" s="36" t="str">
        <f>CONCATENATE('Смета ЕР (общ) '!$A419,".",'Смета ЕР (общ) '!$B419,".",'Смета ЕР (общ) '!$D419)</f>
        <v>Р3.5.5</v>
      </c>
      <c r="F419" s="36">
        <f t="shared" si="38"/>
        <v>1</v>
      </c>
      <c r="G419" s="36"/>
      <c r="H419" s="36"/>
      <c r="I419" s="36"/>
      <c r="J419" s="36"/>
      <c r="K419" s="36"/>
      <c r="L419" s="37" t="s">
        <v>465</v>
      </c>
      <c r="M419" s="54" t="s">
        <v>40</v>
      </c>
      <c r="N419" s="39"/>
      <c r="O419" s="40">
        <v>2035.8</v>
      </c>
      <c r="P419" s="40">
        <v>726.62</v>
      </c>
      <c r="Q419" s="40">
        <f t="shared" si="39"/>
        <v>2035.8</v>
      </c>
      <c r="R419" s="40">
        <f t="shared" si="39"/>
        <v>726.62</v>
      </c>
      <c r="S419" s="40">
        <f>ROUND('Смета ЕР (общ) '!$N419*'Смета ЕР (общ) '!$Q419,2)</f>
        <v>0</v>
      </c>
      <c r="T419" s="40">
        <f>ROUND('Смета ЕР (общ) '!$N419*'Смета ЕР (общ) '!$R419,2)</f>
        <v>0</v>
      </c>
    </row>
    <row r="420" spans="1:25" ht="24" x14ac:dyDescent="0.3">
      <c r="A420" s="36" t="s">
        <v>279</v>
      </c>
      <c r="B420" s="36">
        <v>5</v>
      </c>
      <c r="C420" s="36"/>
      <c r="D420" s="36">
        <v>6</v>
      </c>
      <c r="E420" s="36" t="str">
        <f>CONCATENATE('Смета ЕР (общ) '!$A420,".",'Смета ЕР (общ) '!$B420,".",'Смета ЕР (общ) '!$D420)</f>
        <v>Р3.5.6</v>
      </c>
      <c r="F420" s="36">
        <f t="shared" si="38"/>
        <v>1</v>
      </c>
      <c r="G420" s="36"/>
      <c r="H420" s="36"/>
      <c r="I420" s="36"/>
      <c r="J420" s="36"/>
      <c r="K420" s="36"/>
      <c r="L420" s="37" t="s">
        <v>466</v>
      </c>
      <c r="M420" s="38" t="s">
        <v>40</v>
      </c>
      <c r="N420" s="39"/>
      <c r="O420" s="40">
        <v>660</v>
      </c>
      <c r="P420" s="40">
        <v>2198.38</v>
      </c>
      <c r="Q420" s="40">
        <f t="shared" si="39"/>
        <v>660</v>
      </c>
      <c r="R420" s="40">
        <f t="shared" si="39"/>
        <v>2198.38</v>
      </c>
      <c r="S420" s="40">
        <f>ROUND('Смета ЕР (общ) '!$N420*'Смета ЕР (общ) '!$Q420,2)</f>
        <v>0</v>
      </c>
      <c r="T420" s="40">
        <f>ROUND('Смета ЕР (общ) '!$N420*'Смета ЕР (общ) '!$R420,2)</f>
        <v>0</v>
      </c>
    </row>
    <row r="421" spans="1:25" ht="24" x14ac:dyDescent="0.3">
      <c r="A421" s="36" t="s">
        <v>279</v>
      </c>
      <c r="B421" s="36">
        <v>5</v>
      </c>
      <c r="C421" s="36"/>
      <c r="D421" s="36">
        <v>17</v>
      </c>
      <c r="E421" s="36" t="str">
        <f>CONCATENATE('Смета ЕР (общ) '!$A421,".",'Смета ЕР (общ) '!$B421,".",'Смета ЕР (общ) '!$D421)</f>
        <v>Р3.5.17</v>
      </c>
      <c r="F421" s="36">
        <f t="shared" si="38"/>
        <v>1</v>
      </c>
      <c r="G421" s="36"/>
      <c r="H421" s="36"/>
      <c r="I421" s="36"/>
      <c r="J421" s="36"/>
      <c r="K421" s="36"/>
      <c r="L421" s="37" t="s">
        <v>467</v>
      </c>
      <c r="M421" s="54" t="s">
        <v>40</v>
      </c>
      <c r="N421" s="39"/>
      <c r="O421" s="40">
        <v>660</v>
      </c>
      <c r="P421" s="40">
        <v>4271.45</v>
      </c>
      <c r="Q421" s="40">
        <f t="shared" si="39"/>
        <v>660</v>
      </c>
      <c r="R421" s="40">
        <f t="shared" si="39"/>
        <v>4271.45</v>
      </c>
      <c r="S421" s="40">
        <f>ROUND('Смета ЕР (общ) '!$N421*'Смета ЕР (общ) '!$Q421,2)</f>
        <v>0</v>
      </c>
      <c r="T421" s="40">
        <f>ROUND('Смета ЕР (общ) '!$N421*'Смета ЕР (общ) '!$R421,2)</f>
        <v>0</v>
      </c>
    </row>
    <row r="422" spans="1:25" ht="24" x14ac:dyDescent="0.3">
      <c r="A422" s="36" t="s">
        <v>279</v>
      </c>
      <c r="B422" s="36">
        <v>5</v>
      </c>
      <c r="C422" s="36"/>
      <c r="D422" s="36">
        <v>18</v>
      </c>
      <c r="E422" s="36" t="str">
        <f>CONCATENATE('Смета ЕР (общ) '!$A422,".",'Смета ЕР (общ) '!$B422,".",'Смета ЕР (общ) '!$D422)</f>
        <v>Р3.5.18</v>
      </c>
      <c r="F422" s="36">
        <f t="shared" si="38"/>
        <v>1</v>
      </c>
      <c r="G422" s="36"/>
      <c r="H422" s="36"/>
      <c r="I422" s="36"/>
      <c r="J422" s="36"/>
      <c r="K422" s="36"/>
      <c r="L422" s="37" t="s">
        <v>468</v>
      </c>
      <c r="M422" s="54" t="s">
        <v>40</v>
      </c>
      <c r="N422" s="39"/>
      <c r="O422" s="40">
        <v>660</v>
      </c>
      <c r="P422" s="40">
        <v>2676.78</v>
      </c>
      <c r="Q422" s="40">
        <f t="shared" si="39"/>
        <v>660</v>
      </c>
      <c r="R422" s="40">
        <f t="shared" si="39"/>
        <v>2676.78</v>
      </c>
      <c r="S422" s="40">
        <f>ROUND('Смета ЕР (общ) '!$N422*'Смета ЕР (общ) '!$Q422,2)</f>
        <v>0</v>
      </c>
      <c r="T422" s="40">
        <f>ROUND('Смета ЕР (общ) '!$N422*'Смета ЕР (общ) '!$R422,2)</f>
        <v>0</v>
      </c>
    </row>
    <row r="423" spans="1:25" ht="24" x14ac:dyDescent="0.3">
      <c r="A423" s="36" t="s">
        <v>279</v>
      </c>
      <c r="B423" s="36">
        <v>5</v>
      </c>
      <c r="C423" s="36"/>
      <c r="D423" s="36">
        <v>19</v>
      </c>
      <c r="E423" s="36" t="str">
        <f>CONCATENATE('Смета ЕР (общ) '!$A423,".",'Смета ЕР (общ) '!$B423,".",'Смета ЕР (общ) '!$D423)</f>
        <v>Р3.5.19</v>
      </c>
      <c r="F423" s="36">
        <f t="shared" si="38"/>
        <v>1</v>
      </c>
      <c r="G423" s="36"/>
      <c r="H423" s="36"/>
      <c r="I423" s="36"/>
      <c r="J423" s="36"/>
      <c r="K423" s="36"/>
      <c r="L423" s="37" t="s">
        <v>469</v>
      </c>
      <c r="M423" s="38" t="s">
        <v>40</v>
      </c>
      <c r="N423" s="39"/>
      <c r="O423" s="40">
        <v>660</v>
      </c>
      <c r="P423" s="40">
        <v>5188.37</v>
      </c>
      <c r="Q423" s="40">
        <f t="shared" si="39"/>
        <v>660</v>
      </c>
      <c r="R423" s="40">
        <f t="shared" si="39"/>
        <v>5188.37</v>
      </c>
      <c r="S423" s="40">
        <f>ROUND('Смета ЕР (общ) '!$N423*'Смета ЕР (общ) '!$Q423,2)</f>
        <v>0</v>
      </c>
      <c r="T423" s="40">
        <f>ROUND('Смета ЕР (общ) '!$N423*'Смета ЕР (общ) '!$R423,2)</f>
        <v>0</v>
      </c>
    </row>
    <row r="424" spans="1:25" ht="14.4" x14ac:dyDescent="0.3">
      <c r="A424" s="58" t="s">
        <v>279</v>
      </c>
      <c r="B424" s="58">
        <v>5</v>
      </c>
      <c r="C424" s="58"/>
      <c r="D424" s="58">
        <v>20</v>
      </c>
      <c r="E424" s="58" t="str">
        <f>CONCATENATE('Смета ЕР (общ) '!$A424,".",'Смета ЕР (общ) '!$B424,".",'Смета ЕР (общ) '!$D424)</f>
        <v>Р3.5.20</v>
      </c>
      <c r="F424" s="58">
        <f t="shared" si="38"/>
        <v>1</v>
      </c>
      <c r="G424" s="58"/>
      <c r="H424" s="58"/>
      <c r="I424" s="58"/>
      <c r="J424" s="58"/>
      <c r="K424" s="58"/>
      <c r="L424" s="59" t="s">
        <v>470</v>
      </c>
      <c r="M424" s="60" t="s">
        <v>40</v>
      </c>
      <c r="N424" s="61"/>
      <c r="O424" s="40">
        <v>890.14</v>
      </c>
      <c r="P424" s="40">
        <v>6055.84</v>
      </c>
      <c r="Q424" s="62">
        <f t="shared" si="39"/>
        <v>890.14</v>
      </c>
      <c r="R424" s="62">
        <f t="shared" si="39"/>
        <v>6055.84</v>
      </c>
      <c r="S424" s="62">
        <f>ROUND('Смета ЕР (общ) '!$N424*'Смета ЕР (общ) '!$Q424,2)</f>
        <v>0</v>
      </c>
      <c r="T424" s="62">
        <f>ROUND('Смета ЕР (общ) '!$N424*'Смета ЕР (общ) '!$R424,2)</f>
        <v>0</v>
      </c>
      <c r="U424" s="101"/>
    </row>
    <row r="425" spans="1:25" ht="36" x14ac:dyDescent="0.3">
      <c r="A425" s="58" t="s">
        <v>279</v>
      </c>
      <c r="B425" s="58">
        <v>5</v>
      </c>
      <c r="C425" s="58"/>
      <c r="D425" s="58">
        <v>21</v>
      </c>
      <c r="E425" s="58" t="str">
        <f>CONCATENATE('Смета ЕР (общ) '!$A425,".",'Смета ЕР (общ) '!$B425,".",'Смета ЕР (общ) '!$D425)</f>
        <v>Р3.5.21</v>
      </c>
      <c r="F425" s="58">
        <f t="shared" si="38"/>
        <v>1</v>
      </c>
      <c r="G425" s="58"/>
      <c r="H425" s="58"/>
      <c r="I425" s="58"/>
      <c r="J425" s="58"/>
      <c r="K425" s="58"/>
      <c r="L425" s="59" t="s">
        <v>471</v>
      </c>
      <c r="M425" s="72" t="s">
        <v>40</v>
      </c>
      <c r="N425" s="61"/>
      <c r="O425" s="40">
        <v>2035.8</v>
      </c>
      <c r="P425" s="40">
        <v>4123.09</v>
      </c>
      <c r="Q425" s="62">
        <f t="shared" si="39"/>
        <v>2035.8</v>
      </c>
      <c r="R425" s="62">
        <f t="shared" si="39"/>
        <v>4123.09</v>
      </c>
      <c r="S425" s="62">
        <f>ROUND('Смета ЕР (общ) '!$N425*'Смета ЕР (общ) '!$Q425,2)</f>
        <v>0</v>
      </c>
      <c r="T425" s="62">
        <f>ROUND('Смета ЕР (общ) '!$N425*'Смета ЕР (общ) '!$R425,2)</f>
        <v>0</v>
      </c>
      <c r="U425" s="101"/>
    </row>
    <row r="426" spans="1:25" ht="14.4" x14ac:dyDescent="0.3">
      <c r="A426" s="58" t="s">
        <v>279</v>
      </c>
      <c r="B426" s="58">
        <v>5</v>
      </c>
      <c r="C426" s="58"/>
      <c r="D426" s="58">
        <v>22</v>
      </c>
      <c r="E426" s="58" t="str">
        <f>CONCATENATE('Смета ЕР (общ) '!$A426,".",'Смета ЕР (общ) '!$B426,".",'Смета ЕР (общ) '!$D426)</f>
        <v>Р3.5.22</v>
      </c>
      <c r="F426" s="58">
        <f t="shared" si="38"/>
        <v>1</v>
      </c>
      <c r="G426" s="58"/>
      <c r="H426" s="58"/>
      <c r="I426" s="58"/>
      <c r="J426" s="58"/>
      <c r="K426" s="58"/>
      <c r="L426" s="59" t="s">
        <v>472</v>
      </c>
      <c r="M426" s="60" t="s">
        <v>40</v>
      </c>
      <c r="N426" s="61"/>
      <c r="O426" s="40">
        <v>2239.38</v>
      </c>
      <c r="P426" s="40">
        <v>9243.75</v>
      </c>
      <c r="Q426" s="62">
        <f t="shared" si="39"/>
        <v>2239.38</v>
      </c>
      <c r="R426" s="62">
        <f t="shared" si="39"/>
        <v>9243.75</v>
      </c>
      <c r="S426" s="62">
        <f>ROUND('Смета ЕР (общ) '!$N426*'Смета ЕР (общ) '!$Q426,2)</f>
        <v>0</v>
      </c>
      <c r="T426" s="62">
        <f>ROUND('Смета ЕР (общ) '!$N426*'Смета ЕР (общ) '!$R426,2)</f>
        <v>0</v>
      </c>
      <c r="U426" s="101"/>
    </row>
    <row r="427" spans="1:25" ht="14.4" x14ac:dyDescent="0.3">
      <c r="A427" s="36" t="s">
        <v>279</v>
      </c>
      <c r="B427" s="36">
        <v>5</v>
      </c>
      <c r="C427" s="36"/>
      <c r="D427" s="36">
        <v>7</v>
      </c>
      <c r="E427" s="36" t="str">
        <f>CONCATENATE('Смета ЕР (общ) '!$A427,".",'Смета ЕР (общ) '!$B427,".",'Смета ЕР (общ) '!$D427)</f>
        <v>Р3.5.7</v>
      </c>
      <c r="F427" s="36">
        <f t="shared" si="38"/>
        <v>1</v>
      </c>
      <c r="G427" s="36"/>
      <c r="H427" s="36"/>
      <c r="I427" s="36"/>
      <c r="J427" s="36"/>
      <c r="K427" s="36"/>
      <c r="L427" s="37" t="s">
        <v>473</v>
      </c>
      <c r="M427" s="54" t="s">
        <v>40</v>
      </c>
      <c r="N427" s="39"/>
      <c r="O427" s="40">
        <v>622.01</v>
      </c>
      <c r="P427" s="40">
        <v>241.58</v>
      </c>
      <c r="Q427" s="40">
        <f t="shared" si="39"/>
        <v>622.01</v>
      </c>
      <c r="R427" s="40">
        <f t="shared" si="39"/>
        <v>241.58</v>
      </c>
      <c r="S427" s="40">
        <f>ROUND('Смета ЕР (общ) '!$N427*'Смета ЕР (общ) '!$Q427,2)</f>
        <v>0</v>
      </c>
      <c r="T427" s="40">
        <f>ROUND('Смета ЕР (общ) '!$N427*'Смета ЕР (общ) '!$R427,2)</f>
        <v>0</v>
      </c>
    </row>
    <row r="428" spans="1:25" ht="24" x14ac:dyDescent="0.3">
      <c r="A428" s="36" t="s">
        <v>279</v>
      </c>
      <c r="B428" s="36">
        <v>5</v>
      </c>
      <c r="C428" s="36"/>
      <c r="D428" s="36">
        <v>23</v>
      </c>
      <c r="E428" s="36" t="str">
        <f>CONCATENATE('Смета ЕР (общ) '!$A428,".",'Смета ЕР (общ) '!$B428,".",'Смета ЕР (общ) '!$D428)</f>
        <v>Р3.5.23</v>
      </c>
      <c r="F428" s="36">
        <f t="shared" si="38"/>
        <v>1</v>
      </c>
      <c r="G428" s="36"/>
      <c r="H428" s="36"/>
      <c r="I428" s="36"/>
      <c r="J428" s="36"/>
      <c r="K428" s="36"/>
      <c r="L428" s="37" t="s">
        <v>474</v>
      </c>
      <c r="M428" s="54" t="s">
        <v>40</v>
      </c>
      <c r="N428" s="39"/>
      <c r="O428" s="40">
        <v>2035.8</v>
      </c>
      <c r="P428" s="40">
        <v>841.47</v>
      </c>
      <c r="Q428" s="40">
        <f t="shared" si="39"/>
        <v>2035.8</v>
      </c>
      <c r="R428" s="40">
        <f t="shared" si="39"/>
        <v>841.47</v>
      </c>
      <c r="S428" s="40">
        <f>ROUND('Смета ЕР (общ) '!$N428*'Смета ЕР (общ) '!$Q428,2)</f>
        <v>0</v>
      </c>
      <c r="T428" s="40">
        <f>ROUND('Смета ЕР (общ) '!$N428*'Смета ЕР (общ) '!$R428,2)</f>
        <v>0</v>
      </c>
    </row>
    <row r="429" spans="1:25" ht="14.4" x14ac:dyDescent="0.3">
      <c r="A429" s="36" t="s">
        <v>279</v>
      </c>
      <c r="B429" s="36">
        <v>5</v>
      </c>
      <c r="C429" s="36"/>
      <c r="D429" s="36">
        <v>8</v>
      </c>
      <c r="E429" s="36" t="str">
        <f>CONCATENATE('Смета ЕР (общ) '!$A429,".",'Смета ЕР (общ) '!$B429,".",'Смета ЕР (общ) '!$D429)</f>
        <v>Р3.5.8</v>
      </c>
      <c r="F429" s="36">
        <f t="shared" si="38"/>
        <v>1</v>
      </c>
      <c r="G429" s="36"/>
      <c r="H429" s="36"/>
      <c r="I429" s="36"/>
      <c r="J429" s="36"/>
      <c r="K429" s="36"/>
      <c r="L429" s="37" t="s">
        <v>475</v>
      </c>
      <c r="M429" s="54" t="s">
        <v>40</v>
      </c>
      <c r="N429" s="39"/>
      <c r="O429" s="40">
        <v>1196.25</v>
      </c>
      <c r="P429" s="40">
        <v>432.43</v>
      </c>
      <c r="Q429" s="40">
        <f t="shared" si="39"/>
        <v>1196.25</v>
      </c>
      <c r="R429" s="40">
        <f t="shared" si="39"/>
        <v>432.43</v>
      </c>
      <c r="S429" s="40">
        <f>ROUND('Смета ЕР (общ) '!$N429*'Смета ЕР (общ) '!$Q429,2)</f>
        <v>0</v>
      </c>
      <c r="T429" s="40">
        <f>ROUND('Смета ЕР (общ) '!$N429*'Смета ЕР (общ) '!$R429,2)</f>
        <v>0</v>
      </c>
    </row>
    <row r="430" spans="1:25" ht="30" customHeight="1" x14ac:dyDescent="0.3">
      <c r="A430" s="36" t="s">
        <v>279</v>
      </c>
      <c r="B430" s="36">
        <v>5</v>
      </c>
      <c r="C430" s="36"/>
      <c r="D430" s="36">
        <v>9</v>
      </c>
      <c r="E430" s="36" t="str">
        <f>CONCATENATE('Смета ЕР (общ) '!$A430,".",'Смета ЕР (общ) '!$B430,".",'Смета ЕР (общ) '!$D430)</f>
        <v>Р3.5.9</v>
      </c>
      <c r="F430" s="36">
        <f t="shared" si="38"/>
        <v>1</v>
      </c>
      <c r="G430" s="36"/>
      <c r="H430" s="36"/>
      <c r="I430" s="36"/>
      <c r="J430" s="36"/>
      <c r="K430" s="36"/>
      <c r="L430" s="37" t="s">
        <v>476</v>
      </c>
      <c r="M430" s="54" t="s">
        <v>40</v>
      </c>
      <c r="N430" s="39"/>
      <c r="O430" s="40">
        <v>134.85</v>
      </c>
      <c r="P430" s="40">
        <v>857.22</v>
      </c>
      <c r="Q430" s="40">
        <f t="shared" si="39"/>
        <v>134.85</v>
      </c>
      <c r="R430" s="40">
        <f t="shared" si="39"/>
        <v>857.22</v>
      </c>
      <c r="S430" s="40">
        <f>ROUND('Смета ЕР (общ) '!$N430*'Смета ЕР (общ) '!$Q430,2)</f>
        <v>0</v>
      </c>
      <c r="T430" s="40">
        <f>ROUND('Смета ЕР (общ) '!$N430*'Смета ЕР (общ) '!$R430,2)</f>
        <v>0</v>
      </c>
      <c r="U430" s="35" t="s">
        <v>477</v>
      </c>
    </row>
    <row r="431" spans="1:25" ht="14.4" x14ac:dyDescent="0.3">
      <c r="A431" s="36" t="s">
        <v>279</v>
      </c>
      <c r="B431" s="36">
        <v>5</v>
      </c>
      <c r="C431" s="36"/>
      <c r="D431" s="36">
        <v>10</v>
      </c>
      <c r="E431" s="36" t="str">
        <f>CONCATENATE('Смета ЕР (общ) '!$A431,".",'Смета ЕР (общ) '!$B431,".",'Смета ЕР (общ) '!$D431)</f>
        <v>Р3.5.10</v>
      </c>
      <c r="F431" s="36">
        <f t="shared" si="38"/>
        <v>1</v>
      </c>
      <c r="G431" s="36"/>
      <c r="H431" s="36"/>
      <c r="I431" s="36"/>
      <c r="J431" s="36"/>
      <c r="K431" s="36"/>
      <c r="L431" s="37" t="s">
        <v>478</v>
      </c>
      <c r="M431" s="54" t="s">
        <v>40</v>
      </c>
      <c r="N431" s="39"/>
      <c r="O431" s="40">
        <v>625.49</v>
      </c>
      <c r="P431" s="40">
        <v>374.4</v>
      </c>
      <c r="Q431" s="40">
        <f t="shared" si="39"/>
        <v>625.49</v>
      </c>
      <c r="R431" s="40">
        <f t="shared" si="39"/>
        <v>374.4</v>
      </c>
      <c r="S431" s="40">
        <f>ROUND('Смета ЕР (общ) '!$N431*'Смета ЕР (общ) '!$Q431,2)</f>
        <v>0</v>
      </c>
      <c r="T431" s="40">
        <f>ROUND('Смета ЕР (общ) '!$N431*'Смета ЕР (общ) '!$R431,2)</f>
        <v>0</v>
      </c>
      <c r="Y431">
        <v>64.11</v>
      </c>
    </row>
    <row r="432" spans="1:25" ht="14.4" x14ac:dyDescent="0.3">
      <c r="A432" s="36" t="s">
        <v>279</v>
      </c>
      <c r="B432" s="36">
        <v>5</v>
      </c>
      <c r="C432" s="36"/>
      <c r="D432" s="36">
        <v>11</v>
      </c>
      <c r="E432" s="36" t="str">
        <f>CONCATENATE('Смета ЕР (общ) '!$A432,".",'Смета ЕР (общ) '!$B432,".",'Смета ЕР (общ) '!$D432)</f>
        <v>Р3.5.11</v>
      </c>
      <c r="F432" s="36">
        <f t="shared" si="38"/>
        <v>1</v>
      </c>
      <c r="G432" s="36"/>
      <c r="H432" s="36"/>
      <c r="I432" s="36"/>
      <c r="J432" s="36"/>
      <c r="K432" s="36"/>
      <c r="L432" s="37" t="s">
        <v>479</v>
      </c>
      <c r="M432" s="54" t="s">
        <v>40</v>
      </c>
      <c r="N432" s="39"/>
      <c r="O432" s="40">
        <v>105.33</v>
      </c>
      <c r="P432" s="103">
        <v>50</v>
      </c>
      <c r="Q432" s="40">
        <f t="shared" si="39"/>
        <v>105.33</v>
      </c>
      <c r="R432" s="40">
        <f t="shared" si="39"/>
        <v>50</v>
      </c>
      <c r="S432" s="40">
        <f>ROUND('Смета ЕР (общ) '!$N432*'Смета ЕР (общ) '!$Q432,2)</f>
        <v>0</v>
      </c>
      <c r="T432" s="40">
        <f>ROUND('Смета ЕР (общ) '!$N432*'Смета ЕР (общ) '!$R432,2)</f>
        <v>0</v>
      </c>
      <c r="Y432">
        <v>64.11</v>
      </c>
    </row>
    <row r="433" spans="1:25" ht="14.4" x14ac:dyDescent="0.3">
      <c r="A433" s="36" t="s">
        <v>279</v>
      </c>
      <c r="B433" s="36">
        <v>5</v>
      </c>
      <c r="C433" s="36"/>
      <c r="D433" s="36">
        <v>12</v>
      </c>
      <c r="E433" s="36" t="str">
        <f>CONCATENATE('Смета ЕР (общ) '!$A433,".",'Смета ЕР (общ) '!$B433,".",'Смета ЕР (общ) '!$D433)</f>
        <v>Р3.5.12</v>
      </c>
      <c r="F433" s="36">
        <f t="shared" si="38"/>
        <v>1</v>
      </c>
      <c r="G433" s="36"/>
      <c r="H433" s="36"/>
      <c r="I433" s="36"/>
      <c r="J433" s="36"/>
      <c r="K433" s="36"/>
      <c r="L433" s="37" t="s">
        <v>480</v>
      </c>
      <c r="M433" s="54" t="s">
        <v>40</v>
      </c>
      <c r="N433" s="39"/>
      <c r="O433" s="40">
        <v>232</v>
      </c>
      <c r="P433" s="40">
        <v>88.55</v>
      </c>
      <c r="Q433" s="40">
        <f t="shared" si="39"/>
        <v>232</v>
      </c>
      <c r="R433" s="40">
        <f t="shared" si="39"/>
        <v>88.55</v>
      </c>
      <c r="S433" s="40">
        <f>ROUND('Смета ЕР (общ) '!$N433*'Смета ЕР (общ) '!$Q433,2)</f>
        <v>0</v>
      </c>
      <c r="T433" s="40">
        <f>ROUND('Смета ЕР (общ) '!$N433*'Смета ЕР (общ) '!$R433,2)</f>
        <v>0</v>
      </c>
      <c r="Y433">
        <v>64.11</v>
      </c>
    </row>
    <row r="434" spans="1:25" ht="14.4" x14ac:dyDescent="0.3">
      <c r="A434" s="36" t="s">
        <v>279</v>
      </c>
      <c r="B434" s="36">
        <v>5</v>
      </c>
      <c r="C434" s="36"/>
      <c r="D434" s="36">
        <v>13</v>
      </c>
      <c r="E434" s="36" t="str">
        <f>CONCATENATE('Смета ЕР (общ) '!$A434,".",'Смета ЕР (общ) '!$B434,".",'Смета ЕР (общ) '!$D434)</f>
        <v>Р3.5.13</v>
      </c>
      <c r="F434" s="36">
        <f t="shared" si="38"/>
        <v>1</v>
      </c>
      <c r="G434" s="36"/>
      <c r="H434" s="36"/>
      <c r="I434" s="36"/>
      <c r="J434" s="36"/>
      <c r="K434" s="36"/>
      <c r="L434" s="37" t="s">
        <v>481</v>
      </c>
      <c r="M434" s="54" t="s">
        <v>40</v>
      </c>
      <c r="N434" s="39"/>
      <c r="O434" s="40">
        <v>393.67</v>
      </c>
      <c r="P434" s="40">
        <v>420</v>
      </c>
      <c r="Q434" s="40">
        <f t="shared" si="39"/>
        <v>393.67</v>
      </c>
      <c r="R434" s="40">
        <f t="shared" si="39"/>
        <v>420</v>
      </c>
      <c r="S434" s="40">
        <f>ROUND('Смета ЕР (общ) '!$N434*'Смета ЕР (общ) '!$Q434,2)</f>
        <v>0</v>
      </c>
      <c r="T434" s="40">
        <f>ROUND('Смета ЕР (общ) '!$N434*'Смета ЕР (общ) '!$R434,2)</f>
        <v>0</v>
      </c>
      <c r="Y434">
        <v>64.11</v>
      </c>
    </row>
    <row r="435" spans="1:25" ht="24" x14ac:dyDescent="0.3">
      <c r="A435" s="36" t="s">
        <v>279</v>
      </c>
      <c r="B435" s="36">
        <v>5</v>
      </c>
      <c r="C435" s="36"/>
      <c r="D435" s="36">
        <v>16</v>
      </c>
      <c r="E435" s="36" t="str">
        <f>CONCATENATE('Смета ЕР (общ) '!$A435,".",'Смета ЕР (общ) '!$B435,".",'Смета ЕР (общ) '!$D435)</f>
        <v>Р3.5.16</v>
      </c>
      <c r="F435" s="36">
        <f t="shared" si="38"/>
        <v>1</v>
      </c>
      <c r="G435" s="36"/>
      <c r="H435" s="36"/>
      <c r="I435" s="36"/>
      <c r="J435" s="36"/>
      <c r="K435" s="36"/>
      <c r="L435" s="37" t="s">
        <v>482</v>
      </c>
      <c r="M435" s="54" t="s">
        <v>40</v>
      </c>
      <c r="N435" s="39"/>
      <c r="O435" s="40">
        <v>393.67</v>
      </c>
      <c r="P435" s="40">
        <v>420</v>
      </c>
      <c r="Q435" s="40">
        <f t="shared" si="39"/>
        <v>393.67</v>
      </c>
      <c r="R435" s="40">
        <f t="shared" si="39"/>
        <v>420</v>
      </c>
      <c r="S435" s="40">
        <f>ROUND('Смета ЕР (общ) '!$N435*'Смета ЕР (общ) '!$Q435,2)</f>
        <v>0</v>
      </c>
      <c r="T435" s="40">
        <f>ROUND('Смета ЕР (общ) '!$N435*'Смета ЕР (общ) '!$R435,2)</f>
        <v>0</v>
      </c>
    </row>
    <row r="436" spans="1:25" ht="24" x14ac:dyDescent="0.3">
      <c r="A436" s="36" t="s">
        <v>279</v>
      </c>
      <c r="B436" s="36">
        <v>5</v>
      </c>
      <c r="C436" s="36"/>
      <c r="D436" s="36">
        <v>24</v>
      </c>
      <c r="E436" s="36" t="str">
        <f>CONCATENATE('Смета ЕР (общ) '!$A436,".",'Смета ЕР (общ) '!$B436,".",'Смета ЕР (общ) '!$D436)</f>
        <v>Р3.5.24</v>
      </c>
      <c r="F436" s="36">
        <f t="shared" si="38"/>
        <v>1</v>
      </c>
      <c r="G436" s="36"/>
      <c r="H436" s="36"/>
      <c r="I436" s="36"/>
      <c r="J436" s="36"/>
      <c r="K436" s="36"/>
      <c r="L436" s="37" t="s">
        <v>483</v>
      </c>
      <c r="M436" s="38" t="s">
        <v>118</v>
      </c>
      <c r="N436" s="39"/>
      <c r="O436" s="40">
        <v>1480.74</v>
      </c>
      <c r="P436" s="40">
        <f>'[1]Акустические потолки'!G7*1.05</f>
        <v>16745.295000000002</v>
      </c>
      <c r="Q436" s="40">
        <f t="shared" si="39"/>
        <v>1480.74</v>
      </c>
      <c r="R436" s="66">
        <f>P436</f>
        <v>16745.295000000002</v>
      </c>
      <c r="S436" s="40">
        <f>ROUND('Смета ЕР (общ) '!$N436*'Смета ЕР (общ) '!$Q436,2)</f>
        <v>0</v>
      </c>
      <c r="T436" s="40">
        <f>ROUND('Смета ЕР (общ) '!$N436*'Смета ЕР (общ) '!$R436,2)</f>
        <v>0</v>
      </c>
      <c r="U436" s="69" t="s">
        <v>484</v>
      </c>
      <c r="V436" s="68"/>
      <c r="Y436">
        <v>1</v>
      </c>
    </row>
    <row r="437" spans="1:25" ht="24" x14ac:dyDescent="0.3">
      <c r="A437" s="36" t="s">
        <v>279</v>
      </c>
      <c r="B437" s="36">
        <v>5</v>
      </c>
      <c r="C437" s="36"/>
      <c r="D437" s="36">
        <v>25</v>
      </c>
      <c r="E437" s="36" t="str">
        <f>CONCATENATE('Смета ЕР (общ) '!$A437,".",'Смета ЕР (общ) '!$B437,".",'Смета ЕР (общ) '!$D437)</f>
        <v>Р3.5.25</v>
      </c>
      <c r="F437" s="36">
        <f t="shared" si="38"/>
        <v>1</v>
      </c>
      <c r="G437" s="36"/>
      <c r="H437" s="36"/>
      <c r="I437" s="36"/>
      <c r="J437" s="36"/>
      <c r="K437" s="36"/>
      <c r="L437" s="37" t="s">
        <v>485</v>
      </c>
      <c r="M437" s="38" t="s">
        <v>118</v>
      </c>
      <c r="N437" s="39"/>
      <c r="O437" s="40">
        <v>1480.74</v>
      </c>
      <c r="P437" s="40">
        <f>'[1]Акустические потолки'!G8*1.05</f>
        <v>10488.135000000002</v>
      </c>
      <c r="Q437" s="40">
        <f t="shared" si="39"/>
        <v>1480.74</v>
      </c>
      <c r="R437" s="66">
        <f>P437</f>
        <v>10488.135000000002</v>
      </c>
      <c r="S437" s="40">
        <f>ROUND('Смета ЕР (общ) '!$N437*'Смета ЕР (общ) '!$Q437,2)</f>
        <v>0</v>
      </c>
      <c r="T437" s="40">
        <f>ROUND('Смета ЕР (общ) '!$N437*'Смета ЕР (общ) '!$R437,2)</f>
        <v>0</v>
      </c>
      <c r="U437" s="69" t="s">
        <v>484</v>
      </c>
      <c r="V437" s="68"/>
      <c r="Y437">
        <v>1</v>
      </c>
    </row>
    <row r="438" spans="1:25" ht="24" x14ac:dyDescent="0.3">
      <c r="A438" s="104" t="s">
        <v>279</v>
      </c>
      <c r="B438" s="104">
        <v>5</v>
      </c>
      <c r="C438" s="104"/>
      <c r="D438" s="104">
        <v>26</v>
      </c>
      <c r="E438" s="104" t="str">
        <f>CONCATENATE('Смета ЕР (общ) '!$A438,".",'Смета ЕР (общ) '!$B438,".",'Смета ЕР (общ) '!$D438)</f>
        <v>Р3.5.26</v>
      </c>
      <c r="F438" s="104">
        <f t="shared" si="38"/>
        <v>1</v>
      </c>
      <c r="G438" s="104"/>
      <c r="H438" s="104"/>
      <c r="I438" s="104"/>
      <c r="J438" s="104"/>
      <c r="K438" s="104"/>
      <c r="L438" s="105" t="s">
        <v>486</v>
      </c>
      <c r="M438" s="38" t="s">
        <v>118</v>
      </c>
      <c r="N438" s="106"/>
      <c r="O438" s="40">
        <v>1480.74</v>
      </c>
      <c r="P438" s="40">
        <f>'[1]Акустические потолки'!G9*1.05</f>
        <v>10488.135000000002</v>
      </c>
      <c r="Q438" s="40">
        <f t="shared" si="39"/>
        <v>1480.74</v>
      </c>
      <c r="R438" s="66">
        <f>P438</f>
        <v>10488.135000000002</v>
      </c>
      <c r="S438" s="40">
        <f>ROUND('Смета ЕР (общ) '!$N438*'Смета ЕР (общ) '!$Q438,2)</f>
        <v>0</v>
      </c>
      <c r="T438" s="40">
        <f>ROUND('Смета ЕР (общ) '!$N438*'Смета ЕР (общ) '!$R438,2)</f>
        <v>0</v>
      </c>
      <c r="U438" s="69" t="s">
        <v>484</v>
      </c>
      <c r="V438" s="68"/>
      <c r="Y438">
        <v>1</v>
      </c>
    </row>
    <row r="439" spans="1:25" ht="24" x14ac:dyDescent="0.3">
      <c r="A439" s="104" t="s">
        <v>279</v>
      </c>
      <c r="B439" s="104">
        <v>5</v>
      </c>
      <c r="C439" s="104"/>
      <c r="D439" s="104">
        <v>27</v>
      </c>
      <c r="E439" s="104" t="str">
        <f>CONCATENATE('Смета ЕР (общ) '!$A439,".",'Смета ЕР (общ) '!$B439,".",'Смета ЕР (общ) '!$D439)</f>
        <v>Р3.5.27</v>
      </c>
      <c r="F439" s="104">
        <f t="shared" si="38"/>
        <v>1</v>
      </c>
      <c r="G439" s="104"/>
      <c r="H439" s="104"/>
      <c r="I439" s="104"/>
      <c r="J439" s="104"/>
      <c r="K439" s="104"/>
      <c r="L439" s="105" t="s">
        <v>487</v>
      </c>
      <c r="M439" s="38" t="s">
        <v>118</v>
      </c>
      <c r="N439" s="106"/>
      <c r="O439" s="40">
        <v>1378.95</v>
      </c>
      <c r="P439" s="40">
        <f>'[1]Акустические потолки'!G10*1.05</f>
        <v>10488.135000000002</v>
      </c>
      <c r="Q439" s="40">
        <f t="shared" si="39"/>
        <v>1378.95</v>
      </c>
      <c r="R439" s="66">
        <f>P439</f>
        <v>10488.135000000002</v>
      </c>
      <c r="S439" s="40">
        <f>ROUND('Смета ЕР (общ) '!$N439*'Смета ЕР (общ) '!$Q439,2)</f>
        <v>0</v>
      </c>
      <c r="T439" s="40">
        <f>ROUND('Смета ЕР (общ) '!$N439*'Смета ЕР (общ) '!$R439,2)</f>
        <v>0</v>
      </c>
      <c r="U439" s="69" t="s">
        <v>484</v>
      </c>
      <c r="V439" s="68"/>
      <c r="Y439">
        <v>1</v>
      </c>
    </row>
    <row r="440" spans="1:25" ht="24" x14ac:dyDescent="0.3">
      <c r="A440" s="104" t="s">
        <v>279</v>
      </c>
      <c r="B440" s="104">
        <v>5</v>
      </c>
      <c r="C440" s="104"/>
      <c r="D440" s="104">
        <v>31</v>
      </c>
      <c r="E440" s="104" t="str">
        <f>CONCATENATE('Смета ЕР (общ) '!$A440,".",'Смета ЕР (общ) '!$B440,".",'Смета ЕР (общ) '!$D440)</f>
        <v>Р3.5.31</v>
      </c>
      <c r="F440" s="104">
        <f t="shared" si="38"/>
        <v>1</v>
      </c>
      <c r="G440" s="104"/>
      <c r="H440" s="104"/>
      <c r="I440" s="104"/>
      <c r="J440" s="104"/>
      <c r="K440" s="104"/>
      <c r="L440" s="105" t="s">
        <v>488</v>
      </c>
      <c r="M440" s="38" t="s">
        <v>118</v>
      </c>
      <c r="N440" s="106"/>
      <c r="O440" s="40">
        <v>1378.95</v>
      </c>
      <c r="P440" s="40">
        <f>'[1]Акустические потолки'!G11*1.05</f>
        <v>3646.86</v>
      </c>
      <c r="Q440" s="40">
        <f t="shared" si="39"/>
        <v>1378.95</v>
      </c>
      <c r="R440" s="66">
        <f>P440</f>
        <v>3646.86</v>
      </c>
      <c r="S440" s="40">
        <f>ROUND('Смета ЕР (общ) '!$N440*'Смета ЕР (общ) '!$Q440,2)</f>
        <v>0</v>
      </c>
      <c r="T440" s="40">
        <f>ROUND('Смета ЕР (общ) '!$N440*'Смета ЕР (общ) '!$R440,2)</f>
        <v>0</v>
      </c>
      <c r="U440" s="69" t="s">
        <v>484</v>
      </c>
      <c r="V440" s="68"/>
    </row>
    <row r="441" spans="1:25" ht="24" x14ac:dyDescent="0.3">
      <c r="A441" s="36" t="s">
        <v>279</v>
      </c>
      <c r="B441" s="36">
        <v>5</v>
      </c>
      <c r="C441" s="36"/>
      <c r="D441" s="36">
        <v>29</v>
      </c>
      <c r="E441" s="36" t="str">
        <f>CONCATENATE('Смета ЕР (общ) '!$A441,".",'Смета ЕР (общ) '!$B441,".",'Смета ЕР (общ) '!$D441)</f>
        <v>Р3.5.29</v>
      </c>
      <c r="F441" s="104">
        <f t="shared" si="38"/>
        <v>1</v>
      </c>
      <c r="G441" s="104"/>
      <c r="H441" s="104"/>
      <c r="I441" s="104"/>
      <c r="J441" s="104"/>
      <c r="K441" s="104"/>
      <c r="L441" s="37" t="s">
        <v>489</v>
      </c>
      <c r="M441" s="54" t="s">
        <v>40</v>
      </c>
      <c r="N441" s="39"/>
      <c r="O441" s="40">
        <v>217.5</v>
      </c>
      <c r="P441" s="40">
        <v>80.11</v>
      </c>
      <c r="Q441" s="40">
        <f t="shared" si="39"/>
        <v>217.5</v>
      </c>
      <c r="R441" s="40">
        <f t="shared" si="39"/>
        <v>80.11</v>
      </c>
      <c r="S441" s="40">
        <f>ROUND('Смета ЕР (общ) '!$N441*'Смета ЕР (общ) '!$Q441,2)</f>
        <v>0</v>
      </c>
      <c r="T441" s="40">
        <f>ROUND('Смета ЕР (общ) '!$N441*'Смета ЕР (общ) '!$R441,2)</f>
        <v>0</v>
      </c>
      <c r="Y441">
        <v>214</v>
      </c>
    </row>
    <row r="442" spans="1:25" ht="36" x14ac:dyDescent="0.3">
      <c r="A442" s="36" t="s">
        <v>279</v>
      </c>
      <c r="B442" s="36">
        <v>5</v>
      </c>
      <c r="C442" s="36"/>
      <c r="D442" s="36">
        <v>30</v>
      </c>
      <c r="E442" s="36" t="str">
        <f>CONCATENATE('Смета ЕР (общ) '!$A442,".",'Смета ЕР (общ) '!$B442,".",'Смета ЕР (общ) '!$D442)</f>
        <v>Р3.5.30</v>
      </c>
      <c r="F442" s="36">
        <f t="shared" si="38"/>
        <v>1</v>
      </c>
      <c r="G442" s="36"/>
      <c r="H442" s="36"/>
      <c r="I442" s="36"/>
      <c r="J442" s="36"/>
      <c r="K442" s="36"/>
      <c r="L442" s="37" t="s">
        <v>490</v>
      </c>
      <c r="M442" s="54" t="s">
        <v>40</v>
      </c>
      <c r="N442" s="39"/>
      <c r="O442" s="40">
        <v>516.78</v>
      </c>
      <c r="P442" s="40">
        <v>308.33999999999997</v>
      </c>
      <c r="Q442" s="40">
        <f t="shared" si="39"/>
        <v>516.78</v>
      </c>
      <c r="R442" s="40">
        <f t="shared" si="39"/>
        <v>308.33999999999997</v>
      </c>
      <c r="S442" s="40">
        <f>ROUND('Смета ЕР (общ) '!$N442*'Смета ЕР (общ) '!$Q442,2)</f>
        <v>0</v>
      </c>
      <c r="T442" s="40">
        <f>ROUND('Смета ЕР (общ) '!$N442*'Смета ЕР (общ) '!$R442,2)</f>
        <v>0</v>
      </c>
      <c r="Y442">
        <v>214</v>
      </c>
    </row>
    <row r="443" spans="1:25" ht="24" x14ac:dyDescent="0.3">
      <c r="A443" s="36" t="s">
        <v>279</v>
      </c>
      <c r="B443" s="36">
        <v>5</v>
      </c>
      <c r="C443" s="36"/>
      <c r="D443" s="36">
        <v>14</v>
      </c>
      <c r="E443" s="36" t="str">
        <f>CONCATENATE('Смета ЕР (общ) '!$A443,".",'Смета ЕР (общ) '!$B443,".",'Смета ЕР (общ) '!$D443)</f>
        <v>Р3.5.14</v>
      </c>
      <c r="F443" s="36">
        <f t="shared" si="38"/>
        <v>1</v>
      </c>
      <c r="G443" s="36"/>
      <c r="H443" s="36"/>
      <c r="I443" s="36"/>
      <c r="J443" s="36"/>
      <c r="K443" s="36"/>
      <c r="L443" s="53" t="s">
        <v>491</v>
      </c>
      <c r="M443" s="54" t="s">
        <v>40</v>
      </c>
      <c r="N443" s="39"/>
      <c r="O443" s="40">
        <v>1581.22</v>
      </c>
      <c r="P443" s="40">
        <v>7422.19</v>
      </c>
      <c r="Q443" s="40">
        <f t="shared" si="39"/>
        <v>1581.22</v>
      </c>
      <c r="R443" s="40">
        <f t="shared" si="39"/>
        <v>7422.19</v>
      </c>
      <c r="S443" s="40">
        <f>ROUND('Смета ЕР (общ) '!$N443*'Смета ЕР (общ) '!$Q443,2)</f>
        <v>0</v>
      </c>
      <c r="T443" s="40">
        <f>ROUND('Смета ЕР (общ) '!$N443*'Смета ЕР (общ) '!$R443,2)</f>
        <v>0</v>
      </c>
    </row>
    <row r="444" spans="1:25" ht="14.4" x14ac:dyDescent="0.3">
      <c r="A444" s="36" t="s">
        <v>279</v>
      </c>
      <c r="B444" s="36">
        <v>5</v>
      </c>
      <c r="C444" s="36"/>
      <c r="D444" s="36">
        <v>15</v>
      </c>
      <c r="E444" s="36" t="str">
        <f>CONCATENATE('Смета ЕР (общ) '!$A444,".",'Смета ЕР (общ) '!$B444,".",'Смета ЕР (общ) '!$D444)</f>
        <v>Р3.5.15</v>
      </c>
      <c r="F444" s="36">
        <f t="shared" si="38"/>
        <v>1</v>
      </c>
      <c r="G444" s="36"/>
      <c r="H444" s="36"/>
      <c r="I444" s="36"/>
      <c r="J444" s="36"/>
      <c r="K444" s="36"/>
      <c r="L444" s="53" t="s">
        <v>492</v>
      </c>
      <c r="M444" s="54" t="s">
        <v>40</v>
      </c>
      <c r="N444" s="39"/>
      <c r="O444" s="40">
        <v>221.85</v>
      </c>
      <c r="P444" s="40">
        <v>1541.53</v>
      </c>
      <c r="Q444" s="40">
        <f t="shared" si="39"/>
        <v>221.85</v>
      </c>
      <c r="R444" s="40">
        <f t="shared" si="39"/>
        <v>1541.53</v>
      </c>
      <c r="S444" s="40">
        <f>ROUND('Смета ЕР (общ) '!$N444*'Смета ЕР (общ) '!$Q444,2)</f>
        <v>0</v>
      </c>
      <c r="T444" s="40">
        <f>ROUND('Смета ЕР (общ) '!$N444*'Смета ЕР (общ) '!$R444,2)</f>
        <v>0</v>
      </c>
    </row>
    <row r="445" spans="1:25" ht="14.4" x14ac:dyDescent="0.3">
      <c r="A445" s="36" t="s">
        <v>279</v>
      </c>
      <c r="B445" s="36">
        <v>5</v>
      </c>
      <c r="C445" s="36"/>
      <c r="D445" s="36">
        <v>28</v>
      </c>
      <c r="E445" s="36" t="str">
        <f>CONCATENATE('Смета ЕР (общ) '!$A445,".",'Смета ЕР (общ) '!$B445,".",'Смета ЕР (общ) '!$D445)</f>
        <v>Р3.5.28</v>
      </c>
      <c r="F445" s="36">
        <f t="shared" si="38"/>
        <v>1</v>
      </c>
      <c r="G445" s="36"/>
      <c r="H445" s="36"/>
      <c r="I445" s="36"/>
      <c r="J445" s="36"/>
      <c r="K445" s="36"/>
      <c r="L445" s="53" t="s">
        <v>493</v>
      </c>
      <c r="M445" s="54" t="s">
        <v>147</v>
      </c>
      <c r="N445" s="39"/>
      <c r="O445" s="40">
        <v>302.08999999999997</v>
      </c>
      <c r="P445" s="40">
        <v>469.66</v>
      </c>
      <c r="Q445" s="40">
        <f t="shared" ref="Q445:R445" si="40">ROUND(O445-O445*$V$3,2)</f>
        <v>302.08999999999997</v>
      </c>
      <c r="R445" s="40">
        <f t="shared" si="40"/>
        <v>469.66</v>
      </c>
      <c r="S445" s="40">
        <f>ROUND('Смета ЕР (общ) '!$N445*'Смета ЕР (общ) '!$Q445,2)</f>
        <v>0</v>
      </c>
      <c r="T445" s="40">
        <f>ROUND('Смета ЕР (общ) '!$N445*'Смета ЕР (общ) '!$R445,2)</f>
        <v>0</v>
      </c>
    </row>
    <row r="446" spans="1:25" ht="14.4" x14ac:dyDescent="0.3">
      <c r="A446" s="48" t="s">
        <v>279</v>
      </c>
      <c r="B446" s="48">
        <v>6</v>
      </c>
      <c r="C446" s="48">
        <v>0</v>
      </c>
      <c r="D446" s="48">
        <v>0</v>
      </c>
      <c r="E446" s="48" t="str">
        <f>CONCATENATE('Смета ЕР (общ) '!$A446,".",'Смета ЕР (общ) '!$B446,".",C446,".",'Смета ЕР (общ) '!$D446)</f>
        <v>Р3.6.0.0</v>
      </c>
      <c r="F446" s="48">
        <f t="shared" si="38"/>
        <v>1</v>
      </c>
      <c r="G446" s="48"/>
      <c r="H446" s="48"/>
      <c r="I446" s="48"/>
      <c r="J446" s="48"/>
      <c r="K446" s="48"/>
      <c r="L446" s="49" t="s">
        <v>494</v>
      </c>
      <c r="M446" s="31"/>
      <c r="N446" s="32">
        <f>S446</f>
        <v>0</v>
      </c>
      <c r="O446" s="47"/>
      <c r="P446" s="47"/>
      <c r="Q446" s="107"/>
      <c r="R446" s="107"/>
      <c r="S446" s="107">
        <f>ROUND(S447+S472,2)</f>
        <v>0</v>
      </c>
      <c r="T446" s="107">
        <f>ROUND(T447+T472,2)</f>
        <v>0</v>
      </c>
      <c r="U446" s="101"/>
      <c r="Y446">
        <v>970186.16</v>
      </c>
    </row>
    <row r="447" spans="1:25" ht="14.4" x14ac:dyDescent="0.3">
      <c r="A447" s="90" t="s">
        <v>279</v>
      </c>
      <c r="B447" s="90">
        <v>6</v>
      </c>
      <c r="C447" s="90">
        <v>1</v>
      </c>
      <c r="D447" s="90">
        <v>0</v>
      </c>
      <c r="E447" s="90" t="str">
        <f>CONCATENATE('Смета ЕР (общ) '!$A447,".",'Смета ЕР (общ) '!$B447,".",C447,".",'Смета ЕР (общ) '!$D447)</f>
        <v>Р3.6.1.0</v>
      </c>
      <c r="F447" s="90">
        <f t="shared" si="38"/>
        <v>1</v>
      </c>
      <c r="G447" s="90"/>
      <c r="H447" s="90"/>
      <c r="I447" s="90"/>
      <c r="J447" s="90"/>
      <c r="K447" s="90"/>
      <c r="L447" s="94" t="s">
        <v>495</v>
      </c>
      <c r="M447" s="99"/>
      <c r="N447" s="87">
        <f>S447</f>
        <v>0</v>
      </c>
      <c r="O447" s="88"/>
      <c r="P447" s="88"/>
      <c r="Q447" s="93"/>
      <c r="R447" s="93"/>
      <c r="S447" s="93">
        <f>ROUND(SUM(S448:S471),2)</f>
        <v>0</v>
      </c>
      <c r="T447" s="93">
        <f>ROUND(SUM(T448:T471),2)</f>
        <v>0</v>
      </c>
      <c r="Y447">
        <v>219220.15</v>
      </c>
    </row>
    <row r="448" spans="1:25" ht="14.4" x14ac:dyDescent="0.3">
      <c r="A448" s="95" t="s">
        <v>279</v>
      </c>
      <c r="B448" s="95">
        <v>6</v>
      </c>
      <c r="C448" s="95">
        <v>1</v>
      </c>
      <c r="D448" s="95">
        <v>1</v>
      </c>
      <c r="E448" s="95" t="str">
        <f>CONCATENATE('Смета ЕР (общ) '!$A448,".",'Смета ЕР (общ) '!$B448,".",C448,".",'Смета ЕР (общ) '!$D448)</f>
        <v>Р3.6.1.1</v>
      </c>
      <c r="F448" s="95">
        <f t="shared" si="38"/>
        <v>1</v>
      </c>
      <c r="G448" s="95"/>
      <c r="H448" s="95"/>
      <c r="I448" s="95"/>
      <c r="J448" s="95"/>
      <c r="K448" s="95"/>
      <c r="L448" s="96" t="s">
        <v>496</v>
      </c>
      <c r="M448" s="38" t="s">
        <v>144</v>
      </c>
      <c r="N448" s="39"/>
      <c r="O448" s="40">
        <v>1306.25</v>
      </c>
      <c r="P448" s="40">
        <v>4008.65</v>
      </c>
      <c r="Q448" s="40">
        <f t="shared" ref="Q448:R471" si="41">ROUND(O448-O448*$V$3,2)</f>
        <v>1306.25</v>
      </c>
      <c r="R448" s="40">
        <f t="shared" si="41"/>
        <v>4008.65</v>
      </c>
      <c r="S448" s="40">
        <f>ROUND('Смета ЕР (общ) '!$N448*'Смета ЕР (общ) '!$Q448,2)</f>
        <v>0</v>
      </c>
      <c r="T448" s="40">
        <f>ROUND('Смета ЕР (общ) '!$N448*'Смета ЕР (общ) '!$R448,2)</f>
        <v>0</v>
      </c>
      <c r="U448" s="108"/>
    </row>
    <row r="449" spans="1:25" ht="24" x14ac:dyDescent="0.3">
      <c r="A449" s="36" t="s">
        <v>279</v>
      </c>
      <c r="B449" s="36">
        <v>6</v>
      </c>
      <c r="C449" s="36">
        <v>1</v>
      </c>
      <c r="D449" s="36">
        <v>2</v>
      </c>
      <c r="E449" s="36" t="str">
        <f>CONCATENATE('Смета ЕР (общ) '!$A449,".",'Смета ЕР (общ) '!$B449,".",C449,".",'Смета ЕР (общ) '!$D449)</f>
        <v>Р3.6.1.2</v>
      </c>
      <c r="F449" s="36">
        <f t="shared" si="38"/>
        <v>1</v>
      </c>
      <c r="G449" s="36"/>
      <c r="H449" s="36"/>
      <c r="I449" s="36"/>
      <c r="J449" s="36"/>
      <c r="K449" s="36"/>
      <c r="L449" s="37" t="s">
        <v>497</v>
      </c>
      <c r="M449" s="54" t="s">
        <v>40</v>
      </c>
      <c r="N449" s="39"/>
      <c r="O449" s="40">
        <v>652.5</v>
      </c>
      <c r="P449" s="40">
        <v>163.28</v>
      </c>
      <c r="Q449" s="40">
        <f t="shared" si="41"/>
        <v>652.5</v>
      </c>
      <c r="R449" s="40">
        <f t="shared" si="41"/>
        <v>163.28</v>
      </c>
      <c r="S449" s="40">
        <f>ROUND('Смета ЕР (общ) '!$N449*'Смета ЕР (общ) '!$Q449,2)</f>
        <v>0</v>
      </c>
      <c r="T449" s="40">
        <f>ROUND('Смета ЕР (общ) '!$N449*'Смета ЕР (общ) '!$R449,2)</f>
        <v>0</v>
      </c>
    </row>
    <row r="450" spans="1:25" ht="24" x14ac:dyDescent="0.3">
      <c r="A450" s="95" t="s">
        <v>279</v>
      </c>
      <c r="B450" s="95">
        <v>6</v>
      </c>
      <c r="C450" s="95">
        <v>1</v>
      </c>
      <c r="D450" s="95">
        <v>3</v>
      </c>
      <c r="E450" s="95" t="str">
        <f>CONCATENATE('Смета ЕР (общ) '!$A450,".",'Смета ЕР (общ) '!$B450,".",C450,".",'Смета ЕР (общ) '!$D450)</f>
        <v>Р3.6.1.3</v>
      </c>
      <c r="F450" s="95">
        <f t="shared" si="38"/>
        <v>1</v>
      </c>
      <c r="G450" s="95"/>
      <c r="H450" s="95"/>
      <c r="I450" s="95"/>
      <c r="J450" s="95"/>
      <c r="K450" s="95"/>
      <c r="L450" s="96" t="s">
        <v>498</v>
      </c>
      <c r="M450" s="102" t="s">
        <v>40</v>
      </c>
      <c r="N450" s="39"/>
      <c r="O450" s="40">
        <v>761.25</v>
      </c>
      <c r="P450" s="40">
        <v>443.73</v>
      </c>
      <c r="Q450" s="40">
        <f t="shared" si="41"/>
        <v>761.25</v>
      </c>
      <c r="R450" s="40">
        <f t="shared" si="41"/>
        <v>443.73</v>
      </c>
      <c r="S450" s="40">
        <f>ROUND('Смета ЕР (общ) '!$N450*'Смета ЕР (общ) '!$Q450,2)</f>
        <v>0</v>
      </c>
      <c r="T450" s="40">
        <f>ROUND('Смета ЕР (общ) '!$N450*'Смета ЕР (общ) '!$R450,2)</f>
        <v>0</v>
      </c>
      <c r="Y450">
        <v>214</v>
      </c>
    </row>
    <row r="451" spans="1:25" ht="14.4" x14ac:dyDescent="0.3">
      <c r="A451" s="36" t="s">
        <v>279</v>
      </c>
      <c r="B451" s="36">
        <v>6</v>
      </c>
      <c r="C451" s="36">
        <v>1</v>
      </c>
      <c r="D451" s="36">
        <v>4</v>
      </c>
      <c r="E451" s="36" t="str">
        <f>CONCATENATE('Смета ЕР (общ) '!$A451,".",'Смета ЕР (общ) '!$B451,".",C451,".",'Смета ЕР (общ) '!$D451)</f>
        <v>Р3.6.1.4</v>
      </c>
      <c r="F451" s="36">
        <f t="shared" si="38"/>
        <v>1</v>
      </c>
      <c r="G451" s="36"/>
      <c r="H451" s="36"/>
      <c r="I451" s="36"/>
      <c r="J451" s="36"/>
      <c r="K451" s="36"/>
      <c r="L451" s="37" t="s">
        <v>499</v>
      </c>
      <c r="M451" s="54" t="s">
        <v>40</v>
      </c>
      <c r="N451" s="39"/>
      <c r="O451" s="40">
        <v>634.67999999999995</v>
      </c>
      <c r="P451" s="40">
        <v>389.37</v>
      </c>
      <c r="Q451" s="40">
        <f t="shared" si="41"/>
        <v>634.67999999999995</v>
      </c>
      <c r="R451" s="40">
        <f t="shared" si="41"/>
        <v>389.37</v>
      </c>
      <c r="S451" s="40">
        <f>ROUND('Смета ЕР (общ) '!$N451*'Смета ЕР (общ) '!$Q451,2)</f>
        <v>0</v>
      </c>
      <c r="T451" s="40">
        <f>ROUND('Смета ЕР (общ) '!$N451*'Смета ЕР (общ) '!$R451,2)</f>
        <v>0</v>
      </c>
    </row>
    <row r="452" spans="1:25" ht="14.4" x14ac:dyDescent="0.3">
      <c r="A452" s="36" t="s">
        <v>279</v>
      </c>
      <c r="B452" s="36">
        <v>6</v>
      </c>
      <c r="C452" s="36">
        <v>1</v>
      </c>
      <c r="D452" s="36">
        <v>5</v>
      </c>
      <c r="E452" s="36" t="str">
        <f>CONCATENATE('Смета ЕР (общ) '!$A452,".",'Смета ЕР (общ) '!$B452,".",C452,".",'Смета ЕР (общ) '!$D452)</f>
        <v>Р3.6.1.5</v>
      </c>
      <c r="F452" s="36">
        <f t="shared" si="38"/>
        <v>1</v>
      </c>
      <c r="G452" s="36"/>
      <c r="H452" s="36"/>
      <c r="I452" s="36"/>
      <c r="J452" s="36"/>
      <c r="K452" s="36"/>
      <c r="L452" s="37" t="s">
        <v>500</v>
      </c>
      <c r="M452" s="38" t="s">
        <v>40</v>
      </c>
      <c r="N452" s="39"/>
      <c r="O452" s="40">
        <v>172.26</v>
      </c>
      <c r="P452" s="40">
        <v>210</v>
      </c>
      <c r="Q452" s="40">
        <f t="shared" si="41"/>
        <v>172.26</v>
      </c>
      <c r="R452" s="40">
        <f t="shared" si="41"/>
        <v>210</v>
      </c>
      <c r="S452" s="40">
        <f>ROUND('Смета ЕР (общ) '!$N452*'Смета ЕР (общ) '!$Q452,2)</f>
        <v>0</v>
      </c>
      <c r="T452" s="40">
        <f>ROUND('Смета ЕР (общ) '!$N452*'Смета ЕР (общ) '!$R452,2)</f>
        <v>0</v>
      </c>
    </row>
    <row r="453" spans="1:25" ht="14.4" x14ac:dyDescent="0.3">
      <c r="A453" s="36" t="s">
        <v>279</v>
      </c>
      <c r="B453" s="36">
        <v>6</v>
      </c>
      <c r="C453" s="36">
        <v>1</v>
      </c>
      <c r="D453" s="36">
        <v>6</v>
      </c>
      <c r="E453" s="36" t="str">
        <f>CONCATENATE('Смета ЕР (общ) '!$A453,".",'Смета ЕР (общ) '!$B453,".",C453,".",'Смета ЕР (общ) '!$D453)</f>
        <v>Р3.6.1.6</v>
      </c>
      <c r="F453" s="36">
        <f t="shared" si="38"/>
        <v>1</v>
      </c>
      <c r="G453" s="36"/>
      <c r="H453" s="36"/>
      <c r="I453" s="36"/>
      <c r="J453" s="36"/>
      <c r="K453" s="36"/>
      <c r="L453" s="37" t="s">
        <v>501</v>
      </c>
      <c r="M453" s="38" t="s">
        <v>40</v>
      </c>
      <c r="N453" s="39"/>
      <c r="O453" s="40">
        <v>65.25</v>
      </c>
      <c r="P453" s="40">
        <v>50</v>
      </c>
      <c r="Q453" s="40">
        <f t="shared" si="41"/>
        <v>65.25</v>
      </c>
      <c r="R453" s="40">
        <f t="shared" si="41"/>
        <v>50</v>
      </c>
      <c r="S453" s="40">
        <f>ROUND('Смета ЕР (общ) '!$N453*'Смета ЕР (общ) '!$Q453,2)</f>
        <v>0</v>
      </c>
      <c r="T453" s="40">
        <f>ROUND('Смета ЕР (общ) '!$N453*'Смета ЕР (общ) '!$R453,2)</f>
        <v>0</v>
      </c>
      <c r="Y453">
        <v>214</v>
      </c>
    </row>
    <row r="454" spans="1:25" ht="14.4" x14ac:dyDescent="0.3">
      <c r="A454" s="36" t="s">
        <v>279</v>
      </c>
      <c r="B454" s="36">
        <v>6</v>
      </c>
      <c r="C454" s="36">
        <v>1</v>
      </c>
      <c r="D454" s="36">
        <v>7</v>
      </c>
      <c r="E454" s="36" t="str">
        <f>CONCATENATE('Смета ЕР (общ) '!$A454,".",'Смета ЕР (общ) '!$B454,".",C454,".",'Смета ЕР (общ) '!$D454)</f>
        <v>Р3.6.1.7</v>
      </c>
      <c r="F454" s="36">
        <f t="shared" si="38"/>
        <v>1</v>
      </c>
      <c r="G454" s="36"/>
      <c r="H454" s="36"/>
      <c r="I454" s="36"/>
      <c r="J454" s="36"/>
      <c r="K454" s="36"/>
      <c r="L454" s="37" t="s">
        <v>502</v>
      </c>
      <c r="M454" s="38" t="s">
        <v>40</v>
      </c>
      <c r="N454" s="39"/>
      <c r="O454" s="40">
        <v>81.430000000000007</v>
      </c>
      <c r="P454" s="40">
        <v>52.35</v>
      </c>
      <c r="Q454" s="40">
        <f t="shared" si="41"/>
        <v>81.430000000000007</v>
      </c>
      <c r="R454" s="40">
        <f t="shared" si="41"/>
        <v>52.35</v>
      </c>
      <c r="S454" s="40">
        <f>ROUND('Смета ЕР (общ) '!$N454*'Смета ЕР (общ) '!$Q454,2)</f>
        <v>0</v>
      </c>
      <c r="T454" s="40">
        <f>ROUND('Смета ЕР (общ) '!$N454*'Смета ЕР (общ) '!$R454,2)</f>
        <v>0</v>
      </c>
      <c r="Y454">
        <v>214</v>
      </c>
    </row>
    <row r="455" spans="1:25" ht="24" x14ac:dyDescent="0.3">
      <c r="A455" s="36" t="s">
        <v>279</v>
      </c>
      <c r="B455" s="36">
        <v>6</v>
      </c>
      <c r="C455" s="36">
        <v>1</v>
      </c>
      <c r="D455" s="36">
        <v>8</v>
      </c>
      <c r="E455" s="36" t="str">
        <f>CONCATENATE('Смета ЕР (общ) '!$A455,".",'Смета ЕР (общ) '!$B455,".",C455,".",'Смета ЕР (общ) '!$D455)</f>
        <v>Р3.6.1.8</v>
      </c>
      <c r="F455" s="36">
        <f t="shared" si="38"/>
        <v>1</v>
      </c>
      <c r="G455" s="36"/>
      <c r="H455" s="36"/>
      <c r="I455" s="36"/>
      <c r="J455" s="36"/>
      <c r="K455" s="36"/>
      <c r="L455" s="53" t="s">
        <v>503</v>
      </c>
      <c r="M455" s="38" t="s">
        <v>40</v>
      </c>
      <c r="N455" s="39"/>
      <c r="O455" s="40">
        <v>478.5</v>
      </c>
      <c r="P455" s="40">
        <v>755.96</v>
      </c>
      <c r="Q455" s="40">
        <f t="shared" si="41"/>
        <v>478.5</v>
      </c>
      <c r="R455" s="40">
        <f t="shared" si="41"/>
        <v>755.96</v>
      </c>
      <c r="S455" s="40">
        <f>ROUND('Смета ЕР (общ) '!$N455*'Смета ЕР (общ) '!$Q455,2)</f>
        <v>0</v>
      </c>
      <c r="T455" s="40">
        <f>ROUND('Смета ЕР (общ) '!$N455*'Смета ЕР (общ) '!$R455,2)</f>
        <v>0</v>
      </c>
      <c r="Y455">
        <v>3.35</v>
      </c>
    </row>
    <row r="456" spans="1:25" ht="24" x14ac:dyDescent="0.3">
      <c r="A456" s="36"/>
      <c r="B456" s="36"/>
      <c r="C456" s="36"/>
      <c r="D456" s="36"/>
      <c r="E456" s="36"/>
      <c r="F456" s="36">
        <v>1</v>
      </c>
      <c r="G456" s="36"/>
      <c r="H456" s="36"/>
      <c r="I456" s="36"/>
      <c r="J456" s="36"/>
      <c r="K456" s="36"/>
      <c r="L456" s="53" t="s">
        <v>504</v>
      </c>
      <c r="M456" s="38" t="s">
        <v>40</v>
      </c>
      <c r="N456" s="39"/>
      <c r="O456" s="109">
        <v>0</v>
      </c>
      <c r="P456" s="109">
        <v>0</v>
      </c>
      <c r="Q456" s="40">
        <f>ROUND(O456-O456*$V$3,2)</f>
        <v>0</v>
      </c>
      <c r="R456" s="40">
        <f t="shared" si="41"/>
        <v>0</v>
      </c>
      <c r="S456" s="39">
        <f>O456*N456</f>
        <v>0</v>
      </c>
      <c r="T456" s="39">
        <f>P456*N456</f>
        <v>0</v>
      </c>
    </row>
    <row r="457" spans="1:25" ht="14.4" x14ac:dyDescent="0.3">
      <c r="A457" s="36"/>
      <c r="B457" s="36"/>
      <c r="C457" s="36"/>
      <c r="D457" s="36"/>
      <c r="E457" s="36"/>
      <c r="F457" s="36">
        <f t="shared" ref="F457:F462" si="42">IF(N457&gt;0,F456+1,F456)</f>
        <v>1</v>
      </c>
      <c r="G457" s="36"/>
      <c r="H457" s="36"/>
      <c r="I457" s="36"/>
      <c r="J457" s="36"/>
      <c r="K457" s="36"/>
      <c r="L457" s="53" t="s">
        <v>505</v>
      </c>
      <c r="M457" s="38" t="s">
        <v>40</v>
      </c>
      <c r="N457" s="39"/>
      <c r="O457" s="109">
        <v>0</v>
      </c>
      <c r="P457" s="109">
        <v>0</v>
      </c>
      <c r="Q457" s="40">
        <f t="shared" ref="Q457:Q466" si="43">ROUND(O457-O457*$V$3,2)</f>
        <v>0</v>
      </c>
      <c r="R457" s="40">
        <f t="shared" si="41"/>
        <v>0</v>
      </c>
      <c r="S457" s="39">
        <f t="shared" ref="S457:S466" si="44">O457*N457</f>
        <v>0</v>
      </c>
      <c r="T457" s="39">
        <f t="shared" ref="T457:T466" si="45">P457*N457</f>
        <v>0</v>
      </c>
    </row>
    <row r="458" spans="1:25" ht="24" x14ac:dyDescent="0.3">
      <c r="A458" s="36"/>
      <c r="B458" s="36"/>
      <c r="C458" s="36"/>
      <c r="D458" s="36"/>
      <c r="E458" s="36"/>
      <c r="F458" s="36">
        <f t="shared" si="42"/>
        <v>1</v>
      </c>
      <c r="G458" s="36"/>
      <c r="H458" s="36"/>
      <c r="I458" s="36"/>
      <c r="J458" s="36"/>
      <c r="K458" s="36"/>
      <c r="L458" s="53" t="s">
        <v>506</v>
      </c>
      <c r="M458" s="38" t="s">
        <v>40</v>
      </c>
      <c r="N458" s="39"/>
      <c r="O458" s="109">
        <v>0</v>
      </c>
      <c r="P458" s="109">
        <v>0</v>
      </c>
      <c r="Q458" s="40">
        <f t="shared" si="43"/>
        <v>0</v>
      </c>
      <c r="R458" s="40">
        <f t="shared" si="41"/>
        <v>0</v>
      </c>
      <c r="S458" s="39">
        <f t="shared" si="44"/>
        <v>0</v>
      </c>
      <c r="T458" s="39">
        <f t="shared" si="45"/>
        <v>0</v>
      </c>
    </row>
    <row r="459" spans="1:25" ht="14.4" x14ac:dyDescent="0.3">
      <c r="A459" s="36"/>
      <c r="B459" s="36"/>
      <c r="C459" s="36"/>
      <c r="D459" s="36"/>
      <c r="E459" s="36"/>
      <c r="F459" s="36">
        <f t="shared" si="42"/>
        <v>1</v>
      </c>
      <c r="G459" s="36"/>
      <c r="H459" s="36"/>
      <c r="I459" s="36"/>
      <c r="J459" s="36"/>
      <c r="K459" s="36"/>
      <c r="L459" s="53" t="s">
        <v>507</v>
      </c>
      <c r="M459" s="38" t="s">
        <v>40</v>
      </c>
      <c r="N459" s="39"/>
      <c r="O459" s="109">
        <v>0</v>
      </c>
      <c r="P459" s="109">
        <v>0</v>
      </c>
      <c r="Q459" s="40">
        <f t="shared" si="43"/>
        <v>0</v>
      </c>
      <c r="R459" s="40">
        <f t="shared" si="41"/>
        <v>0</v>
      </c>
      <c r="S459" s="39">
        <f t="shared" si="44"/>
        <v>0</v>
      </c>
      <c r="T459" s="39">
        <f t="shared" si="45"/>
        <v>0</v>
      </c>
    </row>
    <row r="460" spans="1:25" ht="48" x14ac:dyDescent="0.3">
      <c r="A460" s="36"/>
      <c r="B460" s="36"/>
      <c r="C460" s="36"/>
      <c r="D460" s="36"/>
      <c r="E460" s="36"/>
      <c r="F460" s="36">
        <f t="shared" si="42"/>
        <v>1</v>
      </c>
      <c r="G460" s="36"/>
      <c r="H460" s="36"/>
      <c r="I460" s="36"/>
      <c r="J460" s="36"/>
      <c r="K460" s="36"/>
      <c r="L460" s="53" t="s">
        <v>508</v>
      </c>
      <c r="M460" s="38" t="s">
        <v>144</v>
      </c>
      <c r="N460" s="39"/>
      <c r="O460" s="109">
        <v>0</v>
      </c>
      <c r="P460" s="109">
        <v>0</v>
      </c>
      <c r="Q460" s="40">
        <f t="shared" si="43"/>
        <v>0</v>
      </c>
      <c r="R460" s="40">
        <f t="shared" si="41"/>
        <v>0</v>
      </c>
      <c r="S460" s="39">
        <f t="shared" si="44"/>
        <v>0</v>
      </c>
      <c r="T460" s="39">
        <f t="shared" si="45"/>
        <v>0</v>
      </c>
    </row>
    <row r="461" spans="1:25" ht="24" x14ac:dyDescent="0.3">
      <c r="A461" s="36"/>
      <c r="B461" s="36"/>
      <c r="C461" s="36"/>
      <c r="D461" s="36"/>
      <c r="E461" s="36"/>
      <c r="F461" s="36">
        <f t="shared" si="42"/>
        <v>1</v>
      </c>
      <c r="G461" s="36"/>
      <c r="H461" s="36"/>
      <c r="I461" s="36"/>
      <c r="J461" s="36"/>
      <c r="K461" s="36"/>
      <c r="L461" s="53" t="s">
        <v>509</v>
      </c>
      <c r="M461" s="38" t="s">
        <v>40</v>
      </c>
      <c r="N461" s="39"/>
      <c r="O461" s="109">
        <v>0</v>
      </c>
      <c r="P461" s="109">
        <v>0</v>
      </c>
      <c r="Q461" s="40">
        <f t="shared" si="43"/>
        <v>0</v>
      </c>
      <c r="R461" s="40">
        <f t="shared" si="41"/>
        <v>0</v>
      </c>
      <c r="S461" s="39">
        <f t="shared" si="44"/>
        <v>0</v>
      </c>
      <c r="T461" s="39">
        <f t="shared" si="45"/>
        <v>0</v>
      </c>
    </row>
    <row r="462" spans="1:25" ht="36" x14ac:dyDescent="0.3">
      <c r="A462" s="36"/>
      <c r="B462" s="36"/>
      <c r="C462" s="36"/>
      <c r="D462" s="36"/>
      <c r="E462" s="36"/>
      <c r="F462" s="36">
        <f t="shared" si="42"/>
        <v>1</v>
      </c>
      <c r="G462" s="36"/>
      <c r="H462" s="36"/>
      <c r="I462" s="36"/>
      <c r="J462" s="36"/>
      <c r="K462" s="36"/>
      <c r="L462" s="53" t="s">
        <v>510</v>
      </c>
      <c r="M462" s="38" t="s">
        <v>40</v>
      </c>
      <c r="N462" s="39"/>
      <c r="O462" s="109">
        <v>0</v>
      </c>
      <c r="P462" s="109">
        <v>0</v>
      </c>
      <c r="Q462" s="40">
        <f t="shared" si="43"/>
        <v>0</v>
      </c>
      <c r="R462" s="40">
        <f t="shared" si="41"/>
        <v>0</v>
      </c>
      <c r="S462" s="39">
        <f t="shared" si="44"/>
        <v>0</v>
      </c>
      <c r="T462" s="39">
        <f t="shared" si="45"/>
        <v>0</v>
      </c>
    </row>
    <row r="463" spans="1:25" ht="14.4" x14ac:dyDescent="0.3">
      <c r="A463" s="36"/>
      <c r="B463" s="36"/>
      <c r="C463" s="36"/>
      <c r="D463" s="36"/>
      <c r="E463" s="36"/>
      <c r="F463" s="36">
        <f t="shared" si="38"/>
        <v>1</v>
      </c>
      <c r="G463" s="36"/>
      <c r="H463" s="36"/>
      <c r="I463" s="36"/>
      <c r="J463" s="36"/>
      <c r="K463" s="36"/>
      <c r="L463" s="53" t="s">
        <v>511</v>
      </c>
      <c r="M463" s="38" t="s">
        <v>40</v>
      </c>
      <c r="N463" s="39"/>
      <c r="O463" s="109">
        <v>0</v>
      </c>
      <c r="P463" s="109">
        <v>0</v>
      </c>
      <c r="Q463" s="40">
        <f t="shared" si="43"/>
        <v>0</v>
      </c>
      <c r="R463" s="40">
        <f t="shared" si="41"/>
        <v>0</v>
      </c>
      <c r="S463" s="39">
        <f t="shared" si="44"/>
        <v>0</v>
      </c>
      <c r="T463" s="39">
        <f t="shared" si="45"/>
        <v>0</v>
      </c>
    </row>
    <row r="464" spans="1:25" ht="24" x14ac:dyDescent="0.3">
      <c r="A464" s="36"/>
      <c r="B464" s="36"/>
      <c r="C464" s="36"/>
      <c r="D464" s="36"/>
      <c r="E464" s="36"/>
      <c r="F464" s="36">
        <f t="shared" si="38"/>
        <v>1</v>
      </c>
      <c r="G464" s="36"/>
      <c r="H464" s="36"/>
      <c r="I464" s="36"/>
      <c r="J464" s="36"/>
      <c r="K464" s="36"/>
      <c r="L464" s="53" t="s">
        <v>512</v>
      </c>
      <c r="M464" s="38" t="s">
        <v>40</v>
      </c>
      <c r="N464" s="39"/>
      <c r="O464" s="109">
        <v>0</v>
      </c>
      <c r="P464" s="109">
        <v>0</v>
      </c>
      <c r="Q464" s="40">
        <f t="shared" si="43"/>
        <v>0</v>
      </c>
      <c r="R464" s="40">
        <f t="shared" si="41"/>
        <v>0</v>
      </c>
      <c r="S464" s="39">
        <f t="shared" si="44"/>
        <v>0</v>
      </c>
      <c r="T464" s="39">
        <f t="shared" si="45"/>
        <v>0</v>
      </c>
    </row>
    <row r="465" spans="1:25" ht="14.4" x14ac:dyDescent="0.3">
      <c r="A465" s="36"/>
      <c r="B465" s="36"/>
      <c r="C465" s="36"/>
      <c r="D465" s="36"/>
      <c r="E465" s="36"/>
      <c r="F465" s="36">
        <f t="shared" ref="F465:F528" si="46">IF(N465&gt;0,F464+1,F464)</f>
        <v>1</v>
      </c>
      <c r="G465" s="36"/>
      <c r="H465" s="36"/>
      <c r="I465" s="36"/>
      <c r="J465" s="36"/>
      <c r="K465" s="36"/>
      <c r="L465" s="53" t="s">
        <v>513</v>
      </c>
      <c r="M465" s="38" t="s">
        <v>118</v>
      </c>
      <c r="N465" s="39"/>
      <c r="O465" s="109">
        <v>0</v>
      </c>
      <c r="P465" s="109">
        <v>0</v>
      </c>
      <c r="Q465" s="40">
        <f t="shared" si="43"/>
        <v>0</v>
      </c>
      <c r="R465" s="40">
        <f t="shared" si="41"/>
        <v>0</v>
      </c>
      <c r="S465" s="39">
        <f t="shared" si="44"/>
        <v>0</v>
      </c>
      <c r="T465" s="39">
        <f t="shared" si="45"/>
        <v>0</v>
      </c>
    </row>
    <row r="466" spans="1:25" ht="14.4" x14ac:dyDescent="0.3">
      <c r="A466" s="36"/>
      <c r="B466" s="36"/>
      <c r="C466" s="36"/>
      <c r="D466" s="36"/>
      <c r="E466" s="36"/>
      <c r="F466" s="36">
        <f t="shared" si="46"/>
        <v>1</v>
      </c>
      <c r="G466" s="36"/>
      <c r="H466" s="36"/>
      <c r="I466" s="36"/>
      <c r="J466" s="36"/>
      <c r="K466" s="36"/>
      <c r="L466" s="53" t="s">
        <v>514</v>
      </c>
      <c r="M466" s="38" t="s">
        <v>147</v>
      </c>
      <c r="N466" s="39"/>
      <c r="O466" s="109">
        <v>0</v>
      </c>
      <c r="P466" s="109">
        <v>0</v>
      </c>
      <c r="Q466" s="40">
        <f t="shared" si="43"/>
        <v>0</v>
      </c>
      <c r="R466" s="40">
        <f t="shared" si="41"/>
        <v>0</v>
      </c>
      <c r="S466" s="39">
        <f t="shared" si="44"/>
        <v>0</v>
      </c>
      <c r="T466" s="39">
        <f t="shared" si="45"/>
        <v>0</v>
      </c>
    </row>
    <row r="467" spans="1:25" ht="14.4" x14ac:dyDescent="0.3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53"/>
      <c r="M467" s="38"/>
      <c r="N467" s="39"/>
      <c r="O467" s="39"/>
      <c r="P467" s="39"/>
      <c r="Q467" s="39"/>
      <c r="R467" s="39"/>
      <c r="S467" s="39"/>
      <c r="T467" s="39"/>
    </row>
    <row r="468" spans="1:25" ht="14.4" x14ac:dyDescent="0.3">
      <c r="A468" s="36" t="s">
        <v>279</v>
      </c>
      <c r="B468" s="36">
        <v>6</v>
      </c>
      <c r="C468" s="36">
        <v>1</v>
      </c>
      <c r="D468" s="36">
        <v>9</v>
      </c>
      <c r="E468" s="36" t="str">
        <f>CONCATENATE('Смета ЕР (общ) '!$A468,".",'Смета ЕР (общ) '!$B468,".",C468,".",'Смета ЕР (общ) '!$D468)</f>
        <v>Р3.6.1.9</v>
      </c>
      <c r="F468" s="36">
        <f>IF(N468&gt;0,F464+1,F464)</f>
        <v>1</v>
      </c>
      <c r="G468" s="36"/>
      <c r="H468" s="36"/>
      <c r="I468" s="36"/>
      <c r="J468" s="36"/>
      <c r="K468" s="36"/>
      <c r="L468" s="37" t="s">
        <v>515</v>
      </c>
      <c r="M468" s="54" t="s">
        <v>144</v>
      </c>
      <c r="N468" s="39"/>
      <c r="O468" s="40">
        <v>7464.6</v>
      </c>
      <c r="P468" s="40">
        <v>17780.63</v>
      </c>
      <c r="Q468" s="40">
        <f t="shared" si="41"/>
        <v>7464.6</v>
      </c>
      <c r="R468" s="40">
        <f t="shared" si="41"/>
        <v>17780.63</v>
      </c>
      <c r="S468" s="40">
        <f>ROUND('Смета ЕР (общ) '!$N468*'Смета ЕР (общ) '!$Q468,2)</f>
        <v>0</v>
      </c>
      <c r="T468" s="40">
        <f>ROUND('Смета ЕР (общ) '!$N468*'Смета ЕР (общ) '!$R468,2)</f>
        <v>0</v>
      </c>
      <c r="U468" s="35" t="s">
        <v>516</v>
      </c>
      <c r="Y468">
        <v>0.4200000000000001</v>
      </c>
    </row>
    <row r="469" spans="1:25" ht="14.4" x14ac:dyDescent="0.3">
      <c r="A469" s="36" t="s">
        <v>279</v>
      </c>
      <c r="B469" s="36">
        <v>6</v>
      </c>
      <c r="C469" s="36">
        <v>1</v>
      </c>
      <c r="D469" s="36">
        <v>10</v>
      </c>
      <c r="E469" s="36" t="str">
        <f>CONCATENATE('Смета ЕР (общ) '!$A469,".",'Смета ЕР (общ) '!$B469,".",C469,".",'Смета ЕР (общ) '!$D469)</f>
        <v>Р3.6.1.10</v>
      </c>
      <c r="F469" s="36">
        <f t="shared" si="46"/>
        <v>1</v>
      </c>
      <c r="G469" s="36"/>
      <c r="H469" s="36"/>
      <c r="I469" s="36"/>
      <c r="J469" s="36"/>
      <c r="K469" s="36"/>
      <c r="L469" s="37" t="s">
        <v>517</v>
      </c>
      <c r="M469" s="54" t="s">
        <v>147</v>
      </c>
      <c r="N469" s="39"/>
      <c r="O469" s="40">
        <v>407.16</v>
      </c>
      <c r="P469" s="40">
        <v>248.93</v>
      </c>
      <c r="Q469" s="40">
        <f t="shared" si="41"/>
        <v>407.16</v>
      </c>
      <c r="R469" s="40">
        <f t="shared" si="41"/>
        <v>248.93</v>
      </c>
      <c r="S469" s="40">
        <f>ROUND('Смета ЕР (общ) '!$N469*'Смета ЕР (общ) '!$Q469,2)</f>
        <v>0</v>
      </c>
      <c r="T469" s="40">
        <f>ROUND('Смета ЕР (общ) '!$N469*'Смета ЕР (общ) '!$R469,2)</f>
        <v>0</v>
      </c>
      <c r="U469" s="35" t="s">
        <v>516</v>
      </c>
      <c r="Y469">
        <v>21</v>
      </c>
    </row>
    <row r="470" spans="1:25" ht="14.4" x14ac:dyDescent="0.3">
      <c r="A470" s="36" t="s">
        <v>279</v>
      </c>
      <c r="B470" s="36">
        <v>6</v>
      </c>
      <c r="C470" s="36">
        <v>1</v>
      </c>
      <c r="D470" s="36">
        <v>11</v>
      </c>
      <c r="E470" s="36" t="str">
        <f>CONCATENATE('Смета ЕР (общ) '!$A470,".",'Смета ЕР (общ) '!$B470,".",C470,".",'Смета ЕР (общ) '!$D470)</f>
        <v>Р3.6.1.11</v>
      </c>
      <c r="F470" s="36">
        <f t="shared" si="46"/>
        <v>1</v>
      </c>
      <c r="G470" s="36"/>
      <c r="H470" s="36"/>
      <c r="I470" s="36"/>
      <c r="J470" s="36"/>
      <c r="K470" s="36"/>
      <c r="L470" s="37" t="s">
        <v>518</v>
      </c>
      <c r="M470" s="54" t="s">
        <v>40</v>
      </c>
      <c r="N470" s="39"/>
      <c r="O470" s="40">
        <v>646.37</v>
      </c>
      <c r="P470" s="40">
        <v>905.24</v>
      </c>
      <c r="Q470" s="40">
        <f t="shared" si="41"/>
        <v>646.37</v>
      </c>
      <c r="R470" s="40">
        <f t="shared" si="41"/>
        <v>905.24</v>
      </c>
      <c r="S470" s="40">
        <f>ROUND('Смета ЕР (общ) '!$N470*'Смета ЕР (общ) '!$Q470,2)</f>
        <v>0</v>
      </c>
      <c r="T470" s="40">
        <f>ROUND('Смета ЕР (общ) '!$N470*'Смета ЕР (общ) '!$R470,2)</f>
        <v>0</v>
      </c>
      <c r="U470" s="35" t="s">
        <v>516</v>
      </c>
      <c r="Y470">
        <v>18</v>
      </c>
    </row>
    <row r="471" spans="1:25" ht="36" x14ac:dyDescent="0.3">
      <c r="A471" s="95" t="s">
        <v>279</v>
      </c>
      <c r="B471" s="95">
        <v>6</v>
      </c>
      <c r="C471" s="95">
        <v>1</v>
      </c>
      <c r="D471" s="95">
        <v>12</v>
      </c>
      <c r="E471" s="95" t="str">
        <f>CONCATENATE('Смета ЕР (общ) '!$A471,".",'Смета ЕР (общ) '!$B471,".",C471,".",'Смета ЕР (общ) '!$D471)</f>
        <v>Р3.6.1.12</v>
      </c>
      <c r="F471" s="95">
        <f t="shared" si="46"/>
        <v>1</v>
      </c>
      <c r="G471" s="95"/>
      <c r="H471" s="95"/>
      <c r="I471" s="95"/>
      <c r="J471" s="95"/>
      <c r="K471" s="95"/>
      <c r="L471" s="96" t="s">
        <v>519</v>
      </c>
      <c r="M471" s="38" t="s">
        <v>40</v>
      </c>
      <c r="N471" s="39"/>
      <c r="O471" s="40">
        <v>8160.6</v>
      </c>
      <c r="P471" s="40">
        <v>7993.13</v>
      </c>
      <c r="Q471" s="40">
        <f t="shared" si="41"/>
        <v>8160.6</v>
      </c>
      <c r="R471" s="40">
        <f t="shared" si="41"/>
        <v>7993.13</v>
      </c>
      <c r="S471" s="40">
        <f>ROUND('Смета ЕР (общ) '!$N471*'Смета ЕР (общ) '!$Q471,2)</f>
        <v>0</v>
      </c>
      <c r="T471" s="40">
        <f>ROUND('Смета ЕР (общ) '!$N471*'Смета ЕР (общ) '!$R471,2)</f>
        <v>0</v>
      </c>
    </row>
    <row r="472" spans="1:25" ht="14.4" x14ac:dyDescent="0.3">
      <c r="A472" s="84" t="s">
        <v>279</v>
      </c>
      <c r="B472" s="84">
        <v>6</v>
      </c>
      <c r="C472" s="84">
        <v>2</v>
      </c>
      <c r="D472" s="84">
        <v>0</v>
      </c>
      <c r="E472" s="84" t="str">
        <f>CONCATENATE('Смета ЕР (общ) '!$A472,".",'Смета ЕР (общ) '!$B472,".",C472,".",'Смета ЕР (общ) '!$D472)</f>
        <v>Р3.6.2.0</v>
      </c>
      <c r="F472" s="84">
        <f t="shared" si="46"/>
        <v>1</v>
      </c>
      <c r="G472" s="84"/>
      <c r="H472" s="84"/>
      <c r="I472" s="84"/>
      <c r="J472" s="84"/>
      <c r="K472" s="84"/>
      <c r="L472" s="110" t="s">
        <v>520</v>
      </c>
      <c r="M472" s="86"/>
      <c r="N472" s="87">
        <f>S472</f>
        <v>0</v>
      </c>
      <c r="O472" s="88"/>
      <c r="P472" s="88"/>
      <c r="Q472" s="89"/>
      <c r="R472" s="89"/>
      <c r="S472" s="89">
        <f>ROUND(SUM(S473:S531),2)</f>
        <v>0</v>
      </c>
      <c r="T472" s="89">
        <f>ROUND(SUM(T473:T531),2)</f>
        <v>0</v>
      </c>
      <c r="Y472">
        <v>750966.01</v>
      </c>
    </row>
    <row r="473" spans="1:25" ht="24" x14ac:dyDescent="0.3">
      <c r="A473" s="36" t="s">
        <v>279</v>
      </c>
      <c r="B473" s="36">
        <v>6</v>
      </c>
      <c r="C473" s="36">
        <v>2</v>
      </c>
      <c r="D473" s="36">
        <v>1</v>
      </c>
      <c r="E473" s="36" t="str">
        <f>CONCATENATE('Смета ЕР (общ) '!$A473,".",'Смета ЕР (общ) '!$B473,".",C473,".",'Смета ЕР (общ) '!$D473)</f>
        <v>Р3.6.2.1</v>
      </c>
      <c r="F473" s="36">
        <f t="shared" si="46"/>
        <v>1</v>
      </c>
      <c r="G473" s="36"/>
      <c r="H473" s="36"/>
      <c r="I473" s="36"/>
      <c r="J473" s="36"/>
      <c r="K473" s="36"/>
      <c r="L473" s="53" t="s">
        <v>521</v>
      </c>
      <c r="M473" s="54" t="s">
        <v>40</v>
      </c>
      <c r="N473" s="39"/>
      <c r="O473" s="40">
        <v>3048.05</v>
      </c>
      <c r="P473" s="40">
        <v>1257.54</v>
      </c>
      <c r="Q473" s="40">
        <f t="shared" ref="Q473:R503" si="47">ROUND(O473-O473*$V$3,2)</f>
        <v>3048.05</v>
      </c>
      <c r="R473" s="40">
        <f t="shared" si="47"/>
        <v>1257.54</v>
      </c>
      <c r="S473" s="40">
        <f>ROUND('Смета ЕР (общ) '!$N473*'Смета ЕР (общ) '!$Q473,2)</f>
        <v>0</v>
      </c>
      <c r="T473" s="40">
        <f>ROUND('Смета ЕР (общ) '!$N473*'Смета ЕР (общ) '!$R473,2)</f>
        <v>0</v>
      </c>
    </row>
    <row r="474" spans="1:25" ht="24" x14ac:dyDescent="0.3">
      <c r="A474" s="36" t="s">
        <v>279</v>
      </c>
      <c r="B474" s="36">
        <v>6</v>
      </c>
      <c r="C474" s="36">
        <v>2</v>
      </c>
      <c r="D474" s="36">
        <f>D473+1</f>
        <v>2</v>
      </c>
      <c r="E474" s="36" t="str">
        <f>CONCATENATE('Смета ЕР (общ) '!$A474,".",'Смета ЕР (общ) '!$B474,".",C474,".",'Смета ЕР (общ) '!$D474)</f>
        <v>Р3.6.2.2</v>
      </c>
      <c r="F474" s="36">
        <f t="shared" si="46"/>
        <v>1</v>
      </c>
      <c r="G474" s="36"/>
      <c r="H474" s="36"/>
      <c r="I474" s="36"/>
      <c r="J474" s="36"/>
      <c r="K474" s="36"/>
      <c r="L474" s="53" t="s">
        <v>522</v>
      </c>
      <c r="M474" s="54" t="s">
        <v>40</v>
      </c>
      <c r="N474" s="39"/>
      <c r="O474" s="40">
        <v>3048.05</v>
      </c>
      <c r="P474" s="40">
        <v>1289.04</v>
      </c>
      <c r="Q474" s="40">
        <f t="shared" si="47"/>
        <v>3048.05</v>
      </c>
      <c r="R474" s="40">
        <f t="shared" si="47"/>
        <v>1289.04</v>
      </c>
      <c r="S474" s="40">
        <f>ROUND('Смета ЕР (общ) '!$N474*'Смета ЕР (общ) '!$Q474,2)</f>
        <v>0</v>
      </c>
      <c r="T474" s="40">
        <f>ROUND('Смета ЕР (общ) '!$N474*'Смета ЕР (общ) '!$R474,2)</f>
        <v>0</v>
      </c>
    </row>
    <row r="475" spans="1:25" ht="24" x14ac:dyDescent="0.3">
      <c r="A475" s="36" t="s">
        <v>279</v>
      </c>
      <c r="B475" s="36">
        <v>6</v>
      </c>
      <c r="C475" s="36">
        <v>2</v>
      </c>
      <c r="D475" s="36">
        <f t="shared" ref="D475:D531" si="48">D474+1</f>
        <v>3</v>
      </c>
      <c r="E475" s="36" t="str">
        <f>CONCATENATE('Смета ЕР (общ) '!$A475,".",'Смета ЕР (общ) '!$B475,".",C475,".",'Смета ЕР (общ) '!$D475)</f>
        <v>Р3.6.2.3</v>
      </c>
      <c r="F475" s="36">
        <f t="shared" si="46"/>
        <v>1</v>
      </c>
      <c r="G475" s="36"/>
      <c r="H475" s="36"/>
      <c r="I475" s="36"/>
      <c r="J475" s="36"/>
      <c r="K475" s="36"/>
      <c r="L475" s="53" t="s">
        <v>523</v>
      </c>
      <c r="M475" s="54" t="s">
        <v>40</v>
      </c>
      <c r="N475" s="39"/>
      <c r="O475" s="40">
        <v>3048.05</v>
      </c>
      <c r="P475" s="40">
        <v>1289.04</v>
      </c>
      <c r="Q475" s="40">
        <f t="shared" si="47"/>
        <v>3048.05</v>
      </c>
      <c r="R475" s="40">
        <f t="shared" si="47"/>
        <v>1289.04</v>
      </c>
      <c r="S475" s="40">
        <f>ROUND('Смета ЕР (общ) '!$N475*'Смета ЕР (общ) '!$Q475,2)</f>
        <v>0</v>
      </c>
      <c r="T475" s="40">
        <f>ROUND('Смета ЕР (общ) '!$N475*'Смета ЕР (общ) '!$R475,2)</f>
        <v>0</v>
      </c>
    </row>
    <row r="476" spans="1:25" ht="24" x14ac:dyDescent="0.3">
      <c r="A476" s="111" t="s">
        <v>279</v>
      </c>
      <c r="B476" s="111">
        <v>6</v>
      </c>
      <c r="C476" s="111">
        <v>2</v>
      </c>
      <c r="D476" s="111">
        <f t="shared" si="48"/>
        <v>4</v>
      </c>
      <c r="E476" s="111" t="str">
        <f>CONCATENATE('Смета ЕР (общ) '!$A476,".",'Смета ЕР (общ) '!$B476,".",C476,".",'Смета ЕР (общ) '!$D476)</f>
        <v>Р3.6.2.4</v>
      </c>
      <c r="F476" s="111">
        <f t="shared" si="46"/>
        <v>1</v>
      </c>
      <c r="G476" s="111"/>
      <c r="H476" s="111"/>
      <c r="I476" s="111"/>
      <c r="J476" s="111"/>
      <c r="K476" s="111"/>
      <c r="L476" s="112" t="s">
        <v>524</v>
      </c>
      <c r="M476" s="113" t="s">
        <v>40</v>
      </c>
      <c r="N476" s="114"/>
      <c r="O476" s="40">
        <v>3048.05</v>
      </c>
      <c r="P476" s="40">
        <v>2203.5</v>
      </c>
      <c r="Q476" s="40">
        <f t="shared" si="47"/>
        <v>3048.05</v>
      </c>
      <c r="R476" s="62">
        <f t="shared" si="47"/>
        <v>2203.5</v>
      </c>
      <c r="S476" s="62">
        <f>ROUND('Смета ЕР (общ) '!$N476*'Смета ЕР (общ) '!$Q476,2)</f>
        <v>0</v>
      </c>
      <c r="T476" s="62">
        <f>ROUND('Смета ЕР (общ) '!$N476*'Смета ЕР (общ) '!$R476,2)</f>
        <v>0</v>
      </c>
    </row>
    <row r="477" spans="1:25" ht="24" x14ac:dyDescent="0.3">
      <c r="A477" s="111" t="s">
        <v>279</v>
      </c>
      <c r="B477" s="111">
        <v>6</v>
      </c>
      <c r="C477" s="111">
        <v>2</v>
      </c>
      <c r="D477" s="111">
        <f t="shared" si="48"/>
        <v>5</v>
      </c>
      <c r="E477" s="111" t="str">
        <f>CONCATENATE('Смета ЕР (общ) '!$A477,".",'Смета ЕР (общ) '!$B477,".",C477,".",'Смета ЕР (общ) '!$D477)</f>
        <v>Р3.6.2.5</v>
      </c>
      <c r="F477" s="111">
        <f t="shared" si="46"/>
        <v>1</v>
      </c>
      <c r="G477" s="111"/>
      <c r="H477" s="111"/>
      <c r="I477" s="111"/>
      <c r="J477" s="111"/>
      <c r="K477" s="111"/>
      <c r="L477" s="112" t="s">
        <v>525</v>
      </c>
      <c r="M477" s="113" t="s">
        <v>40</v>
      </c>
      <c r="N477" s="114"/>
      <c r="O477" s="40">
        <v>3048.05</v>
      </c>
      <c r="P477" s="40">
        <v>1481.13</v>
      </c>
      <c r="Q477" s="40">
        <f t="shared" si="47"/>
        <v>3048.05</v>
      </c>
      <c r="R477" s="62">
        <f t="shared" si="47"/>
        <v>1481.13</v>
      </c>
      <c r="S477" s="62">
        <f>ROUND('Смета ЕР (общ) '!$N477*'Смета ЕР (общ) '!$Q477,2)</f>
        <v>0</v>
      </c>
      <c r="T477" s="62">
        <f>ROUND('Смета ЕР (общ) '!$N477*'Смета ЕР (общ) '!$R477,2)</f>
        <v>0</v>
      </c>
    </row>
    <row r="478" spans="1:25" ht="24" x14ac:dyDescent="0.3">
      <c r="A478" s="36" t="s">
        <v>279</v>
      </c>
      <c r="B478" s="36">
        <v>6</v>
      </c>
      <c r="C478" s="36">
        <v>2</v>
      </c>
      <c r="D478" s="36">
        <f t="shared" si="48"/>
        <v>6</v>
      </c>
      <c r="E478" s="36" t="str">
        <f>CONCATENATE('Смета ЕР (общ) '!$A478,".",'Смета ЕР (общ) '!$B478,".",C478,".",'Смета ЕР (общ) '!$D478)</f>
        <v>Р3.6.2.6</v>
      </c>
      <c r="F478" s="36">
        <f t="shared" si="46"/>
        <v>1</v>
      </c>
      <c r="G478" s="36"/>
      <c r="H478" s="36"/>
      <c r="I478" s="36"/>
      <c r="J478" s="36"/>
      <c r="K478" s="36"/>
      <c r="L478" s="53" t="s">
        <v>526</v>
      </c>
      <c r="M478" s="54" t="s">
        <v>40</v>
      </c>
      <c r="N478" s="39"/>
      <c r="O478" s="40">
        <v>3048.05</v>
      </c>
      <c r="P478" s="40">
        <v>1457.54</v>
      </c>
      <c r="Q478" s="40">
        <f t="shared" si="47"/>
        <v>3048.05</v>
      </c>
      <c r="R478" s="40">
        <f t="shared" si="47"/>
        <v>1457.54</v>
      </c>
      <c r="S478" s="40">
        <f>ROUND('Смета ЕР (общ) '!$N478*'Смета ЕР (общ) '!$Q478,2)</f>
        <v>0</v>
      </c>
      <c r="T478" s="40">
        <f>ROUND('Смета ЕР (общ) '!$N478*'Смета ЕР (общ) '!$R478,2)</f>
        <v>0</v>
      </c>
    </row>
    <row r="479" spans="1:25" ht="24" x14ac:dyDescent="0.3">
      <c r="A479" s="36" t="s">
        <v>279</v>
      </c>
      <c r="B479" s="36">
        <v>6</v>
      </c>
      <c r="C479" s="36">
        <v>2</v>
      </c>
      <c r="D479" s="36">
        <f t="shared" si="48"/>
        <v>7</v>
      </c>
      <c r="E479" s="36" t="str">
        <f>CONCATENATE('Смета ЕР (общ) '!$A479,".",'Смета ЕР (общ) '!$B479,".",C479,".",'Смета ЕР (общ) '!$D479)</f>
        <v>Р3.6.2.7</v>
      </c>
      <c r="F479" s="36">
        <f t="shared" si="46"/>
        <v>1</v>
      </c>
      <c r="G479" s="36"/>
      <c r="H479" s="36"/>
      <c r="I479" s="36"/>
      <c r="J479" s="36"/>
      <c r="K479" s="36"/>
      <c r="L479" s="53" t="s">
        <v>527</v>
      </c>
      <c r="M479" s="54" t="s">
        <v>40</v>
      </c>
      <c r="N479" s="39"/>
      <c r="O479" s="40">
        <v>3048.05</v>
      </c>
      <c r="P479" s="40">
        <v>1457.54</v>
      </c>
      <c r="Q479" s="40">
        <f t="shared" si="47"/>
        <v>3048.05</v>
      </c>
      <c r="R479" s="40">
        <f t="shared" si="47"/>
        <v>1457.54</v>
      </c>
      <c r="S479" s="40">
        <f>ROUND('Смета ЕР (общ) '!$N479*'Смета ЕР (общ) '!$Q479,2)</f>
        <v>0</v>
      </c>
      <c r="T479" s="40">
        <f>ROUND('Смета ЕР (общ) '!$N479*'Смета ЕР (общ) '!$R479,2)</f>
        <v>0</v>
      </c>
    </row>
    <row r="480" spans="1:25" ht="24" x14ac:dyDescent="0.3">
      <c r="A480" s="36" t="s">
        <v>279</v>
      </c>
      <c r="B480" s="36">
        <v>6</v>
      </c>
      <c r="C480" s="36">
        <v>2</v>
      </c>
      <c r="D480" s="36">
        <f t="shared" si="48"/>
        <v>8</v>
      </c>
      <c r="E480" s="36" t="str">
        <f>CONCATENATE('Смета ЕР (общ) '!$A480,".",'Смета ЕР (общ) '!$B480,".",C480,".",'Смета ЕР (общ) '!$D480)</f>
        <v>Р3.6.2.8</v>
      </c>
      <c r="F480" s="36">
        <f t="shared" si="46"/>
        <v>1</v>
      </c>
      <c r="G480" s="36"/>
      <c r="H480" s="36"/>
      <c r="I480" s="36"/>
      <c r="J480" s="36"/>
      <c r="K480" s="36"/>
      <c r="L480" s="53" t="s">
        <v>528</v>
      </c>
      <c r="M480" s="38" t="s">
        <v>40</v>
      </c>
      <c r="N480" s="39"/>
      <c r="O480" s="40">
        <v>3048.05</v>
      </c>
      <c r="P480" s="40">
        <v>7329.99</v>
      </c>
      <c r="Q480" s="40">
        <f t="shared" si="47"/>
        <v>3048.05</v>
      </c>
      <c r="R480" s="40">
        <f t="shared" si="47"/>
        <v>7329.99</v>
      </c>
      <c r="S480" s="40">
        <f>ROUND('Смета ЕР (общ) '!$N480*'Смета ЕР (общ) '!$Q480,2)</f>
        <v>0</v>
      </c>
      <c r="T480" s="40">
        <f>ROUND('Смета ЕР (общ) '!$N480*'Смета ЕР (общ) '!$R480,2)</f>
        <v>0</v>
      </c>
    </row>
    <row r="481" spans="1:25" ht="24" x14ac:dyDescent="0.3">
      <c r="A481" s="36" t="s">
        <v>279</v>
      </c>
      <c r="B481" s="36">
        <v>6</v>
      </c>
      <c r="C481" s="36">
        <v>2</v>
      </c>
      <c r="D481" s="36">
        <f t="shared" si="48"/>
        <v>9</v>
      </c>
      <c r="E481" s="36" t="str">
        <f>CONCATENATE('Смета ЕР (общ) '!$A481,".",'Смета ЕР (общ) '!$B481,".",C481,".",'Смета ЕР (общ) '!$D481)</f>
        <v>Р3.6.2.9</v>
      </c>
      <c r="F481" s="36">
        <f t="shared" si="46"/>
        <v>1</v>
      </c>
      <c r="G481" s="36"/>
      <c r="H481" s="36"/>
      <c r="I481" s="36"/>
      <c r="J481" s="36"/>
      <c r="K481" s="36"/>
      <c r="L481" s="53" t="s">
        <v>529</v>
      </c>
      <c r="M481" s="54" t="s">
        <v>40</v>
      </c>
      <c r="N481" s="39"/>
      <c r="O481" s="40">
        <v>3048.05</v>
      </c>
      <c r="P481" s="40">
        <v>1154.72</v>
      </c>
      <c r="Q481" s="40">
        <f t="shared" si="47"/>
        <v>3048.05</v>
      </c>
      <c r="R481" s="40">
        <f t="shared" si="47"/>
        <v>1154.72</v>
      </c>
      <c r="S481" s="40">
        <f>ROUND('Смета ЕР (общ) '!$N481*'Смета ЕР (общ) '!$Q481,2)</f>
        <v>0</v>
      </c>
      <c r="T481" s="40">
        <f>ROUND('Смета ЕР (общ) '!$N481*'Смета ЕР (общ) '!$R481,2)</f>
        <v>0</v>
      </c>
    </row>
    <row r="482" spans="1:25" ht="24" x14ac:dyDescent="0.3">
      <c r="A482" s="36" t="s">
        <v>279</v>
      </c>
      <c r="B482" s="36">
        <v>6</v>
      </c>
      <c r="C482" s="36">
        <v>2</v>
      </c>
      <c r="D482" s="36">
        <f t="shared" si="48"/>
        <v>10</v>
      </c>
      <c r="E482" s="36" t="str">
        <f>CONCATENATE('Смета ЕР (общ) '!$A482,".",'Смета ЕР (общ) '!$B482,".",C482,".",'Смета ЕР (общ) '!$D482)</f>
        <v>Р3.6.2.10</v>
      </c>
      <c r="F482" s="36">
        <f t="shared" si="46"/>
        <v>1</v>
      </c>
      <c r="G482" s="36"/>
      <c r="H482" s="36"/>
      <c r="I482" s="36"/>
      <c r="J482" s="36"/>
      <c r="K482" s="36"/>
      <c r="L482" s="53" t="s">
        <v>530</v>
      </c>
      <c r="M482" s="54" t="s">
        <v>40</v>
      </c>
      <c r="N482" s="39"/>
      <c r="O482" s="40">
        <v>3048.05</v>
      </c>
      <c r="P482" s="40">
        <v>6223.62</v>
      </c>
      <c r="Q482" s="40">
        <f t="shared" si="47"/>
        <v>3048.05</v>
      </c>
      <c r="R482" s="40">
        <f t="shared" si="47"/>
        <v>6223.62</v>
      </c>
      <c r="S482" s="40">
        <f>ROUND('Смета ЕР (общ) '!$N482*'Смета ЕР (общ) '!$Q482,2)</f>
        <v>0</v>
      </c>
      <c r="T482" s="40">
        <f>ROUND('Смета ЕР (общ) '!$N482*'Смета ЕР (общ) '!$R482,2)</f>
        <v>0</v>
      </c>
    </row>
    <row r="483" spans="1:25" ht="24" x14ac:dyDescent="0.3">
      <c r="A483" s="36" t="s">
        <v>279</v>
      </c>
      <c r="B483" s="36">
        <v>6</v>
      </c>
      <c r="C483" s="36">
        <v>2</v>
      </c>
      <c r="D483" s="36">
        <f t="shared" si="48"/>
        <v>11</v>
      </c>
      <c r="E483" s="36" t="str">
        <f>CONCATENATE('Смета ЕР (общ) '!$A483,".",'Смета ЕР (общ) '!$B483,".",C483,".",'Смета ЕР (общ) '!$D483)</f>
        <v>Р3.6.2.11</v>
      </c>
      <c r="F483" s="36">
        <f t="shared" si="46"/>
        <v>1</v>
      </c>
      <c r="G483" s="36"/>
      <c r="H483" s="36"/>
      <c r="I483" s="36"/>
      <c r="J483" s="36"/>
      <c r="K483" s="36"/>
      <c r="L483" s="53" t="s">
        <v>531</v>
      </c>
      <c r="M483" s="54" t="s">
        <v>40</v>
      </c>
      <c r="N483" s="39"/>
      <c r="O483" s="40">
        <v>3048.05</v>
      </c>
      <c r="P483" s="40">
        <v>1564.64</v>
      </c>
      <c r="Q483" s="40">
        <f t="shared" si="47"/>
        <v>3048.05</v>
      </c>
      <c r="R483" s="40">
        <f t="shared" si="47"/>
        <v>1564.64</v>
      </c>
      <c r="S483" s="40">
        <f>ROUND('Смета ЕР (общ) '!$N483*'Смета ЕР (общ) '!$Q483,2)</f>
        <v>0</v>
      </c>
      <c r="T483" s="40">
        <f>ROUND('Смета ЕР (общ) '!$N483*'Смета ЕР (общ) '!$R483,2)</f>
        <v>0</v>
      </c>
    </row>
    <row r="484" spans="1:25" ht="24" x14ac:dyDescent="0.3">
      <c r="A484" s="36" t="s">
        <v>279</v>
      </c>
      <c r="B484" s="36">
        <v>6</v>
      </c>
      <c r="C484" s="36">
        <v>2</v>
      </c>
      <c r="D484" s="36">
        <f t="shared" si="48"/>
        <v>12</v>
      </c>
      <c r="E484" s="36" t="str">
        <f>CONCATENATE('Смета ЕР (общ) '!$A484,".",'Смета ЕР (общ) '!$B484,".",C484,".",'Смета ЕР (общ) '!$D484)</f>
        <v>Р3.6.2.12</v>
      </c>
      <c r="F484" s="36">
        <f t="shared" si="46"/>
        <v>1</v>
      </c>
      <c r="G484" s="36"/>
      <c r="H484" s="36"/>
      <c r="I484" s="36"/>
      <c r="J484" s="36"/>
      <c r="K484" s="36"/>
      <c r="L484" s="53" t="s">
        <v>532</v>
      </c>
      <c r="M484" s="54" t="s">
        <v>40</v>
      </c>
      <c r="N484" s="39"/>
      <c r="O484" s="40">
        <v>3048.05</v>
      </c>
      <c r="P484" s="40">
        <v>3300.44</v>
      </c>
      <c r="Q484" s="40">
        <f t="shared" si="47"/>
        <v>3048.05</v>
      </c>
      <c r="R484" s="40">
        <f t="shared" si="47"/>
        <v>3300.44</v>
      </c>
      <c r="S484" s="40">
        <f>ROUND('Смета ЕР (общ) '!$N484*'Смета ЕР (общ) '!$Q484,2)</f>
        <v>0</v>
      </c>
      <c r="T484" s="40">
        <f>ROUND('Смета ЕР (общ) '!$N484*'Смета ЕР (общ) '!$R484,2)</f>
        <v>0</v>
      </c>
      <c r="U484" s="35" t="s">
        <v>533</v>
      </c>
    </row>
    <row r="485" spans="1:25" ht="24" x14ac:dyDescent="0.3">
      <c r="A485" s="36" t="s">
        <v>279</v>
      </c>
      <c r="B485" s="36">
        <v>6</v>
      </c>
      <c r="C485" s="36">
        <v>2</v>
      </c>
      <c r="D485" s="36">
        <f t="shared" si="48"/>
        <v>13</v>
      </c>
      <c r="E485" s="36" t="str">
        <f>CONCATENATE('Смета ЕР (общ) '!$A485,".",'Смета ЕР (общ) '!$B485,".",C485,".",'Смета ЕР (общ) '!$D485)</f>
        <v>Р3.6.2.13</v>
      </c>
      <c r="F485" s="36">
        <f t="shared" si="46"/>
        <v>1</v>
      </c>
      <c r="G485" s="36"/>
      <c r="H485" s="36"/>
      <c r="I485" s="36"/>
      <c r="J485" s="36"/>
      <c r="K485" s="36"/>
      <c r="L485" s="53" t="s">
        <v>534</v>
      </c>
      <c r="M485" s="54" t="s">
        <v>40</v>
      </c>
      <c r="N485" s="39"/>
      <c r="O485" s="40">
        <v>3048.05</v>
      </c>
      <c r="P485" s="40">
        <v>1974.61</v>
      </c>
      <c r="Q485" s="40">
        <f t="shared" si="47"/>
        <v>3048.05</v>
      </c>
      <c r="R485" s="40">
        <f t="shared" si="47"/>
        <v>1974.61</v>
      </c>
      <c r="S485" s="40">
        <f>ROUND('Смета ЕР (общ) '!$N485*'Смета ЕР (общ) '!$Q485,2)</f>
        <v>0</v>
      </c>
      <c r="T485" s="40">
        <f>ROUND('Смета ЕР (общ) '!$N485*'Смета ЕР (общ) '!$R485,2)</f>
        <v>0</v>
      </c>
    </row>
    <row r="486" spans="1:25" ht="24" x14ac:dyDescent="0.3">
      <c r="A486" s="36" t="s">
        <v>279</v>
      </c>
      <c r="B486" s="36">
        <v>6</v>
      </c>
      <c r="C486" s="36">
        <v>2</v>
      </c>
      <c r="D486" s="36">
        <f t="shared" si="48"/>
        <v>14</v>
      </c>
      <c r="E486" s="36" t="str">
        <f>CONCATENATE('Смета ЕР (общ) '!$A486,".",'Смета ЕР (общ) '!$B486,".",C486,".",'Смета ЕР (общ) '!$D486)</f>
        <v>Р3.6.2.14</v>
      </c>
      <c r="F486" s="36">
        <f t="shared" si="46"/>
        <v>1</v>
      </c>
      <c r="G486" s="36"/>
      <c r="H486" s="36"/>
      <c r="I486" s="36"/>
      <c r="J486" s="36"/>
      <c r="K486" s="36"/>
      <c r="L486" s="53" t="s">
        <v>535</v>
      </c>
      <c r="M486" s="54" t="s">
        <v>40</v>
      </c>
      <c r="N486" s="39"/>
      <c r="O486" s="40">
        <v>3048.05</v>
      </c>
      <c r="P486" s="40">
        <v>2659.42</v>
      </c>
      <c r="Q486" s="40">
        <f t="shared" si="47"/>
        <v>3048.05</v>
      </c>
      <c r="R486" s="40">
        <f t="shared" si="47"/>
        <v>2659.42</v>
      </c>
      <c r="S486" s="40">
        <f>ROUND('Смета ЕР (общ) '!$N486*'Смета ЕР (общ) '!$Q486,2)</f>
        <v>0</v>
      </c>
      <c r="T486" s="40">
        <f>ROUND('Смета ЕР (общ) '!$N486*'Смета ЕР (общ) '!$R486,2)</f>
        <v>0</v>
      </c>
    </row>
    <row r="487" spans="1:25" ht="24" x14ac:dyDescent="0.3">
      <c r="A487" s="36" t="s">
        <v>279</v>
      </c>
      <c r="B487" s="36">
        <v>6</v>
      </c>
      <c r="C487" s="36">
        <v>2</v>
      </c>
      <c r="D487" s="36">
        <f t="shared" si="48"/>
        <v>15</v>
      </c>
      <c r="E487" s="36" t="str">
        <f>CONCATENATE('Смета ЕР (общ) '!$A487,".",'Смета ЕР (общ) '!$B487,".",C487,".",'Смета ЕР (общ) '!$D487)</f>
        <v>Р3.6.2.15</v>
      </c>
      <c r="F487" s="36">
        <f t="shared" si="46"/>
        <v>1</v>
      </c>
      <c r="G487" s="36"/>
      <c r="H487" s="36"/>
      <c r="I487" s="36"/>
      <c r="J487" s="36"/>
      <c r="K487" s="36"/>
      <c r="L487" s="53" t="s">
        <v>536</v>
      </c>
      <c r="M487" s="54" t="s">
        <v>40</v>
      </c>
      <c r="N487" s="39"/>
      <c r="O487" s="40">
        <v>3048.05</v>
      </c>
      <c r="P487" s="40">
        <f>'[1]Kerama Marazzi'!C9</f>
        <v>2044.7280000000003</v>
      </c>
      <c r="Q487" s="40">
        <f t="shared" si="47"/>
        <v>3048.05</v>
      </c>
      <c r="R487" s="66">
        <f>P487</f>
        <v>2044.7280000000003</v>
      </c>
      <c r="S487" s="40">
        <f>ROUND('Смета ЕР (общ) '!$N487*'Смета ЕР (общ) '!$Q487,2)</f>
        <v>0</v>
      </c>
      <c r="T487" s="40">
        <f>ROUND('Смета ЕР (общ) '!$N487*'Смета ЕР (общ) '!$R487,2)</f>
        <v>0</v>
      </c>
      <c r="U487" s="67" t="s">
        <v>537</v>
      </c>
      <c r="V487" s="68"/>
      <c r="Y487">
        <v>214</v>
      </c>
    </row>
    <row r="488" spans="1:25" ht="24.6" x14ac:dyDescent="0.3">
      <c r="A488" s="36" t="s">
        <v>279</v>
      </c>
      <c r="B488" s="36">
        <v>6</v>
      </c>
      <c r="C488" s="36">
        <v>2</v>
      </c>
      <c r="D488" s="36">
        <f t="shared" si="48"/>
        <v>16</v>
      </c>
      <c r="E488" s="36" t="str">
        <f>CONCATENATE('Смета ЕР (общ) '!$A488,".",'Смета ЕР (общ) '!$B488,".",C488,".",'Смета ЕР (общ) '!$D488)</f>
        <v>Р3.6.2.16</v>
      </c>
      <c r="F488" s="36">
        <f t="shared" si="46"/>
        <v>1</v>
      </c>
      <c r="G488" s="36"/>
      <c r="H488" s="36"/>
      <c r="I488" s="36"/>
      <c r="J488" s="36"/>
      <c r="K488" s="36"/>
      <c r="L488" s="53" t="s">
        <v>538</v>
      </c>
      <c r="M488" s="54" t="s">
        <v>40</v>
      </c>
      <c r="N488" s="39"/>
      <c r="O488" s="40">
        <v>3048.05</v>
      </c>
      <c r="P488" s="40">
        <v>1390</v>
      </c>
      <c r="Q488" s="40">
        <f t="shared" si="47"/>
        <v>3048.05</v>
      </c>
      <c r="R488" s="40">
        <f t="shared" si="47"/>
        <v>1390</v>
      </c>
      <c r="S488" s="40">
        <f>ROUND('Смета ЕР (общ) '!$N488*'Смета ЕР (общ) '!$Q488,2)</f>
        <v>0</v>
      </c>
      <c r="T488" s="40">
        <f>ROUND('Смета ЕР (общ) '!$N488*'Смета ЕР (общ) '!$R488,2)</f>
        <v>0</v>
      </c>
      <c r="U488" s="35" t="s">
        <v>539</v>
      </c>
    </row>
    <row r="489" spans="1:25" ht="24" x14ac:dyDescent="0.3">
      <c r="A489" s="36" t="s">
        <v>279</v>
      </c>
      <c r="B489" s="36">
        <v>6</v>
      </c>
      <c r="C489" s="36">
        <v>2</v>
      </c>
      <c r="D489" s="36">
        <f t="shared" si="48"/>
        <v>17</v>
      </c>
      <c r="E489" s="36" t="str">
        <f>CONCATENATE('Смета ЕР (общ) '!$A489,".",'Смета ЕР (общ) '!$B489,".",C489,".",'Смета ЕР (общ) '!$D489)</f>
        <v>Р3.6.2.17</v>
      </c>
      <c r="F489" s="36">
        <f t="shared" si="46"/>
        <v>1</v>
      </c>
      <c r="G489" s="36"/>
      <c r="H489" s="36"/>
      <c r="I489" s="36"/>
      <c r="J489" s="36"/>
      <c r="K489" s="36"/>
      <c r="L489" s="37" t="s">
        <v>540</v>
      </c>
      <c r="M489" s="38" t="s">
        <v>147</v>
      </c>
      <c r="N489" s="39"/>
      <c r="O489" s="40">
        <v>297.58</v>
      </c>
      <c r="P489" s="40">
        <v>722.82</v>
      </c>
      <c r="Q489" s="40">
        <f t="shared" si="47"/>
        <v>297.58</v>
      </c>
      <c r="R489" s="40">
        <f t="shared" si="47"/>
        <v>722.82</v>
      </c>
      <c r="S489" s="40">
        <f>ROUND('Смета ЕР (общ) '!$N489*'Смета ЕР (общ) '!$Q489,2)</f>
        <v>0</v>
      </c>
      <c r="T489" s="40">
        <f>ROUND('Смета ЕР (общ) '!$N489*'Смета ЕР (общ) '!$R489,2)</f>
        <v>0</v>
      </c>
    </row>
    <row r="490" spans="1:25" ht="24" x14ac:dyDescent="0.3">
      <c r="A490" s="58" t="s">
        <v>279</v>
      </c>
      <c r="B490" s="58">
        <v>6</v>
      </c>
      <c r="C490" s="58">
        <v>2</v>
      </c>
      <c r="D490" s="58">
        <f t="shared" si="48"/>
        <v>18</v>
      </c>
      <c r="E490" s="58" t="str">
        <f>CONCATENATE('Смета ЕР (общ) '!$A490,".",'Смета ЕР (общ) '!$B490,".",C490,".",'Смета ЕР (общ) '!$D490)</f>
        <v>Р3.6.2.18</v>
      </c>
      <c r="F490" s="58">
        <f t="shared" si="46"/>
        <v>1</v>
      </c>
      <c r="G490" s="58"/>
      <c r="H490" s="58"/>
      <c r="I490" s="58"/>
      <c r="J490" s="58"/>
      <c r="K490" s="58"/>
      <c r="L490" s="70" t="s">
        <v>541</v>
      </c>
      <c r="M490" s="60" t="s">
        <v>147</v>
      </c>
      <c r="N490" s="61"/>
      <c r="O490" s="40">
        <v>330.6</v>
      </c>
      <c r="P490" s="40">
        <v>345.95</v>
      </c>
      <c r="Q490" s="62">
        <f t="shared" si="47"/>
        <v>330.6</v>
      </c>
      <c r="R490" s="62">
        <f t="shared" si="47"/>
        <v>345.95</v>
      </c>
      <c r="S490" s="62">
        <f>ROUND('Смета ЕР (общ) '!$N490*'Смета ЕР (общ) '!$Q490,2)</f>
        <v>0</v>
      </c>
      <c r="T490" s="62">
        <f>ROUND('Смета ЕР (общ) '!$N490*'Смета ЕР (общ) '!$R490,2)</f>
        <v>0</v>
      </c>
    </row>
    <row r="491" spans="1:25" ht="24" x14ac:dyDescent="0.3">
      <c r="A491" s="58" t="s">
        <v>279</v>
      </c>
      <c r="B491" s="58">
        <v>6</v>
      </c>
      <c r="C491" s="58">
        <v>2</v>
      </c>
      <c r="D491" s="58">
        <f t="shared" si="48"/>
        <v>19</v>
      </c>
      <c r="E491" s="58" t="str">
        <f>CONCATENATE('Смета ЕР (общ) '!$A491,".",'Смета ЕР (общ) '!$B491,".",C491,".",'Смета ЕР (общ) '!$D491)</f>
        <v>Р3.6.2.19</v>
      </c>
      <c r="F491" s="58">
        <f t="shared" si="46"/>
        <v>1</v>
      </c>
      <c r="G491" s="58"/>
      <c r="H491" s="58"/>
      <c r="I491" s="58"/>
      <c r="J491" s="58"/>
      <c r="K491" s="58"/>
      <c r="L491" s="70" t="s">
        <v>542</v>
      </c>
      <c r="M491" s="38" t="s">
        <v>40</v>
      </c>
      <c r="N491" s="61"/>
      <c r="O491" s="40">
        <v>535.91999999999996</v>
      </c>
      <c r="P491" s="40">
        <f>'[1]Ковровая плитка'!F23</f>
        <v>4070.6111249999999</v>
      </c>
      <c r="Q491" s="40">
        <f t="shared" si="47"/>
        <v>535.91999999999996</v>
      </c>
      <c r="R491" s="66">
        <f>P491</f>
        <v>4070.6111249999999</v>
      </c>
      <c r="S491" s="40">
        <f>ROUND('Смета ЕР (общ) '!$N491*'Смета ЕР (общ) '!$Q491,2)</f>
        <v>0</v>
      </c>
      <c r="T491" s="62">
        <f>ROUND('Смета ЕР (общ) '!$N491*'Смета ЕР (общ) '!$R491,2)</f>
        <v>0</v>
      </c>
      <c r="U491" s="69" t="s">
        <v>543</v>
      </c>
      <c r="V491" s="68"/>
      <c r="Y491">
        <v>1</v>
      </c>
    </row>
    <row r="492" spans="1:25" ht="24" x14ac:dyDescent="0.3">
      <c r="A492" s="58" t="s">
        <v>279</v>
      </c>
      <c r="B492" s="58">
        <v>6</v>
      </c>
      <c r="C492" s="58">
        <v>2</v>
      </c>
      <c r="D492" s="58">
        <f t="shared" si="48"/>
        <v>20</v>
      </c>
      <c r="E492" s="58" t="str">
        <f>CONCATENATE('Смета ЕР (общ) '!$A492,".",'Смета ЕР (общ) '!$B492,".",C492,".",'Смета ЕР (общ) '!$D492)</f>
        <v>Р3.6.2.20</v>
      </c>
      <c r="F492" s="58">
        <f t="shared" si="46"/>
        <v>1</v>
      </c>
      <c r="G492" s="58"/>
      <c r="H492" s="58"/>
      <c r="I492" s="58"/>
      <c r="J492" s="58"/>
      <c r="K492" s="58"/>
      <c r="L492" s="70" t="s">
        <v>544</v>
      </c>
      <c r="M492" s="38" t="s">
        <v>40</v>
      </c>
      <c r="N492" s="61"/>
      <c r="O492" s="40">
        <v>535.91999999999996</v>
      </c>
      <c r="P492" s="40">
        <f>'[1]Ковровая плитка'!F23</f>
        <v>4070.6111249999999</v>
      </c>
      <c r="Q492" s="40">
        <f t="shared" si="47"/>
        <v>535.91999999999996</v>
      </c>
      <c r="R492" s="66">
        <f t="shared" ref="R492:R495" si="49">P492</f>
        <v>4070.6111249999999</v>
      </c>
      <c r="S492" s="40">
        <f>ROUND('Смета ЕР (общ) '!$N492*'Смета ЕР (общ) '!$Q492,2)</f>
        <v>0</v>
      </c>
      <c r="T492" s="62">
        <f>ROUND('Смета ЕР (общ) '!$N492*'Смета ЕР (общ) '!$R492,2)</f>
        <v>0</v>
      </c>
      <c r="U492" s="69" t="s">
        <v>545</v>
      </c>
      <c r="V492" s="68"/>
      <c r="Y492">
        <v>1</v>
      </c>
    </row>
    <row r="493" spans="1:25" ht="24" x14ac:dyDescent="0.3">
      <c r="A493" s="58" t="s">
        <v>279</v>
      </c>
      <c r="B493" s="58">
        <v>6</v>
      </c>
      <c r="C493" s="58">
        <v>2</v>
      </c>
      <c r="D493" s="58">
        <f t="shared" si="48"/>
        <v>21</v>
      </c>
      <c r="E493" s="58" t="str">
        <f>CONCATENATE('Смета ЕР (общ) '!$A493,".",'Смета ЕР (общ) '!$B493,".",C493,".",'Смета ЕР (общ) '!$D493)</f>
        <v>Р3.6.2.21</v>
      </c>
      <c r="F493" s="58">
        <f t="shared" si="46"/>
        <v>1</v>
      </c>
      <c r="G493" s="58"/>
      <c r="H493" s="58"/>
      <c r="I493" s="58"/>
      <c r="J493" s="58"/>
      <c r="K493" s="58"/>
      <c r="L493" s="70" t="s">
        <v>546</v>
      </c>
      <c r="M493" s="38" t="s">
        <v>40</v>
      </c>
      <c r="N493" s="61"/>
      <c r="O493" s="40">
        <v>535.91999999999996</v>
      </c>
      <c r="P493" s="40">
        <f>'[1]Ковровая плитка'!F23</f>
        <v>4070.6111249999999</v>
      </c>
      <c r="Q493" s="40">
        <f t="shared" si="47"/>
        <v>535.91999999999996</v>
      </c>
      <c r="R493" s="66">
        <f t="shared" si="49"/>
        <v>4070.6111249999999</v>
      </c>
      <c r="S493" s="40">
        <f>ROUND('Смета ЕР (общ) '!$N493*'Смета ЕР (общ) '!$Q493,2)</f>
        <v>0</v>
      </c>
      <c r="T493" s="62">
        <f>ROUND('Смета ЕР (общ) '!$N493*'Смета ЕР (общ) '!$R493,2)</f>
        <v>0</v>
      </c>
      <c r="U493" s="69" t="s">
        <v>547</v>
      </c>
      <c r="V493" s="68"/>
      <c r="Y493">
        <v>1</v>
      </c>
    </row>
    <row r="494" spans="1:25" ht="24" x14ac:dyDescent="0.3">
      <c r="A494" s="58" t="s">
        <v>279</v>
      </c>
      <c r="B494" s="58">
        <v>6</v>
      </c>
      <c r="C494" s="58">
        <v>2</v>
      </c>
      <c r="D494" s="58">
        <f t="shared" si="48"/>
        <v>22</v>
      </c>
      <c r="E494" s="58" t="str">
        <f>CONCATENATE('Смета ЕР (общ) '!$A494,".",'Смета ЕР (общ) '!$B494,".",C494,".",'Смета ЕР (общ) '!$D494)</f>
        <v>Р3.6.2.22</v>
      </c>
      <c r="F494" s="58">
        <f t="shared" si="46"/>
        <v>1</v>
      </c>
      <c r="G494" s="58"/>
      <c r="H494" s="58"/>
      <c r="I494" s="58"/>
      <c r="J494" s="58"/>
      <c r="K494" s="58"/>
      <c r="L494" s="70" t="s">
        <v>548</v>
      </c>
      <c r="M494" s="38" t="s">
        <v>40</v>
      </c>
      <c r="N494" s="61"/>
      <c r="O494" s="40">
        <v>535.91999999999996</v>
      </c>
      <c r="P494" s="40">
        <f>'[1]Ковровая плитка'!F32</f>
        <v>4070.6111249999999</v>
      </c>
      <c r="Q494" s="40">
        <f t="shared" si="47"/>
        <v>535.91999999999996</v>
      </c>
      <c r="R494" s="66">
        <f t="shared" si="49"/>
        <v>4070.6111249999999</v>
      </c>
      <c r="S494" s="40">
        <f>ROUND('Смета ЕР (общ) '!$N494*'Смета ЕР (общ) '!$Q494,2)</f>
        <v>0</v>
      </c>
      <c r="T494" s="62">
        <f>ROUND('Смета ЕР (общ) '!$N494*'Смета ЕР (общ) '!$R494,2)</f>
        <v>0</v>
      </c>
      <c r="U494" s="69" t="s">
        <v>549</v>
      </c>
      <c r="V494" s="68"/>
      <c r="Y494">
        <v>1</v>
      </c>
    </row>
    <row r="495" spans="1:25" ht="24" x14ac:dyDescent="0.3">
      <c r="A495" s="58" t="s">
        <v>279</v>
      </c>
      <c r="B495" s="58">
        <v>6</v>
      </c>
      <c r="C495" s="58">
        <v>2</v>
      </c>
      <c r="D495" s="58">
        <f t="shared" si="48"/>
        <v>23</v>
      </c>
      <c r="E495" s="58" t="str">
        <f>CONCATENATE('Смета ЕР (общ) '!$A495,".",'Смета ЕР (общ) '!$B495,".",C495,".",'Смета ЕР (общ) '!$D495)</f>
        <v>Р3.6.2.23</v>
      </c>
      <c r="F495" s="58">
        <f t="shared" si="46"/>
        <v>1</v>
      </c>
      <c r="G495" s="58"/>
      <c r="H495" s="58"/>
      <c r="I495" s="58"/>
      <c r="J495" s="58"/>
      <c r="K495" s="58"/>
      <c r="L495" s="70" t="s">
        <v>550</v>
      </c>
      <c r="M495" s="38" t="s">
        <v>40</v>
      </c>
      <c r="N495" s="61"/>
      <c r="O495" s="40">
        <v>535.91999999999996</v>
      </c>
      <c r="P495" s="40">
        <f>'[1]ПВХ '!F19</f>
        <v>3175.6567500000001</v>
      </c>
      <c r="Q495" s="40">
        <f t="shared" si="47"/>
        <v>535.91999999999996</v>
      </c>
      <c r="R495" s="66">
        <f t="shared" si="49"/>
        <v>3175.6567500000001</v>
      </c>
      <c r="S495" s="40">
        <f>ROUND('Смета ЕР (общ) '!$N495*'Смета ЕР (общ) '!$Q495,2)</f>
        <v>0</v>
      </c>
      <c r="T495" s="62">
        <f>ROUND('Смета ЕР (общ) '!$N495*'Смета ЕР (общ) '!$R495,2)</f>
        <v>0</v>
      </c>
      <c r="U495" s="115" t="s">
        <v>551</v>
      </c>
      <c r="V495" s="68"/>
      <c r="Y495">
        <v>1</v>
      </c>
    </row>
    <row r="496" spans="1:25" ht="24" x14ac:dyDescent="0.3">
      <c r="A496" s="36" t="s">
        <v>279</v>
      </c>
      <c r="B496" s="36">
        <v>6</v>
      </c>
      <c r="C496" s="36">
        <v>2</v>
      </c>
      <c r="D496" s="36">
        <f t="shared" si="48"/>
        <v>24</v>
      </c>
      <c r="E496" s="36" t="str">
        <f>CONCATENATE('Смета ЕР (общ) '!$A496,".",'Смета ЕР (общ) '!$B496,".",C496,".",'Смета ЕР (общ) '!$D496)</f>
        <v>Р3.6.2.24</v>
      </c>
      <c r="F496" s="36">
        <f t="shared" si="46"/>
        <v>1</v>
      </c>
      <c r="G496" s="36"/>
      <c r="H496" s="36"/>
      <c r="I496" s="36"/>
      <c r="J496" s="36"/>
      <c r="K496" s="36"/>
      <c r="L496" s="53" t="s">
        <v>552</v>
      </c>
      <c r="M496" s="38" t="s">
        <v>147</v>
      </c>
      <c r="N496" s="39"/>
      <c r="O496" s="40">
        <v>387.15</v>
      </c>
      <c r="P496" s="40">
        <v>345.95</v>
      </c>
      <c r="Q496" s="40">
        <f t="shared" si="47"/>
        <v>387.15</v>
      </c>
      <c r="R496" s="40">
        <f t="shared" si="47"/>
        <v>345.95</v>
      </c>
      <c r="S496" s="40">
        <f>ROUND('Смета ЕР (общ) '!$N496*'Смета ЕР (общ) '!$Q496,2)</f>
        <v>0</v>
      </c>
      <c r="T496" s="40">
        <f>ROUND('Смета ЕР (общ) '!$N496*'Смета ЕР (общ) '!$R496,2)</f>
        <v>0</v>
      </c>
    </row>
    <row r="497" spans="1:21" ht="24" x14ac:dyDescent="0.3">
      <c r="A497" s="36" t="s">
        <v>279</v>
      </c>
      <c r="B497" s="36">
        <v>6</v>
      </c>
      <c r="C497" s="36">
        <v>2</v>
      </c>
      <c r="D497" s="36">
        <f t="shared" si="48"/>
        <v>25</v>
      </c>
      <c r="E497" s="36" t="str">
        <f>CONCATENATE('Смета ЕР (общ) '!$A497,".",'Смета ЕР (общ) '!$B497,".",C497,".",'Смета ЕР (общ) '!$D497)</f>
        <v>Р3.6.2.25</v>
      </c>
      <c r="F497" s="36">
        <f t="shared" si="46"/>
        <v>1</v>
      </c>
      <c r="G497" s="36"/>
      <c r="H497" s="36"/>
      <c r="I497" s="36"/>
      <c r="J497" s="36"/>
      <c r="K497" s="36"/>
      <c r="L497" s="37" t="s">
        <v>553</v>
      </c>
      <c r="M497" s="38" t="s">
        <v>40</v>
      </c>
      <c r="N497" s="39"/>
      <c r="O497" s="40">
        <v>221.85</v>
      </c>
      <c r="P497" s="40">
        <v>71.17</v>
      </c>
      <c r="Q497" s="40">
        <f t="shared" si="47"/>
        <v>221.85</v>
      </c>
      <c r="R497" s="40">
        <f t="shared" si="47"/>
        <v>71.17</v>
      </c>
      <c r="S497" s="40">
        <f>ROUND('Смета ЕР (общ) '!$N497*'Смета ЕР (общ) '!$Q497,2)</f>
        <v>0</v>
      </c>
      <c r="T497" s="40">
        <f>ROUND('Смета ЕР (общ) '!$N497*'Смета ЕР (общ) '!$R497,2)</f>
        <v>0</v>
      </c>
      <c r="U497" s="57" t="s">
        <v>554</v>
      </c>
    </row>
    <row r="498" spans="1:21" ht="14.4" x14ac:dyDescent="0.3">
      <c r="A498" s="36" t="s">
        <v>279</v>
      </c>
      <c r="B498" s="36">
        <v>6</v>
      </c>
      <c r="C498" s="36">
        <v>2</v>
      </c>
      <c r="D498" s="36">
        <f t="shared" si="48"/>
        <v>26</v>
      </c>
      <c r="E498" s="36" t="str">
        <f>CONCATENATE('Смета ЕР (общ) '!$A498,".",'Смета ЕР (общ) '!$B498,".",C498,".",'Смета ЕР (общ) '!$D498)</f>
        <v>Р3.6.2.26</v>
      </c>
      <c r="F498" s="36">
        <f t="shared" si="46"/>
        <v>1</v>
      </c>
      <c r="G498" s="36"/>
      <c r="H498" s="36"/>
      <c r="I498" s="36"/>
      <c r="J498" s="36"/>
      <c r="K498" s="36"/>
      <c r="L498" s="53" t="s">
        <v>555</v>
      </c>
      <c r="M498" s="54" t="s">
        <v>40</v>
      </c>
      <c r="N498" s="39"/>
      <c r="O498" s="40">
        <v>535.91999999999996</v>
      </c>
      <c r="P498" s="40">
        <v>3393</v>
      </c>
      <c r="Q498" s="40">
        <f t="shared" si="47"/>
        <v>535.91999999999996</v>
      </c>
      <c r="R498" s="40">
        <f t="shared" si="47"/>
        <v>3393</v>
      </c>
      <c r="S498" s="40">
        <f>ROUND('Смета ЕР (общ) '!$N498*'Смета ЕР (общ) '!$Q498,2)</f>
        <v>0</v>
      </c>
      <c r="T498" s="40">
        <f>ROUND('Смета ЕР (общ) '!$N498*'Смета ЕР (общ) '!$R498,2)</f>
        <v>0</v>
      </c>
    </row>
    <row r="499" spans="1:21" ht="24" x14ac:dyDescent="0.3">
      <c r="A499" s="36" t="s">
        <v>279</v>
      </c>
      <c r="B499" s="36">
        <v>6</v>
      </c>
      <c r="C499" s="36">
        <v>2</v>
      </c>
      <c r="D499" s="36">
        <f t="shared" si="48"/>
        <v>27</v>
      </c>
      <c r="E499" s="36" t="str">
        <f>CONCATENATE('Смета ЕР (общ) '!$A499,".",'Смета ЕР (общ) '!$B499,".",C499,".",'Смета ЕР (общ) '!$D499)</f>
        <v>Р3.6.2.27</v>
      </c>
      <c r="F499" s="36">
        <f t="shared" si="46"/>
        <v>1</v>
      </c>
      <c r="G499" s="36"/>
      <c r="H499" s="36"/>
      <c r="I499" s="36"/>
      <c r="J499" s="36"/>
      <c r="K499" s="36"/>
      <c r="L499" s="53" t="s">
        <v>556</v>
      </c>
      <c r="M499" s="54" t="s">
        <v>40</v>
      </c>
      <c r="N499" s="39"/>
      <c r="O499" s="40">
        <v>535.91999999999996</v>
      </c>
      <c r="P499" s="40">
        <v>3377.4</v>
      </c>
      <c r="Q499" s="40">
        <f t="shared" si="47"/>
        <v>535.91999999999996</v>
      </c>
      <c r="R499" s="40">
        <f t="shared" si="47"/>
        <v>3377.4</v>
      </c>
      <c r="S499" s="40">
        <f>ROUND('Смета ЕР (общ) '!$N499*'Смета ЕР (общ) '!$Q499,2)</f>
        <v>0</v>
      </c>
      <c r="T499" s="40">
        <f>ROUND('Смета ЕР (общ) '!$N499*'Смета ЕР (общ) '!$R499,2)</f>
        <v>0</v>
      </c>
    </row>
    <row r="500" spans="1:21" ht="14.4" x14ac:dyDescent="0.3">
      <c r="A500" s="36" t="s">
        <v>279</v>
      </c>
      <c r="B500" s="36">
        <v>6</v>
      </c>
      <c r="C500" s="36">
        <v>2</v>
      </c>
      <c r="D500" s="36">
        <f t="shared" si="48"/>
        <v>28</v>
      </c>
      <c r="E500" s="36" t="str">
        <f>CONCATENATE('Смета ЕР (общ) '!$A500,".",'Смета ЕР (общ) '!$B500,".",C500,".",'Смета ЕР (общ) '!$D500)</f>
        <v>Р3.6.2.28</v>
      </c>
      <c r="F500" s="36">
        <f t="shared" si="46"/>
        <v>1</v>
      </c>
      <c r="G500" s="36"/>
      <c r="H500" s="36"/>
      <c r="I500" s="36"/>
      <c r="J500" s="36"/>
      <c r="K500" s="36"/>
      <c r="L500" s="53" t="s">
        <v>557</v>
      </c>
      <c r="M500" s="54" t="s">
        <v>40</v>
      </c>
      <c r="N500" s="39"/>
      <c r="O500" s="40">
        <v>535.91999999999996</v>
      </c>
      <c r="P500" s="40">
        <v>3377.4</v>
      </c>
      <c r="Q500" s="40">
        <f t="shared" si="47"/>
        <v>535.91999999999996</v>
      </c>
      <c r="R500" s="40">
        <f t="shared" si="47"/>
        <v>3377.4</v>
      </c>
      <c r="S500" s="40">
        <f>ROUND('Смета ЕР (общ) '!$N500*'Смета ЕР (общ) '!$Q500,2)</f>
        <v>0</v>
      </c>
      <c r="T500" s="40">
        <f>ROUND('Смета ЕР (общ) '!$N500*'Смета ЕР (общ) '!$R500,2)</f>
        <v>0</v>
      </c>
    </row>
    <row r="501" spans="1:21" ht="14.4" x14ac:dyDescent="0.3">
      <c r="A501" s="58" t="s">
        <v>279</v>
      </c>
      <c r="B501" s="58">
        <v>6</v>
      </c>
      <c r="C501" s="58">
        <v>2</v>
      </c>
      <c r="D501" s="58">
        <f t="shared" si="48"/>
        <v>29</v>
      </c>
      <c r="E501" s="58" t="str">
        <f>CONCATENATE('Смета ЕР (общ) '!$A501,".",'Смета ЕР (общ) '!$B501,".",C501,".",'Смета ЕР (общ) '!$D501)</f>
        <v>Р3.6.2.29</v>
      </c>
      <c r="F501" s="58">
        <f t="shared" si="46"/>
        <v>1</v>
      </c>
      <c r="G501" s="58"/>
      <c r="H501" s="58"/>
      <c r="I501" s="58"/>
      <c r="J501" s="58"/>
      <c r="K501" s="58"/>
      <c r="L501" s="70" t="s">
        <v>558</v>
      </c>
      <c r="M501" s="72" t="s">
        <v>40</v>
      </c>
      <c r="N501" s="61"/>
      <c r="O501" s="40">
        <v>535.91999999999996</v>
      </c>
      <c r="P501" s="40">
        <v>2085.29</v>
      </c>
      <c r="Q501" s="62">
        <f t="shared" si="47"/>
        <v>535.91999999999996</v>
      </c>
      <c r="R501" s="62">
        <f t="shared" si="47"/>
        <v>2085.29</v>
      </c>
      <c r="S501" s="62">
        <f>ROUND('Смета ЕР (общ) '!$N501*'Смета ЕР (общ) '!$Q501,2)</f>
        <v>0</v>
      </c>
      <c r="T501" s="62">
        <f>ROUND('Смета ЕР (общ) '!$N501*'Смета ЕР (общ) '!$R501,2)</f>
        <v>0</v>
      </c>
    </row>
    <row r="502" spans="1:21" ht="14.4" x14ac:dyDescent="0.3">
      <c r="A502" s="58" t="s">
        <v>279</v>
      </c>
      <c r="B502" s="58">
        <v>6</v>
      </c>
      <c r="C502" s="58">
        <v>2</v>
      </c>
      <c r="D502" s="58">
        <f t="shared" si="48"/>
        <v>30</v>
      </c>
      <c r="E502" s="58" t="str">
        <f>CONCATENATE('Смета ЕР (общ) '!$A502,".",'Смета ЕР (общ) '!$B502,".",C502,".",'Смета ЕР (общ) '!$D502)</f>
        <v>Р3.6.2.30</v>
      </c>
      <c r="F502" s="58">
        <f t="shared" si="46"/>
        <v>1</v>
      </c>
      <c r="G502" s="58"/>
      <c r="H502" s="58"/>
      <c r="I502" s="58"/>
      <c r="J502" s="58"/>
      <c r="K502" s="58"/>
      <c r="L502" s="70" t="s">
        <v>559</v>
      </c>
      <c r="M502" s="72" t="s">
        <v>40</v>
      </c>
      <c r="N502" s="61"/>
      <c r="O502" s="40">
        <v>535.91999999999996</v>
      </c>
      <c r="P502" s="40">
        <v>2085.29</v>
      </c>
      <c r="Q502" s="62">
        <f t="shared" si="47"/>
        <v>535.91999999999996</v>
      </c>
      <c r="R502" s="62">
        <f t="shared" si="47"/>
        <v>2085.29</v>
      </c>
      <c r="S502" s="62">
        <f>ROUND('Смета ЕР (общ) '!$N502*'Смета ЕР (общ) '!$Q502,2)</f>
        <v>0</v>
      </c>
      <c r="T502" s="62">
        <f>ROUND('Смета ЕР (общ) '!$N502*'Смета ЕР (общ) '!$R502,2)</f>
        <v>0</v>
      </c>
    </row>
    <row r="503" spans="1:21" ht="24" x14ac:dyDescent="0.3">
      <c r="A503" s="58" t="s">
        <v>279</v>
      </c>
      <c r="B503" s="58">
        <v>6</v>
      </c>
      <c r="C503" s="58">
        <v>2</v>
      </c>
      <c r="D503" s="58">
        <f t="shared" si="48"/>
        <v>31</v>
      </c>
      <c r="E503" s="58" t="str">
        <f>CONCATENATE('Смета ЕР (общ) '!$A503,".",'Смета ЕР (общ) '!$B503,".",C503,".",'Смета ЕР (общ) '!$D503)</f>
        <v>Р3.6.2.31</v>
      </c>
      <c r="F503" s="58">
        <f t="shared" si="46"/>
        <v>1</v>
      </c>
      <c r="G503" s="58"/>
      <c r="H503" s="58"/>
      <c r="I503" s="58"/>
      <c r="J503" s="58"/>
      <c r="K503" s="58"/>
      <c r="L503" s="70" t="s">
        <v>560</v>
      </c>
      <c r="M503" s="72" t="s">
        <v>40</v>
      </c>
      <c r="N503" s="61"/>
      <c r="O503" s="40">
        <v>535.91999999999996</v>
      </c>
      <c r="P503" s="40">
        <v>3930</v>
      </c>
      <c r="Q503" s="62">
        <f t="shared" si="47"/>
        <v>535.91999999999996</v>
      </c>
      <c r="R503" s="62">
        <f t="shared" si="47"/>
        <v>3930</v>
      </c>
      <c r="S503" s="62">
        <f>ROUND('Смета ЕР (общ) '!$N503*'Смета ЕР (общ) '!$Q503,2)</f>
        <v>0</v>
      </c>
      <c r="T503" s="62">
        <f>ROUND('Смета ЕР (общ) '!$N503*'Смета ЕР (общ) '!$R503,2)</f>
        <v>0</v>
      </c>
    </row>
    <row r="504" spans="1:21" ht="24" x14ac:dyDescent="0.3">
      <c r="A504" s="58" t="s">
        <v>279</v>
      </c>
      <c r="B504" s="58">
        <v>6</v>
      </c>
      <c r="C504" s="58">
        <v>2</v>
      </c>
      <c r="D504" s="58">
        <f t="shared" si="48"/>
        <v>32</v>
      </c>
      <c r="E504" s="58" t="str">
        <f>CONCATENATE('Смета ЕР (общ) '!$A504,".",'Смета ЕР (общ) '!$B504,".",C504,".",'Смета ЕР (общ) '!$D504)</f>
        <v>Р3.6.2.32</v>
      </c>
      <c r="F504" s="58">
        <f t="shared" si="46"/>
        <v>1</v>
      </c>
      <c r="G504" s="58"/>
      <c r="H504" s="58"/>
      <c r="I504" s="58"/>
      <c r="J504" s="58"/>
      <c r="K504" s="58"/>
      <c r="L504" s="70" t="s">
        <v>561</v>
      </c>
      <c r="M504" s="72" t="s">
        <v>40</v>
      </c>
      <c r="N504" s="61"/>
      <c r="O504" s="40">
        <v>535.91999999999996</v>
      </c>
      <c r="P504" s="40">
        <v>3930</v>
      </c>
      <c r="Q504" s="62">
        <f t="shared" ref="Q504:R531" si="50">ROUND(O504-O504*$V$3,2)</f>
        <v>535.91999999999996</v>
      </c>
      <c r="R504" s="62">
        <f t="shared" si="50"/>
        <v>3930</v>
      </c>
      <c r="S504" s="62">
        <f>ROUND('Смета ЕР (общ) '!$N504*'Смета ЕР (общ) '!$Q504,2)</f>
        <v>0</v>
      </c>
      <c r="T504" s="62">
        <f>ROUND('Смета ЕР (общ) '!$N504*'Смета ЕР (общ) '!$R504,2)</f>
        <v>0</v>
      </c>
    </row>
    <row r="505" spans="1:21" ht="14.4" x14ac:dyDescent="0.3">
      <c r="A505" s="58" t="s">
        <v>279</v>
      </c>
      <c r="B505" s="58">
        <v>6</v>
      </c>
      <c r="C505" s="58">
        <v>2</v>
      </c>
      <c r="D505" s="58">
        <f t="shared" si="48"/>
        <v>33</v>
      </c>
      <c r="E505" s="58" t="str">
        <f>CONCATENATE('Смета ЕР (общ) '!$A505,".",'Смета ЕР (общ) '!$B505,".",C505,".",'Смета ЕР (общ) '!$D505)</f>
        <v>Р3.6.2.33</v>
      </c>
      <c r="F505" s="58">
        <f t="shared" si="46"/>
        <v>1</v>
      </c>
      <c r="G505" s="58"/>
      <c r="H505" s="58"/>
      <c r="I505" s="58"/>
      <c r="J505" s="58"/>
      <c r="K505" s="58"/>
      <c r="L505" s="70" t="s">
        <v>562</v>
      </c>
      <c r="M505" s="72" t="s">
        <v>40</v>
      </c>
      <c r="N505" s="61"/>
      <c r="O505" s="40">
        <v>543.75</v>
      </c>
      <c r="P505" s="40">
        <v>5140</v>
      </c>
      <c r="Q505" s="62">
        <f t="shared" si="50"/>
        <v>543.75</v>
      </c>
      <c r="R505" s="62">
        <f t="shared" si="50"/>
        <v>5140</v>
      </c>
      <c r="S505" s="62">
        <f>ROUND('Смета ЕР (общ) '!$N505*'Смета ЕР (общ) '!$Q505,2)</f>
        <v>0</v>
      </c>
      <c r="T505" s="62">
        <f>ROUND('Смета ЕР (общ) '!$N505*'Смета ЕР (общ) '!$R505,2)</f>
        <v>0</v>
      </c>
    </row>
    <row r="506" spans="1:21" ht="24" x14ac:dyDescent="0.3">
      <c r="A506" s="58" t="s">
        <v>279</v>
      </c>
      <c r="B506" s="58">
        <v>6</v>
      </c>
      <c r="C506" s="58">
        <v>2</v>
      </c>
      <c r="D506" s="58">
        <f t="shared" si="48"/>
        <v>34</v>
      </c>
      <c r="E506" s="58" t="str">
        <f>CONCATENATE('Смета ЕР (общ) '!$A506,".",'Смета ЕР (общ) '!$B506,".",C506,".",'Смета ЕР (общ) '!$D506)</f>
        <v>Р3.6.2.34</v>
      </c>
      <c r="F506" s="58">
        <f t="shared" si="46"/>
        <v>1</v>
      </c>
      <c r="G506" s="58"/>
      <c r="H506" s="58"/>
      <c r="I506" s="58"/>
      <c r="J506" s="58"/>
      <c r="K506" s="58"/>
      <c r="L506" s="70" t="s">
        <v>563</v>
      </c>
      <c r="M506" s="72" t="s">
        <v>40</v>
      </c>
      <c r="N506" s="61"/>
      <c r="O506" s="40">
        <v>543.75</v>
      </c>
      <c r="P506" s="40">
        <v>2670</v>
      </c>
      <c r="Q506" s="62">
        <f t="shared" si="50"/>
        <v>543.75</v>
      </c>
      <c r="R506" s="62">
        <f t="shared" si="50"/>
        <v>2670</v>
      </c>
      <c r="S506" s="62">
        <f>ROUND('Смета ЕР (общ) '!$N506*'Смета ЕР (общ) '!$Q506,2)</f>
        <v>0</v>
      </c>
      <c r="T506" s="62">
        <f>ROUND('Смета ЕР (общ) '!$N506*'Смета ЕР (общ) '!$R506,2)</f>
        <v>0</v>
      </c>
    </row>
    <row r="507" spans="1:21" ht="14.4" x14ac:dyDescent="0.3">
      <c r="A507" s="36" t="s">
        <v>279</v>
      </c>
      <c r="B507" s="36">
        <v>6</v>
      </c>
      <c r="C507" s="36">
        <v>2</v>
      </c>
      <c r="D507" s="36">
        <f t="shared" si="48"/>
        <v>35</v>
      </c>
      <c r="E507" s="36" t="str">
        <f>CONCATENATE('Смета ЕР (общ) '!$A507,".",'Смета ЕР (общ) '!$B507,".",C507,".",'Смета ЕР (общ) '!$D507)</f>
        <v>Р3.6.2.35</v>
      </c>
      <c r="F507" s="36">
        <f t="shared" si="46"/>
        <v>1</v>
      </c>
      <c r="G507" s="36"/>
      <c r="H507" s="36"/>
      <c r="I507" s="36"/>
      <c r="J507" s="36"/>
      <c r="K507" s="36"/>
      <c r="L507" s="53" t="s">
        <v>564</v>
      </c>
      <c r="M507" s="54" t="s">
        <v>40</v>
      </c>
      <c r="N507" s="39"/>
      <c r="O507" s="40">
        <v>535.91999999999996</v>
      </c>
      <c r="P507" s="40">
        <v>3393</v>
      </c>
      <c r="Q507" s="40">
        <f t="shared" si="50"/>
        <v>535.91999999999996</v>
      </c>
      <c r="R507" s="40">
        <f t="shared" si="50"/>
        <v>3393</v>
      </c>
      <c r="S507" s="40">
        <f>ROUND('Смета ЕР (общ) '!$N507*'Смета ЕР (общ) '!$Q507,2)</f>
        <v>0</v>
      </c>
      <c r="T507" s="40">
        <f>ROUND('Смета ЕР (общ) '!$N507*'Смета ЕР (общ) '!$R507,2)</f>
        <v>0</v>
      </c>
    </row>
    <row r="508" spans="1:21" ht="14.4" x14ac:dyDescent="0.3">
      <c r="A508" s="36" t="s">
        <v>279</v>
      </c>
      <c r="B508" s="36">
        <v>6</v>
      </c>
      <c r="C508" s="36">
        <v>2</v>
      </c>
      <c r="D508" s="36">
        <f t="shared" si="48"/>
        <v>36</v>
      </c>
      <c r="E508" s="36" t="str">
        <f>CONCATENATE('Смета ЕР (общ) '!$A508,".",'Смета ЕР (общ) '!$B508,".",C508,".",'Смета ЕР (общ) '!$D508)</f>
        <v>Р3.6.2.36</v>
      </c>
      <c r="F508" s="36">
        <f t="shared" si="46"/>
        <v>1</v>
      </c>
      <c r="G508" s="36"/>
      <c r="H508" s="36"/>
      <c r="I508" s="36"/>
      <c r="J508" s="36"/>
      <c r="K508" s="36"/>
      <c r="L508" s="53" t="s">
        <v>565</v>
      </c>
      <c r="M508" s="54" t="s">
        <v>40</v>
      </c>
      <c r="N508" s="39"/>
      <c r="O508" s="40">
        <v>535.91999999999996</v>
      </c>
      <c r="P508" s="40">
        <v>3041.71</v>
      </c>
      <c r="Q508" s="40">
        <f t="shared" si="50"/>
        <v>535.91999999999996</v>
      </c>
      <c r="R508" s="40">
        <f t="shared" si="50"/>
        <v>3041.71</v>
      </c>
      <c r="S508" s="40">
        <f>ROUND('Смета ЕР (общ) '!$N508*'Смета ЕР (общ) '!$Q508,2)</f>
        <v>0</v>
      </c>
      <c r="T508" s="40">
        <f>ROUND('Смета ЕР (общ) '!$N508*'Смета ЕР (общ) '!$R508,2)</f>
        <v>0</v>
      </c>
    </row>
    <row r="509" spans="1:21" ht="14.4" x14ac:dyDescent="0.3">
      <c r="A509" s="36" t="s">
        <v>279</v>
      </c>
      <c r="B509" s="36">
        <v>6</v>
      </c>
      <c r="C509" s="36">
        <v>2</v>
      </c>
      <c r="D509" s="36">
        <f t="shared" si="48"/>
        <v>37</v>
      </c>
      <c r="E509" s="36" t="str">
        <f>CONCATENATE('Смета ЕР (общ) '!$A509,".",'Смета ЕР (общ) '!$B509,".",C509,".",'Смета ЕР (общ) '!$D509)</f>
        <v>Р3.6.2.37</v>
      </c>
      <c r="F509" s="36">
        <f t="shared" si="46"/>
        <v>1</v>
      </c>
      <c r="G509" s="36"/>
      <c r="H509" s="36"/>
      <c r="I509" s="36"/>
      <c r="J509" s="36"/>
      <c r="K509" s="36"/>
      <c r="L509" s="53" t="s">
        <v>566</v>
      </c>
      <c r="M509" s="54" t="s">
        <v>40</v>
      </c>
      <c r="N509" s="39"/>
      <c r="O509" s="40">
        <v>535.91999999999996</v>
      </c>
      <c r="P509" s="40">
        <v>2818.33</v>
      </c>
      <c r="Q509" s="40">
        <f t="shared" si="50"/>
        <v>535.91999999999996</v>
      </c>
      <c r="R509" s="40">
        <f t="shared" si="50"/>
        <v>2818.33</v>
      </c>
      <c r="S509" s="40">
        <f>ROUND('Смета ЕР (общ) '!$N509*'Смета ЕР (общ) '!$Q509,2)</f>
        <v>0</v>
      </c>
      <c r="T509" s="40">
        <f>ROUND('Смета ЕР (общ) '!$N509*'Смета ЕР (общ) '!$R509,2)</f>
        <v>0</v>
      </c>
    </row>
    <row r="510" spans="1:21" ht="14.4" x14ac:dyDescent="0.3">
      <c r="A510" s="36" t="s">
        <v>279</v>
      </c>
      <c r="B510" s="36">
        <v>6</v>
      </c>
      <c r="C510" s="36">
        <v>2</v>
      </c>
      <c r="D510" s="36">
        <f t="shared" si="48"/>
        <v>38</v>
      </c>
      <c r="E510" s="36" t="str">
        <f>CONCATENATE('Смета ЕР (общ) '!$A510,".",'Смета ЕР (общ) '!$B510,".",C510,".",'Смета ЕР (общ) '!$D510)</f>
        <v>Р3.6.2.38</v>
      </c>
      <c r="F510" s="36">
        <f t="shared" si="46"/>
        <v>1</v>
      </c>
      <c r="G510" s="36"/>
      <c r="H510" s="36"/>
      <c r="I510" s="36"/>
      <c r="J510" s="36"/>
      <c r="K510" s="36"/>
      <c r="L510" s="53" t="s">
        <v>567</v>
      </c>
      <c r="M510" s="38" t="s">
        <v>147</v>
      </c>
      <c r="N510" s="39"/>
      <c r="O510" s="40">
        <v>339.3</v>
      </c>
      <c r="P510" s="40">
        <v>530.5</v>
      </c>
      <c r="Q510" s="40">
        <f t="shared" si="50"/>
        <v>339.3</v>
      </c>
      <c r="R510" s="40">
        <f t="shared" si="50"/>
        <v>530.5</v>
      </c>
      <c r="S510" s="40">
        <f>ROUND('Смета ЕР (общ) '!$N510*'Смета ЕР (общ) '!$Q510,2)</f>
        <v>0</v>
      </c>
      <c r="T510" s="40">
        <f>ROUND('Смета ЕР (общ) '!$N510*'Смета ЕР (общ) '!$R510,2)</f>
        <v>0</v>
      </c>
    </row>
    <row r="511" spans="1:21" ht="14.4" x14ac:dyDescent="0.3">
      <c r="A511" s="36" t="s">
        <v>279</v>
      </c>
      <c r="B511" s="36">
        <v>6</v>
      </c>
      <c r="C511" s="36">
        <v>2</v>
      </c>
      <c r="D511" s="36">
        <f t="shared" si="48"/>
        <v>39</v>
      </c>
      <c r="E511" s="36" t="str">
        <f>CONCATENATE('Смета ЕР (общ) '!$A511,".",'Смета ЕР (общ) '!$B511,".",C511,".",'Смета ЕР (общ) '!$D511)</f>
        <v>Р3.6.2.39</v>
      </c>
      <c r="F511" s="36">
        <f t="shared" si="46"/>
        <v>1</v>
      </c>
      <c r="G511" s="36"/>
      <c r="H511" s="36"/>
      <c r="I511" s="36"/>
      <c r="J511" s="36"/>
      <c r="K511" s="36"/>
      <c r="L511" s="53" t="s">
        <v>568</v>
      </c>
      <c r="M511" s="38" t="s">
        <v>147</v>
      </c>
      <c r="N511" s="39"/>
      <c r="O511" s="40">
        <v>380.02</v>
      </c>
      <c r="P511" s="40">
        <v>538.36</v>
      </c>
      <c r="Q511" s="40">
        <f t="shared" si="50"/>
        <v>380.02</v>
      </c>
      <c r="R511" s="40">
        <f t="shared" si="50"/>
        <v>538.36</v>
      </c>
      <c r="S511" s="40">
        <f>ROUND('Смета ЕР (общ) '!$N511*'Смета ЕР (общ) '!$Q511,2)</f>
        <v>0</v>
      </c>
      <c r="T511" s="40">
        <f>ROUND('Смета ЕР (общ) '!$N511*'Смета ЕР (общ) '!$R511,2)</f>
        <v>0</v>
      </c>
    </row>
    <row r="512" spans="1:21" ht="24" x14ac:dyDescent="0.3">
      <c r="A512" s="95" t="s">
        <v>279</v>
      </c>
      <c r="B512" s="95">
        <v>6</v>
      </c>
      <c r="C512" s="95">
        <v>2</v>
      </c>
      <c r="D512" s="95">
        <f t="shared" si="48"/>
        <v>40</v>
      </c>
      <c r="E512" s="95" t="str">
        <f>CONCATENATE('Смета ЕР (общ) '!$A512,".",'Смета ЕР (общ) '!$B512,".",C512,".",'Смета ЕР (общ) '!$D512)</f>
        <v>Р3.6.2.40</v>
      </c>
      <c r="F512" s="95">
        <f t="shared" si="46"/>
        <v>1</v>
      </c>
      <c r="G512" s="95"/>
      <c r="H512" s="95"/>
      <c r="I512" s="95"/>
      <c r="J512" s="95"/>
      <c r="K512" s="95"/>
      <c r="L512" s="96" t="s">
        <v>569</v>
      </c>
      <c r="M512" s="102" t="s">
        <v>40</v>
      </c>
      <c r="N512" s="116"/>
      <c r="O512" s="40">
        <v>406.29</v>
      </c>
      <c r="P512" s="40">
        <v>942.17</v>
      </c>
      <c r="Q512" s="40">
        <f t="shared" si="50"/>
        <v>406.29</v>
      </c>
      <c r="R512" s="40">
        <f t="shared" si="50"/>
        <v>942.17</v>
      </c>
      <c r="S512" s="40">
        <f>ROUND('Смета ЕР (общ) '!$N512*'Смета ЕР (общ) '!$Q512,2)</f>
        <v>0</v>
      </c>
      <c r="T512" s="40">
        <f>ROUND('Смета ЕР (общ) '!$N512*'Смета ЕР (общ) '!$R512,2)</f>
        <v>0</v>
      </c>
    </row>
    <row r="513" spans="1:25" ht="14.4" x14ac:dyDescent="0.3">
      <c r="A513" s="36" t="s">
        <v>279</v>
      </c>
      <c r="B513" s="36">
        <v>6</v>
      </c>
      <c r="C513" s="36">
        <v>2</v>
      </c>
      <c r="D513" s="36">
        <f t="shared" si="48"/>
        <v>41</v>
      </c>
      <c r="E513" s="36" t="str">
        <f>CONCATENATE('Смета ЕР (общ) '!$A513,".",'Смета ЕР (общ) '!$B513,".",C513,".",'Смета ЕР (общ) '!$D513)</f>
        <v>Р3.6.2.41</v>
      </c>
      <c r="F513" s="36">
        <f t="shared" si="46"/>
        <v>1</v>
      </c>
      <c r="G513" s="36"/>
      <c r="H513" s="36"/>
      <c r="I513" s="36"/>
      <c r="J513" s="36"/>
      <c r="K513" s="36"/>
      <c r="L513" s="53" t="s">
        <v>570</v>
      </c>
      <c r="M513" s="38" t="s">
        <v>147</v>
      </c>
      <c r="N513" s="39"/>
      <c r="O513" s="40">
        <v>297.58</v>
      </c>
      <c r="P513" s="40">
        <v>293.41000000000003</v>
      </c>
      <c r="Q513" s="40">
        <f t="shared" si="50"/>
        <v>297.58</v>
      </c>
      <c r="R513" s="40">
        <f t="shared" si="50"/>
        <v>293.41000000000003</v>
      </c>
      <c r="S513" s="40">
        <f>ROUND('Смета ЕР (общ) '!$N513*'Смета ЕР (общ) '!$Q513,2)</f>
        <v>0</v>
      </c>
      <c r="T513" s="40">
        <f>ROUND('Смета ЕР (общ) '!$N513*'Смета ЕР (общ) '!$R513,2)</f>
        <v>0</v>
      </c>
    </row>
    <row r="514" spans="1:25" ht="24" x14ac:dyDescent="0.3">
      <c r="A514" s="58" t="s">
        <v>279</v>
      </c>
      <c r="B514" s="58">
        <v>6</v>
      </c>
      <c r="C514" s="58">
        <v>2</v>
      </c>
      <c r="D514" s="58">
        <f t="shared" si="48"/>
        <v>42</v>
      </c>
      <c r="E514" s="58" t="str">
        <f>CONCATENATE('Смета ЕР (общ) '!$A514,".",'Смета ЕР (общ) '!$B514,".",C514,".",'Смета ЕР (общ) '!$D514)</f>
        <v>Р3.6.2.42</v>
      </c>
      <c r="F514" s="58">
        <f t="shared" si="46"/>
        <v>1</v>
      </c>
      <c r="G514" s="58"/>
      <c r="H514" s="58"/>
      <c r="I514" s="58"/>
      <c r="J514" s="58"/>
      <c r="K514" s="58"/>
      <c r="L514" s="59" t="s">
        <v>571</v>
      </c>
      <c r="M514" s="60" t="s">
        <v>147</v>
      </c>
      <c r="N514" s="61"/>
      <c r="O514" s="40">
        <v>317.55</v>
      </c>
      <c r="P514" s="40">
        <v>1034.6099999999999</v>
      </c>
      <c r="Q514" s="62">
        <f t="shared" si="50"/>
        <v>317.55</v>
      </c>
      <c r="R514" s="62">
        <f t="shared" si="50"/>
        <v>1034.6099999999999</v>
      </c>
      <c r="S514" s="62">
        <f>ROUND('Смета ЕР (общ) '!$N514*'Смета ЕР (общ) '!$Q514,2)</f>
        <v>0</v>
      </c>
      <c r="T514" s="62">
        <f>ROUND('Смета ЕР (общ) '!$N514*'Смета ЕР (общ) '!$R514,2)</f>
        <v>0</v>
      </c>
    </row>
    <row r="515" spans="1:25" ht="24" x14ac:dyDescent="0.3">
      <c r="A515" s="36" t="s">
        <v>279</v>
      </c>
      <c r="B515" s="36">
        <v>6</v>
      </c>
      <c r="C515" s="36">
        <v>2</v>
      </c>
      <c r="D515" s="36">
        <f t="shared" si="48"/>
        <v>43</v>
      </c>
      <c r="E515" s="36" t="str">
        <f>CONCATENATE('Смета ЕР (общ) '!$A515,".",'Смета ЕР (общ) '!$B515,".",C515,".",'Смета ЕР (общ) '!$D515)</f>
        <v>Р3.6.2.43</v>
      </c>
      <c r="F515" s="36">
        <f t="shared" si="46"/>
        <v>1</v>
      </c>
      <c r="G515" s="36"/>
      <c r="H515" s="36"/>
      <c r="I515" s="36"/>
      <c r="J515" s="36"/>
      <c r="K515" s="36"/>
      <c r="L515" s="53" t="s">
        <v>572</v>
      </c>
      <c r="M515" s="38" t="s">
        <v>147</v>
      </c>
      <c r="N515" s="39"/>
      <c r="O515" s="40">
        <v>434.3</v>
      </c>
      <c r="P515" s="40">
        <v>832.95</v>
      </c>
      <c r="Q515" s="40">
        <f t="shared" si="50"/>
        <v>434.3</v>
      </c>
      <c r="R515" s="40">
        <f t="shared" si="50"/>
        <v>832.95</v>
      </c>
      <c r="S515" s="40">
        <f>ROUND('Смета ЕР (общ) '!$N515*'Смета ЕР (общ) '!$Q515,2)</f>
        <v>0</v>
      </c>
      <c r="T515" s="40">
        <f>ROUND('Смета ЕР (общ) '!$N515*'Смета ЕР (общ) '!$R515,2)</f>
        <v>0</v>
      </c>
      <c r="U515" s="35" t="s">
        <v>573</v>
      </c>
      <c r="Y515">
        <v>85</v>
      </c>
    </row>
    <row r="516" spans="1:25" ht="14.4" x14ac:dyDescent="0.3">
      <c r="A516" s="36" t="s">
        <v>279</v>
      </c>
      <c r="B516" s="36">
        <v>6</v>
      </c>
      <c r="C516" s="36">
        <v>2</v>
      </c>
      <c r="D516" s="36">
        <f t="shared" si="48"/>
        <v>44</v>
      </c>
      <c r="E516" s="36" t="str">
        <f>CONCATENATE('Смета ЕР (общ) '!$A516,".",'Смета ЕР (общ) '!$B516,".",C516,".",'Смета ЕР (общ) '!$D516)</f>
        <v>Р3.6.2.44</v>
      </c>
      <c r="F516" s="36">
        <f t="shared" si="46"/>
        <v>1</v>
      </c>
      <c r="G516" s="36"/>
      <c r="H516" s="36"/>
      <c r="I516" s="36"/>
      <c r="J516" s="36"/>
      <c r="K516" s="36"/>
      <c r="L516" s="37" t="s">
        <v>574</v>
      </c>
      <c r="M516" s="38" t="s">
        <v>147</v>
      </c>
      <c r="N516" s="39"/>
      <c r="O516" s="40">
        <v>297.58</v>
      </c>
      <c r="P516" s="40">
        <v>1029.52</v>
      </c>
      <c r="Q516" s="40">
        <f t="shared" si="50"/>
        <v>297.58</v>
      </c>
      <c r="R516" s="40">
        <f t="shared" si="50"/>
        <v>1029.52</v>
      </c>
      <c r="S516" s="40">
        <f>ROUND('Смета ЕР (общ) '!$N516*'Смета ЕР (общ) '!$Q516,2)</f>
        <v>0</v>
      </c>
      <c r="T516" s="40">
        <f>ROUND('Смета ЕР (общ) '!$N516*'Смета ЕР (общ) '!$R516,2)</f>
        <v>0</v>
      </c>
    </row>
    <row r="517" spans="1:25" ht="24" x14ac:dyDescent="0.3">
      <c r="A517" s="36" t="s">
        <v>279</v>
      </c>
      <c r="B517" s="36">
        <v>6</v>
      </c>
      <c r="C517" s="36">
        <v>2</v>
      </c>
      <c r="D517" s="36">
        <f t="shared" si="48"/>
        <v>45</v>
      </c>
      <c r="E517" s="36" t="str">
        <f>CONCATENATE('Смета ЕР (общ) '!$A517,".",'Смета ЕР (общ) '!$B517,".",C517,".",'Смета ЕР (общ) '!$D517)</f>
        <v>Р3.6.2.45</v>
      </c>
      <c r="F517" s="36">
        <f t="shared" si="46"/>
        <v>1</v>
      </c>
      <c r="G517" s="36"/>
      <c r="H517" s="36"/>
      <c r="I517" s="36"/>
      <c r="J517" s="36"/>
      <c r="K517" s="36"/>
      <c r="L517" s="37" t="s">
        <v>575</v>
      </c>
      <c r="M517" s="38" t="s">
        <v>40</v>
      </c>
      <c r="N517" s="39"/>
      <c r="O517" s="40">
        <v>3262.5</v>
      </c>
      <c r="P517" s="40">
        <v>2257.54</v>
      </c>
      <c r="Q517" s="40">
        <f t="shared" si="50"/>
        <v>3262.5</v>
      </c>
      <c r="R517" s="40">
        <f t="shared" si="50"/>
        <v>2257.54</v>
      </c>
      <c r="S517" s="40">
        <f>ROUND('Смета ЕР (общ) '!$N517*'Смета ЕР (общ) '!$Q517,2)</f>
        <v>0</v>
      </c>
      <c r="T517" s="40">
        <f>ROUND('Смета ЕР (общ) '!$N517*'Смета ЕР (общ) '!$R517,2)</f>
        <v>0</v>
      </c>
      <c r="Y517">
        <v>2.16</v>
      </c>
    </row>
    <row r="518" spans="1:25" ht="14.4" x14ac:dyDescent="0.3">
      <c r="A518" s="36" t="s">
        <v>279</v>
      </c>
      <c r="B518" s="36">
        <v>6</v>
      </c>
      <c r="C518" s="36">
        <v>2</v>
      </c>
      <c r="D518" s="36">
        <f t="shared" si="48"/>
        <v>46</v>
      </c>
      <c r="E518" s="36" t="str">
        <f>CONCATENATE('Смета ЕР (общ) '!$A518,".",'Смета ЕР (общ) '!$B518,".",C518,".",'Смета ЕР (общ) '!$D518)</f>
        <v>Р3.6.2.46</v>
      </c>
      <c r="F518" s="36">
        <f t="shared" si="46"/>
        <v>1</v>
      </c>
      <c r="G518" s="36"/>
      <c r="H518" s="36"/>
      <c r="I518" s="36"/>
      <c r="J518" s="36"/>
      <c r="K518" s="36"/>
      <c r="L518" s="37" t="s">
        <v>576</v>
      </c>
      <c r="M518" s="38" t="s">
        <v>40</v>
      </c>
      <c r="N518" s="39"/>
      <c r="O518" s="40">
        <v>1746.09</v>
      </c>
      <c r="P518" s="40">
        <v>19162.2</v>
      </c>
      <c r="Q518" s="40">
        <f t="shared" si="50"/>
        <v>1746.09</v>
      </c>
      <c r="R518" s="40">
        <f t="shared" si="50"/>
        <v>19162.2</v>
      </c>
      <c r="S518" s="40">
        <f>ROUND('Смета ЕР (общ) '!$N518*'Смета ЕР (общ) '!$Q518,2)</f>
        <v>0</v>
      </c>
      <c r="T518" s="40">
        <f>ROUND('Смета ЕР (общ) '!$N518*'Смета ЕР (общ) '!$R518,2)</f>
        <v>0</v>
      </c>
      <c r="Y518">
        <v>2.16</v>
      </c>
    </row>
    <row r="519" spans="1:25" ht="14.4" x14ac:dyDescent="0.3">
      <c r="A519" s="36" t="s">
        <v>279</v>
      </c>
      <c r="B519" s="36">
        <v>6</v>
      </c>
      <c r="C519" s="36">
        <v>2</v>
      </c>
      <c r="D519" s="36">
        <f t="shared" si="48"/>
        <v>47</v>
      </c>
      <c r="E519" s="36" t="str">
        <f>CONCATENATE('Смета ЕР (общ) '!$A519,".",'Смета ЕР (общ) '!$B519,".",C519,".",'Смета ЕР (общ) '!$D519)</f>
        <v>Р3.6.2.47</v>
      </c>
      <c r="F519" s="36">
        <f t="shared" si="46"/>
        <v>1</v>
      </c>
      <c r="G519" s="36"/>
      <c r="H519" s="36"/>
      <c r="I519" s="36"/>
      <c r="J519" s="36"/>
      <c r="K519" s="36"/>
      <c r="L519" s="37" t="s">
        <v>577</v>
      </c>
      <c r="M519" s="38" t="s">
        <v>147</v>
      </c>
      <c r="N519" s="39"/>
      <c r="O519" s="40">
        <v>616.1</v>
      </c>
      <c r="P519" s="40">
        <v>0</v>
      </c>
      <c r="Q519" s="40">
        <f t="shared" si="50"/>
        <v>616.1</v>
      </c>
      <c r="R519" s="40">
        <f t="shared" si="50"/>
        <v>0</v>
      </c>
      <c r="S519" s="40">
        <f>ROUND('Смета ЕР (общ) '!$N519*'Смета ЕР (общ) '!$Q519,2)</f>
        <v>0</v>
      </c>
      <c r="T519" s="40">
        <f>ROUND('Смета ЕР (общ) '!$N519*'Смета ЕР (общ) '!$R519,2)</f>
        <v>0</v>
      </c>
      <c r="Y519">
        <v>10</v>
      </c>
    </row>
    <row r="520" spans="1:25" ht="14.4" x14ac:dyDescent="0.3">
      <c r="A520" s="36" t="s">
        <v>279</v>
      </c>
      <c r="B520" s="36">
        <v>6</v>
      </c>
      <c r="C520" s="36">
        <v>2</v>
      </c>
      <c r="D520" s="36">
        <f t="shared" si="48"/>
        <v>48</v>
      </c>
      <c r="E520" s="36" t="str">
        <f>CONCATENATE('Смета ЕР (общ) '!$A520,".",'Смета ЕР (общ) '!$B520,".",C520,".",'Смета ЕР (общ) '!$D520)</f>
        <v>Р3.6.2.48</v>
      </c>
      <c r="F520" s="36">
        <f t="shared" si="46"/>
        <v>1</v>
      </c>
      <c r="G520" s="36"/>
      <c r="H520" s="36"/>
      <c r="I520" s="36"/>
      <c r="J520" s="36"/>
      <c r="K520" s="36"/>
      <c r="L520" s="37" t="s">
        <v>578</v>
      </c>
      <c r="M520" s="38" t="s">
        <v>147</v>
      </c>
      <c r="N520" s="39"/>
      <c r="O520" s="40">
        <v>528.39</v>
      </c>
      <c r="P520" s="40">
        <v>163.28</v>
      </c>
      <c r="Q520" s="40">
        <f t="shared" si="50"/>
        <v>528.39</v>
      </c>
      <c r="R520" s="40">
        <f t="shared" si="50"/>
        <v>163.28</v>
      </c>
      <c r="S520" s="40">
        <f>ROUND('Смета ЕР (общ) '!$N520*'Смета ЕР (общ) '!$Q520,2)</f>
        <v>0</v>
      </c>
      <c r="T520" s="40">
        <f>ROUND('Смета ЕР (общ) '!$N520*'Смета ЕР (общ) '!$R520,2)</f>
        <v>0</v>
      </c>
      <c r="Y520">
        <v>10</v>
      </c>
    </row>
    <row r="521" spans="1:25" ht="14.4" x14ac:dyDescent="0.3">
      <c r="A521" s="36" t="s">
        <v>279</v>
      </c>
      <c r="B521" s="36">
        <v>6</v>
      </c>
      <c r="C521" s="36">
        <v>2</v>
      </c>
      <c r="D521" s="36">
        <f t="shared" si="48"/>
        <v>49</v>
      </c>
      <c r="E521" s="36" t="str">
        <f>CONCATENATE('Смета ЕР (общ) '!$A521,".",'Смета ЕР (общ) '!$B521,".",C521,".",'Смета ЕР (общ) '!$D521)</f>
        <v>Р3.6.2.49</v>
      </c>
      <c r="F521" s="36">
        <f t="shared" si="46"/>
        <v>1</v>
      </c>
      <c r="G521" s="36"/>
      <c r="H521" s="36"/>
      <c r="I521" s="36"/>
      <c r="J521" s="36"/>
      <c r="K521" s="36"/>
      <c r="L521" s="53" t="s">
        <v>579</v>
      </c>
      <c r="M521" s="38" t="s">
        <v>40</v>
      </c>
      <c r="N521" s="39"/>
      <c r="O521" s="40">
        <v>95.7</v>
      </c>
      <c r="P521" s="40">
        <v>98.47</v>
      </c>
      <c r="Q521" s="40">
        <f t="shared" si="50"/>
        <v>95.7</v>
      </c>
      <c r="R521" s="40">
        <f t="shared" si="50"/>
        <v>98.47</v>
      </c>
      <c r="S521" s="40">
        <f>ROUND('Смета ЕР (общ) '!$N521*'Смета ЕР (общ) '!$Q521,2)</f>
        <v>0</v>
      </c>
      <c r="T521" s="40">
        <f>ROUND('Смета ЕР (общ) '!$N521*'Смета ЕР (общ) '!$R521,2)</f>
        <v>0</v>
      </c>
      <c r="Y521">
        <v>214</v>
      </c>
    </row>
    <row r="522" spans="1:25" ht="24" x14ac:dyDescent="0.3">
      <c r="A522" s="36" t="s">
        <v>279</v>
      </c>
      <c r="B522" s="36">
        <v>6</v>
      </c>
      <c r="C522" s="36">
        <v>2</v>
      </c>
      <c r="D522" s="36">
        <f t="shared" si="48"/>
        <v>50</v>
      </c>
      <c r="E522" s="36" t="str">
        <f>CONCATENATE('Смета ЕР (общ) '!$A522,".",'Смета ЕР (общ) '!$B522,".",C522,".",'Смета ЕР (общ) '!$D522)</f>
        <v>Р3.6.2.50</v>
      </c>
      <c r="F522" s="36">
        <f t="shared" si="46"/>
        <v>1</v>
      </c>
      <c r="G522" s="36"/>
      <c r="H522" s="36"/>
      <c r="I522" s="36"/>
      <c r="J522" s="36"/>
      <c r="K522" s="36"/>
      <c r="L522" s="53" t="s">
        <v>580</v>
      </c>
      <c r="M522" s="38" t="s">
        <v>40</v>
      </c>
      <c r="N522" s="39"/>
      <c r="O522" s="40">
        <v>67.86</v>
      </c>
      <c r="P522" s="40">
        <v>55.18</v>
      </c>
      <c r="Q522" s="40">
        <f t="shared" si="50"/>
        <v>67.86</v>
      </c>
      <c r="R522" s="40">
        <f t="shared" si="50"/>
        <v>55.18</v>
      </c>
      <c r="S522" s="40">
        <f>ROUND('Смета ЕР (общ) '!$N522*'Смета ЕР (общ) '!$Q522,2)</f>
        <v>0</v>
      </c>
      <c r="T522" s="40">
        <f>ROUND('Смета ЕР (общ) '!$N522*'Смета ЕР (общ) '!$R522,2)</f>
        <v>0</v>
      </c>
      <c r="Y522">
        <v>214</v>
      </c>
    </row>
    <row r="523" spans="1:25" ht="14.4" x14ac:dyDescent="0.3">
      <c r="A523" s="36" t="s">
        <v>279</v>
      </c>
      <c r="B523" s="36">
        <v>6</v>
      </c>
      <c r="C523" s="36">
        <v>2</v>
      </c>
      <c r="D523" s="36">
        <f t="shared" si="48"/>
        <v>51</v>
      </c>
      <c r="E523" s="36" t="str">
        <f>CONCATENATE('Смета ЕР (общ) '!$A523,".",'Смета ЕР (общ) '!$B523,".",C523,".",'Смета ЕР (общ) '!$D523)</f>
        <v>Р3.6.2.51</v>
      </c>
      <c r="F523" s="36">
        <f t="shared" si="46"/>
        <v>1</v>
      </c>
      <c r="G523" s="36"/>
      <c r="H523" s="36"/>
      <c r="I523" s="36"/>
      <c r="J523" s="36"/>
      <c r="K523" s="36"/>
      <c r="L523" s="53" t="s">
        <v>581</v>
      </c>
      <c r="M523" s="38" t="s">
        <v>40</v>
      </c>
      <c r="N523" s="39"/>
      <c r="O523" s="40">
        <v>1287</v>
      </c>
      <c r="P523" s="40">
        <f>[1]Фальшпол!J17*1.05</f>
        <v>3407.6224321762134</v>
      </c>
      <c r="Q523" s="40">
        <f t="shared" si="50"/>
        <v>1287</v>
      </c>
      <c r="R523" s="66">
        <f>P523</f>
        <v>3407.6224321762134</v>
      </c>
      <c r="S523" s="40">
        <f>ROUND('Смета ЕР (общ) '!$N523*'Смета ЕР (общ) '!$Q523,2)</f>
        <v>0</v>
      </c>
      <c r="T523" s="40">
        <f>ROUND('Смета ЕР (общ) '!$N523*'Смета ЕР (общ) '!$R523,2)</f>
        <v>0</v>
      </c>
      <c r="U523" s="67" t="s">
        <v>582</v>
      </c>
      <c r="V523" s="68"/>
      <c r="Y523">
        <v>1</v>
      </c>
    </row>
    <row r="524" spans="1:25" ht="27" customHeight="1" x14ac:dyDescent="0.3">
      <c r="A524" s="36" t="s">
        <v>279</v>
      </c>
      <c r="B524" s="36">
        <v>6</v>
      </c>
      <c r="C524" s="36">
        <v>2</v>
      </c>
      <c r="D524" s="36">
        <v>59</v>
      </c>
      <c r="E524" s="36" t="str">
        <f>CONCATENATE('Смета ЕР (общ) '!$A524,".",'Смета ЕР (общ) '!$B524,".",C524,".",'Смета ЕР (общ) '!$D524)</f>
        <v>Р3.6.2.59</v>
      </c>
      <c r="F524" s="36">
        <f t="shared" si="46"/>
        <v>1</v>
      </c>
      <c r="G524" s="36"/>
      <c r="H524" s="36"/>
      <c r="I524" s="36"/>
      <c r="J524" s="36"/>
      <c r="K524" s="36"/>
      <c r="L524" s="53" t="s">
        <v>583</v>
      </c>
      <c r="M524" s="38" t="s">
        <v>40</v>
      </c>
      <c r="N524" s="39"/>
      <c r="O524" s="40">
        <v>1287</v>
      </c>
      <c r="P524" s="40">
        <f>[1]Фальшпол!J31*1.05</f>
        <v>12552.992802546583</v>
      </c>
      <c r="Q524" s="40">
        <f t="shared" si="50"/>
        <v>1287</v>
      </c>
      <c r="R524" s="66">
        <f>P524</f>
        <v>12552.992802546583</v>
      </c>
      <c r="S524" s="40">
        <f>ROUND('Смета ЕР (общ) '!$N524*'Смета ЕР (общ) '!$Q524,2)</f>
        <v>0</v>
      </c>
      <c r="T524" s="40">
        <f>ROUND('Смета ЕР (общ) '!$N524*'Смета ЕР (общ) '!$R524,2)</f>
        <v>0</v>
      </c>
      <c r="U524" s="67" t="s">
        <v>582</v>
      </c>
      <c r="V524" s="68"/>
    </row>
    <row r="525" spans="1:25" ht="24" x14ac:dyDescent="0.3">
      <c r="A525" s="36" t="s">
        <v>279</v>
      </c>
      <c r="B525" s="36">
        <v>6</v>
      </c>
      <c r="C525" s="36">
        <v>2</v>
      </c>
      <c r="D525" s="36">
        <f>D523+1</f>
        <v>52</v>
      </c>
      <c r="E525" s="36" t="str">
        <f>CONCATENATE('Смета ЕР (общ) '!$A525,".",'Смета ЕР (общ) '!$B525,".",C525,".",'Смета ЕР (общ) '!$D525)</f>
        <v>Р3.6.2.52</v>
      </c>
      <c r="F525" s="36">
        <f>IF(N525&gt;0,F523+1,F523)</f>
        <v>1</v>
      </c>
      <c r="G525" s="36"/>
      <c r="H525" s="36"/>
      <c r="I525" s="36"/>
      <c r="J525" s="36"/>
      <c r="K525" s="36"/>
      <c r="L525" s="53" t="s">
        <v>584</v>
      </c>
      <c r="M525" s="38" t="s">
        <v>40</v>
      </c>
      <c r="N525" s="39"/>
      <c r="O525" s="40">
        <v>165</v>
      </c>
      <c r="P525" s="40">
        <v>35.01</v>
      </c>
      <c r="Q525" s="40">
        <f t="shared" si="50"/>
        <v>165</v>
      </c>
      <c r="R525" s="40">
        <f t="shared" si="50"/>
        <v>35.01</v>
      </c>
      <c r="S525" s="40">
        <f>ROUND('Смета ЕР (общ) '!$N525*'Смета ЕР (общ) '!$Q525,2)</f>
        <v>0</v>
      </c>
      <c r="T525" s="40">
        <f>ROUND('Смета ЕР (общ) '!$N525*'Смета ЕР (общ) '!$R525,2)</f>
        <v>0</v>
      </c>
    </row>
    <row r="526" spans="1:25" ht="14.4" x14ac:dyDescent="0.3">
      <c r="A526" s="36" t="s">
        <v>279</v>
      </c>
      <c r="B526" s="36">
        <v>6</v>
      </c>
      <c r="C526" s="36">
        <v>2</v>
      </c>
      <c r="D526" s="36">
        <f t="shared" si="48"/>
        <v>53</v>
      </c>
      <c r="E526" s="36" t="str">
        <f>CONCATENATE('Смета ЕР (общ) '!$A526,".",'Смета ЕР (общ) '!$B526,".",C526,".",'Смета ЕР (общ) '!$D526)</f>
        <v>Р3.6.2.53</v>
      </c>
      <c r="F526" s="36">
        <f t="shared" si="46"/>
        <v>1</v>
      </c>
      <c r="G526" s="36"/>
      <c r="H526" s="36"/>
      <c r="I526" s="36"/>
      <c r="J526" s="36"/>
      <c r="K526" s="36"/>
      <c r="L526" s="53" t="s">
        <v>585</v>
      </c>
      <c r="M526" s="38" t="s">
        <v>147</v>
      </c>
      <c r="N526" s="39"/>
      <c r="O526" s="40">
        <v>393.59</v>
      </c>
      <c r="P526" s="40">
        <v>437.5</v>
      </c>
      <c r="Q526" s="40">
        <f t="shared" si="50"/>
        <v>393.59</v>
      </c>
      <c r="R526" s="40">
        <f t="shared" si="50"/>
        <v>437.5</v>
      </c>
      <c r="S526" s="40">
        <f>ROUND('Смета ЕР (общ) '!$N526*'Смета ЕР (общ) '!$Q526,2)</f>
        <v>0</v>
      </c>
      <c r="T526" s="40">
        <f>ROUND('Смета ЕР (общ) '!$N526*'Смета ЕР (общ) '!$R526,2)</f>
        <v>0</v>
      </c>
    </row>
    <row r="527" spans="1:25" ht="14.4" x14ac:dyDescent="0.3">
      <c r="A527" s="36" t="s">
        <v>279</v>
      </c>
      <c r="B527" s="36">
        <v>6</v>
      </c>
      <c r="C527" s="36">
        <v>2</v>
      </c>
      <c r="D527" s="36">
        <f t="shared" si="48"/>
        <v>54</v>
      </c>
      <c r="E527" s="36" t="str">
        <f>CONCATENATE('Смета ЕР (общ) '!$A527,".",'Смета ЕР (общ) '!$B527,".",C527,".",'Смета ЕР (общ) '!$D527)</f>
        <v>Р3.6.2.54</v>
      </c>
      <c r="F527" s="36">
        <f t="shared" si="46"/>
        <v>1</v>
      </c>
      <c r="G527" s="36"/>
      <c r="H527" s="36"/>
      <c r="I527" s="36"/>
      <c r="J527" s="36"/>
      <c r="K527" s="36"/>
      <c r="L527" s="53" t="s">
        <v>586</v>
      </c>
      <c r="M527" s="38" t="s">
        <v>40</v>
      </c>
      <c r="N527" s="39"/>
      <c r="O527" s="40">
        <v>2030.58</v>
      </c>
      <c r="P527" s="40">
        <v>9144.17</v>
      </c>
      <c r="Q527" s="40">
        <f t="shared" si="50"/>
        <v>2030.58</v>
      </c>
      <c r="R527" s="40">
        <f t="shared" si="50"/>
        <v>9144.17</v>
      </c>
      <c r="S527" s="40">
        <f>ROUND('Смета ЕР (общ) '!$N527*'Смета ЕР (общ) '!$Q527,2)</f>
        <v>0</v>
      </c>
      <c r="T527" s="40">
        <f>ROUND('Смета ЕР (общ) '!$N527*'Смета ЕР (общ) '!$R527,2)</f>
        <v>0</v>
      </c>
    </row>
    <row r="528" spans="1:25" ht="24" x14ac:dyDescent="0.3">
      <c r="A528" s="36" t="s">
        <v>279</v>
      </c>
      <c r="B528" s="36">
        <v>6</v>
      </c>
      <c r="C528" s="36">
        <v>2</v>
      </c>
      <c r="D528" s="36">
        <f t="shared" si="48"/>
        <v>55</v>
      </c>
      <c r="E528" s="36" t="str">
        <f>CONCATENATE('Смета ЕР (общ) '!$A528,".",'Смета ЕР (общ) '!$B528,".",C528,".",'Смета ЕР (общ) '!$D528)</f>
        <v>Р3.6.2.55</v>
      </c>
      <c r="F528" s="36">
        <f t="shared" si="46"/>
        <v>1</v>
      </c>
      <c r="G528" s="36"/>
      <c r="H528" s="36"/>
      <c r="I528" s="36"/>
      <c r="J528" s="36"/>
      <c r="K528" s="36"/>
      <c r="L528" s="53" t="s">
        <v>587</v>
      </c>
      <c r="M528" s="54" t="s">
        <v>40</v>
      </c>
      <c r="N528" s="39"/>
      <c r="O528" s="40">
        <v>4438.46</v>
      </c>
      <c r="P528" s="40">
        <v>951.63</v>
      </c>
      <c r="Q528" s="40">
        <f t="shared" si="50"/>
        <v>4438.46</v>
      </c>
      <c r="R528" s="40">
        <f t="shared" si="50"/>
        <v>951.63</v>
      </c>
      <c r="S528" s="40">
        <f>ROUND('Смета ЕР (общ) '!$N528*'Смета ЕР (общ) '!$Q528,2)</f>
        <v>0</v>
      </c>
      <c r="T528" s="40">
        <f>ROUND('Смета ЕР (общ) '!$N528*'Смета ЕР (общ) '!$R528,2)</f>
        <v>0</v>
      </c>
    </row>
    <row r="529" spans="1:25" ht="24" x14ac:dyDescent="0.3">
      <c r="A529" s="36" t="s">
        <v>279</v>
      </c>
      <c r="B529" s="36">
        <v>6</v>
      </c>
      <c r="C529" s="36">
        <v>2</v>
      </c>
      <c r="D529" s="36">
        <f t="shared" si="48"/>
        <v>56</v>
      </c>
      <c r="E529" s="36" t="str">
        <f>CONCATENATE('Смета ЕР (общ) '!$A529,".",'Смета ЕР (общ) '!$B529,".",C529,".",'Смета ЕР (общ) '!$D529)</f>
        <v>Р3.6.2.56</v>
      </c>
      <c r="F529" s="36">
        <f t="shared" ref="F529:F592" si="51">IF(N529&gt;0,F528+1,F528)</f>
        <v>1</v>
      </c>
      <c r="G529" s="36"/>
      <c r="H529" s="36"/>
      <c r="I529" s="36"/>
      <c r="J529" s="36"/>
      <c r="K529" s="36"/>
      <c r="L529" s="53" t="s">
        <v>588</v>
      </c>
      <c r="M529" s="54" t="s">
        <v>40</v>
      </c>
      <c r="N529" s="39"/>
      <c r="O529" s="40">
        <v>1900.08</v>
      </c>
      <c r="P529" s="40">
        <v>390.4</v>
      </c>
      <c r="Q529" s="40">
        <f t="shared" si="50"/>
        <v>1900.08</v>
      </c>
      <c r="R529" s="40">
        <f t="shared" si="50"/>
        <v>390.4</v>
      </c>
      <c r="S529" s="40">
        <f>ROUND('Смета ЕР (общ) '!$N529*'Смета ЕР (общ) '!$Q529,2)</f>
        <v>0</v>
      </c>
      <c r="T529" s="40">
        <f>ROUND('Смета ЕР (общ) '!$N529*'Смета ЕР (общ) '!$R529,2)</f>
        <v>0</v>
      </c>
    </row>
    <row r="530" spans="1:25" ht="14.4" x14ac:dyDescent="0.3">
      <c r="A530" s="36" t="s">
        <v>279</v>
      </c>
      <c r="B530" s="36">
        <v>6</v>
      </c>
      <c r="C530" s="36">
        <v>2</v>
      </c>
      <c r="D530" s="36">
        <f t="shared" si="48"/>
        <v>57</v>
      </c>
      <c r="E530" s="36" t="str">
        <f>CONCATENATE('Смета ЕР (общ) '!$A530,".",'Смета ЕР (общ) '!$B530,".",C530,".",'Смета ЕР (общ) '!$D530)</f>
        <v>Р3.6.2.57</v>
      </c>
      <c r="F530" s="36">
        <f t="shared" si="51"/>
        <v>1</v>
      </c>
      <c r="G530" s="36"/>
      <c r="H530" s="36"/>
      <c r="I530" s="36"/>
      <c r="J530" s="36"/>
      <c r="K530" s="36"/>
      <c r="L530" s="53" t="s">
        <v>589</v>
      </c>
      <c r="M530" s="54" t="s">
        <v>40</v>
      </c>
      <c r="N530" s="39"/>
      <c r="O530" s="40">
        <v>2015.27</v>
      </c>
      <c r="P530" s="40">
        <v>1652.54</v>
      </c>
      <c r="Q530" s="40">
        <f t="shared" si="50"/>
        <v>2015.27</v>
      </c>
      <c r="R530" s="40">
        <f t="shared" si="50"/>
        <v>1652.54</v>
      </c>
      <c r="S530" s="40">
        <f>ROUND('Смета ЕР (общ) '!$N530*'Смета ЕР (общ) '!$Q530,2)</f>
        <v>0</v>
      </c>
      <c r="T530" s="40">
        <f>ROUND('Смета ЕР (общ) '!$N530*'Смета ЕР (общ) '!$R530,2)</f>
        <v>0</v>
      </c>
    </row>
    <row r="531" spans="1:25" ht="14.4" x14ac:dyDescent="0.3">
      <c r="A531" s="36" t="s">
        <v>279</v>
      </c>
      <c r="B531" s="36">
        <v>6</v>
      </c>
      <c r="C531" s="36">
        <v>2</v>
      </c>
      <c r="D531" s="36">
        <f t="shared" si="48"/>
        <v>58</v>
      </c>
      <c r="E531" s="36" t="str">
        <f>CONCATENATE('Смета ЕР (общ) '!$A531,".",'Смета ЕР (общ) '!$B531,".",C531,".",'Смета ЕР (общ) '!$D531)</f>
        <v>Р3.6.2.58</v>
      </c>
      <c r="F531" s="36">
        <f t="shared" si="51"/>
        <v>1</v>
      </c>
      <c r="G531" s="36"/>
      <c r="H531" s="36"/>
      <c r="I531" s="36"/>
      <c r="J531" s="36"/>
      <c r="K531" s="36"/>
      <c r="L531" s="53" t="s">
        <v>590</v>
      </c>
      <c r="M531" s="54" t="s">
        <v>40</v>
      </c>
      <c r="N531" s="39"/>
      <c r="O531" s="40">
        <v>475.02</v>
      </c>
      <c r="P531" s="40">
        <v>560.77</v>
      </c>
      <c r="Q531" s="40">
        <f t="shared" si="50"/>
        <v>475.02</v>
      </c>
      <c r="R531" s="40">
        <f t="shared" si="50"/>
        <v>560.77</v>
      </c>
      <c r="S531" s="40">
        <f>ROUND('Смета ЕР (общ) '!$N531*'Смета ЕР (общ) '!$Q531,2)</f>
        <v>0</v>
      </c>
      <c r="T531" s="40">
        <f>ROUND('Смета ЕР (общ) '!$N531*'Смета ЕР (общ) '!$R531,2)</f>
        <v>0</v>
      </c>
    </row>
    <row r="532" spans="1:25" ht="14.4" x14ac:dyDescent="0.3">
      <c r="A532" s="48" t="s">
        <v>279</v>
      </c>
      <c r="B532" s="48">
        <v>7</v>
      </c>
      <c r="C532" s="48"/>
      <c r="D532" s="48">
        <v>0</v>
      </c>
      <c r="E532" s="48" t="str">
        <f>CONCATENATE('Смета ЕР (общ) '!$A532,".",'Смета ЕР (общ) '!$B532,".",'Смета ЕР (общ) '!$D532)</f>
        <v>Р3.7.0</v>
      </c>
      <c r="F532" s="48">
        <f t="shared" si="51"/>
        <v>1</v>
      </c>
      <c r="G532" s="48"/>
      <c r="H532" s="48"/>
      <c r="I532" s="48"/>
      <c r="J532" s="48"/>
      <c r="K532" s="48"/>
      <c r="L532" s="49" t="s">
        <v>591</v>
      </c>
      <c r="M532" s="31"/>
      <c r="N532" s="32">
        <f>S532</f>
        <v>0</v>
      </c>
      <c r="O532" s="47"/>
      <c r="P532" s="47"/>
      <c r="Q532" s="34"/>
      <c r="R532" s="34"/>
      <c r="S532" s="34">
        <f>SUM(S533:S551)</f>
        <v>0</v>
      </c>
      <c r="T532" s="34">
        <f>SUM(T533:T551)</f>
        <v>0</v>
      </c>
      <c r="Y532">
        <v>44347.770000000004</v>
      </c>
    </row>
    <row r="533" spans="1:25" ht="36" x14ac:dyDescent="0.3">
      <c r="A533" s="117" t="s">
        <v>279</v>
      </c>
      <c r="B533" s="117">
        <v>7</v>
      </c>
      <c r="C533" s="117"/>
      <c r="D533" s="117">
        <v>1</v>
      </c>
      <c r="E533" s="117" t="str">
        <f>CONCATENATE('Смета ЕР (общ) '!$A533,".",'Смета ЕР (общ) '!$B533,".",'Смета ЕР (общ) '!$D533)</f>
        <v>Р3.7.1</v>
      </c>
      <c r="F533" s="117">
        <f t="shared" si="51"/>
        <v>1</v>
      </c>
      <c r="G533" s="198"/>
      <c r="H533" s="198"/>
      <c r="I533" s="198"/>
      <c r="J533" s="198"/>
      <c r="K533" s="198"/>
      <c r="L533" s="118" t="s">
        <v>592</v>
      </c>
      <c r="M533" s="38" t="s">
        <v>118</v>
      </c>
      <c r="N533" s="39"/>
      <c r="O533" s="40">
        <v>8143.2</v>
      </c>
      <c r="P533" s="40">
        <f>[1]Броня!F21</f>
        <v>88725</v>
      </c>
      <c r="Q533" s="62">
        <f>ROUND(O533-O533*$V$3,2)</f>
        <v>8143.2</v>
      </c>
      <c r="R533" s="66">
        <f>P533</f>
        <v>88725</v>
      </c>
      <c r="S533" s="62">
        <f>ROUND('Смета ЕР (общ) '!$N533*'Смета ЕР (общ) '!$Q533,2)</f>
        <v>0</v>
      </c>
      <c r="T533" s="62">
        <f>ROUND('Смета ЕР (общ) '!$N533*'Смета ЕР (общ) '!$R533,2)</f>
        <v>0</v>
      </c>
      <c r="U533" s="67" t="s">
        <v>395</v>
      </c>
      <c r="V533" s="68"/>
      <c r="Y533">
        <v>1</v>
      </c>
    </row>
    <row r="534" spans="1:25" ht="36" x14ac:dyDescent="0.3">
      <c r="A534" s="117" t="s">
        <v>279</v>
      </c>
      <c r="B534" s="117">
        <v>7</v>
      </c>
      <c r="C534" s="117"/>
      <c r="D534" s="117">
        <v>6</v>
      </c>
      <c r="E534" s="117" t="str">
        <f>CONCATENATE('Смета ЕР (общ) '!$A534,".",'Смета ЕР (общ) '!$B534,".",'Смета ЕР (общ) '!$D534)</f>
        <v>Р3.7.6</v>
      </c>
      <c r="F534" s="117">
        <f t="shared" si="51"/>
        <v>1</v>
      </c>
      <c r="G534" s="198"/>
      <c r="H534" s="198"/>
      <c r="I534" s="198"/>
      <c r="J534" s="198"/>
      <c r="K534" s="198"/>
      <c r="L534" s="118" t="s">
        <v>593</v>
      </c>
      <c r="M534" s="38" t="s">
        <v>118</v>
      </c>
      <c r="N534" s="61"/>
      <c r="O534" s="40">
        <v>8143.2</v>
      </c>
      <c r="P534" s="40">
        <f>[1]Броня!F22</f>
        <v>87150</v>
      </c>
      <c r="Q534" s="62">
        <f t="shared" ref="Q534:R549" si="52">ROUND(O534-O534*$V$3,2)</f>
        <v>8143.2</v>
      </c>
      <c r="R534" s="66">
        <f t="shared" ref="R534:R536" si="53">P534</f>
        <v>87150</v>
      </c>
      <c r="S534" s="62">
        <f>ROUND('Смета ЕР (общ) '!$N534*'Смета ЕР (общ) '!$Q534,2)</f>
        <v>0</v>
      </c>
      <c r="T534" s="62">
        <f>ROUND('Смета ЕР (общ) '!$N534*'Смета ЕР (общ) '!$R534,2)</f>
        <v>0</v>
      </c>
      <c r="U534" s="67" t="s">
        <v>395</v>
      </c>
      <c r="V534" s="68"/>
    </row>
    <row r="535" spans="1:25" ht="60" x14ac:dyDescent="0.3">
      <c r="A535" s="119" t="s">
        <v>279</v>
      </c>
      <c r="B535" s="119">
        <v>7</v>
      </c>
      <c r="C535" s="119"/>
      <c r="D535" s="119">
        <v>2</v>
      </c>
      <c r="E535" s="119" t="str">
        <f>CONCATENATE('Смета ЕР (общ) '!$A535,".",'Смета ЕР (общ) '!$B535,".",'Смета ЕР (общ) '!$D535)</f>
        <v>Р3.7.2</v>
      </c>
      <c r="F535" s="119">
        <f t="shared" si="51"/>
        <v>1</v>
      </c>
      <c r="G535" s="199"/>
      <c r="H535" s="199"/>
      <c r="I535" s="199"/>
      <c r="J535" s="199"/>
      <c r="K535" s="199"/>
      <c r="L535" s="118" t="s">
        <v>594</v>
      </c>
      <c r="M535" s="38" t="s">
        <v>118</v>
      </c>
      <c r="N535" s="39"/>
      <c r="O535" s="40">
        <v>13154.4</v>
      </c>
      <c r="P535" s="40">
        <f>[1]Броня!F23</f>
        <v>148575</v>
      </c>
      <c r="Q535" s="62">
        <f t="shared" si="52"/>
        <v>13154.4</v>
      </c>
      <c r="R535" s="66">
        <f t="shared" si="53"/>
        <v>148575</v>
      </c>
      <c r="S535" s="62">
        <f>ROUND('Смета ЕР (общ) '!$N535*'Смета ЕР (общ) '!$Q535,2)</f>
        <v>0</v>
      </c>
      <c r="T535" s="62">
        <f>ROUND('Смета ЕР (общ) '!$N535*'Смета ЕР (общ) '!$R535,2)</f>
        <v>0</v>
      </c>
      <c r="U535" s="67" t="s">
        <v>395</v>
      </c>
      <c r="V535" s="68"/>
    </row>
    <row r="536" spans="1:25" ht="24" x14ac:dyDescent="0.3">
      <c r="A536" s="119" t="s">
        <v>279</v>
      </c>
      <c r="B536" s="119">
        <v>7</v>
      </c>
      <c r="C536" s="119"/>
      <c r="D536" s="119">
        <v>3</v>
      </c>
      <c r="E536" s="119" t="str">
        <f>CONCATENATE('Смета ЕР (общ) '!$A536,".",'Смета ЕР (общ) '!$B536,".",'Смета ЕР (общ) '!$D536)</f>
        <v>Р3.7.3</v>
      </c>
      <c r="F536" s="119">
        <f t="shared" si="51"/>
        <v>1</v>
      </c>
      <c r="G536" s="199"/>
      <c r="H536" s="199"/>
      <c r="I536" s="199"/>
      <c r="J536" s="199"/>
      <c r="K536" s="199"/>
      <c r="L536" s="120" t="s">
        <v>595</v>
      </c>
      <c r="M536" s="38" t="s">
        <v>118</v>
      </c>
      <c r="N536" s="61"/>
      <c r="O536" s="40">
        <v>25056</v>
      </c>
      <c r="P536" s="40">
        <f>[1]Броня!F24</f>
        <v>223650</v>
      </c>
      <c r="Q536" s="62">
        <f t="shared" si="52"/>
        <v>25056</v>
      </c>
      <c r="R536" s="66">
        <f t="shared" si="53"/>
        <v>223650</v>
      </c>
      <c r="S536" s="62">
        <f>ROUND('Смета ЕР (общ) '!$N536*'Смета ЕР (общ) '!$Q536,2)</f>
        <v>0</v>
      </c>
      <c r="T536" s="62">
        <f>ROUND('Смета ЕР (общ) '!$N536*'Смета ЕР (общ) '!$R536,2)</f>
        <v>0</v>
      </c>
      <c r="U536" s="67" t="s">
        <v>395</v>
      </c>
      <c r="V536" s="68"/>
    </row>
    <row r="537" spans="1:25" ht="24" x14ac:dyDescent="0.3">
      <c r="A537" s="121" t="s">
        <v>279</v>
      </c>
      <c r="B537" s="121">
        <v>7</v>
      </c>
      <c r="C537" s="121"/>
      <c r="D537" s="121">
        <v>28</v>
      </c>
      <c r="E537" s="121" t="str">
        <f>CONCATENATE('Смета ЕР (общ) '!$A537,".",'Смета ЕР (общ) '!$B537,".",'Смета ЕР (общ) '!$D537)</f>
        <v>Р3.7.28</v>
      </c>
      <c r="F537" s="121">
        <f t="shared" si="51"/>
        <v>1</v>
      </c>
      <c r="G537" s="121"/>
      <c r="H537" s="121"/>
      <c r="I537" s="121"/>
      <c r="J537" s="121"/>
      <c r="K537" s="121"/>
      <c r="L537" s="122" t="s">
        <v>596</v>
      </c>
      <c r="M537" s="38" t="s">
        <v>118</v>
      </c>
      <c r="N537" s="61"/>
      <c r="O537" s="40">
        <v>13154.4</v>
      </c>
      <c r="P537" s="40">
        <v>152449.26999999999</v>
      </c>
      <c r="Q537" s="62">
        <f t="shared" si="52"/>
        <v>13154.4</v>
      </c>
      <c r="R537" s="62">
        <f t="shared" si="52"/>
        <v>152449.26999999999</v>
      </c>
      <c r="S537" s="62">
        <f>ROUND('Смета ЕР (общ) '!$N537*'Смета ЕР (общ) '!$Q537,2)</f>
        <v>0</v>
      </c>
      <c r="T537" s="62">
        <f>ROUND('Смета ЕР (общ) '!$N537*'Смета ЕР (общ) '!$R537,2)</f>
        <v>0</v>
      </c>
    </row>
    <row r="538" spans="1:25" ht="14.4" x14ac:dyDescent="0.3">
      <c r="A538" s="36" t="s">
        <v>279</v>
      </c>
      <c r="B538" s="36">
        <v>7</v>
      </c>
      <c r="C538" s="36"/>
      <c r="D538" s="36">
        <v>4</v>
      </c>
      <c r="E538" s="36" t="str">
        <f>CONCATENATE('Смета ЕР (общ) '!$A538,".",'Смета ЕР (общ) '!$B538,".",'Смета ЕР (общ) '!$D538)</f>
        <v>Р3.7.4</v>
      </c>
      <c r="F538" s="36">
        <f t="shared" si="51"/>
        <v>1</v>
      </c>
      <c r="G538" s="36"/>
      <c r="H538" s="36"/>
      <c r="I538" s="36"/>
      <c r="J538" s="36"/>
      <c r="K538" s="36"/>
      <c r="L538" s="53" t="s">
        <v>597</v>
      </c>
      <c r="M538" s="38" t="s">
        <v>118</v>
      </c>
      <c r="N538" s="39"/>
      <c r="O538" s="40">
        <v>1879.2</v>
      </c>
      <c r="P538" s="40">
        <v>6029.99</v>
      </c>
      <c r="Q538" s="40">
        <f t="shared" si="52"/>
        <v>1879.2</v>
      </c>
      <c r="R538" s="40">
        <f t="shared" si="52"/>
        <v>6029.99</v>
      </c>
      <c r="S538" s="40">
        <f>ROUND('Смета ЕР (общ) '!$N538*'Смета ЕР (общ) '!$Q538,2)</f>
        <v>0</v>
      </c>
      <c r="T538" s="40">
        <f>ROUND('Смета ЕР (общ) '!$N538*'Смета ЕР (общ) '!$R538,2)</f>
        <v>0</v>
      </c>
      <c r="Y538">
        <v>1</v>
      </c>
    </row>
    <row r="539" spans="1:25" ht="24" x14ac:dyDescent="0.3">
      <c r="A539" s="36" t="s">
        <v>279</v>
      </c>
      <c r="B539" s="36">
        <v>7</v>
      </c>
      <c r="C539" s="36"/>
      <c r="D539" s="36">
        <v>29</v>
      </c>
      <c r="E539" s="36" t="str">
        <f>CONCATENATE('Смета ЕР (общ) '!$A539,".",'Смета ЕР (общ) '!$B539,".",'Смета ЕР (общ) '!$D539)</f>
        <v>Р3.7.29</v>
      </c>
      <c r="F539" s="36">
        <f t="shared" si="51"/>
        <v>1</v>
      </c>
      <c r="G539" s="36"/>
      <c r="H539" s="36"/>
      <c r="I539" s="36"/>
      <c r="J539" s="36"/>
      <c r="K539" s="36"/>
      <c r="L539" s="37" t="s">
        <v>598</v>
      </c>
      <c r="M539" s="54" t="s">
        <v>40</v>
      </c>
      <c r="N539" s="39"/>
      <c r="O539" s="40">
        <v>600.5</v>
      </c>
      <c r="P539" s="40">
        <v>1227.8699999999999</v>
      </c>
      <c r="Q539" s="40">
        <f t="shared" si="52"/>
        <v>600.5</v>
      </c>
      <c r="R539" s="40">
        <f t="shared" si="52"/>
        <v>1227.8699999999999</v>
      </c>
      <c r="S539" s="40">
        <f>ROUND('Смета ЕР (общ) '!$N539*'Смета ЕР (общ) '!$Q539,2)</f>
        <v>0</v>
      </c>
      <c r="T539" s="40">
        <f>ROUND('Смета ЕР (общ) '!$N539*'Смета ЕР (общ) '!$R539,2)</f>
        <v>0</v>
      </c>
    </row>
    <row r="540" spans="1:25" ht="24" x14ac:dyDescent="0.3">
      <c r="A540" s="36" t="s">
        <v>279</v>
      </c>
      <c r="B540" s="36">
        <v>7</v>
      </c>
      <c r="C540" s="36"/>
      <c r="D540" s="36">
        <v>30</v>
      </c>
      <c r="E540" s="36" t="str">
        <f>CONCATENATE('Смета ЕР (общ) '!$A540,".",'Смета ЕР (общ) '!$B540,".",'Смета ЕР (общ) '!$D540)</f>
        <v>Р3.7.30</v>
      </c>
      <c r="F540" s="36">
        <f t="shared" si="51"/>
        <v>1</v>
      </c>
      <c r="G540" s="36"/>
      <c r="H540" s="36"/>
      <c r="I540" s="36"/>
      <c r="J540" s="36"/>
      <c r="K540" s="36"/>
      <c r="L540" s="37" t="s">
        <v>599</v>
      </c>
      <c r="M540" s="54" t="s">
        <v>40</v>
      </c>
      <c r="N540" s="39"/>
      <c r="O540" s="40">
        <v>814.32</v>
      </c>
      <c r="P540" s="40">
        <v>1725.94</v>
      </c>
      <c r="Q540" s="40">
        <f t="shared" si="52"/>
        <v>814.32</v>
      </c>
      <c r="R540" s="40">
        <f t="shared" si="52"/>
        <v>1725.94</v>
      </c>
      <c r="S540" s="40">
        <f>ROUND('Смета ЕР (общ) '!$N540*'Смета ЕР (общ) '!$Q540,2)</f>
        <v>0</v>
      </c>
      <c r="T540" s="40">
        <f>ROUND('Смета ЕР (общ) '!$N540*'Смета ЕР (общ) '!$R540,2)</f>
        <v>0</v>
      </c>
    </row>
    <row r="541" spans="1:25" ht="24" x14ac:dyDescent="0.3">
      <c r="A541" s="36" t="s">
        <v>279</v>
      </c>
      <c r="B541" s="36">
        <v>7</v>
      </c>
      <c r="C541" s="36"/>
      <c r="D541" s="36">
        <v>31</v>
      </c>
      <c r="E541" s="36" t="str">
        <f>CONCATENATE('Смета ЕР (общ) '!$A541,".",'Смета ЕР (общ) '!$B541,".",'Смета ЕР (общ) '!$D541)</f>
        <v>Р3.7.31</v>
      </c>
      <c r="F541" s="36">
        <f t="shared" si="51"/>
        <v>1</v>
      </c>
      <c r="G541" s="36"/>
      <c r="H541" s="36"/>
      <c r="I541" s="36"/>
      <c r="J541" s="36"/>
      <c r="K541" s="36"/>
      <c r="L541" s="37" t="s">
        <v>600</v>
      </c>
      <c r="M541" s="54" t="s">
        <v>40</v>
      </c>
      <c r="N541" s="39"/>
      <c r="O541" s="40">
        <v>597.11</v>
      </c>
      <c r="P541" s="40">
        <v>1378.37</v>
      </c>
      <c r="Q541" s="40">
        <f t="shared" si="52"/>
        <v>597.11</v>
      </c>
      <c r="R541" s="40">
        <f t="shared" si="52"/>
        <v>1378.37</v>
      </c>
      <c r="S541" s="40">
        <f>ROUND('Смета ЕР (общ) '!$N541*'Смета ЕР (общ) '!$Q541,2)</f>
        <v>0</v>
      </c>
      <c r="T541" s="40">
        <f>ROUND('Смета ЕР (общ) '!$N541*'Смета ЕР (общ) '!$R541,2)</f>
        <v>0</v>
      </c>
      <c r="Y541">
        <v>20</v>
      </c>
    </row>
    <row r="542" spans="1:25" ht="36" x14ac:dyDescent="0.3">
      <c r="A542" s="36" t="s">
        <v>279</v>
      </c>
      <c r="B542" s="36">
        <v>7</v>
      </c>
      <c r="C542" s="36"/>
      <c r="D542" s="36">
        <v>5</v>
      </c>
      <c r="E542" s="36" t="str">
        <f>CONCATENATE('Смета ЕР (общ) '!$A542,".",'Смета ЕР (общ) '!$B542,".",'Смета ЕР (общ) '!$D542)</f>
        <v>Р3.7.5</v>
      </c>
      <c r="F542" s="36">
        <f t="shared" si="51"/>
        <v>1</v>
      </c>
      <c r="G542" s="36"/>
      <c r="H542" s="36"/>
      <c r="I542" s="36"/>
      <c r="J542" s="36"/>
      <c r="K542" s="36"/>
      <c r="L542" s="37" t="s">
        <v>601</v>
      </c>
      <c r="M542" s="54" t="s">
        <v>40</v>
      </c>
      <c r="N542" s="39"/>
      <c r="O542" s="40">
        <v>583.73</v>
      </c>
      <c r="P542" s="40">
        <v>1148.4100000000001</v>
      </c>
      <c r="Q542" s="40">
        <f t="shared" si="52"/>
        <v>583.73</v>
      </c>
      <c r="R542" s="40">
        <f t="shared" si="52"/>
        <v>1148.4100000000001</v>
      </c>
      <c r="S542" s="40">
        <f>ROUND('Смета ЕР (общ) '!$N542*'Смета ЕР (общ) '!$Q542,2)</f>
        <v>0</v>
      </c>
      <c r="T542" s="40">
        <f>ROUND('Смета ЕР (общ) '!$N542*'Смета ЕР (общ) '!$R542,2)</f>
        <v>0</v>
      </c>
    </row>
    <row r="543" spans="1:25" ht="24" x14ac:dyDescent="0.3">
      <c r="A543" s="123" t="s">
        <v>279</v>
      </c>
      <c r="B543" s="123">
        <v>7</v>
      </c>
      <c r="C543" s="123"/>
      <c r="D543" s="123">
        <v>33</v>
      </c>
      <c r="E543" s="123" t="str">
        <f>CONCATENATE('Смета ЕР (общ) '!$A543,".",'Смета ЕР (общ) '!$B543,".",'Смета ЕР (общ) '!$D543)</f>
        <v>Р3.7.33</v>
      </c>
      <c r="F543" s="123">
        <f t="shared" si="51"/>
        <v>1</v>
      </c>
      <c r="G543" s="123"/>
      <c r="H543" s="123"/>
      <c r="I543" s="123"/>
      <c r="J543" s="123"/>
      <c r="K543" s="123"/>
      <c r="L543" s="124" t="s">
        <v>602</v>
      </c>
      <c r="M543" s="38" t="s">
        <v>118</v>
      </c>
      <c r="N543" s="39"/>
      <c r="O543" s="40">
        <v>6890.4</v>
      </c>
      <c r="P543" s="40">
        <f>[1]Броня!F7</f>
        <v>52500</v>
      </c>
      <c r="Q543" s="40">
        <f t="shared" si="52"/>
        <v>6890.4</v>
      </c>
      <c r="R543" s="66">
        <f>P543</f>
        <v>52500</v>
      </c>
      <c r="S543" s="40">
        <f>ROUND('Смета ЕР (общ) '!$N543*'Смета ЕР (общ) '!$Q543,2)</f>
        <v>0</v>
      </c>
      <c r="T543" s="40">
        <f>ROUND('Смета ЕР (общ) '!$N543*'Смета ЕР (общ) '!$R543,2)</f>
        <v>0</v>
      </c>
      <c r="U543" s="67" t="s">
        <v>395</v>
      </c>
      <c r="V543" s="68"/>
      <c r="Y543">
        <v>1</v>
      </c>
    </row>
    <row r="544" spans="1:25" ht="60" x14ac:dyDescent="0.3">
      <c r="A544" s="125" t="s">
        <v>279</v>
      </c>
      <c r="B544" s="125">
        <v>7</v>
      </c>
      <c r="C544" s="125"/>
      <c r="D544" s="125">
        <v>34</v>
      </c>
      <c r="E544" s="125" t="str">
        <f>CONCATENATE('Смета ЕР (общ) '!$A544,".",'Смета ЕР (общ) '!$B544,".",'Смета ЕР (общ) '!$D544)</f>
        <v>Р3.7.34</v>
      </c>
      <c r="F544" s="125">
        <f t="shared" si="51"/>
        <v>1</v>
      </c>
      <c r="G544" s="125"/>
      <c r="H544" s="125"/>
      <c r="I544" s="125"/>
      <c r="J544" s="125"/>
      <c r="K544" s="125"/>
      <c r="L544" s="126" t="s">
        <v>603</v>
      </c>
      <c r="M544" s="38" t="s">
        <v>118</v>
      </c>
      <c r="N544" s="39"/>
      <c r="O544" s="40">
        <v>4384.8</v>
      </c>
      <c r="P544" s="40">
        <f>[1]Броня!F8</f>
        <v>39900</v>
      </c>
      <c r="Q544" s="40">
        <f t="shared" si="52"/>
        <v>4384.8</v>
      </c>
      <c r="R544" s="66">
        <f>P544</f>
        <v>39900</v>
      </c>
      <c r="S544" s="40">
        <f>ROUND('Смета ЕР (общ) '!$N544*'Смета ЕР (общ) '!$Q544,2)</f>
        <v>0</v>
      </c>
      <c r="T544" s="40">
        <f>ROUND('Смета ЕР (общ) '!$N544*'Смета ЕР (общ) '!$R544,2)</f>
        <v>0</v>
      </c>
      <c r="U544" s="67" t="s">
        <v>395</v>
      </c>
      <c r="V544" s="68"/>
      <c r="Y544">
        <v>1</v>
      </c>
    </row>
    <row r="545" spans="1:25" ht="72" x14ac:dyDescent="0.3">
      <c r="A545" s="127" t="s">
        <v>279</v>
      </c>
      <c r="B545" s="127">
        <v>7</v>
      </c>
      <c r="C545" s="127"/>
      <c r="D545" s="127">
        <v>7</v>
      </c>
      <c r="E545" s="127" t="str">
        <f>CONCATENATE('Смета ЕР (общ) '!$A545,".",'Смета ЕР (общ) '!$B545,".",'Смета ЕР (общ) '!$D545)</f>
        <v>Р3.7.7</v>
      </c>
      <c r="F545" s="127">
        <f t="shared" si="51"/>
        <v>1</v>
      </c>
      <c r="G545" s="127"/>
      <c r="H545" s="127"/>
      <c r="I545" s="127"/>
      <c r="J545" s="127"/>
      <c r="K545" s="127"/>
      <c r="L545" s="128" t="s">
        <v>604</v>
      </c>
      <c r="M545" s="38"/>
      <c r="N545" s="39"/>
      <c r="O545" s="40">
        <v>8207.6610000000001</v>
      </c>
      <c r="P545" s="40">
        <f>[1]Броня!F9</f>
        <v>105000</v>
      </c>
      <c r="Q545" s="40">
        <f t="shared" si="52"/>
        <v>8207.66</v>
      </c>
      <c r="R545" s="66">
        <f t="shared" ref="R545:R547" si="54">P545</f>
        <v>105000</v>
      </c>
      <c r="S545" s="40">
        <f>ROUND('Смета ЕР (общ) '!$N545*'Смета ЕР (общ) '!$Q545,2)</f>
        <v>0</v>
      </c>
      <c r="T545" s="40">
        <f>ROUND('Смета ЕР (общ) '!$N545*'Смета ЕР (общ) '!$R545,2)</f>
        <v>0</v>
      </c>
      <c r="U545" s="67" t="s">
        <v>395</v>
      </c>
      <c r="V545" s="68"/>
    </row>
    <row r="546" spans="1:25" ht="48" x14ac:dyDescent="0.3">
      <c r="A546" s="125" t="s">
        <v>279</v>
      </c>
      <c r="B546" s="125">
        <v>7</v>
      </c>
      <c r="C546" s="125"/>
      <c r="D546" s="125">
        <v>35</v>
      </c>
      <c r="E546" s="125" t="str">
        <f>CONCATENATE('Смета ЕР (общ) '!$A546,".",'Смета ЕР (общ) '!$B546,".",'Смета ЕР (общ) '!$D546)</f>
        <v>Р3.7.35</v>
      </c>
      <c r="F546" s="125">
        <f t="shared" si="51"/>
        <v>1</v>
      </c>
      <c r="G546" s="125"/>
      <c r="H546" s="125"/>
      <c r="I546" s="125"/>
      <c r="J546" s="125"/>
      <c r="K546" s="125"/>
      <c r="L546" s="126" t="s">
        <v>605</v>
      </c>
      <c r="M546" s="38" t="s">
        <v>118</v>
      </c>
      <c r="N546" s="39"/>
      <c r="O546" s="40">
        <v>9396</v>
      </c>
      <c r="P546" s="40">
        <f>[1]Броня!F10</f>
        <v>99750</v>
      </c>
      <c r="Q546" s="40">
        <f t="shared" si="52"/>
        <v>9396</v>
      </c>
      <c r="R546" s="66">
        <f t="shared" si="54"/>
        <v>99750</v>
      </c>
      <c r="S546" s="40">
        <f>ROUND('Смета ЕР (общ) '!$N546*'Смета ЕР (общ) '!$Q546,2)</f>
        <v>0</v>
      </c>
      <c r="T546" s="40">
        <f>ROUND('Смета ЕР (общ) '!$N546*'Смета ЕР (общ) '!$R546,2)</f>
        <v>0</v>
      </c>
      <c r="U546" s="67" t="s">
        <v>395</v>
      </c>
      <c r="V546" s="68"/>
      <c r="Y546">
        <v>1</v>
      </c>
    </row>
    <row r="547" spans="1:25" ht="60" x14ac:dyDescent="0.3">
      <c r="A547" s="125" t="s">
        <v>279</v>
      </c>
      <c r="B547" s="125">
        <v>7</v>
      </c>
      <c r="C547" s="125"/>
      <c r="D547" s="125">
        <v>8</v>
      </c>
      <c r="E547" s="125" t="str">
        <f>CONCATENATE('Смета ЕР (общ) '!$A547,".",'Смета ЕР (общ) '!$B547,".",'Смета ЕР (общ) '!$D547)</f>
        <v>Р3.7.8</v>
      </c>
      <c r="F547" s="125">
        <f t="shared" si="51"/>
        <v>1</v>
      </c>
      <c r="G547" s="125"/>
      <c r="H547" s="125"/>
      <c r="I547" s="125"/>
      <c r="J547" s="125"/>
      <c r="K547" s="125"/>
      <c r="L547" s="126" t="s">
        <v>606</v>
      </c>
      <c r="M547" s="38"/>
      <c r="N547" s="39"/>
      <c r="O547" s="40">
        <v>8769.6</v>
      </c>
      <c r="P547" s="40">
        <f>[1]Броня!F13</f>
        <v>78750</v>
      </c>
      <c r="Q547" s="40">
        <f t="shared" si="52"/>
        <v>8769.6</v>
      </c>
      <c r="R547" s="66">
        <f t="shared" si="54"/>
        <v>78750</v>
      </c>
      <c r="S547" s="40">
        <f>ROUND('Смета ЕР (общ) '!$N547*'Смета ЕР (общ) '!$Q547,2)</f>
        <v>0</v>
      </c>
      <c r="T547" s="40">
        <f>ROUND('Смета ЕР (общ) '!$N547*'Смета ЕР (общ) '!$R547,2)</f>
        <v>0</v>
      </c>
      <c r="U547" s="67" t="s">
        <v>395</v>
      </c>
      <c r="V547" s="68"/>
    </row>
    <row r="548" spans="1:25" ht="14.4" x14ac:dyDescent="0.3">
      <c r="A548" s="36" t="s">
        <v>279</v>
      </c>
      <c r="B548" s="36">
        <v>7</v>
      </c>
      <c r="C548" s="36"/>
      <c r="D548" s="36">
        <v>9</v>
      </c>
      <c r="E548" s="36" t="str">
        <f>CONCATENATE('Смета ЕР (общ) '!$A548,".",'Смета ЕР (общ) '!$B548,".",'Смета ЕР (общ) '!$D548)</f>
        <v>Р3.7.9</v>
      </c>
      <c r="F548" s="36">
        <f t="shared" si="51"/>
        <v>1</v>
      </c>
      <c r="G548" s="36"/>
      <c r="H548" s="36"/>
      <c r="I548" s="36"/>
      <c r="J548" s="36"/>
      <c r="K548" s="36"/>
      <c r="L548" s="37" t="s">
        <v>607</v>
      </c>
      <c r="M548" s="38" t="s">
        <v>118</v>
      </c>
      <c r="N548" s="39"/>
      <c r="O548" s="40">
        <v>1711.97</v>
      </c>
      <c r="P548" s="40">
        <v>7308</v>
      </c>
      <c r="Q548" s="40">
        <f t="shared" si="52"/>
        <v>1711.97</v>
      </c>
      <c r="R548" s="66">
        <f>P548</f>
        <v>7308</v>
      </c>
      <c r="S548" s="40">
        <f>ROUND('Смета ЕР (общ) '!$N548*'Смета ЕР (общ) '!$Q548,2)</f>
        <v>0</v>
      </c>
      <c r="T548" s="40">
        <f>ROUND('Смета ЕР (общ) '!$N548*'Смета ЕР (общ) '!$R548,2)</f>
        <v>0</v>
      </c>
      <c r="U548" s="67" t="s">
        <v>395</v>
      </c>
      <c r="V548" s="68"/>
      <c r="Y548">
        <v>1</v>
      </c>
    </row>
    <row r="549" spans="1:25" ht="24" x14ac:dyDescent="0.3">
      <c r="A549" s="129" t="s">
        <v>279</v>
      </c>
      <c r="B549" s="129">
        <v>7</v>
      </c>
      <c r="C549" s="129"/>
      <c r="D549" s="129">
        <v>12</v>
      </c>
      <c r="E549" s="129" t="str">
        <f>CONCATENATE('Смета ЕР (общ) '!$A549,".",'Смета ЕР (общ) '!$B549,".",'Смета ЕР (общ) '!$D549)</f>
        <v>Р3.7.12</v>
      </c>
      <c r="F549" s="129">
        <f t="shared" si="51"/>
        <v>1</v>
      </c>
      <c r="G549" s="129"/>
      <c r="H549" s="129"/>
      <c r="I549" s="129"/>
      <c r="J549" s="129"/>
      <c r="K549" s="129"/>
      <c r="L549" s="130" t="s">
        <v>608</v>
      </c>
      <c r="M549" s="38" t="s">
        <v>40</v>
      </c>
      <c r="N549" s="39"/>
      <c r="O549" s="40">
        <v>3908.74</v>
      </c>
      <c r="P549" s="40">
        <f>[1]Броня!F16</f>
        <v>14700</v>
      </c>
      <c r="Q549" s="40">
        <f t="shared" si="52"/>
        <v>3908.74</v>
      </c>
      <c r="R549" s="66">
        <f>P549</f>
        <v>14700</v>
      </c>
      <c r="S549" s="40">
        <f>ROUND('Смета ЕР (общ) '!$N549*'Смета ЕР (общ) '!$Q549,2)</f>
        <v>0</v>
      </c>
      <c r="T549" s="40">
        <f>ROUND('Смета ЕР (общ) '!$N549*'Смета ЕР (общ) '!$R549,2)</f>
        <v>0</v>
      </c>
      <c r="U549" s="67" t="s">
        <v>395</v>
      </c>
      <c r="V549" s="68"/>
    </row>
    <row r="550" spans="1:25" ht="24" x14ac:dyDescent="0.3">
      <c r="A550" s="129" t="s">
        <v>279</v>
      </c>
      <c r="B550" s="129">
        <v>7</v>
      </c>
      <c r="C550" s="129"/>
      <c r="D550" s="129">
        <v>16</v>
      </c>
      <c r="E550" s="129" t="str">
        <f>CONCATENATE('Смета ЕР (общ) '!$A550,".",'Смета ЕР (общ) '!$B550,".",'Смета ЕР (общ) '!$D550)</f>
        <v>Р3.7.16</v>
      </c>
      <c r="F550" s="129">
        <f t="shared" si="51"/>
        <v>1</v>
      </c>
      <c r="G550" s="129"/>
      <c r="H550" s="129"/>
      <c r="I550" s="129"/>
      <c r="J550" s="129"/>
      <c r="K550" s="129"/>
      <c r="L550" s="130" t="s">
        <v>609</v>
      </c>
      <c r="M550" s="38" t="s">
        <v>40</v>
      </c>
      <c r="N550" s="39"/>
      <c r="O550" s="40">
        <v>3908.74</v>
      </c>
      <c r="P550" s="40">
        <f>[1]Броня!F18</f>
        <v>17535</v>
      </c>
      <c r="Q550" s="40">
        <f t="shared" ref="Q550:Q552" si="55">ROUND(O550-O550*$V$3,2)</f>
        <v>3908.74</v>
      </c>
      <c r="R550" s="66">
        <f t="shared" ref="R550:R551" si="56">P550</f>
        <v>17535</v>
      </c>
      <c r="S550" s="40">
        <f>ROUND('Смета ЕР (общ) '!$N550*'Смета ЕР (общ) '!$Q550,2)</f>
        <v>0</v>
      </c>
      <c r="T550" s="40">
        <f>ROUND('Смета ЕР (общ) '!$N550*'Смета ЕР (общ) '!$R550,2)</f>
        <v>0</v>
      </c>
      <c r="U550" s="67" t="s">
        <v>395</v>
      </c>
      <c r="V550" s="68"/>
    </row>
    <row r="551" spans="1:25" ht="24" x14ac:dyDescent="0.3">
      <c r="A551" s="129" t="s">
        <v>279</v>
      </c>
      <c r="B551" s="129">
        <v>7</v>
      </c>
      <c r="C551" s="129"/>
      <c r="D551" s="129">
        <v>13</v>
      </c>
      <c r="E551" s="129" t="str">
        <f>CONCATENATE('Смета ЕР (общ) '!$A551,".",'Смета ЕР (общ) '!$B551,".",'Смета ЕР (общ) '!$D551)</f>
        <v>Р3.7.13</v>
      </c>
      <c r="F551" s="129">
        <f t="shared" si="51"/>
        <v>1</v>
      </c>
      <c r="G551" s="129"/>
      <c r="H551" s="129"/>
      <c r="I551" s="129"/>
      <c r="J551" s="129"/>
      <c r="K551" s="129"/>
      <c r="L551" s="130" t="s">
        <v>610</v>
      </c>
      <c r="M551" s="38" t="s">
        <v>40</v>
      </c>
      <c r="N551" s="61"/>
      <c r="O551" s="40">
        <v>5345.28</v>
      </c>
      <c r="P551" s="40">
        <f>[1]Броня!F20</f>
        <v>15750</v>
      </c>
      <c r="Q551" s="40">
        <f t="shared" si="55"/>
        <v>5345.28</v>
      </c>
      <c r="R551" s="66">
        <f t="shared" si="56"/>
        <v>15750</v>
      </c>
      <c r="S551" s="40">
        <f>ROUND('Смета ЕР (общ) '!$N551*'Смета ЕР (общ) '!$Q551,2)</f>
        <v>0</v>
      </c>
      <c r="T551" s="40">
        <f>ROUND('Смета ЕР (общ) '!$N551*'Смета ЕР (общ) '!$R551,2)</f>
        <v>0</v>
      </c>
      <c r="U551" s="67" t="s">
        <v>395</v>
      </c>
      <c r="V551" s="68"/>
    </row>
    <row r="552" spans="1:25" ht="14.4" x14ac:dyDescent="0.3">
      <c r="A552" s="48" t="s">
        <v>279</v>
      </c>
      <c r="B552" s="48">
        <v>8</v>
      </c>
      <c r="C552" s="48"/>
      <c r="D552" s="48">
        <v>0</v>
      </c>
      <c r="E552" s="48" t="str">
        <f>CONCATENATE('Смета ЕР (общ) '!$A552,".",'Смета ЕР (общ) '!$B552,".",'Смета ЕР (общ) '!$D552)</f>
        <v>Р3.8.0</v>
      </c>
      <c r="F552" s="48">
        <f t="shared" si="51"/>
        <v>1</v>
      </c>
      <c r="G552" s="48"/>
      <c r="H552" s="48"/>
      <c r="I552" s="48"/>
      <c r="J552" s="48"/>
      <c r="K552" s="48"/>
      <c r="L552" s="49" t="s">
        <v>611</v>
      </c>
      <c r="M552" s="31"/>
      <c r="N552" s="32">
        <f>S552</f>
        <v>0</v>
      </c>
      <c r="O552" s="47"/>
      <c r="P552" s="47"/>
      <c r="Q552" s="34"/>
      <c r="R552" s="34"/>
      <c r="S552" s="34">
        <f>SUM(S553:S585)</f>
        <v>0</v>
      </c>
      <c r="T552" s="34">
        <f>SUM(T553:T585)</f>
        <v>0</v>
      </c>
      <c r="Y552">
        <v>0</v>
      </c>
    </row>
    <row r="553" spans="1:25" ht="14.4" x14ac:dyDescent="0.3">
      <c r="A553" s="36" t="s">
        <v>279</v>
      </c>
      <c r="B553" s="36">
        <v>8</v>
      </c>
      <c r="C553" s="36"/>
      <c r="D553" s="36">
        <v>1</v>
      </c>
      <c r="E553" s="36" t="str">
        <f>CONCATENATE('Смета ЕР (общ) '!$A553,".",'Смета ЕР (общ) '!$B553,".",'Смета ЕР (общ) '!$D553)</f>
        <v>Р3.8.1</v>
      </c>
      <c r="F553" s="36">
        <f t="shared" si="51"/>
        <v>1</v>
      </c>
      <c r="G553" s="36"/>
      <c r="H553" s="36"/>
      <c r="I553" s="36"/>
      <c r="J553" s="36"/>
      <c r="K553" s="36"/>
      <c r="L553" s="53" t="s">
        <v>612</v>
      </c>
      <c r="M553" s="38" t="s">
        <v>613</v>
      </c>
      <c r="N553" s="39"/>
      <c r="O553" s="40">
        <v>0</v>
      </c>
      <c r="P553" s="40">
        <v>92562.12</v>
      </c>
      <c r="Q553" s="40">
        <f>ROUND(O553-O553*$V$3,2)</f>
        <v>0</v>
      </c>
      <c r="R553" s="40">
        <f>ROUND(P553-P553*$V$3,2)</f>
        <v>92562.12</v>
      </c>
      <c r="S553" s="40">
        <f>ROUND('Смета ЕР (общ) '!$N553*'Смета ЕР (общ) '!$Q553,2)</f>
        <v>0</v>
      </c>
      <c r="T553" s="40">
        <f>ROUND('Смета ЕР (общ) '!$N553*'Смета ЕР (общ) '!$R553,2)</f>
        <v>0</v>
      </c>
      <c r="Y553">
        <v>1</v>
      </c>
    </row>
    <row r="554" spans="1:25" ht="14.4" x14ac:dyDescent="0.3">
      <c r="A554" s="36" t="s">
        <v>279</v>
      </c>
      <c r="B554" s="36">
        <v>8</v>
      </c>
      <c r="C554" s="36"/>
      <c r="D554" s="36">
        <v>7</v>
      </c>
      <c r="E554" s="36" t="str">
        <f>CONCATENATE('Смета ЕР (общ) '!$A554,".",'Смета ЕР (общ) '!$B554,".",'Смета ЕР (общ) '!$D554)</f>
        <v>Р3.8.7</v>
      </c>
      <c r="F554" s="36">
        <f t="shared" si="51"/>
        <v>1</v>
      </c>
      <c r="G554" s="36"/>
      <c r="H554" s="36"/>
      <c r="I554" s="36"/>
      <c r="J554" s="36"/>
      <c r="K554" s="36"/>
      <c r="L554" s="53" t="s">
        <v>614</v>
      </c>
      <c r="M554" s="38" t="s">
        <v>613</v>
      </c>
      <c r="N554" s="39"/>
      <c r="O554" s="40">
        <v>0</v>
      </c>
      <c r="P554" s="40">
        <v>29764.55</v>
      </c>
      <c r="Q554" s="40">
        <v>0</v>
      </c>
      <c r="R554" s="40">
        <v>0</v>
      </c>
      <c r="S554" s="40">
        <v>0</v>
      </c>
      <c r="T554" s="40">
        <v>0</v>
      </c>
      <c r="Y554">
        <v>1</v>
      </c>
    </row>
    <row r="555" spans="1:25" ht="36" x14ac:dyDescent="0.3">
      <c r="A555" s="36" t="s">
        <v>279</v>
      </c>
      <c r="B555" s="36">
        <v>8</v>
      </c>
      <c r="C555" s="36"/>
      <c r="D555" s="36">
        <v>2</v>
      </c>
      <c r="E555" s="36" t="str">
        <f>CONCATENATE('Смета ЕР (общ) '!$A555,".",'Смета ЕР (общ) '!$B555,".",'Смета ЕР (общ) '!$D555)</f>
        <v>Р3.8.2</v>
      </c>
      <c r="F555" s="36">
        <f t="shared" si="51"/>
        <v>1</v>
      </c>
      <c r="G555" s="36"/>
      <c r="H555" s="36"/>
      <c r="I555" s="36"/>
      <c r="J555" s="36"/>
      <c r="K555" s="36"/>
      <c r="L555" s="37" t="s">
        <v>615</v>
      </c>
      <c r="M555" s="38" t="s">
        <v>40</v>
      </c>
      <c r="N555" s="39"/>
      <c r="O555" s="40">
        <v>718.58</v>
      </c>
      <c r="P555" s="40">
        <v>1089.81</v>
      </c>
      <c r="Q555" s="40">
        <f t="shared" ref="Q555:R574" si="57">ROUND(O555-O555*$V$3,2)</f>
        <v>718.58</v>
      </c>
      <c r="R555" s="40">
        <f t="shared" si="57"/>
        <v>1089.81</v>
      </c>
      <c r="S555" s="40">
        <f>ROUND('Смета ЕР (общ) '!$N555*'Смета ЕР (общ) '!$Q555,2)</f>
        <v>0</v>
      </c>
      <c r="T555" s="40">
        <f>ROUND('Смета ЕР (общ) '!$N555*'Смета ЕР (общ) '!$R555,2)</f>
        <v>0</v>
      </c>
    </row>
    <row r="556" spans="1:25" ht="61.5" customHeight="1" x14ac:dyDescent="0.3">
      <c r="A556" s="36" t="s">
        <v>279</v>
      </c>
      <c r="B556" s="36">
        <v>8</v>
      </c>
      <c r="C556" s="36"/>
      <c r="D556" s="36">
        <v>8</v>
      </c>
      <c r="E556" s="36" t="str">
        <f>CONCATENATE('Смета ЕР (общ) '!$A556,".",'Смета ЕР (общ) '!$B556,".",'Смета ЕР (общ) '!$D556)</f>
        <v>Р3.8.8</v>
      </c>
      <c r="F556" s="36">
        <f t="shared" si="51"/>
        <v>1</v>
      </c>
      <c r="G556" s="36"/>
      <c r="H556" s="36"/>
      <c r="I556" s="36"/>
      <c r="J556" s="36"/>
      <c r="K556" s="36"/>
      <c r="L556" s="37" t="s">
        <v>616</v>
      </c>
      <c r="M556" s="38" t="s">
        <v>40</v>
      </c>
      <c r="N556" s="39"/>
      <c r="O556" s="40">
        <v>1503.36</v>
      </c>
      <c r="P556" s="40">
        <v>1578.25</v>
      </c>
      <c r="Q556" s="40">
        <f t="shared" si="57"/>
        <v>1503.36</v>
      </c>
      <c r="R556" s="40">
        <f t="shared" si="57"/>
        <v>1578.25</v>
      </c>
      <c r="S556" s="40">
        <f>ROUND('Смета ЕР (общ) '!$N556*'Смета ЕР (общ) '!$Q556,2)</f>
        <v>0</v>
      </c>
      <c r="T556" s="40">
        <f>ROUND('Смета ЕР (общ) '!$N556*'Смета ЕР (общ) '!$R556,2)</f>
        <v>0</v>
      </c>
      <c r="U556" s="35" t="s">
        <v>617</v>
      </c>
    </row>
    <row r="557" spans="1:25" ht="61.5" customHeight="1" x14ac:dyDescent="0.3">
      <c r="A557" s="36" t="s">
        <v>279</v>
      </c>
      <c r="B557" s="36">
        <v>8</v>
      </c>
      <c r="C557" s="36"/>
      <c r="D557" s="36">
        <v>53</v>
      </c>
      <c r="E557" s="36" t="str">
        <f>CONCATENATE('Смета ЕР (общ) '!$A557,".",'Смета ЕР (общ) '!$B557,".",'Смета ЕР (общ) '!$D557)</f>
        <v>Р3.8.53</v>
      </c>
      <c r="F557" s="36">
        <f t="shared" si="51"/>
        <v>1</v>
      </c>
      <c r="G557" s="36"/>
      <c r="H557" s="36"/>
      <c r="I557" s="36"/>
      <c r="J557" s="36"/>
      <c r="K557" s="36"/>
      <c r="L557" s="37" t="s">
        <v>618</v>
      </c>
      <c r="M557" s="38" t="s">
        <v>40</v>
      </c>
      <c r="N557" s="39"/>
      <c r="O557" s="40">
        <v>1503.36</v>
      </c>
      <c r="P557" s="40">
        <v>1578.25</v>
      </c>
      <c r="Q557" s="40">
        <f t="shared" si="57"/>
        <v>1503.36</v>
      </c>
      <c r="R557" s="40">
        <f t="shared" si="57"/>
        <v>1578.25</v>
      </c>
      <c r="S557" s="40">
        <f>ROUND('Смета ЕР (общ) '!$N557*'Смета ЕР (общ) '!$Q557,2)</f>
        <v>0</v>
      </c>
      <c r="T557" s="40">
        <f>ROUND('Смета ЕР (общ) '!$N557*'Смета ЕР (общ) '!$R557,2)</f>
        <v>0</v>
      </c>
      <c r="U557" s="35" t="s">
        <v>619</v>
      </c>
    </row>
    <row r="558" spans="1:25" ht="61.5" customHeight="1" x14ac:dyDescent="0.3">
      <c r="A558" s="36" t="s">
        <v>279</v>
      </c>
      <c r="B558" s="36">
        <v>8</v>
      </c>
      <c r="C558" s="36"/>
      <c r="D558" s="36">
        <v>54</v>
      </c>
      <c r="E558" s="36" t="str">
        <f>CONCATENATE('Смета ЕР (общ) '!$A558,".",'Смета ЕР (общ) '!$B558,".",'Смета ЕР (общ) '!$D558)</f>
        <v>Р3.8.54</v>
      </c>
      <c r="F558" s="36">
        <f t="shared" si="51"/>
        <v>1</v>
      </c>
      <c r="G558" s="36"/>
      <c r="H558" s="36"/>
      <c r="I558" s="36"/>
      <c r="J558" s="36"/>
      <c r="K558" s="36"/>
      <c r="L558" s="37" t="s">
        <v>620</v>
      </c>
      <c r="M558" s="38" t="s">
        <v>40</v>
      </c>
      <c r="N558" s="39"/>
      <c r="O558" s="40">
        <v>2100</v>
      </c>
      <c r="P558" s="40">
        <v>4323.04</v>
      </c>
      <c r="Q558" s="40">
        <f t="shared" si="57"/>
        <v>2100</v>
      </c>
      <c r="R558" s="40">
        <f t="shared" si="57"/>
        <v>4323.04</v>
      </c>
      <c r="S558" s="40">
        <f>ROUND('Смета ЕР (общ) '!$N558*'Смета ЕР (общ) '!$Q558,2)</f>
        <v>0</v>
      </c>
      <c r="T558" s="40">
        <f>ROUND('Смета ЕР (общ) '!$N558*'Смета ЕР (общ) '!$R558,2)</f>
        <v>0</v>
      </c>
      <c r="U558" s="35" t="s">
        <v>619</v>
      </c>
    </row>
    <row r="559" spans="1:25" ht="14.4" x14ac:dyDescent="0.3">
      <c r="A559" s="36" t="s">
        <v>279</v>
      </c>
      <c r="B559" s="36">
        <v>8</v>
      </c>
      <c r="C559" s="36"/>
      <c r="D559" s="36">
        <v>3</v>
      </c>
      <c r="E559" s="36" t="str">
        <f>CONCATENATE('Смета ЕР (общ) '!$A559,".",'Смета ЕР (общ) '!$B559,".",'Смета ЕР (общ) '!$D559)</f>
        <v>Р3.8.3</v>
      </c>
      <c r="F559" s="36">
        <f>IF(N559&gt;0,F556+1,F556)</f>
        <v>1</v>
      </c>
      <c r="G559" s="36"/>
      <c r="H559" s="36"/>
      <c r="I559" s="36"/>
      <c r="J559" s="36"/>
      <c r="K559" s="36"/>
      <c r="L559" s="37" t="s">
        <v>621</v>
      </c>
      <c r="M559" s="38" t="s">
        <v>40</v>
      </c>
      <c r="N559" s="39"/>
      <c r="O559" s="40">
        <v>382.8</v>
      </c>
      <c r="P559" s="40">
        <v>465.84</v>
      </c>
      <c r="Q559" s="40">
        <f t="shared" si="57"/>
        <v>382.8</v>
      </c>
      <c r="R559" s="40">
        <f t="shared" si="57"/>
        <v>465.84</v>
      </c>
      <c r="S559" s="40">
        <f>ROUND('Смета ЕР (общ) '!$N559*'Смета ЕР (общ) '!$Q559,2)</f>
        <v>0</v>
      </c>
      <c r="T559" s="40">
        <f>ROUND('Смета ЕР (общ) '!$N559*'Смета ЕР (общ) '!$R559,2)</f>
        <v>0</v>
      </c>
    </row>
    <row r="560" spans="1:25" ht="14.4" x14ac:dyDescent="0.3">
      <c r="A560" s="36" t="s">
        <v>279</v>
      </c>
      <c r="B560" s="36">
        <v>8</v>
      </c>
      <c r="C560" s="36"/>
      <c r="D560" s="36">
        <v>4</v>
      </c>
      <c r="E560" s="36" t="str">
        <f>CONCATENATE('Смета ЕР (общ) '!$A560,".",'Смета ЕР (общ) '!$B560,".",'Смета ЕР (общ) '!$D560)</f>
        <v>Р3.8.4</v>
      </c>
      <c r="F560" s="36">
        <f t="shared" si="51"/>
        <v>1</v>
      </c>
      <c r="G560" s="36"/>
      <c r="H560" s="36"/>
      <c r="I560" s="36"/>
      <c r="J560" s="36"/>
      <c r="K560" s="36"/>
      <c r="L560" s="37" t="s">
        <v>622</v>
      </c>
      <c r="M560" s="38" t="s">
        <v>147</v>
      </c>
      <c r="N560" s="39"/>
      <c r="O560" s="40">
        <v>2612.5</v>
      </c>
      <c r="P560" s="40">
        <v>13880.9</v>
      </c>
      <c r="Q560" s="40">
        <f t="shared" si="57"/>
        <v>2612.5</v>
      </c>
      <c r="R560" s="40">
        <f t="shared" si="57"/>
        <v>13880.9</v>
      </c>
      <c r="S560" s="40">
        <f>ROUND('Смета ЕР (общ) '!$N560*'Смета ЕР (общ) '!$Q560,2)</f>
        <v>0</v>
      </c>
      <c r="T560" s="40">
        <f>ROUND('Смета ЕР (общ) '!$N560*'Смета ЕР (общ) '!$R560,2)</f>
        <v>0</v>
      </c>
    </row>
    <row r="561" spans="1:20" ht="14.4" x14ac:dyDescent="0.3">
      <c r="A561" s="36" t="s">
        <v>279</v>
      </c>
      <c r="B561" s="36">
        <v>8</v>
      </c>
      <c r="C561" s="36"/>
      <c r="D561" s="36">
        <v>5</v>
      </c>
      <c r="E561" s="36" t="str">
        <f>CONCATENATE('Смета ЕР (общ) '!$A561,".",'Смета ЕР (общ) '!$B561,".",'Смета ЕР (общ) '!$D561)</f>
        <v>Р3.8.5</v>
      </c>
      <c r="F561" s="36">
        <f t="shared" si="51"/>
        <v>1</v>
      </c>
      <c r="G561" s="36"/>
      <c r="H561" s="36"/>
      <c r="I561" s="36"/>
      <c r="J561" s="36"/>
      <c r="K561" s="36"/>
      <c r="L561" s="37" t="s">
        <v>623</v>
      </c>
      <c r="M561" s="38" t="s">
        <v>147</v>
      </c>
      <c r="N561" s="39"/>
      <c r="O561" s="40">
        <v>670.77</v>
      </c>
      <c r="P561" s="40">
        <v>1272.1099999999999</v>
      </c>
      <c r="Q561" s="40">
        <f t="shared" si="57"/>
        <v>670.77</v>
      </c>
      <c r="R561" s="40">
        <f t="shared" si="57"/>
        <v>1272.1099999999999</v>
      </c>
      <c r="S561" s="40">
        <f>ROUND('Смета ЕР (общ) '!$N561*'Смета ЕР (общ) '!$Q561,2)</f>
        <v>0</v>
      </c>
      <c r="T561" s="40">
        <f>ROUND('Смета ЕР (общ) '!$N561*'Смета ЕР (общ) '!$R561,2)</f>
        <v>0</v>
      </c>
    </row>
    <row r="562" spans="1:20" ht="14.4" x14ac:dyDescent="0.3">
      <c r="A562" s="36" t="s">
        <v>279</v>
      </c>
      <c r="B562" s="36">
        <v>8</v>
      </c>
      <c r="C562" s="36"/>
      <c r="D562" s="36">
        <v>6</v>
      </c>
      <c r="E562" s="36" t="str">
        <f>CONCATENATE('Смета ЕР (общ) '!$A562,".",'Смета ЕР (общ) '!$B562,".",'Смета ЕР (общ) '!$D562)</f>
        <v>Р3.8.6</v>
      </c>
      <c r="F562" s="36">
        <f t="shared" si="51"/>
        <v>1</v>
      </c>
      <c r="G562" s="36"/>
      <c r="H562" s="36"/>
      <c r="I562" s="36"/>
      <c r="J562" s="36"/>
      <c r="K562" s="36"/>
      <c r="L562" s="53" t="s">
        <v>624</v>
      </c>
      <c r="M562" s="38" t="s">
        <v>40</v>
      </c>
      <c r="N562" s="39"/>
      <c r="O562" s="40">
        <v>2505.6</v>
      </c>
      <c r="P562" s="40">
        <v>23254.16</v>
      </c>
      <c r="Q562" s="40">
        <f t="shared" si="57"/>
        <v>2505.6</v>
      </c>
      <c r="R562" s="40">
        <f t="shared" si="57"/>
        <v>23254.16</v>
      </c>
      <c r="S562" s="40">
        <f>ROUND('Смета ЕР (общ) '!$N562*'Смета ЕР (общ) '!$Q562,2)</f>
        <v>0</v>
      </c>
      <c r="T562" s="40">
        <f>ROUND('Смета ЕР (общ) '!$N562*'Смета ЕР (общ) '!$R562,2)</f>
        <v>0</v>
      </c>
    </row>
    <row r="563" spans="1:20" ht="14.4" x14ac:dyDescent="0.3">
      <c r="A563" s="95" t="s">
        <v>279</v>
      </c>
      <c r="B563" s="95">
        <v>8</v>
      </c>
      <c r="C563" s="95"/>
      <c r="D563" s="95">
        <v>29</v>
      </c>
      <c r="E563" s="95" t="str">
        <f>CONCATENATE('Смета ЕР (общ) '!$A563,".",'Смета ЕР (общ) '!$B563,".",'Смета ЕР (общ) '!$D563)</f>
        <v>Р3.8.29</v>
      </c>
      <c r="F563" s="95">
        <f t="shared" si="51"/>
        <v>1</v>
      </c>
      <c r="G563" s="95"/>
      <c r="H563" s="95"/>
      <c r="I563" s="95"/>
      <c r="J563" s="95"/>
      <c r="K563" s="95"/>
      <c r="L563" s="96" t="s">
        <v>625</v>
      </c>
      <c r="M563" s="102" t="s">
        <v>40</v>
      </c>
      <c r="N563" s="39"/>
      <c r="O563" s="40">
        <v>1879.2</v>
      </c>
      <c r="P563" s="40">
        <v>15451.76</v>
      </c>
      <c r="Q563" s="40">
        <f t="shared" si="57"/>
        <v>1879.2</v>
      </c>
      <c r="R563" s="40">
        <f t="shared" si="57"/>
        <v>15451.76</v>
      </c>
      <c r="S563" s="40">
        <f>ROUND('Смета ЕР (общ) '!$N563*'Смета ЕР (общ) '!$Q563,2)</f>
        <v>0</v>
      </c>
      <c r="T563" s="40">
        <f>ROUND('Смета ЕР (общ) '!$N563*'Смета ЕР (общ) '!$R563,2)</f>
        <v>0</v>
      </c>
    </row>
    <row r="564" spans="1:20" ht="14.4" x14ac:dyDescent="0.3">
      <c r="A564" s="36" t="s">
        <v>279</v>
      </c>
      <c r="B564" s="36">
        <v>8</v>
      </c>
      <c r="C564" s="36"/>
      <c r="D564" s="36">
        <v>9</v>
      </c>
      <c r="E564" s="36" t="str">
        <f>CONCATENATE('Смета ЕР (общ) '!$A564,".",'Смета ЕР (общ) '!$B564,".",'Смета ЕР (общ) '!$D564)</f>
        <v>Р3.8.9</v>
      </c>
      <c r="F564" s="36">
        <f t="shared" si="51"/>
        <v>1</v>
      </c>
      <c r="G564" s="36"/>
      <c r="H564" s="36"/>
      <c r="I564" s="36"/>
      <c r="J564" s="36"/>
      <c r="K564" s="36"/>
      <c r="L564" s="53" t="s">
        <v>626</v>
      </c>
      <c r="M564" s="38" t="s">
        <v>144</v>
      </c>
      <c r="N564" s="39"/>
      <c r="O564" s="40">
        <v>2035.2</v>
      </c>
      <c r="P564" s="40">
        <v>4215</v>
      </c>
      <c r="Q564" s="40">
        <f t="shared" si="57"/>
        <v>2035.2</v>
      </c>
      <c r="R564" s="40">
        <f t="shared" si="57"/>
        <v>4215</v>
      </c>
      <c r="S564" s="40">
        <f>ROUND('Смета ЕР (общ) '!$N564*'Смета ЕР (общ) '!$Q564,2)</f>
        <v>0</v>
      </c>
      <c r="T564" s="40">
        <f>ROUND('Смета ЕР (общ) '!$N564*'Смета ЕР (общ) '!$R564,2)</f>
        <v>0</v>
      </c>
    </row>
    <row r="565" spans="1:20" ht="14.4" x14ac:dyDescent="0.3">
      <c r="A565" s="36" t="s">
        <v>279</v>
      </c>
      <c r="B565" s="36">
        <v>8</v>
      </c>
      <c r="C565" s="36"/>
      <c r="D565" s="36">
        <v>10</v>
      </c>
      <c r="E565" s="36" t="str">
        <f>CONCATENATE('Смета ЕР (общ) '!$A565,".",'Смета ЕР (общ) '!$B565,".",'Смета ЕР (общ) '!$D565)</f>
        <v>Р3.8.10</v>
      </c>
      <c r="F565" s="36">
        <f t="shared" si="51"/>
        <v>1</v>
      </c>
      <c r="G565" s="36"/>
      <c r="H565" s="36"/>
      <c r="I565" s="36"/>
      <c r="J565" s="36"/>
      <c r="K565" s="36"/>
      <c r="L565" s="53" t="s">
        <v>627</v>
      </c>
      <c r="M565" s="38" t="s">
        <v>40</v>
      </c>
      <c r="N565" s="39"/>
      <c r="O565" s="40">
        <v>962.5</v>
      </c>
      <c r="P565" s="40">
        <v>6451.01</v>
      </c>
      <c r="Q565" s="40">
        <f t="shared" si="57"/>
        <v>962.5</v>
      </c>
      <c r="R565" s="40">
        <f t="shared" si="57"/>
        <v>6451.01</v>
      </c>
      <c r="S565" s="40">
        <f>ROUND('Смета ЕР (общ) '!$N565*'Смета ЕР (общ) '!$Q565,2)</f>
        <v>0</v>
      </c>
      <c r="T565" s="40">
        <f>ROUND('Смета ЕР (общ) '!$N565*'Смета ЕР (общ) '!$R565,2)</f>
        <v>0</v>
      </c>
    </row>
    <row r="566" spans="1:20" ht="14.4" x14ac:dyDescent="0.3">
      <c r="A566" s="36" t="s">
        <v>279</v>
      </c>
      <c r="B566" s="36">
        <v>8</v>
      </c>
      <c r="C566" s="36"/>
      <c r="D566" s="36">
        <v>11</v>
      </c>
      <c r="E566" s="36" t="str">
        <f>CONCATENATE('Смета ЕР (общ) '!$A566,".",'Смета ЕР (общ) '!$B566,".",'Смета ЕР (общ) '!$D566)</f>
        <v>Р3.8.11</v>
      </c>
      <c r="F566" s="36">
        <f t="shared" si="51"/>
        <v>1</v>
      </c>
      <c r="G566" s="36"/>
      <c r="H566" s="36"/>
      <c r="I566" s="36"/>
      <c r="J566" s="36"/>
      <c r="K566" s="36"/>
      <c r="L566" s="53" t="s">
        <v>628</v>
      </c>
      <c r="M566" s="38" t="s">
        <v>229</v>
      </c>
      <c r="N566" s="39"/>
      <c r="O566" s="40">
        <v>125280</v>
      </c>
      <c r="P566" s="40">
        <v>160671.6</v>
      </c>
      <c r="Q566" s="40">
        <f t="shared" si="57"/>
        <v>125280</v>
      </c>
      <c r="R566" s="40">
        <f t="shared" si="57"/>
        <v>160671.6</v>
      </c>
      <c r="S566" s="40">
        <f>ROUND('Смета ЕР (общ) '!$N566*'Смета ЕР (общ) '!$Q566,2)</f>
        <v>0</v>
      </c>
      <c r="T566" s="40">
        <f>ROUND('Смета ЕР (общ) '!$N566*'Смета ЕР (общ) '!$R566,2)</f>
        <v>0</v>
      </c>
    </row>
    <row r="567" spans="1:20" ht="24" x14ac:dyDescent="0.3">
      <c r="A567" s="58" t="s">
        <v>279</v>
      </c>
      <c r="B567" s="58">
        <v>8</v>
      </c>
      <c r="C567" s="58"/>
      <c r="D567" s="58">
        <v>19</v>
      </c>
      <c r="E567" s="58" t="str">
        <f>CONCATENATE('Смета ЕР (общ) '!$A567,".",'Смета ЕР (общ) '!$B567,".",'Смета ЕР (общ) '!$D567)</f>
        <v>Р3.8.19</v>
      </c>
      <c r="F567" s="58">
        <f t="shared" si="51"/>
        <v>1</v>
      </c>
      <c r="G567" s="58"/>
      <c r="H567" s="58"/>
      <c r="I567" s="58"/>
      <c r="J567" s="58"/>
      <c r="K567" s="58"/>
      <c r="L567" s="70" t="s">
        <v>629</v>
      </c>
      <c r="M567" s="131" t="s">
        <v>40</v>
      </c>
      <c r="N567" s="61"/>
      <c r="O567" s="40">
        <v>2860</v>
      </c>
      <c r="P567" s="40">
        <v>8487.4</v>
      </c>
      <c r="Q567" s="62">
        <f t="shared" si="57"/>
        <v>2860</v>
      </c>
      <c r="R567" s="62">
        <f t="shared" si="57"/>
        <v>8487.4</v>
      </c>
      <c r="S567" s="62">
        <f>ROUND('Смета ЕР (общ) '!$N567*'Смета ЕР (общ) '!$Q567,2)</f>
        <v>0</v>
      </c>
      <c r="T567" s="62">
        <f>ROUND('Смета ЕР (общ) '!$N567*'Смета ЕР (общ) '!$R567,2)</f>
        <v>0</v>
      </c>
    </row>
    <row r="568" spans="1:20" ht="14.4" x14ac:dyDescent="0.3">
      <c r="A568" s="36" t="s">
        <v>279</v>
      </c>
      <c r="B568" s="36">
        <v>8</v>
      </c>
      <c r="C568" s="36"/>
      <c r="D568" s="36">
        <v>12</v>
      </c>
      <c r="E568" s="36" t="str">
        <f>CONCATENATE('Смета ЕР (общ) '!$A568,".",'Смета ЕР (общ) '!$B568,".",'Смета ЕР (общ) '!$D568)</f>
        <v>Р3.8.12</v>
      </c>
      <c r="F568" s="36">
        <f t="shared" si="51"/>
        <v>1</v>
      </c>
      <c r="G568" s="36"/>
      <c r="H568" s="36"/>
      <c r="I568" s="36"/>
      <c r="J568" s="36"/>
      <c r="K568" s="36"/>
      <c r="L568" s="53" t="s">
        <v>630</v>
      </c>
      <c r="M568" s="38" t="s">
        <v>40</v>
      </c>
      <c r="N568" s="39"/>
      <c r="O568" s="40">
        <v>371.49</v>
      </c>
      <c r="P568" s="40">
        <v>0</v>
      </c>
      <c r="Q568" s="40">
        <f t="shared" si="57"/>
        <v>371.49</v>
      </c>
      <c r="R568" s="40">
        <f t="shared" si="57"/>
        <v>0</v>
      </c>
      <c r="S568" s="40">
        <f>ROUND('Смета ЕР (общ) '!$N568*'Смета ЕР (общ) '!$Q568,2)</f>
        <v>0</v>
      </c>
      <c r="T568" s="40">
        <f>ROUND('Смета ЕР (общ) '!$N568*'Смета ЕР (общ) '!$R568,2)</f>
        <v>0</v>
      </c>
    </row>
    <row r="569" spans="1:20" ht="24" x14ac:dyDescent="0.3">
      <c r="A569" s="36" t="s">
        <v>279</v>
      </c>
      <c r="B569" s="36">
        <v>8</v>
      </c>
      <c r="C569" s="36"/>
      <c r="D569" s="36">
        <v>13</v>
      </c>
      <c r="E569" s="36" t="str">
        <f>CONCATENATE('Смета ЕР (общ) '!$A569,".",'Смета ЕР (общ) '!$B569,".",'Смета ЕР (общ) '!$D569)</f>
        <v>Р3.8.13</v>
      </c>
      <c r="F569" s="36">
        <f t="shared" si="51"/>
        <v>1</v>
      </c>
      <c r="G569" s="36"/>
      <c r="H569" s="36"/>
      <c r="I569" s="36"/>
      <c r="J569" s="36"/>
      <c r="K569" s="36"/>
      <c r="L569" s="53" t="s">
        <v>631</v>
      </c>
      <c r="M569" s="38" t="s">
        <v>40</v>
      </c>
      <c r="N569" s="39"/>
      <c r="O569" s="40">
        <v>63.95</v>
      </c>
      <c r="P569" s="40">
        <v>40.43</v>
      </c>
      <c r="Q569" s="40">
        <f t="shared" si="57"/>
        <v>63.95</v>
      </c>
      <c r="R569" s="40">
        <f t="shared" si="57"/>
        <v>40.43</v>
      </c>
      <c r="S569" s="40">
        <f>ROUND('Смета ЕР (общ) '!$N569*'Смета ЕР (общ) '!$Q569,2)</f>
        <v>0</v>
      </c>
      <c r="T569" s="40">
        <f>ROUND('Смета ЕР (общ) '!$N569*'Смета ЕР (общ) '!$R569,2)</f>
        <v>0</v>
      </c>
    </row>
    <row r="570" spans="1:20" ht="14.4" x14ac:dyDescent="0.3">
      <c r="A570" s="36" t="s">
        <v>279</v>
      </c>
      <c r="B570" s="36">
        <v>8</v>
      </c>
      <c r="C570" s="36"/>
      <c r="D570" s="36">
        <v>14</v>
      </c>
      <c r="E570" s="36" t="str">
        <f>CONCATENATE('Смета ЕР (общ) '!$A570,".",'Смета ЕР (общ) '!$B570,".",'Смета ЕР (общ) '!$D570)</f>
        <v>Р3.8.14</v>
      </c>
      <c r="F570" s="36">
        <f t="shared" si="51"/>
        <v>1</v>
      </c>
      <c r="G570" s="36"/>
      <c r="H570" s="36"/>
      <c r="I570" s="36"/>
      <c r="J570" s="36"/>
      <c r="K570" s="36"/>
      <c r="L570" s="53" t="s">
        <v>632</v>
      </c>
      <c r="M570" s="38" t="s">
        <v>40</v>
      </c>
      <c r="N570" s="39"/>
      <c r="O570" s="40">
        <v>626.4</v>
      </c>
      <c r="P570" s="40">
        <v>3260.62</v>
      </c>
      <c r="Q570" s="40">
        <f t="shared" si="57"/>
        <v>626.4</v>
      </c>
      <c r="R570" s="40">
        <f t="shared" si="57"/>
        <v>3260.62</v>
      </c>
      <c r="S570" s="40">
        <f>ROUND('Смета ЕР (общ) '!$N570*'Смета ЕР (общ) '!$Q570,2)</f>
        <v>0</v>
      </c>
      <c r="T570" s="40">
        <f>ROUND('Смета ЕР (общ) '!$N570*'Смета ЕР (общ) '!$R570,2)</f>
        <v>0</v>
      </c>
    </row>
    <row r="571" spans="1:20" ht="14.4" x14ac:dyDescent="0.3">
      <c r="A571" s="36" t="s">
        <v>279</v>
      </c>
      <c r="B571" s="36">
        <v>8</v>
      </c>
      <c r="C571" s="36"/>
      <c r="D571" s="36">
        <v>15</v>
      </c>
      <c r="E571" s="36" t="str">
        <f>CONCATENATE('Смета ЕР (общ) '!$A571,".",'Смета ЕР (общ) '!$B571,".",'Смета ЕР (общ) '!$D571)</f>
        <v>Р3.8.15</v>
      </c>
      <c r="F571" s="36">
        <f t="shared" si="51"/>
        <v>1</v>
      </c>
      <c r="G571" s="36"/>
      <c r="H571" s="36"/>
      <c r="I571" s="36"/>
      <c r="J571" s="36"/>
      <c r="K571" s="36"/>
      <c r="L571" s="53" t="s">
        <v>633</v>
      </c>
      <c r="M571" s="38" t="s">
        <v>118</v>
      </c>
      <c r="N571" s="39"/>
      <c r="O571" s="40">
        <v>730.76</v>
      </c>
      <c r="P571" s="40">
        <v>895.47</v>
      </c>
      <c r="Q571" s="40">
        <f t="shared" si="57"/>
        <v>730.76</v>
      </c>
      <c r="R571" s="40">
        <f t="shared" si="57"/>
        <v>895.47</v>
      </c>
      <c r="S571" s="40">
        <f>ROUND('Смета ЕР (общ) '!$N571*'Смета ЕР (общ) '!$Q571,2)</f>
        <v>0</v>
      </c>
      <c r="T571" s="40">
        <f>ROUND('Смета ЕР (общ) '!$N571*'Смета ЕР (общ) '!$R571,2)</f>
        <v>0</v>
      </c>
    </row>
    <row r="572" spans="1:20" ht="14.4" x14ac:dyDescent="0.3">
      <c r="A572" s="36" t="s">
        <v>279</v>
      </c>
      <c r="B572" s="36">
        <v>8</v>
      </c>
      <c r="C572" s="36"/>
      <c r="D572" s="36">
        <v>16</v>
      </c>
      <c r="E572" s="36" t="str">
        <f>CONCATENATE('Смета ЕР (общ) '!$A572,".",'Смета ЕР (общ) '!$B572,".",'Смета ЕР (общ) '!$D572)</f>
        <v>Р3.8.16</v>
      </c>
      <c r="F572" s="36">
        <f t="shared" si="51"/>
        <v>1</v>
      </c>
      <c r="G572" s="36"/>
      <c r="H572" s="36"/>
      <c r="I572" s="36"/>
      <c r="J572" s="36"/>
      <c r="K572" s="36"/>
      <c r="L572" s="53" t="s">
        <v>634</v>
      </c>
      <c r="M572" s="38" t="s">
        <v>40</v>
      </c>
      <c r="N572" s="39"/>
      <c r="O572" s="40">
        <v>381.78</v>
      </c>
      <c r="P572" s="40">
        <v>180.06</v>
      </c>
      <c r="Q572" s="40">
        <f t="shared" si="57"/>
        <v>381.78</v>
      </c>
      <c r="R572" s="40">
        <f t="shared" si="57"/>
        <v>180.06</v>
      </c>
      <c r="S572" s="40">
        <f>ROUND('Смета ЕР (общ) '!$N572*'Смета ЕР (общ) '!$Q572,2)</f>
        <v>0</v>
      </c>
      <c r="T572" s="40">
        <f>ROUND('Смета ЕР (общ) '!$N572*'Смета ЕР (общ) '!$R572,2)</f>
        <v>0</v>
      </c>
    </row>
    <row r="573" spans="1:20" ht="14.4" x14ac:dyDescent="0.3">
      <c r="A573" s="36" t="s">
        <v>279</v>
      </c>
      <c r="B573" s="36">
        <v>8</v>
      </c>
      <c r="C573" s="36"/>
      <c r="D573" s="36">
        <v>17</v>
      </c>
      <c r="E573" s="36" t="str">
        <f>CONCATENATE('Смета ЕР (общ) '!$A573,".",'Смета ЕР (общ) '!$B573,".",'Смета ЕР (общ) '!$D573)</f>
        <v>Р3.8.17</v>
      </c>
      <c r="F573" s="36">
        <f t="shared" si="51"/>
        <v>1</v>
      </c>
      <c r="G573" s="36"/>
      <c r="H573" s="36"/>
      <c r="I573" s="36"/>
      <c r="J573" s="36"/>
      <c r="K573" s="36"/>
      <c r="L573" s="53" t="s">
        <v>635</v>
      </c>
      <c r="M573" s="38" t="s">
        <v>40</v>
      </c>
      <c r="N573" s="39"/>
      <c r="O573" s="40">
        <v>11400.52</v>
      </c>
      <c r="P573" s="40">
        <v>15763.83</v>
      </c>
      <c r="Q573" s="40">
        <f t="shared" si="57"/>
        <v>11400.52</v>
      </c>
      <c r="R573" s="40">
        <f t="shared" si="57"/>
        <v>15763.83</v>
      </c>
      <c r="S573" s="40">
        <f>ROUND('Смета ЕР (общ) '!$N573*'Смета ЕР (общ) '!$Q573,2)</f>
        <v>0</v>
      </c>
      <c r="T573" s="40">
        <f>ROUND('Смета ЕР (общ) '!$N573*'Смета ЕР (общ) '!$R573,2)</f>
        <v>0</v>
      </c>
    </row>
    <row r="574" spans="1:20" ht="14.4" x14ac:dyDescent="0.3">
      <c r="A574" s="36" t="s">
        <v>279</v>
      </c>
      <c r="B574" s="36">
        <v>8</v>
      </c>
      <c r="C574" s="36"/>
      <c r="D574" s="36">
        <v>18</v>
      </c>
      <c r="E574" s="36" t="str">
        <f>CONCATENATE('Смета ЕР (общ) '!$A574,".",'Смета ЕР (общ) '!$B574,".",'Смета ЕР (общ) '!$D574)</f>
        <v>Р3.8.18</v>
      </c>
      <c r="F574" s="36">
        <f t="shared" si="51"/>
        <v>1</v>
      </c>
      <c r="G574" s="36"/>
      <c r="H574" s="36"/>
      <c r="I574" s="36"/>
      <c r="J574" s="36"/>
      <c r="K574" s="36"/>
      <c r="L574" s="53" t="s">
        <v>636</v>
      </c>
      <c r="M574" s="38" t="s">
        <v>40</v>
      </c>
      <c r="N574" s="39"/>
      <c r="O574" s="40">
        <v>669.87</v>
      </c>
      <c r="P574" s="40">
        <v>5216.53</v>
      </c>
      <c r="Q574" s="40">
        <f t="shared" si="57"/>
        <v>669.87</v>
      </c>
      <c r="R574" s="40">
        <f t="shared" si="57"/>
        <v>5216.53</v>
      </c>
      <c r="S574" s="40">
        <f>ROUND('Смета ЕР (общ) '!$N574*'Смета ЕР (общ) '!$Q574,2)</f>
        <v>0</v>
      </c>
      <c r="T574" s="40">
        <f>ROUND('Смета ЕР (общ) '!$N574*'Смета ЕР (общ) '!$R574,2)</f>
        <v>0</v>
      </c>
    </row>
    <row r="575" spans="1:20" ht="14.4" x14ac:dyDescent="0.3">
      <c r="A575" s="36" t="s">
        <v>279</v>
      </c>
      <c r="B575" s="36">
        <v>8</v>
      </c>
      <c r="C575" s="36"/>
      <c r="D575" s="36">
        <v>22</v>
      </c>
      <c r="E575" s="36" t="str">
        <f>CONCATENATE('Смета ЕР (общ) '!$A575,".",'Смета ЕР (общ) '!$B575,".",'Смета ЕР (общ) '!$D575)</f>
        <v>Р3.8.22</v>
      </c>
      <c r="F575" s="36">
        <f t="shared" si="51"/>
        <v>1</v>
      </c>
      <c r="G575" s="36"/>
      <c r="H575" s="36"/>
      <c r="I575" s="36"/>
      <c r="J575" s="36"/>
      <c r="K575" s="36"/>
      <c r="L575" s="37" t="s">
        <v>637</v>
      </c>
      <c r="M575" s="38" t="s">
        <v>40</v>
      </c>
      <c r="N575" s="39"/>
      <c r="O575" s="40">
        <v>736.85</v>
      </c>
      <c r="P575" s="40">
        <v>824.35</v>
      </c>
      <c r="Q575" s="40">
        <f t="shared" ref="Q575:R585" si="58">ROUND(O575-O575*$V$3,2)</f>
        <v>736.85</v>
      </c>
      <c r="R575" s="40">
        <f t="shared" si="58"/>
        <v>824.35</v>
      </c>
      <c r="S575" s="40">
        <f>ROUND('Смета ЕР (общ) '!$N575*'Смета ЕР (общ) '!$Q575,2)</f>
        <v>0</v>
      </c>
      <c r="T575" s="40">
        <f>ROUND('Смета ЕР (общ) '!$N575*'Смета ЕР (общ) '!$R575,2)</f>
        <v>0</v>
      </c>
    </row>
    <row r="576" spans="1:20" ht="24" x14ac:dyDescent="0.3">
      <c r="A576" s="36" t="s">
        <v>279</v>
      </c>
      <c r="B576" s="36">
        <v>8</v>
      </c>
      <c r="C576" s="36"/>
      <c r="D576" s="36">
        <v>23</v>
      </c>
      <c r="E576" s="36" t="str">
        <f>CONCATENATE('Смета ЕР (общ) '!$A576,".",'Смета ЕР (общ) '!$B576,".",'Смета ЕР (общ) '!$D576)</f>
        <v>Р3.8.23</v>
      </c>
      <c r="F576" s="36">
        <f t="shared" si="51"/>
        <v>1</v>
      </c>
      <c r="G576" s="36"/>
      <c r="H576" s="36"/>
      <c r="I576" s="36"/>
      <c r="J576" s="36"/>
      <c r="K576" s="36"/>
      <c r="L576" s="37" t="s">
        <v>638</v>
      </c>
      <c r="M576" s="38" t="s">
        <v>229</v>
      </c>
      <c r="N576" s="39"/>
      <c r="O576" s="40">
        <v>93960</v>
      </c>
      <c r="P576" s="40">
        <v>102312.64</v>
      </c>
      <c r="Q576" s="40">
        <f t="shared" si="58"/>
        <v>93960</v>
      </c>
      <c r="R576" s="40">
        <f t="shared" si="58"/>
        <v>102312.64</v>
      </c>
      <c r="S576" s="40">
        <f>ROUND('Смета ЕР (общ) '!$N576*'Смета ЕР (общ) '!$Q576,2)</f>
        <v>0</v>
      </c>
      <c r="T576" s="40">
        <f>ROUND('Смета ЕР (общ) '!$N576*'Смета ЕР (общ) '!$R576,2)</f>
        <v>0</v>
      </c>
    </row>
    <row r="577" spans="1:25" ht="14.4" x14ac:dyDescent="0.3">
      <c r="A577" s="36" t="s">
        <v>279</v>
      </c>
      <c r="B577" s="36">
        <v>8</v>
      </c>
      <c r="C577" s="36"/>
      <c r="D577" s="36">
        <v>24</v>
      </c>
      <c r="E577" s="36" t="str">
        <f>CONCATENATE('Смета ЕР (общ) '!$A577,".",'Смета ЕР (общ) '!$B577,".",'Смета ЕР (общ) '!$D577)</f>
        <v>Р3.8.24</v>
      </c>
      <c r="F577" s="36">
        <f t="shared" si="51"/>
        <v>1</v>
      </c>
      <c r="G577" s="36"/>
      <c r="H577" s="36"/>
      <c r="I577" s="36"/>
      <c r="J577" s="36"/>
      <c r="K577" s="36"/>
      <c r="L577" s="37" t="s">
        <v>639</v>
      </c>
      <c r="M577" s="38" t="s">
        <v>40</v>
      </c>
      <c r="N577" s="39"/>
      <c r="O577" s="40">
        <v>738.59</v>
      </c>
      <c r="P577" s="40">
        <v>7288.42</v>
      </c>
      <c r="Q577" s="40">
        <f t="shared" si="58"/>
        <v>738.59</v>
      </c>
      <c r="R577" s="40">
        <f t="shared" si="58"/>
        <v>7288.42</v>
      </c>
      <c r="S577" s="40">
        <f>ROUND('Смета ЕР (общ) '!$N577*'Смета ЕР (общ) '!$Q577,2)</f>
        <v>0</v>
      </c>
      <c r="T577" s="40">
        <f>ROUND('Смета ЕР (общ) '!$N577*'Смета ЕР (общ) '!$R577,2)</f>
        <v>0</v>
      </c>
    </row>
    <row r="578" spans="1:25" ht="24" x14ac:dyDescent="0.3">
      <c r="A578" s="95" t="s">
        <v>279</v>
      </c>
      <c r="B578" s="95">
        <v>8</v>
      </c>
      <c r="C578" s="95"/>
      <c r="D578" s="95">
        <v>31</v>
      </c>
      <c r="E578" s="95" t="str">
        <f>CONCATENATE('Смета ЕР (общ) '!$A578,".",'Смета ЕР (общ) '!$B578,".",'Смета ЕР (общ) '!$D578)</f>
        <v>Р3.8.31</v>
      </c>
      <c r="F578" s="95">
        <f t="shared" si="51"/>
        <v>1</v>
      </c>
      <c r="G578" s="95"/>
      <c r="H578" s="95"/>
      <c r="I578" s="95"/>
      <c r="J578" s="95"/>
      <c r="K578" s="95"/>
      <c r="L578" s="96" t="s">
        <v>640</v>
      </c>
      <c r="M578" s="38" t="s">
        <v>147</v>
      </c>
      <c r="N578" s="39"/>
      <c r="O578" s="40">
        <v>281.88</v>
      </c>
      <c r="P578" s="40">
        <v>590.46</v>
      </c>
      <c r="Q578" s="40">
        <f t="shared" si="58"/>
        <v>281.88</v>
      </c>
      <c r="R578" s="40">
        <f t="shared" si="58"/>
        <v>590.46</v>
      </c>
      <c r="S578" s="40">
        <f>ROUND('Смета ЕР (общ) '!$N578*'Смета ЕР (общ) '!$Q578,2)</f>
        <v>0</v>
      </c>
      <c r="T578" s="40">
        <f>ROUND('Смета ЕР (общ) '!$N578*'Смета ЕР (общ) '!$R578,2)</f>
        <v>0</v>
      </c>
    </row>
    <row r="579" spans="1:25" ht="14.4" x14ac:dyDescent="0.3">
      <c r="A579" s="95" t="s">
        <v>279</v>
      </c>
      <c r="B579" s="95">
        <v>8</v>
      </c>
      <c r="C579" s="95"/>
      <c r="D579" s="95">
        <v>32</v>
      </c>
      <c r="E579" s="95" t="str">
        <f>CONCATENATE('Смета ЕР (общ) '!$A579,".",'Смета ЕР (общ) '!$B579,".",'Смета ЕР (общ) '!$D579)</f>
        <v>Р3.8.32</v>
      </c>
      <c r="F579" s="95">
        <f t="shared" si="51"/>
        <v>1</v>
      </c>
      <c r="G579" s="95"/>
      <c r="H579" s="95"/>
      <c r="I579" s="95"/>
      <c r="J579" s="95"/>
      <c r="K579" s="95"/>
      <c r="L579" s="96" t="s">
        <v>641</v>
      </c>
      <c r="M579" s="102" t="s">
        <v>40</v>
      </c>
      <c r="N579" s="39"/>
      <c r="O579" s="40">
        <v>516.26</v>
      </c>
      <c r="P579" s="40">
        <v>568.29999999999995</v>
      </c>
      <c r="Q579" s="40">
        <f t="shared" si="58"/>
        <v>516.26</v>
      </c>
      <c r="R579" s="40">
        <f t="shared" si="58"/>
        <v>568.29999999999995</v>
      </c>
      <c r="S579" s="40">
        <f>ROUND('Смета ЕР (общ) '!$N579*'Смета ЕР (общ) '!$Q579,2)</f>
        <v>0</v>
      </c>
      <c r="T579" s="40">
        <f>ROUND('Смета ЕР (общ) '!$N579*'Смета ЕР (общ) '!$R579,2)</f>
        <v>0</v>
      </c>
    </row>
    <row r="580" spans="1:25" ht="14.4" x14ac:dyDescent="0.3">
      <c r="A580" s="95" t="s">
        <v>279</v>
      </c>
      <c r="B580" s="95">
        <v>8</v>
      </c>
      <c r="C580" s="95"/>
      <c r="D580" s="95">
        <v>38</v>
      </c>
      <c r="E580" s="95" t="str">
        <f>CONCATENATE('Смета ЕР (общ) '!$A580,".",'Смета ЕР (общ) '!$B580,".",'Смета ЕР (общ) '!$D580)</f>
        <v>Р3.8.38</v>
      </c>
      <c r="F580" s="95">
        <f t="shared" si="51"/>
        <v>1</v>
      </c>
      <c r="G580" s="95"/>
      <c r="H580" s="95"/>
      <c r="I580" s="95"/>
      <c r="J580" s="95"/>
      <c r="K580" s="95"/>
      <c r="L580" s="96" t="s">
        <v>642</v>
      </c>
      <c r="M580" s="38" t="s">
        <v>118</v>
      </c>
      <c r="N580" s="39"/>
      <c r="O580" s="40">
        <v>741.2</v>
      </c>
      <c r="P580" s="40">
        <v>2900.67</v>
      </c>
      <c r="Q580" s="40">
        <f t="shared" si="58"/>
        <v>741.2</v>
      </c>
      <c r="R580" s="40">
        <f t="shared" si="58"/>
        <v>2900.67</v>
      </c>
      <c r="S580" s="40">
        <f>ROUND('Смета ЕР (общ) '!$N580*'Смета ЕР (общ) '!$Q580,2)</f>
        <v>0</v>
      </c>
      <c r="T580" s="40">
        <f>ROUND('Смета ЕР (общ) '!$N580*'Смета ЕР (общ) '!$R580,2)</f>
        <v>0</v>
      </c>
    </row>
    <row r="581" spans="1:25" ht="14.4" x14ac:dyDescent="0.3">
      <c r="A581" s="95" t="s">
        <v>279</v>
      </c>
      <c r="B581" s="95">
        <v>8</v>
      </c>
      <c r="C581" s="95"/>
      <c r="D581" s="95">
        <v>48</v>
      </c>
      <c r="E581" s="95" t="str">
        <f>CONCATENATE('Смета ЕР (общ) '!$A581,".",'Смета ЕР (общ) '!$B581,".",'Смета ЕР (общ) '!$D581)</f>
        <v>Р3.8.48</v>
      </c>
      <c r="F581" s="95">
        <f t="shared" si="51"/>
        <v>1</v>
      </c>
      <c r="G581" s="95"/>
      <c r="H581" s="95"/>
      <c r="I581" s="95"/>
      <c r="J581" s="95"/>
      <c r="K581" s="95"/>
      <c r="L581" s="96" t="s">
        <v>643</v>
      </c>
      <c r="M581" s="38" t="s">
        <v>229</v>
      </c>
      <c r="N581" s="39"/>
      <c r="O581" s="40">
        <v>125280</v>
      </c>
      <c r="P581" s="40">
        <v>100414.14</v>
      </c>
      <c r="Q581" s="40">
        <f t="shared" si="58"/>
        <v>125280</v>
      </c>
      <c r="R581" s="40">
        <f t="shared" si="58"/>
        <v>100414.14</v>
      </c>
      <c r="S581" s="40">
        <f>ROUND('Смета ЕР (общ) '!$N581*'Смета ЕР (общ) '!$Q581,2)</f>
        <v>0</v>
      </c>
      <c r="T581" s="40">
        <f>ROUND('Смета ЕР (общ) '!$N581*'Смета ЕР (общ) '!$R581,2)</f>
        <v>0</v>
      </c>
    </row>
    <row r="582" spans="1:25" ht="14.4" x14ac:dyDescent="0.3">
      <c r="A582" s="95" t="s">
        <v>279</v>
      </c>
      <c r="B582" s="95">
        <v>8</v>
      </c>
      <c r="C582" s="95"/>
      <c r="D582" s="95">
        <v>49</v>
      </c>
      <c r="E582" s="95" t="str">
        <f>CONCATENATE('Смета ЕР (общ) '!$A582,".",'Смета ЕР (общ) '!$B582,".",'Смета ЕР (общ) '!$D582)</f>
        <v>Р3.8.49</v>
      </c>
      <c r="F582" s="95">
        <f t="shared" si="51"/>
        <v>1</v>
      </c>
      <c r="G582" s="95"/>
      <c r="H582" s="95"/>
      <c r="I582" s="95"/>
      <c r="J582" s="95"/>
      <c r="K582" s="95"/>
      <c r="L582" s="96" t="s">
        <v>644</v>
      </c>
      <c r="M582" s="38" t="s">
        <v>229</v>
      </c>
      <c r="N582" s="39"/>
      <c r="O582" s="40">
        <v>10875.13</v>
      </c>
      <c r="P582" s="40">
        <v>58325.41</v>
      </c>
      <c r="Q582" s="40">
        <f t="shared" si="58"/>
        <v>10875.13</v>
      </c>
      <c r="R582" s="40">
        <f t="shared" si="58"/>
        <v>58325.41</v>
      </c>
      <c r="S582" s="40">
        <f>ROUND('Смета ЕР (общ) '!$N582*'Смета ЕР (общ) '!$Q582,2)</f>
        <v>0</v>
      </c>
      <c r="T582" s="40">
        <f>ROUND('Смета ЕР (общ) '!$N582*'Смета ЕР (общ) '!$R582,2)</f>
        <v>0</v>
      </c>
    </row>
    <row r="583" spans="1:25" ht="14.4" x14ac:dyDescent="0.3">
      <c r="A583" s="95" t="s">
        <v>279</v>
      </c>
      <c r="B583" s="95">
        <v>8</v>
      </c>
      <c r="C583" s="95"/>
      <c r="D583" s="95">
        <v>50</v>
      </c>
      <c r="E583" s="95" t="str">
        <f>CONCATENATE('Смета ЕР (общ) '!$A583,".",'Смета ЕР (общ) '!$B583,".",'Смета ЕР (общ) '!$D583)</f>
        <v>Р3.8.50</v>
      </c>
      <c r="F583" s="95">
        <f t="shared" si="51"/>
        <v>1</v>
      </c>
      <c r="G583" s="95"/>
      <c r="H583" s="95"/>
      <c r="I583" s="95"/>
      <c r="J583" s="95"/>
      <c r="K583" s="95"/>
      <c r="L583" s="96" t="s">
        <v>645</v>
      </c>
      <c r="M583" s="38" t="s">
        <v>118</v>
      </c>
      <c r="N583" s="39"/>
      <c r="O583" s="40">
        <v>1127.52</v>
      </c>
      <c r="P583" s="40">
        <v>3390.51</v>
      </c>
      <c r="Q583" s="40">
        <f t="shared" si="58"/>
        <v>1127.52</v>
      </c>
      <c r="R583" s="40">
        <f t="shared" si="58"/>
        <v>3390.51</v>
      </c>
      <c r="S583" s="40">
        <f>ROUND('Смета ЕР (общ) '!$N583*'Смета ЕР (общ) '!$Q583,2)</f>
        <v>0</v>
      </c>
      <c r="T583" s="40">
        <f>ROUND('Смета ЕР (общ) '!$N583*'Смета ЕР (общ) '!$R583,2)</f>
        <v>0</v>
      </c>
    </row>
    <row r="584" spans="1:25" ht="36" x14ac:dyDescent="0.3">
      <c r="A584" s="95" t="s">
        <v>279</v>
      </c>
      <c r="B584" s="95">
        <v>8</v>
      </c>
      <c r="C584" s="95"/>
      <c r="D584" s="95">
        <v>51</v>
      </c>
      <c r="E584" s="95" t="str">
        <f>CONCATENATE('Смета ЕР (общ) '!$A584,".",'Смета ЕР (общ) '!$B584,".",'Смета ЕР (общ) '!$D584)</f>
        <v>Р3.8.51</v>
      </c>
      <c r="F584" s="95">
        <f t="shared" si="51"/>
        <v>1</v>
      </c>
      <c r="G584" s="95"/>
      <c r="H584" s="95"/>
      <c r="I584" s="95"/>
      <c r="J584" s="95"/>
      <c r="K584" s="95"/>
      <c r="L584" s="96" t="s">
        <v>646</v>
      </c>
      <c r="M584" s="38" t="s">
        <v>147</v>
      </c>
      <c r="N584" s="39"/>
      <c r="O584" s="40">
        <v>1697</v>
      </c>
      <c r="P584" s="40">
        <v>14759.7</v>
      </c>
      <c r="Q584" s="40">
        <f t="shared" si="58"/>
        <v>1697</v>
      </c>
      <c r="R584" s="40">
        <f t="shared" si="58"/>
        <v>14759.7</v>
      </c>
      <c r="S584" s="40">
        <f>ROUND('Смета ЕР (общ) '!$N584*'Смета ЕР (общ) '!$Q584,2)</f>
        <v>0</v>
      </c>
      <c r="T584" s="40">
        <f>ROUND('Смета ЕР (общ) '!$N584*'Смета ЕР (общ) '!$R584,2)</f>
        <v>0</v>
      </c>
    </row>
    <row r="585" spans="1:25" ht="24" x14ac:dyDescent="0.3">
      <c r="A585" s="95" t="s">
        <v>279</v>
      </c>
      <c r="B585" s="95">
        <v>8</v>
      </c>
      <c r="C585" s="95"/>
      <c r="D585" s="95">
        <v>52</v>
      </c>
      <c r="E585" s="95" t="str">
        <f>CONCATENATE('Смета ЕР (общ) '!$A585,".",'Смета ЕР (общ) '!$B585,".",'Смета ЕР (общ) '!$D585)</f>
        <v>Р3.8.52</v>
      </c>
      <c r="F585" s="95">
        <f t="shared" si="51"/>
        <v>1</v>
      </c>
      <c r="G585" s="95"/>
      <c r="H585" s="95"/>
      <c r="I585" s="95"/>
      <c r="J585" s="95"/>
      <c r="K585" s="95"/>
      <c r="L585" s="96" t="s">
        <v>647</v>
      </c>
      <c r="M585" s="38" t="s">
        <v>118</v>
      </c>
      <c r="N585" s="39"/>
      <c r="O585" s="40">
        <v>20044.8</v>
      </c>
      <c r="P585" s="40">
        <v>162424.10999999999</v>
      </c>
      <c r="Q585" s="40">
        <f t="shared" si="58"/>
        <v>20044.8</v>
      </c>
      <c r="R585" s="40">
        <f t="shared" si="58"/>
        <v>162424.10999999999</v>
      </c>
      <c r="S585" s="40">
        <f>ROUND('Смета ЕР (общ) '!$N585*'Смета ЕР (общ) '!$Q585,2)</f>
        <v>0</v>
      </c>
      <c r="T585" s="40">
        <f>ROUND('Смета ЕР (общ) '!$N585*'Смета ЕР (общ) '!$R585,2)</f>
        <v>0</v>
      </c>
    </row>
    <row r="586" spans="1:25" ht="14.4" x14ac:dyDescent="0.3">
      <c r="A586" s="29" t="s">
        <v>648</v>
      </c>
      <c r="B586" s="29">
        <v>0</v>
      </c>
      <c r="C586" s="29"/>
      <c r="D586" s="29">
        <v>0</v>
      </c>
      <c r="E586" s="29" t="str">
        <f>CONCATENATE('Смета ЕР (общ) '!$A586,".",'Смета ЕР (общ) '!$B586,".",'Смета ЕР (общ) '!$D586)</f>
        <v>Р4.0.0</v>
      </c>
      <c r="F586" s="29">
        <f t="shared" si="51"/>
        <v>1</v>
      </c>
      <c r="G586" s="29"/>
      <c r="H586" s="29"/>
      <c r="I586" s="29"/>
      <c r="J586" s="29"/>
      <c r="K586" s="29"/>
      <c r="L586" s="30" t="s">
        <v>649</v>
      </c>
      <c r="M586" s="31"/>
      <c r="N586" s="32">
        <f>S586</f>
        <v>0</v>
      </c>
      <c r="O586" s="47"/>
      <c r="P586" s="47"/>
      <c r="Q586" s="34"/>
      <c r="R586" s="34"/>
      <c r="S586" s="34">
        <f>ROUND(S587+S600+S627+S634,2)</f>
        <v>0</v>
      </c>
      <c r="T586" s="34">
        <f>ROUND(T587+T600+T627+T634,2)</f>
        <v>0</v>
      </c>
      <c r="Y586">
        <v>52510.06</v>
      </c>
    </row>
    <row r="587" spans="1:25" ht="14.4" x14ac:dyDescent="0.3">
      <c r="A587" s="132" t="s">
        <v>648</v>
      </c>
      <c r="B587" s="132">
        <v>1</v>
      </c>
      <c r="C587" s="132"/>
      <c r="D587" s="132">
        <v>0</v>
      </c>
      <c r="E587" s="132" t="str">
        <f>CONCATENATE('Смета ЕР (общ) '!$A587,".",'Смета ЕР (общ) '!$B587,".",'Смета ЕР (общ) '!$D587)</f>
        <v>Р4.1.0</v>
      </c>
      <c r="F587" s="132">
        <f t="shared" si="51"/>
        <v>1</v>
      </c>
      <c r="G587" s="132"/>
      <c r="H587" s="132"/>
      <c r="I587" s="132"/>
      <c r="J587" s="132"/>
      <c r="K587" s="132"/>
      <c r="L587" s="133" t="s">
        <v>650</v>
      </c>
      <c r="M587" s="31"/>
      <c r="N587" s="32">
        <f>S587</f>
        <v>0</v>
      </c>
      <c r="O587" s="47"/>
      <c r="P587" s="47"/>
      <c r="Q587" s="34"/>
      <c r="R587" s="34"/>
      <c r="S587" s="34">
        <f>SUM(S588:S599)</f>
        <v>0</v>
      </c>
      <c r="T587" s="34">
        <f>SUM(T588:T599)</f>
        <v>0</v>
      </c>
      <c r="Y587">
        <v>0</v>
      </c>
    </row>
    <row r="588" spans="1:25" ht="24" x14ac:dyDescent="0.3">
      <c r="A588" s="36" t="s">
        <v>648</v>
      </c>
      <c r="B588" s="36">
        <v>1</v>
      </c>
      <c r="C588" s="36"/>
      <c r="D588" s="36">
        <v>1</v>
      </c>
      <c r="E588" s="36" t="str">
        <f>CONCATENATE('Смета ЕР (общ) '!$A588,".",'Смета ЕР (общ) '!$B588,".",'Смета ЕР (общ) '!$D588)</f>
        <v>Р4.1.1</v>
      </c>
      <c r="F588" s="36">
        <f t="shared" si="51"/>
        <v>1</v>
      </c>
      <c r="G588" s="36"/>
      <c r="H588" s="36"/>
      <c r="I588" s="36"/>
      <c r="J588" s="36"/>
      <c r="K588" s="36"/>
      <c r="L588" s="37" t="s">
        <v>651</v>
      </c>
      <c r="M588" s="38" t="s">
        <v>40</v>
      </c>
      <c r="N588" s="39"/>
      <c r="O588" s="40">
        <v>365.88</v>
      </c>
      <c r="P588" s="40">
        <v>1012.98</v>
      </c>
      <c r="Q588" s="40">
        <f t="shared" ref="Q588:R599" si="59">ROUND(O588-O588*$V$3,2)</f>
        <v>365.88</v>
      </c>
      <c r="R588" s="40">
        <f t="shared" si="59"/>
        <v>1012.98</v>
      </c>
      <c r="S588" s="40">
        <f>ROUND('Смета ЕР (общ) '!$N588*'Смета ЕР (общ) '!$Q588,2)</f>
        <v>0</v>
      </c>
      <c r="T588" s="40">
        <f>ROUND('Смета ЕР (общ) '!$N588*'Смета ЕР (общ) '!$R588,2)</f>
        <v>0</v>
      </c>
    </row>
    <row r="589" spans="1:25" ht="24" x14ac:dyDescent="0.3">
      <c r="A589" s="36" t="s">
        <v>648</v>
      </c>
      <c r="B589" s="36">
        <v>1</v>
      </c>
      <c r="C589" s="36"/>
      <c r="D589" s="36">
        <v>2</v>
      </c>
      <c r="E589" s="36" t="str">
        <f>CONCATENATE('Смета ЕР (общ) '!$A589,".",'Смета ЕР (общ) '!$B589,".",'Смета ЕР (общ) '!$D589)</f>
        <v>Р4.1.2</v>
      </c>
      <c r="F589" s="36">
        <f t="shared" si="51"/>
        <v>1</v>
      </c>
      <c r="G589" s="36"/>
      <c r="H589" s="36"/>
      <c r="I589" s="36"/>
      <c r="J589" s="36"/>
      <c r="K589" s="36"/>
      <c r="L589" s="37" t="s">
        <v>652</v>
      </c>
      <c r="M589" s="38" t="s">
        <v>40</v>
      </c>
      <c r="N589" s="39"/>
      <c r="O589" s="40">
        <v>1000</v>
      </c>
      <c r="P589" s="40">
        <v>1333.58</v>
      </c>
      <c r="Q589" s="40">
        <f t="shared" si="59"/>
        <v>1000</v>
      </c>
      <c r="R589" s="40">
        <f t="shared" si="59"/>
        <v>1333.58</v>
      </c>
      <c r="S589" s="40">
        <f>ROUND('Смета ЕР (общ) '!$N589*'Смета ЕР (общ) '!$Q589,2)</f>
        <v>0</v>
      </c>
      <c r="T589" s="40">
        <f>ROUND('Смета ЕР (общ) '!$N589*'Смета ЕР (общ) '!$R589,2)</f>
        <v>0</v>
      </c>
    </row>
    <row r="590" spans="1:25" ht="14.4" x14ac:dyDescent="0.3">
      <c r="A590" s="36" t="s">
        <v>648</v>
      </c>
      <c r="B590" s="36">
        <v>1</v>
      </c>
      <c r="C590" s="36"/>
      <c r="D590" s="36">
        <v>3</v>
      </c>
      <c r="E590" s="36" t="str">
        <f>CONCATENATE('Смета ЕР (общ) '!$A590,".",'Смета ЕР (общ) '!$B590,".",'Смета ЕР (общ) '!$D590)</f>
        <v>Р4.1.3</v>
      </c>
      <c r="F590" s="36">
        <f t="shared" si="51"/>
        <v>1</v>
      </c>
      <c r="G590" s="36"/>
      <c r="H590" s="36"/>
      <c r="I590" s="36"/>
      <c r="J590" s="36"/>
      <c r="K590" s="36"/>
      <c r="L590" s="37" t="s">
        <v>653</v>
      </c>
      <c r="M590" s="38" t="s">
        <v>147</v>
      </c>
      <c r="N590" s="39"/>
      <c r="O590" s="40">
        <v>640</v>
      </c>
      <c r="P590" s="40">
        <v>964.32</v>
      </c>
      <c r="Q590" s="40">
        <f t="shared" si="59"/>
        <v>640</v>
      </c>
      <c r="R590" s="40">
        <f t="shared" si="59"/>
        <v>964.32</v>
      </c>
      <c r="S590" s="40">
        <f>ROUND('Смета ЕР (общ) '!$N590*'Смета ЕР (общ) '!$Q590,2)</f>
        <v>0</v>
      </c>
      <c r="T590" s="40">
        <f>ROUND('Смета ЕР (общ) '!$N590*'Смета ЕР (общ) '!$R590,2)</f>
        <v>0</v>
      </c>
    </row>
    <row r="591" spans="1:25" ht="24" x14ac:dyDescent="0.3">
      <c r="A591" s="36" t="s">
        <v>648</v>
      </c>
      <c r="B591" s="36">
        <v>1</v>
      </c>
      <c r="C591" s="36"/>
      <c r="D591" s="36">
        <v>4</v>
      </c>
      <c r="E591" s="36" t="str">
        <f>CONCATENATE('Смета ЕР (общ) '!$A591,".",'Смета ЕР (общ) '!$B591,".",'Смета ЕР (общ) '!$D591)</f>
        <v>Р4.1.4</v>
      </c>
      <c r="F591" s="36">
        <f t="shared" si="51"/>
        <v>1</v>
      </c>
      <c r="G591" s="36"/>
      <c r="H591" s="36"/>
      <c r="I591" s="36"/>
      <c r="J591" s="36"/>
      <c r="K591" s="36"/>
      <c r="L591" s="37" t="s">
        <v>654</v>
      </c>
      <c r="M591" s="38" t="s">
        <v>40</v>
      </c>
      <c r="N591" s="39"/>
      <c r="O591" s="40">
        <v>1289.3399999999999</v>
      </c>
      <c r="P591" s="40">
        <v>5618.09</v>
      </c>
      <c r="Q591" s="40">
        <f t="shared" si="59"/>
        <v>1289.3399999999999</v>
      </c>
      <c r="R591" s="40">
        <f t="shared" si="59"/>
        <v>5618.09</v>
      </c>
      <c r="S591" s="40">
        <f>ROUND('Смета ЕР (общ) '!$N591*'Смета ЕР (общ) '!$Q591,2)</f>
        <v>0</v>
      </c>
      <c r="T591" s="40">
        <f>ROUND('Смета ЕР (общ) '!$N591*'Смета ЕР (общ) '!$R591,2)</f>
        <v>0</v>
      </c>
    </row>
    <row r="592" spans="1:25" ht="24" x14ac:dyDescent="0.3">
      <c r="A592" s="36" t="s">
        <v>648</v>
      </c>
      <c r="B592" s="36">
        <v>1</v>
      </c>
      <c r="C592" s="36"/>
      <c r="D592" s="36">
        <v>5</v>
      </c>
      <c r="E592" s="36" t="str">
        <f>CONCATENATE('Смета ЕР (общ) '!$A592,".",'Смета ЕР (общ) '!$B592,".",'Смета ЕР (общ) '!$D592)</f>
        <v>Р4.1.5</v>
      </c>
      <c r="F592" s="36">
        <f t="shared" si="51"/>
        <v>1</v>
      </c>
      <c r="G592" s="36"/>
      <c r="H592" s="36"/>
      <c r="I592" s="36"/>
      <c r="J592" s="36"/>
      <c r="K592" s="36"/>
      <c r="L592" s="37" t="s">
        <v>655</v>
      </c>
      <c r="M592" s="38" t="s">
        <v>40</v>
      </c>
      <c r="N592" s="39"/>
      <c r="O592" s="40">
        <v>547.04999999999995</v>
      </c>
      <c r="P592" s="40">
        <v>133.91</v>
      </c>
      <c r="Q592" s="40">
        <f t="shared" si="59"/>
        <v>547.04999999999995</v>
      </c>
      <c r="R592" s="40">
        <f t="shared" si="59"/>
        <v>133.91</v>
      </c>
      <c r="S592" s="40">
        <f>ROUND('Смета ЕР (общ) '!$N592*'Смета ЕР (общ) '!$Q592,2)</f>
        <v>0</v>
      </c>
      <c r="T592" s="40">
        <f>ROUND('Смета ЕР (общ) '!$N592*'Смета ЕР (общ) '!$R592,2)</f>
        <v>0</v>
      </c>
    </row>
    <row r="593" spans="1:25" ht="14.4" x14ac:dyDescent="0.3">
      <c r="A593" s="36" t="s">
        <v>648</v>
      </c>
      <c r="B593" s="36">
        <v>1</v>
      </c>
      <c r="C593" s="36"/>
      <c r="D593" s="36">
        <v>6</v>
      </c>
      <c r="E593" s="36" t="str">
        <f>CONCATENATE('Смета ЕР (общ) '!$A593,".",'Смета ЕР (общ) '!$B593,".",'Смета ЕР (общ) '!$D593)</f>
        <v>Р4.1.6</v>
      </c>
      <c r="F593" s="36">
        <f t="shared" ref="F593:F656" si="60">IF(N593&gt;0,F592+1,F592)</f>
        <v>1</v>
      </c>
      <c r="G593" s="36"/>
      <c r="H593" s="36"/>
      <c r="I593" s="36"/>
      <c r="J593" s="36"/>
      <c r="K593" s="36"/>
      <c r="L593" s="37" t="s">
        <v>656</v>
      </c>
      <c r="M593" s="38" t="s">
        <v>118</v>
      </c>
      <c r="N593" s="39"/>
      <c r="O593" s="40">
        <v>752.51</v>
      </c>
      <c r="P593" s="40">
        <v>3487.78</v>
      </c>
      <c r="Q593" s="40">
        <f t="shared" si="59"/>
        <v>752.51</v>
      </c>
      <c r="R593" s="40">
        <f t="shared" si="59"/>
        <v>3487.78</v>
      </c>
      <c r="S593" s="40">
        <f>ROUND('Смета ЕР (общ) '!$N593*'Смета ЕР (общ) '!$Q593,2)</f>
        <v>0</v>
      </c>
      <c r="T593" s="40">
        <f>ROUND('Смета ЕР (общ) '!$N593*'Смета ЕР (общ) '!$R593,2)</f>
        <v>0</v>
      </c>
    </row>
    <row r="594" spans="1:25" ht="14.4" x14ac:dyDescent="0.3">
      <c r="A594" s="36" t="s">
        <v>648</v>
      </c>
      <c r="B594" s="36">
        <v>1</v>
      </c>
      <c r="C594" s="36"/>
      <c r="D594" s="36">
        <v>7</v>
      </c>
      <c r="E594" s="36" t="str">
        <f>CONCATENATE('Смета ЕР (общ) '!$A594,".",'Смета ЕР (общ) '!$B594,".",'Смета ЕР (общ) '!$D594)</f>
        <v>Р4.1.7</v>
      </c>
      <c r="F594" s="36">
        <f t="shared" si="60"/>
        <v>1</v>
      </c>
      <c r="G594" s="36"/>
      <c r="H594" s="36"/>
      <c r="I594" s="36"/>
      <c r="J594" s="36"/>
      <c r="K594" s="36"/>
      <c r="L594" s="37" t="s">
        <v>657</v>
      </c>
      <c r="M594" s="38" t="s">
        <v>147</v>
      </c>
      <c r="N594" s="39"/>
      <c r="O594" s="40">
        <v>203.58</v>
      </c>
      <c r="P594" s="40">
        <v>337.62</v>
      </c>
      <c r="Q594" s="40">
        <f t="shared" si="59"/>
        <v>203.58</v>
      </c>
      <c r="R594" s="40">
        <f t="shared" si="59"/>
        <v>337.62</v>
      </c>
      <c r="S594" s="40">
        <f>ROUND('Смета ЕР (общ) '!$N594*'Смета ЕР (общ) '!$Q594,2)</f>
        <v>0</v>
      </c>
      <c r="T594" s="40">
        <f>ROUND('Смета ЕР (общ) '!$N594*'Смета ЕР (общ) '!$R594,2)</f>
        <v>0</v>
      </c>
    </row>
    <row r="595" spans="1:25" ht="14.4" x14ac:dyDescent="0.3">
      <c r="A595" s="36" t="s">
        <v>648</v>
      </c>
      <c r="B595" s="36">
        <v>1</v>
      </c>
      <c r="C595" s="36"/>
      <c r="D595" s="36">
        <v>8</v>
      </c>
      <c r="E595" s="36" t="str">
        <f>CONCATENATE('Смета ЕР (общ) '!$A595,".",'Смета ЕР (общ) '!$B595,".",'Смета ЕР (общ) '!$D595)</f>
        <v>Р4.1.8</v>
      </c>
      <c r="F595" s="36">
        <f t="shared" si="60"/>
        <v>1</v>
      </c>
      <c r="G595" s="36"/>
      <c r="H595" s="36"/>
      <c r="I595" s="36"/>
      <c r="J595" s="36"/>
      <c r="K595" s="36"/>
      <c r="L595" s="37" t="s">
        <v>658</v>
      </c>
      <c r="M595" s="38" t="s">
        <v>40</v>
      </c>
      <c r="N595" s="39"/>
      <c r="O595" s="40">
        <v>135.72</v>
      </c>
      <c r="P595" s="40">
        <v>0</v>
      </c>
      <c r="Q595" s="40">
        <f t="shared" si="59"/>
        <v>135.72</v>
      </c>
      <c r="R595" s="40">
        <f t="shared" si="59"/>
        <v>0</v>
      </c>
      <c r="S595" s="40">
        <f>ROUND('Смета ЕР (общ) '!$N595*'Смета ЕР (общ) '!$Q595,2)</f>
        <v>0</v>
      </c>
      <c r="T595" s="40">
        <f>ROUND('Смета ЕР (общ) '!$N595*'Смета ЕР (общ) '!$R595,2)</f>
        <v>0</v>
      </c>
    </row>
    <row r="596" spans="1:25" ht="24" x14ac:dyDescent="0.3">
      <c r="A596" s="36" t="s">
        <v>648</v>
      </c>
      <c r="B596" s="36">
        <v>1</v>
      </c>
      <c r="C596" s="36"/>
      <c r="D596" s="36">
        <v>9</v>
      </c>
      <c r="E596" s="36" t="str">
        <f>CONCATENATE('Смета ЕР (общ) '!$A596,".",'Смета ЕР (общ) '!$B596,".",'Смета ЕР (общ) '!$D596)</f>
        <v>Р4.1.9</v>
      </c>
      <c r="F596" s="36">
        <f t="shared" si="60"/>
        <v>1</v>
      </c>
      <c r="G596" s="36"/>
      <c r="H596" s="36"/>
      <c r="I596" s="36"/>
      <c r="J596" s="36"/>
      <c r="K596" s="36"/>
      <c r="L596" s="53" t="s">
        <v>659</v>
      </c>
      <c r="M596" s="38" t="s">
        <v>40</v>
      </c>
      <c r="N596" s="39"/>
      <c r="O596" s="40">
        <v>755.12</v>
      </c>
      <c r="P596" s="40">
        <v>2578.46</v>
      </c>
      <c r="Q596" s="40">
        <f t="shared" si="59"/>
        <v>755.12</v>
      </c>
      <c r="R596" s="40">
        <f t="shared" si="59"/>
        <v>2578.46</v>
      </c>
      <c r="S596" s="40">
        <f>ROUND('Смета ЕР (общ) '!$N596*'Смета ЕР (общ) '!$Q596,2)</f>
        <v>0</v>
      </c>
      <c r="T596" s="40">
        <f>ROUND('Смета ЕР (общ) '!$N596*'Смета ЕР (общ) '!$R596,2)</f>
        <v>0</v>
      </c>
    </row>
    <row r="597" spans="1:25" ht="14.4" x14ac:dyDescent="0.3">
      <c r="A597" s="95" t="s">
        <v>648</v>
      </c>
      <c r="B597" s="95">
        <v>1</v>
      </c>
      <c r="C597" s="95"/>
      <c r="D597" s="95">
        <v>13</v>
      </c>
      <c r="E597" s="95" t="str">
        <f>CONCATENATE('Смета ЕР (общ) '!$A597,".",'Смета ЕР (общ) '!$B597,".",'Смета ЕР (общ) '!$D597)</f>
        <v>Р4.1.13</v>
      </c>
      <c r="F597" s="95">
        <f t="shared" si="60"/>
        <v>1</v>
      </c>
      <c r="G597" s="95"/>
      <c r="H597" s="95"/>
      <c r="I597" s="95"/>
      <c r="J597" s="95"/>
      <c r="K597" s="95"/>
      <c r="L597" s="134" t="s">
        <v>660</v>
      </c>
      <c r="M597" s="38" t="s">
        <v>229</v>
      </c>
      <c r="N597" s="39"/>
      <c r="O597" s="40">
        <v>11296.84</v>
      </c>
      <c r="P597" s="40">
        <v>56029.75</v>
      </c>
      <c r="Q597" s="40">
        <f t="shared" si="59"/>
        <v>11296.84</v>
      </c>
      <c r="R597" s="40">
        <f t="shared" si="59"/>
        <v>56029.75</v>
      </c>
      <c r="S597" s="40">
        <f>ROUND('Смета ЕР (общ) '!$N597*'Смета ЕР (общ) '!$Q597,2)</f>
        <v>0</v>
      </c>
      <c r="T597" s="40">
        <f>ROUND('Смета ЕР (общ) '!$N597*'Смета ЕР (общ) '!$R597,2)</f>
        <v>0</v>
      </c>
    </row>
    <row r="598" spans="1:25" ht="14.4" x14ac:dyDescent="0.3">
      <c r="A598" s="95" t="s">
        <v>648</v>
      </c>
      <c r="B598" s="95">
        <v>1</v>
      </c>
      <c r="C598" s="95"/>
      <c r="D598" s="95">
        <v>15</v>
      </c>
      <c r="E598" s="95" t="str">
        <f>CONCATENATE('Смета ЕР (общ) '!$A598,".",'Смета ЕР (общ) '!$B598,".",'Смета ЕР (общ) '!$D598)</f>
        <v>Р4.1.15</v>
      </c>
      <c r="F598" s="95">
        <f t="shared" si="60"/>
        <v>1</v>
      </c>
      <c r="G598" s="95"/>
      <c r="H598" s="95"/>
      <c r="I598" s="95"/>
      <c r="J598" s="95"/>
      <c r="K598" s="95"/>
      <c r="L598" s="134" t="s">
        <v>661</v>
      </c>
      <c r="M598" s="38" t="s">
        <v>147</v>
      </c>
      <c r="N598" s="39"/>
      <c r="O598" s="40">
        <v>610.74</v>
      </c>
      <c r="P598" s="40">
        <v>1187.8900000000001</v>
      </c>
      <c r="Q598" s="40">
        <f t="shared" si="59"/>
        <v>610.74</v>
      </c>
      <c r="R598" s="40">
        <f t="shared" si="59"/>
        <v>1187.8900000000001</v>
      </c>
      <c r="S598" s="40">
        <f>ROUND('Смета ЕР (общ) '!$N598*'Смета ЕР (общ) '!$Q598,2)</f>
        <v>0</v>
      </c>
      <c r="T598" s="40">
        <f>ROUND('Смета ЕР (общ) '!$N598*'Смета ЕР (общ) '!$R598,2)</f>
        <v>0</v>
      </c>
    </row>
    <row r="599" spans="1:25" ht="24" x14ac:dyDescent="0.3">
      <c r="A599" s="95" t="s">
        <v>648</v>
      </c>
      <c r="B599" s="95">
        <v>1</v>
      </c>
      <c r="C599" s="95"/>
      <c r="D599" s="95">
        <v>16</v>
      </c>
      <c r="E599" s="95" t="str">
        <f>CONCATENATE('Смета ЕР (общ) '!$A599,".",'Смета ЕР (общ) '!$B599,".",'Смета ЕР (общ) '!$D599)</f>
        <v>Р4.1.16</v>
      </c>
      <c r="F599" s="95">
        <f t="shared" si="60"/>
        <v>1</v>
      </c>
      <c r="G599" s="95"/>
      <c r="H599" s="95"/>
      <c r="I599" s="95"/>
      <c r="J599" s="95"/>
      <c r="K599" s="95"/>
      <c r="L599" s="134" t="s">
        <v>662</v>
      </c>
      <c r="M599" s="38" t="s">
        <v>64</v>
      </c>
      <c r="N599" s="39"/>
      <c r="O599" s="40">
        <v>12325.63</v>
      </c>
      <c r="P599" s="40">
        <v>28897.22</v>
      </c>
      <c r="Q599" s="40">
        <f t="shared" si="59"/>
        <v>12325.63</v>
      </c>
      <c r="R599" s="40">
        <f t="shared" si="59"/>
        <v>28897.22</v>
      </c>
      <c r="S599" s="40">
        <f>ROUND('Смета ЕР (общ) '!$N599*'Смета ЕР (общ) '!$Q599,2)</f>
        <v>0</v>
      </c>
      <c r="T599" s="40">
        <f>ROUND('Смета ЕР (общ) '!$N599*'Смета ЕР (общ) '!$R599,2)</f>
        <v>0</v>
      </c>
    </row>
    <row r="600" spans="1:25" ht="14.4" x14ac:dyDescent="0.3">
      <c r="A600" s="48" t="s">
        <v>648</v>
      </c>
      <c r="B600" s="48">
        <v>2</v>
      </c>
      <c r="C600" s="48"/>
      <c r="D600" s="48">
        <v>0</v>
      </c>
      <c r="E600" s="48" t="str">
        <f>CONCATENATE('Смета ЕР (общ) '!$A600,".",'Смета ЕР (общ) '!$B600,".",'Смета ЕР (общ) '!$D600)</f>
        <v>Р4.2.0</v>
      </c>
      <c r="F600" s="48">
        <f t="shared" si="60"/>
        <v>1</v>
      </c>
      <c r="G600" s="48"/>
      <c r="H600" s="48"/>
      <c r="I600" s="48"/>
      <c r="J600" s="48"/>
      <c r="K600" s="48"/>
      <c r="L600" s="49" t="s">
        <v>663</v>
      </c>
      <c r="M600" s="31"/>
      <c r="N600" s="32">
        <f>S600</f>
        <v>0</v>
      </c>
      <c r="O600" s="47"/>
      <c r="P600" s="47"/>
      <c r="Q600" s="34"/>
      <c r="R600" s="34"/>
      <c r="S600" s="34">
        <f>SUM(S601:S626)</f>
        <v>0</v>
      </c>
      <c r="T600" s="34">
        <f>SUM(T601:T626)</f>
        <v>0</v>
      </c>
      <c r="Y600">
        <v>28160.280000000002</v>
      </c>
    </row>
    <row r="601" spans="1:25" ht="24" x14ac:dyDescent="0.3">
      <c r="A601" s="36" t="s">
        <v>648</v>
      </c>
      <c r="B601" s="36">
        <v>2</v>
      </c>
      <c r="C601" s="36"/>
      <c r="D601" s="36">
        <v>1</v>
      </c>
      <c r="E601" s="36" t="str">
        <f>CONCATENATE('Смета ЕР (общ) '!$A601,".",'Смета ЕР (общ) '!$B601,".",'Смета ЕР (общ) '!$D601)</f>
        <v>Р4.2.1</v>
      </c>
      <c r="F601" s="36">
        <f t="shared" si="60"/>
        <v>1</v>
      </c>
      <c r="G601" s="36"/>
      <c r="H601" s="36"/>
      <c r="I601" s="36"/>
      <c r="J601" s="36"/>
      <c r="K601" s="36"/>
      <c r="L601" s="37" t="s">
        <v>664</v>
      </c>
      <c r="M601" s="38" t="s">
        <v>40</v>
      </c>
      <c r="N601" s="39"/>
      <c r="O601" s="40">
        <v>339.3</v>
      </c>
      <c r="P601" s="40">
        <v>647.29999999999995</v>
      </c>
      <c r="Q601" s="40">
        <f t="shared" ref="Q601:R626" si="61">ROUND(O601-O601*$V$3,2)</f>
        <v>339.3</v>
      </c>
      <c r="R601" s="40">
        <f t="shared" si="61"/>
        <v>647.29999999999995</v>
      </c>
      <c r="S601" s="40">
        <f>ROUND('Смета ЕР (общ) '!$N601*'Смета ЕР (общ) '!$Q601,2)</f>
        <v>0</v>
      </c>
      <c r="T601" s="40">
        <f>ROUND('Смета ЕР (общ) '!$N601*'Смета ЕР (общ) '!$R601,2)</f>
        <v>0</v>
      </c>
    </row>
    <row r="602" spans="1:25" ht="24" x14ac:dyDescent="0.3">
      <c r="A602" s="36" t="s">
        <v>648</v>
      </c>
      <c r="B602" s="36">
        <v>2</v>
      </c>
      <c r="C602" s="36"/>
      <c r="D602" s="36">
        <v>2</v>
      </c>
      <c r="E602" s="36" t="str">
        <f>CONCATENATE('Смета ЕР (общ) '!$A602,".",'Смета ЕР (общ) '!$B602,".",'Смета ЕР (общ) '!$D602)</f>
        <v>Р4.2.2</v>
      </c>
      <c r="F602" s="36">
        <f t="shared" si="60"/>
        <v>1</v>
      </c>
      <c r="G602" s="36"/>
      <c r="H602" s="36"/>
      <c r="I602" s="36"/>
      <c r="J602" s="36"/>
      <c r="K602" s="36"/>
      <c r="L602" s="37" t="s">
        <v>665</v>
      </c>
      <c r="M602" s="38" t="s">
        <v>40</v>
      </c>
      <c r="N602" s="39"/>
      <c r="O602" s="40">
        <v>1000</v>
      </c>
      <c r="P602" s="40">
        <v>857.59</v>
      </c>
      <c r="Q602" s="40">
        <f t="shared" si="61"/>
        <v>1000</v>
      </c>
      <c r="R602" s="40">
        <f t="shared" si="61"/>
        <v>857.59</v>
      </c>
      <c r="S602" s="40">
        <f>ROUND('Смета ЕР (общ) '!$N602*'Смета ЕР (общ) '!$Q602,2)</f>
        <v>0</v>
      </c>
      <c r="T602" s="40">
        <f>ROUND('Смета ЕР (общ) '!$N602*'Смета ЕР (общ) '!$R602,2)</f>
        <v>0</v>
      </c>
    </row>
    <row r="603" spans="1:25" ht="24" x14ac:dyDescent="0.3">
      <c r="A603" s="36" t="s">
        <v>648</v>
      </c>
      <c r="B603" s="36">
        <v>2</v>
      </c>
      <c r="C603" s="36"/>
      <c r="D603" s="36">
        <v>3</v>
      </c>
      <c r="E603" s="36" t="str">
        <f>CONCATENATE('Смета ЕР (общ) '!$A603,".",'Смета ЕР (общ) '!$B603,".",'Смета ЕР (общ) '!$D603)</f>
        <v>Р4.2.3</v>
      </c>
      <c r="F603" s="36">
        <f t="shared" si="60"/>
        <v>1</v>
      </c>
      <c r="G603" s="36"/>
      <c r="H603" s="36"/>
      <c r="I603" s="36"/>
      <c r="J603" s="36"/>
      <c r="K603" s="36"/>
      <c r="L603" s="37" t="s">
        <v>666</v>
      </c>
      <c r="M603" s="38" t="s">
        <v>40</v>
      </c>
      <c r="N603" s="39"/>
      <c r="O603" s="40">
        <v>761.21</v>
      </c>
      <c r="P603" s="40">
        <v>479.91</v>
      </c>
      <c r="Q603" s="40">
        <f t="shared" si="61"/>
        <v>761.21</v>
      </c>
      <c r="R603" s="40">
        <f t="shared" si="61"/>
        <v>479.91</v>
      </c>
      <c r="S603" s="40">
        <f>ROUND('Смета ЕР (общ) '!$N603*'Смета ЕР (общ) '!$Q603,2)</f>
        <v>0</v>
      </c>
      <c r="T603" s="40">
        <f>ROUND('Смета ЕР (общ) '!$N603*'Смета ЕР (общ) '!$R603,2)</f>
        <v>0</v>
      </c>
      <c r="Y603">
        <v>12</v>
      </c>
    </row>
    <row r="604" spans="1:25" ht="24" x14ac:dyDescent="0.3">
      <c r="A604" s="36" t="s">
        <v>648</v>
      </c>
      <c r="B604" s="36">
        <v>2</v>
      </c>
      <c r="C604" s="36"/>
      <c r="D604" s="36">
        <v>4</v>
      </c>
      <c r="E604" s="36" t="str">
        <f>CONCATENATE('Смета ЕР (общ) '!$A604,".",'Смета ЕР (общ) '!$B604,".",'Смета ЕР (общ) '!$D604)</f>
        <v>Р4.2.4</v>
      </c>
      <c r="F604" s="36">
        <f t="shared" si="60"/>
        <v>1</v>
      </c>
      <c r="G604" s="36"/>
      <c r="H604" s="36"/>
      <c r="I604" s="36"/>
      <c r="J604" s="36"/>
      <c r="K604" s="36"/>
      <c r="L604" s="37" t="s">
        <v>667</v>
      </c>
      <c r="M604" s="38" t="s">
        <v>40</v>
      </c>
      <c r="N604" s="39"/>
      <c r="O604" s="40">
        <v>762.08</v>
      </c>
      <c r="P604" s="40">
        <v>367.63</v>
      </c>
      <c r="Q604" s="40">
        <f t="shared" si="61"/>
        <v>762.08</v>
      </c>
      <c r="R604" s="40">
        <f t="shared" si="61"/>
        <v>367.63</v>
      </c>
      <c r="S604" s="40">
        <f>ROUND('Смета ЕР (общ) '!$N604*'Смета ЕР (общ) '!$Q604,2)</f>
        <v>0</v>
      </c>
      <c r="T604" s="40">
        <f>ROUND('Смета ЕР (общ) '!$N604*'Смета ЕР (общ) '!$R604,2)</f>
        <v>0</v>
      </c>
    </row>
    <row r="605" spans="1:25" ht="14.4" x14ac:dyDescent="0.3">
      <c r="A605" s="36" t="s">
        <v>648</v>
      </c>
      <c r="B605" s="36">
        <v>2</v>
      </c>
      <c r="C605" s="36"/>
      <c r="D605" s="36">
        <v>5</v>
      </c>
      <c r="E605" s="36" t="str">
        <f>CONCATENATE('Смета ЕР (общ) '!$A605,".",'Смета ЕР (общ) '!$B605,".",'Смета ЕР (общ) '!$D605)</f>
        <v>Р4.2.5</v>
      </c>
      <c r="F605" s="36">
        <f t="shared" si="60"/>
        <v>1</v>
      </c>
      <c r="G605" s="36"/>
      <c r="H605" s="36"/>
      <c r="I605" s="36"/>
      <c r="J605" s="36"/>
      <c r="K605" s="36"/>
      <c r="L605" s="37" t="s">
        <v>668</v>
      </c>
      <c r="M605" s="38" t="s">
        <v>40</v>
      </c>
      <c r="N605" s="39"/>
      <c r="O605" s="40">
        <v>75.199999999999989</v>
      </c>
      <c r="P605" s="40">
        <v>50</v>
      </c>
      <c r="Q605" s="40">
        <f t="shared" si="61"/>
        <v>75.2</v>
      </c>
      <c r="R605" s="40">
        <f t="shared" si="61"/>
        <v>50</v>
      </c>
      <c r="S605" s="40">
        <f>ROUND('Смета ЕР (общ) '!$N605*'Смета ЕР (общ) '!$Q605,2)</f>
        <v>0</v>
      </c>
      <c r="T605" s="40">
        <f>ROUND('Смета ЕР (общ) '!$N605*'Смета ЕР (общ) '!$R605,2)</f>
        <v>0</v>
      </c>
      <c r="Y605">
        <v>12</v>
      </c>
    </row>
    <row r="606" spans="1:25" ht="14.4" x14ac:dyDescent="0.3">
      <c r="A606" s="36" t="s">
        <v>648</v>
      </c>
      <c r="B606" s="36">
        <v>2</v>
      </c>
      <c r="C606" s="36"/>
      <c r="D606" s="36">
        <v>6</v>
      </c>
      <c r="E606" s="36" t="str">
        <f>CONCATENATE('Смета ЕР (общ) '!$A606,".",'Смета ЕР (общ) '!$B606,".",'Смета ЕР (общ) '!$D606)</f>
        <v>Р4.2.6</v>
      </c>
      <c r="F606" s="36">
        <f t="shared" si="60"/>
        <v>1</v>
      </c>
      <c r="G606" s="36"/>
      <c r="H606" s="36"/>
      <c r="I606" s="36"/>
      <c r="J606" s="36"/>
      <c r="K606" s="36"/>
      <c r="L606" s="37" t="s">
        <v>669</v>
      </c>
      <c r="M606" s="38" t="s">
        <v>40</v>
      </c>
      <c r="N606" s="39"/>
      <c r="O606" s="40">
        <v>763.82</v>
      </c>
      <c r="P606" s="40">
        <v>429.94</v>
      </c>
      <c r="Q606" s="40">
        <f t="shared" si="61"/>
        <v>763.82</v>
      </c>
      <c r="R606" s="40">
        <f t="shared" si="61"/>
        <v>429.94</v>
      </c>
      <c r="S606" s="40">
        <f>ROUND('Смета ЕР (общ) '!$N606*'Смета ЕР (общ) '!$Q606,2)</f>
        <v>0</v>
      </c>
      <c r="T606" s="40">
        <f>ROUND('Смета ЕР (общ) '!$N606*'Смета ЕР (общ) '!$R606,2)</f>
        <v>0</v>
      </c>
      <c r="Y606">
        <v>12</v>
      </c>
    </row>
    <row r="607" spans="1:25" ht="24" x14ac:dyDescent="0.3">
      <c r="A607" s="36" t="s">
        <v>648</v>
      </c>
      <c r="B607" s="36">
        <v>2</v>
      </c>
      <c r="C607" s="36"/>
      <c r="D607" s="36">
        <v>7</v>
      </c>
      <c r="E607" s="36" t="str">
        <f>CONCATENATE('Смета ЕР (общ) '!$A607,".",'Смета ЕР (общ) '!$B607,".",'Смета ЕР (общ) '!$D607)</f>
        <v>Р4.2.7</v>
      </c>
      <c r="F607" s="36">
        <f t="shared" si="60"/>
        <v>1</v>
      </c>
      <c r="G607" s="36"/>
      <c r="H607" s="36"/>
      <c r="I607" s="36"/>
      <c r="J607" s="36"/>
      <c r="K607" s="36"/>
      <c r="L607" s="37" t="s">
        <v>670</v>
      </c>
      <c r="M607" s="38" t="s">
        <v>40</v>
      </c>
      <c r="N607" s="39"/>
      <c r="O607" s="40">
        <v>746.46</v>
      </c>
      <c r="P607" s="40">
        <v>364.26</v>
      </c>
      <c r="Q607" s="40">
        <f t="shared" si="61"/>
        <v>746.46</v>
      </c>
      <c r="R607" s="40">
        <f t="shared" si="61"/>
        <v>364.26</v>
      </c>
      <c r="S607" s="40">
        <f>ROUND('Смета ЕР (общ) '!$N607*'Смета ЕР (общ) '!$Q607,2)</f>
        <v>0</v>
      </c>
      <c r="T607" s="40">
        <f>ROUND('Смета ЕР (общ) '!$N607*'Смета ЕР (общ) '!$R607,2)</f>
        <v>0</v>
      </c>
      <c r="Y607">
        <v>12</v>
      </c>
    </row>
    <row r="608" spans="1:25" ht="14.4" x14ac:dyDescent="0.3">
      <c r="A608" s="36" t="s">
        <v>648</v>
      </c>
      <c r="B608" s="36">
        <v>2</v>
      </c>
      <c r="C608" s="36"/>
      <c r="D608" s="36">
        <v>8</v>
      </c>
      <c r="E608" s="36" t="str">
        <f>CONCATENATE('Смета ЕР (общ) '!$A608,".",'Смета ЕР (общ) '!$B608,".",'Смета ЕР (общ) '!$D608)</f>
        <v>Р4.2.8</v>
      </c>
      <c r="F608" s="36">
        <f t="shared" si="60"/>
        <v>1</v>
      </c>
      <c r="G608" s="36"/>
      <c r="H608" s="36"/>
      <c r="I608" s="36"/>
      <c r="J608" s="36"/>
      <c r="K608" s="36"/>
      <c r="L608" s="53" t="s">
        <v>671</v>
      </c>
      <c r="M608" s="38" t="s">
        <v>40</v>
      </c>
      <c r="N608" s="39"/>
      <c r="O608" s="40">
        <v>475.02</v>
      </c>
      <c r="P608" s="40">
        <v>0</v>
      </c>
      <c r="Q608" s="40">
        <f t="shared" si="61"/>
        <v>475.02</v>
      </c>
      <c r="R608" s="40">
        <f t="shared" si="61"/>
        <v>0</v>
      </c>
      <c r="S608" s="40">
        <f>ROUND('Смета ЕР (общ) '!$N608*'Смета ЕР (общ) '!$Q608,2)</f>
        <v>0</v>
      </c>
      <c r="T608" s="40">
        <f>ROUND('Смета ЕР (общ) '!$N608*'Смета ЕР (общ) '!$R608,2)</f>
        <v>0</v>
      </c>
    </row>
    <row r="609" spans="1:21" ht="24" x14ac:dyDescent="0.3">
      <c r="A609" s="36" t="s">
        <v>648</v>
      </c>
      <c r="B609" s="36">
        <v>2</v>
      </c>
      <c r="C609" s="36"/>
      <c r="D609" s="36">
        <v>9</v>
      </c>
      <c r="E609" s="36" t="str">
        <f>CONCATENATE('Смета ЕР (общ) '!$A609,".",'Смета ЕР (общ) '!$B609,".",'Смета ЕР (общ) '!$D609)</f>
        <v>Р4.2.9</v>
      </c>
      <c r="F609" s="36">
        <f t="shared" si="60"/>
        <v>1</v>
      </c>
      <c r="G609" s="36"/>
      <c r="H609" s="36"/>
      <c r="I609" s="36"/>
      <c r="J609" s="36"/>
      <c r="K609" s="36"/>
      <c r="L609" s="53" t="s">
        <v>672</v>
      </c>
      <c r="M609" s="38" t="s">
        <v>40</v>
      </c>
      <c r="N609" s="39"/>
      <c r="O609" s="40">
        <v>4500</v>
      </c>
      <c r="P609" s="40">
        <v>7500</v>
      </c>
      <c r="Q609" s="40">
        <f t="shared" si="61"/>
        <v>4500</v>
      </c>
      <c r="R609" s="40">
        <f t="shared" si="61"/>
        <v>7500</v>
      </c>
      <c r="S609" s="40">
        <f>ROUND('Смета ЕР (общ) '!$N609*'Смета ЕР (общ) '!$Q609,2)</f>
        <v>0</v>
      </c>
      <c r="T609" s="40">
        <f>ROUND('Смета ЕР (общ) '!$N609*'Смета ЕР (общ) '!$R609,2)</f>
        <v>0</v>
      </c>
    </row>
    <row r="610" spans="1:21" ht="24" x14ac:dyDescent="0.3">
      <c r="A610" s="36" t="s">
        <v>648</v>
      </c>
      <c r="B610" s="36">
        <v>2</v>
      </c>
      <c r="C610" s="36"/>
      <c r="D610" s="36">
        <v>10</v>
      </c>
      <c r="E610" s="36" t="str">
        <f>CONCATENATE('Смета ЕР (общ) '!$A610,".",'Смета ЕР (общ) '!$B610,".",'Смета ЕР (общ) '!$D610)</f>
        <v>Р4.2.10</v>
      </c>
      <c r="F610" s="36">
        <f t="shared" si="60"/>
        <v>1</v>
      </c>
      <c r="G610" s="36"/>
      <c r="H610" s="36"/>
      <c r="I610" s="36"/>
      <c r="J610" s="36"/>
      <c r="K610" s="36"/>
      <c r="L610" s="53" t="s">
        <v>673</v>
      </c>
      <c r="M610" s="38" t="s">
        <v>40</v>
      </c>
      <c r="N610" s="39"/>
      <c r="O610" s="40">
        <v>5500</v>
      </c>
      <c r="P610" s="40">
        <v>8500</v>
      </c>
      <c r="Q610" s="40">
        <f t="shared" si="61"/>
        <v>5500</v>
      </c>
      <c r="R610" s="40">
        <f t="shared" si="61"/>
        <v>8500</v>
      </c>
      <c r="S610" s="40">
        <f>ROUND('Смета ЕР (общ) '!$N610*'Смета ЕР (общ) '!$Q610,2)</f>
        <v>0</v>
      </c>
      <c r="T610" s="40">
        <f>ROUND('Смета ЕР (общ) '!$N610*'Смета ЕР (общ) '!$R610,2)</f>
        <v>0</v>
      </c>
    </row>
    <row r="611" spans="1:21" ht="24" x14ac:dyDescent="0.3">
      <c r="A611" s="36" t="s">
        <v>648</v>
      </c>
      <c r="B611" s="36">
        <v>2</v>
      </c>
      <c r="C611" s="36"/>
      <c r="D611" s="36">
        <v>11</v>
      </c>
      <c r="E611" s="36" t="str">
        <f>CONCATENATE('Смета ЕР (общ) '!$A611,".",'Смета ЕР (общ) '!$B611,".",'Смета ЕР (общ) '!$D611)</f>
        <v>Р4.2.11</v>
      </c>
      <c r="F611" s="36">
        <f t="shared" si="60"/>
        <v>1</v>
      </c>
      <c r="G611" s="36"/>
      <c r="H611" s="36"/>
      <c r="I611" s="36"/>
      <c r="J611" s="36"/>
      <c r="K611" s="36"/>
      <c r="L611" s="53" t="s">
        <v>674</v>
      </c>
      <c r="M611" s="38" t="s">
        <v>40</v>
      </c>
      <c r="N611" s="39"/>
      <c r="O611" s="40">
        <v>3393</v>
      </c>
      <c r="P611" s="40">
        <v>5691.12</v>
      </c>
      <c r="Q611" s="40">
        <f t="shared" si="61"/>
        <v>3393</v>
      </c>
      <c r="R611" s="40">
        <f t="shared" si="61"/>
        <v>5691.12</v>
      </c>
      <c r="S611" s="40">
        <f>ROUND('Смета ЕР (общ) '!$N611*'Смета ЕР (общ) '!$Q611,2)</f>
        <v>0</v>
      </c>
      <c r="T611" s="40">
        <f>ROUND('Смета ЕР (общ) '!$N611*'Смета ЕР (общ) '!$R611,2)</f>
        <v>0</v>
      </c>
    </row>
    <row r="612" spans="1:21" ht="24" x14ac:dyDescent="0.3">
      <c r="A612" s="36" t="s">
        <v>648</v>
      </c>
      <c r="B612" s="36">
        <v>2</v>
      </c>
      <c r="C612" s="36"/>
      <c r="D612" s="36">
        <v>12</v>
      </c>
      <c r="E612" s="36" t="str">
        <f>CONCATENATE('Смета ЕР (общ) '!$A612,".",'Смета ЕР (общ) '!$B612,".",'Смета ЕР (общ) '!$D612)</f>
        <v>Р4.2.12</v>
      </c>
      <c r="F612" s="36">
        <f t="shared" si="60"/>
        <v>1</v>
      </c>
      <c r="G612" s="36"/>
      <c r="H612" s="36"/>
      <c r="I612" s="36"/>
      <c r="J612" s="36"/>
      <c r="K612" s="36"/>
      <c r="L612" s="53" t="s">
        <v>675</v>
      </c>
      <c r="M612" s="38" t="s">
        <v>40</v>
      </c>
      <c r="N612" s="39"/>
      <c r="O612" s="40">
        <v>4071.6</v>
      </c>
      <c r="P612" s="40">
        <v>6154.8</v>
      </c>
      <c r="Q612" s="40">
        <f t="shared" si="61"/>
        <v>4071.6</v>
      </c>
      <c r="R612" s="40">
        <f t="shared" si="61"/>
        <v>6154.8</v>
      </c>
      <c r="S612" s="40">
        <f>ROUND('Смета ЕР (общ) '!$N612*'Смета ЕР (общ) '!$Q612,2)</f>
        <v>0</v>
      </c>
      <c r="T612" s="40">
        <f>ROUND('Смета ЕР (общ) '!$N612*'Смета ЕР (общ) '!$R612,2)</f>
        <v>0</v>
      </c>
    </row>
    <row r="613" spans="1:21" ht="14.4" x14ac:dyDescent="0.3">
      <c r="A613" s="36" t="s">
        <v>648</v>
      </c>
      <c r="B613" s="36">
        <v>2</v>
      </c>
      <c r="C613" s="36"/>
      <c r="D613" s="36">
        <v>14</v>
      </c>
      <c r="E613" s="36" t="str">
        <f>CONCATENATE('Смета ЕР (общ) '!$A613,".",'Смета ЕР (общ) '!$B613,".",'Смета ЕР (общ) '!$D613)</f>
        <v>Р4.2.14</v>
      </c>
      <c r="F613" s="36">
        <f t="shared" si="60"/>
        <v>1</v>
      </c>
      <c r="G613" s="36"/>
      <c r="H613" s="36"/>
      <c r="I613" s="36"/>
      <c r="J613" s="36"/>
      <c r="K613" s="36"/>
      <c r="L613" s="53" t="s">
        <v>676</v>
      </c>
      <c r="M613" s="38" t="s">
        <v>144</v>
      </c>
      <c r="N613" s="39"/>
      <c r="O613" s="40">
        <v>3725.76</v>
      </c>
      <c r="P613" s="40">
        <v>9444.19</v>
      </c>
      <c r="Q613" s="40">
        <f t="shared" si="61"/>
        <v>3725.76</v>
      </c>
      <c r="R613" s="40">
        <f t="shared" si="61"/>
        <v>9444.19</v>
      </c>
      <c r="S613" s="40">
        <f>ROUND('Смета ЕР (общ) '!$N613*'Смета ЕР (общ) '!$Q613,2)</f>
        <v>0</v>
      </c>
      <c r="T613" s="40">
        <f>ROUND('Смета ЕР (общ) '!$N613*'Смета ЕР (общ) '!$R613,2)</f>
        <v>0</v>
      </c>
    </row>
    <row r="614" spans="1:21" ht="36" x14ac:dyDescent="0.3">
      <c r="A614" s="36" t="s">
        <v>648</v>
      </c>
      <c r="B614" s="36">
        <v>2</v>
      </c>
      <c r="C614" s="36"/>
      <c r="D614" s="36">
        <v>15</v>
      </c>
      <c r="E614" s="36" t="str">
        <f>CONCATENATE('Смета ЕР (общ) '!$A614,".",'Смета ЕР (общ) '!$B614,".",'Смета ЕР (общ) '!$D614)</f>
        <v>Р4.2.15</v>
      </c>
      <c r="F614" s="36">
        <f t="shared" si="60"/>
        <v>1</v>
      </c>
      <c r="G614" s="36"/>
      <c r="H614" s="36"/>
      <c r="I614" s="36"/>
      <c r="J614" s="36"/>
      <c r="K614" s="36"/>
      <c r="L614" s="53" t="s">
        <v>677</v>
      </c>
      <c r="M614" s="38" t="s">
        <v>40</v>
      </c>
      <c r="N614" s="39"/>
      <c r="O614" s="40">
        <v>3500</v>
      </c>
      <c r="P614" s="40">
        <v>5464.97</v>
      </c>
      <c r="Q614" s="40">
        <f t="shared" si="61"/>
        <v>3500</v>
      </c>
      <c r="R614" s="40">
        <f t="shared" si="61"/>
        <v>5464.97</v>
      </c>
      <c r="S614" s="40">
        <f>ROUND('Смета ЕР (общ) '!$N614*'Смета ЕР (общ) '!$Q614,2)</f>
        <v>0</v>
      </c>
      <c r="T614" s="40">
        <f>ROUND('Смета ЕР (общ) '!$N614*'Смета ЕР (общ) '!$R614,2)</f>
        <v>0</v>
      </c>
    </row>
    <row r="615" spans="1:21" ht="24" x14ac:dyDescent="0.3">
      <c r="A615" s="36" t="s">
        <v>648</v>
      </c>
      <c r="B615" s="36">
        <v>2</v>
      </c>
      <c r="C615" s="36"/>
      <c r="D615" s="36">
        <v>16</v>
      </c>
      <c r="E615" s="36" t="str">
        <f>CONCATENATE('Смета ЕР (общ) '!$A615,".",'Смета ЕР (общ) '!$B615,".",'Смета ЕР (общ) '!$D615)</f>
        <v>Р4.2.16</v>
      </c>
      <c r="F615" s="36">
        <f t="shared" si="60"/>
        <v>1</v>
      </c>
      <c r="G615" s="36"/>
      <c r="H615" s="36"/>
      <c r="I615" s="36"/>
      <c r="J615" s="36"/>
      <c r="K615" s="36"/>
      <c r="L615" s="53" t="s">
        <v>678</v>
      </c>
      <c r="M615" s="38" t="s">
        <v>40</v>
      </c>
      <c r="N615" s="39"/>
      <c r="O615" s="40">
        <v>771.65</v>
      </c>
      <c r="P615" s="40">
        <v>3620.34</v>
      </c>
      <c r="Q615" s="40">
        <f t="shared" si="61"/>
        <v>771.65</v>
      </c>
      <c r="R615" s="40">
        <f t="shared" si="61"/>
        <v>3620.34</v>
      </c>
      <c r="S615" s="40">
        <f>ROUND('Смета ЕР (общ) '!$N615*'Смета ЕР (общ) '!$Q615,2)</f>
        <v>0</v>
      </c>
      <c r="T615" s="40">
        <f>ROUND('Смета ЕР (общ) '!$N615*'Смета ЕР (общ) '!$R615,2)</f>
        <v>0</v>
      </c>
    </row>
    <row r="616" spans="1:21" ht="14.4" x14ac:dyDescent="0.3">
      <c r="A616" s="95" t="s">
        <v>648</v>
      </c>
      <c r="B616" s="95">
        <v>2</v>
      </c>
      <c r="C616" s="95"/>
      <c r="D616" s="95">
        <v>24</v>
      </c>
      <c r="E616" s="95" t="str">
        <f>CONCATENATE('Смета ЕР (общ) '!$A616,".",'Смета ЕР (общ) '!$B616,".",'Смета ЕР (общ) '!$D616)</f>
        <v>Р4.2.24</v>
      </c>
      <c r="F616" s="95">
        <f t="shared" si="60"/>
        <v>1</v>
      </c>
      <c r="G616" s="95"/>
      <c r="H616" s="95"/>
      <c r="I616" s="95"/>
      <c r="J616" s="95"/>
      <c r="K616" s="95"/>
      <c r="L616" s="134" t="s">
        <v>679</v>
      </c>
      <c r="M616" s="135" t="s">
        <v>40</v>
      </c>
      <c r="N616" s="39"/>
      <c r="O616" s="40">
        <v>350</v>
      </c>
      <c r="P616" s="40">
        <v>439.86</v>
      </c>
      <c r="Q616" s="40">
        <f t="shared" si="61"/>
        <v>350</v>
      </c>
      <c r="R616" s="40">
        <f t="shared" si="61"/>
        <v>439.86</v>
      </c>
      <c r="S616" s="40">
        <f>ROUND('Смета ЕР (общ) '!$N616*'Смета ЕР (общ) '!$Q616,2)</f>
        <v>0</v>
      </c>
      <c r="T616" s="40">
        <f>ROUND('Смета ЕР (общ) '!$N616*'Смета ЕР (общ) '!$R616,2)</f>
        <v>0</v>
      </c>
    </row>
    <row r="617" spans="1:21" ht="14.4" x14ac:dyDescent="0.3">
      <c r="A617" s="95" t="s">
        <v>648</v>
      </c>
      <c r="B617" s="95">
        <v>2</v>
      </c>
      <c r="C617" s="95"/>
      <c r="D617" s="95">
        <v>18</v>
      </c>
      <c r="E617" s="95" t="str">
        <f>CONCATENATE('Смета ЕР (общ) '!$A617,".",'Смета ЕР (общ) '!$B617,".",'Смета ЕР (общ) '!$D617)</f>
        <v>Р4.2.18</v>
      </c>
      <c r="F617" s="95">
        <f t="shared" si="60"/>
        <v>1</v>
      </c>
      <c r="G617" s="95"/>
      <c r="H617" s="95"/>
      <c r="I617" s="95"/>
      <c r="J617" s="95"/>
      <c r="K617" s="95"/>
      <c r="L617" s="134" t="s">
        <v>680</v>
      </c>
      <c r="M617" s="38" t="s">
        <v>64</v>
      </c>
      <c r="N617" s="39"/>
      <c r="O617" s="40">
        <v>36442.949999999997</v>
      </c>
      <c r="P617" s="40">
        <v>27833.37</v>
      </c>
      <c r="Q617" s="40">
        <f t="shared" si="61"/>
        <v>36442.949999999997</v>
      </c>
      <c r="R617" s="40">
        <f t="shared" si="61"/>
        <v>27833.37</v>
      </c>
      <c r="S617" s="40">
        <f>ROUND('Смета ЕР (общ) '!$N617*'Смета ЕР (общ) '!$Q617,2)</f>
        <v>0</v>
      </c>
      <c r="T617" s="40">
        <f>ROUND('Смета ЕР (общ) '!$N617*'Смета ЕР (общ) '!$R617,2)</f>
        <v>0</v>
      </c>
    </row>
    <row r="618" spans="1:21" ht="14.4" x14ac:dyDescent="0.3">
      <c r="A618" s="36" t="s">
        <v>648</v>
      </c>
      <c r="B618" s="36">
        <v>2</v>
      </c>
      <c r="C618" s="36"/>
      <c r="D618" s="36">
        <v>19</v>
      </c>
      <c r="E618" s="36" t="str">
        <f>CONCATENATE('Смета ЕР (общ) '!$A618,".",'Смета ЕР (общ) '!$B618,".",'Смета ЕР (общ) '!$D618)</f>
        <v>Р4.2.19</v>
      </c>
      <c r="F618" s="36">
        <f t="shared" si="60"/>
        <v>1</v>
      </c>
      <c r="G618" s="36"/>
      <c r="H618" s="36"/>
      <c r="I618" s="36"/>
      <c r="J618" s="36"/>
      <c r="K618" s="36"/>
      <c r="L618" s="37" t="s">
        <v>681</v>
      </c>
      <c r="M618" s="54" t="s">
        <v>40</v>
      </c>
      <c r="N618" s="39"/>
      <c r="O618" s="40">
        <v>3048.05</v>
      </c>
      <c r="P618" s="40">
        <v>1852.48</v>
      </c>
      <c r="Q618" s="40">
        <f t="shared" si="61"/>
        <v>3048.05</v>
      </c>
      <c r="R618" s="40">
        <f t="shared" si="61"/>
        <v>1852.48</v>
      </c>
      <c r="S618" s="40">
        <f>ROUND('Смета ЕР (общ) '!$N618*'Смета ЕР (общ) '!$Q618,2)</f>
        <v>0</v>
      </c>
      <c r="T618" s="40">
        <f>ROUND('Смета ЕР (общ) '!$N618*'Смета ЕР (общ) '!$R618,2)</f>
        <v>0</v>
      </c>
      <c r="U618" s="136"/>
    </row>
    <row r="619" spans="1:21" ht="14.4" x14ac:dyDescent="0.3">
      <c r="A619" s="36" t="s">
        <v>648</v>
      </c>
      <c r="B619" s="36">
        <v>2</v>
      </c>
      <c r="C619" s="36"/>
      <c r="D619" s="36">
        <v>20</v>
      </c>
      <c r="E619" s="36" t="str">
        <f>CONCATENATE('Смета ЕР (общ) '!$A619,".",'Смета ЕР (общ) '!$B619,".",'Смета ЕР (общ) '!$D619)</f>
        <v>Р4.2.20</v>
      </c>
      <c r="F619" s="36">
        <f t="shared" si="60"/>
        <v>1</v>
      </c>
      <c r="G619" s="36"/>
      <c r="H619" s="36"/>
      <c r="I619" s="36"/>
      <c r="J619" s="36"/>
      <c r="K619" s="36"/>
      <c r="L619" s="37" t="s">
        <v>682</v>
      </c>
      <c r="M619" s="54" t="s">
        <v>40</v>
      </c>
      <c r="N619" s="39"/>
      <c r="O619" s="40">
        <v>3048</v>
      </c>
      <c r="P619" s="40">
        <v>17816.16</v>
      </c>
      <c r="Q619" s="40">
        <f t="shared" si="61"/>
        <v>3048</v>
      </c>
      <c r="R619" s="40">
        <f t="shared" si="61"/>
        <v>17816.16</v>
      </c>
      <c r="S619" s="40">
        <f>ROUND('Смета ЕР (общ) '!$N619*'Смета ЕР (общ) '!$Q619,2)</f>
        <v>0</v>
      </c>
      <c r="T619" s="40">
        <f>ROUND('Смета ЕР (общ) '!$N619*'Смета ЕР (общ) '!$R619,2)</f>
        <v>0</v>
      </c>
    </row>
    <row r="620" spans="1:21" ht="24" x14ac:dyDescent="0.3">
      <c r="A620" s="36" t="s">
        <v>648</v>
      </c>
      <c r="B620" s="36">
        <v>2</v>
      </c>
      <c r="C620" s="36"/>
      <c r="D620" s="36">
        <v>21</v>
      </c>
      <c r="E620" s="36" t="str">
        <f>CONCATENATE('Смета ЕР (общ) '!$A620,".",'Смета ЕР (общ) '!$B620,".",'Смета ЕР (общ) '!$D620)</f>
        <v>Р4.2.21</v>
      </c>
      <c r="F620" s="36">
        <f t="shared" si="60"/>
        <v>1</v>
      </c>
      <c r="G620" s="36"/>
      <c r="H620" s="36"/>
      <c r="I620" s="36"/>
      <c r="J620" s="36"/>
      <c r="K620" s="36"/>
      <c r="L620" s="37" t="s">
        <v>683</v>
      </c>
      <c r="M620" s="38" t="s">
        <v>147</v>
      </c>
      <c r="N620" s="39"/>
      <c r="O620" s="40">
        <v>451.35</v>
      </c>
      <c r="P620" s="40">
        <v>1328.55</v>
      </c>
      <c r="Q620" s="40">
        <f t="shared" si="61"/>
        <v>451.35</v>
      </c>
      <c r="R620" s="40">
        <f t="shared" si="61"/>
        <v>1328.55</v>
      </c>
      <c r="S620" s="40">
        <f>ROUND('Смета ЕР (общ) '!$N620*'Смета ЕР (общ) '!$Q620,2)</f>
        <v>0</v>
      </c>
      <c r="T620" s="40">
        <f>ROUND('Смета ЕР (общ) '!$N620*'Смета ЕР (общ) '!$R620,2)</f>
        <v>0</v>
      </c>
    </row>
    <row r="621" spans="1:21" ht="24" x14ac:dyDescent="0.3">
      <c r="A621" s="36" t="s">
        <v>648</v>
      </c>
      <c r="B621" s="36">
        <v>2</v>
      </c>
      <c r="C621" s="36"/>
      <c r="D621" s="36">
        <v>22</v>
      </c>
      <c r="E621" s="36" t="str">
        <f>CONCATENATE('Смета ЕР (общ) '!$A621,".",'Смета ЕР (общ) '!$B621,".",'Смета ЕР (общ) '!$D621)</f>
        <v>Р4.2.22</v>
      </c>
      <c r="F621" s="36">
        <f t="shared" si="60"/>
        <v>1</v>
      </c>
      <c r="G621" s="36"/>
      <c r="H621" s="36"/>
      <c r="I621" s="36"/>
      <c r="J621" s="36"/>
      <c r="K621" s="36"/>
      <c r="L621" s="37" t="s">
        <v>684</v>
      </c>
      <c r="M621" s="38" t="s">
        <v>40</v>
      </c>
      <c r="N621" s="39"/>
      <c r="O621" s="40">
        <v>746.46</v>
      </c>
      <c r="P621" s="40">
        <v>705.44</v>
      </c>
      <c r="Q621" s="40">
        <f t="shared" si="61"/>
        <v>746.46</v>
      </c>
      <c r="R621" s="40">
        <f t="shared" si="61"/>
        <v>705.44</v>
      </c>
      <c r="S621" s="40">
        <f>ROUND('Смета ЕР (общ) '!$N621*'Смета ЕР (общ) '!$Q621,2)</f>
        <v>0</v>
      </c>
      <c r="T621" s="40">
        <f>ROUND('Смета ЕР (общ) '!$N621*'Смета ЕР (общ) '!$R621,2)</f>
        <v>0</v>
      </c>
    </row>
    <row r="622" spans="1:21" ht="24" x14ac:dyDescent="0.3">
      <c r="A622" s="95" t="s">
        <v>648</v>
      </c>
      <c r="B622" s="95">
        <v>2</v>
      </c>
      <c r="C622" s="95"/>
      <c r="D622" s="95">
        <v>23</v>
      </c>
      <c r="E622" s="95" t="str">
        <f>CONCATENATE('Смета ЕР (общ) '!$A622,".",'Смета ЕР (общ) '!$B622,".",'Смета ЕР (общ) '!$D622)</f>
        <v>Р4.2.23</v>
      </c>
      <c r="F622" s="95">
        <f t="shared" si="60"/>
        <v>1</v>
      </c>
      <c r="G622" s="95"/>
      <c r="H622" s="95"/>
      <c r="I622" s="95"/>
      <c r="J622" s="95"/>
      <c r="K622" s="95"/>
      <c r="L622" s="134" t="s">
        <v>685</v>
      </c>
      <c r="M622" s="135" t="s">
        <v>40</v>
      </c>
      <c r="N622" s="39"/>
      <c r="O622" s="40">
        <v>2035.8</v>
      </c>
      <c r="P622" s="40">
        <v>9132.4500000000007</v>
      </c>
      <c r="Q622" s="40">
        <f t="shared" si="61"/>
        <v>2035.8</v>
      </c>
      <c r="R622" s="40">
        <f t="shared" si="61"/>
        <v>9132.4500000000007</v>
      </c>
      <c r="S622" s="40">
        <f>ROUND('Смета ЕР (общ) '!$N622*'Смета ЕР (общ) '!$Q622,2)</f>
        <v>0</v>
      </c>
      <c r="T622" s="40">
        <f>ROUND('Смета ЕР (общ) '!$N622*'Смета ЕР (общ) '!$R622,2)</f>
        <v>0</v>
      </c>
    </row>
    <row r="623" spans="1:21" ht="14.4" x14ac:dyDescent="0.3">
      <c r="A623" s="95" t="s">
        <v>648</v>
      </c>
      <c r="B623" s="95">
        <v>2</v>
      </c>
      <c r="C623" s="95"/>
      <c r="D623" s="95">
        <v>25</v>
      </c>
      <c r="E623" s="95" t="str">
        <f>CONCATENATE('Смета ЕР (общ) '!$A623,".",'Смета ЕР (общ) '!$B623,".",'Смета ЕР (общ) '!$D623)</f>
        <v>Р4.2.25</v>
      </c>
      <c r="F623" s="95">
        <f t="shared" si="60"/>
        <v>1</v>
      </c>
      <c r="G623" s="95"/>
      <c r="H623" s="95"/>
      <c r="I623" s="95"/>
      <c r="J623" s="95"/>
      <c r="K623" s="95"/>
      <c r="L623" s="134" t="s">
        <v>686</v>
      </c>
      <c r="M623" s="135" t="s">
        <v>147</v>
      </c>
      <c r="N623" s="39"/>
      <c r="O623" s="40">
        <v>217.5</v>
      </c>
      <c r="P623" s="40">
        <v>250</v>
      </c>
      <c r="Q623" s="40">
        <f t="shared" si="61"/>
        <v>217.5</v>
      </c>
      <c r="R623" s="40">
        <f t="shared" si="61"/>
        <v>250</v>
      </c>
      <c r="S623" s="40">
        <f>ROUND('Смета ЕР (общ) '!$N623*'Смета ЕР (общ) '!$Q623,2)</f>
        <v>0</v>
      </c>
      <c r="T623" s="40">
        <f>ROUND('Смета ЕР (общ) '!$N623*'Смета ЕР (общ) '!$R623,2)</f>
        <v>0</v>
      </c>
    </row>
    <row r="624" spans="1:21" ht="14.4" x14ac:dyDescent="0.3">
      <c r="A624" s="95" t="s">
        <v>648</v>
      </c>
      <c r="B624" s="95">
        <v>2</v>
      </c>
      <c r="C624" s="95"/>
      <c r="D624" s="95">
        <v>26</v>
      </c>
      <c r="E624" s="95" t="str">
        <f>CONCATENATE('Смета ЕР (общ) '!$A624,".",'Смета ЕР (общ) '!$B624,".",'Смета ЕР (общ) '!$D624)</f>
        <v>Р4.2.26</v>
      </c>
      <c r="F624" s="95">
        <f t="shared" si="60"/>
        <v>1</v>
      </c>
      <c r="G624" s="95"/>
      <c r="H624" s="95"/>
      <c r="I624" s="95"/>
      <c r="J624" s="95"/>
      <c r="K624" s="95"/>
      <c r="L624" s="134" t="s">
        <v>687</v>
      </c>
      <c r="M624" s="38" t="s">
        <v>118</v>
      </c>
      <c r="N624" s="39"/>
      <c r="O624" s="40">
        <v>45000</v>
      </c>
      <c r="P624" s="40">
        <v>130000</v>
      </c>
      <c r="Q624" s="40">
        <f t="shared" si="61"/>
        <v>45000</v>
      </c>
      <c r="R624" s="40">
        <f t="shared" si="61"/>
        <v>130000</v>
      </c>
      <c r="S624" s="40">
        <f>ROUND('Смета ЕР (общ) '!$N624*'Смета ЕР (общ) '!$Q624,2)</f>
        <v>0</v>
      </c>
      <c r="T624" s="40">
        <f>ROUND('Смета ЕР (общ) '!$N624*'Смета ЕР (общ) '!$R624,2)</f>
        <v>0</v>
      </c>
      <c r="U624" s="137"/>
    </row>
    <row r="625" spans="1:25" ht="14.4" x14ac:dyDescent="0.3">
      <c r="A625" s="95" t="s">
        <v>648</v>
      </c>
      <c r="B625" s="95">
        <v>2</v>
      </c>
      <c r="C625" s="95"/>
      <c r="D625" s="95">
        <v>27</v>
      </c>
      <c r="E625" s="95" t="str">
        <f>CONCATENATE('Смета ЕР (общ) '!$A625,".",'Смета ЕР (общ) '!$B625,".",'Смета ЕР (общ) '!$D625)</f>
        <v>Р4.2.27</v>
      </c>
      <c r="F625" s="95">
        <f t="shared" si="60"/>
        <v>1</v>
      </c>
      <c r="G625" s="95"/>
      <c r="H625" s="95"/>
      <c r="I625" s="95"/>
      <c r="J625" s="95"/>
      <c r="K625" s="95"/>
      <c r="L625" s="134" t="s">
        <v>688</v>
      </c>
      <c r="M625" s="38" t="s">
        <v>118</v>
      </c>
      <c r="N625" s="39"/>
      <c r="O625" s="40">
        <v>53000</v>
      </c>
      <c r="P625" s="40">
        <v>170000</v>
      </c>
      <c r="Q625" s="40">
        <f t="shared" si="61"/>
        <v>53000</v>
      </c>
      <c r="R625" s="40">
        <f t="shared" si="61"/>
        <v>170000</v>
      </c>
      <c r="S625" s="40">
        <f>ROUND('Смета ЕР (общ) '!$N625*'Смета ЕР (общ) '!$Q625,2)</f>
        <v>0</v>
      </c>
      <c r="T625" s="40">
        <f>ROUND('Смета ЕР (общ) '!$N625*'Смета ЕР (общ) '!$R625,2)</f>
        <v>0</v>
      </c>
      <c r="U625" s="137"/>
    </row>
    <row r="626" spans="1:25" ht="14.4" x14ac:dyDescent="0.3">
      <c r="A626" s="95" t="s">
        <v>648</v>
      </c>
      <c r="B626" s="95">
        <v>2</v>
      </c>
      <c r="C626" s="95"/>
      <c r="D626" s="95">
        <v>28</v>
      </c>
      <c r="E626" s="95" t="str">
        <f>CONCATENATE('Смета ЕР (общ) '!$A626,".",'Смета ЕР (общ) '!$B626,".",'Смета ЕР (общ) '!$D626)</f>
        <v>Р4.2.28</v>
      </c>
      <c r="F626" s="95">
        <f t="shared" si="60"/>
        <v>1</v>
      </c>
      <c r="G626" s="95"/>
      <c r="H626" s="95"/>
      <c r="I626" s="95"/>
      <c r="J626" s="95"/>
      <c r="K626" s="95"/>
      <c r="L626" s="134" t="s">
        <v>689</v>
      </c>
      <c r="M626" s="38" t="s">
        <v>118</v>
      </c>
      <c r="N626" s="39"/>
      <c r="O626" s="138">
        <v>30000</v>
      </c>
      <c r="P626" s="138">
        <v>90000</v>
      </c>
      <c r="Q626" s="40">
        <f t="shared" si="61"/>
        <v>30000</v>
      </c>
      <c r="R626" s="40">
        <f t="shared" si="61"/>
        <v>90000</v>
      </c>
      <c r="S626" s="40">
        <f>ROUND('Смета ЕР (общ) '!$N626*'Смета ЕР (общ) '!$Q626,2)</f>
        <v>0</v>
      </c>
      <c r="T626" s="40">
        <f>ROUND('Смета ЕР (общ) '!$N626*'Смета ЕР (общ) '!$R626,2)</f>
        <v>0</v>
      </c>
      <c r="U626" s="137"/>
    </row>
    <row r="627" spans="1:25" ht="24" x14ac:dyDescent="0.3">
      <c r="A627" s="48" t="s">
        <v>648</v>
      </c>
      <c r="B627" s="48">
        <v>3</v>
      </c>
      <c r="C627" s="48"/>
      <c r="D627" s="48">
        <v>0</v>
      </c>
      <c r="E627" s="48" t="str">
        <f>CONCATENATE('Смета ЕР (общ) '!$A627,".",'Смета ЕР (общ) '!$B627,".",'Смета ЕР (общ) '!$D627)</f>
        <v>Р4.3.0</v>
      </c>
      <c r="F627" s="48">
        <f t="shared" si="60"/>
        <v>1</v>
      </c>
      <c r="G627" s="48"/>
      <c r="H627" s="48"/>
      <c r="I627" s="48"/>
      <c r="J627" s="48"/>
      <c r="K627" s="48"/>
      <c r="L627" s="49" t="s">
        <v>690</v>
      </c>
      <c r="M627" s="31"/>
      <c r="N627" s="32">
        <f>S627</f>
        <v>0</v>
      </c>
      <c r="O627" s="47"/>
      <c r="P627" s="47"/>
      <c r="Q627" s="34"/>
      <c r="R627" s="34"/>
      <c r="S627" s="34">
        <f>SUM(S628:S633)</f>
        <v>0</v>
      </c>
      <c r="T627" s="34">
        <f>SUM(T628:T633)</f>
        <v>0</v>
      </c>
      <c r="Y627">
        <v>24349.78</v>
      </c>
    </row>
    <row r="628" spans="1:25" ht="24" x14ac:dyDescent="0.3">
      <c r="A628" s="36" t="s">
        <v>648</v>
      </c>
      <c r="B628" s="36">
        <v>3</v>
      </c>
      <c r="C628" s="36"/>
      <c r="D628" s="36">
        <v>1</v>
      </c>
      <c r="E628" s="36" t="str">
        <f>CONCATENATE('Смета ЕР (общ) '!$A628,".",'Смета ЕР (общ) '!$B628,".",'Смета ЕР (общ) '!$D628)</f>
        <v>Р4.3.1</v>
      </c>
      <c r="F628" s="36">
        <f t="shared" si="60"/>
        <v>1</v>
      </c>
      <c r="G628" s="36"/>
      <c r="H628" s="36"/>
      <c r="I628" s="36"/>
      <c r="J628" s="36"/>
      <c r="K628" s="36"/>
      <c r="L628" s="37" t="s">
        <v>691</v>
      </c>
      <c r="M628" s="38" t="s">
        <v>144</v>
      </c>
      <c r="N628" s="39"/>
      <c r="O628" s="40">
        <v>4853.8500000000004</v>
      </c>
      <c r="P628" s="40">
        <v>15289.44</v>
      </c>
      <c r="Q628" s="40">
        <f t="shared" ref="Q628:R633" si="62">ROUND(O628-O628*$V$3,2)</f>
        <v>4853.8500000000004</v>
      </c>
      <c r="R628" s="40">
        <f t="shared" si="62"/>
        <v>15289.44</v>
      </c>
      <c r="S628" s="40">
        <f>ROUND('Смета ЕР (общ) '!$N628*'Смета ЕР (общ) '!$Q628,2)</f>
        <v>0</v>
      </c>
      <c r="T628" s="40">
        <f>ROUND('Смета ЕР (общ) '!$N628*'Смета ЕР (общ) '!$R628,2)</f>
        <v>0</v>
      </c>
      <c r="Y628">
        <v>1.5</v>
      </c>
    </row>
    <row r="629" spans="1:25" ht="24" x14ac:dyDescent="0.3">
      <c r="A629" s="36" t="s">
        <v>648</v>
      </c>
      <c r="B629" s="36">
        <v>3</v>
      </c>
      <c r="C629" s="36"/>
      <c r="D629" s="36">
        <v>2</v>
      </c>
      <c r="E629" s="36" t="str">
        <f>CONCATENATE('Смета ЕР (общ) '!$A629,".",'Смета ЕР (общ) '!$B629,".",'Смета ЕР (общ) '!$D629)</f>
        <v>Р4.3.2</v>
      </c>
      <c r="F629" s="36">
        <f t="shared" si="60"/>
        <v>1</v>
      </c>
      <c r="G629" s="36"/>
      <c r="H629" s="36"/>
      <c r="I629" s="36"/>
      <c r="J629" s="36"/>
      <c r="K629" s="36"/>
      <c r="L629" s="37" t="s">
        <v>692</v>
      </c>
      <c r="M629" s="38" t="s">
        <v>40</v>
      </c>
      <c r="N629" s="39"/>
      <c r="O629" s="40">
        <v>788.18</v>
      </c>
      <c r="P629" s="40">
        <v>473.36</v>
      </c>
      <c r="Q629" s="40">
        <f t="shared" si="62"/>
        <v>788.18</v>
      </c>
      <c r="R629" s="40">
        <f t="shared" si="62"/>
        <v>473.36</v>
      </c>
      <c r="S629" s="40">
        <f>ROUND('Смета ЕР (общ) '!$N629*'Смета ЕР (общ) '!$Q629,2)</f>
        <v>0</v>
      </c>
      <c r="T629" s="40">
        <f>ROUND('Смета ЕР (общ) '!$N629*'Смета ЕР (общ) '!$R629,2)</f>
        <v>0</v>
      </c>
      <c r="Y629">
        <v>10</v>
      </c>
    </row>
    <row r="630" spans="1:25" ht="24" x14ac:dyDescent="0.3">
      <c r="A630" s="36" t="s">
        <v>648</v>
      </c>
      <c r="B630" s="36">
        <v>3</v>
      </c>
      <c r="C630" s="36"/>
      <c r="D630" s="36">
        <v>3</v>
      </c>
      <c r="E630" s="36" t="str">
        <f>CONCATENATE('Смета ЕР (общ) '!$A630,".",'Смета ЕР (общ) '!$B630,".",'Смета ЕР (общ) '!$D630)</f>
        <v>Р4.3.3</v>
      </c>
      <c r="F630" s="36">
        <f t="shared" si="60"/>
        <v>1</v>
      </c>
      <c r="G630" s="36"/>
      <c r="H630" s="36"/>
      <c r="I630" s="36"/>
      <c r="J630" s="36"/>
      <c r="K630" s="36"/>
      <c r="L630" s="37" t="s">
        <v>693</v>
      </c>
      <c r="M630" s="38" t="s">
        <v>40</v>
      </c>
      <c r="N630" s="39"/>
      <c r="O630" s="40">
        <v>522.34</v>
      </c>
      <c r="P630" s="40">
        <v>575.07000000000005</v>
      </c>
      <c r="Q630" s="40">
        <f t="shared" si="62"/>
        <v>522.34</v>
      </c>
      <c r="R630" s="40">
        <f t="shared" si="62"/>
        <v>575.07000000000005</v>
      </c>
      <c r="S630" s="40">
        <f>ROUND('Смета ЕР (общ) '!$N630*'Смета ЕР (общ) '!$Q630,2)</f>
        <v>0</v>
      </c>
      <c r="T630" s="40">
        <f>ROUND('Смета ЕР (общ) '!$N630*'Смета ЕР (общ) '!$R630,2)</f>
        <v>0</v>
      </c>
    </row>
    <row r="631" spans="1:25" ht="14.4" x14ac:dyDescent="0.3">
      <c r="A631" s="36" t="s">
        <v>648</v>
      </c>
      <c r="B631" s="36">
        <v>3</v>
      </c>
      <c r="C631" s="36"/>
      <c r="D631" s="36">
        <v>4</v>
      </c>
      <c r="E631" s="36" t="str">
        <f>CONCATENATE('Смета ЕР (общ) '!$A631,".",'Смета ЕР (общ) '!$B631,".",'Смета ЕР (общ) '!$D631)</f>
        <v>Р4.3.4</v>
      </c>
      <c r="F631" s="36">
        <f t="shared" si="60"/>
        <v>1</v>
      </c>
      <c r="G631" s="36"/>
      <c r="H631" s="36"/>
      <c r="I631" s="36"/>
      <c r="J631" s="36"/>
      <c r="K631" s="36"/>
      <c r="L631" s="37" t="s">
        <v>694</v>
      </c>
      <c r="M631" s="38" t="s">
        <v>695</v>
      </c>
      <c r="N631" s="39"/>
      <c r="O631" s="40">
        <v>95.7</v>
      </c>
      <c r="P631" s="40">
        <v>1173.73</v>
      </c>
      <c r="Q631" s="40">
        <f t="shared" si="62"/>
        <v>95.7</v>
      </c>
      <c r="R631" s="40">
        <f t="shared" si="62"/>
        <v>1173.73</v>
      </c>
      <c r="S631" s="40">
        <f>ROUND('Смета ЕР (общ) '!$N631*'Смета ЕР (общ) '!$Q631,2)</f>
        <v>0</v>
      </c>
      <c r="T631" s="40">
        <f>ROUND('Смета ЕР (общ) '!$N631*'Смета ЕР (общ) '!$R631,2)</f>
        <v>0</v>
      </c>
      <c r="Y631">
        <v>96</v>
      </c>
    </row>
    <row r="632" spans="1:25" ht="14.4" x14ac:dyDescent="0.3">
      <c r="A632" s="36" t="s">
        <v>648</v>
      </c>
      <c r="B632" s="36">
        <v>3</v>
      </c>
      <c r="C632" s="36"/>
      <c r="D632" s="36">
        <v>5</v>
      </c>
      <c r="E632" s="36" t="str">
        <f>CONCATENATE('Смета ЕР (общ) '!$A632,".",'Смета ЕР (общ) '!$B632,".",'Смета ЕР (общ) '!$D632)</f>
        <v>Р4.3.5</v>
      </c>
      <c r="F632" s="36">
        <f t="shared" si="60"/>
        <v>1</v>
      </c>
      <c r="G632" s="36"/>
      <c r="H632" s="36"/>
      <c r="I632" s="36"/>
      <c r="J632" s="36"/>
      <c r="K632" s="36"/>
      <c r="L632" s="37" t="s">
        <v>696</v>
      </c>
      <c r="M632" s="38" t="s">
        <v>695</v>
      </c>
      <c r="N632" s="39"/>
      <c r="O632" s="40">
        <v>169.65</v>
      </c>
      <c r="P632" s="40">
        <v>1644.04</v>
      </c>
      <c r="Q632" s="40">
        <f t="shared" si="62"/>
        <v>169.65</v>
      </c>
      <c r="R632" s="40">
        <f t="shared" si="62"/>
        <v>1644.04</v>
      </c>
      <c r="S632" s="40">
        <f>ROUND('Смета ЕР (общ) '!$N632*'Смета ЕР (общ) '!$Q632,2)</f>
        <v>0</v>
      </c>
      <c r="T632" s="40">
        <f>ROUND('Смета ЕР (общ) '!$N632*'Смета ЕР (общ) '!$R632,2)</f>
        <v>0</v>
      </c>
    </row>
    <row r="633" spans="1:25" ht="14.4" x14ac:dyDescent="0.3">
      <c r="A633" s="36" t="s">
        <v>648</v>
      </c>
      <c r="B633" s="36">
        <v>3</v>
      </c>
      <c r="C633" s="36"/>
      <c r="D633" s="36">
        <v>6</v>
      </c>
      <c r="E633" s="36" t="str">
        <f>CONCATENATE('Смета ЕР (общ) '!$A633,".",'Смета ЕР (общ) '!$B633,".",'Смета ЕР (общ) '!$D633)</f>
        <v>Р4.3.6</v>
      </c>
      <c r="F633" s="36">
        <f t="shared" si="60"/>
        <v>1</v>
      </c>
      <c r="G633" s="36"/>
      <c r="H633" s="36"/>
      <c r="I633" s="36"/>
      <c r="J633" s="36"/>
      <c r="K633" s="36"/>
      <c r="L633" s="37" t="s">
        <v>697</v>
      </c>
      <c r="M633" s="38" t="s">
        <v>695</v>
      </c>
      <c r="N633" s="39"/>
      <c r="O633" s="40">
        <v>140.35</v>
      </c>
      <c r="P633" s="40">
        <v>2010.87</v>
      </c>
      <c r="Q633" s="40">
        <f t="shared" si="62"/>
        <v>140.35</v>
      </c>
      <c r="R633" s="40">
        <f t="shared" si="62"/>
        <v>2010.87</v>
      </c>
      <c r="S633" s="40">
        <f>ROUND('Смета ЕР (общ) '!$N633*'Смета ЕР (общ) '!$Q633,2)</f>
        <v>0</v>
      </c>
      <c r="T633" s="40">
        <f>ROUND('Смета ЕР (общ) '!$N633*'Смета ЕР (общ) '!$R633,2)</f>
        <v>0</v>
      </c>
    </row>
    <row r="634" spans="1:25" ht="14.4" x14ac:dyDescent="0.3">
      <c r="A634" s="48" t="s">
        <v>648</v>
      </c>
      <c r="B634" s="48">
        <v>5</v>
      </c>
      <c r="C634" s="48"/>
      <c r="D634" s="48">
        <v>0</v>
      </c>
      <c r="E634" s="48" t="str">
        <f>CONCATENATE('Смета ЕР (общ) '!$A634,".",'Смета ЕР (общ) '!$B634,".",'Смета ЕР (общ) '!$D634)</f>
        <v>Р4.5.0</v>
      </c>
      <c r="F634" s="48">
        <f t="shared" si="60"/>
        <v>1</v>
      </c>
      <c r="G634" s="48"/>
      <c r="H634" s="48"/>
      <c r="I634" s="48"/>
      <c r="J634" s="48"/>
      <c r="K634" s="48"/>
      <c r="L634" s="49" t="s">
        <v>698</v>
      </c>
      <c r="M634" s="31"/>
      <c r="N634" s="32">
        <f>S634</f>
        <v>0</v>
      </c>
      <c r="O634" s="47"/>
      <c r="P634" s="47"/>
      <c r="Q634" s="34"/>
      <c r="R634" s="34"/>
      <c r="S634" s="34">
        <f>SUM(S635:S651)</f>
        <v>0</v>
      </c>
      <c r="T634" s="34">
        <f>SUM(T635:T651)</f>
        <v>0</v>
      </c>
      <c r="Y634">
        <v>0</v>
      </c>
    </row>
    <row r="635" spans="1:25" ht="14.4" x14ac:dyDescent="0.3">
      <c r="A635" s="36" t="s">
        <v>648</v>
      </c>
      <c r="B635" s="36">
        <v>5</v>
      </c>
      <c r="C635" s="36"/>
      <c r="D635" s="36">
        <v>1</v>
      </c>
      <c r="E635" s="36" t="str">
        <f>CONCATENATE('Смета ЕР (общ) '!$A635,".",'Смета ЕР (общ) '!$B635,".",'Смета ЕР (общ) '!$D635)</f>
        <v>Р4.5.1</v>
      </c>
      <c r="F635" s="36">
        <f t="shared" si="60"/>
        <v>1</v>
      </c>
      <c r="G635" s="36"/>
      <c r="H635" s="36"/>
      <c r="I635" s="36"/>
      <c r="J635" s="36"/>
      <c r="K635" s="36"/>
      <c r="L635" s="37" t="s">
        <v>699</v>
      </c>
      <c r="M635" s="38" t="s">
        <v>144</v>
      </c>
      <c r="N635" s="39"/>
      <c r="O635" s="40">
        <v>2035.8</v>
      </c>
      <c r="P635" s="40">
        <v>0</v>
      </c>
      <c r="Q635" s="40">
        <f t="shared" ref="Q635:R651" si="63">ROUND(O635-O635*$V$3,2)</f>
        <v>2035.8</v>
      </c>
      <c r="R635" s="40">
        <f t="shared" si="63"/>
        <v>0</v>
      </c>
      <c r="S635" s="40">
        <f>ROUND('Смета ЕР (общ) '!$N635*'Смета ЕР (общ) '!$Q635,2)</f>
        <v>0</v>
      </c>
      <c r="T635" s="40">
        <f>ROUND('Смета ЕР (общ) '!$N635*'Смета ЕР (общ) '!$R635,2)</f>
        <v>0</v>
      </c>
    </row>
    <row r="636" spans="1:25" ht="14.4" x14ac:dyDescent="0.3">
      <c r="A636" s="36" t="s">
        <v>648</v>
      </c>
      <c r="B636" s="36">
        <v>5</v>
      </c>
      <c r="C636" s="36"/>
      <c r="D636" s="36">
        <v>2</v>
      </c>
      <c r="E636" s="36" t="str">
        <f>CONCATENATE('Смета ЕР (общ) '!$A636,".",'Смета ЕР (общ) '!$B636,".",'Смета ЕР (общ) '!$D636)</f>
        <v>Р4.5.2</v>
      </c>
      <c r="F636" s="36">
        <f t="shared" si="60"/>
        <v>1</v>
      </c>
      <c r="G636" s="36"/>
      <c r="H636" s="36"/>
      <c r="I636" s="36"/>
      <c r="J636" s="36"/>
      <c r="K636" s="36"/>
      <c r="L636" s="37" t="s">
        <v>700</v>
      </c>
      <c r="M636" s="38" t="s">
        <v>144</v>
      </c>
      <c r="N636" s="39"/>
      <c r="O636" s="40">
        <v>1173.8699999999999</v>
      </c>
      <c r="P636" s="40">
        <v>0</v>
      </c>
      <c r="Q636" s="40">
        <f t="shared" si="63"/>
        <v>1173.8699999999999</v>
      </c>
      <c r="R636" s="40">
        <f t="shared" si="63"/>
        <v>0</v>
      </c>
      <c r="S636" s="40">
        <f>ROUND('Смета ЕР (общ) '!$N636*'Смета ЕР (общ) '!$Q636,2)</f>
        <v>0</v>
      </c>
      <c r="T636" s="40">
        <f>ROUND('Смета ЕР (общ) '!$N636*'Смета ЕР (общ) '!$R636,2)</f>
        <v>0</v>
      </c>
    </row>
    <row r="637" spans="1:25" ht="14.4" x14ac:dyDescent="0.3">
      <c r="A637" s="36" t="s">
        <v>648</v>
      </c>
      <c r="B637" s="36">
        <v>5</v>
      </c>
      <c r="C637" s="36"/>
      <c r="D637" s="36">
        <v>3</v>
      </c>
      <c r="E637" s="36" t="str">
        <f>CONCATENATE('Смета ЕР (общ) '!$A637,".",'Смета ЕР (общ) '!$B637,".",'Смета ЕР (общ) '!$D637)</f>
        <v>Р4.5.3</v>
      </c>
      <c r="F637" s="36">
        <f t="shared" si="60"/>
        <v>1</v>
      </c>
      <c r="G637" s="36"/>
      <c r="H637" s="36"/>
      <c r="I637" s="36"/>
      <c r="J637" s="36"/>
      <c r="K637" s="36"/>
      <c r="L637" s="37" t="s">
        <v>701</v>
      </c>
      <c r="M637" s="38" t="s">
        <v>144</v>
      </c>
      <c r="N637" s="39"/>
      <c r="O637" s="40">
        <v>1839.5</v>
      </c>
      <c r="P637" s="40">
        <v>7330.45</v>
      </c>
      <c r="Q637" s="40">
        <f t="shared" si="63"/>
        <v>1839.5</v>
      </c>
      <c r="R637" s="40">
        <f t="shared" si="63"/>
        <v>7330.45</v>
      </c>
      <c r="S637" s="40">
        <f>ROUND('Смета ЕР (общ) '!$N637*'Смета ЕР (общ) '!$Q637,2)</f>
        <v>0</v>
      </c>
      <c r="T637" s="40">
        <f>ROUND('Смета ЕР (общ) '!$N637*'Смета ЕР (общ) '!$R637,2)</f>
        <v>0</v>
      </c>
    </row>
    <row r="638" spans="1:25" ht="14.4" x14ac:dyDescent="0.3">
      <c r="A638" s="95" t="s">
        <v>648</v>
      </c>
      <c r="B638" s="95">
        <v>5</v>
      </c>
      <c r="C638" s="95"/>
      <c r="D638" s="95">
        <v>4</v>
      </c>
      <c r="E638" s="95" t="str">
        <f>CONCATENATE('Смета ЕР (общ) '!$A638,".",'Смета ЕР (общ) '!$B638,".",'Смета ЕР (общ) '!$D638)</f>
        <v>Р4.5.4</v>
      </c>
      <c r="F638" s="95">
        <f t="shared" si="60"/>
        <v>1</v>
      </c>
      <c r="G638" s="95"/>
      <c r="H638" s="95"/>
      <c r="I638" s="95"/>
      <c r="J638" s="95"/>
      <c r="K638" s="95"/>
      <c r="L638" s="134" t="s">
        <v>702</v>
      </c>
      <c r="M638" s="38" t="s">
        <v>118</v>
      </c>
      <c r="N638" s="39"/>
      <c r="O638" s="40">
        <v>24429.599999999999</v>
      </c>
      <c r="P638" s="40">
        <v>174719.05</v>
      </c>
      <c r="Q638" s="40">
        <f t="shared" si="63"/>
        <v>24429.599999999999</v>
      </c>
      <c r="R638" s="40">
        <f t="shared" si="63"/>
        <v>174719.05</v>
      </c>
      <c r="S638" s="40">
        <f>ROUND('Смета ЕР (общ) '!$N638*'Смета ЕР (общ) '!$Q638,2)</f>
        <v>0</v>
      </c>
      <c r="T638" s="40">
        <f>ROUND('Смета ЕР (общ) '!$N638*'Смета ЕР (общ) '!$R638,2)</f>
        <v>0</v>
      </c>
    </row>
    <row r="639" spans="1:25" ht="14.4" x14ac:dyDescent="0.3">
      <c r="A639" s="95" t="s">
        <v>648</v>
      </c>
      <c r="B639" s="95">
        <v>5</v>
      </c>
      <c r="C639" s="95"/>
      <c r="D639" s="95">
        <v>5</v>
      </c>
      <c r="E639" s="95" t="str">
        <f>CONCATENATE('Смета ЕР (общ) '!$A639,".",'Смета ЕР (общ) '!$B639,".",'Смета ЕР (общ) '!$D639)</f>
        <v>Р4.5.5</v>
      </c>
      <c r="F639" s="95">
        <f t="shared" si="60"/>
        <v>1</v>
      </c>
      <c r="G639" s="95"/>
      <c r="H639" s="95"/>
      <c r="I639" s="95"/>
      <c r="J639" s="95"/>
      <c r="K639" s="95"/>
      <c r="L639" s="134" t="s">
        <v>703</v>
      </c>
      <c r="M639" s="38" t="s">
        <v>118</v>
      </c>
      <c r="N639" s="39"/>
      <c r="O639" s="40">
        <v>28112.05</v>
      </c>
      <c r="P639" s="40">
        <v>211631.98</v>
      </c>
      <c r="Q639" s="40">
        <f t="shared" si="63"/>
        <v>28112.05</v>
      </c>
      <c r="R639" s="40">
        <f t="shared" si="63"/>
        <v>211631.98</v>
      </c>
      <c r="S639" s="40">
        <f>ROUND('Смета ЕР (общ) '!$N639*'Смета ЕР (общ) '!$Q639,2)</f>
        <v>0</v>
      </c>
      <c r="T639" s="40">
        <f>ROUND('Смета ЕР (общ) '!$N639*'Смета ЕР (общ) '!$R639,2)</f>
        <v>0</v>
      </c>
    </row>
    <row r="640" spans="1:25" ht="14.4" x14ac:dyDescent="0.3">
      <c r="A640" s="95" t="s">
        <v>648</v>
      </c>
      <c r="B640" s="95">
        <v>5</v>
      </c>
      <c r="C640" s="95"/>
      <c r="D640" s="95">
        <v>6</v>
      </c>
      <c r="E640" s="95" t="str">
        <f>CONCATENATE('Смета ЕР (общ) '!$A640,".",'Смета ЕР (общ) '!$B640,".",'Смета ЕР (общ) '!$D640)</f>
        <v>Р4.5.6</v>
      </c>
      <c r="F640" s="95">
        <f t="shared" si="60"/>
        <v>1</v>
      </c>
      <c r="G640" s="95"/>
      <c r="H640" s="95"/>
      <c r="I640" s="95"/>
      <c r="J640" s="95"/>
      <c r="K640" s="95"/>
      <c r="L640" s="134" t="s">
        <v>704</v>
      </c>
      <c r="M640" s="38" t="s">
        <v>118</v>
      </c>
      <c r="N640" s="39"/>
      <c r="O640" s="40">
        <v>28501.200000000001</v>
      </c>
      <c r="P640" s="40">
        <v>166147.91</v>
      </c>
      <c r="Q640" s="40">
        <f t="shared" si="63"/>
        <v>28501.200000000001</v>
      </c>
      <c r="R640" s="40">
        <f t="shared" si="63"/>
        <v>166147.91</v>
      </c>
      <c r="S640" s="40">
        <f>ROUND('Смета ЕР (общ) '!$N640*'Смета ЕР (общ) '!$Q640,2)</f>
        <v>0</v>
      </c>
      <c r="T640" s="40">
        <f>ROUND('Смета ЕР (общ) '!$N640*'Смета ЕР (общ) '!$R640,2)</f>
        <v>0</v>
      </c>
    </row>
    <row r="641" spans="1:25" ht="24" x14ac:dyDescent="0.3">
      <c r="A641" s="95" t="s">
        <v>648</v>
      </c>
      <c r="B641" s="95">
        <v>5</v>
      </c>
      <c r="C641" s="95"/>
      <c r="D641" s="95">
        <v>7</v>
      </c>
      <c r="E641" s="95" t="str">
        <f>CONCATENATE('Смета ЕР (общ) '!$A641,".",'Смета ЕР (общ) '!$B641,".",'Смета ЕР (общ) '!$D641)</f>
        <v>Р4.5.7</v>
      </c>
      <c r="F641" s="95">
        <f t="shared" si="60"/>
        <v>1</v>
      </c>
      <c r="G641" s="95"/>
      <c r="H641" s="95"/>
      <c r="I641" s="95"/>
      <c r="J641" s="95"/>
      <c r="K641" s="95"/>
      <c r="L641" s="134" t="s">
        <v>705</v>
      </c>
      <c r="M641" s="38" t="s">
        <v>147</v>
      </c>
      <c r="N641" s="39"/>
      <c r="O641" s="40">
        <v>6571.11</v>
      </c>
      <c r="P641" s="40">
        <v>33105.06</v>
      </c>
      <c r="Q641" s="40">
        <f t="shared" si="63"/>
        <v>6571.11</v>
      </c>
      <c r="R641" s="40">
        <f t="shared" si="63"/>
        <v>33105.06</v>
      </c>
      <c r="S641" s="40">
        <f>ROUND('Смета ЕР (общ) '!$N641*'Смета ЕР (общ) '!$Q641,2)</f>
        <v>0</v>
      </c>
      <c r="T641" s="40">
        <f>ROUND('Смета ЕР (общ) '!$N641*'Смета ЕР (общ) '!$R641,2)</f>
        <v>0</v>
      </c>
    </row>
    <row r="642" spans="1:25" ht="14.4" x14ac:dyDescent="0.3">
      <c r="A642" s="95" t="s">
        <v>648</v>
      </c>
      <c r="B642" s="95">
        <v>5</v>
      </c>
      <c r="C642" s="95"/>
      <c r="D642" s="95">
        <v>8</v>
      </c>
      <c r="E642" s="95" t="str">
        <f>CONCATENATE('Смета ЕР (общ) '!$A642,".",'Смета ЕР (общ) '!$B642,".",'Смета ЕР (общ) '!$D642)</f>
        <v>Р4.5.8</v>
      </c>
      <c r="F642" s="95">
        <f t="shared" si="60"/>
        <v>1</v>
      </c>
      <c r="G642" s="95"/>
      <c r="H642" s="95"/>
      <c r="I642" s="95"/>
      <c r="J642" s="95"/>
      <c r="K642" s="95"/>
      <c r="L642" s="134" t="s">
        <v>706</v>
      </c>
      <c r="M642" s="38" t="s">
        <v>40</v>
      </c>
      <c r="N642" s="39"/>
      <c r="O642" s="40">
        <v>746.46</v>
      </c>
      <c r="P642" s="40">
        <v>750.37</v>
      </c>
      <c r="Q642" s="40">
        <f t="shared" si="63"/>
        <v>746.46</v>
      </c>
      <c r="R642" s="40">
        <f t="shared" si="63"/>
        <v>750.37</v>
      </c>
      <c r="S642" s="40">
        <f>ROUND('Смета ЕР (общ) '!$N642*'Смета ЕР (общ) '!$Q642,2)</f>
        <v>0</v>
      </c>
      <c r="T642" s="40">
        <f>ROUND('Смета ЕР (общ) '!$N642*'Смета ЕР (общ) '!$R642,2)</f>
        <v>0</v>
      </c>
    </row>
    <row r="643" spans="1:25" ht="14.4" x14ac:dyDescent="0.3">
      <c r="A643" s="95" t="s">
        <v>648</v>
      </c>
      <c r="B643" s="95">
        <v>5</v>
      </c>
      <c r="C643" s="95"/>
      <c r="D643" s="95">
        <v>9</v>
      </c>
      <c r="E643" s="95" t="str">
        <f>CONCATENATE('Смета ЕР (общ) '!$A643,".",'Смета ЕР (общ) '!$B643,".",'Смета ЕР (общ) '!$D643)</f>
        <v>Р4.5.9</v>
      </c>
      <c r="F643" s="95">
        <f t="shared" si="60"/>
        <v>1</v>
      </c>
      <c r="G643" s="95"/>
      <c r="H643" s="95"/>
      <c r="I643" s="95"/>
      <c r="J643" s="95"/>
      <c r="K643" s="95"/>
      <c r="L643" s="134" t="s">
        <v>707</v>
      </c>
      <c r="M643" s="38" t="s">
        <v>40</v>
      </c>
      <c r="N643" s="39"/>
      <c r="O643" s="40">
        <v>800.36</v>
      </c>
      <c r="P643" s="40">
        <v>1774.08</v>
      </c>
      <c r="Q643" s="40">
        <f t="shared" si="63"/>
        <v>800.36</v>
      </c>
      <c r="R643" s="40">
        <f t="shared" si="63"/>
        <v>1774.08</v>
      </c>
      <c r="S643" s="40">
        <f>ROUND('Смета ЕР (общ) '!$N643*'Смета ЕР (общ) '!$Q643,2)</f>
        <v>0</v>
      </c>
      <c r="T643" s="40">
        <f>ROUND('Смета ЕР (общ) '!$N643*'Смета ЕР (общ) '!$R643,2)</f>
        <v>0</v>
      </c>
    </row>
    <row r="644" spans="1:25" ht="14.4" x14ac:dyDescent="0.3">
      <c r="A644" s="95" t="s">
        <v>648</v>
      </c>
      <c r="B644" s="95">
        <v>5</v>
      </c>
      <c r="C644" s="95"/>
      <c r="D644" s="95">
        <v>10</v>
      </c>
      <c r="E644" s="95" t="str">
        <f>CONCATENATE('Смета ЕР (общ) '!$A644,".",'Смета ЕР (общ) '!$B644,".",'Смета ЕР (общ) '!$D644)</f>
        <v>Р4.5.10</v>
      </c>
      <c r="F644" s="95">
        <f t="shared" si="60"/>
        <v>1</v>
      </c>
      <c r="G644" s="95"/>
      <c r="H644" s="95"/>
      <c r="I644" s="95"/>
      <c r="J644" s="95"/>
      <c r="K644" s="95"/>
      <c r="L644" s="134" t="s">
        <v>708</v>
      </c>
      <c r="M644" s="38" t="s">
        <v>40</v>
      </c>
      <c r="N644" s="39"/>
      <c r="O644" s="40">
        <v>2035.8</v>
      </c>
      <c r="P644" s="40">
        <v>2934.09</v>
      </c>
      <c r="Q644" s="40">
        <f t="shared" si="63"/>
        <v>2035.8</v>
      </c>
      <c r="R644" s="40">
        <f t="shared" si="63"/>
        <v>2934.09</v>
      </c>
      <c r="S644" s="40">
        <f>ROUND('Смета ЕР (общ) '!$N644*'Смета ЕР (общ) '!$Q644,2)</f>
        <v>0</v>
      </c>
      <c r="T644" s="40">
        <f>ROUND('Смета ЕР (общ) '!$N644*'Смета ЕР (общ) '!$R644,2)</f>
        <v>0</v>
      </c>
    </row>
    <row r="645" spans="1:25" ht="14.4" x14ac:dyDescent="0.3">
      <c r="A645" s="95" t="s">
        <v>648</v>
      </c>
      <c r="B645" s="95">
        <v>5</v>
      </c>
      <c r="C645" s="95"/>
      <c r="D645" s="95">
        <v>11</v>
      </c>
      <c r="E645" s="95" t="str">
        <f>CONCATENATE('Смета ЕР (общ) '!$A645,".",'Смета ЕР (общ) '!$B645,".",'Смета ЕР (общ) '!$D645)</f>
        <v>Р4.5.11</v>
      </c>
      <c r="F645" s="95">
        <f t="shared" si="60"/>
        <v>1</v>
      </c>
      <c r="G645" s="95"/>
      <c r="H645" s="95"/>
      <c r="I645" s="95"/>
      <c r="J645" s="95"/>
      <c r="K645" s="95"/>
      <c r="L645" s="134" t="s">
        <v>709</v>
      </c>
      <c r="M645" s="38" t="s">
        <v>118</v>
      </c>
      <c r="N645" s="39"/>
      <c r="O645" s="40">
        <v>1850.12</v>
      </c>
      <c r="P645" s="40">
        <v>1901.09</v>
      </c>
      <c r="Q645" s="40">
        <f t="shared" si="63"/>
        <v>1850.12</v>
      </c>
      <c r="R645" s="40">
        <f t="shared" si="63"/>
        <v>1901.09</v>
      </c>
      <c r="S645" s="40">
        <f>ROUND('Смета ЕР (общ) '!$N645*'Смета ЕР (общ) '!$Q645,2)</f>
        <v>0</v>
      </c>
      <c r="T645" s="40">
        <f>ROUND('Смета ЕР (общ) '!$N645*'Смета ЕР (общ) '!$R645,2)</f>
        <v>0</v>
      </c>
    </row>
    <row r="646" spans="1:25" ht="14.4" x14ac:dyDescent="0.3">
      <c r="A646" s="95" t="s">
        <v>648</v>
      </c>
      <c r="B646" s="95">
        <v>5</v>
      </c>
      <c r="C646" s="95"/>
      <c r="D646" s="95">
        <v>12</v>
      </c>
      <c r="E646" s="95" t="str">
        <f>CONCATENATE('Смета ЕР (общ) '!$A646,".",'Смета ЕР (общ) '!$B646,".",'Смета ЕР (общ) '!$D646)</f>
        <v>Р4.5.12</v>
      </c>
      <c r="F646" s="95">
        <f t="shared" si="60"/>
        <v>1</v>
      </c>
      <c r="G646" s="95"/>
      <c r="H646" s="95"/>
      <c r="I646" s="95"/>
      <c r="J646" s="95"/>
      <c r="K646" s="95"/>
      <c r="L646" s="134" t="s">
        <v>710</v>
      </c>
      <c r="M646" s="135" t="s">
        <v>40</v>
      </c>
      <c r="N646" s="39"/>
      <c r="O646" s="40">
        <v>452.96</v>
      </c>
      <c r="P646" s="40">
        <v>3491.76</v>
      </c>
      <c r="Q646" s="40">
        <f t="shared" si="63"/>
        <v>452.96</v>
      </c>
      <c r="R646" s="40">
        <f t="shared" si="63"/>
        <v>3491.76</v>
      </c>
      <c r="S646" s="40">
        <f>ROUND('Смета ЕР (общ) '!$N646*'Смета ЕР (общ) '!$Q646,2)</f>
        <v>0</v>
      </c>
      <c r="T646" s="40">
        <f>ROUND('Смета ЕР (общ) '!$N646*'Смета ЕР (общ) '!$R646,2)</f>
        <v>0</v>
      </c>
    </row>
    <row r="647" spans="1:25" ht="14.4" x14ac:dyDescent="0.3">
      <c r="A647" s="36" t="s">
        <v>648</v>
      </c>
      <c r="B647" s="36">
        <v>5</v>
      </c>
      <c r="C647" s="36"/>
      <c r="D647" s="36">
        <v>13</v>
      </c>
      <c r="E647" s="36" t="str">
        <f>CONCATENATE('Смета ЕР (общ) '!$A647,".",'Смета ЕР (общ) '!$B647,".",'Смета ЕР (общ) '!$D647)</f>
        <v>Р4.5.13</v>
      </c>
      <c r="F647" s="36">
        <f t="shared" si="60"/>
        <v>1</v>
      </c>
      <c r="G647" s="36"/>
      <c r="H647" s="36"/>
      <c r="I647" s="36"/>
      <c r="J647" s="36"/>
      <c r="K647" s="36"/>
      <c r="L647" s="37" t="s">
        <v>711</v>
      </c>
      <c r="M647" s="54" t="s">
        <v>40</v>
      </c>
      <c r="N647" s="39"/>
      <c r="O647" s="40">
        <v>3048</v>
      </c>
      <c r="P647" s="40">
        <v>2955.58</v>
      </c>
      <c r="Q647" s="40">
        <f t="shared" si="63"/>
        <v>3048</v>
      </c>
      <c r="R647" s="40">
        <f t="shared" si="63"/>
        <v>2955.58</v>
      </c>
      <c r="S647" s="40">
        <f>ROUND('Смета ЕР (общ) '!$N647*'Смета ЕР (общ) '!$Q647,2)</f>
        <v>0</v>
      </c>
      <c r="T647" s="40">
        <f>ROUND('Смета ЕР (общ) '!$N647*'Смета ЕР (общ) '!$R647,2)</f>
        <v>0</v>
      </c>
    </row>
    <row r="648" spans="1:25" ht="14.4" x14ac:dyDescent="0.3">
      <c r="A648" s="36" t="s">
        <v>648</v>
      </c>
      <c r="B648" s="36">
        <v>5</v>
      </c>
      <c r="C648" s="36"/>
      <c r="D648" s="36">
        <v>14</v>
      </c>
      <c r="E648" s="36" t="str">
        <f>CONCATENATE('Смета ЕР (общ) '!$A648,".",'Смета ЕР (общ) '!$B648,".",'Смета ЕР (общ) '!$D648)</f>
        <v>Р4.5.14</v>
      </c>
      <c r="F648" s="36">
        <f t="shared" si="60"/>
        <v>1</v>
      </c>
      <c r="G648" s="36"/>
      <c r="H648" s="36"/>
      <c r="I648" s="36"/>
      <c r="J648" s="36"/>
      <c r="K648" s="36"/>
      <c r="L648" s="37" t="s">
        <v>712</v>
      </c>
      <c r="M648" s="38" t="s">
        <v>147</v>
      </c>
      <c r="N648" s="39"/>
      <c r="O648" s="40">
        <v>1500</v>
      </c>
      <c r="P648" s="40">
        <v>1669.76</v>
      </c>
      <c r="Q648" s="40">
        <f t="shared" si="63"/>
        <v>1500</v>
      </c>
      <c r="R648" s="40">
        <f t="shared" si="63"/>
        <v>1669.76</v>
      </c>
      <c r="S648" s="40">
        <f>ROUND('Смета ЕР (общ) '!$N648*'Смета ЕР (общ) '!$Q648,2)</f>
        <v>0</v>
      </c>
      <c r="T648" s="40">
        <f>ROUND('Смета ЕР (общ) '!$N648*'Смета ЕР (общ) '!$R648,2)</f>
        <v>0</v>
      </c>
    </row>
    <row r="649" spans="1:25" ht="14.4" x14ac:dyDescent="0.3">
      <c r="A649" s="36" t="s">
        <v>648</v>
      </c>
      <c r="B649" s="36">
        <v>5</v>
      </c>
      <c r="C649" s="36"/>
      <c r="D649" s="36">
        <v>15</v>
      </c>
      <c r="E649" s="36" t="str">
        <f>CONCATENATE('Смета ЕР (общ) '!$A649,".",'Смета ЕР (общ) '!$B649,".",'Смета ЕР (общ) '!$D649)</f>
        <v>Р4.5.15</v>
      </c>
      <c r="F649" s="36">
        <f t="shared" si="60"/>
        <v>1</v>
      </c>
      <c r="G649" s="36"/>
      <c r="H649" s="36"/>
      <c r="I649" s="36"/>
      <c r="J649" s="36"/>
      <c r="K649" s="36"/>
      <c r="L649" s="37" t="s">
        <v>713</v>
      </c>
      <c r="M649" s="54" t="s">
        <v>40</v>
      </c>
      <c r="N649" s="39"/>
      <c r="O649" s="40">
        <v>2000</v>
      </c>
      <c r="P649" s="40">
        <v>2106.59</v>
      </c>
      <c r="Q649" s="40">
        <f t="shared" si="63"/>
        <v>2000</v>
      </c>
      <c r="R649" s="40">
        <f t="shared" si="63"/>
        <v>2106.59</v>
      </c>
      <c r="S649" s="40">
        <f>ROUND('Смета ЕР (общ) '!$N649*'Смета ЕР (общ) '!$Q649,2)</f>
        <v>0</v>
      </c>
      <c r="T649" s="40">
        <f>ROUND('Смета ЕР (общ) '!$N649*'Смета ЕР (общ) '!$R649,2)</f>
        <v>0</v>
      </c>
    </row>
    <row r="650" spans="1:25" ht="14.4" x14ac:dyDescent="0.3">
      <c r="A650" s="36" t="s">
        <v>648</v>
      </c>
      <c r="B650" s="36">
        <v>5</v>
      </c>
      <c r="C650" s="36"/>
      <c r="D650" s="36">
        <v>16</v>
      </c>
      <c r="E650" s="36" t="str">
        <f>CONCATENATE('Смета ЕР (общ) '!$A650,".",'Смета ЕР (общ) '!$B650,".",'Смета ЕР (общ) '!$D650)</f>
        <v>Р4.5.16</v>
      </c>
      <c r="F650" s="36">
        <f t="shared" si="60"/>
        <v>1</v>
      </c>
      <c r="G650" s="36"/>
      <c r="H650" s="36"/>
      <c r="I650" s="36"/>
      <c r="J650" s="36"/>
      <c r="K650" s="36"/>
      <c r="L650" s="37" t="s">
        <v>714</v>
      </c>
      <c r="M650" s="54" t="s">
        <v>40</v>
      </c>
      <c r="N650" s="39"/>
      <c r="O650" s="40">
        <v>2035.8</v>
      </c>
      <c r="P650" s="40">
        <v>7931.84</v>
      </c>
      <c r="Q650" s="40">
        <f t="shared" si="63"/>
        <v>2035.8</v>
      </c>
      <c r="R650" s="40">
        <f t="shared" si="63"/>
        <v>7931.84</v>
      </c>
      <c r="S650" s="40">
        <f>ROUND('Смета ЕР (общ) '!$N650*'Смета ЕР (общ) '!$Q650,2)</f>
        <v>0</v>
      </c>
      <c r="T650" s="40">
        <f>ROUND('Смета ЕР (общ) '!$N650*'Смета ЕР (общ) '!$R650,2)</f>
        <v>0</v>
      </c>
    </row>
    <row r="651" spans="1:25" ht="160.5" customHeight="1" x14ac:dyDescent="0.3">
      <c r="A651" s="36" t="s">
        <v>648</v>
      </c>
      <c r="B651" s="36">
        <v>5</v>
      </c>
      <c r="C651" s="36"/>
      <c r="D651" s="36">
        <v>17</v>
      </c>
      <c r="E651" s="36" t="str">
        <f>CONCATENATE('Смета ЕР (общ) '!$A651,".",'Смета ЕР (общ) '!$B651,".",'Смета ЕР (общ) '!$D651)</f>
        <v>Р4.5.17</v>
      </c>
      <c r="F651" s="36">
        <f t="shared" si="60"/>
        <v>1</v>
      </c>
      <c r="G651" s="36"/>
      <c r="H651" s="36"/>
      <c r="I651" s="36"/>
      <c r="J651" s="36"/>
      <c r="K651" s="36"/>
      <c r="L651" s="37" t="s">
        <v>715</v>
      </c>
      <c r="M651" s="38" t="s">
        <v>147</v>
      </c>
      <c r="N651" s="39"/>
      <c r="O651" s="40">
        <v>16286.4</v>
      </c>
      <c r="P651" s="40">
        <v>66879.460000000006</v>
      </c>
      <c r="Q651" s="40">
        <f t="shared" si="63"/>
        <v>16286.4</v>
      </c>
      <c r="R651" s="40">
        <f t="shared" si="63"/>
        <v>66879.460000000006</v>
      </c>
      <c r="S651" s="40">
        <f>ROUND('Смета ЕР (общ) '!$N651*'Смета ЕР (общ) '!$Q651,2)</f>
        <v>0</v>
      </c>
      <c r="T651" s="40">
        <f>ROUND('Смета ЕР (общ) '!$N651*'Смета ЕР (общ) '!$R651,2)</f>
        <v>0</v>
      </c>
    </row>
    <row r="652" spans="1:25" ht="14.4" x14ac:dyDescent="0.3">
      <c r="A652" s="29" t="s">
        <v>716</v>
      </c>
      <c r="B652" s="29">
        <v>0</v>
      </c>
      <c r="C652" s="29"/>
      <c r="D652" s="29">
        <v>0</v>
      </c>
      <c r="E652" s="29" t="str">
        <f>CONCATENATE('Смета ЕР (общ) '!$A652,".",'Смета ЕР (общ) '!$B652,".",'Смета ЕР (общ) '!$D652)</f>
        <v>Р5.0.0</v>
      </c>
      <c r="F652" s="29">
        <f t="shared" si="60"/>
        <v>1</v>
      </c>
      <c r="G652" s="29"/>
      <c r="H652" s="29"/>
      <c r="I652" s="29"/>
      <c r="J652" s="29"/>
      <c r="K652" s="29"/>
      <c r="L652" s="30" t="s">
        <v>717</v>
      </c>
      <c r="M652" s="31"/>
      <c r="N652" s="32">
        <f>S652</f>
        <v>0</v>
      </c>
      <c r="O652" s="47"/>
      <c r="P652" s="47"/>
      <c r="Q652" s="34"/>
      <c r="R652" s="34"/>
      <c r="S652" s="34">
        <f>ROUND(S653++S746+S752+S761,2)</f>
        <v>0</v>
      </c>
      <c r="T652" s="34">
        <f>ROUND(T653++T746+T752+T761,2)</f>
        <v>0</v>
      </c>
      <c r="U652" s="101"/>
      <c r="Y652">
        <v>81579.41</v>
      </c>
    </row>
    <row r="653" spans="1:25" s="139" customFormat="1" ht="14.4" x14ac:dyDescent="0.3">
      <c r="A653" s="29" t="s">
        <v>716</v>
      </c>
      <c r="B653" s="29">
        <v>3</v>
      </c>
      <c r="C653" s="29"/>
      <c r="D653" s="29">
        <v>0</v>
      </c>
      <c r="E653" s="29" t="str">
        <f>CONCATENATE('Смета ЕР (общ) '!$A653,".",'Смета ЕР (общ) '!$B653,".",'Смета ЕР (общ) '!$D653)</f>
        <v>Р5.3.0</v>
      </c>
      <c r="F653" s="29">
        <f t="shared" si="60"/>
        <v>1</v>
      </c>
      <c r="G653" s="29"/>
      <c r="H653" s="29"/>
      <c r="I653" s="29"/>
      <c r="J653" s="29"/>
      <c r="K653" s="29"/>
      <c r="L653" s="30" t="s">
        <v>718</v>
      </c>
      <c r="M653" s="31"/>
      <c r="N653" s="32">
        <f>S653</f>
        <v>0</v>
      </c>
      <c r="O653" s="47"/>
      <c r="P653" s="47"/>
      <c r="Q653" s="34"/>
      <c r="R653" s="34"/>
      <c r="S653" s="34">
        <f>SUM(S654:S745)</f>
        <v>0</v>
      </c>
      <c r="T653" s="34">
        <f>SUM(T654:T745)</f>
        <v>0</v>
      </c>
      <c r="U653" s="101"/>
      <c r="V653"/>
      <c r="W653"/>
      <c r="Y653" s="139">
        <v>81579.409999999989</v>
      </c>
    </row>
    <row r="654" spans="1:25" ht="24" x14ac:dyDescent="0.3">
      <c r="A654" s="36" t="s">
        <v>716</v>
      </c>
      <c r="B654" s="36">
        <v>3</v>
      </c>
      <c r="C654" s="36"/>
      <c r="D654" s="36">
        <v>1</v>
      </c>
      <c r="E654" s="36" t="str">
        <f>CONCATENATE('Смета ЕР (общ) '!$A654,".",'Смета ЕР (общ) '!$B654,".",'Смета ЕР (общ) '!$D654)</f>
        <v>Р5.3.1</v>
      </c>
      <c r="F654" s="36">
        <f t="shared" si="60"/>
        <v>1</v>
      </c>
      <c r="G654" s="36"/>
      <c r="H654" s="36"/>
      <c r="I654" s="36"/>
      <c r="J654" s="36"/>
      <c r="K654" s="36"/>
      <c r="L654" s="53" t="s">
        <v>719</v>
      </c>
      <c r="M654" s="38" t="s">
        <v>118</v>
      </c>
      <c r="N654" s="39"/>
      <c r="O654" s="40">
        <v>4284.5</v>
      </c>
      <c r="P654" s="40">
        <v>11971.52</v>
      </c>
      <c r="Q654" s="40">
        <f t="shared" ref="Q654:R678" si="64">ROUND(O654-O654*$V$3,2)</f>
        <v>4284.5</v>
      </c>
      <c r="R654" s="40">
        <f t="shared" si="64"/>
        <v>11971.52</v>
      </c>
      <c r="S654" s="40">
        <f>ROUND('Смета ЕР (общ) '!$N654*'Смета ЕР (общ) '!$Q654,2)</f>
        <v>0</v>
      </c>
      <c r="T654" s="40">
        <f>ROUND('Смета ЕР (общ) '!$N654*'Смета ЕР (общ) '!$R654,2)</f>
        <v>0</v>
      </c>
      <c r="U654" s="101"/>
    </row>
    <row r="655" spans="1:25" ht="24" x14ac:dyDescent="0.3">
      <c r="A655" s="36" t="s">
        <v>716</v>
      </c>
      <c r="B655" s="36">
        <v>3</v>
      </c>
      <c r="C655" s="36"/>
      <c r="D655" s="36">
        <v>2</v>
      </c>
      <c r="E655" s="36" t="str">
        <f>CONCATENATE('Смета ЕР (общ) '!$A655,".",'Смета ЕР (общ) '!$B655,".",'Смета ЕР (общ) '!$D655)</f>
        <v>Р5.3.2</v>
      </c>
      <c r="F655" s="36">
        <f t="shared" si="60"/>
        <v>1</v>
      </c>
      <c r="G655" s="36"/>
      <c r="H655" s="36"/>
      <c r="I655" s="36"/>
      <c r="J655" s="36"/>
      <c r="K655" s="36"/>
      <c r="L655" s="53" t="s">
        <v>720</v>
      </c>
      <c r="M655" s="38" t="s">
        <v>118</v>
      </c>
      <c r="N655" s="39"/>
      <c r="O655" s="40">
        <v>7837.5</v>
      </c>
      <c r="P655" s="40">
        <v>6690.22</v>
      </c>
      <c r="Q655" s="40">
        <f t="shared" si="64"/>
        <v>7837.5</v>
      </c>
      <c r="R655" s="40">
        <f t="shared" si="64"/>
        <v>6690.22</v>
      </c>
      <c r="S655" s="40">
        <f>ROUND('Смета ЕР (общ) '!$N655*'Смета ЕР (общ) '!$Q655,2)</f>
        <v>0</v>
      </c>
      <c r="T655" s="40">
        <f>ROUND('Смета ЕР (общ) '!$N655*'Смета ЕР (общ) '!$R655,2)</f>
        <v>0</v>
      </c>
      <c r="U655" s="101"/>
    </row>
    <row r="656" spans="1:25" ht="24" x14ac:dyDescent="0.3">
      <c r="A656" s="36" t="s">
        <v>716</v>
      </c>
      <c r="B656" s="36">
        <v>3</v>
      </c>
      <c r="C656" s="36"/>
      <c r="D656" s="36">
        <v>68</v>
      </c>
      <c r="E656" s="36" t="str">
        <f>CONCATENATE('Смета ЕР (общ) '!$A656,".",'Смета ЕР (общ) '!$B656,".",'Смета ЕР (общ) '!$D656)</f>
        <v>Р5.3.68</v>
      </c>
      <c r="F656" s="36">
        <f t="shared" si="60"/>
        <v>1</v>
      </c>
      <c r="G656" s="36"/>
      <c r="H656" s="36"/>
      <c r="I656" s="36"/>
      <c r="J656" s="36"/>
      <c r="K656" s="36"/>
      <c r="L656" s="53" t="s">
        <v>721</v>
      </c>
      <c r="M656" s="38" t="s">
        <v>118</v>
      </c>
      <c r="N656" s="39"/>
      <c r="O656" s="40">
        <v>4284.5</v>
      </c>
      <c r="P656" s="40">
        <v>55070.06</v>
      </c>
      <c r="Q656" s="40">
        <f t="shared" si="64"/>
        <v>4284.5</v>
      </c>
      <c r="R656" s="40">
        <f t="shared" si="64"/>
        <v>55070.06</v>
      </c>
      <c r="S656" s="40">
        <f>ROUND('Смета ЕР (общ) '!$N656*'Смета ЕР (общ) '!$Q656,2)</f>
        <v>0</v>
      </c>
      <c r="T656" s="40">
        <f>ROUND('Смета ЕР (общ) '!$N656*'Смета ЕР (общ) '!$R656,2)</f>
        <v>0</v>
      </c>
      <c r="U656" s="101"/>
    </row>
    <row r="657" spans="1:25" ht="24" x14ac:dyDescent="0.3">
      <c r="A657" s="36" t="s">
        <v>716</v>
      </c>
      <c r="B657" s="36">
        <v>3</v>
      </c>
      <c r="C657" s="36"/>
      <c r="D657" s="36">
        <v>69</v>
      </c>
      <c r="E657" s="36" t="str">
        <f>CONCATENATE('Смета ЕР (общ) '!$A657,".",'Смета ЕР (общ) '!$B657,".",'Смета ЕР (общ) '!$D657)</f>
        <v>Р5.3.69</v>
      </c>
      <c r="F657" s="36">
        <f t="shared" ref="F657:F720" si="65">IF(N657&gt;0,F656+1,F656)</f>
        <v>1</v>
      </c>
      <c r="G657" s="36"/>
      <c r="H657" s="36"/>
      <c r="I657" s="36"/>
      <c r="J657" s="36"/>
      <c r="K657" s="36"/>
      <c r="L657" s="53" t="s">
        <v>722</v>
      </c>
      <c r="M657" s="38" t="s">
        <v>118</v>
      </c>
      <c r="N657" s="39"/>
      <c r="O657" s="40">
        <v>6688</v>
      </c>
      <c r="P657" s="40">
        <v>29157.16</v>
      </c>
      <c r="Q657" s="40">
        <f t="shared" si="64"/>
        <v>6688</v>
      </c>
      <c r="R657" s="40">
        <f t="shared" si="64"/>
        <v>29157.16</v>
      </c>
      <c r="S657" s="40">
        <f>ROUND('Смета ЕР (общ) '!$N657*'Смета ЕР (общ) '!$Q657,2)</f>
        <v>0</v>
      </c>
      <c r="T657" s="40">
        <f>ROUND('Смета ЕР (общ) '!$N657*'Смета ЕР (общ) '!$R657,2)</f>
        <v>0</v>
      </c>
      <c r="U657" s="101"/>
    </row>
    <row r="658" spans="1:25" ht="14.4" x14ac:dyDescent="0.3">
      <c r="A658" s="36" t="s">
        <v>716</v>
      </c>
      <c r="B658" s="36">
        <v>3</v>
      </c>
      <c r="C658" s="36"/>
      <c r="D658" s="36">
        <v>62</v>
      </c>
      <c r="E658" s="36" t="str">
        <f>CONCATENATE('Смета ЕР (общ) '!$A658,".",'Смета ЕР (общ) '!$B658,".",'Смета ЕР (общ) '!$D658)</f>
        <v>Р5.3.62</v>
      </c>
      <c r="F658" s="36">
        <f t="shared" si="65"/>
        <v>1</v>
      </c>
      <c r="G658" s="36"/>
      <c r="H658" s="36"/>
      <c r="I658" s="36"/>
      <c r="J658" s="36"/>
      <c r="K658" s="36"/>
      <c r="L658" s="53" t="s">
        <v>723</v>
      </c>
      <c r="M658" s="38" t="s">
        <v>118</v>
      </c>
      <c r="N658" s="39"/>
      <c r="O658" s="40">
        <v>4186.88</v>
      </c>
      <c r="P658" s="40">
        <v>27305.02</v>
      </c>
      <c r="Q658" s="40">
        <f t="shared" si="64"/>
        <v>4186.88</v>
      </c>
      <c r="R658" s="40">
        <f t="shared" si="64"/>
        <v>27305.02</v>
      </c>
      <c r="S658" s="40">
        <f>ROUND('Смета ЕР (общ) '!$N658*'Смета ЕР (общ) '!$Q658,2)</f>
        <v>0</v>
      </c>
      <c r="T658" s="40">
        <f>ROUND('Смета ЕР (общ) '!$N658*'Смета ЕР (общ) '!$R658,2)</f>
        <v>0</v>
      </c>
    </row>
    <row r="659" spans="1:25" ht="24" x14ac:dyDescent="0.3">
      <c r="A659" s="36" t="s">
        <v>716</v>
      </c>
      <c r="B659" s="36">
        <v>3</v>
      </c>
      <c r="C659" s="36"/>
      <c r="D659" s="36">
        <v>63</v>
      </c>
      <c r="E659" s="36" t="str">
        <f>CONCATENATE('Смета ЕР (общ) '!$A659,".",'Смета ЕР (общ) '!$B659,".",'Смета ЕР (общ) '!$D659)</f>
        <v>Р5.3.63</v>
      </c>
      <c r="F659" s="36">
        <f t="shared" si="65"/>
        <v>1</v>
      </c>
      <c r="G659" s="36"/>
      <c r="H659" s="36"/>
      <c r="I659" s="36"/>
      <c r="J659" s="36"/>
      <c r="K659" s="36"/>
      <c r="L659" s="37" t="s">
        <v>724</v>
      </c>
      <c r="M659" s="38" t="s">
        <v>118</v>
      </c>
      <c r="N659" s="39"/>
      <c r="O659" s="40">
        <v>5575.08</v>
      </c>
      <c r="P659" s="40">
        <v>33925.279999999999</v>
      </c>
      <c r="Q659" s="40">
        <f t="shared" si="64"/>
        <v>5575.08</v>
      </c>
      <c r="R659" s="40">
        <f t="shared" si="64"/>
        <v>33925.279999999999</v>
      </c>
      <c r="S659" s="40">
        <f>ROUND('Смета ЕР (общ) '!$N659*'Смета ЕР (общ) '!$Q659,2)</f>
        <v>0</v>
      </c>
      <c r="T659" s="40">
        <f>ROUND('Смета ЕР (общ) '!$N659*'Смета ЕР (общ) '!$R659,2)</f>
        <v>0</v>
      </c>
    </row>
    <row r="660" spans="1:25" ht="24" x14ac:dyDescent="0.3">
      <c r="A660" s="36" t="s">
        <v>716</v>
      </c>
      <c r="B660" s="36">
        <v>3</v>
      </c>
      <c r="C660" s="36"/>
      <c r="D660" s="36">
        <v>64</v>
      </c>
      <c r="E660" s="36" t="str">
        <f>CONCATENATE('Смета ЕР (общ) '!$A660,".",'Смета ЕР (общ) '!$B660,".",'Смета ЕР (общ) '!$D660)</f>
        <v>Р5.3.64</v>
      </c>
      <c r="F660" s="36">
        <f t="shared" si="65"/>
        <v>1</v>
      </c>
      <c r="G660" s="36"/>
      <c r="H660" s="36"/>
      <c r="I660" s="36"/>
      <c r="J660" s="36"/>
      <c r="K660" s="36"/>
      <c r="L660" s="37" t="s">
        <v>725</v>
      </c>
      <c r="M660" s="38" t="s">
        <v>118</v>
      </c>
      <c r="N660" s="39"/>
      <c r="O660" s="40">
        <v>6688</v>
      </c>
      <c r="P660" s="40">
        <v>45420.639999999999</v>
      </c>
      <c r="Q660" s="40">
        <f t="shared" si="64"/>
        <v>6688</v>
      </c>
      <c r="R660" s="40">
        <f t="shared" si="64"/>
        <v>45420.639999999999</v>
      </c>
      <c r="S660" s="40">
        <f>ROUND('Смета ЕР (общ) '!$N660*'Смета ЕР (общ) '!$Q660,2)</f>
        <v>0</v>
      </c>
      <c r="T660" s="40">
        <f>ROUND('Смета ЕР (общ) '!$N660*'Смета ЕР (общ) '!$R660,2)</f>
        <v>0</v>
      </c>
    </row>
    <row r="661" spans="1:25" ht="24" x14ac:dyDescent="0.3">
      <c r="A661" s="36" t="s">
        <v>716</v>
      </c>
      <c r="B661" s="36">
        <v>3</v>
      </c>
      <c r="C661" s="36"/>
      <c r="D661" s="36">
        <v>70</v>
      </c>
      <c r="E661" s="36" t="str">
        <f>CONCATENATE('Смета ЕР (общ) '!$A661,".",'Смета ЕР (общ) '!$B661,".",'Смета ЕР (общ) '!$D661)</f>
        <v>Р5.3.70</v>
      </c>
      <c r="F661" s="36">
        <f t="shared" si="65"/>
        <v>1</v>
      </c>
      <c r="G661" s="36"/>
      <c r="H661" s="36"/>
      <c r="I661" s="36"/>
      <c r="J661" s="36"/>
      <c r="K661" s="36"/>
      <c r="L661" s="37" t="s">
        <v>726</v>
      </c>
      <c r="M661" s="38" t="s">
        <v>118</v>
      </c>
      <c r="N661" s="39"/>
      <c r="O661" s="40">
        <v>5575.08</v>
      </c>
      <c r="P661" s="40">
        <v>40890.629999999997</v>
      </c>
      <c r="Q661" s="40">
        <f t="shared" si="64"/>
        <v>5575.08</v>
      </c>
      <c r="R661" s="40">
        <f t="shared" si="64"/>
        <v>40890.629999999997</v>
      </c>
      <c r="S661" s="40">
        <f>ROUND('Смета ЕР (общ) '!$N661*'Смета ЕР (общ) '!$Q661,2)</f>
        <v>0</v>
      </c>
      <c r="T661" s="40">
        <f>ROUND('Смета ЕР (общ) '!$N661*'Смета ЕР (общ) '!$R661,2)</f>
        <v>0</v>
      </c>
    </row>
    <row r="662" spans="1:25" ht="24" x14ac:dyDescent="0.3">
      <c r="A662" s="36" t="s">
        <v>716</v>
      </c>
      <c r="B662" s="36">
        <v>3</v>
      </c>
      <c r="C662" s="36"/>
      <c r="D662" s="36">
        <v>71</v>
      </c>
      <c r="E662" s="36" t="str">
        <f>CONCATENATE('Смета ЕР (общ) '!$A662,".",'Смета ЕР (общ) '!$B662,".",'Смета ЕР (общ) '!$D662)</f>
        <v>Р5.3.71</v>
      </c>
      <c r="F662" s="36">
        <f t="shared" si="65"/>
        <v>1</v>
      </c>
      <c r="G662" s="36"/>
      <c r="H662" s="36"/>
      <c r="I662" s="36"/>
      <c r="J662" s="36"/>
      <c r="K662" s="36"/>
      <c r="L662" s="37" t="s">
        <v>727</v>
      </c>
      <c r="M662" s="38" t="s">
        <v>118</v>
      </c>
      <c r="N662" s="39"/>
      <c r="O662" s="40">
        <v>6688</v>
      </c>
      <c r="P662" s="40">
        <v>8915.44</v>
      </c>
      <c r="Q662" s="40">
        <f t="shared" si="64"/>
        <v>6688</v>
      </c>
      <c r="R662" s="40">
        <f t="shared" si="64"/>
        <v>8915.44</v>
      </c>
      <c r="S662" s="40">
        <f>ROUND('Смета ЕР (общ) '!$N662*'Смета ЕР (общ) '!$Q662,2)</f>
        <v>0</v>
      </c>
      <c r="T662" s="40">
        <f>ROUND('Смета ЕР (общ) '!$N662*'Смета ЕР (общ) '!$R662,2)</f>
        <v>0</v>
      </c>
    </row>
    <row r="663" spans="1:25" ht="14.4" x14ac:dyDescent="0.3">
      <c r="A663" s="36" t="s">
        <v>716</v>
      </c>
      <c r="B663" s="36">
        <v>3</v>
      </c>
      <c r="C663" s="36"/>
      <c r="D663" s="36">
        <v>72</v>
      </c>
      <c r="E663" s="36" t="str">
        <f>CONCATENATE('Смета ЕР (общ) '!$A663,".",'Смета ЕР (общ) '!$B663,".",'Смета ЕР (общ) '!$D663)</f>
        <v>Р5.3.72</v>
      </c>
      <c r="F663" s="36">
        <f t="shared" si="65"/>
        <v>1</v>
      </c>
      <c r="G663" s="36"/>
      <c r="H663" s="36"/>
      <c r="I663" s="36"/>
      <c r="J663" s="36"/>
      <c r="K663" s="36"/>
      <c r="L663" s="37" t="s">
        <v>728</v>
      </c>
      <c r="M663" s="38" t="s">
        <v>118</v>
      </c>
      <c r="N663" s="39"/>
      <c r="O663" s="40">
        <v>5575.08</v>
      </c>
      <c r="P663" s="40">
        <f>[1]Сантехника!J2</f>
        <v>12789</v>
      </c>
      <c r="Q663" s="40">
        <f t="shared" si="64"/>
        <v>5575.08</v>
      </c>
      <c r="R663" s="66">
        <f>P663</f>
        <v>12789</v>
      </c>
      <c r="S663" s="40">
        <f>ROUND('Смета ЕР (общ) '!$N663*'Смета ЕР (общ) '!$Q663,2)</f>
        <v>0</v>
      </c>
      <c r="T663" s="40">
        <f>ROUND('Смета ЕР (общ) '!$N663*'Смета ЕР (общ) '!$R663,2)</f>
        <v>0</v>
      </c>
      <c r="U663" s="67" t="s">
        <v>729</v>
      </c>
      <c r="V663" s="68"/>
      <c r="Y663">
        <v>1</v>
      </c>
    </row>
    <row r="664" spans="1:25" ht="14.4" x14ac:dyDescent="0.3">
      <c r="A664" s="36" t="s">
        <v>716</v>
      </c>
      <c r="B664" s="36">
        <v>3</v>
      </c>
      <c r="C664" s="36"/>
      <c r="D664" s="36">
        <v>88</v>
      </c>
      <c r="E664" s="36" t="str">
        <f>CONCATENATE('Смета ЕР (общ) '!$A664,".",'Смета ЕР (общ) '!$B664,".",'Смета ЕР (общ) '!$D664)</f>
        <v>Р5.3.88</v>
      </c>
      <c r="F664" s="36">
        <f t="shared" si="65"/>
        <v>1</v>
      </c>
      <c r="G664" s="36"/>
      <c r="H664" s="36"/>
      <c r="I664" s="36"/>
      <c r="J664" s="36"/>
      <c r="K664" s="36"/>
      <c r="L664" s="37" t="s">
        <v>730</v>
      </c>
      <c r="M664" s="38" t="s">
        <v>118</v>
      </c>
      <c r="N664" s="39"/>
      <c r="O664" s="62">
        <v>1809.6</v>
      </c>
      <c r="P664" s="40">
        <f>[1]Сантехника!J30</f>
        <v>15498</v>
      </c>
      <c r="Q664" s="40">
        <f t="shared" si="64"/>
        <v>1809.6</v>
      </c>
      <c r="R664" s="66">
        <f t="shared" ref="R664:R681" si="66">P664</f>
        <v>15498</v>
      </c>
      <c r="S664" s="40">
        <f>ROUND('Смета ЕР (общ) '!$N664*'Смета ЕР (общ) '!$Q664,2)</f>
        <v>0</v>
      </c>
      <c r="T664" s="40">
        <f>ROUND('Смета ЕР (общ) '!$N664*'Смета ЕР (общ) '!$R664,2)</f>
        <v>0</v>
      </c>
      <c r="U664" s="67" t="s">
        <v>729</v>
      </c>
      <c r="V664" s="68"/>
    </row>
    <row r="665" spans="1:25" ht="14.4" x14ac:dyDescent="0.3">
      <c r="A665" s="36" t="s">
        <v>716</v>
      </c>
      <c r="B665" s="36">
        <v>3</v>
      </c>
      <c r="C665" s="36"/>
      <c r="D665" s="36">
        <v>89</v>
      </c>
      <c r="E665" s="36" t="str">
        <f>CONCATENATE('Смета ЕР (общ) '!$A665,".",'Смета ЕР (общ) '!$B665,".",'Смета ЕР (общ) '!$D665)</f>
        <v>Р5.3.89</v>
      </c>
      <c r="F665" s="36">
        <f t="shared" si="65"/>
        <v>1</v>
      </c>
      <c r="G665" s="36"/>
      <c r="H665" s="36"/>
      <c r="I665" s="36"/>
      <c r="J665" s="36"/>
      <c r="K665" s="36"/>
      <c r="L665" s="37" t="s">
        <v>731</v>
      </c>
      <c r="M665" s="38" t="s">
        <v>118</v>
      </c>
      <c r="N665" s="39"/>
      <c r="O665" s="40">
        <v>6688</v>
      </c>
      <c r="P665" s="40">
        <f>[1]Сантехника!J4</f>
        <v>8284.5</v>
      </c>
      <c r="Q665" s="40">
        <f t="shared" si="64"/>
        <v>6688</v>
      </c>
      <c r="R665" s="66">
        <f t="shared" si="66"/>
        <v>8284.5</v>
      </c>
      <c r="S665" s="40">
        <f>ROUND('Смета ЕР (общ) '!$N665*'Смета ЕР (общ) '!$Q665,2)</f>
        <v>0</v>
      </c>
      <c r="T665" s="40">
        <f>ROUND('Смета ЕР (общ) '!$N665*'Смета ЕР (общ) '!$R665,2)</f>
        <v>0</v>
      </c>
      <c r="U665" s="67" t="s">
        <v>729</v>
      </c>
      <c r="V665" s="68"/>
    </row>
    <row r="666" spans="1:25" ht="14.4" x14ac:dyDescent="0.3">
      <c r="A666" s="36" t="s">
        <v>716</v>
      </c>
      <c r="B666" s="36">
        <v>3</v>
      </c>
      <c r="C666" s="36"/>
      <c r="D666" s="36">
        <v>90</v>
      </c>
      <c r="E666" s="36" t="str">
        <f>CONCATENATE('Смета ЕР (общ) '!$A666,".",'Смета ЕР (общ) '!$B666,".",'Смета ЕР (общ) '!$D666)</f>
        <v>Р5.3.90</v>
      </c>
      <c r="F666" s="36">
        <f t="shared" si="65"/>
        <v>1</v>
      </c>
      <c r="G666" s="36"/>
      <c r="H666" s="36"/>
      <c r="I666" s="36"/>
      <c r="J666" s="36"/>
      <c r="K666" s="36"/>
      <c r="L666" s="37" t="s">
        <v>732</v>
      </c>
      <c r="M666" s="38" t="s">
        <v>118</v>
      </c>
      <c r="N666" s="39"/>
      <c r="O666" s="62">
        <v>1809.6</v>
      </c>
      <c r="P666" s="40">
        <f>[1]Сантехника!J31</f>
        <v>29431.5</v>
      </c>
      <c r="Q666" s="40">
        <f t="shared" si="64"/>
        <v>1809.6</v>
      </c>
      <c r="R666" s="66">
        <f t="shared" si="66"/>
        <v>29431.5</v>
      </c>
      <c r="S666" s="40">
        <f>ROUND('Смета ЕР (общ) '!$N666*'Смета ЕР (общ) '!$Q666,2)</f>
        <v>0</v>
      </c>
      <c r="T666" s="40">
        <f>ROUND('Смета ЕР (общ) '!$N666*'Смета ЕР (общ) '!$R666,2)</f>
        <v>0</v>
      </c>
      <c r="U666" s="67" t="s">
        <v>729</v>
      </c>
      <c r="V666" s="68"/>
    </row>
    <row r="667" spans="1:25" ht="24" x14ac:dyDescent="0.3">
      <c r="A667" s="36" t="s">
        <v>716</v>
      </c>
      <c r="B667" s="36">
        <v>3</v>
      </c>
      <c r="C667" s="36"/>
      <c r="D667" s="36">
        <v>91</v>
      </c>
      <c r="E667" s="36" t="str">
        <f>CONCATENATE('Смета ЕР (общ) '!$A667,".",'Смета ЕР (общ) '!$B667,".",'Смета ЕР (общ) '!$D667)</f>
        <v>Р5.3.91</v>
      </c>
      <c r="F667" s="36">
        <f t="shared" si="65"/>
        <v>1</v>
      </c>
      <c r="G667" s="36"/>
      <c r="H667" s="36"/>
      <c r="I667" s="36"/>
      <c r="J667" s="36"/>
      <c r="K667" s="36"/>
      <c r="L667" s="37" t="s">
        <v>733</v>
      </c>
      <c r="M667" s="38" t="s">
        <v>118</v>
      </c>
      <c r="N667" s="39"/>
      <c r="O667" s="40">
        <v>6688</v>
      </c>
      <c r="P667" s="40">
        <f>[1]Сантехника!J32</f>
        <v>10909.5</v>
      </c>
      <c r="Q667" s="40">
        <f t="shared" si="64"/>
        <v>6688</v>
      </c>
      <c r="R667" s="66">
        <f t="shared" si="66"/>
        <v>10909.5</v>
      </c>
      <c r="S667" s="40">
        <f>ROUND('Смета ЕР (общ) '!$N667*'Смета ЕР (общ) '!$Q667,2)</f>
        <v>0</v>
      </c>
      <c r="T667" s="40">
        <f>ROUND('Смета ЕР (общ) '!$N667*'Смета ЕР (общ) '!$R667,2)</f>
        <v>0</v>
      </c>
      <c r="U667" s="67" t="s">
        <v>729</v>
      </c>
      <c r="V667" s="68"/>
    </row>
    <row r="668" spans="1:25" ht="14.4" x14ac:dyDescent="0.3">
      <c r="A668" s="36" t="s">
        <v>716</v>
      </c>
      <c r="B668" s="36">
        <v>3</v>
      </c>
      <c r="C668" s="36"/>
      <c r="D668" s="36">
        <v>92</v>
      </c>
      <c r="E668" s="36" t="str">
        <f>CONCATENATE('Смета ЕР (общ) '!$A668,".",'Смета ЕР (общ) '!$B668,".",'Смета ЕР (общ) '!$D668)</f>
        <v>Р5.3.92</v>
      </c>
      <c r="F668" s="36">
        <f t="shared" si="65"/>
        <v>1</v>
      </c>
      <c r="G668" s="36"/>
      <c r="H668" s="36"/>
      <c r="I668" s="36"/>
      <c r="J668" s="36"/>
      <c r="K668" s="36"/>
      <c r="L668" s="37" t="s">
        <v>734</v>
      </c>
      <c r="M668" s="38" t="s">
        <v>118</v>
      </c>
      <c r="N668" s="39"/>
      <c r="O668" s="62">
        <v>500</v>
      </c>
      <c r="P668" s="40">
        <f>[1]Сантехника!J34</f>
        <v>1354.5</v>
      </c>
      <c r="Q668" s="40">
        <f t="shared" si="64"/>
        <v>500</v>
      </c>
      <c r="R668" s="66">
        <f t="shared" si="66"/>
        <v>1354.5</v>
      </c>
      <c r="S668" s="40">
        <f>ROUND('Смета ЕР (общ) '!$N668*'Смета ЕР (общ) '!$Q668,2)</f>
        <v>0</v>
      </c>
      <c r="T668" s="40">
        <f>ROUND('Смета ЕР (общ) '!$N668*'Смета ЕР (общ) '!$R668,2)</f>
        <v>0</v>
      </c>
      <c r="U668" s="67" t="s">
        <v>729</v>
      </c>
      <c r="V668" s="68"/>
    </row>
    <row r="669" spans="1:25" ht="14.4" x14ac:dyDescent="0.3">
      <c r="A669" s="36" t="s">
        <v>716</v>
      </c>
      <c r="B669" s="36">
        <v>3</v>
      </c>
      <c r="C669" s="36"/>
      <c r="D669" s="36">
        <v>93</v>
      </c>
      <c r="E669" s="36" t="str">
        <f>CONCATENATE('Смета ЕР (общ) '!$A669,".",'Смета ЕР (общ) '!$B669,".",'Смета ЕР (общ) '!$D669)</f>
        <v>Р5.3.93</v>
      </c>
      <c r="F669" s="36">
        <f t="shared" si="65"/>
        <v>1</v>
      </c>
      <c r="G669" s="36"/>
      <c r="H669" s="36"/>
      <c r="I669" s="36"/>
      <c r="J669" s="36"/>
      <c r="K669" s="36"/>
      <c r="L669" s="37" t="s">
        <v>735</v>
      </c>
      <c r="M669" s="38" t="s">
        <v>118</v>
      </c>
      <c r="N669" s="39"/>
      <c r="O669" s="62">
        <v>500</v>
      </c>
      <c r="P669" s="40">
        <f>[1]Сантехника!J33</f>
        <v>1029</v>
      </c>
      <c r="Q669" s="40">
        <f t="shared" si="64"/>
        <v>500</v>
      </c>
      <c r="R669" s="66">
        <f t="shared" si="66"/>
        <v>1029</v>
      </c>
      <c r="S669" s="40">
        <f>ROUND('Смета ЕР (общ) '!$N669*'Смета ЕР (общ) '!$Q669,2)</f>
        <v>0</v>
      </c>
      <c r="T669" s="40">
        <f>ROUND('Смета ЕР (общ) '!$N669*'Смета ЕР (общ) '!$R669,2)</f>
        <v>0</v>
      </c>
      <c r="U669" s="67" t="s">
        <v>729</v>
      </c>
      <c r="V669" s="68"/>
    </row>
    <row r="670" spans="1:25" ht="24" x14ac:dyDescent="0.3">
      <c r="A670" s="36" t="s">
        <v>716</v>
      </c>
      <c r="B670" s="36">
        <v>3</v>
      </c>
      <c r="C670" s="36"/>
      <c r="D670" s="36">
        <v>73</v>
      </c>
      <c r="E670" s="36" t="str">
        <f>CONCATENATE('Смета ЕР (общ) '!$A670,".",'Смета ЕР (общ) '!$B670,".",'Смета ЕР (общ) '!$D670)</f>
        <v>Р5.3.73</v>
      </c>
      <c r="F670" s="36">
        <f t="shared" si="65"/>
        <v>1</v>
      </c>
      <c r="G670" s="36"/>
      <c r="H670" s="36"/>
      <c r="I670" s="36"/>
      <c r="J670" s="36"/>
      <c r="K670" s="36"/>
      <c r="L670" s="37" t="s">
        <v>736</v>
      </c>
      <c r="M670" s="38" t="s">
        <v>118</v>
      </c>
      <c r="N670" s="39"/>
      <c r="O670" s="39">
        <v>4284.5</v>
      </c>
      <c r="P670" s="40">
        <f>[1]Сантехника!J35</f>
        <v>23478</v>
      </c>
      <c r="Q670" s="40">
        <f t="shared" si="64"/>
        <v>4284.5</v>
      </c>
      <c r="R670" s="66">
        <f t="shared" si="66"/>
        <v>23478</v>
      </c>
      <c r="S670" s="40">
        <f>ROUND('Смета ЕР (общ) '!$N670*'Смета ЕР (общ) '!$Q670,2)</f>
        <v>0</v>
      </c>
      <c r="T670" s="40">
        <f>ROUND('Смета ЕР (общ) '!$N670*'Смета ЕР (общ) '!$R670,2)</f>
        <v>0</v>
      </c>
      <c r="U670" s="67" t="s">
        <v>729</v>
      </c>
      <c r="V670" s="68"/>
      <c r="Y670">
        <v>1</v>
      </c>
    </row>
    <row r="671" spans="1:25" ht="14.4" x14ac:dyDescent="0.3">
      <c r="A671" s="36" t="s">
        <v>716</v>
      </c>
      <c r="B671" s="36">
        <v>3</v>
      </c>
      <c r="C671" s="36"/>
      <c r="D671" s="36">
        <v>74</v>
      </c>
      <c r="E671" s="36" t="str">
        <f>CONCATENATE('Смета ЕР (общ) '!$A671,".",'Смета ЕР (общ) '!$B671,".",'Смета ЕР (общ) '!$D671)</f>
        <v>Р5.3.74</v>
      </c>
      <c r="F671" s="36">
        <f t="shared" si="65"/>
        <v>1</v>
      </c>
      <c r="G671" s="36"/>
      <c r="H671" s="36"/>
      <c r="I671" s="36"/>
      <c r="J671" s="36"/>
      <c r="K671" s="36"/>
      <c r="L671" s="37" t="s">
        <v>737</v>
      </c>
      <c r="M671" s="38" t="s">
        <v>118</v>
      </c>
      <c r="N671" s="39"/>
      <c r="O671" s="40">
        <v>4186.88</v>
      </c>
      <c r="P671" s="40">
        <f>[1]Сантехника!J10</f>
        <v>20359.5</v>
      </c>
      <c r="Q671" s="40">
        <f t="shared" si="64"/>
        <v>4186.88</v>
      </c>
      <c r="R671" s="66">
        <f t="shared" si="66"/>
        <v>20359.5</v>
      </c>
      <c r="S671" s="40">
        <f>ROUND('Смета ЕР (общ) '!$N671*'Смета ЕР (общ) '!$Q671,2)</f>
        <v>0</v>
      </c>
      <c r="T671" s="40">
        <f>ROUND('Смета ЕР (общ) '!$N671*'Смета ЕР (общ) '!$R671,2)</f>
        <v>0</v>
      </c>
      <c r="U671" s="67" t="s">
        <v>729</v>
      </c>
      <c r="V671" s="68"/>
      <c r="Y671">
        <v>1</v>
      </c>
    </row>
    <row r="672" spans="1:25" ht="24" x14ac:dyDescent="0.3">
      <c r="A672" s="36" t="s">
        <v>716</v>
      </c>
      <c r="B672" s="36">
        <v>3</v>
      </c>
      <c r="C672" s="36"/>
      <c r="D672" s="36">
        <v>75</v>
      </c>
      <c r="E672" s="36" t="str">
        <f>CONCATENATE('Смета ЕР (общ) '!$A672,".",'Смета ЕР (общ) '!$B672,".",'Смета ЕР (общ) '!$D672)</f>
        <v>Р5.3.75</v>
      </c>
      <c r="F672" s="36">
        <f t="shared" si="65"/>
        <v>1</v>
      </c>
      <c r="G672" s="36"/>
      <c r="H672" s="36"/>
      <c r="I672" s="36"/>
      <c r="J672" s="36"/>
      <c r="K672" s="36"/>
      <c r="L672" s="37" t="s">
        <v>738</v>
      </c>
      <c r="M672" s="38" t="s">
        <v>118</v>
      </c>
      <c r="N672" s="39"/>
      <c r="O672" s="40">
        <v>4186.88</v>
      </c>
      <c r="P672" s="40">
        <f>[1]Сантехника!J7</f>
        <v>13782.3</v>
      </c>
      <c r="Q672" s="40">
        <f t="shared" si="64"/>
        <v>4186.88</v>
      </c>
      <c r="R672" s="66">
        <f t="shared" si="66"/>
        <v>13782.3</v>
      </c>
      <c r="S672" s="40">
        <f>ROUND('Смета ЕР (общ) '!$N672*'Смета ЕР (общ) '!$Q672,2)</f>
        <v>0</v>
      </c>
      <c r="T672" s="40">
        <f>ROUND('Смета ЕР (общ) '!$N672*'Смета ЕР (общ) '!$R672,2)</f>
        <v>0</v>
      </c>
      <c r="U672" s="67" t="s">
        <v>729</v>
      </c>
      <c r="V672" s="68"/>
      <c r="Y672">
        <v>1</v>
      </c>
    </row>
    <row r="673" spans="1:25" ht="24" x14ac:dyDescent="0.3">
      <c r="A673" s="36" t="s">
        <v>716</v>
      </c>
      <c r="B673" s="36">
        <v>3</v>
      </c>
      <c r="C673" s="36"/>
      <c r="D673" s="36">
        <v>78</v>
      </c>
      <c r="E673" s="36" t="str">
        <f>CONCATENATE('Смета ЕР (общ) '!$A673,".",'Смета ЕР (общ) '!$B673,".",'Смета ЕР (общ) '!$D673)</f>
        <v>Р5.3.78</v>
      </c>
      <c r="F673" s="36">
        <f t="shared" si="65"/>
        <v>1</v>
      </c>
      <c r="G673" s="36"/>
      <c r="H673" s="36"/>
      <c r="I673" s="36"/>
      <c r="J673" s="36"/>
      <c r="K673" s="36"/>
      <c r="L673" s="53" t="s">
        <v>719</v>
      </c>
      <c r="M673" s="38" t="s">
        <v>118</v>
      </c>
      <c r="N673" s="39"/>
      <c r="O673" s="40">
        <v>4284.5</v>
      </c>
      <c r="P673" s="44"/>
      <c r="Q673" s="40">
        <f t="shared" si="64"/>
        <v>4284.5</v>
      </c>
      <c r="R673" s="66">
        <f t="shared" si="66"/>
        <v>0</v>
      </c>
      <c r="S673" s="40">
        <f>ROUND('Смета ЕР (общ) '!$N673*'Смета ЕР (общ) '!$Q673,2)</f>
        <v>0</v>
      </c>
      <c r="T673" s="40">
        <f>ROUND('Смета ЕР (общ) '!$N673*'Смета ЕР (общ) '!$R673,2)</f>
        <v>0</v>
      </c>
      <c r="U673" s="67" t="s">
        <v>729</v>
      </c>
      <c r="V673" s="68"/>
    </row>
    <row r="674" spans="1:25" ht="24" x14ac:dyDescent="0.3">
      <c r="A674" s="36" t="s">
        <v>716</v>
      </c>
      <c r="B674" s="36">
        <v>3</v>
      </c>
      <c r="C674" s="36"/>
      <c r="D674" s="36">
        <v>79</v>
      </c>
      <c r="E674" s="36" t="str">
        <f>CONCATENATE('Смета ЕР (общ) '!$A674,".",'Смета ЕР (общ) '!$B674,".",'Смета ЕР (общ) '!$D674)</f>
        <v>Р5.3.79</v>
      </c>
      <c r="F674" s="36">
        <f t="shared" si="65"/>
        <v>1</v>
      </c>
      <c r="G674" s="36"/>
      <c r="H674" s="36"/>
      <c r="I674" s="36"/>
      <c r="J674" s="36"/>
      <c r="K674" s="36"/>
      <c r="L674" s="37" t="s">
        <v>739</v>
      </c>
      <c r="M674" s="38" t="s">
        <v>118</v>
      </c>
      <c r="N674" s="39"/>
      <c r="O674" s="40">
        <v>6688</v>
      </c>
      <c r="P674" s="40">
        <f>[1]Сантехника!J3+[1]Сантехника!J6</f>
        <v>10468.5</v>
      </c>
      <c r="Q674" s="40">
        <f t="shared" si="64"/>
        <v>6688</v>
      </c>
      <c r="R674" s="66">
        <f t="shared" si="66"/>
        <v>10468.5</v>
      </c>
      <c r="S674" s="40">
        <f>ROUND('Смета ЕР (общ) '!$N674*'Смета ЕР (общ) '!$Q674,2)</f>
        <v>0</v>
      </c>
      <c r="T674" s="40">
        <f>ROUND('Смета ЕР (общ) '!$N674*'Смета ЕР (общ) '!$R674,2)</f>
        <v>0</v>
      </c>
      <c r="U674" s="67" t="s">
        <v>729</v>
      </c>
      <c r="V674" s="68"/>
      <c r="Y674">
        <v>1</v>
      </c>
    </row>
    <row r="675" spans="1:25" ht="24" x14ac:dyDescent="0.3">
      <c r="A675" s="36" t="s">
        <v>716</v>
      </c>
      <c r="B675" s="36">
        <v>3</v>
      </c>
      <c r="C675" s="36"/>
      <c r="D675" s="36">
        <v>80</v>
      </c>
      <c r="E675" s="36" t="str">
        <f>CONCATENATE('Смета ЕР (общ) '!$A675,".",'Смета ЕР (общ) '!$B675,".",'Смета ЕР (общ) '!$D675)</f>
        <v>Р5.3.80</v>
      </c>
      <c r="F675" s="36">
        <f t="shared" si="65"/>
        <v>1</v>
      </c>
      <c r="G675" s="36"/>
      <c r="H675" s="36"/>
      <c r="I675" s="36"/>
      <c r="J675" s="36"/>
      <c r="K675" s="36"/>
      <c r="L675" s="37" t="s">
        <v>740</v>
      </c>
      <c r="M675" s="38" t="s">
        <v>118</v>
      </c>
      <c r="N675" s="39"/>
      <c r="O675" s="40">
        <v>1809.6</v>
      </c>
      <c r="P675" s="40">
        <f>[1]Сантехника!J5</f>
        <v>11445</v>
      </c>
      <c r="Q675" s="40">
        <f t="shared" si="64"/>
        <v>1809.6</v>
      </c>
      <c r="R675" s="66">
        <f t="shared" si="66"/>
        <v>11445</v>
      </c>
      <c r="S675" s="40">
        <f>ROUND('Смета ЕР (общ) '!$N675*'Смета ЕР (общ) '!$Q675,2)</f>
        <v>0</v>
      </c>
      <c r="T675" s="40">
        <f>ROUND('Смета ЕР (общ) '!$N675*'Смета ЕР (общ) '!$R675,2)</f>
        <v>0</v>
      </c>
      <c r="U675" s="67" t="s">
        <v>729</v>
      </c>
      <c r="V675" s="68"/>
      <c r="Y675">
        <v>1</v>
      </c>
    </row>
    <row r="676" spans="1:25" ht="24" x14ac:dyDescent="0.3">
      <c r="A676" s="36" t="s">
        <v>716</v>
      </c>
      <c r="B676" s="36">
        <v>3</v>
      </c>
      <c r="C676" s="36"/>
      <c r="D676" s="36">
        <v>81</v>
      </c>
      <c r="E676" s="36" t="str">
        <f>CONCATENATE('Смета ЕР (общ) '!$A676,".",'Смета ЕР (общ) '!$B676,".",'Смета ЕР (общ) '!$D676)</f>
        <v>Р5.3.81</v>
      </c>
      <c r="F676" s="36">
        <f t="shared" si="65"/>
        <v>1</v>
      </c>
      <c r="G676" s="36"/>
      <c r="H676" s="36"/>
      <c r="I676" s="36"/>
      <c r="J676" s="36"/>
      <c r="K676" s="36"/>
      <c r="L676" s="37" t="s">
        <v>741</v>
      </c>
      <c r="M676" s="38" t="s">
        <v>118</v>
      </c>
      <c r="N676" s="39"/>
      <c r="O676" s="40">
        <v>4186.88</v>
      </c>
      <c r="P676" s="40">
        <f>[1]Сантехника!J7</f>
        <v>13782.3</v>
      </c>
      <c r="Q676" s="40">
        <f t="shared" si="64"/>
        <v>4186.88</v>
      </c>
      <c r="R676" s="66">
        <f t="shared" si="66"/>
        <v>13782.3</v>
      </c>
      <c r="S676" s="40">
        <f>ROUND('Смета ЕР (общ) '!$N676*'Смета ЕР (общ) '!$Q676,2)</f>
        <v>0</v>
      </c>
      <c r="T676" s="40">
        <f>ROUND('Смета ЕР (общ) '!$N676*'Смета ЕР (общ) '!$R676,2)</f>
        <v>0</v>
      </c>
      <c r="U676" s="67" t="s">
        <v>729</v>
      </c>
      <c r="V676" s="68"/>
      <c r="Y676">
        <v>1</v>
      </c>
    </row>
    <row r="677" spans="1:25" s="139" customFormat="1" ht="14.4" x14ac:dyDescent="0.3">
      <c r="A677" s="36" t="s">
        <v>716</v>
      </c>
      <c r="B677" s="36">
        <v>3</v>
      </c>
      <c r="C677" s="36"/>
      <c r="D677" s="36">
        <v>82</v>
      </c>
      <c r="E677" s="36" t="str">
        <f>CONCATENATE('Смета ЕР (общ) '!$A677,".",'Смета ЕР (общ) '!$B677,".",'Смета ЕР (общ) '!$D677)</f>
        <v>Р5.3.82</v>
      </c>
      <c r="F677" s="36">
        <f t="shared" si="65"/>
        <v>1</v>
      </c>
      <c r="G677" s="36"/>
      <c r="H677" s="36"/>
      <c r="I677" s="36"/>
      <c r="J677" s="36"/>
      <c r="K677" s="36"/>
      <c r="L677" s="37" t="s">
        <v>742</v>
      </c>
      <c r="M677" s="38" t="s">
        <v>118</v>
      </c>
      <c r="N677" s="39"/>
      <c r="O677" s="40">
        <v>1809.6</v>
      </c>
      <c r="P677" s="40">
        <f>[1]Сантехника!J8</f>
        <v>12117</v>
      </c>
      <c r="Q677" s="40">
        <f t="shared" si="64"/>
        <v>1809.6</v>
      </c>
      <c r="R677" s="66">
        <f t="shared" si="66"/>
        <v>12117</v>
      </c>
      <c r="S677" s="40">
        <f>ROUND('Смета ЕР (общ) '!$N677*'Смета ЕР (общ) '!$Q677,2)</f>
        <v>0</v>
      </c>
      <c r="T677" s="40">
        <f>ROUND('Смета ЕР (общ) '!$N677*'Смета ЕР (общ) '!$R677,2)</f>
        <v>0</v>
      </c>
      <c r="U677" s="67" t="s">
        <v>729</v>
      </c>
      <c r="V677" s="68"/>
      <c r="W677"/>
      <c r="Y677" s="139">
        <v>1</v>
      </c>
    </row>
    <row r="678" spans="1:25" ht="24" x14ac:dyDescent="0.3">
      <c r="A678" s="36" t="s">
        <v>716</v>
      </c>
      <c r="B678" s="36">
        <v>3</v>
      </c>
      <c r="C678" s="36"/>
      <c r="D678" s="36">
        <v>83</v>
      </c>
      <c r="E678" s="36" t="str">
        <f>CONCATENATE('Смета ЕР (общ) '!$A678,".",'Смета ЕР (общ) '!$B678,".",'Смета ЕР (общ) '!$D678)</f>
        <v>Р5.3.83</v>
      </c>
      <c r="F678" s="36">
        <f t="shared" si="65"/>
        <v>1</v>
      </c>
      <c r="G678" s="36"/>
      <c r="H678" s="36"/>
      <c r="I678" s="36"/>
      <c r="J678" s="36"/>
      <c r="K678" s="36"/>
      <c r="L678" s="37" t="s">
        <v>743</v>
      </c>
      <c r="M678" s="38" t="s">
        <v>118</v>
      </c>
      <c r="N678" s="39"/>
      <c r="O678" s="40">
        <v>2035.8</v>
      </c>
      <c r="P678" s="44"/>
      <c r="Q678" s="40">
        <f t="shared" si="64"/>
        <v>2035.8</v>
      </c>
      <c r="R678" s="66">
        <f t="shared" si="66"/>
        <v>0</v>
      </c>
      <c r="S678" s="40">
        <f>ROUND('Смета ЕР (общ) '!$N678*'Смета ЕР (общ) '!$Q678,2)</f>
        <v>0</v>
      </c>
      <c r="T678" s="40">
        <f>ROUND('Смета ЕР (общ) '!$N678*'Смета ЕР (общ) '!$R678,2)</f>
        <v>0</v>
      </c>
      <c r="U678" s="67" t="s">
        <v>729</v>
      </c>
      <c r="V678" s="68"/>
      <c r="Y678">
        <v>1</v>
      </c>
    </row>
    <row r="679" spans="1:25" ht="14.4" x14ac:dyDescent="0.3">
      <c r="A679" s="36" t="s">
        <v>716</v>
      </c>
      <c r="B679" s="36">
        <v>3</v>
      </c>
      <c r="C679" s="36"/>
      <c r="D679" s="36">
        <v>94</v>
      </c>
      <c r="E679" s="36" t="str">
        <f>CONCATENATE('Смета ЕР (общ) '!$A679,".",'Смета ЕР (общ) '!$B679,".",'Смета ЕР (общ) '!$D679)</f>
        <v>Р5.3.94</v>
      </c>
      <c r="F679" s="36">
        <f t="shared" si="65"/>
        <v>1</v>
      </c>
      <c r="G679" s="36"/>
      <c r="H679" s="36"/>
      <c r="I679" s="36"/>
      <c r="J679" s="36"/>
      <c r="K679" s="36"/>
      <c r="L679" s="37" t="s">
        <v>744</v>
      </c>
      <c r="M679" s="38" t="s">
        <v>118</v>
      </c>
      <c r="N679" s="39"/>
      <c r="O679" s="62">
        <v>1809.6</v>
      </c>
      <c r="P679" s="40">
        <f>[1]Сантехника!J30</f>
        <v>15498</v>
      </c>
      <c r="Q679" s="40">
        <f t="shared" ref="Q679:R694" si="67">ROUND(O679-O679*$V$3,2)</f>
        <v>1809.6</v>
      </c>
      <c r="R679" s="66">
        <f t="shared" si="66"/>
        <v>15498</v>
      </c>
      <c r="S679" s="40">
        <f>ROUND('Смета ЕР (общ) '!$N679*'Смета ЕР (общ) '!$Q679,2)</f>
        <v>0</v>
      </c>
      <c r="T679" s="40">
        <f>ROUND('Смета ЕР (общ) '!$N679*'Смета ЕР (общ) '!$R679,2)</f>
        <v>0</v>
      </c>
      <c r="U679" s="67" t="s">
        <v>729</v>
      </c>
      <c r="V679" s="68"/>
    </row>
    <row r="680" spans="1:25" ht="24" x14ac:dyDescent="0.3">
      <c r="A680" s="36" t="s">
        <v>716</v>
      </c>
      <c r="B680" s="36">
        <v>3</v>
      </c>
      <c r="C680" s="36"/>
      <c r="D680" s="36">
        <v>95</v>
      </c>
      <c r="E680" s="36" t="str">
        <f>CONCATENATE('Смета ЕР (общ) '!$A680,".",'Смета ЕР (общ) '!$B680,".",'Смета ЕР (общ) '!$D680)</f>
        <v>Р5.3.95</v>
      </c>
      <c r="F680" s="36">
        <f t="shared" si="65"/>
        <v>1</v>
      </c>
      <c r="G680" s="36"/>
      <c r="H680" s="36"/>
      <c r="I680" s="36"/>
      <c r="J680" s="36"/>
      <c r="K680" s="36"/>
      <c r="L680" s="37" t="s">
        <v>745</v>
      </c>
      <c r="M680" s="38" t="s">
        <v>118</v>
      </c>
      <c r="N680" s="39"/>
      <c r="O680" s="40">
        <v>4186.88</v>
      </c>
      <c r="P680" s="40">
        <f>[1]Сантехника!J10</f>
        <v>20359.5</v>
      </c>
      <c r="Q680" s="40">
        <f t="shared" si="67"/>
        <v>4186.88</v>
      </c>
      <c r="R680" s="66">
        <f t="shared" si="66"/>
        <v>20359.5</v>
      </c>
      <c r="S680" s="40">
        <f>ROUND('Смета ЕР (общ) '!$N680*'Смета ЕР (общ) '!$Q680,2)</f>
        <v>0</v>
      </c>
      <c r="T680" s="40">
        <f>ROUND('Смета ЕР (общ) '!$N680*'Смета ЕР (общ) '!$R680,2)</f>
        <v>0</v>
      </c>
      <c r="U680" s="67" t="s">
        <v>729</v>
      </c>
      <c r="V680" s="68"/>
    </row>
    <row r="681" spans="1:25" ht="14.4" x14ac:dyDescent="0.3">
      <c r="A681" s="36" t="s">
        <v>716</v>
      </c>
      <c r="B681" s="36">
        <v>3</v>
      </c>
      <c r="C681" s="36"/>
      <c r="D681" s="36">
        <v>96</v>
      </c>
      <c r="E681" s="36" t="str">
        <f>CONCATENATE('Смета ЕР (общ) '!$A681,".",'Смета ЕР (общ) '!$B681,".",'Смета ЕР (общ) '!$D681)</f>
        <v>Р5.3.96</v>
      </c>
      <c r="F681" s="36">
        <f t="shared" si="65"/>
        <v>1</v>
      </c>
      <c r="G681" s="36"/>
      <c r="H681" s="36"/>
      <c r="I681" s="36"/>
      <c r="J681" s="36"/>
      <c r="K681" s="36"/>
      <c r="L681" s="37" t="s">
        <v>746</v>
      </c>
      <c r="M681" s="38" t="s">
        <v>118</v>
      </c>
      <c r="N681" s="39"/>
      <c r="O681" s="62">
        <v>1809.6</v>
      </c>
      <c r="P681" s="40">
        <f>[1]Сантехника!J11</f>
        <v>15634.5</v>
      </c>
      <c r="Q681" s="40">
        <f t="shared" si="67"/>
        <v>1809.6</v>
      </c>
      <c r="R681" s="66">
        <f t="shared" si="66"/>
        <v>15634.5</v>
      </c>
      <c r="S681" s="40">
        <f>ROUND('Смета ЕР (общ) '!$N681*'Смета ЕР (общ) '!$Q681,2)</f>
        <v>0</v>
      </c>
      <c r="T681" s="40">
        <f>ROUND('Смета ЕР (общ) '!$N681*'Смета ЕР (общ) '!$R681,2)</f>
        <v>0</v>
      </c>
      <c r="U681" s="67" t="s">
        <v>729</v>
      </c>
      <c r="V681" s="68"/>
    </row>
    <row r="682" spans="1:25" ht="14.4" x14ac:dyDescent="0.3">
      <c r="A682" s="36" t="s">
        <v>716</v>
      </c>
      <c r="B682" s="36">
        <v>3</v>
      </c>
      <c r="C682" s="36"/>
      <c r="D682" s="36">
        <v>3</v>
      </c>
      <c r="E682" s="36" t="str">
        <f>CONCATENATE('Смета ЕР (общ) '!$A682,".",'Смета ЕР (общ) '!$B682,".",'Смета ЕР (общ) '!$D682)</f>
        <v>Р5.3.3</v>
      </c>
      <c r="F682" s="36">
        <f t="shared" si="65"/>
        <v>1</v>
      </c>
      <c r="G682" s="36"/>
      <c r="H682" s="36"/>
      <c r="I682" s="36"/>
      <c r="J682" s="36"/>
      <c r="K682" s="36"/>
      <c r="L682" s="53" t="s">
        <v>747</v>
      </c>
      <c r="M682" s="38" t="s">
        <v>118</v>
      </c>
      <c r="N682" s="39"/>
      <c r="O682" s="40">
        <v>6688</v>
      </c>
      <c r="P682" s="40">
        <v>6806.93</v>
      </c>
      <c r="Q682" s="40">
        <f t="shared" si="67"/>
        <v>6688</v>
      </c>
      <c r="R682" s="40">
        <f t="shared" si="67"/>
        <v>6806.93</v>
      </c>
      <c r="S682" s="40">
        <f>ROUND('Смета ЕР (общ) '!$N682*'Смета ЕР (общ) '!$Q682,2)</f>
        <v>0</v>
      </c>
      <c r="T682" s="40">
        <f>ROUND('Смета ЕР (общ) '!$N682*'Смета ЕР (общ) '!$R682,2)</f>
        <v>0</v>
      </c>
    </row>
    <row r="683" spans="1:25" ht="24" x14ac:dyDescent="0.3">
      <c r="A683" s="36" t="s">
        <v>716</v>
      </c>
      <c r="B683" s="36">
        <v>3</v>
      </c>
      <c r="C683" s="36"/>
      <c r="D683" s="36">
        <v>65</v>
      </c>
      <c r="E683" s="36" t="str">
        <f>CONCATENATE('Смета ЕР (общ) '!$A683,".",'Смета ЕР (общ) '!$B683,".",'Смета ЕР (общ) '!$D683)</f>
        <v>Р5.3.65</v>
      </c>
      <c r="F683" s="36">
        <f t="shared" si="65"/>
        <v>1</v>
      </c>
      <c r="G683" s="36"/>
      <c r="H683" s="36"/>
      <c r="I683" s="36"/>
      <c r="J683" s="36"/>
      <c r="K683" s="36"/>
      <c r="L683" s="37" t="s">
        <v>748</v>
      </c>
      <c r="M683" s="38" t="s">
        <v>118</v>
      </c>
      <c r="N683" s="39"/>
      <c r="O683" s="40">
        <v>2239.38</v>
      </c>
      <c r="P683" s="40">
        <v>26219.43</v>
      </c>
      <c r="Q683" s="40">
        <f t="shared" si="67"/>
        <v>2239.38</v>
      </c>
      <c r="R683" s="40">
        <f t="shared" si="67"/>
        <v>26219.43</v>
      </c>
      <c r="S683" s="40">
        <f>ROUND('Смета ЕР (общ) '!$N683*'Смета ЕР (общ) '!$Q683,2)</f>
        <v>0</v>
      </c>
      <c r="T683" s="40">
        <f>ROUND('Смета ЕР (общ) '!$N683*'Смета ЕР (общ) '!$R683,2)</f>
        <v>0</v>
      </c>
    </row>
    <row r="684" spans="1:25" ht="24" x14ac:dyDescent="0.3">
      <c r="A684" s="36" t="s">
        <v>716</v>
      </c>
      <c r="B684" s="36">
        <v>3</v>
      </c>
      <c r="C684" s="36"/>
      <c r="D684" s="36">
        <v>66</v>
      </c>
      <c r="E684" s="36" t="str">
        <f>CONCATENATE('Смета ЕР (общ) '!$A684,".",'Смета ЕР (общ) '!$B684,".",'Смета ЕР (общ) '!$D684)</f>
        <v>Р5.3.66</v>
      </c>
      <c r="F684" s="36">
        <f t="shared" si="65"/>
        <v>1</v>
      </c>
      <c r="G684" s="36"/>
      <c r="H684" s="36"/>
      <c r="I684" s="36"/>
      <c r="J684" s="36"/>
      <c r="K684" s="36"/>
      <c r="L684" s="37" t="s">
        <v>749</v>
      </c>
      <c r="M684" s="38" t="s">
        <v>118</v>
      </c>
      <c r="N684" s="39"/>
      <c r="O684" s="40">
        <v>2239.38</v>
      </c>
      <c r="P684" s="40">
        <v>12296.84</v>
      </c>
      <c r="Q684" s="40">
        <f t="shared" si="67"/>
        <v>2239.38</v>
      </c>
      <c r="R684" s="40">
        <f t="shared" si="67"/>
        <v>12296.84</v>
      </c>
      <c r="S684" s="40">
        <f>ROUND('Смета ЕР (общ) '!$N684*'Смета ЕР (общ) '!$Q684,2)</f>
        <v>0</v>
      </c>
      <c r="T684" s="40">
        <f>ROUND('Смета ЕР (общ) '!$N684*'Смета ЕР (общ) '!$R684,2)</f>
        <v>0</v>
      </c>
    </row>
    <row r="685" spans="1:25" ht="24" x14ac:dyDescent="0.3">
      <c r="A685" s="36" t="s">
        <v>716</v>
      </c>
      <c r="B685" s="36">
        <v>3</v>
      </c>
      <c r="C685" s="36"/>
      <c r="D685" s="36">
        <v>67</v>
      </c>
      <c r="E685" s="36" t="str">
        <f>CONCATENATE('Смета ЕР (общ) '!$A685,".",'Смета ЕР (общ) '!$B685,".",'Смета ЕР (общ) '!$D685)</f>
        <v>Р5.3.67</v>
      </c>
      <c r="F685" s="36">
        <f t="shared" si="65"/>
        <v>1</v>
      </c>
      <c r="G685" s="36"/>
      <c r="H685" s="36"/>
      <c r="I685" s="36"/>
      <c r="J685" s="36"/>
      <c r="K685" s="36"/>
      <c r="L685" s="37" t="s">
        <v>750</v>
      </c>
      <c r="M685" s="38" t="s">
        <v>118</v>
      </c>
      <c r="N685" s="39"/>
      <c r="O685" s="40">
        <v>1809.6</v>
      </c>
      <c r="P685" s="40">
        <v>2457.7600000000002</v>
      </c>
      <c r="Q685" s="40">
        <f t="shared" si="67"/>
        <v>1809.6</v>
      </c>
      <c r="R685" s="40">
        <f t="shared" si="67"/>
        <v>2457.7600000000002</v>
      </c>
      <c r="S685" s="40">
        <f>ROUND('Смета ЕР (общ) '!$N685*'Смета ЕР (общ) '!$Q685,2)</f>
        <v>0</v>
      </c>
      <c r="T685" s="40">
        <f>ROUND('Смета ЕР (общ) '!$N685*'Смета ЕР (общ) '!$R685,2)</f>
        <v>0</v>
      </c>
    </row>
    <row r="686" spans="1:25" ht="14.4" x14ac:dyDescent="0.3">
      <c r="A686" s="36" t="s">
        <v>716</v>
      </c>
      <c r="B686" s="36">
        <v>3</v>
      </c>
      <c r="C686" s="36"/>
      <c r="D686" s="36">
        <v>5</v>
      </c>
      <c r="E686" s="36" t="str">
        <f>CONCATENATE('Смета ЕР (общ) '!$A686,".",'Смета ЕР (общ) '!$B686,".",'Смета ЕР (общ) '!$D686)</f>
        <v>Р5.3.5</v>
      </c>
      <c r="F686" s="36">
        <f t="shared" si="65"/>
        <v>1</v>
      </c>
      <c r="G686" s="36"/>
      <c r="H686" s="36"/>
      <c r="I686" s="36"/>
      <c r="J686" s="36"/>
      <c r="K686" s="36"/>
      <c r="L686" s="53" t="s">
        <v>751</v>
      </c>
      <c r="M686" s="38" t="s">
        <v>118</v>
      </c>
      <c r="N686" s="39"/>
      <c r="O686" s="40">
        <v>1809.6</v>
      </c>
      <c r="P686" s="40">
        <v>12102.87</v>
      </c>
      <c r="Q686" s="40">
        <f t="shared" si="67"/>
        <v>1809.6</v>
      </c>
      <c r="R686" s="40">
        <f t="shared" si="67"/>
        <v>12102.87</v>
      </c>
      <c r="S686" s="40">
        <f>ROUND('Смета ЕР (общ) '!$N686*'Смета ЕР (общ) '!$Q686,2)</f>
        <v>0</v>
      </c>
      <c r="T686" s="40">
        <f>ROUND('Смета ЕР (общ) '!$N686*'Смета ЕР (общ) '!$R686,2)</f>
        <v>0</v>
      </c>
    </row>
    <row r="687" spans="1:25" ht="14.4" x14ac:dyDescent="0.3">
      <c r="A687" s="36" t="s">
        <v>716</v>
      </c>
      <c r="B687" s="36">
        <v>3</v>
      </c>
      <c r="C687" s="36"/>
      <c r="D687" s="36">
        <v>6</v>
      </c>
      <c r="E687" s="36" t="str">
        <f>CONCATENATE('Смета ЕР (общ) '!$A687,".",'Смета ЕР (общ) '!$B687,".",'Смета ЕР (общ) '!$D687)</f>
        <v>Р5.3.6</v>
      </c>
      <c r="F687" s="36">
        <f t="shared" si="65"/>
        <v>1</v>
      </c>
      <c r="G687" s="36"/>
      <c r="H687" s="36"/>
      <c r="I687" s="36"/>
      <c r="J687" s="36"/>
      <c r="K687" s="36"/>
      <c r="L687" s="53" t="s">
        <v>752</v>
      </c>
      <c r="M687" s="38" t="s">
        <v>118</v>
      </c>
      <c r="N687" s="39"/>
      <c r="O687" s="40">
        <v>1809.6</v>
      </c>
      <c r="P687" s="40">
        <v>5588.18</v>
      </c>
      <c r="Q687" s="40">
        <f t="shared" si="67"/>
        <v>1809.6</v>
      </c>
      <c r="R687" s="40">
        <f t="shared" si="67"/>
        <v>5588.18</v>
      </c>
      <c r="S687" s="40">
        <f>ROUND('Смета ЕР (общ) '!$N687*'Смета ЕР (общ) '!$Q687,2)</f>
        <v>0</v>
      </c>
      <c r="T687" s="40">
        <f>ROUND('Смета ЕР (общ) '!$N687*'Смета ЕР (общ) '!$R687,2)</f>
        <v>0</v>
      </c>
    </row>
    <row r="688" spans="1:25" ht="36" x14ac:dyDescent="0.3">
      <c r="A688" s="36" t="s">
        <v>716</v>
      </c>
      <c r="B688" s="36">
        <v>3</v>
      </c>
      <c r="C688" s="36"/>
      <c r="D688" s="36">
        <v>7</v>
      </c>
      <c r="E688" s="36" t="str">
        <f>CONCATENATE('Смета ЕР (общ) '!$A688,".",'Смета ЕР (общ) '!$B688,".",'Смета ЕР (общ) '!$D688)</f>
        <v>Р5.3.7</v>
      </c>
      <c r="F688" s="36">
        <f t="shared" si="65"/>
        <v>1</v>
      </c>
      <c r="G688" s="36"/>
      <c r="H688" s="36"/>
      <c r="I688" s="36"/>
      <c r="J688" s="36"/>
      <c r="K688" s="36"/>
      <c r="L688" s="53" t="s">
        <v>753</v>
      </c>
      <c r="M688" s="38" t="s">
        <v>64</v>
      </c>
      <c r="N688" s="39"/>
      <c r="O688" s="40">
        <v>7419.36</v>
      </c>
      <c r="P688" s="40">
        <v>17171.41</v>
      </c>
      <c r="Q688" s="40">
        <f t="shared" si="67"/>
        <v>7419.36</v>
      </c>
      <c r="R688" s="40">
        <f t="shared" si="67"/>
        <v>17171.41</v>
      </c>
      <c r="S688" s="40">
        <f>ROUND('Смета ЕР (общ) '!$N688*'Смета ЕР (общ) '!$Q688,2)</f>
        <v>0</v>
      </c>
      <c r="T688" s="40">
        <f>ROUND('Смета ЕР (общ) '!$N688*'Смета ЕР (общ) '!$R688,2)</f>
        <v>0</v>
      </c>
      <c r="Y688">
        <v>1</v>
      </c>
    </row>
    <row r="689" spans="1:25" ht="24" x14ac:dyDescent="0.3">
      <c r="A689" s="36" t="s">
        <v>716</v>
      </c>
      <c r="B689" s="36">
        <v>3</v>
      </c>
      <c r="C689" s="36"/>
      <c r="D689" s="36">
        <v>84</v>
      </c>
      <c r="E689" s="36" t="str">
        <f>CONCATENATE('Смета ЕР (общ) '!$A689,".",'Смета ЕР (общ) '!$B689,".",'Смета ЕР (общ) '!$D689)</f>
        <v>Р5.3.84</v>
      </c>
      <c r="F689" s="36">
        <f t="shared" si="65"/>
        <v>1</v>
      </c>
      <c r="G689" s="36"/>
      <c r="H689" s="36"/>
      <c r="I689" s="36"/>
      <c r="J689" s="36"/>
      <c r="K689" s="36"/>
      <c r="L689" s="37" t="s">
        <v>754</v>
      </c>
      <c r="M689" s="38" t="s">
        <v>147</v>
      </c>
      <c r="N689" s="39"/>
      <c r="O689" s="40">
        <v>551.22</v>
      </c>
      <c r="P689" s="40">
        <v>264.14999999999998</v>
      </c>
      <c r="Q689" s="40">
        <f t="shared" si="67"/>
        <v>551.22</v>
      </c>
      <c r="R689" s="40">
        <f t="shared" si="67"/>
        <v>264.14999999999998</v>
      </c>
      <c r="S689" s="40">
        <f>ROUND('Смета ЕР (общ) '!$N689*'Смета ЕР (общ) '!$Q689,2)</f>
        <v>0</v>
      </c>
      <c r="T689" s="40">
        <f>ROUND('Смета ЕР (общ) '!$N689*'Смета ЕР (общ) '!$R689,2)</f>
        <v>0</v>
      </c>
      <c r="V689"/>
    </row>
    <row r="690" spans="1:25" ht="24" x14ac:dyDescent="0.3">
      <c r="A690" s="36" t="s">
        <v>716</v>
      </c>
      <c r="B690" s="36">
        <v>3</v>
      </c>
      <c r="C690" s="36"/>
      <c r="D690" s="36">
        <v>85</v>
      </c>
      <c r="E690" s="36" t="str">
        <f>CONCATENATE('Смета ЕР (общ) '!$A690,".",'Смета ЕР (общ) '!$B690,".",'Смета ЕР (общ) '!$D690)</f>
        <v>Р5.3.85</v>
      </c>
      <c r="F690" s="36">
        <f t="shared" si="65"/>
        <v>1</v>
      </c>
      <c r="G690" s="36"/>
      <c r="H690" s="36"/>
      <c r="I690" s="36"/>
      <c r="J690" s="36"/>
      <c r="K690" s="36"/>
      <c r="L690" s="37" t="s">
        <v>755</v>
      </c>
      <c r="M690" s="38" t="s">
        <v>147</v>
      </c>
      <c r="N690" s="39"/>
      <c r="O690" s="40">
        <v>551.22</v>
      </c>
      <c r="P690" s="40">
        <v>203.19</v>
      </c>
      <c r="Q690" s="40">
        <f t="shared" si="67"/>
        <v>551.22</v>
      </c>
      <c r="R690" s="40">
        <f t="shared" si="67"/>
        <v>203.19</v>
      </c>
      <c r="S690" s="40">
        <f>ROUND('Смета ЕР (общ) '!$N690*'Смета ЕР (общ) '!$Q690,2)</f>
        <v>0</v>
      </c>
      <c r="T690" s="40">
        <f>ROUND('Смета ЕР (общ) '!$N690*'Смета ЕР (общ) '!$R690,2)</f>
        <v>0</v>
      </c>
      <c r="V690"/>
    </row>
    <row r="691" spans="1:25" ht="24" x14ac:dyDescent="0.3">
      <c r="A691" s="36" t="s">
        <v>716</v>
      </c>
      <c r="B691" s="36">
        <v>3</v>
      </c>
      <c r="C691" s="36"/>
      <c r="D691" s="36">
        <v>8</v>
      </c>
      <c r="E691" s="36" t="str">
        <f>CONCATENATE('Смета ЕР (общ) '!$A691,".",'Смета ЕР (общ) '!$B691,".",'Смета ЕР (общ) '!$D691)</f>
        <v>Р5.3.8</v>
      </c>
      <c r="F691" s="36">
        <f t="shared" si="65"/>
        <v>1</v>
      </c>
      <c r="G691" s="36"/>
      <c r="H691" s="36"/>
      <c r="I691" s="36"/>
      <c r="J691" s="36"/>
      <c r="K691" s="36"/>
      <c r="L691" s="37" t="s">
        <v>756</v>
      </c>
      <c r="M691" s="38" t="s">
        <v>147</v>
      </c>
      <c r="N691" s="39"/>
      <c r="O691" s="40">
        <v>551.22</v>
      </c>
      <c r="P691" s="40">
        <v>156.30000000000001</v>
      </c>
      <c r="Q691" s="40">
        <f t="shared" si="67"/>
        <v>551.22</v>
      </c>
      <c r="R691" s="40">
        <f t="shared" si="67"/>
        <v>156.30000000000001</v>
      </c>
      <c r="S691" s="40">
        <f>ROUND('Смета ЕР (общ) '!$N691*'Смета ЕР (общ) '!$Q691,2)</f>
        <v>0</v>
      </c>
      <c r="T691" s="40">
        <f>ROUND('Смета ЕР (общ) '!$N691*'Смета ЕР (общ) '!$R691,2)</f>
        <v>0</v>
      </c>
    </row>
    <row r="692" spans="1:25" ht="14.4" x14ac:dyDescent="0.3">
      <c r="A692" s="36" t="s">
        <v>716</v>
      </c>
      <c r="B692" s="36">
        <v>3</v>
      </c>
      <c r="C692" s="36"/>
      <c r="D692" s="36">
        <v>9</v>
      </c>
      <c r="E692" s="36" t="str">
        <f>CONCATENATE('Смета ЕР (общ) '!$A692,".",'Смета ЕР (общ) '!$B692,".",'Смета ЕР (общ) '!$D692)</f>
        <v>Р5.3.9</v>
      </c>
      <c r="F692" s="36">
        <f t="shared" si="65"/>
        <v>1</v>
      </c>
      <c r="G692" s="36"/>
      <c r="H692" s="36"/>
      <c r="I692" s="36"/>
      <c r="J692" s="36"/>
      <c r="K692" s="36"/>
      <c r="L692" s="37" t="s">
        <v>757</v>
      </c>
      <c r="M692" s="38" t="s">
        <v>118</v>
      </c>
      <c r="N692" s="39"/>
      <c r="O692" s="40">
        <v>886.23</v>
      </c>
      <c r="P692" s="40">
        <v>1134.08</v>
      </c>
      <c r="Q692" s="40">
        <f t="shared" si="67"/>
        <v>886.23</v>
      </c>
      <c r="R692" s="40">
        <f t="shared" si="67"/>
        <v>1134.08</v>
      </c>
      <c r="S692" s="40">
        <f>ROUND('Смета ЕР (общ) '!$N692*'Смета ЕР (общ) '!$Q692,2)</f>
        <v>0</v>
      </c>
      <c r="T692" s="40">
        <f>ROUND('Смета ЕР (общ) '!$N692*'Смета ЕР (общ) '!$R692,2)</f>
        <v>0</v>
      </c>
      <c r="Y692">
        <v>6</v>
      </c>
    </row>
    <row r="693" spans="1:25" ht="14.4" x14ac:dyDescent="0.3">
      <c r="A693" s="36" t="s">
        <v>716</v>
      </c>
      <c r="B693" s="36">
        <v>3</v>
      </c>
      <c r="C693" s="36"/>
      <c r="D693" s="36">
        <v>10</v>
      </c>
      <c r="E693" s="36" t="str">
        <f>CONCATENATE('Смета ЕР (общ) '!$A693,".",'Смета ЕР (общ) '!$B693,".",'Смета ЕР (общ) '!$D693)</f>
        <v>Р5.3.10</v>
      </c>
      <c r="F693" s="36">
        <f t="shared" si="65"/>
        <v>1</v>
      </c>
      <c r="G693" s="36"/>
      <c r="H693" s="36"/>
      <c r="I693" s="36"/>
      <c r="J693" s="36"/>
      <c r="K693" s="36"/>
      <c r="L693" s="53" t="s">
        <v>758</v>
      </c>
      <c r="M693" s="38" t="s">
        <v>118</v>
      </c>
      <c r="N693" s="39"/>
      <c r="O693" s="40">
        <v>886.23</v>
      </c>
      <c r="P693" s="40">
        <v>1685.36</v>
      </c>
      <c r="Q693" s="40">
        <f t="shared" si="67"/>
        <v>886.23</v>
      </c>
      <c r="R693" s="40">
        <f t="shared" si="67"/>
        <v>1685.36</v>
      </c>
      <c r="S693" s="40">
        <f>ROUND('Смета ЕР (общ) '!$N693*'Смета ЕР (общ) '!$Q693,2)</f>
        <v>0</v>
      </c>
      <c r="T693" s="40">
        <f>ROUND('Смета ЕР (общ) '!$N693*'Смета ЕР (общ) '!$R693,2)</f>
        <v>0</v>
      </c>
      <c r="Y693">
        <v>2</v>
      </c>
    </row>
    <row r="694" spans="1:25" ht="14.4" x14ac:dyDescent="0.3">
      <c r="A694" s="36" t="s">
        <v>716</v>
      </c>
      <c r="B694" s="36">
        <v>3</v>
      </c>
      <c r="C694" s="36"/>
      <c r="D694" s="36">
        <v>86</v>
      </c>
      <c r="E694" s="36" t="str">
        <f>CONCATENATE('Смета ЕР (общ) '!$A694,".",'Смета ЕР (общ) '!$B694,".",'Смета ЕР (общ) '!$D694)</f>
        <v>Р5.3.86</v>
      </c>
      <c r="F694" s="36">
        <f t="shared" si="65"/>
        <v>1</v>
      </c>
      <c r="G694" s="36"/>
      <c r="H694" s="36"/>
      <c r="I694" s="36"/>
      <c r="J694" s="36"/>
      <c r="K694" s="36"/>
      <c r="L694" s="53" t="s">
        <v>759</v>
      </c>
      <c r="M694" s="38" t="s">
        <v>118</v>
      </c>
      <c r="N694" s="39"/>
      <c r="O694" s="40">
        <v>886.23</v>
      </c>
      <c r="P694" s="40">
        <v>1976.32</v>
      </c>
      <c r="Q694" s="40">
        <f t="shared" si="67"/>
        <v>886.23</v>
      </c>
      <c r="R694" s="40">
        <f t="shared" si="67"/>
        <v>1976.32</v>
      </c>
      <c r="S694" s="40">
        <f>ROUND('Смета ЕР (общ) '!$N694*'Смета ЕР (общ) '!$Q694,2)</f>
        <v>0</v>
      </c>
      <c r="T694" s="40">
        <f>ROUND('Смета ЕР (общ) '!$N694*'Смета ЕР (общ) '!$R694,2)</f>
        <v>0</v>
      </c>
      <c r="V694"/>
    </row>
    <row r="695" spans="1:25" ht="14.4" x14ac:dyDescent="0.3">
      <c r="A695" s="36" t="s">
        <v>716</v>
      </c>
      <c r="B695" s="36">
        <v>3</v>
      </c>
      <c r="C695" s="36"/>
      <c r="D695" s="36">
        <v>87</v>
      </c>
      <c r="E695" s="36" t="str">
        <f>CONCATENATE('Смета ЕР (общ) '!$A695,".",'Смета ЕР (общ) '!$B695,".",'Смета ЕР (общ) '!$D695)</f>
        <v>Р5.3.87</v>
      </c>
      <c r="F695" s="36">
        <f t="shared" si="65"/>
        <v>1</v>
      </c>
      <c r="G695" s="36"/>
      <c r="H695" s="36"/>
      <c r="I695" s="36"/>
      <c r="J695" s="36"/>
      <c r="K695" s="36"/>
      <c r="L695" s="53" t="s">
        <v>760</v>
      </c>
      <c r="M695" s="38" t="s">
        <v>118</v>
      </c>
      <c r="N695" s="39"/>
      <c r="O695" s="40">
        <v>886.23</v>
      </c>
      <c r="P695" s="40">
        <v>2224.6799999999998</v>
      </c>
      <c r="Q695" s="40">
        <f t="shared" ref="Q695:R710" si="68">ROUND(O695-O695*$V$3,2)</f>
        <v>886.23</v>
      </c>
      <c r="R695" s="40">
        <f t="shared" si="68"/>
        <v>2224.6799999999998</v>
      </c>
      <c r="S695" s="40">
        <f>ROUND('Смета ЕР (общ) '!$N695*'Смета ЕР (общ) '!$Q695,2)</f>
        <v>0</v>
      </c>
      <c r="T695" s="40">
        <f>ROUND('Смета ЕР (общ) '!$N695*'Смета ЕР (общ) '!$R695,2)</f>
        <v>0</v>
      </c>
      <c r="V695"/>
    </row>
    <row r="696" spans="1:25" ht="14.4" x14ac:dyDescent="0.3">
      <c r="A696" s="36" t="s">
        <v>716</v>
      </c>
      <c r="B696" s="36">
        <v>3</v>
      </c>
      <c r="C696" s="36"/>
      <c r="D696" s="36">
        <v>11</v>
      </c>
      <c r="E696" s="36" t="str">
        <f>CONCATENATE('Смета ЕР (общ) '!$A696,".",'Смета ЕР (общ) '!$B696,".",'Смета ЕР (общ) '!$D696)</f>
        <v>Р5.3.11</v>
      </c>
      <c r="F696" s="36">
        <f t="shared" si="65"/>
        <v>1</v>
      </c>
      <c r="G696" s="36"/>
      <c r="H696" s="36"/>
      <c r="I696" s="36"/>
      <c r="J696" s="36"/>
      <c r="K696" s="36"/>
      <c r="L696" s="53" t="s">
        <v>761</v>
      </c>
      <c r="M696" s="38" t="s">
        <v>118</v>
      </c>
      <c r="N696" s="39"/>
      <c r="O696" s="40">
        <v>886.23</v>
      </c>
      <c r="P696" s="40">
        <v>4366.92</v>
      </c>
      <c r="Q696" s="40">
        <f t="shared" si="68"/>
        <v>886.23</v>
      </c>
      <c r="R696" s="40">
        <f t="shared" si="68"/>
        <v>4366.92</v>
      </c>
      <c r="S696" s="40">
        <f>ROUND('Смета ЕР (общ) '!$N696*'Смета ЕР (общ) '!$Q696,2)</f>
        <v>0</v>
      </c>
      <c r="T696" s="40">
        <f>ROUND('Смета ЕР (общ) '!$N696*'Смета ЕР (общ) '!$R696,2)</f>
        <v>0</v>
      </c>
    </row>
    <row r="697" spans="1:25" ht="14.4" x14ac:dyDescent="0.3">
      <c r="A697" s="36" t="s">
        <v>716</v>
      </c>
      <c r="B697" s="36">
        <v>3</v>
      </c>
      <c r="C697" s="36"/>
      <c r="D697" s="36">
        <v>12</v>
      </c>
      <c r="E697" s="36" t="str">
        <f>CONCATENATE('Смета ЕР (общ) '!$A697,".",'Смета ЕР (общ) '!$B697,".",'Смета ЕР (общ) '!$D697)</f>
        <v>Р5.3.12</v>
      </c>
      <c r="F697" s="36">
        <f t="shared" si="65"/>
        <v>1</v>
      </c>
      <c r="G697" s="36"/>
      <c r="H697" s="36"/>
      <c r="I697" s="36"/>
      <c r="J697" s="36"/>
      <c r="K697" s="36"/>
      <c r="L697" s="53" t="s">
        <v>762</v>
      </c>
      <c r="M697" s="38" t="s">
        <v>118</v>
      </c>
      <c r="N697" s="39"/>
      <c r="O697" s="40">
        <v>886.23</v>
      </c>
      <c r="P697" s="40">
        <v>1523.6</v>
      </c>
      <c r="Q697" s="40">
        <f t="shared" si="68"/>
        <v>886.23</v>
      </c>
      <c r="R697" s="40">
        <f t="shared" si="68"/>
        <v>1523.6</v>
      </c>
      <c r="S697" s="40">
        <f>ROUND('Смета ЕР (общ) '!$N697*'Смета ЕР (общ) '!$Q697,2)</f>
        <v>0</v>
      </c>
      <c r="T697" s="40">
        <f>ROUND('Смета ЕР (общ) '!$N697*'Смета ЕР (общ) '!$R697,2)</f>
        <v>0</v>
      </c>
    </row>
    <row r="698" spans="1:25" ht="24" x14ac:dyDescent="0.3">
      <c r="A698" s="36" t="s">
        <v>716</v>
      </c>
      <c r="B698" s="36">
        <v>3</v>
      </c>
      <c r="C698" s="36"/>
      <c r="D698" s="36">
        <v>13</v>
      </c>
      <c r="E698" s="36" t="str">
        <f>CONCATENATE('Смета ЕР (общ) '!$A698,".",'Смета ЕР (общ) '!$B698,".",'Смета ЕР (общ) '!$D698)</f>
        <v>Р5.3.13</v>
      </c>
      <c r="F698" s="36">
        <f t="shared" si="65"/>
        <v>1</v>
      </c>
      <c r="G698" s="36"/>
      <c r="H698" s="36"/>
      <c r="I698" s="36"/>
      <c r="J698" s="36"/>
      <c r="K698" s="36"/>
      <c r="L698" s="37" t="s">
        <v>763</v>
      </c>
      <c r="M698" s="38" t="s">
        <v>147</v>
      </c>
      <c r="N698" s="39"/>
      <c r="O698" s="40">
        <v>610.74</v>
      </c>
      <c r="P698" s="40">
        <v>378.8</v>
      </c>
      <c r="Q698" s="40">
        <f t="shared" si="68"/>
        <v>610.74</v>
      </c>
      <c r="R698" s="40">
        <f t="shared" si="68"/>
        <v>378.8</v>
      </c>
      <c r="S698" s="40">
        <f>ROUND('Смета ЕР (общ) '!$N698*'Смета ЕР (общ) '!$Q698,2)</f>
        <v>0</v>
      </c>
      <c r="T698" s="40">
        <f>ROUND('Смета ЕР (общ) '!$N698*'Смета ЕР (общ) '!$R698,2)</f>
        <v>0</v>
      </c>
      <c r="Y698">
        <v>5</v>
      </c>
    </row>
    <row r="699" spans="1:25" ht="24" x14ac:dyDescent="0.3">
      <c r="A699" s="36" t="s">
        <v>716</v>
      </c>
      <c r="B699" s="36">
        <v>3</v>
      </c>
      <c r="C699" s="36"/>
      <c r="D699" s="36">
        <v>14</v>
      </c>
      <c r="E699" s="36" t="str">
        <f>CONCATENATE('Смета ЕР (общ) '!$A699,".",'Смета ЕР (общ) '!$B699,".",'Смета ЕР (общ) '!$D699)</f>
        <v>Р5.3.14</v>
      </c>
      <c r="F699" s="36">
        <f t="shared" si="65"/>
        <v>1</v>
      </c>
      <c r="G699" s="36"/>
      <c r="H699" s="36"/>
      <c r="I699" s="36"/>
      <c r="J699" s="36"/>
      <c r="K699" s="36"/>
      <c r="L699" s="53" t="s">
        <v>764</v>
      </c>
      <c r="M699" s="38" t="s">
        <v>147</v>
      </c>
      <c r="N699" s="39"/>
      <c r="O699" s="40">
        <v>2149.84</v>
      </c>
      <c r="P699" s="40">
        <v>2363.17</v>
      </c>
      <c r="Q699" s="40">
        <f t="shared" si="68"/>
        <v>2149.84</v>
      </c>
      <c r="R699" s="40">
        <f t="shared" si="68"/>
        <v>2363.17</v>
      </c>
      <c r="S699" s="40">
        <f>ROUND('Смета ЕР (общ) '!$N699*'Смета ЕР (общ) '!$Q699,2)</f>
        <v>0</v>
      </c>
      <c r="T699" s="40">
        <f>ROUND('Смета ЕР (общ) '!$N699*'Смета ЕР (общ) '!$R699,2)</f>
        <v>0</v>
      </c>
    </row>
    <row r="700" spans="1:25" ht="24" x14ac:dyDescent="0.3">
      <c r="A700" s="36" t="s">
        <v>716</v>
      </c>
      <c r="B700" s="36">
        <v>3</v>
      </c>
      <c r="C700" s="36"/>
      <c r="D700" s="36">
        <v>15</v>
      </c>
      <c r="E700" s="36" t="str">
        <f>CONCATENATE('Смета ЕР (общ) '!$A700,".",'Смета ЕР (общ) '!$B700,".",'Смета ЕР (общ) '!$D700)</f>
        <v>Р5.3.15</v>
      </c>
      <c r="F700" s="36">
        <f t="shared" si="65"/>
        <v>1</v>
      </c>
      <c r="G700" s="36"/>
      <c r="H700" s="36"/>
      <c r="I700" s="36"/>
      <c r="J700" s="36"/>
      <c r="K700" s="36"/>
      <c r="L700" s="53" t="s">
        <v>765</v>
      </c>
      <c r="M700" s="38" t="s">
        <v>147</v>
      </c>
      <c r="N700" s="39"/>
      <c r="O700" s="40">
        <v>561.9</v>
      </c>
      <c r="P700" s="40">
        <v>383.13</v>
      </c>
      <c r="Q700" s="40">
        <f t="shared" si="68"/>
        <v>561.9</v>
      </c>
      <c r="R700" s="40">
        <f t="shared" si="68"/>
        <v>383.13</v>
      </c>
      <c r="S700" s="40">
        <f>ROUND('Смета ЕР (общ) '!$N700*'Смета ЕР (общ) '!$Q700,2)</f>
        <v>0</v>
      </c>
      <c r="T700" s="40">
        <f>ROUND('Смета ЕР (общ) '!$N700*'Смета ЕР (общ) '!$R700,2)</f>
        <v>0</v>
      </c>
    </row>
    <row r="701" spans="1:25" ht="24" x14ac:dyDescent="0.3">
      <c r="A701" s="36" t="s">
        <v>716</v>
      </c>
      <c r="B701" s="36">
        <v>3</v>
      </c>
      <c r="C701" s="36"/>
      <c r="D701" s="36">
        <v>16</v>
      </c>
      <c r="E701" s="36" t="str">
        <f>CONCATENATE('Смета ЕР (общ) '!$A701,".",'Смета ЕР (общ) '!$B701,".",'Смета ЕР (общ) '!$D701)</f>
        <v>Р5.3.16</v>
      </c>
      <c r="F701" s="36">
        <f t="shared" si="65"/>
        <v>1</v>
      </c>
      <c r="G701" s="36"/>
      <c r="H701" s="36"/>
      <c r="I701" s="36"/>
      <c r="J701" s="36"/>
      <c r="K701" s="36"/>
      <c r="L701" s="37" t="s">
        <v>766</v>
      </c>
      <c r="M701" s="38" t="s">
        <v>147</v>
      </c>
      <c r="N701" s="39"/>
      <c r="O701" s="40">
        <v>746.46</v>
      </c>
      <c r="P701" s="40">
        <v>991.13</v>
      </c>
      <c r="Q701" s="40">
        <f t="shared" si="68"/>
        <v>746.46</v>
      </c>
      <c r="R701" s="40">
        <f t="shared" si="68"/>
        <v>991.13</v>
      </c>
      <c r="S701" s="40">
        <f>ROUND('Смета ЕР (общ) '!$N701*'Смета ЕР (общ) '!$Q701,2)</f>
        <v>0</v>
      </c>
      <c r="T701" s="40">
        <f>ROUND('Смета ЕР (общ) '!$N701*'Смета ЕР (общ) '!$R701,2)</f>
        <v>0</v>
      </c>
      <c r="Y701">
        <v>5</v>
      </c>
    </row>
    <row r="702" spans="1:25" ht="24" x14ac:dyDescent="0.3">
      <c r="A702" s="36" t="s">
        <v>716</v>
      </c>
      <c r="B702" s="36">
        <v>3</v>
      </c>
      <c r="C702" s="36"/>
      <c r="D702" s="36">
        <v>17</v>
      </c>
      <c r="E702" s="36" t="str">
        <f>CONCATENATE('Смета ЕР (общ) '!$A702,".",'Смета ЕР (общ) '!$B702,".",'Смета ЕР (общ) '!$D702)</f>
        <v>Р5.3.17</v>
      </c>
      <c r="F702" s="36">
        <f t="shared" si="65"/>
        <v>1</v>
      </c>
      <c r="G702" s="36"/>
      <c r="H702" s="36"/>
      <c r="I702" s="36"/>
      <c r="J702" s="36"/>
      <c r="K702" s="36"/>
      <c r="L702" s="53" t="s">
        <v>767</v>
      </c>
      <c r="M702" s="38" t="s">
        <v>147</v>
      </c>
      <c r="N702" s="39"/>
      <c r="O702" s="40">
        <v>551.22</v>
      </c>
      <c r="P702" s="40">
        <v>301.47000000000003</v>
      </c>
      <c r="Q702" s="40">
        <f t="shared" si="68"/>
        <v>551.22</v>
      </c>
      <c r="R702" s="40">
        <f t="shared" si="68"/>
        <v>301.47000000000003</v>
      </c>
      <c r="S702" s="40">
        <f>ROUND('Смета ЕР (общ) '!$N702*'Смета ЕР (общ) '!$Q702,2)</f>
        <v>0</v>
      </c>
      <c r="T702" s="40">
        <f>ROUND('Смета ЕР (общ) '!$N702*'Смета ЕР (общ) '!$R702,2)</f>
        <v>0</v>
      </c>
    </row>
    <row r="703" spans="1:25" ht="14.4" x14ac:dyDescent="0.3">
      <c r="A703" s="36" t="s">
        <v>716</v>
      </c>
      <c r="B703" s="36">
        <v>3</v>
      </c>
      <c r="C703" s="36"/>
      <c r="D703" s="36">
        <v>18</v>
      </c>
      <c r="E703" s="36" t="str">
        <f>CONCATENATE('Смета ЕР (общ) '!$A703,".",'Смета ЕР (общ) '!$B703,".",'Смета ЕР (общ) '!$D703)</f>
        <v>Р5.3.18</v>
      </c>
      <c r="F703" s="36">
        <f t="shared" si="65"/>
        <v>1</v>
      </c>
      <c r="G703" s="36"/>
      <c r="H703" s="36"/>
      <c r="I703" s="36"/>
      <c r="J703" s="36"/>
      <c r="K703" s="36"/>
      <c r="L703" s="53" t="s">
        <v>768</v>
      </c>
      <c r="M703" s="38" t="s">
        <v>118</v>
      </c>
      <c r="N703" s="39"/>
      <c r="O703" s="40">
        <v>539.75</v>
      </c>
      <c r="P703" s="40">
        <v>205.92</v>
      </c>
      <c r="Q703" s="40">
        <f t="shared" si="68"/>
        <v>539.75</v>
      </c>
      <c r="R703" s="40">
        <f t="shared" si="68"/>
        <v>205.92</v>
      </c>
      <c r="S703" s="40">
        <f>ROUND('Смета ЕР (общ) '!$N703*'Смета ЕР (общ) '!$Q703,2)</f>
        <v>0</v>
      </c>
      <c r="T703" s="40">
        <f>ROUND('Смета ЕР (общ) '!$N703*'Смета ЕР (общ) '!$R703,2)</f>
        <v>0</v>
      </c>
      <c r="Y703">
        <v>5</v>
      </c>
    </row>
    <row r="704" spans="1:25" ht="14.4" x14ac:dyDescent="0.3">
      <c r="A704" s="36" t="s">
        <v>716</v>
      </c>
      <c r="B704" s="36">
        <v>3</v>
      </c>
      <c r="C704" s="36"/>
      <c r="D704" s="36">
        <v>19</v>
      </c>
      <c r="E704" s="36" t="str">
        <f>CONCATENATE('Смета ЕР (общ) '!$A704,".",'Смета ЕР (общ) '!$B704,".",'Смета ЕР (общ) '!$D704)</f>
        <v>Р5.3.19</v>
      </c>
      <c r="F704" s="36">
        <f t="shared" si="65"/>
        <v>1</v>
      </c>
      <c r="G704" s="36"/>
      <c r="H704" s="36"/>
      <c r="I704" s="36"/>
      <c r="J704" s="36"/>
      <c r="K704" s="36"/>
      <c r="L704" s="53" t="s">
        <v>769</v>
      </c>
      <c r="M704" s="38" t="s">
        <v>147</v>
      </c>
      <c r="N704" s="39"/>
      <c r="O704" s="40">
        <v>551.22</v>
      </c>
      <c r="P704" s="40">
        <v>136.04</v>
      </c>
      <c r="Q704" s="40">
        <f t="shared" si="68"/>
        <v>551.22</v>
      </c>
      <c r="R704" s="40">
        <f t="shared" si="68"/>
        <v>136.04</v>
      </c>
      <c r="S704" s="40">
        <f>ROUND('Смета ЕР (общ) '!$N704*'Смета ЕР (общ) '!$Q704,2)</f>
        <v>0</v>
      </c>
      <c r="T704" s="40">
        <f>ROUND('Смета ЕР (общ) '!$N704*'Смета ЕР (общ) '!$R704,2)</f>
        <v>0</v>
      </c>
    </row>
    <row r="705" spans="1:25" ht="24" x14ac:dyDescent="0.3">
      <c r="A705" s="36" t="s">
        <v>716</v>
      </c>
      <c r="B705" s="36">
        <v>3</v>
      </c>
      <c r="C705" s="36"/>
      <c r="D705" s="36">
        <v>20</v>
      </c>
      <c r="E705" s="36" t="str">
        <f>CONCATENATE('Смета ЕР (общ) '!$A705,".",'Смета ЕР (общ) '!$B705,".",'Смета ЕР (общ) '!$D705)</f>
        <v>Р5.3.20</v>
      </c>
      <c r="F705" s="36">
        <f t="shared" si="65"/>
        <v>1</v>
      </c>
      <c r="G705" s="36"/>
      <c r="H705" s="36"/>
      <c r="I705" s="36"/>
      <c r="J705" s="36"/>
      <c r="K705" s="36"/>
      <c r="L705" s="53" t="s">
        <v>770</v>
      </c>
      <c r="M705" s="38" t="s">
        <v>147</v>
      </c>
      <c r="N705" s="39"/>
      <c r="O705" s="40">
        <v>829.44</v>
      </c>
      <c r="P705" s="40">
        <v>333.65</v>
      </c>
      <c r="Q705" s="40">
        <f t="shared" si="68"/>
        <v>829.44</v>
      </c>
      <c r="R705" s="40">
        <f t="shared" si="68"/>
        <v>333.65</v>
      </c>
      <c r="S705" s="40">
        <f>ROUND('Смета ЕР (общ) '!$N705*'Смета ЕР (общ) '!$Q705,2)</f>
        <v>0</v>
      </c>
      <c r="T705" s="40">
        <f>ROUND('Смета ЕР (общ) '!$N705*'Смета ЕР (общ) '!$R705,2)</f>
        <v>0</v>
      </c>
      <c r="Y705">
        <v>10</v>
      </c>
    </row>
    <row r="706" spans="1:25" ht="14.4" x14ac:dyDescent="0.3">
      <c r="A706" s="36" t="s">
        <v>716</v>
      </c>
      <c r="B706" s="36">
        <v>3</v>
      </c>
      <c r="C706" s="36"/>
      <c r="D706" s="36">
        <v>32</v>
      </c>
      <c r="E706" s="36" t="str">
        <f>CONCATENATE('Смета ЕР (общ) '!$A706,".",'Смета ЕР (общ) '!$B706,".",'Смета ЕР (общ) '!$D706)</f>
        <v>Р5.3.32</v>
      </c>
      <c r="F706" s="36">
        <f t="shared" si="65"/>
        <v>1</v>
      </c>
      <c r="G706" s="36"/>
      <c r="H706" s="36"/>
      <c r="I706" s="36"/>
      <c r="J706" s="36"/>
      <c r="K706" s="36"/>
      <c r="L706" s="53" t="s">
        <v>771</v>
      </c>
      <c r="M706" s="38" t="s">
        <v>147</v>
      </c>
      <c r="N706" s="39"/>
      <c r="O706" s="40">
        <v>278.23</v>
      </c>
      <c r="P706" s="40">
        <v>98.1</v>
      </c>
      <c r="Q706" s="40">
        <f t="shared" si="68"/>
        <v>278.23</v>
      </c>
      <c r="R706" s="40">
        <f t="shared" si="68"/>
        <v>98.1</v>
      </c>
      <c r="S706" s="40">
        <f>ROUND('Смета ЕР (общ) '!$N706*'Смета ЕР (общ) '!$Q706,2)</f>
        <v>0</v>
      </c>
      <c r="T706" s="40">
        <f>ROUND('Смета ЕР (общ) '!$N706*'Смета ЕР (общ) '!$R706,2)</f>
        <v>0</v>
      </c>
      <c r="V706"/>
    </row>
    <row r="707" spans="1:25" ht="14.4" x14ac:dyDescent="0.3">
      <c r="A707" s="36" t="s">
        <v>716</v>
      </c>
      <c r="B707" s="36">
        <v>3</v>
      </c>
      <c r="C707" s="36"/>
      <c r="D707" s="36">
        <v>33</v>
      </c>
      <c r="E707" s="36" t="str">
        <f>CONCATENATE('Смета ЕР (общ) '!$A707,".",'Смета ЕР (общ) '!$B707,".",'Смета ЕР (общ) '!$D707)</f>
        <v>Р5.3.33</v>
      </c>
      <c r="F707" s="36">
        <f t="shared" si="65"/>
        <v>1</v>
      </c>
      <c r="G707" s="36"/>
      <c r="H707" s="36"/>
      <c r="I707" s="36"/>
      <c r="J707" s="36"/>
      <c r="K707" s="36"/>
      <c r="L707" s="53" t="s">
        <v>772</v>
      </c>
      <c r="M707" s="38" t="s">
        <v>147</v>
      </c>
      <c r="N707" s="39"/>
      <c r="O707" s="40">
        <v>278.23</v>
      </c>
      <c r="P707" s="40">
        <v>87.2</v>
      </c>
      <c r="Q707" s="40">
        <f t="shared" si="68"/>
        <v>278.23</v>
      </c>
      <c r="R707" s="40">
        <f t="shared" si="68"/>
        <v>87.2</v>
      </c>
      <c r="S707" s="40">
        <f>ROUND('Смета ЕР (общ) '!$N707*'Смета ЕР (общ) '!$Q707,2)</f>
        <v>0</v>
      </c>
      <c r="T707" s="40">
        <f>ROUND('Смета ЕР (общ) '!$N707*'Смета ЕР (общ) '!$R707,2)</f>
        <v>0</v>
      </c>
      <c r="V707"/>
    </row>
    <row r="708" spans="1:25" ht="14.4" x14ac:dyDescent="0.3">
      <c r="A708" s="36" t="s">
        <v>716</v>
      </c>
      <c r="B708" s="36">
        <v>3</v>
      </c>
      <c r="C708" s="36"/>
      <c r="D708" s="36">
        <v>51</v>
      </c>
      <c r="E708" s="36" t="str">
        <f>CONCATENATE('Смета ЕР (общ) '!$A708,".",'Смета ЕР (общ) '!$B708,".",'Смета ЕР (общ) '!$D708)</f>
        <v>Р5.3.51</v>
      </c>
      <c r="F708" s="36">
        <f t="shared" si="65"/>
        <v>1</v>
      </c>
      <c r="G708" s="36"/>
      <c r="H708" s="36"/>
      <c r="I708" s="36"/>
      <c r="J708" s="36"/>
      <c r="K708" s="36"/>
      <c r="L708" s="53" t="s">
        <v>773</v>
      </c>
      <c r="M708" s="38" t="s">
        <v>147</v>
      </c>
      <c r="N708" s="39"/>
      <c r="O708" s="40">
        <v>278.23</v>
      </c>
      <c r="P708" s="40">
        <v>72</v>
      </c>
      <c r="Q708" s="40">
        <f t="shared" si="68"/>
        <v>278.23</v>
      </c>
      <c r="R708" s="40">
        <f t="shared" si="68"/>
        <v>72</v>
      </c>
      <c r="S708" s="40">
        <f>ROUND('Смета ЕР (общ) '!$N708*'Смета ЕР (общ) '!$Q708,2)</f>
        <v>0</v>
      </c>
      <c r="T708" s="40">
        <f>ROUND('Смета ЕР (общ) '!$N708*'Смета ЕР (общ) '!$R708,2)</f>
        <v>0</v>
      </c>
      <c r="V708"/>
    </row>
    <row r="709" spans="1:25" ht="14.4" x14ac:dyDescent="0.3">
      <c r="A709" s="36" t="s">
        <v>716</v>
      </c>
      <c r="B709" s="36">
        <v>3</v>
      </c>
      <c r="C709" s="36"/>
      <c r="D709" s="36">
        <v>21</v>
      </c>
      <c r="E709" s="36" t="str">
        <f>CONCATENATE('Смета ЕР (общ) '!$A709,".",'Смета ЕР (общ) '!$B709,".",'Смета ЕР (общ) '!$D709)</f>
        <v>Р5.3.21</v>
      </c>
      <c r="F709" s="36">
        <f t="shared" si="65"/>
        <v>1</v>
      </c>
      <c r="G709" s="36"/>
      <c r="H709" s="36"/>
      <c r="I709" s="36"/>
      <c r="J709" s="36"/>
      <c r="K709" s="36"/>
      <c r="L709" s="53" t="s">
        <v>774</v>
      </c>
      <c r="M709" s="38" t="s">
        <v>147</v>
      </c>
      <c r="N709" s="39"/>
      <c r="O709" s="40">
        <v>278.23</v>
      </c>
      <c r="P709" s="40">
        <v>23.26</v>
      </c>
      <c r="Q709" s="40">
        <f t="shared" si="68"/>
        <v>278.23</v>
      </c>
      <c r="R709" s="40">
        <f t="shared" si="68"/>
        <v>23.26</v>
      </c>
      <c r="S709" s="40">
        <f>ROUND('Смета ЕР (общ) '!$N709*'Смета ЕР (общ) '!$Q709,2)</f>
        <v>0</v>
      </c>
      <c r="T709" s="40">
        <f>ROUND('Смета ЕР (общ) '!$N709*'Смета ЕР (общ) '!$R709,2)</f>
        <v>0</v>
      </c>
    </row>
    <row r="710" spans="1:25" ht="14.4" x14ac:dyDescent="0.3">
      <c r="A710" s="36" t="s">
        <v>716</v>
      </c>
      <c r="B710" s="36">
        <v>3</v>
      </c>
      <c r="C710" s="36"/>
      <c r="D710" s="36">
        <v>22</v>
      </c>
      <c r="E710" s="36" t="str">
        <f>CONCATENATE('Смета ЕР (общ) '!$A710,".",'Смета ЕР (общ) '!$B710,".",'Смета ЕР (общ) '!$D710)</f>
        <v>Р5.3.22</v>
      </c>
      <c r="F710" s="36">
        <f t="shared" si="65"/>
        <v>1</v>
      </c>
      <c r="G710" s="36"/>
      <c r="H710" s="36"/>
      <c r="I710" s="36"/>
      <c r="J710" s="36"/>
      <c r="K710" s="36"/>
      <c r="L710" s="53" t="s">
        <v>775</v>
      </c>
      <c r="M710" s="38" t="s">
        <v>118</v>
      </c>
      <c r="N710" s="39"/>
      <c r="O710" s="40">
        <v>531.71</v>
      </c>
      <c r="P710" s="40">
        <v>756.28</v>
      </c>
      <c r="Q710" s="40">
        <f t="shared" si="68"/>
        <v>531.71</v>
      </c>
      <c r="R710" s="40">
        <f t="shared" si="68"/>
        <v>756.28</v>
      </c>
      <c r="S710" s="40">
        <f>ROUND('Смета ЕР (общ) '!$N710*'Смета ЕР (общ) '!$Q710,2)</f>
        <v>0</v>
      </c>
      <c r="T710" s="40">
        <f>ROUND('Смета ЕР (общ) '!$N710*'Смета ЕР (общ) '!$R710,2)</f>
        <v>0</v>
      </c>
    </row>
    <row r="711" spans="1:25" ht="14.4" x14ac:dyDescent="0.3">
      <c r="A711" s="36" t="s">
        <v>716</v>
      </c>
      <c r="B711" s="36">
        <v>3</v>
      </c>
      <c r="C711" s="36"/>
      <c r="D711" s="36">
        <v>23</v>
      </c>
      <c r="E711" s="36" t="str">
        <f>CONCATENATE('Смета ЕР (общ) '!$A711,".",'Смета ЕР (общ) '!$B711,".",'Смета ЕР (общ) '!$D711)</f>
        <v>Р5.3.23</v>
      </c>
      <c r="F711" s="36">
        <f t="shared" si="65"/>
        <v>1</v>
      </c>
      <c r="G711" s="36"/>
      <c r="H711" s="36"/>
      <c r="I711" s="36"/>
      <c r="J711" s="36"/>
      <c r="K711" s="36"/>
      <c r="L711" s="37" t="s">
        <v>776</v>
      </c>
      <c r="M711" s="38" t="s">
        <v>118</v>
      </c>
      <c r="N711" s="39"/>
      <c r="O711" s="40">
        <v>844.73</v>
      </c>
      <c r="P711" s="40">
        <v>2051.66</v>
      </c>
      <c r="Q711" s="40">
        <f t="shared" ref="Q711:R747" si="69">ROUND(O711-O711*$V$3,2)</f>
        <v>844.73</v>
      </c>
      <c r="R711" s="40">
        <f t="shared" si="69"/>
        <v>2051.66</v>
      </c>
      <c r="S711" s="40">
        <f>ROUND('Смета ЕР (общ) '!$N711*'Смета ЕР (общ) '!$Q711,2)</f>
        <v>0</v>
      </c>
      <c r="T711" s="40">
        <f>ROUND('Смета ЕР (общ) '!$N711*'Смета ЕР (общ) '!$R711,2)</f>
        <v>0</v>
      </c>
    </row>
    <row r="712" spans="1:25" ht="14.4" x14ac:dyDescent="0.3">
      <c r="A712" s="36" t="s">
        <v>716</v>
      </c>
      <c r="B712" s="36">
        <v>3</v>
      </c>
      <c r="C712" s="36"/>
      <c r="D712" s="36">
        <v>24</v>
      </c>
      <c r="E712" s="36" t="str">
        <f>CONCATENATE('Смета ЕР (общ) '!$A712,".",'Смета ЕР (общ) '!$B712,".",'Смета ЕР (общ) '!$D712)</f>
        <v>Р5.3.24</v>
      </c>
      <c r="F712" s="36">
        <f t="shared" si="65"/>
        <v>1</v>
      </c>
      <c r="G712" s="36"/>
      <c r="H712" s="36"/>
      <c r="I712" s="36"/>
      <c r="J712" s="36"/>
      <c r="K712" s="36"/>
      <c r="L712" s="37" t="s">
        <v>777</v>
      </c>
      <c r="M712" s="38" t="s">
        <v>64</v>
      </c>
      <c r="N712" s="39"/>
      <c r="O712" s="40">
        <v>3681.58</v>
      </c>
      <c r="P712" s="40">
        <v>0</v>
      </c>
      <c r="Q712" s="40">
        <f t="shared" si="69"/>
        <v>3681.58</v>
      </c>
      <c r="R712" s="40">
        <f t="shared" si="69"/>
        <v>0</v>
      </c>
      <c r="S712" s="40">
        <f>ROUND('Смета ЕР (общ) '!$N712*'Смета ЕР (общ) '!$Q712,2)</f>
        <v>0</v>
      </c>
      <c r="T712" s="40">
        <f>ROUND('Смета ЕР (общ) '!$N712*'Смета ЕР (общ) '!$R712,2)</f>
        <v>0</v>
      </c>
      <c r="Y712">
        <v>1</v>
      </c>
    </row>
    <row r="713" spans="1:25" ht="14.4" x14ac:dyDescent="0.3">
      <c r="A713" s="36" t="s">
        <v>716</v>
      </c>
      <c r="B713" s="36">
        <v>3</v>
      </c>
      <c r="C713" s="36"/>
      <c r="D713" s="36">
        <v>25</v>
      </c>
      <c r="E713" s="36" t="str">
        <f>CONCATENATE('Смета ЕР (общ) '!$A713,".",'Смета ЕР (общ) '!$B713,".",'Смета ЕР (общ) '!$D713)</f>
        <v>Р5.3.25</v>
      </c>
      <c r="F713" s="36">
        <f t="shared" si="65"/>
        <v>1</v>
      </c>
      <c r="G713" s="36"/>
      <c r="H713" s="36"/>
      <c r="I713" s="36"/>
      <c r="J713" s="36"/>
      <c r="K713" s="36"/>
      <c r="L713" s="37" t="s">
        <v>778</v>
      </c>
      <c r="M713" s="38" t="s">
        <v>64</v>
      </c>
      <c r="N713" s="39"/>
      <c r="O713" s="40">
        <v>5225</v>
      </c>
      <c r="P713" s="40">
        <v>0</v>
      </c>
      <c r="Q713" s="40">
        <f t="shared" si="69"/>
        <v>5225</v>
      </c>
      <c r="R713" s="40">
        <f t="shared" si="69"/>
        <v>0</v>
      </c>
      <c r="S713" s="40">
        <f>ROUND('Смета ЕР (общ) '!$N713*'Смета ЕР (общ) '!$Q713,2)</f>
        <v>0</v>
      </c>
      <c r="T713" s="40">
        <f>ROUND('Смета ЕР (общ) '!$N713*'Смета ЕР (общ) '!$R713,2)</f>
        <v>0</v>
      </c>
      <c r="Y713">
        <v>1</v>
      </c>
    </row>
    <row r="714" spans="1:25" ht="24" x14ac:dyDescent="0.3">
      <c r="A714" s="36" t="s">
        <v>716</v>
      </c>
      <c r="B714" s="36">
        <v>3</v>
      </c>
      <c r="C714" s="36"/>
      <c r="D714" s="36">
        <v>26</v>
      </c>
      <c r="E714" s="36" t="str">
        <f>CONCATENATE('Смета ЕР (общ) '!$A714,".",'Смета ЕР (общ) '!$B714,".",'Смета ЕР (общ) '!$D714)</f>
        <v>Р5.3.26</v>
      </c>
      <c r="F714" s="36">
        <f t="shared" si="65"/>
        <v>1</v>
      </c>
      <c r="G714" s="36"/>
      <c r="H714" s="36"/>
      <c r="I714" s="36"/>
      <c r="J714" s="36"/>
      <c r="K714" s="36"/>
      <c r="L714" s="53" t="s">
        <v>779</v>
      </c>
      <c r="M714" s="38" t="s">
        <v>118</v>
      </c>
      <c r="N714" s="39"/>
      <c r="O714" s="40">
        <v>7837.5</v>
      </c>
      <c r="P714" s="40">
        <v>0</v>
      </c>
      <c r="Q714" s="40">
        <f t="shared" si="69"/>
        <v>7837.5</v>
      </c>
      <c r="R714" s="40">
        <f t="shared" si="69"/>
        <v>0</v>
      </c>
      <c r="S714" s="40">
        <f>ROUND('Смета ЕР (общ) '!$N714*'Смета ЕР (общ) '!$Q714,2)</f>
        <v>0</v>
      </c>
      <c r="T714" s="40">
        <f>ROUND('Смета ЕР (общ) '!$N714*'Смета ЕР (общ) '!$R714,2)</f>
        <v>0</v>
      </c>
    </row>
    <row r="715" spans="1:25" ht="14.4" x14ac:dyDescent="0.3">
      <c r="A715" s="36" t="s">
        <v>716</v>
      </c>
      <c r="B715" s="36">
        <v>3</v>
      </c>
      <c r="C715" s="36"/>
      <c r="D715" s="36">
        <v>27</v>
      </c>
      <c r="E715" s="36" t="str">
        <f>CONCATENATE('Смета ЕР (общ) '!$A715,".",'Смета ЕР (общ) '!$B715,".",'Смета ЕР (общ) '!$D715)</f>
        <v>Р5.3.27</v>
      </c>
      <c r="F715" s="36">
        <f t="shared" si="65"/>
        <v>1</v>
      </c>
      <c r="G715" s="36"/>
      <c r="H715" s="36"/>
      <c r="I715" s="36"/>
      <c r="J715" s="36"/>
      <c r="K715" s="36"/>
      <c r="L715" s="53" t="s">
        <v>780</v>
      </c>
      <c r="M715" s="38" t="s">
        <v>118</v>
      </c>
      <c r="N715" s="39"/>
      <c r="O715" s="40">
        <v>5225</v>
      </c>
      <c r="P715" s="40">
        <v>0</v>
      </c>
      <c r="Q715" s="40">
        <f t="shared" si="69"/>
        <v>5225</v>
      </c>
      <c r="R715" s="40">
        <f t="shared" si="69"/>
        <v>0</v>
      </c>
      <c r="S715" s="40">
        <f>ROUND('Смета ЕР (общ) '!$N715*'Смета ЕР (общ) '!$Q715,2)</f>
        <v>0</v>
      </c>
      <c r="T715" s="40">
        <f>ROUND('Смета ЕР (общ) '!$N715*'Смета ЕР (общ) '!$R715,2)</f>
        <v>0</v>
      </c>
    </row>
    <row r="716" spans="1:25" ht="14.4" x14ac:dyDescent="0.3">
      <c r="A716" s="36" t="s">
        <v>716</v>
      </c>
      <c r="B716" s="36">
        <v>3</v>
      </c>
      <c r="C716" s="36"/>
      <c r="D716" s="36">
        <v>28</v>
      </c>
      <c r="E716" s="36" t="str">
        <f>CONCATENATE('Смета ЕР (общ) '!$A716,".",'Смета ЕР (общ) '!$B716,".",'Смета ЕР (общ) '!$D716)</f>
        <v>Р5.3.28</v>
      </c>
      <c r="F716" s="36">
        <f t="shared" si="65"/>
        <v>1</v>
      </c>
      <c r="G716" s="36"/>
      <c r="H716" s="36"/>
      <c r="I716" s="36"/>
      <c r="J716" s="36"/>
      <c r="K716" s="36"/>
      <c r="L716" s="37" t="s">
        <v>781</v>
      </c>
      <c r="M716" s="38" t="s">
        <v>118</v>
      </c>
      <c r="N716" s="39"/>
      <c r="O716" s="40">
        <v>3544.73</v>
      </c>
      <c r="P716" s="40">
        <v>9567.8700000000008</v>
      </c>
      <c r="Q716" s="40">
        <f t="shared" si="69"/>
        <v>3544.73</v>
      </c>
      <c r="R716" s="40">
        <f t="shared" si="69"/>
        <v>9567.8700000000008</v>
      </c>
      <c r="S716" s="40">
        <f>ROUND('Смета ЕР (общ) '!$N716*'Смета ЕР (общ) '!$Q716,2)</f>
        <v>0</v>
      </c>
      <c r="T716" s="40">
        <f>ROUND('Смета ЕР (общ) '!$N716*'Смета ЕР (общ) '!$R716,2)</f>
        <v>0</v>
      </c>
    </row>
    <row r="717" spans="1:25" ht="14.4" x14ac:dyDescent="0.3">
      <c r="A717" s="36" t="s">
        <v>716</v>
      </c>
      <c r="B717" s="36">
        <v>3</v>
      </c>
      <c r="C717" s="36"/>
      <c r="D717" s="36">
        <v>29</v>
      </c>
      <c r="E717" s="36" t="str">
        <f>CONCATENATE('Смета ЕР (общ) '!$A717,".",'Смета ЕР (общ) '!$B717,".",'Смета ЕР (общ) '!$D717)</f>
        <v>Р5.3.29</v>
      </c>
      <c r="F717" s="36">
        <f t="shared" si="65"/>
        <v>1</v>
      </c>
      <c r="G717" s="36"/>
      <c r="H717" s="36"/>
      <c r="I717" s="36"/>
      <c r="J717" s="36"/>
      <c r="K717" s="36"/>
      <c r="L717" s="37" t="s">
        <v>782</v>
      </c>
      <c r="M717" s="38" t="s">
        <v>118</v>
      </c>
      <c r="N717" s="39"/>
      <c r="O717" s="40">
        <v>3544.73</v>
      </c>
      <c r="P717" s="40">
        <v>16732.32</v>
      </c>
      <c r="Q717" s="40">
        <f t="shared" si="69"/>
        <v>3544.73</v>
      </c>
      <c r="R717" s="40">
        <f t="shared" si="69"/>
        <v>16732.32</v>
      </c>
      <c r="S717" s="40">
        <f>ROUND('Смета ЕР (общ) '!$N717*'Смета ЕР (общ) '!$Q717,2)</f>
        <v>0</v>
      </c>
      <c r="T717" s="40">
        <f>ROUND('Смета ЕР (общ) '!$N717*'Смета ЕР (общ) '!$R717,2)</f>
        <v>0</v>
      </c>
    </row>
    <row r="718" spans="1:25" ht="14.4" x14ac:dyDescent="0.3">
      <c r="A718" s="36" t="s">
        <v>716</v>
      </c>
      <c r="B718" s="36">
        <v>3</v>
      </c>
      <c r="C718" s="36"/>
      <c r="D718" s="36">
        <v>30</v>
      </c>
      <c r="E718" s="36" t="str">
        <f>CONCATENATE('Смета ЕР (общ) '!$A718,".",'Смета ЕР (общ) '!$B718,".",'Смета ЕР (общ) '!$D718)</f>
        <v>Р5.3.30</v>
      </c>
      <c r="F718" s="36">
        <f t="shared" si="65"/>
        <v>1</v>
      </c>
      <c r="G718" s="36"/>
      <c r="H718" s="36"/>
      <c r="I718" s="36"/>
      <c r="J718" s="36"/>
      <c r="K718" s="36"/>
      <c r="L718" s="37" t="s">
        <v>783</v>
      </c>
      <c r="M718" s="38" t="s">
        <v>118</v>
      </c>
      <c r="N718" s="39"/>
      <c r="O718" s="40">
        <v>3544.73</v>
      </c>
      <c r="P718" s="40">
        <v>7727.67</v>
      </c>
      <c r="Q718" s="40">
        <f t="shared" si="69"/>
        <v>3544.73</v>
      </c>
      <c r="R718" s="40">
        <f t="shared" si="69"/>
        <v>7727.67</v>
      </c>
      <c r="S718" s="40">
        <f>ROUND('Смета ЕР (общ) '!$N718*'Смета ЕР (общ) '!$Q718,2)</f>
        <v>0</v>
      </c>
      <c r="T718" s="40">
        <f>ROUND('Смета ЕР (общ) '!$N718*'Смета ЕР (общ) '!$R718,2)</f>
        <v>0</v>
      </c>
    </row>
    <row r="719" spans="1:25" ht="14.4" x14ac:dyDescent="0.3">
      <c r="A719" s="63" t="s">
        <v>716</v>
      </c>
      <c r="B719" s="63">
        <v>3</v>
      </c>
      <c r="C719" s="63"/>
      <c r="D719" s="63">
        <v>31</v>
      </c>
      <c r="E719" s="63" t="str">
        <f>CONCATENATE('Смета ЕР (общ) '!$A719,".",'Смета ЕР (общ) '!$B719,".",'Смета ЕР (общ) '!$D719)</f>
        <v>Р5.3.31</v>
      </c>
      <c r="F719" s="63">
        <f t="shared" si="65"/>
        <v>1</v>
      </c>
      <c r="G719" s="63"/>
      <c r="H719" s="63"/>
      <c r="I719" s="63"/>
      <c r="J719" s="63"/>
      <c r="K719" s="63"/>
      <c r="L719" s="64" t="s">
        <v>784</v>
      </c>
      <c r="M719" s="38" t="s">
        <v>118</v>
      </c>
      <c r="N719" s="39"/>
      <c r="O719" s="40">
        <v>678.6</v>
      </c>
      <c r="P719" s="40">
        <v>2599.4699999999998</v>
      </c>
      <c r="Q719" s="40">
        <f t="shared" si="69"/>
        <v>678.6</v>
      </c>
      <c r="R719" s="40">
        <f t="shared" si="69"/>
        <v>2599.4699999999998</v>
      </c>
      <c r="S719" s="40">
        <f>ROUND('Смета ЕР (общ) '!$N719*'Смета ЕР (общ) '!$Q719,2)</f>
        <v>0</v>
      </c>
      <c r="T719" s="40">
        <f>ROUND('Смета ЕР (общ) '!$N719*'Смета ЕР (общ) '!$R719,2)</f>
        <v>0</v>
      </c>
    </row>
    <row r="720" spans="1:25" ht="14.4" x14ac:dyDescent="0.3">
      <c r="A720" s="36" t="s">
        <v>716</v>
      </c>
      <c r="B720" s="36">
        <v>3</v>
      </c>
      <c r="C720" s="36"/>
      <c r="D720" s="36">
        <v>34</v>
      </c>
      <c r="E720" s="36" t="str">
        <f>CONCATENATE('Смета ЕР (общ) '!$A720,".",'Смета ЕР (общ) '!$B720,".",'Смета ЕР (общ) '!$D720)</f>
        <v>Р5.3.34</v>
      </c>
      <c r="F720" s="36">
        <f t="shared" si="65"/>
        <v>1</v>
      </c>
      <c r="G720" s="36"/>
      <c r="H720" s="36"/>
      <c r="I720" s="36"/>
      <c r="J720" s="36"/>
      <c r="K720" s="36"/>
      <c r="L720" s="53" t="s">
        <v>785</v>
      </c>
      <c r="M720" s="38" t="s">
        <v>64</v>
      </c>
      <c r="N720" s="39"/>
      <c r="O720" s="40">
        <v>6457.67</v>
      </c>
      <c r="P720" s="40">
        <v>1430.37</v>
      </c>
      <c r="Q720" s="40">
        <f t="shared" si="69"/>
        <v>6457.67</v>
      </c>
      <c r="R720" s="40">
        <f t="shared" si="69"/>
        <v>1430.37</v>
      </c>
      <c r="S720" s="40">
        <f>ROUND('Смета ЕР (общ) '!$N720*'Смета ЕР (общ) '!$Q720,2)</f>
        <v>0</v>
      </c>
      <c r="T720" s="40">
        <f>ROUND('Смета ЕР (общ) '!$N720*'Смета ЕР (общ) '!$R720,2)</f>
        <v>0</v>
      </c>
    </row>
    <row r="721" spans="1:20" ht="24" x14ac:dyDescent="0.3">
      <c r="A721" s="36" t="s">
        <v>716</v>
      </c>
      <c r="B721" s="36">
        <v>3</v>
      </c>
      <c r="C721" s="36"/>
      <c r="D721" s="36">
        <v>35</v>
      </c>
      <c r="E721" s="36" t="str">
        <f>CONCATENATE('Смета ЕР (общ) '!$A721,".",'Смета ЕР (общ) '!$B721,".",'Смета ЕР (общ) '!$D721)</f>
        <v>Р5.3.35</v>
      </c>
      <c r="F721" s="36">
        <f t="shared" ref="F721:F784" si="70">IF(N721&gt;0,F720+1,F720)</f>
        <v>1</v>
      </c>
      <c r="G721" s="36"/>
      <c r="H721" s="36"/>
      <c r="I721" s="36"/>
      <c r="J721" s="36"/>
      <c r="K721" s="36"/>
      <c r="L721" s="53" t="s">
        <v>786</v>
      </c>
      <c r="M721" s="38" t="s">
        <v>118</v>
      </c>
      <c r="N721" s="39"/>
      <c r="O721" s="40">
        <v>16720</v>
      </c>
      <c r="P721" s="40">
        <v>39197.040000000001</v>
      </c>
      <c r="Q721" s="40">
        <f t="shared" si="69"/>
        <v>16720</v>
      </c>
      <c r="R721" s="40">
        <f t="shared" si="69"/>
        <v>39197.040000000001</v>
      </c>
      <c r="S721" s="40">
        <f>ROUND('Смета ЕР (общ) '!$N721*'Смета ЕР (общ) '!$Q721,2)</f>
        <v>0</v>
      </c>
      <c r="T721" s="40">
        <f>ROUND('Смета ЕР (общ) '!$N721*'Смета ЕР (общ) '!$R721,2)</f>
        <v>0</v>
      </c>
    </row>
    <row r="722" spans="1:20" ht="14.4" x14ac:dyDescent="0.3">
      <c r="A722" s="36" t="s">
        <v>716</v>
      </c>
      <c r="B722" s="36">
        <v>3</v>
      </c>
      <c r="C722" s="36"/>
      <c r="D722" s="36">
        <v>36</v>
      </c>
      <c r="E722" s="36" t="str">
        <f>CONCATENATE('Смета ЕР (общ) '!$A722,".",'Смета ЕР (общ) '!$B722,".",'Смета ЕР (общ) '!$D722)</f>
        <v>Р5.3.36</v>
      </c>
      <c r="F722" s="36">
        <f t="shared" si="70"/>
        <v>1</v>
      </c>
      <c r="G722" s="36"/>
      <c r="H722" s="36"/>
      <c r="I722" s="36"/>
      <c r="J722" s="36"/>
      <c r="K722" s="36"/>
      <c r="L722" s="53" t="s">
        <v>787</v>
      </c>
      <c r="M722" s="38" t="s">
        <v>118</v>
      </c>
      <c r="N722" s="39"/>
      <c r="O722" s="40">
        <v>4950</v>
      </c>
      <c r="P722" s="40">
        <v>53089.35</v>
      </c>
      <c r="Q722" s="40">
        <f t="shared" si="69"/>
        <v>4950</v>
      </c>
      <c r="R722" s="40">
        <f t="shared" si="69"/>
        <v>53089.35</v>
      </c>
      <c r="S722" s="40">
        <f>ROUND('Смета ЕР (общ) '!$N722*'Смета ЕР (общ) '!$Q722,2)</f>
        <v>0</v>
      </c>
      <c r="T722" s="40">
        <f>ROUND('Смета ЕР (общ) '!$N722*'Смета ЕР (общ) '!$R722,2)</f>
        <v>0</v>
      </c>
    </row>
    <row r="723" spans="1:20" ht="24" x14ac:dyDescent="0.3">
      <c r="A723" s="95" t="s">
        <v>716</v>
      </c>
      <c r="B723" s="95">
        <v>3</v>
      </c>
      <c r="C723" s="95"/>
      <c r="D723" s="95">
        <v>37</v>
      </c>
      <c r="E723" s="95" t="str">
        <f>CONCATENATE('Смета ЕР (общ) '!$A723,".",'Смета ЕР (общ) '!$B723,".",'Смета ЕР (общ) '!$D723)</f>
        <v>Р5.3.37</v>
      </c>
      <c r="F723" s="95">
        <f t="shared" si="70"/>
        <v>1</v>
      </c>
      <c r="G723" s="95"/>
      <c r="H723" s="95"/>
      <c r="I723" s="95"/>
      <c r="J723" s="95"/>
      <c r="K723" s="95"/>
      <c r="L723" s="96" t="s">
        <v>788</v>
      </c>
      <c r="M723" s="38" t="s">
        <v>118</v>
      </c>
      <c r="N723" s="39"/>
      <c r="O723" s="40">
        <v>4284.5</v>
      </c>
      <c r="P723" s="40">
        <v>63362.37</v>
      </c>
      <c r="Q723" s="40">
        <f t="shared" si="69"/>
        <v>4284.5</v>
      </c>
      <c r="R723" s="40">
        <f t="shared" si="69"/>
        <v>63362.37</v>
      </c>
      <c r="S723" s="40">
        <f>ROUND('Смета ЕР (общ) '!$N723*'Смета ЕР (общ) '!$Q723,2)</f>
        <v>0</v>
      </c>
      <c r="T723" s="40">
        <f>ROUND('Смета ЕР (общ) '!$N723*'Смета ЕР (общ) '!$R723,2)</f>
        <v>0</v>
      </c>
    </row>
    <row r="724" spans="1:20" ht="24" x14ac:dyDescent="0.3">
      <c r="A724" s="95" t="s">
        <v>716</v>
      </c>
      <c r="B724" s="95">
        <v>3</v>
      </c>
      <c r="C724" s="95"/>
      <c r="D724" s="95">
        <v>60</v>
      </c>
      <c r="E724" s="95" t="str">
        <f>CONCATENATE('Смета ЕР (общ) '!$A724,".",'Смета ЕР (общ) '!$B724,".",'Смета ЕР (общ) '!$D724)</f>
        <v>Р5.3.60</v>
      </c>
      <c r="F724" s="95">
        <f t="shared" si="70"/>
        <v>1</v>
      </c>
      <c r="G724" s="95"/>
      <c r="H724" s="95"/>
      <c r="I724" s="95"/>
      <c r="J724" s="95"/>
      <c r="K724" s="95"/>
      <c r="L724" s="96" t="s">
        <v>789</v>
      </c>
      <c r="M724" s="38" t="s">
        <v>118</v>
      </c>
      <c r="N724" s="39"/>
      <c r="O724" s="40">
        <v>4284.5</v>
      </c>
      <c r="P724" s="40">
        <v>93495.25</v>
      </c>
      <c r="Q724" s="40">
        <f t="shared" si="69"/>
        <v>4284.5</v>
      </c>
      <c r="R724" s="40">
        <f t="shared" si="69"/>
        <v>93495.25</v>
      </c>
      <c r="S724" s="40">
        <f>ROUND('Смета ЕР (общ) '!$N724*'Смета ЕР (общ) '!$Q724,2)</f>
        <v>0</v>
      </c>
      <c r="T724" s="40">
        <f>ROUND('Смета ЕР (общ) '!$N724*'Смета ЕР (общ) '!$R724,2)</f>
        <v>0</v>
      </c>
    </row>
    <row r="725" spans="1:20" ht="24" x14ac:dyDescent="0.3">
      <c r="A725" s="95" t="s">
        <v>716</v>
      </c>
      <c r="B725" s="95">
        <v>3</v>
      </c>
      <c r="C725" s="95"/>
      <c r="D725" s="95">
        <v>38</v>
      </c>
      <c r="E725" s="95" t="str">
        <f>CONCATENATE('Смета ЕР (общ) '!$A725,".",'Смета ЕР (общ) '!$B725,".",'Смета ЕР (общ) '!$D725)</f>
        <v>Р5.3.38</v>
      </c>
      <c r="F725" s="95">
        <f t="shared" si="70"/>
        <v>1</v>
      </c>
      <c r="G725" s="95"/>
      <c r="H725" s="95"/>
      <c r="I725" s="95"/>
      <c r="J725" s="95"/>
      <c r="K725" s="95"/>
      <c r="L725" s="96" t="s">
        <v>790</v>
      </c>
      <c r="M725" s="38" t="s">
        <v>118</v>
      </c>
      <c r="N725" s="39"/>
      <c r="O725" s="40">
        <v>6688</v>
      </c>
      <c r="P725" s="40">
        <v>14204.71</v>
      </c>
      <c r="Q725" s="40">
        <f t="shared" si="69"/>
        <v>6688</v>
      </c>
      <c r="R725" s="40">
        <f t="shared" si="69"/>
        <v>14204.71</v>
      </c>
      <c r="S725" s="40">
        <f>ROUND('Смета ЕР (общ) '!$N725*'Смета ЕР (общ) '!$Q725,2)</f>
        <v>0</v>
      </c>
      <c r="T725" s="40">
        <f>ROUND('Смета ЕР (общ) '!$N725*'Смета ЕР (общ) '!$R725,2)</f>
        <v>0</v>
      </c>
    </row>
    <row r="726" spans="1:20" ht="24" x14ac:dyDescent="0.3">
      <c r="A726" s="95" t="s">
        <v>716</v>
      </c>
      <c r="B726" s="95">
        <v>3</v>
      </c>
      <c r="C726" s="95"/>
      <c r="D726" s="95">
        <v>61</v>
      </c>
      <c r="E726" s="95" t="str">
        <f>CONCATENATE('Смета ЕР (общ) '!$A726,".",'Смета ЕР (общ) '!$B726,".",'Смета ЕР (общ) '!$D726)</f>
        <v>Р5.3.61</v>
      </c>
      <c r="F726" s="95">
        <f t="shared" si="70"/>
        <v>1</v>
      </c>
      <c r="G726" s="95"/>
      <c r="H726" s="95"/>
      <c r="I726" s="95"/>
      <c r="J726" s="95"/>
      <c r="K726" s="95"/>
      <c r="L726" s="96" t="s">
        <v>791</v>
      </c>
      <c r="M726" s="38" t="s">
        <v>118</v>
      </c>
      <c r="N726" s="39"/>
      <c r="O726" s="40">
        <v>6688</v>
      </c>
      <c r="P726" s="40">
        <v>8405.31</v>
      </c>
      <c r="Q726" s="40">
        <f t="shared" si="69"/>
        <v>6688</v>
      </c>
      <c r="R726" s="40">
        <f t="shared" si="69"/>
        <v>8405.31</v>
      </c>
      <c r="S726" s="40">
        <f>ROUND('Смета ЕР (общ) '!$N726*'Смета ЕР (общ) '!$Q726,2)</f>
        <v>0</v>
      </c>
      <c r="T726" s="40">
        <f>ROUND('Смета ЕР (общ) '!$N726*'Смета ЕР (общ) '!$R726,2)</f>
        <v>0</v>
      </c>
    </row>
    <row r="727" spans="1:20" ht="24" x14ac:dyDescent="0.3">
      <c r="A727" s="95" t="s">
        <v>716</v>
      </c>
      <c r="B727" s="95">
        <v>3</v>
      </c>
      <c r="C727" s="95"/>
      <c r="D727" s="95">
        <v>39</v>
      </c>
      <c r="E727" s="95" t="str">
        <f>CONCATENATE('Смета ЕР (общ) '!$A727,".",'Смета ЕР (общ) '!$B727,".",'Смета ЕР (общ) '!$D727)</f>
        <v>Р5.3.39</v>
      </c>
      <c r="F727" s="95">
        <f t="shared" si="70"/>
        <v>1</v>
      </c>
      <c r="G727" s="95"/>
      <c r="H727" s="95"/>
      <c r="I727" s="95"/>
      <c r="J727" s="95"/>
      <c r="K727" s="95"/>
      <c r="L727" s="96" t="s">
        <v>792</v>
      </c>
      <c r="M727" s="38" t="s">
        <v>118</v>
      </c>
      <c r="N727" s="39"/>
      <c r="O727" s="40">
        <v>1809.6</v>
      </c>
      <c r="P727" s="40">
        <v>5290.45</v>
      </c>
      <c r="Q727" s="40">
        <f t="shared" si="69"/>
        <v>1809.6</v>
      </c>
      <c r="R727" s="40">
        <f t="shared" si="69"/>
        <v>5290.45</v>
      </c>
      <c r="S727" s="40">
        <f>ROUND('Смета ЕР (общ) '!$N727*'Смета ЕР (общ) '!$Q727,2)</f>
        <v>0</v>
      </c>
      <c r="T727" s="40">
        <f>ROUND('Смета ЕР (общ) '!$N727*'Смета ЕР (общ) '!$R727,2)</f>
        <v>0</v>
      </c>
    </row>
    <row r="728" spans="1:20" ht="24" x14ac:dyDescent="0.3">
      <c r="A728" s="95" t="s">
        <v>716</v>
      </c>
      <c r="B728" s="95">
        <v>3</v>
      </c>
      <c r="C728" s="95"/>
      <c r="D728" s="95">
        <v>40</v>
      </c>
      <c r="E728" s="95" t="str">
        <f>CONCATENATE('Смета ЕР (общ) '!$A728,".",'Смета ЕР (общ) '!$B728,".",'Смета ЕР (общ) '!$D728)</f>
        <v>Р5.3.40</v>
      </c>
      <c r="F728" s="95">
        <f t="shared" si="70"/>
        <v>1</v>
      </c>
      <c r="G728" s="95"/>
      <c r="H728" s="95"/>
      <c r="I728" s="95"/>
      <c r="J728" s="95"/>
      <c r="K728" s="95"/>
      <c r="L728" s="96" t="s">
        <v>793</v>
      </c>
      <c r="M728" s="38" t="s">
        <v>118</v>
      </c>
      <c r="N728" s="39"/>
      <c r="O728" s="40">
        <v>2239.38</v>
      </c>
      <c r="P728" s="40">
        <v>14845.32</v>
      </c>
      <c r="Q728" s="40">
        <f t="shared" si="69"/>
        <v>2239.38</v>
      </c>
      <c r="R728" s="40">
        <f t="shared" si="69"/>
        <v>14845.32</v>
      </c>
      <c r="S728" s="40">
        <f>ROUND('Смета ЕР (общ) '!$N728*'Смета ЕР (общ) '!$Q728,2)</f>
        <v>0</v>
      </c>
      <c r="T728" s="40">
        <f>ROUND('Смета ЕР (общ) '!$N728*'Смета ЕР (общ) '!$R728,2)</f>
        <v>0</v>
      </c>
    </row>
    <row r="729" spans="1:20" ht="24" x14ac:dyDescent="0.3">
      <c r="A729" s="95" t="s">
        <v>716</v>
      </c>
      <c r="B729" s="95">
        <v>3</v>
      </c>
      <c r="C729" s="95"/>
      <c r="D729" s="95">
        <v>41</v>
      </c>
      <c r="E729" s="95" t="str">
        <f>CONCATENATE('Смета ЕР (общ) '!$A729,".",'Смета ЕР (общ) '!$B729,".",'Смета ЕР (общ) '!$D729)</f>
        <v>Р5.3.41</v>
      </c>
      <c r="F729" s="95">
        <f t="shared" si="70"/>
        <v>1</v>
      </c>
      <c r="G729" s="95"/>
      <c r="H729" s="95"/>
      <c r="I729" s="95"/>
      <c r="J729" s="95"/>
      <c r="K729" s="95"/>
      <c r="L729" s="96" t="s">
        <v>794</v>
      </c>
      <c r="M729" s="38" t="s">
        <v>118</v>
      </c>
      <c r="N729" s="39"/>
      <c r="O729" s="40">
        <v>2714.4</v>
      </c>
      <c r="P729" s="40">
        <v>8102.06</v>
      </c>
      <c r="Q729" s="40">
        <f t="shared" si="69"/>
        <v>2714.4</v>
      </c>
      <c r="R729" s="40">
        <f t="shared" si="69"/>
        <v>8102.06</v>
      </c>
      <c r="S729" s="40">
        <f>ROUND('Смета ЕР (общ) '!$N729*'Смета ЕР (общ) '!$Q729,2)</f>
        <v>0</v>
      </c>
      <c r="T729" s="40">
        <f>ROUND('Смета ЕР (общ) '!$N729*'Смета ЕР (общ) '!$R729,2)</f>
        <v>0</v>
      </c>
    </row>
    <row r="730" spans="1:20" ht="24" x14ac:dyDescent="0.3">
      <c r="A730" s="36" t="s">
        <v>716</v>
      </c>
      <c r="B730" s="36">
        <v>3</v>
      </c>
      <c r="C730" s="36"/>
      <c r="D730" s="36">
        <v>42</v>
      </c>
      <c r="E730" s="36" t="str">
        <f>CONCATENATE('Смета ЕР (общ) '!$A730,".",'Смета ЕР (общ) '!$B730,".",'Смета ЕР (общ) '!$D730)</f>
        <v>Р5.3.42</v>
      </c>
      <c r="F730" s="36">
        <f t="shared" si="70"/>
        <v>1</v>
      </c>
      <c r="G730" s="36"/>
      <c r="H730" s="36"/>
      <c r="I730" s="36"/>
      <c r="J730" s="36"/>
      <c r="K730" s="36"/>
      <c r="L730" s="53" t="s">
        <v>795</v>
      </c>
      <c r="M730" s="38" t="s">
        <v>118</v>
      </c>
      <c r="N730" s="39"/>
      <c r="O730" s="40">
        <v>4284.5</v>
      </c>
      <c r="P730" s="40">
        <v>50779.69</v>
      </c>
      <c r="Q730" s="40">
        <f t="shared" si="69"/>
        <v>4284.5</v>
      </c>
      <c r="R730" s="40">
        <f t="shared" si="69"/>
        <v>50779.69</v>
      </c>
      <c r="S730" s="40">
        <f>ROUND('Смета ЕР (общ) '!$N730*'Смета ЕР (общ) '!$Q730,2)</f>
        <v>0</v>
      </c>
      <c r="T730" s="40">
        <f>ROUND('Смета ЕР (общ) '!$N730*'Смета ЕР (общ) '!$R730,2)</f>
        <v>0</v>
      </c>
    </row>
    <row r="731" spans="1:20" ht="14.4" x14ac:dyDescent="0.3">
      <c r="A731" s="36" t="s">
        <v>716</v>
      </c>
      <c r="B731" s="36">
        <v>3</v>
      </c>
      <c r="C731" s="36"/>
      <c r="D731" s="36">
        <v>43</v>
      </c>
      <c r="E731" s="36" t="str">
        <f>CONCATENATE('Смета ЕР (общ) '!$A731,".",'Смета ЕР (общ) '!$B731,".",'Смета ЕР (общ) '!$D731)</f>
        <v>Р5.3.43</v>
      </c>
      <c r="F731" s="36">
        <f t="shared" si="70"/>
        <v>1</v>
      </c>
      <c r="G731" s="36"/>
      <c r="H731" s="36"/>
      <c r="I731" s="36"/>
      <c r="J731" s="36"/>
      <c r="K731" s="36"/>
      <c r="L731" s="53" t="s">
        <v>796</v>
      </c>
      <c r="M731" s="38" t="s">
        <v>118</v>
      </c>
      <c r="N731" s="39"/>
      <c r="O731" s="40">
        <v>6688</v>
      </c>
      <c r="P731" s="40">
        <v>3787.65</v>
      </c>
      <c r="Q731" s="40">
        <f t="shared" si="69"/>
        <v>6688</v>
      </c>
      <c r="R731" s="40">
        <f t="shared" si="69"/>
        <v>3787.65</v>
      </c>
      <c r="S731" s="40">
        <f>ROUND('Смета ЕР (общ) '!$N731*'Смета ЕР (общ) '!$Q731,2)</f>
        <v>0</v>
      </c>
      <c r="T731" s="40">
        <f>ROUND('Смета ЕР (общ) '!$N731*'Смета ЕР (общ) '!$R731,2)</f>
        <v>0</v>
      </c>
    </row>
    <row r="732" spans="1:20" ht="24" x14ac:dyDescent="0.3">
      <c r="A732" s="36" t="s">
        <v>716</v>
      </c>
      <c r="B732" s="36">
        <v>3</v>
      </c>
      <c r="C732" s="36"/>
      <c r="D732" s="36">
        <v>44</v>
      </c>
      <c r="E732" s="36" t="str">
        <f>CONCATENATE('Смета ЕР (общ) '!$A732,".",'Смета ЕР (общ) '!$B732,".",'Смета ЕР (общ) '!$D732)</f>
        <v>Р5.3.44</v>
      </c>
      <c r="F732" s="36">
        <f t="shared" si="70"/>
        <v>1</v>
      </c>
      <c r="G732" s="36"/>
      <c r="H732" s="36"/>
      <c r="I732" s="36"/>
      <c r="J732" s="36"/>
      <c r="K732" s="36"/>
      <c r="L732" s="53" t="s">
        <v>797</v>
      </c>
      <c r="M732" s="38" t="s">
        <v>118</v>
      </c>
      <c r="N732" s="39"/>
      <c r="O732" s="40">
        <v>1492.92</v>
      </c>
      <c r="P732" s="40">
        <v>1416</v>
      </c>
      <c r="Q732" s="40">
        <f t="shared" si="69"/>
        <v>1492.92</v>
      </c>
      <c r="R732" s="40">
        <f t="shared" si="69"/>
        <v>1416</v>
      </c>
      <c r="S732" s="40">
        <f>ROUND('Смета ЕР (общ) '!$N732*'Смета ЕР (общ) '!$Q732,2)</f>
        <v>0</v>
      </c>
      <c r="T732" s="40">
        <f>ROUND('Смета ЕР (общ) '!$N732*'Смета ЕР (общ) '!$R732,2)</f>
        <v>0</v>
      </c>
    </row>
    <row r="733" spans="1:20" ht="14.4" x14ac:dyDescent="0.3">
      <c r="A733" s="36" t="s">
        <v>716</v>
      </c>
      <c r="B733" s="36">
        <v>3</v>
      </c>
      <c r="C733" s="36"/>
      <c r="D733" s="36">
        <v>45</v>
      </c>
      <c r="E733" s="36" t="str">
        <f>CONCATENATE('Смета ЕР (общ) '!$A733,".",'Смета ЕР (общ) '!$B733,".",'Смета ЕР (общ) '!$D733)</f>
        <v>Р5.3.45</v>
      </c>
      <c r="F733" s="36">
        <f t="shared" si="70"/>
        <v>1</v>
      </c>
      <c r="G733" s="36"/>
      <c r="H733" s="36"/>
      <c r="I733" s="36"/>
      <c r="J733" s="36"/>
      <c r="K733" s="36"/>
      <c r="L733" s="53" t="s">
        <v>798</v>
      </c>
      <c r="M733" s="38" t="s">
        <v>118</v>
      </c>
      <c r="N733" s="39"/>
      <c r="O733" s="40">
        <v>1073.8499999999999</v>
      </c>
      <c r="P733" s="40">
        <v>745.94</v>
      </c>
      <c r="Q733" s="40">
        <f t="shared" si="69"/>
        <v>1073.8499999999999</v>
      </c>
      <c r="R733" s="40">
        <f t="shared" si="69"/>
        <v>745.94</v>
      </c>
      <c r="S733" s="40">
        <f>ROUND('Смета ЕР (общ) '!$N733*'Смета ЕР (общ) '!$Q733,2)</f>
        <v>0</v>
      </c>
      <c r="T733" s="40">
        <f>ROUND('Смета ЕР (общ) '!$N733*'Смета ЕР (общ) '!$R733,2)</f>
        <v>0</v>
      </c>
    </row>
    <row r="734" spans="1:20" ht="14.4" x14ac:dyDescent="0.3">
      <c r="A734" s="36" t="s">
        <v>716</v>
      </c>
      <c r="B734" s="36">
        <v>3</v>
      </c>
      <c r="C734" s="36"/>
      <c r="D734" s="36">
        <v>46</v>
      </c>
      <c r="E734" s="36" t="str">
        <f>CONCATENATE('Смета ЕР (общ) '!$A734,".",'Смета ЕР (общ) '!$B734,".",'Смета ЕР (общ) '!$D734)</f>
        <v>Р5.3.46</v>
      </c>
      <c r="F734" s="36">
        <f t="shared" si="70"/>
        <v>1</v>
      </c>
      <c r="G734" s="36"/>
      <c r="H734" s="36"/>
      <c r="I734" s="36"/>
      <c r="J734" s="36"/>
      <c r="K734" s="36"/>
      <c r="L734" s="53" t="s">
        <v>799</v>
      </c>
      <c r="M734" s="38" t="s">
        <v>118</v>
      </c>
      <c r="N734" s="39"/>
      <c r="O734" s="40">
        <v>2612.5</v>
      </c>
      <c r="P734" s="40">
        <v>16205.44</v>
      </c>
      <c r="Q734" s="40">
        <f t="shared" si="69"/>
        <v>2612.5</v>
      </c>
      <c r="R734" s="40">
        <f t="shared" si="69"/>
        <v>16205.44</v>
      </c>
      <c r="S734" s="40">
        <f>ROUND('Смета ЕР (общ) '!$N734*'Смета ЕР (общ) '!$Q734,2)</f>
        <v>0</v>
      </c>
      <c r="T734" s="40">
        <f>ROUND('Смета ЕР (общ) '!$N734*'Смета ЕР (общ) '!$R734,2)</f>
        <v>0</v>
      </c>
    </row>
    <row r="735" spans="1:20" ht="14.4" x14ac:dyDescent="0.3">
      <c r="A735" s="36" t="s">
        <v>716</v>
      </c>
      <c r="B735" s="36">
        <v>3</v>
      </c>
      <c r="C735" s="36"/>
      <c r="D735" s="36">
        <v>47</v>
      </c>
      <c r="E735" s="36" t="str">
        <f>CONCATENATE('Смета ЕР (общ) '!$A735,".",'Смета ЕР (общ) '!$B735,".",'Смета ЕР (общ) '!$D735)</f>
        <v>Р5.3.47</v>
      </c>
      <c r="F735" s="36">
        <f t="shared" si="70"/>
        <v>1</v>
      </c>
      <c r="G735" s="36"/>
      <c r="H735" s="36"/>
      <c r="I735" s="36"/>
      <c r="J735" s="36"/>
      <c r="K735" s="36"/>
      <c r="L735" s="53" t="s">
        <v>800</v>
      </c>
      <c r="M735" s="38" t="s">
        <v>118</v>
      </c>
      <c r="N735" s="39"/>
      <c r="O735" s="40">
        <v>1945.32</v>
      </c>
      <c r="P735" s="40">
        <v>8423.2999999999993</v>
      </c>
      <c r="Q735" s="40">
        <f t="shared" si="69"/>
        <v>1945.32</v>
      </c>
      <c r="R735" s="40">
        <f t="shared" si="69"/>
        <v>8423.2999999999993</v>
      </c>
      <c r="S735" s="40">
        <f>ROUND('Смета ЕР (общ) '!$N735*'Смета ЕР (общ) '!$Q735,2)</f>
        <v>0</v>
      </c>
      <c r="T735" s="40">
        <f>ROUND('Смета ЕР (общ) '!$N735*'Смета ЕР (общ) '!$R735,2)</f>
        <v>0</v>
      </c>
    </row>
    <row r="736" spans="1:20" ht="14.4" x14ac:dyDescent="0.3">
      <c r="A736" s="36" t="s">
        <v>716</v>
      </c>
      <c r="B736" s="36">
        <v>3</v>
      </c>
      <c r="C736" s="36"/>
      <c r="D736" s="36">
        <v>48</v>
      </c>
      <c r="E736" s="36" t="str">
        <f>CONCATENATE('Смета ЕР (общ) '!$A736,".",'Смета ЕР (общ) '!$B736,".",'Смета ЕР (общ) '!$D736)</f>
        <v>Р5.3.48</v>
      </c>
      <c r="F736" s="36">
        <f t="shared" si="70"/>
        <v>1</v>
      </c>
      <c r="G736" s="36"/>
      <c r="H736" s="36"/>
      <c r="I736" s="36"/>
      <c r="J736" s="36"/>
      <c r="K736" s="36"/>
      <c r="L736" s="53" t="s">
        <v>801</v>
      </c>
      <c r="M736" s="38" t="s">
        <v>118</v>
      </c>
      <c r="N736" s="39"/>
      <c r="O736" s="40">
        <v>886.23</v>
      </c>
      <c r="P736" s="40">
        <v>1337.23</v>
      </c>
      <c r="Q736" s="40">
        <f t="shared" si="69"/>
        <v>886.23</v>
      </c>
      <c r="R736" s="40">
        <f t="shared" si="69"/>
        <v>1337.23</v>
      </c>
      <c r="S736" s="40">
        <f>ROUND('Смета ЕР (общ) '!$N736*'Смета ЕР (общ) '!$Q736,2)</f>
        <v>0</v>
      </c>
      <c r="T736" s="40">
        <f>ROUND('Смета ЕР (общ) '!$N736*'Смета ЕР (общ) '!$R736,2)</f>
        <v>0</v>
      </c>
    </row>
    <row r="737" spans="1:25" ht="14.4" x14ac:dyDescent="0.3">
      <c r="A737" s="36" t="s">
        <v>716</v>
      </c>
      <c r="B737" s="36">
        <v>3</v>
      </c>
      <c r="C737" s="36"/>
      <c r="D737" s="36">
        <v>49</v>
      </c>
      <c r="E737" s="36" t="str">
        <f>CONCATENATE('Смета ЕР (общ) '!$A737,".",'Смета ЕР (общ) '!$B737,".",'Смета ЕР (общ) '!$D737)</f>
        <v>Р5.3.49</v>
      </c>
      <c r="F737" s="36">
        <f t="shared" si="70"/>
        <v>1</v>
      </c>
      <c r="G737" s="36"/>
      <c r="H737" s="36"/>
      <c r="I737" s="36"/>
      <c r="J737" s="36"/>
      <c r="K737" s="36"/>
      <c r="L737" s="53" t="s">
        <v>802</v>
      </c>
      <c r="M737" s="38" t="s">
        <v>118</v>
      </c>
      <c r="N737" s="39"/>
      <c r="O737" s="40">
        <v>886.23</v>
      </c>
      <c r="P737" s="40">
        <v>664.81</v>
      </c>
      <c r="Q737" s="40">
        <f t="shared" si="69"/>
        <v>886.23</v>
      </c>
      <c r="R737" s="40">
        <f t="shared" si="69"/>
        <v>664.81</v>
      </c>
      <c r="S737" s="40">
        <f>ROUND('Смета ЕР (общ) '!$N737*'Смета ЕР (общ) '!$Q737,2)</f>
        <v>0</v>
      </c>
      <c r="T737" s="40">
        <f>ROUND('Смета ЕР (общ) '!$N737*'Смета ЕР (общ) '!$R737,2)</f>
        <v>0</v>
      </c>
    </row>
    <row r="738" spans="1:25" ht="14.4" x14ac:dyDescent="0.3">
      <c r="A738" s="36" t="s">
        <v>716</v>
      </c>
      <c r="B738" s="36">
        <v>3</v>
      </c>
      <c r="C738" s="36"/>
      <c r="D738" s="36">
        <v>50</v>
      </c>
      <c r="E738" s="36" t="str">
        <f>CONCATENATE('Смета ЕР (общ) '!$A738,".",'Смета ЕР (общ) '!$B738,".",'Смета ЕР (общ) '!$D738)</f>
        <v>Р5.3.50</v>
      </c>
      <c r="F738" s="36">
        <f t="shared" si="70"/>
        <v>1</v>
      </c>
      <c r="G738" s="36"/>
      <c r="H738" s="36"/>
      <c r="I738" s="36"/>
      <c r="J738" s="36"/>
      <c r="K738" s="36"/>
      <c r="L738" s="53" t="s">
        <v>803</v>
      </c>
      <c r="M738" s="38" t="s">
        <v>118</v>
      </c>
      <c r="N738" s="39"/>
      <c r="O738" s="40">
        <v>886.23</v>
      </c>
      <c r="P738" s="40">
        <v>541.80999999999995</v>
      </c>
      <c r="Q738" s="40">
        <f t="shared" si="69"/>
        <v>886.23</v>
      </c>
      <c r="R738" s="40">
        <f t="shared" si="69"/>
        <v>541.80999999999995</v>
      </c>
      <c r="S738" s="40">
        <f>ROUND('Смета ЕР (общ) '!$N738*'Смета ЕР (общ) '!$Q738,2)</f>
        <v>0</v>
      </c>
      <c r="T738" s="40">
        <f>ROUND('Смета ЕР (общ) '!$N738*'Смета ЕР (общ) '!$R738,2)</f>
        <v>0</v>
      </c>
    </row>
    <row r="739" spans="1:25" ht="14.4" x14ac:dyDescent="0.3">
      <c r="A739" s="36" t="s">
        <v>716</v>
      </c>
      <c r="B739" s="36">
        <v>3</v>
      </c>
      <c r="C739" s="36"/>
      <c r="D739" s="36">
        <v>52</v>
      </c>
      <c r="E739" s="36" t="str">
        <f>CONCATENATE('Смета ЕР (общ) '!$A739,".",'Смета ЕР (общ) '!$B739,".",'Смета ЕР (общ) '!$D739)</f>
        <v>Р5.3.52</v>
      </c>
      <c r="F739" s="36">
        <f t="shared" si="70"/>
        <v>1</v>
      </c>
      <c r="G739" s="36"/>
      <c r="H739" s="36"/>
      <c r="I739" s="36"/>
      <c r="J739" s="36"/>
      <c r="K739" s="36"/>
      <c r="L739" s="53" t="s">
        <v>804</v>
      </c>
      <c r="M739" s="38" t="s">
        <v>118</v>
      </c>
      <c r="N739" s="39"/>
      <c r="O739" s="40">
        <v>886.23</v>
      </c>
      <c r="P739" s="40">
        <v>1421.97</v>
      </c>
      <c r="Q739" s="40">
        <f t="shared" si="69"/>
        <v>886.23</v>
      </c>
      <c r="R739" s="40">
        <f t="shared" si="69"/>
        <v>1421.97</v>
      </c>
      <c r="S739" s="40">
        <f>ROUND('Смета ЕР (общ) '!$N739*'Смета ЕР (общ) '!$Q739,2)</f>
        <v>0</v>
      </c>
      <c r="T739" s="40">
        <f>ROUND('Смета ЕР (общ) '!$N739*'Смета ЕР (общ) '!$R739,2)</f>
        <v>0</v>
      </c>
    </row>
    <row r="740" spans="1:25" ht="14.4" x14ac:dyDescent="0.3">
      <c r="A740" s="36" t="s">
        <v>716</v>
      </c>
      <c r="B740" s="36">
        <v>3</v>
      </c>
      <c r="C740" s="36"/>
      <c r="D740" s="36">
        <v>53</v>
      </c>
      <c r="E740" s="36" t="str">
        <f>CONCATENATE('Смета ЕР (общ) '!$A740,".",'Смета ЕР (общ) '!$B740,".",'Смета ЕР (общ) '!$D740)</f>
        <v>Р5.3.53</v>
      </c>
      <c r="F740" s="36">
        <f t="shared" si="70"/>
        <v>1</v>
      </c>
      <c r="G740" s="36"/>
      <c r="H740" s="36"/>
      <c r="I740" s="36"/>
      <c r="J740" s="36"/>
      <c r="K740" s="36"/>
      <c r="L740" s="53" t="s">
        <v>805</v>
      </c>
      <c r="M740" s="38" t="s">
        <v>118</v>
      </c>
      <c r="N740" s="39"/>
      <c r="O740" s="40">
        <v>1933.25</v>
      </c>
      <c r="P740" s="40">
        <v>6808.91</v>
      </c>
      <c r="Q740" s="40">
        <f t="shared" si="69"/>
        <v>1933.25</v>
      </c>
      <c r="R740" s="40">
        <f t="shared" si="69"/>
        <v>6808.91</v>
      </c>
      <c r="S740" s="40">
        <f>ROUND('Смета ЕР (общ) '!$N740*'Смета ЕР (общ) '!$Q740,2)</f>
        <v>0</v>
      </c>
      <c r="T740" s="40">
        <f>ROUND('Смета ЕР (общ) '!$N740*'Смета ЕР (общ) '!$R740,2)</f>
        <v>0</v>
      </c>
    </row>
    <row r="741" spans="1:25" ht="14.4" x14ac:dyDescent="0.3">
      <c r="A741" s="36" t="s">
        <v>716</v>
      </c>
      <c r="B741" s="36">
        <v>3</v>
      </c>
      <c r="C741" s="36"/>
      <c r="D741" s="36">
        <v>54</v>
      </c>
      <c r="E741" s="36" t="str">
        <f>CONCATENATE('Смета ЕР (общ) '!$A741,".",'Смета ЕР (общ) '!$B741,".",'Смета ЕР (общ) '!$D741)</f>
        <v>Р5.3.54</v>
      </c>
      <c r="F741" s="36">
        <f t="shared" si="70"/>
        <v>1</v>
      </c>
      <c r="G741" s="36"/>
      <c r="H741" s="36"/>
      <c r="I741" s="36"/>
      <c r="J741" s="36"/>
      <c r="K741" s="36"/>
      <c r="L741" s="53" t="s">
        <v>806</v>
      </c>
      <c r="M741" s="38" t="s">
        <v>118</v>
      </c>
      <c r="N741" s="39"/>
      <c r="O741" s="40">
        <v>2612.5</v>
      </c>
      <c r="P741" s="40">
        <v>13675.49</v>
      </c>
      <c r="Q741" s="40">
        <f t="shared" si="69"/>
        <v>2612.5</v>
      </c>
      <c r="R741" s="40">
        <f t="shared" si="69"/>
        <v>13675.49</v>
      </c>
      <c r="S741" s="40">
        <f>ROUND('Смета ЕР (общ) '!$N741*'Смета ЕР (общ) '!$Q741,2)</f>
        <v>0</v>
      </c>
      <c r="T741" s="40">
        <f>ROUND('Смета ЕР (общ) '!$N741*'Смета ЕР (общ) '!$R741,2)</f>
        <v>0</v>
      </c>
    </row>
    <row r="742" spans="1:25" ht="24" x14ac:dyDescent="0.3">
      <c r="A742" s="36" t="s">
        <v>716</v>
      </c>
      <c r="B742" s="36">
        <v>3</v>
      </c>
      <c r="C742" s="36"/>
      <c r="D742" s="36">
        <v>55</v>
      </c>
      <c r="E742" s="36" t="str">
        <f>CONCATENATE('Смета ЕР (общ) '!$A742,".",'Смета ЕР (общ) '!$B742,".",'Смета ЕР (общ) '!$D742)</f>
        <v>Р5.3.55</v>
      </c>
      <c r="F742" s="36">
        <f t="shared" si="70"/>
        <v>1</v>
      </c>
      <c r="G742" s="36"/>
      <c r="H742" s="36"/>
      <c r="I742" s="36"/>
      <c r="J742" s="36"/>
      <c r="K742" s="36"/>
      <c r="L742" s="53" t="s">
        <v>807</v>
      </c>
      <c r="M742" s="38" t="s">
        <v>147</v>
      </c>
      <c r="N742" s="39"/>
      <c r="O742" s="40">
        <v>791.7</v>
      </c>
      <c r="P742" s="40">
        <v>1264.28</v>
      </c>
      <c r="Q742" s="40">
        <f t="shared" si="69"/>
        <v>791.7</v>
      </c>
      <c r="R742" s="40">
        <f t="shared" si="69"/>
        <v>1264.28</v>
      </c>
      <c r="S742" s="40">
        <f>ROUND('Смета ЕР (общ) '!$N742*'Смета ЕР (общ) '!$Q742,2)</f>
        <v>0</v>
      </c>
      <c r="T742" s="40">
        <f>ROUND('Смета ЕР (общ) '!$N742*'Смета ЕР (общ) '!$R742,2)</f>
        <v>0</v>
      </c>
    </row>
    <row r="743" spans="1:25" ht="14.4" x14ac:dyDescent="0.3">
      <c r="A743" s="36" t="s">
        <v>716</v>
      </c>
      <c r="B743" s="36">
        <v>3</v>
      </c>
      <c r="C743" s="36"/>
      <c r="D743" s="36">
        <v>56</v>
      </c>
      <c r="E743" s="36" t="str">
        <f>CONCATENATE('Смета ЕР (общ) '!$A743,".",'Смета ЕР (общ) '!$B743,".",'Смета ЕР (общ) '!$D743)</f>
        <v>Р5.3.56</v>
      </c>
      <c r="F743" s="36">
        <f t="shared" si="70"/>
        <v>1</v>
      </c>
      <c r="G743" s="36"/>
      <c r="H743" s="36"/>
      <c r="I743" s="36"/>
      <c r="J743" s="36"/>
      <c r="K743" s="36"/>
      <c r="L743" s="53" t="s">
        <v>808</v>
      </c>
      <c r="M743" s="38" t="s">
        <v>147</v>
      </c>
      <c r="N743" s="39"/>
      <c r="O743" s="40">
        <v>1073.8499999999999</v>
      </c>
      <c r="P743" s="40">
        <v>630.74</v>
      </c>
      <c r="Q743" s="40">
        <f t="shared" si="69"/>
        <v>1073.8499999999999</v>
      </c>
      <c r="R743" s="40">
        <f t="shared" si="69"/>
        <v>630.74</v>
      </c>
      <c r="S743" s="40">
        <f>ROUND('Смета ЕР (общ) '!$N743*'Смета ЕР (общ) '!$Q743,2)</f>
        <v>0</v>
      </c>
      <c r="T743" s="40">
        <f>ROUND('Смета ЕР (общ) '!$N743*'Смета ЕР (общ) '!$R743,2)</f>
        <v>0</v>
      </c>
    </row>
    <row r="744" spans="1:25" ht="14.4" x14ac:dyDescent="0.3">
      <c r="A744" s="36" t="s">
        <v>716</v>
      </c>
      <c r="B744" s="36">
        <v>3</v>
      </c>
      <c r="C744" s="36"/>
      <c r="D744" s="36">
        <v>58</v>
      </c>
      <c r="E744" s="36" t="str">
        <f>CONCATENATE('Смета ЕР (общ) '!$A744,".",'Смета ЕР (общ) '!$B744,".",'Смета ЕР (общ) '!$D744)</f>
        <v>Р5.3.58</v>
      </c>
      <c r="F744" s="36">
        <f t="shared" si="70"/>
        <v>1</v>
      </c>
      <c r="G744" s="36"/>
      <c r="H744" s="36"/>
      <c r="I744" s="36"/>
      <c r="J744" s="36"/>
      <c r="K744" s="36"/>
      <c r="L744" s="53" t="s">
        <v>809</v>
      </c>
      <c r="M744" s="38" t="s">
        <v>118</v>
      </c>
      <c r="N744" s="39"/>
      <c r="O744" s="40">
        <v>2612.5</v>
      </c>
      <c r="P744" s="40">
        <v>20229.57</v>
      </c>
      <c r="Q744" s="40">
        <f t="shared" si="69"/>
        <v>2612.5</v>
      </c>
      <c r="R744" s="40">
        <f t="shared" si="69"/>
        <v>20229.57</v>
      </c>
      <c r="S744" s="40">
        <f>ROUND('Смета ЕР (общ) '!$N744*'Смета ЕР (общ) '!$Q744,2)</f>
        <v>0</v>
      </c>
      <c r="T744" s="40">
        <f>ROUND('Смета ЕР (общ) '!$N744*'Смета ЕР (общ) '!$R744,2)</f>
        <v>0</v>
      </c>
    </row>
    <row r="745" spans="1:25" ht="14.4" x14ac:dyDescent="0.3">
      <c r="A745" s="36" t="s">
        <v>716</v>
      </c>
      <c r="B745" s="36">
        <v>3</v>
      </c>
      <c r="C745" s="36"/>
      <c r="D745" s="36">
        <v>59</v>
      </c>
      <c r="E745" s="36" t="str">
        <f>CONCATENATE('Смета ЕР (общ) '!$A745,".",'Смета ЕР (общ) '!$B745,".",'Смета ЕР (общ) '!$D745)</f>
        <v>Р5.3.59</v>
      </c>
      <c r="F745" s="36">
        <f t="shared" si="70"/>
        <v>1</v>
      </c>
      <c r="G745" s="36"/>
      <c r="H745" s="36"/>
      <c r="I745" s="36"/>
      <c r="J745" s="36"/>
      <c r="K745" s="36"/>
      <c r="L745" s="53" t="s">
        <v>810</v>
      </c>
      <c r="M745" s="38" t="s">
        <v>118</v>
      </c>
      <c r="N745" s="39"/>
      <c r="O745" s="40">
        <v>886.23</v>
      </c>
      <c r="P745" s="40">
        <v>1374.43</v>
      </c>
      <c r="Q745" s="40">
        <f t="shared" si="69"/>
        <v>886.23</v>
      </c>
      <c r="R745" s="40">
        <f t="shared" si="69"/>
        <v>1374.43</v>
      </c>
      <c r="S745" s="40">
        <f>ROUND('Смета ЕР (общ) '!$N745*'Смета ЕР (общ) '!$Q745,2)</f>
        <v>0</v>
      </c>
      <c r="T745" s="40">
        <f>ROUND('Смета ЕР (общ) '!$N745*'Смета ЕР (общ) '!$R745,2)</f>
        <v>0</v>
      </c>
    </row>
    <row r="746" spans="1:25" ht="14.4" x14ac:dyDescent="0.3">
      <c r="A746" s="48" t="s">
        <v>716</v>
      </c>
      <c r="B746" s="48">
        <v>1</v>
      </c>
      <c r="C746" s="48"/>
      <c r="D746" s="48">
        <v>0</v>
      </c>
      <c r="E746" s="48" t="str">
        <f>CONCATENATE('Смета ЕР (общ) '!$A746,".",'Смета ЕР (общ) '!$B746,".",'Смета ЕР (общ) '!$D746)</f>
        <v>Р5.1.0</v>
      </c>
      <c r="F746" s="48">
        <f t="shared" si="70"/>
        <v>1</v>
      </c>
      <c r="G746" s="48"/>
      <c r="H746" s="48"/>
      <c r="I746" s="48"/>
      <c r="J746" s="48"/>
      <c r="K746" s="48"/>
      <c r="L746" s="140" t="s">
        <v>811</v>
      </c>
      <c r="M746" s="31"/>
      <c r="N746" s="32">
        <f>S746</f>
        <v>0</v>
      </c>
      <c r="O746" s="47"/>
      <c r="P746" s="47"/>
      <c r="Q746" s="34"/>
      <c r="R746" s="34"/>
      <c r="S746" s="34">
        <f>SUM(S747:S751)</f>
        <v>0</v>
      </c>
      <c r="T746" s="34">
        <f>SUM(T747:T751)</f>
        <v>0</v>
      </c>
      <c r="Y746">
        <v>0</v>
      </c>
    </row>
    <row r="747" spans="1:25" ht="24" x14ac:dyDescent="0.3">
      <c r="A747" s="36" t="s">
        <v>716</v>
      </c>
      <c r="B747" s="36">
        <v>1</v>
      </c>
      <c r="C747" s="36"/>
      <c r="D747" s="36">
        <v>1</v>
      </c>
      <c r="E747" s="36" t="str">
        <f>CONCATENATE('Смета ЕР (общ) '!$A747,".",'Смета ЕР (общ) '!$B747,".",'Смета ЕР (общ) '!$D747)</f>
        <v>Р5.1.1</v>
      </c>
      <c r="F747" s="36">
        <f t="shared" si="70"/>
        <v>1</v>
      </c>
      <c r="G747" s="36"/>
      <c r="H747" s="36"/>
      <c r="I747" s="36"/>
      <c r="J747" s="36"/>
      <c r="K747" s="36"/>
      <c r="L747" s="53" t="s">
        <v>812</v>
      </c>
      <c r="M747" s="38" t="s">
        <v>64</v>
      </c>
      <c r="N747" s="39"/>
      <c r="O747" s="40">
        <v>6297.41</v>
      </c>
      <c r="P747" s="40">
        <v>9926.5400000000009</v>
      </c>
      <c r="Q747" s="40">
        <f t="shared" ref="Q747:R750" si="71">ROUND(O747-O747*$V$3,2)</f>
        <v>6297.41</v>
      </c>
      <c r="R747" s="40">
        <f t="shared" si="71"/>
        <v>9926.5400000000009</v>
      </c>
      <c r="S747" s="40">
        <f>ROUND('Смета ЕР (общ) '!$N747*'Смета ЕР (общ) '!$Q747,2)</f>
        <v>0</v>
      </c>
      <c r="T747" s="40">
        <f>ROUND('Смета ЕР (общ) '!$N747*'Смета ЕР (общ) '!$R747,2)</f>
        <v>0</v>
      </c>
    </row>
    <row r="748" spans="1:25" ht="24" x14ac:dyDescent="0.3">
      <c r="A748" s="36" t="s">
        <v>716</v>
      </c>
      <c r="B748" s="36">
        <v>1</v>
      </c>
      <c r="C748" s="36"/>
      <c r="D748" s="36">
        <v>5</v>
      </c>
      <c r="E748" s="36" t="str">
        <f>CONCATENATE('Смета ЕР (общ) '!$A748,".",'Смета ЕР (общ) '!$B748,".",'Смета ЕР (общ) '!$D748)</f>
        <v>Р5.1.5</v>
      </c>
      <c r="F748" s="36">
        <f t="shared" si="70"/>
        <v>1</v>
      </c>
      <c r="G748" s="36"/>
      <c r="H748" s="36"/>
      <c r="I748" s="36"/>
      <c r="J748" s="36"/>
      <c r="K748" s="36"/>
      <c r="L748" s="53" t="s">
        <v>813</v>
      </c>
      <c r="M748" s="38" t="s">
        <v>64</v>
      </c>
      <c r="N748" s="39"/>
      <c r="O748" s="40">
        <v>6965.22</v>
      </c>
      <c r="P748" s="40">
        <v>20099.259999999998</v>
      </c>
      <c r="Q748" s="40">
        <f t="shared" si="71"/>
        <v>6965.22</v>
      </c>
      <c r="R748" s="40">
        <f t="shared" si="71"/>
        <v>20099.259999999998</v>
      </c>
      <c r="S748" s="40">
        <f>ROUND('Смета ЕР (общ) '!$N748*'Смета ЕР (общ) '!$Q748,2)</f>
        <v>0</v>
      </c>
      <c r="T748" s="40">
        <f>ROUND('Смета ЕР (общ) '!$N748*'Смета ЕР (общ) '!$R748,2)</f>
        <v>0</v>
      </c>
    </row>
    <row r="749" spans="1:25" ht="14.4" x14ac:dyDescent="0.3">
      <c r="A749" s="36" t="s">
        <v>716</v>
      </c>
      <c r="B749" s="36">
        <v>1</v>
      </c>
      <c r="C749" s="36"/>
      <c r="D749" s="36">
        <v>2</v>
      </c>
      <c r="E749" s="36" t="str">
        <f>CONCATENATE('Смета ЕР (общ) '!$A749,".",'Смета ЕР (общ) '!$B749,".",'Смета ЕР (общ) '!$D749)</f>
        <v>Р5.1.2</v>
      </c>
      <c r="F749" s="36">
        <f t="shared" si="70"/>
        <v>1</v>
      </c>
      <c r="G749" s="36"/>
      <c r="H749" s="36"/>
      <c r="I749" s="36"/>
      <c r="J749" s="36"/>
      <c r="K749" s="36"/>
      <c r="L749" s="53" t="s">
        <v>814</v>
      </c>
      <c r="M749" s="38" t="s">
        <v>118</v>
      </c>
      <c r="N749" s="39"/>
      <c r="O749" s="40">
        <v>11629.56</v>
      </c>
      <c r="P749" s="40">
        <v>0</v>
      </c>
      <c r="Q749" s="40">
        <f t="shared" si="71"/>
        <v>11629.56</v>
      </c>
      <c r="R749" s="40">
        <f t="shared" si="71"/>
        <v>0</v>
      </c>
      <c r="S749" s="40">
        <f>ROUND('Смета ЕР (общ) '!$N749*'Смета ЕР (общ) '!$Q749,2)</f>
        <v>0</v>
      </c>
      <c r="T749" s="40">
        <f>ROUND('Смета ЕР (общ) '!$N749*'Смета ЕР (общ) '!$R749,2)</f>
        <v>0</v>
      </c>
    </row>
    <row r="750" spans="1:25" ht="14.4" x14ac:dyDescent="0.3">
      <c r="A750" s="36" t="s">
        <v>716</v>
      </c>
      <c r="B750" s="36">
        <v>1</v>
      </c>
      <c r="C750" s="36"/>
      <c r="D750" s="36">
        <v>3</v>
      </c>
      <c r="E750" s="36" t="str">
        <f>CONCATENATE('Смета ЕР (общ) '!$A750,".",'Смета ЕР (общ) '!$B750,".",'Смета ЕР (общ) '!$D750)</f>
        <v>Р5.1.3</v>
      </c>
      <c r="F750" s="36">
        <f t="shared" si="70"/>
        <v>1</v>
      </c>
      <c r="G750" s="36"/>
      <c r="H750" s="36"/>
      <c r="I750" s="36"/>
      <c r="J750" s="36"/>
      <c r="K750" s="36"/>
      <c r="L750" s="53" t="s">
        <v>815</v>
      </c>
      <c r="M750" s="38" t="s">
        <v>118</v>
      </c>
      <c r="N750" s="39"/>
      <c r="O750" s="40">
        <v>2612.5</v>
      </c>
      <c r="P750" s="40">
        <v>12757.59</v>
      </c>
      <c r="Q750" s="40">
        <f t="shared" si="71"/>
        <v>2612.5</v>
      </c>
      <c r="R750" s="40">
        <f t="shared" si="71"/>
        <v>12757.59</v>
      </c>
      <c r="S750" s="40">
        <f>ROUND('Смета ЕР (общ) '!$N750*'Смета ЕР (общ) '!$Q750,2)</f>
        <v>0</v>
      </c>
      <c r="T750" s="40">
        <f>ROUND('Смета ЕР (общ) '!$N750*'Смета ЕР (общ) '!$R750,2)</f>
        <v>0</v>
      </c>
    </row>
    <row r="751" spans="1:25" ht="14.4" x14ac:dyDescent="0.3">
      <c r="A751" s="36" t="s">
        <v>716</v>
      </c>
      <c r="B751" s="36">
        <v>1</v>
      </c>
      <c r="C751" s="36"/>
      <c r="D751" s="36">
        <v>4</v>
      </c>
      <c r="E751" s="36" t="str">
        <f>CONCATENATE('Смета ЕР (общ) '!$A751,".",'Смета ЕР (общ) '!$B751,".",'Смета ЕР (общ) '!$D751)</f>
        <v>Р5.1.4</v>
      </c>
      <c r="F751" s="36">
        <f t="shared" si="70"/>
        <v>1</v>
      </c>
      <c r="G751" s="36"/>
      <c r="H751" s="36"/>
      <c r="I751" s="36"/>
      <c r="J751" s="36"/>
      <c r="K751" s="36"/>
      <c r="L751" s="53" t="s">
        <v>816</v>
      </c>
      <c r="M751" s="38" t="s">
        <v>147</v>
      </c>
      <c r="N751" s="39"/>
      <c r="O751" s="40">
        <v>1017.01</v>
      </c>
      <c r="P751" s="40">
        <v>1361.79</v>
      </c>
      <c r="Q751" s="40">
        <f>ROUND(O751-O751*$V$3,2)</f>
        <v>1017.01</v>
      </c>
      <c r="R751" s="40">
        <f>ROUND(P751-P751*$V$3,2)</f>
        <v>1361.79</v>
      </c>
      <c r="S751" s="40">
        <f>ROUND('Смета ЕР (общ) '!$N751*'Смета ЕР (общ) '!$Q751,2)</f>
        <v>0</v>
      </c>
      <c r="T751" s="40">
        <f>ROUND('Смета ЕР (общ) '!$N751*'Смета ЕР (общ) '!$R751,2)</f>
        <v>0</v>
      </c>
    </row>
    <row r="752" spans="1:25" ht="14.4" x14ac:dyDescent="0.3">
      <c r="A752" s="48" t="s">
        <v>716</v>
      </c>
      <c r="B752" s="48">
        <v>2</v>
      </c>
      <c r="C752" s="48"/>
      <c r="D752" s="48">
        <v>0</v>
      </c>
      <c r="E752" s="48" t="str">
        <f>CONCATENATE('Смета ЕР (общ) '!$A752,".",'Смета ЕР (общ) '!$B752,".",'Смета ЕР (общ) '!$D752)</f>
        <v>Р5.2.0</v>
      </c>
      <c r="F752" s="48">
        <f t="shared" si="70"/>
        <v>1</v>
      </c>
      <c r="G752" s="48"/>
      <c r="H752" s="48"/>
      <c r="I752" s="48"/>
      <c r="J752" s="48"/>
      <c r="K752" s="48"/>
      <c r="L752" s="140" t="s">
        <v>817</v>
      </c>
      <c r="M752" s="31"/>
      <c r="N752" s="32">
        <f>S752</f>
        <v>0</v>
      </c>
      <c r="O752" s="47"/>
      <c r="P752" s="47"/>
      <c r="Q752" s="34"/>
      <c r="R752" s="34"/>
      <c r="S752" s="34">
        <f>SUM(S753:S760)</f>
        <v>0</v>
      </c>
      <c r="T752" s="34">
        <f>SUM(T753:T760)</f>
        <v>0</v>
      </c>
      <c r="Y752">
        <v>0</v>
      </c>
    </row>
    <row r="753" spans="1:25" ht="14.4" x14ac:dyDescent="0.3">
      <c r="A753" s="36" t="s">
        <v>716</v>
      </c>
      <c r="B753" s="36">
        <v>2</v>
      </c>
      <c r="C753" s="36"/>
      <c r="D753" s="36">
        <v>1</v>
      </c>
      <c r="E753" s="36" t="str">
        <f>CONCATENATE('Смета ЕР (общ) '!$A753,".",'Смета ЕР (общ) '!$B753,".",'Смета ЕР (общ) '!$D753)</f>
        <v>Р5.2.1</v>
      </c>
      <c r="F753" s="36">
        <f t="shared" si="70"/>
        <v>1</v>
      </c>
      <c r="G753" s="36"/>
      <c r="H753" s="36"/>
      <c r="I753" s="36"/>
      <c r="J753" s="36"/>
      <c r="K753" s="36"/>
      <c r="L753" s="53" t="s">
        <v>818</v>
      </c>
      <c r="M753" s="38" t="s">
        <v>118</v>
      </c>
      <c r="N753" s="39"/>
      <c r="O753" s="40">
        <v>574.20000000000005</v>
      </c>
      <c r="P753" s="40">
        <v>3076.95</v>
      </c>
      <c r="Q753" s="40">
        <f t="shared" ref="Q753:R760" si="72">ROUND(O753-O753*$V$3,2)</f>
        <v>574.20000000000005</v>
      </c>
      <c r="R753" s="40">
        <f t="shared" si="72"/>
        <v>3076.95</v>
      </c>
      <c r="S753" s="40">
        <f>ROUND('Смета ЕР (общ) '!$N753*'Смета ЕР (общ) '!$Q753,2)</f>
        <v>0</v>
      </c>
      <c r="T753" s="40">
        <f>ROUND('Смета ЕР (общ) '!$N753*'Смета ЕР (общ) '!$R753,2)</f>
        <v>0</v>
      </c>
    </row>
    <row r="754" spans="1:25" ht="24" x14ac:dyDescent="0.3">
      <c r="A754" s="36" t="s">
        <v>716</v>
      </c>
      <c r="B754" s="36">
        <v>2</v>
      </c>
      <c r="C754" s="36"/>
      <c r="D754" s="36">
        <v>2</v>
      </c>
      <c r="E754" s="36" t="str">
        <f>CONCATENATE('Смета ЕР (общ) '!$A754,".",'Смета ЕР (общ) '!$B754,".",'Смета ЕР (общ) '!$D754)</f>
        <v>Р5.2.2</v>
      </c>
      <c r="F754" s="36">
        <f t="shared" si="70"/>
        <v>1</v>
      </c>
      <c r="G754" s="36"/>
      <c r="H754" s="36"/>
      <c r="I754" s="36"/>
      <c r="J754" s="36"/>
      <c r="K754" s="36"/>
      <c r="L754" s="53" t="s">
        <v>819</v>
      </c>
      <c r="M754" s="38" t="s">
        <v>118</v>
      </c>
      <c r="N754" s="39"/>
      <c r="O754" s="40">
        <v>543.16</v>
      </c>
      <c r="P754" s="40">
        <v>26118.41</v>
      </c>
      <c r="Q754" s="40">
        <f t="shared" si="72"/>
        <v>543.16</v>
      </c>
      <c r="R754" s="40">
        <f t="shared" si="72"/>
        <v>26118.41</v>
      </c>
      <c r="S754" s="40">
        <f>ROUND('Смета ЕР (общ) '!$N754*'Смета ЕР (общ) '!$Q754,2)</f>
        <v>0</v>
      </c>
      <c r="T754" s="40">
        <f>ROUND('Смета ЕР (общ) '!$N754*'Смета ЕР (общ) '!$R754,2)</f>
        <v>0</v>
      </c>
    </row>
    <row r="755" spans="1:25" ht="14.4" x14ac:dyDescent="0.3">
      <c r="A755" s="36" t="s">
        <v>716</v>
      </c>
      <c r="B755" s="36">
        <v>2</v>
      </c>
      <c r="C755" s="36"/>
      <c r="D755" s="36">
        <v>3</v>
      </c>
      <c r="E755" s="36" t="str">
        <f>CONCATENATE('Смета ЕР (общ) '!$A755,".",'Смета ЕР (общ) '!$B755,".",'Смета ЕР (общ) '!$D755)</f>
        <v>Р5.2.3</v>
      </c>
      <c r="F755" s="36">
        <f t="shared" si="70"/>
        <v>1</v>
      </c>
      <c r="G755" s="36"/>
      <c r="H755" s="36"/>
      <c r="I755" s="36"/>
      <c r="J755" s="36"/>
      <c r="K755" s="36"/>
      <c r="L755" s="53" t="s">
        <v>820</v>
      </c>
      <c r="M755" s="38" t="s">
        <v>118</v>
      </c>
      <c r="N755" s="39"/>
      <c r="O755" s="40">
        <v>574.20000000000005</v>
      </c>
      <c r="P755" s="40">
        <v>10489.64</v>
      </c>
      <c r="Q755" s="40">
        <f t="shared" si="72"/>
        <v>574.20000000000005</v>
      </c>
      <c r="R755" s="40">
        <f t="shared" si="72"/>
        <v>10489.64</v>
      </c>
      <c r="S755" s="40">
        <f>ROUND('Смета ЕР (общ) '!$N755*'Смета ЕР (общ) '!$Q755,2)</f>
        <v>0</v>
      </c>
      <c r="T755" s="40">
        <f>ROUND('Смета ЕР (общ) '!$N755*'Смета ЕР (общ) '!$R755,2)</f>
        <v>0</v>
      </c>
    </row>
    <row r="756" spans="1:25" ht="24" x14ac:dyDescent="0.3">
      <c r="A756" s="36" t="s">
        <v>716</v>
      </c>
      <c r="B756" s="36">
        <v>2</v>
      </c>
      <c r="C756" s="36"/>
      <c r="D756" s="36">
        <v>4</v>
      </c>
      <c r="E756" s="36" t="str">
        <f>CONCATENATE('Смета ЕР (общ) '!$A756,".",'Смета ЕР (общ) '!$B756,".",'Смета ЕР (общ) '!$D756)</f>
        <v>Р5.2.4</v>
      </c>
      <c r="F756" s="36">
        <f t="shared" si="70"/>
        <v>1</v>
      </c>
      <c r="G756" s="36"/>
      <c r="H756" s="36"/>
      <c r="I756" s="36"/>
      <c r="J756" s="36"/>
      <c r="K756" s="36"/>
      <c r="L756" s="53" t="s">
        <v>821</v>
      </c>
      <c r="M756" s="38" t="s">
        <v>118</v>
      </c>
      <c r="N756" s="39"/>
      <c r="O756" s="40">
        <v>574.20000000000005</v>
      </c>
      <c r="P756" s="40">
        <v>12098.48</v>
      </c>
      <c r="Q756" s="40">
        <f t="shared" si="72"/>
        <v>574.20000000000005</v>
      </c>
      <c r="R756" s="40">
        <f t="shared" si="72"/>
        <v>12098.48</v>
      </c>
      <c r="S756" s="40">
        <f>ROUND('Смета ЕР (общ) '!$N756*'Смета ЕР (общ) '!$Q756,2)</f>
        <v>0</v>
      </c>
      <c r="T756" s="40">
        <f>ROUND('Смета ЕР (общ) '!$N756*'Смета ЕР (общ) '!$R756,2)</f>
        <v>0</v>
      </c>
    </row>
    <row r="757" spans="1:25" ht="14.4" x14ac:dyDescent="0.3">
      <c r="A757" s="36" t="s">
        <v>716</v>
      </c>
      <c r="B757" s="36">
        <v>2</v>
      </c>
      <c r="C757" s="36"/>
      <c r="D757" s="36">
        <v>5</v>
      </c>
      <c r="E757" s="36" t="str">
        <f>CONCATENATE('Смета ЕР (общ) '!$A757,".",'Смета ЕР (общ) '!$B757,".",'Смета ЕР (общ) '!$D757)</f>
        <v>Р5.2.5</v>
      </c>
      <c r="F757" s="36">
        <f t="shared" si="70"/>
        <v>1</v>
      </c>
      <c r="G757" s="36"/>
      <c r="H757" s="36"/>
      <c r="I757" s="36"/>
      <c r="J757" s="36"/>
      <c r="K757" s="36"/>
      <c r="L757" s="53" t="s">
        <v>822</v>
      </c>
      <c r="M757" s="38" t="s">
        <v>118</v>
      </c>
      <c r="N757" s="39"/>
      <c r="O757" s="40">
        <v>626.4</v>
      </c>
      <c r="P757" s="40">
        <v>8055.34</v>
      </c>
      <c r="Q757" s="40">
        <f t="shared" si="72"/>
        <v>626.4</v>
      </c>
      <c r="R757" s="40">
        <f t="shared" si="72"/>
        <v>8055.34</v>
      </c>
      <c r="S757" s="40">
        <f>ROUND('Смета ЕР (общ) '!$N757*'Смета ЕР (общ) '!$Q757,2)</f>
        <v>0</v>
      </c>
      <c r="T757" s="40">
        <f>ROUND('Смета ЕР (общ) '!$N757*'Смета ЕР (общ) '!$R757,2)</f>
        <v>0</v>
      </c>
    </row>
    <row r="758" spans="1:25" ht="14.4" x14ac:dyDescent="0.3">
      <c r="A758" s="36" t="s">
        <v>716</v>
      </c>
      <c r="B758" s="36">
        <v>2</v>
      </c>
      <c r="C758" s="36"/>
      <c r="D758" s="36">
        <v>6</v>
      </c>
      <c r="E758" s="36" t="str">
        <f>CONCATENATE('Смета ЕР (общ) '!$A758,".",'Смета ЕР (общ) '!$B758,".",'Смета ЕР (общ) '!$D758)</f>
        <v>Р5.2.6</v>
      </c>
      <c r="F758" s="36">
        <f t="shared" si="70"/>
        <v>1</v>
      </c>
      <c r="G758" s="36"/>
      <c r="H758" s="36"/>
      <c r="I758" s="36"/>
      <c r="J758" s="36"/>
      <c r="K758" s="36"/>
      <c r="L758" s="53" t="s">
        <v>823</v>
      </c>
      <c r="M758" s="38" t="s">
        <v>118</v>
      </c>
      <c r="N758" s="39"/>
      <c r="O758" s="40">
        <v>543.16</v>
      </c>
      <c r="P758" s="40">
        <v>6715.96</v>
      </c>
      <c r="Q758" s="40">
        <f t="shared" si="72"/>
        <v>543.16</v>
      </c>
      <c r="R758" s="40">
        <f t="shared" si="72"/>
        <v>6715.96</v>
      </c>
      <c r="S758" s="40">
        <f>ROUND('Смета ЕР (общ) '!$N758*'Смета ЕР (общ) '!$Q758,2)</f>
        <v>0</v>
      </c>
      <c r="T758" s="40">
        <f>ROUND('Смета ЕР (общ) '!$N758*'Смета ЕР (общ) '!$R758,2)</f>
        <v>0</v>
      </c>
    </row>
    <row r="759" spans="1:25" ht="14.4" x14ac:dyDescent="0.3">
      <c r="A759" s="36" t="s">
        <v>716</v>
      </c>
      <c r="B759" s="36">
        <v>2</v>
      </c>
      <c r="C759" s="36"/>
      <c r="D759" s="36">
        <v>7</v>
      </c>
      <c r="E759" s="36" t="str">
        <f>CONCATENATE('Смета ЕР (общ) '!$A759,".",'Смета ЕР (общ) '!$B759,".",'Смета ЕР (общ) '!$D759)</f>
        <v>Р5.2.7</v>
      </c>
      <c r="F759" s="36">
        <f t="shared" si="70"/>
        <v>1</v>
      </c>
      <c r="G759" s="36"/>
      <c r="H759" s="36"/>
      <c r="I759" s="36"/>
      <c r="J759" s="36"/>
      <c r="K759" s="36"/>
      <c r="L759" s="53" t="s">
        <v>824</v>
      </c>
      <c r="M759" s="38" t="s">
        <v>118</v>
      </c>
      <c r="N759" s="39"/>
      <c r="O759" s="40">
        <v>574.20000000000005</v>
      </c>
      <c r="P759" s="40">
        <v>9209.36</v>
      </c>
      <c r="Q759" s="40">
        <f t="shared" si="72"/>
        <v>574.20000000000005</v>
      </c>
      <c r="R759" s="40">
        <f t="shared" si="72"/>
        <v>9209.36</v>
      </c>
      <c r="S759" s="40">
        <f>ROUND('Смета ЕР (общ) '!$N759*'Смета ЕР (общ) '!$Q759,2)</f>
        <v>0</v>
      </c>
      <c r="T759" s="40">
        <f>ROUND('Смета ЕР (общ) '!$N759*'Смета ЕР (общ) '!$R759,2)</f>
        <v>0</v>
      </c>
    </row>
    <row r="760" spans="1:25" ht="14.4" x14ac:dyDescent="0.3">
      <c r="A760" s="36" t="s">
        <v>716</v>
      </c>
      <c r="B760" s="36">
        <v>2</v>
      </c>
      <c r="C760" s="36"/>
      <c r="D760" s="36">
        <v>8</v>
      </c>
      <c r="E760" s="36" t="str">
        <f>CONCATENATE('Смета ЕР (общ) '!$A760,".",'Смета ЕР (общ) '!$B760,".",'Смета ЕР (общ) '!$D760)</f>
        <v>Р5.2.8</v>
      </c>
      <c r="F760" s="36">
        <f t="shared" si="70"/>
        <v>1</v>
      </c>
      <c r="G760" s="36"/>
      <c r="H760" s="36"/>
      <c r="I760" s="36"/>
      <c r="J760" s="36"/>
      <c r="K760" s="36"/>
      <c r="L760" s="53" t="s">
        <v>825</v>
      </c>
      <c r="M760" s="38" t="s">
        <v>118</v>
      </c>
      <c r="N760" s="39"/>
      <c r="O760" s="40">
        <v>10450</v>
      </c>
      <c r="P760" s="40">
        <v>2341.35</v>
      </c>
      <c r="Q760" s="40">
        <f t="shared" si="72"/>
        <v>10450</v>
      </c>
      <c r="R760" s="40">
        <f t="shared" si="72"/>
        <v>2341.35</v>
      </c>
      <c r="S760" s="40">
        <f>ROUND('Смета ЕР (общ) '!$N760*'Смета ЕР (общ) '!$Q760,2)</f>
        <v>0</v>
      </c>
      <c r="T760" s="40">
        <f>ROUND('Смета ЕР (общ) '!$N760*'Смета ЕР (общ) '!$R760,2)</f>
        <v>0</v>
      </c>
    </row>
    <row r="761" spans="1:25" ht="14.4" x14ac:dyDescent="0.3">
      <c r="A761" s="48" t="s">
        <v>716</v>
      </c>
      <c r="B761" s="48">
        <v>4</v>
      </c>
      <c r="C761" s="48"/>
      <c r="D761" s="48">
        <v>0</v>
      </c>
      <c r="E761" s="48" t="str">
        <f>CONCATENATE('Смета ЕР (общ) '!$A761,".",'Смета ЕР (общ) '!$B761,".",'Смета ЕР (общ) '!$D761)</f>
        <v>Р5.4.0</v>
      </c>
      <c r="F761" s="48">
        <f t="shared" si="70"/>
        <v>1</v>
      </c>
      <c r="G761" s="48"/>
      <c r="H761" s="48"/>
      <c r="I761" s="48"/>
      <c r="J761" s="48"/>
      <c r="K761" s="48"/>
      <c r="L761" s="140" t="s">
        <v>826</v>
      </c>
      <c r="M761" s="31"/>
      <c r="N761" s="32">
        <f>S761</f>
        <v>0</v>
      </c>
      <c r="O761" s="47"/>
      <c r="P761" s="47"/>
      <c r="Q761" s="34"/>
      <c r="R761" s="34"/>
      <c r="S761" s="34">
        <f>SUM(S762:S763)</f>
        <v>0</v>
      </c>
      <c r="T761" s="34">
        <f>SUM(T762:T763)</f>
        <v>0</v>
      </c>
      <c r="Y761">
        <v>0</v>
      </c>
    </row>
    <row r="762" spans="1:25" ht="14.4" x14ac:dyDescent="0.3">
      <c r="A762" s="36" t="s">
        <v>716</v>
      </c>
      <c r="B762" s="36">
        <v>4</v>
      </c>
      <c r="C762" s="36"/>
      <c r="D762" s="36">
        <v>5</v>
      </c>
      <c r="E762" s="36" t="str">
        <f>CONCATENATE('Смета ЕР (общ) '!$A762,".",'Смета ЕР (общ) '!$B762,".",'Смета ЕР (общ) '!$D762)</f>
        <v>Р5.4.5</v>
      </c>
      <c r="F762" s="36">
        <f t="shared" si="70"/>
        <v>1</v>
      </c>
      <c r="G762" s="36"/>
      <c r="H762" s="36"/>
      <c r="I762" s="36"/>
      <c r="J762" s="36"/>
      <c r="K762" s="36"/>
      <c r="L762" s="53" t="s">
        <v>827</v>
      </c>
      <c r="M762" s="38" t="s">
        <v>118</v>
      </c>
      <c r="N762" s="39"/>
      <c r="O762" s="40">
        <v>4180</v>
      </c>
      <c r="P762" s="40">
        <v>0</v>
      </c>
      <c r="Q762" s="40">
        <f>ROUND(O762-O762*$V$3,2)</f>
        <v>4180</v>
      </c>
      <c r="R762" s="40">
        <f>ROUND(P762-P762*$V$3,2)</f>
        <v>0</v>
      </c>
      <c r="S762" s="40">
        <f>ROUND('Смета ЕР (общ) '!$N762*'Смета ЕР (общ) '!$Q762,2)</f>
        <v>0</v>
      </c>
      <c r="T762" s="40">
        <f>ROUND('Смета ЕР (общ) '!$N762*'Смета ЕР (общ) '!$R762,2)</f>
        <v>0</v>
      </c>
    </row>
    <row r="763" spans="1:25" ht="24" x14ac:dyDescent="0.3">
      <c r="A763" s="36" t="s">
        <v>716</v>
      </c>
      <c r="B763" s="36">
        <v>4</v>
      </c>
      <c r="C763" s="36"/>
      <c r="D763" s="36">
        <v>1</v>
      </c>
      <c r="E763" s="36" t="str">
        <f>CONCATENATE('Смета ЕР (общ) '!$A763,".",'Смета ЕР (общ) '!$B763,".",'Смета ЕР (общ) '!$D763)</f>
        <v>Р5.4.1</v>
      </c>
      <c r="F763" s="36">
        <f t="shared" si="70"/>
        <v>1</v>
      </c>
      <c r="G763" s="36"/>
      <c r="H763" s="36"/>
      <c r="I763" s="36"/>
      <c r="J763" s="36"/>
      <c r="K763" s="36"/>
      <c r="L763" s="53" t="s">
        <v>828</v>
      </c>
      <c r="M763" s="38" t="s">
        <v>40</v>
      </c>
      <c r="N763" s="39"/>
      <c r="O763" s="40">
        <v>2714.4</v>
      </c>
      <c r="P763" s="40">
        <v>5834.72</v>
      </c>
      <c r="Q763" s="40">
        <f>ROUND(O763-O763*$V$3,2)</f>
        <v>2714.4</v>
      </c>
      <c r="R763" s="40">
        <f>ROUND(P763-P763*$V$3,2)</f>
        <v>5834.72</v>
      </c>
      <c r="S763" s="40">
        <f>ROUND('Смета ЕР (общ) '!$N763*'Смета ЕР (общ) '!$Q763,2)</f>
        <v>0</v>
      </c>
      <c r="T763" s="40">
        <f>ROUND('Смета ЕР (общ) '!$N763*'Смета ЕР (общ) '!$R763,2)</f>
        <v>0</v>
      </c>
    </row>
    <row r="764" spans="1:25" ht="14.4" x14ac:dyDescent="0.3">
      <c r="A764" s="29" t="s">
        <v>829</v>
      </c>
      <c r="B764" s="29">
        <v>0</v>
      </c>
      <c r="C764" s="29"/>
      <c r="D764" s="29">
        <v>0</v>
      </c>
      <c r="E764" s="29" t="str">
        <f>CONCATENATE('Смета ЕР (общ) '!$A764,".",'Смета ЕР (общ) '!$B764,".",'Смета ЕР (общ) '!$D764)</f>
        <v>Р6.0.0</v>
      </c>
      <c r="F764" s="29">
        <f t="shared" si="70"/>
        <v>1</v>
      </c>
      <c r="G764" s="29"/>
      <c r="H764" s="29"/>
      <c r="I764" s="29"/>
      <c r="J764" s="29"/>
      <c r="K764" s="29"/>
      <c r="L764" s="30" t="s">
        <v>830</v>
      </c>
      <c r="M764" s="31"/>
      <c r="N764" s="32">
        <f>S764</f>
        <v>0</v>
      </c>
      <c r="O764" s="47"/>
      <c r="P764" s="47"/>
      <c r="Q764" s="34"/>
      <c r="R764" s="34"/>
      <c r="S764" s="34">
        <f>ROUND(S765,2)</f>
        <v>0</v>
      </c>
      <c r="T764" s="34">
        <f>ROUND(T765,2)</f>
        <v>0</v>
      </c>
      <c r="U764" s="101"/>
      <c r="Y764">
        <v>246510.68</v>
      </c>
    </row>
    <row r="765" spans="1:25" ht="14.4" x14ac:dyDescent="0.3">
      <c r="A765" s="29" t="s">
        <v>829</v>
      </c>
      <c r="B765" s="29">
        <v>1</v>
      </c>
      <c r="C765" s="29"/>
      <c r="D765" s="29">
        <v>0</v>
      </c>
      <c r="E765" s="29" t="str">
        <f>CONCATENATE('Смета ЕР (общ) '!$A765,".",'Смета ЕР (общ) '!$B765,".",'Смета ЕР (общ) '!$D765)</f>
        <v>Р6.1.0</v>
      </c>
      <c r="F765" s="29">
        <f t="shared" si="70"/>
        <v>1</v>
      </c>
      <c r="G765" s="29"/>
      <c r="H765" s="29"/>
      <c r="I765" s="29"/>
      <c r="J765" s="29"/>
      <c r="K765" s="29"/>
      <c r="L765" s="30" t="s">
        <v>831</v>
      </c>
      <c r="M765" s="31"/>
      <c r="N765" s="32">
        <f>S765</f>
        <v>0</v>
      </c>
      <c r="O765" s="47"/>
      <c r="P765" s="47"/>
      <c r="Q765" s="34"/>
      <c r="R765" s="34"/>
      <c r="S765" s="34">
        <f>SUM(S766:S891)</f>
        <v>0</v>
      </c>
      <c r="T765" s="34">
        <f>SUM(T766:T891)</f>
        <v>0</v>
      </c>
      <c r="Y765">
        <v>246510.68000000002</v>
      </c>
    </row>
    <row r="766" spans="1:25" ht="14.4" x14ac:dyDescent="0.3">
      <c r="A766" s="36" t="s">
        <v>829</v>
      </c>
      <c r="B766" s="36">
        <v>1</v>
      </c>
      <c r="C766" s="36"/>
      <c r="D766" s="36">
        <v>1</v>
      </c>
      <c r="E766" s="36" t="str">
        <f>CONCATENATE('Смета ЕР (общ) '!$A766,".",'Смета ЕР (общ) '!$B766,".",'Смета ЕР (общ) '!$D766)</f>
        <v>Р6.1.1</v>
      </c>
      <c r="F766" s="36">
        <f t="shared" si="70"/>
        <v>1</v>
      </c>
      <c r="G766" s="36"/>
      <c r="H766" s="36"/>
      <c r="I766" s="36"/>
      <c r="J766" s="36"/>
      <c r="K766" s="36"/>
      <c r="L766" s="37" t="s">
        <v>832</v>
      </c>
      <c r="M766" s="38" t="s">
        <v>118</v>
      </c>
      <c r="N766" s="39"/>
      <c r="O766" s="40">
        <v>2090</v>
      </c>
      <c r="P766" s="40">
        <v>0</v>
      </c>
      <c r="Q766" s="40">
        <f t="shared" ref="Q766:R769" si="73">ROUND(O766-O766*$V$3,2)</f>
        <v>2090</v>
      </c>
      <c r="R766" s="40">
        <f t="shared" si="73"/>
        <v>0</v>
      </c>
      <c r="S766" s="40">
        <f>ROUND('Смета ЕР (общ) '!$N766*'Смета ЕР (общ) '!$Q766,2)</f>
        <v>0</v>
      </c>
      <c r="T766" s="40">
        <f>ROUND('Смета ЕР (общ) '!$N766*'Смета ЕР (общ) '!$R766,2)</f>
        <v>0</v>
      </c>
      <c r="Y766">
        <v>3</v>
      </c>
    </row>
    <row r="767" spans="1:25" ht="24" x14ac:dyDescent="0.3">
      <c r="A767" s="36" t="s">
        <v>829</v>
      </c>
      <c r="B767" s="36">
        <v>1</v>
      </c>
      <c r="C767" s="36"/>
      <c r="D767" s="36">
        <v>2</v>
      </c>
      <c r="E767" s="36" t="str">
        <f>CONCATENATE('Смета ЕР (общ) '!$A767,".",'Смета ЕР (общ) '!$B767,".",'Смета ЕР (общ) '!$D767)</f>
        <v>Р6.1.2</v>
      </c>
      <c r="F767" s="36">
        <f t="shared" si="70"/>
        <v>1</v>
      </c>
      <c r="G767" s="36"/>
      <c r="H767" s="36"/>
      <c r="I767" s="36"/>
      <c r="J767" s="36"/>
      <c r="K767" s="36"/>
      <c r="L767" s="37" t="s">
        <v>833</v>
      </c>
      <c r="M767" s="38" t="s">
        <v>118</v>
      </c>
      <c r="N767" s="39"/>
      <c r="O767" s="40">
        <v>4702.5</v>
      </c>
      <c r="P767" s="40">
        <v>0</v>
      </c>
      <c r="Q767" s="40">
        <f t="shared" si="73"/>
        <v>4702.5</v>
      </c>
      <c r="R767" s="40">
        <f t="shared" si="73"/>
        <v>0</v>
      </c>
      <c r="S767" s="40">
        <f>ROUND('Смета ЕР (общ) '!$N767*'Смета ЕР (общ) '!$Q767,2)</f>
        <v>0</v>
      </c>
      <c r="T767" s="40">
        <f>ROUND('Смета ЕР (общ) '!$N767*'Смета ЕР (общ) '!$R767,2)</f>
        <v>0</v>
      </c>
      <c r="Y767">
        <v>3</v>
      </c>
    </row>
    <row r="768" spans="1:25" ht="14.4" x14ac:dyDescent="0.3">
      <c r="A768" s="36" t="s">
        <v>829</v>
      </c>
      <c r="B768" s="36">
        <v>1</v>
      </c>
      <c r="C768" s="36"/>
      <c r="D768" s="36">
        <v>19</v>
      </c>
      <c r="E768" s="36" t="str">
        <f>CONCATENATE('Смета ЕР (общ) '!$A768,".",'Смета ЕР (общ) '!$B768,".",'Смета ЕР (общ) '!$D768)</f>
        <v>Р6.1.19</v>
      </c>
      <c r="F768" s="36">
        <f t="shared" si="70"/>
        <v>1</v>
      </c>
      <c r="G768" s="36"/>
      <c r="H768" s="36"/>
      <c r="I768" s="36"/>
      <c r="J768" s="36"/>
      <c r="K768" s="36"/>
      <c r="L768" s="37" t="s">
        <v>834</v>
      </c>
      <c r="M768" s="54" t="s">
        <v>835</v>
      </c>
      <c r="N768" s="39"/>
      <c r="O768" s="40">
        <v>470.25</v>
      </c>
      <c r="P768" s="40">
        <f>[1]Радиаторы!BC32/10</f>
        <v>971.25</v>
      </c>
      <c r="Q768" s="40">
        <f>ROUND(O768-O768*$V$3,2)</f>
        <v>470.25</v>
      </c>
      <c r="R768" s="66">
        <f>P768</f>
        <v>971.25</v>
      </c>
      <c r="S768" s="40">
        <f>ROUND('Смета ЕР (общ) '!$N768*'Смета ЕР (общ) '!$Q768,2)</f>
        <v>0</v>
      </c>
      <c r="T768" s="40">
        <f>ROUND('Смета ЕР (общ) '!$N768*'Смета ЕР (общ) '!$R768,2)</f>
        <v>0</v>
      </c>
      <c r="U768" s="67" t="s">
        <v>836</v>
      </c>
    </row>
    <row r="769" spans="1:25" ht="18" customHeight="1" x14ac:dyDescent="0.3">
      <c r="A769" s="36" t="s">
        <v>829</v>
      </c>
      <c r="B769" s="36">
        <v>1</v>
      </c>
      <c r="C769" s="36"/>
      <c r="D769" s="36">
        <v>53</v>
      </c>
      <c r="E769" s="36" t="str">
        <f>CONCATENATE('Смета ЕР (общ) '!$A769,".",'Смета ЕР (общ) '!$B769,".",'Смета ЕР (общ) '!$D769)</f>
        <v>Р6.1.53</v>
      </c>
      <c r="F769" s="36">
        <f t="shared" si="70"/>
        <v>1</v>
      </c>
      <c r="G769" s="36"/>
      <c r="H769" s="36"/>
      <c r="I769" s="36"/>
      <c r="J769" s="36"/>
      <c r="K769" s="36"/>
      <c r="L769" s="37" t="s">
        <v>837</v>
      </c>
      <c r="M769" s="54" t="s">
        <v>835</v>
      </c>
      <c r="N769" s="39"/>
      <c r="O769" s="40">
        <v>470.25</v>
      </c>
      <c r="P769" s="40">
        <f>[1]Радиаторы!BC33/10</f>
        <v>993.3</v>
      </c>
      <c r="Q769" s="40">
        <f t="shared" si="73"/>
        <v>470.25</v>
      </c>
      <c r="R769" s="66">
        <f t="shared" ref="R769:R770" si="74">P769</f>
        <v>993.3</v>
      </c>
      <c r="S769" s="40">
        <f>ROUND('Смета ЕР (общ) '!$N769*'Смета ЕР (общ) '!$Q769,2)</f>
        <v>0</v>
      </c>
      <c r="T769" s="40">
        <f>ROUND('Смета ЕР (общ) '!$N769*'Смета ЕР (общ) '!$R769,2)</f>
        <v>0</v>
      </c>
      <c r="U769" s="67" t="s">
        <v>836</v>
      </c>
      <c r="V769" s="68">
        <v>3.7323831515248027E-2</v>
      </c>
    </row>
    <row r="770" spans="1:25" ht="14.4" x14ac:dyDescent="0.3">
      <c r="A770" s="36" t="s">
        <v>829</v>
      </c>
      <c r="B770" s="36">
        <v>1</v>
      </c>
      <c r="C770" s="36"/>
      <c r="D770" s="36">
        <v>3</v>
      </c>
      <c r="E770" s="36" t="str">
        <f>CONCATENATE('Смета ЕР (общ) '!$A770,".",'Смета ЕР (общ) '!$B770,".",'Смета ЕР (общ) '!$D770)</f>
        <v>Р6.1.3</v>
      </c>
      <c r="F770" s="36">
        <f t="shared" si="70"/>
        <v>1</v>
      </c>
      <c r="G770" s="36"/>
      <c r="H770" s="36"/>
      <c r="I770" s="36"/>
      <c r="J770" s="36"/>
      <c r="K770" s="36"/>
      <c r="L770" s="37" t="s">
        <v>838</v>
      </c>
      <c r="M770" s="54" t="s">
        <v>835</v>
      </c>
      <c r="N770" s="39"/>
      <c r="O770" s="40">
        <v>470.25</v>
      </c>
      <c r="P770" s="40">
        <f>[1]Радиаторы!BC34/10</f>
        <v>1014.3</v>
      </c>
      <c r="Q770" s="40">
        <f>ROUND(O770-O770*$V$3,2)</f>
        <v>470.25</v>
      </c>
      <c r="R770" s="66">
        <f t="shared" si="74"/>
        <v>1014.3</v>
      </c>
      <c r="S770" s="40">
        <f>ROUND('Смета ЕР (общ) '!$N770*'Смета ЕР (общ) '!$Q770,2)</f>
        <v>0</v>
      </c>
      <c r="T770" s="40">
        <f>ROUND('Смета ЕР (общ) '!$N770*'Смета ЕР (общ) '!$R770,2)</f>
        <v>0</v>
      </c>
      <c r="U770" s="67" t="s">
        <v>836</v>
      </c>
      <c r="V770" s="68">
        <v>0.57926586511664935</v>
      </c>
      <c r="Y770">
        <v>30</v>
      </c>
    </row>
    <row r="771" spans="1:25" ht="14.4" x14ac:dyDescent="0.3">
      <c r="A771" s="36" t="s">
        <v>829</v>
      </c>
      <c r="B771" s="36">
        <v>1</v>
      </c>
      <c r="C771" s="36"/>
      <c r="D771" s="36">
        <v>81</v>
      </c>
      <c r="E771" s="36" t="str">
        <f>CONCATENATE('Смета ЕР (общ) '!$A771,".",'Смета ЕР (общ) '!$B771,".",'Смета ЕР (общ) '!$D771)</f>
        <v>Р6.1.81</v>
      </c>
      <c r="F771" s="36">
        <f t="shared" si="70"/>
        <v>1</v>
      </c>
      <c r="G771" s="36"/>
      <c r="H771" s="36"/>
      <c r="I771" s="36"/>
      <c r="J771" s="36"/>
      <c r="K771" s="36"/>
      <c r="L771" s="37" t="s">
        <v>839</v>
      </c>
      <c r="M771" s="54" t="s">
        <v>118</v>
      </c>
      <c r="N771" s="39">
        <f>ROUNDUP(($N$770+$N$768+$N$769)/10,0)</f>
        <v>0</v>
      </c>
      <c r="O771" s="40">
        <v>588.12</v>
      </c>
      <c r="P771" s="40">
        <f>[1]Радиаторы!BC171</f>
        <v>985.95</v>
      </c>
      <c r="Q771" s="40">
        <f t="shared" ref="Q771:R826" si="75">ROUND(O771-O771*$V$3,2)</f>
        <v>588.12</v>
      </c>
      <c r="R771" s="66">
        <f>P771</f>
        <v>985.95</v>
      </c>
      <c r="S771" s="40">
        <f>ROUND('Смета ЕР (общ) '!$N771*'Смета ЕР (общ) '!$Q771,2)</f>
        <v>0</v>
      </c>
      <c r="T771" s="40">
        <f>ROUND('Смета ЕР (общ) '!$N771*'Смета ЕР (общ) '!$R771,2)</f>
        <v>0</v>
      </c>
      <c r="U771" s="67" t="s">
        <v>836</v>
      </c>
      <c r="V771" s="68" t="s">
        <v>840</v>
      </c>
    </row>
    <row r="772" spans="1:25" ht="14.4" x14ac:dyDescent="0.3">
      <c r="A772" s="36" t="s">
        <v>829</v>
      </c>
      <c r="B772" s="36">
        <v>1</v>
      </c>
      <c r="C772" s="36"/>
      <c r="D772" s="36">
        <v>82</v>
      </c>
      <c r="E772" s="36" t="str">
        <f>CONCATENATE('Смета ЕР (общ) '!$A772,".",'Смета ЕР (общ) '!$B772,".",'Смета ЕР (общ) '!$D772)</f>
        <v>Р6.1.82</v>
      </c>
      <c r="F772" s="36">
        <f t="shared" si="70"/>
        <v>1</v>
      </c>
      <c r="G772" s="36"/>
      <c r="H772" s="36"/>
      <c r="I772" s="36"/>
      <c r="J772" s="36"/>
      <c r="K772" s="36"/>
      <c r="L772" s="37" t="s">
        <v>841</v>
      </c>
      <c r="M772" s="38" t="s">
        <v>64</v>
      </c>
      <c r="N772" s="39"/>
      <c r="O772" s="40">
        <v>271.44</v>
      </c>
      <c r="P772" s="40">
        <f>[1]Радиаторы!BC172</f>
        <v>985.95</v>
      </c>
      <c r="Q772" s="40">
        <f t="shared" si="75"/>
        <v>271.44</v>
      </c>
      <c r="R772" s="66">
        <f t="shared" ref="R772:R825" si="76">P772</f>
        <v>985.95</v>
      </c>
      <c r="S772" s="40">
        <f>ROUND('Смета ЕР (общ) '!$N772*'Смета ЕР (общ) '!$Q772,2)</f>
        <v>0</v>
      </c>
      <c r="T772" s="40">
        <f>ROUND('Смета ЕР (общ) '!$N772*'Смета ЕР (общ) '!$R772,2)</f>
        <v>0</v>
      </c>
      <c r="U772" s="67" t="s">
        <v>836</v>
      </c>
      <c r="V772" s="68" t="s">
        <v>842</v>
      </c>
    </row>
    <row r="773" spans="1:25" ht="14.4" x14ac:dyDescent="0.3">
      <c r="A773" s="36" t="s">
        <v>829</v>
      </c>
      <c r="B773" s="36">
        <v>1</v>
      </c>
      <c r="C773" s="36"/>
      <c r="D773" s="36">
        <v>83</v>
      </c>
      <c r="E773" s="36" t="str">
        <f>CONCATENATE('Смета ЕР (общ) '!$A773,".",'Смета ЕР (общ) '!$B773,".",'Смета ЕР (общ) '!$D773)</f>
        <v>Р6.1.83</v>
      </c>
      <c r="F773" s="36">
        <f t="shared" si="70"/>
        <v>1</v>
      </c>
      <c r="G773" s="36"/>
      <c r="H773" s="36"/>
      <c r="I773" s="36"/>
      <c r="J773" s="36"/>
      <c r="K773" s="36"/>
      <c r="L773" s="37" t="s">
        <v>843</v>
      </c>
      <c r="M773" s="38" t="s">
        <v>64</v>
      </c>
      <c r="N773" s="39"/>
      <c r="O773" s="40">
        <v>271.44</v>
      </c>
      <c r="P773" s="40">
        <f>[1]Радиаторы!BC173</f>
        <v>1009.05</v>
      </c>
      <c r="Q773" s="40">
        <f t="shared" si="75"/>
        <v>271.44</v>
      </c>
      <c r="R773" s="66">
        <f t="shared" si="76"/>
        <v>1009.05</v>
      </c>
      <c r="S773" s="40">
        <f>ROUND('Смета ЕР (общ) '!$N773*'Смета ЕР (общ) '!$Q773,2)</f>
        <v>0</v>
      </c>
      <c r="T773" s="40">
        <f>ROUND('Смета ЕР (общ) '!$N773*'Смета ЕР (общ) '!$R773,2)</f>
        <v>0</v>
      </c>
      <c r="U773" s="67" t="s">
        <v>836</v>
      </c>
      <c r="V773" s="68" t="s">
        <v>842</v>
      </c>
    </row>
    <row r="774" spans="1:25" ht="15" customHeight="1" x14ac:dyDescent="0.3">
      <c r="A774" s="36" t="s">
        <v>829</v>
      </c>
      <c r="B774" s="36">
        <v>1</v>
      </c>
      <c r="C774" s="36"/>
      <c r="D774" s="36">
        <v>84</v>
      </c>
      <c r="E774" s="36" t="str">
        <f>CONCATENATE('Смета ЕР (общ) '!$A774,".",'Смета ЕР (общ) '!$B774,".",'Смета ЕР (общ) '!$D774)</f>
        <v>Р6.1.84</v>
      </c>
      <c r="F774" s="36">
        <f t="shared" si="70"/>
        <v>1</v>
      </c>
      <c r="G774" s="36"/>
      <c r="H774" s="36"/>
      <c r="I774" s="36"/>
      <c r="J774" s="36"/>
      <c r="K774" s="36"/>
      <c r="L774" s="37" t="s">
        <v>844</v>
      </c>
      <c r="M774" s="38" t="s">
        <v>64</v>
      </c>
      <c r="N774" s="39"/>
      <c r="O774" s="40">
        <v>271.44</v>
      </c>
      <c r="P774" s="40">
        <f>[1]Радиаторы!BC174</f>
        <v>418.95</v>
      </c>
      <c r="Q774" s="40">
        <f t="shared" si="75"/>
        <v>271.44</v>
      </c>
      <c r="R774" s="66">
        <f t="shared" si="76"/>
        <v>418.95</v>
      </c>
      <c r="S774" s="40">
        <f>ROUND('Смета ЕР (общ) '!$N774*'Смета ЕР (общ) '!$Q774,2)</f>
        <v>0</v>
      </c>
      <c r="T774" s="40">
        <f>ROUND('Смета ЕР (общ) '!$N774*'Смета ЕР (общ) '!$R774,2)</f>
        <v>0</v>
      </c>
      <c r="U774" s="67" t="s">
        <v>836</v>
      </c>
      <c r="V774" s="68"/>
    </row>
    <row r="775" spans="1:25" ht="15" customHeight="1" x14ac:dyDescent="0.3">
      <c r="A775" s="36" t="s">
        <v>829</v>
      </c>
      <c r="B775" s="36">
        <v>1</v>
      </c>
      <c r="C775" s="36"/>
      <c r="D775" s="36">
        <v>85</v>
      </c>
      <c r="E775" s="36" t="str">
        <f>CONCATENATE('Смета ЕР (общ) '!$A775,".",'Смета ЕР (общ) '!$B775,".",'Смета ЕР (общ) '!$D775)</f>
        <v>Р6.1.85</v>
      </c>
      <c r="F775" s="36">
        <f t="shared" si="70"/>
        <v>1</v>
      </c>
      <c r="G775" s="36"/>
      <c r="H775" s="36"/>
      <c r="I775" s="36"/>
      <c r="J775" s="36"/>
      <c r="K775" s="36"/>
      <c r="L775" s="37" t="s">
        <v>845</v>
      </c>
      <c r="M775" s="38" t="s">
        <v>64</v>
      </c>
      <c r="N775" s="39"/>
      <c r="O775" s="40">
        <v>271.44</v>
      </c>
      <c r="P775" s="40">
        <f>[1]Радиаторы!BC175</f>
        <v>515.54999999999995</v>
      </c>
      <c r="Q775" s="40">
        <f t="shared" si="75"/>
        <v>271.44</v>
      </c>
      <c r="R775" s="66">
        <f t="shared" si="76"/>
        <v>515.54999999999995</v>
      </c>
      <c r="S775" s="40">
        <f>ROUND('Смета ЕР (общ) '!$N775*'Смета ЕР (общ) '!$Q775,2)</f>
        <v>0</v>
      </c>
      <c r="T775" s="40">
        <f>ROUND('Смета ЕР (общ) '!$N775*'Смета ЕР (общ) '!$R775,2)</f>
        <v>0</v>
      </c>
      <c r="U775" s="67" t="s">
        <v>836</v>
      </c>
      <c r="V775" s="68"/>
    </row>
    <row r="776" spans="1:25" ht="15" customHeight="1" x14ac:dyDescent="0.3">
      <c r="A776" s="36" t="s">
        <v>829</v>
      </c>
      <c r="B776" s="36">
        <v>1</v>
      </c>
      <c r="C776" s="36"/>
      <c r="D776" s="36">
        <v>86</v>
      </c>
      <c r="E776" s="36" t="str">
        <f>CONCATENATE('Смета ЕР (общ) '!$A776,".",'Смета ЕР (общ) '!$B776,".",'Смета ЕР (общ) '!$D776)</f>
        <v>Р6.1.86</v>
      </c>
      <c r="F776" s="36">
        <f t="shared" si="70"/>
        <v>1</v>
      </c>
      <c r="G776" s="36"/>
      <c r="H776" s="36"/>
      <c r="I776" s="36"/>
      <c r="J776" s="36"/>
      <c r="K776" s="36"/>
      <c r="L776" s="37" t="s">
        <v>846</v>
      </c>
      <c r="M776" s="38" t="s">
        <v>64</v>
      </c>
      <c r="N776" s="39"/>
      <c r="O776" s="40">
        <v>271.44</v>
      </c>
      <c r="P776" s="40">
        <f>[1]Радиаторы!BC176</f>
        <v>1382.85</v>
      </c>
      <c r="Q776" s="40">
        <f t="shared" si="75"/>
        <v>271.44</v>
      </c>
      <c r="R776" s="66">
        <f t="shared" si="76"/>
        <v>1382.85</v>
      </c>
      <c r="S776" s="40">
        <f>ROUND('Смета ЕР (общ) '!$N776*'Смета ЕР (общ) '!$Q776,2)</f>
        <v>0</v>
      </c>
      <c r="T776" s="40">
        <f>ROUND('Смета ЕР (общ) '!$N776*'Смета ЕР (общ) '!$R776,2)</f>
        <v>0</v>
      </c>
      <c r="U776" s="67" t="s">
        <v>836</v>
      </c>
      <c r="V776" s="68" t="s">
        <v>840</v>
      </c>
    </row>
    <row r="777" spans="1:25" ht="15" customHeight="1" x14ac:dyDescent="0.3">
      <c r="A777" s="36" t="s">
        <v>829</v>
      </c>
      <c r="B777" s="36">
        <v>1</v>
      </c>
      <c r="C777" s="36"/>
      <c r="D777" s="36">
        <v>87</v>
      </c>
      <c r="E777" s="36" t="str">
        <f>CONCATENATE('Смета ЕР (общ) '!$A777,".",'Смета ЕР (общ) '!$B777,".",'Смета ЕР (общ) '!$D777)</f>
        <v>Р6.1.87</v>
      </c>
      <c r="F777" s="36">
        <f t="shared" si="70"/>
        <v>1</v>
      </c>
      <c r="G777" s="36"/>
      <c r="H777" s="36"/>
      <c r="I777" s="36"/>
      <c r="J777" s="36"/>
      <c r="K777" s="36"/>
      <c r="L777" s="37" t="s">
        <v>847</v>
      </c>
      <c r="M777" s="38" t="s">
        <v>64</v>
      </c>
      <c r="N777" s="39"/>
      <c r="O777" s="40">
        <v>271.44</v>
      </c>
      <c r="P777" s="40">
        <f>[1]Радиаторы!BC177</f>
        <v>1442.7</v>
      </c>
      <c r="Q777" s="40">
        <f t="shared" si="75"/>
        <v>271.44</v>
      </c>
      <c r="R777" s="66">
        <f t="shared" si="76"/>
        <v>1442.7</v>
      </c>
      <c r="S777" s="40">
        <f>ROUND('Смета ЕР (общ) '!$N777*'Смета ЕР (общ) '!$Q777,2)</f>
        <v>0</v>
      </c>
      <c r="T777" s="40">
        <f>ROUND('Смета ЕР (общ) '!$N777*'Смета ЕР (общ) '!$R777,2)</f>
        <v>0</v>
      </c>
      <c r="U777" s="67" t="s">
        <v>836</v>
      </c>
      <c r="V777" s="68"/>
    </row>
    <row r="778" spans="1:25" ht="14.4" x14ac:dyDescent="0.3">
      <c r="A778" s="36" t="s">
        <v>829</v>
      </c>
      <c r="B778" s="36">
        <v>1</v>
      </c>
      <c r="C778" s="36"/>
      <c r="D778" s="36">
        <v>88</v>
      </c>
      <c r="E778" s="36" t="str">
        <f>CONCATENATE('Смета ЕР (общ) '!$A778,".",'Смета ЕР (общ) '!$B778,".",'Смета ЕР (общ) '!$D778)</f>
        <v>Р6.1.88</v>
      </c>
      <c r="F778" s="36">
        <f t="shared" si="70"/>
        <v>1</v>
      </c>
      <c r="G778" s="36"/>
      <c r="H778" s="36"/>
      <c r="I778" s="36"/>
      <c r="J778" s="36"/>
      <c r="K778" s="36"/>
      <c r="L778" s="37" t="s">
        <v>848</v>
      </c>
      <c r="M778" s="38" t="s">
        <v>64</v>
      </c>
      <c r="N778" s="39">
        <f>ROUNDUP(($N$770+$N$768+$N$769)/10,0)*2</f>
        <v>0</v>
      </c>
      <c r="O778" s="40">
        <v>271.44</v>
      </c>
      <c r="P778" s="40">
        <f>[1]Радиаторы!BC178</f>
        <v>546</v>
      </c>
      <c r="Q778" s="40">
        <f t="shared" si="75"/>
        <v>271.44</v>
      </c>
      <c r="R778" s="66">
        <f t="shared" si="76"/>
        <v>546</v>
      </c>
      <c r="S778" s="40">
        <f>ROUND('Смета ЕР (общ) '!$N778*'Смета ЕР (общ) '!$Q778,2)</f>
        <v>0</v>
      </c>
      <c r="T778" s="40">
        <f>ROUND('Смета ЕР (общ) '!$N778*'Смета ЕР (общ) '!$R778,2)</f>
        <v>0</v>
      </c>
      <c r="U778" s="67" t="s">
        <v>836</v>
      </c>
      <c r="V778" s="68"/>
    </row>
    <row r="779" spans="1:25" ht="14.4" x14ac:dyDescent="0.3">
      <c r="A779" s="36" t="s">
        <v>829</v>
      </c>
      <c r="B779" s="36">
        <v>1</v>
      </c>
      <c r="C779" s="36"/>
      <c r="D779" s="36">
        <v>89</v>
      </c>
      <c r="E779" s="36" t="str">
        <f>CONCATENATE('Смета ЕР (общ) '!$A779,".",'Смета ЕР (общ) '!$B779,".",'Смета ЕР (общ) '!$D779)</f>
        <v>Р6.1.89</v>
      </c>
      <c r="F779" s="36">
        <f t="shared" si="70"/>
        <v>1</v>
      </c>
      <c r="G779" s="36"/>
      <c r="H779" s="36"/>
      <c r="I779" s="36"/>
      <c r="J779" s="36"/>
      <c r="K779" s="36"/>
      <c r="L779" s="37" t="s">
        <v>849</v>
      </c>
      <c r="M779" s="38" t="s">
        <v>64</v>
      </c>
      <c r="N779" s="39"/>
      <c r="O779" s="40">
        <v>271.44</v>
      </c>
      <c r="P779" s="40">
        <f>[1]Радиаторы!BC179</f>
        <v>1292.55</v>
      </c>
      <c r="Q779" s="40">
        <f t="shared" si="75"/>
        <v>271.44</v>
      </c>
      <c r="R779" s="66">
        <f t="shared" si="76"/>
        <v>1292.55</v>
      </c>
      <c r="S779" s="40">
        <f>ROUND('Смета ЕР (общ) '!$N779*'Смета ЕР (общ) '!$Q779,2)</f>
        <v>0</v>
      </c>
      <c r="T779" s="40">
        <f>ROUND('Смета ЕР (общ) '!$N779*'Смета ЕР (общ) '!$R779,2)</f>
        <v>0</v>
      </c>
      <c r="U779" s="67" t="s">
        <v>836</v>
      </c>
      <c r="V779" s="68"/>
    </row>
    <row r="780" spans="1:25" ht="14.4" x14ac:dyDescent="0.3">
      <c r="A780" s="36" t="s">
        <v>829</v>
      </c>
      <c r="B780" s="36">
        <v>1</v>
      </c>
      <c r="C780" s="36"/>
      <c r="D780" s="36">
        <v>90</v>
      </c>
      <c r="E780" s="36" t="str">
        <f>CONCATENATE('Смета ЕР (общ) '!$A780,".",'Смета ЕР (общ) '!$B780,".",'Смета ЕР (общ) '!$D780)</f>
        <v>Р6.1.90</v>
      </c>
      <c r="F780" s="36">
        <f t="shared" si="70"/>
        <v>1</v>
      </c>
      <c r="G780" s="36"/>
      <c r="H780" s="36"/>
      <c r="I780" s="36"/>
      <c r="J780" s="36"/>
      <c r="K780" s="36"/>
      <c r="L780" s="37" t="s">
        <v>850</v>
      </c>
      <c r="M780" s="38" t="s">
        <v>64</v>
      </c>
      <c r="N780" s="39"/>
      <c r="O780" s="40">
        <v>305.37</v>
      </c>
      <c r="P780" s="40">
        <f>[1]Радиаторы!BC180</f>
        <v>400.68</v>
      </c>
      <c r="Q780" s="40">
        <f t="shared" si="75"/>
        <v>305.37</v>
      </c>
      <c r="R780" s="66">
        <f t="shared" si="76"/>
        <v>400.68</v>
      </c>
      <c r="S780" s="40">
        <f>ROUND('Смета ЕР (общ) '!$N780*'Смета ЕР (общ) '!$Q780,2)</f>
        <v>0</v>
      </c>
      <c r="T780" s="40">
        <f>ROUND('Смета ЕР (общ) '!$N780*'Смета ЕР (общ) '!$R780,2)</f>
        <v>0</v>
      </c>
      <c r="U780" s="67" t="s">
        <v>836</v>
      </c>
      <c r="V780" s="68"/>
    </row>
    <row r="781" spans="1:25" ht="14.4" x14ac:dyDescent="0.3">
      <c r="A781" s="36" t="s">
        <v>829</v>
      </c>
      <c r="B781" s="36">
        <v>1</v>
      </c>
      <c r="C781" s="36"/>
      <c r="D781" s="36">
        <v>91</v>
      </c>
      <c r="E781" s="36" t="str">
        <f>CONCATENATE('Смета ЕР (общ) '!$A781,".",'Смета ЕР (общ) '!$B781,".",'Смета ЕР (общ) '!$D781)</f>
        <v>Р6.1.91</v>
      </c>
      <c r="F781" s="36">
        <f t="shared" si="70"/>
        <v>1</v>
      </c>
      <c r="G781" s="36"/>
      <c r="H781" s="36"/>
      <c r="I781" s="36"/>
      <c r="J781" s="36"/>
      <c r="K781" s="36"/>
      <c r="L781" s="37" t="s">
        <v>851</v>
      </c>
      <c r="M781" s="38" t="s">
        <v>64</v>
      </c>
      <c r="N781" s="39"/>
      <c r="O781" s="40">
        <v>271.44</v>
      </c>
      <c r="P781" s="40">
        <f>[1]Радиаторы!BC181</f>
        <v>20.220000000000002</v>
      </c>
      <c r="Q781" s="40">
        <f t="shared" si="75"/>
        <v>271.44</v>
      </c>
      <c r="R781" s="66">
        <f t="shared" si="76"/>
        <v>20.220000000000002</v>
      </c>
      <c r="S781" s="40">
        <f>ROUND('Смета ЕР (общ) '!$N781*'Смета ЕР (общ) '!$Q781,2)</f>
        <v>0</v>
      </c>
      <c r="T781" s="40">
        <f>ROUND('Смета ЕР (общ) '!$N781*'Смета ЕР (общ) '!$R781,2)</f>
        <v>0</v>
      </c>
      <c r="U781" s="67" t="s">
        <v>836</v>
      </c>
      <c r="V781" s="68"/>
    </row>
    <row r="782" spans="1:25" ht="15" customHeight="1" x14ac:dyDescent="0.3">
      <c r="A782" s="36" t="s">
        <v>829</v>
      </c>
      <c r="B782" s="36">
        <v>1</v>
      </c>
      <c r="C782" s="36"/>
      <c r="D782" s="36">
        <v>92</v>
      </c>
      <c r="E782" s="36" t="str">
        <f>CONCATENATE('Смета ЕР (общ) '!$A782,".",'Смета ЕР (общ) '!$B782,".",'Смета ЕР (общ) '!$D782)</f>
        <v>Р6.1.92</v>
      </c>
      <c r="F782" s="36">
        <f t="shared" si="70"/>
        <v>1</v>
      </c>
      <c r="G782" s="36"/>
      <c r="H782" s="36"/>
      <c r="I782" s="36"/>
      <c r="J782" s="36"/>
      <c r="K782" s="36"/>
      <c r="L782" s="37" t="s">
        <v>852</v>
      </c>
      <c r="M782" s="38" t="s">
        <v>64</v>
      </c>
      <c r="N782" s="39"/>
      <c r="O782" s="40">
        <v>271.44</v>
      </c>
      <c r="P782" s="40">
        <f>[1]Радиаторы!BC182</f>
        <v>32.130000000000003</v>
      </c>
      <c r="Q782" s="40">
        <f t="shared" si="75"/>
        <v>271.44</v>
      </c>
      <c r="R782" s="66">
        <f t="shared" si="76"/>
        <v>32.130000000000003</v>
      </c>
      <c r="S782" s="40">
        <f>ROUND('Смета ЕР (общ) '!$N782*'Смета ЕР (общ) '!$Q782,2)</f>
        <v>0</v>
      </c>
      <c r="T782" s="40">
        <f>ROUND('Смета ЕР (общ) '!$N782*'Смета ЕР (общ) '!$R782,2)</f>
        <v>0</v>
      </c>
      <c r="U782" s="67" t="s">
        <v>836</v>
      </c>
      <c r="V782" s="68"/>
    </row>
    <row r="783" spans="1:25" ht="14.4" x14ac:dyDescent="0.3">
      <c r="A783" s="36" t="s">
        <v>829</v>
      </c>
      <c r="B783" s="36">
        <v>1</v>
      </c>
      <c r="C783" s="36"/>
      <c r="D783" s="36">
        <v>93</v>
      </c>
      <c r="E783" s="36" t="str">
        <f>CONCATENATE('Смета ЕР (общ) '!$A783,".",'Смета ЕР (общ) '!$B783,".",'Смета ЕР (общ) '!$D783)</f>
        <v>Р6.1.93</v>
      </c>
      <c r="F783" s="36">
        <f t="shared" si="70"/>
        <v>1</v>
      </c>
      <c r="G783" s="36"/>
      <c r="H783" s="36"/>
      <c r="I783" s="36"/>
      <c r="J783" s="36"/>
      <c r="K783" s="36"/>
      <c r="L783" s="37" t="s">
        <v>853</v>
      </c>
      <c r="M783" s="38" t="s">
        <v>64</v>
      </c>
      <c r="N783" s="39"/>
      <c r="O783" s="40">
        <v>271.44</v>
      </c>
      <c r="P783" s="40">
        <f>[1]Радиаторы!BC183</f>
        <v>37.489999999999995</v>
      </c>
      <c r="Q783" s="40">
        <f t="shared" si="75"/>
        <v>271.44</v>
      </c>
      <c r="R783" s="66">
        <f t="shared" si="76"/>
        <v>37.489999999999995</v>
      </c>
      <c r="S783" s="40">
        <f>ROUND('Смета ЕР (общ) '!$N783*'Смета ЕР (общ) '!$Q783,2)</f>
        <v>0</v>
      </c>
      <c r="T783" s="40">
        <f>ROUND('Смета ЕР (общ) '!$N783*'Смета ЕР (общ) '!$R783,2)</f>
        <v>0</v>
      </c>
      <c r="U783" s="67" t="s">
        <v>836</v>
      </c>
      <c r="V783" s="68"/>
    </row>
    <row r="784" spans="1:25" ht="15" customHeight="1" x14ac:dyDescent="0.3">
      <c r="A784" s="36" t="s">
        <v>829</v>
      </c>
      <c r="B784" s="36">
        <v>1</v>
      </c>
      <c r="C784" s="36"/>
      <c r="D784" s="36">
        <v>94</v>
      </c>
      <c r="E784" s="36" t="str">
        <f>CONCATENATE('Смета ЕР (общ) '!$A784,".",'Смета ЕР (общ) '!$B784,".",'Смета ЕР (общ) '!$D784)</f>
        <v>Р6.1.94</v>
      </c>
      <c r="F784" s="36">
        <f t="shared" si="70"/>
        <v>1</v>
      </c>
      <c r="G784" s="36"/>
      <c r="H784" s="36"/>
      <c r="I784" s="36"/>
      <c r="J784" s="36"/>
      <c r="K784" s="36"/>
      <c r="L784" s="37" t="s">
        <v>854</v>
      </c>
      <c r="M784" s="38" t="s">
        <v>64</v>
      </c>
      <c r="N784" s="39"/>
      <c r="O784" s="40">
        <v>271.44</v>
      </c>
      <c r="P784" s="40">
        <f>[1]Радиаторы!BC184</f>
        <v>37.799999999999997</v>
      </c>
      <c r="Q784" s="40">
        <f t="shared" si="75"/>
        <v>271.44</v>
      </c>
      <c r="R784" s="66">
        <f t="shared" si="76"/>
        <v>37.799999999999997</v>
      </c>
      <c r="S784" s="40">
        <f>ROUND('Смета ЕР (общ) '!$N784*'Смета ЕР (общ) '!$Q784,2)</f>
        <v>0</v>
      </c>
      <c r="T784" s="40">
        <f>ROUND('Смета ЕР (общ) '!$N784*'Смета ЕР (общ) '!$R784,2)</f>
        <v>0</v>
      </c>
      <c r="U784" s="67" t="s">
        <v>836</v>
      </c>
      <c r="V784" s="68"/>
    </row>
    <row r="785" spans="1:22" ht="14.4" x14ac:dyDescent="0.3">
      <c r="A785" s="36" t="s">
        <v>829</v>
      </c>
      <c r="B785" s="36">
        <v>1</v>
      </c>
      <c r="C785" s="36"/>
      <c r="D785" s="36">
        <v>95</v>
      </c>
      <c r="E785" s="36" t="str">
        <f>CONCATENATE('Смета ЕР (общ) '!$A785,".",'Смета ЕР (общ) '!$B785,".",'Смета ЕР (общ) '!$D785)</f>
        <v>Р6.1.95</v>
      </c>
      <c r="F785" s="36">
        <f t="shared" ref="F785:F848" si="77">IF(N785&gt;0,F784+1,F784)</f>
        <v>1</v>
      </c>
      <c r="G785" s="36"/>
      <c r="H785" s="36"/>
      <c r="I785" s="36"/>
      <c r="J785" s="36"/>
      <c r="K785" s="36"/>
      <c r="L785" s="37" t="s">
        <v>855</v>
      </c>
      <c r="M785" s="38" t="s">
        <v>64</v>
      </c>
      <c r="N785" s="39"/>
      <c r="O785" s="40">
        <v>271.44</v>
      </c>
      <c r="P785" s="40">
        <f>[1]Радиаторы!BC185</f>
        <v>24.950000000000003</v>
      </c>
      <c r="Q785" s="40">
        <f t="shared" si="75"/>
        <v>271.44</v>
      </c>
      <c r="R785" s="66">
        <f t="shared" si="76"/>
        <v>24.950000000000003</v>
      </c>
      <c r="S785" s="40">
        <f>ROUND('Смета ЕР (общ) '!$N785*'Смета ЕР (общ) '!$Q785,2)</f>
        <v>0</v>
      </c>
      <c r="T785" s="40">
        <f>ROUND('Смета ЕР (общ) '!$N785*'Смета ЕР (общ) '!$R785,2)</f>
        <v>0</v>
      </c>
      <c r="U785" s="67" t="s">
        <v>836</v>
      </c>
      <c r="V785" s="68"/>
    </row>
    <row r="786" spans="1:22" ht="15" customHeight="1" x14ac:dyDescent="0.3">
      <c r="A786" s="36" t="s">
        <v>829</v>
      </c>
      <c r="B786" s="36">
        <v>1</v>
      </c>
      <c r="C786" s="36"/>
      <c r="D786" s="36">
        <v>96</v>
      </c>
      <c r="E786" s="36" t="str">
        <f>CONCATENATE('Смета ЕР (общ) '!$A786,".",'Смета ЕР (общ) '!$B786,".",'Смета ЕР (общ) '!$D786)</f>
        <v>Р6.1.96</v>
      </c>
      <c r="F786" s="36">
        <f t="shared" si="77"/>
        <v>1</v>
      </c>
      <c r="G786" s="36"/>
      <c r="H786" s="36"/>
      <c r="I786" s="36"/>
      <c r="J786" s="36"/>
      <c r="K786" s="36"/>
      <c r="L786" s="37" t="s">
        <v>856</v>
      </c>
      <c r="M786" s="38" t="s">
        <v>64</v>
      </c>
      <c r="N786" s="39"/>
      <c r="O786" s="40">
        <v>271.44</v>
      </c>
      <c r="P786" s="40">
        <f>[1]Радиаторы!BC186</f>
        <v>37.93</v>
      </c>
      <c r="Q786" s="40">
        <f t="shared" si="75"/>
        <v>271.44</v>
      </c>
      <c r="R786" s="66">
        <f t="shared" si="76"/>
        <v>37.93</v>
      </c>
      <c r="S786" s="40">
        <f>ROUND('Смета ЕР (общ) '!$N786*'Смета ЕР (общ) '!$Q786,2)</f>
        <v>0</v>
      </c>
      <c r="T786" s="40">
        <f>ROUND('Смета ЕР (общ) '!$N786*'Смета ЕР (общ) '!$R786,2)</f>
        <v>0</v>
      </c>
      <c r="U786" s="67" t="s">
        <v>836</v>
      </c>
      <c r="V786" s="68"/>
    </row>
    <row r="787" spans="1:22" ht="15.75" customHeight="1" x14ac:dyDescent="0.3">
      <c r="A787" s="36" t="s">
        <v>829</v>
      </c>
      <c r="B787" s="36">
        <v>1</v>
      </c>
      <c r="C787" s="36"/>
      <c r="D787" s="36">
        <v>97</v>
      </c>
      <c r="E787" s="36" t="str">
        <f>CONCATENATE('Смета ЕР (общ) '!$A787,".",'Смета ЕР (общ) '!$B787,".",'Смета ЕР (общ) '!$D787)</f>
        <v>Р6.1.97</v>
      </c>
      <c r="F787" s="36">
        <f t="shared" si="77"/>
        <v>1</v>
      </c>
      <c r="G787" s="36"/>
      <c r="H787" s="36"/>
      <c r="I787" s="36"/>
      <c r="J787" s="36"/>
      <c r="K787" s="36"/>
      <c r="L787" s="37" t="s">
        <v>857</v>
      </c>
      <c r="M787" s="38" t="s">
        <v>64</v>
      </c>
      <c r="N787" s="39">
        <f>ROUNDUP(($N$770+$N$768+$N$769)/10,0)</f>
        <v>0</v>
      </c>
      <c r="O787" s="40">
        <v>271.44</v>
      </c>
      <c r="P787" s="40">
        <f>[1]Радиаторы!BC187</f>
        <v>712.95</v>
      </c>
      <c r="Q787" s="40">
        <f t="shared" si="75"/>
        <v>271.44</v>
      </c>
      <c r="R787" s="66">
        <f t="shared" si="76"/>
        <v>712.95</v>
      </c>
      <c r="S787" s="40">
        <f>ROUND('Смета ЕР (общ) '!$N787*'Смета ЕР (общ) '!$Q787,2)</f>
        <v>0</v>
      </c>
      <c r="T787" s="40">
        <f>ROUND('Смета ЕР (общ) '!$N787*'Смета ЕР (общ) '!$R787,2)</f>
        <v>0</v>
      </c>
      <c r="U787" s="67" t="s">
        <v>836</v>
      </c>
      <c r="V787" s="68" t="s">
        <v>842</v>
      </c>
    </row>
    <row r="788" spans="1:22" ht="14.4" x14ac:dyDescent="0.3">
      <c r="A788" s="36" t="s">
        <v>829</v>
      </c>
      <c r="B788" s="36">
        <v>1</v>
      </c>
      <c r="C788" s="36"/>
      <c r="D788" s="36">
        <v>98</v>
      </c>
      <c r="E788" s="36" t="str">
        <f>CONCATENATE('Смета ЕР (общ) '!$A788,".",'Смета ЕР (общ) '!$B788,".",'Смета ЕР (общ) '!$D788)</f>
        <v>Р6.1.98</v>
      </c>
      <c r="F788" s="36">
        <f t="shared" si="77"/>
        <v>1</v>
      </c>
      <c r="G788" s="36"/>
      <c r="H788" s="36"/>
      <c r="I788" s="36"/>
      <c r="J788" s="36"/>
      <c r="K788" s="36"/>
      <c r="L788" s="37" t="s">
        <v>858</v>
      </c>
      <c r="M788" s="38" t="s">
        <v>64</v>
      </c>
      <c r="N788" s="39"/>
      <c r="O788" s="40">
        <v>271.44</v>
      </c>
      <c r="P788" s="40">
        <f>[1]Радиаторы!BC190</f>
        <v>681.45</v>
      </c>
      <c r="Q788" s="40">
        <f t="shared" si="75"/>
        <v>271.44</v>
      </c>
      <c r="R788" s="66">
        <f t="shared" si="76"/>
        <v>681.45</v>
      </c>
      <c r="S788" s="40">
        <f>ROUND('Смета ЕР (общ) '!$N788*'Смета ЕР (общ) '!$Q788,2)</f>
        <v>0</v>
      </c>
      <c r="T788" s="40">
        <f>ROUND('Смета ЕР (общ) '!$N788*'Смета ЕР (общ) '!$R788,2)</f>
        <v>0</v>
      </c>
      <c r="U788" s="67" t="s">
        <v>836</v>
      </c>
      <c r="V788" s="68" t="s">
        <v>842</v>
      </c>
    </row>
    <row r="789" spans="1:22" ht="26.25" customHeight="1" x14ac:dyDescent="0.3">
      <c r="A789" s="36" t="s">
        <v>829</v>
      </c>
      <c r="B789" s="36">
        <v>1</v>
      </c>
      <c r="C789" s="36"/>
      <c r="D789" s="36">
        <v>99</v>
      </c>
      <c r="E789" s="36" t="str">
        <f>CONCATENATE('Смета ЕР (общ) '!$A789,".",'Смета ЕР (общ) '!$B789,".",'Смета ЕР (общ) '!$D789)</f>
        <v>Р6.1.99</v>
      </c>
      <c r="F789" s="36">
        <f t="shared" si="77"/>
        <v>1</v>
      </c>
      <c r="G789" s="36"/>
      <c r="H789" s="36"/>
      <c r="I789" s="36"/>
      <c r="J789" s="36"/>
      <c r="K789" s="36"/>
      <c r="L789" s="37" t="s">
        <v>859</v>
      </c>
      <c r="M789" s="38" t="s">
        <v>64</v>
      </c>
      <c r="N789" s="39"/>
      <c r="O789" s="54">
        <v>0</v>
      </c>
      <c r="P789" s="40">
        <f>[1]Радиаторы!BC191</f>
        <v>1846.95</v>
      </c>
      <c r="Q789" s="40">
        <f t="shared" si="75"/>
        <v>0</v>
      </c>
      <c r="R789" s="66">
        <f t="shared" si="76"/>
        <v>1846.95</v>
      </c>
      <c r="S789" s="40">
        <f>ROUND('Смета ЕР (общ) '!$N789*'Смета ЕР (общ) '!$Q789,2)</f>
        <v>0</v>
      </c>
      <c r="T789" s="40">
        <f>ROUND('Смета ЕР (общ) '!$N789*'Смета ЕР (общ) '!$R789,2)</f>
        <v>0</v>
      </c>
      <c r="U789" s="67" t="s">
        <v>836</v>
      </c>
      <c r="V789" s="141"/>
    </row>
    <row r="790" spans="1:22" ht="26.25" customHeight="1" x14ac:dyDescent="0.3">
      <c r="A790" s="36" t="s">
        <v>829</v>
      </c>
      <c r="B790" s="36">
        <v>1</v>
      </c>
      <c r="C790" s="36"/>
      <c r="D790" s="36">
        <v>100</v>
      </c>
      <c r="E790" s="36" t="str">
        <f>CONCATENATE('Смета ЕР (общ) '!$A790,".",'Смета ЕР (общ) '!$B790,".",'Смета ЕР (общ) '!$D790)</f>
        <v>Р6.1.100</v>
      </c>
      <c r="F790" s="36">
        <f t="shared" si="77"/>
        <v>1</v>
      </c>
      <c r="G790" s="36"/>
      <c r="H790" s="36"/>
      <c r="I790" s="36"/>
      <c r="J790" s="36"/>
      <c r="K790" s="36"/>
      <c r="L790" s="37" t="s">
        <v>860</v>
      </c>
      <c r="M790" s="38" t="s">
        <v>118</v>
      </c>
      <c r="N790" s="39"/>
      <c r="O790" s="40">
        <v>271.44</v>
      </c>
      <c r="P790" s="40">
        <f>[1]Радиаторы!BC192</f>
        <v>626.85</v>
      </c>
      <c r="Q790" s="40">
        <f t="shared" si="75"/>
        <v>271.44</v>
      </c>
      <c r="R790" s="66">
        <f t="shared" si="76"/>
        <v>626.85</v>
      </c>
      <c r="S790" s="40">
        <f>ROUND('Смета ЕР (общ) '!$N790*'Смета ЕР (общ) '!$Q790,2)</f>
        <v>0</v>
      </c>
      <c r="T790" s="40">
        <f>ROUND('Смета ЕР (общ) '!$N790*'Смета ЕР (общ) '!$R790,2)</f>
        <v>0</v>
      </c>
      <c r="U790" s="67" t="s">
        <v>836</v>
      </c>
      <c r="V790" s="142" t="s">
        <v>861</v>
      </c>
    </row>
    <row r="791" spans="1:22" ht="26.25" customHeight="1" x14ac:dyDescent="0.3">
      <c r="A791" s="36" t="s">
        <v>829</v>
      </c>
      <c r="B791" s="36">
        <v>1</v>
      </c>
      <c r="C791" s="36"/>
      <c r="D791" s="36">
        <v>101</v>
      </c>
      <c r="E791" s="36" t="str">
        <f>CONCATENATE('Смета ЕР (общ) '!$A791,".",'Смета ЕР (общ) '!$B791,".",'Смета ЕР (общ) '!$D791)</f>
        <v>Р6.1.101</v>
      </c>
      <c r="F791" s="36">
        <f t="shared" si="77"/>
        <v>1</v>
      </c>
      <c r="G791" s="36"/>
      <c r="H791" s="36"/>
      <c r="I791" s="36"/>
      <c r="J791" s="36"/>
      <c r="K791" s="36"/>
      <c r="L791" s="37" t="s">
        <v>862</v>
      </c>
      <c r="M791" s="38" t="s">
        <v>118</v>
      </c>
      <c r="N791" s="39"/>
      <c r="O791" s="40">
        <v>271.44</v>
      </c>
      <c r="P791" s="40">
        <f>[1]Радиаторы!BC193</f>
        <v>1246.8799999999999</v>
      </c>
      <c r="Q791" s="40">
        <f t="shared" si="75"/>
        <v>271.44</v>
      </c>
      <c r="R791" s="66">
        <f t="shared" si="76"/>
        <v>1246.8799999999999</v>
      </c>
      <c r="S791" s="40">
        <f>ROUND('Смета ЕР (общ) '!$N791*'Смета ЕР (общ) '!$Q791,2)</f>
        <v>0</v>
      </c>
      <c r="T791" s="40">
        <f>ROUND('Смета ЕР (общ) '!$N791*'Смета ЕР (общ) '!$R791,2)</f>
        <v>0</v>
      </c>
      <c r="U791" s="67" t="s">
        <v>836</v>
      </c>
      <c r="V791" s="142" t="s">
        <v>863</v>
      </c>
    </row>
    <row r="792" spans="1:22" ht="26.25" customHeight="1" x14ac:dyDescent="0.3">
      <c r="A792" s="36" t="s">
        <v>829</v>
      </c>
      <c r="B792" s="36">
        <v>1</v>
      </c>
      <c r="C792" s="36"/>
      <c r="D792" s="36">
        <v>102</v>
      </c>
      <c r="E792" s="36" t="str">
        <f>CONCATENATE('Смета ЕР (общ) '!$A792,".",'Смета ЕР (общ) '!$B792,".",'Смета ЕР (общ) '!$D792)</f>
        <v>Р6.1.102</v>
      </c>
      <c r="F792" s="36">
        <f t="shared" si="77"/>
        <v>1</v>
      </c>
      <c r="G792" s="36"/>
      <c r="H792" s="36"/>
      <c r="I792" s="36"/>
      <c r="J792" s="36"/>
      <c r="K792" s="36"/>
      <c r="L792" s="37" t="s">
        <v>864</v>
      </c>
      <c r="M792" s="38" t="s">
        <v>118</v>
      </c>
      <c r="N792" s="39"/>
      <c r="O792" s="40">
        <v>271.44</v>
      </c>
      <c r="P792" s="40">
        <f>[1]Радиаторы!BC194</f>
        <v>411.96999999999997</v>
      </c>
      <c r="Q792" s="40">
        <f t="shared" si="75"/>
        <v>271.44</v>
      </c>
      <c r="R792" s="66">
        <f t="shared" si="76"/>
        <v>411.96999999999997</v>
      </c>
      <c r="S792" s="40">
        <f>ROUND('Смета ЕР (общ) '!$N792*'Смета ЕР (общ) '!$Q792,2)</f>
        <v>0</v>
      </c>
      <c r="T792" s="40">
        <f>ROUND('Смета ЕР (общ) '!$N792*'Смета ЕР (общ) '!$R792,2)</f>
        <v>0</v>
      </c>
      <c r="U792" s="67" t="s">
        <v>836</v>
      </c>
      <c r="V792" s="142" t="s">
        <v>865</v>
      </c>
    </row>
    <row r="793" spans="1:22" ht="15" customHeight="1" x14ac:dyDescent="0.3">
      <c r="A793" s="36" t="s">
        <v>829</v>
      </c>
      <c r="B793" s="36">
        <v>1</v>
      </c>
      <c r="C793" s="36"/>
      <c r="D793" s="36">
        <v>103</v>
      </c>
      <c r="E793" s="36" t="str">
        <f>CONCATENATE('Смета ЕР (общ) '!$A793,".",'Смета ЕР (общ) '!$B793,".",'Смета ЕР (общ) '!$D793)</f>
        <v>Р6.1.103</v>
      </c>
      <c r="F793" s="36">
        <f>IF(N793&gt;0,F788+1,F788)</f>
        <v>1</v>
      </c>
      <c r="G793" s="36"/>
      <c r="H793" s="36"/>
      <c r="I793" s="36"/>
      <c r="J793" s="36"/>
      <c r="K793" s="36"/>
      <c r="L793" s="37" t="s">
        <v>866</v>
      </c>
      <c r="M793" s="38" t="s">
        <v>118</v>
      </c>
      <c r="N793" s="39"/>
      <c r="O793" s="40">
        <f>$O$768*4</f>
        <v>1881</v>
      </c>
      <c r="P793" s="40">
        <f>[1]Радиаторы!BC103</f>
        <v>6585.6</v>
      </c>
      <c r="Q793" s="40">
        <f t="shared" si="75"/>
        <v>1881</v>
      </c>
      <c r="R793" s="66">
        <f t="shared" si="76"/>
        <v>6585.6</v>
      </c>
      <c r="S793" s="40">
        <f>ROUND('Смета ЕР (общ) '!$N793*'Смета ЕР (общ) '!$Q793,2)</f>
        <v>0</v>
      </c>
      <c r="T793" s="40">
        <f>ROUND('Смета ЕР (общ) '!$N793*'Смета ЕР (общ) '!$R793,2)</f>
        <v>0</v>
      </c>
      <c r="U793" s="67" t="s">
        <v>836</v>
      </c>
      <c r="V793" s="68"/>
    </row>
    <row r="794" spans="1:22" ht="15" customHeight="1" x14ac:dyDescent="0.3">
      <c r="A794" s="36" t="s">
        <v>829</v>
      </c>
      <c r="B794" s="36">
        <v>1</v>
      </c>
      <c r="C794" s="36"/>
      <c r="D794" s="36">
        <v>104</v>
      </c>
      <c r="E794" s="36" t="str">
        <f>CONCATENATE('Смета ЕР (общ) '!$A794,".",'Смета ЕР (общ) '!$B794,".",'Смета ЕР (общ) '!$D794)</f>
        <v>Р6.1.104</v>
      </c>
      <c r="F794" s="36">
        <f t="shared" si="77"/>
        <v>1</v>
      </c>
      <c r="G794" s="36"/>
      <c r="H794" s="36"/>
      <c r="I794" s="36"/>
      <c r="J794" s="36"/>
      <c r="K794" s="36"/>
      <c r="L794" s="37" t="s">
        <v>867</v>
      </c>
      <c r="M794" s="38" t="s">
        <v>118</v>
      </c>
      <c r="N794" s="39"/>
      <c r="O794" s="40">
        <f>$O$768*5</f>
        <v>2351.25</v>
      </c>
      <c r="P794" s="40">
        <f>[1]Радиаторы!BC104</f>
        <v>7695.45</v>
      </c>
      <c r="Q794" s="40">
        <f t="shared" si="75"/>
        <v>2351.25</v>
      </c>
      <c r="R794" s="66">
        <f t="shared" si="76"/>
        <v>7695.45</v>
      </c>
      <c r="S794" s="40">
        <f>ROUND('Смета ЕР (общ) '!$N794*'Смета ЕР (общ) '!$Q794,2)</f>
        <v>0</v>
      </c>
      <c r="T794" s="40">
        <f>ROUND('Смета ЕР (общ) '!$N794*'Смета ЕР (общ) '!$R794,2)</f>
        <v>0</v>
      </c>
      <c r="U794" s="67" t="s">
        <v>836</v>
      </c>
      <c r="V794" s="68"/>
    </row>
    <row r="795" spans="1:22" ht="15" customHeight="1" x14ac:dyDescent="0.3">
      <c r="A795" s="36" t="s">
        <v>829</v>
      </c>
      <c r="B795" s="36">
        <v>1</v>
      </c>
      <c r="C795" s="36"/>
      <c r="D795" s="36">
        <v>105</v>
      </c>
      <c r="E795" s="36" t="str">
        <f>CONCATENATE('Смета ЕР (общ) '!$A795,".",'Смета ЕР (общ) '!$B795,".",'Смета ЕР (общ) '!$D795)</f>
        <v>Р6.1.105</v>
      </c>
      <c r="F795" s="36">
        <f t="shared" si="77"/>
        <v>1</v>
      </c>
      <c r="G795" s="36"/>
      <c r="H795" s="36"/>
      <c r="I795" s="36"/>
      <c r="J795" s="36"/>
      <c r="K795" s="36"/>
      <c r="L795" s="37" t="s">
        <v>868</v>
      </c>
      <c r="M795" s="38" t="s">
        <v>118</v>
      </c>
      <c r="N795" s="39"/>
      <c r="O795" s="40">
        <f>$O$768*6</f>
        <v>2821.5</v>
      </c>
      <c r="P795" s="40">
        <f>[1]Радиаторы!BC105</f>
        <v>8805.2999999999993</v>
      </c>
      <c r="Q795" s="40">
        <f t="shared" si="75"/>
        <v>2821.5</v>
      </c>
      <c r="R795" s="66">
        <f t="shared" si="76"/>
        <v>8805.2999999999993</v>
      </c>
      <c r="S795" s="40">
        <f>ROUND('Смета ЕР (общ) '!$N795*'Смета ЕР (общ) '!$Q795,2)</f>
        <v>0</v>
      </c>
      <c r="T795" s="40">
        <f>ROUND('Смета ЕР (общ) '!$N795*'Смета ЕР (общ) '!$R795,2)</f>
        <v>0</v>
      </c>
      <c r="U795" s="67" t="s">
        <v>836</v>
      </c>
      <c r="V795" s="68"/>
    </row>
    <row r="796" spans="1:22" ht="15" customHeight="1" x14ac:dyDescent="0.3">
      <c r="A796" s="36" t="s">
        <v>829</v>
      </c>
      <c r="B796" s="36">
        <v>1</v>
      </c>
      <c r="C796" s="36"/>
      <c r="D796" s="36">
        <v>106</v>
      </c>
      <c r="E796" s="36" t="str">
        <f>CONCATENATE('Смета ЕР (общ) '!$A796,".",'Смета ЕР (общ) '!$B796,".",'Смета ЕР (общ) '!$D796)</f>
        <v>Р6.1.106</v>
      </c>
      <c r="F796" s="36">
        <f t="shared" si="77"/>
        <v>1</v>
      </c>
      <c r="G796" s="36"/>
      <c r="H796" s="36"/>
      <c r="I796" s="36"/>
      <c r="J796" s="36"/>
      <c r="K796" s="36"/>
      <c r="L796" s="37" t="s">
        <v>869</v>
      </c>
      <c r="M796" s="38" t="s">
        <v>118</v>
      </c>
      <c r="N796" s="39"/>
      <c r="O796" s="40">
        <f>$O$768*7</f>
        <v>3291.75</v>
      </c>
      <c r="P796" s="40">
        <f>[1]Радиаторы!BC106</f>
        <v>9915.15</v>
      </c>
      <c r="Q796" s="40">
        <f t="shared" si="75"/>
        <v>3291.75</v>
      </c>
      <c r="R796" s="66">
        <f t="shared" si="76"/>
        <v>9915.15</v>
      </c>
      <c r="S796" s="40">
        <f>ROUND('Смета ЕР (общ) '!$N796*'Смета ЕР (общ) '!$Q796,2)</f>
        <v>0</v>
      </c>
      <c r="T796" s="40">
        <f>ROUND('Смета ЕР (общ) '!$N796*'Смета ЕР (общ) '!$R796,2)</f>
        <v>0</v>
      </c>
      <c r="U796" s="67" t="s">
        <v>836</v>
      </c>
      <c r="V796" s="68"/>
    </row>
    <row r="797" spans="1:22" ht="15" customHeight="1" x14ac:dyDescent="0.3">
      <c r="A797" s="36" t="s">
        <v>829</v>
      </c>
      <c r="B797" s="36">
        <v>1</v>
      </c>
      <c r="C797" s="36"/>
      <c r="D797" s="36">
        <v>107</v>
      </c>
      <c r="E797" s="36" t="str">
        <f>CONCATENATE('Смета ЕР (общ) '!$A797,".",'Смета ЕР (общ) '!$B797,".",'Смета ЕР (общ) '!$D797)</f>
        <v>Р6.1.107</v>
      </c>
      <c r="F797" s="36">
        <f t="shared" si="77"/>
        <v>1</v>
      </c>
      <c r="G797" s="36"/>
      <c r="H797" s="36"/>
      <c r="I797" s="36"/>
      <c r="J797" s="36"/>
      <c r="K797" s="36"/>
      <c r="L797" s="37" t="s">
        <v>870</v>
      </c>
      <c r="M797" s="38" t="s">
        <v>118</v>
      </c>
      <c r="N797" s="39"/>
      <c r="O797" s="40">
        <f>$O$768*8</f>
        <v>3762</v>
      </c>
      <c r="P797" s="40">
        <f>[1]Радиаторы!BC107</f>
        <v>11025</v>
      </c>
      <c r="Q797" s="40">
        <f t="shared" si="75"/>
        <v>3762</v>
      </c>
      <c r="R797" s="66">
        <f t="shared" si="76"/>
        <v>11025</v>
      </c>
      <c r="S797" s="40">
        <f>ROUND('Смета ЕР (общ) '!$N797*'Смета ЕР (общ) '!$Q797,2)</f>
        <v>0</v>
      </c>
      <c r="T797" s="40">
        <f>ROUND('Смета ЕР (общ) '!$N797*'Смета ЕР (общ) '!$R797,2)</f>
        <v>0</v>
      </c>
      <c r="U797" s="67" t="s">
        <v>836</v>
      </c>
      <c r="V797" s="68"/>
    </row>
    <row r="798" spans="1:22" ht="15" customHeight="1" x14ac:dyDescent="0.3">
      <c r="A798" s="36" t="s">
        <v>829</v>
      </c>
      <c r="B798" s="36">
        <v>1</v>
      </c>
      <c r="C798" s="36"/>
      <c r="D798" s="36">
        <v>108</v>
      </c>
      <c r="E798" s="36" t="str">
        <f>CONCATENATE('Смета ЕР (общ) '!$A798,".",'Смета ЕР (общ) '!$B798,".",'Смета ЕР (общ) '!$D798)</f>
        <v>Р6.1.108</v>
      </c>
      <c r="F798" s="36">
        <f t="shared" si="77"/>
        <v>1</v>
      </c>
      <c r="G798" s="36"/>
      <c r="H798" s="36"/>
      <c r="I798" s="36"/>
      <c r="J798" s="36"/>
      <c r="K798" s="36"/>
      <c r="L798" s="37" t="s">
        <v>871</v>
      </c>
      <c r="M798" s="38" t="s">
        <v>118</v>
      </c>
      <c r="N798" s="39"/>
      <c r="O798" s="40">
        <f>$O$768*9</f>
        <v>4232.25</v>
      </c>
      <c r="P798" s="40">
        <f>[1]Радиаторы!BC108</f>
        <v>12134.85</v>
      </c>
      <c r="Q798" s="40">
        <f t="shared" si="75"/>
        <v>4232.25</v>
      </c>
      <c r="R798" s="66">
        <f t="shared" si="76"/>
        <v>12134.85</v>
      </c>
      <c r="S798" s="40">
        <f>ROUND('Смета ЕР (общ) '!$N798*'Смета ЕР (общ) '!$Q798,2)</f>
        <v>0</v>
      </c>
      <c r="T798" s="40">
        <f>ROUND('Смета ЕР (общ) '!$N798*'Смета ЕР (общ) '!$R798,2)</f>
        <v>0</v>
      </c>
      <c r="U798" s="67" t="s">
        <v>836</v>
      </c>
      <c r="V798" s="68"/>
    </row>
    <row r="799" spans="1:22" ht="15" customHeight="1" x14ac:dyDescent="0.3">
      <c r="A799" s="36" t="s">
        <v>829</v>
      </c>
      <c r="B799" s="36">
        <v>1</v>
      </c>
      <c r="C799" s="36"/>
      <c r="D799" s="36">
        <v>109</v>
      </c>
      <c r="E799" s="36" t="str">
        <f>CONCATENATE('Смета ЕР (общ) '!$A799,".",'Смета ЕР (общ) '!$B799,".",'Смета ЕР (общ) '!$D799)</f>
        <v>Р6.1.109</v>
      </c>
      <c r="F799" s="36">
        <f t="shared" si="77"/>
        <v>1</v>
      </c>
      <c r="G799" s="36"/>
      <c r="H799" s="36"/>
      <c r="I799" s="36"/>
      <c r="J799" s="36"/>
      <c r="K799" s="36"/>
      <c r="L799" s="37" t="s">
        <v>872</v>
      </c>
      <c r="M799" s="38" t="s">
        <v>118</v>
      </c>
      <c r="N799" s="39"/>
      <c r="O799" s="40">
        <f>$O$768*10</f>
        <v>4702.5</v>
      </c>
      <c r="P799" s="40">
        <f>[1]Радиаторы!BC109</f>
        <v>13244.7</v>
      </c>
      <c r="Q799" s="40">
        <f t="shared" si="75"/>
        <v>4702.5</v>
      </c>
      <c r="R799" s="66">
        <f t="shared" si="76"/>
        <v>13244.7</v>
      </c>
      <c r="S799" s="40">
        <f>ROUND('Смета ЕР (общ) '!$N799*'Смета ЕР (общ) '!$Q799,2)</f>
        <v>0</v>
      </c>
      <c r="T799" s="40">
        <f>ROUND('Смета ЕР (общ) '!$N799*'Смета ЕР (общ) '!$R799,2)</f>
        <v>0</v>
      </c>
      <c r="U799" s="67" t="s">
        <v>836</v>
      </c>
      <c r="V799" s="68"/>
    </row>
    <row r="800" spans="1:22" ht="15" customHeight="1" x14ac:dyDescent="0.3">
      <c r="A800" s="36" t="s">
        <v>829</v>
      </c>
      <c r="B800" s="36">
        <v>1</v>
      </c>
      <c r="C800" s="36"/>
      <c r="D800" s="36">
        <v>110</v>
      </c>
      <c r="E800" s="36" t="str">
        <f>CONCATENATE('Смета ЕР (общ) '!$A800,".",'Смета ЕР (общ) '!$B800,".",'Смета ЕР (общ) '!$D800)</f>
        <v>Р6.1.110</v>
      </c>
      <c r="F800" s="36">
        <f t="shared" si="77"/>
        <v>1</v>
      </c>
      <c r="G800" s="36"/>
      <c r="H800" s="36"/>
      <c r="I800" s="36"/>
      <c r="J800" s="36"/>
      <c r="K800" s="36"/>
      <c r="L800" s="37" t="s">
        <v>873</v>
      </c>
      <c r="M800" s="38" t="s">
        <v>118</v>
      </c>
      <c r="N800" s="39"/>
      <c r="O800" s="40">
        <f>$O$768*11</f>
        <v>5172.75</v>
      </c>
      <c r="P800" s="40">
        <f>[1]Радиаторы!BC110</f>
        <v>14354.55</v>
      </c>
      <c r="Q800" s="40">
        <f t="shared" si="75"/>
        <v>5172.75</v>
      </c>
      <c r="R800" s="66">
        <f t="shared" si="76"/>
        <v>14354.55</v>
      </c>
      <c r="S800" s="40">
        <f>ROUND('Смета ЕР (общ) '!$N800*'Смета ЕР (общ) '!$Q800,2)</f>
        <v>0</v>
      </c>
      <c r="T800" s="40">
        <f>ROUND('Смета ЕР (общ) '!$N800*'Смета ЕР (общ) '!$R800,2)</f>
        <v>0</v>
      </c>
      <c r="U800" s="67" t="s">
        <v>836</v>
      </c>
      <c r="V800" s="68"/>
    </row>
    <row r="801" spans="1:22" ht="15" customHeight="1" x14ac:dyDescent="0.3">
      <c r="A801" s="36" t="s">
        <v>829</v>
      </c>
      <c r="B801" s="36">
        <v>1</v>
      </c>
      <c r="C801" s="36"/>
      <c r="D801" s="36">
        <v>111</v>
      </c>
      <c r="E801" s="36" t="str">
        <f>CONCATENATE('Смета ЕР (общ) '!$A801,".",'Смета ЕР (общ) '!$B801,".",'Смета ЕР (общ) '!$D801)</f>
        <v>Р6.1.111</v>
      </c>
      <c r="F801" s="36">
        <f t="shared" si="77"/>
        <v>1</v>
      </c>
      <c r="G801" s="36"/>
      <c r="H801" s="36"/>
      <c r="I801" s="36"/>
      <c r="J801" s="36"/>
      <c r="K801" s="36"/>
      <c r="L801" s="37" t="s">
        <v>874</v>
      </c>
      <c r="M801" s="38" t="s">
        <v>118</v>
      </c>
      <c r="N801" s="39"/>
      <c r="O801" s="40">
        <f>$O$768*12</f>
        <v>5643</v>
      </c>
      <c r="P801" s="40">
        <f>[1]Радиаторы!BC111</f>
        <v>15464.4</v>
      </c>
      <c r="Q801" s="40">
        <f t="shared" si="75"/>
        <v>5643</v>
      </c>
      <c r="R801" s="66">
        <f t="shared" si="76"/>
        <v>15464.4</v>
      </c>
      <c r="S801" s="40">
        <f>ROUND('Смета ЕР (общ) '!$N801*'Смета ЕР (общ) '!$Q801,2)</f>
        <v>0</v>
      </c>
      <c r="T801" s="40">
        <f>ROUND('Смета ЕР (общ) '!$N801*'Смета ЕР (общ) '!$R801,2)</f>
        <v>0</v>
      </c>
      <c r="U801" s="67" t="s">
        <v>836</v>
      </c>
      <c r="V801" s="68"/>
    </row>
    <row r="802" spans="1:22" ht="15" customHeight="1" x14ac:dyDescent="0.3">
      <c r="A802" s="36" t="s">
        <v>829</v>
      </c>
      <c r="B802" s="36">
        <v>1</v>
      </c>
      <c r="C802" s="36"/>
      <c r="D802" s="36">
        <v>112</v>
      </c>
      <c r="E802" s="36" t="str">
        <f>CONCATENATE('Смета ЕР (общ) '!$A802,".",'Смета ЕР (общ) '!$B802,".",'Смета ЕР (общ) '!$D802)</f>
        <v>Р6.1.112</v>
      </c>
      <c r="F802" s="36">
        <f t="shared" si="77"/>
        <v>1</v>
      </c>
      <c r="G802" s="36"/>
      <c r="H802" s="36"/>
      <c r="I802" s="36"/>
      <c r="J802" s="36"/>
      <c r="K802" s="36"/>
      <c r="L802" s="37" t="s">
        <v>875</v>
      </c>
      <c r="M802" s="38" t="s">
        <v>118</v>
      </c>
      <c r="N802" s="39"/>
      <c r="O802" s="40">
        <f>$O$768*13</f>
        <v>6113.25</v>
      </c>
      <c r="P802" s="40">
        <f>[1]Радиаторы!BC112</f>
        <v>16574.25</v>
      </c>
      <c r="Q802" s="40">
        <f t="shared" si="75"/>
        <v>6113.25</v>
      </c>
      <c r="R802" s="66">
        <f t="shared" si="76"/>
        <v>16574.25</v>
      </c>
      <c r="S802" s="40">
        <f>ROUND('Смета ЕР (общ) '!$N802*'Смета ЕР (общ) '!$Q802,2)</f>
        <v>0</v>
      </c>
      <c r="T802" s="40">
        <f>ROUND('Смета ЕР (общ) '!$N802*'Смета ЕР (общ) '!$R802,2)</f>
        <v>0</v>
      </c>
      <c r="U802" s="67" t="s">
        <v>836</v>
      </c>
      <c r="V802" s="68"/>
    </row>
    <row r="803" spans="1:22" ht="15" customHeight="1" x14ac:dyDescent="0.3">
      <c r="A803" s="36" t="s">
        <v>829</v>
      </c>
      <c r="B803" s="36">
        <v>1</v>
      </c>
      <c r="C803" s="36"/>
      <c r="D803" s="36">
        <v>113</v>
      </c>
      <c r="E803" s="36" t="str">
        <f>CONCATENATE('Смета ЕР (общ) '!$A803,".",'Смета ЕР (общ) '!$B803,".",'Смета ЕР (общ) '!$D803)</f>
        <v>Р6.1.113</v>
      </c>
      <c r="F803" s="36">
        <f t="shared" si="77"/>
        <v>1</v>
      </c>
      <c r="G803" s="36"/>
      <c r="H803" s="36"/>
      <c r="I803" s="36"/>
      <c r="J803" s="36"/>
      <c r="K803" s="36"/>
      <c r="L803" s="37" t="s">
        <v>876</v>
      </c>
      <c r="M803" s="38" t="s">
        <v>118</v>
      </c>
      <c r="N803" s="39"/>
      <c r="O803" s="40">
        <f>$O$768*14</f>
        <v>6583.5</v>
      </c>
      <c r="P803" s="40">
        <f>[1]Радиаторы!BC113</f>
        <v>17684.099999999999</v>
      </c>
      <c r="Q803" s="40">
        <f t="shared" si="75"/>
        <v>6583.5</v>
      </c>
      <c r="R803" s="66">
        <f t="shared" si="76"/>
        <v>17684.099999999999</v>
      </c>
      <c r="S803" s="40">
        <f>ROUND('Смета ЕР (общ) '!$N803*'Смета ЕР (общ) '!$Q803,2)</f>
        <v>0</v>
      </c>
      <c r="T803" s="40">
        <f>ROUND('Смета ЕР (общ) '!$N803*'Смета ЕР (общ) '!$R803,2)</f>
        <v>0</v>
      </c>
      <c r="U803" s="67" t="s">
        <v>836</v>
      </c>
      <c r="V803" s="68"/>
    </row>
    <row r="804" spans="1:22" ht="15" customHeight="1" x14ac:dyDescent="0.3">
      <c r="A804" s="36" t="s">
        <v>829</v>
      </c>
      <c r="B804" s="36">
        <v>1</v>
      </c>
      <c r="C804" s="36"/>
      <c r="D804" s="36">
        <v>114</v>
      </c>
      <c r="E804" s="36" t="str">
        <f>CONCATENATE('Смета ЕР (общ) '!$A804,".",'Смета ЕР (общ) '!$B804,".",'Смета ЕР (общ) '!$D804)</f>
        <v>Р6.1.114</v>
      </c>
      <c r="F804" s="36">
        <f t="shared" si="77"/>
        <v>1</v>
      </c>
      <c r="G804" s="36"/>
      <c r="H804" s="36"/>
      <c r="I804" s="36"/>
      <c r="J804" s="36"/>
      <c r="K804" s="36"/>
      <c r="L804" s="37" t="s">
        <v>877</v>
      </c>
      <c r="M804" s="38" t="s">
        <v>118</v>
      </c>
      <c r="N804" s="39"/>
      <c r="O804" s="40">
        <f>$O$768*4</f>
        <v>1881</v>
      </c>
      <c r="P804" s="40">
        <f>[1]Радиаторы!BC114</f>
        <v>6673.8</v>
      </c>
      <c r="Q804" s="40">
        <f t="shared" si="75"/>
        <v>1881</v>
      </c>
      <c r="R804" s="66">
        <f t="shared" si="76"/>
        <v>6673.8</v>
      </c>
      <c r="S804" s="40">
        <f>ROUND('Смета ЕР (общ) '!$N804*'Смета ЕР (общ) '!$Q804,2)</f>
        <v>0</v>
      </c>
      <c r="T804" s="40">
        <f>ROUND('Смета ЕР (общ) '!$N804*'Смета ЕР (общ) '!$R804,2)</f>
        <v>0</v>
      </c>
      <c r="U804" s="67" t="s">
        <v>836</v>
      </c>
      <c r="V804" s="68"/>
    </row>
    <row r="805" spans="1:22" ht="15" customHeight="1" x14ac:dyDescent="0.3">
      <c r="A805" s="36" t="s">
        <v>829</v>
      </c>
      <c r="B805" s="36">
        <v>1</v>
      </c>
      <c r="C805" s="36"/>
      <c r="D805" s="36">
        <v>115</v>
      </c>
      <c r="E805" s="36" t="str">
        <f>CONCATENATE('Смета ЕР (общ) '!$A805,".",'Смета ЕР (общ) '!$B805,".",'Смета ЕР (общ) '!$D805)</f>
        <v>Р6.1.115</v>
      </c>
      <c r="F805" s="36">
        <f t="shared" si="77"/>
        <v>1</v>
      </c>
      <c r="G805" s="36"/>
      <c r="H805" s="36"/>
      <c r="I805" s="36"/>
      <c r="J805" s="36"/>
      <c r="K805" s="36"/>
      <c r="L805" s="37" t="s">
        <v>878</v>
      </c>
      <c r="M805" s="38" t="s">
        <v>118</v>
      </c>
      <c r="N805" s="39"/>
      <c r="O805" s="40">
        <f>$O$768*5</f>
        <v>2351.25</v>
      </c>
      <c r="P805" s="40">
        <f>[1]Радиаторы!BC115</f>
        <v>7805.7</v>
      </c>
      <c r="Q805" s="40">
        <f t="shared" si="75"/>
        <v>2351.25</v>
      </c>
      <c r="R805" s="66">
        <f t="shared" si="76"/>
        <v>7805.7</v>
      </c>
      <c r="S805" s="40">
        <f>ROUND('Смета ЕР (общ) '!$N805*'Смета ЕР (общ) '!$Q805,2)</f>
        <v>0</v>
      </c>
      <c r="T805" s="40">
        <f>ROUND('Смета ЕР (общ) '!$N805*'Смета ЕР (общ) '!$R805,2)</f>
        <v>0</v>
      </c>
      <c r="U805" s="67" t="s">
        <v>836</v>
      </c>
      <c r="V805" s="68"/>
    </row>
    <row r="806" spans="1:22" ht="15" customHeight="1" x14ac:dyDescent="0.3">
      <c r="A806" s="36" t="s">
        <v>829</v>
      </c>
      <c r="B806" s="36">
        <v>1</v>
      </c>
      <c r="C806" s="36"/>
      <c r="D806" s="36">
        <v>116</v>
      </c>
      <c r="E806" s="36" t="str">
        <f>CONCATENATE('Смета ЕР (общ) '!$A806,".",'Смета ЕР (общ) '!$B806,".",'Смета ЕР (общ) '!$D806)</f>
        <v>Р6.1.116</v>
      </c>
      <c r="F806" s="36">
        <f t="shared" si="77"/>
        <v>1</v>
      </c>
      <c r="G806" s="36"/>
      <c r="H806" s="36"/>
      <c r="I806" s="36"/>
      <c r="J806" s="36"/>
      <c r="K806" s="36"/>
      <c r="L806" s="37" t="s">
        <v>879</v>
      </c>
      <c r="M806" s="38" t="s">
        <v>118</v>
      </c>
      <c r="N806" s="39"/>
      <c r="O806" s="40">
        <f>$O$768*6</f>
        <v>2821.5</v>
      </c>
      <c r="P806" s="40">
        <f>[1]Радиаторы!BC116</f>
        <v>8937.6</v>
      </c>
      <c r="Q806" s="40">
        <f t="shared" si="75"/>
        <v>2821.5</v>
      </c>
      <c r="R806" s="66">
        <f t="shared" si="76"/>
        <v>8937.6</v>
      </c>
      <c r="S806" s="40">
        <f>ROUND('Смета ЕР (общ) '!$N806*'Смета ЕР (общ) '!$Q806,2)</f>
        <v>0</v>
      </c>
      <c r="T806" s="40">
        <f>ROUND('Смета ЕР (общ) '!$N806*'Смета ЕР (общ) '!$R806,2)</f>
        <v>0</v>
      </c>
      <c r="U806" s="67" t="s">
        <v>836</v>
      </c>
      <c r="V806" s="68"/>
    </row>
    <row r="807" spans="1:22" ht="15" customHeight="1" x14ac:dyDescent="0.3">
      <c r="A807" s="36" t="s">
        <v>829</v>
      </c>
      <c r="B807" s="36">
        <v>1</v>
      </c>
      <c r="C807" s="36"/>
      <c r="D807" s="36">
        <v>117</v>
      </c>
      <c r="E807" s="36" t="str">
        <f>CONCATENATE('Смета ЕР (общ) '!$A807,".",'Смета ЕР (общ) '!$B807,".",'Смета ЕР (общ) '!$D807)</f>
        <v>Р6.1.117</v>
      </c>
      <c r="F807" s="36">
        <f t="shared" si="77"/>
        <v>1</v>
      </c>
      <c r="G807" s="36"/>
      <c r="H807" s="36"/>
      <c r="I807" s="36"/>
      <c r="J807" s="36"/>
      <c r="K807" s="36"/>
      <c r="L807" s="37" t="s">
        <v>880</v>
      </c>
      <c r="M807" s="38" t="s">
        <v>118</v>
      </c>
      <c r="N807" s="39"/>
      <c r="O807" s="40">
        <f>$O$768*7</f>
        <v>3291.75</v>
      </c>
      <c r="P807" s="40">
        <f>[1]Радиаторы!BC117</f>
        <v>10069.5</v>
      </c>
      <c r="Q807" s="40">
        <f t="shared" si="75"/>
        <v>3291.75</v>
      </c>
      <c r="R807" s="66">
        <f t="shared" si="76"/>
        <v>10069.5</v>
      </c>
      <c r="S807" s="40">
        <f>ROUND('Смета ЕР (общ) '!$N807*'Смета ЕР (общ) '!$Q807,2)</f>
        <v>0</v>
      </c>
      <c r="T807" s="40">
        <f>ROUND('Смета ЕР (общ) '!$N807*'Смета ЕР (общ) '!$R807,2)</f>
        <v>0</v>
      </c>
      <c r="U807" s="67" t="s">
        <v>836</v>
      </c>
      <c r="V807" s="68"/>
    </row>
    <row r="808" spans="1:22" ht="15" customHeight="1" x14ac:dyDescent="0.3">
      <c r="A808" s="36" t="s">
        <v>829</v>
      </c>
      <c r="B808" s="36">
        <v>1</v>
      </c>
      <c r="C808" s="36"/>
      <c r="D808" s="36">
        <v>118</v>
      </c>
      <c r="E808" s="36" t="str">
        <f>CONCATENATE('Смета ЕР (общ) '!$A808,".",'Смета ЕР (общ) '!$B808,".",'Смета ЕР (общ) '!$D808)</f>
        <v>Р6.1.118</v>
      </c>
      <c r="F808" s="36">
        <f t="shared" si="77"/>
        <v>1</v>
      </c>
      <c r="G808" s="36"/>
      <c r="H808" s="36"/>
      <c r="I808" s="36"/>
      <c r="J808" s="36"/>
      <c r="K808" s="36"/>
      <c r="L808" s="37" t="s">
        <v>881</v>
      </c>
      <c r="M808" s="38" t="s">
        <v>118</v>
      </c>
      <c r="N808" s="39"/>
      <c r="O808" s="40">
        <f>$O$768*8</f>
        <v>3762</v>
      </c>
      <c r="P808" s="40">
        <f>[1]Радиаторы!BC118</f>
        <v>11201.4</v>
      </c>
      <c r="Q808" s="40">
        <f t="shared" si="75"/>
        <v>3762</v>
      </c>
      <c r="R808" s="66">
        <f t="shared" si="76"/>
        <v>11201.4</v>
      </c>
      <c r="S808" s="40">
        <f>ROUND('Смета ЕР (общ) '!$N808*'Смета ЕР (общ) '!$Q808,2)</f>
        <v>0</v>
      </c>
      <c r="T808" s="40">
        <f>ROUND('Смета ЕР (общ) '!$N808*'Смета ЕР (общ) '!$R808,2)</f>
        <v>0</v>
      </c>
      <c r="U808" s="67" t="s">
        <v>836</v>
      </c>
      <c r="V808" s="68"/>
    </row>
    <row r="809" spans="1:22" ht="15" customHeight="1" x14ac:dyDescent="0.3">
      <c r="A809" s="36" t="s">
        <v>829</v>
      </c>
      <c r="B809" s="36">
        <v>1</v>
      </c>
      <c r="C809" s="36"/>
      <c r="D809" s="36">
        <v>119</v>
      </c>
      <c r="E809" s="36" t="str">
        <f>CONCATENATE('Смета ЕР (общ) '!$A809,".",'Смета ЕР (общ) '!$B809,".",'Смета ЕР (общ) '!$D809)</f>
        <v>Р6.1.119</v>
      </c>
      <c r="F809" s="36">
        <f t="shared" si="77"/>
        <v>1</v>
      </c>
      <c r="G809" s="36"/>
      <c r="H809" s="36"/>
      <c r="I809" s="36"/>
      <c r="J809" s="36"/>
      <c r="K809" s="36"/>
      <c r="L809" s="37" t="s">
        <v>882</v>
      </c>
      <c r="M809" s="38" t="s">
        <v>118</v>
      </c>
      <c r="N809" s="39"/>
      <c r="O809" s="40">
        <f>$O$768*9</f>
        <v>4232.25</v>
      </c>
      <c r="P809" s="40">
        <f>[1]Радиаторы!BC119</f>
        <v>12333.3</v>
      </c>
      <c r="Q809" s="40">
        <f t="shared" si="75"/>
        <v>4232.25</v>
      </c>
      <c r="R809" s="66">
        <f t="shared" si="76"/>
        <v>12333.3</v>
      </c>
      <c r="S809" s="40">
        <f>ROUND('Смета ЕР (общ) '!$N809*'Смета ЕР (общ) '!$Q809,2)</f>
        <v>0</v>
      </c>
      <c r="T809" s="40">
        <f>ROUND('Смета ЕР (общ) '!$N809*'Смета ЕР (общ) '!$R809,2)</f>
        <v>0</v>
      </c>
      <c r="U809" s="67" t="s">
        <v>836</v>
      </c>
      <c r="V809" s="68"/>
    </row>
    <row r="810" spans="1:22" ht="15" customHeight="1" x14ac:dyDescent="0.3">
      <c r="A810" s="36" t="s">
        <v>829</v>
      </c>
      <c r="B810" s="36">
        <v>1</v>
      </c>
      <c r="C810" s="36"/>
      <c r="D810" s="36">
        <v>120</v>
      </c>
      <c r="E810" s="36" t="str">
        <f>CONCATENATE('Смета ЕР (общ) '!$A810,".",'Смета ЕР (общ) '!$B810,".",'Смета ЕР (общ) '!$D810)</f>
        <v>Р6.1.120</v>
      </c>
      <c r="F810" s="36">
        <f t="shared" si="77"/>
        <v>1</v>
      </c>
      <c r="G810" s="36"/>
      <c r="H810" s="36"/>
      <c r="I810" s="36"/>
      <c r="J810" s="36"/>
      <c r="K810" s="36"/>
      <c r="L810" s="37" t="s">
        <v>883</v>
      </c>
      <c r="M810" s="38" t="s">
        <v>118</v>
      </c>
      <c r="N810" s="39"/>
      <c r="O810" s="40">
        <f>$O$768*10</f>
        <v>4702.5</v>
      </c>
      <c r="P810" s="40">
        <f>[1]Радиаторы!BC120</f>
        <v>13465.2</v>
      </c>
      <c r="Q810" s="40">
        <f t="shared" si="75"/>
        <v>4702.5</v>
      </c>
      <c r="R810" s="66">
        <f t="shared" si="76"/>
        <v>13465.2</v>
      </c>
      <c r="S810" s="40">
        <f>ROUND('Смета ЕР (общ) '!$N810*'Смета ЕР (общ) '!$Q810,2)</f>
        <v>0</v>
      </c>
      <c r="T810" s="40">
        <f>ROUND('Смета ЕР (общ) '!$N810*'Смета ЕР (общ) '!$R810,2)</f>
        <v>0</v>
      </c>
      <c r="U810" s="67" t="s">
        <v>836</v>
      </c>
      <c r="V810" s="68"/>
    </row>
    <row r="811" spans="1:22" ht="15" customHeight="1" x14ac:dyDescent="0.3">
      <c r="A811" s="36" t="s">
        <v>829</v>
      </c>
      <c r="B811" s="36">
        <v>1</v>
      </c>
      <c r="C811" s="36"/>
      <c r="D811" s="36">
        <v>121</v>
      </c>
      <c r="E811" s="36" t="str">
        <f>CONCATENATE('Смета ЕР (общ) '!$A811,".",'Смета ЕР (общ) '!$B811,".",'Смета ЕР (общ) '!$D811)</f>
        <v>Р6.1.121</v>
      </c>
      <c r="F811" s="36">
        <f t="shared" si="77"/>
        <v>1</v>
      </c>
      <c r="G811" s="36"/>
      <c r="H811" s="36"/>
      <c r="I811" s="36"/>
      <c r="J811" s="36"/>
      <c r="K811" s="36"/>
      <c r="L811" s="37" t="s">
        <v>884</v>
      </c>
      <c r="M811" s="38" t="s">
        <v>118</v>
      </c>
      <c r="N811" s="39"/>
      <c r="O811" s="40">
        <f>$O$768*11</f>
        <v>5172.75</v>
      </c>
      <c r="P811" s="40">
        <f>[1]Радиаторы!BC121</f>
        <v>14597.1</v>
      </c>
      <c r="Q811" s="40">
        <f t="shared" si="75"/>
        <v>5172.75</v>
      </c>
      <c r="R811" s="66">
        <f t="shared" si="76"/>
        <v>14597.1</v>
      </c>
      <c r="S811" s="40">
        <f>ROUND('Смета ЕР (общ) '!$N811*'Смета ЕР (общ) '!$Q811,2)</f>
        <v>0</v>
      </c>
      <c r="T811" s="40">
        <f>ROUND('Смета ЕР (общ) '!$N811*'Смета ЕР (общ) '!$R811,2)</f>
        <v>0</v>
      </c>
      <c r="U811" s="67" t="s">
        <v>836</v>
      </c>
      <c r="V811" s="68"/>
    </row>
    <row r="812" spans="1:22" ht="15" customHeight="1" x14ac:dyDescent="0.3">
      <c r="A812" s="36" t="s">
        <v>829</v>
      </c>
      <c r="B812" s="36">
        <v>1</v>
      </c>
      <c r="C812" s="36"/>
      <c r="D812" s="36">
        <v>122</v>
      </c>
      <c r="E812" s="36" t="str">
        <f>CONCATENATE('Смета ЕР (общ) '!$A812,".",'Смета ЕР (общ) '!$B812,".",'Смета ЕР (общ) '!$D812)</f>
        <v>Р6.1.122</v>
      </c>
      <c r="F812" s="36">
        <f t="shared" si="77"/>
        <v>1</v>
      </c>
      <c r="G812" s="36"/>
      <c r="H812" s="36"/>
      <c r="I812" s="36"/>
      <c r="J812" s="36"/>
      <c r="K812" s="36"/>
      <c r="L812" s="37" t="s">
        <v>885</v>
      </c>
      <c r="M812" s="38" t="s">
        <v>118</v>
      </c>
      <c r="N812" s="39"/>
      <c r="O812" s="40">
        <f>$O$768*12</f>
        <v>5643</v>
      </c>
      <c r="P812" s="40">
        <f>[1]Радиаторы!BC122</f>
        <v>15729</v>
      </c>
      <c r="Q812" s="40">
        <f t="shared" si="75"/>
        <v>5643</v>
      </c>
      <c r="R812" s="66">
        <f t="shared" si="76"/>
        <v>15729</v>
      </c>
      <c r="S812" s="40">
        <f>ROUND('Смета ЕР (общ) '!$N812*'Смета ЕР (общ) '!$Q812,2)</f>
        <v>0</v>
      </c>
      <c r="T812" s="40">
        <f>ROUND('Смета ЕР (общ) '!$N812*'Смета ЕР (общ) '!$R812,2)</f>
        <v>0</v>
      </c>
      <c r="U812" s="67" t="s">
        <v>836</v>
      </c>
      <c r="V812" s="68"/>
    </row>
    <row r="813" spans="1:22" ht="15" customHeight="1" x14ac:dyDescent="0.3">
      <c r="A813" s="36" t="s">
        <v>829</v>
      </c>
      <c r="B813" s="36">
        <v>1</v>
      </c>
      <c r="C813" s="36"/>
      <c r="D813" s="36">
        <v>123</v>
      </c>
      <c r="E813" s="36" t="str">
        <f>CONCATENATE('Смета ЕР (общ) '!$A813,".",'Смета ЕР (общ) '!$B813,".",'Смета ЕР (общ) '!$D813)</f>
        <v>Р6.1.123</v>
      </c>
      <c r="F813" s="36">
        <f t="shared" si="77"/>
        <v>1</v>
      </c>
      <c r="G813" s="36"/>
      <c r="H813" s="36"/>
      <c r="I813" s="36"/>
      <c r="J813" s="36"/>
      <c r="K813" s="36"/>
      <c r="L813" s="37" t="s">
        <v>886</v>
      </c>
      <c r="M813" s="38" t="s">
        <v>118</v>
      </c>
      <c r="N813" s="39"/>
      <c r="O813" s="40">
        <f>$O$768*13</f>
        <v>6113.25</v>
      </c>
      <c r="P813" s="40">
        <f>[1]Радиаторы!BC123</f>
        <v>16860.900000000001</v>
      </c>
      <c r="Q813" s="40">
        <f t="shared" si="75"/>
        <v>6113.25</v>
      </c>
      <c r="R813" s="66">
        <f t="shared" si="76"/>
        <v>16860.900000000001</v>
      </c>
      <c r="S813" s="40">
        <f>ROUND('Смета ЕР (общ) '!$N813*'Смета ЕР (общ) '!$Q813,2)</f>
        <v>0</v>
      </c>
      <c r="T813" s="40">
        <f>ROUND('Смета ЕР (общ) '!$N813*'Смета ЕР (общ) '!$R813,2)</f>
        <v>0</v>
      </c>
      <c r="U813" s="67" t="s">
        <v>836</v>
      </c>
      <c r="V813" s="68"/>
    </row>
    <row r="814" spans="1:22" ht="15" customHeight="1" x14ac:dyDescent="0.3">
      <c r="A814" s="36" t="s">
        <v>829</v>
      </c>
      <c r="B814" s="36">
        <v>1</v>
      </c>
      <c r="C814" s="36"/>
      <c r="D814" s="36">
        <v>124</v>
      </c>
      <c r="E814" s="36" t="str">
        <f>CONCATENATE('Смета ЕР (общ) '!$A814,".",'Смета ЕР (общ) '!$B814,".",'Смета ЕР (общ) '!$D814)</f>
        <v>Р6.1.124</v>
      </c>
      <c r="F814" s="36">
        <f t="shared" si="77"/>
        <v>1</v>
      </c>
      <c r="G814" s="36"/>
      <c r="H814" s="36"/>
      <c r="I814" s="36"/>
      <c r="J814" s="36"/>
      <c r="K814" s="36"/>
      <c r="L814" s="37" t="s">
        <v>887</v>
      </c>
      <c r="M814" s="38" t="s">
        <v>118</v>
      </c>
      <c r="N814" s="39"/>
      <c r="O814" s="40">
        <f>$O$768*14</f>
        <v>6583.5</v>
      </c>
      <c r="P814" s="40">
        <f>[1]Радиаторы!BC124</f>
        <v>17992.8</v>
      </c>
      <c r="Q814" s="40">
        <f t="shared" si="75"/>
        <v>6583.5</v>
      </c>
      <c r="R814" s="66">
        <f t="shared" si="76"/>
        <v>17992.8</v>
      </c>
      <c r="S814" s="40">
        <f>ROUND('Смета ЕР (общ) '!$N814*'Смета ЕР (общ) '!$Q814,2)</f>
        <v>0</v>
      </c>
      <c r="T814" s="40">
        <f>ROUND('Смета ЕР (общ) '!$N814*'Смета ЕР (общ) '!$R814,2)</f>
        <v>0</v>
      </c>
      <c r="U814" s="67" t="s">
        <v>836</v>
      </c>
      <c r="V814" s="68"/>
    </row>
    <row r="815" spans="1:22" ht="15" customHeight="1" x14ac:dyDescent="0.3">
      <c r="A815" s="36" t="s">
        <v>829</v>
      </c>
      <c r="B815" s="36">
        <v>1</v>
      </c>
      <c r="C815" s="36"/>
      <c r="D815" s="36">
        <v>125</v>
      </c>
      <c r="E815" s="36" t="str">
        <f>CONCATENATE('Смета ЕР (общ) '!$A815,".",'Смета ЕР (общ) '!$B815,".",'Смета ЕР (общ) '!$D815)</f>
        <v>Р6.1.125</v>
      </c>
      <c r="F815" s="36">
        <f t="shared" si="77"/>
        <v>1</v>
      </c>
      <c r="G815" s="36"/>
      <c r="H815" s="36"/>
      <c r="I815" s="36"/>
      <c r="J815" s="36"/>
      <c r="K815" s="36"/>
      <c r="L815" s="37" t="s">
        <v>888</v>
      </c>
      <c r="M815" s="38" t="s">
        <v>118</v>
      </c>
      <c r="N815" s="39"/>
      <c r="O815" s="40">
        <f>$O$768*4</f>
        <v>1881</v>
      </c>
      <c r="P815" s="40">
        <f>[1]Радиаторы!BC125</f>
        <v>6757.8</v>
      </c>
      <c r="Q815" s="40">
        <f t="shared" si="75"/>
        <v>1881</v>
      </c>
      <c r="R815" s="66">
        <f t="shared" si="76"/>
        <v>6757.8</v>
      </c>
      <c r="S815" s="40">
        <f>ROUND('Смета ЕР (общ) '!$N815*'Смета ЕР (общ) '!$Q815,2)</f>
        <v>0</v>
      </c>
      <c r="T815" s="40">
        <f>ROUND('Смета ЕР (общ) '!$N815*'Смета ЕР (общ) '!$R815,2)</f>
        <v>0</v>
      </c>
      <c r="U815" s="67" t="s">
        <v>836</v>
      </c>
      <c r="V815" s="68"/>
    </row>
    <row r="816" spans="1:22" ht="15" customHeight="1" x14ac:dyDescent="0.3">
      <c r="A816" s="36" t="s">
        <v>829</v>
      </c>
      <c r="B816" s="36">
        <v>1</v>
      </c>
      <c r="C816" s="36"/>
      <c r="D816" s="36">
        <v>126</v>
      </c>
      <c r="E816" s="36" t="str">
        <f>CONCATENATE('Смета ЕР (общ) '!$A816,".",'Смета ЕР (общ) '!$B816,".",'Смета ЕР (общ) '!$D816)</f>
        <v>Р6.1.126</v>
      </c>
      <c r="F816" s="36">
        <f t="shared" si="77"/>
        <v>1</v>
      </c>
      <c r="G816" s="36"/>
      <c r="H816" s="36"/>
      <c r="I816" s="36"/>
      <c r="J816" s="36"/>
      <c r="K816" s="36"/>
      <c r="L816" s="37" t="s">
        <v>889</v>
      </c>
      <c r="M816" s="38" t="s">
        <v>118</v>
      </c>
      <c r="N816" s="39"/>
      <c r="O816" s="40">
        <f>$O$768*5</f>
        <v>2351.25</v>
      </c>
      <c r="P816" s="40">
        <f>[1]Радиаторы!BC126</f>
        <v>7910.7</v>
      </c>
      <c r="Q816" s="40">
        <f t="shared" si="75"/>
        <v>2351.25</v>
      </c>
      <c r="R816" s="66">
        <f t="shared" si="76"/>
        <v>7910.7</v>
      </c>
      <c r="S816" s="40">
        <f>ROUND('Смета ЕР (общ) '!$N816*'Смета ЕР (общ) '!$Q816,2)</f>
        <v>0</v>
      </c>
      <c r="T816" s="40">
        <f>ROUND('Смета ЕР (общ) '!$N816*'Смета ЕР (общ) '!$R816,2)</f>
        <v>0</v>
      </c>
      <c r="U816" s="67" t="s">
        <v>836</v>
      </c>
      <c r="V816" s="68"/>
    </row>
    <row r="817" spans="1:22" ht="15" customHeight="1" x14ac:dyDescent="0.3">
      <c r="A817" s="36" t="s">
        <v>829</v>
      </c>
      <c r="B817" s="36">
        <v>1</v>
      </c>
      <c r="C817" s="36"/>
      <c r="D817" s="36">
        <v>127</v>
      </c>
      <c r="E817" s="36" t="str">
        <f>CONCATENATE('Смета ЕР (общ) '!$A817,".",'Смета ЕР (общ) '!$B817,".",'Смета ЕР (общ) '!$D817)</f>
        <v>Р6.1.127</v>
      </c>
      <c r="F817" s="36">
        <f t="shared" si="77"/>
        <v>1</v>
      </c>
      <c r="G817" s="36"/>
      <c r="H817" s="36"/>
      <c r="I817" s="36"/>
      <c r="J817" s="36"/>
      <c r="K817" s="36"/>
      <c r="L817" s="37" t="s">
        <v>890</v>
      </c>
      <c r="M817" s="38" t="s">
        <v>118</v>
      </c>
      <c r="N817" s="39"/>
      <c r="O817" s="40">
        <f>$O$768*6</f>
        <v>2821.5</v>
      </c>
      <c r="P817" s="40">
        <f>[1]Радиаторы!BC127</f>
        <v>9063.6</v>
      </c>
      <c r="Q817" s="40">
        <f t="shared" si="75"/>
        <v>2821.5</v>
      </c>
      <c r="R817" s="66">
        <f t="shared" si="76"/>
        <v>9063.6</v>
      </c>
      <c r="S817" s="40">
        <f>ROUND('Смета ЕР (общ) '!$N817*'Смета ЕР (общ) '!$Q817,2)</f>
        <v>0</v>
      </c>
      <c r="T817" s="40">
        <f>ROUND('Смета ЕР (общ) '!$N817*'Смета ЕР (общ) '!$R817,2)</f>
        <v>0</v>
      </c>
      <c r="U817" s="67" t="s">
        <v>836</v>
      </c>
      <c r="V817" s="68"/>
    </row>
    <row r="818" spans="1:22" ht="15" customHeight="1" x14ac:dyDescent="0.3">
      <c r="A818" s="36" t="s">
        <v>829</v>
      </c>
      <c r="B818" s="36">
        <v>1</v>
      </c>
      <c r="C818" s="36"/>
      <c r="D818" s="36">
        <v>128</v>
      </c>
      <c r="E818" s="36" t="str">
        <f>CONCATENATE('Смета ЕР (общ) '!$A818,".",'Смета ЕР (общ) '!$B818,".",'Смета ЕР (общ) '!$D818)</f>
        <v>Р6.1.128</v>
      </c>
      <c r="F818" s="36">
        <f t="shared" si="77"/>
        <v>1</v>
      </c>
      <c r="G818" s="36"/>
      <c r="H818" s="36"/>
      <c r="I818" s="36"/>
      <c r="J818" s="36"/>
      <c r="K818" s="36"/>
      <c r="L818" s="37" t="s">
        <v>891</v>
      </c>
      <c r="M818" s="38" t="s">
        <v>118</v>
      </c>
      <c r="N818" s="39"/>
      <c r="O818" s="40">
        <f>$O$768*7</f>
        <v>3291.75</v>
      </c>
      <c r="P818" s="40">
        <f>[1]Радиаторы!BC128</f>
        <v>10216.5</v>
      </c>
      <c r="Q818" s="40">
        <f t="shared" si="75"/>
        <v>3291.75</v>
      </c>
      <c r="R818" s="66">
        <f t="shared" si="76"/>
        <v>10216.5</v>
      </c>
      <c r="S818" s="40">
        <f>ROUND('Смета ЕР (общ) '!$N818*'Смета ЕР (общ) '!$Q818,2)</f>
        <v>0</v>
      </c>
      <c r="T818" s="40">
        <f>ROUND('Смета ЕР (общ) '!$N818*'Смета ЕР (общ) '!$R818,2)</f>
        <v>0</v>
      </c>
      <c r="U818" s="67" t="s">
        <v>836</v>
      </c>
      <c r="V818" s="68"/>
    </row>
    <row r="819" spans="1:22" ht="15" customHeight="1" x14ac:dyDescent="0.3">
      <c r="A819" s="36" t="s">
        <v>829</v>
      </c>
      <c r="B819" s="36">
        <v>1</v>
      </c>
      <c r="C819" s="36"/>
      <c r="D819" s="36">
        <v>129</v>
      </c>
      <c r="E819" s="36" t="str">
        <f>CONCATENATE('Смета ЕР (общ) '!$A819,".",'Смета ЕР (общ) '!$B819,".",'Смета ЕР (общ) '!$D819)</f>
        <v>Р6.1.129</v>
      </c>
      <c r="F819" s="36">
        <f t="shared" si="77"/>
        <v>1</v>
      </c>
      <c r="G819" s="36"/>
      <c r="H819" s="36"/>
      <c r="I819" s="36"/>
      <c r="J819" s="36"/>
      <c r="K819" s="36"/>
      <c r="L819" s="37" t="s">
        <v>892</v>
      </c>
      <c r="M819" s="38" t="s">
        <v>118</v>
      </c>
      <c r="N819" s="39"/>
      <c r="O819" s="40">
        <f>$O$768*8</f>
        <v>3762</v>
      </c>
      <c r="P819" s="40">
        <f>[1]Радиаторы!BC129</f>
        <v>11369.4</v>
      </c>
      <c r="Q819" s="40">
        <f t="shared" si="75"/>
        <v>3762</v>
      </c>
      <c r="R819" s="66">
        <f t="shared" si="76"/>
        <v>11369.4</v>
      </c>
      <c r="S819" s="40">
        <f>ROUND('Смета ЕР (общ) '!$N819*'Смета ЕР (общ) '!$Q819,2)</f>
        <v>0</v>
      </c>
      <c r="T819" s="40">
        <f>ROUND('Смета ЕР (общ) '!$N819*'Смета ЕР (общ) '!$R819,2)</f>
        <v>0</v>
      </c>
      <c r="U819" s="67" t="s">
        <v>836</v>
      </c>
      <c r="V819" s="68"/>
    </row>
    <row r="820" spans="1:22" ht="15" customHeight="1" x14ac:dyDescent="0.3">
      <c r="A820" s="36" t="s">
        <v>829</v>
      </c>
      <c r="B820" s="36">
        <v>1</v>
      </c>
      <c r="C820" s="36"/>
      <c r="D820" s="36">
        <v>130</v>
      </c>
      <c r="E820" s="36" t="str">
        <f>CONCATENATE('Смета ЕР (общ) '!$A820,".",'Смета ЕР (общ) '!$B820,".",'Смета ЕР (общ) '!$D820)</f>
        <v>Р6.1.130</v>
      </c>
      <c r="F820" s="36">
        <f t="shared" si="77"/>
        <v>1</v>
      </c>
      <c r="G820" s="36"/>
      <c r="H820" s="36"/>
      <c r="I820" s="36"/>
      <c r="J820" s="36"/>
      <c r="K820" s="36"/>
      <c r="L820" s="37" t="s">
        <v>893</v>
      </c>
      <c r="M820" s="38" t="s">
        <v>118</v>
      </c>
      <c r="N820" s="39"/>
      <c r="O820" s="40">
        <f>$O$768*9</f>
        <v>4232.25</v>
      </c>
      <c r="P820" s="40">
        <f>[1]Радиаторы!BC130</f>
        <v>12522.3</v>
      </c>
      <c r="Q820" s="40">
        <f t="shared" si="75"/>
        <v>4232.25</v>
      </c>
      <c r="R820" s="66">
        <f t="shared" si="76"/>
        <v>12522.3</v>
      </c>
      <c r="S820" s="40">
        <f>ROUND('Смета ЕР (общ) '!$N820*'Смета ЕР (общ) '!$Q820,2)</f>
        <v>0</v>
      </c>
      <c r="T820" s="40">
        <f>ROUND('Смета ЕР (общ) '!$N820*'Смета ЕР (общ) '!$R820,2)</f>
        <v>0</v>
      </c>
      <c r="U820" s="67" t="s">
        <v>836</v>
      </c>
      <c r="V820" s="68"/>
    </row>
    <row r="821" spans="1:22" ht="15" customHeight="1" x14ac:dyDescent="0.3">
      <c r="A821" s="36" t="s">
        <v>829</v>
      </c>
      <c r="B821" s="36">
        <v>1</v>
      </c>
      <c r="C821" s="36"/>
      <c r="D821" s="36">
        <v>131</v>
      </c>
      <c r="E821" s="36" t="str">
        <f>CONCATENATE('Смета ЕР (общ) '!$A821,".",'Смета ЕР (общ) '!$B821,".",'Смета ЕР (общ) '!$D821)</f>
        <v>Р6.1.131</v>
      </c>
      <c r="F821" s="36">
        <f t="shared" si="77"/>
        <v>1</v>
      </c>
      <c r="G821" s="36"/>
      <c r="H821" s="36"/>
      <c r="I821" s="36"/>
      <c r="J821" s="36"/>
      <c r="K821" s="36"/>
      <c r="L821" s="37" t="s">
        <v>894</v>
      </c>
      <c r="M821" s="38" t="s">
        <v>118</v>
      </c>
      <c r="N821" s="39"/>
      <c r="O821" s="40">
        <f>$O$768*10</f>
        <v>4702.5</v>
      </c>
      <c r="P821" s="40">
        <f>[1]Радиаторы!BC131</f>
        <v>13675.2</v>
      </c>
      <c r="Q821" s="40">
        <f t="shared" si="75"/>
        <v>4702.5</v>
      </c>
      <c r="R821" s="66">
        <f t="shared" si="76"/>
        <v>13675.2</v>
      </c>
      <c r="S821" s="40">
        <f>ROUND('Смета ЕР (общ) '!$N821*'Смета ЕР (общ) '!$Q821,2)</f>
        <v>0</v>
      </c>
      <c r="T821" s="40">
        <f>ROUND('Смета ЕР (общ) '!$N821*'Смета ЕР (общ) '!$R821,2)</f>
        <v>0</v>
      </c>
      <c r="U821" s="67" t="s">
        <v>836</v>
      </c>
      <c r="V821" s="68"/>
    </row>
    <row r="822" spans="1:22" ht="15" customHeight="1" x14ac:dyDescent="0.3">
      <c r="A822" s="36" t="s">
        <v>829</v>
      </c>
      <c r="B822" s="36">
        <v>1</v>
      </c>
      <c r="C822" s="36"/>
      <c r="D822" s="36">
        <v>132</v>
      </c>
      <c r="E822" s="36" t="str">
        <f>CONCATENATE('Смета ЕР (общ) '!$A822,".",'Смета ЕР (общ) '!$B822,".",'Смета ЕР (общ) '!$D822)</f>
        <v>Р6.1.132</v>
      </c>
      <c r="F822" s="36">
        <f t="shared" si="77"/>
        <v>1</v>
      </c>
      <c r="G822" s="36"/>
      <c r="H822" s="36"/>
      <c r="I822" s="36"/>
      <c r="J822" s="36"/>
      <c r="K822" s="36"/>
      <c r="L822" s="37" t="s">
        <v>895</v>
      </c>
      <c r="M822" s="38" t="s">
        <v>118</v>
      </c>
      <c r="N822" s="39"/>
      <c r="O822" s="40">
        <f>$O$768*11</f>
        <v>5172.75</v>
      </c>
      <c r="P822" s="40">
        <f>[1]Радиаторы!BC132</f>
        <v>14828.1</v>
      </c>
      <c r="Q822" s="40">
        <f t="shared" si="75"/>
        <v>5172.75</v>
      </c>
      <c r="R822" s="66">
        <f t="shared" si="76"/>
        <v>14828.1</v>
      </c>
      <c r="S822" s="40">
        <f>ROUND('Смета ЕР (общ) '!$N822*'Смета ЕР (общ) '!$Q822,2)</f>
        <v>0</v>
      </c>
      <c r="T822" s="40">
        <f>ROUND('Смета ЕР (общ) '!$N822*'Смета ЕР (общ) '!$R822,2)</f>
        <v>0</v>
      </c>
      <c r="U822" s="67" t="s">
        <v>836</v>
      </c>
      <c r="V822" s="68"/>
    </row>
    <row r="823" spans="1:22" ht="15" customHeight="1" x14ac:dyDescent="0.3">
      <c r="A823" s="36" t="s">
        <v>829</v>
      </c>
      <c r="B823" s="36">
        <v>1</v>
      </c>
      <c r="C823" s="36"/>
      <c r="D823" s="36">
        <v>133</v>
      </c>
      <c r="E823" s="36" t="str">
        <f>CONCATENATE('Смета ЕР (общ) '!$A823,".",'Смета ЕР (общ) '!$B823,".",'Смета ЕР (общ) '!$D823)</f>
        <v>Р6.1.133</v>
      </c>
      <c r="F823" s="36">
        <f t="shared" si="77"/>
        <v>1</v>
      </c>
      <c r="G823" s="36"/>
      <c r="H823" s="36"/>
      <c r="I823" s="36"/>
      <c r="J823" s="36"/>
      <c r="K823" s="36"/>
      <c r="L823" s="37" t="s">
        <v>896</v>
      </c>
      <c r="M823" s="38" t="s">
        <v>118</v>
      </c>
      <c r="N823" s="39"/>
      <c r="O823" s="40">
        <f>$O$768*12</f>
        <v>5643</v>
      </c>
      <c r="P823" s="40">
        <f>[1]Радиаторы!BC133</f>
        <v>15981</v>
      </c>
      <c r="Q823" s="40">
        <f t="shared" si="75"/>
        <v>5643</v>
      </c>
      <c r="R823" s="66">
        <f t="shared" si="76"/>
        <v>15981</v>
      </c>
      <c r="S823" s="40">
        <f>ROUND('Смета ЕР (общ) '!$N823*'Смета ЕР (общ) '!$Q823,2)</f>
        <v>0</v>
      </c>
      <c r="T823" s="40">
        <f>ROUND('Смета ЕР (общ) '!$N823*'Смета ЕР (общ) '!$R823,2)</f>
        <v>0</v>
      </c>
      <c r="U823" s="67" t="s">
        <v>836</v>
      </c>
      <c r="V823" s="68"/>
    </row>
    <row r="824" spans="1:22" ht="14.4" x14ac:dyDescent="0.3">
      <c r="A824" s="36" t="s">
        <v>829</v>
      </c>
      <c r="B824" s="36">
        <v>1</v>
      </c>
      <c r="C824" s="36"/>
      <c r="D824" s="36">
        <v>134</v>
      </c>
      <c r="E824" s="36" t="str">
        <f>CONCATENATE('Смета ЕР (общ) '!$A824,".",'Смета ЕР (общ) '!$B824,".",'Смета ЕР (общ) '!$D824)</f>
        <v>Р6.1.134</v>
      </c>
      <c r="F824" s="36">
        <f t="shared" si="77"/>
        <v>1</v>
      </c>
      <c r="G824" s="36"/>
      <c r="H824" s="36"/>
      <c r="I824" s="36"/>
      <c r="J824" s="36"/>
      <c r="K824" s="36"/>
      <c r="L824" s="37" t="s">
        <v>897</v>
      </c>
      <c r="M824" s="38" t="s">
        <v>118</v>
      </c>
      <c r="N824" s="39"/>
      <c r="O824" s="40">
        <f>$O$768*13</f>
        <v>6113.25</v>
      </c>
      <c r="P824" s="40">
        <f>[1]Радиаторы!BC134</f>
        <v>17133.900000000001</v>
      </c>
      <c r="Q824" s="40">
        <f t="shared" si="75"/>
        <v>6113.25</v>
      </c>
      <c r="R824" s="66">
        <f t="shared" si="76"/>
        <v>17133.900000000001</v>
      </c>
      <c r="S824" s="40">
        <f>ROUND('Смета ЕР (общ) '!$N824*'Смета ЕР (общ) '!$Q824,2)</f>
        <v>0</v>
      </c>
      <c r="T824" s="40">
        <f>ROUND('Смета ЕР (общ) '!$N824*'Смета ЕР (общ) '!$R824,2)</f>
        <v>0</v>
      </c>
      <c r="U824" s="67" t="s">
        <v>836</v>
      </c>
      <c r="V824" s="68"/>
    </row>
    <row r="825" spans="1:22" ht="14.4" x14ac:dyDescent="0.3">
      <c r="A825" s="36" t="s">
        <v>829</v>
      </c>
      <c r="B825" s="36">
        <v>1</v>
      </c>
      <c r="C825" s="36"/>
      <c r="D825" s="36">
        <v>135</v>
      </c>
      <c r="E825" s="36" t="str">
        <f>CONCATENATE('Смета ЕР (общ) '!$A825,".",'Смета ЕР (общ) '!$B825,".",'Смета ЕР (общ) '!$D825)</f>
        <v>Р6.1.135</v>
      </c>
      <c r="F825" s="36">
        <f t="shared" si="77"/>
        <v>1</v>
      </c>
      <c r="G825" s="36"/>
      <c r="H825" s="36"/>
      <c r="I825" s="36"/>
      <c r="J825" s="36"/>
      <c r="K825" s="36"/>
      <c r="L825" s="37" t="s">
        <v>898</v>
      </c>
      <c r="M825" s="38" t="s">
        <v>118</v>
      </c>
      <c r="N825" s="39"/>
      <c r="O825" s="40">
        <f>$O$768*14</f>
        <v>6583.5</v>
      </c>
      <c r="P825" s="40">
        <f>[1]Радиаторы!BC135</f>
        <v>18286.8</v>
      </c>
      <c r="Q825" s="40">
        <f t="shared" si="75"/>
        <v>6583.5</v>
      </c>
      <c r="R825" s="66">
        <f t="shared" si="76"/>
        <v>18286.8</v>
      </c>
      <c r="S825" s="40">
        <f>ROUND('Смета ЕР (общ) '!$N825*'Смета ЕР (общ) '!$Q825,2)</f>
        <v>0</v>
      </c>
      <c r="T825" s="40">
        <f>ROUND('Смета ЕР (общ) '!$N825*'Смета ЕР (общ) '!$R825,2)</f>
        <v>0</v>
      </c>
      <c r="U825" s="67" t="s">
        <v>836</v>
      </c>
      <c r="V825" s="68"/>
    </row>
    <row r="826" spans="1:22" ht="14.4" x14ac:dyDescent="0.3">
      <c r="A826" s="36" t="s">
        <v>829</v>
      </c>
      <c r="B826" s="36">
        <v>1</v>
      </c>
      <c r="C826" s="36"/>
      <c r="D826" s="36">
        <v>62</v>
      </c>
      <c r="E826" s="36" t="str">
        <f>CONCATENATE('Смета ЕР (общ) '!$A826,".",'Смета ЕР (общ) '!$B826,".",'Смета ЕР (общ) '!$D826)</f>
        <v>Р6.1.62</v>
      </c>
      <c r="F826" s="36">
        <f t="shared" si="77"/>
        <v>1</v>
      </c>
      <c r="G826" s="36"/>
      <c r="H826" s="36"/>
      <c r="I826" s="36"/>
      <c r="J826" s="36"/>
      <c r="K826" s="36"/>
      <c r="L826" s="37" t="s">
        <v>899</v>
      </c>
      <c r="M826" s="54" t="s">
        <v>118</v>
      </c>
      <c r="N826" s="39"/>
      <c r="O826" s="40">
        <v>3175.5</v>
      </c>
      <c r="P826" s="40">
        <v>4115.97</v>
      </c>
      <c r="Q826" s="40">
        <f t="shared" si="75"/>
        <v>3175.5</v>
      </c>
      <c r="R826" s="40">
        <f t="shared" si="75"/>
        <v>4115.97</v>
      </c>
      <c r="S826" s="40">
        <f>ROUND('Смета ЕР (общ) '!$N826*'Смета ЕР (общ) '!$Q826,2)</f>
        <v>0</v>
      </c>
      <c r="T826" s="40">
        <f>ROUND('Смета ЕР (общ) '!$N826*'Смета ЕР (общ) '!$R826,2)</f>
        <v>0</v>
      </c>
    </row>
    <row r="827" spans="1:22" ht="14.4" x14ac:dyDescent="0.3">
      <c r="A827" s="36" t="s">
        <v>829</v>
      </c>
      <c r="B827" s="36">
        <v>1</v>
      </c>
      <c r="C827" s="36"/>
      <c r="D827" s="36">
        <v>63</v>
      </c>
      <c r="E827" s="36" t="str">
        <f>CONCATENATE('Смета ЕР (общ) '!$A827,".",'Смета ЕР (общ) '!$B827,".",'Смета ЕР (общ) '!$D827)</f>
        <v>Р6.1.63</v>
      </c>
      <c r="F827" s="36">
        <f t="shared" si="77"/>
        <v>1</v>
      </c>
      <c r="G827" s="36"/>
      <c r="H827" s="36"/>
      <c r="I827" s="36"/>
      <c r="J827" s="36"/>
      <c r="K827" s="36"/>
      <c r="L827" s="37" t="s">
        <v>900</v>
      </c>
      <c r="M827" s="54" t="s">
        <v>118</v>
      </c>
      <c r="N827" s="39"/>
      <c r="O827" s="40">
        <v>3175.5</v>
      </c>
      <c r="P827" s="40">
        <v>2001.87</v>
      </c>
      <c r="Q827" s="40">
        <f t="shared" ref="Q827:R846" si="78">ROUND(O827-O827*$V$3,2)</f>
        <v>3175.5</v>
      </c>
      <c r="R827" s="40">
        <f t="shared" si="78"/>
        <v>2001.87</v>
      </c>
      <c r="S827" s="40">
        <f>ROUND('Смета ЕР (общ) '!$N827*'Смета ЕР (общ) '!$Q827,2)</f>
        <v>0</v>
      </c>
      <c r="T827" s="40">
        <f>ROUND('Смета ЕР (общ) '!$N827*'Смета ЕР (общ) '!$R827,2)</f>
        <v>0</v>
      </c>
    </row>
    <row r="828" spans="1:22" ht="24" x14ac:dyDescent="0.3">
      <c r="A828" s="36" t="s">
        <v>829</v>
      </c>
      <c r="B828" s="36">
        <v>1</v>
      </c>
      <c r="C828" s="36"/>
      <c r="D828" s="36">
        <v>64</v>
      </c>
      <c r="E828" s="36" t="str">
        <f>CONCATENATE('Смета ЕР (общ) '!$A828,".",'Смета ЕР (общ) '!$B828,".",'Смета ЕР (общ) '!$D828)</f>
        <v>Р6.1.64</v>
      </c>
      <c r="F828" s="36">
        <f t="shared" si="77"/>
        <v>1</v>
      </c>
      <c r="G828" s="36"/>
      <c r="H828" s="36"/>
      <c r="I828" s="36"/>
      <c r="J828" s="36"/>
      <c r="K828" s="36"/>
      <c r="L828" s="37" t="s">
        <v>901</v>
      </c>
      <c r="M828" s="54" t="s">
        <v>118</v>
      </c>
      <c r="N828" s="39"/>
      <c r="O828" s="40">
        <v>3328.29</v>
      </c>
      <c r="P828" s="40">
        <v>8632.14</v>
      </c>
      <c r="Q828" s="40">
        <f t="shared" si="78"/>
        <v>3328.29</v>
      </c>
      <c r="R828" s="40">
        <f t="shared" si="78"/>
        <v>8632.14</v>
      </c>
      <c r="S828" s="40">
        <f>ROUND('Смета ЕР (общ) '!$N828*'Смета ЕР (общ) '!$Q828,2)</f>
        <v>0</v>
      </c>
      <c r="T828" s="40">
        <f>ROUND('Смета ЕР (общ) '!$N828*'Смета ЕР (общ) '!$R828,2)</f>
        <v>0</v>
      </c>
    </row>
    <row r="829" spans="1:22" ht="24" x14ac:dyDescent="0.3">
      <c r="A829" s="36" t="s">
        <v>829</v>
      </c>
      <c r="B829" s="36">
        <v>1</v>
      </c>
      <c r="C829" s="36"/>
      <c r="D829" s="36">
        <v>65</v>
      </c>
      <c r="E829" s="36" t="str">
        <f>CONCATENATE('Смета ЕР (общ) '!$A829,".",'Смета ЕР (общ) '!$B829,".",'Смета ЕР (общ) '!$D829)</f>
        <v>Р6.1.65</v>
      </c>
      <c r="F829" s="36">
        <f t="shared" si="77"/>
        <v>1</v>
      </c>
      <c r="G829" s="36"/>
      <c r="H829" s="36"/>
      <c r="I829" s="36"/>
      <c r="J829" s="36"/>
      <c r="K829" s="36"/>
      <c r="L829" s="37" t="s">
        <v>902</v>
      </c>
      <c r="M829" s="54" t="s">
        <v>118</v>
      </c>
      <c r="N829" s="39"/>
      <c r="O829" s="40">
        <v>3439.08</v>
      </c>
      <c r="P829" s="40">
        <v>11950.32</v>
      </c>
      <c r="Q829" s="40">
        <f t="shared" si="78"/>
        <v>3439.08</v>
      </c>
      <c r="R829" s="40">
        <f t="shared" si="78"/>
        <v>11950.32</v>
      </c>
      <c r="S829" s="40">
        <f>ROUND('Смета ЕР (общ) '!$N829*'Смета ЕР (общ) '!$Q829,2)</f>
        <v>0</v>
      </c>
      <c r="T829" s="40">
        <f>ROUND('Смета ЕР (общ) '!$N829*'Смета ЕР (общ) '!$R829,2)</f>
        <v>0</v>
      </c>
    </row>
    <row r="830" spans="1:22" ht="24" x14ac:dyDescent="0.3">
      <c r="A830" s="36" t="s">
        <v>829</v>
      </c>
      <c r="B830" s="36">
        <v>1</v>
      </c>
      <c r="C830" s="36"/>
      <c r="D830" s="36">
        <v>66</v>
      </c>
      <c r="E830" s="36" t="str">
        <f>CONCATENATE('Смета ЕР (общ) '!$A830,".",'Смета ЕР (общ) '!$B830,".",'Смета ЕР (общ) '!$D830)</f>
        <v>Р6.1.66</v>
      </c>
      <c r="F830" s="36">
        <f t="shared" si="77"/>
        <v>1</v>
      </c>
      <c r="G830" s="36"/>
      <c r="H830" s="36"/>
      <c r="I830" s="36"/>
      <c r="J830" s="36"/>
      <c r="K830" s="36"/>
      <c r="L830" s="37" t="s">
        <v>903</v>
      </c>
      <c r="M830" s="54" t="s">
        <v>118</v>
      </c>
      <c r="N830" s="39"/>
      <c r="O830" s="40">
        <v>3439.08</v>
      </c>
      <c r="P830" s="40">
        <v>13261.41</v>
      </c>
      <c r="Q830" s="40">
        <f t="shared" si="78"/>
        <v>3439.08</v>
      </c>
      <c r="R830" s="40">
        <f t="shared" si="78"/>
        <v>13261.41</v>
      </c>
      <c r="S830" s="40">
        <f>ROUND('Смета ЕР (общ) '!$N830*'Смета ЕР (общ) '!$Q830,2)</f>
        <v>0</v>
      </c>
      <c r="T830" s="40">
        <f>ROUND('Смета ЕР (общ) '!$N830*'Смета ЕР (общ) '!$R830,2)</f>
        <v>0</v>
      </c>
    </row>
    <row r="831" spans="1:22" ht="24" x14ac:dyDescent="0.3">
      <c r="A831" s="36" t="s">
        <v>829</v>
      </c>
      <c r="B831" s="36">
        <v>1</v>
      </c>
      <c r="C831" s="36"/>
      <c r="D831" s="36">
        <v>67</v>
      </c>
      <c r="E831" s="36" t="str">
        <f>CONCATENATE('Смета ЕР (общ) '!$A831,".",'Смета ЕР (общ) '!$B831,".",'Смета ЕР (общ) '!$D831)</f>
        <v>Р6.1.67</v>
      </c>
      <c r="F831" s="36">
        <f t="shared" si="77"/>
        <v>1</v>
      </c>
      <c r="G831" s="36"/>
      <c r="H831" s="36"/>
      <c r="I831" s="36"/>
      <c r="J831" s="36"/>
      <c r="K831" s="36"/>
      <c r="L831" s="37" t="s">
        <v>904</v>
      </c>
      <c r="M831" s="54" t="s">
        <v>118</v>
      </c>
      <c r="N831" s="39"/>
      <c r="O831" s="40">
        <v>3463.69</v>
      </c>
      <c r="P831" s="40">
        <v>14308.89</v>
      </c>
      <c r="Q831" s="40">
        <f t="shared" si="78"/>
        <v>3463.69</v>
      </c>
      <c r="R831" s="40">
        <f t="shared" si="78"/>
        <v>14308.89</v>
      </c>
      <c r="S831" s="40">
        <f>ROUND('Смета ЕР (общ) '!$N831*'Смета ЕР (общ) '!$Q831,2)</f>
        <v>0</v>
      </c>
      <c r="T831" s="40">
        <f>ROUND('Смета ЕР (общ) '!$N831*'Смета ЕР (общ) '!$R831,2)</f>
        <v>0</v>
      </c>
    </row>
    <row r="832" spans="1:22" ht="24" x14ac:dyDescent="0.3">
      <c r="A832" s="36" t="s">
        <v>829</v>
      </c>
      <c r="B832" s="36">
        <v>1</v>
      </c>
      <c r="C832" s="36"/>
      <c r="D832" s="36">
        <v>68</v>
      </c>
      <c r="E832" s="36" t="str">
        <f>CONCATENATE('Смета ЕР (общ) '!$A832,".",'Смета ЕР (общ) '!$B832,".",'Смета ЕР (общ) '!$D832)</f>
        <v>Р6.1.68</v>
      </c>
      <c r="F832" s="36">
        <f t="shared" si="77"/>
        <v>1</v>
      </c>
      <c r="G832" s="36"/>
      <c r="H832" s="36"/>
      <c r="I832" s="36"/>
      <c r="J832" s="36"/>
      <c r="K832" s="36"/>
      <c r="L832" s="37" t="s">
        <v>905</v>
      </c>
      <c r="M832" s="54" t="s">
        <v>118</v>
      </c>
      <c r="N832" s="39"/>
      <c r="O832" s="40">
        <v>3328.29</v>
      </c>
      <c r="P832" s="40">
        <v>7695.15</v>
      </c>
      <c r="Q832" s="40">
        <f t="shared" si="78"/>
        <v>3328.29</v>
      </c>
      <c r="R832" s="40">
        <f t="shared" si="78"/>
        <v>7695.15</v>
      </c>
      <c r="S832" s="40">
        <f>ROUND('Смета ЕР (общ) '!$N832*'Смета ЕР (общ) '!$Q832,2)</f>
        <v>0</v>
      </c>
      <c r="T832" s="40">
        <f>ROUND('Смета ЕР (общ) '!$N832*'Смета ЕР (общ) '!$R832,2)</f>
        <v>0</v>
      </c>
    </row>
    <row r="833" spans="1:25" ht="24" x14ac:dyDescent="0.3">
      <c r="A833" s="36" t="s">
        <v>829</v>
      </c>
      <c r="B833" s="36">
        <v>1</v>
      </c>
      <c r="C833" s="36"/>
      <c r="D833" s="36">
        <v>69</v>
      </c>
      <c r="E833" s="36" t="str">
        <f>CONCATENATE('Смета ЕР (общ) '!$A833,".",'Смета ЕР (общ) '!$B833,".",'Смета ЕР (общ) '!$D833)</f>
        <v>Р6.1.69</v>
      </c>
      <c r="F833" s="36">
        <f t="shared" si="77"/>
        <v>1</v>
      </c>
      <c r="G833" s="36"/>
      <c r="H833" s="36"/>
      <c r="I833" s="36"/>
      <c r="J833" s="36"/>
      <c r="K833" s="36"/>
      <c r="L833" s="37" t="s">
        <v>906</v>
      </c>
      <c r="M833" s="54" t="s">
        <v>118</v>
      </c>
      <c r="N833" s="39"/>
      <c r="O833" s="40">
        <v>3439.08</v>
      </c>
      <c r="P833" s="40">
        <v>10873.26</v>
      </c>
      <c r="Q833" s="40">
        <f t="shared" si="78"/>
        <v>3439.08</v>
      </c>
      <c r="R833" s="40">
        <f t="shared" si="78"/>
        <v>10873.26</v>
      </c>
      <c r="S833" s="40">
        <f>ROUND('Смета ЕР (общ) '!$N833*'Смета ЕР (общ) '!$Q833,2)</f>
        <v>0</v>
      </c>
      <c r="T833" s="40">
        <f>ROUND('Смета ЕР (общ) '!$N833*'Смета ЕР (общ) '!$R833,2)</f>
        <v>0</v>
      </c>
    </row>
    <row r="834" spans="1:25" ht="24" x14ac:dyDescent="0.3">
      <c r="A834" s="36" t="s">
        <v>829</v>
      </c>
      <c r="B834" s="36">
        <v>1</v>
      </c>
      <c r="C834" s="36"/>
      <c r="D834" s="36">
        <v>70</v>
      </c>
      <c r="E834" s="36" t="str">
        <f>CONCATENATE('Смета ЕР (общ) '!$A834,".",'Смета ЕР (общ) '!$B834,".",'Смета ЕР (общ) '!$D834)</f>
        <v>Р6.1.70</v>
      </c>
      <c r="F834" s="36">
        <f t="shared" si="77"/>
        <v>1</v>
      </c>
      <c r="G834" s="36"/>
      <c r="H834" s="36"/>
      <c r="I834" s="36"/>
      <c r="J834" s="36"/>
      <c r="K834" s="36"/>
      <c r="L834" s="37" t="s">
        <v>907</v>
      </c>
      <c r="M834" s="54" t="s">
        <v>118</v>
      </c>
      <c r="N834" s="39"/>
      <c r="O834" s="40">
        <v>3439.08</v>
      </c>
      <c r="P834" s="40">
        <v>12275.7</v>
      </c>
      <c r="Q834" s="40">
        <f t="shared" si="78"/>
        <v>3439.08</v>
      </c>
      <c r="R834" s="40">
        <f t="shared" si="78"/>
        <v>12275.7</v>
      </c>
      <c r="S834" s="40">
        <f>ROUND('Смета ЕР (общ) '!$N834*'Смета ЕР (общ) '!$Q834,2)</f>
        <v>0</v>
      </c>
      <c r="T834" s="40">
        <f>ROUND('Смета ЕР (общ) '!$N834*'Смета ЕР (общ) '!$R834,2)</f>
        <v>0</v>
      </c>
    </row>
    <row r="835" spans="1:25" ht="24" x14ac:dyDescent="0.3">
      <c r="A835" s="36" t="s">
        <v>829</v>
      </c>
      <c r="B835" s="36">
        <v>1</v>
      </c>
      <c r="C835" s="36"/>
      <c r="D835" s="36">
        <v>71</v>
      </c>
      <c r="E835" s="36" t="str">
        <f>CONCATENATE('Смета ЕР (общ) '!$A835,".",'Смета ЕР (общ) '!$B835,".",'Смета ЕР (общ) '!$D835)</f>
        <v>Р6.1.71</v>
      </c>
      <c r="F835" s="36">
        <f t="shared" si="77"/>
        <v>1</v>
      </c>
      <c r="G835" s="36"/>
      <c r="H835" s="36"/>
      <c r="I835" s="36"/>
      <c r="J835" s="36"/>
      <c r="K835" s="36"/>
      <c r="L835" s="37" t="s">
        <v>908</v>
      </c>
      <c r="M835" s="54" t="s">
        <v>118</v>
      </c>
      <c r="N835" s="39"/>
      <c r="O835" s="40">
        <v>3463.69</v>
      </c>
      <c r="P835" s="40">
        <v>13252.71</v>
      </c>
      <c r="Q835" s="40">
        <f t="shared" si="78"/>
        <v>3463.69</v>
      </c>
      <c r="R835" s="40">
        <f t="shared" si="78"/>
        <v>13252.71</v>
      </c>
      <c r="S835" s="40">
        <f>ROUND('Смета ЕР (общ) '!$N835*'Смета ЕР (общ) '!$Q835,2)</f>
        <v>0</v>
      </c>
      <c r="T835" s="40">
        <f>ROUND('Смета ЕР (общ) '!$N835*'Смета ЕР (общ) '!$R835,2)</f>
        <v>0</v>
      </c>
    </row>
    <row r="836" spans="1:25" ht="14.4" x14ac:dyDescent="0.3">
      <c r="A836" s="36" t="s">
        <v>829</v>
      </c>
      <c r="B836" s="36">
        <v>1</v>
      </c>
      <c r="C836" s="36"/>
      <c r="D836" s="36">
        <v>72</v>
      </c>
      <c r="E836" s="36" t="str">
        <f>CONCATENATE('Смета ЕР (общ) '!$A836,".",'Смета ЕР (общ) '!$B836,".",'Смета ЕР (общ) '!$D836)</f>
        <v>Р6.1.72</v>
      </c>
      <c r="F836" s="36">
        <f t="shared" si="77"/>
        <v>1</v>
      </c>
      <c r="G836" s="36"/>
      <c r="H836" s="36"/>
      <c r="I836" s="36"/>
      <c r="J836" s="36"/>
      <c r="K836" s="36"/>
      <c r="L836" s="37" t="s">
        <v>909</v>
      </c>
      <c r="M836" s="54" t="s">
        <v>118</v>
      </c>
      <c r="N836" s="39"/>
      <c r="O836" s="40">
        <v>1874.2</v>
      </c>
      <c r="P836" s="40">
        <v>3297.3</v>
      </c>
      <c r="Q836" s="40">
        <f t="shared" si="78"/>
        <v>1874.2</v>
      </c>
      <c r="R836" s="40">
        <f t="shared" si="78"/>
        <v>3297.3</v>
      </c>
      <c r="S836" s="40">
        <f>ROUND('Смета ЕР (общ) '!$N836*'Смета ЕР (общ) '!$Q836,2)</f>
        <v>0</v>
      </c>
      <c r="T836" s="40">
        <f>ROUND('Смета ЕР (общ) '!$N836*'Смета ЕР (общ) '!$R836,2)</f>
        <v>0</v>
      </c>
    </row>
    <row r="837" spans="1:25" ht="14.4" x14ac:dyDescent="0.3">
      <c r="A837" s="36" t="s">
        <v>829</v>
      </c>
      <c r="B837" s="36">
        <v>1</v>
      </c>
      <c r="C837" s="36"/>
      <c r="D837" s="36">
        <v>73</v>
      </c>
      <c r="E837" s="36" t="str">
        <f>CONCATENATE('Смета ЕР (общ) '!$A837,".",'Смета ЕР (общ) '!$B837,".",'Смета ЕР (общ) '!$D837)</f>
        <v>Р6.1.73</v>
      </c>
      <c r="F837" s="36">
        <f t="shared" si="77"/>
        <v>1</v>
      </c>
      <c r="G837" s="36"/>
      <c r="H837" s="36"/>
      <c r="I837" s="36"/>
      <c r="J837" s="36"/>
      <c r="K837" s="36"/>
      <c r="L837" s="37" t="s">
        <v>910</v>
      </c>
      <c r="M837" s="54" t="s">
        <v>118</v>
      </c>
      <c r="N837" s="39"/>
      <c r="O837" s="40">
        <v>1874.2</v>
      </c>
      <c r="P837" s="40">
        <v>5037.3</v>
      </c>
      <c r="Q837" s="40">
        <f t="shared" si="78"/>
        <v>1874.2</v>
      </c>
      <c r="R837" s="40">
        <f t="shared" si="78"/>
        <v>5037.3</v>
      </c>
      <c r="S837" s="40">
        <f>ROUND('Смета ЕР (общ) '!$N837*'Смета ЕР (общ) '!$Q837,2)</f>
        <v>0</v>
      </c>
      <c r="T837" s="40">
        <f>ROUND('Смета ЕР (общ) '!$N837*'Смета ЕР (общ) '!$R837,2)</f>
        <v>0</v>
      </c>
    </row>
    <row r="838" spans="1:25" ht="14.4" x14ac:dyDescent="0.3">
      <c r="A838" s="36" t="s">
        <v>829</v>
      </c>
      <c r="B838" s="36">
        <v>1</v>
      </c>
      <c r="C838" s="36"/>
      <c r="D838" s="36">
        <v>74</v>
      </c>
      <c r="E838" s="36" t="str">
        <f>CONCATENATE('Смета ЕР (общ) '!$A838,".",'Смета ЕР (общ) '!$B838,".",'Смета ЕР (общ) '!$D838)</f>
        <v>Р6.1.74</v>
      </c>
      <c r="F838" s="36">
        <f t="shared" si="77"/>
        <v>1</v>
      </c>
      <c r="G838" s="36"/>
      <c r="H838" s="36"/>
      <c r="I838" s="36"/>
      <c r="J838" s="36"/>
      <c r="K838" s="36"/>
      <c r="L838" s="37" t="s">
        <v>911</v>
      </c>
      <c r="M838" s="54" t="s">
        <v>118</v>
      </c>
      <c r="N838" s="39"/>
      <c r="O838" s="40">
        <v>1874.2</v>
      </c>
      <c r="P838" s="40">
        <v>4428.3</v>
      </c>
      <c r="Q838" s="40">
        <f t="shared" si="78"/>
        <v>1874.2</v>
      </c>
      <c r="R838" s="40">
        <f t="shared" si="78"/>
        <v>4428.3</v>
      </c>
      <c r="S838" s="40">
        <f>ROUND('Смета ЕР (общ) '!$N838*'Смета ЕР (общ) '!$Q838,2)</f>
        <v>0</v>
      </c>
      <c r="T838" s="40">
        <f>ROUND('Смета ЕР (общ) '!$N838*'Смета ЕР (общ) '!$R838,2)</f>
        <v>0</v>
      </c>
    </row>
    <row r="839" spans="1:25" ht="14.4" x14ac:dyDescent="0.3">
      <c r="A839" s="36" t="s">
        <v>829</v>
      </c>
      <c r="B839" s="36">
        <v>1</v>
      </c>
      <c r="C839" s="36"/>
      <c r="D839" s="36">
        <v>75</v>
      </c>
      <c r="E839" s="36" t="str">
        <f>CONCATENATE('Смета ЕР (общ) '!$A839,".",'Смета ЕР (общ) '!$B839,".",'Смета ЕР (общ) '!$D839)</f>
        <v>Р6.1.75</v>
      </c>
      <c r="F839" s="36">
        <f t="shared" si="77"/>
        <v>1</v>
      </c>
      <c r="G839" s="36"/>
      <c r="H839" s="36"/>
      <c r="I839" s="36"/>
      <c r="J839" s="36"/>
      <c r="K839" s="36"/>
      <c r="L839" s="143" t="s">
        <v>912</v>
      </c>
      <c r="M839" s="54" t="s">
        <v>118</v>
      </c>
      <c r="N839" s="39"/>
      <c r="O839" s="40">
        <v>130.5</v>
      </c>
      <c r="P839" s="40">
        <v>2262</v>
      </c>
      <c r="Q839" s="40">
        <f t="shared" si="78"/>
        <v>130.5</v>
      </c>
      <c r="R839" s="40">
        <f t="shared" si="78"/>
        <v>2262</v>
      </c>
      <c r="S839" s="40">
        <f>ROUND('Смета ЕР (общ) '!$N839*'Смета ЕР (общ) '!$Q839,2)</f>
        <v>0</v>
      </c>
      <c r="T839" s="40">
        <f>ROUND('Смета ЕР (общ) '!$N839*'Смета ЕР (общ) '!$R839,2)</f>
        <v>0</v>
      </c>
    </row>
    <row r="840" spans="1:25" ht="14.4" x14ac:dyDescent="0.3">
      <c r="A840" s="36" t="s">
        <v>829</v>
      </c>
      <c r="B840" s="36">
        <v>1</v>
      </c>
      <c r="C840" s="36"/>
      <c r="D840" s="36">
        <v>76</v>
      </c>
      <c r="E840" s="36" t="str">
        <f>CONCATENATE('Смета ЕР (общ) '!$A840,".",'Смета ЕР (общ) '!$B840,".",'Смета ЕР (общ) '!$D840)</f>
        <v>Р6.1.76</v>
      </c>
      <c r="F840" s="36">
        <f t="shared" si="77"/>
        <v>1</v>
      </c>
      <c r="G840" s="36"/>
      <c r="H840" s="36"/>
      <c r="I840" s="36"/>
      <c r="J840" s="36"/>
      <c r="K840" s="36"/>
      <c r="L840" s="143" t="s">
        <v>912</v>
      </c>
      <c r="M840" s="54" t="s">
        <v>118</v>
      </c>
      <c r="N840" s="39"/>
      <c r="O840" s="40">
        <v>130.5</v>
      </c>
      <c r="P840" s="40">
        <v>2436</v>
      </c>
      <c r="Q840" s="40">
        <f t="shared" si="78"/>
        <v>130.5</v>
      </c>
      <c r="R840" s="40">
        <f t="shared" si="78"/>
        <v>2436</v>
      </c>
      <c r="S840" s="40">
        <f>ROUND('Смета ЕР (общ) '!$N840*'Смета ЕР (общ) '!$Q840,2)</f>
        <v>0</v>
      </c>
      <c r="T840" s="40">
        <f>ROUND('Смета ЕР (общ) '!$N840*'Смета ЕР (общ) '!$R840,2)</f>
        <v>0</v>
      </c>
    </row>
    <row r="841" spans="1:25" ht="14.4" x14ac:dyDescent="0.3">
      <c r="A841" s="36" t="s">
        <v>829</v>
      </c>
      <c r="B841" s="36">
        <v>1</v>
      </c>
      <c r="C841" s="36"/>
      <c r="D841" s="36">
        <v>77</v>
      </c>
      <c r="E841" s="36" t="str">
        <f>CONCATENATE('Смета ЕР (общ) '!$A841,".",'Смета ЕР (общ) '!$B841,".",'Смета ЕР (общ) '!$D841)</f>
        <v>Р6.1.77</v>
      </c>
      <c r="F841" s="36">
        <f t="shared" si="77"/>
        <v>1</v>
      </c>
      <c r="G841" s="36"/>
      <c r="H841" s="36"/>
      <c r="I841" s="36"/>
      <c r="J841" s="36"/>
      <c r="K841" s="36"/>
      <c r="L841" s="143" t="s">
        <v>912</v>
      </c>
      <c r="M841" s="54" t="s">
        <v>118</v>
      </c>
      <c r="N841" s="39"/>
      <c r="O841" s="40">
        <v>130.5</v>
      </c>
      <c r="P841" s="40">
        <v>2610</v>
      </c>
      <c r="Q841" s="40">
        <f t="shared" si="78"/>
        <v>130.5</v>
      </c>
      <c r="R841" s="40">
        <f t="shared" si="78"/>
        <v>2610</v>
      </c>
      <c r="S841" s="40">
        <f>ROUND('Смета ЕР (общ) '!$N841*'Смета ЕР (общ) '!$Q841,2)</f>
        <v>0</v>
      </c>
      <c r="T841" s="40">
        <f>ROUND('Смета ЕР (общ) '!$N841*'Смета ЕР (общ) '!$R841,2)</f>
        <v>0</v>
      </c>
    </row>
    <row r="842" spans="1:25" ht="14.4" x14ac:dyDescent="0.3">
      <c r="A842" s="36" t="s">
        <v>829</v>
      </c>
      <c r="B842" s="36">
        <v>1</v>
      </c>
      <c r="C842" s="36"/>
      <c r="D842" s="36">
        <v>4</v>
      </c>
      <c r="E842" s="36" t="str">
        <f>CONCATENATE('Смета ЕР (общ) '!$A842,".",'Смета ЕР (общ) '!$B842,".",'Смета ЕР (общ) '!$D842)</f>
        <v>Р6.1.4</v>
      </c>
      <c r="F842" s="36">
        <f t="shared" si="77"/>
        <v>1</v>
      </c>
      <c r="G842" s="36"/>
      <c r="H842" s="36"/>
      <c r="I842" s="36"/>
      <c r="J842" s="36"/>
      <c r="K842" s="36"/>
      <c r="L842" s="144" t="s">
        <v>913</v>
      </c>
      <c r="M842" s="54" t="s">
        <v>835</v>
      </c>
      <c r="N842" s="39"/>
      <c r="O842" s="40">
        <v>470.25</v>
      </c>
      <c r="P842" s="40">
        <v>0</v>
      </c>
      <c r="Q842" s="40">
        <f t="shared" si="78"/>
        <v>470.25</v>
      </c>
      <c r="R842" s="40">
        <f t="shared" si="78"/>
        <v>0</v>
      </c>
      <c r="S842" s="40">
        <f>ROUND('Смета ЕР (общ) '!$N842*'Смета ЕР (общ) '!$Q842,2)</f>
        <v>0</v>
      </c>
      <c r="T842" s="40">
        <f>ROUND('Смета ЕР (общ) '!$N842*'Смета ЕР (общ) '!$R842,2)</f>
        <v>0</v>
      </c>
      <c r="Y842">
        <v>40</v>
      </c>
    </row>
    <row r="843" spans="1:25" ht="14.4" x14ac:dyDescent="0.3">
      <c r="A843" s="36" t="s">
        <v>829</v>
      </c>
      <c r="B843" s="36">
        <v>1</v>
      </c>
      <c r="C843" s="36"/>
      <c r="D843" s="36">
        <v>5</v>
      </c>
      <c r="E843" s="36" t="str">
        <f>CONCATENATE('Смета ЕР (общ) '!$A843,".",'Смета ЕР (общ) '!$B843,".",'Смета ЕР (общ) '!$D843)</f>
        <v>Р6.1.5</v>
      </c>
      <c r="F843" s="36">
        <f t="shared" si="77"/>
        <v>1</v>
      </c>
      <c r="G843" s="36"/>
      <c r="H843" s="36"/>
      <c r="I843" s="36"/>
      <c r="J843" s="36"/>
      <c r="K843" s="36"/>
      <c r="L843" s="37" t="s">
        <v>914</v>
      </c>
      <c r="M843" s="54" t="s">
        <v>835</v>
      </c>
      <c r="N843" s="39"/>
      <c r="O843" s="40">
        <v>887.73</v>
      </c>
      <c r="P843" s="40">
        <v>1267.3800000000001</v>
      </c>
      <c r="Q843" s="40">
        <f t="shared" si="78"/>
        <v>887.73</v>
      </c>
      <c r="R843" s="40">
        <f t="shared" si="78"/>
        <v>1267.3800000000001</v>
      </c>
      <c r="S843" s="40">
        <f>ROUND('Смета ЕР (общ) '!$N843*'Смета ЕР (общ) '!$Q843,2)</f>
        <v>0</v>
      </c>
      <c r="T843" s="40">
        <f>ROUND('Смета ЕР (общ) '!$N843*'Смета ЕР (общ) '!$R843,2)</f>
        <v>0</v>
      </c>
      <c r="Y843">
        <v>30</v>
      </c>
    </row>
    <row r="844" spans="1:25" ht="14.4" x14ac:dyDescent="0.3">
      <c r="A844" s="36" t="s">
        <v>829</v>
      </c>
      <c r="B844" s="36">
        <v>1</v>
      </c>
      <c r="C844" s="36"/>
      <c r="D844" s="36">
        <v>6</v>
      </c>
      <c r="E844" s="36" t="str">
        <f>CONCATENATE('Смета ЕР (общ) '!$A844,".",'Смета ЕР (общ) '!$B844,".",'Смета ЕР (общ) '!$D844)</f>
        <v>Р6.1.6</v>
      </c>
      <c r="F844" s="36">
        <f t="shared" si="77"/>
        <v>1</v>
      </c>
      <c r="G844" s="36"/>
      <c r="H844" s="36"/>
      <c r="I844" s="36"/>
      <c r="J844" s="36"/>
      <c r="K844" s="36"/>
      <c r="L844" s="37" t="s">
        <v>915</v>
      </c>
      <c r="M844" s="38" t="s">
        <v>118</v>
      </c>
      <c r="N844" s="39"/>
      <c r="O844" s="40">
        <v>588.12</v>
      </c>
      <c r="P844" s="40">
        <v>1108.3399999999999</v>
      </c>
      <c r="Q844" s="40">
        <f t="shared" si="78"/>
        <v>588.12</v>
      </c>
      <c r="R844" s="40">
        <f t="shared" si="78"/>
        <v>1108.3399999999999</v>
      </c>
      <c r="S844" s="40">
        <f>ROUND('Смета ЕР (общ) '!$N844*'Смета ЕР (общ) '!$Q844,2)</f>
        <v>0</v>
      </c>
      <c r="T844" s="40">
        <f>ROUND('Смета ЕР (общ) '!$N844*'Смета ЕР (общ) '!$R844,2)</f>
        <v>0</v>
      </c>
    </row>
    <row r="845" spans="1:25" ht="24" x14ac:dyDescent="0.3">
      <c r="A845" s="36" t="s">
        <v>829</v>
      </c>
      <c r="B845" s="36">
        <v>1</v>
      </c>
      <c r="C845" s="36"/>
      <c r="D845" s="36">
        <v>7</v>
      </c>
      <c r="E845" s="36" t="str">
        <f>CONCATENATE('Смета ЕР (общ) '!$A845,".",'Смета ЕР (общ) '!$B845,".",'Смета ЕР (общ) '!$D845)</f>
        <v>Р6.1.7</v>
      </c>
      <c r="F845" s="36">
        <f t="shared" si="77"/>
        <v>1</v>
      </c>
      <c r="G845" s="36"/>
      <c r="H845" s="36"/>
      <c r="I845" s="36"/>
      <c r="J845" s="36"/>
      <c r="K845" s="36"/>
      <c r="L845" s="37" t="s">
        <v>916</v>
      </c>
      <c r="M845" s="38" t="s">
        <v>118</v>
      </c>
      <c r="N845" s="39"/>
      <c r="O845" s="40">
        <v>588.12</v>
      </c>
      <c r="P845" s="40">
        <v>1276.5999999999999</v>
      </c>
      <c r="Q845" s="40">
        <f t="shared" si="78"/>
        <v>588.12</v>
      </c>
      <c r="R845" s="40">
        <f t="shared" si="78"/>
        <v>1276.5999999999999</v>
      </c>
      <c r="S845" s="40">
        <f>ROUND('Смета ЕР (общ) '!$N845*'Смета ЕР (общ) '!$Q845,2)</f>
        <v>0</v>
      </c>
      <c r="T845" s="40">
        <f>ROUND('Смета ЕР (общ) '!$N845*'Смета ЕР (общ) '!$R845,2)</f>
        <v>0</v>
      </c>
      <c r="Y845">
        <v>8</v>
      </c>
    </row>
    <row r="846" spans="1:25" ht="24" x14ac:dyDescent="0.3">
      <c r="A846" s="36" t="s">
        <v>829</v>
      </c>
      <c r="B846" s="36">
        <v>1</v>
      </c>
      <c r="C846" s="36"/>
      <c r="D846" s="36">
        <v>78</v>
      </c>
      <c r="E846" s="36" t="str">
        <f>CONCATENATE('Смета ЕР (общ) '!$A846,".",'Смета ЕР (общ) '!$B846,".",'Смета ЕР (общ) '!$D846)</f>
        <v>Р6.1.78</v>
      </c>
      <c r="F846" s="36">
        <f t="shared" si="77"/>
        <v>1</v>
      </c>
      <c r="G846" s="36"/>
      <c r="H846" s="36"/>
      <c r="I846" s="36"/>
      <c r="J846" s="36"/>
      <c r="K846" s="36"/>
      <c r="L846" s="37" t="s">
        <v>917</v>
      </c>
      <c r="M846" s="38" t="s">
        <v>147</v>
      </c>
      <c r="N846" s="39"/>
      <c r="O846" s="40">
        <v>551.22</v>
      </c>
      <c r="P846" s="40">
        <v>538.46</v>
      </c>
      <c r="Q846" s="40">
        <f t="shared" si="78"/>
        <v>551.22</v>
      </c>
      <c r="R846" s="40">
        <f t="shared" si="78"/>
        <v>538.46</v>
      </c>
      <c r="S846" s="40">
        <f>ROUND('Смета ЕР (общ) '!$N846*'Смета ЕР (общ) '!$Q846,2)</f>
        <v>0</v>
      </c>
      <c r="T846" s="40">
        <f>ROUND('Смета ЕР (общ) '!$N846*'Смета ЕР (общ) '!$R846,2)</f>
        <v>0</v>
      </c>
      <c r="V846"/>
    </row>
    <row r="847" spans="1:25" ht="24" x14ac:dyDescent="0.3">
      <c r="A847" s="36" t="s">
        <v>829</v>
      </c>
      <c r="B847" s="36">
        <v>1</v>
      </c>
      <c r="C847" s="36"/>
      <c r="D847" s="36">
        <v>79</v>
      </c>
      <c r="E847" s="36" t="str">
        <f>CONCATENATE('Смета ЕР (общ) '!$A847,".",'Смета ЕР (общ) '!$B847,".",'Смета ЕР (общ) '!$D847)</f>
        <v>Р6.1.79</v>
      </c>
      <c r="F847" s="36">
        <f t="shared" si="77"/>
        <v>1</v>
      </c>
      <c r="G847" s="36"/>
      <c r="H847" s="36"/>
      <c r="I847" s="36"/>
      <c r="J847" s="36"/>
      <c r="K847" s="36"/>
      <c r="L847" s="37" t="s">
        <v>918</v>
      </c>
      <c r="M847" s="38" t="s">
        <v>147</v>
      </c>
      <c r="N847" s="39"/>
      <c r="O847" s="40">
        <v>551.22</v>
      </c>
      <c r="P847" s="40">
        <v>367.33</v>
      </c>
      <c r="Q847" s="40">
        <f t="shared" ref="Q847:R862" si="79">ROUND(O847-O847*$V$3,2)</f>
        <v>551.22</v>
      </c>
      <c r="R847" s="40">
        <f t="shared" si="79"/>
        <v>367.33</v>
      </c>
      <c r="S847" s="40">
        <f>ROUND('Смета ЕР (общ) '!$N847*'Смета ЕР (общ) '!$Q847,2)</f>
        <v>0</v>
      </c>
      <c r="T847" s="40">
        <f>ROUND('Смета ЕР (общ) '!$N847*'Смета ЕР (общ) '!$R847,2)</f>
        <v>0</v>
      </c>
      <c r="V847"/>
    </row>
    <row r="848" spans="1:25" ht="24" x14ac:dyDescent="0.3">
      <c r="A848" s="36" t="s">
        <v>829</v>
      </c>
      <c r="B848" s="36">
        <v>1</v>
      </c>
      <c r="C848" s="36"/>
      <c r="D848" s="36">
        <v>80</v>
      </c>
      <c r="E848" s="36" t="str">
        <f>CONCATENATE('Смета ЕР (общ) '!$A848,".",'Смета ЕР (общ) '!$B848,".",'Смета ЕР (общ) '!$D848)</f>
        <v>Р6.1.80</v>
      </c>
      <c r="F848" s="36">
        <f t="shared" si="77"/>
        <v>1</v>
      </c>
      <c r="G848" s="36"/>
      <c r="H848" s="36"/>
      <c r="I848" s="36"/>
      <c r="J848" s="36"/>
      <c r="K848" s="36"/>
      <c r="L848" s="37" t="s">
        <v>919</v>
      </c>
      <c r="M848" s="38" t="s">
        <v>147</v>
      </c>
      <c r="N848" s="39"/>
      <c r="O848" s="40">
        <v>551.22</v>
      </c>
      <c r="P848" s="40">
        <v>249.82</v>
      </c>
      <c r="Q848" s="40">
        <f t="shared" si="79"/>
        <v>551.22</v>
      </c>
      <c r="R848" s="40">
        <f t="shared" si="79"/>
        <v>249.82</v>
      </c>
      <c r="S848" s="40">
        <f>ROUND('Смета ЕР (общ) '!$N848*'Смета ЕР (общ) '!$Q848,2)</f>
        <v>0</v>
      </c>
      <c r="T848" s="40">
        <f>ROUND('Смета ЕР (общ) '!$N848*'Смета ЕР (общ) '!$R848,2)</f>
        <v>0</v>
      </c>
      <c r="V848"/>
    </row>
    <row r="849" spans="1:25" ht="24" x14ac:dyDescent="0.3">
      <c r="A849" s="36" t="s">
        <v>829</v>
      </c>
      <c r="B849" s="36">
        <v>1</v>
      </c>
      <c r="C849" s="36"/>
      <c r="D849" s="36">
        <v>8</v>
      </c>
      <c r="E849" s="36" t="str">
        <f>CONCATENATE('Смета ЕР (общ) '!$A849,".",'Смета ЕР (общ) '!$B849,".",'Смета ЕР (общ) '!$D849)</f>
        <v>Р6.1.8</v>
      </c>
      <c r="F849" s="36">
        <f t="shared" ref="F849:F912" si="80">IF(N849&gt;0,F848+1,F848)</f>
        <v>1</v>
      </c>
      <c r="G849" s="36"/>
      <c r="H849" s="36"/>
      <c r="I849" s="36"/>
      <c r="J849" s="36"/>
      <c r="K849" s="36"/>
      <c r="L849" s="37" t="s">
        <v>920</v>
      </c>
      <c r="M849" s="38" t="s">
        <v>147</v>
      </c>
      <c r="N849" s="39"/>
      <c r="O849" s="40">
        <v>551.22</v>
      </c>
      <c r="P849" s="40">
        <v>249.82</v>
      </c>
      <c r="Q849" s="40">
        <f t="shared" si="79"/>
        <v>551.22</v>
      </c>
      <c r="R849" s="40">
        <f t="shared" si="79"/>
        <v>249.82</v>
      </c>
      <c r="S849" s="40">
        <f>ROUND('Смета ЕР (общ) '!$N849*'Смета ЕР (общ) '!$Q849,2)</f>
        <v>0</v>
      </c>
      <c r="T849" s="40">
        <f>ROUND('Смета ЕР (общ) '!$N849*'Смета ЕР (общ) '!$R849,2)</f>
        <v>0</v>
      </c>
      <c r="Y849">
        <v>10</v>
      </c>
    </row>
    <row r="850" spans="1:25" ht="24" x14ac:dyDescent="0.3">
      <c r="A850" s="36" t="s">
        <v>829</v>
      </c>
      <c r="B850" s="36">
        <v>1</v>
      </c>
      <c r="C850" s="36"/>
      <c r="D850" s="36">
        <v>9</v>
      </c>
      <c r="E850" s="36" t="str">
        <f>CONCATENATE('Смета ЕР (общ) '!$A850,".",'Смета ЕР (общ) '!$B850,".",'Смета ЕР (общ) '!$D850)</f>
        <v>Р6.1.9</v>
      </c>
      <c r="F850" s="36">
        <f t="shared" si="80"/>
        <v>1</v>
      </c>
      <c r="G850" s="36"/>
      <c r="H850" s="36"/>
      <c r="I850" s="36"/>
      <c r="J850" s="36"/>
      <c r="K850" s="36"/>
      <c r="L850" s="37" t="s">
        <v>921</v>
      </c>
      <c r="M850" s="38" t="s">
        <v>147</v>
      </c>
      <c r="N850" s="39"/>
      <c r="O850" s="40">
        <v>551.22</v>
      </c>
      <c r="P850" s="40">
        <v>163.91</v>
      </c>
      <c r="Q850" s="40">
        <f t="shared" si="79"/>
        <v>551.22</v>
      </c>
      <c r="R850" s="40">
        <f t="shared" si="79"/>
        <v>163.91</v>
      </c>
      <c r="S850" s="40">
        <f>ROUND('Смета ЕР (общ) '!$N850*'Смета ЕР (общ) '!$Q850,2)</f>
        <v>0</v>
      </c>
      <c r="T850" s="40">
        <f>ROUND('Смета ЕР (общ) '!$N850*'Смета ЕР (общ) '!$R850,2)</f>
        <v>0</v>
      </c>
      <c r="Y850">
        <v>20</v>
      </c>
    </row>
    <row r="851" spans="1:25" ht="14.4" x14ac:dyDescent="0.3">
      <c r="A851" s="36" t="s">
        <v>829</v>
      </c>
      <c r="B851" s="36">
        <v>1</v>
      </c>
      <c r="C851" s="36"/>
      <c r="D851" s="36">
        <v>10</v>
      </c>
      <c r="E851" s="36" t="str">
        <f>CONCATENATE('Смета ЕР (общ) '!$A851,".",'Смета ЕР (общ) '!$B851,".",'Смета ЕР (общ) '!$D851)</f>
        <v>Р6.1.10</v>
      </c>
      <c r="F851" s="36">
        <f t="shared" si="80"/>
        <v>1</v>
      </c>
      <c r="G851" s="36"/>
      <c r="H851" s="36"/>
      <c r="I851" s="36"/>
      <c r="J851" s="36"/>
      <c r="K851" s="36"/>
      <c r="L851" s="37" t="s">
        <v>922</v>
      </c>
      <c r="M851" s="38" t="s">
        <v>147</v>
      </c>
      <c r="N851" s="39"/>
      <c r="O851" s="40">
        <v>551.22</v>
      </c>
      <c r="P851" s="40">
        <v>426.07</v>
      </c>
      <c r="Q851" s="40">
        <f t="shared" si="79"/>
        <v>551.22</v>
      </c>
      <c r="R851" s="40">
        <f t="shared" si="79"/>
        <v>426.07</v>
      </c>
      <c r="S851" s="40">
        <f>ROUND('Смета ЕР (общ) '!$N851*'Смета ЕР (общ) '!$Q851,2)</f>
        <v>0</v>
      </c>
      <c r="T851" s="40">
        <f>ROUND('Смета ЕР (общ) '!$N851*'Смета ЕР (общ) '!$R851,2)</f>
        <v>0</v>
      </c>
    </row>
    <row r="852" spans="1:25" ht="14.4" x14ac:dyDescent="0.3">
      <c r="A852" s="36" t="s">
        <v>829</v>
      </c>
      <c r="B852" s="36">
        <v>1</v>
      </c>
      <c r="C852" s="36"/>
      <c r="D852" s="36">
        <v>11</v>
      </c>
      <c r="E852" s="36" t="str">
        <f>CONCATENATE('Смета ЕР (общ) '!$A852,".",'Смета ЕР (общ) '!$B852,".",'Смета ЕР (общ) '!$D852)</f>
        <v>Р6.1.11</v>
      </c>
      <c r="F852" s="36">
        <f t="shared" si="80"/>
        <v>1</v>
      </c>
      <c r="G852" s="36"/>
      <c r="H852" s="36"/>
      <c r="I852" s="36"/>
      <c r="J852" s="36"/>
      <c r="K852" s="36"/>
      <c r="L852" s="37" t="s">
        <v>923</v>
      </c>
      <c r="M852" s="38" t="s">
        <v>147</v>
      </c>
      <c r="N852" s="39"/>
      <c r="O852" s="40">
        <v>551.22</v>
      </c>
      <c r="P852" s="40">
        <v>560.23</v>
      </c>
      <c r="Q852" s="40">
        <f t="shared" si="79"/>
        <v>551.22</v>
      </c>
      <c r="R852" s="40">
        <f t="shared" si="79"/>
        <v>560.23</v>
      </c>
      <c r="S852" s="40">
        <f>ROUND('Смета ЕР (общ) '!$N852*'Смета ЕР (общ) '!$Q852,2)</f>
        <v>0</v>
      </c>
      <c r="T852" s="40">
        <f>ROUND('Смета ЕР (общ) '!$N852*'Смета ЕР (общ) '!$R852,2)</f>
        <v>0</v>
      </c>
    </row>
    <row r="853" spans="1:25" ht="14.4" x14ac:dyDescent="0.3">
      <c r="A853" s="36" t="s">
        <v>829</v>
      </c>
      <c r="B853" s="36">
        <v>1</v>
      </c>
      <c r="C853" s="36"/>
      <c r="D853" s="36">
        <v>12</v>
      </c>
      <c r="E853" s="36" t="str">
        <f>CONCATENATE('Смета ЕР (общ) '!$A853,".",'Смета ЕР (общ) '!$B853,".",'Смета ЕР (общ) '!$D853)</f>
        <v>Р6.1.12</v>
      </c>
      <c r="F853" s="36">
        <f t="shared" si="80"/>
        <v>1</v>
      </c>
      <c r="G853" s="36"/>
      <c r="H853" s="36"/>
      <c r="I853" s="36"/>
      <c r="J853" s="36"/>
      <c r="K853" s="36"/>
      <c r="L853" s="37" t="s">
        <v>924</v>
      </c>
      <c r="M853" s="38" t="s">
        <v>147</v>
      </c>
      <c r="N853" s="39"/>
      <c r="O853" s="40">
        <v>551.22</v>
      </c>
      <c r="P853" s="40">
        <v>374.33</v>
      </c>
      <c r="Q853" s="40">
        <f t="shared" si="79"/>
        <v>551.22</v>
      </c>
      <c r="R853" s="40">
        <f t="shared" si="79"/>
        <v>374.33</v>
      </c>
      <c r="S853" s="40">
        <f>ROUND('Смета ЕР (общ) '!$N853*'Смета ЕР (общ) '!$Q853,2)</f>
        <v>0</v>
      </c>
      <c r="T853" s="40">
        <f>ROUND('Смета ЕР (общ) '!$N853*'Смета ЕР (общ) '!$R853,2)</f>
        <v>0</v>
      </c>
    </row>
    <row r="854" spans="1:25" ht="14.4" x14ac:dyDescent="0.3">
      <c r="A854" s="36" t="s">
        <v>829</v>
      </c>
      <c r="B854" s="36">
        <v>1</v>
      </c>
      <c r="C854" s="36"/>
      <c r="D854" s="36">
        <v>13</v>
      </c>
      <c r="E854" s="36" t="str">
        <f>CONCATENATE('Смета ЕР (общ) '!$A854,".",'Смета ЕР (общ) '!$B854,".",'Смета ЕР (общ) '!$D854)</f>
        <v>Р6.1.13</v>
      </c>
      <c r="F854" s="36">
        <f t="shared" si="80"/>
        <v>1</v>
      </c>
      <c r="G854" s="36"/>
      <c r="H854" s="36"/>
      <c r="I854" s="36"/>
      <c r="J854" s="36"/>
      <c r="K854" s="36"/>
      <c r="L854" s="37" t="s">
        <v>925</v>
      </c>
      <c r="M854" s="38" t="s">
        <v>118</v>
      </c>
      <c r="N854" s="39"/>
      <c r="O854" s="40">
        <v>886.23</v>
      </c>
      <c r="P854" s="40">
        <v>1141.1400000000001</v>
      </c>
      <c r="Q854" s="40">
        <f t="shared" si="79"/>
        <v>886.23</v>
      </c>
      <c r="R854" s="40">
        <f t="shared" si="79"/>
        <v>1141.1400000000001</v>
      </c>
      <c r="S854" s="40">
        <f>ROUND('Смета ЕР (общ) '!$N854*'Смета ЕР (общ) '!$Q854,2)</f>
        <v>0</v>
      </c>
      <c r="T854" s="40">
        <f>ROUND('Смета ЕР (общ) '!$N854*'Смета ЕР (общ) '!$R854,2)</f>
        <v>0</v>
      </c>
    </row>
    <row r="855" spans="1:25" ht="14.4" x14ac:dyDescent="0.3">
      <c r="A855" s="36" t="s">
        <v>829</v>
      </c>
      <c r="B855" s="36">
        <v>1</v>
      </c>
      <c r="C855" s="36"/>
      <c r="D855" s="36">
        <v>14</v>
      </c>
      <c r="E855" s="36" t="str">
        <f>CONCATENATE('Смета ЕР (общ) '!$A855,".",'Смета ЕР (общ) '!$B855,".",'Смета ЕР (общ) '!$D855)</f>
        <v>Р6.1.14</v>
      </c>
      <c r="F855" s="36">
        <f t="shared" si="80"/>
        <v>1</v>
      </c>
      <c r="G855" s="36"/>
      <c r="H855" s="36"/>
      <c r="I855" s="36"/>
      <c r="J855" s="36"/>
      <c r="K855" s="36"/>
      <c r="L855" s="37" t="s">
        <v>926</v>
      </c>
      <c r="M855" s="38" t="s">
        <v>118</v>
      </c>
      <c r="N855" s="39"/>
      <c r="O855" s="40">
        <v>886.23</v>
      </c>
      <c r="P855" s="40">
        <v>1841.47</v>
      </c>
      <c r="Q855" s="40">
        <f t="shared" si="79"/>
        <v>886.23</v>
      </c>
      <c r="R855" s="40">
        <f t="shared" si="79"/>
        <v>1841.47</v>
      </c>
      <c r="S855" s="40">
        <f>ROUND('Смета ЕР (общ) '!$N855*'Смета ЕР (общ) '!$Q855,2)</f>
        <v>0</v>
      </c>
      <c r="T855" s="40">
        <f>ROUND('Смета ЕР (общ) '!$N855*'Смета ЕР (общ) '!$R855,2)</f>
        <v>0</v>
      </c>
      <c r="Y855">
        <v>8</v>
      </c>
    </row>
    <row r="856" spans="1:25" ht="14.4" x14ac:dyDescent="0.3">
      <c r="A856" s="36" t="s">
        <v>829</v>
      </c>
      <c r="B856" s="36">
        <v>1</v>
      </c>
      <c r="C856" s="36"/>
      <c r="D856" s="36">
        <v>15</v>
      </c>
      <c r="E856" s="36" t="str">
        <f>CONCATENATE('Смета ЕР (общ) '!$A856,".",'Смета ЕР (общ) '!$B856,".",'Смета ЕР (общ) '!$D856)</f>
        <v>Р6.1.15</v>
      </c>
      <c r="F856" s="36">
        <f t="shared" si="80"/>
        <v>1</v>
      </c>
      <c r="G856" s="36"/>
      <c r="H856" s="36"/>
      <c r="I856" s="36"/>
      <c r="J856" s="36"/>
      <c r="K856" s="36"/>
      <c r="L856" s="37" t="s">
        <v>927</v>
      </c>
      <c r="M856" s="38" t="s">
        <v>64</v>
      </c>
      <c r="N856" s="39"/>
      <c r="O856" s="40">
        <v>305.37</v>
      </c>
      <c r="P856" s="40">
        <v>420.85</v>
      </c>
      <c r="Q856" s="40">
        <f t="shared" si="79"/>
        <v>305.37</v>
      </c>
      <c r="R856" s="40">
        <f t="shared" si="79"/>
        <v>420.85</v>
      </c>
      <c r="S856" s="40">
        <f>ROUND('Смета ЕР (общ) '!$N856*'Смета ЕР (общ) '!$Q856,2)</f>
        <v>0</v>
      </c>
      <c r="T856" s="40">
        <f>ROUND('Смета ЕР (общ) '!$N856*'Смета ЕР (общ) '!$R856,2)</f>
        <v>0</v>
      </c>
      <c r="Y856">
        <v>8</v>
      </c>
    </row>
    <row r="857" spans="1:25" ht="14.4" x14ac:dyDescent="0.3">
      <c r="A857" s="36" t="s">
        <v>829</v>
      </c>
      <c r="B857" s="36">
        <v>1</v>
      </c>
      <c r="C857" s="36"/>
      <c r="D857" s="36">
        <v>16</v>
      </c>
      <c r="E857" s="36" t="str">
        <f>CONCATENATE('Смета ЕР (общ) '!$A857,".",'Смета ЕР (общ) '!$B857,".",'Смета ЕР (общ) '!$D857)</f>
        <v>Р6.1.16</v>
      </c>
      <c r="F857" s="36">
        <f t="shared" si="80"/>
        <v>1</v>
      </c>
      <c r="G857" s="36"/>
      <c r="H857" s="36"/>
      <c r="I857" s="36"/>
      <c r="J857" s="36"/>
      <c r="K857" s="36"/>
      <c r="L857" s="37" t="s">
        <v>928</v>
      </c>
      <c r="M857" s="38" t="s">
        <v>64</v>
      </c>
      <c r="N857" s="39"/>
      <c r="O857" s="44">
        <v>33963</v>
      </c>
      <c r="P857" s="40">
        <v>0</v>
      </c>
      <c r="Q857" s="40">
        <f t="shared" si="79"/>
        <v>33963</v>
      </c>
      <c r="R857" s="40">
        <f t="shared" si="79"/>
        <v>0</v>
      </c>
      <c r="S857" s="40">
        <f>ROUND('Смета ЕР (общ) '!$N857*'Смета ЕР (общ) '!$Q857,2)</f>
        <v>0</v>
      </c>
      <c r="T857" s="40">
        <f>ROUND('Смета ЕР (общ) '!$N857*'Смета ЕР (общ) '!$R857,2)</f>
        <v>0</v>
      </c>
      <c r="U857" s="136"/>
      <c r="Y857">
        <v>214</v>
      </c>
    </row>
    <row r="858" spans="1:25" ht="24" x14ac:dyDescent="0.3">
      <c r="A858" s="36" t="s">
        <v>829</v>
      </c>
      <c r="B858" s="36">
        <v>1</v>
      </c>
      <c r="C858" s="36"/>
      <c r="D858" s="36">
        <v>136</v>
      </c>
      <c r="E858" s="36" t="str">
        <f>CONCATENATE('Смета ЕР (общ) '!$A858,".",'Смета ЕР (общ) '!$B858,".",'Смета ЕР (общ) '!$D858)</f>
        <v>Р6.1.136</v>
      </c>
      <c r="F858" s="36">
        <f t="shared" si="80"/>
        <v>1</v>
      </c>
      <c r="G858" s="36"/>
      <c r="H858" s="36"/>
      <c r="I858" s="36"/>
      <c r="J858" s="36"/>
      <c r="K858" s="36"/>
      <c r="L858" s="37" t="s">
        <v>929</v>
      </c>
      <c r="M858" s="38" t="s">
        <v>125</v>
      </c>
      <c r="N858" s="39"/>
      <c r="O858" s="44">
        <v>113.21</v>
      </c>
      <c r="P858" s="40">
        <v>0</v>
      </c>
      <c r="Q858" s="40">
        <f t="shared" si="79"/>
        <v>113.21</v>
      </c>
      <c r="R858" s="40">
        <f t="shared" si="79"/>
        <v>0</v>
      </c>
      <c r="S858" s="40">
        <f>ROUND('Смета ЕР (общ) '!$N858*'Смета ЕР (общ) '!$Q858,2)</f>
        <v>0</v>
      </c>
      <c r="T858" s="40">
        <f>ROUND('Смета ЕР (общ) '!$N858*'Смета ЕР (общ) '!$R858,2)</f>
        <v>0</v>
      </c>
      <c r="U858" s="136"/>
    </row>
    <row r="859" spans="1:25" ht="14.4" x14ac:dyDescent="0.3">
      <c r="A859" s="36" t="s">
        <v>829</v>
      </c>
      <c r="B859" s="36">
        <v>1</v>
      </c>
      <c r="C859" s="36"/>
      <c r="D859" s="36">
        <v>17</v>
      </c>
      <c r="E859" s="36" t="str">
        <f>CONCATENATE('Смета ЕР (общ) '!$A859,".",'Смета ЕР (общ) '!$B859,".",'Смета ЕР (общ) '!$D859)</f>
        <v>Р6.1.17</v>
      </c>
      <c r="F859" s="36">
        <f>IF(N859&gt;0,F857+1,F857)</f>
        <v>1</v>
      </c>
      <c r="G859" s="36"/>
      <c r="H859" s="36"/>
      <c r="I859" s="36"/>
      <c r="J859" s="36"/>
      <c r="K859" s="36"/>
      <c r="L859" s="37" t="s">
        <v>930</v>
      </c>
      <c r="M859" s="38" t="s">
        <v>118</v>
      </c>
      <c r="N859" s="39"/>
      <c r="O859" s="40">
        <v>3053.7</v>
      </c>
      <c r="P859" s="40">
        <v>0</v>
      </c>
      <c r="Q859" s="40">
        <f t="shared" si="79"/>
        <v>3053.7</v>
      </c>
      <c r="R859" s="40">
        <f t="shared" si="79"/>
        <v>0</v>
      </c>
      <c r="S859" s="40">
        <f>ROUND('Смета ЕР (общ) '!$N859*'Смета ЕР (общ) '!$Q859,2)</f>
        <v>0</v>
      </c>
      <c r="T859" s="40">
        <f>ROUND('Смета ЕР (общ) '!$N859*'Смета ЕР (общ) '!$R859,2)</f>
        <v>0</v>
      </c>
    </row>
    <row r="860" spans="1:25" ht="14.4" x14ac:dyDescent="0.3">
      <c r="A860" s="36" t="s">
        <v>829</v>
      </c>
      <c r="B860" s="36">
        <v>1</v>
      </c>
      <c r="C860" s="36"/>
      <c r="D860" s="36">
        <v>18</v>
      </c>
      <c r="E860" s="36" t="str">
        <f>CONCATENATE('Смета ЕР (общ) '!$A860,".",'Смета ЕР (общ) '!$B860,".",'Смета ЕР (общ) '!$D860)</f>
        <v>Р6.1.18</v>
      </c>
      <c r="F860" s="36">
        <f t="shared" si="80"/>
        <v>1</v>
      </c>
      <c r="G860" s="36"/>
      <c r="H860" s="36"/>
      <c r="I860" s="36"/>
      <c r="J860" s="36"/>
      <c r="K860" s="36"/>
      <c r="L860" s="37" t="s">
        <v>931</v>
      </c>
      <c r="M860" s="38" t="s">
        <v>118</v>
      </c>
      <c r="N860" s="39"/>
      <c r="O860" s="40">
        <v>6135.33</v>
      </c>
      <c r="P860" s="40">
        <v>0</v>
      </c>
      <c r="Q860" s="40">
        <f t="shared" si="79"/>
        <v>6135.33</v>
      </c>
      <c r="R860" s="40">
        <f t="shared" si="79"/>
        <v>0</v>
      </c>
      <c r="S860" s="40">
        <f>ROUND('Смета ЕР (общ) '!$N860*'Смета ЕР (общ) '!$Q860,2)</f>
        <v>0</v>
      </c>
      <c r="T860" s="40">
        <f>ROUND('Смета ЕР (общ) '!$N860*'Смета ЕР (общ) '!$R860,2)</f>
        <v>0</v>
      </c>
    </row>
    <row r="861" spans="1:25" ht="14.4" x14ac:dyDescent="0.3">
      <c r="A861" s="36" t="s">
        <v>829</v>
      </c>
      <c r="B861" s="36">
        <v>1</v>
      </c>
      <c r="C861" s="36"/>
      <c r="D861" s="36">
        <v>20</v>
      </c>
      <c r="E861" s="36" t="str">
        <f>CONCATENATE('Смета ЕР (общ) '!$A861,".",'Смета ЕР (общ) '!$B861,".",'Смета ЕР (общ) '!$D861)</f>
        <v>Р6.1.20</v>
      </c>
      <c r="F861" s="36">
        <f t="shared" si="80"/>
        <v>1</v>
      </c>
      <c r="G861" s="36"/>
      <c r="H861" s="36"/>
      <c r="I861" s="36"/>
      <c r="J861" s="36"/>
      <c r="K861" s="36"/>
      <c r="L861" s="37" t="s">
        <v>932</v>
      </c>
      <c r="M861" s="38" t="s">
        <v>118</v>
      </c>
      <c r="N861" s="39"/>
      <c r="O861" s="40">
        <v>806.66</v>
      </c>
      <c r="P861" s="40">
        <v>439.66</v>
      </c>
      <c r="Q861" s="40">
        <f t="shared" si="79"/>
        <v>806.66</v>
      </c>
      <c r="R861" s="40">
        <f t="shared" si="79"/>
        <v>439.66</v>
      </c>
      <c r="S861" s="40">
        <f>ROUND('Смета ЕР (общ) '!$N861*'Смета ЕР (общ) '!$Q861,2)</f>
        <v>0</v>
      </c>
      <c r="T861" s="40">
        <f>ROUND('Смета ЕР (общ) '!$N861*'Смета ЕР (общ) '!$R861,2)</f>
        <v>0</v>
      </c>
      <c r="Y861">
        <v>16</v>
      </c>
    </row>
    <row r="862" spans="1:25" ht="14.4" x14ac:dyDescent="0.3">
      <c r="A862" s="36" t="s">
        <v>829</v>
      </c>
      <c r="B862" s="36">
        <v>1</v>
      </c>
      <c r="C862" s="36"/>
      <c r="D862" s="36">
        <v>21</v>
      </c>
      <c r="E862" s="36" t="str">
        <f>CONCATENATE('Смета ЕР (общ) '!$A862,".",'Смета ЕР (общ) '!$B862,".",'Смета ЕР (общ) '!$D862)</f>
        <v>Р6.1.21</v>
      </c>
      <c r="F862" s="36">
        <f t="shared" si="80"/>
        <v>1</v>
      </c>
      <c r="G862" s="36"/>
      <c r="H862" s="36"/>
      <c r="I862" s="36"/>
      <c r="J862" s="36"/>
      <c r="K862" s="36"/>
      <c r="L862" s="37" t="s">
        <v>933</v>
      </c>
      <c r="M862" s="38" t="s">
        <v>118</v>
      </c>
      <c r="N862" s="39"/>
      <c r="O862" s="40">
        <v>886.23</v>
      </c>
      <c r="P862" s="40">
        <v>70.73</v>
      </c>
      <c r="Q862" s="40">
        <f t="shared" si="79"/>
        <v>886.23</v>
      </c>
      <c r="R862" s="40">
        <f t="shared" si="79"/>
        <v>70.73</v>
      </c>
      <c r="S862" s="40">
        <f>ROUND('Смета ЕР (общ) '!$N862*'Смета ЕР (общ) '!$Q862,2)</f>
        <v>0</v>
      </c>
      <c r="T862" s="40">
        <f>ROUND('Смета ЕР (общ) '!$N862*'Смета ЕР (общ) '!$R862,2)</f>
        <v>0</v>
      </c>
      <c r="Y862">
        <v>8</v>
      </c>
    </row>
    <row r="863" spans="1:25" ht="24" x14ac:dyDescent="0.3">
      <c r="A863" s="36" t="s">
        <v>829</v>
      </c>
      <c r="B863" s="36">
        <v>1</v>
      </c>
      <c r="C863" s="36"/>
      <c r="D863" s="36">
        <v>22</v>
      </c>
      <c r="E863" s="36" t="str">
        <f>CONCATENATE('Смета ЕР (общ) '!$A863,".",'Смета ЕР (общ) '!$B863,".",'Смета ЕР (общ) '!$D863)</f>
        <v>Р6.1.22</v>
      </c>
      <c r="F863" s="36">
        <f t="shared" si="80"/>
        <v>1</v>
      </c>
      <c r="G863" s="36"/>
      <c r="H863" s="36"/>
      <c r="I863" s="36"/>
      <c r="J863" s="36"/>
      <c r="K863" s="36"/>
      <c r="L863" s="37" t="s">
        <v>934</v>
      </c>
      <c r="M863" s="38" t="s">
        <v>118</v>
      </c>
      <c r="N863" s="39"/>
      <c r="O863" s="40">
        <v>2578.6799999999998</v>
      </c>
      <c r="P863" s="40">
        <v>23430.35</v>
      </c>
      <c r="Q863" s="40">
        <f t="shared" ref="Q863:R905" si="81">ROUND(O863-O863*$V$3,2)</f>
        <v>2578.6799999999998</v>
      </c>
      <c r="R863" s="40">
        <f t="shared" si="81"/>
        <v>23430.35</v>
      </c>
      <c r="S863" s="40">
        <f>ROUND('Смета ЕР (общ) '!$N863*'Смета ЕР (общ) '!$Q863,2)</f>
        <v>0</v>
      </c>
      <c r="T863" s="40">
        <f>ROUND('Смета ЕР (общ) '!$N863*'Смета ЕР (общ) '!$R863,2)</f>
        <v>0</v>
      </c>
    </row>
    <row r="864" spans="1:25" ht="24" x14ac:dyDescent="0.3">
      <c r="A864" s="36" t="s">
        <v>829</v>
      </c>
      <c r="B864" s="36">
        <v>1</v>
      </c>
      <c r="C864" s="36"/>
      <c r="D864" s="36">
        <v>23</v>
      </c>
      <c r="E864" s="36" t="str">
        <f>CONCATENATE('Смета ЕР (общ) '!$A864,".",'Смета ЕР (общ) '!$B864,".",'Смета ЕР (общ) '!$D864)</f>
        <v>Р6.1.23</v>
      </c>
      <c r="F864" s="36">
        <f t="shared" si="80"/>
        <v>1</v>
      </c>
      <c r="G864" s="36"/>
      <c r="H864" s="36"/>
      <c r="I864" s="36"/>
      <c r="J864" s="36"/>
      <c r="K864" s="36"/>
      <c r="L864" s="37" t="s">
        <v>935</v>
      </c>
      <c r="M864" s="38" t="s">
        <v>118</v>
      </c>
      <c r="N864" s="39"/>
      <c r="O864" s="40">
        <v>2578.6799999999998</v>
      </c>
      <c r="P864" s="40">
        <v>24525.85</v>
      </c>
      <c r="Q864" s="40">
        <f t="shared" si="81"/>
        <v>2578.6799999999998</v>
      </c>
      <c r="R864" s="40">
        <f t="shared" si="81"/>
        <v>24525.85</v>
      </c>
      <c r="S864" s="40">
        <f>ROUND('Смета ЕР (общ) '!$N864*'Смета ЕР (общ) '!$Q864,2)</f>
        <v>0</v>
      </c>
      <c r="T864" s="40">
        <f>ROUND('Смета ЕР (общ) '!$N864*'Смета ЕР (общ) '!$R864,2)</f>
        <v>0</v>
      </c>
    </row>
    <row r="865" spans="1:25" ht="14.4" x14ac:dyDescent="0.3">
      <c r="A865" s="36" t="s">
        <v>829</v>
      </c>
      <c r="B865" s="36">
        <v>1</v>
      </c>
      <c r="C865" s="36"/>
      <c r="D865" s="36">
        <v>24</v>
      </c>
      <c r="E865" s="36" t="str">
        <f>CONCATENATE('Смета ЕР (общ) '!$A865,".",'Смета ЕР (общ) '!$B865,".",'Смета ЕР (общ) '!$D865)</f>
        <v>Р6.1.24</v>
      </c>
      <c r="F865" s="36">
        <f t="shared" si="80"/>
        <v>1</v>
      </c>
      <c r="G865" s="36"/>
      <c r="H865" s="36"/>
      <c r="I865" s="36"/>
      <c r="J865" s="36"/>
      <c r="K865" s="36"/>
      <c r="L865" s="37" t="s">
        <v>936</v>
      </c>
      <c r="M865" s="38" t="s">
        <v>118</v>
      </c>
      <c r="N865" s="39"/>
      <c r="O865" s="40">
        <v>2578.6799999999998</v>
      </c>
      <c r="P865" s="40">
        <v>17955.060000000001</v>
      </c>
      <c r="Q865" s="40">
        <f t="shared" si="81"/>
        <v>2578.6799999999998</v>
      </c>
      <c r="R865" s="40">
        <f t="shared" si="81"/>
        <v>17955.060000000001</v>
      </c>
      <c r="S865" s="40">
        <f>ROUND('Смета ЕР (общ) '!$N865*'Смета ЕР (общ) '!$Q865,2)</f>
        <v>0</v>
      </c>
      <c r="T865" s="40">
        <f>ROUND('Смета ЕР (общ) '!$N865*'Смета ЕР (общ) '!$R865,2)</f>
        <v>0</v>
      </c>
    </row>
    <row r="866" spans="1:25" ht="24" x14ac:dyDescent="0.3">
      <c r="A866" s="36" t="s">
        <v>829</v>
      </c>
      <c r="B866" s="36">
        <v>1</v>
      </c>
      <c r="C866" s="36"/>
      <c r="D866" s="36">
        <v>25</v>
      </c>
      <c r="E866" s="36" t="str">
        <f>CONCATENATE('Смета ЕР (общ) '!$A866,".",'Смета ЕР (общ) '!$B866,".",'Смета ЕР (общ) '!$D866)</f>
        <v>Р6.1.25</v>
      </c>
      <c r="F866" s="36">
        <f t="shared" si="80"/>
        <v>1</v>
      </c>
      <c r="G866" s="36"/>
      <c r="H866" s="36"/>
      <c r="I866" s="36"/>
      <c r="J866" s="36"/>
      <c r="K866" s="36"/>
      <c r="L866" s="37" t="s">
        <v>937</v>
      </c>
      <c r="M866" s="38" t="s">
        <v>147</v>
      </c>
      <c r="N866" s="39"/>
      <c r="O866" s="40">
        <v>449.16</v>
      </c>
      <c r="P866" s="40">
        <v>286.01</v>
      </c>
      <c r="Q866" s="40">
        <f t="shared" si="81"/>
        <v>449.16</v>
      </c>
      <c r="R866" s="40">
        <f t="shared" si="81"/>
        <v>286.01</v>
      </c>
      <c r="S866" s="40">
        <f>ROUND('Смета ЕР (общ) '!$N866*'Смета ЕР (общ) '!$Q866,2)</f>
        <v>0</v>
      </c>
      <c r="T866" s="40">
        <f>ROUND('Смета ЕР (общ) '!$N866*'Смета ЕР (общ) '!$R866,2)</f>
        <v>0</v>
      </c>
    </row>
    <row r="867" spans="1:25" ht="24" x14ac:dyDescent="0.3">
      <c r="A867" s="36" t="s">
        <v>829</v>
      </c>
      <c r="B867" s="36">
        <v>1</v>
      </c>
      <c r="C867" s="36"/>
      <c r="D867" s="36">
        <v>26</v>
      </c>
      <c r="E867" s="36" t="str">
        <f>CONCATENATE('Смета ЕР (общ) '!$A867,".",'Смета ЕР (общ) '!$B867,".",'Смета ЕР (общ) '!$D867)</f>
        <v>Р6.1.26</v>
      </c>
      <c r="F867" s="36">
        <f t="shared" si="80"/>
        <v>1</v>
      </c>
      <c r="G867" s="36"/>
      <c r="H867" s="36"/>
      <c r="I867" s="36"/>
      <c r="J867" s="36"/>
      <c r="K867" s="36"/>
      <c r="L867" s="37" t="s">
        <v>938</v>
      </c>
      <c r="M867" s="38" t="s">
        <v>147</v>
      </c>
      <c r="N867" s="39"/>
      <c r="O867" s="40">
        <v>467.5</v>
      </c>
      <c r="P867" s="40">
        <v>663.5</v>
      </c>
      <c r="Q867" s="40">
        <f t="shared" si="81"/>
        <v>467.5</v>
      </c>
      <c r="R867" s="40">
        <f t="shared" si="81"/>
        <v>663.5</v>
      </c>
      <c r="S867" s="40">
        <f>ROUND('Смета ЕР (общ) '!$N867*'Смета ЕР (общ) '!$Q867,2)</f>
        <v>0</v>
      </c>
      <c r="T867" s="40">
        <f>ROUND('Смета ЕР (общ) '!$N867*'Смета ЕР (общ) '!$R867,2)</f>
        <v>0</v>
      </c>
    </row>
    <row r="868" spans="1:25" ht="24" x14ac:dyDescent="0.3">
      <c r="A868" s="36" t="s">
        <v>829</v>
      </c>
      <c r="B868" s="36">
        <v>1</v>
      </c>
      <c r="C868" s="36"/>
      <c r="D868" s="36">
        <v>27</v>
      </c>
      <c r="E868" s="36" t="str">
        <f>CONCATENATE('Смета ЕР (общ) '!$A868,".",'Смета ЕР (общ) '!$B868,".",'Смета ЕР (общ) '!$D868)</f>
        <v>Р6.1.27</v>
      </c>
      <c r="F868" s="36">
        <f t="shared" si="80"/>
        <v>1</v>
      </c>
      <c r="G868" s="36"/>
      <c r="H868" s="36"/>
      <c r="I868" s="36"/>
      <c r="J868" s="36"/>
      <c r="K868" s="36"/>
      <c r="L868" s="37" t="s">
        <v>939</v>
      </c>
      <c r="M868" s="38" t="s">
        <v>147</v>
      </c>
      <c r="N868" s="39"/>
      <c r="O868" s="40">
        <v>583.6</v>
      </c>
      <c r="P868" s="40">
        <v>733.88</v>
      </c>
      <c r="Q868" s="40">
        <f t="shared" si="81"/>
        <v>583.6</v>
      </c>
      <c r="R868" s="40">
        <f t="shared" si="81"/>
        <v>733.88</v>
      </c>
      <c r="S868" s="40">
        <f>ROUND('Смета ЕР (общ) '!$N868*'Смета ЕР (общ) '!$Q868,2)</f>
        <v>0</v>
      </c>
      <c r="T868" s="40">
        <f>ROUND('Смета ЕР (общ) '!$N868*'Смета ЕР (общ) '!$R868,2)</f>
        <v>0</v>
      </c>
    </row>
    <row r="869" spans="1:25" ht="14.4" x14ac:dyDescent="0.3">
      <c r="A869" s="36" t="s">
        <v>829</v>
      </c>
      <c r="B869" s="36">
        <v>1</v>
      </c>
      <c r="C869" s="36"/>
      <c r="D869" s="36">
        <v>28</v>
      </c>
      <c r="E869" s="36" t="str">
        <f>CONCATENATE('Смета ЕР (общ) '!$A869,".",'Смета ЕР (общ) '!$B869,".",'Смета ЕР (общ) '!$D869)</f>
        <v>Р6.1.28</v>
      </c>
      <c r="F869" s="36">
        <f t="shared" si="80"/>
        <v>1</v>
      </c>
      <c r="G869" s="36"/>
      <c r="H869" s="36"/>
      <c r="I869" s="36"/>
      <c r="J869" s="36"/>
      <c r="K869" s="36"/>
      <c r="L869" s="37" t="s">
        <v>940</v>
      </c>
      <c r="M869" s="38" t="s">
        <v>147</v>
      </c>
      <c r="N869" s="39"/>
      <c r="O869" s="40">
        <v>551.22</v>
      </c>
      <c r="P869" s="40">
        <v>191.42</v>
      </c>
      <c r="Q869" s="40">
        <f t="shared" si="81"/>
        <v>551.22</v>
      </c>
      <c r="R869" s="40">
        <f t="shared" si="81"/>
        <v>191.42</v>
      </c>
      <c r="S869" s="40">
        <f>ROUND('Смета ЕР (общ) '!$N869*'Смета ЕР (общ) '!$Q869,2)</f>
        <v>0</v>
      </c>
      <c r="T869" s="40">
        <f>ROUND('Смета ЕР (общ) '!$N869*'Смета ЕР (общ) '!$R869,2)</f>
        <v>0</v>
      </c>
    </row>
    <row r="870" spans="1:25" ht="14.4" x14ac:dyDescent="0.3">
      <c r="A870" s="36" t="s">
        <v>829</v>
      </c>
      <c r="B870" s="36">
        <v>1</v>
      </c>
      <c r="C870" s="36"/>
      <c r="D870" s="36">
        <v>29</v>
      </c>
      <c r="E870" s="36" t="str">
        <f>CONCATENATE('Смета ЕР (общ) '!$A870,".",'Смета ЕР (общ) '!$B870,".",'Смета ЕР (общ) '!$D870)</f>
        <v>Р6.1.29</v>
      </c>
      <c r="F870" s="36">
        <f t="shared" si="80"/>
        <v>1</v>
      </c>
      <c r="G870" s="36"/>
      <c r="H870" s="36"/>
      <c r="I870" s="36"/>
      <c r="J870" s="36"/>
      <c r="K870" s="36"/>
      <c r="L870" s="37" t="s">
        <v>941</v>
      </c>
      <c r="M870" s="38" t="s">
        <v>147</v>
      </c>
      <c r="N870" s="39"/>
      <c r="O870" s="40">
        <v>551.22</v>
      </c>
      <c r="P870" s="40">
        <v>654.94000000000005</v>
      </c>
      <c r="Q870" s="40">
        <f t="shared" si="81"/>
        <v>551.22</v>
      </c>
      <c r="R870" s="40">
        <f t="shared" si="81"/>
        <v>654.94000000000005</v>
      </c>
      <c r="S870" s="40">
        <f>ROUND('Смета ЕР (общ) '!$N870*'Смета ЕР (общ) '!$Q870,2)</f>
        <v>0</v>
      </c>
      <c r="T870" s="40">
        <f>ROUND('Смета ЕР (общ) '!$N870*'Смета ЕР (общ) '!$R870,2)</f>
        <v>0</v>
      </c>
      <c r="Y870">
        <v>10</v>
      </c>
    </row>
    <row r="871" spans="1:25" ht="14.4" x14ac:dyDescent="0.3">
      <c r="A871" s="36" t="s">
        <v>829</v>
      </c>
      <c r="B871" s="36">
        <v>1</v>
      </c>
      <c r="C871" s="36"/>
      <c r="D871" s="36">
        <v>30</v>
      </c>
      <c r="E871" s="36" t="str">
        <f>CONCATENATE('Смета ЕР (общ) '!$A871,".",'Смета ЕР (общ) '!$B871,".",'Смета ЕР (общ) '!$D871)</f>
        <v>Р6.1.30</v>
      </c>
      <c r="F871" s="36">
        <f t="shared" si="80"/>
        <v>1</v>
      </c>
      <c r="G871" s="36"/>
      <c r="H871" s="36"/>
      <c r="I871" s="36"/>
      <c r="J871" s="36"/>
      <c r="K871" s="36"/>
      <c r="L871" s="37" t="s">
        <v>942</v>
      </c>
      <c r="M871" s="38" t="s">
        <v>147</v>
      </c>
      <c r="N871" s="39"/>
      <c r="O871" s="40">
        <v>583.6</v>
      </c>
      <c r="P871" s="40">
        <v>987.01</v>
      </c>
      <c r="Q871" s="40">
        <f t="shared" si="81"/>
        <v>583.6</v>
      </c>
      <c r="R871" s="40">
        <f t="shared" si="81"/>
        <v>987.01</v>
      </c>
      <c r="S871" s="40">
        <f>ROUND('Смета ЕР (общ) '!$N871*'Смета ЕР (общ) '!$Q871,2)</f>
        <v>0</v>
      </c>
      <c r="T871" s="40">
        <f>ROUND('Смета ЕР (общ) '!$N871*'Смета ЕР (общ) '!$R871,2)</f>
        <v>0</v>
      </c>
    </row>
    <row r="872" spans="1:25" ht="14.4" x14ac:dyDescent="0.3">
      <c r="A872" s="36" t="s">
        <v>829</v>
      </c>
      <c r="B872" s="36">
        <v>1</v>
      </c>
      <c r="C872" s="36"/>
      <c r="D872" s="36">
        <v>31</v>
      </c>
      <c r="E872" s="36" t="str">
        <f>CONCATENATE('Смета ЕР (общ) '!$A872,".",'Смета ЕР (общ) '!$B872,".",'Смета ЕР (общ) '!$D872)</f>
        <v>Р6.1.31</v>
      </c>
      <c r="F872" s="36">
        <f t="shared" si="80"/>
        <v>1</v>
      </c>
      <c r="G872" s="36"/>
      <c r="H872" s="36"/>
      <c r="I872" s="36"/>
      <c r="J872" s="36"/>
      <c r="K872" s="36"/>
      <c r="L872" s="37" t="s">
        <v>943</v>
      </c>
      <c r="M872" s="38" t="s">
        <v>118</v>
      </c>
      <c r="N872" s="39"/>
      <c r="O872" s="40">
        <v>3135</v>
      </c>
      <c r="P872" s="40">
        <v>0</v>
      </c>
      <c r="Q872" s="40">
        <f t="shared" si="81"/>
        <v>3135</v>
      </c>
      <c r="R872" s="40">
        <f t="shared" si="81"/>
        <v>0</v>
      </c>
      <c r="S872" s="40">
        <f>ROUND('Смета ЕР (общ) '!$N872*'Смета ЕР (общ) '!$Q872,2)</f>
        <v>0</v>
      </c>
      <c r="T872" s="40">
        <f>ROUND('Смета ЕР (общ) '!$N872*'Смета ЕР (общ) '!$R872,2)</f>
        <v>0</v>
      </c>
      <c r="Y872">
        <v>12</v>
      </c>
    </row>
    <row r="873" spans="1:25" ht="14.4" x14ac:dyDescent="0.3">
      <c r="A873" s="36" t="s">
        <v>829</v>
      </c>
      <c r="B873" s="36">
        <v>1</v>
      </c>
      <c r="C873" s="36"/>
      <c r="D873" s="36">
        <v>32</v>
      </c>
      <c r="E873" s="36" t="str">
        <f>CONCATENATE('Смета ЕР (общ) '!$A873,".",'Смета ЕР (общ) '!$B873,".",'Смета ЕР (общ) '!$D873)</f>
        <v>Р6.1.32</v>
      </c>
      <c r="F873" s="36">
        <f t="shared" si="80"/>
        <v>1</v>
      </c>
      <c r="G873" s="36"/>
      <c r="H873" s="36"/>
      <c r="I873" s="36"/>
      <c r="J873" s="36"/>
      <c r="K873" s="36"/>
      <c r="L873" s="37" t="s">
        <v>944</v>
      </c>
      <c r="M873" s="38" t="s">
        <v>147</v>
      </c>
      <c r="N873" s="39"/>
      <c r="O873" s="40">
        <v>156.75</v>
      </c>
      <c r="P873" s="40">
        <v>0</v>
      </c>
      <c r="Q873" s="40">
        <f t="shared" si="81"/>
        <v>156.75</v>
      </c>
      <c r="R873" s="40">
        <f t="shared" si="81"/>
        <v>0</v>
      </c>
      <c r="S873" s="40">
        <f>ROUND('Смета ЕР (общ) '!$N873*'Смета ЕР (общ) '!$Q873,2)</f>
        <v>0</v>
      </c>
      <c r="T873" s="40">
        <f>ROUND('Смета ЕР (общ) '!$N873*'Смета ЕР (общ) '!$R873,2)</f>
        <v>0</v>
      </c>
    </row>
    <row r="874" spans="1:25" ht="14.4" x14ac:dyDescent="0.3">
      <c r="A874" s="36" t="s">
        <v>829</v>
      </c>
      <c r="B874" s="36">
        <v>1</v>
      </c>
      <c r="C874" s="36"/>
      <c r="D874" s="36">
        <v>35</v>
      </c>
      <c r="E874" s="36" t="str">
        <f>CONCATENATE('Смета ЕР (общ) '!$A874,".",'Смета ЕР (общ) '!$B874,".",'Смета ЕР (общ) '!$D874)</f>
        <v>Р6.1.35</v>
      </c>
      <c r="F874" s="36">
        <f t="shared" si="80"/>
        <v>1</v>
      </c>
      <c r="G874" s="36"/>
      <c r="H874" s="36"/>
      <c r="I874" s="36"/>
      <c r="J874" s="36"/>
      <c r="K874" s="36"/>
      <c r="L874" s="37" t="s">
        <v>945</v>
      </c>
      <c r="M874" s="38" t="s">
        <v>118</v>
      </c>
      <c r="N874" s="39"/>
      <c r="O874" s="40">
        <v>886.23</v>
      </c>
      <c r="P874" s="40">
        <v>586.66999999999996</v>
      </c>
      <c r="Q874" s="40">
        <f t="shared" si="81"/>
        <v>886.23</v>
      </c>
      <c r="R874" s="40">
        <f t="shared" si="81"/>
        <v>586.66999999999996</v>
      </c>
      <c r="S874" s="40">
        <f>ROUND('Смета ЕР (общ) '!$N874*'Смета ЕР (общ) '!$Q874,2)</f>
        <v>0</v>
      </c>
      <c r="T874" s="40">
        <f>ROUND('Смета ЕР (общ) '!$N874*'Смета ЕР (общ) '!$R874,2)</f>
        <v>0</v>
      </c>
    </row>
    <row r="875" spans="1:25" ht="14.4" x14ac:dyDescent="0.3">
      <c r="A875" s="36" t="s">
        <v>829</v>
      </c>
      <c r="B875" s="36">
        <v>1</v>
      </c>
      <c r="C875" s="36"/>
      <c r="D875" s="36">
        <v>36</v>
      </c>
      <c r="E875" s="36" t="str">
        <f>CONCATENATE('Смета ЕР (общ) '!$A875,".",'Смета ЕР (общ) '!$B875,".",'Смета ЕР (общ) '!$D875)</f>
        <v>Р6.1.36</v>
      </c>
      <c r="F875" s="36">
        <f t="shared" si="80"/>
        <v>1</v>
      </c>
      <c r="G875" s="36"/>
      <c r="H875" s="36"/>
      <c r="I875" s="36"/>
      <c r="J875" s="36"/>
      <c r="K875" s="36"/>
      <c r="L875" s="37" t="s">
        <v>946</v>
      </c>
      <c r="M875" s="38" t="s">
        <v>147</v>
      </c>
      <c r="N875" s="39"/>
      <c r="O875" s="40">
        <v>551.22</v>
      </c>
      <c r="P875" s="40">
        <v>198.82</v>
      </c>
      <c r="Q875" s="40">
        <f t="shared" si="81"/>
        <v>551.22</v>
      </c>
      <c r="R875" s="40">
        <f t="shared" si="81"/>
        <v>198.82</v>
      </c>
      <c r="S875" s="40">
        <f>ROUND('Смета ЕР (общ) '!$N875*'Смета ЕР (общ) '!$Q875,2)</f>
        <v>0</v>
      </c>
      <c r="T875" s="40">
        <f>ROUND('Смета ЕР (общ) '!$N875*'Смета ЕР (общ) '!$R875,2)</f>
        <v>0</v>
      </c>
    </row>
    <row r="876" spans="1:25" ht="14.4" x14ac:dyDescent="0.3">
      <c r="A876" s="36" t="s">
        <v>829</v>
      </c>
      <c r="B876" s="36">
        <v>1</v>
      </c>
      <c r="C876" s="36"/>
      <c r="D876" s="36">
        <v>37</v>
      </c>
      <c r="E876" s="36" t="str">
        <f>CONCATENATE('Смета ЕР (общ) '!$A876,".",'Смета ЕР (общ) '!$B876,".",'Смета ЕР (общ) '!$D876)</f>
        <v>Р6.1.37</v>
      </c>
      <c r="F876" s="36">
        <f t="shared" si="80"/>
        <v>1</v>
      </c>
      <c r="G876" s="36"/>
      <c r="H876" s="36"/>
      <c r="I876" s="36"/>
      <c r="J876" s="36"/>
      <c r="K876" s="36"/>
      <c r="L876" s="37" t="s">
        <v>947</v>
      </c>
      <c r="M876" s="38" t="s">
        <v>147</v>
      </c>
      <c r="N876" s="39"/>
      <c r="O876" s="40">
        <v>551.22</v>
      </c>
      <c r="P876" s="40">
        <v>1056.6500000000001</v>
      </c>
      <c r="Q876" s="40">
        <f t="shared" si="81"/>
        <v>551.22</v>
      </c>
      <c r="R876" s="40">
        <f t="shared" si="81"/>
        <v>1056.6500000000001</v>
      </c>
      <c r="S876" s="40">
        <f>ROUND('Смета ЕР (общ) '!$N876*'Смета ЕР (общ) '!$Q876,2)</f>
        <v>0</v>
      </c>
      <c r="T876" s="40">
        <f>ROUND('Смета ЕР (общ) '!$N876*'Смета ЕР (общ) '!$R876,2)</f>
        <v>0</v>
      </c>
    </row>
    <row r="877" spans="1:25" ht="14.4" x14ac:dyDescent="0.3">
      <c r="A877" s="36" t="s">
        <v>829</v>
      </c>
      <c r="B877" s="36">
        <v>1</v>
      </c>
      <c r="C877" s="36"/>
      <c r="D877" s="36">
        <v>38</v>
      </c>
      <c r="E877" s="36" t="str">
        <f>CONCATENATE('Смета ЕР (общ) '!$A877,".",'Смета ЕР (общ) '!$B877,".",'Смета ЕР (общ) '!$D877)</f>
        <v>Р6.1.38</v>
      </c>
      <c r="F877" s="36">
        <f t="shared" si="80"/>
        <v>1</v>
      </c>
      <c r="G877" s="36"/>
      <c r="H877" s="36"/>
      <c r="I877" s="36"/>
      <c r="J877" s="36"/>
      <c r="K877" s="36"/>
      <c r="L877" s="37" t="s">
        <v>948</v>
      </c>
      <c r="M877" s="38" t="s">
        <v>147</v>
      </c>
      <c r="N877" s="39"/>
      <c r="O877" s="40">
        <v>583.6</v>
      </c>
      <c r="P877" s="40">
        <v>1458.38</v>
      </c>
      <c r="Q877" s="40">
        <f t="shared" si="81"/>
        <v>583.6</v>
      </c>
      <c r="R877" s="40">
        <f t="shared" si="81"/>
        <v>1458.38</v>
      </c>
      <c r="S877" s="40">
        <f>ROUND('Смета ЕР (общ) '!$N877*'Смета ЕР (общ) '!$Q877,2)</f>
        <v>0</v>
      </c>
      <c r="T877" s="40">
        <f>ROUND('Смета ЕР (общ) '!$N877*'Смета ЕР (общ) '!$R877,2)</f>
        <v>0</v>
      </c>
    </row>
    <row r="878" spans="1:25" ht="14.4" x14ac:dyDescent="0.3">
      <c r="A878" s="36" t="s">
        <v>829</v>
      </c>
      <c r="B878" s="36">
        <v>1</v>
      </c>
      <c r="C878" s="36"/>
      <c r="D878" s="36">
        <v>39</v>
      </c>
      <c r="E878" s="36" t="str">
        <f>CONCATENATE('Смета ЕР (общ) '!$A878,".",'Смета ЕР (общ) '!$B878,".",'Смета ЕР (общ) '!$D878)</f>
        <v>Р6.1.39</v>
      </c>
      <c r="F878" s="36">
        <f t="shared" si="80"/>
        <v>1</v>
      </c>
      <c r="G878" s="36"/>
      <c r="H878" s="36"/>
      <c r="I878" s="36"/>
      <c r="J878" s="36"/>
      <c r="K878" s="36"/>
      <c r="L878" s="37" t="s">
        <v>949</v>
      </c>
      <c r="M878" s="38" t="s">
        <v>118</v>
      </c>
      <c r="N878" s="39"/>
      <c r="O878" s="40">
        <v>886.23</v>
      </c>
      <c r="P878" s="40">
        <v>1415.25</v>
      </c>
      <c r="Q878" s="40">
        <f t="shared" si="81"/>
        <v>886.23</v>
      </c>
      <c r="R878" s="40">
        <f t="shared" si="81"/>
        <v>1415.25</v>
      </c>
      <c r="S878" s="40">
        <f>ROUND('Смета ЕР (общ) '!$N878*'Смета ЕР (общ) '!$Q878,2)</f>
        <v>0</v>
      </c>
      <c r="T878" s="40">
        <f>ROUND('Смета ЕР (общ) '!$N878*'Смета ЕР (общ) '!$R878,2)</f>
        <v>0</v>
      </c>
    </row>
    <row r="879" spans="1:25" ht="14.4" x14ac:dyDescent="0.3">
      <c r="A879" s="36" t="s">
        <v>829</v>
      </c>
      <c r="B879" s="36">
        <v>1</v>
      </c>
      <c r="C879" s="36"/>
      <c r="D879" s="36">
        <v>40</v>
      </c>
      <c r="E879" s="36" t="str">
        <f>CONCATENATE('Смета ЕР (общ) '!$A879,".",'Смета ЕР (общ) '!$B879,".",'Смета ЕР (общ) '!$D879)</f>
        <v>Р6.1.40</v>
      </c>
      <c r="F879" s="36">
        <f t="shared" si="80"/>
        <v>1</v>
      </c>
      <c r="G879" s="36"/>
      <c r="H879" s="36"/>
      <c r="I879" s="36"/>
      <c r="J879" s="36"/>
      <c r="K879" s="36"/>
      <c r="L879" s="37" t="s">
        <v>950</v>
      </c>
      <c r="M879" s="38" t="s">
        <v>118</v>
      </c>
      <c r="N879" s="39"/>
      <c r="O879" s="40">
        <v>886.23</v>
      </c>
      <c r="P879" s="40">
        <v>143.44</v>
      </c>
      <c r="Q879" s="40">
        <f t="shared" si="81"/>
        <v>886.23</v>
      </c>
      <c r="R879" s="40">
        <f t="shared" si="81"/>
        <v>143.44</v>
      </c>
      <c r="S879" s="40">
        <f>ROUND('Смета ЕР (общ) '!$N879*'Смета ЕР (общ) '!$Q879,2)</f>
        <v>0</v>
      </c>
      <c r="T879" s="40">
        <f>ROUND('Смета ЕР (общ) '!$N879*'Смета ЕР (общ) '!$R879,2)</f>
        <v>0</v>
      </c>
    </row>
    <row r="880" spans="1:25" ht="14.4" x14ac:dyDescent="0.3">
      <c r="A880" s="36" t="s">
        <v>829</v>
      </c>
      <c r="B880" s="36">
        <v>1</v>
      </c>
      <c r="C880" s="36"/>
      <c r="D880" s="36">
        <v>41</v>
      </c>
      <c r="E880" s="36" t="str">
        <f>CONCATENATE('Смета ЕР (общ) '!$A880,".",'Смета ЕР (общ) '!$B880,".",'Смета ЕР (общ) '!$D880)</f>
        <v>Р6.1.41</v>
      </c>
      <c r="F880" s="36">
        <f t="shared" si="80"/>
        <v>1</v>
      </c>
      <c r="G880" s="36"/>
      <c r="H880" s="36"/>
      <c r="I880" s="36"/>
      <c r="J880" s="36"/>
      <c r="K880" s="36"/>
      <c r="L880" s="37" t="s">
        <v>951</v>
      </c>
      <c r="M880" s="38" t="s">
        <v>118</v>
      </c>
      <c r="N880" s="39"/>
      <c r="O880" s="40">
        <v>4177.25</v>
      </c>
      <c r="P880" s="40">
        <v>39142.03</v>
      </c>
      <c r="Q880" s="40">
        <f t="shared" si="81"/>
        <v>4177.25</v>
      </c>
      <c r="R880" s="40">
        <f t="shared" si="81"/>
        <v>39142.03</v>
      </c>
      <c r="S880" s="40">
        <f>ROUND('Смета ЕР (общ) '!$N880*'Смета ЕР (общ) '!$Q880,2)</f>
        <v>0</v>
      </c>
      <c r="T880" s="40">
        <f>ROUND('Смета ЕР (общ) '!$N880*'Смета ЕР (общ) '!$R880,2)</f>
        <v>0</v>
      </c>
    </row>
    <row r="881" spans="1:25" ht="14.4" x14ac:dyDescent="0.3">
      <c r="A881" s="36" t="s">
        <v>829</v>
      </c>
      <c r="B881" s="36">
        <v>1</v>
      </c>
      <c r="C881" s="36"/>
      <c r="D881" s="36">
        <v>42</v>
      </c>
      <c r="E881" s="36" t="str">
        <f>CONCATENATE('Смета ЕР (общ) '!$A881,".",'Смета ЕР (общ) '!$B881,".",'Смета ЕР (общ) '!$D881)</f>
        <v>Р6.1.42</v>
      </c>
      <c r="F881" s="36">
        <f t="shared" si="80"/>
        <v>1</v>
      </c>
      <c r="G881" s="36"/>
      <c r="H881" s="36"/>
      <c r="I881" s="36"/>
      <c r="J881" s="36"/>
      <c r="K881" s="36"/>
      <c r="L881" s="37" t="s">
        <v>952</v>
      </c>
      <c r="M881" s="38" t="s">
        <v>118</v>
      </c>
      <c r="N881" s="39"/>
      <c r="O881" s="40">
        <v>4172.6899999999996</v>
      </c>
      <c r="P881" s="40">
        <v>30689.56</v>
      </c>
      <c r="Q881" s="40">
        <f t="shared" si="81"/>
        <v>4172.6899999999996</v>
      </c>
      <c r="R881" s="40">
        <f t="shared" si="81"/>
        <v>30689.56</v>
      </c>
      <c r="S881" s="40">
        <f>ROUND('Смета ЕР (общ) '!$N881*'Смета ЕР (общ) '!$Q881,2)</f>
        <v>0</v>
      </c>
      <c r="T881" s="40">
        <f>ROUND('Смета ЕР (общ) '!$N881*'Смета ЕР (общ) '!$R881,2)</f>
        <v>0</v>
      </c>
    </row>
    <row r="882" spans="1:25" ht="14.4" x14ac:dyDescent="0.3">
      <c r="A882" s="36" t="s">
        <v>829</v>
      </c>
      <c r="B882" s="36">
        <v>1</v>
      </c>
      <c r="C882" s="36"/>
      <c r="D882" s="36">
        <v>43</v>
      </c>
      <c r="E882" s="36" t="str">
        <f>CONCATENATE('Смета ЕР (общ) '!$A882,".",'Смета ЕР (общ) '!$B882,".",'Смета ЕР (общ) '!$D882)</f>
        <v>Р6.1.43</v>
      </c>
      <c r="F882" s="36">
        <f t="shared" si="80"/>
        <v>1</v>
      </c>
      <c r="G882" s="36"/>
      <c r="H882" s="36"/>
      <c r="I882" s="36"/>
      <c r="J882" s="36"/>
      <c r="K882" s="36"/>
      <c r="L882" s="37" t="s">
        <v>953</v>
      </c>
      <c r="M882" s="38" t="s">
        <v>118</v>
      </c>
      <c r="N882" s="39"/>
      <c r="O882" s="40">
        <v>4153.88</v>
      </c>
      <c r="P882" s="40">
        <v>25375.88</v>
      </c>
      <c r="Q882" s="40">
        <f t="shared" si="81"/>
        <v>4153.88</v>
      </c>
      <c r="R882" s="40">
        <f t="shared" si="81"/>
        <v>25375.88</v>
      </c>
      <c r="S882" s="40">
        <f>ROUND('Смета ЕР (общ) '!$N882*'Смета ЕР (общ) '!$Q882,2)</f>
        <v>0</v>
      </c>
      <c r="T882" s="40">
        <f>ROUND('Смета ЕР (общ) '!$N882*'Смета ЕР (общ) '!$R882,2)</f>
        <v>0</v>
      </c>
    </row>
    <row r="883" spans="1:25" ht="14.4" x14ac:dyDescent="0.3">
      <c r="A883" s="36" t="s">
        <v>829</v>
      </c>
      <c r="B883" s="36">
        <v>1</v>
      </c>
      <c r="C883" s="36"/>
      <c r="D883" s="36">
        <v>44</v>
      </c>
      <c r="E883" s="36" t="str">
        <f>CONCATENATE('Смета ЕР (общ) '!$A883,".",'Смета ЕР (общ) '!$B883,".",'Смета ЕР (общ) '!$D883)</f>
        <v>Р6.1.44</v>
      </c>
      <c r="F883" s="36">
        <f t="shared" si="80"/>
        <v>1</v>
      </c>
      <c r="G883" s="36"/>
      <c r="H883" s="36"/>
      <c r="I883" s="36"/>
      <c r="J883" s="36"/>
      <c r="K883" s="36"/>
      <c r="L883" s="37" t="s">
        <v>954</v>
      </c>
      <c r="M883" s="38" t="s">
        <v>118</v>
      </c>
      <c r="N883" s="39"/>
      <c r="O883" s="40">
        <v>365.75</v>
      </c>
      <c r="P883" s="40">
        <v>414.35</v>
      </c>
      <c r="Q883" s="40">
        <f t="shared" si="81"/>
        <v>365.75</v>
      </c>
      <c r="R883" s="40">
        <f t="shared" si="81"/>
        <v>414.35</v>
      </c>
      <c r="S883" s="40">
        <f>ROUND('Смета ЕР (общ) '!$N883*'Смета ЕР (общ) '!$Q883,2)</f>
        <v>0</v>
      </c>
      <c r="T883" s="40">
        <f>ROUND('Смета ЕР (общ) '!$N883*'Смета ЕР (общ) '!$R883,2)</f>
        <v>0</v>
      </c>
    </row>
    <row r="884" spans="1:25" ht="14.4" x14ac:dyDescent="0.3">
      <c r="A884" s="36" t="s">
        <v>829</v>
      </c>
      <c r="B884" s="36">
        <v>1</v>
      </c>
      <c r="C884" s="36"/>
      <c r="D884" s="36">
        <v>45</v>
      </c>
      <c r="E884" s="36" t="str">
        <f>CONCATENATE('Смета ЕР (общ) '!$A884,".",'Смета ЕР (общ) '!$B884,".",'Смета ЕР (общ) '!$D884)</f>
        <v>Р6.1.45</v>
      </c>
      <c r="F884" s="36">
        <f t="shared" si="80"/>
        <v>1</v>
      </c>
      <c r="G884" s="36"/>
      <c r="H884" s="36"/>
      <c r="I884" s="36"/>
      <c r="J884" s="36"/>
      <c r="K884" s="36"/>
      <c r="L884" s="37" t="s">
        <v>955</v>
      </c>
      <c r="M884" s="38" t="s">
        <v>118</v>
      </c>
      <c r="N884" s="39"/>
      <c r="O884" s="40">
        <v>365.75</v>
      </c>
      <c r="P884" s="40">
        <v>81.069999999999993</v>
      </c>
      <c r="Q884" s="40">
        <f t="shared" si="81"/>
        <v>365.75</v>
      </c>
      <c r="R884" s="40">
        <f t="shared" si="81"/>
        <v>81.069999999999993</v>
      </c>
      <c r="S884" s="40">
        <f>ROUND('Смета ЕР (общ) '!$N884*'Смета ЕР (общ) '!$Q884,2)</f>
        <v>0</v>
      </c>
      <c r="T884" s="40">
        <f>ROUND('Смета ЕР (общ) '!$N884*'Смета ЕР (общ) '!$R884,2)</f>
        <v>0</v>
      </c>
    </row>
    <row r="885" spans="1:25" ht="14.4" x14ac:dyDescent="0.3">
      <c r="A885" s="36" t="s">
        <v>829</v>
      </c>
      <c r="B885" s="36">
        <v>1</v>
      </c>
      <c r="C885" s="36"/>
      <c r="D885" s="36">
        <v>46</v>
      </c>
      <c r="E885" s="36" t="str">
        <f>CONCATENATE('Смета ЕР (общ) '!$A885,".",'Смета ЕР (общ) '!$B885,".",'Смета ЕР (общ) '!$D885)</f>
        <v>Р6.1.46</v>
      </c>
      <c r="F885" s="36">
        <f t="shared" si="80"/>
        <v>1</v>
      </c>
      <c r="G885" s="36"/>
      <c r="H885" s="36"/>
      <c r="I885" s="36"/>
      <c r="J885" s="36"/>
      <c r="K885" s="36"/>
      <c r="L885" s="37" t="s">
        <v>956</v>
      </c>
      <c r="M885" s="38" t="s">
        <v>118</v>
      </c>
      <c r="N885" s="39"/>
      <c r="O885" s="40">
        <v>2646.54</v>
      </c>
      <c r="P885" s="40">
        <v>16258.41</v>
      </c>
      <c r="Q885" s="40">
        <f t="shared" si="81"/>
        <v>2646.54</v>
      </c>
      <c r="R885" s="40">
        <f t="shared" si="81"/>
        <v>16258.41</v>
      </c>
      <c r="S885" s="40">
        <f>ROUND('Смета ЕР (общ) '!$N885*'Смета ЕР (общ) '!$Q885,2)</f>
        <v>0</v>
      </c>
      <c r="T885" s="40">
        <f>ROUND('Смета ЕР (общ) '!$N885*'Смета ЕР (общ) '!$R885,2)</f>
        <v>0</v>
      </c>
    </row>
    <row r="886" spans="1:25" ht="14.4" x14ac:dyDescent="0.3">
      <c r="A886" s="36" t="s">
        <v>829</v>
      </c>
      <c r="B886" s="36">
        <v>1</v>
      </c>
      <c r="C886" s="36"/>
      <c r="D886" s="36">
        <v>47</v>
      </c>
      <c r="E886" s="36" t="str">
        <f>CONCATENATE('Смета ЕР (общ) '!$A886,".",'Смета ЕР (общ) '!$B886,".",'Смета ЕР (общ) '!$D886)</f>
        <v>Р6.1.47</v>
      </c>
      <c r="F886" s="36">
        <f t="shared" si="80"/>
        <v>1</v>
      </c>
      <c r="G886" s="36"/>
      <c r="H886" s="36"/>
      <c r="I886" s="36"/>
      <c r="J886" s="36"/>
      <c r="K886" s="36"/>
      <c r="L886" s="37" t="s">
        <v>957</v>
      </c>
      <c r="M886" s="38" t="s">
        <v>118</v>
      </c>
      <c r="N886" s="39"/>
      <c r="O886" s="40">
        <v>886.23</v>
      </c>
      <c r="P886" s="40">
        <v>1373.12</v>
      </c>
      <c r="Q886" s="40">
        <f t="shared" si="81"/>
        <v>886.23</v>
      </c>
      <c r="R886" s="40">
        <f t="shared" si="81"/>
        <v>1373.12</v>
      </c>
      <c r="S886" s="40">
        <f>ROUND('Смета ЕР (общ) '!$N886*'Смета ЕР (общ) '!$Q886,2)</f>
        <v>0</v>
      </c>
      <c r="T886" s="40">
        <f>ROUND('Смета ЕР (общ) '!$N886*'Смета ЕР (общ) '!$R886,2)</f>
        <v>0</v>
      </c>
    </row>
    <row r="887" spans="1:25" ht="14.4" x14ac:dyDescent="0.3">
      <c r="A887" s="36" t="s">
        <v>829</v>
      </c>
      <c r="B887" s="36">
        <v>1</v>
      </c>
      <c r="C887" s="36"/>
      <c r="D887" s="36">
        <v>48</v>
      </c>
      <c r="E887" s="36" t="str">
        <f>CONCATENATE('Смета ЕР (общ) '!$A887,".",'Смета ЕР (общ) '!$B887,".",'Смета ЕР (общ) '!$D887)</f>
        <v>Р6.1.48</v>
      </c>
      <c r="F887" s="36">
        <f t="shared" si="80"/>
        <v>1</v>
      </c>
      <c r="G887" s="36"/>
      <c r="H887" s="36"/>
      <c r="I887" s="36"/>
      <c r="J887" s="36"/>
      <c r="K887" s="36"/>
      <c r="L887" s="37" t="s">
        <v>958</v>
      </c>
      <c r="M887" s="38" t="s">
        <v>118</v>
      </c>
      <c r="N887" s="39"/>
      <c r="O887" s="40">
        <v>542.88</v>
      </c>
      <c r="P887" s="40">
        <v>537.66999999999996</v>
      </c>
      <c r="Q887" s="40">
        <f t="shared" si="81"/>
        <v>542.88</v>
      </c>
      <c r="R887" s="40">
        <f t="shared" si="81"/>
        <v>537.66999999999996</v>
      </c>
      <c r="S887" s="40">
        <f>ROUND('Смета ЕР (общ) '!$N887*'Смета ЕР (общ) '!$Q887,2)</f>
        <v>0</v>
      </c>
      <c r="T887" s="40">
        <f>ROUND('Смета ЕР (общ) '!$N887*'Смета ЕР (общ) '!$R887,2)</f>
        <v>0</v>
      </c>
    </row>
    <row r="888" spans="1:25" ht="14.4" x14ac:dyDescent="0.3">
      <c r="A888" s="36" t="s">
        <v>829</v>
      </c>
      <c r="B888" s="36">
        <v>1</v>
      </c>
      <c r="C888" s="36"/>
      <c r="D888" s="36">
        <v>49</v>
      </c>
      <c r="E888" s="36" t="str">
        <f>CONCATENATE('Смета ЕР (общ) '!$A888,".",'Смета ЕР (общ) '!$B888,".",'Смета ЕР (общ) '!$D888)</f>
        <v>Р6.1.49</v>
      </c>
      <c r="F888" s="36">
        <f t="shared" si="80"/>
        <v>1</v>
      </c>
      <c r="G888" s="36"/>
      <c r="H888" s="36"/>
      <c r="I888" s="36"/>
      <c r="J888" s="36"/>
      <c r="K888" s="36"/>
      <c r="L888" s="37" t="s">
        <v>959</v>
      </c>
      <c r="M888" s="38" t="s">
        <v>147</v>
      </c>
      <c r="N888" s="39"/>
      <c r="O888" s="40">
        <v>1299.72</v>
      </c>
      <c r="P888" s="40">
        <v>1428.78</v>
      </c>
      <c r="Q888" s="40">
        <f t="shared" si="81"/>
        <v>1299.72</v>
      </c>
      <c r="R888" s="40">
        <f t="shared" si="81"/>
        <v>1428.78</v>
      </c>
      <c r="S888" s="40">
        <f>ROUND('Смета ЕР (общ) '!$N888*'Смета ЕР (общ) '!$Q888,2)</f>
        <v>0</v>
      </c>
      <c r="T888" s="40">
        <f>ROUND('Смета ЕР (общ) '!$N888*'Смета ЕР (общ) '!$R888,2)</f>
        <v>0</v>
      </c>
    </row>
    <row r="889" spans="1:25" ht="41.25" customHeight="1" x14ac:dyDescent="0.3">
      <c r="A889" s="36" t="s">
        <v>829</v>
      </c>
      <c r="B889" s="36">
        <v>1</v>
      </c>
      <c r="C889" s="36"/>
      <c r="D889" s="36">
        <v>50</v>
      </c>
      <c r="E889" s="36" t="str">
        <f>CONCATENATE('Смета ЕР (общ) '!$A889,".",'Смета ЕР (общ) '!$B889,".",'Смета ЕР (общ) '!$D889)</f>
        <v>Р6.1.50</v>
      </c>
      <c r="F889" s="36">
        <f t="shared" si="80"/>
        <v>1</v>
      </c>
      <c r="G889" s="36"/>
      <c r="H889" s="36"/>
      <c r="I889" s="36"/>
      <c r="J889" s="36"/>
      <c r="K889" s="36"/>
      <c r="L889" s="37" t="s">
        <v>960</v>
      </c>
      <c r="M889" s="38" t="s">
        <v>40</v>
      </c>
      <c r="N889" s="39"/>
      <c r="O889" s="40">
        <v>0</v>
      </c>
      <c r="P889" s="44">
        <v>92.43</v>
      </c>
      <c r="Q889" s="40">
        <f t="shared" si="81"/>
        <v>0</v>
      </c>
      <c r="R889" s="40">
        <f t="shared" si="81"/>
        <v>92.43</v>
      </c>
      <c r="S889" s="40">
        <f>ROUND('Смета ЕР (общ) '!$N889*'Смета ЕР (общ) '!$Q889,2)</f>
        <v>0</v>
      </c>
      <c r="T889" s="40">
        <f>ROUND('Смета ЕР (общ) '!$N889*'Смета ЕР (общ) '!$R889,2)</f>
        <v>0</v>
      </c>
      <c r="U889" s="136" t="s">
        <v>961</v>
      </c>
    </row>
    <row r="890" spans="1:25" ht="14.4" x14ac:dyDescent="0.3">
      <c r="A890" s="36" t="s">
        <v>829</v>
      </c>
      <c r="B890" s="36">
        <v>1</v>
      </c>
      <c r="C890" s="36"/>
      <c r="D890" s="36">
        <v>51</v>
      </c>
      <c r="E890" s="36" t="str">
        <f>CONCATENATE('Смета ЕР (общ) '!$A890,".",'Смета ЕР (общ) '!$B890,".",'Смета ЕР (общ) '!$D890)</f>
        <v>Р6.1.51</v>
      </c>
      <c r="F890" s="36">
        <f t="shared" si="80"/>
        <v>1</v>
      </c>
      <c r="G890" s="36"/>
      <c r="H890" s="36"/>
      <c r="I890" s="36"/>
      <c r="J890" s="36"/>
      <c r="K890" s="36"/>
      <c r="L890" s="37" t="s">
        <v>962</v>
      </c>
      <c r="M890" s="38" t="s">
        <v>64</v>
      </c>
      <c r="N890" s="39"/>
      <c r="O890" s="40">
        <v>28501.200000000001</v>
      </c>
      <c r="P890" s="40">
        <v>0</v>
      </c>
      <c r="Q890" s="40">
        <f t="shared" si="81"/>
        <v>28501.200000000001</v>
      </c>
      <c r="R890" s="40">
        <f t="shared" si="81"/>
        <v>0</v>
      </c>
      <c r="S890" s="40">
        <f>ROUND('Смета ЕР (общ) '!$N890*'Смета ЕР (общ) '!$Q890,2)</f>
        <v>0</v>
      </c>
      <c r="T890" s="40">
        <f>ROUND('Смета ЕР (общ) '!$N890*'Смета ЕР (общ) '!$R890,2)</f>
        <v>0</v>
      </c>
    </row>
    <row r="891" spans="1:25" ht="14.4" x14ac:dyDescent="0.3">
      <c r="A891" s="36" t="s">
        <v>829</v>
      </c>
      <c r="B891" s="36">
        <v>1</v>
      </c>
      <c r="C891" s="36"/>
      <c r="D891" s="36">
        <v>52</v>
      </c>
      <c r="E891" s="36" t="str">
        <f>CONCATENATE('Смета ЕР (общ) '!$A891,".",'Смета ЕР (общ) '!$B891,".",'Смета ЕР (общ) '!$D891)</f>
        <v>Р6.1.52</v>
      </c>
      <c r="F891" s="36">
        <f t="shared" si="80"/>
        <v>1</v>
      </c>
      <c r="G891" s="36"/>
      <c r="H891" s="36"/>
      <c r="I891" s="36"/>
      <c r="J891" s="36"/>
      <c r="K891" s="36"/>
      <c r="L891" s="37" t="s">
        <v>963</v>
      </c>
      <c r="M891" s="38" t="s">
        <v>118</v>
      </c>
      <c r="N891" s="145"/>
      <c r="O891" s="40">
        <v>2171.52</v>
      </c>
      <c r="P891" s="40">
        <v>4384.8</v>
      </c>
      <c r="Q891" s="40">
        <f t="shared" si="81"/>
        <v>2171.52</v>
      </c>
      <c r="R891" s="40">
        <f t="shared" si="81"/>
        <v>4384.8</v>
      </c>
      <c r="S891" s="40">
        <f>ROUND('Смета ЕР (общ) '!$N891*'Смета ЕР (общ) '!$Q891,2)</f>
        <v>0</v>
      </c>
      <c r="T891" s="40">
        <f>ROUND('Смета ЕР (общ) '!$N891*'Смета ЕР (общ) '!$R891,2)</f>
        <v>0</v>
      </c>
    </row>
    <row r="892" spans="1:25" ht="14.4" x14ac:dyDescent="0.3">
      <c r="A892" s="29" t="s">
        <v>964</v>
      </c>
      <c r="B892" s="29">
        <v>0</v>
      </c>
      <c r="C892" s="29"/>
      <c r="D892" s="29">
        <v>0</v>
      </c>
      <c r="E892" s="29" t="str">
        <f>CONCATENATE('Смета ЕР (общ) '!$A892,".",'Смета ЕР (общ) '!$B892,".",'Смета ЕР (общ) '!$D892)</f>
        <v>Р7.0.0</v>
      </c>
      <c r="F892" s="29">
        <f t="shared" si="80"/>
        <v>1</v>
      </c>
      <c r="G892" s="29"/>
      <c r="H892" s="29"/>
      <c r="I892" s="29"/>
      <c r="J892" s="29"/>
      <c r="K892" s="29"/>
      <c r="L892" s="30" t="s">
        <v>965</v>
      </c>
      <c r="M892" s="31"/>
      <c r="N892" s="32">
        <f>S892</f>
        <v>0</v>
      </c>
      <c r="O892" s="47"/>
      <c r="P892" s="47"/>
      <c r="Q892" s="34"/>
      <c r="R892" s="34"/>
      <c r="S892" s="34">
        <f>ROUND(S893+S994,2)</f>
        <v>0</v>
      </c>
      <c r="T892" s="34">
        <f>ROUND(T893+T994,2)</f>
        <v>0</v>
      </c>
      <c r="U892" s="108"/>
      <c r="Y892">
        <v>528913.88</v>
      </c>
    </row>
    <row r="893" spans="1:25" s="139" customFormat="1" ht="14.4" x14ac:dyDescent="0.3">
      <c r="A893" s="29" t="s">
        <v>964</v>
      </c>
      <c r="B893" s="29">
        <v>1</v>
      </c>
      <c r="C893" s="29"/>
      <c r="D893" s="29">
        <v>0</v>
      </c>
      <c r="E893" s="29" t="str">
        <f>CONCATENATE('Смета ЕР (общ) '!$A893,".",'Смета ЕР (общ) '!$B893,".",'Смета ЕР (общ) '!$D893)</f>
        <v>Р7.1.0</v>
      </c>
      <c r="F893" s="29">
        <f t="shared" si="80"/>
        <v>1</v>
      </c>
      <c r="G893" s="29"/>
      <c r="H893" s="29"/>
      <c r="I893" s="29"/>
      <c r="J893" s="29"/>
      <c r="K893" s="29"/>
      <c r="L893" s="30" t="s">
        <v>966</v>
      </c>
      <c r="M893" s="31"/>
      <c r="N893" s="32">
        <f>S893</f>
        <v>0</v>
      </c>
      <c r="O893" s="47"/>
      <c r="P893" s="47"/>
      <c r="Q893" s="34"/>
      <c r="R893" s="34"/>
      <c r="S893" s="34">
        <f>SUM(S894:S993)</f>
        <v>0</v>
      </c>
      <c r="T893" s="34">
        <f>SUM(T894:T993)</f>
        <v>0</v>
      </c>
      <c r="U893" s="35"/>
      <c r="V893"/>
      <c r="W893"/>
      <c r="Y893" s="139">
        <v>528913.88</v>
      </c>
    </row>
    <row r="894" spans="1:25" ht="36" x14ac:dyDescent="0.3">
      <c r="A894" s="36" t="s">
        <v>964</v>
      </c>
      <c r="B894" s="36">
        <v>1</v>
      </c>
      <c r="C894" s="36"/>
      <c r="D894" s="36">
        <v>6</v>
      </c>
      <c r="E894" s="36" t="str">
        <f>CONCATENATE('Смета ЕР (общ) '!$A894,".",'Смета ЕР (общ) '!$B894,".",'Смета ЕР (общ) '!$D894)</f>
        <v>Р7.1.6</v>
      </c>
      <c r="F894" s="36">
        <f t="shared" si="80"/>
        <v>1</v>
      </c>
      <c r="G894" s="36"/>
      <c r="H894" s="36"/>
      <c r="I894" s="36"/>
      <c r="J894" s="36"/>
      <c r="K894" s="36"/>
      <c r="L894" s="53" t="s">
        <v>967</v>
      </c>
      <c r="M894" s="38" t="s">
        <v>118</v>
      </c>
      <c r="N894" s="39"/>
      <c r="O894" s="40">
        <v>75324.600000000006</v>
      </c>
      <c r="P894" s="40">
        <f>[1]Вентмашины!Q9</f>
        <v>906916.5</v>
      </c>
      <c r="Q894" s="40">
        <f t="shared" ref="Q894:R909" si="82">ROUND(O894-O894*$V$3,2)</f>
        <v>75324.600000000006</v>
      </c>
      <c r="R894" s="66">
        <f t="shared" ref="R894:R902" si="83">P894</f>
        <v>906916.5</v>
      </c>
      <c r="S894" s="40">
        <f>ROUND('Смета ЕР (общ) '!$N894*'Смета ЕР (общ) '!$Q894,2)</f>
        <v>0</v>
      </c>
      <c r="T894" s="40">
        <f>ROUND('Смета ЕР (общ) '!$N894*'Смета ЕР (общ) '!$R894,2)</f>
        <v>0</v>
      </c>
      <c r="U894" s="67" t="s">
        <v>968</v>
      </c>
      <c r="V894" s="68"/>
      <c r="Y894">
        <v>1</v>
      </c>
    </row>
    <row r="895" spans="1:25" ht="36" x14ac:dyDescent="0.3">
      <c r="A895" s="36" t="s">
        <v>964</v>
      </c>
      <c r="B895" s="36">
        <v>1</v>
      </c>
      <c r="C895" s="36"/>
      <c r="D895" s="36">
        <v>7</v>
      </c>
      <c r="E895" s="36" t="str">
        <f>CONCATENATE('Смета ЕР (общ) '!$A895,".",'Смета ЕР (общ) '!$B895,".",'Смета ЕР (общ) '!$D895)</f>
        <v>Р7.1.7</v>
      </c>
      <c r="F895" s="36">
        <f t="shared" si="80"/>
        <v>1</v>
      </c>
      <c r="G895" s="36"/>
      <c r="H895" s="36"/>
      <c r="I895" s="36"/>
      <c r="J895" s="36"/>
      <c r="K895" s="36"/>
      <c r="L895" s="53" t="s">
        <v>969</v>
      </c>
      <c r="M895" s="38" t="s">
        <v>118</v>
      </c>
      <c r="N895" s="39"/>
      <c r="O895" s="40">
        <v>94777.8</v>
      </c>
      <c r="P895" s="40">
        <f>[1]Вентмашины!Q10</f>
        <v>1165342.5</v>
      </c>
      <c r="Q895" s="40">
        <f t="shared" si="82"/>
        <v>94777.8</v>
      </c>
      <c r="R895" s="66">
        <f t="shared" si="83"/>
        <v>1165342.5</v>
      </c>
      <c r="S895" s="40">
        <f>ROUND('Смета ЕР (общ) '!$N895*'Смета ЕР (общ) '!$Q895,2)</f>
        <v>0</v>
      </c>
      <c r="T895" s="40">
        <f>ROUND('Смета ЕР (общ) '!$N895*'Смета ЕР (общ) '!$R895,2)</f>
        <v>0</v>
      </c>
      <c r="U895" s="67" t="s">
        <v>968</v>
      </c>
      <c r="V895" s="68"/>
    </row>
    <row r="896" spans="1:25" ht="36" x14ac:dyDescent="0.3">
      <c r="A896" s="36" t="s">
        <v>964</v>
      </c>
      <c r="B896" s="36">
        <v>1</v>
      </c>
      <c r="C896" s="36"/>
      <c r="D896" s="36">
        <v>8</v>
      </c>
      <c r="E896" s="36" t="str">
        <f>CONCATENATE('Смета ЕР (общ) '!$A896,".",'Смета ЕР (общ) '!$B896,".",'Смета ЕР (общ) '!$D896)</f>
        <v>Р7.1.8</v>
      </c>
      <c r="F896" s="36">
        <f t="shared" si="80"/>
        <v>1</v>
      </c>
      <c r="G896" s="36"/>
      <c r="H896" s="36"/>
      <c r="I896" s="36"/>
      <c r="J896" s="36"/>
      <c r="K896" s="36"/>
      <c r="L896" s="53" t="s">
        <v>970</v>
      </c>
      <c r="M896" s="38" t="s">
        <v>118</v>
      </c>
      <c r="N896" s="39"/>
      <c r="O896" s="40">
        <v>104278.2</v>
      </c>
      <c r="P896" s="40">
        <f>[1]Вентмашины!Q11</f>
        <v>1206502.5</v>
      </c>
      <c r="Q896" s="40">
        <f t="shared" si="82"/>
        <v>104278.2</v>
      </c>
      <c r="R896" s="66">
        <f t="shared" si="83"/>
        <v>1206502.5</v>
      </c>
      <c r="S896" s="40">
        <f>ROUND('Смета ЕР (общ) '!$N896*'Смета ЕР (общ) '!$Q896,2)</f>
        <v>0</v>
      </c>
      <c r="T896" s="40">
        <f>ROUND('Смета ЕР (общ) '!$N896*'Смета ЕР (общ) '!$R896,2)</f>
        <v>0</v>
      </c>
      <c r="U896" s="67" t="s">
        <v>968</v>
      </c>
      <c r="V896" s="68"/>
    </row>
    <row r="897" spans="1:25" ht="36" x14ac:dyDescent="0.3">
      <c r="A897" s="36" t="s">
        <v>964</v>
      </c>
      <c r="B897" s="36">
        <v>1</v>
      </c>
      <c r="C897" s="36"/>
      <c r="D897" s="36">
        <v>9</v>
      </c>
      <c r="E897" s="36" t="str">
        <f>CONCATENATE('Смета ЕР (общ) '!$A897,".",'Смета ЕР (общ) '!$B897,".",'Смета ЕР (общ) '!$D897)</f>
        <v>Р7.1.9</v>
      </c>
      <c r="F897" s="36">
        <f t="shared" si="80"/>
        <v>1</v>
      </c>
      <c r="G897" s="36"/>
      <c r="H897" s="36"/>
      <c r="I897" s="36"/>
      <c r="J897" s="36"/>
      <c r="K897" s="36"/>
      <c r="L897" s="53" t="s">
        <v>971</v>
      </c>
      <c r="M897" s="38" t="s">
        <v>118</v>
      </c>
      <c r="N897" s="39"/>
      <c r="O897" s="40">
        <v>141375</v>
      </c>
      <c r="P897" s="40">
        <f>[1]Вентмашины!Q12</f>
        <v>1507705.5</v>
      </c>
      <c r="Q897" s="40">
        <f t="shared" si="82"/>
        <v>141375</v>
      </c>
      <c r="R897" s="66">
        <f t="shared" si="83"/>
        <v>1507705.5</v>
      </c>
      <c r="S897" s="40">
        <f>ROUND('Смета ЕР (общ) '!$N897*'Смета ЕР (общ) '!$Q897,2)</f>
        <v>0</v>
      </c>
      <c r="T897" s="40">
        <f>ROUND('Смета ЕР (общ) '!$N897*'Смета ЕР (общ) '!$R897,2)</f>
        <v>0</v>
      </c>
      <c r="U897" s="67" t="s">
        <v>968</v>
      </c>
      <c r="V897" s="68"/>
    </row>
    <row r="898" spans="1:25" ht="36" x14ac:dyDescent="0.3">
      <c r="A898" s="36" t="s">
        <v>964</v>
      </c>
      <c r="B898" s="36">
        <v>1</v>
      </c>
      <c r="C898" s="36"/>
      <c r="D898" s="36">
        <v>10</v>
      </c>
      <c r="E898" s="36" t="str">
        <f>CONCATENATE('Смета ЕР (общ) '!$A898,".",'Смета ЕР (общ) '!$B898,".",'Смета ЕР (общ) '!$D898)</f>
        <v>Р7.1.10</v>
      </c>
      <c r="F898" s="36">
        <f t="shared" si="80"/>
        <v>1</v>
      </c>
      <c r="G898" s="36"/>
      <c r="H898" s="36"/>
      <c r="I898" s="36"/>
      <c r="J898" s="36"/>
      <c r="K898" s="36"/>
      <c r="L898" s="53" t="s">
        <v>972</v>
      </c>
      <c r="M898" s="38" t="s">
        <v>118</v>
      </c>
      <c r="N898" s="39"/>
      <c r="O898" s="40">
        <v>162411.6</v>
      </c>
      <c r="P898" s="40">
        <f>[1]Вентмашины!Q13</f>
        <v>1835736</v>
      </c>
      <c r="Q898" s="40">
        <f t="shared" si="82"/>
        <v>162411.6</v>
      </c>
      <c r="R898" s="66">
        <f t="shared" si="83"/>
        <v>1835736</v>
      </c>
      <c r="S898" s="40">
        <f>ROUND('Смета ЕР (общ) '!$N898*'Смета ЕР (общ) '!$Q898,2)</f>
        <v>0</v>
      </c>
      <c r="T898" s="40">
        <f>ROUND('Смета ЕР (общ) '!$N898*'Смета ЕР (общ) '!$R898,2)</f>
        <v>0</v>
      </c>
      <c r="U898" s="67" t="s">
        <v>968</v>
      </c>
      <c r="V898" s="68"/>
    </row>
    <row r="899" spans="1:25" ht="14.4" x14ac:dyDescent="0.3">
      <c r="A899" s="146" t="s">
        <v>964</v>
      </c>
      <c r="B899" s="146">
        <v>1</v>
      </c>
      <c r="C899" s="146"/>
      <c r="D899" s="146">
        <v>3</v>
      </c>
      <c r="E899" s="146" t="str">
        <f>CONCATENATE('Смета ЕР (общ) '!$A899,".",'Смета ЕР (общ) '!$B899,".",'Смета ЕР (общ) '!$D899)</f>
        <v>Р7.1.3</v>
      </c>
      <c r="F899" s="146">
        <f t="shared" si="80"/>
        <v>1</v>
      </c>
      <c r="G899" s="146"/>
      <c r="H899" s="146"/>
      <c r="I899" s="146"/>
      <c r="J899" s="146"/>
      <c r="K899" s="146"/>
      <c r="L899" s="147" t="s">
        <v>973</v>
      </c>
      <c r="M899" s="38" t="s">
        <v>118</v>
      </c>
      <c r="N899" s="39"/>
      <c r="O899" s="40">
        <v>9960.6666666666661</v>
      </c>
      <c r="P899" s="40">
        <f>'[1]Тепловые завесы'!F4</f>
        <v>12056.63</v>
      </c>
      <c r="Q899" s="40">
        <f t="shared" si="82"/>
        <v>9960.67</v>
      </c>
      <c r="R899" s="66">
        <f t="shared" si="83"/>
        <v>12056.63</v>
      </c>
      <c r="S899" s="40">
        <f>ROUND('Смета ЕР (общ) '!$N899*'Смета ЕР (общ) '!$Q899,2)</f>
        <v>0</v>
      </c>
      <c r="T899" s="40">
        <f>ROUND('Смета ЕР (общ) '!$N899*'Смета ЕР (общ) '!$R899,2)</f>
        <v>0</v>
      </c>
      <c r="U899" s="67" t="s">
        <v>974</v>
      </c>
      <c r="V899" s="68"/>
      <c r="Y899">
        <v>1</v>
      </c>
    </row>
    <row r="900" spans="1:25" ht="14.4" x14ac:dyDescent="0.3">
      <c r="A900" s="146" t="s">
        <v>964</v>
      </c>
      <c r="B900" s="146">
        <v>1</v>
      </c>
      <c r="C900" s="146"/>
      <c r="D900" s="146">
        <v>18</v>
      </c>
      <c r="E900" s="146" t="str">
        <f>CONCATENATE('Смета ЕР (общ) '!$A900,".",'Смета ЕР (общ) '!$B900,".",'Смета ЕР (общ) '!$D900)</f>
        <v>Р7.1.18</v>
      </c>
      <c r="F900" s="146">
        <f t="shared" si="80"/>
        <v>1</v>
      </c>
      <c r="G900" s="146"/>
      <c r="H900" s="146"/>
      <c r="I900" s="146"/>
      <c r="J900" s="146"/>
      <c r="K900" s="146"/>
      <c r="L900" s="147" t="s">
        <v>975</v>
      </c>
      <c r="M900" s="38" t="s">
        <v>118</v>
      </c>
      <c r="N900" s="39"/>
      <c r="O900" s="40">
        <v>11246.666666666666</v>
      </c>
      <c r="P900" s="40">
        <f>'[1]Тепловые завесы'!F5</f>
        <v>25452</v>
      </c>
      <c r="Q900" s="40">
        <f t="shared" si="82"/>
        <v>11246.67</v>
      </c>
      <c r="R900" s="66">
        <f t="shared" si="83"/>
        <v>25452</v>
      </c>
      <c r="S900" s="40">
        <f>ROUND('Смета ЕР (общ) '!$N900*'Смета ЕР (общ) '!$Q900,2)</f>
        <v>0</v>
      </c>
      <c r="T900" s="40">
        <f>ROUND('Смета ЕР (общ) '!$N900*'Смета ЕР (общ) '!$R900,2)</f>
        <v>0</v>
      </c>
      <c r="U900" s="67" t="s">
        <v>974</v>
      </c>
      <c r="V900" s="68"/>
      <c r="Y900">
        <v>1</v>
      </c>
    </row>
    <row r="901" spans="1:25" ht="14.4" x14ac:dyDescent="0.3">
      <c r="A901" s="146" t="s">
        <v>964</v>
      </c>
      <c r="B901" s="146">
        <v>1</v>
      </c>
      <c r="C901" s="146"/>
      <c r="D901" s="146">
        <v>19</v>
      </c>
      <c r="E901" s="146" t="str">
        <f>CONCATENATE('Смета ЕР (общ) '!$A901,".",'Смета ЕР (общ) '!$B901,".",'Смета ЕР (общ) '!$D901)</f>
        <v>Р7.1.19</v>
      </c>
      <c r="F901" s="146">
        <f t="shared" si="80"/>
        <v>1</v>
      </c>
      <c r="G901" s="146"/>
      <c r="H901" s="146"/>
      <c r="I901" s="146"/>
      <c r="J901" s="146"/>
      <c r="K901" s="146"/>
      <c r="L901" s="147" t="s">
        <v>976</v>
      </c>
      <c r="M901" s="38" t="s">
        <v>118</v>
      </c>
      <c r="N901" s="39"/>
      <c r="O901" s="40">
        <v>11246.666666666666</v>
      </c>
      <c r="P901" s="40">
        <f>'[1]Тепловые завесы'!F6</f>
        <v>44730</v>
      </c>
      <c r="Q901" s="40">
        <f t="shared" si="82"/>
        <v>11246.67</v>
      </c>
      <c r="R901" s="66">
        <f t="shared" si="83"/>
        <v>44730</v>
      </c>
      <c r="S901" s="40">
        <f>ROUND('Смета ЕР (общ) '!$N901*'Смета ЕР (общ) '!$Q901,2)</f>
        <v>0</v>
      </c>
      <c r="T901" s="40">
        <f>ROUND('Смета ЕР (общ) '!$N901*'Смета ЕР (общ) '!$R901,2)</f>
        <v>0</v>
      </c>
      <c r="U901" s="67" t="s">
        <v>974</v>
      </c>
      <c r="V901" s="68"/>
    </row>
    <row r="902" spans="1:25" ht="14.4" x14ac:dyDescent="0.3">
      <c r="A902" s="146" t="s">
        <v>964</v>
      </c>
      <c r="B902" s="146">
        <v>1</v>
      </c>
      <c r="C902" s="146"/>
      <c r="D902" s="146">
        <v>21</v>
      </c>
      <c r="E902" s="146" t="str">
        <f>CONCATENATE('Смета ЕР (общ) '!$A902,".",'Смета ЕР (общ) '!$B902,".",'Смета ЕР (общ) '!$D902)</f>
        <v>Р7.1.21</v>
      </c>
      <c r="F902" s="146">
        <f t="shared" si="80"/>
        <v>1</v>
      </c>
      <c r="G902" s="146"/>
      <c r="H902" s="146"/>
      <c r="I902" s="146"/>
      <c r="J902" s="146"/>
      <c r="K902" s="146"/>
      <c r="L902" s="147" t="s">
        <v>977</v>
      </c>
      <c r="M902" s="38" t="s">
        <v>118</v>
      </c>
      <c r="N902" s="39"/>
      <c r="O902" s="40">
        <v>11246.666666666666</v>
      </c>
      <c r="P902" s="40">
        <f>'[1]Тепловые завесы'!F7</f>
        <v>49888.13</v>
      </c>
      <c r="Q902" s="40">
        <f t="shared" si="82"/>
        <v>11246.67</v>
      </c>
      <c r="R902" s="66">
        <f t="shared" si="83"/>
        <v>49888.13</v>
      </c>
      <c r="S902" s="40">
        <f>ROUND('Смета ЕР (общ) '!$N902*'Смета ЕР (общ) '!$Q902,2)</f>
        <v>0</v>
      </c>
      <c r="T902" s="40">
        <f>ROUND('Смета ЕР (общ) '!$N902*'Смета ЕР (общ) '!$R902,2)</f>
        <v>0</v>
      </c>
      <c r="U902" s="67" t="s">
        <v>974</v>
      </c>
      <c r="V902" s="68"/>
    </row>
    <row r="903" spans="1:25" ht="14.4" x14ac:dyDescent="0.3">
      <c r="A903" s="148" t="s">
        <v>964</v>
      </c>
      <c r="B903" s="148">
        <v>1</v>
      </c>
      <c r="C903" s="148"/>
      <c r="D903" s="148">
        <v>20</v>
      </c>
      <c r="E903" s="148" t="str">
        <f>CONCATENATE('Смета ЕР (общ) '!$A903,".",'Смета ЕР (общ) '!$B903,".",'Смета ЕР (общ) '!$D903)</f>
        <v>Р7.1.20</v>
      </c>
      <c r="F903" s="148">
        <f t="shared" si="80"/>
        <v>1</v>
      </c>
      <c r="G903" s="148"/>
      <c r="H903" s="148"/>
      <c r="I903" s="148"/>
      <c r="J903" s="148"/>
      <c r="K903" s="148"/>
      <c r="L903" s="149" t="s">
        <v>978</v>
      </c>
      <c r="M903" s="38" t="s">
        <v>118</v>
      </c>
      <c r="N903" s="39"/>
      <c r="O903" s="40">
        <v>10540.92</v>
      </c>
      <c r="P903" s="40">
        <v>88170.68</v>
      </c>
      <c r="Q903" s="40">
        <f t="shared" si="82"/>
        <v>10540.92</v>
      </c>
      <c r="R903" s="40">
        <f t="shared" si="82"/>
        <v>88170.68</v>
      </c>
      <c r="S903" s="40">
        <f>ROUND('Смета ЕР (общ) '!$N903*'Смета ЕР (общ) '!$Q903,2)</f>
        <v>0</v>
      </c>
      <c r="T903" s="40">
        <f>ROUND('Смета ЕР (общ) '!$N903*'Смета ЕР (общ) '!$R903,2)</f>
        <v>0</v>
      </c>
      <c r="U903" s="35" t="s">
        <v>979</v>
      </c>
    </row>
    <row r="904" spans="1:25" ht="14.4" x14ac:dyDescent="0.3">
      <c r="A904" s="36" t="s">
        <v>964</v>
      </c>
      <c r="B904" s="36">
        <v>1</v>
      </c>
      <c r="C904" s="36"/>
      <c r="D904" s="36">
        <v>26</v>
      </c>
      <c r="E904" s="36" t="str">
        <f>CONCATENATE('Смета ЕР (общ) '!$A904,".",'Смета ЕР (общ) '!$B904,".",'Смета ЕР (общ) '!$D904)</f>
        <v>Р7.1.26</v>
      </c>
      <c r="F904" s="36">
        <f t="shared" si="80"/>
        <v>1</v>
      </c>
      <c r="G904" s="36"/>
      <c r="H904" s="36"/>
      <c r="I904" s="36"/>
      <c r="J904" s="36"/>
      <c r="K904" s="36"/>
      <c r="L904" s="37" t="s">
        <v>980</v>
      </c>
      <c r="M904" s="38" t="s">
        <v>118</v>
      </c>
      <c r="N904" s="39"/>
      <c r="O904" s="40">
        <v>27500</v>
      </c>
      <c r="P904" s="40">
        <v>90296.46</v>
      </c>
      <c r="Q904" s="40">
        <f t="shared" si="82"/>
        <v>27500</v>
      </c>
      <c r="R904" s="40">
        <f t="shared" si="82"/>
        <v>90296.46</v>
      </c>
      <c r="S904" s="40">
        <f>ROUND('Смета ЕР (общ) '!$N904*'Смета ЕР (общ) '!$Q904,2)</f>
        <v>0</v>
      </c>
      <c r="T904" s="40">
        <f>ROUND('Смета ЕР (общ) '!$N904*'Смета ЕР (общ) '!$R904,2)</f>
        <v>0</v>
      </c>
      <c r="Y904">
        <v>1</v>
      </c>
    </row>
    <row r="905" spans="1:25" ht="14.4" x14ac:dyDescent="0.3">
      <c r="A905" s="36" t="s">
        <v>964</v>
      </c>
      <c r="B905" s="36">
        <v>1</v>
      </c>
      <c r="C905" s="36"/>
      <c r="D905" s="36">
        <v>104</v>
      </c>
      <c r="E905" s="36" t="str">
        <f>CONCATENATE('Смета ЕР (общ) '!$A905,".",'Смета ЕР (общ) '!$B905,".",'Смета ЕР (общ) '!$D905)</f>
        <v>Р7.1.104</v>
      </c>
      <c r="F905" s="36">
        <f t="shared" ref="F905:F909" si="84">IF(N905&gt;0,F899+1,F899)</f>
        <v>1</v>
      </c>
      <c r="G905" s="36"/>
      <c r="H905" s="36"/>
      <c r="I905" s="36"/>
      <c r="J905" s="36"/>
      <c r="K905" s="36"/>
      <c r="L905" s="53" t="s">
        <v>981</v>
      </c>
      <c r="M905" s="38" t="s">
        <v>118</v>
      </c>
      <c r="N905" s="39"/>
      <c r="O905" s="40">
        <v>1890</v>
      </c>
      <c r="P905" s="40">
        <v>18900</v>
      </c>
      <c r="Q905" s="40">
        <f t="shared" si="82"/>
        <v>1890</v>
      </c>
      <c r="R905" s="40">
        <f t="shared" si="82"/>
        <v>18900</v>
      </c>
      <c r="S905" s="40">
        <f>ROUND('Смета ЕР (общ) '!$N905*'Смета ЕР (общ) '!$Q905,2)</f>
        <v>0</v>
      </c>
      <c r="T905" s="40">
        <f>ROUND('Смета ЕР (общ) '!$N905*'Смета ЕР (общ) '!$R905,2)</f>
        <v>0</v>
      </c>
    </row>
    <row r="906" spans="1:25" ht="14.4" x14ac:dyDescent="0.3">
      <c r="A906" s="36" t="s">
        <v>964</v>
      </c>
      <c r="B906" s="36">
        <v>1</v>
      </c>
      <c r="C906" s="36"/>
      <c r="D906" s="36">
        <v>105</v>
      </c>
      <c r="E906" s="36" t="str">
        <f>CONCATENATE('Смета ЕР (общ) '!$A906,".",'Смета ЕР (общ) '!$B906,".",'Смета ЕР (общ) '!$D906)</f>
        <v>Р7.1.105</v>
      </c>
      <c r="F906" s="36">
        <f t="shared" si="84"/>
        <v>1</v>
      </c>
      <c r="G906" s="36"/>
      <c r="H906" s="36"/>
      <c r="I906" s="36"/>
      <c r="J906" s="36"/>
      <c r="K906" s="36"/>
      <c r="L906" s="53" t="s">
        <v>982</v>
      </c>
      <c r="M906" s="38" t="s">
        <v>118</v>
      </c>
      <c r="N906" s="39"/>
      <c r="O906" s="40">
        <v>954</v>
      </c>
      <c r="P906" s="40">
        <v>9540</v>
      </c>
      <c r="Q906" s="40">
        <f t="shared" si="82"/>
        <v>954</v>
      </c>
      <c r="R906" s="40">
        <f t="shared" si="82"/>
        <v>9540</v>
      </c>
      <c r="S906" s="40">
        <f>ROUND('Смета ЕР (общ) '!$N906*'Смета ЕР (общ) '!$Q906,2)</f>
        <v>0</v>
      </c>
      <c r="T906" s="40">
        <f>ROUND('Смета ЕР (общ) '!$N906*'Смета ЕР (общ) '!$R906,2)</f>
        <v>0</v>
      </c>
    </row>
    <row r="907" spans="1:25" ht="14.4" x14ac:dyDescent="0.3">
      <c r="A907" s="36" t="s">
        <v>964</v>
      </c>
      <c r="B907" s="36">
        <v>1</v>
      </c>
      <c r="C907" s="36"/>
      <c r="D907" s="36">
        <v>106</v>
      </c>
      <c r="E907" s="36" t="str">
        <f>CONCATENATE('Смета ЕР (общ) '!$A907,".",'Смета ЕР (общ) '!$B907,".",'Смета ЕР (общ) '!$D907)</f>
        <v>Р7.1.106</v>
      </c>
      <c r="F907" s="36">
        <f t="shared" si="84"/>
        <v>1</v>
      </c>
      <c r="G907" s="36"/>
      <c r="H907" s="36"/>
      <c r="I907" s="36"/>
      <c r="J907" s="36"/>
      <c r="K907" s="36"/>
      <c r="L907" s="53" t="s">
        <v>983</v>
      </c>
      <c r="M907" s="38" t="s">
        <v>118</v>
      </c>
      <c r="N907" s="39"/>
      <c r="O907" s="40">
        <v>963</v>
      </c>
      <c r="P907" s="40">
        <v>9625</v>
      </c>
      <c r="Q907" s="40">
        <f t="shared" si="82"/>
        <v>963</v>
      </c>
      <c r="R907" s="40">
        <f t="shared" si="82"/>
        <v>9625</v>
      </c>
      <c r="S907" s="40">
        <f>ROUND('Смета ЕР (общ) '!$N907*'Смета ЕР (общ) '!$Q907,2)</f>
        <v>0</v>
      </c>
      <c r="T907" s="40">
        <f>ROUND('Смета ЕР (общ) '!$N907*'Смета ЕР (общ) '!$R907,2)</f>
        <v>0</v>
      </c>
    </row>
    <row r="908" spans="1:25" ht="14.4" x14ac:dyDescent="0.3">
      <c r="A908" s="36" t="s">
        <v>964</v>
      </c>
      <c r="B908" s="36">
        <v>1</v>
      </c>
      <c r="C908" s="36"/>
      <c r="D908" s="36">
        <v>107</v>
      </c>
      <c r="E908" s="36" t="str">
        <f>CONCATENATE('Смета ЕР (общ) '!$A908,".",'Смета ЕР (общ) '!$B908,".",'Смета ЕР (общ) '!$D908)</f>
        <v>Р7.1.107</v>
      </c>
      <c r="F908" s="36">
        <f t="shared" si="84"/>
        <v>1</v>
      </c>
      <c r="G908" s="36"/>
      <c r="H908" s="36"/>
      <c r="I908" s="36"/>
      <c r="J908" s="36"/>
      <c r="K908" s="36"/>
      <c r="L908" s="53" t="s">
        <v>984</v>
      </c>
      <c r="M908" s="38" t="s">
        <v>118</v>
      </c>
      <c r="N908" s="39"/>
      <c r="O908" s="40">
        <v>267</v>
      </c>
      <c r="P908" s="40">
        <v>2667.5</v>
      </c>
      <c r="Q908" s="40">
        <f t="shared" si="82"/>
        <v>267</v>
      </c>
      <c r="R908" s="40">
        <f t="shared" si="82"/>
        <v>2667.5</v>
      </c>
      <c r="S908" s="40">
        <f>ROUND('Смета ЕР (общ) '!$N908*'Смета ЕР (общ) '!$Q908,2)</f>
        <v>0</v>
      </c>
      <c r="T908" s="40">
        <f>ROUND('Смета ЕР (общ) '!$N908*'Смета ЕР (общ) '!$R908,2)</f>
        <v>0</v>
      </c>
    </row>
    <row r="909" spans="1:25" ht="14.4" x14ac:dyDescent="0.3">
      <c r="A909" s="36" t="s">
        <v>964</v>
      </c>
      <c r="B909" s="36">
        <v>1</v>
      </c>
      <c r="C909" s="36"/>
      <c r="D909" s="36">
        <v>108</v>
      </c>
      <c r="E909" s="36" t="str">
        <f>CONCATENATE('Смета ЕР (общ) '!$A909,".",'Смета ЕР (общ) '!$B909,".",'Смета ЕР (общ) '!$D909)</f>
        <v>Р7.1.108</v>
      </c>
      <c r="F909" s="36">
        <f t="shared" si="84"/>
        <v>1</v>
      </c>
      <c r="G909" s="36"/>
      <c r="H909" s="36"/>
      <c r="I909" s="36"/>
      <c r="J909" s="36"/>
      <c r="K909" s="36"/>
      <c r="L909" s="53" t="s">
        <v>985</v>
      </c>
      <c r="M909" s="38" t="s">
        <v>118</v>
      </c>
      <c r="N909" s="39"/>
      <c r="O909" s="40">
        <v>289</v>
      </c>
      <c r="P909" s="40">
        <v>2887.5</v>
      </c>
      <c r="Q909" s="40">
        <f t="shared" si="82"/>
        <v>289</v>
      </c>
      <c r="R909" s="40">
        <f t="shared" si="82"/>
        <v>2887.5</v>
      </c>
      <c r="S909" s="40">
        <f>ROUND('Смета ЕР (общ) '!$N909*'Смета ЕР (общ) '!$Q909,2)</f>
        <v>0</v>
      </c>
      <c r="T909" s="40">
        <f>ROUND('Смета ЕР (общ) '!$N909*'Смета ЕР (общ) '!$R909,2)</f>
        <v>0</v>
      </c>
    </row>
    <row r="910" spans="1:25" ht="14.4" x14ac:dyDescent="0.3">
      <c r="A910" s="36" t="s">
        <v>964</v>
      </c>
      <c r="B910" s="36">
        <v>1</v>
      </c>
      <c r="C910" s="36"/>
      <c r="D910" s="36">
        <v>27</v>
      </c>
      <c r="E910" s="36" t="str">
        <f>CONCATENATE('Смета ЕР (общ) '!$A910,".",'Смета ЕР (общ) '!$B910,".",'Смета ЕР (общ) '!$D910)</f>
        <v>Р7.1.27</v>
      </c>
      <c r="F910" s="36">
        <f>IF(N910&gt;0,F904+1,F904)</f>
        <v>1</v>
      </c>
      <c r="G910" s="36"/>
      <c r="H910" s="36"/>
      <c r="I910" s="36"/>
      <c r="J910" s="36"/>
      <c r="K910" s="36"/>
      <c r="L910" s="37" t="s">
        <v>986</v>
      </c>
      <c r="M910" s="38" t="s">
        <v>118</v>
      </c>
      <c r="N910" s="39"/>
      <c r="O910" s="40">
        <v>2205.4499999999998</v>
      </c>
      <c r="P910" s="40">
        <v>4012.41</v>
      </c>
      <c r="Q910" s="40">
        <f t="shared" ref="Q910:R946" si="85">ROUND(O910-O910*$V$3,2)</f>
        <v>2205.4499999999998</v>
      </c>
      <c r="R910" s="40">
        <f t="shared" si="85"/>
        <v>4012.41</v>
      </c>
      <c r="S910" s="40">
        <f>ROUND('Смета ЕР (общ) '!$N910*'Смета ЕР (общ) '!$Q910,2)</f>
        <v>0</v>
      </c>
      <c r="T910" s="40">
        <f>ROUND('Смета ЕР (общ) '!$N910*'Смета ЕР (общ) '!$R910,2)</f>
        <v>0</v>
      </c>
    </row>
    <row r="911" spans="1:25" ht="14.4" x14ac:dyDescent="0.3">
      <c r="A911" s="36" t="s">
        <v>964</v>
      </c>
      <c r="B911" s="36">
        <v>1</v>
      </c>
      <c r="C911" s="36"/>
      <c r="D911" s="36">
        <v>28</v>
      </c>
      <c r="E911" s="36" t="str">
        <f>CONCATENATE('Смета ЕР (общ) '!$A911,".",'Смета ЕР (общ) '!$B911,".",'Смета ЕР (общ) '!$D911)</f>
        <v>Р7.1.28</v>
      </c>
      <c r="F911" s="36">
        <f t="shared" si="80"/>
        <v>1</v>
      </c>
      <c r="G911" s="36"/>
      <c r="H911" s="36"/>
      <c r="I911" s="36"/>
      <c r="J911" s="36"/>
      <c r="K911" s="36"/>
      <c r="L911" s="37" t="s">
        <v>987</v>
      </c>
      <c r="M911" s="38" t="s">
        <v>118</v>
      </c>
      <c r="N911" s="39"/>
      <c r="O911" s="40">
        <v>2205.4499999999998</v>
      </c>
      <c r="P911" s="40">
        <v>15308.23</v>
      </c>
      <c r="Q911" s="40">
        <f t="shared" si="85"/>
        <v>2205.4499999999998</v>
      </c>
      <c r="R911" s="40">
        <f t="shared" si="85"/>
        <v>15308.23</v>
      </c>
      <c r="S911" s="40">
        <f>ROUND('Смета ЕР (общ) '!$N911*'Смета ЕР (общ) '!$Q911,2)</f>
        <v>0</v>
      </c>
      <c r="T911" s="40">
        <f>ROUND('Смета ЕР (общ) '!$N911*'Смета ЕР (общ) '!$R911,2)</f>
        <v>0</v>
      </c>
      <c r="Y911">
        <v>2</v>
      </c>
    </row>
    <row r="912" spans="1:25" ht="14.4" x14ac:dyDescent="0.3">
      <c r="A912" s="63" t="s">
        <v>964</v>
      </c>
      <c r="B912" s="63">
        <v>1</v>
      </c>
      <c r="C912" s="63"/>
      <c r="D912" s="63">
        <v>29</v>
      </c>
      <c r="E912" s="63" t="str">
        <f>CONCATENATE('Смета ЕР (общ) '!$A912,".",'Смета ЕР (общ) '!$B912,".",'Смета ЕР (общ) '!$D912)</f>
        <v>Р7.1.29</v>
      </c>
      <c r="F912" s="63">
        <f t="shared" si="80"/>
        <v>1</v>
      </c>
      <c r="G912" s="63"/>
      <c r="H912" s="63"/>
      <c r="I912" s="63"/>
      <c r="J912" s="63"/>
      <c r="K912" s="63"/>
      <c r="L912" s="64" t="s">
        <v>988</v>
      </c>
      <c r="M912" s="38" t="s">
        <v>118</v>
      </c>
      <c r="N912" s="39"/>
      <c r="O912" s="40">
        <v>9499.25</v>
      </c>
      <c r="P912" s="40">
        <v>124059.43</v>
      </c>
      <c r="Q912" s="40">
        <f t="shared" si="85"/>
        <v>9499.25</v>
      </c>
      <c r="R912" s="40">
        <f t="shared" si="85"/>
        <v>124059.43</v>
      </c>
      <c r="S912" s="40">
        <f>ROUND('Смета ЕР (общ) '!$N912*'Смета ЕР (общ) '!$Q912,2)</f>
        <v>0</v>
      </c>
      <c r="T912" s="40">
        <f>ROUND('Смета ЕР (общ) '!$N912*'Смета ЕР (общ) '!$R912,2)</f>
        <v>0</v>
      </c>
    </row>
    <row r="913" spans="1:25" ht="24" x14ac:dyDescent="0.3">
      <c r="A913" s="63" t="s">
        <v>964</v>
      </c>
      <c r="B913" s="63">
        <v>1</v>
      </c>
      <c r="C913" s="63"/>
      <c r="D913" s="63">
        <v>30</v>
      </c>
      <c r="E913" s="63" t="str">
        <f>CONCATENATE('Смета ЕР (общ) '!$A913,".",'Смета ЕР (общ) '!$B913,".",'Смета ЕР (общ) '!$D913)</f>
        <v>Р7.1.30</v>
      </c>
      <c r="F913" s="63">
        <f t="shared" ref="F913:F976" si="86">IF(N913&gt;0,F912+1,F912)</f>
        <v>1</v>
      </c>
      <c r="G913" s="63"/>
      <c r="H913" s="63"/>
      <c r="I913" s="63"/>
      <c r="J913" s="63"/>
      <c r="K913" s="63"/>
      <c r="L913" s="64" t="s">
        <v>989</v>
      </c>
      <c r="M913" s="65" t="s">
        <v>125</v>
      </c>
      <c r="N913" s="39"/>
      <c r="O913" s="40">
        <v>107</v>
      </c>
      <c r="P913" s="40">
        <v>0</v>
      </c>
      <c r="Q913" s="40">
        <f t="shared" si="85"/>
        <v>107</v>
      </c>
      <c r="R913" s="40">
        <f t="shared" si="85"/>
        <v>0</v>
      </c>
      <c r="S913" s="40">
        <f>ROUND('Смета ЕР (общ) '!$N913*'Смета ЕР (общ) '!$Q913,2)</f>
        <v>0</v>
      </c>
      <c r="T913" s="40">
        <f>ROUND('Смета ЕР (общ) '!$N913*'Смета ЕР (общ) '!$R913,2)</f>
        <v>0</v>
      </c>
      <c r="Y913">
        <v>214</v>
      </c>
    </row>
    <row r="914" spans="1:25" ht="24" x14ac:dyDescent="0.3">
      <c r="A914" s="36" t="s">
        <v>964</v>
      </c>
      <c r="B914" s="36">
        <v>1</v>
      </c>
      <c r="C914" s="36"/>
      <c r="D914" s="36">
        <v>31</v>
      </c>
      <c r="E914" s="36" t="str">
        <f>CONCATENATE('Смета ЕР (общ) '!$A914,".",'Смета ЕР (общ) '!$B914,".",'Смета ЕР (общ) '!$D914)</f>
        <v>Р7.1.31</v>
      </c>
      <c r="F914" s="36">
        <f t="shared" si="86"/>
        <v>1</v>
      </c>
      <c r="G914" s="36"/>
      <c r="H914" s="36"/>
      <c r="I914" s="36"/>
      <c r="J914" s="36"/>
      <c r="K914" s="36"/>
      <c r="L914" s="37" t="s">
        <v>990</v>
      </c>
      <c r="M914" s="38" t="s">
        <v>118</v>
      </c>
      <c r="N914" s="39"/>
      <c r="O914" s="40">
        <v>2548.85</v>
      </c>
      <c r="P914" s="40">
        <v>25491.67</v>
      </c>
      <c r="Q914" s="40">
        <f t="shared" si="85"/>
        <v>2548.85</v>
      </c>
      <c r="R914" s="40">
        <f t="shared" si="85"/>
        <v>25491.67</v>
      </c>
      <c r="S914" s="40">
        <f>ROUND('Смета ЕР (общ) '!$N914*'Смета ЕР (общ) '!$Q914,2)</f>
        <v>0</v>
      </c>
      <c r="T914" s="40">
        <f>ROUND('Смета ЕР (общ) '!$N914*'Смета ЕР (общ) '!$R914,2)</f>
        <v>0</v>
      </c>
      <c r="U914" s="35" t="s">
        <v>991</v>
      </c>
    </row>
    <row r="915" spans="1:25" ht="24" x14ac:dyDescent="0.3">
      <c r="A915" s="36" t="s">
        <v>964</v>
      </c>
      <c r="B915" s="36">
        <v>1</v>
      </c>
      <c r="C915" s="36"/>
      <c r="D915" s="36">
        <v>22</v>
      </c>
      <c r="E915" s="36" t="str">
        <f>CONCATENATE('Смета ЕР (общ) '!$A915,".",'Смета ЕР (общ) '!$B915,".",'Смета ЕР (общ) '!$D915)</f>
        <v>Р7.1.22</v>
      </c>
      <c r="F915" s="36">
        <f t="shared" si="86"/>
        <v>1</v>
      </c>
      <c r="G915" s="36"/>
      <c r="H915" s="36"/>
      <c r="I915" s="36"/>
      <c r="J915" s="36"/>
      <c r="K915" s="36"/>
      <c r="L915" s="37" t="s">
        <v>992</v>
      </c>
      <c r="M915" s="60" t="s">
        <v>40</v>
      </c>
      <c r="N915" s="61"/>
      <c r="O915" s="40">
        <v>822.99</v>
      </c>
      <c r="P915" s="40">
        <v>1334.5</v>
      </c>
      <c r="Q915" s="62">
        <f t="shared" si="85"/>
        <v>822.99</v>
      </c>
      <c r="R915" s="62">
        <f t="shared" si="85"/>
        <v>1334.5</v>
      </c>
      <c r="S915" s="62">
        <f>ROUND('Смета ЕР (общ) '!$N915*'Смета ЕР (общ) '!$Q915,2)</f>
        <v>0</v>
      </c>
      <c r="T915" s="62">
        <f>ROUND('Смета ЕР (общ) '!$N915*'Смета ЕР (общ) '!$R915,2)</f>
        <v>0</v>
      </c>
    </row>
    <row r="916" spans="1:25" ht="24" x14ac:dyDescent="0.3">
      <c r="A916" s="36" t="s">
        <v>964</v>
      </c>
      <c r="B916" s="36">
        <v>1</v>
      </c>
      <c r="C916" s="36"/>
      <c r="D916" s="36">
        <v>23</v>
      </c>
      <c r="E916" s="36" t="str">
        <f>CONCATENATE('Смета ЕР (общ) '!$A916,".",'Смета ЕР (общ) '!$B916,".",'Смета ЕР (общ) '!$D916)</f>
        <v>Р7.1.23</v>
      </c>
      <c r="F916" s="36">
        <f t="shared" si="86"/>
        <v>1</v>
      </c>
      <c r="G916" s="36"/>
      <c r="H916" s="36"/>
      <c r="I916" s="36"/>
      <c r="J916" s="36"/>
      <c r="K916" s="36"/>
      <c r="L916" s="37" t="s">
        <v>993</v>
      </c>
      <c r="M916" s="60" t="s">
        <v>40</v>
      </c>
      <c r="N916" s="61"/>
      <c r="O916" s="40">
        <v>250</v>
      </c>
      <c r="P916" s="40">
        <v>1037.9100000000001</v>
      </c>
      <c r="Q916" s="62">
        <f t="shared" si="85"/>
        <v>250</v>
      </c>
      <c r="R916" s="62">
        <f t="shared" si="85"/>
        <v>1037.9100000000001</v>
      </c>
      <c r="S916" s="62">
        <f>ROUND('Смета ЕР (общ) '!$N916*'Смета ЕР (общ) '!$Q916,2)</f>
        <v>0</v>
      </c>
      <c r="T916" s="62">
        <f>ROUND('Смета ЕР (общ) '!$N916*'Смета ЕР (общ) '!$R916,2)</f>
        <v>0</v>
      </c>
    </row>
    <row r="917" spans="1:25" ht="14.4" x14ac:dyDescent="0.3">
      <c r="A917" s="36" t="s">
        <v>964</v>
      </c>
      <c r="B917" s="36">
        <v>1</v>
      </c>
      <c r="C917" s="36"/>
      <c r="D917" s="36">
        <v>11</v>
      </c>
      <c r="E917" s="36" t="str">
        <f>CONCATENATE('Смета ЕР (общ) '!$A917,".",'Смета ЕР (общ) '!$B917,".",'Смета ЕР (общ) '!$D917)</f>
        <v>Р7.1.11</v>
      </c>
      <c r="F917" s="36">
        <f t="shared" si="86"/>
        <v>1</v>
      </c>
      <c r="G917" s="36"/>
      <c r="H917" s="36"/>
      <c r="I917" s="36"/>
      <c r="J917" s="36"/>
      <c r="K917" s="36"/>
      <c r="L917" s="37" t="s">
        <v>994</v>
      </c>
      <c r="M917" s="38" t="s">
        <v>118</v>
      </c>
      <c r="N917" s="61"/>
      <c r="O917" s="40">
        <v>339.3</v>
      </c>
      <c r="P917" s="40">
        <v>1338.53</v>
      </c>
      <c r="Q917" s="62">
        <f t="shared" si="85"/>
        <v>339.3</v>
      </c>
      <c r="R917" s="62">
        <f t="shared" si="85"/>
        <v>1338.53</v>
      </c>
      <c r="S917" s="62">
        <f>ROUND('Смета ЕР (общ) '!$N917*'Смета ЕР (общ) '!$Q917,2)</f>
        <v>0</v>
      </c>
      <c r="T917" s="62">
        <f>ROUND('Смета ЕР (общ) '!$N917*'Смета ЕР (общ) '!$R917,2)</f>
        <v>0</v>
      </c>
    </row>
    <row r="918" spans="1:25" ht="48" x14ac:dyDescent="0.3">
      <c r="A918" s="58" t="s">
        <v>964</v>
      </c>
      <c r="B918" s="58">
        <v>1</v>
      </c>
      <c r="C918" s="58"/>
      <c r="D918" s="58">
        <v>13</v>
      </c>
      <c r="E918" s="58" t="str">
        <f>CONCATENATE('Смета ЕР (общ) '!$A918,".",'Смета ЕР (общ) '!$B918,".",'Смета ЕР (общ) '!$D918)</f>
        <v>Р7.1.13</v>
      </c>
      <c r="F918" s="58">
        <f t="shared" si="86"/>
        <v>1</v>
      </c>
      <c r="G918" s="58"/>
      <c r="H918" s="58"/>
      <c r="I918" s="58"/>
      <c r="J918" s="58"/>
      <c r="K918" s="58"/>
      <c r="L918" s="59" t="s">
        <v>995</v>
      </c>
      <c r="M918" s="60" t="s">
        <v>996</v>
      </c>
      <c r="N918" s="61"/>
      <c r="O918" s="40">
        <v>499.9</v>
      </c>
      <c r="P918" s="40">
        <v>1273.53</v>
      </c>
      <c r="Q918" s="62">
        <f t="shared" si="85"/>
        <v>499.9</v>
      </c>
      <c r="R918" s="62">
        <f t="shared" si="85"/>
        <v>1273.53</v>
      </c>
      <c r="S918" s="62">
        <f>ROUND('Смета ЕР (общ) '!$N918*'Смета ЕР (общ) '!$Q918,2)</f>
        <v>0</v>
      </c>
      <c r="T918" s="62">
        <f>ROUND('Смета ЕР (общ) '!$N918*'Смета ЕР (общ) '!$R918,2)</f>
        <v>0</v>
      </c>
    </row>
    <row r="919" spans="1:25" ht="14.4" x14ac:dyDescent="0.3">
      <c r="A919" s="63" t="s">
        <v>964</v>
      </c>
      <c r="B919" s="63">
        <v>1</v>
      </c>
      <c r="C919" s="63"/>
      <c r="D919" s="63">
        <v>14</v>
      </c>
      <c r="E919" s="63" t="str">
        <f>CONCATENATE('Смета ЕР (общ) '!$A919,".",'Смета ЕР (общ) '!$B919,".",'Смета ЕР (общ) '!$D919)</f>
        <v>Р7.1.14</v>
      </c>
      <c r="F919" s="63">
        <f t="shared" si="86"/>
        <v>1</v>
      </c>
      <c r="G919" s="63"/>
      <c r="H919" s="63"/>
      <c r="I919" s="63"/>
      <c r="J919" s="63"/>
      <c r="K919" s="63"/>
      <c r="L919" s="64" t="s">
        <v>997</v>
      </c>
      <c r="M919" s="38" t="s">
        <v>118</v>
      </c>
      <c r="N919" s="39"/>
      <c r="O919" s="40">
        <v>2973.52</v>
      </c>
      <c r="P919" s="40">
        <v>13683.67</v>
      </c>
      <c r="Q919" s="40">
        <f t="shared" si="85"/>
        <v>2973.52</v>
      </c>
      <c r="R919" s="40">
        <f t="shared" si="85"/>
        <v>13683.67</v>
      </c>
      <c r="S919" s="40">
        <f>ROUND('Смета ЕР (общ) '!$N919*'Смета ЕР (общ) '!$Q919,2)</f>
        <v>0</v>
      </c>
      <c r="T919" s="40">
        <f>ROUND('Смета ЕР (общ) '!$N919*'Смета ЕР (общ) '!$R919,2)</f>
        <v>0</v>
      </c>
      <c r="U919" s="35" t="s">
        <v>998</v>
      </c>
    </row>
    <row r="920" spans="1:25" ht="14.4" x14ac:dyDescent="0.3">
      <c r="A920" s="63" t="s">
        <v>964</v>
      </c>
      <c r="B920" s="63">
        <v>1</v>
      </c>
      <c r="C920" s="63"/>
      <c r="D920" s="63">
        <v>16</v>
      </c>
      <c r="E920" s="63" t="str">
        <f>CONCATENATE('Смета ЕР (общ) '!$A920,".",'Смета ЕР (общ) '!$B920,".",'Смета ЕР (общ) '!$D920)</f>
        <v>Р7.1.16</v>
      </c>
      <c r="F920" s="63">
        <f t="shared" si="86"/>
        <v>1</v>
      </c>
      <c r="G920" s="63"/>
      <c r="H920" s="63"/>
      <c r="I920" s="63"/>
      <c r="J920" s="63"/>
      <c r="K920" s="63"/>
      <c r="L920" s="64" t="s">
        <v>999</v>
      </c>
      <c r="M920" s="38" t="s">
        <v>118</v>
      </c>
      <c r="N920" s="39"/>
      <c r="O920" s="40">
        <v>2973.52</v>
      </c>
      <c r="P920" s="40">
        <v>6651.21</v>
      </c>
      <c r="Q920" s="40">
        <f t="shared" si="85"/>
        <v>2973.52</v>
      </c>
      <c r="R920" s="40">
        <f t="shared" si="85"/>
        <v>6651.21</v>
      </c>
      <c r="S920" s="40">
        <f>ROUND('Смета ЕР (общ) '!$N920*'Смета ЕР (общ) '!$Q920,2)</f>
        <v>0</v>
      </c>
      <c r="T920" s="40">
        <f>ROUND('Смета ЕР (общ) '!$N920*'Смета ЕР (общ) '!$R920,2)</f>
        <v>0</v>
      </c>
      <c r="U920" s="35" t="s">
        <v>998</v>
      </c>
    </row>
    <row r="921" spans="1:25" ht="24" x14ac:dyDescent="0.3">
      <c r="A921" s="36" t="s">
        <v>964</v>
      </c>
      <c r="B921" s="36">
        <v>1</v>
      </c>
      <c r="C921" s="36"/>
      <c r="D921" s="36">
        <v>24</v>
      </c>
      <c r="E921" s="36" t="str">
        <f>CONCATENATE('Смета ЕР (общ) '!$A921,".",'Смета ЕР (общ) '!$B921,".",'Смета ЕР (общ) '!$D921)</f>
        <v>Р7.1.24</v>
      </c>
      <c r="F921" s="36">
        <f t="shared" si="86"/>
        <v>1</v>
      </c>
      <c r="G921" s="36"/>
      <c r="H921" s="36"/>
      <c r="I921" s="36"/>
      <c r="J921" s="36"/>
      <c r="K921" s="36"/>
      <c r="L921" s="37" t="s">
        <v>1000</v>
      </c>
      <c r="M921" s="38" t="s">
        <v>118</v>
      </c>
      <c r="N921" s="39"/>
      <c r="O921" s="40">
        <v>1819.4330000000002</v>
      </c>
      <c r="P921" s="40">
        <v>11200</v>
      </c>
      <c r="Q921" s="40">
        <f t="shared" si="85"/>
        <v>1819.43</v>
      </c>
      <c r="R921" s="40">
        <f t="shared" si="85"/>
        <v>11200</v>
      </c>
      <c r="S921" s="40">
        <f>ROUND('Смета ЕР (общ) '!$N921*'Смета ЕР (общ) '!$Q921,2)</f>
        <v>0</v>
      </c>
      <c r="T921" s="40">
        <f>ROUND('Смета ЕР (общ) '!$N921*'Смета ЕР (общ) '!$R921,2)</f>
        <v>0</v>
      </c>
    </row>
    <row r="922" spans="1:25" ht="24" x14ac:dyDescent="0.3">
      <c r="A922" s="36" t="s">
        <v>964</v>
      </c>
      <c r="B922" s="36">
        <v>1</v>
      </c>
      <c r="C922" s="36"/>
      <c r="D922" s="36">
        <v>35</v>
      </c>
      <c r="E922" s="36" t="str">
        <f>CONCATENATE('Смета ЕР (общ) '!$A922,".",'Смета ЕР (общ) '!$B922,".",'Смета ЕР (общ) '!$D922)</f>
        <v>Р7.1.35</v>
      </c>
      <c r="F922" s="36">
        <f t="shared" si="86"/>
        <v>1</v>
      </c>
      <c r="G922" s="36"/>
      <c r="H922" s="36"/>
      <c r="I922" s="36"/>
      <c r="J922" s="36"/>
      <c r="K922" s="36"/>
      <c r="L922" s="37" t="s">
        <v>1001</v>
      </c>
      <c r="M922" s="38" t="s">
        <v>118</v>
      </c>
      <c r="N922" s="39"/>
      <c r="O922" s="40">
        <v>1819.4330000000002</v>
      </c>
      <c r="P922" s="40">
        <v>14300</v>
      </c>
      <c r="Q922" s="40">
        <f t="shared" si="85"/>
        <v>1819.43</v>
      </c>
      <c r="R922" s="40">
        <f t="shared" si="85"/>
        <v>14300</v>
      </c>
      <c r="S922" s="40">
        <f>ROUND('Смета ЕР (общ) '!$N922*'Смета ЕР (общ) '!$Q922,2)</f>
        <v>0</v>
      </c>
      <c r="T922" s="40">
        <f>ROUND('Смета ЕР (общ) '!$N922*'Смета ЕР (общ) '!$R922,2)</f>
        <v>0</v>
      </c>
    </row>
    <row r="923" spans="1:25" ht="24" x14ac:dyDescent="0.3">
      <c r="A923" s="36" t="s">
        <v>964</v>
      </c>
      <c r="B923" s="36">
        <v>1</v>
      </c>
      <c r="C923" s="36"/>
      <c r="D923" s="36">
        <v>33</v>
      </c>
      <c r="E923" s="36" t="str">
        <f>CONCATENATE('Смета ЕР (общ) '!$A923,".",'Смета ЕР (общ) '!$B923,".",'Смета ЕР (общ) '!$D923)</f>
        <v>Р7.1.33</v>
      </c>
      <c r="F923" s="36">
        <f t="shared" si="86"/>
        <v>1</v>
      </c>
      <c r="G923" s="36"/>
      <c r="H923" s="36"/>
      <c r="I923" s="36"/>
      <c r="J923" s="36"/>
      <c r="K923" s="36"/>
      <c r="L923" s="37" t="s">
        <v>1002</v>
      </c>
      <c r="M923" s="38" t="s">
        <v>118</v>
      </c>
      <c r="N923" s="39"/>
      <c r="O923" s="40">
        <v>1819.4330000000002</v>
      </c>
      <c r="P923" s="40">
        <v>17000</v>
      </c>
      <c r="Q923" s="40">
        <f t="shared" si="85"/>
        <v>1819.43</v>
      </c>
      <c r="R923" s="40">
        <f t="shared" si="85"/>
        <v>17000</v>
      </c>
      <c r="S923" s="40">
        <f>ROUND('Смета ЕР (общ) '!$N923*'Смета ЕР (общ) '!$Q923,2)</f>
        <v>0</v>
      </c>
      <c r="T923" s="40">
        <f>ROUND('Смета ЕР (общ) '!$N923*'Смета ЕР (общ) '!$R923,2)</f>
        <v>0</v>
      </c>
    </row>
    <row r="924" spans="1:25" ht="24" x14ac:dyDescent="0.3">
      <c r="A924" s="36" t="s">
        <v>964</v>
      </c>
      <c r="B924" s="36">
        <v>1</v>
      </c>
      <c r="C924" s="36"/>
      <c r="D924" s="36">
        <v>34</v>
      </c>
      <c r="E924" s="36" t="str">
        <f>CONCATENATE('Смета ЕР (общ) '!$A924,".",'Смета ЕР (общ) '!$B924,".",'Смета ЕР (общ) '!$D924)</f>
        <v>Р7.1.34</v>
      </c>
      <c r="F924" s="36">
        <f t="shared" si="86"/>
        <v>1</v>
      </c>
      <c r="G924" s="36"/>
      <c r="H924" s="36"/>
      <c r="I924" s="36"/>
      <c r="J924" s="36"/>
      <c r="K924" s="36"/>
      <c r="L924" s="37" t="s">
        <v>1003</v>
      </c>
      <c r="M924" s="38" t="s">
        <v>118</v>
      </c>
      <c r="N924" s="39"/>
      <c r="O924" s="40">
        <v>1819.4330000000002</v>
      </c>
      <c r="P924" s="40">
        <v>26000</v>
      </c>
      <c r="Q924" s="40">
        <f t="shared" si="85"/>
        <v>1819.43</v>
      </c>
      <c r="R924" s="40">
        <f t="shared" si="85"/>
        <v>26000</v>
      </c>
      <c r="S924" s="40">
        <f>ROUND('Смета ЕР (общ) '!$N924*'Смета ЕР (общ) '!$Q924,2)</f>
        <v>0</v>
      </c>
      <c r="T924" s="40">
        <f>ROUND('Смета ЕР (общ) '!$N924*'Смета ЕР (общ) '!$R924,2)</f>
        <v>0</v>
      </c>
    </row>
    <row r="925" spans="1:25" ht="24" x14ac:dyDescent="0.3">
      <c r="A925" s="36" t="s">
        <v>964</v>
      </c>
      <c r="B925" s="36">
        <v>1</v>
      </c>
      <c r="C925" s="36"/>
      <c r="D925" s="36">
        <v>36</v>
      </c>
      <c r="E925" s="36" t="str">
        <f>CONCATENATE('Смета ЕР (общ) '!$A925,".",'Смета ЕР (общ) '!$B925,".",'Смета ЕР (общ) '!$D925)</f>
        <v>Р7.1.36</v>
      </c>
      <c r="F925" s="36">
        <f t="shared" si="86"/>
        <v>1</v>
      </c>
      <c r="G925" s="36"/>
      <c r="H925" s="36"/>
      <c r="I925" s="36"/>
      <c r="J925" s="36"/>
      <c r="K925" s="36"/>
      <c r="L925" s="37" t="s">
        <v>1004</v>
      </c>
      <c r="M925" s="38" t="s">
        <v>118</v>
      </c>
      <c r="N925" s="39"/>
      <c r="O925" s="40">
        <v>1819.4330000000002</v>
      </c>
      <c r="P925" s="40">
        <v>33000</v>
      </c>
      <c r="Q925" s="40">
        <f t="shared" si="85"/>
        <v>1819.43</v>
      </c>
      <c r="R925" s="40">
        <f t="shared" si="85"/>
        <v>33000</v>
      </c>
      <c r="S925" s="40">
        <f>ROUND('Смета ЕР (общ) '!$N925*'Смета ЕР (общ) '!$Q925,2)</f>
        <v>0</v>
      </c>
      <c r="T925" s="40">
        <f>ROUND('Смета ЕР (общ) '!$N925*'Смета ЕР (общ) '!$R925,2)</f>
        <v>0</v>
      </c>
    </row>
    <row r="926" spans="1:25" ht="24" x14ac:dyDescent="0.3">
      <c r="A926" s="36" t="s">
        <v>964</v>
      </c>
      <c r="B926" s="36">
        <v>1</v>
      </c>
      <c r="C926" s="36"/>
      <c r="D926" s="36">
        <f t="shared" ref="D926:D989" si="87">D925+1</f>
        <v>37</v>
      </c>
      <c r="E926" s="36" t="str">
        <f>CONCATENATE('Смета ЕР (общ) '!$A926,".",'Смета ЕР (общ) '!$B926,".",'Смета ЕР (общ) '!$D926)</f>
        <v>Р7.1.37</v>
      </c>
      <c r="F926" s="36">
        <f t="shared" si="86"/>
        <v>1</v>
      </c>
      <c r="G926" s="36"/>
      <c r="H926" s="36"/>
      <c r="I926" s="36"/>
      <c r="J926" s="36"/>
      <c r="K926" s="36"/>
      <c r="L926" s="37" t="s">
        <v>1005</v>
      </c>
      <c r="M926" s="38" t="s">
        <v>118</v>
      </c>
      <c r="N926" s="39"/>
      <c r="O926" s="40">
        <v>1819.4330000000002</v>
      </c>
      <c r="P926" s="40">
        <v>27000</v>
      </c>
      <c r="Q926" s="40">
        <f t="shared" si="85"/>
        <v>1819.43</v>
      </c>
      <c r="R926" s="40">
        <f t="shared" si="85"/>
        <v>27000</v>
      </c>
      <c r="S926" s="40">
        <f>ROUND('Смета ЕР (общ) '!$N926*'Смета ЕР (общ) '!$Q926,2)</f>
        <v>0</v>
      </c>
      <c r="T926" s="40">
        <f>ROUND('Смета ЕР (общ) '!$N926*'Смета ЕР (общ) '!$R926,2)</f>
        <v>0</v>
      </c>
    </row>
    <row r="927" spans="1:25" ht="24" x14ac:dyDescent="0.3">
      <c r="A927" s="36" t="s">
        <v>964</v>
      </c>
      <c r="B927" s="36">
        <v>1</v>
      </c>
      <c r="C927" s="36"/>
      <c r="D927" s="36">
        <f t="shared" si="87"/>
        <v>38</v>
      </c>
      <c r="E927" s="36" t="str">
        <f>CONCATENATE('Смета ЕР (общ) '!$A927,".",'Смета ЕР (общ) '!$B927,".",'Смета ЕР (общ) '!$D927)</f>
        <v>Р7.1.38</v>
      </c>
      <c r="F927" s="36">
        <f t="shared" si="86"/>
        <v>1</v>
      </c>
      <c r="G927" s="36"/>
      <c r="H927" s="36"/>
      <c r="I927" s="36"/>
      <c r="J927" s="36"/>
      <c r="K927" s="36"/>
      <c r="L927" s="53" t="s">
        <v>1006</v>
      </c>
      <c r="M927" s="38" t="s">
        <v>118</v>
      </c>
      <c r="N927" s="39"/>
      <c r="O927" s="40">
        <v>1819.4330000000002</v>
      </c>
      <c r="P927" s="40">
        <v>9632</v>
      </c>
      <c r="Q927" s="40">
        <f t="shared" si="85"/>
        <v>1819.43</v>
      </c>
      <c r="R927" s="40">
        <f t="shared" si="85"/>
        <v>9632</v>
      </c>
      <c r="S927" s="40">
        <f>ROUND('Смета ЕР (общ) '!$N927*'Смета ЕР (общ) '!$Q927,2)</f>
        <v>0</v>
      </c>
      <c r="T927" s="40">
        <f>ROUND('Смета ЕР (общ) '!$N927*'Смета ЕР (общ) '!$R927,2)</f>
        <v>0</v>
      </c>
    </row>
    <row r="928" spans="1:25" ht="24" x14ac:dyDescent="0.3">
      <c r="A928" s="36" t="s">
        <v>964</v>
      </c>
      <c r="B928" s="36">
        <v>1</v>
      </c>
      <c r="C928" s="36"/>
      <c r="D928" s="36">
        <f t="shared" si="87"/>
        <v>39</v>
      </c>
      <c r="E928" s="36" t="str">
        <f>CONCATENATE('Смета ЕР (общ) '!$A928,".",'Смета ЕР (общ) '!$B928,".",'Смета ЕР (общ) '!$D928)</f>
        <v>Р7.1.39</v>
      </c>
      <c r="F928" s="36">
        <f t="shared" si="86"/>
        <v>1</v>
      </c>
      <c r="G928" s="36"/>
      <c r="H928" s="36"/>
      <c r="I928" s="36"/>
      <c r="J928" s="36"/>
      <c r="K928" s="36"/>
      <c r="L928" s="53" t="s">
        <v>1007</v>
      </c>
      <c r="M928" s="38" t="s">
        <v>118</v>
      </c>
      <c r="N928" s="39"/>
      <c r="O928" s="40">
        <v>1819.4330000000002</v>
      </c>
      <c r="P928" s="40">
        <v>14077</v>
      </c>
      <c r="Q928" s="40">
        <f t="shared" si="85"/>
        <v>1819.43</v>
      </c>
      <c r="R928" s="40">
        <f t="shared" si="85"/>
        <v>14077</v>
      </c>
      <c r="S928" s="40">
        <f>ROUND('Смета ЕР (общ) '!$N928*'Смета ЕР (общ) '!$Q928,2)</f>
        <v>0</v>
      </c>
      <c r="T928" s="40">
        <f>ROUND('Смета ЕР (общ) '!$N928*'Смета ЕР (общ) '!$R928,2)</f>
        <v>0</v>
      </c>
    </row>
    <row r="929" spans="1:20" ht="14.4" x14ac:dyDescent="0.3">
      <c r="A929" s="36" t="s">
        <v>964</v>
      </c>
      <c r="B929" s="36">
        <v>1</v>
      </c>
      <c r="C929" s="36"/>
      <c r="D929" s="36">
        <f t="shared" si="87"/>
        <v>40</v>
      </c>
      <c r="E929" s="36" t="str">
        <f>CONCATENATE('Смета ЕР (общ) '!$A929,".",'Смета ЕР (общ) '!$B929,".",'Смета ЕР (общ) '!$D929)</f>
        <v>Р7.1.40</v>
      </c>
      <c r="F929" s="36">
        <f t="shared" si="86"/>
        <v>1</v>
      </c>
      <c r="G929" s="36"/>
      <c r="H929" s="36"/>
      <c r="I929" s="36"/>
      <c r="J929" s="36"/>
      <c r="K929" s="36"/>
      <c r="L929" s="53" t="s">
        <v>1008</v>
      </c>
      <c r="M929" s="38" t="s">
        <v>118</v>
      </c>
      <c r="N929" s="39"/>
      <c r="O929" s="40">
        <v>1000</v>
      </c>
      <c r="P929" s="40">
        <v>15540.92</v>
      </c>
      <c r="Q929" s="40">
        <f t="shared" si="85"/>
        <v>1000</v>
      </c>
      <c r="R929" s="40">
        <f t="shared" si="85"/>
        <v>15540.92</v>
      </c>
      <c r="S929" s="40">
        <f>ROUND('Смета ЕР (общ) '!$N929*'Смета ЕР (общ) '!$Q929,2)</f>
        <v>0</v>
      </c>
      <c r="T929" s="40">
        <f>ROUND('Смета ЕР (общ) '!$N929*'Смета ЕР (общ) '!$R929,2)</f>
        <v>0</v>
      </c>
    </row>
    <row r="930" spans="1:20" ht="14.4" x14ac:dyDescent="0.3">
      <c r="A930" s="36" t="s">
        <v>964</v>
      </c>
      <c r="B930" s="36">
        <v>1</v>
      </c>
      <c r="C930" s="36"/>
      <c r="D930" s="36">
        <f t="shared" si="87"/>
        <v>41</v>
      </c>
      <c r="E930" s="36" t="str">
        <f>CONCATENATE('Смета ЕР (общ) '!$A930,".",'Смета ЕР (общ) '!$B930,".",'Смета ЕР (общ) '!$D930)</f>
        <v>Р7.1.41</v>
      </c>
      <c r="F930" s="36">
        <f t="shared" si="86"/>
        <v>1</v>
      </c>
      <c r="G930" s="36"/>
      <c r="H930" s="36"/>
      <c r="I930" s="36"/>
      <c r="J930" s="36"/>
      <c r="K930" s="36"/>
      <c r="L930" s="53" t="s">
        <v>1009</v>
      </c>
      <c r="M930" s="38" t="s">
        <v>118</v>
      </c>
      <c r="N930" s="39"/>
      <c r="O930" s="40">
        <v>1000</v>
      </c>
      <c r="P930" s="40">
        <v>27067.96</v>
      </c>
      <c r="Q930" s="40">
        <f t="shared" si="85"/>
        <v>1000</v>
      </c>
      <c r="R930" s="40">
        <f t="shared" si="85"/>
        <v>27067.96</v>
      </c>
      <c r="S930" s="40">
        <f>ROUND('Смета ЕР (общ) '!$N930*'Смета ЕР (общ) '!$Q930,2)</f>
        <v>0</v>
      </c>
      <c r="T930" s="40">
        <f>ROUND('Смета ЕР (общ) '!$N930*'Смета ЕР (общ) '!$R930,2)</f>
        <v>0</v>
      </c>
    </row>
    <row r="931" spans="1:20" ht="14.4" x14ac:dyDescent="0.3">
      <c r="A931" s="36" t="s">
        <v>964</v>
      </c>
      <c r="B931" s="36">
        <v>1</v>
      </c>
      <c r="C931" s="36"/>
      <c r="D931" s="36">
        <f t="shared" si="87"/>
        <v>42</v>
      </c>
      <c r="E931" s="36" t="str">
        <f>CONCATENATE('Смета ЕР (общ) '!$A931,".",'Смета ЕР (общ) '!$B931,".",'Смета ЕР (общ) '!$D931)</f>
        <v>Р7.1.42</v>
      </c>
      <c r="F931" s="36">
        <f t="shared" si="86"/>
        <v>1</v>
      </c>
      <c r="G931" s="36"/>
      <c r="H931" s="36"/>
      <c r="I931" s="36"/>
      <c r="J931" s="36"/>
      <c r="K931" s="36"/>
      <c r="L931" s="53" t="s">
        <v>1010</v>
      </c>
      <c r="M931" s="38" t="s">
        <v>118</v>
      </c>
      <c r="N931" s="39"/>
      <c r="O931" s="40">
        <v>1000</v>
      </c>
      <c r="P931" s="40">
        <v>31390.600000000002</v>
      </c>
      <c r="Q931" s="40">
        <f t="shared" si="85"/>
        <v>1000</v>
      </c>
      <c r="R931" s="40">
        <f t="shared" si="85"/>
        <v>31390.6</v>
      </c>
      <c r="S931" s="40">
        <f>ROUND('Смета ЕР (общ) '!$N931*'Смета ЕР (общ) '!$Q931,2)</f>
        <v>0</v>
      </c>
      <c r="T931" s="40">
        <f>ROUND('Смета ЕР (общ) '!$N931*'Смета ЕР (общ) '!$R931,2)</f>
        <v>0</v>
      </c>
    </row>
    <row r="932" spans="1:20" ht="14.4" x14ac:dyDescent="0.3">
      <c r="A932" s="36" t="s">
        <v>964</v>
      </c>
      <c r="B932" s="36">
        <v>1</v>
      </c>
      <c r="C932" s="36"/>
      <c r="D932" s="36">
        <f t="shared" si="87"/>
        <v>43</v>
      </c>
      <c r="E932" s="36" t="str">
        <f>CONCATENATE('Смета ЕР (общ) '!$A932,".",'Смета ЕР (общ) '!$B932,".",'Смета ЕР (общ) '!$D932)</f>
        <v>Р7.1.43</v>
      </c>
      <c r="F932" s="36">
        <f t="shared" si="86"/>
        <v>1</v>
      </c>
      <c r="G932" s="36"/>
      <c r="H932" s="36"/>
      <c r="I932" s="36"/>
      <c r="J932" s="36"/>
      <c r="K932" s="36"/>
      <c r="L932" s="53" t="s">
        <v>1011</v>
      </c>
      <c r="M932" s="38" t="s">
        <v>118</v>
      </c>
      <c r="N932" s="39"/>
      <c r="O932" s="40">
        <v>1000</v>
      </c>
      <c r="P932" s="40">
        <v>19657.72</v>
      </c>
      <c r="Q932" s="40">
        <f t="shared" si="85"/>
        <v>1000</v>
      </c>
      <c r="R932" s="40">
        <f t="shared" si="85"/>
        <v>19657.72</v>
      </c>
      <c r="S932" s="40">
        <f>ROUND('Смета ЕР (общ) '!$N932*'Смета ЕР (общ) '!$Q932,2)</f>
        <v>0</v>
      </c>
      <c r="T932" s="40">
        <f>ROUND('Смета ЕР (общ) '!$N932*'Смета ЕР (общ) '!$R932,2)</f>
        <v>0</v>
      </c>
    </row>
    <row r="933" spans="1:20" ht="14.4" x14ac:dyDescent="0.3">
      <c r="A933" s="36" t="s">
        <v>964</v>
      </c>
      <c r="B933" s="36">
        <v>1</v>
      </c>
      <c r="C933" s="36"/>
      <c r="D933" s="36">
        <f t="shared" si="87"/>
        <v>44</v>
      </c>
      <c r="E933" s="36" t="str">
        <f>CONCATENATE('Смета ЕР (общ) '!$A933,".",'Смета ЕР (общ) '!$B933,".",'Смета ЕР (общ) '!$D933)</f>
        <v>Р7.1.44</v>
      </c>
      <c r="F933" s="36">
        <f t="shared" si="86"/>
        <v>1</v>
      </c>
      <c r="G933" s="36"/>
      <c r="H933" s="36"/>
      <c r="I933" s="36"/>
      <c r="J933" s="36"/>
      <c r="K933" s="36"/>
      <c r="L933" s="53" t="s">
        <v>1012</v>
      </c>
      <c r="M933" s="38" t="s">
        <v>118</v>
      </c>
      <c r="N933" s="39"/>
      <c r="O933" s="40">
        <v>1000</v>
      </c>
      <c r="P933" s="40">
        <v>36022</v>
      </c>
      <c r="Q933" s="40">
        <f t="shared" si="85"/>
        <v>1000</v>
      </c>
      <c r="R933" s="40">
        <f t="shared" si="85"/>
        <v>36022</v>
      </c>
      <c r="S933" s="40">
        <f>ROUND('Смета ЕР (общ) '!$N933*'Смета ЕР (общ) '!$Q933,2)</f>
        <v>0</v>
      </c>
      <c r="T933" s="40">
        <f>ROUND('Смета ЕР (общ) '!$N933*'Смета ЕР (общ) '!$R933,2)</f>
        <v>0</v>
      </c>
    </row>
    <row r="934" spans="1:20" ht="14.4" x14ac:dyDescent="0.3">
      <c r="A934" s="36" t="s">
        <v>964</v>
      </c>
      <c r="B934" s="36">
        <v>1</v>
      </c>
      <c r="C934" s="36"/>
      <c r="D934" s="36">
        <f t="shared" si="87"/>
        <v>45</v>
      </c>
      <c r="E934" s="36" t="str">
        <f>CONCATENATE('Смета ЕР (общ) '!$A934,".",'Смета ЕР (общ) '!$B934,".",'Смета ЕР (общ) '!$D934)</f>
        <v>Р7.1.45</v>
      </c>
      <c r="F934" s="36">
        <f t="shared" si="86"/>
        <v>1</v>
      </c>
      <c r="G934" s="36"/>
      <c r="H934" s="36"/>
      <c r="I934" s="36"/>
      <c r="J934" s="36"/>
      <c r="K934" s="36"/>
      <c r="L934" s="53" t="s">
        <v>1013</v>
      </c>
      <c r="M934" s="38" t="s">
        <v>118</v>
      </c>
      <c r="N934" s="39"/>
      <c r="O934" s="40">
        <v>1000</v>
      </c>
      <c r="P934" s="40">
        <v>19657.72</v>
      </c>
      <c r="Q934" s="40">
        <f t="shared" si="85"/>
        <v>1000</v>
      </c>
      <c r="R934" s="40">
        <f t="shared" si="85"/>
        <v>19657.72</v>
      </c>
      <c r="S934" s="40">
        <f>ROUND('Смета ЕР (общ) '!$N934*'Смета ЕР (общ) '!$Q934,2)</f>
        <v>0</v>
      </c>
      <c r="T934" s="40">
        <f>ROUND('Смета ЕР (общ) '!$N934*'Смета ЕР (общ) '!$R934,2)</f>
        <v>0</v>
      </c>
    </row>
    <row r="935" spans="1:20" ht="14.4" x14ac:dyDescent="0.3">
      <c r="A935" s="36" t="s">
        <v>964</v>
      </c>
      <c r="B935" s="36">
        <v>1</v>
      </c>
      <c r="C935" s="36"/>
      <c r="D935" s="36">
        <f t="shared" si="87"/>
        <v>46</v>
      </c>
      <c r="E935" s="36" t="str">
        <f>CONCATENATE('Смета ЕР (общ) '!$A935,".",'Смета ЕР (общ) '!$B935,".",'Смета ЕР (общ) '!$D935)</f>
        <v>Р7.1.46</v>
      </c>
      <c r="F935" s="36">
        <f t="shared" si="86"/>
        <v>1</v>
      </c>
      <c r="G935" s="36"/>
      <c r="H935" s="36"/>
      <c r="I935" s="36"/>
      <c r="J935" s="36"/>
      <c r="K935" s="36"/>
      <c r="L935" s="53" t="s">
        <v>1014</v>
      </c>
      <c r="M935" s="38" t="s">
        <v>118</v>
      </c>
      <c r="N935" s="39"/>
      <c r="O935" s="40">
        <v>1000</v>
      </c>
      <c r="P935" s="40">
        <v>44873.120000000003</v>
      </c>
      <c r="Q935" s="40">
        <f t="shared" si="85"/>
        <v>1000</v>
      </c>
      <c r="R935" s="40">
        <f t="shared" si="85"/>
        <v>44873.120000000003</v>
      </c>
      <c r="S935" s="40">
        <f>ROUND('Смета ЕР (общ) '!$N935*'Смета ЕР (общ) '!$Q935,2)</f>
        <v>0</v>
      </c>
      <c r="T935" s="40">
        <f>ROUND('Смета ЕР (общ) '!$N935*'Смета ЕР (общ) '!$R935,2)</f>
        <v>0</v>
      </c>
    </row>
    <row r="936" spans="1:20" ht="14.4" x14ac:dyDescent="0.3">
      <c r="A936" s="36" t="s">
        <v>964</v>
      </c>
      <c r="B936" s="36">
        <v>1</v>
      </c>
      <c r="C936" s="36"/>
      <c r="D936" s="36">
        <f t="shared" si="87"/>
        <v>47</v>
      </c>
      <c r="E936" s="36" t="str">
        <f>CONCATENATE('Смета ЕР (общ) '!$A936,".",'Смета ЕР (общ) '!$B936,".",'Смета ЕР (общ) '!$D936)</f>
        <v>Р7.1.47</v>
      </c>
      <c r="F936" s="36">
        <f t="shared" si="86"/>
        <v>1</v>
      </c>
      <c r="G936" s="36"/>
      <c r="H936" s="36"/>
      <c r="I936" s="36"/>
      <c r="J936" s="36"/>
      <c r="K936" s="36"/>
      <c r="L936" s="53" t="s">
        <v>1015</v>
      </c>
      <c r="M936" s="38" t="s">
        <v>118</v>
      </c>
      <c r="N936" s="39"/>
      <c r="O936" s="40">
        <v>1000</v>
      </c>
      <c r="P936" s="40">
        <v>28508.84</v>
      </c>
      <c r="Q936" s="40">
        <f t="shared" si="85"/>
        <v>1000</v>
      </c>
      <c r="R936" s="40">
        <f t="shared" si="85"/>
        <v>28508.84</v>
      </c>
      <c r="S936" s="40">
        <f>ROUND('Смета ЕР (общ) '!$N936*'Смета ЕР (общ) '!$Q936,2)</f>
        <v>0</v>
      </c>
      <c r="T936" s="40">
        <f>ROUND('Смета ЕР (общ) '!$N936*'Смета ЕР (общ) '!$R936,2)</f>
        <v>0</v>
      </c>
    </row>
    <row r="937" spans="1:20" ht="14.4" x14ac:dyDescent="0.3">
      <c r="A937" s="36" t="s">
        <v>964</v>
      </c>
      <c r="B937" s="36">
        <v>1</v>
      </c>
      <c r="C937" s="36"/>
      <c r="D937" s="36">
        <f t="shared" si="87"/>
        <v>48</v>
      </c>
      <c r="E937" s="36" t="str">
        <f>CONCATENATE('Смета ЕР (общ) '!$A937,".",'Смета ЕР (общ) '!$B937,".",'Смета ЕР (общ) '!$D937)</f>
        <v>Р7.1.48</v>
      </c>
      <c r="F937" s="36">
        <f t="shared" si="86"/>
        <v>1</v>
      </c>
      <c r="G937" s="36"/>
      <c r="H937" s="36"/>
      <c r="I937" s="36"/>
      <c r="J937" s="36"/>
      <c r="K937" s="36"/>
      <c r="L937" s="53" t="s">
        <v>1016</v>
      </c>
      <c r="M937" s="38" t="s">
        <v>118</v>
      </c>
      <c r="N937" s="39"/>
      <c r="O937" s="40">
        <v>1000</v>
      </c>
      <c r="P937" s="40">
        <v>3148</v>
      </c>
      <c r="Q937" s="40">
        <f t="shared" si="85"/>
        <v>1000</v>
      </c>
      <c r="R937" s="40">
        <f t="shared" si="85"/>
        <v>3148</v>
      </c>
      <c r="S937" s="40">
        <f>ROUND('Смета ЕР (общ) '!$N937*'Смета ЕР (общ) '!$Q937,2)</f>
        <v>0</v>
      </c>
      <c r="T937" s="40">
        <f>ROUND('Смета ЕР (общ) '!$N937*'Смета ЕР (общ) '!$R937,2)</f>
        <v>0</v>
      </c>
    </row>
    <row r="938" spans="1:20" ht="14.4" x14ac:dyDescent="0.3">
      <c r="A938" s="36" t="s">
        <v>964</v>
      </c>
      <c r="B938" s="36">
        <v>1</v>
      </c>
      <c r="C938" s="36"/>
      <c r="D938" s="36">
        <f t="shared" si="87"/>
        <v>49</v>
      </c>
      <c r="E938" s="36" t="str">
        <f>CONCATENATE('Смета ЕР (общ) '!$A938,".",'Смета ЕР (общ) '!$B938,".",'Смета ЕР (общ) '!$D938)</f>
        <v>Р7.1.49</v>
      </c>
      <c r="F938" s="36">
        <f t="shared" si="86"/>
        <v>1</v>
      </c>
      <c r="G938" s="36"/>
      <c r="H938" s="36"/>
      <c r="I938" s="36"/>
      <c r="J938" s="36"/>
      <c r="K938" s="36"/>
      <c r="L938" s="53" t="s">
        <v>1017</v>
      </c>
      <c r="M938" s="38" t="s">
        <v>118</v>
      </c>
      <c r="N938" s="39"/>
      <c r="O938" s="40">
        <v>1000</v>
      </c>
      <c r="P938" s="40">
        <v>5156</v>
      </c>
      <c r="Q938" s="40">
        <f t="shared" si="85"/>
        <v>1000</v>
      </c>
      <c r="R938" s="40">
        <f t="shared" si="85"/>
        <v>5156</v>
      </c>
      <c r="S938" s="40">
        <f>ROUND('Смета ЕР (общ) '!$N938*'Смета ЕР (общ) '!$Q938,2)</f>
        <v>0</v>
      </c>
      <c r="T938" s="40">
        <f>ROUND('Смета ЕР (общ) '!$N938*'Смета ЕР (общ) '!$R938,2)</f>
        <v>0</v>
      </c>
    </row>
    <row r="939" spans="1:20" ht="14.4" x14ac:dyDescent="0.3">
      <c r="A939" s="36" t="s">
        <v>964</v>
      </c>
      <c r="B939" s="36">
        <v>1</v>
      </c>
      <c r="C939" s="36"/>
      <c r="D939" s="36">
        <f t="shared" si="87"/>
        <v>50</v>
      </c>
      <c r="E939" s="36" t="str">
        <f>CONCATENATE('Смета ЕР (общ) '!$A939,".",'Смета ЕР (общ) '!$B939,".",'Смета ЕР (общ) '!$D939)</f>
        <v>Р7.1.50</v>
      </c>
      <c r="F939" s="36">
        <f t="shared" si="86"/>
        <v>1</v>
      </c>
      <c r="G939" s="36"/>
      <c r="H939" s="36"/>
      <c r="I939" s="36"/>
      <c r="J939" s="36"/>
      <c r="K939" s="36"/>
      <c r="L939" s="53" t="s">
        <v>1018</v>
      </c>
      <c r="M939" s="38" t="s">
        <v>118</v>
      </c>
      <c r="N939" s="39"/>
      <c r="O939" s="40">
        <v>1000</v>
      </c>
      <c r="P939" s="40">
        <v>2659</v>
      </c>
      <c r="Q939" s="40">
        <f t="shared" si="85"/>
        <v>1000</v>
      </c>
      <c r="R939" s="40">
        <f t="shared" si="85"/>
        <v>2659</v>
      </c>
      <c r="S939" s="40">
        <f>ROUND('Смета ЕР (общ) '!$N939*'Смета ЕР (общ) '!$Q939,2)</f>
        <v>0</v>
      </c>
      <c r="T939" s="40">
        <f>ROUND('Смета ЕР (общ) '!$N939*'Смета ЕР (общ) '!$R939,2)</f>
        <v>0</v>
      </c>
    </row>
    <row r="940" spans="1:20" ht="14.4" x14ac:dyDescent="0.3">
      <c r="A940" s="36" t="s">
        <v>964</v>
      </c>
      <c r="B940" s="36">
        <v>1</v>
      </c>
      <c r="C940" s="36"/>
      <c r="D940" s="36">
        <f t="shared" si="87"/>
        <v>51</v>
      </c>
      <c r="E940" s="36" t="str">
        <f>CONCATENATE('Смета ЕР (общ) '!$A940,".",'Смета ЕР (общ) '!$B940,".",'Смета ЕР (общ) '!$D940)</f>
        <v>Р7.1.51</v>
      </c>
      <c r="F940" s="36">
        <f t="shared" si="86"/>
        <v>1</v>
      </c>
      <c r="G940" s="36"/>
      <c r="H940" s="36"/>
      <c r="I940" s="36"/>
      <c r="J940" s="36"/>
      <c r="K940" s="36"/>
      <c r="L940" s="53" t="s">
        <v>1019</v>
      </c>
      <c r="M940" s="38" t="s">
        <v>118</v>
      </c>
      <c r="N940" s="39"/>
      <c r="O940" s="40">
        <v>1000</v>
      </c>
      <c r="P940" s="40">
        <v>2735</v>
      </c>
      <c r="Q940" s="40">
        <f t="shared" si="85"/>
        <v>1000</v>
      </c>
      <c r="R940" s="40">
        <f t="shared" si="85"/>
        <v>2735</v>
      </c>
      <c r="S940" s="40">
        <f>ROUND('Смета ЕР (общ) '!$N940*'Смета ЕР (общ) '!$Q940,2)</f>
        <v>0</v>
      </c>
      <c r="T940" s="40">
        <f>ROUND('Смета ЕР (общ) '!$N940*'Смета ЕР (общ) '!$R940,2)</f>
        <v>0</v>
      </c>
    </row>
    <row r="941" spans="1:20" ht="14.4" x14ac:dyDescent="0.3">
      <c r="A941" s="36" t="s">
        <v>964</v>
      </c>
      <c r="B941" s="36">
        <v>1</v>
      </c>
      <c r="C941" s="36"/>
      <c r="D941" s="36">
        <f t="shared" si="87"/>
        <v>52</v>
      </c>
      <c r="E941" s="36" t="str">
        <f>CONCATENATE('Смета ЕР (общ) '!$A941,".",'Смета ЕР (общ) '!$B941,".",'Смета ЕР (общ) '!$D941)</f>
        <v>Р7.1.52</v>
      </c>
      <c r="F941" s="36">
        <f t="shared" si="86"/>
        <v>1</v>
      </c>
      <c r="G941" s="36"/>
      <c r="H941" s="36"/>
      <c r="I941" s="36"/>
      <c r="J941" s="36"/>
      <c r="K941" s="36"/>
      <c r="L941" s="53" t="s">
        <v>1020</v>
      </c>
      <c r="M941" s="38" t="s">
        <v>118</v>
      </c>
      <c r="N941" s="39"/>
      <c r="O941" s="40">
        <v>1000</v>
      </c>
      <c r="P941" s="40">
        <v>8226</v>
      </c>
      <c r="Q941" s="40">
        <f t="shared" si="85"/>
        <v>1000</v>
      </c>
      <c r="R941" s="40">
        <f t="shared" si="85"/>
        <v>8226</v>
      </c>
      <c r="S941" s="40">
        <f>ROUND('Смета ЕР (общ) '!$N941*'Смета ЕР (общ) '!$Q941,2)</f>
        <v>0</v>
      </c>
      <c r="T941" s="40">
        <f>ROUND('Смета ЕР (общ) '!$N941*'Смета ЕР (общ) '!$R941,2)</f>
        <v>0</v>
      </c>
    </row>
    <row r="942" spans="1:20" ht="14.4" x14ac:dyDescent="0.3">
      <c r="A942" s="36" t="s">
        <v>964</v>
      </c>
      <c r="B942" s="36">
        <v>1</v>
      </c>
      <c r="C942" s="36"/>
      <c r="D942" s="36">
        <f t="shared" si="87"/>
        <v>53</v>
      </c>
      <c r="E942" s="36" t="str">
        <f>CONCATENATE('Смета ЕР (общ) '!$A942,".",'Смета ЕР (общ) '!$B942,".",'Смета ЕР (общ) '!$D942)</f>
        <v>Р7.1.53</v>
      </c>
      <c r="F942" s="36">
        <f t="shared" si="86"/>
        <v>1</v>
      </c>
      <c r="G942" s="36"/>
      <c r="H942" s="36"/>
      <c r="I942" s="36"/>
      <c r="J942" s="36"/>
      <c r="K942" s="36"/>
      <c r="L942" s="53" t="s">
        <v>1021</v>
      </c>
      <c r="M942" s="38" t="s">
        <v>118</v>
      </c>
      <c r="N942" s="39"/>
      <c r="O942" s="40">
        <v>1000</v>
      </c>
      <c r="P942" s="40">
        <v>3301.4</v>
      </c>
      <c r="Q942" s="40">
        <f t="shared" si="85"/>
        <v>1000</v>
      </c>
      <c r="R942" s="40">
        <f t="shared" si="85"/>
        <v>3301.4</v>
      </c>
      <c r="S942" s="40">
        <f>ROUND('Смета ЕР (общ) '!$N942*'Смета ЕР (общ) '!$Q942,2)</f>
        <v>0</v>
      </c>
      <c r="T942" s="40">
        <f>ROUND('Смета ЕР (общ) '!$N942*'Смета ЕР (общ) '!$R942,2)</f>
        <v>0</v>
      </c>
    </row>
    <row r="943" spans="1:20" ht="14.4" x14ac:dyDescent="0.3">
      <c r="A943" s="36" t="s">
        <v>964</v>
      </c>
      <c r="B943" s="36">
        <v>1</v>
      </c>
      <c r="C943" s="36"/>
      <c r="D943" s="36">
        <f t="shared" si="87"/>
        <v>54</v>
      </c>
      <c r="E943" s="36" t="str">
        <f>CONCATENATE('Смета ЕР (общ) '!$A943,".",'Смета ЕР (общ) '!$B943,".",'Смета ЕР (общ) '!$D943)</f>
        <v>Р7.1.54</v>
      </c>
      <c r="F943" s="36">
        <f t="shared" si="86"/>
        <v>1</v>
      </c>
      <c r="G943" s="36"/>
      <c r="H943" s="36"/>
      <c r="I943" s="36"/>
      <c r="J943" s="36"/>
      <c r="K943" s="36"/>
      <c r="L943" s="53" t="s">
        <v>1022</v>
      </c>
      <c r="M943" s="38" t="s">
        <v>118</v>
      </c>
      <c r="N943" s="39"/>
      <c r="O943" s="40">
        <v>1000</v>
      </c>
      <c r="P943" s="40">
        <v>3707</v>
      </c>
      <c r="Q943" s="40">
        <f t="shared" si="85"/>
        <v>1000</v>
      </c>
      <c r="R943" s="40">
        <f t="shared" si="85"/>
        <v>3707</v>
      </c>
      <c r="S943" s="40">
        <f>ROUND('Смета ЕР (общ) '!$N943*'Смета ЕР (общ) '!$Q943,2)</f>
        <v>0</v>
      </c>
      <c r="T943" s="40">
        <f>ROUND('Смета ЕР (общ) '!$N943*'Смета ЕР (общ) '!$R943,2)</f>
        <v>0</v>
      </c>
    </row>
    <row r="944" spans="1:20" ht="14.4" x14ac:dyDescent="0.3">
      <c r="A944" s="36" t="s">
        <v>964</v>
      </c>
      <c r="B944" s="36">
        <v>1</v>
      </c>
      <c r="C944" s="36"/>
      <c r="D944" s="36">
        <f t="shared" si="87"/>
        <v>55</v>
      </c>
      <c r="E944" s="36" t="str">
        <f>CONCATENATE('Смета ЕР (общ) '!$A944,".",'Смета ЕР (общ) '!$B944,".",'Смета ЕР (общ) '!$D944)</f>
        <v>Р7.1.55</v>
      </c>
      <c r="F944" s="36">
        <f t="shared" si="86"/>
        <v>1</v>
      </c>
      <c r="G944" s="36"/>
      <c r="H944" s="36"/>
      <c r="I944" s="36"/>
      <c r="J944" s="36"/>
      <c r="K944" s="36"/>
      <c r="L944" s="53" t="s">
        <v>1023</v>
      </c>
      <c r="M944" s="38" t="s">
        <v>118</v>
      </c>
      <c r="N944" s="39"/>
      <c r="O944" s="40">
        <v>1000</v>
      </c>
      <c r="P944" s="40">
        <v>4100</v>
      </c>
      <c r="Q944" s="40">
        <f t="shared" si="85"/>
        <v>1000</v>
      </c>
      <c r="R944" s="40">
        <f t="shared" si="85"/>
        <v>4100</v>
      </c>
      <c r="S944" s="40">
        <f>ROUND('Смета ЕР (общ) '!$N944*'Смета ЕР (общ) '!$Q944,2)</f>
        <v>0</v>
      </c>
      <c r="T944" s="40">
        <f>ROUND('Смета ЕР (общ) '!$N944*'Смета ЕР (общ) '!$R944,2)</f>
        <v>0</v>
      </c>
    </row>
    <row r="945" spans="1:20" ht="14.4" x14ac:dyDescent="0.3">
      <c r="A945" s="36" t="s">
        <v>964</v>
      </c>
      <c r="B945" s="36">
        <v>1</v>
      </c>
      <c r="C945" s="36"/>
      <c r="D945" s="36">
        <f t="shared" si="87"/>
        <v>56</v>
      </c>
      <c r="E945" s="36" t="str">
        <f>CONCATENATE('Смета ЕР (общ) '!$A945,".",'Смета ЕР (общ) '!$B945,".",'Смета ЕР (общ) '!$D945)</f>
        <v>Р7.1.56</v>
      </c>
      <c r="F945" s="36">
        <f t="shared" si="86"/>
        <v>1</v>
      </c>
      <c r="G945" s="36"/>
      <c r="H945" s="36"/>
      <c r="I945" s="36"/>
      <c r="J945" s="36"/>
      <c r="K945" s="36"/>
      <c r="L945" s="53" t="s">
        <v>1024</v>
      </c>
      <c r="M945" s="38" t="s">
        <v>118</v>
      </c>
      <c r="N945" s="39"/>
      <c r="O945" s="40">
        <v>1000</v>
      </c>
      <c r="P945" s="40">
        <v>3607.03</v>
      </c>
      <c r="Q945" s="40">
        <f t="shared" si="85"/>
        <v>1000</v>
      </c>
      <c r="R945" s="40">
        <f t="shared" si="85"/>
        <v>3607.03</v>
      </c>
      <c r="S945" s="40">
        <f>ROUND('Смета ЕР (общ) '!$N945*'Смета ЕР (общ) '!$Q945,2)</f>
        <v>0</v>
      </c>
      <c r="T945" s="40">
        <f>ROUND('Смета ЕР (общ) '!$N945*'Смета ЕР (общ) '!$R945,2)</f>
        <v>0</v>
      </c>
    </row>
    <row r="946" spans="1:20" ht="14.4" x14ac:dyDescent="0.3">
      <c r="A946" s="36" t="s">
        <v>964</v>
      </c>
      <c r="B946" s="36">
        <v>1</v>
      </c>
      <c r="C946" s="36"/>
      <c r="D946" s="36">
        <f t="shared" si="87"/>
        <v>57</v>
      </c>
      <c r="E946" s="36" t="str">
        <f>CONCATENATE('Смета ЕР (общ) '!$A946,".",'Смета ЕР (общ) '!$B946,".",'Смета ЕР (общ) '!$D946)</f>
        <v>Р7.1.57</v>
      </c>
      <c r="F946" s="36">
        <f t="shared" si="86"/>
        <v>1</v>
      </c>
      <c r="G946" s="36"/>
      <c r="H946" s="36"/>
      <c r="I946" s="36"/>
      <c r="J946" s="36"/>
      <c r="K946" s="36"/>
      <c r="L946" s="53" t="s">
        <v>1025</v>
      </c>
      <c r="M946" s="38" t="s">
        <v>118</v>
      </c>
      <c r="N946" s="39"/>
      <c r="O946" s="40">
        <v>1000</v>
      </c>
      <c r="P946" s="40">
        <v>3695.62</v>
      </c>
      <c r="Q946" s="40">
        <f t="shared" si="85"/>
        <v>1000</v>
      </c>
      <c r="R946" s="40">
        <f t="shared" si="85"/>
        <v>3695.62</v>
      </c>
      <c r="S946" s="40">
        <f>ROUND('Смета ЕР (общ) '!$N946*'Смета ЕР (общ) '!$Q946,2)</f>
        <v>0</v>
      </c>
      <c r="T946" s="40">
        <f>ROUND('Смета ЕР (общ) '!$N946*'Смета ЕР (общ) '!$R946,2)</f>
        <v>0</v>
      </c>
    </row>
    <row r="947" spans="1:20" ht="14.4" x14ac:dyDescent="0.3">
      <c r="A947" s="36" t="s">
        <v>964</v>
      </c>
      <c r="B947" s="36">
        <v>1</v>
      </c>
      <c r="C947" s="36"/>
      <c r="D947" s="36">
        <f t="shared" si="87"/>
        <v>58</v>
      </c>
      <c r="E947" s="36" t="str">
        <f>CONCATENATE('Смета ЕР (общ) '!$A947,".",'Смета ЕР (общ) '!$B947,".",'Смета ЕР (общ) '!$D947)</f>
        <v>Р7.1.58</v>
      </c>
      <c r="F947" s="36">
        <f t="shared" si="86"/>
        <v>1</v>
      </c>
      <c r="G947" s="36"/>
      <c r="H947" s="36"/>
      <c r="I947" s="36"/>
      <c r="J947" s="36"/>
      <c r="K947" s="36"/>
      <c r="L947" s="53" t="s">
        <v>1026</v>
      </c>
      <c r="M947" s="38" t="s">
        <v>118</v>
      </c>
      <c r="N947" s="39"/>
      <c r="O947" s="40">
        <v>1000</v>
      </c>
      <c r="P947" s="40">
        <v>3948.13</v>
      </c>
      <c r="Q947" s="40">
        <f t="shared" ref="Q947:R978" si="88">ROUND(O947-O947*$V$3,2)</f>
        <v>1000</v>
      </c>
      <c r="R947" s="40">
        <f t="shared" si="88"/>
        <v>3948.13</v>
      </c>
      <c r="S947" s="40">
        <f>ROUND('Смета ЕР (общ) '!$N947*'Смета ЕР (общ) '!$Q947,2)</f>
        <v>0</v>
      </c>
      <c r="T947" s="40">
        <f>ROUND('Смета ЕР (общ) '!$N947*'Смета ЕР (общ) '!$R947,2)</f>
        <v>0</v>
      </c>
    </row>
    <row r="948" spans="1:20" ht="14.4" x14ac:dyDescent="0.3">
      <c r="A948" s="36" t="s">
        <v>964</v>
      </c>
      <c r="B948" s="36">
        <v>1</v>
      </c>
      <c r="C948" s="36"/>
      <c r="D948" s="36">
        <f t="shared" si="87"/>
        <v>59</v>
      </c>
      <c r="E948" s="36" t="str">
        <f>CONCATENATE('Смета ЕР (общ) '!$A948,".",'Смета ЕР (общ) '!$B948,".",'Смета ЕР (общ) '!$D948)</f>
        <v>Р7.1.59</v>
      </c>
      <c r="F948" s="36">
        <f t="shared" si="86"/>
        <v>1</v>
      </c>
      <c r="G948" s="36"/>
      <c r="H948" s="36"/>
      <c r="I948" s="36"/>
      <c r="J948" s="36"/>
      <c r="K948" s="36"/>
      <c r="L948" s="53" t="s">
        <v>1027</v>
      </c>
      <c r="M948" s="38" t="s">
        <v>118</v>
      </c>
      <c r="N948" s="39"/>
      <c r="O948" s="40">
        <v>1000</v>
      </c>
      <c r="P948" s="40">
        <v>4474.09</v>
      </c>
      <c r="Q948" s="40">
        <f t="shared" si="88"/>
        <v>1000</v>
      </c>
      <c r="R948" s="40">
        <f t="shared" si="88"/>
        <v>4474.09</v>
      </c>
      <c r="S948" s="40">
        <f>ROUND('Смета ЕР (общ) '!$N948*'Смета ЕР (общ) '!$Q948,2)</f>
        <v>0</v>
      </c>
      <c r="T948" s="40">
        <f>ROUND('Смета ЕР (общ) '!$N948*'Смета ЕР (общ) '!$R948,2)</f>
        <v>0</v>
      </c>
    </row>
    <row r="949" spans="1:20" ht="14.4" x14ac:dyDescent="0.3">
      <c r="A949" s="36" t="s">
        <v>964</v>
      </c>
      <c r="B949" s="36">
        <v>1</v>
      </c>
      <c r="C949" s="36"/>
      <c r="D949" s="36">
        <f t="shared" si="87"/>
        <v>60</v>
      </c>
      <c r="E949" s="36" t="str">
        <f>CONCATENATE('Смета ЕР (общ) '!$A949,".",'Смета ЕР (общ) '!$B949,".",'Смета ЕР (общ) '!$D949)</f>
        <v>Р7.1.60</v>
      </c>
      <c r="F949" s="36">
        <f t="shared" si="86"/>
        <v>1</v>
      </c>
      <c r="G949" s="36"/>
      <c r="H949" s="36"/>
      <c r="I949" s="36"/>
      <c r="J949" s="36"/>
      <c r="K949" s="36"/>
      <c r="L949" s="53" t="s">
        <v>1028</v>
      </c>
      <c r="M949" s="38" t="s">
        <v>118</v>
      </c>
      <c r="N949" s="39"/>
      <c r="O949" s="40">
        <v>1000</v>
      </c>
      <c r="P949" s="40">
        <v>4979.46</v>
      </c>
      <c r="Q949" s="40">
        <f t="shared" si="88"/>
        <v>1000</v>
      </c>
      <c r="R949" s="40">
        <f t="shared" si="88"/>
        <v>4979.46</v>
      </c>
      <c r="S949" s="40">
        <f>ROUND('Смета ЕР (общ) '!$N949*'Смета ЕР (общ) '!$Q949,2)</f>
        <v>0</v>
      </c>
      <c r="T949" s="40">
        <f>ROUND('Смета ЕР (общ) '!$N949*'Смета ЕР (общ) '!$R949,2)</f>
        <v>0</v>
      </c>
    </row>
    <row r="950" spans="1:20" ht="14.4" x14ac:dyDescent="0.3">
      <c r="A950" s="36" t="s">
        <v>964</v>
      </c>
      <c r="B950" s="36">
        <v>1</v>
      </c>
      <c r="C950" s="36"/>
      <c r="D950" s="36">
        <f t="shared" si="87"/>
        <v>61</v>
      </c>
      <c r="E950" s="36" t="str">
        <f>CONCATENATE('Смета ЕР (общ) '!$A950,".",'Смета ЕР (общ) '!$B950,".",'Смета ЕР (общ) '!$D950)</f>
        <v>Р7.1.61</v>
      </c>
      <c r="F950" s="36">
        <f t="shared" si="86"/>
        <v>1</v>
      </c>
      <c r="G950" s="36"/>
      <c r="H950" s="36"/>
      <c r="I950" s="36"/>
      <c r="J950" s="36"/>
      <c r="K950" s="36"/>
      <c r="L950" s="53" t="s">
        <v>1029</v>
      </c>
      <c r="M950" s="38" t="s">
        <v>118</v>
      </c>
      <c r="N950" s="39"/>
      <c r="O950" s="40">
        <v>1000</v>
      </c>
      <c r="P950" s="40">
        <v>5400.3</v>
      </c>
      <c r="Q950" s="40">
        <f t="shared" si="88"/>
        <v>1000</v>
      </c>
      <c r="R950" s="40">
        <f t="shared" si="88"/>
        <v>5400.3</v>
      </c>
      <c r="S950" s="40">
        <f>ROUND('Смета ЕР (общ) '!$N950*'Смета ЕР (общ) '!$Q950,2)</f>
        <v>0</v>
      </c>
      <c r="T950" s="40">
        <f>ROUND('Смета ЕР (общ) '!$N950*'Смета ЕР (общ) '!$R950,2)</f>
        <v>0</v>
      </c>
    </row>
    <row r="951" spans="1:20" ht="14.4" x14ac:dyDescent="0.3">
      <c r="A951" s="36" t="s">
        <v>964</v>
      </c>
      <c r="B951" s="36">
        <v>1</v>
      </c>
      <c r="C951" s="36"/>
      <c r="D951" s="36">
        <f t="shared" si="87"/>
        <v>62</v>
      </c>
      <c r="E951" s="36" t="str">
        <f>CONCATENATE('Смета ЕР (общ) '!$A951,".",'Смета ЕР (общ) '!$B951,".",'Смета ЕР (общ) '!$D951)</f>
        <v>Р7.1.62</v>
      </c>
      <c r="F951" s="36">
        <f t="shared" si="86"/>
        <v>1</v>
      </c>
      <c r="G951" s="36"/>
      <c r="H951" s="36"/>
      <c r="I951" s="36"/>
      <c r="J951" s="36"/>
      <c r="K951" s="36"/>
      <c r="L951" s="53" t="s">
        <v>1030</v>
      </c>
      <c r="M951" s="38" t="s">
        <v>118</v>
      </c>
      <c r="N951" s="39"/>
      <c r="O951" s="40">
        <v>1000</v>
      </c>
      <c r="P951" s="40">
        <v>8241.1200000000008</v>
      </c>
      <c r="Q951" s="40">
        <f t="shared" si="88"/>
        <v>1000</v>
      </c>
      <c r="R951" s="40">
        <f t="shared" si="88"/>
        <v>8241.1200000000008</v>
      </c>
      <c r="S951" s="40">
        <f>ROUND('Смета ЕР (общ) '!$N951*'Смета ЕР (общ) '!$Q951,2)</f>
        <v>0</v>
      </c>
      <c r="T951" s="40">
        <f>ROUND('Смета ЕР (общ) '!$N951*'Смета ЕР (общ) '!$R951,2)</f>
        <v>0</v>
      </c>
    </row>
    <row r="952" spans="1:20" ht="14.4" x14ac:dyDescent="0.3">
      <c r="A952" s="36" t="s">
        <v>964</v>
      </c>
      <c r="B952" s="36">
        <v>1</v>
      </c>
      <c r="C952" s="36"/>
      <c r="D952" s="36">
        <f t="shared" si="87"/>
        <v>63</v>
      </c>
      <c r="E952" s="36" t="str">
        <f>CONCATENATE('Смета ЕР (общ) '!$A952,".",'Смета ЕР (общ) '!$B952,".",'Смета ЕР (общ) '!$D952)</f>
        <v>Р7.1.63</v>
      </c>
      <c r="F952" s="36">
        <f t="shared" si="86"/>
        <v>1</v>
      </c>
      <c r="G952" s="36"/>
      <c r="H952" s="36"/>
      <c r="I952" s="36"/>
      <c r="J952" s="36"/>
      <c r="K952" s="36"/>
      <c r="L952" s="53" t="s">
        <v>1031</v>
      </c>
      <c r="M952" s="38" t="s">
        <v>118</v>
      </c>
      <c r="N952" s="39"/>
      <c r="O952" s="40">
        <v>1000</v>
      </c>
      <c r="P952" s="40">
        <v>11375.71</v>
      </c>
      <c r="Q952" s="40">
        <f t="shared" si="88"/>
        <v>1000</v>
      </c>
      <c r="R952" s="40">
        <f t="shared" si="88"/>
        <v>11375.71</v>
      </c>
      <c r="S952" s="40">
        <f>ROUND('Смета ЕР (общ) '!$N952*'Смета ЕР (общ) '!$Q952,2)</f>
        <v>0</v>
      </c>
      <c r="T952" s="40">
        <f>ROUND('Смета ЕР (общ) '!$N952*'Смета ЕР (общ) '!$R952,2)</f>
        <v>0</v>
      </c>
    </row>
    <row r="953" spans="1:20" ht="14.4" x14ac:dyDescent="0.3">
      <c r="A953" s="36" t="s">
        <v>964</v>
      </c>
      <c r="B953" s="36">
        <v>1</v>
      </c>
      <c r="C953" s="36"/>
      <c r="D953" s="36">
        <f t="shared" si="87"/>
        <v>64</v>
      </c>
      <c r="E953" s="36" t="str">
        <f>CONCATENATE('Смета ЕР (общ) '!$A953,".",'Смета ЕР (общ) '!$B953,".",'Смета ЕР (общ) '!$D953)</f>
        <v>Р7.1.64</v>
      </c>
      <c r="F953" s="36">
        <f t="shared" si="86"/>
        <v>1</v>
      </c>
      <c r="G953" s="36"/>
      <c r="H953" s="36"/>
      <c r="I953" s="36"/>
      <c r="J953" s="36"/>
      <c r="K953" s="36"/>
      <c r="L953" s="53" t="s">
        <v>1032</v>
      </c>
      <c r="M953" s="38" t="s">
        <v>118</v>
      </c>
      <c r="N953" s="39"/>
      <c r="O953" s="40">
        <v>1000</v>
      </c>
      <c r="P953" s="40">
        <v>8433.07</v>
      </c>
      <c r="Q953" s="40">
        <f t="shared" si="88"/>
        <v>1000</v>
      </c>
      <c r="R953" s="40">
        <f t="shared" si="88"/>
        <v>8433.07</v>
      </c>
      <c r="S953" s="40">
        <f>ROUND('Смета ЕР (общ) '!$N953*'Смета ЕР (общ) '!$Q953,2)</f>
        <v>0</v>
      </c>
      <c r="T953" s="40">
        <f>ROUND('Смета ЕР (общ) '!$N953*'Смета ЕР (общ) '!$R953,2)</f>
        <v>0</v>
      </c>
    </row>
    <row r="954" spans="1:20" ht="14.4" x14ac:dyDescent="0.3">
      <c r="A954" s="36" t="s">
        <v>964</v>
      </c>
      <c r="B954" s="36">
        <v>1</v>
      </c>
      <c r="C954" s="36"/>
      <c r="D954" s="36">
        <f t="shared" si="87"/>
        <v>65</v>
      </c>
      <c r="E954" s="36" t="str">
        <f>CONCATENATE('Смета ЕР (общ) '!$A954,".",'Смета ЕР (общ) '!$B954,".",'Смета ЕР (общ) '!$D954)</f>
        <v>Р7.1.65</v>
      </c>
      <c r="F954" s="36">
        <f t="shared" si="86"/>
        <v>1</v>
      </c>
      <c r="G954" s="36"/>
      <c r="H954" s="36"/>
      <c r="I954" s="36"/>
      <c r="J954" s="36"/>
      <c r="K954" s="36"/>
      <c r="L954" s="53" t="s">
        <v>1033</v>
      </c>
      <c r="M954" s="38" t="s">
        <v>118</v>
      </c>
      <c r="N954" s="39"/>
      <c r="O954" s="40">
        <v>1000</v>
      </c>
      <c r="P954" s="40">
        <v>10617.11</v>
      </c>
      <c r="Q954" s="40">
        <f t="shared" si="88"/>
        <v>1000</v>
      </c>
      <c r="R954" s="40">
        <f t="shared" si="88"/>
        <v>10617.11</v>
      </c>
      <c r="S954" s="40">
        <f>ROUND('Смета ЕР (общ) '!$N954*'Смета ЕР (общ) '!$Q954,2)</f>
        <v>0</v>
      </c>
      <c r="T954" s="40">
        <f>ROUND('Смета ЕР (общ) '!$N954*'Смета ЕР (общ) '!$R954,2)</f>
        <v>0</v>
      </c>
    </row>
    <row r="955" spans="1:20" ht="14.4" x14ac:dyDescent="0.3">
      <c r="A955" s="36" t="s">
        <v>964</v>
      </c>
      <c r="B955" s="36">
        <v>1</v>
      </c>
      <c r="C955" s="36"/>
      <c r="D955" s="36">
        <f t="shared" si="87"/>
        <v>66</v>
      </c>
      <c r="E955" s="36" t="str">
        <f>CONCATENATE('Смета ЕР (общ) '!$A955,".",'Смета ЕР (общ) '!$B955,".",'Смета ЕР (общ) '!$D955)</f>
        <v>Р7.1.66</v>
      </c>
      <c r="F955" s="36">
        <f t="shared" si="86"/>
        <v>1</v>
      </c>
      <c r="G955" s="36"/>
      <c r="H955" s="36"/>
      <c r="I955" s="36"/>
      <c r="J955" s="36"/>
      <c r="K955" s="36"/>
      <c r="L955" s="53" t="s">
        <v>1034</v>
      </c>
      <c r="M955" s="38" t="s">
        <v>118</v>
      </c>
      <c r="N955" s="39"/>
      <c r="O955" s="40">
        <v>1000</v>
      </c>
      <c r="P955" s="40">
        <v>25101.3</v>
      </c>
      <c r="Q955" s="40">
        <f t="shared" si="88"/>
        <v>1000</v>
      </c>
      <c r="R955" s="40">
        <f t="shared" si="88"/>
        <v>25101.3</v>
      </c>
      <c r="S955" s="40">
        <f>ROUND('Смета ЕР (общ) '!$N955*'Смета ЕР (общ) '!$Q955,2)</f>
        <v>0</v>
      </c>
      <c r="T955" s="40">
        <f>ROUND('Смета ЕР (общ) '!$N955*'Смета ЕР (общ) '!$R955,2)</f>
        <v>0</v>
      </c>
    </row>
    <row r="956" spans="1:20" ht="14.4" x14ac:dyDescent="0.3">
      <c r="A956" s="36" t="s">
        <v>964</v>
      </c>
      <c r="B956" s="36">
        <v>1</v>
      </c>
      <c r="C956" s="36"/>
      <c r="D956" s="36">
        <f t="shared" si="87"/>
        <v>67</v>
      </c>
      <c r="E956" s="36" t="str">
        <f>CONCATENATE('Смета ЕР (общ) '!$A956,".",'Смета ЕР (общ) '!$B956,".",'Смета ЕР (общ) '!$D956)</f>
        <v>Р7.1.67</v>
      </c>
      <c r="F956" s="36">
        <f t="shared" si="86"/>
        <v>1</v>
      </c>
      <c r="G956" s="36"/>
      <c r="H956" s="36"/>
      <c r="I956" s="36"/>
      <c r="J956" s="36"/>
      <c r="K956" s="36"/>
      <c r="L956" s="53" t="s">
        <v>1035</v>
      </c>
      <c r="M956" s="38" t="s">
        <v>118</v>
      </c>
      <c r="N956" s="39"/>
      <c r="O956" s="40">
        <v>1000</v>
      </c>
      <c r="P956" s="40">
        <v>14512.72</v>
      </c>
      <c r="Q956" s="40">
        <f t="shared" si="88"/>
        <v>1000</v>
      </c>
      <c r="R956" s="40">
        <f t="shared" si="88"/>
        <v>14512.72</v>
      </c>
      <c r="S956" s="40">
        <f>ROUND('Смета ЕР (общ) '!$N956*'Смета ЕР (общ) '!$Q956,2)</f>
        <v>0</v>
      </c>
      <c r="T956" s="40">
        <f>ROUND('Смета ЕР (общ) '!$N956*'Смета ЕР (общ) '!$R956,2)</f>
        <v>0</v>
      </c>
    </row>
    <row r="957" spans="1:20" ht="14.4" x14ac:dyDescent="0.3">
      <c r="A957" s="36" t="s">
        <v>964</v>
      </c>
      <c r="B957" s="36">
        <v>1</v>
      </c>
      <c r="C957" s="36"/>
      <c r="D957" s="36">
        <f t="shared" si="87"/>
        <v>68</v>
      </c>
      <c r="E957" s="36" t="str">
        <f>CONCATENATE('Смета ЕР (общ) '!$A957,".",'Смета ЕР (общ) '!$B957,".",'Смета ЕР (общ) '!$D957)</f>
        <v>Р7.1.68</v>
      </c>
      <c r="F957" s="36">
        <f t="shared" si="86"/>
        <v>1</v>
      </c>
      <c r="G957" s="36"/>
      <c r="H957" s="36"/>
      <c r="I957" s="36"/>
      <c r="J957" s="36"/>
      <c r="K957" s="36"/>
      <c r="L957" s="53" t="s">
        <v>1036</v>
      </c>
      <c r="M957" s="38" t="s">
        <v>118</v>
      </c>
      <c r="N957" s="39"/>
      <c r="O957" s="40">
        <v>1000</v>
      </c>
      <c r="P957" s="40">
        <v>29877.5</v>
      </c>
      <c r="Q957" s="40">
        <f t="shared" si="88"/>
        <v>1000</v>
      </c>
      <c r="R957" s="40">
        <f t="shared" si="88"/>
        <v>29877.5</v>
      </c>
      <c r="S957" s="40">
        <f>ROUND('Смета ЕР (общ) '!$N957*'Смета ЕР (общ) '!$Q957,2)</f>
        <v>0</v>
      </c>
      <c r="T957" s="40">
        <f>ROUND('Смета ЕР (общ) '!$N957*'Смета ЕР (общ) '!$R957,2)</f>
        <v>0</v>
      </c>
    </row>
    <row r="958" spans="1:20" ht="14.4" x14ac:dyDescent="0.3">
      <c r="A958" s="36" t="s">
        <v>964</v>
      </c>
      <c r="B958" s="36">
        <v>1</v>
      </c>
      <c r="C958" s="36"/>
      <c r="D958" s="36">
        <f t="shared" si="87"/>
        <v>69</v>
      </c>
      <c r="E958" s="36" t="str">
        <f>CONCATENATE('Смета ЕР (общ) '!$A958,".",'Смета ЕР (общ) '!$B958,".",'Смета ЕР (общ) '!$D958)</f>
        <v>Р7.1.69</v>
      </c>
      <c r="F958" s="36">
        <f t="shared" si="86"/>
        <v>1</v>
      </c>
      <c r="G958" s="36"/>
      <c r="H958" s="36"/>
      <c r="I958" s="36"/>
      <c r="J958" s="36"/>
      <c r="K958" s="36"/>
      <c r="L958" s="53" t="s">
        <v>1037</v>
      </c>
      <c r="M958" s="38" t="s">
        <v>118</v>
      </c>
      <c r="N958" s="39"/>
      <c r="O958" s="40">
        <v>1000</v>
      </c>
      <c r="P958" s="40">
        <v>30713.3</v>
      </c>
      <c r="Q958" s="40">
        <f t="shared" si="88"/>
        <v>1000</v>
      </c>
      <c r="R958" s="40">
        <f t="shared" si="88"/>
        <v>30713.3</v>
      </c>
      <c r="S958" s="40">
        <f>ROUND('Смета ЕР (общ) '!$N958*'Смета ЕР (общ) '!$Q958,2)</f>
        <v>0</v>
      </c>
      <c r="T958" s="40">
        <f>ROUND('Смета ЕР (общ) '!$N958*'Смета ЕР (общ) '!$R958,2)</f>
        <v>0</v>
      </c>
    </row>
    <row r="959" spans="1:20" ht="14.4" x14ac:dyDescent="0.3">
      <c r="A959" s="36" t="s">
        <v>964</v>
      </c>
      <c r="B959" s="36">
        <v>1</v>
      </c>
      <c r="C959" s="36"/>
      <c r="D959" s="36">
        <f t="shared" si="87"/>
        <v>70</v>
      </c>
      <c r="E959" s="36" t="str">
        <f>CONCATENATE('Смета ЕР (общ) '!$A959,".",'Смета ЕР (общ) '!$B959,".",'Смета ЕР (общ) '!$D959)</f>
        <v>Р7.1.70</v>
      </c>
      <c r="F959" s="36">
        <f t="shared" si="86"/>
        <v>1</v>
      </c>
      <c r="G959" s="36"/>
      <c r="H959" s="36"/>
      <c r="I959" s="36"/>
      <c r="J959" s="36"/>
      <c r="K959" s="36"/>
      <c r="L959" s="53" t="s">
        <v>1038</v>
      </c>
      <c r="M959" s="38" t="s">
        <v>118</v>
      </c>
      <c r="N959" s="39"/>
      <c r="O959" s="40">
        <v>1000</v>
      </c>
      <c r="P959" s="40">
        <v>33598.68</v>
      </c>
      <c r="Q959" s="40">
        <f t="shared" si="88"/>
        <v>1000</v>
      </c>
      <c r="R959" s="40">
        <f t="shared" si="88"/>
        <v>33598.68</v>
      </c>
      <c r="S959" s="40">
        <f>ROUND('Смета ЕР (общ) '!$N959*'Смета ЕР (общ) '!$Q959,2)</f>
        <v>0</v>
      </c>
      <c r="T959" s="40">
        <f>ROUND('Смета ЕР (общ) '!$N959*'Смета ЕР (общ) '!$R959,2)</f>
        <v>0</v>
      </c>
    </row>
    <row r="960" spans="1:20" ht="14.4" x14ac:dyDescent="0.3">
      <c r="A960" s="36" t="s">
        <v>964</v>
      </c>
      <c r="B960" s="36">
        <v>1</v>
      </c>
      <c r="C960" s="36"/>
      <c r="D960" s="36">
        <f t="shared" si="87"/>
        <v>71</v>
      </c>
      <c r="E960" s="36" t="str">
        <f>CONCATENATE('Смета ЕР (общ) '!$A960,".",'Смета ЕР (общ) '!$B960,".",'Смета ЕР (общ) '!$D960)</f>
        <v>Р7.1.71</v>
      </c>
      <c r="F960" s="36">
        <f t="shared" si="86"/>
        <v>1</v>
      </c>
      <c r="G960" s="36"/>
      <c r="H960" s="36"/>
      <c r="I960" s="36"/>
      <c r="J960" s="36"/>
      <c r="K960" s="36"/>
      <c r="L960" s="53" t="s">
        <v>1039</v>
      </c>
      <c r="M960" s="38" t="s">
        <v>118</v>
      </c>
      <c r="N960" s="39"/>
      <c r="O960" s="40">
        <v>1000</v>
      </c>
      <c r="P960" s="40">
        <v>34434.480000000003</v>
      </c>
      <c r="Q960" s="40">
        <f t="shared" si="88"/>
        <v>1000</v>
      </c>
      <c r="R960" s="40">
        <f t="shared" si="88"/>
        <v>34434.480000000003</v>
      </c>
      <c r="S960" s="40">
        <f>ROUND('Смета ЕР (общ) '!$N960*'Смета ЕР (общ) '!$Q960,2)</f>
        <v>0</v>
      </c>
      <c r="T960" s="40">
        <f>ROUND('Смета ЕР (общ) '!$N960*'Смета ЕР (общ) '!$R960,2)</f>
        <v>0</v>
      </c>
    </row>
    <row r="961" spans="1:20" ht="14.4" x14ac:dyDescent="0.3">
      <c r="A961" s="36" t="s">
        <v>964</v>
      </c>
      <c r="B961" s="36">
        <v>1</v>
      </c>
      <c r="C961" s="36"/>
      <c r="D961" s="36">
        <f t="shared" si="87"/>
        <v>72</v>
      </c>
      <c r="E961" s="36" t="str">
        <f>CONCATENATE('Смета ЕР (общ) '!$A961,".",'Смета ЕР (общ) '!$B961,".",'Смета ЕР (общ) '!$D961)</f>
        <v>Р7.1.72</v>
      </c>
      <c r="F961" s="36">
        <f t="shared" si="86"/>
        <v>1</v>
      </c>
      <c r="G961" s="36"/>
      <c r="H961" s="36"/>
      <c r="I961" s="36"/>
      <c r="J961" s="36"/>
      <c r="K961" s="36"/>
      <c r="L961" s="37" t="s">
        <v>1040</v>
      </c>
      <c r="M961" s="38" t="s">
        <v>118</v>
      </c>
      <c r="N961" s="39"/>
      <c r="O961" s="40">
        <v>1000</v>
      </c>
      <c r="P961" s="40">
        <v>23200</v>
      </c>
      <c r="Q961" s="40">
        <f t="shared" si="88"/>
        <v>1000</v>
      </c>
      <c r="R961" s="40">
        <f t="shared" si="88"/>
        <v>23200</v>
      </c>
      <c r="S961" s="40">
        <f>ROUND('Смета ЕР (общ) '!$N961*'Смета ЕР (общ) '!$Q961,2)</f>
        <v>0</v>
      </c>
      <c r="T961" s="40">
        <f>ROUND('Смета ЕР (общ) '!$N961*'Смета ЕР (общ) '!$R961,2)</f>
        <v>0</v>
      </c>
    </row>
    <row r="962" spans="1:20" ht="14.4" x14ac:dyDescent="0.3">
      <c r="A962" s="36" t="s">
        <v>964</v>
      </c>
      <c r="B962" s="36">
        <v>1</v>
      </c>
      <c r="C962" s="36"/>
      <c r="D962" s="36">
        <f t="shared" si="87"/>
        <v>73</v>
      </c>
      <c r="E962" s="36" t="str">
        <f>CONCATENATE('Смета ЕР (общ) '!$A962,".",'Смета ЕР (общ) '!$B962,".",'Смета ЕР (общ) '!$D962)</f>
        <v>Р7.1.73</v>
      </c>
      <c r="F962" s="36">
        <f t="shared" si="86"/>
        <v>1</v>
      </c>
      <c r="G962" s="36"/>
      <c r="H962" s="36"/>
      <c r="I962" s="36"/>
      <c r="J962" s="36"/>
      <c r="K962" s="36"/>
      <c r="L962" s="37" t="s">
        <v>1041</v>
      </c>
      <c r="M962" s="38" t="s">
        <v>118</v>
      </c>
      <c r="N962" s="39"/>
      <c r="O962" s="40">
        <v>1000</v>
      </c>
      <c r="P962" s="40">
        <v>16800</v>
      </c>
      <c r="Q962" s="40">
        <f t="shared" si="88"/>
        <v>1000</v>
      </c>
      <c r="R962" s="40">
        <f t="shared" si="88"/>
        <v>16800</v>
      </c>
      <c r="S962" s="40">
        <f>ROUND('Смета ЕР (общ) '!$N962*'Смета ЕР (общ) '!$Q962,2)</f>
        <v>0</v>
      </c>
      <c r="T962" s="40">
        <f>ROUND('Смета ЕР (общ) '!$N962*'Смета ЕР (общ) '!$R962,2)</f>
        <v>0</v>
      </c>
    </row>
    <row r="963" spans="1:20" ht="14.4" x14ac:dyDescent="0.3">
      <c r="A963" s="36" t="s">
        <v>964</v>
      </c>
      <c r="B963" s="36">
        <v>1</v>
      </c>
      <c r="C963" s="36"/>
      <c r="D963" s="36">
        <f t="shared" si="87"/>
        <v>74</v>
      </c>
      <c r="E963" s="36" t="str">
        <f>CONCATENATE('Смета ЕР (общ) '!$A963,".",'Смета ЕР (общ) '!$B963,".",'Смета ЕР (общ) '!$D963)</f>
        <v>Р7.1.74</v>
      </c>
      <c r="F963" s="36">
        <f t="shared" si="86"/>
        <v>1</v>
      </c>
      <c r="G963" s="36"/>
      <c r="H963" s="36"/>
      <c r="I963" s="36"/>
      <c r="J963" s="36"/>
      <c r="K963" s="36"/>
      <c r="L963" s="37" t="s">
        <v>1042</v>
      </c>
      <c r="M963" s="38" t="s">
        <v>118</v>
      </c>
      <c r="N963" s="39"/>
      <c r="O963" s="40">
        <v>1000</v>
      </c>
      <c r="P963" s="40">
        <v>14440</v>
      </c>
      <c r="Q963" s="40">
        <f t="shared" si="88"/>
        <v>1000</v>
      </c>
      <c r="R963" s="40">
        <f t="shared" si="88"/>
        <v>14440</v>
      </c>
      <c r="S963" s="40">
        <f>ROUND('Смета ЕР (общ) '!$N963*'Смета ЕР (общ) '!$Q963,2)</f>
        <v>0</v>
      </c>
      <c r="T963" s="40">
        <f>ROUND('Смета ЕР (общ) '!$N963*'Смета ЕР (общ) '!$R963,2)</f>
        <v>0</v>
      </c>
    </row>
    <row r="964" spans="1:20" ht="14.4" x14ac:dyDescent="0.3">
      <c r="A964" s="36" t="s">
        <v>964</v>
      </c>
      <c r="B964" s="36">
        <v>1</v>
      </c>
      <c r="C964" s="36"/>
      <c r="D964" s="36">
        <f t="shared" si="87"/>
        <v>75</v>
      </c>
      <c r="E964" s="36" t="str">
        <f>CONCATENATE('Смета ЕР (общ) '!$A964,".",'Смета ЕР (общ) '!$B964,".",'Смета ЕР (общ) '!$D964)</f>
        <v>Р7.1.75</v>
      </c>
      <c r="F964" s="36">
        <f t="shared" si="86"/>
        <v>1</v>
      </c>
      <c r="G964" s="36"/>
      <c r="H964" s="36"/>
      <c r="I964" s="36"/>
      <c r="J964" s="36"/>
      <c r="K964" s="36"/>
      <c r="L964" s="37" t="s">
        <v>1043</v>
      </c>
      <c r="M964" s="38" t="s">
        <v>118</v>
      </c>
      <c r="N964" s="39"/>
      <c r="O964" s="40">
        <v>1000</v>
      </c>
      <c r="P964" s="40">
        <v>7500</v>
      </c>
      <c r="Q964" s="40">
        <f t="shared" si="88"/>
        <v>1000</v>
      </c>
      <c r="R964" s="40">
        <f t="shared" si="88"/>
        <v>7500</v>
      </c>
      <c r="S964" s="40">
        <f>ROUND('Смета ЕР (общ) '!$N964*'Смета ЕР (общ) '!$Q964,2)</f>
        <v>0</v>
      </c>
      <c r="T964" s="40">
        <f>ROUND('Смета ЕР (общ) '!$N964*'Смета ЕР (общ) '!$R964,2)</f>
        <v>0</v>
      </c>
    </row>
    <row r="965" spans="1:20" ht="14.4" x14ac:dyDescent="0.3">
      <c r="A965" s="36" t="s">
        <v>964</v>
      </c>
      <c r="B965" s="36">
        <v>1</v>
      </c>
      <c r="C965" s="36"/>
      <c r="D965" s="36">
        <f t="shared" si="87"/>
        <v>76</v>
      </c>
      <c r="E965" s="36" t="str">
        <f>CONCATENATE('Смета ЕР (общ) '!$A965,".",'Смета ЕР (общ) '!$B965,".",'Смета ЕР (общ) '!$D965)</f>
        <v>Р7.1.76</v>
      </c>
      <c r="F965" s="36">
        <f t="shared" si="86"/>
        <v>1</v>
      </c>
      <c r="G965" s="36"/>
      <c r="H965" s="36"/>
      <c r="I965" s="36"/>
      <c r="J965" s="36"/>
      <c r="K965" s="36"/>
      <c r="L965" s="37" t="s">
        <v>1044</v>
      </c>
      <c r="M965" s="38" t="s">
        <v>118</v>
      </c>
      <c r="N965" s="39"/>
      <c r="O965" s="40">
        <v>1000</v>
      </c>
      <c r="P965" s="40">
        <v>6500</v>
      </c>
      <c r="Q965" s="40">
        <f t="shared" si="88"/>
        <v>1000</v>
      </c>
      <c r="R965" s="40">
        <f t="shared" si="88"/>
        <v>6500</v>
      </c>
      <c r="S965" s="40">
        <f>ROUND('Смета ЕР (общ) '!$N965*'Смета ЕР (общ) '!$Q965,2)</f>
        <v>0</v>
      </c>
      <c r="T965" s="40">
        <f>ROUND('Смета ЕР (общ) '!$N965*'Смета ЕР (общ) '!$R965,2)</f>
        <v>0</v>
      </c>
    </row>
    <row r="966" spans="1:20" ht="14.4" x14ac:dyDescent="0.3">
      <c r="A966" s="36" t="s">
        <v>964</v>
      </c>
      <c r="B966" s="36">
        <v>1</v>
      </c>
      <c r="C966" s="36"/>
      <c r="D966" s="36">
        <f t="shared" si="87"/>
        <v>77</v>
      </c>
      <c r="E966" s="36" t="str">
        <f>CONCATENATE('Смета ЕР (общ) '!$A966,".",'Смета ЕР (общ) '!$B966,".",'Смета ЕР (общ) '!$D966)</f>
        <v>Р7.1.77</v>
      </c>
      <c r="F966" s="36">
        <f t="shared" si="86"/>
        <v>1</v>
      </c>
      <c r="G966" s="36"/>
      <c r="H966" s="36"/>
      <c r="I966" s="36"/>
      <c r="J966" s="36"/>
      <c r="K966" s="36"/>
      <c r="L966" s="37" t="s">
        <v>1045</v>
      </c>
      <c r="M966" s="38" t="s">
        <v>118</v>
      </c>
      <c r="N966" s="39"/>
      <c r="O966" s="40">
        <v>1000</v>
      </c>
      <c r="P966" s="40">
        <v>7550</v>
      </c>
      <c r="Q966" s="40">
        <f t="shared" si="88"/>
        <v>1000</v>
      </c>
      <c r="R966" s="40">
        <f t="shared" si="88"/>
        <v>7550</v>
      </c>
      <c r="S966" s="40">
        <f>ROUND('Смета ЕР (общ) '!$N966*'Смета ЕР (общ) '!$Q966,2)</f>
        <v>0</v>
      </c>
      <c r="T966" s="40">
        <f>ROUND('Смета ЕР (общ) '!$N966*'Смета ЕР (общ) '!$R966,2)</f>
        <v>0</v>
      </c>
    </row>
    <row r="967" spans="1:20" ht="14.4" x14ac:dyDescent="0.3">
      <c r="A967" s="36" t="s">
        <v>964</v>
      </c>
      <c r="B967" s="36">
        <v>1</v>
      </c>
      <c r="C967" s="36"/>
      <c r="D967" s="36">
        <f t="shared" si="87"/>
        <v>78</v>
      </c>
      <c r="E967" s="36" t="str">
        <f>CONCATENATE('Смета ЕР (общ) '!$A967,".",'Смета ЕР (общ) '!$B967,".",'Смета ЕР (общ) '!$D967)</f>
        <v>Р7.1.78</v>
      </c>
      <c r="F967" s="36">
        <f t="shared" si="86"/>
        <v>1</v>
      </c>
      <c r="G967" s="36"/>
      <c r="H967" s="36"/>
      <c r="I967" s="36"/>
      <c r="J967" s="36"/>
      <c r="K967" s="36"/>
      <c r="L967" s="37" t="s">
        <v>1046</v>
      </c>
      <c r="M967" s="38" t="s">
        <v>118</v>
      </c>
      <c r="N967" s="39"/>
      <c r="O967" s="40">
        <v>1000</v>
      </c>
      <c r="P967" s="40">
        <v>8400</v>
      </c>
      <c r="Q967" s="40">
        <f t="shared" si="88"/>
        <v>1000</v>
      </c>
      <c r="R967" s="40">
        <f t="shared" si="88"/>
        <v>8400</v>
      </c>
      <c r="S967" s="40">
        <f>ROUND('Смета ЕР (общ) '!$N967*'Смета ЕР (общ) '!$Q967,2)</f>
        <v>0</v>
      </c>
      <c r="T967" s="40">
        <f>ROUND('Смета ЕР (общ) '!$N967*'Смета ЕР (общ) '!$R967,2)</f>
        <v>0</v>
      </c>
    </row>
    <row r="968" spans="1:20" ht="14.4" x14ac:dyDescent="0.3">
      <c r="A968" s="36" t="s">
        <v>964</v>
      </c>
      <c r="B968" s="36">
        <v>1</v>
      </c>
      <c r="C968" s="36"/>
      <c r="D968" s="36">
        <f t="shared" si="87"/>
        <v>79</v>
      </c>
      <c r="E968" s="36" t="str">
        <f>CONCATENATE('Смета ЕР (общ) '!$A968,".",'Смета ЕР (общ) '!$B968,".",'Смета ЕР (общ) '!$D968)</f>
        <v>Р7.1.79</v>
      </c>
      <c r="F968" s="36">
        <f t="shared" si="86"/>
        <v>1</v>
      </c>
      <c r="G968" s="36"/>
      <c r="H968" s="36"/>
      <c r="I968" s="36"/>
      <c r="J968" s="36"/>
      <c r="K968" s="36"/>
      <c r="L968" s="53" t="s">
        <v>1047</v>
      </c>
      <c r="M968" s="38" t="s">
        <v>118</v>
      </c>
      <c r="N968" s="39"/>
      <c r="O968" s="40">
        <v>500</v>
      </c>
      <c r="P968" s="40">
        <v>1044.8599999999999</v>
      </c>
      <c r="Q968" s="40">
        <f t="shared" si="88"/>
        <v>500</v>
      </c>
      <c r="R968" s="40">
        <f t="shared" si="88"/>
        <v>1044.8599999999999</v>
      </c>
      <c r="S968" s="40">
        <f>ROUND('Смета ЕР (общ) '!$N968*'Смета ЕР (общ) '!$Q968,2)</f>
        <v>0</v>
      </c>
      <c r="T968" s="40">
        <f>ROUND('Смета ЕР (общ) '!$N968*'Смета ЕР (общ) '!$R968,2)</f>
        <v>0</v>
      </c>
    </row>
    <row r="969" spans="1:20" ht="14.4" x14ac:dyDescent="0.3">
      <c r="A969" s="36" t="s">
        <v>964</v>
      </c>
      <c r="B969" s="36">
        <v>1</v>
      </c>
      <c r="C969" s="36"/>
      <c r="D969" s="36">
        <f t="shared" si="87"/>
        <v>80</v>
      </c>
      <c r="E969" s="36" t="str">
        <f>CONCATENATE('Смета ЕР (общ) '!$A969,".",'Смета ЕР (общ) '!$B969,".",'Смета ЕР (общ) '!$D969)</f>
        <v>Р7.1.80</v>
      </c>
      <c r="F969" s="36">
        <f t="shared" si="86"/>
        <v>1</v>
      </c>
      <c r="G969" s="36"/>
      <c r="H969" s="36"/>
      <c r="I969" s="36"/>
      <c r="J969" s="36"/>
      <c r="K969" s="36"/>
      <c r="L969" s="37" t="s">
        <v>1048</v>
      </c>
      <c r="M969" s="38" t="s">
        <v>118</v>
      </c>
      <c r="N969" s="39"/>
      <c r="O969" s="40">
        <v>500</v>
      </c>
      <c r="P969" s="40">
        <v>1131.93</v>
      </c>
      <c r="Q969" s="40">
        <f t="shared" si="88"/>
        <v>500</v>
      </c>
      <c r="R969" s="40">
        <f t="shared" si="88"/>
        <v>1131.93</v>
      </c>
      <c r="S969" s="40">
        <f>ROUND('Смета ЕР (общ) '!$N969*'Смета ЕР (общ) '!$Q969,2)</f>
        <v>0</v>
      </c>
      <c r="T969" s="40">
        <f>ROUND('Смета ЕР (общ) '!$N969*'Смета ЕР (общ) '!$R969,2)</f>
        <v>0</v>
      </c>
    </row>
    <row r="970" spans="1:20" ht="14.4" x14ac:dyDescent="0.3">
      <c r="A970" s="36" t="s">
        <v>964</v>
      </c>
      <c r="B970" s="36">
        <v>1</v>
      </c>
      <c r="C970" s="36"/>
      <c r="D970" s="36">
        <f t="shared" si="87"/>
        <v>81</v>
      </c>
      <c r="E970" s="36" t="str">
        <f>CONCATENATE('Смета ЕР (общ) '!$A970,".",'Смета ЕР (общ) '!$B970,".",'Смета ЕР (общ) '!$D970)</f>
        <v>Р7.1.81</v>
      </c>
      <c r="F970" s="36">
        <f t="shared" si="86"/>
        <v>1</v>
      </c>
      <c r="G970" s="36"/>
      <c r="H970" s="36"/>
      <c r="I970" s="36"/>
      <c r="J970" s="36"/>
      <c r="K970" s="36"/>
      <c r="L970" s="37" t="s">
        <v>1049</v>
      </c>
      <c r="M970" s="38" t="s">
        <v>118</v>
      </c>
      <c r="N970" s="39"/>
      <c r="O970" s="40">
        <v>500</v>
      </c>
      <c r="P970" s="40">
        <v>1480.22</v>
      </c>
      <c r="Q970" s="40">
        <f t="shared" si="88"/>
        <v>500</v>
      </c>
      <c r="R970" s="40">
        <f t="shared" si="88"/>
        <v>1480.22</v>
      </c>
      <c r="S970" s="40">
        <f>ROUND('Смета ЕР (общ) '!$N970*'Смета ЕР (общ) '!$Q970,2)</f>
        <v>0</v>
      </c>
      <c r="T970" s="40">
        <f>ROUND('Смета ЕР (общ) '!$N970*'Смета ЕР (общ) '!$R970,2)</f>
        <v>0</v>
      </c>
    </row>
    <row r="971" spans="1:20" ht="14.4" x14ac:dyDescent="0.3">
      <c r="A971" s="36" t="s">
        <v>964</v>
      </c>
      <c r="B971" s="36">
        <v>1</v>
      </c>
      <c r="C971" s="36"/>
      <c r="D971" s="36">
        <f t="shared" si="87"/>
        <v>82</v>
      </c>
      <c r="E971" s="36" t="str">
        <f>CONCATENATE('Смета ЕР (общ) '!$A971,".",'Смета ЕР (общ) '!$B971,".",'Смета ЕР (общ) '!$D971)</f>
        <v>Р7.1.82</v>
      </c>
      <c r="F971" s="36">
        <f t="shared" si="86"/>
        <v>1</v>
      </c>
      <c r="G971" s="36"/>
      <c r="H971" s="36"/>
      <c r="I971" s="36"/>
      <c r="J971" s="36"/>
      <c r="K971" s="36"/>
      <c r="L971" s="37" t="s">
        <v>1050</v>
      </c>
      <c r="M971" s="38" t="s">
        <v>118</v>
      </c>
      <c r="N971" s="39"/>
      <c r="O971" s="40">
        <v>500</v>
      </c>
      <c r="P971" s="40">
        <v>2145</v>
      </c>
      <c r="Q971" s="40">
        <f t="shared" si="88"/>
        <v>500</v>
      </c>
      <c r="R971" s="40">
        <f t="shared" si="88"/>
        <v>2145</v>
      </c>
      <c r="S971" s="40">
        <f>ROUND('Смета ЕР (общ) '!$N971*'Смета ЕР (общ) '!$Q971,2)</f>
        <v>0</v>
      </c>
      <c r="T971" s="40">
        <f>ROUND('Смета ЕР (общ) '!$N971*'Смета ЕР (общ) '!$R971,2)</f>
        <v>0</v>
      </c>
    </row>
    <row r="972" spans="1:20" ht="14.4" x14ac:dyDescent="0.3">
      <c r="A972" s="36" t="s">
        <v>964</v>
      </c>
      <c r="B972" s="36">
        <v>1</v>
      </c>
      <c r="C972" s="36"/>
      <c r="D972" s="36">
        <f t="shared" si="87"/>
        <v>83</v>
      </c>
      <c r="E972" s="36" t="str">
        <f>CONCATENATE('Смета ЕР (общ) '!$A972,".",'Смета ЕР (общ) '!$B972,".",'Смета ЕР (общ) '!$D972)</f>
        <v>Р7.1.83</v>
      </c>
      <c r="F972" s="36">
        <f t="shared" si="86"/>
        <v>1</v>
      </c>
      <c r="G972" s="36"/>
      <c r="H972" s="36"/>
      <c r="I972" s="36"/>
      <c r="J972" s="36"/>
      <c r="K972" s="36"/>
      <c r="L972" s="37" t="s">
        <v>1051</v>
      </c>
      <c r="M972" s="38" t="s">
        <v>118</v>
      </c>
      <c r="N972" s="39"/>
      <c r="O972" s="40">
        <v>500</v>
      </c>
      <c r="P972" s="40">
        <v>2438</v>
      </c>
      <c r="Q972" s="40">
        <f t="shared" si="88"/>
        <v>500</v>
      </c>
      <c r="R972" s="40">
        <f t="shared" si="88"/>
        <v>2438</v>
      </c>
      <c r="S972" s="40">
        <f>ROUND('Смета ЕР (общ) '!$N972*'Смета ЕР (общ) '!$Q972,2)</f>
        <v>0</v>
      </c>
      <c r="T972" s="40">
        <f>ROUND('Смета ЕР (общ) '!$N972*'Смета ЕР (общ) '!$R972,2)</f>
        <v>0</v>
      </c>
    </row>
    <row r="973" spans="1:20" ht="14.4" x14ac:dyDescent="0.3">
      <c r="A973" s="36" t="s">
        <v>964</v>
      </c>
      <c r="B973" s="36">
        <v>1</v>
      </c>
      <c r="C973" s="36"/>
      <c r="D973" s="36">
        <f t="shared" si="87"/>
        <v>84</v>
      </c>
      <c r="E973" s="36" t="str">
        <f>CONCATENATE('Смета ЕР (общ) '!$A973,".",'Смета ЕР (общ) '!$B973,".",'Смета ЕР (общ) '!$D973)</f>
        <v>Р7.1.84</v>
      </c>
      <c r="F973" s="36">
        <f t="shared" si="86"/>
        <v>1</v>
      </c>
      <c r="G973" s="36"/>
      <c r="H973" s="36"/>
      <c r="I973" s="36"/>
      <c r="J973" s="36"/>
      <c r="K973" s="36"/>
      <c r="L973" s="37" t="s">
        <v>1052</v>
      </c>
      <c r="M973" s="38" t="s">
        <v>118</v>
      </c>
      <c r="N973" s="61"/>
      <c r="O973" s="62">
        <v>200</v>
      </c>
      <c r="P973" s="62">
        <v>932</v>
      </c>
      <c r="Q973" s="40">
        <f t="shared" si="88"/>
        <v>200</v>
      </c>
      <c r="R973" s="40">
        <f t="shared" si="88"/>
        <v>932</v>
      </c>
      <c r="S973" s="40">
        <f>ROUND('Смета ЕР (общ) '!$N973*'Смета ЕР (общ) '!$Q973,2)</f>
        <v>0</v>
      </c>
      <c r="T973" s="40">
        <f>ROUND('Смета ЕР (общ) '!$N973*'Смета ЕР (общ) '!$R973,2)</f>
        <v>0</v>
      </c>
    </row>
    <row r="974" spans="1:20" ht="14.4" x14ac:dyDescent="0.3">
      <c r="A974" s="36" t="s">
        <v>964</v>
      </c>
      <c r="B974" s="36">
        <v>1</v>
      </c>
      <c r="C974" s="36"/>
      <c r="D974" s="36">
        <f t="shared" si="87"/>
        <v>85</v>
      </c>
      <c r="E974" s="36" t="str">
        <f>CONCATENATE('Смета ЕР (общ) '!$A974,".",'Смета ЕР (общ) '!$B974,".",'Смета ЕР (общ) '!$D974)</f>
        <v>Р7.1.85</v>
      </c>
      <c r="F974" s="36">
        <f t="shared" si="86"/>
        <v>1</v>
      </c>
      <c r="G974" s="36"/>
      <c r="H974" s="36"/>
      <c r="I974" s="36"/>
      <c r="J974" s="36"/>
      <c r="K974" s="36"/>
      <c r="L974" s="37" t="s">
        <v>1053</v>
      </c>
      <c r="M974" s="38" t="s">
        <v>118</v>
      </c>
      <c r="N974" s="61"/>
      <c r="O974" s="62">
        <v>200</v>
      </c>
      <c r="P974" s="62">
        <v>1172</v>
      </c>
      <c r="Q974" s="40">
        <f t="shared" si="88"/>
        <v>200</v>
      </c>
      <c r="R974" s="40">
        <f t="shared" si="88"/>
        <v>1172</v>
      </c>
      <c r="S974" s="40">
        <f>ROUND('Смета ЕР (общ) '!$N974*'Смета ЕР (общ) '!$Q974,2)</f>
        <v>0</v>
      </c>
      <c r="T974" s="40">
        <f>ROUND('Смета ЕР (общ) '!$N974*'Смета ЕР (общ) '!$R974,2)</f>
        <v>0</v>
      </c>
    </row>
    <row r="975" spans="1:20" ht="24" x14ac:dyDescent="0.3">
      <c r="A975" s="36" t="s">
        <v>964</v>
      </c>
      <c r="B975" s="36">
        <v>1</v>
      </c>
      <c r="C975" s="36"/>
      <c r="D975" s="36">
        <f t="shared" si="87"/>
        <v>86</v>
      </c>
      <c r="E975" s="36" t="str">
        <f>CONCATENATE('Смета ЕР (общ) '!$A975,".",'Смета ЕР (общ) '!$B975,".",'Смета ЕР (общ) '!$D975)</f>
        <v>Р7.1.86</v>
      </c>
      <c r="F975" s="36">
        <f t="shared" si="86"/>
        <v>1</v>
      </c>
      <c r="G975" s="36"/>
      <c r="H975" s="36"/>
      <c r="I975" s="36"/>
      <c r="J975" s="36"/>
      <c r="K975" s="36"/>
      <c r="L975" s="37" t="s">
        <v>1054</v>
      </c>
      <c r="M975" s="38" t="s">
        <v>118</v>
      </c>
      <c r="N975" s="61"/>
      <c r="O975" s="62">
        <v>200</v>
      </c>
      <c r="P975" s="62">
        <v>1001</v>
      </c>
      <c r="Q975" s="40">
        <f t="shared" si="88"/>
        <v>200</v>
      </c>
      <c r="R975" s="40">
        <f t="shared" si="88"/>
        <v>1001</v>
      </c>
      <c r="S975" s="40">
        <f>ROUND('Смета ЕР (общ) '!$N975*'Смета ЕР (общ) '!$Q975,2)</f>
        <v>0</v>
      </c>
      <c r="T975" s="40">
        <f>ROUND('Смета ЕР (общ) '!$N975*'Смета ЕР (общ) '!$R975,2)</f>
        <v>0</v>
      </c>
    </row>
    <row r="976" spans="1:20" ht="24" x14ac:dyDescent="0.3">
      <c r="A976" s="36" t="s">
        <v>964</v>
      </c>
      <c r="B976" s="36">
        <v>1</v>
      </c>
      <c r="C976" s="36"/>
      <c r="D976" s="36">
        <f t="shared" si="87"/>
        <v>87</v>
      </c>
      <c r="E976" s="36" t="str">
        <f>CONCATENATE('Смета ЕР (общ) '!$A976,".",'Смета ЕР (общ) '!$B976,".",'Смета ЕР (общ) '!$D976)</f>
        <v>Р7.1.87</v>
      </c>
      <c r="F976" s="36">
        <f t="shared" si="86"/>
        <v>1</v>
      </c>
      <c r="G976" s="36"/>
      <c r="H976" s="36"/>
      <c r="I976" s="36"/>
      <c r="J976" s="36"/>
      <c r="K976" s="36"/>
      <c r="L976" s="37" t="s">
        <v>1055</v>
      </c>
      <c r="M976" s="38" t="s">
        <v>118</v>
      </c>
      <c r="N976" s="61"/>
      <c r="O976" s="62">
        <v>200</v>
      </c>
      <c r="P976" s="62">
        <v>1058</v>
      </c>
      <c r="Q976" s="40">
        <f t="shared" si="88"/>
        <v>200</v>
      </c>
      <c r="R976" s="40">
        <f t="shared" si="88"/>
        <v>1058</v>
      </c>
      <c r="S976" s="40">
        <f>ROUND('Смета ЕР (общ) '!$N976*'Смета ЕР (общ) '!$Q976,2)</f>
        <v>0</v>
      </c>
      <c r="T976" s="40">
        <f>ROUND('Смета ЕР (общ) '!$N976*'Смета ЕР (общ) '!$R976,2)</f>
        <v>0</v>
      </c>
    </row>
    <row r="977" spans="1:21" ht="24" x14ac:dyDescent="0.3">
      <c r="A977" s="36" t="s">
        <v>964</v>
      </c>
      <c r="B977" s="36">
        <v>1</v>
      </c>
      <c r="C977" s="36"/>
      <c r="D977" s="36">
        <f t="shared" si="87"/>
        <v>88</v>
      </c>
      <c r="E977" s="36" t="str">
        <f>CONCATENATE('Смета ЕР (общ) '!$A977,".",'Смета ЕР (общ) '!$B977,".",'Смета ЕР (общ) '!$D977)</f>
        <v>Р7.1.88</v>
      </c>
      <c r="F977" s="36">
        <f t="shared" ref="F977:F1040" si="89">IF(N977&gt;0,F976+1,F976)</f>
        <v>1</v>
      </c>
      <c r="G977" s="36"/>
      <c r="H977" s="36"/>
      <c r="I977" s="36"/>
      <c r="J977" s="36"/>
      <c r="K977" s="36"/>
      <c r="L977" s="37" t="s">
        <v>1056</v>
      </c>
      <c r="M977" s="38" t="s">
        <v>118</v>
      </c>
      <c r="N977" s="61"/>
      <c r="O977" s="62">
        <v>200</v>
      </c>
      <c r="P977" s="62">
        <v>1340</v>
      </c>
      <c r="Q977" s="40">
        <f t="shared" si="88"/>
        <v>200</v>
      </c>
      <c r="R977" s="40">
        <f t="shared" si="88"/>
        <v>1340</v>
      </c>
      <c r="S977" s="40">
        <f>ROUND('Смета ЕР (общ) '!$N977*'Смета ЕР (общ) '!$Q977,2)</f>
        <v>0</v>
      </c>
      <c r="T977" s="40">
        <f>ROUND('Смета ЕР (общ) '!$N977*'Смета ЕР (общ) '!$R977,2)</f>
        <v>0</v>
      </c>
    </row>
    <row r="978" spans="1:21" ht="24" x14ac:dyDescent="0.3">
      <c r="A978" s="36" t="s">
        <v>964</v>
      </c>
      <c r="B978" s="36">
        <v>1</v>
      </c>
      <c r="C978" s="36"/>
      <c r="D978" s="36">
        <f t="shared" si="87"/>
        <v>89</v>
      </c>
      <c r="E978" s="36" t="str">
        <f>CONCATENATE('Смета ЕР (общ) '!$A978,".",'Смета ЕР (общ) '!$B978,".",'Смета ЕР (общ) '!$D978)</f>
        <v>Р7.1.89</v>
      </c>
      <c r="F978" s="36">
        <f t="shared" si="89"/>
        <v>1</v>
      </c>
      <c r="G978" s="36"/>
      <c r="H978" s="36"/>
      <c r="I978" s="36"/>
      <c r="J978" s="36"/>
      <c r="K978" s="36"/>
      <c r="L978" s="37" t="s">
        <v>1057</v>
      </c>
      <c r="M978" s="38" t="s">
        <v>118</v>
      </c>
      <c r="N978" s="61"/>
      <c r="O978" s="62">
        <v>200</v>
      </c>
      <c r="P978" s="62">
        <v>2071</v>
      </c>
      <c r="Q978" s="40">
        <f t="shared" si="88"/>
        <v>200</v>
      </c>
      <c r="R978" s="40">
        <f t="shared" si="88"/>
        <v>2071</v>
      </c>
      <c r="S978" s="40">
        <f>ROUND('Смета ЕР (общ) '!$N978*'Смета ЕР (общ) '!$Q978,2)</f>
        <v>0</v>
      </c>
      <c r="T978" s="40">
        <f>ROUND('Смета ЕР (общ) '!$N978*'Смета ЕР (общ) '!$R978,2)</f>
        <v>0</v>
      </c>
    </row>
    <row r="979" spans="1:21" ht="24" x14ac:dyDescent="0.3">
      <c r="A979" s="36" t="s">
        <v>964</v>
      </c>
      <c r="B979" s="36">
        <v>1</v>
      </c>
      <c r="C979" s="36"/>
      <c r="D979" s="36">
        <f t="shared" si="87"/>
        <v>90</v>
      </c>
      <c r="E979" s="36" t="str">
        <f>CONCATENATE('Смета ЕР (общ) '!$A979,".",'Смета ЕР (общ) '!$B979,".",'Смета ЕР (общ) '!$D979)</f>
        <v>Р7.1.90</v>
      </c>
      <c r="F979" s="36">
        <f t="shared" si="89"/>
        <v>1</v>
      </c>
      <c r="G979" s="36"/>
      <c r="H979" s="36"/>
      <c r="I979" s="36"/>
      <c r="J979" s="36"/>
      <c r="K979" s="36"/>
      <c r="L979" s="37" t="s">
        <v>1058</v>
      </c>
      <c r="M979" s="38" t="s">
        <v>118</v>
      </c>
      <c r="N979" s="61"/>
      <c r="O979" s="62">
        <v>200</v>
      </c>
      <c r="P979" s="62">
        <v>2903</v>
      </c>
      <c r="Q979" s="40">
        <f t="shared" ref="Q979:R1000" si="90">ROUND(O979-O979*$V$3,2)</f>
        <v>200</v>
      </c>
      <c r="R979" s="40">
        <f t="shared" si="90"/>
        <v>2903</v>
      </c>
      <c r="S979" s="40">
        <f>ROUND('Смета ЕР (общ) '!$N979*'Смета ЕР (общ) '!$Q979,2)</f>
        <v>0</v>
      </c>
      <c r="T979" s="40">
        <f>ROUND('Смета ЕР (общ) '!$N979*'Смета ЕР (общ) '!$R979,2)</f>
        <v>0</v>
      </c>
    </row>
    <row r="980" spans="1:21" ht="24" x14ac:dyDescent="0.3">
      <c r="A980" s="36" t="s">
        <v>964</v>
      </c>
      <c r="B980" s="36">
        <v>1</v>
      </c>
      <c r="C980" s="36"/>
      <c r="D980" s="36">
        <f t="shared" si="87"/>
        <v>91</v>
      </c>
      <c r="E980" s="36" t="str">
        <f>CONCATENATE('Смета ЕР (общ) '!$A980,".",'Смета ЕР (общ) '!$B980,".",'Смета ЕР (общ) '!$D980)</f>
        <v>Р7.1.91</v>
      </c>
      <c r="F980" s="36">
        <f t="shared" si="89"/>
        <v>1</v>
      </c>
      <c r="G980" s="36"/>
      <c r="H980" s="36"/>
      <c r="I980" s="36"/>
      <c r="J980" s="36"/>
      <c r="K980" s="36"/>
      <c r="L980" s="37" t="s">
        <v>1059</v>
      </c>
      <c r="M980" s="38" t="s">
        <v>118</v>
      </c>
      <c r="N980" s="61"/>
      <c r="O980" s="62">
        <v>200</v>
      </c>
      <c r="P980" s="62">
        <v>5075</v>
      </c>
      <c r="Q980" s="40">
        <f t="shared" si="90"/>
        <v>200</v>
      </c>
      <c r="R980" s="40">
        <f t="shared" si="90"/>
        <v>5075</v>
      </c>
      <c r="S980" s="40">
        <f>ROUND('Смета ЕР (общ) '!$N980*'Смета ЕР (общ) '!$Q980,2)</f>
        <v>0</v>
      </c>
      <c r="T980" s="40">
        <f>ROUND('Смета ЕР (общ) '!$N980*'Смета ЕР (общ) '!$R980,2)</f>
        <v>0</v>
      </c>
    </row>
    <row r="981" spans="1:21" ht="24" x14ac:dyDescent="0.3">
      <c r="A981" s="36" t="s">
        <v>964</v>
      </c>
      <c r="B981" s="36">
        <v>1</v>
      </c>
      <c r="C981" s="36"/>
      <c r="D981" s="36">
        <f t="shared" si="87"/>
        <v>92</v>
      </c>
      <c r="E981" s="36" t="str">
        <f>CONCATENATE('Смета ЕР (общ) '!$A981,".",'Смета ЕР (общ) '!$B981,".",'Смета ЕР (общ) '!$D981)</f>
        <v>Р7.1.92</v>
      </c>
      <c r="F981" s="36">
        <f t="shared" si="89"/>
        <v>1</v>
      </c>
      <c r="G981" s="36"/>
      <c r="H981" s="36"/>
      <c r="I981" s="36"/>
      <c r="J981" s="36"/>
      <c r="K981" s="36"/>
      <c r="L981" s="37" t="s">
        <v>1060</v>
      </c>
      <c r="M981" s="38" t="s">
        <v>118</v>
      </c>
      <c r="N981" s="61"/>
      <c r="O981" s="62">
        <v>200</v>
      </c>
      <c r="P981" s="62">
        <v>5942</v>
      </c>
      <c r="Q981" s="40">
        <f t="shared" si="90"/>
        <v>200</v>
      </c>
      <c r="R981" s="40">
        <f t="shared" si="90"/>
        <v>5942</v>
      </c>
      <c r="S981" s="40">
        <f>ROUND('Смета ЕР (общ) '!$N981*'Смета ЕР (общ) '!$Q981,2)</f>
        <v>0</v>
      </c>
      <c r="T981" s="40">
        <f>ROUND('Смета ЕР (общ) '!$N981*'Смета ЕР (общ) '!$R981,2)</f>
        <v>0</v>
      </c>
    </row>
    <row r="982" spans="1:21" ht="24" x14ac:dyDescent="0.3">
      <c r="A982" s="36" t="s">
        <v>964</v>
      </c>
      <c r="B982" s="36">
        <v>1</v>
      </c>
      <c r="C982" s="36"/>
      <c r="D982" s="36">
        <f t="shared" si="87"/>
        <v>93</v>
      </c>
      <c r="E982" s="36" t="str">
        <f>CONCATENATE('Смета ЕР (общ) '!$A982,".",'Смета ЕР (общ) '!$B982,".",'Смета ЕР (общ) '!$D982)</f>
        <v>Р7.1.93</v>
      </c>
      <c r="F982" s="36">
        <f t="shared" si="89"/>
        <v>1</v>
      </c>
      <c r="G982" s="36"/>
      <c r="H982" s="36"/>
      <c r="I982" s="36"/>
      <c r="J982" s="36"/>
      <c r="K982" s="36"/>
      <c r="L982" s="37" t="s">
        <v>1061</v>
      </c>
      <c r="M982" s="38" t="s">
        <v>118</v>
      </c>
      <c r="N982" s="61"/>
      <c r="O982" s="62">
        <v>200</v>
      </c>
      <c r="P982" s="62">
        <v>7162</v>
      </c>
      <c r="Q982" s="40">
        <f t="shared" si="90"/>
        <v>200</v>
      </c>
      <c r="R982" s="40">
        <f t="shared" si="90"/>
        <v>7162</v>
      </c>
      <c r="S982" s="40">
        <f>ROUND('Смета ЕР (общ) '!$N982*'Смета ЕР (общ) '!$Q982,2)</f>
        <v>0</v>
      </c>
      <c r="T982" s="40">
        <f>ROUND('Смета ЕР (общ) '!$N982*'Смета ЕР (общ) '!$R982,2)</f>
        <v>0</v>
      </c>
    </row>
    <row r="983" spans="1:21" ht="24" x14ac:dyDescent="0.3">
      <c r="A983" s="36" t="s">
        <v>964</v>
      </c>
      <c r="B983" s="36">
        <v>1</v>
      </c>
      <c r="C983" s="36"/>
      <c r="D983" s="36">
        <f t="shared" si="87"/>
        <v>94</v>
      </c>
      <c r="E983" s="36" t="str">
        <f>CONCATENATE('Смета ЕР (общ) '!$A983,".",'Смета ЕР (общ) '!$B983,".",'Смета ЕР (общ) '!$D983)</f>
        <v>Р7.1.94</v>
      </c>
      <c r="F983" s="36">
        <f t="shared" si="89"/>
        <v>1</v>
      </c>
      <c r="G983" s="36"/>
      <c r="H983" s="36"/>
      <c r="I983" s="36"/>
      <c r="J983" s="36"/>
      <c r="K983" s="36"/>
      <c r="L983" s="37" t="s">
        <v>1062</v>
      </c>
      <c r="M983" s="38" t="s">
        <v>118</v>
      </c>
      <c r="N983" s="61"/>
      <c r="O983" s="62">
        <v>200</v>
      </c>
      <c r="P983" s="62">
        <v>7619</v>
      </c>
      <c r="Q983" s="40">
        <f t="shared" si="90"/>
        <v>200</v>
      </c>
      <c r="R983" s="40">
        <f t="shared" si="90"/>
        <v>7619</v>
      </c>
      <c r="S983" s="40">
        <f>ROUND('Смета ЕР (общ) '!$N983*'Смета ЕР (общ) '!$Q983,2)</f>
        <v>0</v>
      </c>
      <c r="T983" s="40">
        <f>ROUND('Смета ЕР (общ) '!$N983*'Смета ЕР (общ) '!$R983,2)</f>
        <v>0</v>
      </c>
    </row>
    <row r="984" spans="1:21" ht="24" x14ac:dyDescent="0.3">
      <c r="A984" s="36" t="s">
        <v>964</v>
      </c>
      <c r="B984" s="36">
        <v>1</v>
      </c>
      <c r="C984" s="36"/>
      <c r="D984" s="36">
        <f t="shared" si="87"/>
        <v>95</v>
      </c>
      <c r="E984" s="36" t="str">
        <f>CONCATENATE('Смета ЕР (общ) '!$A984,".",'Смета ЕР (общ) '!$B984,".",'Смета ЕР (общ) '!$D984)</f>
        <v>Р7.1.95</v>
      </c>
      <c r="F984" s="36">
        <f t="shared" si="89"/>
        <v>1</v>
      </c>
      <c r="G984" s="36"/>
      <c r="H984" s="36"/>
      <c r="I984" s="36"/>
      <c r="J984" s="36"/>
      <c r="K984" s="36"/>
      <c r="L984" s="37" t="s">
        <v>1063</v>
      </c>
      <c r="M984" s="38" t="s">
        <v>118</v>
      </c>
      <c r="N984" s="61"/>
      <c r="O984" s="62">
        <v>200</v>
      </c>
      <c r="P984" s="62">
        <v>10628</v>
      </c>
      <c r="Q984" s="40">
        <f t="shared" si="90"/>
        <v>200</v>
      </c>
      <c r="R984" s="40">
        <f t="shared" si="90"/>
        <v>10628</v>
      </c>
      <c r="S984" s="40">
        <f>ROUND('Смета ЕР (общ) '!$N984*'Смета ЕР (общ) '!$Q984,2)</f>
        <v>0</v>
      </c>
      <c r="T984" s="40">
        <f>ROUND('Смета ЕР (общ) '!$N984*'Смета ЕР (общ) '!$R984,2)</f>
        <v>0</v>
      </c>
    </row>
    <row r="985" spans="1:21" ht="14.4" x14ac:dyDescent="0.3">
      <c r="A985" s="36" t="s">
        <v>964</v>
      </c>
      <c r="B985" s="36">
        <v>1</v>
      </c>
      <c r="C985" s="36"/>
      <c r="D985" s="36">
        <f t="shared" si="87"/>
        <v>96</v>
      </c>
      <c r="E985" s="36" t="str">
        <f>CONCATENATE('Смета ЕР (общ) '!$A985,".",'Смета ЕР (общ) '!$B985,".",'Смета ЕР (общ) '!$D985)</f>
        <v>Р7.1.96</v>
      </c>
      <c r="F985" s="36">
        <f t="shared" si="89"/>
        <v>1</v>
      </c>
      <c r="G985" s="36"/>
      <c r="H985" s="36"/>
      <c r="I985" s="36"/>
      <c r="J985" s="36"/>
      <c r="K985" s="36"/>
      <c r="L985" s="37" t="s">
        <v>1064</v>
      </c>
      <c r="M985" s="38" t="s">
        <v>118</v>
      </c>
      <c r="N985" s="61"/>
      <c r="O985" s="62">
        <v>200</v>
      </c>
      <c r="P985" s="62">
        <v>5397</v>
      </c>
      <c r="Q985" s="40">
        <f t="shared" si="90"/>
        <v>200</v>
      </c>
      <c r="R985" s="40">
        <f t="shared" si="90"/>
        <v>5397</v>
      </c>
      <c r="S985" s="40">
        <f>ROUND('Смета ЕР (общ) '!$N985*'Смета ЕР (общ) '!$Q985,2)</f>
        <v>0</v>
      </c>
      <c r="T985" s="40">
        <f>ROUND('Смета ЕР (общ) '!$N985*'Смета ЕР (общ) '!$R985,2)</f>
        <v>0</v>
      </c>
    </row>
    <row r="986" spans="1:21" ht="14.4" x14ac:dyDescent="0.3">
      <c r="A986" s="36" t="s">
        <v>964</v>
      </c>
      <c r="B986" s="36">
        <v>1</v>
      </c>
      <c r="C986" s="36"/>
      <c r="D986" s="36">
        <f t="shared" si="87"/>
        <v>97</v>
      </c>
      <c r="E986" s="36" t="str">
        <f>CONCATENATE('Смета ЕР (общ) '!$A986,".",'Смета ЕР (общ) '!$B986,".",'Смета ЕР (общ) '!$D986)</f>
        <v>Р7.1.97</v>
      </c>
      <c r="F986" s="36">
        <f t="shared" si="89"/>
        <v>1</v>
      </c>
      <c r="G986" s="36"/>
      <c r="H986" s="36"/>
      <c r="I986" s="36"/>
      <c r="J986" s="36"/>
      <c r="K986" s="36"/>
      <c r="L986" s="37" t="s">
        <v>1065</v>
      </c>
      <c r="M986" s="38" t="s">
        <v>118</v>
      </c>
      <c r="N986" s="61"/>
      <c r="O986" s="62">
        <v>200</v>
      </c>
      <c r="P986" s="62">
        <v>6541</v>
      </c>
      <c r="Q986" s="40">
        <f t="shared" si="90"/>
        <v>200</v>
      </c>
      <c r="R986" s="40">
        <f t="shared" si="90"/>
        <v>6541</v>
      </c>
      <c r="S986" s="40">
        <f>ROUND('Смета ЕР (общ) '!$N986*'Смета ЕР (общ) '!$Q986,2)</f>
        <v>0</v>
      </c>
      <c r="T986" s="40">
        <f>ROUND('Смета ЕР (общ) '!$N986*'Смета ЕР (общ) '!$R986,2)</f>
        <v>0</v>
      </c>
    </row>
    <row r="987" spans="1:21" ht="14.4" x14ac:dyDescent="0.3">
      <c r="A987" s="36" t="s">
        <v>964</v>
      </c>
      <c r="B987" s="36">
        <v>1</v>
      </c>
      <c r="C987" s="36"/>
      <c r="D987" s="36">
        <f t="shared" si="87"/>
        <v>98</v>
      </c>
      <c r="E987" s="36" t="str">
        <f>CONCATENATE('Смета ЕР (общ) '!$A987,".",'Смета ЕР (общ) '!$B987,".",'Смета ЕР (общ) '!$D987)</f>
        <v>Р7.1.98</v>
      </c>
      <c r="F987" s="36">
        <f t="shared" si="89"/>
        <v>1</v>
      </c>
      <c r="G987" s="36"/>
      <c r="H987" s="36"/>
      <c r="I987" s="36"/>
      <c r="J987" s="36"/>
      <c r="K987" s="36"/>
      <c r="L987" s="37" t="s">
        <v>1066</v>
      </c>
      <c r="M987" s="38" t="s">
        <v>118</v>
      </c>
      <c r="N987" s="61"/>
      <c r="O987" s="62">
        <v>200</v>
      </c>
      <c r="P987" s="62">
        <v>950.08</v>
      </c>
      <c r="Q987" s="40">
        <f t="shared" si="90"/>
        <v>200</v>
      </c>
      <c r="R987" s="40">
        <f t="shared" si="90"/>
        <v>950.08</v>
      </c>
      <c r="S987" s="40">
        <f>ROUND('Смета ЕР (общ) '!$N987*'Смета ЕР (общ) '!$Q987,2)</f>
        <v>0</v>
      </c>
      <c r="T987" s="40">
        <f>ROUND('Смета ЕР (общ) '!$N987*'Смета ЕР (общ) '!$R987,2)</f>
        <v>0</v>
      </c>
    </row>
    <row r="988" spans="1:21" ht="14.4" x14ac:dyDescent="0.3">
      <c r="A988" s="36" t="s">
        <v>964</v>
      </c>
      <c r="B988" s="36">
        <v>1</v>
      </c>
      <c r="C988" s="36"/>
      <c r="D988" s="36">
        <f t="shared" si="87"/>
        <v>99</v>
      </c>
      <c r="E988" s="36" t="str">
        <f>CONCATENATE('Смета ЕР (общ) '!$A988,".",'Смета ЕР (общ) '!$B988,".",'Смета ЕР (общ) '!$D988)</f>
        <v>Р7.1.99</v>
      </c>
      <c r="F988" s="36">
        <f t="shared" si="89"/>
        <v>1</v>
      </c>
      <c r="G988" s="36"/>
      <c r="H988" s="36"/>
      <c r="I988" s="36"/>
      <c r="J988" s="36"/>
      <c r="K988" s="36"/>
      <c r="L988" s="37" t="s">
        <v>1067</v>
      </c>
      <c r="M988" s="38" t="s">
        <v>118</v>
      </c>
      <c r="N988" s="61"/>
      <c r="O988" s="62">
        <v>200</v>
      </c>
      <c r="P988" s="62">
        <v>1150.0999999999999</v>
      </c>
      <c r="Q988" s="40">
        <f t="shared" si="90"/>
        <v>200</v>
      </c>
      <c r="R988" s="40">
        <f t="shared" si="90"/>
        <v>1150.0999999999999</v>
      </c>
      <c r="S988" s="40">
        <f>ROUND('Смета ЕР (общ) '!$N988*'Смета ЕР (общ) '!$Q988,2)</f>
        <v>0</v>
      </c>
      <c r="T988" s="40">
        <f>ROUND('Смета ЕР (общ) '!$N988*'Смета ЕР (общ) '!$R988,2)</f>
        <v>0</v>
      </c>
    </row>
    <row r="989" spans="1:21" ht="14.4" x14ac:dyDescent="0.3">
      <c r="A989" s="36" t="s">
        <v>964</v>
      </c>
      <c r="B989" s="36">
        <v>1</v>
      </c>
      <c r="C989" s="36"/>
      <c r="D989" s="36">
        <f t="shared" si="87"/>
        <v>100</v>
      </c>
      <c r="E989" s="36" t="str">
        <f>CONCATENATE('Смета ЕР (общ) '!$A989,".",'Смета ЕР (общ) '!$B989,".",'Смета ЕР (общ) '!$D989)</f>
        <v>Р7.1.100</v>
      </c>
      <c r="F989" s="36">
        <f t="shared" si="89"/>
        <v>1</v>
      </c>
      <c r="G989" s="36"/>
      <c r="H989" s="36"/>
      <c r="I989" s="36"/>
      <c r="J989" s="36"/>
      <c r="K989" s="36"/>
      <c r="L989" s="37" t="s">
        <v>1068</v>
      </c>
      <c r="M989" s="38" t="s">
        <v>118</v>
      </c>
      <c r="N989" s="61"/>
      <c r="O989" s="62">
        <v>200</v>
      </c>
      <c r="P989" s="62">
        <v>1925.16</v>
      </c>
      <c r="Q989" s="40">
        <f t="shared" si="90"/>
        <v>200</v>
      </c>
      <c r="R989" s="40">
        <f t="shared" si="90"/>
        <v>1925.16</v>
      </c>
      <c r="S989" s="40">
        <f>ROUND('Смета ЕР (общ) '!$N989*'Смета ЕР (общ) '!$Q989,2)</f>
        <v>0</v>
      </c>
      <c r="T989" s="40">
        <f>ROUND('Смета ЕР (общ) '!$N989*'Смета ЕР (общ) '!$R989,2)</f>
        <v>0</v>
      </c>
    </row>
    <row r="990" spans="1:21" ht="14.4" x14ac:dyDescent="0.3">
      <c r="A990" s="36" t="s">
        <v>964</v>
      </c>
      <c r="B990" s="36">
        <v>1</v>
      </c>
      <c r="C990" s="36"/>
      <c r="D990" s="36">
        <f t="shared" ref="D990:D992" si="91">D989+1</f>
        <v>101</v>
      </c>
      <c r="E990" s="36" t="str">
        <f>CONCATENATE('Смета ЕР (общ) '!$A990,".",'Смета ЕР (общ) '!$B990,".",'Смета ЕР (общ) '!$D990)</f>
        <v>Р7.1.101</v>
      </c>
      <c r="F990" s="36">
        <f t="shared" si="89"/>
        <v>1</v>
      </c>
      <c r="G990" s="36"/>
      <c r="H990" s="36"/>
      <c r="I990" s="36"/>
      <c r="J990" s="36"/>
      <c r="K990" s="36"/>
      <c r="L990" s="37" t="s">
        <v>1069</v>
      </c>
      <c r="M990" s="38" t="s">
        <v>118</v>
      </c>
      <c r="N990" s="61"/>
      <c r="O990" s="62">
        <v>200</v>
      </c>
      <c r="P990" s="62">
        <v>4285</v>
      </c>
      <c r="Q990" s="40">
        <f t="shared" si="90"/>
        <v>200</v>
      </c>
      <c r="R990" s="40">
        <f t="shared" si="90"/>
        <v>4285</v>
      </c>
      <c r="S990" s="40">
        <f>ROUND('Смета ЕР (общ) '!$N990*'Смета ЕР (общ) '!$Q990,2)</f>
        <v>0</v>
      </c>
      <c r="T990" s="40">
        <f>ROUND('Смета ЕР (общ) '!$N990*'Смета ЕР (общ) '!$R990,2)</f>
        <v>0</v>
      </c>
    </row>
    <row r="991" spans="1:21" ht="14.4" x14ac:dyDescent="0.3">
      <c r="A991" s="36" t="s">
        <v>964</v>
      </c>
      <c r="B991" s="36">
        <v>1</v>
      </c>
      <c r="C991" s="36"/>
      <c r="D991" s="36">
        <f t="shared" si="91"/>
        <v>102</v>
      </c>
      <c r="E991" s="36" t="str">
        <f>CONCATENATE('Смета ЕР (общ) '!$A991,".",'Смета ЕР (общ) '!$B991,".",'Смета ЕР (общ) '!$D991)</f>
        <v>Р7.1.102</v>
      </c>
      <c r="F991" s="36">
        <f t="shared" si="89"/>
        <v>1</v>
      </c>
      <c r="G991" s="36"/>
      <c r="H991" s="36"/>
      <c r="I991" s="36"/>
      <c r="J991" s="36"/>
      <c r="K991" s="36"/>
      <c r="L991" s="37" t="s">
        <v>1070</v>
      </c>
      <c r="M991" s="38" t="s">
        <v>118</v>
      </c>
      <c r="N991" s="61"/>
      <c r="O991" s="62">
        <v>200</v>
      </c>
      <c r="P991" s="62">
        <v>804</v>
      </c>
      <c r="Q991" s="40">
        <f t="shared" si="90"/>
        <v>200</v>
      </c>
      <c r="R991" s="40">
        <f t="shared" si="90"/>
        <v>804</v>
      </c>
      <c r="S991" s="40">
        <f>ROUND('Смета ЕР (общ) '!$N991*'Смета ЕР (общ) '!$Q991,2)</f>
        <v>0</v>
      </c>
      <c r="T991" s="40">
        <f>ROUND('Смета ЕР (общ) '!$N991*'Смета ЕР (общ) '!$R991,2)</f>
        <v>0</v>
      </c>
    </row>
    <row r="992" spans="1:21" ht="36" x14ac:dyDescent="0.3">
      <c r="A992" s="63" t="s">
        <v>964</v>
      </c>
      <c r="B992" s="63">
        <v>1</v>
      </c>
      <c r="C992" s="63"/>
      <c r="D992" s="63">
        <f t="shared" si="91"/>
        <v>103</v>
      </c>
      <c r="E992" s="63" t="str">
        <f>CONCATENATE('Смета ЕР (общ) '!$A992,".",'Смета ЕР (общ) '!$B992,".",'Смета ЕР (общ) '!$D992)</f>
        <v>Р7.1.103</v>
      </c>
      <c r="F992" s="63">
        <f t="shared" si="89"/>
        <v>1</v>
      </c>
      <c r="G992" s="63"/>
      <c r="H992" s="63"/>
      <c r="I992" s="63"/>
      <c r="J992" s="63"/>
      <c r="K992" s="63"/>
      <c r="L992" s="64" t="s">
        <v>1071</v>
      </c>
      <c r="M992" s="38" t="s">
        <v>147</v>
      </c>
      <c r="N992" s="39"/>
      <c r="O992" s="40">
        <v>1492.92</v>
      </c>
      <c r="P992" s="40">
        <v>1749.76</v>
      </c>
      <c r="Q992" s="40">
        <f t="shared" si="90"/>
        <v>1492.92</v>
      </c>
      <c r="R992" s="40">
        <f t="shared" si="90"/>
        <v>1749.76</v>
      </c>
      <c r="S992" s="40">
        <f>ROUND('Смета ЕР (общ) '!$N992*'Смета ЕР (общ) '!$Q992,2)</f>
        <v>0</v>
      </c>
      <c r="T992" s="40">
        <f>ROUND('Смета ЕР (общ) '!$N992*'Смета ЕР (общ) '!$R992,2)</f>
        <v>0</v>
      </c>
      <c r="U992" s="35" t="s">
        <v>979</v>
      </c>
    </row>
    <row r="993" spans="1:25" ht="48" x14ac:dyDescent="0.3">
      <c r="A993" s="36" t="s">
        <v>964</v>
      </c>
      <c r="B993" s="36">
        <v>1</v>
      </c>
      <c r="C993" s="36"/>
      <c r="D993" s="36">
        <v>17</v>
      </c>
      <c r="E993" s="36" t="str">
        <f>CONCATENATE('Смета ЕР (общ) '!$A993,".",'Смета ЕР (общ) '!$B993,".",'Смета ЕР (общ) '!$D993)</f>
        <v>Р7.1.17</v>
      </c>
      <c r="F993" s="36">
        <f t="shared" si="89"/>
        <v>1</v>
      </c>
      <c r="G993" s="36"/>
      <c r="H993" s="36"/>
      <c r="I993" s="36"/>
      <c r="J993" s="36"/>
      <c r="K993" s="36"/>
      <c r="L993" s="37" t="s">
        <v>1072</v>
      </c>
      <c r="M993" s="65" t="s">
        <v>125</v>
      </c>
      <c r="N993" s="39"/>
      <c r="O993" s="40">
        <v>1764.36</v>
      </c>
      <c r="P993" s="40">
        <v>2884.59</v>
      </c>
      <c r="Q993" s="40">
        <f t="shared" si="90"/>
        <v>1764.36</v>
      </c>
      <c r="R993" s="40">
        <f t="shared" si="90"/>
        <v>2884.59</v>
      </c>
      <c r="S993" s="40">
        <f>ROUND('Смета ЕР (общ) '!$N993*'Смета ЕР (общ) '!$Q993,2)</f>
        <v>0</v>
      </c>
      <c r="T993" s="40">
        <f>ROUND('Смета ЕР (общ) '!$N993*'Смета ЕР (общ) '!$R993,2)</f>
        <v>0</v>
      </c>
      <c r="Y993">
        <v>214</v>
      </c>
    </row>
    <row r="994" spans="1:25" ht="14.4" x14ac:dyDescent="0.3">
      <c r="A994" s="29" t="s">
        <v>964</v>
      </c>
      <c r="B994" s="29">
        <v>2</v>
      </c>
      <c r="C994" s="29"/>
      <c r="D994" s="29">
        <v>0</v>
      </c>
      <c r="E994" s="29" t="str">
        <f>CONCATENATE('Смета ЕР (общ) '!$A994,".",'Смета ЕР (общ) '!$B994,".",'Смета ЕР (общ) '!$D994)</f>
        <v>Р7.2.0</v>
      </c>
      <c r="F994" s="29">
        <f t="shared" si="89"/>
        <v>1</v>
      </c>
      <c r="G994" s="29"/>
      <c r="H994" s="29"/>
      <c r="I994" s="29"/>
      <c r="J994" s="29"/>
      <c r="K994" s="29"/>
      <c r="L994" s="30" t="s">
        <v>1073</v>
      </c>
      <c r="M994" s="31"/>
      <c r="N994" s="32">
        <f>S994</f>
        <v>0</v>
      </c>
      <c r="O994" s="47"/>
      <c r="P994" s="47"/>
      <c r="Q994" s="34"/>
      <c r="R994" s="34"/>
      <c r="S994" s="34">
        <f>SUM(S995:S1000)</f>
        <v>0</v>
      </c>
      <c r="T994" s="34">
        <f>SUM(T995:T1000)</f>
        <v>0</v>
      </c>
      <c r="Y994">
        <v>0</v>
      </c>
    </row>
    <row r="995" spans="1:25" ht="24" x14ac:dyDescent="0.3">
      <c r="A995" s="36" t="s">
        <v>964</v>
      </c>
      <c r="B995" s="36">
        <v>2</v>
      </c>
      <c r="C995" s="36"/>
      <c r="D995" s="36">
        <v>15</v>
      </c>
      <c r="E995" s="36" t="str">
        <f>CONCATENATE('Смета ЕР (общ) '!$A995,".",'Смета ЕР (общ) '!$B995,".",'Смета ЕР (общ) '!$D995)</f>
        <v>Р7.2.15</v>
      </c>
      <c r="F995" s="36">
        <f t="shared" si="89"/>
        <v>1</v>
      </c>
      <c r="G995" s="36"/>
      <c r="H995" s="36"/>
      <c r="I995" s="36"/>
      <c r="J995" s="36"/>
      <c r="K995" s="36"/>
      <c r="L995" s="37" t="s">
        <v>1074</v>
      </c>
      <c r="M995" s="38" t="s">
        <v>118</v>
      </c>
      <c r="N995" s="39"/>
      <c r="O995" s="40">
        <v>42299.4</v>
      </c>
      <c r="P995" s="40">
        <v>169074.08</v>
      </c>
      <c r="Q995" s="40">
        <f t="shared" ref="Q995:R1000" si="92">ROUND(O995-O995*$V$3,2)</f>
        <v>42299.4</v>
      </c>
      <c r="R995" s="40">
        <f t="shared" si="92"/>
        <v>169074.08</v>
      </c>
      <c r="S995" s="40">
        <f>ROUND('Смета ЕР (общ) '!$N995*'Смета ЕР (общ) '!$Q995,2)</f>
        <v>0</v>
      </c>
      <c r="T995" s="40">
        <f>ROUND('Смета ЕР (общ) '!$N995*'Смета ЕР (общ) '!$R995,2)</f>
        <v>0</v>
      </c>
    </row>
    <row r="996" spans="1:25" ht="24" x14ac:dyDescent="0.3">
      <c r="A996" s="36" t="s">
        <v>964</v>
      </c>
      <c r="B996" s="36">
        <v>2</v>
      </c>
      <c r="C996" s="36"/>
      <c r="D996" s="36">
        <v>1</v>
      </c>
      <c r="E996" s="36" t="str">
        <f>CONCATENATE('Смета ЕР (общ) '!$A996,".",'Смета ЕР (общ) '!$B996,".",'Смета ЕР (общ) '!$D996)</f>
        <v>Р7.2.1</v>
      </c>
      <c r="F996" s="36">
        <f t="shared" si="89"/>
        <v>1</v>
      </c>
      <c r="G996" s="36"/>
      <c r="H996" s="36"/>
      <c r="I996" s="36"/>
      <c r="J996" s="36"/>
      <c r="K996" s="36"/>
      <c r="L996" s="37" t="s">
        <v>1075</v>
      </c>
      <c r="M996" s="60" t="s">
        <v>40</v>
      </c>
      <c r="N996" s="61"/>
      <c r="O996" s="62">
        <v>250</v>
      </c>
      <c r="P996" s="62">
        <v>270</v>
      </c>
      <c r="Q996" s="40">
        <f t="shared" si="92"/>
        <v>250</v>
      </c>
      <c r="R996" s="40">
        <f t="shared" si="92"/>
        <v>270</v>
      </c>
      <c r="S996" s="40">
        <f>ROUND('Смета ЕР (общ) '!$N996*'Смета ЕР (общ) '!$Q996,2)</f>
        <v>0</v>
      </c>
      <c r="T996" s="40">
        <f>ROUND('Смета ЕР (общ) '!$N996*'Смета ЕР (общ) '!$R996,2)</f>
        <v>0</v>
      </c>
    </row>
    <row r="997" spans="1:25" ht="24" x14ac:dyDescent="0.3">
      <c r="A997" s="36" t="s">
        <v>964</v>
      </c>
      <c r="B997" s="36">
        <v>2</v>
      </c>
      <c r="C997" s="36"/>
      <c r="D997" s="36">
        <v>2</v>
      </c>
      <c r="E997" s="36" t="str">
        <f>CONCATENATE('Смета ЕР (общ) '!$A997,".",'Смета ЕР (общ) '!$B997,".",'Смета ЕР (общ) '!$D997)</f>
        <v>Р7.2.2</v>
      </c>
      <c r="F997" s="36">
        <f t="shared" si="89"/>
        <v>1</v>
      </c>
      <c r="G997" s="36"/>
      <c r="H997" s="36"/>
      <c r="I997" s="36"/>
      <c r="J997" s="36"/>
      <c r="K997" s="36"/>
      <c r="L997" s="37" t="s">
        <v>1076</v>
      </c>
      <c r="M997" s="60" t="s">
        <v>40</v>
      </c>
      <c r="N997" s="61"/>
      <c r="O997" s="62">
        <v>350</v>
      </c>
      <c r="P997" s="62">
        <v>240</v>
      </c>
      <c r="Q997" s="40">
        <f t="shared" si="92"/>
        <v>350</v>
      </c>
      <c r="R997" s="40">
        <f t="shared" si="92"/>
        <v>240</v>
      </c>
      <c r="S997" s="40">
        <f>ROUND('Смета ЕР (общ) '!$N997*'Смета ЕР (общ) '!$Q997,2)</f>
        <v>0</v>
      </c>
      <c r="T997" s="40">
        <f>ROUND('Смета ЕР (общ) '!$N997*'Смета ЕР (общ) '!$R997,2)</f>
        <v>0</v>
      </c>
    </row>
    <row r="998" spans="1:25" ht="24" x14ac:dyDescent="0.3">
      <c r="A998" s="36" t="s">
        <v>964</v>
      </c>
      <c r="B998" s="36">
        <v>2</v>
      </c>
      <c r="C998" s="36"/>
      <c r="D998" s="36">
        <v>3</v>
      </c>
      <c r="E998" s="36" t="str">
        <f>CONCATENATE('Смета ЕР (общ) '!$A998,".",'Смета ЕР (общ) '!$B998,".",'Смета ЕР (общ) '!$D998)</f>
        <v>Р7.2.3</v>
      </c>
      <c r="F998" s="36">
        <f t="shared" si="89"/>
        <v>1</v>
      </c>
      <c r="G998" s="36"/>
      <c r="H998" s="36"/>
      <c r="I998" s="36"/>
      <c r="J998" s="36"/>
      <c r="K998" s="36"/>
      <c r="L998" s="37" t="s">
        <v>1077</v>
      </c>
      <c r="M998" s="60" t="s">
        <v>40</v>
      </c>
      <c r="N998" s="61"/>
      <c r="O998" s="62">
        <v>350</v>
      </c>
      <c r="P998" s="62">
        <v>340</v>
      </c>
      <c r="Q998" s="40">
        <f t="shared" si="92"/>
        <v>350</v>
      </c>
      <c r="R998" s="40">
        <f t="shared" si="92"/>
        <v>340</v>
      </c>
      <c r="S998" s="40">
        <f>ROUND('Смета ЕР (общ) '!$N998*'Смета ЕР (общ) '!$Q998,2)</f>
        <v>0</v>
      </c>
      <c r="T998" s="40">
        <f>ROUND('Смета ЕР (общ) '!$N998*'Смета ЕР (общ) '!$R998,2)</f>
        <v>0</v>
      </c>
    </row>
    <row r="999" spans="1:25" ht="24" x14ac:dyDescent="0.3">
      <c r="A999" s="36" t="s">
        <v>964</v>
      </c>
      <c r="B999" s="36">
        <v>2</v>
      </c>
      <c r="C999" s="36"/>
      <c r="D999" s="36">
        <v>4</v>
      </c>
      <c r="E999" s="36" t="str">
        <f>CONCATENATE('Смета ЕР (общ) '!$A999,".",'Смета ЕР (общ) '!$B999,".",'Смета ЕР (общ) '!$D999)</f>
        <v>Р7.2.4</v>
      </c>
      <c r="F999" s="36">
        <f t="shared" si="89"/>
        <v>1</v>
      </c>
      <c r="G999" s="36"/>
      <c r="H999" s="36"/>
      <c r="I999" s="36"/>
      <c r="J999" s="36"/>
      <c r="K999" s="36"/>
      <c r="L999" s="37" t="s">
        <v>1078</v>
      </c>
      <c r="M999" s="38" t="s">
        <v>118</v>
      </c>
      <c r="N999" s="39"/>
      <c r="O999" s="40">
        <v>2548.85</v>
      </c>
      <c r="P999" s="40">
        <v>25491.67</v>
      </c>
      <c r="Q999" s="40">
        <f t="shared" si="92"/>
        <v>2548.85</v>
      </c>
      <c r="R999" s="40">
        <f t="shared" si="92"/>
        <v>25491.67</v>
      </c>
      <c r="S999" s="40">
        <f>ROUND('Смета ЕР (общ) '!$N999*'Смета ЕР (общ) '!$Q999,2)</f>
        <v>0</v>
      </c>
      <c r="T999" s="40">
        <f>ROUND('Смета ЕР (общ) '!$N999*'Смета ЕР (общ) '!$R999,2)</f>
        <v>0</v>
      </c>
    </row>
    <row r="1000" spans="1:25" ht="60" x14ac:dyDescent="0.3">
      <c r="A1000" s="36" t="s">
        <v>964</v>
      </c>
      <c r="B1000" s="36">
        <v>2</v>
      </c>
      <c r="C1000" s="36"/>
      <c r="D1000" s="36">
        <v>12</v>
      </c>
      <c r="E1000" s="36" t="str">
        <f>CONCATENATE('Смета ЕР (общ) '!$A1000,".",'Смета ЕР (общ) '!$B1000,".",'Смета ЕР (общ) '!$D1000)</f>
        <v>Р7.2.12</v>
      </c>
      <c r="F1000" s="36">
        <f t="shared" si="89"/>
        <v>1</v>
      </c>
      <c r="G1000" s="36"/>
      <c r="H1000" s="36"/>
      <c r="I1000" s="36"/>
      <c r="J1000" s="36"/>
      <c r="K1000" s="36"/>
      <c r="L1000" s="37" t="s">
        <v>1079</v>
      </c>
      <c r="M1000" s="65" t="s">
        <v>125</v>
      </c>
      <c r="N1000" s="39"/>
      <c r="O1000" s="40">
        <v>1221.48</v>
      </c>
      <c r="P1000" s="40">
        <v>1624.47</v>
      </c>
      <c r="Q1000" s="40">
        <f t="shared" si="92"/>
        <v>1221.48</v>
      </c>
      <c r="R1000" s="40">
        <f t="shared" si="92"/>
        <v>1624.47</v>
      </c>
      <c r="S1000" s="40">
        <f>ROUND('Смета ЕР (общ) '!$N1000*'Смета ЕР (общ) '!$Q1000,2)</f>
        <v>0</v>
      </c>
      <c r="T1000" s="40">
        <f>ROUND('Смета ЕР (общ) '!$N1000*'Смета ЕР (общ) '!$R1000,2)</f>
        <v>0</v>
      </c>
    </row>
    <row r="1001" spans="1:25" ht="14.4" x14ac:dyDescent="0.3">
      <c r="A1001" s="29" t="s">
        <v>1080</v>
      </c>
      <c r="B1001" s="29">
        <v>0</v>
      </c>
      <c r="C1001" s="29"/>
      <c r="D1001" s="29">
        <v>0</v>
      </c>
      <c r="E1001" s="29" t="str">
        <f>CONCATENATE('Смета ЕР (общ) '!$A1001,".",'Смета ЕР (общ) '!$B1001,".",'Смета ЕР (общ) '!$D1001)</f>
        <v>Р8.0.0</v>
      </c>
      <c r="F1001" s="29">
        <f t="shared" si="89"/>
        <v>1</v>
      </c>
      <c r="G1001" s="29"/>
      <c r="H1001" s="29"/>
      <c r="I1001" s="29"/>
      <c r="J1001" s="29"/>
      <c r="K1001" s="29"/>
      <c r="L1001" s="30" t="s">
        <v>1081</v>
      </c>
      <c r="M1001" s="31"/>
      <c r="N1001" s="32">
        <f>S1001</f>
        <v>0</v>
      </c>
      <c r="O1001" s="47"/>
      <c r="P1001" s="47"/>
      <c r="Q1001" s="34"/>
      <c r="R1001" s="34"/>
      <c r="S1001" s="34">
        <f>ROUND(S1002+S1010,2)</f>
        <v>0</v>
      </c>
      <c r="T1001" s="34">
        <f>ROUND(T1002+T1010,2)</f>
        <v>0</v>
      </c>
      <c r="U1001" s="101"/>
      <c r="Y1001">
        <v>868830.35</v>
      </c>
    </row>
    <row r="1002" spans="1:25" ht="14.4" x14ac:dyDescent="0.3">
      <c r="A1002" s="29" t="s">
        <v>1080</v>
      </c>
      <c r="B1002" s="29">
        <v>1</v>
      </c>
      <c r="C1002" s="29"/>
      <c r="D1002" s="29">
        <v>0</v>
      </c>
      <c r="E1002" s="29" t="str">
        <f>CONCATENATE('Смета ЕР (общ) '!$A1002,".",'Смета ЕР (общ) '!$B1002,".",'Смета ЕР (общ) '!$D1002)</f>
        <v>Р8.1.0</v>
      </c>
      <c r="F1002" s="29">
        <f t="shared" si="89"/>
        <v>1</v>
      </c>
      <c r="G1002" s="29"/>
      <c r="H1002" s="29"/>
      <c r="I1002" s="29"/>
      <c r="J1002" s="29"/>
      <c r="K1002" s="29"/>
      <c r="L1002" s="30" t="s">
        <v>1082</v>
      </c>
      <c r="M1002" s="31"/>
      <c r="N1002" s="32">
        <f>S1002</f>
        <v>0</v>
      </c>
      <c r="O1002" s="47"/>
      <c r="P1002" s="47"/>
      <c r="Q1002" s="34"/>
      <c r="R1002" s="34"/>
      <c r="S1002" s="34">
        <f>SUM(S1003:S1009)</f>
        <v>0</v>
      </c>
      <c r="T1002" s="34">
        <f>SUM(T1003:T1009)</f>
        <v>0</v>
      </c>
      <c r="Y1002">
        <v>60440.639999999999</v>
      </c>
    </row>
    <row r="1003" spans="1:25" ht="24" x14ac:dyDescent="0.3">
      <c r="A1003" s="36" t="s">
        <v>1080</v>
      </c>
      <c r="B1003" s="36">
        <v>1</v>
      </c>
      <c r="C1003" s="36"/>
      <c r="D1003" s="36">
        <v>25</v>
      </c>
      <c r="E1003" s="36" t="str">
        <f>CONCATENATE('Смета ЕР (общ) '!$A1003,".",'Смета ЕР (общ) '!$B1003,".",'Смета ЕР (общ) '!$D1003)</f>
        <v>Р8.1.25</v>
      </c>
      <c r="F1003" s="36">
        <f t="shared" si="89"/>
        <v>1</v>
      </c>
      <c r="G1003" s="36"/>
      <c r="H1003" s="36"/>
      <c r="I1003" s="36"/>
      <c r="J1003" s="36"/>
      <c r="K1003" s="36"/>
      <c r="L1003" s="70" t="s">
        <v>1083</v>
      </c>
      <c r="M1003" s="38" t="s">
        <v>118</v>
      </c>
      <c r="N1003" s="39"/>
      <c r="O1003" s="40">
        <v>26465.4</v>
      </c>
      <c r="P1003" s="40">
        <f>$V$1*'[1] Кондиционеры бытовые'!N5</f>
        <v>19391.400000000001</v>
      </c>
      <c r="Q1003" s="40">
        <f t="shared" ref="Q1003:R1008" si="93">ROUND(O1003-O1003*$V$3,2)</f>
        <v>26465.4</v>
      </c>
      <c r="R1003" s="40">
        <f t="shared" si="93"/>
        <v>19391.400000000001</v>
      </c>
      <c r="S1003" s="40">
        <f>ROUND('Смета ЕР (общ) '!$N1003*'Смета ЕР (общ) '!$Q1003,2)</f>
        <v>0</v>
      </c>
      <c r="T1003" s="40">
        <f>ROUND('Смета ЕР (общ) '!$N1003*'Смета ЕР (общ) '!$R1003,2)</f>
        <v>0</v>
      </c>
      <c r="U1003" s="67" t="s">
        <v>1084</v>
      </c>
    </row>
    <row r="1004" spans="1:25" ht="24" x14ac:dyDescent="0.3">
      <c r="A1004" s="36" t="s">
        <v>1080</v>
      </c>
      <c r="B1004" s="36">
        <v>1</v>
      </c>
      <c r="C1004" s="36"/>
      <c r="D1004" s="36">
        <v>26</v>
      </c>
      <c r="E1004" s="36" t="str">
        <f>CONCATENATE('Смета ЕР (общ) '!$A1004,".",'Смета ЕР (общ) '!$B1004,".",'Смета ЕР (общ) '!$D1004)</f>
        <v>Р8.1.26</v>
      </c>
      <c r="F1004" s="36">
        <f t="shared" si="89"/>
        <v>1</v>
      </c>
      <c r="G1004" s="36"/>
      <c r="H1004" s="36"/>
      <c r="I1004" s="36"/>
      <c r="J1004" s="36"/>
      <c r="K1004" s="36"/>
      <c r="L1004" s="70" t="s">
        <v>1085</v>
      </c>
      <c r="M1004" s="38" t="s">
        <v>118</v>
      </c>
      <c r="N1004" s="39"/>
      <c r="O1004" s="40">
        <v>26465.4</v>
      </c>
      <c r="P1004" s="40">
        <f>$V$1*'[1] Кондиционеры бытовые'!N6</f>
        <v>21602.7</v>
      </c>
      <c r="Q1004" s="40">
        <f t="shared" si="93"/>
        <v>26465.4</v>
      </c>
      <c r="R1004" s="40">
        <f t="shared" si="93"/>
        <v>21602.7</v>
      </c>
      <c r="S1004" s="40">
        <f>ROUND('Смета ЕР (общ) '!$N1004*'Смета ЕР (общ) '!$Q1004,2)</f>
        <v>0</v>
      </c>
      <c r="T1004" s="40">
        <f>ROUND('Смета ЕР (общ) '!$N1004*'Смета ЕР (общ) '!$R1004,2)</f>
        <v>0</v>
      </c>
      <c r="U1004" s="67" t="s">
        <v>1084</v>
      </c>
    </row>
    <row r="1005" spans="1:25" ht="24" x14ac:dyDescent="0.3">
      <c r="A1005" s="36" t="s">
        <v>1080</v>
      </c>
      <c r="B1005" s="36">
        <v>1</v>
      </c>
      <c r="C1005" s="36"/>
      <c r="D1005" s="36">
        <v>27</v>
      </c>
      <c r="E1005" s="36" t="str">
        <f>CONCATENATE('Смета ЕР (общ) '!$A1005,".",'Смета ЕР (общ) '!$B1005,".",'Смета ЕР (общ) '!$D1005)</f>
        <v>Р8.1.27</v>
      </c>
      <c r="F1005" s="36">
        <f t="shared" si="89"/>
        <v>1</v>
      </c>
      <c r="G1005" s="36"/>
      <c r="H1005" s="36"/>
      <c r="I1005" s="36"/>
      <c r="J1005" s="36"/>
      <c r="K1005" s="36"/>
      <c r="L1005" s="70" t="s">
        <v>1086</v>
      </c>
      <c r="M1005" s="38" t="s">
        <v>118</v>
      </c>
      <c r="N1005" s="39"/>
      <c r="O1005" s="40">
        <v>26465.4</v>
      </c>
      <c r="P1005" s="40">
        <f>$V$1*'[1] Кондиционеры бытовые'!N7</f>
        <v>26620.65</v>
      </c>
      <c r="Q1005" s="40">
        <f t="shared" si="93"/>
        <v>26465.4</v>
      </c>
      <c r="R1005" s="40">
        <f t="shared" si="93"/>
        <v>26620.65</v>
      </c>
      <c r="S1005" s="40">
        <f>ROUND('Смета ЕР (общ) '!$N1005*'Смета ЕР (общ) '!$Q1005,2)</f>
        <v>0</v>
      </c>
      <c r="T1005" s="40">
        <f>ROUND('Смета ЕР (общ) '!$N1005*'Смета ЕР (общ) '!$R1005,2)</f>
        <v>0</v>
      </c>
      <c r="U1005" s="67" t="s">
        <v>1084</v>
      </c>
    </row>
    <row r="1006" spans="1:25" ht="24" x14ac:dyDescent="0.3">
      <c r="A1006" s="36" t="s">
        <v>1080</v>
      </c>
      <c r="B1006" s="36">
        <v>1</v>
      </c>
      <c r="C1006" s="36"/>
      <c r="D1006" s="36">
        <v>28</v>
      </c>
      <c r="E1006" s="36" t="str">
        <f>CONCATENATE('Смета ЕР (общ) '!$A1006,".",'Смета ЕР (общ) '!$B1006,".",'Смета ЕР (общ) '!$D1006)</f>
        <v>Р8.1.28</v>
      </c>
      <c r="F1006" s="36">
        <f t="shared" si="89"/>
        <v>1</v>
      </c>
      <c r="G1006" s="36"/>
      <c r="H1006" s="36"/>
      <c r="I1006" s="36"/>
      <c r="J1006" s="36"/>
      <c r="K1006" s="36"/>
      <c r="L1006" s="70" t="s">
        <v>1087</v>
      </c>
      <c r="M1006" s="38" t="s">
        <v>118</v>
      </c>
      <c r="N1006" s="39"/>
      <c r="O1006" s="40">
        <v>26465.4</v>
      </c>
      <c r="P1006" s="40">
        <f>$V$1*'[1] Кондиционеры бытовые'!N8</f>
        <v>42354.9</v>
      </c>
      <c r="Q1006" s="40">
        <f t="shared" si="93"/>
        <v>26465.4</v>
      </c>
      <c r="R1006" s="40">
        <f t="shared" si="93"/>
        <v>42354.9</v>
      </c>
      <c r="S1006" s="40">
        <f>ROUND('Смета ЕР (общ) '!$N1006*'Смета ЕР (общ) '!$Q1006,2)</f>
        <v>0</v>
      </c>
      <c r="T1006" s="40">
        <f>ROUND('Смета ЕР (общ) '!$N1006*'Смета ЕР (общ) '!$R1006,2)</f>
        <v>0</v>
      </c>
      <c r="U1006" s="67" t="s">
        <v>1084</v>
      </c>
    </row>
    <row r="1007" spans="1:25" ht="24" x14ac:dyDescent="0.3">
      <c r="A1007" s="36" t="s">
        <v>1080</v>
      </c>
      <c r="B1007" s="36">
        <v>1</v>
      </c>
      <c r="C1007" s="36"/>
      <c r="D1007" s="36">
        <v>29</v>
      </c>
      <c r="E1007" s="36" t="str">
        <f>CONCATENATE('Смета ЕР (общ) '!$A1007,".",'Смета ЕР (общ) '!$B1007,".",'Смета ЕР (общ) '!$D1007)</f>
        <v>Р8.1.29</v>
      </c>
      <c r="F1007" s="36">
        <f t="shared" si="89"/>
        <v>1</v>
      </c>
      <c r="G1007" s="36"/>
      <c r="H1007" s="36"/>
      <c r="I1007" s="36"/>
      <c r="J1007" s="36"/>
      <c r="K1007" s="36"/>
      <c r="L1007" s="70" t="s">
        <v>1088</v>
      </c>
      <c r="M1007" s="38" t="s">
        <v>118</v>
      </c>
      <c r="N1007" s="39"/>
      <c r="O1007" s="40">
        <v>26465.4</v>
      </c>
      <c r="P1007" s="40">
        <f>$V$1*'[1] Кондиционеры бытовые'!N9</f>
        <v>56813.4</v>
      </c>
      <c r="Q1007" s="40">
        <f t="shared" si="93"/>
        <v>26465.4</v>
      </c>
      <c r="R1007" s="40">
        <f t="shared" si="93"/>
        <v>56813.4</v>
      </c>
      <c r="S1007" s="40">
        <f>ROUND('Смета ЕР (общ) '!$N1007*'Смета ЕР (общ) '!$Q1007,2)</f>
        <v>0</v>
      </c>
      <c r="T1007" s="40">
        <f>ROUND('Смета ЕР (общ) '!$N1007*'Смета ЕР (общ) '!$R1007,2)</f>
        <v>0</v>
      </c>
      <c r="U1007" s="67" t="s">
        <v>1084</v>
      </c>
    </row>
    <row r="1008" spans="1:25" ht="24" x14ac:dyDescent="0.3">
      <c r="A1008" s="36" t="s">
        <v>1080</v>
      </c>
      <c r="B1008" s="36">
        <v>1</v>
      </c>
      <c r="C1008" s="36"/>
      <c r="D1008" s="36">
        <v>7</v>
      </c>
      <c r="E1008" s="36" t="str">
        <f>CONCATENATE('Смета ЕР (общ) '!$A1008,".",'Смета ЕР (общ) '!$B1008,".",'Смета ЕР (общ) '!$D1008)</f>
        <v>Р8.1.7</v>
      </c>
      <c r="F1008" s="36">
        <f t="shared" si="89"/>
        <v>1</v>
      </c>
      <c r="G1008" s="36"/>
      <c r="H1008" s="36"/>
      <c r="I1008" s="36"/>
      <c r="J1008" s="36"/>
      <c r="K1008" s="36"/>
      <c r="L1008" s="59" t="s">
        <v>1089</v>
      </c>
      <c r="M1008" s="38" t="s">
        <v>118</v>
      </c>
      <c r="N1008" s="39"/>
      <c r="O1008" s="40">
        <v>3754.92</v>
      </c>
      <c r="P1008" s="40">
        <v>32802</v>
      </c>
      <c r="Q1008" s="40">
        <f t="shared" si="93"/>
        <v>3754.92</v>
      </c>
      <c r="R1008" s="40">
        <f t="shared" si="93"/>
        <v>32802</v>
      </c>
      <c r="S1008" s="40">
        <f>ROUND('Смета ЕР (общ) '!$N1008*'Смета ЕР (общ) '!$Q1008,2)</f>
        <v>0</v>
      </c>
      <c r="T1008" s="40">
        <f>ROUND('Смета ЕР (общ) '!$N1008*'Смета ЕР (общ) '!$R1008,2)</f>
        <v>0</v>
      </c>
      <c r="U1008" s="67"/>
      <c r="Y1008">
        <v>1</v>
      </c>
    </row>
    <row r="1009" spans="1:25" ht="14.4" x14ac:dyDescent="0.3">
      <c r="A1009" s="36" t="s">
        <v>1080</v>
      </c>
      <c r="B1009" s="36">
        <v>1</v>
      </c>
      <c r="C1009" s="36"/>
      <c r="D1009" s="36">
        <v>23</v>
      </c>
      <c r="E1009" s="36" t="str">
        <f>CONCATENATE('Смета ЕР (общ) '!$A1009,".",'Смета ЕР (общ) '!$B1009,".",'Смета ЕР (общ) '!$D1009)</f>
        <v>Р8.1.23</v>
      </c>
      <c r="F1009" s="36">
        <f>IF(N1009&gt;0,F1008+1,F1008)</f>
        <v>1</v>
      </c>
      <c r="G1009" s="36"/>
      <c r="H1009" s="36"/>
      <c r="I1009" s="36"/>
      <c r="J1009" s="36"/>
      <c r="K1009" s="36"/>
      <c r="L1009" s="37" t="s">
        <v>1090</v>
      </c>
      <c r="M1009" s="38" t="s">
        <v>118</v>
      </c>
      <c r="N1009" s="39"/>
      <c r="O1009" s="40">
        <v>3754.92</v>
      </c>
      <c r="P1009" s="40">
        <v>14340.85</v>
      </c>
      <c r="Q1009" s="40">
        <f>ROUND(O1009-O1009*$V$3,2)</f>
        <v>3754.92</v>
      </c>
      <c r="R1009" s="40">
        <f>ROUND(P1009-P1009*$V$3,2)</f>
        <v>14340.85</v>
      </c>
      <c r="S1009" s="40">
        <f>ROUND('Смета ЕР (общ) '!$N1009*'Смета ЕР (общ) '!$Q1009,2)</f>
        <v>0</v>
      </c>
      <c r="T1009" s="40">
        <f>ROUND('Смета ЕР (общ) '!$N1009*'Смета ЕР (общ) '!$R1009,2)</f>
        <v>0</v>
      </c>
      <c r="Y1009">
        <v>1</v>
      </c>
    </row>
    <row r="1010" spans="1:25" ht="14.4" x14ac:dyDescent="0.3">
      <c r="A1010" s="29" t="s">
        <v>1080</v>
      </c>
      <c r="B1010" s="29">
        <v>2</v>
      </c>
      <c r="C1010" s="29"/>
      <c r="D1010" s="29">
        <v>0</v>
      </c>
      <c r="E1010" s="29" t="str">
        <f>CONCATENATE('Смета ЕР (общ) '!$A1010,".",'Смета ЕР (общ) '!$B1010,".",'Смета ЕР (общ) '!$D1010)</f>
        <v>Р8.2.0</v>
      </c>
      <c r="F1010" s="29">
        <f t="shared" si="89"/>
        <v>1</v>
      </c>
      <c r="G1010" s="29"/>
      <c r="H1010" s="29"/>
      <c r="I1010" s="29"/>
      <c r="J1010" s="29"/>
      <c r="K1010" s="29"/>
      <c r="L1010" s="30" t="s">
        <v>1091</v>
      </c>
      <c r="M1010" s="150"/>
      <c r="N1010" s="151">
        <f>S1010</f>
        <v>0</v>
      </c>
      <c r="O1010" s="47"/>
      <c r="P1010" s="47"/>
      <c r="Q1010" s="107"/>
      <c r="R1010" s="107"/>
      <c r="S1010" s="107">
        <f>SUM(S1011:S1089)</f>
        <v>0</v>
      </c>
      <c r="T1010" s="107">
        <f>SUM(T1011:T1089)</f>
        <v>0</v>
      </c>
      <c r="Y1010">
        <v>808389.71</v>
      </c>
    </row>
    <row r="1011" spans="1:25" ht="24" x14ac:dyDescent="0.3">
      <c r="A1011" s="36" t="s">
        <v>1080</v>
      </c>
      <c r="B1011" s="36">
        <v>2</v>
      </c>
      <c r="C1011" s="36"/>
      <c r="D1011" s="36">
        <v>2</v>
      </c>
      <c r="E1011" s="36" t="str">
        <f>CONCATENATE('Смета ЕР (общ) '!$A1011,".",'Смета ЕР (общ) '!$B1011,".",'Смета ЕР (общ) '!$D1011)</f>
        <v>Р8.2.2</v>
      </c>
      <c r="F1011" s="36">
        <f t="shared" si="89"/>
        <v>1</v>
      </c>
      <c r="G1011" s="36"/>
      <c r="H1011" s="36"/>
      <c r="I1011" s="36"/>
      <c r="J1011" s="36"/>
      <c r="K1011" s="36"/>
      <c r="L1011" s="53" t="s">
        <v>1092</v>
      </c>
      <c r="M1011" s="38" t="s">
        <v>118</v>
      </c>
      <c r="N1011" s="39"/>
      <c r="O1011" s="40">
        <v>23696.85</v>
      </c>
      <c r="P1011" s="40">
        <f>$V$1*'[1] Кондиционеры бытовые'!K5</f>
        <v>17775.45</v>
      </c>
      <c r="Q1011" s="40">
        <f t="shared" ref="Q1011:R1074" si="94">ROUND(O1011-O1011*$V$3,2)</f>
        <v>23696.85</v>
      </c>
      <c r="R1011" s="66">
        <f>P1011</f>
        <v>17775.45</v>
      </c>
      <c r="S1011" s="40">
        <f>ROUND('Смета ЕР (общ) '!$N1011*'Смета ЕР (общ) '!$Q1011,2)</f>
        <v>0</v>
      </c>
      <c r="T1011" s="40">
        <f>ROUND('Смета ЕР (общ) '!$N1011*'Смета ЕР (общ) '!$R1011,2)</f>
        <v>0</v>
      </c>
      <c r="U1011" s="67" t="s">
        <v>1084</v>
      </c>
      <c r="V1011" s="68"/>
    </row>
    <row r="1012" spans="1:25" ht="24" x14ac:dyDescent="0.3">
      <c r="A1012" s="36" t="s">
        <v>1080</v>
      </c>
      <c r="B1012" s="36">
        <v>2</v>
      </c>
      <c r="C1012" s="36"/>
      <c r="D1012" s="36">
        <v>3</v>
      </c>
      <c r="E1012" s="36" t="str">
        <f>CONCATENATE('Смета ЕР (общ) '!$A1012,".",'Смета ЕР (общ) '!$B1012,".",'Смета ЕР (общ) '!$D1012)</f>
        <v>Р8.2.3</v>
      </c>
      <c r="F1012" s="36">
        <f t="shared" si="89"/>
        <v>1</v>
      </c>
      <c r="G1012" s="36"/>
      <c r="H1012" s="36"/>
      <c r="I1012" s="36"/>
      <c r="J1012" s="36"/>
      <c r="K1012" s="36"/>
      <c r="L1012" s="53" t="s">
        <v>1093</v>
      </c>
      <c r="M1012" s="38" t="s">
        <v>118</v>
      </c>
      <c r="N1012" s="39"/>
      <c r="O1012" s="40">
        <v>23696.85</v>
      </c>
      <c r="P1012" s="40">
        <f>$V$1*'[1] Кондиционеры бытовые'!K6</f>
        <v>19646.55</v>
      </c>
      <c r="Q1012" s="40">
        <f t="shared" si="94"/>
        <v>23696.85</v>
      </c>
      <c r="R1012" s="66">
        <f t="shared" ref="R1012:R1073" si="95">P1012</f>
        <v>19646.55</v>
      </c>
      <c r="S1012" s="40">
        <f>ROUND('Смета ЕР (общ) '!$N1012*'Смета ЕР (общ) '!$Q1012,2)</f>
        <v>0</v>
      </c>
      <c r="T1012" s="40">
        <f>ROUND('Смета ЕР (общ) '!$N1012*'Смета ЕР (общ) '!$R1012,2)</f>
        <v>0</v>
      </c>
      <c r="U1012" s="67" t="s">
        <v>1084</v>
      </c>
      <c r="V1012" s="68"/>
      <c r="Y1012">
        <v>1</v>
      </c>
    </row>
    <row r="1013" spans="1:25" ht="24" x14ac:dyDescent="0.3">
      <c r="A1013" s="36" t="s">
        <v>1080</v>
      </c>
      <c r="B1013" s="36">
        <v>2</v>
      </c>
      <c r="C1013" s="36"/>
      <c r="D1013" s="36">
        <v>21</v>
      </c>
      <c r="E1013" s="36" t="str">
        <f>CONCATENATE('Смета ЕР (общ) '!$A1013,".",'Смета ЕР (общ) '!$B1013,".",'Смета ЕР (общ) '!$D1013)</f>
        <v>Р8.2.21</v>
      </c>
      <c r="F1013" s="36">
        <f t="shared" si="89"/>
        <v>1</v>
      </c>
      <c r="G1013" s="36"/>
      <c r="H1013" s="36"/>
      <c r="I1013" s="36"/>
      <c r="J1013" s="36"/>
      <c r="K1013" s="36"/>
      <c r="L1013" s="53" t="s">
        <v>1094</v>
      </c>
      <c r="M1013" s="38" t="s">
        <v>118</v>
      </c>
      <c r="N1013" s="39"/>
      <c r="O1013" s="40">
        <v>23696.85</v>
      </c>
      <c r="P1013" s="40">
        <f>$V$1*'[1] Кондиционеры бытовые'!K7</f>
        <v>24834.600000000002</v>
      </c>
      <c r="Q1013" s="40">
        <f t="shared" si="94"/>
        <v>23696.85</v>
      </c>
      <c r="R1013" s="66">
        <f t="shared" si="95"/>
        <v>24834.600000000002</v>
      </c>
      <c r="S1013" s="40">
        <f>ROUND('Смета ЕР (общ) '!$N1013*'Смета ЕР (общ) '!$Q1013,2)</f>
        <v>0</v>
      </c>
      <c r="T1013" s="40">
        <f>ROUND('Смета ЕР (общ) '!$N1013*'Смета ЕР (общ) '!$R1013,2)</f>
        <v>0</v>
      </c>
      <c r="U1013" s="67" t="s">
        <v>1084</v>
      </c>
      <c r="V1013" s="68"/>
    </row>
    <row r="1014" spans="1:25" ht="24" x14ac:dyDescent="0.3">
      <c r="A1014" s="36" t="s">
        <v>1080</v>
      </c>
      <c r="B1014" s="36">
        <v>2</v>
      </c>
      <c r="C1014" s="36"/>
      <c r="D1014" s="36">
        <v>4</v>
      </c>
      <c r="E1014" s="36" t="str">
        <f>CONCATENATE('Смета ЕР (общ) '!$A1014,".",'Смета ЕР (общ) '!$B1014,".",'Смета ЕР (общ) '!$D1014)</f>
        <v>Р8.2.4</v>
      </c>
      <c r="F1014" s="36">
        <f t="shared" si="89"/>
        <v>1</v>
      </c>
      <c r="G1014" s="36"/>
      <c r="H1014" s="36"/>
      <c r="I1014" s="36"/>
      <c r="J1014" s="36"/>
      <c r="K1014" s="36"/>
      <c r="L1014" s="53" t="s">
        <v>1095</v>
      </c>
      <c r="M1014" s="38" t="s">
        <v>118</v>
      </c>
      <c r="N1014" s="39"/>
      <c r="O1014" s="40">
        <v>23696.85</v>
      </c>
      <c r="P1014" s="40">
        <f>$V$1*'[1] Кондиционеры бытовые'!K8</f>
        <v>40653.9</v>
      </c>
      <c r="Q1014" s="40">
        <f t="shared" si="94"/>
        <v>23696.85</v>
      </c>
      <c r="R1014" s="66">
        <f t="shared" si="95"/>
        <v>40653.9</v>
      </c>
      <c r="S1014" s="40">
        <f>ROUND('Смета ЕР (общ) '!$N1014*'Смета ЕР (общ) '!$Q1014,2)</f>
        <v>0</v>
      </c>
      <c r="T1014" s="40">
        <f>ROUND('Смета ЕР (общ) '!$N1014*'Смета ЕР (общ) '!$R1014,2)</f>
        <v>0</v>
      </c>
      <c r="U1014" s="67" t="s">
        <v>1084</v>
      </c>
      <c r="V1014" s="68"/>
    </row>
    <row r="1015" spans="1:25" ht="24" x14ac:dyDescent="0.3">
      <c r="A1015" s="36" t="s">
        <v>1080</v>
      </c>
      <c r="B1015" s="36">
        <v>2</v>
      </c>
      <c r="C1015" s="36"/>
      <c r="D1015" s="36">
        <v>5</v>
      </c>
      <c r="E1015" s="36" t="str">
        <f>CONCATENATE('Смета ЕР (общ) '!$A1015,".",'Смета ЕР (общ) '!$B1015,".",'Смета ЕР (общ) '!$D1015)</f>
        <v>Р8.2.5</v>
      </c>
      <c r="F1015" s="36">
        <f t="shared" si="89"/>
        <v>1</v>
      </c>
      <c r="G1015" s="36"/>
      <c r="H1015" s="36"/>
      <c r="I1015" s="36"/>
      <c r="J1015" s="36"/>
      <c r="K1015" s="36"/>
      <c r="L1015" s="53" t="s">
        <v>1096</v>
      </c>
      <c r="M1015" s="38" t="s">
        <v>118</v>
      </c>
      <c r="N1015" s="39"/>
      <c r="O1015" s="40">
        <v>23696.85</v>
      </c>
      <c r="P1015" s="40">
        <f>$V$1*'[1] Кондиционеры бытовые'!K9</f>
        <v>54006.75</v>
      </c>
      <c r="Q1015" s="40">
        <f t="shared" si="94"/>
        <v>23696.85</v>
      </c>
      <c r="R1015" s="66">
        <f t="shared" si="95"/>
        <v>54006.75</v>
      </c>
      <c r="S1015" s="40">
        <f>ROUND('Смета ЕР (общ) '!$N1015*'Смета ЕР (общ) '!$Q1015,2)</f>
        <v>0</v>
      </c>
      <c r="T1015" s="40">
        <f>ROUND('Смета ЕР (общ) '!$N1015*'Смета ЕР (общ) '!$R1015,2)</f>
        <v>0</v>
      </c>
      <c r="U1015" s="67" t="s">
        <v>1084</v>
      </c>
      <c r="V1015" s="68"/>
    </row>
    <row r="1016" spans="1:25" ht="24" x14ac:dyDescent="0.3">
      <c r="A1016" s="36" t="s">
        <v>1080</v>
      </c>
      <c r="B1016" s="36">
        <v>2</v>
      </c>
      <c r="C1016" s="36"/>
      <c r="D1016" s="36">
        <v>60</v>
      </c>
      <c r="E1016" s="36" t="str">
        <f>CONCATENATE('Смета ЕР (общ) '!$A1016,".",'Смета ЕР (общ) '!$B1016,".",'Смета ЕР (общ) '!$D1016)</f>
        <v>Р8.2.60</v>
      </c>
      <c r="F1016" s="36">
        <f t="shared" si="89"/>
        <v>1</v>
      </c>
      <c r="G1016" s="36"/>
      <c r="H1016" s="36"/>
      <c r="I1016" s="36"/>
      <c r="J1016" s="36"/>
      <c r="K1016" s="36"/>
      <c r="L1016" s="70" t="s">
        <v>1083</v>
      </c>
      <c r="M1016" s="38" t="s">
        <v>118</v>
      </c>
      <c r="N1016" s="39"/>
      <c r="O1016" s="40">
        <v>23696.85</v>
      </c>
      <c r="P1016" s="40">
        <f>$V$1*'[1] Кондиционеры бытовые'!N5</f>
        <v>19391.400000000001</v>
      </c>
      <c r="Q1016" s="40">
        <f t="shared" si="94"/>
        <v>23696.85</v>
      </c>
      <c r="R1016" s="66">
        <f t="shared" si="95"/>
        <v>19391.400000000001</v>
      </c>
      <c r="S1016" s="40">
        <f>ROUND('Смета ЕР (общ) '!$N1016*'Смета ЕР (общ) '!$Q1016,2)</f>
        <v>0</v>
      </c>
      <c r="T1016" s="40">
        <f>ROUND('Смета ЕР (общ) '!$N1016*'Смета ЕР (общ) '!$R1016,2)</f>
        <v>0</v>
      </c>
      <c r="U1016" s="67" t="s">
        <v>1084</v>
      </c>
      <c r="V1016" s="68"/>
    </row>
    <row r="1017" spans="1:25" ht="24" x14ac:dyDescent="0.3">
      <c r="A1017" s="36" t="s">
        <v>1080</v>
      </c>
      <c r="B1017" s="36">
        <v>2</v>
      </c>
      <c r="C1017" s="36"/>
      <c r="D1017" s="36">
        <v>61</v>
      </c>
      <c r="E1017" s="36" t="str">
        <f>CONCATENATE('Смета ЕР (общ) '!$A1017,".",'Смета ЕР (общ) '!$B1017,".",'Смета ЕР (общ) '!$D1017)</f>
        <v>Р8.2.61</v>
      </c>
      <c r="F1017" s="36">
        <f t="shared" si="89"/>
        <v>1</v>
      </c>
      <c r="G1017" s="36"/>
      <c r="H1017" s="36"/>
      <c r="I1017" s="36"/>
      <c r="J1017" s="36"/>
      <c r="K1017" s="36"/>
      <c r="L1017" s="70" t="s">
        <v>1085</v>
      </c>
      <c r="M1017" s="38" t="s">
        <v>118</v>
      </c>
      <c r="N1017" s="39"/>
      <c r="O1017" s="40">
        <v>23696.85</v>
      </c>
      <c r="P1017" s="40">
        <f>$V$1*'[1] Кондиционеры бытовые'!N6</f>
        <v>21602.7</v>
      </c>
      <c r="Q1017" s="40">
        <f t="shared" si="94"/>
        <v>23696.85</v>
      </c>
      <c r="R1017" s="66">
        <f t="shared" si="95"/>
        <v>21602.7</v>
      </c>
      <c r="S1017" s="40">
        <f>ROUND('Смета ЕР (общ) '!$N1017*'Смета ЕР (общ) '!$Q1017,2)</f>
        <v>0</v>
      </c>
      <c r="T1017" s="40">
        <f>ROUND('Смета ЕР (общ) '!$N1017*'Смета ЕР (общ) '!$R1017,2)</f>
        <v>0</v>
      </c>
      <c r="U1017" s="67" t="s">
        <v>1084</v>
      </c>
      <c r="V1017" s="68"/>
    </row>
    <row r="1018" spans="1:25" ht="24" x14ac:dyDescent="0.3">
      <c r="A1018" s="36" t="s">
        <v>1080</v>
      </c>
      <c r="B1018" s="36">
        <v>2</v>
      </c>
      <c r="C1018" s="36"/>
      <c r="D1018" s="36">
        <v>62</v>
      </c>
      <c r="E1018" s="36" t="str">
        <f>CONCATENATE('Смета ЕР (общ) '!$A1018,".",'Смета ЕР (общ) '!$B1018,".",'Смета ЕР (общ) '!$D1018)</f>
        <v>Р8.2.62</v>
      </c>
      <c r="F1018" s="36">
        <f t="shared" si="89"/>
        <v>1</v>
      </c>
      <c r="G1018" s="36"/>
      <c r="H1018" s="36"/>
      <c r="I1018" s="36"/>
      <c r="J1018" s="36"/>
      <c r="K1018" s="36"/>
      <c r="L1018" s="70" t="s">
        <v>1086</v>
      </c>
      <c r="M1018" s="38" t="s">
        <v>118</v>
      </c>
      <c r="N1018" s="39"/>
      <c r="O1018" s="40">
        <v>23696.85</v>
      </c>
      <c r="P1018" s="40">
        <f>$V$1*'[1] Кондиционеры бытовые'!N7</f>
        <v>26620.65</v>
      </c>
      <c r="Q1018" s="40">
        <f t="shared" si="94"/>
        <v>23696.85</v>
      </c>
      <c r="R1018" s="66">
        <f t="shared" si="95"/>
        <v>26620.65</v>
      </c>
      <c r="S1018" s="40">
        <f>ROUND('Смета ЕР (общ) '!$N1018*'Смета ЕР (общ) '!$Q1018,2)</f>
        <v>0</v>
      </c>
      <c r="T1018" s="40">
        <f>ROUND('Смета ЕР (общ) '!$N1018*'Смета ЕР (общ) '!$R1018,2)</f>
        <v>0</v>
      </c>
      <c r="U1018" s="67" t="s">
        <v>1084</v>
      </c>
      <c r="V1018" s="68"/>
    </row>
    <row r="1019" spans="1:25" ht="24" x14ac:dyDescent="0.3">
      <c r="A1019" s="36" t="s">
        <v>1080</v>
      </c>
      <c r="B1019" s="36">
        <v>2</v>
      </c>
      <c r="C1019" s="36"/>
      <c r="D1019" s="36">
        <v>63</v>
      </c>
      <c r="E1019" s="36" t="str">
        <f>CONCATENATE('Смета ЕР (общ) '!$A1019,".",'Смета ЕР (общ) '!$B1019,".",'Смета ЕР (общ) '!$D1019)</f>
        <v>Р8.2.63</v>
      </c>
      <c r="F1019" s="36">
        <f t="shared" si="89"/>
        <v>1</v>
      </c>
      <c r="G1019" s="36"/>
      <c r="H1019" s="36"/>
      <c r="I1019" s="36"/>
      <c r="J1019" s="36"/>
      <c r="K1019" s="36"/>
      <c r="L1019" s="70" t="s">
        <v>1087</v>
      </c>
      <c r="M1019" s="38" t="s">
        <v>118</v>
      </c>
      <c r="N1019" s="39"/>
      <c r="O1019" s="40">
        <v>23696.85</v>
      </c>
      <c r="P1019" s="40">
        <f>$V$1*'[1] Кондиционеры бытовые'!N8</f>
        <v>42354.9</v>
      </c>
      <c r="Q1019" s="40">
        <f t="shared" si="94"/>
        <v>23696.85</v>
      </c>
      <c r="R1019" s="66">
        <f t="shared" si="95"/>
        <v>42354.9</v>
      </c>
      <c r="S1019" s="40">
        <f>ROUND('Смета ЕР (общ) '!$N1019*'Смета ЕР (общ) '!$Q1019,2)</f>
        <v>0</v>
      </c>
      <c r="T1019" s="40">
        <f>ROUND('Смета ЕР (общ) '!$N1019*'Смета ЕР (общ) '!$R1019,2)</f>
        <v>0</v>
      </c>
      <c r="U1019" s="67" t="s">
        <v>1084</v>
      </c>
      <c r="V1019" s="68"/>
    </row>
    <row r="1020" spans="1:25" ht="24" x14ac:dyDescent="0.3">
      <c r="A1020" s="36" t="s">
        <v>1080</v>
      </c>
      <c r="B1020" s="36">
        <v>2</v>
      </c>
      <c r="C1020" s="36"/>
      <c r="D1020" s="36">
        <v>64</v>
      </c>
      <c r="E1020" s="36" t="str">
        <f>CONCATENATE('Смета ЕР (общ) '!$A1020,".",'Смета ЕР (общ) '!$B1020,".",'Смета ЕР (общ) '!$D1020)</f>
        <v>Р8.2.64</v>
      </c>
      <c r="F1020" s="36">
        <f t="shared" si="89"/>
        <v>1</v>
      </c>
      <c r="G1020" s="36"/>
      <c r="H1020" s="36"/>
      <c r="I1020" s="36"/>
      <c r="J1020" s="36"/>
      <c r="K1020" s="36"/>
      <c r="L1020" s="70" t="s">
        <v>1088</v>
      </c>
      <c r="M1020" s="38" t="s">
        <v>118</v>
      </c>
      <c r="N1020" s="39"/>
      <c r="O1020" s="40">
        <v>23696.85</v>
      </c>
      <c r="P1020" s="40">
        <f>$V$1*'[1] Кондиционеры бытовые'!N9</f>
        <v>56813.4</v>
      </c>
      <c r="Q1020" s="40">
        <f t="shared" si="94"/>
        <v>23696.85</v>
      </c>
      <c r="R1020" s="66">
        <f t="shared" si="95"/>
        <v>56813.4</v>
      </c>
      <c r="S1020" s="40">
        <f>ROUND('Смета ЕР (общ) '!$N1020*'Смета ЕР (общ) '!$Q1020,2)</f>
        <v>0</v>
      </c>
      <c r="T1020" s="40">
        <f>ROUND('Смета ЕР (общ) '!$N1020*'Смета ЕР (общ) '!$R1020,2)</f>
        <v>0</v>
      </c>
      <c r="U1020" s="67" t="s">
        <v>1084</v>
      </c>
      <c r="V1020" s="68"/>
    </row>
    <row r="1021" spans="1:25" ht="24" x14ac:dyDescent="0.3">
      <c r="A1021" s="36" t="s">
        <v>1080</v>
      </c>
      <c r="B1021" s="36">
        <v>2</v>
      </c>
      <c r="C1021" s="36"/>
      <c r="D1021" s="36">
        <v>65</v>
      </c>
      <c r="E1021" s="36" t="str">
        <f>CONCATENATE('Смета ЕР (общ) '!$A1021,".",'Смета ЕР (общ) '!$B1021,".",'Смета ЕР (общ) '!$D1021)</f>
        <v>Р8.2.65</v>
      </c>
      <c r="F1021" s="36">
        <f t="shared" si="89"/>
        <v>1</v>
      </c>
      <c r="G1021" s="36"/>
      <c r="H1021" s="36"/>
      <c r="I1021" s="36"/>
      <c r="J1021" s="36"/>
      <c r="K1021" s="36"/>
      <c r="L1021" s="70" t="s">
        <v>1097</v>
      </c>
      <c r="M1021" s="38" t="s">
        <v>118</v>
      </c>
      <c r="N1021" s="39"/>
      <c r="O1021" s="40">
        <v>19500.18</v>
      </c>
      <c r="P1021" s="40">
        <f>$V$1*'[1] Кондиционеры бытовые'!N23</f>
        <v>64382.85</v>
      </c>
      <c r="Q1021" s="40">
        <f t="shared" si="94"/>
        <v>19500.18</v>
      </c>
      <c r="R1021" s="66">
        <f t="shared" si="95"/>
        <v>64382.85</v>
      </c>
      <c r="S1021" s="40">
        <f>ROUND('Смета ЕР (общ) '!$N1021*'Смета ЕР (общ) '!$Q1021,2)</f>
        <v>0</v>
      </c>
      <c r="T1021" s="40">
        <f>ROUND('Смета ЕР (общ) '!$N1021*'Смета ЕР (общ) '!$R1021,2)</f>
        <v>0</v>
      </c>
      <c r="U1021" s="67" t="s">
        <v>1084</v>
      </c>
      <c r="V1021" s="68"/>
    </row>
    <row r="1022" spans="1:25" ht="24" x14ac:dyDescent="0.3">
      <c r="A1022" s="36" t="s">
        <v>1080</v>
      </c>
      <c r="B1022" s="36">
        <v>2</v>
      </c>
      <c r="C1022" s="36"/>
      <c r="D1022" s="36">
        <v>66</v>
      </c>
      <c r="E1022" s="36" t="str">
        <f>CONCATENATE('Смета ЕР (общ) '!$A1022,".",'Смета ЕР (общ) '!$B1022,".",'Смета ЕР (общ) '!$D1022)</f>
        <v>Р8.2.66</v>
      </c>
      <c r="F1022" s="36">
        <f t="shared" si="89"/>
        <v>1</v>
      </c>
      <c r="G1022" s="36"/>
      <c r="H1022" s="36"/>
      <c r="I1022" s="36"/>
      <c r="J1022" s="36"/>
      <c r="K1022" s="36"/>
      <c r="L1022" s="70" t="s">
        <v>1098</v>
      </c>
      <c r="M1022" s="38" t="s">
        <v>118</v>
      </c>
      <c r="N1022" s="39"/>
      <c r="O1022" s="40">
        <v>20038.87</v>
      </c>
      <c r="P1022" s="40">
        <f>$V$1*'[1] Кондиционеры бытовые'!N24</f>
        <v>92789.55</v>
      </c>
      <c r="Q1022" s="40">
        <f t="shared" si="94"/>
        <v>20038.87</v>
      </c>
      <c r="R1022" s="66">
        <f t="shared" si="95"/>
        <v>92789.55</v>
      </c>
      <c r="S1022" s="40">
        <f>ROUND('Смета ЕР (общ) '!$N1022*'Смета ЕР (общ) '!$Q1022,2)</f>
        <v>0</v>
      </c>
      <c r="T1022" s="40">
        <f>ROUND('Смета ЕР (общ) '!$N1022*'Смета ЕР (общ) '!$R1022,2)</f>
        <v>0</v>
      </c>
      <c r="U1022" s="67" t="s">
        <v>1084</v>
      </c>
      <c r="V1022" s="68"/>
    </row>
    <row r="1023" spans="1:25" ht="24" x14ac:dyDescent="0.3">
      <c r="A1023" s="36" t="s">
        <v>1080</v>
      </c>
      <c r="B1023" s="36">
        <v>2</v>
      </c>
      <c r="C1023" s="36"/>
      <c r="D1023" s="36">
        <v>67</v>
      </c>
      <c r="E1023" s="36" t="str">
        <f>CONCATENATE('Смета ЕР (общ) '!$A1023,".",'Смета ЕР (общ) '!$B1023,".",'Смета ЕР (общ) '!$D1023)</f>
        <v>Р8.2.67</v>
      </c>
      <c r="F1023" s="36">
        <f t="shared" si="89"/>
        <v>1</v>
      </c>
      <c r="G1023" s="36"/>
      <c r="H1023" s="36"/>
      <c r="I1023" s="36"/>
      <c r="J1023" s="36"/>
      <c r="K1023" s="36"/>
      <c r="L1023" s="70" t="s">
        <v>1099</v>
      </c>
      <c r="M1023" s="38" t="s">
        <v>118</v>
      </c>
      <c r="N1023" s="39"/>
      <c r="O1023" s="40">
        <v>20362.07</v>
      </c>
      <c r="P1023" s="40">
        <f>$V$1*'[1] Кондиционеры бытовые'!N25</f>
        <v>113286.6</v>
      </c>
      <c r="Q1023" s="40">
        <f t="shared" si="94"/>
        <v>20362.07</v>
      </c>
      <c r="R1023" s="66">
        <f t="shared" si="95"/>
        <v>113286.6</v>
      </c>
      <c r="S1023" s="40">
        <f>ROUND('Смета ЕР (общ) '!$N1023*'Смета ЕР (общ) '!$Q1023,2)</f>
        <v>0</v>
      </c>
      <c r="T1023" s="40">
        <f>ROUND('Смета ЕР (общ) '!$N1023*'Смета ЕР (общ) '!$R1023,2)</f>
        <v>0</v>
      </c>
      <c r="U1023" s="67" t="s">
        <v>1084</v>
      </c>
      <c r="V1023" s="68"/>
    </row>
    <row r="1024" spans="1:25" ht="24" x14ac:dyDescent="0.3">
      <c r="A1024" s="36" t="s">
        <v>1080</v>
      </c>
      <c r="B1024" s="36">
        <v>2</v>
      </c>
      <c r="C1024" s="36"/>
      <c r="D1024" s="36">
        <v>68</v>
      </c>
      <c r="E1024" s="36" t="str">
        <f>CONCATENATE('Смета ЕР (общ) '!$A1024,".",'Смета ЕР (общ) '!$B1024,".",'Смета ЕР (общ) '!$D1024)</f>
        <v>Р8.2.68</v>
      </c>
      <c r="F1024" s="36">
        <f t="shared" si="89"/>
        <v>1</v>
      </c>
      <c r="G1024" s="36"/>
      <c r="H1024" s="36"/>
      <c r="I1024" s="36"/>
      <c r="J1024" s="36"/>
      <c r="K1024" s="36"/>
      <c r="L1024" s="70" t="s">
        <v>1100</v>
      </c>
      <c r="M1024" s="38" t="s">
        <v>118</v>
      </c>
      <c r="N1024" s="39"/>
      <c r="O1024" s="40">
        <v>21547.17</v>
      </c>
      <c r="P1024" s="40">
        <f>$V$1*'[1] Кондиционеры бытовые'!N26</f>
        <v>131232.15</v>
      </c>
      <c r="Q1024" s="40">
        <f t="shared" si="94"/>
        <v>21547.17</v>
      </c>
      <c r="R1024" s="66">
        <f t="shared" si="95"/>
        <v>131232.15</v>
      </c>
      <c r="S1024" s="40">
        <f>ROUND('Смета ЕР (общ) '!$N1024*'Смета ЕР (общ) '!$Q1024,2)</f>
        <v>0</v>
      </c>
      <c r="T1024" s="40">
        <f>ROUND('Смета ЕР (общ) '!$N1024*'Смета ЕР (общ) '!$R1024,2)</f>
        <v>0</v>
      </c>
      <c r="U1024" s="67" t="s">
        <v>1084</v>
      </c>
      <c r="V1024" s="68"/>
    </row>
    <row r="1025" spans="1:25" ht="24" x14ac:dyDescent="0.3">
      <c r="A1025" s="36" t="s">
        <v>1080</v>
      </c>
      <c r="B1025" s="36">
        <v>2</v>
      </c>
      <c r="C1025" s="36"/>
      <c r="D1025" s="36">
        <v>69</v>
      </c>
      <c r="E1025" s="36" t="str">
        <f>CONCATENATE('Смета ЕР (общ) '!$A1025,".",'Смета ЕР (общ) '!$B1025,".",'Смета ЕР (общ) '!$D1025)</f>
        <v>Р8.2.69</v>
      </c>
      <c r="F1025" s="36">
        <f t="shared" si="89"/>
        <v>1</v>
      </c>
      <c r="G1025" s="36"/>
      <c r="H1025" s="36"/>
      <c r="I1025" s="36"/>
      <c r="J1025" s="36"/>
      <c r="K1025" s="36"/>
      <c r="L1025" s="70" t="s">
        <v>1101</v>
      </c>
      <c r="M1025" s="38" t="s">
        <v>118</v>
      </c>
      <c r="N1025" s="39"/>
      <c r="O1025" s="40">
        <v>18668.68</v>
      </c>
      <c r="P1025" s="40">
        <f>$V$1*'[1] Кондиционеры бытовые'!N10</f>
        <v>45671.85</v>
      </c>
      <c r="Q1025" s="40">
        <f t="shared" si="94"/>
        <v>18668.68</v>
      </c>
      <c r="R1025" s="66">
        <f t="shared" si="95"/>
        <v>45671.85</v>
      </c>
      <c r="S1025" s="40">
        <f>ROUND('Смета ЕР (общ) '!$N1025*'Смета ЕР (общ) '!$Q1025,2)</f>
        <v>0</v>
      </c>
      <c r="T1025" s="40">
        <f>ROUND('Смета ЕР (общ) '!$N1025*'Смета ЕР (общ) '!$R1025,2)</f>
        <v>0</v>
      </c>
      <c r="U1025" s="67" t="s">
        <v>1084</v>
      </c>
      <c r="V1025" s="68"/>
    </row>
    <row r="1026" spans="1:25" ht="24" x14ac:dyDescent="0.3">
      <c r="A1026" s="36" t="s">
        <v>1080</v>
      </c>
      <c r="B1026" s="36">
        <v>2</v>
      </c>
      <c r="C1026" s="36"/>
      <c r="D1026" s="36">
        <v>70</v>
      </c>
      <c r="E1026" s="36" t="str">
        <f>CONCATENATE('Смета ЕР (общ) '!$A1026,".",'Смета ЕР (общ) '!$B1026,".",'Смета ЕР (общ) '!$D1026)</f>
        <v>Р8.2.70</v>
      </c>
      <c r="F1026" s="36">
        <f t="shared" si="89"/>
        <v>1</v>
      </c>
      <c r="G1026" s="36"/>
      <c r="H1026" s="36"/>
      <c r="I1026" s="36"/>
      <c r="J1026" s="36"/>
      <c r="K1026" s="36"/>
      <c r="L1026" s="70" t="s">
        <v>1102</v>
      </c>
      <c r="M1026" s="38" t="s">
        <v>118</v>
      </c>
      <c r="N1026" s="39"/>
      <c r="O1026" s="40">
        <v>18668.68</v>
      </c>
      <c r="P1026" s="40">
        <f>$V$1*'[1] Кондиционеры бытовые'!N11</f>
        <v>49924.35</v>
      </c>
      <c r="Q1026" s="40">
        <f t="shared" si="94"/>
        <v>18668.68</v>
      </c>
      <c r="R1026" s="66">
        <f t="shared" si="95"/>
        <v>49924.35</v>
      </c>
      <c r="S1026" s="40">
        <f>ROUND('Смета ЕР (общ) '!$N1026*'Смета ЕР (общ) '!$Q1026,2)</f>
        <v>0</v>
      </c>
      <c r="T1026" s="40">
        <f>ROUND('Смета ЕР (общ) '!$N1026*'Смета ЕР (общ) '!$R1026,2)</f>
        <v>0</v>
      </c>
      <c r="U1026" s="67" t="s">
        <v>1084</v>
      </c>
      <c r="V1026" s="68"/>
    </row>
    <row r="1027" spans="1:25" ht="24" x14ac:dyDescent="0.3">
      <c r="A1027" s="36" t="s">
        <v>1080</v>
      </c>
      <c r="B1027" s="36">
        <v>2</v>
      </c>
      <c r="C1027" s="36"/>
      <c r="D1027" s="36">
        <v>71</v>
      </c>
      <c r="E1027" s="36" t="str">
        <f>CONCATENATE('Смета ЕР (общ) '!$A1027,".",'Смета ЕР (общ) '!$B1027,".",'Смета ЕР (общ) '!$D1027)</f>
        <v>Р8.2.71</v>
      </c>
      <c r="F1027" s="36">
        <f t="shared" si="89"/>
        <v>1</v>
      </c>
      <c r="G1027" s="36"/>
      <c r="H1027" s="36"/>
      <c r="I1027" s="36"/>
      <c r="J1027" s="36"/>
      <c r="K1027" s="36"/>
      <c r="L1027" s="70" t="s">
        <v>1103</v>
      </c>
      <c r="M1027" s="38" t="s">
        <v>118</v>
      </c>
      <c r="N1027" s="39"/>
      <c r="O1027" s="40">
        <v>19500.18</v>
      </c>
      <c r="P1027" s="40">
        <f>$V$1*'[1] Кондиционеры бытовые'!N12</f>
        <v>65403.450000000004</v>
      </c>
      <c r="Q1027" s="40">
        <f t="shared" si="94"/>
        <v>19500.18</v>
      </c>
      <c r="R1027" s="66">
        <f t="shared" si="95"/>
        <v>65403.450000000004</v>
      </c>
      <c r="S1027" s="40">
        <f>ROUND('Смета ЕР (общ) '!$N1027*'Смета ЕР (общ) '!$Q1027,2)</f>
        <v>0</v>
      </c>
      <c r="T1027" s="40">
        <f>ROUND('Смета ЕР (общ) '!$N1027*'Смета ЕР (общ) '!$R1027,2)</f>
        <v>0</v>
      </c>
      <c r="U1027" s="67" t="s">
        <v>1084</v>
      </c>
      <c r="V1027" s="68"/>
    </row>
    <row r="1028" spans="1:25" ht="24" x14ac:dyDescent="0.3">
      <c r="A1028" s="36" t="s">
        <v>1080</v>
      </c>
      <c r="B1028" s="36">
        <v>2</v>
      </c>
      <c r="C1028" s="36"/>
      <c r="D1028" s="36">
        <v>72</v>
      </c>
      <c r="E1028" s="36" t="str">
        <f>CONCATENATE('Смета ЕР (общ) '!$A1028,".",'Смета ЕР (общ) '!$B1028,".",'Смета ЕР (общ) '!$D1028)</f>
        <v>Р8.2.72</v>
      </c>
      <c r="F1028" s="36">
        <f t="shared" si="89"/>
        <v>1</v>
      </c>
      <c r="G1028" s="36"/>
      <c r="H1028" s="36"/>
      <c r="I1028" s="36"/>
      <c r="J1028" s="36"/>
      <c r="K1028" s="36"/>
      <c r="L1028" s="70" t="s">
        <v>1104</v>
      </c>
      <c r="M1028" s="38" t="s">
        <v>118</v>
      </c>
      <c r="N1028" s="39"/>
      <c r="O1028" s="40">
        <v>20038.87</v>
      </c>
      <c r="P1028" s="40">
        <f>$V$1*'[1] Кондиционеры бытовые'!N14</f>
        <v>90493.2</v>
      </c>
      <c r="Q1028" s="40">
        <f t="shared" si="94"/>
        <v>20038.87</v>
      </c>
      <c r="R1028" s="66">
        <f t="shared" si="95"/>
        <v>90493.2</v>
      </c>
      <c r="S1028" s="40">
        <f>ROUND('Смета ЕР (общ) '!$N1028*'Смета ЕР (общ) '!$Q1028,2)</f>
        <v>0</v>
      </c>
      <c r="T1028" s="40">
        <f>ROUND('Смета ЕР (общ) '!$N1028*'Смета ЕР (общ) '!$R1028,2)</f>
        <v>0</v>
      </c>
      <c r="U1028" s="67" t="s">
        <v>1084</v>
      </c>
      <c r="V1028" s="68"/>
    </row>
    <row r="1029" spans="1:25" ht="24" x14ac:dyDescent="0.3">
      <c r="A1029" s="36" t="s">
        <v>1080</v>
      </c>
      <c r="B1029" s="36">
        <v>2</v>
      </c>
      <c r="C1029" s="36"/>
      <c r="D1029" s="36">
        <v>73</v>
      </c>
      <c r="E1029" s="36" t="str">
        <f>CONCATENATE('Смета ЕР (общ) '!$A1029,".",'Смета ЕР (общ) '!$B1029,".",'Смета ЕР (общ) '!$D1029)</f>
        <v>Р8.2.73</v>
      </c>
      <c r="F1029" s="36">
        <f t="shared" si="89"/>
        <v>1</v>
      </c>
      <c r="G1029" s="36"/>
      <c r="H1029" s="36"/>
      <c r="I1029" s="36"/>
      <c r="J1029" s="36"/>
      <c r="K1029" s="36"/>
      <c r="L1029" s="70" t="s">
        <v>1105</v>
      </c>
      <c r="M1029" s="38" t="s">
        <v>118</v>
      </c>
      <c r="N1029" s="39"/>
      <c r="O1029" s="40">
        <v>20038.87</v>
      </c>
      <c r="P1029" s="40">
        <f>$V$1*'[1] Кондиционеры бытовые'!N15</f>
        <v>103335.75</v>
      </c>
      <c r="Q1029" s="40">
        <f t="shared" si="94"/>
        <v>20038.87</v>
      </c>
      <c r="R1029" s="66">
        <f t="shared" si="95"/>
        <v>103335.75</v>
      </c>
      <c r="S1029" s="40">
        <f>ROUND('Смета ЕР (общ) '!$N1029*'Смета ЕР (общ) '!$Q1029,2)</f>
        <v>0</v>
      </c>
      <c r="T1029" s="40">
        <f>ROUND('Смета ЕР (общ) '!$N1029*'Смета ЕР (общ) '!$R1029,2)</f>
        <v>0</v>
      </c>
      <c r="U1029" s="67" t="s">
        <v>1084</v>
      </c>
      <c r="V1029" s="68"/>
    </row>
    <row r="1030" spans="1:25" ht="24" x14ac:dyDescent="0.3">
      <c r="A1030" s="36" t="s">
        <v>1080</v>
      </c>
      <c r="B1030" s="36">
        <v>2</v>
      </c>
      <c r="C1030" s="36"/>
      <c r="D1030" s="36">
        <v>74</v>
      </c>
      <c r="E1030" s="36" t="str">
        <f>CONCATENATE('Смета ЕР (общ) '!$A1030,".",'Смета ЕР (общ) '!$B1030,".",'Смета ЕР (общ) '!$D1030)</f>
        <v>Р8.2.74</v>
      </c>
      <c r="F1030" s="36">
        <f t="shared" si="89"/>
        <v>1</v>
      </c>
      <c r="G1030" s="36"/>
      <c r="H1030" s="36"/>
      <c r="I1030" s="36"/>
      <c r="J1030" s="36"/>
      <c r="K1030" s="36"/>
      <c r="L1030" s="70" t="s">
        <v>1106</v>
      </c>
      <c r="M1030" s="38" t="s">
        <v>118</v>
      </c>
      <c r="N1030" s="39"/>
      <c r="O1030" s="40">
        <v>20038.87</v>
      </c>
      <c r="P1030" s="40">
        <f>$V$1*'[1] Кондиционеры бытовые'!N16</f>
        <v>132167.70000000001</v>
      </c>
      <c r="Q1030" s="40">
        <f t="shared" si="94"/>
        <v>20038.87</v>
      </c>
      <c r="R1030" s="66">
        <f t="shared" si="95"/>
        <v>132167.70000000001</v>
      </c>
      <c r="S1030" s="40">
        <f>ROUND('Смета ЕР (общ) '!$N1030*'Смета ЕР (общ) '!$Q1030,2)</f>
        <v>0</v>
      </c>
      <c r="T1030" s="40">
        <f>ROUND('Смета ЕР (общ) '!$N1030*'Смета ЕР (общ) '!$R1030,2)</f>
        <v>0</v>
      </c>
      <c r="U1030" s="67" t="s">
        <v>1084</v>
      </c>
      <c r="V1030" s="68"/>
    </row>
    <row r="1031" spans="1:25" ht="24" x14ac:dyDescent="0.3">
      <c r="A1031" s="36" t="s">
        <v>1080</v>
      </c>
      <c r="B1031" s="36">
        <v>2</v>
      </c>
      <c r="C1031" s="36"/>
      <c r="D1031" s="36">
        <v>29</v>
      </c>
      <c r="E1031" s="36" t="str">
        <f>CONCATENATE('Смета ЕР (общ) '!$A1031,".",'Смета ЕР (общ) '!$B1031,".",'Смета ЕР (общ) '!$D1031)</f>
        <v>Р8.2.29</v>
      </c>
      <c r="F1031" s="36">
        <f t="shared" si="89"/>
        <v>1</v>
      </c>
      <c r="G1031" s="36"/>
      <c r="H1031" s="36"/>
      <c r="I1031" s="36"/>
      <c r="J1031" s="36"/>
      <c r="K1031" s="36"/>
      <c r="L1031" s="53" t="s">
        <v>1107</v>
      </c>
      <c r="M1031" s="38" t="s">
        <v>118</v>
      </c>
      <c r="N1031" s="39"/>
      <c r="O1031" s="40">
        <v>11164.47</v>
      </c>
      <c r="P1031" s="40">
        <f>$V$1*'[1]Кондиционеры Haier VRF'!J28</f>
        <v>21687.75</v>
      </c>
      <c r="Q1031" s="40">
        <f t="shared" si="94"/>
        <v>11164.47</v>
      </c>
      <c r="R1031" s="66">
        <f t="shared" si="95"/>
        <v>21687.75</v>
      </c>
      <c r="S1031" s="40">
        <f>ROUND('Смета ЕР (общ) '!$N1031*'Смета ЕР (общ) '!$Q1031,2)</f>
        <v>0</v>
      </c>
      <c r="T1031" s="40">
        <f>ROUND('Смета ЕР (общ) '!$N1031*'Смета ЕР (общ) '!$R1031,2)</f>
        <v>0</v>
      </c>
      <c r="U1031" s="73" t="s">
        <v>1108</v>
      </c>
      <c r="V1031" s="68"/>
      <c r="Y1031">
        <v>6</v>
      </c>
    </row>
    <row r="1032" spans="1:25" ht="24" x14ac:dyDescent="0.3">
      <c r="A1032" s="36" t="s">
        <v>1080</v>
      </c>
      <c r="B1032" s="36">
        <v>2</v>
      </c>
      <c r="C1032" s="36"/>
      <c r="D1032" s="36">
        <v>1</v>
      </c>
      <c r="E1032" s="36" t="str">
        <f>CONCATENATE('Смета ЕР (общ) '!$A1032,".",'Смета ЕР (общ) '!$B1032,".",'Смета ЕР (общ) '!$D1032)</f>
        <v>Р8.2.1</v>
      </c>
      <c r="F1032" s="36">
        <f t="shared" si="89"/>
        <v>1</v>
      </c>
      <c r="G1032" s="36"/>
      <c r="H1032" s="36"/>
      <c r="I1032" s="36"/>
      <c r="J1032" s="36"/>
      <c r="K1032" s="36"/>
      <c r="L1032" s="53" t="s">
        <v>1109</v>
      </c>
      <c r="M1032" s="38" t="s">
        <v>118</v>
      </c>
      <c r="N1032" s="39"/>
      <c r="O1032" s="40">
        <v>11164.47</v>
      </c>
      <c r="P1032" s="40">
        <f>$V$1*'[1]Кондиционеры Haier VRF'!J29</f>
        <v>21857.850000000002</v>
      </c>
      <c r="Q1032" s="40">
        <f t="shared" si="94"/>
        <v>11164.47</v>
      </c>
      <c r="R1032" s="66">
        <f t="shared" si="95"/>
        <v>21857.850000000002</v>
      </c>
      <c r="S1032" s="40">
        <f>ROUND('Смета ЕР (общ) '!$N1032*'Смета ЕР (общ) '!$Q1032,2)</f>
        <v>0</v>
      </c>
      <c r="T1032" s="40">
        <f>ROUND('Смета ЕР (общ) '!$N1032*'Смета ЕР (общ) '!$R1032,2)</f>
        <v>0</v>
      </c>
      <c r="U1032" s="73" t="s">
        <v>1108</v>
      </c>
      <c r="V1032" s="68"/>
    </row>
    <row r="1033" spans="1:25" ht="24" x14ac:dyDescent="0.3">
      <c r="A1033" s="36" t="s">
        <v>1080</v>
      </c>
      <c r="B1033" s="36">
        <v>2</v>
      </c>
      <c r="C1033" s="36"/>
      <c r="D1033" s="36">
        <v>23</v>
      </c>
      <c r="E1033" s="36" t="str">
        <f>CONCATENATE('Смета ЕР (общ) '!$A1033,".",'Смета ЕР (общ) '!$B1033,".",'Смета ЕР (общ) '!$D1033)</f>
        <v>Р8.2.23</v>
      </c>
      <c r="F1033" s="36">
        <f t="shared" si="89"/>
        <v>1</v>
      </c>
      <c r="G1033" s="36"/>
      <c r="H1033" s="36"/>
      <c r="I1033" s="36"/>
      <c r="J1033" s="36"/>
      <c r="K1033" s="36"/>
      <c r="L1033" s="53" t="s">
        <v>1110</v>
      </c>
      <c r="M1033" s="38" t="s">
        <v>118</v>
      </c>
      <c r="N1033" s="39"/>
      <c r="O1033" s="40">
        <v>11164.47</v>
      </c>
      <c r="P1033" s="40">
        <f>$V$1*'[1]Кондиционеры Haier VRF'!J30</f>
        <v>22027.95</v>
      </c>
      <c r="Q1033" s="40">
        <f t="shared" si="94"/>
        <v>11164.47</v>
      </c>
      <c r="R1033" s="66">
        <f t="shared" si="95"/>
        <v>22027.95</v>
      </c>
      <c r="S1033" s="40">
        <f>ROUND('Смета ЕР (общ) '!$N1033*'Смета ЕР (общ) '!$Q1033,2)</f>
        <v>0</v>
      </c>
      <c r="T1033" s="40">
        <f>ROUND('Смета ЕР (общ) '!$N1033*'Смета ЕР (общ) '!$R1033,2)</f>
        <v>0</v>
      </c>
      <c r="U1033" s="73" t="s">
        <v>1108</v>
      </c>
      <c r="V1033" s="68"/>
    </row>
    <row r="1034" spans="1:25" ht="24" x14ac:dyDescent="0.3">
      <c r="A1034" s="36" t="s">
        <v>1080</v>
      </c>
      <c r="B1034" s="36">
        <v>2</v>
      </c>
      <c r="C1034" s="36"/>
      <c r="D1034" s="36">
        <v>24</v>
      </c>
      <c r="E1034" s="36" t="str">
        <f>CONCATENATE('Смета ЕР (общ) '!$A1034,".",'Смета ЕР (общ) '!$B1034,".",'Смета ЕР (общ) '!$D1034)</f>
        <v>Р8.2.24</v>
      </c>
      <c r="F1034" s="36">
        <f t="shared" si="89"/>
        <v>1</v>
      </c>
      <c r="G1034" s="36"/>
      <c r="H1034" s="36"/>
      <c r="I1034" s="36"/>
      <c r="J1034" s="36"/>
      <c r="K1034" s="36"/>
      <c r="L1034" s="53" t="s">
        <v>1111</v>
      </c>
      <c r="M1034" s="38" t="s">
        <v>118</v>
      </c>
      <c r="N1034" s="39"/>
      <c r="O1034" s="40">
        <v>13211.43</v>
      </c>
      <c r="P1034" s="40">
        <f>$V$1*'[1]Кондиционеры Haier VRF'!J31</f>
        <v>22538.25</v>
      </c>
      <c r="Q1034" s="40">
        <f t="shared" si="94"/>
        <v>13211.43</v>
      </c>
      <c r="R1034" s="66">
        <f t="shared" si="95"/>
        <v>22538.25</v>
      </c>
      <c r="S1034" s="40">
        <f>ROUND('Смета ЕР (общ) '!$N1034*'Смета ЕР (общ) '!$Q1034,2)</f>
        <v>0</v>
      </c>
      <c r="T1034" s="40">
        <f>ROUND('Смета ЕР (общ) '!$N1034*'Смета ЕР (общ) '!$R1034,2)</f>
        <v>0</v>
      </c>
      <c r="U1034" s="73" t="s">
        <v>1108</v>
      </c>
      <c r="V1034" s="68"/>
    </row>
    <row r="1035" spans="1:25" ht="24" x14ac:dyDescent="0.3">
      <c r="A1035" s="36" t="s">
        <v>1080</v>
      </c>
      <c r="B1035" s="36">
        <v>2</v>
      </c>
      <c r="C1035" s="36"/>
      <c r="D1035" s="36">
        <v>25</v>
      </c>
      <c r="E1035" s="36" t="str">
        <f>CONCATENATE('Смета ЕР (общ) '!$A1035,".",'Смета ЕР (общ) '!$B1035,".",'Смета ЕР (общ) '!$D1035)</f>
        <v>Р8.2.25</v>
      </c>
      <c r="F1035" s="36">
        <f t="shared" si="89"/>
        <v>1</v>
      </c>
      <c r="G1035" s="36"/>
      <c r="H1035" s="36"/>
      <c r="I1035" s="36"/>
      <c r="J1035" s="36"/>
      <c r="K1035" s="36"/>
      <c r="L1035" s="53" t="s">
        <v>1112</v>
      </c>
      <c r="M1035" s="38" t="s">
        <v>118</v>
      </c>
      <c r="N1035" s="39"/>
      <c r="O1035" s="40">
        <v>13211.43</v>
      </c>
      <c r="P1035" s="40">
        <f>$V$1*'[1]Кондиционеры Haier VRF'!J32</f>
        <v>24749.55</v>
      </c>
      <c r="Q1035" s="40">
        <f t="shared" si="94"/>
        <v>13211.43</v>
      </c>
      <c r="R1035" s="66">
        <f t="shared" si="95"/>
        <v>24749.55</v>
      </c>
      <c r="S1035" s="40">
        <f>ROUND('Смета ЕР (общ) '!$N1035*'Смета ЕР (общ) '!$Q1035,2)</f>
        <v>0</v>
      </c>
      <c r="T1035" s="40">
        <f>ROUND('Смета ЕР (общ) '!$N1035*'Смета ЕР (общ) '!$R1035,2)</f>
        <v>0</v>
      </c>
      <c r="U1035" s="73" t="s">
        <v>1108</v>
      </c>
      <c r="V1035" s="68"/>
    </row>
    <row r="1036" spans="1:25" ht="24" x14ac:dyDescent="0.3">
      <c r="A1036" s="36" t="s">
        <v>1080</v>
      </c>
      <c r="B1036" s="36">
        <v>2</v>
      </c>
      <c r="C1036" s="36"/>
      <c r="D1036" s="36">
        <v>26</v>
      </c>
      <c r="E1036" s="36" t="str">
        <f>CONCATENATE('Смета ЕР (общ) '!$A1036,".",'Смета ЕР (общ) '!$B1036,".",'Смета ЕР (общ) '!$D1036)</f>
        <v>Р8.2.26</v>
      </c>
      <c r="F1036" s="36">
        <f t="shared" si="89"/>
        <v>1</v>
      </c>
      <c r="G1036" s="36"/>
      <c r="H1036" s="36"/>
      <c r="I1036" s="36"/>
      <c r="J1036" s="36"/>
      <c r="K1036" s="36"/>
      <c r="L1036" s="53" t="s">
        <v>1113</v>
      </c>
      <c r="M1036" s="38" t="s">
        <v>118</v>
      </c>
      <c r="N1036" s="39"/>
      <c r="O1036" s="40">
        <v>13211.43</v>
      </c>
      <c r="P1036" s="40">
        <f>$V$1*'[1]Кондиционеры Haier VRF'!J33</f>
        <v>26450.55</v>
      </c>
      <c r="Q1036" s="40">
        <f t="shared" si="94"/>
        <v>13211.43</v>
      </c>
      <c r="R1036" s="66">
        <f t="shared" si="95"/>
        <v>26450.55</v>
      </c>
      <c r="S1036" s="40">
        <f>ROUND('Смета ЕР (общ) '!$N1036*'Смета ЕР (общ) '!$Q1036,2)</f>
        <v>0</v>
      </c>
      <c r="T1036" s="40">
        <f>ROUND('Смета ЕР (общ) '!$N1036*'Смета ЕР (общ) '!$R1036,2)</f>
        <v>0</v>
      </c>
      <c r="U1036" s="73" t="s">
        <v>1108</v>
      </c>
      <c r="V1036" s="68"/>
    </row>
    <row r="1037" spans="1:25" ht="24" x14ac:dyDescent="0.3">
      <c r="A1037" s="36" t="s">
        <v>1080</v>
      </c>
      <c r="B1037" s="36">
        <v>2</v>
      </c>
      <c r="C1037" s="36"/>
      <c r="D1037" s="36">
        <v>27</v>
      </c>
      <c r="E1037" s="36" t="str">
        <f>CONCATENATE('Смета ЕР (общ) '!$A1037,".",'Смета ЕР (общ) '!$B1037,".",'Смета ЕР (общ) '!$D1037)</f>
        <v>Р8.2.27</v>
      </c>
      <c r="F1037" s="36">
        <f t="shared" si="89"/>
        <v>1</v>
      </c>
      <c r="G1037" s="36"/>
      <c r="H1037" s="36"/>
      <c r="I1037" s="36"/>
      <c r="J1037" s="36"/>
      <c r="K1037" s="36"/>
      <c r="L1037" s="53" t="s">
        <v>1114</v>
      </c>
      <c r="M1037" s="38" t="s">
        <v>118</v>
      </c>
      <c r="N1037" s="39"/>
      <c r="O1037" s="40">
        <v>13211.43</v>
      </c>
      <c r="P1037" s="40">
        <f>$V$1*'[1]Кондиционеры Haier VRF'!J34</f>
        <v>28321.65</v>
      </c>
      <c r="Q1037" s="40">
        <f t="shared" si="94"/>
        <v>13211.43</v>
      </c>
      <c r="R1037" s="66">
        <f t="shared" si="95"/>
        <v>28321.65</v>
      </c>
      <c r="S1037" s="40">
        <f>ROUND('Смета ЕР (общ) '!$N1037*'Смета ЕР (общ) '!$Q1037,2)</f>
        <v>0</v>
      </c>
      <c r="T1037" s="40">
        <f>ROUND('Смета ЕР (общ) '!$N1037*'Смета ЕР (общ) '!$R1037,2)</f>
        <v>0</v>
      </c>
      <c r="U1037" s="73" t="s">
        <v>1108</v>
      </c>
      <c r="V1037" s="68"/>
    </row>
    <row r="1038" spans="1:25" ht="24" x14ac:dyDescent="0.3">
      <c r="A1038" s="36" t="s">
        <v>1080</v>
      </c>
      <c r="B1038" s="36">
        <v>2</v>
      </c>
      <c r="C1038" s="36"/>
      <c r="D1038" s="36">
        <v>28</v>
      </c>
      <c r="E1038" s="36" t="str">
        <f>CONCATENATE('Смета ЕР (общ) '!$A1038,".",'Смета ЕР (общ) '!$B1038,".",'Смета ЕР (общ) '!$D1038)</f>
        <v>Р8.2.28</v>
      </c>
      <c r="F1038" s="36">
        <f t="shared" si="89"/>
        <v>1</v>
      </c>
      <c r="G1038" s="36"/>
      <c r="H1038" s="36"/>
      <c r="I1038" s="36"/>
      <c r="J1038" s="36"/>
      <c r="K1038" s="36"/>
      <c r="L1038" s="53" t="s">
        <v>1115</v>
      </c>
      <c r="M1038" s="38" t="s">
        <v>118</v>
      </c>
      <c r="N1038" s="39"/>
      <c r="O1038" s="40">
        <v>11164.47</v>
      </c>
      <c r="P1038" s="40">
        <f>$V$1*'[1]Кондиционеры Haier VRF'!J37</f>
        <v>25004.7</v>
      </c>
      <c r="Q1038" s="40">
        <f t="shared" si="94"/>
        <v>11164.47</v>
      </c>
      <c r="R1038" s="66">
        <f t="shared" si="95"/>
        <v>25004.7</v>
      </c>
      <c r="S1038" s="40">
        <f>ROUND('Смета ЕР (общ) '!$N1038*'Смета ЕР (общ) '!$Q1038,2)</f>
        <v>0</v>
      </c>
      <c r="T1038" s="40">
        <f>ROUND('Смета ЕР (общ) '!$N1038*'Смета ЕР (общ) '!$R1038,2)</f>
        <v>0</v>
      </c>
      <c r="U1038" s="73" t="s">
        <v>1108</v>
      </c>
      <c r="V1038" s="68"/>
    </row>
    <row r="1039" spans="1:25" ht="24" x14ac:dyDescent="0.3">
      <c r="A1039" s="36" t="s">
        <v>1080</v>
      </c>
      <c r="B1039" s="36">
        <v>2</v>
      </c>
      <c r="C1039" s="36"/>
      <c r="D1039" s="36">
        <v>36</v>
      </c>
      <c r="E1039" s="36" t="str">
        <f>CONCATENATE('Смета ЕР (общ) '!$A1039,".",'Смета ЕР (общ) '!$B1039,".",'Смета ЕР (общ) '!$D1039)</f>
        <v>Р8.2.36</v>
      </c>
      <c r="F1039" s="36">
        <f t="shared" si="89"/>
        <v>1</v>
      </c>
      <c r="G1039" s="36"/>
      <c r="H1039" s="36"/>
      <c r="I1039" s="36"/>
      <c r="J1039" s="36"/>
      <c r="K1039" s="36"/>
      <c r="L1039" s="53" t="s">
        <v>1116</v>
      </c>
      <c r="M1039" s="38" t="s">
        <v>118</v>
      </c>
      <c r="N1039" s="39"/>
      <c r="O1039" s="40">
        <v>11164.47</v>
      </c>
      <c r="P1039" s="40">
        <f>$V$1*'[1]Кондиционеры Haier VRF'!J38</f>
        <v>25174.799999999999</v>
      </c>
      <c r="Q1039" s="40">
        <f t="shared" si="94"/>
        <v>11164.47</v>
      </c>
      <c r="R1039" s="66">
        <f t="shared" si="95"/>
        <v>25174.799999999999</v>
      </c>
      <c r="S1039" s="40">
        <f>ROUND('Смета ЕР (общ) '!$N1039*'Смета ЕР (общ) '!$Q1039,2)</f>
        <v>0</v>
      </c>
      <c r="T1039" s="40">
        <f>ROUND('Смета ЕР (общ) '!$N1039*'Смета ЕР (общ) '!$R1039,2)</f>
        <v>0</v>
      </c>
      <c r="U1039" s="73" t="s">
        <v>1108</v>
      </c>
      <c r="V1039" s="68"/>
    </row>
    <row r="1040" spans="1:25" ht="24" x14ac:dyDescent="0.3">
      <c r="A1040" s="36" t="s">
        <v>1080</v>
      </c>
      <c r="B1040" s="36">
        <v>2</v>
      </c>
      <c r="C1040" s="36"/>
      <c r="D1040" s="36">
        <v>37</v>
      </c>
      <c r="E1040" s="36" t="str">
        <f>CONCATENATE('Смета ЕР (общ) '!$A1040,".",'Смета ЕР (общ) '!$B1040,".",'Смета ЕР (общ) '!$D1040)</f>
        <v>Р8.2.37</v>
      </c>
      <c r="F1040" s="36">
        <f t="shared" si="89"/>
        <v>1</v>
      </c>
      <c r="G1040" s="36"/>
      <c r="H1040" s="36"/>
      <c r="I1040" s="36"/>
      <c r="J1040" s="36"/>
      <c r="K1040" s="36"/>
      <c r="L1040" s="53" t="s">
        <v>1117</v>
      </c>
      <c r="M1040" s="38" t="s">
        <v>118</v>
      </c>
      <c r="N1040" s="39"/>
      <c r="O1040" s="40">
        <v>11164.47</v>
      </c>
      <c r="P1040" s="40">
        <f>$V$1*'[1]Кондиционеры Haier VRF'!J39</f>
        <v>25344.9</v>
      </c>
      <c r="Q1040" s="40">
        <f t="shared" si="94"/>
        <v>11164.47</v>
      </c>
      <c r="R1040" s="66">
        <f t="shared" si="95"/>
        <v>25344.9</v>
      </c>
      <c r="S1040" s="40">
        <f>ROUND('Смета ЕР (общ) '!$N1040*'Смета ЕР (общ) '!$Q1040,2)</f>
        <v>0</v>
      </c>
      <c r="T1040" s="40">
        <f>ROUND('Смета ЕР (общ) '!$N1040*'Смета ЕР (общ) '!$R1040,2)</f>
        <v>0</v>
      </c>
      <c r="U1040" s="73" t="s">
        <v>1108</v>
      </c>
      <c r="V1040" s="68"/>
    </row>
    <row r="1041" spans="1:22" ht="24" x14ac:dyDescent="0.3">
      <c r="A1041" s="36" t="s">
        <v>1080</v>
      </c>
      <c r="B1041" s="36">
        <v>2</v>
      </c>
      <c r="C1041" s="36"/>
      <c r="D1041" s="36">
        <v>38</v>
      </c>
      <c r="E1041" s="36" t="str">
        <f>CONCATENATE('Смета ЕР (общ) '!$A1041,".",'Смета ЕР (общ) '!$B1041,".",'Смета ЕР (общ) '!$D1041)</f>
        <v>Р8.2.38</v>
      </c>
      <c r="F1041" s="36">
        <f t="shared" ref="F1041:F1104" si="96">IF(N1041&gt;0,F1040+1,F1040)</f>
        <v>1</v>
      </c>
      <c r="G1041" s="36"/>
      <c r="H1041" s="36"/>
      <c r="I1041" s="36"/>
      <c r="J1041" s="36"/>
      <c r="K1041" s="36"/>
      <c r="L1041" s="53" t="s">
        <v>1118</v>
      </c>
      <c r="M1041" s="38" t="s">
        <v>118</v>
      </c>
      <c r="N1041" s="39"/>
      <c r="O1041" s="40">
        <v>13211.43</v>
      </c>
      <c r="P1041" s="40">
        <f>$V$1*'[1]Кондиционеры Haier VRF'!J40</f>
        <v>25685.100000000002</v>
      </c>
      <c r="Q1041" s="40">
        <f t="shared" si="94"/>
        <v>13211.43</v>
      </c>
      <c r="R1041" s="66">
        <f t="shared" si="95"/>
        <v>25685.100000000002</v>
      </c>
      <c r="S1041" s="40">
        <f>ROUND('Смета ЕР (общ) '!$N1041*'Смета ЕР (общ) '!$Q1041,2)</f>
        <v>0</v>
      </c>
      <c r="T1041" s="40">
        <f>ROUND('Смета ЕР (общ) '!$N1041*'Смета ЕР (общ) '!$R1041,2)</f>
        <v>0</v>
      </c>
      <c r="U1041" s="73" t="s">
        <v>1108</v>
      </c>
      <c r="V1041" s="68"/>
    </row>
    <row r="1042" spans="1:22" ht="24" x14ac:dyDescent="0.3">
      <c r="A1042" s="36" t="s">
        <v>1080</v>
      </c>
      <c r="B1042" s="36">
        <v>2</v>
      </c>
      <c r="C1042" s="36"/>
      <c r="D1042" s="36">
        <v>39</v>
      </c>
      <c r="E1042" s="36" t="str">
        <f>CONCATENATE('Смета ЕР (общ) '!$A1042,".",'Смета ЕР (общ) '!$B1042,".",'Смета ЕР (общ) '!$D1042)</f>
        <v>Р8.2.39</v>
      </c>
      <c r="F1042" s="36">
        <f t="shared" si="96"/>
        <v>1</v>
      </c>
      <c r="G1042" s="36"/>
      <c r="H1042" s="36"/>
      <c r="I1042" s="36"/>
      <c r="J1042" s="36"/>
      <c r="K1042" s="36"/>
      <c r="L1042" s="53" t="s">
        <v>1119</v>
      </c>
      <c r="M1042" s="38" t="s">
        <v>118</v>
      </c>
      <c r="N1042" s="39"/>
      <c r="O1042" s="40">
        <v>13211.43</v>
      </c>
      <c r="P1042" s="40">
        <f>$V$1*'[1]Кондиционеры Haier VRF'!J41</f>
        <v>28917</v>
      </c>
      <c r="Q1042" s="40">
        <f t="shared" si="94"/>
        <v>13211.43</v>
      </c>
      <c r="R1042" s="66">
        <f t="shared" si="95"/>
        <v>28917</v>
      </c>
      <c r="S1042" s="40">
        <f>ROUND('Смета ЕР (общ) '!$N1042*'Смета ЕР (общ) '!$Q1042,2)</f>
        <v>0</v>
      </c>
      <c r="T1042" s="40">
        <f>ROUND('Смета ЕР (общ) '!$N1042*'Смета ЕР (общ) '!$R1042,2)</f>
        <v>0</v>
      </c>
      <c r="U1042" s="73" t="s">
        <v>1108</v>
      </c>
      <c r="V1042" s="68"/>
    </row>
    <row r="1043" spans="1:22" ht="24" x14ac:dyDescent="0.3">
      <c r="A1043" s="36" t="s">
        <v>1080</v>
      </c>
      <c r="B1043" s="36">
        <v>2</v>
      </c>
      <c r="C1043" s="36"/>
      <c r="D1043" s="36">
        <v>40</v>
      </c>
      <c r="E1043" s="36" t="str">
        <f>CONCATENATE('Смета ЕР (общ) '!$A1043,".",'Смета ЕР (общ) '!$B1043,".",'Смета ЕР (общ) '!$D1043)</f>
        <v>Р8.2.40</v>
      </c>
      <c r="F1043" s="36">
        <f t="shared" si="96"/>
        <v>1</v>
      </c>
      <c r="G1043" s="36"/>
      <c r="H1043" s="36"/>
      <c r="I1043" s="36"/>
      <c r="J1043" s="36"/>
      <c r="K1043" s="36"/>
      <c r="L1043" s="53" t="s">
        <v>1120</v>
      </c>
      <c r="M1043" s="38" t="s">
        <v>118</v>
      </c>
      <c r="N1043" s="39"/>
      <c r="O1043" s="40">
        <v>13211.43</v>
      </c>
      <c r="P1043" s="40">
        <f>$V$1*'[1]Кондиционеры Haier VRF'!J42</f>
        <v>30277.8</v>
      </c>
      <c r="Q1043" s="40">
        <f t="shared" si="94"/>
        <v>13211.43</v>
      </c>
      <c r="R1043" s="66">
        <f t="shared" si="95"/>
        <v>30277.8</v>
      </c>
      <c r="S1043" s="40">
        <f>ROUND('Смета ЕР (общ) '!$N1043*'Смета ЕР (общ) '!$Q1043,2)</f>
        <v>0</v>
      </c>
      <c r="T1043" s="40">
        <f>ROUND('Смета ЕР (общ) '!$N1043*'Смета ЕР (общ) '!$R1043,2)</f>
        <v>0</v>
      </c>
      <c r="U1043" s="73" t="s">
        <v>1108</v>
      </c>
      <c r="V1043" s="68"/>
    </row>
    <row r="1044" spans="1:22" ht="24" x14ac:dyDescent="0.3">
      <c r="A1044" s="36" t="s">
        <v>1080</v>
      </c>
      <c r="B1044" s="36">
        <v>2</v>
      </c>
      <c r="C1044" s="36"/>
      <c r="D1044" s="36">
        <v>41</v>
      </c>
      <c r="E1044" s="36" t="str">
        <f>CONCATENATE('Смета ЕР (общ) '!$A1044,".",'Смета ЕР (общ) '!$B1044,".",'Смета ЕР (общ) '!$D1044)</f>
        <v>Р8.2.41</v>
      </c>
      <c r="F1044" s="36">
        <f t="shared" si="96"/>
        <v>1</v>
      </c>
      <c r="G1044" s="36"/>
      <c r="H1044" s="36"/>
      <c r="I1044" s="36"/>
      <c r="J1044" s="36"/>
      <c r="K1044" s="36"/>
      <c r="L1044" s="53" t="s">
        <v>1121</v>
      </c>
      <c r="M1044" s="38" t="s">
        <v>118</v>
      </c>
      <c r="N1044" s="39"/>
      <c r="O1044" s="40">
        <v>13211.43</v>
      </c>
      <c r="P1044" s="40">
        <f>$V$1*'[1]Кондиционеры Haier VRF'!J43</f>
        <v>32148.9</v>
      </c>
      <c r="Q1044" s="40">
        <f t="shared" si="94"/>
        <v>13211.43</v>
      </c>
      <c r="R1044" s="66">
        <f t="shared" si="95"/>
        <v>32148.9</v>
      </c>
      <c r="S1044" s="40">
        <f>ROUND('Смета ЕР (общ) '!$N1044*'Смета ЕР (общ) '!$Q1044,2)</f>
        <v>0</v>
      </c>
      <c r="T1044" s="40">
        <f>ROUND('Смета ЕР (общ) '!$N1044*'Смета ЕР (общ) '!$R1044,2)</f>
        <v>0</v>
      </c>
      <c r="U1044" s="73" t="s">
        <v>1108</v>
      </c>
      <c r="V1044" s="68"/>
    </row>
    <row r="1045" spans="1:22" ht="24" x14ac:dyDescent="0.3">
      <c r="A1045" s="36" t="s">
        <v>1080</v>
      </c>
      <c r="B1045" s="36">
        <v>2</v>
      </c>
      <c r="C1045" s="36"/>
      <c r="D1045" s="36">
        <v>75</v>
      </c>
      <c r="E1045" s="36" t="str">
        <f>CONCATENATE('Смета ЕР (общ) '!$A1045,".",'Смета ЕР (общ) '!$B1045,".",'Смета ЕР (общ) '!$D1045)</f>
        <v>Р8.2.75</v>
      </c>
      <c r="F1045" s="36">
        <f t="shared" si="96"/>
        <v>1</v>
      </c>
      <c r="G1045" s="36"/>
      <c r="H1045" s="36"/>
      <c r="I1045" s="36"/>
      <c r="J1045" s="36"/>
      <c r="K1045" s="36"/>
      <c r="L1045" s="70" t="s">
        <v>1122</v>
      </c>
      <c r="M1045" s="38" t="s">
        <v>118</v>
      </c>
      <c r="N1045" s="39"/>
      <c r="O1045" s="40">
        <v>11164.47</v>
      </c>
      <c r="P1045" s="40">
        <f>$V$1*'[1]Кондиционеры MDV VRF'!J190</f>
        <v>34414.065000000002</v>
      </c>
      <c r="Q1045" s="40">
        <f t="shared" si="94"/>
        <v>11164.47</v>
      </c>
      <c r="R1045" s="66">
        <f t="shared" si="95"/>
        <v>34414.065000000002</v>
      </c>
      <c r="S1045" s="40">
        <f>ROUND('Смета ЕР (общ) '!$N1045*'Смета ЕР (общ) '!$Q1045,2)</f>
        <v>0</v>
      </c>
      <c r="T1045" s="40">
        <f>ROUND('Смета ЕР (общ) '!$N1045*'Смета ЕР (общ) '!$R1045,2)</f>
        <v>0</v>
      </c>
      <c r="U1045" s="73" t="s">
        <v>1123</v>
      </c>
      <c r="V1045" s="68"/>
    </row>
    <row r="1046" spans="1:22" ht="24" x14ac:dyDescent="0.3">
      <c r="A1046" s="36" t="s">
        <v>1080</v>
      </c>
      <c r="B1046" s="36">
        <v>2</v>
      </c>
      <c r="C1046" s="36"/>
      <c r="D1046" s="36">
        <v>76</v>
      </c>
      <c r="E1046" s="36" t="str">
        <f>CONCATENATE('Смета ЕР (общ) '!$A1046,".",'Смета ЕР (общ) '!$B1046,".",'Смета ЕР (общ) '!$D1046)</f>
        <v>Р8.2.76</v>
      </c>
      <c r="F1046" s="36">
        <f t="shared" si="96"/>
        <v>1</v>
      </c>
      <c r="G1046" s="36"/>
      <c r="H1046" s="36"/>
      <c r="I1046" s="36"/>
      <c r="J1046" s="36"/>
      <c r="K1046" s="36"/>
      <c r="L1046" s="70" t="s">
        <v>1124</v>
      </c>
      <c r="M1046" s="38" t="s">
        <v>118</v>
      </c>
      <c r="N1046" s="39"/>
      <c r="O1046" s="40">
        <v>11164.47</v>
      </c>
      <c r="P1046" s="40">
        <f>$V$1*'[1]Кондиционеры MDV VRF'!J191</f>
        <v>35002.044000000002</v>
      </c>
      <c r="Q1046" s="40">
        <f t="shared" si="94"/>
        <v>11164.47</v>
      </c>
      <c r="R1046" s="66">
        <f t="shared" si="95"/>
        <v>35002.044000000002</v>
      </c>
      <c r="S1046" s="40">
        <f>ROUND('Смета ЕР (общ) '!$N1046*'Смета ЕР (общ) '!$Q1046,2)</f>
        <v>0</v>
      </c>
      <c r="T1046" s="40">
        <f>ROUND('Смета ЕР (общ) '!$N1046*'Смета ЕР (общ) '!$R1046,2)</f>
        <v>0</v>
      </c>
      <c r="U1046" s="73" t="s">
        <v>1123</v>
      </c>
      <c r="V1046" s="68"/>
    </row>
    <row r="1047" spans="1:22" ht="24" x14ac:dyDescent="0.3">
      <c r="A1047" s="36" t="s">
        <v>1080</v>
      </c>
      <c r="B1047" s="36">
        <v>2</v>
      </c>
      <c r="C1047" s="36"/>
      <c r="D1047" s="36">
        <v>77</v>
      </c>
      <c r="E1047" s="36" t="str">
        <f>CONCATENATE('Смета ЕР (общ) '!$A1047,".",'Смета ЕР (общ) '!$B1047,".",'Смета ЕР (общ) '!$D1047)</f>
        <v>Р8.2.77</v>
      </c>
      <c r="F1047" s="36">
        <f t="shared" si="96"/>
        <v>1</v>
      </c>
      <c r="G1047" s="36"/>
      <c r="H1047" s="36"/>
      <c r="I1047" s="36"/>
      <c r="J1047" s="36"/>
      <c r="K1047" s="36"/>
      <c r="L1047" s="70" t="s">
        <v>1125</v>
      </c>
      <c r="M1047" s="38" t="s">
        <v>118</v>
      </c>
      <c r="N1047" s="39"/>
      <c r="O1047" s="40">
        <v>11164.47</v>
      </c>
      <c r="P1047" s="40">
        <f>$V$1*'[1]Кондиционеры MDV VRF'!J192</f>
        <v>36904.329000000005</v>
      </c>
      <c r="Q1047" s="40">
        <f t="shared" si="94"/>
        <v>11164.47</v>
      </c>
      <c r="R1047" s="66">
        <f t="shared" si="95"/>
        <v>36904.329000000005</v>
      </c>
      <c r="S1047" s="40">
        <f>ROUND('Смета ЕР (общ) '!$N1047*'Смета ЕР (общ) '!$Q1047,2)</f>
        <v>0</v>
      </c>
      <c r="T1047" s="40">
        <f>ROUND('Смета ЕР (общ) '!$N1047*'Смета ЕР (общ) '!$R1047,2)</f>
        <v>0</v>
      </c>
      <c r="U1047" s="73" t="s">
        <v>1123</v>
      </c>
      <c r="V1047" s="68"/>
    </row>
    <row r="1048" spans="1:22" ht="24" x14ac:dyDescent="0.3">
      <c r="A1048" s="36" t="s">
        <v>1080</v>
      </c>
      <c r="B1048" s="36">
        <v>2</v>
      </c>
      <c r="C1048" s="36"/>
      <c r="D1048" s="36">
        <v>78</v>
      </c>
      <c r="E1048" s="36" t="str">
        <f>CONCATENATE('Смета ЕР (общ) '!$A1048,".",'Смета ЕР (общ) '!$B1048,".",'Смета ЕР (общ) '!$D1048)</f>
        <v>Р8.2.78</v>
      </c>
      <c r="F1048" s="36">
        <f t="shared" si="96"/>
        <v>1</v>
      </c>
      <c r="G1048" s="36"/>
      <c r="H1048" s="36"/>
      <c r="I1048" s="36"/>
      <c r="J1048" s="36"/>
      <c r="K1048" s="36"/>
      <c r="L1048" s="70" t="s">
        <v>1126</v>
      </c>
      <c r="M1048" s="38" t="s">
        <v>118</v>
      </c>
      <c r="N1048" s="39"/>
      <c r="O1048" s="40">
        <v>13211.43</v>
      </c>
      <c r="P1048" s="40">
        <f>$V$1*'[1]Кондиционеры MDV VRF'!J193</f>
        <v>40916.421000000009</v>
      </c>
      <c r="Q1048" s="40">
        <f t="shared" si="94"/>
        <v>13211.43</v>
      </c>
      <c r="R1048" s="66">
        <f t="shared" si="95"/>
        <v>40916.421000000009</v>
      </c>
      <c r="S1048" s="40">
        <f>ROUND('Смета ЕР (общ) '!$N1048*'Смета ЕР (общ) '!$Q1048,2)</f>
        <v>0</v>
      </c>
      <c r="T1048" s="40">
        <f>ROUND('Смета ЕР (общ) '!$N1048*'Смета ЕР (общ) '!$R1048,2)</f>
        <v>0</v>
      </c>
      <c r="U1048" s="73" t="s">
        <v>1123</v>
      </c>
      <c r="V1048" s="68"/>
    </row>
    <row r="1049" spans="1:22" ht="24" x14ac:dyDescent="0.3">
      <c r="A1049" s="36" t="s">
        <v>1080</v>
      </c>
      <c r="B1049" s="36">
        <v>2</v>
      </c>
      <c r="C1049" s="36"/>
      <c r="D1049" s="36">
        <v>79</v>
      </c>
      <c r="E1049" s="36" t="str">
        <f>CONCATENATE('Смета ЕР (общ) '!$A1049,".",'Смета ЕР (общ) '!$B1049,".",'Смета ЕР (общ) '!$D1049)</f>
        <v>Р8.2.79</v>
      </c>
      <c r="F1049" s="36">
        <f t="shared" si="96"/>
        <v>1</v>
      </c>
      <c r="G1049" s="36"/>
      <c r="H1049" s="36"/>
      <c r="I1049" s="36"/>
      <c r="J1049" s="36"/>
      <c r="K1049" s="36"/>
      <c r="L1049" s="70" t="s">
        <v>1127</v>
      </c>
      <c r="M1049" s="38" t="s">
        <v>118</v>
      </c>
      <c r="N1049" s="39"/>
      <c r="O1049" s="40">
        <v>13211.43</v>
      </c>
      <c r="P1049" s="40">
        <f>$V$1*'[1]Кондиционеры MDV VRF'!J194</f>
        <v>46346.58</v>
      </c>
      <c r="Q1049" s="40">
        <f t="shared" si="94"/>
        <v>13211.43</v>
      </c>
      <c r="R1049" s="66">
        <f t="shared" si="95"/>
        <v>46346.58</v>
      </c>
      <c r="S1049" s="40">
        <f>ROUND('Смета ЕР (общ) '!$N1049*'Смета ЕР (общ) '!$Q1049,2)</f>
        <v>0</v>
      </c>
      <c r="T1049" s="40">
        <f>ROUND('Смета ЕР (общ) '!$N1049*'Смета ЕР (общ) '!$R1049,2)</f>
        <v>0</v>
      </c>
      <c r="U1049" s="73" t="s">
        <v>1123</v>
      </c>
      <c r="V1049" s="68"/>
    </row>
    <row r="1050" spans="1:22" ht="24" x14ac:dyDescent="0.3">
      <c r="A1050" s="36" t="s">
        <v>1080</v>
      </c>
      <c r="B1050" s="36">
        <v>2</v>
      </c>
      <c r="C1050" s="36"/>
      <c r="D1050" s="36">
        <v>80</v>
      </c>
      <c r="E1050" s="36" t="str">
        <f>CONCATENATE('Смета ЕР (общ) '!$A1050,".",'Смета ЕР (общ) '!$B1050,".",'Смета ЕР (общ) '!$D1050)</f>
        <v>Р8.2.80</v>
      </c>
      <c r="F1050" s="36">
        <f t="shared" si="96"/>
        <v>1</v>
      </c>
      <c r="G1050" s="36"/>
      <c r="H1050" s="36"/>
      <c r="I1050" s="36"/>
      <c r="J1050" s="36"/>
      <c r="K1050" s="36"/>
      <c r="L1050" s="70" t="s">
        <v>1128</v>
      </c>
      <c r="M1050" s="38" t="s">
        <v>118</v>
      </c>
      <c r="N1050" s="39"/>
      <c r="O1050" s="40">
        <v>13211.43</v>
      </c>
      <c r="P1050" s="40">
        <f>$V$1*'[1]Кондиционеры MDV VRF'!J195</f>
        <v>47487.951000000015</v>
      </c>
      <c r="Q1050" s="40">
        <f t="shared" si="94"/>
        <v>13211.43</v>
      </c>
      <c r="R1050" s="66">
        <f t="shared" si="95"/>
        <v>47487.951000000015</v>
      </c>
      <c r="S1050" s="40">
        <f>ROUND('Смета ЕР (общ) '!$N1050*'Смета ЕР (общ) '!$Q1050,2)</f>
        <v>0</v>
      </c>
      <c r="T1050" s="40">
        <f>ROUND('Смета ЕР (общ) '!$N1050*'Смета ЕР (общ) '!$R1050,2)</f>
        <v>0</v>
      </c>
      <c r="U1050" s="73" t="s">
        <v>1123</v>
      </c>
      <c r="V1050" s="68"/>
    </row>
    <row r="1051" spans="1:22" ht="24" x14ac:dyDescent="0.3">
      <c r="A1051" s="36" t="s">
        <v>1080</v>
      </c>
      <c r="B1051" s="36">
        <v>2</v>
      </c>
      <c r="C1051" s="36"/>
      <c r="D1051" s="36">
        <v>81</v>
      </c>
      <c r="E1051" s="36" t="str">
        <f>CONCATENATE('Смета ЕР (общ) '!$A1051,".",'Смета ЕР (общ) '!$B1051,".",'Смета ЕР (общ) '!$D1051)</f>
        <v>Р8.2.81</v>
      </c>
      <c r="F1051" s="36">
        <f t="shared" si="96"/>
        <v>1</v>
      </c>
      <c r="G1051" s="36"/>
      <c r="H1051" s="36"/>
      <c r="I1051" s="36"/>
      <c r="J1051" s="36"/>
      <c r="K1051" s="36"/>
      <c r="L1051" s="70" t="s">
        <v>1129</v>
      </c>
      <c r="M1051" s="38" t="s">
        <v>118</v>
      </c>
      <c r="N1051" s="39"/>
      <c r="O1051" s="40">
        <v>13211.43</v>
      </c>
      <c r="P1051" s="40">
        <f>$V$1*'[1]Кондиционеры MDV VRF'!J196</f>
        <v>51257.934000000008</v>
      </c>
      <c r="Q1051" s="40">
        <f t="shared" si="94"/>
        <v>13211.43</v>
      </c>
      <c r="R1051" s="66">
        <f t="shared" si="95"/>
        <v>51257.934000000008</v>
      </c>
      <c r="S1051" s="40">
        <f>ROUND('Смета ЕР (общ) '!$N1051*'Смета ЕР (общ) '!$Q1051,2)</f>
        <v>0</v>
      </c>
      <c r="T1051" s="40">
        <f>ROUND('Смета ЕР (общ) '!$N1051*'Смета ЕР (общ) '!$R1051,2)</f>
        <v>0</v>
      </c>
      <c r="U1051" s="73" t="s">
        <v>1123</v>
      </c>
      <c r="V1051" s="68"/>
    </row>
    <row r="1052" spans="1:22" ht="24" x14ac:dyDescent="0.3">
      <c r="A1052" s="36" t="s">
        <v>1080</v>
      </c>
      <c r="B1052" s="36">
        <v>2</v>
      </c>
      <c r="C1052" s="36"/>
      <c r="D1052" s="36">
        <v>82</v>
      </c>
      <c r="E1052" s="36" t="str">
        <f>CONCATENATE('Смета ЕР (общ) '!$A1052,".",'Смета ЕР (общ) '!$B1052,".",'Смета ЕР (общ) '!$D1052)</f>
        <v>Р8.2.82</v>
      </c>
      <c r="F1052" s="36">
        <f t="shared" si="96"/>
        <v>1</v>
      </c>
      <c r="G1052" s="36"/>
      <c r="H1052" s="36"/>
      <c r="I1052" s="36"/>
      <c r="J1052" s="36"/>
      <c r="K1052" s="36"/>
      <c r="L1052" s="70" t="s">
        <v>1130</v>
      </c>
      <c r="M1052" s="38" t="s">
        <v>118</v>
      </c>
      <c r="N1052" s="39"/>
      <c r="O1052" s="40">
        <v>13211.43</v>
      </c>
      <c r="P1052" s="40">
        <f>$V$1*'[1]Кондиционеры MDV VRF'!J197</f>
        <v>52191.783000000003</v>
      </c>
      <c r="Q1052" s="40">
        <f t="shared" si="94"/>
        <v>13211.43</v>
      </c>
      <c r="R1052" s="66">
        <f t="shared" si="95"/>
        <v>52191.783000000003</v>
      </c>
      <c r="S1052" s="40">
        <f>ROUND('Смета ЕР (общ) '!$N1052*'Смета ЕР (общ) '!$Q1052,2)</f>
        <v>0</v>
      </c>
      <c r="T1052" s="40">
        <f>ROUND('Смета ЕР (общ) '!$N1052*'Смета ЕР (общ) '!$R1052,2)</f>
        <v>0</v>
      </c>
      <c r="U1052" s="73" t="s">
        <v>1123</v>
      </c>
      <c r="V1052" s="68"/>
    </row>
    <row r="1053" spans="1:22" ht="36" x14ac:dyDescent="0.3">
      <c r="A1053" s="36" t="s">
        <v>1080</v>
      </c>
      <c r="B1053" s="36">
        <v>2</v>
      </c>
      <c r="C1053" s="36"/>
      <c r="D1053" s="36">
        <v>83</v>
      </c>
      <c r="E1053" s="36" t="str">
        <f>CONCATENATE('Смета ЕР (общ) '!$A1053,".",'Смета ЕР (общ) '!$B1053,".",'Смета ЕР (общ) '!$D1053)</f>
        <v>Р8.2.83</v>
      </c>
      <c r="F1053" s="36">
        <f t="shared" si="96"/>
        <v>1</v>
      </c>
      <c r="G1053" s="36"/>
      <c r="H1053" s="36"/>
      <c r="I1053" s="36"/>
      <c r="J1053" s="36"/>
      <c r="K1053" s="36"/>
      <c r="L1053" s="70" t="s">
        <v>1131</v>
      </c>
      <c r="M1053" s="38" t="s">
        <v>118</v>
      </c>
      <c r="N1053" s="39"/>
      <c r="O1053" s="40">
        <v>11164.47</v>
      </c>
      <c r="P1053" s="62">
        <f>$V$1*('[1]Кондиционеры MDV VRF'!J111+'[1]Кондиционеры MDV VRF'!$J$124+'[1]Кондиционеры MDV VRF'!$J$293)</f>
        <v>74189.115000000005</v>
      </c>
      <c r="Q1053" s="40">
        <f t="shared" si="94"/>
        <v>11164.47</v>
      </c>
      <c r="R1053" s="66">
        <f t="shared" si="95"/>
        <v>74189.115000000005</v>
      </c>
      <c r="S1053" s="40">
        <f>ROUND('Смета ЕР (общ) '!$N1053*'Смета ЕР (общ) '!$Q1053,2)</f>
        <v>0</v>
      </c>
      <c r="T1053" s="40">
        <f>ROUND('Смета ЕР (общ) '!$N1053*'Смета ЕР (общ) '!$R1053,2)</f>
        <v>0</v>
      </c>
      <c r="U1053" s="73" t="s">
        <v>1123</v>
      </c>
      <c r="V1053" s="68"/>
    </row>
    <row r="1054" spans="1:22" ht="36" x14ac:dyDescent="0.3">
      <c r="A1054" s="36" t="s">
        <v>1080</v>
      </c>
      <c r="B1054" s="36">
        <v>2</v>
      </c>
      <c r="C1054" s="36"/>
      <c r="D1054" s="36">
        <v>84</v>
      </c>
      <c r="E1054" s="36" t="str">
        <f>CONCATENATE('Смета ЕР (общ) '!$A1054,".",'Смета ЕР (общ) '!$B1054,".",'Смета ЕР (общ) '!$D1054)</f>
        <v>Р8.2.84</v>
      </c>
      <c r="F1054" s="36">
        <f t="shared" si="96"/>
        <v>1</v>
      </c>
      <c r="G1054" s="36"/>
      <c r="H1054" s="36"/>
      <c r="I1054" s="36"/>
      <c r="J1054" s="36"/>
      <c r="K1054" s="36"/>
      <c r="L1054" s="70" t="s">
        <v>1132</v>
      </c>
      <c r="M1054" s="38" t="s">
        <v>118</v>
      </c>
      <c r="N1054" s="39"/>
      <c r="O1054" s="40">
        <v>13211.43</v>
      </c>
      <c r="P1054" s="62">
        <f>$V$1*('[1]Кондиционеры MDV VRF'!J112+'[1]Кондиционеры MDV VRF'!$J$124+'[1]Кондиционеры MDV VRF'!$J$293)</f>
        <v>75019.202999999994</v>
      </c>
      <c r="Q1054" s="40">
        <f t="shared" si="94"/>
        <v>13211.43</v>
      </c>
      <c r="R1054" s="66">
        <f t="shared" si="95"/>
        <v>75019.202999999994</v>
      </c>
      <c r="S1054" s="40">
        <f>ROUND('Смета ЕР (общ) '!$N1054*'Смета ЕР (общ) '!$Q1054,2)</f>
        <v>0</v>
      </c>
      <c r="T1054" s="40">
        <f>ROUND('Смета ЕР (общ) '!$N1054*'Смета ЕР (общ) '!$R1054,2)</f>
        <v>0</v>
      </c>
      <c r="U1054" s="73" t="s">
        <v>1123</v>
      </c>
      <c r="V1054" s="68"/>
    </row>
    <row r="1055" spans="1:22" ht="36" x14ac:dyDescent="0.3">
      <c r="A1055" s="36" t="s">
        <v>1080</v>
      </c>
      <c r="B1055" s="36">
        <v>2</v>
      </c>
      <c r="C1055" s="36"/>
      <c r="D1055" s="36">
        <v>85</v>
      </c>
      <c r="E1055" s="36" t="str">
        <f>CONCATENATE('Смета ЕР (общ) '!$A1055,".",'Смета ЕР (общ) '!$B1055,".",'Смета ЕР (общ) '!$D1055)</f>
        <v>Р8.2.85</v>
      </c>
      <c r="F1055" s="36">
        <f t="shared" si="96"/>
        <v>1</v>
      </c>
      <c r="G1055" s="36"/>
      <c r="H1055" s="36"/>
      <c r="I1055" s="36"/>
      <c r="J1055" s="36"/>
      <c r="K1055" s="36"/>
      <c r="L1055" s="70" t="s">
        <v>1133</v>
      </c>
      <c r="M1055" s="38" t="s">
        <v>118</v>
      </c>
      <c r="N1055" s="39"/>
      <c r="O1055" s="40">
        <v>13211.43</v>
      </c>
      <c r="P1055" s="62">
        <f>$V$1*('[1]Кондиционеры MDV VRF'!J113+'[1]Кондиционеры MDV VRF'!$J$124+'[1]Кондиционеры MDV VRF'!$J$293)</f>
        <v>77855.337000000014</v>
      </c>
      <c r="Q1055" s="40">
        <f t="shared" si="94"/>
        <v>13211.43</v>
      </c>
      <c r="R1055" s="66">
        <f t="shared" si="95"/>
        <v>77855.337000000014</v>
      </c>
      <c r="S1055" s="40">
        <f>ROUND('Смета ЕР (общ) '!$N1055*'Смета ЕР (общ) '!$Q1055,2)</f>
        <v>0</v>
      </c>
      <c r="T1055" s="40">
        <f>ROUND('Смета ЕР (общ) '!$N1055*'Смета ЕР (общ) '!$R1055,2)</f>
        <v>0</v>
      </c>
      <c r="U1055" s="73" t="s">
        <v>1123</v>
      </c>
      <c r="V1055" s="68"/>
    </row>
    <row r="1056" spans="1:22" ht="36" x14ac:dyDescent="0.3">
      <c r="A1056" s="36" t="s">
        <v>1080</v>
      </c>
      <c r="B1056" s="36">
        <v>2</v>
      </c>
      <c r="C1056" s="36"/>
      <c r="D1056" s="36">
        <v>86</v>
      </c>
      <c r="E1056" s="36" t="str">
        <f>CONCATENATE('Смета ЕР (общ) '!$A1056,".",'Смета ЕР (общ) '!$B1056,".",'Смета ЕР (общ) '!$D1056)</f>
        <v>Р8.2.86</v>
      </c>
      <c r="F1056" s="36">
        <f t="shared" si="96"/>
        <v>1</v>
      </c>
      <c r="G1056" s="36"/>
      <c r="H1056" s="36"/>
      <c r="I1056" s="36"/>
      <c r="J1056" s="36"/>
      <c r="K1056" s="36"/>
      <c r="L1056" s="70" t="s">
        <v>1134</v>
      </c>
      <c r="M1056" s="38" t="s">
        <v>118</v>
      </c>
      <c r="N1056" s="39"/>
      <c r="O1056" s="40">
        <v>13211.43</v>
      </c>
      <c r="P1056" s="62">
        <f>$V$1*('[1]Кондиционеры MDV VRF'!J114+'[1]Кондиционеры MDV VRF'!$J$124+'[1]Кондиционеры MDV VRF'!$J$293)</f>
        <v>81002.754000000015</v>
      </c>
      <c r="Q1056" s="40">
        <f t="shared" si="94"/>
        <v>13211.43</v>
      </c>
      <c r="R1056" s="66">
        <f t="shared" si="95"/>
        <v>81002.754000000015</v>
      </c>
      <c r="S1056" s="40">
        <f>ROUND('Смета ЕР (общ) '!$N1056*'Смета ЕР (общ) '!$Q1056,2)</f>
        <v>0</v>
      </c>
      <c r="T1056" s="40">
        <f>ROUND('Смета ЕР (общ) '!$N1056*'Смета ЕР (общ) '!$R1056,2)</f>
        <v>0</v>
      </c>
      <c r="U1056" s="73" t="s">
        <v>1123</v>
      </c>
      <c r="V1056" s="68"/>
    </row>
    <row r="1057" spans="1:25" ht="36" x14ac:dyDescent="0.3">
      <c r="A1057" s="36" t="s">
        <v>1080</v>
      </c>
      <c r="B1057" s="36">
        <v>2</v>
      </c>
      <c r="C1057" s="36"/>
      <c r="D1057" s="36">
        <v>87</v>
      </c>
      <c r="E1057" s="36" t="str">
        <f>CONCATENATE('Смета ЕР (общ) '!$A1057,".",'Смета ЕР (общ) '!$B1057,".",'Смета ЕР (общ) '!$D1057)</f>
        <v>Р8.2.87</v>
      </c>
      <c r="F1057" s="36">
        <f t="shared" si="96"/>
        <v>1</v>
      </c>
      <c r="G1057" s="36"/>
      <c r="H1057" s="36"/>
      <c r="I1057" s="36"/>
      <c r="J1057" s="36"/>
      <c r="K1057" s="36"/>
      <c r="L1057" s="70" t="s">
        <v>1135</v>
      </c>
      <c r="M1057" s="38" t="s">
        <v>118</v>
      </c>
      <c r="N1057" s="39"/>
      <c r="O1057" s="40">
        <v>13211.43</v>
      </c>
      <c r="P1057" s="62">
        <f>$V$1*('[1]Кондиционеры MDV VRF'!J115+'[1]Кондиционеры MDV VRF'!$J$124+'[1]Кондиционеры MDV VRF'!$J$293)</f>
        <v>96670.665000000037</v>
      </c>
      <c r="Q1057" s="40">
        <f t="shared" si="94"/>
        <v>13211.43</v>
      </c>
      <c r="R1057" s="66">
        <f t="shared" si="95"/>
        <v>96670.665000000037</v>
      </c>
      <c r="S1057" s="40">
        <f>ROUND('Смета ЕР (общ) '!$N1057*'Смета ЕР (общ) '!$Q1057,2)</f>
        <v>0</v>
      </c>
      <c r="T1057" s="40">
        <f>ROUND('Смета ЕР (общ) '!$N1057*'Смета ЕР (общ) '!$R1057,2)</f>
        <v>0</v>
      </c>
      <c r="U1057" s="73" t="s">
        <v>1123</v>
      </c>
      <c r="V1057" s="68"/>
    </row>
    <row r="1058" spans="1:25" ht="36" x14ac:dyDescent="0.3">
      <c r="A1058" s="36" t="s">
        <v>1080</v>
      </c>
      <c r="B1058" s="36">
        <v>2</v>
      </c>
      <c r="C1058" s="36"/>
      <c r="D1058" s="36">
        <v>88</v>
      </c>
      <c r="E1058" s="36" t="str">
        <f>CONCATENATE('Смета ЕР (общ) '!$A1058,".",'Смета ЕР (общ) '!$B1058,".",'Смета ЕР (общ) '!$D1058)</f>
        <v>Р8.2.88</v>
      </c>
      <c r="F1058" s="36">
        <f t="shared" si="96"/>
        <v>1</v>
      </c>
      <c r="G1058" s="36"/>
      <c r="H1058" s="36"/>
      <c r="I1058" s="36"/>
      <c r="J1058" s="36"/>
      <c r="K1058" s="36"/>
      <c r="L1058" s="70" t="s">
        <v>1136</v>
      </c>
      <c r="M1058" s="38" t="s">
        <v>118</v>
      </c>
      <c r="N1058" s="39"/>
      <c r="O1058" s="40">
        <v>13211.43</v>
      </c>
      <c r="P1058" s="62">
        <f>$V$1*('[1]Кондиционеры MDV VRF'!J116+'[1]Кондиционеры MDV VRF'!$J$124+'[1]Кондиционеры MDV VRF'!$J$293)</f>
        <v>98953.407000000007</v>
      </c>
      <c r="Q1058" s="40">
        <f t="shared" si="94"/>
        <v>13211.43</v>
      </c>
      <c r="R1058" s="66">
        <f t="shared" si="95"/>
        <v>98953.407000000007</v>
      </c>
      <c r="S1058" s="40">
        <f>ROUND('Смета ЕР (общ) '!$N1058*'Смета ЕР (общ) '!$Q1058,2)</f>
        <v>0</v>
      </c>
      <c r="T1058" s="40">
        <f>ROUND('Смета ЕР (общ) '!$N1058*'Смета ЕР (общ) '!$R1058,2)</f>
        <v>0</v>
      </c>
      <c r="U1058" s="73" t="s">
        <v>1123</v>
      </c>
      <c r="V1058" s="68"/>
    </row>
    <row r="1059" spans="1:25" ht="36" x14ac:dyDescent="0.3">
      <c r="A1059" s="36" t="s">
        <v>1080</v>
      </c>
      <c r="B1059" s="36">
        <v>2</v>
      </c>
      <c r="C1059" s="36"/>
      <c r="D1059" s="36">
        <v>89</v>
      </c>
      <c r="E1059" s="36" t="str">
        <f>CONCATENATE('Смета ЕР (общ) '!$A1059,".",'Смета ЕР (общ) '!$B1059,".",'Смета ЕР (общ) '!$D1059)</f>
        <v>Р8.2.89</v>
      </c>
      <c r="F1059" s="36">
        <f t="shared" si="96"/>
        <v>1</v>
      </c>
      <c r="G1059" s="36"/>
      <c r="H1059" s="36"/>
      <c r="I1059" s="36"/>
      <c r="J1059" s="36"/>
      <c r="K1059" s="36"/>
      <c r="L1059" s="70" t="s">
        <v>1137</v>
      </c>
      <c r="M1059" s="38" t="s">
        <v>118</v>
      </c>
      <c r="N1059" s="39"/>
      <c r="O1059" s="40">
        <v>13211.43</v>
      </c>
      <c r="P1059" s="62">
        <f>$V$1*('[1]Кондиционеры MDV VRF'!J117+'[1]Кондиционеры MDV VRF'!$J$124+'[1]Кондиционеры MDV VRF'!$J$293)</f>
        <v>100371.47400000002</v>
      </c>
      <c r="Q1059" s="40">
        <f t="shared" si="94"/>
        <v>13211.43</v>
      </c>
      <c r="R1059" s="66">
        <f t="shared" si="95"/>
        <v>100371.47400000002</v>
      </c>
      <c r="S1059" s="40">
        <f>ROUND('Смета ЕР (общ) '!$N1059*'Смета ЕР (общ) '!$Q1059,2)</f>
        <v>0</v>
      </c>
      <c r="T1059" s="40">
        <f>ROUND('Смета ЕР (общ) '!$N1059*'Смета ЕР (общ) '!$R1059,2)</f>
        <v>0</v>
      </c>
      <c r="U1059" s="73" t="s">
        <v>1123</v>
      </c>
      <c r="V1059" s="68"/>
    </row>
    <row r="1060" spans="1:25" ht="36" x14ac:dyDescent="0.3">
      <c r="A1060" s="36" t="s">
        <v>1080</v>
      </c>
      <c r="B1060" s="36">
        <v>2</v>
      </c>
      <c r="C1060" s="36"/>
      <c r="D1060" s="36">
        <v>90</v>
      </c>
      <c r="E1060" s="36" t="str">
        <f>CONCATENATE('Смета ЕР (общ) '!$A1060,".",'Смета ЕР (общ) '!$B1060,".",'Смета ЕР (общ) '!$D1060)</f>
        <v>Р8.2.90</v>
      </c>
      <c r="F1060" s="36">
        <f t="shared" si="96"/>
        <v>1</v>
      </c>
      <c r="G1060" s="36"/>
      <c r="H1060" s="36"/>
      <c r="I1060" s="36"/>
      <c r="J1060" s="36"/>
      <c r="K1060" s="36"/>
      <c r="L1060" s="70" t="s">
        <v>1138</v>
      </c>
      <c r="M1060" s="38" t="s">
        <v>118</v>
      </c>
      <c r="N1060" s="39"/>
      <c r="O1060" s="40">
        <v>13211.43</v>
      </c>
      <c r="P1060" s="62">
        <f>$V$1*('[1]Кондиционеры MDV VRF'!J118+'[1]Кондиционеры MDV VRF'!$J$124+'[1]Кондиционеры MDV VRF'!$J$293)</f>
        <v>106147.50300000001</v>
      </c>
      <c r="Q1060" s="40">
        <f t="shared" si="94"/>
        <v>13211.43</v>
      </c>
      <c r="R1060" s="66">
        <f t="shared" si="95"/>
        <v>106147.50300000001</v>
      </c>
      <c r="S1060" s="40">
        <f>ROUND('Смета ЕР (общ) '!$N1060*'Смета ЕР (общ) '!$Q1060,2)</f>
        <v>0</v>
      </c>
      <c r="T1060" s="40">
        <f>ROUND('Смета ЕР (общ) '!$N1060*'Смета ЕР (общ) '!$R1060,2)</f>
        <v>0</v>
      </c>
      <c r="U1060" s="73" t="s">
        <v>1123</v>
      </c>
      <c r="V1060" s="68"/>
    </row>
    <row r="1061" spans="1:25" ht="24" x14ac:dyDescent="0.3">
      <c r="A1061" s="36" t="s">
        <v>1080</v>
      </c>
      <c r="B1061" s="36">
        <v>2</v>
      </c>
      <c r="C1061" s="36"/>
      <c r="D1061" s="36">
        <v>48</v>
      </c>
      <c r="E1061" s="36" t="str">
        <f>CONCATENATE('Смета ЕР (общ) '!$A1061,".",'Смета ЕР (общ) '!$B1061,".",'Смета ЕР (общ) '!$D1061)</f>
        <v>Р8.2.48</v>
      </c>
      <c r="F1061" s="36">
        <f t="shared" si="96"/>
        <v>1</v>
      </c>
      <c r="G1061" s="36"/>
      <c r="H1061" s="36"/>
      <c r="I1061" s="36"/>
      <c r="J1061" s="36"/>
      <c r="K1061" s="36"/>
      <c r="L1061" s="53" t="s">
        <v>1139</v>
      </c>
      <c r="M1061" s="38" t="s">
        <v>118</v>
      </c>
      <c r="N1061" s="39"/>
      <c r="O1061" s="40">
        <v>106530.43</v>
      </c>
      <c r="P1061" s="40">
        <f>$V$1*'[1]Кондиционеры Haier VRF'!J15</f>
        <v>259062.30000000002</v>
      </c>
      <c r="Q1061" s="40">
        <f t="shared" si="94"/>
        <v>106530.43</v>
      </c>
      <c r="R1061" s="66">
        <f t="shared" si="95"/>
        <v>259062.30000000002</v>
      </c>
      <c r="S1061" s="40">
        <f>ROUND('Смета ЕР (общ) '!$N1061*'Смета ЕР (общ) '!$Q1061,2)</f>
        <v>0</v>
      </c>
      <c r="T1061" s="40">
        <f>ROUND('Смета ЕР (общ) '!$N1061*'Смета ЕР (общ) '!$R1061,2)</f>
        <v>0</v>
      </c>
      <c r="U1061" s="73" t="s">
        <v>1108</v>
      </c>
      <c r="V1061" s="68"/>
    </row>
    <row r="1062" spans="1:25" ht="24" x14ac:dyDescent="0.3">
      <c r="A1062" s="36" t="s">
        <v>1080</v>
      </c>
      <c r="B1062" s="36">
        <v>2</v>
      </c>
      <c r="C1062" s="36"/>
      <c r="D1062" s="36">
        <v>49</v>
      </c>
      <c r="E1062" s="36" t="str">
        <f>CONCATENATE('Смета ЕР (общ) '!$A1062,".",'Смета ЕР (общ) '!$B1062,".",'Смета ЕР (общ) '!$D1062)</f>
        <v>Р8.2.49</v>
      </c>
      <c r="F1062" s="36">
        <f t="shared" si="96"/>
        <v>1</v>
      </c>
      <c r="G1062" s="36"/>
      <c r="H1062" s="36"/>
      <c r="I1062" s="36"/>
      <c r="J1062" s="36"/>
      <c r="K1062" s="36"/>
      <c r="L1062" s="53" t="s">
        <v>1140</v>
      </c>
      <c r="M1062" s="38" t="s">
        <v>118</v>
      </c>
      <c r="N1062" s="39"/>
      <c r="O1062" s="40">
        <v>106530.43</v>
      </c>
      <c r="P1062" s="40">
        <f>$V$1*'[1]Кондиционеры Haier VRF'!J16</f>
        <v>264505.5</v>
      </c>
      <c r="Q1062" s="40">
        <f t="shared" si="94"/>
        <v>106530.43</v>
      </c>
      <c r="R1062" s="66">
        <f t="shared" si="95"/>
        <v>264505.5</v>
      </c>
      <c r="S1062" s="40">
        <f>ROUND('Смета ЕР (общ) '!$N1062*'Смета ЕР (общ) '!$Q1062,2)</f>
        <v>0</v>
      </c>
      <c r="T1062" s="40">
        <f>ROUND('Смета ЕР (общ) '!$N1062*'Смета ЕР (общ) '!$R1062,2)</f>
        <v>0</v>
      </c>
      <c r="U1062" s="73" t="s">
        <v>1108</v>
      </c>
      <c r="V1062" s="68"/>
    </row>
    <row r="1063" spans="1:25" ht="24" x14ac:dyDescent="0.3">
      <c r="A1063" s="36" t="s">
        <v>1080</v>
      </c>
      <c r="B1063" s="36">
        <v>2</v>
      </c>
      <c r="C1063" s="36"/>
      <c r="D1063" s="36">
        <v>33</v>
      </c>
      <c r="E1063" s="36" t="str">
        <f>CONCATENATE('Смета ЕР (общ) '!$A1063,".",'Смета ЕР (общ) '!$B1063,".",'Смета ЕР (общ) '!$D1063)</f>
        <v>Р8.2.33</v>
      </c>
      <c r="F1063" s="36">
        <f t="shared" si="96"/>
        <v>1</v>
      </c>
      <c r="G1063" s="36"/>
      <c r="H1063" s="36"/>
      <c r="I1063" s="36"/>
      <c r="J1063" s="36"/>
      <c r="K1063" s="36"/>
      <c r="L1063" s="53" t="s">
        <v>1141</v>
      </c>
      <c r="M1063" s="38" t="s">
        <v>118</v>
      </c>
      <c r="N1063" s="39"/>
      <c r="O1063" s="40">
        <v>106530.43</v>
      </c>
      <c r="P1063" s="40">
        <f>$V$1*'[1]Кондиционеры Haier VRF'!J17</f>
        <v>273690.90000000002</v>
      </c>
      <c r="Q1063" s="40">
        <f t="shared" si="94"/>
        <v>106530.43</v>
      </c>
      <c r="R1063" s="66">
        <f t="shared" si="95"/>
        <v>273690.90000000002</v>
      </c>
      <c r="S1063" s="40">
        <f>ROUND('Смета ЕР (общ) '!$N1063*'Смета ЕР (общ) '!$Q1063,2)</f>
        <v>0</v>
      </c>
      <c r="T1063" s="40">
        <f>ROUND('Смета ЕР (общ) '!$N1063*'Смета ЕР (общ) '!$R1063,2)</f>
        <v>0</v>
      </c>
      <c r="U1063" s="73" t="s">
        <v>1108</v>
      </c>
      <c r="V1063" s="68"/>
      <c r="Y1063">
        <v>1</v>
      </c>
    </row>
    <row r="1064" spans="1:25" ht="24" x14ac:dyDescent="0.3">
      <c r="A1064" s="36" t="s">
        <v>1080</v>
      </c>
      <c r="B1064" s="36">
        <v>2</v>
      </c>
      <c r="C1064" s="36"/>
      <c r="D1064" s="36">
        <v>91</v>
      </c>
      <c r="E1064" s="36" t="str">
        <f>CONCATENATE('Смета ЕР (общ) '!$A1064,".",'Смета ЕР (общ) '!$B1064,".",'Смета ЕР (общ) '!$D1064)</f>
        <v>Р8.2.91</v>
      </c>
      <c r="F1064" s="36">
        <f t="shared" si="96"/>
        <v>1</v>
      </c>
      <c r="G1064" s="36"/>
      <c r="H1064" s="36"/>
      <c r="I1064" s="36"/>
      <c r="J1064" s="36"/>
      <c r="K1064" s="36"/>
      <c r="L1064" s="70" t="s">
        <v>1142</v>
      </c>
      <c r="M1064" s="38" t="s">
        <v>118</v>
      </c>
      <c r="N1064" s="39"/>
      <c r="O1064" s="40">
        <v>106530.43</v>
      </c>
      <c r="P1064" s="40">
        <f>$V$1*'[1]Кондиционеры MDV VRF'!J75</f>
        <v>502134.06600000011</v>
      </c>
      <c r="Q1064" s="40">
        <f t="shared" si="94"/>
        <v>106530.43</v>
      </c>
      <c r="R1064" s="66">
        <f t="shared" si="95"/>
        <v>502134.06600000011</v>
      </c>
      <c r="S1064" s="40">
        <f>ROUND('Смета ЕР (общ) '!$N1064*'Смета ЕР (общ) '!$Q1064,2)</f>
        <v>0</v>
      </c>
      <c r="T1064" s="40">
        <f>ROUND('Смета ЕР (общ) '!$N1064*'Смета ЕР (общ) '!$R1064,2)</f>
        <v>0</v>
      </c>
      <c r="U1064" s="73" t="s">
        <v>1123</v>
      </c>
      <c r="V1064" s="68"/>
    </row>
    <row r="1065" spans="1:25" ht="24" x14ac:dyDescent="0.3">
      <c r="A1065" s="36" t="s">
        <v>1080</v>
      </c>
      <c r="B1065" s="36">
        <v>2</v>
      </c>
      <c r="C1065" s="36"/>
      <c r="D1065" s="36">
        <v>92</v>
      </c>
      <c r="E1065" s="36" t="str">
        <f>CONCATENATE('Смета ЕР (общ) '!$A1065,".",'Смета ЕР (общ) '!$B1065,".",'Смета ЕР (общ) '!$D1065)</f>
        <v>Р8.2.92</v>
      </c>
      <c r="F1065" s="36">
        <f t="shared" si="96"/>
        <v>1</v>
      </c>
      <c r="G1065" s="36"/>
      <c r="H1065" s="36"/>
      <c r="I1065" s="36"/>
      <c r="J1065" s="36"/>
      <c r="K1065" s="36"/>
      <c r="L1065" s="70" t="s">
        <v>1143</v>
      </c>
      <c r="M1065" s="38" t="s">
        <v>118</v>
      </c>
      <c r="N1065" s="39"/>
      <c r="O1065" s="40">
        <v>106530.43</v>
      </c>
      <c r="P1065" s="40">
        <f>$V$1*'[1]Кондиционеры MDV VRF'!J76</f>
        <v>529250.27400000009</v>
      </c>
      <c r="Q1065" s="40">
        <f t="shared" si="94"/>
        <v>106530.43</v>
      </c>
      <c r="R1065" s="66">
        <f t="shared" si="95"/>
        <v>529250.27400000009</v>
      </c>
      <c r="S1065" s="40">
        <f>ROUND('Смета ЕР (общ) '!$N1065*'Смета ЕР (общ) '!$Q1065,2)</f>
        <v>0</v>
      </c>
      <c r="T1065" s="40">
        <f>ROUND('Смета ЕР (общ) '!$N1065*'Смета ЕР (общ) '!$R1065,2)</f>
        <v>0</v>
      </c>
      <c r="U1065" s="73" t="s">
        <v>1123</v>
      </c>
      <c r="V1065" s="68"/>
    </row>
    <row r="1066" spans="1:25" ht="24" x14ac:dyDescent="0.3">
      <c r="A1066" s="36" t="s">
        <v>1080</v>
      </c>
      <c r="B1066" s="36">
        <v>2</v>
      </c>
      <c r="C1066" s="36"/>
      <c r="D1066" s="36">
        <v>93</v>
      </c>
      <c r="E1066" s="36" t="str">
        <f>CONCATENATE('Смета ЕР (общ) '!$A1066,".",'Смета ЕР (общ) '!$B1066,".",'Смета ЕР (общ) '!$D1066)</f>
        <v>Р8.2.93</v>
      </c>
      <c r="F1066" s="36">
        <f t="shared" si="96"/>
        <v>1</v>
      </c>
      <c r="G1066" s="36"/>
      <c r="H1066" s="36"/>
      <c r="I1066" s="36"/>
      <c r="J1066" s="36"/>
      <c r="K1066" s="36"/>
      <c r="L1066" s="70" t="s">
        <v>1144</v>
      </c>
      <c r="M1066" s="38" t="s">
        <v>118</v>
      </c>
      <c r="N1066" s="39"/>
      <c r="O1066" s="40">
        <v>106530.43</v>
      </c>
      <c r="P1066" s="40">
        <f>$V$1*'[1]Кондиционеры MDV VRF'!J77</f>
        <v>581338.29600000021</v>
      </c>
      <c r="Q1066" s="40">
        <f t="shared" si="94"/>
        <v>106530.43</v>
      </c>
      <c r="R1066" s="66">
        <f t="shared" si="95"/>
        <v>581338.29600000021</v>
      </c>
      <c r="S1066" s="40">
        <f>ROUND('Смета ЕР (общ) '!$N1066*'Смета ЕР (общ) '!$Q1066,2)</f>
        <v>0</v>
      </c>
      <c r="T1066" s="40">
        <f>ROUND('Смета ЕР (общ) '!$N1066*'Смета ЕР (общ) '!$R1066,2)</f>
        <v>0</v>
      </c>
      <c r="U1066" s="73" t="s">
        <v>1123</v>
      </c>
      <c r="V1066" s="68"/>
    </row>
    <row r="1067" spans="1:25" ht="14.4" x14ac:dyDescent="0.3">
      <c r="A1067" s="36" t="s">
        <v>1080</v>
      </c>
      <c r="B1067" s="36">
        <v>2</v>
      </c>
      <c r="C1067" s="36"/>
      <c r="D1067" s="36">
        <v>34</v>
      </c>
      <c r="E1067" s="36" t="str">
        <f>CONCATENATE('Смета ЕР (общ) '!$A1067,".",'Смета ЕР (общ) '!$B1067,".",'Смета ЕР (общ) '!$D1067)</f>
        <v>Р8.2.34</v>
      </c>
      <c r="F1067" s="36">
        <f t="shared" si="96"/>
        <v>1</v>
      </c>
      <c r="G1067" s="36"/>
      <c r="H1067" s="36"/>
      <c r="I1067" s="36"/>
      <c r="J1067" s="36"/>
      <c r="K1067" s="36"/>
      <c r="L1067" s="53" t="s">
        <v>1145</v>
      </c>
      <c r="M1067" s="38" t="s">
        <v>118</v>
      </c>
      <c r="N1067" s="39"/>
      <c r="O1067" s="40">
        <v>1039.6099999999999</v>
      </c>
      <c r="P1067" s="40">
        <f>$V$1*'[1]Кондиционеры Haier VRF'!J170</f>
        <v>4167.45</v>
      </c>
      <c r="Q1067" s="40">
        <f t="shared" si="94"/>
        <v>1039.6099999999999</v>
      </c>
      <c r="R1067" s="66">
        <f t="shared" si="95"/>
        <v>4167.45</v>
      </c>
      <c r="S1067" s="40">
        <f>ROUND('Смета ЕР (общ) '!$N1067*'Смета ЕР (общ) '!$Q1067,2)</f>
        <v>0</v>
      </c>
      <c r="T1067" s="40">
        <f>ROUND('Смета ЕР (общ) '!$N1067*'Смета ЕР (общ) '!$R1067,2)</f>
        <v>0</v>
      </c>
      <c r="U1067" s="73" t="s">
        <v>1108</v>
      </c>
      <c r="V1067" s="68"/>
      <c r="Y1067">
        <v>9</v>
      </c>
    </row>
    <row r="1068" spans="1:25" ht="14.4" x14ac:dyDescent="0.3">
      <c r="A1068" s="36" t="s">
        <v>1080</v>
      </c>
      <c r="B1068" s="36">
        <v>2</v>
      </c>
      <c r="C1068" s="36"/>
      <c r="D1068" s="36">
        <v>35</v>
      </c>
      <c r="E1068" s="36" t="str">
        <f>CONCATENATE('Смета ЕР (общ) '!$A1068,".",'Смета ЕР (общ) '!$B1068,".",'Смета ЕР (общ) '!$D1068)</f>
        <v>Р8.2.35</v>
      </c>
      <c r="F1068" s="36">
        <f t="shared" si="96"/>
        <v>1</v>
      </c>
      <c r="G1068" s="36"/>
      <c r="H1068" s="36"/>
      <c r="I1068" s="36"/>
      <c r="J1068" s="36"/>
      <c r="K1068" s="36"/>
      <c r="L1068" s="53" t="s">
        <v>1146</v>
      </c>
      <c r="M1068" s="38" t="s">
        <v>118</v>
      </c>
      <c r="N1068" s="39"/>
      <c r="O1068" s="40">
        <v>1040.48</v>
      </c>
      <c r="P1068" s="40">
        <f>$V$1*'[1]Кондиционеры Haier VRF'!J171</f>
        <v>4762.8</v>
      </c>
      <c r="Q1068" s="40">
        <f t="shared" si="94"/>
        <v>1040.48</v>
      </c>
      <c r="R1068" s="66">
        <f t="shared" si="95"/>
        <v>4762.8</v>
      </c>
      <c r="S1068" s="40">
        <f>ROUND('Смета ЕР (общ) '!$N1068*'Смета ЕР (общ) '!$Q1068,2)</f>
        <v>0</v>
      </c>
      <c r="T1068" s="40">
        <f>ROUND('Смета ЕР (общ) '!$N1068*'Смета ЕР (общ) '!$R1068,2)</f>
        <v>0</v>
      </c>
      <c r="U1068" s="73" t="s">
        <v>1108</v>
      </c>
      <c r="V1068" s="68"/>
      <c r="Y1068">
        <v>1</v>
      </c>
    </row>
    <row r="1069" spans="1:25" ht="14.4" x14ac:dyDescent="0.3">
      <c r="A1069" s="36" t="s">
        <v>1080</v>
      </c>
      <c r="B1069" s="36">
        <v>2</v>
      </c>
      <c r="C1069" s="36"/>
      <c r="D1069" s="36">
        <v>94</v>
      </c>
      <c r="E1069" s="36" t="str">
        <f>CONCATENATE('Смета ЕР (общ) '!$A1069,".",'Смета ЕР (общ) '!$B1069,".",'Смета ЕР (общ) '!$D1069)</f>
        <v>Р8.2.94</v>
      </c>
      <c r="F1069" s="36">
        <f t="shared" si="96"/>
        <v>1</v>
      </c>
      <c r="G1069" s="36"/>
      <c r="H1069" s="36"/>
      <c r="I1069" s="36"/>
      <c r="J1069" s="36"/>
      <c r="K1069" s="36"/>
      <c r="L1069" s="70" t="s">
        <v>1147</v>
      </c>
      <c r="M1069" s="38" t="s">
        <v>118</v>
      </c>
      <c r="N1069" s="39"/>
      <c r="O1069" s="40">
        <v>1039.6099999999999</v>
      </c>
      <c r="P1069" s="40">
        <f>$V$1*'[1]Кондиционеры MDV VRF'!J272</f>
        <v>3735.3960000000011</v>
      </c>
      <c r="Q1069" s="40">
        <f t="shared" si="94"/>
        <v>1039.6099999999999</v>
      </c>
      <c r="R1069" s="66">
        <f t="shared" si="95"/>
        <v>3735.3960000000011</v>
      </c>
      <c r="S1069" s="40">
        <f>ROUND('Смета ЕР (общ) '!$N1069*'Смета ЕР (общ) '!$Q1069,2)</f>
        <v>0</v>
      </c>
      <c r="T1069" s="40">
        <f>ROUND('Смета ЕР (общ) '!$N1069*'Смета ЕР (общ) '!$R1069,2)</f>
        <v>0</v>
      </c>
      <c r="U1069" s="73" t="s">
        <v>1123</v>
      </c>
      <c r="V1069" s="68"/>
    </row>
    <row r="1070" spans="1:25" ht="14.4" x14ac:dyDescent="0.3">
      <c r="A1070" s="36" t="s">
        <v>1080</v>
      </c>
      <c r="B1070" s="36">
        <v>2</v>
      </c>
      <c r="C1070" s="36"/>
      <c r="D1070" s="36">
        <v>95</v>
      </c>
      <c r="E1070" s="36" t="str">
        <f>CONCATENATE('Смета ЕР (общ) '!$A1070,".",'Смета ЕР (общ) '!$B1070,".",'Смета ЕР (общ) '!$D1070)</f>
        <v>Р8.2.95</v>
      </c>
      <c r="F1070" s="36">
        <f t="shared" si="96"/>
        <v>1</v>
      </c>
      <c r="G1070" s="36"/>
      <c r="H1070" s="36"/>
      <c r="I1070" s="36"/>
      <c r="J1070" s="36"/>
      <c r="K1070" s="36"/>
      <c r="L1070" s="70" t="s">
        <v>1148</v>
      </c>
      <c r="M1070" s="38" t="s">
        <v>118</v>
      </c>
      <c r="N1070" s="39"/>
      <c r="O1070" s="40">
        <v>1040.48</v>
      </c>
      <c r="P1070" s="40">
        <f>$V$1*'[1]Кондиционеры MDV VRF'!J273</f>
        <v>3942.9180000000006</v>
      </c>
      <c r="Q1070" s="40">
        <f t="shared" si="94"/>
        <v>1040.48</v>
      </c>
      <c r="R1070" s="66">
        <f t="shared" si="95"/>
        <v>3942.9180000000006</v>
      </c>
      <c r="S1070" s="40">
        <f>ROUND('Смета ЕР (общ) '!$N1070*'Смета ЕР (общ) '!$Q1070,2)</f>
        <v>0</v>
      </c>
      <c r="T1070" s="40">
        <f>ROUND('Смета ЕР (общ) '!$N1070*'Смета ЕР (общ) '!$R1070,2)</f>
        <v>0</v>
      </c>
      <c r="U1070" s="73" t="s">
        <v>1123</v>
      </c>
      <c r="V1070" s="68"/>
    </row>
    <row r="1071" spans="1:25" ht="14.4" x14ac:dyDescent="0.3">
      <c r="A1071" s="36" t="s">
        <v>1080</v>
      </c>
      <c r="B1071" s="36">
        <v>2</v>
      </c>
      <c r="C1071" s="36"/>
      <c r="D1071" s="36">
        <v>96</v>
      </c>
      <c r="E1071" s="36" t="str">
        <f>CONCATENATE('Смета ЕР (общ) '!$A1071,".",'Смета ЕР (общ) '!$B1071,".",'Смета ЕР (общ) '!$D1071)</f>
        <v>Р8.2.96</v>
      </c>
      <c r="F1071" s="36">
        <f t="shared" si="96"/>
        <v>1</v>
      </c>
      <c r="G1071" s="36"/>
      <c r="H1071" s="36"/>
      <c r="I1071" s="36"/>
      <c r="J1071" s="36"/>
      <c r="K1071" s="36"/>
      <c r="L1071" s="70" t="s">
        <v>1149</v>
      </c>
      <c r="M1071" s="38" t="s">
        <v>118</v>
      </c>
      <c r="N1071" s="39"/>
      <c r="O1071" s="40">
        <v>1040.48</v>
      </c>
      <c r="P1071" s="40">
        <f>$V$1*'[1]Кондиционеры MDV VRF'!J274</f>
        <v>8958.0330000000013</v>
      </c>
      <c r="Q1071" s="40">
        <f t="shared" si="94"/>
        <v>1040.48</v>
      </c>
      <c r="R1071" s="66">
        <f t="shared" si="95"/>
        <v>8958.0330000000013</v>
      </c>
      <c r="S1071" s="40">
        <f>ROUND('Смета ЕР (общ) '!$N1071*'Смета ЕР (общ) '!$Q1071,2)</f>
        <v>0</v>
      </c>
      <c r="T1071" s="40">
        <f>ROUND('Смета ЕР (общ) '!$N1071*'Смета ЕР (общ) '!$R1071,2)</f>
        <v>0</v>
      </c>
      <c r="U1071" s="73" t="s">
        <v>1123</v>
      </c>
      <c r="V1071" s="68"/>
    </row>
    <row r="1072" spans="1:25" ht="14.4" x14ac:dyDescent="0.3">
      <c r="A1072" s="36" t="s">
        <v>1080</v>
      </c>
      <c r="B1072" s="36">
        <v>2</v>
      </c>
      <c r="C1072" s="36"/>
      <c r="D1072" s="36">
        <v>97</v>
      </c>
      <c r="E1072" s="36" t="str">
        <f>CONCATENATE('Смета ЕР (общ) '!$A1072,".",'Смета ЕР (общ) '!$B1072,".",'Смета ЕР (общ) '!$D1072)</f>
        <v>Р8.2.97</v>
      </c>
      <c r="F1072" s="36">
        <f t="shared" si="96"/>
        <v>1</v>
      </c>
      <c r="G1072" s="36"/>
      <c r="H1072" s="36"/>
      <c r="I1072" s="36"/>
      <c r="J1072" s="36"/>
      <c r="K1072" s="36"/>
      <c r="L1072" s="70" t="s">
        <v>1150</v>
      </c>
      <c r="M1072" s="38" t="s">
        <v>118</v>
      </c>
      <c r="N1072" s="39"/>
      <c r="O1072" s="40">
        <v>1040.48</v>
      </c>
      <c r="P1072" s="40">
        <f>$V$1*'[1]Кондиционеры MDV VRF'!J275</f>
        <v>13108.473</v>
      </c>
      <c r="Q1072" s="40">
        <f t="shared" si="94"/>
        <v>1040.48</v>
      </c>
      <c r="R1072" s="66">
        <f t="shared" si="95"/>
        <v>13108.473</v>
      </c>
      <c r="S1072" s="40">
        <f>ROUND('Смета ЕР (общ) '!$N1072*'Смета ЕР (общ) '!$Q1072,2)</f>
        <v>0</v>
      </c>
      <c r="T1072" s="40">
        <f>ROUND('Смета ЕР (общ) '!$N1072*'Смета ЕР (общ) '!$R1072,2)</f>
        <v>0</v>
      </c>
      <c r="U1072" s="73" t="s">
        <v>1123</v>
      </c>
      <c r="V1072" s="68"/>
    </row>
    <row r="1073" spans="1:25" ht="14.4" x14ac:dyDescent="0.3">
      <c r="A1073" s="36" t="s">
        <v>1080</v>
      </c>
      <c r="B1073" s="36">
        <v>2</v>
      </c>
      <c r="C1073" s="36"/>
      <c r="D1073" s="36">
        <v>98</v>
      </c>
      <c r="E1073" s="36" t="str">
        <f>CONCATENATE('Смета ЕР (общ) '!$A1073,".",'Смета ЕР (общ) '!$B1073,".",'Смета ЕР (общ) '!$D1073)</f>
        <v>Р8.2.98</v>
      </c>
      <c r="F1073" s="36">
        <f t="shared" si="96"/>
        <v>1</v>
      </c>
      <c r="G1073" s="36"/>
      <c r="H1073" s="36"/>
      <c r="I1073" s="36"/>
      <c r="J1073" s="36"/>
      <c r="K1073" s="36"/>
      <c r="L1073" s="70" t="s">
        <v>1151</v>
      </c>
      <c r="M1073" s="38" t="s">
        <v>118</v>
      </c>
      <c r="N1073" s="39"/>
      <c r="O1073" s="40">
        <v>1040.48</v>
      </c>
      <c r="P1073" s="40">
        <f>$V$1*'[1]Кондиционеры MDV VRF'!J276</f>
        <v>13800.213000000002</v>
      </c>
      <c r="Q1073" s="40">
        <f t="shared" si="94"/>
        <v>1040.48</v>
      </c>
      <c r="R1073" s="66">
        <f t="shared" si="95"/>
        <v>13800.213000000002</v>
      </c>
      <c r="S1073" s="40">
        <f>ROUND('Смета ЕР (общ) '!$N1073*'Смета ЕР (общ) '!$Q1073,2)</f>
        <v>0</v>
      </c>
      <c r="T1073" s="40">
        <f>ROUND('Смета ЕР (общ) '!$N1073*'Смета ЕР (общ) '!$R1073,2)</f>
        <v>0</v>
      </c>
      <c r="U1073" s="73" t="s">
        <v>1123</v>
      </c>
      <c r="V1073" s="68"/>
    </row>
    <row r="1074" spans="1:25" ht="14.4" x14ac:dyDescent="0.3">
      <c r="A1074" s="36" t="s">
        <v>1080</v>
      </c>
      <c r="B1074" s="36">
        <v>2</v>
      </c>
      <c r="C1074" s="36"/>
      <c r="D1074" s="36">
        <v>50</v>
      </c>
      <c r="E1074" s="36" t="str">
        <f>CONCATENATE('Смета ЕР (общ) '!$A1074,".",'Смета ЕР (общ) '!$B1074,".",'Смета ЕР (общ) '!$D1074)</f>
        <v>Р8.2.50</v>
      </c>
      <c r="F1074" s="36">
        <f t="shared" si="96"/>
        <v>1</v>
      </c>
      <c r="G1074" s="36"/>
      <c r="H1074" s="36"/>
      <c r="I1074" s="36"/>
      <c r="J1074" s="36"/>
      <c r="K1074" s="36"/>
      <c r="L1074" s="53" t="s">
        <v>1152</v>
      </c>
      <c r="M1074" s="38" t="s">
        <v>118</v>
      </c>
      <c r="N1074" s="39"/>
      <c r="O1074" s="40">
        <v>2000</v>
      </c>
      <c r="P1074" s="40">
        <v>5500</v>
      </c>
      <c r="Q1074" s="40">
        <f t="shared" si="94"/>
        <v>2000</v>
      </c>
      <c r="R1074" s="40">
        <f t="shared" si="94"/>
        <v>5500</v>
      </c>
      <c r="S1074" s="40">
        <f>ROUND('Смета ЕР (общ) '!$N1074*'Смета ЕР (общ) '!$Q1074,2)</f>
        <v>0</v>
      </c>
      <c r="T1074" s="40">
        <f>ROUND('Смета ЕР (общ) '!$N1074*'Смета ЕР (общ) '!$R1074,2)</f>
        <v>0</v>
      </c>
    </row>
    <row r="1075" spans="1:25" ht="14.4" x14ac:dyDescent="0.3">
      <c r="A1075" s="36" t="s">
        <v>1080</v>
      </c>
      <c r="B1075" s="36">
        <v>2</v>
      </c>
      <c r="C1075" s="36"/>
      <c r="D1075" s="36">
        <v>51</v>
      </c>
      <c r="E1075" s="36" t="str">
        <f>CONCATENATE('Смета ЕР (общ) '!$A1075,".",'Смета ЕР (общ) '!$B1075,".",'Смета ЕР (общ) '!$D1075)</f>
        <v>Р8.2.51</v>
      </c>
      <c r="F1075" s="36">
        <f t="shared" si="96"/>
        <v>1</v>
      </c>
      <c r="G1075" s="36"/>
      <c r="H1075" s="36"/>
      <c r="I1075" s="36"/>
      <c r="J1075" s="36"/>
      <c r="K1075" s="36"/>
      <c r="L1075" s="53" t="s">
        <v>1153</v>
      </c>
      <c r="M1075" s="38" t="s">
        <v>118</v>
      </c>
      <c r="N1075" s="39"/>
      <c r="O1075" s="40">
        <v>1500</v>
      </c>
      <c r="P1075" s="40">
        <v>4500</v>
      </c>
      <c r="Q1075" s="40">
        <f t="shared" ref="Q1075:R1103" si="97">ROUND(O1075-O1075*$V$3,2)</f>
        <v>1500</v>
      </c>
      <c r="R1075" s="40">
        <f t="shared" si="97"/>
        <v>4500</v>
      </c>
      <c r="S1075" s="40">
        <f>ROUND('Смета ЕР (общ) '!$N1075*'Смета ЕР (общ) '!$Q1075,2)</f>
        <v>0</v>
      </c>
      <c r="T1075" s="40">
        <f>ROUND('Смета ЕР (общ) '!$N1075*'Смета ЕР (общ) '!$R1075,2)</f>
        <v>0</v>
      </c>
    </row>
    <row r="1076" spans="1:25" ht="14.4" x14ac:dyDescent="0.3">
      <c r="A1076" s="36" t="s">
        <v>1080</v>
      </c>
      <c r="B1076" s="36">
        <v>2</v>
      </c>
      <c r="C1076" s="36"/>
      <c r="D1076" s="36">
        <v>52</v>
      </c>
      <c r="E1076" s="36" t="str">
        <f>CONCATENATE('Смета ЕР (общ) '!$A1076,".",'Смета ЕР (общ) '!$B1076,".",'Смета ЕР (общ) '!$D1076)</f>
        <v>Р8.2.52</v>
      </c>
      <c r="F1076" s="36">
        <f t="shared" si="96"/>
        <v>1</v>
      </c>
      <c r="G1076" s="36"/>
      <c r="H1076" s="36"/>
      <c r="I1076" s="36"/>
      <c r="J1076" s="36"/>
      <c r="K1076" s="36"/>
      <c r="L1076" s="53" t="s">
        <v>1154</v>
      </c>
      <c r="M1076" s="38" t="s">
        <v>118</v>
      </c>
      <c r="N1076" s="39"/>
      <c r="O1076" s="40">
        <v>750</v>
      </c>
      <c r="P1076" s="40">
        <v>1350</v>
      </c>
      <c r="Q1076" s="40">
        <f t="shared" si="97"/>
        <v>750</v>
      </c>
      <c r="R1076" s="40">
        <f t="shared" si="97"/>
        <v>1350</v>
      </c>
      <c r="S1076" s="40">
        <f>ROUND('Смета ЕР (общ) '!$N1076*'Смета ЕР (общ) '!$Q1076,2)</f>
        <v>0</v>
      </c>
      <c r="T1076" s="40">
        <f>ROUND('Смета ЕР (общ) '!$N1076*'Смета ЕР (общ) '!$R1076,2)</f>
        <v>0</v>
      </c>
    </row>
    <row r="1077" spans="1:25" ht="14.4" x14ac:dyDescent="0.3">
      <c r="A1077" s="36" t="s">
        <v>1080</v>
      </c>
      <c r="B1077" s="36">
        <v>2</v>
      </c>
      <c r="C1077" s="36"/>
      <c r="D1077" s="36">
        <v>53</v>
      </c>
      <c r="E1077" s="36" t="str">
        <f>CONCATENATE('Смета ЕР (общ) '!$A1077,".",'Смета ЕР (общ) '!$B1077,".",'Смета ЕР (общ) '!$D1077)</f>
        <v>Р8.2.53</v>
      </c>
      <c r="F1077" s="36">
        <f t="shared" si="96"/>
        <v>1</v>
      </c>
      <c r="G1077" s="36"/>
      <c r="H1077" s="36"/>
      <c r="I1077" s="36"/>
      <c r="J1077" s="36"/>
      <c r="K1077" s="36"/>
      <c r="L1077" s="53" t="s">
        <v>1155</v>
      </c>
      <c r="M1077" s="38" t="s">
        <v>118</v>
      </c>
      <c r="N1077" s="39"/>
      <c r="O1077" s="40">
        <v>2000</v>
      </c>
      <c r="P1077" s="40">
        <v>16746.400000000001</v>
      </c>
      <c r="Q1077" s="40">
        <f t="shared" si="97"/>
        <v>2000</v>
      </c>
      <c r="R1077" s="40">
        <f t="shared" si="97"/>
        <v>16746.400000000001</v>
      </c>
      <c r="S1077" s="40">
        <f>ROUND('Смета ЕР (общ) '!$N1077*'Смета ЕР (общ) '!$Q1077,2)</f>
        <v>0</v>
      </c>
      <c r="T1077" s="40">
        <f>ROUND('Смета ЕР (общ) '!$N1077*'Смета ЕР (общ) '!$R1077,2)</f>
        <v>0</v>
      </c>
    </row>
    <row r="1078" spans="1:25" ht="14.4" x14ac:dyDescent="0.3">
      <c r="A1078" s="36" t="s">
        <v>1080</v>
      </c>
      <c r="B1078" s="36">
        <v>2</v>
      </c>
      <c r="C1078" s="36"/>
      <c r="D1078" s="36">
        <v>54</v>
      </c>
      <c r="E1078" s="36" t="str">
        <f>CONCATENATE('Смета ЕР (общ) '!$A1078,".",'Смета ЕР (общ) '!$B1078,".",'Смета ЕР (общ) '!$D1078)</f>
        <v>Р8.2.54</v>
      </c>
      <c r="F1078" s="36">
        <f t="shared" si="96"/>
        <v>1</v>
      </c>
      <c r="G1078" s="36"/>
      <c r="H1078" s="36"/>
      <c r="I1078" s="36"/>
      <c r="J1078" s="36"/>
      <c r="K1078" s="36"/>
      <c r="L1078" s="53" t="s">
        <v>1156</v>
      </c>
      <c r="M1078" s="54" t="s">
        <v>1157</v>
      </c>
      <c r="N1078" s="39"/>
      <c r="O1078" s="40">
        <v>700</v>
      </c>
      <c r="P1078" s="40">
        <v>4900</v>
      </c>
      <c r="Q1078" s="40">
        <f t="shared" si="97"/>
        <v>700</v>
      </c>
      <c r="R1078" s="40">
        <f t="shared" si="97"/>
        <v>4900</v>
      </c>
      <c r="S1078" s="40">
        <f>ROUND('Смета ЕР (общ) '!$N1078*'Смета ЕР (общ) '!$Q1078,2)</f>
        <v>0</v>
      </c>
      <c r="T1078" s="40">
        <f>ROUND('Смета ЕР (общ) '!$N1078*'Смета ЕР (общ) '!$R1078,2)</f>
        <v>0</v>
      </c>
    </row>
    <row r="1079" spans="1:25" ht="14.4" x14ac:dyDescent="0.3">
      <c r="A1079" s="36" t="s">
        <v>1080</v>
      </c>
      <c r="B1079" s="36">
        <v>2</v>
      </c>
      <c r="C1079" s="36"/>
      <c r="D1079" s="36">
        <v>15</v>
      </c>
      <c r="E1079" s="36" t="str">
        <f>CONCATENATE('Смета ЕР (общ) '!$A1079,".",'Смета ЕР (общ) '!$B1079,".",'Смета ЕР (общ) '!$D1079)</f>
        <v>Р8.2.15</v>
      </c>
      <c r="F1079" s="36">
        <f t="shared" si="96"/>
        <v>1</v>
      </c>
      <c r="G1079" s="36"/>
      <c r="H1079" s="36"/>
      <c r="I1079" s="36"/>
      <c r="J1079" s="36"/>
      <c r="K1079" s="36"/>
      <c r="L1079" s="53" t="s">
        <v>1158</v>
      </c>
      <c r="M1079" s="38" t="s">
        <v>118</v>
      </c>
      <c r="N1079" s="39"/>
      <c r="O1079" s="40">
        <v>4293.7</v>
      </c>
      <c r="P1079" s="40">
        <v>6711.44</v>
      </c>
      <c r="Q1079" s="40">
        <f t="shared" si="97"/>
        <v>4293.7</v>
      </c>
      <c r="R1079" s="40">
        <f t="shared" si="97"/>
        <v>6711.44</v>
      </c>
      <c r="S1079" s="40">
        <f>ROUND('Смета ЕР (общ) '!$N1079*'Смета ЕР (общ) '!$Q1079,2)</f>
        <v>0</v>
      </c>
      <c r="T1079" s="40">
        <f>ROUND('Смета ЕР (общ) '!$N1079*'Смета ЕР (общ) '!$R1079,2)</f>
        <v>0</v>
      </c>
      <c r="Y1079">
        <v>9</v>
      </c>
    </row>
    <row r="1080" spans="1:25" ht="14.4" x14ac:dyDescent="0.3">
      <c r="A1080" s="63" t="s">
        <v>1080</v>
      </c>
      <c r="B1080" s="63">
        <v>2</v>
      </c>
      <c r="C1080" s="63"/>
      <c r="D1080" s="63">
        <v>16</v>
      </c>
      <c r="E1080" s="63" t="str">
        <f>CONCATENATE('Смета ЕР (общ) '!$A1080,".",'Смета ЕР (общ) '!$B1080,".",'Смета ЕР (общ) '!$D1080)</f>
        <v>Р8.2.16</v>
      </c>
      <c r="F1080" s="63">
        <f t="shared" si="96"/>
        <v>1</v>
      </c>
      <c r="G1080" s="63"/>
      <c r="H1080" s="63"/>
      <c r="I1080" s="63"/>
      <c r="J1080" s="63"/>
      <c r="K1080" s="63"/>
      <c r="L1080" s="64" t="s">
        <v>1159</v>
      </c>
      <c r="M1080" s="38" t="s">
        <v>118</v>
      </c>
      <c r="N1080" s="39"/>
      <c r="O1080" s="40">
        <v>4293.7</v>
      </c>
      <c r="P1080" s="40">
        <v>8193.5300000000007</v>
      </c>
      <c r="Q1080" s="40">
        <f t="shared" si="97"/>
        <v>4293.7</v>
      </c>
      <c r="R1080" s="40">
        <f t="shared" si="97"/>
        <v>8193.5300000000007</v>
      </c>
      <c r="S1080" s="40">
        <f>ROUND('Смета ЕР (общ) '!$N1080*'Смета ЕР (общ) '!$Q1080,2)</f>
        <v>0</v>
      </c>
      <c r="T1080" s="40">
        <f>ROUND('Смета ЕР (общ) '!$N1080*'Смета ЕР (общ) '!$R1080,2)</f>
        <v>0</v>
      </c>
    </row>
    <row r="1081" spans="1:25" ht="14.4" x14ac:dyDescent="0.3">
      <c r="A1081" s="36" t="s">
        <v>1080</v>
      </c>
      <c r="B1081" s="36">
        <v>2</v>
      </c>
      <c r="C1081" s="36"/>
      <c r="D1081" s="36">
        <v>17</v>
      </c>
      <c r="E1081" s="36" t="str">
        <f>CONCATENATE('Смета ЕР (общ) '!$A1081,".",'Смета ЕР (общ) '!$B1081,".",'Смета ЕР (общ) '!$D1081)</f>
        <v>Р8.2.17</v>
      </c>
      <c r="F1081" s="36">
        <f t="shared" si="96"/>
        <v>1</v>
      </c>
      <c r="G1081" s="36"/>
      <c r="H1081" s="36"/>
      <c r="I1081" s="36"/>
      <c r="J1081" s="36"/>
      <c r="K1081" s="36"/>
      <c r="L1081" s="37" t="s">
        <v>1160</v>
      </c>
      <c r="M1081" s="38" t="s">
        <v>64</v>
      </c>
      <c r="N1081" s="39"/>
      <c r="O1081" s="40">
        <v>1148.3599999999999</v>
      </c>
      <c r="P1081" s="40">
        <v>6334.22</v>
      </c>
      <c r="Q1081" s="40">
        <f t="shared" si="97"/>
        <v>1148.3599999999999</v>
      </c>
      <c r="R1081" s="40">
        <f t="shared" si="97"/>
        <v>6334.22</v>
      </c>
      <c r="S1081" s="40">
        <f>ROUND('Смета ЕР (общ) '!$N1081*'Смета ЕР (общ) '!$Q1081,2)</f>
        <v>0</v>
      </c>
      <c r="T1081" s="40">
        <f>ROUND('Смета ЕР (общ) '!$N1081*'Смета ЕР (общ) '!$R1081,2)</f>
        <v>0</v>
      </c>
    </row>
    <row r="1082" spans="1:25" ht="24" x14ac:dyDescent="0.3">
      <c r="A1082" s="36" t="s">
        <v>1080</v>
      </c>
      <c r="B1082" s="36">
        <v>2</v>
      </c>
      <c r="C1082" s="36"/>
      <c r="D1082" s="36">
        <v>18</v>
      </c>
      <c r="E1082" s="36" t="str">
        <f>CONCATENATE('Смета ЕР (общ) '!$A1082,".",'Смета ЕР (общ) '!$B1082,".",'Смета ЕР (общ) '!$D1082)</f>
        <v>Р8.2.18</v>
      </c>
      <c r="F1082" s="36">
        <f t="shared" si="96"/>
        <v>1</v>
      </c>
      <c r="G1082" s="36"/>
      <c r="H1082" s="36"/>
      <c r="I1082" s="36"/>
      <c r="J1082" s="36"/>
      <c r="K1082" s="36"/>
      <c r="L1082" s="37" t="s">
        <v>1161</v>
      </c>
      <c r="M1082" s="38" t="s">
        <v>125</v>
      </c>
      <c r="N1082" s="39"/>
      <c r="O1082" s="40">
        <v>96.36</v>
      </c>
      <c r="P1082" s="40">
        <v>0</v>
      </c>
      <c r="Q1082" s="40">
        <f t="shared" si="97"/>
        <v>96.36</v>
      </c>
      <c r="R1082" s="40">
        <f t="shared" si="97"/>
        <v>0</v>
      </c>
      <c r="S1082" s="40">
        <f>ROUND('Смета ЕР (общ) '!$N1082*'Смета ЕР (общ) '!$Q1082,2)</f>
        <v>0</v>
      </c>
      <c r="T1082" s="40">
        <f>ROUND('Смета ЕР (общ) '!$N1082*'Смета ЕР (общ) '!$R1082,2)</f>
        <v>0</v>
      </c>
      <c r="Y1082">
        <v>214</v>
      </c>
    </row>
    <row r="1083" spans="1:25" ht="15" customHeight="1" x14ac:dyDescent="0.3">
      <c r="A1083" s="36" t="s">
        <v>1080</v>
      </c>
      <c r="B1083" s="36">
        <v>2</v>
      </c>
      <c r="C1083" s="36"/>
      <c r="D1083" s="36">
        <v>19</v>
      </c>
      <c r="E1083" s="36" t="str">
        <f>CONCATENATE('Смета ЕР (общ) '!$A1083,".",'Смета ЕР (общ) '!$B1083,".",'Смета ЕР (общ) '!$D1083)</f>
        <v>Р8.2.19</v>
      </c>
      <c r="F1083" s="36">
        <f t="shared" si="96"/>
        <v>1</v>
      </c>
      <c r="G1083" s="36"/>
      <c r="H1083" s="36"/>
      <c r="I1083" s="36"/>
      <c r="J1083" s="36"/>
      <c r="K1083" s="36"/>
      <c r="L1083" s="37" t="s">
        <v>1162</v>
      </c>
      <c r="M1083" s="38" t="s">
        <v>118</v>
      </c>
      <c r="N1083" s="39"/>
      <c r="O1083" s="40">
        <v>2200</v>
      </c>
      <c r="P1083" s="40">
        <v>18668.04</v>
      </c>
      <c r="Q1083" s="40">
        <f t="shared" si="97"/>
        <v>2200</v>
      </c>
      <c r="R1083" s="40">
        <f t="shared" si="97"/>
        <v>18668.04</v>
      </c>
      <c r="S1083" s="40">
        <f>ROUND('Смета ЕР (общ) '!$N1083*'Смета ЕР (общ) '!$Q1083,2)</f>
        <v>0</v>
      </c>
      <c r="T1083" s="40">
        <f>ROUND('Смета ЕР (общ) '!$N1083*'Смета ЕР (общ) '!$R1083,2)</f>
        <v>0</v>
      </c>
      <c r="Y1083">
        <v>1</v>
      </c>
    </row>
    <row r="1084" spans="1:25" ht="14.4" x14ac:dyDescent="0.3">
      <c r="A1084" s="36" t="s">
        <v>1080</v>
      </c>
      <c r="B1084" s="36">
        <v>2</v>
      </c>
      <c r="C1084" s="36"/>
      <c r="D1084" s="36">
        <v>55</v>
      </c>
      <c r="E1084" s="36" t="str">
        <f>CONCATENATE('Смета ЕР (общ) '!$A1084,".",'Смета ЕР (общ) '!$B1084,".",'Смета ЕР (общ) '!$D1084)</f>
        <v>Р8.2.55</v>
      </c>
      <c r="F1084" s="36">
        <f t="shared" si="96"/>
        <v>1</v>
      </c>
      <c r="G1084" s="36"/>
      <c r="H1084" s="36"/>
      <c r="I1084" s="36"/>
      <c r="J1084" s="36"/>
      <c r="K1084" s="36"/>
      <c r="L1084" s="37" t="s">
        <v>1163</v>
      </c>
      <c r="M1084" s="38" t="s">
        <v>118</v>
      </c>
      <c r="N1084" s="39"/>
      <c r="O1084" s="40">
        <v>3014.67</v>
      </c>
      <c r="P1084" s="40">
        <v>10540.05</v>
      </c>
      <c r="Q1084" s="40">
        <f t="shared" si="97"/>
        <v>3014.67</v>
      </c>
      <c r="R1084" s="40">
        <f t="shared" si="97"/>
        <v>10540.05</v>
      </c>
      <c r="S1084" s="40">
        <f>ROUND('Смета ЕР (общ) '!$N1084*'Смета ЕР (общ) '!$Q1084,2)</f>
        <v>0</v>
      </c>
      <c r="T1084" s="40">
        <f>ROUND('Смета ЕР (общ) '!$N1084*'Смета ЕР (общ) '!$R1084,2)</f>
        <v>0</v>
      </c>
    </row>
    <row r="1085" spans="1:25" ht="14.4" x14ac:dyDescent="0.3">
      <c r="A1085" s="36" t="s">
        <v>1080</v>
      </c>
      <c r="B1085" s="36">
        <v>2</v>
      </c>
      <c r="C1085" s="36"/>
      <c r="D1085" s="36">
        <v>56</v>
      </c>
      <c r="E1085" s="36" t="str">
        <f>CONCATENATE('Смета ЕР (общ) '!$A1085,".",'Смета ЕР (общ) '!$B1085,".",'Смета ЕР (общ) '!$D1085)</f>
        <v>Р8.2.56</v>
      </c>
      <c r="F1085" s="36">
        <f t="shared" si="96"/>
        <v>1</v>
      </c>
      <c r="G1085" s="36"/>
      <c r="H1085" s="36"/>
      <c r="I1085" s="36"/>
      <c r="J1085" s="36"/>
      <c r="K1085" s="36"/>
      <c r="L1085" s="37" t="s">
        <v>1164</v>
      </c>
      <c r="M1085" s="38" t="s">
        <v>118</v>
      </c>
      <c r="N1085" s="39"/>
      <c r="O1085" s="40">
        <v>3014.67</v>
      </c>
      <c r="P1085" s="40">
        <v>8961.8700000000008</v>
      </c>
      <c r="Q1085" s="40">
        <f t="shared" si="97"/>
        <v>3014.67</v>
      </c>
      <c r="R1085" s="40">
        <f t="shared" si="97"/>
        <v>8961.8700000000008</v>
      </c>
      <c r="S1085" s="40">
        <f>ROUND('Смета ЕР (общ) '!$N1085*'Смета ЕР (общ) '!$Q1085,2)</f>
        <v>0</v>
      </c>
      <c r="T1085" s="40">
        <f>ROUND('Смета ЕР (общ) '!$N1085*'Смета ЕР (общ) '!$R1085,2)</f>
        <v>0</v>
      </c>
    </row>
    <row r="1086" spans="1:25" ht="14.4" x14ac:dyDescent="0.3">
      <c r="A1086" s="36" t="s">
        <v>1080</v>
      </c>
      <c r="B1086" s="36">
        <v>2</v>
      </c>
      <c r="C1086" s="36"/>
      <c r="D1086" s="36">
        <v>57</v>
      </c>
      <c r="E1086" s="36" t="str">
        <f>CONCATENATE('Смета ЕР (общ) '!$A1086,".",'Смета ЕР (общ) '!$B1086,".",'Смета ЕР (общ) '!$D1086)</f>
        <v>Р8.2.57</v>
      </c>
      <c r="F1086" s="36">
        <f t="shared" si="96"/>
        <v>1</v>
      </c>
      <c r="G1086" s="36"/>
      <c r="H1086" s="36"/>
      <c r="I1086" s="36"/>
      <c r="J1086" s="36"/>
      <c r="K1086" s="36"/>
      <c r="L1086" s="37" t="s">
        <v>1165</v>
      </c>
      <c r="M1086" s="38" t="s">
        <v>118</v>
      </c>
      <c r="N1086" s="39"/>
      <c r="O1086" s="40">
        <v>3014.67</v>
      </c>
      <c r="P1086" s="40">
        <v>7458.51</v>
      </c>
      <c r="Q1086" s="40">
        <f t="shared" si="97"/>
        <v>3014.67</v>
      </c>
      <c r="R1086" s="40">
        <f t="shared" si="97"/>
        <v>7458.51</v>
      </c>
      <c r="S1086" s="40">
        <f>ROUND('Смета ЕР (общ) '!$N1086*'Смета ЕР (общ) '!$Q1086,2)</f>
        <v>0</v>
      </c>
      <c r="T1086" s="40">
        <f>ROUND('Смета ЕР (общ) '!$N1086*'Смета ЕР (общ) '!$R1086,2)</f>
        <v>0</v>
      </c>
    </row>
    <row r="1087" spans="1:25" ht="36" x14ac:dyDescent="0.3">
      <c r="A1087" s="36" t="s">
        <v>1080</v>
      </c>
      <c r="B1087" s="36">
        <v>2</v>
      </c>
      <c r="C1087" s="36"/>
      <c r="D1087" s="36">
        <v>58</v>
      </c>
      <c r="E1087" s="36" t="str">
        <f>CONCATENATE('Смета ЕР (общ) '!$A1087,".",'Смета ЕР (общ) '!$B1087,".",'Смета ЕР (общ) '!$D1087)</f>
        <v>Р8.2.58</v>
      </c>
      <c r="F1087" s="36">
        <f t="shared" si="96"/>
        <v>1</v>
      </c>
      <c r="G1087" s="36"/>
      <c r="H1087" s="36"/>
      <c r="I1087" s="36"/>
      <c r="J1087" s="36"/>
      <c r="K1087" s="36"/>
      <c r="L1087" s="37" t="s">
        <v>1166</v>
      </c>
      <c r="M1087" s="38" t="s">
        <v>147</v>
      </c>
      <c r="N1087" s="39"/>
      <c r="O1087" s="40">
        <v>1562.35</v>
      </c>
      <c r="P1087" s="40">
        <v>2023.16</v>
      </c>
      <c r="Q1087" s="40">
        <f t="shared" si="97"/>
        <v>1562.35</v>
      </c>
      <c r="R1087" s="40">
        <f t="shared" si="97"/>
        <v>2023.16</v>
      </c>
      <c r="S1087" s="40">
        <f>ROUND('Смета ЕР (общ) '!$N1087*'Смета ЕР (общ) '!$Q1087,2)</f>
        <v>0</v>
      </c>
      <c r="T1087" s="40">
        <f>ROUND('Смета ЕР (общ) '!$N1087*'Смета ЕР (общ) '!$R1087,2)</f>
        <v>0</v>
      </c>
      <c r="U1087" s="35" t="s">
        <v>979</v>
      </c>
    </row>
    <row r="1088" spans="1:25" ht="48" x14ac:dyDescent="0.3">
      <c r="A1088" s="36" t="s">
        <v>1080</v>
      </c>
      <c r="B1088" s="36">
        <v>2</v>
      </c>
      <c r="C1088" s="36"/>
      <c r="D1088" s="36">
        <v>59</v>
      </c>
      <c r="E1088" s="36" t="str">
        <f>CONCATENATE('Смета ЕР (общ) '!$A1088,".",'Смета ЕР (общ) '!$B1088,".",'Смета ЕР (общ) '!$D1088)</f>
        <v>Р8.2.59</v>
      </c>
      <c r="F1088" s="36">
        <f t="shared" si="96"/>
        <v>1</v>
      </c>
      <c r="G1088" s="36"/>
      <c r="H1088" s="36"/>
      <c r="I1088" s="36"/>
      <c r="J1088" s="36"/>
      <c r="K1088" s="36"/>
      <c r="L1088" s="37" t="s">
        <v>1167</v>
      </c>
      <c r="M1088" s="38" t="s">
        <v>147</v>
      </c>
      <c r="N1088" s="39"/>
      <c r="O1088" s="40">
        <v>2500</v>
      </c>
      <c r="P1088" s="40">
        <v>2900</v>
      </c>
      <c r="Q1088" s="40">
        <f t="shared" si="97"/>
        <v>2500</v>
      </c>
      <c r="R1088" s="40">
        <f t="shared" si="97"/>
        <v>2900</v>
      </c>
      <c r="S1088" s="40">
        <f>ROUND('Смета ЕР (общ) '!$N1088*'Смета ЕР (общ) '!$Q1088,2)</f>
        <v>0</v>
      </c>
      <c r="T1088" s="40">
        <f>ROUND('Смета ЕР (общ) '!$N1088*'Смета ЕР (общ) '!$R1088,2)</f>
        <v>0</v>
      </c>
    </row>
    <row r="1089" spans="1:25" ht="36" customHeight="1" x14ac:dyDescent="0.3">
      <c r="A1089" s="36" t="s">
        <v>1080</v>
      </c>
      <c r="B1089" s="36">
        <v>2</v>
      </c>
      <c r="C1089" s="36"/>
      <c r="D1089" s="36">
        <v>20</v>
      </c>
      <c r="E1089" s="36" t="str">
        <f>CONCATENATE('Смета ЕР (общ) '!$A1089,".",'Смета ЕР (общ) '!$B1089,".",'Смета ЕР (общ) '!$D1089)</f>
        <v>Р8.2.20</v>
      </c>
      <c r="F1089" s="36">
        <f t="shared" si="96"/>
        <v>1</v>
      </c>
      <c r="G1089" s="36"/>
      <c r="H1089" s="36"/>
      <c r="I1089" s="36"/>
      <c r="J1089" s="36"/>
      <c r="K1089" s="36"/>
      <c r="L1089" s="59" t="s">
        <v>1168</v>
      </c>
      <c r="M1089" s="38" t="s">
        <v>125</v>
      </c>
      <c r="N1089" s="39"/>
      <c r="O1089" s="40">
        <v>2081.64</v>
      </c>
      <c r="P1089" s="40">
        <v>1990.8</v>
      </c>
      <c r="Q1089" s="40">
        <f t="shared" si="97"/>
        <v>2081.64</v>
      </c>
      <c r="R1089" s="40">
        <f t="shared" si="97"/>
        <v>1990.8</v>
      </c>
      <c r="S1089" s="40">
        <f>ROUND('Смета ЕР (общ) '!$N1089*'Смета ЕР (общ) '!$Q1089,2)</f>
        <v>0</v>
      </c>
      <c r="T1089" s="40">
        <f>ROUND('Смета ЕР (общ) '!$N1089*'Смета ЕР (общ) '!$R1089,2)</f>
        <v>0</v>
      </c>
      <c r="Y1089">
        <v>214</v>
      </c>
    </row>
    <row r="1090" spans="1:25" ht="14.4" x14ac:dyDescent="0.3">
      <c r="A1090" s="29" t="s">
        <v>1169</v>
      </c>
      <c r="B1090" s="29">
        <v>0</v>
      </c>
      <c r="C1090" s="29"/>
      <c r="D1090" s="29">
        <v>0</v>
      </c>
      <c r="E1090" s="29" t="str">
        <f>CONCATENATE('Смета ЕР (общ) '!$A1090,".",'Смета ЕР (общ) '!$B1090,".",'Смета ЕР (общ) '!$D1090)</f>
        <v>Р9.0.0</v>
      </c>
      <c r="F1090" s="29">
        <f t="shared" si="96"/>
        <v>1</v>
      </c>
      <c r="G1090" s="29"/>
      <c r="H1090" s="29"/>
      <c r="I1090" s="29"/>
      <c r="J1090" s="29"/>
      <c r="K1090" s="29"/>
      <c r="L1090" s="30" t="s">
        <v>1170</v>
      </c>
      <c r="M1090" s="31"/>
      <c r="N1090" s="32">
        <f>S1090</f>
        <v>0</v>
      </c>
      <c r="O1090" s="47"/>
      <c r="P1090" s="47"/>
      <c r="Q1090" s="34"/>
      <c r="R1090" s="34"/>
      <c r="S1090" s="34">
        <f>S1101+S1091+S1635+S1638+S1661</f>
        <v>0</v>
      </c>
      <c r="T1090" s="34">
        <f>T1101+T1091+T1635+T1638+T1661</f>
        <v>0</v>
      </c>
      <c r="Y1090">
        <v>831877.09</v>
      </c>
    </row>
    <row r="1091" spans="1:25" ht="14.4" x14ac:dyDescent="0.3">
      <c r="A1091" s="29" t="s">
        <v>1169</v>
      </c>
      <c r="B1091" s="29">
        <v>1</v>
      </c>
      <c r="C1091" s="29"/>
      <c r="D1091" s="29">
        <v>0</v>
      </c>
      <c r="E1091" s="29" t="str">
        <f>CONCATENATE('Смета ЕР (общ) '!$A1091,".",'Смета ЕР (общ) '!$B1091,".",'Смета ЕР (общ) '!$D1091)</f>
        <v>Р9.1.0</v>
      </c>
      <c r="F1091" s="29">
        <f t="shared" si="96"/>
        <v>1</v>
      </c>
      <c r="G1091" s="29"/>
      <c r="H1091" s="29"/>
      <c r="I1091" s="29"/>
      <c r="J1091" s="29"/>
      <c r="K1091" s="29"/>
      <c r="L1091" s="30" t="s">
        <v>1171</v>
      </c>
      <c r="M1091" s="31"/>
      <c r="N1091" s="32">
        <f>S1091</f>
        <v>0</v>
      </c>
      <c r="O1091" s="47"/>
      <c r="P1091" s="47"/>
      <c r="Q1091" s="34"/>
      <c r="R1091" s="34"/>
      <c r="S1091" s="34">
        <f>ROUND(SUM(S1092:S1100),2)</f>
        <v>0</v>
      </c>
      <c r="T1091" s="34">
        <f>ROUND(SUM(T1092:T1100),2)</f>
        <v>0</v>
      </c>
      <c r="U1091" s="67"/>
      <c r="Y1091">
        <v>40265.35</v>
      </c>
    </row>
    <row r="1092" spans="1:25" ht="14.4" x14ac:dyDescent="0.3">
      <c r="A1092" s="36" t="s">
        <v>1169</v>
      </c>
      <c r="B1092" s="36">
        <v>1</v>
      </c>
      <c r="C1092" s="36"/>
      <c r="D1092" s="36">
        <v>1</v>
      </c>
      <c r="E1092" s="36" t="str">
        <f>CONCATENATE('Смета ЕР (общ) '!$A1092,".",'Смета ЕР (общ) '!$B1092,".",'Смета ЕР (общ) '!$D1092)</f>
        <v>Р9.1.1</v>
      </c>
      <c r="F1092" s="36">
        <f t="shared" si="96"/>
        <v>1</v>
      </c>
      <c r="G1092" s="36"/>
      <c r="H1092" s="36"/>
      <c r="I1092" s="36"/>
      <c r="J1092" s="36"/>
      <c r="K1092" s="36"/>
      <c r="L1092" s="53" t="s">
        <v>1172</v>
      </c>
      <c r="M1092" s="38" t="s">
        <v>118</v>
      </c>
      <c r="N1092" s="39"/>
      <c r="O1092" s="40">
        <v>7441</v>
      </c>
      <c r="P1092" s="40">
        <f>'[1]Щиты в сборе'!M24</f>
        <v>124007.1</v>
      </c>
      <c r="Q1092" s="40">
        <f t="shared" ref="Q1092:Q1100" si="98">ROUND(O1092-O1092*$V$3,2)</f>
        <v>7441</v>
      </c>
      <c r="R1092" s="66">
        <f>P1092</f>
        <v>124007.1</v>
      </c>
      <c r="S1092" s="40">
        <f>ROUND('Смета ЕР (общ) '!$N1092*'Смета ЕР (общ) '!$Q1092,2)</f>
        <v>0</v>
      </c>
      <c r="T1092" s="40">
        <f>ROUND('Смета ЕР (общ) '!$N1092*'Смета ЕР (общ) '!$R1092,2)</f>
        <v>0</v>
      </c>
      <c r="U1092" s="67" t="s">
        <v>1173</v>
      </c>
      <c r="V1092" s="68"/>
      <c r="Y1092">
        <v>1</v>
      </c>
    </row>
    <row r="1093" spans="1:25" ht="14.4" x14ac:dyDescent="0.3">
      <c r="A1093" s="36" t="s">
        <v>1169</v>
      </c>
      <c r="B1093" s="36">
        <v>1</v>
      </c>
      <c r="C1093" s="36"/>
      <c r="D1093" s="36">
        <v>2</v>
      </c>
      <c r="E1093" s="36" t="str">
        <f>CONCATENATE('Смета ЕР (общ) '!$A1093,".",'Смета ЕР (общ) '!$B1093,".",'Смета ЕР (общ) '!$D1093)</f>
        <v>Р9.1.2</v>
      </c>
      <c r="F1093" s="36">
        <f t="shared" si="96"/>
        <v>1</v>
      </c>
      <c r="G1093" s="36"/>
      <c r="H1093" s="36"/>
      <c r="I1093" s="36"/>
      <c r="J1093" s="36"/>
      <c r="K1093" s="36"/>
      <c r="L1093" s="53" t="s">
        <v>1174</v>
      </c>
      <c r="M1093" s="38" t="s">
        <v>118</v>
      </c>
      <c r="N1093" s="39"/>
      <c r="O1093" s="40">
        <v>12756</v>
      </c>
      <c r="P1093" s="40">
        <f>'[1]Щиты в сборе'!M25</f>
        <v>311104.5</v>
      </c>
      <c r="Q1093" s="40">
        <f t="shared" si="98"/>
        <v>12756</v>
      </c>
      <c r="R1093" s="66">
        <f t="shared" ref="R1093:R1100" si="99">P1093</f>
        <v>311104.5</v>
      </c>
      <c r="S1093" s="40">
        <f>ROUND('Смета ЕР (общ) '!$N1093*'Смета ЕР (общ) '!$Q1093,2)</f>
        <v>0</v>
      </c>
      <c r="T1093" s="40">
        <f>ROUND('Смета ЕР (общ) '!$N1093*'Смета ЕР (общ) '!$R1093,2)</f>
        <v>0</v>
      </c>
      <c r="U1093" s="67" t="s">
        <v>1173</v>
      </c>
      <c r="V1093" s="68"/>
    </row>
    <row r="1094" spans="1:25" ht="14.4" x14ac:dyDescent="0.3">
      <c r="A1094" s="36" t="s">
        <v>1169</v>
      </c>
      <c r="B1094" s="36">
        <v>1</v>
      </c>
      <c r="C1094" s="36"/>
      <c r="D1094" s="36">
        <v>3</v>
      </c>
      <c r="E1094" s="36" t="str">
        <f>CONCATENATE('Смета ЕР (общ) '!$A1094,".",'Смета ЕР (общ) '!$B1094,".",'Смета ЕР (общ) '!$D1094)</f>
        <v>Р9.1.3</v>
      </c>
      <c r="F1094" s="36">
        <f t="shared" si="96"/>
        <v>1</v>
      </c>
      <c r="G1094" s="36"/>
      <c r="H1094" s="36"/>
      <c r="I1094" s="36"/>
      <c r="J1094" s="36"/>
      <c r="K1094" s="36"/>
      <c r="L1094" s="37" t="s">
        <v>1175</v>
      </c>
      <c r="M1094" s="38" t="s">
        <v>118</v>
      </c>
      <c r="N1094" s="39"/>
      <c r="O1094" s="40">
        <v>12756</v>
      </c>
      <c r="P1094" s="40">
        <f>'[1]Щиты в сборе'!M26</f>
        <v>348886.65</v>
      </c>
      <c r="Q1094" s="40">
        <f t="shared" si="98"/>
        <v>12756</v>
      </c>
      <c r="R1094" s="66">
        <f t="shared" si="99"/>
        <v>348886.65</v>
      </c>
      <c r="S1094" s="40">
        <f>ROUND('Смета ЕР (общ) '!$N1094*'Смета ЕР (общ) '!$Q1094,2)</f>
        <v>0</v>
      </c>
      <c r="T1094" s="40">
        <f>ROUND('Смета ЕР (общ) '!$N1094*'Смета ЕР (общ) '!$R1094,2)</f>
        <v>0</v>
      </c>
      <c r="U1094" s="67" t="s">
        <v>1173</v>
      </c>
      <c r="V1094" s="68"/>
    </row>
    <row r="1095" spans="1:25" ht="14.4" x14ac:dyDescent="0.3">
      <c r="A1095" s="36" t="s">
        <v>1169</v>
      </c>
      <c r="B1095" s="36">
        <v>1</v>
      </c>
      <c r="C1095" s="36"/>
      <c r="D1095" s="36">
        <v>4</v>
      </c>
      <c r="E1095" s="36" t="str">
        <f>CONCATENATE('Смета ЕР (общ) '!$A1095,".",'Смета ЕР (общ) '!$B1095,".",'Смета ЕР (общ) '!$D1095)</f>
        <v>Р9.1.4</v>
      </c>
      <c r="F1095" s="36">
        <f t="shared" si="96"/>
        <v>1</v>
      </c>
      <c r="G1095" s="36"/>
      <c r="H1095" s="36"/>
      <c r="I1095" s="36"/>
      <c r="J1095" s="36"/>
      <c r="K1095" s="36"/>
      <c r="L1095" s="37" t="s">
        <v>1176</v>
      </c>
      <c r="M1095" s="38" t="s">
        <v>118</v>
      </c>
      <c r="N1095" s="39"/>
      <c r="O1095" s="40">
        <v>12756</v>
      </c>
      <c r="P1095" s="40">
        <f>'[1]Щиты в сборе'!M27</f>
        <v>348616.8</v>
      </c>
      <c r="Q1095" s="40">
        <f t="shared" si="98"/>
        <v>12756</v>
      </c>
      <c r="R1095" s="66">
        <f t="shared" si="99"/>
        <v>348616.8</v>
      </c>
      <c r="S1095" s="40">
        <f>ROUND('Смета ЕР (общ) '!$N1095*'Смета ЕР (общ) '!$Q1095,2)</f>
        <v>0</v>
      </c>
      <c r="T1095" s="40">
        <f>ROUND('Смета ЕР (общ) '!$N1095*'Смета ЕР (общ) '!$R1095,2)</f>
        <v>0</v>
      </c>
      <c r="U1095" s="67" t="s">
        <v>1173</v>
      </c>
      <c r="V1095" s="68"/>
      <c r="Y1095">
        <v>1</v>
      </c>
    </row>
    <row r="1096" spans="1:25" ht="14.4" x14ac:dyDescent="0.3">
      <c r="A1096" s="36" t="s">
        <v>1169</v>
      </c>
      <c r="B1096" s="36">
        <v>1</v>
      </c>
      <c r="C1096" s="36"/>
      <c r="D1096" s="36">
        <v>5</v>
      </c>
      <c r="E1096" s="36" t="str">
        <f>CONCATENATE('Смета ЕР (общ) '!$A1096,".",'Смета ЕР (общ) '!$B1096,".",'Смета ЕР (общ) '!$D1096)</f>
        <v>Р9.1.5</v>
      </c>
      <c r="F1096" s="36">
        <f t="shared" si="96"/>
        <v>1</v>
      </c>
      <c r="G1096" s="36"/>
      <c r="H1096" s="36"/>
      <c r="I1096" s="36"/>
      <c r="J1096" s="36"/>
      <c r="K1096" s="36"/>
      <c r="L1096" s="37" t="s">
        <v>1177</v>
      </c>
      <c r="M1096" s="38" t="s">
        <v>118</v>
      </c>
      <c r="N1096" s="39"/>
      <c r="O1096" s="40">
        <v>12756</v>
      </c>
      <c r="P1096" s="40">
        <f>'[1]Щиты в сборе'!M28</f>
        <v>12020.4</v>
      </c>
      <c r="Q1096" s="40">
        <f t="shared" si="98"/>
        <v>12756</v>
      </c>
      <c r="R1096" s="66">
        <f t="shared" si="99"/>
        <v>12020.4</v>
      </c>
      <c r="S1096" s="40">
        <f>ROUND('Смета ЕР (общ) '!$N1096*'Смета ЕР (общ) '!$Q1096,2)</f>
        <v>0</v>
      </c>
      <c r="T1096" s="40">
        <f>ROUND('Смета ЕР (общ) '!$N1096*'Смета ЕР (общ) '!$R1096,2)</f>
        <v>0</v>
      </c>
      <c r="U1096" s="67" t="s">
        <v>1173</v>
      </c>
      <c r="V1096" s="68"/>
      <c r="Y1096">
        <v>1</v>
      </c>
    </row>
    <row r="1097" spans="1:25" ht="14.4" x14ac:dyDescent="0.3">
      <c r="A1097" s="36" t="s">
        <v>1169</v>
      </c>
      <c r="B1097" s="36">
        <v>1</v>
      </c>
      <c r="C1097" s="36"/>
      <c r="D1097" s="36">
        <v>6</v>
      </c>
      <c r="E1097" s="36" t="str">
        <f>CONCATENATE('Смета ЕР (общ) '!$A1097,".",'Смета ЕР (общ) '!$B1097,".",'Смета ЕР (общ) '!$D1097)</f>
        <v>Р9.1.6</v>
      </c>
      <c r="F1097" s="36">
        <f t="shared" si="96"/>
        <v>1</v>
      </c>
      <c r="G1097" s="36"/>
      <c r="H1097" s="36"/>
      <c r="I1097" s="36"/>
      <c r="J1097" s="36"/>
      <c r="K1097" s="36"/>
      <c r="L1097" s="37" t="s">
        <v>1178</v>
      </c>
      <c r="M1097" s="38" t="s">
        <v>118</v>
      </c>
      <c r="N1097" s="39"/>
      <c r="O1097" s="40">
        <v>12756</v>
      </c>
      <c r="P1097" s="40">
        <f>'[1]Щиты в сборе'!M29</f>
        <v>22568.7</v>
      </c>
      <c r="Q1097" s="40">
        <f t="shared" si="98"/>
        <v>12756</v>
      </c>
      <c r="R1097" s="66">
        <f t="shared" si="99"/>
        <v>22568.7</v>
      </c>
      <c r="S1097" s="40">
        <f>ROUND('Смета ЕР (общ) '!$N1097*'Смета ЕР (общ) '!$Q1097,2)</f>
        <v>0</v>
      </c>
      <c r="T1097" s="40">
        <f>ROUND('Смета ЕР (общ) '!$N1097*'Смета ЕР (общ) '!$R1097,2)</f>
        <v>0</v>
      </c>
      <c r="U1097" s="67" t="s">
        <v>1173</v>
      </c>
      <c r="V1097" s="68"/>
    </row>
    <row r="1098" spans="1:25" ht="14.4" x14ac:dyDescent="0.3">
      <c r="A1098" s="36" t="s">
        <v>1169</v>
      </c>
      <c r="B1098" s="36">
        <v>1</v>
      </c>
      <c r="C1098" s="36"/>
      <c r="D1098" s="36">
        <v>7</v>
      </c>
      <c r="E1098" s="36" t="str">
        <f>CONCATENATE('Смета ЕР (общ) '!$A1098,".",'Смета ЕР (общ) '!$B1098,".",'Смета ЕР (общ) '!$D1098)</f>
        <v>Р9.1.7</v>
      </c>
      <c r="F1098" s="36">
        <f t="shared" si="96"/>
        <v>1</v>
      </c>
      <c r="G1098" s="36"/>
      <c r="H1098" s="36"/>
      <c r="I1098" s="36"/>
      <c r="J1098" s="36"/>
      <c r="K1098" s="36"/>
      <c r="L1098" s="37" t="s">
        <v>1179</v>
      </c>
      <c r="M1098" s="38" t="s">
        <v>118</v>
      </c>
      <c r="N1098" s="39"/>
      <c r="O1098" s="40">
        <v>7312.35</v>
      </c>
      <c r="P1098" s="40">
        <f>'[1]Щиты в сборе'!M30</f>
        <v>24994.2</v>
      </c>
      <c r="Q1098" s="40">
        <f t="shared" si="98"/>
        <v>7312.35</v>
      </c>
      <c r="R1098" s="66">
        <f t="shared" si="99"/>
        <v>24994.2</v>
      </c>
      <c r="S1098" s="40">
        <f>ROUND('Смета ЕР (общ) '!$N1098*'Смета ЕР (общ) '!$Q1098,2)</f>
        <v>0</v>
      </c>
      <c r="T1098" s="40">
        <f>ROUND('Смета ЕР (общ) '!$N1098*'Смета ЕР (общ) '!$R1098,2)</f>
        <v>0</v>
      </c>
      <c r="U1098" s="67" t="s">
        <v>1173</v>
      </c>
      <c r="V1098" s="68"/>
      <c r="Y1098">
        <v>1</v>
      </c>
    </row>
    <row r="1099" spans="1:25" ht="14.4" x14ac:dyDescent="0.3">
      <c r="A1099" s="152" t="s">
        <v>1169</v>
      </c>
      <c r="B1099" s="152">
        <v>1</v>
      </c>
      <c r="C1099" s="152"/>
      <c r="D1099" s="152">
        <v>8</v>
      </c>
      <c r="E1099" s="152" t="str">
        <f>CONCATENATE('Смета ЕР (общ) '!$A1099,".",'Смета ЕР (общ) '!$B1099,".",'Смета ЕР (общ) '!$D1099)</f>
        <v>Р9.1.8</v>
      </c>
      <c r="F1099" s="152">
        <f t="shared" si="96"/>
        <v>1</v>
      </c>
      <c r="G1099" s="152"/>
      <c r="H1099" s="152"/>
      <c r="I1099" s="152"/>
      <c r="J1099" s="152"/>
      <c r="K1099" s="152"/>
      <c r="L1099" s="153" t="s">
        <v>1180</v>
      </c>
      <c r="M1099" s="38" t="s">
        <v>118</v>
      </c>
      <c r="N1099" s="39"/>
      <c r="O1099" s="40">
        <v>7441</v>
      </c>
      <c r="P1099" s="40">
        <f>'[1]Щиты в сборе'!M33</f>
        <v>62745.9</v>
      </c>
      <c r="Q1099" s="40">
        <f t="shared" si="98"/>
        <v>7441</v>
      </c>
      <c r="R1099" s="66">
        <f t="shared" si="99"/>
        <v>62745.9</v>
      </c>
      <c r="S1099" s="40">
        <f>ROUND('Смета ЕР (общ) '!$N1099*'Смета ЕР (общ) '!$Q1099,2)</f>
        <v>0</v>
      </c>
      <c r="T1099" s="40">
        <f>ROUND('Смета ЕР (общ) '!$N1099*'Смета ЕР (общ) '!$R1099,2)</f>
        <v>0</v>
      </c>
      <c r="U1099" s="67" t="s">
        <v>1173</v>
      </c>
      <c r="V1099" s="68"/>
    </row>
    <row r="1100" spans="1:25" ht="14.4" x14ac:dyDescent="0.3">
      <c r="A1100" s="152" t="s">
        <v>1169</v>
      </c>
      <c r="B1100" s="152">
        <v>1</v>
      </c>
      <c r="C1100" s="152"/>
      <c r="D1100" s="152">
        <v>9</v>
      </c>
      <c r="E1100" s="152" t="str">
        <f>CONCATENATE('Смета ЕР (общ) '!$A1100,".",'Смета ЕР (общ) '!$B1100,".",'Смета ЕР (общ) '!$D1100)</f>
        <v>Р9.1.9</v>
      </c>
      <c r="F1100" s="152">
        <f t="shared" si="96"/>
        <v>1</v>
      </c>
      <c r="G1100" s="152"/>
      <c r="H1100" s="152"/>
      <c r="I1100" s="152"/>
      <c r="J1100" s="152"/>
      <c r="K1100" s="152"/>
      <c r="L1100" s="153" t="s">
        <v>1181</v>
      </c>
      <c r="M1100" s="38" t="s">
        <v>118</v>
      </c>
      <c r="N1100" s="39"/>
      <c r="O1100" s="40">
        <v>7441</v>
      </c>
      <c r="P1100" s="40">
        <f>'[1]Щиты в сборе'!M34</f>
        <v>136832.85</v>
      </c>
      <c r="Q1100" s="40">
        <f t="shared" si="98"/>
        <v>7441</v>
      </c>
      <c r="R1100" s="66">
        <f t="shared" si="99"/>
        <v>136832.85</v>
      </c>
      <c r="S1100" s="40">
        <f>ROUND('Смета ЕР (общ) '!$N1100*'Смета ЕР (общ) '!$Q1100,2)</f>
        <v>0</v>
      </c>
      <c r="T1100" s="40">
        <f>ROUND('Смета ЕР (общ) '!$N1100*'Смета ЕР (общ) '!$R1100,2)</f>
        <v>0</v>
      </c>
      <c r="U1100" s="67" t="s">
        <v>1173</v>
      </c>
      <c r="V1100" s="68"/>
    </row>
    <row r="1101" spans="1:25" ht="14.4" x14ac:dyDescent="0.3">
      <c r="A1101" s="29" t="s">
        <v>1169</v>
      </c>
      <c r="B1101" s="29">
        <v>2</v>
      </c>
      <c r="C1101" s="29"/>
      <c r="D1101" s="29">
        <v>0</v>
      </c>
      <c r="E1101" s="29" t="str">
        <f>CONCATENATE('Смета ЕР (общ) '!$A1101,".",'Смета ЕР (общ) '!$B1101,".",'Смета ЕР (общ) '!$D1101)</f>
        <v>Р9.2.0</v>
      </c>
      <c r="F1101" s="29">
        <f t="shared" si="96"/>
        <v>1</v>
      </c>
      <c r="G1101" s="29"/>
      <c r="H1101" s="29"/>
      <c r="I1101" s="29"/>
      <c r="J1101" s="29"/>
      <c r="K1101" s="29"/>
      <c r="L1101" s="30" t="s">
        <v>1182</v>
      </c>
      <c r="M1101" s="31"/>
      <c r="N1101" s="32">
        <f>S1101</f>
        <v>0</v>
      </c>
      <c r="O1101" s="47"/>
      <c r="P1101" s="47"/>
      <c r="Q1101" s="34"/>
      <c r="R1101" s="34"/>
      <c r="S1101" s="34">
        <f>ROUND(SUM(S1102:S1634),2)</f>
        <v>0</v>
      </c>
      <c r="T1101" s="34">
        <f>ROUND(SUM(T1102:T1634),2)</f>
        <v>0</v>
      </c>
      <c r="Y1101">
        <v>791611.74</v>
      </c>
    </row>
    <row r="1102" spans="1:25" ht="24" x14ac:dyDescent="0.3">
      <c r="A1102" s="36" t="s">
        <v>1169</v>
      </c>
      <c r="B1102" s="36">
        <v>2</v>
      </c>
      <c r="C1102" s="36"/>
      <c r="D1102" s="36">
        <v>298</v>
      </c>
      <c r="E1102" s="36" t="str">
        <f>CONCATENATE('Смета ЕР (общ) '!$A1102,".",'Смета ЕР (общ) '!$B1102,".",'Смета ЕР (общ) '!$D1102)</f>
        <v>Р9.2.298</v>
      </c>
      <c r="F1102" s="36">
        <f t="shared" si="96"/>
        <v>1</v>
      </c>
      <c r="G1102" s="36"/>
      <c r="H1102" s="36"/>
      <c r="I1102" s="36"/>
      <c r="J1102" s="36"/>
      <c r="K1102" s="36"/>
      <c r="L1102" s="53" t="s">
        <v>1183</v>
      </c>
      <c r="M1102" s="38" t="s">
        <v>118</v>
      </c>
      <c r="N1102" s="39"/>
      <c r="O1102" s="40">
        <v>5261.85</v>
      </c>
      <c r="P1102" s="40">
        <v>5327.15</v>
      </c>
      <c r="Q1102" s="40">
        <f t="shared" ref="Q1102:R1165" si="100">ROUND(O1102-O1102*$V$3,2)</f>
        <v>5261.85</v>
      </c>
      <c r="R1102" s="40">
        <f t="shared" si="100"/>
        <v>5327.15</v>
      </c>
      <c r="S1102" s="40">
        <f>ROUND('Смета ЕР (общ) '!$N1102*'Смета ЕР (общ) '!$Q1102,2)</f>
        <v>0</v>
      </c>
      <c r="T1102" s="40">
        <f>ROUND('Смета ЕР (общ) '!$N1102*'Смета ЕР (общ) '!$R1102,2)</f>
        <v>0</v>
      </c>
    </row>
    <row r="1103" spans="1:25" ht="34.5" customHeight="1" x14ac:dyDescent="0.3">
      <c r="A1103" s="36" t="s">
        <v>1169</v>
      </c>
      <c r="B1103" s="36">
        <v>2</v>
      </c>
      <c r="C1103" s="36"/>
      <c r="D1103" s="36">
        <v>251</v>
      </c>
      <c r="E1103" s="36" t="str">
        <f>CONCATENATE('Смета ЕР (общ) '!$A1103,".",'Смета ЕР (общ) '!$B1103,".",'Смета ЕР (общ) '!$D1103)</f>
        <v>Р9.2.251</v>
      </c>
      <c r="F1103" s="36">
        <f t="shared" si="96"/>
        <v>1</v>
      </c>
      <c r="G1103" s="36"/>
      <c r="H1103" s="36"/>
      <c r="I1103" s="36"/>
      <c r="J1103" s="36"/>
      <c r="K1103" s="36"/>
      <c r="L1103" s="53" t="s">
        <v>1184</v>
      </c>
      <c r="M1103" s="38" t="s">
        <v>118</v>
      </c>
      <c r="N1103" s="39"/>
      <c r="O1103" s="40">
        <v>5261.85</v>
      </c>
      <c r="P1103" s="40">
        <v>11023.6</v>
      </c>
      <c r="Q1103" s="40">
        <f t="shared" si="100"/>
        <v>5261.85</v>
      </c>
      <c r="R1103" s="40">
        <f t="shared" si="100"/>
        <v>11023.6</v>
      </c>
      <c r="S1103" s="40">
        <f>ROUND('Смета ЕР (общ) '!$N1103*'Смета ЕР (общ) '!$Q1103,2)</f>
        <v>0</v>
      </c>
      <c r="T1103" s="40">
        <f>ROUND('Смета ЕР (общ) '!$N1103*'Смета ЕР (общ) '!$R1103,2)</f>
        <v>0</v>
      </c>
    </row>
    <row r="1104" spans="1:25" ht="34.5" customHeight="1" x14ac:dyDescent="0.3">
      <c r="A1104" s="36" t="s">
        <v>1169</v>
      </c>
      <c r="B1104" s="36">
        <v>2</v>
      </c>
      <c r="C1104" s="36"/>
      <c r="D1104" s="36">
        <v>7</v>
      </c>
      <c r="E1104" s="36" t="str">
        <f>CONCATENATE('Смета ЕР (общ) '!$A1104,".",'Смета ЕР (общ) '!$B1104,".",'Смета ЕР (общ) '!$D1104)</f>
        <v>Р9.2.7</v>
      </c>
      <c r="F1104" s="36">
        <f t="shared" si="96"/>
        <v>1</v>
      </c>
      <c r="G1104" s="36"/>
      <c r="H1104" s="36"/>
      <c r="I1104" s="36"/>
      <c r="J1104" s="36"/>
      <c r="K1104" s="36"/>
      <c r="L1104" s="37" t="s">
        <v>1185</v>
      </c>
      <c r="M1104" s="38" t="s">
        <v>118</v>
      </c>
      <c r="N1104" s="39"/>
      <c r="O1104" s="40">
        <v>5261.85</v>
      </c>
      <c r="P1104" s="40">
        <v>37228.03</v>
      </c>
      <c r="Q1104" s="40">
        <f t="shared" si="100"/>
        <v>5261.85</v>
      </c>
      <c r="R1104" s="40">
        <f t="shared" si="100"/>
        <v>37228.03</v>
      </c>
      <c r="S1104" s="40">
        <f>ROUND('Смета ЕР (общ) '!$N1104*'Смета ЕР (общ) '!$Q1104,2)</f>
        <v>0</v>
      </c>
      <c r="T1104" s="40">
        <f>ROUND('Смета ЕР (общ) '!$N1104*'Смета ЕР (общ) '!$R1104,2)</f>
        <v>0</v>
      </c>
    </row>
    <row r="1105" spans="1:21" ht="34.5" customHeight="1" x14ac:dyDescent="0.3">
      <c r="A1105" s="36" t="s">
        <v>1169</v>
      </c>
      <c r="B1105" s="36">
        <v>2</v>
      </c>
      <c r="C1105" s="36"/>
      <c r="D1105" s="36">
        <v>6</v>
      </c>
      <c r="E1105" s="36" t="str">
        <f>CONCATENATE('Смета ЕР (общ) '!$A1105,".",'Смета ЕР (общ) '!$B1105,".",'Смета ЕР (общ) '!$D1105)</f>
        <v>Р9.2.6</v>
      </c>
      <c r="F1105" s="36">
        <f t="shared" ref="F1105:F1168" si="101">IF(N1105&gt;0,F1104+1,F1104)</f>
        <v>1</v>
      </c>
      <c r="G1105" s="36"/>
      <c r="H1105" s="36"/>
      <c r="I1105" s="36"/>
      <c r="J1105" s="36"/>
      <c r="K1105" s="36"/>
      <c r="L1105" s="37" t="s">
        <v>1186</v>
      </c>
      <c r="M1105" s="38" t="s">
        <v>118</v>
      </c>
      <c r="N1105" s="39"/>
      <c r="O1105" s="40">
        <v>6084.32</v>
      </c>
      <c r="P1105" s="40">
        <v>37596.86</v>
      </c>
      <c r="Q1105" s="40">
        <f t="shared" si="100"/>
        <v>6084.32</v>
      </c>
      <c r="R1105" s="40">
        <f t="shared" si="100"/>
        <v>37596.86</v>
      </c>
      <c r="S1105" s="40">
        <f>ROUND('Смета ЕР (общ) '!$N1105*'Смета ЕР (общ) '!$Q1105,2)</f>
        <v>0</v>
      </c>
      <c r="T1105" s="40">
        <f>ROUND('Смета ЕР (общ) '!$N1105*'Смета ЕР (общ) '!$R1105,2)</f>
        <v>0</v>
      </c>
    </row>
    <row r="1106" spans="1:21" ht="34.5" customHeight="1" x14ac:dyDescent="0.3">
      <c r="A1106" s="36" t="s">
        <v>1169</v>
      </c>
      <c r="B1106" s="36">
        <v>2</v>
      </c>
      <c r="C1106" s="36"/>
      <c r="D1106" s="36">
        <v>4</v>
      </c>
      <c r="E1106" s="36" t="str">
        <f>CONCATENATE('Смета ЕР (общ) '!$A1106,".",'Смета ЕР (общ) '!$B1106,".",'Смета ЕР (общ) '!$D1106)</f>
        <v>Р9.2.4</v>
      </c>
      <c r="F1106" s="36">
        <f t="shared" si="101"/>
        <v>1</v>
      </c>
      <c r="G1106" s="36"/>
      <c r="H1106" s="36"/>
      <c r="I1106" s="36"/>
      <c r="J1106" s="36"/>
      <c r="K1106" s="36"/>
      <c r="L1106" s="37" t="s">
        <v>1187</v>
      </c>
      <c r="M1106" s="38" t="s">
        <v>118</v>
      </c>
      <c r="N1106" s="39"/>
      <c r="O1106" s="40">
        <v>5261.85</v>
      </c>
      <c r="P1106" s="40">
        <v>24538.27</v>
      </c>
      <c r="Q1106" s="40">
        <f t="shared" si="100"/>
        <v>5261.85</v>
      </c>
      <c r="R1106" s="40">
        <f t="shared" si="100"/>
        <v>24538.27</v>
      </c>
      <c r="S1106" s="40">
        <f>ROUND('Смета ЕР (общ) '!$N1106*'Смета ЕР (общ) '!$Q1106,2)</f>
        <v>0</v>
      </c>
      <c r="T1106" s="40">
        <f>ROUND('Смета ЕР (общ) '!$N1106*'Смета ЕР (общ) '!$R1106,2)</f>
        <v>0</v>
      </c>
    </row>
    <row r="1107" spans="1:21" ht="34.5" customHeight="1" x14ac:dyDescent="0.3">
      <c r="A1107" s="36" t="s">
        <v>1169</v>
      </c>
      <c r="B1107" s="36">
        <v>2</v>
      </c>
      <c r="C1107" s="36"/>
      <c r="D1107" s="36">
        <v>3</v>
      </c>
      <c r="E1107" s="36" t="str">
        <f>CONCATENATE('Смета ЕР (общ) '!$A1107,".",'Смета ЕР (общ) '!$B1107,".",'Смета ЕР (общ) '!$D1107)</f>
        <v>Р9.2.3</v>
      </c>
      <c r="F1107" s="36">
        <f t="shared" si="101"/>
        <v>1</v>
      </c>
      <c r="G1107" s="36"/>
      <c r="H1107" s="36"/>
      <c r="I1107" s="36"/>
      <c r="J1107" s="36"/>
      <c r="K1107" s="36"/>
      <c r="L1107" s="37" t="s">
        <v>1188</v>
      </c>
      <c r="M1107" s="38" t="s">
        <v>118</v>
      </c>
      <c r="N1107" s="39"/>
      <c r="O1107" s="40">
        <v>7089.07</v>
      </c>
      <c r="P1107" s="40">
        <v>26459.23</v>
      </c>
      <c r="Q1107" s="40">
        <f t="shared" si="100"/>
        <v>7089.07</v>
      </c>
      <c r="R1107" s="40">
        <f t="shared" si="100"/>
        <v>26459.23</v>
      </c>
      <c r="S1107" s="40">
        <f>ROUND('Смета ЕР (общ) '!$N1107*'Смета ЕР (общ) '!$Q1107,2)</f>
        <v>0</v>
      </c>
      <c r="T1107" s="40">
        <f>ROUND('Смета ЕР (общ) '!$N1107*'Смета ЕР (общ) '!$R1107,2)</f>
        <v>0</v>
      </c>
    </row>
    <row r="1108" spans="1:21" ht="34.5" customHeight="1" x14ac:dyDescent="0.3">
      <c r="A1108" s="36" t="s">
        <v>1169</v>
      </c>
      <c r="B1108" s="36">
        <v>2</v>
      </c>
      <c r="C1108" s="36"/>
      <c r="D1108" s="36">
        <v>2</v>
      </c>
      <c r="E1108" s="36" t="str">
        <f>CONCATENATE('Смета ЕР (общ) '!$A1108,".",'Смета ЕР (общ) '!$B1108,".",'Смета ЕР (общ) '!$D1108)</f>
        <v>Р9.2.2</v>
      </c>
      <c r="F1108" s="36">
        <f t="shared" si="101"/>
        <v>1</v>
      </c>
      <c r="G1108" s="36"/>
      <c r="H1108" s="36"/>
      <c r="I1108" s="36"/>
      <c r="J1108" s="36"/>
      <c r="K1108" s="36"/>
      <c r="L1108" s="37" t="s">
        <v>1189</v>
      </c>
      <c r="M1108" s="38" t="s">
        <v>118</v>
      </c>
      <c r="N1108" s="39"/>
      <c r="O1108" s="40">
        <v>8484.56</v>
      </c>
      <c r="P1108" s="40">
        <v>50549.65</v>
      </c>
      <c r="Q1108" s="40">
        <f t="shared" si="100"/>
        <v>8484.56</v>
      </c>
      <c r="R1108" s="40">
        <f t="shared" si="100"/>
        <v>50549.65</v>
      </c>
      <c r="S1108" s="40">
        <f>ROUND('Смета ЕР (общ) '!$N1108*'Смета ЕР (общ) '!$Q1108,2)</f>
        <v>0</v>
      </c>
      <c r="T1108" s="40">
        <f>ROUND('Смета ЕР (общ) '!$N1108*'Смета ЕР (общ) '!$R1108,2)</f>
        <v>0</v>
      </c>
    </row>
    <row r="1109" spans="1:21" ht="34.5" customHeight="1" x14ac:dyDescent="0.3">
      <c r="A1109" s="36" t="s">
        <v>1169</v>
      </c>
      <c r="B1109" s="36">
        <v>2</v>
      </c>
      <c r="C1109" s="36"/>
      <c r="D1109" s="36">
        <v>1</v>
      </c>
      <c r="E1109" s="36" t="str">
        <f>CONCATENATE('Смета ЕР (общ) '!$A1109,".",'Смета ЕР (общ) '!$B1109,".",'Смета ЕР (общ) '!$D1109)</f>
        <v>Р9.2.1</v>
      </c>
      <c r="F1109" s="36">
        <f t="shared" si="101"/>
        <v>1</v>
      </c>
      <c r="G1109" s="36"/>
      <c r="H1109" s="36"/>
      <c r="I1109" s="36"/>
      <c r="J1109" s="36"/>
      <c r="K1109" s="36"/>
      <c r="L1109" s="37" t="s">
        <v>1190</v>
      </c>
      <c r="M1109" s="38" t="s">
        <v>118</v>
      </c>
      <c r="N1109" s="39"/>
      <c r="O1109" s="40">
        <v>13843.23</v>
      </c>
      <c r="P1109" s="40">
        <v>61418.76</v>
      </c>
      <c r="Q1109" s="40">
        <f t="shared" si="100"/>
        <v>13843.23</v>
      </c>
      <c r="R1109" s="40">
        <f t="shared" si="100"/>
        <v>61418.76</v>
      </c>
      <c r="S1109" s="40">
        <f>ROUND('Смета ЕР (общ) '!$N1109*'Смета ЕР (общ) '!$Q1109,2)</f>
        <v>0</v>
      </c>
      <c r="T1109" s="40">
        <f>ROUND('Смета ЕР (общ) '!$N1109*'Смета ЕР (общ) '!$R1109,2)</f>
        <v>0</v>
      </c>
    </row>
    <row r="1110" spans="1:21" ht="34.5" customHeight="1" x14ac:dyDescent="0.3">
      <c r="A1110" s="36" t="s">
        <v>1169</v>
      </c>
      <c r="B1110" s="36">
        <v>2</v>
      </c>
      <c r="C1110" s="36"/>
      <c r="D1110" s="36">
        <v>278</v>
      </c>
      <c r="E1110" s="36" t="str">
        <f>CONCATENATE('Смета ЕР (общ) '!$A1110,".",'Смета ЕР (общ) '!$B1110,".",'Смета ЕР (общ) '!$D1110)</f>
        <v>Р9.2.278</v>
      </c>
      <c r="F1110" s="36">
        <f t="shared" si="101"/>
        <v>1</v>
      </c>
      <c r="G1110" s="36"/>
      <c r="H1110" s="36"/>
      <c r="I1110" s="36"/>
      <c r="J1110" s="36"/>
      <c r="K1110" s="36"/>
      <c r="L1110" s="37" t="s">
        <v>1191</v>
      </c>
      <c r="M1110" s="38" t="s">
        <v>118</v>
      </c>
      <c r="N1110" s="39"/>
      <c r="O1110" s="40">
        <v>20988.12</v>
      </c>
      <c r="P1110" s="40">
        <v>31587.11</v>
      </c>
      <c r="Q1110" s="40">
        <f t="shared" si="100"/>
        <v>20988.12</v>
      </c>
      <c r="R1110" s="40">
        <f t="shared" si="100"/>
        <v>31587.11</v>
      </c>
      <c r="S1110" s="40">
        <f>ROUND('Смета ЕР (общ) '!$N1110*'Смета ЕР (общ) '!$Q1110,2)</f>
        <v>0</v>
      </c>
      <c r="T1110" s="40">
        <f>ROUND('Смета ЕР (общ) '!$N1110*'Смета ЕР (общ) '!$R1110,2)</f>
        <v>0</v>
      </c>
      <c r="U1110" s="35" t="s">
        <v>1192</v>
      </c>
    </row>
    <row r="1111" spans="1:21" ht="34.5" customHeight="1" x14ac:dyDescent="0.3">
      <c r="A1111" s="36" t="s">
        <v>1169</v>
      </c>
      <c r="B1111" s="36">
        <v>2</v>
      </c>
      <c r="C1111" s="36"/>
      <c r="D1111" s="36">
        <v>245</v>
      </c>
      <c r="E1111" s="36" t="str">
        <f>CONCATENATE('Смета ЕР (общ) '!$A1111,".",'Смета ЕР (общ) '!$B1111,".",'Смета ЕР (общ) '!$D1111)</f>
        <v>Р9.2.245</v>
      </c>
      <c r="F1111" s="36">
        <f t="shared" si="101"/>
        <v>1</v>
      </c>
      <c r="G1111" s="36"/>
      <c r="H1111" s="36"/>
      <c r="I1111" s="36"/>
      <c r="J1111" s="36"/>
      <c r="K1111" s="36"/>
      <c r="L1111" s="53" t="s">
        <v>1193</v>
      </c>
      <c r="M1111" s="38" t="s">
        <v>118</v>
      </c>
      <c r="N1111" s="39"/>
      <c r="O1111" s="40">
        <v>7312.35</v>
      </c>
      <c r="P1111" s="40">
        <v>10083.19</v>
      </c>
      <c r="Q1111" s="40">
        <f t="shared" si="100"/>
        <v>7312.35</v>
      </c>
      <c r="R1111" s="40">
        <f t="shared" si="100"/>
        <v>10083.19</v>
      </c>
      <c r="S1111" s="40">
        <f>ROUND('Смета ЕР (общ) '!$N1111*'Смета ЕР (общ) '!$Q1111,2)</f>
        <v>0</v>
      </c>
      <c r="T1111" s="40">
        <f>ROUND('Смета ЕР (общ) '!$N1111*'Смета ЕР (общ) '!$R1111,2)</f>
        <v>0</v>
      </c>
    </row>
    <row r="1112" spans="1:21" ht="34.5" customHeight="1" x14ac:dyDescent="0.3">
      <c r="A1112" s="36" t="s">
        <v>1169</v>
      </c>
      <c r="B1112" s="36">
        <v>2</v>
      </c>
      <c r="C1112" s="36"/>
      <c r="D1112" s="36">
        <v>252</v>
      </c>
      <c r="E1112" s="36" t="str">
        <f>CONCATENATE('Смета ЕР (общ) '!$A1112,".",'Смета ЕР (общ) '!$B1112,".",'Смета ЕР (общ) '!$D1112)</f>
        <v>Р9.2.252</v>
      </c>
      <c r="F1112" s="36">
        <f t="shared" si="101"/>
        <v>1</v>
      </c>
      <c r="G1112" s="36"/>
      <c r="H1112" s="36"/>
      <c r="I1112" s="36"/>
      <c r="J1112" s="36"/>
      <c r="K1112" s="36"/>
      <c r="L1112" s="53" t="s">
        <v>1194</v>
      </c>
      <c r="M1112" s="38" t="s">
        <v>118</v>
      </c>
      <c r="N1112" s="39"/>
      <c r="O1112" s="40">
        <v>18264.259999999998</v>
      </c>
      <c r="P1112" s="40">
        <v>46601.73</v>
      </c>
      <c r="Q1112" s="40">
        <f t="shared" si="100"/>
        <v>18264.259999999998</v>
      </c>
      <c r="R1112" s="40">
        <f t="shared" si="100"/>
        <v>46601.73</v>
      </c>
      <c r="S1112" s="40">
        <f>ROUND('Смета ЕР (общ) '!$N1112*'Смета ЕР (общ) '!$Q1112,2)</f>
        <v>0</v>
      </c>
      <c r="T1112" s="40">
        <f>ROUND('Смета ЕР (общ) '!$N1112*'Смета ЕР (общ) '!$R1112,2)</f>
        <v>0</v>
      </c>
    </row>
    <row r="1113" spans="1:21" ht="34.5" customHeight="1" x14ac:dyDescent="0.3">
      <c r="A1113" s="36" t="s">
        <v>1169</v>
      </c>
      <c r="B1113" s="36">
        <v>2</v>
      </c>
      <c r="C1113" s="36"/>
      <c r="D1113" s="36">
        <v>253</v>
      </c>
      <c r="E1113" s="36" t="str">
        <f>CONCATENATE('Смета ЕР (общ) '!$A1113,".",'Смета ЕР (общ) '!$B1113,".",'Смета ЕР (общ) '!$D1113)</f>
        <v>Р9.2.253</v>
      </c>
      <c r="F1113" s="36">
        <f t="shared" si="101"/>
        <v>1</v>
      </c>
      <c r="G1113" s="36"/>
      <c r="H1113" s="36"/>
      <c r="I1113" s="36"/>
      <c r="J1113" s="36"/>
      <c r="K1113" s="36"/>
      <c r="L1113" s="53" t="s">
        <v>1195</v>
      </c>
      <c r="M1113" s="38" t="s">
        <v>118</v>
      </c>
      <c r="N1113" s="39"/>
      <c r="O1113" s="40">
        <v>31350.799999999999</v>
      </c>
      <c r="P1113" s="40">
        <v>80929.759999999995</v>
      </c>
      <c r="Q1113" s="40">
        <f t="shared" si="100"/>
        <v>31350.799999999999</v>
      </c>
      <c r="R1113" s="40">
        <f t="shared" si="100"/>
        <v>80929.759999999995</v>
      </c>
      <c r="S1113" s="40">
        <f>ROUND('Смета ЕР (общ) '!$N1113*'Смета ЕР (общ) '!$Q1113,2)</f>
        <v>0</v>
      </c>
      <c r="T1113" s="40">
        <f>ROUND('Смета ЕР (общ) '!$N1113*'Смета ЕР (общ) '!$R1113,2)</f>
        <v>0</v>
      </c>
    </row>
    <row r="1114" spans="1:21" ht="34.5" customHeight="1" x14ac:dyDescent="0.3">
      <c r="A1114" s="36" t="s">
        <v>1169</v>
      </c>
      <c r="B1114" s="36">
        <v>2</v>
      </c>
      <c r="C1114" s="36"/>
      <c r="D1114" s="36">
        <v>254</v>
      </c>
      <c r="E1114" s="36" t="str">
        <f>CONCATENATE('Смета ЕР (общ) '!$A1114,".",'Смета ЕР (общ) '!$B1114,".",'Смета ЕР (общ) '!$D1114)</f>
        <v>Р9.2.254</v>
      </c>
      <c r="F1114" s="36">
        <f t="shared" si="101"/>
        <v>1</v>
      </c>
      <c r="G1114" s="36"/>
      <c r="H1114" s="36"/>
      <c r="I1114" s="36"/>
      <c r="J1114" s="36"/>
      <c r="K1114" s="36"/>
      <c r="L1114" s="53" t="s">
        <v>1196</v>
      </c>
      <c r="M1114" s="38" t="s">
        <v>118</v>
      </c>
      <c r="N1114" s="39"/>
      <c r="O1114" s="40">
        <v>47566.73</v>
      </c>
      <c r="P1114" s="40">
        <v>118677.25</v>
      </c>
      <c r="Q1114" s="40">
        <f t="shared" si="100"/>
        <v>47566.73</v>
      </c>
      <c r="R1114" s="40">
        <f t="shared" si="100"/>
        <v>118677.25</v>
      </c>
      <c r="S1114" s="40">
        <f>ROUND('Смета ЕР (общ) '!$N1114*'Смета ЕР (общ) '!$Q1114,2)</f>
        <v>0</v>
      </c>
      <c r="T1114" s="40">
        <f>ROUND('Смета ЕР (общ) '!$N1114*'Смета ЕР (общ) '!$R1114,2)</f>
        <v>0</v>
      </c>
    </row>
    <row r="1115" spans="1:21" ht="34.5" customHeight="1" x14ac:dyDescent="0.3">
      <c r="A1115" s="36" t="s">
        <v>1169</v>
      </c>
      <c r="B1115" s="36">
        <v>2</v>
      </c>
      <c r="C1115" s="36"/>
      <c r="D1115" s="36">
        <v>255</v>
      </c>
      <c r="E1115" s="36" t="str">
        <f>CONCATENATE('Смета ЕР (общ) '!$A1115,".",'Смета ЕР (общ) '!$B1115,".",'Смета ЕР (общ) '!$D1115)</f>
        <v>Р9.2.255</v>
      </c>
      <c r="F1115" s="36">
        <f t="shared" si="101"/>
        <v>1</v>
      </c>
      <c r="G1115" s="36"/>
      <c r="H1115" s="36"/>
      <c r="I1115" s="36"/>
      <c r="J1115" s="36"/>
      <c r="K1115" s="36"/>
      <c r="L1115" s="53" t="s">
        <v>1197</v>
      </c>
      <c r="M1115" s="38" t="s">
        <v>118</v>
      </c>
      <c r="N1115" s="39"/>
      <c r="O1115" s="40">
        <v>870</v>
      </c>
      <c r="P1115" s="40">
        <v>2943.88</v>
      </c>
      <c r="Q1115" s="40">
        <f t="shared" si="100"/>
        <v>870</v>
      </c>
      <c r="R1115" s="40">
        <f t="shared" si="100"/>
        <v>2943.88</v>
      </c>
      <c r="S1115" s="40">
        <f>ROUND('Смета ЕР (общ) '!$N1115*'Смета ЕР (общ) '!$Q1115,2)</f>
        <v>0</v>
      </c>
      <c r="T1115" s="40">
        <f>ROUND('Смета ЕР (общ) '!$N1115*'Смета ЕР (общ) '!$R1115,2)</f>
        <v>0</v>
      </c>
    </row>
    <row r="1116" spans="1:21" ht="34.5" customHeight="1" x14ac:dyDescent="0.3">
      <c r="A1116" s="36" t="s">
        <v>1169</v>
      </c>
      <c r="B1116" s="36">
        <v>2</v>
      </c>
      <c r="C1116" s="36"/>
      <c r="D1116" s="36">
        <v>8</v>
      </c>
      <c r="E1116" s="36" t="str">
        <f>CONCATENATE('Смета ЕР (общ) '!$A1116,".",'Смета ЕР (общ) '!$B1116,".",'Смета ЕР (общ) '!$D1116)</f>
        <v>Р9.2.8</v>
      </c>
      <c r="F1116" s="36">
        <f t="shared" si="101"/>
        <v>1</v>
      </c>
      <c r="G1116" s="36"/>
      <c r="H1116" s="36"/>
      <c r="I1116" s="36"/>
      <c r="J1116" s="36"/>
      <c r="K1116" s="36"/>
      <c r="L1116" s="53" t="s">
        <v>1198</v>
      </c>
      <c r="M1116" s="38" t="s">
        <v>118</v>
      </c>
      <c r="N1116" s="39"/>
      <c r="O1116" s="40">
        <v>916.11</v>
      </c>
      <c r="P1116" s="40">
        <v>3389.68</v>
      </c>
      <c r="Q1116" s="40">
        <f t="shared" si="100"/>
        <v>916.11</v>
      </c>
      <c r="R1116" s="40">
        <f t="shared" si="100"/>
        <v>3389.68</v>
      </c>
      <c r="S1116" s="40">
        <f>ROUND('Смета ЕР (общ) '!$N1116*'Смета ЕР (общ) '!$Q1116,2)</f>
        <v>0</v>
      </c>
      <c r="T1116" s="40">
        <f>ROUND('Смета ЕР (общ) '!$N1116*'Смета ЕР (общ) '!$R1116,2)</f>
        <v>0</v>
      </c>
    </row>
    <row r="1117" spans="1:21" ht="34.5" customHeight="1" x14ac:dyDescent="0.3">
      <c r="A1117" s="36" t="s">
        <v>1169</v>
      </c>
      <c r="B1117" s="36">
        <v>2</v>
      </c>
      <c r="C1117" s="36"/>
      <c r="D1117" s="36">
        <v>256</v>
      </c>
      <c r="E1117" s="36" t="str">
        <f>CONCATENATE('Смета ЕР (общ) '!$A1117,".",'Смета ЕР (общ) '!$B1117,".",'Смета ЕР (общ) '!$D1117)</f>
        <v>Р9.2.256</v>
      </c>
      <c r="F1117" s="36">
        <f t="shared" si="101"/>
        <v>1</v>
      </c>
      <c r="G1117" s="36"/>
      <c r="H1117" s="36"/>
      <c r="I1117" s="36"/>
      <c r="J1117" s="36"/>
      <c r="K1117" s="36"/>
      <c r="L1117" s="53" t="s">
        <v>1199</v>
      </c>
      <c r="M1117" s="38" t="s">
        <v>118</v>
      </c>
      <c r="N1117" s="39"/>
      <c r="O1117" s="40">
        <v>1082.6500000000001</v>
      </c>
      <c r="P1117" s="40">
        <v>1823.19</v>
      </c>
      <c r="Q1117" s="40">
        <f t="shared" si="100"/>
        <v>1082.6500000000001</v>
      </c>
      <c r="R1117" s="40">
        <f t="shared" si="100"/>
        <v>1823.19</v>
      </c>
      <c r="S1117" s="40">
        <f>ROUND('Смета ЕР (общ) '!$N1117*'Смета ЕР (общ) '!$Q1117,2)</f>
        <v>0</v>
      </c>
      <c r="T1117" s="40">
        <f>ROUND('Смета ЕР (общ) '!$N1117*'Смета ЕР (общ) '!$R1117,2)</f>
        <v>0</v>
      </c>
    </row>
    <row r="1118" spans="1:21" ht="34.5" customHeight="1" x14ac:dyDescent="0.3">
      <c r="A1118" s="36" t="s">
        <v>1169</v>
      </c>
      <c r="B1118" s="36">
        <v>2</v>
      </c>
      <c r="C1118" s="36"/>
      <c r="D1118" s="36">
        <v>257</v>
      </c>
      <c r="E1118" s="36" t="str">
        <f>CONCATENATE('Смета ЕР (общ) '!$A1118,".",'Смета ЕР (общ) '!$B1118,".",'Смета ЕР (общ) '!$D1118)</f>
        <v>Р9.2.257</v>
      </c>
      <c r="F1118" s="36">
        <f t="shared" si="101"/>
        <v>1</v>
      </c>
      <c r="G1118" s="36"/>
      <c r="H1118" s="36"/>
      <c r="I1118" s="36"/>
      <c r="J1118" s="36"/>
      <c r="K1118" s="36"/>
      <c r="L1118" s="53" t="s">
        <v>1200</v>
      </c>
      <c r="M1118" s="38" t="s">
        <v>118</v>
      </c>
      <c r="N1118" s="39"/>
      <c r="O1118" s="40">
        <v>1785.39</v>
      </c>
      <c r="P1118" s="40">
        <v>4420.1400000000003</v>
      </c>
      <c r="Q1118" s="40">
        <f t="shared" si="100"/>
        <v>1785.39</v>
      </c>
      <c r="R1118" s="40">
        <f t="shared" si="100"/>
        <v>4420.1400000000003</v>
      </c>
      <c r="S1118" s="40">
        <f>ROUND('Смета ЕР (общ) '!$N1118*'Смета ЕР (общ) '!$Q1118,2)</f>
        <v>0</v>
      </c>
      <c r="T1118" s="40">
        <f>ROUND('Смета ЕР (общ) '!$N1118*'Смета ЕР (общ) '!$R1118,2)</f>
        <v>0</v>
      </c>
    </row>
    <row r="1119" spans="1:21" ht="34.5" customHeight="1" x14ac:dyDescent="0.3">
      <c r="A1119" s="36" t="s">
        <v>1169</v>
      </c>
      <c r="B1119" s="36">
        <v>2</v>
      </c>
      <c r="C1119" s="36"/>
      <c r="D1119" s="36">
        <v>9</v>
      </c>
      <c r="E1119" s="36" t="str">
        <f>CONCATENATE('Смета ЕР (общ) '!$A1119,".",'Смета ЕР (общ) '!$B1119,".",'Смета ЕР (общ) '!$D1119)</f>
        <v>Р9.2.9</v>
      </c>
      <c r="F1119" s="36">
        <f t="shared" si="101"/>
        <v>1</v>
      </c>
      <c r="G1119" s="36"/>
      <c r="H1119" s="36"/>
      <c r="I1119" s="36"/>
      <c r="J1119" s="36"/>
      <c r="K1119" s="36"/>
      <c r="L1119" s="53" t="s">
        <v>1201</v>
      </c>
      <c r="M1119" s="38" t="s">
        <v>118</v>
      </c>
      <c r="N1119" s="39"/>
      <c r="O1119" s="40">
        <v>2171.52</v>
      </c>
      <c r="P1119" s="40">
        <v>5902.28</v>
      </c>
      <c r="Q1119" s="40">
        <f t="shared" si="100"/>
        <v>2171.52</v>
      </c>
      <c r="R1119" s="40">
        <f t="shared" si="100"/>
        <v>5902.28</v>
      </c>
      <c r="S1119" s="40">
        <f>ROUND('Смета ЕР (общ) '!$N1119*'Смета ЕР (общ) '!$Q1119,2)</f>
        <v>0</v>
      </c>
      <c r="T1119" s="40">
        <f>ROUND('Смета ЕР (общ) '!$N1119*'Смета ЕР (общ) '!$R1119,2)</f>
        <v>0</v>
      </c>
    </row>
    <row r="1120" spans="1:21" ht="34.5" customHeight="1" x14ac:dyDescent="0.3">
      <c r="A1120" s="36" t="s">
        <v>1169</v>
      </c>
      <c r="B1120" s="36">
        <v>2</v>
      </c>
      <c r="C1120" s="36"/>
      <c r="D1120" s="36">
        <v>258</v>
      </c>
      <c r="E1120" s="36" t="str">
        <f>CONCATENATE('Смета ЕР (общ) '!$A1120,".",'Смета ЕР (общ) '!$B1120,".",'Смета ЕР (общ) '!$D1120)</f>
        <v>Р9.2.258</v>
      </c>
      <c r="F1120" s="36">
        <f t="shared" si="101"/>
        <v>1</v>
      </c>
      <c r="G1120" s="36"/>
      <c r="H1120" s="36"/>
      <c r="I1120" s="36"/>
      <c r="J1120" s="36"/>
      <c r="K1120" s="36"/>
      <c r="L1120" s="53" t="s">
        <v>1202</v>
      </c>
      <c r="M1120" s="38" t="s">
        <v>118</v>
      </c>
      <c r="N1120" s="39"/>
      <c r="O1120" s="40">
        <v>3300</v>
      </c>
      <c r="P1120" s="40">
        <v>9991.36</v>
      </c>
      <c r="Q1120" s="40">
        <f t="shared" si="100"/>
        <v>3300</v>
      </c>
      <c r="R1120" s="40">
        <f t="shared" si="100"/>
        <v>9991.36</v>
      </c>
      <c r="S1120" s="40">
        <f>ROUND('Смета ЕР (общ) '!$N1120*'Смета ЕР (общ) '!$Q1120,2)</f>
        <v>0</v>
      </c>
      <c r="T1120" s="40">
        <f>ROUND('Смета ЕР (общ) '!$N1120*'Смета ЕР (общ) '!$R1120,2)</f>
        <v>0</v>
      </c>
    </row>
    <row r="1121" spans="1:20" ht="34.5" customHeight="1" x14ac:dyDescent="0.3">
      <c r="A1121" s="36" t="s">
        <v>1169</v>
      </c>
      <c r="B1121" s="36">
        <v>2</v>
      </c>
      <c r="C1121" s="36"/>
      <c r="D1121" s="36">
        <v>259</v>
      </c>
      <c r="E1121" s="36" t="str">
        <f>CONCATENATE('Смета ЕР (общ) '!$A1121,".",'Смета ЕР (общ) '!$B1121,".",'Смета ЕР (общ) '!$D1121)</f>
        <v>Р9.2.259</v>
      </c>
      <c r="F1121" s="36">
        <f t="shared" si="101"/>
        <v>1</v>
      </c>
      <c r="G1121" s="36"/>
      <c r="H1121" s="36"/>
      <c r="I1121" s="36"/>
      <c r="J1121" s="36"/>
      <c r="K1121" s="36"/>
      <c r="L1121" s="53" t="s">
        <v>1203</v>
      </c>
      <c r="M1121" s="38" t="s">
        <v>118</v>
      </c>
      <c r="N1121" s="39"/>
      <c r="O1121" s="40">
        <v>2171.52</v>
      </c>
      <c r="P1121" s="40">
        <v>9253.32</v>
      </c>
      <c r="Q1121" s="40">
        <f t="shared" si="100"/>
        <v>2171.52</v>
      </c>
      <c r="R1121" s="40">
        <f t="shared" si="100"/>
        <v>9253.32</v>
      </c>
      <c r="S1121" s="40">
        <f>ROUND('Смета ЕР (общ) '!$N1121*'Смета ЕР (общ) '!$Q1121,2)</f>
        <v>0</v>
      </c>
      <c r="T1121" s="40">
        <f>ROUND('Смета ЕР (общ) '!$N1121*'Смета ЕР (общ) '!$R1121,2)</f>
        <v>0</v>
      </c>
    </row>
    <row r="1122" spans="1:20" ht="34.5" customHeight="1" x14ac:dyDescent="0.3">
      <c r="A1122" s="36" t="s">
        <v>1169</v>
      </c>
      <c r="B1122" s="36">
        <v>2</v>
      </c>
      <c r="C1122" s="36"/>
      <c r="D1122" s="36">
        <v>10</v>
      </c>
      <c r="E1122" s="36" t="str">
        <f>CONCATENATE('Смета ЕР (общ) '!$A1122,".",'Смета ЕР (общ) '!$B1122,".",'Смета ЕР (общ) '!$D1122)</f>
        <v>Р9.2.10</v>
      </c>
      <c r="F1122" s="36">
        <f t="shared" si="101"/>
        <v>1</v>
      </c>
      <c r="G1122" s="36"/>
      <c r="H1122" s="36"/>
      <c r="I1122" s="36"/>
      <c r="J1122" s="36"/>
      <c r="K1122" s="36"/>
      <c r="L1122" s="37" t="s">
        <v>1204</v>
      </c>
      <c r="M1122" s="38" t="s">
        <v>118</v>
      </c>
      <c r="N1122" s="39"/>
      <c r="O1122" s="40">
        <v>1050.23</v>
      </c>
      <c r="P1122" s="40">
        <v>9537.5</v>
      </c>
      <c r="Q1122" s="40">
        <f t="shared" si="100"/>
        <v>1050.23</v>
      </c>
      <c r="R1122" s="40">
        <f t="shared" si="100"/>
        <v>9537.5</v>
      </c>
      <c r="S1122" s="40">
        <f>ROUND('Смета ЕР (общ) '!$N1122*'Смета ЕР (общ) '!$Q1122,2)</f>
        <v>0</v>
      </c>
      <c r="T1122" s="40">
        <f>ROUND('Смета ЕР (общ) '!$N1122*'Смета ЕР (общ) '!$R1122,2)</f>
        <v>0</v>
      </c>
    </row>
    <row r="1123" spans="1:20" ht="34.5" customHeight="1" x14ac:dyDescent="0.3">
      <c r="A1123" s="36" t="s">
        <v>1169</v>
      </c>
      <c r="B1123" s="36">
        <v>2</v>
      </c>
      <c r="C1123" s="36"/>
      <c r="D1123" s="36">
        <v>11</v>
      </c>
      <c r="E1123" s="36" t="str">
        <f>CONCATENATE('Смета ЕР (общ) '!$A1123,".",'Смета ЕР (общ) '!$B1123,".",'Смета ЕР (общ) '!$D1123)</f>
        <v>Р9.2.11</v>
      </c>
      <c r="F1123" s="36">
        <f t="shared" si="101"/>
        <v>1</v>
      </c>
      <c r="G1123" s="36"/>
      <c r="H1123" s="36"/>
      <c r="I1123" s="36"/>
      <c r="J1123" s="36"/>
      <c r="K1123" s="36"/>
      <c r="L1123" s="37" t="s">
        <v>1205</v>
      </c>
      <c r="M1123" s="38" t="s">
        <v>118</v>
      </c>
      <c r="N1123" s="39"/>
      <c r="O1123" s="40">
        <v>1522.83</v>
      </c>
      <c r="P1123" s="40">
        <v>7131.09</v>
      </c>
      <c r="Q1123" s="40">
        <f t="shared" si="100"/>
        <v>1522.83</v>
      </c>
      <c r="R1123" s="40">
        <f t="shared" si="100"/>
        <v>7131.09</v>
      </c>
      <c r="S1123" s="40">
        <f>ROUND('Смета ЕР (общ) '!$N1123*'Смета ЕР (общ) '!$Q1123,2)</f>
        <v>0</v>
      </c>
      <c r="T1123" s="40">
        <f>ROUND('Смета ЕР (общ) '!$N1123*'Смета ЕР (общ) '!$R1123,2)</f>
        <v>0</v>
      </c>
    </row>
    <row r="1124" spans="1:20" ht="34.5" customHeight="1" x14ac:dyDescent="0.3">
      <c r="A1124" s="36" t="s">
        <v>1169</v>
      </c>
      <c r="B1124" s="36">
        <v>2</v>
      </c>
      <c r="C1124" s="36"/>
      <c r="D1124" s="36">
        <v>12</v>
      </c>
      <c r="E1124" s="36" t="str">
        <f>CONCATENATE('Смета ЕР (общ) '!$A1124,".",'Смета ЕР (общ) '!$B1124,".",'Смета ЕР (общ) '!$D1124)</f>
        <v>Р9.2.12</v>
      </c>
      <c r="F1124" s="36">
        <f t="shared" si="101"/>
        <v>1</v>
      </c>
      <c r="G1124" s="36"/>
      <c r="H1124" s="36"/>
      <c r="I1124" s="36"/>
      <c r="J1124" s="36"/>
      <c r="K1124" s="36"/>
      <c r="L1124" s="37" t="s">
        <v>1206</v>
      </c>
      <c r="M1124" s="38" t="s">
        <v>118</v>
      </c>
      <c r="N1124" s="39"/>
      <c r="O1124" s="40">
        <v>1890.41</v>
      </c>
      <c r="P1124" s="40">
        <v>7725.56</v>
      </c>
      <c r="Q1124" s="40">
        <f t="shared" si="100"/>
        <v>1890.41</v>
      </c>
      <c r="R1124" s="40">
        <f t="shared" si="100"/>
        <v>7725.56</v>
      </c>
      <c r="S1124" s="40">
        <f>ROUND('Смета ЕР (общ) '!$N1124*'Смета ЕР (общ) '!$Q1124,2)</f>
        <v>0</v>
      </c>
      <c r="T1124" s="40">
        <f>ROUND('Смета ЕР (общ) '!$N1124*'Смета ЕР (общ) '!$R1124,2)</f>
        <v>0</v>
      </c>
    </row>
    <row r="1125" spans="1:20" ht="34.5" customHeight="1" x14ac:dyDescent="0.3">
      <c r="A1125" s="36" t="s">
        <v>1169</v>
      </c>
      <c r="B1125" s="36">
        <v>2</v>
      </c>
      <c r="C1125" s="36"/>
      <c r="D1125" s="36">
        <v>13</v>
      </c>
      <c r="E1125" s="36" t="str">
        <f>CONCATENATE('Смета ЕР (общ) '!$A1125,".",'Смета ЕР (общ) '!$B1125,".",'Смета ЕР (общ) '!$D1125)</f>
        <v>Р9.2.13</v>
      </c>
      <c r="F1125" s="36">
        <f t="shared" si="101"/>
        <v>1</v>
      </c>
      <c r="G1125" s="36"/>
      <c r="H1125" s="36"/>
      <c r="I1125" s="36"/>
      <c r="J1125" s="36"/>
      <c r="K1125" s="36"/>
      <c r="L1125" s="37" t="s">
        <v>1207</v>
      </c>
      <c r="M1125" s="38" t="s">
        <v>118</v>
      </c>
      <c r="N1125" s="39"/>
      <c r="O1125" s="40">
        <v>1050.23</v>
      </c>
      <c r="P1125" s="40">
        <v>9410.01</v>
      </c>
      <c r="Q1125" s="40">
        <f t="shared" si="100"/>
        <v>1050.23</v>
      </c>
      <c r="R1125" s="40">
        <f t="shared" si="100"/>
        <v>9410.01</v>
      </c>
      <c r="S1125" s="40">
        <f>ROUND('Смета ЕР (общ) '!$N1125*'Смета ЕР (общ) '!$Q1125,2)</f>
        <v>0</v>
      </c>
      <c r="T1125" s="40">
        <f>ROUND('Смета ЕР (общ) '!$N1125*'Смета ЕР (общ) '!$R1125,2)</f>
        <v>0</v>
      </c>
    </row>
    <row r="1126" spans="1:20" ht="34.5" customHeight="1" x14ac:dyDescent="0.3">
      <c r="A1126" s="36" t="s">
        <v>1169</v>
      </c>
      <c r="B1126" s="36">
        <v>2</v>
      </c>
      <c r="C1126" s="36"/>
      <c r="D1126" s="36">
        <v>14</v>
      </c>
      <c r="E1126" s="36" t="str">
        <f>CONCATENATE('Смета ЕР (общ) '!$A1126,".",'Смета ЕР (общ) '!$B1126,".",'Смета ЕР (общ) '!$D1126)</f>
        <v>Р9.2.14</v>
      </c>
      <c r="F1126" s="36">
        <f t="shared" si="101"/>
        <v>1</v>
      </c>
      <c r="G1126" s="36"/>
      <c r="H1126" s="36"/>
      <c r="I1126" s="36"/>
      <c r="J1126" s="36"/>
      <c r="K1126" s="36"/>
      <c r="L1126" s="37" t="s">
        <v>1208</v>
      </c>
      <c r="M1126" s="38" t="s">
        <v>118</v>
      </c>
      <c r="N1126" s="39"/>
      <c r="O1126" s="40">
        <v>1522.83</v>
      </c>
      <c r="P1126" s="40">
        <v>8632.6299999999992</v>
      </c>
      <c r="Q1126" s="40">
        <f t="shared" si="100"/>
        <v>1522.83</v>
      </c>
      <c r="R1126" s="40">
        <f t="shared" si="100"/>
        <v>8632.6299999999992</v>
      </c>
      <c r="S1126" s="40">
        <f>ROUND('Смета ЕР (общ) '!$N1126*'Смета ЕР (общ) '!$Q1126,2)</f>
        <v>0</v>
      </c>
      <c r="T1126" s="40">
        <f>ROUND('Смета ЕР (общ) '!$N1126*'Смета ЕР (общ) '!$R1126,2)</f>
        <v>0</v>
      </c>
    </row>
    <row r="1127" spans="1:20" ht="34.5" customHeight="1" x14ac:dyDescent="0.3">
      <c r="A1127" s="36" t="s">
        <v>1169</v>
      </c>
      <c r="B1127" s="36">
        <v>2</v>
      </c>
      <c r="C1127" s="36"/>
      <c r="D1127" s="36">
        <v>15</v>
      </c>
      <c r="E1127" s="36" t="str">
        <f>CONCATENATE('Смета ЕР (общ) '!$A1127,".",'Смета ЕР (общ) '!$B1127,".",'Смета ЕР (общ) '!$D1127)</f>
        <v>Р9.2.15</v>
      </c>
      <c r="F1127" s="36">
        <f t="shared" si="101"/>
        <v>1</v>
      </c>
      <c r="G1127" s="36"/>
      <c r="H1127" s="36"/>
      <c r="I1127" s="36"/>
      <c r="J1127" s="36"/>
      <c r="K1127" s="36"/>
      <c r="L1127" s="37" t="s">
        <v>1209</v>
      </c>
      <c r="M1127" s="38" t="s">
        <v>118</v>
      </c>
      <c r="N1127" s="39"/>
      <c r="O1127" s="40">
        <v>1522.83</v>
      </c>
      <c r="P1127" s="40">
        <v>6300.99</v>
      </c>
      <c r="Q1127" s="40">
        <f t="shared" si="100"/>
        <v>1522.83</v>
      </c>
      <c r="R1127" s="40">
        <f t="shared" si="100"/>
        <v>6300.99</v>
      </c>
      <c r="S1127" s="40">
        <f>ROUND('Смета ЕР (общ) '!$N1127*'Смета ЕР (общ) '!$Q1127,2)</f>
        <v>0</v>
      </c>
      <c r="T1127" s="40">
        <f>ROUND('Смета ЕР (общ) '!$N1127*'Смета ЕР (общ) '!$R1127,2)</f>
        <v>0</v>
      </c>
    </row>
    <row r="1128" spans="1:20" ht="34.5" customHeight="1" x14ac:dyDescent="0.3">
      <c r="A1128" s="36" t="s">
        <v>1169</v>
      </c>
      <c r="B1128" s="36">
        <v>2</v>
      </c>
      <c r="C1128" s="36"/>
      <c r="D1128" s="36">
        <v>16</v>
      </c>
      <c r="E1128" s="36" t="str">
        <f>CONCATENATE('Смета ЕР (общ) '!$A1128,".",'Смета ЕР (общ) '!$B1128,".",'Смета ЕР (общ) '!$D1128)</f>
        <v>Р9.2.16</v>
      </c>
      <c r="F1128" s="36">
        <f t="shared" si="101"/>
        <v>1</v>
      </c>
      <c r="G1128" s="36"/>
      <c r="H1128" s="36"/>
      <c r="I1128" s="36"/>
      <c r="J1128" s="36"/>
      <c r="K1128" s="36"/>
      <c r="L1128" s="37" t="s">
        <v>1210</v>
      </c>
      <c r="M1128" s="38" t="s">
        <v>118</v>
      </c>
      <c r="N1128" s="39"/>
      <c r="O1128" s="40">
        <v>1522.83</v>
      </c>
      <c r="P1128" s="40">
        <v>3714.21</v>
      </c>
      <c r="Q1128" s="40">
        <f t="shared" si="100"/>
        <v>1522.83</v>
      </c>
      <c r="R1128" s="40">
        <f t="shared" si="100"/>
        <v>3714.21</v>
      </c>
      <c r="S1128" s="40">
        <f>ROUND('Смета ЕР (общ) '!$N1128*'Смета ЕР (общ) '!$Q1128,2)</f>
        <v>0</v>
      </c>
      <c r="T1128" s="40">
        <f>ROUND('Смета ЕР (общ) '!$N1128*'Смета ЕР (общ) '!$R1128,2)</f>
        <v>0</v>
      </c>
    </row>
    <row r="1129" spans="1:20" ht="34.5" customHeight="1" x14ac:dyDescent="0.3">
      <c r="A1129" s="36" t="s">
        <v>1169</v>
      </c>
      <c r="B1129" s="36">
        <v>2</v>
      </c>
      <c r="C1129" s="36"/>
      <c r="D1129" s="36">
        <v>17</v>
      </c>
      <c r="E1129" s="36" t="str">
        <f>CONCATENATE('Смета ЕР (общ) '!$A1129,".",'Смета ЕР (общ) '!$B1129,".",'Смета ЕР (общ) '!$D1129)</f>
        <v>Р9.2.17</v>
      </c>
      <c r="F1129" s="36">
        <f t="shared" si="101"/>
        <v>1</v>
      </c>
      <c r="G1129" s="36"/>
      <c r="H1129" s="36"/>
      <c r="I1129" s="36"/>
      <c r="J1129" s="36"/>
      <c r="K1129" s="36"/>
      <c r="L1129" s="37" t="s">
        <v>1211</v>
      </c>
      <c r="M1129" s="38" t="s">
        <v>118</v>
      </c>
      <c r="N1129" s="39"/>
      <c r="O1129" s="40">
        <v>1890.41</v>
      </c>
      <c r="P1129" s="40">
        <v>6421.78</v>
      </c>
      <c r="Q1129" s="40">
        <f t="shared" si="100"/>
        <v>1890.41</v>
      </c>
      <c r="R1129" s="40">
        <f t="shared" si="100"/>
        <v>6421.78</v>
      </c>
      <c r="S1129" s="40">
        <f>ROUND('Смета ЕР (общ) '!$N1129*'Смета ЕР (общ) '!$Q1129,2)</f>
        <v>0</v>
      </c>
      <c r="T1129" s="40">
        <f>ROUND('Смета ЕР (общ) '!$N1129*'Смета ЕР (общ) '!$R1129,2)</f>
        <v>0</v>
      </c>
    </row>
    <row r="1130" spans="1:20" ht="34.5" customHeight="1" x14ac:dyDescent="0.3">
      <c r="A1130" s="36" t="s">
        <v>1169</v>
      </c>
      <c r="B1130" s="36">
        <v>2</v>
      </c>
      <c r="C1130" s="36"/>
      <c r="D1130" s="36">
        <v>18</v>
      </c>
      <c r="E1130" s="36" t="str">
        <f>CONCATENATE('Смета ЕР (общ) '!$A1130,".",'Смета ЕР (общ) '!$B1130,".",'Смета ЕР (общ) '!$D1130)</f>
        <v>Р9.2.18</v>
      </c>
      <c r="F1130" s="36">
        <f t="shared" si="101"/>
        <v>1</v>
      </c>
      <c r="G1130" s="36"/>
      <c r="H1130" s="36"/>
      <c r="I1130" s="36"/>
      <c r="J1130" s="36"/>
      <c r="K1130" s="36"/>
      <c r="L1130" s="37" t="s">
        <v>1212</v>
      </c>
      <c r="M1130" s="38" t="s">
        <v>118</v>
      </c>
      <c r="N1130" s="39"/>
      <c r="O1130" s="40">
        <v>1890.41</v>
      </c>
      <c r="P1130" s="40">
        <v>7450.25</v>
      </c>
      <c r="Q1130" s="40">
        <f t="shared" si="100"/>
        <v>1890.41</v>
      </c>
      <c r="R1130" s="40">
        <f t="shared" si="100"/>
        <v>7450.25</v>
      </c>
      <c r="S1130" s="40">
        <f>ROUND('Смета ЕР (общ) '!$N1130*'Смета ЕР (общ) '!$Q1130,2)</f>
        <v>0</v>
      </c>
      <c r="T1130" s="40">
        <f>ROUND('Смета ЕР (общ) '!$N1130*'Смета ЕР (общ) '!$R1130,2)</f>
        <v>0</v>
      </c>
    </row>
    <row r="1131" spans="1:20" ht="34.5" customHeight="1" x14ac:dyDescent="0.3">
      <c r="A1131" s="36" t="s">
        <v>1169</v>
      </c>
      <c r="B1131" s="36">
        <v>2</v>
      </c>
      <c r="C1131" s="36"/>
      <c r="D1131" s="36">
        <v>19</v>
      </c>
      <c r="E1131" s="36" t="str">
        <f>CONCATENATE('Смета ЕР (общ) '!$A1131,".",'Смета ЕР (общ) '!$B1131,".",'Смета ЕР (общ) '!$D1131)</f>
        <v>Р9.2.19</v>
      </c>
      <c r="F1131" s="36">
        <f t="shared" si="101"/>
        <v>1</v>
      </c>
      <c r="G1131" s="36"/>
      <c r="H1131" s="36"/>
      <c r="I1131" s="36"/>
      <c r="J1131" s="36"/>
      <c r="K1131" s="36"/>
      <c r="L1131" s="37" t="s">
        <v>1213</v>
      </c>
      <c r="M1131" s="38" t="s">
        <v>118</v>
      </c>
      <c r="N1131" s="39"/>
      <c r="O1131" s="40">
        <v>1890.41</v>
      </c>
      <c r="P1131" s="40">
        <v>3771.79</v>
      </c>
      <c r="Q1131" s="40">
        <f t="shared" si="100"/>
        <v>1890.41</v>
      </c>
      <c r="R1131" s="40">
        <f t="shared" si="100"/>
        <v>3771.79</v>
      </c>
      <c r="S1131" s="40">
        <f>ROUND('Смета ЕР (общ) '!$N1131*'Смета ЕР (общ) '!$Q1131,2)</f>
        <v>0</v>
      </c>
      <c r="T1131" s="40">
        <f>ROUND('Смета ЕР (общ) '!$N1131*'Смета ЕР (общ) '!$R1131,2)</f>
        <v>0</v>
      </c>
    </row>
    <row r="1132" spans="1:20" ht="34.5" customHeight="1" x14ac:dyDescent="0.3">
      <c r="A1132" s="36" t="s">
        <v>1169</v>
      </c>
      <c r="B1132" s="36">
        <v>2</v>
      </c>
      <c r="C1132" s="36"/>
      <c r="D1132" s="36">
        <v>20</v>
      </c>
      <c r="E1132" s="36" t="str">
        <f>CONCATENATE('Смета ЕР (общ) '!$A1132,".",'Смета ЕР (общ) '!$B1132,".",'Смета ЕР (общ) '!$D1132)</f>
        <v>Р9.2.20</v>
      </c>
      <c r="F1132" s="36">
        <f t="shared" si="101"/>
        <v>1</v>
      </c>
      <c r="G1132" s="36"/>
      <c r="H1132" s="36"/>
      <c r="I1132" s="36"/>
      <c r="J1132" s="36"/>
      <c r="K1132" s="36"/>
      <c r="L1132" s="37" t="s">
        <v>1214</v>
      </c>
      <c r="M1132" s="38" t="s">
        <v>118</v>
      </c>
      <c r="N1132" s="39"/>
      <c r="O1132" s="40">
        <v>2520.54</v>
      </c>
      <c r="P1132" s="40">
        <v>9622.7199999999993</v>
      </c>
      <c r="Q1132" s="40">
        <f t="shared" si="100"/>
        <v>2520.54</v>
      </c>
      <c r="R1132" s="40">
        <f t="shared" si="100"/>
        <v>9622.7199999999993</v>
      </c>
      <c r="S1132" s="40">
        <f>ROUND('Смета ЕР (общ) '!$N1132*'Смета ЕР (общ) '!$Q1132,2)</f>
        <v>0</v>
      </c>
      <c r="T1132" s="40">
        <f>ROUND('Смета ЕР (общ) '!$N1132*'Смета ЕР (общ) '!$R1132,2)</f>
        <v>0</v>
      </c>
    </row>
    <row r="1133" spans="1:20" ht="34.5" customHeight="1" x14ac:dyDescent="0.3">
      <c r="A1133" s="36" t="s">
        <v>1169</v>
      </c>
      <c r="B1133" s="36">
        <v>2</v>
      </c>
      <c r="C1133" s="36"/>
      <c r="D1133" s="36">
        <v>21</v>
      </c>
      <c r="E1133" s="36" t="str">
        <f>CONCATENATE('Смета ЕР (общ) '!$A1133,".",'Смета ЕР (общ) '!$B1133,".",'Смета ЕР (общ) '!$D1133)</f>
        <v>Р9.2.21</v>
      </c>
      <c r="F1133" s="36">
        <f t="shared" si="101"/>
        <v>1</v>
      </c>
      <c r="G1133" s="36"/>
      <c r="H1133" s="36"/>
      <c r="I1133" s="36"/>
      <c r="J1133" s="36"/>
      <c r="K1133" s="36"/>
      <c r="L1133" s="37" t="s">
        <v>1215</v>
      </c>
      <c r="M1133" s="38" t="s">
        <v>118</v>
      </c>
      <c r="N1133" s="39"/>
      <c r="O1133" s="40">
        <v>2520.54</v>
      </c>
      <c r="P1133" s="40">
        <v>10304.469999999999</v>
      </c>
      <c r="Q1133" s="40">
        <f t="shared" si="100"/>
        <v>2520.54</v>
      </c>
      <c r="R1133" s="40">
        <f t="shared" si="100"/>
        <v>10304.469999999999</v>
      </c>
      <c r="S1133" s="40">
        <f>ROUND('Смета ЕР (общ) '!$N1133*'Смета ЕР (общ) '!$Q1133,2)</f>
        <v>0</v>
      </c>
      <c r="T1133" s="40">
        <f>ROUND('Смета ЕР (общ) '!$N1133*'Смета ЕР (общ) '!$R1133,2)</f>
        <v>0</v>
      </c>
    </row>
    <row r="1134" spans="1:20" ht="34.5" customHeight="1" x14ac:dyDescent="0.3">
      <c r="A1134" s="36" t="s">
        <v>1169</v>
      </c>
      <c r="B1134" s="36">
        <v>2</v>
      </c>
      <c r="C1134" s="36"/>
      <c r="D1134" s="36">
        <v>22</v>
      </c>
      <c r="E1134" s="36" t="str">
        <f>CONCATENATE('Смета ЕР (общ) '!$A1134,".",'Смета ЕР (общ) '!$B1134,".",'Смета ЕР (общ) '!$D1134)</f>
        <v>Р9.2.22</v>
      </c>
      <c r="F1134" s="36">
        <f t="shared" si="101"/>
        <v>1</v>
      </c>
      <c r="G1134" s="36"/>
      <c r="H1134" s="36"/>
      <c r="I1134" s="36"/>
      <c r="J1134" s="36"/>
      <c r="K1134" s="36"/>
      <c r="L1134" s="37" t="s">
        <v>1216</v>
      </c>
      <c r="M1134" s="38" t="s">
        <v>118</v>
      </c>
      <c r="N1134" s="39"/>
      <c r="O1134" s="40">
        <v>2520.54</v>
      </c>
      <c r="P1134" s="40">
        <v>5680.38</v>
      </c>
      <c r="Q1134" s="40">
        <f t="shared" si="100"/>
        <v>2520.54</v>
      </c>
      <c r="R1134" s="40">
        <f t="shared" si="100"/>
        <v>5680.38</v>
      </c>
      <c r="S1134" s="40">
        <f>ROUND('Смета ЕР (общ) '!$N1134*'Смета ЕР (общ) '!$Q1134,2)</f>
        <v>0</v>
      </c>
      <c r="T1134" s="40">
        <f>ROUND('Смета ЕР (общ) '!$N1134*'Смета ЕР (общ) '!$R1134,2)</f>
        <v>0</v>
      </c>
    </row>
    <row r="1135" spans="1:20" ht="34.5" customHeight="1" x14ac:dyDescent="0.3">
      <c r="A1135" s="36" t="s">
        <v>1169</v>
      </c>
      <c r="B1135" s="36">
        <v>2</v>
      </c>
      <c r="C1135" s="36"/>
      <c r="D1135" s="36">
        <v>23</v>
      </c>
      <c r="E1135" s="36" t="str">
        <f>CONCATENATE('Смета ЕР (общ) '!$A1135,".",'Смета ЕР (общ) '!$B1135,".",'Смета ЕР (общ) '!$D1135)</f>
        <v>Р9.2.23</v>
      </c>
      <c r="F1135" s="36">
        <f t="shared" si="101"/>
        <v>1</v>
      </c>
      <c r="G1135" s="36"/>
      <c r="H1135" s="36"/>
      <c r="I1135" s="36"/>
      <c r="J1135" s="36"/>
      <c r="K1135" s="36"/>
      <c r="L1135" s="37" t="s">
        <v>1217</v>
      </c>
      <c r="M1135" s="38" t="s">
        <v>118</v>
      </c>
      <c r="N1135" s="39"/>
      <c r="O1135" s="40">
        <v>2152.96</v>
      </c>
      <c r="P1135" s="40">
        <v>10869.69</v>
      </c>
      <c r="Q1135" s="40">
        <f t="shared" si="100"/>
        <v>2152.96</v>
      </c>
      <c r="R1135" s="40">
        <f t="shared" si="100"/>
        <v>10869.69</v>
      </c>
      <c r="S1135" s="40">
        <f>ROUND('Смета ЕР (общ) '!$N1135*'Смета ЕР (общ) '!$Q1135,2)</f>
        <v>0</v>
      </c>
      <c r="T1135" s="40">
        <f>ROUND('Смета ЕР (общ) '!$N1135*'Смета ЕР (общ) '!$R1135,2)</f>
        <v>0</v>
      </c>
    </row>
    <row r="1136" spans="1:20" ht="34.5" customHeight="1" x14ac:dyDescent="0.3">
      <c r="A1136" s="36" t="s">
        <v>1169</v>
      </c>
      <c r="B1136" s="36">
        <v>2</v>
      </c>
      <c r="C1136" s="36"/>
      <c r="D1136" s="36">
        <v>24</v>
      </c>
      <c r="E1136" s="36" t="str">
        <f>CONCATENATE('Смета ЕР (общ) '!$A1136,".",'Смета ЕР (общ) '!$B1136,".",'Смета ЕР (общ) '!$D1136)</f>
        <v>Р9.2.24</v>
      </c>
      <c r="F1136" s="36">
        <f t="shared" si="101"/>
        <v>1</v>
      </c>
      <c r="G1136" s="36"/>
      <c r="H1136" s="36"/>
      <c r="I1136" s="36"/>
      <c r="J1136" s="36"/>
      <c r="K1136" s="36"/>
      <c r="L1136" s="37" t="s">
        <v>1218</v>
      </c>
      <c r="M1136" s="38" t="s">
        <v>118</v>
      </c>
      <c r="N1136" s="39"/>
      <c r="O1136" s="40">
        <v>1417.8</v>
      </c>
      <c r="P1136" s="40">
        <v>12058.36</v>
      </c>
      <c r="Q1136" s="40">
        <f t="shared" si="100"/>
        <v>1417.8</v>
      </c>
      <c r="R1136" s="40">
        <f t="shared" si="100"/>
        <v>12058.36</v>
      </c>
      <c r="S1136" s="40">
        <f>ROUND('Смета ЕР (общ) '!$N1136*'Смета ЕР (общ) '!$Q1136,2)</f>
        <v>0</v>
      </c>
      <c r="T1136" s="40">
        <f>ROUND('Смета ЕР (общ) '!$N1136*'Смета ЕР (общ) '!$R1136,2)</f>
        <v>0</v>
      </c>
    </row>
    <row r="1137" spans="1:20" ht="34.5" customHeight="1" x14ac:dyDescent="0.3">
      <c r="A1137" s="36" t="s">
        <v>1169</v>
      </c>
      <c r="B1137" s="36">
        <v>2</v>
      </c>
      <c r="C1137" s="36"/>
      <c r="D1137" s="36">
        <v>25</v>
      </c>
      <c r="E1137" s="36" t="str">
        <f>CONCATENATE('Смета ЕР (общ) '!$A1137,".",'Смета ЕР (общ) '!$B1137,".",'Смета ЕР (общ) '!$D1137)</f>
        <v>Р9.2.25</v>
      </c>
      <c r="F1137" s="36">
        <f t="shared" si="101"/>
        <v>1</v>
      </c>
      <c r="G1137" s="36"/>
      <c r="H1137" s="36"/>
      <c r="I1137" s="36"/>
      <c r="J1137" s="36"/>
      <c r="K1137" s="36"/>
      <c r="L1137" s="37" t="s">
        <v>1219</v>
      </c>
      <c r="M1137" s="38" t="s">
        <v>118</v>
      </c>
      <c r="N1137" s="39"/>
      <c r="O1137" s="40">
        <v>1417.8</v>
      </c>
      <c r="P1137" s="40">
        <v>10549.4</v>
      </c>
      <c r="Q1137" s="40">
        <f t="shared" si="100"/>
        <v>1417.8</v>
      </c>
      <c r="R1137" s="40">
        <f t="shared" si="100"/>
        <v>10549.4</v>
      </c>
      <c r="S1137" s="40">
        <f>ROUND('Смета ЕР (общ) '!$N1137*'Смета ЕР (общ) '!$Q1137,2)</f>
        <v>0</v>
      </c>
      <c r="T1137" s="40">
        <f>ROUND('Смета ЕР (общ) '!$N1137*'Смета ЕР (общ) '!$R1137,2)</f>
        <v>0</v>
      </c>
    </row>
    <row r="1138" spans="1:20" ht="34.5" customHeight="1" x14ac:dyDescent="0.3">
      <c r="A1138" s="36" t="s">
        <v>1169</v>
      </c>
      <c r="B1138" s="36">
        <v>2</v>
      </c>
      <c r="C1138" s="36"/>
      <c r="D1138" s="36">
        <v>26</v>
      </c>
      <c r="E1138" s="36" t="str">
        <f>CONCATENATE('Смета ЕР (общ) '!$A1138,".",'Смета ЕР (общ) '!$B1138,".",'Смета ЕР (общ) '!$D1138)</f>
        <v>Р9.2.26</v>
      </c>
      <c r="F1138" s="36">
        <f t="shared" si="101"/>
        <v>1</v>
      </c>
      <c r="G1138" s="36"/>
      <c r="H1138" s="36"/>
      <c r="I1138" s="36"/>
      <c r="J1138" s="36"/>
      <c r="K1138" s="36"/>
      <c r="L1138" s="37" t="s">
        <v>1220</v>
      </c>
      <c r="M1138" s="38" t="s">
        <v>118</v>
      </c>
      <c r="N1138" s="39"/>
      <c r="O1138" s="40">
        <v>1417.8</v>
      </c>
      <c r="P1138" s="40">
        <v>6521.48</v>
      </c>
      <c r="Q1138" s="40">
        <f t="shared" si="100"/>
        <v>1417.8</v>
      </c>
      <c r="R1138" s="40">
        <f t="shared" si="100"/>
        <v>6521.48</v>
      </c>
      <c r="S1138" s="40">
        <f>ROUND('Смета ЕР (общ) '!$N1138*'Смета ЕР (общ) '!$Q1138,2)</f>
        <v>0</v>
      </c>
      <c r="T1138" s="40">
        <f>ROUND('Смета ЕР (общ) '!$N1138*'Смета ЕР (общ) '!$R1138,2)</f>
        <v>0</v>
      </c>
    </row>
    <row r="1139" spans="1:20" ht="34.5" customHeight="1" x14ac:dyDescent="0.3">
      <c r="A1139" s="36" t="s">
        <v>1169</v>
      </c>
      <c r="B1139" s="36">
        <v>2</v>
      </c>
      <c r="C1139" s="36"/>
      <c r="D1139" s="36">
        <v>27</v>
      </c>
      <c r="E1139" s="36" t="str">
        <f>CONCATENATE('Смета ЕР (общ) '!$A1139,".",'Смета ЕР (общ) '!$B1139,".",'Смета ЕР (общ) '!$D1139)</f>
        <v>Р9.2.27</v>
      </c>
      <c r="F1139" s="36">
        <f t="shared" si="101"/>
        <v>1</v>
      </c>
      <c r="G1139" s="36"/>
      <c r="H1139" s="36"/>
      <c r="I1139" s="36"/>
      <c r="J1139" s="36"/>
      <c r="K1139" s="36"/>
      <c r="L1139" s="37" t="s">
        <v>1221</v>
      </c>
      <c r="M1139" s="38" t="s">
        <v>118</v>
      </c>
      <c r="N1139" s="39"/>
      <c r="O1139" s="40">
        <v>2152.96</v>
      </c>
      <c r="P1139" s="40">
        <v>10849.15</v>
      </c>
      <c r="Q1139" s="40">
        <f t="shared" si="100"/>
        <v>2152.96</v>
      </c>
      <c r="R1139" s="40">
        <f t="shared" si="100"/>
        <v>10849.15</v>
      </c>
      <c r="S1139" s="40">
        <f>ROUND('Смета ЕР (общ) '!$N1139*'Смета ЕР (общ) '!$Q1139,2)</f>
        <v>0</v>
      </c>
      <c r="T1139" s="40">
        <f>ROUND('Смета ЕР (общ) '!$N1139*'Смета ЕР (общ) '!$R1139,2)</f>
        <v>0</v>
      </c>
    </row>
    <row r="1140" spans="1:20" ht="34.5" customHeight="1" x14ac:dyDescent="0.3">
      <c r="A1140" s="36" t="s">
        <v>1169</v>
      </c>
      <c r="B1140" s="36">
        <v>2</v>
      </c>
      <c r="C1140" s="36"/>
      <c r="D1140" s="36">
        <v>28</v>
      </c>
      <c r="E1140" s="36" t="str">
        <f>CONCATENATE('Смета ЕР (общ) '!$A1140,".",'Смета ЕР (общ) '!$B1140,".",'Смета ЕР (общ) '!$D1140)</f>
        <v>Р9.2.28</v>
      </c>
      <c r="F1140" s="36">
        <f t="shared" si="101"/>
        <v>1</v>
      </c>
      <c r="G1140" s="36"/>
      <c r="H1140" s="36"/>
      <c r="I1140" s="36"/>
      <c r="J1140" s="36"/>
      <c r="K1140" s="36"/>
      <c r="L1140" s="37" t="s">
        <v>1222</v>
      </c>
      <c r="M1140" s="38" t="s">
        <v>118</v>
      </c>
      <c r="N1140" s="39"/>
      <c r="O1140" s="40">
        <v>2152.96</v>
      </c>
      <c r="P1140" s="40">
        <v>11002.3</v>
      </c>
      <c r="Q1140" s="40">
        <f t="shared" si="100"/>
        <v>2152.96</v>
      </c>
      <c r="R1140" s="40">
        <f t="shared" si="100"/>
        <v>11002.3</v>
      </c>
      <c r="S1140" s="40">
        <f>ROUND('Смета ЕР (общ) '!$N1140*'Смета ЕР (общ) '!$Q1140,2)</f>
        <v>0</v>
      </c>
      <c r="T1140" s="40">
        <f>ROUND('Смета ЕР (общ) '!$N1140*'Смета ЕР (общ) '!$R1140,2)</f>
        <v>0</v>
      </c>
    </row>
    <row r="1141" spans="1:20" ht="34.5" customHeight="1" x14ac:dyDescent="0.3">
      <c r="A1141" s="36" t="s">
        <v>1169</v>
      </c>
      <c r="B1141" s="36">
        <v>2</v>
      </c>
      <c r="C1141" s="36"/>
      <c r="D1141" s="36">
        <v>29</v>
      </c>
      <c r="E1141" s="36" t="str">
        <f>CONCATENATE('Смета ЕР (общ) '!$A1141,".",'Смета ЕР (общ) '!$B1141,".",'Смета ЕР (общ) '!$D1141)</f>
        <v>Р9.2.29</v>
      </c>
      <c r="F1141" s="36">
        <f t="shared" si="101"/>
        <v>1</v>
      </c>
      <c r="G1141" s="36"/>
      <c r="H1141" s="36"/>
      <c r="I1141" s="36"/>
      <c r="J1141" s="36"/>
      <c r="K1141" s="36"/>
      <c r="L1141" s="37" t="s">
        <v>1223</v>
      </c>
      <c r="M1141" s="38" t="s">
        <v>118</v>
      </c>
      <c r="N1141" s="39"/>
      <c r="O1141" s="40">
        <v>2152.96</v>
      </c>
      <c r="P1141" s="40">
        <v>6963.68</v>
      </c>
      <c r="Q1141" s="40">
        <f t="shared" si="100"/>
        <v>2152.96</v>
      </c>
      <c r="R1141" s="40">
        <f t="shared" si="100"/>
        <v>6963.68</v>
      </c>
      <c r="S1141" s="40">
        <f>ROUND('Смета ЕР (общ) '!$N1141*'Смета ЕР (общ) '!$Q1141,2)</f>
        <v>0</v>
      </c>
      <c r="T1141" s="40">
        <f>ROUND('Смета ЕР (общ) '!$N1141*'Смета ЕР (общ) '!$R1141,2)</f>
        <v>0</v>
      </c>
    </row>
    <row r="1142" spans="1:20" ht="34.5" customHeight="1" x14ac:dyDescent="0.3">
      <c r="A1142" s="36" t="s">
        <v>1169</v>
      </c>
      <c r="B1142" s="36">
        <v>2</v>
      </c>
      <c r="C1142" s="36"/>
      <c r="D1142" s="36">
        <v>30</v>
      </c>
      <c r="E1142" s="36" t="str">
        <f>CONCATENATE('Смета ЕР (общ) '!$A1142,".",'Смета ЕР (общ) '!$B1142,".",'Смета ЕР (общ) '!$D1142)</f>
        <v>Р9.2.30</v>
      </c>
      <c r="F1142" s="36">
        <f t="shared" si="101"/>
        <v>1</v>
      </c>
      <c r="G1142" s="36"/>
      <c r="H1142" s="36"/>
      <c r="I1142" s="36"/>
      <c r="J1142" s="36"/>
      <c r="K1142" s="36"/>
      <c r="L1142" s="37" t="s">
        <v>1224</v>
      </c>
      <c r="M1142" s="38" t="s">
        <v>118</v>
      </c>
      <c r="N1142" s="39"/>
      <c r="O1142" s="40">
        <v>2363.0100000000002</v>
      </c>
      <c r="P1142" s="40">
        <v>11400.22</v>
      </c>
      <c r="Q1142" s="40">
        <f t="shared" si="100"/>
        <v>2363.0100000000002</v>
      </c>
      <c r="R1142" s="40">
        <f t="shared" si="100"/>
        <v>11400.22</v>
      </c>
      <c r="S1142" s="40">
        <f>ROUND('Смета ЕР (общ) '!$N1142*'Смета ЕР (общ) '!$Q1142,2)</f>
        <v>0</v>
      </c>
      <c r="T1142" s="40">
        <f>ROUND('Смета ЕР (общ) '!$N1142*'Смета ЕР (общ) '!$R1142,2)</f>
        <v>0</v>
      </c>
    </row>
    <row r="1143" spans="1:20" ht="34.5" customHeight="1" x14ac:dyDescent="0.3">
      <c r="A1143" s="36" t="s">
        <v>1169</v>
      </c>
      <c r="B1143" s="36">
        <v>2</v>
      </c>
      <c r="C1143" s="36"/>
      <c r="D1143" s="36">
        <v>31</v>
      </c>
      <c r="E1143" s="36" t="str">
        <f>CONCATENATE('Смета ЕР (общ) '!$A1143,".",'Смета ЕР (общ) '!$B1143,".",'Смета ЕР (общ) '!$D1143)</f>
        <v>Р9.2.31</v>
      </c>
      <c r="F1143" s="36">
        <f t="shared" si="101"/>
        <v>1</v>
      </c>
      <c r="G1143" s="36"/>
      <c r="H1143" s="36"/>
      <c r="I1143" s="36"/>
      <c r="J1143" s="36"/>
      <c r="K1143" s="36"/>
      <c r="L1143" s="37" t="s">
        <v>1225</v>
      </c>
      <c r="M1143" s="38" t="s">
        <v>118</v>
      </c>
      <c r="N1143" s="39"/>
      <c r="O1143" s="40">
        <v>2363.0100000000002</v>
      </c>
      <c r="P1143" s="40">
        <v>10918.15</v>
      </c>
      <c r="Q1143" s="40">
        <f t="shared" si="100"/>
        <v>2363.0100000000002</v>
      </c>
      <c r="R1143" s="40">
        <f t="shared" si="100"/>
        <v>10918.15</v>
      </c>
      <c r="S1143" s="40">
        <f>ROUND('Смета ЕР (общ) '!$N1143*'Смета ЕР (общ) '!$Q1143,2)</f>
        <v>0</v>
      </c>
      <c r="T1143" s="40">
        <f>ROUND('Смета ЕР (общ) '!$N1143*'Смета ЕР (общ) '!$R1143,2)</f>
        <v>0</v>
      </c>
    </row>
    <row r="1144" spans="1:20" ht="34.5" customHeight="1" x14ac:dyDescent="0.3">
      <c r="A1144" s="36" t="s">
        <v>1169</v>
      </c>
      <c r="B1144" s="36">
        <v>2</v>
      </c>
      <c r="C1144" s="36"/>
      <c r="D1144" s="36">
        <v>32</v>
      </c>
      <c r="E1144" s="36" t="str">
        <f>CONCATENATE('Смета ЕР (общ) '!$A1144,".",'Смета ЕР (общ) '!$B1144,".",'Смета ЕР (общ) '!$D1144)</f>
        <v>Р9.2.32</v>
      </c>
      <c r="F1144" s="36">
        <f t="shared" si="101"/>
        <v>1</v>
      </c>
      <c r="G1144" s="36"/>
      <c r="H1144" s="36"/>
      <c r="I1144" s="36"/>
      <c r="J1144" s="36"/>
      <c r="K1144" s="36"/>
      <c r="L1144" s="37" t="s">
        <v>1226</v>
      </c>
      <c r="M1144" s="38" t="s">
        <v>118</v>
      </c>
      <c r="N1144" s="39"/>
      <c r="O1144" s="40">
        <v>2363.0100000000002</v>
      </c>
      <c r="P1144" s="40">
        <v>11907.02</v>
      </c>
      <c r="Q1144" s="40">
        <f t="shared" si="100"/>
        <v>2363.0100000000002</v>
      </c>
      <c r="R1144" s="40">
        <f t="shared" si="100"/>
        <v>11907.02</v>
      </c>
      <c r="S1144" s="40">
        <f>ROUND('Смета ЕР (общ) '!$N1144*'Смета ЕР (общ) '!$Q1144,2)</f>
        <v>0</v>
      </c>
      <c r="T1144" s="40">
        <f>ROUND('Смета ЕР (общ) '!$N1144*'Смета ЕР (общ) '!$R1144,2)</f>
        <v>0</v>
      </c>
    </row>
    <row r="1145" spans="1:20" ht="34.5" customHeight="1" x14ac:dyDescent="0.3">
      <c r="A1145" s="36" t="s">
        <v>1169</v>
      </c>
      <c r="B1145" s="36">
        <v>2</v>
      </c>
      <c r="C1145" s="36"/>
      <c r="D1145" s="36">
        <v>33</v>
      </c>
      <c r="E1145" s="36" t="str">
        <f>CONCATENATE('Смета ЕР (общ) '!$A1145,".",'Смета ЕР (общ) '!$B1145,".",'Смета ЕР (общ) '!$D1145)</f>
        <v>Р9.2.33</v>
      </c>
      <c r="F1145" s="36">
        <f t="shared" si="101"/>
        <v>1</v>
      </c>
      <c r="G1145" s="36"/>
      <c r="H1145" s="36"/>
      <c r="I1145" s="36"/>
      <c r="J1145" s="36"/>
      <c r="K1145" s="36"/>
      <c r="L1145" s="37" t="s">
        <v>1227</v>
      </c>
      <c r="M1145" s="38" t="s">
        <v>118</v>
      </c>
      <c r="N1145" s="39"/>
      <c r="O1145" s="40">
        <v>2363.0100000000002</v>
      </c>
      <c r="P1145" s="40">
        <v>7571.79</v>
      </c>
      <c r="Q1145" s="40">
        <f t="shared" si="100"/>
        <v>2363.0100000000002</v>
      </c>
      <c r="R1145" s="40">
        <f t="shared" si="100"/>
        <v>7571.79</v>
      </c>
      <c r="S1145" s="40">
        <f>ROUND('Смета ЕР (общ) '!$N1145*'Смета ЕР (общ) '!$Q1145,2)</f>
        <v>0</v>
      </c>
      <c r="T1145" s="40">
        <f>ROUND('Смета ЕР (общ) '!$N1145*'Смета ЕР (общ) '!$R1145,2)</f>
        <v>0</v>
      </c>
    </row>
    <row r="1146" spans="1:20" ht="34.5" customHeight="1" x14ac:dyDescent="0.3">
      <c r="A1146" s="36" t="s">
        <v>1169</v>
      </c>
      <c r="B1146" s="36">
        <v>2</v>
      </c>
      <c r="C1146" s="36"/>
      <c r="D1146" s="36">
        <v>34</v>
      </c>
      <c r="E1146" s="36" t="str">
        <f>CONCATENATE('Смета ЕР (общ) '!$A1146,".",'Смета ЕР (общ) '!$B1146,".",'Смета ЕР (общ) '!$D1146)</f>
        <v>Р9.2.34</v>
      </c>
      <c r="F1146" s="36">
        <f t="shared" si="101"/>
        <v>1</v>
      </c>
      <c r="G1146" s="36"/>
      <c r="H1146" s="36"/>
      <c r="I1146" s="36"/>
      <c r="J1146" s="36"/>
      <c r="K1146" s="36"/>
      <c r="L1146" s="37" t="s">
        <v>1228</v>
      </c>
      <c r="M1146" s="38" t="s">
        <v>118</v>
      </c>
      <c r="N1146" s="39"/>
      <c r="O1146" s="40">
        <v>3833.32</v>
      </c>
      <c r="P1146" s="40">
        <v>15416.39</v>
      </c>
      <c r="Q1146" s="40">
        <f t="shared" si="100"/>
        <v>3833.32</v>
      </c>
      <c r="R1146" s="40">
        <f t="shared" si="100"/>
        <v>15416.39</v>
      </c>
      <c r="S1146" s="40">
        <f>ROUND('Смета ЕР (общ) '!$N1146*'Смета ЕР (общ) '!$Q1146,2)</f>
        <v>0</v>
      </c>
      <c r="T1146" s="40">
        <f>ROUND('Смета ЕР (общ) '!$N1146*'Смета ЕР (общ) '!$R1146,2)</f>
        <v>0</v>
      </c>
    </row>
    <row r="1147" spans="1:20" ht="34.5" customHeight="1" x14ac:dyDescent="0.3">
      <c r="A1147" s="36" t="s">
        <v>1169</v>
      </c>
      <c r="B1147" s="36">
        <v>2</v>
      </c>
      <c r="C1147" s="36"/>
      <c r="D1147" s="36">
        <v>35</v>
      </c>
      <c r="E1147" s="36" t="str">
        <f>CONCATENATE('Смета ЕР (общ) '!$A1147,".",'Смета ЕР (общ) '!$B1147,".",'Смета ЕР (общ) '!$D1147)</f>
        <v>Р9.2.35</v>
      </c>
      <c r="F1147" s="36">
        <f t="shared" si="101"/>
        <v>1</v>
      </c>
      <c r="G1147" s="36"/>
      <c r="H1147" s="36"/>
      <c r="I1147" s="36"/>
      <c r="J1147" s="36"/>
      <c r="K1147" s="36"/>
      <c r="L1147" s="37" t="s">
        <v>1229</v>
      </c>
      <c r="M1147" s="38" t="s">
        <v>118</v>
      </c>
      <c r="N1147" s="39"/>
      <c r="O1147" s="40">
        <v>10659.78</v>
      </c>
      <c r="P1147" s="40">
        <v>53947.65</v>
      </c>
      <c r="Q1147" s="40">
        <f t="shared" si="100"/>
        <v>10659.78</v>
      </c>
      <c r="R1147" s="40">
        <f t="shared" si="100"/>
        <v>53947.65</v>
      </c>
      <c r="S1147" s="40">
        <f>ROUND('Смета ЕР (общ) '!$N1147*'Смета ЕР (общ) '!$Q1147,2)</f>
        <v>0</v>
      </c>
      <c r="T1147" s="40">
        <f>ROUND('Смета ЕР (общ) '!$N1147*'Смета ЕР (общ) '!$R1147,2)</f>
        <v>0</v>
      </c>
    </row>
    <row r="1148" spans="1:20" ht="34.5" customHeight="1" x14ac:dyDescent="0.3">
      <c r="A1148" s="36" t="s">
        <v>1169</v>
      </c>
      <c r="B1148" s="36">
        <v>2</v>
      </c>
      <c r="C1148" s="36"/>
      <c r="D1148" s="36">
        <v>36</v>
      </c>
      <c r="E1148" s="36" t="str">
        <f>CONCATENATE('Смета ЕР (общ) '!$A1148,".",'Смета ЕР (общ) '!$B1148,".",'Смета ЕР (общ) '!$D1148)</f>
        <v>Р9.2.36</v>
      </c>
      <c r="F1148" s="36">
        <f t="shared" si="101"/>
        <v>1</v>
      </c>
      <c r="G1148" s="36"/>
      <c r="H1148" s="36"/>
      <c r="I1148" s="36"/>
      <c r="J1148" s="36"/>
      <c r="K1148" s="36"/>
      <c r="L1148" s="37" t="s">
        <v>1230</v>
      </c>
      <c r="M1148" s="38" t="s">
        <v>118</v>
      </c>
      <c r="N1148" s="39"/>
      <c r="O1148" s="40">
        <v>16908.63</v>
      </c>
      <c r="P1148" s="40">
        <v>81618.22</v>
      </c>
      <c r="Q1148" s="40">
        <f t="shared" si="100"/>
        <v>16908.63</v>
      </c>
      <c r="R1148" s="40">
        <f t="shared" si="100"/>
        <v>81618.22</v>
      </c>
      <c r="S1148" s="40">
        <f>ROUND('Смета ЕР (общ) '!$N1148*'Смета ЕР (общ) '!$Q1148,2)</f>
        <v>0</v>
      </c>
      <c r="T1148" s="40">
        <f>ROUND('Смета ЕР (общ) '!$N1148*'Смета ЕР (общ) '!$R1148,2)</f>
        <v>0</v>
      </c>
    </row>
    <row r="1149" spans="1:20" ht="34.5" customHeight="1" x14ac:dyDescent="0.3">
      <c r="A1149" s="36" t="s">
        <v>1169</v>
      </c>
      <c r="B1149" s="36">
        <v>2</v>
      </c>
      <c r="C1149" s="36"/>
      <c r="D1149" s="36">
        <v>37</v>
      </c>
      <c r="E1149" s="36" t="str">
        <f>CONCATENATE('Смета ЕР (общ) '!$A1149,".",'Смета ЕР (общ) '!$B1149,".",'Смета ЕР (общ) '!$D1149)</f>
        <v>Р9.2.37</v>
      </c>
      <c r="F1149" s="36">
        <f t="shared" si="101"/>
        <v>1</v>
      </c>
      <c r="G1149" s="36"/>
      <c r="H1149" s="36"/>
      <c r="I1149" s="36"/>
      <c r="J1149" s="36"/>
      <c r="K1149" s="36"/>
      <c r="L1149" s="37" t="s">
        <v>1231</v>
      </c>
      <c r="M1149" s="38" t="s">
        <v>118</v>
      </c>
      <c r="N1149" s="39"/>
      <c r="O1149" s="40">
        <v>287.10000000000002</v>
      </c>
      <c r="P1149" s="40">
        <v>1210.04</v>
      </c>
      <c r="Q1149" s="40">
        <f t="shared" si="100"/>
        <v>287.10000000000002</v>
      </c>
      <c r="R1149" s="40">
        <f t="shared" si="100"/>
        <v>1210.04</v>
      </c>
      <c r="S1149" s="40">
        <f>ROUND('Смета ЕР (общ) '!$N1149*'Смета ЕР (общ) '!$Q1149,2)</f>
        <v>0</v>
      </c>
      <c r="T1149" s="40">
        <f>ROUND('Смета ЕР (общ) '!$N1149*'Смета ЕР (общ) '!$R1149,2)</f>
        <v>0</v>
      </c>
    </row>
    <row r="1150" spans="1:20" ht="34.5" customHeight="1" x14ac:dyDescent="0.3">
      <c r="A1150" s="36" t="s">
        <v>1169</v>
      </c>
      <c r="B1150" s="36">
        <v>2</v>
      </c>
      <c r="C1150" s="36"/>
      <c r="D1150" s="36">
        <v>38</v>
      </c>
      <c r="E1150" s="36" t="str">
        <f>CONCATENATE('Смета ЕР (общ) '!$A1150,".",'Смета ЕР (общ) '!$B1150,".",'Смета ЕР (общ) '!$D1150)</f>
        <v>Р9.2.38</v>
      </c>
      <c r="F1150" s="36">
        <f t="shared" si="101"/>
        <v>1</v>
      </c>
      <c r="G1150" s="36"/>
      <c r="H1150" s="36"/>
      <c r="I1150" s="36"/>
      <c r="J1150" s="36"/>
      <c r="K1150" s="36"/>
      <c r="L1150" s="37" t="s">
        <v>1232</v>
      </c>
      <c r="M1150" s="38" t="s">
        <v>118</v>
      </c>
      <c r="N1150" s="39"/>
      <c r="O1150" s="40">
        <v>287.10000000000002</v>
      </c>
      <c r="P1150" s="40">
        <v>908.37</v>
      </c>
      <c r="Q1150" s="40">
        <f t="shared" si="100"/>
        <v>287.10000000000002</v>
      </c>
      <c r="R1150" s="40">
        <f t="shared" si="100"/>
        <v>908.37</v>
      </c>
      <c r="S1150" s="40">
        <f>ROUND('Смета ЕР (общ) '!$N1150*'Смета ЕР (общ) '!$Q1150,2)</f>
        <v>0</v>
      </c>
      <c r="T1150" s="40">
        <f>ROUND('Смета ЕР (общ) '!$N1150*'Смета ЕР (общ) '!$R1150,2)</f>
        <v>0</v>
      </c>
    </row>
    <row r="1151" spans="1:20" ht="34.5" customHeight="1" x14ac:dyDescent="0.3">
      <c r="A1151" s="36" t="s">
        <v>1169</v>
      </c>
      <c r="B1151" s="36">
        <v>2</v>
      </c>
      <c r="C1151" s="36"/>
      <c r="D1151" s="36">
        <v>39</v>
      </c>
      <c r="E1151" s="36" t="str">
        <f>CONCATENATE('Смета ЕР (общ) '!$A1151,".",'Смета ЕР (общ) '!$B1151,".",'Смета ЕР (общ) '!$D1151)</f>
        <v>Р9.2.39</v>
      </c>
      <c r="F1151" s="36">
        <f t="shared" si="101"/>
        <v>1</v>
      </c>
      <c r="G1151" s="36"/>
      <c r="H1151" s="36"/>
      <c r="I1151" s="36"/>
      <c r="J1151" s="36"/>
      <c r="K1151" s="36"/>
      <c r="L1151" s="37" t="s">
        <v>1233</v>
      </c>
      <c r="M1151" s="38" t="s">
        <v>118</v>
      </c>
      <c r="N1151" s="39"/>
      <c r="O1151" s="40">
        <v>287.10000000000002</v>
      </c>
      <c r="P1151" s="40">
        <v>875.78</v>
      </c>
      <c r="Q1151" s="40">
        <f t="shared" si="100"/>
        <v>287.10000000000002</v>
      </c>
      <c r="R1151" s="40">
        <f t="shared" si="100"/>
        <v>875.78</v>
      </c>
      <c r="S1151" s="40">
        <f>ROUND('Смета ЕР (общ) '!$N1151*'Смета ЕР (общ) '!$Q1151,2)</f>
        <v>0</v>
      </c>
      <c r="T1151" s="40">
        <f>ROUND('Смета ЕР (общ) '!$N1151*'Смета ЕР (общ) '!$R1151,2)</f>
        <v>0</v>
      </c>
    </row>
    <row r="1152" spans="1:20" ht="34.5" customHeight="1" x14ac:dyDescent="0.3">
      <c r="A1152" s="36" t="s">
        <v>1169</v>
      </c>
      <c r="B1152" s="36">
        <v>2</v>
      </c>
      <c r="C1152" s="36"/>
      <c r="D1152" s="36">
        <v>40</v>
      </c>
      <c r="E1152" s="36" t="str">
        <f>CONCATENATE('Смета ЕР (общ) '!$A1152,".",'Смета ЕР (общ) '!$B1152,".",'Смета ЕР (общ) '!$D1152)</f>
        <v>Р9.2.40</v>
      </c>
      <c r="F1152" s="36">
        <f t="shared" si="101"/>
        <v>1</v>
      </c>
      <c r="G1152" s="36"/>
      <c r="H1152" s="36"/>
      <c r="I1152" s="36"/>
      <c r="J1152" s="36"/>
      <c r="K1152" s="36"/>
      <c r="L1152" s="37" t="s">
        <v>1234</v>
      </c>
      <c r="M1152" s="38" t="s">
        <v>118</v>
      </c>
      <c r="N1152" s="39"/>
      <c r="O1152" s="40">
        <v>287.10000000000002</v>
      </c>
      <c r="P1152" s="40">
        <v>856.97</v>
      </c>
      <c r="Q1152" s="40">
        <f t="shared" si="100"/>
        <v>287.10000000000002</v>
      </c>
      <c r="R1152" s="40">
        <f t="shared" si="100"/>
        <v>856.97</v>
      </c>
      <c r="S1152" s="40">
        <f>ROUND('Смета ЕР (общ) '!$N1152*'Смета ЕР (общ) '!$Q1152,2)</f>
        <v>0</v>
      </c>
      <c r="T1152" s="40">
        <f>ROUND('Смета ЕР (общ) '!$N1152*'Смета ЕР (общ) '!$R1152,2)</f>
        <v>0</v>
      </c>
    </row>
    <row r="1153" spans="1:20" ht="34.5" customHeight="1" x14ac:dyDescent="0.3">
      <c r="A1153" s="36" t="s">
        <v>1169</v>
      </c>
      <c r="B1153" s="36">
        <v>2</v>
      </c>
      <c r="C1153" s="36"/>
      <c r="D1153" s="36">
        <v>41</v>
      </c>
      <c r="E1153" s="36" t="str">
        <f>CONCATENATE('Смета ЕР (общ) '!$A1153,".",'Смета ЕР (общ) '!$B1153,".",'Смета ЕР (общ) '!$D1153)</f>
        <v>Р9.2.41</v>
      </c>
      <c r="F1153" s="36">
        <f t="shared" si="101"/>
        <v>1</v>
      </c>
      <c r="G1153" s="36"/>
      <c r="H1153" s="36"/>
      <c r="I1153" s="36"/>
      <c r="J1153" s="36"/>
      <c r="K1153" s="36"/>
      <c r="L1153" s="37" t="s">
        <v>1235</v>
      </c>
      <c r="M1153" s="38" t="s">
        <v>118</v>
      </c>
      <c r="N1153" s="39"/>
      <c r="O1153" s="40">
        <v>438.48</v>
      </c>
      <c r="P1153" s="40">
        <v>11571.17</v>
      </c>
      <c r="Q1153" s="40">
        <f t="shared" si="100"/>
        <v>438.48</v>
      </c>
      <c r="R1153" s="40">
        <f t="shared" si="100"/>
        <v>11571.17</v>
      </c>
      <c r="S1153" s="40">
        <f>ROUND('Смета ЕР (общ) '!$N1153*'Смета ЕР (общ) '!$Q1153,2)</f>
        <v>0</v>
      </c>
      <c r="T1153" s="40">
        <f>ROUND('Смета ЕР (общ) '!$N1153*'Смета ЕР (общ) '!$R1153,2)</f>
        <v>0</v>
      </c>
    </row>
    <row r="1154" spans="1:20" ht="34.5" customHeight="1" x14ac:dyDescent="0.3">
      <c r="A1154" s="36" t="s">
        <v>1169</v>
      </c>
      <c r="B1154" s="36">
        <v>2</v>
      </c>
      <c r="C1154" s="36"/>
      <c r="D1154" s="36">
        <v>42</v>
      </c>
      <c r="E1154" s="36" t="str">
        <f>CONCATENATE('Смета ЕР (общ) '!$A1154,".",'Смета ЕР (общ) '!$B1154,".",'Смета ЕР (общ) '!$D1154)</f>
        <v>Р9.2.42</v>
      </c>
      <c r="F1154" s="36">
        <f t="shared" si="101"/>
        <v>1</v>
      </c>
      <c r="G1154" s="36"/>
      <c r="H1154" s="36"/>
      <c r="I1154" s="36"/>
      <c r="J1154" s="36"/>
      <c r="K1154" s="36"/>
      <c r="L1154" s="37" t="s">
        <v>1236</v>
      </c>
      <c r="M1154" s="38" t="s">
        <v>118</v>
      </c>
      <c r="N1154" s="39"/>
      <c r="O1154" s="40">
        <v>438.48</v>
      </c>
      <c r="P1154" s="40">
        <v>11305.12</v>
      </c>
      <c r="Q1154" s="40">
        <f t="shared" si="100"/>
        <v>438.48</v>
      </c>
      <c r="R1154" s="40">
        <f t="shared" si="100"/>
        <v>11305.12</v>
      </c>
      <c r="S1154" s="40">
        <f>ROUND('Смета ЕР (общ) '!$N1154*'Смета ЕР (общ) '!$Q1154,2)</f>
        <v>0</v>
      </c>
      <c r="T1154" s="40">
        <f>ROUND('Смета ЕР (общ) '!$N1154*'Смета ЕР (общ) '!$R1154,2)</f>
        <v>0</v>
      </c>
    </row>
    <row r="1155" spans="1:20" ht="34.5" customHeight="1" x14ac:dyDescent="0.3">
      <c r="A1155" s="36" t="s">
        <v>1169</v>
      </c>
      <c r="B1155" s="36">
        <v>2</v>
      </c>
      <c r="C1155" s="36"/>
      <c r="D1155" s="36">
        <v>43</v>
      </c>
      <c r="E1155" s="36" t="str">
        <f>CONCATENATE('Смета ЕР (общ) '!$A1155,".",'Смета ЕР (общ) '!$B1155,".",'Смета ЕР (общ) '!$D1155)</f>
        <v>Р9.2.43</v>
      </c>
      <c r="F1155" s="36">
        <f t="shared" si="101"/>
        <v>1</v>
      </c>
      <c r="G1155" s="36"/>
      <c r="H1155" s="36"/>
      <c r="I1155" s="36"/>
      <c r="J1155" s="36"/>
      <c r="K1155" s="36"/>
      <c r="L1155" s="37" t="s">
        <v>1237</v>
      </c>
      <c r="M1155" s="38" t="s">
        <v>118</v>
      </c>
      <c r="N1155" s="39"/>
      <c r="O1155" s="40">
        <v>287.10000000000002</v>
      </c>
      <c r="P1155" s="40">
        <v>979.41</v>
      </c>
      <c r="Q1155" s="40">
        <f t="shared" si="100"/>
        <v>287.10000000000002</v>
      </c>
      <c r="R1155" s="40">
        <f t="shared" si="100"/>
        <v>979.41</v>
      </c>
      <c r="S1155" s="40">
        <f>ROUND('Смета ЕР (общ) '!$N1155*'Смета ЕР (общ) '!$Q1155,2)</f>
        <v>0</v>
      </c>
      <c r="T1155" s="40">
        <f>ROUND('Смета ЕР (общ) '!$N1155*'Смета ЕР (общ) '!$R1155,2)</f>
        <v>0</v>
      </c>
    </row>
    <row r="1156" spans="1:20" ht="34.5" customHeight="1" x14ac:dyDescent="0.3">
      <c r="A1156" s="36" t="s">
        <v>1169</v>
      </c>
      <c r="B1156" s="36">
        <v>2</v>
      </c>
      <c r="C1156" s="36"/>
      <c r="D1156" s="36">
        <v>44</v>
      </c>
      <c r="E1156" s="36" t="str">
        <f>CONCATENATE('Смета ЕР (общ) '!$A1156,".",'Смета ЕР (общ) '!$B1156,".",'Смета ЕР (общ) '!$D1156)</f>
        <v>Р9.2.44</v>
      </c>
      <c r="F1156" s="36">
        <f t="shared" si="101"/>
        <v>1</v>
      </c>
      <c r="G1156" s="36"/>
      <c r="H1156" s="36"/>
      <c r="I1156" s="36"/>
      <c r="J1156" s="36"/>
      <c r="K1156" s="36"/>
      <c r="L1156" s="37" t="s">
        <v>1238</v>
      </c>
      <c r="M1156" s="38" t="s">
        <v>118</v>
      </c>
      <c r="N1156" s="39"/>
      <c r="O1156" s="40">
        <v>287.10000000000002</v>
      </c>
      <c r="P1156" s="40">
        <v>747.46</v>
      </c>
      <c r="Q1156" s="40">
        <f t="shared" si="100"/>
        <v>287.10000000000002</v>
      </c>
      <c r="R1156" s="40">
        <f t="shared" si="100"/>
        <v>747.46</v>
      </c>
      <c r="S1156" s="40">
        <f>ROUND('Смета ЕР (общ) '!$N1156*'Смета ЕР (общ) '!$Q1156,2)</f>
        <v>0</v>
      </c>
      <c r="T1156" s="40">
        <f>ROUND('Смета ЕР (общ) '!$N1156*'Смета ЕР (общ) '!$R1156,2)</f>
        <v>0</v>
      </c>
    </row>
    <row r="1157" spans="1:20" ht="34.5" customHeight="1" x14ac:dyDescent="0.3">
      <c r="A1157" s="36" t="s">
        <v>1169</v>
      </c>
      <c r="B1157" s="36">
        <v>2</v>
      </c>
      <c r="C1157" s="36"/>
      <c r="D1157" s="36">
        <v>45</v>
      </c>
      <c r="E1157" s="36" t="str">
        <f>CONCATENATE('Смета ЕР (общ) '!$A1157,".",'Смета ЕР (общ) '!$B1157,".",'Смета ЕР (общ) '!$D1157)</f>
        <v>Р9.2.45</v>
      </c>
      <c r="F1157" s="36">
        <f t="shared" si="101"/>
        <v>1</v>
      </c>
      <c r="G1157" s="36"/>
      <c r="H1157" s="36"/>
      <c r="I1157" s="36"/>
      <c r="J1157" s="36"/>
      <c r="K1157" s="36"/>
      <c r="L1157" s="37" t="s">
        <v>1239</v>
      </c>
      <c r="M1157" s="38" t="s">
        <v>118</v>
      </c>
      <c r="N1157" s="39"/>
      <c r="O1157" s="40">
        <v>287.10000000000002</v>
      </c>
      <c r="P1157" s="40">
        <v>683.23</v>
      </c>
      <c r="Q1157" s="40">
        <f t="shared" si="100"/>
        <v>287.10000000000002</v>
      </c>
      <c r="R1157" s="40">
        <f t="shared" si="100"/>
        <v>683.23</v>
      </c>
      <c r="S1157" s="40">
        <f>ROUND('Смета ЕР (общ) '!$N1157*'Смета ЕР (общ) '!$Q1157,2)</f>
        <v>0</v>
      </c>
      <c r="T1157" s="40">
        <f>ROUND('Смета ЕР (общ) '!$N1157*'Смета ЕР (общ) '!$R1157,2)</f>
        <v>0</v>
      </c>
    </row>
    <row r="1158" spans="1:20" ht="34.5" customHeight="1" x14ac:dyDescent="0.3">
      <c r="A1158" s="36" t="s">
        <v>1169</v>
      </c>
      <c r="B1158" s="36">
        <v>2</v>
      </c>
      <c r="C1158" s="36"/>
      <c r="D1158" s="36">
        <v>46</v>
      </c>
      <c r="E1158" s="36" t="str">
        <f>CONCATENATE('Смета ЕР (общ) '!$A1158,".",'Смета ЕР (общ) '!$B1158,".",'Смета ЕР (общ) '!$D1158)</f>
        <v>Р9.2.46</v>
      </c>
      <c r="F1158" s="36">
        <f t="shared" si="101"/>
        <v>1</v>
      </c>
      <c r="G1158" s="36"/>
      <c r="H1158" s="36"/>
      <c r="I1158" s="36"/>
      <c r="J1158" s="36"/>
      <c r="K1158" s="36"/>
      <c r="L1158" s="37" t="s">
        <v>1240</v>
      </c>
      <c r="M1158" s="38" t="s">
        <v>118</v>
      </c>
      <c r="N1158" s="39"/>
      <c r="O1158" s="40">
        <v>287.10000000000002</v>
      </c>
      <c r="P1158" s="40">
        <v>898.45</v>
      </c>
      <c r="Q1158" s="40">
        <f t="shared" si="100"/>
        <v>287.10000000000002</v>
      </c>
      <c r="R1158" s="40">
        <f t="shared" si="100"/>
        <v>898.45</v>
      </c>
      <c r="S1158" s="40">
        <f>ROUND('Смета ЕР (общ) '!$N1158*'Смета ЕР (общ) '!$Q1158,2)</f>
        <v>0</v>
      </c>
      <c r="T1158" s="40">
        <f>ROUND('Смета ЕР (общ) '!$N1158*'Смета ЕР (общ) '!$R1158,2)</f>
        <v>0</v>
      </c>
    </row>
    <row r="1159" spans="1:20" ht="34.5" customHeight="1" x14ac:dyDescent="0.3">
      <c r="A1159" s="36" t="s">
        <v>1169</v>
      </c>
      <c r="B1159" s="36">
        <v>2</v>
      </c>
      <c r="C1159" s="36"/>
      <c r="D1159" s="36">
        <v>47</v>
      </c>
      <c r="E1159" s="36" t="str">
        <f>CONCATENATE('Смета ЕР (общ) '!$A1159,".",'Смета ЕР (общ) '!$B1159,".",'Смета ЕР (общ) '!$D1159)</f>
        <v>Р9.2.47</v>
      </c>
      <c r="F1159" s="36">
        <f t="shared" si="101"/>
        <v>1</v>
      </c>
      <c r="G1159" s="36"/>
      <c r="H1159" s="36"/>
      <c r="I1159" s="36"/>
      <c r="J1159" s="36"/>
      <c r="K1159" s="36"/>
      <c r="L1159" s="37" t="s">
        <v>1241</v>
      </c>
      <c r="M1159" s="38" t="s">
        <v>118</v>
      </c>
      <c r="N1159" s="39"/>
      <c r="O1159" s="40">
        <v>287.10000000000002</v>
      </c>
      <c r="P1159" s="40">
        <v>831.58</v>
      </c>
      <c r="Q1159" s="40">
        <f t="shared" si="100"/>
        <v>287.10000000000002</v>
      </c>
      <c r="R1159" s="40">
        <f t="shared" si="100"/>
        <v>831.58</v>
      </c>
      <c r="S1159" s="40">
        <f>ROUND('Смета ЕР (общ) '!$N1159*'Смета ЕР (общ) '!$Q1159,2)</f>
        <v>0</v>
      </c>
      <c r="T1159" s="40">
        <f>ROUND('Смета ЕР (общ) '!$N1159*'Смета ЕР (общ) '!$R1159,2)</f>
        <v>0</v>
      </c>
    </row>
    <row r="1160" spans="1:20" ht="34.5" customHeight="1" x14ac:dyDescent="0.3">
      <c r="A1160" s="36" t="s">
        <v>1169</v>
      </c>
      <c r="B1160" s="36">
        <v>2</v>
      </c>
      <c r="C1160" s="36"/>
      <c r="D1160" s="36">
        <v>48</v>
      </c>
      <c r="E1160" s="36" t="str">
        <f>CONCATENATE('Смета ЕР (общ) '!$A1160,".",'Смета ЕР (общ) '!$B1160,".",'Смета ЕР (общ) '!$D1160)</f>
        <v>Р9.2.48</v>
      </c>
      <c r="F1160" s="36">
        <f t="shared" si="101"/>
        <v>1</v>
      </c>
      <c r="G1160" s="36"/>
      <c r="H1160" s="36"/>
      <c r="I1160" s="36"/>
      <c r="J1160" s="36"/>
      <c r="K1160" s="36"/>
      <c r="L1160" s="37" t="s">
        <v>1242</v>
      </c>
      <c r="M1160" s="38" t="s">
        <v>118</v>
      </c>
      <c r="N1160" s="39"/>
      <c r="O1160" s="40">
        <v>438.48</v>
      </c>
      <c r="P1160" s="40">
        <v>978.23</v>
      </c>
      <c r="Q1160" s="40">
        <f t="shared" si="100"/>
        <v>438.48</v>
      </c>
      <c r="R1160" s="40">
        <f t="shared" si="100"/>
        <v>978.23</v>
      </c>
      <c r="S1160" s="40">
        <f>ROUND('Смета ЕР (общ) '!$N1160*'Смета ЕР (общ) '!$Q1160,2)</f>
        <v>0</v>
      </c>
      <c r="T1160" s="40">
        <f>ROUND('Смета ЕР (общ) '!$N1160*'Смета ЕР (общ) '!$R1160,2)</f>
        <v>0</v>
      </c>
    </row>
    <row r="1161" spans="1:20" ht="34.5" customHeight="1" x14ac:dyDescent="0.3">
      <c r="A1161" s="36" t="s">
        <v>1169</v>
      </c>
      <c r="B1161" s="36">
        <v>2</v>
      </c>
      <c r="C1161" s="36"/>
      <c r="D1161" s="36">
        <v>49</v>
      </c>
      <c r="E1161" s="36" t="str">
        <f>CONCATENATE('Смета ЕР (общ) '!$A1161,".",'Смета ЕР (общ) '!$B1161,".",'Смета ЕР (общ) '!$D1161)</f>
        <v>Р9.2.49</v>
      </c>
      <c r="F1161" s="36">
        <f t="shared" si="101"/>
        <v>1</v>
      </c>
      <c r="G1161" s="36"/>
      <c r="H1161" s="36"/>
      <c r="I1161" s="36"/>
      <c r="J1161" s="36"/>
      <c r="K1161" s="36"/>
      <c r="L1161" s="37" t="s">
        <v>1243</v>
      </c>
      <c r="M1161" s="38" t="s">
        <v>118</v>
      </c>
      <c r="N1161" s="39"/>
      <c r="O1161" s="40">
        <v>438.48</v>
      </c>
      <c r="P1161" s="40">
        <v>1061.5</v>
      </c>
      <c r="Q1161" s="40">
        <f t="shared" si="100"/>
        <v>438.48</v>
      </c>
      <c r="R1161" s="40">
        <f t="shared" si="100"/>
        <v>1061.5</v>
      </c>
      <c r="S1161" s="40">
        <f>ROUND('Смета ЕР (общ) '!$N1161*'Смета ЕР (общ) '!$Q1161,2)</f>
        <v>0</v>
      </c>
      <c r="T1161" s="40">
        <f>ROUND('Смета ЕР (общ) '!$N1161*'Смета ЕР (общ) '!$R1161,2)</f>
        <v>0</v>
      </c>
    </row>
    <row r="1162" spans="1:20" ht="34.5" customHeight="1" x14ac:dyDescent="0.3">
      <c r="A1162" s="36" t="s">
        <v>1169</v>
      </c>
      <c r="B1162" s="36">
        <v>2</v>
      </c>
      <c r="C1162" s="36"/>
      <c r="D1162" s="36">
        <v>50</v>
      </c>
      <c r="E1162" s="36" t="str">
        <f>CONCATENATE('Смета ЕР (общ) '!$A1162,".",'Смета ЕР (общ) '!$B1162,".",'Смета ЕР (общ) '!$D1162)</f>
        <v>Р9.2.50</v>
      </c>
      <c r="F1162" s="36">
        <f t="shared" si="101"/>
        <v>1</v>
      </c>
      <c r="G1162" s="36"/>
      <c r="H1162" s="36"/>
      <c r="I1162" s="36"/>
      <c r="J1162" s="36"/>
      <c r="K1162" s="36"/>
      <c r="L1162" s="37" t="s">
        <v>1244</v>
      </c>
      <c r="M1162" s="38" t="s">
        <v>118</v>
      </c>
      <c r="N1162" s="39"/>
      <c r="O1162" s="40">
        <v>449.79</v>
      </c>
      <c r="P1162" s="40">
        <v>2304.69</v>
      </c>
      <c r="Q1162" s="40">
        <f t="shared" si="100"/>
        <v>449.79</v>
      </c>
      <c r="R1162" s="40">
        <f t="shared" si="100"/>
        <v>2304.69</v>
      </c>
      <c r="S1162" s="40">
        <f>ROUND('Смета ЕР (общ) '!$N1162*'Смета ЕР (общ) '!$Q1162,2)</f>
        <v>0</v>
      </c>
      <c r="T1162" s="40">
        <f>ROUND('Смета ЕР (общ) '!$N1162*'Смета ЕР (общ) '!$R1162,2)</f>
        <v>0</v>
      </c>
    </row>
    <row r="1163" spans="1:20" ht="34.5" customHeight="1" x14ac:dyDescent="0.3">
      <c r="A1163" s="36" t="s">
        <v>1169</v>
      </c>
      <c r="B1163" s="36">
        <v>2</v>
      </c>
      <c r="C1163" s="36"/>
      <c r="D1163" s="36">
        <v>51</v>
      </c>
      <c r="E1163" s="36" t="str">
        <f>CONCATENATE('Смета ЕР (общ) '!$A1163,".",'Смета ЕР (общ) '!$B1163,".",'Смета ЕР (общ) '!$D1163)</f>
        <v>Р9.2.51</v>
      </c>
      <c r="F1163" s="36">
        <f t="shared" si="101"/>
        <v>1</v>
      </c>
      <c r="G1163" s="36"/>
      <c r="H1163" s="36"/>
      <c r="I1163" s="36"/>
      <c r="J1163" s="36"/>
      <c r="K1163" s="36"/>
      <c r="L1163" s="37" t="s">
        <v>1245</v>
      </c>
      <c r="M1163" s="38" t="s">
        <v>118</v>
      </c>
      <c r="N1163" s="39"/>
      <c r="O1163" s="40">
        <v>287.10000000000002</v>
      </c>
      <c r="P1163" s="40">
        <v>539.54</v>
      </c>
      <c r="Q1163" s="40">
        <f t="shared" si="100"/>
        <v>287.10000000000002</v>
      </c>
      <c r="R1163" s="40">
        <f t="shared" si="100"/>
        <v>539.54</v>
      </c>
      <c r="S1163" s="40">
        <f>ROUND('Смета ЕР (общ) '!$N1163*'Смета ЕР (общ) '!$Q1163,2)</f>
        <v>0</v>
      </c>
      <c r="T1163" s="40">
        <f>ROUND('Смета ЕР (общ) '!$N1163*'Смета ЕР (общ) '!$R1163,2)</f>
        <v>0</v>
      </c>
    </row>
    <row r="1164" spans="1:20" ht="34.5" customHeight="1" x14ac:dyDescent="0.3">
      <c r="A1164" s="36" t="s">
        <v>1169</v>
      </c>
      <c r="B1164" s="36">
        <v>2</v>
      </c>
      <c r="C1164" s="36"/>
      <c r="D1164" s="36">
        <v>52</v>
      </c>
      <c r="E1164" s="36" t="str">
        <f>CONCATENATE('Смета ЕР (общ) '!$A1164,".",'Смета ЕР (общ) '!$B1164,".",'Смета ЕР (общ) '!$D1164)</f>
        <v>Р9.2.52</v>
      </c>
      <c r="F1164" s="36">
        <f t="shared" si="101"/>
        <v>1</v>
      </c>
      <c r="G1164" s="36"/>
      <c r="H1164" s="36"/>
      <c r="I1164" s="36"/>
      <c r="J1164" s="36"/>
      <c r="K1164" s="36"/>
      <c r="L1164" s="37" t="s">
        <v>1246</v>
      </c>
      <c r="M1164" s="38" t="s">
        <v>118</v>
      </c>
      <c r="N1164" s="39"/>
      <c r="O1164" s="40">
        <v>287.10000000000002</v>
      </c>
      <c r="P1164" s="40">
        <v>430.11</v>
      </c>
      <c r="Q1164" s="40">
        <f t="shared" si="100"/>
        <v>287.10000000000002</v>
      </c>
      <c r="R1164" s="40">
        <f t="shared" si="100"/>
        <v>430.11</v>
      </c>
      <c r="S1164" s="40">
        <f>ROUND('Смета ЕР (общ) '!$N1164*'Смета ЕР (общ) '!$Q1164,2)</f>
        <v>0</v>
      </c>
      <c r="T1164" s="40">
        <f>ROUND('Смета ЕР (общ) '!$N1164*'Смета ЕР (общ) '!$R1164,2)</f>
        <v>0</v>
      </c>
    </row>
    <row r="1165" spans="1:20" ht="34.5" customHeight="1" x14ac:dyDescent="0.3">
      <c r="A1165" s="36" t="s">
        <v>1169</v>
      </c>
      <c r="B1165" s="36">
        <v>2</v>
      </c>
      <c r="C1165" s="36"/>
      <c r="D1165" s="36">
        <v>53</v>
      </c>
      <c r="E1165" s="36" t="str">
        <f>CONCATENATE('Смета ЕР (общ) '!$A1165,".",'Смета ЕР (общ) '!$B1165,".",'Смета ЕР (общ) '!$D1165)</f>
        <v>Р9.2.53</v>
      </c>
      <c r="F1165" s="36">
        <f t="shared" si="101"/>
        <v>1</v>
      </c>
      <c r="G1165" s="36"/>
      <c r="H1165" s="36"/>
      <c r="I1165" s="36"/>
      <c r="J1165" s="36"/>
      <c r="K1165" s="36"/>
      <c r="L1165" s="37" t="s">
        <v>1247</v>
      </c>
      <c r="M1165" s="38" t="s">
        <v>118</v>
      </c>
      <c r="N1165" s="39"/>
      <c r="O1165" s="40">
        <v>287.10000000000002</v>
      </c>
      <c r="P1165" s="40">
        <v>417.2</v>
      </c>
      <c r="Q1165" s="40">
        <f t="shared" si="100"/>
        <v>287.10000000000002</v>
      </c>
      <c r="R1165" s="40">
        <f t="shared" si="100"/>
        <v>417.2</v>
      </c>
      <c r="S1165" s="40">
        <f>ROUND('Смета ЕР (общ) '!$N1165*'Смета ЕР (общ) '!$Q1165,2)</f>
        <v>0</v>
      </c>
      <c r="T1165" s="40">
        <f>ROUND('Смета ЕР (общ) '!$N1165*'Смета ЕР (общ) '!$R1165,2)</f>
        <v>0</v>
      </c>
    </row>
    <row r="1166" spans="1:20" ht="34.5" customHeight="1" x14ac:dyDescent="0.3">
      <c r="A1166" s="36" t="s">
        <v>1169</v>
      </c>
      <c r="B1166" s="36">
        <v>2</v>
      </c>
      <c r="C1166" s="36"/>
      <c r="D1166" s="36">
        <v>54</v>
      </c>
      <c r="E1166" s="36" t="str">
        <f>CONCATENATE('Смета ЕР (общ) '!$A1166,".",'Смета ЕР (общ) '!$B1166,".",'Смета ЕР (общ) '!$D1166)</f>
        <v>Р9.2.54</v>
      </c>
      <c r="F1166" s="36">
        <f t="shared" si="101"/>
        <v>1</v>
      </c>
      <c r="G1166" s="36"/>
      <c r="H1166" s="36"/>
      <c r="I1166" s="36"/>
      <c r="J1166" s="36"/>
      <c r="K1166" s="36"/>
      <c r="L1166" s="37" t="s">
        <v>1248</v>
      </c>
      <c r="M1166" s="38" t="s">
        <v>118</v>
      </c>
      <c r="N1166" s="39"/>
      <c r="O1166" s="40">
        <v>287.10000000000002</v>
      </c>
      <c r="P1166" s="40">
        <v>434.49</v>
      </c>
      <c r="Q1166" s="40">
        <f t="shared" ref="Q1166:R1229" si="102">ROUND(O1166-O1166*$V$3,2)</f>
        <v>287.10000000000002</v>
      </c>
      <c r="R1166" s="40">
        <f t="shared" si="102"/>
        <v>434.49</v>
      </c>
      <c r="S1166" s="40">
        <f>ROUND('Смета ЕР (общ) '!$N1166*'Смета ЕР (общ) '!$Q1166,2)</f>
        <v>0</v>
      </c>
      <c r="T1166" s="40">
        <f>ROUND('Смета ЕР (общ) '!$N1166*'Смета ЕР (общ) '!$R1166,2)</f>
        <v>0</v>
      </c>
    </row>
    <row r="1167" spans="1:20" ht="34.5" customHeight="1" x14ac:dyDescent="0.3">
      <c r="A1167" s="36" t="s">
        <v>1169</v>
      </c>
      <c r="B1167" s="36">
        <v>2</v>
      </c>
      <c r="C1167" s="36"/>
      <c r="D1167" s="36">
        <v>55</v>
      </c>
      <c r="E1167" s="36" t="str">
        <f>CONCATENATE('Смета ЕР (общ) '!$A1167,".",'Смета ЕР (общ) '!$B1167,".",'Смета ЕР (общ) '!$D1167)</f>
        <v>Р9.2.55</v>
      </c>
      <c r="F1167" s="36">
        <f t="shared" si="101"/>
        <v>1</v>
      </c>
      <c r="G1167" s="36"/>
      <c r="H1167" s="36"/>
      <c r="I1167" s="36"/>
      <c r="J1167" s="36"/>
      <c r="K1167" s="36"/>
      <c r="L1167" s="37" t="s">
        <v>1249</v>
      </c>
      <c r="M1167" s="38" t="s">
        <v>118</v>
      </c>
      <c r="N1167" s="39"/>
      <c r="O1167" s="40">
        <v>287.10000000000002</v>
      </c>
      <c r="P1167" s="40">
        <v>411.83</v>
      </c>
      <c r="Q1167" s="40">
        <f t="shared" si="102"/>
        <v>287.10000000000002</v>
      </c>
      <c r="R1167" s="40">
        <f t="shared" si="102"/>
        <v>411.83</v>
      </c>
      <c r="S1167" s="40">
        <f>ROUND('Смета ЕР (общ) '!$N1167*'Смета ЕР (общ) '!$Q1167,2)</f>
        <v>0</v>
      </c>
      <c r="T1167" s="40">
        <f>ROUND('Смета ЕР (общ) '!$N1167*'Смета ЕР (общ) '!$R1167,2)</f>
        <v>0</v>
      </c>
    </row>
    <row r="1168" spans="1:20" ht="34.5" customHeight="1" x14ac:dyDescent="0.3">
      <c r="A1168" s="36" t="s">
        <v>1169</v>
      </c>
      <c r="B1168" s="36">
        <v>2</v>
      </c>
      <c r="C1168" s="36"/>
      <c r="D1168" s="36">
        <v>56</v>
      </c>
      <c r="E1168" s="36" t="str">
        <f>CONCATENATE('Смета ЕР (общ) '!$A1168,".",'Смета ЕР (общ) '!$B1168,".",'Смета ЕР (общ) '!$D1168)</f>
        <v>Р9.2.56</v>
      </c>
      <c r="F1168" s="36">
        <f t="shared" si="101"/>
        <v>1</v>
      </c>
      <c r="G1168" s="36"/>
      <c r="H1168" s="36"/>
      <c r="I1168" s="36"/>
      <c r="J1168" s="36"/>
      <c r="K1168" s="36"/>
      <c r="L1168" s="37" t="s">
        <v>1250</v>
      </c>
      <c r="M1168" s="38" t="s">
        <v>118</v>
      </c>
      <c r="N1168" s="39"/>
      <c r="O1168" s="40">
        <v>438.48</v>
      </c>
      <c r="P1168" s="40">
        <v>500.47</v>
      </c>
      <c r="Q1168" s="40">
        <f t="shared" si="102"/>
        <v>438.48</v>
      </c>
      <c r="R1168" s="40">
        <f t="shared" si="102"/>
        <v>500.47</v>
      </c>
      <c r="S1168" s="40">
        <f>ROUND('Смета ЕР (общ) '!$N1168*'Смета ЕР (общ) '!$Q1168,2)</f>
        <v>0</v>
      </c>
      <c r="T1168" s="40">
        <f>ROUND('Смета ЕР (общ) '!$N1168*'Смета ЕР (общ) '!$R1168,2)</f>
        <v>0</v>
      </c>
    </row>
    <row r="1169" spans="1:20" ht="34.5" customHeight="1" x14ac:dyDescent="0.3">
      <c r="A1169" s="36" t="s">
        <v>1169</v>
      </c>
      <c r="B1169" s="36">
        <v>2</v>
      </c>
      <c r="C1169" s="36"/>
      <c r="D1169" s="36">
        <v>57</v>
      </c>
      <c r="E1169" s="36" t="str">
        <f>CONCATENATE('Смета ЕР (общ) '!$A1169,".",'Смета ЕР (общ) '!$B1169,".",'Смета ЕР (общ) '!$D1169)</f>
        <v>Р9.2.57</v>
      </c>
      <c r="F1169" s="36">
        <f t="shared" ref="F1169:F1232" si="103">IF(N1169&gt;0,F1168+1,F1168)</f>
        <v>1</v>
      </c>
      <c r="G1169" s="36"/>
      <c r="H1169" s="36"/>
      <c r="I1169" s="36"/>
      <c r="J1169" s="36"/>
      <c r="K1169" s="36"/>
      <c r="L1169" s="37" t="s">
        <v>1251</v>
      </c>
      <c r="M1169" s="38" t="s">
        <v>118</v>
      </c>
      <c r="N1169" s="39"/>
      <c r="O1169" s="40">
        <v>438.48</v>
      </c>
      <c r="P1169" s="40">
        <v>496.56</v>
      </c>
      <c r="Q1169" s="40">
        <f t="shared" si="102"/>
        <v>438.48</v>
      </c>
      <c r="R1169" s="40">
        <f t="shared" si="102"/>
        <v>496.56</v>
      </c>
      <c r="S1169" s="40">
        <f>ROUND('Смета ЕР (общ) '!$N1169*'Смета ЕР (общ) '!$Q1169,2)</f>
        <v>0</v>
      </c>
      <c r="T1169" s="40">
        <f>ROUND('Смета ЕР (общ) '!$N1169*'Смета ЕР (общ) '!$R1169,2)</f>
        <v>0</v>
      </c>
    </row>
    <row r="1170" spans="1:20" ht="34.5" customHeight="1" x14ac:dyDescent="0.3">
      <c r="A1170" s="36" t="s">
        <v>1169</v>
      </c>
      <c r="B1170" s="36">
        <v>2</v>
      </c>
      <c r="C1170" s="36"/>
      <c r="D1170" s="36">
        <v>58</v>
      </c>
      <c r="E1170" s="36" t="str">
        <f>CONCATENATE('Смета ЕР (общ) '!$A1170,".",'Смета ЕР (общ) '!$B1170,".",'Смета ЕР (общ) '!$D1170)</f>
        <v>Р9.2.58</v>
      </c>
      <c r="F1170" s="36">
        <f t="shared" si="103"/>
        <v>1</v>
      </c>
      <c r="G1170" s="36"/>
      <c r="H1170" s="36"/>
      <c r="I1170" s="36"/>
      <c r="J1170" s="36"/>
      <c r="K1170" s="36"/>
      <c r="L1170" s="37" t="s">
        <v>1252</v>
      </c>
      <c r="M1170" s="38" t="s">
        <v>118</v>
      </c>
      <c r="N1170" s="39"/>
      <c r="O1170" s="40">
        <v>449.79</v>
      </c>
      <c r="P1170" s="40">
        <v>825.14</v>
      </c>
      <c r="Q1170" s="40">
        <f t="shared" si="102"/>
        <v>449.79</v>
      </c>
      <c r="R1170" s="40">
        <f t="shared" si="102"/>
        <v>825.14</v>
      </c>
      <c r="S1170" s="40">
        <f>ROUND('Смета ЕР (общ) '!$N1170*'Смета ЕР (общ) '!$Q1170,2)</f>
        <v>0</v>
      </c>
      <c r="T1170" s="40">
        <f>ROUND('Смета ЕР (общ) '!$N1170*'Смета ЕР (общ) '!$R1170,2)</f>
        <v>0</v>
      </c>
    </row>
    <row r="1171" spans="1:20" ht="34.5" customHeight="1" x14ac:dyDescent="0.3">
      <c r="A1171" s="36" t="s">
        <v>1169</v>
      </c>
      <c r="B1171" s="36">
        <v>2</v>
      </c>
      <c r="C1171" s="36"/>
      <c r="D1171" s="36">
        <v>59</v>
      </c>
      <c r="E1171" s="36" t="str">
        <f>CONCATENATE('Смета ЕР (общ) '!$A1171,".",'Смета ЕР (общ) '!$B1171,".",'Смета ЕР (общ) '!$D1171)</f>
        <v>Р9.2.59</v>
      </c>
      <c r="F1171" s="36">
        <f t="shared" si="103"/>
        <v>1</v>
      </c>
      <c r="G1171" s="36"/>
      <c r="H1171" s="36"/>
      <c r="I1171" s="36"/>
      <c r="J1171" s="36"/>
      <c r="K1171" s="36"/>
      <c r="L1171" s="37" t="s">
        <v>1253</v>
      </c>
      <c r="M1171" s="38" t="s">
        <v>118</v>
      </c>
      <c r="N1171" s="39"/>
      <c r="O1171" s="40">
        <v>577.62</v>
      </c>
      <c r="P1171" s="40">
        <v>2419.61</v>
      </c>
      <c r="Q1171" s="40">
        <f t="shared" si="102"/>
        <v>577.62</v>
      </c>
      <c r="R1171" s="40">
        <f t="shared" si="102"/>
        <v>2419.61</v>
      </c>
      <c r="S1171" s="40">
        <f>ROUND('Смета ЕР (общ) '!$N1171*'Смета ЕР (общ) '!$Q1171,2)</f>
        <v>0</v>
      </c>
      <c r="T1171" s="40">
        <f>ROUND('Смета ЕР (общ) '!$N1171*'Смета ЕР (общ) '!$R1171,2)</f>
        <v>0</v>
      </c>
    </row>
    <row r="1172" spans="1:20" ht="34.5" customHeight="1" x14ac:dyDescent="0.3">
      <c r="A1172" s="36" t="s">
        <v>1169</v>
      </c>
      <c r="B1172" s="36">
        <v>2</v>
      </c>
      <c r="C1172" s="36"/>
      <c r="D1172" s="36">
        <v>60</v>
      </c>
      <c r="E1172" s="36" t="str">
        <f>CONCATENATE('Смета ЕР (общ) '!$A1172,".",'Смета ЕР (общ) '!$B1172,".",'Смета ЕР (общ) '!$D1172)</f>
        <v>Р9.2.60</v>
      </c>
      <c r="F1172" s="36">
        <f t="shared" si="103"/>
        <v>1</v>
      </c>
      <c r="G1172" s="36"/>
      <c r="H1172" s="36"/>
      <c r="I1172" s="36"/>
      <c r="J1172" s="36"/>
      <c r="K1172" s="36"/>
      <c r="L1172" s="37" t="s">
        <v>1254</v>
      </c>
      <c r="M1172" s="38" t="s">
        <v>118</v>
      </c>
      <c r="N1172" s="39"/>
      <c r="O1172" s="40">
        <v>577.62</v>
      </c>
      <c r="P1172" s="40">
        <v>2286.33</v>
      </c>
      <c r="Q1172" s="40">
        <f t="shared" si="102"/>
        <v>577.62</v>
      </c>
      <c r="R1172" s="40">
        <f t="shared" si="102"/>
        <v>2286.33</v>
      </c>
      <c r="S1172" s="40">
        <f>ROUND('Смета ЕР (общ) '!$N1172*'Смета ЕР (общ) '!$Q1172,2)</f>
        <v>0</v>
      </c>
      <c r="T1172" s="40">
        <f>ROUND('Смета ЕР (общ) '!$N1172*'Смета ЕР (общ) '!$R1172,2)</f>
        <v>0</v>
      </c>
    </row>
    <row r="1173" spans="1:20" ht="34.5" customHeight="1" x14ac:dyDescent="0.3">
      <c r="A1173" s="36" t="s">
        <v>1169</v>
      </c>
      <c r="B1173" s="36">
        <v>2</v>
      </c>
      <c r="C1173" s="36"/>
      <c r="D1173" s="36">
        <v>61</v>
      </c>
      <c r="E1173" s="36" t="str">
        <f>CONCATENATE('Смета ЕР (общ) '!$A1173,".",'Смета ЕР (общ) '!$B1173,".",'Смета ЕР (общ) '!$D1173)</f>
        <v>Р9.2.61</v>
      </c>
      <c r="F1173" s="36">
        <f t="shared" si="103"/>
        <v>1</v>
      </c>
      <c r="G1173" s="36"/>
      <c r="H1173" s="36"/>
      <c r="I1173" s="36"/>
      <c r="J1173" s="36"/>
      <c r="K1173" s="36"/>
      <c r="L1173" s="37" t="s">
        <v>1255</v>
      </c>
      <c r="M1173" s="38" t="s">
        <v>118</v>
      </c>
      <c r="N1173" s="39"/>
      <c r="O1173" s="40">
        <v>577.62</v>
      </c>
      <c r="P1173" s="40">
        <v>2157.0700000000002</v>
      </c>
      <c r="Q1173" s="40">
        <f t="shared" si="102"/>
        <v>577.62</v>
      </c>
      <c r="R1173" s="40">
        <f t="shared" si="102"/>
        <v>2157.0700000000002</v>
      </c>
      <c r="S1173" s="40">
        <f>ROUND('Смета ЕР (общ) '!$N1173*'Смета ЕР (общ) '!$Q1173,2)</f>
        <v>0</v>
      </c>
      <c r="T1173" s="40">
        <f>ROUND('Смета ЕР (общ) '!$N1173*'Смета ЕР (общ) '!$R1173,2)</f>
        <v>0</v>
      </c>
    </row>
    <row r="1174" spans="1:20" ht="34.5" customHeight="1" x14ac:dyDescent="0.3">
      <c r="A1174" s="36" t="s">
        <v>1169</v>
      </c>
      <c r="B1174" s="36">
        <v>2</v>
      </c>
      <c r="C1174" s="36"/>
      <c r="D1174" s="36">
        <v>62</v>
      </c>
      <c r="E1174" s="36" t="str">
        <f>CONCATENATE('Смета ЕР (общ) '!$A1174,".",'Смета ЕР (общ) '!$B1174,".",'Смета ЕР (общ) '!$D1174)</f>
        <v>Р9.2.62</v>
      </c>
      <c r="F1174" s="36">
        <f t="shared" si="103"/>
        <v>1</v>
      </c>
      <c r="G1174" s="36"/>
      <c r="H1174" s="36"/>
      <c r="I1174" s="36"/>
      <c r="J1174" s="36"/>
      <c r="K1174" s="36"/>
      <c r="L1174" s="37" t="s">
        <v>1256</v>
      </c>
      <c r="M1174" s="38" t="s">
        <v>118</v>
      </c>
      <c r="N1174" s="39"/>
      <c r="O1174" s="40">
        <v>577.62</v>
      </c>
      <c r="P1174" s="40">
        <v>2736.59</v>
      </c>
      <c r="Q1174" s="40">
        <f t="shared" si="102"/>
        <v>577.62</v>
      </c>
      <c r="R1174" s="40">
        <f t="shared" si="102"/>
        <v>2736.59</v>
      </c>
      <c r="S1174" s="40">
        <f>ROUND('Смета ЕР (общ) '!$N1174*'Смета ЕР (общ) '!$Q1174,2)</f>
        <v>0</v>
      </c>
      <c r="T1174" s="40">
        <f>ROUND('Смета ЕР (общ) '!$N1174*'Смета ЕР (общ) '!$R1174,2)</f>
        <v>0</v>
      </c>
    </row>
    <row r="1175" spans="1:20" ht="34.5" customHeight="1" x14ac:dyDescent="0.3">
      <c r="A1175" s="36" t="s">
        <v>1169</v>
      </c>
      <c r="B1175" s="36">
        <v>2</v>
      </c>
      <c r="C1175" s="36"/>
      <c r="D1175" s="36">
        <v>63</v>
      </c>
      <c r="E1175" s="36" t="str">
        <f>CONCATENATE('Смета ЕР (общ) '!$A1175,".",'Смета ЕР (общ) '!$B1175,".",'Смета ЕР (общ) '!$D1175)</f>
        <v>Р9.2.63</v>
      </c>
      <c r="F1175" s="36">
        <f t="shared" si="103"/>
        <v>1</v>
      </c>
      <c r="G1175" s="36"/>
      <c r="H1175" s="36"/>
      <c r="I1175" s="36"/>
      <c r="J1175" s="36"/>
      <c r="K1175" s="36"/>
      <c r="L1175" s="37" t="s">
        <v>1257</v>
      </c>
      <c r="M1175" s="38" t="s">
        <v>118</v>
      </c>
      <c r="N1175" s="39"/>
      <c r="O1175" s="40">
        <v>577.62</v>
      </c>
      <c r="P1175" s="40">
        <v>2763.87</v>
      </c>
      <c r="Q1175" s="40">
        <f t="shared" si="102"/>
        <v>577.62</v>
      </c>
      <c r="R1175" s="40">
        <f t="shared" si="102"/>
        <v>2763.87</v>
      </c>
      <c r="S1175" s="40">
        <f>ROUND('Смета ЕР (общ) '!$N1175*'Смета ЕР (общ) '!$Q1175,2)</f>
        <v>0</v>
      </c>
      <c r="T1175" s="40">
        <f>ROUND('Смета ЕР (общ) '!$N1175*'Смета ЕР (общ) '!$R1175,2)</f>
        <v>0</v>
      </c>
    </row>
    <row r="1176" spans="1:20" ht="34.5" customHeight="1" x14ac:dyDescent="0.3">
      <c r="A1176" s="36" t="s">
        <v>1169</v>
      </c>
      <c r="B1176" s="36">
        <v>2</v>
      </c>
      <c r="C1176" s="36"/>
      <c r="D1176" s="36">
        <v>64</v>
      </c>
      <c r="E1176" s="36" t="str">
        <f>CONCATENATE('Смета ЕР (общ) '!$A1176,".",'Смета ЕР (общ) '!$B1176,".",'Смета ЕР (общ) '!$D1176)</f>
        <v>Р9.2.64</v>
      </c>
      <c r="F1176" s="36">
        <f t="shared" si="103"/>
        <v>1</v>
      </c>
      <c r="G1176" s="36"/>
      <c r="H1176" s="36"/>
      <c r="I1176" s="36"/>
      <c r="J1176" s="36"/>
      <c r="K1176" s="36"/>
      <c r="L1176" s="37" t="s">
        <v>1258</v>
      </c>
      <c r="M1176" s="38" t="s">
        <v>118</v>
      </c>
      <c r="N1176" s="39"/>
      <c r="O1176" s="40">
        <v>636.41</v>
      </c>
      <c r="P1176" s="40">
        <v>2930.88</v>
      </c>
      <c r="Q1176" s="40">
        <f t="shared" si="102"/>
        <v>636.41</v>
      </c>
      <c r="R1176" s="40">
        <f t="shared" si="102"/>
        <v>2930.88</v>
      </c>
      <c r="S1176" s="40">
        <f>ROUND('Смета ЕР (общ) '!$N1176*'Смета ЕР (общ) '!$Q1176,2)</f>
        <v>0</v>
      </c>
      <c r="T1176" s="40">
        <f>ROUND('Смета ЕР (общ) '!$N1176*'Смета ЕР (общ) '!$R1176,2)</f>
        <v>0</v>
      </c>
    </row>
    <row r="1177" spans="1:20" ht="34.5" customHeight="1" x14ac:dyDescent="0.3">
      <c r="A1177" s="36" t="s">
        <v>1169</v>
      </c>
      <c r="B1177" s="36">
        <v>2</v>
      </c>
      <c r="C1177" s="36"/>
      <c r="D1177" s="36">
        <v>65</v>
      </c>
      <c r="E1177" s="36" t="str">
        <f>CONCATENATE('Смета ЕР (общ) '!$A1177,".",'Смета ЕР (общ) '!$B1177,".",'Смета ЕР (общ) '!$D1177)</f>
        <v>Р9.2.65</v>
      </c>
      <c r="F1177" s="36">
        <f t="shared" si="103"/>
        <v>1</v>
      </c>
      <c r="G1177" s="36"/>
      <c r="H1177" s="36"/>
      <c r="I1177" s="36"/>
      <c r="J1177" s="36"/>
      <c r="K1177" s="36"/>
      <c r="L1177" s="37" t="s">
        <v>1259</v>
      </c>
      <c r="M1177" s="38" t="s">
        <v>118</v>
      </c>
      <c r="N1177" s="39"/>
      <c r="O1177" s="40">
        <v>636.41</v>
      </c>
      <c r="P1177" s="40">
        <v>2876.49</v>
      </c>
      <c r="Q1177" s="40">
        <f t="shared" si="102"/>
        <v>636.41</v>
      </c>
      <c r="R1177" s="40">
        <f t="shared" si="102"/>
        <v>2876.49</v>
      </c>
      <c r="S1177" s="40">
        <f>ROUND('Смета ЕР (общ) '!$N1177*'Смета ЕР (общ) '!$Q1177,2)</f>
        <v>0</v>
      </c>
      <c r="T1177" s="40">
        <f>ROUND('Смета ЕР (общ) '!$N1177*'Смета ЕР (общ) '!$R1177,2)</f>
        <v>0</v>
      </c>
    </row>
    <row r="1178" spans="1:20" ht="34.5" customHeight="1" x14ac:dyDescent="0.3">
      <c r="A1178" s="36" t="s">
        <v>1169</v>
      </c>
      <c r="B1178" s="36">
        <v>2</v>
      </c>
      <c r="C1178" s="36"/>
      <c r="D1178" s="36">
        <v>66</v>
      </c>
      <c r="E1178" s="36" t="str">
        <f>CONCATENATE('Смета ЕР (общ) '!$A1178,".",'Смета ЕР (общ) '!$B1178,".",'Смета ЕР (общ) '!$D1178)</f>
        <v>Р9.2.66</v>
      </c>
      <c r="F1178" s="36">
        <f t="shared" si="103"/>
        <v>1</v>
      </c>
      <c r="G1178" s="36"/>
      <c r="H1178" s="36"/>
      <c r="I1178" s="36"/>
      <c r="J1178" s="36"/>
      <c r="K1178" s="36"/>
      <c r="L1178" s="37" t="s">
        <v>1260</v>
      </c>
      <c r="M1178" s="38" t="s">
        <v>118</v>
      </c>
      <c r="N1178" s="39"/>
      <c r="O1178" s="40">
        <v>787.67</v>
      </c>
      <c r="P1178" s="40">
        <v>3663.55</v>
      </c>
      <c r="Q1178" s="40">
        <f t="shared" si="102"/>
        <v>787.67</v>
      </c>
      <c r="R1178" s="40">
        <f t="shared" si="102"/>
        <v>3663.55</v>
      </c>
      <c r="S1178" s="40">
        <f>ROUND('Смета ЕР (общ) '!$N1178*'Смета ЕР (общ) '!$Q1178,2)</f>
        <v>0</v>
      </c>
      <c r="T1178" s="40">
        <f>ROUND('Смета ЕР (общ) '!$N1178*'Смета ЕР (общ) '!$R1178,2)</f>
        <v>0</v>
      </c>
    </row>
    <row r="1179" spans="1:20" ht="34.5" customHeight="1" x14ac:dyDescent="0.3">
      <c r="A1179" s="36" t="s">
        <v>1169</v>
      </c>
      <c r="B1179" s="36">
        <v>2</v>
      </c>
      <c r="C1179" s="36"/>
      <c r="D1179" s="36">
        <v>67</v>
      </c>
      <c r="E1179" s="36" t="str">
        <f>CONCATENATE('Смета ЕР (общ) '!$A1179,".",'Смета ЕР (общ) '!$B1179,".",'Смета ЕР (общ) '!$D1179)</f>
        <v>Р9.2.67</v>
      </c>
      <c r="F1179" s="36">
        <f t="shared" si="103"/>
        <v>1</v>
      </c>
      <c r="G1179" s="36"/>
      <c r="H1179" s="36"/>
      <c r="I1179" s="36"/>
      <c r="J1179" s="36"/>
      <c r="K1179" s="36"/>
      <c r="L1179" s="37" t="s">
        <v>1261</v>
      </c>
      <c r="M1179" s="38" t="s">
        <v>118</v>
      </c>
      <c r="N1179" s="39"/>
      <c r="O1179" s="40">
        <v>577.62</v>
      </c>
      <c r="P1179" s="40">
        <v>2422.39</v>
      </c>
      <c r="Q1179" s="40">
        <f t="shared" si="102"/>
        <v>577.62</v>
      </c>
      <c r="R1179" s="40">
        <f t="shared" si="102"/>
        <v>2422.39</v>
      </c>
      <c r="S1179" s="40">
        <f>ROUND('Смета ЕР (общ) '!$N1179*'Смета ЕР (общ) '!$Q1179,2)</f>
        <v>0</v>
      </c>
      <c r="T1179" s="40">
        <f>ROUND('Смета ЕР (общ) '!$N1179*'Смета ЕР (общ) '!$R1179,2)</f>
        <v>0</v>
      </c>
    </row>
    <row r="1180" spans="1:20" ht="34.5" customHeight="1" x14ac:dyDescent="0.3">
      <c r="A1180" s="36" t="s">
        <v>1169</v>
      </c>
      <c r="B1180" s="36">
        <v>2</v>
      </c>
      <c r="C1180" s="36"/>
      <c r="D1180" s="36">
        <v>68</v>
      </c>
      <c r="E1180" s="36" t="str">
        <f>CONCATENATE('Смета ЕР (общ) '!$A1180,".",'Смета ЕР (общ) '!$B1180,".",'Смета ЕР (общ) '!$D1180)</f>
        <v>Р9.2.68</v>
      </c>
      <c r="F1180" s="36">
        <f t="shared" si="103"/>
        <v>1</v>
      </c>
      <c r="G1180" s="36"/>
      <c r="H1180" s="36"/>
      <c r="I1180" s="36"/>
      <c r="J1180" s="36"/>
      <c r="K1180" s="36"/>
      <c r="L1180" s="37" t="s">
        <v>1262</v>
      </c>
      <c r="M1180" s="38" t="s">
        <v>118</v>
      </c>
      <c r="N1180" s="39"/>
      <c r="O1180" s="40">
        <v>577.62</v>
      </c>
      <c r="P1180" s="40">
        <v>2279.1999999999998</v>
      </c>
      <c r="Q1180" s="40">
        <f t="shared" si="102"/>
        <v>577.62</v>
      </c>
      <c r="R1180" s="40">
        <f t="shared" si="102"/>
        <v>2279.1999999999998</v>
      </c>
      <c r="S1180" s="40">
        <f>ROUND('Смета ЕР (общ) '!$N1180*'Смета ЕР (общ) '!$Q1180,2)</f>
        <v>0</v>
      </c>
      <c r="T1180" s="40">
        <f>ROUND('Смета ЕР (общ) '!$N1180*'Смета ЕР (общ) '!$R1180,2)</f>
        <v>0</v>
      </c>
    </row>
    <row r="1181" spans="1:20" ht="34.5" customHeight="1" x14ac:dyDescent="0.3">
      <c r="A1181" s="36" t="s">
        <v>1169</v>
      </c>
      <c r="B1181" s="36">
        <v>2</v>
      </c>
      <c r="C1181" s="36"/>
      <c r="D1181" s="36">
        <v>69</v>
      </c>
      <c r="E1181" s="36" t="str">
        <f>CONCATENATE('Смета ЕР (общ) '!$A1181,".",'Смета ЕР (общ) '!$B1181,".",'Смета ЕР (общ) '!$D1181)</f>
        <v>Р9.2.69</v>
      </c>
      <c r="F1181" s="36">
        <f t="shared" si="103"/>
        <v>1</v>
      </c>
      <c r="G1181" s="36"/>
      <c r="H1181" s="36"/>
      <c r="I1181" s="36"/>
      <c r="J1181" s="36"/>
      <c r="K1181" s="36"/>
      <c r="L1181" s="37" t="s">
        <v>1263</v>
      </c>
      <c r="M1181" s="38" t="s">
        <v>118</v>
      </c>
      <c r="N1181" s="39"/>
      <c r="O1181" s="40">
        <v>577.62</v>
      </c>
      <c r="P1181" s="40">
        <v>2106.2800000000002</v>
      </c>
      <c r="Q1181" s="40">
        <f t="shared" si="102"/>
        <v>577.62</v>
      </c>
      <c r="R1181" s="40">
        <f t="shared" si="102"/>
        <v>2106.2800000000002</v>
      </c>
      <c r="S1181" s="40">
        <f>ROUND('Смета ЕР (общ) '!$N1181*'Смета ЕР (общ) '!$Q1181,2)</f>
        <v>0</v>
      </c>
      <c r="T1181" s="40">
        <f>ROUND('Смета ЕР (общ) '!$N1181*'Смета ЕР (общ) '!$R1181,2)</f>
        <v>0</v>
      </c>
    </row>
    <row r="1182" spans="1:20" ht="34.5" customHeight="1" x14ac:dyDescent="0.3">
      <c r="A1182" s="36" t="s">
        <v>1169</v>
      </c>
      <c r="B1182" s="36">
        <v>2</v>
      </c>
      <c r="C1182" s="36"/>
      <c r="D1182" s="36">
        <v>70</v>
      </c>
      <c r="E1182" s="36" t="str">
        <f>CONCATENATE('Смета ЕР (общ) '!$A1182,".",'Смета ЕР (общ) '!$B1182,".",'Смета ЕР (общ) '!$D1182)</f>
        <v>Р9.2.70</v>
      </c>
      <c r="F1182" s="36">
        <f t="shared" si="103"/>
        <v>1</v>
      </c>
      <c r="G1182" s="36"/>
      <c r="H1182" s="36"/>
      <c r="I1182" s="36"/>
      <c r="J1182" s="36"/>
      <c r="K1182" s="36"/>
      <c r="L1182" s="37" t="s">
        <v>1264</v>
      </c>
      <c r="M1182" s="38" t="s">
        <v>118</v>
      </c>
      <c r="N1182" s="39"/>
      <c r="O1182" s="40">
        <v>577.62</v>
      </c>
      <c r="P1182" s="40">
        <v>2785.52</v>
      </c>
      <c r="Q1182" s="40">
        <f t="shared" si="102"/>
        <v>577.62</v>
      </c>
      <c r="R1182" s="40">
        <f t="shared" si="102"/>
        <v>2785.52</v>
      </c>
      <c r="S1182" s="40">
        <f>ROUND('Смета ЕР (общ) '!$N1182*'Смета ЕР (общ) '!$Q1182,2)</f>
        <v>0</v>
      </c>
      <c r="T1182" s="40">
        <f>ROUND('Смета ЕР (общ) '!$N1182*'Смета ЕР (общ) '!$R1182,2)</f>
        <v>0</v>
      </c>
    </row>
    <row r="1183" spans="1:20" ht="34.5" customHeight="1" x14ac:dyDescent="0.3">
      <c r="A1183" s="36" t="s">
        <v>1169</v>
      </c>
      <c r="B1183" s="36">
        <v>2</v>
      </c>
      <c r="C1183" s="36"/>
      <c r="D1183" s="36">
        <v>71</v>
      </c>
      <c r="E1183" s="36" t="str">
        <f>CONCATENATE('Смета ЕР (общ) '!$A1183,".",'Смета ЕР (общ) '!$B1183,".",'Смета ЕР (общ) '!$D1183)</f>
        <v>Р9.2.71</v>
      </c>
      <c r="F1183" s="36">
        <f t="shared" si="103"/>
        <v>1</v>
      </c>
      <c r="G1183" s="36"/>
      <c r="H1183" s="36"/>
      <c r="I1183" s="36"/>
      <c r="J1183" s="36"/>
      <c r="K1183" s="36"/>
      <c r="L1183" s="37" t="s">
        <v>1265</v>
      </c>
      <c r="M1183" s="38" t="s">
        <v>118</v>
      </c>
      <c r="N1183" s="39"/>
      <c r="O1183" s="40">
        <v>577.62</v>
      </c>
      <c r="P1183" s="40">
        <v>2681.79</v>
      </c>
      <c r="Q1183" s="40">
        <f t="shared" si="102"/>
        <v>577.62</v>
      </c>
      <c r="R1183" s="40">
        <f t="shared" si="102"/>
        <v>2681.79</v>
      </c>
      <c r="S1183" s="40">
        <f>ROUND('Смета ЕР (общ) '!$N1183*'Смета ЕР (общ) '!$Q1183,2)</f>
        <v>0</v>
      </c>
      <c r="T1183" s="40">
        <f>ROUND('Смета ЕР (общ) '!$N1183*'Смета ЕР (общ) '!$R1183,2)</f>
        <v>0</v>
      </c>
    </row>
    <row r="1184" spans="1:20" ht="34.5" customHeight="1" x14ac:dyDescent="0.3">
      <c r="A1184" s="36" t="s">
        <v>1169</v>
      </c>
      <c r="B1184" s="36">
        <v>2</v>
      </c>
      <c r="C1184" s="36"/>
      <c r="D1184" s="36">
        <v>72</v>
      </c>
      <c r="E1184" s="36" t="str">
        <f>CONCATENATE('Смета ЕР (общ) '!$A1184,".",'Смета ЕР (общ) '!$B1184,".",'Смета ЕР (общ) '!$D1184)</f>
        <v>Р9.2.72</v>
      </c>
      <c r="F1184" s="36">
        <f t="shared" si="103"/>
        <v>1</v>
      </c>
      <c r="G1184" s="36"/>
      <c r="H1184" s="36"/>
      <c r="I1184" s="36"/>
      <c r="J1184" s="36"/>
      <c r="K1184" s="36"/>
      <c r="L1184" s="37" t="s">
        <v>1266</v>
      </c>
      <c r="M1184" s="38" t="s">
        <v>118</v>
      </c>
      <c r="N1184" s="39"/>
      <c r="O1184" s="40">
        <v>636.41</v>
      </c>
      <c r="P1184" s="40">
        <v>2986.7</v>
      </c>
      <c r="Q1184" s="40">
        <f t="shared" si="102"/>
        <v>636.41</v>
      </c>
      <c r="R1184" s="40">
        <f t="shared" si="102"/>
        <v>2986.7</v>
      </c>
      <c r="S1184" s="40">
        <f>ROUND('Смета ЕР (общ) '!$N1184*'Смета ЕР (общ) '!$Q1184,2)</f>
        <v>0</v>
      </c>
      <c r="T1184" s="40">
        <f>ROUND('Смета ЕР (общ) '!$N1184*'Смета ЕР (общ) '!$R1184,2)</f>
        <v>0</v>
      </c>
    </row>
    <row r="1185" spans="1:20" ht="34.5" customHeight="1" x14ac:dyDescent="0.3">
      <c r="A1185" s="36" t="s">
        <v>1169</v>
      </c>
      <c r="B1185" s="36">
        <v>2</v>
      </c>
      <c r="C1185" s="36"/>
      <c r="D1185" s="36">
        <v>73</v>
      </c>
      <c r="E1185" s="36" t="str">
        <f>CONCATENATE('Смета ЕР (общ) '!$A1185,".",'Смета ЕР (общ) '!$B1185,".",'Смета ЕР (общ) '!$D1185)</f>
        <v>Р9.2.73</v>
      </c>
      <c r="F1185" s="36">
        <f t="shared" si="103"/>
        <v>1</v>
      </c>
      <c r="G1185" s="36"/>
      <c r="H1185" s="36"/>
      <c r="I1185" s="36"/>
      <c r="J1185" s="36"/>
      <c r="K1185" s="36"/>
      <c r="L1185" s="37" t="s">
        <v>1267</v>
      </c>
      <c r="M1185" s="38" t="s">
        <v>118</v>
      </c>
      <c r="N1185" s="39"/>
      <c r="O1185" s="40">
        <v>636.41</v>
      </c>
      <c r="P1185" s="40">
        <v>2984.6</v>
      </c>
      <c r="Q1185" s="40">
        <f t="shared" si="102"/>
        <v>636.41</v>
      </c>
      <c r="R1185" s="40">
        <f t="shared" si="102"/>
        <v>2984.6</v>
      </c>
      <c r="S1185" s="40">
        <f>ROUND('Смета ЕР (общ) '!$N1185*'Смета ЕР (общ) '!$Q1185,2)</f>
        <v>0</v>
      </c>
      <c r="T1185" s="40">
        <f>ROUND('Смета ЕР (общ) '!$N1185*'Смета ЕР (общ) '!$R1185,2)</f>
        <v>0</v>
      </c>
    </row>
    <row r="1186" spans="1:20" ht="34.5" customHeight="1" x14ac:dyDescent="0.3">
      <c r="A1186" s="36" t="s">
        <v>1169</v>
      </c>
      <c r="B1186" s="36">
        <v>2</v>
      </c>
      <c r="C1186" s="36"/>
      <c r="D1186" s="36">
        <v>74</v>
      </c>
      <c r="E1186" s="36" t="str">
        <f>CONCATENATE('Смета ЕР (общ) '!$A1186,".",'Смета ЕР (общ) '!$B1186,".",'Смета ЕР (общ) '!$D1186)</f>
        <v>Р9.2.74</v>
      </c>
      <c r="F1186" s="36">
        <f t="shared" si="103"/>
        <v>1</v>
      </c>
      <c r="G1186" s="36"/>
      <c r="H1186" s="36"/>
      <c r="I1186" s="36"/>
      <c r="J1186" s="36"/>
      <c r="K1186" s="36"/>
      <c r="L1186" s="37" t="s">
        <v>1268</v>
      </c>
      <c r="M1186" s="38" t="s">
        <v>118</v>
      </c>
      <c r="N1186" s="39"/>
      <c r="O1186" s="40">
        <v>787.67</v>
      </c>
      <c r="P1186" s="40">
        <v>4214.26</v>
      </c>
      <c r="Q1186" s="40">
        <f t="shared" si="102"/>
        <v>787.67</v>
      </c>
      <c r="R1186" s="40">
        <f t="shared" si="102"/>
        <v>4214.26</v>
      </c>
      <c r="S1186" s="40">
        <f>ROUND('Смета ЕР (общ) '!$N1186*'Смета ЕР (общ) '!$Q1186,2)</f>
        <v>0</v>
      </c>
      <c r="T1186" s="40">
        <f>ROUND('Смета ЕР (общ) '!$N1186*'Смета ЕР (общ) '!$R1186,2)</f>
        <v>0</v>
      </c>
    </row>
    <row r="1187" spans="1:20" ht="34.5" customHeight="1" x14ac:dyDescent="0.3">
      <c r="A1187" s="36" t="s">
        <v>1169</v>
      </c>
      <c r="B1187" s="36">
        <v>2</v>
      </c>
      <c r="C1187" s="36"/>
      <c r="D1187" s="36">
        <v>75</v>
      </c>
      <c r="E1187" s="36" t="str">
        <f>CONCATENATE('Смета ЕР (общ) '!$A1187,".",'Смета ЕР (общ) '!$B1187,".",'Смета ЕР (общ) '!$D1187)</f>
        <v>Р9.2.75</v>
      </c>
      <c r="F1187" s="36">
        <f t="shared" si="103"/>
        <v>1</v>
      </c>
      <c r="G1187" s="36"/>
      <c r="H1187" s="36"/>
      <c r="I1187" s="36"/>
      <c r="J1187" s="36"/>
      <c r="K1187" s="36"/>
      <c r="L1187" s="37" t="s">
        <v>1269</v>
      </c>
      <c r="M1187" s="38" t="s">
        <v>118</v>
      </c>
      <c r="N1187" s="39"/>
      <c r="O1187" s="40">
        <v>577.62</v>
      </c>
      <c r="P1187" s="40">
        <v>1133.68</v>
      </c>
      <c r="Q1187" s="40">
        <f t="shared" si="102"/>
        <v>577.62</v>
      </c>
      <c r="R1187" s="40">
        <f t="shared" si="102"/>
        <v>1133.68</v>
      </c>
      <c r="S1187" s="40">
        <f>ROUND('Смета ЕР (общ) '!$N1187*'Смета ЕР (общ) '!$Q1187,2)</f>
        <v>0</v>
      </c>
      <c r="T1187" s="40">
        <f>ROUND('Смета ЕР (общ) '!$N1187*'Смета ЕР (общ) '!$R1187,2)</f>
        <v>0</v>
      </c>
    </row>
    <row r="1188" spans="1:20" ht="34.5" customHeight="1" x14ac:dyDescent="0.3">
      <c r="A1188" s="36" t="s">
        <v>1169</v>
      </c>
      <c r="B1188" s="36">
        <v>2</v>
      </c>
      <c r="C1188" s="36"/>
      <c r="D1188" s="36">
        <v>76</v>
      </c>
      <c r="E1188" s="36" t="str">
        <f>CONCATENATE('Смета ЕР (общ) '!$A1188,".",'Смета ЕР (общ) '!$B1188,".",'Смета ЕР (общ) '!$D1188)</f>
        <v>Р9.2.76</v>
      </c>
      <c r="F1188" s="36">
        <f t="shared" si="103"/>
        <v>1</v>
      </c>
      <c r="G1188" s="36"/>
      <c r="H1188" s="36"/>
      <c r="I1188" s="36"/>
      <c r="J1188" s="36"/>
      <c r="K1188" s="36"/>
      <c r="L1188" s="37" t="s">
        <v>1270</v>
      </c>
      <c r="M1188" s="38" t="s">
        <v>118</v>
      </c>
      <c r="N1188" s="39"/>
      <c r="O1188" s="40">
        <v>577.62</v>
      </c>
      <c r="P1188" s="40">
        <v>963.65</v>
      </c>
      <c r="Q1188" s="40">
        <f t="shared" si="102"/>
        <v>577.62</v>
      </c>
      <c r="R1188" s="40">
        <f t="shared" si="102"/>
        <v>963.65</v>
      </c>
      <c r="S1188" s="40">
        <f>ROUND('Смета ЕР (общ) '!$N1188*'Смета ЕР (общ) '!$Q1188,2)</f>
        <v>0</v>
      </c>
      <c r="T1188" s="40">
        <f>ROUND('Смета ЕР (общ) '!$N1188*'Смета ЕР (общ) '!$R1188,2)</f>
        <v>0</v>
      </c>
    </row>
    <row r="1189" spans="1:20" ht="34.5" customHeight="1" x14ac:dyDescent="0.3">
      <c r="A1189" s="36" t="s">
        <v>1169</v>
      </c>
      <c r="B1189" s="36">
        <v>2</v>
      </c>
      <c r="C1189" s="36"/>
      <c r="D1189" s="36">
        <v>77</v>
      </c>
      <c r="E1189" s="36" t="str">
        <f>CONCATENATE('Смета ЕР (общ) '!$A1189,".",'Смета ЕР (общ) '!$B1189,".",'Смета ЕР (общ) '!$D1189)</f>
        <v>Р9.2.77</v>
      </c>
      <c r="F1189" s="36">
        <f t="shared" si="103"/>
        <v>1</v>
      </c>
      <c r="G1189" s="36"/>
      <c r="H1189" s="36"/>
      <c r="I1189" s="36"/>
      <c r="J1189" s="36"/>
      <c r="K1189" s="36"/>
      <c r="L1189" s="37" t="s">
        <v>1271</v>
      </c>
      <c r="M1189" s="38" t="s">
        <v>118</v>
      </c>
      <c r="N1189" s="39"/>
      <c r="O1189" s="40">
        <v>577.62</v>
      </c>
      <c r="P1189" s="40">
        <v>971.58</v>
      </c>
      <c r="Q1189" s="40">
        <f t="shared" si="102"/>
        <v>577.62</v>
      </c>
      <c r="R1189" s="40">
        <f t="shared" si="102"/>
        <v>971.58</v>
      </c>
      <c r="S1189" s="40">
        <f>ROUND('Смета ЕР (общ) '!$N1189*'Смета ЕР (общ) '!$Q1189,2)</f>
        <v>0</v>
      </c>
      <c r="T1189" s="40">
        <f>ROUND('Смета ЕР (общ) '!$N1189*'Смета ЕР (общ) '!$R1189,2)</f>
        <v>0</v>
      </c>
    </row>
    <row r="1190" spans="1:20" ht="34.5" customHeight="1" x14ac:dyDescent="0.3">
      <c r="A1190" s="36" t="s">
        <v>1169</v>
      </c>
      <c r="B1190" s="36">
        <v>2</v>
      </c>
      <c r="C1190" s="36"/>
      <c r="D1190" s="36">
        <v>78</v>
      </c>
      <c r="E1190" s="36" t="str">
        <f>CONCATENATE('Смета ЕР (общ) '!$A1190,".",'Смета ЕР (общ) '!$B1190,".",'Смета ЕР (общ) '!$D1190)</f>
        <v>Р9.2.78</v>
      </c>
      <c r="F1190" s="36">
        <f t="shared" si="103"/>
        <v>1</v>
      </c>
      <c r="G1190" s="36"/>
      <c r="H1190" s="36"/>
      <c r="I1190" s="36"/>
      <c r="J1190" s="36"/>
      <c r="K1190" s="36"/>
      <c r="L1190" s="37" t="s">
        <v>1272</v>
      </c>
      <c r="M1190" s="38" t="s">
        <v>118</v>
      </c>
      <c r="N1190" s="39"/>
      <c r="O1190" s="40">
        <v>577.62</v>
      </c>
      <c r="P1190" s="40">
        <v>1006.95</v>
      </c>
      <c r="Q1190" s="40">
        <f t="shared" si="102"/>
        <v>577.62</v>
      </c>
      <c r="R1190" s="40">
        <f t="shared" si="102"/>
        <v>1006.95</v>
      </c>
      <c r="S1190" s="40">
        <f>ROUND('Смета ЕР (общ) '!$N1190*'Смета ЕР (общ) '!$Q1190,2)</f>
        <v>0</v>
      </c>
      <c r="T1190" s="40">
        <f>ROUND('Смета ЕР (общ) '!$N1190*'Смета ЕР (общ) '!$R1190,2)</f>
        <v>0</v>
      </c>
    </row>
    <row r="1191" spans="1:20" ht="34.5" customHeight="1" x14ac:dyDescent="0.3">
      <c r="A1191" s="36" t="s">
        <v>1169</v>
      </c>
      <c r="B1191" s="36">
        <v>2</v>
      </c>
      <c r="C1191" s="36"/>
      <c r="D1191" s="36">
        <v>79</v>
      </c>
      <c r="E1191" s="36" t="str">
        <f>CONCATENATE('Смета ЕР (общ) '!$A1191,".",'Смета ЕР (общ) '!$B1191,".",'Смета ЕР (общ) '!$D1191)</f>
        <v>Р9.2.79</v>
      </c>
      <c r="F1191" s="36">
        <f t="shared" si="103"/>
        <v>1</v>
      </c>
      <c r="G1191" s="36"/>
      <c r="H1191" s="36"/>
      <c r="I1191" s="36"/>
      <c r="J1191" s="36"/>
      <c r="K1191" s="36"/>
      <c r="L1191" s="37" t="s">
        <v>1273</v>
      </c>
      <c r="M1191" s="38" t="s">
        <v>118</v>
      </c>
      <c r="N1191" s="39"/>
      <c r="O1191" s="40">
        <v>577.62</v>
      </c>
      <c r="P1191" s="40">
        <v>964.73</v>
      </c>
      <c r="Q1191" s="40">
        <f t="shared" si="102"/>
        <v>577.62</v>
      </c>
      <c r="R1191" s="40">
        <f t="shared" si="102"/>
        <v>964.73</v>
      </c>
      <c r="S1191" s="40">
        <f>ROUND('Смета ЕР (общ) '!$N1191*'Смета ЕР (общ) '!$Q1191,2)</f>
        <v>0</v>
      </c>
      <c r="T1191" s="40">
        <f>ROUND('Смета ЕР (общ) '!$N1191*'Смета ЕР (общ) '!$R1191,2)</f>
        <v>0</v>
      </c>
    </row>
    <row r="1192" spans="1:20" ht="34.5" customHeight="1" x14ac:dyDescent="0.3">
      <c r="A1192" s="36" t="s">
        <v>1169</v>
      </c>
      <c r="B1192" s="36">
        <v>2</v>
      </c>
      <c r="C1192" s="36"/>
      <c r="D1192" s="36">
        <v>80</v>
      </c>
      <c r="E1192" s="36" t="str">
        <f>CONCATENATE('Смета ЕР (общ) '!$A1192,".",'Смета ЕР (общ) '!$B1192,".",'Смета ЕР (общ) '!$D1192)</f>
        <v>Р9.2.80</v>
      </c>
      <c r="F1192" s="36">
        <f t="shared" si="103"/>
        <v>1</v>
      </c>
      <c r="G1192" s="36"/>
      <c r="H1192" s="36"/>
      <c r="I1192" s="36"/>
      <c r="J1192" s="36"/>
      <c r="K1192" s="36"/>
      <c r="L1192" s="37" t="s">
        <v>1274</v>
      </c>
      <c r="M1192" s="38" t="s">
        <v>118</v>
      </c>
      <c r="N1192" s="39"/>
      <c r="O1192" s="40">
        <v>636.41</v>
      </c>
      <c r="P1192" s="40">
        <v>1315.28</v>
      </c>
      <c r="Q1192" s="40">
        <f t="shared" si="102"/>
        <v>636.41</v>
      </c>
      <c r="R1192" s="40">
        <f t="shared" si="102"/>
        <v>1315.28</v>
      </c>
      <c r="S1192" s="40">
        <f>ROUND('Смета ЕР (общ) '!$N1192*'Смета ЕР (общ) '!$Q1192,2)</f>
        <v>0</v>
      </c>
      <c r="T1192" s="40">
        <f>ROUND('Смета ЕР (общ) '!$N1192*'Смета ЕР (общ) '!$R1192,2)</f>
        <v>0</v>
      </c>
    </row>
    <row r="1193" spans="1:20" ht="34.5" customHeight="1" x14ac:dyDescent="0.3">
      <c r="A1193" s="36" t="s">
        <v>1169</v>
      </c>
      <c r="B1193" s="36">
        <v>2</v>
      </c>
      <c r="C1193" s="36"/>
      <c r="D1193" s="36">
        <v>81</v>
      </c>
      <c r="E1193" s="36" t="str">
        <f>CONCATENATE('Смета ЕР (общ) '!$A1193,".",'Смета ЕР (общ) '!$B1193,".",'Смета ЕР (общ) '!$D1193)</f>
        <v>Р9.2.81</v>
      </c>
      <c r="F1193" s="36">
        <f t="shared" si="103"/>
        <v>1</v>
      </c>
      <c r="G1193" s="36"/>
      <c r="H1193" s="36"/>
      <c r="I1193" s="36"/>
      <c r="J1193" s="36"/>
      <c r="K1193" s="36"/>
      <c r="L1193" s="37" t="s">
        <v>1275</v>
      </c>
      <c r="M1193" s="38" t="s">
        <v>118</v>
      </c>
      <c r="N1193" s="39"/>
      <c r="O1193" s="40">
        <v>636.41</v>
      </c>
      <c r="P1193" s="40">
        <v>1300.76</v>
      </c>
      <c r="Q1193" s="40">
        <f t="shared" si="102"/>
        <v>636.41</v>
      </c>
      <c r="R1193" s="40">
        <f t="shared" si="102"/>
        <v>1300.76</v>
      </c>
      <c r="S1193" s="40">
        <f>ROUND('Смета ЕР (общ) '!$N1193*'Смета ЕР (общ) '!$Q1193,2)</f>
        <v>0</v>
      </c>
      <c r="T1193" s="40">
        <f>ROUND('Смета ЕР (общ) '!$N1193*'Смета ЕР (общ) '!$R1193,2)</f>
        <v>0</v>
      </c>
    </row>
    <row r="1194" spans="1:20" ht="34.5" customHeight="1" x14ac:dyDescent="0.3">
      <c r="A1194" s="36" t="s">
        <v>1169</v>
      </c>
      <c r="B1194" s="36">
        <v>2</v>
      </c>
      <c r="C1194" s="36"/>
      <c r="D1194" s="36">
        <v>82</v>
      </c>
      <c r="E1194" s="36" t="str">
        <f>CONCATENATE('Смета ЕР (общ) '!$A1194,".",'Смета ЕР (общ) '!$B1194,".",'Смета ЕР (общ) '!$D1194)</f>
        <v>Р9.2.82</v>
      </c>
      <c r="F1194" s="36">
        <f t="shared" si="103"/>
        <v>1</v>
      </c>
      <c r="G1194" s="36"/>
      <c r="H1194" s="36"/>
      <c r="I1194" s="36"/>
      <c r="J1194" s="36"/>
      <c r="K1194" s="36"/>
      <c r="L1194" s="37" t="s">
        <v>1276</v>
      </c>
      <c r="M1194" s="38" t="s">
        <v>118</v>
      </c>
      <c r="N1194" s="39"/>
      <c r="O1194" s="40">
        <v>787.67</v>
      </c>
      <c r="P1194" s="40">
        <v>1848.98</v>
      </c>
      <c r="Q1194" s="40">
        <f t="shared" si="102"/>
        <v>787.67</v>
      </c>
      <c r="R1194" s="40">
        <f t="shared" si="102"/>
        <v>1848.98</v>
      </c>
      <c r="S1194" s="40">
        <f>ROUND('Смета ЕР (общ) '!$N1194*'Смета ЕР (общ) '!$Q1194,2)</f>
        <v>0</v>
      </c>
      <c r="T1194" s="40">
        <f>ROUND('Смета ЕР (общ) '!$N1194*'Смета ЕР (общ) '!$R1194,2)</f>
        <v>0</v>
      </c>
    </row>
    <row r="1195" spans="1:20" ht="34.5" customHeight="1" x14ac:dyDescent="0.3">
      <c r="A1195" s="36" t="s">
        <v>1169</v>
      </c>
      <c r="B1195" s="36">
        <v>2</v>
      </c>
      <c r="C1195" s="36"/>
      <c r="D1195" s="36">
        <v>83</v>
      </c>
      <c r="E1195" s="36" t="str">
        <f>CONCATENATE('Смета ЕР (общ) '!$A1195,".",'Смета ЕР (общ) '!$B1195,".",'Смета ЕР (общ) '!$D1195)</f>
        <v>Р9.2.83</v>
      </c>
      <c r="F1195" s="36">
        <f t="shared" si="103"/>
        <v>1</v>
      </c>
      <c r="G1195" s="36"/>
      <c r="H1195" s="36"/>
      <c r="I1195" s="36"/>
      <c r="J1195" s="36"/>
      <c r="K1195" s="36"/>
      <c r="L1195" s="37" t="s">
        <v>1277</v>
      </c>
      <c r="M1195" s="38" t="s">
        <v>118</v>
      </c>
      <c r="N1195" s="39"/>
      <c r="O1195" s="40">
        <v>746.46</v>
      </c>
      <c r="P1195" s="40">
        <v>2967.03</v>
      </c>
      <c r="Q1195" s="40">
        <f t="shared" si="102"/>
        <v>746.46</v>
      </c>
      <c r="R1195" s="40">
        <f t="shared" si="102"/>
        <v>2967.03</v>
      </c>
      <c r="S1195" s="40">
        <f>ROUND('Смета ЕР (общ) '!$N1195*'Смета ЕР (общ) '!$Q1195,2)</f>
        <v>0</v>
      </c>
      <c r="T1195" s="40">
        <f>ROUND('Смета ЕР (общ) '!$N1195*'Смета ЕР (общ) '!$R1195,2)</f>
        <v>0</v>
      </c>
    </row>
    <row r="1196" spans="1:20" ht="34.5" customHeight="1" x14ac:dyDescent="0.3">
      <c r="A1196" s="36" t="s">
        <v>1169</v>
      </c>
      <c r="B1196" s="36">
        <v>2</v>
      </c>
      <c r="C1196" s="36"/>
      <c r="D1196" s="36">
        <v>84</v>
      </c>
      <c r="E1196" s="36" t="str">
        <f>CONCATENATE('Смета ЕР (общ) '!$A1196,".",'Смета ЕР (общ) '!$B1196,".",'Смета ЕР (общ) '!$D1196)</f>
        <v>Р9.2.84</v>
      </c>
      <c r="F1196" s="36">
        <f t="shared" si="103"/>
        <v>1</v>
      </c>
      <c r="G1196" s="36"/>
      <c r="H1196" s="36"/>
      <c r="I1196" s="36"/>
      <c r="J1196" s="36"/>
      <c r="K1196" s="36"/>
      <c r="L1196" s="37" t="s">
        <v>1278</v>
      </c>
      <c r="M1196" s="38" t="s">
        <v>118</v>
      </c>
      <c r="N1196" s="39"/>
      <c r="O1196" s="40">
        <v>746.46</v>
      </c>
      <c r="P1196" s="40">
        <v>3592.37</v>
      </c>
      <c r="Q1196" s="40">
        <f t="shared" si="102"/>
        <v>746.46</v>
      </c>
      <c r="R1196" s="40">
        <f t="shared" si="102"/>
        <v>3592.37</v>
      </c>
      <c r="S1196" s="40">
        <f>ROUND('Смета ЕР (общ) '!$N1196*'Смета ЕР (общ) '!$Q1196,2)</f>
        <v>0</v>
      </c>
      <c r="T1196" s="40">
        <f>ROUND('Смета ЕР (общ) '!$N1196*'Смета ЕР (общ) '!$R1196,2)</f>
        <v>0</v>
      </c>
    </row>
    <row r="1197" spans="1:20" ht="34.5" customHeight="1" x14ac:dyDescent="0.3">
      <c r="A1197" s="36" t="s">
        <v>1169</v>
      </c>
      <c r="B1197" s="36">
        <v>2</v>
      </c>
      <c r="C1197" s="36"/>
      <c r="D1197" s="36">
        <v>85</v>
      </c>
      <c r="E1197" s="36" t="str">
        <f>CONCATENATE('Смета ЕР (общ) '!$A1197,".",'Смета ЕР (общ) '!$B1197,".",'Смета ЕР (общ) '!$D1197)</f>
        <v>Р9.2.85</v>
      </c>
      <c r="F1197" s="36">
        <f t="shared" si="103"/>
        <v>1</v>
      </c>
      <c r="G1197" s="36"/>
      <c r="H1197" s="36"/>
      <c r="I1197" s="36"/>
      <c r="J1197" s="36"/>
      <c r="K1197" s="36"/>
      <c r="L1197" s="37" t="s">
        <v>1279</v>
      </c>
      <c r="M1197" s="38" t="s">
        <v>118</v>
      </c>
      <c r="N1197" s="39"/>
      <c r="O1197" s="40">
        <v>791.7</v>
      </c>
      <c r="P1197" s="40">
        <v>3981.3</v>
      </c>
      <c r="Q1197" s="40">
        <f t="shared" si="102"/>
        <v>791.7</v>
      </c>
      <c r="R1197" s="40">
        <f t="shared" si="102"/>
        <v>3981.3</v>
      </c>
      <c r="S1197" s="40">
        <f>ROUND('Смета ЕР (общ) '!$N1197*'Смета ЕР (общ) '!$Q1197,2)</f>
        <v>0</v>
      </c>
      <c r="T1197" s="40">
        <f>ROUND('Смета ЕР (общ) '!$N1197*'Смета ЕР (общ) '!$R1197,2)</f>
        <v>0</v>
      </c>
    </row>
    <row r="1198" spans="1:20" ht="34.5" customHeight="1" x14ac:dyDescent="0.3">
      <c r="A1198" s="36" t="s">
        <v>1169</v>
      </c>
      <c r="B1198" s="36">
        <v>2</v>
      </c>
      <c r="C1198" s="36"/>
      <c r="D1198" s="36">
        <v>86</v>
      </c>
      <c r="E1198" s="36" t="str">
        <f>CONCATENATE('Смета ЕР (общ) '!$A1198,".",'Смета ЕР (общ) '!$B1198,".",'Смета ЕР (общ) '!$D1198)</f>
        <v>Р9.2.86</v>
      </c>
      <c r="F1198" s="36">
        <f t="shared" si="103"/>
        <v>1</v>
      </c>
      <c r="G1198" s="36"/>
      <c r="H1198" s="36"/>
      <c r="I1198" s="36"/>
      <c r="J1198" s="36"/>
      <c r="K1198" s="36"/>
      <c r="L1198" s="37" t="s">
        <v>1280</v>
      </c>
      <c r="M1198" s="38" t="s">
        <v>118</v>
      </c>
      <c r="N1198" s="39"/>
      <c r="O1198" s="40">
        <v>945.21</v>
      </c>
      <c r="P1198" s="40">
        <v>3802.36</v>
      </c>
      <c r="Q1198" s="40">
        <f t="shared" si="102"/>
        <v>945.21</v>
      </c>
      <c r="R1198" s="40">
        <f t="shared" si="102"/>
        <v>3802.36</v>
      </c>
      <c r="S1198" s="40">
        <f>ROUND('Смета ЕР (общ) '!$N1198*'Смета ЕР (общ) '!$Q1198,2)</f>
        <v>0</v>
      </c>
      <c r="T1198" s="40">
        <f>ROUND('Смета ЕР (общ) '!$N1198*'Смета ЕР (общ) '!$R1198,2)</f>
        <v>0</v>
      </c>
    </row>
    <row r="1199" spans="1:20" ht="34.5" customHeight="1" x14ac:dyDescent="0.3">
      <c r="A1199" s="36" t="s">
        <v>1169</v>
      </c>
      <c r="B1199" s="36">
        <v>2</v>
      </c>
      <c r="C1199" s="36"/>
      <c r="D1199" s="36">
        <v>87</v>
      </c>
      <c r="E1199" s="36" t="str">
        <f>CONCATENATE('Смета ЕР (общ) '!$A1199,".",'Смета ЕР (общ) '!$B1199,".",'Смета ЕР (общ) '!$D1199)</f>
        <v>Р9.2.87</v>
      </c>
      <c r="F1199" s="36">
        <f t="shared" si="103"/>
        <v>1</v>
      </c>
      <c r="G1199" s="36"/>
      <c r="H1199" s="36"/>
      <c r="I1199" s="36"/>
      <c r="J1199" s="36"/>
      <c r="K1199" s="36"/>
      <c r="L1199" s="37" t="s">
        <v>1281</v>
      </c>
      <c r="M1199" s="38" t="s">
        <v>118</v>
      </c>
      <c r="N1199" s="39"/>
      <c r="O1199" s="40">
        <v>997.71</v>
      </c>
      <c r="P1199" s="40">
        <v>4136.6099999999997</v>
      </c>
      <c r="Q1199" s="40">
        <f t="shared" si="102"/>
        <v>997.71</v>
      </c>
      <c r="R1199" s="40">
        <f t="shared" si="102"/>
        <v>4136.6099999999997</v>
      </c>
      <c r="S1199" s="40">
        <f>ROUND('Смета ЕР (общ) '!$N1199*'Смета ЕР (общ) '!$Q1199,2)</f>
        <v>0</v>
      </c>
      <c r="T1199" s="40">
        <f>ROUND('Смета ЕР (общ) '!$N1199*'Смета ЕР (общ) '!$R1199,2)</f>
        <v>0</v>
      </c>
    </row>
    <row r="1200" spans="1:20" ht="34.5" customHeight="1" x14ac:dyDescent="0.3">
      <c r="A1200" s="36" t="s">
        <v>1169</v>
      </c>
      <c r="B1200" s="36">
        <v>2</v>
      </c>
      <c r="C1200" s="36"/>
      <c r="D1200" s="36">
        <v>88</v>
      </c>
      <c r="E1200" s="36" t="str">
        <f>CONCATENATE('Смета ЕР (общ) '!$A1200,".",'Смета ЕР (общ) '!$B1200,".",'Смета ЕР (общ) '!$D1200)</f>
        <v>Р9.2.88</v>
      </c>
      <c r="F1200" s="36">
        <f t="shared" si="103"/>
        <v>1</v>
      </c>
      <c r="G1200" s="36"/>
      <c r="H1200" s="36"/>
      <c r="I1200" s="36"/>
      <c r="J1200" s="36"/>
      <c r="K1200" s="36"/>
      <c r="L1200" s="37" t="s">
        <v>1282</v>
      </c>
      <c r="M1200" s="38" t="s">
        <v>118</v>
      </c>
      <c r="N1200" s="39"/>
      <c r="O1200" s="40">
        <v>1260.27</v>
      </c>
      <c r="P1200" s="40">
        <v>5488.57</v>
      </c>
      <c r="Q1200" s="40">
        <f t="shared" si="102"/>
        <v>1260.27</v>
      </c>
      <c r="R1200" s="40">
        <f t="shared" si="102"/>
        <v>5488.57</v>
      </c>
      <c r="S1200" s="40">
        <f>ROUND('Смета ЕР (общ) '!$N1200*'Смета ЕР (общ) '!$Q1200,2)</f>
        <v>0</v>
      </c>
      <c r="T1200" s="40">
        <f>ROUND('Смета ЕР (общ) '!$N1200*'Смета ЕР (общ) '!$R1200,2)</f>
        <v>0</v>
      </c>
    </row>
    <row r="1201" spans="1:20" ht="34.5" customHeight="1" x14ac:dyDescent="0.3">
      <c r="A1201" s="36" t="s">
        <v>1169</v>
      </c>
      <c r="B1201" s="36">
        <v>2</v>
      </c>
      <c r="C1201" s="36"/>
      <c r="D1201" s="36">
        <v>89</v>
      </c>
      <c r="E1201" s="36" t="str">
        <f>CONCATENATE('Смета ЕР (общ) '!$A1201,".",'Смета ЕР (общ) '!$B1201,".",'Смета ЕР (общ) '!$D1201)</f>
        <v>Р9.2.89</v>
      </c>
      <c r="F1201" s="36">
        <f t="shared" si="103"/>
        <v>1</v>
      </c>
      <c r="G1201" s="36"/>
      <c r="H1201" s="36"/>
      <c r="I1201" s="36"/>
      <c r="J1201" s="36"/>
      <c r="K1201" s="36"/>
      <c r="L1201" s="37" t="s">
        <v>1283</v>
      </c>
      <c r="M1201" s="38" t="s">
        <v>118</v>
      </c>
      <c r="N1201" s="39"/>
      <c r="O1201" s="40">
        <v>746.46</v>
      </c>
      <c r="P1201" s="40">
        <v>3660.65</v>
      </c>
      <c r="Q1201" s="40">
        <f t="shared" si="102"/>
        <v>746.46</v>
      </c>
      <c r="R1201" s="40">
        <f t="shared" si="102"/>
        <v>3660.65</v>
      </c>
      <c r="S1201" s="40">
        <f>ROUND('Смета ЕР (общ) '!$N1201*'Смета ЕР (общ) '!$Q1201,2)</f>
        <v>0</v>
      </c>
      <c r="T1201" s="40">
        <f>ROUND('Смета ЕР (общ) '!$N1201*'Смета ЕР (общ) '!$R1201,2)</f>
        <v>0</v>
      </c>
    </row>
    <row r="1202" spans="1:20" ht="34.5" customHeight="1" x14ac:dyDescent="0.3">
      <c r="A1202" s="36" t="s">
        <v>1169</v>
      </c>
      <c r="B1202" s="36">
        <v>2</v>
      </c>
      <c r="C1202" s="36"/>
      <c r="D1202" s="36">
        <v>90</v>
      </c>
      <c r="E1202" s="36" t="str">
        <f>CONCATENATE('Смета ЕР (общ) '!$A1202,".",'Смета ЕР (общ) '!$B1202,".",'Смета ЕР (общ) '!$D1202)</f>
        <v>Р9.2.90</v>
      </c>
      <c r="F1202" s="36">
        <f t="shared" si="103"/>
        <v>1</v>
      </c>
      <c r="G1202" s="36"/>
      <c r="H1202" s="36"/>
      <c r="I1202" s="36"/>
      <c r="J1202" s="36"/>
      <c r="K1202" s="36"/>
      <c r="L1202" s="37" t="s">
        <v>1284</v>
      </c>
      <c r="M1202" s="38" t="s">
        <v>118</v>
      </c>
      <c r="N1202" s="39"/>
      <c r="O1202" s="40">
        <v>746.46</v>
      </c>
      <c r="P1202" s="40">
        <v>2701.62</v>
      </c>
      <c r="Q1202" s="40">
        <f t="shared" si="102"/>
        <v>746.46</v>
      </c>
      <c r="R1202" s="40">
        <f t="shared" si="102"/>
        <v>2701.62</v>
      </c>
      <c r="S1202" s="40">
        <f>ROUND('Смета ЕР (общ) '!$N1202*'Смета ЕР (общ) '!$Q1202,2)</f>
        <v>0</v>
      </c>
      <c r="T1202" s="40">
        <f>ROUND('Смета ЕР (общ) '!$N1202*'Смета ЕР (общ) '!$R1202,2)</f>
        <v>0</v>
      </c>
    </row>
    <row r="1203" spans="1:20" ht="34.5" customHeight="1" x14ac:dyDescent="0.3">
      <c r="A1203" s="36" t="s">
        <v>1169</v>
      </c>
      <c r="B1203" s="36">
        <v>2</v>
      </c>
      <c r="C1203" s="36"/>
      <c r="D1203" s="36">
        <v>91</v>
      </c>
      <c r="E1203" s="36" t="str">
        <f>CONCATENATE('Смета ЕР (общ) '!$A1203,".",'Смета ЕР (общ) '!$B1203,".",'Смета ЕР (общ) '!$D1203)</f>
        <v>Р9.2.91</v>
      </c>
      <c r="F1203" s="36">
        <f t="shared" si="103"/>
        <v>1</v>
      </c>
      <c r="G1203" s="36"/>
      <c r="H1203" s="36"/>
      <c r="I1203" s="36"/>
      <c r="J1203" s="36"/>
      <c r="K1203" s="36"/>
      <c r="L1203" s="37" t="s">
        <v>1285</v>
      </c>
      <c r="M1203" s="38" t="s">
        <v>118</v>
      </c>
      <c r="N1203" s="39"/>
      <c r="O1203" s="40">
        <v>746.46</v>
      </c>
      <c r="P1203" s="40">
        <v>2670.16</v>
      </c>
      <c r="Q1203" s="40">
        <f t="shared" si="102"/>
        <v>746.46</v>
      </c>
      <c r="R1203" s="40">
        <f t="shared" si="102"/>
        <v>2670.16</v>
      </c>
      <c r="S1203" s="40">
        <f>ROUND('Смета ЕР (общ) '!$N1203*'Смета ЕР (общ) '!$Q1203,2)</f>
        <v>0</v>
      </c>
      <c r="T1203" s="40">
        <f>ROUND('Смета ЕР (общ) '!$N1203*'Смета ЕР (общ) '!$R1203,2)</f>
        <v>0</v>
      </c>
    </row>
    <row r="1204" spans="1:20" ht="34.5" customHeight="1" x14ac:dyDescent="0.3">
      <c r="A1204" s="36" t="s">
        <v>1169</v>
      </c>
      <c r="B1204" s="36">
        <v>2</v>
      </c>
      <c r="C1204" s="36"/>
      <c r="D1204" s="36">
        <v>92</v>
      </c>
      <c r="E1204" s="36" t="str">
        <f>CONCATENATE('Смета ЕР (общ) '!$A1204,".",'Смета ЕР (общ) '!$B1204,".",'Смета ЕР (общ) '!$D1204)</f>
        <v>Р9.2.92</v>
      </c>
      <c r="F1204" s="36">
        <f t="shared" si="103"/>
        <v>1</v>
      </c>
      <c r="G1204" s="36"/>
      <c r="H1204" s="36"/>
      <c r="I1204" s="36"/>
      <c r="J1204" s="36"/>
      <c r="K1204" s="36"/>
      <c r="L1204" s="37" t="s">
        <v>1286</v>
      </c>
      <c r="M1204" s="38" t="s">
        <v>118</v>
      </c>
      <c r="N1204" s="39"/>
      <c r="O1204" s="40">
        <v>746.46</v>
      </c>
      <c r="P1204" s="40">
        <v>3329.29</v>
      </c>
      <c r="Q1204" s="40">
        <f t="shared" si="102"/>
        <v>746.46</v>
      </c>
      <c r="R1204" s="40">
        <f t="shared" si="102"/>
        <v>3329.29</v>
      </c>
      <c r="S1204" s="40">
        <f>ROUND('Смета ЕР (общ) '!$N1204*'Смета ЕР (общ) '!$Q1204,2)</f>
        <v>0</v>
      </c>
      <c r="T1204" s="40">
        <f>ROUND('Смета ЕР (общ) '!$N1204*'Смета ЕР (общ) '!$R1204,2)</f>
        <v>0</v>
      </c>
    </row>
    <row r="1205" spans="1:20" ht="34.5" customHeight="1" x14ac:dyDescent="0.3">
      <c r="A1205" s="36" t="s">
        <v>1169</v>
      </c>
      <c r="B1205" s="36">
        <v>2</v>
      </c>
      <c r="C1205" s="36"/>
      <c r="D1205" s="36">
        <v>93</v>
      </c>
      <c r="E1205" s="36" t="str">
        <f>CONCATENATE('Смета ЕР (общ) '!$A1205,".",'Смета ЕР (общ) '!$B1205,".",'Смета ЕР (общ) '!$D1205)</f>
        <v>Р9.2.93</v>
      </c>
      <c r="F1205" s="36">
        <f t="shared" si="103"/>
        <v>1</v>
      </c>
      <c r="G1205" s="36"/>
      <c r="H1205" s="36"/>
      <c r="I1205" s="36"/>
      <c r="J1205" s="36"/>
      <c r="K1205" s="36"/>
      <c r="L1205" s="37" t="s">
        <v>1287</v>
      </c>
      <c r="M1205" s="38" t="s">
        <v>118</v>
      </c>
      <c r="N1205" s="39"/>
      <c r="O1205" s="40">
        <v>791.7</v>
      </c>
      <c r="P1205" s="40">
        <v>3153.38</v>
      </c>
      <c r="Q1205" s="40">
        <f t="shared" si="102"/>
        <v>791.7</v>
      </c>
      <c r="R1205" s="40">
        <f t="shared" si="102"/>
        <v>3153.38</v>
      </c>
      <c r="S1205" s="40">
        <f>ROUND('Смета ЕР (общ) '!$N1205*'Смета ЕР (общ) '!$Q1205,2)</f>
        <v>0</v>
      </c>
      <c r="T1205" s="40">
        <f>ROUND('Смета ЕР (общ) '!$N1205*'Смета ЕР (общ) '!$R1205,2)</f>
        <v>0</v>
      </c>
    </row>
    <row r="1206" spans="1:20" ht="34.5" customHeight="1" x14ac:dyDescent="0.3">
      <c r="A1206" s="36" t="s">
        <v>1169</v>
      </c>
      <c r="B1206" s="36">
        <v>2</v>
      </c>
      <c r="C1206" s="36"/>
      <c r="D1206" s="36">
        <v>94</v>
      </c>
      <c r="E1206" s="36" t="str">
        <f>CONCATENATE('Смета ЕР (общ) '!$A1206,".",'Смета ЕР (общ) '!$B1206,".",'Смета ЕР (общ) '!$D1206)</f>
        <v>Р9.2.94</v>
      </c>
      <c r="F1206" s="36">
        <f t="shared" si="103"/>
        <v>1</v>
      </c>
      <c r="G1206" s="36"/>
      <c r="H1206" s="36"/>
      <c r="I1206" s="36"/>
      <c r="J1206" s="36"/>
      <c r="K1206" s="36"/>
      <c r="L1206" s="37" t="s">
        <v>1288</v>
      </c>
      <c r="M1206" s="38" t="s">
        <v>118</v>
      </c>
      <c r="N1206" s="39"/>
      <c r="O1206" s="40">
        <v>945.21</v>
      </c>
      <c r="P1206" s="40">
        <v>3396.93</v>
      </c>
      <c r="Q1206" s="40">
        <f t="shared" si="102"/>
        <v>945.21</v>
      </c>
      <c r="R1206" s="40">
        <f t="shared" si="102"/>
        <v>3396.93</v>
      </c>
      <c r="S1206" s="40">
        <f>ROUND('Смета ЕР (общ) '!$N1206*'Смета ЕР (общ) '!$Q1206,2)</f>
        <v>0</v>
      </c>
      <c r="T1206" s="40">
        <f>ROUND('Смета ЕР (общ) '!$N1206*'Смета ЕР (общ) '!$R1206,2)</f>
        <v>0</v>
      </c>
    </row>
    <row r="1207" spans="1:20" ht="34.5" customHeight="1" x14ac:dyDescent="0.3">
      <c r="A1207" s="36" t="s">
        <v>1169</v>
      </c>
      <c r="B1207" s="36">
        <v>2</v>
      </c>
      <c r="C1207" s="36"/>
      <c r="D1207" s="36">
        <v>95</v>
      </c>
      <c r="E1207" s="36" t="str">
        <f>CONCATENATE('Смета ЕР (общ) '!$A1207,".",'Смета ЕР (общ) '!$B1207,".",'Смета ЕР (общ) '!$D1207)</f>
        <v>Р9.2.95</v>
      </c>
      <c r="F1207" s="36">
        <f t="shared" si="103"/>
        <v>1</v>
      </c>
      <c r="G1207" s="36"/>
      <c r="H1207" s="36"/>
      <c r="I1207" s="36"/>
      <c r="J1207" s="36"/>
      <c r="K1207" s="36"/>
      <c r="L1207" s="37" t="s">
        <v>1289</v>
      </c>
      <c r="M1207" s="38" t="s">
        <v>118</v>
      </c>
      <c r="N1207" s="39"/>
      <c r="O1207" s="40">
        <v>997.71</v>
      </c>
      <c r="P1207" s="40">
        <v>3730.56</v>
      </c>
      <c r="Q1207" s="40">
        <f t="shared" si="102"/>
        <v>997.71</v>
      </c>
      <c r="R1207" s="40">
        <f t="shared" si="102"/>
        <v>3730.56</v>
      </c>
      <c r="S1207" s="40">
        <f>ROUND('Смета ЕР (общ) '!$N1207*'Смета ЕР (общ) '!$Q1207,2)</f>
        <v>0</v>
      </c>
      <c r="T1207" s="40">
        <f>ROUND('Смета ЕР (общ) '!$N1207*'Смета ЕР (общ) '!$R1207,2)</f>
        <v>0</v>
      </c>
    </row>
    <row r="1208" spans="1:20" ht="34.5" customHeight="1" x14ac:dyDescent="0.3">
      <c r="A1208" s="36" t="s">
        <v>1169</v>
      </c>
      <c r="B1208" s="36">
        <v>2</v>
      </c>
      <c r="C1208" s="36"/>
      <c r="D1208" s="36">
        <v>96</v>
      </c>
      <c r="E1208" s="36" t="str">
        <f>CONCATENATE('Смета ЕР (общ) '!$A1208,".",'Смета ЕР (общ) '!$B1208,".",'Смета ЕР (общ) '!$D1208)</f>
        <v>Р9.2.96</v>
      </c>
      <c r="F1208" s="36">
        <f t="shared" si="103"/>
        <v>1</v>
      </c>
      <c r="G1208" s="36"/>
      <c r="H1208" s="36"/>
      <c r="I1208" s="36"/>
      <c r="J1208" s="36"/>
      <c r="K1208" s="36"/>
      <c r="L1208" s="37" t="s">
        <v>1290</v>
      </c>
      <c r="M1208" s="38" t="s">
        <v>118</v>
      </c>
      <c r="N1208" s="39"/>
      <c r="O1208" s="40">
        <v>1260.27</v>
      </c>
      <c r="P1208" s="40">
        <v>4847.47</v>
      </c>
      <c r="Q1208" s="40">
        <f t="shared" si="102"/>
        <v>1260.27</v>
      </c>
      <c r="R1208" s="40">
        <f t="shared" si="102"/>
        <v>4847.47</v>
      </c>
      <c r="S1208" s="40">
        <f>ROUND('Смета ЕР (общ) '!$N1208*'Смета ЕР (общ) '!$Q1208,2)</f>
        <v>0</v>
      </c>
      <c r="T1208" s="40">
        <f>ROUND('Смета ЕР (общ) '!$N1208*'Смета ЕР (общ) '!$R1208,2)</f>
        <v>0</v>
      </c>
    </row>
    <row r="1209" spans="1:20" ht="34.5" customHeight="1" x14ac:dyDescent="0.3">
      <c r="A1209" s="36" t="s">
        <v>1169</v>
      </c>
      <c r="B1209" s="36">
        <v>2</v>
      </c>
      <c r="C1209" s="36"/>
      <c r="D1209" s="36">
        <v>265</v>
      </c>
      <c r="E1209" s="36" t="str">
        <f>CONCATENATE('Смета ЕР (общ) '!$A1209,".",'Смета ЕР (общ) '!$B1209,".",'Смета ЕР (общ) '!$D1209)</f>
        <v>Р9.2.265</v>
      </c>
      <c r="F1209" s="36">
        <f t="shared" si="103"/>
        <v>1</v>
      </c>
      <c r="G1209" s="36"/>
      <c r="H1209" s="36"/>
      <c r="I1209" s="36"/>
      <c r="J1209" s="36"/>
      <c r="K1209" s="36"/>
      <c r="L1209" s="37" t="s">
        <v>1291</v>
      </c>
      <c r="M1209" s="38" t="s">
        <v>118</v>
      </c>
      <c r="N1209" s="39"/>
      <c r="O1209" s="40">
        <v>1540.16</v>
      </c>
      <c r="P1209" s="40">
        <v>4973.24</v>
      </c>
      <c r="Q1209" s="40">
        <f t="shared" si="102"/>
        <v>1540.16</v>
      </c>
      <c r="R1209" s="40">
        <f t="shared" si="102"/>
        <v>4973.24</v>
      </c>
      <c r="S1209" s="40">
        <f>ROUND('Смета ЕР (общ) '!$N1209*'Смета ЕР (общ) '!$Q1209,2)</f>
        <v>0</v>
      </c>
      <c r="T1209" s="40">
        <f>ROUND('Смета ЕР (общ) '!$N1209*'Смета ЕР (общ) '!$R1209,2)</f>
        <v>0</v>
      </c>
    </row>
    <row r="1210" spans="1:20" ht="34.5" customHeight="1" x14ac:dyDescent="0.3">
      <c r="A1210" s="36" t="s">
        <v>1169</v>
      </c>
      <c r="B1210" s="36">
        <v>2</v>
      </c>
      <c r="C1210" s="36"/>
      <c r="D1210" s="36">
        <v>97</v>
      </c>
      <c r="E1210" s="36" t="str">
        <f>CONCATENATE('Смета ЕР (общ) '!$A1210,".",'Смета ЕР (общ) '!$B1210,".",'Смета ЕР (общ) '!$D1210)</f>
        <v>Р9.2.97</v>
      </c>
      <c r="F1210" s="36">
        <f t="shared" si="103"/>
        <v>1</v>
      </c>
      <c r="G1210" s="36"/>
      <c r="H1210" s="36"/>
      <c r="I1210" s="36"/>
      <c r="J1210" s="36"/>
      <c r="K1210" s="36"/>
      <c r="L1210" s="37" t="s">
        <v>1292</v>
      </c>
      <c r="M1210" s="38" t="s">
        <v>118</v>
      </c>
      <c r="N1210" s="39"/>
      <c r="O1210" s="40">
        <v>746.46</v>
      </c>
      <c r="P1210" s="40">
        <v>1556.18</v>
      </c>
      <c r="Q1210" s="40">
        <f t="shared" si="102"/>
        <v>746.46</v>
      </c>
      <c r="R1210" s="40">
        <f t="shared" si="102"/>
        <v>1556.18</v>
      </c>
      <c r="S1210" s="40">
        <f>ROUND('Смета ЕР (общ) '!$N1210*'Смета ЕР (общ) '!$Q1210,2)</f>
        <v>0</v>
      </c>
      <c r="T1210" s="40">
        <f>ROUND('Смета ЕР (общ) '!$N1210*'Смета ЕР (общ) '!$R1210,2)</f>
        <v>0</v>
      </c>
    </row>
    <row r="1211" spans="1:20" ht="34.5" customHeight="1" x14ac:dyDescent="0.3">
      <c r="A1211" s="36" t="s">
        <v>1169</v>
      </c>
      <c r="B1211" s="36">
        <v>2</v>
      </c>
      <c r="C1211" s="36"/>
      <c r="D1211" s="36">
        <v>98</v>
      </c>
      <c r="E1211" s="36" t="str">
        <f>CONCATENATE('Смета ЕР (общ) '!$A1211,".",'Смета ЕР (общ) '!$B1211,".",'Смета ЕР (общ) '!$D1211)</f>
        <v>Р9.2.98</v>
      </c>
      <c r="F1211" s="36">
        <f t="shared" si="103"/>
        <v>1</v>
      </c>
      <c r="G1211" s="36"/>
      <c r="H1211" s="36"/>
      <c r="I1211" s="36"/>
      <c r="J1211" s="36"/>
      <c r="K1211" s="36"/>
      <c r="L1211" s="37" t="s">
        <v>1293</v>
      </c>
      <c r="M1211" s="38" t="s">
        <v>118</v>
      </c>
      <c r="N1211" s="39"/>
      <c r="O1211" s="40">
        <v>746.46</v>
      </c>
      <c r="P1211" s="40">
        <v>1422.54</v>
      </c>
      <c r="Q1211" s="40">
        <f t="shared" si="102"/>
        <v>746.46</v>
      </c>
      <c r="R1211" s="40">
        <f t="shared" si="102"/>
        <v>1422.54</v>
      </c>
      <c r="S1211" s="40">
        <f>ROUND('Смета ЕР (общ) '!$N1211*'Смета ЕР (общ) '!$Q1211,2)</f>
        <v>0</v>
      </c>
      <c r="T1211" s="40">
        <f>ROUND('Смета ЕР (общ) '!$N1211*'Смета ЕР (общ) '!$R1211,2)</f>
        <v>0</v>
      </c>
    </row>
    <row r="1212" spans="1:20" ht="34.5" customHeight="1" x14ac:dyDescent="0.3">
      <c r="A1212" s="36" t="s">
        <v>1169</v>
      </c>
      <c r="B1212" s="36">
        <v>2</v>
      </c>
      <c r="C1212" s="36"/>
      <c r="D1212" s="36">
        <v>99</v>
      </c>
      <c r="E1212" s="36" t="str">
        <f>CONCATENATE('Смета ЕР (общ) '!$A1212,".",'Смета ЕР (общ) '!$B1212,".",'Смета ЕР (общ) '!$D1212)</f>
        <v>Р9.2.99</v>
      </c>
      <c r="F1212" s="36">
        <f t="shared" si="103"/>
        <v>1</v>
      </c>
      <c r="G1212" s="36"/>
      <c r="H1212" s="36"/>
      <c r="I1212" s="36"/>
      <c r="J1212" s="36"/>
      <c r="K1212" s="36"/>
      <c r="L1212" s="37" t="s">
        <v>1294</v>
      </c>
      <c r="M1212" s="38" t="s">
        <v>118</v>
      </c>
      <c r="N1212" s="39"/>
      <c r="O1212" s="40">
        <v>746.46</v>
      </c>
      <c r="P1212" s="40">
        <v>1435.51</v>
      </c>
      <c r="Q1212" s="40">
        <f t="shared" si="102"/>
        <v>746.46</v>
      </c>
      <c r="R1212" s="40">
        <f t="shared" si="102"/>
        <v>1435.51</v>
      </c>
      <c r="S1212" s="40">
        <f>ROUND('Смета ЕР (общ) '!$N1212*'Смета ЕР (общ) '!$Q1212,2)</f>
        <v>0</v>
      </c>
      <c r="T1212" s="40">
        <f>ROUND('Смета ЕР (общ) '!$N1212*'Смета ЕР (общ) '!$R1212,2)</f>
        <v>0</v>
      </c>
    </row>
    <row r="1213" spans="1:20" ht="34.5" customHeight="1" x14ac:dyDescent="0.3">
      <c r="A1213" s="36" t="s">
        <v>1169</v>
      </c>
      <c r="B1213" s="36">
        <v>2</v>
      </c>
      <c r="C1213" s="36"/>
      <c r="D1213" s="36">
        <v>100</v>
      </c>
      <c r="E1213" s="36" t="str">
        <f>CONCATENATE('Смета ЕР (общ) '!$A1213,".",'Смета ЕР (общ) '!$B1213,".",'Смета ЕР (общ) '!$D1213)</f>
        <v>Р9.2.100</v>
      </c>
      <c r="F1213" s="36">
        <f t="shared" si="103"/>
        <v>1</v>
      </c>
      <c r="G1213" s="36"/>
      <c r="H1213" s="36"/>
      <c r="I1213" s="36"/>
      <c r="J1213" s="36"/>
      <c r="K1213" s="36"/>
      <c r="L1213" s="37" t="s">
        <v>1295</v>
      </c>
      <c r="M1213" s="38" t="s">
        <v>118</v>
      </c>
      <c r="N1213" s="39"/>
      <c r="O1213" s="40">
        <v>746.46</v>
      </c>
      <c r="P1213" s="40">
        <v>1508.49</v>
      </c>
      <c r="Q1213" s="40">
        <f t="shared" si="102"/>
        <v>746.46</v>
      </c>
      <c r="R1213" s="40">
        <f t="shared" si="102"/>
        <v>1508.49</v>
      </c>
      <c r="S1213" s="40">
        <f>ROUND('Смета ЕР (общ) '!$N1213*'Смета ЕР (общ) '!$Q1213,2)</f>
        <v>0</v>
      </c>
      <c r="T1213" s="40">
        <f>ROUND('Смета ЕР (общ) '!$N1213*'Смета ЕР (общ) '!$R1213,2)</f>
        <v>0</v>
      </c>
    </row>
    <row r="1214" spans="1:20" ht="34.5" customHeight="1" x14ac:dyDescent="0.3">
      <c r="A1214" s="36" t="s">
        <v>1169</v>
      </c>
      <c r="B1214" s="36">
        <v>2</v>
      </c>
      <c r="C1214" s="36"/>
      <c r="D1214" s="36">
        <v>101</v>
      </c>
      <c r="E1214" s="36" t="str">
        <f>CONCATENATE('Смета ЕР (общ) '!$A1214,".",'Смета ЕР (общ) '!$B1214,".",'Смета ЕР (общ) '!$D1214)</f>
        <v>Р9.2.101</v>
      </c>
      <c r="F1214" s="36">
        <f t="shared" si="103"/>
        <v>1</v>
      </c>
      <c r="G1214" s="36"/>
      <c r="H1214" s="36"/>
      <c r="I1214" s="36"/>
      <c r="J1214" s="36"/>
      <c r="K1214" s="36"/>
      <c r="L1214" s="37" t="s">
        <v>1296</v>
      </c>
      <c r="M1214" s="38" t="s">
        <v>118</v>
      </c>
      <c r="N1214" s="39"/>
      <c r="O1214" s="40">
        <v>791.7</v>
      </c>
      <c r="P1214" s="40">
        <v>1458.46</v>
      </c>
      <c r="Q1214" s="40">
        <f t="shared" si="102"/>
        <v>791.7</v>
      </c>
      <c r="R1214" s="40">
        <f t="shared" si="102"/>
        <v>1458.46</v>
      </c>
      <c r="S1214" s="40">
        <f>ROUND('Смета ЕР (общ) '!$N1214*'Смета ЕР (общ) '!$Q1214,2)</f>
        <v>0</v>
      </c>
      <c r="T1214" s="40">
        <f>ROUND('Смета ЕР (общ) '!$N1214*'Смета ЕР (общ) '!$R1214,2)</f>
        <v>0</v>
      </c>
    </row>
    <row r="1215" spans="1:20" ht="34.5" customHeight="1" x14ac:dyDescent="0.3">
      <c r="A1215" s="36" t="s">
        <v>1169</v>
      </c>
      <c r="B1215" s="36">
        <v>2</v>
      </c>
      <c r="C1215" s="36"/>
      <c r="D1215" s="36">
        <v>102</v>
      </c>
      <c r="E1215" s="36" t="str">
        <f>CONCATENATE('Смета ЕР (общ) '!$A1215,".",'Смета ЕР (общ) '!$B1215,".",'Смета ЕР (общ) '!$D1215)</f>
        <v>Р9.2.102</v>
      </c>
      <c r="F1215" s="36">
        <f t="shared" si="103"/>
        <v>1</v>
      </c>
      <c r="G1215" s="36"/>
      <c r="H1215" s="36"/>
      <c r="I1215" s="36"/>
      <c r="J1215" s="36"/>
      <c r="K1215" s="36"/>
      <c r="L1215" s="37" t="s">
        <v>1297</v>
      </c>
      <c r="M1215" s="38" t="s">
        <v>118</v>
      </c>
      <c r="N1215" s="39"/>
      <c r="O1215" s="40">
        <v>945.21</v>
      </c>
      <c r="P1215" s="40">
        <v>1726.29</v>
      </c>
      <c r="Q1215" s="40">
        <f t="shared" si="102"/>
        <v>945.21</v>
      </c>
      <c r="R1215" s="40">
        <f t="shared" si="102"/>
        <v>1726.29</v>
      </c>
      <c r="S1215" s="40">
        <f>ROUND('Смета ЕР (общ) '!$N1215*'Смета ЕР (общ) '!$Q1215,2)</f>
        <v>0</v>
      </c>
      <c r="T1215" s="40">
        <f>ROUND('Смета ЕР (общ) '!$N1215*'Смета ЕР (общ) '!$R1215,2)</f>
        <v>0</v>
      </c>
    </row>
    <row r="1216" spans="1:20" ht="34.5" customHeight="1" x14ac:dyDescent="0.3">
      <c r="A1216" s="36" t="s">
        <v>1169</v>
      </c>
      <c r="B1216" s="36">
        <v>2</v>
      </c>
      <c r="C1216" s="36"/>
      <c r="D1216" s="36">
        <v>103</v>
      </c>
      <c r="E1216" s="36" t="str">
        <f>CONCATENATE('Смета ЕР (общ) '!$A1216,".",'Смета ЕР (общ) '!$B1216,".",'Смета ЕР (общ) '!$D1216)</f>
        <v>Р9.2.103</v>
      </c>
      <c r="F1216" s="36">
        <f t="shared" si="103"/>
        <v>1</v>
      </c>
      <c r="G1216" s="36"/>
      <c r="H1216" s="36"/>
      <c r="I1216" s="36"/>
      <c r="J1216" s="36"/>
      <c r="K1216" s="36"/>
      <c r="L1216" s="37" t="s">
        <v>1298</v>
      </c>
      <c r="M1216" s="38" t="s">
        <v>118</v>
      </c>
      <c r="N1216" s="39"/>
      <c r="O1216" s="40">
        <v>997.71</v>
      </c>
      <c r="P1216" s="40">
        <v>1789.77</v>
      </c>
      <c r="Q1216" s="40">
        <f t="shared" si="102"/>
        <v>997.71</v>
      </c>
      <c r="R1216" s="40">
        <f t="shared" si="102"/>
        <v>1789.77</v>
      </c>
      <c r="S1216" s="40">
        <f>ROUND('Смета ЕР (общ) '!$N1216*'Смета ЕР (общ) '!$Q1216,2)</f>
        <v>0</v>
      </c>
      <c r="T1216" s="40">
        <f>ROUND('Смета ЕР (общ) '!$N1216*'Смета ЕР (общ) '!$R1216,2)</f>
        <v>0</v>
      </c>
    </row>
    <row r="1217" spans="1:20" ht="34.5" customHeight="1" x14ac:dyDescent="0.3">
      <c r="A1217" s="36" t="s">
        <v>1169</v>
      </c>
      <c r="B1217" s="36">
        <v>2</v>
      </c>
      <c r="C1217" s="36"/>
      <c r="D1217" s="36">
        <v>104</v>
      </c>
      <c r="E1217" s="36" t="str">
        <f>CONCATENATE('Смета ЕР (общ) '!$A1217,".",'Смета ЕР (общ) '!$B1217,".",'Смета ЕР (общ) '!$D1217)</f>
        <v>Р9.2.104</v>
      </c>
      <c r="F1217" s="36">
        <f t="shared" si="103"/>
        <v>1</v>
      </c>
      <c r="G1217" s="36"/>
      <c r="H1217" s="36"/>
      <c r="I1217" s="36"/>
      <c r="J1217" s="36"/>
      <c r="K1217" s="36"/>
      <c r="L1217" s="37" t="s">
        <v>1299</v>
      </c>
      <c r="M1217" s="38" t="s">
        <v>118</v>
      </c>
      <c r="N1217" s="39"/>
      <c r="O1217" s="40">
        <v>1260.27</v>
      </c>
      <c r="P1217" s="40">
        <v>2569.52</v>
      </c>
      <c r="Q1217" s="40">
        <f t="shared" si="102"/>
        <v>1260.27</v>
      </c>
      <c r="R1217" s="40">
        <f t="shared" si="102"/>
        <v>2569.52</v>
      </c>
      <c r="S1217" s="40">
        <f>ROUND('Смета ЕР (общ) '!$N1217*'Смета ЕР (общ) '!$Q1217,2)</f>
        <v>0</v>
      </c>
      <c r="T1217" s="40">
        <f>ROUND('Смета ЕР (общ) '!$N1217*'Смета ЕР (общ) '!$R1217,2)</f>
        <v>0</v>
      </c>
    </row>
    <row r="1218" spans="1:20" ht="34.5" customHeight="1" x14ac:dyDescent="0.3">
      <c r="A1218" s="36" t="s">
        <v>1169</v>
      </c>
      <c r="B1218" s="36">
        <v>2</v>
      </c>
      <c r="C1218" s="36"/>
      <c r="D1218" s="36">
        <v>105</v>
      </c>
      <c r="E1218" s="36" t="str">
        <f>CONCATENATE('Смета ЕР (общ) '!$A1218,".",'Смета ЕР (общ) '!$B1218,".",'Смета ЕР (общ) '!$D1218)</f>
        <v>Р9.2.105</v>
      </c>
      <c r="F1218" s="36">
        <f t="shared" si="103"/>
        <v>1</v>
      </c>
      <c r="G1218" s="36"/>
      <c r="H1218" s="36"/>
      <c r="I1218" s="36"/>
      <c r="J1218" s="36"/>
      <c r="K1218" s="36"/>
      <c r="L1218" s="37" t="s">
        <v>1300</v>
      </c>
      <c r="M1218" s="38" t="s">
        <v>118</v>
      </c>
      <c r="N1218" s="39"/>
      <c r="O1218" s="40">
        <v>984.84</v>
      </c>
      <c r="P1218" s="40">
        <v>7935.55</v>
      </c>
      <c r="Q1218" s="40">
        <f t="shared" si="102"/>
        <v>984.84</v>
      </c>
      <c r="R1218" s="40">
        <f t="shared" si="102"/>
        <v>7935.55</v>
      </c>
      <c r="S1218" s="40">
        <f>ROUND('Смета ЕР (общ) '!$N1218*'Смета ЕР (общ) '!$Q1218,2)</f>
        <v>0</v>
      </c>
      <c r="T1218" s="40">
        <f>ROUND('Смета ЕР (общ) '!$N1218*'Смета ЕР (общ) '!$R1218,2)</f>
        <v>0</v>
      </c>
    </row>
    <row r="1219" spans="1:20" ht="34.5" customHeight="1" x14ac:dyDescent="0.3">
      <c r="A1219" s="36" t="s">
        <v>1169</v>
      </c>
      <c r="B1219" s="36">
        <v>2</v>
      </c>
      <c r="C1219" s="36"/>
      <c r="D1219" s="36">
        <v>106</v>
      </c>
      <c r="E1219" s="36" t="str">
        <f>CONCATENATE('Смета ЕР (общ) '!$A1219,".",'Смета ЕР (общ) '!$B1219,".",'Смета ЕР (общ) '!$D1219)</f>
        <v>Р9.2.106</v>
      </c>
      <c r="F1219" s="36">
        <f t="shared" si="103"/>
        <v>1</v>
      </c>
      <c r="G1219" s="36"/>
      <c r="H1219" s="36"/>
      <c r="I1219" s="36"/>
      <c r="J1219" s="36"/>
      <c r="K1219" s="36"/>
      <c r="L1219" s="37" t="s">
        <v>1301</v>
      </c>
      <c r="M1219" s="38" t="s">
        <v>118</v>
      </c>
      <c r="N1219" s="39"/>
      <c r="O1219" s="40">
        <v>1245.3800000000001</v>
      </c>
      <c r="P1219" s="40">
        <v>8136.63</v>
      </c>
      <c r="Q1219" s="40">
        <f t="shared" si="102"/>
        <v>1245.3800000000001</v>
      </c>
      <c r="R1219" s="40">
        <f t="shared" si="102"/>
        <v>8136.63</v>
      </c>
      <c r="S1219" s="40">
        <f>ROUND('Смета ЕР (общ) '!$N1219*'Смета ЕР (общ) '!$Q1219,2)</f>
        <v>0</v>
      </c>
      <c r="T1219" s="40">
        <f>ROUND('Смета ЕР (общ) '!$N1219*'Смета ЕР (общ) '!$R1219,2)</f>
        <v>0</v>
      </c>
    </row>
    <row r="1220" spans="1:20" ht="34.5" customHeight="1" x14ac:dyDescent="0.3">
      <c r="A1220" s="36" t="s">
        <v>1169</v>
      </c>
      <c r="B1220" s="36">
        <v>2</v>
      </c>
      <c r="C1220" s="36"/>
      <c r="D1220" s="36">
        <v>107</v>
      </c>
      <c r="E1220" s="36" t="str">
        <f>CONCATENATE('Смета ЕР (общ) '!$A1220,".",'Смета ЕР (общ) '!$B1220,".",'Смета ЕР (общ) '!$D1220)</f>
        <v>Р9.2.107</v>
      </c>
      <c r="F1220" s="36">
        <f t="shared" si="103"/>
        <v>1</v>
      </c>
      <c r="G1220" s="36"/>
      <c r="H1220" s="36"/>
      <c r="I1220" s="36"/>
      <c r="J1220" s="36"/>
      <c r="K1220" s="36"/>
      <c r="L1220" s="37" t="s">
        <v>1302</v>
      </c>
      <c r="M1220" s="38" t="s">
        <v>118</v>
      </c>
      <c r="N1220" s="39"/>
      <c r="O1220" s="40">
        <v>984.84</v>
      </c>
      <c r="P1220" s="40">
        <v>5102.6400000000003</v>
      </c>
      <c r="Q1220" s="40">
        <f t="shared" si="102"/>
        <v>984.84</v>
      </c>
      <c r="R1220" s="40">
        <f t="shared" si="102"/>
        <v>5102.6400000000003</v>
      </c>
      <c r="S1220" s="40">
        <f>ROUND('Смета ЕР (общ) '!$N1220*'Смета ЕР (общ) '!$Q1220,2)</f>
        <v>0</v>
      </c>
      <c r="T1220" s="40">
        <f>ROUND('Смета ЕР (общ) '!$N1220*'Смета ЕР (общ) '!$R1220,2)</f>
        <v>0</v>
      </c>
    </row>
    <row r="1221" spans="1:20" ht="34.5" customHeight="1" x14ac:dyDescent="0.3">
      <c r="A1221" s="36" t="s">
        <v>1169</v>
      </c>
      <c r="B1221" s="36">
        <v>2</v>
      </c>
      <c r="C1221" s="36"/>
      <c r="D1221" s="36">
        <v>108</v>
      </c>
      <c r="E1221" s="36" t="str">
        <f>CONCATENATE('Смета ЕР (общ) '!$A1221,".",'Смета ЕР (общ) '!$B1221,".",'Смета ЕР (общ) '!$D1221)</f>
        <v>Р9.2.108</v>
      </c>
      <c r="F1221" s="36">
        <f t="shared" si="103"/>
        <v>1</v>
      </c>
      <c r="G1221" s="36"/>
      <c r="H1221" s="36"/>
      <c r="I1221" s="36"/>
      <c r="J1221" s="36"/>
      <c r="K1221" s="36"/>
      <c r="L1221" s="37" t="s">
        <v>1303</v>
      </c>
      <c r="M1221" s="38" t="s">
        <v>118</v>
      </c>
      <c r="N1221" s="39"/>
      <c r="O1221" s="40">
        <v>1087.83</v>
      </c>
      <c r="P1221" s="40">
        <v>4954.75</v>
      </c>
      <c r="Q1221" s="40">
        <f t="shared" si="102"/>
        <v>1087.83</v>
      </c>
      <c r="R1221" s="40">
        <f t="shared" si="102"/>
        <v>4954.75</v>
      </c>
      <c r="S1221" s="40">
        <f>ROUND('Смета ЕР (общ) '!$N1221*'Смета ЕР (общ) '!$Q1221,2)</f>
        <v>0</v>
      </c>
      <c r="T1221" s="40">
        <f>ROUND('Смета ЕР (общ) '!$N1221*'Смета ЕР (общ) '!$R1221,2)</f>
        <v>0</v>
      </c>
    </row>
    <row r="1222" spans="1:20" ht="34.5" customHeight="1" x14ac:dyDescent="0.3">
      <c r="A1222" s="36" t="s">
        <v>1169</v>
      </c>
      <c r="B1222" s="36">
        <v>2</v>
      </c>
      <c r="C1222" s="36"/>
      <c r="D1222" s="36">
        <v>109</v>
      </c>
      <c r="E1222" s="36" t="str">
        <f>CONCATENATE('Смета ЕР (общ) '!$A1222,".",'Смета ЕР (общ) '!$B1222,".",'Смета ЕР (общ) '!$D1222)</f>
        <v>Р9.2.109</v>
      </c>
      <c r="F1222" s="36">
        <f t="shared" si="103"/>
        <v>1</v>
      </c>
      <c r="G1222" s="36"/>
      <c r="H1222" s="36"/>
      <c r="I1222" s="36"/>
      <c r="J1222" s="36"/>
      <c r="K1222" s="36"/>
      <c r="L1222" s="37" t="s">
        <v>1304</v>
      </c>
      <c r="M1222" s="38" t="s">
        <v>118</v>
      </c>
      <c r="N1222" s="39"/>
      <c r="O1222" s="40">
        <v>1245.3800000000001</v>
      </c>
      <c r="P1222" s="40">
        <v>5158.3</v>
      </c>
      <c r="Q1222" s="40">
        <f t="shared" si="102"/>
        <v>1245.3800000000001</v>
      </c>
      <c r="R1222" s="40">
        <f t="shared" si="102"/>
        <v>5158.3</v>
      </c>
      <c r="S1222" s="40">
        <f>ROUND('Смета ЕР (общ) '!$N1222*'Смета ЕР (общ) '!$Q1222,2)</f>
        <v>0</v>
      </c>
      <c r="T1222" s="40">
        <f>ROUND('Смета ЕР (общ) '!$N1222*'Смета ЕР (общ) '!$R1222,2)</f>
        <v>0</v>
      </c>
    </row>
    <row r="1223" spans="1:20" ht="34.5" customHeight="1" x14ac:dyDescent="0.3">
      <c r="A1223" s="36" t="s">
        <v>1169</v>
      </c>
      <c r="B1223" s="36">
        <v>2</v>
      </c>
      <c r="C1223" s="36"/>
      <c r="D1223" s="36">
        <v>110</v>
      </c>
      <c r="E1223" s="36" t="str">
        <f>CONCATENATE('Смета ЕР (общ) '!$A1223,".",'Смета ЕР (общ) '!$B1223,".",'Смета ЕР (общ) '!$D1223)</f>
        <v>Р9.2.110</v>
      </c>
      <c r="F1223" s="36">
        <f t="shared" si="103"/>
        <v>1</v>
      </c>
      <c r="G1223" s="36"/>
      <c r="H1223" s="36"/>
      <c r="I1223" s="36"/>
      <c r="J1223" s="36"/>
      <c r="K1223" s="36"/>
      <c r="L1223" s="37" t="s">
        <v>1305</v>
      </c>
      <c r="M1223" s="38" t="s">
        <v>118</v>
      </c>
      <c r="N1223" s="39"/>
      <c r="O1223" s="40">
        <v>1420.16</v>
      </c>
      <c r="P1223" s="40">
        <v>5683.75</v>
      </c>
      <c r="Q1223" s="40">
        <f t="shared" si="102"/>
        <v>1420.16</v>
      </c>
      <c r="R1223" s="40">
        <f t="shared" si="102"/>
        <v>5683.75</v>
      </c>
      <c r="S1223" s="40">
        <f>ROUND('Смета ЕР (общ) '!$N1223*'Смета ЕР (общ) '!$Q1223,2)</f>
        <v>0</v>
      </c>
      <c r="T1223" s="40">
        <f>ROUND('Смета ЕР (общ) '!$N1223*'Смета ЕР (общ) '!$R1223,2)</f>
        <v>0</v>
      </c>
    </row>
    <row r="1224" spans="1:20" ht="34.5" customHeight="1" x14ac:dyDescent="0.3">
      <c r="A1224" s="36" t="s">
        <v>1169</v>
      </c>
      <c r="B1224" s="36">
        <v>2</v>
      </c>
      <c r="C1224" s="36"/>
      <c r="D1224" s="36">
        <v>111</v>
      </c>
      <c r="E1224" s="36" t="str">
        <f>CONCATENATE('Смета ЕР (общ) '!$A1224,".",'Смета ЕР (общ) '!$B1224,".",'Смета ЕР (общ) '!$D1224)</f>
        <v>Р9.2.111</v>
      </c>
      <c r="F1224" s="36">
        <f t="shared" si="103"/>
        <v>1</v>
      </c>
      <c r="G1224" s="36"/>
      <c r="H1224" s="36"/>
      <c r="I1224" s="36"/>
      <c r="J1224" s="36"/>
      <c r="K1224" s="36"/>
      <c r="L1224" s="37" t="s">
        <v>1306</v>
      </c>
      <c r="M1224" s="38" t="s">
        <v>118</v>
      </c>
      <c r="N1224" s="39"/>
      <c r="O1224" s="40">
        <v>1680.36</v>
      </c>
      <c r="P1224" s="40">
        <v>5958.87</v>
      </c>
      <c r="Q1224" s="40">
        <f t="shared" si="102"/>
        <v>1680.36</v>
      </c>
      <c r="R1224" s="40">
        <f t="shared" si="102"/>
        <v>5958.87</v>
      </c>
      <c r="S1224" s="40">
        <f>ROUND('Смета ЕР (общ) '!$N1224*'Смета ЕР (общ) '!$Q1224,2)</f>
        <v>0</v>
      </c>
      <c r="T1224" s="40">
        <f>ROUND('Смета ЕР (общ) '!$N1224*'Смета ЕР (общ) '!$R1224,2)</f>
        <v>0</v>
      </c>
    </row>
    <row r="1225" spans="1:20" ht="34.5" customHeight="1" x14ac:dyDescent="0.3">
      <c r="A1225" s="36" t="s">
        <v>1169</v>
      </c>
      <c r="B1225" s="36">
        <v>2</v>
      </c>
      <c r="C1225" s="36"/>
      <c r="D1225" s="36">
        <v>112</v>
      </c>
      <c r="E1225" s="36" t="str">
        <f>CONCATENATE('Смета ЕР (общ) '!$A1225,".",'Смета ЕР (общ) '!$B1225,".",'Смета ЕР (общ) '!$D1225)</f>
        <v>Р9.2.112</v>
      </c>
      <c r="F1225" s="36">
        <f t="shared" si="103"/>
        <v>1</v>
      </c>
      <c r="G1225" s="36"/>
      <c r="H1225" s="36"/>
      <c r="I1225" s="36"/>
      <c r="J1225" s="36"/>
      <c r="K1225" s="36"/>
      <c r="L1225" s="37" t="s">
        <v>1307</v>
      </c>
      <c r="M1225" s="38" t="s">
        <v>118</v>
      </c>
      <c r="N1225" s="39"/>
      <c r="O1225" s="40">
        <v>1680.36</v>
      </c>
      <c r="P1225" s="40">
        <v>2956.14</v>
      </c>
      <c r="Q1225" s="40">
        <f t="shared" si="102"/>
        <v>1680.36</v>
      </c>
      <c r="R1225" s="40">
        <f t="shared" si="102"/>
        <v>2956.14</v>
      </c>
      <c r="S1225" s="40">
        <f>ROUND('Смета ЕР (общ) '!$N1225*'Смета ЕР (общ) '!$Q1225,2)</f>
        <v>0</v>
      </c>
      <c r="T1225" s="40">
        <f>ROUND('Смета ЕР (общ) '!$N1225*'Смета ЕР (общ) '!$R1225,2)</f>
        <v>0</v>
      </c>
    </row>
    <row r="1226" spans="1:20" ht="34.5" customHeight="1" x14ac:dyDescent="0.3">
      <c r="A1226" s="36" t="s">
        <v>1169</v>
      </c>
      <c r="B1226" s="36">
        <v>2</v>
      </c>
      <c r="C1226" s="36"/>
      <c r="D1226" s="36">
        <v>238</v>
      </c>
      <c r="E1226" s="36" t="str">
        <f>CONCATENATE('Смета ЕР (общ) '!$A1226,".",'Смета ЕР (общ) '!$B1226,".",'Смета ЕР (общ) '!$D1226)</f>
        <v>Р9.2.238</v>
      </c>
      <c r="F1226" s="36">
        <f t="shared" si="103"/>
        <v>1</v>
      </c>
      <c r="G1226" s="36"/>
      <c r="H1226" s="36"/>
      <c r="I1226" s="36"/>
      <c r="J1226" s="36"/>
      <c r="K1226" s="36"/>
      <c r="L1226" s="37" t="s">
        <v>1308</v>
      </c>
      <c r="M1226" s="38" t="s">
        <v>118</v>
      </c>
      <c r="N1226" s="39"/>
      <c r="O1226" s="40">
        <v>2240.63</v>
      </c>
      <c r="P1226" s="40">
        <v>17612.48</v>
      </c>
      <c r="Q1226" s="40">
        <f t="shared" si="102"/>
        <v>2240.63</v>
      </c>
      <c r="R1226" s="40">
        <f t="shared" si="102"/>
        <v>17612.48</v>
      </c>
      <c r="S1226" s="40">
        <f>ROUND('Смета ЕР (общ) '!$N1226*'Смета ЕР (общ) '!$Q1226,2)</f>
        <v>0</v>
      </c>
      <c r="T1226" s="40">
        <f>ROUND('Смета ЕР (общ) '!$N1226*'Смета ЕР (общ) '!$R1226,2)</f>
        <v>0</v>
      </c>
    </row>
    <row r="1227" spans="1:20" ht="34.5" customHeight="1" x14ac:dyDescent="0.3">
      <c r="A1227" s="36" t="s">
        <v>1169</v>
      </c>
      <c r="B1227" s="36">
        <v>2</v>
      </c>
      <c r="C1227" s="36"/>
      <c r="D1227" s="36">
        <v>266</v>
      </c>
      <c r="E1227" s="36" t="str">
        <f>CONCATENATE('Смета ЕР (общ) '!$A1227,".",'Смета ЕР (общ) '!$B1227,".",'Смета ЕР (общ) '!$D1227)</f>
        <v>Р9.2.266</v>
      </c>
      <c r="F1227" s="36">
        <f t="shared" si="103"/>
        <v>1</v>
      </c>
      <c r="G1227" s="36"/>
      <c r="H1227" s="36"/>
      <c r="I1227" s="36"/>
      <c r="J1227" s="36"/>
      <c r="K1227" s="36"/>
      <c r="L1227" s="37" t="s">
        <v>1309</v>
      </c>
      <c r="M1227" s="38" t="s">
        <v>118</v>
      </c>
      <c r="N1227" s="39"/>
      <c r="O1227" s="40">
        <v>2110.63</v>
      </c>
      <c r="P1227" s="40">
        <v>18007.66</v>
      </c>
      <c r="Q1227" s="40">
        <f t="shared" si="102"/>
        <v>2110.63</v>
      </c>
      <c r="R1227" s="40">
        <f t="shared" si="102"/>
        <v>18007.66</v>
      </c>
      <c r="S1227" s="40">
        <f>ROUND('Смета ЕР (общ) '!$N1227*'Смета ЕР (общ) '!$Q1227,2)</f>
        <v>0</v>
      </c>
      <c r="T1227" s="40">
        <f>ROUND('Смета ЕР (общ) '!$N1227*'Смета ЕР (общ) '!$R1227,2)</f>
        <v>0</v>
      </c>
    </row>
    <row r="1228" spans="1:20" ht="34.5" customHeight="1" x14ac:dyDescent="0.3">
      <c r="A1228" s="36" t="s">
        <v>1169</v>
      </c>
      <c r="B1228" s="36">
        <v>2</v>
      </c>
      <c r="C1228" s="36"/>
      <c r="D1228" s="36">
        <v>239</v>
      </c>
      <c r="E1228" s="36" t="str">
        <f>CONCATENATE('Смета ЕР (общ) '!$A1228,".",'Смета ЕР (общ) '!$B1228,".",'Смета ЕР (общ) '!$D1228)</f>
        <v>Р9.2.239</v>
      </c>
      <c r="F1228" s="36">
        <f t="shared" si="103"/>
        <v>1</v>
      </c>
      <c r="G1228" s="36"/>
      <c r="H1228" s="36"/>
      <c r="I1228" s="36"/>
      <c r="J1228" s="36"/>
      <c r="K1228" s="36"/>
      <c r="L1228" s="37" t="s">
        <v>1310</v>
      </c>
      <c r="M1228" s="38" t="s">
        <v>118</v>
      </c>
      <c r="N1228" s="39"/>
      <c r="O1228" s="40">
        <v>1940.63</v>
      </c>
      <c r="P1228" s="40">
        <v>17625.21</v>
      </c>
      <c r="Q1228" s="40">
        <f t="shared" si="102"/>
        <v>1940.63</v>
      </c>
      <c r="R1228" s="40">
        <f t="shared" si="102"/>
        <v>17625.21</v>
      </c>
      <c r="S1228" s="40">
        <f>ROUND('Смета ЕР (общ) '!$N1228*'Смета ЕР (общ) '!$Q1228,2)</f>
        <v>0</v>
      </c>
      <c r="T1228" s="40">
        <f>ROUND('Смета ЕР (общ) '!$N1228*'Смета ЕР (общ) '!$R1228,2)</f>
        <v>0</v>
      </c>
    </row>
    <row r="1229" spans="1:20" ht="34.5" customHeight="1" x14ac:dyDescent="0.3">
      <c r="A1229" s="36" t="s">
        <v>1169</v>
      </c>
      <c r="B1229" s="36">
        <v>2</v>
      </c>
      <c r="C1229" s="36"/>
      <c r="D1229" s="36">
        <v>240</v>
      </c>
      <c r="E1229" s="36" t="str">
        <f>CONCATENATE('Смета ЕР (общ) '!$A1229,".",'Смета ЕР (общ) '!$B1229,".",'Смета ЕР (общ) '!$D1229)</f>
        <v>Р9.2.240</v>
      </c>
      <c r="F1229" s="36">
        <f t="shared" si="103"/>
        <v>1</v>
      </c>
      <c r="G1229" s="36"/>
      <c r="H1229" s="36"/>
      <c r="I1229" s="36"/>
      <c r="J1229" s="36"/>
      <c r="K1229" s="36"/>
      <c r="L1229" s="37" t="s">
        <v>1311</v>
      </c>
      <c r="M1229" s="38" t="s">
        <v>118</v>
      </c>
      <c r="N1229" s="40"/>
      <c r="O1229" s="40">
        <v>2780.81</v>
      </c>
      <c r="P1229" s="40">
        <v>17647.05</v>
      </c>
      <c r="Q1229" s="40">
        <f t="shared" si="102"/>
        <v>2780.81</v>
      </c>
      <c r="R1229" s="40">
        <f t="shared" si="102"/>
        <v>17647.05</v>
      </c>
      <c r="S1229" s="40">
        <f>ROUND('Смета ЕР (общ) '!$N1229*'Смета ЕР (общ) '!$Q1229,2)</f>
        <v>0</v>
      </c>
      <c r="T1229" s="40">
        <f>ROUND('Смета ЕР (общ) '!$N1229*'Смета ЕР (общ) '!$R1229,2)</f>
        <v>0</v>
      </c>
    </row>
    <row r="1230" spans="1:20" ht="34.5" customHeight="1" x14ac:dyDescent="0.3">
      <c r="A1230" s="36" t="s">
        <v>1169</v>
      </c>
      <c r="B1230" s="36">
        <v>2</v>
      </c>
      <c r="C1230" s="36"/>
      <c r="D1230" s="36">
        <v>241</v>
      </c>
      <c r="E1230" s="36" t="str">
        <f>CONCATENATE('Смета ЕР (общ) '!$A1230,".",'Смета ЕР (общ) '!$B1230,".",'Смета ЕР (общ) '!$D1230)</f>
        <v>Р9.2.241</v>
      </c>
      <c r="F1230" s="36">
        <f t="shared" si="103"/>
        <v>1</v>
      </c>
      <c r="G1230" s="36"/>
      <c r="H1230" s="36"/>
      <c r="I1230" s="36"/>
      <c r="J1230" s="36"/>
      <c r="K1230" s="36"/>
      <c r="L1230" s="37" t="s">
        <v>1312</v>
      </c>
      <c r="M1230" s="38" t="s">
        <v>118</v>
      </c>
      <c r="N1230" s="39"/>
      <c r="O1230" s="40">
        <v>2468.0300000000002</v>
      </c>
      <c r="P1230" s="40">
        <v>8629.77</v>
      </c>
      <c r="Q1230" s="40">
        <f t="shared" ref="Q1230:R1293" si="104">ROUND(O1230-O1230*$V$3,2)</f>
        <v>2468.0300000000002</v>
      </c>
      <c r="R1230" s="40">
        <f t="shared" si="104"/>
        <v>8629.77</v>
      </c>
      <c r="S1230" s="40">
        <f>ROUND('Смета ЕР (общ) '!$N1230*'Смета ЕР (общ) '!$Q1230,2)</f>
        <v>0</v>
      </c>
      <c r="T1230" s="40">
        <f>ROUND('Смета ЕР (общ) '!$N1230*'Смета ЕР (общ) '!$R1230,2)</f>
        <v>0</v>
      </c>
    </row>
    <row r="1231" spans="1:20" ht="34.5" customHeight="1" x14ac:dyDescent="0.3">
      <c r="A1231" s="36" t="s">
        <v>1169</v>
      </c>
      <c r="B1231" s="36">
        <v>2</v>
      </c>
      <c r="C1231" s="36"/>
      <c r="D1231" s="36">
        <v>264</v>
      </c>
      <c r="E1231" s="36" t="str">
        <f>CONCATENATE('Смета ЕР (общ) '!$A1231,".",'Смета ЕР (общ) '!$B1231,".",'Смета ЕР (общ) '!$D1231)</f>
        <v>Р9.2.264</v>
      </c>
      <c r="F1231" s="36">
        <f t="shared" si="103"/>
        <v>1</v>
      </c>
      <c r="G1231" s="36"/>
      <c r="H1231" s="36"/>
      <c r="I1231" s="36"/>
      <c r="J1231" s="36"/>
      <c r="K1231" s="36"/>
      <c r="L1231" s="37" t="s">
        <v>1313</v>
      </c>
      <c r="M1231" s="38" t="s">
        <v>118</v>
      </c>
      <c r="N1231" s="39"/>
      <c r="O1231" s="40">
        <v>3043.37</v>
      </c>
      <c r="P1231" s="40">
        <v>9747.09</v>
      </c>
      <c r="Q1231" s="40">
        <f t="shared" si="104"/>
        <v>3043.37</v>
      </c>
      <c r="R1231" s="40">
        <f t="shared" si="104"/>
        <v>9747.09</v>
      </c>
      <c r="S1231" s="40">
        <f>ROUND('Смета ЕР (общ) '!$N1231*'Смета ЕР (общ) '!$Q1231,2)</f>
        <v>0</v>
      </c>
      <c r="T1231" s="40">
        <f>ROUND('Смета ЕР (общ) '!$N1231*'Смета ЕР (общ) '!$R1231,2)</f>
        <v>0</v>
      </c>
    </row>
    <row r="1232" spans="1:20" ht="34.5" customHeight="1" x14ac:dyDescent="0.3">
      <c r="A1232" s="36" t="s">
        <v>1169</v>
      </c>
      <c r="B1232" s="36">
        <v>2</v>
      </c>
      <c r="C1232" s="36"/>
      <c r="D1232" s="36">
        <v>242</v>
      </c>
      <c r="E1232" s="36" t="str">
        <f>CONCATENATE('Смета ЕР (общ) '!$A1232,".",'Смета ЕР (общ) '!$B1232,".",'Смета ЕР (общ) '!$D1232)</f>
        <v>Р9.2.242</v>
      </c>
      <c r="F1232" s="36">
        <f t="shared" si="103"/>
        <v>1</v>
      </c>
      <c r="G1232" s="36"/>
      <c r="H1232" s="36"/>
      <c r="I1232" s="36"/>
      <c r="J1232" s="36"/>
      <c r="K1232" s="36"/>
      <c r="L1232" s="37" t="s">
        <v>1314</v>
      </c>
      <c r="M1232" s="38" t="s">
        <v>118</v>
      </c>
      <c r="N1232" s="39"/>
      <c r="O1232" s="40">
        <v>3568.48</v>
      </c>
      <c r="P1232" s="40">
        <v>18435.55</v>
      </c>
      <c r="Q1232" s="40">
        <f t="shared" si="104"/>
        <v>3568.48</v>
      </c>
      <c r="R1232" s="40">
        <f t="shared" si="104"/>
        <v>18435.55</v>
      </c>
      <c r="S1232" s="40">
        <f>ROUND('Смета ЕР (общ) '!$N1232*'Смета ЕР (общ) '!$Q1232,2)</f>
        <v>0</v>
      </c>
      <c r="T1232" s="40">
        <f>ROUND('Смета ЕР (общ) '!$N1232*'Смета ЕР (общ) '!$R1232,2)</f>
        <v>0</v>
      </c>
    </row>
    <row r="1233" spans="1:20" ht="34.5" customHeight="1" x14ac:dyDescent="0.3">
      <c r="A1233" s="36" t="s">
        <v>1169</v>
      </c>
      <c r="B1233" s="36">
        <v>2</v>
      </c>
      <c r="C1233" s="36"/>
      <c r="D1233" s="36">
        <v>267</v>
      </c>
      <c r="E1233" s="36" t="str">
        <f>CONCATENATE('Смета ЕР (общ) '!$A1233,".",'Смета ЕР (общ) '!$B1233,".",'Смета ЕР (общ) '!$D1233)</f>
        <v>Р9.2.267</v>
      </c>
      <c r="F1233" s="36">
        <f t="shared" ref="F1233:F1296" si="105">IF(N1233&gt;0,F1232+1,F1232)</f>
        <v>1</v>
      </c>
      <c r="G1233" s="36"/>
      <c r="H1233" s="36"/>
      <c r="I1233" s="36"/>
      <c r="J1233" s="36"/>
      <c r="K1233" s="36"/>
      <c r="L1233" s="37" t="s">
        <v>1315</v>
      </c>
      <c r="M1233" s="38" t="s">
        <v>118</v>
      </c>
      <c r="N1233" s="39"/>
      <c r="O1233" s="40">
        <v>3988.57</v>
      </c>
      <c r="P1233" s="40">
        <v>26832.58</v>
      </c>
      <c r="Q1233" s="40">
        <f t="shared" si="104"/>
        <v>3988.57</v>
      </c>
      <c r="R1233" s="40">
        <f t="shared" si="104"/>
        <v>26832.58</v>
      </c>
      <c r="S1233" s="40">
        <f>ROUND('Смета ЕР (общ) '!$N1233*'Смета ЕР (общ) '!$Q1233,2)</f>
        <v>0</v>
      </c>
      <c r="T1233" s="40">
        <f>ROUND('Смета ЕР (общ) '!$N1233*'Смета ЕР (общ) '!$R1233,2)</f>
        <v>0</v>
      </c>
    </row>
    <row r="1234" spans="1:20" ht="34.5" customHeight="1" x14ac:dyDescent="0.3">
      <c r="A1234" s="36" t="s">
        <v>1169</v>
      </c>
      <c r="B1234" s="36">
        <v>2</v>
      </c>
      <c r="C1234" s="36"/>
      <c r="D1234" s="36">
        <v>243</v>
      </c>
      <c r="E1234" s="36" t="str">
        <f>CONCATENATE('Смета ЕР (общ) '!$A1234,".",'Смета ЕР (общ) '!$B1234,".",'Смета ЕР (общ) '!$D1234)</f>
        <v>Р9.2.243</v>
      </c>
      <c r="F1234" s="36">
        <f t="shared" si="105"/>
        <v>1</v>
      </c>
      <c r="G1234" s="36"/>
      <c r="H1234" s="36"/>
      <c r="I1234" s="36"/>
      <c r="J1234" s="36"/>
      <c r="K1234" s="36"/>
      <c r="L1234" s="37" t="s">
        <v>1316</v>
      </c>
      <c r="M1234" s="38" t="s">
        <v>118</v>
      </c>
      <c r="N1234" s="39"/>
      <c r="O1234" s="40">
        <v>420.09</v>
      </c>
      <c r="P1234" s="40">
        <v>4033.26</v>
      </c>
      <c r="Q1234" s="40">
        <f t="shared" si="104"/>
        <v>420.09</v>
      </c>
      <c r="R1234" s="40">
        <f t="shared" si="104"/>
        <v>4033.26</v>
      </c>
      <c r="S1234" s="40">
        <f>ROUND('Смета ЕР (общ) '!$N1234*'Смета ЕР (общ) '!$Q1234,2)</f>
        <v>0</v>
      </c>
      <c r="T1234" s="40">
        <f>ROUND('Смета ЕР (общ) '!$N1234*'Смета ЕР (общ) '!$R1234,2)</f>
        <v>0</v>
      </c>
    </row>
    <row r="1235" spans="1:20" ht="34.5" customHeight="1" x14ac:dyDescent="0.3">
      <c r="A1235" s="36" t="s">
        <v>1169</v>
      </c>
      <c r="B1235" s="36">
        <v>2</v>
      </c>
      <c r="C1235" s="36"/>
      <c r="D1235" s="36">
        <v>113</v>
      </c>
      <c r="E1235" s="36" t="str">
        <f>CONCATENATE('Смета ЕР (общ) '!$A1235,".",'Смета ЕР (общ) '!$B1235,".",'Смета ЕР (общ) '!$D1235)</f>
        <v>Р9.2.113</v>
      </c>
      <c r="F1235" s="36">
        <f t="shared" si="105"/>
        <v>1</v>
      </c>
      <c r="G1235" s="36"/>
      <c r="H1235" s="36"/>
      <c r="I1235" s="36"/>
      <c r="J1235" s="36"/>
      <c r="K1235" s="36"/>
      <c r="L1235" s="37" t="s">
        <v>1317</v>
      </c>
      <c r="M1235" s="38" t="s">
        <v>118</v>
      </c>
      <c r="N1235" s="39"/>
      <c r="O1235" s="40">
        <v>577.62</v>
      </c>
      <c r="P1235" s="40">
        <v>12328.29</v>
      </c>
      <c r="Q1235" s="40">
        <f t="shared" si="104"/>
        <v>577.62</v>
      </c>
      <c r="R1235" s="40">
        <f t="shared" si="104"/>
        <v>12328.29</v>
      </c>
      <c r="S1235" s="40">
        <f>ROUND('Смета ЕР (общ) '!$N1235*'Смета ЕР (общ) '!$Q1235,2)</f>
        <v>0</v>
      </c>
      <c r="T1235" s="40">
        <f>ROUND('Смета ЕР (общ) '!$N1235*'Смета ЕР (общ) '!$R1235,2)</f>
        <v>0</v>
      </c>
    </row>
    <row r="1236" spans="1:20" ht="34.5" customHeight="1" x14ac:dyDescent="0.3">
      <c r="A1236" s="36" t="s">
        <v>1169</v>
      </c>
      <c r="B1236" s="36">
        <v>2</v>
      </c>
      <c r="C1236" s="36"/>
      <c r="D1236" s="36">
        <v>114</v>
      </c>
      <c r="E1236" s="36" t="str">
        <f>CONCATENATE('Смета ЕР (общ) '!$A1236,".",'Смета ЕР (общ) '!$B1236,".",'Смета ЕР (общ) '!$D1236)</f>
        <v>Р9.2.114</v>
      </c>
      <c r="F1236" s="36">
        <f t="shared" si="105"/>
        <v>1</v>
      </c>
      <c r="G1236" s="36"/>
      <c r="H1236" s="36"/>
      <c r="I1236" s="36"/>
      <c r="J1236" s="36"/>
      <c r="K1236" s="36"/>
      <c r="L1236" s="37" t="s">
        <v>1318</v>
      </c>
      <c r="M1236" s="38" t="s">
        <v>118</v>
      </c>
      <c r="N1236" s="39"/>
      <c r="O1236" s="40">
        <v>577.62</v>
      </c>
      <c r="P1236" s="40">
        <v>12205.76</v>
      </c>
      <c r="Q1236" s="40">
        <f t="shared" si="104"/>
        <v>577.62</v>
      </c>
      <c r="R1236" s="40">
        <f t="shared" si="104"/>
        <v>12205.76</v>
      </c>
      <c r="S1236" s="40">
        <f>ROUND('Смета ЕР (общ) '!$N1236*'Смета ЕР (общ) '!$Q1236,2)</f>
        <v>0</v>
      </c>
      <c r="T1236" s="40">
        <f>ROUND('Смета ЕР (общ) '!$N1236*'Смета ЕР (общ) '!$R1236,2)</f>
        <v>0</v>
      </c>
    </row>
    <row r="1237" spans="1:20" ht="34.5" customHeight="1" x14ac:dyDescent="0.3">
      <c r="A1237" s="36" t="s">
        <v>1169</v>
      </c>
      <c r="B1237" s="36">
        <v>2</v>
      </c>
      <c r="C1237" s="36"/>
      <c r="D1237" s="36">
        <v>115</v>
      </c>
      <c r="E1237" s="36" t="str">
        <f>CONCATENATE('Смета ЕР (общ) '!$A1237,".",'Смета ЕР (общ) '!$B1237,".",'Смета ЕР (общ) '!$D1237)</f>
        <v>Р9.2.115</v>
      </c>
      <c r="F1237" s="36">
        <f t="shared" si="105"/>
        <v>1</v>
      </c>
      <c r="G1237" s="36"/>
      <c r="H1237" s="36"/>
      <c r="I1237" s="36"/>
      <c r="J1237" s="36"/>
      <c r="K1237" s="36"/>
      <c r="L1237" s="37" t="s">
        <v>1319</v>
      </c>
      <c r="M1237" s="38" t="s">
        <v>118</v>
      </c>
      <c r="N1237" s="39"/>
      <c r="O1237" s="40">
        <v>577.62</v>
      </c>
      <c r="P1237" s="40">
        <v>12342.3</v>
      </c>
      <c r="Q1237" s="40">
        <f t="shared" si="104"/>
        <v>577.62</v>
      </c>
      <c r="R1237" s="40">
        <f t="shared" si="104"/>
        <v>12342.3</v>
      </c>
      <c r="S1237" s="40">
        <f>ROUND('Смета ЕР (общ) '!$N1237*'Смета ЕР (общ) '!$Q1237,2)</f>
        <v>0</v>
      </c>
      <c r="T1237" s="40">
        <f>ROUND('Смета ЕР (общ) '!$N1237*'Смета ЕР (общ) '!$R1237,2)</f>
        <v>0</v>
      </c>
    </row>
    <row r="1238" spans="1:20" ht="34.5" customHeight="1" x14ac:dyDescent="0.3">
      <c r="A1238" s="36" t="s">
        <v>1169</v>
      </c>
      <c r="B1238" s="36">
        <v>2</v>
      </c>
      <c r="C1238" s="36"/>
      <c r="D1238" s="36">
        <v>116</v>
      </c>
      <c r="E1238" s="36" t="str">
        <f>CONCATENATE('Смета ЕР (общ) '!$A1238,".",'Смета ЕР (общ) '!$B1238,".",'Смета ЕР (общ) '!$D1238)</f>
        <v>Р9.2.116</v>
      </c>
      <c r="F1238" s="36">
        <f t="shared" si="105"/>
        <v>1</v>
      </c>
      <c r="G1238" s="36"/>
      <c r="H1238" s="36"/>
      <c r="I1238" s="36"/>
      <c r="J1238" s="36"/>
      <c r="K1238" s="36"/>
      <c r="L1238" s="37" t="s">
        <v>1320</v>
      </c>
      <c r="M1238" s="38" t="s">
        <v>118</v>
      </c>
      <c r="N1238" s="39"/>
      <c r="O1238" s="40">
        <v>577.62</v>
      </c>
      <c r="P1238" s="40">
        <v>11813.47</v>
      </c>
      <c r="Q1238" s="40">
        <f t="shared" si="104"/>
        <v>577.62</v>
      </c>
      <c r="R1238" s="40">
        <f t="shared" si="104"/>
        <v>11813.47</v>
      </c>
      <c r="S1238" s="40">
        <f>ROUND('Смета ЕР (общ) '!$N1238*'Смета ЕР (общ) '!$Q1238,2)</f>
        <v>0</v>
      </c>
      <c r="T1238" s="40">
        <f>ROUND('Смета ЕР (общ) '!$N1238*'Смета ЕР (общ) '!$R1238,2)</f>
        <v>0</v>
      </c>
    </row>
    <row r="1239" spans="1:20" ht="34.5" customHeight="1" x14ac:dyDescent="0.3">
      <c r="A1239" s="36" t="s">
        <v>1169</v>
      </c>
      <c r="B1239" s="36">
        <v>2</v>
      </c>
      <c r="C1239" s="36"/>
      <c r="D1239" s="36">
        <v>117</v>
      </c>
      <c r="E1239" s="36" t="str">
        <f>CONCATENATE('Смета ЕР (общ) '!$A1239,".",'Смета ЕР (общ) '!$B1239,".",'Смета ЕР (общ) '!$D1239)</f>
        <v>Р9.2.117</v>
      </c>
      <c r="F1239" s="36">
        <f t="shared" si="105"/>
        <v>1</v>
      </c>
      <c r="G1239" s="36"/>
      <c r="H1239" s="36"/>
      <c r="I1239" s="36"/>
      <c r="J1239" s="36"/>
      <c r="K1239" s="36"/>
      <c r="L1239" s="37" t="s">
        <v>1321</v>
      </c>
      <c r="M1239" s="38" t="s">
        <v>118</v>
      </c>
      <c r="N1239" s="39"/>
      <c r="O1239" s="40">
        <v>577.62</v>
      </c>
      <c r="P1239" s="40">
        <v>12258.93</v>
      </c>
      <c r="Q1239" s="40">
        <f t="shared" si="104"/>
        <v>577.62</v>
      </c>
      <c r="R1239" s="40">
        <f t="shared" si="104"/>
        <v>12258.93</v>
      </c>
      <c r="S1239" s="40">
        <f>ROUND('Смета ЕР (общ) '!$N1239*'Смета ЕР (общ) '!$Q1239,2)</f>
        <v>0</v>
      </c>
      <c r="T1239" s="40">
        <f>ROUND('Смета ЕР (общ) '!$N1239*'Смета ЕР (общ) '!$R1239,2)</f>
        <v>0</v>
      </c>
    </row>
    <row r="1240" spans="1:20" ht="34.5" customHeight="1" x14ac:dyDescent="0.3">
      <c r="A1240" s="36" t="s">
        <v>1169</v>
      </c>
      <c r="B1240" s="36">
        <v>2</v>
      </c>
      <c r="C1240" s="36"/>
      <c r="D1240" s="36">
        <v>118</v>
      </c>
      <c r="E1240" s="36" t="str">
        <f>CONCATENATE('Смета ЕР (общ) '!$A1240,".",'Смета ЕР (общ) '!$B1240,".",'Смета ЕР (общ) '!$D1240)</f>
        <v>Р9.2.118</v>
      </c>
      <c r="F1240" s="36">
        <f t="shared" si="105"/>
        <v>1</v>
      </c>
      <c r="G1240" s="36"/>
      <c r="H1240" s="36"/>
      <c r="I1240" s="36"/>
      <c r="J1240" s="36"/>
      <c r="K1240" s="36"/>
      <c r="L1240" s="37" t="s">
        <v>1322</v>
      </c>
      <c r="M1240" s="38" t="s">
        <v>118</v>
      </c>
      <c r="N1240" s="39"/>
      <c r="O1240" s="40">
        <v>636.41</v>
      </c>
      <c r="P1240" s="40">
        <v>13274.97</v>
      </c>
      <c r="Q1240" s="40">
        <f t="shared" si="104"/>
        <v>636.41</v>
      </c>
      <c r="R1240" s="40">
        <f t="shared" si="104"/>
        <v>13274.97</v>
      </c>
      <c r="S1240" s="40">
        <f>ROUND('Смета ЕР (общ) '!$N1240*'Смета ЕР (общ) '!$Q1240,2)</f>
        <v>0</v>
      </c>
      <c r="T1240" s="40">
        <f>ROUND('Смета ЕР (общ) '!$N1240*'Смета ЕР (общ) '!$R1240,2)</f>
        <v>0</v>
      </c>
    </row>
    <row r="1241" spans="1:20" ht="34.5" customHeight="1" x14ac:dyDescent="0.3">
      <c r="A1241" s="36" t="s">
        <v>1169</v>
      </c>
      <c r="B1241" s="36">
        <v>2</v>
      </c>
      <c r="C1241" s="36"/>
      <c r="D1241" s="36">
        <v>119</v>
      </c>
      <c r="E1241" s="36" t="str">
        <f>CONCATENATE('Смета ЕР (общ) '!$A1241,".",'Смета ЕР (общ) '!$B1241,".",'Смета ЕР (общ) '!$D1241)</f>
        <v>Р9.2.119</v>
      </c>
      <c r="F1241" s="36">
        <f t="shared" si="105"/>
        <v>1</v>
      </c>
      <c r="G1241" s="36"/>
      <c r="H1241" s="36"/>
      <c r="I1241" s="36"/>
      <c r="J1241" s="36"/>
      <c r="K1241" s="36"/>
      <c r="L1241" s="37" t="s">
        <v>1323</v>
      </c>
      <c r="M1241" s="38" t="s">
        <v>118</v>
      </c>
      <c r="N1241" s="39"/>
      <c r="O1241" s="40">
        <v>577.62</v>
      </c>
      <c r="P1241" s="40">
        <v>11278.97</v>
      </c>
      <c r="Q1241" s="40">
        <f t="shared" si="104"/>
        <v>577.62</v>
      </c>
      <c r="R1241" s="40">
        <f t="shared" si="104"/>
        <v>11278.97</v>
      </c>
      <c r="S1241" s="40">
        <f>ROUND('Смета ЕР (общ) '!$N1241*'Смета ЕР (общ) '!$Q1241,2)</f>
        <v>0</v>
      </c>
      <c r="T1241" s="40">
        <f>ROUND('Смета ЕР (общ) '!$N1241*'Смета ЕР (общ) '!$R1241,2)</f>
        <v>0</v>
      </c>
    </row>
    <row r="1242" spans="1:20" ht="34.5" customHeight="1" x14ac:dyDescent="0.3">
      <c r="A1242" s="36" t="s">
        <v>1169</v>
      </c>
      <c r="B1242" s="36">
        <v>2</v>
      </c>
      <c r="C1242" s="36"/>
      <c r="D1242" s="36">
        <v>120</v>
      </c>
      <c r="E1242" s="36" t="str">
        <f>CONCATENATE('Смета ЕР (общ) '!$A1242,".",'Смета ЕР (общ) '!$B1242,".",'Смета ЕР (общ) '!$D1242)</f>
        <v>Р9.2.120</v>
      </c>
      <c r="F1242" s="36">
        <f t="shared" si="105"/>
        <v>1</v>
      </c>
      <c r="G1242" s="36"/>
      <c r="H1242" s="36"/>
      <c r="I1242" s="36"/>
      <c r="J1242" s="36"/>
      <c r="K1242" s="36"/>
      <c r="L1242" s="37" t="s">
        <v>1324</v>
      </c>
      <c r="M1242" s="38" t="s">
        <v>118</v>
      </c>
      <c r="N1242" s="39"/>
      <c r="O1242" s="40">
        <v>577.62</v>
      </c>
      <c r="P1242" s="40">
        <v>10530.19</v>
      </c>
      <c r="Q1242" s="40">
        <f t="shared" si="104"/>
        <v>577.62</v>
      </c>
      <c r="R1242" s="40">
        <f t="shared" si="104"/>
        <v>10530.19</v>
      </c>
      <c r="S1242" s="40">
        <f>ROUND('Смета ЕР (общ) '!$N1242*'Смета ЕР (общ) '!$Q1242,2)</f>
        <v>0</v>
      </c>
      <c r="T1242" s="40">
        <f>ROUND('Смета ЕР (общ) '!$N1242*'Смета ЕР (общ) '!$R1242,2)</f>
        <v>0</v>
      </c>
    </row>
    <row r="1243" spans="1:20" ht="34.5" customHeight="1" x14ac:dyDescent="0.3">
      <c r="A1243" s="36" t="s">
        <v>1169</v>
      </c>
      <c r="B1243" s="36">
        <v>2</v>
      </c>
      <c r="C1243" s="36"/>
      <c r="D1243" s="36">
        <v>121</v>
      </c>
      <c r="E1243" s="36" t="str">
        <f>CONCATENATE('Смета ЕР (общ) '!$A1243,".",'Смета ЕР (общ) '!$B1243,".",'Смета ЕР (общ) '!$D1243)</f>
        <v>Р9.2.121</v>
      </c>
      <c r="F1243" s="36">
        <f t="shared" si="105"/>
        <v>1</v>
      </c>
      <c r="G1243" s="36"/>
      <c r="H1243" s="36"/>
      <c r="I1243" s="36"/>
      <c r="J1243" s="36"/>
      <c r="K1243" s="36"/>
      <c r="L1243" s="37" t="s">
        <v>1325</v>
      </c>
      <c r="M1243" s="38" t="s">
        <v>118</v>
      </c>
      <c r="N1243" s="39"/>
      <c r="O1243" s="40">
        <v>577.62</v>
      </c>
      <c r="P1243" s="40">
        <v>10087.66</v>
      </c>
      <c r="Q1243" s="40">
        <f t="shared" si="104"/>
        <v>577.62</v>
      </c>
      <c r="R1243" s="40">
        <f t="shared" si="104"/>
        <v>10087.66</v>
      </c>
      <c r="S1243" s="40">
        <f>ROUND('Смета ЕР (общ) '!$N1243*'Смета ЕР (общ) '!$Q1243,2)</f>
        <v>0</v>
      </c>
      <c r="T1243" s="40">
        <f>ROUND('Смета ЕР (общ) '!$N1243*'Смета ЕР (общ) '!$R1243,2)</f>
        <v>0</v>
      </c>
    </row>
    <row r="1244" spans="1:20" ht="34.5" customHeight="1" x14ac:dyDescent="0.3">
      <c r="A1244" s="36" t="s">
        <v>1169</v>
      </c>
      <c r="B1244" s="36">
        <v>2</v>
      </c>
      <c r="C1244" s="36"/>
      <c r="D1244" s="36">
        <v>122</v>
      </c>
      <c r="E1244" s="36" t="str">
        <f>CONCATENATE('Смета ЕР (общ) '!$A1244,".",'Смета ЕР (общ) '!$B1244,".",'Смета ЕР (общ) '!$D1244)</f>
        <v>Р9.2.122</v>
      </c>
      <c r="F1244" s="36">
        <f t="shared" si="105"/>
        <v>1</v>
      </c>
      <c r="G1244" s="36"/>
      <c r="H1244" s="36"/>
      <c r="I1244" s="36"/>
      <c r="J1244" s="36"/>
      <c r="K1244" s="36"/>
      <c r="L1244" s="37" t="s">
        <v>1326</v>
      </c>
      <c r="M1244" s="38" t="s">
        <v>118</v>
      </c>
      <c r="N1244" s="39"/>
      <c r="O1244" s="40">
        <v>577.62</v>
      </c>
      <c r="P1244" s="40">
        <v>10177.75</v>
      </c>
      <c r="Q1244" s="40">
        <f t="shared" si="104"/>
        <v>577.62</v>
      </c>
      <c r="R1244" s="40">
        <f t="shared" si="104"/>
        <v>10177.75</v>
      </c>
      <c r="S1244" s="40">
        <f>ROUND('Смета ЕР (общ) '!$N1244*'Смета ЕР (общ) '!$Q1244,2)</f>
        <v>0</v>
      </c>
      <c r="T1244" s="40">
        <f>ROUND('Смета ЕР (общ) '!$N1244*'Смета ЕР (общ) '!$R1244,2)</f>
        <v>0</v>
      </c>
    </row>
    <row r="1245" spans="1:20" ht="34.5" customHeight="1" x14ac:dyDescent="0.3">
      <c r="A1245" s="36" t="s">
        <v>1169</v>
      </c>
      <c r="B1245" s="36">
        <v>2</v>
      </c>
      <c r="C1245" s="36"/>
      <c r="D1245" s="36">
        <v>123</v>
      </c>
      <c r="E1245" s="36" t="str">
        <f>CONCATENATE('Смета ЕР (общ) '!$A1245,".",'Смета ЕР (общ) '!$B1245,".",'Смета ЕР (общ) '!$D1245)</f>
        <v>Р9.2.123</v>
      </c>
      <c r="F1245" s="36">
        <f t="shared" si="105"/>
        <v>1</v>
      </c>
      <c r="G1245" s="36"/>
      <c r="H1245" s="36"/>
      <c r="I1245" s="36"/>
      <c r="J1245" s="36"/>
      <c r="K1245" s="36"/>
      <c r="L1245" s="37" t="s">
        <v>1327</v>
      </c>
      <c r="M1245" s="38" t="s">
        <v>118</v>
      </c>
      <c r="N1245" s="39"/>
      <c r="O1245" s="40">
        <v>577.62</v>
      </c>
      <c r="P1245" s="40">
        <v>10316.959999999999</v>
      </c>
      <c r="Q1245" s="40">
        <f t="shared" si="104"/>
        <v>577.62</v>
      </c>
      <c r="R1245" s="40">
        <f t="shared" si="104"/>
        <v>10316.959999999999</v>
      </c>
      <c r="S1245" s="40">
        <f>ROUND('Смета ЕР (общ) '!$N1245*'Смета ЕР (общ) '!$Q1245,2)</f>
        <v>0</v>
      </c>
      <c r="T1245" s="40">
        <f>ROUND('Смета ЕР (общ) '!$N1245*'Смета ЕР (общ) '!$R1245,2)</f>
        <v>0</v>
      </c>
    </row>
    <row r="1246" spans="1:20" ht="34.5" customHeight="1" x14ac:dyDescent="0.3">
      <c r="A1246" s="36" t="s">
        <v>1169</v>
      </c>
      <c r="B1246" s="36">
        <v>2</v>
      </c>
      <c r="C1246" s="36"/>
      <c r="D1246" s="36">
        <v>124</v>
      </c>
      <c r="E1246" s="36" t="str">
        <f>CONCATENATE('Смета ЕР (общ) '!$A1246,".",'Смета ЕР (общ) '!$B1246,".",'Смета ЕР (общ) '!$D1246)</f>
        <v>Р9.2.124</v>
      </c>
      <c r="F1246" s="36">
        <f t="shared" si="105"/>
        <v>1</v>
      </c>
      <c r="G1246" s="36"/>
      <c r="H1246" s="36"/>
      <c r="I1246" s="36"/>
      <c r="J1246" s="36"/>
      <c r="K1246" s="36"/>
      <c r="L1246" s="37" t="s">
        <v>1328</v>
      </c>
      <c r="M1246" s="38" t="s">
        <v>118</v>
      </c>
      <c r="N1246" s="39"/>
      <c r="O1246" s="40">
        <v>636.41</v>
      </c>
      <c r="P1246" s="40">
        <v>11931.46</v>
      </c>
      <c r="Q1246" s="40">
        <f t="shared" si="104"/>
        <v>636.41</v>
      </c>
      <c r="R1246" s="40">
        <f t="shared" si="104"/>
        <v>11931.46</v>
      </c>
      <c r="S1246" s="40">
        <f>ROUND('Смета ЕР (общ) '!$N1246*'Смета ЕР (общ) '!$Q1246,2)</f>
        <v>0</v>
      </c>
      <c r="T1246" s="40">
        <f>ROUND('Смета ЕР (общ) '!$N1246*'Смета ЕР (общ) '!$R1246,2)</f>
        <v>0</v>
      </c>
    </row>
    <row r="1247" spans="1:20" ht="34.5" customHeight="1" x14ac:dyDescent="0.3">
      <c r="A1247" s="36" t="s">
        <v>1169</v>
      </c>
      <c r="B1247" s="36">
        <v>2</v>
      </c>
      <c r="C1247" s="36"/>
      <c r="D1247" s="36">
        <v>125</v>
      </c>
      <c r="E1247" s="36" t="str">
        <f>CONCATENATE('Смета ЕР (общ) '!$A1247,".",'Смета ЕР (общ) '!$B1247,".",'Смета ЕР (общ) '!$D1247)</f>
        <v>Р9.2.125</v>
      </c>
      <c r="F1247" s="36">
        <f t="shared" si="105"/>
        <v>1</v>
      </c>
      <c r="G1247" s="36"/>
      <c r="H1247" s="36"/>
      <c r="I1247" s="36"/>
      <c r="J1247" s="36"/>
      <c r="K1247" s="36"/>
      <c r="L1247" s="37" t="s">
        <v>1329</v>
      </c>
      <c r="M1247" s="38" t="s">
        <v>118</v>
      </c>
      <c r="N1247" s="39"/>
      <c r="O1247" s="40">
        <v>636.41</v>
      </c>
      <c r="P1247" s="40">
        <v>13261.07</v>
      </c>
      <c r="Q1247" s="40">
        <f t="shared" si="104"/>
        <v>636.41</v>
      </c>
      <c r="R1247" s="40">
        <f t="shared" si="104"/>
        <v>13261.07</v>
      </c>
      <c r="S1247" s="40">
        <f>ROUND('Смета ЕР (общ) '!$N1247*'Смета ЕР (общ) '!$Q1247,2)</f>
        <v>0</v>
      </c>
      <c r="T1247" s="40">
        <f>ROUND('Смета ЕР (общ) '!$N1247*'Смета ЕР (общ) '!$R1247,2)</f>
        <v>0</v>
      </c>
    </row>
    <row r="1248" spans="1:20" ht="34.5" customHeight="1" x14ac:dyDescent="0.3">
      <c r="A1248" s="36" t="s">
        <v>1169</v>
      </c>
      <c r="B1248" s="36">
        <v>2</v>
      </c>
      <c r="C1248" s="36"/>
      <c r="D1248" s="36">
        <v>126</v>
      </c>
      <c r="E1248" s="36" t="str">
        <f>CONCATENATE('Смета ЕР (общ) '!$A1248,".",'Смета ЕР (общ) '!$B1248,".",'Смета ЕР (общ) '!$D1248)</f>
        <v>Р9.2.126</v>
      </c>
      <c r="F1248" s="36">
        <f t="shared" si="105"/>
        <v>1</v>
      </c>
      <c r="G1248" s="36"/>
      <c r="H1248" s="36"/>
      <c r="I1248" s="36"/>
      <c r="J1248" s="36"/>
      <c r="K1248" s="36"/>
      <c r="L1248" s="37" t="s">
        <v>1330</v>
      </c>
      <c r="M1248" s="38" t="s">
        <v>118</v>
      </c>
      <c r="N1248" s="39"/>
      <c r="O1248" s="40">
        <v>577.62</v>
      </c>
      <c r="P1248" s="40">
        <v>4277.8900000000003</v>
      </c>
      <c r="Q1248" s="40">
        <f t="shared" si="104"/>
        <v>577.62</v>
      </c>
      <c r="R1248" s="40">
        <f t="shared" si="104"/>
        <v>4277.8900000000003</v>
      </c>
      <c r="S1248" s="40">
        <f>ROUND('Смета ЕР (общ) '!$N1248*'Смета ЕР (общ) '!$Q1248,2)</f>
        <v>0</v>
      </c>
      <c r="T1248" s="40">
        <f>ROUND('Смета ЕР (общ) '!$N1248*'Смета ЕР (общ) '!$R1248,2)</f>
        <v>0</v>
      </c>
    </row>
    <row r="1249" spans="1:20" ht="34.5" customHeight="1" x14ac:dyDescent="0.3">
      <c r="A1249" s="36" t="s">
        <v>1169</v>
      </c>
      <c r="B1249" s="36">
        <v>2</v>
      </c>
      <c r="C1249" s="36"/>
      <c r="D1249" s="36">
        <v>127</v>
      </c>
      <c r="E1249" s="36" t="str">
        <f>CONCATENATE('Смета ЕР (общ) '!$A1249,".",'Смета ЕР (общ) '!$B1249,".",'Смета ЕР (общ) '!$D1249)</f>
        <v>Р9.2.127</v>
      </c>
      <c r="F1249" s="36">
        <f t="shared" si="105"/>
        <v>1</v>
      </c>
      <c r="G1249" s="36"/>
      <c r="H1249" s="36"/>
      <c r="I1249" s="36"/>
      <c r="J1249" s="36"/>
      <c r="K1249" s="36"/>
      <c r="L1249" s="37" t="s">
        <v>1331</v>
      </c>
      <c r="M1249" s="38" t="s">
        <v>118</v>
      </c>
      <c r="N1249" s="39"/>
      <c r="O1249" s="40">
        <v>577.62</v>
      </c>
      <c r="P1249" s="40">
        <v>3980.69</v>
      </c>
      <c r="Q1249" s="40">
        <f t="shared" si="104"/>
        <v>577.62</v>
      </c>
      <c r="R1249" s="40">
        <f t="shared" si="104"/>
        <v>3980.69</v>
      </c>
      <c r="S1249" s="40">
        <f>ROUND('Смета ЕР (общ) '!$N1249*'Смета ЕР (общ) '!$Q1249,2)</f>
        <v>0</v>
      </c>
      <c r="T1249" s="40">
        <f>ROUND('Смета ЕР (общ) '!$N1249*'Смета ЕР (общ) '!$R1249,2)</f>
        <v>0</v>
      </c>
    </row>
    <row r="1250" spans="1:20" ht="34.5" customHeight="1" x14ac:dyDescent="0.3">
      <c r="A1250" s="36" t="s">
        <v>1169</v>
      </c>
      <c r="B1250" s="36">
        <v>2</v>
      </c>
      <c r="C1250" s="36"/>
      <c r="D1250" s="36">
        <v>128</v>
      </c>
      <c r="E1250" s="36" t="str">
        <f>CONCATENATE('Смета ЕР (общ) '!$A1250,".",'Смета ЕР (общ) '!$B1250,".",'Смета ЕР (общ) '!$D1250)</f>
        <v>Р9.2.128</v>
      </c>
      <c r="F1250" s="36">
        <f t="shared" si="105"/>
        <v>1</v>
      </c>
      <c r="G1250" s="36"/>
      <c r="H1250" s="36"/>
      <c r="I1250" s="36"/>
      <c r="J1250" s="36"/>
      <c r="K1250" s="36"/>
      <c r="L1250" s="37" t="s">
        <v>1332</v>
      </c>
      <c r="M1250" s="38" t="s">
        <v>118</v>
      </c>
      <c r="N1250" s="39"/>
      <c r="O1250" s="40">
        <v>577.62</v>
      </c>
      <c r="P1250" s="40">
        <v>3763.64</v>
      </c>
      <c r="Q1250" s="40">
        <f t="shared" si="104"/>
        <v>577.62</v>
      </c>
      <c r="R1250" s="40">
        <f t="shared" si="104"/>
        <v>3763.64</v>
      </c>
      <c r="S1250" s="40">
        <f>ROUND('Смета ЕР (общ) '!$N1250*'Смета ЕР (общ) '!$Q1250,2)</f>
        <v>0</v>
      </c>
      <c r="T1250" s="40">
        <f>ROUND('Смета ЕР (общ) '!$N1250*'Смета ЕР (общ) '!$R1250,2)</f>
        <v>0</v>
      </c>
    </row>
    <row r="1251" spans="1:20" ht="34.5" customHeight="1" x14ac:dyDescent="0.3">
      <c r="A1251" s="36" t="s">
        <v>1169</v>
      </c>
      <c r="B1251" s="36">
        <v>2</v>
      </c>
      <c r="C1251" s="36"/>
      <c r="D1251" s="36">
        <v>129</v>
      </c>
      <c r="E1251" s="36" t="str">
        <f>CONCATENATE('Смета ЕР (общ) '!$A1251,".",'Смета ЕР (общ) '!$B1251,".",'Смета ЕР (общ) '!$D1251)</f>
        <v>Р9.2.129</v>
      </c>
      <c r="F1251" s="36">
        <f t="shared" si="105"/>
        <v>1</v>
      </c>
      <c r="G1251" s="36"/>
      <c r="H1251" s="36"/>
      <c r="I1251" s="36"/>
      <c r="J1251" s="36"/>
      <c r="K1251" s="36"/>
      <c r="L1251" s="37" t="s">
        <v>1333</v>
      </c>
      <c r="M1251" s="38" t="s">
        <v>118</v>
      </c>
      <c r="N1251" s="39"/>
      <c r="O1251" s="40">
        <v>577.62</v>
      </c>
      <c r="P1251" s="40">
        <v>3874.41</v>
      </c>
      <c r="Q1251" s="40">
        <f t="shared" si="104"/>
        <v>577.62</v>
      </c>
      <c r="R1251" s="40">
        <f t="shared" si="104"/>
        <v>3874.41</v>
      </c>
      <c r="S1251" s="40">
        <f>ROUND('Смета ЕР (общ) '!$N1251*'Смета ЕР (общ) '!$Q1251,2)</f>
        <v>0</v>
      </c>
      <c r="T1251" s="40">
        <f>ROUND('Смета ЕР (общ) '!$N1251*'Смета ЕР (общ) '!$R1251,2)</f>
        <v>0</v>
      </c>
    </row>
    <row r="1252" spans="1:20" ht="34.5" customHeight="1" x14ac:dyDescent="0.3">
      <c r="A1252" s="36" t="s">
        <v>1169</v>
      </c>
      <c r="B1252" s="36">
        <v>2</v>
      </c>
      <c r="C1252" s="36"/>
      <c r="D1252" s="36">
        <v>130</v>
      </c>
      <c r="E1252" s="36" t="str">
        <f>CONCATENATE('Смета ЕР (общ) '!$A1252,".",'Смета ЕР (общ) '!$B1252,".",'Смета ЕР (общ) '!$D1252)</f>
        <v>Р9.2.130</v>
      </c>
      <c r="F1252" s="36">
        <f t="shared" si="105"/>
        <v>1</v>
      </c>
      <c r="G1252" s="36"/>
      <c r="H1252" s="36"/>
      <c r="I1252" s="36"/>
      <c r="J1252" s="36"/>
      <c r="K1252" s="36"/>
      <c r="L1252" s="37" t="s">
        <v>1334</v>
      </c>
      <c r="M1252" s="38" t="s">
        <v>118</v>
      </c>
      <c r="N1252" s="39"/>
      <c r="O1252" s="40">
        <v>577.62</v>
      </c>
      <c r="P1252" s="40">
        <v>3808.29</v>
      </c>
      <c r="Q1252" s="40">
        <f t="shared" si="104"/>
        <v>577.62</v>
      </c>
      <c r="R1252" s="40">
        <f t="shared" si="104"/>
        <v>3808.29</v>
      </c>
      <c r="S1252" s="40">
        <f>ROUND('Смета ЕР (общ) '!$N1252*'Смета ЕР (общ) '!$Q1252,2)</f>
        <v>0</v>
      </c>
      <c r="T1252" s="40">
        <f>ROUND('Смета ЕР (общ) '!$N1252*'Смета ЕР (общ) '!$R1252,2)</f>
        <v>0</v>
      </c>
    </row>
    <row r="1253" spans="1:20" ht="34.5" customHeight="1" x14ac:dyDescent="0.3">
      <c r="A1253" s="36" t="s">
        <v>1169</v>
      </c>
      <c r="B1253" s="36">
        <v>2</v>
      </c>
      <c r="C1253" s="36"/>
      <c r="D1253" s="36">
        <v>131</v>
      </c>
      <c r="E1253" s="36" t="str">
        <f>CONCATENATE('Смета ЕР (общ) '!$A1253,".",'Смета ЕР (общ) '!$B1253,".",'Смета ЕР (общ) '!$D1253)</f>
        <v>Р9.2.131</v>
      </c>
      <c r="F1253" s="36">
        <f t="shared" si="105"/>
        <v>1</v>
      </c>
      <c r="G1253" s="36"/>
      <c r="H1253" s="36"/>
      <c r="I1253" s="36"/>
      <c r="J1253" s="36"/>
      <c r="K1253" s="36"/>
      <c r="L1253" s="37" t="s">
        <v>1335</v>
      </c>
      <c r="M1253" s="38" t="s">
        <v>118</v>
      </c>
      <c r="N1253" s="39"/>
      <c r="O1253" s="40">
        <v>636.41</v>
      </c>
      <c r="P1253" s="40">
        <v>3600.73</v>
      </c>
      <c r="Q1253" s="40">
        <f t="shared" si="104"/>
        <v>636.41</v>
      </c>
      <c r="R1253" s="40">
        <f t="shared" si="104"/>
        <v>3600.73</v>
      </c>
      <c r="S1253" s="40">
        <f>ROUND('Смета ЕР (общ) '!$N1253*'Смета ЕР (общ) '!$Q1253,2)</f>
        <v>0</v>
      </c>
      <c r="T1253" s="40">
        <f>ROUND('Смета ЕР (общ) '!$N1253*'Смета ЕР (общ) '!$R1253,2)</f>
        <v>0</v>
      </c>
    </row>
    <row r="1254" spans="1:20" ht="34.5" customHeight="1" x14ac:dyDescent="0.3">
      <c r="A1254" s="36" t="s">
        <v>1169</v>
      </c>
      <c r="B1254" s="36">
        <v>2</v>
      </c>
      <c r="C1254" s="36"/>
      <c r="D1254" s="36">
        <v>132</v>
      </c>
      <c r="E1254" s="36" t="str">
        <f>CONCATENATE('Смета ЕР (общ) '!$A1254,".",'Смета ЕР (общ) '!$B1254,".",'Смета ЕР (общ) '!$D1254)</f>
        <v>Р9.2.132</v>
      </c>
      <c r="F1254" s="36">
        <f t="shared" si="105"/>
        <v>1</v>
      </c>
      <c r="G1254" s="36"/>
      <c r="H1254" s="36"/>
      <c r="I1254" s="36"/>
      <c r="J1254" s="36"/>
      <c r="K1254" s="36"/>
      <c r="L1254" s="37" t="s">
        <v>1336</v>
      </c>
      <c r="M1254" s="38" t="s">
        <v>118</v>
      </c>
      <c r="N1254" s="39"/>
      <c r="O1254" s="40">
        <v>636.41</v>
      </c>
      <c r="P1254" s="40">
        <v>3899.62</v>
      </c>
      <c r="Q1254" s="40">
        <f t="shared" si="104"/>
        <v>636.41</v>
      </c>
      <c r="R1254" s="40">
        <f t="shared" si="104"/>
        <v>3899.62</v>
      </c>
      <c r="S1254" s="40">
        <f>ROUND('Смета ЕР (общ) '!$N1254*'Смета ЕР (общ) '!$Q1254,2)</f>
        <v>0</v>
      </c>
      <c r="T1254" s="40">
        <f>ROUND('Смета ЕР (общ) '!$N1254*'Смета ЕР (общ) '!$R1254,2)</f>
        <v>0</v>
      </c>
    </row>
    <row r="1255" spans="1:20" ht="34.5" customHeight="1" x14ac:dyDescent="0.3">
      <c r="A1255" s="36" t="s">
        <v>1169</v>
      </c>
      <c r="B1255" s="36">
        <v>2</v>
      </c>
      <c r="C1255" s="36"/>
      <c r="D1255" s="36">
        <v>133</v>
      </c>
      <c r="E1255" s="36" t="str">
        <f>CONCATENATE('Смета ЕР (общ) '!$A1255,".",'Смета ЕР (общ) '!$B1255,".",'Смета ЕР (общ) '!$D1255)</f>
        <v>Р9.2.133</v>
      </c>
      <c r="F1255" s="36">
        <f t="shared" si="105"/>
        <v>1</v>
      </c>
      <c r="G1255" s="36"/>
      <c r="H1255" s="36"/>
      <c r="I1255" s="36"/>
      <c r="J1255" s="36"/>
      <c r="K1255" s="36"/>
      <c r="L1255" s="37" t="s">
        <v>1337</v>
      </c>
      <c r="M1255" s="38" t="s">
        <v>118</v>
      </c>
      <c r="N1255" s="39"/>
      <c r="O1255" s="40">
        <v>922.83</v>
      </c>
      <c r="P1255" s="40">
        <v>23067.78</v>
      </c>
      <c r="Q1255" s="40">
        <f t="shared" si="104"/>
        <v>922.83</v>
      </c>
      <c r="R1255" s="40">
        <f t="shared" si="104"/>
        <v>23067.78</v>
      </c>
      <c r="S1255" s="40">
        <f>ROUND('Смета ЕР (общ) '!$N1255*'Смета ЕР (общ) '!$Q1255,2)</f>
        <v>0</v>
      </c>
      <c r="T1255" s="40">
        <f>ROUND('Смета ЕР (общ) '!$N1255*'Смета ЕР (общ) '!$R1255,2)</f>
        <v>0</v>
      </c>
    </row>
    <row r="1256" spans="1:20" ht="34.5" customHeight="1" x14ac:dyDescent="0.3">
      <c r="A1256" s="36" t="s">
        <v>1169</v>
      </c>
      <c r="B1256" s="36">
        <v>2</v>
      </c>
      <c r="C1256" s="36"/>
      <c r="D1256" s="36">
        <v>134</v>
      </c>
      <c r="E1256" s="36" t="str">
        <f>CONCATENATE('Смета ЕР (общ) '!$A1256,".",'Смета ЕР (общ) '!$B1256,".",'Смета ЕР (общ) '!$D1256)</f>
        <v>Р9.2.134</v>
      </c>
      <c r="F1256" s="36">
        <f t="shared" si="105"/>
        <v>1</v>
      </c>
      <c r="G1256" s="36"/>
      <c r="H1256" s="36"/>
      <c r="I1256" s="36"/>
      <c r="J1256" s="36"/>
      <c r="K1256" s="36"/>
      <c r="L1256" s="37" t="s">
        <v>1338</v>
      </c>
      <c r="M1256" s="38" t="s">
        <v>118</v>
      </c>
      <c r="N1256" s="39"/>
      <c r="O1256" s="40">
        <v>922.83</v>
      </c>
      <c r="P1256" s="40">
        <v>22887.98</v>
      </c>
      <c r="Q1256" s="40">
        <f t="shared" si="104"/>
        <v>922.83</v>
      </c>
      <c r="R1256" s="40">
        <f t="shared" si="104"/>
        <v>22887.98</v>
      </c>
      <c r="S1256" s="40">
        <f>ROUND('Смета ЕР (общ) '!$N1256*'Смета ЕР (общ) '!$Q1256,2)</f>
        <v>0</v>
      </c>
      <c r="T1256" s="40">
        <f>ROUND('Смета ЕР (общ) '!$N1256*'Смета ЕР (общ) '!$R1256,2)</f>
        <v>0</v>
      </c>
    </row>
    <row r="1257" spans="1:20" ht="34.5" customHeight="1" x14ac:dyDescent="0.3">
      <c r="A1257" s="36" t="s">
        <v>1169</v>
      </c>
      <c r="B1257" s="36">
        <v>2</v>
      </c>
      <c r="C1257" s="36"/>
      <c r="D1257" s="36">
        <v>135</v>
      </c>
      <c r="E1257" s="36" t="str">
        <f>CONCATENATE('Смета ЕР (общ) '!$A1257,".",'Смета ЕР (общ) '!$B1257,".",'Смета ЕР (общ) '!$D1257)</f>
        <v>Р9.2.135</v>
      </c>
      <c r="F1257" s="36">
        <f t="shared" si="105"/>
        <v>1</v>
      </c>
      <c r="G1257" s="36"/>
      <c r="H1257" s="36"/>
      <c r="I1257" s="36"/>
      <c r="J1257" s="36"/>
      <c r="K1257" s="36"/>
      <c r="L1257" s="37" t="s">
        <v>1339</v>
      </c>
      <c r="M1257" s="38" t="s">
        <v>118</v>
      </c>
      <c r="N1257" s="39"/>
      <c r="O1257" s="40">
        <v>1087.83</v>
      </c>
      <c r="P1257" s="40">
        <v>22432.19</v>
      </c>
      <c r="Q1257" s="40">
        <f t="shared" si="104"/>
        <v>1087.83</v>
      </c>
      <c r="R1257" s="40">
        <f t="shared" si="104"/>
        <v>22432.19</v>
      </c>
      <c r="S1257" s="40">
        <f>ROUND('Смета ЕР (общ) '!$N1257*'Смета ЕР (общ) '!$Q1257,2)</f>
        <v>0</v>
      </c>
      <c r="T1257" s="40">
        <f>ROUND('Смета ЕР (общ) '!$N1257*'Смета ЕР (общ) '!$R1257,2)</f>
        <v>0</v>
      </c>
    </row>
    <row r="1258" spans="1:20" ht="34.5" customHeight="1" x14ac:dyDescent="0.3">
      <c r="A1258" s="36" t="s">
        <v>1169</v>
      </c>
      <c r="B1258" s="36">
        <v>2</v>
      </c>
      <c r="C1258" s="36"/>
      <c r="D1258" s="36">
        <v>136</v>
      </c>
      <c r="E1258" s="36" t="str">
        <f>CONCATENATE('Смета ЕР (общ) '!$A1258,".",'Смета ЕР (общ) '!$B1258,".",'Смета ЕР (общ) '!$D1258)</f>
        <v>Р9.2.136</v>
      </c>
      <c r="F1258" s="36">
        <f t="shared" si="105"/>
        <v>1</v>
      </c>
      <c r="G1258" s="36"/>
      <c r="H1258" s="36"/>
      <c r="I1258" s="36"/>
      <c r="J1258" s="36"/>
      <c r="K1258" s="36"/>
      <c r="L1258" s="37" t="s">
        <v>1340</v>
      </c>
      <c r="M1258" s="38" t="s">
        <v>118</v>
      </c>
      <c r="N1258" s="39"/>
      <c r="O1258" s="40">
        <v>1245.3800000000001</v>
      </c>
      <c r="P1258" s="40">
        <v>22932.26</v>
      </c>
      <c r="Q1258" s="40">
        <f t="shared" si="104"/>
        <v>1245.3800000000001</v>
      </c>
      <c r="R1258" s="40">
        <f t="shared" si="104"/>
        <v>22932.26</v>
      </c>
      <c r="S1258" s="40">
        <f>ROUND('Смета ЕР (общ) '!$N1258*'Смета ЕР (общ) '!$Q1258,2)</f>
        <v>0</v>
      </c>
      <c r="T1258" s="40">
        <f>ROUND('Смета ЕР (общ) '!$N1258*'Смета ЕР (общ) '!$R1258,2)</f>
        <v>0</v>
      </c>
    </row>
    <row r="1259" spans="1:20" ht="34.5" customHeight="1" x14ac:dyDescent="0.3">
      <c r="A1259" s="36" t="s">
        <v>1169</v>
      </c>
      <c r="B1259" s="36">
        <v>2</v>
      </c>
      <c r="C1259" s="36"/>
      <c r="D1259" s="36">
        <v>137</v>
      </c>
      <c r="E1259" s="36" t="str">
        <f>CONCATENATE('Смета ЕР (общ) '!$A1259,".",'Смета ЕР (общ) '!$B1259,".",'Смета ЕР (общ) '!$D1259)</f>
        <v>Р9.2.137</v>
      </c>
      <c r="F1259" s="36">
        <f t="shared" si="105"/>
        <v>1</v>
      </c>
      <c r="G1259" s="36"/>
      <c r="H1259" s="36"/>
      <c r="I1259" s="36"/>
      <c r="J1259" s="36"/>
      <c r="K1259" s="36"/>
      <c r="L1259" s="37" t="s">
        <v>1341</v>
      </c>
      <c r="M1259" s="38" t="s">
        <v>118</v>
      </c>
      <c r="N1259" s="39"/>
      <c r="O1259" s="40">
        <v>1420.16</v>
      </c>
      <c r="P1259" s="40">
        <v>23207.45</v>
      </c>
      <c r="Q1259" s="40">
        <f t="shared" si="104"/>
        <v>1420.16</v>
      </c>
      <c r="R1259" s="40">
        <f t="shared" si="104"/>
        <v>23207.45</v>
      </c>
      <c r="S1259" s="40">
        <f>ROUND('Смета ЕР (общ) '!$N1259*'Смета ЕР (общ) '!$Q1259,2)</f>
        <v>0</v>
      </c>
      <c r="T1259" s="40">
        <f>ROUND('Смета ЕР (общ) '!$N1259*'Смета ЕР (общ) '!$R1259,2)</f>
        <v>0</v>
      </c>
    </row>
    <row r="1260" spans="1:20" ht="34.5" customHeight="1" x14ac:dyDescent="0.3">
      <c r="A1260" s="36" t="s">
        <v>1169</v>
      </c>
      <c r="B1260" s="36">
        <v>2</v>
      </c>
      <c r="C1260" s="36"/>
      <c r="D1260" s="36">
        <v>138</v>
      </c>
      <c r="E1260" s="36" t="str">
        <f>CONCATENATE('Смета ЕР (общ) '!$A1260,".",'Смета ЕР (общ) '!$B1260,".",'Смета ЕР (общ) '!$D1260)</f>
        <v>Р9.2.138</v>
      </c>
      <c r="F1260" s="36">
        <f t="shared" si="105"/>
        <v>1</v>
      </c>
      <c r="G1260" s="36"/>
      <c r="H1260" s="36"/>
      <c r="I1260" s="36"/>
      <c r="J1260" s="36"/>
      <c r="K1260" s="36"/>
      <c r="L1260" s="37" t="s">
        <v>1342</v>
      </c>
      <c r="M1260" s="38" t="s">
        <v>118</v>
      </c>
      <c r="N1260" s="39"/>
      <c r="O1260" s="40">
        <v>1673.5</v>
      </c>
      <c r="P1260" s="40">
        <v>22575.84</v>
      </c>
      <c r="Q1260" s="40">
        <f t="shared" si="104"/>
        <v>1673.5</v>
      </c>
      <c r="R1260" s="40">
        <f t="shared" si="104"/>
        <v>22575.84</v>
      </c>
      <c r="S1260" s="40">
        <f>ROUND('Смета ЕР (общ) '!$N1260*'Смета ЕР (общ) '!$Q1260,2)</f>
        <v>0</v>
      </c>
      <c r="T1260" s="40">
        <f>ROUND('Смета ЕР (общ) '!$N1260*'Смета ЕР (общ) '!$R1260,2)</f>
        <v>0</v>
      </c>
    </row>
    <row r="1261" spans="1:20" ht="34.5" customHeight="1" x14ac:dyDescent="0.3">
      <c r="A1261" s="36" t="s">
        <v>1169</v>
      </c>
      <c r="B1261" s="36">
        <v>2</v>
      </c>
      <c r="C1261" s="36"/>
      <c r="D1261" s="36">
        <v>139</v>
      </c>
      <c r="E1261" s="36" t="str">
        <f>CONCATENATE('Смета ЕР (общ) '!$A1261,".",'Смета ЕР (общ) '!$B1261,".",'Смета ЕР (общ) '!$D1261)</f>
        <v>Р9.2.139</v>
      </c>
      <c r="F1261" s="36">
        <f t="shared" si="105"/>
        <v>1</v>
      </c>
      <c r="G1261" s="36"/>
      <c r="H1261" s="36"/>
      <c r="I1261" s="36"/>
      <c r="J1261" s="36"/>
      <c r="K1261" s="36"/>
      <c r="L1261" s="37" t="s">
        <v>1343</v>
      </c>
      <c r="M1261" s="38" t="s">
        <v>118</v>
      </c>
      <c r="N1261" s="39"/>
      <c r="O1261" s="40">
        <v>2198.61</v>
      </c>
      <c r="P1261" s="40">
        <v>22548.12</v>
      </c>
      <c r="Q1261" s="40">
        <f t="shared" si="104"/>
        <v>2198.61</v>
      </c>
      <c r="R1261" s="40">
        <f t="shared" si="104"/>
        <v>22548.12</v>
      </c>
      <c r="S1261" s="40">
        <f>ROUND('Смета ЕР (общ) '!$N1261*'Смета ЕР (общ) '!$Q1261,2)</f>
        <v>0</v>
      </c>
      <c r="T1261" s="40">
        <f>ROUND('Смета ЕР (общ) '!$N1261*'Смета ЕР (общ) '!$R1261,2)</f>
        <v>0</v>
      </c>
    </row>
    <row r="1262" spans="1:20" ht="34.5" customHeight="1" x14ac:dyDescent="0.3">
      <c r="A1262" s="36" t="s">
        <v>1169</v>
      </c>
      <c r="B1262" s="36">
        <v>2</v>
      </c>
      <c r="C1262" s="36"/>
      <c r="D1262" s="36">
        <v>140</v>
      </c>
      <c r="E1262" s="36" t="str">
        <f>CONCATENATE('Смета ЕР (общ) '!$A1262,".",'Смета ЕР (общ) '!$B1262,".",'Смета ЕР (общ) '!$D1262)</f>
        <v>Р9.2.140</v>
      </c>
      <c r="F1262" s="36">
        <f t="shared" si="105"/>
        <v>1</v>
      </c>
      <c r="G1262" s="36"/>
      <c r="H1262" s="36"/>
      <c r="I1262" s="36"/>
      <c r="J1262" s="36"/>
      <c r="K1262" s="36"/>
      <c r="L1262" s="37" t="s">
        <v>1344</v>
      </c>
      <c r="M1262" s="38" t="s">
        <v>118</v>
      </c>
      <c r="N1262" s="39"/>
      <c r="O1262" s="40">
        <v>2198.61</v>
      </c>
      <c r="P1262" s="40">
        <v>22049.18</v>
      </c>
      <c r="Q1262" s="40">
        <f t="shared" si="104"/>
        <v>2198.61</v>
      </c>
      <c r="R1262" s="40">
        <f t="shared" si="104"/>
        <v>22049.18</v>
      </c>
      <c r="S1262" s="40">
        <f>ROUND('Смета ЕР (общ) '!$N1262*'Смета ЕР (общ) '!$Q1262,2)</f>
        <v>0</v>
      </c>
      <c r="T1262" s="40">
        <f>ROUND('Смета ЕР (общ) '!$N1262*'Смета ЕР (общ) '!$R1262,2)</f>
        <v>0</v>
      </c>
    </row>
    <row r="1263" spans="1:20" ht="34.5" customHeight="1" x14ac:dyDescent="0.3">
      <c r="A1263" s="36" t="s">
        <v>1169</v>
      </c>
      <c r="B1263" s="36">
        <v>2</v>
      </c>
      <c r="C1263" s="36"/>
      <c r="D1263" s="36">
        <v>141</v>
      </c>
      <c r="E1263" s="36" t="str">
        <f>CONCATENATE('Смета ЕР (общ) '!$A1263,".",'Смета ЕР (общ) '!$B1263,".",'Смета ЕР (общ) '!$D1263)</f>
        <v>Р9.2.141</v>
      </c>
      <c r="F1263" s="36">
        <f t="shared" si="105"/>
        <v>1</v>
      </c>
      <c r="G1263" s="36"/>
      <c r="H1263" s="36"/>
      <c r="I1263" s="36"/>
      <c r="J1263" s="36"/>
      <c r="K1263" s="36"/>
      <c r="L1263" s="37" t="s">
        <v>1345</v>
      </c>
      <c r="M1263" s="38" t="s">
        <v>118</v>
      </c>
      <c r="N1263" s="39"/>
      <c r="O1263" s="40">
        <v>2251.13</v>
      </c>
      <c r="P1263" s="40">
        <v>22342.42</v>
      </c>
      <c r="Q1263" s="40">
        <f t="shared" si="104"/>
        <v>2251.13</v>
      </c>
      <c r="R1263" s="40">
        <f t="shared" si="104"/>
        <v>22342.42</v>
      </c>
      <c r="S1263" s="40">
        <f>ROUND('Смета ЕР (общ) '!$N1263*'Смета ЕР (общ) '!$Q1263,2)</f>
        <v>0</v>
      </c>
      <c r="T1263" s="40">
        <f>ROUND('Смета ЕР (общ) '!$N1263*'Смета ЕР (общ) '!$R1263,2)</f>
        <v>0</v>
      </c>
    </row>
    <row r="1264" spans="1:20" ht="34.5" customHeight="1" x14ac:dyDescent="0.3">
      <c r="A1264" s="36" t="s">
        <v>1169</v>
      </c>
      <c r="B1264" s="36">
        <v>2</v>
      </c>
      <c r="C1264" s="36"/>
      <c r="D1264" s="36">
        <v>142</v>
      </c>
      <c r="E1264" s="36" t="str">
        <f>CONCATENATE('Смета ЕР (общ) '!$A1264,".",'Смета ЕР (общ) '!$B1264,".",'Смета ЕР (общ) '!$D1264)</f>
        <v>Р9.2.142</v>
      </c>
      <c r="F1264" s="36">
        <f t="shared" si="105"/>
        <v>1</v>
      </c>
      <c r="G1264" s="36"/>
      <c r="H1264" s="36"/>
      <c r="I1264" s="36"/>
      <c r="J1264" s="36"/>
      <c r="K1264" s="36"/>
      <c r="L1264" s="37" t="s">
        <v>1346</v>
      </c>
      <c r="M1264" s="38" t="s">
        <v>118</v>
      </c>
      <c r="N1264" s="39"/>
      <c r="O1264" s="40">
        <v>2251.13</v>
      </c>
      <c r="P1264" s="40">
        <v>22177.47</v>
      </c>
      <c r="Q1264" s="40">
        <f t="shared" si="104"/>
        <v>2251.13</v>
      </c>
      <c r="R1264" s="40">
        <f t="shared" si="104"/>
        <v>22177.47</v>
      </c>
      <c r="S1264" s="40">
        <f>ROUND('Смета ЕР (общ) '!$N1264*'Смета ЕР (общ) '!$Q1264,2)</f>
        <v>0</v>
      </c>
      <c r="T1264" s="40">
        <f>ROUND('Смета ЕР (общ) '!$N1264*'Смета ЕР (общ) '!$R1264,2)</f>
        <v>0</v>
      </c>
    </row>
    <row r="1265" spans="1:20" ht="34.5" customHeight="1" x14ac:dyDescent="0.3">
      <c r="A1265" s="36" t="s">
        <v>1169</v>
      </c>
      <c r="B1265" s="36">
        <v>2</v>
      </c>
      <c r="C1265" s="36"/>
      <c r="D1265" s="36">
        <v>143</v>
      </c>
      <c r="E1265" s="36" t="str">
        <f>CONCATENATE('Смета ЕР (общ) '!$A1265,".",'Смета ЕР (общ) '!$B1265,".",'Смета ЕР (общ) '!$D1265)</f>
        <v>Р9.2.143</v>
      </c>
      <c r="F1265" s="36">
        <f t="shared" si="105"/>
        <v>1</v>
      </c>
      <c r="G1265" s="36"/>
      <c r="H1265" s="36"/>
      <c r="I1265" s="36"/>
      <c r="J1265" s="36"/>
      <c r="K1265" s="36"/>
      <c r="L1265" s="37" t="s">
        <v>1347</v>
      </c>
      <c r="M1265" s="38" t="s">
        <v>118</v>
      </c>
      <c r="N1265" s="39"/>
      <c r="O1265" s="40">
        <v>2878.97</v>
      </c>
      <c r="P1265" s="40">
        <v>32085.01</v>
      </c>
      <c r="Q1265" s="40">
        <f t="shared" si="104"/>
        <v>2878.97</v>
      </c>
      <c r="R1265" s="40">
        <f t="shared" si="104"/>
        <v>32085.01</v>
      </c>
      <c r="S1265" s="40">
        <f>ROUND('Смета ЕР (общ) '!$N1265*'Смета ЕР (общ) '!$Q1265,2)</f>
        <v>0</v>
      </c>
      <c r="T1265" s="40">
        <f>ROUND('Смета ЕР (общ) '!$N1265*'Смета ЕР (общ) '!$R1265,2)</f>
        <v>0</v>
      </c>
    </row>
    <row r="1266" spans="1:20" ht="34.5" customHeight="1" x14ac:dyDescent="0.3">
      <c r="A1266" s="36" t="s">
        <v>1169</v>
      </c>
      <c r="B1266" s="36">
        <v>2</v>
      </c>
      <c r="C1266" s="36"/>
      <c r="D1266" s="36">
        <v>299</v>
      </c>
      <c r="E1266" s="36" t="str">
        <f>CONCATENATE('Смета ЕР (общ) '!$A1266,".",'Смета ЕР (общ) '!$B1266,".",'Смета ЕР (общ) '!$D1266)</f>
        <v>Р9.2.299</v>
      </c>
      <c r="F1266" s="36">
        <f t="shared" si="105"/>
        <v>1</v>
      </c>
      <c r="G1266" s="36"/>
      <c r="H1266" s="36"/>
      <c r="I1266" s="36"/>
      <c r="J1266" s="36"/>
      <c r="K1266" s="36"/>
      <c r="L1266" s="37" t="s">
        <v>1348</v>
      </c>
      <c r="M1266" s="38" t="s">
        <v>118</v>
      </c>
      <c r="N1266" s="39"/>
      <c r="O1266" s="40">
        <v>577.62</v>
      </c>
      <c r="P1266" s="40">
        <v>4841.03</v>
      </c>
      <c r="Q1266" s="40">
        <f t="shared" si="104"/>
        <v>577.62</v>
      </c>
      <c r="R1266" s="40">
        <f t="shared" si="104"/>
        <v>4841.03</v>
      </c>
      <c r="S1266" s="40">
        <f>ROUND('Смета ЕР (общ) '!$N1266*'Смета ЕР (общ) '!$Q1266,2)</f>
        <v>0</v>
      </c>
      <c r="T1266" s="40">
        <f>ROUND('Смета ЕР (общ) '!$N1266*'Смета ЕР (общ) '!$R1266,2)</f>
        <v>0</v>
      </c>
    </row>
    <row r="1267" spans="1:20" ht="34.5" customHeight="1" x14ac:dyDescent="0.3">
      <c r="A1267" s="36" t="s">
        <v>1169</v>
      </c>
      <c r="B1267" s="36">
        <v>2</v>
      </c>
      <c r="C1267" s="36"/>
      <c r="D1267" s="36">
        <v>300</v>
      </c>
      <c r="E1267" s="36" t="str">
        <f>CONCATENATE('Смета ЕР (общ) '!$A1267,".",'Смета ЕР (общ) '!$B1267,".",'Смета ЕР (общ) '!$D1267)</f>
        <v>Р9.2.300</v>
      </c>
      <c r="F1267" s="36">
        <f t="shared" si="105"/>
        <v>1</v>
      </c>
      <c r="G1267" s="36"/>
      <c r="H1267" s="36"/>
      <c r="I1267" s="36"/>
      <c r="J1267" s="36"/>
      <c r="K1267" s="36"/>
      <c r="L1267" s="37" t="s">
        <v>1349</v>
      </c>
      <c r="M1267" s="38" t="s">
        <v>118</v>
      </c>
      <c r="N1267" s="39"/>
      <c r="O1267" s="40">
        <v>577.62</v>
      </c>
      <c r="P1267" s="40">
        <v>3714.55</v>
      </c>
      <c r="Q1267" s="40">
        <f t="shared" si="104"/>
        <v>577.62</v>
      </c>
      <c r="R1267" s="40">
        <f t="shared" si="104"/>
        <v>3714.55</v>
      </c>
      <c r="S1267" s="40">
        <f>ROUND('Смета ЕР (общ) '!$N1267*'Смета ЕР (общ) '!$Q1267,2)</f>
        <v>0</v>
      </c>
      <c r="T1267" s="40">
        <f>ROUND('Смета ЕР (общ) '!$N1267*'Смета ЕР (общ) '!$R1267,2)</f>
        <v>0</v>
      </c>
    </row>
    <row r="1268" spans="1:20" ht="34.5" customHeight="1" x14ac:dyDescent="0.3">
      <c r="A1268" s="36" t="s">
        <v>1169</v>
      </c>
      <c r="B1268" s="36">
        <v>2</v>
      </c>
      <c r="C1268" s="36"/>
      <c r="D1268" s="36">
        <v>301</v>
      </c>
      <c r="E1268" s="36" t="str">
        <f>CONCATENATE('Смета ЕР (общ) '!$A1268,".",'Смета ЕР (общ) '!$B1268,".",'Смета ЕР (общ) '!$D1268)</f>
        <v>Р9.2.301</v>
      </c>
      <c r="F1268" s="36">
        <f t="shared" si="105"/>
        <v>1</v>
      </c>
      <c r="G1268" s="36"/>
      <c r="H1268" s="36"/>
      <c r="I1268" s="36"/>
      <c r="J1268" s="36"/>
      <c r="K1268" s="36"/>
      <c r="L1268" s="37" t="s">
        <v>1350</v>
      </c>
      <c r="M1268" s="38" t="s">
        <v>118</v>
      </c>
      <c r="N1268" s="39"/>
      <c r="O1268" s="40">
        <v>577.62</v>
      </c>
      <c r="P1268" s="40">
        <v>4420.3</v>
      </c>
      <c r="Q1268" s="40">
        <f t="shared" si="104"/>
        <v>577.62</v>
      </c>
      <c r="R1268" s="40">
        <f t="shared" si="104"/>
        <v>4420.3</v>
      </c>
      <c r="S1268" s="40">
        <f>ROUND('Смета ЕР (общ) '!$N1268*'Смета ЕР (общ) '!$Q1268,2)</f>
        <v>0</v>
      </c>
      <c r="T1268" s="40">
        <f>ROUND('Смета ЕР (общ) '!$N1268*'Смета ЕР (общ) '!$R1268,2)</f>
        <v>0</v>
      </c>
    </row>
    <row r="1269" spans="1:20" ht="34.5" customHeight="1" x14ac:dyDescent="0.3">
      <c r="A1269" s="36" t="s">
        <v>1169</v>
      </c>
      <c r="B1269" s="36">
        <v>2</v>
      </c>
      <c r="C1269" s="36"/>
      <c r="D1269" s="36">
        <v>302</v>
      </c>
      <c r="E1269" s="36" t="str">
        <f>CONCATENATE('Смета ЕР (общ) '!$A1269,".",'Смета ЕР (общ) '!$B1269,".",'Смета ЕР (общ) '!$D1269)</f>
        <v>Р9.2.302</v>
      </c>
      <c r="F1269" s="36">
        <f t="shared" si="105"/>
        <v>1</v>
      </c>
      <c r="G1269" s="36"/>
      <c r="H1269" s="36"/>
      <c r="I1269" s="36"/>
      <c r="J1269" s="36"/>
      <c r="K1269" s="36"/>
      <c r="L1269" s="37" t="s">
        <v>1351</v>
      </c>
      <c r="M1269" s="38" t="s">
        <v>118</v>
      </c>
      <c r="N1269" s="39"/>
      <c r="O1269" s="40">
        <v>577.62</v>
      </c>
      <c r="P1269" s="40">
        <v>4017.31</v>
      </c>
      <c r="Q1269" s="40">
        <f t="shared" si="104"/>
        <v>577.62</v>
      </c>
      <c r="R1269" s="40">
        <f t="shared" si="104"/>
        <v>4017.31</v>
      </c>
      <c r="S1269" s="40">
        <f>ROUND('Смета ЕР (общ) '!$N1269*'Смета ЕР (общ) '!$Q1269,2)</f>
        <v>0</v>
      </c>
      <c r="T1269" s="40">
        <f>ROUND('Смета ЕР (общ) '!$N1269*'Смета ЕР (общ) '!$R1269,2)</f>
        <v>0</v>
      </c>
    </row>
    <row r="1270" spans="1:20" ht="34.5" customHeight="1" x14ac:dyDescent="0.3">
      <c r="A1270" s="36" t="s">
        <v>1169</v>
      </c>
      <c r="B1270" s="36">
        <v>2</v>
      </c>
      <c r="C1270" s="36"/>
      <c r="D1270" s="36">
        <v>303</v>
      </c>
      <c r="E1270" s="36" t="str">
        <f>CONCATENATE('Смета ЕР (общ) '!$A1270,".",'Смета ЕР (общ) '!$B1270,".",'Смета ЕР (общ) '!$D1270)</f>
        <v>Р9.2.303</v>
      </c>
      <c r="F1270" s="36">
        <f t="shared" si="105"/>
        <v>1</v>
      </c>
      <c r="G1270" s="36"/>
      <c r="H1270" s="36"/>
      <c r="I1270" s="36"/>
      <c r="J1270" s="36"/>
      <c r="K1270" s="36"/>
      <c r="L1270" s="37" t="s">
        <v>1352</v>
      </c>
      <c r="M1270" s="38" t="s">
        <v>118</v>
      </c>
      <c r="N1270" s="39"/>
      <c r="O1270" s="40">
        <v>636.41</v>
      </c>
      <c r="P1270" s="40">
        <v>5445.5</v>
      </c>
      <c r="Q1270" s="40">
        <f t="shared" si="104"/>
        <v>636.41</v>
      </c>
      <c r="R1270" s="40">
        <f t="shared" si="104"/>
        <v>5445.5</v>
      </c>
      <c r="S1270" s="40">
        <f>ROUND('Смета ЕР (общ) '!$N1270*'Смета ЕР (общ) '!$Q1270,2)</f>
        <v>0</v>
      </c>
      <c r="T1270" s="40">
        <f>ROUND('Смета ЕР (общ) '!$N1270*'Смета ЕР (общ) '!$R1270,2)</f>
        <v>0</v>
      </c>
    </row>
    <row r="1271" spans="1:20" ht="34.5" customHeight="1" x14ac:dyDescent="0.3">
      <c r="A1271" s="36" t="s">
        <v>1169</v>
      </c>
      <c r="B1271" s="36">
        <v>2</v>
      </c>
      <c r="C1271" s="36"/>
      <c r="D1271" s="36">
        <v>304</v>
      </c>
      <c r="E1271" s="36" t="str">
        <f>CONCATENATE('Смета ЕР (общ) '!$A1271,".",'Смета ЕР (общ) '!$B1271,".",'Смета ЕР (общ) '!$D1271)</f>
        <v>Р9.2.304</v>
      </c>
      <c r="F1271" s="36">
        <f t="shared" si="105"/>
        <v>1</v>
      </c>
      <c r="G1271" s="36"/>
      <c r="H1271" s="36"/>
      <c r="I1271" s="36"/>
      <c r="J1271" s="36"/>
      <c r="K1271" s="36"/>
      <c r="L1271" s="37" t="s">
        <v>1353</v>
      </c>
      <c r="M1271" s="38" t="s">
        <v>118</v>
      </c>
      <c r="N1271" s="39"/>
      <c r="O1271" s="40">
        <v>636.41</v>
      </c>
      <c r="P1271" s="40">
        <v>5445.5</v>
      </c>
      <c r="Q1271" s="40">
        <f t="shared" si="104"/>
        <v>636.41</v>
      </c>
      <c r="R1271" s="40">
        <f t="shared" si="104"/>
        <v>5445.5</v>
      </c>
      <c r="S1271" s="40">
        <f>ROUND('Смета ЕР (общ) '!$N1271*'Смета ЕР (общ) '!$Q1271,2)</f>
        <v>0</v>
      </c>
      <c r="T1271" s="40">
        <f>ROUND('Смета ЕР (общ) '!$N1271*'Смета ЕР (общ) '!$R1271,2)</f>
        <v>0</v>
      </c>
    </row>
    <row r="1272" spans="1:20" ht="34.5" customHeight="1" x14ac:dyDescent="0.3">
      <c r="A1272" s="36" t="s">
        <v>1169</v>
      </c>
      <c r="B1272" s="36">
        <v>2</v>
      </c>
      <c r="C1272" s="36"/>
      <c r="D1272" s="36">
        <v>305</v>
      </c>
      <c r="E1272" s="36" t="str">
        <f>CONCATENATE('Смета ЕР (общ) '!$A1272,".",'Смета ЕР (общ) '!$B1272,".",'Смета ЕР (общ) '!$D1272)</f>
        <v>Р9.2.305</v>
      </c>
      <c r="F1272" s="36">
        <f t="shared" si="105"/>
        <v>1</v>
      </c>
      <c r="G1272" s="36"/>
      <c r="H1272" s="36"/>
      <c r="I1272" s="36"/>
      <c r="J1272" s="36"/>
      <c r="K1272" s="36"/>
      <c r="L1272" s="43" t="s">
        <v>1354</v>
      </c>
      <c r="M1272" s="38" t="s">
        <v>118</v>
      </c>
      <c r="N1272" s="39"/>
      <c r="O1272" s="40">
        <v>577.62</v>
      </c>
      <c r="P1272" s="40">
        <v>7969.9</v>
      </c>
      <c r="Q1272" s="40">
        <f t="shared" si="104"/>
        <v>577.62</v>
      </c>
      <c r="R1272" s="40">
        <f t="shared" si="104"/>
        <v>7969.9</v>
      </c>
      <c r="S1272" s="40">
        <f>ROUND('Смета ЕР (общ) '!$N1272*'Смета ЕР (общ) '!$Q1272,2)</f>
        <v>0</v>
      </c>
      <c r="T1272" s="40">
        <f>ROUND('Смета ЕР (общ) '!$N1272*'Смета ЕР (общ) '!$R1272,2)</f>
        <v>0</v>
      </c>
    </row>
    <row r="1273" spans="1:20" ht="34.5" customHeight="1" x14ac:dyDescent="0.3">
      <c r="A1273" s="36" t="s">
        <v>1169</v>
      </c>
      <c r="B1273" s="36">
        <v>2</v>
      </c>
      <c r="C1273" s="36"/>
      <c r="D1273" s="36">
        <v>306</v>
      </c>
      <c r="E1273" s="36" t="str">
        <f>CONCATENATE('Смета ЕР (общ) '!$A1273,".",'Смета ЕР (общ) '!$B1273,".",'Смета ЕР (общ) '!$D1273)</f>
        <v>Р9.2.306</v>
      </c>
      <c r="F1273" s="36">
        <f t="shared" si="105"/>
        <v>1</v>
      </c>
      <c r="G1273" s="36"/>
      <c r="H1273" s="36"/>
      <c r="I1273" s="36"/>
      <c r="J1273" s="36"/>
      <c r="K1273" s="36"/>
      <c r="L1273" s="43" t="s">
        <v>1355</v>
      </c>
      <c r="M1273" s="38" t="s">
        <v>118</v>
      </c>
      <c r="N1273" s="39"/>
      <c r="O1273" s="40">
        <v>577.62</v>
      </c>
      <c r="P1273" s="40">
        <v>1957.5</v>
      </c>
      <c r="Q1273" s="40">
        <f t="shared" si="104"/>
        <v>577.62</v>
      </c>
      <c r="R1273" s="40">
        <f t="shared" si="104"/>
        <v>1957.5</v>
      </c>
      <c r="S1273" s="40">
        <f>ROUND('Смета ЕР (общ) '!$N1273*'Смета ЕР (общ) '!$Q1273,2)</f>
        <v>0</v>
      </c>
      <c r="T1273" s="40">
        <f>ROUND('Смета ЕР (общ) '!$N1273*'Смета ЕР (общ) '!$R1273,2)</f>
        <v>0</v>
      </c>
    </row>
    <row r="1274" spans="1:20" ht="34.5" customHeight="1" x14ac:dyDescent="0.3">
      <c r="A1274" s="36" t="s">
        <v>1169</v>
      </c>
      <c r="B1274" s="36">
        <v>2</v>
      </c>
      <c r="C1274" s="36"/>
      <c r="D1274" s="36">
        <v>307</v>
      </c>
      <c r="E1274" s="36" t="str">
        <f>CONCATENATE('Смета ЕР (общ) '!$A1274,".",'Смета ЕР (общ) '!$B1274,".",'Смета ЕР (общ) '!$D1274)</f>
        <v>Р9.2.307</v>
      </c>
      <c r="F1274" s="36">
        <f t="shared" si="105"/>
        <v>1</v>
      </c>
      <c r="G1274" s="36"/>
      <c r="H1274" s="36"/>
      <c r="I1274" s="36"/>
      <c r="J1274" s="36"/>
      <c r="K1274" s="36"/>
      <c r="L1274" s="43" t="s">
        <v>1356</v>
      </c>
      <c r="M1274" s="38" t="s">
        <v>118</v>
      </c>
      <c r="N1274" s="39"/>
      <c r="O1274" s="40">
        <v>577.62</v>
      </c>
      <c r="P1274" s="40">
        <v>8037.76</v>
      </c>
      <c r="Q1274" s="40">
        <f t="shared" si="104"/>
        <v>577.62</v>
      </c>
      <c r="R1274" s="40">
        <f t="shared" si="104"/>
        <v>8037.76</v>
      </c>
      <c r="S1274" s="40">
        <f>ROUND('Смета ЕР (общ) '!$N1274*'Смета ЕР (общ) '!$Q1274,2)</f>
        <v>0</v>
      </c>
      <c r="T1274" s="40">
        <f>ROUND('Смета ЕР (общ) '!$N1274*'Смета ЕР (общ) '!$R1274,2)</f>
        <v>0</v>
      </c>
    </row>
    <row r="1275" spans="1:20" ht="34.5" customHeight="1" x14ac:dyDescent="0.3">
      <c r="A1275" s="36" t="s">
        <v>1169</v>
      </c>
      <c r="B1275" s="36">
        <v>2</v>
      </c>
      <c r="C1275" s="36"/>
      <c r="D1275" s="36">
        <v>308</v>
      </c>
      <c r="E1275" s="36" t="str">
        <f>CONCATENATE('Смета ЕР (общ) '!$A1275,".",'Смета ЕР (общ) '!$B1275,".",'Смета ЕР (общ) '!$D1275)</f>
        <v>Р9.2.308</v>
      </c>
      <c r="F1275" s="36">
        <f t="shared" si="105"/>
        <v>1</v>
      </c>
      <c r="G1275" s="36"/>
      <c r="H1275" s="36"/>
      <c r="I1275" s="36"/>
      <c r="J1275" s="36"/>
      <c r="K1275" s="36"/>
      <c r="L1275" s="43" t="s">
        <v>1357</v>
      </c>
      <c r="M1275" s="38" t="s">
        <v>118</v>
      </c>
      <c r="N1275" s="39"/>
      <c r="O1275" s="40">
        <v>636.41</v>
      </c>
      <c r="P1275" s="40">
        <v>8110.84</v>
      </c>
      <c r="Q1275" s="40">
        <f t="shared" si="104"/>
        <v>636.41</v>
      </c>
      <c r="R1275" s="40">
        <f t="shared" si="104"/>
        <v>8110.84</v>
      </c>
      <c r="S1275" s="40">
        <f>ROUND('Смета ЕР (общ) '!$N1275*'Смета ЕР (общ) '!$Q1275,2)</f>
        <v>0</v>
      </c>
      <c r="T1275" s="40">
        <f>ROUND('Смета ЕР (общ) '!$N1275*'Смета ЕР (общ) '!$R1275,2)</f>
        <v>0</v>
      </c>
    </row>
    <row r="1276" spans="1:20" ht="14.4" x14ac:dyDescent="0.3">
      <c r="A1276" s="36" t="s">
        <v>1169</v>
      </c>
      <c r="B1276" s="36">
        <v>2</v>
      </c>
      <c r="C1276" s="36"/>
      <c r="D1276" s="36">
        <v>309</v>
      </c>
      <c r="E1276" s="36" t="str">
        <f>CONCATENATE('Смета ЕР (общ) '!$A1276,".",'Смета ЕР (общ) '!$B1276,".",'Смета ЕР (общ) '!$D1276)</f>
        <v>Р9.2.309</v>
      </c>
      <c r="F1276" s="36">
        <f t="shared" si="105"/>
        <v>1</v>
      </c>
      <c r="G1276" s="36"/>
      <c r="H1276" s="36"/>
      <c r="I1276" s="36"/>
      <c r="J1276" s="36"/>
      <c r="K1276" s="36"/>
      <c r="L1276" s="43" t="s">
        <v>1358</v>
      </c>
      <c r="M1276" s="38" t="s">
        <v>118</v>
      </c>
      <c r="N1276" s="39"/>
      <c r="O1276" s="40">
        <v>636.41</v>
      </c>
      <c r="P1276" s="40">
        <v>8187.05</v>
      </c>
      <c r="Q1276" s="40">
        <f t="shared" si="104"/>
        <v>636.41</v>
      </c>
      <c r="R1276" s="40">
        <f t="shared" si="104"/>
        <v>8187.05</v>
      </c>
      <c r="S1276" s="40">
        <f>ROUND('Смета ЕР (общ) '!$N1276*'Смета ЕР (общ) '!$Q1276,2)</f>
        <v>0</v>
      </c>
      <c r="T1276" s="40">
        <f>ROUND('Смета ЕР (общ) '!$N1276*'Смета ЕР (общ) '!$R1276,2)</f>
        <v>0</v>
      </c>
    </row>
    <row r="1277" spans="1:20" ht="14.4" x14ac:dyDescent="0.3">
      <c r="A1277" s="36" t="s">
        <v>1169</v>
      </c>
      <c r="B1277" s="36">
        <v>2</v>
      </c>
      <c r="C1277" s="36"/>
      <c r="D1277" s="36">
        <v>310</v>
      </c>
      <c r="E1277" s="36" t="str">
        <f>CONCATENATE('Смета ЕР (общ) '!$A1277,".",'Смета ЕР (общ) '!$B1277,".",'Смета ЕР (общ) '!$D1277)</f>
        <v>Р9.2.310</v>
      </c>
      <c r="F1277" s="36">
        <f t="shared" si="105"/>
        <v>1</v>
      </c>
      <c r="G1277" s="36"/>
      <c r="H1277" s="36"/>
      <c r="I1277" s="36"/>
      <c r="J1277" s="36"/>
      <c r="K1277" s="36"/>
      <c r="L1277" s="43" t="s">
        <v>1359</v>
      </c>
      <c r="M1277" s="38" t="s">
        <v>118</v>
      </c>
      <c r="N1277" s="39"/>
      <c r="O1277" s="40">
        <v>577.62</v>
      </c>
      <c r="P1277" s="40">
        <v>465.62</v>
      </c>
      <c r="Q1277" s="40">
        <f t="shared" si="104"/>
        <v>577.62</v>
      </c>
      <c r="R1277" s="40">
        <f t="shared" si="104"/>
        <v>465.62</v>
      </c>
      <c r="S1277" s="40">
        <f>ROUND('Смета ЕР (общ) '!$N1277*'Смета ЕР (общ) '!$Q1277,2)</f>
        <v>0</v>
      </c>
      <c r="T1277" s="40">
        <f>ROUND('Смета ЕР (общ) '!$N1277*'Смета ЕР (общ) '!$R1277,2)</f>
        <v>0</v>
      </c>
    </row>
    <row r="1278" spans="1:20" ht="14.4" x14ac:dyDescent="0.3">
      <c r="A1278" s="36" t="s">
        <v>1169</v>
      </c>
      <c r="B1278" s="36">
        <v>2</v>
      </c>
      <c r="C1278" s="36"/>
      <c r="D1278" s="36">
        <v>311</v>
      </c>
      <c r="E1278" s="36" t="str">
        <f>CONCATENATE('Смета ЕР (общ) '!$A1278,".",'Смета ЕР (общ) '!$B1278,".",'Смета ЕР (общ) '!$D1278)</f>
        <v>Р9.2.311</v>
      </c>
      <c r="F1278" s="36">
        <f t="shared" si="105"/>
        <v>1</v>
      </c>
      <c r="G1278" s="36"/>
      <c r="H1278" s="36"/>
      <c r="I1278" s="36"/>
      <c r="J1278" s="36"/>
      <c r="K1278" s="36"/>
      <c r="L1278" s="43" t="s">
        <v>1360</v>
      </c>
      <c r="M1278" s="38" t="s">
        <v>118</v>
      </c>
      <c r="N1278" s="39"/>
      <c r="O1278" s="40">
        <v>577.62</v>
      </c>
      <c r="P1278" s="40">
        <v>334.08</v>
      </c>
      <c r="Q1278" s="40">
        <f t="shared" si="104"/>
        <v>577.62</v>
      </c>
      <c r="R1278" s="40">
        <f t="shared" si="104"/>
        <v>334.08</v>
      </c>
      <c r="S1278" s="40">
        <f>ROUND('Смета ЕР (общ) '!$N1278*'Смета ЕР (общ) '!$Q1278,2)</f>
        <v>0</v>
      </c>
      <c r="T1278" s="40">
        <f>ROUND('Смета ЕР (общ) '!$N1278*'Смета ЕР (общ) '!$R1278,2)</f>
        <v>0</v>
      </c>
    </row>
    <row r="1279" spans="1:20" ht="14.4" x14ac:dyDescent="0.3">
      <c r="A1279" s="36" t="s">
        <v>1169</v>
      </c>
      <c r="B1279" s="36">
        <v>2</v>
      </c>
      <c r="C1279" s="36"/>
      <c r="D1279" s="36">
        <v>312</v>
      </c>
      <c r="E1279" s="36" t="str">
        <f>CONCATENATE('Смета ЕР (общ) '!$A1279,".",'Смета ЕР (общ) '!$B1279,".",'Смета ЕР (общ) '!$D1279)</f>
        <v>Р9.2.312</v>
      </c>
      <c r="F1279" s="36">
        <f t="shared" si="105"/>
        <v>1</v>
      </c>
      <c r="G1279" s="36"/>
      <c r="H1279" s="36"/>
      <c r="I1279" s="36"/>
      <c r="J1279" s="36"/>
      <c r="K1279" s="36"/>
      <c r="L1279" s="43" t="s">
        <v>1361</v>
      </c>
      <c r="M1279" s="38" t="s">
        <v>118</v>
      </c>
      <c r="N1279" s="39"/>
      <c r="O1279" s="40">
        <v>577.62</v>
      </c>
      <c r="P1279" s="40">
        <v>375.84</v>
      </c>
      <c r="Q1279" s="40">
        <f t="shared" si="104"/>
        <v>577.62</v>
      </c>
      <c r="R1279" s="40">
        <f t="shared" si="104"/>
        <v>375.84</v>
      </c>
      <c r="S1279" s="40">
        <f>ROUND('Смета ЕР (общ) '!$N1279*'Смета ЕР (общ) '!$Q1279,2)</f>
        <v>0</v>
      </c>
      <c r="T1279" s="40">
        <f>ROUND('Смета ЕР (общ) '!$N1279*'Смета ЕР (общ) '!$R1279,2)</f>
        <v>0</v>
      </c>
    </row>
    <row r="1280" spans="1:20" ht="14.4" x14ac:dyDescent="0.3">
      <c r="A1280" s="36" t="s">
        <v>1169</v>
      </c>
      <c r="B1280" s="36">
        <v>2</v>
      </c>
      <c r="C1280" s="36"/>
      <c r="D1280" s="36">
        <v>313</v>
      </c>
      <c r="E1280" s="36" t="str">
        <f>CONCATENATE('Смета ЕР (общ) '!$A1280,".",'Смета ЕР (общ) '!$B1280,".",'Смета ЕР (общ) '!$D1280)</f>
        <v>Р9.2.313</v>
      </c>
      <c r="F1280" s="36">
        <f t="shared" si="105"/>
        <v>1</v>
      </c>
      <c r="G1280" s="36"/>
      <c r="H1280" s="36"/>
      <c r="I1280" s="36"/>
      <c r="J1280" s="36"/>
      <c r="K1280" s="36"/>
      <c r="L1280" s="43" t="s">
        <v>1362</v>
      </c>
      <c r="M1280" s="38" t="s">
        <v>118</v>
      </c>
      <c r="N1280" s="39"/>
      <c r="O1280" s="40">
        <v>636.41</v>
      </c>
      <c r="P1280" s="40">
        <v>1348.85</v>
      </c>
      <c r="Q1280" s="40">
        <f t="shared" si="104"/>
        <v>636.41</v>
      </c>
      <c r="R1280" s="40">
        <f t="shared" si="104"/>
        <v>1348.85</v>
      </c>
      <c r="S1280" s="40">
        <f>ROUND('Смета ЕР (общ) '!$N1280*'Смета ЕР (общ) '!$Q1280,2)</f>
        <v>0</v>
      </c>
      <c r="T1280" s="40">
        <f>ROUND('Смета ЕР (общ) '!$N1280*'Смета ЕР (общ) '!$R1280,2)</f>
        <v>0</v>
      </c>
    </row>
    <row r="1281" spans="1:20" ht="14.4" x14ac:dyDescent="0.3">
      <c r="A1281" s="36" t="s">
        <v>1169</v>
      </c>
      <c r="B1281" s="36">
        <v>2</v>
      </c>
      <c r="C1281" s="36"/>
      <c r="D1281" s="36">
        <v>314</v>
      </c>
      <c r="E1281" s="36" t="str">
        <f>CONCATENATE('Смета ЕР (общ) '!$A1281,".",'Смета ЕР (общ) '!$B1281,".",'Смета ЕР (общ) '!$D1281)</f>
        <v>Р9.2.314</v>
      </c>
      <c r="F1281" s="36">
        <f t="shared" si="105"/>
        <v>1</v>
      </c>
      <c r="G1281" s="36"/>
      <c r="H1281" s="36"/>
      <c r="I1281" s="36"/>
      <c r="J1281" s="36"/>
      <c r="K1281" s="36"/>
      <c r="L1281" s="43" t="s">
        <v>1363</v>
      </c>
      <c r="M1281" s="38" t="s">
        <v>118</v>
      </c>
      <c r="N1281" s="39"/>
      <c r="O1281" s="40">
        <v>636.41</v>
      </c>
      <c r="P1281" s="40">
        <v>1774.8</v>
      </c>
      <c r="Q1281" s="40">
        <f t="shared" si="104"/>
        <v>636.41</v>
      </c>
      <c r="R1281" s="40">
        <f t="shared" si="104"/>
        <v>1774.8</v>
      </c>
      <c r="S1281" s="40">
        <f>ROUND('Смета ЕР (общ) '!$N1281*'Смета ЕР (общ) '!$Q1281,2)</f>
        <v>0</v>
      </c>
      <c r="T1281" s="40">
        <f>ROUND('Смета ЕР (общ) '!$N1281*'Смета ЕР (общ) '!$R1281,2)</f>
        <v>0</v>
      </c>
    </row>
    <row r="1282" spans="1:20" ht="14.4" x14ac:dyDescent="0.3">
      <c r="A1282" s="36" t="s">
        <v>1169</v>
      </c>
      <c r="B1282" s="36">
        <v>2</v>
      </c>
      <c r="C1282" s="36"/>
      <c r="D1282" s="36">
        <v>315</v>
      </c>
      <c r="E1282" s="36" t="str">
        <f>CONCATENATE('Смета ЕР (общ) '!$A1282,".",'Смета ЕР (общ) '!$B1282,".",'Смета ЕР (общ) '!$D1282)</f>
        <v>Р9.2.315</v>
      </c>
      <c r="F1282" s="36">
        <f t="shared" si="105"/>
        <v>1</v>
      </c>
      <c r="G1282" s="36"/>
      <c r="H1282" s="36"/>
      <c r="I1282" s="36"/>
      <c r="J1282" s="36"/>
      <c r="K1282" s="36"/>
      <c r="L1282" s="43" t="s">
        <v>1364</v>
      </c>
      <c r="M1282" s="38" t="s">
        <v>118</v>
      </c>
      <c r="N1282" s="39"/>
      <c r="O1282" s="40">
        <v>636.41</v>
      </c>
      <c r="P1282" s="40">
        <v>1357.2</v>
      </c>
      <c r="Q1282" s="40">
        <f t="shared" si="104"/>
        <v>636.41</v>
      </c>
      <c r="R1282" s="40">
        <f t="shared" si="104"/>
        <v>1357.2</v>
      </c>
      <c r="S1282" s="40">
        <f>ROUND('Смета ЕР (общ) '!$N1282*'Смета ЕР (общ) '!$Q1282,2)</f>
        <v>0</v>
      </c>
      <c r="T1282" s="40">
        <f>ROUND('Смета ЕР (общ) '!$N1282*'Смета ЕР (общ) '!$R1282,2)</f>
        <v>0</v>
      </c>
    </row>
    <row r="1283" spans="1:20" ht="14.4" x14ac:dyDescent="0.3">
      <c r="A1283" s="36" t="s">
        <v>1169</v>
      </c>
      <c r="B1283" s="36">
        <v>2</v>
      </c>
      <c r="C1283" s="36"/>
      <c r="D1283" s="36">
        <v>316</v>
      </c>
      <c r="E1283" s="36" t="str">
        <f>CONCATENATE('Смета ЕР (общ) '!$A1283,".",'Смета ЕР (общ) '!$B1283,".",'Смета ЕР (общ) '!$D1283)</f>
        <v>Р9.2.316</v>
      </c>
      <c r="F1283" s="36">
        <f t="shared" si="105"/>
        <v>1</v>
      </c>
      <c r="G1283" s="36"/>
      <c r="H1283" s="36"/>
      <c r="I1283" s="36"/>
      <c r="J1283" s="36"/>
      <c r="K1283" s="36"/>
      <c r="L1283" s="43" t="s">
        <v>1365</v>
      </c>
      <c r="M1283" s="38" t="s">
        <v>118</v>
      </c>
      <c r="N1283" s="39"/>
      <c r="O1283" s="40">
        <v>636.41</v>
      </c>
      <c r="P1283" s="40">
        <v>1044</v>
      </c>
      <c r="Q1283" s="40">
        <f t="shared" si="104"/>
        <v>636.41</v>
      </c>
      <c r="R1283" s="40">
        <f t="shared" si="104"/>
        <v>1044</v>
      </c>
      <c r="S1283" s="40">
        <f>ROUND('Смета ЕР (общ) '!$N1283*'Смета ЕР (общ) '!$Q1283,2)</f>
        <v>0</v>
      </c>
      <c r="T1283" s="40">
        <f>ROUND('Смета ЕР (общ) '!$N1283*'Смета ЕР (общ) '!$R1283,2)</f>
        <v>0</v>
      </c>
    </row>
    <row r="1284" spans="1:20" ht="14.4" x14ac:dyDescent="0.3">
      <c r="A1284" s="36" t="s">
        <v>1169</v>
      </c>
      <c r="B1284" s="36">
        <v>2</v>
      </c>
      <c r="C1284" s="36"/>
      <c r="D1284" s="36">
        <v>317</v>
      </c>
      <c r="E1284" s="36" t="str">
        <f>CONCATENATE('Смета ЕР (общ) '!$A1284,".",'Смета ЕР (общ) '!$B1284,".",'Смета ЕР (общ) '!$D1284)</f>
        <v>Р9.2.317</v>
      </c>
      <c r="F1284" s="36">
        <f t="shared" si="105"/>
        <v>1</v>
      </c>
      <c r="G1284" s="36"/>
      <c r="H1284" s="36"/>
      <c r="I1284" s="36"/>
      <c r="J1284" s="36"/>
      <c r="K1284" s="36"/>
      <c r="L1284" s="43" t="s">
        <v>1366</v>
      </c>
      <c r="M1284" s="38" t="s">
        <v>118</v>
      </c>
      <c r="N1284" s="39"/>
      <c r="O1284" s="40">
        <v>636.41</v>
      </c>
      <c r="P1284" s="40">
        <v>960.48</v>
      </c>
      <c r="Q1284" s="40">
        <f t="shared" si="104"/>
        <v>636.41</v>
      </c>
      <c r="R1284" s="40">
        <f t="shared" si="104"/>
        <v>960.48</v>
      </c>
      <c r="S1284" s="40">
        <f>ROUND('Смета ЕР (общ) '!$N1284*'Смета ЕР (общ) '!$Q1284,2)</f>
        <v>0</v>
      </c>
      <c r="T1284" s="40">
        <f>ROUND('Смета ЕР (общ) '!$N1284*'Смета ЕР (общ) '!$R1284,2)</f>
        <v>0</v>
      </c>
    </row>
    <row r="1285" spans="1:20" ht="14.4" x14ac:dyDescent="0.3">
      <c r="A1285" s="36" t="s">
        <v>1169</v>
      </c>
      <c r="B1285" s="36">
        <v>2</v>
      </c>
      <c r="C1285" s="36"/>
      <c r="D1285" s="36">
        <v>318</v>
      </c>
      <c r="E1285" s="36" t="str">
        <f>CONCATENATE('Смета ЕР (общ) '!$A1285,".",'Смета ЕР (общ) '!$B1285,".",'Смета ЕР (общ) '!$D1285)</f>
        <v>Р9.2.318</v>
      </c>
      <c r="F1285" s="36">
        <f t="shared" si="105"/>
        <v>1</v>
      </c>
      <c r="G1285" s="36"/>
      <c r="H1285" s="36"/>
      <c r="I1285" s="36"/>
      <c r="J1285" s="36"/>
      <c r="K1285" s="36"/>
      <c r="L1285" s="43" t="s">
        <v>1367</v>
      </c>
      <c r="M1285" s="38" t="s">
        <v>118</v>
      </c>
      <c r="N1285" s="39"/>
      <c r="O1285" s="40">
        <v>636.41</v>
      </c>
      <c r="P1285" s="40">
        <v>960.48</v>
      </c>
      <c r="Q1285" s="40">
        <f t="shared" si="104"/>
        <v>636.41</v>
      </c>
      <c r="R1285" s="40">
        <f t="shared" si="104"/>
        <v>960.48</v>
      </c>
      <c r="S1285" s="40">
        <f>ROUND('Смета ЕР (общ) '!$N1285*'Смета ЕР (общ) '!$Q1285,2)</f>
        <v>0</v>
      </c>
      <c r="T1285" s="40">
        <f>ROUND('Смета ЕР (общ) '!$N1285*'Смета ЕР (общ) '!$R1285,2)</f>
        <v>0</v>
      </c>
    </row>
    <row r="1286" spans="1:20" ht="14.4" x14ac:dyDescent="0.3">
      <c r="A1286" s="36" t="s">
        <v>1169</v>
      </c>
      <c r="B1286" s="36">
        <v>2</v>
      </c>
      <c r="C1286" s="36"/>
      <c r="D1286" s="36">
        <v>319</v>
      </c>
      <c r="E1286" s="36" t="str">
        <f>CONCATENATE('Смета ЕР (общ) '!$A1286,".",'Смета ЕР (общ) '!$B1286,".",'Смета ЕР (общ) '!$D1286)</f>
        <v>Р9.2.319</v>
      </c>
      <c r="F1286" s="36">
        <f t="shared" si="105"/>
        <v>1</v>
      </c>
      <c r="G1286" s="36"/>
      <c r="H1286" s="36"/>
      <c r="I1286" s="36"/>
      <c r="J1286" s="36"/>
      <c r="K1286" s="36"/>
      <c r="L1286" s="43" t="s">
        <v>1368</v>
      </c>
      <c r="M1286" s="38" t="s">
        <v>118</v>
      </c>
      <c r="N1286" s="39"/>
      <c r="O1286" s="40">
        <v>636.41</v>
      </c>
      <c r="P1286" s="40">
        <v>876.96</v>
      </c>
      <c r="Q1286" s="40">
        <f t="shared" si="104"/>
        <v>636.41</v>
      </c>
      <c r="R1286" s="40">
        <f t="shared" si="104"/>
        <v>876.96</v>
      </c>
      <c r="S1286" s="40">
        <f>ROUND('Смета ЕР (общ) '!$N1286*'Смета ЕР (общ) '!$Q1286,2)</f>
        <v>0</v>
      </c>
      <c r="T1286" s="40">
        <f>ROUND('Смета ЕР (общ) '!$N1286*'Смета ЕР (общ) '!$R1286,2)</f>
        <v>0</v>
      </c>
    </row>
    <row r="1287" spans="1:20" ht="14.4" x14ac:dyDescent="0.3">
      <c r="A1287" s="36" t="s">
        <v>1169</v>
      </c>
      <c r="B1287" s="36">
        <v>2</v>
      </c>
      <c r="C1287" s="36"/>
      <c r="D1287" s="36">
        <v>320</v>
      </c>
      <c r="E1287" s="36" t="str">
        <f>CONCATENATE('Смета ЕР (общ) '!$A1287,".",'Смета ЕР (общ) '!$B1287,".",'Смета ЕР (общ) '!$D1287)</f>
        <v>Р9.2.320</v>
      </c>
      <c r="F1287" s="36">
        <f t="shared" si="105"/>
        <v>1</v>
      </c>
      <c r="G1287" s="36"/>
      <c r="H1287" s="36"/>
      <c r="I1287" s="36"/>
      <c r="J1287" s="36"/>
      <c r="K1287" s="36"/>
      <c r="L1287" s="43" t="s">
        <v>1369</v>
      </c>
      <c r="M1287" s="38" t="s">
        <v>118</v>
      </c>
      <c r="N1287" s="39"/>
      <c r="O1287" s="40">
        <v>577.62</v>
      </c>
      <c r="P1287" s="40">
        <v>400.9</v>
      </c>
      <c r="Q1287" s="40">
        <f t="shared" si="104"/>
        <v>577.62</v>
      </c>
      <c r="R1287" s="40">
        <f t="shared" si="104"/>
        <v>400.9</v>
      </c>
      <c r="S1287" s="40">
        <f>ROUND('Смета ЕР (общ) '!$N1287*'Смета ЕР (общ) '!$Q1287,2)</f>
        <v>0</v>
      </c>
      <c r="T1287" s="40">
        <f>ROUND('Смета ЕР (общ) '!$N1287*'Смета ЕР (общ) '!$R1287,2)</f>
        <v>0</v>
      </c>
    </row>
    <row r="1288" spans="1:20" ht="14.4" x14ac:dyDescent="0.3">
      <c r="A1288" s="36" t="s">
        <v>1169</v>
      </c>
      <c r="B1288" s="36">
        <v>2</v>
      </c>
      <c r="C1288" s="36"/>
      <c r="D1288" s="36">
        <v>321</v>
      </c>
      <c r="E1288" s="36" t="str">
        <f>CONCATENATE('Смета ЕР (общ) '!$A1288,".",'Смета ЕР (общ) '!$B1288,".",'Смета ЕР (общ) '!$D1288)</f>
        <v>Р9.2.321</v>
      </c>
      <c r="F1288" s="36">
        <f t="shared" si="105"/>
        <v>1</v>
      </c>
      <c r="G1288" s="36"/>
      <c r="H1288" s="36"/>
      <c r="I1288" s="36"/>
      <c r="J1288" s="36"/>
      <c r="K1288" s="36"/>
      <c r="L1288" s="43" t="s">
        <v>1370</v>
      </c>
      <c r="M1288" s="38" t="s">
        <v>118</v>
      </c>
      <c r="N1288" s="39"/>
      <c r="O1288" s="40">
        <v>577.62</v>
      </c>
      <c r="P1288" s="40">
        <v>400.9</v>
      </c>
      <c r="Q1288" s="40">
        <f t="shared" si="104"/>
        <v>577.62</v>
      </c>
      <c r="R1288" s="40">
        <f t="shared" si="104"/>
        <v>400.9</v>
      </c>
      <c r="S1288" s="40">
        <f>ROUND('Смета ЕР (общ) '!$N1288*'Смета ЕР (общ) '!$Q1288,2)</f>
        <v>0</v>
      </c>
      <c r="T1288" s="40">
        <f>ROUND('Смета ЕР (общ) '!$N1288*'Смета ЕР (общ) '!$R1288,2)</f>
        <v>0</v>
      </c>
    </row>
    <row r="1289" spans="1:20" ht="14.4" x14ac:dyDescent="0.3">
      <c r="A1289" s="36" t="s">
        <v>1169</v>
      </c>
      <c r="B1289" s="36">
        <v>2</v>
      </c>
      <c r="C1289" s="36"/>
      <c r="D1289" s="36">
        <v>322</v>
      </c>
      <c r="E1289" s="36" t="str">
        <f>CONCATENATE('Смета ЕР (общ) '!$A1289,".",'Смета ЕР (общ) '!$B1289,".",'Смета ЕР (общ) '!$D1289)</f>
        <v>Р9.2.322</v>
      </c>
      <c r="F1289" s="36">
        <f t="shared" si="105"/>
        <v>1</v>
      </c>
      <c r="G1289" s="36"/>
      <c r="H1289" s="36"/>
      <c r="I1289" s="36"/>
      <c r="J1289" s="36"/>
      <c r="K1289" s="36"/>
      <c r="L1289" s="43" t="s">
        <v>1371</v>
      </c>
      <c r="M1289" s="38" t="s">
        <v>118</v>
      </c>
      <c r="N1289" s="39"/>
      <c r="O1289" s="40">
        <v>577.62</v>
      </c>
      <c r="P1289" s="40">
        <v>435.35</v>
      </c>
      <c r="Q1289" s="40">
        <f t="shared" si="104"/>
        <v>577.62</v>
      </c>
      <c r="R1289" s="40">
        <f t="shared" si="104"/>
        <v>435.35</v>
      </c>
      <c r="S1289" s="40">
        <f>ROUND('Смета ЕР (общ) '!$N1289*'Смета ЕР (общ) '!$Q1289,2)</f>
        <v>0</v>
      </c>
      <c r="T1289" s="40">
        <f>ROUND('Смета ЕР (общ) '!$N1289*'Смета ЕР (общ) '!$R1289,2)</f>
        <v>0</v>
      </c>
    </row>
    <row r="1290" spans="1:20" ht="14.4" x14ac:dyDescent="0.3">
      <c r="A1290" s="36" t="s">
        <v>1169</v>
      </c>
      <c r="B1290" s="36">
        <v>2</v>
      </c>
      <c r="C1290" s="36"/>
      <c r="D1290" s="36">
        <v>323</v>
      </c>
      <c r="E1290" s="36" t="str">
        <f>CONCATENATE('Смета ЕР (общ) '!$A1290,".",'Смета ЕР (общ) '!$B1290,".",'Смета ЕР (общ) '!$D1290)</f>
        <v>Р9.2.323</v>
      </c>
      <c r="F1290" s="36">
        <f t="shared" si="105"/>
        <v>1</v>
      </c>
      <c r="G1290" s="36"/>
      <c r="H1290" s="36"/>
      <c r="I1290" s="36"/>
      <c r="J1290" s="36"/>
      <c r="K1290" s="36"/>
      <c r="L1290" s="43" t="s">
        <v>1372</v>
      </c>
      <c r="M1290" s="38" t="s">
        <v>118</v>
      </c>
      <c r="N1290" s="39"/>
      <c r="O1290" s="40">
        <v>577.62</v>
      </c>
      <c r="P1290" s="40">
        <v>435.35</v>
      </c>
      <c r="Q1290" s="40">
        <f t="shared" si="104"/>
        <v>577.62</v>
      </c>
      <c r="R1290" s="40">
        <f t="shared" si="104"/>
        <v>435.35</v>
      </c>
      <c r="S1290" s="40">
        <f>ROUND('Смета ЕР (общ) '!$N1290*'Смета ЕР (общ) '!$Q1290,2)</f>
        <v>0</v>
      </c>
      <c r="T1290" s="40">
        <f>ROUND('Смета ЕР (общ) '!$N1290*'Смета ЕР (общ) '!$R1290,2)</f>
        <v>0</v>
      </c>
    </row>
    <row r="1291" spans="1:20" ht="14.4" x14ac:dyDescent="0.3">
      <c r="A1291" s="36" t="s">
        <v>1169</v>
      </c>
      <c r="B1291" s="36">
        <v>2</v>
      </c>
      <c r="C1291" s="36"/>
      <c r="D1291" s="36">
        <v>324</v>
      </c>
      <c r="E1291" s="36" t="str">
        <f>CONCATENATE('Смета ЕР (общ) '!$A1291,".",'Смета ЕР (общ) '!$B1291,".",'Смета ЕР (общ) '!$D1291)</f>
        <v>Р9.2.324</v>
      </c>
      <c r="F1291" s="36">
        <f t="shared" si="105"/>
        <v>1</v>
      </c>
      <c r="G1291" s="36"/>
      <c r="H1291" s="36"/>
      <c r="I1291" s="36"/>
      <c r="J1291" s="36"/>
      <c r="K1291" s="36"/>
      <c r="L1291" s="43" t="s">
        <v>1373</v>
      </c>
      <c r="M1291" s="38" t="s">
        <v>118</v>
      </c>
      <c r="N1291" s="39"/>
      <c r="O1291" s="40">
        <v>577.62</v>
      </c>
      <c r="P1291" s="40">
        <v>478.15</v>
      </c>
      <c r="Q1291" s="40">
        <f t="shared" si="104"/>
        <v>577.62</v>
      </c>
      <c r="R1291" s="40">
        <f t="shared" si="104"/>
        <v>478.15</v>
      </c>
      <c r="S1291" s="40">
        <f>ROUND('Смета ЕР (общ) '!$N1291*'Смета ЕР (общ) '!$Q1291,2)</f>
        <v>0</v>
      </c>
      <c r="T1291" s="40">
        <f>ROUND('Смета ЕР (общ) '!$N1291*'Смета ЕР (общ) '!$R1291,2)</f>
        <v>0</v>
      </c>
    </row>
    <row r="1292" spans="1:20" ht="14.4" x14ac:dyDescent="0.3">
      <c r="A1292" s="36" t="s">
        <v>1169</v>
      </c>
      <c r="B1292" s="36">
        <v>2</v>
      </c>
      <c r="C1292" s="36"/>
      <c r="D1292" s="36">
        <v>325</v>
      </c>
      <c r="E1292" s="36" t="str">
        <f>CONCATENATE('Смета ЕР (общ) '!$A1292,".",'Смета ЕР (общ) '!$B1292,".",'Смета ЕР (общ) '!$D1292)</f>
        <v>Р9.2.325</v>
      </c>
      <c r="F1292" s="36">
        <f t="shared" si="105"/>
        <v>1</v>
      </c>
      <c r="G1292" s="36"/>
      <c r="H1292" s="36"/>
      <c r="I1292" s="36"/>
      <c r="J1292" s="36"/>
      <c r="K1292" s="36"/>
      <c r="L1292" s="43" t="s">
        <v>1374</v>
      </c>
      <c r="M1292" s="38" t="s">
        <v>118</v>
      </c>
      <c r="N1292" s="39"/>
      <c r="O1292" s="40">
        <v>577.62</v>
      </c>
      <c r="P1292" s="40">
        <v>478.15</v>
      </c>
      <c r="Q1292" s="40">
        <f t="shared" si="104"/>
        <v>577.62</v>
      </c>
      <c r="R1292" s="40">
        <f t="shared" si="104"/>
        <v>478.15</v>
      </c>
      <c r="S1292" s="40">
        <f>ROUND('Смета ЕР (общ) '!$N1292*'Смета ЕР (общ) '!$Q1292,2)</f>
        <v>0</v>
      </c>
      <c r="T1292" s="40">
        <f>ROUND('Смета ЕР (общ) '!$N1292*'Смета ЕР (общ) '!$R1292,2)</f>
        <v>0</v>
      </c>
    </row>
    <row r="1293" spans="1:20" ht="14.4" x14ac:dyDescent="0.3">
      <c r="A1293" s="36" t="s">
        <v>1169</v>
      </c>
      <c r="B1293" s="36">
        <v>2</v>
      </c>
      <c r="C1293" s="36"/>
      <c r="D1293" s="36">
        <v>326</v>
      </c>
      <c r="E1293" s="36" t="str">
        <f>CONCATENATE('Смета ЕР (общ) '!$A1293,".",'Смета ЕР (общ) '!$B1293,".",'Смета ЕР (общ) '!$D1293)</f>
        <v>Р9.2.326</v>
      </c>
      <c r="F1293" s="36">
        <f t="shared" si="105"/>
        <v>1</v>
      </c>
      <c r="G1293" s="36"/>
      <c r="H1293" s="36"/>
      <c r="I1293" s="36"/>
      <c r="J1293" s="36"/>
      <c r="K1293" s="36"/>
      <c r="L1293" s="43" t="s">
        <v>1375</v>
      </c>
      <c r="M1293" s="38" t="s">
        <v>118</v>
      </c>
      <c r="N1293" s="39"/>
      <c r="O1293" s="40">
        <v>577.62</v>
      </c>
      <c r="P1293" s="40">
        <v>699.48</v>
      </c>
      <c r="Q1293" s="40">
        <f t="shared" si="104"/>
        <v>577.62</v>
      </c>
      <c r="R1293" s="40">
        <f t="shared" si="104"/>
        <v>699.48</v>
      </c>
      <c r="S1293" s="40">
        <f>ROUND('Смета ЕР (общ) '!$N1293*'Смета ЕР (общ) '!$Q1293,2)</f>
        <v>0</v>
      </c>
      <c r="T1293" s="40">
        <f>ROUND('Смета ЕР (общ) '!$N1293*'Смета ЕР (общ) '!$R1293,2)</f>
        <v>0</v>
      </c>
    </row>
    <row r="1294" spans="1:20" ht="14.4" x14ac:dyDescent="0.3">
      <c r="A1294" s="36" t="s">
        <v>1169</v>
      </c>
      <c r="B1294" s="36">
        <v>2</v>
      </c>
      <c r="C1294" s="36"/>
      <c r="D1294" s="36">
        <v>327</v>
      </c>
      <c r="E1294" s="36" t="str">
        <f>CONCATENATE('Смета ЕР (общ) '!$A1294,".",'Смета ЕР (общ) '!$B1294,".",'Смета ЕР (общ) '!$D1294)</f>
        <v>Р9.2.327</v>
      </c>
      <c r="F1294" s="36">
        <f t="shared" si="105"/>
        <v>1</v>
      </c>
      <c r="G1294" s="36"/>
      <c r="H1294" s="36"/>
      <c r="I1294" s="36"/>
      <c r="J1294" s="36"/>
      <c r="K1294" s="36"/>
      <c r="L1294" s="43" t="s">
        <v>1376</v>
      </c>
      <c r="M1294" s="38" t="s">
        <v>118</v>
      </c>
      <c r="N1294" s="39"/>
      <c r="O1294" s="40">
        <v>577.62</v>
      </c>
      <c r="P1294" s="40">
        <v>699.48</v>
      </c>
      <c r="Q1294" s="40">
        <f t="shared" ref="Q1294:R1354" si="106">ROUND(O1294-O1294*$V$3,2)</f>
        <v>577.62</v>
      </c>
      <c r="R1294" s="40">
        <f t="shared" si="106"/>
        <v>699.48</v>
      </c>
      <c r="S1294" s="40">
        <f>ROUND('Смета ЕР (общ) '!$N1294*'Смета ЕР (общ) '!$Q1294,2)</f>
        <v>0</v>
      </c>
      <c r="T1294" s="40">
        <f>ROUND('Смета ЕР (общ) '!$N1294*'Смета ЕР (общ) '!$R1294,2)</f>
        <v>0</v>
      </c>
    </row>
    <row r="1295" spans="1:20" ht="14.4" x14ac:dyDescent="0.3">
      <c r="A1295" s="36" t="s">
        <v>1169</v>
      </c>
      <c r="B1295" s="36">
        <v>2</v>
      </c>
      <c r="C1295" s="36"/>
      <c r="D1295" s="36">
        <v>328</v>
      </c>
      <c r="E1295" s="36" t="str">
        <f>CONCATENATE('Смета ЕР (общ) '!$A1295,".",'Смета ЕР (общ) '!$B1295,".",'Смета ЕР (общ) '!$D1295)</f>
        <v>Р9.2.328</v>
      </c>
      <c r="F1295" s="36">
        <f t="shared" si="105"/>
        <v>1</v>
      </c>
      <c r="G1295" s="36"/>
      <c r="H1295" s="36"/>
      <c r="I1295" s="36"/>
      <c r="J1295" s="36"/>
      <c r="K1295" s="36"/>
      <c r="L1295" s="43" t="s">
        <v>1377</v>
      </c>
      <c r="M1295" s="38" t="s">
        <v>118</v>
      </c>
      <c r="N1295" s="39"/>
      <c r="O1295" s="40">
        <v>577.62</v>
      </c>
      <c r="P1295" s="40">
        <v>574.20000000000005</v>
      </c>
      <c r="Q1295" s="40">
        <f t="shared" si="106"/>
        <v>577.62</v>
      </c>
      <c r="R1295" s="40">
        <f t="shared" si="106"/>
        <v>574.20000000000005</v>
      </c>
      <c r="S1295" s="40">
        <f>ROUND('Смета ЕР (общ) '!$N1295*'Смета ЕР (общ) '!$Q1295,2)</f>
        <v>0</v>
      </c>
      <c r="T1295" s="40">
        <f>ROUND('Смета ЕР (общ) '!$N1295*'Смета ЕР (общ) '!$R1295,2)</f>
        <v>0</v>
      </c>
    </row>
    <row r="1296" spans="1:20" ht="14.4" x14ac:dyDescent="0.3">
      <c r="A1296" s="36" t="s">
        <v>1169</v>
      </c>
      <c r="B1296" s="36">
        <v>2</v>
      </c>
      <c r="C1296" s="36"/>
      <c r="D1296" s="36">
        <v>329</v>
      </c>
      <c r="E1296" s="36" t="str">
        <f>CONCATENATE('Смета ЕР (общ) '!$A1296,".",'Смета ЕР (общ) '!$B1296,".",'Смета ЕР (общ) '!$D1296)</f>
        <v>Р9.2.329</v>
      </c>
      <c r="F1296" s="36">
        <f t="shared" si="105"/>
        <v>1</v>
      </c>
      <c r="G1296" s="36"/>
      <c r="H1296" s="36"/>
      <c r="I1296" s="36"/>
      <c r="J1296" s="36"/>
      <c r="K1296" s="36"/>
      <c r="L1296" s="43" t="s">
        <v>1378</v>
      </c>
      <c r="M1296" s="38" t="s">
        <v>118</v>
      </c>
      <c r="N1296" s="39"/>
      <c r="O1296" s="40">
        <v>577.62</v>
      </c>
      <c r="P1296" s="40">
        <v>470.84</v>
      </c>
      <c r="Q1296" s="40">
        <f t="shared" si="106"/>
        <v>577.62</v>
      </c>
      <c r="R1296" s="40">
        <f t="shared" si="106"/>
        <v>470.84</v>
      </c>
      <c r="S1296" s="40">
        <f>ROUND('Смета ЕР (общ) '!$N1296*'Смета ЕР (общ) '!$Q1296,2)</f>
        <v>0</v>
      </c>
      <c r="T1296" s="40">
        <f>ROUND('Смета ЕР (общ) '!$N1296*'Смета ЕР (общ) '!$R1296,2)</f>
        <v>0</v>
      </c>
    </row>
    <row r="1297" spans="1:20" ht="14.4" x14ac:dyDescent="0.3">
      <c r="A1297" s="36" t="s">
        <v>1169</v>
      </c>
      <c r="B1297" s="36">
        <v>2</v>
      </c>
      <c r="C1297" s="36"/>
      <c r="D1297" s="36">
        <v>330</v>
      </c>
      <c r="E1297" s="36" t="str">
        <f>CONCATENATE('Смета ЕР (общ) '!$A1297,".",'Смета ЕР (общ) '!$B1297,".",'Смета ЕР (общ) '!$D1297)</f>
        <v>Р9.2.330</v>
      </c>
      <c r="F1297" s="36">
        <f t="shared" ref="F1297:F1360" si="107">IF(N1297&gt;0,F1296+1,F1296)</f>
        <v>1</v>
      </c>
      <c r="G1297" s="36"/>
      <c r="H1297" s="36"/>
      <c r="I1297" s="36"/>
      <c r="J1297" s="36"/>
      <c r="K1297" s="36"/>
      <c r="L1297" s="43" t="s">
        <v>1379</v>
      </c>
      <c r="M1297" s="38" t="s">
        <v>118</v>
      </c>
      <c r="N1297" s="39"/>
      <c r="O1297" s="40">
        <v>577.62</v>
      </c>
      <c r="P1297" s="40">
        <v>470.84</v>
      </c>
      <c r="Q1297" s="40">
        <f t="shared" si="106"/>
        <v>577.62</v>
      </c>
      <c r="R1297" s="40">
        <f t="shared" si="106"/>
        <v>470.84</v>
      </c>
      <c r="S1297" s="40">
        <f>ROUND('Смета ЕР (общ) '!$N1297*'Смета ЕР (общ) '!$Q1297,2)</f>
        <v>0</v>
      </c>
      <c r="T1297" s="40">
        <f>ROUND('Смета ЕР (общ) '!$N1297*'Смета ЕР (общ) '!$R1297,2)</f>
        <v>0</v>
      </c>
    </row>
    <row r="1298" spans="1:20" ht="14.4" x14ac:dyDescent="0.3">
      <c r="A1298" s="36" t="s">
        <v>1169</v>
      </c>
      <c r="B1298" s="36">
        <v>2</v>
      </c>
      <c r="C1298" s="36"/>
      <c r="D1298" s="36">
        <v>331</v>
      </c>
      <c r="E1298" s="36" t="str">
        <f>CONCATENATE('Смета ЕР (общ) '!$A1298,".",'Смета ЕР (общ) '!$B1298,".",'Смета ЕР (общ) '!$D1298)</f>
        <v>Р9.2.331</v>
      </c>
      <c r="F1298" s="36">
        <f t="shared" si="107"/>
        <v>1</v>
      </c>
      <c r="G1298" s="36"/>
      <c r="H1298" s="36"/>
      <c r="I1298" s="36"/>
      <c r="J1298" s="36"/>
      <c r="K1298" s="36"/>
      <c r="L1298" s="43" t="s">
        <v>1380</v>
      </c>
      <c r="M1298" s="38" t="s">
        <v>118</v>
      </c>
      <c r="N1298" s="39"/>
      <c r="O1298" s="40">
        <v>577.62</v>
      </c>
      <c r="P1298" s="40">
        <v>510.52</v>
      </c>
      <c r="Q1298" s="40">
        <f t="shared" si="106"/>
        <v>577.62</v>
      </c>
      <c r="R1298" s="40">
        <f t="shared" si="106"/>
        <v>510.52</v>
      </c>
      <c r="S1298" s="40">
        <f>ROUND('Смета ЕР (общ) '!$N1298*'Смета ЕР (общ) '!$Q1298,2)</f>
        <v>0</v>
      </c>
      <c r="T1298" s="40">
        <f>ROUND('Смета ЕР (общ) '!$N1298*'Смета ЕР (общ) '!$R1298,2)</f>
        <v>0</v>
      </c>
    </row>
    <row r="1299" spans="1:20" ht="14.4" x14ac:dyDescent="0.3">
      <c r="A1299" s="36" t="s">
        <v>1169</v>
      </c>
      <c r="B1299" s="36">
        <v>2</v>
      </c>
      <c r="C1299" s="36"/>
      <c r="D1299" s="36">
        <v>332</v>
      </c>
      <c r="E1299" s="36" t="str">
        <f>CONCATENATE('Смета ЕР (общ) '!$A1299,".",'Смета ЕР (общ) '!$B1299,".",'Смета ЕР (общ) '!$D1299)</f>
        <v>Р9.2.332</v>
      </c>
      <c r="F1299" s="36">
        <f t="shared" si="107"/>
        <v>1</v>
      </c>
      <c r="G1299" s="36"/>
      <c r="H1299" s="36"/>
      <c r="I1299" s="36"/>
      <c r="J1299" s="36"/>
      <c r="K1299" s="36"/>
      <c r="L1299" s="43" t="s">
        <v>1381</v>
      </c>
      <c r="M1299" s="38" t="s">
        <v>118</v>
      </c>
      <c r="N1299" s="39"/>
      <c r="O1299" s="40">
        <v>577.62</v>
      </c>
      <c r="P1299" s="40">
        <v>510.52</v>
      </c>
      <c r="Q1299" s="40">
        <f t="shared" si="106"/>
        <v>577.62</v>
      </c>
      <c r="R1299" s="40">
        <f t="shared" si="106"/>
        <v>510.52</v>
      </c>
      <c r="S1299" s="40">
        <f>ROUND('Смета ЕР (общ) '!$N1299*'Смета ЕР (общ) '!$Q1299,2)</f>
        <v>0</v>
      </c>
      <c r="T1299" s="40">
        <f>ROUND('Смета ЕР (общ) '!$N1299*'Смета ЕР (общ) '!$R1299,2)</f>
        <v>0</v>
      </c>
    </row>
    <row r="1300" spans="1:20" ht="14.4" x14ac:dyDescent="0.3">
      <c r="A1300" s="36" t="s">
        <v>1169</v>
      </c>
      <c r="B1300" s="36">
        <v>2</v>
      </c>
      <c r="C1300" s="36"/>
      <c r="D1300" s="36">
        <v>333</v>
      </c>
      <c r="E1300" s="36" t="str">
        <f>CONCATENATE('Смета ЕР (общ) '!$A1300,".",'Смета ЕР (общ) '!$B1300,".",'Смета ЕР (общ) '!$D1300)</f>
        <v>Р9.2.333</v>
      </c>
      <c r="F1300" s="36">
        <f t="shared" si="107"/>
        <v>1</v>
      </c>
      <c r="G1300" s="36"/>
      <c r="H1300" s="36"/>
      <c r="I1300" s="36"/>
      <c r="J1300" s="36"/>
      <c r="K1300" s="36"/>
      <c r="L1300" s="43" t="s">
        <v>1382</v>
      </c>
      <c r="M1300" s="38" t="s">
        <v>118</v>
      </c>
      <c r="N1300" s="39"/>
      <c r="O1300" s="40">
        <v>577.62</v>
      </c>
      <c r="P1300" s="40">
        <v>1458.47</v>
      </c>
      <c r="Q1300" s="40">
        <f t="shared" si="106"/>
        <v>577.62</v>
      </c>
      <c r="R1300" s="40">
        <f t="shared" si="106"/>
        <v>1458.47</v>
      </c>
      <c r="S1300" s="40">
        <f>ROUND('Смета ЕР (общ) '!$N1300*'Смета ЕР (общ) '!$Q1300,2)</f>
        <v>0</v>
      </c>
      <c r="T1300" s="40">
        <f>ROUND('Смета ЕР (общ) '!$N1300*'Смета ЕР (общ) '!$R1300,2)</f>
        <v>0</v>
      </c>
    </row>
    <row r="1301" spans="1:20" ht="14.4" x14ac:dyDescent="0.3">
      <c r="A1301" s="36" t="s">
        <v>1169</v>
      </c>
      <c r="B1301" s="36">
        <v>2</v>
      </c>
      <c r="C1301" s="36"/>
      <c r="D1301" s="36">
        <v>334</v>
      </c>
      <c r="E1301" s="36" t="str">
        <f>CONCATENATE('Смета ЕР (общ) '!$A1301,".",'Смета ЕР (общ) '!$B1301,".",'Смета ЕР (общ) '!$D1301)</f>
        <v>Р9.2.334</v>
      </c>
      <c r="F1301" s="36">
        <f t="shared" si="107"/>
        <v>1</v>
      </c>
      <c r="G1301" s="36"/>
      <c r="H1301" s="36"/>
      <c r="I1301" s="36"/>
      <c r="J1301" s="36"/>
      <c r="K1301" s="36"/>
      <c r="L1301" s="43" t="s">
        <v>1383</v>
      </c>
      <c r="M1301" s="38" t="s">
        <v>118</v>
      </c>
      <c r="N1301" s="39"/>
      <c r="O1301" s="40">
        <v>577.62</v>
      </c>
      <c r="P1301" s="40">
        <v>1626.55</v>
      </c>
      <c r="Q1301" s="40">
        <f t="shared" si="106"/>
        <v>577.62</v>
      </c>
      <c r="R1301" s="40">
        <f t="shared" si="106"/>
        <v>1626.55</v>
      </c>
      <c r="S1301" s="40">
        <f>ROUND('Смета ЕР (общ) '!$N1301*'Смета ЕР (общ) '!$Q1301,2)</f>
        <v>0</v>
      </c>
      <c r="T1301" s="40">
        <f>ROUND('Смета ЕР (общ) '!$N1301*'Смета ЕР (общ) '!$R1301,2)</f>
        <v>0</v>
      </c>
    </row>
    <row r="1302" spans="1:20" ht="14.4" x14ac:dyDescent="0.3">
      <c r="A1302" s="36" t="s">
        <v>1169</v>
      </c>
      <c r="B1302" s="36">
        <v>2</v>
      </c>
      <c r="C1302" s="36"/>
      <c r="D1302" s="36">
        <v>335</v>
      </c>
      <c r="E1302" s="36" t="str">
        <f>CONCATENATE('Смета ЕР (общ) '!$A1302,".",'Смета ЕР (общ) '!$B1302,".",'Смета ЕР (общ) '!$D1302)</f>
        <v>Р9.2.335</v>
      </c>
      <c r="F1302" s="36">
        <f t="shared" si="107"/>
        <v>1</v>
      </c>
      <c r="G1302" s="36"/>
      <c r="H1302" s="36"/>
      <c r="I1302" s="36"/>
      <c r="J1302" s="36"/>
      <c r="K1302" s="36"/>
      <c r="L1302" s="43" t="s">
        <v>1384</v>
      </c>
      <c r="M1302" s="38" t="s">
        <v>118</v>
      </c>
      <c r="N1302" s="39"/>
      <c r="O1302" s="40">
        <v>577.62</v>
      </c>
      <c r="P1302" s="40">
        <v>1626.55</v>
      </c>
      <c r="Q1302" s="40">
        <f t="shared" si="106"/>
        <v>577.62</v>
      </c>
      <c r="R1302" s="40">
        <f t="shared" si="106"/>
        <v>1626.55</v>
      </c>
      <c r="S1302" s="40">
        <f>ROUND('Смета ЕР (общ) '!$N1302*'Смета ЕР (общ) '!$Q1302,2)</f>
        <v>0</v>
      </c>
      <c r="T1302" s="40">
        <f>ROUND('Смета ЕР (общ) '!$N1302*'Смета ЕР (общ) '!$R1302,2)</f>
        <v>0</v>
      </c>
    </row>
    <row r="1303" spans="1:20" ht="14.4" x14ac:dyDescent="0.3">
      <c r="A1303" s="36" t="s">
        <v>1169</v>
      </c>
      <c r="B1303" s="36">
        <v>2</v>
      </c>
      <c r="C1303" s="36"/>
      <c r="D1303" s="36">
        <v>336</v>
      </c>
      <c r="E1303" s="36" t="str">
        <f>CONCATENATE('Смета ЕР (общ) '!$A1303,".",'Смета ЕР (общ) '!$B1303,".",'Смета ЕР (общ) '!$D1303)</f>
        <v>Р9.2.336</v>
      </c>
      <c r="F1303" s="36">
        <f t="shared" si="107"/>
        <v>1</v>
      </c>
      <c r="G1303" s="36"/>
      <c r="H1303" s="36"/>
      <c r="I1303" s="36"/>
      <c r="J1303" s="36"/>
      <c r="K1303" s="36"/>
      <c r="L1303" s="43" t="s">
        <v>1385</v>
      </c>
      <c r="M1303" s="38" t="s">
        <v>118</v>
      </c>
      <c r="N1303" s="39"/>
      <c r="O1303" s="40">
        <v>636.41</v>
      </c>
      <c r="P1303" s="40">
        <v>1639.08</v>
      </c>
      <c r="Q1303" s="40">
        <f t="shared" si="106"/>
        <v>636.41</v>
      </c>
      <c r="R1303" s="40">
        <f t="shared" si="106"/>
        <v>1639.08</v>
      </c>
      <c r="S1303" s="40">
        <f>ROUND('Смета ЕР (общ) '!$N1303*'Смета ЕР (общ) '!$Q1303,2)</f>
        <v>0</v>
      </c>
      <c r="T1303" s="40">
        <f>ROUND('Смета ЕР (общ) '!$N1303*'Смета ЕР (общ) '!$R1303,2)</f>
        <v>0</v>
      </c>
    </row>
    <row r="1304" spans="1:20" ht="14.4" x14ac:dyDescent="0.3">
      <c r="A1304" s="36" t="s">
        <v>1169</v>
      </c>
      <c r="B1304" s="36">
        <v>2</v>
      </c>
      <c r="C1304" s="36"/>
      <c r="D1304" s="36">
        <v>337</v>
      </c>
      <c r="E1304" s="36" t="str">
        <f>CONCATENATE('Смета ЕР (общ) '!$A1304,".",'Смета ЕР (общ) '!$B1304,".",'Смета ЕР (общ) '!$D1304)</f>
        <v>Р9.2.337</v>
      </c>
      <c r="F1304" s="36">
        <f t="shared" si="107"/>
        <v>1</v>
      </c>
      <c r="G1304" s="36"/>
      <c r="H1304" s="36"/>
      <c r="I1304" s="36"/>
      <c r="J1304" s="36"/>
      <c r="K1304" s="36"/>
      <c r="L1304" s="43" t="s">
        <v>1386</v>
      </c>
      <c r="M1304" s="38" t="s">
        <v>118</v>
      </c>
      <c r="N1304" s="39"/>
      <c r="O1304" s="40">
        <v>636.41</v>
      </c>
      <c r="P1304" s="40">
        <v>1639.08</v>
      </c>
      <c r="Q1304" s="40">
        <f t="shared" si="106"/>
        <v>636.41</v>
      </c>
      <c r="R1304" s="40">
        <f t="shared" si="106"/>
        <v>1639.08</v>
      </c>
      <c r="S1304" s="40">
        <f>ROUND('Смета ЕР (общ) '!$N1304*'Смета ЕР (общ) '!$Q1304,2)</f>
        <v>0</v>
      </c>
      <c r="T1304" s="40">
        <f>ROUND('Смета ЕР (общ) '!$N1304*'Смета ЕР (общ) '!$R1304,2)</f>
        <v>0</v>
      </c>
    </row>
    <row r="1305" spans="1:20" ht="14.4" x14ac:dyDescent="0.3">
      <c r="A1305" s="36" t="s">
        <v>1169</v>
      </c>
      <c r="B1305" s="36">
        <v>2</v>
      </c>
      <c r="C1305" s="36"/>
      <c r="D1305" s="36">
        <v>338</v>
      </c>
      <c r="E1305" s="36" t="str">
        <f>CONCATENATE('Смета ЕР (общ) '!$A1305,".",'Смета ЕР (общ) '!$B1305,".",'Смета ЕР (общ) '!$D1305)</f>
        <v>Р9.2.338</v>
      </c>
      <c r="F1305" s="36">
        <f t="shared" si="107"/>
        <v>1</v>
      </c>
      <c r="G1305" s="36"/>
      <c r="H1305" s="36"/>
      <c r="I1305" s="36"/>
      <c r="J1305" s="36"/>
      <c r="K1305" s="36"/>
      <c r="L1305" s="43" t="s">
        <v>1387</v>
      </c>
      <c r="M1305" s="38" t="s">
        <v>118</v>
      </c>
      <c r="N1305" s="39"/>
      <c r="O1305" s="40">
        <v>636.41</v>
      </c>
      <c r="P1305" s="40">
        <v>2293.67</v>
      </c>
      <c r="Q1305" s="40">
        <f t="shared" si="106"/>
        <v>636.41</v>
      </c>
      <c r="R1305" s="40">
        <f t="shared" si="106"/>
        <v>2293.67</v>
      </c>
      <c r="S1305" s="40">
        <f>ROUND('Смета ЕР (общ) '!$N1305*'Смета ЕР (общ) '!$Q1305,2)</f>
        <v>0</v>
      </c>
      <c r="T1305" s="40">
        <f>ROUND('Смета ЕР (общ) '!$N1305*'Смета ЕР (общ) '!$R1305,2)</f>
        <v>0</v>
      </c>
    </row>
    <row r="1306" spans="1:20" ht="14.4" x14ac:dyDescent="0.3">
      <c r="A1306" s="36" t="s">
        <v>1169</v>
      </c>
      <c r="B1306" s="36">
        <v>2</v>
      </c>
      <c r="C1306" s="36"/>
      <c r="D1306" s="36">
        <v>339</v>
      </c>
      <c r="E1306" s="36" t="str">
        <f>CONCATENATE('Смета ЕР (общ) '!$A1306,".",'Смета ЕР (общ) '!$B1306,".",'Смета ЕР (общ) '!$D1306)</f>
        <v>Р9.2.339</v>
      </c>
      <c r="F1306" s="36">
        <f t="shared" si="107"/>
        <v>1</v>
      </c>
      <c r="G1306" s="36"/>
      <c r="H1306" s="36"/>
      <c r="I1306" s="36"/>
      <c r="J1306" s="36"/>
      <c r="K1306" s="36"/>
      <c r="L1306" s="43" t="s">
        <v>1388</v>
      </c>
      <c r="M1306" s="38" t="s">
        <v>118</v>
      </c>
      <c r="N1306" s="39"/>
      <c r="O1306" s="40">
        <v>636.41</v>
      </c>
      <c r="P1306" s="40">
        <v>2293.67</v>
      </c>
      <c r="Q1306" s="40">
        <f t="shared" si="106"/>
        <v>636.41</v>
      </c>
      <c r="R1306" s="40">
        <f t="shared" si="106"/>
        <v>2293.67</v>
      </c>
      <c r="S1306" s="40">
        <f>ROUND('Смета ЕР (общ) '!$N1306*'Смета ЕР (общ) '!$Q1306,2)</f>
        <v>0</v>
      </c>
      <c r="T1306" s="40">
        <f>ROUND('Смета ЕР (общ) '!$N1306*'Смета ЕР (общ) '!$R1306,2)</f>
        <v>0</v>
      </c>
    </row>
    <row r="1307" spans="1:20" ht="14.4" x14ac:dyDescent="0.3">
      <c r="A1307" s="36" t="s">
        <v>1169</v>
      </c>
      <c r="B1307" s="36">
        <v>2</v>
      </c>
      <c r="C1307" s="36"/>
      <c r="D1307" s="36">
        <v>340</v>
      </c>
      <c r="E1307" s="36" t="str">
        <f>CONCATENATE('Смета ЕР (общ) '!$A1307,".",'Смета ЕР (общ) '!$B1307,".",'Смета ЕР (общ) '!$D1307)</f>
        <v>Р9.2.340</v>
      </c>
      <c r="F1307" s="36">
        <f t="shared" si="107"/>
        <v>1</v>
      </c>
      <c r="G1307" s="36"/>
      <c r="H1307" s="36"/>
      <c r="I1307" s="36"/>
      <c r="J1307" s="36"/>
      <c r="K1307" s="36"/>
      <c r="L1307" s="43" t="s">
        <v>1389</v>
      </c>
      <c r="M1307" s="38" t="s">
        <v>118</v>
      </c>
      <c r="N1307" s="39"/>
      <c r="O1307" s="40">
        <v>636.41</v>
      </c>
      <c r="P1307" s="40">
        <v>23464.94</v>
      </c>
      <c r="Q1307" s="40">
        <f t="shared" si="106"/>
        <v>636.41</v>
      </c>
      <c r="R1307" s="40">
        <f t="shared" si="106"/>
        <v>23464.94</v>
      </c>
      <c r="S1307" s="40">
        <f>ROUND('Смета ЕР (общ) '!$N1307*'Смета ЕР (общ) '!$Q1307,2)</f>
        <v>0</v>
      </c>
      <c r="T1307" s="40">
        <f>ROUND('Смета ЕР (общ) '!$N1307*'Смета ЕР (общ) '!$R1307,2)</f>
        <v>0</v>
      </c>
    </row>
    <row r="1308" spans="1:20" ht="14.4" x14ac:dyDescent="0.3">
      <c r="A1308" s="36" t="s">
        <v>1169</v>
      </c>
      <c r="B1308" s="36">
        <v>2</v>
      </c>
      <c r="C1308" s="36"/>
      <c r="D1308" s="36">
        <v>341</v>
      </c>
      <c r="E1308" s="36" t="str">
        <f>CONCATENATE('Смета ЕР (общ) '!$A1308,".",'Смета ЕР (общ) '!$B1308,".",'Смета ЕР (общ) '!$D1308)</f>
        <v>Р9.2.341</v>
      </c>
      <c r="F1308" s="36">
        <f t="shared" si="107"/>
        <v>1</v>
      </c>
      <c r="G1308" s="36"/>
      <c r="H1308" s="36"/>
      <c r="I1308" s="36"/>
      <c r="J1308" s="36"/>
      <c r="K1308" s="36"/>
      <c r="L1308" s="43" t="s">
        <v>1390</v>
      </c>
      <c r="M1308" s="38" t="s">
        <v>118</v>
      </c>
      <c r="N1308" s="39"/>
      <c r="O1308" s="40">
        <v>636.41</v>
      </c>
      <c r="P1308" s="40">
        <v>23464.94</v>
      </c>
      <c r="Q1308" s="40">
        <f t="shared" si="106"/>
        <v>636.41</v>
      </c>
      <c r="R1308" s="40">
        <f t="shared" si="106"/>
        <v>23464.94</v>
      </c>
      <c r="S1308" s="40">
        <f>ROUND('Смета ЕР (общ) '!$N1308*'Смета ЕР (общ) '!$Q1308,2)</f>
        <v>0</v>
      </c>
      <c r="T1308" s="40">
        <f>ROUND('Смета ЕР (общ) '!$N1308*'Смета ЕР (общ) '!$R1308,2)</f>
        <v>0</v>
      </c>
    </row>
    <row r="1309" spans="1:20" ht="24" x14ac:dyDescent="0.3">
      <c r="A1309" s="36" t="s">
        <v>1169</v>
      </c>
      <c r="B1309" s="36">
        <v>2</v>
      </c>
      <c r="C1309" s="36"/>
      <c r="D1309" s="36">
        <v>342</v>
      </c>
      <c r="E1309" s="36" t="str">
        <f>CONCATENATE('Смета ЕР (общ) '!$A1309,".",'Смета ЕР (общ) '!$B1309,".",'Смета ЕР (общ) '!$D1309)</f>
        <v>Р9.2.342</v>
      </c>
      <c r="F1309" s="36">
        <f t="shared" si="107"/>
        <v>1</v>
      </c>
      <c r="G1309" s="36"/>
      <c r="H1309" s="36"/>
      <c r="I1309" s="36"/>
      <c r="J1309" s="36"/>
      <c r="K1309" s="36"/>
      <c r="L1309" s="43" t="s">
        <v>1391</v>
      </c>
      <c r="M1309" s="38" t="s">
        <v>118</v>
      </c>
      <c r="N1309" s="39"/>
      <c r="O1309" s="40">
        <v>287.10000000000002</v>
      </c>
      <c r="P1309" s="40">
        <v>369.8</v>
      </c>
      <c r="Q1309" s="40">
        <f t="shared" si="106"/>
        <v>287.10000000000002</v>
      </c>
      <c r="R1309" s="40">
        <f t="shared" si="106"/>
        <v>369.8</v>
      </c>
      <c r="S1309" s="40">
        <f>ROUND('Смета ЕР (общ) '!$N1309*'Смета ЕР (общ) '!$Q1309,2)</f>
        <v>0</v>
      </c>
      <c r="T1309" s="40">
        <f>ROUND('Смета ЕР (общ) '!$N1309*'Смета ЕР (общ) '!$R1309,2)</f>
        <v>0</v>
      </c>
    </row>
    <row r="1310" spans="1:20" ht="24" x14ac:dyDescent="0.3">
      <c r="A1310" s="36" t="s">
        <v>1169</v>
      </c>
      <c r="B1310" s="36">
        <v>2</v>
      </c>
      <c r="C1310" s="36"/>
      <c r="D1310" s="36">
        <v>343</v>
      </c>
      <c r="E1310" s="36" t="str">
        <f>CONCATENATE('Смета ЕР (общ) '!$A1310,".",'Смета ЕР (общ) '!$B1310,".",'Смета ЕР (общ) '!$D1310)</f>
        <v>Р9.2.343</v>
      </c>
      <c r="F1310" s="36">
        <f t="shared" si="107"/>
        <v>1</v>
      </c>
      <c r="G1310" s="36"/>
      <c r="H1310" s="36"/>
      <c r="I1310" s="36"/>
      <c r="J1310" s="36"/>
      <c r="K1310" s="36"/>
      <c r="L1310" s="43" t="s">
        <v>1392</v>
      </c>
      <c r="M1310" s="38" t="s">
        <v>118</v>
      </c>
      <c r="N1310" s="39"/>
      <c r="O1310" s="40">
        <v>287.10000000000002</v>
      </c>
      <c r="P1310" s="40">
        <v>442.8</v>
      </c>
      <c r="Q1310" s="40">
        <f t="shared" si="106"/>
        <v>287.10000000000002</v>
      </c>
      <c r="R1310" s="40">
        <f t="shared" si="106"/>
        <v>442.8</v>
      </c>
      <c r="S1310" s="40">
        <f>ROUND('Смета ЕР (общ) '!$N1310*'Смета ЕР (общ) '!$Q1310,2)</f>
        <v>0</v>
      </c>
      <c r="T1310" s="40">
        <f>ROUND('Смета ЕР (общ) '!$N1310*'Смета ЕР (общ) '!$R1310,2)</f>
        <v>0</v>
      </c>
    </row>
    <row r="1311" spans="1:20" ht="24" x14ac:dyDescent="0.3">
      <c r="A1311" s="36" t="s">
        <v>1169</v>
      </c>
      <c r="B1311" s="36">
        <v>2</v>
      </c>
      <c r="C1311" s="36"/>
      <c r="D1311" s="36">
        <v>344</v>
      </c>
      <c r="E1311" s="36" t="str">
        <f>CONCATENATE('Смета ЕР (общ) '!$A1311,".",'Смета ЕР (общ) '!$B1311,".",'Смета ЕР (общ) '!$D1311)</f>
        <v>Р9.2.344</v>
      </c>
      <c r="F1311" s="36">
        <f t="shared" si="107"/>
        <v>1</v>
      </c>
      <c r="G1311" s="36"/>
      <c r="H1311" s="36"/>
      <c r="I1311" s="36"/>
      <c r="J1311" s="36"/>
      <c r="K1311" s="36"/>
      <c r="L1311" s="43" t="s">
        <v>1393</v>
      </c>
      <c r="M1311" s="38" t="s">
        <v>118</v>
      </c>
      <c r="N1311" s="39"/>
      <c r="O1311" s="40">
        <v>287.10000000000002</v>
      </c>
      <c r="P1311" s="40">
        <v>498.14</v>
      </c>
      <c r="Q1311" s="40">
        <f t="shared" si="106"/>
        <v>287.10000000000002</v>
      </c>
      <c r="R1311" s="40">
        <f t="shared" si="106"/>
        <v>498.14</v>
      </c>
      <c r="S1311" s="40">
        <f>ROUND('Смета ЕР (общ) '!$N1311*'Смета ЕР (общ) '!$Q1311,2)</f>
        <v>0</v>
      </c>
      <c r="T1311" s="40">
        <f>ROUND('Смета ЕР (общ) '!$N1311*'Смета ЕР (общ) '!$R1311,2)</f>
        <v>0</v>
      </c>
    </row>
    <row r="1312" spans="1:20" ht="24" x14ac:dyDescent="0.3">
      <c r="A1312" s="36" t="s">
        <v>1169</v>
      </c>
      <c r="B1312" s="36">
        <v>2</v>
      </c>
      <c r="C1312" s="36"/>
      <c r="D1312" s="36">
        <v>345</v>
      </c>
      <c r="E1312" s="36" t="str">
        <f>CONCATENATE('Смета ЕР (общ) '!$A1312,".",'Смета ЕР (общ) '!$B1312,".",'Смета ЕР (общ) '!$D1312)</f>
        <v>Р9.2.345</v>
      </c>
      <c r="F1312" s="36">
        <f t="shared" si="107"/>
        <v>1</v>
      </c>
      <c r="G1312" s="36"/>
      <c r="H1312" s="36"/>
      <c r="I1312" s="36"/>
      <c r="J1312" s="36"/>
      <c r="K1312" s="36"/>
      <c r="L1312" s="43" t="s">
        <v>1394</v>
      </c>
      <c r="M1312" s="38" t="s">
        <v>118</v>
      </c>
      <c r="N1312" s="39"/>
      <c r="O1312" s="40">
        <v>287.10000000000002</v>
      </c>
      <c r="P1312" s="40">
        <v>503.45</v>
      </c>
      <c r="Q1312" s="40">
        <f t="shared" si="106"/>
        <v>287.10000000000002</v>
      </c>
      <c r="R1312" s="40">
        <f t="shared" si="106"/>
        <v>503.45</v>
      </c>
      <c r="S1312" s="40">
        <f>ROUND('Смета ЕР (общ) '!$N1312*'Смета ЕР (общ) '!$Q1312,2)</f>
        <v>0</v>
      </c>
      <c r="T1312" s="40">
        <f>ROUND('Смета ЕР (общ) '!$N1312*'Смета ЕР (общ) '!$R1312,2)</f>
        <v>0</v>
      </c>
    </row>
    <row r="1313" spans="1:20" ht="24" x14ac:dyDescent="0.3">
      <c r="A1313" s="36" t="s">
        <v>1169</v>
      </c>
      <c r="B1313" s="36">
        <v>2</v>
      </c>
      <c r="C1313" s="36"/>
      <c r="D1313" s="36">
        <v>346</v>
      </c>
      <c r="E1313" s="36" t="str">
        <f>CONCATENATE('Смета ЕР (общ) '!$A1313,".",'Смета ЕР (общ) '!$B1313,".",'Смета ЕР (общ) '!$D1313)</f>
        <v>Р9.2.346</v>
      </c>
      <c r="F1313" s="36">
        <f t="shared" si="107"/>
        <v>1</v>
      </c>
      <c r="G1313" s="36"/>
      <c r="H1313" s="36"/>
      <c r="I1313" s="36"/>
      <c r="J1313" s="36"/>
      <c r="K1313" s="36"/>
      <c r="L1313" s="43" t="s">
        <v>1395</v>
      </c>
      <c r="M1313" s="38" t="s">
        <v>118</v>
      </c>
      <c r="N1313" s="39"/>
      <c r="O1313" s="40">
        <v>438.48</v>
      </c>
      <c r="P1313" s="40">
        <v>582.54999999999995</v>
      </c>
      <c r="Q1313" s="40">
        <f t="shared" si="106"/>
        <v>438.48</v>
      </c>
      <c r="R1313" s="40">
        <f t="shared" si="106"/>
        <v>582.54999999999995</v>
      </c>
      <c r="S1313" s="40">
        <f>ROUND('Смета ЕР (общ) '!$N1313*'Смета ЕР (общ) '!$Q1313,2)</f>
        <v>0</v>
      </c>
      <c r="T1313" s="40">
        <f>ROUND('Смета ЕР (общ) '!$N1313*'Смета ЕР (общ) '!$R1313,2)</f>
        <v>0</v>
      </c>
    </row>
    <row r="1314" spans="1:20" ht="24" x14ac:dyDescent="0.3">
      <c r="A1314" s="36" t="s">
        <v>1169</v>
      </c>
      <c r="B1314" s="36">
        <v>2</v>
      </c>
      <c r="C1314" s="36"/>
      <c r="D1314" s="36">
        <v>347</v>
      </c>
      <c r="E1314" s="36" t="str">
        <f>CONCATENATE('Смета ЕР (общ) '!$A1314,".",'Смета ЕР (общ) '!$B1314,".",'Смета ЕР (общ) '!$D1314)</f>
        <v>Р9.2.347</v>
      </c>
      <c r="F1314" s="36">
        <f t="shared" si="107"/>
        <v>1</v>
      </c>
      <c r="G1314" s="36"/>
      <c r="H1314" s="36"/>
      <c r="I1314" s="36"/>
      <c r="J1314" s="36"/>
      <c r="K1314" s="36"/>
      <c r="L1314" s="43" t="s">
        <v>1396</v>
      </c>
      <c r="M1314" s="38" t="s">
        <v>118</v>
      </c>
      <c r="N1314" s="39"/>
      <c r="O1314" s="40">
        <v>438.48</v>
      </c>
      <c r="P1314" s="40">
        <v>494.09</v>
      </c>
      <c r="Q1314" s="40">
        <f t="shared" si="106"/>
        <v>438.48</v>
      </c>
      <c r="R1314" s="40">
        <f t="shared" si="106"/>
        <v>494.09</v>
      </c>
      <c r="S1314" s="40">
        <f>ROUND('Смета ЕР (общ) '!$N1314*'Смета ЕР (общ) '!$Q1314,2)</f>
        <v>0</v>
      </c>
      <c r="T1314" s="40">
        <f>ROUND('Смета ЕР (общ) '!$N1314*'Смета ЕР (общ) '!$R1314,2)</f>
        <v>0</v>
      </c>
    </row>
    <row r="1315" spans="1:20" ht="24" x14ac:dyDescent="0.3">
      <c r="A1315" s="36" t="s">
        <v>1169</v>
      </c>
      <c r="B1315" s="36">
        <v>2</v>
      </c>
      <c r="C1315" s="36"/>
      <c r="D1315" s="36">
        <v>348</v>
      </c>
      <c r="E1315" s="36" t="str">
        <f>CONCATENATE('Смета ЕР (общ) '!$A1315,".",'Смета ЕР (общ) '!$B1315,".",'Смета ЕР (общ) '!$D1315)</f>
        <v>Р9.2.348</v>
      </c>
      <c r="F1315" s="36">
        <f t="shared" si="107"/>
        <v>1</v>
      </c>
      <c r="G1315" s="36"/>
      <c r="H1315" s="36"/>
      <c r="I1315" s="36"/>
      <c r="J1315" s="36"/>
      <c r="K1315" s="36"/>
      <c r="L1315" s="43" t="s">
        <v>1397</v>
      </c>
      <c r="M1315" s="38" t="s">
        <v>118</v>
      </c>
      <c r="N1315" s="39"/>
      <c r="O1315" s="40">
        <v>287.10000000000002</v>
      </c>
      <c r="P1315" s="40">
        <v>483.35</v>
      </c>
      <c r="Q1315" s="40">
        <f t="shared" si="106"/>
        <v>287.10000000000002</v>
      </c>
      <c r="R1315" s="40">
        <f t="shared" si="106"/>
        <v>483.35</v>
      </c>
      <c r="S1315" s="40">
        <f>ROUND('Смета ЕР (общ) '!$N1315*'Смета ЕР (общ) '!$Q1315,2)</f>
        <v>0</v>
      </c>
      <c r="T1315" s="40">
        <f>ROUND('Смета ЕР (общ) '!$N1315*'Смета ЕР (общ) '!$R1315,2)</f>
        <v>0</v>
      </c>
    </row>
    <row r="1316" spans="1:20" ht="24" x14ac:dyDescent="0.3">
      <c r="A1316" s="36" t="s">
        <v>1169</v>
      </c>
      <c r="B1316" s="36">
        <v>2</v>
      </c>
      <c r="C1316" s="36"/>
      <c r="D1316" s="36">
        <v>349</v>
      </c>
      <c r="E1316" s="36" t="str">
        <f>CONCATENATE('Смета ЕР (общ) '!$A1316,".",'Смета ЕР (общ) '!$B1316,".",'Смета ЕР (общ) '!$D1316)</f>
        <v>Р9.2.349</v>
      </c>
      <c r="F1316" s="36">
        <f t="shared" si="107"/>
        <v>1</v>
      </c>
      <c r="G1316" s="36"/>
      <c r="H1316" s="36"/>
      <c r="I1316" s="36"/>
      <c r="J1316" s="36"/>
      <c r="K1316" s="36"/>
      <c r="L1316" s="43" t="s">
        <v>1398</v>
      </c>
      <c r="M1316" s="38" t="s">
        <v>118</v>
      </c>
      <c r="N1316" s="39"/>
      <c r="O1316" s="40">
        <v>287.10000000000002</v>
      </c>
      <c r="P1316" s="40">
        <v>550.96</v>
      </c>
      <c r="Q1316" s="40">
        <f t="shared" si="106"/>
        <v>287.10000000000002</v>
      </c>
      <c r="R1316" s="40">
        <f t="shared" si="106"/>
        <v>550.96</v>
      </c>
      <c r="S1316" s="40">
        <f>ROUND('Смета ЕР (общ) '!$N1316*'Смета ЕР (общ) '!$Q1316,2)</f>
        <v>0</v>
      </c>
      <c r="T1316" s="40">
        <f>ROUND('Смета ЕР (общ) '!$N1316*'Смета ЕР (общ) '!$R1316,2)</f>
        <v>0</v>
      </c>
    </row>
    <row r="1317" spans="1:20" ht="24" x14ac:dyDescent="0.3">
      <c r="A1317" s="36" t="s">
        <v>1169</v>
      </c>
      <c r="B1317" s="36">
        <v>2</v>
      </c>
      <c r="C1317" s="36"/>
      <c r="D1317" s="36">
        <v>350</v>
      </c>
      <c r="E1317" s="36" t="str">
        <f>CONCATENATE('Смета ЕР (общ) '!$A1317,".",'Смета ЕР (общ) '!$B1317,".",'Смета ЕР (общ) '!$D1317)</f>
        <v>Р9.2.350</v>
      </c>
      <c r="F1317" s="36">
        <f t="shared" si="107"/>
        <v>1</v>
      </c>
      <c r="G1317" s="36"/>
      <c r="H1317" s="36"/>
      <c r="I1317" s="36"/>
      <c r="J1317" s="36"/>
      <c r="K1317" s="36"/>
      <c r="L1317" s="43" t="s">
        <v>1399</v>
      </c>
      <c r="M1317" s="38" t="s">
        <v>118</v>
      </c>
      <c r="N1317" s="39"/>
      <c r="O1317" s="40">
        <v>746.46</v>
      </c>
      <c r="P1317" s="40">
        <v>1377.39</v>
      </c>
      <c r="Q1317" s="40">
        <f t="shared" si="106"/>
        <v>746.46</v>
      </c>
      <c r="R1317" s="40">
        <f t="shared" si="106"/>
        <v>1377.39</v>
      </c>
      <c r="S1317" s="40">
        <f>ROUND('Смета ЕР (общ) '!$N1317*'Смета ЕР (общ) '!$Q1317,2)</f>
        <v>0</v>
      </c>
      <c r="T1317" s="40">
        <f>ROUND('Смета ЕР (общ) '!$N1317*'Смета ЕР (общ) '!$R1317,2)</f>
        <v>0</v>
      </c>
    </row>
    <row r="1318" spans="1:20" ht="24" x14ac:dyDescent="0.3">
      <c r="A1318" s="36" t="s">
        <v>1169</v>
      </c>
      <c r="B1318" s="36">
        <v>2</v>
      </c>
      <c r="C1318" s="36"/>
      <c r="D1318" s="36">
        <v>351</v>
      </c>
      <c r="E1318" s="36" t="str">
        <f>CONCATENATE('Смета ЕР (общ) '!$A1318,".",'Смета ЕР (общ) '!$B1318,".",'Смета ЕР (общ) '!$D1318)</f>
        <v>Р9.2.351</v>
      </c>
      <c r="F1318" s="36">
        <f t="shared" si="107"/>
        <v>1</v>
      </c>
      <c r="G1318" s="36"/>
      <c r="H1318" s="36"/>
      <c r="I1318" s="36"/>
      <c r="J1318" s="36"/>
      <c r="K1318" s="36"/>
      <c r="L1318" s="43" t="s">
        <v>1400</v>
      </c>
      <c r="M1318" s="38" t="s">
        <v>118</v>
      </c>
      <c r="N1318" s="39"/>
      <c r="O1318" s="40">
        <v>746.46</v>
      </c>
      <c r="P1318" s="40">
        <v>1592.21</v>
      </c>
      <c r="Q1318" s="40">
        <f t="shared" si="106"/>
        <v>746.46</v>
      </c>
      <c r="R1318" s="40">
        <f t="shared" si="106"/>
        <v>1592.21</v>
      </c>
      <c r="S1318" s="40">
        <f>ROUND('Смета ЕР (общ) '!$N1318*'Смета ЕР (общ) '!$Q1318,2)</f>
        <v>0</v>
      </c>
      <c r="T1318" s="40">
        <f>ROUND('Смета ЕР (общ) '!$N1318*'Смета ЕР (общ) '!$R1318,2)</f>
        <v>0</v>
      </c>
    </row>
    <row r="1319" spans="1:20" ht="24" x14ac:dyDescent="0.3">
      <c r="A1319" s="36" t="s">
        <v>1169</v>
      </c>
      <c r="B1319" s="36">
        <v>2</v>
      </c>
      <c r="C1319" s="36"/>
      <c r="D1319" s="36">
        <v>352</v>
      </c>
      <c r="E1319" s="36" t="str">
        <f>CONCATENATE('Смета ЕР (общ) '!$A1319,".",'Смета ЕР (общ) '!$B1319,".",'Смета ЕР (общ) '!$D1319)</f>
        <v>Р9.2.352</v>
      </c>
      <c r="F1319" s="36">
        <f t="shared" si="107"/>
        <v>1</v>
      </c>
      <c r="G1319" s="36"/>
      <c r="H1319" s="36"/>
      <c r="I1319" s="36"/>
      <c r="J1319" s="36"/>
      <c r="K1319" s="36"/>
      <c r="L1319" s="43" t="s">
        <v>1401</v>
      </c>
      <c r="M1319" s="38" t="s">
        <v>118</v>
      </c>
      <c r="N1319" s="39"/>
      <c r="O1319" s="40">
        <v>791.7</v>
      </c>
      <c r="P1319" s="40">
        <v>1529.03</v>
      </c>
      <c r="Q1319" s="40">
        <f t="shared" si="106"/>
        <v>791.7</v>
      </c>
      <c r="R1319" s="40">
        <f t="shared" si="106"/>
        <v>1529.03</v>
      </c>
      <c r="S1319" s="40">
        <f>ROUND('Смета ЕР (общ) '!$N1319*'Смета ЕР (общ) '!$Q1319,2)</f>
        <v>0</v>
      </c>
      <c r="T1319" s="40">
        <f>ROUND('Смета ЕР (общ) '!$N1319*'Смета ЕР (общ) '!$R1319,2)</f>
        <v>0</v>
      </c>
    </row>
    <row r="1320" spans="1:20" ht="24" x14ac:dyDescent="0.3">
      <c r="A1320" s="36" t="s">
        <v>1169</v>
      </c>
      <c r="B1320" s="36">
        <v>2</v>
      </c>
      <c r="C1320" s="36"/>
      <c r="D1320" s="36">
        <v>353</v>
      </c>
      <c r="E1320" s="36" t="str">
        <f>CONCATENATE('Смета ЕР (общ) '!$A1320,".",'Смета ЕР (общ) '!$B1320,".",'Смета ЕР (общ) '!$D1320)</f>
        <v>Р9.2.353</v>
      </c>
      <c r="F1320" s="36">
        <f t="shared" si="107"/>
        <v>1</v>
      </c>
      <c r="G1320" s="36"/>
      <c r="H1320" s="36"/>
      <c r="I1320" s="36"/>
      <c r="J1320" s="36"/>
      <c r="K1320" s="36"/>
      <c r="L1320" s="43" t="s">
        <v>1402</v>
      </c>
      <c r="M1320" s="38" t="s">
        <v>118</v>
      </c>
      <c r="N1320" s="39"/>
      <c r="O1320" s="40">
        <v>945.21</v>
      </c>
      <c r="P1320" s="40">
        <v>1674.35</v>
      </c>
      <c r="Q1320" s="40">
        <f t="shared" si="106"/>
        <v>945.21</v>
      </c>
      <c r="R1320" s="40">
        <f t="shared" si="106"/>
        <v>1674.35</v>
      </c>
      <c r="S1320" s="40">
        <f>ROUND('Смета ЕР (общ) '!$N1320*'Смета ЕР (общ) '!$Q1320,2)</f>
        <v>0</v>
      </c>
      <c r="T1320" s="40">
        <f>ROUND('Смета ЕР (общ) '!$N1320*'Смета ЕР (общ) '!$R1320,2)</f>
        <v>0</v>
      </c>
    </row>
    <row r="1321" spans="1:20" ht="24" x14ac:dyDescent="0.3">
      <c r="A1321" s="36" t="s">
        <v>1169</v>
      </c>
      <c r="B1321" s="36">
        <v>2</v>
      </c>
      <c r="C1321" s="36"/>
      <c r="D1321" s="36">
        <v>354</v>
      </c>
      <c r="E1321" s="36" t="str">
        <f>CONCATENATE('Смета ЕР (общ) '!$A1321,".",'Смета ЕР (общ) '!$B1321,".",'Смета ЕР (общ) '!$D1321)</f>
        <v>Р9.2.354</v>
      </c>
      <c r="F1321" s="36">
        <f t="shared" si="107"/>
        <v>1</v>
      </c>
      <c r="G1321" s="36"/>
      <c r="H1321" s="36"/>
      <c r="I1321" s="36"/>
      <c r="J1321" s="36"/>
      <c r="K1321" s="36"/>
      <c r="L1321" s="43" t="s">
        <v>1403</v>
      </c>
      <c r="M1321" s="38" t="s">
        <v>118</v>
      </c>
      <c r="N1321" s="39"/>
      <c r="O1321" s="40">
        <v>997.71</v>
      </c>
      <c r="P1321" s="40">
        <v>1781.77</v>
      </c>
      <c r="Q1321" s="40">
        <f t="shared" si="106"/>
        <v>997.71</v>
      </c>
      <c r="R1321" s="40">
        <f t="shared" si="106"/>
        <v>1781.77</v>
      </c>
      <c r="S1321" s="40">
        <f>ROUND('Смета ЕР (общ) '!$N1321*'Смета ЕР (общ) '!$Q1321,2)</f>
        <v>0</v>
      </c>
      <c r="T1321" s="40">
        <f>ROUND('Смета ЕР (общ) '!$N1321*'Смета ЕР (общ) '!$R1321,2)</f>
        <v>0</v>
      </c>
    </row>
    <row r="1322" spans="1:20" ht="24" x14ac:dyDescent="0.3">
      <c r="A1322" s="36" t="s">
        <v>1169</v>
      </c>
      <c r="B1322" s="36">
        <v>2</v>
      </c>
      <c r="C1322" s="36"/>
      <c r="D1322" s="36">
        <v>355</v>
      </c>
      <c r="E1322" s="36" t="str">
        <f>CONCATENATE('Смета ЕР (общ) '!$A1322,".",'Смета ЕР (общ) '!$B1322,".",'Смета ЕР (общ) '!$D1322)</f>
        <v>Р9.2.355</v>
      </c>
      <c r="F1322" s="36">
        <f t="shared" si="107"/>
        <v>1</v>
      </c>
      <c r="G1322" s="36"/>
      <c r="H1322" s="36"/>
      <c r="I1322" s="36"/>
      <c r="J1322" s="36"/>
      <c r="K1322" s="36"/>
      <c r="L1322" s="43" t="s">
        <v>1404</v>
      </c>
      <c r="M1322" s="38" t="s">
        <v>118</v>
      </c>
      <c r="N1322" s="39"/>
      <c r="O1322" s="40">
        <v>1260.27</v>
      </c>
      <c r="P1322" s="40">
        <v>2331.4499999999998</v>
      </c>
      <c r="Q1322" s="40">
        <f t="shared" si="106"/>
        <v>1260.27</v>
      </c>
      <c r="R1322" s="40">
        <f t="shared" si="106"/>
        <v>2331.4499999999998</v>
      </c>
      <c r="S1322" s="40">
        <f>ROUND('Смета ЕР (общ) '!$N1322*'Смета ЕР (общ) '!$Q1322,2)</f>
        <v>0</v>
      </c>
      <c r="T1322" s="40">
        <f>ROUND('Смета ЕР (общ) '!$N1322*'Смета ЕР (общ) '!$R1322,2)</f>
        <v>0</v>
      </c>
    </row>
    <row r="1323" spans="1:20" ht="24" x14ac:dyDescent="0.3">
      <c r="A1323" s="36" t="s">
        <v>1169</v>
      </c>
      <c r="B1323" s="36">
        <v>2</v>
      </c>
      <c r="C1323" s="36"/>
      <c r="D1323" s="36">
        <v>356</v>
      </c>
      <c r="E1323" s="36" t="str">
        <f>CONCATENATE('Смета ЕР (общ) '!$A1323,".",'Смета ЕР (общ) '!$B1323,".",'Смета ЕР (общ) '!$D1323)</f>
        <v>Р9.2.356</v>
      </c>
      <c r="F1323" s="36">
        <f t="shared" si="107"/>
        <v>1</v>
      </c>
      <c r="G1323" s="36"/>
      <c r="H1323" s="36"/>
      <c r="I1323" s="36"/>
      <c r="J1323" s="36"/>
      <c r="K1323" s="36"/>
      <c r="L1323" s="43" t="s">
        <v>1405</v>
      </c>
      <c r="M1323" s="38" t="s">
        <v>118</v>
      </c>
      <c r="N1323" s="39"/>
      <c r="O1323" s="40">
        <v>1540.16</v>
      </c>
      <c r="P1323" s="40">
        <v>2426.2399999999998</v>
      </c>
      <c r="Q1323" s="40">
        <f t="shared" si="106"/>
        <v>1540.16</v>
      </c>
      <c r="R1323" s="40">
        <f t="shared" si="106"/>
        <v>2426.2399999999998</v>
      </c>
      <c r="S1323" s="40">
        <f>ROUND('Смета ЕР (общ) '!$N1323*'Смета ЕР (общ) '!$Q1323,2)</f>
        <v>0</v>
      </c>
      <c r="T1323" s="40">
        <f>ROUND('Смета ЕР (общ) '!$N1323*'Смета ЕР (общ) '!$R1323,2)</f>
        <v>0</v>
      </c>
    </row>
    <row r="1324" spans="1:20" ht="24" x14ac:dyDescent="0.3">
      <c r="A1324" s="36" t="s">
        <v>1169</v>
      </c>
      <c r="B1324" s="36">
        <v>2</v>
      </c>
      <c r="C1324" s="36"/>
      <c r="D1324" s="36">
        <v>357</v>
      </c>
      <c r="E1324" s="36" t="str">
        <f>CONCATENATE('Смета ЕР (общ) '!$A1324,".",'Смета ЕР (общ) '!$B1324,".",'Смета ЕР (общ) '!$D1324)</f>
        <v>Р9.2.357</v>
      </c>
      <c r="F1324" s="36">
        <f t="shared" si="107"/>
        <v>1</v>
      </c>
      <c r="G1324" s="36"/>
      <c r="H1324" s="36"/>
      <c r="I1324" s="36"/>
      <c r="J1324" s="36"/>
      <c r="K1324" s="36"/>
      <c r="L1324" s="43" t="s">
        <v>1406</v>
      </c>
      <c r="M1324" s="38" t="s">
        <v>118</v>
      </c>
      <c r="N1324" s="39"/>
      <c r="O1324" s="40">
        <v>577.62</v>
      </c>
      <c r="P1324" s="40">
        <v>4694.51</v>
      </c>
      <c r="Q1324" s="40">
        <f t="shared" si="106"/>
        <v>577.62</v>
      </c>
      <c r="R1324" s="40">
        <f t="shared" si="106"/>
        <v>4694.51</v>
      </c>
      <c r="S1324" s="40">
        <f>ROUND('Смета ЕР (общ) '!$N1324*'Смета ЕР (общ) '!$Q1324,2)</f>
        <v>0</v>
      </c>
      <c r="T1324" s="40">
        <f>ROUND('Смета ЕР (общ) '!$N1324*'Смета ЕР (общ) '!$R1324,2)</f>
        <v>0</v>
      </c>
    </row>
    <row r="1325" spans="1:20" ht="24" x14ac:dyDescent="0.3">
      <c r="A1325" s="36" t="s">
        <v>1169</v>
      </c>
      <c r="B1325" s="36">
        <v>2</v>
      </c>
      <c r="C1325" s="36"/>
      <c r="D1325" s="36">
        <v>358</v>
      </c>
      <c r="E1325" s="36" t="str">
        <f>CONCATENATE('Смета ЕР (общ) '!$A1325,".",'Смета ЕР (общ) '!$B1325,".",'Смета ЕР (общ) '!$D1325)</f>
        <v>Р9.2.358</v>
      </c>
      <c r="F1325" s="36">
        <f t="shared" si="107"/>
        <v>1</v>
      </c>
      <c r="G1325" s="36"/>
      <c r="H1325" s="36"/>
      <c r="I1325" s="36"/>
      <c r="J1325" s="36"/>
      <c r="K1325" s="36"/>
      <c r="L1325" s="43" t="s">
        <v>1407</v>
      </c>
      <c r="M1325" s="38" t="s">
        <v>118</v>
      </c>
      <c r="N1325" s="39"/>
      <c r="O1325" s="40">
        <v>577.62</v>
      </c>
      <c r="P1325" s="40">
        <v>5414.79</v>
      </c>
      <c r="Q1325" s="40">
        <f t="shared" si="106"/>
        <v>577.62</v>
      </c>
      <c r="R1325" s="40">
        <f t="shared" si="106"/>
        <v>5414.79</v>
      </c>
      <c r="S1325" s="40">
        <f>ROUND('Смета ЕР (общ) '!$N1325*'Смета ЕР (общ) '!$Q1325,2)</f>
        <v>0</v>
      </c>
      <c r="T1325" s="40">
        <f>ROUND('Смета ЕР (общ) '!$N1325*'Смета ЕР (общ) '!$R1325,2)</f>
        <v>0</v>
      </c>
    </row>
    <row r="1326" spans="1:20" ht="24" x14ac:dyDescent="0.3">
      <c r="A1326" s="36" t="s">
        <v>1169</v>
      </c>
      <c r="B1326" s="36">
        <v>2</v>
      </c>
      <c r="C1326" s="36"/>
      <c r="D1326" s="36">
        <v>359</v>
      </c>
      <c r="E1326" s="36" t="str">
        <f>CONCATENATE('Смета ЕР (общ) '!$A1326,".",'Смета ЕР (общ) '!$B1326,".",'Смета ЕР (общ) '!$D1326)</f>
        <v>Р9.2.359</v>
      </c>
      <c r="F1326" s="36">
        <f t="shared" si="107"/>
        <v>1</v>
      </c>
      <c r="G1326" s="36"/>
      <c r="H1326" s="36"/>
      <c r="I1326" s="36"/>
      <c r="J1326" s="36"/>
      <c r="K1326" s="36"/>
      <c r="L1326" s="43" t="s">
        <v>1408</v>
      </c>
      <c r="M1326" s="38" t="s">
        <v>118</v>
      </c>
      <c r="N1326" s="39"/>
      <c r="O1326" s="40">
        <v>577.62</v>
      </c>
      <c r="P1326" s="40">
        <v>5288.43</v>
      </c>
      <c r="Q1326" s="40">
        <f t="shared" si="106"/>
        <v>577.62</v>
      </c>
      <c r="R1326" s="40">
        <f t="shared" si="106"/>
        <v>5288.43</v>
      </c>
      <c r="S1326" s="40">
        <f>ROUND('Смета ЕР (общ) '!$N1326*'Смета ЕР (общ) '!$Q1326,2)</f>
        <v>0</v>
      </c>
      <c r="T1326" s="40">
        <f>ROUND('Смета ЕР (общ) '!$N1326*'Смета ЕР (общ) '!$R1326,2)</f>
        <v>0</v>
      </c>
    </row>
    <row r="1327" spans="1:20" ht="24" x14ac:dyDescent="0.3">
      <c r="A1327" s="36" t="s">
        <v>1169</v>
      </c>
      <c r="B1327" s="36">
        <v>2</v>
      </c>
      <c r="C1327" s="36"/>
      <c r="D1327" s="36">
        <v>360</v>
      </c>
      <c r="E1327" s="36" t="str">
        <f>CONCATENATE('Смета ЕР (общ) '!$A1327,".",'Смета ЕР (общ) '!$B1327,".",'Смета ЕР (общ) '!$D1327)</f>
        <v>Р9.2.360</v>
      </c>
      <c r="F1327" s="36">
        <f t="shared" si="107"/>
        <v>1</v>
      </c>
      <c r="G1327" s="36"/>
      <c r="H1327" s="36"/>
      <c r="I1327" s="36"/>
      <c r="J1327" s="36"/>
      <c r="K1327" s="36"/>
      <c r="L1327" s="43" t="s">
        <v>1409</v>
      </c>
      <c r="M1327" s="38" t="s">
        <v>118</v>
      </c>
      <c r="N1327" s="39"/>
      <c r="O1327" s="40">
        <v>636.41</v>
      </c>
      <c r="P1327" s="40">
        <v>5888.67</v>
      </c>
      <c r="Q1327" s="40">
        <f t="shared" si="106"/>
        <v>636.41</v>
      </c>
      <c r="R1327" s="40">
        <f t="shared" si="106"/>
        <v>5888.67</v>
      </c>
      <c r="S1327" s="40">
        <f>ROUND('Смета ЕР (общ) '!$N1327*'Смета ЕР (общ) '!$Q1327,2)</f>
        <v>0</v>
      </c>
      <c r="T1327" s="40">
        <f>ROUND('Смета ЕР (общ) '!$N1327*'Смета ЕР (общ) '!$R1327,2)</f>
        <v>0</v>
      </c>
    </row>
    <row r="1328" spans="1:20" ht="14.4" x14ac:dyDescent="0.3">
      <c r="A1328" s="55" t="s">
        <v>1169</v>
      </c>
      <c r="B1328" s="55">
        <v>2</v>
      </c>
      <c r="C1328" s="55"/>
      <c r="D1328" s="55">
        <v>144</v>
      </c>
      <c r="E1328" s="55" t="str">
        <f>CONCATENATE('Смета ЕР (общ) '!$A1328,".",'Смета ЕР (общ) '!$B1328,".",'Смета ЕР (общ) '!$D1328)</f>
        <v>Р9.2.144</v>
      </c>
      <c r="F1328" s="55">
        <f t="shared" si="107"/>
        <v>1</v>
      </c>
      <c r="G1328" s="55"/>
      <c r="H1328" s="55"/>
      <c r="I1328" s="55"/>
      <c r="J1328" s="55"/>
      <c r="K1328" s="55"/>
      <c r="L1328" s="56" t="s">
        <v>1410</v>
      </c>
      <c r="M1328" s="38" t="s">
        <v>118</v>
      </c>
      <c r="N1328" s="39"/>
      <c r="O1328" s="40">
        <v>787.67</v>
      </c>
      <c r="P1328" s="40">
        <v>4122.1000000000004</v>
      </c>
      <c r="Q1328" s="40">
        <f t="shared" si="106"/>
        <v>787.67</v>
      </c>
      <c r="R1328" s="40">
        <f t="shared" si="106"/>
        <v>4122.1000000000004</v>
      </c>
      <c r="S1328" s="40">
        <f>ROUND('Смета ЕР (общ) '!$N1328*'Смета ЕР (общ) '!$Q1328,2)</f>
        <v>0</v>
      </c>
      <c r="T1328" s="40">
        <f>ROUND('Смета ЕР (общ) '!$N1328*'Смета ЕР (общ) '!$R1328,2)</f>
        <v>0</v>
      </c>
    </row>
    <row r="1329" spans="1:25" ht="14.4" x14ac:dyDescent="0.3">
      <c r="A1329" s="55" t="s">
        <v>1169</v>
      </c>
      <c r="B1329" s="55">
        <v>2</v>
      </c>
      <c r="C1329" s="55"/>
      <c r="D1329" s="55">
        <v>145</v>
      </c>
      <c r="E1329" s="55" t="str">
        <f>CONCATENATE('Смета ЕР (общ) '!$A1329,".",'Смета ЕР (общ) '!$B1329,".",'Смета ЕР (общ) '!$D1329)</f>
        <v>Р9.2.145</v>
      </c>
      <c r="F1329" s="55">
        <f t="shared" si="107"/>
        <v>1</v>
      </c>
      <c r="G1329" s="55"/>
      <c r="H1329" s="55"/>
      <c r="I1329" s="55"/>
      <c r="J1329" s="55"/>
      <c r="K1329" s="55"/>
      <c r="L1329" s="56" t="s">
        <v>1411</v>
      </c>
      <c r="M1329" s="38" t="s">
        <v>118</v>
      </c>
      <c r="N1329" s="39"/>
      <c r="O1329" s="40">
        <v>787.67</v>
      </c>
      <c r="P1329" s="40">
        <v>4108.37</v>
      </c>
      <c r="Q1329" s="40">
        <f t="shared" si="106"/>
        <v>787.67</v>
      </c>
      <c r="R1329" s="40">
        <f t="shared" si="106"/>
        <v>4108.37</v>
      </c>
      <c r="S1329" s="40">
        <f>ROUND('Смета ЕР (общ) '!$N1329*'Смета ЕР (общ) '!$Q1329,2)</f>
        <v>0</v>
      </c>
      <c r="T1329" s="40">
        <f>ROUND('Смета ЕР (общ) '!$N1329*'Смета ЕР (общ) '!$R1329,2)</f>
        <v>0</v>
      </c>
    </row>
    <row r="1330" spans="1:25" ht="14.4" x14ac:dyDescent="0.3">
      <c r="A1330" s="36" t="s">
        <v>1169</v>
      </c>
      <c r="B1330" s="36">
        <v>2</v>
      </c>
      <c r="C1330" s="36"/>
      <c r="D1330" s="36">
        <v>146</v>
      </c>
      <c r="E1330" s="36" t="str">
        <f>CONCATENATE('Смета ЕР (общ) '!$A1330,".",'Смета ЕР (общ) '!$B1330,".",'Смета ЕР (общ) '!$D1330)</f>
        <v>Р9.2.146</v>
      </c>
      <c r="F1330" s="36">
        <f t="shared" si="107"/>
        <v>1</v>
      </c>
      <c r="G1330" s="36"/>
      <c r="H1330" s="36"/>
      <c r="I1330" s="36"/>
      <c r="J1330" s="36"/>
      <c r="K1330" s="36"/>
      <c r="L1330" s="37" t="s">
        <v>1412</v>
      </c>
      <c r="M1330" s="38" t="s">
        <v>118</v>
      </c>
      <c r="N1330" s="39"/>
      <c r="O1330" s="40">
        <v>787.67</v>
      </c>
      <c r="P1330" s="40">
        <v>4147.58</v>
      </c>
      <c r="Q1330" s="40">
        <f t="shared" si="106"/>
        <v>787.67</v>
      </c>
      <c r="R1330" s="40">
        <f t="shared" si="106"/>
        <v>4147.58</v>
      </c>
      <c r="S1330" s="40">
        <f>ROUND('Смета ЕР (общ) '!$N1330*'Смета ЕР (общ) '!$Q1330,2)</f>
        <v>0</v>
      </c>
      <c r="T1330" s="40">
        <f>ROUND('Смета ЕР (общ) '!$N1330*'Смета ЕР (общ) '!$R1330,2)</f>
        <v>0</v>
      </c>
    </row>
    <row r="1331" spans="1:25" ht="14.4" x14ac:dyDescent="0.3">
      <c r="A1331" s="36" t="s">
        <v>1169</v>
      </c>
      <c r="B1331" s="36">
        <v>2</v>
      </c>
      <c r="C1331" s="36"/>
      <c r="D1331" s="36">
        <v>147</v>
      </c>
      <c r="E1331" s="36" t="str">
        <f>CONCATENATE('Смета ЕР (общ) '!$A1331,".",'Смета ЕР (общ) '!$B1331,".",'Смета ЕР (общ) '!$D1331)</f>
        <v>Р9.2.147</v>
      </c>
      <c r="F1331" s="36">
        <f t="shared" si="107"/>
        <v>1</v>
      </c>
      <c r="G1331" s="36"/>
      <c r="H1331" s="36"/>
      <c r="I1331" s="36"/>
      <c r="J1331" s="36"/>
      <c r="K1331" s="36"/>
      <c r="L1331" s="37" t="s">
        <v>1413</v>
      </c>
      <c r="M1331" s="38" t="s">
        <v>118</v>
      </c>
      <c r="N1331" s="39"/>
      <c r="O1331" s="40">
        <v>1155.25</v>
      </c>
      <c r="P1331" s="40">
        <v>6434.73</v>
      </c>
      <c r="Q1331" s="40">
        <f t="shared" si="106"/>
        <v>1155.25</v>
      </c>
      <c r="R1331" s="40">
        <f t="shared" si="106"/>
        <v>6434.73</v>
      </c>
      <c r="S1331" s="40">
        <f>ROUND('Смета ЕР (общ) '!$N1331*'Смета ЕР (общ) '!$Q1331,2)</f>
        <v>0</v>
      </c>
      <c r="T1331" s="40">
        <f>ROUND('Смета ЕР (общ) '!$N1331*'Смета ЕР (общ) '!$R1331,2)</f>
        <v>0</v>
      </c>
    </row>
    <row r="1332" spans="1:25" ht="14.4" x14ac:dyDescent="0.3">
      <c r="A1332" s="36" t="s">
        <v>1169</v>
      </c>
      <c r="B1332" s="36">
        <v>2</v>
      </c>
      <c r="C1332" s="36"/>
      <c r="D1332" s="36">
        <v>148</v>
      </c>
      <c r="E1332" s="36" t="str">
        <f>CONCATENATE('Смета ЕР (общ) '!$A1332,".",'Смета ЕР (общ) '!$B1332,".",'Смета ЕР (общ) '!$D1332)</f>
        <v>Р9.2.148</v>
      </c>
      <c r="F1332" s="36">
        <f t="shared" si="107"/>
        <v>1</v>
      </c>
      <c r="G1332" s="36"/>
      <c r="H1332" s="36"/>
      <c r="I1332" s="36"/>
      <c r="J1332" s="36"/>
      <c r="K1332" s="36"/>
      <c r="L1332" s="37" t="s">
        <v>1414</v>
      </c>
      <c r="M1332" s="38" t="s">
        <v>118</v>
      </c>
      <c r="N1332" s="39"/>
      <c r="O1332" s="40">
        <v>1207.76</v>
      </c>
      <c r="P1332" s="40">
        <v>11260.19</v>
      </c>
      <c r="Q1332" s="40">
        <f t="shared" si="106"/>
        <v>1207.76</v>
      </c>
      <c r="R1332" s="40">
        <f t="shared" si="106"/>
        <v>11260.19</v>
      </c>
      <c r="S1332" s="40">
        <f>ROUND('Смета ЕР (общ) '!$N1332*'Смета ЕР (общ) '!$Q1332,2)</f>
        <v>0</v>
      </c>
      <c r="T1332" s="40">
        <f>ROUND('Смета ЕР (общ) '!$N1332*'Смета ЕР (общ) '!$R1332,2)</f>
        <v>0</v>
      </c>
    </row>
    <row r="1333" spans="1:25" ht="14.4" x14ac:dyDescent="0.3">
      <c r="A1333" s="36" t="s">
        <v>1169</v>
      </c>
      <c r="B1333" s="36">
        <v>2</v>
      </c>
      <c r="C1333" s="36"/>
      <c r="D1333" s="36">
        <v>260</v>
      </c>
      <c r="E1333" s="36" t="str">
        <f>CONCATENATE('Смета ЕР (общ) '!$A1333,".",'Смета ЕР (общ) '!$B1333,".",'Смета ЕР (общ) '!$D1333)</f>
        <v>Р9.2.260</v>
      </c>
      <c r="F1333" s="36">
        <f t="shared" si="107"/>
        <v>1</v>
      </c>
      <c r="G1333" s="36"/>
      <c r="H1333" s="36"/>
      <c r="I1333" s="36"/>
      <c r="J1333" s="36"/>
      <c r="K1333" s="36"/>
      <c r="L1333" s="37" t="s">
        <v>1415</v>
      </c>
      <c r="M1333" s="38" t="s">
        <v>118</v>
      </c>
      <c r="N1333" s="39"/>
      <c r="O1333" s="40">
        <v>1837.89</v>
      </c>
      <c r="P1333" s="40">
        <v>14008.87</v>
      </c>
      <c r="Q1333" s="40">
        <f t="shared" si="106"/>
        <v>1837.89</v>
      </c>
      <c r="R1333" s="40">
        <f t="shared" si="106"/>
        <v>14008.87</v>
      </c>
      <c r="S1333" s="40">
        <f>ROUND('Смета ЕР (общ) '!$N1333*'Смета ЕР (общ) '!$Q1333,2)</f>
        <v>0</v>
      </c>
      <c r="T1333" s="40">
        <f>ROUND('Смета ЕР (общ) '!$N1333*'Смета ЕР (общ) '!$R1333,2)</f>
        <v>0</v>
      </c>
    </row>
    <row r="1334" spans="1:25" ht="14.4" x14ac:dyDescent="0.3">
      <c r="A1334" s="36" t="s">
        <v>1169</v>
      </c>
      <c r="B1334" s="36">
        <v>2</v>
      </c>
      <c r="C1334" s="36"/>
      <c r="D1334" s="36">
        <v>149</v>
      </c>
      <c r="E1334" s="36" t="str">
        <f>CONCATENATE('Смета ЕР (общ) '!$A1334,".",'Смета ЕР (общ) '!$B1334,".",'Смета ЕР (общ) '!$D1334)</f>
        <v>Р9.2.149</v>
      </c>
      <c r="F1334" s="36">
        <f t="shared" si="107"/>
        <v>1</v>
      </c>
      <c r="G1334" s="36"/>
      <c r="H1334" s="36"/>
      <c r="I1334" s="36"/>
      <c r="J1334" s="36"/>
      <c r="K1334" s="36"/>
      <c r="L1334" s="37" t="s">
        <v>1416</v>
      </c>
      <c r="M1334" s="38" t="s">
        <v>118</v>
      </c>
      <c r="N1334" s="39"/>
      <c r="O1334" s="40">
        <v>1785.39</v>
      </c>
      <c r="P1334" s="40">
        <v>10115.92</v>
      </c>
      <c r="Q1334" s="40">
        <f t="shared" si="106"/>
        <v>1785.39</v>
      </c>
      <c r="R1334" s="40">
        <f t="shared" si="106"/>
        <v>10115.92</v>
      </c>
      <c r="S1334" s="40">
        <f>ROUND('Смета ЕР (общ) '!$N1334*'Смета ЕР (общ) '!$Q1334,2)</f>
        <v>0</v>
      </c>
      <c r="T1334" s="40">
        <f>ROUND('Смета ЕР (общ) '!$N1334*'Смета ЕР (общ) '!$R1334,2)</f>
        <v>0</v>
      </c>
    </row>
    <row r="1335" spans="1:25" ht="14.4" x14ac:dyDescent="0.3">
      <c r="A1335" s="36" t="s">
        <v>1169</v>
      </c>
      <c r="B1335" s="36">
        <v>2</v>
      </c>
      <c r="C1335" s="36"/>
      <c r="D1335" s="36">
        <v>150</v>
      </c>
      <c r="E1335" s="36" t="str">
        <f>CONCATENATE('Смета ЕР (общ) '!$A1335,".",'Смета ЕР (общ) '!$B1335,".",'Смета ЕР (общ) '!$D1335)</f>
        <v>Р9.2.150</v>
      </c>
      <c r="F1335" s="36">
        <f t="shared" si="107"/>
        <v>1</v>
      </c>
      <c r="G1335" s="36"/>
      <c r="H1335" s="36"/>
      <c r="I1335" s="36"/>
      <c r="J1335" s="36"/>
      <c r="K1335" s="36"/>
      <c r="L1335" s="37" t="s">
        <v>1417</v>
      </c>
      <c r="M1335" s="38" t="s">
        <v>118</v>
      </c>
      <c r="N1335" s="39"/>
      <c r="O1335" s="40">
        <v>1627.85</v>
      </c>
      <c r="P1335" s="40">
        <v>5991.69</v>
      </c>
      <c r="Q1335" s="40">
        <f t="shared" si="106"/>
        <v>1627.85</v>
      </c>
      <c r="R1335" s="40">
        <f t="shared" si="106"/>
        <v>5991.69</v>
      </c>
      <c r="S1335" s="40">
        <f>ROUND('Смета ЕР (общ) '!$N1335*'Смета ЕР (общ) '!$Q1335,2)</f>
        <v>0</v>
      </c>
      <c r="T1335" s="40">
        <f>ROUND('Смета ЕР (общ) '!$N1335*'Смета ЕР (общ) '!$R1335,2)</f>
        <v>0</v>
      </c>
    </row>
    <row r="1336" spans="1:25" ht="14.4" x14ac:dyDescent="0.3">
      <c r="A1336" s="36" t="s">
        <v>1169</v>
      </c>
      <c r="B1336" s="36">
        <v>2</v>
      </c>
      <c r="C1336" s="36"/>
      <c r="D1336" s="36">
        <v>151</v>
      </c>
      <c r="E1336" s="36" t="str">
        <f>CONCATENATE('Смета ЕР (общ) '!$A1336,".",'Смета ЕР (общ) '!$B1336,".",'Смета ЕР (общ) '!$D1336)</f>
        <v>Р9.2.151</v>
      </c>
      <c r="F1336" s="36">
        <f t="shared" si="107"/>
        <v>1</v>
      </c>
      <c r="G1336" s="36"/>
      <c r="H1336" s="36"/>
      <c r="I1336" s="36"/>
      <c r="J1336" s="36"/>
      <c r="K1336" s="36"/>
      <c r="L1336" s="37" t="s">
        <v>1418</v>
      </c>
      <c r="M1336" s="38" t="s">
        <v>118</v>
      </c>
      <c r="N1336" s="39"/>
      <c r="O1336" s="40">
        <v>4883.55</v>
      </c>
      <c r="P1336" s="40">
        <v>20749.900000000001</v>
      </c>
      <c r="Q1336" s="40">
        <f t="shared" si="106"/>
        <v>4883.55</v>
      </c>
      <c r="R1336" s="40">
        <f t="shared" si="106"/>
        <v>20749.900000000001</v>
      </c>
      <c r="S1336" s="40">
        <f>ROUND('Смета ЕР (общ) '!$N1336*'Смета ЕР (общ) '!$Q1336,2)</f>
        <v>0</v>
      </c>
      <c r="T1336" s="40">
        <f>ROUND('Смета ЕР (общ) '!$N1336*'Смета ЕР (общ) '!$R1336,2)</f>
        <v>0</v>
      </c>
    </row>
    <row r="1337" spans="1:25" ht="14.4" x14ac:dyDescent="0.3">
      <c r="A1337" s="36" t="s">
        <v>1169</v>
      </c>
      <c r="B1337" s="36">
        <v>2</v>
      </c>
      <c r="C1337" s="36"/>
      <c r="D1337" s="36">
        <v>152</v>
      </c>
      <c r="E1337" s="36" t="str">
        <f>CONCATENATE('Смета ЕР (общ) '!$A1337,".",'Смета ЕР (общ) '!$B1337,".",'Смета ЕР (общ) '!$D1337)</f>
        <v>Р9.2.152</v>
      </c>
      <c r="F1337" s="36">
        <f t="shared" si="107"/>
        <v>1</v>
      </c>
      <c r="G1337" s="36"/>
      <c r="H1337" s="36"/>
      <c r="I1337" s="36"/>
      <c r="J1337" s="36"/>
      <c r="K1337" s="36"/>
      <c r="L1337" s="37" t="s">
        <v>1419</v>
      </c>
      <c r="M1337" s="38" t="s">
        <v>118</v>
      </c>
      <c r="N1337" s="39"/>
      <c r="O1337" s="40">
        <v>3150.68</v>
      </c>
      <c r="P1337" s="40">
        <v>3473.71</v>
      </c>
      <c r="Q1337" s="40">
        <f t="shared" si="106"/>
        <v>3150.68</v>
      </c>
      <c r="R1337" s="40">
        <f t="shared" si="106"/>
        <v>3473.71</v>
      </c>
      <c r="S1337" s="40">
        <f>ROUND('Смета ЕР (общ) '!$N1337*'Смета ЕР (общ) '!$Q1337,2)</f>
        <v>0</v>
      </c>
      <c r="T1337" s="40">
        <f>ROUND('Смета ЕР (общ) '!$N1337*'Смета ЕР (общ) '!$R1337,2)</f>
        <v>0</v>
      </c>
    </row>
    <row r="1338" spans="1:25" ht="14.4" x14ac:dyDescent="0.3">
      <c r="A1338" s="36" t="s">
        <v>1169</v>
      </c>
      <c r="B1338" s="36">
        <v>2</v>
      </c>
      <c r="C1338" s="36"/>
      <c r="D1338" s="36">
        <v>153</v>
      </c>
      <c r="E1338" s="36" t="str">
        <f>CONCATENATE('Смета ЕР (общ) '!$A1338,".",'Смета ЕР (общ) '!$B1338,".",'Смета ЕР (общ) '!$D1338)</f>
        <v>Р9.2.153</v>
      </c>
      <c r="F1338" s="36">
        <f t="shared" si="107"/>
        <v>1</v>
      </c>
      <c r="G1338" s="36"/>
      <c r="H1338" s="36"/>
      <c r="I1338" s="36"/>
      <c r="J1338" s="36"/>
      <c r="K1338" s="36"/>
      <c r="L1338" s="37" t="s">
        <v>1420</v>
      </c>
      <c r="M1338" s="38" t="s">
        <v>118</v>
      </c>
      <c r="N1338" s="39"/>
      <c r="O1338" s="40">
        <v>3518.25</v>
      </c>
      <c r="P1338" s="40">
        <v>6685.09</v>
      </c>
      <c r="Q1338" s="40">
        <f t="shared" si="106"/>
        <v>3518.25</v>
      </c>
      <c r="R1338" s="40">
        <f t="shared" si="106"/>
        <v>6685.09</v>
      </c>
      <c r="S1338" s="40">
        <f>ROUND('Смета ЕР (общ) '!$N1338*'Смета ЕР (общ) '!$Q1338,2)</f>
        <v>0</v>
      </c>
      <c r="T1338" s="40">
        <f>ROUND('Смета ЕР (общ) '!$N1338*'Смета ЕР (общ) '!$R1338,2)</f>
        <v>0</v>
      </c>
    </row>
    <row r="1339" spans="1:25" ht="14.4" x14ac:dyDescent="0.3">
      <c r="A1339" s="36" t="s">
        <v>1169</v>
      </c>
      <c r="B1339" s="36">
        <v>2</v>
      </c>
      <c r="C1339" s="36"/>
      <c r="D1339" s="36">
        <v>154</v>
      </c>
      <c r="E1339" s="36" t="str">
        <f>CONCATENATE('Смета ЕР (общ) '!$A1339,".",'Смета ЕР (общ) '!$B1339,".",'Смета ЕР (общ) '!$D1339)</f>
        <v>Р9.2.154</v>
      </c>
      <c r="F1339" s="36">
        <f t="shared" si="107"/>
        <v>1</v>
      </c>
      <c r="G1339" s="36"/>
      <c r="H1339" s="36"/>
      <c r="I1339" s="36"/>
      <c r="J1339" s="36"/>
      <c r="K1339" s="36"/>
      <c r="L1339" s="37" t="s">
        <v>1421</v>
      </c>
      <c r="M1339" s="38" t="s">
        <v>118</v>
      </c>
      <c r="N1339" s="39"/>
      <c r="O1339" s="40">
        <v>10134.67</v>
      </c>
      <c r="P1339" s="40">
        <v>68184.45</v>
      </c>
      <c r="Q1339" s="40">
        <f t="shared" si="106"/>
        <v>10134.67</v>
      </c>
      <c r="R1339" s="40">
        <f t="shared" si="106"/>
        <v>68184.45</v>
      </c>
      <c r="S1339" s="40">
        <f>ROUND('Смета ЕР (общ) '!$N1339*'Смета ЕР (общ) '!$Q1339,2)</f>
        <v>0</v>
      </c>
      <c r="T1339" s="40">
        <f>ROUND('Смета ЕР (общ) '!$N1339*'Смета ЕР (общ) '!$R1339,2)</f>
        <v>0</v>
      </c>
    </row>
    <row r="1340" spans="1:25" ht="14.4" x14ac:dyDescent="0.3">
      <c r="A1340" s="36" t="s">
        <v>1169</v>
      </c>
      <c r="B1340" s="36">
        <v>2</v>
      </c>
      <c r="C1340" s="36"/>
      <c r="D1340" s="36">
        <v>155</v>
      </c>
      <c r="E1340" s="36" t="str">
        <f>CONCATENATE('Смета ЕР (общ) '!$A1340,".",'Смета ЕР (общ) '!$B1340,".",'Смета ЕР (общ) '!$D1340)</f>
        <v>Р9.2.155</v>
      </c>
      <c r="F1340" s="36">
        <f t="shared" si="107"/>
        <v>1</v>
      </c>
      <c r="G1340" s="36"/>
      <c r="H1340" s="36"/>
      <c r="I1340" s="36"/>
      <c r="J1340" s="36"/>
      <c r="K1340" s="36"/>
      <c r="L1340" s="37" t="s">
        <v>1422</v>
      </c>
      <c r="M1340" s="38" t="s">
        <v>118</v>
      </c>
      <c r="N1340" s="39"/>
      <c r="O1340" s="40">
        <v>1785.39</v>
      </c>
      <c r="P1340" s="40">
        <v>1591.78</v>
      </c>
      <c r="Q1340" s="40">
        <f t="shared" si="106"/>
        <v>1785.39</v>
      </c>
      <c r="R1340" s="40">
        <f t="shared" si="106"/>
        <v>1591.78</v>
      </c>
      <c r="S1340" s="40">
        <f>ROUND('Смета ЕР (общ) '!$N1340*'Смета ЕР (общ) '!$Q1340,2)</f>
        <v>0</v>
      </c>
      <c r="T1340" s="40">
        <f>ROUND('Смета ЕР (общ) '!$N1340*'Смета ЕР (общ) '!$R1340,2)</f>
        <v>0</v>
      </c>
    </row>
    <row r="1341" spans="1:25" ht="14.4" x14ac:dyDescent="0.3">
      <c r="A1341" s="36" t="s">
        <v>1169</v>
      </c>
      <c r="B1341" s="36">
        <v>2</v>
      </c>
      <c r="C1341" s="36"/>
      <c r="D1341" s="36">
        <v>156</v>
      </c>
      <c r="E1341" s="36" t="str">
        <f>CONCATENATE('Смета ЕР (общ) '!$A1341,".",'Смета ЕР (общ) '!$B1341,".",'Смета ЕР (общ) '!$D1341)</f>
        <v>Р9.2.156</v>
      </c>
      <c r="F1341" s="36">
        <f t="shared" si="107"/>
        <v>1</v>
      </c>
      <c r="G1341" s="36"/>
      <c r="H1341" s="36"/>
      <c r="I1341" s="36"/>
      <c r="J1341" s="36"/>
      <c r="K1341" s="36"/>
      <c r="L1341" s="37" t="s">
        <v>1423</v>
      </c>
      <c r="M1341" s="38" t="s">
        <v>118</v>
      </c>
      <c r="N1341" s="39"/>
      <c r="O1341" s="40">
        <v>3518.25</v>
      </c>
      <c r="P1341" s="40">
        <v>6671.56</v>
      </c>
      <c r="Q1341" s="40">
        <f t="shared" si="106"/>
        <v>3518.25</v>
      </c>
      <c r="R1341" s="40">
        <f t="shared" si="106"/>
        <v>6671.56</v>
      </c>
      <c r="S1341" s="40">
        <f>ROUND('Смета ЕР (общ) '!$N1341*'Смета ЕР (общ) '!$Q1341,2)</f>
        <v>0</v>
      </c>
      <c r="T1341" s="40">
        <f>ROUND('Смета ЕР (общ) '!$N1341*'Смета ЕР (общ) '!$R1341,2)</f>
        <v>0</v>
      </c>
    </row>
    <row r="1342" spans="1:25" ht="14.4" x14ac:dyDescent="0.3">
      <c r="A1342" s="36" t="s">
        <v>1169</v>
      </c>
      <c r="B1342" s="36">
        <v>2</v>
      </c>
      <c r="C1342" s="36"/>
      <c r="D1342" s="36">
        <v>157</v>
      </c>
      <c r="E1342" s="36" t="str">
        <f>CONCATENATE('Смета ЕР (общ) '!$A1342,".",'Смета ЕР (общ) '!$B1342,".",'Смета ЕР (общ) '!$D1342)</f>
        <v>Р9.2.157</v>
      </c>
      <c r="F1342" s="36">
        <f t="shared" si="107"/>
        <v>1</v>
      </c>
      <c r="G1342" s="36"/>
      <c r="H1342" s="36"/>
      <c r="I1342" s="36"/>
      <c r="J1342" s="36"/>
      <c r="K1342" s="36"/>
      <c r="L1342" s="37" t="s">
        <v>1424</v>
      </c>
      <c r="M1342" s="38" t="s">
        <v>118</v>
      </c>
      <c r="N1342" s="39"/>
      <c r="O1342" s="40">
        <v>870</v>
      </c>
      <c r="P1342" s="40">
        <v>3190.07</v>
      </c>
      <c r="Q1342" s="40">
        <f t="shared" si="106"/>
        <v>870</v>
      </c>
      <c r="R1342" s="40">
        <f t="shared" si="106"/>
        <v>3190.07</v>
      </c>
      <c r="S1342" s="40">
        <f>ROUND('Смета ЕР (общ) '!$N1342*'Смета ЕР (общ) '!$Q1342,2)</f>
        <v>0</v>
      </c>
      <c r="T1342" s="40">
        <f>ROUND('Смета ЕР (общ) '!$N1342*'Смета ЕР (общ) '!$R1342,2)</f>
        <v>0</v>
      </c>
    </row>
    <row r="1343" spans="1:25" ht="14.4" x14ac:dyDescent="0.3">
      <c r="A1343" s="36" t="s">
        <v>1169</v>
      </c>
      <c r="B1343" s="36">
        <v>2</v>
      </c>
      <c r="C1343" s="36"/>
      <c r="D1343" s="36">
        <v>158</v>
      </c>
      <c r="E1343" s="36" t="str">
        <f>CONCATENATE('Смета ЕР (общ) '!$A1343,".",'Смета ЕР (общ) '!$B1343,".",'Смета ЕР (общ) '!$D1343)</f>
        <v>Р9.2.158</v>
      </c>
      <c r="F1343" s="36">
        <f t="shared" si="107"/>
        <v>1</v>
      </c>
      <c r="G1343" s="36"/>
      <c r="H1343" s="36"/>
      <c r="I1343" s="36"/>
      <c r="J1343" s="36"/>
      <c r="K1343" s="36"/>
      <c r="L1343" s="37" t="s">
        <v>1425</v>
      </c>
      <c r="M1343" s="38" t="s">
        <v>118</v>
      </c>
      <c r="N1343" s="39"/>
      <c r="O1343" s="40">
        <v>3045.66</v>
      </c>
      <c r="P1343" s="40">
        <v>12144.62</v>
      </c>
      <c r="Q1343" s="40">
        <f t="shared" si="106"/>
        <v>3045.66</v>
      </c>
      <c r="R1343" s="40">
        <f t="shared" si="106"/>
        <v>12144.62</v>
      </c>
      <c r="S1343" s="40">
        <f>ROUND('Смета ЕР (общ) '!$N1343*'Смета ЕР (общ) '!$Q1343,2)</f>
        <v>0</v>
      </c>
      <c r="T1343" s="40">
        <f>ROUND('Смета ЕР (общ) '!$N1343*'Смета ЕР (общ) '!$R1343,2)</f>
        <v>0</v>
      </c>
      <c r="Y1343">
        <v>1</v>
      </c>
    </row>
    <row r="1344" spans="1:25" ht="14.4" x14ac:dyDescent="0.3">
      <c r="A1344" s="36" t="s">
        <v>1169</v>
      </c>
      <c r="B1344" s="36">
        <v>2</v>
      </c>
      <c r="C1344" s="36"/>
      <c r="D1344" s="36">
        <v>166</v>
      </c>
      <c r="E1344" s="36" t="str">
        <f>CONCATENATE('Смета ЕР (общ) '!$A1344,".",'Смета ЕР (общ) '!$B1344,".",'Смета ЕР (общ) '!$D1344)</f>
        <v>Р9.2.166</v>
      </c>
      <c r="F1344" s="36">
        <f t="shared" si="107"/>
        <v>1</v>
      </c>
      <c r="G1344" s="36"/>
      <c r="H1344" s="36"/>
      <c r="I1344" s="36"/>
      <c r="J1344" s="36"/>
      <c r="K1344" s="36"/>
      <c r="L1344" s="37" t="s">
        <v>1426</v>
      </c>
      <c r="M1344" s="38" t="s">
        <v>118</v>
      </c>
      <c r="N1344" s="39"/>
      <c r="O1344" s="40">
        <v>1260.27</v>
      </c>
      <c r="P1344" s="40">
        <v>3470.07</v>
      </c>
      <c r="Q1344" s="40">
        <f t="shared" si="106"/>
        <v>1260.27</v>
      </c>
      <c r="R1344" s="40">
        <f t="shared" si="106"/>
        <v>3470.07</v>
      </c>
      <c r="S1344" s="40">
        <f>ROUND('Смета ЕР (общ) '!$N1344*'Смета ЕР (общ) '!$Q1344,2)</f>
        <v>0</v>
      </c>
      <c r="T1344" s="40">
        <f>ROUND('Смета ЕР (общ) '!$N1344*'Смета ЕР (общ) '!$R1344,2)</f>
        <v>0</v>
      </c>
    </row>
    <row r="1345" spans="1:25" ht="14.4" x14ac:dyDescent="0.3">
      <c r="A1345" s="36" t="s">
        <v>1169</v>
      </c>
      <c r="B1345" s="36">
        <v>2</v>
      </c>
      <c r="C1345" s="36"/>
      <c r="D1345" s="36">
        <v>167</v>
      </c>
      <c r="E1345" s="36" t="str">
        <f>CONCATENATE('Смета ЕР (общ) '!$A1345,".",'Смета ЕР (общ) '!$B1345,".",'Смета ЕР (общ) '!$D1345)</f>
        <v>Р9.2.167</v>
      </c>
      <c r="F1345" s="36">
        <f t="shared" si="107"/>
        <v>1</v>
      </c>
      <c r="G1345" s="36"/>
      <c r="H1345" s="36"/>
      <c r="I1345" s="36"/>
      <c r="J1345" s="36"/>
      <c r="K1345" s="36"/>
      <c r="L1345" s="37" t="s">
        <v>1427</v>
      </c>
      <c r="M1345" s="38" t="s">
        <v>118</v>
      </c>
      <c r="N1345" s="39"/>
      <c r="O1345" s="40">
        <v>1470.32</v>
      </c>
      <c r="P1345" s="40">
        <v>5668.46</v>
      </c>
      <c r="Q1345" s="40">
        <f t="shared" si="106"/>
        <v>1470.32</v>
      </c>
      <c r="R1345" s="40">
        <f t="shared" si="106"/>
        <v>5668.46</v>
      </c>
      <c r="S1345" s="40">
        <f>ROUND('Смета ЕР (общ) '!$N1345*'Смета ЕР (общ) '!$Q1345,2)</f>
        <v>0</v>
      </c>
      <c r="T1345" s="40">
        <f>ROUND('Смета ЕР (общ) '!$N1345*'Смета ЕР (общ) '!$R1345,2)</f>
        <v>0</v>
      </c>
    </row>
    <row r="1346" spans="1:25" ht="14.4" x14ac:dyDescent="0.3">
      <c r="A1346" s="36" t="s">
        <v>1169</v>
      </c>
      <c r="B1346" s="36">
        <v>2</v>
      </c>
      <c r="C1346" s="36"/>
      <c r="D1346" s="36">
        <v>168</v>
      </c>
      <c r="E1346" s="36" t="str">
        <f>CONCATENATE('Смета ЕР (общ) '!$A1346,".",'Смета ЕР (общ) '!$B1346,".",'Смета ЕР (общ) '!$D1346)</f>
        <v>Р9.2.168</v>
      </c>
      <c r="F1346" s="36">
        <f t="shared" si="107"/>
        <v>1</v>
      </c>
      <c r="G1346" s="36"/>
      <c r="H1346" s="36"/>
      <c r="I1346" s="36"/>
      <c r="J1346" s="36"/>
      <c r="K1346" s="36"/>
      <c r="L1346" s="37" t="s">
        <v>1428</v>
      </c>
      <c r="M1346" s="38" t="s">
        <v>118</v>
      </c>
      <c r="N1346" s="39"/>
      <c r="O1346" s="40">
        <v>1591.19</v>
      </c>
      <c r="P1346" s="40">
        <v>1978.4</v>
      </c>
      <c r="Q1346" s="40">
        <f t="shared" si="106"/>
        <v>1591.19</v>
      </c>
      <c r="R1346" s="40">
        <f t="shared" si="106"/>
        <v>1978.4</v>
      </c>
      <c r="S1346" s="40">
        <f>ROUND('Смета ЕР (общ) '!$N1346*'Смета ЕР (общ) '!$Q1346,2)</f>
        <v>0</v>
      </c>
      <c r="T1346" s="40">
        <f>ROUND('Смета ЕР (общ) '!$N1346*'Смета ЕР (общ) '!$R1346,2)</f>
        <v>0</v>
      </c>
    </row>
    <row r="1347" spans="1:25" ht="14.4" x14ac:dyDescent="0.3">
      <c r="A1347" s="36" t="s">
        <v>1169</v>
      </c>
      <c r="B1347" s="36">
        <v>2</v>
      </c>
      <c r="C1347" s="36"/>
      <c r="D1347" s="36">
        <v>212</v>
      </c>
      <c r="E1347" s="36" t="str">
        <f>CONCATENATE('Смета ЕР (общ) '!$A1347,".",'Смета ЕР (общ) '!$B1347,".",'Смета ЕР (общ) '!$D1347)</f>
        <v>Р9.2.212</v>
      </c>
      <c r="F1347" s="36">
        <f t="shared" si="107"/>
        <v>1</v>
      </c>
      <c r="G1347" s="36"/>
      <c r="H1347" s="36"/>
      <c r="I1347" s="36"/>
      <c r="J1347" s="36"/>
      <c r="K1347" s="36"/>
      <c r="L1347" s="37" t="s">
        <v>1429</v>
      </c>
      <c r="M1347" s="38" t="s">
        <v>118</v>
      </c>
      <c r="N1347" s="39"/>
      <c r="O1347" s="40">
        <v>1591.19</v>
      </c>
      <c r="P1347" s="40">
        <v>1489.1</v>
      </c>
      <c r="Q1347" s="40">
        <f t="shared" si="106"/>
        <v>1591.19</v>
      </c>
      <c r="R1347" s="40">
        <f t="shared" si="106"/>
        <v>1489.1</v>
      </c>
      <c r="S1347" s="40">
        <f>ROUND('Смета ЕР (общ) '!$N1347*'Смета ЕР (общ) '!$Q1347,2)</f>
        <v>0</v>
      </c>
      <c r="T1347" s="40">
        <f>ROUND('Смета ЕР (общ) '!$N1347*'Смета ЕР (общ) '!$R1347,2)</f>
        <v>0</v>
      </c>
    </row>
    <row r="1348" spans="1:25" ht="24" x14ac:dyDescent="0.3">
      <c r="A1348" s="58" t="s">
        <v>1169</v>
      </c>
      <c r="B1348" s="58">
        <v>2</v>
      </c>
      <c r="C1348" s="58"/>
      <c r="D1348" s="58">
        <v>287</v>
      </c>
      <c r="E1348" s="58" t="str">
        <f>CONCATENATE('Смета ЕР (общ) '!$A1348,".",'Смета ЕР (общ) '!$B1348,".",'Смета ЕР (общ) '!$D1348)</f>
        <v>Р9.2.287</v>
      </c>
      <c r="F1348" s="58">
        <f t="shared" si="107"/>
        <v>1</v>
      </c>
      <c r="G1348" s="58"/>
      <c r="H1348" s="58"/>
      <c r="I1348" s="58"/>
      <c r="J1348" s="58"/>
      <c r="K1348" s="58"/>
      <c r="L1348" s="59" t="s">
        <v>1430</v>
      </c>
      <c r="M1348" s="38" t="s">
        <v>118</v>
      </c>
      <c r="N1348" s="61"/>
      <c r="O1348" s="40">
        <v>1591.19</v>
      </c>
      <c r="P1348" s="40">
        <v>8081.32</v>
      </c>
      <c r="Q1348" s="62">
        <f t="shared" si="106"/>
        <v>1591.19</v>
      </c>
      <c r="R1348" s="62">
        <f t="shared" si="106"/>
        <v>8081.32</v>
      </c>
      <c r="S1348" s="62">
        <f>ROUND('Смета ЕР (общ) '!$N1348*'Смета ЕР (общ) '!$Q1348,2)</f>
        <v>0</v>
      </c>
      <c r="T1348" s="62">
        <f>ROUND('Смета ЕР (общ) '!$N1348*'Смета ЕР (общ) '!$R1348,2)</f>
        <v>0</v>
      </c>
      <c r="Y1348">
        <v>6</v>
      </c>
    </row>
    <row r="1349" spans="1:25" ht="24" x14ac:dyDescent="0.3">
      <c r="A1349" s="58" t="s">
        <v>1169</v>
      </c>
      <c r="B1349" s="58">
        <v>2</v>
      </c>
      <c r="C1349" s="58"/>
      <c r="D1349" s="58">
        <v>288</v>
      </c>
      <c r="E1349" s="58" t="str">
        <f>CONCATENATE('Смета ЕР (общ) '!$A1349,".",'Смета ЕР (общ) '!$B1349,".",'Смета ЕР (общ) '!$D1349)</f>
        <v>Р9.2.288</v>
      </c>
      <c r="F1349" s="58">
        <f t="shared" si="107"/>
        <v>1</v>
      </c>
      <c r="G1349" s="58"/>
      <c r="H1349" s="58"/>
      <c r="I1349" s="58"/>
      <c r="J1349" s="58"/>
      <c r="K1349" s="58"/>
      <c r="L1349" s="59" t="s">
        <v>1431</v>
      </c>
      <c r="M1349" s="38" t="s">
        <v>118</v>
      </c>
      <c r="N1349" s="61"/>
      <c r="O1349" s="40">
        <v>1591.19</v>
      </c>
      <c r="P1349" s="40">
        <v>9592.43</v>
      </c>
      <c r="Q1349" s="62">
        <f t="shared" si="106"/>
        <v>1591.19</v>
      </c>
      <c r="R1349" s="62">
        <f t="shared" si="106"/>
        <v>9592.43</v>
      </c>
      <c r="S1349" s="62">
        <f>ROUND('Смета ЕР (общ) '!$N1349*'Смета ЕР (общ) '!$Q1349,2)</f>
        <v>0</v>
      </c>
      <c r="T1349" s="62">
        <f>ROUND('Смета ЕР (общ) '!$N1349*'Смета ЕР (общ) '!$R1349,2)</f>
        <v>0</v>
      </c>
    </row>
    <row r="1350" spans="1:25" ht="24" x14ac:dyDescent="0.3">
      <c r="A1350" s="36" t="s">
        <v>1169</v>
      </c>
      <c r="B1350" s="36">
        <v>2</v>
      </c>
      <c r="C1350" s="36"/>
      <c r="D1350" s="36">
        <v>361</v>
      </c>
      <c r="E1350" s="36" t="str">
        <f>CONCATENATE('Смета ЕР (общ) '!$A1350,".",'Смета ЕР (общ) '!$B1350,".",'Смета ЕР (общ) '!$D1350)</f>
        <v>Р9.2.361</v>
      </c>
      <c r="F1350" s="36">
        <f t="shared" si="107"/>
        <v>1</v>
      </c>
      <c r="G1350" s="36"/>
      <c r="H1350" s="36"/>
      <c r="I1350" s="36"/>
      <c r="J1350" s="36"/>
      <c r="K1350" s="36"/>
      <c r="L1350" s="37" t="s">
        <v>1432</v>
      </c>
      <c r="M1350" s="38" t="s">
        <v>118</v>
      </c>
      <c r="N1350" s="39"/>
      <c r="O1350" s="40">
        <v>1591.19</v>
      </c>
      <c r="P1350" s="40">
        <v>4344.33</v>
      </c>
      <c r="Q1350" s="40">
        <f t="shared" si="106"/>
        <v>1591.19</v>
      </c>
      <c r="R1350" s="40">
        <f t="shared" si="106"/>
        <v>4344.33</v>
      </c>
      <c r="S1350" s="40">
        <f>ROUND('Смета ЕР (общ) '!$N1350*'Смета ЕР (общ) '!$Q1350,2)</f>
        <v>0</v>
      </c>
      <c r="T1350" s="40">
        <f>ROUND('Смета ЕР (общ) '!$N1350*'Смета ЕР (общ) '!$R1350,2)</f>
        <v>0</v>
      </c>
      <c r="U1350" s="35" t="s">
        <v>435</v>
      </c>
      <c r="Y1350">
        <v>5</v>
      </c>
    </row>
    <row r="1351" spans="1:25" ht="36" x14ac:dyDescent="0.3">
      <c r="A1351" s="36" t="s">
        <v>1169</v>
      </c>
      <c r="B1351" s="36">
        <v>2</v>
      </c>
      <c r="C1351" s="36"/>
      <c r="D1351" s="36">
        <v>362</v>
      </c>
      <c r="E1351" s="36" t="str">
        <f>CONCATENATE('Смета ЕР (общ) '!$A1351,".",'Смета ЕР (общ) '!$B1351,".",'Смета ЕР (общ) '!$D1351)</f>
        <v>Р9.2.362</v>
      </c>
      <c r="F1351" s="36">
        <f t="shared" si="107"/>
        <v>1</v>
      </c>
      <c r="G1351" s="36"/>
      <c r="H1351" s="36"/>
      <c r="I1351" s="36"/>
      <c r="J1351" s="36"/>
      <c r="K1351" s="36"/>
      <c r="L1351" s="37" t="s">
        <v>1433</v>
      </c>
      <c r="M1351" s="38" t="s">
        <v>118</v>
      </c>
      <c r="N1351" s="39"/>
      <c r="O1351" s="40">
        <v>1591.19</v>
      </c>
      <c r="P1351" s="40">
        <v>6352.57</v>
      </c>
      <c r="Q1351" s="40">
        <f t="shared" si="106"/>
        <v>1591.19</v>
      </c>
      <c r="R1351" s="40">
        <f t="shared" si="106"/>
        <v>6352.57</v>
      </c>
      <c r="S1351" s="40">
        <f>ROUND('Смета ЕР (общ) '!$N1351*'Смета ЕР (общ) '!$Q1351,2)</f>
        <v>0</v>
      </c>
      <c r="T1351" s="40">
        <f>ROUND('Смета ЕР (общ) '!$N1351*'Смета ЕР (общ) '!$R1351,2)</f>
        <v>0</v>
      </c>
    </row>
    <row r="1352" spans="1:25" ht="24" x14ac:dyDescent="0.3">
      <c r="A1352" s="36" t="s">
        <v>1169</v>
      </c>
      <c r="B1352" s="36">
        <v>2</v>
      </c>
      <c r="C1352" s="36"/>
      <c r="D1352" s="36">
        <v>363</v>
      </c>
      <c r="E1352" s="36" t="str">
        <f>CONCATENATE('Смета ЕР (общ) '!$A1352,".",'Смета ЕР (общ) '!$B1352,".",'Смета ЕР (общ) '!$D1352)</f>
        <v>Р9.2.363</v>
      </c>
      <c r="F1352" s="36">
        <f t="shared" si="107"/>
        <v>1</v>
      </c>
      <c r="G1352" s="36"/>
      <c r="H1352" s="36"/>
      <c r="I1352" s="36"/>
      <c r="J1352" s="36"/>
      <c r="K1352" s="36"/>
      <c r="L1352" s="37" t="s">
        <v>1434</v>
      </c>
      <c r="M1352" s="38" t="s">
        <v>118</v>
      </c>
      <c r="N1352" s="39"/>
      <c r="O1352" s="40">
        <v>1591.19</v>
      </c>
      <c r="P1352" s="40">
        <v>9256.93</v>
      </c>
      <c r="Q1352" s="40">
        <f t="shared" si="106"/>
        <v>1591.19</v>
      </c>
      <c r="R1352" s="40">
        <f t="shared" si="106"/>
        <v>9256.93</v>
      </c>
      <c r="S1352" s="40">
        <f>ROUND('Смета ЕР (общ) '!$N1352*'Смета ЕР (общ) '!$Q1352,2)</f>
        <v>0</v>
      </c>
      <c r="T1352" s="40">
        <f>ROUND('Смета ЕР (общ) '!$N1352*'Смета ЕР (общ) '!$R1352,2)</f>
        <v>0</v>
      </c>
    </row>
    <row r="1353" spans="1:25" ht="14.4" x14ac:dyDescent="0.3">
      <c r="A1353" s="36" t="s">
        <v>1169</v>
      </c>
      <c r="B1353" s="36">
        <v>2</v>
      </c>
      <c r="C1353" s="36"/>
      <c r="D1353" s="36">
        <v>364</v>
      </c>
      <c r="E1353" s="36" t="str">
        <f>CONCATENATE('Смета ЕР (общ) '!$A1353,".",'Смета ЕР (общ) '!$B1353,".",'Смета ЕР (общ) '!$D1353)</f>
        <v>Р9.2.364</v>
      </c>
      <c r="F1353" s="36">
        <f t="shared" si="107"/>
        <v>1</v>
      </c>
      <c r="G1353" s="36"/>
      <c r="H1353" s="36"/>
      <c r="I1353" s="36"/>
      <c r="J1353" s="36"/>
      <c r="K1353" s="36"/>
      <c r="L1353" s="37" t="s">
        <v>1435</v>
      </c>
      <c r="M1353" s="38" t="s">
        <v>118</v>
      </c>
      <c r="N1353" s="39"/>
      <c r="O1353" s="40">
        <v>1591.19</v>
      </c>
      <c r="P1353" s="40">
        <v>9538.1299999999992</v>
      </c>
      <c r="Q1353" s="40">
        <f t="shared" si="106"/>
        <v>1591.19</v>
      </c>
      <c r="R1353" s="40">
        <f t="shared" si="106"/>
        <v>9538.1299999999992</v>
      </c>
      <c r="S1353" s="40">
        <f>ROUND('Смета ЕР (общ) '!$N1353*'Смета ЕР (общ) '!$Q1353,2)</f>
        <v>0</v>
      </c>
      <c r="T1353" s="40">
        <f>ROUND('Смета ЕР (общ) '!$N1353*'Смета ЕР (общ) '!$R1353,2)</f>
        <v>0</v>
      </c>
    </row>
    <row r="1354" spans="1:25" ht="24" x14ac:dyDescent="0.3">
      <c r="A1354" s="36" t="s">
        <v>1169</v>
      </c>
      <c r="B1354" s="36">
        <v>2</v>
      </c>
      <c r="C1354" s="36"/>
      <c r="D1354" s="36">
        <v>289</v>
      </c>
      <c r="E1354" s="36" t="str">
        <f>CONCATENATE('Смета ЕР (общ) '!$A1354,".",'Смета ЕР (общ) '!$B1354,".",'Смета ЕР (общ) '!$D1354)</f>
        <v>Р9.2.289</v>
      </c>
      <c r="F1354" s="36">
        <f t="shared" si="107"/>
        <v>1</v>
      </c>
      <c r="G1354" s="36"/>
      <c r="H1354" s="36"/>
      <c r="I1354" s="36"/>
      <c r="J1354" s="36"/>
      <c r="K1354" s="36"/>
      <c r="L1354" s="37" t="s">
        <v>1436</v>
      </c>
      <c r="M1354" s="38" t="s">
        <v>118</v>
      </c>
      <c r="N1354" s="39"/>
      <c r="O1354" s="40">
        <v>1591.19</v>
      </c>
      <c r="P1354" s="40">
        <v>9367.5300000000007</v>
      </c>
      <c r="Q1354" s="40">
        <f t="shared" si="106"/>
        <v>1591.19</v>
      </c>
      <c r="R1354" s="40">
        <f t="shared" si="106"/>
        <v>9367.5300000000007</v>
      </c>
      <c r="S1354" s="40">
        <f>ROUND('Смета ЕР (общ) '!$N1354*'Смета ЕР (общ) '!$Q1354,2)</f>
        <v>0</v>
      </c>
      <c r="T1354" s="40">
        <f>ROUND('Смета ЕР (общ) '!$N1354*'Смета ЕР (общ) '!$R1354,2)</f>
        <v>0</v>
      </c>
      <c r="U1354" s="35" t="s">
        <v>1437</v>
      </c>
    </row>
    <row r="1355" spans="1:25" ht="24" x14ac:dyDescent="0.3">
      <c r="A1355" s="36" t="s">
        <v>1169</v>
      </c>
      <c r="B1355" s="36">
        <v>2</v>
      </c>
      <c r="C1355" s="36"/>
      <c r="D1355" s="36">
        <v>365</v>
      </c>
      <c r="E1355" s="36" t="str">
        <f>CONCATENATE('Смета ЕР (общ) '!$A1355,".",'Смета ЕР (общ) '!$B1355,".",'Смета ЕР (общ) '!$D1355)</f>
        <v>Р9.2.365</v>
      </c>
      <c r="F1355" s="36">
        <f t="shared" si="107"/>
        <v>1</v>
      </c>
      <c r="G1355" s="36"/>
      <c r="H1355" s="36"/>
      <c r="I1355" s="36"/>
      <c r="J1355" s="36"/>
      <c r="K1355" s="36"/>
      <c r="L1355" s="37" t="s">
        <v>1438</v>
      </c>
      <c r="M1355" s="38" t="s">
        <v>118</v>
      </c>
      <c r="N1355" s="39"/>
      <c r="O1355" s="40">
        <v>1900.08</v>
      </c>
      <c r="P1355" s="40">
        <v>9047</v>
      </c>
      <c r="Q1355" s="40">
        <f t="shared" ref="Q1355:R1370" si="108">ROUND(O1355-O1355*$V$3,2)</f>
        <v>1900.08</v>
      </c>
      <c r="R1355" s="40">
        <f>[1]Сантехника!J9</f>
        <v>9345</v>
      </c>
      <c r="S1355" s="40">
        <f>ROUND('Смета ЕР (общ) '!$N1355*'Смета ЕР (общ) '!$Q1355,2)</f>
        <v>0</v>
      </c>
      <c r="T1355" s="40">
        <f>ROUND('Смета ЕР (общ) '!$N1355*'Смета ЕР (общ) '!$R1355,2)</f>
        <v>0</v>
      </c>
      <c r="U1355" s="67" t="s">
        <v>729</v>
      </c>
      <c r="Y1355">
        <v>1</v>
      </c>
    </row>
    <row r="1356" spans="1:25" ht="14.4" x14ac:dyDescent="0.3">
      <c r="A1356" s="36" t="s">
        <v>1169</v>
      </c>
      <c r="B1356" s="36">
        <v>2</v>
      </c>
      <c r="C1356" s="36"/>
      <c r="D1356" s="36">
        <v>169</v>
      </c>
      <c r="E1356" s="36" t="str">
        <f>CONCATENATE('Смета ЕР (общ) '!$A1356,".",'Смета ЕР (общ) '!$B1356,".",'Смета ЕР (общ) '!$D1356)</f>
        <v>Р9.2.169</v>
      </c>
      <c r="F1356" s="36">
        <f t="shared" si="107"/>
        <v>1</v>
      </c>
      <c r="G1356" s="36"/>
      <c r="H1356" s="36"/>
      <c r="I1356" s="36"/>
      <c r="J1356" s="36"/>
      <c r="K1356" s="36"/>
      <c r="L1356" s="37" t="s">
        <v>1439</v>
      </c>
      <c r="M1356" s="38" t="s">
        <v>147</v>
      </c>
      <c r="N1356" s="39"/>
      <c r="O1356" s="40">
        <v>75.8</v>
      </c>
      <c r="P1356" s="40">
        <v>153.82</v>
      </c>
      <c r="Q1356" s="40">
        <f t="shared" si="108"/>
        <v>75.8</v>
      </c>
      <c r="R1356" s="40">
        <f t="shared" si="108"/>
        <v>153.82</v>
      </c>
      <c r="S1356" s="40">
        <f>ROUND('Смета ЕР (общ) '!$N1356*'Смета ЕР (общ) '!$Q1356,2)</f>
        <v>0</v>
      </c>
      <c r="T1356" s="40">
        <f>ROUND('Смета ЕР (общ) '!$N1356*'Смета ЕР (общ) '!$R1356,2)</f>
        <v>0</v>
      </c>
    </row>
    <row r="1357" spans="1:25" ht="14.4" x14ac:dyDescent="0.3">
      <c r="A1357" s="36" t="s">
        <v>1169</v>
      </c>
      <c r="B1357" s="36">
        <v>2</v>
      </c>
      <c r="C1357" s="36"/>
      <c r="D1357" s="36">
        <v>366</v>
      </c>
      <c r="E1357" s="36" t="str">
        <f>CONCATENATE('Смета ЕР (общ) '!$A1357,".",'Смета ЕР (общ) '!$B1357,".",'Смета ЕР (общ) '!$D1357)</f>
        <v>Р9.2.366</v>
      </c>
      <c r="F1357" s="36">
        <f t="shared" si="107"/>
        <v>1</v>
      </c>
      <c r="G1357" s="36"/>
      <c r="H1357" s="36"/>
      <c r="I1357" s="36"/>
      <c r="J1357" s="36"/>
      <c r="K1357" s="36"/>
      <c r="L1357" s="37" t="s">
        <v>1440</v>
      </c>
      <c r="M1357" s="38" t="s">
        <v>147</v>
      </c>
      <c r="N1357" s="39"/>
      <c r="O1357" s="40">
        <v>75.8</v>
      </c>
      <c r="P1357" s="40">
        <v>97.4</v>
      </c>
      <c r="Q1357" s="40">
        <f t="shared" si="108"/>
        <v>75.8</v>
      </c>
      <c r="R1357" s="40">
        <f t="shared" si="108"/>
        <v>97.4</v>
      </c>
      <c r="S1357" s="40">
        <f>ROUND('Смета ЕР (общ) '!$N1357*'Смета ЕР (общ) '!$Q1357,2)</f>
        <v>0</v>
      </c>
      <c r="T1357" s="40">
        <f>ROUND('Смета ЕР (общ) '!$N1357*'Смета ЕР (общ) '!$R1357,2)</f>
        <v>0</v>
      </c>
    </row>
    <row r="1358" spans="1:25" ht="14.4" x14ac:dyDescent="0.3">
      <c r="A1358" s="36" t="s">
        <v>1169</v>
      </c>
      <c r="B1358" s="36">
        <v>2</v>
      </c>
      <c r="C1358" s="36"/>
      <c r="D1358" s="36">
        <v>367</v>
      </c>
      <c r="E1358" s="36" t="str">
        <f>CONCATENATE('Смета ЕР (общ) '!$A1358,".",'Смета ЕР (общ) '!$B1358,".",'Смета ЕР (общ) '!$D1358)</f>
        <v>Р9.2.367</v>
      </c>
      <c r="F1358" s="36">
        <f t="shared" si="107"/>
        <v>1</v>
      </c>
      <c r="G1358" s="36"/>
      <c r="H1358" s="36"/>
      <c r="I1358" s="36"/>
      <c r="J1358" s="36"/>
      <c r="K1358" s="36"/>
      <c r="L1358" s="37" t="s">
        <v>1441</v>
      </c>
      <c r="M1358" s="38" t="s">
        <v>147</v>
      </c>
      <c r="N1358" s="39"/>
      <c r="O1358" s="40">
        <v>75.8</v>
      </c>
      <c r="P1358" s="40">
        <v>68.319999999999993</v>
      </c>
      <c r="Q1358" s="40">
        <f t="shared" si="108"/>
        <v>75.8</v>
      </c>
      <c r="R1358" s="40">
        <f t="shared" si="108"/>
        <v>68.319999999999993</v>
      </c>
      <c r="S1358" s="40">
        <f>ROUND('Смета ЕР (общ) '!$N1358*'Смета ЕР (общ) '!$Q1358,2)</f>
        <v>0</v>
      </c>
      <c r="T1358" s="40">
        <f>ROUND('Смета ЕР (общ) '!$N1358*'Смета ЕР (общ) '!$R1358,2)</f>
        <v>0</v>
      </c>
    </row>
    <row r="1359" spans="1:25" ht="14.4" x14ac:dyDescent="0.3">
      <c r="A1359" s="36" t="s">
        <v>1169</v>
      </c>
      <c r="B1359" s="36">
        <v>2</v>
      </c>
      <c r="C1359" s="36"/>
      <c r="D1359" s="36">
        <v>170</v>
      </c>
      <c r="E1359" s="36" t="str">
        <f>CONCATENATE('Смета ЕР (общ) '!$A1359,".",'Смета ЕР (общ) '!$B1359,".",'Смета ЕР (общ) '!$D1359)</f>
        <v>Р9.2.170</v>
      </c>
      <c r="F1359" s="36">
        <f t="shared" si="107"/>
        <v>1</v>
      </c>
      <c r="G1359" s="36"/>
      <c r="H1359" s="36"/>
      <c r="I1359" s="36"/>
      <c r="J1359" s="36"/>
      <c r="K1359" s="36"/>
      <c r="L1359" s="37" t="s">
        <v>1442</v>
      </c>
      <c r="M1359" s="38" t="s">
        <v>147</v>
      </c>
      <c r="N1359" s="39"/>
      <c r="O1359" s="40">
        <v>75.8</v>
      </c>
      <c r="P1359" s="40">
        <v>35.9</v>
      </c>
      <c r="Q1359" s="40">
        <f t="shared" si="108"/>
        <v>75.8</v>
      </c>
      <c r="R1359" s="40">
        <f t="shared" si="108"/>
        <v>35.9</v>
      </c>
      <c r="S1359" s="40">
        <f>ROUND('Смета ЕР (общ) '!$N1359*'Смета ЕР (общ) '!$Q1359,2)</f>
        <v>0</v>
      </c>
      <c r="T1359" s="40">
        <f>ROUND('Смета ЕР (общ) '!$N1359*'Смета ЕР (общ) '!$R1359,2)</f>
        <v>0</v>
      </c>
    </row>
    <row r="1360" spans="1:25" ht="14.4" x14ac:dyDescent="0.3">
      <c r="A1360" s="36" t="s">
        <v>1169</v>
      </c>
      <c r="B1360" s="36">
        <v>2</v>
      </c>
      <c r="C1360" s="36"/>
      <c r="D1360" s="36">
        <v>276</v>
      </c>
      <c r="E1360" s="36" t="str">
        <f>CONCATENATE('Смета ЕР (общ) '!$A1360,".",'Смета ЕР (общ) '!$B1360,".",'Смета ЕР (общ) '!$D1360)</f>
        <v>Р9.2.276</v>
      </c>
      <c r="F1360" s="36">
        <f t="shared" si="107"/>
        <v>1</v>
      </c>
      <c r="G1360" s="36"/>
      <c r="H1360" s="36"/>
      <c r="I1360" s="36"/>
      <c r="J1360" s="36"/>
      <c r="K1360" s="36"/>
      <c r="L1360" s="37" t="s">
        <v>1443</v>
      </c>
      <c r="M1360" s="38" t="s">
        <v>147</v>
      </c>
      <c r="N1360" s="39"/>
      <c r="O1360" s="40">
        <v>75.8</v>
      </c>
      <c r="P1360" s="40">
        <v>22.69</v>
      </c>
      <c r="Q1360" s="40">
        <f t="shared" si="108"/>
        <v>75.8</v>
      </c>
      <c r="R1360" s="40">
        <f t="shared" si="108"/>
        <v>22.69</v>
      </c>
      <c r="S1360" s="40">
        <f>ROUND('Смета ЕР (общ) '!$N1360*'Смета ЕР (общ) '!$Q1360,2)</f>
        <v>0</v>
      </c>
      <c r="T1360" s="40">
        <f>ROUND('Смета ЕР (общ) '!$N1360*'Смета ЕР (общ) '!$R1360,2)</f>
        <v>0</v>
      </c>
      <c r="Y1360">
        <v>1177</v>
      </c>
    </row>
    <row r="1361" spans="1:25" ht="14.4" x14ac:dyDescent="0.3">
      <c r="A1361" s="36" t="s">
        <v>1169</v>
      </c>
      <c r="B1361" s="36">
        <v>2</v>
      </c>
      <c r="C1361" s="36"/>
      <c r="D1361" s="36">
        <v>277</v>
      </c>
      <c r="E1361" s="36" t="str">
        <f>CONCATENATE('Смета ЕР (общ) '!$A1361,".",'Смета ЕР (общ) '!$B1361,".",'Смета ЕР (общ) '!$D1361)</f>
        <v>Р9.2.277</v>
      </c>
      <c r="F1361" s="36">
        <f t="shared" ref="F1361:F1424" si="109">IF(N1361&gt;0,F1360+1,F1360)</f>
        <v>1</v>
      </c>
      <c r="G1361" s="36"/>
      <c r="H1361" s="36"/>
      <c r="I1361" s="36"/>
      <c r="J1361" s="36"/>
      <c r="K1361" s="36"/>
      <c r="L1361" s="37" t="s">
        <v>1444</v>
      </c>
      <c r="M1361" s="38" t="s">
        <v>147</v>
      </c>
      <c r="N1361" s="39"/>
      <c r="O1361" s="40">
        <v>75.8</v>
      </c>
      <c r="P1361" s="40">
        <v>19.239999999999998</v>
      </c>
      <c r="Q1361" s="40">
        <f t="shared" si="108"/>
        <v>75.8</v>
      </c>
      <c r="R1361" s="40">
        <f t="shared" si="108"/>
        <v>19.239999999999998</v>
      </c>
      <c r="S1361" s="40">
        <f>ROUND('Смета ЕР (общ) '!$N1361*'Смета ЕР (общ) '!$Q1361,2)</f>
        <v>0</v>
      </c>
      <c r="T1361" s="40">
        <f>ROUND('Смета ЕР (общ) '!$N1361*'Смета ЕР (общ) '!$R1361,2)</f>
        <v>0</v>
      </c>
      <c r="Y1361">
        <v>814</v>
      </c>
    </row>
    <row r="1362" spans="1:25" ht="24" x14ac:dyDescent="0.3">
      <c r="A1362" s="36" t="s">
        <v>1169</v>
      </c>
      <c r="B1362" s="36">
        <v>2</v>
      </c>
      <c r="C1362" s="36"/>
      <c r="D1362" s="36">
        <v>370</v>
      </c>
      <c r="E1362" s="36" t="str">
        <f>CONCATENATE('Смета ЕР (общ) '!$A1362,".",'Смета ЕР (общ) '!$B1362,".",'Смета ЕР (общ) '!$D1362)</f>
        <v>Р9.2.370</v>
      </c>
      <c r="F1362" s="36">
        <f t="shared" si="109"/>
        <v>1</v>
      </c>
      <c r="G1362" s="36"/>
      <c r="H1362" s="36"/>
      <c r="I1362" s="36"/>
      <c r="J1362" s="36"/>
      <c r="K1362" s="36"/>
      <c r="L1362" s="37" t="s">
        <v>1445</v>
      </c>
      <c r="M1362" s="38" t="s">
        <v>147</v>
      </c>
      <c r="N1362" s="39"/>
      <c r="O1362" s="40">
        <v>113.3</v>
      </c>
      <c r="P1362" s="40">
        <v>132.56</v>
      </c>
      <c r="Q1362" s="40">
        <f t="shared" si="108"/>
        <v>113.3</v>
      </c>
      <c r="R1362" s="40">
        <f t="shared" si="108"/>
        <v>132.56</v>
      </c>
      <c r="S1362" s="40">
        <f>ROUND('Смета ЕР (общ) '!$N1362*'Смета ЕР (общ) '!$Q1362,2)</f>
        <v>0</v>
      </c>
      <c r="T1362" s="40">
        <f>ROUND('Смета ЕР (общ) '!$N1362*'Смета ЕР (общ) '!$R1362,2)</f>
        <v>0</v>
      </c>
      <c r="U1362" s="35" t="s">
        <v>1446</v>
      </c>
      <c r="Y1362">
        <v>280</v>
      </c>
    </row>
    <row r="1363" spans="1:25" ht="24" x14ac:dyDescent="0.3">
      <c r="A1363" s="36" t="s">
        <v>1169</v>
      </c>
      <c r="B1363" s="36">
        <v>2</v>
      </c>
      <c r="C1363" s="36"/>
      <c r="D1363" s="36">
        <v>250</v>
      </c>
      <c r="E1363" s="36" t="str">
        <f>CONCATENATE('Смета ЕР (общ) '!$A1363,".",'Смета ЕР (общ) '!$B1363,".",'Смета ЕР (общ) '!$D1363)</f>
        <v>Р9.2.250</v>
      </c>
      <c r="F1363" s="36">
        <f t="shared" si="109"/>
        <v>1</v>
      </c>
      <c r="G1363" s="36"/>
      <c r="H1363" s="36"/>
      <c r="I1363" s="36"/>
      <c r="J1363" s="36"/>
      <c r="K1363" s="36"/>
      <c r="L1363" s="37" t="s">
        <v>1447</v>
      </c>
      <c r="M1363" s="38" t="s">
        <v>147</v>
      </c>
      <c r="N1363" s="39"/>
      <c r="O1363" s="40">
        <v>135.72</v>
      </c>
      <c r="P1363" s="40">
        <v>164.05</v>
      </c>
      <c r="Q1363" s="40">
        <f t="shared" si="108"/>
        <v>135.72</v>
      </c>
      <c r="R1363" s="40">
        <f t="shared" si="108"/>
        <v>164.05</v>
      </c>
      <c r="S1363" s="40">
        <f>ROUND('Смета ЕР (общ) '!$N1363*'Смета ЕР (общ) '!$Q1363,2)</f>
        <v>0</v>
      </c>
      <c r="T1363" s="40">
        <f>ROUND('Смета ЕР (общ) '!$N1363*'Смета ЕР (общ) '!$R1363,2)</f>
        <v>0</v>
      </c>
      <c r="U1363" s="35" t="s">
        <v>1446</v>
      </c>
      <c r="Y1363">
        <v>36</v>
      </c>
    </row>
    <row r="1364" spans="1:25" ht="14.4" x14ac:dyDescent="0.3">
      <c r="A1364" s="36" t="s">
        <v>1169</v>
      </c>
      <c r="B1364" s="36">
        <v>2</v>
      </c>
      <c r="C1364" s="36"/>
      <c r="D1364" s="36">
        <v>236</v>
      </c>
      <c r="E1364" s="36" t="str">
        <f>CONCATENATE('Смета ЕР (общ) '!$A1364,".",'Смета ЕР (общ) '!$B1364,".",'Смета ЕР (общ) '!$D1364)</f>
        <v>Р9.2.236</v>
      </c>
      <c r="F1364" s="36">
        <f t="shared" si="109"/>
        <v>1</v>
      </c>
      <c r="G1364" s="36"/>
      <c r="H1364" s="36"/>
      <c r="I1364" s="36"/>
      <c r="J1364" s="36"/>
      <c r="K1364" s="36"/>
      <c r="L1364" s="37" t="s">
        <v>1448</v>
      </c>
      <c r="M1364" s="38" t="s">
        <v>147</v>
      </c>
      <c r="N1364" s="39"/>
      <c r="O1364" s="40">
        <v>71.680000000000007</v>
      </c>
      <c r="P1364" s="40">
        <v>33.770000000000003</v>
      </c>
      <c r="Q1364" s="40">
        <f t="shared" si="108"/>
        <v>71.680000000000007</v>
      </c>
      <c r="R1364" s="40">
        <f t="shared" si="108"/>
        <v>33.770000000000003</v>
      </c>
      <c r="S1364" s="40">
        <f>ROUND('Смета ЕР (общ) '!$N1364*'Смета ЕР (общ) '!$Q1364,2)</f>
        <v>0</v>
      </c>
      <c r="T1364" s="40">
        <f>ROUND('Смета ЕР (общ) '!$N1364*'Смета ЕР (общ) '!$R1364,2)</f>
        <v>0</v>
      </c>
    </row>
    <row r="1365" spans="1:25" ht="14.4" x14ac:dyDescent="0.3">
      <c r="A1365" s="36" t="s">
        <v>1169</v>
      </c>
      <c r="B1365" s="36">
        <v>2</v>
      </c>
      <c r="C1365" s="36"/>
      <c r="D1365" s="36">
        <v>237</v>
      </c>
      <c r="E1365" s="36" t="str">
        <f>CONCATENATE('Смета ЕР (общ) '!$A1365,".",'Смета ЕР (общ) '!$B1365,".",'Смета ЕР (общ) '!$D1365)</f>
        <v>Р9.2.237</v>
      </c>
      <c r="F1365" s="36">
        <f t="shared" si="109"/>
        <v>1</v>
      </c>
      <c r="G1365" s="36"/>
      <c r="H1365" s="36"/>
      <c r="I1365" s="36"/>
      <c r="J1365" s="36"/>
      <c r="K1365" s="36"/>
      <c r="L1365" s="37" t="s">
        <v>1449</v>
      </c>
      <c r="M1365" s="38" t="s">
        <v>147</v>
      </c>
      <c r="N1365" s="39"/>
      <c r="O1365" s="40">
        <v>75.8</v>
      </c>
      <c r="P1365" s="40">
        <v>45.74</v>
      </c>
      <c r="Q1365" s="40">
        <f t="shared" si="108"/>
        <v>75.8</v>
      </c>
      <c r="R1365" s="40">
        <f t="shared" si="108"/>
        <v>45.74</v>
      </c>
      <c r="S1365" s="40">
        <f>ROUND('Смета ЕР (общ) '!$N1365*'Смета ЕР (общ) '!$Q1365,2)</f>
        <v>0</v>
      </c>
      <c r="T1365" s="40">
        <f>ROUND('Смета ЕР (общ) '!$N1365*'Смета ЕР (общ) '!$R1365,2)</f>
        <v>0</v>
      </c>
    </row>
    <row r="1366" spans="1:25" ht="14.4" x14ac:dyDescent="0.3">
      <c r="A1366" s="36" t="s">
        <v>1169</v>
      </c>
      <c r="B1366" s="36">
        <v>2</v>
      </c>
      <c r="C1366" s="36"/>
      <c r="D1366" s="36">
        <v>173</v>
      </c>
      <c r="E1366" s="36" t="str">
        <f>CONCATENATE('Смета ЕР (общ) '!$A1366,".",'Смета ЕР (общ) '!$B1366,".",'Смета ЕР (общ) '!$D1366)</f>
        <v>Р9.2.173</v>
      </c>
      <c r="F1366" s="36">
        <f t="shared" si="109"/>
        <v>1</v>
      </c>
      <c r="G1366" s="36"/>
      <c r="H1366" s="36"/>
      <c r="I1366" s="36"/>
      <c r="J1366" s="36"/>
      <c r="K1366" s="36"/>
      <c r="L1366" s="37" t="s">
        <v>1450</v>
      </c>
      <c r="M1366" s="38" t="s">
        <v>147</v>
      </c>
      <c r="N1366" s="39"/>
      <c r="O1366" s="40">
        <v>84.76</v>
      </c>
      <c r="P1366" s="40">
        <v>112.57</v>
      </c>
      <c r="Q1366" s="40">
        <f t="shared" si="108"/>
        <v>84.76</v>
      </c>
      <c r="R1366" s="40">
        <f t="shared" si="108"/>
        <v>112.57</v>
      </c>
      <c r="S1366" s="40">
        <f>ROUND('Смета ЕР (общ) '!$N1366*'Смета ЕР (общ) '!$Q1366,2)</f>
        <v>0</v>
      </c>
      <c r="T1366" s="40">
        <f>ROUND('Смета ЕР (общ) '!$N1366*'Смета ЕР (общ) '!$R1366,2)</f>
        <v>0</v>
      </c>
    </row>
    <row r="1367" spans="1:25" ht="14.4" x14ac:dyDescent="0.3">
      <c r="A1367" s="36" t="s">
        <v>1169</v>
      </c>
      <c r="B1367" s="36">
        <v>2</v>
      </c>
      <c r="C1367" s="36"/>
      <c r="D1367" s="36">
        <v>174</v>
      </c>
      <c r="E1367" s="36" t="str">
        <f>CONCATENATE('Смета ЕР (общ) '!$A1367,".",'Смета ЕР (общ) '!$B1367,".",'Смета ЕР (общ) '!$D1367)</f>
        <v>Р9.2.174</v>
      </c>
      <c r="F1367" s="36">
        <f t="shared" si="109"/>
        <v>1</v>
      </c>
      <c r="G1367" s="36"/>
      <c r="H1367" s="36"/>
      <c r="I1367" s="36"/>
      <c r="J1367" s="36"/>
      <c r="K1367" s="36"/>
      <c r="L1367" s="37" t="s">
        <v>1451</v>
      </c>
      <c r="M1367" s="38" t="s">
        <v>118</v>
      </c>
      <c r="N1367" s="39"/>
      <c r="O1367" s="40">
        <v>105.17</v>
      </c>
      <c r="P1367" s="40">
        <v>67.489999999999995</v>
      </c>
      <c r="Q1367" s="40">
        <f t="shared" si="108"/>
        <v>105.17</v>
      </c>
      <c r="R1367" s="40">
        <f t="shared" si="108"/>
        <v>67.489999999999995</v>
      </c>
      <c r="S1367" s="40">
        <f>ROUND('Смета ЕР (общ) '!$N1367*'Смета ЕР (общ) '!$Q1367,2)</f>
        <v>0</v>
      </c>
      <c r="T1367" s="40">
        <f>ROUND('Смета ЕР (общ) '!$N1367*'Смета ЕР (общ) '!$R1367,2)</f>
        <v>0</v>
      </c>
    </row>
    <row r="1368" spans="1:25" ht="14.4" x14ac:dyDescent="0.3">
      <c r="A1368" s="36" t="s">
        <v>1169</v>
      </c>
      <c r="B1368" s="36">
        <v>2</v>
      </c>
      <c r="C1368" s="36"/>
      <c r="D1368" s="36">
        <v>176</v>
      </c>
      <c r="E1368" s="36" t="str">
        <f>CONCATENATE('Смета ЕР (общ) '!$A1368,".",'Смета ЕР (общ) '!$B1368,".",'Смета ЕР (общ) '!$D1368)</f>
        <v>Р9.2.176</v>
      </c>
      <c r="F1368" s="36">
        <f t="shared" si="109"/>
        <v>1</v>
      </c>
      <c r="G1368" s="36"/>
      <c r="H1368" s="36"/>
      <c r="I1368" s="36"/>
      <c r="J1368" s="36"/>
      <c r="K1368" s="36"/>
      <c r="L1368" s="37" t="s">
        <v>1452</v>
      </c>
      <c r="M1368" s="38" t="s">
        <v>147</v>
      </c>
      <c r="N1368" s="39"/>
      <c r="O1368" s="40">
        <v>570.72</v>
      </c>
      <c r="P1368" s="40">
        <v>1934.82</v>
      </c>
      <c r="Q1368" s="40">
        <f t="shared" si="108"/>
        <v>570.72</v>
      </c>
      <c r="R1368" s="40">
        <f t="shared" si="108"/>
        <v>1934.82</v>
      </c>
      <c r="S1368" s="40">
        <f>ROUND('Смета ЕР (общ) '!$N1368*'Смета ЕР (общ) '!$Q1368,2)</f>
        <v>0</v>
      </c>
      <c r="T1368" s="40">
        <f>ROUND('Смета ЕР (общ) '!$N1368*'Смета ЕР (общ) '!$R1368,2)</f>
        <v>0</v>
      </c>
    </row>
    <row r="1369" spans="1:25" ht="24" x14ac:dyDescent="0.3">
      <c r="A1369" s="36" t="s">
        <v>1169</v>
      </c>
      <c r="B1369" s="36">
        <v>2</v>
      </c>
      <c r="C1369" s="36"/>
      <c r="D1369" s="36">
        <v>436</v>
      </c>
      <c r="E1369" s="36" t="str">
        <f>CONCATENATE('Смета ЕР (общ) '!$A1369,".",'Смета ЕР (общ) '!$B1369,".",'Смета ЕР (общ) '!$D1369)</f>
        <v>Р9.2.436</v>
      </c>
      <c r="F1369" s="36">
        <f t="shared" si="109"/>
        <v>1</v>
      </c>
      <c r="G1369" s="36"/>
      <c r="H1369" s="36"/>
      <c r="I1369" s="36"/>
      <c r="J1369" s="36"/>
      <c r="K1369" s="36"/>
      <c r="L1369" s="37" t="s">
        <v>1453</v>
      </c>
      <c r="M1369" s="38" t="s">
        <v>147</v>
      </c>
      <c r="N1369" s="39"/>
      <c r="O1369" s="40">
        <v>570.72</v>
      </c>
      <c r="P1369" s="40">
        <v>1934.82</v>
      </c>
      <c r="Q1369" s="40">
        <f t="shared" si="108"/>
        <v>570.72</v>
      </c>
      <c r="R1369" s="40">
        <f t="shared" si="108"/>
        <v>1934.82</v>
      </c>
      <c r="S1369" s="40">
        <f>ROUND('Смета ЕР (общ) '!$N1369*'Смета ЕР (общ) '!$Q1369,2)</f>
        <v>0</v>
      </c>
      <c r="T1369" s="40">
        <f>ROUND('Смета ЕР (общ) '!$N1369*'Смета ЕР (общ) '!$R1369,2)</f>
        <v>0</v>
      </c>
    </row>
    <row r="1370" spans="1:25" ht="24" x14ac:dyDescent="0.3">
      <c r="A1370" s="36" t="s">
        <v>1169</v>
      </c>
      <c r="B1370" s="36">
        <v>2</v>
      </c>
      <c r="C1370" s="36"/>
      <c r="D1370" s="36">
        <v>437</v>
      </c>
      <c r="E1370" s="36" t="str">
        <f>CONCATENATE('Смета ЕР (общ) '!$A1370,".",'Смета ЕР (общ) '!$B1370,".",'Смета ЕР (общ) '!$D1370)</f>
        <v>Р9.2.437</v>
      </c>
      <c r="F1370" s="36">
        <f t="shared" si="109"/>
        <v>1</v>
      </c>
      <c r="G1370" s="36"/>
      <c r="H1370" s="36"/>
      <c r="I1370" s="36"/>
      <c r="J1370" s="36"/>
      <c r="K1370" s="36"/>
      <c r="L1370" s="37" t="s">
        <v>1454</v>
      </c>
      <c r="M1370" s="38" t="s">
        <v>147</v>
      </c>
      <c r="N1370" s="39"/>
      <c r="O1370" s="40">
        <v>570.72</v>
      </c>
      <c r="P1370" s="40">
        <v>1934.82</v>
      </c>
      <c r="Q1370" s="40">
        <f t="shared" si="108"/>
        <v>570.72</v>
      </c>
      <c r="R1370" s="40">
        <f t="shared" si="108"/>
        <v>1934.82</v>
      </c>
      <c r="S1370" s="40">
        <f>ROUND('Смета ЕР (общ) '!$N1370*'Смета ЕР (общ) '!$Q1370,2)</f>
        <v>0</v>
      </c>
      <c r="T1370" s="40">
        <f>ROUND('Смета ЕР (общ) '!$N1370*'Смета ЕР (общ) '!$R1370,2)</f>
        <v>0</v>
      </c>
    </row>
    <row r="1371" spans="1:25" ht="30.75" customHeight="1" x14ac:dyDescent="0.3">
      <c r="A1371" s="36" t="s">
        <v>1169</v>
      </c>
      <c r="B1371" s="36">
        <v>2</v>
      </c>
      <c r="C1371" s="36"/>
      <c r="D1371" s="36">
        <v>371</v>
      </c>
      <c r="E1371" s="36" t="str">
        <f>CONCATENATE('Смета ЕР (общ) '!$A1371,".",'Смета ЕР (общ) '!$B1371,".",'Смета ЕР (общ) '!$D1371)</f>
        <v>Р9.2.371</v>
      </c>
      <c r="F1371" s="36">
        <f t="shared" si="109"/>
        <v>1</v>
      </c>
      <c r="G1371" s="36"/>
      <c r="H1371" s="36"/>
      <c r="I1371" s="36"/>
      <c r="J1371" s="36"/>
      <c r="K1371" s="36"/>
      <c r="L1371" s="37" t="s">
        <v>1455</v>
      </c>
      <c r="M1371" s="38" t="s">
        <v>118</v>
      </c>
      <c r="N1371" s="39"/>
      <c r="O1371" s="40">
        <v>119.19</v>
      </c>
      <c r="P1371" s="40">
        <v>282.95</v>
      </c>
      <c r="Q1371" s="40">
        <f t="shared" ref="Q1371:R1401" si="110">ROUND(O1371-O1371*$V$3,2)</f>
        <v>119.19</v>
      </c>
      <c r="R1371" s="40">
        <f t="shared" si="110"/>
        <v>282.95</v>
      </c>
      <c r="S1371" s="40">
        <f>ROUND('Смета ЕР (общ) '!$N1371*'Смета ЕР (общ) '!$Q1371,2)</f>
        <v>0</v>
      </c>
      <c r="T1371" s="40">
        <f>ROUND('Смета ЕР (общ) '!$N1371*'Смета ЕР (общ) '!$R1371,2)</f>
        <v>0</v>
      </c>
      <c r="U1371" s="35" t="s">
        <v>1456</v>
      </c>
      <c r="Y1371">
        <v>8</v>
      </c>
    </row>
    <row r="1372" spans="1:25" ht="14.4" x14ac:dyDescent="0.3">
      <c r="A1372" s="36" t="s">
        <v>1169</v>
      </c>
      <c r="B1372" s="36">
        <v>2</v>
      </c>
      <c r="C1372" s="36"/>
      <c r="D1372" s="36">
        <v>372</v>
      </c>
      <c r="E1372" s="36" t="str">
        <f>CONCATENATE('Смета ЕР (общ) '!$A1372,".",'Смета ЕР (общ) '!$B1372,".",'Смета ЕР (общ) '!$D1372)</f>
        <v>Р9.2.372</v>
      </c>
      <c r="F1372" s="36">
        <f t="shared" si="109"/>
        <v>1</v>
      </c>
      <c r="G1372" s="36"/>
      <c r="H1372" s="36"/>
      <c r="I1372" s="36"/>
      <c r="J1372" s="36"/>
      <c r="K1372" s="36"/>
      <c r="L1372" s="37" t="s">
        <v>1457</v>
      </c>
      <c r="M1372" s="38" t="s">
        <v>118</v>
      </c>
      <c r="N1372" s="39"/>
      <c r="O1372" s="40">
        <v>119.19</v>
      </c>
      <c r="P1372" s="40">
        <v>894.85</v>
      </c>
      <c r="Q1372" s="40">
        <f t="shared" si="110"/>
        <v>119.19</v>
      </c>
      <c r="R1372" s="40">
        <f t="shared" si="110"/>
        <v>894.85</v>
      </c>
      <c r="S1372" s="40">
        <f>ROUND('Смета ЕР (общ) '!$N1372*'Смета ЕР (общ) '!$Q1372,2)</f>
        <v>0</v>
      </c>
      <c r="T1372" s="40">
        <f>ROUND('Смета ЕР (общ) '!$N1372*'Смета ЕР (общ) '!$R1372,2)</f>
        <v>0</v>
      </c>
      <c r="U1372" s="35" t="s">
        <v>435</v>
      </c>
      <c r="Y1372">
        <v>28</v>
      </c>
    </row>
    <row r="1373" spans="1:25" ht="14.4" x14ac:dyDescent="0.3">
      <c r="A1373" s="36" t="s">
        <v>1169</v>
      </c>
      <c r="B1373" s="36">
        <v>2</v>
      </c>
      <c r="C1373" s="36"/>
      <c r="D1373" s="36">
        <v>373</v>
      </c>
      <c r="E1373" s="36" t="str">
        <f>CONCATENATE('Смета ЕР (общ) '!$A1373,".",'Смета ЕР (общ) '!$B1373,".",'Смета ЕР (общ) '!$D1373)</f>
        <v>Р9.2.373</v>
      </c>
      <c r="F1373" s="36">
        <f t="shared" si="109"/>
        <v>1</v>
      </c>
      <c r="G1373" s="36"/>
      <c r="H1373" s="36"/>
      <c r="I1373" s="36"/>
      <c r="J1373" s="36"/>
      <c r="K1373" s="36"/>
      <c r="L1373" s="37" t="s">
        <v>1458</v>
      </c>
      <c r="M1373" s="38" t="s">
        <v>118</v>
      </c>
      <c r="N1373" s="39"/>
      <c r="O1373" s="40">
        <v>119.19</v>
      </c>
      <c r="P1373" s="40">
        <v>552.73</v>
      </c>
      <c r="Q1373" s="40">
        <f t="shared" si="110"/>
        <v>119.19</v>
      </c>
      <c r="R1373" s="40">
        <f t="shared" si="110"/>
        <v>552.73</v>
      </c>
      <c r="S1373" s="40">
        <f>ROUND('Смета ЕР (общ) '!$N1373*'Смета ЕР (общ) '!$Q1373,2)</f>
        <v>0</v>
      </c>
      <c r="T1373" s="40">
        <f>ROUND('Смета ЕР (общ) '!$N1373*'Смета ЕР (общ) '!$R1373,2)</f>
        <v>0</v>
      </c>
      <c r="U1373" s="35" t="s">
        <v>435</v>
      </c>
      <c r="Y1373">
        <v>25</v>
      </c>
    </row>
    <row r="1374" spans="1:25" ht="14.4" x14ac:dyDescent="0.3">
      <c r="A1374" s="36" t="s">
        <v>1169</v>
      </c>
      <c r="B1374" s="36">
        <v>2</v>
      </c>
      <c r="C1374" s="36"/>
      <c r="D1374" s="36">
        <v>438</v>
      </c>
      <c r="E1374" s="36" t="str">
        <f>CONCATENATE('Смета ЕР (общ) '!$A1374,".",'Смета ЕР (общ) '!$B1374,".",'Смета ЕР (общ) '!$D1374)</f>
        <v>Р9.2.438</v>
      </c>
      <c r="F1374" s="36">
        <f t="shared" si="109"/>
        <v>1</v>
      </c>
      <c r="G1374" s="36"/>
      <c r="H1374" s="36"/>
      <c r="I1374" s="36"/>
      <c r="J1374" s="36"/>
      <c r="K1374" s="36"/>
      <c r="L1374" s="37" t="s">
        <v>1459</v>
      </c>
      <c r="M1374" s="38" t="s">
        <v>118</v>
      </c>
      <c r="N1374" s="39"/>
      <c r="O1374" s="40">
        <v>119.19</v>
      </c>
      <c r="P1374" s="40">
        <v>731.43</v>
      </c>
      <c r="Q1374" s="40">
        <f t="shared" si="110"/>
        <v>119.19</v>
      </c>
      <c r="R1374" s="40">
        <f t="shared" si="110"/>
        <v>731.43</v>
      </c>
      <c r="S1374" s="40">
        <f>ROUND('Смета ЕР (общ) '!$N1374*'Смета ЕР (общ) '!$Q1374,2)</f>
        <v>0</v>
      </c>
      <c r="T1374" s="40">
        <f>ROUND('Смета ЕР (общ) '!$N1374*'Смета ЕР (общ) '!$R1374,2)</f>
        <v>0</v>
      </c>
    </row>
    <row r="1375" spans="1:25" ht="14.4" x14ac:dyDescent="0.3">
      <c r="A1375" s="36" t="s">
        <v>1169</v>
      </c>
      <c r="B1375" s="36">
        <v>2</v>
      </c>
      <c r="C1375" s="36"/>
      <c r="D1375" s="36">
        <v>293</v>
      </c>
      <c r="E1375" s="36" t="str">
        <f>CONCATENATE('Смета ЕР (общ) '!$A1375,".",'Смета ЕР (общ) '!$B1375,".",'Смета ЕР (общ) '!$D1375)</f>
        <v>Р9.2.293</v>
      </c>
      <c r="F1375" s="36">
        <f t="shared" si="109"/>
        <v>1</v>
      </c>
      <c r="G1375" s="36"/>
      <c r="H1375" s="36"/>
      <c r="I1375" s="36"/>
      <c r="J1375" s="36"/>
      <c r="K1375" s="36"/>
      <c r="L1375" s="37" t="s">
        <v>1460</v>
      </c>
      <c r="M1375" s="38" t="s">
        <v>118</v>
      </c>
      <c r="N1375" s="54"/>
      <c r="O1375" s="40">
        <v>119.19</v>
      </c>
      <c r="P1375" s="40">
        <v>1525.25</v>
      </c>
      <c r="Q1375" s="40">
        <f t="shared" si="110"/>
        <v>119.19</v>
      </c>
      <c r="R1375" s="40">
        <f t="shared" si="110"/>
        <v>1525.25</v>
      </c>
      <c r="S1375" s="40">
        <f>ROUND('Смета ЕР (общ) '!$N1375*'Смета ЕР (общ) '!$Q1375,2)</f>
        <v>0</v>
      </c>
      <c r="T1375" s="40">
        <f>ROUND('Смета ЕР (общ) '!$N1375*'Смета ЕР (общ) '!$R1375,2)</f>
        <v>0</v>
      </c>
      <c r="U1375" s="35" t="s">
        <v>435</v>
      </c>
      <c r="Y1375">
        <v>32</v>
      </c>
    </row>
    <row r="1376" spans="1:25" ht="14.4" x14ac:dyDescent="0.3">
      <c r="A1376" s="36" t="s">
        <v>1169</v>
      </c>
      <c r="B1376" s="36">
        <v>2</v>
      </c>
      <c r="C1376" s="36"/>
      <c r="D1376" s="36">
        <v>294</v>
      </c>
      <c r="E1376" s="36" t="str">
        <f>CONCATENATE('Смета ЕР (общ) '!$A1376,".",'Смета ЕР (общ) '!$B1376,".",'Смета ЕР (общ) '!$D1376)</f>
        <v>Р9.2.294</v>
      </c>
      <c r="F1376" s="36">
        <f t="shared" si="109"/>
        <v>1</v>
      </c>
      <c r="G1376" s="36"/>
      <c r="H1376" s="36"/>
      <c r="I1376" s="36"/>
      <c r="J1376" s="36"/>
      <c r="K1376" s="36"/>
      <c r="L1376" s="37" t="s">
        <v>1461</v>
      </c>
      <c r="M1376" s="38" t="s">
        <v>118</v>
      </c>
      <c r="N1376" s="54"/>
      <c r="O1376" s="40">
        <v>119.19</v>
      </c>
      <c r="P1376" s="40">
        <v>2126.4899999999998</v>
      </c>
      <c r="Q1376" s="40">
        <f t="shared" si="110"/>
        <v>119.19</v>
      </c>
      <c r="R1376" s="40">
        <f t="shared" si="110"/>
        <v>2126.4899999999998</v>
      </c>
      <c r="S1376" s="40">
        <f>ROUND('Смета ЕР (общ) '!$N1376*'Смета ЕР (общ) '!$Q1376,2)</f>
        <v>0</v>
      </c>
      <c r="T1376" s="40">
        <f>ROUND('Смета ЕР (общ) '!$N1376*'Смета ЕР (общ) '!$R1376,2)</f>
        <v>0</v>
      </c>
      <c r="U1376" s="35" t="s">
        <v>435</v>
      </c>
      <c r="Y1376">
        <v>24</v>
      </c>
    </row>
    <row r="1377" spans="1:25" ht="14.4" x14ac:dyDescent="0.3">
      <c r="A1377" s="36" t="s">
        <v>1169</v>
      </c>
      <c r="B1377" s="36">
        <v>2</v>
      </c>
      <c r="C1377" s="36"/>
      <c r="D1377" s="36">
        <v>439</v>
      </c>
      <c r="E1377" s="36" t="str">
        <f>CONCATENATE('Смета ЕР (общ) '!$A1377,".",'Смета ЕР (общ) '!$B1377,".",'Смета ЕР (общ) '!$D1377)</f>
        <v>Р9.2.439</v>
      </c>
      <c r="F1377" s="36">
        <f t="shared" si="109"/>
        <v>1</v>
      </c>
      <c r="G1377" s="36"/>
      <c r="H1377" s="36"/>
      <c r="I1377" s="36"/>
      <c r="J1377" s="36"/>
      <c r="K1377" s="36"/>
      <c r="L1377" s="37" t="s">
        <v>1462</v>
      </c>
      <c r="M1377" s="38" t="s">
        <v>118</v>
      </c>
      <c r="N1377" s="54"/>
      <c r="O1377" s="40">
        <v>119.19</v>
      </c>
      <c r="P1377" s="40">
        <v>1884.43</v>
      </c>
      <c r="Q1377" s="40">
        <f t="shared" si="110"/>
        <v>119.19</v>
      </c>
      <c r="R1377" s="40">
        <f t="shared" si="110"/>
        <v>1884.43</v>
      </c>
      <c r="S1377" s="40">
        <f>ROUND('Смета ЕР (общ) '!$N1377*'Смета ЕР (общ) '!$Q1377,2)</f>
        <v>0</v>
      </c>
      <c r="T1377" s="40">
        <f>ROUND('Смета ЕР (общ) '!$N1377*'Смета ЕР (общ) '!$R1377,2)</f>
        <v>0</v>
      </c>
    </row>
    <row r="1378" spans="1:25" ht="14.4" x14ac:dyDescent="0.3">
      <c r="A1378" s="36" t="s">
        <v>1169</v>
      </c>
      <c r="B1378" s="36">
        <v>2</v>
      </c>
      <c r="C1378" s="36"/>
      <c r="D1378" s="36">
        <v>440</v>
      </c>
      <c r="E1378" s="36" t="str">
        <f>CONCATENATE('Смета ЕР (общ) '!$A1378,".",'Смета ЕР (общ) '!$B1378,".",'Смета ЕР (общ) '!$D1378)</f>
        <v>Р9.2.440</v>
      </c>
      <c r="F1378" s="36">
        <f t="shared" si="109"/>
        <v>1</v>
      </c>
      <c r="G1378" s="36"/>
      <c r="H1378" s="36"/>
      <c r="I1378" s="36"/>
      <c r="J1378" s="36"/>
      <c r="K1378" s="36"/>
      <c r="L1378" s="37" t="s">
        <v>1463</v>
      </c>
      <c r="M1378" s="38" t="s">
        <v>118</v>
      </c>
      <c r="N1378" s="54"/>
      <c r="O1378" s="40">
        <v>119.19</v>
      </c>
      <c r="P1378" s="40">
        <v>2601.33</v>
      </c>
      <c r="Q1378" s="40">
        <f t="shared" si="110"/>
        <v>119.19</v>
      </c>
      <c r="R1378" s="40">
        <f t="shared" si="110"/>
        <v>2601.33</v>
      </c>
      <c r="S1378" s="40">
        <f>ROUND('Смета ЕР (общ) '!$N1378*'Смета ЕР (общ) '!$Q1378,2)</f>
        <v>0</v>
      </c>
      <c r="T1378" s="40">
        <f>ROUND('Смета ЕР (общ) '!$N1378*'Смета ЕР (общ) '!$R1378,2)</f>
        <v>0</v>
      </c>
    </row>
    <row r="1379" spans="1:25" ht="36" x14ac:dyDescent="0.3">
      <c r="A1379" s="36" t="s">
        <v>1169</v>
      </c>
      <c r="B1379" s="36">
        <v>2</v>
      </c>
      <c r="C1379" s="36"/>
      <c r="D1379" s="36">
        <v>295</v>
      </c>
      <c r="E1379" s="36" t="str">
        <f>CONCATENATE('Смета ЕР (общ) '!$A1379,".",'Смета ЕР (общ) '!$B1379,".",'Смета ЕР (общ) '!$D1379)</f>
        <v>Р9.2.295</v>
      </c>
      <c r="F1379" s="36">
        <f t="shared" si="109"/>
        <v>1</v>
      </c>
      <c r="G1379" s="36"/>
      <c r="H1379" s="36"/>
      <c r="I1379" s="36"/>
      <c r="J1379" s="36"/>
      <c r="K1379" s="36"/>
      <c r="L1379" s="37" t="s">
        <v>1464</v>
      </c>
      <c r="M1379" s="38" t="s">
        <v>147</v>
      </c>
      <c r="N1379" s="39"/>
      <c r="O1379" s="40">
        <v>946</v>
      </c>
      <c r="P1379" s="44">
        <v>2236.88</v>
      </c>
      <c r="Q1379" s="40">
        <f t="shared" si="110"/>
        <v>946</v>
      </c>
      <c r="R1379" s="40">
        <f t="shared" si="110"/>
        <v>2236.88</v>
      </c>
      <c r="S1379" s="40">
        <f>ROUND('Смета ЕР (общ) '!$N1379*'Смета ЕР (общ) '!$Q1379,2)</f>
        <v>0</v>
      </c>
      <c r="T1379" s="40">
        <f>ROUND('Смета ЕР (общ) '!$N1379*'Смета ЕР (общ) '!$R1379,2)</f>
        <v>0</v>
      </c>
      <c r="U1379" s="136" t="s">
        <v>435</v>
      </c>
      <c r="V1379" s="27">
        <v>0.08</v>
      </c>
    </row>
    <row r="1380" spans="1:25" ht="36" x14ac:dyDescent="0.3">
      <c r="A1380" s="36" t="s">
        <v>1169</v>
      </c>
      <c r="B1380" s="36">
        <v>2</v>
      </c>
      <c r="C1380" s="36"/>
      <c r="D1380" s="36">
        <v>296</v>
      </c>
      <c r="E1380" s="36" t="str">
        <f>CONCATENATE('Смета ЕР (общ) '!$A1380,".",'Смета ЕР (общ) '!$B1380,".",'Смета ЕР (общ) '!$D1380)</f>
        <v>Р9.2.296</v>
      </c>
      <c r="F1380" s="36">
        <f t="shared" si="109"/>
        <v>1</v>
      </c>
      <c r="G1380" s="36"/>
      <c r="H1380" s="36"/>
      <c r="I1380" s="36"/>
      <c r="J1380" s="36"/>
      <c r="K1380" s="36"/>
      <c r="L1380" s="37" t="s">
        <v>1465</v>
      </c>
      <c r="M1380" s="38" t="s">
        <v>147</v>
      </c>
      <c r="N1380" s="39"/>
      <c r="O1380" s="40">
        <v>946</v>
      </c>
      <c r="P1380" s="44">
        <v>4108.72</v>
      </c>
      <c r="Q1380" s="40">
        <f t="shared" si="110"/>
        <v>946</v>
      </c>
      <c r="R1380" s="40">
        <f t="shared" si="110"/>
        <v>4108.72</v>
      </c>
      <c r="S1380" s="40">
        <f>ROUND('Смета ЕР (общ) '!$N1380*'Смета ЕР (общ) '!$Q1380,2)</f>
        <v>0</v>
      </c>
      <c r="T1380" s="40">
        <f>ROUND('Смета ЕР (общ) '!$N1380*'Смета ЕР (общ) '!$R1380,2)</f>
        <v>0</v>
      </c>
      <c r="U1380" s="136" t="s">
        <v>435</v>
      </c>
      <c r="V1380" s="27">
        <v>0.13</v>
      </c>
    </row>
    <row r="1381" spans="1:25" ht="36" x14ac:dyDescent="0.3">
      <c r="A1381" s="36" t="s">
        <v>1169</v>
      </c>
      <c r="B1381" s="36">
        <v>2</v>
      </c>
      <c r="C1381" s="36"/>
      <c r="D1381" s="36">
        <v>374</v>
      </c>
      <c r="E1381" s="36" t="str">
        <f>CONCATENATE('Смета ЕР (общ) '!$A1381,".",'Смета ЕР (общ) '!$B1381,".",'Смета ЕР (общ) '!$D1381)</f>
        <v>Р9.2.374</v>
      </c>
      <c r="F1381" s="36">
        <f t="shared" si="109"/>
        <v>1</v>
      </c>
      <c r="G1381" s="36"/>
      <c r="H1381" s="36"/>
      <c r="I1381" s="36"/>
      <c r="J1381" s="36"/>
      <c r="K1381" s="36"/>
      <c r="L1381" s="37" t="s">
        <v>1466</v>
      </c>
      <c r="M1381" s="38" t="s">
        <v>147</v>
      </c>
      <c r="N1381" s="39"/>
      <c r="O1381" s="40">
        <v>1057.05</v>
      </c>
      <c r="P1381" s="44">
        <v>5703.86</v>
      </c>
      <c r="Q1381" s="40">
        <f t="shared" si="110"/>
        <v>1057.05</v>
      </c>
      <c r="R1381" s="40">
        <f t="shared" si="110"/>
        <v>5703.86</v>
      </c>
      <c r="S1381" s="40">
        <f>ROUND('Смета ЕР (общ) '!$N1381*'Смета ЕР (общ) '!$Q1381,2)</f>
        <v>0</v>
      </c>
      <c r="T1381" s="40">
        <f>ROUND('Смета ЕР (общ) '!$N1381*'Смета ЕР (общ) '!$R1381,2)</f>
        <v>0</v>
      </c>
      <c r="U1381" s="136"/>
      <c r="V1381" s="27">
        <v>0.06</v>
      </c>
    </row>
    <row r="1382" spans="1:25" ht="36" x14ac:dyDescent="0.3">
      <c r="A1382" s="36" t="s">
        <v>1169</v>
      </c>
      <c r="B1382" s="36">
        <v>2</v>
      </c>
      <c r="C1382" s="36"/>
      <c r="D1382" s="36">
        <v>441</v>
      </c>
      <c r="E1382" s="36" t="str">
        <f>CONCATENATE('Смета ЕР (общ) '!$A1382,".",'Смета ЕР (общ) '!$B1382,".",'Смета ЕР (общ) '!$D1382)</f>
        <v>Р9.2.441</v>
      </c>
      <c r="F1382" s="36">
        <f t="shared" si="109"/>
        <v>1</v>
      </c>
      <c r="G1382" s="36"/>
      <c r="H1382" s="36"/>
      <c r="I1382" s="36"/>
      <c r="J1382" s="36"/>
      <c r="K1382" s="36"/>
      <c r="L1382" s="37" t="s">
        <v>1467</v>
      </c>
      <c r="M1382" s="38" t="s">
        <v>147</v>
      </c>
      <c r="N1382" s="39"/>
      <c r="O1382" s="40">
        <v>1057.05</v>
      </c>
      <c r="P1382" s="40">
        <v>3271.6</v>
      </c>
      <c r="Q1382" s="40">
        <f t="shared" si="110"/>
        <v>1057.05</v>
      </c>
      <c r="R1382" s="40">
        <f t="shared" si="110"/>
        <v>3271.6</v>
      </c>
      <c r="S1382" s="40">
        <f>ROUND('Смета ЕР (общ) '!$N1382*'Смета ЕР (общ) '!$Q1382,2)</f>
        <v>0</v>
      </c>
      <c r="T1382" s="40">
        <f>ROUND('Смета ЕР (общ) '!$N1382*'Смета ЕР (общ) '!$R1382,2)</f>
        <v>0</v>
      </c>
    </row>
    <row r="1383" spans="1:25" ht="36" x14ac:dyDescent="0.3">
      <c r="A1383" s="36" t="s">
        <v>1169</v>
      </c>
      <c r="B1383" s="36">
        <v>2</v>
      </c>
      <c r="C1383" s="36"/>
      <c r="D1383" s="36">
        <v>442</v>
      </c>
      <c r="E1383" s="36" t="str">
        <f>CONCATENATE('Смета ЕР (общ) '!$A1383,".",'Смета ЕР (общ) '!$B1383,".",'Смета ЕР (общ) '!$D1383)</f>
        <v>Р9.2.442</v>
      </c>
      <c r="F1383" s="36">
        <f t="shared" si="109"/>
        <v>1</v>
      </c>
      <c r="G1383" s="36"/>
      <c r="H1383" s="36"/>
      <c r="I1383" s="36"/>
      <c r="J1383" s="36"/>
      <c r="K1383" s="36"/>
      <c r="L1383" s="37" t="s">
        <v>1468</v>
      </c>
      <c r="M1383" s="38" t="s">
        <v>147</v>
      </c>
      <c r="N1383" s="39"/>
      <c r="O1383" s="40">
        <v>1057.05</v>
      </c>
      <c r="P1383" s="40">
        <v>4670.3900000000003</v>
      </c>
      <c r="Q1383" s="40">
        <f t="shared" si="110"/>
        <v>1057.05</v>
      </c>
      <c r="R1383" s="40">
        <f t="shared" si="110"/>
        <v>4670.3900000000003</v>
      </c>
      <c r="S1383" s="40">
        <f>ROUND('Смета ЕР (общ) '!$N1383*'Смета ЕР (общ) '!$Q1383,2)</f>
        <v>0</v>
      </c>
      <c r="T1383" s="40">
        <f>ROUND('Смета ЕР (общ) '!$N1383*'Смета ЕР (общ) '!$R1383,2)</f>
        <v>0</v>
      </c>
    </row>
    <row r="1384" spans="1:25" ht="14.4" x14ac:dyDescent="0.3">
      <c r="A1384" s="36" t="s">
        <v>1169</v>
      </c>
      <c r="B1384" s="36">
        <v>2</v>
      </c>
      <c r="C1384" s="36"/>
      <c r="D1384" s="36">
        <v>375</v>
      </c>
      <c r="E1384" s="36" t="str">
        <f>CONCATENATE('Смета ЕР (общ) '!$A1384,".",'Смета ЕР (общ) '!$B1384,".",'Смета ЕР (общ) '!$D1384)</f>
        <v>Р9.2.375</v>
      </c>
      <c r="F1384" s="36">
        <f t="shared" si="109"/>
        <v>1</v>
      </c>
      <c r="G1384" s="36"/>
      <c r="H1384" s="36"/>
      <c r="I1384" s="36"/>
      <c r="J1384" s="36"/>
      <c r="K1384" s="36"/>
      <c r="L1384" s="37" t="s">
        <v>1469</v>
      </c>
      <c r="M1384" s="38" t="s">
        <v>147</v>
      </c>
      <c r="N1384" s="39"/>
      <c r="O1384" s="40">
        <v>769.95</v>
      </c>
      <c r="P1384" s="40">
        <v>636.4</v>
      </c>
      <c r="Q1384" s="40">
        <f t="shared" si="110"/>
        <v>769.95</v>
      </c>
      <c r="R1384" s="40">
        <f t="shared" si="110"/>
        <v>636.4</v>
      </c>
      <c r="S1384" s="40">
        <f>ROUND('Смета ЕР (общ) '!$N1384*'Смета ЕР (общ) '!$Q1384,2)</f>
        <v>0</v>
      </c>
      <c r="T1384" s="40">
        <f>ROUND('Смета ЕР (общ) '!$N1384*'Смета ЕР (общ) '!$R1384,2)</f>
        <v>0</v>
      </c>
    </row>
    <row r="1385" spans="1:25" ht="14.4" x14ac:dyDescent="0.3">
      <c r="A1385" s="36" t="s">
        <v>1169</v>
      </c>
      <c r="B1385" s="36">
        <v>2</v>
      </c>
      <c r="C1385" s="36"/>
      <c r="D1385" s="36">
        <v>376</v>
      </c>
      <c r="E1385" s="36" t="str">
        <f>CONCATENATE('Смета ЕР (общ) '!$A1385,".",'Смета ЕР (общ) '!$B1385,".",'Смета ЕР (общ) '!$D1385)</f>
        <v>Р9.2.376</v>
      </c>
      <c r="F1385" s="36">
        <f t="shared" si="109"/>
        <v>1</v>
      </c>
      <c r="G1385" s="36"/>
      <c r="H1385" s="36"/>
      <c r="I1385" s="36"/>
      <c r="J1385" s="36"/>
      <c r="K1385" s="36"/>
      <c r="L1385" s="37" t="s">
        <v>1470</v>
      </c>
      <c r="M1385" s="38" t="s">
        <v>147</v>
      </c>
      <c r="N1385" s="39"/>
      <c r="O1385" s="40">
        <v>769.95</v>
      </c>
      <c r="P1385" s="40">
        <v>851.53</v>
      </c>
      <c r="Q1385" s="40">
        <f t="shared" si="110"/>
        <v>769.95</v>
      </c>
      <c r="R1385" s="40">
        <f t="shared" si="110"/>
        <v>851.53</v>
      </c>
      <c r="S1385" s="40">
        <f>ROUND('Смета ЕР (общ) '!$N1385*'Смета ЕР (общ) '!$Q1385,2)</f>
        <v>0</v>
      </c>
      <c r="T1385" s="40">
        <f>ROUND('Смета ЕР (общ) '!$N1385*'Смета ЕР (общ) '!$R1385,2)</f>
        <v>0</v>
      </c>
    </row>
    <row r="1386" spans="1:25" ht="14.4" x14ac:dyDescent="0.3">
      <c r="A1386" s="36" t="s">
        <v>1169</v>
      </c>
      <c r="B1386" s="36">
        <v>2</v>
      </c>
      <c r="C1386" s="36"/>
      <c r="D1386" s="36">
        <v>377</v>
      </c>
      <c r="E1386" s="36" t="str">
        <f>CONCATENATE('Смета ЕР (общ) '!$A1386,".",'Смета ЕР (общ) '!$B1386,".",'Смета ЕР (общ) '!$D1386)</f>
        <v>Р9.2.377</v>
      </c>
      <c r="F1386" s="36">
        <f t="shared" si="109"/>
        <v>1</v>
      </c>
      <c r="G1386" s="36"/>
      <c r="H1386" s="36"/>
      <c r="I1386" s="36"/>
      <c r="J1386" s="36"/>
      <c r="K1386" s="36"/>
      <c r="L1386" s="37" t="s">
        <v>1471</v>
      </c>
      <c r="M1386" s="38" t="s">
        <v>147</v>
      </c>
      <c r="N1386" s="39"/>
      <c r="O1386" s="40">
        <v>784.74</v>
      </c>
      <c r="P1386" s="40">
        <v>1096.44</v>
      </c>
      <c r="Q1386" s="40">
        <f t="shared" si="110"/>
        <v>784.74</v>
      </c>
      <c r="R1386" s="40">
        <f t="shared" si="110"/>
        <v>1096.44</v>
      </c>
      <c r="S1386" s="40">
        <f>ROUND('Смета ЕР (общ) '!$N1386*'Смета ЕР (общ) '!$Q1386,2)</f>
        <v>0</v>
      </c>
      <c r="T1386" s="40">
        <f>ROUND('Смета ЕР (общ) '!$N1386*'Смета ЕР (общ) '!$R1386,2)</f>
        <v>0</v>
      </c>
    </row>
    <row r="1387" spans="1:25" ht="14.4" x14ac:dyDescent="0.3">
      <c r="A1387" s="36" t="s">
        <v>1169</v>
      </c>
      <c r="B1387" s="36">
        <v>2</v>
      </c>
      <c r="C1387" s="36"/>
      <c r="D1387" s="36">
        <v>297</v>
      </c>
      <c r="E1387" s="36" t="str">
        <f>CONCATENATE('Смета ЕР (общ) '!$A1387,".",'Смета ЕР (общ) '!$B1387,".",'Смета ЕР (общ) '!$D1387)</f>
        <v>Р9.2.297</v>
      </c>
      <c r="F1387" s="36">
        <f t="shared" si="109"/>
        <v>1</v>
      </c>
      <c r="G1387" s="36"/>
      <c r="H1387" s="36"/>
      <c r="I1387" s="36"/>
      <c r="J1387" s="36"/>
      <c r="K1387" s="36"/>
      <c r="L1387" s="37" t="s">
        <v>1472</v>
      </c>
      <c r="M1387" s="38" t="s">
        <v>147</v>
      </c>
      <c r="N1387" s="39"/>
      <c r="O1387" s="40">
        <v>784.74</v>
      </c>
      <c r="P1387" s="40">
        <v>1264.48</v>
      </c>
      <c r="Q1387" s="40">
        <f t="shared" si="110"/>
        <v>784.74</v>
      </c>
      <c r="R1387" s="40">
        <f t="shared" si="110"/>
        <v>1264.48</v>
      </c>
      <c r="S1387" s="40">
        <f>ROUND('Смета ЕР (общ) '!$N1387*'Смета ЕР (общ) '!$Q1387,2)</f>
        <v>0</v>
      </c>
      <c r="T1387" s="40">
        <f>ROUND('Смета ЕР (общ) '!$N1387*'Смета ЕР (общ) '!$R1387,2)</f>
        <v>0</v>
      </c>
    </row>
    <row r="1388" spans="1:25" ht="14.4" x14ac:dyDescent="0.3">
      <c r="A1388" s="36" t="s">
        <v>1169</v>
      </c>
      <c r="B1388" s="36">
        <v>2</v>
      </c>
      <c r="C1388" s="36"/>
      <c r="D1388" s="36">
        <v>378</v>
      </c>
      <c r="E1388" s="36" t="str">
        <f>CONCATENATE('Смета ЕР (общ) '!$A1388,".",'Смета ЕР (общ) '!$B1388,".",'Смета ЕР (общ) '!$D1388)</f>
        <v>Р9.2.378</v>
      </c>
      <c r="F1388" s="36">
        <f t="shared" si="109"/>
        <v>1</v>
      </c>
      <c r="G1388" s="36"/>
      <c r="H1388" s="36"/>
      <c r="I1388" s="36"/>
      <c r="J1388" s="36"/>
      <c r="K1388" s="36"/>
      <c r="L1388" s="37" t="s">
        <v>1473</v>
      </c>
      <c r="M1388" s="38" t="s">
        <v>147</v>
      </c>
      <c r="N1388" s="39"/>
      <c r="O1388" s="40">
        <v>784.74</v>
      </c>
      <c r="P1388" s="40">
        <v>1490.18</v>
      </c>
      <c r="Q1388" s="40">
        <f t="shared" si="110"/>
        <v>784.74</v>
      </c>
      <c r="R1388" s="40">
        <f t="shared" si="110"/>
        <v>1490.18</v>
      </c>
      <c r="S1388" s="40">
        <f>ROUND('Смета ЕР (общ) '!$N1388*'Смета ЕР (общ) '!$Q1388,2)</f>
        <v>0</v>
      </c>
      <c r="T1388" s="40">
        <f>ROUND('Смета ЕР (общ) '!$N1388*'Смета ЕР (общ) '!$R1388,2)</f>
        <v>0</v>
      </c>
    </row>
    <row r="1389" spans="1:25" ht="24" x14ac:dyDescent="0.3">
      <c r="A1389" s="36" t="s">
        <v>1169</v>
      </c>
      <c r="B1389" s="36">
        <v>2</v>
      </c>
      <c r="C1389" s="36"/>
      <c r="D1389" s="36">
        <v>197</v>
      </c>
      <c r="E1389" s="36" t="str">
        <f>CONCATENATE('Смета ЕР (общ) '!$A1389,".",'Смета ЕР (общ) '!$B1389,".",'Смета ЕР (общ) '!$D1389)</f>
        <v>Р9.2.197</v>
      </c>
      <c r="F1389" s="36">
        <f t="shared" si="109"/>
        <v>1</v>
      </c>
      <c r="G1389" s="36"/>
      <c r="H1389" s="36"/>
      <c r="I1389" s="36"/>
      <c r="J1389" s="36"/>
      <c r="K1389" s="36"/>
      <c r="L1389" s="37" t="s">
        <v>1474</v>
      </c>
      <c r="M1389" s="38" t="s">
        <v>118</v>
      </c>
      <c r="N1389" s="39"/>
      <c r="O1389" s="40">
        <v>683.82</v>
      </c>
      <c r="P1389" s="40">
        <v>887.45</v>
      </c>
      <c r="Q1389" s="40">
        <f t="shared" si="110"/>
        <v>683.82</v>
      </c>
      <c r="R1389" s="40">
        <f t="shared" si="110"/>
        <v>887.45</v>
      </c>
      <c r="S1389" s="40">
        <f>ROUND('Смета ЕР (общ) '!$N1389*'Смета ЕР (общ) '!$Q1389,2)</f>
        <v>0</v>
      </c>
      <c r="T1389" s="40">
        <f>ROUND('Смета ЕР (общ) '!$N1389*'Смета ЕР (общ) '!$R1389,2)</f>
        <v>0</v>
      </c>
      <c r="Y1389">
        <v>136</v>
      </c>
    </row>
    <row r="1390" spans="1:25" ht="24" x14ac:dyDescent="0.3">
      <c r="A1390" s="36" t="s">
        <v>1169</v>
      </c>
      <c r="B1390" s="36">
        <v>2</v>
      </c>
      <c r="C1390" s="36"/>
      <c r="D1390" s="36">
        <v>198</v>
      </c>
      <c r="E1390" s="36" t="str">
        <f>CONCATENATE('Смета ЕР (общ) '!$A1390,".",'Смета ЕР (общ) '!$B1390,".",'Смета ЕР (общ) '!$D1390)</f>
        <v>Р9.2.198</v>
      </c>
      <c r="F1390" s="36">
        <f t="shared" si="109"/>
        <v>1</v>
      </c>
      <c r="G1390" s="36"/>
      <c r="H1390" s="36"/>
      <c r="I1390" s="36"/>
      <c r="J1390" s="36"/>
      <c r="K1390" s="36"/>
      <c r="L1390" s="37" t="s">
        <v>1475</v>
      </c>
      <c r="M1390" s="38" t="s">
        <v>118</v>
      </c>
      <c r="N1390" s="39"/>
      <c r="O1390" s="40">
        <v>683.82</v>
      </c>
      <c r="P1390" s="40">
        <v>239.01</v>
      </c>
      <c r="Q1390" s="40">
        <f t="shared" si="110"/>
        <v>683.82</v>
      </c>
      <c r="R1390" s="40">
        <f t="shared" si="110"/>
        <v>239.01</v>
      </c>
      <c r="S1390" s="40">
        <f>ROUND('Смета ЕР (общ) '!$N1390*'Смета ЕР (общ) '!$Q1390,2)</f>
        <v>0</v>
      </c>
      <c r="T1390" s="40">
        <f>ROUND('Смета ЕР (общ) '!$N1390*'Смета ЕР (общ) '!$R1390,2)</f>
        <v>0</v>
      </c>
      <c r="Y1390">
        <v>9</v>
      </c>
    </row>
    <row r="1391" spans="1:25" ht="24" x14ac:dyDescent="0.3">
      <c r="A1391" s="36" t="s">
        <v>1169</v>
      </c>
      <c r="B1391" s="36">
        <v>2</v>
      </c>
      <c r="C1391" s="36"/>
      <c r="D1391" s="36">
        <v>379</v>
      </c>
      <c r="E1391" s="36" t="str">
        <f>CONCATENATE('Смета ЕР (общ) '!$A1391,".",'Смета ЕР (общ) '!$B1391,".",'Смета ЕР (общ) '!$D1391)</f>
        <v>Р9.2.379</v>
      </c>
      <c r="F1391" s="36">
        <f t="shared" si="109"/>
        <v>1</v>
      </c>
      <c r="G1391" s="36"/>
      <c r="H1391" s="36"/>
      <c r="I1391" s="36"/>
      <c r="J1391" s="36"/>
      <c r="K1391" s="36"/>
      <c r="L1391" s="37" t="s">
        <v>1476</v>
      </c>
      <c r="M1391" s="38" t="s">
        <v>118</v>
      </c>
      <c r="N1391" s="39"/>
      <c r="O1391" s="40">
        <v>683.82</v>
      </c>
      <c r="P1391" s="40">
        <v>461.62</v>
      </c>
      <c r="Q1391" s="40">
        <f t="shared" si="110"/>
        <v>683.82</v>
      </c>
      <c r="R1391" s="40">
        <f t="shared" si="110"/>
        <v>461.62</v>
      </c>
      <c r="S1391" s="40">
        <f>ROUND('Смета ЕР (общ) '!$N1391*'Смета ЕР (общ) '!$Q1391,2)</f>
        <v>0</v>
      </c>
      <c r="T1391" s="40">
        <f>ROUND('Смета ЕР (общ) '!$N1391*'Смета ЕР (общ) '!$R1391,2)</f>
        <v>0</v>
      </c>
      <c r="U1391" s="45" t="s">
        <v>1477</v>
      </c>
    </row>
    <row r="1392" spans="1:25" ht="24" x14ac:dyDescent="0.3">
      <c r="A1392" s="36" t="s">
        <v>1169</v>
      </c>
      <c r="B1392" s="36">
        <v>2</v>
      </c>
      <c r="C1392" s="36"/>
      <c r="D1392" s="36">
        <v>380</v>
      </c>
      <c r="E1392" s="36" t="str">
        <f>CONCATENATE('Смета ЕР (общ) '!$A1392,".",'Смета ЕР (общ) '!$B1392,".",'Смета ЕР (общ) '!$D1392)</f>
        <v>Р9.2.380</v>
      </c>
      <c r="F1392" s="36">
        <f t="shared" si="109"/>
        <v>1</v>
      </c>
      <c r="G1392" s="36"/>
      <c r="H1392" s="36"/>
      <c r="I1392" s="36"/>
      <c r="J1392" s="36"/>
      <c r="K1392" s="36"/>
      <c r="L1392" s="37" t="s">
        <v>1478</v>
      </c>
      <c r="M1392" s="38" t="s">
        <v>118</v>
      </c>
      <c r="N1392" s="39"/>
      <c r="O1392" s="40">
        <v>683.82</v>
      </c>
      <c r="P1392" s="40">
        <f>'[1]Розетки ДКС'!D3</f>
        <v>375.74</v>
      </c>
      <c r="Q1392" s="40">
        <f t="shared" si="110"/>
        <v>683.82</v>
      </c>
      <c r="R1392" s="66">
        <f>P1392</f>
        <v>375.74</v>
      </c>
      <c r="S1392" s="40">
        <f>ROUND('Смета ЕР (общ) '!$N1392*'Смета ЕР (общ) '!$Q1392,2)</f>
        <v>0</v>
      </c>
      <c r="T1392" s="40">
        <f>ROUND('Смета ЕР (общ) '!$N1392*'Смета ЕР (общ) '!$R1392,2)</f>
        <v>0</v>
      </c>
      <c r="U1392" s="67" t="s">
        <v>1479</v>
      </c>
      <c r="V1392" s="68"/>
    </row>
    <row r="1393" spans="1:25" ht="36" x14ac:dyDescent="0.3">
      <c r="A1393" s="36" t="s">
        <v>1169</v>
      </c>
      <c r="B1393" s="36">
        <v>2</v>
      </c>
      <c r="C1393" s="36"/>
      <c r="D1393" s="36">
        <v>381</v>
      </c>
      <c r="E1393" s="36" t="str">
        <f>CONCATENATE('Смета ЕР (общ) '!$A1393,".",'Смета ЕР (общ) '!$B1393,".",'Смета ЕР (общ) '!$D1393)</f>
        <v>Р9.2.381</v>
      </c>
      <c r="F1393" s="36">
        <f t="shared" si="109"/>
        <v>1</v>
      </c>
      <c r="G1393" s="36"/>
      <c r="H1393" s="36"/>
      <c r="I1393" s="36"/>
      <c r="J1393" s="36"/>
      <c r="K1393" s="36"/>
      <c r="L1393" s="37" t="s">
        <v>1480</v>
      </c>
      <c r="M1393" s="38" t="s">
        <v>118</v>
      </c>
      <c r="N1393" s="39"/>
      <c r="O1393" s="40">
        <v>683.82</v>
      </c>
      <c r="P1393" s="40">
        <f>'[1]Розетки ДКС'!D4</f>
        <v>474.98999999999995</v>
      </c>
      <c r="Q1393" s="40">
        <f t="shared" si="110"/>
        <v>683.82</v>
      </c>
      <c r="R1393" s="66">
        <f>P1393</f>
        <v>474.98999999999995</v>
      </c>
      <c r="S1393" s="40">
        <f>ROUND('Смета ЕР (общ) '!$N1393*'Смета ЕР (общ) '!$Q1393,2)</f>
        <v>0</v>
      </c>
      <c r="T1393" s="40">
        <f>ROUND('Смета ЕР (общ) '!$N1393*'Смета ЕР (общ) '!$R1393,2)</f>
        <v>0</v>
      </c>
      <c r="U1393" s="67" t="s">
        <v>1479</v>
      </c>
      <c r="V1393" s="68"/>
    </row>
    <row r="1394" spans="1:25" ht="24" x14ac:dyDescent="0.3">
      <c r="A1394" s="36" t="s">
        <v>1169</v>
      </c>
      <c r="B1394" s="36">
        <v>2</v>
      </c>
      <c r="C1394" s="36"/>
      <c r="D1394" s="36">
        <v>382</v>
      </c>
      <c r="E1394" s="36" t="str">
        <f>CONCATENATE('Смета ЕР (общ) '!$A1394,".",'Смета ЕР (общ) '!$B1394,".",'Смета ЕР (общ) '!$D1394)</f>
        <v>Р9.2.382</v>
      </c>
      <c r="F1394" s="36">
        <f t="shared" si="109"/>
        <v>1</v>
      </c>
      <c r="G1394" s="36"/>
      <c r="H1394" s="36"/>
      <c r="I1394" s="36"/>
      <c r="J1394" s="36"/>
      <c r="K1394" s="36"/>
      <c r="L1394" s="37" t="s">
        <v>1481</v>
      </c>
      <c r="M1394" s="38" t="s">
        <v>118</v>
      </c>
      <c r="N1394" s="39"/>
      <c r="O1394" s="40">
        <v>685.73</v>
      </c>
      <c r="P1394" s="40">
        <v>627.27</v>
      </c>
      <c r="Q1394" s="40">
        <f t="shared" si="110"/>
        <v>685.73</v>
      </c>
      <c r="R1394" s="40">
        <f t="shared" si="110"/>
        <v>627.27</v>
      </c>
      <c r="S1394" s="40">
        <f>ROUND('Смета ЕР (общ) '!$N1394*'Смета ЕР (общ) '!$Q1394,2)</f>
        <v>0</v>
      </c>
      <c r="T1394" s="40">
        <f>ROUND('Смета ЕР (общ) '!$N1394*'Смета ЕР (общ) '!$R1394,2)</f>
        <v>0</v>
      </c>
      <c r="U1394" s="154"/>
    </row>
    <row r="1395" spans="1:25" ht="24" x14ac:dyDescent="0.3">
      <c r="A1395" s="36" t="s">
        <v>1169</v>
      </c>
      <c r="B1395" s="36">
        <v>2</v>
      </c>
      <c r="C1395" s="36"/>
      <c r="D1395" s="36">
        <v>383</v>
      </c>
      <c r="E1395" s="36" t="str">
        <f>CONCATENATE('Смета ЕР (общ) '!$A1395,".",'Смета ЕР (общ) '!$B1395,".",'Смета ЕР (общ) '!$D1395)</f>
        <v>Р9.2.383</v>
      </c>
      <c r="F1395" s="36">
        <f t="shared" si="109"/>
        <v>1</v>
      </c>
      <c r="G1395" s="36"/>
      <c r="H1395" s="36"/>
      <c r="I1395" s="36"/>
      <c r="J1395" s="36"/>
      <c r="K1395" s="36"/>
      <c r="L1395" s="37" t="s">
        <v>1482</v>
      </c>
      <c r="M1395" s="38" t="s">
        <v>118</v>
      </c>
      <c r="N1395" s="39"/>
      <c r="O1395" s="40">
        <v>685.73</v>
      </c>
      <c r="P1395" s="40">
        <v>627.27</v>
      </c>
      <c r="Q1395" s="40">
        <f t="shared" si="110"/>
        <v>685.73</v>
      </c>
      <c r="R1395" s="40">
        <f t="shared" si="110"/>
        <v>627.27</v>
      </c>
      <c r="S1395" s="40">
        <f>ROUND('Смета ЕР (общ) '!$N1395*'Смета ЕР (общ) '!$Q1395,2)</f>
        <v>0</v>
      </c>
      <c r="T1395" s="40">
        <f>ROUND('Смета ЕР (общ) '!$N1395*'Смета ЕР (общ) '!$R1395,2)</f>
        <v>0</v>
      </c>
      <c r="U1395" s="154"/>
      <c r="V1395"/>
    </row>
    <row r="1396" spans="1:25" ht="24" x14ac:dyDescent="0.3">
      <c r="A1396" s="36" t="s">
        <v>1169</v>
      </c>
      <c r="B1396" s="36">
        <v>2</v>
      </c>
      <c r="C1396" s="36"/>
      <c r="D1396" s="36">
        <v>199</v>
      </c>
      <c r="E1396" s="36" t="str">
        <f>CONCATENATE('Смета ЕР (общ) '!$A1396,".",'Смета ЕР (общ) '!$B1396,".",'Смета ЕР (общ) '!$D1396)</f>
        <v>Р9.2.199</v>
      </c>
      <c r="F1396" s="36">
        <f t="shared" si="109"/>
        <v>1</v>
      </c>
      <c r="G1396" s="36"/>
      <c r="H1396" s="36"/>
      <c r="I1396" s="36"/>
      <c r="J1396" s="36"/>
      <c r="K1396" s="36"/>
      <c r="L1396" s="37" t="s">
        <v>1483</v>
      </c>
      <c r="M1396" s="38" t="s">
        <v>118</v>
      </c>
      <c r="N1396" s="39"/>
      <c r="O1396" s="40">
        <v>683.82</v>
      </c>
      <c r="P1396" s="40">
        <v>750.36</v>
      </c>
      <c r="Q1396" s="40">
        <f t="shared" si="110"/>
        <v>683.82</v>
      </c>
      <c r="R1396" s="40">
        <f t="shared" si="110"/>
        <v>750.36</v>
      </c>
      <c r="S1396" s="40">
        <f>ROUND('Смета ЕР (общ) '!$N1396*'Смета ЕР (общ) '!$Q1396,2)</f>
        <v>0</v>
      </c>
      <c r="T1396" s="40">
        <f>ROUND('Смета ЕР (общ) '!$N1396*'Смета ЕР (общ) '!$R1396,2)</f>
        <v>0</v>
      </c>
      <c r="Y1396">
        <v>5</v>
      </c>
    </row>
    <row r="1397" spans="1:25" ht="24" x14ac:dyDescent="0.3">
      <c r="A1397" s="36" t="s">
        <v>1169</v>
      </c>
      <c r="B1397" s="36">
        <v>2</v>
      </c>
      <c r="C1397" s="36"/>
      <c r="D1397" s="36">
        <v>384</v>
      </c>
      <c r="E1397" s="36" t="str">
        <f>CONCATENATE('Смета ЕР (общ) '!$A1397,".",'Смета ЕР (общ) '!$B1397,".",'Смета ЕР (общ) '!$D1397)</f>
        <v>Р9.2.384</v>
      </c>
      <c r="F1397" s="36">
        <f t="shared" si="109"/>
        <v>1</v>
      </c>
      <c r="G1397" s="36"/>
      <c r="H1397" s="36"/>
      <c r="I1397" s="36"/>
      <c r="J1397" s="36"/>
      <c r="K1397" s="36"/>
      <c r="L1397" s="37" t="s">
        <v>1484</v>
      </c>
      <c r="M1397" s="38" t="s">
        <v>118</v>
      </c>
      <c r="N1397" s="39"/>
      <c r="O1397" s="40">
        <v>683.82</v>
      </c>
      <c r="P1397" s="40">
        <v>324.95999999999998</v>
      </c>
      <c r="Q1397" s="40">
        <f t="shared" si="110"/>
        <v>683.82</v>
      </c>
      <c r="R1397" s="40">
        <f t="shared" si="110"/>
        <v>324.95999999999998</v>
      </c>
      <c r="S1397" s="40">
        <f>ROUND('Смета ЕР (общ) '!$N1397*'Смета ЕР (общ) '!$Q1397,2)</f>
        <v>0</v>
      </c>
      <c r="T1397" s="40">
        <f>ROUND('Смета ЕР (общ) '!$N1397*'Смета ЕР (общ) '!$R1397,2)</f>
        <v>0</v>
      </c>
      <c r="U1397" s="45" t="s">
        <v>1477</v>
      </c>
    </row>
    <row r="1398" spans="1:25" ht="24" x14ac:dyDescent="0.3">
      <c r="A1398" s="36" t="s">
        <v>1169</v>
      </c>
      <c r="B1398" s="36">
        <v>2</v>
      </c>
      <c r="C1398" s="36"/>
      <c r="D1398" s="36">
        <v>200</v>
      </c>
      <c r="E1398" s="36" t="str">
        <f>CONCATENATE('Смета ЕР (общ) '!$A1398,".",'Смета ЕР (общ) '!$B1398,".",'Смета ЕР (общ) '!$D1398)</f>
        <v>Р9.2.200</v>
      </c>
      <c r="F1398" s="36">
        <f t="shared" si="109"/>
        <v>1</v>
      </c>
      <c r="G1398" s="36"/>
      <c r="H1398" s="36"/>
      <c r="I1398" s="36"/>
      <c r="J1398" s="36"/>
      <c r="K1398" s="36"/>
      <c r="L1398" s="37" t="s">
        <v>1485</v>
      </c>
      <c r="M1398" s="38" t="s">
        <v>118</v>
      </c>
      <c r="N1398" s="39"/>
      <c r="O1398" s="40">
        <v>706.44</v>
      </c>
      <c r="P1398" s="40">
        <v>972.84</v>
      </c>
      <c r="Q1398" s="40">
        <f t="shared" si="110"/>
        <v>706.44</v>
      </c>
      <c r="R1398" s="40">
        <f t="shared" si="110"/>
        <v>972.84</v>
      </c>
      <c r="S1398" s="40">
        <f>ROUND('Смета ЕР (общ) '!$N1398*'Смета ЕР (общ) '!$Q1398,2)</f>
        <v>0</v>
      </c>
      <c r="T1398" s="40">
        <f>ROUND('Смета ЕР (общ) '!$N1398*'Смета ЕР (общ) '!$R1398,2)</f>
        <v>0</v>
      </c>
      <c r="U1398" s="45"/>
      <c r="Y1398">
        <v>5</v>
      </c>
    </row>
    <row r="1399" spans="1:25" ht="36" x14ac:dyDescent="0.3">
      <c r="A1399" s="36" t="s">
        <v>1169</v>
      </c>
      <c r="B1399" s="36">
        <v>2</v>
      </c>
      <c r="C1399" s="36"/>
      <c r="D1399" s="36">
        <v>290</v>
      </c>
      <c r="E1399" s="36" t="str">
        <f>CONCATENATE('Смета ЕР (общ) '!$A1399,".",'Смета ЕР (общ) '!$B1399,".",'Смета ЕР (общ) '!$D1399)</f>
        <v>Р9.2.290</v>
      </c>
      <c r="F1399" s="36">
        <f t="shared" si="109"/>
        <v>1</v>
      </c>
      <c r="G1399" s="36"/>
      <c r="H1399" s="36"/>
      <c r="I1399" s="36"/>
      <c r="J1399" s="36"/>
      <c r="K1399" s="36"/>
      <c r="L1399" s="37" t="s">
        <v>1486</v>
      </c>
      <c r="M1399" s="38" t="s">
        <v>118</v>
      </c>
      <c r="N1399" s="39"/>
      <c r="O1399" s="40">
        <v>683.82</v>
      </c>
      <c r="P1399" s="40">
        <v>1751.86</v>
      </c>
      <c r="Q1399" s="40">
        <f t="shared" si="110"/>
        <v>683.82</v>
      </c>
      <c r="R1399" s="40">
        <f t="shared" si="110"/>
        <v>1751.86</v>
      </c>
      <c r="S1399" s="40">
        <f>ROUND('Смета ЕР (общ) '!$N1399*'Смета ЕР (общ) '!$Q1399,2)</f>
        <v>0</v>
      </c>
      <c r="T1399" s="40">
        <f>ROUND('Смета ЕР (общ) '!$N1399*'Смета ЕР (общ) '!$R1399,2)</f>
        <v>0</v>
      </c>
      <c r="U1399" s="45"/>
    </row>
    <row r="1400" spans="1:25" ht="36" x14ac:dyDescent="0.3">
      <c r="A1400" s="36" t="s">
        <v>1169</v>
      </c>
      <c r="B1400" s="36">
        <v>2</v>
      </c>
      <c r="C1400" s="36"/>
      <c r="D1400" s="36">
        <v>291</v>
      </c>
      <c r="E1400" s="36" t="str">
        <f>CONCATENATE('Смета ЕР (общ) '!$A1400,".",'Смета ЕР (общ) '!$B1400,".",'Смета ЕР (общ) '!$D1400)</f>
        <v>Р9.2.291</v>
      </c>
      <c r="F1400" s="36">
        <f t="shared" si="109"/>
        <v>1</v>
      </c>
      <c r="G1400" s="36"/>
      <c r="H1400" s="36"/>
      <c r="I1400" s="36"/>
      <c r="J1400" s="36"/>
      <c r="K1400" s="36"/>
      <c r="L1400" s="37" t="s">
        <v>1487</v>
      </c>
      <c r="M1400" s="38" t="s">
        <v>118</v>
      </c>
      <c r="N1400" s="39"/>
      <c r="O1400" s="40">
        <v>683.82</v>
      </c>
      <c r="P1400" s="40">
        <v>2044.95</v>
      </c>
      <c r="Q1400" s="40">
        <f t="shared" si="110"/>
        <v>683.82</v>
      </c>
      <c r="R1400" s="40">
        <f t="shared" si="110"/>
        <v>2044.95</v>
      </c>
      <c r="S1400" s="40">
        <f>ROUND('Смета ЕР (общ) '!$N1400*'Смета ЕР (общ) '!$Q1400,2)</f>
        <v>0</v>
      </c>
      <c r="T1400" s="40">
        <f>ROUND('Смета ЕР (общ) '!$N1400*'Смета ЕР (общ) '!$R1400,2)</f>
        <v>0</v>
      </c>
      <c r="U1400" s="45"/>
    </row>
    <row r="1401" spans="1:25" ht="36" x14ac:dyDescent="0.3">
      <c r="A1401" s="36" t="s">
        <v>1169</v>
      </c>
      <c r="B1401" s="36">
        <v>2</v>
      </c>
      <c r="C1401" s="36"/>
      <c r="D1401" s="36">
        <v>292</v>
      </c>
      <c r="E1401" s="36" t="str">
        <f>CONCATENATE('Смета ЕР (общ) '!$A1401,".",'Смета ЕР (общ) '!$B1401,".",'Смета ЕР (общ) '!$D1401)</f>
        <v>Р9.2.292</v>
      </c>
      <c r="F1401" s="36">
        <f t="shared" si="109"/>
        <v>1</v>
      </c>
      <c r="G1401" s="36"/>
      <c r="H1401" s="36"/>
      <c r="I1401" s="36"/>
      <c r="J1401" s="36"/>
      <c r="K1401" s="36"/>
      <c r="L1401" s="37" t="s">
        <v>1488</v>
      </c>
      <c r="M1401" s="38" t="s">
        <v>118</v>
      </c>
      <c r="N1401" s="39"/>
      <c r="O1401" s="40">
        <v>706.44</v>
      </c>
      <c r="P1401" s="40">
        <v>2646.63</v>
      </c>
      <c r="Q1401" s="40">
        <f t="shared" si="110"/>
        <v>706.44</v>
      </c>
      <c r="R1401" s="40">
        <f t="shared" si="110"/>
        <v>2646.63</v>
      </c>
      <c r="S1401" s="40">
        <f>ROUND('Смета ЕР (общ) '!$N1401*'Смета ЕР (общ) '!$Q1401,2)</f>
        <v>0</v>
      </c>
      <c r="T1401" s="40">
        <f>ROUND('Смета ЕР (общ) '!$N1401*'Смета ЕР (общ) '!$R1401,2)</f>
        <v>0</v>
      </c>
      <c r="U1401" s="45"/>
    </row>
    <row r="1402" spans="1:25" ht="24" x14ac:dyDescent="0.3">
      <c r="A1402" s="36" t="s">
        <v>1169</v>
      </c>
      <c r="B1402" s="36">
        <v>2</v>
      </c>
      <c r="C1402" s="36"/>
      <c r="D1402" s="36">
        <v>385</v>
      </c>
      <c r="E1402" s="36" t="str">
        <f>CONCATENATE('Смета ЕР (общ) '!$A1402,".",'Смета ЕР (общ) '!$B1402,".",'Смета ЕР (общ) '!$D1402)</f>
        <v>Р9.2.385</v>
      </c>
      <c r="F1402" s="36">
        <f t="shared" si="109"/>
        <v>1</v>
      </c>
      <c r="G1402" s="36"/>
      <c r="H1402" s="36"/>
      <c r="I1402" s="36"/>
      <c r="J1402" s="36"/>
      <c r="K1402" s="36"/>
      <c r="L1402" s="37" t="s">
        <v>1489</v>
      </c>
      <c r="M1402" s="38" t="s">
        <v>118</v>
      </c>
      <c r="N1402" s="39"/>
      <c r="O1402" s="40">
        <v>683.82</v>
      </c>
      <c r="P1402" s="40">
        <f>'[1]Розетки ДКС'!D11</f>
        <v>385.51</v>
      </c>
      <c r="Q1402" s="40">
        <f t="shared" ref="Q1402:R1433" si="111">ROUND(O1402-O1402*$V$3,2)</f>
        <v>683.82</v>
      </c>
      <c r="R1402" s="66">
        <f t="shared" si="111"/>
        <v>385.51</v>
      </c>
      <c r="S1402" s="40">
        <f>ROUND('Смета ЕР (общ) '!$N1402*'Смета ЕР (общ) '!$Q1402,2)</f>
        <v>0</v>
      </c>
      <c r="T1402" s="40">
        <f>ROUND('Смета ЕР (общ) '!$N1402*'Смета ЕР (общ) '!$R1402,2)</f>
        <v>0</v>
      </c>
      <c r="U1402" s="67" t="s">
        <v>1479</v>
      </c>
      <c r="V1402" s="68"/>
    </row>
    <row r="1403" spans="1:25" ht="24" x14ac:dyDescent="0.3">
      <c r="A1403" s="36" t="s">
        <v>1169</v>
      </c>
      <c r="B1403" s="36">
        <v>2</v>
      </c>
      <c r="C1403" s="36"/>
      <c r="D1403" s="36">
        <v>386</v>
      </c>
      <c r="E1403" s="36" t="str">
        <f>CONCATENATE('Смета ЕР (общ) '!$A1403,".",'Смета ЕР (общ) '!$B1403,".",'Смета ЕР (общ) '!$D1403)</f>
        <v>Р9.2.386</v>
      </c>
      <c r="F1403" s="36">
        <f t="shared" si="109"/>
        <v>1</v>
      </c>
      <c r="G1403" s="36"/>
      <c r="H1403" s="36"/>
      <c r="I1403" s="36"/>
      <c r="J1403" s="36"/>
      <c r="K1403" s="36"/>
      <c r="L1403" s="37" t="s">
        <v>1490</v>
      </c>
      <c r="M1403" s="38" t="s">
        <v>118</v>
      </c>
      <c r="N1403" s="39"/>
      <c r="O1403" s="40">
        <v>706.44</v>
      </c>
      <c r="P1403" s="40">
        <f>'[1]Розетки ДКС'!D12</f>
        <v>532.30999999999995</v>
      </c>
      <c r="Q1403" s="40">
        <f t="shared" si="111"/>
        <v>706.44</v>
      </c>
      <c r="R1403" s="66">
        <f t="shared" si="111"/>
        <v>532.30999999999995</v>
      </c>
      <c r="S1403" s="40">
        <f>ROUND('Смета ЕР (общ) '!$N1403*'Смета ЕР (общ) '!$Q1403,2)</f>
        <v>0</v>
      </c>
      <c r="T1403" s="40">
        <f>ROUND('Смета ЕР (общ) '!$N1403*'Смета ЕР (общ) '!$R1403,2)</f>
        <v>0</v>
      </c>
      <c r="U1403" s="67" t="s">
        <v>1479</v>
      </c>
      <c r="V1403" s="68"/>
    </row>
    <row r="1404" spans="1:25" ht="24" x14ac:dyDescent="0.3">
      <c r="A1404" s="36" t="s">
        <v>1169</v>
      </c>
      <c r="B1404" s="36">
        <v>2</v>
      </c>
      <c r="C1404" s="36"/>
      <c r="D1404" s="36">
        <v>387</v>
      </c>
      <c r="E1404" s="36" t="str">
        <f>CONCATENATE('Смета ЕР (общ) '!$A1404,".",'Смета ЕР (общ) '!$B1404,".",'Смета ЕР (общ) '!$D1404)</f>
        <v>Р9.2.387</v>
      </c>
      <c r="F1404" s="36">
        <f t="shared" si="109"/>
        <v>1</v>
      </c>
      <c r="G1404" s="36"/>
      <c r="H1404" s="36"/>
      <c r="I1404" s="36"/>
      <c r="J1404" s="36"/>
      <c r="K1404" s="36"/>
      <c r="L1404" s="37" t="s">
        <v>1491</v>
      </c>
      <c r="M1404" s="38" t="s">
        <v>118</v>
      </c>
      <c r="N1404" s="39"/>
      <c r="O1404" s="40">
        <v>679.25</v>
      </c>
      <c r="P1404" s="40">
        <v>727.68</v>
      </c>
      <c r="Q1404" s="40">
        <f t="shared" si="111"/>
        <v>679.25</v>
      </c>
      <c r="R1404" s="40">
        <f t="shared" si="111"/>
        <v>727.68</v>
      </c>
      <c r="S1404" s="40">
        <f>ROUND('Смета ЕР (общ) '!$N1404*'Смета ЕР (общ) '!$Q1404,2)</f>
        <v>0</v>
      </c>
      <c r="T1404" s="40">
        <f>ROUND('Смета ЕР (общ) '!$N1404*'Смета ЕР (общ) '!$R1404,2)</f>
        <v>0</v>
      </c>
    </row>
    <row r="1405" spans="1:25" ht="24" x14ac:dyDescent="0.3">
      <c r="A1405" s="36" t="s">
        <v>1169</v>
      </c>
      <c r="B1405" s="36">
        <v>2</v>
      </c>
      <c r="C1405" s="36"/>
      <c r="D1405" s="36">
        <v>388</v>
      </c>
      <c r="E1405" s="36" t="str">
        <f>CONCATENATE('Смета ЕР (общ) '!$A1405,".",'Смета ЕР (общ) '!$B1405,".",'Смета ЕР (общ) '!$D1405)</f>
        <v>Р9.2.388</v>
      </c>
      <c r="F1405" s="36">
        <f t="shared" si="109"/>
        <v>1</v>
      </c>
      <c r="G1405" s="36"/>
      <c r="H1405" s="36"/>
      <c r="I1405" s="36"/>
      <c r="J1405" s="36"/>
      <c r="K1405" s="36"/>
      <c r="L1405" s="37" t="s">
        <v>1492</v>
      </c>
      <c r="M1405" s="38" t="s">
        <v>118</v>
      </c>
      <c r="N1405" s="39"/>
      <c r="O1405" s="40">
        <v>679.25</v>
      </c>
      <c r="P1405" s="40">
        <v>632.77</v>
      </c>
      <c r="Q1405" s="40">
        <f t="shared" si="111"/>
        <v>679.25</v>
      </c>
      <c r="R1405" s="40">
        <f t="shared" si="111"/>
        <v>632.77</v>
      </c>
      <c r="S1405" s="40">
        <f>ROUND('Смета ЕР (общ) '!$N1405*'Смета ЕР (общ) '!$Q1405,2)</f>
        <v>0</v>
      </c>
      <c r="T1405" s="40">
        <f>ROUND('Смета ЕР (общ) '!$N1405*'Смета ЕР (общ) '!$R1405,2)</f>
        <v>0</v>
      </c>
    </row>
    <row r="1406" spans="1:25" ht="36" x14ac:dyDescent="0.3">
      <c r="A1406" s="36" t="s">
        <v>1169</v>
      </c>
      <c r="B1406" s="36">
        <v>2</v>
      </c>
      <c r="C1406" s="36"/>
      <c r="D1406" s="36">
        <v>389</v>
      </c>
      <c r="E1406" s="36" t="str">
        <f>CONCATENATE('Смета ЕР (общ) '!$A1406,".",'Смета ЕР (общ) '!$B1406,".",'Смета ЕР (общ) '!$D1406)</f>
        <v>Р9.2.389</v>
      </c>
      <c r="F1406" s="36">
        <f t="shared" si="109"/>
        <v>1</v>
      </c>
      <c r="G1406" s="36"/>
      <c r="H1406" s="36"/>
      <c r="I1406" s="36"/>
      <c r="J1406" s="36"/>
      <c r="K1406" s="36"/>
      <c r="L1406" s="37" t="s">
        <v>1493</v>
      </c>
      <c r="M1406" s="38" t="s">
        <v>118</v>
      </c>
      <c r="N1406" s="39"/>
      <c r="O1406" s="40">
        <v>679.25</v>
      </c>
      <c r="P1406" s="40">
        <v>691.45</v>
      </c>
      <c r="Q1406" s="40">
        <f t="shared" si="111"/>
        <v>679.25</v>
      </c>
      <c r="R1406" s="40">
        <f t="shared" si="111"/>
        <v>691.45</v>
      </c>
      <c r="S1406" s="40">
        <f>ROUND('Смета ЕР (общ) '!$N1406*'Смета ЕР (общ) '!$Q1406,2)</f>
        <v>0</v>
      </c>
      <c r="T1406" s="40">
        <f>ROUND('Смета ЕР (общ) '!$N1406*'Смета ЕР (общ) '!$R1406,2)</f>
        <v>0</v>
      </c>
    </row>
    <row r="1407" spans="1:25" ht="24" x14ac:dyDescent="0.3">
      <c r="A1407" s="36" t="s">
        <v>1169</v>
      </c>
      <c r="B1407" s="36">
        <v>2</v>
      </c>
      <c r="C1407" s="36"/>
      <c r="D1407" s="36">
        <v>390</v>
      </c>
      <c r="E1407" s="36" t="str">
        <f>CONCATENATE('Смета ЕР (общ) '!$A1407,".",'Смета ЕР (общ) '!$B1407,".",'Смета ЕР (общ) '!$D1407)</f>
        <v>Р9.2.390</v>
      </c>
      <c r="F1407" s="36">
        <f t="shared" si="109"/>
        <v>1</v>
      </c>
      <c r="G1407" s="36"/>
      <c r="H1407" s="36"/>
      <c r="I1407" s="36"/>
      <c r="J1407" s="36"/>
      <c r="K1407" s="36"/>
      <c r="L1407" s="37" t="s">
        <v>1494</v>
      </c>
      <c r="M1407" s="38" t="s">
        <v>118</v>
      </c>
      <c r="N1407" s="39"/>
      <c r="O1407" s="40">
        <v>679.25</v>
      </c>
      <c r="P1407" s="40">
        <v>569.21</v>
      </c>
      <c r="Q1407" s="40">
        <f t="shared" si="111"/>
        <v>679.25</v>
      </c>
      <c r="R1407" s="40">
        <f t="shared" si="111"/>
        <v>569.21</v>
      </c>
      <c r="S1407" s="40">
        <f>ROUND('Смета ЕР (общ) '!$N1407*'Смета ЕР (общ) '!$Q1407,2)</f>
        <v>0</v>
      </c>
      <c r="T1407" s="40">
        <f>ROUND('Смета ЕР (общ) '!$N1407*'Смета ЕР (общ) '!$R1407,2)</f>
        <v>0</v>
      </c>
    </row>
    <row r="1408" spans="1:25" ht="14.4" x14ac:dyDescent="0.3">
      <c r="A1408" s="36" t="s">
        <v>1169</v>
      </c>
      <c r="B1408" s="36">
        <v>2</v>
      </c>
      <c r="C1408" s="36"/>
      <c r="D1408" s="36">
        <v>201</v>
      </c>
      <c r="E1408" s="36" t="str">
        <f>CONCATENATE('Смета ЕР (общ) '!$A1408,".",'Смета ЕР (общ) '!$B1408,".",'Смета ЕР (общ) '!$D1408)</f>
        <v>Р9.2.201</v>
      </c>
      <c r="F1408" s="36">
        <f t="shared" si="109"/>
        <v>1</v>
      </c>
      <c r="G1408" s="36"/>
      <c r="H1408" s="36"/>
      <c r="I1408" s="36"/>
      <c r="J1408" s="36"/>
      <c r="K1408" s="36"/>
      <c r="L1408" s="37" t="s">
        <v>1495</v>
      </c>
      <c r="M1408" s="38" t="s">
        <v>118</v>
      </c>
      <c r="N1408" s="61"/>
      <c r="O1408" s="40">
        <v>706.44</v>
      </c>
      <c r="P1408" s="40">
        <v>2660.73</v>
      </c>
      <c r="Q1408" s="40">
        <f t="shared" si="111"/>
        <v>706.44</v>
      </c>
      <c r="R1408" s="40">
        <f t="shared" si="111"/>
        <v>2660.73</v>
      </c>
      <c r="S1408" s="40">
        <f>ROUND('Смета ЕР (общ) '!$N1408*'Смета ЕР (общ) '!$Q1408,2)</f>
        <v>0</v>
      </c>
      <c r="T1408" s="40">
        <f>ROUND('Смета ЕР (общ) '!$N1408*'Смета ЕР (общ) '!$R1408,2)</f>
        <v>0</v>
      </c>
    </row>
    <row r="1409" spans="1:25" ht="24" x14ac:dyDescent="0.3">
      <c r="A1409" s="36" t="s">
        <v>1169</v>
      </c>
      <c r="B1409" s="36">
        <v>2</v>
      </c>
      <c r="C1409" s="36"/>
      <c r="D1409" s="36">
        <v>202</v>
      </c>
      <c r="E1409" s="36" t="str">
        <f>CONCATENATE('Смета ЕР (общ) '!$A1409,".",'Смета ЕР (общ) '!$B1409,".",'Смета ЕР (общ) '!$D1409)</f>
        <v>Р9.2.202</v>
      </c>
      <c r="F1409" s="36">
        <f t="shared" si="109"/>
        <v>1</v>
      </c>
      <c r="G1409" s="36"/>
      <c r="H1409" s="36"/>
      <c r="I1409" s="36"/>
      <c r="J1409" s="36"/>
      <c r="K1409" s="36"/>
      <c r="L1409" s="37" t="s">
        <v>1496</v>
      </c>
      <c r="M1409" s="38" t="s">
        <v>118</v>
      </c>
      <c r="N1409" s="39"/>
      <c r="O1409" s="40">
        <v>847.38</v>
      </c>
      <c r="P1409" s="40">
        <v>722.65</v>
      </c>
      <c r="Q1409" s="40">
        <f t="shared" si="111"/>
        <v>847.38</v>
      </c>
      <c r="R1409" s="40">
        <f t="shared" si="111"/>
        <v>722.65</v>
      </c>
      <c r="S1409" s="40">
        <f>ROUND('Смета ЕР (общ) '!$N1409*'Смета ЕР (общ) '!$Q1409,2)</f>
        <v>0</v>
      </c>
      <c r="T1409" s="40">
        <f>ROUND('Смета ЕР (общ) '!$N1409*'Смета ЕР (общ) '!$R1409,2)</f>
        <v>0</v>
      </c>
    </row>
    <row r="1410" spans="1:25" ht="14.4" x14ac:dyDescent="0.3">
      <c r="A1410" s="36" t="s">
        <v>1169</v>
      </c>
      <c r="B1410" s="36">
        <v>2</v>
      </c>
      <c r="C1410" s="36"/>
      <c r="D1410" s="36">
        <v>203</v>
      </c>
      <c r="E1410" s="36" t="str">
        <f>CONCATENATE('Смета ЕР (общ) '!$A1410,".",'Смета ЕР (общ) '!$B1410,".",'Смета ЕР (общ) '!$D1410)</f>
        <v>Р9.2.203</v>
      </c>
      <c r="F1410" s="36">
        <f t="shared" si="109"/>
        <v>1</v>
      </c>
      <c r="G1410" s="36"/>
      <c r="H1410" s="36"/>
      <c r="I1410" s="36"/>
      <c r="J1410" s="36"/>
      <c r="K1410" s="36"/>
      <c r="L1410" s="37" t="s">
        <v>1497</v>
      </c>
      <c r="M1410" s="38" t="s">
        <v>118</v>
      </c>
      <c r="N1410" s="39"/>
      <c r="O1410" s="40">
        <v>1591.19</v>
      </c>
      <c r="P1410" s="40">
        <v>8389.7999999999993</v>
      </c>
      <c r="Q1410" s="40">
        <f t="shared" si="111"/>
        <v>1591.19</v>
      </c>
      <c r="R1410" s="40">
        <f t="shared" si="111"/>
        <v>8389.7999999999993</v>
      </c>
      <c r="S1410" s="40">
        <f>ROUND('Смета ЕР (общ) '!$N1410*'Смета ЕР (общ) '!$Q1410,2)</f>
        <v>0</v>
      </c>
      <c r="T1410" s="40">
        <f>ROUND('Смета ЕР (общ) '!$N1410*'Смета ЕР (общ) '!$R1410,2)</f>
        <v>0</v>
      </c>
    </row>
    <row r="1411" spans="1:25" ht="14.4" x14ac:dyDescent="0.3">
      <c r="A1411" s="36" t="s">
        <v>1169</v>
      </c>
      <c r="B1411" s="36">
        <v>2</v>
      </c>
      <c r="C1411" s="36"/>
      <c r="D1411" s="36">
        <v>204</v>
      </c>
      <c r="E1411" s="36" t="str">
        <f>CONCATENATE('Смета ЕР (общ) '!$A1411,".",'Смета ЕР (общ) '!$B1411,".",'Смета ЕР (общ) '!$D1411)</f>
        <v>Р9.2.204</v>
      </c>
      <c r="F1411" s="36">
        <f t="shared" si="109"/>
        <v>1</v>
      </c>
      <c r="G1411" s="36"/>
      <c r="H1411" s="36"/>
      <c r="I1411" s="36"/>
      <c r="J1411" s="36"/>
      <c r="K1411" s="36"/>
      <c r="L1411" s="37" t="s">
        <v>1498</v>
      </c>
      <c r="M1411" s="38" t="s">
        <v>118</v>
      </c>
      <c r="N1411" s="39"/>
      <c r="O1411" s="40">
        <v>1591.19</v>
      </c>
      <c r="P1411" s="40">
        <v>121.85</v>
      </c>
      <c r="Q1411" s="40">
        <f t="shared" si="111"/>
        <v>1591.19</v>
      </c>
      <c r="R1411" s="40">
        <f t="shared" si="111"/>
        <v>121.85</v>
      </c>
      <c r="S1411" s="40">
        <f>ROUND('Смета ЕР (общ) '!$N1411*'Смета ЕР (общ) '!$Q1411,2)</f>
        <v>0</v>
      </c>
      <c r="T1411" s="40">
        <f>ROUND('Смета ЕР (общ) '!$N1411*'Смета ЕР (общ) '!$R1411,2)</f>
        <v>0</v>
      </c>
    </row>
    <row r="1412" spans="1:25" ht="14.4" x14ac:dyDescent="0.3">
      <c r="A1412" s="36" t="s">
        <v>1169</v>
      </c>
      <c r="B1412" s="36">
        <v>2</v>
      </c>
      <c r="C1412" s="36"/>
      <c r="D1412" s="36">
        <v>205</v>
      </c>
      <c r="E1412" s="36" t="str">
        <f>CONCATENATE('Смета ЕР (общ) '!$A1412,".",'Смета ЕР (общ) '!$B1412,".",'Смета ЕР (общ) '!$D1412)</f>
        <v>Р9.2.205</v>
      </c>
      <c r="F1412" s="36">
        <f t="shared" si="109"/>
        <v>1</v>
      </c>
      <c r="G1412" s="36"/>
      <c r="H1412" s="36"/>
      <c r="I1412" s="36"/>
      <c r="J1412" s="36"/>
      <c r="K1412" s="36"/>
      <c r="L1412" s="37" t="s">
        <v>1499</v>
      </c>
      <c r="M1412" s="38" t="s">
        <v>118</v>
      </c>
      <c r="N1412" s="39"/>
      <c r="O1412" s="40">
        <v>1591.19</v>
      </c>
      <c r="P1412" s="40">
        <v>3362.08</v>
      </c>
      <c r="Q1412" s="40">
        <f t="shared" si="111"/>
        <v>1591.19</v>
      </c>
      <c r="R1412" s="40">
        <f t="shared" si="111"/>
        <v>3362.08</v>
      </c>
      <c r="S1412" s="40">
        <f>ROUND('Смета ЕР (общ) '!$N1412*'Смета ЕР (общ) '!$Q1412,2)</f>
        <v>0</v>
      </c>
      <c r="T1412" s="40">
        <f>ROUND('Смета ЕР (общ) '!$N1412*'Смета ЕР (общ) '!$R1412,2)</f>
        <v>0</v>
      </c>
    </row>
    <row r="1413" spans="1:25" ht="24" x14ac:dyDescent="0.3">
      <c r="A1413" s="36" t="s">
        <v>1169</v>
      </c>
      <c r="B1413" s="36">
        <v>2</v>
      </c>
      <c r="C1413" s="36"/>
      <c r="D1413" s="36">
        <v>206</v>
      </c>
      <c r="E1413" s="36" t="str">
        <f>CONCATENATE('Смета ЕР (общ) '!$A1413,".",'Смета ЕР (общ) '!$B1413,".",'Смета ЕР (общ) '!$D1413)</f>
        <v>Р9.2.206</v>
      </c>
      <c r="F1413" s="36">
        <f t="shared" si="109"/>
        <v>1</v>
      </c>
      <c r="G1413" s="36"/>
      <c r="H1413" s="36"/>
      <c r="I1413" s="36"/>
      <c r="J1413" s="36"/>
      <c r="K1413" s="36"/>
      <c r="L1413" s="37" t="s">
        <v>1500</v>
      </c>
      <c r="M1413" s="38" t="s">
        <v>118</v>
      </c>
      <c r="N1413" s="39"/>
      <c r="O1413" s="40">
        <v>1591.19</v>
      </c>
      <c r="P1413" s="40">
        <v>15548.66</v>
      </c>
      <c r="Q1413" s="40">
        <f t="shared" si="111"/>
        <v>1591.19</v>
      </c>
      <c r="R1413" s="40">
        <f t="shared" si="111"/>
        <v>15548.66</v>
      </c>
      <c r="S1413" s="40">
        <f>ROUND('Смета ЕР (общ) '!$N1413*'Смета ЕР (общ) '!$Q1413,2)</f>
        <v>0</v>
      </c>
      <c r="T1413" s="40">
        <f>ROUND('Смета ЕР (общ) '!$N1413*'Смета ЕР (общ) '!$R1413,2)</f>
        <v>0</v>
      </c>
    </row>
    <row r="1414" spans="1:25" ht="24" x14ac:dyDescent="0.3">
      <c r="A1414" s="36" t="s">
        <v>1169</v>
      </c>
      <c r="B1414" s="36">
        <v>2</v>
      </c>
      <c r="C1414" s="36"/>
      <c r="D1414" s="36">
        <v>207</v>
      </c>
      <c r="E1414" s="36" t="str">
        <f>CONCATENATE('Смета ЕР (общ) '!$A1414,".",'Смета ЕР (общ) '!$B1414,".",'Смета ЕР (общ) '!$D1414)</f>
        <v>Р9.2.207</v>
      </c>
      <c r="F1414" s="36">
        <f t="shared" si="109"/>
        <v>1</v>
      </c>
      <c r="G1414" s="36"/>
      <c r="H1414" s="36"/>
      <c r="I1414" s="36"/>
      <c r="J1414" s="36"/>
      <c r="K1414" s="36"/>
      <c r="L1414" s="37" t="s">
        <v>1501</v>
      </c>
      <c r="M1414" s="38" t="s">
        <v>118</v>
      </c>
      <c r="N1414" s="39"/>
      <c r="O1414" s="40">
        <v>1591.19</v>
      </c>
      <c r="P1414" s="40">
        <v>6246.58</v>
      </c>
      <c r="Q1414" s="40">
        <f t="shared" si="111"/>
        <v>1591.19</v>
      </c>
      <c r="R1414" s="40">
        <f t="shared" si="111"/>
        <v>6246.58</v>
      </c>
      <c r="S1414" s="40">
        <f>ROUND('Смета ЕР (общ) '!$N1414*'Смета ЕР (общ) '!$Q1414,2)</f>
        <v>0</v>
      </c>
      <c r="T1414" s="40">
        <f>ROUND('Смета ЕР (общ) '!$N1414*'Смета ЕР (общ) '!$R1414,2)</f>
        <v>0</v>
      </c>
    </row>
    <row r="1415" spans="1:25" ht="24" x14ac:dyDescent="0.3">
      <c r="A1415" s="36" t="s">
        <v>1169</v>
      </c>
      <c r="B1415" s="36">
        <v>2</v>
      </c>
      <c r="C1415" s="36"/>
      <c r="D1415" s="36">
        <v>208</v>
      </c>
      <c r="E1415" s="36" t="str">
        <f>CONCATENATE('Смета ЕР (общ) '!$A1415,".",'Смета ЕР (общ) '!$B1415,".",'Смета ЕР (общ) '!$D1415)</f>
        <v>Р9.2.208</v>
      </c>
      <c r="F1415" s="36">
        <f t="shared" si="109"/>
        <v>1</v>
      </c>
      <c r="G1415" s="36"/>
      <c r="H1415" s="36"/>
      <c r="I1415" s="36"/>
      <c r="J1415" s="36"/>
      <c r="K1415" s="36"/>
      <c r="L1415" s="37" t="s">
        <v>1502</v>
      </c>
      <c r="M1415" s="38" t="s">
        <v>118</v>
      </c>
      <c r="N1415" s="39"/>
      <c r="O1415" s="40">
        <v>1591.19</v>
      </c>
      <c r="P1415" s="40">
        <v>4610.59</v>
      </c>
      <c r="Q1415" s="40">
        <f t="shared" si="111"/>
        <v>1591.19</v>
      </c>
      <c r="R1415" s="40">
        <f t="shared" si="111"/>
        <v>4610.59</v>
      </c>
      <c r="S1415" s="40">
        <f>ROUND('Смета ЕР (общ) '!$N1415*'Смета ЕР (общ) '!$Q1415,2)</f>
        <v>0</v>
      </c>
      <c r="T1415" s="40">
        <f>ROUND('Смета ЕР (общ) '!$N1415*'Смета ЕР (общ) '!$R1415,2)</f>
        <v>0</v>
      </c>
    </row>
    <row r="1416" spans="1:25" ht="14.4" x14ac:dyDescent="0.3">
      <c r="A1416" s="36" t="s">
        <v>1169</v>
      </c>
      <c r="B1416" s="36">
        <v>2</v>
      </c>
      <c r="C1416" s="36"/>
      <c r="D1416" s="36">
        <v>209</v>
      </c>
      <c r="E1416" s="36" t="str">
        <f>CONCATENATE('Смета ЕР (общ) '!$A1416,".",'Смета ЕР (общ) '!$B1416,".",'Смета ЕР (общ) '!$D1416)</f>
        <v>Р9.2.209</v>
      </c>
      <c r="F1416" s="36">
        <f t="shared" si="109"/>
        <v>1</v>
      </c>
      <c r="G1416" s="36"/>
      <c r="H1416" s="36"/>
      <c r="I1416" s="36"/>
      <c r="J1416" s="36"/>
      <c r="K1416" s="36"/>
      <c r="L1416" s="37" t="s">
        <v>1503</v>
      </c>
      <c r="M1416" s="38" t="s">
        <v>118</v>
      </c>
      <c r="N1416" s="39"/>
      <c r="O1416" s="40">
        <v>140.59</v>
      </c>
      <c r="P1416" s="40">
        <v>202.84</v>
      </c>
      <c r="Q1416" s="40">
        <f t="shared" si="111"/>
        <v>140.59</v>
      </c>
      <c r="R1416" s="40">
        <f t="shared" si="111"/>
        <v>202.84</v>
      </c>
      <c r="S1416" s="40">
        <f>ROUND('Смета ЕР (общ) '!$N1416*'Смета ЕР (общ) '!$Q1416,2)</f>
        <v>0</v>
      </c>
      <c r="T1416" s="40">
        <f>ROUND('Смета ЕР (общ) '!$N1416*'Смета ЕР (общ) '!$R1416,2)</f>
        <v>0</v>
      </c>
    </row>
    <row r="1417" spans="1:25" ht="14.4" x14ac:dyDescent="0.3">
      <c r="A1417" s="36" t="s">
        <v>1169</v>
      </c>
      <c r="B1417" s="36">
        <v>2</v>
      </c>
      <c r="C1417" s="36"/>
      <c r="D1417" s="36">
        <v>210</v>
      </c>
      <c r="E1417" s="36" t="str">
        <f>CONCATENATE('Смета ЕР (общ) '!$A1417,".",'Смета ЕР (общ) '!$B1417,".",'Смета ЕР (общ) '!$D1417)</f>
        <v>Р9.2.210</v>
      </c>
      <c r="F1417" s="36">
        <f t="shared" si="109"/>
        <v>1</v>
      </c>
      <c r="G1417" s="36"/>
      <c r="H1417" s="36"/>
      <c r="I1417" s="36"/>
      <c r="J1417" s="36"/>
      <c r="K1417" s="36"/>
      <c r="L1417" s="37" t="s">
        <v>1504</v>
      </c>
      <c r="M1417" s="38" t="s">
        <v>64</v>
      </c>
      <c r="N1417" s="39"/>
      <c r="O1417" s="40">
        <v>22550.400000000001</v>
      </c>
      <c r="P1417" s="40">
        <v>2638.65</v>
      </c>
      <c r="Q1417" s="40">
        <f t="shared" si="111"/>
        <v>22550.400000000001</v>
      </c>
      <c r="R1417" s="40">
        <f t="shared" si="111"/>
        <v>2638.65</v>
      </c>
      <c r="S1417" s="40">
        <f>ROUND('Смета ЕР (общ) '!$N1417*'Смета ЕР (общ) '!$Q1417,2)</f>
        <v>0</v>
      </c>
      <c r="T1417" s="40">
        <f>ROUND('Смета ЕР (общ) '!$N1417*'Смета ЕР (общ) '!$R1417,2)</f>
        <v>0</v>
      </c>
      <c r="Y1417">
        <v>1</v>
      </c>
    </row>
    <row r="1418" spans="1:25" ht="34.5" customHeight="1" x14ac:dyDescent="0.3">
      <c r="A1418" s="36" t="s">
        <v>1169</v>
      </c>
      <c r="B1418" s="36">
        <v>2</v>
      </c>
      <c r="C1418" s="36"/>
      <c r="D1418" s="36">
        <v>211</v>
      </c>
      <c r="E1418" s="36" t="str">
        <f>CONCATENATE('Смета ЕР (общ) '!$A1418,".",'Смета ЕР (общ) '!$B1418,".",'Смета ЕР (общ) '!$D1418)</f>
        <v>Р9.2.211</v>
      </c>
      <c r="F1418" s="36">
        <f t="shared" si="109"/>
        <v>1</v>
      </c>
      <c r="G1418" s="36"/>
      <c r="H1418" s="36"/>
      <c r="I1418" s="36"/>
      <c r="J1418" s="36"/>
      <c r="K1418" s="36"/>
      <c r="L1418" s="37" t="s">
        <v>1505</v>
      </c>
      <c r="M1418" s="60" t="s">
        <v>40</v>
      </c>
      <c r="N1418" s="61"/>
      <c r="O1418" s="62">
        <v>0</v>
      </c>
      <c r="P1418" s="44">
        <v>155</v>
      </c>
      <c r="Q1418" s="62">
        <f t="shared" si="111"/>
        <v>0</v>
      </c>
      <c r="R1418" s="62">
        <f t="shared" si="111"/>
        <v>155</v>
      </c>
      <c r="S1418" s="62">
        <f>ROUND('Смета ЕР (общ) '!$N1418*'Смета ЕР (общ) '!$Q1418,2)</f>
        <v>0</v>
      </c>
      <c r="T1418" s="62">
        <f>ROUND('Смета ЕР (общ) '!$N1418*'Смета ЕР (общ) '!$R1418,2)</f>
        <v>0</v>
      </c>
      <c r="U1418" s="136" t="s">
        <v>1506</v>
      </c>
      <c r="Y1418">
        <v>1</v>
      </c>
    </row>
    <row r="1419" spans="1:25" ht="24" x14ac:dyDescent="0.3">
      <c r="A1419" s="36" t="s">
        <v>1169</v>
      </c>
      <c r="B1419" s="36">
        <v>2</v>
      </c>
      <c r="C1419" s="36"/>
      <c r="D1419" s="36">
        <v>213</v>
      </c>
      <c r="E1419" s="36" t="str">
        <f>CONCATENATE('Смета ЕР (общ) '!$A1419,".",'Смета ЕР (общ) '!$B1419,".",'Смета ЕР (общ) '!$D1419)</f>
        <v>Р9.2.213</v>
      </c>
      <c r="F1419" s="36">
        <f t="shared" si="109"/>
        <v>1</v>
      </c>
      <c r="G1419" s="36"/>
      <c r="H1419" s="36"/>
      <c r="I1419" s="36"/>
      <c r="J1419" s="36"/>
      <c r="K1419" s="36"/>
      <c r="L1419" s="37" t="s">
        <v>1507</v>
      </c>
      <c r="M1419" s="38" t="s">
        <v>118</v>
      </c>
      <c r="N1419" s="39"/>
      <c r="O1419" s="40">
        <v>4950</v>
      </c>
      <c r="P1419" s="40">
        <v>27219.73</v>
      </c>
      <c r="Q1419" s="40">
        <f t="shared" si="111"/>
        <v>4950</v>
      </c>
      <c r="R1419" s="40">
        <f t="shared" si="111"/>
        <v>27219.73</v>
      </c>
      <c r="S1419" s="40">
        <f>ROUND('Смета ЕР (общ) '!$N1419*'Смета ЕР (общ) '!$Q1419,2)</f>
        <v>0</v>
      </c>
      <c r="T1419" s="40">
        <f>ROUND('Смета ЕР (общ) '!$N1419*'Смета ЕР (общ) '!$R1419,2)</f>
        <v>0</v>
      </c>
    </row>
    <row r="1420" spans="1:25" ht="14.4" x14ac:dyDescent="0.3">
      <c r="A1420" s="36" t="s">
        <v>1169</v>
      </c>
      <c r="B1420" s="36">
        <v>2</v>
      </c>
      <c r="C1420" s="36"/>
      <c r="D1420" s="36">
        <v>214</v>
      </c>
      <c r="E1420" s="36" t="str">
        <f>CONCATENATE('Смета ЕР (общ) '!$A1420,".",'Смета ЕР (общ) '!$B1420,".",'Смета ЕР (общ) '!$D1420)</f>
        <v>Р9.2.214</v>
      </c>
      <c r="F1420" s="36">
        <f t="shared" si="109"/>
        <v>1</v>
      </c>
      <c r="G1420" s="36"/>
      <c r="H1420" s="36"/>
      <c r="I1420" s="36"/>
      <c r="J1420" s="36"/>
      <c r="K1420" s="36"/>
      <c r="L1420" s="37" t="s">
        <v>1508</v>
      </c>
      <c r="M1420" s="38" t="s">
        <v>118</v>
      </c>
      <c r="N1420" s="39"/>
      <c r="O1420" s="40">
        <v>1524.19</v>
      </c>
      <c r="P1420" s="40">
        <v>1454.15</v>
      </c>
      <c r="Q1420" s="40">
        <f t="shared" si="111"/>
        <v>1524.19</v>
      </c>
      <c r="R1420" s="40">
        <f t="shared" si="111"/>
        <v>1454.15</v>
      </c>
      <c r="S1420" s="40">
        <f>ROUND('Смета ЕР (общ) '!$N1420*'Смета ЕР (общ) '!$Q1420,2)</f>
        <v>0</v>
      </c>
      <c r="T1420" s="40">
        <f>ROUND('Смета ЕР (общ) '!$N1420*'Смета ЕР (общ) '!$R1420,2)</f>
        <v>0</v>
      </c>
    </row>
    <row r="1421" spans="1:25" ht="24" x14ac:dyDescent="0.3">
      <c r="A1421" s="36" t="s">
        <v>1169</v>
      </c>
      <c r="B1421" s="36">
        <v>2</v>
      </c>
      <c r="C1421" s="36"/>
      <c r="D1421" s="36">
        <v>215</v>
      </c>
      <c r="E1421" s="36" t="str">
        <f>CONCATENATE('Смета ЕР (общ) '!$A1421,".",'Смета ЕР (общ) '!$B1421,".",'Смета ЕР (общ) '!$D1421)</f>
        <v>Р9.2.215</v>
      </c>
      <c r="F1421" s="36">
        <f t="shared" si="109"/>
        <v>1</v>
      </c>
      <c r="G1421" s="36"/>
      <c r="H1421" s="36"/>
      <c r="I1421" s="36"/>
      <c r="J1421" s="36"/>
      <c r="K1421" s="36"/>
      <c r="L1421" s="37" t="s">
        <v>1509</v>
      </c>
      <c r="M1421" s="38" t="s">
        <v>118</v>
      </c>
      <c r="N1421" s="39"/>
      <c r="O1421" s="40">
        <v>1591.19</v>
      </c>
      <c r="P1421" s="40">
        <v>7340.74</v>
      </c>
      <c r="Q1421" s="40">
        <f t="shared" si="111"/>
        <v>1591.19</v>
      </c>
      <c r="R1421" s="40">
        <f t="shared" si="111"/>
        <v>7340.74</v>
      </c>
      <c r="S1421" s="40">
        <f>ROUND('Смета ЕР (общ) '!$N1421*'Смета ЕР (общ) '!$Q1421,2)</f>
        <v>0</v>
      </c>
      <c r="T1421" s="40">
        <f>ROUND('Смета ЕР (общ) '!$N1421*'Смета ЕР (общ) '!$R1421,2)</f>
        <v>0</v>
      </c>
    </row>
    <row r="1422" spans="1:25" ht="14.4" x14ac:dyDescent="0.3">
      <c r="A1422" s="36" t="s">
        <v>1169</v>
      </c>
      <c r="B1422" s="36">
        <v>2</v>
      </c>
      <c r="C1422" s="36"/>
      <c r="D1422" s="36">
        <v>391</v>
      </c>
      <c r="E1422" s="36" t="str">
        <f>CONCATENATE('Смета ЕР (общ) '!$A1422,".",'Смета ЕР (общ) '!$B1422,".",'Смета ЕР (общ) '!$D1422)</f>
        <v>Р9.2.391</v>
      </c>
      <c r="F1422" s="36">
        <f t="shared" si="109"/>
        <v>1</v>
      </c>
      <c r="G1422" s="36"/>
      <c r="H1422" s="36"/>
      <c r="I1422" s="36"/>
      <c r="J1422" s="36"/>
      <c r="K1422" s="36"/>
      <c r="L1422" s="37" t="s">
        <v>1510</v>
      </c>
      <c r="M1422" s="38" t="s">
        <v>118</v>
      </c>
      <c r="N1422" s="39"/>
      <c r="O1422" s="40">
        <v>2641.32</v>
      </c>
      <c r="P1422" s="40">
        <v>24362.25</v>
      </c>
      <c r="Q1422" s="40">
        <f t="shared" si="111"/>
        <v>2641.32</v>
      </c>
      <c r="R1422" s="40">
        <f t="shared" si="111"/>
        <v>24362.25</v>
      </c>
      <c r="S1422" s="40">
        <f>ROUND('Смета ЕР (общ) '!$N1422*'Смета ЕР (общ) '!$Q1422,2)</f>
        <v>0</v>
      </c>
      <c r="T1422" s="40">
        <f>ROUND('Смета ЕР (общ) '!$N1422*'Смета ЕР (общ) '!$R1422,2)</f>
        <v>0</v>
      </c>
    </row>
    <row r="1423" spans="1:25" ht="24" x14ac:dyDescent="0.3">
      <c r="A1423" s="36" t="s">
        <v>1169</v>
      </c>
      <c r="B1423" s="36">
        <v>2</v>
      </c>
      <c r="C1423" s="36"/>
      <c r="D1423" s="36">
        <v>392</v>
      </c>
      <c r="E1423" s="36" t="str">
        <f>CONCATENATE('Смета ЕР (общ) '!$A1423,".",'Смета ЕР (общ) '!$B1423,".",'Смета ЕР (общ) '!$D1423)</f>
        <v>Р9.2.392</v>
      </c>
      <c r="F1423" s="36">
        <f t="shared" si="109"/>
        <v>1</v>
      </c>
      <c r="G1423" s="36"/>
      <c r="H1423" s="36"/>
      <c r="I1423" s="36"/>
      <c r="J1423" s="36"/>
      <c r="K1423" s="36"/>
      <c r="L1423" s="37" t="s">
        <v>1511</v>
      </c>
      <c r="M1423" s="38" t="s">
        <v>118</v>
      </c>
      <c r="N1423" s="39"/>
      <c r="O1423" s="40">
        <v>1591.19</v>
      </c>
      <c r="P1423" s="40">
        <v>21994.3</v>
      </c>
      <c r="Q1423" s="40">
        <f t="shared" si="111"/>
        <v>1591.19</v>
      </c>
      <c r="R1423" s="40">
        <f t="shared" si="111"/>
        <v>21994.3</v>
      </c>
      <c r="S1423" s="40">
        <f>ROUND('Смета ЕР (общ) '!$N1423*'Смета ЕР (общ) '!$Q1423,2)</f>
        <v>0</v>
      </c>
      <c r="T1423" s="40">
        <f>ROUND('Смета ЕР (общ) '!$N1423*'Смета ЕР (общ) '!$R1423,2)</f>
        <v>0</v>
      </c>
      <c r="U1423" s="35" t="s">
        <v>533</v>
      </c>
    </row>
    <row r="1424" spans="1:25" ht="24" x14ac:dyDescent="0.3">
      <c r="A1424" s="36" t="s">
        <v>1169</v>
      </c>
      <c r="B1424" s="36">
        <v>2</v>
      </c>
      <c r="C1424" s="36"/>
      <c r="D1424" s="36">
        <v>393</v>
      </c>
      <c r="E1424" s="36" t="str">
        <f>CONCATENATE('Смета ЕР (общ) '!$A1424,".",'Смета ЕР (общ) '!$B1424,".",'Смета ЕР (общ) '!$D1424)</f>
        <v>Р9.2.393</v>
      </c>
      <c r="F1424" s="36">
        <f t="shared" si="109"/>
        <v>1</v>
      </c>
      <c r="G1424" s="36"/>
      <c r="H1424" s="36"/>
      <c r="I1424" s="36"/>
      <c r="J1424" s="36"/>
      <c r="K1424" s="36"/>
      <c r="L1424" s="37" t="s">
        <v>1512</v>
      </c>
      <c r="M1424" s="38" t="s">
        <v>147</v>
      </c>
      <c r="N1424" s="39"/>
      <c r="O1424" s="40">
        <v>621.17999999999995</v>
      </c>
      <c r="P1424" s="40">
        <v>2111.0500000000002</v>
      </c>
      <c r="Q1424" s="40">
        <f t="shared" si="111"/>
        <v>621.17999999999995</v>
      </c>
      <c r="R1424" s="40">
        <f t="shared" si="111"/>
        <v>2111.0500000000002</v>
      </c>
      <c r="S1424" s="40">
        <f>ROUND('Смета ЕР (общ) '!$N1424*'Смета ЕР (общ) '!$Q1424,2)</f>
        <v>0</v>
      </c>
      <c r="T1424" s="40">
        <f>ROUND('Смета ЕР (общ) '!$N1424*'Смета ЕР (общ) '!$R1424,2)</f>
        <v>0</v>
      </c>
      <c r="U1424" s="35" t="s">
        <v>533</v>
      </c>
    </row>
    <row r="1425" spans="1:25" ht="14.4" x14ac:dyDescent="0.3">
      <c r="A1425" s="36" t="s">
        <v>1169</v>
      </c>
      <c r="B1425" s="36">
        <v>2</v>
      </c>
      <c r="C1425" s="36"/>
      <c r="D1425" s="36">
        <v>394</v>
      </c>
      <c r="E1425" s="36" t="str">
        <f>CONCATENATE('Смета ЕР (общ) '!$A1425,".",'Смета ЕР (общ) '!$B1425,".",'Смета ЕР (общ) '!$D1425)</f>
        <v>Р9.2.394</v>
      </c>
      <c r="F1425" s="36">
        <f t="shared" ref="F1425:F1488" si="112">IF(N1425&gt;0,F1424+1,F1424)</f>
        <v>1</v>
      </c>
      <c r="G1425" s="36"/>
      <c r="H1425" s="36"/>
      <c r="I1425" s="36"/>
      <c r="J1425" s="36"/>
      <c r="K1425" s="36"/>
      <c r="L1425" s="37" t="s">
        <v>1513</v>
      </c>
      <c r="M1425" s="38" t="s">
        <v>118</v>
      </c>
      <c r="N1425" s="39"/>
      <c r="O1425" s="40">
        <v>1591.19</v>
      </c>
      <c r="P1425" s="40">
        <v>2232.71</v>
      </c>
      <c r="Q1425" s="40">
        <f t="shared" si="111"/>
        <v>1591.19</v>
      </c>
      <c r="R1425" s="40">
        <f t="shared" si="111"/>
        <v>2232.71</v>
      </c>
      <c r="S1425" s="40">
        <f>ROUND('Смета ЕР (общ) '!$N1425*'Смета ЕР (общ) '!$Q1425,2)</f>
        <v>0</v>
      </c>
      <c r="T1425" s="40">
        <f>ROUND('Смета ЕР (общ) '!$N1425*'Смета ЕР (общ) '!$R1425,2)</f>
        <v>0</v>
      </c>
      <c r="U1425" s="35" t="s">
        <v>533</v>
      </c>
    </row>
    <row r="1426" spans="1:25" ht="14.4" x14ac:dyDescent="0.3">
      <c r="A1426" s="36" t="s">
        <v>1169</v>
      </c>
      <c r="B1426" s="36">
        <v>2</v>
      </c>
      <c r="C1426" s="36"/>
      <c r="D1426" s="36">
        <v>216</v>
      </c>
      <c r="E1426" s="36" t="str">
        <f>CONCATENATE('Смета ЕР (общ) '!$A1426,".",'Смета ЕР (общ) '!$B1426,".",'Смета ЕР (общ) '!$D1426)</f>
        <v>Р9.2.216</v>
      </c>
      <c r="F1426" s="36">
        <f t="shared" si="112"/>
        <v>1</v>
      </c>
      <c r="G1426" s="36"/>
      <c r="H1426" s="36"/>
      <c r="I1426" s="36"/>
      <c r="J1426" s="36"/>
      <c r="K1426" s="36"/>
      <c r="L1426" s="37" t="s">
        <v>1514</v>
      </c>
      <c r="M1426" s="38" t="s">
        <v>147</v>
      </c>
      <c r="N1426" s="39"/>
      <c r="O1426" s="40">
        <v>219.24</v>
      </c>
      <c r="P1426" s="40">
        <v>2891.07</v>
      </c>
      <c r="Q1426" s="40">
        <f t="shared" si="111"/>
        <v>219.24</v>
      </c>
      <c r="R1426" s="40">
        <f t="shared" si="111"/>
        <v>2891.07</v>
      </c>
      <c r="S1426" s="40">
        <f>ROUND('Смета ЕР (общ) '!$N1426*'Смета ЕР (общ) '!$Q1426,2)</f>
        <v>0</v>
      </c>
      <c r="T1426" s="40">
        <f>ROUND('Смета ЕР (общ) '!$N1426*'Смета ЕР (общ) '!$R1426,2)</f>
        <v>0</v>
      </c>
      <c r="U1426" s="35" t="s">
        <v>533</v>
      </c>
    </row>
    <row r="1427" spans="1:25" ht="14.4" x14ac:dyDescent="0.3">
      <c r="A1427" s="36" t="s">
        <v>1169</v>
      </c>
      <c r="B1427" s="36">
        <v>2</v>
      </c>
      <c r="C1427" s="36"/>
      <c r="D1427" s="36">
        <v>217</v>
      </c>
      <c r="E1427" s="36" t="str">
        <f>CONCATENATE('Смета ЕР (общ) '!$A1427,".",'Смета ЕР (общ) '!$B1427,".",'Смета ЕР (общ) '!$D1427)</f>
        <v>Р9.2.217</v>
      </c>
      <c r="F1427" s="36">
        <f t="shared" si="112"/>
        <v>1</v>
      </c>
      <c r="G1427" s="36"/>
      <c r="H1427" s="36"/>
      <c r="I1427" s="36"/>
      <c r="J1427" s="36"/>
      <c r="K1427" s="36"/>
      <c r="L1427" s="37" t="s">
        <v>1515</v>
      </c>
      <c r="M1427" s="38" t="s">
        <v>118</v>
      </c>
      <c r="N1427" s="39"/>
      <c r="O1427" s="40">
        <v>291.27999999999997</v>
      </c>
      <c r="P1427" s="40">
        <v>252.08</v>
      </c>
      <c r="Q1427" s="40">
        <f t="shared" si="111"/>
        <v>291.27999999999997</v>
      </c>
      <c r="R1427" s="40">
        <f t="shared" si="111"/>
        <v>252.08</v>
      </c>
      <c r="S1427" s="40">
        <f>ROUND('Смета ЕР (общ) '!$N1427*'Смета ЕР (общ) '!$Q1427,2)</f>
        <v>0</v>
      </c>
      <c r="T1427" s="40">
        <f>ROUND('Смета ЕР (общ) '!$N1427*'Смета ЕР (общ) '!$R1427,2)</f>
        <v>0</v>
      </c>
      <c r="Y1427">
        <v>107</v>
      </c>
    </row>
    <row r="1428" spans="1:25" ht="14.4" x14ac:dyDescent="0.3">
      <c r="A1428" s="36" t="s">
        <v>1169</v>
      </c>
      <c r="B1428" s="36">
        <v>2</v>
      </c>
      <c r="C1428" s="36"/>
      <c r="D1428" s="36">
        <v>395</v>
      </c>
      <c r="E1428" s="36" t="str">
        <f>CONCATENATE('Смета ЕР (общ) '!$A1428,".",'Смета ЕР (общ) '!$B1428,".",'Смета ЕР (общ) '!$D1428)</f>
        <v>Р9.2.395</v>
      </c>
      <c r="F1428" s="36">
        <f t="shared" si="112"/>
        <v>1</v>
      </c>
      <c r="G1428" s="36"/>
      <c r="H1428" s="36"/>
      <c r="I1428" s="36"/>
      <c r="J1428" s="36"/>
      <c r="K1428" s="36"/>
      <c r="L1428" s="37" t="s">
        <v>1516</v>
      </c>
      <c r="M1428" s="38" t="s">
        <v>118</v>
      </c>
      <c r="N1428" s="39"/>
      <c r="O1428" s="40">
        <v>291.27999999999997</v>
      </c>
      <c r="P1428" s="40">
        <v>824.65</v>
      </c>
      <c r="Q1428" s="40">
        <f t="shared" si="111"/>
        <v>291.27999999999997</v>
      </c>
      <c r="R1428" s="40">
        <f t="shared" si="111"/>
        <v>824.65</v>
      </c>
      <c r="S1428" s="40">
        <f>ROUND('Смета ЕР (общ) '!$N1428*'Смета ЕР (общ) '!$Q1428,2)</f>
        <v>0</v>
      </c>
      <c r="T1428" s="40">
        <f>ROUND('Смета ЕР (общ) '!$N1428*'Смета ЕР (общ) '!$R1428,2)</f>
        <v>0</v>
      </c>
    </row>
    <row r="1429" spans="1:25" ht="24" x14ac:dyDescent="0.3">
      <c r="A1429" s="36" t="s">
        <v>1169</v>
      </c>
      <c r="B1429" s="36">
        <v>2</v>
      </c>
      <c r="C1429" s="36"/>
      <c r="D1429" s="36">
        <v>218</v>
      </c>
      <c r="E1429" s="36" t="str">
        <f>CONCATENATE('Смета ЕР (общ) '!$A1429,".",'Смета ЕР (общ) '!$B1429,".",'Смета ЕР (общ) '!$D1429)</f>
        <v>Р9.2.218</v>
      </c>
      <c r="F1429" s="36">
        <f t="shared" si="112"/>
        <v>1</v>
      </c>
      <c r="G1429" s="36"/>
      <c r="H1429" s="36"/>
      <c r="I1429" s="36"/>
      <c r="J1429" s="36"/>
      <c r="K1429" s="36"/>
      <c r="L1429" s="37" t="s">
        <v>1517</v>
      </c>
      <c r="M1429" s="38" t="s">
        <v>118</v>
      </c>
      <c r="N1429" s="39"/>
      <c r="O1429" s="40">
        <v>1591.19</v>
      </c>
      <c r="P1429" s="40">
        <v>2451.4699999999998</v>
      </c>
      <c r="Q1429" s="40">
        <f t="shared" si="111"/>
        <v>1591.19</v>
      </c>
      <c r="R1429" s="40">
        <f t="shared" si="111"/>
        <v>2451.4699999999998</v>
      </c>
      <c r="S1429" s="40">
        <f>ROUND('Смета ЕР (общ) '!$N1429*'Смета ЕР (общ) '!$Q1429,2)</f>
        <v>0</v>
      </c>
      <c r="T1429" s="40">
        <f>ROUND('Смета ЕР (общ) '!$N1429*'Смета ЕР (общ) '!$R1429,2)</f>
        <v>0</v>
      </c>
    </row>
    <row r="1430" spans="1:25" ht="14.4" x14ac:dyDescent="0.3">
      <c r="A1430" s="36" t="s">
        <v>1169</v>
      </c>
      <c r="B1430" s="36">
        <v>2</v>
      </c>
      <c r="C1430" s="36"/>
      <c r="D1430" s="36">
        <v>396</v>
      </c>
      <c r="E1430" s="36" t="str">
        <f>CONCATENATE('Смета ЕР (общ) '!$A1430,".",'Смета ЕР (общ) '!$B1430,".",'Смета ЕР (общ) '!$D1430)</f>
        <v>Р9.2.396</v>
      </c>
      <c r="F1430" s="36">
        <f t="shared" si="112"/>
        <v>1</v>
      </c>
      <c r="G1430" s="36"/>
      <c r="H1430" s="36"/>
      <c r="I1430" s="36"/>
      <c r="J1430" s="36"/>
      <c r="K1430" s="36"/>
      <c r="L1430" s="37" t="s">
        <v>1518</v>
      </c>
      <c r="M1430" s="38" t="s">
        <v>118</v>
      </c>
      <c r="N1430" s="39"/>
      <c r="O1430" s="40">
        <v>1591.19</v>
      </c>
      <c r="P1430" s="40">
        <v>1980.24</v>
      </c>
      <c r="Q1430" s="40">
        <f t="shared" si="111"/>
        <v>1591.19</v>
      </c>
      <c r="R1430" s="40">
        <f t="shared" si="111"/>
        <v>1980.24</v>
      </c>
      <c r="S1430" s="40">
        <f>ROUND('Смета ЕР (общ) '!$N1430*'Смета ЕР (общ) '!$Q1430,2)</f>
        <v>0</v>
      </c>
      <c r="T1430" s="40">
        <f>ROUND('Смета ЕР (общ) '!$N1430*'Смета ЕР (общ) '!$R1430,2)</f>
        <v>0</v>
      </c>
    </row>
    <row r="1431" spans="1:25" ht="14.4" x14ac:dyDescent="0.3">
      <c r="A1431" s="36" t="s">
        <v>1169</v>
      </c>
      <c r="B1431" s="36">
        <v>2</v>
      </c>
      <c r="C1431" s="36"/>
      <c r="D1431" s="36">
        <v>261</v>
      </c>
      <c r="E1431" s="36" t="str">
        <f>CONCATENATE('Смета ЕР (общ) '!$A1431,".",'Смета ЕР (общ) '!$B1431,".",'Смета ЕР (общ) '!$D1431)</f>
        <v>Р9.2.261</v>
      </c>
      <c r="F1431" s="36">
        <f t="shared" si="112"/>
        <v>1</v>
      </c>
      <c r="G1431" s="36"/>
      <c r="H1431" s="36"/>
      <c r="I1431" s="36"/>
      <c r="J1431" s="36"/>
      <c r="K1431" s="36"/>
      <c r="L1431" s="37" t="s">
        <v>1519</v>
      </c>
      <c r="M1431" s="38" t="s">
        <v>118</v>
      </c>
      <c r="N1431" s="39"/>
      <c r="O1431" s="40">
        <v>1591.19</v>
      </c>
      <c r="P1431" s="40">
        <v>1672.98</v>
      </c>
      <c r="Q1431" s="40">
        <f t="shared" si="111"/>
        <v>1591.19</v>
      </c>
      <c r="R1431" s="40">
        <f t="shared" si="111"/>
        <v>1672.98</v>
      </c>
      <c r="S1431" s="40">
        <f>ROUND('Смета ЕР (общ) '!$N1431*'Смета ЕР (общ) '!$Q1431,2)</f>
        <v>0</v>
      </c>
      <c r="T1431" s="40">
        <f>ROUND('Смета ЕР (общ) '!$N1431*'Смета ЕР (общ) '!$R1431,2)</f>
        <v>0</v>
      </c>
    </row>
    <row r="1432" spans="1:25" ht="24" x14ac:dyDescent="0.3">
      <c r="A1432" s="36" t="s">
        <v>1169</v>
      </c>
      <c r="B1432" s="36">
        <v>2</v>
      </c>
      <c r="C1432" s="36"/>
      <c r="D1432" s="36">
        <v>219</v>
      </c>
      <c r="E1432" s="36" t="str">
        <f>CONCATENATE('Смета ЕР (общ) '!$A1432,".",'Смета ЕР (общ) '!$B1432,".",'Смета ЕР (общ) '!$D1432)</f>
        <v>Р9.2.219</v>
      </c>
      <c r="F1432" s="36">
        <f t="shared" si="112"/>
        <v>1</v>
      </c>
      <c r="G1432" s="36"/>
      <c r="H1432" s="36"/>
      <c r="I1432" s="36"/>
      <c r="J1432" s="36"/>
      <c r="K1432" s="36"/>
      <c r="L1432" s="37" t="s">
        <v>1520</v>
      </c>
      <c r="M1432" s="38" t="s">
        <v>118</v>
      </c>
      <c r="N1432" s="39"/>
      <c r="O1432" s="40">
        <v>1591.19</v>
      </c>
      <c r="P1432" s="40">
        <v>1044.46</v>
      </c>
      <c r="Q1432" s="40">
        <f t="shared" si="111"/>
        <v>1591.19</v>
      </c>
      <c r="R1432" s="40">
        <f t="shared" si="111"/>
        <v>1044.46</v>
      </c>
      <c r="S1432" s="40">
        <f>ROUND('Смета ЕР (общ) '!$N1432*'Смета ЕР (общ) '!$Q1432,2)</f>
        <v>0</v>
      </c>
      <c r="T1432" s="40">
        <f>ROUND('Смета ЕР (общ) '!$N1432*'Смета ЕР (общ) '!$R1432,2)</f>
        <v>0</v>
      </c>
    </row>
    <row r="1433" spans="1:25" ht="14.4" x14ac:dyDescent="0.3">
      <c r="A1433" s="36" t="s">
        <v>1169</v>
      </c>
      <c r="B1433" s="36">
        <v>2</v>
      </c>
      <c r="C1433" s="36"/>
      <c r="D1433" s="36">
        <v>262</v>
      </c>
      <c r="E1433" s="36" t="str">
        <f>CONCATENATE('Смета ЕР (общ) '!$A1433,".",'Смета ЕР (общ) '!$B1433,".",'Смета ЕР (общ) '!$D1433)</f>
        <v>Р9.2.262</v>
      </c>
      <c r="F1433" s="36">
        <f t="shared" si="112"/>
        <v>1</v>
      </c>
      <c r="G1433" s="36"/>
      <c r="H1433" s="36"/>
      <c r="I1433" s="36"/>
      <c r="J1433" s="36"/>
      <c r="K1433" s="36"/>
      <c r="L1433" s="37" t="s">
        <v>1521</v>
      </c>
      <c r="M1433" s="38" t="s">
        <v>118</v>
      </c>
      <c r="N1433" s="39"/>
      <c r="O1433" s="40">
        <v>1591.19</v>
      </c>
      <c r="P1433" s="40">
        <v>569.65</v>
      </c>
      <c r="Q1433" s="40">
        <f t="shared" si="111"/>
        <v>1591.19</v>
      </c>
      <c r="R1433" s="40">
        <f t="shared" si="111"/>
        <v>569.65</v>
      </c>
      <c r="S1433" s="40">
        <f>ROUND('Смета ЕР (общ) '!$N1433*'Смета ЕР (общ) '!$Q1433,2)</f>
        <v>0</v>
      </c>
      <c r="T1433" s="40">
        <f>ROUND('Смета ЕР (общ) '!$N1433*'Смета ЕР (общ) '!$R1433,2)</f>
        <v>0</v>
      </c>
    </row>
    <row r="1434" spans="1:25" ht="14.4" x14ac:dyDescent="0.3">
      <c r="A1434" s="36" t="s">
        <v>1169</v>
      </c>
      <c r="B1434" s="36">
        <v>2</v>
      </c>
      <c r="C1434" s="36"/>
      <c r="D1434" s="36">
        <v>220</v>
      </c>
      <c r="E1434" s="36" t="str">
        <f>CONCATENATE('Смета ЕР (общ) '!$A1434,".",'Смета ЕР (общ) '!$B1434,".",'Смета ЕР (общ) '!$D1434)</f>
        <v>Р9.2.220</v>
      </c>
      <c r="F1434" s="36">
        <f t="shared" si="112"/>
        <v>1</v>
      </c>
      <c r="G1434" s="36"/>
      <c r="H1434" s="36"/>
      <c r="I1434" s="36"/>
      <c r="J1434" s="36"/>
      <c r="K1434" s="36"/>
      <c r="L1434" s="37" t="s">
        <v>1522</v>
      </c>
      <c r="M1434" s="38" t="s">
        <v>118</v>
      </c>
      <c r="N1434" s="39"/>
      <c r="O1434" s="40">
        <v>1983.6</v>
      </c>
      <c r="P1434" s="40">
        <v>14978.66</v>
      </c>
      <c r="Q1434" s="40">
        <f t="shared" ref="Q1434:R1455" si="113">ROUND(O1434-O1434*$V$3,2)</f>
        <v>1983.6</v>
      </c>
      <c r="R1434" s="40">
        <f t="shared" si="113"/>
        <v>14978.66</v>
      </c>
      <c r="S1434" s="40">
        <f>ROUND('Смета ЕР (общ) '!$N1434*'Смета ЕР (общ) '!$Q1434,2)</f>
        <v>0</v>
      </c>
      <c r="T1434" s="40">
        <f>ROUND('Смета ЕР (общ) '!$N1434*'Смета ЕР (общ) '!$R1434,2)</f>
        <v>0</v>
      </c>
    </row>
    <row r="1435" spans="1:25" ht="14.4" x14ac:dyDescent="0.3">
      <c r="A1435" s="36" t="s">
        <v>1169</v>
      </c>
      <c r="B1435" s="36">
        <v>2</v>
      </c>
      <c r="C1435" s="36"/>
      <c r="D1435" s="36">
        <v>221</v>
      </c>
      <c r="E1435" s="36" t="str">
        <f>CONCATENATE('Смета ЕР (общ) '!$A1435,".",'Смета ЕР (общ) '!$B1435,".",'Смета ЕР (общ) '!$D1435)</f>
        <v>Р9.2.221</v>
      </c>
      <c r="F1435" s="36">
        <f t="shared" si="112"/>
        <v>1</v>
      </c>
      <c r="G1435" s="36"/>
      <c r="H1435" s="36"/>
      <c r="I1435" s="36"/>
      <c r="J1435" s="36"/>
      <c r="K1435" s="36"/>
      <c r="L1435" s="37" t="s">
        <v>1523</v>
      </c>
      <c r="M1435" s="38" t="s">
        <v>118</v>
      </c>
      <c r="N1435" s="39"/>
      <c r="O1435" s="40">
        <v>1591.19</v>
      </c>
      <c r="P1435" s="40">
        <v>2860.4</v>
      </c>
      <c r="Q1435" s="40">
        <f t="shared" si="113"/>
        <v>1591.19</v>
      </c>
      <c r="R1435" s="40">
        <f t="shared" si="113"/>
        <v>2860.4</v>
      </c>
      <c r="S1435" s="40">
        <f>ROUND('Смета ЕР (общ) '!$N1435*'Смета ЕР (общ) '!$Q1435,2)</f>
        <v>0</v>
      </c>
      <c r="T1435" s="40">
        <f>ROUND('Смета ЕР (общ) '!$N1435*'Смета ЕР (общ) '!$R1435,2)</f>
        <v>0</v>
      </c>
    </row>
    <row r="1436" spans="1:25" s="46" customFormat="1" ht="14.4" x14ac:dyDescent="0.3">
      <c r="A1436" s="36" t="s">
        <v>1169</v>
      </c>
      <c r="B1436" s="36">
        <v>2</v>
      </c>
      <c r="C1436" s="36"/>
      <c r="D1436" s="36">
        <v>397</v>
      </c>
      <c r="E1436" s="36" t="str">
        <f>CONCATENATE('Смета ЕР (общ) '!$A1436,".",'Смета ЕР (общ) '!$B1436,".",'Смета ЕР (общ) '!$D1436)</f>
        <v>Р9.2.397</v>
      </c>
      <c r="F1436" s="36">
        <f t="shared" si="112"/>
        <v>1</v>
      </c>
      <c r="G1436" s="36"/>
      <c r="H1436" s="36"/>
      <c r="I1436" s="36"/>
      <c r="J1436" s="36"/>
      <c r="K1436" s="36"/>
      <c r="L1436" s="37" t="s">
        <v>1524</v>
      </c>
      <c r="M1436" s="38" t="s">
        <v>118</v>
      </c>
      <c r="N1436" s="39"/>
      <c r="O1436" s="40">
        <v>0</v>
      </c>
      <c r="P1436" s="40">
        <f>'[1]Светильники ЭТМ'!L7</f>
        <v>361.01</v>
      </c>
      <c r="Q1436" s="40">
        <f t="shared" si="113"/>
        <v>0</v>
      </c>
      <c r="R1436" s="66">
        <f>P1436</f>
        <v>361.01</v>
      </c>
      <c r="S1436" s="40">
        <f>ROUND([2]Смета!$J1236*[2]Смета!$M1236,2)</f>
        <v>0</v>
      </c>
      <c r="T1436" s="40">
        <f>ROUND([2]Смета!$J1236*[2]Смета!$N1236,2)</f>
        <v>0</v>
      </c>
      <c r="U1436" s="155" t="s">
        <v>1525</v>
      </c>
      <c r="V1436" s="68"/>
      <c r="Y1436" s="46">
        <v>1</v>
      </c>
    </row>
    <row r="1437" spans="1:25" s="46" customFormat="1" ht="14.4" x14ac:dyDescent="0.3">
      <c r="A1437" s="36" t="s">
        <v>1169</v>
      </c>
      <c r="B1437" s="36">
        <v>2</v>
      </c>
      <c r="C1437" s="36"/>
      <c r="D1437" s="36">
        <v>398</v>
      </c>
      <c r="E1437" s="36" t="str">
        <f>CONCATENATE('Смета ЕР (общ) '!$A1437,".",'Смета ЕР (общ) '!$B1437,".",'Смета ЕР (общ) '!$D1437)</f>
        <v>Р9.2.398</v>
      </c>
      <c r="F1437" s="36">
        <f t="shared" si="112"/>
        <v>1</v>
      </c>
      <c r="G1437" s="36"/>
      <c r="H1437" s="36"/>
      <c r="I1437" s="36"/>
      <c r="J1437" s="36"/>
      <c r="K1437" s="36"/>
      <c r="L1437" s="37" t="s">
        <v>1526</v>
      </c>
      <c r="M1437" s="38" t="s">
        <v>118</v>
      </c>
      <c r="N1437" s="39"/>
      <c r="O1437" s="40">
        <v>0</v>
      </c>
      <c r="P1437" s="40">
        <f>'[1]Светильники ЭТМ'!L8</f>
        <v>614.36</v>
      </c>
      <c r="Q1437" s="40">
        <f t="shared" si="113"/>
        <v>0</v>
      </c>
      <c r="R1437" s="66">
        <f t="shared" ref="R1437:R1500" si="114">P1437</f>
        <v>614.36</v>
      </c>
      <c r="S1437" s="40">
        <f>ROUND([2]Смета!$J1246*[2]Смета!$M1246,2)</f>
        <v>0</v>
      </c>
      <c r="T1437" s="40">
        <f>ROUND([2]Смета!$J1246*[2]Смета!$N1246,2)</f>
        <v>0</v>
      </c>
      <c r="U1437" s="155" t="s">
        <v>1525</v>
      </c>
      <c r="V1437" s="68"/>
    </row>
    <row r="1438" spans="1:25" s="46" customFormat="1" ht="24" x14ac:dyDescent="0.3">
      <c r="A1438" s="36" t="s">
        <v>1169</v>
      </c>
      <c r="B1438" s="36">
        <v>2</v>
      </c>
      <c r="C1438" s="36"/>
      <c r="D1438" s="36">
        <v>399</v>
      </c>
      <c r="E1438" s="36" t="str">
        <f>CONCATENATE('Смета ЕР (общ) '!$A1438,".",'Смета ЕР (общ) '!$B1438,".",'Смета ЕР (общ) '!$D1438)</f>
        <v>Р9.2.399</v>
      </c>
      <c r="F1438" s="36">
        <f t="shared" si="112"/>
        <v>1</v>
      </c>
      <c r="G1438" s="36"/>
      <c r="H1438" s="36"/>
      <c r="I1438" s="36"/>
      <c r="J1438" s="36"/>
      <c r="K1438" s="36"/>
      <c r="L1438" s="37" t="s">
        <v>1527</v>
      </c>
      <c r="M1438" s="38" t="s">
        <v>118</v>
      </c>
      <c r="N1438" s="39"/>
      <c r="O1438" s="40">
        <v>1591.1940000000002</v>
      </c>
      <c r="P1438" s="40">
        <f>'[1]Светильники ЭТМ'!L9</f>
        <v>3679.83</v>
      </c>
      <c r="Q1438" s="40">
        <f t="shared" si="113"/>
        <v>1591.19</v>
      </c>
      <c r="R1438" s="66">
        <f t="shared" si="114"/>
        <v>3679.83</v>
      </c>
      <c r="S1438" s="40">
        <f>ROUND([2]Смета!$J1232*[2]Смета!$M1232,2)</f>
        <v>0</v>
      </c>
      <c r="T1438" s="40">
        <f>ROUND([2]Смета!$J1232*[2]Смета!$N1232,2)</f>
        <v>0</v>
      </c>
      <c r="U1438" s="155" t="s">
        <v>1525</v>
      </c>
      <c r="V1438" s="68"/>
      <c r="Y1438" s="46">
        <v>35</v>
      </c>
    </row>
    <row r="1439" spans="1:25" s="46" customFormat="1" ht="14.4" x14ac:dyDescent="0.3">
      <c r="A1439" s="36" t="s">
        <v>1169</v>
      </c>
      <c r="B1439" s="36">
        <v>2</v>
      </c>
      <c r="C1439" s="36"/>
      <c r="D1439" s="36">
        <v>400</v>
      </c>
      <c r="E1439" s="36" t="str">
        <f>CONCATENATE('Смета ЕР (общ) '!$A1439,".",'Смета ЕР (общ) '!$B1439,".",'Смета ЕР (общ) '!$D1439)</f>
        <v>Р9.2.400</v>
      </c>
      <c r="F1439" s="36">
        <f t="shared" si="112"/>
        <v>1</v>
      </c>
      <c r="G1439" s="36"/>
      <c r="H1439" s="36"/>
      <c r="I1439" s="36"/>
      <c r="J1439" s="36"/>
      <c r="K1439" s="36"/>
      <c r="L1439" s="37" t="s">
        <v>1528</v>
      </c>
      <c r="M1439" s="38" t="s">
        <v>118</v>
      </c>
      <c r="N1439" s="39"/>
      <c r="O1439" s="40">
        <v>3182.3770000000004</v>
      </c>
      <c r="P1439" s="40">
        <f>'[1]Светильники ЭТМ'!L10</f>
        <v>5655.93</v>
      </c>
      <c r="Q1439" s="40">
        <f t="shared" si="113"/>
        <v>3182.38</v>
      </c>
      <c r="R1439" s="66">
        <f t="shared" si="114"/>
        <v>5655.93</v>
      </c>
      <c r="S1439" s="40">
        <f>ROUND([2]Смета!$J1233*[2]Смета!$M1233,2)</f>
        <v>0</v>
      </c>
      <c r="T1439" s="40">
        <f>ROUND([2]Смета!$J1233*[2]Смета!$N1233,2)</f>
        <v>0</v>
      </c>
      <c r="U1439" s="155" t="s">
        <v>1525</v>
      </c>
      <c r="V1439" s="68"/>
      <c r="Y1439" s="46">
        <v>9</v>
      </c>
    </row>
    <row r="1440" spans="1:25" s="46" customFormat="1" ht="14.4" x14ac:dyDescent="0.3">
      <c r="A1440" s="36" t="s">
        <v>1169</v>
      </c>
      <c r="B1440" s="36">
        <v>2</v>
      </c>
      <c r="C1440" s="36"/>
      <c r="D1440" s="36">
        <v>401</v>
      </c>
      <c r="E1440" s="36" t="str">
        <f>CONCATENATE('Смета ЕР (общ) '!$A1440,".",'Смета ЕР (общ) '!$B1440,".",'Смета ЕР (общ) '!$D1440)</f>
        <v>Р9.2.401</v>
      </c>
      <c r="F1440" s="36">
        <f t="shared" si="112"/>
        <v>1</v>
      </c>
      <c r="G1440" s="36"/>
      <c r="H1440" s="36"/>
      <c r="I1440" s="36"/>
      <c r="J1440" s="36"/>
      <c r="K1440" s="36"/>
      <c r="L1440" s="37" t="s">
        <v>1529</v>
      </c>
      <c r="M1440" s="38" t="s">
        <v>118</v>
      </c>
      <c r="N1440" s="39"/>
      <c r="O1440" s="40">
        <v>2386.7910000000002</v>
      </c>
      <c r="P1440" s="40">
        <f>'[1]Светильники ЭТМ'!L11</f>
        <v>3895.16</v>
      </c>
      <c r="Q1440" s="40">
        <f t="shared" si="113"/>
        <v>2386.79</v>
      </c>
      <c r="R1440" s="66">
        <f t="shared" si="114"/>
        <v>3895.16</v>
      </c>
      <c r="S1440" s="40">
        <f>ROUND([2]Смета!$J1234*[2]Смета!$M1234,2)</f>
        <v>0</v>
      </c>
      <c r="T1440" s="40">
        <f>ROUND([2]Смета!$J1234*[2]Смета!$N1234,2)</f>
        <v>0</v>
      </c>
      <c r="U1440" s="155" t="s">
        <v>1525</v>
      </c>
      <c r="V1440" s="68"/>
      <c r="Y1440" s="46">
        <v>4</v>
      </c>
    </row>
    <row r="1441" spans="1:25" s="46" customFormat="1" ht="14.4" x14ac:dyDescent="0.3">
      <c r="A1441" s="36" t="s">
        <v>1169</v>
      </c>
      <c r="B1441" s="36">
        <v>2</v>
      </c>
      <c r="C1441" s="36"/>
      <c r="D1441" s="36">
        <v>402</v>
      </c>
      <c r="E1441" s="36" t="str">
        <f>CONCATENATE('Смета ЕР (общ) '!$A1441,".",'Смета ЕР (общ) '!$B1441,".",'Смета ЕР (общ) '!$D1441)</f>
        <v>Р9.2.402</v>
      </c>
      <c r="F1441" s="36">
        <f t="shared" si="112"/>
        <v>1</v>
      </c>
      <c r="G1441" s="36"/>
      <c r="H1441" s="36"/>
      <c r="I1441" s="36"/>
      <c r="J1441" s="36"/>
      <c r="K1441" s="36"/>
      <c r="L1441" s="37" t="s">
        <v>1530</v>
      </c>
      <c r="M1441" s="38" t="s">
        <v>118</v>
      </c>
      <c r="N1441" s="39"/>
      <c r="O1441" s="40">
        <v>1591.1940000000002</v>
      </c>
      <c r="P1441" s="40">
        <f>'[1]Светильники ЭТМ'!L12</f>
        <v>1897.27</v>
      </c>
      <c r="Q1441" s="40">
        <f t="shared" si="113"/>
        <v>1591.19</v>
      </c>
      <c r="R1441" s="66">
        <f t="shared" si="114"/>
        <v>1897.27</v>
      </c>
      <c r="S1441" s="40">
        <f>ROUND([2]Смета!$J1235*[2]Смета!$M1235,2)</f>
        <v>0</v>
      </c>
      <c r="T1441" s="40">
        <f>ROUND([2]Смета!$J1235*[2]Смета!$N1235,2)</f>
        <v>0</v>
      </c>
      <c r="U1441" s="155" t="s">
        <v>1525</v>
      </c>
      <c r="V1441" s="68"/>
      <c r="Y1441" s="46">
        <v>6</v>
      </c>
    </row>
    <row r="1442" spans="1:25" s="46" customFormat="1" ht="14.4" x14ac:dyDescent="0.3">
      <c r="A1442" s="36" t="s">
        <v>1169</v>
      </c>
      <c r="B1442" s="36">
        <v>2</v>
      </c>
      <c r="C1442" s="36"/>
      <c r="D1442" s="36">
        <v>403</v>
      </c>
      <c r="E1442" s="36" t="str">
        <f>CONCATENATE('Смета ЕР (общ) '!$A1442,".",'Смета ЕР (общ) '!$B1442,".",'Смета ЕР (общ) '!$D1442)</f>
        <v>Р9.2.403</v>
      </c>
      <c r="F1442" s="36">
        <f t="shared" si="112"/>
        <v>1</v>
      </c>
      <c r="G1442" s="36"/>
      <c r="H1442" s="36"/>
      <c r="I1442" s="36"/>
      <c r="J1442" s="36"/>
      <c r="K1442" s="36"/>
      <c r="L1442" s="37" t="s">
        <v>1531</v>
      </c>
      <c r="M1442" s="38" t="s">
        <v>118</v>
      </c>
      <c r="N1442" s="39"/>
      <c r="O1442" s="40">
        <v>0</v>
      </c>
      <c r="P1442" s="40">
        <f>'[1]Светильники ЭТМ'!L15</f>
        <v>418.03</v>
      </c>
      <c r="Q1442" s="40">
        <f t="shared" si="113"/>
        <v>0</v>
      </c>
      <c r="R1442" s="66">
        <f t="shared" si="114"/>
        <v>418.03</v>
      </c>
      <c r="S1442" s="40">
        <f>ROUND([2]Смета!$J1238*[2]Смета!$M1238,2)</f>
        <v>0</v>
      </c>
      <c r="T1442" s="40">
        <f>ROUND([2]Смета!$J1238*[2]Смета!$N1238,2)</f>
        <v>0</v>
      </c>
      <c r="U1442" s="155" t="s">
        <v>1525</v>
      </c>
      <c r="V1442" s="68"/>
      <c r="Y1442" s="46">
        <v>12</v>
      </c>
    </row>
    <row r="1443" spans="1:25" s="46" customFormat="1" ht="14.4" x14ac:dyDescent="0.3">
      <c r="A1443" s="36" t="s">
        <v>1169</v>
      </c>
      <c r="B1443" s="36">
        <v>2</v>
      </c>
      <c r="C1443" s="36"/>
      <c r="D1443" s="36">
        <v>404</v>
      </c>
      <c r="E1443" s="36" t="str">
        <f>CONCATENATE('Смета ЕР (общ) '!$A1443,".",'Смета ЕР (общ) '!$B1443,".",'Смета ЕР (общ) '!$D1443)</f>
        <v>Р9.2.404</v>
      </c>
      <c r="F1443" s="36">
        <f t="shared" si="112"/>
        <v>1</v>
      </c>
      <c r="G1443" s="36"/>
      <c r="H1443" s="36"/>
      <c r="I1443" s="36"/>
      <c r="J1443" s="36"/>
      <c r="K1443" s="36"/>
      <c r="L1443" s="37" t="s">
        <v>1532</v>
      </c>
      <c r="M1443" s="38" t="s">
        <v>118</v>
      </c>
      <c r="N1443" s="39"/>
      <c r="O1443" s="40">
        <v>0</v>
      </c>
      <c r="P1443" s="40">
        <f>'[1]Светильники ЭТМ'!L16</f>
        <v>133.01</v>
      </c>
      <c r="Q1443" s="40">
        <f t="shared" si="113"/>
        <v>0</v>
      </c>
      <c r="R1443" s="66">
        <f t="shared" si="114"/>
        <v>133.01</v>
      </c>
      <c r="S1443" s="40">
        <f>ROUND([2]Смета!$J1239*[2]Смета!$M1239,2)</f>
        <v>0</v>
      </c>
      <c r="T1443" s="40">
        <f>ROUND([2]Смета!$J1239*[2]Смета!$N1239,2)</f>
        <v>0</v>
      </c>
      <c r="U1443" s="155" t="s">
        <v>1525</v>
      </c>
      <c r="V1443" s="68"/>
      <c r="Y1443" s="46">
        <v>12</v>
      </c>
    </row>
    <row r="1444" spans="1:25" s="46" customFormat="1" ht="14.4" x14ac:dyDescent="0.3">
      <c r="A1444" s="36" t="s">
        <v>1169</v>
      </c>
      <c r="B1444" s="36">
        <v>2</v>
      </c>
      <c r="C1444" s="36"/>
      <c r="D1444" s="36">
        <v>405</v>
      </c>
      <c r="E1444" s="36" t="str">
        <f>CONCATENATE('Смета ЕР (общ) '!$A1444,".",'Смета ЕР (общ) '!$B1444,".",'Смета ЕР (общ) '!$D1444)</f>
        <v>Р9.2.405</v>
      </c>
      <c r="F1444" s="36">
        <f t="shared" si="112"/>
        <v>1</v>
      </c>
      <c r="G1444" s="36"/>
      <c r="H1444" s="36"/>
      <c r="I1444" s="36"/>
      <c r="J1444" s="36"/>
      <c r="K1444" s="36"/>
      <c r="L1444" s="37" t="s">
        <v>1533</v>
      </c>
      <c r="M1444" s="38" t="s">
        <v>118</v>
      </c>
      <c r="N1444" s="39"/>
      <c r="O1444" s="40">
        <v>0</v>
      </c>
      <c r="P1444" s="40">
        <f>'[1]Светильники ЭТМ'!L17</f>
        <v>360.63</v>
      </c>
      <c r="Q1444" s="40">
        <f t="shared" si="113"/>
        <v>0</v>
      </c>
      <c r="R1444" s="66">
        <f t="shared" si="114"/>
        <v>360.63</v>
      </c>
      <c r="S1444" s="40">
        <f>ROUND([2]Смета!$J1240*[2]Смета!$M1240,2)</f>
        <v>0</v>
      </c>
      <c r="T1444" s="40">
        <f>ROUND([2]Смета!$J1240*[2]Смета!$N1240,2)</f>
        <v>0</v>
      </c>
      <c r="U1444" s="155" t="s">
        <v>1525</v>
      </c>
      <c r="V1444" s="68"/>
      <c r="Y1444" s="46">
        <v>6</v>
      </c>
    </row>
    <row r="1445" spans="1:25" s="46" customFormat="1" ht="14.4" x14ac:dyDescent="0.3">
      <c r="A1445" s="36" t="s">
        <v>1169</v>
      </c>
      <c r="B1445" s="36">
        <v>2</v>
      </c>
      <c r="C1445" s="36"/>
      <c r="D1445" s="36">
        <v>406</v>
      </c>
      <c r="E1445" s="36" t="str">
        <f>CONCATENATE('Смета ЕР (общ) '!$A1445,".",'Смета ЕР (общ) '!$B1445,".",'Смета ЕР (общ) '!$D1445)</f>
        <v>Р9.2.406</v>
      </c>
      <c r="F1445" s="36">
        <f t="shared" si="112"/>
        <v>1</v>
      </c>
      <c r="G1445" s="36"/>
      <c r="H1445" s="36"/>
      <c r="I1445" s="36"/>
      <c r="J1445" s="36"/>
      <c r="K1445" s="36"/>
      <c r="L1445" s="37" t="s">
        <v>1534</v>
      </c>
      <c r="M1445" s="38" t="s">
        <v>118</v>
      </c>
      <c r="N1445" s="39"/>
      <c r="O1445" s="40">
        <v>0</v>
      </c>
      <c r="P1445" s="40">
        <f>'[1]Светильники ЭТМ'!L18</f>
        <v>361.01</v>
      </c>
      <c r="Q1445" s="40">
        <f t="shared" si="113"/>
        <v>0</v>
      </c>
      <c r="R1445" s="66">
        <f t="shared" si="114"/>
        <v>361.01</v>
      </c>
      <c r="S1445" s="40">
        <f>ROUND([2]Смета!$J1241*[2]Смета!$M1241,2)</f>
        <v>0</v>
      </c>
      <c r="T1445" s="40">
        <f>ROUND([2]Смета!$J1241*[2]Смета!$N1241,2)</f>
        <v>0</v>
      </c>
      <c r="U1445" s="155" t="s">
        <v>1525</v>
      </c>
      <c r="V1445" s="68"/>
      <c r="Y1445" s="46">
        <v>6</v>
      </c>
    </row>
    <row r="1446" spans="1:25" s="156" customFormat="1" ht="24" x14ac:dyDescent="0.3">
      <c r="A1446" s="36" t="s">
        <v>1169</v>
      </c>
      <c r="B1446" s="36">
        <v>2</v>
      </c>
      <c r="C1446" s="36"/>
      <c r="D1446" s="36">
        <v>407</v>
      </c>
      <c r="E1446" s="36" t="str">
        <f>CONCATENATE('Смета ЕР (общ) '!$A1446,".",'Смета ЕР (общ) '!$B1446,".",'Смета ЕР (общ) '!$D1446)</f>
        <v>Р9.2.407</v>
      </c>
      <c r="F1446" s="36">
        <f t="shared" si="112"/>
        <v>1</v>
      </c>
      <c r="G1446" s="36"/>
      <c r="H1446" s="36"/>
      <c r="I1446" s="36"/>
      <c r="J1446" s="36"/>
      <c r="K1446" s="36"/>
      <c r="L1446" s="37" t="s">
        <v>1535</v>
      </c>
      <c r="M1446" s="38" t="s">
        <v>118</v>
      </c>
      <c r="N1446" s="39"/>
      <c r="O1446" s="40">
        <v>1591.1940000000002</v>
      </c>
      <c r="P1446" s="40">
        <f>'[1]Светильники ЭТМ'!L19</f>
        <v>2671.12</v>
      </c>
      <c r="Q1446" s="40">
        <f t="shared" si="113"/>
        <v>1591.19</v>
      </c>
      <c r="R1446" s="66">
        <f t="shared" si="114"/>
        <v>2671.12</v>
      </c>
      <c r="S1446" s="40">
        <f>ROUND([2]Смета!$J1242*[2]Смета!$M1242,2)</f>
        <v>0</v>
      </c>
      <c r="T1446" s="40">
        <f>ROUND([2]Смета!$J1242*[2]Смета!$N1242,2)</f>
        <v>0</v>
      </c>
      <c r="U1446" s="155" t="s">
        <v>1525</v>
      </c>
      <c r="V1446" s="68"/>
      <c r="W1446" s="46"/>
    </row>
    <row r="1447" spans="1:25" s="156" customFormat="1" ht="24" x14ac:dyDescent="0.3">
      <c r="A1447" s="36" t="s">
        <v>1169</v>
      </c>
      <c r="B1447" s="36">
        <v>2</v>
      </c>
      <c r="C1447" s="36"/>
      <c r="D1447" s="36">
        <v>408</v>
      </c>
      <c r="E1447" s="36" t="str">
        <f>CONCATENATE('Смета ЕР (общ) '!$A1447,".",'Смета ЕР (общ) '!$B1447,".",'Смета ЕР (общ) '!$D1447)</f>
        <v>Р9.2.408</v>
      </c>
      <c r="F1447" s="36">
        <f t="shared" si="112"/>
        <v>1</v>
      </c>
      <c r="G1447" s="36"/>
      <c r="H1447" s="36"/>
      <c r="I1447" s="36"/>
      <c r="J1447" s="36"/>
      <c r="K1447" s="36"/>
      <c r="L1447" s="37" t="s">
        <v>1536</v>
      </c>
      <c r="M1447" s="38" t="s">
        <v>118</v>
      </c>
      <c r="N1447" s="39"/>
      <c r="O1447" s="40">
        <v>1591.194</v>
      </c>
      <c r="P1447" s="40">
        <f>'[1]Светильники ЭТМ'!L20</f>
        <v>3421.85</v>
      </c>
      <c r="Q1447" s="40">
        <f t="shared" si="113"/>
        <v>1591.19</v>
      </c>
      <c r="R1447" s="66">
        <f t="shared" si="114"/>
        <v>3421.85</v>
      </c>
      <c r="S1447" s="40">
        <f>ROUND([2]Смета!$J1243*[2]Смета!$M1243,2)</f>
        <v>0</v>
      </c>
      <c r="T1447" s="40">
        <f>ROUND([2]Смета!$J1243*[2]Смета!$N1243,2)</f>
        <v>0</v>
      </c>
      <c r="U1447" s="155" t="s">
        <v>1525</v>
      </c>
      <c r="V1447" s="68"/>
      <c r="W1447" s="46"/>
    </row>
    <row r="1448" spans="1:25" s="156" customFormat="1" ht="24" x14ac:dyDescent="0.3">
      <c r="A1448" s="36" t="s">
        <v>1169</v>
      </c>
      <c r="B1448" s="36">
        <v>2</v>
      </c>
      <c r="C1448" s="36"/>
      <c r="D1448" s="36">
        <v>409</v>
      </c>
      <c r="E1448" s="36" t="str">
        <f>CONCATENATE('Смета ЕР (общ) '!$A1448,".",'Смета ЕР (общ) '!$B1448,".",'Смета ЕР (общ) '!$D1448)</f>
        <v>Р9.2.409</v>
      </c>
      <c r="F1448" s="36">
        <f t="shared" si="112"/>
        <v>1</v>
      </c>
      <c r="G1448" s="36"/>
      <c r="H1448" s="36"/>
      <c r="I1448" s="36"/>
      <c r="J1448" s="36"/>
      <c r="K1448" s="36"/>
      <c r="L1448" s="37" t="s">
        <v>1537</v>
      </c>
      <c r="M1448" s="38" t="s">
        <v>118</v>
      </c>
      <c r="N1448" s="39"/>
      <c r="O1448" s="40">
        <v>2000</v>
      </c>
      <c r="P1448" s="40">
        <f>'[1]Светильники ЭТМ'!L21</f>
        <v>5283.02</v>
      </c>
      <c r="Q1448" s="40">
        <f t="shared" si="113"/>
        <v>2000</v>
      </c>
      <c r="R1448" s="66">
        <f t="shared" si="114"/>
        <v>5283.02</v>
      </c>
      <c r="S1448" s="40">
        <f>ROUND([2]Смета!$J1244*[2]Смета!$M1244,2)</f>
        <v>0</v>
      </c>
      <c r="T1448" s="40">
        <f>ROUND([2]Смета!$J1244*[2]Смета!$N1244,2)</f>
        <v>0</v>
      </c>
      <c r="U1448" s="155" t="s">
        <v>1525</v>
      </c>
      <c r="V1448" s="68"/>
      <c r="W1448" s="46"/>
    </row>
    <row r="1449" spans="1:25" s="156" customFormat="1" ht="24" x14ac:dyDescent="0.3">
      <c r="A1449" s="36" t="s">
        <v>1169</v>
      </c>
      <c r="B1449" s="36">
        <v>2</v>
      </c>
      <c r="C1449" s="36"/>
      <c r="D1449" s="36">
        <v>410</v>
      </c>
      <c r="E1449" s="36" t="str">
        <f>CONCATENATE('Смета ЕР (общ) '!$A1449,".",'Смета ЕР (общ) '!$B1449,".",'Смета ЕР (общ) '!$D1449)</f>
        <v>Р9.2.410</v>
      </c>
      <c r="F1449" s="36">
        <f t="shared" si="112"/>
        <v>1</v>
      </c>
      <c r="G1449" s="36"/>
      <c r="H1449" s="36"/>
      <c r="I1449" s="36"/>
      <c r="J1449" s="36"/>
      <c r="K1449" s="36"/>
      <c r="L1449" s="37" t="s">
        <v>1538</v>
      </c>
      <c r="M1449" s="38" t="s">
        <v>118</v>
      </c>
      <c r="N1449" s="39"/>
      <c r="O1449" s="40">
        <v>2000</v>
      </c>
      <c r="P1449" s="40">
        <f>'[1]Светильники ЭТМ'!L22</f>
        <v>6902.28</v>
      </c>
      <c r="Q1449" s="40">
        <f t="shared" si="113"/>
        <v>2000</v>
      </c>
      <c r="R1449" s="66">
        <f t="shared" si="114"/>
        <v>6902.28</v>
      </c>
      <c r="S1449" s="40">
        <f>ROUND([2]Смета!$J1245*[2]Смета!$M1245,2)</f>
        <v>0</v>
      </c>
      <c r="T1449" s="40">
        <f>ROUND([2]Смета!$J1245*[2]Смета!$N1245,2)</f>
        <v>0</v>
      </c>
      <c r="U1449" s="155" t="s">
        <v>1525</v>
      </c>
      <c r="V1449" s="68"/>
      <c r="W1449" s="46"/>
    </row>
    <row r="1450" spans="1:25" s="156" customFormat="1" ht="14.4" x14ac:dyDescent="0.3">
      <c r="A1450" s="36" t="s">
        <v>1169</v>
      </c>
      <c r="B1450" s="36">
        <v>2</v>
      </c>
      <c r="C1450" s="157"/>
      <c r="D1450" s="157">
        <v>569</v>
      </c>
      <c r="E1450" s="36" t="str">
        <f>CONCATENATE('Смета ЕР (общ) '!$A1450,".",'Смета ЕР (общ) '!$B1450,".",'Смета ЕР (общ) '!$D1450)</f>
        <v>Р9.2.569</v>
      </c>
      <c r="F1450" s="36"/>
      <c r="G1450" s="36"/>
      <c r="H1450" s="36"/>
      <c r="I1450" s="36"/>
      <c r="J1450" s="36"/>
      <c r="K1450" s="36"/>
      <c r="L1450" s="158" t="s">
        <v>1539</v>
      </c>
      <c r="M1450" s="38" t="s">
        <v>118</v>
      </c>
      <c r="N1450" s="39"/>
      <c r="O1450" s="40">
        <v>5225</v>
      </c>
      <c r="P1450" s="40">
        <f>'[1]Светильники Профдед н'!I4</f>
        <v>18332.150000000001</v>
      </c>
      <c r="Q1450" s="40">
        <f t="shared" ref="Q1450:R1587" si="115">ROUND(O1450-O1450*$W$3,2)</f>
        <v>5225</v>
      </c>
      <c r="R1450" s="66">
        <f t="shared" si="114"/>
        <v>18332.150000000001</v>
      </c>
      <c r="S1450" s="40">
        <f>ROUND('[3]Смета по новым ценам (3)'!$J1351*'[3]Смета по новым ценам (3)'!$M1351,2)</f>
        <v>0</v>
      </c>
      <c r="T1450" s="40">
        <f>ROUND('[3]Смета по новым ценам (3)'!$J1351*'[3]Смета по новым ценам (3)'!$N1351,2)</f>
        <v>0</v>
      </c>
      <c r="U1450" s="67" t="s">
        <v>1540</v>
      </c>
      <c r="V1450" s="68"/>
      <c r="W1450" s="46"/>
    </row>
    <row r="1451" spans="1:25" s="156" customFormat="1" ht="24" x14ac:dyDescent="0.3">
      <c r="A1451" s="159" t="s">
        <v>1169</v>
      </c>
      <c r="B1451" s="159">
        <v>2</v>
      </c>
      <c r="C1451" s="159"/>
      <c r="D1451" s="159">
        <v>411</v>
      </c>
      <c r="E1451" s="159" t="str">
        <f>CONCATENATE('Смета ЕР (общ) '!$A1451,".",'Смета ЕР (общ) '!$B1451,".",'Смета ЕР (общ) '!$D1451)</f>
        <v>Р9.2.411</v>
      </c>
      <c r="F1451" s="36">
        <f>IF(N1451&gt;0,F1449+1,F1449)</f>
        <v>1</v>
      </c>
      <c r="G1451" s="36"/>
      <c r="H1451" s="36"/>
      <c r="I1451" s="36"/>
      <c r="J1451" s="36"/>
      <c r="K1451" s="36"/>
      <c r="L1451" s="158" t="s">
        <v>1541</v>
      </c>
      <c r="M1451" s="38" t="s">
        <v>118</v>
      </c>
      <c r="N1451" s="39"/>
      <c r="O1451" s="40">
        <v>5225</v>
      </c>
      <c r="P1451" s="40">
        <f>'[1]Светильники Профдед н'!I5</f>
        <v>18332.150000000001</v>
      </c>
      <c r="Q1451" s="40">
        <f t="shared" si="115"/>
        <v>5225</v>
      </c>
      <c r="R1451" s="66">
        <f t="shared" si="114"/>
        <v>18332.150000000001</v>
      </c>
      <c r="S1451" s="40">
        <f>ROUND('[3]Смета по новым ценам (3)'!$J1352*'[3]Смета по новым ценам (3)'!$M1352,2)</f>
        <v>0</v>
      </c>
      <c r="T1451" s="40">
        <f>ROUND('[3]Смета по новым ценам (3)'!$J1352*'[3]Смета по новым ценам (3)'!$N1352,2)</f>
        <v>0</v>
      </c>
      <c r="U1451" s="67" t="s">
        <v>1540</v>
      </c>
      <c r="V1451" s="68"/>
      <c r="W1451" s="46"/>
    </row>
    <row r="1452" spans="1:25" s="156" customFormat="1" ht="20.399999999999999" x14ac:dyDescent="0.3">
      <c r="A1452" s="159" t="s">
        <v>1169</v>
      </c>
      <c r="B1452" s="159">
        <v>2</v>
      </c>
      <c r="C1452" s="159"/>
      <c r="D1452" s="159">
        <v>412</v>
      </c>
      <c r="E1452" s="159" t="str">
        <f>CONCATENATE('Смета ЕР (общ) '!$A1452,".",'Смета ЕР (общ) '!$B1452,".",'Смета ЕР (общ) '!$D1452)</f>
        <v>Р9.2.412</v>
      </c>
      <c r="F1452" s="36">
        <f t="shared" si="112"/>
        <v>1</v>
      </c>
      <c r="G1452" s="36"/>
      <c r="H1452" s="36"/>
      <c r="I1452" s="36"/>
      <c r="J1452" s="36"/>
      <c r="K1452" s="36"/>
      <c r="L1452" s="160" t="s">
        <v>1542</v>
      </c>
      <c r="M1452" s="38" t="s">
        <v>118</v>
      </c>
      <c r="N1452" s="39"/>
      <c r="O1452" s="40">
        <v>8119.83</v>
      </c>
      <c r="P1452" s="40">
        <f>'[1]Светильники Профдед н'!I6</f>
        <v>27954.93</v>
      </c>
      <c r="Q1452" s="40">
        <f t="shared" si="115"/>
        <v>8119.83</v>
      </c>
      <c r="R1452" s="66">
        <f t="shared" si="114"/>
        <v>27954.93</v>
      </c>
      <c r="S1452" s="40">
        <f>ROUND('[3]Смета по новым ценам (3)'!$J1353*'[3]Смета по новым ценам (3)'!$M1353,2)</f>
        <v>0</v>
      </c>
      <c r="T1452" s="40">
        <f>ROUND('[3]Смета по новым ценам (3)'!$J1353*'[3]Смета по новым ценам (3)'!$N1353,2)</f>
        <v>0</v>
      </c>
      <c r="U1452" s="67" t="s">
        <v>1540</v>
      </c>
      <c r="V1452" s="68"/>
      <c r="W1452" s="46"/>
    </row>
    <row r="1453" spans="1:25" s="46" customFormat="1" ht="20.399999999999999" x14ac:dyDescent="0.3">
      <c r="A1453" s="159" t="s">
        <v>1169</v>
      </c>
      <c r="B1453" s="159">
        <v>2</v>
      </c>
      <c r="C1453" s="159"/>
      <c r="D1453" s="159">
        <v>413</v>
      </c>
      <c r="E1453" s="159" t="str">
        <f>CONCATENATE('Смета ЕР (общ) '!$A1453,".",'Смета ЕР (общ) '!$B1453,".",'Смета ЕР (общ) '!$D1453)</f>
        <v>Р9.2.413</v>
      </c>
      <c r="F1453" s="36">
        <f t="shared" si="112"/>
        <v>1</v>
      </c>
      <c r="G1453" s="36"/>
      <c r="H1453" s="36"/>
      <c r="I1453" s="36"/>
      <c r="J1453" s="36"/>
      <c r="K1453" s="36"/>
      <c r="L1453" s="160" t="s">
        <v>1543</v>
      </c>
      <c r="M1453" s="38" t="s">
        <v>118</v>
      </c>
      <c r="N1453" s="39"/>
      <c r="O1453" s="40">
        <v>8119.83</v>
      </c>
      <c r="P1453" s="40">
        <f>'[1]Светильники Профдед н'!I7</f>
        <v>31734.38</v>
      </c>
      <c r="Q1453" s="40">
        <f t="shared" si="115"/>
        <v>8119.83</v>
      </c>
      <c r="R1453" s="66">
        <f t="shared" si="114"/>
        <v>31734.38</v>
      </c>
      <c r="S1453" s="62">
        <f>ROUND('Смета ЕР (общ) '!$N1453*'Смета ЕР (общ) '!$Q1453,2)</f>
        <v>0</v>
      </c>
      <c r="T1453" s="62">
        <f>ROUND('Смета ЕР (общ) '!$N1453*'Смета ЕР (общ) '!$R1453,2)</f>
        <v>0</v>
      </c>
      <c r="U1453" s="67" t="s">
        <v>1540</v>
      </c>
      <c r="V1453" s="68"/>
      <c r="Y1453" s="46">
        <v>3</v>
      </c>
    </row>
    <row r="1454" spans="1:25" s="156" customFormat="1" ht="20.399999999999999" x14ac:dyDescent="0.3">
      <c r="A1454" s="159" t="s">
        <v>1169</v>
      </c>
      <c r="B1454" s="159">
        <v>2</v>
      </c>
      <c r="C1454" s="159"/>
      <c r="D1454" s="159">
        <v>414</v>
      </c>
      <c r="E1454" s="159" t="str">
        <f>CONCATENATE('Смета ЕР (общ) '!$A1454,".",'Смета ЕР (общ) '!$B1454,".",'Смета ЕР (общ) '!$D1454)</f>
        <v>Р9.2.414</v>
      </c>
      <c r="F1454" s="36">
        <f t="shared" si="112"/>
        <v>1</v>
      </c>
      <c r="G1454" s="36"/>
      <c r="H1454" s="36"/>
      <c r="I1454" s="36"/>
      <c r="J1454" s="36"/>
      <c r="K1454" s="36"/>
      <c r="L1454" s="160" t="s">
        <v>1544</v>
      </c>
      <c r="M1454" s="38" t="s">
        <v>118</v>
      </c>
      <c r="N1454" s="39"/>
      <c r="O1454" s="40">
        <v>12580.24</v>
      </c>
      <c r="P1454" s="40">
        <f>'[1]Светильники Профдед н'!I8</f>
        <v>62344.71</v>
      </c>
      <c r="Q1454" s="40">
        <f t="shared" si="115"/>
        <v>12580.24</v>
      </c>
      <c r="R1454" s="66">
        <f t="shared" si="114"/>
        <v>62344.71</v>
      </c>
      <c r="S1454" s="62">
        <f>ROUND('[3]Смета по новым ценам (3)'!$J1355*'[3]Смета по новым ценам (3)'!$M1355,2)</f>
        <v>0</v>
      </c>
      <c r="T1454" s="62">
        <f>ROUND('[3]Смета по новым ценам (3)'!$J1355*'[3]Смета по новым ценам (3)'!$N1355,2)</f>
        <v>0</v>
      </c>
      <c r="U1454" s="67" t="s">
        <v>1540</v>
      </c>
      <c r="V1454" s="68"/>
      <c r="W1454" s="46"/>
    </row>
    <row r="1455" spans="1:25" s="46" customFormat="1" ht="20.399999999999999" x14ac:dyDescent="0.3">
      <c r="A1455" s="159" t="s">
        <v>1169</v>
      </c>
      <c r="B1455" s="159">
        <v>2</v>
      </c>
      <c r="C1455" s="159"/>
      <c r="D1455" s="159">
        <v>415</v>
      </c>
      <c r="E1455" s="159" t="str">
        <f>CONCATENATE('Смета ЕР (общ) '!$A1455,".",'Смета ЕР (общ) '!$B1455,".",'Смета ЕР (общ) '!$D1455)</f>
        <v>Р9.2.415</v>
      </c>
      <c r="F1455" s="36">
        <f t="shared" si="112"/>
        <v>1</v>
      </c>
      <c r="G1455" s="36"/>
      <c r="H1455" s="36"/>
      <c r="I1455" s="36"/>
      <c r="J1455" s="36"/>
      <c r="K1455" s="36"/>
      <c r="L1455" s="160" t="s">
        <v>1545</v>
      </c>
      <c r="M1455" s="38" t="s">
        <v>118</v>
      </c>
      <c r="N1455" s="39"/>
      <c r="O1455" s="40">
        <v>18640.72</v>
      </c>
      <c r="P1455" s="40">
        <f>'[1]Светильники Профдед н'!I9</f>
        <v>83288.09</v>
      </c>
      <c r="Q1455" s="40">
        <f t="shared" si="115"/>
        <v>18640.72</v>
      </c>
      <c r="R1455" s="66">
        <f t="shared" si="114"/>
        <v>83288.09</v>
      </c>
      <c r="S1455" s="62">
        <f>ROUND('Смета ЕР (общ) '!$N1455*'Смета ЕР (общ) '!$Q1455,2)</f>
        <v>0</v>
      </c>
      <c r="T1455" s="62">
        <f>ROUND('Смета ЕР (общ) '!$N1455*'Смета ЕР (общ) '!$R1455,2)</f>
        <v>0</v>
      </c>
      <c r="U1455" s="67" t="s">
        <v>1540</v>
      </c>
      <c r="V1455" s="68"/>
      <c r="Y1455" s="46">
        <v>1</v>
      </c>
    </row>
    <row r="1456" spans="1:25" s="46" customFormat="1" ht="20.399999999999999" x14ac:dyDescent="0.3">
      <c r="A1456" s="159" t="s">
        <v>1169</v>
      </c>
      <c r="B1456" s="159">
        <v>2</v>
      </c>
      <c r="C1456" s="159"/>
      <c r="D1456" s="159">
        <v>416</v>
      </c>
      <c r="E1456" s="159" t="str">
        <f>CONCATENATE('Смета ЕР (общ) '!$A1456,".",'Смета ЕР (общ) '!$B1456,".",'Смета ЕР (общ) '!$D1456)</f>
        <v>Р9.2.416</v>
      </c>
      <c r="F1456" s="36">
        <f t="shared" si="112"/>
        <v>1</v>
      </c>
      <c r="G1456" s="36"/>
      <c r="H1456" s="36"/>
      <c r="I1456" s="36"/>
      <c r="J1456" s="36"/>
      <c r="K1456" s="36"/>
      <c r="L1456" s="160" t="s">
        <v>1546</v>
      </c>
      <c r="M1456" s="38" t="s">
        <v>118</v>
      </c>
      <c r="N1456" s="39"/>
      <c r="O1456" s="40">
        <v>33392.39</v>
      </c>
      <c r="P1456" s="40">
        <f>'[1]Светильники Профдед н'!I10</f>
        <v>100755.48</v>
      </c>
      <c r="Q1456" s="40">
        <f t="shared" si="115"/>
        <v>33392.39</v>
      </c>
      <c r="R1456" s="66">
        <f t="shared" si="114"/>
        <v>100755.48</v>
      </c>
      <c r="S1456" s="62">
        <f>ROUND('Смета ЕР (общ) '!$N1456*'Смета ЕР (общ) '!$Q1456,2)</f>
        <v>0</v>
      </c>
      <c r="T1456" s="62">
        <f>ROUND('Смета ЕР (общ) '!$N1456*'Смета ЕР (общ) '!$R1456,2)</f>
        <v>0</v>
      </c>
      <c r="U1456" s="67" t="s">
        <v>1540</v>
      </c>
      <c r="V1456" s="68"/>
      <c r="Y1456" s="46">
        <v>2</v>
      </c>
    </row>
    <row r="1457" spans="1:25" s="46" customFormat="1" ht="14.4" x14ac:dyDescent="0.3">
      <c r="A1457" s="159" t="s">
        <v>1169</v>
      </c>
      <c r="B1457" s="159">
        <v>2</v>
      </c>
      <c r="C1457" s="159"/>
      <c r="D1457" s="159">
        <v>417</v>
      </c>
      <c r="E1457" s="159" t="str">
        <f>CONCATENATE('Смета ЕР (общ) '!$A1457,".",'Смета ЕР (общ) '!$B1457,".",'Смета ЕР (общ) '!$D1457)</f>
        <v>Р9.2.417</v>
      </c>
      <c r="F1457" s="36">
        <f t="shared" si="112"/>
        <v>1</v>
      </c>
      <c r="G1457" s="36"/>
      <c r="H1457" s="36"/>
      <c r="I1457" s="36"/>
      <c r="J1457" s="36"/>
      <c r="K1457" s="36"/>
      <c r="L1457" s="160" t="s">
        <v>1547</v>
      </c>
      <c r="M1457" s="38" t="s">
        <v>118</v>
      </c>
      <c r="N1457" s="39"/>
      <c r="O1457" s="40">
        <v>0</v>
      </c>
      <c r="P1457" s="40">
        <f>'[1]Светильники Профдед н'!I11</f>
        <v>3020.08</v>
      </c>
      <c r="Q1457" s="40">
        <f t="shared" si="115"/>
        <v>0</v>
      </c>
      <c r="R1457" s="66">
        <f t="shared" si="114"/>
        <v>3020.08</v>
      </c>
      <c r="S1457" s="62">
        <f>ROUND('Смета ЕР (общ) '!$N1457*'Смета ЕР (общ) '!$Q1457,2)</f>
        <v>0</v>
      </c>
      <c r="T1457" s="62">
        <f>ROUND('Смета ЕР (общ) '!$N1457*'Смета ЕР (общ) '!$R1457,2)</f>
        <v>0</v>
      </c>
      <c r="U1457" s="67" t="s">
        <v>1540</v>
      </c>
      <c r="V1457" s="68"/>
      <c r="Y1457" s="46">
        <v>1</v>
      </c>
    </row>
    <row r="1458" spans="1:25" s="46" customFormat="1" ht="14.4" x14ac:dyDescent="0.3">
      <c r="A1458" s="159" t="s">
        <v>1169</v>
      </c>
      <c r="B1458" s="159">
        <v>2</v>
      </c>
      <c r="C1458" s="159"/>
      <c r="D1458" s="159">
        <v>445</v>
      </c>
      <c r="E1458" s="159" t="str">
        <f>CONCATENATE('Смета ЕР (общ) '!$A1458,".",'Смета ЕР (общ) '!$B1458,".",'Смета ЕР (общ) '!$D1458)</f>
        <v>Р9.2.445</v>
      </c>
      <c r="F1458" s="36">
        <f t="shared" si="112"/>
        <v>1</v>
      </c>
      <c r="G1458" s="36"/>
      <c r="H1458" s="36"/>
      <c r="I1458" s="36"/>
      <c r="J1458" s="36"/>
      <c r="K1458" s="36"/>
      <c r="L1458" s="161" t="s">
        <v>1548</v>
      </c>
      <c r="M1458" s="38" t="s">
        <v>118</v>
      </c>
      <c r="N1458" s="39"/>
      <c r="O1458" s="40">
        <f t="shared" ref="O1458:O1521" si="116">P1458*0.1</f>
        <v>3242.8620000000005</v>
      </c>
      <c r="P1458" s="40">
        <f>[1]Освещение!H14</f>
        <v>32428.620000000003</v>
      </c>
      <c r="Q1458" s="40">
        <f t="shared" si="115"/>
        <v>3242.86</v>
      </c>
      <c r="R1458" s="66">
        <f t="shared" si="114"/>
        <v>32428.620000000003</v>
      </c>
      <c r="S1458" s="62">
        <f>ROUND('Смета ЕР (общ) '!$N1458*'Смета ЕР (общ) '!$Q1458,2)</f>
        <v>0</v>
      </c>
      <c r="T1458" s="62">
        <f>ROUND('Смета ЕР (общ) '!$N1458*'Смета ЕР (общ) '!$R1458,2)</f>
        <v>0</v>
      </c>
      <c r="U1458" s="73" t="s">
        <v>1549</v>
      </c>
      <c r="V1458" s="68"/>
    </row>
    <row r="1459" spans="1:25" s="46" customFormat="1" ht="14.4" x14ac:dyDescent="0.3">
      <c r="A1459" s="159" t="s">
        <v>1169</v>
      </c>
      <c r="B1459" s="159">
        <v>2</v>
      </c>
      <c r="C1459" s="159"/>
      <c r="D1459" s="159">
        <v>446</v>
      </c>
      <c r="E1459" s="159" t="str">
        <f>CONCATENATE('Смета ЕР (общ) '!$A1459,".",'Смета ЕР (общ) '!$B1459,".",'Смета ЕР (общ) '!$D1459)</f>
        <v>Р9.2.446</v>
      </c>
      <c r="F1459" s="36">
        <f t="shared" si="112"/>
        <v>1</v>
      </c>
      <c r="G1459" s="36"/>
      <c r="H1459" s="36"/>
      <c r="I1459" s="36"/>
      <c r="J1459" s="36"/>
      <c r="K1459" s="36"/>
      <c r="L1459" s="161" t="s">
        <v>1550</v>
      </c>
      <c r="M1459" s="38" t="s">
        <v>118</v>
      </c>
      <c r="N1459" s="39"/>
      <c r="O1459" s="40">
        <f t="shared" si="116"/>
        <v>3756.4695000000002</v>
      </c>
      <c r="P1459" s="40">
        <f>[1]Освещение!H15</f>
        <v>37564.695</v>
      </c>
      <c r="Q1459" s="40">
        <f t="shared" si="115"/>
        <v>3756.47</v>
      </c>
      <c r="R1459" s="66">
        <f t="shared" si="114"/>
        <v>37564.695</v>
      </c>
      <c r="S1459" s="62">
        <f>ROUND('Смета ЕР (общ) '!$N1459*'Смета ЕР (общ) '!$Q1459,2)</f>
        <v>0</v>
      </c>
      <c r="T1459" s="62">
        <f>ROUND('Смета ЕР (общ) '!$N1459*'Смета ЕР (общ) '!$R1459,2)</f>
        <v>0</v>
      </c>
      <c r="U1459" s="73" t="s">
        <v>1549</v>
      </c>
      <c r="V1459" s="68"/>
    </row>
    <row r="1460" spans="1:25" s="46" customFormat="1" ht="14.4" x14ac:dyDescent="0.3">
      <c r="A1460" s="159" t="s">
        <v>1169</v>
      </c>
      <c r="B1460" s="159">
        <v>2</v>
      </c>
      <c r="C1460" s="159"/>
      <c r="D1460" s="159">
        <v>447</v>
      </c>
      <c r="E1460" s="159" t="str">
        <f>CONCATENATE('Смета ЕР (общ) '!$A1460,".",'Смета ЕР (общ) '!$B1460,".",'Смета ЕР (общ) '!$D1460)</f>
        <v>Р9.2.447</v>
      </c>
      <c r="F1460" s="36">
        <f t="shared" si="112"/>
        <v>1</v>
      </c>
      <c r="G1460" s="36"/>
      <c r="H1460" s="36"/>
      <c r="I1460" s="36"/>
      <c r="J1460" s="36"/>
      <c r="K1460" s="36"/>
      <c r="L1460" s="161" t="s">
        <v>1551</v>
      </c>
      <c r="M1460" s="38" t="s">
        <v>118</v>
      </c>
      <c r="N1460" s="39"/>
      <c r="O1460" s="40">
        <f t="shared" si="116"/>
        <v>3357.2070000000003</v>
      </c>
      <c r="P1460" s="40">
        <f>[1]Освещение!H16</f>
        <v>33572.07</v>
      </c>
      <c r="Q1460" s="40">
        <f t="shared" si="115"/>
        <v>3357.21</v>
      </c>
      <c r="R1460" s="66">
        <f t="shared" si="114"/>
        <v>33572.07</v>
      </c>
      <c r="S1460" s="62">
        <f>ROUND('Смета ЕР (общ) '!$N1460*'Смета ЕР (общ) '!$Q1460,2)</f>
        <v>0</v>
      </c>
      <c r="T1460" s="62">
        <f>ROUND('Смета ЕР (общ) '!$N1460*'Смета ЕР (общ) '!$R1460,2)</f>
        <v>0</v>
      </c>
      <c r="U1460" s="73" t="s">
        <v>1549</v>
      </c>
      <c r="V1460" s="68"/>
    </row>
    <row r="1461" spans="1:25" s="46" customFormat="1" ht="30.6" x14ac:dyDescent="0.3">
      <c r="A1461" s="159" t="s">
        <v>1169</v>
      </c>
      <c r="B1461" s="159">
        <v>2</v>
      </c>
      <c r="C1461" s="159"/>
      <c r="D1461" s="159">
        <v>448</v>
      </c>
      <c r="E1461" s="159" t="str">
        <f>CONCATENATE('Смета ЕР (общ) '!$A1461,".",'Смета ЕР (общ) '!$B1461,".",'Смета ЕР (общ) '!$D1461)</f>
        <v>Р9.2.448</v>
      </c>
      <c r="F1461" s="36">
        <f t="shared" si="112"/>
        <v>1</v>
      </c>
      <c r="G1461" s="36"/>
      <c r="H1461" s="36"/>
      <c r="I1461" s="36"/>
      <c r="J1461" s="36"/>
      <c r="K1461" s="36"/>
      <c r="L1461" s="161" t="s">
        <v>1552</v>
      </c>
      <c r="M1461" s="38" t="s">
        <v>118</v>
      </c>
      <c r="N1461" s="39"/>
      <c r="O1461" s="40">
        <f t="shared" si="116"/>
        <v>3870.8145000000004</v>
      </c>
      <c r="P1461" s="40">
        <f>[1]Освещение!H17</f>
        <v>38708.145000000004</v>
      </c>
      <c r="Q1461" s="40">
        <f t="shared" si="115"/>
        <v>3870.81</v>
      </c>
      <c r="R1461" s="66">
        <f t="shared" si="114"/>
        <v>38708.145000000004</v>
      </c>
      <c r="S1461" s="62">
        <f>ROUND('Смета ЕР (общ) '!$N1461*'Смета ЕР (общ) '!$Q1461,2)</f>
        <v>0</v>
      </c>
      <c r="T1461" s="62">
        <f>ROUND('Смета ЕР (общ) '!$N1461*'Смета ЕР (общ) '!$R1461,2)</f>
        <v>0</v>
      </c>
      <c r="U1461" s="73" t="s">
        <v>1549</v>
      </c>
      <c r="V1461" s="68"/>
    </row>
    <row r="1462" spans="1:25" s="46" customFormat="1" ht="14.4" x14ac:dyDescent="0.3">
      <c r="A1462" s="159" t="s">
        <v>1169</v>
      </c>
      <c r="B1462" s="159">
        <v>2</v>
      </c>
      <c r="C1462" s="159"/>
      <c r="D1462" s="159">
        <v>449</v>
      </c>
      <c r="E1462" s="159" t="str">
        <f>CONCATENATE('Смета ЕР (общ) '!$A1462,".",'Смета ЕР (общ) '!$B1462,".",'Смета ЕР (общ) '!$D1462)</f>
        <v>Р9.2.449</v>
      </c>
      <c r="F1462" s="36">
        <f t="shared" si="112"/>
        <v>1</v>
      </c>
      <c r="G1462" s="36"/>
      <c r="H1462" s="36"/>
      <c r="I1462" s="36"/>
      <c r="J1462" s="36"/>
      <c r="K1462" s="36"/>
      <c r="L1462" s="161" t="s">
        <v>1553</v>
      </c>
      <c r="M1462" s="38" t="s">
        <v>118</v>
      </c>
      <c r="N1462" s="39"/>
      <c r="O1462" s="40">
        <f t="shared" si="116"/>
        <v>3242.8620000000005</v>
      </c>
      <c r="P1462" s="40">
        <f>[1]Освещение!H18</f>
        <v>32428.620000000003</v>
      </c>
      <c r="Q1462" s="40">
        <f t="shared" si="115"/>
        <v>3242.86</v>
      </c>
      <c r="R1462" s="66">
        <f t="shared" si="114"/>
        <v>32428.620000000003</v>
      </c>
      <c r="S1462" s="62">
        <f>ROUND('Смета ЕР (общ) '!$N1462*'Смета ЕР (общ) '!$Q1462,2)</f>
        <v>0</v>
      </c>
      <c r="T1462" s="62">
        <f>ROUND('Смета ЕР (общ) '!$N1462*'Смета ЕР (общ) '!$R1462,2)</f>
        <v>0</v>
      </c>
      <c r="U1462" s="73" t="s">
        <v>1549</v>
      </c>
      <c r="V1462" s="68"/>
    </row>
    <row r="1463" spans="1:25" s="46" customFormat="1" ht="14.4" x14ac:dyDescent="0.3">
      <c r="A1463" s="159" t="s">
        <v>1169</v>
      </c>
      <c r="B1463" s="159">
        <v>2</v>
      </c>
      <c r="C1463" s="159"/>
      <c r="D1463" s="159">
        <v>450</v>
      </c>
      <c r="E1463" s="159" t="str">
        <f>CONCATENATE('Смета ЕР (общ) '!$A1463,".",'Смета ЕР (общ) '!$B1463,".",'Смета ЕР (общ) '!$D1463)</f>
        <v>Р9.2.450</v>
      </c>
      <c r="F1463" s="36">
        <f t="shared" si="112"/>
        <v>1</v>
      </c>
      <c r="G1463" s="36"/>
      <c r="H1463" s="36"/>
      <c r="I1463" s="36"/>
      <c r="J1463" s="36"/>
      <c r="K1463" s="36"/>
      <c r="L1463" s="161" t="s">
        <v>1554</v>
      </c>
      <c r="M1463" s="38" t="s">
        <v>118</v>
      </c>
      <c r="N1463" s="39"/>
      <c r="O1463" s="40">
        <f t="shared" si="116"/>
        <v>3756.4695000000002</v>
      </c>
      <c r="P1463" s="40">
        <f>[1]Освещение!H19</f>
        <v>37564.695</v>
      </c>
      <c r="Q1463" s="40">
        <f t="shared" si="115"/>
        <v>3756.47</v>
      </c>
      <c r="R1463" s="66">
        <f t="shared" si="114"/>
        <v>37564.695</v>
      </c>
      <c r="S1463" s="62">
        <f>ROUND('Смета ЕР (общ) '!$N1463*'Смета ЕР (общ) '!$Q1463,2)</f>
        <v>0</v>
      </c>
      <c r="T1463" s="62">
        <f>ROUND('Смета ЕР (общ) '!$N1463*'Смета ЕР (общ) '!$R1463,2)</f>
        <v>0</v>
      </c>
      <c r="U1463" s="73" t="s">
        <v>1549</v>
      </c>
      <c r="V1463" s="68"/>
    </row>
    <row r="1464" spans="1:25" s="46" customFormat="1" ht="14.4" x14ac:dyDescent="0.3">
      <c r="A1464" s="159" t="s">
        <v>1169</v>
      </c>
      <c r="B1464" s="159">
        <v>2</v>
      </c>
      <c r="C1464" s="159"/>
      <c r="D1464" s="159">
        <v>451</v>
      </c>
      <c r="E1464" s="159" t="str">
        <f>CONCATENATE('Смета ЕР (общ) '!$A1464,".",'Смета ЕР (общ) '!$B1464,".",'Смета ЕР (общ) '!$D1464)</f>
        <v>Р9.2.451</v>
      </c>
      <c r="F1464" s="36">
        <f t="shared" si="112"/>
        <v>1</v>
      </c>
      <c r="G1464" s="36"/>
      <c r="H1464" s="36"/>
      <c r="I1464" s="36"/>
      <c r="J1464" s="36"/>
      <c r="K1464" s="36"/>
      <c r="L1464" s="161" t="s">
        <v>1555</v>
      </c>
      <c r="M1464" s="38" t="s">
        <v>118</v>
      </c>
      <c r="N1464" s="39"/>
      <c r="O1464" s="40">
        <f t="shared" si="116"/>
        <v>3357.2070000000003</v>
      </c>
      <c r="P1464" s="40">
        <f>[1]Освещение!H20</f>
        <v>33572.07</v>
      </c>
      <c r="Q1464" s="40">
        <f t="shared" si="115"/>
        <v>3357.21</v>
      </c>
      <c r="R1464" s="66">
        <f t="shared" si="114"/>
        <v>33572.07</v>
      </c>
      <c r="S1464" s="62">
        <f>ROUND('Смета ЕР (общ) '!$N1464*'Смета ЕР (общ) '!$Q1464,2)</f>
        <v>0</v>
      </c>
      <c r="T1464" s="62">
        <f>ROUND('Смета ЕР (общ) '!$N1464*'Смета ЕР (общ) '!$R1464,2)</f>
        <v>0</v>
      </c>
      <c r="U1464" s="73" t="s">
        <v>1549</v>
      </c>
      <c r="V1464" s="68"/>
    </row>
    <row r="1465" spans="1:25" s="46" customFormat="1" ht="30.6" x14ac:dyDescent="0.3">
      <c r="A1465" s="159" t="s">
        <v>1169</v>
      </c>
      <c r="B1465" s="159">
        <v>2</v>
      </c>
      <c r="C1465" s="159"/>
      <c r="D1465" s="159">
        <v>452</v>
      </c>
      <c r="E1465" s="159" t="str">
        <f>CONCATENATE('Смета ЕР (общ) '!$A1465,".",'Смета ЕР (общ) '!$B1465,".",'Смета ЕР (общ) '!$D1465)</f>
        <v>Р9.2.452</v>
      </c>
      <c r="F1465" s="36">
        <f t="shared" si="112"/>
        <v>1</v>
      </c>
      <c r="G1465" s="36"/>
      <c r="H1465" s="36"/>
      <c r="I1465" s="36"/>
      <c r="J1465" s="36"/>
      <c r="K1465" s="36"/>
      <c r="L1465" s="161" t="s">
        <v>1556</v>
      </c>
      <c r="M1465" s="38" t="s">
        <v>118</v>
      </c>
      <c r="N1465" s="39"/>
      <c r="O1465" s="40">
        <f t="shared" si="116"/>
        <v>3870.8145000000004</v>
      </c>
      <c r="P1465" s="40">
        <f>[1]Освещение!H21</f>
        <v>38708.145000000004</v>
      </c>
      <c r="Q1465" s="40">
        <f t="shared" si="115"/>
        <v>3870.81</v>
      </c>
      <c r="R1465" s="66">
        <f t="shared" si="114"/>
        <v>38708.145000000004</v>
      </c>
      <c r="S1465" s="62">
        <f>ROUND('Смета ЕР (общ) '!$N1465*'Смета ЕР (общ) '!$Q1465,2)</f>
        <v>0</v>
      </c>
      <c r="T1465" s="62">
        <f>ROUND('Смета ЕР (общ) '!$N1465*'Смета ЕР (общ) '!$R1465,2)</f>
        <v>0</v>
      </c>
      <c r="U1465" s="73" t="s">
        <v>1549</v>
      </c>
      <c r="V1465" s="68"/>
    </row>
    <row r="1466" spans="1:25" s="46" customFormat="1" ht="14.4" x14ac:dyDescent="0.3">
      <c r="A1466" s="159" t="s">
        <v>1169</v>
      </c>
      <c r="B1466" s="159">
        <v>2</v>
      </c>
      <c r="C1466" s="159"/>
      <c r="D1466" s="159">
        <v>453</v>
      </c>
      <c r="E1466" s="159" t="str">
        <f>CONCATENATE('Смета ЕР (общ) '!$A1466,".",'Смета ЕР (общ) '!$B1466,".",'Смета ЕР (общ) '!$D1466)</f>
        <v>Р9.2.453</v>
      </c>
      <c r="F1466" s="36">
        <f t="shared" si="112"/>
        <v>1</v>
      </c>
      <c r="G1466" s="36"/>
      <c r="H1466" s="36"/>
      <c r="I1466" s="36"/>
      <c r="J1466" s="36"/>
      <c r="K1466" s="36"/>
      <c r="L1466" s="161" t="s">
        <v>1557</v>
      </c>
      <c r="M1466" s="38" t="s">
        <v>118</v>
      </c>
      <c r="N1466" s="39"/>
      <c r="O1466" s="40">
        <f t="shared" si="116"/>
        <v>3242.8620000000005</v>
      </c>
      <c r="P1466" s="40">
        <f>[1]Освещение!H22</f>
        <v>32428.620000000003</v>
      </c>
      <c r="Q1466" s="40">
        <f t="shared" si="115"/>
        <v>3242.86</v>
      </c>
      <c r="R1466" s="66">
        <f t="shared" si="114"/>
        <v>32428.620000000003</v>
      </c>
      <c r="S1466" s="62">
        <f>ROUND('Смета ЕР (общ) '!$N1466*'Смета ЕР (общ) '!$Q1466,2)</f>
        <v>0</v>
      </c>
      <c r="T1466" s="62">
        <f>ROUND('Смета ЕР (общ) '!$N1466*'Смета ЕР (общ) '!$R1466,2)</f>
        <v>0</v>
      </c>
      <c r="U1466" s="73" t="s">
        <v>1549</v>
      </c>
      <c r="V1466" s="68"/>
    </row>
    <row r="1467" spans="1:25" s="46" customFormat="1" ht="14.4" x14ac:dyDescent="0.3">
      <c r="A1467" s="159" t="s">
        <v>1169</v>
      </c>
      <c r="B1467" s="159">
        <v>2</v>
      </c>
      <c r="C1467" s="159"/>
      <c r="D1467" s="159">
        <v>454</v>
      </c>
      <c r="E1467" s="159" t="str">
        <f>CONCATENATE('Смета ЕР (общ) '!$A1467,".",'Смета ЕР (общ) '!$B1467,".",'Смета ЕР (общ) '!$D1467)</f>
        <v>Р9.2.454</v>
      </c>
      <c r="F1467" s="36">
        <f t="shared" si="112"/>
        <v>1</v>
      </c>
      <c r="G1467" s="36"/>
      <c r="H1467" s="36"/>
      <c r="I1467" s="36"/>
      <c r="J1467" s="36"/>
      <c r="K1467" s="36"/>
      <c r="L1467" s="161" t="s">
        <v>1558</v>
      </c>
      <c r="M1467" s="38" t="s">
        <v>118</v>
      </c>
      <c r="N1467" s="39"/>
      <c r="O1467" s="40">
        <f t="shared" si="116"/>
        <v>3756.4695000000002</v>
      </c>
      <c r="P1467" s="40">
        <f>[1]Освещение!H23</f>
        <v>37564.695</v>
      </c>
      <c r="Q1467" s="40">
        <f t="shared" si="115"/>
        <v>3756.47</v>
      </c>
      <c r="R1467" s="66">
        <f t="shared" si="114"/>
        <v>37564.695</v>
      </c>
      <c r="S1467" s="62">
        <f>ROUND('Смета ЕР (общ) '!$N1467*'Смета ЕР (общ) '!$Q1467,2)</f>
        <v>0</v>
      </c>
      <c r="T1467" s="62">
        <f>ROUND('Смета ЕР (общ) '!$N1467*'Смета ЕР (общ) '!$R1467,2)</f>
        <v>0</v>
      </c>
      <c r="U1467" s="73" t="s">
        <v>1549</v>
      </c>
      <c r="V1467" s="68"/>
    </row>
    <row r="1468" spans="1:25" s="46" customFormat="1" ht="14.4" x14ac:dyDescent="0.3">
      <c r="A1468" s="159" t="s">
        <v>1169</v>
      </c>
      <c r="B1468" s="159">
        <v>2</v>
      </c>
      <c r="C1468" s="159"/>
      <c r="D1468" s="159">
        <v>455</v>
      </c>
      <c r="E1468" s="159" t="str">
        <f>CONCATENATE('Смета ЕР (общ) '!$A1468,".",'Смета ЕР (общ) '!$B1468,".",'Смета ЕР (общ) '!$D1468)</f>
        <v>Р9.2.455</v>
      </c>
      <c r="F1468" s="36">
        <f t="shared" si="112"/>
        <v>1</v>
      </c>
      <c r="G1468" s="36"/>
      <c r="H1468" s="36"/>
      <c r="I1468" s="36"/>
      <c r="J1468" s="36"/>
      <c r="K1468" s="36"/>
      <c r="L1468" s="161" t="s">
        <v>1559</v>
      </c>
      <c r="M1468" s="38" t="s">
        <v>118</v>
      </c>
      <c r="N1468" s="39"/>
      <c r="O1468" s="40">
        <f t="shared" si="116"/>
        <v>3357.2070000000003</v>
      </c>
      <c r="P1468" s="40">
        <f>[1]Освещение!H24</f>
        <v>33572.07</v>
      </c>
      <c r="Q1468" s="40">
        <f t="shared" si="115"/>
        <v>3357.21</v>
      </c>
      <c r="R1468" s="66">
        <f t="shared" si="114"/>
        <v>33572.07</v>
      </c>
      <c r="S1468" s="62">
        <f>ROUND('Смета ЕР (общ) '!$N1468*'Смета ЕР (общ) '!$Q1468,2)</f>
        <v>0</v>
      </c>
      <c r="T1468" s="62">
        <f>ROUND('Смета ЕР (общ) '!$N1468*'Смета ЕР (общ) '!$R1468,2)</f>
        <v>0</v>
      </c>
      <c r="U1468" s="73" t="s">
        <v>1549</v>
      </c>
      <c r="V1468" s="68"/>
    </row>
    <row r="1469" spans="1:25" s="46" customFormat="1" ht="30.6" x14ac:dyDescent="0.3">
      <c r="A1469" s="159" t="s">
        <v>1169</v>
      </c>
      <c r="B1469" s="159">
        <v>2</v>
      </c>
      <c r="C1469" s="159"/>
      <c r="D1469" s="159">
        <v>456</v>
      </c>
      <c r="E1469" s="159" t="str">
        <f>CONCATENATE('Смета ЕР (общ) '!$A1469,".",'Смета ЕР (общ) '!$B1469,".",'Смета ЕР (общ) '!$D1469)</f>
        <v>Р9.2.456</v>
      </c>
      <c r="F1469" s="36">
        <f t="shared" si="112"/>
        <v>1</v>
      </c>
      <c r="G1469" s="36"/>
      <c r="H1469" s="36"/>
      <c r="I1469" s="36"/>
      <c r="J1469" s="36"/>
      <c r="K1469" s="36"/>
      <c r="L1469" s="161" t="s">
        <v>1560</v>
      </c>
      <c r="M1469" s="38" t="s">
        <v>118</v>
      </c>
      <c r="N1469" s="39"/>
      <c r="O1469" s="40">
        <f t="shared" si="116"/>
        <v>3870.8145000000004</v>
      </c>
      <c r="P1469" s="40">
        <f>[1]Освещение!H25</f>
        <v>38708.145000000004</v>
      </c>
      <c r="Q1469" s="40">
        <f t="shared" si="115"/>
        <v>3870.81</v>
      </c>
      <c r="R1469" s="66">
        <f t="shared" si="114"/>
        <v>38708.145000000004</v>
      </c>
      <c r="S1469" s="62">
        <f>ROUND('Смета ЕР (общ) '!$N1469*'Смета ЕР (общ) '!$Q1469,2)</f>
        <v>0</v>
      </c>
      <c r="T1469" s="62">
        <f>ROUND('Смета ЕР (общ) '!$N1469*'Смета ЕР (общ) '!$R1469,2)</f>
        <v>0</v>
      </c>
      <c r="U1469" s="73" t="s">
        <v>1549</v>
      </c>
      <c r="V1469" s="68"/>
    </row>
    <row r="1470" spans="1:25" s="46" customFormat="1" ht="14.4" x14ac:dyDescent="0.3">
      <c r="A1470" s="159" t="s">
        <v>1169</v>
      </c>
      <c r="B1470" s="159">
        <v>2</v>
      </c>
      <c r="C1470" s="159"/>
      <c r="D1470" s="159">
        <v>457</v>
      </c>
      <c r="E1470" s="159" t="str">
        <f>CONCATENATE('Смета ЕР (общ) '!$A1470,".",'Смета ЕР (общ) '!$B1470,".",'Смета ЕР (общ) '!$D1470)</f>
        <v>Р9.2.457</v>
      </c>
      <c r="F1470" s="36">
        <f t="shared" si="112"/>
        <v>1</v>
      </c>
      <c r="G1470" s="36"/>
      <c r="H1470" s="36"/>
      <c r="I1470" s="36"/>
      <c r="J1470" s="36"/>
      <c r="K1470" s="36"/>
      <c r="L1470" s="161" t="s">
        <v>1561</v>
      </c>
      <c r="M1470" s="38" t="s">
        <v>118</v>
      </c>
      <c r="N1470" s="39"/>
      <c r="O1470" s="40">
        <f t="shared" si="116"/>
        <v>571.25250000000005</v>
      </c>
      <c r="P1470" s="40">
        <f>[1]Освещение!H26</f>
        <v>5712.5250000000005</v>
      </c>
      <c r="Q1470" s="40">
        <f t="shared" si="115"/>
        <v>571.25</v>
      </c>
      <c r="R1470" s="66">
        <f t="shared" si="114"/>
        <v>5712.5250000000005</v>
      </c>
      <c r="S1470" s="62">
        <f>ROUND('Смета ЕР (общ) '!$N1470*'Смета ЕР (общ) '!$Q1470,2)</f>
        <v>0</v>
      </c>
      <c r="T1470" s="62">
        <f>ROUND('Смета ЕР (общ) '!$N1470*'Смета ЕР (общ) '!$R1470,2)</f>
        <v>0</v>
      </c>
      <c r="U1470" s="73" t="s">
        <v>1549</v>
      </c>
      <c r="V1470" s="68"/>
    </row>
    <row r="1471" spans="1:25" s="46" customFormat="1" ht="14.4" x14ac:dyDescent="0.3">
      <c r="A1471" s="159" t="s">
        <v>1169</v>
      </c>
      <c r="B1471" s="159">
        <v>2</v>
      </c>
      <c r="C1471" s="159"/>
      <c r="D1471" s="159">
        <v>458</v>
      </c>
      <c r="E1471" s="159" t="str">
        <f>CONCATENATE('Смета ЕР (общ) '!$A1471,".",'Смета ЕР (общ) '!$B1471,".",'Смета ЕР (общ) '!$D1471)</f>
        <v>Р9.2.458</v>
      </c>
      <c r="F1471" s="36">
        <f t="shared" si="112"/>
        <v>1</v>
      </c>
      <c r="G1471" s="36"/>
      <c r="H1471" s="36"/>
      <c r="I1471" s="36"/>
      <c r="J1471" s="36"/>
      <c r="K1471" s="36"/>
      <c r="L1471" s="161" t="s">
        <v>1562</v>
      </c>
      <c r="M1471" s="38" t="s">
        <v>118</v>
      </c>
      <c r="N1471" s="39"/>
      <c r="O1471" s="40">
        <f t="shared" si="116"/>
        <v>707.23800000000017</v>
      </c>
      <c r="P1471" s="40">
        <f>[1]Освещение!H27</f>
        <v>7072.380000000001</v>
      </c>
      <c r="Q1471" s="40">
        <f t="shared" si="115"/>
        <v>707.24</v>
      </c>
      <c r="R1471" s="66">
        <f t="shared" si="114"/>
        <v>7072.380000000001</v>
      </c>
      <c r="S1471" s="62">
        <f>ROUND('Смета ЕР (общ) '!$N1471*'Смета ЕР (общ) '!$Q1471,2)</f>
        <v>0</v>
      </c>
      <c r="T1471" s="62">
        <f>ROUND('Смета ЕР (общ) '!$N1471*'Смета ЕР (общ) '!$R1471,2)</f>
        <v>0</v>
      </c>
      <c r="U1471" s="73" t="s">
        <v>1549</v>
      </c>
      <c r="V1471" s="68"/>
    </row>
    <row r="1472" spans="1:25" s="46" customFormat="1" ht="14.4" x14ac:dyDescent="0.3">
      <c r="A1472" s="159" t="s">
        <v>1169</v>
      </c>
      <c r="B1472" s="159">
        <v>2</v>
      </c>
      <c r="C1472" s="159"/>
      <c r="D1472" s="159">
        <v>459</v>
      </c>
      <c r="E1472" s="159" t="str">
        <f>CONCATENATE('Смета ЕР (общ) '!$A1472,".",'Смета ЕР (общ) '!$B1472,".",'Смета ЕР (общ) '!$D1472)</f>
        <v>Р9.2.459</v>
      </c>
      <c r="F1472" s="36">
        <f t="shared" si="112"/>
        <v>1</v>
      </c>
      <c r="G1472" s="36"/>
      <c r="H1472" s="36"/>
      <c r="I1472" s="36"/>
      <c r="J1472" s="36"/>
      <c r="K1472" s="36"/>
      <c r="L1472" s="161" t="s">
        <v>1563</v>
      </c>
      <c r="M1472" s="38" t="s">
        <v>118</v>
      </c>
      <c r="N1472" s="39"/>
      <c r="O1472" s="40">
        <f t="shared" si="116"/>
        <v>707.23800000000017</v>
      </c>
      <c r="P1472" s="40">
        <f>[1]Освещение!H28</f>
        <v>7072.380000000001</v>
      </c>
      <c r="Q1472" s="40">
        <f t="shared" si="115"/>
        <v>707.24</v>
      </c>
      <c r="R1472" s="66">
        <f t="shared" si="114"/>
        <v>7072.380000000001</v>
      </c>
      <c r="S1472" s="62">
        <f>ROUND('Смета ЕР (общ) '!$N1472*'Смета ЕР (общ) '!$Q1472,2)</f>
        <v>0</v>
      </c>
      <c r="T1472" s="62">
        <f>ROUND('Смета ЕР (общ) '!$N1472*'Смета ЕР (общ) '!$R1472,2)</f>
        <v>0</v>
      </c>
      <c r="U1472" s="73" t="s">
        <v>1549</v>
      </c>
      <c r="V1472" s="68"/>
    </row>
    <row r="1473" spans="1:22" s="46" customFormat="1" ht="14.4" x14ac:dyDescent="0.3">
      <c r="A1473" s="159" t="s">
        <v>1169</v>
      </c>
      <c r="B1473" s="159">
        <v>2</v>
      </c>
      <c r="C1473" s="159"/>
      <c r="D1473" s="159">
        <v>460</v>
      </c>
      <c r="E1473" s="159" t="str">
        <f>CONCATENATE('Смета ЕР (общ) '!$A1473,".",'Смета ЕР (общ) '!$B1473,".",'Смета ЕР (общ) '!$D1473)</f>
        <v>Р9.2.460</v>
      </c>
      <c r="F1473" s="36">
        <f t="shared" si="112"/>
        <v>1</v>
      </c>
      <c r="G1473" s="36"/>
      <c r="H1473" s="36"/>
      <c r="I1473" s="36"/>
      <c r="J1473" s="36"/>
      <c r="K1473" s="36"/>
      <c r="L1473" s="161" t="s">
        <v>1564</v>
      </c>
      <c r="M1473" s="38" t="s">
        <v>118</v>
      </c>
      <c r="N1473" s="39"/>
      <c r="O1473" s="40">
        <f t="shared" si="116"/>
        <v>707.23800000000017</v>
      </c>
      <c r="P1473" s="40">
        <f>[1]Освещение!H29</f>
        <v>7072.380000000001</v>
      </c>
      <c r="Q1473" s="40">
        <f t="shared" si="115"/>
        <v>707.24</v>
      </c>
      <c r="R1473" s="66">
        <f t="shared" si="114"/>
        <v>7072.380000000001</v>
      </c>
      <c r="S1473" s="62">
        <f>ROUND('Смета ЕР (общ) '!$N1473*'Смета ЕР (общ) '!$Q1473,2)</f>
        <v>0</v>
      </c>
      <c r="T1473" s="62">
        <f>ROUND('Смета ЕР (общ) '!$N1473*'Смета ЕР (общ) '!$R1473,2)</f>
        <v>0</v>
      </c>
      <c r="U1473" s="73" t="s">
        <v>1549</v>
      </c>
      <c r="V1473" s="68"/>
    </row>
    <row r="1474" spans="1:22" s="46" customFormat="1" ht="30.6" x14ac:dyDescent="0.3">
      <c r="A1474" s="159" t="s">
        <v>1169</v>
      </c>
      <c r="B1474" s="159">
        <v>2</v>
      </c>
      <c r="C1474" s="159"/>
      <c r="D1474" s="159">
        <v>461</v>
      </c>
      <c r="E1474" s="159" t="str">
        <f>CONCATENATE('Смета ЕР (общ) '!$A1474,".",'Смета ЕР (общ) '!$B1474,".",'Смета ЕР (общ) '!$D1474)</f>
        <v>Р9.2.461</v>
      </c>
      <c r="F1474" s="36">
        <f t="shared" si="112"/>
        <v>1</v>
      </c>
      <c r="G1474" s="36"/>
      <c r="H1474" s="36"/>
      <c r="I1474" s="36"/>
      <c r="J1474" s="36"/>
      <c r="K1474" s="36"/>
      <c r="L1474" s="161" t="s">
        <v>1565</v>
      </c>
      <c r="M1474" s="38" t="s">
        <v>118</v>
      </c>
      <c r="N1474" s="39"/>
      <c r="O1474" s="40">
        <f t="shared" si="116"/>
        <v>1293.6105000000002</v>
      </c>
      <c r="P1474" s="40">
        <f>[1]Освещение!H30</f>
        <v>12936.105000000001</v>
      </c>
      <c r="Q1474" s="40">
        <f t="shared" si="115"/>
        <v>1293.6099999999999</v>
      </c>
      <c r="R1474" s="66">
        <f t="shared" si="114"/>
        <v>12936.105000000001</v>
      </c>
      <c r="S1474" s="62">
        <f>ROUND('Смета ЕР (общ) '!$N1474*'Смета ЕР (общ) '!$Q1474,2)</f>
        <v>0</v>
      </c>
      <c r="T1474" s="62">
        <f>ROUND('Смета ЕР (общ) '!$N1474*'Смета ЕР (общ) '!$R1474,2)</f>
        <v>0</v>
      </c>
      <c r="U1474" s="73" t="s">
        <v>1549</v>
      </c>
      <c r="V1474" s="68"/>
    </row>
    <row r="1475" spans="1:22" s="46" customFormat="1" ht="14.4" x14ac:dyDescent="0.3">
      <c r="A1475" s="159" t="s">
        <v>1169</v>
      </c>
      <c r="B1475" s="159">
        <v>2</v>
      </c>
      <c r="C1475" s="159"/>
      <c r="D1475" s="159">
        <v>462</v>
      </c>
      <c r="E1475" s="159" t="str">
        <f>CONCATENATE('Смета ЕР (общ) '!$A1475,".",'Смета ЕР (общ) '!$B1475,".",'Смета ЕР (общ) '!$D1475)</f>
        <v>Р9.2.462</v>
      </c>
      <c r="F1475" s="36">
        <f t="shared" si="112"/>
        <v>1</v>
      </c>
      <c r="G1475" s="36"/>
      <c r="H1475" s="36"/>
      <c r="I1475" s="36"/>
      <c r="J1475" s="36"/>
      <c r="K1475" s="36"/>
      <c r="L1475" s="161" t="s">
        <v>1566</v>
      </c>
      <c r="M1475" s="38" t="s">
        <v>118</v>
      </c>
      <c r="N1475" s="39"/>
      <c r="O1475" s="40">
        <f t="shared" si="116"/>
        <v>514.55250000000012</v>
      </c>
      <c r="P1475" s="40">
        <f>[1]Освещение!H31</f>
        <v>5145.5250000000005</v>
      </c>
      <c r="Q1475" s="40">
        <f t="shared" si="115"/>
        <v>514.54999999999995</v>
      </c>
      <c r="R1475" s="66">
        <f t="shared" si="114"/>
        <v>5145.5250000000005</v>
      </c>
      <c r="S1475" s="62">
        <f>ROUND('Смета ЕР (общ) '!$N1475*'Смета ЕР (общ) '!$Q1475,2)</f>
        <v>0</v>
      </c>
      <c r="T1475" s="62">
        <f>ROUND('Смета ЕР (общ) '!$N1475*'Смета ЕР (общ) '!$R1475,2)</f>
        <v>0</v>
      </c>
      <c r="U1475" s="73" t="s">
        <v>1549</v>
      </c>
      <c r="V1475" s="68"/>
    </row>
    <row r="1476" spans="1:22" s="46" customFormat="1" ht="14.4" x14ac:dyDescent="0.3">
      <c r="A1476" s="159" t="s">
        <v>1169</v>
      </c>
      <c r="B1476" s="159">
        <v>2</v>
      </c>
      <c r="C1476" s="159"/>
      <c r="D1476" s="159">
        <v>463</v>
      </c>
      <c r="E1476" s="159" t="str">
        <f>CONCATENATE('Смета ЕР (общ) '!$A1476,".",'Смета ЕР (общ) '!$B1476,".",'Смета ЕР (общ) '!$D1476)</f>
        <v>Р9.2.463</v>
      </c>
      <c r="F1476" s="36">
        <f t="shared" si="112"/>
        <v>1</v>
      </c>
      <c r="G1476" s="36"/>
      <c r="H1476" s="36"/>
      <c r="I1476" s="36"/>
      <c r="J1476" s="36"/>
      <c r="K1476" s="36"/>
      <c r="L1476" s="161" t="s">
        <v>1567</v>
      </c>
      <c r="M1476" s="38" t="s">
        <v>118</v>
      </c>
      <c r="N1476" s="39"/>
      <c r="O1476" s="40">
        <f t="shared" si="116"/>
        <v>571.25250000000005</v>
      </c>
      <c r="P1476" s="40">
        <f>[1]Освещение!H32</f>
        <v>5712.5250000000005</v>
      </c>
      <c r="Q1476" s="40">
        <f t="shared" si="115"/>
        <v>571.25</v>
      </c>
      <c r="R1476" s="66">
        <f t="shared" si="114"/>
        <v>5712.5250000000005</v>
      </c>
      <c r="S1476" s="62">
        <f>ROUND('Смета ЕР (общ) '!$N1476*'Смета ЕР (общ) '!$Q1476,2)</f>
        <v>0</v>
      </c>
      <c r="T1476" s="62">
        <f>ROUND('Смета ЕР (общ) '!$N1476*'Смета ЕР (общ) '!$R1476,2)</f>
        <v>0</v>
      </c>
      <c r="U1476" s="73" t="s">
        <v>1549</v>
      </c>
      <c r="V1476" s="68"/>
    </row>
    <row r="1477" spans="1:22" s="46" customFormat="1" ht="14.4" x14ac:dyDescent="0.3">
      <c r="A1477" s="159" t="s">
        <v>1169</v>
      </c>
      <c r="B1477" s="159">
        <v>2</v>
      </c>
      <c r="C1477" s="159"/>
      <c r="D1477" s="159">
        <v>464</v>
      </c>
      <c r="E1477" s="159" t="str">
        <f>CONCATENATE('Смета ЕР (общ) '!$A1477,".",'Смета ЕР (общ) '!$B1477,".",'Смета ЕР (общ) '!$D1477)</f>
        <v>Р9.2.464</v>
      </c>
      <c r="F1477" s="36">
        <f t="shared" si="112"/>
        <v>1</v>
      </c>
      <c r="G1477" s="36"/>
      <c r="H1477" s="36"/>
      <c r="I1477" s="36"/>
      <c r="J1477" s="36"/>
      <c r="K1477" s="36"/>
      <c r="L1477" s="161" t="s">
        <v>1568</v>
      </c>
      <c r="M1477" s="38" t="s">
        <v>118</v>
      </c>
      <c r="N1477" s="39"/>
      <c r="O1477" s="40">
        <f t="shared" si="116"/>
        <v>857.68200000000002</v>
      </c>
      <c r="P1477" s="40">
        <f>[1]Освещение!H33</f>
        <v>8576.82</v>
      </c>
      <c r="Q1477" s="40">
        <f t="shared" si="115"/>
        <v>857.68</v>
      </c>
      <c r="R1477" s="66">
        <f t="shared" si="114"/>
        <v>8576.82</v>
      </c>
      <c r="S1477" s="62">
        <f>ROUND('Смета ЕР (общ) '!$N1477*'Смета ЕР (общ) '!$Q1477,2)</f>
        <v>0</v>
      </c>
      <c r="T1477" s="62">
        <f>ROUND('Смета ЕР (общ) '!$N1477*'Смета ЕР (общ) '!$R1477,2)</f>
        <v>0</v>
      </c>
      <c r="U1477" s="73" t="s">
        <v>1549</v>
      </c>
      <c r="V1477" s="68"/>
    </row>
    <row r="1478" spans="1:22" s="46" customFormat="1" ht="30.6" x14ac:dyDescent="0.3">
      <c r="A1478" s="159" t="s">
        <v>1169</v>
      </c>
      <c r="B1478" s="159">
        <v>2</v>
      </c>
      <c r="C1478" s="159"/>
      <c r="D1478" s="159">
        <v>465</v>
      </c>
      <c r="E1478" s="159" t="str">
        <f>CONCATENATE('Смета ЕР (общ) '!$A1478,".",'Смета ЕР (общ) '!$B1478,".",'Смета ЕР (общ) '!$D1478)</f>
        <v>Р9.2.465</v>
      </c>
      <c r="F1478" s="36">
        <f t="shared" si="112"/>
        <v>1</v>
      </c>
      <c r="G1478" s="36"/>
      <c r="H1478" s="36"/>
      <c r="I1478" s="36"/>
      <c r="J1478" s="36"/>
      <c r="K1478" s="36"/>
      <c r="L1478" s="161" t="s">
        <v>1569</v>
      </c>
      <c r="M1478" s="38" t="s">
        <v>118</v>
      </c>
      <c r="N1478" s="39"/>
      <c r="O1478" s="40">
        <f t="shared" si="116"/>
        <v>1444.0545000000002</v>
      </c>
      <c r="P1478" s="40">
        <f>[1]Освещение!H34</f>
        <v>14440.545</v>
      </c>
      <c r="Q1478" s="40">
        <f t="shared" si="115"/>
        <v>1444.05</v>
      </c>
      <c r="R1478" s="66">
        <f t="shared" si="114"/>
        <v>14440.545</v>
      </c>
      <c r="S1478" s="62">
        <f>ROUND('Смета ЕР (общ) '!$N1478*'Смета ЕР (общ) '!$Q1478,2)</f>
        <v>0</v>
      </c>
      <c r="T1478" s="62">
        <f>ROUND('Смета ЕР (общ) '!$N1478*'Смета ЕР (общ) '!$R1478,2)</f>
        <v>0</v>
      </c>
      <c r="U1478" s="73" t="s">
        <v>1549</v>
      </c>
      <c r="V1478" s="68"/>
    </row>
    <row r="1479" spans="1:22" s="46" customFormat="1" ht="14.4" x14ac:dyDescent="0.3">
      <c r="A1479" s="159" t="s">
        <v>1169</v>
      </c>
      <c r="B1479" s="159">
        <v>2</v>
      </c>
      <c r="C1479" s="159"/>
      <c r="D1479" s="159">
        <v>466</v>
      </c>
      <c r="E1479" s="159" t="str">
        <f>CONCATENATE('Смета ЕР (общ) '!$A1479,".",'Смета ЕР (общ) '!$B1479,".",'Смета ЕР (общ) '!$D1479)</f>
        <v>Р9.2.466</v>
      </c>
      <c r="F1479" s="36">
        <f t="shared" si="112"/>
        <v>1</v>
      </c>
      <c r="G1479" s="36"/>
      <c r="H1479" s="36"/>
      <c r="I1479" s="36"/>
      <c r="J1479" s="36"/>
      <c r="K1479" s="36"/>
      <c r="L1479" s="161" t="s">
        <v>1570</v>
      </c>
      <c r="M1479" s="38" t="s">
        <v>118</v>
      </c>
      <c r="N1479" s="39"/>
      <c r="O1479" s="40">
        <f t="shared" si="116"/>
        <v>857.68200000000002</v>
      </c>
      <c r="P1479" s="40">
        <f>[1]Освещение!H35</f>
        <v>8576.82</v>
      </c>
      <c r="Q1479" s="40">
        <f t="shared" si="115"/>
        <v>857.68</v>
      </c>
      <c r="R1479" s="66">
        <f t="shared" si="114"/>
        <v>8576.82</v>
      </c>
      <c r="S1479" s="62">
        <f>ROUND('Смета ЕР (общ) '!$N1479*'Смета ЕР (общ) '!$Q1479,2)</f>
        <v>0</v>
      </c>
      <c r="T1479" s="62">
        <f>ROUND('Смета ЕР (общ) '!$N1479*'Смета ЕР (общ) '!$R1479,2)</f>
        <v>0</v>
      </c>
      <c r="U1479" s="73" t="s">
        <v>1549</v>
      </c>
      <c r="V1479" s="68"/>
    </row>
    <row r="1480" spans="1:22" s="46" customFormat="1" ht="14.4" x14ac:dyDescent="0.3">
      <c r="A1480" s="159" t="s">
        <v>1169</v>
      </c>
      <c r="B1480" s="159">
        <v>2</v>
      </c>
      <c r="C1480" s="159"/>
      <c r="D1480" s="159">
        <v>467</v>
      </c>
      <c r="E1480" s="159" t="str">
        <f>CONCATENATE('Смета ЕР (общ) '!$A1480,".",'Смета ЕР (общ) '!$B1480,".",'Смета ЕР (общ) '!$D1480)</f>
        <v>Р9.2.467</v>
      </c>
      <c r="F1480" s="36">
        <f t="shared" si="112"/>
        <v>1</v>
      </c>
      <c r="G1480" s="36"/>
      <c r="H1480" s="36"/>
      <c r="I1480" s="36"/>
      <c r="J1480" s="36"/>
      <c r="K1480" s="36"/>
      <c r="L1480" s="161" t="s">
        <v>1571</v>
      </c>
      <c r="M1480" s="38" t="s">
        <v>118</v>
      </c>
      <c r="N1480" s="39"/>
      <c r="O1480" s="40">
        <f t="shared" si="116"/>
        <v>1444.0545000000002</v>
      </c>
      <c r="P1480" s="40">
        <f>[1]Освещение!H36</f>
        <v>14440.545</v>
      </c>
      <c r="Q1480" s="40">
        <f t="shared" si="115"/>
        <v>1444.05</v>
      </c>
      <c r="R1480" s="66">
        <f t="shared" si="114"/>
        <v>14440.545</v>
      </c>
      <c r="S1480" s="62">
        <f>ROUND('Смета ЕР (общ) '!$N1480*'Смета ЕР (общ) '!$Q1480,2)</f>
        <v>0</v>
      </c>
      <c r="T1480" s="62">
        <f>ROUND('Смета ЕР (общ) '!$N1480*'Смета ЕР (общ) '!$R1480,2)</f>
        <v>0</v>
      </c>
      <c r="U1480" s="73" t="s">
        <v>1549</v>
      </c>
      <c r="V1480" s="68"/>
    </row>
    <row r="1481" spans="1:22" s="46" customFormat="1" ht="14.4" x14ac:dyDescent="0.3">
      <c r="A1481" s="159" t="s">
        <v>1169</v>
      </c>
      <c r="B1481" s="159">
        <v>2</v>
      </c>
      <c r="C1481" s="159"/>
      <c r="D1481" s="159">
        <v>468</v>
      </c>
      <c r="E1481" s="159" t="str">
        <f>CONCATENATE('Смета ЕР (общ) '!$A1481,".",'Смета ЕР (общ) '!$B1481,".",'Смета ЕР (общ) '!$D1481)</f>
        <v>Р9.2.468</v>
      </c>
      <c r="F1481" s="36">
        <f t="shared" si="112"/>
        <v>1</v>
      </c>
      <c r="G1481" s="36"/>
      <c r="H1481" s="36"/>
      <c r="I1481" s="36"/>
      <c r="J1481" s="36"/>
      <c r="K1481" s="36"/>
      <c r="L1481" s="161" t="s">
        <v>1572</v>
      </c>
      <c r="M1481" s="38" t="s">
        <v>118</v>
      </c>
      <c r="N1481" s="39"/>
      <c r="O1481" s="40">
        <f t="shared" si="116"/>
        <v>810.33750000000009</v>
      </c>
      <c r="P1481" s="40">
        <f>[1]Освещение!H37</f>
        <v>8103.375</v>
      </c>
      <c r="Q1481" s="40">
        <f t="shared" si="115"/>
        <v>810.34</v>
      </c>
      <c r="R1481" s="66">
        <f t="shared" si="114"/>
        <v>8103.375</v>
      </c>
      <c r="S1481" s="62">
        <f>ROUND('Смета ЕР (общ) '!$N1481*'Смета ЕР (общ) '!$Q1481,2)</f>
        <v>0</v>
      </c>
      <c r="T1481" s="62">
        <f>ROUND('Смета ЕР (общ) '!$N1481*'Смета ЕР (общ) '!$R1481,2)</f>
        <v>0</v>
      </c>
      <c r="U1481" s="73" t="s">
        <v>1549</v>
      </c>
      <c r="V1481" s="68"/>
    </row>
    <row r="1482" spans="1:22" s="46" customFormat="1" ht="30.6" x14ac:dyDescent="0.3">
      <c r="A1482" s="159" t="s">
        <v>1169</v>
      </c>
      <c r="B1482" s="159">
        <v>2</v>
      </c>
      <c r="C1482" s="159"/>
      <c r="D1482" s="159">
        <v>469</v>
      </c>
      <c r="E1482" s="159" t="str">
        <f>CONCATENATE('Смета ЕР (общ) '!$A1482,".",'Смета ЕР (общ) '!$B1482,".",'Смета ЕР (общ) '!$D1482)</f>
        <v>Р9.2.469</v>
      </c>
      <c r="F1482" s="36">
        <f t="shared" si="112"/>
        <v>1</v>
      </c>
      <c r="G1482" s="36"/>
      <c r="H1482" s="36"/>
      <c r="I1482" s="36"/>
      <c r="J1482" s="36"/>
      <c r="K1482" s="36"/>
      <c r="L1482" s="161" t="s">
        <v>1573</v>
      </c>
      <c r="M1482" s="38" t="s">
        <v>118</v>
      </c>
      <c r="N1482" s="39"/>
      <c r="O1482" s="40">
        <f t="shared" si="116"/>
        <v>1396.71</v>
      </c>
      <c r="P1482" s="40">
        <f>[1]Освещение!H38</f>
        <v>13967.1</v>
      </c>
      <c r="Q1482" s="40">
        <f t="shared" si="115"/>
        <v>1396.71</v>
      </c>
      <c r="R1482" s="66">
        <f t="shared" si="114"/>
        <v>13967.1</v>
      </c>
      <c r="S1482" s="62">
        <f>ROUND('Смета ЕР (общ) '!$N1482*'Смета ЕР (общ) '!$Q1482,2)</f>
        <v>0</v>
      </c>
      <c r="T1482" s="62">
        <f>ROUND('Смета ЕР (общ) '!$N1482*'Смета ЕР (общ) '!$R1482,2)</f>
        <v>0</v>
      </c>
      <c r="U1482" s="73" t="s">
        <v>1549</v>
      </c>
      <c r="V1482" s="68"/>
    </row>
    <row r="1483" spans="1:22" s="46" customFormat="1" ht="14.4" x14ac:dyDescent="0.3">
      <c r="A1483" s="159" t="s">
        <v>1169</v>
      </c>
      <c r="B1483" s="159">
        <v>2</v>
      </c>
      <c r="C1483" s="159"/>
      <c r="D1483" s="159">
        <v>470</v>
      </c>
      <c r="E1483" s="159" t="str">
        <f>CONCATENATE('Смета ЕР (общ) '!$A1483,".",'Смета ЕР (общ) '!$B1483,".",'Смета ЕР (общ) '!$D1483)</f>
        <v>Р9.2.470</v>
      </c>
      <c r="F1483" s="36">
        <f t="shared" si="112"/>
        <v>1</v>
      </c>
      <c r="G1483" s="36"/>
      <c r="H1483" s="36"/>
      <c r="I1483" s="36"/>
      <c r="J1483" s="36"/>
      <c r="K1483" s="36"/>
      <c r="L1483" s="161" t="s">
        <v>1574</v>
      </c>
      <c r="M1483" s="38" t="s">
        <v>118</v>
      </c>
      <c r="N1483" s="39"/>
      <c r="O1483" s="40">
        <f t="shared" si="116"/>
        <v>735.87150000000008</v>
      </c>
      <c r="P1483" s="40">
        <f>[1]Освещение!H39</f>
        <v>7358.7150000000001</v>
      </c>
      <c r="Q1483" s="40">
        <f t="shared" si="115"/>
        <v>735.87</v>
      </c>
      <c r="R1483" s="66">
        <f t="shared" si="114"/>
        <v>7358.7150000000001</v>
      </c>
      <c r="S1483" s="62">
        <f>ROUND('Смета ЕР (общ) '!$N1483*'Смета ЕР (общ) '!$Q1483,2)</f>
        <v>0</v>
      </c>
      <c r="T1483" s="62">
        <f>ROUND('Смета ЕР (общ) '!$N1483*'Смета ЕР (общ) '!$R1483,2)</f>
        <v>0</v>
      </c>
      <c r="U1483" s="73" t="s">
        <v>1549</v>
      </c>
      <c r="V1483" s="68"/>
    </row>
    <row r="1484" spans="1:22" s="46" customFormat="1" ht="14.4" x14ac:dyDescent="0.3">
      <c r="A1484" s="159" t="s">
        <v>1169</v>
      </c>
      <c r="B1484" s="159">
        <v>2</v>
      </c>
      <c r="C1484" s="159"/>
      <c r="D1484" s="159">
        <v>471</v>
      </c>
      <c r="E1484" s="159" t="str">
        <f>CONCATENATE('Смета ЕР (общ) '!$A1484,".",'Смета ЕР (общ) '!$B1484,".",'Смета ЕР (общ) '!$D1484)</f>
        <v>Р9.2.471</v>
      </c>
      <c r="F1484" s="36">
        <f t="shared" si="112"/>
        <v>1</v>
      </c>
      <c r="G1484" s="36"/>
      <c r="H1484" s="36"/>
      <c r="I1484" s="36"/>
      <c r="J1484" s="36"/>
      <c r="K1484" s="36"/>
      <c r="L1484" s="161" t="s">
        <v>1575</v>
      </c>
      <c r="M1484" s="38" t="s">
        <v>118</v>
      </c>
      <c r="N1484" s="39"/>
      <c r="O1484" s="40">
        <f t="shared" si="116"/>
        <v>714.32550000000015</v>
      </c>
      <c r="P1484" s="40">
        <f>[1]Освещение!H40</f>
        <v>7143.255000000001</v>
      </c>
      <c r="Q1484" s="40">
        <f t="shared" si="115"/>
        <v>714.33</v>
      </c>
      <c r="R1484" s="66">
        <f t="shared" si="114"/>
        <v>7143.255000000001</v>
      </c>
      <c r="S1484" s="62">
        <f>ROUND('Смета ЕР (общ) '!$N1484*'Смета ЕР (общ) '!$Q1484,2)</f>
        <v>0</v>
      </c>
      <c r="T1484" s="62">
        <f>ROUND('Смета ЕР (общ) '!$N1484*'Смета ЕР (общ) '!$R1484,2)</f>
        <v>0</v>
      </c>
      <c r="U1484" s="73" t="s">
        <v>1549</v>
      </c>
      <c r="V1484" s="68"/>
    </row>
    <row r="1485" spans="1:22" s="46" customFormat="1" ht="14.4" x14ac:dyDescent="0.3">
      <c r="A1485" s="159" t="s">
        <v>1169</v>
      </c>
      <c r="B1485" s="159">
        <v>2</v>
      </c>
      <c r="C1485" s="159"/>
      <c r="D1485" s="159">
        <v>472</v>
      </c>
      <c r="E1485" s="159" t="str">
        <f>CONCATENATE('Смета ЕР (общ) '!$A1485,".",'Смета ЕР (общ) '!$B1485,".",'Смета ЕР (общ) '!$D1485)</f>
        <v>Р9.2.472</v>
      </c>
      <c r="F1485" s="36">
        <f t="shared" si="112"/>
        <v>1</v>
      </c>
      <c r="G1485" s="36"/>
      <c r="H1485" s="36"/>
      <c r="I1485" s="36"/>
      <c r="J1485" s="36"/>
      <c r="K1485" s="36"/>
      <c r="L1485" s="161" t="s">
        <v>1576</v>
      </c>
      <c r="M1485" s="38" t="s">
        <v>118</v>
      </c>
      <c r="N1485" s="39"/>
      <c r="O1485" s="40">
        <f t="shared" si="116"/>
        <v>810.33750000000009</v>
      </c>
      <c r="P1485" s="40">
        <f>[1]Освещение!H41</f>
        <v>8103.375</v>
      </c>
      <c r="Q1485" s="40">
        <f t="shared" si="115"/>
        <v>810.34</v>
      </c>
      <c r="R1485" s="66">
        <f t="shared" si="114"/>
        <v>8103.375</v>
      </c>
      <c r="S1485" s="62">
        <f>ROUND('Смета ЕР (общ) '!$N1485*'Смета ЕР (общ) '!$Q1485,2)</f>
        <v>0</v>
      </c>
      <c r="T1485" s="62">
        <f>ROUND('Смета ЕР (общ) '!$N1485*'Смета ЕР (общ) '!$R1485,2)</f>
        <v>0</v>
      </c>
      <c r="U1485" s="73" t="s">
        <v>1549</v>
      </c>
      <c r="V1485" s="68"/>
    </row>
    <row r="1486" spans="1:22" s="46" customFormat="1" ht="30.6" x14ac:dyDescent="0.3">
      <c r="A1486" s="159" t="s">
        <v>1169</v>
      </c>
      <c r="B1486" s="159">
        <v>2</v>
      </c>
      <c r="C1486" s="159"/>
      <c r="D1486" s="159">
        <v>473</v>
      </c>
      <c r="E1486" s="159" t="str">
        <f>CONCATENATE('Смета ЕР (общ) '!$A1486,".",'Смета ЕР (общ) '!$B1486,".",'Смета ЕР (общ) '!$D1486)</f>
        <v>Р9.2.473</v>
      </c>
      <c r="F1486" s="36">
        <f t="shared" si="112"/>
        <v>1</v>
      </c>
      <c r="G1486" s="36"/>
      <c r="H1486" s="36"/>
      <c r="I1486" s="36"/>
      <c r="J1486" s="36"/>
      <c r="K1486" s="36"/>
      <c r="L1486" s="161" t="s">
        <v>1577</v>
      </c>
      <c r="M1486" s="38" t="s">
        <v>118</v>
      </c>
      <c r="N1486" s="39"/>
      <c r="O1486" s="40">
        <f t="shared" si="116"/>
        <v>1396.71</v>
      </c>
      <c r="P1486" s="40">
        <f>[1]Освещение!H42</f>
        <v>13967.1</v>
      </c>
      <c r="Q1486" s="40">
        <f t="shared" si="115"/>
        <v>1396.71</v>
      </c>
      <c r="R1486" s="66">
        <f t="shared" si="114"/>
        <v>13967.1</v>
      </c>
      <c r="S1486" s="62">
        <f>ROUND('Смета ЕР (общ) '!$N1486*'Смета ЕР (общ) '!$Q1486,2)</f>
        <v>0</v>
      </c>
      <c r="T1486" s="62">
        <f>ROUND('Смета ЕР (общ) '!$N1486*'Смета ЕР (общ) '!$R1486,2)</f>
        <v>0</v>
      </c>
      <c r="U1486" s="73" t="s">
        <v>1549</v>
      </c>
      <c r="V1486" s="68"/>
    </row>
    <row r="1487" spans="1:22" s="46" customFormat="1" ht="20.399999999999999" x14ac:dyDescent="0.3">
      <c r="A1487" s="159" t="s">
        <v>1169</v>
      </c>
      <c r="B1487" s="159">
        <v>2</v>
      </c>
      <c r="C1487" s="159"/>
      <c r="D1487" s="159">
        <v>474</v>
      </c>
      <c r="E1487" s="159" t="str">
        <f>CONCATENATE('Смета ЕР (общ) '!$A1487,".",'Смета ЕР (общ) '!$B1487,".",'Смета ЕР (общ) '!$D1487)</f>
        <v>Р9.2.474</v>
      </c>
      <c r="F1487" s="36">
        <f t="shared" si="112"/>
        <v>1</v>
      </c>
      <c r="G1487" s="36"/>
      <c r="H1487" s="36"/>
      <c r="I1487" s="36"/>
      <c r="J1487" s="36"/>
      <c r="K1487" s="36"/>
      <c r="L1487" s="161" t="s">
        <v>1578</v>
      </c>
      <c r="M1487" s="38" t="s">
        <v>118</v>
      </c>
      <c r="N1487" s="39"/>
      <c r="O1487" s="40">
        <f t="shared" si="116"/>
        <v>838.30949999999996</v>
      </c>
      <c r="P1487" s="40">
        <f>[1]Освещение!H43</f>
        <v>8383.0949999999993</v>
      </c>
      <c r="Q1487" s="40">
        <f t="shared" si="115"/>
        <v>838.31</v>
      </c>
      <c r="R1487" s="66">
        <f t="shared" si="114"/>
        <v>8383.0949999999993</v>
      </c>
      <c r="S1487" s="62">
        <f>ROUND('Смета ЕР (общ) '!$N1487*'Смета ЕР (общ) '!$Q1487,2)</f>
        <v>0</v>
      </c>
      <c r="T1487" s="62">
        <f>ROUND('Смета ЕР (общ) '!$N1487*'Смета ЕР (общ) '!$R1487,2)</f>
        <v>0</v>
      </c>
      <c r="U1487" s="73" t="s">
        <v>1549</v>
      </c>
      <c r="V1487" s="68"/>
    </row>
    <row r="1488" spans="1:22" s="46" customFormat="1" ht="14.4" x14ac:dyDescent="0.3">
      <c r="A1488" s="159" t="s">
        <v>1169</v>
      </c>
      <c r="B1488" s="159">
        <v>2</v>
      </c>
      <c r="C1488" s="159"/>
      <c r="D1488" s="159">
        <v>475</v>
      </c>
      <c r="E1488" s="159" t="str">
        <f>CONCATENATE('Смета ЕР (общ) '!$A1488,".",'Смета ЕР (общ) '!$B1488,".",'Смета ЕР (общ) '!$D1488)</f>
        <v>Р9.2.475</v>
      </c>
      <c r="F1488" s="36">
        <f t="shared" si="112"/>
        <v>1</v>
      </c>
      <c r="G1488" s="36"/>
      <c r="H1488" s="36"/>
      <c r="I1488" s="36"/>
      <c r="J1488" s="36"/>
      <c r="K1488" s="36"/>
      <c r="L1488" s="161" t="s">
        <v>1579</v>
      </c>
      <c r="M1488" s="38" t="s">
        <v>118</v>
      </c>
      <c r="N1488" s="39"/>
      <c r="O1488" s="40">
        <f t="shared" si="116"/>
        <v>3198.2579999999998</v>
      </c>
      <c r="P1488" s="40">
        <f>[1]Освещение!H44</f>
        <v>31982.579999999998</v>
      </c>
      <c r="Q1488" s="40">
        <f t="shared" si="115"/>
        <v>3198.26</v>
      </c>
      <c r="R1488" s="66">
        <f t="shared" si="114"/>
        <v>31982.579999999998</v>
      </c>
      <c r="S1488" s="62">
        <f>ROUND('Смета ЕР (общ) '!$N1488*'Смета ЕР (общ) '!$Q1488,2)</f>
        <v>0</v>
      </c>
      <c r="T1488" s="62">
        <f>ROUND('Смета ЕР (общ) '!$N1488*'Смета ЕР (общ) '!$R1488,2)</f>
        <v>0</v>
      </c>
      <c r="U1488" s="73" t="s">
        <v>1549</v>
      </c>
      <c r="V1488" s="68"/>
    </row>
    <row r="1489" spans="1:22" s="46" customFormat="1" ht="14.4" x14ac:dyDescent="0.3">
      <c r="A1489" s="159" t="s">
        <v>1169</v>
      </c>
      <c r="B1489" s="159">
        <v>2</v>
      </c>
      <c r="C1489" s="159"/>
      <c r="D1489" s="159">
        <v>476</v>
      </c>
      <c r="E1489" s="159" t="str">
        <f>CONCATENATE('Смета ЕР (общ) '!$A1489,".",'Смета ЕР (общ) '!$B1489,".",'Смета ЕР (общ) '!$D1489)</f>
        <v>Р9.2.476</v>
      </c>
      <c r="F1489" s="36">
        <f t="shared" ref="F1489:F1552" si="117">IF(N1489&gt;0,F1488+1,F1488)</f>
        <v>1</v>
      </c>
      <c r="G1489" s="36"/>
      <c r="H1489" s="36"/>
      <c r="I1489" s="36"/>
      <c r="J1489" s="36"/>
      <c r="K1489" s="36"/>
      <c r="L1489" s="161" t="s">
        <v>1580</v>
      </c>
      <c r="M1489" s="38" t="s">
        <v>118</v>
      </c>
      <c r="N1489" s="39"/>
      <c r="O1489" s="40">
        <f t="shared" si="116"/>
        <v>2546.2080000000001</v>
      </c>
      <c r="P1489" s="40">
        <f>[1]Освещение!H45</f>
        <v>25462.079999999998</v>
      </c>
      <c r="Q1489" s="40">
        <f t="shared" si="115"/>
        <v>2546.21</v>
      </c>
      <c r="R1489" s="66">
        <f t="shared" si="114"/>
        <v>25462.079999999998</v>
      </c>
      <c r="S1489" s="62">
        <f>ROUND('Смета ЕР (общ) '!$N1489*'Смета ЕР (общ) '!$Q1489,2)</f>
        <v>0</v>
      </c>
      <c r="T1489" s="62">
        <f>ROUND('Смета ЕР (общ) '!$N1489*'Смета ЕР (общ) '!$R1489,2)</f>
        <v>0</v>
      </c>
      <c r="U1489" s="73" t="s">
        <v>1549</v>
      </c>
      <c r="V1489" s="68"/>
    </row>
    <row r="1490" spans="1:22" s="46" customFormat="1" ht="20.399999999999999" x14ac:dyDescent="0.3">
      <c r="A1490" s="159" t="s">
        <v>1169</v>
      </c>
      <c r="B1490" s="159">
        <v>2</v>
      </c>
      <c r="C1490" s="159"/>
      <c r="D1490" s="159">
        <v>477</v>
      </c>
      <c r="E1490" s="159" t="str">
        <f>CONCATENATE('Смета ЕР (общ) '!$A1490,".",'Смета ЕР (общ) '!$B1490,".",'Смета ЕР (общ) '!$D1490)</f>
        <v>Р9.2.477</v>
      </c>
      <c r="F1490" s="36">
        <f t="shared" si="117"/>
        <v>1</v>
      </c>
      <c r="G1490" s="36"/>
      <c r="H1490" s="36"/>
      <c r="I1490" s="36"/>
      <c r="J1490" s="36"/>
      <c r="K1490" s="36"/>
      <c r="L1490" s="161" t="s">
        <v>1581</v>
      </c>
      <c r="M1490" s="38" t="s">
        <v>118</v>
      </c>
      <c r="N1490" s="39"/>
      <c r="O1490" s="40">
        <f t="shared" si="116"/>
        <v>3059.8155000000002</v>
      </c>
      <c r="P1490" s="40">
        <f>[1]Освещение!H46</f>
        <v>30598.154999999999</v>
      </c>
      <c r="Q1490" s="40">
        <f t="shared" si="115"/>
        <v>3059.82</v>
      </c>
      <c r="R1490" s="66">
        <f t="shared" si="114"/>
        <v>30598.154999999999</v>
      </c>
      <c r="S1490" s="62">
        <f>ROUND('Смета ЕР (общ) '!$N1490*'Смета ЕР (общ) '!$Q1490,2)</f>
        <v>0</v>
      </c>
      <c r="T1490" s="62">
        <f>ROUND('Смета ЕР (общ) '!$N1490*'Смета ЕР (общ) '!$R1490,2)</f>
        <v>0</v>
      </c>
      <c r="U1490" s="73" t="s">
        <v>1549</v>
      </c>
      <c r="V1490" s="68"/>
    </row>
    <row r="1491" spans="1:22" s="46" customFormat="1" ht="14.4" x14ac:dyDescent="0.3">
      <c r="A1491" s="159" t="s">
        <v>1169</v>
      </c>
      <c r="B1491" s="159">
        <v>2</v>
      </c>
      <c r="C1491" s="159"/>
      <c r="D1491" s="159">
        <v>478</v>
      </c>
      <c r="E1491" s="159" t="str">
        <f>CONCATENATE('Смета ЕР (общ) '!$A1491,".",'Смета ЕР (общ) '!$B1491,".",'Смета ЕР (общ) '!$D1491)</f>
        <v>Р9.2.478</v>
      </c>
      <c r="F1491" s="36">
        <f t="shared" si="117"/>
        <v>1</v>
      </c>
      <c r="G1491" s="36"/>
      <c r="H1491" s="36"/>
      <c r="I1491" s="36"/>
      <c r="J1491" s="36"/>
      <c r="K1491" s="36"/>
      <c r="L1491" s="161" t="s">
        <v>1582</v>
      </c>
      <c r="M1491" s="38" t="s">
        <v>118</v>
      </c>
      <c r="N1491" s="39"/>
      <c r="O1491" s="40">
        <f t="shared" si="116"/>
        <v>2510.6760000000004</v>
      </c>
      <c r="P1491" s="40">
        <f>[1]Освещение!H47</f>
        <v>25106.760000000002</v>
      </c>
      <c r="Q1491" s="40">
        <f t="shared" si="115"/>
        <v>2510.6799999999998</v>
      </c>
      <c r="R1491" s="66">
        <f t="shared" si="114"/>
        <v>25106.760000000002</v>
      </c>
      <c r="S1491" s="62">
        <f>ROUND('Смета ЕР (общ) '!$N1491*'Смета ЕР (общ) '!$Q1491,2)</f>
        <v>0</v>
      </c>
      <c r="T1491" s="62">
        <f>ROUND('Смета ЕР (общ) '!$N1491*'Смета ЕР (общ) '!$R1491,2)</f>
        <v>0</v>
      </c>
      <c r="U1491" s="73" t="s">
        <v>1549</v>
      </c>
      <c r="V1491" s="68"/>
    </row>
    <row r="1492" spans="1:22" s="46" customFormat="1" ht="14.4" x14ac:dyDescent="0.3">
      <c r="A1492" s="159" t="s">
        <v>1169</v>
      </c>
      <c r="B1492" s="159">
        <v>2</v>
      </c>
      <c r="C1492" s="159"/>
      <c r="D1492" s="159">
        <v>479</v>
      </c>
      <c r="E1492" s="159" t="str">
        <f>CONCATENATE('Смета ЕР (общ) '!$A1492,".",'Смета ЕР (общ) '!$B1492,".",'Смета ЕР (общ) '!$D1492)</f>
        <v>Р9.2.479</v>
      </c>
      <c r="F1492" s="36">
        <f t="shared" si="117"/>
        <v>1</v>
      </c>
      <c r="G1492" s="36"/>
      <c r="H1492" s="36"/>
      <c r="I1492" s="36"/>
      <c r="J1492" s="36"/>
      <c r="K1492" s="36"/>
      <c r="L1492" s="161" t="s">
        <v>1583</v>
      </c>
      <c r="M1492" s="38" t="s">
        <v>118</v>
      </c>
      <c r="N1492" s="39"/>
      <c r="O1492" s="40">
        <f t="shared" si="116"/>
        <v>1837.9305000000002</v>
      </c>
      <c r="P1492" s="40">
        <f>[1]Освещение!H48</f>
        <v>18379.305</v>
      </c>
      <c r="Q1492" s="40">
        <f t="shared" si="115"/>
        <v>1837.93</v>
      </c>
      <c r="R1492" s="66">
        <f t="shared" si="114"/>
        <v>18379.305</v>
      </c>
      <c r="S1492" s="62">
        <f>ROUND('Смета ЕР (общ) '!$N1492*'Смета ЕР (общ) '!$Q1492,2)</f>
        <v>0</v>
      </c>
      <c r="T1492" s="62">
        <f>ROUND('Смета ЕР (общ) '!$N1492*'Смета ЕР (общ) '!$R1492,2)</f>
        <v>0</v>
      </c>
      <c r="U1492" s="73" t="s">
        <v>1549</v>
      </c>
      <c r="V1492" s="68"/>
    </row>
    <row r="1493" spans="1:22" s="46" customFormat="1" ht="14.4" x14ac:dyDescent="0.3">
      <c r="A1493" s="159" t="s">
        <v>1169</v>
      </c>
      <c r="B1493" s="159">
        <v>2</v>
      </c>
      <c r="C1493" s="159"/>
      <c r="D1493" s="159">
        <v>480</v>
      </c>
      <c r="E1493" s="159" t="str">
        <f>CONCATENATE('Смета ЕР (общ) '!$A1493,".",'Смета ЕР (общ) '!$B1493,".",'Смета ЕР (общ) '!$D1493)</f>
        <v>Р9.2.480</v>
      </c>
      <c r="F1493" s="36">
        <f t="shared" si="117"/>
        <v>1</v>
      </c>
      <c r="G1493" s="36"/>
      <c r="H1493" s="36"/>
      <c r="I1493" s="36"/>
      <c r="J1493" s="36"/>
      <c r="K1493" s="36"/>
      <c r="L1493" s="161" t="s">
        <v>1584</v>
      </c>
      <c r="M1493" s="38" t="s">
        <v>118</v>
      </c>
      <c r="N1493" s="39"/>
      <c r="O1493" s="40">
        <f t="shared" si="116"/>
        <v>1395.3870000000002</v>
      </c>
      <c r="P1493" s="40">
        <f>[1]Освещение!H49</f>
        <v>13953.87</v>
      </c>
      <c r="Q1493" s="40">
        <f t="shared" si="115"/>
        <v>1395.39</v>
      </c>
      <c r="R1493" s="66">
        <f t="shared" si="114"/>
        <v>13953.87</v>
      </c>
      <c r="S1493" s="62">
        <f>ROUND('Смета ЕР (общ) '!$N1493*'Смета ЕР (общ) '!$Q1493,2)</f>
        <v>0</v>
      </c>
      <c r="T1493" s="62">
        <f>ROUND('Смета ЕР (общ) '!$N1493*'Смета ЕР (общ) '!$R1493,2)</f>
        <v>0</v>
      </c>
      <c r="U1493" s="73" t="s">
        <v>1549</v>
      </c>
      <c r="V1493" s="68"/>
    </row>
    <row r="1494" spans="1:22" s="46" customFormat="1" ht="20.399999999999999" x14ac:dyDescent="0.3">
      <c r="A1494" s="159" t="s">
        <v>1169</v>
      </c>
      <c r="B1494" s="159">
        <v>2</v>
      </c>
      <c r="C1494" s="159"/>
      <c r="D1494" s="159">
        <v>481</v>
      </c>
      <c r="E1494" s="159" t="str">
        <f>CONCATENATE('Смета ЕР (общ) '!$A1494,".",'Смета ЕР (общ) '!$B1494,".",'Смета ЕР (общ) '!$D1494)</f>
        <v>Р9.2.481</v>
      </c>
      <c r="F1494" s="36">
        <f t="shared" si="117"/>
        <v>1</v>
      </c>
      <c r="G1494" s="36"/>
      <c r="H1494" s="36"/>
      <c r="I1494" s="36"/>
      <c r="J1494" s="36"/>
      <c r="K1494" s="36"/>
      <c r="L1494" s="161" t="s">
        <v>1585</v>
      </c>
      <c r="M1494" s="38" t="s">
        <v>118</v>
      </c>
      <c r="N1494" s="39"/>
      <c r="O1494" s="40">
        <f t="shared" si="116"/>
        <v>1908.9945000000005</v>
      </c>
      <c r="P1494" s="40">
        <f>[1]Освещение!H50</f>
        <v>19089.945000000003</v>
      </c>
      <c r="Q1494" s="40">
        <f t="shared" si="115"/>
        <v>1908.99</v>
      </c>
      <c r="R1494" s="66">
        <f t="shared" si="114"/>
        <v>19089.945000000003</v>
      </c>
      <c r="S1494" s="62">
        <f>ROUND('Смета ЕР (общ) '!$N1494*'Смета ЕР (общ) '!$Q1494,2)</f>
        <v>0</v>
      </c>
      <c r="T1494" s="62">
        <f>ROUND('Смета ЕР (общ) '!$N1494*'Смета ЕР (общ) '!$R1494,2)</f>
        <v>0</v>
      </c>
      <c r="U1494" s="73" t="s">
        <v>1549</v>
      </c>
      <c r="V1494" s="68"/>
    </row>
    <row r="1495" spans="1:22" s="46" customFormat="1" ht="14.4" x14ac:dyDescent="0.3">
      <c r="A1495" s="159" t="s">
        <v>1169</v>
      </c>
      <c r="B1495" s="159">
        <v>2</v>
      </c>
      <c r="C1495" s="159"/>
      <c r="D1495" s="159">
        <v>482</v>
      </c>
      <c r="E1495" s="159" t="str">
        <f>CONCATENATE('Смета ЕР (общ) '!$A1495,".",'Смета ЕР (общ) '!$B1495,".",'Смета ЕР (общ) '!$D1495)</f>
        <v>Р9.2.482</v>
      </c>
      <c r="F1495" s="36">
        <f t="shared" si="117"/>
        <v>1</v>
      </c>
      <c r="G1495" s="36"/>
      <c r="H1495" s="36"/>
      <c r="I1495" s="36"/>
      <c r="J1495" s="36"/>
      <c r="K1495" s="36"/>
      <c r="L1495" s="161" t="s">
        <v>1586</v>
      </c>
      <c r="M1495" s="38" t="s">
        <v>118</v>
      </c>
      <c r="N1495" s="39"/>
      <c r="O1495" s="40">
        <f t="shared" si="116"/>
        <v>5657.9985000000006</v>
      </c>
      <c r="P1495" s="40">
        <f>[1]Освещение!H51</f>
        <v>56579.985000000001</v>
      </c>
      <c r="Q1495" s="40">
        <f t="shared" si="115"/>
        <v>5658</v>
      </c>
      <c r="R1495" s="66">
        <f t="shared" si="114"/>
        <v>56579.985000000001</v>
      </c>
      <c r="S1495" s="62">
        <f>ROUND('Смета ЕР (общ) '!$N1495*'Смета ЕР (общ) '!$Q1495,2)</f>
        <v>0</v>
      </c>
      <c r="T1495" s="62">
        <f>ROUND('Смета ЕР (общ) '!$N1495*'Смета ЕР (общ) '!$R1495,2)</f>
        <v>0</v>
      </c>
      <c r="U1495" s="73" t="s">
        <v>1549</v>
      </c>
      <c r="V1495" s="68"/>
    </row>
    <row r="1496" spans="1:22" s="46" customFormat="1" ht="14.4" x14ac:dyDescent="0.3">
      <c r="A1496" s="159" t="s">
        <v>1169</v>
      </c>
      <c r="B1496" s="159">
        <v>2</v>
      </c>
      <c r="C1496" s="159"/>
      <c r="D1496" s="159">
        <v>483</v>
      </c>
      <c r="E1496" s="159" t="str">
        <f>CONCATENATE('Смета ЕР (общ) '!$A1496,".",'Смета ЕР (общ) '!$B1496,".",'Смета ЕР (общ) '!$D1496)</f>
        <v>Р9.2.483</v>
      </c>
      <c r="F1496" s="36">
        <f t="shared" si="117"/>
        <v>1</v>
      </c>
      <c r="G1496" s="36"/>
      <c r="H1496" s="36"/>
      <c r="I1496" s="36"/>
      <c r="J1496" s="36"/>
      <c r="K1496" s="36"/>
      <c r="L1496" s="161" t="s">
        <v>1587</v>
      </c>
      <c r="M1496" s="38" t="s">
        <v>118</v>
      </c>
      <c r="N1496" s="39"/>
      <c r="O1496" s="40">
        <f t="shared" si="116"/>
        <v>1423.4535000000003</v>
      </c>
      <c r="P1496" s="40">
        <f>[1]Освещение!H52</f>
        <v>14234.535000000002</v>
      </c>
      <c r="Q1496" s="40">
        <f t="shared" si="115"/>
        <v>1423.45</v>
      </c>
      <c r="R1496" s="66">
        <f t="shared" si="114"/>
        <v>14234.535000000002</v>
      </c>
      <c r="S1496" s="62">
        <f>ROUND('Смета ЕР (общ) '!$N1496*'Смета ЕР (общ) '!$Q1496,2)</f>
        <v>0</v>
      </c>
      <c r="T1496" s="62">
        <f>ROUND('Смета ЕР (общ) '!$N1496*'Смета ЕР (общ) '!$R1496,2)</f>
        <v>0</v>
      </c>
      <c r="U1496" s="73" t="s">
        <v>1549</v>
      </c>
      <c r="V1496" s="68"/>
    </row>
    <row r="1497" spans="1:22" s="46" customFormat="1" ht="30.6" x14ac:dyDescent="0.3">
      <c r="A1497" s="159" t="s">
        <v>1169</v>
      </c>
      <c r="B1497" s="159">
        <v>2</v>
      </c>
      <c r="C1497" s="159"/>
      <c r="D1497" s="159">
        <v>484</v>
      </c>
      <c r="E1497" s="159" t="str">
        <f>CONCATENATE('Смета ЕР (общ) '!$A1497,".",'Смета ЕР (общ) '!$B1497,".",'Смета ЕР (общ) '!$D1497)</f>
        <v>Р9.2.484</v>
      </c>
      <c r="F1497" s="36">
        <f t="shared" si="117"/>
        <v>1</v>
      </c>
      <c r="G1497" s="36"/>
      <c r="H1497" s="36"/>
      <c r="I1497" s="36"/>
      <c r="J1497" s="36"/>
      <c r="K1497" s="36"/>
      <c r="L1497" s="161" t="s">
        <v>1588</v>
      </c>
      <c r="M1497" s="38" t="s">
        <v>118</v>
      </c>
      <c r="N1497" s="39"/>
      <c r="O1497" s="40">
        <f t="shared" si="116"/>
        <v>1937.0610000000001</v>
      </c>
      <c r="P1497" s="40">
        <f>[1]Освещение!H53</f>
        <v>19370.61</v>
      </c>
      <c r="Q1497" s="40">
        <f t="shared" si="115"/>
        <v>1937.06</v>
      </c>
      <c r="R1497" s="66">
        <f t="shared" si="114"/>
        <v>19370.61</v>
      </c>
      <c r="S1497" s="62">
        <f>ROUND('Смета ЕР (общ) '!$N1497*'Смета ЕР (общ) '!$Q1497,2)</f>
        <v>0</v>
      </c>
      <c r="T1497" s="62">
        <f>ROUND('Смета ЕР (общ) '!$N1497*'Смета ЕР (общ) '!$R1497,2)</f>
        <v>0</v>
      </c>
      <c r="U1497" s="73" t="s">
        <v>1549</v>
      </c>
      <c r="V1497" s="68"/>
    </row>
    <row r="1498" spans="1:22" s="46" customFormat="1" ht="14.4" x14ac:dyDescent="0.3">
      <c r="A1498" s="159" t="s">
        <v>1169</v>
      </c>
      <c r="B1498" s="159">
        <v>2</v>
      </c>
      <c r="C1498" s="159"/>
      <c r="D1498" s="159">
        <v>485</v>
      </c>
      <c r="E1498" s="159" t="str">
        <f>CONCATENATE('Смета ЕР (общ) '!$A1498,".",'Смета ЕР (общ) '!$B1498,".",'Смета ЕР (общ) '!$D1498)</f>
        <v>Р9.2.485</v>
      </c>
      <c r="F1498" s="36">
        <f t="shared" si="117"/>
        <v>1</v>
      </c>
      <c r="G1498" s="36"/>
      <c r="H1498" s="36"/>
      <c r="I1498" s="36"/>
      <c r="J1498" s="36"/>
      <c r="K1498" s="36"/>
      <c r="L1498" s="161" t="s">
        <v>1589</v>
      </c>
      <c r="M1498" s="38" t="s">
        <v>118</v>
      </c>
      <c r="N1498" s="39"/>
      <c r="O1498" s="40">
        <f t="shared" si="116"/>
        <v>1705.2525000000003</v>
      </c>
      <c r="P1498" s="40">
        <f>[1]Освещение!H54</f>
        <v>17052.525000000001</v>
      </c>
      <c r="Q1498" s="40">
        <f t="shared" si="115"/>
        <v>1705.25</v>
      </c>
      <c r="R1498" s="66">
        <f t="shared" si="114"/>
        <v>17052.525000000001</v>
      </c>
      <c r="S1498" s="62">
        <f>ROUND('Смета ЕР (общ) '!$N1498*'Смета ЕР (общ) '!$Q1498,2)</f>
        <v>0</v>
      </c>
      <c r="T1498" s="62">
        <f>ROUND('Смета ЕР (общ) '!$N1498*'Смета ЕР (общ) '!$R1498,2)</f>
        <v>0</v>
      </c>
      <c r="U1498" s="73" t="s">
        <v>1549</v>
      </c>
      <c r="V1498" s="68"/>
    </row>
    <row r="1499" spans="1:22" s="46" customFormat="1" ht="14.4" x14ac:dyDescent="0.3">
      <c r="A1499" s="159" t="s">
        <v>1169</v>
      </c>
      <c r="B1499" s="159">
        <v>2</v>
      </c>
      <c r="C1499" s="159"/>
      <c r="D1499" s="159">
        <v>486</v>
      </c>
      <c r="E1499" s="159" t="str">
        <f>CONCATENATE('Смета ЕР (общ) '!$A1499,".",'Смета ЕР (общ) '!$B1499,".",'Смета ЕР (общ) '!$D1499)</f>
        <v>Р9.2.486</v>
      </c>
      <c r="F1499" s="36">
        <f t="shared" si="117"/>
        <v>1</v>
      </c>
      <c r="G1499" s="36"/>
      <c r="H1499" s="36"/>
      <c r="I1499" s="36"/>
      <c r="J1499" s="36"/>
      <c r="K1499" s="36"/>
      <c r="L1499" s="161" t="s">
        <v>1590</v>
      </c>
      <c r="M1499" s="38" t="s">
        <v>118</v>
      </c>
      <c r="N1499" s="39"/>
      <c r="O1499" s="40">
        <f t="shared" si="116"/>
        <v>5117.6475</v>
      </c>
      <c r="P1499" s="40">
        <f>[1]Освещение!H55</f>
        <v>51176.474999999999</v>
      </c>
      <c r="Q1499" s="40">
        <f t="shared" si="115"/>
        <v>5117.6499999999996</v>
      </c>
      <c r="R1499" s="66">
        <f t="shared" si="114"/>
        <v>51176.474999999999</v>
      </c>
      <c r="S1499" s="62">
        <f>ROUND('Смета ЕР (общ) '!$N1499*'Смета ЕР (общ) '!$Q1499,2)</f>
        <v>0</v>
      </c>
      <c r="T1499" s="62">
        <f>ROUND('Смета ЕР (общ) '!$N1499*'Смета ЕР (общ) '!$R1499,2)</f>
        <v>0</v>
      </c>
      <c r="U1499" s="73" t="s">
        <v>1549</v>
      </c>
      <c r="V1499" s="68"/>
    </row>
    <row r="1500" spans="1:22" s="46" customFormat="1" ht="14.4" x14ac:dyDescent="0.3">
      <c r="A1500" s="159" t="s">
        <v>1169</v>
      </c>
      <c r="B1500" s="159">
        <v>2</v>
      </c>
      <c r="C1500" s="159"/>
      <c r="D1500" s="159">
        <v>487</v>
      </c>
      <c r="E1500" s="159" t="str">
        <f>CONCATENATE('Смета ЕР (общ) '!$A1500,".",'Смета ЕР (общ) '!$B1500,".",'Смета ЕР (общ) '!$D1500)</f>
        <v>Р9.2.487</v>
      </c>
      <c r="F1500" s="36">
        <f t="shared" si="117"/>
        <v>1</v>
      </c>
      <c r="G1500" s="36"/>
      <c r="H1500" s="36"/>
      <c r="I1500" s="36"/>
      <c r="J1500" s="36"/>
      <c r="K1500" s="36"/>
      <c r="L1500" s="161" t="s">
        <v>1591</v>
      </c>
      <c r="M1500" s="38" t="s">
        <v>118</v>
      </c>
      <c r="N1500" s="39"/>
      <c r="O1500" s="40">
        <f t="shared" si="116"/>
        <v>66.055500000000009</v>
      </c>
      <c r="P1500" s="40">
        <f>[1]Освещение!H56</f>
        <v>660.55500000000006</v>
      </c>
      <c r="Q1500" s="40">
        <f t="shared" si="115"/>
        <v>66.06</v>
      </c>
      <c r="R1500" s="66">
        <f t="shared" si="114"/>
        <v>660.55500000000006</v>
      </c>
      <c r="S1500" s="62">
        <f>ROUND('Смета ЕР (общ) '!$N1500*'Смета ЕР (общ) '!$Q1500,2)</f>
        <v>0</v>
      </c>
      <c r="T1500" s="62">
        <f>ROUND('Смета ЕР (общ) '!$N1500*'Смета ЕР (общ) '!$R1500,2)</f>
        <v>0</v>
      </c>
      <c r="U1500" s="73" t="s">
        <v>1549</v>
      </c>
      <c r="V1500" s="68"/>
    </row>
    <row r="1501" spans="1:22" s="46" customFormat="1" ht="20.399999999999999" x14ac:dyDescent="0.3">
      <c r="A1501" s="159" t="s">
        <v>1169</v>
      </c>
      <c r="B1501" s="159">
        <v>2</v>
      </c>
      <c r="C1501" s="159"/>
      <c r="D1501" s="159">
        <v>488</v>
      </c>
      <c r="E1501" s="159" t="str">
        <f>CONCATENATE('Смета ЕР (общ) '!$A1501,".",'Смета ЕР (общ) '!$B1501,".",'Смета ЕР (общ) '!$D1501)</f>
        <v>Р9.2.488</v>
      </c>
      <c r="F1501" s="36">
        <f t="shared" si="117"/>
        <v>1</v>
      </c>
      <c r="G1501" s="36"/>
      <c r="H1501" s="36"/>
      <c r="I1501" s="36"/>
      <c r="J1501" s="36"/>
      <c r="K1501" s="36"/>
      <c r="L1501" s="161" t="s">
        <v>1592</v>
      </c>
      <c r="M1501" s="38" t="s">
        <v>118</v>
      </c>
      <c r="N1501" s="39"/>
      <c r="O1501" s="40">
        <f t="shared" si="116"/>
        <v>4811.6565000000001</v>
      </c>
      <c r="P1501" s="40">
        <f>[1]Освещение!H57</f>
        <v>48116.565000000002</v>
      </c>
      <c r="Q1501" s="40">
        <f t="shared" si="115"/>
        <v>4811.66</v>
      </c>
      <c r="R1501" s="66">
        <f t="shared" ref="R1501:R1564" si="118">P1501</f>
        <v>48116.565000000002</v>
      </c>
      <c r="S1501" s="62">
        <f>ROUND('Смета ЕР (общ) '!$N1501*'Смета ЕР (общ) '!$Q1501,2)</f>
        <v>0</v>
      </c>
      <c r="T1501" s="62">
        <f>ROUND('Смета ЕР (общ) '!$N1501*'Смета ЕР (общ) '!$R1501,2)</f>
        <v>0</v>
      </c>
      <c r="U1501" s="73" t="s">
        <v>1549</v>
      </c>
      <c r="V1501" s="68"/>
    </row>
    <row r="1502" spans="1:22" s="46" customFormat="1" ht="14.4" x14ac:dyDescent="0.3">
      <c r="A1502" s="159" t="s">
        <v>1169</v>
      </c>
      <c r="B1502" s="159">
        <v>2</v>
      </c>
      <c r="C1502" s="159"/>
      <c r="D1502" s="159">
        <v>489</v>
      </c>
      <c r="E1502" s="159" t="str">
        <f>CONCATENATE('Смета ЕР (общ) '!$A1502,".",'Смета ЕР (общ) '!$B1502,".",'Смета ЕР (общ) '!$D1502)</f>
        <v>Р9.2.489</v>
      </c>
      <c r="F1502" s="36">
        <f t="shared" si="117"/>
        <v>1</v>
      </c>
      <c r="G1502" s="36"/>
      <c r="H1502" s="36"/>
      <c r="I1502" s="36"/>
      <c r="J1502" s="36"/>
      <c r="K1502" s="36"/>
      <c r="L1502" s="161" t="s">
        <v>1593</v>
      </c>
      <c r="M1502" s="38" t="s">
        <v>118</v>
      </c>
      <c r="N1502" s="39"/>
      <c r="O1502" s="40">
        <f t="shared" si="116"/>
        <v>899.9235000000001</v>
      </c>
      <c r="P1502" s="40">
        <f>[1]Освещение!H58</f>
        <v>8999.2350000000006</v>
      </c>
      <c r="Q1502" s="40">
        <f t="shared" si="115"/>
        <v>899.92</v>
      </c>
      <c r="R1502" s="66">
        <f t="shared" si="118"/>
        <v>8999.2350000000006</v>
      </c>
      <c r="S1502" s="62">
        <f>ROUND('Смета ЕР (общ) '!$N1502*'Смета ЕР (общ) '!$Q1502,2)</f>
        <v>0</v>
      </c>
      <c r="T1502" s="62">
        <f>ROUND('Смета ЕР (общ) '!$N1502*'Смета ЕР (общ) '!$R1502,2)</f>
        <v>0</v>
      </c>
      <c r="U1502" s="73" t="s">
        <v>1549</v>
      </c>
      <c r="V1502" s="68"/>
    </row>
    <row r="1503" spans="1:22" s="46" customFormat="1" ht="14.4" x14ac:dyDescent="0.3">
      <c r="A1503" s="159" t="s">
        <v>1169</v>
      </c>
      <c r="B1503" s="159">
        <v>2</v>
      </c>
      <c r="C1503" s="159"/>
      <c r="D1503" s="159">
        <v>490</v>
      </c>
      <c r="E1503" s="159" t="str">
        <f>CONCATENATE('Смета ЕР (общ) '!$A1503,".",'Смета ЕР (общ) '!$B1503,".",'Смета ЕР (общ) '!$D1503)</f>
        <v>Р9.2.490</v>
      </c>
      <c r="F1503" s="36">
        <f t="shared" si="117"/>
        <v>1</v>
      </c>
      <c r="G1503" s="36"/>
      <c r="H1503" s="36"/>
      <c r="I1503" s="36"/>
      <c r="J1503" s="36"/>
      <c r="K1503" s="36"/>
      <c r="L1503" s="161" t="s">
        <v>1594</v>
      </c>
      <c r="M1503" s="38" t="s">
        <v>118</v>
      </c>
      <c r="N1503" s="39"/>
      <c r="O1503" s="40">
        <f t="shared" si="116"/>
        <v>2236.5315000000001</v>
      </c>
      <c r="P1503" s="40">
        <f>[1]Освещение!H59</f>
        <v>22365.314999999999</v>
      </c>
      <c r="Q1503" s="40">
        <f t="shared" si="115"/>
        <v>2236.5300000000002</v>
      </c>
      <c r="R1503" s="66">
        <f t="shared" si="118"/>
        <v>22365.314999999999</v>
      </c>
      <c r="S1503" s="62">
        <f>ROUND('Смета ЕР (общ) '!$N1503*'Смета ЕР (общ) '!$Q1503,2)</f>
        <v>0</v>
      </c>
      <c r="T1503" s="62">
        <f>ROUND('Смета ЕР (общ) '!$N1503*'Смета ЕР (общ) '!$R1503,2)</f>
        <v>0</v>
      </c>
      <c r="U1503" s="73" t="s">
        <v>1549</v>
      </c>
      <c r="V1503" s="68"/>
    </row>
    <row r="1504" spans="1:22" s="46" customFormat="1" ht="14.4" x14ac:dyDescent="0.3">
      <c r="A1504" s="159" t="s">
        <v>1169</v>
      </c>
      <c r="B1504" s="159">
        <v>2</v>
      </c>
      <c r="C1504" s="159"/>
      <c r="D1504" s="159">
        <v>491</v>
      </c>
      <c r="E1504" s="159" t="str">
        <f>CONCATENATE('Смета ЕР (общ) '!$A1504,".",'Смета ЕР (общ) '!$B1504,".",'Смета ЕР (общ) '!$D1504)</f>
        <v>Р9.2.491</v>
      </c>
      <c r="F1504" s="36">
        <f t="shared" si="117"/>
        <v>1</v>
      </c>
      <c r="G1504" s="36"/>
      <c r="H1504" s="36"/>
      <c r="I1504" s="36"/>
      <c r="J1504" s="36"/>
      <c r="K1504" s="36"/>
      <c r="L1504" s="161" t="s">
        <v>1595</v>
      </c>
      <c r="M1504" s="38" t="s">
        <v>118</v>
      </c>
      <c r="N1504" s="39"/>
      <c r="O1504" s="40">
        <f t="shared" si="116"/>
        <v>3573.0450000000005</v>
      </c>
      <c r="P1504" s="40">
        <f>[1]Освещение!H60</f>
        <v>35730.450000000004</v>
      </c>
      <c r="Q1504" s="40">
        <f t="shared" si="115"/>
        <v>3573.05</v>
      </c>
      <c r="R1504" s="66">
        <f t="shared" si="118"/>
        <v>35730.450000000004</v>
      </c>
      <c r="S1504" s="62">
        <f>ROUND('Смета ЕР (общ) '!$N1504*'Смета ЕР (общ) '!$Q1504,2)</f>
        <v>0</v>
      </c>
      <c r="T1504" s="62">
        <f>ROUND('Смета ЕР (общ) '!$N1504*'Смета ЕР (общ) '!$R1504,2)</f>
        <v>0</v>
      </c>
      <c r="U1504" s="73" t="s">
        <v>1549</v>
      </c>
      <c r="V1504" s="68"/>
    </row>
    <row r="1505" spans="1:22" s="46" customFormat="1" ht="14.4" x14ac:dyDescent="0.3">
      <c r="A1505" s="159" t="s">
        <v>1169</v>
      </c>
      <c r="B1505" s="159">
        <v>2</v>
      </c>
      <c r="C1505" s="159"/>
      <c r="D1505" s="159">
        <v>492</v>
      </c>
      <c r="E1505" s="159" t="str">
        <f>CONCATENATE('Смета ЕР (общ) '!$A1505,".",'Смета ЕР (общ) '!$B1505,".",'Смета ЕР (общ) '!$D1505)</f>
        <v>Р9.2.492</v>
      </c>
      <c r="F1505" s="36">
        <f t="shared" si="117"/>
        <v>1</v>
      </c>
      <c r="G1505" s="36"/>
      <c r="H1505" s="36"/>
      <c r="I1505" s="36"/>
      <c r="J1505" s="36"/>
      <c r="K1505" s="36"/>
      <c r="L1505" s="161" t="s">
        <v>1596</v>
      </c>
      <c r="M1505" s="38" t="s">
        <v>118</v>
      </c>
      <c r="N1505" s="39"/>
      <c r="O1505" s="40">
        <f t="shared" si="116"/>
        <v>1078.434</v>
      </c>
      <c r="P1505" s="40">
        <f>[1]Освещение!H61</f>
        <v>10784.34</v>
      </c>
      <c r="Q1505" s="40">
        <f t="shared" si="115"/>
        <v>1078.43</v>
      </c>
      <c r="R1505" s="66">
        <f t="shared" si="118"/>
        <v>10784.34</v>
      </c>
      <c r="S1505" s="62">
        <f>ROUND('Смета ЕР (общ) '!$N1505*'Смета ЕР (общ) '!$Q1505,2)</f>
        <v>0</v>
      </c>
      <c r="T1505" s="62">
        <f>ROUND('Смета ЕР (общ) '!$N1505*'Смета ЕР (общ) '!$R1505,2)</f>
        <v>0</v>
      </c>
      <c r="U1505" s="73" t="s">
        <v>1549</v>
      </c>
      <c r="V1505" s="68"/>
    </row>
    <row r="1506" spans="1:22" s="46" customFormat="1" ht="14.4" x14ac:dyDescent="0.3">
      <c r="A1506" s="159" t="s">
        <v>1169</v>
      </c>
      <c r="B1506" s="159">
        <v>2</v>
      </c>
      <c r="C1506" s="159"/>
      <c r="D1506" s="159">
        <v>493</v>
      </c>
      <c r="E1506" s="159" t="str">
        <f>CONCATENATE('Смета ЕР (общ) '!$A1506,".",'Смета ЕР (общ) '!$B1506,".",'Смета ЕР (общ) '!$D1506)</f>
        <v>Р9.2.493</v>
      </c>
      <c r="F1506" s="36">
        <f t="shared" si="117"/>
        <v>1</v>
      </c>
      <c r="G1506" s="36"/>
      <c r="H1506" s="36"/>
      <c r="I1506" s="36"/>
      <c r="J1506" s="36"/>
      <c r="K1506" s="36"/>
      <c r="L1506" s="161" t="s">
        <v>1597</v>
      </c>
      <c r="M1506" s="38" t="s">
        <v>118</v>
      </c>
      <c r="N1506" s="39"/>
      <c r="O1506" s="40">
        <f t="shared" si="116"/>
        <v>2014.2674999999999</v>
      </c>
      <c r="P1506" s="40">
        <f>[1]Освещение!H62</f>
        <v>20142.674999999999</v>
      </c>
      <c r="Q1506" s="40">
        <f t="shared" si="115"/>
        <v>2014.27</v>
      </c>
      <c r="R1506" s="66">
        <f t="shared" si="118"/>
        <v>20142.674999999999</v>
      </c>
      <c r="S1506" s="62">
        <f>ROUND('Смета ЕР (общ) '!$N1506*'Смета ЕР (общ) '!$Q1506,2)</f>
        <v>0</v>
      </c>
      <c r="T1506" s="62">
        <f>ROUND('Смета ЕР (общ) '!$N1506*'Смета ЕР (общ) '!$R1506,2)</f>
        <v>0</v>
      </c>
      <c r="U1506" s="73" t="s">
        <v>1549</v>
      </c>
      <c r="V1506" s="68"/>
    </row>
    <row r="1507" spans="1:22" s="46" customFormat="1" ht="14.4" x14ac:dyDescent="0.3">
      <c r="A1507" s="159" t="s">
        <v>1169</v>
      </c>
      <c r="B1507" s="159">
        <v>2</v>
      </c>
      <c r="C1507" s="159"/>
      <c r="D1507" s="159">
        <v>494</v>
      </c>
      <c r="E1507" s="159" t="str">
        <f>CONCATENATE('Смета ЕР (общ) '!$A1507,".",'Смета ЕР (общ) '!$B1507,".",'Смета ЕР (общ) '!$D1507)</f>
        <v>Р9.2.494</v>
      </c>
      <c r="F1507" s="36">
        <f t="shared" si="117"/>
        <v>1</v>
      </c>
      <c r="G1507" s="36"/>
      <c r="H1507" s="36"/>
      <c r="I1507" s="36"/>
      <c r="J1507" s="36"/>
      <c r="K1507" s="36"/>
      <c r="L1507" s="161" t="s">
        <v>1598</v>
      </c>
      <c r="M1507" s="38" t="s">
        <v>118</v>
      </c>
      <c r="N1507" s="39"/>
      <c r="O1507" s="40">
        <f t="shared" si="116"/>
        <v>2905.2135000000003</v>
      </c>
      <c r="P1507" s="40">
        <f>[1]Освещение!H63</f>
        <v>29052.135000000002</v>
      </c>
      <c r="Q1507" s="40">
        <f t="shared" si="115"/>
        <v>2905.21</v>
      </c>
      <c r="R1507" s="66">
        <f t="shared" si="118"/>
        <v>29052.135000000002</v>
      </c>
      <c r="S1507" s="62">
        <f>ROUND('Смета ЕР (общ) '!$N1507*'Смета ЕР (общ) '!$Q1507,2)</f>
        <v>0</v>
      </c>
      <c r="T1507" s="62">
        <f>ROUND('Смета ЕР (общ) '!$N1507*'Смета ЕР (общ) '!$R1507,2)</f>
        <v>0</v>
      </c>
      <c r="U1507" s="73" t="s">
        <v>1549</v>
      </c>
      <c r="V1507" s="68"/>
    </row>
    <row r="1508" spans="1:22" s="46" customFormat="1" ht="14.4" x14ac:dyDescent="0.3">
      <c r="A1508" s="159" t="s">
        <v>1169</v>
      </c>
      <c r="B1508" s="159">
        <v>2</v>
      </c>
      <c r="C1508" s="159"/>
      <c r="D1508" s="159">
        <v>495</v>
      </c>
      <c r="E1508" s="159" t="str">
        <f>CONCATENATE('Смета ЕР (общ) '!$A1508,".",'Смета ЕР (общ) '!$B1508,".",'Смета ЕР (общ) '!$D1508)</f>
        <v>Р9.2.495</v>
      </c>
      <c r="F1508" s="36">
        <f t="shared" si="117"/>
        <v>1</v>
      </c>
      <c r="G1508" s="36"/>
      <c r="H1508" s="36"/>
      <c r="I1508" s="36"/>
      <c r="J1508" s="36"/>
      <c r="K1508" s="36"/>
      <c r="L1508" s="161" t="s">
        <v>1599</v>
      </c>
      <c r="M1508" s="38" t="s">
        <v>118</v>
      </c>
      <c r="N1508" s="39"/>
      <c r="O1508" s="40">
        <f t="shared" si="116"/>
        <v>2905.2135000000003</v>
      </c>
      <c r="P1508" s="40">
        <f>[1]Освещение!H64</f>
        <v>29052.135000000002</v>
      </c>
      <c r="Q1508" s="40">
        <f t="shared" si="115"/>
        <v>2905.21</v>
      </c>
      <c r="R1508" s="66">
        <f t="shared" si="118"/>
        <v>29052.135000000002</v>
      </c>
      <c r="S1508" s="62">
        <f>ROUND('Смета ЕР (общ) '!$N1508*'Смета ЕР (общ) '!$Q1508,2)</f>
        <v>0</v>
      </c>
      <c r="T1508" s="62">
        <f>ROUND('Смета ЕР (общ) '!$N1508*'Смета ЕР (общ) '!$R1508,2)</f>
        <v>0</v>
      </c>
      <c r="U1508" s="73" t="s">
        <v>1549</v>
      </c>
      <c r="V1508" s="68"/>
    </row>
    <row r="1509" spans="1:22" s="46" customFormat="1" ht="14.4" x14ac:dyDescent="0.3">
      <c r="A1509" s="159" t="s">
        <v>1169</v>
      </c>
      <c r="B1509" s="159">
        <v>2</v>
      </c>
      <c r="C1509" s="159"/>
      <c r="D1509" s="159">
        <v>496</v>
      </c>
      <c r="E1509" s="159" t="str">
        <f>CONCATENATE('Смета ЕР (общ) '!$A1509,".",'Смета ЕР (общ) '!$B1509,".",'Смета ЕР (общ) '!$D1509)</f>
        <v>Р9.2.496</v>
      </c>
      <c r="F1509" s="36">
        <f t="shared" si="117"/>
        <v>1</v>
      </c>
      <c r="G1509" s="36"/>
      <c r="H1509" s="36"/>
      <c r="I1509" s="36"/>
      <c r="J1509" s="36"/>
      <c r="K1509" s="36"/>
      <c r="L1509" s="161" t="s">
        <v>1600</v>
      </c>
      <c r="M1509" s="38" t="s">
        <v>118</v>
      </c>
      <c r="N1509" s="39"/>
      <c r="O1509" s="40">
        <f t="shared" si="116"/>
        <v>3127.4775000000004</v>
      </c>
      <c r="P1509" s="40">
        <f>[1]Освещение!H65</f>
        <v>31274.775000000001</v>
      </c>
      <c r="Q1509" s="40">
        <f t="shared" si="115"/>
        <v>3127.48</v>
      </c>
      <c r="R1509" s="66">
        <f t="shared" si="118"/>
        <v>31274.775000000001</v>
      </c>
      <c r="S1509" s="62">
        <f>ROUND('Смета ЕР (общ) '!$N1509*'Смета ЕР (общ) '!$Q1509,2)</f>
        <v>0</v>
      </c>
      <c r="T1509" s="62">
        <f>ROUND('Смета ЕР (общ) '!$N1509*'Смета ЕР (общ) '!$R1509,2)</f>
        <v>0</v>
      </c>
      <c r="U1509" s="73" t="s">
        <v>1549</v>
      </c>
      <c r="V1509" s="68"/>
    </row>
    <row r="1510" spans="1:22" s="46" customFormat="1" ht="14.4" x14ac:dyDescent="0.3">
      <c r="A1510" s="159" t="s">
        <v>1169</v>
      </c>
      <c r="B1510" s="159">
        <v>2</v>
      </c>
      <c r="C1510" s="159"/>
      <c r="D1510" s="159">
        <v>497</v>
      </c>
      <c r="E1510" s="159" t="str">
        <f>CONCATENATE('Смета ЕР (общ) '!$A1510,".",'Смета ЕР (общ) '!$B1510,".",'Смета ЕР (общ) '!$D1510)</f>
        <v>Р9.2.497</v>
      </c>
      <c r="F1510" s="36">
        <f t="shared" si="117"/>
        <v>1</v>
      </c>
      <c r="G1510" s="36"/>
      <c r="H1510" s="36"/>
      <c r="I1510" s="36"/>
      <c r="J1510" s="36"/>
      <c r="K1510" s="36"/>
      <c r="L1510" s="161" t="s">
        <v>1601</v>
      </c>
      <c r="M1510" s="38" t="s">
        <v>118</v>
      </c>
      <c r="N1510" s="39"/>
      <c r="O1510" s="40">
        <f t="shared" si="116"/>
        <v>3127.4775000000004</v>
      </c>
      <c r="P1510" s="40">
        <f>[1]Освещение!H66</f>
        <v>31274.775000000001</v>
      </c>
      <c r="Q1510" s="40">
        <f t="shared" si="115"/>
        <v>3127.48</v>
      </c>
      <c r="R1510" s="66">
        <f t="shared" si="118"/>
        <v>31274.775000000001</v>
      </c>
      <c r="S1510" s="62">
        <f>ROUND('Смета ЕР (общ) '!$N1510*'Смета ЕР (общ) '!$Q1510,2)</f>
        <v>0</v>
      </c>
      <c r="T1510" s="62">
        <f>ROUND('Смета ЕР (общ) '!$N1510*'Смета ЕР (общ) '!$R1510,2)</f>
        <v>0</v>
      </c>
      <c r="U1510" s="73" t="s">
        <v>1549</v>
      </c>
      <c r="V1510" s="68"/>
    </row>
    <row r="1511" spans="1:22" s="46" customFormat="1" ht="14.4" x14ac:dyDescent="0.3">
      <c r="A1511" s="159" t="s">
        <v>1169</v>
      </c>
      <c r="B1511" s="159">
        <v>2</v>
      </c>
      <c r="C1511" s="159"/>
      <c r="D1511" s="159">
        <v>498</v>
      </c>
      <c r="E1511" s="159" t="str">
        <f>CONCATENATE('Смета ЕР (общ) '!$A1511,".",'Смета ЕР (общ) '!$B1511,".",'Смета ЕР (общ) '!$D1511)</f>
        <v>Р9.2.498</v>
      </c>
      <c r="F1511" s="36">
        <f t="shared" si="117"/>
        <v>1</v>
      </c>
      <c r="G1511" s="36"/>
      <c r="H1511" s="36"/>
      <c r="I1511" s="36"/>
      <c r="J1511" s="36"/>
      <c r="K1511" s="36"/>
      <c r="L1511" s="161" t="s">
        <v>1602</v>
      </c>
      <c r="M1511" s="38" t="s">
        <v>118</v>
      </c>
      <c r="N1511" s="39"/>
      <c r="O1511" s="40">
        <f t="shared" si="116"/>
        <v>3796.2540000000008</v>
      </c>
      <c r="P1511" s="40">
        <f>[1]Освещение!H67</f>
        <v>37962.540000000008</v>
      </c>
      <c r="Q1511" s="40">
        <f t="shared" si="115"/>
        <v>3796.25</v>
      </c>
      <c r="R1511" s="66">
        <f t="shared" si="118"/>
        <v>37962.540000000008</v>
      </c>
      <c r="S1511" s="62">
        <f>ROUND('Смета ЕР (общ) '!$N1511*'Смета ЕР (общ) '!$Q1511,2)</f>
        <v>0</v>
      </c>
      <c r="T1511" s="62">
        <f>ROUND('Смета ЕР (общ) '!$N1511*'Смета ЕР (общ) '!$R1511,2)</f>
        <v>0</v>
      </c>
      <c r="U1511" s="73" t="s">
        <v>1549</v>
      </c>
      <c r="V1511" s="68"/>
    </row>
    <row r="1512" spans="1:22" s="46" customFormat="1" ht="14.4" x14ac:dyDescent="0.3">
      <c r="A1512" s="159" t="s">
        <v>1169</v>
      </c>
      <c r="B1512" s="159">
        <v>2</v>
      </c>
      <c r="C1512" s="159"/>
      <c r="D1512" s="159">
        <v>499</v>
      </c>
      <c r="E1512" s="159" t="str">
        <f>CONCATENATE('Смета ЕР (общ) '!$A1512,".",'Смета ЕР (общ) '!$B1512,".",'Смета ЕР (общ) '!$D1512)</f>
        <v>Р9.2.499</v>
      </c>
      <c r="F1512" s="36">
        <f t="shared" si="117"/>
        <v>1</v>
      </c>
      <c r="G1512" s="36"/>
      <c r="H1512" s="36"/>
      <c r="I1512" s="36"/>
      <c r="J1512" s="36"/>
      <c r="K1512" s="36"/>
      <c r="L1512" s="161" t="s">
        <v>1603</v>
      </c>
      <c r="M1512" s="38" t="s">
        <v>118</v>
      </c>
      <c r="N1512" s="39"/>
      <c r="O1512" s="40">
        <f t="shared" si="116"/>
        <v>4909.6530000000002</v>
      </c>
      <c r="P1512" s="40">
        <f>[1]Освещение!H68</f>
        <v>49096.53</v>
      </c>
      <c r="Q1512" s="40">
        <f t="shared" si="115"/>
        <v>4909.6499999999996</v>
      </c>
      <c r="R1512" s="66">
        <f t="shared" si="118"/>
        <v>49096.53</v>
      </c>
      <c r="S1512" s="62">
        <f>ROUND('Смета ЕР (общ) '!$N1512*'Смета ЕР (общ) '!$Q1512,2)</f>
        <v>0</v>
      </c>
      <c r="T1512" s="62">
        <f>ROUND('Смета ЕР (общ) '!$N1512*'Смета ЕР (общ) '!$R1512,2)</f>
        <v>0</v>
      </c>
      <c r="U1512" s="73" t="s">
        <v>1549</v>
      </c>
      <c r="V1512" s="68"/>
    </row>
    <row r="1513" spans="1:22" s="46" customFormat="1" ht="14.4" x14ac:dyDescent="0.3">
      <c r="A1513" s="159" t="s">
        <v>1169</v>
      </c>
      <c r="B1513" s="159">
        <v>2</v>
      </c>
      <c r="C1513" s="159"/>
      <c r="D1513" s="159">
        <v>500</v>
      </c>
      <c r="E1513" s="159" t="str">
        <f>CONCATENATE('Смета ЕР (общ) '!$A1513,".",'Смета ЕР (общ) '!$B1513,".",'Смета ЕР (общ) '!$D1513)</f>
        <v>Р9.2.500</v>
      </c>
      <c r="F1513" s="36">
        <f t="shared" si="117"/>
        <v>1</v>
      </c>
      <c r="G1513" s="36"/>
      <c r="H1513" s="36"/>
      <c r="I1513" s="36"/>
      <c r="J1513" s="36"/>
      <c r="K1513" s="36"/>
      <c r="L1513" s="161" t="s">
        <v>1604</v>
      </c>
      <c r="M1513" s="38" t="s">
        <v>118</v>
      </c>
      <c r="N1513" s="39"/>
      <c r="O1513" s="40">
        <f t="shared" si="116"/>
        <v>5132.7675000000008</v>
      </c>
      <c r="P1513" s="40">
        <f>[1]Освещение!H69</f>
        <v>51327.675000000003</v>
      </c>
      <c r="Q1513" s="40">
        <f t="shared" si="115"/>
        <v>5132.7700000000004</v>
      </c>
      <c r="R1513" s="66">
        <f t="shared" si="118"/>
        <v>51327.675000000003</v>
      </c>
      <c r="S1513" s="62">
        <f>ROUND('Смета ЕР (общ) '!$N1513*'Смета ЕР (общ) '!$Q1513,2)</f>
        <v>0</v>
      </c>
      <c r="T1513" s="62">
        <f>ROUND('Смета ЕР (общ) '!$N1513*'Смета ЕР (общ) '!$R1513,2)</f>
        <v>0</v>
      </c>
      <c r="U1513" s="73" t="s">
        <v>1549</v>
      </c>
      <c r="V1513" s="68"/>
    </row>
    <row r="1514" spans="1:22" s="46" customFormat="1" ht="14.4" x14ac:dyDescent="0.3">
      <c r="A1514" s="159" t="s">
        <v>1169</v>
      </c>
      <c r="B1514" s="159">
        <v>2</v>
      </c>
      <c r="C1514" s="159"/>
      <c r="D1514" s="159">
        <v>501</v>
      </c>
      <c r="E1514" s="159" t="str">
        <f>CONCATENATE('Смета ЕР (общ) '!$A1514,".",'Смета ЕР (общ) '!$B1514,".",'Смета ЕР (общ) '!$D1514)</f>
        <v>Р9.2.501</v>
      </c>
      <c r="F1514" s="36">
        <f t="shared" si="117"/>
        <v>1</v>
      </c>
      <c r="G1514" s="36"/>
      <c r="H1514" s="36"/>
      <c r="I1514" s="36"/>
      <c r="J1514" s="36"/>
      <c r="K1514" s="36"/>
      <c r="L1514" s="161" t="s">
        <v>1605</v>
      </c>
      <c r="M1514" s="38" t="s">
        <v>118</v>
      </c>
      <c r="N1514" s="39"/>
      <c r="O1514" s="40">
        <f t="shared" si="116"/>
        <v>5355.1260000000002</v>
      </c>
      <c r="P1514" s="40">
        <f>[1]Освещение!H70</f>
        <v>53551.26</v>
      </c>
      <c r="Q1514" s="40">
        <f t="shared" si="115"/>
        <v>5355.13</v>
      </c>
      <c r="R1514" s="66">
        <f t="shared" si="118"/>
        <v>53551.26</v>
      </c>
      <c r="S1514" s="62">
        <f>ROUND('Смета ЕР (общ) '!$N1514*'Смета ЕР (общ) '!$Q1514,2)</f>
        <v>0</v>
      </c>
      <c r="T1514" s="62">
        <f>ROUND('Смета ЕР (общ) '!$N1514*'Смета ЕР (общ) '!$R1514,2)</f>
        <v>0</v>
      </c>
      <c r="U1514" s="73" t="s">
        <v>1549</v>
      </c>
      <c r="V1514" s="68"/>
    </row>
    <row r="1515" spans="1:22" s="46" customFormat="1" ht="14.4" x14ac:dyDescent="0.3">
      <c r="A1515" s="159" t="s">
        <v>1169</v>
      </c>
      <c r="B1515" s="159">
        <v>2</v>
      </c>
      <c r="C1515" s="159"/>
      <c r="D1515" s="159">
        <v>502</v>
      </c>
      <c r="E1515" s="159" t="str">
        <f>CONCATENATE('Смета ЕР (общ) '!$A1515,".",'Смета ЕР (общ) '!$B1515,".",'Смета ЕР (общ) '!$D1515)</f>
        <v>Р9.2.502</v>
      </c>
      <c r="F1515" s="36">
        <f t="shared" si="117"/>
        <v>1</v>
      </c>
      <c r="G1515" s="36"/>
      <c r="H1515" s="36"/>
      <c r="I1515" s="36"/>
      <c r="J1515" s="36"/>
      <c r="K1515" s="36"/>
      <c r="L1515" s="161" t="s">
        <v>1606</v>
      </c>
      <c r="M1515" s="38" t="s">
        <v>118</v>
      </c>
      <c r="N1515" s="39"/>
      <c r="O1515" s="40">
        <f t="shared" si="116"/>
        <v>5578.4295000000011</v>
      </c>
      <c r="P1515" s="40">
        <f>[1]Освещение!H71</f>
        <v>55784.295000000006</v>
      </c>
      <c r="Q1515" s="40">
        <f t="shared" si="115"/>
        <v>5578.43</v>
      </c>
      <c r="R1515" s="66">
        <f t="shared" si="118"/>
        <v>55784.295000000006</v>
      </c>
      <c r="S1515" s="62">
        <f>ROUND('Смета ЕР (общ) '!$N1515*'Смета ЕР (общ) '!$Q1515,2)</f>
        <v>0</v>
      </c>
      <c r="T1515" s="62">
        <f>ROUND('Смета ЕР (общ) '!$N1515*'Смета ЕР (общ) '!$R1515,2)</f>
        <v>0</v>
      </c>
      <c r="U1515" s="73" t="s">
        <v>1549</v>
      </c>
      <c r="V1515" s="68"/>
    </row>
    <row r="1516" spans="1:22" s="46" customFormat="1" ht="14.4" x14ac:dyDescent="0.3">
      <c r="A1516" s="159" t="s">
        <v>1169</v>
      </c>
      <c r="B1516" s="159">
        <v>2</v>
      </c>
      <c r="C1516" s="159"/>
      <c r="D1516" s="159">
        <v>503</v>
      </c>
      <c r="E1516" s="159" t="str">
        <f>CONCATENATE('Смета ЕР (общ) '!$A1516,".",'Смета ЕР (общ) '!$B1516,".",'Смета ЕР (общ) '!$D1516)</f>
        <v>Р9.2.503</v>
      </c>
      <c r="F1516" s="36">
        <f t="shared" si="117"/>
        <v>1</v>
      </c>
      <c r="G1516" s="36"/>
      <c r="H1516" s="36"/>
      <c r="I1516" s="36"/>
      <c r="J1516" s="36"/>
      <c r="K1516" s="36"/>
      <c r="L1516" s="161" t="s">
        <v>1607</v>
      </c>
      <c r="M1516" s="38" t="s">
        <v>118</v>
      </c>
      <c r="N1516" s="39"/>
      <c r="O1516" s="40">
        <f t="shared" si="116"/>
        <v>6469.375500000001</v>
      </c>
      <c r="P1516" s="40">
        <f>[1]Освещение!H72</f>
        <v>64693.755000000005</v>
      </c>
      <c r="Q1516" s="40">
        <f t="shared" si="115"/>
        <v>6469.38</v>
      </c>
      <c r="R1516" s="66">
        <f t="shared" si="118"/>
        <v>64693.755000000005</v>
      </c>
      <c r="S1516" s="62">
        <f>ROUND('Смета ЕР (общ) '!$N1516*'Смета ЕР (общ) '!$Q1516,2)</f>
        <v>0</v>
      </c>
      <c r="T1516" s="62">
        <f>ROUND('Смета ЕР (общ) '!$N1516*'Смета ЕР (общ) '!$R1516,2)</f>
        <v>0</v>
      </c>
      <c r="U1516" s="73" t="s">
        <v>1549</v>
      </c>
      <c r="V1516" s="68"/>
    </row>
    <row r="1517" spans="1:22" s="46" customFormat="1" ht="14.4" x14ac:dyDescent="0.3">
      <c r="A1517" s="159" t="s">
        <v>1169</v>
      </c>
      <c r="B1517" s="159">
        <v>2</v>
      </c>
      <c r="C1517" s="159"/>
      <c r="D1517" s="159">
        <v>504</v>
      </c>
      <c r="E1517" s="159" t="str">
        <f>CONCATENATE('Смета ЕР (общ) '!$A1517,".",'Смета ЕР (общ) '!$B1517,".",'Смета ЕР (общ) '!$D1517)</f>
        <v>Р9.2.504</v>
      </c>
      <c r="F1517" s="36">
        <f t="shared" si="117"/>
        <v>1</v>
      </c>
      <c r="G1517" s="36"/>
      <c r="H1517" s="36"/>
      <c r="I1517" s="36"/>
      <c r="J1517" s="36"/>
      <c r="K1517" s="36"/>
      <c r="L1517" s="161" t="s">
        <v>1608</v>
      </c>
      <c r="M1517" s="38" t="s">
        <v>118</v>
      </c>
      <c r="N1517" s="39"/>
      <c r="O1517" s="40">
        <f t="shared" si="116"/>
        <v>6691.6395000000011</v>
      </c>
      <c r="P1517" s="40">
        <f>[1]Освещение!H73</f>
        <v>66916.395000000004</v>
      </c>
      <c r="Q1517" s="40">
        <f t="shared" si="115"/>
        <v>6691.64</v>
      </c>
      <c r="R1517" s="66">
        <f t="shared" si="118"/>
        <v>66916.395000000004</v>
      </c>
      <c r="S1517" s="62">
        <f>ROUND('Смета ЕР (общ) '!$N1517*'Смета ЕР (общ) '!$Q1517,2)</f>
        <v>0</v>
      </c>
      <c r="T1517" s="62">
        <f>ROUND('Смета ЕР (общ) '!$N1517*'Смета ЕР (общ) '!$R1517,2)</f>
        <v>0</v>
      </c>
      <c r="U1517" s="73" t="s">
        <v>1549</v>
      </c>
      <c r="V1517" s="68"/>
    </row>
    <row r="1518" spans="1:22" s="46" customFormat="1" ht="14.4" x14ac:dyDescent="0.3">
      <c r="A1518" s="159" t="s">
        <v>1169</v>
      </c>
      <c r="B1518" s="159">
        <v>2</v>
      </c>
      <c r="C1518" s="159"/>
      <c r="D1518" s="159">
        <v>505</v>
      </c>
      <c r="E1518" s="159" t="str">
        <f>CONCATENATE('Смета ЕР (общ) '!$A1518,".",'Смета ЕР (общ) '!$B1518,".",'Смета ЕР (общ) '!$D1518)</f>
        <v>Р9.2.505</v>
      </c>
      <c r="F1518" s="36">
        <f t="shared" si="117"/>
        <v>1</v>
      </c>
      <c r="G1518" s="36"/>
      <c r="H1518" s="36"/>
      <c r="I1518" s="36"/>
      <c r="J1518" s="36"/>
      <c r="K1518" s="36"/>
      <c r="L1518" s="161" t="s">
        <v>1609</v>
      </c>
      <c r="M1518" s="38" t="s">
        <v>118</v>
      </c>
      <c r="N1518" s="39"/>
      <c r="O1518" s="40">
        <f t="shared" si="116"/>
        <v>7582.8690000000006</v>
      </c>
      <c r="P1518" s="40">
        <f>[1]Освещение!H74</f>
        <v>75828.69</v>
      </c>
      <c r="Q1518" s="40">
        <f t="shared" si="115"/>
        <v>7582.87</v>
      </c>
      <c r="R1518" s="66">
        <f t="shared" si="118"/>
        <v>75828.69</v>
      </c>
      <c r="S1518" s="62">
        <f>ROUND('Смета ЕР (общ) '!$N1518*'Смета ЕР (общ) '!$Q1518,2)</f>
        <v>0</v>
      </c>
      <c r="T1518" s="62">
        <f>ROUND('Смета ЕР (общ) '!$N1518*'Смета ЕР (общ) '!$R1518,2)</f>
        <v>0</v>
      </c>
      <c r="U1518" s="73" t="s">
        <v>1549</v>
      </c>
      <c r="V1518" s="68"/>
    </row>
    <row r="1519" spans="1:22" s="46" customFormat="1" ht="14.4" x14ac:dyDescent="0.3">
      <c r="A1519" s="159" t="s">
        <v>1169</v>
      </c>
      <c r="B1519" s="159">
        <v>2</v>
      </c>
      <c r="C1519" s="159"/>
      <c r="D1519" s="159">
        <v>506</v>
      </c>
      <c r="E1519" s="159" t="str">
        <f>CONCATENATE('Смета ЕР (общ) '!$A1519,".",'Смета ЕР (общ) '!$B1519,".",'Смета ЕР (общ) '!$D1519)</f>
        <v>Р9.2.506</v>
      </c>
      <c r="F1519" s="36">
        <f t="shared" si="117"/>
        <v>1</v>
      </c>
      <c r="G1519" s="36"/>
      <c r="H1519" s="36"/>
      <c r="I1519" s="36"/>
      <c r="J1519" s="36"/>
      <c r="K1519" s="36"/>
      <c r="L1519" s="161" t="s">
        <v>1610</v>
      </c>
      <c r="M1519" s="38" t="s">
        <v>118</v>
      </c>
      <c r="N1519" s="39"/>
      <c r="O1519" s="40">
        <f t="shared" si="116"/>
        <v>7805.9835000000012</v>
      </c>
      <c r="P1519" s="40">
        <f>[1]Освещение!H75</f>
        <v>78059.835000000006</v>
      </c>
      <c r="Q1519" s="40">
        <f t="shared" si="115"/>
        <v>7805.98</v>
      </c>
      <c r="R1519" s="66">
        <f t="shared" si="118"/>
        <v>78059.835000000006</v>
      </c>
      <c r="S1519" s="62">
        <f>ROUND('Смета ЕР (общ) '!$N1519*'Смета ЕР (общ) '!$Q1519,2)</f>
        <v>0</v>
      </c>
      <c r="T1519" s="62">
        <f>ROUND('Смета ЕР (общ) '!$N1519*'Смета ЕР (общ) '!$R1519,2)</f>
        <v>0</v>
      </c>
      <c r="U1519" s="73" t="s">
        <v>1549</v>
      </c>
      <c r="V1519" s="68"/>
    </row>
    <row r="1520" spans="1:22" s="46" customFormat="1" ht="14.4" x14ac:dyDescent="0.3">
      <c r="A1520" s="159" t="s">
        <v>1169</v>
      </c>
      <c r="B1520" s="159">
        <v>2</v>
      </c>
      <c r="C1520" s="159"/>
      <c r="D1520" s="159">
        <v>507</v>
      </c>
      <c r="E1520" s="159" t="str">
        <f>CONCATENATE('Смета ЕР (общ) '!$A1520,".",'Смета ЕР (общ) '!$B1520,".",'Смета ЕР (общ) '!$D1520)</f>
        <v>Р9.2.507</v>
      </c>
      <c r="F1520" s="36">
        <f t="shared" si="117"/>
        <v>1</v>
      </c>
      <c r="G1520" s="36"/>
      <c r="H1520" s="36"/>
      <c r="I1520" s="36"/>
      <c r="J1520" s="36"/>
      <c r="K1520" s="36"/>
      <c r="L1520" s="161" t="s">
        <v>1611</v>
      </c>
      <c r="M1520" s="38" t="s">
        <v>118</v>
      </c>
      <c r="N1520" s="39"/>
      <c r="O1520" s="40">
        <f t="shared" si="116"/>
        <v>8028.2475000000013</v>
      </c>
      <c r="P1520" s="40">
        <f>[1]Освещение!H76</f>
        <v>80282.475000000006</v>
      </c>
      <c r="Q1520" s="40">
        <f t="shared" si="115"/>
        <v>8028.25</v>
      </c>
      <c r="R1520" s="66">
        <f t="shared" si="118"/>
        <v>80282.475000000006</v>
      </c>
      <c r="S1520" s="62">
        <f>ROUND('Смета ЕР (общ) '!$N1520*'Смета ЕР (общ) '!$Q1520,2)</f>
        <v>0</v>
      </c>
      <c r="T1520" s="62">
        <f>ROUND('Смета ЕР (общ) '!$N1520*'Смета ЕР (общ) '!$R1520,2)</f>
        <v>0</v>
      </c>
      <c r="U1520" s="73" t="s">
        <v>1549</v>
      </c>
      <c r="V1520" s="68"/>
    </row>
    <row r="1521" spans="1:22" s="46" customFormat="1" ht="14.4" x14ac:dyDescent="0.3">
      <c r="A1521" s="159" t="s">
        <v>1169</v>
      </c>
      <c r="B1521" s="159">
        <v>2</v>
      </c>
      <c r="C1521" s="159"/>
      <c r="D1521" s="159">
        <v>508</v>
      </c>
      <c r="E1521" s="159" t="str">
        <f>CONCATENATE('Смета ЕР (общ) '!$A1521,".",'Смета ЕР (общ) '!$B1521,".",'Смета ЕР (общ) '!$D1521)</f>
        <v>Р9.2.508</v>
      </c>
      <c r="F1521" s="36">
        <f t="shared" si="117"/>
        <v>1</v>
      </c>
      <c r="G1521" s="36"/>
      <c r="H1521" s="36"/>
      <c r="I1521" s="36"/>
      <c r="J1521" s="36"/>
      <c r="K1521" s="36"/>
      <c r="L1521" s="161" t="s">
        <v>1612</v>
      </c>
      <c r="M1521" s="38" t="s">
        <v>118</v>
      </c>
      <c r="N1521" s="39"/>
      <c r="O1521" s="40">
        <f t="shared" si="116"/>
        <v>8697.1185000000005</v>
      </c>
      <c r="P1521" s="40">
        <f>[1]Освещение!H77</f>
        <v>86971.184999999998</v>
      </c>
      <c r="Q1521" s="40">
        <f t="shared" si="115"/>
        <v>8697.1200000000008</v>
      </c>
      <c r="R1521" s="66">
        <f t="shared" si="118"/>
        <v>86971.184999999998</v>
      </c>
      <c r="S1521" s="62">
        <f>ROUND('Смета ЕР (общ) '!$N1521*'Смета ЕР (общ) '!$Q1521,2)</f>
        <v>0</v>
      </c>
      <c r="T1521" s="62">
        <f>ROUND('Смета ЕР (общ) '!$N1521*'Смета ЕР (общ) '!$R1521,2)</f>
        <v>0</v>
      </c>
      <c r="U1521" s="73" t="s">
        <v>1549</v>
      </c>
      <c r="V1521" s="68"/>
    </row>
    <row r="1522" spans="1:22" s="46" customFormat="1" ht="14.4" x14ac:dyDescent="0.3">
      <c r="A1522" s="159" t="s">
        <v>1169</v>
      </c>
      <c r="B1522" s="159">
        <v>2</v>
      </c>
      <c r="C1522" s="159"/>
      <c r="D1522" s="159">
        <v>509</v>
      </c>
      <c r="E1522" s="159" t="str">
        <f>CONCATENATE('Смета ЕР (общ) '!$A1522,".",'Смета ЕР (общ) '!$B1522,".",'Смета ЕР (общ) '!$D1522)</f>
        <v>Р9.2.509</v>
      </c>
      <c r="F1522" s="36">
        <f t="shared" si="117"/>
        <v>1</v>
      </c>
      <c r="G1522" s="36"/>
      <c r="H1522" s="36"/>
      <c r="I1522" s="36"/>
      <c r="J1522" s="36"/>
      <c r="K1522" s="36"/>
      <c r="L1522" s="161" t="s">
        <v>1613</v>
      </c>
      <c r="M1522" s="38" t="s">
        <v>118</v>
      </c>
      <c r="N1522" s="39"/>
      <c r="O1522" s="40">
        <f t="shared" ref="O1522:O1585" si="119">P1522*0.1</f>
        <v>492.34500000000003</v>
      </c>
      <c r="P1522" s="40">
        <f>[1]Освещение!H78</f>
        <v>4923.45</v>
      </c>
      <c r="Q1522" s="40">
        <f t="shared" si="115"/>
        <v>492.35</v>
      </c>
      <c r="R1522" s="66">
        <f t="shared" si="118"/>
        <v>4923.45</v>
      </c>
      <c r="S1522" s="62">
        <f>ROUND('Смета ЕР (общ) '!$N1522*'Смета ЕР (общ) '!$Q1522,2)</f>
        <v>0</v>
      </c>
      <c r="T1522" s="62">
        <f>ROUND('Смета ЕР (общ) '!$N1522*'Смета ЕР (общ) '!$R1522,2)</f>
        <v>0</v>
      </c>
      <c r="U1522" s="73" t="s">
        <v>1549</v>
      </c>
      <c r="V1522" s="68"/>
    </row>
    <row r="1523" spans="1:22" s="46" customFormat="1" ht="14.4" x14ac:dyDescent="0.3">
      <c r="A1523" s="159" t="s">
        <v>1169</v>
      </c>
      <c r="B1523" s="159">
        <v>2</v>
      </c>
      <c r="C1523" s="159"/>
      <c r="D1523" s="159">
        <v>510</v>
      </c>
      <c r="E1523" s="159" t="str">
        <f>CONCATENATE('Смета ЕР (общ) '!$A1523,".",'Смета ЕР (общ) '!$B1523,".",'Смета ЕР (общ) '!$D1523)</f>
        <v>Р9.2.510</v>
      </c>
      <c r="F1523" s="36">
        <f t="shared" si="117"/>
        <v>1</v>
      </c>
      <c r="G1523" s="36"/>
      <c r="H1523" s="36"/>
      <c r="I1523" s="36"/>
      <c r="J1523" s="36"/>
      <c r="K1523" s="36"/>
      <c r="L1523" s="161" t="s">
        <v>1614</v>
      </c>
      <c r="M1523" s="38" t="s">
        <v>118</v>
      </c>
      <c r="N1523" s="39"/>
      <c r="O1523" s="40">
        <f t="shared" si="119"/>
        <v>1005.9525</v>
      </c>
      <c r="P1523" s="40">
        <f>[1]Освещение!H79</f>
        <v>10059.525</v>
      </c>
      <c r="Q1523" s="40">
        <f t="shared" si="115"/>
        <v>1005.95</v>
      </c>
      <c r="R1523" s="66">
        <f t="shared" si="118"/>
        <v>10059.525</v>
      </c>
      <c r="S1523" s="62">
        <f>ROUND('Смета ЕР (общ) '!$N1523*'Смета ЕР (общ) '!$Q1523,2)</f>
        <v>0</v>
      </c>
      <c r="T1523" s="62">
        <f>ROUND('Смета ЕР (общ) '!$N1523*'Смета ЕР (общ) '!$R1523,2)</f>
        <v>0</v>
      </c>
      <c r="U1523" s="73" t="s">
        <v>1549</v>
      </c>
      <c r="V1523" s="68"/>
    </row>
    <row r="1524" spans="1:22" s="46" customFormat="1" ht="14.4" x14ac:dyDescent="0.3">
      <c r="A1524" s="159" t="s">
        <v>1169</v>
      </c>
      <c r="B1524" s="159">
        <v>2</v>
      </c>
      <c r="C1524" s="159"/>
      <c r="D1524" s="159">
        <v>511</v>
      </c>
      <c r="E1524" s="159" t="str">
        <f>CONCATENATE('Смета ЕР (общ) '!$A1524,".",'Смета ЕР (общ) '!$B1524,".",'Смета ЕР (общ) '!$D1524)</f>
        <v>Р9.2.511</v>
      </c>
      <c r="F1524" s="36">
        <f t="shared" si="117"/>
        <v>1</v>
      </c>
      <c r="G1524" s="36"/>
      <c r="H1524" s="36"/>
      <c r="I1524" s="36"/>
      <c r="J1524" s="36"/>
      <c r="K1524" s="36"/>
      <c r="L1524" s="161" t="s">
        <v>1615</v>
      </c>
      <c r="M1524" s="38" t="s">
        <v>118</v>
      </c>
      <c r="N1524" s="39"/>
      <c r="O1524" s="40">
        <f t="shared" si="119"/>
        <v>91.759500000000003</v>
      </c>
      <c r="P1524" s="40">
        <f>[1]Освещение!H80</f>
        <v>917.59500000000003</v>
      </c>
      <c r="Q1524" s="40">
        <f t="shared" si="115"/>
        <v>91.76</v>
      </c>
      <c r="R1524" s="66">
        <f t="shared" si="118"/>
        <v>917.59500000000003</v>
      </c>
      <c r="S1524" s="62">
        <f>ROUND('Смета ЕР (общ) '!$N1524*'Смета ЕР (общ) '!$Q1524,2)</f>
        <v>0</v>
      </c>
      <c r="T1524" s="62">
        <f>ROUND('Смета ЕР (общ) '!$N1524*'Смета ЕР (общ) '!$R1524,2)</f>
        <v>0</v>
      </c>
      <c r="U1524" s="73" t="s">
        <v>1549</v>
      </c>
      <c r="V1524" s="68"/>
    </row>
    <row r="1525" spans="1:22" s="46" customFormat="1" ht="14.4" x14ac:dyDescent="0.3">
      <c r="A1525" s="159" t="s">
        <v>1169</v>
      </c>
      <c r="B1525" s="159">
        <v>2</v>
      </c>
      <c r="C1525" s="159"/>
      <c r="D1525" s="159">
        <v>512</v>
      </c>
      <c r="E1525" s="159" t="str">
        <f>CONCATENATE('Смета ЕР (общ) '!$A1525,".",'Смета ЕР (общ) '!$B1525,".",'Смета ЕР (общ) '!$D1525)</f>
        <v>Р9.2.512</v>
      </c>
      <c r="F1525" s="36">
        <f t="shared" si="117"/>
        <v>1</v>
      </c>
      <c r="G1525" s="36"/>
      <c r="H1525" s="36"/>
      <c r="I1525" s="36"/>
      <c r="J1525" s="36"/>
      <c r="K1525" s="36"/>
      <c r="L1525" s="161" t="s">
        <v>1616</v>
      </c>
      <c r="M1525" s="38" t="s">
        <v>118</v>
      </c>
      <c r="N1525" s="39"/>
      <c r="O1525" s="40">
        <f t="shared" si="119"/>
        <v>389.8125</v>
      </c>
      <c r="P1525" s="40">
        <f>[1]Освещение!H81</f>
        <v>3898.125</v>
      </c>
      <c r="Q1525" s="40">
        <f t="shared" si="115"/>
        <v>389.81</v>
      </c>
      <c r="R1525" s="66">
        <f t="shared" si="118"/>
        <v>3898.125</v>
      </c>
      <c r="S1525" s="62">
        <f>ROUND('Смета ЕР (общ) '!$N1525*'Смета ЕР (общ) '!$Q1525,2)</f>
        <v>0</v>
      </c>
      <c r="T1525" s="62">
        <f>ROUND('Смета ЕР (общ) '!$N1525*'Смета ЕР (общ) '!$R1525,2)</f>
        <v>0</v>
      </c>
      <c r="U1525" s="73" t="s">
        <v>1549</v>
      </c>
      <c r="V1525" s="68"/>
    </row>
    <row r="1526" spans="1:22" s="46" customFormat="1" ht="14.4" x14ac:dyDescent="0.3">
      <c r="A1526" s="159" t="s">
        <v>1169</v>
      </c>
      <c r="B1526" s="159">
        <v>2</v>
      </c>
      <c r="C1526" s="159"/>
      <c r="D1526" s="159">
        <v>513</v>
      </c>
      <c r="E1526" s="159" t="str">
        <f>CONCATENATE('Смета ЕР (общ) '!$A1526,".",'Смета ЕР (общ) '!$B1526,".",'Смета ЕР (общ) '!$D1526)</f>
        <v>Р9.2.513</v>
      </c>
      <c r="F1526" s="36">
        <f t="shared" si="117"/>
        <v>1</v>
      </c>
      <c r="G1526" s="36"/>
      <c r="H1526" s="36"/>
      <c r="I1526" s="36"/>
      <c r="J1526" s="36"/>
      <c r="K1526" s="36"/>
      <c r="L1526" s="161" t="s">
        <v>1617</v>
      </c>
      <c r="M1526" s="38" t="s">
        <v>118</v>
      </c>
      <c r="N1526" s="39"/>
      <c r="O1526" s="40">
        <f t="shared" si="119"/>
        <v>239.36850000000001</v>
      </c>
      <c r="P1526" s="40">
        <f>[1]Освещение!H82</f>
        <v>2393.6849999999999</v>
      </c>
      <c r="Q1526" s="40">
        <f t="shared" si="115"/>
        <v>239.37</v>
      </c>
      <c r="R1526" s="66">
        <f t="shared" si="118"/>
        <v>2393.6849999999999</v>
      </c>
      <c r="S1526" s="62">
        <f>ROUND('Смета ЕР (общ) '!$N1526*'Смета ЕР (общ) '!$Q1526,2)</f>
        <v>0</v>
      </c>
      <c r="T1526" s="62">
        <f>ROUND('Смета ЕР (общ) '!$N1526*'Смета ЕР (общ) '!$R1526,2)</f>
        <v>0</v>
      </c>
      <c r="U1526" s="73" t="s">
        <v>1549</v>
      </c>
      <c r="V1526" s="68"/>
    </row>
    <row r="1527" spans="1:22" s="46" customFormat="1" ht="14.4" x14ac:dyDescent="0.3">
      <c r="A1527" s="159" t="s">
        <v>1169</v>
      </c>
      <c r="B1527" s="159">
        <v>2</v>
      </c>
      <c r="C1527" s="159"/>
      <c r="D1527" s="159">
        <v>514</v>
      </c>
      <c r="E1527" s="159" t="str">
        <f>CONCATENATE('Смета ЕР (общ) '!$A1527,".",'Смета ЕР (общ) '!$B1527,".",'Смета ЕР (общ) '!$D1527)</f>
        <v>Р9.2.514</v>
      </c>
      <c r="F1527" s="36">
        <f t="shared" si="117"/>
        <v>1</v>
      </c>
      <c r="G1527" s="36"/>
      <c r="H1527" s="36"/>
      <c r="I1527" s="36"/>
      <c r="J1527" s="36"/>
      <c r="K1527" s="36"/>
      <c r="L1527" s="161" t="s">
        <v>1618</v>
      </c>
      <c r="M1527" s="38" t="s">
        <v>118</v>
      </c>
      <c r="N1527" s="39"/>
      <c r="O1527" s="40">
        <f t="shared" si="119"/>
        <v>309.29850000000005</v>
      </c>
      <c r="P1527" s="40">
        <f>[1]Освещение!H83</f>
        <v>3092.9850000000001</v>
      </c>
      <c r="Q1527" s="40">
        <f t="shared" si="115"/>
        <v>309.3</v>
      </c>
      <c r="R1527" s="66">
        <f t="shared" si="118"/>
        <v>3092.9850000000001</v>
      </c>
      <c r="S1527" s="62">
        <f>ROUND('Смета ЕР (общ) '!$N1527*'Смета ЕР (общ) '!$Q1527,2)</f>
        <v>0</v>
      </c>
      <c r="T1527" s="62">
        <f>ROUND('Смета ЕР (общ) '!$N1527*'Смета ЕР (общ) '!$R1527,2)</f>
        <v>0</v>
      </c>
      <c r="U1527" s="73" t="s">
        <v>1549</v>
      </c>
      <c r="V1527" s="68"/>
    </row>
    <row r="1528" spans="1:22" s="46" customFormat="1" ht="14.4" x14ac:dyDescent="0.3">
      <c r="A1528" s="159" t="s">
        <v>1169</v>
      </c>
      <c r="B1528" s="159">
        <v>2</v>
      </c>
      <c r="C1528" s="159"/>
      <c r="D1528" s="159">
        <v>515</v>
      </c>
      <c r="E1528" s="159" t="str">
        <f>CONCATENATE('Смета ЕР (общ) '!$A1528,".",'Смета ЕР (общ) '!$B1528,".",'Смета ЕР (общ) '!$D1528)</f>
        <v>Р9.2.515</v>
      </c>
      <c r="F1528" s="36">
        <f t="shared" si="117"/>
        <v>1</v>
      </c>
      <c r="G1528" s="36"/>
      <c r="H1528" s="36"/>
      <c r="I1528" s="36"/>
      <c r="J1528" s="36"/>
      <c r="K1528" s="36"/>
      <c r="L1528" s="161" t="s">
        <v>1619</v>
      </c>
      <c r="M1528" s="38" t="s">
        <v>118</v>
      </c>
      <c r="N1528" s="39"/>
      <c r="O1528" s="40">
        <f t="shared" si="119"/>
        <v>346.81500000000005</v>
      </c>
      <c r="P1528" s="40">
        <f>[1]Освещение!H84</f>
        <v>3468.15</v>
      </c>
      <c r="Q1528" s="40">
        <f t="shared" si="115"/>
        <v>346.82</v>
      </c>
      <c r="R1528" s="66">
        <f t="shared" si="118"/>
        <v>3468.15</v>
      </c>
      <c r="S1528" s="62">
        <f>ROUND('Смета ЕР (общ) '!$N1528*'Смета ЕР (общ) '!$Q1528,2)</f>
        <v>0</v>
      </c>
      <c r="T1528" s="62">
        <f>ROUND('Смета ЕР (общ) '!$N1528*'Смета ЕР (общ) '!$R1528,2)</f>
        <v>0</v>
      </c>
      <c r="U1528" s="73" t="s">
        <v>1549</v>
      </c>
      <c r="V1528" s="68"/>
    </row>
    <row r="1529" spans="1:22" s="46" customFormat="1" ht="20.399999999999999" x14ac:dyDescent="0.3">
      <c r="A1529" s="159" t="s">
        <v>1169</v>
      </c>
      <c r="B1529" s="159">
        <v>2</v>
      </c>
      <c r="C1529" s="159"/>
      <c r="D1529" s="159">
        <v>516</v>
      </c>
      <c r="E1529" s="159" t="str">
        <f>CONCATENATE('Смета ЕР (общ) '!$A1529,".",'Смета ЕР (общ) '!$B1529,".",'Смета ЕР (общ) '!$D1529)</f>
        <v>Р9.2.516</v>
      </c>
      <c r="F1529" s="36">
        <f t="shared" si="117"/>
        <v>1</v>
      </c>
      <c r="G1529" s="36"/>
      <c r="H1529" s="36"/>
      <c r="I1529" s="36"/>
      <c r="J1529" s="36"/>
      <c r="K1529" s="36"/>
      <c r="L1529" s="161" t="s">
        <v>1620</v>
      </c>
      <c r="M1529" s="38" t="s">
        <v>118</v>
      </c>
      <c r="N1529" s="39"/>
      <c r="O1529" s="40">
        <f t="shared" si="119"/>
        <v>125.30700000000002</v>
      </c>
      <c r="P1529" s="40">
        <f>[1]Освещение!H85</f>
        <v>1253.0700000000002</v>
      </c>
      <c r="Q1529" s="40">
        <f t="shared" si="115"/>
        <v>125.31</v>
      </c>
      <c r="R1529" s="66">
        <f t="shared" si="118"/>
        <v>1253.0700000000002</v>
      </c>
      <c r="S1529" s="62">
        <f>ROUND('Смета ЕР (общ) '!$N1529*'Смета ЕР (общ) '!$Q1529,2)</f>
        <v>0</v>
      </c>
      <c r="T1529" s="62">
        <f>ROUND('Смета ЕР (общ) '!$N1529*'Смета ЕР (общ) '!$R1529,2)</f>
        <v>0</v>
      </c>
      <c r="U1529" s="73" t="s">
        <v>1549</v>
      </c>
      <c r="V1529" s="68"/>
    </row>
    <row r="1530" spans="1:22" s="46" customFormat="1" ht="14.4" x14ac:dyDescent="0.3">
      <c r="A1530" s="159" t="s">
        <v>1169</v>
      </c>
      <c r="B1530" s="159">
        <v>2</v>
      </c>
      <c r="C1530" s="159"/>
      <c r="D1530" s="159">
        <v>517</v>
      </c>
      <c r="E1530" s="159" t="str">
        <f>CONCATENATE('Смета ЕР (общ) '!$A1530,".",'Смета ЕР (общ) '!$B1530,".",'Смета ЕР (общ) '!$D1530)</f>
        <v>Р9.2.517</v>
      </c>
      <c r="F1530" s="36">
        <f t="shared" si="117"/>
        <v>1</v>
      </c>
      <c r="G1530" s="36"/>
      <c r="H1530" s="36"/>
      <c r="I1530" s="36"/>
      <c r="J1530" s="36"/>
      <c r="K1530" s="36"/>
      <c r="L1530" s="161" t="s">
        <v>1621</v>
      </c>
      <c r="M1530" s="38" t="s">
        <v>118</v>
      </c>
      <c r="N1530" s="39"/>
      <c r="O1530" s="40">
        <f t="shared" si="119"/>
        <v>24.381</v>
      </c>
      <c r="P1530" s="40">
        <f>[1]Освещение!H86</f>
        <v>243.81</v>
      </c>
      <c r="Q1530" s="40">
        <f t="shared" si="115"/>
        <v>24.38</v>
      </c>
      <c r="R1530" s="66">
        <f t="shared" si="118"/>
        <v>243.81</v>
      </c>
      <c r="S1530" s="62">
        <f>ROUND('Смета ЕР (общ) '!$N1530*'Смета ЕР (общ) '!$Q1530,2)</f>
        <v>0</v>
      </c>
      <c r="T1530" s="62">
        <f>ROUND('Смета ЕР (общ) '!$N1530*'Смета ЕР (общ) '!$R1530,2)</f>
        <v>0</v>
      </c>
      <c r="U1530" s="73" t="s">
        <v>1549</v>
      </c>
      <c r="V1530" s="68"/>
    </row>
    <row r="1531" spans="1:22" s="46" customFormat="1" ht="14.4" x14ac:dyDescent="0.3">
      <c r="A1531" s="159" t="s">
        <v>1169</v>
      </c>
      <c r="B1531" s="159">
        <v>2</v>
      </c>
      <c r="C1531" s="159"/>
      <c r="D1531" s="159">
        <v>518</v>
      </c>
      <c r="E1531" s="159" t="str">
        <f>CONCATENATE('Смета ЕР (общ) '!$A1531,".",'Смета ЕР (общ) '!$B1531,".",'Смета ЕР (общ) '!$D1531)</f>
        <v>Р9.2.518</v>
      </c>
      <c r="F1531" s="36">
        <f t="shared" si="117"/>
        <v>1</v>
      </c>
      <c r="G1531" s="36"/>
      <c r="H1531" s="36"/>
      <c r="I1531" s="36"/>
      <c r="J1531" s="36"/>
      <c r="K1531" s="36"/>
      <c r="L1531" s="161" t="s">
        <v>1622</v>
      </c>
      <c r="M1531" s="38" t="s">
        <v>118</v>
      </c>
      <c r="N1531" s="39"/>
      <c r="O1531" s="40">
        <f t="shared" si="119"/>
        <v>500.56650000000002</v>
      </c>
      <c r="P1531" s="40">
        <f>[1]Освещение!H87</f>
        <v>5005.665</v>
      </c>
      <c r="Q1531" s="40">
        <f t="shared" si="115"/>
        <v>500.57</v>
      </c>
      <c r="R1531" s="66">
        <f t="shared" si="118"/>
        <v>5005.665</v>
      </c>
      <c r="S1531" s="62">
        <f>ROUND('Смета ЕР (общ) '!$N1531*'Смета ЕР (общ) '!$Q1531,2)</f>
        <v>0</v>
      </c>
      <c r="T1531" s="62">
        <f>ROUND('Смета ЕР (общ) '!$N1531*'Смета ЕР (общ) '!$R1531,2)</f>
        <v>0</v>
      </c>
      <c r="U1531" s="73" t="s">
        <v>1549</v>
      </c>
      <c r="V1531" s="68"/>
    </row>
    <row r="1532" spans="1:22" s="46" customFormat="1" ht="14.4" x14ac:dyDescent="0.3">
      <c r="A1532" s="159" t="s">
        <v>1169</v>
      </c>
      <c r="B1532" s="159">
        <v>2</v>
      </c>
      <c r="C1532" s="159"/>
      <c r="D1532" s="159">
        <v>519</v>
      </c>
      <c r="E1532" s="159" t="str">
        <f>CONCATENATE('Смета ЕР (общ) '!$A1532,".",'Смета ЕР (общ) '!$B1532,".",'Смета ЕР (общ) '!$D1532)</f>
        <v>Р9.2.519</v>
      </c>
      <c r="F1532" s="36">
        <f t="shared" si="117"/>
        <v>1</v>
      </c>
      <c r="G1532" s="36"/>
      <c r="H1532" s="36"/>
      <c r="I1532" s="36"/>
      <c r="J1532" s="36"/>
      <c r="K1532" s="36"/>
      <c r="L1532" s="161" t="s">
        <v>1623</v>
      </c>
      <c r="M1532" s="38" t="s">
        <v>118</v>
      </c>
      <c r="N1532" s="39"/>
      <c r="O1532" s="40">
        <f t="shared" si="119"/>
        <v>66.528000000000006</v>
      </c>
      <c r="P1532" s="40">
        <f>[1]Освещение!H88</f>
        <v>665.28000000000009</v>
      </c>
      <c r="Q1532" s="40">
        <f t="shared" si="115"/>
        <v>66.53</v>
      </c>
      <c r="R1532" s="66">
        <f t="shared" si="118"/>
        <v>665.28000000000009</v>
      </c>
      <c r="S1532" s="62">
        <f>ROUND('Смета ЕР (общ) '!$N1532*'Смета ЕР (общ) '!$Q1532,2)</f>
        <v>0</v>
      </c>
      <c r="T1532" s="62">
        <f>ROUND('Смета ЕР (общ) '!$N1532*'Смета ЕР (общ) '!$R1532,2)</f>
        <v>0</v>
      </c>
      <c r="U1532" s="73" t="s">
        <v>1549</v>
      </c>
      <c r="V1532" s="68"/>
    </row>
    <row r="1533" spans="1:22" s="46" customFormat="1" ht="14.4" x14ac:dyDescent="0.3">
      <c r="A1533" s="159" t="s">
        <v>1169</v>
      </c>
      <c r="B1533" s="159">
        <v>2</v>
      </c>
      <c r="C1533" s="159"/>
      <c r="D1533" s="159">
        <v>520</v>
      </c>
      <c r="E1533" s="159" t="str">
        <f>CONCATENATE('Смета ЕР (общ) '!$A1533,".",'Смета ЕР (общ) '!$B1533,".",'Смета ЕР (общ) '!$D1533)</f>
        <v>Р9.2.520</v>
      </c>
      <c r="F1533" s="36">
        <f t="shared" si="117"/>
        <v>1</v>
      </c>
      <c r="G1533" s="36"/>
      <c r="H1533" s="36"/>
      <c r="I1533" s="36"/>
      <c r="J1533" s="36"/>
      <c r="K1533" s="36"/>
      <c r="L1533" s="161" t="s">
        <v>1624</v>
      </c>
      <c r="M1533" s="38" t="s">
        <v>118</v>
      </c>
      <c r="N1533" s="39"/>
      <c r="O1533" s="40">
        <f t="shared" si="119"/>
        <v>22.302000000000003</v>
      </c>
      <c r="P1533" s="40">
        <f>[1]Освещение!H89</f>
        <v>223.02</v>
      </c>
      <c r="Q1533" s="40">
        <f t="shared" si="115"/>
        <v>22.3</v>
      </c>
      <c r="R1533" s="66">
        <f t="shared" si="118"/>
        <v>223.02</v>
      </c>
      <c r="S1533" s="62">
        <f>ROUND('Смета ЕР (общ) '!$N1533*'Смета ЕР (общ) '!$Q1533,2)</f>
        <v>0</v>
      </c>
      <c r="T1533" s="62">
        <f>ROUND('Смета ЕР (общ) '!$N1533*'Смета ЕР (общ) '!$R1533,2)</f>
        <v>0</v>
      </c>
      <c r="U1533" s="73" t="s">
        <v>1549</v>
      </c>
      <c r="V1533" s="68"/>
    </row>
    <row r="1534" spans="1:22" s="46" customFormat="1" ht="14.4" x14ac:dyDescent="0.3">
      <c r="A1534" s="159" t="s">
        <v>1169</v>
      </c>
      <c r="B1534" s="159">
        <v>2</v>
      </c>
      <c r="C1534" s="159"/>
      <c r="D1534" s="159">
        <v>521</v>
      </c>
      <c r="E1534" s="159" t="str">
        <f>CONCATENATE('Смета ЕР (общ) '!$A1534,".",'Смета ЕР (общ) '!$B1534,".",'Смета ЕР (общ) '!$D1534)</f>
        <v>Р9.2.521</v>
      </c>
      <c r="F1534" s="36">
        <f t="shared" si="117"/>
        <v>1</v>
      </c>
      <c r="G1534" s="36"/>
      <c r="H1534" s="36"/>
      <c r="I1534" s="36"/>
      <c r="J1534" s="36"/>
      <c r="K1534" s="36"/>
      <c r="L1534" s="161" t="s">
        <v>1625</v>
      </c>
      <c r="M1534" s="38" t="s">
        <v>118</v>
      </c>
      <c r="N1534" s="39"/>
      <c r="O1534" s="40">
        <f t="shared" si="119"/>
        <v>91.66500000000002</v>
      </c>
      <c r="P1534" s="40">
        <f>[1]Освещение!H90</f>
        <v>916.65000000000009</v>
      </c>
      <c r="Q1534" s="40">
        <f t="shared" si="115"/>
        <v>91.67</v>
      </c>
      <c r="R1534" s="66">
        <f t="shared" si="118"/>
        <v>916.65000000000009</v>
      </c>
      <c r="S1534" s="62">
        <f>ROUND('Смета ЕР (общ) '!$N1534*'Смета ЕР (общ) '!$Q1534,2)</f>
        <v>0</v>
      </c>
      <c r="T1534" s="62">
        <f>ROUND('Смета ЕР (общ) '!$N1534*'Смета ЕР (общ) '!$R1534,2)</f>
        <v>0</v>
      </c>
      <c r="U1534" s="73" t="s">
        <v>1549</v>
      </c>
      <c r="V1534" s="68"/>
    </row>
    <row r="1535" spans="1:22" s="46" customFormat="1" ht="14.4" x14ac:dyDescent="0.3">
      <c r="A1535" s="159" t="s">
        <v>1169</v>
      </c>
      <c r="B1535" s="159">
        <v>2</v>
      </c>
      <c r="C1535" s="159"/>
      <c r="D1535" s="159">
        <v>522</v>
      </c>
      <c r="E1535" s="159" t="str">
        <f>CONCATENATE('Смета ЕР (общ) '!$A1535,".",'Смета ЕР (общ) '!$B1535,".",'Смета ЕР (общ) '!$D1535)</f>
        <v>Р9.2.522</v>
      </c>
      <c r="F1535" s="36">
        <f t="shared" si="117"/>
        <v>1</v>
      </c>
      <c r="G1535" s="36"/>
      <c r="H1535" s="36"/>
      <c r="I1535" s="36"/>
      <c r="J1535" s="36"/>
      <c r="K1535" s="36"/>
      <c r="L1535" s="161" t="s">
        <v>1626</v>
      </c>
      <c r="M1535" s="38" t="s">
        <v>118</v>
      </c>
      <c r="N1535" s="39"/>
      <c r="O1535" s="40">
        <f t="shared" si="119"/>
        <v>17.482500000000002</v>
      </c>
      <c r="P1535" s="40">
        <f>[1]Освещение!H91</f>
        <v>174.82500000000002</v>
      </c>
      <c r="Q1535" s="40">
        <f t="shared" si="115"/>
        <v>17.48</v>
      </c>
      <c r="R1535" s="66">
        <f t="shared" si="118"/>
        <v>174.82500000000002</v>
      </c>
      <c r="S1535" s="62">
        <f>ROUND('Смета ЕР (общ) '!$N1535*'Смета ЕР (общ) '!$Q1535,2)</f>
        <v>0</v>
      </c>
      <c r="T1535" s="62">
        <f>ROUND('Смета ЕР (общ) '!$N1535*'Смета ЕР (общ) '!$R1535,2)</f>
        <v>0</v>
      </c>
      <c r="U1535" s="73" t="s">
        <v>1549</v>
      </c>
      <c r="V1535" s="68"/>
    </row>
    <row r="1536" spans="1:22" s="46" customFormat="1" ht="14.4" x14ac:dyDescent="0.3">
      <c r="A1536" s="159" t="s">
        <v>1169</v>
      </c>
      <c r="B1536" s="159">
        <v>2</v>
      </c>
      <c r="C1536" s="159"/>
      <c r="D1536" s="159">
        <v>523</v>
      </c>
      <c r="E1536" s="159" t="str">
        <f>CONCATENATE('Смета ЕР (общ) '!$A1536,".",'Смета ЕР (общ) '!$B1536,".",'Смета ЕР (общ) '!$D1536)</f>
        <v>Р9.2.523</v>
      </c>
      <c r="F1536" s="36">
        <f t="shared" si="117"/>
        <v>1</v>
      </c>
      <c r="G1536" s="36"/>
      <c r="H1536" s="36"/>
      <c r="I1536" s="36"/>
      <c r="J1536" s="36"/>
      <c r="K1536" s="36"/>
      <c r="L1536" s="161" t="s">
        <v>1627</v>
      </c>
      <c r="M1536" s="38" t="s">
        <v>118</v>
      </c>
      <c r="N1536" s="39"/>
      <c r="O1536" s="40">
        <f t="shared" si="119"/>
        <v>51.786000000000001</v>
      </c>
      <c r="P1536" s="40">
        <f>[1]Освещение!H92</f>
        <v>517.86</v>
      </c>
      <c r="Q1536" s="40">
        <f t="shared" si="115"/>
        <v>51.79</v>
      </c>
      <c r="R1536" s="66">
        <f t="shared" si="118"/>
        <v>517.86</v>
      </c>
      <c r="S1536" s="62">
        <f>ROUND('Смета ЕР (общ) '!$N1536*'Смета ЕР (общ) '!$Q1536,2)</f>
        <v>0</v>
      </c>
      <c r="T1536" s="62">
        <f>ROUND('Смета ЕР (общ) '!$N1536*'Смета ЕР (общ) '!$R1536,2)</f>
        <v>0</v>
      </c>
      <c r="U1536" s="73" t="s">
        <v>1549</v>
      </c>
      <c r="V1536" s="68"/>
    </row>
    <row r="1537" spans="1:22" s="46" customFormat="1" ht="14.4" x14ac:dyDescent="0.3">
      <c r="A1537" s="159" t="s">
        <v>1169</v>
      </c>
      <c r="B1537" s="159">
        <v>2</v>
      </c>
      <c r="C1537" s="159"/>
      <c r="D1537" s="159">
        <v>524</v>
      </c>
      <c r="E1537" s="159" t="str">
        <f>CONCATENATE('Смета ЕР (общ) '!$A1537,".",'Смета ЕР (общ) '!$B1537,".",'Смета ЕР (общ) '!$D1537)</f>
        <v>Р9.2.524</v>
      </c>
      <c r="F1537" s="36">
        <f t="shared" si="117"/>
        <v>1</v>
      </c>
      <c r="G1537" s="36"/>
      <c r="H1537" s="36"/>
      <c r="I1537" s="36"/>
      <c r="J1537" s="36"/>
      <c r="K1537" s="36"/>
      <c r="L1537" s="161" t="s">
        <v>1628</v>
      </c>
      <c r="M1537" s="38" t="s">
        <v>118</v>
      </c>
      <c r="N1537" s="39"/>
      <c r="O1537" s="40">
        <f t="shared" si="119"/>
        <v>27.971999999999998</v>
      </c>
      <c r="P1537" s="40">
        <f>[1]Освещение!H93</f>
        <v>279.71999999999997</v>
      </c>
      <c r="Q1537" s="40">
        <f t="shared" si="115"/>
        <v>27.97</v>
      </c>
      <c r="R1537" s="66">
        <f t="shared" si="118"/>
        <v>279.71999999999997</v>
      </c>
      <c r="S1537" s="62">
        <f>ROUND('Смета ЕР (общ) '!$N1537*'Смета ЕР (общ) '!$Q1537,2)</f>
        <v>0</v>
      </c>
      <c r="T1537" s="62">
        <f>ROUND('Смета ЕР (общ) '!$N1537*'Смета ЕР (общ) '!$R1537,2)</f>
        <v>0</v>
      </c>
      <c r="U1537" s="73" t="s">
        <v>1549</v>
      </c>
      <c r="V1537" s="68"/>
    </row>
    <row r="1538" spans="1:22" s="46" customFormat="1" ht="14.4" x14ac:dyDescent="0.3">
      <c r="A1538" s="159" t="s">
        <v>1169</v>
      </c>
      <c r="B1538" s="159">
        <v>2</v>
      </c>
      <c r="C1538" s="159"/>
      <c r="D1538" s="159">
        <v>525</v>
      </c>
      <c r="E1538" s="159" t="str">
        <f>CONCATENATE('Смета ЕР (общ) '!$A1538,".",'Смета ЕР (общ) '!$B1538,".",'Смета ЕР (общ) '!$D1538)</f>
        <v>Р9.2.525</v>
      </c>
      <c r="F1538" s="36">
        <f t="shared" si="117"/>
        <v>1</v>
      </c>
      <c r="G1538" s="36"/>
      <c r="H1538" s="36"/>
      <c r="I1538" s="36"/>
      <c r="J1538" s="36"/>
      <c r="K1538" s="36"/>
      <c r="L1538" s="161" t="s">
        <v>1629</v>
      </c>
      <c r="M1538" s="38" t="s">
        <v>118</v>
      </c>
      <c r="N1538" s="39"/>
      <c r="O1538" s="40">
        <f t="shared" si="119"/>
        <v>793.70550000000003</v>
      </c>
      <c r="P1538" s="40">
        <f>[1]Освещение!H94</f>
        <v>7937.0550000000003</v>
      </c>
      <c r="Q1538" s="40">
        <f t="shared" si="115"/>
        <v>793.71</v>
      </c>
      <c r="R1538" s="66">
        <f t="shared" si="118"/>
        <v>7937.0550000000003</v>
      </c>
      <c r="S1538" s="62">
        <f>ROUND('Смета ЕР (общ) '!$N1538*'Смета ЕР (общ) '!$Q1538,2)</f>
        <v>0</v>
      </c>
      <c r="T1538" s="62">
        <f>ROUND('Смета ЕР (общ) '!$N1538*'Смета ЕР (общ) '!$R1538,2)</f>
        <v>0</v>
      </c>
      <c r="U1538" s="73" t="s">
        <v>1549</v>
      </c>
      <c r="V1538" s="68"/>
    </row>
    <row r="1539" spans="1:22" s="46" customFormat="1" ht="14.4" x14ac:dyDescent="0.3">
      <c r="A1539" s="159" t="s">
        <v>1169</v>
      </c>
      <c r="B1539" s="159">
        <v>2</v>
      </c>
      <c r="C1539" s="159"/>
      <c r="D1539" s="159">
        <v>526</v>
      </c>
      <c r="E1539" s="159" t="str">
        <f>CONCATENATE('Смета ЕР (общ) '!$A1539,".",'Смета ЕР (общ) '!$B1539,".",'Смета ЕР (общ) '!$D1539)</f>
        <v>Р9.2.526</v>
      </c>
      <c r="F1539" s="36">
        <f t="shared" si="117"/>
        <v>1</v>
      </c>
      <c r="G1539" s="36"/>
      <c r="H1539" s="36"/>
      <c r="I1539" s="36"/>
      <c r="J1539" s="36"/>
      <c r="K1539" s="36"/>
      <c r="L1539" s="161" t="s">
        <v>1630</v>
      </c>
      <c r="M1539" s="38" t="s">
        <v>118</v>
      </c>
      <c r="N1539" s="39"/>
      <c r="O1539" s="40">
        <f t="shared" si="119"/>
        <v>177.75450000000001</v>
      </c>
      <c r="P1539" s="40">
        <f>[1]Освещение!H95</f>
        <v>1777.5450000000001</v>
      </c>
      <c r="Q1539" s="40">
        <f t="shared" si="115"/>
        <v>177.75</v>
      </c>
      <c r="R1539" s="66">
        <f t="shared" si="118"/>
        <v>1777.5450000000001</v>
      </c>
      <c r="S1539" s="62">
        <f>ROUND('Смета ЕР (общ) '!$N1539*'Смета ЕР (общ) '!$Q1539,2)</f>
        <v>0</v>
      </c>
      <c r="T1539" s="62">
        <f>ROUND('Смета ЕР (общ) '!$N1539*'Смета ЕР (общ) '!$R1539,2)</f>
        <v>0</v>
      </c>
      <c r="U1539" s="73" t="s">
        <v>1549</v>
      </c>
      <c r="V1539" s="68"/>
    </row>
    <row r="1540" spans="1:22" s="46" customFormat="1" ht="14.4" x14ac:dyDescent="0.3">
      <c r="A1540" s="159" t="s">
        <v>1169</v>
      </c>
      <c r="B1540" s="159">
        <v>2</v>
      </c>
      <c r="C1540" s="159"/>
      <c r="D1540" s="159">
        <v>527</v>
      </c>
      <c r="E1540" s="159" t="str">
        <f>CONCATENATE('Смета ЕР (общ) '!$A1540,".",'Смета ЕР (общ) '!$B1540,".",'Смета ЕР (общ) '!$D1540)</f>
        <v>Р9.2.527</v>
      </c>
      <c r="F1540" s="36">
        <f t="shared" si="117"/>
        <v>1</v>
      </c>
      <c r="G1540" s="36"/>
      <c r="H1540" s="36"/>
      <c r="I1540" s="36"/>
      <c r="J1540" s="36"/>
      <c r="K1540" s="36"/>
      <c r="L1540" s="161" t="s">
        <v>1622</v>
      </c>
      <c r="M1540" s="38" t="s">
        <v>118</v>
      </c>
      <c r="N1540" s="39"/>
      <c r="O1540" s="40">
        <f t="shared" si="119"/>
        <v>500.56650000000002</v>
      </c>
      <c r="P1540" s="40">
        <f>[1]Освещение!H96</f>
        <v>5005.665</v>
      </c>
      <c r="Q1540" s="40">
        <f t="shared" si="115"/>
        <v>500.57</v>
      </c>
      <c r="R1540" s="66">
        <f t="shared" si="118"/>
        <v>5005.665</v>
      </c>
      <c r="S1540" s="62">
        <f>ROUND('Смета ЕР (общ) '!$N1540*'Смета ЕР (общ) '!$Q1540,2)</f>
        <v>0</v>
      </c>
      <c r="T1540" s="62">
        <f>ROUND('Смета ЕР (общ) '!$N1540*'Смета ЕР (общ) '!$R1540,2)</f>
        <v>0</v>
      </c>
      <c r="U1540" s="73" t="s">
        <v>1549</v>
      </c>
      <c r="V1540" s="68"/>
    </row>
    <row r="1541" spans="1:22" s="46" customFormat="1" ht="14.4" x14ac:dyDescent="0.3">
      <c r="A1541" s="159" t="s">
        <v>1169</v>
      </c>
      <c r="B1541" s="159">
        <v>2</v>
      </c>
      <c r="C1541" s="159"/>
      <c r="D1541" s="159">
        <v>528</v>
      </c>
      <c r="E1541" s="159" t="str">
        <f>CONCATENATE('Смета ЕР (общ) '!$A1541,".",'Смета ЕР (общ) '!$B1541,".",'Смета ЕР (общ) '!$D1541)</f>
        <v>Р9.2.528</v>
      </c>
      <c r="F1541" s="36">
        <f t="shared" si="117"/>
        <v>1</v>
      </c>
      <c r="G1541" s="36"/>
      <c r="H1541" s="36"/>
      <c r="I1541" s="36"/>
      <c r="J1541" s="36"/>
      <c r="K1541" s="36"/>
      <c r="L1541" s="161" t="s">
        <v>1626</v>
      </c>
      <c r="M1541" s="38" t="s">
        <v>118</v>
      </c>
      <c r="N1541" s="39"/>
      <c r="O1541" s="40">
        <f t="shared" si="119"/>
        <v>17.482500000000002</v>
      </c>
      <c r="P1541" s="40">
        <f>[1]Освещение!H97</f>
        <v>174.82500000000002</v>
      </c>
      <c r="Q1541" s="40">
        <f t="shared" si="115"/>
        <v>17.48</v>
      </c>
      <c r="R1541" s="66">
        <f t="shared" si="118"/>
        <v>174.82500000000002</v>
      </c>
      <c r="S1541" s="62">
        <f>ROUND('Смета ЕР (общ) '!$N1541*'Смета ЕР (общ) '!$Q1541,2)</f>
        <v>0</v>
      </c>
      <c r="T1541" s="62">
        <f>ROUND('Смета ЕР (общ) '!$N1541*'Смета ЕР (общ) '!$R1541,2)</f>
        <v>0</v>
      </c>
      <c r="U1541" s="73" t="s">
        <v>1549</v>
      </c>
      <c r="V1541" s="68"/>
    </row>
    <row r="1542" spans="1:22" s="46" customFormat="1" ht="14.4" x14ac:dyDescent="0.3">
      <c r="A1542" s="159" t="s">
        <v>1169</v>
      </c>
      <c r="B1542" s="159">
        <v>2</v>
      </c>
      <c r="C1542" s="159"/>
      <c r="D1542" s="159">
        <v>529</v>
      </c>
      <c r="E1542" s="159" t="str">
        <f>CONCATENATE('Смета ЕР (общ) '!$A1542,".",'Смета ЕР (общ) '!$B1542,".",'Смета ЕР (общ) '!$D1542)</f>
        <v>Р9.2.529</v>
      </c>
      <c r="F1542" s="36">
        <f t="shared" si="117"/>
        <v>1</v>
      </c>
      <c r="G1542" s="36"/>
      <c r="H1542" s="36"/>
      <c r="I1542" s="36"/>
      <c r="J1542" s="36"/>
      <c r="K1542" s="36"/>
      <c r="L1542" s="161" t="s">
        <v>1627</v>
      </c>
      <c r="M1542" s="38" t="s">
        <v>118</v>
      </c>
      <c r="N1542" s="39"/>
      <c r="O1542" s="40">
        <f t="shared" si="119"/>
        <v>51.786000000000001</v>
      </c>
      <c r="P1542" s="40">
        <f>[1]Освещение!H98</f>
        <v>517.86</v>
      </c>
      <c r="Q1542" s="40">
        <f t="shared" si="115"/>
        <v>51.79</v>
      </c>
      <c r="R1542" s="66">
        <f t="shared" si="118"/>
        <v>517.86</v>
      </c>
      <c r="S1542" s="62">
        <f>ROUND('Смета ЕР (общ) '!$N1542*'Смета ЕР (общ) '!$Q1542,2)</f>
        <v>0</v>
      </c>
      <c r="T1542" s="62">
        <f>ROUND('Смета ЕР (общ) '!$N1542*'Смета ЕР (общ) '!$R1542,2)</f>
        <v>0</v>
      </c>
      <c r="U1542" s="73" t="s">
        <v>1549</v>
      </c>
      <c r="V1542" s="68"/>
    </row>
    <row r="1543" spans="1:22" s="46" customFormat="1" ht="14.4" x14ac:dyDescent="0.3">
      <c r="A1543" s="159" t="s">
        <v>1169</v>
      </c>
      <c r="B1543" s="159">
        <v>2</v>
      </c>
      <c r="C1543" s="159"/>
      <c r="D1543" s="159">
        <v>530</v>
      </c>
      <c r="E1543" s="159" t="str">
        <f>CONCATENATE('Смета ЕР (общ) '!$A1543,".",'Смета ЕР (общ) '!$B1543,".",'Смета ЕР (общ) '!$D1543)</f>
        <v>Р9.2.530</v>
      </c>
      <c r="F1543" s="36">
        <f t="shared" si="117"/>
        <v>1</v>
      </c>
      <c r="G1543" s="36"/>
      <c r="H1543" s="36"/>
      <c r="I1543" s="36"/>
      <c r="J1543" s="36"/>
      <c r="K1543" s="36"/>
      <c r="L1543" s="161" t="s">
        <v>1631</v>
      </c>
      <c r="M1543" s="38" t="s">
        <v>118</v>
      </c>
      <c r="N1543" s="39"/>
      <c r="O1543" s="40">
        <f t="shared" si="119"/>
        <v>27.971999999999998</v>
      </c>
      <c r="P1543" s="40">
        <f>[1]Освещение!H99</f>
        <v>279.71999999999997</v>
      </c>
      <c r="Q1543" s="40">
        <f t="shared" si="115"/>
        <v>27.97</v>
      </c>
      <c r="R1543" s="66">
        <f t="shared" si="118"/>
        <v>279.71999999999997</v>
      </c>
      <c r="S1543" s="62">
        <f>ROUND('Смета ЕР (общ) '!$N1543*'Смета ЕР (общ) '!$Q1543,2)</f>
        <v>0</v>
      </c>
      <c r="T1543" s="62">
        <f>ROUND('Смета ЕР (общ) '!$N1543*'Смета ЕР (общ) '!$R1543,2)</f>
        <v>0</v>
      </c>
      <c r="U1543" s="73" t="s">
        <v>1549</v>
      </c>
      <c r="V1543" s="68"/>
    </row>
    <row r="1544" spans="1:22" s="46" customFormat="1" ht="14.4" x14ac:dyDescent="0.3">
      <c r="A1544" s="159" t="s">
        <v>1169</v>
      </c>
      <c r="B1544" s="159">
        <v>2</v>
      </c>
      <c r="C1544" s="159"/>
      <c r="D1544" s="159">
        <v>531</v>
      </c>
      <c r="E1544" s="159" t="str">
        <f>CONCATENATE('Смета ЕР (общ) '!$A1544,".",'Смета ЕР (общ) '!$B1544,".",'Смета ЕР (общ) '!$D1544)</f>
        <v>Р9.2.531</v>
      </c>
      <c r="F1544" s="36">
        <f t="shared" si="117"/>
        <v>1</v>
      </c>
      <c r="G1544" s="36"/>
      <c r="H1544" s="36"/>
      <c r="I1544" s="36"/>
      <c r="J1544" s="36"/>
      <c r="K1544" s="36"/>
      <c r="L1544" s="161" t="s">
        <v>1629</v>
      </c>
      <c r="M1544" s="38" t="s">
        <v>118</v>
      </c>
      <c r="N1544" s="39"/>
      <c r="O1544" s="40">
        <f t="shared" si="119"/>
        <v>793.70550000000003</v>
      </c>
      <c r="P1544" s="40">
        <f>[1]Освещение!H100</f>
        <v>7937.0550000000003</v>
      </c>
      <c r="Q1544" s="40">
        <f t="shared" si="115"/>
        <v>793.71</v>
      </c>
      <c r="R1544" s="66">
        <f t="shared" si="118"/>
        <v>7937.0550000000003</v>
      </c>
      <c r="S1544" s="62">
        <f>ROUND('Смета ЕР (общ) '!$N1544*'Смета ЕР (общ) '!$Q1544,2)</f>
        <v>0</v>
      </c>
      <c r="T1544" s="62">
        <f>ROUND('Смета ЕР (общ) '!$N1544*'Смета ЕР (общ) '!$R1544,2)</f>
        <v>0</v>
      </c>
      <c r="U1544" s="73" t="s">
        <v>1549</v>
      </c>
      <c r="V1544" s="68"/>
    </row>
    <row r="1545" spans="1:22" s="46" customFormat="1" ht="14.4" x14ac:dyDescent="0.3">
      <c r="A1545" s="159" t="s">
        <v>1169</v>
      </c>
      <c r="B1545" s="159">
        <v>2</v>
      </c>
      <c r="C1545" s="159"/>
      <c r="D1545" s="159">
        <v>532</v>
      </c>
      <c r="E1545" s="159" t="str">
        <f>CONCATENATE('Смета ЕР (общ) '!$A1545,".",'Смета ЕР (общ) '!$B1545,".",'Смета ЕР (общ) '!$D1545)</f>
        <v>Р9.2.532</v>
      </c>
      <c r="F1545" s="36">
        <f t="shared" si="117"/>
        <v>1</v>
      </c>
      <c r="G1545" s="36"/>
      <c r="H1545" s="36"/>
      <c r="I1545" s="36"/>
      <c r="J1545" s="36"/>
      <c r="K1545" s="36"/>
      <c r="L1545" s="161" t="s">
        <v>1622</v>
      </c>
      <c r="M1545" s="38" t="s">
        <v>118</v>
      </c>
      <c r="N1545" s="39"/>
      <c r="O1545" s="40">
        <f t="shared" si="119"/>
        <v>500.56650000000002</v>
      </c>
      <c r="P1545" s="40">
        <f>[1]Освещение!H101</f>
        <v>5005.665</v>
      </c>
      <c r="Q1545" s="40">
        <f t="shared" si="115"/>
        <v>500.57</v>
      </c>
      <c r="R1545" s="66">
        <f t="shared" si="118"/>
        <v>5005.665</v>
      </c>
      <c r="S1545" s="62">
        <f>ROUND('Смета ЕР (общ) '!$N1545*'Смета ЕР (общ) '!$Q1545,2)</f>
        <v>0</v>
      </c>
      <c r="T1545" s="62">
        <f>ROUND('Смета ЕР (общ) '!$N1545*'Смета ЕР (общ) '!$R1545,2)</f>
        <v>0</v>
      </c>
      <c r="U1545" s="73" t="s">
        <v>1549</v>
      </c>
      <c r="V1545" s="68"/>
    </row>
    <row r="1546" spans="1:22" s="46" customFormat="1" ht="14.4" x14ac:dyDescent="0.3">
      <c r="A1546" s="159" t="s">
        <v>1169</v>
      </c>
      <c r="B1546" s="159">
        <v>2</v>
      </c>
      <c r="C1546" s="159"/>
      <c r="D1546" s="159">
        <v>533</v>
      </c>
      <c r="E1546" s="159" t="str">
        <f>CONCATENATE('Смета ЕР (общ) '!$A1546,".",'Смета ЕР (общ) '!$B1546,".",'Смета ЕР (общ) '!$D1546)</f>
        <v>Р9.2.533</v>
      </c>
      <c r="F1546" s="36">
        <f t="shared" si="117"/>
        <v>1</v>
      </c>
      <c r="G1546" s="36"/>
      <c r="H1546" s="36"/>
      <c r="I1546" s="36"/>
      <c r="J1546" s="36"/>
      <c r="K1546" s="36"/>
      <c r="L1546" s="161" t="s">
        <v>1632</v>
      </c>
      <c r="M1546" s="38" t="s">
        <v>118</v>
      </c>
      <c r="N1546" s="39"/>
      <c r="O1546" s="40">
        <f t="shared" si="119"/>
        <v>166.88700000000003</v>
      </c>
      <c r="P1546" s="40">
        <f>[1]Освещение!H102</f>
        <v>1668.8700000000001</v>
      </c>
      <c r="Q1546" s="40">
        <f t="shared" si="115"/>
        <v>166.89</v>
      </c>
      <c r="R1546" s="66">
        <f t="shared" si="118"/>
        <v>1668.8700000000001</v>
      </c>
      <c r="S1546" s="62">
        <f>ROUND('Смета ЕР (общ) '!$N1546*'Смета ЕР (общ) '!$Q1546,2)</f>
        <v>0</v>
      </c>
      <c r="T1546" s="62">
        <f>ROUND('Смета ЕР (общ) '!$N1546*'Смета ЕР (общ) '!$R1546,2)</f>
        <v>0</v>
      </c>
      <c r="U1546" s="73" t="s">
        <v>1549</v>
      </c>
      <c r="V1546" s="68"/>
    </row>
    <row r="1547" spans="1:22" s="46" customFormat="1" ht="14.4" x14ac:dyDescent="0.3">
      <c r="A1547" s="159" t="s">
        <v>1169</v>
      </c>
      <c r="B1547" s="159">
        <v>2</v>
      </c>
      <c r="C1547" s="159"/>
      <c r="D1547" s="159">
        <v>534</v>
      </c>
      <c r="E1547" s="159" t="str">
        <f>CONCATENATE('Смета ЕР (общ) '!$A1547,".",'Смета ЕР (общ) '!$B1547,".",'Смета ЕР (общ) '!$D1547)</f>
        <v>Р9.2.534</v>
      </c>
      <c r="F1547" s="36">
        <f t="shared" si="117"/>
        <v>1</v>
      </c>
      <c r="G1547" s="36"/>
      <c r="H1547" s="36"/>
      <c r="I1547" s="36"/>
      <c r="J1547" s="36"/>
      <c r="K1547" s="36"/>
      <c r="L1547" s="161" t="s">
        <v>1623</v>
      </c>
      <c r="M1547" s="38" t="s">
        <v>118</v>
      </c>
      <c r="N1547" s="39"/>
      <c r="O1547" s="40">
        <f t="shared" si="119"/>
        <v>66.528000000000006</v>
      </c>
      <c r="P1547" s="40">
        <f>[1]Освещение!H103</f>
        <v>665.28000000000009</v>
      </c>
      <c r="Q1547" s="40">
        <f t="shared" si="115"/>
        <v>66.53</v>
      </c>
      <c r="R1547" s="66">
        <f t="shared" si="118"/>
        <v>665.28000000000009</v>
      </c>
      <c r="S1547" s="62">
        <f>ROUND('Смета ЕР (общ) '!$N1547*'Смета ЕР (общ) '!$Q1547,2)</f>
        <v>0</v>
      </c>
      <c r="T1547" s="62">
        <f>ROUND('Смета ЕР (общ) '!$N1547*'Смета ЕР (общ) '!$R1547,2)</f>
        <v>0</v>
      </c>
      <c r="U1547" s="73" t="s">
        <v>1549</v>
      </c>
      <c r="V1547" s="68"/>
    </row>
    <row r="1548" spans="1:22" s="46" customFormat="1" ht="14.4" x14ac:dyDescent="0.3">
      <c r="A1548" s="159" t="s">
        <v>1169</v>
      </c>
      <c r="B1548" s="159">
        <v>2</v>
      </c>
      <c r="C1548" s="159"/>
      <c r="D1548" s="159">
        <v>535</v>
      </c>
      <c r="E1548" s="159" t="str">
        <f>CONCATENATE('Смета ЕР (общ) '!$A1548,".",'Смета ЕР (общ) '!$B1548,".",'Смета ЕР (общ) '!$D1548)</f>
        <v>Р9.2.535</v>
      </c>
      <c r="F1548" s="36">
        <f t="shared" si="117"/>
        <v>1</v>
      </c>
      <c r="G1548" s="36"/>
      <c r="H1548" s="36"/>
      <c r="I1548" s="36"/>
      <c r="J1548" s="36"/>
      <c r="K1548" s="36"/>
      <c r="L1548" s="161" t="s">
        <v>1625</v>
      </c>
      <c r="M1548" s="38" t="s">
        <v>118</v>
      </c>
      <c r="N1548" s="39"/>
      <c r="O1548" s="40">
        <f t="shared" si="119"/>
        <v>91.66500000000002</v>
      </c>
      <c r="P1548" s="40">
        <f>[1]Освещение!H104</f>
        <v>916.65000000000009</v>
      </c>
      <c r="Q1548" s="40">
        <f t="shared" si="115"/>
        <v>91.67</v>
      </c>
      <c r="R1548" s="66">
        <f t="shared" si="118"/>
        <v>916.65000000000009</v>
      </c>
      <c r="S1548" s="62">
        <f>ROUND('Смета ЕР (общ) '!$N1548*'Смета ЕР (общ) '!$Q1548,2)</f>
        <v>0</v>
      </c>
      <c r="T1548" s="62">
        <f>ROUND('Смета ЕР (общ) '!$N1548*'Смета ЕР (общ) '!$R1548,2)</f>
        <v>0</v>
      </c>
      <c r="U1548" s="73" t="s">
        <v>1549</v>
      </c>
      <c r="V1548" s="68"/>
    </row>
    <row r="1549" spans="1:22" s="46" customFormat="1" ht="14.4" x14ac:dyDescent="0.3">
      <c r="A1549" s="159" t="s">
        <v>1169</v>
      </c>
      <c r="B1549" s="159">
        <v>2</v>
      </c>
      <c r="C1549" s="159"/>
      <c r="D1549" s="159">
        <v>536</v>
      </c>
      <c r="E1549" s="159" t="str">
        <f>CONCATENATE('Смета ЕР (общ) '!$A1549,".",'Смета ЕР (общ) '!$B1549,".",'Смета ЕР (общ) '!$D1549)</f>
        <v>Р9.2.536</v>
      </c>
      <c r="F1549" s="36">
        <f t="shared" si="117"/>
        <v>1</v>
      </c>
      <c r="G1549" s="36"/>
      <c r="H1549" s="36"/>
      <c r="I1549" s="36"/>
      <c r="J1549" s="36"/>
      <c r="K1549" s="36"/>
      <c r="L1549" s="161" t="s">
        <v>1633</v>
      </c>
      <c r="M1549" s="38" t="s">
        <v>118</v>
      </c>
      <c r="N1549" s="39"/>
      <c r="O1549" s="40">
        <f t="shared" si="119"/>
        <v>4.0635000000000003</v>
      </c>
      <c r="P1549" s="40">
        <f>[1]Освещение!H105</f>
        <v>40.635000000000005</v>
      </c>
      <c r="Q1549" s="40">
        <f t="shared" si="115"/>
        <v>4.0599999999999996</v>
      </c>
      <c r="R1549" s="66">
        <f t="shared" si="118"/>
        <v>40.635000000000005</v>
      </c>
      <c r="S1549" s="62">
        <f>ROUND('Смета ЕР (общ) '!$N1549*'Смета ЕР (общ) '!$Q1549,2)</f>
        <v>0</v>
      </c>
      <c r="T1549" s="62">
        <f>ROUND('Смета ЕР (общ) '!$N1549*'Смета ЕР (общ) '!$R1549,2)</f>
        <v>0</v>
      </c>
      <c r="U1549" s="73" t="s">
        <v>1549</v>
      </c>
      <c r="V1549" s="68"/>
    </row>
    <row r="1550" spans="1:22" s="46" customFormat="1" ht="14.4" x14ac:dyDescent="0.3">
      <c r="A1550" s="159" t="s">
        <v>1169</v>
      </c>
      <c r="B1550" s="159">
        <v>2</v>
      </c>
      <c r="C1550" s="159"/>
      <c r="D1550" s="159">
        <v>537</v>
      </c>
      <c r="E1550" s="159" t="str">
        <f>CONCATENATE('Смета ЕР (общ) '!$A1550,".",'Смета ЕР (общ) '!$B1550,".",'Смета ЕР (общ) '!$D1550)</f>
        <v>Р9.2.537</v>
      </c>
      <c r="F1550" s="36">
        <f t="shared" si="117"/>
        <v>1</v>
      </c>
      <c r="G1550" s="36"/>
      <c r="H1550" s="36"/>
      <c r="I1550" s="36"/>
      <c r="J1550" s="36"/>
      <c r="K1550" s="36"/>
      <c r="L1550" s="161" t="s">
        <v>1626</v>
      </c>
      <c r="M1550" s="38" t="s">
        <v>118</v>
      </c>
      <c r="N1550" s="39"/>
      <c r="O1550" s="40">
        <f t="shared" si="119"/>
        <v>17.482500000000002</v>
      </c>
      <c r="P1550" s="40">
        <f>[1]Освещение!H106</f>
        <v>174.82500000000002</v>
      </c>
      <c r="Q1550" s="40">
        <f t="shared" si="115"/>
        <v>17.48</v>
      </c>
      <c r="R1550" s="66">
        <f t="shared" si="118"/>
        <v>174.82500000000002</v>
      </c>
      <c r="S1550" s="62">
        <f>ROUND('Смета ЕР (общ) '!$N1550*'Смета ЕР (общ) '!$Q1550,2)</f>
        <v>0</v>
      </c>
      <c r="T1550" s="62">
        <f>ROUND('Смета ЕР (общ) '!$N1550*'Смета ЕР (общ) '!$R1550,2)</f>
        <v>0</v>
      </c>
      <c r="U1550" s="73" t="s">
        <v>1549</v>
      </c>
      <c r="V1550" s="68"/>
    </row>
    <row r="1551" spans="1:22" s="46" customFormat="1" ht="14.4" x14ac:dyDescent="0.3">
      <c r="A1551" s="159" t="s">
        <v>1169</v>
      </c>
      <c r="B1551" s="159">
        <v>2</v>
      </c>
      <c r="C1551" s="159"/>
      <c r="D1551" s="159">
        <v>538</v>
      </c>
      <c r="E1551" s="159" t="str">
        <f>CONCATENATE('Смета ЕР (общ) '!$A1551,".",'Смета ЕР (общ) '!$B1551,".",'Смета ЕР (общ) '!$D1551)</f>
        <v>Р9.2.538</v>
      </c>
      <c r="F1551" s="36">
        <f t="shared" si="117"/>
        <v>1</v>
      </c>
      <c r="G1551" s="36"/>
      <c r="H1551" s="36"/>
      <c r="I1551" s="36"/>
      <c r="J1551" s="36"/>
      <c r="K1551" s="36"/>
      <c r="L1551" s="161" t="s">
        <v>1627</v>
      </c>
      <c r="M1551" s="38" t="s">
        <v>118</v>
      </c>
      <c r="N1551" s="39"/>
      <c r="O1551" s="40">
        <f t="shared" si="119"/>
        <v>51.786000000000001</v>
      </c>
      <c r="P1551" s="40">
        <f>[1]Освещение!H107</f>
        <v>517.86</v>
      </c>
      <c r="Q1551" s="40">
        <f t="shared" si="115"/>
        <v>51.79</v>
      </c>
      <c r="R1551" s="66">
        <f t="shared" si="118"/>
        <v>517.86</v>
      </c>
      <c r="S1551" s="62">
        <f>ROUND('Смета ЕР (общ) '!$N1551*'Смета ЕР (общ) '!$Q1551,2)</f>
        <v>0</v>
      </c>
      <c r="T1551" s="62">
        <f>ROUND('Смета ЕР (общ) '!$N1551*'Смета ЕР (общ) '!$R1551,2)</f>
        <v>0</v>
      </c>
      <c r="U1551" s="73" t="s">
        <v>1549</v>
      </c>
      <c r="V1551" s="68"/>
    </row>
    <row r="1552" spans="1:22" s="46" customFormat="1" ht="14.4" x14ac:dyDescent="0.3">
      <c r="A1552" s="159" t="s">
        <v>1169</v>
      </c>
      <c r="B1552" s="159">
        <v>2</v>
      </c>
      <c r="C1552" s="159"/>
      <c r="D1552" s="159">
        <v>539</v>
      </c>
      <c r="E1552" s="159" t="str">
        <f>CONCATENATE('Смета ЕР (общ) '!$A1552,".",'Смета ЕР (общ) '!$B1552,".",'Смета ЕР (общ) '!$D1552)</f>
        <v>Р9.2.539</v>
      </c>
      <c r="F1552" s="36">
        <f t="shared" si="117"/>
        <v>1</v>
      </c>
      <c r="G1552" s="36"/>
      <c r="H1552" s="36"/>
      <c r="I1552" s="36"/>
      <c r="J1552" s="36"/>
      <c r="K1552" s="36"/>
      <c r="L1552" s="161" t="s">
        <v>1631</v>
      </c>
      <c r="M1552" s="38" t="s">
        <v>118</v>
      </c>
      <c r="N1552" s="39"/>
      <c r="O1552" s="40">
        <f t="shared" si="119"/>
        <v>27.971999999999998</v>
      </c>
      <c r="P1552" s="40">
        <f>[1]Освещение!H108</f>
        <v>279.71999999999997</v>
      </c>
      <c r="Q1552" s="40">
        <f t="shared" si="115"/>
        <v>27.97</v>
      </c>
      <c r="R1552" s="66">
        <f t="shared" si="118"/>
        <v>279.71999999999997</v>
      </c>
      <c r="S1552" s="62">
        <f>ROUND('Смета ЕР (общ) '!$N1552*'Смета ЕР (общ) '!$Q1552,2)</f>
        <v>0</v>
      </c>
      <c r="T1552" s="62">
        <f>ROUND('Смета ЕР (общ) '!$N1552*'Смета ЕР (общ) '!$R1552,2)</f>
        <v>0</v>
      </c>
      <c r="U1552" s="73" t="s">
        <v>1549</v>
      </c>
      <c r="V1552" s="68"/>
    </row>
    <row r="1553" spans="1:22" s="46" customFormat="1" ht="14.4" x14ac:dyDescent="0.3">
      <c r="A1553" s="159" t="s">
        <v>1169</v>
      </c>
      <c r="B1553" s="159">
        <v>2</v>
      </c>
      <c r="C1553" s="159"/>
      <c r="D1553" s="159">
        <v>540</v>
      </c>
      <c r="E1553" s="159" t="str">
        <f>CONCATENATE('Смета ЕР (общ) '!$A1553,".",'Смета ЕР (общ) '!$B1553,".",'Смета ЕР (общ) '!$D1553)</f>
        <v>Р9.2.540</v>
      </c>
      <c r="F1553" s="36">
        <f t="shared" ref="F1553:F1616" si="120">IF(N1553&gt;0,F1552+1,F1552)</f>
        <v>1</v>
      </c>
      <c r="G1553" s="36"/>
      <c r="H1553" s="36"/>
      <c r="I1553" s="36"/>
      <c r="J1553" s="36"/>
      <c r="K1553" s="36"/>
      <c r="L1553" s="161" t="s">
        <v>1629</v>
      </c>
      <c r="M1553" s="38" t="s">
        <v>118</v>
      </c>
      <c r="N1553" s="39"/>
      <c r="O1553" s="40">
        <f t="shared" si="119"/>
        <v>793.70550000000003</v>
      </c>
      <c r="P1553" s="40">
        <f>[1]Освещение!H109</f>
        <v>7937.0550000000003</v>
      </c>
      <c r="Q1553" s="40">
        <f t="shared" si="115"/>
        <v>793.71</v>
      </c>
      <c r="R1553" s="66">
        <f t="shared" si="118"/>
        <v>7937.0550000000003</v>
      </c>
      <c r="S1553" s="62">
        <f>ROUND('Смета ЕР (общ) '!$N1553*'Смета ЕР (общ) '!$Q1553,2)</f>
        <v>0</v>
      </c>
      <c r="T1553" s="62">
        <f>ROUND('Смета ЕР (общ) '!$N1553*'Смета ЕР (общ) '!$R1553,2)</f>
        <v>0</v>
      </c>
      <c r="U1553" s="73" t="s">
        <v>1549</v>
      </c>
      <c r="V1553" s="68"/>
    </row>
    <row r="1554" spans="1:22" s="46" customFormat="1" ht="14.4" x14ac:dyDescent="0.3">
      <c r="A1554" s="159" t="s">
        <v>1169</v>
      </c>
      <c r="B1554" s="159">
        <v>2</v>
      </c>
      <c r="C1554" s="159"/>
      <c r="D1554" s="159">
        <v>541</v>
      </c>
      <c r="E1554" s="159" t="str">
        <f>CONCATENATE('Смета ЕР (общ) '!$A1554,".",'Смета ЕР (общ) '!$B1554,".",'Смета ЕР (общ) '!$D1554)</f>
        <v>Р9.2.541</v>
      </c>
      <c r="F1554" s="36">
        <f t="shared" si="120"/>
        <v>1</v>
      </c>
      <c r="G1554" s="36"/>
      <c r="H1554" s="36"/>
      <c r="I1554" s="36"/>
      <c r="J1554" s="36"/>
      <c r="K1554" s="36"/>
      <c r="L1554" s="161" t="s">
        <v>1622</v>
      </c>
      <c r="M1554" s="38" t="s">
        <v>118</v>
      </c>
      <c r="N1554" s="39"/>
      <c r="O1554" s="40">
        <f t="shared" si="119"/>
        <v>500.56650000000002</v>
      </c>
      <c r="P1554" s="40">
        <f>[1]Освещение!H110</f>
        <v>5005.665</v>
      </c>
      <c r="Q1554" s="40">
        <f t="shared" si="115"/>
        <v>500.57</v>
      </c>
      <c r="R1554" s="66">
        <f t="shared" si="118"/>
        <v>5005.665</v>
      </c>
      <c r="S1554" s="62">
        <f>ROUND('Смета ЕР (общ) '!$N1554*'Смета ЕР (общ) '!$Q1554,2)</f>
        <v>0</v>
      </c>
      <c r="T1554" s="62">
        <f>ROUND('Смета ЕР (общ) '!$N1554*'Смета ЕР (общ) '!$R1554,2)</f>
        <v>0</v>
      </c>
      <c r="U1554" s="73" t="s">
        <v>1549</v>
      </c>
      <c r="V1554" s="68"/>
    </row>
    <row r="1555" spans="1:22" s="46" customFormat="1" ht="14.4" x14ac:dyDescent="0.3">
      <c r="A1555" s="159" t="s">
        <v>1169</v>
      </c>
      <c r="B1555" s="159">
        <v>2</v>
      </c>
      <c r="C1555" s="159"/>
      <c r="D1555" s="159">
        <v>542</v>
      </c>
      <c r="E1555" s="159" t="str">
        <f>CONCATENATE('Смета ЕР (общ) '!$A1555,".",'Смета ЕР (общ) '!$B1555,".",'Смета ЕР (общ) '!$D1555)</f>
        <v>Р9.2.542</v>
      </c>
      <c r="F1555" s="36">
        <f t="shared" si="120"/>
        <v>1</v>
      </c>
      <c r="G1555" s="36"/>
      <c r="H1555" s="36"/>
      <c r="I1555" s="36"/>
      <c r="J1555" s="36"/>
      <c r="K1555" s="36"/>
      <c r="L1555" s="161" t="s">
        <v>1632</v>
      </c>
      <c r="M1555" s="38" t="s">
        <v>118</v>
      </c>
      <c r="N1555" s="39"/>
      <c r="O1555" s="40">
        <f t="shared" si="119"/>
        <v>166.88700000000003</v>
      </c>
      <c r="P1555" s="40">
        <f>[1]Освещение!H111</f>
        <v>1668.8700000000001</v>
      </c>
      <c r="Q1555" s="40">
        <f t="shared" si="115"/>
        <v>166.89</v>
      </c>
      <c r="R1555" s="66">
        <f t="shared" si="118"/>
        <v>1668.8700000000001</v>
      </c>
      <c r="S1555" s="62">
        <f>ROUND('Смета ЕР (общ) '!$N1555*'Смета ЕР (общ) '!$Q1555,2)</f>
        <v>0</v>
      </c>
      <c r="T1555" s="62">
        <f>ROUND('Смета ЕР (общ) '!$N1555*'Смета ЕР (общ) '!$R1555,2)</f>
        <v>0</v>
      </c>
      <c r="U1555" s="73" t="s">
        <v>1549</v>
      </c>
      <c r="V1555" s="68"/>
    </row>
    <row r="1556" spans="1:22" s="46" customFormat="1" ht="14.4" x14ac:dyDescent="0.3">
      <c r="A1556" s="159" t="s">
        <v>1169</v>
      </c>
      <c r="B1556" s="159">
        <v>2</v>
      </c>
      <c r="C1556" s="159"/>
      <c r="D1556" s="159">
        <v>543</v>
      </c>
      <c r="E1556" s="159" t="str">
        <f>CONCATENATE('Смета ЕР (общ) '!$A1556,".",'Смета ЕР (общ) '!$B1556,".",'Смета ЕР (общ) '!$D1556)</f>
        <v>Р9.2.543</v>
      </c>
      <c r="F1556" s="36">
        <f t="shared" si="120"/>
        <v>1</v>
      </c>
      <c r="G1556" s="36"/>
      <c r="H1556" s="36"/>
      <c r="I1556" s="36"/>
      <c r="J1556" s="36"/>
      <c r="K1556" s="36"/>
      <c r="L1556" s="161" t="s">
        <v>1623</v>
      </c>
      <c r="M1556" s="38" t="s">
        <v>118</v>
      </c>
      <c r="N1556" s="39"/>
      <c r="O1556" s="40">
        <f t="shared" si="119"/>
        <v>66.528000000000006</v>
      </c>
      <c r="P1556" s="40">
        <f>[1]Освещение!H112</f>
        <v>665.28000000000009</v>
      </c>
      <c r="Q1556" s="40">
        <f t="shared" si="115"/>
        <v>66.53</v>
      </c>
      <c r="R1556" s="66">
        <f t="shared" si="118"/>
        <v>665.28000000000009</v>
      </c>
      <c r="S1556" s="62">
        <f>ROUND('Смета ЕР (общ) '!$N1556*'Смета ЕР (общ) '!$Q1556,2)</f>
        <v>0</v>
      </c>
      <c r="T1556" s="62">
        <f>ROUND('Смета ЕР (общ) '!$N1556*'Смета ЕР (общ) '!$R1556,2)</f>
        <v>0</v>
      </c>
      <c r="U1556" s="73" t="s">
        <v>1549</v>
      </c>
      <c r="V1556" s="68"/>
    </row>
    <row r="1557" spans="1:22" s="46" customFormat="1" ht="14.4" x14ac:dyDescent="0.3">
      <c r="A1557" s="159" t="s">
        <v>1169</v>
      </c>
      <c r="B1557" s="159">
        <v>2</v>
      </c>
      <c r="C1557" s="159"/>
      <c r="D1557" s="159">
        <v>544</v>
      </c>
      <c r="E1557" s="159" t="str">
        <f>CONCATENATE('Смета ЕР (общ) '!$A1557,".",'Смета ЕР (общ) '!$B1557,".",'Смета ЕР (общ) '!$D1557)</f>
        <v>Р9.2.544</v>
      </c>
      <c r="F1557" s="36">
        <f t="shared" si="120"/>
        <v>1</v>
      </c>
      <c r="G1557" s="36"/>
      <c r="H1557" s="36"/>
      <c r="I1557" s="36"/>
      <c r="J1557" s="36"/>
      <c r="K1557" s="36"/>
      <c r="L1557" s="161" t="s">
        <v>1625</v>
      </c>
      <c r="M1557" s="38" t="s">
        <v>118</v>
      </c>
      <c r="N1557" s="39"/>
      <c r="O1557" s="40">
        <f t="shared" si="119"/>
        <v>91.66500000000002</v>
      </c>
      <c r="P1557" s="40">
        <f>[1]Освещение!H113</f>
        <v>916.65000000000009</v>
      </c>
      <c r="Q1557" s="40">
        <f t="shared" si="115"/>
        <v>91.67</v>
      </c>
      <c r="R1557" s="66">
        <f t="shared" si="118"/>
        <v>916.65000000000009</v>
      </c>
      <c r="S1557" s="62">
        <f>ROUND('Смета ЕР (общ) '!$N1557*'Смета ЕР (общ) '!$Q1557,2)</f>
        <v>0</v>
      </c>
      <c r="T1557" s="62">
        <f>ROUND('Смета ЕР (общ) '!$N1557*'Смета ЕР (общ) '!$R1557,2)</f>
        <v>0</v>
      </c>
      <c r="U1557" s="73" t="s">
        <v>1549</v>
      </c>
      <c r="V1557" s="68"/>
    </row>
    <row r="1558" spans="1:22" s="46" customFormat="1" ht="14.4" x14ac:dyDescent="0.3">
      <c r="A1558" s="159" t="s">
        <v>1169</v>
      </c>
      <c r="B1558" s="159">
        <v>2</v>
      </c>
      <c r="C1558" s="159"/>
      <c r="D1558" s="159">
        <v>545</v>
      </c>
      <c r="E1558" s="159" t="str">
        <f>CONCATENATE('Смета ЕР (общ) '!$A1558,".",'Смета ЕР (общ) '!$B1558,".",'Смета ЕР (общ) '!$D1558)</f>
        <v>Р9.2.545</v>
      </c>
      <c r="F1558" s="36">
        <f t="shared" si="120"/>
        <v>1</v>
      </c>
      <c r="G1558" s="36"/>
      <c r="H1558" s="36"/>
      <c r="I1558" s="36"/>
      <c r="J1558" s="36"/>
      <c r="K1558" s="36"/>
      <c r="L1558" s="161" t="s">
        <v>1633</v>
      </c>
      <c r="M1558" s="38" t="s">
        <v>118</v>
      </c>
      <c r="N1558" s="39"/>
      <c r="O1558" s="40">
        <f t="shared" si="119"/>
        <v>4.0635000000000003</v>
      </c>
      <c r="P1558" s="40">
        <f>[1]Освещение!H114</f>
        <v>40.635000000000005</v>
      </c>
      <c r="Q1558" s="40">
        <f t="shared" si="115"/>
        <v>4.0599999999999996</v>
      </c>
      <c r="R1558" s="66">
        <f t="shared" si="118"/>
        <v>40.635000000000005</v>
      </c>
      <c r="S1558" s="62">
        <f>ROUND('Смета ЕР (общ) '!$N1558*'Смета ЕР (общ) '!$Q1558,2)</f>
        <v>0</v>
      </c>
      <c r="T1558" s="62">
        <f>ROUND('Смета ЕР (общ) '!$N1558*'Смета ЕР (общ) '!$R1558,2)</f>
        <v>0</v>
      </c>
      <c r="U1558" s="73" t="s">
        <v>1549</v>
      </c>
      <c r="V1558" s="68"/>
    </row>
    <row r="1559" spans="1:22" s="46" customFormat="1" ht="14.4" x14ac:dyDescent="0.3">
      <c r="A1559" s="159" t="s">
        <v>1169</v>
      </c>
      <c r="B1559" s="159">
        <v>2</v>
      </c>
      <c r="C1559" s="159"/>
      <c r="D1559" s="159">
        <v>546</v>
      </c>
      <c r="E1559" s="159" t="str">
        <f>CONCATENATE('Смета ЕР (общ) '!$A1559,".",'Смета ЕР (общ) '!$B1559,".",'Смета ЕР (общ) '!$D1559)</f>
        <v>Р9.2.546</v>
      </c>
      <c r="F1559" s="36">
        <f t="shared" si="120"/>
        <v>1</v>
      </c>
      <c r="G1559" s="36"/>
      <c r="H1559" s="36"/>
      <c r="I1559" s="36"/>
      <c r="J1559" s="36"/>
      <c r="K1559" s="36"/>
      <c r="L1559" s="161" t="s">
        <v>1626</v>
      </c>
      <c r="M1559" s="38" t="s">
        <v>118</v>
      </c>
      <c r="N1559" s="39"/>
      <c r="O1559" s="40">
        <f t="shared" si="119"/>
        <v>17.482500000000002</v>
      </c>
      <c r="P1559" s="40">
        <f>[1]Освещение!H115</f>
        <v>174.82500000000002</v>
      </c>
      <c r="Q1559" s="40">
        <f t="shared" si="115"/>
        <v>17.48</v>
      </c>
      <c r="R1559" s="66">
        <f t="shared" si="118"/>
        <v>174.82500000000002</v>
      </c>
      <c r="S1559" s="62">
        <f>ROUND('Смета ЕР (общ) '!$N1559*'Смета ЕР (общ) '!$Q1559,2)</f>
        <v>0</v>
      </c>
      <c r="T1559" s="62">
        <f>ROUND('Смета ЕР (общ) '!$N1559*'Смета ЕР (общ) '!$R1559,2)</f>
        <v>0</v>
      </c>
      <c r="U1559" s="73" t="s">
        <v>1549</v>
      </c>
      <c r="V1559" s="68"/>
    </row>
    <row r="1560" spans="1:22" s="46" customFormat="1" ht="14.4" x14ac:dyDescent="0.3">
      <c r="A1560" s="159" t="s">
        <v>1169</v>
      </c>
      <c r="B1560" s="159">
        <v>2</v>
      </c>
      <c r="C1560" s="159"/>
      <c r="D1560" s="159">
        <v>547</v>
      </c>
      <c r="E1560" s="159" t="str">
        <f>CONCATENATE('Смета ЕР (общ) '!$A1560,".",'Смета ЕР (общ) '!$B1560,".",'Смета ЕР (общ) '!$D1560)</f>
        <v>Р9.2.547</v>
      </c>
      <c r="F1560" s="36">
        <f t="shared" si="120"/>
        <v>1</v>
      </c>
      <c r="G1560" s="36"/>
      <c r="H1560" s="36"/>
      <c r="I1560" s="36"/>
      <c r="J1560" s="36"/>
      <c r="K1560" s="36"/>
      <c r="L1560" s="161" t="s">
        <v>1627</v>
      </c>
      <c r="M1560" s="38" t="s">
        <v>118</v>
      </c>
      <c r="N1560" s="39"/>
      <c r="O1560" s="40">
        <f t="shared" si="119"/>
        <v>51.786000000000001</v>
      </c>
      <c r="P1560" s="40">
        <f>[1]Освещение!H116</f>
        <v>517.86</v>
      </c>
      <c r="Q1560" s="40">
        <f t="shared" si="115"/>
        <v>51.79</v>
      </c>
      <c r="R1560" s="66">
        <f t="shared" si="118"/>
        <v>517.86</v>
      </c>
      <c r="S1560" s="62">
        <f>ROUND('Смета ЕР (общ) '!$N1560*'Смета ЕР (общ) '!$Q1560,2)</f>
        <v>0</v>
      </c>
      <c r="T1560" s="62">
        <f>ROUND('Смета ЕР (общ) '!$N1560*'Смета ЕР (общ) '!$R1560,2)</f>
        <v>0</v>
      </c>
      <c r="U1560" s="73" t="s">
        <v>1549</v>
      </c>
      <c r="V1560" s="68"/>
    </row>
    <row r="1561" spans="1:22" s="46" customFormat="1" ht="14.4" x14ac:dyDescent="0.3">
      <c r="A1561" s="159" t="s">
        <v>1169</v>
      </c>
      <c r="B1561" s="159">
        <v>2</v>
      </c>
      <c r="C1561" s="159"/>
      <c r="D1561" s="159">
        <v>548</v>
      </c>
      <c r="E1561" s="159" t="str">
        <f>CONCATENATE('Смета ЕР (общ) '!$A1561,".",'Смета ЕР (общ) '!$B1561,".",'Смета ЕР (общ) '!$D1561)</f>
        <v>Р9.2.548</v>
      </c>
      <c r="F1561" s="36">
        <f t="shared" si="120"/>
        <v>1</v>
      </c>
      <c r="G1561" s="36"/>
      <c r="H1561" s="36"/>
      <c r="I1561" s="36"/>
      <c r="J1561" s="36"/>
      <c r="K1561" s="36"/>
      <c r="L1561" s="161" t="s">
        <v>1631</v>
      </c>
      <c r="M1561" s="38" t="s">
        <v>118</v>
      </c>
      <c r="N1561" s="39"/>
      <c r="O1561" s="40">
        <f t="shared" si="119"/>
        <v>27.971999999999998</v>
      </c>
      <c r="P1561" s="40">
        <f>[1]Освещение!H117</f>
        <v>279.71999999999997</v>
      </c>
      <c r="Q1561" s="40">
        <f t="shared" si="115"/>
        <v>27.97</v>
      </c>
      <c r="R1561" s="66">
        <f t="shared" si="118"/>
        <v>279.71999999999997</v>
      </c>
      <c r="S1561" s="62">
        <f>ROUND('Смета ЕР (общ) '!$N1561*'Смета ЕР (общ) '!$Q1561,2)</f>
        <v>0</v>
      </c>
      <c r="T1561" s="62">
        <f>ROUND('Смета ЕР (общ) '!$N1561*'Смета ЕР (общ) '!$R1561,2)</f>
        <v>0</v>
      </c>
      <c r="U1561" s="73" t="s">
        <v>1549</v>
      </c>
      <c r="V1561" s="68"/>
    </row>
    <row r="1562" spans="1:22" s="46" customFormat="1" ht="14.4" x14ac:dyDescent="0.3">
      <c r="A1562" s="159" t="s">
        <v>1169</v>
      </c>
      <c r="B1562" s="159">
        <v>2</v>
      </c>
      <c r="C1562" s="159"/>
      <c r="D1562" s="159">
        <v>549</v>
      </c>
      <c r="E1562" s="159" t="str">
        <f>CONCATENATE('Смета ЕР (общ) '!$A1562,".",'Смета ЕР (общ) '!$B1562,".",'Смета ЕР (общ) '!$D1562)</f>
        <v>Р9.2.549</v>
      </c>
      <c r="F1562" s="36">
        <f t="shared" si="120"/>
        <v>1</v>
      </c>
      <c r="G1562" s="36"/>
      <c r="H1562" s="36"/>
      <c r="I1562" s="36"/>
      <c r="J1562" s="36"/>
      <c r="K1562" s="36"/>
      <c r="L1562" s="161" t="s">
        <v>1629</v>
      </c>
      <c r="M1562" s="38" t="s">
        <v>118</v>
      </c>
      <c r="N1562" s="39"/>
      <c r="O1562" s="40">
        <f t="shared" si="119"/>
        <v>793.70550000000003</v>
      </c>
      <c r="P1562" s="40">
        <f>[1]Освещение!H118</f>
        <v>7937.0550000000003</v>
      </c>
      <c r="Q1562" s="40">
        <f t="shared" si="115"/>
        <v>793.71</v>
      </c>
      <c r="R1562" s="66">
        <f t="shared" si="118"/>
        <v>7937.0550000000003</v>
      </c>
      <c r="S1562" s="62">
        <f>ROUND('Смета ЕР (общ) '!$N1562*'Смета ЕР (общ) '!$Q1562,2)</f>
        <v>0</v>
      </c>
      <c r="T1562" s="62">
        <f>ROUND('Смета ЕР (общ) '!$N1562*'Смета ЕР (общ) '!$R1562,2)</f>
        <v>0</v>
      </c>
      <c r="U1562" s="73" t="s">
        <v>1549</v>
      </c>
      <c r="V1562" s="68"/>
    </row>
    <row r="1563" spans="1:22" s="46" customFormat="1" ht="14.4" x14ac:dyDescent="0.3">
      <c r="A1563" s="159" t="s">
        <v>1169</v>
      </c>
      <c r="B1563" s="159">
        <v>2</v>
      </c>
      <c r="C1563" s="159"/>
      <c r="D1563" s="159">
        <v>550</v>
      </c>
      <c r="E1563" s="159" t="str">
        <f>CONCATENATE('Смета ЕР (общ) '!$A1563,".",'Смета ЕР (общ) '!$B1563,".",'Смета ЕР (общ) '!$D1563)</f>
        <v>Р9.2.550</v>
      </c>
      <c r="F1563" s="36">
        <f t="shared" si="120"/>
        <v>1</v>
      </c>
      <c r="G1563" s="36"/>
      <c r="H1563" s="36"/>
      <c r="I1563" s="36"/>
      <c r="J1563" s="36"/>
      <c r="K1563" s="36"/>
      <c r="L1563" s="161" t="s">
        <v>1622</v>
      </c>
      <c r="M1563" s="38" t="s">
        <v>118</v>
      </c>
      <c r="N1563" s="39"/>
      <c r="O1563" s="40">
        <f t="shared" si="119"/>
        <v>500.56650000000002</v>
      </c>
      <c r="P1563" s="40">
        <f>[1]Освещение!H119</f>
        <v>5005.665</v>
      </c>
      <c r="Q1563" s="40">
        <f t="shared" si="115"/>
        <v>500.57</v>
      </c>
      <c r="R1563" s="66">
        <f t="shared" si="118"/>
        <v>5005.665</v>
      </c>
      <c r="S1563" s="62">
        <f>ROUND('Смета ЕР (общ) '!$N1563*'Смета ЕР (общ) '!$Q1563,2)</f>
        <v>0</v>
      </c>
      <c r="T1563" s="62">
        <f>ROUND('Смета ЕР (общ) '!$N1563*'Смета ЕР (общ) '!$R1563,2)</f>
        <v>0</v>
      </c>
      <c r="U1563" s="73" t="s">
        <v>1549</v>
      </c>
      <c r="V1563" s="68"/>
    </row>
    <row r="1564" spans="1:22" s="46" customFormat="1" ht="14.4" x14ac:dyDescent="0.3">
      <c r="A1564" s="159" t="s">
        <v>1169</v>
      </c>
      <c r="B1564" s="159">
        <v>2</v>
      </c>
      <c r="C1564" s="159"/>
      <c r="D1564" s="159">
        <v>551</v>
      </c>
      <c r="E1564" s="159" t="str">
        <f>CONCATENATE('Смета ЕР (общ) '!$A1564,".",'Смета ЕР (общ) '!$B1564,".",'Смета ЕР (общ) '!$D1564)</f>
        <v>Р9.2.551</v>
      </c>
      <c r="F1564" s="36">
        <f t="shared" si="120"/>
        <v>1</v>
      </c>
      <c r="G1564" s="36"/>
      <c r="H1564" s="36"/>
      <c r="I1564" s="36"/>
      <c r="J1564" s="36"/>
      <c r="K1564" s="36"/>
      <c r="L1564" s="161" t="s">
        <v>1634</v>
      </c>
      <c r="M1564" s="38" t="s">
        <v>118</v>
      </c>
      <c r="N1564" s="39"/>
      <c r="O1564" s="40">
        <f t="shared" si="119"/>
        <v>372.99150000000009</v>
      </c>
      <c r="P1564" s="40">
        <f>[1]Освещение!H120</f>
        <v>3729.9150000000004</v>
      </c>
      <c r="Q1564" s="40">
        <f t="shared" si="115"/>
        <v>372.99</v>
      </c>
      <c r="R1564" s="66">
        <f t="shared" si="118"/>
        <v>3729.9150000000004</v>
      </c>
      <c r="S1564" s="62">
        <f>ROUND('Смета ЕР (общ) '!$N1564*'Смета ЕР (общ) '!$Q1564,2)</f>
        <v>0</v>
      </c>
      <c r="T1564" s="62">
        <f>ROUND('Смета ЕР (общ) '!$N1564*'Смета ЕР (общ) '!$R1564,2)</f>
        <v>0</v>
      </c>
      <c r="U1564" s="73" t="s">
        <v>1549</v>
      </c>
      <c r="V1564" s="68"/>
    </row>
    <row r="1565" spans="1:22" s="46" customFormat="1" ht="14.4" x14ac:dyDescent="0.3">
      <c r="A1565" s="159" t="s">
        <v>1169</v>
      </c>
      <c r="B1565" s="159">
        <v>2</v>
      </c>
      <c r="C1565" s="159"/>
      <c r="D1565" s="159">
        <v>552</v>
      </c>
      <c r="E1565" s="159" t="str">
        <f>CONCATENATE('Смета ЕР (общ) '!$A1565,".",'Смета ЕР (общ) '!$B1565,".",'Смета ЕР (общ) '!$D1565)</f>
        <v>Р9.2.552</v>
      </c>
      <c r="F1565" s="36">
        <f t="shared" si="120"/>
        <v>1</v>
      </c>
      <c r="G1565" s="36"/>
      <c r="H1565" s="36"/>
      <c r="I1565" s="36"/>
      <c r="J1565" s="36"/>
      <c r="K1565" s="36"/>
      <c r="L1565" s="161" t="s">
        <v>1623</v>
      </c>
      <c r="M1565" s="38" t="s">
        <v>118</v>
      </c>
      <c r="N1565" s="39"/>
      <c r="O1565" s="40">
        <f t="shared" si="119"/>
        <v>66.528000000000006</v>
      </c>
      <c r="P1565" s="40">
        <f>[1]Освещение!H121</f>
        <v>665.28000000000009</v>
      </c>
      <c r="Q1565" s="40">
        <f t="shared" si="115"/>
        <v>66.53</v>
      </c>
      <c r="R1565" s="66">
        <f t="shared" ref="R1565:R1628" si="121">P1565</f>
        <v>665.28000000000009</v>
      </c>
      <c r="S1565" s="62">
        <f>ROUND('Смета ЕР (общ) '!$N1565*'Смета ЕР (общ) '!$Q1565,2)</f>
        <v>0</v>
      </c>
      <c r="T1565" s="62">
        <f>ROUND('Смета ЕР (общ) '!$N1565*'Смета ЕР (общ) '!$R1565,2)</f>
        <v>0</v>
      </c>
      <c r="U1565" s="73" t="s">
        <v>1549</v>
      </c>
      <c r="V1565" s="68"/>
    </row>
    <row r="1566" spans="1:22" s="46" customFormat="1" ht="14.4" x14ac:dyDescent="0.3">
      <c r="A1566" s="159" t="s">
        <v>1169</v>
      </c>
      <c r="B1566" s="159">
        <v>2</v>
      </c>
      <c r="C1566" s="159"/>
      <c r="D1566" s="159">
        <v>553</v>
      </c>
      <c r="E1566" s="159" t="str">
        <f>CONCATENATE('Смета ЕР (общ) '!$A1566,".",'Смета ЕР (общ) '!$B1566,".",'Смета ЕР (общ) '!$D1566)</f>
        <v>Р9.2.553</v>
      </c>
      <c r="F1566" s="36">
        <f t="shared" si="120"/>
        <v>1</v>
      </c>
      <c r="G1566" s="36"/>
      <c r="H1566" s="36"/>
      <c r="I1566" s="36"/>
      <c r="J1566" s="36"/>
      <c r="K1566" s="36"/>
      <c r="L1566" s="161" t="s">
        <v>1625</v>
      </c>
      <c r="M1566" s="38" t="s">
        <v>118</v>
      </c>
      <c r="N1566" s="39"/>
      <c r="O1566" s="40">
        <f t="shared" si="119"/>
        <v>91.66500000000002</v>
      </c>
      <c r="P1566" s="40">
        <f>[1]Освещение!H122</f>
        <v>916.65000000000009</v>
      </c>
      <c r="Q1566" s="40">
        <f t="shared" si="115"/>
        <v>91.67</v>
      </c>
      <c r="R1566" s="66">
        <f t="shared" si="121"/>
        <v>916.65000000000009</v>
      </c>
      <c r="S1566" s="62">
        <f>ROUND('Смета ЕР (общ) '!$N1566*'Смета ЕР (общ) '!$Q1566,2)</f>
        <v>0</v>
      </c>
      <c r="T1566" s="62">
        <f>ROUND('Смета ЕР (общ) '!$N1566*'Смета ЕР (общ) '!$R1566,2)</f>
        <v>0</v>
      </c>
      <c r="U1566" s="73" t="s">
        <v>1549</v>
      </c>
      <c r="V1566" s="68"/>
    </row>
    <row r="1567" spans="1:22" s="46" customFormat="1" ht="14.4" x14ac:dyDescent="0.3">
      <c r="A1567" s="159" t="s">
        <v>1169</v>
      </c>
      <c r="B1567" s="159">
        <v>2</v>
      </c>
      <c r="C1567" s="159"/>
      <c r="D1567" s="159">
        <v>554</v>
      </c>
      <c r="E1567" s="159" t="str">
        <f>CONCATENATE('Смета ЕР (общ) '!$A1567,".",'Смета ЕР (общ) '!$B1567,".",'Смета ЕР (общ) '!$D1567)</f>
        <v>Р9.2.554</v>
      </c>
      <c r="F1567" s="36">
        <f t="shared" si="120"/>
        <v>1</v>
      </c>
      <c r="G1567" s="36"/>
      <c r="H1567" s="36"/>
      <c r="I1567" s="36"/>
      <c r="J1567" s="36"/>
      <c r="K1567" s="36"/>
      <c r="L1567" s="161" t="s">
        <v>1633</v>
      </c>
      <c r="M1567" s="38" t="s">
        <v>118</v>
      </c>
      <c r="N1567" s="39"/>
      <c r="O1567" s="40">
        <f t="shared" si="119"/>
        <v>4.0635000000000003</v>
      </c>
      <c r="P1567" s="40">
        <f>[1]Освещение!H123</f>
        <v>40.635000000000005</v>
      </c>
      <c r="Q1567" s="40">
        <f t="shared" si="115"/>
        <v>4.0599999999999996</v>
      </c>
      <c r="R1567" s="66">
        <f t="shared" si="121"/>
        <v>40.635000000000005</v>
      </c>
      <c r="S1567" s="62">
        <f>ROUND('Смета ЕР (общ) '!$N1567*'Смета ЕР (общ) '!$Q1567,2)</f>
        <v>0</v>
      </c>
      <c r="T1567" s="62">
        <f>ROUND('Смета ЕР (общ) '!$N1567*'Смета ЕР (общ) '!$R1567,2)</f>
        <v>0</v>
      </c>
      <c r="U1567" s="73" t="s">
        <v>1549</v>
      </c>
      <c r="V1567" s="68"/>
    </row>
    <row r="1568" spans="1:22" s="46" customFormat="1" ht="14.4" x14ac:dyDescent="0.3">
      <c r="A1568" s="159" t="s">
        <v>1169</v>
      </c>
      <c r="B1568" s="159">
        <v>2</v>
      </c>
      <c r="C1568" s="159"/>
      <c r="D1568" s="159">
        <v>555</v>
      </c>
      <c r="E1568" s="159" t="str">
        <f>CONCATENATE('Смета ЕР (общ) '!$A1568,".",'Смета ЕР (общ) '!$B1568,".",'Смета ЕР (общ) '!$D1568)</f>
        <v>Р9.2.555</v>
      </c>
      <c r="F1568" s="36">
        <f t="shared" si="120"/>
        <v>1</v>
      </c>
      <c r="G1568" s="36"/>
      <c r="H1568" s="36"/>
      <c r="I1568" s="36"/>
      <c r="J1568" s="36"/>
      <c r="K1568" s="36"/>
      <c r="L1568" s="161" t="s">
        <v>1626</v>
      </c>
      <c r="M1568" s="38" t="s">
        <v>118</v>
      </c>
      <c r="N1568" s="39"/>
      <c r="O1568" s="40">
        <f t="shared" si="119"/>
        <v>17.482500000000002</v>
      </c>
      <c r="P1568" s="40">
        <f>[1]Освещение!H124</f>
        <v>174.82500000000002</v>
      </c>
      <c r="Q1568" s="40">
        <f t="shared" si="115"/>
        <v>17.48</v>
      </c>
      <c r="R1568" s="66">
        <f t="shared" si="121"/>
        <v>174.82500000000002</v>
      </c>
      <c r="S1568" s="62">
        <f>ROUND('Смета ЕР (общ) '!$N1568*'Смета ЕР (общ) '!$Q1568,2)</f>
        <v>0</v>
      </c>
      <c r="T1568" s="62">
        <f>ROUND('Смета ЕР (общ) '!$N1568*'Смета ЕР (общ) '!$R1568,2)</f>
        <v>0</v>
      </c>
      <c r="U1568" s="73" t="s">
        <v>1549</v>
      </c>
      <c r="V1568" s="68"/>
    </row>
    <row r="1569" spans="1:22" s="46" customFormat="1" ht="14.4" x14ac:dyDescent="0.3">
      <c r="A1569" s="159" t="s">
        <v>1169</v>
      </c>
      <c r="B1569" s="159">
        <v>2</v>
      </c>
      <c r="C1569" s="159"/>
      <c r="D1569" s="159">
        <v>556</v>
      </c>
      <c r="E1569" s="159" t="str">
        <f>CONCATENATE('Смета ЕР (общ) '!$A1569,".",'Смета ЕР (общ) '!$B1569,".",'Смета ЕР (общ) '!$D1569)</f>
        <v>Р9.2.556</v>
      </c>
      <c r="F1569" s="36">
        <f t="shared" si="120"/>
        <v>1</v>
      </c>
      <c r="G1569" s="36"/>
      <c r="H1569" s="36"/>
      <c r="I1569" s="36"/>
      <c r="J1569" s="36"/>
      <c r="K1569" s="36"/>
      <c r="L1569" s="161" t="s">
        <v>1627</v>
      </c>
      <c r="M1569" s="38" t="s">
        <v>118</v>
      </c>
      <c r="N1569" s="39"/>
      <c r="O1569" s="40">
        <f t="shared" si="119"/>
        <v>51.786000000000001</v>
      </c>
      <c r="P1569" s="40">
        <f>[1]Освещение!H125</f>
        <v>517.86</v>
      </c>
      <c r="Q1569" s="40">
        <f t="shared" si="115"/>
        <v>51.79</v>
      </c>
      <c r="R1569" s="66">
        <f t="shared" si="121"/>
        <v>517.86</v>
      </c>
      <c r="S1569" s="62">
        <f>ROUND('Смета ЕР (общ) '!$N1569*'Смета ЕР (общ) '!$Q1569,2)</f>
        <v>0</v>
      </c>
      <c r="T1569" s="62">
        <f>ROUND('Смета ЕР (общ) '!$N1569*'Смета ЕР (общ) '!$R1569,2)</f>
        <v>0</v>
      </c>
      <c r="U1569" s="73" t="s">
        <v>1549</v>
      </c>
      <c r="V1569" s="68"/>
    </row>
    <row r="1570" spans="1:22" s="46" customFormat="1" ht="14.4" x14ac:dyDescent="0.3">
      <c r="A1570" s="159" t="s">
        <v>1169</v>
      </c>
      <c r="B1570" s="159">
        <v>2</v>
      </c>
      <c r="C1570" s="159"/>
      <c r="D1570" s="159">
        <v>557</v>
      </c>
      <c r="E1570" s="159" t="str">
        <f>CONCATENATE('Смета ЕР (общ) '!$A1570,".",'Смета ЕР (общ) '!$B1570,".",'Смета ЕР (общ) '!$D1570)</f>
        <v>Р9.2.557</v>
      </c>
      <c r="F1570" s="36">
        <f t="shared" si="120"/>
        <v>1</v>
      </c>
      <c r="G1570" s="36"/>
      <c r="H1570" s="36"/>
      <c r="I1570" s="36"/>
      <c r="J1570" s="36"/>
      <c r="K1570" s="36"/>
      <c r="L1570" s="161" t="s">
        <v>1631</v>
      </c>
      <c r="M1570" s="38" t="s">
        <v>118</v>
      </c>
      <c r="N1570" s="39"/>
      <c r="O1570" s="40">
        <f t="shared" si="119"/>
        <v>27.971999999999998</v>
      </c>
      <c r="P1570" s="40">
        <f>[1]Освещение!H126</f>
        <v>279.71999999999997</v>
      </c>
      <c r="Q1570" s="40">
        <f t="shared" si="115"/>
        <v>27.97</v>
      </c>
      <c r="R1570" s="66">
        <f t="shared" si="121"/>
        <v>279.71999999999997</v>
      </c>
      <c r="S1570" s="62">
        <f>ROUND('Смета ЕР (общ) '!$N1570*'Смета ЕР (общ) '!$Q1570,2)</f>
        <v>0</v>
      </c>
      <c r="T1570" s="62">
        <f>ROUND('Смета ЕР (общ) '!$N1570*'Смета ЕР (общ) '!$R1570,2)</f>
        <v>0</v>
      </c>
      <c r="U1570" s="73" t="s">
        <v>1549</v>
      </c>
      <c r="V1570" s="68"/>
    </row>
    <row r="1571" spans="1:22" s="46" customFormat="1" ht="14.4" x14ac:dyDescent="0.3">
      <c r="A1571" s="159" t="s">
        <v>1169</v>
      </c>
      <c r="B1571" s="159">
        <v>2</v>
      </c>
      <c r="C1571" s="159"/>
      <c r="D1571" s="159">
        <v>558</v>
      </c>
      <c r="E1571" s="159" t="str">
        <f>CONCATENATE('Смета ЕР (общ) '!$A1571,".",'Смета ЕР (общ) '!$B1571,".",'Смета ЕР (общ) '!$D1571)</f>
        <v>Р9.2.558</v>
      </c>
      <c r="F1571" s="36">
        <f t="shared" si="120"/>
        <v>1</v>
      </c>
      <c r="G1571" s="36"/>
      <c r="H1571" s="36"/>
      <c r="I1571" s="36"/>
      <c r="J1571" s="36"/>
      <c r="K1571" s="36"/>
      <c r="L1571" s="161" t="s">
        <v>1629</v>
      </c>
      <c r="M1571" s="38" t="s">
        <v>118</v>
      </c>
      <c r="N1571" s="39"/>
      <c r="O1571" s="40">
        <f t="shared" si="119"/>
        <v>793.70550000000003</v>
      </c>
      <c r="P1571" s="40">
        <f>[1]Освещение!H127</f>
        <v>7937.0550000000003</v>
      </c>
      <c r="Q1571" s="40">
        <f t="shared" si="115"/>
        <v>793.71</v>
      </c>
      <c r="R1571" s="66">
        <f t="shared" si="121"/>
        <v>7937.0550000000003</v>
      </c>
      <c r="S1571" s="62">
        <f>ROUND('Смета ЕР (общ) '!$N1571*'Смета ЕР (общ) '!$Q1571,2)</f>
        <v>0</v>
      </c>
      <c r="T1571" s="62">
        <f>ROUND('Смета ЕР (общ) '!$N1571*'Смета ЕР (общ) '!$R1571,2)</f>
        <v>0</v>
      </c>
      <c r="U1571" s="73" t="s">
        <v>1549</v>
      </c>
      <c r="V1571" s="68"/>
    </row>
    <row r="1572" spans="1:22" s="46" customFormat="1" ht="14.4" x14ac:dyDescent="0.3">
      <c r="A1572" s="159" t="s">
        <v>1169</v>
      </c>
      <c r="B1572" s="159">
        <v>2</v>
      </c>
      <c r="C1572" s="159"/>
      <c r="D1572" s="159">
        <v>559</v>
      </c>
      <c r="E1572" s="159" t="str">
        <f>CONCATENATE('Смета ЕР (общ) '!$A1572,".",'Смета ЕР (общ) '!$B1572,".",'Смета ЕР (общ) '!$D1572)</f>
        <v>Р9.2.559</v>
      </c>
      <c r="F1572" s="36">
        <f t="shared" si="120"/>
        <v>1</v>
      </c>
      <c r="G1572" s="36"/>
      <c r="H1572" s="36"/>
      <c r="I1572" s="36"/>
      <c r="J1572" s="36"/>
      <c r="K1572" s="36"/>
      <c r="L1572" s="161" t="s">
        <v>1622</v>
      </c>
      <c r="M1572" s="38" t="s">
        <v>118</v>
      </c>
      <c r="N1572" s="39"/>
      <c r="O1572" s="40">
        <f t="shared" si="119"/>
        <v>500.56650000000002</v>
      </c>
      <c r="P1572" s="40">
        <f>[1]Освещение!H128</f>
        <v>5005.665</v>
      </c>
      <c r="Q1572" s="40">
        <f t="shared" si="115"/>
        <v>500.57</v>
      </c>
      <c r="R1572" s="66">
        <f t="shared" si="121"/>
        <v>5005.665</v>
      </c>
      <c r="S1572" s="62">
        <f>ROUND('Смета ЕР (общ) '!$N1572*'Смета ЕР (общ) '!$Q1572,2)</f>
        <v>0</v>
      </c>
      <c r="T1572" s="62">
        <f>ROUND('Смета ЕР (общ) '!$N1572*'Смета ЕР (общ) '!$R1572,2)</f>
        <v>0</v>
      </c>
      <c r="U1572" s="73" t="s">
        <v>1549</v>
      </c>
      <c r="V1572" s="68"/>
    </row>
    <row r="1573" spans="1:22" s="46" customFormat="1" ht="14.4" x14ac:dyDescent="0.3">
      <c r="A1573" s="159" t="s">
        <v>1169</v>
      </c>
      <c r="B1573" s="159">
        <v>2</v>
      </c>
      <c r="C1573" s="159"/>
      <c r="D1573" s="159">
        <v>560</v>
      </c>
      <c r="E1573" s="159" t="str">
        <f>CONCATENATE('Смета ЕР (общ) '!$A1573,".",'Смета ЕР (общ) '!$B1573,".",'Смета ЕР (общ) '!$D1573)</f>
        <v>Р9.2.560</v>
      </c>
      <c r="F1573" s="36">
        <f t="shared" si="120"/>
        <v>1</v>
      </c>
      <c r="G1573" s="36"/>
      <c r="H1573" s="36"/>
      <c r="I1573" s="36"/>
      <c r="J1573" s="36"/>
      <c r="K1573" s="36"/>
      <c r="L1573" s="161" t="s">
        <v>1625</v>
      </c>
      <c r="M1573" s="38" t="s">
        <v>118</v>
      </c>
      <c r="N1573" s="39"/>
      <c r="O1573" s="40">
        <f t="shared" si="119"/>
        <v>91.66500000000002</v>
      </c>
      <c r="P1573" s="40">
        <f>[1]Освещение!H129</f>
        <v>916.65000000000009</v>
      </c>
      <c r="Q1573" s="40">
        <f t="shared" si="115"/>
        <v>91.67</v>
      </c>
      <c r="R1573" s="66">
        <f t="shared" si="121"/>
        <v>916.65000000000009</v>
      </c>
      <c r="S1573" s="62">
        <f>ROUND('Смета ЕР (общ) '!$N1573*'Смета ЕР (общ) '!$Q1573,2)</f>
        <v>0</v>
      </c>
      <c r="T1573" s="62">
        <f>ROUND('Смета ЕР (общ) '!$N1573*'Смета ЕР (общ) '!$R1573,2)</f>
        <v>0</v>
      </c>
      <c r="U1573" s="73" t="s">
        <v>1549</v>
      </c>
      <c r="V1573" s="68"/>
    </row>
    <row r="1574" spans="1:22" s="46" customFormat="1" ht="14.4" x14ac:dyDescent="0.3">
      <c r="A1574" s="159" t="s">
        <v>1169</v>
      </c>
      <c r="B1574" s="159">
        <v>2</v>
      </c>
      <c r="C1574" s="159"/>
      <c r="D1574" s="159">
        <v>561</v>
      </c>
      <c r="E1574" s="159" t="str">
        <f>CONCATENATE('Смета ЕР (общ) '!$A1574,".",'Смета ЕР (общ) '!$B1574,".",'Смета ЕР (общ) '!$D1574)</f>
        <v>Р9.2.561</v>
      </c>
      <c r="F1574" s="36">
        <f t="shared" si="120"/>
        <v>1</v>
      </c>
      <c r="G1574" s="36"/>
      <c r="H1574" s="36"/>
      <c r="I1574" s="36"/>
      <c r="J1574" s="36"/>
      <c r="K1574" s="36"/>
      <c r="L1574" s="161" t="s">
        <v>1633</v>
      </c>
      <c r="M1574" s="38" t="s">
        <v>118</v>
      </c>
      <c r="N1574" s="39"/>
      <c r="O1574" s="40">
        <f t="shared" si="119"/>
        <v>4.0635000000000003</v>
      </c>
      <c r="P1574" s="40">
        <f>[1]Освещение!H130</f>
        <v>40.635000000000005</v>
      </c>
      <c r="Q1574" s="40">
        <f t="shared" si="115"/>
        <v>4.0599999999999996</v>
      </c>
      <c r="R1574" s="66">
        <f t="shared" si="121"/>
        <v>40.635000000000005</v>
      </c>
      <c r="S1574" s="62">
        <f>ROUND('Смета ЕР (общ) '!$N1574*'Смета ЕР (общ) '!$Q1574,2)</f>
        <v>0</v>
      </c>
      <c r="T1574" s="62">
        <f>ROUND('Смета ЕР (общ) '!$N1574*'Смета ЕР (общ) '!$R1574,2)</f>
        <v>0</v>
      </c>
      <c r="U1574" s="73" t="s">
        <v>1549</v>
      </c>
      <c r="V1574" s="68"/>
    </row>
    <row r="1575" spans="1:22" s="46" customFormat="1" ht="14.4" x14ac:dyDescent="0.3">
      <c r="A1575" s="159" t="s">
        <v>1169</v>
      </c>
      <c r="B1575" s="159">
        <v>2</v>
      </c>
      <c r="C1575" s="159"/>
      <c r="D1575" s="159">
        <v>562</v>
      </c>
      <c r="E1575" s="159" t="str">
        <f>CONCATENATE('Смета ЕР (общ) '!$A1575,".",'Смета ЕР (общ) '!$B1575,".",'Смета ЕР (общ) '!$D1575)</f>
        <v>Р9.2.562</v>
      </c>
      <c r="F1575" s="36">
        <f t="shared" si="120"/>
        <v>1</v>
      </c>
      <c r="G1575" s="36"/>
      <c r="H1575" s="36"/>
      <c r="I1575" s="36"/>
      <c r="J1575" s="36"/>
      <c r="K1575" s="36"/>
      <c r="L1575" s="161" t="s">
        <v>1626</v>
      </c>
      <c r="M1575" s="38" t="s">
        <v>118</v>
      </c>
      <c r="N1575" s="39"/>
      <c r="O1575" s="40">
        <f t="shared" si="119"/>
        <v>17.482500000000002</v>
      </c>
      <c r="P1575" s="40">
        <f>[1]Освещение!H131</f>
        <v>174.82500000000002</v>
      </c>
      <c r="Q1575" s="40">
        <f t="shared" si="115"/>
        <v>17.48</v>
      </c>
      <c r="R1575" s="66">
        <f t="shared" si="121"/>
        <v>174.82500000000002</v>
      </c>
      <c r="S1575" s="62">
        <f>ROUND('Смета ЕР (общ) '!$N1575*'Смета ЕР (общ) '!$Q1575,2)</f>
        <v>0</v>
      </c>
      <c r="T1575" s="62">
        <f>ROUND('Смета ЕР (общ) '!$N1575*'Смета ЕР (общ) '!$R1575,2)</f>
        <v>0</v>
      </c>
      <c r="U1575" s="73" t="s">
        <v>1549</v>
      </c>
      <c r="V1575" s="68"/>
    </row>
    <row r="1576" spans="1:22" s="46" customFormat="1" ht="14.4" x14ac:dyDescent="0.3">
      <c r="A1576" s="159" t="s">
        <v>1169</v>
      </c>
      <c r="B1576" s="159">
        <v>2</v>
      </c>
      <c r="C1576" s="159"/>
      <c r="D1576" s="159">
        <v>563</v>
      </c>
      <c r="E1576" s="159" t="str">
        <f>CONCATENATE('Смета ЕР (общ) '!$A1576,".",'Смета ЕР (общ) '!$B1576,".",'Смета ЕР (общ) '!$D1576)</f>
        <v>Р9.2.563</v>
      </c>
      <c r="F1576" s="36">
        <f t="shared" si="120"/>
        <v>1</v>
      </c>
      <c r="G1576" s="36"/>
      <c r="H1576" s="36"/>
      <c r="I1576" s="36"/>
      <c r="J1576" s="36"/>
      <c r="K1576" s="36"/>
      <c r="L1576" s="161" t="s">
        <v>1627</v>
      </c>
      <c r="M1576" s="38" t="s">
        <v>118</v>
      </c>
      <c r="N1576" s="39"/>
      <c r="O1576" s="40">
        <f t="shared" si="119"/>
        <v>51.786000000000001</v>
      </c>
      <c r="P1576" s="40">
        <f>[1]Освещение!H132</f>
        <v>517.86</v>
      </c>
      <c r="Q1576" s="40">
        <f t="shared" si="115"/>
        <v>51.79</v>
      </c>
      <c r="R1576" s="66">
        <f t="shared" si="121"/>
        <v>517.86</v>
      </c>
      <c r="S1576" s="62">
        <f>ROUND('Смета ЕР (общ) '!$N1576*'Смета ЕР (общ) '!$Q1576,2)</f>
        <v>0</v>
      </c>
      <c r="T1576" s="62">
        <f>ROUND('Смета ЕР (общ) '!$N1576*'Смета ЕР (общ) '!$R1576,2)</f>
        <v>0</v>
      </c>
      <c r="U1576" s="73" t="s">
        <v>1549</v>
      </c>
      <c r="V1576" s="68"/>
    </row>
    <row r="1577" spans="1:22" s="46" customFormat="1" ht="14.4" x14ac:dyDescent="0.3">
      <c r="A1577" s="159" t="s">
        <v>1169</v>
      </c>
      <c r="B1577" s="159">
        <v>2</v>
      </c>
      <c r="C1577" s="159"/>
      <c r="D1577" s="159">
        <v>564</v>
      </c>
      <c r="E1577" s="159" t="str">
        <f>CONCATENATE('Смета ЕР (общ) '!$A1577,".",'Смета ЕР (общ) '!$B1577,".",'Смета ЕР (общ) '!$D1577)</f>
        <v>Р9.2.564</v>
      </c>
      <c r="F1577" s="36">
        <f t="shared" si="120"/>
        <v>1</v>
      </c>
      <c r="G1577" s="36"/>
      <c r="H1577" s="36"/>
      <c r="I1577" s="36"/>
      <c r="J1577" s="36"/>
      <c r="K1577" s="36"/>
      <c r="L1577" s="161" t="s">
        <v>1631</v>
      </c>
      <c r="M1577" s="38" t="s">
        <v>118</v>
      </c>
      <c r="N1577" s="39"/>
      <c r="O1577" s="40">
        <f t="shared" si="119"/>
        <v>27.971999999999998</v>
      </c>
      <c r="P1577" s="40">
        <f>[1]Освещение!H133</f>
        <v>279.71999999999997</v>
      </c>
      <c r="Q1577" s="40">
        <f t="shared" si="115"/>
        <v>27.97</v>
      </c>
      <c r="R1577" s="66">
        <f t="shared" si="121"/>
        <v>279.71999999999997</v>
      </c>
      <c r="S1577" s="62">
        <f>ROUND('Смета ЕР (общ) '!$N1577*'Смета ЕР (общ) '!$Q1577,2)</f>
        <v>0</v>
      </c>
      <c r="T1577" s="62">
        <f>ROUND('Смета ЕР (общ) '!$N1577*'Смета ЕР (общ) '!$R1577,2)</f>
        <v>0</v>
      </c>
      <c r="U1577" s="73" t="s">
        <v>1549</v>
      </c>
      <c r="V1577" s="68"/>
    </row>
    <row r="1578" spans="1:22" s="46" customFormat="1" ht="14.4" x14ac:dyDescent="0.3">
      <c r="A1578" s="159" t="s">
        <v>1169</v>
      </c>
      <c r="B1578" s="159">
        <v>2</v>
      </c>
      <c r="C1578" s="159"/>
      <c r="D1578" s="159">
        <v>565</v>
      </c>
      <c r="E1578" s="159" t="str">
        <f>CONCATENATE('Смета ЕР (общ) '!$A1578,".",'Смета ЕР (общ) '!$B1578,".",'Смета ЕР (общ) '!$D1578)</f>
        <v>Р9.2.565</v>
      </c>
      <c r="F1578" s="36">
        <f t="shared" si="120"/>
        <v>1</v>
      </c>
      <c r="G1578" s="36"/>
      <c r="H1578" s="36"/>
      <c r="I1578" s="36"/>
      <c r="J1578" s="36"/>
      <c r="K1578" s="36"/>
      <c r="L1578" s="161" t="s">
        <v>1629</v>
      </c>
      <c r="M1578" s="38" t="s">
        <v>118</v>
      </c>
      <c r="N1578" s="39"/>
      <c r="O1578" s="40">
        <f t="shared" si="119"/>
        <v>793.70550000000003</v>
      </c>
      <c r="P1578" s="40">
        <f>[1]Освещение!H134</f>
        <v>7937.0550000000003</v>
      </c>
      <c r="Q1578" s="40">
        <f t="shared" si="115"/>
        <v>793.71</v>
      </c>
      <c r="R1578" s="66">
        <f t="shared" si="121"/>
        <v>7937.0550000000003</v>
      </c>
      <c r="S1578" s="62">
        <f>ROUND('Смета ЕР (общ) '!$N1578*'Смета ЕР (общ) '!$Q1578,2)</f>
        <v>0</v>
      </c>
      <c r="T1578" s="62">
        <f>ROUND('Смета ЕР (общ) '!$N1578*'Смета ЕР (общ) '!$R1578,2)</f>
        <v>0</v>
      </c>
      <c r="U1578" s="73" t="s">
        <v>1549</v>
      </c>
      <c r="V1578" s="68"/>
    </row>
    <row r="1579" spans="1:22" s="46" customFormat="1" ht="20.399999999999999" x14ac:dyDescent="0.3">
      <c r="A1579" s="159" t="s">
        <v>1169</v>
      </c>
      <c r="B1579" s="159">
        <v>2</v>
      </c>
      <c r="C1579" s="159"/>
      <c r="D1579" s="159">
        <v>566</v>
      </c>
      <c r="E1579" s="159" t="str">
        <f>CONCATENATE('Смета ЕР (общ) '!$A1579,".",'Смета ЕР (общ) '!$B1579,".",'Смета ЕР (общ) '!$D1579)</f>
        <v>Р9.2.566</v>
      </c>
      <c r="F1579" s="36">
        <f t="shared" si="120"/>
        <v>1</v>
      </c>
      <c r="G1579" s="36"/>
      <c r="H1579" s="36"/>
      <c r="I1579" s="36"/>
      <c r="J1579" s="36"/>
      <c r="K1579" s="36"/>
      <c r="L1579" s="161" t="s">
        <v>1635</v>
      </c>
      <c r="M1579" s="38" t="s">
        <v>118</v>
      </c>
      <c r="N1579" s="39"/>
      <c r="O1579" s="40">
        <f t="shared" si="119"/>
        <v>2896.1415000000002</v>
      </c>
      <c r="P1579" s="40">
        <f>[1]Освещение!H135</f>
        <v>28961.415000000001</v>
      </c>
      <c r="Q1579" s="40">
        <f t="shared" si="115"/>
        <v>2896.14</v>
      </c>
      <c r="R1579" s="66">
        <f t="shared" si="121"/>
        <v>28961.415000000001</v>
      </c>
      <c r="S1579" s="62">
        <f>ROUND('Смета ЕР (общ) '!$N1579*'Смета ЕР (общ) '!$Q1579,2)</f>
        <v>0</v>
      </c>
      <c r="T1579" s="62">
        <f>ROUND('Смета ЕР (общ) '!$N1579*'Смета ЕР (общ) '!$R1579,2)</f>
        <v>0</v>
      </c>
      <c r="U1579" s="73" t="s">
        <v>1549</v>
      </c>
      <c r="V1579" s="68"/>
    </row>
    <row r="1580" spans="1:22" s="46" customFormat="1" ht="20.399999999999999" x14ac:dyDescent="0.3">
      <c r="A1580" s="159" t="s">
        <v>1169</v>
      </c>
      <c r="B1580" s="159">
        <v>2</v>
      </c>
      <c r="C1580" s="159"/>
      <c r="D1580" s="159">
        <v>567</v>
      </c>
      <c r="E1580" s="159" t="str">
        <f>CONCATENATE('Смета ЕР (общ) '!$A1580,".",'Смета ЕР (общ) '!$B1580,".",'Смета ЕР (общ) '!$D1580)</f>
        <v>Р9.2.567</v>
      </c>
      <c r="F1580" s="36">
        <f t="shared" si="120"/>
        <v>1</v>
      </c>
      <c r="G1580" s="36"/>
      <c r="H1580" s="36"/>
      <c r="I1580" s="36"/>
      <c r="J1580" s="36"/>
      <c r="K1580" s="36"/>
      <c r="L1580" s="161" t="s">
        <v>1636</v>
      </c>
      <c r="M1580" s="38" t="s">
        <v>118</v>
      </c>
      <c r="N1580" s="39"/>
      <c r="O1580" s="40">
        <f t="shared" si="119"/>
        <v>1209.3164999999999</v>
      </c>
      <c r="P1580" s="40">
        <f>[1]Освещение!H136</f>
        <v>12093.164999999999</v>
      </c>
      <c r="Q1580" s="40">
        <f t="shared" si="115"/>
        <v>1209.32</v>
      </c>
      <c r="R1580" s="66">
        <f t="shared" si="121"/>
        <v>12093.164999999999</v>
      </c>
      <c r="S1580" s="62">
        <f>ROUND('Смета ЕР (общ) '!$N1580*'Смета ЕР (общ) '!$Q1580,2)</f>
        <v>0</v>
      </c>
      <c r="T1580" s="62">
        <f>ROUND('Смета ЕР (общ) '!$N1580*'Смета ЕР (общ) '!$R1580,2)</f>
        <v>0</v>
      </c>
      <c r="U1580" s="73" t="s">
        <v>1549</v>
      </c>
      <c r="V1580" s="68"/>
    </row>
    <row r="1581" spans="1:22" s="46" customFormat="1" ht="14.4" x14ac:dyDescent="0.3">
      <c r="A1581" s="159" t="s">
        <v>1169</v>
      </c>
      <c r="B1581" s="159">
        <v>2</v>
      </c>
      <c r="C1581" s="159"/>
      <c r="D1581" s="159">
        <v>568</v>
      </c>
      <c r="E1581" s="159" t="str">
        <f>CONCATENATE('Смета ЕР (общ) '!$A1581,".",'Смета ЕР (общ) '!$B1581,".",'Смета ЕР (общ) '!$D1581)</f>
        <v>Р9.2.568</v>
      </c>
      <c r="F1581" s="36">
        <f t="shared" si="120"/>
        <v>1</v>
      </c>
      <c r="G1581" s="36"/>
      <c r="H1581" s="36"/>
      <c r="I1581" s="36"/>
      <c r="J1581" s="36"/>
      <c r="K1581" s="36"/>
      <c r="L1581" s="161" t="s">
        <v>1637</v>
      </c>
      <c r="M1581" s="38" t="s">
        <v>118</v>
      </c>
      <c r="N1581" s="39"/>
      <c r="O1581" s="40">
        <f t="shared" si="119"/>
        <v>2342.7495000000004</v>
      </c>
      <c r="P1581" s="40">
        <f>[1]Освещение!H137</f>
        <v>23427.495000000003</v>
      </c>
      <c r="Q1581" s="40">
        <f t="shared" si="115"/>
        <v>2342.75</v>
      </c>
      <c r="R1581" s="66">
        <f t="shared" si="121"/>
        <v>23427.495000000003</v>
      </c>
      <c r="S1581" s="62">
        <f>ROUND('Смета ЕР (общ) '!$N1581*'Смета ЕР (общ) '!$Q1581,2)</f>
        <v>0</v>
      </c>
      <c r="T1581" s="62">
        <f>ROUND('Смета ЕР (общ) '!$N1581*'Смета ЕР (общ) '!$R1581,2)</f>
        <v>0</v>
      </c>
      <c r="U1581" s="73" t="s">
        <v>1549</v>
      </c>
      <c r="V1581" s="68"/>
    </row>
    <row r="1582" spans="1:22" s="46" customFormat="1" ht="14.4" x14ac:dyDescent="0.3">
      <c r="A1582" s="159" t="s">
        <v>1169</v>
      </c>
      <c r="B1582" s="159">
        <v>2</v>
      </c>
      <c r="C1582" s="159"/>
      <c r="D1582" s="162">
        <v>431</v>
      </c>
      <c r="E1582" s="159" t="str">
        <f>CONCATENATE('Смета ЕР (общ) '!$A1582,".",'Смета ЕР (общ) '!$B1582,".",'Смета ЕР (общ) '!$D1582)</f>
        <v>Р9.2.431</v>
      </c>
      <c r="F1582" s="36">
        <f t="shared" si="120"/>
        <v>1</v>
      </c>
      <c r="G1582" s="36"/>
      <c r="H1582" s="36"/>
      <c r="I1582" s="36"/>
      <c r="J1582" s="36"/>
      <c r="K1582" s="36"/>
      <c r="L1582" s="161" t="s">
        <v>1638</v>
      </c>
      <c r="M1582" s="38" t="s">
        <v>118</v>
      </c>
      <c r="N1582" s="39"/>
      <c r="O1582" s="40">
        <f t="shared" si="119"/>
        <v>3553.578</v>
      </c>
      <c r="P1582" s="40">
        <f>[1]Освещение!H138</f>
        <v>35535.78</v>
      </c>
      <c r="Q1582" s="40">
        <f t="shared" si="115"/>
        <v>3553.58</v>
      </c>
      <c r="R1582" s="66">
        <f t="shared" si="121"/>
        <v>35535.78</v>
      </c>
      <c r="S1582" s="62">
        <f>ROUND('Смета ЕР (общ) '!$N1582*'Смета ЕР (общ) '!$Q1582,2)</f>
        <v>0</v>
      </c>
      <c r="T1582" s="62">
        <f>ROUND('Смета ЕР (общ) '!$N1582*'Смета ЕР (общ) '!$R1582,2)</f>
        <v>0</v>
      </c>
      <c r="U1582" s="73" t="s">
        <v>1549</v>
      </c>
      <c r="V1582" s="68"/>
    </row>
    <row r="1583" spans="1:22" s="46" customFormat="1" ht="14.4" x14ac:dyDescent="0.3">
      <c r="A1583" s="159" t="s">
        <v>1169</v>
      </c>
      <c r="B1583" s="159">
        <v>2</v>
      </c>
      <c r="C1583" s="159"/>
      <c r="D1583" s="162">
        <v>432</v>
      </c>
      <c r="E1583" s="159" t="str">
        <f>CONCATENATE('Смета ЕР (общ) '!$A1583,".",'Смета ЕР (общ) '!$B1583,".",'Смета ЕР (общ) '!$D1583)</f>
        <v>Р9.2.432</v>
      </c>
      <c r="F1583" s="36">
        <f t="shared" si="120"/>
        <v>1</v>
      </c>
      <c r="G1583" s="36"/>
      <c r="H1583" s="36"/>
      <c r="I1583" s="36"/>
      <c r="J1583" s="36"/>
      <c r="K1583" s="36"/>
      <c r="L1583" s="161" t="s">
        <v>1639</v>
      </c>
      <c r="M1583" s="38" t="s">
        <v>118</v>
      </c>
      <c r="N1583" s="39"/>
      <c r="O1583" s="40">
        <f t="shared" si="119"/>
        <v>27.688500000000001</v>
      </c>
      <c r="P1583" s="40">
        <f>[1]Освещение!H139</f>
        <v>276.88499999999999</v>
      </c>
      <c r="Q1583" s="40">
        <f t="shared" si="115"/>
        <v>27.69</v>
      </c>
      <c r="R1583" s="66">
        <f t="shared" si="121"/>
        <v>276.88499999999999</v>
      </c>
      <c r="S1583" s="62">
        <f>ROUND('Смета ЕР (общ) '!$N1583*'Смета ЕР (общ) '!$Q1583,2)</f>
        <v>0</v>
      </c>
      <c r="T1583" s="62">
        <f>ROUND('Смета ЕР (общ) '!$N1583*'Смета ЕР (общ) '!$R1583,2)</f>
        <v>0</v>
      </c>
      <c r="U1583" s="73" t="s">
        <v>1549</v>
      </c>
      <c r="V1583" s="68"/>
    </row>
    <row r="1584" spans="1:22" s="46" customFormat="1" ht="14.4" x14ac:dyDescent="0.3">
      <c r="A1584" s="159" t="s">
        <v>1169</v>
      </c>
      <c r="B1584" s="159">
        <v>2</v>
      </c>
      <c r="C1584" s="159"/>
      <c r="D1584" s="162">
        <v>433</v>
      </c>
      <c r="E1584" s="159" t="str">
        <f>CONCATENATE('Смета ЕР (общ) '!$A1584,".",'Смета ЕР (общ) '!$B1584,".",'Смета ЕР (общ) '!$D1584)</f>
        <v>Р9.2.433</v>
      </c>
      <c r="F1584" s="36">
        <f t="shared" si="120"/>
        <v>1</v>
      </c>
      <c r="G1584" s="36"/>
      <c r="H1584" s="36"/>
      <c r="I1584" s="36"/>
      <c r="J1584" s="36"/>
      <c r="K1584" s="36"/>
      <c r="L1584" s="161" t="s">
        <v>1639</v>
      </c>
      <c r="M1584" s="38" t="s">
        <v>118</v>
      </c>
      <c r="N1584" s="39"/>
      <c r="O1584" s="40">
        <f t="shared" si="119"/>
        <v>27.688500000000001</v>
      </c>
      <c r="P1584" s="40">
        <f>[1]Освещение!H140</f>
        <v>276.88499999999999</v>
      </c>
      <c r="Q1584" s="40">
        <f t="shared" si="115"/>
        <v>27.69</v>
      </c>
      <c r="R1584" s="66">
        <f t="shared" si="121"/>
        <v>276.88499999999999</v>
      </c>
      <c r="S1584" s="62">
        <f>ROUND('Смета ЕР (общ) '!$N1584*'Смета ЕР (общ) '!$Q1584,2)</f>
        <v>0</v>
      </c>
      <c r="T1584" s="62">
        <f>ROUND('Смета ЕР (общ) '!$N1584*'Смета ЕР (общ) '!$R1584,2)</f>
        <v>0</v>
      </c>
      <c r="U1584" s="73" t="s">
        <v>1549</v>
      </c>
      <c r="V1584" s="68"/>
    </row>
    <row r="1585" spans="1:25" s="46" customFormat="1" ht="14.4" x14ac:dyDescent="0.3">
      <c r="A1585" s="159" t="s">
        <v>1169</v>
      </c>
      <c r="B1585" s="159">
        <v>2</v>
      </c>
      <c r="C1585" s="159"/>
      <c r="D1585" s="162">
        <v>434</v>
      </c>
      <c r="E1585" s="159" t="str">
        <f>CONCATENATE('Смета ЕР (общ) '!$A1585,".",'Смета ЕР (общ) '!$B1585,".",'Смета ЕР (общ) '!$D1585)</f>
        <v>Р9.2.434</v>
      </c>
      <c r="F1585" s="36">
        <f t="shared" si="120"/>
        <v>1</v>
      </c>
      <c r="G1585" s="36"/>
      <c r="H1585" s="36"/>
      <c r="I1585" s="36"/>
      <c r="J1585" s="36"/>
      <c r="K1585" s="36"/>
      <c r="L1585" s="161" t="s">
        <v>1639</v>
      </c>
      <c r="M1585" s="38" t="s">
        <v>118</v>
      </c>
      <c r="N1585" s="39"/>
      <c r="O1585" s="40">
        <f t="shared" si="119"/>
        <v>27.688500000000001</v>
      </c>
      <c r="P1585" s="40">
        <f>[1]Освещение!H141</f>
        <v>276.88499999999999</v>
      </c>
      <c r="Q1585" s="40">
        <f t="shared" si="115"/>
        <v>27.69</v>
      </c>
      <c r="R1585" s="66">
        <f t="shared" si="121"/>
        <v>276.88499999999999</v>
      </c>
      <c r="S1585" s="62">
        <f>ROUND('Смета ЕР (общ) '!$N1585*'Смета ЕР (общ) '!$Q1585,2)</f>
        <v>0</v>
      </c>
      <c r="T1585" s="62">
        <f>ROUND('Смета ЕР (общ) '!$N1585*'Смета ЕР (общ) '!$R1585,2)</f>
        <v>0</v>
      </c>
      <c r="U1585" s="73" t="s">
        <v>1549</v>
      </c>
      <c r="V1585" s="68"/>
    </row>
    <row r="1586" spans="1:25" s="46" customFormat="1" ht="14.4" x14ac:dyDescent="0.3">
      <c r="A1586" s="159" t="s">
        <v>1169</v>
      </c>
      <c r="B1586" s="159">
        <v>2</v>
      </c>
      <c r="C1586" s="159"/>
      <c r="D1586" s="162">
        <v>435</v>
      </c>
      <c r="E1586" s="159" t="str">
        <f>CONCATENATE('Смета ЕР (общ) '!$A1586,".",'Смета ЕР (общ) '!$B1586,".",'Смета ЕР (общ) '!$D1586)</f>
        <v>Р9.2.435</v>
      </c>
      <c r="F1586" s="36">
        <f t="shared" si="120"/>
        <v>1</v>
      </c>
      <c r="G1586" s="36"/>
      <c r="H1586" s="36"/>
      <c r="I1586" s="36"/>
      <c r="J1586" s="36"/>
      <c r="K1586" s="36"/>
      <c r="L1586" s="161" t="s">
        <v>1640</v>
      </c>
      <c r="M1586" s="38" t="s">
        <v>118</v>
      </c>
      <c r="N1586" s="39"/>
      <c r="O1586" s="40">
        <f t="shared" ref="O1586:O1590" si="122">P1586*0.1</f>
        <v>1201.0005000000001</v>
      </c>
      <c r="P1586" s="40">
        <f>[1]Освещение!H142</f>
        <v>12010.005000000001</v>
      </c>
      <c r="Q1586" s="40">
        <f t="shared" si="115"/>
        <v>1201</v>
      </c>
      <c r="R1586" s="66">
        <f t="shared" si="121"/>
        <v>12010.005000000001</v>
      </c>
      <c r="S1586" s="62">
        <f>ROUND('Смета ЕР (общ) '!$N1586*'Смета ЕР (общ) '!$Q1586,2)</f>
        <v>0</v>
      </c>
      <c r="T1586" s="62">
        <f>ROUND('Смета ЕР (общ) '!$N1586*'Смета ЕР (общ) '!$R1586,2)</f>
        <v>0</v>
      </c>
      <c r="U1586" s="73" t="s">
        <v>1549</v>
      </c>
      <c r="V1586" s="68"/>
    </row>
    <row r="1587" spans="1:25" s="46" customFormat="1" ht="14.4" x14ac:dyDescent="0.3">
      <c r="A1587" s="159" t="s">
        <v>1169</v>
      </c>
      <c r="B1587" s="159">
        <v>2</v>
      </c>
      <c r="C1587" s="159"/>
      <c r="D1587" s="159">
        <v>418</v>
      </c>
      <c r="E1587" s="159" t="str">
        <f>CONCATENATE('Смета ЕР (общ) '!$A1587,".",'Смета ЕР (общ) '!$B1587,".",'Смета ЕР (общ) '!$D1587)</f>
        <v>Р9.2.418</v>
      </c>
      <c r="F1587" s="36">
        <f t="shared" si="120"/>
        <v>1</v>
      </c>
      <c r="G1587" s="36"/>
      <c r="H1587" s="36"/>
      <c r="I1587" s="36"/>
      <c r="J1587" s="36"/>
      <c r="K1587" s="36"/>
      <c r="L1587" s="37" t="s">
        <v>1641</v>
      </c>
      <c r="M1587" s="38" t="s">
        <v>118</v>
      </c>
      <c r="N1587" s="39"/>
      <c r="O1587" s="40">
        <v>2406.12</v>
      </c>
      <c r="P1587" s="40">
        <v>20963.61</v>
      </c>
      <c r="Q1587" s="40">
        <f t="shared" si="115"/>
        <v>2406.12</v>
      </c>
      <c r="R1587" s="40">
        <f t="shared" si="115"/>
        <v>20963.61</v>
      </c>
      <c r="S1587" s="62">
        <f>ROUND('Смета ЕР (общ) '!$N1587*'Смета ЕР (общ) '!$Q1587,2)</f>
        <v>0</v>
      </c>
      <c r="T1587" s="62">
        <f>ROUND('Смета ЕР (общ) '!$N1587*'Смета ЕР (общ) '!$R1587,2)</f>
        <v>0</v>
      </c>
      <c r="U1587" s="35"/>
      <c r="Y1587" s="46">
        <v>7</v>
      </c>
    </row>
    <row r="1588" spans="1:25" ht="14.4" x14ac:dyDescent="0.3">
      <c r="A1588" s="159" t="s">
        <v>1169</v>
      </c>
      <c r="B1588" s="159">
        <v>2</v>
      </c>
      <c r="C1588" s="159"/>
      <c r="D1588" s="159">
        <v>222</v>
      </c>
      <c r="E1588" s="159" t="str">
        <f>CONCATENATE('Смета ЕР (общ) '!$A1588,".",'Смета ЕР (общ) '!$B1588,".",'Смета ЕР (общ) '!$D1588)</f>
        <v>Р9.2.222</v>
      </c>
      <c r="F1588" s="36">
        <f t="shared" si="120"/>
        <v>1</v>
      </c>
      <c r="G1588" s="36"/>
      <c r="H1588" s="36"/>
      <c r="I1588" s="36"/>
      <c r="J1588" s="36"/>
      <c r="K1588" s="36"/>
      <c r="L1588" s="37" t="s">
        <v>1642</v>
      </c>
      <c r="M1588" s="38" t="s">
        <v>147</v>
      </c>
      <c r="N1588" s="39"/>
      <c r="O1588" s="40">
        <v>200.45</v>
      </c>
      <c r="P1588" s="40">
        <v>1338.38</v>
      </c>
      <c r="Q1588" s="40">
        <v>200.45</v>
      </c>
      <c r="R1588" s="40">
        <v>1338.38</v>
      </c>
      <c r="S1588" s="62">
        <f>ROUND('Смета ЕР (общ) '!$N1588*'Смета ЕР (общ) '!$Q1588,2)</f>
        <v>0</v>
      </c>
      <c r="T1588" s="62">
        <f>ROUND('Смета ЕР (общ) '!$N1588*'Смета ЕР (общ) '!$R1588,2)</f>
        <v>0</v>
      </c>
    </row>
    <row r="1589" spans="1:25" ht="14.4" x14ac:dyDescent="0.3">
      <c r="A1589" s="159" t="s">
        <v>1169</v>
      </c>
      <c r="B1589" s="159">
        <v>2</v>
      </c>
      <c r="C1589" s="159"/>
      <c r="D1589" s="159">
        <v>180</v>
      </c>
      <c r="E1589" s="159" t="str">
        <f>CONCATENATE('Смета ЕР (общ) '!$A1589,".",'Смета ЕР (общ) '!$B1589,".",'Смета ЕР (общ) '!$D1589)</f>
        <v>Р9.2.180</v>
      </c>
      <c r="F1589" s="36">
        <f t="shared" si="120"/>
        <v>1</v>
      </c>
      <c r="G1589" s="36"/>
      <c r="H1589" s="36"/>
      <c r="I1589" s="36"/>
      <c r="J1589" s="36"/>
      <c r="K1589" s="36"/>
      <c r="L1589" s="37" t="s">
        <v>1643</v>
      </c>
      <c r="M1589" s="38" t="s">
        <v>147</v>
      </c>
      <c r="N1589" s="39"/>
      <c r="O1589" s="40">
        <v>150.34</v>
      </c>
      <c r="P1589" s="40">
        <v>838.1</v>
      </c>
      <c r="Q1589" s="40">
        <v>150.34</v>
      </c>
      <c r="R1589" s="40">
        <v>838.1</v>
      </c>
      <c r="S1589" s="62">
        <f>ROUND('Смета ЕР (общ) '!$N1589*'Смета ЕР (общ) '!$Q1589,2)</f>
        <v>0</v>
      </c>
      <c r="T1589" s="62">
        <f>ROUND('Смета ЕР (общ) '!$N1589*'Смета ЕР (общ) '!$R1589,2)</f>
        <v>0</v>
      </c>
      <c r="V1589"/>
    </row>
    <row r="1590" spans="1:25" ht="14.4" x14ac:dyDescent="0.3">
      <c r="A1590" s="159" t="s">
        <v>1169</v>
      </c>
      <c r="B1590" s="159">
        <v>2</v>
      </c>
      <c r="C1590" s="159"/>
      <c r="D1590" s="159">
        <v>181</v>
      </c>
      <c r="E1590" s="159" t="str">
        <f>CONCATENATE('Смета ЕР (общ) '!$A1590,".",'Смета ЕР (общ) '!$B1590,".",'Смета ЕР (общ) '!$D1590)</f>
        <v>Р9.2.181</v>
      </c>
      <c r="F1590" s="36">
        <f t="shared" si="120"/>
        <v>1</v>
      </c>
      <c r="G1590" s="36"/>
      <c r="H1590" s="36"/>
      <c r="I1590" s="36"/>
      <c r="J1590" s="36"/>
      <c r="K1590" s="36"/>
      <c r="L1590" s="37" t="s">
        <v>1644</v>
      </c>
      <c r="M1590" s="38" t="s">
        <v>147</v>
      </c>
      <c r="N1590" s="39"/>
      <c r="O1590" s="40">
        <v>143.55000000000001</v>
      </c>
      <c r="P1590" s="40">
        <v>518.41999999999996</v>
      </c>
      <c r="Q1590" s="40">
        <v>143.55000000000001</v>
      </c>
      <c r="R1590" s="40">
        <v>518.41999999999996</v>
      </c>
      <c r="S1590" s="62">
        <f>ROUND('Смета ЕР (общ) '!$N1590*'Смета ЕР (общ) '!$Q1590,2)</f>
        <v>0</v>
      </c>
      <c r="T1590" s="62">
        <f>ROUND('Смета ЕР (общ) '!$N1590*'Смета ЕР (общ) '!$R1590,2)</f>
        <v>0</v>
      </c>
      <c r="V1590"/>
    </row>
    <row r="1591" spans="1:25" ht="14.4" x14ac:dyDescent="0.3">
      <c r="A1591" s="159" t="s">
        <v>1169</v>
      </c>
      <c r="B1591" s="159">
        <v>2</v>
      </c>
      <c r="C1591" s="159"/>
      <c r="D1591" s="159">
        <v>182</v>
      </c>
      <c r="E1591" s="159" t="str">
        <f>CONCATENATE('Смета ЕР (общ) '!$A1591,".",'Смета ЕР (общ) '!$B1591,".",'Смета ЕР (общ) '!$D1591)</f>
        <v>Р9.2.182</v>
      </c>
      <c r="F1591" s="36">
        <f t="shared" si="120"/>
        <v>1</v>
      </c>
      <c r="G1591" s="36"/>
      <c r="H1591" s="36"/>
      <c r="I1591" s="36"/>
      <c r="J1591" s="36"/>
      <c r="K1591" s="36"/>
      <c r="L1591" s="37" t="s">
        <v>1645</v>
      </c>
      <c r="M1591" s="38" t="s">
        <v>147</v>
      </c>
      <c r="N1591" s="39"/>
      <c r="O1591" s="40">
        <v>124.41</v>
      </c>
      <c r="P1591" s="40">
        <v>354.66</v>
      </c>
      <c r="Q1591" s="40">
        <v>124.41</v>
      </c>
      <c r="R1591" s="40">
        <v>354.66</v>
      </c>
      <c r="S1591" s="62">
        <f>ROUND('Смета ЕР (общ) '!$N1591*'Смета ЕР (общ) '!$Q1591,2)</f>
        <v>0</v>
      </c>
      <c r="T1591" s="62">
        <f>ROUND('Смета ЕР (общ) '!$N1591*'Смета ЕР (общ) '!$R1591,2)</f>
        <v>0</v>
      </c>
      <c r="V1591"/>
    </row>
    <row r="1592" spans="1:25" ht="14.4" x14ac:dyDescent="0.3">
      <c r="A1592" s="159" t="s">
        <v>1169</v>
      </c>
      <c r="B1592" s="159">
        <v>2</v>
      </c>
      <c r="C1592" s="159"/>
      <c r="D1592" s="159">
        <v>183</v>
      </c>
      <c r="E1592" s="159" t="str">
        <f>CONCATENATE('Смета ЕР (общ) '!$A1592,".",'Смета ЕР (общ) '!$B1592,".",'Смета ЕР (общ) '!$D1592)</f>
        <v>Р9.2.183</v>
      </c>
      <c r="F1592" s="36">
        <f t="shared" si="120"/>
        <v>1</v>
      </c>
      <c r="G1592" s="36"/>
      <c r="H1592" s="36"/>
      <c r="I1592" s="36"/>
      <c r="J1592" s="36"/>
      <c r="K1592" s="36"/>
      <c r="L1592" s="37" t="s">
        <v>1646</v>
      </c>
      <c r="M1592" s="38" t="s">
        <v>147</v>
      </c>
      <c r="N1592" s="39"/>
      <c r="O1592" s="40">
        <v>129.46</v>
      </c>
      <c r="P1592" s="40">
        <v>227.69</v>
      </c>
      <c r="Q1592" s="40">
        <v>129.46</v>
      </c>
      <c r="R1592" s="40">
        <v>227.69</v>
      </c>
      <c r="S1592" s="62">
        <f>ROUND('Смета ЕР (общ) '!$N1592*'Смета ЕР (общ) '!$Q1592,2)</f>
        <v>0</v>
      </c>
      <c r="T1592" s="62">
        <f>ROUND('Смета ЕР (общ) '!$N1592*'Смета ЕР (общ) '!$R1592,2)</f>
        <v>0</v>
      </c>
      <c r="V1592"/>
    </row>
    <row r="1593" spans="1:25" ht="14.4" x14ac:dyDescent="0.3">
      <c r="A1593" s="36" t="s">
        <v>1169</v>
      </c>
      <c r="B1593" s="36">
        <v>2</v>
      </c>
      <c r="C1593" s="36"/>
      <c r="D1593" s="36">
        <v>184</v>
      </c>
      <c r="E1593" s="36" t="str">
        <f>CONCATENATE('Смета ЕР (общ) '!$A1593,".",'Смета ЕР (общ) '!$B1593,".",'Смета ЕР (общ) '!$D1593)</f>
        <v>Р9.2.184</v>
      </c>
      <c r="F1593" s="36">
        <f t="shared" si="120"/>
        <v>1</v>
      </c>
      <c r="G1593" s="36"/>
      <c r="H1593" s="36"/>
      <c r="I1593" s="36"/>
      <c r="J1593" s="36"/>
      <c r="K1593" s="36"/>
      <c r="L1593" s="37" t="s">
        <v>1646</v>
      </c>
      <c r="M1593" s="38" t="s">
        <v>147</v>
      </c>
      <c r="N1593" s="39"/>
      <c r="O1593" s="40">
        <v>129.46</v>
      </c>
      <c r="P1593" s="40">
        <v>227.69</v>
      </c>
      <c r="Q1593" s="40">
        <v>129.46</v>
      </c>
      <c r="R1593" s="40">
        <v>227.69</v>
      </c>
      <c r="S1593" s="62">
        <f>ROUND('Смета ЕР (общ) '!$N1593*'Смета ЕР (общ) '!$Q1593,2)</f>
        <v>0</v>
      </c>
      <c r="T1593" s="62">
        <f>ROUND('Смета ЕР (общ) '!$N1593*'Смета ЕР (общ) '!$R1593,2)</f>
        <v>0</v>
      </c>
      <c r="V1593"/>
    </row>
    <row r="1594" spans="1:25" ht="14.4" x14ac:dyDescent="0.3">
      <c r="A1594" s="36" t="s">
        <v>1169</v>
      </c>
      <c r="B1594" s="36">
        <v>2</v>
      </c>
      <c r="C1594" s="36"/>
      <c r="D1594" s="36">
        <v>185</v>
      </c>
      <c r="E1594" s="36" t="str">
        <f>CONCATENATE('Смета ЕР (общ) '!$A1594,".",'Смета ЕР (общ) '!$B1594,".",'Смета ЕР (общ) '!$D1594)</f>
        <v>Р9.2.185</v>
      </c>
      <c r="F1594" s="36">
        <f t="shared" si="120"/>
        <v>1</v>
      </c>
      <c r="G1594" s="36"/>
      <c r="H1594" s="36"/>
      <c r="I1594" s="36"/>
      <c r="J1594" s="36"/>
      <c r="K1594" s="36"/>
      <c r="L1594" s="37" t="s">
        <v>1647</v>
      </c>
      <c r="M1594" s="38" t="s">
        <v>147</v>
      </c>
      <c r="N1594" s="39"/>
      <c r="O1594" s="40">
        <v>110.06</v>
      </c>
      <c r="P1594" s="40">
        <v>148.43</v>
      </c>
      <c r="Q1594" s="40">
        <v>110.06</v>
      </c>
      <c r="R1594" s="40">
        <v>148.43</v>
      </c>
      <c r="S1594" s="62">
        <f>ROUND('Смета ЕР (общ) '!$N1594*'Смета ЕР (общ) '!$Q1594,2)</f>
        <v>0</v>
      </c>
      <c r="T1594" s="62">
        <f>ROUND('Смета ЕР (общ) '!$N1594*'Смета ЕР (общ) '!$R1594,2)</f>
        <v>0</v>
      </c>
      <c r="V1594"/>
    </row>
    <row r="1595" spans="1:25" ht="14.4" x14ac:dyDescent="0.3">
      <c r="A1595" s="36" t="s">
        <v>1169</v>
      </c>
      <c r="B1595" s="36">
        <v>2</v>
      </c>
      <c r="C1595" s="36"/>
      <c r="D1595" s="36">
        <v>186</v>
      </c>
      <c r="E1595" s="36" t="str">
        <f>CONCATENATE('Смета ЕР (общ) '!$A1595,".",'Смета ЕР (общ) '!$B1595,".",'Смета ЕР (общ) '!$D1595)</f>
        <v>Р9.2.186</v>
      </c>
      <c r="F1595" s="36">
        <f t="shared" si="120"/>
        <v>1</v>
      </c>
      <c r="G1595" s="36"/>
      <c r="H1595" s="36"/>
      <c r="I1595" s="36"/>
      <c r="J1595" s="36"/>
      <c r="K1595" s="36"/>
      <c r="L1595" s="37" t="s">
        <v>1648</v>
      </c>
      <c r="M1595" s="38" t="s">
        <v>147</v>
      </c>
      <c r="N1595" s="39"/>
      <c r="O1595" s="40">
        <v>110.06</v>
      </c>
      <c r="P1595" s="40">
        <v>186.41</v>
      </c>
      <c r="Q1595" s="40">
        <v>110.06</v>
      </c>
      <c r="R1595" s="40">
        <v>186.41</v>
      </c>
      <c r="S1595" s="62">
        <f>ROUND('Смета ЕР (общ) '!$N1595*'Смета ЕР (общ) '!$Q1595,2)</f>
        <v>0</v>
      </c>
      <c r="T1595" s="62">
        <f>ROUND('Смета ЕР (общ) '!$N1595*'Смета ЕР (общ) '!$R1595,2)</f>
        <v>0</v>
      </c>
      <c r="V1595"/>
    </row>
    <row r="1596" spans="1:25" ht="14.4" x14ac:dyDescent="0.3">
      <c r="A1596" s="36" t="s">
        <v>1169</v>
      </c>
      <c r="B1596" s="36">
        <v>2</v>
      </c>
      <c r="C1596" s="36"/>
      <c r="D1596" s="36">
        <v>187</v>
      </c>
      <c r="E1596" s="36" t="str">
        <f>CONCATENATE('Смета ЕР (общ) '!$A1596,".",'Смета ЕР (общ) '!$B1596,".",'Смета ЕР (общ) '!$D1596)</f>
        <v>Р9.2.187</v>
      </c>
      <c r="F1596" s="36">
        <f t="shared" si="120"/>
        <v>1</v>
      </c>
      <c r="G1596" s="36"/>
      <c r="H1596" s="36"/>
      <c r="I1596" s="36"/>
      <c r="J1596" s="36"/>
      <c r="K1596" s="36"/>
      <c r="L1596" s="37" t="s">
        <v>1649</v>
      </c>
      <c r="M1596" s="38" t="s">
        <v>147</v>
      </c>
      <c r="N1596" s="39"/>
      <c r="O1596" s="40">
        <v>110.06</v>
      </c>
      <c r="P1596" s="40">
        <v>122.81</v>
      </c>
      <c r="Q1596" s="40">
        <v>110.06</v>
      </c>
      <c r="R1596" s="40">
        <v>122.81</v>
      </c>
      <c r="S1596" s="62">
        <f>ROUND('Смета ЕР (общ) '!$N1596*'Смета ЕР (общ) '!$Q1596,2)</f>
        <v>0</v>
      </c>
      <c r="T1596" s="62">
        <f>ROUND('Смета ЕР (общ) '!$N1596*'Смета ЕР (общ) '!$R1596,2)</f>
        <v>0</v>
      </c>
      <c r="V1596"/>
    </row>
    <row r="1597" spans="1:25" ht="14.4" x14ac:dyDescent="0.3">
      <c r="A1597" s="36" t="s">
        <v>1169</v>
      </c>
      <c r="B1597" s="36">
        <v>2</v>
      </c>
      <c r="C1597" s="36"/>
      <c r="D1597" s="36">
        <v>188</v>
      </c>
      <c r="E1597" s="36" t="str">
        <f>CONCATENATE('Смета ЕР (общ) '!$A1597,".",'Смета ЕР (общ) '!$B1597,".",'Смета ЕР (общ) '!$D1597)</f>
        <v>Р9.2.188</v>
      </c>
      <c r="F1597" s="36">
        <f t="shared" si="120"/>
        <v>1</v>
      </c>
      <c r="G1597" s="36"/>
      <c r="H1597" s="36"/>
      <c r="I1597" s="36"/>
      <c r="J1597" s="36"/>
      <c r="K1597" s="36"/>
      <c r="L1597" s="37" t="s">
        <v>1650</v>
      </c>
      <c r="M1597" s="38" t="s">
        <v>147</v>
      </c>
      <c r="N1597" s="39"/>
      <c r="O1597" s="40">
        <v>100.22</v>
      </c>
      <c r="P1597" s="40">
        <v>146.25</v>
      </c>
      <c r="Q1597" s="40">
        <v>100.22</v>
      </c>
      <c r="R1597" s="40">
        <v>146.25</v>
      </c>
      <c r="S1597" s="62">
        <f>ROUND('Смета ЕР (общ) '!$N1597*'Смета ЕР (общ) '!$Q1597,2)</f>
        <v>0</v>
      </c>
      <c r="T1597" s="62">
        <f>ROUND('Смета ЕР (общ) '!$N1597*'Смета ЕР (общ) '!$R1597,2)</f>
        <v>0</v>
      </c>
      <c r="V1597"/>
    </row>
    <row r="1598" spans="1:25" ht="14.4" x14ac:dyDescent="0.3">
      <c r="A1598" s="36" t="s">
        <v>1169</v>
      </c>
      <c r="B1598" s="36">
        <v>2</v>
      </c>
      <c r="C1598" s="36"/>
      <c r="D1598" s="36">
        <v>189</v>
      </c>
      <c r="E1598" s="36" t="str">
        <f>CONCATENATE('Смета ЕР (общ) '!$A1598,".",'Смета ЕР (общ) '!$B1598,".",'Смета ЕР (общ) '!$D1598)</f>
        <v>Р9.2.189</v>
      </c>
      <c r="F1598" s="36">
        <f t="shared" si="120"/>
        <v>1</v>
      </c>
      <c r="G1598" s="36"/>
      <c r="H1598" s="36"/>
      <c r="I1598" s="36"/>
      <c r="J1598" s="36"/>
      <c r="K1598" s="36"/>
      <c r="L1598" s="37" t="s">
        <v>1651</v>
      </c>
      <c r="M1598" s="38" t="s">
        <v>147</v>
      </c>
      <c r="N1598" s="39"/>
      <c r="O1598" s="40">
        <v>100.22</v>
      </c>
      <c r="P1598" s="40">
        <v>98.52</v>
      </c>
      <c r="Q1598" s="40">
        <v>100.22</v>
      </c>
      <c r="R1598" s="40">
        <v>98.52</v>
      </c>
      <c r="S1598" s="62">
        <f>ROUND('Смета ЕР (общ) '!$N1598*'Смета ЕР (общ) '!$Q1598,2)</f>
        <v>0</v>
      </c>
      <c r="T1598" s="62">
        <f>ROUND('Смета ЕР (общ) '!$N1598*'Смета ЕР (общ) '!$R1598,2)</f>
        <v>0</v>
      </c>
      <c r="V1598"/>
    </row>
    <row r="1599" spans="1:25" ht="14.4" x14ac:dyDescent="0.3">
      <c r="A1599" s="36" t="s">
        <v>1169</v>
      </c>
      <c r="B1599" s="36">
        <v>2</v>
      </c>
      <c r="C1599" s="36"/>
      <c r="D1599" s="36">
        <v>190</v>
      </c>
      <c r="E1599" s="36" t="str">
        <f>CONCATENATE('Смета ЕР (общ) '!$A1599,".",'Смета ЕР (общ) '!$B1599,".",'Смета ЕР (общ) '!$D1599)</f>
        <v>Р9.2.190</v>
      </c>
      <c r="F1599" s="36">
        <f t="shared" si="120"/>
        <v>1</v>
      </c>
      <c r="G1599" s="36"/>
      <c r="H1599" s="36"/>
      <c r="I1599" s="36"/>
      <c r="J1599" s="36"/>
      <c r="K1599" s="36"/>
      <c r="L1599" s="37" t="s">
        <v>1652</v>
      </c>
      <c r="M1599" s="38" t="s">
        <v>147</v>
      </c>
      <c r="N1599" s="39"/>
      <c r="O1599" s="40">
        <v>100.22</v>
      </c>
      <c r="P1599" s="40">
        <v>55.79</v>
      </c>
      <c r="Q1599" s="40">
        <v>100.22</v>
      </c>
      <c r="R1599" s="40">
        <v>55.79</v>
      </c>
      <c r="S1599" s="62">
        <f>ROUND('Смета ЕР (общ) '!$N1599*'Смета ЕР (общ) '!$Q1599,2)</f>
        <v>0</v>
      </c>
      <c r="T1599" s="62">
        <f>ROUND('Смета ЕР (общ) '!$N1599*'Смета ЕР (общ) '!$R1599,2)</f>
        <v>0</v>
      </c>
      <c r="V1599"/>
    </row>
    <row r="1600" spans="1:25" ht="14.4" x14ac:dyDescent="0.3">
      <c r="A1600" s="36" t="s">
        <v>1169</v>
      </c>
      <c r="B1600" s="36">
        <v>2</v>
      </c>
      <c r="C1600" s="36"/>
      <c r="D1600" s="36">
        <v>191</v>
      </c>
      <c r="E1600" s="36" t="str">
        <f>CONCATENATE('Смета ЕР (общ) '!$A1600,".",'Смета ЕР (общ) '!$B1600,".",'Смета ЕР (общ) '!$D1600)</f>
        <v>Р9.2.191</v>
      </c>
      <c r="F1600" s="36">
        <f t="shared" si="120"/>
        <v>1</v>
      </c>
      <c r="G1600" s="36"/>
      <c r="H1600" s="36"/>
      <c r="I1600" s="36"/>
      <c r="J1600" s="36"/>
      <c r="K1600" s="36"/>
      <c r="L1600" s="37" t="s">
        <v>1653</v>
      </c>
      <c r="M1600" s="38" t="s">
        <v>147</v>
      </c>
      <c r="N1600" s="39"/>
      <c r="O1600" s="40">
        <v>100.22</v>
      </c>
      <c r="P1600" s="40">
        <v>110.66</v>
      </c>
      <c r="Q1600" s="40">
        <v>100.22</v>
      </c>
      <c r="R1600" s="40">
        <v>110.66</v>
      </c>
      <c r="S1600" s="62">
        <f>ROUND('Смета ЕР (общ) '!$N1600*'Смета ЕР (общ) '!$Q1600,2)</f>
        <v>0</v>
      </c>
      <c r="T1600" s="62">
        <f>ROUND('Смета ЕР (общ) '!$N1600*'Смета ЕР (общ) '!$R1600,2)</f>
        <v>0</v>
      </c>
      <c r="V1600"/>
    </row>
    <row r="1601" spans="1:25" ht="14.4" x14ac:dyDescent="0.3">
      <c r="A1601" s="36" t="s">
        <v>1169</v>
      </c>
      <c r="B1601" s="36">
        <v>2</v>
      </c>
      <c r="C1601" s="36"/>
      <c r="D1601" s="36">
        <v>192</v>
      </c>
      <c r="E1601" s="36" t="str">
        <f>CONCATENATE('Смета ЕР (общ) '!$A1601,".",'Смета ЕР (общ) '!$B1601,".",'Смета ЕР (общ) '!$D1601)</f>
        <v>Р9.2.192</v>
      </c>
      <c r="F1601" s="36">
        <f t="shared" si="120"/>
        <v>1</v>
      </c>
      <c r="G1601" s="36"/>
      <c r="H1601" s="36"/>
      <c r="I1601" s="36"/>
      <c r="J1601" s="36"/>
      <c r="K1601" s="36"/>
      <c r="L1601" s="37" t="s">
        <v>1654</v>
      </c>
      <c r="M1601" s="38" t="s">
        <v>147</v>
      </c>
      <c r="N1601" s="39"/>
      <c r="O1601" s="40">
        <v>100.22</v>
      </c>
      <c r="P1601" s="40">
        <v>69.239999999999995</v>
      </c>
      <c r="Q1601" s="40">
        <v>100.22</v>
      </c>
      <c r="R1601" s="40">
        <v>69.239999999999995</v>
      </c>
      <c r="S1601" s="62">
        <f>ROUND('Смета ЕР (общ) '!$N1601*'Смета ЕР (общ) '!$Q1601,2)</f>
        <v>0</v>
      </c>
      <c r="T1601" s="62">
        <f>ROUND('Смета ЕР (общ) '!$N1601*'Смета ЕР (общ) '!$R1601,2)</f>
        <v>0</v>
      </c>
      <c r="V1601"/>
    </row>
    <row r="1602" spans="1:25" ht="14.4" x14ac:dyDescent="0.3">
      <c r="A1602" s="36" t="s">
        <v>1169</v>
      </c>
      <c r="B1602" s="36">
        <v>2</v>
      </c>
      <c r="C1602" s="36"/>
      <c r="D1602" s="36">
        <v>193</v>
      </c>
      <c r="E1602" s="36" t="str">
        <f>CONCATENATE('Смета ЕР (общ) '!$A1602,".",'Смета ЕР (общ) '!$B1602,".",'Смета ЕР (общ) '!$D1602)</f>
        <v>Р9.2.193</v>
      </c>
      <c r="F1602" s="36">
        <f t="shared" si="120"/>
        <v>1</v>
      </c>
      <c r="G1602" s="36"/>
      <c r="H1602" s="36"/>
      <c r="I1602" s="36"/>
      <c r="J1602" s="36"/>
      <c r="K1602" s="36"/>
      <c r="L1602" s="37" t="s">
        <v>1655</v>
      </c>
      <c r="M1602" s="38" t="s">
        <v>147</v>
      </c>
      <c r="N1602" s="39"/>
      <c r="O1602" s="40">
        <v>100.22</v>
      </c>
      <c r="P1602" s="40">
        <v>108.32</v>
      </c>
      <c r="Q1602" s="40">
        <v>100.22</v>
      </c>
      <c r="R1602" s="40">
        <v>108.32</v>
      </c>
      <c r="S1602" s="62">
        <f>ROUND('Смета ЕР (общ) '!$N1602*'Смета ЕР (общ) '!$Q1602,2)</f>
        <v>0</v>
      </c>
      <c r="T1602" s="62">
        <f>ROUND('Смета ЕР (общ) '!$N1602*'Смета ЕР (общ) '!$R1602,2)</f>
        <v>0</v>
      </c>
      <c r="V1602"/>
    </row>
    <row r="1603" spans="1:25" ht="14.4" x14ac:dyDescent="0.3">
      <c r="A1603" s="36" t="s">
        <v>1169</v>
      </c>
      <c r="B1603" s="36">
        <v>2</v>
      </c>
      <c r="C1603" s="36"/>
      <c r="D1603" s="36">
        <v>194</v>
      </c>
      <c r="E1603" s="36" t="str">
        <f>CONCATENATE('Смета ЕР (общ) '!$A1603,".",'Смета ЕР (общ) '!$B1603,".",'Смета ЕР (общ) '!$D1603)</f>
        <v>Р9.2.194</v>
      </c>
      <c r="F1603" s="36">
        <f t="shared" si="120"/>
        <v>1</v>
      </c>
      <c r="G1603" s="36"/>
      <c r="H1603" s="36"/>
      <c r="I1603" s="36"/>
      <c r="J1603" s="36"/>
      <c r="K1603" s="36"/>
      <c r="L1603" s="37" t="s">
        <v>1656</v>
      </c>
      <c r="M1603" s="38" t="s">
        <v>147</v>
      </c>
      <c r="N1603" s="39"/>
      <c r="O1603" s="40">
        <v>100.22</v>
      </c>
      <c r="P1603" s="40">
        <v>159.21</v>
      </c>
      <c r="Q1603" s="40">
        <v>100.22</v>
      </c>
      <c r="R1603" s="40">
        <v>159.21</v>
      </c>
      <c r="S1603" s="62">
        <f>ROUND('Смета ЕР (общ) '!$N1603*'Смета ЕР (общ) '!$Q1603,2)</f>
        <v>0</v>
      </c>
      <c r="T1603" s="62">
        <f>ROUND('Смета ЕР (общ) '!$N1603*'Смета ЕР (общ) '!$R1603,2)</f>
        <v>0</v>
      </c>
      <c r="V1603"/>
    </row>
    <row r="1604" spans="1:25" ht="14.4" x14ac:dyDescent="0.3">
      <c r="A1604" s="36" t="s">
        <v>1169</v>
      </c>
      <c r="B1604" s="36">
        <v>2</v>
      </c>
      <c r="C1604" s="36"/>
      <c r="D1604" s="36">
        <v>195</v>
      </c>
      <c r="E1604" s="36" t="str">
        <f>CONCATENATE('Смета ЕР (общ) '!$A1604,".",'Смета ЕР (общ) '!$B1604,".",'Смета ЕР (общ) '!$D1604)</f>
        <v>Р9.2.195</v>
      </c>
      <c r="F1604" s="36">
        <f t="shared" si="120"/>
        <v>1</v>
      </c>
      <c r="G1604" s="36"/>
      <c r="H1604" s="36"/>
      <c r="I1604" s="36"/>
      <c r="J1604" s="36"/>
      <c r="K1604" s="36"/>
      <c r="L1604" s="37" t="s">
        <v>1657</v>
      </c>
      <c r="M1604" s="38" t="s">
        <v>147</v>
      </c>
      <c r="N1604" s="39"/>
      <c r="O1604" s="40">
        <v>90.48</v>
      </c>
      <c r="P1604" s="40">
        <v>98.47</v>
      </c>
      <c r="Q1604" s="40">
        <v>90.48</v>
      </c>
      <c r="R1604" s="40">
        <v>98.47</v>
      </c>
      <c r="S1604" s="62">
        <f>ROUND('Смета ЕР (общ) '!$N1604*'Смета ЕР (общ) '!$Q1604,2)</f>
        <v>0</v>
      </c>
      <c r="T1604" s="62">
        <f>ROUND('Смета ЕР (общ) '!$N1604*'Смета ЕР (общ) '!$R1604,2)</f>
        <v>0</v>
      </c>
      <c r="V1604"/>
      <c r="Y1604">
        <v>11</v>
      </c>
    </row>
    <row r="1605" spans="1:25" ht="14.4" x14ac:dyDescent="0.3">
      <c r="A1605" s="36" t="s">
        <v>1169</v>
      </c>
      <c r="B1605" s="36">
        <v>2</v>
      </c>
      <c r="C1605" s="36"/>
      <c r="D1605" s="36">
        <v>196</v>
      </c>
      <c r="E1605" s="36" t="str">
        <f>CONCATENATE('Смета ЕР (общ) '!$A1605,".",'Смета ЕР (общ) '!$B1605,".",'Смета ЕР (общ) '!$D1605)</f>
        <v>Р9.2.196</v>
      </c>
      <c r="F1605" s="36">
        <f t="shared" si="120"/>
        <v>1</v>
      </c>
      <c r="G1605" s="36"/>
      <c r="H1605" s="36"/>
      <c r="I1605" s="36"/>
      <c r="J1605" s="36"/>
      <c r="K1605" s="36"/>
      <c r="L1605" s="37" t="s">
        <v>1658</v>
      </c>
      <c r="M1605" s="38" t="s">
        <v>147</v>
      </c>
      <c r="N1605" s="39"/>
      <c r="O1605" s="40">
        <v>90.48</v>
      </c>
      <c r="P1605" s="40">
        <v>41.44</v>
      </c>
      <c r="Q1605" s="40">
        <v>90.48</v>
      </c>
      <c r="R1605" s="40">
        <v>41.44</v>
      </c>
      <c r="S1605" s="62">
        <f>ROUND('Смета ЕР (общ) '!$N1605*'Смета ЕР (общ) '!$Q1605,2)</f>
        <v>0</v>
      </c>
      <c r="T1605" s="62">
        <f>ROUND('Смета ЕР (общ) '!$N1605*'Смета ЕР (общ) '!$R1605,2)</f>
        <v>0</v>
      </c>
      <c r="V1605"/>
      <c r="Y1605">
        <v>22</v>
      </c>
    </row>
    <row r="1606" spans="1:25" ht="14.4" x14ac:dyDescent="0.3">
      <c r="A1606" s="36" t="s">
        <v>1169</v>
      </c>
      <c r="B1606" s="36">
        <v>2</v>
      </c>
      <c r="C1606" s="36"/>
      <c r="D1606" s="36">
        <v>223</v>
      </c>
      <c r="E1606" s="36" t="str">
        <f>CONCATENATE('Смета ЕР (общ) '!$A1606,".",'Смета ЕР (общ) '!$B1606,".",'Смета ЕР (общ) '!$D1606)</f>
        <v>Р9.2.223</v>
      </c>
      <c r="F1606" s="36">
        <f t="shared" si="120"/>
        <v>1</v>
      </c>
      <c r="G1606" s="36"/>
      <c r="H1606" s="36"/>
      <c r="I1606" s="36"/>
      <c r="J1606" s="36"/>
      <c r="K1606" s="36"/>
      <c r="L1606" s="37" t="s">
        <v>1659</v>
      </c>
      <c r="M1606" s="38" t="s">
        <v>147</v>
      </c>
      <c r="N1606" s="39"/>
      <c r="O1606" s="40">
        <v>334.95</v>
      </c>
      <c r="P1606" s="40">
        <v>3155.18</v>
      </c>
      <c r="Q1606" s="40">
        <f t="shared" ref="Q1606:R1622" si="123">ROUND(O1606-O1606*$V$3,2)</f>
        <v>334.95</v>
      </c>
      <c r="R1606" s="40">
        <f t="shared" si="123"/>
        <v>3155.18</v>
      </c>
      <c r="S1606" s="62">
        <f>ROUND('Смета ЕР (общ) '!$N1606*'Смета ЕР (общ) '!$Q1606,2)</f>
        <v>0</v>
      </c>
      <c r="T1606" s="62">
        <f>ROUND('Смета ЕР (общ) '!$N1606*'Смета ЕР (общ) '!$R1606,2)</f>
        <v>0</v>
      </c>
    </row>
    <row r="1607" spans="1:25" ht="14.4" x14ac:dyDescent="0.3">
      <c r="A1607" s="36" t="s">
        <v>1169</v>
      </c>
      <c r="B1607" s="36">
        <v>2</v>
      </c>
      <c r="C1607" s="36"/>
      <c r="D1607" s="36">
        <v>224</v>
      </c>
      <c r="E1607" s="36" t="str">
        <f>CONCATENATE('Смета ЕР (общ) '!$A1607,".",'Смета ЕР (общ) '!$B1607,".",'Смета ЕР (общ) '!$D1607)</f>
        <v>Р9.2.224</v>
      </c>
      <c r="F1607" s="36">
        <f t="shared" si="120"/>
        <v>1</v>
      </c>
      <c r="G1607" s="36"/>
      <c r="H1607" s="36"/>
      <c r="I1607" s="36"/>
      <c r="J1607" s="36"/>
      <c r="K1607" s="36"/>
      <c r="L1607" s="37" t="s">
        <v>1660</v>
      </c>
      <c r="M1607" s="38" t="s">
        <v>147</v>
      </c>
      <c r="N1607" s="39"/>
      <c r="O1607" s="40">
        <v>226.2</v>
      </c>
      <c r="P1607" s="40">
        <v>2249.58</v>
      </c>
      <c r="Q1607" s="40">
        <f t="shared" si="123"/>
        <v>226.2</v>
      </c>
      <c r="R1607" s="40">
        <f t="shared" si="123"/>
        <v>2249.58</v>
      </c>
      <c r="S1607" s="62">
        <f>ROUND('Смета ЕР (общ) '!$N1607*'Смета ЕР (общ) '!$Q1607,2)</f>
        <v>0</v>
      </c>
      <c r="T1607" s="62">
        <f>ROUND('Смета ЕР (общ) '!$N1607*'Смета ЕР (общ) '!$R1607,2)</f>
        <v>0</v>
      </c>
    </row>
    <row r="1608" spans="1:25" ht="14.4" x14ac:dyDescent="0.3">
      <c r="A1608" s="36" t="s">
        <v>1169</v>
      </c>
      <c r="B1608" s="36">
        <v>2</v>
      </c>
      <c r="C1608" s="36"/>
      <c r="D1608" s="36">
        <v>225</v>
      </c>
      <c r="E1608" s="36" t="str">
        <f>CONCATENATE('Смета ЕР (общ) '!$A1608,".",'Смета ЕР (общ) '!$B1608,".",'Смета ЕР (общ) '!$D1608)</f>
        <v>Р9.2.225</v>
      </c>
      <c r="F1608" s="36">
        <f t="shared" si="120"/>
        <v>1</v>
      </c>
      <c r="G1608" s="36"/>
      <c r="H1608" s="36"/>
      <c r="I1608" s="36"/>
      <c r="J1608" s="36"/>
      <c r="K1608" s="36"/>
      <c r="L1608" s="37" t="s">
        <v>1661</v>
      </c>
      <c r="M1608" s="38" t="s">
        <v>147</v>
      </c>
      <c r="N1608" s="39"/>
      <c r="O1608" s="40">
        <v>209</v>
      </c>
      <c r="P1608" s="40">
        <v>1423.57</v>
      </c>
      <c r="Q1608" s="40">
        <f t="shared" si="123"/>
        <v>209</v>
      </c>
      <c r="R1608" s="40">
        <f t="shared" si="123"/>
        <v>1423.57</v>
      </c>
      <c r="S1608" s="62">
        <f>ROUND('Смета ЕР (общ) '!$N1608*'Смета ЕР (общ) '!$Q1608,2)</f>
        <v>0</v>
      </c>
      <c r="T1608" s="62">
        <f>ROUND('Смета ЕР (общ) '!$N1608*'Смета ЕР (общ) '!$R1608,2)</f>
        <v>0</v>
      </c>
    </row>
    <row r="1609" spans="1:25" ht="14.4" x14ac:dyDescent="0.3">
      <c r="A1609" s="36" t="s">
        <v>1169</v>
      </c>
      <c r="B1609" s="36">
        <v>2</v>
      </c>
      <c r="C1609" s="36"/>
      <c r="D1609" s="36">
        <v>268</v>
      </c>
      <c r="E1609" s="36" t="str">
        <f>CONCATENATE('Смета ЕР (общ) '!$A1609,".",'Смета ЕР (общ) '!$B1609,".",'Смета ЕР (общ) '!$D1609)</f>
        <v>Р9.2.268</v>
      </c>
      <c r="F1609" s="36">
        <f t="shared" si="120"/>
        <v>1</v>
      </c>
      <c r="G1609" s="36"/>
      <c r="H1609" s="36"/>
      <c r="I1609" s="36"/>
      <c r="J1609" s="36"/>
      <c r="K1609" s="36"/>
      <c r="L1609" s="37" t="s">
        <v>1662</v>
      </c>
      <c r="M1609" s="38" t="s">
        <v>147</v>
      </c>
      <c r="N1609" s="39"/>
      <c r="O1609" s="40">
        <v>209</v>
      </c>
      <c r="P1609" s="40">
        <v>938.52</v>
      </c>
      <c r="Q1609" s="40">
        <f t="shared" si="123"/>
        <v>209</v>
      </c>
      <c r="R1609" s="40">
        <f t="shared" si="123"/>
        <v>938.52</v>
      </c>
      <c r="S1609" s="62">
        <f>ROUND('Смета ЕР (общ) '!$N1609*'Смета ЕР (общ) '!$Q1609,2)</f>
        <v>0</v>
      </c>
      <c r="T1609" s="62">
        <f>ROUND('Смета ЕР (общ) '!$N1609*'Смета ЕР (общ) '!$R1609,2)</f>
        <v>0</v>
      </c>
    </row>
    <row r="1610" spans="1:25" ht="14.4" x14ac:dyDescent="0.3">
      <c r="A1610" s="36" t="s">
        <v>1169</v>
      </c>
      <c r="B1610" s="36">
        <v>2</v>
      </c>
      <c r="C1610" s="36"/>
      <c r="D1610" s="36">
        <v>226</v>
      </c>
      <c r="E1610" s="36" t="str">
        <f>CONCATENATE('Смета ЕР (общ) '!$A1610,".",'Смета ЕР (общ) '!$B1610,".",'Смета ЕР (общ) '!$D1610)</f>
        <v>Р9.2.226</v>
      </c>
      <c r="F1610" s="36">
        <f t="shared" si="120"/>
        <v>1</v>
      </c>
      <c r="G1610" s="36"/>
      <c r="H1610" s="36"/>
      <c r="I1610" s="36"/>
      <c r="J1610" s="36"/>
      <c r="K1610" s="36"/>
      <c r="L1610" s="37" t="s">
        <v>1663</v>
      </c>
      <c r="M1610" s="38" t="s">
        <v>147</v>
      </c>
      <c r="N1610" s="39"/>
      <c r="O1610" s="40">
        <v>198</v>
      </c>
      <c r="P1610" s="40">
        <v>579.13</v>
      </c>
      <c r="Q1610" s="40">
        <f t="shared" si="123"/>
        <v>198</v>
      </c>
      <c r="R1610" s="40">
        <f t="shared" si="123"/>
        <v>579.13</v>
      </c>
      <c r="S1610" s="62">
        <f>ROUND('Смета ЕР (общ) '!$N1610*'Смета ЕР (общ) '!$Q1610,2)</f>
        <v>0</v>
      </c>
      <c r="T1610" s="62">
        <f>ROUND('Смета ЕР (общ) '!$N1610*'Смета ЕР (общ) '!$R1610,2)</f>
        <v>0</v>
      </c>
      <c r="Y1610">
        <v>6</v>
      </c>
    </row>
    <row r="1611" spans="1:25" ht="14.4" x14ac:dyDescent="0.3">
      <c r="A1611" s="36" t="s">
        <v>1169</v>
      </c>
      <c r="B1611" s="36">
        <v>2</v>
      </c>
      <c r="C1611" s="36"/>
      <c r="D1611" s="36">
        <v>227</v>
      </c>
      <c r="E1611" s="36" t="str">
        <f>CONCATENATE('Смета ЕР (общ) '!$A1611,".",'Смета ЕР (общ) '!$B1611,".",'Смета ЕР (общ) '!$D1611)</f>
        <v>Р9.2.227</v>
      </c>
      <c r="F1611" s="36">
        <f t="shared" si="120"/>
        <v>1</v>
      </c>
      <c r="G1611" s="36"/>
      <c r="H1611" s="36"/>
      <c r="I1611" s="36"/>
      <c r="J1611" s="36"/>
      <c r="K1611" s="36"/>
      <c r="L1611" s="37" t="s">
        <v>1664</v>
      </c>
      <c r="M1611" s="38" t="s">
        <v>147</v>
      </c>
      <c r="N1611" s="39"/>
      <c r="O1611" s="40">
        <v>132</v>
      </c>
      <c r="P1611" s="40">
        <v>412.57</v>
      </c>
      <c r="Q1611" s="40">
        <f t="shared" si="123"/>
        <v>132</v>
      </c>
      <c r="R1611" s="40">
        <f t="shared" si="123"/>
        <v>412.57</v>
      </c>
      <c r="S1611" s="62">
        <f>ROUND('Смета ЕР (общ) '!$N1611*'Смета ЕР (общ) '!$Q1611,2)</f>
        <v>0</v>
      </c>
      <c r="T1611" s="62">
        <f>ROUND('Смета ЕР (общ) '!$N1611*'Смета ЕР (общ) '!$R1611,2)</f>
        <v>0</v>
      </c>
    </row>
    <row r="1612" spans="1:25" ht="14.4" x14ac:dyDescent="0.3">
      <c r="A1612" s="36" t="s">
        <v>1169</v>
      </c>
      <c r="B1612" s="36">
        <v>2</v>
      </c>
      <c r="C1612" s="36"/>
      <c r="D1612" s="36">
        <v>228</v>
      </c>
      <c r="E1612" s="36" t="str">
        <f>CONCATENATE('Смета ЕР (общ) '!$A1612,".",'Смета ЕР (общ) '!$B1612,".",'Смета ЕР (общ) '!$D1612)</f>
        <v>Р9.2.228</v>
      </c>
      <c r="F1612" s="36">
        <f t="shared" si="120"/>
        <v>1</v>
      </c>
      <c r="G1612" s="36"/>
      <c r="H1612" s="36"/>
      <c r="I1612" s="36"/>
      <c r="J1612" s="36"/>
      <c r="K1612" s="36"/>
      <c r="L1612" s="37" t="s">
        <v>1665</v>
      </c>
      <c r="M1612" s="38" t="s">
        <v>147</v>
      </c>
      <c r="N1612" s="39"/>
      <c r="O1612" s="40">
        <v>110.06</v>
      </c>
      <c r="P1612" s="40">
        <v>274.42</v>
      </c>
      <c r="Q1612" s="40">
        <f t="shared" si="123"/>
        <v>110.06</v>
      </c>
      <c r="R1612" s="40">
        <f t="shared" si="123"/>
        <v>274.42</v>
      </c>
      <c r="S1612" s="62">
        <f>ROUND('Смета ЕР (общ) '!$N1612*'Смета ЕР (общ) '!$Q1612,2)</f>
        <v>0</v>
      </c>
      <c r="T1612" s="62">
        <f>ROUND('Смета ЕР (общ) '!$N1612*'Смета ЕР (общ) '!$R1612,2)</f>
        <v>0</v>
      </c>
      <c r="Y1612">
        <v>15</v>
      </c>
    </row>
    <row r="1613" spans="1:25" ht="14.4" x14ac:dyDescent="0.3">
      <c r="A1613" s="36" t="s">
        <v>1169</v>
      </c>
      <c r="B1613" s="36">
        <v>2</v>
      </c>
      <c r="C1613" s="36"/>
      <c r="D1613" s="36">
        <v>229</v>
      </c>
      <c r="E1613" s="36" t="str">
        <f>CONCATENATE('Смета ЕР (общ) '!$A1613,".",'Смета ЕР (общ) '!$B1613,".",'Смета ЕР (общ) '!$D1613)</f>
        <v>Р9.2.229</v>
      </c>
      <c r="F1613" s="36">
        <f t="shared" si="120"/>
        <v>1</v>
      </c>
      <c r="G1613" s="36"/>
      <c r="H1613" s="36"/>
      <c r="I1613" s="36"/>
      <c r="J1613" s="36"/>
      <c r="K1613" s="36"/>
      <c r="L1613" s="37" t="s">
        <v>1666</v>
      </c>
      <c r="M1613" s="38" t="s">
        <v>147</v>
      </c>
      <c r="N1613" s="39"/>
      <c r="O1613" s="40">
        <v>110.06</v>
      </c>
      <c r="P1613" s="40">
        <v>191.72</v>
      </c>
      <c r="Q1613" s="40">
        <f t="shared" si="123"/>
        <v>110.06</v>
      </c>
      <c r="R1613" s="40">
        <f t="shared" si="123"/>
        <v>191.72</v>
      </c>
      <c r="S1613" s="62">
        <f>ROUND('Смета ЕР (общ) '!$N1613*'Смета ЕР (общ) '!$Q1613,2)</f>
        <v>0</v>
      </c>
      <c r="T1613" s="62">
        <f>ROUND('Смета ЕР (общ) '!$N1613*'Смета ЕР (общ) '!$R1613,2)</f>
        <v>0</v>
      </c>
    </row>
    <row r="1614" spans="1:25" ht="14.4" x14ac:dyDescent="0.3">
      <c r="A1614" s="36" t="s">
        <v>1169</v>
      </c>
      <c r="B1614" s="36">
        <v>2</v>
      </c>
      <c r="C1614" s="36"/>
      <c r="D1614" s="36">
        <v>230</v>
      </c>
      <c r="E1614" s="36" t="str">
        <f>CONCATENATE('Смета ЕР (общ) '!$A1614,".",'Смета ЕР (общ) '!$B1614,".",'Смета ЕР (общ) '!$D1614)</f>
        <v>Р9.2.230</v>
      </c>
      <c r="F1614" s="36">
        <f t="shared" si="120"/>
        <v>1</v>
      </c>
      <c r="G1614" s="36"/>
      <c r="H1614" s="36"/>
      <c r="I1614" s="36"/>
      <c r="J1614" s="36"/>
      <c r="K1614" s="36"/>
      <c r="L1614" s="37" t="s">
        <v>1667</v>
      </c>
      <c r="M1614" s="38" t="s">
        <v>147</v>
      </c>
      <c r="N1614" s="39"/>
      <c r="O1614" s="40">
        <v>118.67</v>
      </c>
      <c r="P1614" s="40">
        <v>192.49</v>
      </c>
      <c r="Q1614" s="40">
        <f t="shared" si="123"/>
        <v>118.67</v>
      </c>
      <c r="R1614" s="40">
        <f t="shared" si="123"/>
        <v>192.49</v>
      </c>
      <c r="S1614" s="62">
        <f>ROUND('Смета ЕР (общ) '!$N1614*'Смета ЕР (общ) '!$Q1614,2)</f>
        <v>0</v>
      </c>
      <c r="T1614" s="62">
        <f>ROUND('Смета ЕР (общ) '!$N1614*'Смета ЕР (общ) '!$R1614,2)</f>
        <v>0</v>
      </c>
    </row>
    <row r="1615" spans="1:25" ht="14.4" x14ac:dyDescent="0.3">
      <c r="A1615" s="36" t="s">
        <v>1169</v>
      </c>
      <c r="B1615" s="36">
        <v>2</v>
      </c>
      <c r="C1615" s="36"/>
      <c r="D1615" s="36">
        <v>231</v>
      </c>
      <c r="E1615" s="36" t="str">
        <f>CONCATENATE('Смета ЕР (общ) '!$A1615,".",'Смета ЕР (общ) '!$B1615,".",'Смета ЕР (общ) '!$D1615)</f>
        <v>Р9.2.231</v>
      </c>
      <c r="F1615" s="36">
        <f t="shared" si="120"/>
        <v>1</v>
      </c>
      <c r="G1615" s="36"/>
      <c r="H1615" s="36"/>
      <c r="I1615" s="36"/>
      <c r="J1615" s="36"/>
      <c r="K1615" s="36"/>
      <c r="L1615" s="37" t="s">
        <v>1668</v>
      </c>
      <c r="M1615" s="38" t="s">
        <v>147</v>
      </c>
      <c r="N1615" s="39"/>
      <c r="O1615" s="40">
        <v>100.22</v>
      </c>
      <c r="P1615" s="40">
        <v>160.36000000000001</v>
      </c>
      <c r="Q1615" s="40">
        <f t="shared" si="123"/>
        <v>100.22</v>
      </c>
      <c r="R1615" s="40">
        <f t="shared" si="123"/>
        <v>160.36000000000001</v>
      </c>
      <c r="S1615" s="62">
        <f>ROUND('Смета ЕР (общ) '!$N1615*'Смета ЕР (общ) '!$Q1615,2)</f>
        <v>0</v>
      </c>
      <c r="T1615" s="62">
        <f>ROUND('Смета ЕР (общ) '!$N1615*'Смета ЕР (общ) '!$R1615,2)</f>
        <v>0</v>
      </c>
      <c r="Y1615">
        <v>1177</v>
      </c>
    </row>
    <row r="1616" spans="1:25" ht="14.4" x14ac:dyDescent="0.3">
      <c r="A1616" s="36" t="s">
        <v>1169</v>
      </c>
      <c r="B1616" s="36">
        <v>2</v>
      </c>
      <c r="C1616" s="36"/>
      <c r="D1616" s="36">
        <v>232</v>
      </c>
      <c r="E1616" s="36" t="str">
        <f>CONCATENATE('Смета ЕР (общ) '!$A1616,".",'Смета ЕР (общ) '!$B1616,".",'Смета ЕР (общ) '!$D1616)</f>
        <v>Р9.2.232</v>
      </c>
      <c r="F1616" s="36">
        <f t="shared" si="120"/>
        <v>1</v>
      </c>
      <c r="G1616" s="36"/>
      <c r="H1616" s="36"/>
      <c r="I1616" s="36"/>
      <c r="J1616" s="36"/>
      <c r="K1616" s="36"/>
      <c r="L1616" s="37" t="s">
        <v>1669</v>
      </c>
      <c r="M1616" s="38" t="s">
        <v>147</v>
      </c>
      <c r="N1616" s="39"/>
      <c r="O1616" s="40">
        <v>100.22</v>
      </c>
      <c r="P1616" s="40">
        <v>106.64</v>
      </c>
      <c r="Q1616" s="40">
        <f t="shared" si="123"/>
        <v>100.22</v>
      </c>
      <c r="R1616" s="40">
        <f t="shared" si="123"/>
        <v>106.64</v>
      </c>
      <c r="S1616" s="62">
        <f>ROUND('Смета ЕР (общ) '!$N1616*'Смета ЕР (общ) '!$Q1616,2)</f>
        <v>0</v>
      </c>
      <c r="T1616" s="62">
        <f>ROUND('Смета ЕР (общ) '!$N1616*'Смета ЕР (общ) '!$R1616,2)</f>
        <v>0</v>
      </c>
      <c r="Y1616">
        <v>814</v>
      </c>
    </row>
    <row r="1617" spans="1:25" ht="14.4" x14ac:dyDescent="0.3">
      <c r="A1617" s="36" t="s">
        <v>1169</v>
      </c>
      <c r="B1617" s="36">
        <v>2</v>
      </c>
      <c r="C1617" s="36"/>
      <c r="D1617" s="36">
        <v>419</v>
      </c>
      <c r="E1617" s="36" t="str">
        <f>CONCATENATE('Смета ЕР (общ) '!$A1617,".",'Смета ЕР (общ) '!$B1617,".",'Смета ЕР (общ) '!$D1617)</f>
        <v>Р9.2.419</v>
      </c>
      <c r="F1617" s="36">
        <f t="shared" ref="F1617:F1680" si="124">IF(N1617&gt;0,F1616+1,F1616)</f>
        <v>1</v>
      </c>
      <c r="G1617" s="36"/>
      <c r="H1617" s="36"/>
      <c r="I1617" s="36"/>
      <c r="J1617" s="36"/>
      <c r="K1617" s="36"/>
      <c r="L1617" s="37" t="s">
        <v>1670</v>
      </c>
      <c r="M1617" s="38" t="s">
        <v>147</v>
      </c>
      <c r="N1617" s="39"/>
      <c r="O1617" s="40">
        <v>138.5</v>
      </c>
      <c r="P1617" s="40">
        <v>128.51</v>
      </c>
      <c r="Q1617" s="40">
        <f t="shared" si="123"/>
        <v>138.5</v>
      </c>
      <c r="R1617" s="40">
        <f t="shared" si="123"/>
        <v>128.51</v>
      </c>
      <c r="S1617" s="62">
        <f>ROUND('Смета ЕР (общ) '!$N1617*'Смета ЕР (общ) '!$Q1617,2)</f>
        <v>0</v>
      </c>
      <c r="T1617" s="62">
        <f>ROUND('Смета ЕР (общ) '!$N1617*'Смета ЕР (общ) '!$R1617,2)</f>
        <v>0</v>
      </c>
    </row>
    <row r="1618" spans="1:25" ht="14.4" x14ac:dyDescent="0.3">
      <c r="A1618" s="36" t="s">
        <v>1169</v>
      </c>
      <c r="B1618" s="36">
        <v>2</v>
      </c>
      <c r="C1618" s="36"/>
      <c r="D1618" s="36">
        <v>233</v>
      </c>
      <c r="E1618" s="36" t="str">
        <f>CONCATENATE('Смета ЕР (общ) '!$A1618,".",'Смета ЕР (общ) '!$B1618,".",'Смета ЕР (общ) '!$D1618)</f>
        <v>Р9.2.233</v>
      </c>
      <c r="F1618" s="36">
        <f t="shared" si="124"/>
        <v>1</v>
      </c>
      <c r="G1618" s="36"/>
      <c r="H1618" s="36"/>
      <c r="I1618" s="36"/>
      <c r="J1618" s="36"/>
      <c r="K1618" s="36"/>
      <c r="L1618" s="37" t="s">
        <v>1671</v>
      </c>
      <c r="M1618" s="38" t="s">
        <v>147</v>
      </c>
      <c r="N1618" s="39"/>
      <c r="O1618" s="40">
        <v>100.22</v>
      </c>
      <c r="P1618" s="40">
        <v>177.72</v>
      </c>
      <c r="Q1618" s="40">
        <f t="shared" si="123"/>
        <v>100.22</v>
      </c>
      <c r="R1618" s="40">
        <f t="shared" si="123"/>
        <v>177.72</v>
      </c>
      <c r="S1618" s="62">
        <f>ROUND('Смета ЕР (общ) '!$N1618*'Смета ЕР (общ) '!$Q1618,2)</f>
        <v>0</v>
      </c>
      <c r="T1618" s="62">
        <f>ROUND('Смета ЕР (общ) '!$N1618*'Смета ЕР (общ) '!$R1618,2)</f>
        <v>0</v>
      </c>
    </row>
    <row r="1619" spans="1:25" ht="14.4" x14ac:dyDescent="0.3">
      <c r="A1619" s="36" t="s">
        <v>1169</v>
      </c>
      <c r="B1619" s="36">
        <v>2</v>
      </c>
      <c r="C1619" s="36"/>
      <c r="D1619" s="36">
        <v>263</v>
      </c>
      <c r="E1619" s="36" t="str">
        <f>CONCATENATE('Смета ЕР (общ) '!$A1619,".",'Смета ЕР (общ) '!$B1619,".",'Смета ЕР (общ) '!$D1619)</f>
        <v>Р9.2.263</v>
      </c>
      <c r="F1619" s="36">
        <f t="shared" si="124"/>
        <v>1</v>
      </c>
      <c r="G1619" s="36"/>
      <c r="H1619" s="36"/>
      <c r="I1619" s="36"/>
      <c r="J1619" s="36"/>
      <c r="K1619" s="36"/>
      <c r="L1619" s="37" t="s">
        <v>1672</v>
      </c>
      <c r="M1619" s="38" t="s">
        <v>147</v>
      </c>
      <c r="N1619" s="39"/>
      <c r="O1619" s="40">
        <v>100.22</v>
      </c>
      <c r="P1619" s="40">
        <v>122.91</v>
      </c>
      <c r="Q1619" s="40">
        <f t="shared" si="123"/>
        <v>100.22</v>
      </c>
      <c r="R1619" s="40">
        <f t="shared" si="123"/>
        <v>122.91</v>
      </c>
      <c r="S1619" s="62">
        <f>ROUND('Смета ЕР (общ) '!$N1619*'Смета ЕР (общ) '!$Q1619,2)</f>
        <v>0</v>
      </c>
      <c r="T1619" s="62">
        <f>ROUND('Смета ЕР (общ) '!$N1619*'Смета ЕР (общ) '!$R1619,2)</f>
        <v>0</v>
      </c>
    </row>
    <row r="1620" spans="1:25" ht="14.4" x14ac:dyDescent="0.3">
      <c r="A1620" s="36" t="s">
        <v>1169</v>
      </c>
      <c r="B1620" s="36">
        <v>2</v>
      </c>
      <c r="C1620" s="36"/>
      <c r="D1620" s="36">
        <v>420</v>
      </c>
      <c r="E1620" s="36" t="str">
        <f>CONCATENATE('Смета ЕР (общ) '!$A1620,".",'Смета ЕР (общ) '!$B1620,".",'Смета ЕР (общ) '!$D1620)</f>
        <v>Р9.2.420</v>
      </c>
      <c r="F1620" s="36">
        <f t="shared" si="124"/>
        <v>1</v>
      </c>
      <c r="G1620" s="36"/>
      <c r="H1620" s="36"/>
      <c r="I1620" s="36"/>
      <c r="J1620" s="36"/>
      <c r="K1620" s="36"/>
      <c r="L1620" s="37" t="s">
        <v>1673</v>
      </c>
      <c r="M1620" s="38" t="s">
        <v>147</v>
      </c>
      <c r="N1620" s="39"/>
      <c r="O1620" s="40">
        <v>138.5</v>
      </c>
      <c r="P1620" s="40">
        <v>182.08</v>
      </c>
      <c r="Q1620" s="40">
        <f t="shared" si="123"/>
        <v>138.5</v>
      </c>
      <c r="R1620" s="40">
        <f t="shared" si="123"/>
        <v>182.08</v>
      </c>
      <c r="S1620" s="62">
        <f>ROUND('Смета ЕР (общ) '!$N1620*'Смета ЕР (общ) '!$Q1620,2)</f>
        <v>0</v>
      </c>
      <c r="T1620" s="62">
        <f>ROUND('Смета ЕР (общ) '!$N1620*'Смета ЕР (общ) '!$R1620,2)</f>
        <v>0</v>
      </c>
    </row>
    <row r="1621" spans="1:25" ht="14.4" x14ac:dyDescent="0.3">
      <c r="A1621" s="36" t="s">
        <v>1169</v>
      </c>
      <c r="B1621" s="36">
        <v>2</v>
      </c>
      <c r="C1621" s="36"/>
      <c r="D1621" s="36">
        <v>421</v>
      </c>
      <c r="E1621" s="36" t="str">
        <f>CONCATENATE('Смета ЕР (общ) '!$A1621,".",'Смета ЕР (общ) '!$B1621,".",'Смета ЕР (общ) '!$D1621)</f>
        <v>Р9.2.421</v>
      </c>
      <c r="F1621" s="36">
        <f t="shared" si="124"/>
        <v>1</v>
      </c>
      <c r="G1621" s="36"/>
      <c r="H1621" s="36"/>
      <c r="I1621" s="36"/>
      <c r="J1621" s="36"/>
      <c r="K1621" s="36"/>
      <c r="L1621" s="37" t="s">
        <v>1674</v>
      </c>
      <c r="M1621" s="38" t="s">
        <v>147</v>
      </c>
      <c r="N1621" s="39"/>
      <c r="O1621" s="40">
        <v>145.51</v>
      </c>
      <c r="P1621" s="40">
        <v>98.8</v>
      </c>
      <c r="Q1621" s="40">
        <f t="shared" si="123"/>
        <v>145.51</v>
      </c>
      <c r="R1621" s="40">
        <f t="shared" si="123"/>
        <v>98.8</v>
      </c>
      <c r="S1621" s="62">
        <f>ROUND('Смета ЕР (общ) '!$N1621*'Смета ЕР (общ) '!$Q1621,2)</f>
        <v>0</v>
      </c>
      <c r="T1621" s="62">
        <f>ROUND('Смета ЕР (общ) '!$N1621*'Смета ЕР (общ) '!$R1621,2)</f>
        <v>0</v>
      </c>
    </row>
    <row r="1622" spans="1:25" ht="14.4" x14ac:dyDescent="0.3">
      <c r="A1622" s="36" t="s">
        <v>1169</v>
      </c>
      <c r="B1622" s="36">
        <v>2</v>
      </c>
      <c r="C1622" s="36"/>
      <c r="D1622" s="36">
        <v>422</v>
      </c>
      <c r="E1622" s="36" t="str">
        <f>CONCATENATE('Смета ЕР (общ) '!$A1622,".",'Смета ЕР (общ) '!$B1622,".",'Смета ЕР (общ) '!$D1622)</f>
        <v>Р9.2.422</v>
      </c>
      <c r="F1622" s="36">
        <f t="shared" si="124"/>
        <v>1</v>
      </c>
      <c r="G1622" s="36"/>
      <c r="H1622" s="36"/>
      <c r="I1622" s="36"/>
      <c r="J1622" s="36"/>
      <c r="K1622" s="36"/>
      <c r="L1622" s="37" t="s">
        <v>1675</v>
      </c>
      <c r="M1622" s="38" t="s">
        <v>147</v>
      </c>
      <c r="N1622" s="39"/>
      <c r="O1622" s="40">
        <v>145.51</v>
      </c>
      <c r="P1622" s="40">
        <v>120.04</v>
      </c>
      <c r="Q1622" s="40">
        <f t="shared" si="123"/>
        <v>145.51</v>
      </c>
      <c r="R1622" s="40">
        <f t="shared" si="123"/>
        <v>120.04</v>
      </c>
      <c r="S1622" s="62">
        <f>ROUND('Смета ЕР (общ) '!$N1622*'Смета ЕР (общ) '!$Q1622,2)</f>
        <v>0</v>
      </c>
      <c r="T1622" s="62">
        <f>ROUND('Смета ЕР (общ) '!$N1622*'Смета ЕР (общ) '!$R1622,2)</f>
        <v>0</v>
      </c>
    </row>
    <row r="1623" spans="1:25" ht="14.4" x14ac:dyDescent="0.3">
      <c r="A1623" s="163" t="s">
        <v>1169</v>
      </c>
      <c r="B1623" s="163">
        <v>2</v>
      </c>
      <c r="C1623" s="163"/>
      <c r="D1623" s="163">
        <v>423</v>
      </c>
      <c r="E1623" s="163" t="str">
        <f>CONCATENATE('Смета ЕР (общ) '!$A1623,".",'Смета ЕР (общ) '!$B1623,".",'Смета ЕР (общ) '!$D1623)</f>
        <v>Р9.2.423</v>
      </c>
      <c r="F1623" s="163">
        <f t="shared" si="124"/>
        <v>1</v>
      </c>
      <c r="G1623" s="163"/>
      <c r="H1623" s="163"/>
      <c r="I1623" s="163"/>
      <c r="J1623" s="163"/>
      <c r="K1623" s="163"/>
      <c r="L1623" s="164" t="s">
        <v>1676</v>
      </c>
      <c r="M1623" s="38" t="s">
        <v>147</v>
      </c>
      <c r="N1623" s="39"/>
      <c r="O1623" s="40">
        <v>100.22</v>
      </c>
      <c r="P1623" s="40">
        <v>58.1</v>
      </c>
      <c r="Q1623" s="40">
        <f t="shared" ref="Q1623:R1634" si="125">ROUND(O1623-O1623*$V$3,2)</f>
        <v>100.22</v>
      </c>
      <c r="R1623" s="40">
        <f t="shared" si="125"/>
        <v>58.1</v>
      </c>
      <c r="S1623" s="62">
        <f>ROUND('Смета ЕР (общ) '!$N1623*'Смета ЕР (общ) '!$Q1623,2)</f>
        <v>0</v>
      </c>
      <c r="T1623" s="62">
        <f>ROUND('Смета ЕР (общ) '!$N1623*'Смета ЕР (общ) '!$R1623,2)</f>
        <v>0</v>
      </c>
      <c r="V1623"/>
    </row>
    <row r="1624" spans="1:25" ht="14.4" x14ac:dyDescent="0.3">
      <c r="A1624" s="163" t="s">
        <v>1169</v>
      </c>
      <c r="B1624" s="163">
        <v>2</v>
      </c>
      <c r="C1624" s="163"/>
      <c r="D1624" s="163">
        <v>424</v>
      </c>
      <c r="E1624" s="163" t="str">
        <f>CONCATENATE('Смета ЕР (общ) '!$A1624,".",'Смета ЕР (общ) '!$B1624,".",'Смета ЕР (общ) '!$D1624)</f>
        <v>Р9.2.424</v>
      </c>
      <c r="F1624" s="163">
        <f t="shared" si="124"/>
        <v>1</v>
      </c>
      <c r="G1624" s="163"/>
      <c r="H1624" s="163"/>
      <c r="I1624" s="163"/>
      <c r="J1624" s="163"/>
      <c r="K1624" s="163"/>
      <c r="L1624" s="164" t="s">
        <v>1677</v>
      </c>
      <c r="M1624" s="38" t="s">
        <v>147</v>
      </c>
      <c r="N1624" s="39"/>
      <c r="O1624" s="40">
        <v>100.22</v>
      </c>
      <c r="P1624" s="40">
        <v>37.53</v>
      </c>
      <c r="Q1624" s="40">
        <f t="shared" si="125"/>
        <v>100.22</v>
      </c>
      <c r="R1624" s="40">
        <f t="shared" si="125"/>
        <v>37.53</v>
      </c>
      <c r="S1624" s="62">
        <f>ROUND('Смета ЕР (общ) '!$N1624*'Смета ЕР (общ) '!$Q1624,2)</f>
        <v>0</v>
      </c>
      <c r="T1624" s="62">
        <f>ROUND('Смета ЕР (общ) '!$N1624*'Смета ЕР (общ) '!$R1624,2)</f>
        <v>0</v>
      </c>
      <c r="V1624"/>
    </row>
    <row r="1625" spans="1:25" ht="14.4" x14ac:dyDescent="0.3">
      <c r="A1625" s="36" t="s">
        <v>1169</v>
      </c>
      <c r="B1625" s="36">
        <v>2</v>
      </c>
      <c r="C1625" s="36"/>
      <c r="D1625" s="36">
        <v>234</v>
      </c>
      <c r="E1625" s="36" t="str">
        <f>CONCATENATE('Смета ЕР (общ) '!$A1625,".",'Смета ЕР (общ) '!$B1625,".",'Смета ЕР (общ) '!$D1625)</f>
        <v>Р9.2.234</v>
      </c>
      <c r="F1625" s="36">
        <f t="shared" si="124"/>
        <v>1</v>
      </c>
      <c r="G1625" s="36"/>
      <c r="H1625" s="36"/>
      <c r="I1625" s="36"/>
      <c r="J1625" s="36"/>
      <c r="K1625" s="36"/>
      <c r="L1625" s="37" t="s">
        <v>1678</v>
      </c>
      <c r="M1625" s="38" t="s">
        <v>118</v>
      </c>
      <c r="N1625" s="39"/>
      <c r="O1625" s="40">
        <v>1045</v>
      </c>
      <c r="P1625" s="40">
        <v>250.1</v>
      </c>
      <c r="Q1625" s="40">
        <f t="shared" si="125"/>
        <v>1045</v>
      </c>
      <c r="R1625" s="40">
        <f t="shared" si="125"/>
        <v>250.1</v>
      </c>
      <c r="S1625" s="62">
        <f>ROUND('Смета ЕР (общ) '!$N1625*'Смета ЕР (общ) '!$Q1625,2)</f>
        <v>0</v>
      </c>
      <c r="T1625" s="62">
        <f>ROUND('Смета ЕР (общ) '!$N1625*'Смета ЕР (общ) '!$R1625,2)</f>
        <v>0</v>
      </c>
    </row>
    <row r="1626" spans="1:25" ht="14.4" x14ac:dyDescent="0.3">
      <c r="A1626" s="36" t="s">
        <v>1169</v>
      </c>
      <c r="B1626" s="36">
        <v>2</v>
      </c>
      <c r="C1626" s="36"/>
      <c r="D1626" s="36">
        <v>235</v>
      </c>
      <c r="E1626" s="36" t="str">
        <f>CONCATENATE('Смета ЕР (общ) '!$A1626,".",'Смета ЕР (общ) '!$B1626,".",'Смета ЕР (общ) '!$D1626)</f>
        <v>Р9.2.235</v>
      </c>
      <c r="F1626" s="36">
        <f t="shared" si="124"/>
        <v>1</v>
      </c>
      <c r="G1626" s="36"/>
      <c r="H1626" s="36"/>
      <c r="I1626" s="36"/>
      <c r="J1626" s="36"/>
      <c r="K1626" s="36"/>
      <c r="L1626" s="37" t="s">
        <v>1679</v>
      </c>
      <c r="M1626" s="38" t="s">
        <v>118</v>
      </c>
      <c r="N1626" s="39"/>
      <c r="O1626" s="40">
        <v>1210</v>
      </c>
      <c r="P1626" s="40">
        <v>683.59</v>
      </c>
      <c r="Q1626" s="40">
        <f t="shared" si="125"/>
        <v>1210</v>
      </c>
      <c r="R1626" s="40">
        <f t="shared" si="125"/>
        <v>683.59</v>
      </c>
      <c r="S1626" s="62">
        <f>ROUND('Смета ЕР (общ) '!$N1626*'Смета ЕР (общ) '!$Q1626,2)</f>
        <v>0</v>
      </c>
      <c r="T1626" s="62">
        <f>ROUND('Смета ЕР (общ) '!$N1626*'Смета ЕР (общ) '!$R1626,2)</f>
        <v>0</v>
      </c>
    </row>
    <row r="1627" spans="1:25" ht="14.4" x14ac:dyDescent="0.3">
      <c r="A1627" s="36" t="s">
        <v>1169</v>
      </c>
      <c r="B1627" s="36">
        <v>2</v>
      </c>
      <c r="C1627" s="36"/>
      <c r="D1627" s="36">
        <v>247</v>
      </c>
      <c r="E1627" s="36" t="str">
        <f>CONCATENATE('Смета ЕР (общ) '!$A1627,".",'Смета ЕР (общ) '!$B1627,".",'Смета ЕР (общ) '!$D1627)</f>
        <v>Р9.2.247</v>
      </c>
      <c r="F1627" s="36">
        <f t="shared" si="124"/>
        <v>1</v>
      </c>
      <c r="G1627" s="36"/>
      <c r="H1627" s="36"/>
      <c r="I1627" s="36"/>
      <c r="J1627" s="36"/>
      <c r="K1627" s="36"/>
      <c r="L1627" s="37" t="s">
        <v>1680</v>
      </c>
      <c r="M1627" s="38" t="s">
        <v>118</v>
      </c>
      <c r="N1627" s="39"/>
      <c r="O1627" s="40">
        <v>2592.6</v>
      </c>
      <c r="P1627" s="40">
        <v>10656.88</v>
      </c>
      <c r="Q1627" s="40">
        <f t="shared" si="125"/>
        <v>2592.6</v>
      </c>
      <c r="R1627" s="40">
        <f t="shared" si="125"/>
        <v>10656.88</v>
      </c>
      <c r="S1627" s="62">
        <f>ROUND('Смета ЕР (общ) '!$N1627*'Смета ЕР (общ) '!$Q1627,2)</f>
        <v>0</v>
      </c>
      <c r="T1627" s="62">
        <f>ROUND('Смета ЕР (общ) '!$N1627*'Смета ЕР (общ) '!$R1627,2)</f>
        <v>0</v>
      </c>
    </row>
    <row r="1628" spans="1:25" ht="24" x14ac:dyDescent="0.3">
      <c r="A1628" s="36" t="s">
        <v>1169</v>
      </c>
      <c r="B1628" s="36">
        <v>2</v>
      </c>
      <c r="C1628" s="36"/>
      <c r="D1628" s="36">
        <v>249</v>
      </c>
      <c r="E1628" s="36" t="str">
        <f>CONCATENATE('Смета ЕР (общ) '!$A1628,".",'Смета ЕР (общ) '!$B1628,".",'Смета ЕР (общ) '!$D1628)</f>
        <v>Р9.2.249</v>
      </c>
      <c r="F1628" s="36">
        <f t="shared" si="124"/>
        <v>1</v>
      </c>
      <c r="G1628" s="36"/>
      <c r="H1628" s="36"/>
      <c r="I1628" s="36"/>
      <c r="J1628" s="36"/>
      <c r="K1628" s="36"/>
      <c r="L1628" s="37" t="s">
        <v>1681</v>
      </c>
      <c r="M1628" s="38" t="s">
        <v>118</v>
      </c>
      <c r="N1628" s="39"/>
      <c r="O1628" s="40">
        <v>3125.04</v>
      </c>
      <c r="P1628" s="40">
        <v>13916.77</v>
      </c>
      <c r="Q1628" s="40">
        <f t="shared" si="125"/>
        <v>3125.04</v>
      </c>
      <c r="R1628" s="40">
        <f t="shared" si="125"/>
        <v>13916.77</v>
      </c>
      <c r="S1628" s="62">
        <f>ROUND('Смета ЕР (общ) '!$N1628*'Смета ЕР (общ) '!$Q1628,2)</f>
        <v>0</v>
      </c>
      <c r="T1628" s="62">
        <f>ROUND('Смета ЕР (общ) '!$N1628*'Смета ЕР (общ) '!$R1628,2)</f>
        <v>0</v>
      </c>
      <c r="U1628" s="101" t="s">
        <v>435</v>
      </c>
      <c r="Y1628">
        <v>1</v>
      </c>
    </row>
    <row r="1629" spans="1:25" ht="24" x14ac:dyDescent="0.3">
      <c r="A1629" s="36" t="s">
        <v>1169</v>
      </c>
      <c r="B1629" s="36">
        <v>2</v>
      </c>
      <c r="C1629" s="36"/>
      <c r="D1629" s="36">
        <v>425</v>
      </c>
      <c r="E1629" s="36" t="str">
        <f>CONCATENATE('Смета ЕР (общ) '!$A1629,".",'Смета ЕР (общ) '!$B1629,".",'Смета ЕР (общ) '!$D1629)</f>
        <v>Р9.2.425</v>
      </c>
      <c r="F1629" s="36">
        <f t="shared" si="124"/>
        <v>1</v>
      </c>
      <c r="G1629" s="36"/>
      <c r="H1629" s="36"/>
      <c r="I1629" s="36"/>
      <c r="J1629" s="36"/>
      <c r="K1629" s="36"/>
      <c r="L1629" s="37" t="s">
        <v>1682</v>
      </c>
      <c r="M1629" s="38" t="s">
        <v>118</v>
      </c>
      <c r="N1629" s="39"/>
      <c r="O1629" s="40">
        <v>3125.04</v>
      </c>
      <c r="P1629" s="40">
        <v>19947.27</v>
      </c>
      <c r="Q1629" s="40">
        <f t="shared" si="125"/>
        <v>3125.04</v>
      </c>
      <c r="R1629" s="40">
        <f t="shared" si="125"/>
        <v>19947.27</v>
      </c>
      <c r="S1629" s="62">
        <f>ROUND('Смета ЕР (общ) '!$N1629*'Смета ЕР (общ) '!$Q1629,2)</f>
        <v>0</v>
      </c>
      <c r="T1629" s="62">
        <f>ROUND('Смета ЕР (общ) '!$N1629*'Смета ЕР (общ) '!$R1629,2)</f>
        <v>0</v>
      </c>
      <c r="U1629" s="101" t="s">
        <v>435</v>
      </c>
      <c r="Y1629">
        <v>1</v>
      </c>
    </row>
    <row r="1630" spans="1:25" ht="24" x14ac:dyDescent="0.3">
      <c r="A1630" s="36" t="s">
        <v>1169</v>
      </c>
      <c r="B1630" s="36">
        <v>2</v>
      </c>
      <c r="C1630" s="36"/>
      <c r="D1630" s="36">
        <v>426</v>
      </c>
      <c r="E1630" s="36" t="str">
        <f>CONCATENATE('Смета ЕР (общ) '!$A1630,".",'Смета ЕР (общ) '!$B1630,".",'Смета ЕР (общ) '!$D1630)</f>
        <v>Р9.2.426</v>
      </c>
      <c r="F1630" s="36">
        <f t="shared" si="124"/>
        <v>1</v>
      </c>
      <c r="G1630" s="36"/>
      <c r="H1630" s="36"/>
      <c r="I1630" s="36"/>
      <c r="J1630" s="36"/>
      <c r="K1630" s="36"/>
      <c r="L1630" s="37" t="s">
        <v>1683</v>
      </c>
      <c r="M1630" s="38" t="s">
        <v>118</v>
      </c>
      <c r="N1630" s="39"/>
      <c r="O1630" s="40">
        <v>3125.04</v>
      </c>
      <c r="P1630" s="40">
        <v>6884.26</v>
      </c>
      <c r="Q1630" s="40">
        <f t="shared" si="125"/>
        <v>3125.04</v>
      </c>
      <c r="R1630" s="40">
        <f t="shared" si="125"/>
        <v>6884.26</v>
      </c>
      <c r="S1630" s="62">
        <f>ROUND('Смета ЕР (общ) '!$N1630*'Смета ЕР (общ) '!$Q1630,2)</f>
        <v>0</v>
      </c>
      <c r="T1630" s="62">
        <f>ROUND('Смета ЕР (общ) '!$N1630*'Смета ЕР (общ) '!$R1630,2)</f>
        <v>0</v>
      </c>
      <c r="U1630" s="101"/>
    </row>
    <row r="1631" spans="1:25" ht="36" customHeight="1" x14ac:dyDescent="0.3">
      <c r="A1631" s="36" t="s">
        <v>1169</v>
      </c>
      <c r="B1631" s="36">
        <v>2</v>
      </c>
      <c r="C1631" s="36"/>
      <c r="D1631" s="36">
        <v>427</v>
      </c>
      <c r="E1631" s="36" t="str">
        <f>CONCATENATE('Смета ЕР (общ) '!$A1631,".",'Смета ЕР (общ) '!$B1631,".",'Смета ЕР (общ) '!$D1631)</f>
        <v>Р9.2.427</v>
      </c>
      <c r="F1631" s="36">
        <f t="shared" si="124"/>
        <v>1</v>
      </c>
      <c r="G1631" s="36"/>
      <c r="H1631" s="36"/>
      <c r="I1631" s="36"/>
      <c r="J1631" s="36"/>
      <c r="K1631" s="36"/>
      <c r="L1631" s="37" t="s">
        <v>1684</v>
      </c>
      <c r="M1631" s="38" t="s">
        <v>118</v>
      </c>
      <c r="N1631" s="39"/>
      <c r="O1631" s="40">
        <v>3125.04</v>
      </c>
      <c r="P1631" s="40">
        <f>'[1]Лючек напольный.'!G15</f>
        <v>9303.8700000000008</v>
      </c>
      <c r="Q1631" s="40">
        <f t="shared" si="125"/>
        <v>3125.04</v>
      </c>
      <c r="R1631" s="66">
        <f>P1631</f>
        <v>9303.8700000000008</v>
      </c>
      <c r="S1631" s="62">
        <f>ROUND('Смета ЕР (общ) '!$N1631*'Смета ЕР (общ) '!$Q1631,2)</f>
        <v>0</v>
      </c>
      <c r="T1631" s="62">
        <f>ROUND('Смета ЕР (общ) '!$N1631*'Смета ЕР (общ) '!$R1631,2)</f>
        <v>0</v>
      </c>
      <c r="U1631" s="73" t="s">
        <v>1685</v>
      </c>
    </row>
    <row r="1632" spans="1:25" ht="48" x14ac:dyDescent="0.3">
      <c r="A1632" s="165" t="s">
        <v>1169</v>
      </c>
      <c r="B1632" s="165">
        <v>2</v>
      </c>
      <c r="C1632" s="165"/>
      <c r="D1632" s="165">
        <v>248</v>
      </c>
      <c r="E1632" s="165" t="str">
        <f>CONCATENATE('Смета ЕР (общ) '!$A1632,".",'Смета ЕР (общ) '!$B1632,".",'Смета ЕР (общ) '!$D1632)</f>
        <v>Р9.2.248</v>
      </c>
      <c r="F1632" s="165">
        <f t="shared" si="124"/>
        <v>1</v>
      </c>
      <c r="G1632" s="165"/>
      <c r="H1632" s="165"/>
      <c r="I1632" s="165"/>
      <c r="J1632" s="165"/>
      <c r="K1632" s="165"/>
      <c r="L1632" s="166" t="s">
        <v>1686</v>
      </c>
      <c r="M1632" s="38" t="s">
        <v>147</v>
      </c>
      <c r="N1632" s="39"/>
      <c r="O1632" s="40">
        <v>256</v>
      </c>
      <c r="P1632" s="40">
        <v>420.63</v>
      </c>
      <c r="Q1632" s="40">
        <f t="shared" si="125"/>
        <v>256</v>
      </c>
      <c r="R1632" s="40">
        <f t="shared" si="125"/>
        <v>420.63</v>
      </c>
      <c r="S1632" s="62">
        <f>ROUND('Смета ЕР (общ) '!$N1632*'Смета ЕР (общ) '!$Q1632,2)</f>
        <v>0</v>
      </c>
      <c r="T1632" s="62">
        <f>ROUND('Смета ЕР (общ) '!$N1632*'Смета ЕР (общ) '!$R1632,2)</f>
        <v>0</v>
      </c>
      <c r="U1632" s="101"/>
    </row>
    <row r="1633" spans="1:25" ht="14.4" x14ac:dyDescent="0.3">
      <c r="A1633" s="36" t="s">
        <v>1169</v>
      </c>
      <c r="B1633" s="36">
        <v>2</v>
      </c>
      <c r="C1633" s="36"/>
      <c r="D1633" s="36">
        <v>428</v>
      </c>
      <c r="E1633" s="36" t="str">
        <f>CONCATENATE('Смета ЕР (общ) '!$A1633,".",'Смета ЕР (общ) '!$B1633,".",'Смета ЕР (общ) '!$D1633)</f>
        <v>Р9.2.428</v>
      </c>
      <c r="F1633" s="36">
        <f>IF(N1633&gt;0,F1632+1,F1632)</f>
        <v>1</v>
      </c>
      <c r="G1633" s="36"/>
      <c r="H1633" s="36"/>
      <c r="I1633" s="36"/>
      <c r="J1633" s="36"/>
      <c r="K1633" s="36"/>
      <c r="L1633" s="37" t="s">
        <v>1687</v>
      </c>
      <c r="M1633" s="38" t="s">
        <v>118</v>
      </c>
      <c r="N1633" s="39"/>
      <c r="O1633" s="40">
        <v>1210</v>
      </c>
      <c r="P1633" s="40">
        <v>2158.5700000000002</v>
      </c>
      <c r="Q1633" s="40">
        <f t="shared" si="125"/>
        <v>1210</v>
      </c>
      <c r="R1633" s="40">
        <f t="shared" si="125"/>
        <v>2158.5700000000002</v>
      </c>
      <c r="S1633" s="62">
        <f>ROUND('Смета ЕР (общ) '!$N1633*'Смета ЕР (общ) '!$Q1633,2)</f>
        <v>0</v>
      </c>
      <c r="T1633" s="62">
        <f>ROUND('Смета ЕР (общ) '!$N1633*'Смета ЕР (общ) '!$R1633,2)</f>
        <v>0</v>
      </c>
      <c r="U1633" s="101"/>
    </row>
    <row r="1634" spans="1:25" ht="14.4" x14ac:dyDescent="0.3">
      <c r="A1634" s="36" t="s">
        <v>1169</v>
      </c>
      <c r="B1634" s="36">
        <v>2</v>
      </c>
      <c r="C1634" s="36"/>
      <c r="D1634" s="36">
        <v>246</v>
      </c>
      <c r="E1634" s="36" t="str">
        <f>CONCATENATE('Смета ЕР (общ) '!$A1634,".",'Смета ЕР (общ) '!$B1634,".",'Смета ЕР (общ) '!$D1634)</f>
        <v>Р9.2.246</v>
      </c>
      <c r="F1634" s="36">
        <f t="shared" si="124"/>
        <v>1</v>
      </c>
      <c r="G1634" s="36"/>
      <c r="H1634" s="36"/>
      <c r="I1634" s="36"/>
      <c r="J1634" s="36"/>
      <c r="K1634" s="36"/>
      <c r="L1634" s="37" t="s">
        <v>1688</v>
      </c>
      <c r="M1634" s="38" t="s">
        <v>118</v>
      </c>
      <c r="N1634" s="39"/>
      <c r="O1634" s="40">
        <v>250.56</v>
      </c>
      <c r="P1634" s="40">
        <v>416.63</v>
      </c>
      <c r="Q1634" s="40">
        <f t="shared" si="125"/>
        <v>250.56</v>
      </c>
      <c r="R1634" s="40">
        <f t="shared" si="125"/>
        <v>416.63</v>
      </c>
      <c r="S1634" s="62">
        <f>ROUND('Смета ЕР (общ) '!$N1634*'Смета ЕР (общ) '!$Q1634,2)</f>
        <v>0</v>
      </c>
      <c r="T1634" s="62">
        <f>ROUND('Смета ЕР (общ) '!$N1634*'Смета ЕР (общ) '!$R1634,2)</f>
        <v>0</v>
      </c>
      <c r="Y1634">
        <v>15</v>
      </c>
    </row>
    <row r="1635" spans="1:25" ht="14.4" x14ac:dyDescent="0.3">
      <c r="A1635" s="29" t="s">
        <v>1169</v>
      </c>
      <c r="B1635" s="29">
        <v>3</v>
      </c>
      <c r="C1635" s="29"/>
      <c r="D1635" s="29">
        <v>0</v>
      </c>
      <c r="E1635" s="29" t="str">
        <f>CONCATENATE('Смета ЕР (общ) '!$A1635,".",'Смета ЕР (общ) '!$B1635,".",'Смета ЕР (общ) '!$D1635)</f>
        <v>Р9.3.0</v>
      </c>
      <c r="F1635" s="29">
        <f t="shared" si="124"/>
        <v>1</v>
      </c>
      <c r="G1635" s="29"/>
      <c r="H1635" s="29"/>
      <c r="I1635" s="29"/>
      <c r="J1635" s="29"/>
      <c r="K1635" s="29"/>
      <c r="L1635" s="30" t="s">
        <v>1689</v>
      </c>
      <c r="M1635" s="31"/>
      <c r="N1635" s="32">
        <f>S1635</f>
        <v>0</v>
      </c>
      <c r="O1635" s="47"/>
      <c r="P1635" s="47"/>
      <c r="Q1635" s="34"/>
      <c r="R1635" s="34"/>
      <c r="S1635" s="34">
        <f>ROUND(SUM(S1636:S1637),2)</f>
        <v>0</v>
      </c>
      <c r="T1635" s="34">
        <f>ROUND(SUM(T1636:T1637),2)</f>
        <v>0</v>
      </c>
      <c r="Y1635">
        <v>0</v>
      </c>
    </row>
    <row r="1636" spans="1:25" ht="34.5" customHeight="1" x14ac:dyDescent="0.3">
      <c r="A1636" s="36" t="s">
        <v>1169</v>
      </c>
      <c r="B1636" s="36">
        <v>3</v>
      </c>
      <c r="C1636" s="36"/>
      <c r="D1636" s="36">
        <v>1</v>
      </c>
      <c r="E1636" s="36" t="str">
        <f>CONCATENATE('Смета ЕР (общ) '!$A1636,".",'Смета ЕР (общ) '!$B1636,".",'Смета ЕР (общ) '!$D1636)</f>
        <v>Р9.3.1</v>
      </c>
      <c r="F1636" s="36">
        <f t="shared" si="124"/>
        <v>1</v>
      </c>
      <c r="G1636" s="36"/>
      <c r="H1636" s="36"/>
      <c r="I1636" s="36"/>
      <c r="J1636" s="36"/>
      <c r="K1636" s="36"/>
      <c r="L1636" s="53" t="s">
        <v>1690</v>
      </c>
      <c r="M1636" s="38" t="s">
        <v>118</v>
      </c>
      <c r="N1636" s="39"/>
      <c r="O1636" s="40">
        <v>12000</v>
      </c>
      <c r="P1636" s="40">
        <f>'[1]Щиты в сборе'!M31</f>
        <v>187951.05</v>
      </c>
      <c r="Q1636" s="40">
        <f>ROUND(O1636-O1636*$V$3,2)</f>
        <v>12000</v>
      </c>
      <c r="R1636" s="66">
        <f>P1636</f>
        <v>187951.05</v>
      </c>
      <c r="S1636" s="40">
        <f>ROUND('Смета ЕР (общ) '!$N1636*'Смета ЕР (общ) '!$Q1636,2)</f>
        <v>0</v>
      </c>
      <c r="T1636" s="40">
        <f>ROUND('Смета ЕР (общ) '!$N1636*'Смета ЕР (общ) '!$R1636,2)</f>
        <v>0</v>
      </c>
      <c r="U1636" s="67" t="s">
        <v>1691</v>
      </c>
      <c r="V1636" s="68"/>
    </row>
    <row r="1637" spans="1:25" ht="34.5" customHeight="1" x14ac:dyDescent="0.3">
      <c r="A1637" s="36" t="s">
        <v>1169</v>
      </c>
      <c r="B1637" s="36">
        <v>3</v>
      </c>
      <c r="C1637" s="36"/>
      <c r="D1637" s="36">
        <v>2</v>
      </c>
      <c r="E1637" s="36" t="str">
        <f>CONCATENATE('Смета ЕР (общ) '!$A1637,".",'Смета ЕР (общ) '!$B1637,".",'Смета ЕР (общ) '!$D1637)</f>
        <v>Р9.3.2</v>
      </c>
      <c r="F1637" s="36">
        <f t="shared" si="124"/>
        <v>1</v>
      </c>
      <c r="G1637" s="36"/>
      <c r="H1637" s="36"/>
      <c r="I1637" s="36"/>
      <c r="J1637" s="36"/>
      <c r="K1637" s="36"/>
      <c r="L1637" s="37" t="s">
        <v>1692</v>
      </c>
      <c r="M1637" s="38" t="s">
        <v>118</v>
      </c>
      <c r="N1637" s="39"/>
      <c r="O1637" s="40">
        <v>6878.97</v>
      </c>
      <c r="P1637" s="40">
        <f>'[1]Щиты в сборе'!M32</f>
        <v>22705.200000000001</v>
      </c>
      <c r="Q1637" s="40">
        <f>ROUND(O1637-O1637*$V$3,2)</f>
        <v>6878.97</v>
      </c>
      <c r="R1637" s="66">
        <f>P1637</f>
        <v>22705.200000000001</v>
      </c>
      <c r="S1637" s="40">
        <f>ROUND('Смета ЕР (общ) '!$N1637*'Смета ЕР (общ) '!$Q1637,2)</f>
        <v>0</v>
      </c>
      <c r="T1637" s="40">
        <f>ROUND('Смета ЕР (общ) '!$N1637*'Смета ЕР (общ) '!$R1637,2)</f>
        <v>0</v>
      </c>
      <c r="U1637" s="67" t="s">
        <v>1691</v>
      </c>
      <c r="V1637" s="68"/>
    </row>
    <row r="1638" spans="1:25" ht="13.2" customHeight="1" x14ac:dyDescent="0.3">
      <c r="A1638" s="29" t="s">
        <v>1169</v>
      </c>
      <c r="B1638" s="29">
        <v>4</v>
      </c>
      <c r="C1638" s="29"/>
      <c r="D1638" s="29">
        <v>0</v>
      </c>
      <c r="E1638" s="29" t="str">
        <f>CONCATENATE('Смета ЕР (общ) '!$A1638,".",'Смета ЕР (общ) '!$B1638,".",'Смета ЕР (общ) '!$D1638)</f>
        <v>Р9.4.0</v>
      </c>
      <c r="F1638" s="29">
        <f t="shared" si="124"/>
        <v>1</v>
      </c>
      <c r="G1638" s="29"/>
      <c r="H1638" s="29"/>
      <c r="I1638" s="29"/>
      <c r="J1638" s="29"/>
      <c r="K1638" s="29"/>
      <c r="L1638" s="30" t="s">
        <v>1693</v>
      </c>
      <c r="M1638" s="31"/>
      <c r="N1638" s="32">
        <f>SUM(N1639:N1660)</f>
        <v>0</v>
      </c>
      <c r="O1638" s="47"/>
      <c r="P1638" s="47"/>
      <c r="Q1638" s="34"/>
      <c r="R1638" s="34"/>
      <c r="S1638" s="34">
        <f>ROUND(SUM(S1639:S1660),2)</f>
        <v>0</v>
      </c>
      <c r="T1638" s="34">
        <f>ROUND(SUM(T1639:T1660),2)</f>
        <v>0</v>
      </c>
      <c r="Y1638">
        <v>0</v>
      </c>
    </row>
    <row r="1639" spans="1:25" ht="34.5" customHeight="1" x14ac:dyDescent="0.3">
      <c r="A1639" s="36" t="s">
        <v>1169</v>
      </c>
      <c r="B1639" s="36">
        <v>4</v>
      </c>
      <c r="C1639" s="36"/>
      <c r="D1639" s="36">
        <v>1</v>
      </c>
      <c r="E1639" s="36" t="str">
        <f>CONCATENATE('Смета ЕР (общ) '!$A1639,".",'Смета ЕР (общ) '!$B1639,".",'Смета ЕР (общ) '!$D1639)</f>
        <v>Р9.4.1</v>
      </c>
      <c r="F1639" s="36">
        <f t="shared" si="124"/>
        <v>1</v>
      </c>
      <c r="G1639" s="36"/>
      <c r="H1639" s="36"/>
      <c r="I1639" s="36"/>
      <c r="J1639" s="36"/>
      <c r="K1639" s="36"/>
      <c r="L1639" s="37" t="s">
        <v>1431</v>
      </c>
      <c r="M1639" s="38" t="s">
        <v>118</v>
      </c>
      <c r="N1639" s="39"/>
      <c r="O1639" s="40">
        <v>1591.19</v>
      </c>
      <c r="P1639" s="40">
        <v>9418.44</v>
      </c>
      <c r="Q1639" s="40">
        <f t="shared" ref="Q1639:R1660" si="126">ROUND(O1639-O1639*$V$3,2)</f>
        <v>1591.19</v>
      </c>
      <c r="R1639" s="40">
        <f t="shared" si="126"/>
        <v>9418.44</v>
      </c>
      <c r="S1639" s="40">
        <f>ROUND('Смета ЕР (общ) '!$N1639*'Смета ЕР (общ) '!$Q1639,2)</f>
        <v>0</v>
      </c>
      <c r="T1639" s="40">
        <f>ROUND('Смета ЕР (общ) '!$N1639*'Смета ЕР (общ) '!$R1639,2)</f>
        <v>0</v>
      </c>
    </row>
    <row r="1640" spans="1:25" ht="34.5" customHeight="1" x14ac:dyDescent="0.3">
      <c r="A1640" s="36" t="s">
        <v>1169</v>
      </c>
      <c r="B1640" s="36">
        <v>4</v>
      </c>
      <c r="C1640" s="36"/>
      <c r="D1640" s="36">
        <v>2</v>
      </c>
      <c r="E1640" s="36" t="str">
        <f>CONCATENATE('Смета ЕР (общ) '!$A1640,".",'Смета ЕР (общ) '!$B1640,".",'Смета ЕР (общ) '!$D1640)</f>
        <v>Р9.4.2</v>
      </c>
      <c r="F1640" s="36">
        <f t="shared" si="124"/>
        <v>1</v>
      </c>
      <c r="G1640" s="36"/>
      <c r="H1640" s="36"/>
      <c r="I1640" s="36"/>
      <c r="J1640" s="36"/>
      <c r="K1640" s="36"/>
      <c r="L1640" s="37" t="s">
        <v>1443</v>
      </c>
      <c r="M1640" s="38" t="s">
        <v>147</v>
      </c>
      <c r="N1640" s="39"/>
      <c r="O1640" s="40">
        <v>75.8</v>
      </c>
      <c r="P1640" s="40">
        <v>23.31</v>
      </c>
      <c r="Q1640" s="40">
        <f t="shared" si="126"/>
        <v>75.8</v>
      </c>
      <c r="R1640" s="40">
        <f t="shared" si="126"/>
        <v>23.31</v>
      </c>
      <c r="S1640" s="40">
        <f>ROUND('Смета ЕР (общ) '!$N1640*'Смета ЕР (общ) '!$Q1640,2)</f>
        <v>0</v>
      </c>
      <c r="T1640" s="40">
        <f>ROUND('Смета ЕР (общ) '!$N1640*'Смета ЕР (общ) '!$R1640,2)</f>
        <v>0</v>
      </c>
    </row>
    <row r="1641" spans="1:25" ht="34.5" customHeight="1" x14ac:dyDescent="0.3">
      <c r="A1641" s="36" t="s">
        <v>1169</v>
      </c>
      <c r="B1641" s="36">
        <v>4</v>
      </c>
      <c r="C1641" s="36"/>
      <c r="D1641" s="36">
        <v>3</v>
      </c>
      <c r="E1641" s="36" t="str">
        <f>CONCATENATE('Смета ЕР (общ) '!$A1641,".",'Смета ЕР (общ) '!$B1641,".",'Смета ЕР (общ) '!$D1641)</f>
        <v>Р9.4.3</v>
      </c>
      <c r="F1641" s="36">
        <f t="shared" si="124"/>
        <v>1</v>
      </c>
      <c r="G1641" s="36"/>
      <c r="H1641" s="36"/>
      <c r="I1641" s="36"/>
      <c r="J1641" s="36"/>
      <c r="K1641" s="36"/>
      <c r="L1641" s="37" t="s">
        <v>1445</v>
      </c>
      <c r="M1641" s="38" t="s">
        <v>147</v>
      </c>
      <c r="N1641" s="39"/>
      <c r="O1641" s="40">
        <v>113.3</v>
      </c>
      <c r="P1641" s="40">
        <v>134.07</v>
      </c>
      <c r="Q1641" s="40">
        <f t="shared" si="126"/>
        <v>113.3</v>
      </c>
      <c r="R1641" s="40">
        <f t="shared" si="126"/>
        <v>134.07</v>
      </c>
      <c r="S1641" s="40">
        <f>ROUND('Смета ЕР (общ) '!$N1641*'Смета ЕР (общ) '!$Q1641,2)</f>
        <v>0</v>
      </c>
      <c r="T1641" s="40">
        <f>ROUND('Смета ЕР (общ) '!$N1641*'Смета ЕР (общ) '!$R1641,2)</f>
        <v>0</v>
      </c>
    </row>
    <row r="1642" spans="1:25" ht="34.5" customHeight="1" x14ac:dyDescent="0.3">
      <c r="A1642" s="36" t="s">
        <v>1169</v>
      </c>
      <c r="B1642" s="36">
        <v>4</v>
      </c>
      <c r="C1642" s="36"/>
      <c r="D1642" s="36">
        <v>4</v>
      </c>
      <c r="E1642" s="36" t="str">
        <f>CONCATENATE('Смета ЕР (общ) '!$A1642,".",'Смета ЕР (общ) '!$B1642,".",'Смета ЕР (общ) '!$D1642)</f>
        <v>Р9.4.4</v>
      </c>
      <c r="F1642" s="36">
        <f t="shared" si="124"/>
        <v>1</v>
      </c>
      <c r="G1642" s="36"/>
      <c r="H1642" s="36"/>
      <c r="I1642" s="36"/>
      <c r="J1642" s="36"/>
      <c r="K1642" s="36"/>
      <c r="L1642" s="37" t="s">
        <v>1452</v>
      </c>
      <c r="M1642" s="38" t="s">
        <v>147</v>
      </c>
      <c r="N1642" s="61"/>
      <c r="O1642" s="40">
        <v>469.8</v>
      </c>
      <c r="P1642" s="40">
        <v>1933.06</v>
      </c>
      <c r="Q1642" s="40">
        <f t="shared" si="126"/>
        <v>469.8</v>
      </c>
      <c r="R1642" s="40">
        <f t="shared" si="126"/>
        <v>1933.06</v>
      </c>
      <c r="S1642" s="40">
        <f>ROUND('Смета ЕР (общ) '!$N1642*'Смета ЕР (общ) '!$Q1642,2)</f>
        <v>0</v>
      </c>
      <c r="T1642" s="40">
        <f>ROUND('Смета ЕР (общ) '!$N1642*'Смета ЕР (общ) '!$R1642,2)</f>
        <v>0</v>
      </c>
    </row>
    <row r="1643" spans="1:25" ht="34.5" customHeight="1" x14ac:dyDescent="0.3">
      <c r="A1643" s="36" t="s">
        <v>1169</v>
      </c>
      <c r="B1643" s="36">
        <v>4</v>
      </c>
      <c r="C1643" s="36"/>
      <c r="D1643" s="36">
        <v>5</v>
      </c>
      <c r="E1643" s="36" t="str">
        <f>CONCATENATE('Смета ЕР (общ) '!$A1643,".",'Смета ЕР (общ) '!$B1643,".",'Смета ЕР (общ) '!$D1643)</f>
        <v>Р9.4.5</v>
      </c>
      <c r="F1643" s="36">
        <f t="shared" si="124"/>
        <v>1</v>
      </c>
      <c r="G1643" s="36"/>
      <c r="H1643" s="36"/>
      <c r="I1643" s="36"/>
      <c r="J1643" s="36"/>
      <c r="K1643" s="36"/>
      <c r="L1643" s="37" t="s">
        <v>1694</v>
      </c>
      <c r="M1643" s="38" t="s">
        <v>118</v>
      </c>
      <c r="N1643" s="39"/>
      <c r="O1643" s="40">
        <v>10.45</v>
      </c>
      <c r="P1643" s="40">
        <v>53.01</v>
      </c>
      <c r="Q1643" s="40">
        <f t="shared" si="126"/>
        <v>10.45</v>
      </c>
      <c r="R1643" s="40">
        <f t="shared" si="126"/>
        <v>53.01</v>
      </c>
      <c r="S1643" s="40">
        <f>ROUND('Смета ЕР (общ) '!$N1643*'Смета ЕР (общ) '!$Q1643,2)</f>
        <v>0</v>
      </c>
      <c r="T1643" s="40">
        <f>ROUND('Смета ЕР (общ) '!$N1643*'Смета ЕР (общ) '!$R1643,2)</f>
        <v>0</v>
      </c>
    </row>
    <row r="1644" spans="1:25" ht="34.5" customHeight="1" x14ac:dyDescent="0.3">
      <c r="A1644" s="36" t="s">
        <v>1169</v>
      </c>
      <c r="B1644" s="36">
        <v>4</v>
      </c>
      <c r="C1644" s="36"/>
      <c r="D1644" s="36">
        <v>6</v>
      </c>
      <c r="E1644" s="36" t="str">
        <f>CONCATENATE('Смета ЕР (общ) '!$A1644,".",'Смета ЕР (общ) '!$B1644,".",'Смета ЕР (общ) '!$D1644)</f>
        <v>Р9.4.6</v>
      </c>
      <c r="F1644" s="36">
        <f t="shared" si="124"/>
        <v>1</v>
      </c>
      <c r="G1644" s="36"/>
      <c r="H1644" s="36"/>
      <c r="I1644" s="36"/>
      <c r="J1644" s="36"/>
      <c r="K1644" s="36"/>
      <c r="L1644" s="37" t="s">
        <v>1657</v>
      </c>
      <c r="M1644" s="38" t="s">
        <v>147</v>
      </c>
      <c r="N1644" s="39"/>
      <c r="O1644" s="40">
        <v>126.67</v>
      </c>
      <c r="P1644" s="40">
        <v>55.41</v>
      </c>
      <c r="Q1644" s="40">
        <f t="shared" si="126"/>
        <v>126.67</v>
      </c>
      <c r="R1644" s="40">
        <f t="shared" si="126"/>
        <v>55.41</v>
      </c>
      <c r="S1644" s="40">
        <f>ROUND('Смета ЕР (общ) '!$N1644*'Смета ЕР (общ) '!$Q1644,2)</f>
        <v>0</v>
      </c>
      <c r="T1644" s="40">
        <f>ROUND('Смета ЕР (общ) '!$N1644*'Смета ЕР (общ) '!$R1644,2)</f>
        <v>0</v>
      </c>
    </row>
    <row r="1645" spans="1:25" ht="34.5" customHeight="1" x14ac:dyDescent="0.3">
      <c r="A1645" s="36" t="s">
        <v>1169</v>
      </c>
      <c r="B1645" s="36">
        <v>4</v>
      </c>
      <c r="C1645" s="36"/>
      <c r="D1645" s="36">
        <v>7</v>
      </c>
      <c r="E1645" s="36" t="str">
        <f>CONCATENATE('Смета ЕР (общ) '!$A1645,".",'Смета ЕР (общ) '!$B1645,".",'Смета ЕР (общ) '!$D1645)</f>
        <v>Р9.4.7</v>
      </c>
      <c r="F1645" s="36">
        <f t="shared" si="124"/>
        <v>1</v>
      </c>
      <c r="G1645" s="36"/>
      <c r="H1645" s="36"/>
      <c r="I1645" s="36"/>
      <c r="J1645" s="36"/>
      <c r="K1645" s="36"/>
      <c r="L1645" s="37" t="s">
        <v>1695</v>
      </c>
      <c r="M1645" s="38" t="s">
        <v>147</v>
      </c>
      <c r="N1645" s="39"/>
      <c r="O1645" s="40">
        <v>87.7</v>
      </c>
      <c r="P1645" s="40">
        <v>36.369999999999997</v>
      </c>
      <c r="Q1645" s="40">
        <f t="shared" si="126"/>
        <v>87.7</v>
      </c>
      <c r="R1645" s="40">
        <f t="shared" si="126"/>
        <v>36.369999999999997</v>
      </c>
      <c r="S1645" s="40">
        <f>ROUND('Смета ЕР (общ) '!$N1645*'Смета ЕР (общ) '!$Q1645,2)</f>
        <v>0</v>
      </c>
      <c r="T1645" s="40">
        <f>ROUND('Смета ЕР (общ) '!$N1645*'Смета ЕР (общ) '!$R1645,2)</f>
        <v>0</v>
      </c>
    </row>
    <row r="1646" spans="1:25" ht="34.5" customHeight="1" x14ac:dyDescent="0.3">
      <c r="A1646" s="36" t="s">
        <v>1169</v>
      </c>
      <c r="B1646" s="36">
        <v>4</v>
      </c>
      <c r="C1646" s="36"/>
      <c r="D1646" s="36">
        <v>8</v>
      </c>
      <c r="E1646" s="36" t="str">
        <f>CONCATENATE('Смета ЕР (общ) '!$A1646,".",'Смета ЕР (общ) '!$B1646,".",'Смета ЕР (общ) '!$D1646)</f>
        <v>Р9.4.8</v>
      </c>
      <c r="F1646" s="36">
        <f t="shared" si="124"/>
        <v>1</v>
      </c>
      <c r="G1646" s="36"/>
      <c r="H1646" s="36"/>
      <c r="I1646" s="36"/>
      <c r="J1646" s="36"/>
      <c r="K1646" s="36"/>
      <c r="L1646" s="37" t="s">
        <v>1474</v>
      </c>
      <c r="M1646" s="38" t="s">
        <v>118</v>
      </c>
      <c r="N1646" s="39"/>
      <c r="O1646" s="40">
        <v>679.25</v>
      </c>
      <c r="P1646" s="40">
        <v>676.91</v>
      </c>
      <c r="Q1646" s="40">
        <f t="shared" si="126"/>
        <v>679.25</v>
      </c>
      <c r="R1646" s="40">
        <f t="shared" si="126"/>
        <v>676.91</v>
      </c>
      <c r="S1646" s="40">
        <f>ROUND('Смета ЕР (общ) '!$N1646*'Смета ЕР (общ) '!$Q1646,2)</f>
        <v>0</v>
      </c>
      <c r="T1646" s="40">
        <f>ROUND('Смета ЕР (общ) '!$N1646*'Смета ЕР (общ) '!$R1646,2)</f>
        <v>0</v>
      </c>
    </row>
    <row r="1647" spans="1:25" ht="34.5" customHeight="1" x14ac:dyDescent="0.3">
      <c r="A1647" s="36" t="s">
        <v>1169</v>
      </c>
      <c r="B1647" s="36">
        <v>4</v>
      </c>
      <c r="C1647" s="36"/>
      <c r="D1647" s="36">
        <v>9</v>
      </c>
      <c r="E1647" s="36" t="str">
        <f>CONCATENATE('Смета ЕР (общ) '!$A1647,".",'Смета ЕР (общ) '!$B1647,".",'Смета ЕР (общ) '!$D1647)</f>
        <v>Р9.4.9</v>
      </c>
      <c r="F1647" s="36">
        <f t="shared" si="124"/>
        <v>1</v>
      </c>
      <c r="G1647" s="36"/>
      <c r="H1647" s="36"/>
      <c r="I1647" s="36"/>
      <c r="J1647" s="36"/>
      <c r="K1647" s="36"/>
      <c r="L1647" s="37" t="s">
        <v>1478</v>
      </c>
      <c r="M1647" s="38" t="s">
        <v>118</v>
      </c>
      <c r="N1647" s="39"/>
      <c r="O1647" s="40">
        <v>679.25</v>
      </c>
      <c r="P1647" s="40">
        <v>345.43</v>
      </c>
      <c r="Q1647" s="40">
        <f t="shared" si="126"/>
        <v>679.25</v>
      </c>
      <c r="R1647" s="40">
        <f t="shared" si="126"/>
        <v>345.43</v>
      </c>
      <c r="S1647" s="40">
        <f>ROUND('Смета ЕР (общ) '!$N1647*'Смета ЕР (общ) '!$Q1647,2)</f>
        <v>0</v>
      </c>
      <c r="T1647" s="40">
        <f>ROUND('Смета ЕР (общ) '!$N1647*'Смета ЕР (общ) '!$R1647,2)</f>
        <v>0</v>
      </c>
    </row>
    <row r="1648" spans="1:25" ht="34.5" customHeight="1" x14ac:dyDescent="0.3">
      <c r="A1648" s="36" t="s">
        <v>1169</v>
      </c>
      <c r="B1648" s="36">
        <v>4</v>
      </c>
      <c r="C1648" s="36"/>
      <c r="D1648" s="36">
        <v>10</v>
      </c>
      <c r="E1648" s="36" t="str">
        <f>CONCATENATE('Смета ЕР (общ) '!$A1648,".",'Смета ЕР (общ) '!$B1648,".",'Смета ЕР (общ) '!$D1648)</f>
        <v>Р9.4.10</v>
      </c>
      <c r="F1648" s="36">
        <f t="shared" si="124"/>
        <v>1</v>
      </c>
      <c r="G1648" s="36"/>
      <c r="H1648" s="36"/>
      <c r="I1648" s="36"/>
      <c r="J1648" s="36"/>
      <c r="K1648" s="36"/>
      <c r="L1648" s="37" t="s">
        <v>1475</v>
      </c>
      <c r="M1648" s="38" t="s">
        <v>118</v>
      </c>
      <c r="N1648" s="61"/>
      <c r="O1648" s="40">
        <v>679.25</v>
      </c>
      <c r="P1648" s="40">
        <v>229.43</v>
      </c>
      <c r="Q1648" s="40">
        <f t="shared" si="126"/>
        <v>679.25</v>
      </c>
      <c r="R1648" s="40">
        <f t="shared" si="126"/>
        <v>229.43</v>
      </c>
      <c r="S1648" s="40">
        <f>ROUND('Смета ЕР (общ) '!$N1648*'Смета ЕР (общ) '!$Q1648,2)</f>
        <v>0</v>
      </c>
      <c r="T1648" s="40">
        <f>ROUND('Смета ЕР (общ) '!$N1648*'Смета ЕР (общ) '!$R1648,2)</f>
        <v>0</v>
      </c>
    </row>
    <row r="1649" spans="1:20" ht="34.5" customHeight="1" x14ac:dyDescent="0.3">
      <c r="A1649" s="36" t="s">
        <v>1169</v>
      </c>
      <c r="B1649" s="36">
        <v>4</v>
      </c>
      <c r="C1649" s="36"/>
      <c r="D1649" s="36">
        <v>11</v>
      </c>
      <c r="E1649" s="36" t="str">
        <f>CONCATENATE('Смета ЕР (общ) '!$A1649,".",'Смета ЕР (общ) '!$B1649,".",'Смета ЕР (общ) '!$D1649)</f>
        <v>Р9.4.11</v>
      </c>
      <c r="F1649" s="36">
        <f t="shared" si="124"/>
        <v>1</v>
      </c>
      <c r="G1649" s="36"/>
      <c r="H1649" s="36"/>
      <c r="I1649" s="36"/>
      <c r="J1649" s="36"/>
      <c r="K1649" s="36"/>
      <c r="L1649" s="37" t="s">
        <v>1483</v>
      </c>
      <c r="M1649" s="38" t="s">
        <v>118</v>
      </c>
      <c r="N1649" s="39"/>
      <c r="O1649" s="40">
        <v>679.25</v>
      </c>
      <c r="P1649" s="40">
        <v>781.31</v>
      </c>
      <c r="Q1649" s="40">
        <f t="shared" si="126"/>
        <v>679.25</v>
      </c>
      <c r="R1649" s="40">
        <f t="shared" si="126"/>
        <v>781.31</v>
      </c>
      <c r="S1649" s="40">
        <f>ROUND('Смета ЕР (общ) '!$N1649*'Смета ЕР (общ) '!$Q1649,2)</f>
        <v>0</v>
      </c>
      <c r="T1649" s="40">
        <f>ROUND('Смета ЕР (общ) '!$N1649*'Смета ЕР (общ) '!$R1649,2)</f>
        <v>0</v>
      </c>
    </row>
    <row r="1650" spans="1:20" ht="34.5" customHeight="1" x14ac:dyDescent="0.3">
      <c r="A1650" s="36" t="s">
        <v>1169</v>
      </c>
      <c r="B1650" s="36">
        <v>4</v>
      </c>
      <c r="C1650" s="36"/>
      <c r="D1650" s="36">
        <v>12</v>
      </c>
      <c r="E1650" s="36" t="str">
        <f>CONCATENATE('Смета ЕР (общ) '!$A1650,".",'Смета ЕР (общ) '!$B1650,".",'Смета ЕР (общ) '!$D1650)</f>
        <v>Р9.4.12</v>
      </c>
      <c r="F1650" s="36">
        <f t="shared" si="124"/>
        <v>1</v>
      </c>
      <c r="G1650" s="36"/>
      <c r="H1650" s="36"/>
      <c r="I1650" s="36"/>
      <c r="J1650" s="36"/>
      <c r="K1650" s="36"/>
      <c r="L1650" s="37" t="s">
        <v>1489</v>
      </c>
      <c r="M1650" s="38" t="s">
        <v>118</v>
      </c>
      <c r="N1650" s="39"/>
      <c r="O1650" s="40">
        <v>679.25</v>
      </c>
      <c r="P1650" s="40">
        <v>355.58</v>
      </c>
      <c r="Q1650" s="40">
        <f t="shared" si="126"/>
        <v>679.25</v>
      </c>
      <c r="R1650" s="40">
        <f t="shared" si="126"/>
        <v>355.58</v>
      </c>
      <c r="S1650" s="40">
        <f>ROUND('Смета ЕР (общ) '!$N1650*'Смета ЕР (общ) '!$Q1650,2)</f>
        <v>0</v>
      </c>
      <c r="T1650" s="40">
        <f>ROUND('Смета ЕР (общ) '!$N1650*'Смета ЕР (общ) '!$R1650,2)</f>
        <v>0</v>
      </c>
    </row>
    <row r="1651" spans="1:20" ht="34.5" customHeight="1" x14ac:dyDescent="0.3">
      <c r="A1651" s="36" t="s">
        <v>1169</v>
      </c>
      <c r="B1651" s="36">
        <v>4</v>
      </c>
      <c r="C1651" s="36"/>
      <c r="D1651" s="36">
        <v>13</v>
      </c>
      <c r="E1651" s="36" t="str">
        <f>CONCATENATE('Смета ЕР (общ) '!$A1651,".",'Смета ЕР (общ) '!$B1651,".",'Смета ЕР (общ) '!$D1651)</f>
        <v>Р9.4.13</v>
      </c>
      <c r="F1651" s="36">
        <f t="shared" si="124"/>
        <v>1</v>
      </c>
      <c r="G1651" s="36"/>
      <c r="H1651" s="36"/>
      <c r="I1651" s="36"/>
      <c r="J1651" s="36"/>
      <c r="K1651" s="36"/>
      <c r="L1651" s="37" t="s">
        <v>1495</v>
      </c>
      <c r="M1651" s="38" t="s">
        <v>118</v>
      </c>
      <c r="N1651" s="61"/>
      <c r="O1651" s="40">
        <v>698.42</v>
      </c>
      <c r="P1651" s="40">
        <v>2656.24</v>
      </c>
      <c r="Q1651" s="40">
        <f t="shared" si="126"/>
        <v>698.42</v>
      </c>
      <c r="R1651" s="40">
        <f t="shared" si="126"/>
        <v>2656.24</v>
      </c>
      <c r="S1651" s="40">
        <f>ROUND('Смета ЕР (общ) '!$N1651*'Смета ЕР (общ) '!$Q1651,2)</f>
        <v>0</v>
      </c>
      <c r="T1651" s="40">
        <f>ROUND('Смета ЕР (общ) '!$N1651*'Смета ЕР (общ) '!$R1651,2)</f>
        <v>0</v>
      </c>
    </row>
    <row r="1652" spans="1:20" ht="34.5" customHeight="1" x14ac:dyDescent="0.3">
      <c r="A1652" s="36" t="s">
        <v>1169</v>
      </c>
      <c r="B1652" s="36">
        <v>4</v>
      </c>
      <c r="C1652" s="36"/>
      <c r="D1652" s="36">
        <v>14</v>
      </c>
      <c r="E1652" s="36" t="str">
        <f>CONCATENATE('Смета ЕР (общ) '!$A1652,".",'Смета ЕР (общ) '!$B1652,".",'Смета ЕР (общ) '!$D1652)</f>
        <v>Р9.4.14</v>
      </c>
      <c r="F1652" s="36">
        <f t="shared" si="124"/>
        <v>1</v>
      </c>
      <c r="G1652" s="36"/>
      <c r="H1652" s="36"/>
      <c r="I1652" s="36"/>
      <c r="J1652" s="36"/>
      <c r="K1652" s="36"/>
      <c r="L1652" s="37" t="s">
        <v>1504</v>
      </c>
      <c r="M1652" s="38" t="s">
        <v>64</v>
      </c>
      <c r="N1652" s="39"/>
      <c r="O1652" s="40">
        <v>25099.8</v>
      </c>
      <c r="P1652" s="40">
        <v>2641.06</v>
      </c>
      <c r="Q1652" s="40">
        <f t="shared" si="126"/>
        <v>25099.8</v>
      </c>
      <c r="R1652" s="40">
        <f t="shared" si="126"/>
        <v>2641.06</v>
      </c>
      <c r="S1652" s="40">
        <f>ROUND('Смета ЕР (общ) '!$N1652*'Смета ЕР (общ) '!$Q1652,2)</f>
        <v>0</v>
      </c>
      <c r="T1652" s="40">
        <f>ROUND('Смета ЕР (общ) '!$N1652*'Смета ЕР (общ) '!$R1652,2)</f>
        <v>0</v>
      </c>
    </row>
    <row r="1653" spans="1:20" ht="34.5" customHeight="1" x14ac:dyDescent="0.3">
      <c r="A1653" s="36" t="s">
        <v>1169</v>
      </c>
      <c r="B1653" s="36">
        <v>4</v>
      </c>
      <c r="C1653" s="36"/>
      <c r="D1653" s="36">
        <v>15</v>
      </c>
      <c r="E1653" s="36" t="str">
        <f>CONCATENATE('Смета ЕР (общ) '!$A1653,".",'Смета ЕР (общ) '!$B1653,".",'Смета ЕР (общ) '!$D1653)</f>
        <v>Р9.4.15</v>
      </c>
      <c r="F1653" s="36">
        <f t="shared" si="124"/>
        <v>1</v>
      </c>
      <c r="G1653" s="36"/>
      <c r="H1653" s="36"/>
      <c r="I1653" s="36"/>
      <c r="J1653" s="36"/>
      <c r="K1653" s="36"/>
      <c r="L1653" s="37" t="s">
        <v>960</v>
      </c>
      <c r="M1653" s="38" t="s">
        <v>64</v>
      </c>
      <c r="N1653" s="39"/>
      <c r="O1653" s="40">
        <v>0</v>
      </c>
      <c r="P1653" s="40">
        <v>20060.419999999998</v>
      </c>
      <c r="Q1653" s="40">
        <f t="shared" si="126"/>
        <v>0</v>
      </c>
      <c r="R1653" s="40">
        <f t="shared" si="126"/>
        <v>20060.419999999998</v>
      </c>
      <c r="S1653" s="40">
        <f>ROUND('Смета ЕР (общ) '!$N1653*'Смета ЕР (общ) '!$Q1653,2)</f>
        <v>0</v>
      </c>
      <c r="T1653" s="40">
        <f>ROUND('Смета ЕР (общ) '!$N1653*'Смета ЕР (общ) '!$R1653,2)</f>
        <v>0</v>
      </c>
    </row>
    <row r="1654" spans="1:20" ht="34.5" customHeight="1" x14ac:dyDescent="0.3">
      <c r="A1654" s="36" t="s">
        <v>1169</v>
      </c>
      <c r="B1654" s="36">
        <v>4</v>
      </c>
      <c r="C1654" s="36"/>
      <c r="D1654" s="36">
        <v>16</v>
      </c>
      <c r="E1654" s="36" t="str">
        <f>CONCATENATE('Смета ЕР (общ) '!$A1654,".",'Смета ЕР (общ) '!$B1654,".",'Смета ЕР (общ) '!$D1654)</f>
        <v>Р9.4.16</v>
      </c>
      <c r="F1654" s="36">
        <f t="shared" si="124"/>
        <v>1</v>
      </c>
      <c r="G1654" s="36"/>
      <c r="H1654" s="36"/>
      <c r="I1654" s="36"/>
      <c r="J1654" s="36"/>
      <c r="K1654" s="36"/>
      <c r="L1654" s="37" t="s">
        <v>1515</v>
      </c>
      <c r="M1654" s="38" t="s">
        <v>118</v>
      </c>
      <c r="N1654" s="39"/>
      <c r="O1654" s="40">
        <v>295.19</v>
      </c>
      <c r="P1654" s="40">
        <v>259.11</v>
      </c>
      <c r="Q1654" s="40">
        <f t="shared" si="126"/>
        <v>295.19</v>
      </c>
      <c r="R1654" s="40">
        <f t="shared" si="126"/>
        <v>259.11</v>
      </c>
      <c r="S1654" s="40">
        <f>ROUND('Смета ЕР (общ) '!$N1654*'Смета ЕР (общ) '!$Q1654,2)</f>
        <v>0</v>
      </c>
      <c r="T1654" s="40">
        <f>ROUND('Смета ЕР (общ) '!$N1654*'Смета ЕР (общ) '!$R1654,2)</f>
        <v>0</v>
      </c>
    </row>
    <row r="1655" spans="1:20" ht="34.5" customHeight="1" x14ac:dyDescent="0.3">
      <c r="A1655" s="36" t="s">
        <v>1169</v>
      </c>
      <c r="B1655" s="36">
        <v>4</v>
      </c>
      <c r="C1655" s="36"/>
      <c r="D1655" s="36">
        <v>17</v>
      </c>
      <c r="E1655" s="36" t="str">
        <f>CONCATENATE('Смета ЕР (общ) '!$A1655,".",'Смета ЕР (общ) '!$B1655,".",'Смета ЕР (общ) '!$D1655)</f>
        <v>Р9.4.17</v>
      </c>
      <c r="F1655" s="36">
        <f t="shared" si="124"/>
        <v>1</v>
      </c>
      <c r="G1655" s="36"/>
      <c r="H1655" s="36"/>
      <c r="I1655" s="36"/>
      <c r="J1655" s="36"/>
      <c r="K1655" s="36"/>
      <c r="L1655" s="37" t="s">
        <v>1516</v>
      </c>
      <c r="M1655" s="38" t="s">
        <v>118</v>
      </c>
      <c r="N1655" s="39"/>
      <c r="O1655" s="40">
        <v>295.19</v>
      </c>
      <c r="P1655" s="40">
        <v>832.7</v>
      </c>
      <c r="Q1655" s="40">
        <f t="shared" si="126"/>
        <v>295.19</v>
      </c>
      <c r="R1655" s="40">
        <f t="shared" si="126"/>
        <v>832.7</v>
      </c>
      <c r="S1655" s="40">
        <f>ROUND('Смета ЕР (общ) '!$N1655*'Смета ЕР (общ) '!$Q1655,2)</f>
        <v>0</v>
      </c>
      <c r="T1655" s="40">
        <f>ROUND('Смета ЕР (общ) '!$N1655*'Смета ЕР (общ) '!$R1655,2)</f>
        <v>0</v>
      </c>
    </row>
    <row r="1656" spans="1:20" ht="34.5" customHeight="1" x14ac:dyDescent="0.3">
      <c r="A1656" s="36" t="s">
        <v>1169</v>
      </c>
      <c r="B1656" s="36">
        <v>4</v>
      </c>
      <c r="C1656" s="36"/>
      <c r="D1656" s="36">
        <v>18</v>
      </c>
      <c r="E1656" s="36" t="str">
        <f>CONCATENATE('Смета ЕР (общ) '!$A1656,".",'Смета ЕР (общ) '!$B1656,".",'Смета ЕР (общ) '!$D1656)</f>
        <v>Р9.4.18</v>
      </c>
      <c r="F1656" s="36">
        <f t="shared" si="124"/>
        <v>1</v>
      </c>
      <c r="G1656" s="36"/>
      <c r="H1656" s="36"/>
      <c r="I1656" s="36"/>
      <c r="J1656" s="36"/>
      <c r="K1656" s="36"/>
      <c r="L1656" s="37" t="s">
        <v>1665</v>
      </c>
      <c r="M1656" s="38" t="s">
        <v>147</v>
      </c>
      <c r="N1656" s="39"/>
      <c r="O1656" s="40">
        <v>124.41</v>
      </c>
      <c r="P1656" s="40">
        <v>276.2</v>
      </c>
      <c r="Q1656" s="40">
        <f t="shared" si="126"/>
        <v>124.41</v>
      </c>
      <c r="R1656" s="40">
        <f t="shared" si="126"/>
        <v>276.2</v>
      </c>
      <c r="S1656" s="40">
        <f>ROUND('Смета ЕР (общ) '!$N1656*'Смета ЕР (общ) '!$Q1656,2)</f>
        <v>0</v>
      </c>
      <c r="T1656" s="40">
        <f>ROUND('Смета ЕР (общ) '!$N1656*'Смета ЕР (общ) '!$R1656,2)</f>
        <v>0</v>
      </c>
    </row>
    <row r="1657" spans="1:20" ht="34.5" customHeight="1" x14ac:dyDescent="0.3">
      <c r="A1657" s="36" t="s">
        <v>1169</v>
      </c>
      <c r="B1657" s="36">
        <v>4</v>
      </c>
      <c r="C1657" s="36"/>
      <c r="D1657" s="36">
        <v>19</v>
      </c>
      <c r="E1657" s="36" t="str">
        <f>CONCATENATE('Смета ЕР (общ) '!$A1657,".",'Смета ЕР (общ) '!$B1657,".",'Смета ЕР (общ) '!$D1657)</f>
        <v>Р9.4.19</v>
      </c>
      <c r="F1657" s="36">
        <f t="shared" si="124"/>
        <v>1</v>
      </c>
      <c r="G1657" s="36"/>
      <c r="H1657" s="36"/>
      <c r="I1657" s="36"/>
      <c r="J1657" s="36"/>
      <c r="K1657" s="36"/>
      <c r="L1657" s="37" t="s">
        <v>1666</v>
      </c>
      <c r="M1657" s="38" t="s">
        <v>147</v>
      </c>
      <c r="N1657" s="61"/>
      <c r="O1657" s="40">
        <v>124.41</v>
      </c>
      <c r="P1657" s="40">
        <v>200.93</v>
      </c>
      <c r="Q1657" s="40">
        <f t="shared" si="126"/>
        <v>124.41</v>
      </c>
      <c r="R1657" s="40">
        <f t="shared" si="126"/>
        <v>200.93</v>
      </c>
      <c r="S1657" s="40">
        <f>ROUND('Смета ЕР (общ) '!$N1657*'Смета ЕР (общ) '!$Q1657,2)</f>
        <v>0</v>
      </c>
      <c r="T1657" s="40">
        <f>ROUND('Смета ЕР (общ) '!$N1657*'Смета ЕР (общ) '!$R1657,2)</f>
        <v>0</v>
      </c>
    </row>
    <row r="1658" spans="1:20" ht="34.5" customHeight="1" x14ac:dyDescent="0.3">
      <c r="A1658" s="36" t="s">
        <v>1169</v>
      </c>
      <c r="B1658" s="36">
        <v>4</v>
      </c>
      <c r="C1658" s="36"/>
      <c r="D1658" s="36">
        <v>20</v>
      </c>
      <c r="E1658" s="36" t="str">
        <f>CONCATENATE('Смета ЕР (общ) '!$A1658,".",'Смета ЕР (общ) '!$B1658,".",'Смета ЕР (общ) '!$D1658)</f>
        <v>Р9.4.20</v>
      </c>
      <c r="F1658" s="36">
        <f t="shared" si="124"/>
        <v>1</v>
      </c>
      <c r="G1658" s="36"/>
      <c r="H1658" s="36"/>
      <c r="I1658" s="36"/>
      <c r="J1658" s="36"/>
      <c r="K1658" s="36"/>
      <c r="L1658" s="37" t="s">
        <v>1668</v>
      </c>
      <c r="M1658" s="38" t="s">
        <v>147</v>
      </c>
      <c r="N1658" s="39"/>
      <c r="O1658" s="40">
        <v>108.58</v>
      </c>
      <c r="P1658" s="40">
        <v>161.85</v>
      </c>
      <c r="Q1658" s="40">
        <f t="shared" si="126"/>
        <v>108.58</v>
      </c>
      <c r="R1658" s="40">
        <f t="shared" si="126"/>
        <v>161.85</v>
      </c>
      <c r="S1658" s="40">
        <f>ROUND('Смета ЕР (общ) '!$N1658*'Смета ЕР (общ) '!$Q1658,2)</f>
        <v>0</v>
      </c>
      <c r="T1658" s="40">
        <f>ROUND('Смета ЕР (общ) '!$N1658*'Смета ЕР (общ) '!$R1658,2)</f>
        <v>0</v>
      </c>
    </row>
    <row r="1659" spans="1:20" ht="34.5" customHeight="1" x14ac:dyDescent="0.3">
      <c r="A1659" s="36" t="s">
        <v>1169</v>
      </c>
      <c r="B1659" s="36">
        <v>4</v>
      </c>
      <c r="C1659" s="36"/>
      <c r="D1659" s="36">
        <v>21</v>
      </c>
      <c r="E1659" s="36" t="str">
        <f>CONCATENATE('Смета ЕР (общ) '!$A1659,".",'Смета ЕР (общ) '!$B1659,".",'Смета ЕР (общ) '!$D1659)</f>
        <v>Р9.4.21</v>
      </c>
      <c r="F1659" s="36">
        <f t="shared" si="124"/>
        <v>1</v>
      </c>
      <c r="G1659" s="36"/>
      <c r="H1659" s="36"/>
      <c r="I1659" s="36"/>
      <c r="J1659" s="36"/>
      <c r="K1659" s="36"/>
      <c r="L1659" s="37" t="s">
        <v>1669</v>
      </c>
      <c r="M1659" s="38" t="s">
        <v>147</v>
      </c>
      <c r="N1659" s="39"/>
      <c r="O1659" s="40">
        <v>108.58</v>
      </c>
      <c r="P1659" s="40">
        <v>103.69</v>
      </c>
      <c r="Q1659" s="40">
        <f t="shared" si="126"/>
        <v>108.58</v>
      </c>
      <c r="R1659" s="40">
        <f t="shared" si="126"/>
        <v>103.69</v>
      </c>
      <c r="S1659" s="40">
        <f>ROUND('Смета ЕР (общ) '!$N1659*'Смета ЕР (общ) '!$Q1659,2)</f>
        <v>0</v>
      </c>
      <c r="T1659" s="40">
        <f>ROUND('Смета ЕР (общ) '!$N1659*'Смета ЕР (общ) '!$R1659,2)</f>
        <v>0</v>
      </c>
    </row>
    <row r="1660" spans="1:20" ht="34.5" customHeight="1" x14ac:dyDescent="0.3">
      <c r="A1660" s="36" t="s">
        <v>1169</v>
      </c>
      <c r="B1660" s="36">
        <v>4</v>
      </c>
      <c r="C1660" s="36"/>
      <c r="D1660" s="36">
        <v>22</v>
      </c>
      <c r="E1660" s="36" t="str">
        <f>CONCATENATE('Смета ЕР (общ) '!$A1660,".",'Смета ЕР (общ) '!$B1660,".",'Смета ЕР (общ) '!$D1660)</f>
        <v>Р9.4.22</v>
      </c>
      <c r="F1660" s="36">
        <f t="shared" si="124"/>
        <v>1</v>
      </c>
      <c r="G1660" s="36"/>
      <c r="H1660" s="36"/>
      <c r="I1660" s="36"/>
      <c r="J1660" s="36"/>
      <c r="K1660" s="36"/>
      <c r="L1660" s="37" t="s">
        <v>1672</v>
      </c>
      <c r="M1660" s="38" t="s">
        <v>147</v>
      </c>
      <c r="N1660" s="39"/>
      <c r="O1660" s="40">
        <v>108.58</v>
      </c>
      <c r="P1660" s="40">
        <v>125.57</v>
      </c>
      <c r="Q1660" s="40">
        <f t="shared" si="126"/>
        <v>108.58</v>
      </c>
      <c r="R1660" s="40">
        <f t="shared" si="126"/>
        <v>125.57</v>
      </c>
      <c r="S1660" s="40">
        <f>ROUND('Смета ЕР (общ) '!$N1660*'Смета ЕР (общ) '!$Q1660,2)</f>
        <v>0</v>
      </c>
      <c r="T1660" s="40">
        <f>ROUND('Смета ЕР (общ) '!$N1660*'Смета ЕР (общ) '!$R1660,2)</f>
        <v>0</v>
      </c>
    </row>
    <row r="1661" spans="1:20" ht="14.4" x14ac:dyDescent="0.3">
      <c r="A1661" s="36" t="s">
        <v>1169</v>
      </c>
      <c r="B1661" s="36">
        <v>5</v>
      </c>
      <c r="C1661" s="36"/>
      <c r="D1661" s="36">
        <v>0</v>
      </c>
      <c r="E1661" s="36" t="str">
        <f>CONCATENATE('Смета ЕР (общ) '!$A1661,".",'Смета ЕР (общ) '!$B1661,".",'Смета ЕР (общ) '!$D1661)</f>
        <v>Р9.5.0</v>
      </c>
      <c r="F1661" s="29">
        <f t="shared" si="124"/>
        <v>1</v>
      </c>
      <c r="G1661" s="29"/>
      <c r="H1661" s="29"/>
      <c r="I1661" s="29"/>
      <c r="J1661" s="29"/>
      <c r="K1661" s="29"/>
      <c r="L1661" s="30" t="s">
        <v>1696</v>
      </c>
      <c r="M1661" s="31"/>
      <c r="N1661" s="32">
        <f>SUM(N1662:N1681)</f>
        <v>0</v>
      </c>
      <c r="O1661" s="47"/>
      <c r="P1661" s="47"/>
      <c r="Q1661" s="34"/>
      <c r="R1661" s="34"/>
      <c r="S1661" s="34">
        <f>ROUND(SUM(S1662:S1673),2)</f>
        <v>0</v>
      </c>
      <c r="T1661" s="34">
        <f>ROUND(SUM(T1662:T1673),2)</f>
        <v>0</v>
      </c>
    </row>
    <row r="1662" spans="1:20" ht="14.4" x14ac:dyDescent="0.3">
      <c r="A1662" s="36" t="s">
        <v>1169</v>
      </c>
      <c r="B1662" s="36">
        <v>5</v>
      </c>
      <c r="C1662" s="36"/>
      <c r="D1662" s="36">
        <v>1</v>
      </c>
      <c r="E1662" s="36" t="str">
        <f>CONCATENATE('Смета ЕР (общ) '!$A1662,".",'Смета ЕР (общ) '!$B1662,".",'Смета ЕР (общ) '!$D1662)</f>
        <v>Р9.5.1</v>
      </c>
      <c r="F1662" s="36">
        <f t="shared" si="124"/>
        <v>1</v>
      </c>
      <c r="G1662" s="36"/>
      <c r="H1662" s="36"/>
      <c r="I1662" s="36"/>
      <c r="J1662" s="36"/>
      <c r="K1662" s="36"/>
      <c r="L1662" s="164" t="s">
        <v>1697</v>
      </c>
      <c r="M1662" s="38" t="s">
        <v>147</v>
      </c>
      <c r="N1662" s="39"/>
      <c r="O1662" s="40">
        <v>51.97</v>
      </c>
      <c r="P1662" s="40">
        <f>494.95*1.05</f>
        <v>519.69749999999999</v>
      </c>
      <c r="Q1662" s="40">
        <f t="shared" ref="Q1662:R1673" si="127">ROUND(O1662-O1662*$V$3,2)</f>
        <v>51.97</v>
      </c>
      <c r="R1662" s="40">
        <f t="shared" si="127"/>
        <v>519.70000000000005</v>
      </c>
      <c r="S1662" s="40">
        <f>ROUND('Смета ЕР (общ) '!$N1662*'Смета ЕР (общ) '!$Q1662,2)</f>
        <v>0</v>
      </c>
      <c r="T1662" s="40">
        <f>ROUND('Смета ЕР (общ) '!$N1662*'Смета ЕР (общ) '!$R1662,2)</f>
        <v>0</v>
      </c>
    </row>
    <row r="1663" spans="1:20" ht="14.4" x14ac:dyDescent="0.3">
      <c r="A1663" s="36" t="s">
        <v>1169</v>
      </c>
      <c r="B1663" s="36">
        <v>5</v>
      </c>
      <c r="C1663" s="36"/>
      <c r="D1663" s="36">
        <v>2</v>
      </c>
      <c r="E1663" s="36" t="str">
        <f>CONCATENATE('Смета ЕР (общ) '!$A1663,".",'Смета ЕР (общ) '!$B1663,".",'Смета ЕР (общ) '!$D1663)</f>
        <v>Р9.5.2</v>
      </c>
      <c r="F1663" s="36">
        <f t="shared" si="124"/>
        <v>1</v>
      </c>
      <c r="G1663" s="36"/>
      <c r="H1663" s="36"/>
      <c r="I1663" s="36"/>
      <c r="J1663" s="36"/>
      <c r="K1663" s="36"/>
      <c r="L1663" s="164" t="s">
        <v>1698</v>
      </c>
      <c r="M1663" s="38" t="s">
        <v>147</v>
      </c>
      <c r="N1663" s="39"/>
      <c r="O1663" s="40">
        <v>12.29</v>
      </c>
      <c r="P1663" s="40">
        <f>117.11*1.05</f>
        <v>122.96550000000001</v>
      </c>
      <c r="Q1663" s="40">
        <f t="shared" si="127"/>
        <v>12.29</v>
      </c>
      <c r="R1663" s="40">
        <f t="shared" si="127"/>
        <v>122.97</v>
      </c>
      <c r="S1663" s="40">
        <f>ROUND('Смета ЕР (общ) '!$N1663*'Смета ЕР (общ) '!$Q1663,2)</f>
        <v>0</v>
      </c>
      <c r="T1663" s="40">
        <f>ROUND('Смета ЕР (общ) '!$N1663*'Смета ЕР (общ) '!$R1663,2)</f>
        <v>0</v>
      </c>
    </row>
    <row r="1664" spans="1:20" ht="14.4" x14ac:dyDescent="0.3">
      <c r="A1664" s="36" t="s">
        <v>1169</v>
      </c>
      <c r="B1664" s="36">
        <v>5</v>
      </c>
      <c r="C1664" s="36"/>
      <c r="D1664" s="36">
        <v>3</v>
      </c>
      <c r="E1664" s="36" t="str">
        <f>CONCATENATE('Смета ЕР (общ) '!$A1664,".",'Смета ЕР (общ) '!$B1664,".",'Смета ЕР (общ) '!$D1664)</f>
        <v>Р9.5.3</v>
      </c>
      <c r="F1664" s="36">
        <f t="shared" si="124"/>
        <v>1</v>
      </c>
      <c r="G1664" s="36"/>
      <c r="H1664" s="36"/>
      <c r="I1664" s="36"/>
      <c r="J1664" s="36"/>
      <c r="K1664" s="36"/>
      <c r="L1664" s="164" t="s">
        <v>1699</v>
      </c>
      <c r="M1664" s="38" t="s">
        <v>118</v>
      </c>
      <c r="N1664" s="39"/>
      <c r="O1664" s="40">
        <v>34.659999999999997</v>
      </c>
      <c r="P1664" s="40">
        <f>330.1*1.05</f>
        <v>346.60500000000002</v>
      </c>
      <c r="Q1664" s="40">
        <f t="shared" si="127"/>
        <v>34.659999999999997</v>
      </c>
      <c r="R1664" s="40">
        <f t="shared" si="127"/>
        <v>346.61</v>
      </c>
      <c r="S1664" s="40">
        <f>ROUND('Смета ЕР (общ) '!$N1664*'Смета ЕР (общ) '!$Q1664,2)</f>
        <v>0</v>
      </c>
      <c r="T1664" s="40">
        <f>ROUND('Смета ЕР (общ) '!$N1664*'Смета ЕР (общ) '!$R1664,2)</f>
        <v>0</v>
      </c>
    </row>
    <row r="1665" spans="1:25" ht="14.4" x14ac:dyDescent="0.3">
      <c r="A1665" s="36" t="s">
        <v>1169</v>
      </c>
      <c r="B1665" s="36">
        <v>5</v>
      </c>
      <c r="C1665" s="36"/>
      <c r="D1665" s="36">
        <v>4</v>
      </c>
      <c r="E1665" s="36" t="str">
        <f>CONCATENATE('Смета ЕР (общ) '!$A1665,".",'Смета ЕР (общ) '!$B1665,".",'Смета ЕР (общ) '!$D1665)</f>
        <v>Р9.5.4</v>
      </c>
      <c r="F1665" s="36">
        <f t="shared" si="124"/>
        <v>1</v>
      </c>
      <c r="G1665" s="36"/>
      <c r="H1665" s="36"/>
      <c r="I1665" s="36"/>
      <c r="J1665" s="36"/>
      <c r="K1665" s="36"/>
      <c r="L1665" s="164" t="s">
        <v>1700</v>
      </c>
      <c r="M1665" s="38" t="s">
        <v>118</v>
      </c>
      <c r="N1665" s="39"/>
      <c r="O1665" s="40">
        <v>24.27</v>
      </c>
      <c r="P1665" s="40">
        <f>231.17*1.05</f>
        <v>242.7285</v>
      </c>
      <c r="Q1665" s="40">
        <f t="shared" si="127"/>
        <v>24.27</v>
      </c>
      <c r="R1665" s="40">
        <f t="shared" si="127"/>
        <v>242.73</v>
      </c>
      <c r="S1665" s="40">
        <f>ROUND('Смета ЕР (общ) '!$N1665*'Смета ЕР (общ) '!$Q1665,2)</f>
        <v>0</v>
      </c>
      <c r="T1665" s="40">
        <f>ROUND('Смета ЕР (общ) '!$N1665*'Смета ЕР (общ) '!$R1665,2)</f>
        <v>0</v>
      </c>
    </row>
    <row r="1666" spans="1:25" ht="14.4" x14ac:dyDescent="0.3">
      <c r="A1666" s="36" t="s">
        <v>1169</v>
      </c>
      <c r="B1666" s="36">
        <v>5</v>
      </c>
      <c r="C1666" s="36"/>
      <c r="D1666" s="36">
        <v>5</v>
      </c>
      <c r="E1666" s="36" t="str">
        <f>CONCATENATE('Смета ЕР (общ) '!$A1666,".",'Смета ЕР (общ) '!$B1666,".",'Смета ЕР (общ) '!$D1666)</f>
        <v>Р9.5.5</v>
      </c>
      <c r="F1666" s="36">
        <f t="shared" si="124"/>
        <v>1</v>
      </c>
      <c r="G1666" s="36"/>
      <c r="H1666" s="36"/>
      <c r="I1666" s="36"/>
      <c r="J1666" s="36"/>
      <c r="K1666" s="36"/>
      <c r="L1666" s="164" t="s">
        <v>1701</v>
      </c>
      <c r="M1666" s="38" t="s">
        <v>118</v>
      </c>
      <c r="N1666" s="39"/>
      <c r="O1666" s="40">
        <v>22.45</v>
      </c>
      <c r="P1666" s="40">
        <f>213.84*1.05</f>
        <v>224.53200000000001</v>
      </c>
      <c r="Q1666" s="40">
        <f t="shared" si="127"/>
        <v>22.45</v>
      </c>
      <c r="R1666" s="40">
        <f t="shared" si="127"/>
        <v>224.53</v>
      </c>
      <c r="S1666" s="40">
        <f>ROUND('Смета ЕР (общ) '!$N1666*'Смета ЕР (общ) '!$Q1666,2)</f>
        <v>0</v>
      </c>
      <c r="T1666" s="40">
        <f>ROUND('Смета ЕР (общ) '!$N1666*'Смета ЕР (общ) '!$R1666,2)</f>
        <v>0</v>
      </c>
    </row>
    <row r="1667" spans="1:25" ht="14.4" x14ac:dyDescent="0.3">
      <c r="A1667" s="36" t="s">
        <v>1169</v>
      </c>
      <c r="B1667" s="36">
        <v>5</v>
      </c>
      <c r="C1667" s="36"/>
      <c r="D1667" s="36">
        <v>6</v>
      </c>
      <c r="E1667" s="36" t="str">
        <f>CONCATENATE('Смета ЕР (общ) '!$A1667,".",'Смета ЕР (общ) '!$B1667,".",'Смета ЕР (общ) '!$D1667)</f>
        <v>Р9.5.6</v>
      </c>
      <c r="F1667" s="36">
        <f t="shared" si="124"/>
        <v>1</v>
      </c>
      <c r="G1667" s="36"/>
      <c r="H1667" s="36"/>
      <c r="I1667" s="36"/>
      <c r="J1667" s="36"/>
      <c r="K1667" s="36"/>
      <c r="L1667" s="164" t="s">
        <v>1702</v>
      </c>
      <c r="M1667" s="38" t="s">
        <v>118</v>
      </c>
      <c r="N1667" s="39"/>
      <c r="O1667" s="40">
        <v>474.27</v>
      </c>
      <c r="P1667" s="40">
        <f>4516.87*1.05</f>
        <v>4742.7134999999998</v>
      </c>
      <c r="Q1667" s="40">
        <f t="shared" si="127"/>
        <v>474.27</v>
      </c>
      <c r="R1667" s="40">
        <f t="shared" si="127"/>
        <v>4742.71</v>
      </c>
      <c r="S1667" s="40">
        <f>ROUND('Смета ЕР (общ) '!$N1667*'Смета ЕР (общ) '!$Q1667,2)</f>
        <v>0</v>
      </c>
      <c r="T1667" s="40">
        <f>ROUND('Смета ЕР (общ) '!$N1667*'Смета ЕР (общ) '!$R1667,2)</f>
        <v>0</v>
      </c>
    </row>
    <row r="1668" spans="1:25" ht="14.4" x14ac:dyDescent="0.3">
      <c r="A1668" s="36" t="s">
        <v>1169</v>
      </c>
      <c r="B1668" s="36">
        <v>5</v>
      </c>
      <c r="C1668" s="36"/>
      <c r="D1668" s="36">
        <v>7</v>
      </c>
      <c r="E1668" s="36" t="str">
        <f>CONCATENATE('Смета ЕР (общ) '!$A1668,".",'Смета ЕР (общ) '!$B1668,".",'Смета ЕР (общ) '!$D1668)</f>
        <v>Р9.5.7</v>
      </c>
      <c r="F1668" s="36">
        <f t="shared" si="124"/>
        <v>1</v>
      </c>
      <c r="G1668" s="36"/>
      <c r="H1668" s="36"/>
      <c r="I1668" s="36"/>
      <c r="J1668" s="36"/>
      <c r="K1668" s="36"/>
      <c r="L1668" s="164" t="s">
        <v>1703</v>
      </c>
      <c r="M1668" s="38" t="s">
        <v>118</v>
      </c>
      <c r="N1668" s="39"/>
      <c r="O1668" s="40">
        <v>14.45</v>
      </c>
      <c r="P1668" s="40">
        <f>137.65*1.05</f>
        <v>144.5325</v>
      </c>
      <c r="Q1668" s="40">
        <f t="shared" si="127"/>
        <v>14.45</v>
      </c>
      <c r="R1668" s="40">
        <f t="shared" si="127"/>
        <v>144.53</v>
      </c>
      <c r="S1668" s="40">
        <f>ROUND('Смета ЕР (общ) '!$N1668*'Смета ЕР (общ) '!$Q1668,2)</f>
        <v>0</v>
      </c>
      <c r="T1668" s="40">
        <f>ROUND('Смета ЕР (общ) '!$N1668*'Смета ЕР (общ) '!$R1668,2)</f>
        <v>0</v>
      </c>
    </row>
    <row r="1669" spans="1:25" ht="14.4" x14ac:dyDescent="0.3">
      <c r="A1669" s="36" t="s">
        <v>1169</v>
      </c>
      <c r="B1669" s="36">
        <v>5</v>
      </c>
      <c r="C1669" s="36"/>
      <c r="D1669" s="36">
        <v>8</v>
      </c>
      <c r="E1669" s="36" t="str">
        <f>CONCATENATE('Смета ЕР (общ) '!$A1669,".",'Смета ЕР (общ) '!$B1669,".",'Смета ЕР (общ) '!$D1669)</f>
        <v>Р9.5.8</v>
      </c>
      <c r="F1669" s="36">
        <f t="shared" si="124"/>
        <v>1</v>
      </c>
      <c r="G1669" s="36"/>
      <c r="H1669" s="36"/>
      <c r="I1669" s="36"/>
      <c r="J1669" s="36"/>
      <c r="K1669" s="36"/>
      <c r="L1669" s="164" t="s">
        <v>1704</v>
      </c>
      <c r="M1669" s="38" t="s">
        <v>118</v>
      </c>
      <c r="N1669" s="39"/>
      <c r="O1669" s="40">
        <v>17.079999999999998</v>
      </c>
      <c r="P1669" s="40">
        <f>162.7*1.05</f>
        <v>170.83500000000001</v>
      </c>
      <c r="Q1669" s="40">
        <f t="shared" si="127"/>
        <v>17.079999999999998</v>
      </c>
      <c r="R1669" s="40">
        <f t="shared" si="127"/>
        <v>170.84</v>
      </c>
      <c r="S1669" s="40">
        <f>ROUND('Смета ЕР (общ) '!$N1669*'Смета ЕР (общ) '!$Q1669,2)</f>
        <v>0</v>
      </c>
      <c r="T1669" s="40">
        <f>ROUND('Смета ЕР (общ) '!$N1669*'Смета ЕР (общ) '!$R1669,2)</f>
        <v>0</v>
      </c>
    </row>
    <row r="1670" spans="1:25" ht="14.4" x14ac:dyDescent="0.3">
      <c r="A1670" s="36" t="s">
        <v>1169</v>
      </c>
      <c r="B1670" s="36">
        <v>5</v>
      </c>
      <c r="C1670" s="36"/>
      <c r="D1670" s="36">
        <v>9</v>
      </c>
      <c r="E1670" s="36" t="str">
        <f>CONCATENATE('Смета ЕР (общ) '!$A1670,".",'Смета ЕР (общ) '!$B1670,".",'Смета ЕР (общ) '!$D1670)</f>
        <v>Р9.5.9</v>
      </c>
      <c r="F1670" s="36">
        <f t="shared" si="124"/>
        <v>1</v>
      </c>
      <c r="G1670" s="36"/>
      <c r="H1670" s="36"/>
      <c r="I1670" s="36"/>
      <c r="J1670" s="36"/>
      <c r="K1670" s="36"/>
      <c r="L1670" s="164" t="s">
        <v>1705</v>
      </c>
      <c r="M1670" s="38" t="s">
        <v>118</v>
      </c>
      <c r="N1670" s="39"/>
      <c r="O1670" s="40">
        <v>27.98</v>
      </c>
      <c r="P1670" s="40">
        <f>266.5*1.05</f>
        <v>279.82499999999999</v>
      </c>
      <c r="Q1670" s="40">
        <f t="shared" si="127"/>
        <v>27.98</v>
      </c>
      <c r="R1670" s="40">
        <f t="shared" si="127"/>
        <v>279.83</v>
      </c>
      <c r="S1670" s="40">
        <f>ROUND('Смета ЕР (общ) '!$N1670*'Смета ЕР (общ) '!$Q1670,2)</f>
        <v>0</v>
      </c>
      <c r="T1670" s="40">
        <f>ROUND('Смета ЕР (общ) '!$N1670*'Смета ЕР (общ) '!$R1670,2)</f>
        <v>0</v>
      </c>
    </row>
    <row r="1671" spans="1:25" ht="14.4" x14ac:dyDescent="0.3">
      <c r="A1671" s="36" t="s">
        <v>1169</v>
      </c>
      <c r="B1671" s="36">
        <v>5</v>
      </c>
      <c r="C1671" s="36"/>
      <c r="D1671" s="36">
        <v>10</v>
      </c>
      <c r="E1671" s="36" t="str">
        <f>CONCATENATE('Смета ЕР (общ) '!$A1671,".",'Смета ЕР (общ) '!$B1671,".",'Смета ЕР (общ) '!$D1671)</f>
        <v>Р9.5.10</v>
      </c>
      <c r="F1671" s="36">
        <f t="shared" si="124"/>
        <v>1</v>
      </c>
      <c r="G1671" s="36"/>
      <c r="H1671" s="36"/>
      <c r="I1671" s="36"/>
      <c r="J1671" s="36"/>
      <c r="K1671" s="36"/>
      <c r="L1671" s="164" t="s">
        <v>1706</v>
      </c>
      <c r="M1671" s="38" t="s">
        <v>118</v>
      </c>
      <c r="N1671" s="39"/>
      <c r="O1671" s="40">
        <v>48.99</v>
      </c>
      <c r="P1671" s="40">
        <f>466.63*1.05</f>
        <v>489.9615</v>
      </c>
      <c r="Q1671" s="40">
        <f t="shared" si="127"/>
        <v>48.99</v>
      </c>
      <c r="R1671" s="40">
        <f t="shared" si="127"/>
        <v>489.96</v>
      </c>
      <c r="S1671" s="40">
        <f>ROUND('Смета ЕР (общ) '!$N1671*'Смета ЕР (общ) '!$Q1671,2)</f>
        <v>0</v>
      </c>
      <c r="T1671" s="40">
        <f>ROUND('Смета ЕР (общ) '!$N1671*'Смета ЕР (общ) '!$R1671,2)</f>
        <v>0</v>
      </c>
    </row>
    <row r="1672" spans="1:25" ht="14.4" x14ac:dyDescent="0.3">
      <c r="A1672" s="36" t="s">
        <v>1169</v>
      </c>
      <c r="B1672" s="36">
        <v>5</v>
      </c>
      <c r="C1672" s="36"/>
      <c r="D1672" s="36">
        <v>11</v>
      </c>
      <c r="E1672" s="36" t="str">
        <f>CONCATENATE('Смета ЕР (общ) '!$A1672,".",'Смета ЕР (общ) '!$B1672,".",'Смета ЕР (общ) '!$D1672)</f>
        <v>Р9.5.11</v>
      </c>
      <c r="F1672" s="36">
        <f t="shared" si="124"/>
        <v>1</v>
      </c>
      <c r="G1672" s="36"/>
      <c r="H1672" s="36"/>
      <c r="I1672" s="36"/>
      <c r="J1672" s="36"/>
      <c r="K1672" s="36"/>
      <c r="L1672" s="164" t="s">
        <v>1707</v>
      </c>
      <c r="M1672" s="38" t="s">
        <v>118</v>
      </c>
      <c r="N1672" s="39"/>
      <c r="O1672" s="40">
        <v>48.51</v>
      </c>
      <c r="P1672" s="40">
        <f>462*1.05</f>
        <v>485.1</v>
      </c>
      <c r="Q1672" s="40">
        <f t="shared" si="127"/>
        <v>48.51</v>
      </c>
      <c r="R1672" s="40">
        <f t="shared" si="127"/>
        <v>485.1</v>
      </c>
      <c r="S1672" s="40">
        <f>ROUND('Смета ЕР (общ) '!$N1672*'Смета ЕР (общ) '!$Q1672,2)</f>
        <v>0</v>
      </c>
      <c r="T1672" s="40">
        <f>ROUND('Смета ЕР (общ) '!$N1672*'Смета ЕР (общ) '!$R1672,2)</f>
        <v>0</v>
      </c>
    </row>
    <row r="1673" spans="1:25" ht="14.4" x14ac:dyDescent="0.3">
      <c r="A1673" s="36" t="s">
        <v>1169</v>
      </c>
      <c r="B1673" s="36">
        <v>5</v>
      </c>
      <c r="C1673" s="36"/>
      <c r="D1673" s="36">
        <v>12</v>
      </c>
      <c r="E1673" s="36" t="str">
        <f>CONCATENATE('Смета ЕР (общ) '!$A1673,".",'Смета ЕР (общ) '!$B1673,".",'Смета ЕР (общ) '!$D1673)</f>
        <v>Р9.5.12</v>
      </c>
      <c r="F1673" s="36">
        <f t="shared" si="124"/>
        <v>1</v>
      </c>
      <c r="G1673" s="36"/>
      <c r="H1673" s="36"/>
      <c r="I1673" s="36"/>
      <c r="J1673" s="36"/>
      <c r="K1673" s="36"/>
      <c r="L1673" s="164" t="s">
        <v>1708</v>
      </c>
      <c r="M1673" s="38" t="s">
        <v>118</v>
      </c>
      <c r="N1673" s="39"/>
      <c r="O1673" s="40">
        <v>35.299999999999997</v>
      </c>
      <c r="P1673" s="40">
        <f>336.2*1.05</f>
        <v>353.01</v>
      </c>
      <c r="Q1673" s="40">
        <f t="shared" si="127"/>
        <v>35.299999999999997</v>
      </c>
      <c r="R1673" s="40">
        <f t="shared" si="127"/>
        <v>353.01</v>
      </c>
      <c r="S1673" s="40">
        <f>ROUND('Смета ЕР (общ) '!$N1673*'Смета ЕР (общ) '!$Q1673,2)</f>
        <v>0</v>
      </c>
      <c r="T1673" s="40">
        <f>ROUND('Смета ЕР (общ) '!$N1673*'Смета ЕР (общ) '!$R1673,2)</f>
        <v>0</v>
      </c>
    </row>
    <row r="1674" spans="1:25" ht="34.5" customHeight="1" x14ac:dyDescent="0.3">
      <c r="A1674" s="29" t="s">
        <v>1709</v>
      </c>
      <c r="B1674" s="29">
        <v>0</v>
      </c>
      <c r="C1674" s="29"/>
      <c r="D1674" s="29">
        <v>0</v>
      </c>
      <c r="E1674" s="29" t="str">
        <f>CONCATENATE('Смета ЕР (общ) '!$A1674,".",'Смета ЕР (общ) '!$B1674,".",'Смета ЕР (общ) '!$D1674)</f>
        <v>Р10.0.0</v>
      </c>
      <c r="F1674" s="29">
        <f>IF(N1674&gt;0,F1660+1,F1660)</f>
        <v>1</v>
      </c>
      <c r="G1674" s="29"/>
      <c r="H1674" s="29"/>
      <c r="I1674" s="29"/>
      <c r="J1674" s="29"/>
      <c r="K1674" s="29"/>
      <c r="L1674" s="30" t="s">
        <v>1710</v>
      </c>
      <c r="M1674" s="31"/>
      <c r="N1674" s="32">
        <f>S1674</f>
        <v>0</v>
      </c>
      <c r="O1674" s="47"/>
      <c r="P1674" s="47"/>
      <c r="Q1674" s="34"/>
      <c r="R1674" s="34"/>
      <c r="S1674" s="34">
        <f>S1675</f>
        <v>0</v>
      </c>
      <c r="T1674" s="34">
        <f>T1675</f>
        <v>0</v>
      </c>
      <c r="Y1674">
        <v>0</v>
      </c>
    </row>
    <row r="1675" spans="1:25" ht="34.5" customHeight="1" x14ac:dyDescent="0.3">
      <c r="A1675" s="29" t="s">
        <v>1709</v>
      </c>
      <c r="B1675" s="29">
        <v>1</v>
      </c>
      <c r="C1675" s="29"/>
      <c r="D1675" s="29">
        <v>0</v>
      </c>
      <c r="E1675" s="29" t="str">
        <f>CONCATENATE('Смета ЕР (общ) '!$A1675,".",'Смета ЕР (общ) '!$B1675,".",'Смета ЕР (общ) '!$D1675)</f>
        <v>Р10.1.0</v>
      </c>
      <c r="F1675" s="29">
        <f t="shared" si="124"/>
        <v>1</v>
      </c>
      <c r="G1675" s="29"/>
      <c r="H1675" s="29"/>
      <c r="I1675" s="29"/>
      <c r="J1675" s="29"/>
      <c r="K1675" s="29"/>
      <c r="L1675" s="30" t="s">
        <v>1711</v>
      </c>
      <c r="M1675" s="31"/>
      <c r="N1675" s="32">
        <f>S1675</f>
        <v>0</v>
      </c>
      <c r="O1675" s="47"/>
      <c r="P1675" s="47"/>
      <c r="Q1675" s="34"/>
      <c r="R1675" s="34"/>
      <c r="S1675" s="34">
        <f>ROUND(SUM(S1676:S1698),2)</f>
        <v>0</v>
      </c>
      <c r="T1675" s="34">
        <f>ROUND(SUM(T1676:T1698),2)</f>
        <v>0</v>
      </c>
      <c r="U1675" s="35" t="s">
        <v>1712</v>
      </c>
      <c r="Y1675">
        <v>0</v>
      </c>
    </row>
    <row r="1676" spans="1:25" ht="34.5" customHeight="1" x14ac:dyDescent="0.3">
      <c r="A1676" s="95" t="s">
        <v>1709</v>
      </c>
      <c r="B1676" s="95">
        <v>1</v>
      </c>
      <c r="C1676" s="95"/>
      <c r="D1676" s="95">
        <v>1</v>
      </c>
      <c r="E1676" s="95" t="str">
        <f>CONCATENATE('Смета ЕР (общ) '!$A1676,".",'Смета ЕР (общ) '!$B1676,".",'Смета ЕР (общ) '!$D1676)</f>
        <v>Р10.1.1</v>
      </c>
      <c r="F1676" s="95">
        <f t="shared" si="124"/>
        <v>1</v>
      </c>
      <c r="G1676" s="95"/>
      <c r="H1676" s="95"/>
      <c r="I1676" s="95"/>
      <c r="J1676" s="95"/>
      <c r="K1676" s="95"/>
      <c r="L1676" s="96" t="s">
        <v>1713</v>
      </c>
      <c r="M1676" s="38" t="s">
        <v>64</v>
      </c>
      <c r="N1676" s="39"/>
      <c r="O1676" s="40">
        <v>217152</v>
      </c>
      <c r="P1676" s="40">
        <v>0</v>
      </c>
      <c r="Q1676" s="40">
        <f t="shared" ref="Q1676:R1691" si="128">ROUND(O1676-O1676*$V$3,2)</f>
        <v>217152</v>
      </c>
      <c r="R1676" s="40">
        <f t="shared" si="128"/>
        <v>0</v>
      </c>
      <c r="S1676" s="40">
        <f>ROUND('Смета ЕР (общ) '!$N1676*'Смета ЕР (общ) '!$Q1676,2)</f>
        <v>0</v>
      </c>
      <c r="T1676" s="40">
        <f>ROUND('Смета ЕР (общ) '!$N1676*'Смета ЕР (общ) '!$R1676,2)</f>
        <v>0</v>
      </c>
    </row>
    <row r="1677" spans="1:25" ht="34.5" customHeight="1" x14ac:dyDescent="0.3">
      <c r="A1677" s="95" t="s">
        <v>1709</v>
      </c>
      <c r="B1677" s="95">
        <v>1</v>
      </c>
      <c r="C1677" s="95"/>
      <c r="D1677" s="95">
        <v>2</v>
      </c>
      <c r="E1677" s="95" t="str">
        <f>CONCATENATE('Смета ЕР (общ) '!$A1677,".",'Смета ЕР (общ) '!$B1677,".",'Смета ЕР (общ) '!$D1677)</f>
        <v>Р10.1.2</v>
      </c>
      <c r="F1677" s="95">
        <f t="shared" si="124"/>
        <v>1</v>
      </c>
      <c r="G1677" s="95"/>
      <c r="H1677" s="95"/>
      <c r="I1677" s="95"/>
      <c r="J1677" s="95"/>
      <c r="K1677" s="95"/>
      <c r="L1677" s="96" t="s">
        <v>1714</v>
      </c>
      <c r="M1677" s="38" t="s">
        <v>64</v>
      </c>
      <c r="N1677" s="39"/>
      <c r="O1677" s="40">
        <v>162864</v>
      </c>
      <c r="P1677" s="40">
        <v>1070841.8899999999</v>
      </c>
      <c r="Q1677" s="40">
        <f t="shared" si="128"/>
        <v>162864</v>
      </c>
      <c r="R1677" s="40">
        <f t="shared" si="128"/>
        <v>1070841.8899999999</v>
      </c>
      <c r="S1677" s="40">
        <f>ROUND('Смета ЕР (общ) '!$N1677*'Смета ЕР (общ) '!$Q1677,2)</f>
        <v>0</v>
      </c>
      <c r="T1677" s="40">
        <f>ROUND('Смета ЕР (общ) '!$N1677*'Смета ЕР (общ) '!$R1677,2)</f>
        <v>0</v>
      </c>
    </row>
    <row r="1678" spans="1:25" ht="60.75" customHeight="1" x14ac:dyDescent="0.3">
      <c r="A1678" s="36" t="s">
        <v>1709</v>
      </c>
      <c r="B1678" s="36">
        <v>1</v>
      </c>
      <c r="C1678" s="36"/>
      <c r="D1678" s="36">
        <v>3</v>
      </c>
      <c r="E1678" s="36" t="str">
        <f>CONCATENATE('Смета ЕР (общ) '!$A1678,".",'Смета ЕР (общ) '!$B1678,".",'Смета ЕР (общ) '!$D1678)</f>
        <v>Р10.1.3</v>
      </c>
      <c r="F1678" s="36">
        <f t="shared" si="124"/>
        <v>1</v>
      </c>
      <c r="G1678" s="36"/>
      <c r="H1678" s="36"/>
      <c r="I1678" s="36"/>
      <c r="J1678" s="36"/>
      <c r="K1678" s="36"/>
      <c r="L1678" s="37" t="s">
        <v>1715</v>
      </c>
      <c r="M1678" s="38" t="s">
        <v>64</v>
      </c>
      <c r="N1678" s="39"/>
      <c r="O1678" s="40">
        <v>678.6</v>
      </c>
      <c r="P1678" s="40">
        <v>44459.07</v>
      </c>
      <c r="Q1678" s="40">
        <f t="shared" si="128"/>
        <v>678.6</v>
      </c>
      <c r="R1678" s="40">
        <f t="shared" si="128"/>
        <v>44459.07</v>
      </c>
      <c r="S1678" s="40">
        <f>ROUND('Смета ЕР (общ) '!$N1678*'Смета ЕР (общ) '!$Q1678,2)</f>
        <v>0</v>
      </c>
      <c r="T1678" s="40">
        <f>ROUND('Смета ЕР (общ) '!$N1678*'Смета ЕР (общ) '!$R1678,2)</f>
        <v>0</v>
      </c>
    </row>
    <row r="1679" spans="1:25" ht="38.25" customHeight="1" x14ac:dyDescent="0.3">
      <c r="A1679" s="36" t="s">
        <v>1709</v>
      </c>
      <c r="B1679" s="36">
        <v>1</v>
      </c>
      <c r="C1679" s="36"/>
      <c r="D1679" s="36">
        <v>4</v>
      </c>
      <c r="E1679" s="36" t="str">
        <f>CONCATENATE('Смета ЕР (общ) '!$A1679,".",'Смета ЕР (общ) '!$B1679,".",'Смета ЕР (общ) '!$D1679)</f>
        <v>Р10.1.4</v>
      </c>
      <c r="F1679" s="36">
        <f t="shared" si="124"/>
        <v>1</v>
      </c>
      <c r="G1679" s="36"/>
      <c r="H1679" s="36"/>
      <c r="I1679" s="36"/>
      <c r="J1679" s="36"/>
      <c r="K1679" s="36"/>
      <c r="L1679" s="37" t="s">
        <v>1716</v>
      </c>
      <c r="M1679" s="38" t="s">
        <v>64</v>
      </c>
      <c r="N1679" s="39"/>
      <c r="O1679" s="40">
        <v>678.6</v>
      </c>
      <c r="P1679" s="40">
        <v>4700.38</v>
      </c>
      <c r="Q1679" s="40">
        <f t="shared" si="128"/>
        <v>678.6</v>
      </c>
      <c r="R1679" s="40">
        <f t="shared" si="128"/>
        <v>4700.38</v>
      </c>
      <c r="S1679" s="40">
        <f>ROUND('Смета ЕР (общ) '!$N1679*'Смета ЕР (общ) '!$Q1679,2)</f>
        <v>0</v>
      </c>
      <c r="T1679" s="40">
        <f>ROUND('Смета ЕР (общ) '!$N1679*'Смета ЕР (общ) '!$R1679,2)</f>
        <v>0</v>
      </c>
    </row>
    <row r="1680" spans="1:25" ht="26.25" customHeight="1" x14ac:dyDescent="0.3">
      <c r="A1680" s="36" t="s">
        <v>1709</v>
      </c>
      <c r="B1680" s="36">
        <v>1</v>
      </c>
      <c r="C1680" s="36"/>
      <c r="D1680" s="36">
        <v>5</v>
      </c>
      <c r="E1680" s="36" t="str">
        <f>CONCATENATE('Смета ЕР (общ) '!$A1680,".",'Смета ЕР (общ) '!$B1680,".",'Смета ЕР (общ) '!$D1680)</f>
        <v>Р10.1.5</v>
      </c>
      <c r="F1680" s="36">
        <f t="shared" si="124"/>
        <v>1</v>
      </c>
      <c r="G1680" s="36"/>
      <c r="H1680" s="36"/>
      <c r="I1680" s="36"/>
      <c r="J1680" s="36"/>
      <c r="K1680" s="36"/>
      <c r="L1680" s="37" t="s">
        <v>1717</v>
      </c>
      <c r="M1680" s="38" t="s">
        <v>147</v>
      </c>
      <c r="N1680" s="39"/>
      <c r="O1680" s="40">
        <v>393.59</v>
      </c>
      <c r="P1680" s="40">
        <v>1292.77</v>
      </c>
      <c r="Q1680" s="40">
        <f t="shared" si="128"/>
        <v>393.59</v>
      </c>
      <c r="R1680" s="40">
        <f t="shared" si="128"/>
        <v>1292.77</v>
      </c>
      <c r="S1680" s="40">
        <f>ROUND('Смета ЕР (общ) '!$N1680*'Смета ЕР (общ) '!$Q1680,2)</f>
        <v>0</v>
      </c>
      <c r="T1680" s="40">
        <f>ROUND('Смета ЕР (общ) '!$N1680*'Смета ЕР (общ) '!$R1680,2)</f>
        <v>0</v>
      </c>
    </row>
    <row r="1681" spans="1:20" ht="34.5" customHeight="1" x14ac:dyDescent="0.3">
      <c r="A1681" s="36" t="s">
        <v>1709</v>
      </c>
      <c r="B1681" s="36">
        <v>1</v>
      </c>
      <c r="C1681" s="36"/>
      <c r="D1681" s="36">
        <v>6</v>
      </c>
      <c r="E1681" s="36" t="str">
        <f>CONCATENATE('Смета ЕР (общ) '!$A1681,".",'Смета ЕР (общ) '!$B1681,".",'Смета ЕР (общ) '!$D1681)</f>
        <v>Р10.1.6</v>
      </c>
      <c r="F1681" s="36">
        <f t="shared" ref="F1681:F1698" si="129">IF(N1681&gt;0,F1680+1,F1680)</f>
        <v>1</v>
      </c>
      <c r="G1681" s="36"/>
      <c r="H1681" s="36"/>
      <c r="I1681" s="36"/>
      <c r="J1681" s="36"/>
      <c r="K1681" s="36"/>
      <c r="L1681" s="37" t="s">
        <v>1718</v>
      </c>
      <c r="M1681" s="60" t="s">
        <v>118</v>
      </c>
      <c r="N1681" s="39"/>
      <c r="O1681" s="40">
        <v>1413.71</v>
      </c>
      <c r="P1681" s="40">
        <v>23702.880000000001</v>
      </c>
      <c r="Q1681" s="40">
        <f t="shared" si="128"/>
        <v>1413.71</v>
      </c>
      <c r="R1681" s="40">
        <f t="shared" si="128"/>
        <v>23702.880000000001</v>
      </c>
      <c r="S1681" s="40">
        <f>ROUND('Смета ЕР (общ) '!$N1681*'Смета ЕР (общ) '!$Q1681,2)</f>
        <v>0</v>
      </c>
      <c r="T1681" s="40">
        <f>ROUND('Смета ЕР (общ) '!$N1681*'Смета ЕР (общ) '!$R1681,2)</f>
        <v>0</v>
      </c>
    </row>
    <row r="1682" spans="1:20" ht="34.5" customHeight="1" x14ac:dyDescent="0.3">
      <c r="A1682" s="36" t="s">
        <v>1709</v>
      </c>
      <c r="B1682" s="36">
        <v>1</v>
      </c>
      <c r="C1682" s="36"/>
      <c r="D1682" s="36">
        <v>7</v>
      </c>
      <c r="E1682" s="36" t="str">
        <f>CONCATENATE('Смета ЕР (общ) '!$A1682,".",'Смета ЕР (общ) '!$B1682,".",'Смета ЕР (общ) '!$D1682)</f>
        <v>Р10.1.7</v>
      </c>
      <c r="F1682" s="36">
        <f t="shared" si="129"/>
        <v>1</v>
      </c>
      <c r="G1682" s="36"/>
      <c r="H1682" s="36"/>
      <c r="I1682" s="36"/>
      <c r="J1682" s="36"/>
      <c r="K1682" s="36"/>
      <c r="L1682" s="37" t="s">
        <v>1719</v>
      </c>
      <c r="M1682" s="60" t="s">
        <v>118</v>
      </c>
      <c r="N1682" s="39"/>
      <c r="O1682" s="40">
        <v>1414.58</v>
      </c>
      <c r="P1682" s="40">
        <v>30130.62</v>
      </c>
      <c r="Q1682" s="40">
        <f t="shared" si="128"/>
        <v>1414.58</v>
      </c>
      <c r="R1682" s="40">
        <f t="shared" si="128"/>
        <v>30130.62</v>
      </c>
      <c r="S1682" s="40">
        <f>ROUND('Смета ЕР (общ) '!$N1682*'Смета ЕР (общ) '!$Q1682,2)</f>
        <v>0</v>
      </c>
      <c r="T1682" s="40">
        <f>ROUND('Смета ЕР (общ) '!$N1682*'Смета ЕР (общ) '!$R1682,2)</f>
        <v>0</v>
      </c>
    </row>
    <row r="1683" spans="1:20" ht="34.5" customHeight="1" x14ac:dyDescent="0.3">
      <c r="A1683" s="36" t="s">
        <v>1709</v>
      </c>
      <c r="B1683" s="36">
        <v>1</v>
      </c>
      <c r="C1683" s="36"/>
      <c r="D1683" s="36">
        <v>8</v>
      </c>
      <c r="E1683" s="36" t="str">
        <f>CONCATENATE('Смета ЕР (общ) '!$A1683,".",'Смета ЕР (общ) '!$B1683,".",'Смета ЕР (общ) '!$D1683)</f>
        <v>Р10.1.8</v>
      </c>
      <c r="F1683" s="36">
        <f t="shared" si="129"/>
        <v>1</v>
      </c>
      <c r="G1683" s="36"/>
      <c r="H1683" s="36"/>
      <c r="I1683" s="36"/>
      <c r="J1683" s="36"/>
      <c r="K1683" s="36"/>
      <c r="L1683" s="37" t="s">
        <v>1720</v>
      </c>
      <c r="M1683" s="60" t="s">
        <v>118</v>
      </c>
      <c r="N1683" s="39"/>
      <c r="O1683" s="40">
        <v>1415.45</v>
      </c>
      <c r="P1683" s="40">
        <v>39550.85</v>
      </c>
      <c r="Q1683" s="40">
        <f t="shared" si="128"/>
        <v>1415.45</v>
      </c>
      <c r="R1683" s="40">
        <f t="shared" si="128"/>
        <v>39550.85</v>
      </c>
      <c r="S1683" s="40">
        <f>ROUND('Смета ЕР (общ) '!$N1683*'Смета ЕР (общ) '!$Q1683,2)</f>
        <v>0</v>
      </c>
      <c r="T1683" s="40">
        <f>ROUND('Смета ЕР (общ) '!$N1683*'Смета ЕР (общ) '!$R1683,2)</f>
        <v>0</v>
      </c>
    </row>
    <row r="1684" spans="1:20" ht="34.5" customHeight="1" x14ac:dyDescent="0.3">
      <c r="A1684" s="36" t="s">
        <v>1709</v>
      </c>
      <c r="B1684" s="36">
        <v>1</v>
      </c>
      <c r="C1684" s="36"/>
      <c r="D1684" s="36">
        <v>9</v>
      </c>
      <c r="E1684" s="36" t="str">
        <f>CONCATENATE('Смета ЕР (общ) '!$A1684,".",'Смета ЕР (общ) '!$B1684,".",'Смета ЕР (общ) '!$D1684)</f>
        <v>Р10.1.9</v>
      </c>
      <c r="F1684" s="36">
        <f t="shared" si="129"/>
        <v>1</v>
      </c>
      <c r="G1684" s="36"/>
      <c r="H1684" s="36"/>
      <c r="I1684" s="36"/>
      <c r="J1684" s="36"/>
      <c r="K1684" s="36"/>
      <c r="L1684" s="37" t="s">
        <v>1721</v>
      </c>
      <c r="M1684" s="60" t="s">
        <v>118</v>
      </c>
      <c r="N1684" s="39"/>
      <c r="O1684" s="40">
        <v>1416.32</v>
      </c>
      <c r="P1684" s="40">
        <v>56507.03</v>
      </c>
      <c r="Q1684" s="40">
        <f t="shared" si="128"/>
        <v>1416.32</v>
      </c>
      <c r="R1684" s="40">
        <f t="shared" si="128"/>
        <v>56507.03</v>
      </c>
      <c r="S1684" s="40">
        <f>ROUND('Смета ЕР (общ) '!$N1684*'Смета ЕР (общ) '!$Q1684,2)</f>
        <v>0</v>
      </c>
      <c r="T1684" s="40">
        <f>ROUND('Смета ЕР (общ) '!$N1684*'Смета ЕР (общ) '!$R1684,2)</f>
        <v>0</v>
      </c>
    </row>
    <row r="1685" spans="1:20" ht="34.5" customHeight="1" x14ac:dyDescent="0.3">
      <c r="A1685" s="36" t="s">
        <v>1709</v>
      </c>
      <c r="B1685" s="36">
        <v>1</v>
      </c>
      <c r="C1685" s="36"/>
      <c r="D1685" s="36">
        <v>10</v>
      </c>
      <c r="E1685" s="36" t="str">
        <f>CONCATENATE('Смета ЕР (общ) '!$A1685,".",'Смета ЕР (общ) '!$B1685,".",'Смета ЕР (общ) '!$D1685)</f>
        <v>Р10.1.10</v>
      </c>
      <c r="F1685" s="36">
        <f t="shared" si="129"/>
        <v>1</v>
      </c>
      <c r="G1685" s="36"/>
      <c r="H1685" s="36"/>
      <c r="I1685" s="36"/>
      <c r="J1685" s="36"/>
      <c r="K1685" s="36"/>
      <c r="L1685" s="37" t="s">
        <v>1722</v>
      </c>
      <c r="M1685" s="60" t="s">
        <v>118</v>
      </c>
      <c r="N1685" s="39"/>
      <c r="O1685" s="40">
        <v>1417.19</v>
      </c>
      <c r="P1685" s="40">
        <v>72157.89</v>
      </c>
      <c r="Q1685" s="40">
        <f t="shared" si="128"/>
        <v>1417.19</v>
      </c>
      <c r="R1685" s="40">
        <f t="shared" si="128"/>
        <v>72157.89</v>
      </c>
      <c r="S1685" s="40">
        <f>ROUND('Смета ЕР (общ) '!$N1685*'Смета ЕР (общ) '!$Q1685,2)</f>
        <v>0</v>
      </c>
      <c r="T1685" s="40">
        <f>ROUND('Смета ЕР (общ) '!$N1685*'Смета ЕР (общ) '!$R1685,2)</f>
        <v>0</v>
      </c>
    </row>
    <row r="1686" spans="1:20" ht="34.5" customHeight="1" x14ac:dyDescent="0.3">
      <c r="A1686" s="36" t="s">
        <v>1709</v>
      </c>
      <c r="B1686" s="36">
        <v>1</v>
      </c>
      <c r="C1686" s="36"/>
      <c r="D1686" s="36">
        <v>12</v>
      </c>
      <c r="E1686" s="36" t="str">
        <f>CONCATENATE('Смета ЕР (общ) '!$A1686,".",'Смета ЕР (общ) '!$B1686,".",'Смета ЕР (общ) '!$D1686)</f>
        <v>Р10.1.12</v>
      </c>
      <c r="F1686" s="36">
        <f t="shared" si="129"/>
        <v>1</v>
      </c>
      <c r="G1686" s="36"/>
      <c r="H1686" s="36"/>
      <c r="I1686" s="36"/>
      <c r="J1686" s="36"/>
      <c r="K1686" s="36"/>
      <c r="L1686" s="37" t="s">
        <v>1723</v>
      </c>
      <c r="M1686" s="38" t="s">
        <v>118</v>
      </c>
      <c r="N1686" s="39"/>
      <c r="O1686" s="40">
        <v>271.44</v>
      </c>
      <c r="P1686" s="40">
        <v>401.46</v>
      </c>
      <c r="Q1686" s="40">
        <f t="shared" si="128"/>
        <v>271.44</v>
      </c>
      <c r="R1686" s="40">
        <f t="shared" si="128"/>
        <v>401.46</v>
      </c>
      <c r="S1686" s="40">
        <f>ROUND('Смета ЕР (общ) '!$N1686*'Смета ЕР (общ) '!$Q1686,2)</f>
        <v>0</v>
      </c>
      <c r="T1686" s="40">
        <f>ROUND('Смета ЕР (общ) '!$N1686*'Смета ЕР (общ) '!$R1686,2)</f>
        <v>0</v>
      </c>
    </row>
    <row r="1687" spans="1:20" ht="34.5" customHeight="1" x14ac:dyDescent="0.3">
      <c r="A1687" s="36" t="s">
        <v>1709</v>
      </c>
      <c r="B1687" s="36">
        <v>1</v>
      </c>
      <c r="C1687" s="36"/>
      <c r="D1687" s="36">
        <v>13</v>
      </c>
      <c r="E1687" s="36" t="str">
        <f>CONCATENATE('Смета ЕР (общ) '!$A1687,".",'Смета ЕР (общ) '!$B1687,".",'Смета ЕР (общ) '!$D1687)</f>
        <v>Р10.1.13</v>
      </c>
      <c r="F1687" s="36">
        <f t="shared" si="129"/>
        <v>1</v>
      </c>
      <c r="G1687" s="36"/>
      <c r="H1687" s="36"/>
      <c r="I1687" s="36"/>
      <c r="J1687" s="36"/>
      <c r="K1687" s="36"/>
      <c r="L1687" s="37" t="s">
        <v>1724</v>
      </c>
      <c r="M1687" s="38" t="s">
        <v>118</v>
      </c>
      <c r="N1687" s="39"/>
      <c r="O1687" s="40">
        <v>271.44</v>
      </c>
      <c r="P1687" s="40">
        <v>403.81</v>
      </c>
      <c r="Q1687" s="40">
        <f t="shared" si="128"/>
        <v>271.44</v>
      </c>
      <c r="R1687" s="40">
        <f t="shared" si="128"/>
        <v>403.81</v>
      </c>
      <c r="S1687" s="40">
        <f>ROUND('Смета ЕР (общ) '!$N1687*'Смета ЕР (общ) '!$Q1687,2)</f>
        <v>0</v>
      </c>
      <c r="T1687" s="40">
        <f>ROUND('Смета ЕР (общ) '!$N1687*'Смета ЕР (общ) '!$R1687,2)</f>
        <v>0</v>
      </c>
    </row>
    <row r="1688" spans="1:20" ht="34.5" customHeight="1" x14ac:dyDescent="0.3">
      <c r="A1688" s="36" t="s">
        <v>1709</v>
      </c>
      <c r="B1688" s="36">
        <v>1</v>
      </c>
      <c r="C1688" s="36"/>
      <c r="D1688" s="36">
        <v>14</v>
      </c>
      <c r="E1688" s="36" t="str">
        <f>CONCATENATE('Смета ЕР (общ) '!$A1688,".",'Смета ЕР (общ) '!$B1688,".",'Смета ЕР (общ) '!$D1688)</f>
        <v>Р10.1.14</v>
      </c>
      <c r="F1688" s="36">
        <f t="shared" si="129"/>
        <v>1</v>
      </c>
      <c r="G1688" s="36"/>
      <c r="H1688" s="36"/>
      <c r="I1688" s="36"/>
      <c r="J1688" s="36"/>
      <c r="K1688" s="36"/>
      <c r="L1688" s="37" t="s">
        <v>1725</v>
      </c>
      <c r="M1688" s="38" t="s">
        <v>118</v>
      </c>
      <c r="N1688" s="39"/>
      <c r="O1688" s="40">
        <v>271.44</v>
      </c>
      <c r="P1688" s="40">
        <v>401.31</v>
      </c>
      <c r="Q1688" s="40">
        <f t="shared" si="128"/>
        <v>271.44</v>
      </c>
      <c r="R1688" s="40">
        <f t="shared" si="128"/>
        <v>401.31</v>
      </c>
      <c r="S1688" s="40">
        <f>ROUND('Смета ЕР (общ) '!$N1688*'Смета ЕР (общ) '!$Q1688,2)</f>
        <v>0</v>
      </c>
      <c r="T1688" s="40">
        <f>ROUND('Смета ЕР (общ) '!$N1688*'Смета ЕР (общ) '!$R1688,2)</f>
        <v>0</v>
      </c>
    </row>
    <row r="1689" spans="1:20" ht="34.5" customHeight="1" x14ac:dyDescent="0.3">
      <c r="A1689" s="36" t="s">
        <v>1709</v>
      </c>
      <c r="B1689" s="36">
        <v>1</v>
      </c>
      <c r="C1689" s="36"/>
      <c r="D1689" s="36">
        <v>15</v>
      </c>
      <c r="E1689" s="36" t="str">
        <f>CONCATENATE('Смета ЕР (общ) '!$A1689,".",'Смета ЕР (общ) '!$B1689,".",'Смета ЕР (общ) '!$D1689)</f>
        <v>Р10.1.15</v>
      </c>
      <c r="F1689" s="36">
        <f t="shared" si="129"/>
        <v>1</v>
      </c>
      <c r="G1689" s="36"/>
      <c r="H1689" s="36"/>
      <c r="I1689" s="36"/>
      <c r="J1689" s="36"/>
      <c r="K1689" s="36"/>
      <c r="L1689" s="37" t="s">
        <v>1726</v>
      </c>
      <c r="M1689" s="38" t="s">
        <v>118</v>
      </c>
      <c r="N1689" s="39"/>
      <c r="O1689" s="40">
        <v>271.44</v>
      </c>
      <c r="P1689" s="40">
        <v>395.1</v>
      </c>
      <c r="Q1689" s="40">
        <f t="shared" si="128"/>
        <v>271.44</v>
      </c>
      <c r="R1689" s="40">
        <f t="shared" si="128"/>
        <v>395.1</v>
      </c>
      <c r="S1689" s="40">
        <f>ROUND('Смета ЕР (общ) '!$N1689*'Смета ЕР (общ) '!$Q1689,2)</f>
        <v>0</v>
      </c>
      <c r="T1689" s="40">
        <f>ROUND('Смета ЕР (общ) '!$N1689*'Смета ЕР (общ) '!$R1689,2)</f>
        <v>0</v>
      </c>
    </row>
    <row r="1690" spans="1:20" ht="34.5" customHeight="1" x14ac:dyDescent="0.3">
      <c r="A1690" s="36" t="s">
        <v>1709</v>
      </c>
      <c r="B1690" s="36">
        <v>1</v>
      </c>
      <c r="C1690" s="36"/>
      <c r="D1690" s="36">
        <v>16</v>
      </c>
      <c r="E1690" s="36" t="str">
        <f>CONCATENATE('Смета ЕР (общ) '!$A1690,".",'Смета ЕР (общ) '!$B1690,".",'Смета ЕР (общ) '!$D1690)</f>
        <v>Р10.1.16</v>
      </c>
      <c r="F1690" s="36">
        <f t="shared" si="129"/>
        <v>1</v>
      </c>
      <c r="G1690" s="36"/>
      <c r="H1690" s="36"/>
      <c r="I1690" s="36"/>
      <c r="J1690" s="36"/>
      <c r="K1690" s="36"/>
      <c r="L1690" s="37" t="s">
        <v>1727</v>
      </c>
      <c r="M1690" s="38" t="s">
        <v>118</v>
      </c>
      <c r="N1690" s="39"/>
      <c r="O1690" s="40">
        <v>271.44</v>
      </c>
      <c r="P1690" s="40">
        <v>394.86</v>
      </c>
      <c r="Q1690" s="40">
        <f t="shared" si="128"/>
        <v>271.44</v>
      </c>
      <c r="R1690" s="40">
        <f t="shared" si="128"/>
        <v>394.86</v>
      </c>
      <c r="S1690" s="40">
        <f>ROUND('Смета ЕР (общ) '!$N1690*'Смета ЕР (общ) '!$Q1690,2)</f>
        <v>0</v>
      </c>
      <c r="T1690" s="40">
        <f>ROUND('Смета ЕР (общ) '!$N1690*'Смета ЕР (общ) '!$R1690,2)</f>
        <v>0</v>
      </c>
    </row>
    <row r="1691" spans="1:20" ht="34.5" customHeight="1" x14ac:dyDescent="0.3">
      <c r="A1691" s="36" t="s">
        <v>1709</v>
      </c>
      <c r="B1691" s="36">
        <v>1</v>
      </c>
      <c r="C1691" s="36"/>
      <c r="D1691" s="36">
        <v>17</v>
      </c>
      <c r="E1691" s="36" t="str">
        <f>CONCATENATE('Смета ЕР (общ) '!$A1691,".",'Смета ЕР (общ) '!$B1691,".",'Смета ЕР (общ) '!$D1691)</f>
        <v>Р10.1.17</v>
      </c>
      <c r="F1691" s="36">
        <f t="shared" si="129"/>
        <v>1</v>
      </c>
      <c r="G1691" s="36"/>
      <c r="H1691" s="36"/>
      <c r="I1691" s="36"/>
      <c r="J1691" s="36"/>
      <c r="K1691" s="36"/>
      <c r="L1691" s="37" t="s">
        <v>1728</v>
      </c>
      <c r="M1691" s="38" t="s">
        <v>118</v>
      </c>
      <c r="N1691" s="39"/>
      <c r="O1691" s="40">
        <v>271.44</v>
      </c>
      <c r="P1691" s="40">
        <v>404.7</v>
      </c>
      <c r="Q1691" s="40">
        <f t="shared" si="128"/>
        <v>271.44</v>
      </c>
      <c r="R1691" s="40">
        <f t="shared" si="128"/>
        <v>404.7</v>
      </c>
      <c r="S1691" s="40">
        <f>ROUND('Смета ЕР (общ) '!$N1691*'Смета ЕР (общ) '!$Q1691,2)</f>
        <v>0</v>
      </c>
      <c r="T1691" s="40">
        <f>ROUND('Смета ЕР (общ) '!$N1691*'Смета ЕР (общ) '!$R1691,2)</f>
        <v>0</v>
      </c>
    </row>
    <row r="1692" spans="1:20" ht="34.5" customHeight="1" x14ac:dyDescent="0.3">
      <c r="A1692" s="36" t="s">
        <v>1709</v>
      </c>
      <c r="B1692" s="36">
        <v>1</v>
      </c>
      <c r="C1692" s="36"/>
      <c r="D1692" s="36">
        <v>18</v>
      </c>
      <c r="E1692" s="36" t="str">
        <f>CONCATENATE('Смета ЕР (общ) '!$A1692,".",'Смета ЕР (общ) '!$B1692,".",'Смета ЕР (общ) '!$D1692)</f>
        <v>Р10.1.18</v>
      </c>
      <c r="F1692" s="36">
        <f t="shared" si="129"/>
        <v>1</v>
      </c>
      <c r="G1692" s="36"/>
      <c r="H1692" s="36"/>
      <c r="I1692" s="36"/>
      <c r="J1692" s="36"/>
      <c r="K1692" s="36"/>
      <c r="L1692" s="37" t="s">
        <v>1729</v>
      </c>
      <c r="M1692" s="38" t="s">
        <v>118</v>
      </c>
      <c r="N1692" s="39"/>
      <c r="O1692" s="40">
        <v>271.44</v>
      </c>
      <c r="P1692" s="40">
        <v>397</v>
      </c>
      <c r="Q1692" s="40">
        <f t="shared" ref="Q1692:R1704" si="130">ROUND(O1692-O1692*$V$3,2)</f>
        <v>271.44</v>
      </c>
      <c r="R1692" s="40">
        <f t="shared" si="130"/>
        <v>397</v>
      </c>
      <c r="S1692" s="40">
        <f>ROUND('Смета ЕР (общ) '!$N1692*'Смета ЕР (общ) '!$Q1692,2)</f>
        <v>0</v>
      </c>
      <c r="T1692" s="40">
        <f>ROUND('Смета ЕР (общ) '!$N1692*'Смета ЕР (общ) '!$R1692,2)</f>
        <v>0</v>
      </c>
    </row>
    <row r="1693" spans="1:20" ht="34.5" customHeight="1" x14ac:dyDescent="0.3">
      <c r="A1693" s="36" t="s">
        <v>1709</v>
      </c>
      <c r="B1693" s="36">
        <v>1</v>
      </c>
      <c r="C1693" s="36"/>
      <c r="D1693" s="36">
        <v>19</v>
      </c>
      <c r="E1693" s="36" t="str">
        <f>CONCATENATE('Смета ЕР (общ) '!$A1693,".",'Смета ЕР (общ) '!$B1693,".",'Смета ЕР (общ) '!$D1693)</f>
        <v>Р10.1.19</v>
      </c>
      <c r="F1693" s="36">
        <f t="shared" si="129"/>
        <v>1</v>
      </c>
      <c r="G1693" s="36"/>
      <c r="H1693" s="36"/>
      <c r="I1693" s="36"/>
      <c r="J1693" s="36"/>
      <c r="K1693" s="36"/>
      <c r="L1693" s="37" t="s">
        <v>1730</v>
      </c>
      <c r="M1693" s="38" t="s">
        <v>118</v>
      </c>
      <c r="N1693" s="39"/>
      <c r="O1693" s="40">
        <v>271.44</v>
      </c>
      <c r="P1693" s="40">
        <v>2409.71</v>
      </c>
      <c r="Q1693" s="40">
        <f t="shared" si="130"/>
        <v>271.44</v>
      </c>
      <c r="R1693" s="40">
        <f t="shared" si="130"/>
        <v>2409.71</v>
      </c>
      <c r="S1693" s="40">
        <f>ROUND('Смета ЕР (общ) '!$N1693*'Смета ЕР (общ) '!$Q1693,2)</f>
        <v>0</v>
      </c>
      <c r="T1693" s="40">
        <f>ROUND('Смета ЕР (общ) '!$N1693*'Смета ЕР (общ) '!$R1693,2)</f>
        <v>0</v>
      </c>
    </row>
    <row r="1694" spans="1:20" ht="34.5" customHeight="1" x14ac:dyDescent="0.3">
      <c r="A1694" s="36" t="s">
        <v>1709</v>
      </c>
      <c r="B1694" s="36">
        <v>1</v>
      </c>
      <c r="C1694" s="36"/>
      <c r="D1694" s="36">
        <v>20</v>
      </c>
      <c r="E1694" s="36" t="str">
        <f>CONCATENATE('Смета ЕР (общ) '!$A1694,".",'Смета ЕР (общ) '!$B1694,".",'Смета ЕР (общ) '!$D1694)</f>
        <v>Р10.1.20</v>
      </c>
      <c r="F1694" s="36">
        <f t="shared" si="129"/>
        <v>1</v>
      </c>
      <c r="G1694" s="36"/>
      <c r="H1694" s="36"/>
      <c r="I1694" s="36"/>
      <c r="J1694" s="36"/>
      <c r="K1694" s="36"/>
      <c r="L1694" s="37" t="s">
        <v>1731</v>
      </c>
      <c r="M1694" s="38" t="s">
        <v>118</v>
      </c>
      <c r="N1694" s="39"/>
      <c r="O1694" s="40">
        <v>271.44</v>
      </c>
      <c r="P1694" s="40">
        <v>2387.1</v>
      </c>
      <c r="Q1694" s="40">
        <f t="shared" si="130"/>
        <v>271.44</v>
      </c>
      <c r="R1694" s="40">
        <f t="shared" si="130"/>
        <v>2387.1</v>
      </c>
      <c r="S1694" s="40">
        <f>ROUND('Смета ЕР (общ) '!$N1694*'Смета ЕР (общ) '!$Q1694,2)</f>
        <v>0</v>
      </c>
      <c r="T1694" s="40">
        <f>ROUND('Смета ЕР (общ) '!$N1694*'Смета ЕР (общ) '!$R1694,2)</f>
        <v>0</v>
      </c>
    </row>
    <row r="1695" spans="1:20" ht="34.5" customHeight="1" x14ac:dyDescent="0.3">
      <c r="A1695" s="36" t="s">
        <v>1709</v>
      </c>
      <c r="B1695" s="36">
        <v>1</v>
      </c>
      <c r="C1695" s="36"/>
      <c r="D1695" s="36">
        <v>21</v>
      </c>
      <c r="E1695" s="36" t="str">
        <f>CONCATENATE('Смета ЕР (общ) '!$A1695,".",'Смета ЕР (общ) '!$B1695,".",'Смета ЕР (общ) '!$D1695)</f>
        <v>Р10.1.21</v>
      </c>
      <c r="F1695" s="36">
        <f t="shared" si="129"/>
        <v>1</v>
      </c>
      <c r="G1695" s="36"/>
      <c r="H1695" s="36"/>
      <c r="I1695" s="36"/>
      <c r="J1695" s="36"/>
      <c r="K1695" s="36"/>
      <c r="L1695" s="37" t="s">
        <v>1732</v>
      </c>
      <c r="M1695" s="38" t="s">
        <v>118</v>
      </c>
      <c r="N1695" s="39"/>
      <c r="O1695" s="40">
        <v>271.44</v>
      </c>
      <c r="P1695" s="40">
        <v>2383.2800000000002</v>
      </c>
      <c r="Q1695" s="40">
        <f t="shared" si="130"/>
        <v>271.44</v>
      </c>
      <c r="R1695" s="40">
        <f t="shared" si="130"/>
        <v>2383.2800000000002</v>
      </c>
      <c r="S1695" s="40">
        <f>ROUND('Смета ЕР (общ) '!$N1695*'Смета ЕР (общ) '!$Q1695,2)</f>
        <v>0</v>
      </c>
      <c r="T1695" s="40">
        <f>ROUND('Смета ЕР (общ) '!$N1695*'Смета ЕР (общ) '!$R1695,2)</f>
        <v>0</v>
      </c>
    </row>
    <row r="1696" spans="1:20" ht="34.5" customHeight="1" x14ac:dyDescent="0.3">
      <c r="A1696" s="36" t="s">
        <v>1709</v>
      </c>
      <c r="B1696" s="36">
        <v>1</v>
      </c>
      <c r="C1696" s="36"/>
      <c r="D1696" s="36">
        <v>22</v>
      </c>
      <c r="E1696" s="36" t="str">
        <f>CONCATENATE('Смета ЕР (общ) '!$A1696,".",'Смета ЕР (общ) '!$B1696,".",'Смета ЕР (общ) '!$D1696)</f>
        <v>Р10.1.22</v>
      </c>
      <c r="F1696" s="36">
        <f t="shared" si="129"/>
        <v>1</v>
      </c>
      <c r="G1696" s="36"/>
      <c r="H1696" s="36"/>
      <c r="I1696" s="36"/>
      <c r="J1696" s="36"/>
      <c r="K1696" s="36"/>
      <c r="L1696" s="37" t="s">
        <v>1733</v>
      </c>
      <c r="M1696" s="38" t="s">
        <v>118</v>
      </c>
      <c r="N1696" s="39"/>
      <c r="O1696" s="40">
        <v>271.44</v>
      </c>
      <c r="P1696" s="40">
        <v>2441.71</v>
      </c>
      <c r="Q1696" s="40">
        <f t="shared" si="130"/>
        <v>271.44</v>
      </c>
      <c r="R1696" s="40">
        <f t="shared" si="130"/>
        <v>2441.71</v>
      </c>
      <c r="S1696" s="40">
        <f>ROUND('Смета ЕР (общ) '!$N1696*'Смета ЕР (общ) '!$Q1696,2)</f>
        <v>0</v>
      </c>
      <c r="T1696" s="40">
        <f>ROUND('Смета ЕР (общ) '!$N1696*'Смета ЕР (общ) '!$R1696,2)</f>
        <v>0</v>
      </c>
    </row>
    <row r="1697" spans="1:25" ht="34.5" customHeight="1" x14ac:dyDescent="0.3">
      <c r="A1697" s="36" t="s">
        <v>1709</v>
      </c>
      <c r="B1697" s="36">
        <v>1</v>
      </c>
      <c r="C1697" s="36"/>
      <c r="D1697" s="36">
        <v>23</v>
      </c>
      <c r="E1697" s="36" t="str">
        <f>CONCATENATE('Смета ЕР (общ) '!$A1697,".",'Смета ЕР (общ) '!$B1697,".",'Смета ЕР (общ) '!$D1697)</f>
        <v>Р10.1.23</v>
      </c>
      <c r="F1697" s="36">
        <f t="shared" si="129"/>
        <v>1</v>
      </c>
      <c r="G1697" s="36"/>
      <c r="H1697" s="36"/>
      <c r="I1697" s="36"/>
      <c r="J1697" s="36"/>
      <c r="K1697" s="36"/>
      <c r="L1697" s="37" t="s">
        <v>1734</v>
      </c>
      <c r="M1697" s="38" t="s">
        <v>118</v>
      </c>
      <c r="N1697" s="39"/>
      <c r="O1697" s="40">
        <v>271.44</v>
      </c>
      <c r="P1697" s="40">
        <v>2449.9299999999998</v>
      </c>
      <c r="Q1697" s="40">
        <f t="shared" si="130"/>
        <v>271.44</v>
      </c>
      <c r="R1697" s="40">
        <f t="shared" si="130"/>
        <v>2449.9299999999998</v>
      </c>
      <c r="S1697" s="40">
        <f>ROUND('Смета ЕР (общ) '!$N1697*'Смета ЕР (общ) '!$Q1697,2)</f>
        <v>0</v>
      </c>
      <c r="T1697" s="40">
        <f>ROUND('Смета ЕР (общ) '!$N1697*'Смета ЕР (общ) '!$R1697,2)</f>
        <v>0</v>
      </c>
    </row>
    <row r="1698" spans="1:25" ht="1.2" customHeight="1" x14ac:dyDescent="0.3">
      <c r="A1698" s="36" t="s">
        <v>1709</v>
      </c>
      <c r="B1698" s="36">
        <v>1</v>
      </c>
      <c r="C1698" s="36"/>
      <c r="D1698" s="36">
        <v>24</v>
      </c>
      <c r="E1698" s="36" t="str">
        <f>CONCATENATE('Смета ЕР (общ) '!$A1698,".",'Смета ЕР (общ) '!$B1698,".",'Смета ЕР (общ) '!$D1698)</f>
        <v>Р10.1.24</v>
      </c>
      <c r="F1698" s="36">
        <f t="shared" si="129"/>
        <v>1</v>
      </c>
      <c r="G1698" s="36"/>
      <c r="H1698" s="36"/>
      <c r="I1698" s="36"/>
      <c r="J1698" s="36"/>
      <c r="K1698" s="36"/>
      <c r="L1698" s="37" t="s">
        <v>1735</v>
      </c>
      <c r="M1698" s="38" t="s">
        <v>118</v>
      </c>
      <c r="N1698" s="39"/>
      <c r="O1698" s="40">
        <v>271.44</v>
      </c>
      <c r="P1698" s="40">
        <v>2453.48</v>
      </c>
      <c r="Q1698" s="40">
        <f t="shared" si="130"/>
        <v>271.44</v>
      </c>
      <c r="R1698" s="40">
        <f t="shared" si="130"/>
        <v>2453.48</v>
      </c>
      <c r="S1698" s="40">
        <f>ROUND('Смета ЕР (общ) '!$N1698*'Смета ЕР (общ) '!$Q1698,2)</f>
        <v>0</v>
      </c>
      <c r="T1698" s="40">
        <f>ROUND('Смета ЕР (общ) '!$N1698*'Смета ЕР (общ) '!$R1698,2)</f>
        <v>0</v>
      </c>
    </row>
    <row r="1699" spans="1:25" ht="18" customHeight="1" x14ac:dyDescent="0.3">
      <c r="A1699" s="167"/>
      <c r="B1699" s="167"/>
      <c r="C1699" s="167"/>
      <c r="D1699" s="167">
        <v>0</v>
      </c>
      <c r="E1699" s="167"/>
      <c r="F1699" s="167"/>
      <c r="G1699" s="167"/>
      <c r="H1699" s="167"/>
      <c r="I1699" s="167"/>
      <c r="J1699" s="167"/>
      <c r="K1699" s="167"/>
      <c r="L1699" s="168" t="s">
        <v>1736</v>
      </c>
      <c r="M1699" s="169" t="s">
        <v>1737</v>
      </c>
      <c r="N1699" s="170">
        <v>1</v>
      </c>
      <c r="O1699" s="171"/>
      <c r="P1699" s="172"/>
      <c r="Q1699" s="173"/>
      <c r="R1699" s="173"/>
      <c r="S1699" s="174">
        <f>ROUND(S15+S109+S253+S586+S652+S764+S892+S1001+S1090+S1674,2)</f>
        <v>0</v>
      </c>
      <c r="T1699" s="174"/>
      <c r="Y1699">
        <v>1</v>
      </c>
    </row>
    <row r="1700" spans="1:25" ht="18" customHeight="1" x14ac:dyDescent="0.3">
      <c r="A1700" s="175"/>
      <c r="B1700" s="175"/>
      <c r="C1700" s="175"/>
      <c r="D1700" s="175">
        <v>0</v>
      </c>
      <c r="E1700" s="175"/>
      <c r="F1700" s="175"/>
      <c r="G1700" s="175"/>
      <c r="H1700" s="175"/>
      <c r="I1700" s="175"/>
      <c r="J1700" s="175"/>
      <c r="K1700" s="175"/>
      <c r="L1700" s="176" t="s">
        <v>1738</v>
      </c>
      <c r="M1700" s="177" t="s">
        <v>1737</v>
      </c>
      <c r="N1700" s="178">
        <v>1</v>
      </c>
      <c r="O1700" s="171"/>
      <c r="P1700" s="172"/>
      <c r="Q1700" s="179"/>
      <c r="R1700" s="179"/>
      <c r="S1700" s="180">
        <f>ROUND(T15+T109+T253+T586+T652+T764+T892+T1001+T1090+T1674,2)</f>
        <v>0</v>
      </c>
      <c r="T1700" s="180"/>
      <c r="Y1700">
        <v>1</v>
      </c>
    </row>
    <row r="1701" spans="1:25" ht="18" customHeight="1" x14ac:dyDescent="0.3">
      <c r="A1701" s="175"/>
      <c r="B1701" s="175"/>
      <c r="C1701" s="175"/>
      <c r="D1701" s="175">
        <v>0</v>
      </c>
      <c r="E1701" s="175" t="s">
        <v>1739</v>
      </c>
      <c r="F1701" s="175"/>
      <c r="G1701" s="175"/>
      <c r="H1701" s="175"/>
      <c r="I1701" s="175"/>
      <c r="J1701" s="175"/>
      <c r="K1701" s="175"/>
      <c r="L1701" s="181" t="s">
        <v>1740</v>
      </c>
      <c r="M1701" s="182" t="s">
        <v>1741</v>
      </c>
      <c r="N1701" s="183"/>
      <c r="O1701" s="184"/>
      <c r="P1701" s="185"/>
      <c r="Q1701" s="186"/>
      <c r="R1701" s="186"/>
      <c r="S1701" s="187">
        <f>ROUND(S1700*N1701,2)</f>
        <v>0</v>
      </c>
      <c r="T1701" s="187"/>
      <c r="Y1701">
        <v>0.05</v>
      </c>
    </row>
    <row r="1702" spans="1:25" ht="18" customHeight="1" x14ac:dyDescent="0.3">
      <c r="A1702" s="175"/>
      <c r="B1702" s="175"/>
      <c r="C1702" s="175"/>
      <c r="D1702" s="175">
        <v>0</v>
      </c>
      <c r="E1702" s="175"/>
      <c r="F1702" s="175"/>
      <c r="G1702" s="175"/>
      <c r="H1702" s="175"/>
      <c r="I1702" s="175"/>
      <c r="J1702" s="175"/>
      <c r="K1702" s="175"/>
      <c r="L1702" s="181" t="s">
        <v>1742</v>
      </c>
      <c r="M1702" s="188" t="s">
        <v>1737</v>
      </c>
      <c r="N1702" s="189">
        <v>1</v>
      </c>
      <c r="O1702" s="184"/>
      <c r="P1702" s="185"/>
      <c r="Q1702" s="186"/>
      <c r="R1702" s="186"/>
      <c r="S1702" s="187">
        <f>ROUND(S1699+S1700+S1701,2)</f>
        <v>0</v>
      </c>
      <c r="T1702" s="187"/>
      <c r="Y1702">
        <v>1</v>
      </c>
    </row>
    <row r="1703" spans="1:25" ht="33.6" customHeight="1" x14ac:dyDescent="0.3">
      <c r="A1703" s="175"/>
      <c r="B1703" s="175"/>
      <c r="C1703" s="175"/>
      <c r="D1703" s="175">
        <v>0</v>
      </c>
      <c r="E1703" s="175"/>
      <c r="F1703" s="190"/>
      <c r="G1703" s="200"/>
      <c r="H1703" s="200"/>
      <c r="I1703" s="200"/>
      <c r="J1703" s="200"/>
      <c r="K1703" s="200"/>
      <c r="L1703" s="191" t="s">
        <v>1743</v>
      </c>
      <c r="M1703" s="192"/>
      <c r="N1703" s="192"/>
      <c r="O1703" s="192"/>
      <c r="P1703" s="192"/>
      <c r="Q1703" s="192"/>
      <c r="R1703" s="192"/>
      <c r="S1703" s="192"/>
      <c r="T1703" s="193"/>
      <c r="Y1703">
        <v>1</v>
      </c>
    </row>
  </sheetData>
  <autoFilter ref="A14:U1703" xr:uid="{00000000-0009-0000-0000-000000000000}"/>
  <mergeCells count="31">
    <mergeCell ref="L1703:T1703"/>
    <mergeCell ref="O1700:P1700"/>
    <mergeCell ref="S1700:T1700"/>
    <mergeCell ref="O1701:P1701"/>
    <mergeCell ref="S1701:T1701"/>
    <mergeCell ref="O1702:P1702"/>
    <mergeCell ref="S1702:T1702"/>
    <mergeCell ref="F10:L10"/>
    <mergeCell ref="M10:T10"/>
    <mergeCell ref="F11:L11"/>
    <mergeCell ref="M11:T11"/>
    <mergeCell ref="O1699:P1699"/>
    <mergeCell ref="S1699:T1699"/>
    <mergeCell ref="F7:L7"/>
    <mergeCell ref="M7:T7"/>
    <mergeCell ref="F8:L8"/>
    <mergeCell ref="M8:T8"/>
    <mergeCell ref="F9:L9"/>
    <mergeCell ref="M9:T9"/>
    <mergeCell ref="F4:L4"/>
    <mergeCell ref="M4:T4"/>
    <mergeCell ref="F5:L5"/>
    <mergeCell ref="M5:T5"/>
    <mergeCell ref="F6:L6"/>
    <mergeCell ref="M6:T6"/>
    <mergeCell ref="F1:L1"/>
    <mergeCell ref="M1:T1"/>
    <mergeCell ref="F2:L2"/>
    <mergeCell ref="M2:T2"/>
    <mergeCell ref="F3:L3"/>
    <mergeCell ref="M3:T3"/>
  </mergeCells>
  <conditionalFormatting sqref="O111 O113:O127 O129:O145 O147:O163 O165:O173 O175:O183 O185:O189 O191:O204 O206:O214 O216:O220 O222:O234 O236:O243 O245:O252 O296:O299 O311:O315 O353:O356 O368:O375 O377:O378 O533:O544 O546:O551 O555:O556 O588 O601 O635:O646 O747:O751 O753:O760 O762:O763 O992:O993 O995 O1079:O1089 O1092:O1100 O1355 O1408:O1417 O1419:O1435 O1634 O1636:O1637 O1639:O1652 O1654:O1660 O1676:O1685 O255:O294 O393:O411 O590:O599 O603:O604 O606:O608 O611:O613 O615 O617:O618 O620:O623 O650:O651 O914:O920 O1606:O1631 O1396:O1403 O39:O48 O80:O85 O890:O891 O87 O91:O92 O94 O99:O108 O682:O745 O1662:O1673 P1381:P1386 O559:O574 O96 O413:O445 O473:O531 O672:O678 O320:O345 O766:O788 O793:O857 O1011:O1020 O1009 O1359:O1394 O859:O888 O1031:O1073 O1003:O1007 O894:O912 P455 O448:O455 O468:O471">
    <cfRule type="cellIs" dxfId="150" priority="147" operator="equal">
      <formula>0</formula>
    </cfRule>
  </conditionalFormatting>
  <conditionalFormatting sqref="O113:O127 O129:O145 O147:O163 O165:O173 O175:O183 O185:O189 O191:O204 O206:O214 O216:O220 O222:O234 O236:O243 O245:O252 O296:O299 O311:O315 O353:O356 O368:O375 O377:O378 O588 O601:P601 O635:O646 O747:P751 O753:O760 O992:O993 O995 O1079:O1089 O1408:O1417 O1419:O1435 O1634 O1636:O1637 O1639:O1652 O1654:O1660 O1676:O1685 O255:P294 O393:O411 O590:O599 O603:P604 P602 O606:P608 O611:P613 P609:P610 O615:P615 P614 O617:P618 P616 O620:P623 P619 O914:O920 O1606:O1631 O1396:O1403 O39:O48 O80:O85 O890:O891 O1686:P1698 O546:O556 P533:P551 O1092:O1355 P1102:P1355 O87 O91:O92 O94 O99:O109 O682:O745 P692:P745 O111 O1389:O1394 P1389:P1393 O1662:O1673 O559:O574 O96 P17:P108 O1359:P1388 O413:O445 P473:P502 O473:O544 O1457:O1586 P1450:P1587 P654:P688 O650:O663 O672:O678 O665 O667:O669 O320:P345 P766:P767 O762:O767 O793:P825 O768:P788 P826:P845 O826:O857 P1009 O1009:O1020 O859:O888 P859:P891 O1031:P1073 O1003:O1007 P894:P920 O894:O912 O448:O455 P454:P455 O468:P471">
    <cfRule type="containsText" dxfId="149" priority="148" operator="containsText" text="!">
      <formula>NOT(ISERROR(SEARCH("!",O17)))</formula>
    </cfRule>
  </conditionalFormatting>
  <conditionalFormatting sqref="O112">
    <cfRule type="containsText" dxfId="148" priority="146" operator="containsText" text="!">
      <formula>NOT(ISERROR(SEARCH("!",O112)))</formula>
    </cfRule>
  </conditionalFormatting>
  <conditionalFormatting sqref="O128">
    <cfRule type="containsText" dxfId="147" priority="145" operator="containsText" text="!">
      <formula>NOT(ISERROR(SEARCH("!",O128)))</formula>
    </cfRule>
  </conditionalFormatting>
  <conditionalFormatting sqref="O146">
    <cfRule type="containsText" dxfId="146" priority="144" operator="containsText" text="!">
      <formula>NOT(ISERROR(SEARCH("!",O146)))</formula>
    </cfRule>
  </conditionalFormatting>
  <conditionalFormatting sqref="O164">
    <cfRule type="containsText" dxfId="145" priority="143" operator="containsText" text="!">
      <formula>NOT(ISERROR(SEARCH("!",O164)))</formula>
    </cfRule>
  </conditionalFormatting>
  <conditionalFormatting sqref="O174">
    <cfRule type="containsText" dxfId="144" priority="142" operator="containsText" text="!">
      <formula>NOT(ISERROR(SEARCH("!",O174)))</formula>
    </cfRule>
  </conditionalFormatting>
  <conditionalFormatting sqref="O184">
    <cfRule type="containsText" dxfId="143" priority="141" operator="containsText" text="!">
      <formula>NOT(ISERROR(SEARCH("!",O184)))</formula>
    </cfRule>
  </conditionalFormatting>
  <conditionalFormatting sqref="O190">
    <cfRule type="containsText" dxfId="142" priority="140" operator="containsText" text="!">
      <formula>NOT(ISERROR(SEARCH("!",O190)))</formula>
    </cfRule>
  </conditionalFormatting>
  <conditionalFormatting sqref="O205">
    <cfRule type="containsText" dxfId="141" priority="139" operator="containsText" text="!">
      <formula>NOT(ISERROR(SEARCH("!",O205)))</formula>
    </cfRule>
  </conditionalFormatting>
  <conditionalFormatting sqref="O215">
    <cfRule type="containsText" dxfId="140" priority="138" operator="containsText" text="!">
      <formula>NOT(ISERROR(SEARCH("!",O215)))</formula>
    </cfRule>
  </conditionalFormatting>
  <conditionalFormatting sqref="O221">
    <cfRule type="containsText" dxfId="139" priority="137" operator="containsText" text="!">
      <formula>NOT(ISERROR(SEARCH("!",O221)))</formula>
    </cfRule>
  </conditionalFormatting>
  <conditionalFormatting sqref="O235">
    <cfRule type="containsText" dxfId="138" priority="136" operator="containsText" text="!">
      <formula>NOT(ISERROR(SEARCH("!",O235)))</formula>
    </cfRule>
  </conditionalFormatting>
  <conditionalFormatting sqref="O244">
    <cfRule type="containsText" dxfId="137" priority="135" operator="containsText" text="!">
      <formula>NOT(ISERROR(SEARCH("!",O244)))</formula>
    </cfRule>
  </conditionalFormatting>
  <conditionalFormatting sqref="O253:O254">
    <cfRule type="containsText" dxfId="136" priority="134" operator="containsText" text="!">
      <formula>NOT(ISERROR(SEARCH("!",O253)))</formula>
    </cfRule>
  </conditionalFormatting>
  <conditionalFormatting sqref="O295">
    <cfRule type="containsText" dxfId="135" priority="133" operator="containsText" text="!">
      <formula>NOT(ISERROR(SEARCH("!",O295)))</formula>
    </cfRule>
  </conditionalFormatting>
  <conditionalFormatting sqref="O301:O310">
    <cfRule type="containsText" dxfId="134" priority="132" operator="containsText" text="!">
      <formula>NOT(ISERROR(SEARCH("!",O301)))</formula>
    </cfRule>
  </conditionalFormatting>
  <conditionalFormatting sqref="O346:O352">
    <cfRule type="containsText" dxfId="133" priority="131" operator="containsText" text="!">
      <formula>NOT(ISERROR(SEARCH("!",O346)))</formula>
    </cfRule>
  </conditionalFormatting>
  <conditionalFormatting sqref="O357:O364">
    <cfRule type="containsText" dxfId="132" priority="111" operator="containsText" text="!">
      <formula>NOT(ISERROR(SEARCH("!",O357)))</formula>
    </cfRule>
  </conditionalFormatting>
  <conditionalFormatting sqref="O362:O365">
    <cfRule type="cellIs" dxfId="131" priority="86" operator="equal">
      <formula>0</formula>
    </cfRule>
  </conditionalFormatting>
  <conditionalFormatting sqref="O365">
    <cfRule type="containsText" dxfId="130" priority="87" operator="containsText" text="!">
      <formula>NOT(ISERROR(SEARCH("!",O365)))</formula>
    </cfRule>
  </conditionalFormatting>
  <conditionalFormatting sqref="O367">
    <cfRule type="containsText" dxfId="129" priority="130" operator="containsText" text="!">
      <formula>NOT(ISERROR(SEARCH("!",O367)))</formula>
    </cfRule>
  </conditionalFormatting>
  <conditionalFormatting sqref="O376">
    <cfRule type="containsText" dxfId="128" priority="129" operator="containsText" text="!">
      <formula>NOT(ISERROR(SEARCH("!",O376)))</formula>
    </cfRule>
  </conditionalFormatting>
  <conditionalFormatting sqref="O379:O392">
    <cfRule type="containsText" dxfId="127" priority="85" operator="containsText" text="!">
      <formula>NOT(ISERROR(SEARCH("!",O379)))</formula>
    </cfRule>
  </conditionalFormatting>
  <conditionalFormatting sqref="O380:O391">
    <cfRule type="cellIs" dxfId="126" priority="84" operator="equal">
      <formula>0</formula>
    </cfRule>
  </conditionalFormatting>
  <conditionalFormatting sqref="O412">
    <cfRule type="containsText" dxfId="125" priority="128" operator="containsText" text="!">
      <formula>NOT(ISERROR(SEARCH("!",O412)))</formula>
    </cfRule>
  </conditionalFormatting>
  <conditionalFormatting sqref="O446:O447">
    <cfRule type="containsText" dxfId="124" priority="127" operator="containsText" text="!">
      <formula>NOT(ISERROR(SEARCH("!",O446)))</formula>
    </cfRule>
  </conditionalFormatting>
  <conditionalFormatting sqref="O472">
    <cfRule type="containsText" dxfId="123" priority="126" operator="containsText" text="!">
      <formula>NOT(ISERROR(SEARCH("!",O472)))</formula>
    </cfRule>
  </conditionalFormatting>
  <conditionalFormatting sqref="O545">
    <cfRule type="containsText" dxfId="122" priority="90" operator="containsText" text="!">
      <formula>NOT(ISERROR(SEARCH("!",O545)))</formula>
    </cfRule>
  </conditionalFormatting>
  <conditionalFormatting sqref="O575:O587">
    <cfRule type="containsText" dxfId="121" priority="125" operator="containsText" text="!">
      <formula>NOT(ISERROR(SEARCH("!",O575)))</formula>
    </cfRule>
  </conditionalFormatting>
  <conditionalFormatting sqref="O600">
    <cfRule type="containsText" dxfId="120" priority="113" operator="containsText" text="!">
      <formula>NOT(ISERROR(SEARCH("!",O600)))</formula>
    </cfRule>
  </conditionalFormatting>
  <conditionalFormatting sqref="O627:O634">
    <cfRule type="containsText" dxfId="119" priority="112" operator="containsText" text="!">
      <formula>NOT(ISERROR(SEARCH("!",O627)))</formula>
    </cfRule>
  </conditionalFormatting>
  <conditionalFormatting sqref="O654:O663 O665 O667:O669">
    <cfRule type="cellIs" dxfId="118" priority="83" operator="equal">
      <formula>0</formula>
    </cfRule>
  </conditionalFormatting>
  <conditionalFormatting sqref="O680">
    <cfRule type="cellIs" dxfId="117" priority="81" operator="equal">
      <formula>0</formula>
    </cfRule>
  </conditionalFormatting>
  <conditionalFormatting sqref="O680">
    <cfRule type="containsText" dxfId="116" priority="82" operator="containsText" text="!">
      <formula>NOT(ISERROR(SEARCH("!",O680)))</formula>
    </cfRule>
  </conditionalFormatting>
  <conditionalFormatting sqref="O746">
    <cfRule type="containsText" dxfId="115" priority="124" operator="containsText" text="!">
      <formula>NOT(ISERROR(SEARCH("!",O746)))</formula>
    </cfRule>
  </conditionalFormatting>
  <conditionalFormatting sqref="O752">
    <cfRule type="containsText" dxfId="114" priority="123" operator="containsText" text="!">
      <formula>NOT(ISERROR(SEARCH("!",O752)))</formula>
    </cfRule>
  </conditionalFormatting>
  <conditionalFormatting sqref="O761">
    <cfRule type="containsText" dxfId="113" priority="122" operator="containsText" text="!">
      <formula>NOT(ISERROR(SEARCH("!",O761)))</formula>
    </cfRule>
  </conditionalFormatting>
  <conditionalFormatting sqref="O892:O893">
    <cfRule type="containsText" dxfId="112" priority="121" operator="containsText" text="!">
      <formula>NOT(ISERROR(SEARCH("!",O892)))</formula>
    </cfRule>
  </conditionalFormatting>
  <conditionalFormatting sqref="O994">
    <cfRule type="containsText" dxfId="111" priority="120" operator="containsText" text="!">
      <formula>NOT(ISERROR(SEARCH("!",O994)))</formula>
    </cfRule>
  </conditionalFormatting>
  <conditionalFormatting sqref="O999:O1000">
    <cfRule type="cellIs" dxfId="110" priority="72" operator="equal">
      <formula>0</formula>
    </cfRule>
  </conditionalFormatting>
  <conditionalFormatting sqref="O999:O1002">
    <cfRule type="containsText" dxfId="109" priority="73" operator="containsText" text="!">
      <formula>NOT(ISERROR(SEARCH("!",O999)))</formula>
    </cfRule>
  </conditionalFormatting>
  <conditionalFormatting sqref="O1090:O1091">
    <cfRule type="containsText" dxfId="108" priority="119" operator="containsText" text="!">
      <formula>NOT(ISERROR(SEARCH("!",O1090)))</formula>
    </cfRule>
  </conditionalFormatting>
  <conditionalFormatting sqref="O1418">
    <cfRule type="containsText" dxfId="107" priority="117" operator="containsText" text="!">
      <formula>NOT(ISERROR(SEARCH("!",O1418)))</formula>
    </cfRule>
  </conditionalFormatting>
  <conditionalFormatting sqref="O1635">
    <cfRule type="containsText" dxfId="106" priority="118" operator="containsText" text="!">
      <formula>NOT(ISERROR(SEARCH("!",O1635)))</formula>
    </cfRule>
  </conditionalFormatting>
  <conditionalFormatting sqref="O1638">
    <cfRule type="containsText" dxfId="105" priority="115" operator="containsText" text="!">
      <formula>NOT(ISERROR(SEARCH("!",O1638)))</formula>
    </cfRule>
  </conditionalFormatting>
  <conditionalFormatting sqref="O1653">
    <cfRule type="containsText" dxfId="104" priority="116" operator="containsText" text="!">
      <formula>NOT(ISERROR(SEARCH("!",O1653)))</formula>
    </cfRule>
  </conditionalFormatting>
  <conditionalFormatting sqref="O1674:O1675">
    <cfRule type="containsText" dxfId="103" priority="114" operator="containsText" text="!">
      <formula>NOT(ISERROR(SEARCH("!",O1674)))</formula>
    </cfRule>
  </conditionalFormatting>
  <conditionalFormatting sqref="O348:P351">
    <cfRule type="cellIs" dxfId="102" priority="109" operator="equal">
      <formula>0</formula>
    </cfRule>
  </conditionalFormatting>
  <conditionalFormatting sqref="O358:P360">
    <cfRule type="cellIs" dxfId="101" priority="107" operator="equal">
      <formula>0</formula>
    </cfRule>
  </conditionalFormatting>
  <conditionalFormatting sqref="O921:P991">
    <cfRule type="containsText" dxfId="100" priority="74" operator="containsText" text="!">
      <formula>NOT(ISERROR(SEARCH("!",O921)))</formula>
    </cfRule>
  </conditionalFormatting>
  <conditionalFormatting sqref="O996:P998">
    <cfRule type="containsText" dxfId="99" priority="75" operator="containsText" text="!">
      <formula>NOT(ISERROR(SEARCH("!",O996)))</formula>
    </cfRule>
  </conditionalFormatting>
  <conditionalFormatting sqref="O1074:P1078">
    <cfRule type="containsText" dxfId="98" priority="76" operator="containsText" text="!">
      <formula>NOT(ISERROR(SEARCH("!",O1074)))</formula>
    </cfRule>
  </conditionalFormatting>
  <conditionalFormatting sqref="O1404:P1407">
    <cfRule type="containsText" dxfId="97" priority="79" operator="containsText" text="!">
      <formula>NOT(ISERROR(SEARCH("!",O1404)))</formula>
    </cfRule>
  </conditionalFormatting>
  <conditionalFormatting sqref="O1633:P1633">
    <cfRule type="containsText" dxfId="96" priority="78" operator="containsText" text="!">
      <formula>NOT(ISERROR(SEARCH("!",O1633)))</formula>
    </cfRule>
  </conditionalFormatting>
  <conditionalFormatting sqref="P111 P113:P127 P129:P145 P147:P163 P165:P173 P175:P183 P185:P189 P191:P204 P206:P214 P216:P220 P222:P234 P236:P243 P245:P252 P353:P356 P362:P366 P753:P760 P762:P763 P992:P993 P995 P1092:P1100 P1636:P1637 P1639:P1660">
    <cfRule type="containsText" dxfId="95" priority="94" operator="containsText" text="!">
      <formula>NOT(ISERROR(SEARCH("!",P111)))</formula>
    </cfRule>
  </conditionalFormatting>
  <conditionalFormatting sqref="P255:P259 P262:P270 P272 P278 P288 O301:P309 P311 P313:P315 P337 P340 P375 P383 P391 P405:P406 P413:P414 P428:P431 P441 P449:P450 P510:P511 P513 P516 P526 P539:P542 P553:P556 P569:P574 O575:P585 P588:P594 P596:P599 P601:P604 O628:P633 P637:P651 P1677:P1685 O1686:P1698 P433:P435 P606:P607 P559:P567">
    <cfRule type="cellIs" dxfId="94" priority="95" operator="equal">
      <formula>0</formula>
    </cfRule>
  </conditionalFormatting>
  <conditionalFormatting sqref="P296:P309 P373:P378 P380:P383 P386:P391 P393:P411 P413:P419 P424:P431 P448:P451 P553:P556 P588:P599 P628:P633 P635:P651 P1676:P1685 P433:P445 P507:P517 P559:P585 P519:P531">
    <cfRule type="containsText" dxfId="93" priority="96" operator="containsText" text="!">
      <formula>NOT(ISERROR(SEARCH("!",P296)))</formula>
    </cfRule>
  </conditionalFormatting>
  <conditionalFormatting sqref="P348:P351">
    <cfRule type="containsText" dxfId="92" priority="110" operator="containsText" text="!">
      <formula>NOT(ISERROR(SEARCH("!",P348)))</formula>
    </cfRule>
  </conditionalFormatting>
  <conditionalFormatting sqref="P358:P360">
    <cfRule type="containsText" dxfId="91" priority="108" operator="containsText" text="!">
      <formula>NOT(ISERROR(SEARCH("!",P358)))</formula>
    </cfRule>
  </conditionalFormatting>
  <conditionalFormatting sqref="P368:P372">
    <cfRule type="containsText" dxfId="90" priority="91" operator="containsText" text="!">
      <formula>NOT(ISERROR(SEARCH("!",P368)))</formula>
    </cfRule>
  </conditionalFormatting>
  <conditionalFormatting sqref="P417:P424">
    <cfRule type="cellIs" dxfId="89" priority="88" operator="equal">
      <formula>0</formula>
    </cfRule>
  </conditionalFormatting>
  <conditionalFormatting sqref="P420:P423">
    <cfRule type="containsText" dxfId="88" priority="89" operator="containsText" text="!">
      <formula>NOT(ISERROR(SEARCH("!",P420)))</formula>
    </cfRule>
  </conditionalFormatting>
  <conditionalFormatting sqref="P609:P623 O1102:O1354 P1266:P1327">
    <cfRule type="cellIs" dxfId="87" priority="92" operator="equal">
      <formula>0</formula>
    </cfRule>
  </conditionalFormatting>
  <conditionalFormatting sqref="P849:P857">
    <cfRule type="containsText" dxfId="86" priority="106" operator="containsText" text="!">
      <formula>NOT(ISERROR(SEARCH("!",P849)))</formula>
    </cfRule>
  </conditionalFormatting>
  <conditionalFormatting sqref="P826:P841">
    <cfRule type="cellIs" dxfId="85" priority="105" operator="equal">
      <formula>0</formula>
    </cfRule>
  </conditionalFormatting>
  <conditionalFormatting sqref="P999:P1000">
    <cfRule type="containsText" dxfId="84" priority="71" operator="containsText" text="!">
      <formula>NOT(ISERROR(SEARCH("!",P999)))</formula>
    </cfRule>
  </conditionalFormatting>
  <conditionalFormatting sqref="P1079:P1089 P1011:P1015">
    <cfRule type="containsText" dxfId="83" priority="104" operator="containsText" text="!">
      <formula>NOT(ISERROR(SEARCH("!",P1011)))</formula>
    </cfRule>
  </conditionalFormatting>
  <conditionalFormatting sqref="P1084:P1086">
    <cfRule type="cellIs" dxfId="82" priority="103" operator="equal">
      <formula>0</formula>
    </cfRule>
  </conditionalFormatting>
  <conditionalFormatting sqref="P1356:P1358">
    <cfRule type="containsText" dxfId="81" priority="80" operator="containsText" text="!">
      <formula>NOT(ISERROR(SEARCH("!",P1356)))</formula>
    </cfRule>
  </conditionalFormatting>
  <conditionalFormatting sqref="P1394">
    <cfRule type="cellIs" dxfId="80" priority="101" operator="equal">
      <formula>0</formula>
    </cfRule>
  </conditionalFormatting>
  <conditionalFormatting sqref="P1394 P1396:P1401">
    <cfRule type="containsText" dxfId="79" priority="102" operator="containsText" text="!">
      <formula>NOT(ISERROR(SEARCH("!",P1394)))</formula>
    </cfRule>
  </conditionalFormatting>
  <conditionalFormatting sqref="P1402:P1403">
    <cfRule type="containsText" dxfId="78" priority="93" operator="containsText" text="!">
      <formula>NOT(ISERROR(SEARCH("!",P1402)))</formula>
    </cfRule>
  </conditionalFormatting>
  <conditionalFormatting sqref="P1408:P1417 P1606:P1619 P1419:P1435">
    <cfRule type="containsText" dxfId="77" priority="100" operator="containsText" text="!">
      <formula>NOT(ISERROR(SEARCH("!",P1408)))</formula>
    </cfRule>
  </conditionalFormatting>
  <conditionalFormatting sqref="P1617">
    <cfRule type="cellIs" dxfId="76" priority="99" operator="equal">
      <formula>0</formula>
    </cfRule>
  </conditionalFormatting>
  <conditionalFormatting sqref="P1620:P1624">
    <cfRule type="cellIs" dxfId="75" priority="97" operator="equal">
      <formula>0</formula>
    </cfRule>
  </conditionalFormatting>
  <conditionalFormatting sqref="P1620:P1630 P1634">
    <cfRule type="containsText" dxfId="74" priority="98" operator="containsText" text="!">
      <formula>NOT(ISERROR(SEARCH("!",P1620)))</formula>
    </cfRule>
  </conditionalFormatting>
  <conditionalFormatting sqref="P1631:P1632">
    <cfRule type="containsText" dxfId="73" priority="77" operator="containsText" text="!">
      <formula>NOT(ISERROR(SEARCH("!",P1631)))</formula>
    </cfRule>
  </conditionalFormatting>
  <conditionalFormatting sqref="Q554:T554">
    <cfRule type="containsText" dxfId="72" priority="149" operator="containsText" text="!">
      <formula>NOT(ISERROR(SEARCH("!",Q554)))</formula>
    </cfRule>
  </conditionalFormatting>
  <conditionalFormatting sqref="P311:P315 N1229 O1436:P1449">
    <cfRule type="containsText" dxfId="71" priority="150" operator="containsText" text="!">
      <formula>NOT(ISERROR(SEARCH("!",N311)))</formula>
    </cfRule>
  </conditionalFormatting>
  <conditionalFormatting sqref="P503:P506">
    <cfRule type="containsText" dxfId="70" priority="70" operator="containsText" text="!">
      <formula>NOT(ISERROR(SEARCH("!",P503)))</formula>
    </cfRule>
  </conditionalFormatting>
  <conditionalFormatting sqref="P518">
    <cfRule type="containsText" dxfId="69" priority="69" operator="containsText" text="!">
      <formula>NOT(ISERROR(SEARCH("!",P518)))</formula>
    </cfRule>
  </conditionalFormatting>
  <conditionalFormatting sqref="O605">
    <cfRule type="cellIs" dxfId="68" priority="67" operator="equal">
      <formula>0</formula>
    </cfRule>
  </conditionalFormatting>
  <conditionalFormatting sqref="O605:P605">
    <cfRule type="containsText" dxfId="67" priority="68" operator="containsText" text="!">
      <formula>NOT(ISERROR(SEARCH("!",O605)))</formula>
    </cfRule>
  </conditionalFormatting>
  <conditionalFormatting sqref="P605">
    <cfRule type="cellIs" dxfId="66" priority="66" operator="equal">
      <formula>0</formula>
    </cfRule>
  </conditionalFormatting>
  <conditionalFormatting sqref="P624:P626">
    <cfRule type="containsText" dxfId="65" priority="65" operator="containsText" text="!">
      <formula>NOT(ISERROR(SEARCH("!",P624)))</formula>
    </cfRule>
  </conditionalFormatting>
  <conditionalFormatting sqref="P689:P691">
    <cfRule type="containsText" dxfId="64" priority="64" operator="containsText" text="!">
      <formula>NOT(ISERROR(SEARCH("!",P689)))</formula>
    </cfRule>
  </conditionalFormatting>
  <conditionalFormatting sqref="P846:P848">
    <cfRule type="containsText" dxfId="63" priority="63" operator="containsText" text="!">
      <formula>NOT(ISERROR(SEARCH("!",P846)))</formula>
    </cfRule>
  </conditionalFormatting>
  <conditionalFormatting sqref="P1594:P1605">
    <cfRule type="containsText" dxfId="62" priority="60" operator="containsText" text="!">
      <formula>NOT(ISERROR(SEARCH("!",P1594)))</formula>
    </cfRule>
  </conditionalFormatting>
  <conditionalFormatting sqref="O1594:O1605">
    <cfRule type="cellIs" dxfId="61" priority="61" operator="equal">
      <formula>0</formula>
    </cfRule>
  </conditionalFormatting>
  <conditionalFormatting sqref="O1594:O1605">
    <cfRule type="containsText" dxfId="60" priority="62" operator="containsText" text="!">
      <formula>NOT(ISERROR(SEARCH("!",O1594)))</formula>
    </cfRule>
  </conditionalFormatting>
  <conditionalFormatting sqref="O1395">
    <cfRule type="cellIs" dxfId="59" priority="58" operator="equal">
      <formula>0</formula>
    </cfRule>
  </conditionalFormatting>
  <conditionalFormatting sqref="O1395">
    <cfRule type="containsText" dxfId="58" priority="59" operator="containsText" text="!">
      <formula>NOT(ISERROR(SEARCH("!",O1395)))</formula>
    </cfRule>
  </conditionalFormatting>
  <conditionalFormatting sqref="P1395">
    <cfRule type="cellIs" dxfId="57" priority="56" operator="equal">
      <formula>0</formula>
    </cfRule>
  </conditionalFormatting>
  <conditionalFormatting sqref="P1395">
    <cfRule type="containsText" dxfId="56" priority="57" operator="containsText" text="!">
      <formula>NOT(ISERROR(SEARCH("!",P1395)))</formula>
    </cfRule>
  </conditionalFormatting>
  <conditionalFormatting sqref="O17:O28">
    <cfRule type="cellIs" dxfId="55" priority="54" operator="equal">
      <formula>0</formula>
    </cfRule>
  </conditionalFormatting>
  <conditionalFormatting sqref="O17:O28">
    <cfRule type="containsText" dxfId="54" priority="55" operator="containsText" text="!">
      <formula>NOT(ISERROR(SEARCH("!",O17)))</formula>
    </cfRule>
  </conditionalFormatting>
  <conditionalFormatting sqref="O38">
    <cfRule type="cellIs" dxfId="53" priority="52" operator="equal">
      <formula>0</formula>
    </cfRule>
  </conditionalFormatting>
  <conditionalFormatting sqref="O38">
    <cfRule type="containsText" dxfId="52" priority="53" operator="containsText" text="!">
      <formula>NOT(ISERROR(SEARCH("!",O38)))</formula>
    </cfRule>
  </conditionalFormatting>
  <conditionalFormatting sqref="O29:O37">
    <cfRule type="cellIs" dxfId="51" priority="50" operator="equal">
      <formula>0</formula>
    </cfRule>
  </conditionalFormatting>
  <conditionalFormatting sqref="O29:O37">
    <cfRule type="containsText" dxfId="50" priority="51" operator="containsText" text="!">
      <formula>NOT(ISERROR(SEARCH("!",O29)))</formula>
    </cfRule>
  </conditionalFormatting>
  <conditionalFormatting sqref="P452">
    <cfRule type="cellIs" dxfId="49" priority="48" operator="equal">
      <formula>0</formula>
    </cfRule>
  </conditionalFormatting>
  <conditionalFormatting sqref="P452:P453">
    <cfRule type="containsText" dxfId="48" priority="49" operator="containsText" text="!">
      <formula>NOT(ISERROR(SEARCH("!",P452)))</formula>
    </cfRule>
  </conditionalFormatting>
  <conditionalFormatting sqref="O110">
    <cfRule type="containsText" dxfId="47" priority="47" operator="containsText" text="!">
      <formula>NOT(ISERROR(SEARCH("!",O110)))</formula>
    </cfRule>
  </conditionalFormatting>
  <conditionalFormatting sqref="P1593">
    <cfRule type="containsText" dxfId="46" priority="44" operator="containsText" text="!">
      <formula>NOT(ISERROR(SEARCH("!",P1593)))</formula>
    </cfRule>
  </conditionalFormatting>
  <conditionalFormatting sqref="O1593">
    <cfRule type="cellIs" dxfId="45" priority="45" operator="equal">
      <formula>0</formula>
    </cfRule>
  </conditionalFormatting>
  <conditionalFormatting sqref="O1593">
    <cfRule type="containsText" dxfId="44" priority="46" operator="containsText" text="!">
      <formula>NOT(ISERROR(SEARCH("!",O1593)))</formula>
    </cfRule>
  </conditionalFormatting>
  <conditionalFormatting sqref="O1450:O1456 O1587">
    <cfRule type="cellIs" dxfId="43" priority="42" operator="equal">
      <formula>0</formula>
    </cfRule>
  </conditionalFormatting>
  <conditionalFormatting sqref="O1450:O1456 O1587">
    <cfRule type="containsText" dxfId="42" priority="43" operator="containsText" text="!">
      <formula>NOT(ISERROR(SEARCH("!",O1450)))</formula>
    </cfRule>
  </conditionalFormatting>
  <conditionalFormatting sqref="P1588:P1592">
    <cfRule type="containsText" dxfId="41" priority="39" operator="containsText" text="!">
      <formula>NOT(ISERROR(SEARCH("!",P1588)))</formula>
    </cfRule>
  </conditionalFormatting>
  <conditionalFormatting sqref="O1588:O1592">
    <cfRule type="cellIs" dxfId="40" priority="40" operator="equal">
      <formula>0</formula>
    </cfRule>
  </conditionalFormatting>
  <conditionalFormatting sqref="O1588:O1592">
    <cfRule type="containsText" dxfId="39" priority="41" operator="containsText" text="!">
      <formula>NOT(ISERROR(SEARCH("!",O1588)))</formula>
    </cfRule>
  </conditionalFormatting>
  <conditionalFormatting sqref="O1661">
    <cfRule type="containsText" dxfId="38" priority="38" operator="containsText" text="!">
      <formula>NOT(ISERROR(SEARCH("!",O1661)))</formula>
    </cfRule>
  </conditionalFormatting>
  <conditionalFormatting sqref="P1662:P1673">
    <cfRule type="containsText" dxfId="37" priority="37" operator="containsText" text="!">
      <formula>NOT(ISERROR(SEARCH("!",P1662)))</formula>
    </cfRule>
  </conditionalFormatting>
  <conditionalFormatting sqref="O557:O558">
    <cfRule type="cellIs" dxfId="36" priority="35" operator="equal">
      <formula>0</formula>
    </cfRule>
  </conditionalFormatting>
  <conditionalFormatting sqref="O557:O558">
    <cfRule type="containsText" dxfId="35" priority="36" operator="containsText" text="!">
      <formula>NOT(ISERROR(SEARCH("!",O557)))</formula>
    </cfRule>
  </conditionalFormatting>
  <conditionalFormatting sqref="P557">
    <cfRule type="cellIs" dxfId="34" priority="33" operator="equal">
      <formula>0</formula>
    </cfRule>
  </conditionalFormatting>
  <conditionalFormatting sqref="P557">
    <cfRule type="containsText" dxfId="33" priority="34" operator="containsText" text="!">
      <formula>NOT(ISERROR(SEARCH("!",P557)))</formula>
    </cfRule>
  </conditionalFormatting>
  <conditionalFormatting sqref="P558">
    <cfRule type="cellIs" dxfId="32" priority="31" operator="equal">
      <formula>0</formula>
    </cfRule>
  </conditionalFormatting>
  <conditionalFormatting sqref="P558">
    <cfRule type="containsText" dxfId="31" priority="32" operator="containsText" text="!">
      <formula>NOT(ISERROR(SEARCH("!",P558)))</formula>
    </cfRule>
  </conditionalFormatting>
  <conditionalFormatting sqref="O679">
    <cfRule type="containsText" dxfId="30" priority="30" operator="containsText" text="!">
      <formula>NOT(ISERROR(SEARCH("!",O679)))</formula>
    </cfRule>
  </conditionalFormatting>
  <conditionalFormatting sqref="O679">
    <cfRule type="cellIs" dxfId="29" priority="29" operator="equal">
      <formula>0</formula>
    </cfRule>
  </conditionalFormatting>
  <conditionalFormatting sqref="O681">
    <cfRule type="containsText" dxfId="28" priority="28" operator="containsText" text="!">
      <formula>NOT(ISERROR(SEARCH("!",O681)))</formula>
    </cfRule>
  </conditionalFormatting>
  <conditionalFormatting sqref="O681">
    <cfRule type="cellIs" dxfId="27" priority="27" operator="equal">
      <formula>0</formula>
    </cfRule>
  </conditionalFormatting>
  <conditionalFormatting sqref="O1356:O1358">
    <cfRule type="cellIs" dxfId="26" priority="25" operator="equal">
      <formula>0</formula>
    </cfRule>
  </conditionalFormatting>
  <conditionalFormatting sqref="O1356:O1358">
    <cfRule type="containsText" dxfId="25" priority="26" operator="containsText" text="!">
      <formula>NOT(ISERROR(SEARCH("!",O1356)))</formula>
    </cfRule>
  </conditionalFormatting>
  <conditionalFormatting sqref="O671">
    <cfRule type="cellIs" dxfId="24" priority="23" operator="equal">
      <formula>0</formula>
    </cfRule>
  </conditionalFormatting>
  <conditionalFormatting sqref="O671">
    <cfRule type="containsText" dxfId="23" priority="24" operator="containsText" text="!">
      <formula>NOT(ISERROR(SEARCH("!",O671)))</formula>
    </cfRule>
  </conditionalFormatting>
  <conditionalFormatting sqref="O664">
    <cfRule type="containsText" dxfId="22" priority="22" operator="containsText" text="!">
      <formula>NOT(ISERROR(SEARCH("!",O664)))</formula>
    </cfRule>
  </conditionalFormatting>
  <conditionalFormatting sqref="O664">
    <cfRule type="cellIs" dxfId="21" priority="21" operator="equal">
      <formula>0</formula>
    </cfRule>
  </conditionalFormatting>
  <conditionalFormatting sqref="O666">
    <cfRule type="containsText" dxfId="20" priority="20" operator="containsText" text="!">
      <formula>NOT(ISERROR(SEARCH("!",O666)))</formula>
    </cfRule>
  </conditionalFormatting>
  <conditionalFormatting sqref="O666">
    <cfRule type="cellIs" dxfId="19" priority="19" operator="equal">
      <formula>0</formula>
    </cfRule>
  </conditionalFormatting>
  <conditionalFormatting sqref="P789:P792">
    <cfRule type="containsText" dxfId="18" priority="18" operator="containsText" text="!">
      <formula>NOT(ISERROR(SEARCH("!",P789)))</formula>
    </cfRule>
  </conditionalFormatting>
  <conditionalFormatting sqref="O790:O792">
    <cfRule type="cellIs" dxfId="17" priority="16" operator="equal">
      <formula>0</formula>
    </cfRule>
  </conditionalFormatting>
  <conditionalFormatting sqref="O790:O792">
    <cfRule type="containsText" dxfId="16" priority="17" operator="containsText" text="!">
      <formula>NOT(ISERROR(SEARCH("!",O790)))</formula>
    </cfRule>
  </conditionalFormatting>
  <conditionalFormatting sqref="E1:E1048576">
    <cfRule type="duplicateValues" dxfId="15" priority="151"/>
  </conditionalFormatting>
  <conditionalFormatting sqref="O858">
    <cfRule type="cellIs" dxfId="14" priority="14" operator="equal">
      <formula>0</formula>
    </cfRule>
  </conditionalFormatting>
  <conditionalFormatting sqref="O858">
    <cfRule type="containsText" dxfId="13" priority="15" operator="containsText" text="!">
      <formula>NOT(ISERROR(SEARCH("!",O858)))</formula>
    </cfRule>
  </conditionalFormatting>
  <conditionalFormatting sqref="P858">
    <cfRule type="containsText" dxfId="12" priority="13" operator="containsText" text="!">
      <formula>NOT(ISERROR(SEARCH("!",P858)))</formula>
    </cfRule>
  </conditionalFormatting>
  <conditionalFormatting sqref="P1003:P1007">
    <cfRule type="containsText" dxfId="11" priority="12" operator="containsText" text="!">
      <formula>NOT(ISERROR(SEARCH("!",P1003)))</formula>
    </cfRule>
  </conditionalFormatting>
  <conditionalFormatting sqref="P1016:P1020">
    <cfRule type="containsText" dxfId="10" priority="11" operator="containsText" text="!">
      <formula>NOT(ISERROR(SEARCH("!",P1016)))</formula>
    </cfRule>
  </conditionalFormatting>
  <conditionalFormatting sqref="O1021">
    <cfRule type="cellIs" dxfId="9" priority="9" operator="equal">
      <formula>0</formula>
    </cfRule>
  </conditionalFormatting>
  <conditionalFormatting sqref="O1021">
    <cfRule type="containsText" dxfId="8" priority="10" operator="containsText" text="!">
      <formula>NOT(ISERROR(SEARCH("!",O1021)))</formula>
    </cfRule>
  </conditionalFormatting>
  <conditionalFormatting sqref="O1022:O1024">
    <cfRule type="cellIs" dxfId="7" priority="7" operator="equal">
      <formula>0</formula>
    </cfRule>
  </conditionalFormatting>
  <conditionalFormatting sqref="O1022:O1024">
    <cfRule type="containsText" dxfId="6" priority="8" operator="containsText" text="!">
      <formula>NOT(ISERROR(SEARCH("!",O1022)))</formula>
    </cfRule>
  </conditionalFormatting>
  <conditionalFormatting sqref="P1021:P1024">
    <cfRule type="containsText" dxfId="5" priority="6" operator="containsText" text="!">
      <formula>NOT(ISERROR(SEARCH("!",P1021)))</formula>
    </cfRule>
  </conditionalFormatting>
  <conditionalFormatting sqref="O1025:O1030">
    <cfRule type="cellIs" dxfId="4" priority="4" operator="equal">
      <formula>0</formula>
    </cfRule>
  </conditionalFormatting>
  <conditionalFormatting sqref="O1025:P1030">
    <cfRule type="containsText" dxfId="3" priority="5" operator="containsText" text="!">
      <formula>NOT(ISERROR(SEARCH("!",O1025)))</formula>
    </cfRule>
  </conditionalFormatting>
  <conditionalFormatting sqref="O1008:P1008">
    <cfRule type="containsText" dxfId="2" priority="3" operator="containsText" text="!">
      <formula>NOT(ISERROR(SEARCH("!",O1008)))</formula>
    </cfRule>
  </conditionalFormatting>
  <conditionalFormatting sqref="O1008">
    <cfRule type="cellIs" dxfId="1" priority="2" operator="equal">
      <formula>0</formula>
    </cfRule>
  </conditionalFormatting>
  <conditionalFormatting sqref="P1418">
    <cfRule type="containsText" dxfId="0" priority="1" operator="containsText" text="!">
      <formula>NOT(ISERROR(SEARCH("!",P1418)))</formula>
    </cfRule>
  </conditionalFormatting>
  <dataValidations disablePrompts="1" count="1">
    <dataValidation type="list" allowBlank="1" showInputMessage="1" showErrorMessage="1" error="Выберите, пожалуйста, значение из списка" sqref="M1:T1" xr:uid="{715F98C7-CC84-454F-A6CC-2CEFCF13E455}">
      <formula1>#REF!</formula1>
    </dataValidation>
  </dataValidations>
  <hyperlinks>
    <hyperlink ref="U300" location="'Стекл. перегородки'!A1" display="'Стекл. перегородки'!A1" xr:uid="{BBCC568E-1FA7-4728-9491-F7B5106842F2}"/>
    <hyperlink ref="U366" location="'Стекл. дв. полут в проем '!A1" display="'Стекл. дв. полут в проем '!A1" xr:uid="{265B3894-A673-459E-B4CB-D51DC5777679}"/>
    <hyperlink ref="U365" location="'Стекл. двери один в перегородку'!A1" display="'Стекл. двери один в перегородку'!A1" xr:uid="{FDC504D6-35F2-4C2B-A099-8AEA83A3F829}"/>
    <hyperlink ref="U384" location="'Дерев. гл. скр. двери в проем'!A1" display="'Дерев. гл. скр. двери в проем'!A1" xr:uid="{06799267-8477-4655-BEC4-18709095B044}"/>
    <hyperlink ref="U385" location="'Дерев. гл. двери в проем'!A1" display="'Дерев. гл. двери в проем'!A1" xr:uid="{9F580E85-591E-4634-9723-9E4FDE33D0FB}"/>
    <hyperlink ref="U436" location="'Акустические потолки'!A1" display="'Акустические потолки'!A1" xr:uid="{3923947B-2527-493D-B03C-DA2081FA15B9}"/>
    <hyperlink ref="U437" location="'Акустические потолки'!A1" display="'Акустические потолки'!A1" xr:uid="{9621A4BE-6E00-419E-B510-BBDB92C27BD0}"/>
    <hyperlink ref="U438" location="'Акустические потолки'!A1" display="'Акустические потолки'!A1" xr:uid="{E4988591-CBC4-41C5-9CA1-655DCA3B61BD}"/>
    <hyperlink ref="U439" location="'Акустические потолки'!A1" display="'Акустические потолки'!A1" xr:uid="{E7C1D1AC-1318-464D-8426-C80DF78DB432}"/>
    <hyperlink ref="U296" location="'Бескаркасные двери и перегородк'!A1" display="см.лист &quot;Бескаркасные двери и перегородки&quot;" xr:uid="{8FFD55EA-F528-4D07-8B26-3CD386A20450}"/>
    <hyperlink ref="U297" location="'Бескаркасные двери и перегородк'!A1" display="см.лист &quot;Бескаркасные двери и перегородки&quot;" xr:uid="{15CCF4D7-AB86-4398-B197-90C375DDA447}"/>
    <hyperlink ref="U304" location="'Трансформируемая перегородка'!A1" display="см. лист &quot;Трансф. перег.&quot;" xr:uid="{2E749379-75E3-4E72-8163-4EA60BB426F3}"/>
    <hyperlink ref="U305:U309" location="'Трансформируемая перегородка'!A1" display="см. лист &quot;Трансф. перег.&quot;" xr:uid="{3EADD4DF-AA04-4035-B97C-5BFE337070D8}"/>
    <hyperlink ref="U321" location="'Плитка СУ'!A1" display="вкладка Плитка СУ" xr:uid="{55D04C9D-E2B2-479B-B388-F5D8430CDD33}"/>
    <hyperlink ref="U348" location="'Стекл двери в алюм. (2)'!A1" display="Вкладка &quot;Стекл двери а алюм.&quot;" xr:uid="{C2E8D709-E013-4CC0-B132-FB9A5239B0DC}"/>
    <hyperlink ref="U349:U350" location="'Стекл двери в алюм. (2)'!A1" display="Вкладка &quot;Стекл двери а алюм.&quot;" xr:uid="{4AD0B343-D301-410E-97EE-58722953B5C4}"/>
    <hyperlink ref="U354" location="Броня!A1" display="вкладка &quot;Броня&quot;" xr:uid="{BFAC9BF7-D34B-4B94-A3F8-0D95AC4BB290}"/>
    <hyperlink ref="U355" location="Броня!A1" display="вкладка &quot;Броня&quot;" xr:uid="{7BCFD848-324C-4081-841F-1055156C6BAD}"/>
    <hyperlink ref="U533" location="Броня!A1" display="вкладка &quot;Броня&quot;" xr:uid="{857075A7-DF8E-443B-AB2D-301597B9B9B9}"/>
    <hyperlink ref="U534" location="Броня!A1" display="вкладка &quot;Броня&quot;" xr:uid="{EAF00CD4-0005-435D-98D1-88C3178E0A15}"/>
    <hyperlink ref="U535:U536" location="Броня!A1" display="вкладка &quot;Броня&quot;" xr:uid="{D8DA0CAA-EFA0-42F1-BADA-0DD391B9F595}"/>
    <hyperlink ref="U543" location="Броня!A1" display="вкладка &quot;Броня&quot;" xr:uid="{833C6439-F727-4A72-91D4-F610AC78C463}"/>
    <hyperlink ref="U544" location="Броня!A1" display="вкладка &quot;Броня&quot;" xr:uid="{16A25397-CE71-45A3-80C0-E88A43B613DD}"/>
    <hyperlink ref="U545" location="Броня!A1" display="вкладка &quot;Броня&quot;" xr:uid="{005FAA0C-5EE3-400B-8A58-633AC1AD88D2}"/>
    <hyperlink ref="U547" location="Броня!A1" display="вкладка &quot;Броня&quot;" xr:uid="{7F686474-2F8B-4D0F-8E6E-3A8354172CCA}"/>
    <hyperlink ref="U550" location="Броня!A1" display="вкладка &quot;Броня&quot;" xr:uid="{00FBA496-4D16-40B5-B7CF-C72A06C6FE11}"/>
    <hyperlink ref="U546" location="Броня!A1" display="вкладка &quot;Броня&quot;" xr:uid="{195803B9-68F2-465A-B1C3-57922E9684AF}"/>
    <hyperlink ref="U548" location="Броня!A1" display="вкладка &quot;Броня&quot;" xr:uid="{2A8BAD43-C09F-44AD-B0DE-A38C75CA1817}"/>
    <hyperlink ref="U549" location="Броня!A1" display="вкладка &quot;Броня&quot;" xr:uid="{828F297B-4AEB-43E3-8356-8154B94EDA4C}"/>
    <hyperlink ref="U551" location="Броня!A1" display="вкладка &quot;Броня&quot;" xr:uid="{6D8F2007-52A6-4F95-A1BB-2C41B842DDBD}"/>
    <hyperlink ref="U358" location="'Бескаркасные двери и перегородк'!A1" display="см.лист &quot;Бескаркасные двери и перегородки&quot;" xr:uid="{E1EDF83A-D97B-4E50-90E2-1F96C2F6DB6B}"/>
    <hyperlink ref="U359:U360" location="'Бескаркасные двери и перегородк'!A1" display="см.лист &quot;Бескаркасные двери и перегородки&quot;" xr:uid="{98DDF03F-ED67-408F-AA05-44F9F6A7FF44}"/>
    <hyperlink ref="U362" location="'Стекл двери в алюм. (2)'!A1" display="Вкладка &quot;Стекл двери а алюм.&quot;" xr:uid="{E458E463-0494-42EE-A4FD-381B10D3EBB3}"/>
    <hyperlink ref="U363:U364" location="'Стекл двери в алюм. (2)'!A1" display="Вкладка &quot;Стекл двери а алюм.&quot;" xr:uid="{259F77EB-C9EA-4502-B68B-EC01ABD5F508}"/>
    <hyperlink ref="U387" location="'Двери Kapelli'!A1" display="см. лист &quot;Двери Kapelli&quot;" xr:uid="{3D51B9BD-8A9D-4F1E-80E1-4509773649CA}"/>
    <hyperlink ref="U487" location="'Kerama Marazzi'!A1" display="см. лист &quot;Kerama Marazzi&quot;" xr:uid="{DED0360B-BC32-4105-ABEB-464FFA0AAA22}"/>
    <hyperlink ref="U491" location="'Ковровая плитка'!A1" display="'Ковровая плитка'!A1" xr:uid="{F2CF401B-DCB0-41D5-9BD1-897D5B41B4B0}"/>
    <hyperlink ref="U492:U494" location="'Ковровая плитка'!A1" display="'Ковровая плитка'!A1" xr:uid="{3F7A41D2-8A3B-439B-86A1-CF7B269E12C5}"/>
    <hyperlink ref="U523" location="Фальшпол!A1" display="вкладка Фальшпол" xr:uid="{522C572B-DB86-48AA-837A-1F732D2219C9}"/>
    <hyperlink ref="U770" location="Радиаторы!A1" display="вкладка &quot;Радиаторы&quot;" xr:uid="{BBF5D1BB-8779-42A9-B889-41751BC98EFB}"/>
    <hyperlink ref="U894:U898" location="Вентмашины!A1" display="см. вкладку &quot;вентмашины&quot;" xr:uid="{34689EF4-B73B-4F0B-816F-C1BB346C6BD1}"/>
    <hyperlink ref="U899" location="'Тепловые завесы'!A1" display="см. вкладку Тепловые завесы" xr:uid="{580C36D8-A6D1-433E-BC4F-3F84F8D94695}"/>
    <hyperlink ref="U900:U902" location="'Тепловые завесы'!A1" display="см. вкладку Тепловые завесы" xr:uid="{1F6AABF5-CEE5-49B8-B3BC-E624AA1B7BC7}"/>
    <hyperlink ref="U1092:U1100" location="'Щиты в сборе'!A1" display="см. вкладку Щиты в сборе" xr:uid="{957E9586-C182-4C4E-9CD7-E5092CD380A8}"/>
    <hyperlink ref="U1392" location="'Розетки ДКС'!A1" display="см.розекти ДКС" xr:uid="{4394F6E6-2A78-468F-A523-5B28AAF3CEE8}"/>
    <hyperlink ref="U1393" location="'Розетки ДКС'!A1" display="см.розекти ДКС" xr:uid="{DF594A59-D241-4670-9826-78E5109038EF}"/>
    <hyperlink ref="U1402" location="'Розетки ДКС'!A1" display="см.розекти ДКС" xr:uid="{5CA0AEDB-BBB0-4BF9-BD8A-DFBB2529E366}"/>
    <hyperlink ref="U1403" location="'Розетки ДКС'!A1" display="см.розекти ДКС" xr:uid="{F731BB93-C6EF-4F58-ADC0-8F990786E9B7}"/>
    <hyperlink ref="U1436" location="'Светильники ЭТМ'!A1" display="ООО &quot;ЭТМ&quot;" xr:uid="{F178D93A-F3EF-4824-B840-3B81BE6706B3}"/>
    <hyperlink ref="U1636" location="'Щиты в сборе'!A1" display="см вкладку щиты  сборе" xr:uid="{405D4D11-C446-48D7-9138-4165821C4086}"/>
    <hyperlink ref="U1637" location="'Щиты в сборе'!A1" display="см вкладку щиты  сборе" xr:uid="{62B976A7-07CB-41B6-96F0-A8A84F915F34}"/>
    <hyperlink ref="U1011" location="' Кондиционеры бытовые'!A1" display="см. вкладку кондиционеры бытовые " xr:uid="{586B15B3-5D94-41AA-90E0-4C74187FDA65}"/>
    <hyperlink ref="U1450" location="'Светильники Профдед н'!A1" display="ООО ОКТАНТ (ТД ПРОФЛЕД)" xr:uid="{C2208BAC-5434-4F91-AE0C-C87E82044FED}"/>
    <hyperlink ref="U1451:U1457" location="'Светильники Профдед н'!A1" display="ООО ОКТАНТ (ТД ПРОФЛЕД)" xr:uid="{63566EB7-912A-4A00-B566-09264E1613CC}"/>
    <hyperlink ref="U440" location="'Акустические потолки'!A1" display="'Акустические потолки'!A1" xr:uid="{F019BD6B-48C2-46D2-B142-105B3690501D}"/>
    <hyperlink ref="U495" location="'ПВХ '!A1" display="ПВХ" xr:uid="{FD2F332F-3BA7-48DA-A9FE-B6337902FAE5}"/>
    <hyperlink ref="U524" location="Фальшпол!A1" display="вкладка Фальшпол" xr:uid="{0497264A-844A-4279-9AB2-CB72E4EECCE0}"/>
    <hyperlink ref="U325" location="Керамогранит!A1" display="Керамогранит" xr:uid="{A804DB0D-B028-49E5-815B-4C520E2DD1F2}"/>
    <hyperlink ref="U326:U329" location="Керамогранит!A1" display="Керамогранит" xr:uid="{AAC2FF2B-D2DF-4564-B189-20C9EE5ED841}"/>
    <hyperlink ref="U1458" location="Освещение!A1" display="Освещение Рефлекта" xr:uid="{400B5AD6-C472-41DD-86EF-CFE99A5E1206}"/>
    <hyperlink ref="U1459:U1586" location="Освещение!A1" display="Освещение Рефлекта" xr:uid="{C4DBC09B-EA15-40DC-A987-A1D08FBCE374}"/>
    <hyperlink ref="U330" location="Керамогранит!A1" display="Керамогранит" xr:uid="{71212F46-B118-4592-8376-D3AF65DB567D}"/>
    <hyperlink ref="U331" location="Керамогранит!A1" display="Керамогранит" xr:uid="{3326EDE3-CC0D-42F3-AADC-978B1E427784}"/>
    <hyperlink ref="U1631" location="'Лючек напольный.'!A1" display="вкладка &quot;Лючек напольный&quot;" xr:uid="{0547885A-9DAC-453A-89F6-D7F65885BF83}"/>
    <hyperlink ref="U789" location="Радиаторы!A1" display="вкладка &quot;Радиаторы&quot;" xr:uid="{C99AE082-794E-43A1-9254-0F2D752BB11B}"/>
    <hyperlink ref="U823:U825" location="Радиаторы!A1" display="вкладка &quot;Радиаторы&quot;" xr:uid="{5CC66890-7CDC-472A-BD28-9224691200F8}"/>
    <hyperlink ref="U790:U792" location="Радиаторы!A1" display="вкладка &quot;Радиаторы&quot;" xr:uid="{DEFFDE08-DA0E-4159-A79D-CBE9DB8F78FD}"/>
    <hyperlink ref="U1003" location="' Кондиционеры бытовые'!A1" display="см. вкладку кондиционеры бытовые " xr:uid="{10A17CAD-340A-4C44-817E-F97925F09697}"/>
    <hyperlink ref="U1004:U1007" location="' Кондиционеры бытовые'!A1" display="см. вкладку кондиционеры бытовые " xr:uid="{A76AEAB9-FB97-454D-8731-1F1169FB14FB}"/>
    <hyperlink ref="U1012:U1020" location="' Кондиционеры бытовые'!A1" display="см. вкладку кондиционеры бытовые " xr:uid="{EC35DF14-ACF8-4E55-B8E9-3CCBD9EC04E5}"/>
    <hyperlink ref="U1031" location="'Кондиционеры Haier VRF'!A1" display="Кондиционеры Haier VRF" xr:uid="{1055CE99-6AB2-4645-9B28-E270B4790BED}"/>
    <hyperlink ref="U1032:U1044" location="'Кондиционеры Haier VRF'!A1" display="Кондиционеры Haier VRF" xr:uid="{35AEBFA1-B434-4167-A2DC-FF2840181C1E}"/>
    <hyperlink ref="U1045" location="'Кондиционеры MDV VRF'!A1" display="Кондиционеры MDV VRF" xr:uid="{C0845320-AC4C-401B-8DC5-C0571DDDEFD3}"/>
    <hyperlink ref="U1046:U1052" location="'Кондиционеры MDV VRF'!A1" display="Кондиционеры MDV VRF" xr:uid="{6482437C-140B-4FC0-9231-5D4F5CA5CDE1}"/>
    <hyperlink ref="U1053:U1060" location="'Кондиционеры MDV VRF'!A1" display="Кондиционеры MDV VRF" xr:uid="{565D5DD4-D625-4082-B764-A43E62F6718F}"/>
    <hyperlink ref="U1061:U1063" location="'Кондиционеры Haier VRF'!A1" display="Кондиционеры Haier VRF" xr:uid="{54856205-5FF2-405B-896A-AD7FE4EA12F7}"/>
    <hyperlink ref="U1067:U1068" location="'Кондиционеры Haier VRF'!A1" display="Кондиционеры Haier VRF" xr:uid="{C1DC53BE-AABF-4C07-9A6C-316B2D369B18}"/>
    <hyperlink ref="U1064:U1066" location="'Кондиционеры MDV VRF'!A1" display="Кондиционеры MDV VRF" xr:uid="{22976BB4-27C0-45DF-97FD-B3ED8AC095B8}"/>
    <hyperlink ref="U1069:U1073" location="'Кондиционеры MDV VRF'!A1" display="Кондиционеры MDV VRF" xr:uid="{6F46B8CB-32C8-477F-9D92-EA1C0556D462}"/>
    <hyperlink ref="U1021:U1030" location="' Кондиционеры бытовые'!A1" display="см. вкладку кондиционеры бытовые " xr:uid="{A1776CF6-81DD-4839-A8BB-6516B9A7B6ED}"/>
    <hyperlink ref="U1355" location="Сантехника!A1" display="см. лист &quot;Сантехника&quot;" xr:uid="{3B81F1CB-60E5-468F-9451-D9A27BCD4382}"/>
    <hyperlink ref="U663:U681" location="Сантехника!A1" display="см. лист &quot;Сантехника&quot;" xr:uid="{A486545D-7BFE-4EA1-829D-894C97497611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20</xdr:col>
                <xdr:colOff>53340</xdr:colOff>
                <xdr:row>1685</xdr:row>
                <xdr:rowOff>45720</xdr:rowOff>
              </from>
              <to>
                <xdr:col>20</xdr:col>
                <xdr:colOff>396240</xdr:colOff>
                <xdr:row>1685</xdr:row>
                <xdr:rowOff>327660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20</xdr:col>
                <xdr:colOff>91440</xdr:colOff>
                <xdr:row>1688</xdr:row>
                <xdr:rowOff>30480</xdr:rowOff>
              </from>
              <to>
                <xdr:col>20</xdr:col>
                <xdr:colOff>381000</xdr:colOff>
                <xdr:row>1688</xdr:row>
                <xdr:rowOff>327660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20</xdr:col>
                <xdr:colOff>53340</xdr:colOff>
                <xdr:row>1688</xdr:row>
                <xdr:rowOff>327660</xdr:rowOff>
              </from>
              <to>
                <xdr:col>20</xdr:col>
                <xdr:colOff>403860</xdr:colOff>
                <xdr:row>1689</xdr:row>
                <xdr:rowOff>335280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ЕР (общ)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2026-09-01T11:36:53Z</dcterms:created>
  <dcterms:modified xsi:type="dcterms:W3CDTF">2026-09-01T12:11:30Z</dcterms:modified>
</cp:coreProperties>
</file>